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ur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Key Insights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 h:mm:ss"/>
    <numFmt numFmtId="166" formatCode="YYYY-MM-DD HH:MM"/>
    <numFmt numFmtId="167" formatCode="0.000"/>
    <numFmt numFmtId="168" formatCode="0.0"/>
  </numFmts>
  <fonts count="12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2"/>
    </font>
    <font>
      <b val="1"/>
      <color rgb="00FFFFFF"/>
    </font>
    <font>
      <color rgb="000000FF"/>
    </font>
    <font>
      <color rgb="00000000"/>
    </font>
    <font>
      <color rgb="00008000"/>
    </font>
    <font>
      <b val="1"/>
    </font>
    <font>
      <b val="1"/>
      <color rgb="00FFFFFF"/>
      <sz val="14"/>
    </font>
    <font>
      <b val="1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6" fillId="0" borderId="0" pivotButton="0" quotePrefix="0" xfId="0"/>
    <xf numFmtId="0" fontId="4" fillId="2" borderId="1" applyAlignment="1" pivotButton="0" quotePrefix="0" xfId="0">
      <alignment horizontal="center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1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" t="inlineStr">
        <is>
          <t>BASELOAD PPA ANALYSIS: Solar + Wind + BESS</t>
        </is>
      </c>
    </row>
    <row r="2">
      <c r="A2" s="2" t="inlineStr">
        <is>
          <t>Zone: SE3 | Year: 2024 | Profile: south_lundby + ENTSO-E wind</t>
        </is>
      </c>
    </row>
    <row r="4">
      <c r="A4" s="3" t="inlineStr">
        <is>
          <t>INPUT PARAMETERS</t>
        </is>
      </c>
    </row>
    <row r="6">
      <c r="A6" t="inlineStr">
        <is>
          <t>Solar Capacity (MW)</t>
        </is>
      </c>
      <c r="B6" s="4" t="n">
        <v>1</v>
      </c>
    </row>
    <row r="7">
      <c r="A7" t="inlineStr">
        <is>
          <t>Wind Capacity (MW)</t>
        </is>
      </c>
      <c r="B7" s="4" t="n">
        <v>1</v>
      </c>
    </row>
    <row r="8">
      <c r="A8" t="inlineStr">
        <is>
          <t>Baseload Target (%)</t>
        </is>
      </c>
      <c r="B8" s="4" t="n">
        <v>0.8</v>
      </c>
    </row>
    <row r="9">
      <c r="A9" t="inlineStr">
        <is>
          <t>BESS Round-Trip Efficiency</t>
        </is>
      </c>
      <c r="B9" s="4" t="n">
        <v>0.9</v>
      </c>
    </row>
    <row r="10">
      <c r="A10" t="inlineStr">
        <is>
          <t>BESS Initial SoC (%)</t>
        </is>
      </c>
      <c r="B10" s="4" t="n">
        <v>0.5</v>
      </c>
    </row>
    <row r="12">
      <c r="A12" s="3" t="inlineStr">
        <is>
          <t>CALCULATED PARAMETERS</t>
        </is>
      </c>
    </row>
    <row r="13">
      <c r="A13" t="inlineStr">
        <is>
          <t>Solar Capacity Factor</t>
        </is>
      </c>
      <c r="C13" t="inlineStr">
        <is>
          <t>0.1152</t>
        </is>
      </c>
    </row>
    <row r="14">
      <c r="A14" t="inlineStr">
        <is>
          <t>Wind Capacity Factor</t>
        </is>
      </c>
      <c r="C14" t="inlineStr">
        <is>
          <t>0.3000</t>
        </is>
      </c>
    </row>
    <row r="15">
      <c r="A15" t="inlineStr">
        <is>
          <t>Combined Capacity Factor</t>
        </is>
      </c>
      <c r="C15" t="inlineStr">
        <is>
          <t>0.2076</t>
        </is>
      </c>
    </row>
    <row r="16">
      <c r="A16" t="inlineStr">
        <is>
          <t>Mean Production (MW)</t>
        </is>
      </c>
      <c r="C16" t="inlineStr">
        <is>
          <t>0.4152</t>
        </is>
      </c>
    </row>
    <row r="17">
      <c r="A17" t="inlineStr">
        <is>
          <t>Total Hours</t>
        </is>
      </c>
      <c r="C17" t="n">
        <v>8784</v>
      </c>
    </row>
    <row r="18">
      <c r="A18" t="inlineStr">
        <is>
          <t>Annual Production (MWh)</t>
        </is>
      </c>
      <c r="C18" t="inlineStr">
        <is>
          <t>3647.2</t>
        </is>
      </c>
    </row>
    <row r="20">
      <c r="A20" s="3" t="inlineStr">
        <is>
          <t>KEY RESULTS</t>
        </is>
      </c>
    </row>
    <row r="21">
      <c r="A21" t="inlineStr">
        <is>
          <t>Baseload Level (MW)</t>
        </is>
      </c>
      <c r="C21" s="5">
        <f>C16*B8</f>
        <v/>
      </c>
    </row>
    <row r="22">
      <c r="A22" t="inlineStr">
        <is>
          <t>BESS Capacity Required (MWh)</t>
        </is>
      </c>
      <c r="C22" s="6">
        <f>MAX(Hourly!L:L)-MIN(Hourly!L:L)</f>
        <v/>
      </c>
    </row>
    <row r="23">
      <c r="A23" t="inlineStr">
        <is>
          <t>BESS Power Required (MW)</t>
        </is>
      </c>
      <c r="C23" s="6">
        <f>MAX(ABS(Hourly!K2:K8785))</f>
        <v/>
      </c>
    </row>
    <row r="24">
      <c r="A24" t="inlineStr">
        <is>
          <t>Deficit Hours</t>
        </is>
      </c>
      <c r="C24" s="6">
        <f>COUNTIF(Hourly!I:I,"&gt;0")</f>
        <v/>
      </c>
    </row>
    <row r="25">
      <c r="A25" t="inlineStr">
        <is>
          <t>Surplus Hours</t>
        </is>
      </c>
      <c r="C25" s="6">
        <f>COUNTIF(Hourly!J:J,"&gt;0")</f>
        <v/>
      </c>
    </row>
    <row r="26">
      <c r="A26" t="inlineStr">
        <is>
          <t>Deficit Hours %</t>
        </is>
      </c>
      <c r="C26" s="7">
        <f>C24/8784</f>
        <v/>
      </c>
    </row>
  </sheetData>
  <mergeCells count="5">
    <mergeCell ref="A2:F2"/>
    <mergeCell ref="A1:F1"/>
    <mergeCell ref="A12:C12"/>
    <mergeCell ref="A4:C4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8" t="inlineStr">
        <is>
          <t>Timestamp</t>
        </is>
      </c>
      <c r="B1" s="8" t="inlineStr">
        <is>
          <t>Month</t>
        </is>
      </c>
      <c r="C1" s="8" t="inlineStr">
        <is>
          <t>Day</t>
        </is>
      </c>
      <c r="D1" s="8" t="inlineStr">
        <is>
          <t>Hour</t>
        </is>
      </c>
      <c r="E1" s="8" t="inlineStr">
        <is>
          <t>Solar CF</t>
        </is>
      </c>
      <c r="F1" s="8" t="inlineStr">
        <is>
          <t>Wind CF</t>
        </is>
      </c>
      <c r="G1" s="8" t="inlineStr">
        <is>
          <t>Solar (MW)</t>
        </is>
      </c>
      <c r="H1" s="8" t="inlineStr">
        <is>
          <t>Wind (MW)</t>
        </is>
      </c>
      <c r="I1" s="8" t="inlineStr">
        <is>
          <t>Deficit (MW)</t>
        </is>
      </c>
      <c r="J1" s="8" t="inlineStr">
        <is>
          <t>Surplus (MW)</t>
        </is>
      </c>
      <c r="K1" s="8" t="inlineStr">
        <is>
          <t>BESS Flow (MW)</t>
        </is>
      </c>
      <c r="L1" s="8" t="inlineStr">
        <is>
          <t>BESS SoC (MWh)</t>
        </is>
      </c>
      <c r="M1" s="8" t="inlineStr">
        <is>
          <t>Total (MW)</t>
        </is>
      </c>
      <c r="N1" s="8" t="inlineStr">
        <is>
          <t>Baseload (MW)</t>
        </is>
      </c>
      <c r="O1" s="8" t="inlineStr">
        <is>
          <t>Net (MW)</t>
        </is>
      </c>
    </row>
    <row r="2">
      <c r="A2" s="9" t="n">
        <v>45292</v>
      </c>
      <c r="B2" t="n">
        <v>1</v>
      </c>
      <c r="C2" t="n">
        <v>1</v>
      </c>
      <c r="D2" t="n">
        <v>0</v>
      </c>
      <c r="E2" s="10" t="n">
        <v>0</v>
      </c>
      <c r="F2" s="10" t="n">
        <v>0.4699616807908034</v>
      </c>
      <c r="G2" s="11">
        <f>E2*Summary!$B$6</f>
        <v/>
      </c>
      <c r="H2" s="11">
        <f>F2*Summary!$B$7</f>
        <v/>
      </c>
      <c r="I2" s="11">
        <f>MAX(0,N2-M2)</f>
        <v/>
      </c>
      <c r="J2" s="11">
        <f>MAX(0,M2-N2)</f>
        <v/>
      </c>
      <c r="K2" s="11">
        <f>O2</f>
        <v/>
      </c>
      <c r="L2" s="11">
        <f>IF(K2&gt;0,K2*Summary!$B$9,K2/Summary!$B$9)</f>
        <v/>
      </c>
      <c r="M2" s="11">
        <f>G2+H2</f>
        <v/>
      </c>
      <c r="N2" s="11">
        <f>Summary!$C$16*Summary!$B$8</f>
        <v/>
      </c>
      <c r="O2" s="11">
        <f>M2-N2</f>
        <v/>
      </c>
    </row>
    <row r="3">
      <c r="A3" s="9" t="n">
        <v>45292.04166666666</v>
      </c>
      <c r="B3" t="n">
        <v>1</v>
      </c>
      <c r="C3" t="n">
        <v>1</v>
      </c>
      <c r="D3" t="n">
        <v>1</v>
      </c>
      <c r="E3" s="10" t="n">
        <v>0</v>
      </c>
      <c r="F3" s="10" t="n">
        <v>0.4408690658085758</v>
      </c>
      <c r="G3" s="11">
        <f>E3*Summary!$B$6</f>
        <v/>
      </c>
      <c r="H3" s="11">
        <f>F3*Summary!$B$7</f>
        <v/>
      </c>
      <c r="I3" s="11">
        <f>MAX(0,N3-M3)</f>
        <v/>
      </c>
      <c r="J3" s="11">
        <f>MAX(0,M3-N3)</f>
        <v/>
      </c>
      <c r="K3" s="11">
        <f>O3</f>
        <v/>
      </c>
      <c r="L3" s="11">
        <f>L2+IF(K3&gt;0,K3*Summary!$B$9,K3/Summary!$B$9)</f>
        <v/>
      </c>
      <c r="M3" s="11">
        <f>G3+H3</f>
        <v/>
      </c>
      <c r="N3" s="11">
        <f>Summary!$C$16*Summary!$B$8</f>
        <v/>
      </c>
      <c r="O3" s="11">
        <f>M3-N3</f>
        <v/>
      </c>
    </row>
    <row r="4">
      <c r="A4" s="9" t="n">
        <v>45292.08333333334</v>
      </c>
      <c r="B4" t="n">
        <v>1</v>
      </c>
      <c r="C4" t="n">
        <v>1</v>
      </c>
      <c r="D4" t="n">
        <v>2</v>
      </c>
      <c r="E4" s="10" t="n">
        <v>0</v>
      </c>
      <c r="F4" s="10" t="n">
        <v>0.4309343594242462</v>
      </c>
      <c r="G4" s="11">
        <f>E4*Summary!$B$6</f>
        <v/>
      </c>
      <c r="H4" s="11">
        <f>F4*Summary!$B$7</f>
        <v/>
      </c>
      <c r="I4" s="11">
        <f>MAX(0,N4-M4)</f>
        <v/>
      </c>
      <c r="J4" s="11">
        <f>MAX(0,M4-N4)</f>
        <v/>
      </c>
      <c r="K4" s="11">
        <f>O4</f>
        <v/>
      </c>
      <c r="L4" s="11">
        <f>L3+IF(K4&gt;0,K4*Summary!$B$9,K4/Summary!$B$9)</f>
        <v/>
      </c>
      <c r="M4" s="11">
        <f>G4+H4</f>
        <v/>
      </c>
      <c r="N4" s="11">
        <f>Summary!$C$16*Summary!$B$8</f>
        <v/>
      </c>
      <c r="O4" s="11">
        <f>M4-N4</f>
        <v/>
      </c>
    </row>
    <row r="5">
      <c r="A5" s="9" t="n">
        <v>45292.125</v>
      </c>
      <c r="B5" t="n">
        <v>1</v>
      </c>
      <c r="C5" t="n">
        <v>1</v>
      </c>
      <c r="D5" t="n">
        <v>3</v>
      </c>
      <c r="E5" s="10" t="n">
        <v>0</v>
      </c>
      <c r="F5" s="10" t="n">
        <v>0.4197084047300171</v>
      </c>
      <c r="G5" s="11">
        <f>E5*Summary!$B$6</f>
        <v/>
      </c>
      <c r="H5" s="11">
        <f>F5*Summary!$B$7</f>
        <v/>
      </c>
      <c r="I5" s="11">
        <f>MAX(0,N5-M5)</f>
        <v/>
      </c>
      <c r="J5" s="11">
        <f>MAX(0,M5-N5)</f>
        <v/>
      </c>
      <c r="K5" s="11">
        <f>O5</f>
        <v/>
      </c>
      <c r="L5" s="11">
        <f>L4+IF(K5&gt;0,K5*Summary!$B$9,K5/Summary!$B$9)</f>
        <v/>
      </c>
      <c r="M5" s="11">
        <f>G5+H5</f>
        <v/>
      </c>
      <c r="N5" s="11">
        <f>Summary!$C$16*Summary!$B$8</f>
        <v/>
      </c>
      <c r="O5" s="11">
        <f>M5-N5</f>
        <v/>
      </c>
    </row>
    <row r="6">
      <c r="A6" s="9" t="n">
        <v>45292.16666666666</v>
      </c>
      <c r="B6" t="n">
        <v>1</v>
      </c>
      <c r="C6" t="n">
        <v>1</v>
      </c>
      <c r="D6" t="n">
        <v>4</v>
      </c>
      <c r="E6" s="10" t="n">
        <v>0</v>
      </c>
      <c r="F6" s="10" t="n">
        <v>0.4103007384721772</v>
      </c>
      <c r="G6" s="11">
        <f>E6*Summary!$B$6</f>
        <v/>
      </c>
      <c r="H6" s="11">
        <f>F6*Summary!$B$7</f>
        <v/>
      </c>
      <c r="I6" s="11">
        <f>MAX(0,N6-M6)</f>
        <v/>
      </c>
      <c r="J6" s="11">
        <f>MAX(0,M6-N6)</f>
        <v/>
      </c>
      <c r="K6" s="11">
        <f>O6</f>
        <v/>
      </c>
      <c r="L6" s="11">
        <f>L5+IF(K6&gt;0,K6*Summary!$B$9,K6/Summary!$B$9)</f>
        <v/>
      </c>
      <c r="M6" s="11">
        <f>G6+H6</f>
        <v/>
      </c>
      <c r="N6" s="11">
        <f>Summary!$C$16*Summary!$B$8</f>
        <v/>
      </c>
      <c r="O6" s="11">
        <f>M6-N6</f>
        <v/>
      </c>
    </row>
    <row r="7">
      <c r="A7" s="9" t="n">
        <v>45292.20833333334</v>
      </c>
      <c r="B7" t="n">
        <v>1</v>
      </c>
      <c r="C7" t="n">
        <v>1</v>
      </c>
      <c r="D7" t="n">
        <v>5</v>
      </c>
      <c r="E7" s="10" t="n">
        <v>0</v>
      </c>
      <c r="F7" s="10" t="n">
        <v>0.4037654409037058</v>
      </c>
      <c r="G7" s="11">
        <f>E7*Summary!$B$6</f>
        <v/>
      </c>
      <c r="H7" s="11">
        <f>F7*Summary!$B$7</f>
        <v/>
      </c>
      <c r="I7" s="11">
        <f>MAX(0,N7-M7)</f>
        <v/>
      </c>
      <c r="J7" s="11">
        <f>MAX(0,M7-N7)</f>
        <v/>
      </c>
      <c r="K7" s="11">
        <f>O7</f>
        <v/>
      </c>
      <c r="L7" s="11">
        <f>L6+IF(K7&gt;0,K7*Summary!$B$9,K7/Summary!$B$9)</f>
        <v/>
      </c>
      <c r="M7" s="11">
        <f>G7+H7</f>
        <v/>
      </c>
      <c r="N7" s="11">
        <f>Summary!$C$16*Summary!$B$8</f>
        <v/>
      </c>
      <c r="O7" s="11">
        <f>M7-N7</f>
        <v/>
      </c>
    </row>
    <row r="8">
      <c r="A8" s="9" t="n">
        <v>45292.25</v>
      </c>
      <c r="B8" t="n">
        <v>1</v>
      </c>
      <c r="C8" t="n">
        <v>1</v>
      </c>
      <c r="D8" t="n">
        <v>6</v>
      </c>
      <c r="E8" s="10" t="n">
        <v>0</v>
      </c>
      <c r="F8" s="10" t="n">
        <v>0.3983896316135116</v>
      </c>
      <c r="G8" s="11">
        <f>E8*Summary!$B$6</f>
        <v/>
      </c>
      <c r="H8" s="11">
        <f>F8*Summary!$B$7</f>
        <v/>
      </c>
      <c r="I8" s="11">
        <f>MAX(0,N8-M8)</f>
        <v/>
      </c>
      <c r="J8" s="11">
        <f>MAX(0,M8-N8)</f>
        <v/>
      </c>
      <c r="K8" s="11">
        <f>O8</f>
        <v/>
      </c>
      <c r="L8" s="11">
        <f>L7+IF(K8&gt;0,K8*Summary!$B$9,K8/Summary!$B$9)</f>
        <v/>
      </c>
      <c r="M8" s="11">
        <f>G8+H8</f>
        <v/>
      </c>
      <c r="N8" s="11">
        <f>Summary!$C$16*Summary!$B$8</f>
        <v/>
      </c>
      <c r="O8" s="11">
        <f>M8-N8</f>
        <v/>
      </c>
    </row>
    <row r="9">
      <c r="A9" s="9" t="n">
        <v>45292.29166666666</v>
      </c>
      <c r="B9" t="n">
        <v>1</v>
      </c>
      <c r="C9" t="n">
        <v>1</v>
      </c>
      <c r="D9" t="n">
        <v>7</v>
      </c>
      <c r="E9" s="10" t="n">
        <v>0</v>
      </c>
      <c r="F9" s="10" t="n">
        <v>0.3905367337288161</v>
      </c>
      <c r="G9" s="11">
        <f>E9*Summary!$B$6</f>
        <v/>
      </c>
      <c r="H9" s="11">
        <f>F9*Summary!$B$7</f>
        <v/>
      </c>
      <c r="I9" s="11">
        <f>MAX(0,N9-M9)</f>
        <v/>
      </c>
      <c r="J9" s="11">
        <f>MAX(0,M9-N9)</f>
        <v/>
      </c>
      <c r="K9" s="11">
        <f>O9</f>
        <v/>
      </c>
      <c r="L9" s="11">
        <f>L8+IF(K9&gt;0,K9*Summary!$B$9,K9/Summary!$B$9)</f>
        <v/>
      </c>
      <c r="M9" s="11">
        <f>G9+H9</f>
        <v/>
      </c>
      <c r="N9" s="11">
        <f>Summary!$C$16*Summary!$B$8</f>
        <v/>
      </c>
      <c r="O9" s="11">
        <f>M9-N9</f>
        <v/>
      </c>
    </row>
    <row r="10">
      <c r="A10" s="9" t="n">
        <v>45292.33333333334</v>
      </c>
      <c r="B10" t="n">
        <v>1</v>
      </c>
      <c r="C10" t="n">
        <v>1</v>
      </c>
      <c r="D10" t="n">
        <v>8</v>
      </c>
      <c r="E10" s="10" t="n">
        <v>0</v>
      </c>
      <c r="F10" s="10" t="n">
        <v>0.3836588600781264</v>
      </c>
      <c r="G10" s="11">
        <f>E10*Summary!$B$6</f>
        <v/>
      </c>
      <c r="H10" s="11">
        <f>F10*Summary!$B$7</f>
        <v/>
      </c>
      <c r="I10" s="11">
        <f>MAX(0,N10-M10)</f>
        <v/>
      </c>
      <c r="J10" s="11">
        <f>MAX(0,M10-N10)</f>
        <v/>
      </c>
      <c r="K10" s="11">
        <f>O10</f>
        <v/>
      </c>
      <c r="L10" s="11">
        <f>L9+IF(K10&gt;0,K10*Summary!$B$9,K10/Summary!$B$9)</f>
        <v/>
      </c>
      <c r="M10" s="11">
        <f>G10+H10</f>
        <v/>
      </c>
      <c r="N10" s="11">
        <f>Summary!$C$16*Summary!$B$8</f>
        <v/>
      </c>
      <c r="O10" s="11">
        <f>M10-N10</f>
        <v/>
      </c>
    </row>
    <row r="11">
      <c r="A11" s="9" t="n">
        <v>45292.375</v>
      </c>
      <c r="B11" t="n">
        <v>1</v>
      </c>
      <c r="C11" t="n">
        <v>1</v>
      </c>
      <c r="D11" t="n">
        <v>9</v>
      </c>
      <c r="E11" s="10" t="n">
        <v>0.030882</v>
      </c>
      <c r="F11" s="10" t="n">
        <v>0.3794688910725338</v>
      </c>
      <c r="G11" s="11">
        <f>E11*Summary!$B$6</f>
        <v/>
      </c>
      <c r="H11" s="11">
        <f>F11*Summary!$B$7</f>
        <v/>
      </c>
      <c r="I11" s="11">
        <f>MAX(0,N11-M11)</f>
        <v/>
      </c>
      <c r="J11" s="11">
        <f>MAX(0,M11-N11)</f>
        <v/>
      </c>
      <c r="K11" s="11">
        <f>O11</f>
        <v/>
      </c>
      <c r="L11" s="11">
        <f>L10+IF(K11&gt;0,K11*Summary!$B$9,K11/Summary!$B$9)</f>
        <v/>
      </c>
      <c r="M11" s="11">
        <f>G11+H11</f>
        <v/>
      </c>
      <c r="N11" s="11">
        <f>Summary!$C$16*Summary!$B$8</f>
        <v/>
      </c>
      <c r="O11" s="11">
        <f>M11-N11</f>
        <v/>
      </c>
    </row>
    <row r="12">
      <c r="A12" s="9" t="n">
        <v>45292.41666666666</v>
      </c>
      <c r="B12" t="n">
        <v>1</v>
      </c>
      <c r="C12" t="n">
        <v>1</v>
      </c>
      <c r="D12" t="n">
        <v>10</v>
      </c>
      <c r="E12" s="10" t="n">
        <v>0.119721</v>
      </c>
      <c r="F12" s="10" t="n">
        <v>0.3749099939783986</v>
      </c>
      <c r="G12" s="11">
        <f>E12*Summary!$B$6</f>
        <v/>
      </c>
      <c r="H12" s="11">
        <f>F12*Summary!$B$7</f>
        <v/>
      </c>
      <c r="I12" s="11">
        <f>MAX(0,N12-M12)</f>
        <v/>
      </c>
      <c r="J12" s="11">
        <f>MAX(0,M12-N12)</f>
        <v/>
      </c>
      <c r="K12" s="11">
        <f>O12</f>
        <v/>
      </c>
      <c r="L12" s="11">
        <f>L11+IF(K12&gt;0,K12*Summary!$B$9,K12/Summary!$B$9)</f>
        <v/>
      </c>
      <c r="M12" s="11">
        <f>G12+H12</f>
        <v/>
      </c>
      <c r="N12" s="11">
        <f>Summary!$C$16*Summary!$B$8</f>
        <v/>
      </c>
      <c r="O12" s="11">
        <f>M12-N12</f>
        <v/>
      </c>
    </row>
    <row r="13">
      <c r="A13" s="9" t="n">
        <v>45292.45833333334</v>
      </c>
      <c r="B13" t="n">
        <v>1</v>
      </c>
      <c r="C13" t="n">
        <v>1</v>
      </c>
      <c r="D13" t="n">
        <v>11</v>
      </c>
      <c r="E13" s="10" t="n">
        <v>0.180765</v>
      </c>
      <c r="F13" s="10" t="n">
        <v>0.3650543436130425</v>
      </c>
      <c r="G13" s="11">
        <f>E13*Summary!$B$6</f>
        <v/>
      </c>
      <c r="H13" s="11">
        <f>F13*Summary!$B$7</f>
        <v/>
      </c>
      <c r="I13" s="11">
        <f>MAX(0,N13-M13)</f>
        <v/>
      </c>
      <c r="J13" s="11">
        <f>MAX(0,M13-N13)</f>
        <v/>
      </c>
      <c r="K13" s="11">
        <f>O13</f>
        <v/>
      </c>
      <c r="L13" s="11">
        <f>L12+IF(K13&gt;0,K13*Summary!$B$9,K13/Summary!$B$9)</f>
        <v/>
      </c>
      <c r="M13" s="11">
        <f>G13+H13</f>
        <v/>
      </c>
      <c r="N13" s="11">
        <f>Summary!$C$16*Summary!$B$8</f>
        <v/>
      </c>
      <c r="O13" s="11">
        <f>M13-N13</f>
        <v/>
      </c>
    </row>
    <row r="14">
      <c r="A14" s="9" t="n">
        <v>45292.5</v>
      </c>
      <c r="B14" t="n">
        <v>1</v>
      </c>
      <c r="C14" t="n">
        <v>1</v>
      </c>
      <c r="D14" t="n">
        <v>12</v>
      </c>
      <c r="E14" s="10" t="n">
        <v>0.196728</v>
      </c>
      <c r="F14" s="10" t="n">
        <v>0.3535121648429196</v>
      </c>
      <c r="G14" s="11">
        <f>E14*Summary!$B$6</f>
        <v/>
      </c>
      <c r="H14" s="11">
        <f>F14*Summary!$B$7</f>
        <v/>
      </c>
      <c r="I14" s="11">
        <f>MAX(0,N14-M14)</f>
        <v/>
      </c>
      <c r="J14" s="11">
        <f>MAX(0,M14-N14)</f>
        <v/>
      </c>
      <c r="K14" s="11">
        <f>O14</f>
        <v/>
      </c>
      <c r="L14" s="11">
        <f>L13+IF(K14&gt;0,K14*Summary!$B$9,K14/Summary!$B$9)</f>
        <v/>
      </c>
      <c r="M14" s="11">
        <f>G14+H14</f>
        <v/>
      </c>
      <c r="N14" s="11">
        <f>Summary!$C$16*Summary!$B$8</f>
        <v/>
      </c>
      <c r="O14" s="11">
        <f>M14-N14</f>
        <v/>
      </c>
    </row>
    <row r="15">
      <c r="A15" s="9" t="n">
        <v>45292.54166666666</v>
      </c>
      <c r="B15" t="n">
        <v>1</v>
      </c>
      <c r="C15" t="n">
        <v>1</v>
      </c>
      <c r="D15" t="n">
        <v>13</v>
      </c>
      <c r="E15" s="10" t="n">
        <v>0.15203</v>
      </c>
      <c r="F15" s="10" t="n">
        <v>0.3691389045933371</v>
      </c>
      <c r="G15" s="11">
        <f>E15*Summary!$B$6</f>
        <v/>
      </c>
      <c r="H15" s="11">
        <f>F15*Summary!$B$7</f>
        <v/>
      </c>
      <c r="I15" s="11">
        <f>MAX(0,N15-M15)</f>
        <v/>
      </c>
      <c r="J15" s="11">
        <f>MAX(0,M15-N15)</f>
        <v/>
      </c>
      <c r="K15" s="11">
        <f>O15</f>
        <v/>
      </c>
      <c r="L15" s="11">
        <f>L14+IF(K15&gt;0,K15*Summary!$B$9,K15/Summary!$B$9)</f>
        <v/>
      </c>
      <c r="M15" s="11">
        <f>G15+H15</f>
        <v/>
      </c>
      <c r="N15" s="11">
        <f>Summary!$C$16*Summary!$B$8</f>
        <v/>
      </c>
      <c r="O15" s="11">
        <f>M15-N15</f>
        <v/>
      </c>
    </row>
    <row r="16">
      <c r="A16" s="9" t="n">
        <v>45292.58333333334</v>
      </c>
      <c r="B16" t="n">
        <v>1</v>
      </c>
      <c r="C16" t="n">
        <v>1</v>
      </c>
      <c r="D16" t="n">
        <v>14</v>
      </c>
      <c r="E16" s="10" t="n">
        <v>0.07187499999999999</v>
      </c>
      <c r="F16" s="10" t="n">
        <v>0.3582818779876507</v>
      </c>
      <c r="G16" s="11">
        <f>E16*Summary!$B$6</f>
        <v/>
      </c>
      <c r="H16" s="11">
        <f>F16*Summary!$B$7</f>
        <v/>
      </c>
      <c r="I16" s="11">
        <f>MAX(0,N16-M16)</f>
        <v/>
      </c>
      <c r="J16" s="11">
        <f>MAX(0,M16-N16)</f>
        <v/>
      </c>
      <c r="K16" s="11">
        <f>O16</f>
        <v/>
      </c>
      <c r="L16" s="11">
        <f>L15+IF(K16&gt;0,K16*Summary!$B$9,K16/Summary!$B$9)</f>
        <v/>
      </c>
      <c r="M16" s="11">
        <f>G16+H16</f>
        <v/>
      </c>
      <c r="N16" s="11">
        <f>Summary!$C$16*Summary!$B$8</f>
        <v/>
      </c>
      <c r="O16" s="11">
        <f>M16-N16</f>
        <v/>
      </c>
    </row>
    <row r="17">
      <c r="A17" s="9" t="n">
        <v>45292.625</v>
      </c>
      <c r="B17" t="n">
        <v>1</v>
      </c>
      <c r="C17" t="n">
        <v>1</v>
      </c>
      <c r="D17" t="n">
        <v>15</v>
      </c>
      <c r="E17" s="10" t="n">
        <v>0</v>
      </c>
      <c r="F17" s="10" t="n">
        <v>0.37356604165585</v>
      </c>
      <c r="G17" s="11">
        <f>E17*Summary!$B$6</f>
        <v/>
      </c>
      <c r="H17" s="11">
        <f>F17*Summary!$B$7</f>
        <v/>
      </c>
      <c r="I17" s="11">
        <f>MAX(0,N17-M17)</f>
        <v/>
      </c>
      <c r="J17" s="11">
        <f>MAX(0,M17-N17)</f>
        <v/>
      </c>
      <c r="K17" s="11">
        <f>O17</f>
        <v/>
      </c>
      <c r="L17" s="11">
        <f>L16+IF(K17&gt;0,K17*Summary!$B$9,K17/Summary!$B$9)</f>
        <v/>
      </c>
      <c r="M17" s="11">
        <f>G17+H17</f>
        <v/>
      </c>
      <c r="N17" s="11">
        <f>Summary!$C$16*Summary!$B$8</f>
        <v/>
      </c>
      <c r="O17" s="11">
        <f>M17-N17</f>
        <v/>
      </c>
    </row>
    <row r="18">
      <c r="A18" s="9" t="n">
        <v>45292.66666666666</v>
      </c>
      <c r="B18" t="n">
        <v>1</v>
      </c>
      <c r="C18" t="n">
        <v>1</v>
      </c>
      <c r="D18" t="n">
        <v>16</v>
      </c>
      <c r="E18" s="10" t="n">
        <v>0</v>
      </c>
      <c r="F18" s="10" t="n">
        <v>0.3867947488307397</v>
      </c>
      <c r="G18" s="11">
        <f>E18*Summary!$B$6</f>
        <v/>
      </c>
      <c r="H18" s="11">
        <f>F18*Summary!$B$7</f>
        <v/>
      </c>
      <c r="I18" s="11">
        <f>MAX(0,N18-M18)</f>
        <v/>
      </c>
      <c r="J18" s="11">
        <f>MAX(0,M18-N18)</f>
        <v/>
      </c>
      <c r="K18" s="11">
        <f>O18</f>
        <v/>
      </c>
      <c r="L18" s="11">
        <f>L17+IF(K18&gt;0,K18*Summary!$B$9,K18/Summary!$B$9)</f>
        <v/>
      </c>
      <c r="M18" s="11">
        <f>G18+H18</f>
        <v/>
      </c>
      <c r="N18" s="11">
        <f>Summary!$C$16*Summary!$B$8</f>
        <v/>
      </c>
      <c r="O18" s="11">
        <f>M18-N18</f>
        <v/>
      </c>
    </row>
    <row r="19">
      <c r="A19" s="9" t="n">
        <v>45292.70833333334</v>
      </c>
      <c r="B19" t="n">
        <v>1</v>
      </c>
      <c r="C19" t="n">
        <v>1</v>
      </c>
      <c r="D19" t="n">
        <v>17</v>
      </c>
      <c r="E19" s="10" t="n">
        <v>0</v>
      </c>
      <c r="F19" s="10" t="n">
        <v>0.4030539367329448</v>
      </c>
      <c r="G19" s="11">
        <f>E19*Summary!$B$6</f>
        <v/>
      </c>
      <c r="H19" s="11">
        <f>F19*Summary!$B$7</f>
        <v/>
      </c>
      <c r="I19" s="11">
        <f>MAX(0,N19-M19)</f>
        <v/>
      </c>
      <c r="J19" s="11">
        <f>MAX(0,M19-N19)</f>
        <v/>
      </c>
      <c r="K19" s="11">
        <f>O19</f>
        <v/>
      </c>
      <c r="L19" s="11">
        <f>L18+IF(K19&gt;0,K19*Summary!$B$9,K19/Summary!$B$9)</f>
        <v/>
      </c>
      <c r="M19" s="11">
        <f>G19+H19</f>
        <v/>
      </c>
      <c r="N19" s="11">
        <f>Summary!$C$16*Summary!$B$8</f>
        <v/>
      </c>
      <c r="O19" s="11">
        <f>M19-N19</f>
        <v/>
      </c>
    </row>
    <row r="20">
      <c r="A20" s="9" t="n">
        <v>45292.75</v>
      </c>
      <c r="B20" t="n">
        <v>1</v>
      </c>
      <c r="C20" t="n">
        <v>1</v>
      </c>
      <c r="D20" t="n">
        <v>18</v>
      </c>
      <c r="E20" s="10" t="n">
        <v>0</v>
      </c>
      <c r="F20" s="10" t="n">
        <v>0.4224490133877632</v>
      </c>
      <c r="G20" s="11">
        <f>E20*Summary!$B$6</f>
        <v/>
      </c>
      <c r="H20" s="11">
        <f>F20*Summary!$B$7</f>
        <v/>
      </c>
      <c r="I20" s="11">
        <f>MAX(0,N20-M20)</f>
        <v/>
      </c>
      <c r="J20" s="11">
        <f>MAX(0,M20-N20)</f>
        <v/>
      </c>
      <c r="K20" s="11">
        <f>O20</f>
        <v/>
      </c>
      <c r="L20" s="11">
        <f>L19+IF(K20&gt;0,K20*Summary!$B$9,K20/Summary!$B$9)</f>
        <v/>
      </c>
      <c r="M20" s="11">
        <f>G20+H20</f>
        <v/>
      </c>
      <c r="N20" s="11">
        <f>Summary!$C$16*Summary!$B$8</f>
        <v/>
      </c>
      <c r="O20" s="11">
        <f>M20-N20</f>
        <v/>
      </c>
    </row>
    <row r="21">
      <c r="A21" s="9" t="n">
        <v>45292.79166666666</v>
      </c>
      <c r="B21" t="n">
        <v>1</v>
      </c>
      <c r="C21" t="n">
        <v>1</v>
      </c>
      <c r="D21" t="n">
        <v>19</v>
      </c>
      <c r="E21" s="10" t="n">
        <v>0</v>
      </c>
      <c r="F21" s="10" t="n">
        <v>0.4370743768978504</v>
      </c>
      <c r="G21" s="11">
        <f>E21*Summary!$B$6</f>
        <v/>
      </c>
      <c r="H21" s="11">
        <f>F21*Summary!$B$7</f>
        <v/>
      </c>
      <c r="I21" s="11">
        <f>MAX(0,N21-M21)</f>
        <v/>
      </c>
      <c r="J21" s="11">
        <f>MAX(0,M21-N21)</f>
        <v/>
      </c>
      <c r="K21" s="11">
        <f>O21</f>
        <v/>
      </c>
      <c r="L21" s="11">
        <f>L20+IF(K21&gt;0,K21*Summary!$B$9,K21/Summary!$B$9)</f>
        <v/>
      </c>
      <c r="M21" s="11">
        <f>G21+H21</f>
        <v/>
      </c>
      <c r="N21" s="11">
        <f>Summary!$C$16*Summary!$B$8</f>
        <v/>
      </c>
      <c r="O21" s="11">
        <f>M21-N21</f>
        <v/>
      </c>
    </row>
    <row r="22">
      <c r="A22" s="9" t="n">
        <v>45292.83333333334</v>
      </c>
      <c r="B22" t="n">
        <v>1</v>
      </c>
      <c r="C22" t="n">
        <v>1</v>
      </c>
      <c r="D22" t="n">
        <v>20</v>
      </c>
      <c r="E22" s="10" t="n">
        <v>0</v>
      </c>
      <c r="F22" s="10" t="n">
        <v>0.4186543244770379</v>
      </c>
      <c r="G22" s="11">
        <f>E22*Summary!$B$6</f>
        <v/>
      </c>
      <c r="H22" s="11">
        <f>F22*Summary!$B$7</f>
        <v/>
      </c>
      <c r="I22" s="11">
        <f>MAX(0,N22-M22)</f>
        <v/>
      </c>
      <c r="J22" s="11">
        <f>MAX(0,M22-N22)</f>
        <v/>
      </c>
      <c r="K22" s="11">
        <f>O22</f>
        <v/>
      </c>
      <c r="L22" s="11">
        <f>L21+IF(K22&gt;0,K22*Summary!$B$9,K22/Summary!$B$9)</f>
        <v/>
      </c>
      <c r="M22" s="11">
        <f>G22+H22</f>
        <v/>
      </c>
      <c r="N22" s="11">
        <f>Summary!$C$16*Summary!$B$8</f>
        <v/>
      </c>
      <c r="O22" s="11">
        <f>M22-N22</f>
        <v/>
      </c>
    </row>
    <row r="23">
      <c r="A23" s="9" t="n">
        <v>45292.875</v>
      </c>
      <c r="B23" t="n">
        <v>1</v>
      </c>
      <c r="C23" t="n">
        <v>1</v>
      </c>
      <c r="D23" t="n">
        <v>21</v>
      </c>
      <c r="E23" s="10" t="n">
        <v>0</v>
      </c>
      <c r="F23" s="10" t="n">
        <v>0.4662987519117004</v>
      </c>
      <c r="G23" s="11">
        <f>E23*Summary!$B$6</f>
        <v/>
      </c>
      <c r="H23" s="11">
        <f>F23*Summary!$B$7</f>
        <v/>
      </c>
      <c r="I23" s="11">
        <f>MAX(0,N23-M23)</f>
        <v/>
      </c>
      <c r="J23" s="11">
        <f>MAX(0,M23-N23)</f>
        <v/>
      </c>
      <c r="K23" s="11">
        <f>O23</f>
        <v/>
      </c>
      <c r="L23" s="11">
        <f>L22+IF(K23&gt;0,K23*Summary!$B$9,K23/Summary!$B$9)</f>
        <v/>
      </c>
      <c r="M23" s="11">
        <f>G23+H23</f>
        <v/>
      </c>
      <c r="N23" s="11">
        <f>Summary!$C$16*Summary!$B$8</f>
        <v/>
      </c>
      <c r="O23" s="11">
        <f>M23-N23</f>
        <v/>
      </c>
    </row>
    <row r="24">
      <c r="A24" s="9" t="n">
        <v>45292.91666666666</v>
      </c>
      <c r="B24" t="n">
        <v>1</v>
      </c>
      <c r="C24" t="n">
        <v>1</v>
      </c>
      <c r="D24" t="n">
        <v>22</v>
      </c>
      <c r="E24" s="10" t="n">
        <v>0</v>
      </c>
      <c r="F24" s="10" t="n">
        <v>0.4718326732398415</v>
      </c>
      <c r="G24" s="11">
        <f>E24*Summary!$B$6</f>
        <v/>
      </c>
      <c r="H24" s="11">
        <f>F24*Summary!$B$7</f>
        <v/>
      </c>
      <c r="I24" s="11">
        <f>MAX(0,N24-M24)</f>
        <v/>
      </c>
      <c r="J24" s="11">
        <f>MAX(0,M24-N24)</f>
        <v/>
      </c>
      <c r="K24" s="11">
        <f>O24</f>
        <v/>
      </c>
      <c r="L24" s="11">
        <f>L23+IF(K24&gt;0,K24*Summary!$B$9,K24/Summary!$B$9)</f>
        <v/>
      </c>
      <c r="M24" s="11">
        <f>G24+H24</f>
        <v/>
      </c>
      <c r="N24" s="11">
        <f>Summary!$C$16*Summary!$B$8</f>
        <v/>
      </c>
      <c r="O24" s="11">
        <f>M24-N24</f>
        <v/>
      </c>
    </row>
    <row r="25">
      <c r="A25" s="9" t="n">
        <v>45292.95833333334</v>
      </c>
      <c r="B25" t="n">
        <v>1</v>
      </c>
      <c r="C25" t="n">
        <v>1</v>
      </c>
      <c r="D25" t="n">
        <v>23</v>
      </c>
      <c r="E25" s="10" t="n">
        <v>0</v>
      </c>
      <c r="F25" s="10" t="n">
        <v>0.476180754283381</v>
      </c>
      <c r="G25" s="11">
        <f>E25*Summary!$B$6</f>
        <v/>
      </c>
      <c r="H25" s="11">
        <f>F25*Summary!$B$7</f>
        <v/>
      </c>
      <c r="I25" s="11">
        <f>MAX(0,N25-M25)</f>
        <v/>
      </c>
      <c r="J25" s="11">
        <f>MAX(0,M25-N25)</f>
        <v/>
      </c>
      <c r="K25" s="11">
        <f>O25</f>
        <v/>
      </c>
      <c r="L25" s="11">
        <f>L24+IF(K25&gt;0,K25*Summary!$B$9,K25/Summary!$B$9)</f>
        <v/>
      </c>
      <c r="M25" s="11">
        <f>G25+H25</f>
        <v/>
      </c>
      <c r="N25" s="11">
        <f>Summary!$C$16*Summary!$B$8</f>
        <v/>
      </c>
      <c r="O25" s="11">
        <f>M25-N25</f>
        <v/>
      </c>
    </row>
    <row r="26">
      <c r="A26" s="9" t="n">
        <v>45293</v>
      </c>
      <c r="B26" t="n">
        <v>1</v>
      </c>
      <c r="C26" t="n">
        <v>2</v>
      </c>
      <c r="D26" t="n">
        <v>0</v>
      </c>
      <c r="E26" s="10" t="n">
        <v>0</v>
      </c>
      <c r="F26" s="10" t="n">
        <v>0.3902732136655713</v>
      </c>
      <c r="G26" s="11">
        <f>E26*Summary!$B$6</f>
        <v/>
      </c>
      <c r="H26" s="11">
        <f>F26*Summary!$B$7</f>
        <v/>
      </c>
      <c r="I26" s="11">
        <f>MAX(0,N26-M26)</f>
        <v/>
      </c>
      <c r="J26" s="11">
        <f>MAX(0,M26-N26)</f>
        <v/>
      </c>
      <c r="K26" s="11">
        <f>O26</f>
        <v/>
      </c>
      <c r="L26" s="11">
        <f>L25+IF(K26&gt;0,K26*Summary!$B$9,K26/Summary!$B$9)</f>
        <v/>
      </c>
      <c r="M26" s="11">
        <f>G26+H26</f>
        <v/>
      </c>
      <c r="N26" s="11">
        <f>Summary!$C$16*Summary!$B$8</f>
        <v/>
      </c>
      <c r="O26" s="11">
        <f>M26-N26</f>
        <v/>
      </c>
    </row>
    <row r="27">
      <c r="A27" s="9" t="n">
        <v>45293.04166666666</v>
      </c>
      <c r="B27" t="n">
        <v>1</v>
      </c>
      <c r="C27" t="n">
        <v>2</v>
      </c>
      <c r="D27" t="n">
        <v>1</v>
      </c>
      <c r="E27" s="10" t="n">
        <v>0</v>
      </c>
      <c r="F27" s="10" t="n">
        <v>0.4639797753551461</v>
      </c>
      <c r="G27" s="11">
        <f>E27*Summary!$B$6</f>
        <v/>
      </c>
      <c r="H27" s="11">
        <f>F27*Summary!$B$7</f>
        <v/>
      </c>
      <c r="I27" s="11">
        <f>MAX(0,N27-M27)</f>
        <v/>
      </c>
      <c r="J27" s="11">
        <f>MAX(0,M27-N27)</f>
        <v/>
      </c>
      <c r="K27" s="11">
        <f>O27</f>
        <v/>
      </c>
      <c r="L27" s="11">
        <f>L26+IF(K27&gt;0,K27*Summary!$B$9,K27/Summary!$B$9)</f>
        <v/>
      </c>
      <c r="M27" s="11">
        <f>G27+H27</f>
        <v/>
      </c>
      <c r="N27" s="11">
        <f>Summary!$C$16*Summary!$B$8</f>
        <v/>
      </c>
      <c r="O27" s="11">
        <f>M27-N27</f>
        <v/>
      </c>
    </row>
    <row r="28">
      <c r="A28" s="9" t="n">
        <v>45293.08333333334</v>
      </c>
      <c r="B28" t="n">
        <v>1</v>
      </c>
      <c r="C28" t="n">
        <v>2</v>
      </c>
      <c r="D28" t="n">
        <v>2</v>
      </c>
      <c r="E28" s="10" t="n">
        <v>0</v>
      </c>
      <c r="F28" s="10" t="n">
        <v>0.4588411341218722</v>
      </c>
      <c r="G28" s="11">
        <f>E28*Summary!$B$6</f>
        <v/>
      </c>
      <c r="H28" s="11">
        <f>F28*Summary!$B$7</f>
        <v/>
      </c>
      <c r="I28" s="11">
        <f>MAX(0,N28-M28)</f>
        <v/>
      </c>
      <c r="J28" s="11">
        <f>MAX(0,M28-N28)</f>
        <v/>
      </c>
      <c r="K28" s="11">
        <f>O28</f>
        <v/>
      </c>
      <c r="L28" s="11">
        <f>L27+IF(K28&gt;0,K28*Summary!$B$9,K28/Summary!$B$9)</f>
        <v/>
      </c>
      <c r="M28" s="11">
        <f>G28+H28</f>
        <v/>
      </c>
      <c r="N28" s="11">
        <f>Summary!$C$16*Summary!$B$8</f>
        <v/>
      </c>
      <c r="O28" s="11">
        <f>M28-N28</f>
        <v/>
      </c>
    </row>
    <row r="29">
      <c r="A29" s="9" t="n">
        <v>45293.125</v>
      </c>
      <c r="B29" t="n">
        <v>1</v>
      </c>
      <c r="C29" t="n">
        <v>2</v>
      </c>
      <c r="D29" t="n">
        <v>3</v>
      </c>
      <c r="E29" s="10" t="n">
        <v>0</v>
      </c>
      <c r="F29" s="10" t="n">
        <v>0.4636899032855767</v>
      </c>
      <c r="G29" s="11">
        <f>E29*Summary!$B$6</f>
        <v/>
      </c>
      <c r="H29" s="11">
        <f>F29*Summary!$B$7</f>
        <v/>
      </c>
      <c r="I29" s="11">
        <f>MAX(0,N29-M29)</f>
        <v/>
      </c>
      <c r="J29" s="11">
        <f>MAX(0,M29-N29)</f>
        <v/>
      </c>
      <c r="K29" s="11">
        <f>O29</f>
        <v/>
      </c>
      <c r="L29" s="11">
        <f>L28+IF(K29&gt;0,K29*Summary!$B$9,K29/Summary!$B$9)</f>
        <v/>
      </c>
      <c r="M29" s="11">
        <f>G29+H29</f>
        <v/>
      </c>
      <c r="N29" s="11">
        <f>Summary!$C$16*Summary!$B$8</f>
        <v/>
      </c>
      <c r="O29" s="11">
        <f>M29-N29</f>
        <v/>
      </c>
    </row>
    <row r="30">
      <c r="A30" s="9" t="n">
        <v>45293.16666666666</v>
      </c>
      <c r="B30" t="n">
        <v>1</v>
      </c>
      <c r="C30" t="n">
        <v>2</v>
      </c>
      <c r="D30" t="n">
        <v>4</v>
      </c>
      <c r="E30" s="10" t="n">
        <v>0</v>
      </c>
      <c r="F30" s="10" t="n">
        <v>0.4487483156995958</v>
      </c>
      <c r="G30" s="11">
        <f>E30*Summary!$B$6</f>
        <v/>
      </c>
      <c r="H30" s="11">
        <f>F30*Summary!$B$7</f>
        <v/>
      </c>
      <c r="I30" s="11">
        <f>MAX(0,N30-M30)</f>
        <v/>
      </c>
      <c r="J30" s="11">
        <f>MAX(0,M30-N30)</f>
        <v/>
      </c>
      <c r="K30" s="11">
        <f>O30</f>
        <v/>
      </c>
      <c r="L30" s="11">
        <f>L29+IF(K30&gt;0,K30*Summary!$B$9,K30/Summary!$B$9)</f>
        <v/>
      </c>
      <c r="M30" s="11">
        <f>G30+H30</f>
        <v/>
      </c>
      <c r="N30" s="11">
        <f>Summary!$C$16*Summary!$B$8</f>
        <v/>
      </c>
      <c r="O30" s="11">
        <f>M30-N30</f>
        <v/>
      </c>
    </row>
    <row r="31">
      <c r="A31" s="9" t="n">
        <v>45293.20833333334</v>
      </c>
      <c r="B31" t="n">
        <v>1</v>
      </c>
      <c r="C31" t="n">
        <v>2</v>
      </c>
      <c r="D31" t="n">
        <v>5</v>
      </c>
      <c r="E31" s="10" t="n">
        <v>0</v>
      </c>
      <c r="F31" s="10" t="n">
        <v>0.4470881393011534</v>
      </c>
      <c r="G31" s="11">
        <f>E31*Summary!$B$6</f>
        <v/>
      </c>
      <c r="H31" s="11">
        <f>F31*Summary!$B$7</f>
        <v/>
      </c>
      <c r="I31" s="11">
        <f>MAX(0,N31-M31)</f>
        <v/>
      </c>
      <c r="J31" s="11">
        <f>MAX(0,M31-N31)</f>
        <v/>
      </c>
      <c r="K31" s="11">
        <f>O31</f>
        <v/>
      </c>
      <c r="L31" s="11">
        <f>L30+IF(K31&gt;0,K31*Summary!$B$9,K31/Summary!$B$9)</f>
        <v/>
      </c>
      <c r="M31" s="11">
        <f>G31+H31</f>
        <v/>
      </c>
      <c r="N31" s="11">
        <f>Summary!$C$16*Summary!$B$8</f>
        <v/>
      </c>
      <c r="O31" s="11">
        <f>M31-N31</f>
        <v/>
      </c>
    </row>
    <row r="32">
      <c r="A32" s="9" t="n">
        <v>45293.25</v>
      </c>
      <c r="B32" t="n">
        <v>1</v>
      </c>
      <c r="C32" t="n">
        <v>2</v>
      </c>
      <c r="D32" t="n">
        <v>6</v>
      </c>
      <c r="E32" s="10" t="n">
        <v>0</v>
      </c>
      <c r="F32" s="10" t="n">
        <v>0.447667883440292</v>
      </c>
      <c r="G32" s="11">
        <f>E32*Summary!$B$6</f>
        <v/>
      </c>
      <c r="H32" s="11">
        <f>F32*Summary!$B$7</f>
        <v/>
      </c>
      <c r="I32" s="11">
        <f>MAX(0,N32-M32)</f>
        <v/>
      </c>
      <c r="J32" s="11">
        <f>MAX(0,M32-N32)</f>
        <v/>
      </c>
      <c r="K32" s="11">
        <f>O32</f>
        <v/>
      </c>
      <c r="L32" s="11">
        <f>L31+IF(K32&gt;0,K32*Summary!$B$9,K32/Summary!$B$9)</f>
        <v/>
      </c>
      <c r="M32" s="11">
        <f>G32+H32</f>
        <v/>
      </c>
      <c r="N32" s="11">
        <f>Summary!$C$16*Summary!$B$8</f>
        <v/>
      </c>
      <c r="O32" s="11">
        <f>M32-N32</f>
        <v/>
      </c>
    </row>
    <row r="33">
      <c r="A33" s="9" t="n">
        <v>45293.29166666666</v>
      </c>
      <c r="B33" t="n">
        <v>1</v>
      </c>
      <c r="C33" t="n">
        <v>2</v>
      </c>
      <c r="D33" t="n">
        <v>7</v>
      </c>
      <c r="E33" s="10" t="n">
        <v>0</v>
      </c>
      <c r="F33" s="10" t="n">
        <v>0.4430826343398322</v>
      </c>
      <c r="G33" s="11">
        <f>E33*Summary!$B$6</f>
        <v/>
      </c>
      <c r="H33" s="11">
        <f>F33*Summary!$B$7</f>
        <v/>
      </c>
      <c r="I33" s="11">
        <f>MAX(0,N33-M33)</f>
        <v/>
      </c>
      <c r="J33" s="11">
        <f>MAX(0,M33-N33)</f>
        <v/>
      </c>
      <c r="K33" s="11">
        <f>O33</f>
        <v/>
      </c>
      <c r="L33" s="11">
        <f>L32+IF(K33&gt;0,K33*Summary!$B$9,K33/Summary!$B$9)</f>
        <v/>
      </c>
      <c r="M33" s="11">
        <f>G33+H33</f>
        <v/>
      </c>
      <c r="N33" s="11">
        <f>Summary!$C$16*Summary!$B$8</f>
        <v/>
      </c>
      <c r="O33" s="11">
        <f>M33-N33</f>
        <v/>
      </c>
    </row>
    <row r="34">
      <c r="A34" s="9" t="n">
        <v>45293.33333333334</v>
      </c>
      <c r="B34" t="n">
        <v>1</v>
      </c>
      <c r="C34" t="n">
        <v>2</v>
      </c>
      <c r="D34" t="n">
        <v>8</v>
      </c>
      <c r="E34" s="10" t="n">
        <v>0</v>
      </c>
      <c r="F34" s="10" t="n">
        <v>0.4404474337073841</v>
      </c>
      <c r="G34" s="11">
        <f>E34*Summary!$B$6</f>
        <v/>
      </c>
      <c r="H34" s="11">
        <f>F34*Summary!$B$7</f>
        <v/>
      </c>
      <c r="I34" s="11">
        <f>MAX(0,N34-M34)</f>
        <v/>
      </c>
      <c r="J34" s="11">
        <f>MAX(0,M34-N34)</f>
        <v/>
      </c>
      <c r="K34" s="11">
        <f>O34</f>
        <v/>
      </c>
      <c r="L34" s="11">
        <f>L33+IF(K34&gt;0,K34*Summary!$B$9,K34/Summary!$B$9)</f>
        <v/>
      </c>
      <c r="M34" s="11">
        <f>G34+H34</f>
        <v/>
      </c>
      <c r="N34" s="11">
        <f>Summary!$C$16*Summary!$B$8</f>
        <v/>
      </c>
      <c r="O34" s="11">
        <f>M34-N34</f>
        <v/>
      </c>
    </row>
    <row r="35">
      <c r="A35" s="9" t="n">
        <v>45293.375</v>
      </c>
      <c r="B35" t="n">
        <v>1</v>
      </c>
      <c r="C35" t="n">
        <v>2</v>
      </c>
      <c r="D35" t="n">
        <v>9</v>
      </c>
      <c r="E35" s="10" t="n">
        <v>0.032737</v>
      </c>
      <c r="F35" s="10" t="n">
        <v>0.4378385850812604</v>
      </c>
      <c r="G35" s="11">
        <f>E35*Summary!$B$6</f>
        <v/>
      </c>
      <c r="H35" s="11">
        <f>F35*Summary!$B$7</f>
        <v/>
      </c>
      <c r="I35" s="11">
        <f>MAX(0,N35-M35)</f>
        <v/>
      </c>
      <c r="J35" s="11">
        <f>MAX(0,M35-N35)</f>
        <v/>
      </c>
      <c r="K35" s="11">
        <f>O35</f>
        <v/>
      </c>
      <c r="L35" s="11">
        <f>L34+IF(K35&gt;0,K35*Summary!$B$9,K35/Summary!$B$9)</f>
        <v/>
      </c>
      <c r="M35" s="11">
        <f>G35+H35</f>
        <v/>
      </c>
      <c r="N35" s="11">
        <f>Summary!$C$16*Summary!$B$8</f>
        <v/>
      </c>
      <c r="O35" s="11">
        <f>M35-N35</f>
        <v/>
      </c>
    </row>
    <row r="36">
      <c r="A36" s="9" t="n">
        <v>45293.41666666666</v>
      </c>
      <c r="B36" t="n">
        <v>1</v>
      </c>
      <c r="C36" t="n">
        <v>2</v>
      </c>
      <c r="D36" t="n">
        <v>10</v>
      </c>
      <c r="E36" s="10" t="n">
        <v>0.124153</v>
      </c>
      <c r="F36" s="10" t="n">
        <v>0.4291951270068304</v>
      </c>
      <c r="G36" s="11">
        <f>E36*Summary!$B$6</f>
        <v/>
      </c>
      <c r="H36" s="11">
        <f>F36*Summary!$B$7</f>
        <v/>
      </c>
      <c r="I36" s="11">
        <f>MAX(0,N36-M36)</f>
        <v/>
      </c>
      <c r="J36" s="11">
        <f>MAX(0,M36-N36)</f>
        <v/>
      </c>
      <c r="K36" s="11">
        <f>O36</f>
        <v/>
      </c>
      <c r="L36" s="11">
        <f>L35+IF(K36&gt;0,K36*Summary!$B$9,K36/Summary!$B$9)</f>
        <v/>
      </c>
      <c r="M36" s="11">
        <f>G36+H36</f>
        <v/>
      </c>
      <c r="N36" s="11">
        <f>Summary!$C$16*Summary!$B$8</f>
        <v/>
      </c>
      <c r="O36" s="11">
        <f>M36-N36</f>
        <v/>
      </c>
    </row>
    <row r="37">
      <c r="A37" s="9" t="n">
        <v>45293.45833333334</v>
      </c>
      <c r="B37" t="n">
        <v>1</v>
      </c>
      <c r="C37" t="n">
        <v>2</v>
      </c>
      <c r="D37" t="n">
        <v>11</v>
      </c>
      <c r="E37" s="10" t="n">
        <v>0.18841</v>
      </c>
      <c r="F37" s="10" t="n">
        <v>0.4158346598003183</v>
      </c>
      <c r="G37" s="11">
        <f>E37*Summary!$B$6</f>
        <v/>
      </c>
      <c r="H37" s="11">
        <f>F37*Summary!$B$7</f>
        <v/>
      </c>
      <c r="I37" s="11">
        <f>MAX(0,N37-M37)</f>
        <v/>
      </c>
      <c r="J37" s="11">
        <f>MAX(0,M37-N37)</f>
        <v/>
      </c>
      <c r="K37" s="11">
        <f>O37</f>
        <v/>
      </c>
      <c r="L37" s="11">
        <f>L36+IF(K37&gt;0,K37*Summary!$B$9,K37/Summary!$B$9)</f>
        <v/>
      </c>
      <c r="M37" s="11">
        <f>G37+H37</f>
        <v/>
      </c>
      <c r="N37" s="11">
        <f>Summary!$C$16*Summary!$B$8</f>
        <v/>
      </c>
      <c r="O37" s="11">
        <f>M37-N37</f>
        <v/>
      </c>
    </row>
    <row r="38">
      <c r="A38" s="9" t="n">
        <v>45293.5</v>
      </c>
      <c r="B38" t="n">
        <v>1</v>
      </c>
      <c r="C38" t="n">
        <v>2</v>
      </c>
      <c r="D38" t="n">
        <v>12</v>
      </c>
      <c r="E38" s="10" t="n">
        <v>0.204524</v>
      </c>
      <c r="F38" s="10" t="n">
        <v>0.4058472494033398</v>
      </c>
      <c r="G38" s="11">
        <f>E38*Summary!$B$6</f>
        <v/>
      </c>
      <c r="H38" s="11">
        <f>F38*Summary!$B$7</f>
        <v/>
      </c>
      <c r="I38" s="11">
        <f>MAX(0,N38-M38)</f>
        <v/>
      </c>
      <c r="J38" s="11">
        <f>MAX(0,M38-N38)</f>
        <v/>
      </c>
      <c r="K38" s="11">
        <f>O38</f>
        <v/>
      </c>
      <c r="L38" s="11">
        <f>L37+IF(K38&gt;0,K38*Summary!$B$9,K38/Summary!$B$9)</f>
        <v/>
      </c>
      <c r="M38" s="11">
        <f>G38+H38</f>
        <v/>
      </c>
      <c r="N38" s="11">
        <f>Summary!$C$16*Summary!$B$8</f>
        <v/>
      </c>
      <c r="O38" s="11">
        <f>M38-N38</f>
        <v/>
      </c>
    </row>
    <row r="39">
      <c r="A39" s="9" t="n">
        <v>45293.54166666666</v>
      </c>
      <c r="B39" t="n">
        <v>1</v>
      </c>
      <c r="C39" t="n">
        <v>2</v>
      </c>
      <c r="D39" t="n">
        <v>13</v>
      </c>
      <c r="E39" s="10" t="n">
        <v>0.159605</v>
      </c>
      <c r="F39" s="10" t="n">
        <v>0.4015518723724494</v>
      </c>
      <c r="G39" s="11">
        <f>E39*Summary!$B$6</f>
        <v/>
      </c>
      <c r="H39" s="11">
        <f>F39*Summary!$B$7</f>
        <v/>
      </c>
      <c r="I39" s="11">
        <f>MAX(0,N39-M39)</f>
        <v/>
      </c>
      <c r="J39" s="11">
        <f>MAX(0,M39-N39)</f>
        <v/>
      </c>
      <c r="K39" s="11">
        <f>O39</f>
        <v/>
      </c>
      <c r="L39" s="11">
        <f>L38+IF(K39&gt;0,K39*Summary!$B$9,K39/Summary!$B$9)</f>
        <v/>
      </c>
      <c r="M39" s="11">
        <f>G39+H39</f>
        <v/>
      </c>
      <c r="N39" s="11">
        <f>Summary!$C$16*Summary!$B$8</f>
        <v/>
      </c>
      <c r="O39" s="11">
        <f>M39-N39</f>
        <v/>
      </c>
    </row>
    <row r="40">
      <c r="A40" s="9" t="n">
        <v>45293.58333333334</v>
      </c>
      <c r="B40" t="n">
        <v>1</v>
      </c>
      <c r="C40" t="n">
        <v>2</v>
      </c>
      <c r="D40" t="n">
        <v>14</v>
      </c>
      <c r="E40" s="10" t="n">
        <v>0.078122</v>
      </c>
      <c r="F40" s="10" t="n">
        <v>0.4016836324040718</v>
      </c>
      <c r="G40" s="11">
        <f>E40*Summary!$B$6</f>
        <v/>
      </c>
      <c r="H40" s="11">
        <f>F40*Summary!$B$7</f>
        <v/>
      </c>
      <c r="I40" s="11">
        <f>MAX(0,N40-M40)</f>
        <v/>
      </c>
      <c r="J40" s="11">
        <f>MAX(0,M40-N40)</f>
        <v/>
      </c>
      <c r="K40" s="11">
        <f>O40</f>
        <v/>
      </c>
      <c r="L40" s="11">
        <f>L39+IF(K40&gt;0,K40*Summary!$B$9,K40/Summary!$B$9)</f>
        <v/>
      </c>
      <c r="M40" s="11">
        <f>G40+H40</f>
        <v/>
      </c>
      <c r="N40" s="11">
        <f>Summary!$C$16*Summary!$B$8</f>
        <v/>
      </c>
      <c r="O40" s="11">
        <f>M40-N40</f>
        <v/>
      </c>
    </row>
    <row r="41">
      <c r="A41" s="9" t="n">
        <v>45293.625</v>
      </c>
      <c r="B41" t="n">
        <v>1</v>
      </c>
      <c r="C41" t="n">
        <v>2</v>
      </c>
      <c r="D41" t="n">
        <v>15</v>
      </c>
      <c r="E41" s="10" t="n">
        <v>0</v>
      </c>
      <c r="F41" s="10" t="n">
        <v>0.4104061464974751</v>
      </c>
      <c r="G41" s="11">
        <f>E41*Summary!$B$6</f>
        <v/>
      </c>
      <c r="H41" s="11">
        <f>F41*Summary!$B$7</f>
        <v/>
      </c>
      <c r="I41" s="11">
        <f>MAX(0,N41-M41)</f>
        <v/>
      </c>
      <c r="J41" s="11">
        <f>MAX(0,M41-N41)</f>
        <v/>
      </c>
      <c r="K41" s="11">
        <f>O41</f>
        <v/>
      </c>
      <c r="L41" s="11">
        <f>L40+IF(K41&gt;0,K41*Summary!$B$9,K41/Summary!$B$9)</f>
        <v/>
      </c>
      <c r="M41" s="11">
        <f>G41+H41</f>
        <v/>
      </c>
      <c r="N41" s="11">
        <f>Summary!$C$16*Summary!$B$8</f>
        <v/>
      </c>
      <c r="O41" s="11">
        <f>M41-N41</f>
        <v/>
      </c>
    </row>
    <row r="42">
      <c r="A42" s="9" t="n">
        <v>45293.66666666666</v>
      </c>
      <c r="B42" t="n">
        <v>1</v>
      </c>
      <c r="C42" t="n">
        <v>2</v>
      </c>
      <c r="D42" t="n">
        <v>16</v>
      </c>
      <c r="E42" s="10" t="n">
        <v>0</v>
      </c>
      <c r="F42" s="10" t="n">
        <v>0.4135947392627374</v>
      </c>
      <c r="G42" s="11">
        <f>E42*Summary!$B$6</f>
        <v/>
      </c>
      <c r="H42" s="11">
        <f>F42*Summary!$B$7</f>
        <v/>
      </c>
      <c r="I42" s="11">
        <f>MAX(0,N42-M42)</f>
        <v/>
      </c>
      <c r="J42" s="11">
        <f>MAX(0,M42-N42)</f>
        <v/>
      </c>
      <c r="K42" s="11">
        <f>O42</f>
        <v/>
      </c>
      <c r="L42" s="11">
        <f>L41+IF(K42&gt;0,K42*Summary!$B$9,K42/Summary!$B$9)</f>
        <v/>
      </c>
      <c r="M42" s="11">
        <f>G42+H42</f>
        <v/>
      </c>
      <c r="N42" s="11">
        <f>Summary!$C$16*Summary!$B$8</f>
        <v/>
      </c>
      <c r="O42" s="11">
        <f>M42-N42</f>
        <v/>
      </c>
    </row>
    <row r="43">
      <c r="A43" s="9" t="n">
        <v>45293.70833333334</v>
      </c>
      <c r="B43" t="n">
        <v>1</v>
      </c>
      <c r="C43" t="n">
        <v>2</v>
      </c>
      <c r="D43" t="n">
        <v>17</v>
      </c>
      <c r="E43" s="10" t="n">
        <v>0</v>
      </c>
      <c r="F43" s="10" t="n">
        <v>0.4122507869401889</v>
      </c>
      <c r="G43" s="11">
        <f>E43*Summary!$B$6</f>
        <v/>
      </c>
      <c r="H43" s="11">
        <f>F43*Summary!$B$7</f>
        <v/>
      </c>
      <c r="I43" s="11">
        <f>MAX(0,N43-M43)</f>
        <v/>
      </c>
      <c r="J43" s="11">
        <f>MAX(0,M43-N43)</f>
        <v/>
      </c>
      <c r="K43" s="11">
        <f>O43</f>
        <v/>
      </c>
      <c r="L43" s="11">
        <f>L42+IF(K43&gt;0,K43*Summary!$B$9,K43/Summary!$B$9)</f>
        <v/>
      </c>
      <c r="M43" s="11">
        <f>G43+H43</f>
        <v/>
      </c>
      <c r="N43" s="11">
        <f>Summary!$C$16*Summary!$B$8</f>
        <v/>
      </c>
      <c r="O43" s="11">
        <f>M43-N43</f>
        <v/>
      </c>
    </row>
    <row r="44">
      <c r="A44" s="9" t="n">
        <v>45293.75</v>
      </c>
      <c r="B44" t="n">
        <v>1</v>
      </c>
      <c r="C44" t="n">
        <v>2</v>
      </c>
      <c r="D44" t="n">
        <v>18</v>
      </c>
      <c r="E44" s="10" t="n">
        <v>0</v>
      </c>
      <c r="F44" s="10" t="n">
        <v>0.4119082108579706</v>
      </c>
      <c r="G44" s="11">
        <f>E44*Summary!$B$6</f>
        <v/>
      </c>
      <c r="H44" s="11">
        <f>F44*Summary!$B$7</f>
        <v/>
      </c>
      <c r="I44" s="11">
        <f>MAX(0,N44-M44)</f>
        <v/>
      </c>
      <c r="J44" s="11">
        <f>MAX(0,M44-N44)</f>
        <v/>
      </c>
      <c r="K44" s="11">
        <f>O44</f>
        <v/>
      </c>
      <c r="L44" s="11">
        <f>L43+IF(K44&gt;0,K44*Summary!$B$9,K44/Summary!$B$9)</f>
        <v/>
      </c>
      <c r="M44" s="11">
        <f>G44+H44</f>
        <v/>
      </c>
      <c r="N44" s="11">
        <f>Summary!$C$16*Summary!$B$8</f>
        <v/>
      </c>
      <c r="O44" s="11">
        <f>M44-N44</f>
        <v/>
      </c>
    </row>
    <row r="45">
      <c r="A45" s="9" t="n">
        <v>45293.79166666666</v>
      </c>
      <c r="B45" t="n">
        <v>1</v>
      </c>
      <c r="C45" t="n">
        <v>2</v>
      </c>
      <c r="D45" t="n">
        <v>19</v>
      </c>
      <c r="E45" s="10" t="n">
        <v>0</v>
      </c>
      <c r="F45" s="10" t="n">
        <v>0.4097736983456876</v>
      </c>
      <c r="G45" s="11">
        <f>E45*Summary!$B$6</f>
        <v/>
      </c>
      <c r="H45" s="11">
        <f>F45*Summary!$B$7</f>
        <v/>
      </c>
      <c r="I45" s="11">
        <f>MAX(0,N45-M45)</f>
        <v/>
      </c>
      <c r="J45" s="11">
        <f>MAX(0,M45-N45)</f>
        <v/>
      </c>
      <c r="K45" s="11">
        <f>O45</f>
        <v/>
      </c>
      <c r="L45" s="11">
        <f>L44+IF(K45&gt;0,K45*Summary!$B$9,K45/Summary!$B$9)</f>
        <v/>
      </c>
      <c r="M45" s="11">
        <f>G45+H45</f>
        <v/>
      </c>
      <c r="N45" s="11">
        <f>Summary!$C$16*Summary!$B$8</f>
        <v/>
      </c>
      <c r="O45" s="11">
        <f>M45-N45</f>
        <v/>
      </c>
    </row>
    <row r="46">
      <c r="A46" s="9" t="n">
        <v>45293.83333333334</v>
      </c>
      <c r="B46" t="n">
        <v>1</v>
      </c>
      <c r="C46" t="n">
        <v>2</v>
      </c>
      <c r="D46" t="n">
        <v>20</v>
      </c>
      <c r="E46" s="10" t="n">
        <v>0</v>
      </c>
      <c r="F46" s="10" t="n">
        <v>0.405583729340095</v>
      </c>
      <c r="G46" s="11">
        <f>E46*Summary!$B$6</f>
        <v/>
      </c>
      <c r="H46" s="11">
        <f>F46*Summary!$B$7</f>
        <v/>
      </c>
      <c r="I46" s="11">
        <f>MAX(0,N46-M46)</f>
        <v/>
      </c>
      <c r="J46" s="11">
        <f>MAX(0,M46-N46)</f>
        <v/>
      </c>
      <c r="K46" s="11">
        <f>O46</f>
        <v/>
      </c>
      <c r="L46" s="11">
        <f>L45+IF(K46&gt;0,K46*Summary!$B$9,K46/Summary!$B$9)</f>
        <v/>
      </c>
      <c r="M46" s="11">
        <f>G46+H46</f>
        <v/>
      </c>
      <c r="N46" s="11">
        <f>Summary!$C$16*Summary!$B$8</f>
        <v/>
      </c>
      <c r="O46" s="11">
        <f>M46-N46</f>
        <v/>
      </c>
    </row>
    <row r="47">
      <c r="A47" s="9" t="n">
        <v>45293.875</v>
      </c>
      <c r="B47" t="n">
        <v>1</v>
      </c>
      <c r="C47" t="n">
        <v>2</v>
      </c>
      <c r="D47" t="n">
        <v>21</v>
      </c>
      <c r="E47" s="10" t="n">
        <v>0</v>
      </c>
      <c r="F47" s="10" t="n">
        <v>0.4030275847266204</v>
      </c>
      <c r="G47" s="11">
        <f>E47*Summary!$B$6</f>
        <v/>
      </c>
      <c r="H47" s="11">
        <f>F47*Summary!$B$7</f>
        <v/>
      </c>
      <c r="I47" s="11">
        <f>MAX(0,N47-M47)</f>
        <v/>
      </c>
      <c r="J47" s="11">
        <f>MAX(0,M47-N47)</f>
        <v/>
      </c>
      <c r="K47" s="11">
        <f>O47</f>
        <v/>
      </c>
      <c r="L47" s="11">
        <f>L46+IF(K47&gt;0,K47*Summary!$B$9,K47/Summary!$B$9)</f>
        <v/>
      </c>
      <c r="M47" s="11">
        <f>G47+H47</f>
        <v/>
      </c>
      <c r="N47" s="11">
        <f>Summary!$C$16*Summary!$B$8</f>
        <v/>
      </c>
      <c r="O47" s="11">
        <f>M47-N47</f>
        <v/>
      </c>
    </row>
    <row r="48">
      <c r="A48" s="9" t="n">
        <v>45293.91666666666</v>
      </c>
      <c r="B48" t="n">
        <v>1</v>
      </c>
      <c r="C48" t="n">
        <v>2</v>
      </c>
      <c r="D48" t="n">
        <v>22</v>
      </c>
      <c r="E48" s="10" t="n">
        <v>0</v>
      </c>
      <c r="F48" s="10" t="n">
        <v>0.3971510873162609</v>
      </c>
      <c r="G48" s="11">
        <f>E48*Summary!$B$6</f>
        <v/>
      </c>
      <c r="H48" s="11">
        <f>F48*Summary!$B$7</f>
        <v/>
      </c>
      <c r="I48" s="11">
        <f>MAX(0,N48-M48)</f>
        <v/>
      </c>
      <c r="J48" s="11">
        <f>MAX(0,M48-N48)</f>
        <v/>
      </c>
      <c r="K48" s="11">
        <f>O48</f>
        <v/>
      </c>
      <c r="L48" s="11">
        <f>L47+IF(K48&gt;0,K48*Summary!$B$9,K48/Summary!$B$9)</f>
        <v/>
      </c>
      <c r="M48" s="11">
        <f>G48+H48</f>
        <v/>
      </c>
      <c r="N48" s="11">
        <f>Summary!$C$16*Summary!$B$8</f>
        <v/>
      </c>
      <c r="O48" s="11">
        <f>M48-N48</f>
        <v/>
      </c>
    </row>
    <row r="49">
      <c r="A49" s="9" t="n">
        <v>45293.95833333334</v>
      </c>
      <c r="B49" t="n">
        <v>1</v>
      </c>
      <c r="C49" t="n">
        <v>2</v>
      </c>
      <c r="D49" t="n">
        <v>23</v>
      </c>
      <c r="E49" s="10" t="n">
        <v>0</v>
      </c>
      <c r="F49" s="10" t="n">
        <v>0.426375462330111</v>
      </c>
      <c r="G49" s="11">
        <f>E49*Summary!$B$6</f>
        <v/>
      </c>
      <c r="H49" s="11">
        <f>F49*Summary!$B$7</f>
        <v/>
      </c>
      <c r="I49" s="11">
        <f>MAX(0,N49-M49)</f>
        <v/>
      </c>
      <c r="J49" s="11">
        <f>MAX(0,M49-N49)</f>
        <v/>
      </c>
      <c r="K49" s="11">
        <f>O49</f>
        <v/>
      </c>
      <c r="L49" s="11">
        <f>L48+IF(K49&gt;0,K49*Summary!$B$9,K49/Summary!$B$9)</f>
        <v/>
      </c>
      <c r="M49" s="11">
        <f>G49+H49</f>
        <v/>
      </c>
      <c r="N49" s="11">
        <f>Summary!$C$16*Summary!$B$8</f>
        <v/>
      </c>
      <c r="O49" s="11">
        <f>M49-N49</f>
        <v/>
      </c>
    </row>
    <row r="50">
      <c r="A50" s="9" t="n">
        <v>45294</v>
      </c>
      <c r="B50" t="n">
        <v>1</v>
      </c>
      <c r="C50" t="n">
        <v>3</v>
      </c>
      <c r="D50" t="n">
        <v>0</v>
      </c>
      <c r="E50" s="10" t="n">
        <v>0</v>
      </c>
      <c r="F50" s="10" t="n">
        <v>0.4857992365918168</v>
      </c>
      <c r="G50" s="11">
        <f>E50*Summary!$B$6</f>
        <v/>
      </c>
      <c r="H50" s="11">
        <f>F50*Summary!$B$7</f>
        <v/>
      </c>
      <c r="I50" s="11">
        <f>MAX(0,N50-M50)</f>
        <v/>
      </c>
      <c r="J50" s="11">
        <f>MAX(0,M50-N50)</f>
        <v/>
      </c>
      <c r="K50" s="11">
        <f>O50</f>
        <v/>
      </c>
      <c r="L50" s="11">
        <f>L49+IF(K50&gt;0,K50*Summary!$B$9,K50/Summary!$B$9)</f>
        <v/>
      </c>
      <c r="M50" s="11">
        <f>G50+H50</f>
        <v/>
      </c>
      <c r="N50" s="11">
        <f>Summary!$C$16*Summary!$B$8</f>
        <v/>
      </c>
      <c r="O50" s="11">
        <f>M50-N50</f>
        <v/>
      </c>
    </row>
    <row r="51">
      <c r="A51" s="9" t="n">
        <v>45294.04166666666</v>
      </c>
      <c r="B51" t="n">
        <v>1</v>
      </c>
      <c r="C51" t="n">
        <v>3</v>
      </c>
      <c r="D51" t="n">
        <v>1</v>
      </c>
      <c r="E51" s="10" t="n">
        <v>0</v>
      </c>
      <c r="F51" s="10" t="n">
        <v>0.3897198215327571</v>
      </c>
      <c r="G51" s="11">
        <f>E51*Summary!$B$6</f>
        <v/>
      </c>
      <c r="H51" s="11">
        <f>F51*Summary!$B$7</f>
        <v/>
      </c>
      <c r="I51" s="11">
        <f>MAX(0,N51-M51)</f>
        <v/>
      </c>
      <c r="J51" s="11">
        <f>MAX(0,M51-N51)</f>
        <v/>
      </c>
      <c r="K51" s="11">
        <f>O51</f>
        <v/>
      </c>
      <c r="L51" s="11">
        <f>L50+IF(K51&gt;0,K51*Summary!$B$9,K51/Summary!$B$9)</f>
        <v/>
      </c>
      <c r="M51" s="11">
        <f>G51+H51</f>
        <v/>
      </c>
      <c r="N51" s="11">
        <f>Summary!$C$16*Summary!$B$8</f>
        <v/>
      </c>
      <c r="O51" s="11">
        <f>M51-N51</f>
        <v/>
      </c>
    </row>
    <row r="52">
      <c r="A52" s="9" t="n">
        <v>45294.08333333334</v>
      </c>
      <c r="B52" t="n">
        <v>1</v>
      </c>
      <c r="C52" t="n">
        <v>3</v>
      </c>
      <c r="D52" t="n">
        <v>2</v>
      </c>
      <c r="E52" s="10" t="n">
        <v>0</v>
      </c>
      <c r="F52" s="10" t="n">
        <v>0.3845021242805098</v>
      </c>
      <c r="G52" s="11">
        <f>E52*Summary!$B$6</f>
        <v/>
      </c>
      <c r="H52" s="11">
        <f>F52*Summary!$B$7</f>
        <v/>
      </c>
      <c r="I52" s="11">
        <f>MAX(0,N52-M52)</f>
        <v/>
      </c>
      <c r="J52" s="11">
        <f>MAX(0,M52-N52)</f>
        <v/>
      </c>
      <c r="K52" s="11">
        <f>O52</f>
        <v/>
      </c>
      <c r="L52" s="11">
        <f>L51+IF(K52&gt;0,K52*Summary!$B$9,K52/Summary!$B$9)</f>
        <v/>
      </c>
      <c r="M52" s="11">
        <f>G52+H52</f>
        <v/>
      </c>
      <c r="N52" s="11">
        <f>Summary!$C$16*Summary!$B$8</f>
        <v/>
      </c>
      <c r="O52" s="11">
        <f>M52-N52</f>
        <v/>
      </c>
    </row>
    <row r="53">
      <c r="A53" s="9" t="n">
        <v>45294.125</v>
      </c>
      <c r="B53" t="n">
        <v>1</v>
      </c>
      <c r="C53" t="n">
        <v>3</v>
      </c>
      <c r="D53" t="n">
        <v>3</v>
      </c>
      <c r="E53" s="10" t="n">
        <v>0</v>
      </c>
      <c r="F53" s="10" t="n">
        <v>0.3822358517366044</v>
      </c>
      <c r="G53" s="11">
        <f>E53*Summary!$B$6</f>
        <v/>
      </c>
      <c r="H53" s="11">
        <f>F53*Summary!$B$7</f>
        <v/>
      </c>
      <c r="I53" s="11">
        <f>MAX(0,N53-M53)</f>
        <v/>
      </c>
      <c r="J53" s="11">
        <f>MAX(0,M53-N53)</f>
        <v/>
      </c>
      <c r="K53" s="11">
        <f>O53</f>
        <v/>
      </c>
      <c r="L53" s="11">
        <f>L52+IF(K53&gt;0,K53*Summary!$B$9,K53/Summary!$B$9)</f>
        <v/>
      </c>
      <c r="M53" s="11">
        <f>G53+H53</f>
        <v/>
      </c>
      <c r="N53" s="11">
        <f>Summary!$C$16*Summary!$B$8</f>
        <v/>
      </c>
      <c r="O53" s="11">
        <f>M53-N53</f>
        <v/>
      </c>
    </row>
    <row r="54">
      <c r="A54" s="9" t="n">
        <v>45294.16666666666</v>
      </c>
      <c r="B54" t="n">
        <v>1</v>
      </c>
      <c r="C54" t="n">
        <v>3</v>
      </c>
      <c r="D54" t="n">
        <v>4</v>
      </c>
      <c r="E54" s="10" t="n">
        <v>0</v>
      </c>
      <c r="F54" s="10" t="n">
        <v>0.3811027154646517</v>
      </c>
      <c r="G54" s="11">
        <f>E54*Summary!$B$6</f>
        <v/>
      </c>
      <c r="H54" s="11">
        <f>F54*Summary!$B$7</f>
        <v/>
      </c>
      <c r="I54" s="11">
        <f>MAX(0,N54-M54)</f>
        <v/>
      </c>
      <c r="J54" s="11">
        <f>MAX(0,M54-N54)</f>
        <v/>
      </c>
      <c r="K54" s="11">
        <f>O54</f>
        <v/>
      </c>
      <c r="L54" s="11">
        <f>L53+IF(K54&gt;0,K54*Summary!$B$9,K54/Summary!$B$9)</f>
        <v/>
      </c>
      <c r="M54" s="11">
        <f>G54+H54</f>
        <v/>
      </c>
      <c r="N54" s="11">
        <f>Summary!$C$16*Summary!$B$8</f>
        <v/>
      </c>
      <c r="O54" s="11">
        <f>M54-N54</f>
        <v/>
      </c>
    </row>
    <row r="55">
      <c r="A55" s="9" t="n">
        <v>45294.20833333334</v>
      </c>
      <c r="B55" t="n">
        <v>1</v>
      </c>
      <c r="C55" t="n">
        <v>3</v>
      </c>
      <c r="D55" t="n">
        <v>5</v>
      </c>
      <c r="E55" s="10" t="n">
        <v>0</v>
      </c>
      <c r="F55" s="10" t="n">
        <v>0.3804966193191886</v>
      </c>
      <c r="G55" s="11">
        <f>E55*Summary!$B$6</f>
        <v/>
      </c>
      <c r="H55" s="11">
        <f>F55*Summary!$B$7</f>
        <v/>
      </c>
      <c r="I55" s="11">
        <f>MAX(0,N55-M55)</f>
        <v/>
      </c>
      <c r="J55" s="11">
        <f>MAX(0,M55-N55)</f>
        <v/>
      </c>
      <c r="K55" s="11">
        <f>O55</f>
        <v/>
      </c>
      <c r="L55" s="11">
        <f>L54+IF(K55&gt;0,K55*Summary!$B$9,K55/Summary!$B$9)</f>
        <v/>
      </c>
      <c r="M55" s="11">
        <f>G55+H55</f>
        <v/>
      </c>
      <c r="N55" s="11">
        <f>Summary!$C$16*Summary!$B$8</f>
        <v/>
      </c>
      <c r="O55" s="11">
        <f>M55-N55</f>
        <v/>
      </c>
    </row>
    <row r="56">
      <c r="A56" s="9" t="n">
        <v>45294.25</v>
      </c>
      <c r="B56" t="n">
        <v>1</v>
      </c>
      <c r="C56" t="n">
        <v>3</v>
      </c>
      <c r="D56" t="n">
        <v>6</v>
      </c>
      <c r="E56" s="10" t="n">
        <v>0</v>
      </c>
      <c r="F56" s="10" t="n">
        <v>0.3804439153065396</v>
      </c>
      <c r="G56" s="11">
        <f>E56*Summary!$B$6</f>
        <v/>
      </c>
      <c r="H56" s="11">
        <f>F56*Summary!$B$7</f>
        <v/>
      </c>
      <c r="I56" s="11">
        <f>MAX(0,N56-M56)</f>
        <v/>
      </c>
      <c r="J56" s="11">
        <f>MAX(0,M56-N56)</f>
        <v/>
      </c>
      <c r="K56" s="11">
        <f>O56</f>
        <v/>
      </c>
      <c r="L56" s="11">
        <f>L55+IF(K56&gt;0,K56*Summary!$B$9,K56/Summary!$B$9)</f>
        <v/>
      </c>
      <c r="M56" s="11">
        <f>G56+H56</f>
        <v/>
      </c>
      <c r="N56" s="11">
        <f>Summary!$C$16*Summary!$B$8</f>
        <v/>
      </c>
      <c r="O56" s="11">
        <f>M56-N56</f>
        <v/>
      </c>
    </row>
    <row r="57">
      <c r="A57" s="9" t="n">
        <v>45294.29166666666</v>
      </c>
      <c r="B57" t="n">
        <v>1</v>
      </c>
      <c r="C57" t="n">
        <v>3</v>
      </c>
      <c r="D57" t="n">
        <v>7</v>
      </c>
      <c r="E57" s="10" t="n">
        <v>0</v>
      </c>
      <c r="F57" s="10" t="n">
        <v>0.3826838358441206</v>
      </c>
      <c r="G57" s="11">
        <f>E57*Summary!$B$6</f>
        <v/>
      </c>
      <c r="H57" s="11">
        <f>F57*Summary!$B$7</f>
        <v/>
      </c>
      <c r="I57" s="11">
        <f>MAX(0,N57-M57)</f>
        <v/>
      </c>
      <c r="J57" s="11">
        <f>MAX(0,M57-N57)</f>
        <v/>
      </c>
      <c r="K57" s="11">
        <f>O57</f>
        <v/>
      </c>
      <c r="L57" s="11">
        <f>L56+IF(K57&gt;0,K57*Summary!$B$9,K57/Summary!$B$9)</f>
        <v/>
      </c>
      <c r="M57" s="11">
        <f>G57+H57</f>
        <v/>
      </c>
      <c r="N57" s="11">
        <f>Summary!$C$16*Summary!$B$8</f>
        <v/>
      </c>
      <c r="O57" s="11">
        <f>M57-N57</f>
        <v/>
      </c>
    </row>
    <row r="58">
      <c r="A58" s="9" t="n">
        <v>45294.33333333334</v>
      </c>
      <c r="B58" t="n">
        <v>1</v>
      </c>
      <c r="C58" t="n">
        <v>3</v>
      </c>
      <c r="D58" t="n">
        <v>8</v>
      </c>
      <c r="E58" s="10" t="n">
        <v>0</v>
      </c>
      <c r="F58" s="10" t="n">
        <v>0.373460633630552</v>
      </c>
      <c r="G58" s="11">
        <f>E58*Summary!$B$6</f>
        <v/>
      </c>
      <c r="H58" s="11">
        <f>F58*Summary!$B$7</f>
        <v/>
      </c>
      <c r="I58" s="11">
        <f>MAX(0,N58-M58)</f>
        <v/>
      </c>
      <c r="J58" s="11">
        <f>MAX(0,M58-N58)</f>
        <v/>
      </c>
      <c r="K58" s="11">
        <f>O58</f>
        <v/>
      </c>
      <c r="L58" s="11">
        <f>L57+IF(K58&gt;0,K58*Summary!$B$9,K58/Summary!$B$9)</f>
        <v/>
      </c>
      <c r="M58" s="11">
        <f>G58+H58</f>
        <v/>
      </c>
      <c r="N58" s="11">
        <f>Summary!$C$16*Summary!$B$8</f>
        <v/>
      </c>
      <c r="O58" s="11">
        <f>M58-N58</f>
        <v/>
      </c>
    </row>
    <row r="59">
      <c r="A59" s="9" t="n">
        <v>45294.375</v>
      </c>
      <c r="B59" t="n">
        <v>1</v>
      </c>
      <c r="C59" t="n">
        <v>3</v>
      </c>
      <c r="D59" t="n">
        <v>9</v>
      </c>
      <c r="E59" s="10" t="n">
        <v>0.008834</v>
      </c>
      <c r="F59" s="10" t="n">
        <v>0.3748309379594251</v>
      </c>
      <c r="G59" s="11">
        <f>E59*Summary!$B$6</f>
        <v/>
      </c>
      <c r="H59" s="11">
        <f>F59*Summary!$B$7</f>
        <v/>
      </c>
      <c r="I59" s="11">
        <f>MAX(0,N59-M59)</f>
        <v/>
      </c>
      <c r="J59" s="11">
        <f>MAX(0,M59-N59)</f>
        <v/>
      </c>
      <c r="K59" s="11">
        <f>O59</f>
        <v/>
      </c>
      <c r="L59" s="11">
        <f>L58+IF(K59&gt;0,K59*Summary!$B$9,K59/Summary!$B$9)</f>
        <v/>
      </c>
      <c r="M59" s="11">
        <f>G59+H59</f>
        <v/>
      </c>
      <c r="N59" s="11">
        <f>Summary!$C$16*Summary!$B$8</f>
        <v/>
      </c>
      <c r="O59" s="11">
        <f>M59-N59</f>
        <v/>
      </c>
    </row>
    <row r="60">
      <c r="A60" s="9" t="n">
        <v>45294.41666666666</v>
      </c>
      <c r="B60" t="n">
        <v>1</v>
      </c>
      <c r="C60" t="n">
        <v>3</v>
      </c>
      <c r="D60" t="n">
        <v>10</v>
      </c>
      <c r="E60" s="10" t="n">
        <v>0.008684000000000001</v>
      </c>
      <c r="F60" s="10" t="n">
        <v>0.3809446034267048</v>
      </c>
      <c r="G60" s="11">
        <f>E60*Summary!$B$6</f>
        <v/>
      </c>
      <c r="H60" s="11">
        <f>F60*Summary!$B$7</f>
        <v/>
      </c>
      <c r="I60" s="11">
        <f>MAX(0,N60-M60)</f>
        <v/>
      </c>
      <c r="J60" s="11">
        <f>MAX(0,M60-N60)</f>
        <v/>
      </c>
      <c r="K60" s="11">
        <f>O60</f>
        <v/>
      </c>
      <c r="L60" s="11">
        <f>L59+IF(K60&gt;0,K60*Summary!$B$9,K60/Summary!$B$9)</f>
        <v/>
      </c>
      <c r="M60" s="11">
        <f>G60+H60</f>
        <v/>
      </c>
      <c r="N60" s="11">
        <f>Summary!$C$16*Summary!$B$8</f>
        <v/>
      </c>
      <c r="O60" s="11">
        <f>M60-N60</f>
        <v/>
      </c>
    </row>
    <row r="61">
      <c r="A61" s="9" t="n">
        <v>45294.45833333334</v>
      </c>
      <c r="B61" t="n">
        <v>1</v>
      </c>
      <c r="C61" t="n">
        <v>3</v>
      </c>
      <c r="D61" t="n">
        <v>11</v>
      </c>
      <c r="E61" s="10" t="n">
        <v>0.013438</v>
      </c>
      <c r="F61" s="10" t="n">
        <v>0.3861095966663032</v>
      </c>
      <c r="G61" s="11">
        <f>E61*Summary!$B$6</f>
        <v/>
      </c>
      <c r="H61" s="11">
        <f>F61*Summary!$B$7</f>
        <v/>
      </c>
      <c r="I61" s="11">
        <f>MAX(0,N61-M61)</f>
        <v/>
      </c>
      <c r="J61" s="11">
        <f>MAX(0,M61-N61)</f>
        <v/>
      </c>
      <c r="K61" s="11">
        <f>O61</f>
        <v/>
      </c>
      <c r="L61" s="11">
        <f>L60+IF(K61&gt;0,K61*Summary!$B$9,K61/Summary!$B$9)</f>
        <v/>
      </c>
      <c r="M61" s="11">
        <f>G61+H61</f>
        <v/>
      </c>
      <c r="N61" s="11">
        <f>Summary!$C$16*Summary!$B$8</f>
        <v/>
      </c>
      <c r="O61" s="11">
        <f>M61-N61</f>
        <v/>
      </c>
    </row>
    <row r="62">
      <c r="A62" s="9" t="n">
        <v>45294.5</v>
      </c>
      <c r="B62" t="n">
        <v>1</v>
      </c>
      <c r="C62" t="n">
        <v>3</v>
      </c>
      <c r="D62" t="n">
        <v>12</v>
      </c>
      <c r="E62" s="10" t="n">
        <v>0.058149</v>
      </c>
      <c r="F62" s="10" t="n">
        <v>0.4271660225198454</v>
      </c>
      <c r="G62" s="11">
        <f>E62*Summary!$B$6</f>
        <v/>
      </c>
      <c r="H62" s="11">
        <f>F62*Summary!$B$7</f>
        <v/>
      </c>
      <c r="I62" s="11">
        <f>MAX(0,N62-M62)</f>
        <v/>
      </c>
      <c r="J62" s="11">
        <f>MAX(0,M62-N62)</f>
        <v/>
      </c>
      <c r="K62" s="11">
        <f>O62</f>
        <v/>
      </c>
      <c r="L62" s="11">
        <f>L61+IF(K62&gt;0,K62*Summary!$B$9,K62/Summary!$B$9)</f>
        <v/>
      </c>
      <c r="M62" s="11">
        <f>G62+H62</f>
        <v/>
      </c>
      <c r="N62" s="11">
        <f>Summary!$C$16*Summary!$B$8</f>
        <v/>
      </c>
      <c r="O62" s="11">
        <f>M62-N62</f>
        <v/>
      </c>
    </row>
    <row r="63">
      <c r="A63" s="9" t="n">
        <v>45294.54166666666</v>
      </c>
      <c r="B63" t="n">
        <v>1</v>
      </c>
      <c r="C63" t="n">
        <v>3</v>
      </c>
      <c r="D63" t="n">
        <v>13</v>
      </c>
      <c r="E63" s="10" t="n">
        <v>0.117204</v>
      </c>
      <c r="F63" s="10" t="n">
        <v>0.4088250261180063</v>
      </c>
      <c r="G63" s="11">
        <f>E63*Summary!$B$6</f>
        <v/>
      </c>
      <c r="H63" s="11">
        <f>F63*Summary!$B$7</f>
        <v/>
      </c>
      <c r="I63" s="11">
        <f>MAX(0,N63-M63)</f>
        <v/>
      </c>
      <c r="J63" s="11">
        <f>MAX(0,M63-N63)</f>
        <v/>
      </c>
      <c r="K63" s="11">
        <f>O63</f>
        <v/>
      </c>
      <c r="L63" s="11">
        <f>L62+IF(K63&gt;0,K63*Summary!$B$9,K63/Summary!$B$9)</f>
        <v/>
      </c>
      <c r="M63" s="11">
        <f>G63+H63</f>
        <v/>
      </c>
      <c r="N63" s="11">
        <f>Summary!$C$16*Summary!$B$8</f>
        <v/>
      </c>
      <c r="O63" s="11">
        <f>M63-N63</f>
        <v/>
      </c>
    </row>
    <row r="64">
      <c r="A64" s="9" t="n">
        <v>45294.58333333334</v>
      </c>
      <c r="B64" t="n">
        <v>1</v>
      </c>
      <c r="C64" t="n">
        <v>3</v>
      </c>
      <c r="D64" t="n">
        <v>14</v>
      </c>
      <c r="E64" s="10" t="n">
        <v>0.054518</v>
      </c>
      <c r="F64" s="10" t="n">
        <v>0.4235557976533914</v>
      </c>
      <c r="G64" s="11">
        <f>E64*Summary!$B$6</f>
        <v/>
      </c>
      <c r="H64" s="11">
        <f>F64*Summary!$B$7</f>
        <v/>
      </c>
      <c r="I64" s="11">
        <f>MAX(0,N64-M64)</f>
        <v/>
      </c>
      <c r="J64" s="11">
        <f>MAX(0,M64-N64)</f>
        <v/>
      </c>
      <c r="K64" s="11">
        <f>O64</f>
        <v/>
      </c>
      <c r="L64" s="11">
        <f>L63+IF(K64&gt;0,K64*Summary!$B$9,K64/Summary!$B$9)</f>
        <v/>
      </c>
      <c r="M64" s="11">
        <f>G64+H64</f>
        <v/>
      </c>
      <c r="N64" s="11">
        <f>Summary!$C$16*Summary!$B$8</f>
        <v/>
      </c>
      <c r="O64" s="11">
        <f>M64-N64</f>
        <v/>
      </c>
    </row>
    <row r="65">
      <c r="A65" s="9" t="n">
        <v>45294.625</v>
      </c>
      <c r="B65" t="n">
        <v>1</v>
      </c>
      <c r="C65" t="n">
        <v>3</v>
      </c>
      <c r="D65" t="n">
        <v>15</v>
      </c>
      <c r="E65" s="10" t="n">
        <v>0</v>
      </c>
      <c r="F65" s="10" t="n">
        <v>0.4441894186054605</v>
      </c>
      <c r="G65" s="11">
        <f>E65*Summary!$B$6</f>
        <v/>
      </c>
      <c r="H65" s="11">
        <f>F65*Summary!$B$7</f>
        <v/>
      </c>
      <c r="I65" s="11">
        <f>MAX(0,N65-M65)</f>
        <v/>
      </c>
      <c r="J65" s="11">
        <f>MAX(0,M65-N65)</f>
        <v/>
      </c>
      <c r="K65" s="11">
        <f>O65</f>
        <v/>
      </c>
      <c r="L65" s="11">
        <f>L64+IF(K65&gt;0,K65*Summary!$B$9,K65/Summary!$B$9)</f>
        <v/>
      </c>
      <c r="M65" s="11">
        <f>G65+H65</f>
        <v/>
      </c>
      <c r="N65" s="11">
        <f>Summary!$C$16*Summary!$B$8</f>
        <v/>
      </c>
      <c r="O65" s="11">
        <f>M65-N65</f>
        <v/>
      </c>
    </row>
    <row r="66">
      <c r="A66" s="9" t="n">
        <v>45294.66666666666</v>
      </c>
      <c r="B66" t="n">
        <v>1</v>
      </c>
      <c r="C66" t="n">
        <v>3</v>
      </c>
      <c r="D66" t="n">
        <v>16</v>
      </c>
      <c r="E66" s="10" t="n">
        <v>0</v>
      </c>
      <c r="F66" s="10" t="n">
        <v>0.4592100622104149</v>
      </c>
      <c r="G66" s="11">
        <f>E66*Summary!$B$6</f>
        <v/>
      </c>
      <c r="H66" s="11">
        <f>F66*Summary!$B$7</f>
        <v/>
      </c>
      <c r="I66" s="11">
        <f>MAX(0,N66-M66)</f>
        <v/>
      </c>
      <c r="J66" s="11">
        <f>MAX(0,M66-N66)</f>
        <v/>
      </c>
      <c r="K66" s="11">
        <f>O66</f>
        <v/>
      </c>
      <c r="L66" s="11">
        <f>L65+IF(K66&gt;0,K66*Summary!$B$9,K66/Summary!$B$9)</f>
        <v/>
      </c>
      <c r="M66" s="11">
        <f>G66+H66</f>
        <v/>
      </c>
      <c r="N66" s="11">
        <f>Summary!$C$16*Summary!$B$8</f>
        <v/>
      </c>
      <c r="O66" s="11">
        <f>M66-N66</f>
        <v/>
      </c>
    </row>
    <row r="67">
      <c r="A67" s="9" t="n">
        <v>45294.70833333334</v>
      </c>
      <c r="B67" t="n">
        <v>1</v>
      </c>
      <c r="C67" t="n">
        <v>3</v>
      </c>
      <c r="D67" t="n">
        <v>17</v>
      </c>
      <c r="E67" s="10" t="n">
        <v>0</v>
      </c>
      <c r="F67" s="10" t="n">
        <v>0.4660352318484556</v>
      </c>
      <c r="G67" s="11">
        <f>E67*Summary!$B$6</f>
        <v/>
      </c>
      <c r="H67" s="11">
        <f>F67*Summary!$B$7</f>
        <v/>
      </c>
      <c r="I67" s="11">
        <f>MAX(0,N67-M67)</f>
        <v/>
      </c>
      <c r="J67" s="11">
        <f>MAX(0,M67-N67)</f>
        <v/>
      </c>
      <c r="K67" s="11">
        <f>O67</f>
        <v/>
      </c>
      <c r="L67" s="11">
        <f>L66+IF(K67&gt;0,K67*Summary!$B$9,K67/Summary!$B$9)</f>
        <v/>
      </c>
      <c r="M67" s="11">
        <f>G67+H67</f>
        <v/>
      </c>
      <c r="N67" s="11">
        <f>Summary!$C$16*Summary!$B$8</f>
        <v/>
      </c>
      <c r="O67" s="11">
        <f>M67-N67</f>
        <v/>
      </c>
    </row>
    <row r="68">
      <c r="A68" s="9" t="n">
        <v>45294.75</v>
      </c>
      <c r="B68" t="n">
        <v>1</v>
      </c>
      <c r="C68" t="n">
        <v>3</v>
      </c>
      <c r="D68" t="n">
        <v>18</v>
      </c>
      <c r="E68" s="10" t="n">
        <v>0</v>
      </c>
      <c r="F68" s="10" t="n">
        <v>0.4817410276178466</v>
      </c>
      <c r="G68" s="11">
        <f>E68*Summary!$B$6</f>
        <v/>
      </c>
      <c r="H68" s="11">
        <f>F68*Summary!$B$7</f>
        <v/>
      </c>
      <c r="I68" s="11">
        <f>MAX(0,N68-M68)</f>
        <v/>
      </c>
      <c r="J68" s="11">
        <f>MAX(0,M68-N68)</f>
        <v/>
      </c>
      <c r="K68" s="11">
        <f>O68</f>
        <v/>
      </c>
      <c r="L68" s="11">
        <f>L67+IF(K68&gt;0,K68*Summary!$B$9,K68/Summary!$B$9)</f>
        <v/>
      </c>
      <c r="M68" s="11">
        <f>G68+H68</f>
        <v/>
      </c>
      <c r="N68" s="11">
        <f>Summary!$C$16*Summary!$B$8</f>
        <v/>
      </c>
      <c r="O68" s="11">
        <f>M68-N68</f>
        <v/>
      </c>
    </row>
    <row r="69">
      <c r="A69" s="9" t="n">
        <v>45294.79166666666</v>
      </c>
      <c r="B69" t="n">
        <v>1</v>
      </c>
      <c r="C69" t="n">
        <v>3</v>
      </c>
      <c r="D69" t="n">
        <v>19</v>
      </c>
      <c r="E69" s="10" t="n">
        <v>0</v>
      </c>
      <c r="F69" s="10" t="n">
        <v>0.4872485969396633</v>
      </c>
      <c r="G69" s="11">
        <f>E69*Summary!$B$6</f>
        <v/>
      </c>
      <c r="H69" s="11">
        <f>F69*Summary!$B$7</f>
        <v/>
      </c>
      <c r="I69" s="11">
        <f>MAX(0,N69-M69)</f>
        <v/>
      </c>
      <c r="J69" s="11">
        <f>MAX(0,M69-N69)</f>
        <v/>
      </c>
      <c r="K69" s="11">
        <f>O69</f>
        <v/>
      </c>
      <c r="L69" s="11">
        <f>L68+IF(K69&gt;0,K69*Summary!$B$9,K69/Summary!$B$9)</f>
        <v/>
      </c>
      <c r="M69" s="11">
        <f>G69+H69</f>
        <v/>
      </c>
      <c r="N69" s="11">
        <f>Summary!$C$16*Summary!$B$8</f>
        <v/>
      </c>
      <c r="O69" s="11">
        <f>M69-N69</f>
        <v/>
      </c>
    </row>
    <row r="70">
      <c r="A70" s="9" t="n">
        <v>45294.83333333334</v>
      </c>
      <c r="B70" t="n">
        <v>1</v>
      </c>
      <c r="C70" t="n">
        <v>3</v>
      </c>
      <c r="D70" t="n">
        <v>20</v>
      </c>
      <c r="E70" s="10" t="n">
        <v>0</v>
      </c>
      <c r="F70" s="10" t="n">
        <v>0.4910169338440641</v>
      </c>
      <c r="G70" s="11">
        <f>E70*Summary!$B$6</f>
        <v/>
      </c>
      <c r="H70" s="11">
        <f>F70*Summary!$B$7</f>
        <v/>
      </c>
      <c r="I70" s="11">
        <f>MAX(0,N70-M70)</f>
        <v/>
      </c>
      <c r="J70" s="11">
        <f>MAX(0,M70-N70)</f>
        <v/>
      </c>
      <c r="K70" s="11">
        <f>O70</f>
        <v/>
      </c>
      <c r="L70" s="11">
        <f>L69+IF(K70&gt;0,K70*Summary!$B$9,K70/Summary!$B$9)</f>
        <v/>
      </c>
      <c r="M70" s="11">
        <f>G70+H70</f>
        <v/>
      </c>
      <c r="N70" s="11">
        <f>Summary!$C$16*Summary!$B$8</f>
        <v/>
      </c>
      <c r="O70" s="11">
        <f>M70-N70</f>
        <v/>
      </c>
    </row>
    <row r="71">
      <c r="A71" s="9" t="n">
        <v>45294.875</v>
      </c>
      <c r="B71" t="n">
        <v>1</v>
      </c>
      <c r="C71" t="n">
        <v>3</v>
      </c>
      <c r="D71" t="n">
        <v>21</v>
      </c>
      <c r="E71" s="10" t="n">
        <v>0</v>
      </c>
      <c r="F71" s="10" t="n">
        <v>0.4883553812052915</v>
      </c>
      <c r="G71" s="11">
        <f>E71*Summary!$B$6</f>
        <v/>
      </c>
      <c r="H71" s="11">
        <f>F71*Summary!$B$7</f>
        <v/>
      </c>
      <c r="I71" s="11">
        <f>MAX(0,N71-M71)</f>
        <v/>
      </c>
      <c r="J71" s="11">
        <f>MAX(0,M71-N71)</f>
        <v/>
      </c>
      <c r="K71" s="11">
        <f>O71</f>
        <v/>
      </c>
      <c r="L71" s="11">
        <f>L70+IF(K71&gt;0,K71*Summary!$B$9,K71/Summary!$B$9)</f>
        <v/>
      </c>
      <c r="M71" s="11">
        <f>G71+H71</f>
        <v/>
      </c>
      <c r="N71" s="11">
        <f>Summary!$C$16*Summary!$B$8</f>
        <v/>
      </c>
      <c r="O71" s="11">
        <f>M71-N71</f>
        <v/>
      </c>
    </row>
    <row r="72">
      <c r="A72" s="9" t="n">
        <v>45294.91666666666</v>
      </c>
      <c r="B72" t="n">
        <v>1</v>
      </c>
      <c r="C72" t="n">
        <v>3</v>
      </c>
      <c r="D72" t="n">
        <v>22</v>
      </c>
      <c r="E72" s="10" t="n">
        <v>0</v>
      </c>
      <c r="F72" s="10" t="n">
        <v>0.4871695409206898</v>
      </c>
      <c r="G72" s="11">
        <f>E72*Summary!$B$6</f>
        <v/>
      </c>
      <c r="H72" s="11">
        <f>F72*Summary!$B$7</f>
        <v/>
      </c>
      <c r="I72" s="11">
        <f>MAX(0,N72-M72)</f>
        <v/>
      </c>
      <c r="J72" s="11">
        <f>MAX(0,M72-N72)</f>
        <v/>
      </c>
      <c r="K72" s="11">
        <f>O72</f>
        <v/>
      </c>
      <c r="L72" s="11">
        <f>L71+IF(K72&gt;0,K72*Summary!$B$9,K72/Summary!$B$9)</f>
        <v/>
      </c>
      <c r="M72" s="11">
        <f>G72+H72</f>
        <v/>
      </c>
      <c r="N72" s="11">
        <f>Summary!$C$16*Summary!$B$8</f>
        <v/>
      </c>
      <c r="O72" s="11">
        <f>M72-N72</f>
        <v/>
      </c>
    </row>
    <row r="73">
      <c r="A73" s="9" t="n">
        <v>45294.95833333334</v>
      </c>
      <c r="B73" t="n">
        <v>1</v>
      </c>
      <c r="C73" t="n">
        <v>3</v>
      </c>
      <c r="D73" t="n">
        <v>23</v>
      </c>
      <c r="E73" s="10" t="n">
        <v>0</v>
      </c>
      <c r="F73" s="10" t="n">
        <v>0.4794220510612922</v>
      </c>
      <c r="G73" s="11">
        <f>E73*Summary!$B$6</f>
        <v/>
      </c>
      <c r="H73" s="11">
        <f>F73*Summary!$B$7</f>
        <v/>
      </c>
      <c r="I73" s="11">
        <f>MAX(0,N73-M73)</f>
        <v/>
      </c>
      <c r="J73" s="11">
        <f>MAX(0,M73-N73)</f>
        <v/>
      </c>
      <c r="K73" s="11">
        <f>O73</f>
        <v/>
      </c>
      <c r="L73" s="11">
        <f>L72+IF(K73&gt;0,K73*Summary!$B$9,K73/Summary!$B$9)</f>
        <v/>
      </c>
      <c r="M73" s="11">
        <f>G73+H73</f>
        <v/>
      </c>
      <c r="N73" s="11">
        <f>Summary!$C$16*Summary!$B$8</f>
        <v/>
      </c>
      <c r="O73" s="11">
        <f>M73-N73</f>
        <v/>
      </c>
    </row>
    <row r="74">
      <c r="A74" s="9" t="n">
        <v>45295</v>
      </c>
      <c r="B74" t="n">
        <v>1</v>
      </c>
      <c r="C74" t="n">
        <v>4</v>
      </c>
      <c r="D74" t="n">
        <v>0</v>
      </c>
      <c r="E74" s="10" t="n">
        <v>0</v>
      </c>
      <c r="F74" s="10" t="n">
        <v>0.3758323141997554</v>
      </c>
      <c r="G74" s="11">
        <f>E74*Summary!$B$6</f>
        <v/>
      </c>
      <c r="H74" s="11">
        <f>F74*Summary!$B$7</f>
        <v/>
      </c>
      <c r="I74" s="11">
        <f>MAX(0,N74-M74)</f>
        <v/>
      </c>
      <c r="J74" s="11">
        <f>MAX(0,M74-N74)</f>
        <v/>
      </c>
      <c r="K74" s="11">
        <f>O74</f>
        <v/>
      </c>
      <c r="L74" s="11">
        <f>L73+IF(K74&gt;0,K74*Summary!$B$9,K74/Summary!$B$9)</f>
        <v/>
      </c>
      <c r="M74" s="11">
        <f>G74+H74</f>
        <v/>
      </c>
      <c r="N74" s="11">
        <f>Summary!$C$16*Summary!$B$8</f>
        <v/>
      </c>
      <c r="O74" s="11">
        <f>M74-N74</f>
        <v/>
      </c>
    </row>
    <row r="75">
      <c r="A75" s="9" t="n">
        <v>45295.04166666666</v>
      </c>
      <c r="B75" t="n">
        <v>1</v>
      </c>
      <c r="C75" t="n">
        <v>4</v>
      </c>
      <c r="D75" t="n">
        <v>1</v>
      </c>
      <c r="E75" s="10" t="n">
        <v>0</v>
      </c>
      <c r="F75" s="10" t="n">
        <v>0.4943899906535977</v>
      </c>
      <c r="G75" s="11">
        <f>E75*Summary!$B$6</f>
        <v/>
      </c>
      <c r="H75" s="11">
        <f>F75*Summary!$B$7</f>
        <v/>
      </c>
      <c r="I75" s="11">
        <f>MAX(0,N75-M75)</f>
        <v/>
      </c>
      <c r="J75" s="11">
        <f>MAX(0,M75-N75)</f>
        <v/>
      </c>
      <c r="K75" s="11">
        <f>O75</f>
        <v/>
      </c>
      <c r="L75" s="11">
        <f>L74+IF(K75&gt;0,K75*Summary!$B$9,K75/Summary!$B$9)</f>
        <v/>
      </c>
      <c r="M75" s="11">
        <f>G75+H75</f>
        <v/>
      </c>
      <c r="N75" s="11">
        <f>Summary!$C$16*Summary!$B$8</f>
        <v/>
      </c>
      <c r="O75" s="11">
        <f>M75-N75</f>
        <v/>
      </c>
    </row>
    <row r="76">
      <c r="A76" s="9" t="n">
        <v>45295.08333333334</v>
      </c>
      <c r="B76" t="n">
        <v>1</v>
      </c>
      <c r="C76" t="n">
        <v>4</v>
      </c>
      <c r="D76" t="n">
        <v>2</v>
      </c>
      <c r="E76" s="10" t="n">
        <v>0</v>
      </c>
      <c r="F76" s="10" t="n">
        <v>0.5021374805129953</v>
      </c>
      <c r="G76" s="11">
        <f>E76*Summary!$B$6</f>
        <v/>
      </c>
      <c r="H76" s="11">
        <f>F76*Summary!$B$7</f>
        <v/>
      </c>
      <c r="I76" s="11">
        <f>MAX(0,N76-M76)</f>
        <v/>
      </c>
      <c r="J76" s="11">
        <f>MAX(0,M76-N76)</f>
        <v/>
      </c>
      <c r="K76" s="11">
        <f>O76</f>
        <v/>
      </c>
      <c r="L76" s="11">
        <f>L75+IF(K76&gt;0,K76*Summary!$B$9,K76/Summary!$B$9)</f>
        <v/>
      </c>
      <c r="M76" s="11">
        <f>G76+H76</f>
        <v/>
      </c>
      <c r="N76" s="11">
        <f>Summary!$C$16*Summary!$B$8</f>
        <v/>
      </c>
      <c r="O76" s="11">
        <f>M76-N76</f>
        <v/>
      </c>
    </row>
    <row r="77">
      <c r="A77" s="9" t="n">
        <v>45295.125</v>
      </c>
      <c r="B77" t="n">
        <v>1</v>
      </c>
      <c r="C77" t="n">
        <v>4</v>
      </c>
      <c r="D77" t="n">
        <v>3</v>
      </c>
      <c r="E77" s="10" t="n">
        <v>0</v>
      </c>
      <c r="F77" s="10" t="n">
        <v>0.5122566509415962</v>
      </c>
      <c r="G77" s="11">
        <f>E77*Summary!$B$6</f>
        <v/>
      </c>
      <c r="H77" s="11">
        <f>F77*Summary!$B$7</f>
        <v/>
      </c>
      <c r="I77" s="11">
        <f>MAX(0,N77-M77)</f>
        <v/>
      </c>
      <c r="J77" s="11">
        <f>MAX(0,M77-N77)</f>
        <v/>
      </c>
      <c r="K77" s="11">
        <f>O77</f>
        <v/>
      </c>
      <c r="L77" s="11">
        <f>L76+IF(K77&gt;0,K77*Summary!$B$9,K77/Summary!$B$9)</f>
        <v/>
      </c>
      <c r="M77" s="11">
        <f>G77+H77</f>
        <v/>
      </c>
      <c r="N77" s="11">
        <f>Summary!$C$16*Summary!$B$8</f>
        <v/>
      </c>
      <c r="O77" s="11">
        <f>M77-N77</f>
        <v/>
      </c>
    </row>
    <row r="78">
      <c r="A78" s="9" t="n">
        <v>45295.16666666666</v>
      </c>
      <c r="B78" t="n">
        <v>1</v>
      </c>
      <c r="C78" t="n">
        <v>4</v>
      </c>
      <c r="D78" t="n">
        <v>4</v>
      </c>
      <c r="E78" s="10" t="n">
        <v>0</v>
      </c>
      <c r="F78" s="10" t="n">
        <v>0.5170527160926518</v>
      </c>
      <c r="G78" s="11">
        <f>E78*Summary!$B$6</f>
        <v/>
      </c>
      <c r="H78" s="11">
        <f>F78*Summary!$B$7</f>
        <v/>
      </c>
      <c r="I78" s="11">
        <f>MAX(0,N78-M78)</f>
        <v/>
      </c>
      <c r="J78" s="11">
        <f>MAX(0,M78-N78)</f>
        <v/>
      </c>
      <c r="K78" s="11">
        <f>O78</f>
        <v/>
      </c>
      <c r="L78" s="11">
        <f>L77+IF(K78&gt;0,K78*Summary!$B$9,K78/Summary!$B$9)</f>
        <v/>
      </c>
      <c r="M78" s="11">
        <f>G78+H78</f>
        <v/>
      </c>
      <c r="N78" s="11">
        <f>Summary!$C$16*Summary!$B$8</f>
        <v/>
      </c>
      <c r="O78" s="11">
        <f>M78-N78</f>
        <v/>
      </c>
    </row>
    <row r="79">
      <c r="A79" s="9" t="n">
        <v>45295.20833333334</v>
      </c>
      <c r="B79" t="n">
        <v>1</v>
      </c>
      <c r="C79" t="n">
        <v>4</v>
      </c>
      <c r="D79" t="n">
        <v>5</v>
      </c>
      <c r="E79" s="10" t="n">
        <v>0</v>
      </c>
      <c r="F79" s="10" t="n">
        <v>0.5239832937559905</v>
      </c>
      <c r="G79" s="11">
        <f>E79*Summary!$B$6</f>
        <v/>
      </c>
      <c r="H79" s="11">
        <f>F79*Summary!$B$7</f>
        <v/>
      </c>
      <c r="I79" s="11">
        <f>MAX(0,N79-M79)</f>
        <v/>
      </c>
      <c r="J79" s="11">
        <f>MAX(0,M79-N79)</f>
        <v/>
      </c>
      <c r="K79" s="11">
        <f>O79</f>
        <v/>
      </c>
      <c r="L79" s="11">
        <f>L78+IF(K79&gt;0,K79*Summary!$B$9,K79/Summary!$B$9)</f>
        <v/>
      </c>
      <c r="M79" s="11">
        <f>G79+H79</f>
        <v/>
      </c>
      <c r="N79" s="11">
        <f>Summary!$C$16*Summary!$B$8</f>
        <v/>
      </c>
      <c r="O79" s="11">
        <f>M79-N79</f>
        <v/>
      </c>
    </row>
    <row r="80">
      <c r="A80" s="9" t="n">
        <v>45295.25</v>
      </c>
      <c r="B80" t="n">
        <v>1</v>
      </c>
      <c r="C80" t="n">
        <v>4</v>
      </c>
      <c r="D80" t="n">
        <v>6</v>
      </c>
      <c r="E80" s="10" t="n">
        <v>0</v>
      </c>
      <c r="F80" s="10" t="n">
        <v>0.5259860462366511</v>
      </c>
      <c r="G80" s="11">
        <f>E80*Summary!$B$6</f>
        <v/>
      </c>
      <c r="H80" s="11">
        <f>F80*Summary!$B$7</f>
        <v/>
      </c>
      <c r="I80" s="11">
        <f>MAX(0,N80-M80)</f>
        <v/>
      </c>
      <c r="J80" s="11">
        <f>MAX(0,M80-N80)</f>
        <v/>
      </c>
      <c r="K80" s="11">
        <f>O80</f>
        <v/>
      </c>
      <c r="L80" s="11">
        <f>L79+IF(K80&gt;0,K80*Summary!$B$9,K80/Summary!$B$9)</f>
        <v/>
      </c>
      <c r="M80" s="11">
        <f>G80+H80</f>
        <v/>
      </c>
      <c r="N80" s="11">
        <f>Summary!$C$16*Summary!$B$8</f>
        <v/>
      </c>
      <c r="O80" s="11">
        <f>M80-N80</f>
        <v/>
      </c>
    </row>
    <row r="81">
      <c r="A81" s="9" t="n">
        <v>45295.29166666666</v>
      </c>
      <c r="B81" t="n">
        <v>1</v>
      </c>
      <c r="C81" t="n">
        <v>4</v>
      </c>
      <c r="D81" t="n">
        <v>7</v>
      </c>
      <c r="E81" s="10" t="n">
        <v>0</v>
      </c>
      <c r="F81" s="10" t="n">
        <v>0.5251427820342677</v>
      </c>
      <c r="G81" s="11">
        <f>E81*Summary!$B$6</f>
        <v/>
      </c>
      <c r="H81" s="11">
        <f>F81*Summary!$B$7</f>
        <v/>
      </c>
      <c r="I81" s="11">
        <f>MAX(0,N81-M81)</f>
        <v/>
      </c>
      <c r="J81" s="11">
        <f>MAX(0,M81-N81)</f>
        <v/>
      </c>
      <c r="K81" s="11">
        <f>O81</f>
        <v/>
      </c>
      <c r="L81" s="11">
        <f>L80+IF(K81&gt;0,K81*Summary!$B$9,K81/Summary!$B$9)</f>
        <v/>
      </c>
      <c r="M81" s="11">
        <f>G81+H81</f>
        <v/>
      </c>
      <c r="N81" s="11">
        <f>Summary!$C$16*Summary!$B$8</f>
        <v/>
      </c>
      <c r="O81" s="11">
        <f>M81-N81</f>
        <v/>
      </c>
    </row>
    <row r="82">
      <c r="A82" s="9" t="n">
        <v>45295.33333333334</v>
      </c>
      <c r="B82" t="n">
        <v>1</v>
      </c>
      <c r="C82" t="n">
        <v>4</v>
      </c>
      <c r="D82" t="n">
        <v>8</v>
      </c>
      <c r="E82" s="10" t="n">
        <v>0</v>
      </c>
      <c r="F82" s="10" t="n">
        <v>0.5231663815599316</v>
      </c>
      <c r="G82" s="11">
        <f>E82*Summary!$B$6</f>
        <v/>
      </c>
      <c r="H82" s="11">
        <f>F82*Summary!$B$7</f>
        <v/>
      </c>
      <c r="I82" s="11">
        <f>MAX(0,N82-M82)</f>
        <v/>
      </c>
      <c r="J82" s="11">
        <f>MAX(0,M82-N82)</f>
        <v/>
      </c>
      <c r="K82" s="11">
        <f>O82</f>
        <v/>
      </c>
      <c r="L82" s="11">
        <f>L81+IF(K82&gt;0,K82*Summary!$B$9,K82/Summary!$B$9)</f>
        <v/>
      </c>
      <c r="M82" s="11">
        <f>G82+H82</f>
        <v/>
      </c>
      <c r="N82" s="11">
        <f>Summary!$C$16*Summary!$B$8</f>
        <v/>
      </c>
      <c r="O82" s="11">
        <f>M82-N82</f>
        <v/>
      </c>
    </row>
    <row r="83">
      <c r="A83" s="9" t="n">
        <v>45295.375</v>
      </c>
      <c r="B83" t="n">
        <v>1</v>
      </c>
      <c r="C83" t="n">
        <v>4</v>
      </c>
      <c r="D83" t="n">
        <v>9</v>
      </c>
      <c r="E83" s="10" t="n">
        <v>0.025148</v>
      </c>
      <c r="F83" s="10" t="n">
        <v>0.516077691858646</v>
      </c>
      <c r="G83" s="11">
        <f>E83*Summary!$B$6</f>
        <v/>
      </c>
      <c r="H83" s="11">
        <f>F83*Summary!$B$7</f>
        <v/>
      </c>
      <c r="I83" s="11">
        <f>MAX(0,N83-M83)</f>
        <v/>
      </c>
      <c r="J83" s="11">
        <f>MAX(0,M83-N83)</f>
        <v/>
      </c>
      <c r="K83" s="11">
        <f>O83</f>
        <v/>
      </c>
      <c r="L83" s="11">
        <f>L82+IF(K83&gt;0,K83*Summary!$B$9,K83/Summary!$B$9)</f>
        <v/>
      </c>
      <c r="M83" s="11">
        <f>G83+H83</f>
        <v/>
      </c>
      <c r="N83" s="11">
        <f>Summary!$C$16*Summary!$B$8</f>
        <v/>
      </c>
      <c r="O83" s="11">
        <f>M83-N83</f>
        <v/>
      </c>
    </row>
    <row r="84">
      <c r="A84" s="9" t="n">
        <v>45295.41666666666</v>
      </c>
      <c r="B84" t="n">
        <v>1</v>
      </c>
      <c r="C84" t="n">
        <v>4</v>
      </c>
      <c r="D84" t="n">
        <v>10</v>
      </c>
      <c r="E84" s="10" t="n">
        <v>0.12703</v>
      </c>
      <c r="F84" s="10" t="n">
        <v>0.5155506517321564</v>
      </c>
      <c r="G84" s="11">
        <f>E84*Summary!$B$6</f>
        <v/>
      </c>
      <c r="H84" s="11">
        <f>F84*Summary!$B$7</f>
        <v/>
      </c>
      <c r="I84" s="11">
        <f>MAX(0,N84-M84)</f>
        <v/>
      </c>
      <c r="J84" s="11">
        <f>MAX(0,M84-N84)</f>
        <v/>
      </c>
      <c r="K84" s="11">
        <f>O84</f>
        <v/>
      </c>
      <c r="L84" s="11">
        <f>L83+IF(K84&gt;0,K84*Summary!$B$9,K84/Summary!$B$9)</f>
        <v/>
      </c>
      <c r="M84" s="11">
        <f>G84+H84</f>
        <v/>
      </c>
      <c r="N84" s="11">
        <f>Summary!$C$16*Summary!$B$8</f>
        <v/>
      </c>
      <c r="O84" s="11">
        <f>M84-N84</f>
        <v/>
      </c>
    </row>
    <row r="85">
      <c r="A85" s="9" t="n">
        <v>45295.45833333334</v>
      </c>
      <c r="B85" t="n">
        <v>1</v>
      </c>
      <c r="C85" t="n">
        <v>4</v>
      </c>
      <c r="D85" t="n">
        <v>11</v>
      </c>
      <c r="E85" s="10" t="n">
        <v>0.191832</v>
      </c>
      <c r="F85" s="10" t="n">
        <v>0.5069335456640509</v>
      </c>
      <c r="G85" s="11">
        <f>E85*Summary!$B$6</f>
        <v/>
      </c>
      <c r="H85" s="11">
        <f>F85*Summary!$B$7</f>
        <v/>
      </c>
      <c r="I85" s="11">
        <f>MAX(0,N85-M85)</f>
        <v/>
      </c>
      <c r="J85" s="11">
        <f>MAX(0,M85-N85)</f>
        <v/>
      </c>
      <c r="K85" s="11">
        <f>O85</f>
        <v/>
      </c>
      <c r="L85" s="11">
        <f>L84+IF(K85&gt;0,K85*Summary!$B$9,K85/Summary!$B$9)</f>
        <v/>
      </c>
      <c r="M85" s="11">
        <f>G85+H85</f>
        <v/>
      </c>
      <c r="N85" s="11">
        <f>Summary!$C$16*Summary!$B$8</f>
        <v/>
      </c>
      <c r="O85" s="11">
        <f>M85-N85</f>
        <v/>
      </c>
    </row>
    <row r="86">
      <c r="A86" s="9" t="n">
        <v>45295.5</v>
      </c>
      <c r="B86" t="n">
        <v>1</v>
      </c>
      <c r="C86" t="n">
        <v>4</v>
      </c>
      <c r="D86" t="n">
        <v>12</v>
      </c>
      <c r="E86" s="10" t="n">
        <v>0.208851</v>
      </c>
      <c r="F86" s="10" t="n">
        <v>0.4957075909698219</v>
      </c>
      <c r="G86" s="11">
        <f>E86*Summary!$B$6</f>
        <v/>
      </c>
      <c r="H86" s="11">
        <f>F86*Summary!$B$7</f>
        <v/>
      </c>
      <c r="I86" s="11">
        <f>MAX(0,N86-M86)</f>
        <v/>
      </c>
      <c r="J86" s="11">
        <f>MAX(0,M86-N86)</f>
        <v/>
      </c>
      <c r="K86" s="11">
        <f>O86</f>
        <v/>
      </c>
      <c r="L86" s="11">
        <f>L85+IF(K86&gt;0,K86*Summary!$B$9,K86/Summary!$B$9)</f>
        <v/>
      </c>
      <c r="M86" s="11">
        <f>G86+H86</f>
        <v/>
      </c>
      <c r="N86" s="11">
        <f>Summary!$C$16*Summary!$B$8</f>
        <v/>
      </c>
      <c r="O86" s="11">
        <f>M86-N86</f>
        <v/>
      </c>
    </row>
    <row r="87">
      <c r="A87" s="9" t="n">
        <v>45295.54166666666</v>
      </c>
      <c r="B87" t="n">
        <v>1</v>
      </c>
      <c r="C87" t="n">
        <v>4</v>
      </c>
      <c r="D87" t="n">
        <v>13</v>
      </c>
      <c r="E87" s="10" t="n">
        <v>0.165081</v>
      </c>
      <c r="F87" s="10" t="n">
        <v>0.4851667884400292</v>
      </c>
      <c r="G87" s="11">
        <f>E87*Summary!$B$6</f>
        <v/>
      </c>
      <c r="H87" s="11">
        <f>F87*Summary!$B$7</f>
        <v/>
      </c>
      <c r="I87" s="11">
        <f>MAX(0,N87-M87)</f>
        <v/>
      </c>
      <c r="J87" s="11">
        <f>MAX(0,M87-N87)</f>
        <v/>
      </c>
      <c r="K87" s="11">
        <f>O87</f>
        <v/>
      </c>
      <c r="L87" s="11">
        <f>L86+IF(K87&gt;0,K87*Summary!$B$9,K87/Summary!$B$9)</f>
        <v/>
      </c>
      <c r="M87" s="11">
        <f>G87+H87</f>
        <v/>
      </c>
      <c r="N87" s="11">
        <f>Summary!$C$16*Summary!$B$8</f>
        <v/>
      </c>
      <c r="O87" s="11">
        <f>M87-N87</f>
        <v/>
      </c>
    </row>
    <row r="88">
      <c r="A88" s="9" t="n">
        <v>45295.58333333334</v>
      </c>
      <c r="B88" t="n">
        <v>1</v>
      </c>
      <c r="C88" t="n">
        <v>4</v>
      </c>
      <c r="D88" t="n">
        <v>14</v>
      </c>
      <c r="E88" s="10" t="n">
        <v>0.058942</v>
      </c>
      <c r="F88" s="10" t="n">
        <v>0.4820572516937404</v>
      </c>
      <c r="G88" s="11">
        <f>E88*Summary!$B$6</f>
        <v/>
      </c>
      <c r="H88" s="11">
        <f>F88*Summary!$B$7</f>
        <v/>
      </c>
      <c r="I88" s="11">
        <f>MAX(0,N88-M88)</f>
        <v/>
      </c>
      <c r="J88" s="11">
        <f>MAX(0,M88-N88)</f>
        <v/>
      </c>
      <c r="K88" s="11">
        <f>O88</f>
        <v/>
      </c>
      <c r="L88" s="11">
        <f>L87+IF(K88&gt;0,K88*Summary!$B$9,K88/Summary!$B$9)</f>
        <v/>
      </c>
      <c r="M88" s="11">
        <f>G88+H88</f>
        <v/>
      </c>
      <c r="N88" s="11">
        <f>Summary!$C$16*Summary!$B$8</f>
        <v/>
      </c>
      <c r="O88" s="11">
        <f>M88-N88</f>
        <v/>
      </c>
    </row>
    <row r="89">
      <c r="A89" s="9" t="n">
        <v>45295.625</v>
      </c>
      <c r="B89" t="n">
        <v>1</v>
      </c>
      <c r="C89" t="n">
        <v>4</v>
      </c>
      <c r="D89" t="n">
        <v>15</v>
      </c>
      <c r="E89" s="10" t="n">
        <v>0</v>
      </c>
      <c r="F89" s="10" t="n">
        <v>0.483453908028938</v>
      </c>
      <c r="G89" s="11">
        <f>E89*Summary!$B$6</f>
        <v/>
      </c>
      <c r="H89" s="11">
        <f>F89*Summary!$B$7</f>
        <v/>
      </c>
      <c r="I89" s="11">
        <f>MAX(0,N89-M89)</f>
        <v/>
      </c>
      <c r="J89" s="11">
        <f>MAX(0,M89-N89)</f>
        <v/>
      </c>
      <c r="K89" s="11">
        <f>O89</f>
        <v/>
      </c>
      <c r="L89" s="11">
        <f>L88+IF(K89&gt;0,K89*Summary!$B$9,K89/Summary!$B$9)</f>
        <v/>
      </c>
      <c r="M89" s="11">
        <f>G89+H89</f>
        <v/>
      </c>
      <c r="N89" s="11">
        <f>Summary!$C$16*Summary!$B$8</f>
        <v/>
      </c>
      <c r="O89" s="11">
        <f>M89-N89</f>
        <v/>
      </c>
    </row>
    <row r="90">
      <c r="A90" s="9" t="n">
        <v>45295.66666666666</v>
      </c>
      <c r="B90" t="n">
        <v>1</v>
      </c>
      <c r="C90" t="n">
        <v>4</v>
      </c>
      <c r="D90" t="n">
        <v>16</v>
      </c>
      <c r="E90" s="10" t="n">
        <v>0</v>
      </c>
      <c r="F90" s="10" t="n">
        <v>0.4806078913458939</v>
      </c>
      <c r="G90" s="11">
        <f>E90*Summary!$B$6</f>
        <v/>
      </c>
      <c r="H90" s="11">
        <f>F90*Summary!$B$7</f>
        <v/>
      </c>
      <c r="I90" s="11">
        <f>MAX(0,N90-M90)</f>
        <v/>
      </c>
      <c r="J90" s="11">
        <f>MAX(0,M90-N90)</f>
        <v/>
      </c>
      <c r="K90" s="11">
        <f>O90</f>
        <v/>
      </c>
      <c r="L90" s="11">
        <f>L89+IF(K90&gt;0,K90*Summary!$B$9,K90/Summary!$B$9)</f>
        <v/>
      </c>
      <c r="M90" s="11">
        <f>G90+H90</f>
        <v/>
      </c>
      <c r="N90" s="11">
        <f>Summary!$C$16*Summary!$B$8</f>
        <v/>
      </c>
      <c r="O90" s="11">
        <f>M90-N90</f>
        <v/>
      </c>
    </row>
    <row r="91">
      <c r="A91" s="9" t="n">
        <v>45295.70833333334</v>
      </c>
      <c r="B91" t="n">
        <v>1</v>
      </c>
      <c r="C91" t="n">
        <v>4</v>
      </c>
      <c r="D91" t="n">
        <v>17</v>
      </c>
      <c r="E91" s="10" t="n">
        <v>0</v>
      </c>
      <c r="F91" s="10" t="n">
        <v>0.4748895059734815</v>
      </c>
      <c r="G91" s="11">
        <f>E91*Summary!$B$6</f>
        <v/>
      </c>
      <c r="H91" s="11">
        <f>F91*Summary!$B$7</f>
        <v/>
      </c>
      <c r="I91" s="11">
        <f>MAX(0,N91-M91)</f>
        <v/>
      </c>
      <c r="J91" s="11">
        <f>MAX(0,M91-N91)</f>
        <v/>
      </c>
      <c r="K91" s="11">
        <f>O91</f>
        <v/>
      </c>
      <c r="L91" s="11">
        <f>L90+IF(K91&gt;0,K91*Summary!$B$9,K91/Summary!$B$9)</f>
        <v/>
      </c>
      <c r="M91" s="11">
        <f>G91+H91</f>
        <v/>
      </c>
      <c r="N91" s="11">
        <f>Summary!$C$16*Summary!$B$8</f>
        <v/>
      </c>
      <c r="O91" s="11">
        <f>M91-N91</f>
        <v/>
      </c>
    </row>
    <row r="92">
      <c r="A92" s="9" t="n">
        <v>45295.75</v>
      </c>
      <c r="B92" t="n">
        <v>1</v>
      </c>
      <c r="C92" t="n">
        <v>4</v>
      </c>
      <c r="D92" t="n">
        <v>18</v>
      </c>
      <c r="E92" s="10" t="n">
        <v>0</v>
      </c>
      <c r="F92" s="10" t="n">
        <v>0.46047495851399</v>
      </c>
      <c r="G92" s="11">
        <f>E92*Summary!$B$6</f>
        <v/>
      </c>
      <c r="H92" s="11">
        <f>F92*Summary!$B$7</f>
        <v/>
      </c>
      <c r="I92" s="11">
        <f>MAX(0,N92-M92)</f>
        <v/>
      </c>
      <c r="J92" s="11">
        <f>MAX(0,M92-N92)</f>
        <v/>
      </c>
      <c r="K92" s="11">
        <f>O92</f>
        <v/>
      </c>
      <c r="L92" s="11">
        <f>L91+IF(K92&gt;0,K92*Summary!$B$9,K92/Summary!$B$9)</f>
        <v/>
      </c>
      <c r="M92" s="11">
        <f>G92+H92</f>
        <v/>
      </c>
      <c r="N92" s="11">
        <f>Summary!$C$16*Summary!$B$8</f>
        <v/>
      </c>
      <c r="O92" s="11">
        <f>M92-N92</f>
        <v/>
      </c>
    </row>
    <row r="93">
      <c r="A93" s="9" t="n">
        <v>45295.79166666666</v>
      </c>
      <c r="B93" t="n">
        <v>1</v>
      </c>
      <c r="C93" t="n">
        <v>4</v>
      </c>
      <c r="D93" t="n">
        <v>19</v>
      </c>
      <c r="E93" s="10" t="n">
        <v>0</v>
      </c>
      <c r="F93" s="10" t="n">
        <v>0.4437414344979443</v>
      </c>
      <c r="G93" s="11">
        <f>E93*Summary!$B$6</f>
        <v/>
      </c>
      <c r="H93" s="11">
        <f>F93*Summary!$B$7</f>
        <v/>
      </c>
      <c r="I93" s="11">
        <f>MAX(0,N93-M93)</f>
        <v/>
      </c>
      <c r="J93" s="11">
        <f>MAX(0,M93-N93)</f>
        <v/>
      </c>
      <c r="K93" s="11">
        <f>O93</f>
        <v/>
      </c>
      <c r="L93" s="11">
        <f>L92+IF(K93&gt;0,K93*Summary!$B$9,K93/Summary!$B$9)</f>
        <v/>
      </c>
      <c r="M93" s="11">
        <f>G93+H93</f>
        <v/>
      </c>
      <c r="N93" s="11">
        <f>Summary!$C$16*Summary!$B$8</f>
        <v/>
      </c>
      <c r="O93" s="11">
        <f>M93-N93</f>
        <v/>
      </c>
    </row>
    <row r="94">
      <c r="A94" s="9" t="n">
        <v>45295.83333333334</v>
      </c>
      <c r="B94" t="n">
        <v>1</v>
      </c>
      <c r="C94" t="n">
        <v>4</v>
      </c>
      <c r="D94" t="n">
        <v>20</v>
      </c>
      <c r="E94" s="10" t="n">
        <v>0</v>
      </c>
      <c r="F94" s="10" t="n">
        <v>0.4229497015079283</v>
      </c>
      <c r="G94" s="11">
        <f>E94*Summary!$B$6</f>
        <v/>
      </c>
      <c r="H94" s="11">
        <f>F94*Summary!$B$7</f>
        <v/>
      </c>
      <c r="I94" s="11">
        <f>MAX(0,N94-M94)</f>
        <v/>
      </c>
      <c r="J94" s="11">
        <f>MAX(0,M94-N94)</f>
        <v/>
      </c>
      <c r="K94" s="11">
        <f>O94</f>
        <v/>
      </c>
      <c r="L94" s="11">
        <f>L93+IF(K94&gt;0,K94*Summary!$B$9,K94/Summary!$B$9)</f>
        <v/>
      </c>
      <c r="M94" s="11">
        <f>G94+H94</f>
        <v/>
      </c>
      <c r="N94" s="11">
        <f>Summary!$C$16*Summary!$B$8</f>
        <v/>
      </c>
      <c r="O94" s="11">
        <f>M94-N94</f>
        <v/>
      </c>
    </row>
    <row r="95">
      <c r="A95" s="9" t="n">
        <v>45295.875</v>
      </c>
      <c r="B95" t="n">
        <v>1</v>
      </c>
      <c r="C95" t="n">
        <v>4</v>
      </c>
      <c r="D95" t="n">
        <v>21</v>
      </c>
      <c r="E95" s="10" t="n">
        <v>0</v>
      </c>
      <c r="F95" s="10" t="n">
        <v>0.4081135219472453</v>
      </c>
      <c r="G95" s="11">
        <f>E95*Summary!$B$6</f>
        <v/>
      </c>
      <c r="H95" s="11">
        <f>F95*Summary!$B$7</f>
        <v/>
      </c>
      <c r="I95" s="11">
        <f>MAX(0,N95-M95)</f>
        <v/>
      </c>
      <c r="J95" s="11">
        <f>MAX(0,M95-N95)</f>
        <v/>
      </c>
      <c r="K95" s="11">
        <f>O95</f>
        <v/>
      </c>
      <c r="L95" s="11">
        <f>L94+IF(K95&gt;0,K95*Summary!$B$9,K95/Summary!$B$9)</f>
        <v/>
      </c>
      <c r="M95" s="11">
        <f>G95+H95</f>
        <v/>
      </c>
      <c r="N95" s="11">
        <f>Summary!$C$16*Summary!$B$8</f>
        <v/>
      </c>
      <c r="O95" s="11">
        <f>M95-N95</f>
        <v/>
      </c>
    </row>
    <row r="96">
      <c r="A96" s="9" t="n">
        <v>45295.91666666666</v>
      </c>
      <c r="B96" t="n">
        <v>1</v>
      </c>
      <c r="C96" t="n">
        <v>4</v>
      </c>
      <c r="D96" t="n">
        <v>22</v>
      </c>
      <c r="E96" s="10" t="n">
        <v>0</v>
      </c>
      <c r="F96" s="10" t="n">
        <v>0.3945158866838128</v>
      </c>
      <c r="G96" s="11">
        <f>E96*Summary!$B$6</f>
        <v/>
      </c>
      <c r="H96" s="11">
        <f>F96*Summary!$B$7</f>
        <v/>
      </c>
      <c r="I96" s="11">
        <f>MAX(0,N96-M96)</f>
        <v/>
      </c>
      <c r="J96" s="11">
        <f>MAX(0,M96-N96)</f>
        <v/>
      </c>
      <c r="K96" s="11">
        <f>O96</f>
        <v/>
      </c>
      <c r="L96" s="11">
        <f>L95+IF(K96&gt;0,K96*Summary!$B$9,K96/Summary!$B$9)</f>
        <v/>
      </c>
      <c r="M96" s="11">
        <f>G96+H96</f>
        <v/>
      </c>
      <c r="N96" s="11">
        <f>Summary!$C$16*Summary!$B$8</f>
        <v/>
      </c>
      <c r="O96" s="11">
        <f>M96-N96</f>
        <v/>
      </c>
    </row>
    <row r="97">
      <c r="A97" s="9" t="n">
        <v>45295.95833333334</v>
      </c>
      <c r="B97" t="n">
        <v>1</v>
      </c>
      <c r="C97" t="n">
        <v>4</v>
      </c>
      <c r="D97" t="n">
        <v>23</v>
      </c>
      <c r="E97" s="10" t="n">
        <v>0</v>
      </c>
      <c r="F97" s="10" t="n">
        <v>0.3842122522109405</v>
      </c>
      <c r="G97" s="11">
        <f>E97*Summary!$B$6</f>
        <v/>
      </c>
      <c r="H97" s="11">
        <f>F97*Summary!$B$7</f>
        <v/>
      </c>
      <c r="I97" s="11">
        <f>MAX(0,N97-M97)</f>
        <v/>
      </c>
      <c r="J97" s="11">
        <f>MAX(0,M97-N97)</f>
        <v/>
      </c>
      <c r="K97" s="11">
        <f>O97</f>
        <v/>
      </c>
      <c r="L97" s="11">
        <f>L96+IF(K97&gt;0,K97*Summary!$B$9,K97/Summary!$B$9)</f>
        <v/>
      </c>
      <c r="M97" s="11">
        <f>G97+H97</f>
        <v/>
      </c>
      <c r="N97" s="11">
        <f>Summary!$C$16*Summary!$B$8</f>
        <v/>
      </c>
      <c r="O97" s="11">
        <f>M97-N97</f>
        <v/>
      </c>
    </row>
    <row r="98">
      <c r="A98" s="9" t="n">
        <v>45296</v>
      </c>
      <c r="B98" t="n">
        <v>1</v>
      </c>
      <c r="C98" t="n">
        <v>5</v>
      </c>
      <c r="D98" t="n">
        <v>0</v>
      </c>
      <c r="E98" s="10" t="n">
        <v>0</v>
      </c>
      <c r="F98" s="10" t="n">
        <v>0.2782771867865249</v>
      </c>
      <c r="G98" s="11">
        <f>E98*Summary!$B$6</f>
        <v/>
      </c>
      <c r="H98" s="11">
        <f>F98*Summary!$B$7</f>
        <v/>
      </c>
      <c r="I98" s="11">
        <f>MAX(0,N98-M98)</f>
        <v/>
      </c>
      <c r="J98" s="11">
        <f>MAX(0,M98-N98)</f>
        <v/>
      </c>
      <c r="K98" s="11">
        <f>O98</f>
        <v/>
      </c>
      <c r="L98" s="11">
        <f>L97+IF(K98&gt;0,K98*Summary!$B$9,K98/Summary!$B$9)</f>
        <v/>
      </c>
      <c r="M98" s="11">
        <f>G98+H98</f>
        <v/>
      </c>
      <c r="N98" s="11">
        <f>Summary!$C$16*Summary!$B$8</f>
        <v/>
      </c>
      <c r="O98" s="11">
        <f>M98-N98</f>
        <v/>
      </c>
    </row>
    <row r="99">
      <c r="A99" s="9" t="n">
        <v>45296.04166666666</v>
      </c>
      <c r="B99" t="n">
        <v>1</v>
      </c>
      <c r="C99" t="n">
        <v>5</v>
      </c>
      <c r="D99" t="n">
        <v>1</v>
      </c>
      <c r="E99" s="10" t="n">
        <v>0</v>
      </c>
      <c r="F99" s="10" t="n">
        <v>0.3853717404892177</v>
      </c>
      <c r="G99" s="11">
        <f>E99*Summary!$B$6</f>
        <v/>
      </c>
      <c r="H99" s="11">
        <f>F99*Summary!$B$7</f>
        <v/>
      </c>
      <c r="I99" s="11">
        <f>MAX(0,N99-M99)</f>
        <v/>
      </c>
      <c r="J99" s="11">
        <f>MAX(0,M99-N99)</f>
        <v/>
      </c>
      <c r="K99" s="11">
        <f>O99</f>
        <v/>
      </c>
      <c r="L99" s="11">
        <f>L98+IF(K99&gt;0,K99*Summary!$B$9,K99/Summary!$B$9)</f>
        <v/>
      </c>
      <c r="M99" s="11">
        <f>G99+H99</f>
        <v/>
      </c>
      <c r="N99" s="11">
        <f>Summary!$C$16*Summary!$B$8</f>
        <v/>
      </c>
      <c r="O99" s="11">
        <f>M99-N99</f>
        <v/>
      </c>
    </row>
    <row r="100">
      <c r="A100" s="9" t="n">
        <v>45296.08333333334</v>
      </c>
      <c r="B100" t="n">
        <v>1</v>
      </c>
      <c r="C100" t="n">
        <v>5</v>
      </c>
      <c r="D100" t="n">
        <v>2</v>
      </c>
      <c r="E100" s="10" t="n">
        <v>0</v>
      </c>
      <c r="F100" s="10" t="n">
        <v>0.3524053805772914</v>
      </c>
      <c r="G100" s="11">
        <f>E100*Summary!$B$6</f>
        <v/>
      </c>
      <c r="H100" s="11">
        <f>F100*Summary!$B$7</f>
        <v/>
      </c>
      <c r="I100" s="11">
        <f>MAX(0,N100-M100)</f>
        <v/>
      </c>
      <c r="J100" s="11">
        <f>MAX(0,M100-N100)</f>
        <v/>
      </c>
      <c r="K100" s="11">
        <f>O100</f>
        <v/>
      </c>
      <c r="L100" s="11">
        <f>L99+IF(K100&gt;0,K100*Summary!$B$9,K100/Summary!$B$9)</f>
        <v/>
      </c>
      <c r="M100" s="11">
        <f>G100+H100</f>
        <v/>
      </c>
      <c r="N100" s="11">
        <f>Summary!$C$16*Summary!$B$8</f>
        <v/>
      </c>
      <c r="O100" s="11">
        <f>M100-N100</f>
        <v/>
      </c>
    </row>
    <row r="101">
      <c r="A101" s="9" t="n">
        <v>45296.125</v>
      </c>
      <c r="B101" t="n">
        <v>1</v>
      </c>
      <c r="C101" t="n">
        <v>5</v>
      </c>
      <c r="D101" t="n">
        <v>3</v>
      </c>
      <c r="E101" s="10" t="n">
        <v>0</v>
      </c>
      <c r="F101" s="10" t="n">
        <v>0.3393874894529975</v>
      </c>
      <c r="G101" s="11">
        <f>E101*Summary!$B$6</f>
        <v/>
      </c>
      <c r="H101" s="11">
        <f>F101*Summary!$B$7</f>
        <v/>
      </c>
      <c r="I101" s="11">
        <f>MAX(0,N101-M101)</f>
        <v/>
      </c>
      <c r="J101" s="11">
        <f>MAX(0,M101-N101)</f>
        <v/>
      </c>
      <c r="K101" s="11">
        <f>O101</f>
        <v/>
      </c>
      <c r="L101" s="11">
        <f>L100+IF(K101&gt;0,K101*Summary!$B$9,K101/Summary!$B$9)</f>
        <v/>
      </c>
      <c r="M101" s="11">
        <f>G101+H101</f>
        <v/>
      </c>
      <c r="N101" s="11">
        <f>Summary!$C$16*Summary!$B$8</f>
        <v/>
      </c>
      <c r="O101" s="11">
        <f>M101-N101</f>
        <v/>
      </c>
    </row>
    <row r="102">
      <c r="A102" s="9" t="n">
        <v>45296.16666666666</v>
      </c>
      <c r="B102" t="n">
        <v>1</v>
      </c>
      <c r="C102" t="n">
        <v>5</v>
      </c>
      <c r="D102" t="n">
        <v>4</v>
      </c>
      <c r="E102" s="10" t="n">
        <v>0</v>
      </c>
      <c r="F102" s="10" t="n">
        <v>0.3482154115716988</v>
      </c>
      <c r="G102" s="11">
        <f>E102*Summary!$B$6</f>
        <v/>
      </c>
      <c r="H102" s="11">
        <f>F102*Summary!$B$7</f>
        <v/>
      </c>
      <c r="I102" s="11">
        <f>MAX(0,N102-M102)</f>
        <v/>
      </c>
      <c r="J102" s="11">
        <f>MAX(0,M102-N102)</f>
        <v/>
      </c>
      <c r="K102" s="11">
        <f>O102</f>
        <v/>
      </c>
      <c r="L102" s="11">
        <f>L101+IF(K102&gt;0,K102*Summary!$B$9,K102/Summary!$B$9)</f>
        <v/>
      </c>
      <c r="M102" s="11">
        <f>G102+H102</f>
        <v/>
      </c>
      <c r="N102" s="11">
        <f>Summary!$C$16*Summary!$B$8</f>
        <v/>
      </c>
      <c r="O102" s="11">
        <f>M102-N102</f>
        <v/>
      </c>
    </row>
    <row r="103">
      <c r="A103" s="9" t="n">
        <v>45296.20833333334</v>
      </c>
      <c r="B103" t="n">
        <v>1</v>
      </c>
      <c r="C103" t="n">
        <v>5</v>
      </c>
      <c r="D103" t="n">
        <v>5</v>
      </c>
      <c r="E103" s="10" t="n">
        <v>0</v>
      </c>
      <c r="F103" s="10" t="n">
        <v>0.316487595957023</v>
      </c>
      <c r="G103" s="11">
        <f>E103*Summary!$B$6</f>
        <v/>
      </c>
      <c r="H103" s="11">
        <f>F103*Summary!$B$7</f>
        <v/>
      </c>
      <c r="I103" s="11">
        <f>MAX(0,N103-M103)</f>
        <v/>
      </c>
      <c r="J103" s="11">
        <f>MAX(0,M103-N103)</f>
        <v/>
      </c>
      <c r="K103" s="11">
        <f>O103</f>
        <v/>
      </c>
      <c r="L103" s="11">
        <f>L102+IF(K103&gt;0,K103*Summary!$B$9,K103/Summary!$B$9)</f>
        <v/>
      </c>
      <c r="M103" s="11">
        <f>G103+H103</f>
        <v/>
      </c>
      <c r="N103" s="11">
        <f>Summary!$C$16*Summary!$B$8</f>
        <v/>
      </c>
      <c r="O103" s="11">
        <f>M103-N103</f>
        <v/>
      </c>
    </row>
    <row r="104">
      <c r="A104" s="9" t="n">
        <v>45296.25</v>
      </c>
      <c r="B104" t="n">
        <v>1</v>
      </c>
      <c r="C104" t="n">
        <v>5</v>
      </c>
      <c r="D104" t="n">
        <v>6</v>
      </c>
      <c r="E104" s="10" t="n">
        <v>0</v>
      </c>
      <c r="F104" s="10" t="n">
        <v>0.3146429555143093</v>
      </c>
      <c r="G104" s="11">
        <f>E104*Summary!$B$6</f>
        <v/>
      </c>
      <c r="H104" s="11">
        <f>F104*Summary!$B$7</f>
        <v/>
      </c>
      <c r="I104" s="11">
        <f>MAX(0,N104-M104)</f>
        <v/>
      </c>
      <c r="J104" s="11">
        <f>MAX(0,M104-N104)</f>
        <v/>
      </c>
      <c r="K104" s="11">
        <f>O104</f>
        <v/>
      </c>
      <c r="L104" s="11">
        <f>L103+IF(K104&gt;0,K104*Summary!$B$9,K104/Summary!$B$9)</f>
        <v/>
      </c>
      <c r="M104" s="11">
        <f>G104+H104</f>
        <v/>
      </c>
      <c r="N104" s="11">
        <f>Summary!$C$16*Summary!$B$8</f>
        <v/>
      </c>
      <c r="O104" s="11">
        <f>M104-N104</f>
        <v/>
      </c>
    </row>
    <row r="105">
      <c r="A105" s="9" t="n">
        <v>45296.29166666666</v>
      </c>
      <c r="B105" t="n">
        <v>1</v>
      </c>
      <c r="C105" t="n">
        <v>5</v>
      </c>
      <c r="D105" t="n">
        <v>7</v>
      </c>
      <c r="E105" s="10" t="n">
        <v>0</v>
      </c>
      <c r="F105" s="10" t="n">
        <v>0.30088720821293</v>
      </c>
      <c r="G105" s="11">
        <f>E105*Summary!$B$6</f>
        <v/>
      </c>
      <c r="H105" s="11">
        <f>F105*Summary!$B$7</f>
        <v/>
      </c>
      <c r="I105" s="11">
        <f>MAX(0,N105-M105)</f>
        <v/>
      </c>
      <c r="J105" s="11">
        <f>MAX(0,M105-N105)</f>
        <v/>
      </c>
      <c r="K105" s="11">
        <f>O105</f>
        <v/>
      </c>
      <c r="L105" s="11">
        <f>L104+IF(K105&gt;0,K105*Summary!$B$9,K105/Summary!$B$9)</f>
        <v/>
      </c>
      <c r="M105" s="11">
        <f>G105+H105</f>
        <v/>
      </c>
      <c r="N105" s="11">
        <f>Summary!$C$16*Summary!$B$8</f>
        <v/>
      </c>
      <c r="O105" s="11">
        <f>M105-N105</f>
        <v/>
      </c>
    </row>
    <row r="106">
      <c r="A106" s="9" t="n">
        <v>45296.33333333334</v>
      </c>
      <c r="B106" t="n">
        <v>1</v>
      </c>
      <c r="C106" t="n">
        <v>5</v>
      </c>
      <c r="D106" t="n">
        <v>8</v>
      </c>
      <c r="E106" s="10" t="n">
        <v>0</v>
      </c>
      <c r="F106" s="10" t="n">
        <v>0.2734284176228202</v>
      </c>
      <c r="G106" s="11">
        <f>E106*Summary!$B$6</f>
        <v/>
      </c>
      <c r="H106" s="11">
        <f>F106*Summary!$B$7</f>
        <v/>
      </c>
      <c r="I106" s="11">
        <f>MAX(0,N106-M106)</f>
        <v/>
      </c>
      <c r="J106" s="11">
        <f>MAX(0,M106-N106)</f>
        <v/>
      </c>
      <c r="K106" s="11">
        <f>O106</f>
        <v/>
      </c>
      <c r="L106" s="11">
        <f>L105+IF(K106&gt;0,K106*Summary!$B$9,K106/Summary!$B$9)</f>
        <v/>
      </c>
      <c r="M106" s="11">
        <f>G106+H106</f>
        <v/>
      </c>
      <c r="N106" s="11">
        <f>Summary!$C$16*Summary!$B$8</f>
        <v/>
      </c>
      <c r="O106" s="11">
        <f>M106-N106</f>
        <v/>
      </c>
    </row>
    <row r="107">
      <c r="A107" s="9" t="n">
        <v>45296.375</v>
      </c>
      <c r="B107" t="n">
        <v>1</v>
      </c>
      <c r="C107" t="n">
        <v>5</v>
      </c>
      <c r="D107" t="n">
        <v>9</v>
      </c>
      <c r="E107" s="10" t="n">
        <v>0.038356</v>
      </c>
      <c r="F107" s="10" t="n">
        <v>0.2604632305111753</v>
      </c>
      <c r="G107" s="11">
        <f>E107*Summary!$B$6</f>
        <v/>
      </c>
      <c r="H107" s="11">
        <f>F107*Summary!$B$7</f>
        <v/>
      </c>
      <c r="I107" s="11">
        <f>MAX(0,N107-M107)</f>
        <v/>
      </c>
      <c r="J107" s="11">
        <f>MAX(0,M107-N107)</f>
        <v/>
      </c>
      <c r="K107" s="11">
        <f>O107</f>
        <v/>
      </c>
      <c r="L107" s="11">
        <f>L106+IF(K107&gt;0,K107*Summary!$B$9,K107/Summary!$B$9)</f>
        <v/>
      </c>
      <c r="M107" s="11">
        <f>G107+H107</f>
        <v/>
      </c>
      <c r="N107" s="11">
        <f>Summary!$C$16*Summary!$B$8</f>
        <v/>
      </c>
      <c r="O107" s="11">
        <f>M107-N107</f>
        <v/>
      </c>
    </row>
    <row r="108">
      <c r="A108" s="9" t="n">
        <v>45296.41666666666</v>
      </c>
      <c r="B108" t="n">
        <v>1</v>
      </c>
      <c r="C108" t="n">
        <v>5</v>
      </c>
      <c r="D108" t="n">
        <v>10</v>
      </c>
      <c r="E108" s="10" t="n">
        <v>0.133631</v>
      </c>
      <c r="F108" s="10" t="n">
        <v>0.2393552734452656</v>
      </c>
      <c r="G108" s="11">
        <f>E108*Summary!$B$6</f>
        <v/>
      </c>
      <c r="H108" s="11">
        <f>F108*Summary!$B$7</f>
        <v/>
      </c>
      <c r="I108" s="11">
        <f>MAX(0,N108-M108)</f>
        <v/>
      </c>
      <c r="J108" s="11">
        <f>MAX(0,M108-N108)</f>
        <v/>
      </c>
      <c r="K108" s="11">
        <f>O108</f>
        <v/>
      </c>
      <c r="L108" s="11">
        <f>L107+IF(K108&gt;0,K108*Summary!$B$9,K108/Summary!$B$9)</f>
        <v/>
      </c>
      <c r="M108" s="11">
        <f>G108+H108</f>
        <v/>
      </c>
      <c r="N108" s="11">
        <f>Summary!$C$16*Summary!$B$8</f>
        <v/>
      </c>
      <c r="O108" s="11">
        <f>M108-N108</f>
        <v/>
      </c>
    </row>
    <row r="109">
      <c r="A109" s="9" t="n">
        <v>45296.45833333334</v>
      </c>
      <c r="B109" t="n">
        <v>1</v>
      </c>
      <c r="C109" t="n">
        <v>5</v>
      </c>
      <c r="D109" t="n">
        <v>11</v>
      </c>
      <c r="E109" s="10" t="n">
        <v>0.199814</v>
      </c>
      <c r="F109" s="10" t="n">
        <v>0.2240974617833908</v>
      </c>
      <c r="G109" s="11">
        <f>E109*Summary!$B$6</f>
        <v/>
      </c>
      <c r="H109" s="11">
        <f>F109*Summary!$B$7</f>
        <v/>
      </c>
      <c r="I109" s="11">
        <f>MAX(0,N109-M109)</f>
        <v/>
      </c>
      <c r="J109" s="11">
        <f>MAX(0,M109-N109)</f>
        <v/>
      </c>
      <c r="K109" s="11">
        <f>O109</f>
        <v/>
      </c>
      <c r="L109" s="11">
        <f>L108+IF(K109&gt;0,K109*Summary!$B$9,K109/Summary!$B$9)</f>
        <v/>
      </c>
      <c r="M109" s="11">
        <f>G109+H109</f>
        <v/>
      </c>
      <c r="N109" s="11">
        <f>Summary!$C$16*Summary!$B$8</f>
        <v/>
      </c>
      <c r="O109" s="11">
        <f>M109-N109</f>
        <v/>
      </c>
    </row>
    <row r="110">
      <c r="A110" s="9" t="n">
        <v>45296.5</v>
      </c>
      <c r="B110" t="n">
        <v>1</v>
      </c>
      <c r="C110" t="n">
        <v>5</v>
      </c>
      <c r="D110" t="n">
        <v>12</v>
      </c>
      <c r="E110" s="10" t="n">
        <v>0.215197</v>
      </c>
      <c r="F110" s="10" t="n">
        <v>0.2207507569801817</v>
      </c>
      <c r="G110" s="11">
        <f>E110*Summary!$B$6</f>
        <v/>
      </c>
      <c r="H110" s="11">
        <f>F110*Summary!$B$7</f>
        <v/>
      </c>
      <c r="I110" s="11">
        <f>MAX(0,N110-M110)</f>
        <v/>
      </c>
      <c r="J110" s="11">
        <f>MAX(0,M110-N110)</f>
        <v/>
      </c>
      <c r="K110" s="11">
        <f>O110</f>
        <v/>
      </c>
      <c r="L110" s="11">
        <f>L109+IF(K110&gt;0,K110*Summary!$B$9,K110/Summary!$B$9)</f>
        <v/>
      </c>
      <c r="M110" s="11">
        <f>G110+H110</f>
        <v/>
      </c>
      <c r="N110" s="11">
        <f>Summary!$C$16*Summary!$B$8</f>
        <v/>
      </c>
      <c r="O110" s="11">
        <f>M110-N110</f>
        <v/>
      </c>
    </row>
    <row r="111">
      <c r="A111" s="9" t="n">
        <v>45296.54166666666</v>
      </c>
      <c r="B111" t="n">
        <v>1</v>
      </c>
      <c r="C111" t="n">
        <v>5</v>
      </c>
      <c r="D111" t="n">
        <v>13</v>
      </c>
      <c r="E111" s="10" t="n">
        <v>0.171508</v>
      </c>
      <c r="F111" s="10" t="n">
        <v>0.2193541006449841</v>
      </c>
      <c r="G111" s="11">
        <f>E111*Summary!$B$6</f>
        <v/>
      </c>
      <c r="H111" s="11">
        <f>F111*Summary!$B$7</f>
        <v/>
      </c>
      <c r="I111" s="11">
        <f>MAX(0,N111-M111)</f>
        <v/>
      </c>
      <c r="J111" s="11">
        <f>MAX(0,M111-N111)</f>
        <v/>
      </c>
      <c r="K111" s="11">
        <f>O111</f>
        <v/>
      </c>
      <c r="L111" s="11">
        <f>L110+IF(K111&gt;0,K111*Summary!$B$9,K111/Summary!$B$9)</f>
        <v/>
      </c>
      <c r="M111" s="11">
        <f>G111+H111</f>
        <v/>
      </c>
      <c r="N111" s="11">
        <f>Summary!$C$16*Summary!$B$8</f>
        <v/>
      </c>
      <c r="O111" s="11">
        <f>M111-N111</f>
        <v/>
      </c>
    </row>
    <row r="112">
      <c r="A112" s="9" t="n">
        <v>45296.58333333334</v>
      </c>
      <c r="B112" t="n">
        <v>1</v>
      </c>
      <c r="C112" t="n">
        <v>5</v>
      </c>
      <c r="D112" t="n">
        <v>14</v>
      </c>
      <c r="E112" s="10" t="n">
        <v>0.087008</v>
      </c>
      <c r="F112" s="10" t="n">
        <v>0.2203818288916389</v>
      </c>
      <c r="G112" s="11">
        <f>E112*Summary!$B$6</f>
        <v/>
      </c>
      <c r="H112" s="11">
        <f>F112*Summary!$B$7</f>
        <v/>
      </c>
      <c r="I112" s="11">
        <f>MAX(0,N112-M112)</f>
        <v/>
      </c>
      <c r="J112" s="11">
        <f>MAX(0,M112-N112)</f>
        <v/>
      </c>
      <c r="K112" s="11">
        <f>O112</f>
        <v/>
      </c>
      <c r="L112" s="11">
        <f>L111+IF(K112&gt;0,K112*Summary!$B$9,K112/Summary!$B$9)</f>
        <v/>
      </c>
      <c r="M112" s="11">
        <f>G112+H112</f>
        <v/>
      </c>
      <c r="N112" s="11">
        <f>Summary!$C$16*Summary!$B$8</f>
        <v/>
      </c>
      <c r="O112" s="11">
        <f>M112-N112</f>
        <v/>
      </c>
    </row>
    <row r="113">
      <c r="A113" s="9" t="n">
        <v>45296.625</v>
      </c>
      <c r="B113" t="n">
        <v>1</v>
      </c>
      <c r="C113" t="n">
        <v>5</v>
      </c>
      <c r="D113" t="n">
        <v>15</v>
      </c>
      <c r="E113" s="10" t="n">
        <v>0</v>
      </c>
      <c r="F113" s="10" t="n">
        <v>0.2298158471558033</v>
      </c>
      <c r="G113" s="11">
        <f>E113*Summary!$B$6</f>
        <v/>
      </c>
      <c r="H113" s="11">
        <f>F113*Summary!$B$7</f>
        <v/>
      </c>
      <c r="I113" s="11">
        <f>MAX(0,N113-M113)</f>
        <v/>
      </c>
      <c r="J113" s="11">
        <f>MAX(0,M113-N113)</f>
        <v/>
      </c>
      <c r="K113" s="11">
        <f>O113</f>
        <v/>
      </c>
      <c r="L113" s="11">
        <f>L112+IF(K113&gt;0,K113*Summary!$B$9,K113/Summary!$B$9)</f>
        <v/>
      </c>
      <c r="M113" s="11">
        <f>G113+H113</f>
        <v/>
      </c>
      <c r="N113" s="11">
        <f>Summary!$C$16*Summary!$B$8</f>
        <v/>
      </c>
      <c r="O113" s="11">
        <f>M113-N113</f>
        <v/>
      </c>
    </row>
    <row r="114">
      <c r="A114" s="9" t="n">
        <v>45296.66666666666</v>
      </c>
      <c r="B114" t="n">
        <v>1</v>
      </c>
      <c r="C114" t="n">
        <v>5</v>
      </c>
      <c r="D114" t="n">
        <v>16</v>
      </c>
      <c r="E114" s="10" t="n">
        <v>0</v>
      </c>
      <c r="F114" s="10" t="n">
        <v>0.2360876246610299</v>
      </c>
      <c r="G114" s="11">
        <f>E114*Summary!$B$6</f>
        <v/>
      </c>
      <c r="H114" s="11">
        <f>F114*Summary!$B$7</f>
        <v/>
      </c>
      <c r="I114" s="11">
        <f>MAX(0,N114-M114)</f>
        <v/>
      </c>
      <c r="J114" s="11">
        <f>MAX(0,M114-N114)</f>
        <v/>
      </c>
      <c r="K114" s="11">
        <f>O114</f>
        <v/>
      </c>
      <c r="L114" s="11">
        <f>L113+IF(K114&gt;0,K114*Summary!$B$9,K114/Summary!$B$9)</f>
        <v/>
      </c>
      <c r="M114" s="11">
        <f>G114+H114</f>
        <v/>
      </c>
      <c r="N114" s="11">
        <f>Summary!$C$16*Summary!$B$8</f>
        <v/>
      </c>
      <c r="O114" s="11">
        <f>M114-N114</f>
        <v/>
      </c>
    </row>
    <row r="115">
      <c r="A115" s="9" t="n">
        <v>45296.70833333334</v>
      </c>
      <c r="B115" t="n">
        <v>1</v>
      </c>
      <c r="C115" t="n">
        <v>5</v>
      </c>
      <c r="D115" t="n">
        <v>17</v>
      </c>
      <c r="E115" s="10" t="n">
        <v>0</v>
      </c>
      <c r="F115" s="10" t="n">
        <v>0.2381957851669884</v>
      </c>
      <c r="G115" s="11">
        <f>E115*Summary!$B$6</f>
        <v/>
      </c>
      <c r="H115" s="11">
        <f>F115*Summary!$B$7</f>
        <v/>
      </c>
      <c r="I115" s="11">
        <f>MAX(0,N115-M115)</f>
        <v/>
      </c>
      <c r="J115" s="11">
        <f>MAX(0,M115-N115)</f>
        <v/>
      </c>
      <c r="K115" s="11">
        <f>O115</f>
        <v/>
      </c>
      <c r="L115" s="11">
        <f>L114+IF(K115&gt;0,K115*Summary!$B$9,K115/Summary!$B$9)</f>
        <v/>
      </c>
      <c r="M115" s="11">
        <f>G115+H115</f>
        <v/>
      </c>
      <c r="N115" s="11">
        <f>Summary!$C$16*Summary!$B$8</f>
        <v/>
      </c>
      <c r="O115" s="11">
        <f>M115-N115</f>
        <v/>
      </c>
    </row>
    <row r="116">
      <c r="A116" s="9" t="n">
        <v>45296.75</v>
      </c>
      <c r="B116" t="n">
        <v>1</v>
      </c>
      <c r="C116" t="n">
        <v>5</v>
      </c>
      <c r="D116" t="n">
        <v>18</v>
      </c>
      <c r="E116" s="10" t="n">
        <v>0</v>
      </c>
      <c r="F116" s="10" t="n">
        <v>0.245231770855625</v>
      </c>
      <c r="G116" s="11">
        <f>E116*Summary!$B$6</f>
        <v/>
      </c>
      <c r="H116" s="11">
        <f>F116*Summary!$B$7</f>
        <v/>
      </c>
      <c r="I116" s="11">
        <f>MAX(0,N116-M116)</f>
        <v/>
      </c>
      <c r="J116" s="11">
        <f>MAX(0,M116-N116)</f>
        <v/>
      </c>
      <c r="K116" s="11">
        <f>O116</f>
        <v/>
      </c>
      <c r="L116" s="11">
        <f>L115+IF(K116&gt;0,K116*Summary!$B$9,K116/Summary!$B$9)</f>
        <v/>
      </c>
      <c r="M116" s="11">
        <f>G116+H116</f>
        <v/>
      </c>
      <c r="N116" s="11">
        <f>Summary!$C$16*Summary!$B$8</f>
        <v/>
      </c>
      <c r="O116" s="11">
        <f>M116-N116</f>
        <v/>
      </c>
    </row>
    <row r="117">
      <c r="A117" s="9" t="n">
        <v>45296.79166666666</v>
      </c>
      <c r="B117" t="n">
        <v>1</v>
      </c>
      <c r="C117" t="n">
        <v>5</v>
      </c>
      <c r="D117" t="n">
        <v>19</v>
      </c>
      <c r="E117" s="10" t="n">
        <v>0</v>
      </c>
      <c r="F117" s="10" t="n">
        <v>0.2490264597663503</v>
      </c>
      <c r="G117" s="11">
        <f>E117*Summary!$B$6</f>
        <v/>
      </c>
      <c r="H117" s="11">
        <f>F117*Summary!$B$7</f>
        <v/>
      </c>
      <c r="I117" s="11">
        <f>MAX(0,N117-M117)</f>
        <v/>
      </c>
      <c r="J117" s="11">
        <f>MAX(0,M117-N117)</f>
        <v/>
      </c>
      <c r="K117" s="11">
        <f>O117</f>
        <v/>
      </c>
      <c r="L117" s="11">
        <f>L116+IF(K117&gt;0,K117*Summary!$B$9,K117/Summary!$B$9)</f>
        <v/>
      </c>
      <c r="M117" s="11">
        <f>G117+H117</f>
        <v/>
      </c>
      <c r="N117" s="11">
        <f>Summary!$C$16*Summary!$B$8</f>
        <v/>
      </c>
      <c r="O117" s="11">
        <f>M117-N117</f>
        <v/>
      </c>
    </row>
    <row r="118">
      <c r="A118" s="9" t="n">
        <v>45296.83333333334</v>
      </c>
      <c r="B118" t="n">
        <v>1</v>
      </c>
      <c r="C118" t="n">
        <v>5</v>
      </c>
      <c r="D118" t="n">
        <v>20</v>
      </c>
      <c r="E118" s="10" t="n">
        <v>0</v>
      </c>
      <c r="F118" s="10" t="n">
        <v>0.2511346202723089</v>
      </c>
      <c r="G118" s="11">
        <f>E118*Summary!$B$6</f>
        <v/>
      </c>
      <c r="H118" s="11">
        <f>F118*Summary!$B$7</f>
        <v/>
      </c>
      <c r="I118" s="11">
        <f>MAX(0,N118-M118)</f>
        <v/>
      </c>
      <c r="J118" s="11">
        <f>MAX(0,M118-N118)</f>
        <v/>
      </c>
      <c r="K118" s="11">
        <f>O118</f>
        <v/>
      </c>
      <c r="L118" s="11">
        <f>L117+IF(K118&gt;0,K118*Summary!$B$9,K118/Summary!$B$9)</f>
        <v/>
      </c>
      <c r="M118" s="11">
        <f>G118+H118</f>
        <v/>
      </c>
      <c r="N118" s="11">
        <f>Summary!$C$16*Summary!$B$8</f>
        <v/>
      </c>
      <c r="O118" s="11">
        <f>M118-N118</f>
        <v/>
      </c>
    </row>
    <row r="119">
      <c r="A119" s="9" t="n">
        <v>45296.875</v>
      </c>
      <c r="B119" t="n">
        <v>1</v>
      </c>
      <c r="C119" t="n">
        <v>5</v>
      </c>
      <c r="D119" t="n">
        <v>21</v>
      </c>
      <c r="E119" s="10" t="n">
        <v>0</v>
      </c>
      <c r="F119" s="10" t="n">
        <v>0.2577489738597537</v>
      </c>
      <c r="G119" s="11">
        <f>E119*Summary!$B$6</f>
        <v/>
      </c>
      <c r="H119" s="11">
        <f>F119*Summary!$B$7</f>
        <v/>
      </c>
      <c r="I119" s="11">
        <f>MAX(0,N119-M119)</f>
        <v/>
      </c>
      <c r="J119" s="11">
        <f>MAX(0,M119-N119)</f>
        <v/>
      </c>
      <c r="K119" s="11">
        <f>O119</f>
        <v/>
      </c>
      <c r="L119" s="11">
        <f>L118+IF(K119&gt;0,K119*Summary!$B$9,K119/Summary!$B$9)</f>
        <v/>
      </c>
      <c r="M119" s="11">
        <f>G119+H119</f>
        <v/>
      </c>
      <c r="N119" s="11">
        <f>Summary!$C$16*Summary!$B$8</f>
        <v/>
      </c>
      <c r="O119" s="11">
        <f>M119-N119</f>
        <v/>
      </c>
    </row>
    <row r="120">
      <c r="A120" s="9" t="n">
        <v>45296.91666666666</v>
      </c>
      <c r="B120" t="n">
        <v>1</v>
      </c>
      <c r="C120" t="n">
        <v>5</v>
      </c>
      <c r="D120" t="n">
        <v>22</v>
      </c>
      <c r="E120" s="10" t="n">
        <v>0</v>
      </c>
      <c r="F120" s="10" t="n">
        <v>0.2634410072258417</v>
      </c>
      <c r="G120" s="11">
        <f>E120*Summary!$B$6</f>
        <v/>
      </c>
      <c r="H120" s="11">
        <f>F120*Summary!$B$7</f>
        <v/>
      </c>
      <c r="I120" s="11">
        <f>MAX(0,N120-M120)</f>
        <v/>
      </c>
      <c r="J120" s="11">
        <f>MAX(0,M120-N120)</f>
        <v/>
      </c>
      <c r="K120" s="11">
        <f>O120</f>
        <v/>
      </c>
      <c r="L120" s="11">
        <f>L119+IF(K120&gt;0,K120*Summary!$B$9,K120/Summary!$B$9)</f>
        <v/>
      </c>
      <c r="M120" s="11">
        <f>G120+H120</f>
        <v/>
      </c>
      <c r="N120" s="11">
        <f>Summary!$C$16*Summary!$B$8</f>
        <v/>
      </c>
      <c r="O120" s="11">
        <f>M120-N120</f>
        <v/>
      </c>
    </row>
    <row r="121">
      <c r="A121" s="9" t="n">
        <v>45296.95833333334</v>
      </c>
      <c r="B121" t="n">
        <v>1</v>
      </c>
      <c r="C121" t="n">
        <v>5</v>
      </c>
      <c r="D121" t="n">
        <v>23</v>
      </c>
      <c r="E121" s="10" t="n">
        <v>0</v>
      </c>
      <c r="F121" s="10" t="n">
        <v>0.2707405129777231</v>
      </c>
      <c r="G121" s="11">
        <f>E121*Summary!$B$6</f>
        <v/>
      </c>
      <c r="H121" s="11">
        <f>F121*Summary!$B$7</f>
        <v/>
      </c>
      <c r="I121" s="11">
        <f>MAX(0,N121-M121)</f>
        <v/>
      </c>
      <c r="J121" s="11">
        <f>MAX(0,M121-N121)</f>
        <v/>
      </c>
      <c r="K121" s="11">
        <f>O121</f>
        <v/>
      </c>
      <c r="L121" s="11">
        <f>L120+IF(K121&gt;0,K121*Summary!$B$9,K121/Summary!$B$9)</f>
        <v/>
      </c>
      <c r="M121" s="11">
        <f>G121+H121</f>
        <v/>
      </c>
      <c r="N121" s="11">
        <f>Summary!$C$16*Summary!$B$8</f>
        <v/>
      </c>
      <c r="O121" s="11">
        <f>M121-N121</f>
        <v/>
      </c>
    </row>
    <row r="122">
      <c r="A122" s="9" t="n">
        <v>45297</v>
      </c>
      <c r="B122" t="n">
        <v>1</v>
      </c>
      <c r="C122" t="n">
        <v>6</v>
      </c>
      <c r="D122" t="n">
        <v>0</v>
      </c>
      <c r="E122" s="10" t="n">
        <v>0</v>
      </c>
      <c r="F122" s="10" t="n">
        <v>0.4238193177166362</v>
      </c>
      <c r="G122" s="11">
        <f>E122*Summary!$B$6</f>
        <v/>
      </c>
      <c r="H122" s="11">
        <f>F122*Summary!$B$7</f>
        <v/>
      </c>
      <c r="I122" s="11">
        <f>MAX(0,N122-M122)</f>
        <v/>
      </c>
      <c r="J122" s="11">
        <f>MAX(0,M122-N122)</f>
        <v/>
      </c>
      <c r="K122" s="11">
        <f>O122</f>
        <v/>
      </c>
      <c r="L122" s="11">
        <f>L121+IF(K122&gt;0,K122*Summary!$B$9,K122/Summary!$B$9)</f>
        <v/>
      </c>
      <c r="M122" s="11">
        <f>G122+H122</f>
        <v/>
      </c>
      <c r="N122" s="11">
        <f>Summary!$C$16*Summary!$B$8</f>
        <v/>
      </c>
      <c r="O122" s="11">
        <f>M122-N122</f>
        <v/>
      </c>
    </row>
    <row r="123">
      <c r="A123" s="9" t="n">
        <v>45297.04166666666</v>
      </c>
      <c r="B123" t="n">
        <v>1</v>
      </c>
      <c r="C123" t="n">
        <v>6</v>
      </c>
      <c r="D123" t="n">
        <v>1</v>
      </c>
      <c r="E123" s="10" t="n">
        <v>0</v>
      </c>
      <c r="F123" s="10" t="n">
        <v>0.2973033353528005</v>
      </c>
      <c r="G123" s="11">
        <f>E123*Summary!$B$6</f>
        <v/>
      </c>
      <c r="H123" s="11">
        <f>F123*Summary!$B$7</f>
        <v/>
      </c>
      <c r="I123" s="11">
        <f>MAX(0,N123-M123)</f>
        <v/>
      </c>
      <c r="J123" s="11">
        <f>MAX(0,M123-N123)</f>
        <v/>
      </c>
      <c r="K123" s="11">
        <f>O123</f>
        <v/>
      </c>
      <c r="L123" s="11">
        <f>L122+IF(K123&gt;0,K123*Summary!$B$9,K123/Summary!$B$9)</f>
        <v/>
      </c>
      <c r="M123" s="11">
        <f>G123+H123</f>
        <v/>
      </c>
      <c r="N123" s="11">
        <f>Summary!$C$16*Summary!$B$8</f>
        <v/>
      </c>
      <c r="O123" s="11">
        <f>M123-N123</f>
        <v/>
      </c>
    </row>
    <row r="124">
      <c r="A124" s="9" t="n">
        <v>45297.08333333334</v>
      </c>
      <c r="B124" t="n">
        <v>1</v>
      </c>
      <c r="C124" t="n">
        <v>6</v>
      </c>
      <c r="D124" t="n">
        <v>2</v>
      </c>
      <c r="E124" s="10" t="n">
        <v>0</v>
      </c>
      <c r="F124" s="10" t="n">
        <v>0.2862881967091672</v>
      </c>
      <c r="G124" s="11">
        <f>E124*Summary!$B$6</f>
        <v/>
      </c>
      <c r="H124" s="11">
        <f>F124*Summary!$B$7</f>
        <v/>
      </c>
      <c r="I124" s="11">
        <f>MAX(0,N124-M124)</f>
        <v/>
      </c>
      <c r="J124" s="11">
        <f>MAX(0,M124-N124)</f>
        <v/>
      </c>
      <c r="K124" s="11">
        <f>O124</f>
        <v/>
      </c>
      <c r="L124" s="11">
        <f>L123+IF(K124&gt;0,K124*Summary!$B$9,K124/Summary!$B$9)</f>
        <v/>
      </c>
      <c r="M124" s="11">
        <f>G124+H124</f>
        <v/>
      </c>
      <c r="N124" s="11">
        <f>Summary!$C$16*Summary!$B$8</f>
        <v/>
      </c>
      <c r="O124" s="11">
        <f>M124-N124</f>
        <v/>
      </c>
    </row>
    <row r="125">
      <c r="A125" s="9" t="n">
        <v>45297.125</v>
      </c>
      <c r="B125" t="n">
        <v>1</v>
      </c>
      <c r="C125" t="n">
        <v>6</v>
      </c>
      <c r="D125" t="n">
        <v>3</v>
      </c>
      <c r="E125" s="10" t="n">
        <v>0</v>
      </c>
      <c r="F125" s="10" t="n">
        <v>0.2966445351946884</v>
      </c>
      <c r="G125" s="11">
        <f>E125*Summary!$B$6</f>
        <v/>
      </c>
      <c r="H125" s="11">
        <f>F125*Summary!$B$7</f>
        <v/>
      </c>
      <c r="I125" s="11">
        <f>MAX(0,N125-M125)</f>
        <v/>
      </c>
      <c r="J125" s="11">
        <f>MAX(0,M125-N125)</f>
        <v/>
      </c>
      <c r="K125" s="11">
        <f>O125</f>
        <v/>
      </c>
      <c r="L125" s="11">
        <f>L124+IF(K125&gt;0,K125*Summary!$B$9,K125/Summary!$B$9)</f>
        <v/>
      </c>
      <c r="M125" s="11">
        <f>G125+H125</f>
        <v/>
      </c>
      <c r="N125" s="11">
        <f>Summary!$C$16*Summary!$B$8</f>
        <v/>
      </c>
      <c r="O125" s="11">
        <f>M125-N125</f>
        <v/>
      </c>
    </row>
    <row r="126">
      <c r="A126" s="9" t="n">
        <v>45297.16666666666</v>
      </c>
      <c r="B126" t="n">
        <v>1</v>
      </c>
      <c r="C126" t="n">
        <v>6</v>
      </c>
      <c r="D126" t="n">
        <v>4</v>
      </c>
      <c r="E126" s="10" t="n">
        <v>0</v>
      </c>
      <c r="F126" s="10" t="n">
        <v>0.3297953591508862</v>
      </c>
      <c r="G126" s="11">
        <f>E126*Summary!$B$6</f>
        <v/>
      </c>
      <c r="H126" s="11">
        <f>F126*Summary!$B$7</f>
        <v/>
      </c>
      <c r="I126" s="11">
        <f>MAX(0,N126-M126)</f>
        <v/>
      </c>
      <c r="J126" s="11">
        <f>MAX(0,M126-N126)</f>
        <v/>
      </c>
      <c r="K126" s="11">
        <f>O126</f>
        <v/>
      </c>
      <c r="L126" s="11">
        <f>L125+IF(K126&gt;0,K126*Summary!$B$9,K126/Summary!$B$9)</f>
        <v/>
      </c>
      <c r="M126" s="11">
        <f>G126+H126</f>
        <v/>
      </c>
      <c r="N126" s="11">
        <f>Summary!$C$16*Summary!$B$8</f>
        <v/>
      </c>
      <c r="O126" s="11">
        <f>M126-N126</f>
        <v/>
      </c>
    </row>
    <row r="127">
      <c r="A127" s="9" t="n">
        <v>45297.20833333334</v>
      </c>
      <c r="B127" t="n">
        <v>1</v>
      </c>
      <c r="C127" t="n">
        <v>6</v>
      </c>
      <c r="D127" t="n">
        <v>5</v>
      </c>
      <c r="E127" s="10" t="n">
        <v>0</v>
      </c>
      <c r="F127" s="10" t="n">
        <v>0.3174099161783799</v>
      </c>
      <c r="G127" s="11">
        <f>E127*Summary!$B$6</f>
        <v/>
      </c>
      <c r="H127" s="11">
        <f>F127*Summary!$B$7</f>
        <v/>
      </c>
      <c r="I127" s="11">
        <f>MAX(0,N127-M127)</f>
        <v/>
      </c>
      <c r="J127" s="11">
        <f>MAX(0,M127-N127)</f>
        <v/>
      </c>
      <c r="K127" s="11">
        <f>O127</f>
        <v/>
      </c>
      <c r="L127" s="11">
        <f>L126+IF(K127&gt;0,K127*Summary!$B$9,K127/Summary!$B$9)</f>
        <v/>
      </c>
      <c r="M127" s="11">
        <f>G127+H127</f>
        <v/>
      </c>
      <c r="N127" s="11">
        <f>Summary!$C$16*Summary!$B$8</f>
        <v/>
      </c>
      <c r="O127" s="11">
        <f>M127-N127</f>
        <v/>
      </c>
    </row>
    <row r="128">
      <c r="A128" s="9" t="n">
        <v>45297.25</v>
      </c>
      <c r="B128" t="n">
        <v>1</v>
      </c>
      <c r="C128" t="n">
        <v>6</v>
      </c>
      <c r="D128" t="n">
        <v>6</v>
      </c>
      <c r="E128" s="10" t="n">
        <v>0</v>
      </c>
      <c r="F128" s="10" t="n">
        <v>0.3316399995935999</v>
      </c>
      <c r="G128" s="11">
        <f>E128*Summary!$B$6</f>
        <v/>
      </c>
      <c r="H128" s="11">
        <f>F128*Summary!$B$7</f>
        <v/>
      </c>
      <c r="I128" s="11">
        <f>MAX(0,N128-M128)</f>
        <v/>
      </c>
      <c r="J128" s="11">
        <f>MAX(0,M128-N128)</f>
        <v/>
      </c>
      <c r="K128" s="11">
        <f>O128</f>
        <v/>
      </c>
      <c r="L128" s="11">
        <f>L127+IF(K128&gt;0,K128*Summary!$B$9,K128/Summary!$B$9)</f>
        <v/>
      </c>
      <c r="M128" s="11">
        <f>G128+H128</f>
        <v/>
      </c>
      <c r="N128" s="11">
        <f>Summary!$C$16*Summary!$B$8</f>
        <v/>
      </c>
      <c r="O128" s="11">
        <f>M128-N128</f>
        <v/>
      </c>
    </row>
    <row r="129">
      <c r="A129" s="9" t="n">
        <v>45297.29166666666</v>
      </c>
      <c r="B129" t="n">
        <v>1</v>
      </c>
      <c r="C129" t="n">
        <v>6</v>
      </c>
      <c r="D129" t="n">
        <v>7</v>
      </c>
      <c r="E129" s="10" t="n">
        <v>0</v>
      </c>
      <c r="F129" s="10" t="n">
        <v>0.3434193464206431</v>
      </c>
      <c r="G129" s="11">
        <f>E129*Summary!$B$6</f>
        <v/>
      </c>
      <c r="H129" s="11">
        <f>F129*Summary!$B$7</f>
        <v/>
      </c>
      <c r="I129" s="11">
        <f>MAX(0,N129-M129)</f>
        <v/>
      </c>
      <c r="J129" s="11">
        <f>MAX(0,M129-N129)</f>
        <v/>
      </c>
      <c r="K129" s="11">
        <f>O129</f>
        <v/>
      </c>
      <c r="L129" s="11">
        <f>L128+IF(K129&gt;0,K129*Summary!$B$9,K129/Summary!$B$9)</f>
        <v/>
      </c>
      <c r="M129" s="11">
        <f>G129+H129</f>
        <v/>
      </c>
      <c r="N129" s="11">
        <f>Summary!$C$16*Summary!$B$8</f>
        <v/>
      </c>
      <c r="O129" s="11">
        <f>M129-N129</f>
        <v/>
      </c>
    </row>
    <row r="130">
      <c r="A130" s="9" t="n">
        <v>45297.33333333334</v>
      </c>
      <c r="B130" t="n">
        <v>1</v>
      </c>
      <c r="C130" t="n">
        <v>6</v>
      </c>
      <c r="D130" t="n">
        <v>8</v>
      </c>
      <c r="E130" s="10" t="n">
        <v>0</v>
      </c>
      <c r="F130" s="10" t="n">
        <v>0.3575703738168897</v>
      </c>
      <c r="G130" s="11">
        <f>E130*Summary!$B$6</f>
        <v/>
      </c>
      <c r="H130" s="11">
        <f>F130*Summary!$B$7</f>
        <v/>
      </c>
      <c r="I130" s="11">
        <f>MAX(0,N130-M130)</f>
        <v/>
      </c>
      <c r="J130" s="11">
        <f>MAX(0,M130-N130)</f>
        <v/>
      </c>
      <c r="K130" s="11">
        <f>O130</f>
        <v/>
      </c>
      <c r="L130" s="11">
        <f>L129+IF(K130&gt;0,K130*Summary!$B$9,K130/Summary!$B$9)</f>
        <v/>
      </c>
      <c r="M130" s="11">
        <f>G130+H130</f>
        <v/>
      </c>
      <c r="N130" s="11">
        <f>Summary!$C$16*Summary!$B$8</f>
        <v/>
      </c>
      <c r="O130" s="11">
        <f>M130-N130</f>
        <v/>
      </c>
    </row>
    <row r="131">
      <c r="A131" s="9" t="n">
        <v>45297.375</v>
      </c>
      <c r="B131" t="n">
        <v>1</v>
      </c>
      <c r="C131" t="n">
        <v>6</v>
      </c>
      <c r="D131" t="n">
        <v>9</v>
      </c>
      <c r="E131" s="10" t="n">
        <v>0.008234999999999999</v>
      </c>
      <c r="F131" s="10" t="n">
        <v>0.3670570960937031</v>
      </c>
      <c r="G131" s="11">
        <f>E131*Summary!$B$6</f>
        <v/>
      </c>
      <c r="H131" s="11">
        <f>F131*Summary!$B$7</f>
        <v/>
      </c>
      <c r="I131" s="11">
        <f>MAX(0,N131-M131)</f>
        <v/>
      </c>
      <c r="J131" s="11">
        <f>MAX(0,M131-N131)</f>
        <v/>
      </c>
      <c r="K131" s="11">
        <f>O131</f>
        <v/>
      </c>
      <c r="L131" s="11">
        <f>L130+IF(K131&gt;0,K131*Summary!$B$9,K131/Summary!$B$9)</f>
        <v/>
      </c>
      <c r="M131" s="11">
        <f>G131+H131</f>
        <v/>
      </c>
      <c r="N131" s="11">
        <f>Summary!$C$16*Summary!$B$8</f>
        <v/>
      </c>
      <c r="O131" s="11">
        <f>M131-N131</f>
        <v/>
      </c>
    </row>
    <row r="132">
      <c r="A132" s="9" t="n">
        <v>45297.41666666666</v>
      </c>
      <c r="B132" t="n">
        <v>1</v>
      </c>
      <c r="C132" t="n">
        <v>6</v>
      </c>
      <c r="D132" t="n">
        <v>10</v>
      </c>
      <c r="E132" s="10" t="n">
        <v>0.044299</v>
      </c>
      <c r="F132" s="10" t="n">
        <v>0.3715632891751894</v>
      </c>
      <c r="G132" s="11">
        <f>E132*Summary!$B$6</f>
        <v/>
      </c>
      <c r="H132" s="11">
        <f>F132*Summary!$B$7</f>
        <v/>
      </c>
      <c r="I132" s="11">
        <f>MAX(0,N132-M132)</f>
        <v/>
      </c>
      <c r="J132" s="11">
        <f>MAX(0,M132-N132)</f>
        <v/>
      </c>
      <c r="K132" s="11">
        <f>O132</f>
        <v/>
      </c>
      <c r="L132" s="11">
        <f>L131+IF(K132&gt;0,K132*Summary!$B$9,K132/Summary!$B$9)</f>
        <v/>
      </c>
      <c r="M132" s="11">
        <f>G132+H132</f>
        <v/>
      </c>
      <c r="N132" s="11">
        <f>Summary!$C$16*Summary!$B$8</f>
        <v/>
      </c>
      <c r="O132" s="11">
        <f>M132-N132</f>
        <v/>
      </c>
    </row>
    <row r="133">
      <c r="A133" s="9" t="n">
        <v>45297.45833333334</v>
      </c>
      <c r="B133" t="n">
        <v>1</v>
      </c>
      <c r="C133" t="n">
        <v>6</v>
      </c>
      <c r="D133" t="n">
        <v>11</v>
      </c>
      <c r="E133" s="10" t="n">
        <v>0.055405</v>
      </c>
      <c r="F133" s="10" t="n">
        <v>0.3686909204858209</v>
      </c>
      <c r="G133" s="11">
        <f>E133*Summary!$B$6</f>
        <v/>
      </c>
      <c r="H133" s="11">
        <f>F133*Summary!$B$7</f>
        <v/>
      </c>
      <c r="I133" s="11">
        <f>MAX(0,N133-M133)</f>
        <v/>
      </c>
      <c r="J133" s="11">
        <f>MAX(0,M133-N133)</f>
        <v/>
      </c>
      <c r="K133" s="11">
        <f>O133</f>
        <v/>
      </c>
      <c r="L133" s="11">
        <f>L132+IF(K133&gt;0,K133*Summary!$B$9,K133/Summary!$B$9)</f>
        <v/>
      </c>
      <c r="M133" s="11">
        <f>G133+H133</f>
        <v/>
      </c>
      <c r="N133" s="11">
        <f>Summary!$C$16*Summary!$B$8</f>
        <v/>
      </c>
      <c r="O133" s="11">
        <f>M133-N133</f>
        <v/>
      </c>
    </row>
    <row r="134">
      <c r="A134" s="9" t="n">
        <v>45297.5</v>
      </c>
      <c r="B134" t="n">
        <v>1</v>
      </c>
      <c r="C134" t="n">
        <v>6</v>
      </c>
      <c r="D134" t="n">
        <v>12</v>
      </c>
      <c r="E134" s="10" t="n">
        <v>0.057762</v>
      </c>
      <c r="F134" s="10" t="n">
        <v>0.3667145200114847</v>
      </c>
      <c r="G134" s="11">
        <f>E134*Summary!$B$6</f>
        <v/>
      </c>
      <c r="H134" s="11">
        <f>F134*Summary!$B$7</f>
        <v/>
      </c>
      <c r="I134" s="11">
        <f>MAX(0,N134-M134)</f>
        <v/>
      </c>
      <c r="J134" s="11">
        <f>MAX(0,M134-N134)</f>
        <v/>
      </c>
      <c r="K134" s="11">
        <f>O134</f>
        <v/>
      </c>
      <c r="L134" s="11">
        <f>L133+IF(K134&gt;0,K134*Summary!$B$9,K134/Summary!$B$9)</f>
        <v/>
      </c>
      <c r="M134" s="11">
        <f>G134+H134</f>
        <v/>
      </c>
      <c r="N134" s="11">
        <f>Summary!$C$16*Summary!$B$8</f>
        <v/>
      </c>
      <c r="O134" s="11">
        <f>M134-N134</f>
        <v/>
      </c>
    </row>
    <row r="135">
      <c r="A135" s="9" t="n">
        <v>45297.54166666666</v>
      </c>
      <c r="B135" t="n">
        <v>1</v>
      </c>
      <c r="C135" t="n">
        <v>6</v>
      </c>
      <c r="D135" t="n">
        <v>13</v>
      </c>
      <c r="E135" s="10" t="n">
        <v>0.038646</v>
      </c>
      <c r="F135" s="10" t="n">
        <v>0.3690598485743636</v>
      </c>
      <c r="G135" s="11">
        <f>E135*Summary!$B$6</f>
        <v/>
      </c>
      <c r="H135" s="11">
        <f>F135*Summary!$B$7</f>
        <v/>
      </c>
      <c r="I135" s="11">
        <f>MAX(0,N135-M135)</f>
        <v/>
      </c>
      <c r="J135" s="11">
        <f>MAX(0,M135-N135)</f>
        <v/>
      </c>
      <c r="K135" s="11">
        <f>O135</f>
        <v/>
      </c>
      <c r="L135" s="11">
        <f>L134+IF(K135&gt;0,K135*Summary!$B$9,K135/Summary!$B$9)</f>
        <v/>
      </c>
      <c r="M135" s="11">
        <f>G135+H135</f>
        <v/>
      </c>
      <c r="N135" s="11">
        <f>Summary!$C$16*Summary!$B$8</f>
        <v/>
      </c>
      <c r="O135" s="11">
        <f>M135-N135</f>
        <v/>
      </c>
    </row>
    <row r="136">
      <c r="A136" s="9" t="n">
        <v>45297.58333333334</v>
      </c>
      <c r="B136" t="n">
        <v>1</v>
      </c>
      <c r="C136" t="n">
        <v>6</v>
      </c>
      <c r="D136" t="n">
        <v>14</v>
      </c>
      <c r="E136" s="10" t="n">
        <v>0.016623</v>
      </c>
      <c r="F136" s="10" t="n">
        <v>0.3795215950851828</v>
      </c>
      <c r="G136" s="11">
        <f>E136*Summary!$B$6</f>
        <v/>
      </c>
      <c r="H136" s="11">
        <f>F136*Summary!$B$7</f>
        <v/>
      </c>
      <c r="I136" s="11">
        <f>MAX(0,N136-M136)</f>
        <v/>
      </c>
      <c r="J136" s="11">
        <f>MAX(0,M136-N136)</f>
        <v/>
      </c>
      <c r="K136" s="11">
        <f>O136</f>
        <v/>
      </c>
      <c r="L136" s="11">
        <f>L135+IF(K136&gt;0,K136*Summary!$B$9,K136/Summary!$B$9)</f>
        <v/>
      </c>
      <c r="M136" s="11">
        <f>G136+H136</f>
        <v/>
      </c>
      <c r="N136" s="11">
        <f>Summary!$C$16*Summary!$B$8</f>
        <v/>
      </c>
      <c r="O136" s="11">
        <f>M136-N136</f>
        <v/>
      </c>
    </row>
    <row r="137">
      <c r="A137" s="9" t="n">
        <v>45297.625</v>
      </c>
      <c r="B137" t="n">
        <v>1</v>
      </c>
      <c r="C137" t="n">
        <v>6</v>
      </c>
      <c r="D137" t="n">
        <v>15</v>
      </c>
      <c r="E137" s="10" t="n">
        <v>0</v>
      </c>
      <c r="F137" s="10" t="n">
        <v>0.3982578715818892</v>
      </c>
      <c r="G137" s="11">
        <f>E137*Summary!$B$6</f>
        <v/>
      </c>
      <c r="H137" s="11">
        <f>F137*Summary!$B$7</f>
        <v/>
      </c>
      <c r="I137" s="11">
        <f>MAX(0,N137-M137)</f>
        <v/>
      </c>
      <c r="J137" s="11">
        <f>MAX(0,M137-N137)</f>
        <v/>
      </c>
      <c r="K137" s="11">
        <f>O137</f>
        <v/>
      </c>
      <c r="L137" s="11">
        <f>L136+IF(K137&gt;0,K137*Summary!$B$9,K137/Summary!$B$9)</f>
        <v/>
      </c>
      <c r="M137" s="11">
        <f>G137+H137</f>
        <v/>
      </c>
      <c r="N137" s="11">
        <f>Summary!$C$16*Summary!$B$8</f>
        <v/>
      </c>
      <c r="O137" s="11">
        <f>M137-N137</f>
        <v/>
      </c>
    </row>
    <row r="138">
      <c r="A138" s="9" t="n">
        <v>45297.66666666666</v>
      </c>
      <c r="B138" t="n">
        <v>1</v>
      </c>
      <c r="C138" t="n">
        <v>6</v>
      </c>
      <c r="D138" t="n">
        <v>16</v>
      </c>
      <c r="E138" s="10" t="n">
        <v>0</v>
      </c>
      <c r="F138" s="10" t="n">
        <v>0.4105379065290976</v>
      </c>
      <c r="G138" s="11">
        <f>E138*Summary!$B$6</f>
        <v/>
      </c>
      <c r="H138" s="11">
        <f>F138*Summary!$B$7</f>
        <v/>
      </c>
      <c r="I138" s="11">
        <f>MAX(0,N138-M138)</f>
        <v/>
      </c>
      <c r="J138" s="11">
        <f>MAX(0,M138-N138)</f>
        <v/>
      </c>
      <c r="K138" s="11">
        <f>O138</f>
        <v/>
      </c>
      <c r="L138" s="11">
        <f>L137+IF(K138&gt;0,K138*Summary!$B$9,K138/Summary!$B$9)</f>
        <v/>
      </c>
      <c r="M138" s="11">
        <f>G138+H138</f>
        <v/>
      </c>
      <c r="N138" s="11">
        <f>Summary!$C$16*Summary!$B$8</f>
        <v/>
      </c>
      <c r="O138" s="11">
        <f>M138-N138</f>
        <v/>
      </c>
    </row>
    <row r="139">
      <c r="A139" s="9" t="n">
        <v>45297.70833333334</v>
      </c>
      <c r="B139" t="n">
        <v>1</v>
      </c>
      <c r="C139" t="n">
        <v>6</v>
      </c>
      <c r="D139" t="n">
        <v>17</v>
      </c>
      <c r="E139" s="10" t="n">
        <v>0</v>
      </c>
      <c r="F139" s="10" t="n">
        <v>0.4204199089007781</v>
      </c>
      <c r="G139" s="11">
        <f>E139*Summary!$B$6</f>
        <v/>
      </c>
      <c r="H139" s="11">
        <f>F139*Summary!$B$7</f>
        <v/>
      </c>
      <c r="I139" s="11">
        <f>MAX(0,N139-M139)</f>
        <v/>
      </c>
      <c r="J139" s="11">
        <f>MAX(0,M139-N139)</f>
        <v/>
      </c>
      <c r="K139" s="11">
        <f>O139</f>
        <v/>
      </c>
      <c r="L139" s="11">
        <f>L138+IF(K139&gt;0,K139*Summary!$B$9,K139/Summary!$B$9)</f>
        <v/>
      </c>
      <c r="M139" s="11">
        <f>G139+H139</f>
        <v/>
      </c>
      <c r="N139" s="11">
        <f>Summary!$C$16*Summary!$B$8</f>
        <v/>
      </c>
      <c r="O139" s="11">
        <f>M139-N139</f>
        <v/>
      </c>
    </row>
    <row r="140">
      <c r="A140" s="9" t="n">
        <v>45297.75</v>
      </c>
      <c r="B140" t="n">
        <v>1</v>
      </c>
      <c r="C140" t="n">
        <v>6</v>
      </c>
      <c r="D140" t="n">
        <v>18</v>
      </c>
      <c r="E140" s="10" t="n">
        <v>0</v>
      </c>
      <c r="F140" s="10" t="n">
        <v>0.4251632700391848</v>
      </c>
      <c r="G140" s="11">
        <f>E140*Summary!$B$6</f>
        <v/>
      </c>
      <c r="H140" s="11">
        <f>F140*Summary!$B$7</f>
        <v/>
      </c>
      <c r="I140" s="11">
        <f>MAX(0,N140-M140)</f>
        <v/>
      </c>
      <c r="J140" s="11">
        <f>MAX(0,M140-N140)</f>
        <v/>
      </c>
      <c r="K140" s="11">
        <f>O140</f>
        <v/>
      </c>
      <c r="L140" s="11">
        <f>L139+IF(K140&gt;0,K140*Summary!$B$9,K140/Summary!$B$9)</f>
        <v/>
      </c>
      <c r="M140" s="11">
        <f>G140+H140</f>
        <v/>
      </c>
      <c r="N140" s="11">
        <f>Summary!$C$16*Summary!$B$8</f>
        <v/>
      </c>
      <c r="O140" s="11">
        <f>M140-N140</f>
        <v/>
      </c>
    </row>
    <row r="141">
      <c r="A141" s="9" t="n">
        <v>45297.79166666666</v>
      </c>
      <c r="B141" t="n">
        <v>1</v>
      </c>
      <c r="C141" t="n">
        <v>6</v>
      </c>
      <c r="D141" t="n">
        <v>19</v>
      </c>
      <c r="E141" s="10" t="n">
        <v>0</v>
      </c>
      <c r="F141" s="10" t="n">
        <v>0.4299593351902404</v>
      </c>
      <c r="G141" s="11">
        <f>E141*Summary!$B$6</f>
        <v/>
      </c>
      <c r="H141" s="11">
        <f>F141*Summary!$B$7</f>
        <v/>
      </c>
      <c r="I141" s="11">
        <f>MAX(0,N141-M141)</f>
        <v/>
      </c>
      <c r="J141" s="11">
        <f>MAX(0,M141-N141)</f>
        <v/>
      </c>
      <c r="K141" s="11">
        <f>O141</f>
        <v/>
      </c>
      <c r="L141" s="11">
        <f>L140+IF(K141&gt;0,K141*Summary!$B$9,K141/Summary!$B$9)</f>
        <v/>
      </c>
      <c r="M141" s="11">
        <f>G141+H141</f>
        <v/>
      </c>
      <c r="N141" s="11">
        <f>Summary!$C$16*Summary!$B$8</f>
        <v/>
      </c>
      <c r="O141" s="11">
        <f>M141-N141</f>
        <v/>
      </c>
    </row>
    <row r="142">
      <c r="A142" s="9" t="n">
        <v>45297.83333333334</v>
      </c>
      <c r="B142" t="n">
        <v>1</v>
      </c>
      <c r="C142" t="n">
        <v>6</v>
      </c>
      <c r="D142" t="n">
        <v>20</v>
      </c>
      <c r="E142" s="10" t="n">
        <v>0</v>
      </c>
      <c r="F142" s="10" t="n">
        <v>0.4296431111143467</v>
      </c>
      <c r="G142" s="11">
        <f>E142*Summary!$B$6</f>
        <v/>
      </c>
      <c r="H142" s="11">
        <f>F142*Summary!$B$7</f>
        <v/>
      </c>
      <c r="I142" s="11">
        <f>MAX(0,N142-M142)</f>
        <v/>
      </c>
      <c r="J142" s="11">
        <f>MAX(0,M142-N142)</f>
        <v/>
      </c>
      <c r="K142" s="11">
        <f>O142</f>
        <v/>
      </c>
      <c r="L142" s="11">
        <f>L141+IF(K142&gt;0,K142*Summary!$B$9,K142/Summary!$B$9)</f>
        <v/>
      </c>
      <c r="M142" s="11">
        <f>G142+H142</f>
        <v/>
      </c>
      <c r="N142" s="11">
        <f>Summary!$C$16*Summary!$B$8</f>
        <v/>
      </c>
      <c r="O142" s="11">
        <f>M142-N142</f>
        <v/>
      </c>
    </row>
    <row r="143">
      <c r="A143" s="9" t="n">
        <v>45297.875</v>
      </c>
      <c r="B143" t="n">
        <v>1</v>
      </c>
      <c r="C143" t="n">
        <v>6</v>
      </c>
      <c r="D143" t="n">
        <v>21</v>
      </c>
      <c r="E143" s="10" t="n">
        <v>0</v>
      </c>
      <c r="F143" s="10" t="n">
        <v>0.430539079329379</v>
      </c>
      <c r="G143" s="11">
        <f>E143*Summary!$B$6</f>
        <v/>
      </c>
      <c r="H143" s="11">
        <f>F143*Summary!$B$7</f>
        <v/>
      </c>
      <c r="I143" s="11">
        <f>MAX(0,N143-M143)</f>
        <v/>
      </c>
      <c r="J143" s="11">
        <f>MAX(0,M143-N143)</f>
        <v/>
      </c>
      <c r="K143" s="11">
        <f>O143</f>
        <v/>
      </c>
      <c r="L143" s="11">
        <f>L142+IF(K143&gt;0,K143*Summary!$B$9,K143/Summary!$B$9)</f>
        <v/>
      </c>
      <c r="M143" s="11">
        <f>G143+H143</f>
        <v/>
      </c>
      <c r="N143" s="11">
        <f>Summary!$C$16*Summary!$B$8</f>
        <v/>
      </c>
      <c r="O143" s="11">
        <f>M143-N143</f>
        <v/>
      </c>
    </row>
    <row r="144">
      <c r="A144" s="9" t="n">
        <v>45297.91666666666</v>
      </c>
      <c r="B144" t="n">
        <v>1</v>
      </c>
      <c r="C144" t="n">
        <v>6</v>
      </c>
      <c r="D144" t="n">
        <v>22</v>
      </c>
      <c r="E144" s="10" t="n">
        <v>0</v>
      </c>
      <c r="F144" s="10" t="n">
        <v>0.4308816554115973</v>
      </c>
      <c r="G144" s="11">
        <f>E144*Summary!$B$6</f>
        <v/>
      </c>
      <c r="H144" s="11">
        <f>F144*Summary!$B$7</f>
        <v/>
      </c>
      <c r="I144" s="11">
        <f>MAX(0,N144-M144)</f>
        <v/>
      </c>
      <c r="J144" s="11">
        <f>MAX(0,M144-N144)</f>
        <v/>
      </c>
      <c r="K144" s="11">
        <f>O144</f>
        <v/>
      </c>
      <c r="L144" s="11">
        <f>L143+IF(K144&gt;0,K144*Summary!$B$9,K144/Summary!$B$9)</f>
        <v/>
      </c>
      <c r="M144" s="11">
        <f>G144+H144</f>
        <v/>
      </c>
      <c r="N144" s="11">
        <f>Summary!$C$16*Summary!$B$8</f>
        <v/>
      </c>
      <c r="O144" s="11">
        <f>M144-N144</f>
        <v/>
      </c>
    </row>
    <row r="145">
      <c r="A145" s="9" t="n">
        <v>45297.95833333334</v>
      </c>
      <c r="B145" t="n">
        <v>1</v>
      </c>
      <c r="C145" t="n">
        <v>6</v>
      </c>
      <c r="D145" t="n">
        <v>23</v>
      </c>
      <c r="E145" s="10" t="n">
        <v>0</v>
      </c>
      <c r="F145" s="10" t="n">
        <v>0.4278248226779574</v>
      </c>
      <c r="G145" s="11">
        <f>E145*Summary!$B$6</f>
        <v/>
      </c>
      <c r="H145" s="11">
        <f>F145*Summary!$B$7</f>
        <v/>
      </c>
      <c r="I145" s="11">
        <f>MAX(0,N145-M145)</f>
        <v/>
      </c>
      <c r="J145" s="11">
        <f>MAX(0,M145-N145)</f>
        <v/>
      </c>
      <c r="K145" s="11">
        <f>O145</f>
        <v/>
      </c>
      <c r="L145" s="11">
        <f>L144+IF(K145&gt;0,K145*Summary!$B$9,K145/Summary!$B$9)</f>
        <v/>
      </c>
      <c r="M145" s="11">
        <f>G145+H145</f>
        <v/>
      </c>
      <c r="N145" s="11">
        <f>Summary!$C$16*Summary!$B$8</f>
        <v/>
      </c>
      <c r="O145" s="11">
        <f>M145-N145</f>
        <v/>
      </c>
    </row>
    <row r="146">
      <c r="A146" s="9" t="n">
        <v>45298</v>
      </c>
      <c r="B146" t="n">
        <v>1</v>
      </c>
      <c r="C146" t="n">
        <v>7</v>
      </c>
      <c r="D146" t="n">
        <v>0</v>
      </c>
      <c r="E146" s="10" t="n">
        <v>0</v>
      </c>
      <c r="F146" s="10" t="n">
        <v>0.4152022116485308</v>
      </c>
      <c r="G146" s="11">
        <f>E146*Summary!$B$6</f>
        <v/>
      </c>
      <c r="H146" s="11">
        <f>F146*Summary!$B$7</f>
        <v/>
      </c>
      <c r="I146" s="11">
        <f>MAX(0,N146-M146)</f>
        <v/>
      </c>
      <c r="J146" s="11">
        <f>MAX(0,M146-N146)</f>
        <v/>
      </c>
      <c r="K146" s="11">
        <f>O146</f>
        <v/>
      </c>
      <c r="L146" s="11">
        <f>L145+IF(K146&gt;0,K146*Summary!$B$9,K146/Summary!$B$9)</f>
        <v/>
      </c>
      <c r="M146" s="11">
        <f>G146+H146</f>
        <v/>
      </c>
      <c r="N146" s="11">
        <f>Summary!$C$16*Summary!$B$8</f>
        <v/>
      </c>
      <c r="O146" s="11">
        <f>M146-N146</f>
        <v/>
      </c>
    </row>
    <row r="147">
      <c r="A147" s="9" t="n">
        <v>45298.04166666666</v>
      </c>
      <c r="B147" t="n">
        <v>1</v>
      </c>
      <c r="C147" t="n">
        <v>7</v>
      </c>
      <c r="D147" t="n">
        <v>1</v>
      </c>
      <c r="E147" s="10" t="n">
        <v>0</v>
      </c>
      <c r="F147" s="10" t="n">
        <v>0.4174421321861117</v>
      </c>
      <c r="G147" s="11">
        <f>E147*Summary!$B$6</f>
        <v/>
      </c>
      <c r="H147" s="11">
        <f>F147*Summary!$B$7</f>
        <v/>
      </c>
      <c r="I147" s="11">
        <f>MAX(0,N147-M147)</f>
        <v/>
      </c>
      <c r="J147" s="11">
        <f>MAX(0,M147-N147)</f>
        <v/>
      </c>
      <c r="K147" s="11">
        <f>O147</f>
        <v/>
      </c>
      <c r="L147" s="11">
        <f>L146+IF(K147&gt;0,K147*Summary!$B$9,K147/Summary!$B$9)</f>
        <v/>
      </c>
      <c r="M147" s="11">
        <f>G147+H147</f>
        <v/>
      </c>
      <c r="N147" s="11">
        <f>Summary!$C$16*Summary!$B$8</f>
        <v/>
      </c>
      <c r="O147" s="11">
        <f>M147-N147</f>
        <v/>
      </c>
    </row>
    <row r="148">
      <c r="A148" s="9" t="n">
        <v>45298.08333333334</v>
      </c>
      <c r="B148" t="n">
        <v>1</v>
      </c>
      <c r="C148" t="n">
        <v>7</v>
      </c>
      <c r="D148" t="n">
        <v>2</v>
      </c>
      <c r="E148" s="10" t="n">
        <v>0</v>
      </c>
      <c r="F148" s="10" t="n">
        <v>0.4066641615993988</v>
      </c>
      <c r="G148" s="11">
        <f>E148*Summary!$B$6</f>
        <v/>
      </c>
      <c r="H148" s="11">
        <f>F148*Summary!$B$7</f>
        <v/>
      </c>
      <c r="I148" s="11">
        <f>MAX(0,N148-M148)</f>
        <v/>
      </c>
      <c r="J148" s="11">
        <f>MAX(0,M148-N148)</f>
        <v/>
      </c>
      <c r="K148" s="11">
        <f>O148</f>
        <v/>
      </c>
      <c r="L148" s="11">
        <f>L147+IF(K148&gt;0,K148*Summary!$B$9,K148/Summary!$B$9)</f>
        <v/>
      </c>
      <c r="M148" s="11">
        <f>G148+H148</f>
        <v/>
      </c>
      <c r="N148" s="11">
        <f>Summary!$C$16*Summary!$B$8</f>
        <v/>
      </c>
      <c r="O148" s="11">
        <f>M148-N148</f>
        <v/>
      </c>
    </row>
    <row r="149">
      <c r="A149" s="9" t="n">
        <v>45298.125</v>
      </c>
      <c r="B149" t="n">
        <v>1</v>
      </c>
      <c r="C149" t="n">
        <v>7</v>
      </c>
      <c r="D149" t="n">
        <v>3</v>
      </c>
      <c r="E149" s="10" t="n">
        <v>0</v>
      </c>
      <c r="F149" s="10" t="n">
        <v>0.3868474528433887</v>
      </c>
      <c r="G149" s="11">
        <f>E149*Summary!$B$6</f>
        <v/>
      </c>
      <c r="H149" s="11">
        <f>F149*Summary!$B$7</f>
        <v/>
      </c>
      <c r="I149" s="11">
        <f>MAX(0,N149-M149)</f>
        <v/>
      </c>
      <c r="J149" s="11">
        <f>MAX(0,M149-N149)</f>
        <v/>
      </c>
      <c r="K149" s="11">
        <f>O149</f>
        <v/>
      </c>
      <c r="L149" s="11">
        <f>L148+IF(K149&gt;0,K149*Summary!$B$9,K149/Summary!$B$9)</f>
        <v/>
      </c>
      <c r="M149" s="11">
        <f>G149+H149</f>
        <v/>
      </c>
      <c r="N149" s="11">
        <f>Summary!$C$16*Summary!$B$8</f>
        <v/>
      </c>
      <c r="O149" s="11">
        <f>M149-N149</f>
        <v/>
      </c>
    </row>
    <row r="150">
      <c r="A150" s="9" t="n">
        <v>45298.16666666666</v>
      </c>
      <c r="B150" t="n">
        <v>1</v>
      </c>
      <c r="C150" t="n">
        <v>7</v>
      </c>
      <c r="D150" t="n">
        <v>4</v>
      </c>
      <c r="E150" s="10" t="n">
        <v>0</v>
      </c>
      <c r="F150" s="10" t="n">
        <v>0.3724856093965462</v>
      </c>
      <c r="G150" s="11">
        <f>E150*Summary!$B$6</f>
        <v/>
      </c>
      <c r="H150" s="11">
        <f>F150*Summary!$B$7</f>
        <v/>
      </c>
      <c r="I150" s="11">
        <f>MAX(0,N150-M150)</f>
        <v/>
      </c>
      <c r="J150" s="11">
        <f>MAX(0,M150-N150)</f>
        <v/>
      </c>
      <c r="K150" s="11">
        <f>O150</f>
        <v/>
      </c>
      <c r="L150" s="11">
        <f>L149+IF(K150&gt;0,K150*Summary!$B$9,K150/Summary!$B$9)</f>
        <v/>
      </c>
      <c r="M150" s="11">
        <f>G150+H150</f>
        <v/>
      </c>
      <c r="N150" s="11">
        <f>Summary!$C$16*Summary!$B$8</f>
        <v/>
      </c>
      <c r="O150" s="11">
        <f>M150-N150</f>
        <v/>
      </c>
    </row>
    <row r="151">
      <c r="A151" s="9" t="n">
        <v>45298.20833333334</v>
      </c>
      <c r="B151" t="n">
        <v>1</v>
      </c>
      <c r="C151" t="n">
        <v>7</v>
      </c>
      <c r="D151" t="n">
        <v>5</v>
      </c>
      <c r="E151" s="10" t="n">
        <v>0</v>
      </c>
      <c r="F151" s="10" t="n">
        <v>0.3539337969441113</v>
      </c>
      <c r="G151" s="11">
        <f>E151*Summary!$B$6</f>
        <v/>
      </c>
      <c r="H151" s="11">
        <f>F151*Summary!$B$7</f>
        <v/>
      </c>
      <c r="I151" s="11">
        <f>MAX(0,N151-M151)</f>
        <v/>
      </c>
      <c r="J151" s="11">
        <f>MAX(0,M151-N151)</f>
        <v/>
      </c>
      <c r="K151" s="11">
        <f>O151</f>
        <v/>
      </c>
      <c r="L151" s="11">
        <f>L150+IF(K151&gt;0,K151*Summary!$B$9,K151/Summary!$B$9)</f>
        <v/>
      </c>
      <c r="M151" s="11">
        <f>G151+H151</f>
        <v/>
      </c>
      <c r="N151" s="11">
        <f>Summary!$C$16*Summary!$B$8</f>
        <v/>
      </c>
      <c r="O151" s="11">
        <f>M151-N151</f>
        <v/>
      </c>
    </row>
    <row r="152">
      <c r="A152" s="9" t="n">
        <v>45298.25</v>
      </c>
      <c r="B152" t="n">
        <v>1</v>
      </c>
      <c r="C152" t="n">
        <v>7</v>
      </c>
      <c r="D152" t="n">
        <v>6</v>
      </c>
      <c r="E152" s="10" t="n">
        <v>0</v>
      </c>
      <c r="F152" s="10" t="n">
        <v>0.3418909300538231</v>
      </c>
      <c r="G152" s="11">
        <f>E152*Summary!$B$6</f>
        <v/>
      </c>
      <c r="H152" s="11">
        <f>F152*Summary!$B$7</f>
        <v/>
      </c>
      <c r="I152" s="11">
        <f>MAX(0,N152-M152)</f>
        <v/>
      </c>
      <c r="J152" s="11">
        <f>MAX(0,M152-N152)</f>
        <v/>
      </c>
      <c r="K152" s="11">
        <f>O152</f>
        <v/>
      </c>
      <c r="L152" s="11">
        <f>L151+IF(K152&gt;0,K152*Summary!$B$9,K152/Summary!$B$9)</f>
        <v/>
      </c>
      <c r="M152" s="11">
        <f>G152+H152</f>
        <v/>
      </c>
      <c r="N152" s="11">
        <f>Summary!$C$16*Summary!$B$8</f>
        <v/>
      </c>
      <c r="O152" s="11">
        <f>M152-N152</f>
        <v/>
      </c>
    </row>
    <row r="153">
      <c r="A153" s="9" t="n">
        <v>45298.29166666666</v>
      </c>
      <c r="B153" t="n">
        <v>1</v>
      </c>
      <c r="C153" t="n">
        <v>7</v>
      </c>
      <c r="D153" t="n">
        <v>7</v>
      </c>
      <c r="E153" s="10" t="n">
        <v>0</v>
      </c>
      <c r="F153" s="10" t="n">
        <v>0.3300852312204555</v>
      </c>
      <c r="G153" s="11">
        <f>E153*Summary!$B$6</f>
        <v/>
      </c>
      <c r="H153" s="11">
        <f>F153*Summary!$B$7</f>
        <v/>
      </c>
      <c r="I153" s="11">
        <f>MAX(0,N153-M153)</f>
        <v/>
      </c>
      <c r="J153" s="11">
        <f>MAX(0,M153-N153)</f>
        <v/>
      </c>
      <c r="K153" s="11">
        <f>O153</f>
        <v/>
      </c>
      <c r="L153" s="11">
        <f>L152+IF(K153&gt;0,K153*Summary!$B$9,K153/Summary!$B$9)</f>
        <v/>
      </c>
      <c r="M153" s="11">
        <f>G153+H153</f>
        <v/>
      </c>
      <c r="N153" s="11">
        <f>Summary!$C$16*Summary!$B$8</f>
        <v/>
      </c>
      <c r="O153" s="11">
        <f>M153-N153</f>
        <v/>
      </c>
    </row>
    <row r="154">
      <c r="A154" s="9" t="n">
        <v>45298.33333333334</v>
      </c>
      <c r="B154" t="n">
        <v>1</v>
      </c>
      <c r="C154" t="n">
        <v>7</v>
      </c>
      <c r="D154" t="n">
        <v>8</v>
      </c>
      <c r="E154" s="10" t="n">
        <v>0</v>
      </c>
      <c r="F154" s="10" t="n">
        <v>0.3178842522922206</v>
      </c>
      <c r="G154" s="11">
        <f>E154*Summary!$B$6</f>
        <v/>
      </c>
      <c r="H154" s="11">
        <f>F154*Summary!$B$7</f>
        <v/>
      </c>
      <c r="I154" s="11">
        <f>MAX(0,N154-M154)</f>
        <v/>
      </c>
      <c r="J154" s="11">
        <f>MAX(0,M154-N154)</f>
        <v/>
      </c>
      <c r="K154" s="11">
        <f>O154</f>
        <v/>
      </c>
      <c r="L154" s="11">
        <f>L153+IF(K154&gt;0,K154*Summary!$B$9,K154/Summary!$B$9)</f>
        <v/>
      </c>
      <c r="M154" s="11">
        <f>G154+H154</f>
        <v/>
      </c>
      <c r="N154" s="11">
        <f>Summary!$C$16*Summary!$B$8</f>
        <v/>
      </c>
      <c r="O154" s="11">
        <f>M154-N154</f>
        <v/>
      </c>
    </row>
    <row r="155">
      <c r="A155" s="9" t="n">
        <v>45298.375</v>
      </c>
      <c r="B155" t="n">
        <v>1</v>
      </c>
      <c r="C155" t="n">
        <v>7</v>
      </c>
      <c r="D155" t="n">
        <v>9</v>
      </c>
      <c r="E155" s="10" t="n">
        <v>0.033438</v>
      </c>
      <c r="F155" s="10" t="n">
        <v>0.3170936921024861</v>
      </c>
      <c r="G155" s="11">
        <f>E155*Summary!$B$6</f>
        <v/>
      </c>
      <c r="H155" s="11">
        <f>F155*Summary!$B$7</f>
        <v/>
      </c>
      <c r="I155" s="11">
        <f>MAX(0,N155-M155)</f>
        <v/>
      </c>
      <c r="J155" s="11">
        <f>MAX(0,M155-N155)</f>
        <v/>
      </c>
      <c r="K155" s="11">
        <f>O155</f>
        <v/>
      </c>
      <c r="L155" s="11">
        <f>L154+IF(K155&gt;0,K155*Summary!$B$9,K155/Summary!$B$9)</f>
        <v/>
      </c>
      <c r="M155" s="11">
        <f>G155+H155</f>
        <v/>
      </c>
      <c r="N155" s="11">
        <f>Summary!$C$16*Summary!$B$8</f>
        <v/>
      </c>
      <c r="O155" s="11">
        <f>M155-N155</f>
        <v/>
      </c>
    </row>
    <row r="156">
      <c r="A156" s="9" t="n">
        <v>45298.41666666666</v>
      </c>
      <c r="B156" t="n">
        <v>1</v>
      </c>
      <c r="C156" t="n">
        <v>7</v>
      </c>
      <c r="D156" t="n">
        <v>10</v>
      </c>
      <c r="E156" s="10" t="n">
        <v>0.127262</v>
      </c>
      <c r="F156" s="10" t="n">
        <v>0.3201241728298014</v>
      </c>
      <c r="G156" s="11">
        <f>E156*Summary!$B$6</f>
        <v/>
      </c>
      <c r="H156" s="11">
        <f>F156*Summary!$B$7</f>
        <v/>
      </c>
      <c r="I156" s="11">
        <f>MAX(0,N156-M156)</f>
        <v/>
      </c>
      <c r="J156" s="11">
        <f>MAX(0,M156-N156)</f>
        <v/>
      </c>
      <c r="K156" s="11">
        <f>O156</f>
        <v/>
      </c>
      <c r="L156" s="11">
        <f>L155+IF(K156&gt;0,K156*Summary!$B$9,K156/Summary!$B$9)</f>
        <v/>
      </c>
      <c r="M156" s="11">
        <f>G156+H156</f>
        <v/>
      </c>
      <c r="N156" s="11">
        <f>Summary!$C$16*Summary!$B$8</f>
        <v/>
      </c>
      <c r="O156" s="11">
        <f>M156-N156</f>
        <v/>
      </c>
    </row>
    <row r="157">
      <c r="A157" s="9" t="n">
        <v>45298.45833333334</v>
      </c>
      <c r="B157" t="n">
        <v>1</v>
      </c>
      <c r="C157" t="n">
        <v>7</v>
      </c>
      <c r="D157" t="n">
        <v>11</v>
      </c>
      <c r="E157" s="10" t="n">
        <v>0.196925</v>
      </c>
      <c r="F157" s="10" t="n">
        <v>0.3232600615824148</v>
      </c>
      <c r="G157" s="11">
        <f>E157*Summary!$B$6</f>
        <v/>
      </c>
      <c r="H157" s="11">
        <f>F157*Summary!$B$7</f>
        <v/>
      </c>
      <c r="I157" s="11">
        <f>MAX(0,N157-M157)</f>
        <v/>
      </c>
      <c r="J157" s="11">
        <f>MAX(0,M157-N157)</f>
        <v/>
      </c>
      <c r="K157" s="11">
        <f>O157</f>
        <v/>
      </c>
      <c r="L157" s="11">
        <f>L156+IF(K157&gt;0,K157*Summary!$B$9,K157/Summary!$B$9)</f>
        <v/>
      </c>
      <c r="M157" s="11">
        <f>G157+H157</f>
        <v/>
      </c>
      <c r="N157" s="11">
        <f>Summary!$C$16*Summary!$B$8</f>
        <v/>
      </c>
      <c r="O157" s="11">
        <f>M157-N157</f>
        <v/>
      </c>
    </row>
    <row r="158">
      <c r="A158" s="9" t="n">
        <v>45298.5</v>
      </c>
      <c r="B158" t="n">
        <v>1</v>
      </c>
      <c r="C158" t="n">
        <v>7</v>
      </c>
      <c r="D158" t="n">
        <v>12</v>
      </c>
      <c r="E158" s="10" t="n">
        <v>0.210765</v>
      </c>
      <c r="F158" s="10" t="n">
        <v>0.3252364620567509</v>
      </c>
      <c r="G158" s="11">
        <f>E158*Summary!$B$6</f>
        <v/>
      </c>
      <c r="H158" s="11">
        <f>F158*Summary!$B$7</f>
        <v/>
      </c>
      <c r="I158" s="11">
        <f>MAX(0,N158-M158)</f>
        <v/>
      </c>
      <c r="J158" s="11">
        <f>MAX(0,M158-N158)</f>
        <v/>
      </c>
      <c r="K158" s="11">
        <f>O158</f>
        <v/>
      </c>
      <c r="L158" s="11">
        <f>L157+IF(K158&gt;0,K158*Summary!$B$9,K158/Summary!$B$9)</f>
        <v/>
      </c>
      <c r="M158" s="11">
        <f>G158+H158</f>
        <v/>
      </c>
      <c r="N158" s="11">
        <f>Summary!$C$16*Summary!$B$8</f>
        <v/>
      </c>
      <c r="O158" s="11">
        <f>M158-N158</f>
        <v/>
      </c>
    </row>
    <row r="159">
      <c r="A159" s="9" t="n">
        <v>45298.54166666666</v>
      </c>
      <c r="B159" t="n">
        <v>1</v>
      </c>
      <c r="C159" t="n">
        <v>7</v>
      </c>
      <c r="D159" t="n">
        <v>13</v>
      </c>
      <c r="E159" s="10" t="n">
        <v>0.169129</v>
      </c>
      <c r="F159" s="10" t="n">
        <v>0.333563696055287</v>
      </c>
      <c r="G159" s="11">
        <f>E159*Summary!$B$6</f>
        <v/>
      </c>
      <c r="H159" s="11">
        <f>F159*Summary!$B$7</f>
        <v/>
      </c>
      <c r="I159" s="11">
        <f>MAX(0,N159-M159)</f>
        <v/>
      </c>
      <c r="J159" s="11">
        <f>MAX(0,M159-N159)</f>
        <v/>
      </c>
      <c r="K159" s="11">
        <f>O159</f>
        <v/>
      </c>
      <c r="L159" s="11">
        <f>L158+IF(K159&gt;0,K159*Summary!$B$9,K159/Summary!$B$9)</f>
        <v/>
      </c>
      <c r="M159" s="11">
        <f>G159+H159</f>
        <v/>
      </c>
      <c r="N159" s="11">
        <f>Summary!$C$16*Summary!$B$8</f>
        <v/>
      </c>
      <c r="O159" s="11">
        <f>M159-N159</f>
        <v/>
      </c>
    </row>
    <row r="160">
      <c r="A160" s="9" t="n">
        <v>45298.58333333334</v>
      </c>
      <c r="B160" t="n">
        <v>1</v>
      </c>
      <c r="C160" t="n">
        <v>7</v>
      </c>
      <c r="D160" t="n">
        <v>14</v>
      </c>
      <c r="E160" s="10" t="n">
        <v>0.084409</v>
      </c>
      <c r="F160" s="10" t="n">
        <v>0.3424706741929618</v>
      </c>
      <c r="G160" s="11">
        <f>E160*Summary!$B$6</f>
        <v/>
      </c>
      <c r="H160" s="11">
        <f>F160*Summary!$B$7</f>
        <v/>
      </c>
      <c r="I160" s="11">
        <f>MAX(0,N160-M160)</f>
        <v/>
      </c>
      <c r="J160" s="11">
        <f>MAX(0,M160-N160)</f>
        <v/>
      </c>
      <c r="K160" s="11">
        <f>O160</f>
        <v/>
      </c>
      <c r="L160" s="11">
        <f>L159+IF(K160&gt;0,K160*Summary!$B$9,K160/Summary!$B$9)</f>
        <v/>
      </c>
      <c r="M160" s="11">
        <f>G160+H160</f>
        <v/>
      </c>
      <c r="N160" s="11">
        <f>Summary!$C$16*Summary!$B$8</f>
        <v/>
      </c>
      <c r="O160" s="11">
        <f>M160-N160</f>
        <v/>
      </c>
    </row>
    <row r="161">
      <c r="A161" s="9" t="n">
        <v>45298.625</v>
      </c>
      <c r="B161" t="n">
        <v>1</v>
      </c>
      <c r="C161" t="n">
        <v>7</v>
      </c>
      <c r="D161" t="n">
        <v>15</v>
      </c>
      <c r="E161" s="10" t="n">
        <v>0</v>
      </c>
      <c r="F161" s="10" t="n">
        <v>0.3641583753980101</v>
      </c>
      <c r="G161" s="11">
        <f>E161*Summary!$B$6</f>
        <v/>
      </c>
      <c r="H161" s="11">
        <f>F161*Summary!$B$7</f>
        <v/>
      </c>
      <c r="I161" s="11">
        <f>MAX(0,N161-M161)</f>
        <v/>
      </c>
      <c r="J161" s="11">
        <f>MAX(0,M161-N161)</f>
        <v/>
      </c>
      <c r="K161" s="11">
        <f>O161</f>
        <v/>
      </c>
      <c r="L161" s="11">
        <f>L160+IF(K161&gt;0,K161*Summary!$B$9,K161/Summary!$B$9)</f>
        <v/>
      </c>
      <c r="M161" s="11">
        <f>G161+H161</f>
        <v/>
      </c>
      <c r="N161" s="11">
        <f>Summary!$C$16*Summary!$B$8</f>
        <v/>
      </c>
      <c r="O161" s="11">
        <f>M161-N161</f>
        <v/>
      </c>
    </row>
    <row r="162">
      <c r="A162" s="9" t="n">
        <v>45298.66666666666</v>
      </c>
      <c r="B162" t="n">
        <v>1</v>
      </c>
      <c r="C162" t="n">
        <v>7</v>
      </c>
      <c r="D162" t="n">
        <v>16</v>
      </c>
      <c r="E162" s="10" t="n">
        <v>0</v>
      </c>
      <c r="F162" s="10" t="n">
        <v>0.383579804059153</v>
      </c>
      <c r="G162" s="11">
        <f>E162*Summary!$B$6</f>
        <v/>
      </c>
      <c r="H162" s="11">
        <f>F162*Summary!$B$7</f>
        <v/>
      </c>
      <c r="I162" s="11">
        <f>MAX(0,N162-M162)</f>
        <v/>
      </c>
      <c r="J162" s="11">
        <f>MAX(0,M162-N162)</f>
        <v/>
      </c>
      <c r="K162" s="11">
        <f>O162</f>
        <v/>
      </c>
      <c r="L162" s="11">
        <f>L161+IF(K162&gt;0,K162*Summary!$B$9,K162/Summary!$B$9)</f>
        <v/>
      </c>
      <c r="M162" s="11">
        <f>G162+H162</f>
        <v/>
      </c>
      <c r="N162" s="11">
        <f>Summary!$C$16*Summary!$B$8</f>
        <v/>
      </c>
      <c r="O162" s="11">
        <f>M162-N162</f>
        <v/>
      </c>
    </row>
    <row r="163">
      <c r="A163" s="9" t="n">
        <v>45298.70833333334</v>
      </c>
      <c r="B163" t="n">
        <v>1</v>
      </c>
      <c r="C163" t="n">
        <v>7</v>
      </c>
      <c r="D163" t="n">
        <v>17</v>
      </c>
      <c r="E163" s="10" t="n">
        <v>0</v>
      </c>
      <c r="F163" s="10" t="n">
        <v>0.4019998564799656</v>
      </c>
      <c r="G163" s="11">
        <f>E163*Summary!$B$6</f>
        <v/>
      </c>
      <c r="H163" s="11">
        <f>F163*Summary!$B$7</f>
        <v/>
      </c>
      <c r="I163" s="11">
        <f>MAX(0,N163-M163)</f>
        <v/>
      </c>
      <c r="J163" s="11">
        <f>MAX(0,M163-N163)</f>
        <v/>
      </c>
      <c r="K163" s="11">
        <f>O163</f>
        <v/>
      </c>
      <c r="L163" s="11">
        <f>L162+IF(K163&gt;0,K163*Summary!$B$9,K163/Summary!$B$9)</f>
        <v/>
      </c>
      <c r="M163" s="11">
        <f>G163+H163</f>
        <v/>
      </c>
      <c r="N163" s="11">
        <f>Summary!$C$16*Summary!$B$8</f>
        <v/>
      </c>
      <c r="O163" s="11">
        <f>M163-N163</f>
        <v/>
      </c>
    </row>
    <row r="164">
      <c r="A164" s="9" t="n">
        <v>45298.75</v>
      </c>
      <c r="B164" t="n">
        <v>1</v>
      </c>
      <c r="C164" t="n">
        <v>7</v>
      </c>
      <c r="D164" t="n">
        <v>18</v>
      </c>
      <c r="E164" s="10" t="n">
        <v>0</v>
      </c>
      <c r="F164" s="10" t="n">
        <v>0.4122507869401889</v>
      </c>
      <c r="G164" s="11">
        <f>E164*Summary!$B$6</f>
        <v/>
      </c>
      <c r="H164" s="11">
        <f>F164*Summary!$B$7</f>
        <v/>
      </c>
      <c r="I164" s="11">
        <f>MAX(0,N164-M164)</f>
        <v/>
      </c>
      <c r="J164" s="11">
        <f>MAX(0,M164-N164)</f>
        <v/>
      </c>
      <c r="K164" s="11">
        <f>O164</f>
        <v/>
      </c>
      <c r="L164" s="11">
        <f>L163+IF(K164&gt;0,K164*Summary!$B$9,K164/Summary!$B$9)</f>
        <v/>
      </c>
      <c r="M164" s="11">
        <f>G164+H164</f>
        <v/>
      </c>
      <c r="N164" s="11">
        <f>Summary!$C$16*Summary!$B$8</f>
        <v/>
      </c>
      <c r="O164" s="11">
        <f>M164-N164</f>
        <v/>
      </c>
    </row>
    <row r="165">
      <c r="A165" s="9" t="n">
        <v>45298.79166666666</v>
      </c>
      <c r="B165" t="n">
        <v>1</v>
      </c>
      <c r="C165" t="n">
        <v>7</v>
      </c>
      <c r="D165" t="n">
        <v>19</v>
      </c>
      <c r="E165" s="10" t="n">
        <v>0</v>
      </c>
      <c r="F165" s="10" t="n">
        <v>0.42489974997594</v>
      </c>
      <c r="G165" s="11">
        <f>E165*Summary!$B$6</f>
        <v/>
      </c>
      <c r="H165" s="11">
        <f>F165*Summary!$B$7</f>
        <v/>
      </c>
      <c r="I165" s="11">
        <f>MAX(0,N165-M165)</f>
        <v/>
      </c>
      <c r="J165" s="11">
        <f>MAX(0,M165-N165)</f>
        <v/>
      </c>
      <c r="K165" s="11">
        <f>O165</f>
        <v/>
      </c>
      <c r="L165" s="11">
        <f>L164+IF(K165&gt;0,K165*Summary!$B$9,K165/Summary!$B$9)</f>
        <v/>
      </c>
      <c r="M165" s="11">
        <f>G165+H165</f>
        <v/>
      </c>
      <c r="N165" s="11">
        <f>Summary!$C$16*Summary!$B$8</f>
        <v/>
      </c>
      <c r="O165" s="11">
        <f>M165-N165</f>
        <v/>
      </c>
    </row>
    <row r="166">
      <c r="A166" s="9" t="n">
        <v>45298.83333333334</v>
      </c>
      <c r="B166" t="n">
        <v>1</v>
      </c>
      <c r="C166" t="n">
        <v>7</v>
      </c>
      <c r="D166" t="n">
        <v>20</v>
      </c>
      <c r="E166" s="10" t="n">
        <v>0</v>
      </c>
      <c r="F166" s="10" t="n">
        <v>0.4281673987601757</v>
      </c>
      <c r="G166" s="11">
        <f>E166*Summary!$B$6</f>
        <v/>
      </c>
      <c r="H166" s="11">
        <f>F166*Summary!$B$7</f>
        <v/>
      </c>
      <c r="I166" s="11">
        <f>MAX(0,N166-M166)</f>
        <v/>
      </c>
      <c r="J166" s="11">
        <f>MAX(0,M166-N166)</f>
        <v/>
      </c>
      <c r="K166" s="11">
        <f>O166</f>
        <v/>
      </c>
      <c r="L166" s="11">
        <f>L165+IF(K166&gt;0,K166*Summary!$B$9,K166/Summary!$B$9)</f>
        <v/>
      </c>
      <c r="M166" s="11">
        <f>G166+H166</f>
        <v/>
      </c>
      <c r="N166" s="11">
        <f>Summary!$C$16*Summary!$B$8</f>
        <v/>
      </c>
      <c r="O166" s="11">
        <f>M166-N166</f>
        <v/>
      </c>
    </row>
    <row r="167">
      <c r="A167" s="9" t="n">
        <v>45298.875</v>
      </c>
      <c r="B167" t="n">
        <v>1</v>
      </c>
      <c r="C167" t="n">
        <v>7</v>
      </c>
      <c r="D167" t="n">
        <v>21</v>
      </c>
      <c r="E167" s="10" t="n">
        <v>0</v>
      </c>
      <c r="F167" s="10" t="n">
        <v>0.4264281663427599</v>
      </c>
      <c r="G167" s="11">
        <f>E167*Summary!$B$6</f>
        <v/>
      </c>
      <c r="H167" s="11">
        <f>F167*Summary!$B$7</f>
        <v/>
      </c>
      <c r="I167" s="11">
        <f>MAX(0,N167-M167)</f>
        <v/>
      </c>
      <c r="J167" s="11">
        <f>MAX(0,M167-N167)</f>
        <v/>
      </c>
      <c r="K167" s="11">
        <f>O167</f>
        <v/>
      </c>
      <c r="L167" s="11">
        <f>L166+IF(K167&gt;0,K167*Summary!$B$9,K167/Summary!$B$9)</f>
        <v/>
      </c>
      <c r="M167" s="11">
        <f>G167+H167</f>
        <v/>
      </c>
      <c r="N167" s="11">
        <f>Summary!$C$16*Summary!$B$8</f>
        <v/>
      </c>
      <c r="O167" s="11">
        <f>M167-N167</f>
        <v/>
      </c>
    </row>
    <row r="168">
      <c r="A168" s="9" t="n">
        <v>45298.91666666666</v>
      </c>
      <c r="B168" t="n">
        <v>1</v>
      </c>
      <c r="C168" t="n">
        <v>7</v>
      </c>
      <c r="D168" t="n">
        <v>22</v>
      </c>
      <c r="E168" s="10" t="n">
        <v>0</v>
      </c>
      <c r="F168" s="10" t="n">
        <v>0.4169941480785955</v>
      </c>
      <c r="G168" s="11">
        <f>E168*Summary!$B$6</f>
        <v/>
      </c>
      <c r="H168" s="11">
        <f>F168*Summary!$B$7</f>
        <v/>
      </c>
      <c r="I168" s="11">
        <f>MAX(0,N168-M168)</f>
        <v/>
      </c>
      <c r="J168" s="11">
        <f>MAX(0,M168-N168)</f>
        <v/>
      </c>
      <c r="K168" s="11">
        <f>O168</f>
        <v/>
      </c>
      <c r="L168" s="11">
        <f>L167+IF(K168&gt;0,K168*Summary!$B$9,K168/Summary!$B$9)</f>
        <v/>
      </c>
      <c r="M168" s="11">
        <f>G168+H168</f>
        <v/>
      </c>
      <c r="N168" s="11">
        <f>Summary!$C$16*Summary!$B$8</f>
        <v/>
      </c>
      <c r="O168" s="11">
        <f>M168-N168</f>
        <v/>
      </c>
    </row>
    <row r="169">
      <c r="A169" s="9" t="n">
        <v>45298.95833333334</v>
      </c>
      <c r="B169" t="n">
        <v>1</v>
      </c>
      <c r="C169" t="n">
        <v>7</v>
      </c>
      <c r="D169" t="n">
        <v>23</v>
      </c>
      <c r="E169" s="10" t="n">
        <v>0</v>
      </c>
      <c r="F169" s="10" t="n">
        <v>0.4122771389465134</v>
      </c>
      <c r="G169" s="11">
        <f>E169*Summary!$B$6</f>
        <v/>
      </c>
      <c r="H169" s="11">
        <f>F169*Summary!$B$7</f>
        <v/>
      </c>
      <c r="I169" s="11">
        <f>MAX(0,N169-M169)</f>
        <v/>
      </c>
      <c r="J169" s="11">
        <f>MAX(0,M169-N169)</f>
        <v/>
      </c>
      <c r="K169" s="11">
        <f>O169</f>
        <v/>
      </c>
      <c r="L169" s="11">
        <f>L168+IF(K169&gt;0,K169*Summary!$B$9,K169/Summary!$B$9)</f>
        <v/>
      </c>
      <c r="M169" s="11">
        <f>G169+H169</f>
        <v/>
      </c>
      <c r="N169" s="11">
        <f>Summary!$C$16*Summary!$B$8</f>
        <v/>
      </c>
      <c r="O169" s="11">
        <f>M169-N169</f>
        <v/>
      </c>
    </row>
    <row r="170">
      <c r="A170" s="9" t="n">
        <v>45299</v>
      </c>
      <c r="B170" t="n">
        <v>1</v>
      </c>
      <c r="C170" t="n">
        <v>8</v>
      </c>
      <c r="D170" t="n">
        <v>0</v>
      </c>
      <c r="E170" s="10" t="n">
        <v>0</v>
      </c>
      <c r="F170" s="10" t="n">
        <v>0.3363570087256821</v>
      </c>
      <c r="G170" s="11">
        <f>E170*Summary!$B$6</f>
        <v/>
      </c>
      <c r="H170" s="11">
        <f>F170*Summary!$B$7</f>
        <v/>
      </c>
      <c r="I170" s="11">
        <f>MAX(0,N170-M170)</f>
        <v/>
      </c>
      <c r="J170" s="11">
        <f>MAX(0,M170-N170)</f>
        <v/>
      </c>
      <c r="K170" s="11">
        <f>O170</f>
        <v/>
      </c>
      <c r="L170" s="11">
        <f>L169+IF(K170&gt;0,K170*Summary!$B$9,K170/Summary!$B$9)</f>
        <v/>
      </c>
      <c r="M170" s="11">
        <f>G170+H170</f>
        <v/>
      </c>
      <c r="N170" s="11">
        <f>Summary!$C$16*Summary!$B$8</f>
        <v/>
      </c>
      <c r="O170" s="11">
        <f>M170-N170</f>
        <v/>
      </c>
    </row>
    <row r="171">
      <c r="A171" s="9" t="n">
        <v>45299.04166666666</v>
      </c>
      <c r="B171" t="n">
        <v>1</v>
      </c>
      <c r="C171" t="n">
        <v>8</v>
      </c>
      <c r="D171" t="n">
        <v>1</v>
      </c>
      <c r="E171" s="10" t="n">
        <v>0</v>
      </c>
      <c r="F171" s="10" t="n">
        <v>0.4095101782824428</v>
      </c>
      <c r="G171" s="11">
        <f>E171*Summary!$B$6</f>
        <v/>
      </c>
      <c r="H171" s="11">
        <f>F171*Summary!$B$7</f>
        <v/>
      </c>
      <c r="I171" s="11">
        <f>MAX(0,N171-M171)</f>
        <v/>
      </c>
      <c r="J171" s="11">
        <f>MAX(0,M171-N171)</f>
        <v/>
      </c>
      <c r="K171" s="11">
        <f>O171</f>
        <v/>
      </c>
      <c r="L171" s="11">
        <f>L170+IF(K171&gt;0,K171*Summary!$B$9,K171/Summary!$B$9)</f>
        <v/>
      </c>
      <c r="M171" s="11">
        <f>G171+H171</f>
        <v/>
      </c>
      <c r="N171" s="11">
        <f>Summary!$C$16*Summary!$B$8</f>
        <v/>
      </c>
      <c r="O171" s="11">
        <f>M171-N171</f>
        <v/>
      </c>
    </row>
    <row r="172">
      <c r="A172" s="9" t="n">
        <v>45299.08333333334</v>
      </c>
      <c r="B172" t="n">
        <v>1</v>
      </c>
      <c r="C172" t="n">
        <v>8</v>
      </c>
      <c r="D172" t="n">
        <v>2</v>
      </c>
      <c r="E172" s="10" t="n">
        <v>0</v>
      </c>
      <c r="F172" s="10" t="n">
        <v>0.4071912017258884</v>
      </c>
      <c r="G172" s="11">
        <f>E172*Summary!$B$6</f>
        <v/>
      </c>
      <c r="H172" s="11">
        <f>F172*Summary!$B$7</f>
        <v/>
      </c>
      <c r="I172" s="11">
        <f>MAX(0,N172-M172)</f>
        <v/>
      </c>
      <c r="J172" s="11">
        <f>MAX(0,M172-N172)</f>
        <v/>
      </c>
      <c r="K172" s="11">
        <f>O172</f>
        <v/>
      </c>
      <c r="L172" s="11">
        <f>L171+IF(K172&gt;0,K172*Summary!$B$9,K172/Summary!$B$9)</f>
        <v/>
      </c>
      <c r="M172" s="11">
        <f>G172+H172</f>
        <v/>
      </c>
      <c r="N172" s="11">
        <f>Summary!$C$16*Summary!$B$8</f>
        <v/>
      </c>
      <c r="O172" s="11">
        <f>M172-N172</f>
        <v/>
      </c>
    </row>
    <row r="173">
      <c r="A173" s="9" t="n">
        <v>45299.125</v>
      </c>
      <c r="B173" t="n">
        <v>1</v>
      </c>
      <c r="C173" t="n">
        <v>8</v>
      </c>
      <c r="D173" t="n">
        <v>3</v>
      </c>
      <c r="E173" s="10" t="n">
        <v>0</v>
      </c>
      <c r="F173" s="10" t="n">
        <v>0.4022106725305614</v>
      </c>
      <c r="G173" s="11">
        <f>E173*Summary!$B$6</f>
        <v/>
      </c>
      <c r="H173" s="11">
        <f>F173*Summary!$B$7</f>
        <v/>
      </c>
      <c r="I173" s="11">
        <f>MAX(0,N173-M173)</f>
        <v/>
      </c>
      <c r="J173" s="11">
        <f>MAX(0,M173-N173)</f>
        <v/>
      </c>
      <c r="K173" s="11">
        <f>O173</f>
        <v/>
      </c>
      <c r="L173" s="11">
        <f>L172+IF(K173&gt;0,K173*Summary!$B$9,K173/Summary!$B$9)</f>
        <v/>
      </c>
      <c r="M173" s="11">
        <f>G173+H173</f>
        <v/>
      </c>
      <c r="N173" s="11">
        <f>Summary!$C$16*Summary!$B$8</f>
        <v/>
      </c>
      <c r="O173" s="11">
        <f>M173-N173</f>
        <v/>
      </c>
    </row>
    <row r="174">
      <c r="A174" s="9" t="n">
        <v>45299.16666666666</v>
      </c>
      <c r="B174" t="n">
        <v>1</v>
      </c>
      <c r="C174" t="n">
        <v>8</v>
      </c>
      <c r="D174" t="n">
        <v>4</v>
      </c>
      <c r="E174" s="10" t="n">
        <v>0</v>
      </c>
      <c r="F174" s="10" t="n">
        <v>0.4011829442839066</v>
      </c>
      <c r="G174" s="11">
        <f>E174*Summary!$B$6</f>
        <v/>
      </c>
      <c r="H174" s="11">
        <f>F174*Summary!$B$7</f>
        <v/>
      </c>
      <c r="I174" s="11">
        <f>MAX(0,N174-M174)</f>
        <v/>
      </c>
      <c r="J174" s="11">
        <f>MAX(0,M174-N174)</f>
        <v/>
      </c>
      <c r="K174" s="11">
        <f>O174</f>
        <v/>
      </c>
      <c r="L174" s="11">
        <f>L173+IF(K174&gt;0,K174*Summary!$B$9,K174/Summary!$B$9)</f>
        <v/>
      </c>
      <c r="M174" s="11">
        <f>G174+H174</f>
        <v/>
      </c>
      <c r="N174" s="11">
        <f>Summary!$C$16*Summary!$B$8</f>
        <v/>
      </c>
      <c r="O174" s="11">
        <f>M174-N174</f>
        <v/>
      </c>
    </row>
    <row r="175">
      <c r="A175" s="9" t="n">
        <v>45299.20833333334</v>
      </c>
      <c r="B175" t="n">
        <v>1</v>
      </c>
      <c r="C175" t="n">
        <v>8</v>
      </c>
      <c r="D175" t="n">
        <v>5</v>
      </c>
      <c r="E175" s="10" t="n">
        <v>0</v>
      </c>
      <c r="F175" s="10" t="n">
        <v>0.4044505930681424</v>
      </c>
      <c r="G175" s="11">
        <f>E175*Summary!$B$6</f>
        <v/>
      </c>
      <c r="H175" s="11">
        <f>F175*Summary!$B$7</f>
        <v/>
      </c>
      <c r="I175" s="11">
        <f>MAX(0,N175-M175)</f>
        <v/>
      </c>
      <c r="J175" s="11">
        <f>MAX(0,M175-N175)</f>
        <v/>
      </c>
      <c r="K175" s="11">
        <f>O175</f>
        <v/>
      </c>
      <c r="L175" s="11">
        <f>L174+IF(K175&gt;0,K175*Summary!$B$9,K175/Summary!$B$9)</f>
        <v/>
      </c>
      <c r="M175" s="11">
        <f>G175+H175</f>
        <v/>
      </c>
      <c r="N175" s="11">
        <f>Summary!$C$16*Summary!$B$8</f>
        <v/>
      </c>
      <c r="O175" s="11">
        <f>M175-N175</f>
        <v/>
      </c>
    </row>
    <row r="176">
      <c r="A176" s="9" t="n">
        <v>45299.25</v>
      </c>
      <c r="B176" t="n">
        <v>1</v>
      </c>
      <c r="C176" t="n">
        <v>8</v>
      </c>
      <c r="D176" t="n">
        <v>6</v>
      </c>
      <c r="E176" s="10" t="n">
        <v>0</v>
      </c>
      <c r="F176" s="10" t="n">
        <v>0.4104588505101242</v>
      </c>
      <c r="G176" s="11">
        <f>E176*Summary!$B$6</f>
        <v/>
      </c>
      <c r="H176" s="11">
        <f>F176*Summary!$B$7</f>
        <v/>
      </c>
      <c r="I176" s="11">
        <f>MAX(0,N176-M176)</f>
        <v/>
      </c>
      <c r="J176" s="11">
        <f>MAX(0,M176-N176)</f>
        <v/>
      </c>
      <c r="K176" s="11">
        <f>O176</f>
        <v/>
      </c>
      <c r="L176" s="11">
        <f>L175+IF(K176&gt;0,K176*Summary!$B$9,K176/Summary!$B$9)</f>
        <v/>
      </c>
      <c r="M176" s="11">
        <f>G176+H176</f>
        <v/>
      </c>
      <c r="N176" s="11">
        <f>Summary!$C$16*Summary!$B$8</f>
        <v/>
      </c>
      <c r="O176" s="11">
        <f>M176-N176</f>
        <v/>
      </c>
    </row>
    <row r="177">
      <c r="A177" s="9" t="n">
        <v>45299.29166666666</v>
      </c>
      <c r="B177" t="n">
        <v>1</v>
      </c>
      <c r="C177" t="n">
        <v>8</v>
      </c>
      <c r="D177" t="n">
        <v>7</v>
      </c>
      <c r="E177" s="10" t="n">
        <v>0</v>
      </c>
      <c r="F177" s="10" t="n">
        <v>0.4187597325023358</v>
      </c>
      <c r="G177" s="11">
        <f>E177*Summary!$B$6</f>
        <v/>
      </c>
      <c r="H177" s="11">
        <f>F177*Summary!$B$7</f>
        <v/>
      </c>
      <c r="I177" s="11">
        <f>MAX(0,N177-M177)</f>
        <v/>
      </c>
      <c r="J177" s="11">
        <f>MAX(0,M177-N177)</f>
        <v/>
      </c>
      <c r="K177" s="11">
        <f>O177</f>
        <v/>
      </c>
      <c r="L177" s="11">
        <f>L176+IF(K177&gt;0,K177*Summary!$B$9,K177/Summary!$B$9)</f>
        <v/>
      </c>
      <c r="M177" s="11">
        <f>G177+H177</f>
        <v/>
      </c>
      <c r="N177" s="11">
        <f>Summary!$C$16*Summary!$B$8</f>
        <v/>
      </c>
      <c r="O177" s="11">
        <f>M177-N177</f>
        <v/>
      </c>
    </row>
    <row r="178">
      <c r="A178" s="9" t="n">
        <v>45299.33333333334</v>
      </c>
      <c r="B178" t="n">
        <v>1</v>
      </c>
      <c r="C178" t="n">
        <v>8</v>
      </c>
      <c r="D178" t="n">
        <v>8</v>
      </c>
      <c r="E178" s="10" t="n">
        <v>0</v>
      </c>
      <c r="F178" s="10" t="n">
        <v>0.4202090928501823</v>
      </c>
      <c r="G178" s="11">
        <f>E178*Summary!$B$6</f>
        <v/>
      </c>
      <c r="H178" s="11">
        <f>F178*Summary!$B$7</f>
        <v/>
      </c>
      <c r="I178" s="11">
        <f>MAX(0,N178-M178)</f>
        <v/>
      </c>
      <c r="J178" s="11">
        <f>MAX(0,M178-N178)</f>
        <v/>
      </c>
      <c r="K178" s="11">
        <f>O178</f>
        <v/>
      </c>
      <c r="L178" s="11">
        <f>L177+IF(K178&gt;0,K178*Summary!$B$9,K178/Summary!$B$9)</f>
        <v/>
      </c>
      <c r="M178" s="11">
        <f>G178+H178</f>
        <v/>
      </c>
      <c r="N178" s="11">
        <f>Summary!$C$16*Summary!$B$8</f>
        <v/>
      </c>
      <c r="O178" s="11">
        <f>M178-N178</f>
        <v/>
      </c>
    </row>
    <row r="179">
      <c r="A179" s="9" t="n">
        <v>45299.375</v>
      </c>
      <c r="B179" t="n">
        <v>1</v>
      </c>
      <c r="C179" t="n">
        <v>8</v>
      </c>
      <c r="D179" t="n">
        <v>9</v>
      </c>
      <c r="E179" s="10" t="n">
        <v>0</v>
      </c>
      <c r="F179" s="10" t="n">
        <v>0.4177056522493565</v>
      </c>
      <c r="G179" s="11">
        <f>E179*Summary!$B$6</f>
        <v/>
      </c>
      <c r="H179" s="11">
        <f>F179*Summary!$B$7</f>
        <v/>
      </c>
      <c r="I179" s="11">
        <f>MAX(0,N179-M179)</f>
        <v/>
      </c>
      <c r="J179" s="11">
        <f>MAX(0,M179-N179)</f>
        <v/>
      </c>
      <c r="K179" s="11">
        <f>O179</f>
        <v/>
      </c>
      <c r="L179" s="11">
        <f>L178+IF(K179&gt;0,K179*Summary!$B$9,K179/Summary!$B$9)</f>
        <v/>
      </c>
      <c r="M179" s="11">
        <f>G179+H179</f>
        <v/>
      </c>
      <c r="N179" s="11">
        <f>Summary!$C$16*Summary!$B$8</f>
        <v/>
      </c>
      <c r="O179" s="11">
        <f>M179-N179</f>
        <v/>
      </c>
    </row>
    <row r="180">
      <c r="A180" s="9" t="n">
        <v>45299.41666666666</v>
      </c>
      <c r="B180" t="n">
        <v>1</v>
      </c>
      <c r="C180" t="n">
        <v>8</v>
      </c>
      <c r="D180" t="n">
        <v>10</v>
      </c>
      <c r="E180" s="10" t="n">
        <v>0.002463</v>
      </c>
      <c r="F180" s="10" t="n">
        <v>0.4102480344595283</v>
      </c>
      <c r="G180" s="11">
        <f>E180*Summary!$B$6</f>
        <v/>
      </c>
      <c r="H180" s="11">
        <f>F180*Summary!$B$7</f>
        <v/>
      </c>
      <c r="I180" s="11">
        <f>MAX(0,N180-M180)</f>
        <v/>
      </c>
      <c r="J180" s="11">
        <f>MAX(0,M180-N180)</f>
        <v/>
      </c>
      <c r="K180" s="11">
        <f>O180</f>
        <v/>
      </c>
      <c r="L180" s="11">
        <f>L179+IF(K180&gt;0,K180*Summary!$B$9,K180/Summary!$B$9)</f>
        <v/>
      </c>
      <c r="M180" s="11">
        <f>G180+H180</f>
        <v/>
      </c>
      <c r="N180" s="11">
        <f>Summary!$C$16*Summary!$B$8</f>
        <v/>
      </c>
      <c r="O180" s="11">
        <f>M180-N180</f>
        <v/>
      </c>
    </row>
    <row r="181">
      <c r="A181" s="9" t="n">
        <v>45299.45833333334</v>
      </c>
      <c r="B181" t="n">
        <v>1</v>
      </c>
      <c r="C181" t="n">
        <v>8</v>
      </c>
      <c r="D181" t="n">
        <v>11</v>
      </c>
      <c r="E181" s="10" t="n">
        <v>0.013507</v>
      </c>
      <c r="F181" s="10" t="n">
        <v>0.399232895815895</v>
      </c>
      <c r="G181" s="11">
        <f>E181*Summary!$B$6</f>
        <v/>
      </c>
      <c r="H181" s="11">
        <f>F181*Summary!$B$7</f>
        <v/>
      </c>
      <c r="I181" s="11">
        <f>MAX(0,N181-M181)</f>
        <v/>
      </c>
      <c r="J181" s="11">
        <f>MAX(0,M181-N181)</f>
        <v/>
      </c>
      <c r="K181" s="11">
        <f>O181</f>
        <v/>
      </c>
      <c r="L181" s="11">
        <f>L180+IF(K181&gt;0,K181*Summary!$B$9,K181/Summary!$B$9)</f>
        <v/>
      </c>
      <c r="M181" s="11">
        <f>G181+H181</f>
        <v/>
      </c>
      <c r="N181" s="11">
        <f>Summary!$C$16*Summary!$B$8</f>
        <v/>
      </c>
      <c r="O181" s="11">
        <f>M181-N181</f>
        <v/>
      </c>
    </row>
    <row r="182">
      <c r="A182" s="9" t="n">
        <v>45299.5</v>
      </c>
      <c r="B182" t="n">
        <v>1</v>
      </c>
      <c r="C182" t="n">
        <v>8</v>
      </c>
      <c r="D182" t="n">
        <v>12</v>
      </c>
      <c r="E182" s="10" t="n">
        <v>0.00778</v>
      </c>
      <c r="F182" s="10" t="n">
        <v>0.3866366367927928</v>
      </c>
      <c r="G182" s="11">
        <f>E182*Summary!$B$6</f>
        <v/>
      </c>
      <c r="H182" s="11">
        <f>F182*Summary!$B$7</f>
        <v/>
      </c>
      <c r="I182" s="11">
        <f>MAX(0,N182-M182)</f>
        <v/>
      </c>
      <c r="J182" s="11">
        <f>MAX(0,M182-N182)</f>
        <v/>
      </c>
      <c r="K182" s="11">
        <f>O182</f>
        <v/>
      </c>
      <c r="L182" s="11">
        <f>L181+IF(K182&gt;0,K182*Summary!$B$9,K182/Summary!$B$9)</f>
        <v/>
      </c>
      <c r="M182" s="11">
        <f>G182+H182</f>
        <v/>
      </c>
      <c r="N182" s="11">
        <f>Summary!$C$16*Summary!$B$8</f>
        <v/>
      </c>
      <c r="O182" s="11">
        <f>M182-N182</f>
        <v/>
      </c>
    </row>
    <row r="183">
      <c r="A183" s="9" t="n">
        <v>45299.54166666666</v>
      </c>
      <c r="B183" t="n">
        <v>1</v>
      </c>
      <c r="C183" t="n">
        <v>8</v>
      </c>
      <c r="D183" t="n">
        <v>13</v>
      </c>
      <c r="E183" s="10" t="n">
        <v>0.003217</v>
      </c>
      <c r="F183" s="10" t="n">
        <v>0.3792317230156135</v>
      </c>
      <c r="G183" s="11">
        <f>E183*Summary!$B$6</f>
        <v/>
      </c>
      <c r="H183" s="11">
        <f>F183*Summary!$B$7</f>
        <v/>
      </c>
      <c r="I183" s="11">
        <f>MAX(0,N183-M183)</f>
        <v/>
      </c>
      <c r="J183" s="11">
        <f>MAX(0,M183-N183)</f>
        <v/>
      </c>
      <c r="K183" s="11">
        <f>O183</f>
        <v/>
      </c>
      <c r="L183" s="11">
        <f>L182+IF(K183&gt;0,K183*Summary!$B$9,K183/Summary!$B$9)</f>
        <v/>
      </c>
      <c r="M183" s="11">
        <f>G183+H183</f>
        <v/>
      </c>
      <c r="N183" s="11">
        <f>Summary!$C$16*Summary!$B$8</f>
        <v/>
      </c>
      <c r="O183" s="11">
        <f>M183-N183</f>
        <v/>
      </c>
    </row>
    <row r="184">
      <c r="A184" s="9" t="n">
        <v>45299.58333333334</v>
      </c>
      <c r="B184" t="n">
        <v>1</v>
      </c>
      <c r="C184" t="n">
        <v>8</v>
      </c>
      <c r="D184" t="n">
        <v>14</v>
      </c>
      <c r="E184" s="10" t="n">
        <v>0</v>
      </c>
      <c r="F184" s="10" t="n">
        <v>0.377176266522304</v>
      </c>
      <c r="G184" s="11">
        <f>E184*Summary!$B$6</f>
        <v/>
      </c>
      <c r="H184" s="11">
        <f>F184*Summary!$B$7</f>
        <v/>
      </c>
      <c r="I184" s="11">
        <f>MAX(0,N184-M184)</f>
        <v/>
      </c>
      <c r="J184" s="11">
        <f>MAX(0,M184-N184)</f>
        <v/>
      </c>
      <c r="K184" s="11">
        <f>O184</f>
        <v/>
      </c>
      <c r="L184" s="11">
        <f>L183+IF(K184&gt;0,K184*Summary!$B$9,K184/Summary!$B$9)</f>
        <v/>
      </c>
      <c r="M184" s="11">
        <f>G184+H184</f>
        <v/>
      </c>
      <c r="N184" s="11">
        <f>Summary!$C$16*Summary!$B$8</f>
        <v/>
      </c>
      <c r="O184" s="11">
        <f>M184-N184</f>
        <v/>
      </c>
    </row>
    <row r="185">
      <c r="A185" s="9" t="n">
        <v>45299.625</v>
      </c>
      <c r="B185" t="n">
        <v>1</v>
      </c>
      <c r="C185" t="n">
        <v>8</v>
      </c>
      <c r="D185" t="n">
        <v>15</v>
      </c>
      <c r="E185" s="10" t="n">
        <v>0</v>
      </c>
      <c r="F185" s="10" t="n">
        <v>0.3774134345792243</v>
      </c>
      <c r="G185" s="11">
        <f>E185*Summary!$B$6</f>
        <v/>
      </c>
      <c r="H185" s="11">
        <f>F185*Summary!$B$7</f>
        <v/>
      </c>
      <c r="I185" s="11">
        <f>MAX(0,N185-M185)</f>
        <v/>
      </c>
      <c r="J185" s="11">
        <f>MAX(0,M185-N185)</f>
        <v/>
      </c>
      <c r="K185" s="11">
        <f>O185</f>
        <v/>
      </c>
      <c r="L185" s="11">
        <f>L184+IF(K185&gt;0,K185*Summary!$B$9,K185/Summary!$B$9)</f>
        <v/>
      </c>
      <c r="M185" s="11">
        <f>G185+H185</f>
        <v/>
      </c>
      <c r="N185" s="11">
        <f>Summary!$C$16*Summary!$B$8</f>
        <v/>
      </c>
      <c r="O185" s="11">
        <f>M185-N185</f>
        <v/>
      </c>
    </row>
    <row r="186">
      <c r="A186" s="9" t="n">
        <v>45299.66666666666</v>
      </c>
      <c r="B186" t="n">
        <v>1</v>
      </c>
      <c r="C186" t="n">
        <v>8</v>
      </c>
      <c r="D186" t="n">
        <v>16</v>
      </c>
      <c r="E186" s="10" t="n">
        <v>0</v>
      </c>
      <c r="F186" s="10" t="n">
        <v>0.3769654504717082</v>
      </c>
      <c r="G186" s="11">
        <f>E186*Summary!$B$6</f>
        <v/>
      </c>
      <c r="H186" s="11">
        <f>F186*Summary!$B$7</f>
        <v/>
      </c>
      <c r="I186" s="11">
        <f>MAX(0,N186-M186)</f>
        <v/>
      </c>
      <c r="J186" s="11">
        <f>MAX(0,M186-N186)</f>
        <v/>
      </c>
      <c r="K186" s="11">
        <f>O186</f>
        <v/>
      </c>
      <c r="L186" s="11">
        <f>L185+IF(K186&gt;0,K186*Summary!$B$9,K186/Summary!$B$9)</f>
        <v/>
      </c>
      <c r="M186" s="11">
        <f>G186+H186</f>
        <v/>
      </c>
      <c r="N186" s="11">
        <f>Summary!$C$16*Summary!$B$8</f>
        <v/>
      </c>
      <c r="O186" s="11">
        <f>M186-N186</f>
        <v/>
      </c>
    </row>
    <row r="187">
      <c r="A187" s="9" t="n">
        <v>45299.70833333334</v>
      </c>
      <c r="B187" t="n">
        <v>1</v>
      </c>
      <c r="C187" t="n">
        <v>8</v>
      </c>
      <c r="D187" t="n">
        <v>17</v>
      </c>
      <c r="E187" s="10" t="n">
        <v>0</v>
      </c>
      <c r="F187" s="10" t="n">
        <v>0.3723538493649238</v>
      </c>
      <c r="G187" s="11">
        <f>E187*Summary!$B$6</f>
        <v/>
      </c>
      <c r="H187" s="11">
        <f>F187*Summary!$B$7</f>
        <v/>
      </c>
      <c r="I187" s="11">
        <f>MAX(0,N187-M187)</f>
        <v/>
      </c>
      <c r="J187" s="11">
        <f>MAX(0,M187-N187)</f>
        <v/>
      </c>
      <c r="K187" s="11">
        <f>O187</f>
        <v/>
      </c>
      <c r="L187" s="11">
        <f>L186+IF(K187&gt;0,K187*Summary!$B$9,K187/Summary!$B$9)</f>
        <v/>
      </c>
      <c r="M187" s="11">
        <f>G187+H187</f>
        <v/>
      </c>
      <c r="N187" s="11">
        <f>Summary!$C$16*Summary!$B$8</f>
        <v/>
      </c>
      <c r="O187" s="11">
        <f>M187-N187</f>
        <v/>
      </c>
    </row>
    <row r="188">
      <c r="A188" s="9" t="n">
        <v>45299.75</v>
      </c>
      <c r="B188" t="n">
        <v>1</v>
      </c>
      <c r="C188" t="n">
        <v>8</v>
      </c>
      <c r="D188" t="n">
        <v>18</v>
      </c>
      <c r="E188" s="10" t="n">
        <v>0</v>
      </c>
      <c r="F188" s="10" t="n">
        <v>0.3697977047514491</v>
      </c>
      <c r="G188" s="11">
        <f>E188*Summary!$B$6</f>
        <v/>
      </c>
      <c r="H188" s="11">
        <f>F188*Summary!$B$7</f>
        <v/>
      </c>
      <c r="I188" s="11">
        <f>MAX(0,N188-M188)</f>
        <v/>
      </c>
      <c r="J188" s="11">
        <f>MAX(0,M188-N188)</f>
        <v/>
      </c>
      <c r="K188" s="11">
        <f>O188</f>
        <v/>
      </c>
      <c r="L188" s="11">
        <f>L187+IF(K188&gt;0,K188*Summary!$B$9,K188/Summary!$B$9)</f>
        <v/>
      </c>
      <c r="M188" s="11">
        <f>G188+H188</f>
        <v/>
      </c>
      <c r="N188" s="11">
        <f>Summary!$C$16*Summary!$B$8</f>
        <v/>
      </c>
      <c r="O188" s="11">
        <f>M188-N188</f>
        <v/>
      </c>
    </row>
    <row r="189">
      <c r="A189" s="9" t="n">
        <v>45299.79166666666</v>
      </c>
      <c r="B189" t="n">
        <v>1</v>
      </c>
      <c r="C189" t="n">
        <v>8</v>
      </c>
      <c r="D189" t="n">
        <v>19</v>
      </c>
      <c r="E189" s="10" t="n">
        <v>0</v>
      </c>
      <c r="F189" s="10" t="n">
        <v>0.3623927909742698</v>
      </c>
      <c r="G189" s="11">
        <f>E189*Summary!$B$6</f>
        <v/>
      </c>
      <c r="H189" s="11">
        <f>F189*Summary!$B$7</f>
        <v/>
      </c>
      <c r="I189" s="11">
        <f>MAX(0,N189-M189)</f>
        <v/>
      </c>
      <c r="J189" s="11">
        <f>MAX(0,M189-N189)</f>
        <v/>
      </c>
      <c r="K189" s="11">
        <f>O189</f>
        <v/>
      </c>
      <c r="L189" s="11">
        <f>L188+IF(K189&gt;0,K189*Summary!$B$9,K189/Summary!$B$9)</f>
        <v/>
      </c>
      <c r="M189" s="11">
        <f>G189+H189</f>
        <v/>
      </c>
      <c r="N189" s="11">
        <f>Summary!$C$16*Summary!$B$8</f>
        <v/>
      </c>
      <c r="O189" s="11">
        <f>M189-N189</f>
        <v/>
      </c>
    </row>
    <row r="190">
      <c r="A190" s="9" t="n">
        <v>45299.83333333334</v>
      </c>
      <c r="B190" t="n">
        <v>1</v>
      </c>
      <c r="C190" t="n">
        <v>8</v>
      </c>
      <c r="D190" t="n">
        <v>20</v>
      </c>
      <c r="E190" s="10" t="n">
        <v>0</v>
      </c>
      <c r="F190" s="10" t="n">
        <v>0.3544081330579519</v>
      </c>
      <c r="G190" s="11">
        <f>E190*Summary!$B$6</f>
        <v/>
      </c>
      <c r="H190" s="11">
        <f>F190*Summary!$B$7</f>
        <v/>
      </c>
      <c r="I190" s="11">
        <f>MAX(0,N190-M190)</f>
        <v/>
      </c>
      <c r="J190" s="11">
        <f>MAX(0,M190-N190)</f>
        <v/>
      </c>
      <c r="K190" s="11">
        <f>O190</f>
        <v/>
      </c>
      <c r="L190" s="11">
        <f>L189+IF(K190&gt;0,K190*Summary!$B$9,K190/Summary!$B$9)</f>
        <v/>
      </c>
      <c r="M190" s="11">
        <f>G190+H190</f>
        <v/>
      </c>
      <c r="N190" s="11">
        <f>Summary!$C$16*Summary!$B$8</f>
        <v/>
      </c>
      <c r="O190" s="11">
        <f>M190-N190</f>
        <v/>
      </c>
    </row>
    <row r="191">
      <c r="A191" s="9" t="n">
        <v>45299.875</v>
      </c>
      <c r="B191" t="n">
        <v>1</v>
      </c>
      <c r="C191" t="n">
        <v>8</v>
      </c>
      <c r="D191" t="n">
        <v>21</v>
      </c>
      <c r="E191" s="10" t="n">
        <v>0</v>
      </c>
      <c r="F191" s="10" t="n">
        <v>0.3448950587748141</v>
      </c>
      <c r="G191" s="11">
        <f>E191*Summary!$B$6</f>
        <v/>
      </c>
      <c r="H191" s="11">
        <f>F191*Summary!$B$7</f>
        <v/>
      </c>
      <c r="I191" s="11">
        <f>MAX(0,N191-M191)</f>
        <v/>
      </c>
      <c r="J191" s="11">
        <f>MAX(0,M191-N191)</f>
        <v/>
      </c>
      <c r="K191" s="11">
        <f>O191</f>
        <v/>
      </c>
      <c r="L191" s="11">
        <f>L190+IF(K191&gt;0,K191*Summary!$B$9,K191/Summary!$B$9)</f>
        <v/>
      </c>
      <c r="M191" s="11">
        <f>G191+H191</f>
        <v/>
      </c>
      <c r="N191" s="11">
        <f>Summary!$C$16*Summary!$B$8</f>
        <v/>
      </c>
      <c r="O191" s="11">
        <f>M191-N191</f>
        <v/>
      </c>
    </row>
    <row r="192">
      <c r="A192" s="9" t="n">
        <v>45299.91666666666</v>
      </c>
      <c r="B192" t="n">
        <v>1</v>
      </c>
      <c r="C192" t="n">
        <v>8</v>
      </c>
      <c r="D192" t="n">
        <v>22</v>
      </c>
      <c r="E192" s="10" t="n">
        <v>0</v>
      </c>
      <c r="F192" s="10" t="n">
        <v>0.337938129105151</v>
      </c>
      <c r="G192" s="11">
        <f>E192*Summary!$B$6</f>
        <v/>
      </c>
      <c r="H192" s="11">
        <f>F192*Summary!$B$7</f>
        <v/>
      </c>
      <c r="I192" s="11">
        <f>MAX(0,N192-M192)</f>
        <v/>
      </c>
      <c r="J192" s="11">
        <f>MAX(0,M192-N192)</f>
        <v/>
      </c>
      <c r="K192" s="11">
        <f>O192</f>
        <v/>
      </c>
      <c r="L192" s="11">
        <f>L191+IF(K192&gt;0,K192*Summary!$B$9,K192/Summary!$B$9)</f>
        <v/>
      </c>
      <c r="M192" s="11">
        <f>G192+H192</f>
        <v/>
      </c>
      <c r="N192" s="11">
        <f>Summary!$C$16*Summary!$B$8</f>
        <v/>
      </c>
      <c r="O192" s="11">
        <f>M192-N192</f>
        <v/>
      </c>
    </row>
    <row r="193">
      <c r="A193" s="9" t="n">
        <v>45299.95833333334</v>
      </c>
      <c r="B193" t="n">
        <v>1</v>
      </c>
      <c r="C193" t="n">
        <v>8</v>
      </c>
      <c r="D193" t="n">
        <v>23</v>
      </c>
      <c r="E193" s="10" t="n">
        <v>0</v>
      </c>
      <c r="F193" s="10" t="n">
        <v>0.3377536650608796</v>
      </c>
      <c r="G193" s="11">
        <f>E193*Summary!$B$6</f>
        <v/>
      </c>
      <c r="H193" s="11">
        <f>F193*Summary!$B$7</f>
        <v/>
      </c>
      <c r="I193" s="11">
        <f>MAX(0,N193-M193)</f>
        <v/>
      </c>
      <c r="J193" s="11">
        <f>MAX(0,M193-N193)</f>
        <v/>
      </c>
      <c r="K193" s="11">
        <f>O193</f>
        <v/>
      </c>
      <c r="L193" s="11">
        <f>L192+IF(K193&gt;0,K193*Summary!$B$9,K193/Summary!$B$9)</f>
        <v/>
      </c>
      <c r="M193" s="11">
        <f>G193+H193</f>
        <v/>
      </c>
      <c r="N193" s="11">
        <f>Summary!$C$16*Summary!$B$8</f>
        <v/>
      </c>
      <c r="O193" s="11">
        <f>M193-N193</f>
        <v/>
      </c>
    </row>
    <row r="194">
      <c r="A194" s="9" t="n">
        <v>45300</v>
      </c>
      <c r="B194" t="n">
        <v>1</v>
      </c>
      <c r="C194" t="n">
        <v>9</v>
      </c>
      <c r="D194" t="n">
        <v>0</v>
      </c>
      <c r="E194" s="10" t="n">
        <v>0</v>
      </c>
      <c r="F194" s="10" t="n">
        <v>0.306526537566369</v>
      </c>
      <c r="G194" s="11">
        <f>E194*Summary!$B$6</f>
        <v/>
      </c>
      <c r="H194" s="11">
        <f>F194*Summary!$B$7</f>
        <v/>
      </c>
      <c r="I194" s="11">
        <f>MAX(0,N194-M194)</f>
        <v/>
      </c>
      <c r="J194" s="11">
        <f>MAX(0,M194-N194)</f>
        <v/>
      </c>
      <c r="K194" s="11">
        <f>O194</f>
        <v/>
      </c>
      <c r="L194" s="11">
        <f>L193+IF(K194&gt;0,K194*Summary!$B$9,K194/Summary!$B$9)</f>
        <v/>
      </c>
      <c r="M194" s="11">
        <f>G194+H194</f>
        <v/>
      </c>
      <c r="N194" s="11">
        <f>Summary!$C$16*Summary!$B$8</f>
        <v/>
      </c>
      <c r="O194" s="11">
        <f>M194-N194</f>
        <v/>
      </c>
    </row>
    <row r="195">
      <c r="A195" s="9" t="n">
        <v>45300.04166666666</v>
      </c>
      <c r="B195" t="n">
        <v>1</v>
      </c>
      <c r="C195" t="n">
        <v>9</v>
      </c>
      <c r="D195" t="n">
        <v>1</v>
      </c>
      <c r="E195" s="10" t="n">
        <v>0</v>
      </c>
      <c r="F195" s="10" t="n">
        <v>0.3332474719793933</v>
      </c>
      <c r="G195" s="11">
        <f>E195*Summary!$B$6</f>
        <v/>
      </c>
      <c r="H195" s="11">
        <f>F195*Summary!$B$7</f>
        <v/>
      </c>
      <c r="I195" s="11">
        <f>MAX(0,N195-M195)</f>
        <v/>
      </c>
      <c r="J195" s="11">
        <f>MAX(0,M195-N195)</f>
        <v/>
      </c>
      <c r="K195" s="11">
        <f>O195</f>
        <v/>
      </c>
      <c r="L195" s="11">
        <f>L194+IF(K195&gt;0,K195*Summary!$B$9,K195/Summary!$B$9)</f>
        <v/>
      </c>
      <c r="M195" s="11">
        <f>G195+H195</f>
        <v/>
      </c>
      <c r="N195" s="11">
        <f>Summary!$C$16*Summary!$B$8</f>
        <v/>
      </c>
      <c r="O195" s="11">
        <f>M195-N195</f>
        <v/>
      </c>
    </row>
    <row r="196">
      <c r="A196" s="9" t="n">
        <v>45300.08333333334</v>
      </c>
      <c r="B196" t="n">
        <v>1</v>
      </c>
      <c r="C196" t="n">
        <v>9</v>
      </c>
      <c r="D196" t="n">
        <v>2</v>
      </c>
      <c r="E196" s="10" t="n">
        <v>0</v>
      </c>
      <c r="F196" s="10" t="n">
        <v>0.331376479530355</v>
      </c>
      <c r="G196" s="11">
        <f>E196*Summary!$B$6</f>
        <v/>
      </c>
      <c r="H196" s="11">
        <f>F196*Summary!$B$7</f>
        <v/>
      </c>
      <c r="I196" s="11">
        <f>MAX(0,N196-M196)</f>
        <v/>
      </c>
      <c r="J196" s="11">
        <f>MAX(0,M196-N196)</f>
        <v/>
      </c>
      <c r="K196" s="11">
        <f>O196</f>
        <v/>
      </c>
      <c r="L196" s="11">
        <f>L195+IF(K196&gt;0,K196*Summary!$B$9,K196/Summary!$B$9)</f>
        <v/>
      </c>
      <c r="M196" s="11">
        <f>G196+H196</f>
        <v/>
      </c>
      <c r="N196" s="11">
        <f>Summary!$C$16*Summary!$B$8</f>
        <v/>
      </c>
      <c r="O196" s="11">
        <f>M196-N196</f>
        <v/>
      </c>
    </row>
    <row r="197">
      <c r="A197" s="9" t="n">
        <v>45300.125</v>
      </c>
      <c r="B197" t="n">
        <v>1</v>
      </c>
      <c r="C197" t="n">
        <v>9</v>
      </c>
      <c r="D197" t="n">
        <v>3</v>
      </c>
      <c r="E197" s="10" t="n">
        <v>0</v>
      </c>
      <c r="F197" s="10" t="n">
        <v>0.3296372471129393</v>
      </c>
      <c r="G197" s="11">
        <f>E197*Summary!$B$6</f>
        <v/>
      </c>
      <c r="H197" s="11">
        <f>F197*Summary!$B$7</f>
        <v/>
      </c>
      <c r="I197" s="11">
        <f>MAX(0,N197-M197)</f>
        <v/>
      </c>
      <c r="J197" s="11">
        <f>MAX(0,M197-N197)</f>
        <v/>
      </c>
      <c r="K197" s="11">
        <f>O197</f>
        <v/>
      </c>
      <c r="L197" s="11">
        <f>L196+IF(K197&gt;0,K197*Summary!$B$9,K197/Summary!$B$9)</f>
        <v/>
      </c>
      <c r="M197" s="11">
        <f>G197+H197</f>
        <v/>
      </c>
      <c r="N197" s="11">
        <f>Summary!$C$16*Summary!$B$8</f>
        <v/>
      </c>
      <c r="O197" s="11">
        <f>M197-N197</f>
        <v/>
      </c>
    </row>
    <row r="198">
      <c r="A198" s="9" t="n">
        <v>45300.16666666666</v>
      </c>
      <c r="B198" t="n">
        <v>1</v>
      </c>
      <c r="C198" t="n">
        <v>9</v>
      </c>
      <c r="D198" t="n">
        <v>4</v>
      </c>
      <c r="E198" s="10" t="n">
        <v>0</v>
      </c>
      <c r="F198" s="10" t="n">
        <v>0.3282142387714173</v>
      </c>
      <c r="G198" s="11">
        <f>E198*Summary!$B$6</f>
        <v/>
      </c>
      <c r="H198" s="11">
        <f>F198*Summary!$B$7</f>
        <v/>
      </c>
      <c r="I198" s="11">
        <f>MAX(0,N198-M198)</f>
        <v/>
      </c>
      <c r="J198" s="11">
        <f>MAX(0,M198-N198)</f>
        <v/>
      </c>
      <c r="K198" s="11">
        <f>O198</f>
        <v/>
      </c>
      <c r="L198" s="11">
        <f>L197+IF(K198&gt;0,K198*Summary!$B$9,K198/Summary!$B$9)</f>
        <v/>
      </c>
      <c r="M198" s="11">
        <f>G198+H198</f>
        <v/>
      </c>
      <c r="N198" s="11">
        <f>Summary!$C$16*Summary!$B$8</f>
        <v/>
      </c>
      <c r="O198" s="11">
        <f>M198-N198</f>
        <v/>
      </c>
    </row>
    <row r="199">
      <c r="A199" s="9" t="n">
        <v>45300.20833333334</v>
      </c>
      <c r="B199" t="n">
        <v>1</v>
      </c>
      <c r="C199" t="n">
        <v>9</v>
      </c>
      <c r="D199" t="n">
        <v>5</v>
      </c>
      <c r="E199" s="10" t="n">
        <v>0</v>
      </c>
      <c r="F199" s="10" t="n">
        <v>0.3234708776330106</v>
      </c>
      <c r="G199" s="11">
        <f>E199*Summary!$B$6</f>
        <v/>
      </c>
      <c r="H199" s="11">
        <f>F199*Summary!$B$7</f>
        <v/>
      </c>
      <c r="I199" s="11">
        <f>MAX(0,N199-M199)</f>
        <v/>
      </c>
      <c r="J199" s="11">
        <f>MAX(0,M199-N199)</f>
        <v/>
      </c>
      <c r="K199" s="11">
        <f>O199</f>
        <v/>
      </c>
      <c r="L199" s="11">
        <f>L198+IF(K199&gt;0,K199*Summary!$B$9,K199/Summary!$B$9)</f>
        <v/>
      </c>
      <c r="M199" s="11">
        <f>G199+H199</f>
        <v/>
      </c>
      <c r="N199" s="11">
        <f>Summary!$C$16*Summary!$B$8</f>
        <v/>
      </c>
      <c r="O199" s="11">
        <f>M199-N199</f>
        <v/>
      </c>
    </row>
    <row r="200">
      <c r="A200" s="9" t="n">
        <v>45300.25</v>
      </c>
      <c r="B200" t="n">
        <v>1</v>
      </c>
      <c r="C200" t="n">
        <v>9</v>
      </c>
      <c r="D200" t="n">
        <v>6</v>
      </c>
      <c r="E200" s="10" t="n">
        <v>0</v>
      </c>
      <c r="F200" s="10" t="n">
        <v>0.3193599646463915</v>
      </c>
      <c r="G200" s="11">
        <f>E200*Summary!$B$6</f>
        <v/>
      </c>
      <c r="H200" s="11">
        <f>F200*Summary!$B$7</f>
        <v/>
      </c>
      <c r="I200" s="11">
        <f>MAX(0,N200-M200)</f>
        <v/>
      </c>
      <c r="J200" s="11">
        <f>MAX(0,M200-N200)</f>
        <v/>
      </c>
      <c r="K200" s="11">
        <f>O200</f>
        <v/>
      </c>
      <c r="L200" s="11">
        <f>L199+IF(K200&gt;0,K200*Summary!$B$9,K200/Summary!$B$9)</f>
        <v/>
      </c>
      <c r="M200" s="11">
        <f>G200+H200</f>
        <v/>
      </c>
      <c r="N200" s="11">
        <f>Summary!$C$16*Summary!$B$8</f>
        <v/>
      </c>
      <c r="O200" s="11">
        <f>M200-N200</f>
        <v/>
      </c>
    </row>
    <row r="201">
      <c r="A201" s="9" t="n">
        <v>45300.29166666666</v>
      </c>
      <c r="B201" t="n">
        <v>1</v>
      </c>
      <c r="C201" t="n">
        <v>9</v>
      </c>
      <c r="D201" t="n">
        <v>7</v>
      </c>
      <c r="E201" s="10" t="n">
        <v>0</v>
      </c>
      <c r="F201" s="10" t="n">
        <v>0.3112171946921267</v>
      </c>
      <c r="G201" s="11">
        <f>E201*Summary!$B$6</f>
        <v/>
      </c>
      <c r="H201" s="11">
        <f>F201*Summary!$B$7</f>
        <v/>
      </c>
      <c r="I201" s="11">
        <f>MAX(0,N201-M201)</f>
        <v/>
      </c>
      <c r="J201" s="11">
        <f>MAX(0,M201-N201)</f>
        <v/>
      </c>
      <c r="K201" s="11">
        <f>O201</f>
        <v/>
      </c>
      <c r="L201" s="11">
        <f>L200+IF(K201&gt;0,K201*Summary!$B$9,K201/Summary!$B$9)</f>
        <v/>
      </c>
      <c r="M201" s="11">
        <f>G201+H201</f>
        <v/>
      </c>
      <c r="N201" s="11">
        <f>Summary!$C$16*Summary!$B$8</f>
        <v/>
      </c>
      <c r="O201" s="11">
        <f>M201-N201</f>
        <v/>
      </c>
    </row>
    <row r="202">
      <c r="A202" s="9" t="n">
        <v>45300.33333333334</v>
      </c>
      <c r="B202" t="n">
        <v>1</v>
      </c>
      <c r="C202" t="n">
        <v>9</v>
      </c>
      <c r="D202" t="n">
        <v>8</v>
      </c>
      <c r="E202" s="10" t="n">
        <v>0</v>
      </c>
      <c r="F202" s="10" t="n">
        <v>0.3029953687188885</v>
      </c>
      <c r="G202" s="11">
        <f>E202*Summary!$B$6</f>
        <v/>
      </c>
      <c r="H202" s="11">
        <f>F202*Summary!$B$7</f>
        <v/>
      </c>
      <c r="I202" s="11">
        <f>MAX(0,N202-M202)</f>
        <v/>
      </c>
      <c r="J202" s="11">
        <f>MAX(0,M202-N202)</f>
        <v/>
      </c>
      <c r="K202" s="11">
        <f>O202</f>
        <v/>
      </c>
      <c r="L202" s="11">
        <f>L201+IF(K202&gt;0,K202*Summary!$B$9,K202/Summary!$B$9)</f>
        <v/>
      </c>
      <c r="M202" s="11">
        <f>G202+H202</f>
        <v/>
      </c>
      <c r="N202" s="11">
        <f>Summary!$C$16*Summary!$B$8</f>
        <v/>
      </c>
      <c r="O202" s="11">
        <f>M202-N202</f>
        <v/>
      </c>
    </row>
    <row r="203">
      <c r="A203" s="9" t="n">
        <v>45300.375</v>
      </c>
      <c r="B203" t="n">
        <v>1</v>
      </c>
      <c r="C203" t="n">
        <v>9</v>
      </c>
      <c r="D203" t="n">
        <v>9</v>
      </c>
      <c r="E203" s="10" t="n">
        <v>0.013235</v>
      </c>
      <c r="F203" s="10" t="n">
        <v>0.2911369658728718</v>
      </c>
      <c r="G203" s="11">
        <f>E203*Summary!$B$6</f>
        <v/>
      </c>
      <c r="H203" s="11">
        <f>F203*Summary!$B$7</f>
        <v/>
      </c>
      <c r="I203" s="11">
        <f>MAX(0,N203-M203)</f>
        <v/>
      </c>
      <c r="J203" s="11">
        <f>MAX(0,M203-N203)</f>
        <v/>
      </c>
      <c r="K203" s="11">
        <f>O203</f>
        <v/>
      </c>
      <c r="L203" s="11">
        <f>L202+IF(K203&gt;0,K203*Summary!$B$9,K203/Summary!$B$9)</f>
        <v/>
      </c>
      <c r="M203" s="11">
        <f>G203+H203</f>
        <v/>
      </c>
      <c r="N203" s="11">
        <f>Summary!$C$16*Summary!$B$8</f>
        <v/>
      </c>
      <c r="O203" s="11">
        <f>M203-N203</f>
        <v/>
      </c>
    </row>
    <row r="204">
      <c r="A204" s="9" t="n">
        <v>45300.41666666666</v>
      </c>
      <c r="B204" t="n">
        <v>1</v>
      </c>
      <c r="C204" t="n">
        <v>9</v>
      </c>
      <c r="D204" t="n">
        <v>10</v>
      </c>
      <c r="E204" s="10" t="n">
        <v>0.036901</v>
      </c>
      <c r="F204" s="10" t="n">
        <v>0.275931858223646</v>
      </c>
      <c r="G204" s="11">
        <f>E204*Summary!$B$6</f>
        <v/>
      </c>
      <c r="H204" s="11">
        <f>F204*Summary!$B$7</f>
        <v/>
      </c>
      <c r="I204" s="11">
        <f>MAX(0,N204-M204)</f>
        <v/>
      </c>
      <c r="J204" s="11">
        <f>MAX(0,M204-N204)</f>
        <v/>
      </c>
      <c r="K204" s="11">
        <f>O204</f>
        <v/>
      </c>
      <c r="L204" s="11">
        <f>L203+IF(K204&gt;0,K204*Summary!$B$9,K204/Summary!$B$9)</f>
        <v/>
      </c>
      <c r="M204" s="11">
        <f>G204+H204</f>
        <v/>
      </c>
      <c r="N204" s="11">
        <f>Summary!$C$16*Summary!$B$8</f>
        <v/>
      </c>
      <c r="O204" s="11">
        <f>M204-N204</f>
        <v/>
      </c>
    </row>
    <row r="205">
      <c r="A205" s="9" t="n">
        <v>45300.45833333334</v>
      </c>
      <c r="B205" t="n">
        <v>1</v>
      </c>
      <c r="C205" t="n">
        <v>9</v>
      </c>
      <c r="D205" t="n">
        <v>11</v>
      </c>
      <c r="E205" s="10" t="n">
        <v>0.060904</v>
      </c>
      <c r="F205" s="10" t="n">
        <v>0.260226062454255</v>
      </c>
      <c r="G205" s="11">
        <f>E205*Summary!$B$6</f>
        <v/>
      </c>
      <c r="H205" s="11">
        <f>F205*Summary!$B$7</f>
        <v/>
      </c>
      <c r="I205" s="11">
        <f>MAX(0,N205-M205)</f>
        <v/>
      </c>
      <c r="J205" s="11">
        <f>MAX(0,M205-N205)</f>
        <v/>
      </c>
      <c r="K205" s="11">
        <f>O205</f>
        <v/>
      </c>
      <c r="L205" s="11">
        <f>L204+IF(K205&gt;0,K205*Summary!$B$9,K205/Summary!$B$9)</f>
        <v/>
      </c>
      <c r="M205" s="11">
        <f>G205+H205</f>
        <v/>
      </c>
      <c r="N205" s="11">
        <f>Summary!$C$16*Summary!$B$8</f>
        <v/>
      </c>
      <c r="O205" s="11">
        <f>M205-N205</f>
        <v/>
      </c>
    </row>
    <row r="206">
      <c r="A206" s="9" t="n">
        <v>45300.5</v>
      </c>
      <c r="B206" t="n">
        <v>1</v>
      </c>
      <c r="C206" t="n">
        <v>9</v>
      </c>
      <c r="D206" t="n">
        <v>12</v>
      </c>
      <c r="E206" s="10" t="n">
        <v>0.06543400000000001</v>
      </c>
      <c r="F206" s="10" t="n">
        <v>0.2488946997347279</v>
      </c>
      <c r="G206" s="11">
        <f>E206*Summary!$B$6</f>
        <v/>
      </c>
      <c r="H206" s="11">
        <f>F206*Summary!$B$7</f>
        <v/>
      </c>
      <c r="I206" s="11">
        <f>MAX(0,N206-M206)</f>
        <v/>
      </c>
      <c r="J206" s="11">
        <f>MAX(0,M206-N206)</f>
        <v/>
      </c>
      <c r="K206" s="11">
        <f>O206</f>
        <v/>
      </c>
      <c r="L206" s="11">
        <f>L205+IF(K206&gt;0,K206*Summary!$B$9,K206/Summary!$B$9)</f>
        <v/>
      </c>
      <c r="M206" s="11">
        <f>G206+H206</f>
        <v/>
      </c>
      <c r="N206" s="11">
        <f>Summary!$C$16*Summary!$B$8</f>
        <v/>
      </c>
      <c r="O206" s="11">
        <f>M206-N206</f>
        <v/>
      </c>
    </row>
    <row r="207">
      <c r="A207" s="9" t="n">
        <v>45300.54166666666</v>
      </c>
      <c r="B207" t="n">
        <v>1</v>
      </c>
      <c r="C207" t="n">
        <v>9</v>
      </c>
      <c r="D207" t="n">
        <v>13</v>
      </c>
      <c r="E207" s="10" t="n">
        <v>0.045044</v>
      </c>
      <c r="F207" s="10" t="n">
        <v>0.2439141705394009</v>
      </c>
      <c r="G207" s="11">
        <f>E207*Summary!$B$6</f>
        <v/>
      </c>
      <c r="H207" s="11">
        <f>F207*Summary!$B$7</f>
        <v/>
      </c>
      <c r="I207" s="11">
        <f>MAX(0,N207-M207)</f>
        <v/>
      </c>
      <c r="J207" s="11">
        <f>MAX(0,M207-N207)</f>
        <v/>
      </c>
      <c r="K207" s="11">
        <f>O207</f>
        <v/>
      </c>
      <c r="L207" s="11">
        <f>L206+IF(K207&gt;0,K207*Summary!$B$9,K207/Summary!$B$9)</f>
        <v/>
      </c>
      <c r="M207" s="11">
        <f>G207+H207</f>
        <v/>
      </c>
      <c r="N207" s="11">
        <f>Summary!$C$16*Summary!$B$8</f>
        <v/>
      </c>
      <c r="O207" s="11">
        <f>M207-N207</f>
        <v/>
      </c>
    </row>
    <row r="208">
      <c r="A208" s="9" t="n">
        <v>45300.58333333334</v>
      </c>
      <c r="B208" t="n">
        <v>1</v>
      </c>
      <c r="C208" t="n">
        <v>9</v>
      </c>
      <c r="D208" t="n">
        <v>14</v>
      </c>
      <c r="E208" s="10" t="n">
        <v>0.035445</v>
      </c>
      <c r="F208" s="10" t="n">
        <v>0.2447837867481088</v>
      </c>
      <c r="G208" s="11">
        <f>E208*Summary!$B$6</f>
        <v/>
      </c>
      <c r="H208" s="11">
        <f>F208*Summary!$B$7</f>
        <v/>
      </c>
      <c r="I208" s="11">
        <f>MAX(0,N208-M208)</f>
        <v/>
      </c>
      <c r="J208" s="11">
        <f>MAX(0,M208-N208)</f>
        <v/>
      </c>
      <c r="K208" s="11">
        <f>O208</f>
        <v/>
      </c>
      <c r="L208" s="11">
        <f>L207+IF(K208&gt;0,K208*Summary!$B$9,K208/Summary!$B$9)</f>
        <v/>
      </c>
      <c r="M208" s="11">
        <f>G208+H208</f>
        <v/>
      </c>
      <c r="N208" s="11">
        <f>Summary!$C$16*Summary!$B$8</f>
        <v/>
      </c>
      <c r="O208" s="11">
        <f>M208-N208</f>
        <v/>
      </c>
    </row>
    <row r="209">
      <c r="A209" s="9" t="n">
        <v>45300.625</v>
      </c>
      <c r="B209" t="n">
        <v>1</v>
      </c>
      <c r="C209" t="n">
        <v>9</v>
      </c>
      <c r="D209" t="n">
        <v>15</v>
      </c>
      <c r="E209" s="10" t="n">
        <v>0.001967</v>
      </c>
      <c r="F209" s="10" t="n">
        <v>0.2516089563861496</v>
      </c>
      <c r="G209" s="11">
        <f>E209*Summary!$B$6</f>
        <v/>
      </c>
      <c r="H209" s="11">
        <f>F209*Summary!$B$7</f>
        <v/>
      </c>
      <c r="I209" s="11">
        <f>MAX(0,N209-M209)</f>
        <v/>
      </c>
      <c r="J209" s="11">
        <f>MAX(0,M209-N209)</f>
        <v/>
      </c>
      <c r="K209" s="11">
        <f>O209</f>
        <v/>
      </c>
      <c r="L209" s="11">
        <f>L208+IF(K209&gt;0,K209*Summary!$B$9,K209/Summary!$B$9)</f>
        <v/>
      </c>
      <c r="M209" s="11">
        <f>G209+H209</f>
        <v/>
      </c>
      <c r="N209" s="11">
        <f>Summary!$C$16*Summary!$B$8</f>
        <v/>
      </c>
      <c r="O209" s="11">
        <f>M209-N209</f>
        <v/>
      </c>
    </row>
    <row r="210">
      <c r="A210" s="9" t="n">
        <v>45300.66666666666</v>
      </c>
      <c r="B210" t="n">
        <v>1</v>
      </c>
      <c r="C210" t="n">
        <v>9</v>
      </c>
      <c r="D210" t="n">
        <v>16</v>
      </c>
      <c r="E210" s="10" t="n">
        <v>0</v>
      </c>
      <c r="F210" s="10" t="n">
        <v>0.25666854160045</v>
      </c>
      <c r="G210" s="11">
        <f>E210*Summary!$B$6</f>
        <v/>
      </c>
      <c r="H210" s="11">
        <f>F210*Summary!$B$7</f>
        <v/>
      </c>
      <c r="I210" s="11">
        <f>MAX(0,N210-M210)</f>
        <v/>
      </c>
      <c r="J210" s="11">
        <f>MAX(0,M210-N210)</f>
        <v/>
      </c>
      <c r="K210" s="11">
        <f>O210</f>
        <v/>
      </c>
      <c r="L210" s="11">
        <f>L209+IF(K210&gt;0,K210*Summary!$B$9,K210/Summary!$B$9)</f>
        <v/>
      </c>
      <c r="M210" s="11">
        <f>G210+H210</f>
        <v/>
      </c>
      <c r="N210" s="11">
        <f>Summary!$C$16*Summary!$B$8</f>
        <v/>
      </c>
      <c r="O210" s="11">
        <f>M210-N210</f>
        <v/>
      </c>
    </row>
    <row r="211">
      <c r="A211" s="9" t="n">
        <v>45300.70833333334</v>
      </c>
      <c r="B211" t="n">
        <v>1</v>
      </c>
      <c r="C211" t="n">
        <v>9</v>
      </c>
      <c r="D211" t="n">
        <v>17</v>
      </c>
      <c r="E211" s="10" t="n">
        <v>0</v>
      </c>
      <c r="F211" s="10" t="n">
        <v>0.2658126877950451</v>
      </c>
      <c r="G211" s="11">
        <f>E211*Summary!$B$6</f>
        <v/>
      </c>
      <c r="H211" s="11">
        <f>F211*Summary!$B$7</f>
        <v/>
      </c>
      <c r="I211" s="11">
        <f>MAX(0,N211-M211)</f>
        <v/>
      </c>
      <c r="J211" s="11">
        <f>MAX(0,M211-N211)</f>
        <v/>
      </c>
      <c r="K211" s="11">
        <f>O211</f>
        <v/>
      </c>
      <c r="L211" s="11">
        <f>L210+IF(K211&gt;0,K211*Summary!$B$9,K211/Summary!$B$9)</f>
        <v/>
      </c>
      <c r="M211" s="11">
        <f>G211+H211</f>
        <v/>
      </c>
      <c r="N211" s="11">
        <f>Summary!$C$16*Summary!$B$8</f>
        <v/>
      </c>
      <c r="O211" s="11">
        <f>M211-N211</f>
        <v/>
      </c>
    </row>
    <row r="212">
      <c r="A212" s="9" t="n">
        <v>45300.75</v>
      </c>
      <c r="B212" t="n">
        <v>1</v>
      </c>
      <c r="C212" t="n">
        <v>9</v>
      </c>
      <c r="D212" t="n">
        <v>18</v>
      </c>
      <c r="E212" s="10" t="n">
        <v>0</v>
      </c>
      <c r="F212" s="10" t="n">
        <v>0.2792522110205307</v>
      </c>
      <c r="G212" s="11">
        <f>E212*Summary!$B$6</f>
        <v/>
      </c>
      <c r="H212" s="11">
        <f>F212*Summary!$B$7</f>
        <v/>
      </c>
      <c r="I212" s="11">
        <f>MAX(0,N212-M212)</f>
        <v/>
      </c>
      <c r="J212" s="11">
        <f>MAX(0,M212-N212)</f>
        <v/>
      </c>
      <c r="K212" s="11">
        <f>O212</f>
        <v/>
      </c>
      <c r="L212" s="11">
        <f>L211+IF(K212&gt;0,K212*Summary!$B$9,K212/Summary!$B$9)</f>
        <v/>
      </c>
      <c r="M212" s="11">
        <f>G212+H212</f>
        <v/>
      </c>
      <c r="N212" s="11">
        <f>Summary!$C$16*Summary!$B$8</f>
        <v/>
      </c>
      <c r="O212" s="11">
        <f>M212-N212</f>
        <v/>
      </c>
    </row>
    <row r="213">
      <c r="A213" s="9" t="n">
        <v>45300.79166666666</v>
      </c>
      <c r="B213" t="n">
        <v>1</v>
      </c>
      <c r="C213" t="n">
        <v>9</v>
      </c>
      <c r="D213" t="n">
        <v>19</v>
      </c>
      <c r="E213" s="10" t="n">
        <v>0</v>
      </c>
      <c r="F213" s="10" t="n">
        <v>0.2831259559502294</v>
      </c>
      <c r="G213" s="11">
        <f>E213*Summary!$B$6</f>
        <v/>
      </c>
      <c r="H213" s="11">
        <f>F213*Summary!$B$7</f>
        <v/>
      </c>
      <c r="I213" s="11">
        <f>MAX(0,N213-M213)</f>
        <v/>
      </c>
      <c r="J213" s="11">
        <f>MAX(0,M213-N213)</f>
        <v/>
      </c>
      <c r="K213" s="11">
        <f>O213</f>
        <v/>
      </c>
      <c r="L213" s="11">
        <f>L212+IF(K213&gt;0,K213*Summary!$B$9,K213/Summary!$B$9)</f>
        <v/>
      </c>
      <c r="M213" s="11">
        <f>G213+H213</f>
        <v/>
      </c>
      <c r="N213" s="11">
        <f>Summary!$C$16*Summary!$B$8</f>
        <v/>
      </c>
      <c r="O213" s="11">
        <f>M213-N213</f>
        <v/>
      </c>
    </row>
    <row r="214">
      <c r="A214" s="9" t="n">
        <v>45300.83333333334</v>
      </c>
      <c r="B214" t="n">
        <v>1</v>
      </c>
      <c r="C214" t="n">
        <v>9</v>
      </c>
      <c r="D214" t="n">
        <v>20</v>
      </c>
      <c r="E214" s="10" t="n">
        <v>0</v>
      </c>
      <c r="F214" s="10" t="n">
        <v>0.2904518137084353</v>
      </c>
      <c r="G214" s="11">
        <f>E214*Summary!$B$6</f>
        <v/>
      </c>
      <c r="H214" s="11">
        <f>F214*Summary!$B$7</f>
        <v/>
      </c>
      <c r="I214" s="11">
        <f>MAX(0,N214-M214)</f>
        <v/>
      </c>
      <c r="J214" s="11">
        <f>MAX(0,M214-N214)</f>
        <v/>
      </c>
      <c r="K214" s="11">
        <f>O214</f>
        <v/>
      </c>
      <c r="L214" s="11">
        <f>L213+IF(K214&gt;0,K214*Summary!$B$9,K214/Summary!$B$9)</f>
        <v/>
      </c>
      <c r="M214" s="11">
        <f>G214+H214</f>
        <v/>
      </c>
      <c r="N214" s="11">
        <f>Summary!$C$16*Summary!$B$8</f>
        <v/>
      </c>
      <c r="O214" s="11">
        <f>M214-N214</f>
        <v/>
      </c>
    </row>
    <row r="215">
      <c r="A215" s="9" t="n">
        <v>45300.875</v>
      </c>
      <c r="B215" t="n">
        <v>1</v>
      </c>
      <c r="C215" t="n">
        <v>9</v>
      </c>
      <c r="D215" t="n">
        <v>21</v>
      </c>
      <c r="E215" s="10" t="n">
        <v>0</v>
      </c>
      <c r="F215" s="10" t="n">
        <v>0.2970398152895557</v>
      </c>
      <c r="G215" s="11">
        <f>E215*Summary!$B$6</f>
        <v/>
      </c>
      <c r="H215" s="11">
        <f>F215*Summary!$B$7</f>
        <v/>
      </c>
      <c r="I215" s="11">
        <f>MAX(0,N215-M215)</f>
        <v/>
      </c>
      <c r="J215" s="11">
        <f>MAX(0,M215-N215)</f>
        <v/>
      </c>
      <c r="K215" s="11">
        <f>O215</f>
        <v/>
      </c>
      <c r="L215" s="11">
        <f>L214+IF(K215&gt;0,K215*Summary!$B$9,K215/Summary!$B$9)</f>
        <v/>
      </c>
      <c r="M215" s="11">
        <f>G215+H215</f>
        <v/>
      </c>
      <c r="N215" s="11">
        <f>Summary!$C$16*Summary!$B$8</f>
        <v/>
      </c>
      <c r="O215" s="11">
        <f>M215-N215</f>
        <v/>
      </c>
    </row>
    <row r="216">
      <c r="A216" s="9" t="n">
        <v>45300.91666666666</v>
      </c>
      <c r="B216" t="n">
        <v>1</v>
      </c>
      <c r="C216" t="n">
        <v>9</v>
      </c>
      <c r="D216" t="n">
        <v>22</v>
      </c>
      <c r="E216" s="10" t="n">
        <v>0</v>
      </c>
      <c r="F216" s="10" t="n">
        <v>0.3098995943759026</v>
      </c>
      <c r="G216" s="11">
        <f>E216*Summary!$B$6</f>
        <v/>
      </c>
      <c r="H216" s="11">
        <f>F216*Summary!$B$7</f>
        <v/>
      </c>
      <c r="I216" s="11">
        <f>MAX(0,N216-M216)</f>
        <v/>
      </c>
      <c r="J216" s="11">
        <f>MAX(0,M216-N216)</f>
        <v/>
      </c>
      <c r="K216" s="11">
        <f>O216</f>
        <v/>
      </c>
      <c r="L216" s="11">
        <f>L215+IF(K216&gt;0,K216*Summary!$B$9,K216/Summary!$B$9)</f>
        <v/>
      </c>
      <c r="M216" s="11">
        <f>G216+H216</f>
        <v/>
      </c>
      <c r="N216" s="11">
        <f>Summary!$C$16*Summary!$B$8</f>
        <v/>
      </c>
      <c r="O216" s="11">
        <f>M216-N216</f>
        <v/>
      </c>
    </row>
    <row r="217">
      <c r="A217" s="9" t="n">
        <v>45300.95833333334</v>
      </c>
      <c r="B217" t="n">
        <v>1</v>
      </c>
      <c r="C217" t="n">
        <v>9</v>
      </c>
      <c r="D217" t="n">
        <v>23</v>
      </c>
      <c r="E217" s="10" t="n">
        <v>0</v>
      </c>
      <c r="F217" s="10" t="n">
        <v>0.3162504279001027</v>
      </c>
      <c r="G217" s="11">
        <f>E217*Summary!$B$6</f>
        <v/>
      </c>
      <c r="H217" s="11">
        <f>F217*Summary!$B$7</f>
        <v/>
      </c>
      <c r="I217" s="11">
        <f>MAX(0,N217-M217)</f>
        <v/>
      </c>
      <c r="J217" s="11">
        <f>MAX(0,M217-N217)</f>
        <v/>
      </c>
      <c r="K217" s="11">
        <f>O217</f>
        <v/>
      </c>
      <c r="L217" s="11">
        <f>L216+IF(K217&gt;0,K217*Summary!$B$9,K217/Summary!$B$9)</f>
        <v/>
      </c>
      <c r="M217" s="11">
        <f>G217+H217</f>
        <v/>
      </c>
      <c r="N217" s="11">
        <f>Summary!$C$16*Summary!$B$8</f>
        <v/>
      </c>
      <c r="O217" s="11">
        <f>M217-N217</f>
        <v/>
      </c>
    </row>
    <row r="218">
      <c r="A218" s="9" t="n">
        <v>45301</v>
      </c>
      <c r="B218" t="n">
        <v>1</v>
      </c>
      <c r="C218" t="n">
        <v>10</v>
      </c>
      <c r="D218" t="n">
        <v>0</v>
      </c>
      <c r="E218" s="10" t="n">
        <v>0</v>
      </c>
      <c r="F218" s="10" t="n">
        <v>0.4930987423436982</v>
      </c>
      <c r="G218" s="11">
        <f>E218*Summary!$B$6</f>
        <v/>
      </c>
      <c r="H218" s="11">
        <f>F218*Summary!$B$7</f>
        <v/>
      </c>
      <c r="I218" s="11">
        <f>MAX(0,N218-M218)</f>
        <v/>
      </c>
      <c r="J218" s="11">
        <f>MAX(0,M218-N218)</f>
        <v/>
      </c>
      <c r="K218" s="11">
        <f>O218</f>
        <v/>
      </c>
      <c r="L218" s="11">
        <f>L217+IF(K218&gt;0,K218*Summary!$B$9,K218/Summary!$B$9)</f>
        <v/>
      </c>
      <c r="M218" s="11">
        <f>G218+H218</f>
        <v/>
      </c>
      <c r="N218" s="11">
        <f>Summary!$C$16*Summary!$B$8</f>
        <v/>
      </c>
      <c r="O218" s="11">
        <f>M218-N218</f>
        <v/>
      </c>
    </row>
    <row r="219">
      <c r="A219" s="9" t="n">
        <v>45301.04166666666</v>
      </c>
      <c r="B219" t="n">
        <v>1</v>
      </c>
      <c r="C219" t="n">
        <v>10</v>
      </c>
      <c r="D219" t="n">
        <v>1</v>
      </c>
      <c r="E219" s="10" t="n">
        <v>0</v>
      </c>
      <c r="F219" s="10" t="n">
        <v>0.3061049054651773</v>
      </c>
      <c r="G219" s="11">
        <f>E219*Summary!$B$6</f>
        <v/>
      </c>
      <c r="H219" s="11">
        <f>F219*Summary!$B$7</f>
        <v/>
      </c>
      <c r="I219" s="11">
        <f>MAX(0,N219-M219)</f>
        <v/>
      </c>
      <c r="J219" s="11">
        <f>MAX(0,M219-N219)</f>
        <v/>
      </c>
      <c r="K219" s="11">
        <f>O219</f>
        <v/>
      </c>
      <c r="L219" s="11">
        <f>L218+IF(K219&gt;0,K219*Summary!$B$9,K219/Summary!$B$9)</f>
        <v/>
      </c>
      <c r="M219" s="11">
        <f>G219+H219</f>
        <v/>
      </c>
      <c r="N219" s="11">
        <f>Summary!$C$16*Summary!$B$8</f>
        <v/>
      </c>
      <c r="O219" s="11">
        <f>M219-N219</f>
        <v/>
      </c>
    </row>
    <row r="220">
      <c r="A220" s="9" t="n">
        <v>45301.08333333334</v>
      </c>
      <c r="B220" t="n">
        <v>1</v>
      </c>
      <c r="C220" t="n">
        <v>10</v>
      </c>
      <c r="D220" t="n">
        <v>2</v>
      </c>
      <c r="E220" s="10" t="n">
        <v>0</v>
      </c>
      <c r="F220" s="10" t="n">
        <v>0.3059994974398794</v>
      </c>
      <c r="G220" s="11">
        <f>E220*Summary!$B$6</f>
        <v/>
      </c>
      <c r="H220" s="11">
        <f>F220*Summary!$B$7</f>
        <v/>
      </c>
      <c r="I220" s="11">
        <f>MAX(0,N220-M220)</f>
        <v/>
      </c>
      <c r="J220" s="11">
        <f>MAX(0,M220-N220)</f>
        <v/>
      </c>
      <c r="K220" s="11">
        <f>O220</f>
        <v/>
      </c>
      <c r="L220" s="11">
        <f>L219+IF(K220&gt;0,K220*Summary!$B$9,K220/Summary!$B$9)</f>
        <v/>
      </c>
      <c r="M220" s="11">
        <f>G220+H220</f>
        <v/>
      </c>
      <c r="N220" s="11">
        <f>Summary!$C$16*Summary!$B$8</f>
        <v/>
      </c>
      <c r="O220" s="11">
        <f>M220-N220</f>
        <v/>
      </c>
    </row>
    <row r="221">
      <c r="A221" s="9" t="n">
        <v>45301.125</v>
      </c>
      <c r="B221" t="n">
        <v>1</v>
      </c>
      <c r="C221" t="n">
        <v>10</v>
      </c>
      <c r="D221" t="n">
        <v>3</v>
      </c>
      <c r="E221" s="10" t="n">
        <v>0</v>
      </c>
      <c r="F221" s="10" t="n">
        <v>0.3070535776928586</v>
      </c>
      <c r="G221" s="11">
        <f>E221*Summary!$B$6</f>
        <v/>
      </c>
      <c r="H221" s="11">
        <f>F221*Summary!$B$7</f>
        <v/>
      </c>
      <c r="I221" s="11">
        <f>MAX(0,N221-M221)</f>
        <v/>
      </c>
      <c r="J221" s="11">
        <f>MAX(0,M221-N221)</f>
        <v/>
      </c>
      <c r="K221" s="11">
        <f>O221</f>
        <v/>
      </c>
      <c r="L221" s="11">
        <f>L220+IF(K221&gt;0,K221*Summary!$B$9,K221/Summary!$B$9)</f>
        <v/>
      </c>
      <c r="M221" s="11">
        <f>G221+H221</f>
        <v/>
      </c>
      <c r="N221" s="11">
        <f>Summary!$C$16*Summary!$B$8</f>
        <v/>
      </c>
      <c r="O221" s="11">
        <f>M221-N221</f>
        <v/>
      </c>
    </row>
    <row r="222">
      <c r="A222" s="9" t="n">
        <v>45301.16666666666</v>
      </c>
      <c r="B222" t="n">
        <v>1</v>
      </c>
      <c r="C222" t="n">
        <v>10</v>
      </c>
      <c r="D222" t="n">
        <v>4</v>
      </c>
      <c r="E222" s="10" t="n">
        <v>0</v>
      </c>
      <c r="F222" s="10" t="n">
        <v>0.3122449229387815</v>
      </c>
      <c r="G222" s="11">
        <f>E222*Summary!$B$6</f>
        <v/>
      </c>
      <c r="H222" s="11">
        <f>F222*Summary!$B$7</f>
        <v/>
      </c>
      <c r="I222" s="11">
        <f>MAX(0,N222-M222)</f>
        <v/>
      </c>
      <c r="J222" s="11">
        <f>MAX(0,M222-N222)</f>
        <v/>
      </c>
      <c r="K222" s="11">
        <f>O222</f>
        <v/>
      </c>
      <c r="L222" s="11">
        <f>L221+IF(K222&gt;0,K222*Summary!$B$9,K222/Summary!$B$9)</f>
        <v/>
      </c>
      <c r="M222" s="11">
        <f>G222+H222</f>
        <v/>
      </c>
      <c r="N222" s="11">
        <f>Summary!$C$16*Summary!$B$8</f>
        <v/>
      </c>
      <c r="O222" s="11">
        <f>M222-N222</f>
        <v/>
      </c>
    </row>
    <row r="223">
      <c r="A223" s="9" t="n">
        <v>45301.20833333334</v>
      </c>
      <c r="B223" t="n">
        <v>1</v>
      </c>
      <c r="C223" t="n">
        <v>10</v>
      </c>
      <c r="D223" t="n">
        <v>5</v>
      </c>
      <c r="E223" s="10" t="n">
        <v>0</v>
      </c>
      <c r="F223" s="10" t="n">
        <v>0.3154335157040438</v>
      </c>
      <c r="G223" s="11">
        <f>E223*Summary!$B$6</f>
        <v/>
      </c>
      <c r="H223" s="11">
        <f>F223*Summary!$B$7</f>
        <v/>
      </c>
      <c r="I223" s="11">
        <f>MAX(0,N223-M223)</f>
        <v/>
      </c>
      <c r="J223" s="11">
        <f>MAX(0,M223-N223)</f>
        <v/>
      </c>
      <c r="K223" s="11">
        <f>O223</f>
        <v/>
      </c>
      <c r="L223" s="11">
        <f>L222+IF(K223&gt;0,K223*Summary!$B$9,K223/Summary!$B$9)</f>
        <v/>
      </c>
      <c r="M223" s="11">
        <f>G223+H223</f>
        <v/>
      </c>
      <c r="N223" s="11">
        <f>Summary!$C$16*Summary!$B$8</f>
        <v/>
      </c>
      <c r="O223" s="11">
        <f>M223-N223</f>
        <v/>
      </c>
    </row>
    <row r="224">
      <c r="A224" s="9" t="n">
        <v>45301.25</v>
      </c>
      <c r="B224" t="n">
        <v>1</v>
      </c>
      <c r="C224" t="n">
        <v>10</v>
      </c>
      <c r="D224" t="n">
        <v>6</v>
      </c>
      <c r="E224" s="10" t="n">
        <v>0</v>
      </c>
      <c r="F224" s="10" t="n">
        <v>0.3234181736203617</v>
      </c>
      <c r="G224" s="11">
        <f>E224*Summary!$B$6</f>
        <v/>
      </c>
      <c r="H224" s="11">
        <f>F224*Summary!$B$7</f>
        <v/>
      </c>
      <c r="I224" s="11">
        <f>MAX(0,N224-M224)</f>
        <v/>
      </c>
      <c r="J224" s="11">
        <f>MAX(0,M224-N224)</f>
        <v/>
      </c>
      <c r="K224" s="11">
        <f>O224</f>
        <v/>
      </c>
      <c r="L224" s="11">
        <f>L223+IF(K224&gt;0,K224*Summary!$B$9,K224/Summary!$B$9)</f>
        <v/>
      </c>
      <c r="M224" s="11">
        <f>G224+H224</f>
        <v/>
      </c>
      <c r="N224" s="11">
        <f>Summary!$C$16*Summary!$B$8</f>
        <v/>
      </c>
      <c r="O224" s="11">
        <f>M224-N224</f>
        <v/>
      </c>
    </row>
    <row r="225">
      <c r="A225" s="9" t="n">
        <v>45301.29166666666</v>
      </c>
      <c r="B225" t="n">
        <v>1</v>
      </c>
      <c r="C225" t="n">
        <v>10</v>
      </c>
      <c r="D225" t="n">
        <v>7</v>
      </c>
      <c r="E225" s="10" t="n">
        <v>0</v>
      </c>
      <c r="F225" s="10" t="n">
        <v>0.3277926066702256</v>
      </c>
      <c r="G225" s="11">
        <f>E225*Summary!$B$6</f>
        <v/>
      </c>
      <c r="H225" s="11">
        <f>F225*Summary!$B$7</f>
        <v/>
      </c>
      <c r="I225" s="11">
        <f>MAX(0,N225-M225)</f>
        <v/>
      </c>
      <c r="J225" s="11">
        <f>MAX(0,M225-N225)</f>
        <v/>
      </c>
      <c r="K225" s="11">
        <f>O225</f>
        <v/>
      </c>
      <c r="L225" s="11">
        <f>L224+IF(K225&gt;0,K225*Summary!$B$9,K225/Summary!$B$9)</f>
        <v/>
      </c>
      <c r="M225" s="11">
        <f>G225+H225</f>
        <v/>
      </c>
      <c r="N225" s="11">
        <f>Summary!$C$16*Summary!$B$8</f>
        <v/>
      </c>
      <c r="O225" s="11">
        <f>M225-N225</f>
        <v/>
      </c>
    </row>
    <row r="226">
      <c r="A226" s="9" t="n">
        <v>45301.33333333334</v>
      </c>
      <c r="B226" t="n">
        <v>1</v>
      </c>
      <c r="C226" t="n">
        <v>10</v>
      </c>
      <c r="D226" t="n">
        <v>8</v>
      </c>
      <c r="E226" s="10" t="n">
        <v>0</v>
      </c>
      <c r="F226" s="10" t="n">
        <v>0.3335900480616115</v>
      </c>
      <c r="G226" s="11">
        <f>E226*Summary!$B$6</f>
        <v/>
      </c>
      <c r="H226" s="11">
        <f>F226*Summary!$B$7</f>
        <v/>
      </c>
      <c r="I226" s="11">
        <f>MAX(0,N226-M226)</f>
        <v/>
      </c>
      <c r="J226" s="11">
        <f>MAX(0,M226-N226)</f>
        <v/>
      </c>
      <c r="K226" s="11">
        <f>O226</f>
        <v/>
      </c>
      <c r="L226" s="11">
        <f>L225+IF(K226&gt;0,K226*Summary!$B$9,K226/Summary!$B$9)</f>
        <v/>
      </c>
      <c r="M226" s="11">
        <f>G226+H226</f>
        <v/>
      </c>
      <c r="N226" s="11">
        <f>Summary!$C$16*Summary!$B$8</f>
        <v/>
      </c>
      <c r="O226" s="11">
        <f>M226-N226</f>
        <v/>
      </c>
    </row>
    <row r="227">
      <c r="A227" s="9" t="n">
        <v>45301.375</v>
      </c>
      <c r="B227" t="n">
        <v>1</v>
      </c>
      <c r="C227" t="n">
        <v>10</v>
      </c>
      <c r="D227" t="n">
        <v>9</v>
      </c>
      <c r="E227" s="10" t="n">
        <v>0.020197</v>
      </c>
      <c r="F227" s="10" t="n">
        <v>0.3428132502751801</v>
      </c>
      <c r="G227" s="11">
        <f>E227*Summary!$B$6</f>
        <v/>
      </c>
      <c r="H227" s="11">
        <f>F227*Summary!$B$7</f>
        <v/>
      </c>
      <c r="I227" s="11">
        <f>MAX(0,N227-M227)</f>
        <v/>
      </c>
      <c r="J227" s="11">
        <f>MAX(0,M227-N227)</f>
        <v/>
      </c>
      <c r="K227" s="11">
        <f>O227</f>
        <v/>
      </c>
      <c r="L227" s="11">
        <f>L226+IF(K227&gt;0,K227*Summary!$B$9,K227/Summary!$B$9)</f>
        <v/>
      </c>
      <c r="M227" s="11">
        <f>G227+H227</f>
        <v/>
      </c>
      <c r="N227" s="11">
        <f>Summary!$C$16*Summary!$B$8</f>
        <v/>
      </c>
      <c r="O227" s="11">
        <f>M227-N227</f>
        <v/>
      </c>
    </row>
    <row r="228">
      <c r="A228" s="9" t="n">
        <v>45301.41666666666</v>
      </c>
      <c r="B228" t="n">
        <v>1</v>
      </c>
      <c r="C228" t="n">
        <v>10</v>
      </c>
      <c r="D228" t="n">
        <v>10</v>
      </c>
      <c r="E228" s="10" t="n">
        <v>0.002421</v>
      </c>
      <c r="F228" s="10" t="n">
        <v>0.3512458922990142</v>
      </c>
      <c r="G228" s="11">
        <f>E228*Summary!$B$6</f>
        <v/>
      </c>
      <c r="H228" s="11">
        <f>F228*Summary!$B$7</f>
        <v/>
      </c>
      <c r="I228" s="11">
        <f>MAX(0,N228-M228)</f>
        <v/>
      </c>
      <c r="J228" s="11">
        <f>MAX(0,M228-N228)</f>
        <v/>
      </c>
      <c r="K228" s="11">
        <f>O228</f>
        <v/>
      </c>
      <c r="L228" s="11">
        <f>L227+IF(K228&gt;0,K228*Summary!$B$9,K228/Summary!$B$9)</f>
        <v/>
      </c>
      <c r="M228" s="11">
        <f>G228+H228</f>
        <v/>
      </c>
      <c r="N228" s="11">
        <f>Summary!$C$16*Summary!$B$8</f>
        <v/>
      </c>
      <c r="O228" s="11">
        <f>M228-N228</f>
        <v/>
      </c>
    </row>
    <row r="229">
      <c r="A229" s="9" t="n">
        <v>45301.45833333334</v>
      </c>
      <c r="B229" t="n">
        <v>1</v>
      </c>
      <c r="C229" t="n">
        <v>10</v>
      </c>
      <c r="D229" t="n">
        <v>11</v>
      </c>
      <c r="E229" s="10" t="n">
        <v>0.008508</v>
      </c>
      <c r="F229" s="10" t="n">
        <v>0.352168212520371</v>
      </c>
      <c r="G229" s="11">
        <f>E229*Summary!$B$6</f>
        <v/>
      </c>
      <c r="H229" s="11">
        <f>F229*Summary!$B$7</f>
        <v/>
      </c>
      <c r="I229" s="11">
        <f>MAX(0,N229-M229)</f>
        <v/>
      </c>
      <c r="J229" s="11">
        <f>MAX(0,M229-N229)</f>
        <v/>
      </c>
      <c r="K229" s="11">
        <f>O229</f>
        <v/>
      </c>
      <c r="L229" s="11">
        <f>L228+IF(K229&gt;0,K229*Summary!$B$9,K229/Summary!$B$9)</f>
        <v/>
      </c>
      <c r="M229" s="11">
        <f>G229+H229</f>
        <v/>
      </c>
      <c r="N229" s="11">
        <f>Summary!$C$16*Summary!$B$8</f>
        <v/>
      </c>
      <c r="O229" s="11">
        <f>M229-N229</f>
        <v/>
      </c>
    </row>
    <row r="230">
      <c r="A230" s="9" t="n">
        <v>45301.5</v>
      </c>
      <c r="B230" t="n">
        <v>1</v>
      </c>
      <c r="C230" t="n">
        <v>10</v>
      </c>
      <c r="D230" t="n">
        <v>12</v>
      </c>
      <c r="E230" s="10" t="n">
        <v>0.009289</v>
      </c>
      <c r="F230" s="10" t="n">
        <v>0.3565953495828839</v>
      </c>
      <c r="G230" s="11">
        <f>E230*Summary!$B$6</f>
        <v/>
      </c>
      <c r="H230" s="11">
        <f>F230*Summary!$B$7</f>
        <v/>
      </c>
      <c r="I230" s="11">
        <f>MAX(0,N230-M230)</f>
        <v/>
      </c>
      <c r="J230" s="11">
        <f>MAX(0,M230-N230)</f>
        <v/>
      </c>
      <c r="K230" s="11">
        <f>O230</f>
        <v/>
      </c>
      <c r="L230" s="11">
        <f>L229+IF(K230&gt;0,K230*Summary!$B$9,K230/Summary!$B$9)</f>
        <v/>
      </c>
      <c r="M230" s="11">
        <f>G230+H230</f>
        <v/>
      </c>
      <c r="N230" s="11">
        <f>Summary!$C$16*Summary!$B$8</f>
        <v/>
      </c>
      <c r="O230" s="11">
        <f>M230-N230</f>
        <v/>
      </c>
    </row>
    <row r="231">
      <c r="A231" s="9" t="n">
        <v>45301.54166666666</v>
      </c>
      <c r="B231" t="n">
        <v>1</v>
      </c>
      <c r="C231" t="n">
        <v>10</v>
      </c>
      <c r="D231" t="n">
        <v>13</v>
      </c>
      <c r="E231" s="10" t="n">
        <v>0.010933</v>
      </c>
      <c r="F231" s="10" t="n">
        <v>0.3662928879102931</v>
      </c>
      <c r="G231" s="11">
        <f>E231*Summary!$B$6</f>
        <v/>
      </c>
      <c r="H231" s="11">
        <f>F231*Summary!$B$7</f>
        <v/>
      </c>
      <c r="I231" s="11">
        <f>MAX(0,N231-M231)</f>
        <v/>
      </c>
      <c r="J231" s="11">
        <f>MAX(0,M231-N231)</f>
        <v/>
      </c>
      <c r="K231" s="11">
        <f>O231</f>
        <v/>
      </c>
      <c r="L231" s="11">
        <f>L230+IF(K231&gt;0,K231*Summary!$B$9,K231/Summary!$B$9)</f>
        <v/>
      </c>
      <c r="M231" s="11">
        <f>G231+H231</f>
        <v/>
      </c>
      <c r="N231" s="11">
        <f>Summary!$C$16*Summary!$B$8</f>
        <v/>
      </c>
      <c r="O231" s="11">
        <f>M231-N231</f>
        <v/>
      </c>
    </row>
    <row r="232">
      <c r="A232" s="9" t="n">
        <v>45301.58333333334</v>
      </c>
      <c r="B232" t="n">
        <v>1</v>
      </c>
      <c r="C232" t="n">
        <v>10</v>
      </c>
      <c r="D232" t="n">
        <v>14</v>
      </c>
      <c r="E232" s="10" t="n">
        <v>0.010771</v>
      </c>
      <c r="F232" s="10" t="n">
        <v>0.3832108759706102</v>
      </c>
      <c r="G232" s="11">
        <f>E232*Summary!$B$6</f>
        <v/>
      </c>
      <c r="H232" s="11">
        <f>F232*Summary!$B$7</f>
        <v/>
      </c>
      <c r="I232" s="11">
        <f>MAX(0,N232-M232)</f>
        <v/>
      </c>
      <c r="J232" s="11">
        <f>MAX(0,M232-N232)</f>
        <v/>
      </c>
      <c r="K232" s="11">
        <f>O232</f>
        <v/>
      </c>
      <c r="L232" s="11">
        <f>L231+IF(K232&gt;0,K232*Summary!$B$9,K232/Summary!$B$9)</f>
        <v/>
      </c>
      <c r="M232" s="11">
        <f>G232+H232</f>
        <v/>
      </c>
      <c r="N232" s="11">
        <f>Summary!$C$16*Summary!$B$8</f>
        <v/>
      </c>
      <c r="O232" s="11">
        <f>M232-N232</f>
        <v/>
      </c>
    </row>
    <row r="233">
      <c r="A233" s="9" t="n">
        <v>45301.625</v>
      </c>
      <c r="B233" t="n">
        <v>1</v>
      </c>
      <c r="C233" t="n">
        <v>10</v>
      </c>
      <c r="D233" t="n">
        <v>15</v>
      </c>
      <c r="E233" s="10" t="n">
        <v>0</v>
      </c>
      <c r="F233" s="10" t="n">
        <v>0.4022106725305614</v>
      </c>
      <c r="G233" s="11">
        <f>E233*Summary!$B$6</f>
        <v/>
      </c>
      <c r="H233" s="11">
        <f>F233*Summary!$B$7</f>
        <v/>
      </c>
      <c r="I233" s="11">
        <f>MAX(0,N233-M233)</f>
        <v/>
      </c>
      <c r="J233" s="11">
        <f>MAX(0,M233-N233)</f>
        <v/>
      </c>
      <c r="K233" s="11">
        <f>O233</f>
        <v/>
      </c>
      <c r="L233" s="11">
        <f>L232+IF(K233&gt;0,K233*Summary!$B$9,K233/Summary!$B$9)</f>
        <v/>
      </c>
      <c r="M233" s="11">
        <f>G233+H233</f>
        <v/>
      </c>
      <c r="N233" s="11">
        <f>Summary!$C$16*Summary!$B$8</f>
        <v/>
      </c>
      <c r="O233" s="11">
        <f>M233-N233</f>
        <v/>
      </c>
    </row>
    <row r="234">
      <c r="A234" s="9" t="n">
        <v>45301.66666666666</v>
      </c>
      <c r="B234" t="n">
        <v>1</v>
      </c>
      <c r="C234" t="n">
        <v>10</v>
      </c>
      <c r="D234" t="n">
        <v>16</v>
      </c>
      <c r="E234" s="10" t="n">
        <v>0</v>
      </c>
      <c r="F234" s="10" t="n">
        <v>0.4237402616976628</v>
      </c>
      <c r="G234" s="11">
        <f>E234*Summary!$B$6</f>
        <v/>
      </c>
      <c r="H234" s="11">
        <f>F234*Summary!$B$7</f>
        <v/>
      </c>
      <c r="I234" s="11">
        <f>MAX(0,N234-M234)</f>
        <v/>
      </c>
      <c r="J234" s="11">
        <f>MAX(0,M234-N234)</f>
        <v/>
      </c>
      <c r="K234" s="11">
        <f>O234</f>
        <v/>
      </c>
      <c r="L234" s="11">
        <f>L233+IF(K234&gt;0,K234*Summary!$B$9,K234/Summary!$B$9)</f>
        <v/>
      </c>
      <c r="M234" s="11">
        <f>G234+H234</f>
        <v/>
      </c>
      <c r="N234" s="11">
        <f>Summary!$C$16*Summary!$B$8</f>
        <v/>
      </c>
      <c r="O234" s="11">
        <f>M234-N234</f>
        <v/>
      </c>
    </row>
    <row r="235">
      <c r="A235" s="9" t="n">
        <v>45301.70833333334</v>
      </c>
      <c r="B235" t="n">
        <v>1</v>
      </c>
      <c r="C235" t="n">
        <v>10</v>
      </c>
      <c r="D235" t="n">
        <v>17</v>
      </c>
      <c r="E235" s="10" t="n">
        <v>0</v>
      </c>
      <c r="F235" s="10" t="n">
        <v>0.4359148886195733</v>
      </c>
      <c r="G235" s="11">
        <f>E235*Summary!$B$6</f>
        <v/>
      </c>
      <c r="H235" s="11">
        <f>F235*Summary!$B$7</f>
        <v/>
      </c>
      <c r="I235" s="11">
        <f>MAX(0,N235-M235)</f>
        <v/>
      </c>
      <c r="J235" s="11">
        <f>MAX(0,M235-N235)</f>
        <v/>
      </c>
      <c r="K235" s="11">
        <f>O235</f>
        <v/>
      </c>
      <c r="L235" s="11">
        <f>L234+IF(K235&gt;0,K235*Summary!$B$9,K235/Summary!$B$9)</f>
        <v/>
      </c>
      <c r="M235" s="11">
        <f>G235+H235</f>
        <v/>
      </c>
      <c r="N235" s="11">
        <f>Summary!$C$16*Summary!$B$8</f>
        <v/>
      </c>
      <c r="O235" s="11">
        <f>M235-N235</f>
        <v/>
      </c>
    </row>
    <row r="236">
      <c r="A236" s="9" t="n">
        <v>45301.75</v>
      </c>
      <c r="B236" t="n">
        <v>1</v>
      </c>
      <c r="C236" t="n">
        <v>10</v>
      </c>
      <c r="D236" t="n">
        <v>18</v>
      </c>
      <c r="E236" s="10" t="n">
        <v>0</v>
      </c>
      <c r="F236" s="10" t="n">
        <v>0.4407109537706289</v>
      </c>
      <c r="G236" s="11">
        <f>E236*Summary!$B$6</f>
        <v/>
      </c>
      <c r="H236" s="11">
        <f>F236*Summary!$B$7</f>
        <v/>
      </c>
      <c r="I236" s="11">
        <f>MAX(0,N236-M236)</f>
        <v/>
      </c>
      <c r="J236" s="11">
        <f>MAX(0,M236-N236)</f>
        <v/>
      </c>
      <c r="K236" s="11">
        <f>O236</f>
        <v/>
      </c>
      <c r="L236" s="11">
        <f>L235+IF(K236&gt;0,K236*Summary!$B$9,K236/Summary!$B$9)</f>
        <v/>
      </c>
      <c r="M236" s="11">
        <f>G236+H236</f>
        <v/>
      </c>
      <c r="N236" s="11">
        <f>Summary!$C$16*Summary!$B$8</f>
        <v/>
      </c>
      <c r="O236" s="11">
        <f>M236-N236</f>
        <v/>
      </c>
    </row>
    <row r="237">
      <c r="A237" s="9" t="n">
        <v>45301.79166666666</v>
      </c>
      <c r="B237" t="n">
        <v>1</v>
      </c>
      <c r="C237" t="n">
        <v>10</v>
      </c>
      <c r="D237" t="n">
        <v>19</v>
      </c>
      <c r="E237" s="10" t="n">
        <v>0</v>
      </c>
      <c r="F237" s="10" t="n">
        <v>0.4432407463777791</v>
      </c>
      <c r="G237" s="11">
        <f>E237*Summary!$B$6</f>
        <v/>
      </c>
      <c r="H237" s="11">
        <f>F237*Summary!$B$7</f>
        <v/>
      </c>
      <c r="I237" s="11">
        <f>MAX(0,N237-M237)</f>
        <v/>
      </c>
      <c r="J237" s="11">
        <f>MAX(0,M237-N237)</f>
        <v/>
      </c>
      <c r="K237" s="11">
        <f>O237</f>
        <v/>
      </c>
      <c r="L237" s="11">
        <f>L236+IF(K237&gt;0,K237*Summary!$B$9,K237/Summary!$B$9)</f>
        <v/>
      </c>
      <c r="M237" s="11">
        <f>G237+H237</f>
        <v/>
      </c>
      <c r="N237" s="11">
        <f>Summary!$C$16*Summary!$B$8</f>
        <v/>
      </c>
      <c r="O237" s="11">
        <f>M237-N237</f>
        <v/>
      </c>
    </row>
    <row r="238">
      <c r="A238" s="9" t="n">
        <v>45301.83333333334</v>
      </c>
      <c r="B238" t="n">
        <v>1</v>
      </c>
      <c r="C238" t="n">
        <v>10</v>
      </c>
      <c r="D238" t="n">
        <v>20</v>
      </c>
      <c r="E238" s="10" t="n">
        <v>0</v>
      </c>
      <c r="F238" s="10" t="n">
        <v>0.4471408433138024</v>
      </c>
      <c r="G238" s="11">
        <f>E238*Summary!$B$6</f>
        <v/>
      </c>
      <c r="H238" s="11">
        <f>F238*Summary!$B$7</f>
        <v/>
      </c>
      <c r="I238" s="11">
        <f>MAX(0,N238-M238)</f>
        <v/>
      </c>
      <c r="J238" s="11">
        <f>MAX(0,M238-N238)</f>
        <v/>
      </c>
      <c r="K238" s="11">
        <f>O238</f>
        <v/>
      </c>
      <c r="L238" s="11">
        <f>L237+IF(K238&gt;0,K238*Summary!$B$9,K238/Summary!$B$9)</f>
        <v/>
      </c>
      <c r="M238" s="11">
        <f>G238+H238</f>
        <v/>
      </c>
      <c r="N238" s="11">
        <f>Summary!$C$16*Summary!$B$8</f>
        <v/>
      </c>
      <c r="O238" s="11">
        <f>M238-N238</f>
        <v/>
      </c>
    </row>
    <row r="239">
      <c r="A239" s="9" t="n">
        <v>45301.875</v>
      </c>
      <c r="B239" t="n">
        <v>1</v>
      </c>
      <c r="C239" t="n">
        <v>10</v>
      </c>
      <c r="D239" t="n">
        <v>21</v>
      </c>
      <c r="E239" s="10" t="n">
        <v>0</v>
      </c>
      <c r="F239" s="10" t="n">
        <v>0.459104654185117</v>
      </c>
      <c r="G239" s="11">
        <f>E239*Summary!$B$6</f>
        <v/>
      </c>
      <c r="H239" s="11">
        <f>F239*Summary!$B$7</f>
        <v/>
      </c>
      <c r="I239" s="11">
        <f>MAX(0,N239-M239)</f>
        <v/>
      </c>
      <c r="J239" s="11">
        <f>MAX(0,M239-N239)</f>
        <v/>
      </c>
      <c r="K239" s="11">
        <f>O239</f>
        <v/>
      </c>
      <c r="L239" s="11">
        <f>L238+IF(K239&gt;0,K239*Summary!$B$9,K239/Summary!$B$9)</f>
        <v/>
      </c>
      <c r="M239" s="11">
        <f>G239+H239</f>
        <v/>
      </c>
      <c r="N239" s="11">
        <f>Summary!$C$16*Summary!$B$8</f>
        <v/>
      </c>
      <c r="O239" s="11">
        <f>M239-N239</f>
        <v/>
      </c>
    </row>
    <row r="240">
      <c r="A240" s="9" t="n">
        <v>45301.91666666666</v>
      </c>
      <c r="B240" t="n">
        <v>1</v>
      </c>
      <c r="C240" t="n">
        <v>10</v>
      </c>
      <c r="D240" t="n">
        <v>22</v>
      </c>
      <c r="E240" s="10" t="n">
        <v>0</v>
      </c>
      <c r="F240" s="10" t="n">
        <v>0.4676163522279245</v>
      </c>
      <c r="G240" s="11">
        <f>E240*Summary!$B$6</f>
        <v/>
      </c>
      <c r="H240" s="11">
        <f>F240*Summary!$B$7</f>
        <v/>
      </c>
      <c r="I240" s="11">
        <f>MAX(0,N240-M240)</f>
        <v/>
      </c>
      <c r="J240" s="11">
        <f>MAX(0,M240-N240)</f>
        <v/>
      </c>
      <c r="K240" s="11">
        <f>O240</f>
        <v/>
      </c>
      <c r="L240" s="11">
        <f>L239+IF(K240&gt;0,K240*Summary!$B$9,K240/Summary!$B$9)</f>
        <v/>
      </c>
      <c r="M240" s="11">
        <f>G240+H240</f>
        <v/>
      </c>
      <c r="N240" s="11">
        <f>Summary!$C$16*Summary!$B$8</f>
        <v/>
      </c>
      <c r="O240" s="11">
        <f>M240-N240</f>
        <v/>
      </c>
    </row>
    <row r="241">
      <c r="A241" s="9" t="n">
        <v>45301.95833333334</v>
      </c>
      <c r="B241" t="n">
        <v>1</v>
      </c>
      <c r="C241" t="n">
        <v>10</v>
      </c>
      <c r="D241" t="n">
        <v>23</v>
      </c>
      <c r="E241" s="10" t="n">
        <v>0</v>
      </c>
      <c r="F241" s="10" t="n">
        <v>0.4775774106185786</v>
      </c>
      <c r="G241" s="11">
        <f>E241*Summary!$B$6</f>
        <v/>
      </c>
      <c r="H241" s="11">
        <f>F241*Summary!$B$7</f>
        <v/>
      </c>
      <c r="I241" s="11">
        <f>MAX(0,N241-M241)</f>
        <v/>
      </c>
      <c r="J241" s="11">
        <f>MAX(0,M241-N241)</f>
        <v/>
      </c>
      <c r="K241" s="11">
        <f>O241</f>
        <v/>
      </c>
      <c r="L241" s="11">
        <f>L240+IF(K241&gt;0,K241*Summary!$B$9,K241/Summary!$B$9)</f>
        <v/>
      </c>
      <c r="M241" s="11">
        <f>G241+H241</f>
        <v/>
      </c>
      <c r="N241" s="11">
        <f>Summary!$C$16*Summary!$B$8</f>
        <v/>
      </c>
      <c r="O241" s="11">
        <f>M241-N241</f>
        <v/>
      </c>
    </row>
    <row r="242">
      <c r="A242" s="9" t="n">
        <v>45302</v>
      </c>
      <c r="B242" t="n">
        <v>1</v>
      </c>
      <c r="C242" t="n">
        <v>11</v>
      </c>
      <c r="D242" t="n">
        <v>0</v>
      </c>
      <c r="E242" s="10" t="n">
        <v>0</v>
      </c>
      <c r="F242" s="10" t="n">
        <v>0.4606067185456124</v>
      </c>
      <c r="G242" s="11">
        <f>E242*Summary!$B$6</f>
        <v/>
      </c>
      <c r="H242" s="11">
        <f>F242*Summary!$B$7</f>
        <v/>
      </c>
      <c r="I242" s="11">
        <f>MAX(0,N242-M242)</f>
        <v/>
      </c>
      <c r="J242" s="11">
        <f>MAX(0,M242-N242)</f>
        <v/>
      </c>
      <c r="K242" s="11">
        <f>O242</f>
        <v/>
      </c>
      <c r="L242" s="11">
        <f>L241+IF(K242&gt;0,K242*Summary!$B$9,K242/Summary!$B$9)</f>
        <v/>
      </c>
      <c r="M242" s="11">
        <f>G242+H242</f>
        <v/>
      </c>
      <c r="N242" s="11">
        <f>Summary!$C$16*Summary!$B$8</f>
        <v/>
      </c>
      <c r="O242" s="11">
        <f>M242-N242</f>
        <v/>
      </c>
    </row>
    <row r="243">
      <c r="A243" s="9" t="n">
        <v>45302.04166666666</v>
      </c>
      <c r="B243" t="n">
        <v>1</v>
      </c>
      <c r="C243" t="n">
        <v>11</v>
      </c>
      <c r="D243" t="n">
        <v>1</v>
      </c>
      <c r="E243" s="10" t="n">
        <v>0</v>
      </c>
      <c r="F243" s="10" t="n">
        <v>0.5101748424419621</v>
      </c>
      <c r="G243" s="11">
        <f>E243*Summary!$B$6</f>
        <v/>
      </c>
      <c r="H243" s="11">
        <f>F243*Summary!$B$7</f>
        <v/>
      </c>
      <c r="I243" s="11">
        <f>MAX(0,N243-M243)</f>
        <v/>
      </c>
      <c r="J243" s="11">
        <f>MAX(0,M243-N243)</f>
        <v/>
      </c>
      <c r="K243" s="11">
        <f>O243</f>
        <v/>
      </c>
      <c r="L243" s="11">
        <f>L242+IF(K243&gt;0,K243*Summary!$B$9,K243/Summary!$B$9)</f>
        <v/>
      </c>
      <c r="M243" s="11">
        <f>G243+H243</f>
        <v/>
      </c>
      <c r="N243" s="11">
        <f>Summary!$C$16*Summary!$B$8</f>
        <v/>
      </c>
      <c r="O243" s="11">
        <f>M243-N243</f>
        <v/>
      </c>
    </row>
    <row r="244">
      <c r="A244" s="9" t="n">
        <v>45302.08333333334</v>
      </c>
      <c r="B244" t="n">
        <v>1</v>
      </c>
      <c r="C244" t="n">
        <v>11</v>
      </c>
      <c r="D244" t="n">
        <v>2</v>
      </c>
      <c r="E244" s="10" t="n">
        <v>0</v>
      </c>
      <c r="F244" s="10" t="n">
        <v>0.520399420895861</v>
      </c>
      <c r="G244" s="11">
        <f>E244*Summary!$B$6</f>
        <v/>
      </c>
      <c r="H244" s="11">
        <f>F244*Summary!$B$7</f>
        <v/>
      </c>
      <c r="I244" s="11">
        <f>MAX(0,N244-M244)</f>
        <v/>
      </c>
      <c r="J244" s="11">
        <f>MAX(0,M244-N244)</f>
        <v/>
      </c>
      <c r="K244" s="11">
        <f>O244</f>
        <v/>
      </c>
      <c r="L244" s="11">
        <f>L243+IF(K244&gt;0,K244*Summary!$B$9,K244/Summary!$B$9)</f>
        <v/>
      </c>
      <c r="M244" s="11">
        <f>G244+H244</f>
        <v/>
      </c>
      <c r="N244" s="11">
        <f>Summary!$C$16*Summary!$B$8</f>
        <v/>
      </c>
      <c r="O244" s="11">
        <f>M244-N244</f>
        <v/>
      </c>
    </row>
    <row r="245">
      <c r="A245" s="9" t="n">
        <v>45302.125</v>
      </c>
      <c r="B245" t="n">
        <v>1</v>
      </c>
      <c r="C245" t="n">
        <v>11</v>
      </c>
      <c r="D245" t="n">
        <v>3</v>
      </c>
      <c r="E245" s="10" t="n">
        <v>0</v>
      </c>
      <c r="F245" s="10" t="n">
        <v>0.5329166238999897</v>
      </c>
      <c r="G245" s="11">
        <f>E245*Summary!$B$6</f>
        <v/>
      </c>
      <c r="H245" s="11">
        <f>F245*Summary!$B$7</f>
        <v/>
      </c>
      <c r="I245" s="11">
        <f>MAX(0,N245-M245)</f>
        <v/>
      </c>
      <c r="J245" s="11">
        <f>MAX(0,M245-N245)</f>
        <v/>
      </c>
      <c r="K245" s="11">
        <f>O245</f>
        <v/>
      </c>
      <c r="L245" s="11">
        <f>L244+IF(K245&gt;0,K245*Summary!$B$9,K245/Summary!$B$9)</f>
        <v/>
      </c>
      <c r="M245" s="11">
        <f>G245+H245</f>
        <v/>
      </c>
      <c r="N245" s="11">
        <f>Summary!$C$16*Summary!$B$8</f>
        <v/>
      </c>
      <c r="O245" s="11">
        <f>M245-N245</f>
        <v/>
      </c>
    </row>
    <row r="246">
      <c r="A246" s="9" t="n">
        <v>45302.16666666666</v>
      </c>
      <c r="B246" t="n">
        <v>1</v>
      </c>
      <c r="C246" t="n">
        <v>11</v>
      </c>
      <c r="D246" t="n">
        <v>4</v>
      </c>
      <c r="E246" s="10" t="n">
        <v>0</v>
      </c>
      <c r="F246" s="10" t="n">
        <v>0.5420871221009094</v>
      </c>
      <c r="G246" s="11">
        <f>E246*Summary!$B$6</f>
        <v/>
      </c>
      <c r="H246" s="11">
        <f>F246*Summary!$B$7</f>
        <v/>
      </c>
      <c r="I246" s="11">
        <f>MAX(0,N246-M246)</f>
        <v/>
      </c>
      <c r="J246" s="11">
        <f>MAX(0,M246-N246)</f>
        <v/>
      </c>
      <c r="K246" s="11">
        <f>O246</f>
        <v/>
      </c>
      <c r="L246" s="11">
        <f>L245+IF(K246&gt;0,K246*Summary!$B$9,K246/Summary!$B$9)</f>
        <v/>
      </c>
      <c r="M246" s="11">
        <f>G246+H246</f>
        <v/>
      </c>
      <c r="N246" s="11">
        <f>Summary!$C$16*Summary!$B$8</f>
        <v/>
      </c>
      <c r="O246" s="11">
        <f>M246-N246</f>
        <v/>
      </c>
    </row>
    <row r="247">
      <c r="A247" s="9" t="n">
        <v>45302.20833333334</v>
      </c>
      <c r="B247" t="n">
        <v>1</v>
      </c>
      <c r="C247" t="n">
        <v>11</v>
      </c>
      <c r="D247" t="n">
        <v>5</v>
      </c>
      <c r="E247" s="10" t="n">
        <v>0</v>
      </c>
      <c r="F247" s="10" t="n">
        <v>0.5469622432709383</v>
      </c>
      <c r="G247" s="11">
        <f>E247*Summary!$B$6</f>
        <v/>
      </c>
      <c r="H247" s="11">
        <f>F247*Summary!$B$7</f>
        <v/>
      </c>
      <c r="I247" s="11">
        <f>MAX(0,N247-M247)</f>
        <v/>
      </c>
      <c r="J247" s="11">
        <f>MAX(0,M247-N247)</f>
        <v/>
      </c>
      <c r="K247" s="11">
        <f>O247</f>
        <v/>
      </c>
      <c r="L247" s="11">
        <f>L246+IF(K247&gt;0,K247*Summary!$B$9,K247/Summary!$B$9)</f>
        <v/>
      </c>
      <c r="M247" s="11">
        <f>G247+H247</f>
        <v/>
      </c>
      <c r="N247" s="11">
        <f>Summary!$C$16*Summary!$B$8</f>
        <v/>
      </c>
      <c r="O247" s="11">
        <f>M247-N247</f>
        <v/>
      </c>
    </row>
    <row r="248">
      <c r="A248" s="9" t="n">
        <v>45302.25</v>
      </c>
      <c r="B248" t="n">
        <v>1</v>
      </c>
      <c r="C248" t="n">
        <v>11</v>
      </c>
      <c r="D248" t="n">
        <v>6</v>
      </c>
      <c r="E248" s="10" t="n">
        <v>0</v>
      </c>
      <c r="F248" s="10" t="n">
        <v>0.5492812198274928</v>
      </c>
      <c r="G248" s="11">
        <f>E248*Summary!$B$6</f>
        <v/>
      </c>
      <c r="H248" s="11">
        <f>F248*Summary!$B$7</f>
        <v/>
      </c>
      <c r="I248" s="11">
        <f>MAX(0,N248-M248)</f>
        <v/>
      </c>
      <c r="J248" s="11">
        <f>MAX(0,M248-N248)</f>
        <v/>
      </c>
      <c r="K248" s="11">
        <f>O248</f>
        <v/>
      </c>
      <c r="L248" s="11">
        <f>L247+IF(K248&gt;0,K248*Summary!$B$9,K248/Summary!$B$9)</f>
        <v/>
      </c>
      <c r="M248" s="11">
        <f>G248+H248</f>
        <v/>
      </c>
      <c r="N248" s="11">
        <f>Summary!$C$16*Summary!$B$8</f>
        <v/>
      </c>
      <c r="O248" s="11">
        <f>M248-N248</f>
        <v/>
      </c>
    </row>
    <row r="249">
      <c r="A249" s="9" t="n">
        <v>45302.29166666666</v>
      </c>
      <c r="B249" t="n">
        <v>1</v>
      </c>
      <c r="C249" t="n">
        <v>11</v>
      </c>
      <c r="D249" t="n">
        <v>7</v>
      </c>
      <c r="E249" s="10" t="n">
        <v>0</v>
      </c>
      <c r="F249" s="10" t="n">
        <v>0.5524171085801061</v>
      </c>
      <c r="G249" s="11">
        <f>E249*Summary!$B$6</f>
        <v/>
      </c>
      <c r="H249" s="11">
        <f>F249*Summary!$B$7</f>
        <v/>
      </c>
      <c r="I249" s="11">
        <f>MAX(0,N249-M249)</f>
        <v/>
      </c>
      <c r="J249" s="11">
        <f>MAX(0,M249-N249)</f>
        <v/>
      </c>
      <c r="K249" s="11">
        <f>O249</f>
        <v/>
      </c>
      <c r="L249" s="11">
        <f>L248+IF(K249&gt;0,K249*Summary!$B$9,K249/Summary!$B$9)</f>
        <v/>
      </c>
      <c r="M249" s="11">
        <f>G249+H249</f>
        <v/>
      </c>
      <c r="N249" s="11">
        <f>Summary!$C$16*Summary!$B$8</f>
        <v/>
      </c>
      <c r="O249" s="11">
        <f>M249-N249</f>
        <v/>
      </c>
    </row>
    <row r="250">
      <c r="A250" s="9" t="n">
        <v>45302.33333333334</v>
      </c>
      <c r="B250" t="n">
        <v>1</v>
      </c>
      <c r="C250" t="n">
        <v>11</v>
      </c>
      <c r="D250" t="n">
        <v>8</v>
      </c>
      <c r="E250" s="10" t="n">
        <v>0</v>
      </c>
      <c r="F250" s="10" t="n">
        <v>0.5536293008710321</v>
      </c>
      <c r="G250" s="11">
        <f>E250*Summary!$B$6</f>
        <v/>
      </c>
      <c r="H250" s="11">
        <f>F250*Summary!$B$7</f>
        <v/>
      </c>
      <c r="I250" s="11">
        <f>MAX(0,N250-M250)</f>
        <v/>
      </c>
      <c r="J250" s="11">
        <f>MAX(0,M250-N250)</f>
        <v/>
      </c>
      <c r="K250" s="11">
        <f>O250</f>
        <v/>
      </c>
      <c r="L250" s="11">
        <f>L249+IF(K250&gt;0,K250*Summary!$B$9,K250/Summary!$B$9)</f>
        <v/>
      </c>
      <c r="M250" s="11">
        <f>G250+H250</f>
        <v/>
      </c>
      <c r="N250" s="11">
        <f>Summary!$C$16*Summary!$B$8</f>
        <v/>
      </c>
      <c r="O250" s="11">
        <f>M250-N250</f>
        <v/>
      </c>
    </row>
    <row r="251">
      <c r="A251" s="9" t="n">
        <v>45302.375</v>
      </c>
      <c r="B251" t="n">
        <v>1</v>
      </c>
      <c r="C251" t="n">
        <v>11</v>
      </c>
      <c r="D251" t="n">
        <v>9</v>
      </c>
      <c r="E251" s="10" t="n">
        <v>0.003171</v>
      </c>
      <c r="F251" s="10" t="n">
        <v>0.550994100238584</v>
      </c>
      <c r="G251" s="11">
        <f>E251*Summary!$B$6</f>
        <v/>
      </c>
      <c r="H251" s="11">
        <f>F251*Summary!$B$7</f>
        <v/>
      </c>
      <c r="I251" s="11">
        <f>MAX(0,N251-M251)</f>
        <v/>
      </c>
      <c r="J251" s="11">
        <f>MAX(0,M251-N251)</f>
        <v/>
      </c>
      <c r="K251" s="11">
        <f>O251</f>
        <v/>
      </c>
      <c r="L251" s="11">
        <f>L250+IF(K251&gt;0,K251*Summary!$B$9,K251/Summary!$B$9)</f>
        <v/>
      </c>
      <c r="M251" s="11">
        <f>G251+H251</f>
        <v/>
      </c>
      <c r="N251" s="11">
        <f>Summary!$C$16*Summary!$B$8</f>
        <v/>
      </c>
      <c r="O251" s="11">
        <f>M251-N251</f>
        <v/>
      </c>
    </row>
    <row r="252">
      <c r="A252" s="9" t="n">
        <v>45302.41666666666</v>
      </c>
      <c r="B252" t="n">
        <v>1</v>
      </c>
      <c r="C252" t="n">
        <v>11</v>
      </c>
      <c r="D252" t="n">
        <v>10</v>
      </c>
      <c r="E252" s="10" t="n">
        <v>0.02729</v>
      </c>
      <c r="F252" s="10" t="n">
        <v>0.5474365793847791</v>
      </c>
      <c r="G252" s="11">
        <f>E252*Summary!$B$6</f>
        <v/>
      </c>
      <c r="H252" s="11">
        <f>F252*Summary!$B$7</f>
        <v/>
      </c>
      <c r="I252" s="11">
        <f>MAX(0,N252-M252)</f>
        <v/>
      </c>
      <c r="J252" s="11">
        <f>MAX(0,M252-N252)</f>
        <v/>
      </c>
      <c r="K252" s="11">
        <f>O252</f>
        <v/>
      </c>
      <c r="L252" s="11">
        <f>L251+IF(K252&gt;0,K252*Summary!$B$9,K252/Summary!$B$9)</f>
        <v/>
      </c>
      <c r="M252" s="11">
        <f>G252+H252</f>
        <v/>
      </c>
      <c r="N252" s="11">
        <f>Summary!$C$16*Summary!$B$8</f>
        <v/>
      </c>
      <c r="O252" s="11">
        <f>M252-N252</f>
        <v/>
      </c>
    </row>
    <row r="253">
      <c r="A253" s="9" t="n">
        <v>45302.45833333334</v>
      </c>
      <c r="B253" t="n">
        <v>1</v>
      </c>
      <c r="C253" t="n">
        <v>11</v>
      </c>
      <c r="D253" t="n">
        <v>11</v>
      </c>
      <c r="E253" s="10" t="n">
        <v>0.015151</v>
      </c>
      <c r="F253" s="10" t="n">
        <v>0.5438790585309741</v>
      </c>
      <c r="G253" s="11">
        <f>E253*Summary!$B$6</f>
        <v/>
      </c>
      <c r="H253" s="11">
        <f>F253*Summary!$B$7</f>
        <v/>
      </c>
      <c r="I253" s="11">
        <f>MAX(0,N253-M253)</f>
        <v/>
      </c>
      <c r="J253" s="11">
        <f>MAX(0,M253-N253)</f>
        <v/>
      </c>
      <c r="K253" s="11">
        <f>O253</f>
        <v/>
      </c>
      <c r="L253" s="11">
        <f>L252+IF(K253&gt;0,K253*Summary!$B$9,K253/Summary!$B$9)</f>
        <v/>
      </c>
      <c r="M253" s="11">
        <f>G253+H253</f>
        <v/>
      </c>
      <c r="N253" s="11">
        <f>Summary!$C$16*Summary!$B$8</f>
        <v/>
      </c>
      <c r="O253" s="11">
        <f>M253-N253</f>
        <v/>
      </c>
    </row>
    <row r="254">
      <c r="A254" s="9" t="n">
        <v>45302.5</v>
      </c>
      <c r="B254" t="n">
        <v>1</v>
      </c>
      <c r="C254" t="n">
        <v>11</v>
      </c>
      <c r="D254" t="n">
        <v>12</v>
      </c>
      <c r="E254" s="10" t="n">
        <v>0.007041</v>
      </c>
      <c r="F254" s="10" t="n">
        <v>0.5283577268058544</v>
      </c>
      <c r="G254" s="11">
        <f>E254*Summary!$B$6</f>
        <v/>
      </c>
      <c r="H254" s="11">
        <f>F254*Summary!$B$7</f>
        <v/>
      </c>
      <c r="I254" s="11">
        <f>MAX(0,N254-M254)</f>
        <v/>
      </c>
      <c r="J254" s="11">
        <f>MAX(0,M254-N254)</f>
        <v/>
      </c>
      <c r="K254" s="11">
        <f>O254</f>
        <v/>
      </c>
      <c r="L254" s="11">
        <f>L253+IF(K254&gt;0,K254*Summary!$B$9,K254/Summary!$B$9)</f>
        <v/>
      </c>
      <c r="M254" s="11">
        <f>G254+H254</f>
        <v/>
      </c>
      <c r="N254" s="11">
        <f>Summary!$C$16*Summary!$B$8</f>
        <v/>
      </c>
      <c r="O254" s="11">
        <f>M254-N254</f>
        <v/>
      </c>
    </row>
    <row r="255">
      <c r="A255" s="9" t="n">
        <v>45302.54166666666</v>
      </c>
      <c r="B255" t="n">
        <v>1</v>
      </c>
      <c r="C255" t="n">
        <v>11</v>
      </c>
      <c r="D255" t="n">
        <v>13</v>
      </c>
      <c r="E255" s="10" t="n">
        <v>0.010163</v>
      </c>
      <c r="F255" s="10" t="n">
        <v>0.5214798531551648</v>
      </c>
      <c r="G255" s="11">
        <f>E255*Summary!$B$6</f>
        <v/>
      </c>
      <c r="H255" s="11">
        <f>F255*Summary!$B$7</f>
        <v/>
      </c>
      <c r="I255" s="11">
        <f>MAX(0,N255-M255)</f>
        <v/>
      </c>
      <c r="J255" s="11">
        <f>MAX(0,M255-N255)</f>
        <v/>
      </c>
      <c r="K255" s="11">
        <f>O255</f>
        <v/>
      </c>
      <c r="L255" s="11">
        <f>L254+IF(K255&gt;0,K255*Summary!$B$9,K255/Summary!$B$9)</f>
        <v/>
      </c>
      <c r="M255" s="11">
        <f>G255+H255</f>
        <v/>
      </c>
      <c r="N255" s="11">
        <f>Summary!$C$16*Summary!$B$8</f>
        <v/>
      </c>
      <c r="O255" s="11">
        <f>M255-N255</f>
        <v/>
      </c>
    </row>
    <row r="256">
      <c r="A256" s="9" t="n">
        <v>45302.58333333334</v>
      </c>
      <c r="B256" t="n">
        <v>1</v>
      </c>
      <c r="C256" t="n">
        <v>11</v>
      </c>
      <c r="D256" t="n">
        <v>14</v>
      </c>
      <c r="E256" s="10" t="n">
        <v>0.010742</v>
      </c>
      <c r="F256" s="10" t="n">
        <v>0.5187655965037432</v>
      </c>
      <c r="G256" s="11">
        <f>E256*Summary!$B$6</f>
        <v/>
      </c>
      <c r="H256" s="11">
        <f>F256*Summary!$B$7</f>
        <v/>
      </c>
      <c r="I256" s="11">
        <f>MAX(0,N256-M256)</f>
        <v/>
      </c>
      <c r="J256" s="11">
        <f>MAX(0,M256-N256)</f>
        <v/>
      </c>
      <c r="K256" s="11">
        <f>O256</f>
        <v/>
      </c>
      <c r="L256" s="11">
        <f>L255+IF(K256&gt;0,K256*Summary!$B$9,K256/Summary!$B$9)</f>
        <v/>
      </c>
      <c r="M256" s="11">
        <f>G256+H256</f>
        <v/>
      </c>
      <c r="N256" s="11">
        <f>Summary!$C$16*Summary!$B$8</f>
        <v/>
      </c>
      <c r="O256" s="11">
        <f>M256-N256</f>
        <v/>
      </c>
    </row>
    <row r="257">
      <c r="A257" s="9" t="n">
        <v>45302.625</v>
      </c>
      <c r="B257" t="n">
        <v>1</v>
      </c>
      <c r="C257" t="n">
        <v>11</v>
      </c>
      <c r="D257" t="n">
        <v>15</v>
      </c>
      <c r="E257" s="10" t="n">
        <v>0</v>
      </c>
      <c r="F257" s="10" t="n">
        <v>0.5164993239598378</v>
      </c>
      <c r="G257" s="11">
        <f>E257*Summary!$B$6</f>
        <v/>
      </c>
      <c r="H257" s="11">
        <f>F257*Summary!$B$7</f>
        <v/>
      </c>
      <c r="I257" s="11">
        <f>MAX(0,N257-M257)</f>
        <v/>
      </c>
      <c r="J257" s="11">
        <f>MAX(0,M257-N257)</f>
        <v/>
      </c>
      <c r="K257" s="11">
        <f>O257</f>
        <v/>
      </c>
      <c r="L257" s="11">
        <f>L256+IF(K257&gt;0,K257*Summary!$B$9,K257/Summary!$B$9)</f>
        <v/>
      </c>
      <c r="M257" s="11">
        <f>G257+H257</f>
        <v/>
      </c>
      <c r="N257" s="11">
        <f>Summary!$C$16*Summary!$B$8</f>
        <v/>
      </c>
      <c r="O257" s="11">
        <f>M257-N257</f>
        <v/>
      </c>
    </row>
    <row r="258">
      <c r="A258" s="9" t="n">
        <v>45302.66666666666</v>
      </c>
      <c r="B258" t="n">
        <v>1</v>
      </c>
      <c r="C258" t="n">
        <v>11</v>
      </c>
      <c r="D258" t="n">
        <v>16</v>
      </c>
      <c r="E258" s="10" t="n">
        <v>0</v>
      </c>
      <c r="F258" s="10" t="n">
        <v>0.509726858334446</v>
      </c>
      <c r="G258" s="11">
        <f>E258*Summary!$B$6</f>
        <v/>
      </c>
      <c r="H258" s="11">
        <f>F258*Summary!$B$7</f>
        <v/>
      </c>
      <c r="I258" s="11">
        <f>MAX(0,N258-M258)</f>
        <v/>
      </c>
      <c r="J258" s="11">
        <f>MAX(0,M258-N258)</f>
        <v/>
      </c>
      <c r="K258" s="11">
        <f>O258</f>
        <v/>
      </c>
      <c r="L258" s="11">
        <f>L257+IF(K258&gt;0,K258*Summary!$B$9,K258/Summary!$B$9)</f>
        <v/>
      </c>
      <c r="M258" s="11">
        <f>G258+H258</f>
        <v/>
      </c>
      <c r="N258" s="11">
        <f>Summary!$C$16*Summary!$B$8</f>
        <v/>
      </c>
      <c r="O258" s="11">
        <f>M258-N258</f>
        <v/>
      </c>
    </row>
    <row r="259">
      <c r="A259" s="9" t="n">
        <v>45302.70833333334</v>
      </c>
      <c r="B259" t="n">
        <v>1</v>
      </c>
      <c r="C259" t="n">
        <v>11</v>
      </c>
      <c r="D259" t="n">
        <v>17</v>
      </c>
      <c r="E259" s="10" t="n">
        <v>0</v>
      </c>
      <c r="F259" s="10" t="n">
        <v>0.5032442647786235</v>
      </c>
      <c r="G259" s="11">
        <f>E259*Summary!$B$6</f>
        <v/>
      </c>
      <c r="H259" s="11">
        <f>F259*Summary!$B$7</f>
        <v/>
      </c>
      <c r="I259" s="11">
        <f>MAX(0,N259-M259)</f>
        <v/>
      </c>
      <c r="J259" s="11">
        <f>MAX(0,M259-N259)</f>
        <v/>
      </c>
      <c r="K259" s="11">
        <f>O259</f>
        <v/>
      </c>
      <c r="L259" s="11">
        <f>L258+IF(K259&gt;0,K259*Summary!$B$9,K259/Summary!$B$9)</f>
        <v/>
      </c>
      <c r="M259" s="11">
        <f>G259+H259</f>
        <v/>
      </c>
      <c r="N259" s="11">
        <f>Summary!$C$16*Summary!$B$8</f>
        <v/>
      </c>
      <c r="O259" s="11">
        <f>M259-N259</f>
        <v/>
      </c>
    </row>
    <row r="260">
      <c r="A260" s="9" t="n">
        <v>45302.75</v>
      </c>
      <c r="B260" t="n">
        <v>1</v>
      </c>
      <c r="C260" t="n">
        <v>11</v>
      </c>
      <c r="D260" t="n">
        <v>18</v>
      </c>
      <c r="E260" s="10" t="n">
        <v>0</v>
      </c>
      <c r="F260" s="10" t="n">
        <v>0.4874067089776101</v>
      </c>
      <c r="G260" s="11">
        <f>E260*Summary!$B$6</f>
        <v/>
      </c>
      <c r="H260" s="11">
        <f>F260*Summary!$B$7</f>
        <v/>
      </c>
      <c r="I260" s="11">
        <f>MAX(0,N260-M260)</f>
        <v/>
      </c>
      <c r="J260" s="11">
        <f>MAX(0,M260-N260)</f>
        <v/>
      </c>
      <c r="K260" s="11">
        <f>O260</f>
        <v/>
      </c>
      <c r="L260" s="11">
        <f>L259+IF(K260&gt;0,K260*Summary!$B$9,K260/Summary!$B$9)</f>
        <v/>
      </c>
      <c r="M260" s="11">
        <f>G260+H260</f>
        <v/>
      </c>
      <c r="N260" s="11">
        <f>Summary!$C$16*Summary!$B$8</f>
        <v/>
      </c>
      <c r="O260" s="11">
        <f>M260-N260</f>
        <v/>
      </c>
    </row>
    <row r="261">
      <c r="A261" s="9" t="n">
        <v>45302.79166666666</v>
      </c>
      <c r="B261" t="n">
        <v>1</v>
      </c>
      <c r="C261" t="n">
        <v>11</v>
      </c>
      <c r="D261" t="n">
        <v>19</v>
      </c>
      <c r="E261" s="10" t="n">
        <v>0</v>
      </c>
      <c r="F261" s="10" t="n">
        <v>0.4581296299511112</v>
      </c>
      <c r="G261" s="11">
        <f>E261*Summary!$B$6</f>
        <v/>
      </c>
      <c r="H261" s="11">
        <f>F261*Summary!$B$7</f>
        <v/>
      </c>
      <c r="I261" s="11">
        <f>MAX(0,N261-M261)</f>
        <v/>
      </c>
      <c r="J261" s="11">
        <f>MAX(0,M261-N261)</f>
        <v/>
      </c>
      <c r="K261" s="11">
        <f>O261</f>
        <v/>
      </c>
      <c r="L261" s="11">
        <f>L260+IF(K261&gt;0,K261*Summary!$B$9,K261/Summary!$B$9)</f>
        <v/>
      </c>
      <c r="M261" s="11">
        <f>G261+H261</f>
        <v/>
      </c>
      <c r="N261" s="11">
        <f>Summary!$C$16*Summary!$B$8</f>
        <v/>
      </c>
      <c r="O261" s="11">
        <f>M261-N261</f>
        <v/>
      </c>
    </row>
    <row r="262">
      <c r="A262" s="9" t="n">
        <v>45302.83333333334</v>
      </c>
      <c r="B262" t="n">
        <v>1</v>
      </c>
      <c r="C262" t="n">
        <v>11</v>
      </c>
      <c r="D262" t="n">
        <v>20</v>
      </c>
      <c r="E262" s="10" t="n">
        <v>0</v>
      </c>
      <c r="F262" s="10" t="n">
        <v>0.4845870443008906</v>
      </c>
      <c r="G262" s="11">
        <f>E262*Summary!$B$6</f>
        <v/>
      </c>
      <c r="H262" s="11">
        <f>F262*Summary!$B$7</f>
        <v/>
      </c>
      <c r="I262" s="11">
        <f>MAX(0,N262-M262)</f>
        <v/>
      </c>
      <c r="J262" s="11">
        <f>MAX(0,M262-N262)</f>
        <v/>
      </c>
      <c r="K262" s="11">
        <f>O262</f>
        <v/>
      </c>
      <c r="L262" s="11">
        <f>L261+IF(K262&gt;0,K262*Summary!$B$9,K262/Summary!$B$9)</f>
        <v/>
      </c>
      <c r="M262" s="11">
        <f>G262+H262</f>
        <v/>
      </c>
      <c r="N262" s="11">
        <f>Summary!$C$16*Summary!$B$8</f>
        <v/>
      </c>
      <c r="O262" s="11">
        <f>M262-N262</f>
        <v/>
      </c>
    </row>
    <row r="263">
      <c r="A263" s="9" t="n">
        <v>45302.875</v>
      </c>
      <c r="B263" t="n">
        <v>1</v>
      </c>
      <c r="C263" t="n">
        <v>11</v>
      </c>
      <c r="D263" t="n">
        <v>21</v>
      </c>
      <c r="E263" s="10" t="n">
        <v>0</v>
      </c>
      <c r="F263" s="10" t="n">
        <v>0.4773665945679827</v>
      </c>
      <c r="G263" s="11">
        <f>E263*Summary!$B$6</f>
        <v/>
      </c>
      <c r="H263" s="11">
        <f>F263*Summary!$B$7</f>
        <v/>
      </c>
      <c r="I263" s="11">
        <f>MAX(0,N263-M263)</f>
        <v/>
      </c>
      <c r="J263" s="11">
        <f>MAX(0,M263-N263)</f>
        <v/>
      </c>
      <c r="K263" s="11">
        <f>O263</f>
        <v/>
      </c>
      <c r="L263" s="11">
        <f>L262+IF(K263&gt;0,K263*Summary!$B$9,K263/Summary!$B$9)</f>
        <v/>
      </c>
      <c r="M263" s="11">
        <f>G263+H263</f>
        <v/>
      </c>
      <c r="N263" s="11">
        <f>Summary!$C$16*Summary!$B$8</f>
        <v/>
      </c>
      <c r="O263" s="11">
        <f>M263-N263</f>
        <v/>
      </c>
    </row>
    <row r="264">
      <c r="A264" s="9" t="n">
        <v>45302.91666666666</v>
      </c>
      <c r="B264" t="n">
        <v>1</v>
      </c>
      <c r="C264" t="n">
        <v>11</v>
      </c>
      <c r="D264" t="n">
        <v>22</v>
      </c>
      <c r="E264" s="10" t="n">
        <v>0</v>
      </c>
      <c r="F264" s="10" t="n">
        <v>0.4694082886579893</v>
      </c>
      <c r="G264" s="11">
        <f>E264*Summary!$B$6</f>
        <v/>
      </c>
      <c r="H264" s="11">
        <f>F264*Summary!$B$7</f>
        <v/>
      </c>
      <c r="I264" s="11">
        <f>MAX(0,N264-M264)</f>
        <v/>
      </c>
      <c r="J264" s="11">
        <f>MAX(0,M264-N264)</f>
        <v/>
      </c>
      <c r="K264" s="11">
        <f>O264</f>
        <v/>
      </c>
      <c r="L264" s="11">
        <f>L263+IF(K264&gt;0,K264*Summary!$B$9,K264/Summary!$B$9)</f>
        <v/>
      </c>
      <c r="M264" s="11">
        <f>G264+H264</f>
        <v/>
      </c>
      <c r="N264" s="11">
        <f>Summary!$C$16*Summary!$B$8</f>
        <v/>
      </c>
      <c r="O264" s="11">
        <f>M264-N264</f>
        <v/>
      </c>
    </row>
    <row r="265">
      <c r="A265" s="9" t="n">
        <v>45302.95833333334</v>
      </c>
      <c r="B265" t="n">
        <v>1</v>
      </c>
      <c r="C265" t="n">
        <v>11</v>
      </c>
      <c r="D265" t="n">
        <v>23</v>
      </c>
      <c r="E265" s="10" t="n">
        <v>0</v>
      </c>
      <c r="F265" s="10" t="n">
        <v>0.4635581432539543</v>
      </c>
      <c r="G265" s="11">
        <f>E265*Summary!$B$6</f>
        <v/>
      </c>
      <c r="H265" s="11">
        <f>F265*Summary!$B$7</f>
        <v/>
      </c>
      <c r="I265" s="11">
        <f>MAX(0,N265-M265)</f>
        <v/>
      </c>
      <c r="J265" s="11">
        <f>MAX(0,M265-N265)</f>
        <v/>
      </c>
      <c r="K265" s="11">
        <f>O265</f>
        <v/>
      </c>
      <c r="L265" s="11">
        <f>L264+IF(K265&gt;0,K265*Summary!$B$9,K265/Summary!$B$9)</f>
        <v/>
      </c>
      <c r="M265" s="11">
        <f>G265+H265</f>
        <v/>
      </c>
      <c r="N265" s="11">
        <f>Summary!$C$16*Summary!$B$8</f>
        <v/>
      </c>
      <c r="O265" s="11">
        <f>M265-N265</f>
        <v/>
      </c>
    </row>
    <row r="266">
      <c r="A266" s="9" t="n">
        <v>45303</v>
      </c>
      <c r="B266" t="n">
        <v>1</v>
      </c>
      <c r="C266" t="n">
        <v>12</v>
      </c>
      <c r="D266" t="n">
        <v>0</v>
      </c>
      <c r="E266" s="10" t="n">
        <v>0</v>
      </c>
      <c r="F266" s="10" t="n">
        <v>0.3725910174218442</v>
      </c>
      <c r="G266" s="11">
        <f>E266*Summary!$B$6</f>
        <v/>
      </c>
      <c r="H266" s="11">
        <f>F266*Summary!$B$7</f>
        <v/>
      </c>
      <c r="I266" s="11">
        <f>MAX(0,N266-M266)</f>
        <v/>
      </c>
      <c r="J266" s="11">
        <f>MAX(0,M266-N266)</f>
        <v/>
      </c>
      <c r="K266" s="11">
        <f>O266</f>
        <v/>
      </c>
      <c r="L266" s="11">
        <f>L265+IF(K266&gt;0,K266*Summary!$B$9,K266/Summary!$B$9)</f>
        <v/>
      </c>
      <c r="M266" s="11">
        <f>G266+H266</f>
        <v/>
      </c>
      <c r="N266" s="11">
        <f>Summary!$C$16*Summary!$B$8</f>
        <v/>
      </c>
      <c r="O266" s="11">
        <f>M266-N266</f>
        <v/>
      </c>
    </row>
    <row r="267">
      <c r="A267" s="9" t="n">
        <v>45303.04166666666</v>
      </c>
      <c r="B267" t="n">
        <v>1</v>
      </c>
      <c r="C267" t="n">
        <v>12</v>
      </c>
      <c r="D267" t="n">
        <v>1</v>
      </c>
      <c r="E267" s="10" t="n">
        <v>0</v>
      </c>
      <c r="F267" s="10" t="n">
        <v>0.4561795814830996</v>
      </c>
      <c r="G267" s="11">
        <f>E267*Summary!$B$6</f>
        <v/>
      </c>
      <c r="H267" s="11">
        <f>F267*Summary!$B$7</f>
        <v/>
      </c>
      <c r="I267" s="11">
        <f>MAX(0,N267-M267)</f>
        <v/>
      </c>
      <c r="J267" s="11">
        <f>MAX(0,M267-N267)</f>
        <v/>
      </c>
      <c r="K267" s="11">
        <f>O267</f>
        <v/>
      </c>
      <c r="L267" s="11">
        <f>L266+IF(K267&gt;0,K267*Summary!$B$9,K267/Summary!$B$9)</f>
        <v/>
      </c>
      <c r="M267" s="11">
        <f>G267+H267</f>
        <v/>
      </c>
      <c r="N267" s="11">
        <f>Summary!$C$16*Summary!$B$8</f>
        <v/>
      </c>
      <c r="O267" s="11">
        <f>M267-N267</f>
        <v/>
      </c>
    </row>
    <row r="268">
      <c r="A268" s="9" t="n">
        <v>45303.08333333334</v>
      </c>
      <c r="B268" t="n">
        <v>1</v>
      </c>
      <c r="C268" t="n">
        <v>12</v>
      </c>
      <c r="D268" t="n">
        <v>2</v>
      </c>
      <c r="E268" s="10" t="n">
        <v>0</v>
      </c>
      <c r="F268" s="10" t="n">
        <v>0.4530173407241618</v>
      </c>
      <c r="G268" s="11">
        <f>E268*Summary!$B$6</f>
        <v/>
      </c>
      <c r="H268" s="11">
        <f>F268*Summary!$B$7</f>
        <v/>
      </c>
      <c r="I268" s="11">
        <f>MAX(0,N268-M268)</f>
        <v/>
      </c>
      <c r="J268" s="11">
        <f>MAX(0,M268-N268)</f>
        <v/>
      </c>
      <c r="K268" s="11">
        <f>O268</f>
        <v/>
      </c>
      <c r="L268" s="11">
        <f>L267+IF(K268&gt;0,K268*Summary!$B$9,K268/Summary!$B$9)</f>
        <v/>
      </c>
      <c r="M268" s="11">
        <f>G268+H268</f>
        <v/>
      </c>
      <c r="N268" s="11">
        <f>Summary!$C$16*Summary!$B$8</f>
        <v/>
      </c>
      <c r="O268" s="11">
        <f>M268-N268</f>
        <v/>
      </c>
    </row>
    <row r="269">
      <c r="A269" s="9" t="n">
        <v>45303.125</v>
      </c>
      <c r="B269" t="n">
        <v>1</v>
      </c>
      <c r="C269" t="n">
        <v>12</v>
      </c>
      <c r="D269" t="n">
        <v>3</v>
      </c>
      <c r="E269" s="10" t="n">
        <v>0</v>
      </c>
      <c r="F269" s="10" t="n">
        <v>0.4548619811668754</v>
      </c>
      <c r="G269" s="11">
        <f>E269*Summary!$B$6</f>
        <v/>
      </c>
      <c r="H269" s="11">
        <f>F269*Summary!$B$7</f>
        <v/>
      </c>
      <c r="I269" s="11">
        <f>MAX(0,N269-M269)</f>
        <v/>
      </c>
      <c r="J269" s="11">
        <f>MAX(0,M269-N269)</f>
        <v/>
      </c>
      <c r="K269" s="11">
        <f>O269</f>
        <v/>
      </c>
      <c r="L269" s="11">
        <f>L268+IF(K269&gt;0,K269*Summary!$B$9,K269/Summary!$B$9)</f>
        <v/>
      </c>
      <c r="M269" s="11">
        <f>G269+H269</f>
        <v/>
      </c>
      <c r="N269" s="11">
        <f>Summary!$C$16*Summary!$B$8</f>
        <v/>
      </c>
      <c r="O269" s="11">
        <f>M269-N269</f>
        <v/>
      </c>
    </row>
    <row r="270">
      <c r="A270" s="9" t="n">
        <v>45303.16666666666</v>
      </c>
      <c r="B270" t="n">
        <v>1</v>
      </c>
      <c r="C270" t="n">
        <v>12</v>
      </c>
      <c r="D270" t="n">
        <v>4</v>
      </c>
      <c r="E270" s="10" t="n">
        <v>0</v>
      </c>
      <c r="F270" s="10" t="n">
        <v>0.4528855806925394</v>
      </c>
      <c r="G270" s="11">
        <f>E270*Summary!$B$6</f>
        <v/>
      </c>
      <c r="H270" s="11">
        <f>F270*Summary!$B$7</f>
        <v/>
      </c>
      <c r="I270" s="11">
        <f>MAX(0,N270-M270)</f>
        <v/>
      </c>
      <c r="J270" s="11">
        <f>MAX(0,M270-N270)</f>
        <v/>
      </c>
      <c r="K270" s="11">
        <f>O270</f>
        <v/>
      </c>
      <c r="L270" s="11">
        <f>L269+IF(K270&gt;0,K270*Summary!$B$9,K270/Summary!$B$9)</f>
        <v/>
      </c>
      <c r="M270" s="11">
        <f>G270+H270</f>
        <v/>
      </c>
      <c r="N270" s="11">
        <f>Summary!$C$16*Summary!$B$8</f>
        <v/>
      </c>
      <c r="O270" s="11">
        <f>M270-N270</f>
        <v/>
      </c>
    </row>
    <row r="271">
      <c r="A271" s="9" t="n">
        <v>45303.20833333334</v>
      </c>
      <c r="B271" t="n">
        <v>1</v>
      </c>
      <c r="C271" t="n">
        <v>12</v>
      </c>
      <c r="D271" t="n">
        <v>5</v>
      </c>
      <c r="E271" s="10" t="n">
        <v>0</v>
      </c>
      <c r="F271" s="10" t="n">
        <v>0.4447164587319501</v>
      </c>
      <c r="G271" s="11">
        <f>E271*Summary!$B$6</f>
        <v/>
      </c>
      <c r="H271" s="11">
        <f>F271*Summary!$B$7</f>
        <v/>
      </c>
      <c r="I271" s="11">
        <f>MAX(0,N271-M271)</f>
        <v/>
      </c>
      <c r="J271" s="11">
        <f>MAX(0,M271-N271)</f>
        <v/>
      </c>
      <c r="K271" s="11">
        <f>O271</f>
        <v/>
      </c>
      <c r="L271" s="11">
        <f>L270+IF(K271&gt;0,K271*Summary!$B$9,K271/Summary!$B$9)</f>
        <v/>
      </c>
      <c r="M271" s="11">
        <f>G271+H271</f>
        <v/>
      </c>
      <c r="N271" s="11">
        <f>Summary!$C$16*Summary!$B$8</f>
        <v/>
      </c>
      <c r="O271" s="11">
        <f>M271-N271</f>
        <v/>
      </c>
    </row>
    <row r="272">
      <c r="A272" s="9" t="n">
        <v>45303.25</v>
      </c>
      <c r="B272" t="n">
        <v>1</v>
      </c>
      <c r="C272" t="n">
        <v>12</v>
      </c>
      <c r="D272" t="n">
        <v>6</v>
      </c>
      <c r="E272" s="10" t="n">
        <v>0</v>
      </c>
      <c r="F272" s="10" t="n">
        <v>0.4376277690306645</v>
      </c>
      <c r="G272" s="11">
        <f>E272*Summary!$B$6</f>
        <v/>
      </c>
      <c r="H272" s="11">
        <f>F272*Summary!$B$7</f>
        <v/>
      </c>
      <c r="I272" s="11">
        <f>MAX(0,N272-M272)</f>
        <v/>
      </c>
      <c r="J272" s="11">
        <f>MAX(0,M272-N272)</f>
        <v/>
      </c>
      <c r="K272" s="11">
        <f>O272</f>
        <v/>
      </c>
      <c r="L272" s="11">
        <f>L271+IF(K272&gt;0,K272*Summary!$B$9,K272/Summary!$B$9)</f>
        <v/>
      </c>
      <c r="M272" s="11">
        <f>G272+H272</f>
        <v/>
      </c>
      <c r="N272" s="11">
        <f>Summary!$C$16*Summary!$B$8</f>
        <v/>
      </c>
      <c r="O272" s="11">
        <f>M272-N272</f>
        <v/>
      </c>
    </row>
    <row r="273">
      <c r="A273" s="9" t="n">
        <v>45303.29166666666</v>
      </c>
      <c r="B273" t="n">
        <v>1</v>
      </c>
      <c r="C273" t="n">
        <v>12</v>
      </c>
      <c r="D273" t="n">
        <v>7</v>
      </c>
      <c r="E273" s="10" t="n">
        <v>0</v>
      </c>
      <c r="F273" s="10" t="n">
        <v>0.4350979764235143</v>
      </c>
      <c r="G273" s="11">
        <f>E273*Summary!$B$6</f>
        <v/>
      </c>
      <c r="H273" s="11">
        <f>F273*Summary!$B$7</f>
        <v/>
      </c>
      <c r="I273" s="11">
        <f>MAX(0,N273-M273)</f>
        <v/>
      </c>
      <c r="J273" s="11">
        <f>MAX(0,M273-N273)</f>
        <v/>
      </c>
      <c r="K273" s="11">
        <f>O273</f>
        <v/>
      </c>
      <c r="L273" s="11">
        <f>L272+IF(K273&gt;0,K273*Summary!$B$9,K273/Summary!$B$9)</f>
        <v/>
      </c>
      <c r="M273" s="11">
        <f>G273+H273</f>
        <v/>
      </c>
      <c r="N273" s="11">
        <f>Summary!$C$16*Summary!$B$8</f>
        <v/>
      </c>
      <c r="O273" s="11">
        <f>M273-N273</f>
        <v/>
      </c>
    </row>
    <row r="274">
      <c r="A274" s="9" t="n">
        <v>45303.33333333334</v>
      </c>
      <c r="B274" t="n">
        <v>1</v>
      </c>
      <c r="C274" t="n">
        <v>12</v>
      </c>
      <c r="D274" t="n">
        <v>8</v>
      </c>
      <c r="E274" s="10" t="n">
        <v>0</v>
      </c>
      <c r="F274" s="10" t="n">
        <v>0.430591783342028</v>
      </c>
      <c r="G274" s="11">
        <f>E274*Summary!$B$6</f>
        <v/>
      </c>
      <c r="H274" s="11">
        <f>F274*Summary!$B$7</f>
        <v/>
      </c>
      <c r="I274" s="11">
        <f>MAX(0,N274-M274)</f>
        <v/>
      </c>
      <c r="J274" s="11">
        <f>MAX(0,M274-N274)</f>
        <v/>
      </c>
      <c r="K274" s="11">
        <f>O274</f>
        <v/>
      </c>
      <c r="L274" s="11">
        <f>L273+IF(K274&gt;0,K274*Summary!$B$9,K274/Summary!$B$9)</f>
        <v/>
      </c>
      <c r="M274" s="11">
        <f>G274+H274</f>
        <v/>
      </c>
      <c r="N274" s="11">
        <f>Summary!$C$16*Summary!$B$8</f>
        <v/>
      </c>
      <c r="O274" s="11">
        <f>M274-N274</f>
        <v/>
      </c>
    </row>
    <row r="275">
      <c r="A275" s="9" t="n">
        <v>45303.375</v>
      </c>
      <c r="B275" t="n">
        <v>1</v>
      </c>
      <c r="C275" t="n">
        <v>12</v>
      </c>
      <c r="D275" t="n">
        <v>9</v>
      </c>
      <c r="E275" s="10" t="n">
        <v>0</v>
      </c>
      <c r="F275" s="10" t="n">
        <v>0.4274822465957392</v>
      </c>
      <c r="G275" s="11">
        <f>E275*Summary!$B$6</f>
        <v/>
      </c>
      <c r="H275" s="11">
        <f>F275*Summary!$B$7</f>
        <v/>
      </c>
      <c r="I275" s="11">
        <f>MAX(0,N275-M275)</f>
        <v/>
      </c>
      <c r="J275" s="11">
        <f>MAX(0,M275-N275)</f>
        <v/>
      </c>
      <c r="K275" s="11">
        <f>O275</f>
        <v/>
      </c>
      <c r="L275" s="11">
        <f>L274+IF(K275&gt;0,K275*Summary!$B$9,K275/Summary!$B$9)</f>
        <v/>
      </c>
      <c r="M275" s="11">
        <f>G275+H275</f>
        <v/>
      </c>
      <c r="N275" s="11">
        <f>Summary!$C$16*Summary!$B$8</f>
        <v/>
      </c>
      <c r="O275" s="11">
        <f>M275-N275</f>
        <v/>
      </c>
    </row>
    <row r="276">
      <c r="A276" s="9" t="n">
        <v>45303.41666666666</v>
      </c>
      <c r="B276" t="n">
        <v>1</v>
      </c>
      <c r="C276" t="n">
        <v>12</v>
      </c>
      <c r="D276" t="n">
        <v>10</v>
      </c>
      <c r="E276" s="10" t="n">
        <v>0.012879</v>
      </c>
      <c r="F276" s="10" t="n">
        <v>0.4203145008754802</v>
      </c>
      <c r="G276" s="11">
        <f>E276*Summary!$B$6</f>
        <v/>
      </c>
      <c r="H276" s="11">
        <f>F276*Summary!$B$7</f>
        <v/>
      </c>
      <c r="I276" s="11">
        <f>MAX(0,N276-M276)</f>
        <v/>
      </c>
      <c r="J276" s="11">
        <f>MAX(0,M276-N276)</f>
        <v/>
      </c>
      <c r="K276" s="11">
        <f>O276</f>
        <v/>
      </c>
      <c r="L276" s="11">
        <f>L275+IF(K276&gt;0,K276*Summary!$B$9,K276/Summary!$B$9)</f>
        <v/>
      </c>
      <c r="M276" s="11">
        <f>G276+H276</f>
        <v/>
      </c>
      <c r="N276" s="11">
        <f>Summary!$C$16*Summary!$B$8</f>
        <v/>
      </c>
      <c r="O276" s="11">
        <f>M276-N276</f>
        <v/>
      </c>
    </row>
    <row r="277">
      <c r="A277" s="9" t="n">
        <v>45303.45833333334</v>
      </c>
      <c r="B277" t="n">
        <v>1</v>
      </c>
      <c r="C277" t="n">
        <v>12</v>
      </c>
      <c r="D277" t="n">
        <v>11</v>
      </c>
      <c r="E277" s="10" t="n">
        <v>0.004755</v>
      </c>
      <c r="F277" s="10" t="n">
        <v>0.4097209943330386</v>
      </c>
      <c r="G277" s="11">
        <f>E277*Summary!$B$6</f>
        <v/>
      </c>
      <c r="H277" s="11">
        <f>F277*Summary!$B$7</f>
        <v/>
      </c>
      <c r="I277" s="11">
        <f>MAX(0,N277-M277)</f>
        <v/>
      </c>
      <c r="J277" s="11">
        <f>MAX(0,M277-N277)</f>
        <v/>
      </c>
      <c r="K277" s="11">
        <f>O277</f>
        <v/>
      </c>
      <c r="L277" s="11">
        <f>L276+IF(K277&gt;0,K277*Summary!$B$9,K277/Summary!$B$9)</f>
        <v/>
      </c>
      <c r="M277" s="11">
        <f>G277+H277</f>
        <v/>
      </c>
      <c r="N277" s="11">
        <f>Summary!$C$16*Summary!$B$8</f>
        <v/>
      </c>
      <c r="O277" s="11">
        <f>M277-N277</f>
        <v/>
      </c>
    </row>
    <row r="278">
      <c r="A278" s="9" t="n">
        <v>45303.5</v>
      </c>
      <c r="B278" t="n">
        <v>1</v>
      </c>
      <c r="C278" t="n">
        <v>12</v>
      </c>
      <c r="D278" t="n">
        <v>12</v>
      </c>
      <c r="E278" s="10" t="n">
        <v>0.006253</v>
      </c>
      <c r="F278" s="10" t="n">
        <v>0.4008403682016884</v>
      </c>
      <c r="G278" s="11">
        <f>E278*Summary!$B$6</f>
        <v/>
      </c>
      <c r="H278" s="11">
        <f>F278*Summary!$B$7</f>
        <v/>
      </c>
      <c r="I278" s="11">
        <f>MAX(0,N278-M278)</f>
        <v/>
      </c>
      <c r="J278" s="11">
        <f>MAX(0,M278-N278)</f>
        <v/>
      </c>
      <c r="K278" s="11">
        <f>O278</f>
        <v/>
      </c>
      <c r="L278" s="11">
        <f>L277+IF(K278&gt;0,K278*Summary!$B$9,K278/Summary!$B$9)</f>
        <v/>
      </c>
      <c r="M278" s="11">
        <f>G278+H278</f>
        <v/>
      </c>
      <c r="N278" s="11">
        <f>Summary!$C$16*Summary!$B$8</f>
        <v/>
      </c>
      <c r="O278" s="11">
        <f>M278-N278</f>
        <v/>
      </c>
    </row>
    <row r="279">
      <c r="A279" s="9" t="n">
        <v>45303.54166666666</v>
      </c>
      <c r="B279" t="n">
        <v>1</v>
      </c>
      <c r="C279" t="n">
        <v>12</v>
      </c>
      <c r="D279" t="n">
        <v>13</v>
      </c>
      <c r="E279" s="10" t="n">
        <v>0.006206</v>
      </c>
      <c r="F279" s="10" t="n">
        <v>0.3880859971406393</v>
      </c>
      <c r="G279" s="11">
        <f>E279*Summary!$B$6</f>
        <v/>
      </c>
      <c r="H279" s="11">
        <f>F279*Summary!$B$7</f>
        <v/>
      </c>
      <c r="I279" s="11">
        <f>MAX(0,N279-M279)</f>
        <v/>
      </c>
      <c r="J279" s="11">
        <f>MAX(0,M279-N279)</f>
        <v/>
      </c>
      <c r="K279" s="11">
        <f>O279</f>
        <v/>
      </c>
      <c r="L279" s="11">
        <f>L278+IF(K279&gt;0,K279*Summary!$B$9,K279/Summary!$B$9)</f>
        <v/>
      </c>
      <c r="M279" s="11">
        <f>G279+H279</f>
        <v/>
      </c>
      <c r="N279" s="11">
        <f>Summary!$C$16*Summary!$B$8</f>
        <v/>
      </c>
      <c r="O279" s="11">
        <f>M279-N279</f>
        <v/>
      </c>
    </row>
    <row r="280">
      <c r="A280" s="9" t="n">
        <v>45303.58333333334</v>
      </c>
      <c r="B280" t="n">
        <v>1</v>
      </c>
      <c r="C280" t="n">
        <v>12</v>
      </c>
      <c r="D280" t="n">
        <v>14</v>
      </c>
      <c r="E280" s="10" t="n">
        <v>0.003855</v>
      </c>
      <c r="F280" s="10" t="n">
        <v>0.3740930817823396</v>
      </c>
      <c r="G280" s="11">
        <f>E280*Summary!$B$6</f>
        <v/>
      </c>
      <c r="H280" s="11">
        <f>F280*Summary!$B$7</f>
        <v/>
      </c>
      <c r="I280" s="11">
        <f>MAX(0,N280-M280)</f>
        <v/>
      </c>
      <c r="J280" s="11">
        <f>MAX(0,M280-N280)</f>
        <v/>
      </c>
      <c r="K280" s="11">
        <f>O280</f>
        <v/>
      </c>
      <c r="L280" s="11">
        <f>L279+IF(K280&gt;0,K280*Summary!$B$9,K280/Summary!$B$9)</f>
        <v/>
      </c>
      <c r="M280" s="11">
        <f>G280+H280</f>
        <v/>
      </c>
      <c r="N280" s="11">
        <f>Summary!$C$16*Summary!$B$8</f>
        <v/>
      </c>
      <c r="O280" s="11">
        <f>M280-N280</f>
        <v/>
      </c>
    </row>
    <row r="281">
      <c r="A281" s="9" t="n">
        <v>45303.625</v>
      </c>
      <c r="B281" t="n">
        <v>1</v>
      </c>
      <c r="C281" t="n">
        <v>12</v>
      </c>
      <c r="D281" t="n">
        <v>15</v>
      </c>
      <c r="E281" s="10" t="n">
        <v>0</v>
      </c>
      <c r="F281" s="10" t="n">
        <v>0.3645536554928773</v>
      </c>
      <c r="G281" s="11">
        <f>E281*Summary!$B$6</f>
        <v/>
      </c>
      <c r="H281" s="11">
        <f>F281*Summary!$B$7</f>
        <v/>
      </c>
      <c r="I281" s="11">
        <f>MAX(0,N281-M281)</f>
        <v/>
      </c>
      <c r="J281" s="11">
        <f>MAX(0,M281-N281)</f>
        <v/>
      </c>
      <c r="K281" s="11">
        <f>O281</f>
        <v/>
      </c>
      <c r="L281" s="11">
        <f>L280+IF(K281&gt;0,K281*Summary!$B$9,K281/Summary!$B$9)</f>
        <v/>
      </c>
      <c r="M281" s="11">
        <f>G281+H281</f>
        <v/>
      </c>
      <c r="N281" s="11">
        <f>Summary!$C$16*Summary!$B$8</f>
        <v/>
      </c>
      <c r="O281" s="11">
        <f>M281-N281</f>
        <v/>
      </c>
    </row>
    <row r="282">
      <c r="A282" s="9" t="n">
        <v>45303.66666666666</v>
      </c>
      <c r="B282" t="n">
        <v>1</v>
      </c>
      <c r="C282" t="n">
        <v>12</v>
      </c>
      <c r="D282" t="n">
        <v>16</v>
      </c>
      <c r="E282" s="10" t="n">
        <v>0</v>
      </c>
      <c r="F282" s="10" t="n">
        <v>0.3604427425062582</v>
      </c>
      <c r="G282" s="11">
        <f>E282*Summary!$B$6</f>
        <v/>
      </c>
      <c r="H282" s="11">
        <f>F282*Summary!$B$7</f>
        <v/>
      </c>
      <c r="I282" s="11">
        <f>MAX(0,N282-M282)</f>
        <v/>
      </c>
      <c r="J282" s="11">
        <f>MAX(0,M282-N282)</f>
        <v/>
      </c>
      <c r="K282" s="11">
        <f>O282</f>
        <v/>
      </c>
      <c r="L282" s="11">
        <f>L281+IF(K282&gt;0,K282*Summary!$B$9,K282/Summary!$B$9)</f>
        <v/>
      </c>
      <c r="M282" s="11">
        <f>G282+H282</f>
        <v/>
      </c>
      <c r="N282" s="11">
        <f>Summary!$C$16*Summary!$B$8</f>
        <v/>
      </c>
      <c r="O282" s="11">
        <f>M282-N282</f>
        <v/>
      </c>
    </row>
    <row r="283">
      <c r="A283" s="9" t="n">
        <v>45303.70833333334</v>
      </c>
      <c r="B283" t="n">
        <v>1</v>
      </c>
      <c r="C283" t="n">
        <v>12</v>
      </c>
      <c r="D283" t="n">
        <v>17</v>
      </c>
      <c r="E283" s="10" t="n">
        <v>0</v>
      </c>
      <c r="F283" s="10" t="n">
        <v>0.3815243475658434</v>
      </c>
      <c r="G283" s="11">
        <f>E283*Summary!$B$6</f>
        <v/>
      </c>
      <c r="H283" s="11">
        <f>F283*Summary!$B$7</f>
        <v/>
      </c>
      <c r="I283" s="11">
        <f>MAX(0,N283-M283)</f>
        <v/>
      </c>
      <c r="J283" s="11">
        <f>MAX(0,M283-N283)</f>
        <v/>
      </c>
      <c r="K283" s="11">
        <f>O283</f>
        <v/>
      </c>
      <c r="L283" s="11">
        <f>L282+IF(K283&gt;0,K283*Summary!$B$9,K283/Summary!$B$9)</f>
        <v/>
      </c>
      <c r="M283" s="11">
        <f>G283+H283</f>
        <v/>
      </c>
      <c r="N283" s="11">
        <f>Summary!$C$16*Summary!$B$8</f>
        <v/>
      </c>
      <c r="O283" s="11">
        <f>M283-N283</f>
        <v/>
      </c>
    </row>
    <row r="284">
      <c r="A284" s="9" t="n">
        <v>45303.75</v>
      </c>
      <c r="B284" t="n">
        <v>1</v>
      </c>
      <c r="C284" t="n">
        <v>12</v>
      </c>
      <c r="D284" t="n">
        <v>18</v>
      </c>
      <c r="E284" s="10" t="n">
        <v>0</v>
      </c>
      <c r="F284" s="10" t="n">
        <v>0.3470559232934216</v>
      </c>
      <c r="G284" s="11">
        <f>E284*Summary!$B$6</f>
        <v/>
      </c>
      <c r="H284" s="11">
        <f>F284*Summary!$B$7</f>
        <v/>
      </c>
      <c r="I284" s="11">
        <f>MAX(0,N284-M284)</f>
        <v/>
      </c>
      <c r="J284" s="11">
        <f>MAX(0,M284-N284)</f>
        <v/>
      </c>
      <c r="K284" s="11">
        <f>O284</f>
        <v/>
      </c>
      <c r="L284" s="11">
        <f>L283+IF(K284&gt;0,K284*Summary!$B$9,K284/Summary!$B$9)</f>
        <v/>
      </c>
      <c r="M284" s="11">
        <f>G284+H284</f>
        <v/>
      </c>
      <c r="N284" s="11">
        <f>Summary!$C$16*Summary!$B$8</f>
        <v/>
      </c>
      <c r="O284" s="11">
        <f>M284-N284</f>
        <v/>
      </c>
    </row>
    <row r="285">
      <c r="A285" s="9" t="n">
        <v>45303.79166666666</v>
      </c>
      <c r="B285" t="n">
        <v>1</v>
      </c>
      <c r="C285" t="n">
        <v>12</v>
      </c>
      <c r="D285" t="n">
        <v>19</v>
      </c>
      <c r="E285" s="10" t="n">
        <v>0</v>
      </c>
      <c r="F285" s="10" t="n">
        <v>0.3408104977945195</v>
      </c>
      <c r="G285" s="11">
        <f>E285*Summary!$B$6</f>
        <v/>
      </c>
      <c r="H285" s="11">
        <f>F285*Summary!$B$7</f>
        <v/>
      </c>
      <c r="I285" s="11">
        <f>MAX(0,N285-M285)</f>
        <v/>
      </c>
      <c r="J285" s="11">
        <f>MAX(0,M285-N285)</f>
        <v/>
      </c>
      <c r="K285" s="11">
        <f>O285</f>
        <v/>
      </c>
      <c r="L285" s="11">
        <f>L284+IF(K285&gt;0,K285*Summary!$B$9,K285/Summary!$B$9)</f>
        <v/>
      </c>
      <c r="M285" s="11">
        <f>G285+H285</f>
        <v/>
      </c>
      <c r="N285" s="11">
        <f>Summary!$C$16*Summary!$B$8</f>
        <v/>
      </c>
      <c r="O285" s="11">
        <f>M285-N285</f>
        <v/>
      </c>
    </row>
    <row r="286">
      <c r="A286" s="9" t="n">
        <v>45303.83333333334</v>
      </c>
      <c r="B286" t="n">
        <v>1</v>
      </c>
      <c r="C286" t="n">
        <v>12</v>
      </c>
      <c r="D286" t="n">
        <v>20</v>
      </c>
      <c r="E286" s="10" t="n">
        <v>0</v>
      </c>
      <c r="F286" s="10" t="n">
        <v>0.3353029284727028</v>
      </c>
      <c r="G286" s="11">
        <f>E286*Summary!$B$6</f>
        <v/>
      </c>
      <c r="H286" s="11">
        <f>F286*Summary!$B$7</f>
        <v/>
      </c>
      <c r="I286" s="11">
        <f>MAX(0,N286-M286)</f>
        <v/>
      </c>
      <c r="J286" s="11">
        <f>MAX(0,M286-N286)</f>
        <v/>
      </c>
      <c r="K286" s="11">
        <f>O286</f>
        <v/>
      </c>
      <c r="L286" s="11">
        <f>L285+IF(K286&gt;0,K286*Summary!$B$9,K286/Summary!$B$9)</f>
        <v/>
      </c>
      <c r="M286" s="11">
        <f>G286+H286</f>
        <v/>
      </c>
      <c r="N286" s="11">
        <f>Summary!$C$16*Summary!$B$8</f>
        <v/>
      </c>
      <c r="O286" s="11">
        <f>M286-N286</f>
        <v/>
      </c>
    </row>
    <row r="287">
      <c r="A287" s="9" t="n">
        <v>45303.875</v>
      </c>
      <c r="B287" t="n">
        <v>1</v>
      </c>
      <c r="C287" t="n">
        <v>12</v>
      </c>
      <c r="D287" t="n">
        <v>21</v>
      </c>
      <c r="E287" s="10" t="n">
        <v>0</v>
      </c>
      <c r="F287" s="10" t="n">
        <v>0.334380608251346</v>
      </c>
      <c r="G287" s="11">
        <f>E287*Summary!$B$6</f>
        <v/>
      </c>
      <c r="H287" s="11">
        <f>F287*Summary!$B$7</f>
        <v/>
      </c>
      <c r="I287" s="11">
        <f>MAX(0,N287-M287)</f>
        <v/>
      </c>
      <c r="J287" s="11">
        <f>MAX(0,M287-N287)</f>
        <v/>
      </c>
      <c r="K287" s="11">
        <f>O287</f>
        <v/>
      </c>
      <c r="L287" s="11">
        <f>L286+IF(K287&gt;0,K287*Summary!$B$9,K287/Summary!$B$9)</f>
        <v/>
      </c>
      <c r="M287" s="11">
        <f>G287+H287</f>
        <v/>
      </c>
      <c r="N287" s="11">
        <f>Summary!$C$16*Summary!$B$8</f>
        <v/>
      </c>
      <c r="O287" s="11">
        <f>M287-N287</f>
        <v/>
      </c>
    </row>
    <row r="288">
      <c r="A288" s="9" t="n">
        <v>45303.91666666666</v>
      </c>
      <c r="B288" t="n">
        <v>1</v>
      </c>
      <c r="C288" t="n">
        <v>12</v>
      </c>
      <c r="D288" t="n">
        <v>22</v>
      </c>
      <c r="E288" s="10" t="n">
        <v>0</v>
      </c>
      <c r="F288" s="10" t="n">
        <v>0.3378327210798531</v>
      </c>
      <c r="G288" s="11">
        <f>E288*Summary!$B$6</f>
        <v/>
      </c>
      <c r="H288" s="11">
        <f>F288*Summary!$B$7</f>
        <v/>
      </c>
      <c r="I288" s="11">
        <f>MAX(0,N288-M288)</f>
        <v/>
      </c>
      <c r="J288" s="11">
        <f>MAX(0,M288-N288)</f>
        <v/>
      </c>
      <c r="K288" s="11">
        <f>O288</f>
        <v/>
      </c>
      <c r="L288" s="11">
        <f>L287+IF(K288&gt;0,K288*Summary!$B$9,K288/Summary!$B$9)</f>
        <v/>
      </c>
      <c r="M288" s="11">
        <f>G288+H288</f>
        <v/>
      </c>
      <c r="N288" s="11">
        <f>Summary!$C$16*Summary!$B$8</f>
        <v/>
      </c>
      <c r="O288" s="11">
        <f>M288-N288</f>
        <v/>
      </c>
    </row>
    <row r="289">
      <c r="A289" s="9" t="n">
        <v>45303.95833333334</v>
      </c>
      <c r="B289" t="n">
        <v>1</v>
      </c>
      <c r="C289" t="n">
        <v>12</v>
      </c>
      <c r="D289" t="n">
        <v>23</v>
      </c>
      <c r="E289" s="10" t="n">
        <v>0</v>
      </c>
      <c r="F289" s="10" t="n">
        <v>0.350797908191498</v>
      </c>
      <c r="G289" s="11">
        <f>E289*Summary!$B$6</f>
        <v/>
      </c>
      <c r="H289" s="11">
        <f>F289*Summary!$B$7</f>
        <v/>
      </c>
      <c r="I289" s="11">
        <f>MAX(0,N289-M289)</f>
        <v/>
      </c>
      <c r="J289" s="11">
        <f>MAX(0,M289-N289)</f>
        <v/>
      </c>
      <c r="K289" s="11">
        <f>O289</f>
        <v/>
      </c>
      <c r="L289" s="11">
        <f>L288+IF(K289&gt;0,K289*Summary!$B$9,K289/Summary!$B$9)</f>
        <v/>
      </c>
      <c r="M289" s="11">
        <f>G289+H289</f>
        <v/>
      </c>
      <c r="N289" s="11">
        <f>Summary!$C$16*Summary!$B$8</f>
        <v/>
      </c>
      <c r="O289" s="11">
        <f>M289-N289</f>
        <v/>
      </c>
    </row>
    <row r="290">
      <c r="A290" s="9" t="n">
        <v>45304</v>
      </c>
      <c r="B290" t="n">
        <v>1</v>
      </c>
      <c r="C290" t="n">
        <v>13</v>
      </c>
      <c r="D290" t="n">
        <v>0</v>
      </c>
      <c r="E290" s="10" t="n">
        <v>0</v>
      </c>
      <c r="F290" s="10" t="n">
        <v>0.5114133867392128</v>
      </c>
      <c r="G290" s="11">
        <f>E290*Summary!$B$6</f>
        <v/>
      </c>
      <c r="H290" s="11">
        <f>F290*Summary!$B$7</f>
        <v/>
      </c>
      <c r="I290" s="11">
        <f>MAX(0,N290-M290)</f>
        <v/>
      </c>
      <c r="J290" s="11">
        <f>MAX(0,M290-N290)</f>
        <v/>
      </c>
      <c r="K290" s="11">
        <f>O290</f>
        <v/>
      </c>
      <c r="L290" s="11">
        <f>L289+IF(K290&gt;0,K290*Summary!$B$9,K290/Summary!$B$9)</f>
        <v/>
      </c>
      <c r="M290" s="11">
        <f>G290+H290</f>
        <v/>
      </c>
      <c r="N290" s="11">
        <f>Summary!$C$16*Summary!$B$8</f>
        <v/>
      </c>
      <c r="O290" s="11">
        <f>M290-N290</f>
        <v/>
      </c>
    </row>
    <row r="291">
      <c r="A291" s="9" t="n">
        <v>45304.04166666666</v>
      </c>
      <c r="B291" t="n">
        <v>1</v>
      </c>
      <c r="C291" t="n">
        <v>13</v>
      </c>
      <c r="D291" t="n">
        <v>1</v>
      </c>
      <c r="E291" s="10" t="n">
        <v>0</v>
      </c>
      <c r="F291" s="10" t="n">
        <v>0.3933036943928866</v>
      </c>
      <c r="G291" s="11">
        <f>E291*Summary!$B$6</f>
        <v/>
      </c>
      <c r="H291" s="11">
        <f>F291*Summary!$B$7</f>
        <v/>
      </c>
      <c r="I291" s="11">
        <f>MAX(0,N291-M291)</f>
        <v/>
      </c>
      <c r="J291" s="11">
        <f>MAX(0,M291-N291)</f>
        <v/>
      </c>
      <c r="K291" s="11">
        <f>O291</f>
        <v/>
      </c>
      <c r="L291" s="11">
        <f>L290+IF(K291&gt;0,K291*Summary!$B$9,K291/Summary!$B$9)</f>
        <v/>
      </c>
      <c r="M291" s="11">
        <f>G291+H291</f>
        <v/>
      </c>
      <c r="N291" s="11">
        <f>Summary!$C$16*Summary!$B$8</f>
        <v/>
      </c>
      <c r="O291" s="11">
        <f>M291-N291</f>
        <v/>
      </c>
    </row>
    <row r="292">
      <c r="A292" s="9" t="n">
        <v>45304.08333333334</v>
      </c>
      <c r="B292" t="n">
        <v>1</v>
      </c>
      <c r="C292" t="n">
        <v>13</v>
      </c>
      <c r="D292" t="n">
        <v>2</v>
      </c>
      <c r="E292" s="10" t="n">
        <v>0</v>
      </c>
      <c r="F292" s="10" t="n">
        <v>0.4169941480785955</v>
      </c>
      <c r="G292" s="11">
        <f>E292*Summary!$B$6</f>
        <v/>
      </c>
      <c r="H292" s="11">
        <f>F292*Summary!$B$7</f>
        <v/>
      </c>
      <c r="I292" s="11">
        <f>MAX(0,N292-M292)</f>
        <v/>
      </c>
      <c r="J292" s="11">
        <f>MAX(0,M292-N292)</f>
        <v/>
      </c>
      <c r="K292" s="11">
        <f>O292</f>
        <v/>
      </c>
      <c r="L292" s="11">
        <f>L291+IF(K292&gt;0,K292*Summary!$B$9,K292/Summary!$B$9)</f>
        <v/>
      </c>
      <c r="M292" s="11">
        <f>G292+H292</f>
        <v/>
      </c>
      <c r="N292" s="11">
        <f>Summary!$C$16*Summary!$B$8</f>
        <v/>
      </c>
      <c r="O292" s="11">
        <f>M292-N292</f>
        <v/>
      </c>
    </row>
    <row r="293">
      <c r="A293" s="9" t="n">
        <v>45304.125</v>
      </c>
      <c r="B293" t="n">
        <v>1</v>
      </c>
      <c r="C293" t="n">
        <v>13</v>
      </c>
      <c r="D293" t="n">
        <v>3</v>
      </c>
      <c r="E293" s="10" t="n">
        <v>0</v>
      </c>
      <c r="F293" s="10" t="n">
        <v>0.4334905040377209</v>
      </c>
      <c r="G293" s="11">
        <f>E293*Summary!$B$6</f>
        <v/>
      </c>
      <c r="H293" s="11">
        <f>F293*Summary!$B$7</f>
        <v/>
      </c>
      <c r="I293" s="11">
        <f>MAX(0,N293-M293)</f>
        <v/>
      </c>
      <c r="J293" s="11">
        <f>MAX(0,M293-N293)</f>
        <v/>
      </c>
      <c r="K293" s="11">
        <f>O293</f>
        <v/>
      </c>
      <c r="L293" s="11">
        <f>L292+IF(K293&gt;0,K293*Summary!$B$9,K293/Summary!$B$9)</f>
        <v/>
      </c>
      <c r="M293" s="11">
        <f>G293+H293</f>
        <v/>
      </c>
      <c r="N293" s="11">
        <f>Summary!$C$16*Summary!$B$8</f>
        <v/>
      </c>
      <c r="O293" s="11">
        <f>M293-N293</f>
        <v/>
      </c>
    </row>
    <row r="294">
      <c r="A294" s="9" t="n">
        <v>45304.16666666666</v>
      </c>
      <c r="B294" t="n">
        <v>1</v>
      </c>
      <c r="C294" t="n">
        <v>13</v>
      </c>
      <c r="D294" t="n">
        <v>4</v>
      </c>
      <c r="E294" s="10" t="n">
        <v>0</v>
      </c>
      <c r="F294" s="10" t="n">
        <v>0.4489327797438671</v>
      </c>
      <c r="G294" s="11">
        <f>E294*Summary!$B$6</f>
        <v/>
      </c>
      <c r="H294" s="11">
        <f>F294*Summary!$B$7</f>
        <v/>
      </c>
      <c r="I294" s="11">
        <f>MAX(0,N294-M294)</f>
        <v/>
      </c>
      <c r="J294" s="11">
        <f>MAX(0,M294-N294)</f>
        <v/>
      </c>
      <c r="K294" s="11">
        <f>O294</f>
        <v/>
      </c>
      <c r="L294" s="11">
        <f>L293+IF(K294&gt;0,K294*Summary!$B$9,K294/Summary!$B$9)</f>
        <v/>
      </c>
      <c r="M294" s="11">
        <f>G294+H294</f>
        <v/>
      </c>
      <c r="N294" s="11">
        <f>Summary!$C$16*Summary!$B$8</f>
        <v/>
      </c>
      <c r="O294" s="11">
        <f>M294-N294</f>
        <v/>
      </c>
    </row>
    <row r="295">
      <c r="A295" s="9" t="n">
        <v>45304.20833333334</v>
      </c>
      <c r="B295" t="n">
        <v>1</v>
      </c>
      <c r="C295" t="n">
        <v>13</v>
      </c>
      <c r="D295" t="n">
        <v>5</v>
      </c>
      <c r="E295" s="10" t="n">
        <v>0</v>
      </c>
      <c r="F295" s="10" t="n">
        <v>0.4536761408822738</v>
      </c>
      <c r="G295" s="11">
        <f>E295*Summary!$B$6</f>
        <v/>
      </c>
      <c r="H295" s="11">
        <f>F295*Summary!$B$7</f>
        <v/>
      </c>
      <c r="I295" s="11">
        <f>MAX(0,N295-M295)</f>
        <v/>
      </c>
      <c r="J295" s="11">
        <f>MAX(0,M295-N295)</f>
        <v/>
      </c>
      <c r="K295" s="11">
        <f>O295</f>
        <v/>
      </c>
      <c r="L295" s="11">
        <f>L294+IF(K295&gt;0,K295*Summary!$B$9,K295/Summary!$B$9)</f>
        <v/>
      </c>
      <c r="M295" s="11">
        <f>G295+H295</f>
        <v/>
      </c>
      <c r="N295" s="11">
        <f>Summary!$C$16*Summary!$B$8</f>
        <v/>
      </c>
      <c r="O295" s="11">
        <f>M295-N295</f>
        <v/>
      </c>
    </row>
    <row r="296">
      <c r="A296" s="9" t="n">
        <v>45304.25</v>
      </c>
      <c r="B296" t="n">
        <v>1</v>
      </c>
      <c r="C296" t="n">
        <v>13</v>
      </c>
      <c r="D296" t="n">
        <v>6</v>
      </c>
      <c r="E296" s="10" t="n">
        <v>0</v>
      </c>
      <c r="F296" s="10" t="n">
        <v>0.4589728941534946</v>
      </c>
      <c r="G296" s="11">
        <f>E296*Summary!$B$6</f>
        <v/>
      </c>
      <c r="H296" s="11">
        <f>F296*Summary!$B$7</f>
        <v/>
      </c>
      <c r="I296" s="11">
        <f>MAX(0,N296-M296)</f>
        <v/>
      </c>
      <c r="J296" s="11">
        <f>MAX(0,M296-N296)</f>
        <v/>
      </c>
      <c r="K296" s="11">
        <f>O296</f>
        <v/>
      </c>
      <c r="L296" s="11">
        <f>L295+IF(K296&gt;0,K296*Summary!$B$9,K296/Summary!$B$9)</f>
        <v/>
      </c>
      <c r="M296" s="11">
        <f>G296+H296</f>
        <v/>
      </c>
      <c r="N296" s="11">
        <f>Summary!$C$16*Summary!$B$8</f>
        <v/>
      </c>
      <c r="O296" s="11">
        <f>M296-N296</f>
        <v/>
      </c>
    </row>
    <row r="297">
      <c r="A297" s="9" t="n">
        <v>45304.29166666666</v>
      </c>
      <c r="B297" t="n">
        <v>1</v>
      </c>
      <c r="C297" t="n">
        <v>13</v>
      </c>
      <c r="D297" t="n">
        <v>7</v>
      </c>
      <c r="E297" s="10" t="n">
        <v>0</v>
      </c>
      <c r="F297" s="10" t="n">
        <v>0.4560214694451526</v>
      </c>
      <c r="G297" s="11">
        <f>E297*Summary!$B$6</f>
        <v/>
      </c>
      <c r="H297" s="11">
        <f>F297*Summary!$B$7</f>
        <v/>
      </c>
      <c r="I297" s="11">
        <f>MAX(0,N297-M297)</f>
        <v/>
      </c>
      <c r="J297" s="11">
        <f>MAX(0,M297-N297)</f>
        <v/>
      </c>
      <c r="K297" s="11">
        <f>O297</f>
        <v/>
      </c>
      <c r="L297" s="11">
        <f>L296+IF(K297&gt;0,K297*Summary!$B$9,K297/Summary!$B$9)</f>
        <v/>
      </c>
      <c r="M297" s="11">
        <f>G297+H297</f>
        <v/>
      </c>
      <c r="N297" s="11">
        <f>Summary!$C$16*Summary!$B$8</f>
        <v/>
      </c>
      <c r="O297" s="11">
        <f>M297-N297</f>
        <v/>
      </c>
    </row>
    <row r="298">
      <c r="A298" s="9" t="n">
        <v>45304.33333333334</v>
      </c>
      <c r="B298" t="n">
        <v>1</v>
      </c>
      <c r="C298" t="n">
        <v>13</v>
      </c>
      <c r="D298" t="n">
        <v>8</v>
      </c>
      <c r="E298" s="10" t="n">
        <v>0</v>
      </c>
      <c r="F298" s="10" t="n">
        <v>0.455599837343961</v>
      </c>
      <c r="G298" s="11">
        <f>E298*Summary!$B$6</f>
        <v/>
      </c>
      <c r="H298" s="11">
        <f>F298*Summary!$B$7</f>
        <v/>
      </c>
      <c r="I298" s="11">
        <f>MAX(0,N298-M298)</f>
        <v/>
      </c>
      <c r="J298" s="11">
        <f>MAX(0,M298-N298)</f>
        <v/>
      </c>
      <c r="K298" s="11">
        <f>O298</f>
        <v/>
      </c>
      <c r="L298" s="11">
        <f>L297+IF(K298&gt;0,K298*Summary!$B$9,K298/Summary!$B$9)</f>
        <v/>
      </c>
      <c r="M298" s="11">
        <f>G298+H298</f>
        <v/>
      </c>
      <c r="N298" s="11">
        <f>Summary!$C$16*Summary!$B$8</f>
        <v/>
      </c>
      <c r="O298" s="11">
        <f>M298-N298</f>
        <v/>
      </c>
    </row>
    <row r="299">
      <c r="A299" s="9" t="n">
        <v>45304.375</v>
      </c>
      <c r="B299" t="n">
        <v>1</v>
      </c>
      <c r="C299" t="n">
        <v>13</v>
      </c>
      <c r="D299" t="n">
        <v>9</v>
      </c>
      <c r="E299" s="10" t="n">
        <v>0</v>
      </c>
      <c r="F299" s="10" t="n">
        <v>0.4518578524458846</v>
      </c>
      <c r="G299" s="11">
        <f>E299*Summary!$B$6</f>
        <v/>
      </c>
      <c r="H299" s="11">
        <f>F299*Summary!$B$7</f>
        <v/>
      </c>
      <c r="I299" s="11">
        <f>MAX(0,N299-M299)</f>
        <v/>
      </c>
      <c r="J299" s="11">
        <f>MAX(0,M299-N299)</f>
        <v/>
      </c>
      <c r="K299" s="11">
        <f>O299</f>
        <v/>
      </c>
      <c r="L299" s="11">
        <f>L298+IF(K299&gt;0,K299*Summary!$B$9,K299/Summary!$B$9)</f>
        <v/>
      </c>
      <c r="M299" s="11">
        <f>G299+H299</f>
        <v/>
      </c>
      <c r="N299" s="11">
        <f>Summary!$C$16*Summary!$B$8</f>
        <v/>
      </c>
      <c r="O299" s="11">
        <f>M299-N299</f>
        <v/>
      </c>
    </row>
    <row r="300">
      <c r="A300" s="9" t="n">
        <v>45304.41666666666</v>
      </c>
      <c r="B300" t="n">
        <v>1</v>
      </c>
      <c r="C300" t="n">
        <v>13</v>
      </c>
      <c r="D300" t="n">
        <v>10</v>
      </c>
      <c r="E300" s="10" t="n">
        <v>0</v>
      </c>
      <c r="F300" s="10" t="n">
        <v>0.4464293391430414</v>
      </c>
      <c r="G300" s="11">
        <f>E300*Summary!$B$6</f>
        <v/>
      </c>
      <c r="H300" s="11">
        <f>F300*Summary!$B$7</f>
        <v/>
      </c>
      <c r="I300" s="11">
        <f>MAX(0,N300-M300)</f>
        <v/>
      </c>
      <c r="J300" s="11">
        <f>MAX(0,M300-N300)</f>
        <v/>
      </c>
      <c r="K300" s="11">
        <f>O300</f>
        <v/>
      </c>
      <c r="L300" s="11">
        <f>L299+IF(K300&gt;0,K300*Summary!$B$9,K300/Summary!$B$9)</f>
        <v/>
      </c>
      <c r="M300" s="11">
        <f>G300+H300</f>
        <v/>
      </c>
      <c r="N300" s="11">
        <f>Summary!$C$16*Summary!$B$8</f>
        <v/>
      </c>
      <c r="O300" s="11">
        <f>M300-N300</f>
        <v/>
      </c>
    </row>
    <row r="301">
      <c r="A301" s="9" t="n">
        <v>45304.45833333334</v>
      </c>
      <c r="B301" t="n">
        <v>1</v>
      </c>
      <c r="C301" t="n">
        <v>13</v>
      </c>
      <c r="D301" t="n">
        <v>11</v>
      </c>
      <c r="E301" s="10" t="n">
        <v>0</v>
      </c>
      <c r="F301" s="10" t="n">
        <v>0.4385764412583459</v>
      </c>
      <c r="G301" s="11">
        <f>E301*Summary!$B$6</f>
        <v/>
      </c>
      <c r="H301" s="11">
        <f>F301*Summary!$B$7</f>
        <v/>
      </c>
      <c r="I301" s="11">
        <f>MAX(0,N301-M301)</f>
        <v/>
      </c>
      <c r="J301" s="11">
        <f>MAX(0,M301-N301)</f>
        <v/>
      </c>
      <c r="K301" s="11">
        <f>O301</f>
        <v/>
      </c>
      <c r="L301" s="11">
        <f>L300+IF(K301&gt;0,K301*Summary!$B$9,K301/Summary!$B$9)</f>
        <v/>
      </c>
      <c r="M301" s="11">
        <f>G301+H301</f>
        <v/>
      </c>
      <c r="N301" s="11">
        <f>Summary!$C$16*Summary!$B$8</f>
        <v/>
      </c>
      <c r="O301" s="11">
        <f>M301-N301</f>
        <v/>
      </c>
    </row>
    <row r="302">
      <c r="A302" s="9" t="n">
        <v>45304.5</v>
      </c>
      <c r="B302" t="n">
        <v>1</v>
      </c>
      <c r="C302" t="n">
        <v>13</v>
      </c>
      <c r="D302" t="n">
        <v>12</v>
      </c>
      <c r="E302" s="10" t="n">
        <v>0</v>
      </c>
      <c r="F302" s="10" t="n">
        <v>0.4359939446385467</v>
      </c>
      <c r="G302" s="11">
        <f>E302*Summary!$B$6</f>
        <v/>
      </c>
      <c r="H302" s="11">
        <f>F302*Summary!$B$7</f>
        <v/>
      </c>
      <c r="I302" s="11">
        <f>MAX(0,N302-M302)</f>
        <v/>
      </c>
      <c r="J302" s="11">
        <f>MAX(0,M302-N302)</f>
        <v/>
      </c>
      <c r="K302" s="11">
        <f>O302</f>
        <v/>
      </c>
      <c r="L302" s="11">
        <f>L301+IF(K302&gt;0,K302*Summary!$B$9,K302/Summary!$B$9)</f>
        <v/>
      </c>
      <c r="M302" s="11">
        <f>G302+H302</f>
        <v/>
      </c>
      <c r="N302" s="11">
        <f>Summary!$C$16*Summary!$B$8</f>
        <v/>
      </c>
      <c r="O302" s="11">
        <f>M302-N302</f>
        <v/>
      </c>
    </row>
    <row r="303">
      <c r="A303" s="9" t="n">
        <v>45304.54166666666</v>
      </c>
      <c r="B303" t="n">
        <v>1</v>
      </c>
      <c r="C303" t="n">
        <v>13</v>
      </c>
      <c r="D303" t="n">
        <v>13</v>
      </c>
      <c r="E303" s="10" t="n">
        <v>0</v>
      </c>
      <c r="F303" s="10" t="n">
        <v>0.4347817523476206</v>
      </c>
      <c r="G303" s="11">
        <f>E303*Summary!$B$6</f>
        <v/>
      </c>
      <c r="H303" s="11">
        <f>F303*Summary!$B$7</f>
        <v/>
      </c>
      <c r="I303" s="11">
        <f>MAX(0,N303-M303)</f>
        <v/>
      </c>
      <c r="J303" s="11">
        <f>MAX(0,M303-N303)</f>
        <v/>
      </c>
      <c r="K303" s="11">
        <f>O303</f>
        <v/>
      </c>
      <c r="L303" s="11">
        <f>L302+IF(K303&gt;0,K303*Summary!$B$9,K303/Summary!$B$9)</f>
        <v/>
      </c>
      <c r="M303" s="11">
        <f>G303+H303</f>
        <v/>
      </c>
      <c r="N303" s="11">
        <f>Summary!$C$16*Summary!$B$8</f>
        <v/>
      </c>
      <c r="O303" s="11">
        <f>M303-N303</f>
        <v/>
      </c>
    </row>
    <row r="304">
      <c r="A304" s="9" t="n">
        <v>45304.58333333334</v>
      </c>
      <c r="B304" t="n">
        <v>1</v>
      </c>
      <c r="C304" t="n">
        <v>13</v>
      </c>
      <c r="D304" t="n">
        <v>14</v>
      </c>
      <c r="E304" s="10" t="n">
        <v>0</v>
      </c>
      <c r="F304" s="10" t="n">
        <v>0.4335168560440454</v>
      </c>
      <c r="G304" s="11">
        <f>E304*Summary!$B$6</f>
        <v/>
      </c>
      <c r="H304" s="11">
        <f>F304*Summary!$B$7</f>
        <v/>
      </c>
      <c r="I304" s="11">
        <f>MAX(0,N304-M304)</f>
        <v/>
      </c>
      <c r="J304" s="11">
        <f>MAX(0,M304-N304)</f>
        <v/>
      </c>
      <c r="K304" s="11">
        <f>O304</f>
        <v/>
      </c>
      <c r="L304" s="11">
        <f>L303+IF(K304&gt;0,K304*Summary!$B$9,K304/Summary!$B$9)</f>
        <v/>
      </c>
      <c r="M304" s="11">
        <f>G304+H304</f>
        <v/>
      </c>
      <c r="N304" s="11">
        <f>Summary!$C$16*Summary!$B$8</f>
        <v/>
      </c>
      <c r="O304" s="11">
        <f>M304-N304</f>
        <v/>
      </c>
    </row>
    <row r="305">
      <c r="A305" s="9" t="n">
        <v>45304.625</v>
      </c>
      <c r="B305" t="n">
        <v>1</v>
      </c>
      <c r="C305" t="n">
        <v>13</v>
      </c>
      <c r="D305" t="n">
        <v>15</v>
      </c>
      <c r="E305" s="10" t="n">
        <v>0</v>
      </c>
      <c r="F305" s="10" t="n">
        <v>0.4438468425232422</v>
      </c>
      <c r="G305" s="11">
        <f>E305*Summary!$B$6</f>
        <v/>
      </c>
      <c r="H305" s="11">
        <f>F305*Summary!$B$7</f>
        <v/>
      </c>
      <c r="I305" s="11">
        <f>MAX(0,N305-M305)</f>
        <v/>
      </c>
      <c r="J305" s="11">
        <f>MAX(0,M305-N305)</f>
        <v/>
      </c>
      <c r="K305" s="11">
        <f>O305</f>
        <v/>
      </c>
      <c r="L305" s="11">
        <f>L304+IF(K305&gt;0,K305*Summary!$B$9,K305/Summary!$B$9)</f>
        <v/>
      </c>
      <c r="M305" s="11">
        <f>G305+H305</f>
        <v/>
      </c>
      <c r="N305" s="11">
        <f>Summary!$C$16*Summary!$B$8</f>
        <v/>
      </c>
      <c r="O305" s="11">
        <f>M305-N305</f>
        <v/>
      </c>
    </row>
    <row r="306">
      <c r="A306" s="9" t="n">
        <v>45304.66666666666</v>
      </c>
      <c r="B306" t="n">
        <v>1</v>
      </c>
      <c r="C306" t="n">
        <v>13</v>
      </c>
      <c r="D306" t="n">
        <v>16</v>
      </c>
      <c r="E306" s="10" t="n">
        <v>0</v>
      </c>
      <c r="F306" s="10" t="n">
        <v>0.500424600101904</v>
      </c>
      <c r="G306" s="11">
        <f>E306*Summary!$B$6</f>
        <v/>
      </c>
      <c r="H306" s="11">
        <f>F306*Summary!$B$7</f>
        <v/>
      </c>
      <c r="I306" s="11">
        <f>MAX(0,N306-M306)</f>
        <v/>
      </c>
      <c r="J306" s="11">
        <f>MAX(0,M306-N306)</f>
        <v/>
      </c>
      <c r="K306" s="11">
        <f>O306</f>
        <v/>
      </c>
      <c r="L306" s="11">
        <f>L305+IF(K306&gt;0,K306*Summary!$B$9,K306/Summary!$B$9)</f>
        <v/>
      </c>
      <c r="M306" s="11">
        <f>G306+H306</f>
        <v/>
      </c>
      <c r="N306" s="11">
        <f>Summary!$C$16*Summary!$B$8</f>
        <v/>
      </c>
      <c r="O306" s="11">
        <f>M306-N306</f>
        <v/>
      </c>
    </row>
    <row r="307">
      <c r="A307" s="9" t="n">
        <v>45304.70833333334</v>
      </c>
      <c r="B307" t="n">
        <v>1</v>
      </c>
      <c r="C307" t="n">
        <v>13</v>
      </c>
      <c r="D307" t="n">
        <v>17</v>
      </c>
      <c r="E307" s="10" t="n">
        <v>0</v>
      </c>
      <c r="F307" s="10" t="n">
        <v>0.4773402425616582</v>
      </c>
      <c r="G307" s="11">
        <f>E307*Summary!$B$6</f>
        <v/>
      </c>
      <c r="H307" s="11">
        <f>F307*Summary!$B$7</f>
        <v/>
      </c>
      <c r="I307" s="11">
        <f>MAX(0,N307-M307)</f>
        <v/>
      </c>
      <c r="J307" s="11">
        <f>MAX(0,M307-N307)</f>
        <v/>
      </c>
      <c r="K307" s="11">
        <f>O307</f>
        <v/>
      </c>
      <c r="L307" s="11">
        <f>L306+IF(K307&gt;0,K307*Summary!$B$9,K307/Summary!$B$9)</f>
        <v/>
      </c>
      <c r="M307" s="11">
        <f>G307+H307</f>
        <v/>
      </c>
      <c r="N307" s="11">
        <f>Summary!$C$16*Summary!$B$8</f>
        <v/>
      </c>
      <c r="O307" s="11">
        <f>M307-N307</f>
        <v/>
      </c>
    </row>
    <row r="308">
      <c r="A308" s="9" t="n">
        <v>45304.75</v>
      </c>
      <c r="B308" t="n">
        <v>1</v>
      </c>
      <c r="C308" t="n">
        <v>13</v>
      </c>
      <c r="D308" t="n">
        <v>18</v>
      </c>
      <c r="E308" s="10" t="n">
        <v>0</v>
      </c>
      <c r="F308" s="10" t="n">
        <v>0.4930196863247247</v>
      </c>
      <c r="G308" s="11">
        <f>E308*Summary!$B$6</f>
        <v/>
      </c>
      <c r="H308" s="11">
        <f>F308*Summary!$B$7</f>
        <v/>
      </c>
      <c r="I308" s="11">
        <f>MAX(0,N308-M308)</f>
        <v/>
      </c>
      <c r="J308" s="11">
        <f>MAX(0,M308-N308)</f>
        <v/>
      </c>
      <c r="K308" s="11">
        <f>O308</f>
        <v/>
      </c>
      <c r="L308" s="11">
        <f>L307+IF(K308&gt;0,K308*Summary!$B$9,K308/Summary!$B$9)</f>
        <v/>
      </c>
      <c r="M308" s="11">
        <f>G308+H308</f>
        <v/>
      </c>
      <c r="N308" s="11">
        <f>Summary!$C$16*Summary!$B$8</f>
        <v/>
      </c>
      <c r="O308" s="11">
        <f>M308-N308</f>
        <v/>
      </c>
    </row>
    <row r="309">
      <c r="A309" s="9" t="n">
        <v>45304.79166666666</v>
      </c>
      <c r="B309" t="n">
        <v>1</v>
      </c>
      <c r="C309" t="n">
        <v>13</v>
      </c>
      <c r="D309" t="n">
        <v>19</v>
      </c>
      <c r="E309" s="10" t="n">
        <v>0</v>
      </c>
      <c r="F309" s="10" t="n">
        <v>0.5031388567533256</v>
      </c>
      <c r="G309" s="11">
        <f>E309*Summary!$B$6</f>
        <v/>
      </c>
      <c r="H309" s="11">
        <f>F309*Summary!$B$7</f>
        <v/>
      </c>
      <c r="I309" s="11">
        <f>MAX(0,N309-M309)</f>
        <v/>
      </c>
      <c r="J309" s="11">
        <f>MAX(0,M309-N309)</f>
        <v/>
      </c>
      <c r="K309" s="11">
        <f>O309</f>
        <v/>
      </c>
      <c r="L309" s="11">
        <f>L308+IF(K309&gt;0,K309*Summary!$B$9,K309/Summary!$B$9)</f>
        <v/>
      </c>
      <c r="M309" s="11">
        <f>G309+H309</f>
        <v/>
      </c>
      <c r="N309" s="11">
        <f>Summary!$C$16*Summary!$B$8</f>
        <v/>
      </c>
      <c r="O309" s="11">
        <f>M309-N309</f>
        <v/>
      </c>
    </row>
    <row r="310">
      <c r="A310" s="9" t="n">
        <v>45304.83333333334</v>
      </c>
      <c r="B310" t="n">
        <v>1</v>
      </c>
      <c r="C310" t="n">
        <v>13</v>
      </c>
      <c r="D310" t="n">
        <v>20</v>
      </c>
      <c r="E310" s="10" t="n">
        <v>0</v>
      </c>
      <c r="F310" s="10" t="n">
        <v>0.5043774010505763</v>
      </c>
      <c r="G310" s="11">
        <f>E310*Summary!$B$6</f>
        <v/>
      </c>
      <c r="H310" s="11">
        <f>F310*Summary!$B$7</f>
        <v/>
      </c>
      <c r="I310" s="11">
        <f>MAX(0,N310-M310)</f>
        <v/>
      </c>
      <c r="J310" s="11">
        <f>MAX(0,M310-N310)</f>
        <v/>
      </c>
      <c r="K310" s="11">
        <f>O310</f>
        <v/>
      </c>
      <c r="L310" s="11">
        <f>L309+IF(K310&gt;0,K310*Summary!$B$9,K310/Summary!$B$9)</f>
        <v/>
      </c>
      <c r="M310" s="11">
        <f>G310+H310</f>
        <v/>
      </c>
      <c r="N310" s="11">
        <f>Summary!$C$16*Summary!$B$8</f>
        <v/>
      </c>
      <c r="O310" s="11">
        <f>M310-N310</f>
        <v/>
      </c>
    </row>
    <row r="311">
      <c r="A311" s="9" t="n">
        <v>45304.875</v>
      </c>
      <c r="B311" t="n">
        <v>1</v>
      </c>
      <c r="C311" t="n">
        <v>13</v>
      </c>
      <c r="D311" t="n">
        <v>21</v>
      </c>
      <c r="E311" s="10" t="n">
        <v>0</v>
      </c>
      <c r="F311" s="10" t="n">
        <v>0.5063801535312369</v>
      </c>
      <c r="G311" s="11">
        <f>E311*Summary!$B$6</f>
        <v/>
      </c>
      <c r="H311" s="11">
        <f>F311*Summary!$B$7</f>
        <v/>
      </c>
      <c r="I311" s="11">
        <f>MAX(0,N311-M311)</f>
        <v/>
      </c>
      <c r="J311" s="11">
        <f>MAX(0,M311-N311)</f>
        <v/>
      </c>
      <c r="K311" s="11">
        <f>O311</f>
        <v/>
      </c>
      <c r="L311" s="11">
        <f>L310+IF(K311&gt;0,K311*Summary!$B$9,K311/Summary!$B$9)</f>
        <v/>
      </c>
      <c r="M311" s="11">
        <f>G311+H311</f>
        <v/>
      </c>
      <c r="N311" s="11">
        <f>Summary!$C$16*Summary!$B$8</f>
        <v/>
      </c>
      <c r="O311" s="11">
        <f>M311-N311</f>
        <v/>
      </c>
    </row>
    <row r="312">
      <c r="A312" s="9" t="n">
        <v>45304.91666666666</v>
      </c>
      <c r="B312" t="n">
        <v>1</v>
      </c>
      <c r="C312" t="n">
        <v>13</v>
      </c>
      <c r="D312" t="n">
        <v>22</v>
      </c>
      <c r="E312" s="10" t="n">
        <v>0</v>
      </c>
      <c r="F312" s="10" t="n">
        <v>0.5521272365105367</v>
      </c>
      <c r="G312" s="11">
        <f>E312*Summary!$B$6</f>
        <v/>
      </c>
      <c r="H312" s="11">
        <f>F312*Summary!$B$7</f>
        <v/>
      </c>
      <c r="I312" s="11">
        <f>MAX(0,N312-M312)</f>
        <v/>
      </c>
      <c r="J312" s="11">
        <f>MAX(0,M312-N312)</f>
        <v/>
      </c>
      <c r="K312" s="11">
        <f>O312</f>
        <v/>
      </c>
      <c r="L312" s="11">
        <f>L311+IF(K312&gt;0,K312*Summary!$B$9,K312/Summary!$B$9)</f>
        <v/>
      </c>
      <c r="M312" s="11">
        <f>G312+H312</f>
        <v/>
      </c>
      <c r="N312" s="11">
        <f>Summary!$C$16*Summary!$B$8</f>
        <v/>
      </c>
      <c r="O312" s="11">
        <f>M312-N312</f>
        <v/>
      </c>
    </row>
    <row r="313">
      <c r="A313" s="9" t="n">
        <v>45304.95833333334</v>
      </c>
      <c r="B313" t="n">
        <v>1</v>
      </c>
      <c r="C313" t="n">
        <v>13</v>
      </c>
      <c r="D313" t="n">
        <v>23</v>
      </c>
      <c r="E313" s="10" t="n">
        <v>0</v>
      </c>
      <c r="F313" s="10" t="n">
        <v>0.517500700200168</v>
      </c>
      <c r="G313" s="11">
        <f>E313*Summary!$B$6</f>
        <v/>
      </c>
      <c r="H313" s="11">
        <f>F313*Summary!$B$7</f>
        <v/>
      </c>
      <c r="I313" s="11">
        <f>MAX(0,N313-M313)</f>
        <v/>
      </c>
      <c r="J313" s="11">
        <f>MAX(0,M313-N313)</f>
        <v/>
      </c>
      <c r="K313" s="11">
        <f>O313</f>
        <v/>
      </c>
      <c r="L313" s="11">
        <f>L312+IF(K313&gt;0,K313*Summary!$B$9,K313/Summary!$B$9)</f>
        <v/>
      </c>
      <c r="M313" s="11">
        <f>G313+H313</f>
        <v/>
      </c>
      <c r="N313" s="11">
        <f>Summary!$C$16*Summary!$B$8</f>
        <v/>
      </c>
      <c r="O313" s="11">
        <f>M313-N313</f>
        <v/>
      </c>
    </row>
    <row r="314">
      <c r="A314" s="9" t="n">
        <v>45305</v>
      </c>
      <c r="B314" t="n">
        <v>1</v>
      </c>
      <c r="C314" t="n">
        <v>14</v>
      </c>
      <c r="D314" t="n">
        <v>0</v>
      </c>
      <c r="E314" s="10" t="n">
        <v>0</v>
      </c>
      <c r="F314" s="10" t="n">
        <v>0.4915966779832027</v>
      </c>
      <c r="G314" s="11">
        <f>E314*Summary!$B$6</f>
        <v/>
      </c>
      <c r="H314" s="11">
        <f>F314*Summary!$B$7</f>
        <v/>
      </c>
      <c r="I314" s="11">
        <f>MAX(0,N314-M314)</f>
        <v/>
      </c>
      <c r="J314" s="11">
        <f>MAX(0,M314-N314)</f>
        <v/>
      </c>
      <c r="K314" s="11">
        <f>O314</f>
        <v/>
      </c>
      <c r="L314" s="11">
        <f>L313+IF(K314&gt;0,K314*Summary!$B$9,K314/Summary!$B$9)</f>
        <v/>
      </c>
      <c r="M314" s="11">
        <f>G314+H314</f>
        <v/>
      </c>
      <c r="N314" s="11">
        <f>Summary!$C$16*Summary!$B$8</f>
        <v/>
      </c>
      <c r="O314" s="11">
        <f>M314-N314</f>
        <v/>
      </c>
    </row>
    <row r="315">
      <c r="A315" s="9" t="n">
        <v>45305.04166666666</v>
      </c>
      <c r="B315" t="n">
        <v>1</v>
      </c>
      <c r="C315" t="n">
        <v>14</v>
      </c>
      <c r="D315" t="n">
        <v>1</v>
      </c>
      <c r="E315" s="10" t="n">
        <v>0</v>
      </c>
      <c r="F315" s="10" t="n">
        <v>0.5148918515740444</v>
      </c>
      <c r="G315" s="11">
        <f>E315*Summary!$B$6</f>
        <v/>
      </c>
      <c r="H315" s="11">
        <f>F315*Summary!$B$7</f>
        <v/>
      </c>
      <c r="I315" s="11">
        <f>MAX(0,N315-M315)</f>
        <v/>
      </c>
      <c r="J315" s="11">
        <f>MAX(0,M315-N315)</f>
        <v/>
      </c>
      <c r="K315" s="11">
        <f>O315</f>
        <v/>
      </c>
      <c r="L315" s="11">
        <f>L314+IF(K315&gt;0,K315*Summary!$B$9,K315/Summary!$B$9)</f>
        <v/>
      </c>
      <c r="M315" s="11">
        <f>G315+H315</f>
        <v/>
      </c>
      <c r="N315" s="11">
        <f>Summary!$C$16*Summary!$B$8</f>
        <v/>
      </c>
      <c r="O315" s="11">
        <f>M315-N315</f>
        <v/>
      </c>
    </row>
    <row r="316">
      <c r="A316" s="9" t="n">
        <v>45305.08333333334</v>
      </c>
      <c r="B316" t="n">
        <v>1</v>
      </c>
      <c r="C316" t="n">
        <v>14</v>
      </c>
      <c r="D316" t="n">
        <v>2</v>
      </c>
      <c r="E316" s="10" t="n">
        <v>0</v>
      </c>
      <c r="F316" s="10" t="n">
        <v>0.5155242997258319</v>
      </c>
      <c r="G316" s="11">
        <f>E316*Summary!$B$6</f>
        <v/>
      </c>
      <c r="H316" s="11">
        <f>F316*Summary!$B$7</f>
        <v/>
      </c>
      <c r="I316" s="11">
        <f>MAX(0,N316-M316)</f>
        <v/>
      </c>
      <c r="J316" s="11">
        <f>MAX(0,M316-N316)</f>
        <v/>
      </c>
      <c r="K316" s="11">
        <f>O316</f>
        <v/>
      </c>
      <c r="L316" s="11">
        <f>L315+IF(K316&gt;0,K316*Summary!$B$9,K316/Summary!$B$9)</f>
        <v/>
      </c>
      <c r="M316" s="11">
        <f>G316+H316</f>
        <v/>
      </c>
      <c r="N316" s="11">
        <f>Summary!$C$16*Summary!$B$8</f>
        <v/>
      </c>
      <c r="O316" s="11">
        <f>M316-N316</f>
        <v/>
      </c>
    </row>
    <row r="317">
      <c r="A317" s="9" t="n">
        <v>45305.125</v>
      </c>
      <c r="B317" t="n">
        <v>1</v>
      </c>
      <c r="C317" t="n">
        <v>14</v>
      </c>
      <c r="D317" t="n">
        <v>3</v>
      </c>
      <c r="E317" s="10" t="n">
        <v>0</v>
      </c>
      <c r="F317" s="10" t="n">
        <v>0.5127836910680859</v>
      </c>
      <c r="G317" s="11">
        <f>E317*Summary!$B$6</f>
        <v/>
      </c>
      <c r="H317" s="11">
        <f>F317*Summary!$B$7</f>
        <v/>
      </c>
      <c r="I317" s="11">
        <f>MAX(0,N317-M317)</f>
        <v/>
      </c>
      <c r="J317" s="11">
        <f>MAX(0,M317-N317)</f>
        <v/>
      </c>
      <c r="K317" s="11">
        <f>O317</f>
        <v/>
      </c>
      <c r="L317" s="11">
        <f>L316+IF(K317&gt;0,K317*Summary!$B$9,K317/Summary!$B$9)</f>
        <v/>
      </c>
      <c r="M317" s="11">
        <f>G317+H317</f>
        <v/>
      </c>
      <c r="N317" s="11">
        <f>Summary!$C$16*Summary!$B$8</f>
        <v/>
      </c>
      <c r="O317" s="11">
        <f>M317-N317</f>
        <v/>
      </c>
    </row>
    <row r="318">
      <c r="A318" s="9" t="n">
        <v>45305.16666666666</v>
      </c>
      <c r="B318" t="n">
        <v>1</v>
      </c>
      <c r="C318" t="n">
        <v>14</v>
      </c>
      <c r="D318" t="n">
        <v>4</v>
      </c>
      <c r="E318" s="10" t="n">
        <v>0</v>
      </c>
      <c r="F318" s="10" t="n">
        <v>0.5191081725859614</v>
      </c>
      <c r="G318" s="11">
        <f>E318*Summary!$B$6</f>
        <v/>
      </c>
      <c r="H318" s="11">
        <f>F318*Summary!$B$7</f>
        <v/>
      </c>
      <c r="I318" s="11">
        <f>MAX(0,N318-M318)</f>
        <v/>
      </c>
      <c r="J318" s="11">
        <f>MAX(0,M318-N318)</f>
        <v/>
      </c>
      <c r="K318" s="11">
        <f>O318</f>
        <v/>
      </c>
      <c r="L318" s="11">
        <f>L317+IF(K318&gt;0,K318*Summary!$B$9,K318/Summary!$B$9)</f>
        <v/>
      </c>
      <c r="M318" s="11">
        <f>G318+H318</f>
        <v/>
      </c>
      <c r="N318" s="11">
        <f>Summary!$C$16*Summary!$B$8</f>
        <v/>
      </c>
      <c r="O318" s="11">
        <f>M318-N318</f>
        <v/>
      </c>
    </row>
    <row r="319">
      <c r="A319" s="9" t="n">
        <v>45305.20833333334</v>
      </c>
      <c r="B319" t="n">
        <v>1</v>
      </c>
      <c r="C319" t="n">
        <v>14</v>
      </c>
      <c r="D319" t="n">
        <v>5</v>
      </c>
      <c r="E319" s="10" t="n">
        <v>0</v>
      </c>
      <c r="F319" s="10" t="n">
        <v>0.5127836910680859</v>
      </c>
      <c r="G319" s="11">
        <f>E319*Summary!$B$6</f>
        <v/>
      </c>
      <c r="H319" s="11">
        <f>F319*Summary!$B$7</f>
        <v/>
      </c>
      <c r="I319" s="11">
        <f>MAX(0,N319-M319)</f>
        <v/>
      </c>
      <c r="J319" s="11">
        <f>MAX(0,M319-N319)</f>
        <v/>
      </c>
      <c r="K319" s="11">
        <f>O319</f>
        <v/>
      </c>
      <c r="L319" s="11">
        <f>L318+IF(K319&gt;0,K319*Summary!$B$9,K319/Summary!$B$9)</f>
        <v/>
      </c>
      <c r="M319" s="11">
        <f>G319+H319</f>
        <v/>
      </c>
      <c r="N319" s="11">
        <f>Summary!$C$16*Summary!$B$8</f>
        <v/>
      </c>
      <c r="O319" s="11">
        <f>M319-N319</f>
        <v/>
      </c>
    </row>
    <row r="320">
      <c r="A320" s="9" t="n">
        <v>45305.25</v>
      </c>
      <c r="B320" t="n">
        <v>1</v>
      </c>
      <c r="C320" t="n">
        <v>14</v>
      </c>
      <c r="D320" t="n">
        <v>6</v>
      </c>
      <c r="E320" s="10" t="n">
        <v>0</v>
      </c>
      <c r="F320" s="10" t="n">
        <v>0.5026908726458094</v>
      </c>
      <c r="G320" s="11">
        <f>E320*Summary!$B$6</f>
        <v/>
      </c>
      <c r="H320" s="11">
        <f>F320*Summary!$B$7</f>
        <v/>
      </c>
      <c r="I320" s="11">
        <f>MAX(0,N320-M320)</f>
        <v/>
      </c>
      <c r="J320" s="11">
        <f>MAX(0,M320-N320)</f>
        <v/>
      </c>
      <c r="K320" s="11">
        <f>O320</f>
        <v/>
      </c>
      <c r="L320" s="11">
        <f>L319+IF(K320&gt;0,K320*Summary!$B$9,K320/Summary!$B$9)</f>
        <v/>
      </c>
      <c r="M320" s="11">
        <f>G320+H320</f>
        <v/>
      </c>
      <c r="N320" s="11">
        <f>Summary!$C$16*Summary!$B$8</f>
        <v/>
      </c>
      <c r="O320" s="11">
        <f>M320-N320</f>
        <v/>
      </c>
    </row>
    <row r="321">
      <c r="A321" s="9" t="n">
        <v>45305.29166666666</v>
      </c>
      <c r="B321" t="n">
        <v>1</v>
      </c>
      <c r="C321" t="n">
        <v>14</v>
      </c>
      <c r="D321" t="n">
        <v>7</v>
      </c>
      <c r="E321" s="10" t="n">
        <v>0</v>
      </c>
      <c r="F321" s="10" t="n">
        <v>0.4873540049649612</v>
      </c>
      <c r="G321" s="11">
        <f>E321*Summary!$B$6</f>
        <v/>
      </c>
      <c r="H321" s="11">
        <f>F321*Summary!$B$7</f>
        <v/>
      </c>
      <c r="I321" s="11">
        <f>MAX(0,N321-M321)</f>
        <v/>
      </c>
      <c r="J321" s="11">
        <f>MAX(0,M321-N321)</f>
        <v/>
      </c>
      <c r="K321" s="11">
        <f>O321</f>
        <v/>
      </c>
      <c r="L321" s="11">
        <f>L320+IF(K321&gt;0,K321*Summary!$B$9,K321/Summary!$B$9)</f>
        <v/>
      </c>
      <c r="M321" s="11">
        <f>G321+H321</f>
        <v/>
      </c>
      <c r="N321" s="11">
        <f>Summary!$C$16*Summary!$B$8</f>
        <v/>
      </c>
      <c r="O321" s="11">
        <f>M321-N321</f>
        <v/>
      </c>
    </row>
    <row r="322">
      <c r="A322" s="9" t="n">
        <v>45305.33333333334</v>
      </c>
      <c r="B322" t="n">
        <v>1</v>
      </c>
      <c r="C322" t="n">
        <v>14</v>
      </c>
      <c r="D322" t="n">
        <v>8</v>
      </c>
      <c r="E322" s="10" t="n">
        <v>0</v>
      </c>
      <c r="F322" s="10" t="n">
        <v>0.4720961933030864</v>
      </c>
      <c r="G322" s="11">
        <f>E322*Summary!$B$6</f>
        <v/>
      </c>
      <c r="H322" s="11">
        <f>F322*Summary!$B$7</f>
        <v/>
      </c>
      <c r="I322" s="11">
        <f>MAX(0,N322-M322)</f>
        <v/>
      </c>
      <c r="J322" s="11">
        <f>MAX(0,M322-N322)</f>
        <v/>
      </c>
      <c r="K322" s="11">
        <f>O322</f>
        <v/>
      </c>
      <c r="L322" s="11">
        <f>L321+IF(K322&gt;0,K322*Summary!$B$9,K322/Summary!$B$9)</f>
        <v/>
      </c>
      <c r="M322" s="11">
        <f>G322+H322</f>
        <v/>
      </c>
      <c r="N322" s="11">
        <f>Summary!$C$16*Summary!$B$8</f>
        <v/>
      </c>
      <c r="O322" s="11">
        <f>M322-N322</f>
        <v/>
      </c>
    </row>
    <row r="323">
      <c r="A323" s="9" t="n">
        <v>45305.375</v>
      </c>
      <c r="B323" t="n">
        <v>1</v>
      </c>
      <c r="C323" t="n">
        <v>14</v>
      </c>
      <c r="D323" t="n">
        <v>9</v>
      </c>
      <c r="E323" s="10" t="n">
        <v>0.016299</v>
      </c>
      <c r="F323" s="10" t="n">
        <v>0.4628466390831933</v>
      </c>
      <c r="G323" s="11">
        <f>E323*Summary!$B$6</f>
        <v/>
      </c>
      <c r="H323" s="11">
        <f>F323*Summary!$B$7</f>
        <v/>
      </c>
      <c r="I323" s="11">
        <f>MAX(0,N323-M323)</f>
        <v/>
      </c>
      <c r="J323" s="11">
        <f>MAX(0,M323-N323)</f>
        <v/>
      </c>
      <c r="K323" s="11">
        <f>O323</f>
        <v/>
      </c>
      <c r="L323" s="11">
        <f>L322+IF(K323&gt;0,K323*Summary!$B$9,K323/Summary!$B$9)</f>
        <v/>
      </c>
      <c r="M323" s="11">
        <f>G323+H323</f>
        <v/>
      </c>
      <c r="N323" s="11">
        <f>Summary!$C$16*Summary!$B$8</f>
        <v/>
      </c>
      <c r="O323" s="11">
        <f>M323-N323</f>
        <v/>
      </c>
    </row>
    <row r="324">
      <c r="A324" s="9" t="n">
        <v>45305.41666666666</v>
      </c>
      <c r="B324" t="n">
        <v>1</v>
      </c>
      <c r="C324" t="n">
        <v>14</v>
      </c>
      <c r="D324" t="n">
        <v>10</v>
      </c>
      <c r="E324" s="10" t="n">
        <v>0.017498</v>
      </c>
      <c r="F324" s="10" t="n">
        <v>0.4507774201865808</v>
      </c>
      <c r="G324" s="11">
        <f>E324*Summary!$B$6</f>
        <v/>
      </c>
      <c r="H324" s="11">
        <f>F324*Summary!$B$7</f>
        <v/>
      </c>
      <c r="I324" s="11">
        <f>MAX(0,N324-M324)</f>
        <v/>
      </c>
      <c r="J324" s="11">
        <f>MAX(0,M324-N324)</f>
        <v/>
      </c>
      <c r="K324" s="11">
        <f>O324</f>
        <v/>
      </c>
      <c r="L324" s="11">
        <f>L323+IF(K324&gt;0,K324*Summary!$B$9,K324/Summary!$B$9)</f>
        <v/>
      </c>
      <c r="M324" s="11">
        <f>G324+H324</f>
        <v/>
      </c>
      <c r="N324" s="11">
        <f>Summary!$C$16*Summary!$B$8</f>
        <v/>
      </c>
      <c r="O324" s="11">
        <f>M324-N324</f>
        <v/>
      </c>
    </row>
    <row r="325">
      <c r="A325" s="9" t="n">
        <v>45305.45833333334</v>
      </c>
      <c r="B325" t="n">
        <v>1</v>
      </c>
      <c r="C325" t="n">
        <v>14</v>
      </c>
      <c r="D325" t="n">
        <v>11</v>
      </c>
      <c r="E325" s="10" t="n">
        <v>0.030869</v>
      </c>
      <c r="F325" s="10" t="n">
        <v>0.4367845048282811</v>
      </c>
      <c r="G325" s="11">
        <f>E325*Summary!$B$6</f>
        <v/>
      </c>
      <c r="H325" s="11">
        <f>F325*Summary!$B$7</f>
        <v/>
      </c>
      <c r="I325" s="11">
        <f>MAX(0,N325-M325)</f>
        <v/>
      </c>
      <c r="J325" s="11">
        <f>MAX(0,M325-N325)</f>
        <v/>
      </c>
      <c r="K325" s="11">
        <f>O325</f>
        <v/>
      </c>
      <c r="L325" s="11">
        <f>L324+IF(K325&gt;0,K325*Summary!$B$9,K325/Summary!$B$9)</f>
        <v/>
      </c>
      <c r="M325" s="11">
        <f>G325+H325</f>
        <v/>
      </c>
      <c r="N325" s="11">
        <f>Summary!$C$16*Summary!$B$8</f>
        <v/>
      </c>
      <c r="O325" s="11">
        <f>M325-N325</f>
        <v/>
      </c>
    </row>
    <row r="326">
      <c r="A326" s="9" t="n">
        <v>45305.5</v>
      </c>
      <c r="B326" t="n">
        <v>1</v>
      </c>
      <c r="C326" t="n">
        <v>14</v>
      </c>
      <c r="D326" t="n">
        <v>12</v>
      </c>
      <c r="E326" s="10" t="n">
        <v>0.051332</v>
      </c>
      <c r="F326" s="10" t="n">
        <v>0.4251632700391848</v>
      </c>
      <c r="G326" s="11">
        <f>E326*Summary!$B$6</f>
        <v/>
      </c>
      <c r="H326" s="11">
        <f>F326*Summary!$B$7</f>
        <v/>
      </c>
      <c r="I326" s="11">
        <f>MAX(0,N326-M326)</f>
        <v/>
      </c>
      <c r="J326" s="11">
        <f>MAX(0,M326-N326)</f>
        <v/>
      </c>
      <c r="K326" s="11">
        <f>O326</f>
        <v/>
      </c>
      <c r="L326" s="11">
        <f>L325+IF(K326&gt;0,K326*Summary!$B$9,K326/Summary!$B$9)</f>
        <v/>
      </c>
      <c r="M326" s="11">
        <f>G326+H326</f>
        <v/>
      </c>
      <c r="N326" s="11">
        <f>Summary!$C$16*Summary!$B$8</f>
        <v/>
      </c>
      <c r="O326" s="11">
        <f>M326-N326</f>
        <v/>
      </c>
    </row>
    <row r="327">
      <c r="A327" s="9" t="n">
        <v>45305.54166666666</v>
      </c>
      <c r="B327" t="n">
        <v>1</v>
      </c>
      <c r="C327" t="n">
        <v>14</v>
      </c>
      <c r="D327" t="n">
        <v>13</v>
      </c>
      <c r="E327" s="10" t="n">
        <v>0.019643</v>
      </c>
      <c r="F327" s="10" t="n">
        <v>0.4131467551552212</v>
      </c>
      <c r="G327" s="11">
        <f>E327*Summary!$B$6</f>
        <v/>
      </c>
      <c r="H327" s="11">
        <f>F327*Summary!$B$7</f>
        <v/>
      </c>
      <c r="I327" s="11">
        <f>MAX(0,N327-M327)</f>
        <v/>
      </c>
      <c r="J327" s="11">
        <f>MAX(0,M327-N327)</f>
        <v/>
      </c>
      <c r="K327" s="11">
        <f>O327</f>
        <v/>
      </c>
      <c r="L327" s="11">
        <f>L326+IF(K327&gt;0,K327*Summary!$B$9,K327/Summary!$B$9)</f>
        <v/>
      </c>
      <c r="M327" s="11">
        <f>G327+H327</f>
        <v/>
      </c>
      <c r="N327" s="11">
        <f>Summary!$C$16*Summary!$B$8</f>
        <v/>
      </c>
      <c r="O327" s="11">
        <f>M327-N327</f>
        <v/>
      </c>
    </row>
    <row r="328">
      <c r="A328" s="9" t="n">
        <v>45305.58333333334</v>
      </c>
      <c r="B328" t="n">
        <v>1</v>
      </c>
      <c r="C328" t="n">
        <v>14</v>
      </c>
      <c r="D328" t="n">
        <v>14</v>
      </c>
      <c r="E328" s="10" t="n">
        <v>0.047705</v>
      </c>
      <c r="F328" s="10" t="n">
        <v>0.4089304341433042</v>
      </c>
      <c r="G328" s="11">
        <f>E328*Summary!$B$6</f>
        <v/>
      </c>
      <c r="H328" s="11">
        <f>F328*Summary!$B$7</f>
        <v/>
      </c>
      <c r="I328" s="11">
        <f>MAX(0,N328-M328)</f>
        <v/>
      </c>
      <c r="J328" s="11">
        <f>MAX(0,M328-N328)</f>
        <v/>
      </c>
      <c r="K328" s="11">
        <f>O328</f>
        <v/>
      </c>
      <c r="L328" s="11">
        <f>L327+IF(K328&gt;0,K328*Summary!$B$9,K328/Summary!$B$9)</f>
        <v/>
      </c>
      <c r="M328" s="11">
        <f>G328+H328</f>
        <v/>
      </c>
      <c r="N328" s="11">
        <f>Summary!$C$16*Summary!$B$8</f>
        <v/>
      </c>
      <c r="O328" s="11">
        <f>M328-N328</f>
        <v/>
      </c>
    </row>
    <row r="329">
      <c r="A329" s="9" t="n">
        <v>45305.625</v>
      </c>
      <c r="B329" t="n">
        <v>1</v>
      </c>
      <c r="C329" t="n">
        <v>14</v>
      </c>
      <c r="D329" t="n">
        <v>15</v>
      </c>
      <c r="E329" s="10" t="n">
        <v>0.008066</v>
      </c>
      <c r="F329" s="10" t="n">
        <v>0.4096419383140652</v>
      </c>
      <c r="G329" s="11">
        <f>E329*Summary!$B$6</f>
        <v/>
      </c>
      <c r="H329" s="11">
        <f>F329*Summary!$B$7</f>
        <v/>
      </c>
      <c r="I329" s="11">
        <f>MAX(0,N329-M329)</f>
        <v/>
      </c>
      <c r="J329" s="11">
        <f>MAX(0,M329-N329)</f>
        <v/>
      </c>
      <c r="K329" s="11">
        <f>O329</f>
        <v/>
      </c>
      <c r="L329" s="11">
        <f>L328+IF(K329&gt;0,K329*Summary!$B$9,K329/Summary!$B$9)</f>
        <v/>
      </c>
      <c r="M329" s="11">
        <f>G329+H329</f>
        <v/>
      </c>
      <c r="N329" s="11">
        <f>Summary!$C$16*Summary!$B$8</f>
        <v/>
      </c>
      <c r="O329" s="11">
        <f>M329-N329</f>
        <v/>
      </c>
    </row>
    <row r="330">
      <c r="A330" s="9" t="n">
        <v>45305.66666666666</v>
      </c>
      <c r="B330" t="n">
        <v>1</v>
      </c>
      <c r="C330" t="n">
        <v>14</v>
      </c>
      <c r="D330" t="n">
        <v>16</v>
      </c>
      <c r="E330" s="10" t="n">
        <v>0</v>
      </c>
      <c r="F330" s="10" t="n">
        <v>0.4124879549971092</v>
      </c>
      <c r="G330" s="11">
        <f>E330*Summary!$B$6</f>
        <v/>
      </c>
      <c r="H330" s="11">
        <f>F330*Summary!$B$7</f>
        <v/>
      </c>
      <c r="I330" s="11">
        <f>MAX(0,N330-M330)</f>
        <v/>
      </c>
      <c r="J330" s="11">
        <f>MAX(0,M330-N330)</f>
        <v/>
      </c>
      <c r="K330" s="11">
        <f>O330</f>
        <v/>
      </c>
      <c r="L330" s="11">
        <f>L329+IF(K330&gt;0,K330*Summary!$B$9,K330/Summary!$B$9)</f>
        <v/>
      </c>
      <c r="M330" s="11">
        <f>G330+H330</f>
        <v/>
      </c>
      <c r="N330" s="11">
        <f>Summary!$C$16*Summary!$B$8</f>
        <v/>
      </c>
      <c r="O330" s="11">
        <f>M330-N330</f>
        <v/>
      </c>
    </row>
    <row r="331">
      <c r="A331" s="9" t="n">
        <v>45305.70833333334</v>
      </c>
      <c r="B331" t="n">
        <v>1</v>
      </c>
      <c r="C331" t="n">
        <v>14</v>
      </c>
      <c r="D331" t="n">
        <v>17</v>
      </c>
      <c r="E331" s="10" t="n">
        <v>0</v>
      </c>
      <c r="F331" s="10" t="n">
        <v>0.4244517658684238</v>
      </c>
      <c r="G331" s="11">
        <f>E331*Summary!$B$6</f>
        <v/>
      </c>
      <c r="H331" s="11">
        <f>F331*Summary!$B$7</f>
        <v/>
      </c>
      <c r="I331" s="11">
        <f>MAX(0,N331-M331)</f>
        <v/>
      </c>
      <c r="J331" s="11">
        <f>MAX(0,M331-N331)</f>
        <v/>
      </c>
      <c r="K331" s="11">
        <f>O331</f>
        <v/>
      </c>
      <c r="L331" s="11">
        <f>L330+IF(K331&gt;0,K331*Summary!$B$9,K331/Summary!$B$9)</f>
        <v/>
      </c>
      <c r="M331" s="11">
        <f>G331+H331</f>
        <v/>
      </c>
      <c r="N331" s="11">
        <f>Summary!$C$16*Summary!$B$8</f>
        <v/>
      </c>
      <c r="O331" s="11">
        <f>M331-N331</f>
        <v/>
      </c>
    </row>
    <row r="332">
      <c r="A332" s="9" t="n">
        <v>45305.75</v>
      </c>
      <c r="B332" t="n">
        <v>1</v>
      </c>
      <c r="C332" t="n">
        <v>14</v>
      </c>
      <c r="D332" t="n">
        <v>18</v>
      </c>
      <c r="E332" s="10" t="n">
        <v>0</v>
      </c>
      <c r="F332" s="10" t="n">
        <v>0.4295113510827243</v>
      </c>
      <c r="G332" s="11">
        <f>E332*Summary!$B$6</f>
        <v/>
      </c>
      <c r="H332" s="11">
        <f>F332*Summary!$B$7</f>
        <v/>
      </c>
      <c r="I332" s="11">
        <f>MAX(0,N332-M332)</f>
        <v/>
      </c>
      <c r="J332" s="11">
        <f>MAX(0,M332-N332)</f>
        <v/>
      </c>
      <c r="K332" s="11">
        <f>O332</f>
        <v/>
      </c>
      <c r="L332" s="11">
        <f>L331+IF(K332&gt;0,K332*Summary!$B$9,K332/Summary!$B$9)</f>
        <v/>
      </c>
      <c r="M332" s="11">
        <f>G332+H332</f>
        <v/>
      </c>
      <c r="N332" s="11">
        <f>Summary!$C$16*Summary!$B$8</f>
        <v/>
      </c>
      <c r="O332" s="11">
        <f>M332-N332</f>
        <v/>
      </c>
    </row>
    <row r="333">
      <c r="A333" s="9" t="n">
        <v>45305.79166666666</v>
      </c>
      <c r="B333" t="n">
        <v>1</v>
      </c>
      <c r="C333" t="n">
        <v>14</v>
      </c>
      <c r="D333" t="n">
        <v>19</v>
      </c>
      <c r="E333" s="10" t="n">
        <v>0</v>
      </c>
      <c r="F333" s="10" t="n">
        <v>0.4417386820172837</v>
      </c>
      <c r="G333" s="11">
        <f>E333*Summary!$B$6</f>
        <v/>
      </c>
      <c r="H333" s="11">
        <f>F333*Summary!$B$7</f>
        <v/>
      </c>
      <c r="I333" s="11">
        <f>MAX(0,N333-M333)</f>
        <v/>
      </c>
      <c r="J333" s="11">
        <f>MAX(0,M333-N333)</f>
        <v/>
      </c>
      <c r="K333" s="11">
        <f>O333</f>
        <v/>
      </c>
      <c r="L333" s="11">
        <f>L332+IF(K333&gt;0,K333*Summary!$B$9,K333/Summary!$B$9)</f>
        <v/>
      </c>
      <c r="M333" s="11">
        <f>G333+H333</f>
        <v/>
      </c>
      <c r="N333" s="11">
        <f>Summary!$C$16*Summary!$B$8</f>
        <v/>
      </c>
      <c r="O333" s="11">
        <f>M333-N333</f>
        <v/>
      </c>
    </row>
    <row r="334">
      <c r="A334" s="9" t="n">
        <v>45305.83333333334</v>
      </c>
      <c r="B334" t="n">
        <v>1</v>
      </c>
      <c r="C334" t="n">
        <v>14</v>
      </c>
      <c r="D334" t="n">
        <v>20</v>
      </c>
      <c r="E334" s="10" t="n">
        <v>0</v>
      </c>
      <c r="F334" s="10" t="n">
        <v>0.4530963967431352</v>
      </c>
      <c r="G334" s="11">
        <f>E334*Summary!$B$6</f>
        <v/>
      </c>
      <c r="H334" s="11">
        <f>F334*Summary!$B$7</f>
        <v/>
      </c>
      <c r="I334" s="11">
        <f>MAX(0,N334-M334)</f>
        <v/>
      </c>
      <c r="J334" s="11">
        <f>MAX(0,M334-N334)</f>
        <v/>
      </c>
      <c r="K334" s="11">
        <f>O334</f>
        <v/>
      </c>
      <c r="L334" s="11">
        <f>L333+IF(K334&gt;0,K334*Summary!$B$9,K334/Summary!$B$9)</f>
        <v/>
      </c>
      <c r="M334" s="11">
        <f>G334+H334</f>
        <v/>
      </c>
      <c r="N334" s="11">
        <f>Summary!$C$16*Summary!$B$8</f>
        <v/>
      </c>
      <c r="O334" s="11">
        <f>M334-N334</f>
        <v/>
      </c>
    </row>
    <row r="335">
      <c r="A335" s="9" t="n">
        <v>45305.875</v>
      </c>
      <c r="B335" t="n">
        <v>1</v>
      </c>
      <c r="C335" t="n">
        <v>14</v>
      </c>
      <c r="D335" t="n">
        <v>21</v>
      </c>
      <c r="E335" s="10" t="n">
        <v>0</v>
      </c>
      <c r="F335" s="10" t="n">
        <v>0.459868862368527</v>
      </c>
      <c r="G335" s="11">
        <f>E335*Summary!$B$6</f>
        <v/>
      </c>
      <c r="H335" s="11">
        <f>F335*Summary!$B$7</f>
        <v/>
      </c>
      <c r="I335" s="11">
        <f>MAX(0,N335-M335)</f>
        <v/>
      </c>
      <c r="J335" s="11">
        <f>MAX(0,M335-N335)</f>
        <v/>
      </c>
      <c r="K335" s="11">
        <f>O335</f>
        <v/>
      </c>
      <c r="L335" s="11">
        <f>L334+IF(K335&gt;0,K335*Summary!$B$9,K335/Summary!$B$9)</f>
        <v/>
      </c>
      <c r="M335" s="11">
        <f>G335+H335</f>
        <v/>
      </c>
      <c r="N335" s="11">
        <f>Summary!$C$16*Summary!$B$8</f>
        <v/>
      </c>
      <c r="O335" s="11">
        <f>M335-N335</f>
        <v/>
      </c>
    </row>
    <row r="336">
      <c r="A336" s="9" t="n">
        <v>45305.91666666666</v>
      </c>
      <c r="B336" t="n">
        <v>1</v>
      </c>
      <c r="C336" t="n">
        <v>14</v>
      </c>
      <c r="D336" t="n">
        <v>22</v>
      </c>
      <c r="E336" s="10" t="n">
        <v>0</v>
      </c>
      <c r="F336" s="10" t="n">
        <v>0.4684859684366324</v>
      </c>
      <c r="G336" s="11">
        <f>E336*Summary!$B$6</f>
        <v/>
      </c>
      <c r="H336" s="11">
        <f>F336*Summary!$B$7</f>
        <v/>
      </c>
      <c r="I336" s="11">
        <f>MAX(0,N336-M336)</f>
        <v/>
      </c>
      <c r="J336" s="11">
        <f>MAX(0,M336-N336)</f>
        <v/>
      </c>
      <c r="K336" s="11">
        <f>O336</f>
        <v/>
      </c>
      <c r="L336" s="11">
        <f>L335+IF(K336&gt;0,K336*Summary!$B$9,K336/Summary!$B$9)</f>
        <v/>
      </c>
      <c r="M336" s="11">
        <f>G336+H336</f>
        <v/>
      </c>
      <c r="N336" s="11">
        <f>Summary!$C$16*Summary!$B$8</f>
        <v/>
      </c>
      <c r="O336" s="11">
        <f>M336-N336</f>
        <v/>
      </c>
    </row>
    <row r="337">
      <c r="A337" s="9" t="n">
        <v>45305.95833333334</v>
      </c>
      <c r="B337" t="n">
        <v>1</v>
      </c>
      <c r="C337" t="n">
        <v>14</v>
      </c>
      <c r="D337" t="n">
        <v>23</v>
      </c>
      <c r="E337" s="10" t="n">
        <v>0</v>
      </c>
      <c r="F337" s="10" t="n">
        <v>0.478315266795664</v>
      </c>
      <c r="G337" s="11">
        <f>E337*Summary!$B$6</f>
        <v/>
      </c>
      <c r="H337" s="11">
        <f>F337*Summary!$B$7</f>
        <v/>
      </c>
      <c r="I337" s="11">
        <f>MAX(0,N337-M337)</f>
        <v/>
      </c>
      <c r="J337" s="11">
        <f>MAX(0,M337-N337)</f>
        <v/>
      </c>
      <c r="K337" s="11">
        <f>O337</f>
        <v/>
      </c>
      <c r="L337" s="11">
        <f>L336+IF(K337&gt;0,K337*Summary!$B$9,K337/Summary!$B$9)</f>
        <v/>
      </c>
      <c r="M337" s="11">
        <f>G337+H337</f>
        <v/>
      </c>
      <c r="N337" s="11">
        <f>Summary!$C$16*Summary!$B$8</f>
        <v/>
      </c>
      <c r="O337" s="11">
        <f>M337-N337</f>
        <v/>
      </c>
    </row>
    <row r="338">
      <c r="A338" s="9" t="n">
        <v>45306</v>
      </c>
      <c r="B338" t="n">
        <v>1</v>
      </c>
      <c r="C338" t="n">
        <v>15</v>
      </c>
      <c r="D338" t="n">
        <v>0</v>
      </c>
      <c r="E338" s="10" t="n">
        <v>0</v>
      </c>
      <c r="F338" s="10" t="n">
        <v>0.4837964841111562</v>
      </c>
      <c r="G338" s="11">
        <f>E338*Summary!$B$6</f>
        <v/>
      </c>
      <c r="H338" s="11">
        <f>F338*Summary!$B$7</f>
        <v/>
      </c>
      <c r="I338" s="11">
        <f>MAX(0,N338-M338)</f>
        <v/>
      </c>
      <c r="J338" s="11">
        <f>MAX(0,M338-N338)</f>
        <v/>
      </c>
      <c r="K338" s="11">
        <f>O338</f>
        <v/>
      </c>
      <c r="L338" s="11">
        <f>L337+IF(K338&gt;0,K338*Summary!$B$9,K338/Summary!$B$9)</f>
        <v/>
      </c>
      <c r="M338" s="11">
        <f>G338+H338</f>
        <v/>
      </c>
      <c r="N338" s="11">
        <f>Summary!$C$16*Summary!$B$8</f>
        <v/>
      </c>
      <c r="O338" s="11">
        <f>M338-N338</f>
        <v/>
      </c>
    </row>
    <row r="339">
      <c r="A339" s="9" t="n">
        <v>45306.04166666666</v>
      </c>
      <c r="B339" t="n">
        <v>1</v>
      </c>
      <c r="C339" t="n">
        <v>15</v>
      </c>
      <c r="D339" t="n">
        <v>1</v>
      </c>
      <c r="E339" s="10" t="n">
        <v>0</v>
      </c>
      <c r="F339" s="10" t="n">
        <v>0.4903317816796277</v>
      </c>
      <c r="G339" s="11">
        <f>E339*Summary!$B$6</f>
        <v/>
      </c>
      <c r="H339" s="11">
        <f>F339*Summary!$B$7</f>
        <v/>
      </c>
      <c r="I339" s="11">
        <f>MAX(0,N339-M339)</f>
        <v/>
      </c>
      <c r="J339" s="11">
        <f>MAX(0,M339-N339)</f>
        <v/>
      </c>
      <c r="K339" s="11">
        <f>O339</f>
        <v/>
      </c>
      <c r="L339" s="11">
        <f>L338+IF(K339&gt;0,K339*Summary!$B$9,K339/Summary!$B$9)</f>
        <v/>
      </c>
      <c r="M339" s="11">
        <f>G339+H339</f>
        <v/>
      </c>
      <c r="N339" s="11">
        <f>Summary!$C$16*Summary!$B$8</f>
        <v/>
      </c>
      <c r="O339" s="11">
        <f>M339-N339</f>
        <v/>
      </c>
    </row>
    <row r="340">
      <c r="A340" s="9" t="n">
        <v>45306.08333333334</v>
      </c>
      <c r="B340" t="n">
        <v>1</v>
      </c>
      <c r="C340" t="n">
        <v>15</v>
      </c>
      <c r="D340" t="n">
        <v>2</v>
      </c>
      <c r="E340" s="10" t="n">
        <v>0</v>
      </c>
      <c r="F340" s="10" t="n">
        <v>0.4847978603514864</v>
      </c>
      <c r="G340" s="11">
        <f>E340*Summary!$B$6</f>
        <v/>
      </c>
      <c r="H340" s="11">
        <f>F340*Summary!$B$7</f>
        <v/>
      </c>
      <c r="I340" s="11">
        <f>MAX(0,N340-M340)</f>
        <v/>
      </c>
      <c r="J340" s="11">
        <f>MAX(0,M340-N340)</f>
        <v/>
      </c>
      <c r="K340" s="11">
        <f>O340</f>
        <v/>
      </c>
      <c r="L340" s="11">
        <f>L339+IF(K340&gt;0,K340*Summary!$B$9,K340/Summary!$B$9)</f>
        <v/>
      </c>
      <c r="M340" s="11">
        <f>G340+H340</f>
        <v/>
      </c>
      <c r="N340" s="11">
        <f>Summary!$C$16*Summary!$B$8</f>
        <v/>
      </c>
      <c r="O340" s="11">
        <f>M340-N340</f>
        <v/>
      </c>
    </row>
    <row r="341">
      <c r="A341" s="9" t="n">
        <v>45306.125</v>
      </c>
      <c r="B341" t="n">
        <v>1</v>
      </c>
      <c r="C341" t="n">
        <v>15</v>
      </c>
      <c r="D341" t="n">
        <v>3</v>
      </c>
      <c r="E341" s="10" t="n">
        <v>0</v>
      </c>
      <c r="F341" s="10" t="n">
        <v>0.4806869473648674</v>
      </c>
      <c r="G341" s="11">
        <f>E341*Summary!$B$6</f>
        <v/>
      </c>
      <c r="H341" s="11">
        <f>F341*Summary!$B$7</f>
        <v/>
      </c>
      <c r="I341" s="11">
        <f>MAX(0,N341-M341)</f>
        <v/>
      </c>
      <c r="J341" s="11">
        <f>MAX(0,M341-N341)</f>
        <v/>
      </c>
      <c r="K341" s="11">
        <f>O341</f>
        <v/>
      </c>
      <c r="L341" s="11">
        <f>L340+IF(K341&gt;0,K341*Summary!$B$9,K341/Summary!$B$9)</f>
        <v/>
      </c>
      <c r="M341" s="11">
        <f>G341+H341</f>
        <v/>
      </c>
      <c r="N341" s="11">
        <f>Summary!$C$16*Summary!$B$8</f>
        <v/>
      </c>
      <c r="O341" s="11">
        <f>M341-N341</f>
        <v/>
      </c>
    </row>
    <row r="342">
      <c r="A342" s="9" t="n">
        <v>45306.16666666666</v>
      </c>
      <c r="B342" t="n">
        <v>1</v>
      </c>
      <c r="C342" t="n">
        <v>15</v>
      </c>
      <c r="D342" t="n">
        <v>4</v>
      </c>
      <c r="E342" s="10" t="n">
        <v>0</v>
      </c>
      <c r="F342" s="10" t="n">
        <v>0.4705677769362664</v>
      </c>
      <c r="G342" s="11">
        <f>E342*Summary!$B$6</f>
        <v/>
      </c>
      <c r="H342" s="11">
        <f>F342*Summary!$B$7</f>
        <v/>
      </c>
      <c r="I342" s="11">
        <f>MAX(0,N342-M342)</f>
        <v/>
      </c>
      <c r="J342" s="11">
        <f>MAX(0,M342-N342)</f>
        <v/>
      </c>
      <c r="K342" s="11">
        <f>O342</f>
        <v/>
      </c>
      <c r="L342" s="11">
        <f>L341+IF(K342&gt;0,K342*Summary!$B$9,K342/Summary!$B$9)</f>
        <v/>
      </c>
      <c r="M342" s="11">
        <f>G342+H342</f>
        <v/>
      </c>
      <c r="N342" s="11">
        <f>Summary!$C$16*Summary!$B$8</f>
        <v/>
      </c>
      <c r="O342" s="11">
        <f>M342-N342</f>
        <v/>
      </c>
    </row>
    <row r="343">
      <c r="A343" s="9" t="n">
        <v>45306.20833333334</v>
      </c>
      <c r="B343" t="n">
        <v>1</v>
      </c>
      <c r="C343" t="n">
        <v>15</v>
      </c>
      <c r="D343" t="n">
        <v>5</v>
      </c>
      <c r="E343" s="10" t="n">
        <v>0</v>
      </c>
      <c r="F343" s="10" t="n">
        <v>0.4618716148491875</v>
      </c>
      <c r="G343" s="11">
        <f>E343*Summary!$B$6</f>
        <v/>
      </c>
      <c r="H343" s="11">
        <f>F343*Summary!$B$7</f>
        <v/>
      </c>
      <c r="I343" s="11">
        <f>MAX(0,N343-M343)</f>
        <v/>
      </c>
      <c r="J343" s="11">
        <f>MAX(0,M343-N343)</f>
        <v/>
      </c>
      <c r="K343" s="11">
        <f>O343</f>
        <v/>
      </c>
      <c r="L343" s="11">
        <f>L342+IF(K343&gt;0,K343*Summary!$B$9,K343/Summary!$B$9)</f>
        <v/>
      </c>
      <c r="M343" s="11">
        <f>G343+H343</f>
        <v/>
      </c>
      <c r="N343" s="11">
        <f>Summary!$C$16*Summary!$B$8</f>
        <v/>
      </c>
      <c r="O343" s="11">
        <f>M343-N343</f>
        <v/>
      </c>
    </row>
    <row r="344">
      <c r="A344" s="9" t="n">
        <v>45306.25</v>
      </c>
      <c r="B344" t="n">
        <v>1</v>
      </c>
      <c r="C344" t="n">
        <v>15</v>
      </c>
      <c r="D344" t="n">
        <v>6</v>
      </c>
      <c r="E344" s="10" t="n">
        <v>0</v>
      </c>
      <c r="F344" s="10" t="n">
        <v>0.4525693566166456</v>
      </c>
      <c r="G344" s="11">
        <f>E344*Summary!$B$6</f>
        <v/>
      </c>
      <c r="H344" s="11">
        <f>F344*Summary!$B$7</f>
        <v/>
      </c>
      <c r="I344" s="11">
        <f>MAX(0,N344-M344)</f>
        <v/>
      </c>
      <c r="J344" s="11">
        <f>MAX(0,M344-N344)</f>
        <v/>
      </c>
      <c r="K344" s="11">
        <f>O344</f>
        <v/>
      </c>
      <c r="L344" s="11">
        <f>L343+IF(K344&gt;0,K344*Summary!$B$9,K344/Summary!$B$9)</f>
        <v/>
      </c>
      <c r="M344" s="11">
        <f>G344+H344</f>
        <v/>
      </c>
      <c r="N344" s="11">
        <f>Summary!$C$16*Summary!$B$8</f>
        <v/>
      </c>
      <c r="O344" s="11">
        <f>M344-N344</f>
        <v/>
      </c>
    </row>
    <row r="345">
      <c r="A345" s="9" t="n">
        <v>45306.29166666666</v>
      </c>
      <c r="B345" t="n">
        <v>1</v>
      </c>
      <c r="C345" t="n">
        <v>15</v>
      </c>
      <c r="D345" t="n">
        <v>7</v>
      </c>
      <c r="E345" s="10" t="n">
        <v>0</v>
      </c>
      <c r="F345" s="10" t="n">
        <v>0.4425555942133426</v>
      </c>
      <c r="G345" s="11">
        <f>E345*Summary!$B$6</f>
        <v/>
      </c>
      <c r="H345" s="11">
        <f>F345*Summary!$B$7</f>
        <v/>
      </c>
      <c r="I345" s="11">
        <f>MAX(0,N345-M345)</f>
        <v/>
      </c>
      <c r="J345" s="11">
        <f>MAX(0,M345-N345)</f>
        <v/>
      </c>
      <c r="K345" s="11">
        <f>O345</f>
        <v/>
      </c>
      <c r="L345" s="11">
        <f>L344+IF(K345&gt;0,K345*Summary!$B$9,K345/Summary!$B$9)</f>
        <v/>
      </c>
      <c r="M345" s="11">
        <f>G345+H345</f>
        <v/>
      </c>
      <c r="N345" s="11">
        <f>Summary!$C$16*Summary!$B$8</f>
        <v/>
      </c>
      <c r="O345" s="11">
        <f>M345-N345</f>
        <v/>
      </c>
    </row>
    <row r="346">
      <c r="A346" s="9" t="n">
        <v>45306.33333333334</v>
      </c>
      <c r="B346" t="n">
        <v>1</v>
      </c>
      <c r="C346" t="n">
        <v>15</v>
      </c>
      <c r="D346" t="n">
        <v>8</v>
      </c>
      <c r="E346" s="10" t="n">
        <v>0</v>
      </c>
      <c r="F346" s="10" t="n">
        <v>0.4378912890939093</v>
      </c>
      <c r="G346" s="11">
        <f>E346*Summary!$B$6</f>
        <v/>
      </c>
      <c r="H346" s="11">
        <f>F346*Summary!$B$7</f>
        <v/>
      </c>
      <c r="I346" s="11">
        <f>MAX(0,N346-M346)</f>
        <v/>
      </c>
      <c r="J346" s="11">
        <f>MAX(0,M346-N346)</f>
        <v/>
      </c>
      <c r="K346" s="11">
        <f>O346</f>
        <v/>
      </c>
      <c r="L346" s="11">
        <f>L345+IF(K346&gt;0,K346*Summary!$B$9,K346/Summary!$B$9)</f>
        <v/>
      </c>
      <c r="M346" s="11">
        <f>G346+H346</f>
        <v/>
      </c>
      <c r="N346" s="11">
        <f>Summary!$C$16*Summary!$B$8</f>
        <v/>
      </c>
      <c r="O346" s="11">
        <f>M346-N346</f>
        <v/>
      </c>
    </row>
    <row r="347">
      <c r="A347" s="9" t="n">
        <v>45306.375</v>
      </c>
      <c r="B347" t="n">
        <v>1</v>
      </c>
      <c r="C347" t="n">
        <v>15</v>
      </c>
      <c r="D347" t="n">
        <v>9</v>
      </c>
      <c r="E347" s="10" t="n">
        <v>0.049812</v>
      </c>
      <c r="F347" s="10" t="n">
        <v>0.4449799787951949</v>
      </c>
      <c r="G347" s="11">
        <f>E347*Summary!$B$6</f>
        <v/>
      </c>
      <c r="H347" s="11">
        <f>F347*Summary!$B$7</f>
        <v/>
      </c>
      <c r="I347" s="11">
        <f>MAX(0,N347-M347)</f>
        <v/>
      </c>
      <c r="J347" s="11">
        <f>MAX(0,M347-N347)</f>
        <v/>
      </c>
      <c r="K347" s="11">
        <f>O347</f>
        <v/>
      </c>
      <c r="L347" s="11">
        <f>L346+IF(K347&gt;0,K347*Summary!$B$9,K347/Summary!$B$9)</f>
        <v/>
      </c>
      <c r="M347" s="11">
        <f>G347+H347</f>
        <v/>
      </c>
      <c r="N347" s="11">
        <f>Summary!$C$16*Summary!$B$8</f>
        <v/>
      </c>
      <c r="O347" s="11">
        <f>M347-N347</f>
        <v/>
      </c>
    </row>
    <row r="348">
      <c r="A348" s="9" t="n">
        <v>45306.41666666666</v>
      </c>
      <c r="B348" t="n">
        <v>1</v>
      </c>
      <c r="C348" t="n">
        <v>15</v>
      </c>
      <c r="D348" t="n">
        <v>10</v>
      </c>
      <c r="E348" s="10" t="n">
        <v>0.143874</v>
      </c>
      <c r="F348" s="10" t="n">
        <v>0.4407636577832779</v>
      </c>
      <c r="G348" s="11">
        <f>E348*Summary!$B$6</f>
        <v/>
      </c>
      <c r="H348" s="11">
        <f>F348*Summary!$B$7</f>
        <v/>
      </c>
      <c r="I348" s="11">
        <f>MAX(0,N348-M348)</f>
        <v/>
      </c>
      <c r="J348" s="11">
        <f>MAX(0,M348-N348)</f>
        <v/>
      </c>
      <c r="K348" s="11">
        <f>O348</f>
        <v/>
      </c>
      <c r="L348" s="11">
        <f>L347+IF(K348&gt;0,K348*Summary!$B$9,K348/Summary!$B$9)</f>
        <v/>
      </c>
      <c r="M348" s="11">
        <f>G348+H348</f>
        <v/>
      </c>
      <c r="N348" s="11">
        <f>Summary!$C$16*Summary!$B$8</f>
        <v/>
      </c>
      <c r="O348" s="11">
        <f>M348-N348</f>
        <v/>
      </c>
    </row>
    <row r="349">
      <c r="A349" s="9" t="n">
        <v>45306.45833333334</v>
      </c>
      <c r="B349" t="n">
        <v>1</v>
      </c>
      <c r="C349" t="n">
        <v>15</v>
      </c>
      <c r="D349" t="n">
        <v>11</v>
      </c>
      <c r="E349" s="10" t="n">
        <v>0.218282</v>
      </c>
      <c r="F349" s="10" t="n">
        <v>0.4326472398353375</v>
      </c>
      <c r="G349" s="11">
        <f>E349*Summary!$B$6</f>
        <v/>
      </c>
      <c r="H349" s="11">
        <f>F349*Summary!$B$7</f>
        <v/>
      </c>
      <c r="I349" s="11">
        <f>MAX(0,N349-M349)</f>
        <v/>
      </c>
      <c r="J349" s="11">
        <f>MAX(0,M349-N349)</f>
        <v/>
      </c>
      <c r="K349" s="11">
        <f>O349</f>
        <v/>
      </c>
      <c r="L349" s="11">
        <f>L348+IF(K349&gt;0,K349*Summary!$B$9,K349/Summary!$B$9)</f>
        <v/>
      </c>
      <c r="M349" s="11">
        <f>G349+H349</f>
        <v/>
      </c>
      <c r="N349" s="11">
        <f>Summary!$C$16*Summary!$B$8</f>
        <v/>
      </c>
      <c r="O349" s="11">
        <f>M349-N349</f>
        <v/>
      </c>
    </row>
    <row r="350">
      <c r="A350" s="9" t="n">
        <v>45306.5</v>
      </c>
      <c r="B350" t="n">
        <v>1</v>
      </c>
      <c r="C350" t="n">
        <v>15</v>
      </c>
      <c r="D350" t="n">
        <v>12</v>
      </c>
      <c r="E350" s="10" t="n">
        <v>0.237714</v>
      </c>
      <c r="F350" s="10" t="n">
        <v>0.4343601202464289</v>
      </c>
      <c r="G350" s="11">
        <f>E350*Summary!$B$6</f>
        <v/>
      </c>
      <c r="H350" s="11">
        <f>F350*Summary!$B$7</f>
        <v/>
      </c>
      <c r="I350" s="11">
        <f>MAX(0,N350-M350)</f>
        <v/>
      </c>
      <c r="J350" s="11">
        <f>MAX(0,M350-N350)</f>
        <v/>
      </c>
      <c r="K350" s="11">
        <f>O350</f>
        <v/>
      </c>
      <c r="L350" s="11">
        <f>L349+IF(K350&gt;0,K350*Summary!$B$9,K350/Summary!$B$9)</f>
        <v/>
      </c>
      <c r="M350" s="11">
        <f>G350+H350</f>
        <v/>
      </c>
      <c r="N350" s="11">
        <f>Summary!$C$16*Summary!$B$8</f>
        <v/>
      </c>
      <c r="O350" s="11">
        <f>M350-N350</f>
        <v/>
      </c>
    </row>
    <row r="351">
      <c r="A351" s="9" t="n">
        <v>45306.54166666666</v>
      </c>
      <c r="B351" t="n">
        <v>1</v>
      </c>
      <c r="C351" t="n">
        <v>15</v>
      </c>
      <c r="D351" t="n">
        <v>13</v>
      </c>
      <c r="E351" s="10" t="n">
        <v>0.202737</v>
      </c>
      <c r="F351" s="10" t="n">
        <v>0.4387345532962927</v>
      </c>
      <c r="G351" s="11">
        <f>E351*Summary!$B$6</f>
        <v/>
      </c>
      <c r="H351" s="11">
        <f>F351*Summary!$B$7</f>
        <v/>
      </c>
      <c r="I351" s="11">
        <f>MAX(0,N351-M351)</f>
        <v/>
      </c>
      <c r="J351" s="11">
        <f>MAX(0,M351-N351)</f>
        <v/>
      </c>
      <c r="K351" s="11">
        <f>O351</f>
        <v/>
      </c>
      <c r="L351" s="11">
        <f>L350+IF(K351&gt;0,K351*Summary!$B$9,K351/Summary!$B$9)</f>
        <v/>
      </c>
      <c r="M351" s="11">
        <f>G351+H351</f>
        <v/>
      </c>
      <c r="N351" s="11">
        <f>Summary!$C$16*Summary!$B$8</f>
        <v/>
      </c>
      <c r="O351" s="11">
        <f>M351-N351</f>
        <v/>
      </c>
    </row>
    <row r="352">
      <c r="A352" s="9" t="n">
        <v>45306.58333333334</v>
      </c>
      <c r="B352" t="n">
        <v>1</v>
      </c>
      <c r="C352" t="n">
        <v>15</v>
      </c>
      <c r="D352" t="n">
        <v>14</v>
      </c>
      <c r="E352" s="10" t="n">
        <v>0.120127</v>
      </c>
      <c r="F352" s="10" t="n">
        <v>0.4472462513391003</v>
      </c>
      <c r="G352" s="11">
        <f>E352*Summary!$B$6</f>
        <v/>
      </c>
      <c r="H352" s="11">
        <f>F352*Summary!$B$7</f>
        <v/>
      </c>
      <c r="I352" s="11">
        <f>MAX(0,N352-M352)</f>
        <v/>
      </c>
      <c r="J352" s="11">
        <f>MAX(0,M352-N352)</f>
        <v/>
      </c>
      <c r="K352" s="11">
        <f>O352</f>
        <v/>
      </c>
      <c r="L352" s="11">
        <f>L351+IF(K352&gt;0,K352*Summary!$B$9,K352/Summary!$B$9)</f>
        <v/>
      </c>
      <c r="M352" s="11">
        <f>G352+H352</f>
        <v/>
      </c>
      <c r="N352" s="11">
        <f>Summary!$C$16*Summary!$B$8</f>
        <v/>
      </c>
      <c r="O352" s="11">
        <f>M352-N352</f>
        <v/>
      </c>
    </row>
    <row r="353">
      <c r="A353" s="9" t="n">
        <v>45306.625</v>
      </c>
      <c r="B353" t="n">
        <v>1</v>
      </c>
      <c r="C353" t="n">
        <v>15</v>
      </c>
      <c r="D353" t="n">
        <v>15</v>
      </c>
      <c r="E353" s="10" t="n">
        <v>0.018237</v>
      </c>
      <c r="F353" s="10" t="n">
        <v>0.4634000312160075</v>
      </c>
      <c r="G353" s="11">
        <f>E353*Summary!$B$6</f>
        <v/>
      </c>
      <c r="H353" s="11">
        <f>F353*Summary!$B$7</f>
        <v/>
      </c>
      <c r="I353" s="11">
        <f>MAX(0,N353-M353)</f>
        <v/>
      </c>
      <c r="J353" s="11">
        <f>MAX(0,M353-N353)</f>
        <v/>
      </c>
      <c r="K353" s="11">
        <f>O353</f>
        <v/>
      </c>
      <c r="L353" s="11">
        <f>L352+IF(K353&gt;0,K353*Summary!$B$9,K353/Summary!$B$9)</f>
        <v/>
      </c>
      <c r="M353" s="11">
        <f>G353+H353</f>
        <v/>
      </c>
      <c r="N353" s="11">
        <f>Summary!$C$16*Summary!$B$8</f>
        <v/>
      </c>
      <c r="O353" s="11">
        <f>M353-N353</f>
        <v/>
      </c>
    </row>
    <row r="354">
      <c r="A354" s="9" t="n">
        <v>45306.66666666666</v>
      </c>
      <c r="B354" t="n">
        <v>1</v>
      </c>
      <c r="C354" t="n">
        <v>15</v>
      </c>
      <c r="D354" t="n">
        <v>16</v>
      </c>
      <c r="E354" s="10" t="n">
        <v>0</v>
      </c>
      <c r="F354" s="10" t="n">
        <v>0.4795011070802657</v>
      </c>
      <c r="G354" s="11">
        <f>E354*Summary!$B$6</f>
        <v/>
      </c>
      <c r="H354" s="11">
        <f>F354*Summary!$B$7</f>
        <v/>
      </c>
      <c r="I354" s="11">
        <f>MAX(0,N354-M354)</f>
        <v/>
      </c>
      <c r="J354" s="11">
        <f>MAX(0,M354-N354)</f>
        <v/>
      </c>
      <c r="K354" s="11">
        <f>O354</f>
        <v/>
      </c>
      <c r="L354" s="11">
        <f>L353+IF(K354&gt;0,K354*Summary!$B$9,K354/Summary!$B$9)</f>
        <v/>
      </c>
      <c r="M354" s="11">
        <f>G354+H354</f>
        <v/>
      </c>
      <c r="N354" s="11">
        <f>Summary!$C$16*Summary!$B$8</f>
        <v/>
      </c>
      <c r="O354" s="11">
        <f>M354-N354</f>
        <v/>
      </c>
    </row>
    <row r="355">
      <c r="A355" s="9" t="n">
        <v>45306.70833333334</v>
      </c>
      <c r="B355" t="n">
        <v>1</v>
      </c>
      <c r="C355" t="n">
        <v>15</v>
      </c>
      <c r="D355" t="n">
        <v>17</v>
      </c>
      <c r="E355" s="10" t="n">
        <v>0</v>
      </c>
      <c r="F355" s="10" t="n">
        <v>0.4849823243957578</v>
      </c>
      <c r="G355" s="11">
        <f>E355*Summary!$B$6</f>
        <v/>
      </c>
      <c r="H355" s="11">
        <f>F355*Summary!$B$7</f>
        <v/>
      </c>
      <c r="I355" s="11">
        <f>MAX(0,N355-M355)</f>
        <v/>
      </c>
      <c r="J355" s="11">
        <f>MAX(0,M355-N355)</f>
        <v/>
      </c>
      <c r="K355" s="11">
        <f>O355</f>
        <v/>
      </c>
      <c r="L355" s="11">
        <f>L354+IF(K355&gt;0,K355*Summary!$B$9,K355/Summary!$B$9)</f>
        <v/>
      </c>
      <c r="M355" s="11">
        <f>G355+H355</f>
        <v/>
      </c>
      <c r="N355" s="11">
        <f>Summary!$C$16*Summary!$B$8</f>
        <v/>
      </c>
      <c r="O355" s="11">
        <f>M355-N355</f>
        <v/>
      </c>
    </row>
    <row r="356">
      <c r="A356" s="9" t="n">
        <v>45306.75</v>
      </c>
      <c r="B356" t="n">
        <v>1</v>
      </c>
      <c r="C356" t="n">
        <v>15</v>
      </c>
      <c r="D356" t="n">
        <v>18</v>
      </c>
      <c r="E356" s="10" t="n">
        <v>0</v>
      </c>
      <c r="F356" s="10" t="n">
        <v>0.4950487908117098</v>
      </c>
      <c r="G356" s="11">
        <f>E356*Summary!$B$6</f>
        <v/>
      </c>
      <c r="H356" s="11">
        <f>F356*Summary!$B$7</f>
        <v/>
      </c>
      <c r="I356" s="11">
        <f>MAX(0,N356-M356)</f>
        <v/>
      </c>
      <c r="J356" s="11">
        <f>MAX(0,M356-N356)</f>
        <v/>
      </c>
      <c r="K356" s="11">
        <f>O356</f>
        <v/>
      </c>
      <c r="L356" s="11">
        <f>L355+IF(K356&gt;0,K356*Summary!$B$9,K356/Summary!$B$9)</f>
        <v/>
      </c>
      <c r="M356" s="11">
        <f>G356+H356</f>
        <v/>
      </c>
      <c r="N356" s="11">
        <f>Summary!$C$16*Summary!$B$8</f>
        <v/>
      </c>
      <c r="O356" s="11">
        <f>M356-N356</f>
        <v/>
      </c>
    </row>
    <row r="357">
      <c r="A357" s="9" t="n">
        <v>45306.79166666666</v>
      </c>
      <c r="B357" t="n">
        <v>1</v>
      </c>
      <c r="C357" t="n">
        <v>15</v>
      </c>
      <c r="D357" t="n">
        <v>19</v>
      </c>
      <c r="E357" s="10" t="n">
        <v>0</v>
      </c>
      <c r="F357" s="10" t="n">
        <v>0.4979475115074028</v>
      </c>
      <c r="G357" s="11">
        <f>E357*Summary!$B$6</f>
        <v/>
      </c>
      <c r="H357" s="11">
        <f>F357*Summary!$B$7</f>
        <v/>
      </c>
      <c r="I357" s="11">
        <f>MAX(0,N357-M357)</f>
        <v/>
      </c>
      <c r="J357" s="11">
        <f>MAX(0,M357-N357)</f>
        <v/>
      </c>
      <c r="K357" s="11">
        <f>O357</f>
        <v/>
      </c>
      <c r="L357" s="11">
        <f>L356+IF(K357&gt;0,K357*Summary!$B$9,K357/Summary!$B$9)</f>
        <v/>
      </c>
      <c r="M357" s="11">
        <f>G357+H357</f>
        <v/>
      </c>
      <c r="N357" s="11">
        <f>Summary!$C$16*Summary!$B$8</f>
        <v/>
      </c>
      <c r="O357" s="11">
        <f>M357-N357</f>
        <v/>
      </c>
    </row>
    <row r="358">
      <c r="A358" s="9" t="n">
        <v>45306.83333333334</v>
      </c>
      <c r="B358" t="n">
        <v>1</v>
      </c>
      <c r="C358" t="n">
        <v>15</v>
      </c>
      <c r="D358" t="n">
        <v>20</v>
      </c>
      <c r="E358" s="10" t="n">
        <v>0</v>
      </c>
      <c r="F358" s="10" t="n">
        <v>0.4967089672101521</v>
      </c>
      <c r="G358" s="11">
        <f>E358*Summary!$B$6</f>
        <v/>
      </c>
      <c r="H358" s="11">
        <f>F358*Summary!$B$7</f>
        <v/>
      </c>
      <c r="I358" s="11">
        <f>MAX(0,N358-M358)</f>
        <v/>
      </c>
      <c r="J358" s="11">
        <f>MAX(0,M358-N358)</f>
        <v/>
      </c>
      <c r="K358" s="11">
        <f>O358</f>
        <v/>
      </c>
      <c r="L358" s="11">
        <f>L357+IF(K358&gt;0,K358*Summary!$B$9,K358/Summary!$B$9)</f>
        <v/>
      </c>
      <c r="M358" s="11">
        <f>G358+H358</f>
        <v/>
      </c>
      <c r="N358" s="11">
        <f>Summary!$C$16*Summary!$B$8</f>
        <v/>
      </c>
      <c r="O358" s="11">
        <f>M358-N358</f>
        <v/>
      </c>
    </row>
    <row r="359">
      <c r="A359" s="9" t="n">
        <v>45306.875</v>
      </c>
      <c r="B359" t="n">
        <v>1</v>
      </c>
      <c r="C359" t="n">
        <v>15</v>
      </c>
      <c r="D359" t="n">
        <v>21</v>
      </c>
      <c r="E359" s="10" t="n">
        <v>0</v>
      </c>
      <c r="F359" s="10" t="n">
        <v>0.4995813358995206</v>
      </c>
      <c r="G359" s="11">
        <f>E359*Summary!$B$6</f>
        <v/>
      </c>
      <c r="H359" s="11">
        <f>F359*Summary!$B$7</f>
        <v/>
      </c>
      <c r="I359" s="11">
        <f>MAX(0,N359-M359)</f>
        <v/>
      </c>
      <c r="J359" s="11">
        <f>MAX(0,M359-N359)</f>
        <v/>
      </c>
      <c r="K359" s="11">
        <f>O359</f>
        <v/>
      </c>
      <c r="L359" s="11">
        <f>L358+IF(K359&gt;0,K359*Summary!$B$9,K359/Summary!$B$9)</f>
        <v/>
      </c>
      <c r="M359" s="11">
        <f>G359+H359</f>
        <v/>
      </c>
      <c r="N359" s="11">
        <f>Summary!$C$16*Summary!$B$8</f>
        <v/>
      </c>
      <c r="O359" s="11">
        <f>M359-N359</f>
        <v/>
      </c>
    </row>
    <row r="360">
      <c r="A360" s="9" t="n">
        <v>45306.91666666666</v>
      </c>
      <c r="B360" t="n">
        <v>1</v>
      </c>
      <c r="C360" t="n">
        <v>15</v>
      </c>
      <c r="D360" t="n">
        <v>22</v>
      </c>
      <c r="E360" s="10" t="n">
        <v>0</v>
      </c>
      <c r="F360" s="10" t="n">
        <v>0.4960765190583645</v>
      </c>
      <c r="G360" s="11">
        <f>E360*Summary!$B$6</f>
        <v/>
      </c>
      <c r="H360" s="11">
        <f>F360*Summary!$B$7</f>
        <v/>
      </c>
      <c r="I360" s="11">
        <f>MAX(0,N360-M360)</f>
        <v/>
      </c>
      <c r="J360" s="11">
        <f>MAX(0,M360-N360)</f>
        <v/>
      </c>
      <c r="K360" s="11">
        <f>O360</f>
        <v/>
      </c>
      <c r="L360" s="11">
        <f>L359+IF(K360&gt;0,K360*Summary!$B$9,K360/Summary!$B$9)</f>
        <v/>
      </c>
      <c r="M360" s="11">
        <f>G360+H360</f>
        <v/>
      </c>
      <c r="N360" s="11">
        <f>Summary!$C$16*Summary!$B$8</f>
        <v/>
      </c>
      <c r="O360" s="11">
        <f>M360-N360</f>
        <v/>
      </c>
    </row>
    <row r="361">
      <c r="A361" s="9" t="n">
        <v>45306.95833333334</v>
      </c>
      <c r="B361" t="n">
        <v>1</v>
      </c>
      <c r="C361" t="n">
        <v>15</v>
      </c>
      <c r="D361" t="n">
        <v>23</v>
      </c>
      <c r="E361" s="10" t="n">
        <v>0</v>
      </c>
      <c r="F361" s="10" t="n">
        <v>0.4905425977302235</v>
      </c>
      <c r="G361" s="11">
        <f>E361*Summary!$B$6</f>
        <v/>
      </c>
      <c r="H361" s="11">
        <f>F361*Summary!$B$7</f>
        <v/>
      </c>
      <c r="I361" s="11">
        <f>MAX(0,N361-M361)</f>
        <v/>
      </c>
      <c r="J361" s="11">
        <f>MAX(0,M361-N361)</f>
        <v/>
      </c>
      <c r="K361" s="11">
        <f>O361</f>
        <v/>
      </c>
      <c r="L361" s="11">
        <f>L360+IF(K361&gt;0,K361*Summary!$B$9,K361/Summary!$B$9)</f>
        <v/>
      </c>
      <c r="M361" s="11">
        <f>G361+H361</f>
        <v/>
      </c>
      <c r="N361" s="11">
        <f>Summary!$C$16*Summary!$B$8</f>
        <v/>
      </c>
      <c r="O361" s="11">
        <f>M361-N361</f>
        <v/>
      </c>
    </row>
    <row r="362">
      <c r="A362" s="9" t="n">
        <v>45307</v>
      </c>
      <c r="B362" t="n">
        <v>1</v>
      </c>
      <c r="C362" t="n">
        <v>16</v>
      </c>
      <c r="D362" t="n">
        <v>0</v>
      </c>
      <c r="E362" s="10" t="n">
        <v>0</v>
      </c>
      <c r="F362" s="10" t="n">
        <v>0.5253008940722146</v>
      </c>
      <c r="G362" s="11">
        <f>E362*Summary!$B$6</f>
        <v/>
      </c>
      <c r="H362" s="11">
        <f>F362*Summary!$B$7</f>
        <v/>
      </c>
      <c r="I362" s="11">
        <f>MAX(0,N362-M362)</f>
        <v/>
      </c>
      <c r="J362" s="11">
        <f>MAX(0,M362-N362)</f>
        <v/>
      </c>
      <c r="K362" s="11">
        <f>O362</f>
        <v/>
      </c>
      <c r="L362" s="11">
        <f>L361+IF(K362&gt;0,K362*Summary!$B$9,K362/Summary!$B$9)</f>
        <v/>
      </c>
      <c r="M362" s="11">
        <f>G362+H362</f>
        <v/>
      </c>
      <c r="N362" s="11">
        <f>Summary!$C$16*Summary!$B$8</f>
        <v/>
      </c>
      <c r="O362" s="11">
        <f>M362-N362</f>
        <v/>
      </c>
    </row>
    <row r="363">
      <c r="A363" s="9" t="n">
        <v>45307.04166666666</v>
      </c>
      <c r="B363" t="n">
        <v>1</v>
      </c>
      <c r="C363" t="n">
        <v>16</v>
      </c>
      <c r="D363" t="n">
        <v>1</v>
      </c>
      <c r="E363" s="10" t="n">
        <v>0</v>
      </c>
      <c r="F363" s="10" t="n">
        <v>0.4833748520099644</v>
      </c>
      <c r="G363" s="11">
        <f>E363*Summary!$B$6</f>
        <v/>
      </c>
      <c r="H363" s="11">
        <f>F363*Summary!$B$7</f>
        <v/>
      </c>
      <c r="I363" s="11">
        <f>MAX(0,N363-M363)</f>
        <v/>
      </c>
      <c r="J363" s="11">
        <f>MAX(0,M363-N363)</f>
        <v/>
      </c>
      <c r="K363" s="11">
        <f>O363</f>
        <v/>
      </c>
      <c r="L363" s="11">
        <f>L362+IF(K363&gt;0,K363*Summary!$B$9,K363/Summary!$B$9)</f>
        <v/>
      </c>
      <c r="M363" s="11">
        <f>G363+H363</f>
        <v/>
      </c>
      <c r="N363" s="11">
        <f>Summary!$C$16*Summary!$B$8</f>
        <v/>
      </c>
      <c r="O363" s="11">
        <f>M363-N363</f>
        <v/>
      </c>
    </row>
    <row r="364">
      <c r="A364" s="9" t="n">
        <v>45307.08333333334</v>
      </c>
      <c r="B364" t="n">
        <v>1</v>
      </c>
      <c r="C364" t="n">
        <v>16</v>
      </c>
      <c r="D364" t="n">
        <v>2</v>
      </c>
      <c r="E364" s="10" t="n">
        <v>0</v>
      </c>
      <c r="F364" s="10" t="n">
        <v>0.4879073970977753</v>
      </c>
      <c r="G364" s="11">
        <f>E364*Summary!$B$6</f>
        <v/>
      </c>
      <c r="H364" s="11">
        <f>F364*Summary!$B$7</f>
        <v/>
      </c>
      <c r="I364" s="11">
        <f>MAX(0,N364-M364)</f>
        <v/>
      </c>
      <c r="J364" s="11">
        <f>MAX(0,M364-N364)</f>
        <v/>
      </c>
      <c r="K364" s="11">
        <f>O364</f>
        <v/>
      </c>
      <c r="L364" s="11">
        <f>L363+IF(K364&gt;0,K364*Summary!$B$9,K364/Summary!$B$9)</f>
        <v/>
      </c>
      <c r="M364" s="11">
        <f>G364+H364</f>
        <v/>
      </c>
      <c r="N364" s="11">
        <f>Summary!$C$16*Summary!$B$8</f>
        <v/>
      </c>
      <c r="O364" s="11">
        <f>M364-N364</f>
        <v/>
      </c>
    </row>
    <row r="365">
      <c r="A365" s="9" t="n">
        <v>45307.125</v>
      </c>
      <c r="B365" t="n">
        <v>1</v>
      </c>
      <c r="C365" t="n">
        <v>16</v>
      </c>
      <c r="D365" t="n">
        <v>3</v>
      </c>
      <c r="E365" s="10" t="n">
        <v>0</v>
      </c>
      <c r="F365" s="10" t="n">
        <v>0.4957075909698219</v>
      </c>
      <c r="G365" s="11">
        <f>E365*Summary!$B$6</f>
        <v/>
      </c>
      <c r="H365" s="11">
        <f>F365*Summary!$B$7</f>
        <v/>
      </c>
      <c r="I365" s="11">
        <f>MAX(0,N365-M365)</f>
        <v/>
      </c>
      <c r="J365" s="11">
        <f>MAX(0,M365-N365)</f>
        <v/>
      </c>
      <c r="K365" s="11">
        <f>O365</f>
        <v/>
      </c>
      <c r="L365" s="11">
        <f>L364+IF(K365&gt;0,K365*Summary!$B$9,K365/Summary!$B$9)</f>
        <v/>
      </c>
      <c r="M365" s="11">
        <f>G365+H365</f>
        <v/>
      </c>
      <c r="N365" s="11">
        <f>Summary!$C$16*Summary!$B$8</f>
        <v/>
      </c>
      <c r="O365" s="11">
        <f>M365-N365</f>
        <v/>
      </c>
    </row>
    <row r="366">
      <c r="A366" s="9" t="n">
        <v>45307.16666666666</v>
      </c>
      <c r="B366" t="n">
        <v>1</v>
      </c>
      <c r="C366" t="n">
        <v>16</v>
      </c>
      <c r="D366" t="n">
        <v>4</v>
      </c>
      <c r="E366" s="10" t="n">
        <v>0</v>
      </c>
      <c r="F366" s="10" t="n">
        <v>0.4983954956149189</v>
      </c>
      <c r="G366" s="11">
        <f>E366*Summary!$B$6</f>
        <v/>
      </c>
      <c r="H366" s="11">
        <f>F366*Summary!$B$7</f>
        <v/>
      </c>
      <c r="I366" s="11">
        <f>MAX(0,N366-M366)</f>
        <v/>
      </c>
      <c r="J366" s="11">
        <f>MAX(0,M366-N366)</f>
        <v/>
      </c>
      <c r="K366" s="11">
        <f>O366</f>
        <v/>
      </c>
      <c r="L366" s="11">
        <f>L365+IF(K366&gt;0,K366*Summary!$B$9,K366/Summary!$B$9)</f>
        <v/>
      </c>
      <c r="M366" s="11">
        <f>G366+H366</f>
        <v/>
      </c>
      <c r="N366" s="11">
        <f>Summary!$C$16*Summary!$B$8</f>
        <v/>
      </c>
      <c r="O366" s="11">
        <f>M366-N366</f>
        <v/>
      </c>
    </row>
    <row r="367">
      <c r="A367" s="9" t="n">
        <v>45307.20833333334</v>
      </c>
      <c r="B367" t="n">
        <v>1</v>
      </c>
      <c r="C367" t="n">
        <v>16</v>
      </c>
      <c r="D367" t="n">
        <v>5</v>
      </c>
      <c r="E367" s="10" t="n">
        <v>0</v>
      </c>
      <c r="F367" s="10" t="n">
        <v>0.5029807447153787</v>
      </c>
      <c r="G367" s="11">
        <f>E367*Summary!$B$6</f>
        <v/>
      </c>
      <c r="H367" s="11">
        <f>F367*Summary!$B$7</f>
        <v/>
      </c>
      <c r="I367" s="11">
        <f>MAX(0,N367-M367)</f>
        <v/>
      </c>
      <c r="J367" s="11">
        <f>MAX(0,M367-N367)</f>
        <v/>
      </c>
      <c r="K367" s="11">
        <f>O367</f>
        <v/>
      </c>
      <c r="L367" s="11">
        <f>L366+IF(K367&gt;0,K367*Summary!$B$9,K367/Summary!$B$9)</f>
        <v/>
      </c>
      <c r="M367" s="11">
        <f>G367+H367</f>
        <v/>
      </c>
      <c r="N367" s="11">
        <f>Summary!$C$16*Summary!$B$8</f>
        <v/>
      </c>
      <c r="O367" s="11">
        <f>M367-N367</f>
        <v/>
      </c>
    </row>
    <row r="368">
      <c r="A368" s="9" t="n">
        <v>45307.25</v>
      </c>
      <c r="B368" t="n">
        <v>1</v>
      </c>
      <c r="C368" t="n">
        <v>16</v>
      </c>
      <c r="D368" t="n">
        <v>6</v>
      </c>
      <c r="E368" s="10" t="n">
        <v>0</v>
      </c>
      <c r="F368" s="10" t="n">
        <v>0.5050098492023638</v>
      </c>
      <c r="G368" s="11">
        <f>E368*Summary!$B$6</f>
        <v/>
      </c>
      <c r="H368" s="11">
        <f>F368*Summary!$B$7</f>
        <v/>
      </c>
      <c r="I368" s="11">
        <f>MAX(0,N368-M368)</f>
        <v/>
      </c>
      <c r="J368" s="11">
        <f>MAX(0,M368-N368)</f>
        <v/>
      </c>
      <c r="K368" s="11">
        <f>O368</f>
        <v/>
      </c>
      <c r="L368" s="11">
        <f>L367+IF(K368&gt;0,K368*Summary!$B$9,K368/Summary!$B$9)</f>
        <v/>
      </c>
      <c r="M368" s="11">
        <f>G368+H368</f>
        <v/>
      </c>
      <c r="N368" s="11">
        <f>Summary!$C$16*Summary!$B$8</f>
        <v/>
      </c>
      <c r="O368" s="11">
        <f>M368-N368</f>
        <v/>
      </c>
    </row>
    <row r="369">
      <c r="A369" s="9" t="n">
        <v>45307.29166666666</v>
      </c>
      <c r="B369" t="n">
        <v>1</v>
      </c>
      <c r="C369" t="n">
        <v>16</v>
      </c>
      <c r="D369" t="n">
        <v>7</v>
      </c>
      <c r="E369" s="10" t="n">
        <v>0</v>
      </c>
      <c r="F369" s="10" t="n">
        <v>0.5031388567533256</v>
      </c>
      <c r="G369" s="11">
        <f>E369*Summary!$B$6</f>
        <v/>
      </c>
      <c r="H369" s="11">
        <f>F369*Summary!$B$7</f>
        <v/>
      </c>
      <c r="I369" s="11">
        <f>MAX(0,N369-M369)</f>
        <v/>
      </c>
      <c r="J369" s="11">
        <f>MAX(0,M369-N369)</f>
        <v/>
      </c>
      <c r="K369" s="11">
        <f>O369</f>
        <v/>
      </c>
      <c r="L369" s="11">
        <f>L368+IF(K369&gt;0,K369*Summary!$B$9,K369/Summary!$B$9)</f>
        <v/>
      </c>
      <c r="M369" s="11">
        <f>G369+H369</f>
        <v/>
      </c>
      <c r="N369" s="11">
        <f>Summary!$C$16*Summary!$B$8</f>
        <v/>
      </c>
      <c r="O369" s="11">
        <f>M369-N369</f>
        <v/>
      </c>
    </row>
    <row r="370">
      <c r="A370" s="9" t="n">
        <v>45307.33333333334</v>
      </c>
      <c r="B370" t="n">
        <v>1</v>
      </c>
      <c r="C370" t="n">
        <v>16</v>
      </c>
      <c r="D370" t="n">
        <v>8</v>
      </c>
      <c r="E370" s="10" t="n">
        <v>0</v>
      </c>
      <c r="F370" s="10" t="n">
        <v>0.4976312874315089</v>
      </c>
      <c r="G370" s="11">
        <f>E370*Summary!$B$6</f>
        <v/>
      </c>
      <c r="H370" s="11">
        <f>F370*Summary!$B$7</f>
        <v/>
      </c>
      <c r="I370" s="11">
        <f>MAX(0,N370-M370)</f>
        <v/>
      </c>
      <c r="J370" s="11">
        <f>MAX(0,M370-N370)</f>
        <v/>
      </c>
      <c r="K370" s="11">
        <f>O370</f>
        <v/>
      </c>
      <c r="L370" s="11">
        <f>L369+IF(K370&gt;0,K370*Summary!$B$9,K370/Summary!$B$9)</f>
        <v/>
      </c>
      <c r="M370" s="11">
        <f>G370+H370</f>
        <v/>
      </c>
      <c r="N370" s="11">
        <f>Summary!$C$16*Summary!$B$8</f>
        <v/>
      </c>
      <c r="O370" s="11">
        <f>M370-N370</f>
        <v/>
      </c>
    </row>
    <row r="371">
      <c r="A371" s="9" t="n">
        <v>45307.375</v>
      </c>
      <c r="B371" t="n">
        <v>1</v>
      </c>
      <c r="C371" t="n">
        <v>16</v>
      </c>
      <c r="D371" t="n">
        <v>9</v>
      </c>
      <c r="E371" s="10" t="n">
        <v>0.021719</v>
      </c>
      <c r="F371" s="10" t="n">
        <v>0.4948906787737629</v>
      </c>
      <c r="G371" s="11">
        <f>E371*Summary!$B$6</f>
        <v/>
      </c>
      <c r="H371" s="11">
        <f>F371*Summary!$B$7</f>
        <v/>
      </c>
      <c r="I371" s="11">
        <f>MAX(0,N371-M371)</f>
        <v/>
      </c>
      <c r="J371" s="11">
        <f>MAX(0,M371-N371)</f>
        <v/>
      </c>
      <c r="K371" s="11">
        <f>O371</f>
        <v/>
      </c>
      <c r="L371" s="11">
        <f>L370+IF(K371&gt;0,K371*Summary!$B$9,K371/Summary!$B$9)</f>
        <v/>
      </c>
      <c r="M371" s="11">
        <f>G371+H371</f>
        <v/>
      </c>
      <c r="N371" s="11">
        <f>Summary!$C$16*Summary!$B$8</f>
        <v/>
      </c>
      <c r="O371" s="11">
        <f>M371-N371</f>
        <v/>
      </c>
    </row>
    <row r="372">
      <c r="A372" s="9" t="n">
        <v>45307.41666666666</v>
      </c>
      <c r="B372" t="n">
        <v>1</v>
      </c>
      <c r="C372" t="n">
        <v>16</v>
      </c>
      <c r="D372" t="n">
        <v>10</v>
      </c>
      <c r="E372" s="10" t="n">
        <v>0.113396</v>
      </c>
      <c r="F372" s="10" t="n">
        <v>0.4951541988370077</v>
      </c>
      <c r="G372" s="11">
        <f>E372*Summary!$B$6</f>
        <v/>
      </c>
      <c r="H372" s="11">
        <f>F372*Summary!$B$7</f>
        <v/>
      </c>
      <c r="I372" s="11">
        <f>MAX(0,N372-M372)</f>
        <v/>
      </c>
      <c r="J372" s="11">
        <f>MAX(0,M372-N372)</f>
        <v/>
      </c>
      <c r="K372" s="11">
        <f>O372</f>
        <v/>
      </c>
      <c r="L372" s="11">
        <f>L371+IF(K372&gt;0,K372*Summary!$B$9,K372/Summary!$B$9)</f>
        <v/>
      </c>
      <c r="M372" s="11">
        <f>G372+H372</f>
        <v/>
      </c>
      <c r="N372" s="11">
        <f>Summary!$C$16*Summary!$B$8</f>
        <v/>
      </c>
      <c r="O372" s="11">
        <f>M372-N372</f>
        <v/>
      </c>
    </row>
    <row r="373">
      <c r="A373" s="9" t="n">
        <v>45307.45833333334</v>
      </c>
      <c r="B373" t="n">
        <v>1</v>
      </c>
      <c r="C373" t="n">
        <v>16</v>
      </c>
      <c r="D373" t="n">
        <v>11</v>
      </c>
      <c r="E373" s="10" t="n">
        <v>0.080856</v>
      </c>
      <c r="F373" s="10" t="n">
        <v>0.4908324697997927</v>
      </c>
      <c r="G373" s="11">
        <f>E373*Summary!$B$6</f>
        <v/>
      </c>
      <c r="H373" s="11">
        <f>F373*Summary!$B$7</f>
        <v/>
      </c>
      <c r="I373" s="11">
        <f>MAX(0,N373-M373)</f>
        <v/>
      </c>
      <c r="J373" s="11">
        <f>MAX(0,M373-N373)</f>
        <v/>
      </c>
      <c r="K373" s="11">
        <f>O373</f>
        <v/>
      </c>
      <c r="L373" s="11">
        <f>L372+IF(K373&gt;0,K373*Summary!$B$9,K373/Summary!$B$9)</f>
        <v/>
      </c>
      <c r="M373" s="11">
        <f>G373+H373</f>
        <v/>
      </c>
      <c r="N373" s="11">
        <f>Summary!$C$16*Summary!$B$8</f>
        <v/>
      </c>
      <c r="O373" s="11">
        <f>M373-N373</f>
        <v/>
      </c>
    </row>
    <row r="374">
      <c r="A374" s="9" t="n">
        <v>45307.5</v>
      </c>
      <c r="B374" t="n">
        <v>1</v>
      </c>
      <c r="C374" t="n">
        <v>16</v>
      </c>
      <c r="D374" t="n">
        <v>12</v>
      </c>
      <c r="E374" s="10" t="n">
        <v>0.053422</v>
      </c>
      <c r="F374" s="10" t="n">
        <v>0.483295795990991</v>
      </c>
      <c r="G374" s="11">
        <f>E374*Summary!$B$6</f>
        <v/>
      </c>
      <c r="H374" s="11">
        <f>F374*Summary!$B$7</f>
        <v/>
      </c>
      <c r="I374" s="11">
        <f>MAX(0,N374-M374)</f>
        <v/>
      </c>
      <c r="J374" s="11">
        <f>MAX(0,M374-N374)</f>
        <v/>
      </c>
      <c r="K374" s="11">
        <f>O374</f>
        <v/>
      </c>
      <c r="L374" s="11">
        <f>L373+IF(K374&gt;0,K374*Summary!$B$9,K374/Summary!$B$9)</f>
        <v/>
      </c>
      <c r="M374" s="11">
        <f>G374+H374</f>
        <v/>
      </c>
      <c r="N374" s="11">
        <f>Summary!$C$16*Summary!$B$8</f>
        <v/>
      </c>
      <c r="O374" s="11">
        <f>M374-N374</f>
        <v/>
      </c>
    </row>
    <row r="375">
      <c r="A375" s="9" t="n">
        <v>45307.54166666666</v>
      </c>
      <c r="B375" t="n">
        <v>1</v>
      </c>
      <c r="C375" t="n">
        <v>16</v>
      </c>
      <c r="D375" t="n">
        <v>13</v>
      </c>
      <c r="E375" s="10" t="n">
        <v>0.029715</v>
      </c>
      <c r="F375" s="10" t="n">
        <v>0.4789477149474516</v>
      </c>
      <c r="G375" s="11">
        <f>E375*Summary!$B$6</f>
        <v/>
      </c>
      <c r="H375" s="11">
        <f>F375*Summary!$B$7</f>
        <v/>
      </c>
      <c r="I375" s="11">
        <f>MAX(0,N375-M375)</f>
        <v/>
      </c>
      <c r="J375" s="11">
        <f>MAX(0,M375-N375)</f>
        <v/>
      </c>
      <c r="K375" s="11">
        <f>O375</f>
        <v/>
      </c>
      <c r="L375" s="11">
        <f>L374+IF(K375&gt;0,K375*Summary!$B$9,K375/Summary!$B$9)</f>
        <v/>
      </c>
      <c r="M375" s="11">
        <f>G375+H375</f>
        <v/>
      </c>
      <c r="N375" s="11">
        <f>Summary!$C$16*Summary!$B$8</f>
        <v/>
      </c>
      <c r="O375" s="11">
        <f>M375-N375</f>
        <v/>
      </c>
    </row>
    <row r="376">
      <c r="A376" s="9" t="n">
        <v>45307.58333333334</v>
      </c>
      <c r="B376" t="n">
        <v>1</v>
      </c>
      <c r="C376" t="n">
        <v>16</v>
      </c>
      <c r="D376" t="n">
        <v>14</v>
      </c>
      <c r="E376" s="10" t="n">
        <v>0.02063</v>
      </c>
      <c r="F376" s="10" t="n">
        <v>0.472675937442225</v>
      </c>
      <c r="G376" s="11">
        <f>E376*Summary!$B$6</f>
        <v/>
      </c>
      <c r="H376" s="11">
        <f>F376*Summary!$B$7</f>
        <v/>
      </c>
      <c r="I376" s="11">
        <f>MAX(0,N376-M376)</f>
        <v/>
      </c>
      <c r="J376" s="11">
        <f>MAX(0,M376-N376)</f>
        <v/>
      </c>
      <c r="K376" s="11">
        <f>O376</f>
        <v/>
      </c>
      <c r="L376" s="11">
        <f>L375+IF(K376&gt;0,K376*Summary!$B$9,K376/Summary!$B$9)</f>
        <v/>
      </c>
      <c r="M376" s="11">
        <f>G376+H376</f>
        <v/>
      </c>
      <c r="N376" s="11">
        <f>Summary!$C$16*Summary!$B$8</f>
        <v/>
      </c>
      <c r="O376" s="11">
        <f>M376-N376</f>
        <v/>
      </c>
    </row>
    <row r="377">
      <c r="A377" s="9" t="n">
        <v>45307.625</v>
      </c>
      <c r="B377" t="n">
        <v>1</v>
      </c>
      <c r="C377" t="n">
        <v>16</v>
      </c>
      <c r="D377" t="n">
        <v>15</v>
      </c>
      <c r="E377" s="10" t="n">
        <v>0</v>
      </c>
      <c r="F377" s="10" t="n">
        <v>0.4704623689109685</v>
      </c>
      <c r="G377" s="11">
        <f>E377*Summary!$B$6</f>
        <v/>
      </c>
      <c r="H377" s="11">
        <f>F377*Summary!$B$7</f>
        <v/>
      </c>
      <c r="I377" s="11">
        <f>MAX(0,N377-M377)</f>
        <v/>
      </c>
      <c r="J377" s="11">
        <f>MAX(0,M377-N377)</f>
        <v/>
      </c>
      <c r="K377" s="11">
        <f>O377</f>
        <v/>
      </c>
      <c r="L377" s="11">
        <f>L376+IF(K377&gt;0,K377*Summary!$B$9,K377/Summary!$B$9)</f>
        <v/>
      </c>
      <c r="M377" s="11">
        <f>G377+H377</f>
        <v/>
      </c>
      <c r="N377" s="11">
        <f>Summary!$C$16*Summary!$B$8</f>
        <v/>
      </c>
      <c r="O377" s="11">
        <f>M377-N377</f>
        <v/>
      </c>
    </row>
    <row r="378">
      <c r="A378" s="9" t="n">
        <v>45307.66666666666</v>
      </c>
      <c r="B378" t="n">
        <v>1</v>
      </c>
      <c r="C378" t="n">
        <v>16</v>
      </c>
      <c r="D378" t="n">
        <v>16</v>
      </c>
      <c r="E378" s="10" t="n">
        <v>0</v>
      </c>
      <c r="F378" s="10" t="n">
        <v>0.4751003220240773</v>
      </c>
      <c r="G378" s="11">
        <f>E378*Summary!$B$6</f>
        <v/>
      </c>
      <c r="H378" s="11">
        <f>F378*Summary!$B$7</f>
        <v/>
      </c>
      <c r="I378" s="11">
        <f>MAX(0,N378-M378)</f>
        <v/>
      </c>
      <c r="J378" s="11">
        <f>MAX(0,M378-N378)</f>
        <v/>
      </c>
      <c r="K378" s="11">
        <f>O378</f>
        <v/>
      </c>
      <c r="L378" s="11">
        <f>L377+IF(K378&gt;0,K378*Summary!$B$9,K378/Summary!$B$9)</f>
        <v/>
      </c>
      <c r="M378" s="11">
        <f>G378+H378</f>
        <v/>
      </c>
      <c r="N378" s="11">
        <f>Summary!$C$16*Summary!$B$8</f>
        <v/>
      </c>
      <c r="O378" s="11">
        <f>M378-N378</f>
        <v/>
      </c>
    </row>
    <row r="379">
      <c r="A379" s="9" t="n">
        <v>45307.70833333334</v>
      </c>
      <c r="B379" t="n">
        <v>1</v>
      </c>
      <c r="C379" t="n">
        <v>16</v>
      </c>
      <c r="D379" t="n">
        <v>17</v>
      </c>
      <c r="E379" s="10" t="n">
        <v>0</v>
      </c>
      <c r="F379" s="10" t="n">
        <v>0.4770503704920889</v>
      </c>
      <c r="G379" s="11">
        <f>E379*Summary!$B$6</f>
        <v/>
      </c>
      <c r="H379" s="11">
        <f>F379*Summary!$B$7</f>
        <v/>
      </c>
      <c r="I379" s="11">
        <f>MAX(0,N379-M379)</f>
        <v/>
      </c>
      <c r="J379" s="11">
        <f>MAX(0,M379-N379)</f>
        <v/>
      </c>
      <c r="K379" s="11">
        <f>O379</f>
        <v/>
      </c>
      <c r="L379" s="11">
        <f>L378+IF(K379&gt;0,K379*Summary!$B$9,K379/Summary!$B$9)</f>
        <v/>
      </c>
      <c r="M379" s="11">
        <f>G379+H379</f>
        <v/>
      </c>
      <c r="N379" s="11">
        <f>Summary!$C$16*Summary!$B$8</f>
        <v/>
      </c>
      <c r="O379" s="11">
        <f>M379-N379</f>
        <v/>
      </c>
    </row>
    <row r="380">
      <c r="A380" s="9" t="n">
        <v>45307.75</v>
      </c>
      <c r="B380" t="n">
        <v>1</v>
      </c>
      <c r="C380" t="n">
        <v>16</v>
      </c>
      <c r="D380" t="n">
        <v>18</v>
      </c>
      <c r="E380" s="10" t="n">
        <v>0</v>
      </c>
      <c r="F380" s="10" t="n">
        <v>0.4808187073964898</v>
      </c>
      <c r="G380" s="11">
        <f>E380*Summary!$B$6</f>
        <v/>
      </c>
      <c r="H380" s="11">
        <f>F380*Summary!$B$7</f>
        <v/>
      </c>
      <c r="I380" s="11">
        <f>MAX(0,N380-M380)</f>
        <v/>
      </c>
      <c r="J380" s="11">
        <f>MAX(0,M380-N380)</f>
        <v/>
      </c>
      <c r="K380" s="11">
        <f>O380</f>
        <v/>
      </c>
      <c r="L380" s="11">
        <f>L379+IF(K380&gt;0,K380*Summary!$B$9,K380/Summary!$B$9)</f>
        <v/>
      </c>
      <c r="M380" s="11">
        <f>G380+H380</f>
        <v/>
      </c>
      <c r="N380" s="11">
        <f>Summary!$C$16*Summary!$B$8</f>
        <v/>
      </c>
      <c r="O380" s="11">
        <f>M380-N380</f>
        <v/>
      </c>
    </row>
    <row r="381">
      <c r="A381" s="9" t="n">
        <v>45307.79166666666</v>
      </c>
      <c r="B381" t="n">
        <v>1</v>
      </c>
      <c r="C381" t="n">
        <v>16</v>
      </c>
      <c r="D381" t="n">
        <v>19</v>
      </c>
      <c r="E381" s="10" t="n">
        <v>0</v>
      </c>
      <c r="F381" s="10" t="n">
        <v>0.4852721964653272</v>
      </c>
      <c r="G381" s="11">
        <f>E381*Summary!$B$6</f>
        <v/>
      </c>
      <c r="H381" s="11">
        <f>F381*Summary!$B$7</f>
        <v/>
      </c>
      <c r="I381" s="11">
        <f>MAX(0,N381-M381)</f>
        <v/>
      </c>
      <c r="J381" s="11">
        <f>MAX(0,M381-N381)</f>
        <v/>
      </c>
      <c r="K381" s="11">
        <f>O381</f>
        <v/>
      </c>
      <c r="L381" s="11">
        <f>L380+IF(K381&gt;0,K381*Summary!$B$9,K381/Summary!$B$9)</f>
        <v/>
      </c>
      <c r="M381" s="11">
        <f>G381+H381</f>
        <v/>
      </c>
      <c r="N381" s="11">
        <f>Summary!$C$16*Summary!$B$8</f>
        <v/>
      </c>
      <c r="O381" s="11">
        <f>M381-N381</f>
        <v/>
      </c>
    </row>
    <row r="382">
      <c r="A382" s="9" t="n">
        <v>45307.83333333334</v>
      </c>
      <c r="B382" t="n">
        <v>1</v>
      </c>
      <c r="C382" t="n">
        <v>16</v>
      </c>
      <c r="D382" t="n">
        <v>20</v>
      </c>
      <c r="E382" s="10" t="n">
        <v>0</v>
      </c>
      <c r="F382" s="10" t="n">
        <v>0.4883026771926425</v>
      </c>
      <c r="G382" s="11">
        <f>E382*Summary!$B$6</f>
        <v/>
      </c>
      <c r="H382" s="11">
        <f>F382*Summary!$B$7</f>
        <v/>
      </c>
      <c r="I382" s="11">
        <f>MAX(0,N382-M382)</f>
        <v/>
      </c>
      <c r="J382" s="11">
        <f>MAX(0,M382-N382)</f>
        <v/>
      </c>
      <c r="K382" s="11">
        <f>O382</f>
        <v/>
      </c>
      <c r="L382" s="11">
        <f>L381+IF(K382&gt;0,K382*Summary!$B$9,K382/Summary!$B$9)</f>
        <v/>
      </c>
      <c r="M382" s="11">
        <f>G382+H382</f>
        <v/>
      </c>
      <c r="N382" s="11">
        <f>Summary!$C$16*Summary!$B$8</f>
        <v/>
      </c>
      <c r="O382" s="11">
        <f>M382-N382</f>
        <v/>
      </c>
    </row>
    <row r="383">
      <c r="A383" s="9" t="n">
        <v>45307.875</v>
      </c>
      <c r="B383" t="n">
        <v>1</v>
      </c>
      <c r="C383" t="n">
        <v>16</v>
      </c>
      <c r="D383" t="n">
        <v>21</v>
      </c>
      <c r="E383" s="10" t="n">
        <v>0</v>
      </c>
      <c r="F383" s="10" t="n">
        <v>0.4865634447752267</v>
      </c>
      <c r="G383" s="11">
        <f>E383*Summary!$B$6</f>
        <v/>
      </c>
      <c r="H383" s="11">
        <f>F383*Summary!$B$7</f>
        <v/>
      </c>
      <c r="I383" s="11">
        <f>MAX(0,N383-M383)</f>
        <v/>
      </c>
      <c r="J383" s="11">
        <f>MAX(0,M383-N383)</f>
        <v/>
      </c>
      <c r="K383" s="11">
        <f>O383</f>
        <v/>
      </c>
      <c r="L383" s="11">
        <f>L382+IF(K383&gt;0,K383*Summary!$B$9,K383/Summary!$B$9)</f>
        <v/>
      </c>
      <c r="M383" s="11">
        <f>G383+H383</f>
        <v/>
      </c>
      <c r="N383" s="11">
        <f>Summary!$C$16*Summary!$B$8</f>
        <v/>
      </c>
      <c r="O383" s="11">
        <f>M383-N383</f>
        <v/>
      </c>
    </row>
    <row r="384">
      <c r="A384" s="9" t="n">
        <v>45307.91666666666</v>
      </c>
      <c r="B384" t="n">
        <v>1</v>
      </c>
      <c r="C384" t="n">
        <v>16</v>
      </c>
      <c r="D384" t="n">
        <v>22</v>
      </c>
      <c r="E384" s="10" t="n">
        <v>0</v>
      </c>
      <c r="F384" s="10" t="n">
        <v>0.4802389632573512</v>
      </c>
      <c r="G384" s="11">
        <f>E384*Summary!$B$6</f>
        <v/>
      </c>
      <c r="H384" s="11">
        <f>F384*Summary!$B$7</f>
        <v/>
      </c>
      <c r="I384" s="11">
        <f>MAX(0,N384-M384)</f>
        <v/>
      </c>
      <c r="J384" s="11">
        <f>MAX(0,M384-N384)</f>
        <v/>
      </c>
      <c r="K384" s="11">
        <f>O384</f>
        <v/>
      </c>
      <c r="L384" s="11">
        <f>L383+IF(K384&gt;0,K384*Summary!$B$9,K384/Summary!$B$9)</f>
        <v/>
      </c>
      <c r="M384" s="11">
        <f>G384+H384</f>
        <v/>
      </c>
      <c r="N384" s="11">
        <f>Summary!$C$16*Summary!$B$8</f>
        <v/>
      </c>
      <c r="O384" s="11">
        <f>M384-N384</f>
        <v/>
      </c>
    </row>
    <row r="385">
      <c r="A385" s="9" t="n">
        <v>45307.95833333334</v>
      </c>
      <c r="B385" t="n">
        <v>1</v>
      </c>
      <c r="C385" t="n">
        <v>16</v>
      </c>
      <c r="D385" t="n">
        <v>23</v>
      </c>
      <c r="E385" s="10" t="n">
        <v>0</v>
      </c>
      <c r="F385" s="10" t="n">
        <v>0.477603762624903</v>
      </c>
      <c r="G385" s="11">
        <f>E385*Summary!$B$6</f>
        <v/>
      </c>
      <c r="H385" s="11">
        <f>F385*Summary!$B$7</f>
        <v/>
      </c>
      <c r="I385" s="11">
        <f>MAX(0,N385-M385)</f>
        <v/>
      </c>
      <c r="J385" s="11">
        <f>MAX(0,M385-N385)</f>
        <v/>
      </c>
      <c r="K385" s="11">
        <f>O385</f>
        <v/>
      </c>
      <c r="L385" s="11">
        <f>L384+IF(K385&gt;0,K385*Summary!$B$9,K385/Summary!$B$9)</f>
        <v/>
      </c>
      <c r="M385" s="11">
        <f>G385+H385</f>
        <v/>
      </c>
      <c r="N385" s="11">
        <f>Summary!$C$16*Summary!$B$8</f>
        <v/>
      </c>
      <c r="O385" s="11">
        <f>M385-N385</f>
        <v/>
      </c>
    </row>
    <row r="386">
      <c r="A386" s="9" t="n">
        <v>45308</v>
      </c>
      <c r="B386" t="n">
        <v>1</v>
      </c>
      <c r="C386" t="n">
        <v>17</v>
      </c>
      <c r="D386" t="n">
        <v>0</v>
      </c>
      <c r="E386" s="10" t="n">
        <v>0</v>
      </c>
      <c r="F386" s="10" t="n">
        <v>0.399180191803246</v>
      </c>
      <c r="G386" s="11">
        <f>E386*Summary!$B$6</f>
        <v/>
      </c>
      <c r="H386" s="11">
        <f>F386*Summary!$B$7</f>
        <v/>
      </c>
      <c r="I386" s="11">
        <f>MAX(0,N386-M386)</f>
        <v/>
      </c>
      <c r="J386" s="11">
        <f>MAX(0,M386-N386)</f>
        <v/>
      </c>
      <c r="K386" s="11">
        <f>O386</f>
        <v/>
      </c>
      <c r="L386" s="11">
        <f>L385+IF(K386&gt;0,K386*Summary!$B$9,K386/Summary!$B$9)</f>
        <v/>
      </c>
      <c r="M386" s="11">
        <f>G386+H386</f>
        <v/>
      </c>
      <c r="N386" s="11">
        <f>Summary!$C$16*Summary!$B$8</f>
        <v/>
      </c>
      <c r="O386" s="11">
        <f>M386-N386</f>
        <v/>
      </c>
    </row>
    <row r="387">
      <c r="A387" s="9" t="n">
        <v>45308.04166666666</v>
      </c>
      <c r="B387" t="n">
        <v>1</v>
      </c>
      <c r="C387" t="n">
        <v>17</v>
      </c>
      <c r="D387" t="n">
        <v>1</v>
      </c>
      <c r="E387" s="10" t="n">
        <v>0</v>
      </c>
      <c r="F387" s="10" t="n">
        <v>0.4840863561807254</v>
      </c>
      <c r="G387" s="11">
        <f>E387*Summary!$B$6</f>
        <v/>
      </c>
      <c r="H387" s="11">
        <f>F387*Summary!$B$7</f>
        <v/>
      </c>
      <c r="I387" s="11">
        <f>MAX(0,N387-M387)</f>
        <v/>
      </c>
      <c r="J387" s="11">
        <f>MAX(0,M387-N387)</f>
        <v/>
      </c>
      <c r="K387" s="11">
        <f>O387</f>
        <v/>
      </c>
      <c r="L387" s="11">
        <f>L386+IF(K387&gt;0,K387*Summary!$B$9,K387/Summary!$B$9)</f>
        <v/>
      </c>
      <c r="M387" s="11">
        <f>G387+H387</f>
        <v/>
      </c>
      <c r="N387" s="11">
        <f>Summary!$C$16*Summary!$B$8</f>
        <v/>
      </c>
      <c r="O387" s="11">
        <f>M387-N387</f>
        <v/>
      </c>
    </row>
    <row r="388">
      <c r="A388" s="9" t="n">
        <v>45308.08333333334</v>
      </c>
      <c r="B388" t="n">
        <v>1</v>
      </c>
      <c r="C388" t="n">
        <v>17</v>
      </c>
      <c r="D388" t="n">
        <v>2</v>
      </c>
      <c r="E388" s="10" t="n">
        <v>0</v>
      </c>
      <c r="F388" s="10" t="n">
        <v>0.4926507582361819</v>
      </c>
      <c r="G388" s="11">
        <f>E388*Summary!$B$6</f>
        <v/>
      </c>
      <c r="H388" s="11">
        <f>F388*Summary!$B$7</f>
        <v/>
      </c>
      <c r="I388" s="11">
        <f>MAX(0,N388-M388)</f>
        <v/>
      </c>
      <c r="J388" s="11">
        <f>MAX(0,M388-N388)</f>
        <v/>
      </c>
      <c r="K388" s="11">
        <f>O388</f>
        <v/>
      </c>
      <c r="L388" s="11">
        <f>L387+IF(K388&gt;0,K388*Summary!$B$9,K388/Summary!$B$9)</f>
        <v/>
      </c>
      <c r="M388" s="11">
        <f>G388+H388</f>
        <v/>
      </c>
      <c r="N388" s="11">
        <f>Summary!$C$16*Summary!$B$8</f>
        <v/>
      </c>
      <c r="O388" s="11">
        <f>M388-N388</f>
        <v/>
      </c>
    </row>
    <row r="389">
      <c r="A389" s="9" t="n">
        <v>45308.125</v>
      </c>
      <c r="B389" t="n">
        <v>1</v>
      </c>
      <c r="C389" t="n">
        <v>17</v>
      </c>
      <c r="D389" t="n">
        <v>3</v>
      </c>
      <c r="E389" s="10" t="n">
        <v>0</v>
      </c>
      <c r="F389" s="10" t="n">
        <v>0.5002401360576326</v>
      </c>
      <c r="G389" s="11">
        <f>E389*Summary!$B$6</f>
        <v/>
      </c>
      <c r="H389" s="11">
        <f>F389*Summary!$B$7</f>
        <v/>
      </c>
      <c r="I389" s="11">
        <f>MAX(0,N389-M389)</f>
        <v/>
      </c>
      <c r="J389" s="11">
        <f>MAX(0,M389-N389)</f>
        <v/>
      </c>
      <c r="K389" s="11">
        <f>O389</f>
        <v/>
      </c>
      <c r="L389" s="11">
        <f>L388+IF(K389&gt;0,K389*Summary!$B$9,K389/Summary!$B$9)</f>
        <v/>
      </c>
      <c r="M389" s="11">
        <f>G389+H389</f>
        <v/>
      </c>
      <c r="N389" s="11">
        <f>Summary!$C$16*Summary!$B$8</f>
        <v/>
      </c>
      <c r="O389" s="11">
        <f>M389-N389</f>
        <v/>
      </c>
    </row>
    <row r="390">
      <c r="A390" s="9" t="n">
        <v>45308.16666666666</v>
      </c>
      <c r="B390" t="n">
        <v>1</v>
      </c>
      <c r="C390" t="n">
        <v>17</v>
      </c>
      <c r="D390" t="n">
        <v>4</v>
      </c>
      <c r="E390" s="10" t="n">
        <v>0</v>
      </c>
      <c r="F390" s="10" t="n">
        <v>0.506828137638753</v>
      </c>
      <c r="G390" s="11">
        <f>E390*Summary!$B$6</f>
        <v/>
      </c>
      <c r="H390" s="11">
        <f>F390*Summary!$B$7</f>
        <v/>
      </c>
      <c r="I390" s="11">
        <f>MAX(0,N390-M390)</f>
        <v/>
      </c>
      <c r="J390" s="11">
        <f>MAX(0,M390-N390)</f>
        <v/>
      </c>
      <c r="K390" s="11">
        <f>O390</f>
        <v/>
      </c>
      <c r="L390" s="11">
        <f>L389+IF(K390&gt;0,K390*Summary!$B$9,K390/Summary!$B$9)</f>
        <v/>
      </c>
      <c r="M390" s="11">
        <f>G390+H390</f>
        <v/>
      </c>
      <c r="N390" s="11">
        <f>Summary!$C$16*Summary!$B$8</f>
        <v/>
      </c>
      <c r="O390" s="11">
        <f>M390-N390</f>
        <v/>
      </c>
    </row>
    <row r="391">
      <c r="A391" s="9" t="n">
        <v>45308.20833333334</v>
      </c>
      <c r="B391" t="n">
        <v>1</v>
      </c>
      <c r="C391" t="n">
        <v>17</v>
      </c>
      <c r="D391" t="n">
        <v>5</v>
      </c>
      <c r="E391" s="10" t="n">
        <v>0</v>
      </c>
      <c r="F391" s="10" t="n">
        <v>0.5107809385874252</v>
      </c>
      <c r="G391" s="11">
        <f>E391*Summary!$B$6</f>
        <v/>
      </c>
      <c r="H391" s="11">
        <f>F391*Summary!$B$7</f>
        <v/>
      </c>
      <c r="I391" s="11">
        <f>MAX(0,N391-M391)</f>
        <v/>
      </c>
      <c r="J391" s="11">
        <f>MAX(0,M391-N391)</f>
        <v/>
      </c>
      <c r="K391" s="11">
        <f>O391</f>
        <v/>
      </c>
      <c r="L391" s="11">
        <f>L390+IF(K391&gt;0,K391*Summary!$B$9,K391/Summary!$B$9)</f>
        <v/>
      </c>
      <c r="M391" s="11">
        <f>G391+H391</f>
        <v/>
      </c>
      <c r="N391" s="11">
        <f>Summary!$C$16*Summary!$B$8</f>
        <v/>
      </c>
      <c r="O391" s="11">
        <f>M391-N391</f>
        <v/>
      </c>
    </row>
    <row r="392">
      <c r="A392" s="9" t="n">
        <v>45308.25</v>
      </c>
      <c r="B392" t="n">
        <v>1</v>
      </c>
      <c r="C392" t="n">
        <v>17</v>
      </c>
      <c r="D392" t="n">
        <v>6</v>
      </c>
      <c r="E392" s="10" t="n">
        <v>0</v>
      </c>
      <c r="F392" s="10" t="n">
        <v>0.52045212490851</v>
      </c>
      <c r="G392" s="11">
        <f>E392*Summary!$B$6</f>
        <v/>
      </c>
      <c r="H392" s="11">
        <f>F392*Summary!$B$7</f>
        <v/>
      </c>
      <c r="I392" s="11">
        <f>MAX(0,N392-M392)</f>
        <v/>
      </c>
      <c r="J392" s="11">
        <f>MAX(0,M392-N392)</f>
        <v/>
      </c>
      <c r="K392" s="11">
        <f>O392</f>
        <v/>
      </c>
      <c r="L392" s="11">
        <f>L391+IF(K392&gt;0,K392*Summary!$B$9,K392/Summary!$B$9)</f>
        <v/>
      </c>
      <c r="M392" s="11">
        <f>G392+H392</f>
        <v/>
      </c>
      <c r="N392" s="11">
        <f>Summary!$C$16*Summary!$B$8</f>
        <v/>
      </c>
      <c r="O392" s="11">
        <f>M392-N392</f>
        <v/>
      </c>
    </row>
    <row r="393">
      <c r="A393" s="9" t="n">
        <v>45308.29166666666</v>
      </c>
      <c r="B393" t="n">
        <v>1</v>
      </c>
      <c r="C393" t="n">
        <v>17</v>
      </c>
      <c r="D393" t="n">
        <v>7</v>
      </c>
      <c r="E393" s="10" t="n">
        <v>0</v>
      </c>
      <c r="F393" s="10" t="n">
        <v>0.5228238054777133</v>
      </c>
      <c r="G393" s="11">
        <f>E393*Summary!$B$6</f>
        <v/>
      </c>
      <c r="H393" s="11">
        <f>F393*Summary!$B$7</f>
        <v/>
      </c>
      <c r="I393" s="11">
        <f>MAX(0,N393-M393)</f>
        <v/>
      </c>
      <c r="J393" s="11">
        <f>MAX(0,M393-N393)</f>
        <v/>
      </c>
      <c r="K393" s="11">
        <f>O393</f>
        <v/>
      </c>
      <c r="L393" s="11">
        <f>L392+IF(K393&gt;0,K393*Summary!$B$9,K393/Summary!$B$9)</f>
        <v/>
      </c>
      <c r="M393" s="11">
        <f>G393+H393</f>
        <v/>
      </c>
      <c r="N393" s="11">
        <f>Summary!$C$16*Summary!$B$8</f>
        <v/>
      </c>
      <c r="O393" s="11">
        <f>M393-N393</f>
        <v/>
      </c>
    </row>
    <row r="394">
      <c r="A394" s="9" t="n">
        <v>45308.33333333334</v>
      </c>
      <c r="B394" t="n">
        <v>1</v>
      </c>
      <c r="C394" t="n">
        <v>17</v>
      </c>
      <c r="D394" t="n">
        <v>8</v>
      </c>
      <c r="E394" s="10" t="n">
        <v>0</v>
      </c>
      <c r="F394" s="10" t="n">
        <v>0.5182912603899025</v>
      </c>
      <c r="G394" s="11">
        <f>E394*Summary!$B$6</f>
        <v/>
      </c>
      <c r="H394" s="11">
        <f>F394*Summary!$B$7</f>
        <v/>
      </c>
      <c r="I394" s="11">
        <f>MAX(0,N394-M394)</f>
        <v/>
      </c>
      <c r="J394" s="11">
        <f>MAX(0,M394-N394)</f>
        <v/>
      </c>
      <c r="K394" s="11">
        <f>O394</f>
        <v/>
      </c>
      <c r="L394" s="11">
        <f>L393+IF(K394&gt;0,K394*Summary!$B$9,K394/Summary!$B$9)</f>
        <v/>
      </c>
      <c r="M394" s="11">
        <f>G394+H394</f>
        <v/>
      </c>
      <c r="N394" s="11">
        <f>Summary!$C$16*Summary!$B$8</f>
        <v/>
      </c>
      <c r="O394" s="11">
        <f>M394-N394</f>
        <v/>
      </c>
    </row>
    <row r="395">
      <c r="A395" s="9" t="n">
        <v>45308.375</v>
      </c>
      <c r="B395" t="n">
        <v>1</v>
      </c>
      <c r="C395" t="n">
        <v>17</v>
      </c>
      <c r="D395" t="n">
        <v>9</v>
      </c>
      <c r="E395" s="10" t="n">
        <v>0.048536</v>
      </c>
      <c r="F395" s="10" t="n">
        <v>0.5208737570097016</v>
      </c>
      <c r="G395" s="11">
        <f>E395*Summary!$B$6</f>
        <v/>
      </c>
      <c r="H395" s="11">
        <f>F395*Summary!$B$7</f>
        <v/>
      </c>
      <c r="I395" s="11">
        <f>MAX(0,N395-M395)</f>
        <v/>
      </c>
      <c r="J395" s="11">
        <f>MAX(0,M395-N395)</f>
        <v/>
      </c>
      <c r="K395" s="11">
        <f>O395</f>
        <v/>
      </c>
      <c r="L395" s="11">
        <f>L394+IF(K395&gt;0,K395*Summary!$B$9,K395/Summary!$B$9)</f>
        <v/>
      </c>
      <c r="M395" s="11">
        <f>G395+H395</f>
        <v/>
      </c>
      <c r="N395" s="11">
        <f>Summary!$C$16*Summary!$B$8</f>
        <v/>
      </c>
      <c r="O395" s="11">
        <f>M395-N395</f>
        <v/>
      </c>
    </row>
    <row r="396">
      <c r="A396" s="9" t="n">
        <v>45308.41666666666</v>
      </c>
      <c r="B396" t="n">
        <v>1</v>
      </c>
      <c r="C396" t="n">
        <v>17</v>
      </c>
      <c r="D396" t="n">
        <v>10</v>
      </c>
      <c r="E396" s="10" t="n">
        <v>0.144338</v>
      </c>
      <c r="F396" s="10" t="n">
        <v>0.5153925396942095</v>
      </c>
      <c r="G396" s="11">
        <f>E396*Summary!$B$6</f>
        <v/>
      </c>
      <c r="H396" s="11">
        <f>F396*Summary!$B$7</f>
        <v/>
      </c>
      <c r="I396" s="11">
        <f>MAX(0,N396-M396)</f>
        <v/>
      </c>
      <c r="J396" s="11">
        <f>MAX(0,M396-N396)</f>
        <v/>
      </c>
      <c r="K396" s="11">
        <f>O396</f>
        <v/>
      </c>
      <c r="L396" s="11">
        <f>L395+IF(K396&gt;0,K396*Summary!$B$9,K396/Summary!$B$9)</f>
        <v/>
      </c>
      <c r="M396" s="11">
        <f>G396+H396</f>
        <v/>
      </c>
      <c r="N396" s="11">
        <f>Summary!$C$16*Summary!$B$8</f>
        <v/>
      </c>
      <c r="O396" s="11">
        <f>M396-N396</f>
        <v/>
      </c>
    </row>
    <row r="397">
      <c r="A397" s="9" t="n">
        <v>45308.45833333334</v>
      </c>
      <c r="B397" t="n">
        <v>1</v>
      </c>
      <c r="C397" t="n">
        <v>17</v>
      </c>
      <c r="D397" t="n">
        <v>11</v>
      </c>
      <c r="E397" s="10" t="n">
        <v>0.07799399999999999</v>
      </c>
      <c r="F397" s="10" t="n">
        <v>0.5085937220624933</v>
      </c>
      <c r="G397" s="11">
        <f>E397*Summary!$B$6</f>
        <v/>
      </c>
      <c r="H397" s="11">
        <f>F397*Summary!$B$7</f>
        <v/>
      </c>
      <c r="I397" s="11">
        <f>MAX(0,N397-M397)</f>
        <v/>
      </c>
      <c r="J397" s="11">
        <f>MAX(0,M397-N397)</f>
        <v/>
      </c>
      <c r="K397" s="11">
        <f>O397</f>
        <v/>
      </c>
      <c r="L397" s="11">
        <f>L396+IF(K397&gt;0,K397*Summary!$B$9,K397/Summary!$B$9)</f>
        <v/>
      </c>
      <c r="M397" s="11">
        <f>G397+H397</f>
        <v/>
      </c>
      <c r="N397" s="11">
        <f>Summary!$C$16*Summary!$B$8</f>
        <v/>
      </c>
      <c r="O397" s="11">
        <f>M397-N397</f>
        <v/>
      </c>
    </row>
    <row r="398">
      <c r="A398" s="9" t="n">
        <v>45308.5</v>
      </c>
      <c r="B398" t="n">
        <v>1</v>
      </c>
      <c r="C398" t="n">
        <v>17</v>
      </c>
      <c r="D398" t="n">
        <v>12</v>
      </c>
      <c r="E398" s="10" t="n">
        <v>0.041471</v>
      </c>
      <c r="F398" s="10" t="n">
        <v>0.4983954956149189</v>
      </c>
      <c r="G398" s="11">
        <f>E398*Summary!$B$6</f>
        <v/>
      </c>
      <c r="H398" s="11">
        <f>F398*Summary!$B$7</f>
        <v/>
      </c>
      <c r="I398" s="11">
        <f>MAX(0,N398-M398)</f>
        <v/>
      </c>
      <c r="J398" s="11">
        <f>MAX(0,M398-N398)</f>
        <v/>
      </c>
      <c r="K398" s="11">
        <f>O398</f>
        <v/>
      </c>
      <c r="L398" s="11">
        <f>L397+IF(K398&gt;0,K398*Summary!$B$9,K398/Summary!$B$9)</f>
        <v/>
      </c>
      <c r="M398" s="11">
        <f>G398+H398</f>
        <v/>
      </c>
      <c r="N398" s="11">
        <f>Summary!$C$16*Summary!$B$8</f>
        <v/>
      </c>
      <c r="O398" s="11">
        <f>M398-N398</f>
        <v/>
      </c>
    </row>
    <row r="399">
      <c r="A399" s="9" t="n">
        <v>45308.54166666666</v>
      </c>
      <c r="B399" t="n">
        <v>1</v>
      </c>
      <c r="C399" t="n">
        <v>17</v>
      </c>
      <c r="D399" t="n">
        <v>13</v>
      </c>
      <c r="E399" s="10" t="n">
        <v>0.035426</v>
      </c>
      <c r="F399" s="10" t="n">
        <v>0.4942055266093264</v>
      </c>
      <c r="G399" s="11">
        <f>E399*Summary!$B$6</f>
        <v/>
      </c>
      <c r="H399" s="11">
        <f>F399*Summary!$B$7</f>
        <v/>
      </c>
      <c r="I399" s="11">
        <f>MAX(0,N399-M399)</f>
        <v/>
      </c>
      <c r="J399" s="11">
        <f>MAX(0,M399-N399)</f>
        <v/>
      </c>
      <c r="K399" s="11">
        <f>O399</f>
        <v/>
      </c>
      <c r="L399" s="11">
        <f>L398+IF(K399&gt;0,K399*Summary!$B$9,K399/Summary!$B$9)</f>
        <v/>
      </c>
      <c r="M399" s="11">
        <f>G399+H399</f>
        <v/>
      </c>
      <c r="N399" s="11">
        <f>Summary!$C$16*Summary!$B$8</f>
        <v/>
      </c>
      <c r="O399" s="11">
        <f>M399-N399</f>
        <v/>
      </c>
    </row>
    <row r="400">
      <c r="A400" s="9" t="n">
        <v>45308.58333333334</v>
      </c>
      <c r="B400" t="n">
        <v>1</v>
      </c>
      <c r="C400" t="n">
        <v>17</v>
      </c>
      <c r="D400" t="n">
        <v>14</v>
      </c>
      <c r="E400" s="10" t="n">
        <v>0.036621</v>
      </c>
      <c r="F400" s="10" t="n">
        <v>0.4915966779832027</v>
      </c>
      <c r="G400" s="11">
        <f>E400*Summary!$B$6</f>
        <v/>
      </c>
      <c r="H400" s="11">
        <f>F400*Summary!$B$7</f>
        <v/>
      </c>
      <c r="I400" s="11">
        <f>MAX(0,N400-M400)</f>
        <v/>
      </c>
      <c r="J400" s="11">
        <f>MAX(0,M400-N400)</f>
        <v/>
      </c>
      <c r="K400" s="11">
        <f>O400</f>
        <v/>
      </c>
      <c r="L400" s="11">
        <f>L399+IF(K400&gt;0,K400*Summary!$B$9,K400/Summary!$B$9)</f>
        <v/>
      </c>
      <c r="M400" s="11">
        <f>G400+H400</f>
        <v/>
      </c>
      <c r="N400" s="11">
        <f>Summary!$C$16*Summary!$B$8</f>
        <v/>
      </c>
      <c r="O400" s="11">
        <f>M400-N400</f>
        <v/>
      </c>
    </row>
    <row r="401">
      <c r="A401" s="9" t="n">
        <v>45308.625</v>
      </c>
      <c r="B401" t="n">
        <v>1</v>
      </c>
      <c r="C401" t="n">
        <v>17</v>
      </c>
      <c r="D401" t="n">
        <v>15</v>
      </c>
      <c r="E401" s="10" t="n">
        <v>0.009297</v>
      </c>
      <c r="F401" s="10" t="n">
        <v>0.4963400391216094</v>
      </c>
      <c r="G401" s="11">
        <f>E401*Summary!$B$6</f>
        <v/>
      </c>
      <c r="H401" s="11">
        <f>F401*Summary!$B$7</f>
        <v/>
      </c>
      <c r="I401" s="11">
        <f>MAX(0,N401-M401)</f>
        <v/>
      </c>
      <c r="J401" s="11">
        <f>MAX(0,M401-N401)</f>
        <v/>
      </c>
      <c r="K401" s="11">
        <f>O401</f>
        <v/>
      </c>
      <c r="L401" s="11">
        <f>L400+IF(K401&gt;0,K401*Summary!$B$9,K401/Summary!$B$9)</f>
        <v/>
      </c>
      <c r="M401" s="11">
        <f>G401+H401</f>
        <v/>
      </c>
      <c r="N401" s="11">
        <f>Summary!$C$16*Summary!$B$8</f>
        <v/>
      </c>
      <c r="O401" s="11">
        <f>M401-N401</f>
        <v/>
      </c>
    </row>
    <row r="402">
      <c r="A402" s="9" t="n">
        <v>45308.66666666666</v>
      </c>
      <c r="B402" t="n">
        <v>1</v>
      </c>
      <c r="C402" t="n">
        <v>17</v>
      </c>
      <c r="D402" t="n">
        <v>16</v>
      </c>
      <c r="E402" s="10" t="n">
        <v>0</v>
      </c>
      <c r="F402" s="10" t="n">
        <v>0.4962346310963114</v>
      </c>
      <c r="G402" s="11">
        <f>E402*Summary!$B$6</f>
        <v/>
      </c>
      <c r="H402" s="11">
        <f>F402*Summary!$B$7</f>
        <v/>
      </c>
      <c r="I402" s="11">
        <f>MAX(0,N402-M402)</f>
        <v/>
      </c>
      <c r="J402" s="11">
        <f>MAX(0,M402-N402)</f>
        <v/>
      </c>
      <c r="K402" s="11">
        <f>O402</f>
        <v/>
      </c>
      <c r="L402" s="11">
        <f>L401+IF(K402&gt;0,K402*Summary!$B$9,K402/Summary!$B$9)</f>
        <v/>
      </c>
      <c r="M402" s="11">
        <f>G402+H402</f>
        <v/>
      </c>
      <c r="N402" s="11">
        <f>Summary!$C$16*Summary!$B$8</f>
        <v/>
      </c>
      <c r="O402" s="11">
        <f>M402-N402</f>
        <v/>
      </c>
    </row>
    <row r="403">
      <c r="A403" s="9" t="n">
        <v>45308.70833333334</v>
      </c>
      <c r="B403" t="n">
        <v>1</v>
      </c>
      <c r="C403" t="n">
        <v>17</v>
      </c>
      <c r="D403" t="n">
        <v>17</v>
      </c>
      <c r="E403" s="10" t="n">
        <v>0</v>
      </c>
      <c r="F403" s="10" t="n">
        <v>0.4914122139389313</v>
      </c>
      <c r="G403" s="11">
        <f>E403*Summary!$B$6</f>
        <v/>
      </c>
      <c r="H403" s="11">
        <f>F403*Summary!$B$7</f>
        <v/>
      </c>
      <c r="I403" s="11">
        <f>MAX(0,N403-M403)</f>
        <v/>
      </c>
      <c r="J403" s="11">
        <f>MAX(0,M403-N403)</f>
        <v/>
      </c>
      <c r="K403" s="11">
        <f>O403</f>
        <v/>
      </c>
      <c r="L403" s="11">
        <f>L402+IF(K403&gt;0,K403*Summary!$B$9,K403/Summary!$B$9)</f>
        <v/>
      </c>
      <c r="M403" s="11">
        <f>G403+H403</f>
        <v/>
      </c>
      <c r="N403" s="11">
        <f>Summary!$C$16*Summary!$B$8</f>
        <v/>
      </c>
      <c r="O403" s="11">
        <f>M403-N403</f>
        <v/>
      </c>
    </row>
    <row r="404">
      <c r="A404" s="9" t="n">
        <v>45308.75</v>
      </c>
      <c r="B404" t="n">
        <v>1</v>
      </c>
      <c r="C404" t="n">
        <v>17</v>
      </c>
      <c r="D404" t="n">
        <v>18</v>
      </c>
      <c r="E404" s="10" t="n">
        <v>0</v>
      </c>
      <c r="F404" s="10" t="n">
        <v>0.4858255885981413</v>
      </c>
      <c r="G404" s="11">
        <f>E404*Summary!$B$6</f>
        <v/>
      </c>
      <c r="H404" s="11">
        <f>F404*Summary!$B$7</f>
        <v/>
      </c>
      <c r="I404" s="11">
        <f>MAX(0,N404-M404)</f>
        <v/>
      </c>
      <c r="J404" s="11">
        <f>MAX(0,M404-N404)</f>
        <v/>
      </c>
      <c r="K404" s="11">
        <f>O404</f>
        <v/>
      </c>
      <c r="L404" s="11">
        <f>L403+IF(K404&gt;0,K404*Summary!$B$9,K404/Summary!$B$9)</f>
        <v/>
      </c>
      <c r="M404" s="11">
        <f>G404+H404</f>
        <v/>
      </c>
      <c r="N404" s="11">
        <f>Summary!$C$16*Summary!$B$8</f>
        <v/>
      </c>
      <c r="O404" s="11">
        <f>M404-N404</f>
        <v/>
      </c>
    </row>
    <row r="405">
      <c r="A405" s="9" t="n">
        <v>45308.79166666666</v>
      </c>
      <c r="B405" t="n">
        <v>1</v>
      </c>
      <c r="C405" t="n">
        <v>17</v>
      </c>
      <c r="D405" t="n">
        <v>19</v>
      </c>
      <c r="E405" s="10" t="n">
        <v>0</v>
      </c>
      <c r="F405" s="10" t="n">
        <v>0.477603762624903</v>
      </c>
      <c r="G405" s="11">
        <f>E405*Summary!$B$6</f>
        <v/>
      </c>
      <c r="H405" s="11">
        <f>F405*Summary!$B$7</f>
        <v/>
      </c>
      <c r="I405" s="11">
        <f>MAX(0,N405-M405)</f>
        <v/>
      </c>
      <c r="J405" s="11">
        <f>MAX(0,M405-N405)</f>
        <v/>
      </c>
      <c r="K405" s="11">
        <f>O405</f>
        <v/>
      </c>
      <c r="L405" s="11">
        <f>L404+IF(K405&gt;0,K405*Summary!$B$9,K405/Summary!$B$9)</f>
        <v/>
      </c>
      <c r="M405" s="11">
        <f>G405+H405</f>
        <v/>
      </c>
      <c r="N405" s="11">
        <f>Summary!$C$16*Summary!$B$8</f>
        <v/>
      </c>
      <c r="O405" s="11">
        <f>M405-N405</f>
        <v/>
      </c>
    </row>
    <row r="406">
      <c r="A406" s="9" t="n">
        <v>45308.83333333334</v>
      </c>
      <c r="B406" t="n">
        <v>1</v>
      </c>
      <c r="C406" t="n">
        <v>17</v>
      </c>
      <c r="D406" t="n">
        <v>20</v>
      </c>
      <c r="E406" s="10" t="n">
        <v>0</v>
      </c>
      <c r="F406" s="10" t="n">
        <v>0.4642432954183909</v>
      </c>
      <c r="G406" s="11">
        <f>E406*Summary!$B$6</f>
        <v/>
      </c>
      <c r="H406" s="11">
        <f>F406*Summary!$B$7</f>
        <v/>
      </c>
      <c r="I406" s="11">
        <f>MAX(0,N406-M406)</f>
        <v/>
      </c>
      <c r="J406" s="11">
        <f>MAX(0,M406-N406)</f>
        <v/>
      </c>
      <c r="K406" s="11">
        <f>O406</f>
        <v/>
      </c>
      <c r="L406" s="11">
        <f>L405+IF(K406&gt;0,K406*Summary!$B$9,K406/Summary!$B$9)</f>
        <v/>
      </c>
      <c r="M406" s="11">
        <f>G406+H406</f>
        <v/>
      </c>
      <c r="N406" s="11">
        <f>Summary!$C$16*Summary!$B$8</f>
        <v/>
      </c>
      <c r="O406" s="11">
        <f>M406-N406</f>
        <v/>
      </c>
    </row>
    <row r="407">
      <c r="A407" s="9" t="n">
        <v>45308.875</v>
      </c>
      <c r="B407" t="n">
        <v>1</v>
      </c>
      <c r="C407" t="n">
        <v>17</v>
      </c>
      <c r="D407" t="n">
        <v>21</v>
      </c>
      <c r="E407" s="10" t="n">
        <v>0</v>
      </c>
      <c r="F407" s="10" t="n">
        <v>0.449855099965224</v>
      </c>
      <c r="G407" s="11">
        <f>E407*Summary!$B$6</f>
        <v/>
      </c>
      <c r="H407" s="11">
        <f>F407*Summary!$B$7</f>
        <v/>
      </c>
      <c r="I407" s="11">
        <f>MAX(0,N407-M407)</f>
        <v/>
      </c>
      <c r="J407" s="11">
        <f>MAX(0,M407-N407)</f>
        <v/>
      </c>
      <c r="K407" s="11">
        <f>O407</f>
        <v/>
      </c>
      <c r="L407" s="11">
        <f>L406+IF(K407&gt;0,K407*Summary!$B$9,K407/Summary!$B$9)</f>
        <v/>
      </c>
      <c r="M407" s="11">
        <f>G407+H407</f>
        <v/>
      </c>
      <c r="N407" s="11">
        <f>Summary!$C$16*Summary!$B$8</f>
        <v/>
      </c>
      <c r="O407" s="11">
        <f>M407-N407</f>
        <v/>
      </c>
    </row>
    <row r="408">
      <c r="A408" s="9" t="n">
        <v>45308.91666666666</v>
      </c>
      <c r="B408" t="n">
        <v>1</v>
      </c>
      <c r="C408" t="n">
        <v>17</v>
      </c>
      <c r="D408" t="n">
        <v>22</v>
      </c>
      <c r="E408" s="10" t="n">
        <v>0</v>
      </c>
      <c r="F408" s="10" t="n">
        <v>0.4372851929484463</v>
      </c>
      <c r="G408" s="11">
        <f>E408*Summary!$B$6</f>
        <v/>
      </c>
      <c r="H408" s="11">
        <f>F408*Summary!$B$7</f>
        <v/>
      </c>
      <c r="I408" s="11">
        <f>MAX(0,N408-M408)</f>
        <v/>
      </c>
      <c r="J408" s="11">
        <f>MAX(0,M408-N408)</f>
        <v/>
      </c>
      <c r="K408" s="11">
        <f>O408</f>
        <v/>
      </c>
      <c r="L408" s="11">
        <f>L407+IF(K408&gt;0,K408*Summary!$B$9,K408/Summary!$B$9)</f>
        <v/>
      </c>
      <c r="M408" s="11">
        <f>G408+H408</f>
        <v/>
      </c>
      <c r="N408" s="11">
        <f>Summary!$C$16*Summary!$B$8</f>
        <v/>
      </c>
      <c r="O408" s="11">
        <f>M408-N408</f>
        <v/>
      </c>
    </row>
    <row r="409">
      <c r="A409" s="9" t="n">
        <v>45308.95833333334</v>
      </c>
      <c r="B409" t="n">
        <v>1</v>
      </c>
      <c r="C409" t="n">
        <v>17</v>
      </c>
      <c r="D409" t="n">
        <v>23</v>
      </c>
      <c r="E409" s="10" t="n">
        <v>0</v>
      </c>
      <c r="F409" s="10" t="n">
        <v>0.4139900193576047</v>
      </c>
      <c r="G409" s="11">
        <f>E409*Summary!$B$6</f>
        <v/>
      </c>
      <c r="H409" s="11">
        <f>F409*Summary!$B$7</f>
        <v/>
      </c>
      <c r="I409" s="11">
        <f>MAX(0,N409-M409)</f>
        <v/>
      </c>
      <c r="J409" s="11">
        <f>MAX(0,M409-N409)</f>
        <v/>
      </c>
      <c r="K409" s="11">
        <f>O409</f>
        <v/>
      </c>
      <c r="L409" s="11">
        <f>L408+IF(K409&gt;0,K409*Summary!$B$9,K409/Summary!$B$9)</f>
        <v/>
      </c>
      <c r="M409" s="11">
        <f>G409+H409</f>
        <v/>
      </c>
      <c r="N409" s="11">
        <f>Summary!$C$16*Summary!$B$8</f>
        <v/>
      </c>
      <c r="O409" s="11">
        <f>M409-N409</f>
        <v/>
      </c>
    </row>
    <row r="410">
      <c r="A410" s="9" t="n">
        <v>45309</v>
      </c>
      <c r="B410" t="n">
        <v>1</v>
      </c>
      <c r="C410" t="n">
        <v>18</v>
      </c>
      <c r="D410" t="n">
        <v>0</v>
      </c>
      <c r="E410" s="10" t="n">
        <v>0</v>
      </c>
      <c r="F410" s="10" t="n">
        <v>0.3611542466770192</v>
      </c>
      <c r="G410" s="11">
        <f>E410*Summary!$B$6</f>
        <v/>
      </c>
      <c r="H410" s="11">
        <f>F410*Summary!$B$7</f>
        <v/>
      </c>
      <c r="I410" s="11">
        <f>MAX(0,N410-M410)</f>
        <v/>
      </c>
      <c r="J410" s="11">
        <f>MAX(0,M410-N410)</f>
        <v/>
      </c>
      <c r="K410" s="11">
        <f>O410</f>
        <v/>
      </c>
      <c r="L410" s="11">
        <f>L409+IF(K410&gt;0,K410*Summary!$B$9,K410/Summary!$B$9)</f>
        <v/>
      </c>
      <c r="M410" s="11">
        <f>G410+H410</f>
        <v/>
      </c>
      <c r="N410" s="11">
        <f>Summary!$C$16*Summary!$B$8</f>
        <v/>
      </c>
      <c r="O410" s="11">
        <f>M410-N410</f>
        <v/>
      </c>
    </row>
    <row r="411">
      <c r="A411" s="9" t="n">
        <v>45309.04166666666</v>
      </c>
      <c r="B411" t="n">
        <v>1</v>
      </c>
      <c r="C411" t="n">
        <v>18</v>
      </c>
      <c r="D411" t="n">
        <v>1</v>
      </c>
      <c r="E411" s="10" t="n">
        <v>0</v>
      </c>
      <c r="F411" s="10" t="n">
        <v>0.3819723316733596</v>
      </c>
      <c r="G411" s="11">
        <f>E411*Summary!$B$6</f>
        <v/>
      </c>
      <c r="H411" s="11">
        <f>F411*Summary!$B$7</f>
        <v/>
      </c>
      <c r="I411" s="11">
        <f>MAX(0,N411-M411)</f>
        <v/>
      </c>
      <c r="J411" s="11">
        <f>MAX(0,M411-N411)</f>
        <v/>
      </c>
      <c r="K411" s="11">
        <f>O411</f>
        <v/>
      </c>
      <c r="L411" s="11">
        <f>L410+IF(K411&gt;0,K411*Summary!$B$9,K411/Summary!$B$9)</f>
        <v/>
      </c>
      <c r="M411" s="11">
        <f>G411+H411</f>
        <v/>
      </c>
      <c r="N411" s="11">
        <f>Summary!$C$16*Summary!$B$8</f>
        <v/>
      </c>
      <c r="O411" s="11">
        <f>M411-N411</f>
        <v/>
      </c>
    </row>
    <row r="412">
      <c r="A412" s="9" t="n">
        <v>45309.08333333334</v>
      </c>
      <c r="B412" t="n">
        <v>1</v>
      </c>
      <c r="C412" t="n">
        <v>18</v>
      </c>
      <c r="D412" t="n">
        <v>2</v>
      </c>
      <c r="E412" s="10" t="n">
        <v>0</v>
      </c>
      <c r="F412" s="10" t="n">
        <v>0.3623664389679453</v>
      </c>
      <c r="G412" s="11">
        <f>E412*Summary!$B$6</f>
        <v/>
      </c>
      <c r="H412" s="11">
        <f>F412*Summary!$B$7</f>
        <v/>
      </c>
      <c r="I412" s="11">
        <f>MAX(0,N412-M412)</f>
        <v/>
      </c>
      <c r="J412" s="11">
        <f>MAX(0,M412-N412)</f>
        <v/>
      </c>
      <c r="K412" s="11">
        <f>O412</f>
        <v/>
      </c>
      <c r="L412" s="11">
        <f>L411+IF(K412&gt;0,K412*Summary!$B$9,K412/Summary!$B$9)</f>
        <v/>
      </c>
      <c r="M412" s="11">
        <f>G412+H412</f>
        <v/>
      </c>
      <c r="N412" s="11">
        <f>Summary!$C$16*Summary!$B$8</f>
        <v/>
      </c>
      <c r="O412" s="11">
        <f>M412-N412</f>
        <v/>
      </c>
    </row>
    <row r="413">
      <c r="A413" s="9" t="n">
        <v>45309.125</v>
      </c>
      <c r="B413" t="n">
        <v>1</v>
      </c>
      <c r="C413" t="n">
        <v>18</v>
      </c>
      <c r="D413" t="n">
        <v>3</v>
      </c>
      <c r="E413" s="10" t="n">
        <v>0</v>
      </c>
      <c r="F413" s="10" t="n">
        <v>0.3517465804191793</v>
      </c>
      <c r="G413" s="11">
        <f>E413*Summary!$B$6</f>
        <v/>
      </c>
      <c r="H413" s="11">
        <f>F413*Summary!$B$7</f>
        <v/>
      </c>
      <c r="I413" s="11">
        <f>MAX(0,N413-M413)</f>
        <v/>
      </c>
      <c r="J413" s="11">
        <f>MAX(0,M413-N413)</f>
        <v/>
      </c>
      <c r="K413" s="11">
        <f>O413</f>
        <v/>
      </c>
      <c r="L413" s="11">
        <f>L412+IF(K413&gt;0,K413*Summary!$B$9,K413/Summary!$B$9)</f>
        <v/>
      </c>
      <c r="M413" s="11">
        <f>G413+H413</f>
        <v/>
      </c>
      <c r="N413" s="11">
        <f>Summary!$C$16*Summary!$B$8</f>
        <v/>
      </c>
      <c r="O413" s="11">
        <f>M413-N413</f>
        <v/>
      </c>
    </row>
    <row r="414">
      <c r="A414" s="9" t="n">
        <v>45309.16666666666</v>
      </c>
      <c r="B414" t="n">
        <v>1</v>
      </c>
      <c r="C414" t="n">
        <v>18</v>
      </c>
      <c r="D414" t="n">
        <v>4</v>
      </c>
      <c r="E414" s="10" t="n">
        <v>0</v>
      </c>
      <c r="F414" s="10" t="n">
        <v>0.3471613313187195</v>
      </c>
      <c r="G414" s="11">
        <f>E414*Summary!$B$6</f>
        <v/>
      </c>
      <c r="H414" s="11">
        <f>F414*Summary!$B$7</f>
        <v/>
      </c>
      <c r="I414" s="11">
        <f>MAX(0,N414-M414)</f>
        <v/>
      </c>
      <c r="J414" s="11">
        <f>MAX(0,M414-N414)</f>
        <v/>
      </c>
      <c r="K414" s="11">
        <f>O414</f>
        <v/>
      </c>
      <c r="L414" s="11">
        <f>L413+IF(K414&gt;0,K414*Summary!$B$9,K414/Summary!$B$9)</f>
        <v/>
      </c>
      <c r="M414" s="11">
        <f>G414+H414</f>
        <v/>
      </c>
      <c r="N414" s="11">
        <f>Summary!$C$16*Summary!$B$8</f>
        <v/>
      </c>
      <c r="O414" s="11">
        <f>M414-N414</f>
        <v/>
      </c>
    </row>
    <row r="415">
      <c r="A415" s="9" t="n">
        <v>45309.20833333334</v>
      </c>
      <c r="B415" t="n">
        <v>1</v>
      </c>
      <c r="C415" t="n">
        <v>18</v>
      </c>
      <c r="D415" t="n">
        <v>5</v>
      </c>
      <c r="E415" s="10" t="n">
        <v>0</v>
      </c>
      <c r="F415" s="10" t="n">
        <v>0.3426024342245843</v>
      </c>
      <c r="G415" s="11">
        <f>E415*Summary!$B$6</f>
        <v/>
      </c>
      <c r="H415" s="11">
        <f>F415*Summary!$B$7</f>
        <v/>
      </c>
      <c r="I415" s="11">
        <f>MAX(0,N415-M415)</f>
        <v/>
      </c>
      <c r="J415" s="11">
        <f>MAX(0,M415-N415)</f>
        <v/>
      </c>
      <c r="K415" s="11">
        <f>O415</f>
        <v/>
      </c>
      <c r="L415" s="11">
        <f>L414+IF(K415&gt;0,K415*Summary!$B$9,K415/Summary!$B$9)</f>
        <v/>
      </c>
      <c r="M415" s="11">
        <f>G415+H415</f>
        <v/>
      </c>
      <c r="N415" s="11">
        <f>Summary!$C$16*Summary!$B$8</f>
        <v/>
      </c>
      <c r="O415" s="11">
        <f>M415-N415</f>
        <v/>
      </c>
    </row>
    <row r="416">
      <c r="A416" s="9" t="n">
        <v>45309.25</v>
      </c>
      <c r="B416" t="n">
        <v>1</v>
      </c>
      <c r="C416" t="n">
        <v>18</v>
      </c>
      <c r="D416" t="n">
        <v>6</v>
      </c>
      <c r="E416" s="10" t="n">
        <v>0</v>
      </c>
      <c r="F416" s="10" t="n">
        <v>0.3442626106230265</v>
      </c>
      <c r="G416" s="11">
        <f>E416*Summary!$B$6</f>
        <v/>
      </c>
      <c r="H416" s="11">
        <f>F416*Summary!$B$7</f>
        <v/>
      </c>
      <c r="I416" s="11">
        <f>MAX(0,N416-M416)</f>
        <v/>
      </c>
      <c r="J416" s="11">
        <f>MAX(0,M416-N416)</f>
        <v/>
      </c>
      <c r="K416" s="11">
        <f>O416</f>
        <v/>
      </c>
      <c r="L416" s="11">
        <f>L415+IF(K416&gt;0,K416*Summary!$B$9,K416/Summary!$B$9)</f>
        <v/>
      </c>
      <c r="M416" s="11">
        <f>G416+H416</f>
        <v/>
      </c>
      <c r="N416" s="11">
        <f>Summary!$C$16*Summary!$B$8</f>
        <v/>
      </c>
      <c r="O416" s="11">
        <f>M416-N416</f>
        <v/>
      </c>
    </row>
    <row r="417">
      <c r="A417" s="9" t="n">
        <v>45309.29166666666</v>
      </c>
      <c r="B417" t="n">
        <v>1</v>
      </c>
      <c r="C417" t="n">
        <v>18</v>
      </c>
      <c r="D417" t="n">
        <v>7</v>
      </c>
      <c r="E417" s="10" t="n">
        <v>0</v>
      </c>
      <c r="F417" s="10" t="n">
        <v>0.3505607401345776</v>
      </c>
      <c r="G417" s="11">
        <f>E417*Summary!$B$6</f>
        <v/>
      </c>
      <c r="H417" s="11">
        <f>F417*Summary!$B$7</f>
        <v/>
      </c>
      <c r="I417" s="11">
        <f>MAX(0,N417-M417)</f>
        <v/>
      </c>
      <c r="J417" s="11">
        <f>MAX(0,M417-N417)</f>
        <v/>
      </c>
      <c r="K417" s="11">
        <f>O417</f>
        <v/>
      </c>
      <c r="L417" s="11">
        <f>L416+IF(K417&gt;0,K417*Summary!$B$9,K417/Summary!$B$9)</f>
        <v/>
      </c>
      <c r="M417" s="11">
        <f>G417+H417</f>
        <v/>
      </c>
      <c r="N417" s="11">
        <f>Summary!$C$16*Summary!$B$8</f>
        <v/>
      </c>
      <c r="O417" s="11">
        <f>M417-N417</f>
        <v/>
      </c>
    </row>
    <row r="418">
      <c r="A418" s="9" t="n">
        <v>45309.33333333334</v>
      </c>
      <c r="B418" t="n">
        <v>1</v>
      </c>
      <c r="C418" t="n">
        <v>18</v>
      </c>
      <c r="D418" t="n">
        <v>8</v>
      </c>
      <c r="E418" s="10" t="n">
        <v>0</v>
      </c>
      <c r="F418" s="10" t="n">
        <v>0.3609170786200988</v>
      </c>
      <c r="G418" s="11">
        <f>E418*Summary!$B$6</f>
        <v/>
      </c>
      <c r="H418" s="11">
        <f>F418*Summary!$B$7</f>
        <v/>
      </c>
      <c r="I418" s="11">
        <f>MAX(0,N418-M418)</f>
        <v/>
      </c>
      <c r="J418" s="11">
        <f>MAX(0,M418-N418)</f>
        <v/>
      </c>
      <c r="K418" s="11">
        <f>O418</f>
        <v/>
      </c>
      <c r="L418" s="11">
        <f>L417+IF(K418&gt;0,K418*Summary!$B$9,K418/Summary!$B$9)</f>
        <v/>
      </c>
      <c r="M418" s="11">
        <f>G418+H418</f>
        <v/>
      </c>
      <c r="N418" s="11">
        <f>Summary!$C$16*Summary!$B$8</f>
        <v/>
      </c>
      <c r="O418" s="11">
        <f>M418-N418</f>
        <v/>
      </c>
    </row>
    <row r="419">
      <c r="A419" s="9" t="n">
        <v>45309.375</v>
      </c>
      <c r="B419" t="n">
        <v>1</v>
      </c>
      <c r="C419" t="n">
        <v>18</v>
      </c>
      <c r="D419" t="n">
        <v>9</v>
      </c>
      <c r="E419" s="10" t="n">
        <v>0.004414</v>
      </c>
      <c r="F419" s="10" t="n">
        <v>0.3655023277205587</v>
      </c>
      <c r="G419" s="11">
        <f>E419*Summary!$B$6</f>
        <v/>
      </c>
      <c r="H419" s="11">
        <f>F419*Summary!$B$7</f>
        <v/>
      </c>
      <c r="I419" s="11">
        <f>MAX(0,N419-M419)</f>
        <v/>
      </c>
      <c r="J419" s="11">
        <f>MAX(0,M419-N419)</f>
        <v/>
      </c>
      <c r="K419" s="11">
        <f>O419</f>
        <v/>
      </c>
      <c r="L419" s="11">
        <f>L418+IF(K419&gt;0,K419*Summary!$B$9,K419/Summary!$B$9)</f>
        <v/>
      </c>
      <c r="M419" s="11">
        <f>G419+H419</f>
        <v/>
      </c>
      <c r="N419" s="11">
        <f>Summary!$C$16*Summary!$B$8</f>
        <v/>
      </c>
      <c r="O419" s="11">
        <f>M419-N419</f>
        <v/>
      </c>
    </row>
    <row r="420">
      <c r="A420" s="9" t="n">
        <v>45309.41666666666</v>
      </c>
      <c r="B420" t="n">
        <v>1</v>
      </c>
      <c r="C420" t="n">
        <v>18</v>
      </c>
      <c r="D420" t="n">
        <v>10</v>
      </c>
      <c r="E420" s="10" t="n">
        <v>0.009560000000000001</v>
      </c>
      <c r="F420" s="10" t="n">
        <v>0.3702983928716143</v>
      </c>
      <c r="G420" s="11">
        <f>E420*Summary!$B$6</f>
        <v/>
      </c>
      <c r="H420" s="11">
        <f>F420*Summary!$B$7</f>
        <v/>
      </c>
      <c r="I420" s="11">
        <f>MAX(0,N420-M420)</f>
        <v/>
      </c>
      <c r="J420" s="11">
        <f>MAX(0,M420-N420)</f>
        <v/>
      </c>
      <c r="K420" s="11">
        <f>O420</f>
        <v/>
      </c>
      <c r="L420" s="11">
        <f>L419+IF(K420&gt;0,K420*Summary!$B$9,K420/Summary!$B$9)</f>
        <v/>
      </c>
      <c r="M420" s="11">
        <f>G420+H420</f>
        <v/>
      </c>
      <c r="N420" s="11">
        <f>Summary!$C$16*Summary!$B$8</f>
        <v/>
      </c>
      <c r="O420" s="11">
        <f>M420-N420</f>
        <v/>
      </c>
    </row>
    <row r="421">
      <c r="A421" s="9" t="n">
        <v>45309.45833333334</v>
      </c>
      <c r="B421" t="n">
        <v>1</v>
      </c>
      <c r="C421" t="n">
        <v>18</v>
      </c>
      <c r="D421" t="n">
        <v>11</v>
      </c>
      <c r="E421" s="10" t="n">
        <v>0.011906</v>
      </c>
      <c r="F421" s="10" t="n">
        <v>0.3675841362201927</v>
      </c>
      <c r="G421" s="11">
        <f>E421*Summary!$B$6</f>
        <v/>
      </c>
      <c r="H421" s="11">
        <f>F421*Summary!$B$7</f>
        <v/>
      </c>
      <c r="I421" s="11">
        <f>MAX(0,N421-M421)</f>
        <v/>
      </c>
      <c r="J421" s="11">
        <f>MAX(0,M421-N421)</f>
        <v/>
      </c>
      <c r="K421" s="11">
        <f>O421</f>
        <v/>
      </c>
      <c r="L421" s="11">
        <f>L420+IF(K421&gt;0,K421*Summary!$B$9,K421/Summary!$B$9)</f>
        <v/>
      </c>
      <c r="M421" s="11">
        <f>G421+H421</f>
        <v/>
      </c>
      <c r="N421" s="11">
        <f>Summary!$C$16*Summary!$B$8</f>
        <v/>
      </c>
      <c r="O421" s="11">
        <f>M421-N421</f>
        <v/>
      </c>
    </row>
    <row r="422">
      <c r="A422" s="9" t="n">
        <v>45309.5</v>
      </c>
      <c r="B422" t="n">
        <v>1</v>
      </c>
      <c r="C422" t="n">
        <v>18</v>
      </c>
      <c r="D422" t="n">
        <v>12</v>
      </c>
      <c r="E422" s="10" t="n">
        <v>0.015983</v>
      </c>
      <c r="F422" s="10" t="n">
        <v>0.3676104882265172</v>
      </c>
      <c r="G422" s="11">
        <f>E422*Summary!$B$6</f>
        <v/>
      </c>
      <c r="H422" s="11">
        <f>F422*Summary!$B$7</f>
        <v/>
      </c>
      <c r="I422" s="11">
        <f>MAX(0,N422-M422)</f>
        <v/>
      </c>
      <c r="J422" s="11">
        <f>MAX(0,M422-N422)</f>
        <v/>
      </c>
      <c r="K422" s="11">
        <f>O422</f>
        <v/>
      </c>
      <c r="L422" s="11">
        <f>L421+IF(K422&gt;0,K422*Summary!$B$9,K422/Summary!$B$9)</f>
        <v/>
      </c>
      <c r="M422" s="11">
        <f>G422+H422</f>
        <v/>
      </c>
      <c r="N422" s="11">
        <f>Summary!$C$16*Summary!$B$8</f>
        <v/>
      </c>
      <c r="O422" s="11">
        <f>M422-N422</f>
        <v/>
      </c>
    </row>
    <row r="423">
      <c r="A423" s="9" t="n">
        <v>45309.54166666666</v>
      </c>
      <c r="B423" t="n">
        <v>1</v>
      </c>
      <c r="C423" t="n">
        <v>18</v>
      </c>
      <c r="D423" t="n">
        <v>13</v>
      </c>
      <c r="E423" s="10" t="n">
        <v>0.014353</v>
      </c>
      <c r="F423" s="10" t="n">
        <v>0.359942054386093</v>
      </c>
      <c r="G423" s="11">
        <f>E423*Summary!$B$6</f>
        <v/>
      </c>
      <c r="H423" s="11">
        <f>F423*Summary!$B$7</f>
        <v/>
      </c>
      <c r="I423" s="11">
        <f>MAX(0,N423-M423)</f>
        <v/>
      </c>
      <c r="J423" s="11">
        <f>MAX(0,M423-N423)</f>
        <v/>
      </c>
      <c r="K423" s="11">
        <f>O423</f>
        <v/>
      </c>
      <c r="L423" s="11">
        <f>L422+IF(K423&gt;0,K423*Summary!$B$9,K423/Summary!$B$9)</f>
        <v/>
      </c>
      <c r="M423" s="11">
        <f>G423+H423</f>
        <v/>
      </c>
      <c r="N423" s="11">
        <f>Summary!$C$16*Summary!$B$8</f>
        <v/>
      </c>
      <c r="O423" s="11">
        <f>M423-N423</f>
        <v/>
      </c>
    </row>
    <row r="424">
      <c r="A424" s="9" t="n">
        <v>45309.58333333334</v>
      </c>
      <c r="B424" t="n">
        <v>1</v>
      </c>
      <c r="C424" t="n">
        <v>18</v>
      </c>
      <c r="D424" t="n">
        <v>14</v>
      </c>
      <c r="E424" s="10" t="n">
        <v>0.015</v>
      </c>
      <c r="F424" s="10" t="n">
        <v>0.3625772550185412</v>
      </c>
      <c r="G424" s="11">
        <f>E424*Summary!$B$6</f>
        <v/>
      </c>
      <c r="H424" s="11">
        <f>F424*Summary!$B$7</f>
        <v/>
      </c>
      <c r="I424" s="11">
        <f>MAX(0,N424-M424)</f>
        <v/>
      </c>
      <c r="J424" s="11">
        <f>MAX(0,M424-N424)</f>
        <v/>
      </c>
      <c r="K424" s="11">
        <f>O424</f>
        <v/>
      </c>
      <c r="L424" s="11">
        <f>L423+IF(K424&gt;0,K424*Summary!$B$9,K424/Summary!$B$9)</f>
        <v/>
      </c>
      <c r="M424" s="11">
        <f>G424+H424</f>
        <v/>
      </c>
      <c r="N424" s="11">
        <f>Summary!$C$16*Summary!$B$8</f>
        <v/>
      </c>
      <c r="O424" s="11">
        <f>M424-N424</f>
        <v/>
      </c>
    </row>
    <row r="425">
      <c r="A425" s="9" t="n">
        <v>45309.625</v>
      </c>
      <c r="B425" t="n">
        <v>1</v>
      </c>
      <c r="C425" t="n">
        <v>18</v>
      </c>
      <c r="D425" t="n">
        <v>15</v>
      </c>
      <c r="E425" s="10" t="n">
        <v>0</v>
      </c>
      <c r="F425" s="10" t="n">
        <v>0.3761748902819737</v>
      </c>
      <c r="G425" s="11">
        <f>E425*Summary!$B$6</f>
        <v/>
      </c>
      <c r="H425" s="11">
        <f>F425*Summary!$B$7</f>
        <v/>
      </c>
      <c r="I425" s="11">
        <f>MAX(0,N425-M425)</f>
        <v/>
      </c>
      <c r="J425" s="11">
        <f>MAX(0,M425-N425)</f>
        <v/>
      </c>
      <c r="K425" s="11">
        <f>O425</f>
        <v/>
      </c>
      <c r="L425" s="11">
        <f>L424+IF(K425&gt;0,K425*Summary!$B$9,K425/Summary!$B$9)</f>
        <v/>
      </c>
      <c r="M425" s="11">
        <f>G425+H425</f>
        <v/>
      </c>
      <c r="N425" s="11">
        <f>Summary!$C$16*Summary!$B$8</f>
        <v/>
      </c>
      <c r="O425" s="11">
        <f>M425-N425</f>
        <v/>
      </c>
    </row>
    <row r="426">
      <c r="A426" s="9" t="n">
        <v>45309.66666666666</v>
      </c>
      <c r="B426" t="n">
        <v>1</v>
      </c>
      <c r="C426" t="n">
        <v>18</v>
      </c>
      <c r="D426" t="n">
        <v>16</v>
      </c>
      <c r="E426" s="10" t="n">
        <v>0</v>
      </c>
      <c r="F426" s="10" t="n">
        <v>0.3855298525271646</v>
      </c>
      <c r="G426" s="11">
        <f>E426*Summary!$B$6</f>
        <v/>
      </c>
      <c r="H426" s="11">
        <f>F426*Summary!$B$7</f>
        <v/>
      </c>
      <c r="I426" s="11">
        <f>MAX(0,N426-M426)</f>
        <v/>
      </c>
      <c r="J426" s="11">
        <f>MAX(0,M426-N426)</f>
        <v/>
      </c>
      <c r="K426" s="11">
        <f>O426</f>
        <v/>
      </c>
      <c r="L426" s="11">
        <f>L425+IF(K426&gt;0,K426*Summary!$B$9,K426/Summary!$B$9)</f>
        <v/>
      </c>
      <c r="M426" s="11">
        <f>G426+H426</f>
        <v/>
      </c>
      <c r="N426" s="11">
        <f>Summary!$C$16*Summary!$B$8</f>
        <v/>
      </c>
      <c r="O426" s="11">
        <f>M426-N426</f>
        <v/>
      </c>
    </row>
    <row r="427">
      <c r="A427" s="9" t="n">
        <v>45309.70833333334</v>
      </c>
      <c r="B427" t="n">
        <v>1</v>
      </c>
      <c r="C427" t="n">
        <v>18</v>
      </c>
      <c r="D427" t="n">
        <v>17</v>
      </c>
      <c r="E427" s="10" t="n">
        <v>0</v>
      </c>
      <c r="F427" s="10" t="n">
        <v>0.3891137253872941</v>
      </c>
      <c r="G427" s="11">
        <f>E427*Summary!$B$6</f>
        <v/>
      </c>
      <c r="H427" s="11">
        <f>F427*Summary!$B$7</f>
        <v/>
      </c>
      <c r="I427" s="11">
        <f>MAX(0,N427-M427)</f>
        <v/>
      </c>
      <c r="J427" s="11">
        <f>MAX(0,M427-N427)</f>
        <v/>
      </c>
      <c r="K427" s="11">
        <f>O427</f>
        <v/>
      </c>
      <c r="L427" s="11">
        <f>L426+IF(K427&gt;0,K427*Summary!$B$9,K427/Summary!$B$9)</f>
        <v/>
      </c>
      <c r="M427" s="11">
        <f>G427+H427</f>
        <v/>
      </c>
      <c r="N427" s="11">
        <f>Summary!$C$16*Summary!$B$8</f>
        <v/>
      </c>
      <c r="O427" s="11">
        <f>M427-N427</f>
        <v/>
      </c>
    </row>
    <row r="428">
      <c r="A428" s="9" t="n">
        <v>45309.75</v>
      </c>
      <c r="B428" t="n">
        <v>1</v>
      </c>
      <c r="C428" t="n">
        <v>18</v>
      </c>
      <c r="D428" t="n">
        <v>18</v>
      </c>
      <c r="E428" s="10" t="n">
        <v>0</v>
      </c>
      <c r="F428" s="10" t="n">
        <v>0.3894035974568634</v>
      </c>
      <c r="G428" s="11">
        <f>E428*Summary!$B$6</f>
        <v/>
      </c>
      <c r="H428" s="11">
        <f>F428*Summary!$B$7</f>
        <v/>
      </c>
      <c r="I428" s="11">
        <f>MAX(0,N428-M428)</f>
        <v/>
      </c>
      <c r="J428" s="11">
        <f>MAX(0,M428-N428)</f>
        <v/>
      </c>
      <c r="K428" s="11">
        <f>O428</f>
        <v/>
      </c>
      <c r="L428" s="11">
        <f>L427+IF(K428&gt;0,K428*Summary!$B$9,K428/Summary!$B$9)</f>
        <v/>
      </c>
      <c r="M428" s="11">
        <f>G428+H428</f>
        <v/>
      </c>
      <c r="N428" s="11">
        <f>Summary!$C$16*Summary!$B$8</f>
        <v/>
      </c>
      <c r="O428" s="11">
        <f>M428-N428</f>
        <v/>
      </c>
    </row>
    <row r="429">
      <c r="A429" s="9" t="n">
        <v>45309.79166666666</v>
      </c>
      <c r="B429" t="n">
        <v>1</v>
      </c>
      <c r="C429" t="n">
        <v>18</v>
      </c>
      <c r="D429" t="n">
        <v>19</v>
      </c>
      <c r="E429" s="10" t="n">
        <v>0</v>
      </c>
      <c r="F429" s="10" t="n">
        <v>0.3994173598601663</v>
      </c>
      <c r="G429" s="11">
        <f>E429*Summary!$B$6</f>
        <v/>
      </c>
      <c r="H429" s="11">
        <f>F429*Summary!$B$7</f>
        <v/>
      </c>
      <c r="I429" s="11">
        <f>MAX(0,N429-M429)</f>
        <v/>
      </c>
      <c r="J429" s="11">
        <f>MAX(0,M429-N429)</f>
        <v/>
      </c>
      <c r="K429" s="11">
        <f>O429</f>
        <v/>
      </c>
      <c r="L429" s="11">
        <f>L428+IF(K429&gt;0,K429*Summary!$B$9,K429/Summary!$B$9)</f>
        <v/>
      </c>
      <c r="M429" s="11">
        <f>G429+H429</f>
        <v/>
      </c>
      <c r="N429" s="11">
        <f>Summary!$C$16*Summary!$B$8</f>
        <v/>
      </c>
      <c r="O429" s="11">
        <f>M429-N429</f>
        <v/>
      </c>
    </row>
    <row r="430">
      <c r="A430" s="9" t="n">
        <v>45309.83333333334</v>
      </c>
      <c r="B430" t="n">
        <v>1</v>
      </c>
      <c r="C430" t="n">
        <v>18</v>
      </c>
      <c r="D430" t="n">
        <v>20</v>
      </c>
      <c r="E430" s="10" t="n">
        <v>0</v>
      </c>
      <c r="F430" s="10" t="n">
        <v>0.3749099939783986</v>
      </c>
      <c r="G430" s="11">
        <f>E430*Summary!$B$6</f>
        <v/>
      </c>
      <c r="H430" s="11">
        <f>F430*Summary!$B$7</f>
        <v/>
      </c>
      <c r="I430" s="11">
        <f>MAX(0,N430-M430)</f>
        <v/>
      </c>
      <c r="J430" s="11">
        <f>MAX(0,M430-N430)</f>
        <v/>
      </c>
      <c r="K430" s="11">
        <f>O430</f>
        <v/>
      </c>
      <c r="L430" s="11">
        <f>L429+IF(K430&gt;0,K430*Summary!$B$9,K430/Summary!$B$9)</f>
        <v/>
      </c>
      <c r="M430" s="11">
        <f>G430+H430</f>
        <v/>
      </c>
      <c r="N430" s="11">
        <f>Summary!$C$16*Summary!$B$8</f>
        <v/>
      </c>
      <c r="O430" s="11">
        <f>M430-N430</f>
        <v/>
      </c>
    </row>
    <row r="431">
      <c r="A431" s="9" t="n">
        <v>45309.875</v>
      </c>
      <c r="B431" t="n">
        <v>1</v>
      </c>
      <c r="C431" t="n">
        <v>18</v>
      </c>
      <c r="D431" t="n">
        <v>21</v>
      </c>
      <c r="E431" s="10" t="n">
        <v>0</v>
      </c>
      <c r="F431" s="10" t="n">
        <v>0.3668989840557562</v>
      </c>
      <c r="G431" s="11">
        <f>E431*Summary!$B$6</f>
        <v/>
      </c>
      <c r="H431" s="11">
        <f>F431*Summary!$B$7</f>
        <v/>
      </c>
      <c r="I431" s="11">
        <f>MAX(0,N431-M431)</f>
        <v/>
      </c>
      <c r="J431" s="11">
        <f>MAX(0,M431-N431)</f>
        <v/>
      </c>
      <c r="K431" s="11">
        <f>O431</f>
        <v/>
      </c>
      <c r="L431" s="11">
        <f>L430+IF(K431&gt;0,K431*Summary!$B$9,K431/Summary!$B$9)</f>
        <v/>
      </c>
      <c r="M431" s="11">
        <f>G431+H431</f>
        <v/>
      </c>
      <c r="N431" s="11">
        <f>Summary!$C$16*Summary!$B$8</f>
        <v/>
      </c>
      <c r="O431" s="11">
        <f>M431-N431</f>
        <v/>
      </c>
    </row>
    <row r="432">
      <c r="A432" s="9" t="n">
        <v>45309.91666666666</v>
      </c>
      <c r="B432" t="n">
        <v>1</v>
      </c>
      <c r="C432" t="n">
        <v>18</v>
      </c>
      <c r="D432" t="n">
        <v>22</v>
      </c>
      <c r="E432" s="10" t="n">
        <v>0</v>
      </c>
      <c r="F432" s="10" t="n">
        <v>0.3636840392841694</v>
      </c>
      <c r="G432" s="11">
        <f>E432*Summary!$B$6</f>
        <v/>
      </c>
      <c r="H432" s="11">
        <f>F432*Summary!$B$7</f>
        <v/>
      </c>
      <c r="I432" s="11">
        <f>MAX(0,N432-M432)</f>
        <v/>
      </c>
      <c r="J432" s="11">
        <f>MAX(0,M432-N432)</f>
        <v/>
      </c>
      <c r="K432" s="11">
        <f>O432</f>
        <v/>
      </c>
      <c r="L432" s="11">
        <f>L431+IF(K432&gt;0,K432*Summary!$B$9,K432/Summary!$B$9)</f>
        <v/>
      </c>
      <c r="M432" s="11">
        <f>G432+H432</f>
        <v/>
      </c>
      <c r="N432" s="11">
        <f>Summary!$C$16*Summary!$B$8</f>
        <v/>
      </c>
      <c r="O432" s="11">
        <f>M432-N432</f>
        <v/>
      </c>
    </row>
    <row r="433">
      <c r="A433" s="9" t="n">
        <v>45309.95833333334</v>
      </c>
      <c r="B433" t="n">
        <v>1</v>
      </c>
      <c r="C433" t="n">
        <v>18</v>
      </c>
      <c r="D433" t="n">
        <v>23</v>
      </c>
      <c r="E433" s="10" t="n">
        <v>0</v>
      </c>
      <c r="F433" s="10" t="n">
        <v>0.3587562141014914</v>
      </c>
      <c r="G433" s="11">
        <f>E433*Summary!$B$6</f>
        <v/>
      </c>
      <c r="H433" s="11">
        <f>F433*Summary!$B$7</f>
        <v/>
      </c>
      <c r="I433" s="11">
        <f>MAX(0,N433-M433)</f>
        <v/>
      </c>
      <c r="J433" s="11">
        <f>MAX(0,M433-N433)</f>
        <v/>
      </c>
      <c r="K433" s="11">
        <f>O433</f>
        <v/>
      </c>
      <c r="L433" s="11">
        <f>L432+IF(K433&gt;0,K433*Summary!$B$9,K433/Summary!$B$9)</f>
        <v/>
      </c>
      <c r="M433" s="11">
        <f>G433+H433</f>
        <v/>
      </c>
      <c r="N433" s="11">
        <f>Summary!$C$16*Summary!$B$8</f>
        <v/>
      </c>
      <c r="O433" s="11">
        <f>M433-N433</f>
        <v/>
      </c>
    </row>
    <row r="434">
      <c r="A434" s="9" t="n">
        <v>45310</v>
      </c>
      <c r="B434" t="n">
        <v>1</v>
      </c>
      <c r="C434" t="n">
        <v>19</v>
      </c>
      <c r="D434" t="n">
        <v>0</v>
      </c>
      <c r="E434" s="10" t="n">
        <v>0</v>
      </c>
      <c r="F434" s="10" t="n">
        <v>0.2437033544888051</v>
      </c>
      <c r="G434" s="11">
        <f>E434*Summary!$B$6</f>
        <v/>
      </c>
      <c r="H434" s="11">
        <f>F434*Summary!$B$7</f>
        <v/>
      </c>
      <c r="I434" s="11">
        <f>MAX(0,N434-M434)</f>
        <v/>
      </c>
      <c r="J434" s="11">
        <f>MAX(0,M434-N434)</f>
        <v/>
      </c>
      <c r="K434" s="11">
        <f>O434</f>
        <v/>
      </c>
      <c r="L434" s="11">
        <f>L433+IF(K434&gt;0,K434*Summary!$B$9,K434/Summary!$B$9)</f>
        <v/>
      </c>
      <c r="M434" s="11">
        <f>G434+H434</f>
        <v/>
      </c>
      <c r="N434" s="11">
        <f>Summary!$C$16*Summary!$B$8</f>
        <v/>
      </c>
      <c r="O434" s="11">
        <f>M434-N434</f>
        <v/>
      </c>
    </row>
    <row r="435">
      <c r="A435" s="9" t="n">
        <v>45310.04166666666</v>
      </c>
      <c r="B435" t="n">
        <v>1</v>
      </c>
      <c r="C435" t="n">
        <v>19</v>
      </c>
      <c r="D435" t="n">
        <v>1</v>
      </c>
      <c r="E435" s="10" t="n">
        <v>0</v>
      </c>
      <c r="F435" s="10" t="n">
        <v>0.359230550215332</v>
      </c>
      <c r="G435" s="11">
        <f>E435*Summary!$B$6</f>
        <v/>
      </c>
      <c r="H435" s="11">
        <f>F435*Summary!$B$7</f>
        <v/>
      </c>
      <c r="I435" s="11">
        <f>MAX(0,N435-M435)</f>
        <v/>
      </c>
      <c r="J435" s="11">
        <f>MAX(0,M435-N435)</f>
        <v/>
      </c>
      <c r="K435" s="11">
        <f>O435</f>
        <v/>
      </c>
      <c r="L435" s="11">
        <f>L434+IF(K435&gt;0,K435*Summary!$B$9,K435/Summary!$B$9)</f>
        <v/>
      </c>
      <c r="M435" s="11">
        <f>G435+H435</f>
        <v/>
      </c>
      <c r="N435" s="11">
        <f>Summary!$C$16*Summary!$B$8</f>
        <v/>
      </c>
      <c r="O435" s="11">
        <f>M435-N435</f>
        <v/>
      </c>
    </row>
    <row r="436">
      <c r="A436" s="9" t="n">
        <v>45310.08333333334</v>
      </c>
      <c r="B436" t="n">
        <v>1</v>
      </c>
      <c r="C436" t="n">
        <v>19</v>
      </c>
      <c r="D436" t="n">
        <v>2</v>
      </c>
      <c r="E436" s="10" t="n">
        <v>0</v>
      </c>
      <c r="F436" s="10" t="n">
        <v>0.354355429045303</v>
      </c>
      <c r="G436" s="11">
        <f>E436*Summary!$B$6</f>
        <v/>
      </c>
      <c r="H436" s="11">
        <f>F436*Summary!$B$7</f>
        <v/>
      </c>
      <c r="I436" s="11">
        <f>MAX(0,N436-M436)</f>
        <v/>
      </c>
      <c r="J436" s="11">
        <f>MAX(0,M436-N436)</f>
        <v/>
      </c>
      <c r="K436" s="11">
        <f>O436</f>
        <v/>
      </c>
      <c r="L436" s="11">
        <f>L435+IF(K436&gt;0,K436*Summary!$B$9,K436/Summary!$B$9)</f>
        <v/>
      </c>
      <c r="M436" s="11">
        <f>G436+H436</f>
        <v/>
      </c>
      <c r="N436" s="11">
        <f>Summary!$C$16*Summary!$B$8</f>
        <v/>
      </c>
      <c r="O436" s="11">
        <f>M436-N436</f>
        <v/>
      </c>
    </row>
    <row r="437">
      <c r="A437" s="9" t="n">
        <v>45310.125</v>
      </c>
      <c r="B437" t="n">
        <v>1</v>
      </c>
      <c r="C437" t="n">
        <v>19</v>
      </c>
      <c r="D437" t="n">
        <v>3</v>
      </c>
      <c r="E437" s="10" t="n">
        <v>0</v>
      </c>
      <c r="F437" s="10" t="n">
        <v>0.3512985963116632</v>
      </c>
      <c r="G437" s="11">
        <f>E437*Summary!$B$6</f>
        <v/>
      </c>
      <c r="H437" s="11">
        <f>F437*Summary!$B$7</f>
        <v/>
      </c>
      <c r="I437" s="11">
        <f>MAX(0,N437-M437)</f>
        <v/>
      </c>
      <c r="J437" s="11">
        <f>MAX(0,M437-N437)</f>
        <v/>
      </c>
      <c r="K437" s="11">
        <f>O437</f>
        <v/>
      </c>
      <c r="L437" s="11">
        <f>L436+IF(K437&gt;0,K437*Summary!$B$9,K437/Summary!$B$9)</f>
        <v/>
      </c>
      <c r="M437" s="11">
        <f>G437+H437</f>
        <v/>
      </c>
      <c r="N437" s="11">
        <f>Summary!$C$16*Summary!$B$8</f>
        <v/>
      </c>
      <c r="O437" s="11">
        <f>M437-N437</f>
        <v/>
      </c>
    </row>
    <row r="438">
      <c r="A438" s="9" t="n">
        <v>45310.16666666666</v>
      </c>
      <c r="B438" t="n">
        <v>1</v>
      </c>
      <c r="C438" t="n">
        <v>19</v>
      </c>
      <c r="D438" t="n">
        <v>4</v>
      </c>
      <c r="E438" s="10" t="n">
        <v>0</v>
      </c>
      <c r="F438" s="10" t="n">
        <v>0.3571223897093735</v>
      </c>
      <c r="G438" s="11">
        <f>E438*Summary!$B$6</f>
        <v/>
      </c>
      <c r="H438" s="11">
        <f>F438*Summary!$B$7</f>
        <v/>
      </c>
      <c r="I438" s="11">
        <f>MAX(0,N438-M438)</f>
        <v/>
      </c>
      <c r="J438" s="11">
        <f>MAX(0,M438-N438)</f>
        <v/>
      </c>
      <c r="K438" s="11">
        <f>O438</f>
        <v/>
      </c>
      <c r="L438" s="11">
        <f>L437+IF(K438&gt;0,K438*Summary!$B$9,K438/Summary!$B$9)</f>
        <v/>
      </c>
      <c r="M438" s="11">
        <f>G438+H438</f>
        <v/>
      </c>
      <c r="N438" s="11">
        <f>Summary!$C$16*Summary!$B$8</f>
        <v/>
      </c>
      <c r="O438" s="11">
        <f>M438-N438</f>
        <v/>
      </c>
    </row>
    <row r="439">
      <c r="A439" s="9" t="n">
        <v>45310.20833333334</v>
      </c>
      <c r="B439" t="n">
        <v>1</v>
      </c>
      <c r="C439" t="n">
        <v>19</v>
      </c>
      <c r="D439" t="n">
        <v>5</v>
      </c>
      <c r="E439" s="10" t="n">
        <v>0</v>
      </c>
      <c r="F439" s="10" t="n">
        <v>0.3609170786200988</v>
      </c>
      <c r="G439" s="11">
        <f>E439*Summary!$B$6</f>
        <v/>
      </c>
      <c r="H439" s="11">
        <f>F439*Summary!$B$7</f>
        <v/>
      </c>
      <c r="I439" s="11">
        <f>MAX(0,N439-M439)</f>
        <v/>
      </c>
      <c r="J439" s="11">
        <f>MAX(0,M439-N439)</f>
        <v/>
      </c>
      <c r="K439" s="11">
        <f>O439</f>
        <v/>
      </c>
      <c r="L439" s="11">
        <f>L438+IF(K439&gt;0,K439*Summary!$B$9,K439/Summary!$B$9)</f>
        <v/>
      </c>
      <c r="M439" s="11">
        <f>G439+H439</f>
        <v/>
      </c>
      <c r="N439" s="11">
        <f>Summary!$C$16*Summary!$B$8</f>
        <v/>
      </c>
      <c r="O439" s="11">
        <f>M439-N439</f>
        <v/>
      </c>
    </row>
    <row r="440">
      <c r="A440" s="9" t="n">
        <v>45310.25</v>
      </c>
      <c r="B440" t="n">
        <v>1</v>
      </c>
      <c r="C440" t="n">
        <v>19</v>
      </c>
      <c r="D440" t="n">
        <v>6</v>
      </c>
      <c r="E440" s="10" t="n">
        <v>0</v>
      </c>
      <c r="F440" s="10" t="n">
        <v>0.3636313352715205</v>
      </c>
      <c r="G440" s="11">
        <f>E440*Summary!$B$6</f>
        <v/>
      </c>
      <c r="H440" s="11">
        <f>F440*Summary!$B$7</f>
        <v/>
      </c>
      <c r="I440" s="11">
        <f>MAX(0,N440-M440)</f>
        <v/>
      </c>
      <c r="J440" s="11">
        <f>MAX(0,M440-N440)</f>
        <v/>
      </c>
      <c r="K440" s="11">
        <f>O440</f>
        <v/>
      </c>
      <c r="L440" s="11">
        <f>L439+IF(K440&gt;0,K440*Summary!$B$9,K440/Summary!$B$9)</f>
        <v/>
      </c>
      <c r="M440" s="11">
        <f>G440+H440</f>
        <v/>
      </c>
      <c r="N440" s="11">
        <f>Summary!$C$16*Summary!$B$8</f>
        <v/>
      </c>
      <c r="O440" s="11">
        <f>M440-N440</f>
        <v/>
      </c>
    </row>
    <row r="441">
      <c r="A441" s="9" t="n">
        <v>45310.29166666666</v>
      </c>
      <c r="B441" t="n">
        <v>1</v>
      </c>
      <c r="C441" t="n">
        <v>19</v>
      </c>
      <c r="D441" t="n">
        <v>7</v>
      </c>
      <c r="E441" s="10" t="n">
        <v>0</v>
      </c>
      <c r="F441" s="10" t="n">
        <v>0.3641583753980101</v>
      </c>
      <c r="G441" s="11">
        <f>E441*Summary!$B$6</f>
        <v/>
      </c>
      <c r="H441" s="11">
        <f>F441*Summary!$B$7</f>
        <v/>
      </c>
      <c r="I441" s="11">
        <f>MAX(0,N441-M441)</f>
        <v/>
      </c>
      <c r="J441" s="11">
        <f>MAX(0,M441-N441)</f>
        <v/>
      </c>
      <c r="K441" s="11">
        <f>O441</f>
        <v/>
      </c>
      <c r="L441" s="11">
        <f>L440+IF(K441&gt;0,K441*Summary!$B$9,K441/Summary!$B$9)</f>
        <v/>
      </c>
      <c r="M441" s="11">
        <f>G441+H441</f>
        <v/>
      </c>
      <c r="N441" s="11">
        <f>Summary!$C$16*Summary!$B$8</f>
        <v/>
      </c>
      <c r="O441" s="11">
        <f>M441-N441</f>
        <v/>
      </c>
    </row>
    <row r="442">
      <c r="A442" s="9" t="n">
        <v>45310.33333333334</v>
      </c>
      <c r="B442" t="n">
        <v>1</v>
      </c>
      <c r="C442" t="n">
        <v>19</v>
      </c>
      <c r="D442" t="n">
        <v>8</v>
      </c>
      <c r="E442" s="10" t="n">
        <v>0</v>
      </c>
      <c r="F442" s="10" t="n">
        <v>0.3646327115118507</v>
      </c>
      <c r="G442" s="11">
        <f>E442*Summary!$B$6</f>
        <v/>
      </c>
      <c r="H442" s="11">
        <f>F442*Summary!$B$7</f>
        <v/>
      </c>
      <c r="I442" s="11">
        <f>MAX(0,N442-M442)</f>
        <v/>
      </c>
      <c r="J442" s="11">
        <f>MAX(0,M442-N442)</f>
        <v/>
      </c>
      <c r="K442" s="11">
        <f>O442</f>
        <v/>
      </c>
      <c r="L442" s="11">
        <f>L441+IF(K442&gt;0,K442*Summary!$B$9,K442/Summary!$B$9)</f>
        <v/>
      </c>
      <c r="M442" s="11">
        <f>G442+H442</f>
        <v/>
      </c>
      <c r="N442" s="11">
        <f>Summary!$C$16*Summary!$B$8</f>
        <v/>
      </c>
      <c r="O442" s="11">
        <f>M442-N442</f>
        <v/>
      </c>
    </row>
    <row r="443">
      <c r="A443" s="9" t="n">
        <v>45310.375</v>
      </c>
      <c r="B443" t="n">
        <v>1</v>
      </c>
      <c r="C443" t="n">
        <v>19</v>
      </c>
      <c r="D443" t="n">
        <v>9</v>
      </c>
      <c r="E443" s="10" t="n">
        <v>0.014275</v>
      </c>
      <c r="F443" s="10" t="n">
        <v>0.3617603428224823</v>
      </c>
      <c r="G443" s="11">
        <f>E443*Summary!$B$6</f>
        <v/>
      </c>
      <c r="H443" s="11">
        <f>F443*Summary!$B$7</f>
        <v/>
      </c>
      <c r="I443" s="11">
        <f>MAX(0,N443-M443)</f>
        <v/>
      </c>
      <c r="J443" s="11">
        <f>MAX(0,M443-N443)</f>
        <v/>
      </c>
      <c r="K443" s="11">
        <f>O443</f>
        <v/>
      </c>
      <c r="L443" s="11">
        <f>L442+IF(K443&gt;0,K443*Summary!$B$9,K443/Summary!$B$9)</f>
        <v/>
      </c>
      <c r="M443" s="11">
        <f>G443+H443</f>
        <v/>
      </c>
      <c r="N443" s="11">
        <f>Summary!$C$16*Summary!$B$8</f>
        <v/>
      </c>
      <c r="O443" s="11">
        <f>M443-N443</f>
        <v/>
      </c>
    </row>
    <row r="444">
      <c r="A444" s="9" t="n">
        <v>45310.41666666666</v>
      </c>
      <c r="B444" t="n">
        <v>1</v>
      </c>
      <c r="C444" t="n">
        <v>19</v>
      </c>
      <c r="D444" t="n">
        <v>10</v>
      </c>
      <c r="E444" s="10" t="n">
        <v>0.029151</v>
      </c>
      <c r="F444" s="10" t="n">
        <v>0.3523790285709668</v>
      </c>
      <c r="G444" s="11">
        <f>E444*Summary!$B$6</f>
        <v/>
      </c>
      <c r="H444" s="11">
        <f>F444*Summary!$B$7</f>
        <v/>
      </c>
      <c r="I444" s="11">
        <f>MAX(0,N444-M444)</f>
        <v/>
      </c>
      <c r="J444" s="11">
        <f>MAX(0,M444-N444)</f>
        <v/>
      </c>
      <c r="K444" s="11">
        <f>O444</f>
        <v/>
      </c>
      <c r="L444" s="11">
        <f>L443+IF(K444&gt;0,K444*Summary!$B$9,K444/Summary!$B$9)</f>
        <v/>
      </c>
      <c r="M444" s="11">
        <f>G444+H444</f>
        <v/>
      </c>
      <c r="N444" s="11">
        <f>Summary!$C$16*Summary!$B$8</f>
        <v/>
      </c>
      <c r="O444" s="11">
        <f>M444-N444</f>
        <v/>
      </c>
    </row>
    <row r="445">
      <c r="A445" s="9" t="n">
        <v>45310.45833333334</v>
      </c>
      <c r="B445" t="n">
        <v>1</v>
      </c>
      <c r="C445" t="n">
        <v>19</v>
      </c>
      <c r="D445" t="n">
        <v>11</v>
      </c>
      <c r="E445" s="10" t="n">
        <v>0.040318</v>
      </c>
      <c r="F445" s="10" t="n">
        <v>0.3429450103068025</v>
      </c>
      <c r="G445" s="11">
        <f>E445*Summary!$B$6</f>
        <v/>
      </c>
      <c r="H445" s="11">
        <f>F445*Summary!$B$7</f>
        <v/>
      </c>
      <c r="I445" s="11">
        <f>MAX(0,N445-M445)</f>
        <v/>
      </c>
      <c r="J445" s="11">
        <f>MAX(0,M445-N445)</f>
        <v/>
      </c>
      <c r="K445" s="11">
        <f>O445</f>
        <v/>
      </c>
      <c r="L445" s="11">
        <f>L444+IF(K445&gt;0,K445*Summary!$B$9,K445/Summary!$B$9)</f>
        <v/>
      </c>
      <c r="M445" s="11">
        <f>G445+H445</f>
        <v/>
      </c>
      <c r="N445" s="11">
        <f>Summary!$C$16*Summary!$B$8</f>
        <v/>
      </c>
      <c r="O445" s="11">
        <f>M445-N445</f>
        <v/>
      </c>
    </row>
    <row r="446">
      <c r="A446" s="9" t="n">
        <v>45310.5</v>
      </c>
      <c r="B446" t="n">
        <v>1</v>
      </c>
      <c r="C446" t="n">
        <v>19</v>
      </c>
      <c r="D446" t="n">
        <v>12</v>
      </c>
      <c r="E446" s="10" t="n">
        <v>0.037955</v>
      </c>
      <c r="F446" s="10" t="n">
        <v>0.3315609435746265</v>
      </c>
      <c r="G446" s="11">
        <f>E446*Summary!$B$6</f>
        <v/>
      </c>
      <c r="H446" s="11">
        <f>F446*Summary!$B$7</f>
        <v/>
      </c>
      <c r="I446" s="11">
        <f>MAX(0,N446-M446)</f>
        <v/>
      </c>
      <c r="J446" s="11">
        <f>MAX(0,M446-N446)</f>
        <v/>
      </c>
      <c r="K446" s="11">
        <f>O446</f>
        <v/>
      </c>
      <c r="L446" s="11">
        <f>L445+IF(K446&gt;0,K446*Summary!$B$9,K446/Summary!$B$9)</f>
        <v/>
      </c>
      <c r="M446" s="11">
        <f>G446+H446</f>
        <v/>
      </c>
      <c r="N446" s="11">
        <f>Summary!$C$16*Summary!$B$8</f>
        <v/>
      </c>
      <c r="O446" s="11">
        <f>M446-N446</f>
        <v/>
      </c>
    </row>
    <row r="447">
      <c r="A447" s="9" t="n">
        <v>45310.54166666666</v>
      </c>
      <c r="B447" t="n">
        <v>1</v>
      </c>
      <c r="C447" t="n">
        <v>19</v>
      </c>
      <c r="D447" t="n">
        <v>13</v>
      </c>
      <c r="E447" s="10" t="n">
        <v>0.031767</v>
      </c>
      <c r="F447" s="10" t="n">
        <v>0.3239979177595003</v>
      </c>
      <c r="G447" s="11">
        <f>E447*Summary!$B$6</f>
        <v/>
      </c>
      <c r="H447" s="11">
        <f>F447*Summary!$B$7</f>
        <v/>
      </c>
      <c r="I447" s="11">
        <f>MAX(0,N447-M447)</f>
        <v/>
      </c>
      <c r="J447" s="11">
        <f>MAX(0,M447-N447)</f>
        <v/>
      </c>
      <c r="K447" s="11">
        <f>O447</f>
        <v/>
      </c>
      <c r="L447" s="11">
        <f>L446+IF(K447&gt;0,K447*Summary!$B$9,K447/Summary!$B$9)</f>
        <v/>
      </c>
      <c r="M447" s="11">
        <f>G447+H447</f>
        <v/>
      </c>
      <c r="N447" s="11">
        <f>Summary!$C$16*Summary!$B$8</f>
        <v/>
      </c>
      <c r="O447" s="11">
        <f>M447-N447</f>
        <v/>
      </c>
    </row>
    <row r="448">
      <c r="A448" s="9" t="n">
        <v>45310.58333333334</v>
      </c>
      <c r="B448" t="n">
        <v>1</v>
      </c>
      <c r="C448" t="n">
        <v>19</v>
      </c>
      <c r="D448" t="n">
        <v>14</v>
      </c>
      <c r="E448" s="10" t="n">
        <v>0.018741</v>
      </c>
      <c r="F448" s="10" t="n">
        <v>0.3267121744109218</v>
      </c>
      <c r="G448" s="11">
        <f>E448*Summary!$B$6</f>
        <v/>
      </c>
      <c r="H448" s="11">
        <f>F448*Summary!$B$7</f>
        <v/>
      </c>
      <c r="I448" s="11">
        <f>MAX(0,N448-M448)</f>
        <v/>
      </c>
      <c r="J448" s="11">
        <f>MAX(0,M448-N448)</f>
        <v/>
      </c>
      <c r="K448" s="11">
        <f>O448</f>
        <v/>
      </c>
      <c r="L448" s="11">
        <f>L447+IF(K448&gt;0,K448*Summary!$B$9,K448/Summary!$B$9)</f>
        <v/>
      </c>
      <c r="M448" s="11">
        <f>G448+H448</f>
        <v/>
      </c>
      <c r="N448" s="11">
        <f>Summary!$C$16*Summary!$B$8</f>
        <v/>
      </c>
      <c r="O448" s="11">
        <f>M448-N448</f>
        <v/>
      </c>
    </row>
    <row r="449">
      <c r="A449" s="9" t="n">
        <v>45310.625</v>
      </c>
      <c r="B449" t="n">
        <v>1</v>
      </c>
      <c r="C449" t="n">
        <v>19</v>
      </c>
      <c r="D449" t="n">
        <v>15</v>
      </c>
      <c r="E449" s="10" t="n">
        <v>0.007229</v>
      </c>
      <c r="F449" s="10" t="n">
        <v>0.3342224962133991</v>
      </c>
      <c r="G449" s="11">
        <f>E449*Summary!$B$6</f>
        <v/>
      </c>
      <c r="H449" s="11">
        <f>F449*Summary!$B$7</f>
        <v/>
      </c>
      <c r="I449" s="11">
        <f>MAX(0,N449-M449)</f>
        <v/>
      </c>
      <c r="J449" s="11">
        <f>MAX(0,M449-N449)</f>
        <v/>
      </c>
      <c r="K449" s="11">
        <f>O449</f>
        <v/>
      </c>
      <c r="L449" s="11">
        <f>L448+IF(K449&gt;0,K449*Summary!$B$9,K449/Summary!$B$9)</f>
        <v/>
      </c>
      <c r="M449" s="11">
        <f>G449+H449</f>
        <v/>
      </c>
      <c r="N449" s="11">
        <f>Summary!$C$16*Summary!$B$8</f>
        <v/>
      </c>
      <c r="O449" s="11">
        <f>M449-N449</f>
        <v/>
      </c>
    </row>
    <row r="450">
      <c r="A450" s="9" t="n">
        <v>45310.66666666666</v>
      </c>
      <c r="B450" t="n">
        <v>1</v>
      </c>
      <c r="C450" t="n">
        <v>19</v>
      </c>
      <c r="D450" t="n">
        <v>16</v>
      </c>
      <c r="E450" s="10" t="n">
        <v>0</v>
      </c>
      <c r="F450" s="10" t="n">
        <v>0.3345387202892929</v>
      </c>
      <c r="G450" s="11">
        <f>E450*Summary!$B$6</f>
        <v/>
      </c>
      <c r="H450" s="11">
        <f>F450*Summary!$B$7</f>
        <v/>
      </c>
      <c r="I450" s="11">
        <f>MAX(0,N450-M450)</f>
        <v/>
      </c>
      <c r="J450" s="11">
        <f>MAX(0,M450-N450)</f>
        <v/>
      </c>
      <c r="K450" s="11">
        <f>O450</f>
        <v/>
      </c>
      <c r="L450" s="11">
        <f>L449+IF(K450&gt;0,K450*Summary!$B$9,K450/Summary!$B$9)</f>
        <v/>
      </c>
      <c r="M450" s="11">
        <f>G450+H450</f>
        <v/>
      </c>
      <c r="N450" s="11">
        <f>Summary!$C$16*Summary!$B$8</f>
        <v/>
      </c>
      <c r="O450" s="11">
        <f>M450-N450</f>
        <v/>
      </c>
    </row>
    <row r="451">
      <c r="A451" s="9" t="n">
        <v>45310.70833333334</v>
      </c>
      <c r="B451" t="n">
        <v>1</v>
      </c>
      <c r="C451" t="n">
        <v>19</v>
      </c>
      <c r="D451" t="n">
        <v>17</v>
      </c>
      <c r="E451" s="10" t="n">
        <v>0</v>
      </c>
      <c r="F451" s="10" t="n">
        <v>0.3232864135887393</v>
      </c>
      <c r="G451" s="11">
        <f>E451*Summary!$B$6</f>
        <v/>
      </c>
      <c r="H451" s="11">
        <f>F451*Summary!$B$7</f>
        <v/>
      </c>
      <c r="I451" s="11">
        <f>MAX(0,N451-M451)</f>
        <v/>
      </c>
      <c r="J451" s="11">
        <f>MAX(0,M451-N451)</f>
        <v/>
      </c>
      <c r="K451" s="11">
        <f>O451</f>
        <v/>
      </c>
      <c r="L451" s="11">
        <f>L450+IF(K451&gt;0,K451*Summary!$B$9,K451/Summary!$B$9)</f>
        <v/>
      </c>
      <c r="M451" s="11">
        <f>G451+H451</f>
        <v/>
      </c>
      <c r="N451" s="11">
        <f>Summary!$C$16*Summary!$B$8</f>
        <v/>
      </c>
      <c r="O451" s="11">
        <f>M451-N451</f>
        <v/>
      </c>
    </row>
    <row r="452">
      <c r="A452" s="9" t="n">
        <v>45310.75</v>
      </c>
      <c r="B452" t="n">
        <v>1</v>
      </c>
      <c r="C452" t="n">
        <v>19</v>
      </c>
      <c r="D452" t="n">
        <v>18</v>
      </c>
      <c r="E452" s="10" t="n">
        <v>0</v>
      </c>
      <c r="F452" s="10" t="n">
        <v>0.3121395149134836</v>
      </c>
      <c r="G452" s="11">
        <f>E452*Summary!$B$6</f>
        <v/>
      </c>
      <c r="H452" s="11">
        <f>F452*Summary!$B$7</f>
        <v/>
      </c>
      <c r="I452" s="11">
        <f>MAX(0,N452-M452)</f>
        <v/>
      </c>
      <c r="J452" s="11">
        <f>MAX(0,M452-N452)</f>
        <v/>
      </c>
      <c r="K452" s="11">
        <f>O452</f>
        <v/>
      </c>
      <c r="L452" s="11">
        <f>L451+IF(K452&gt;0,K452*Summary!$B$9,K452/Summary!$B$9)</f>
        <v/>
      </c>
      <c r="M452" s="11">
        <f>G452+H452</f>
        <v/>
      </c>
      <c r="N452" s="11">
        <f>Summary!$C$16*Summary!$B$8</f>
        <v/>
      </c>
      <c r="O452" s="11">
        <f>M452-N452</f>
        <v/>
      </c>
    </row>
    <row r="453">
      <c r="A453" s="9" t="n">
        <v>45310.79166666666</v>
      </c>
      <c r="B453" t="n">
        <v>1</v>
      </c>
      <c r="C453" t="n">
        <v>19</v>
      </c>
      <c r="D453" t="n">
        <v>19</v>
      </c>
      <c r="E453" s="10" t="n">
        <v>0</v>
      </c>
      <c r="F453" s="10" t="n">
        <v>0.2992533838208121</v>
      </c>
      <c r="G453" s="11">
        <f>E453*Summary!$B$6</f>
        <v/>
      </c>
      <c r="H453" s="11">
        <f>F453*Summary!$B$7</f>
        <v/>
      </c>
      <c r="I453" s="11">
        <f>MAX(0,N453-M453)</f>
        <v/>
      </c>
      <c r="J453" s="11">
        <f>MAX(0,M453-N453)</f>
        <v/>
      </c>
      <c r="K453" s="11">
        <f>O453</f>
        <v/>
      </c>
      <c r="L453" s="11">
        <f>L452+IF(K453&gt;0,K453*Summary!$B$9,K453/Summary!$B$9)</f>
        <v/>
      </c>
      <c r="M453" s="11">
        <f>G453+H453</f>
        <v/>
      </c>
      <c r="N453" s="11">
        <f>Summary!$C$16*Summary!$B$8</f>
        <v/>
      </c>
      <c r="O453" s="11">
        <f>M453-N453</f>
        <v/>
      </c>
    </row>
    <row r="454">
      <c r="A454" s="9" t="n">
        <v>45310.83333333334</v>
      </c>
      <c r="B454" t="n">
        <v>1</v>
      </c>
      <c r="C454" t="n">
        <v>19</v>
      </c>
      <c r="D454" t="n">
        <v>20</v>
      </c>
      <c r="E454" s="10" t="n">
        <v>0</v>
      </c>
      <c r="F454" s="10" t="n">
        <v>0.3122449229387815</v>
      </c>
      <c r="G454" s="11">
        <f>E454*Summary!$B$6</f>
        <v/>
      </c>
      <c r="H454" s="11">
        <f>F454*Summary!$B$7</f>
        <v/>
      </c>
      <c r="I454" s="11">
        <f>MAX(0,N454-M454)</f>
        <v/>
      </c>
      <c r="J454" s="11">
        <f>MAX(0,M454-N454)</f>
        <v/>
      </c>
      <c r="K454" s="11">
        <f>O454</f>
        <v/>
      </c>
      <c r="L454" s="11">
        <f>L453+IF(K454&gt;0,K454*Summary!$B$9,K454/Summary!$B$9)</f>
        <v/>
      </c>
      <c r="M454" s="11">
        <f>G454+H454</f>
        <v/>
      </c>
      <c r="N454" s="11">
        <f>Summary!$C$16*Summary!$B$8</f>
        <v/>
      </c>
      <c r="O454" s="11">
        <f>M454-N454</f>
        <v/>
      </c>
    </row>
    <row r="455">
      <c r="A455" s="9" t="n">
        <v>45310.875</v>
      </c>
      <c r="B455" t="n">
        <v>1</v>
      </c>
      <c r="C455" t="n">
        <v>19</v>
      </c>
      <c r="D455" t="n">
        <v>21</v>
      </c>
      <c r="E455" s="10" t="n">
        <v>0</v>
      </c>
      <c r="F455" s="10" t="n">
        <v>0.2785934108624186</v>
      </c>
      <c r="G455" s="11">
        <f>E455*Summary!$B$6</f>
        <v/>
      </c>
      <c r="H455" s="11">
        <f>F455*Summary!$B$7</f>
        <v/>
      </c>
      <c r="I455" s="11">
        <f>MAX(0,N455-M455)</f>
        <v/>
      </c>
      <c r="J455" s="11">
        <f>MAX(0,M455-N455)</f>
        <v/>
      </c>
      <c r="K455" s="11">
        <f>O455</f>
        <v/>
      </c>
      <c r="L455" s="11">
        <f>L454+IF(K455&gt;0,K455*Summary!$B$9,K455/Summary!$B$9)</f>
        <v/>
      </c>
      <c r="M455" s="11">
        <f>G455+H455</f>
        <v/>
      </c>
      <c r="N455" s="11">
        <f>Summary!$C$16*Summary!$B$8</f>
        <v/>
      </c>
      <c r="O455" s="11">
        <f>M455-N455</f>
        <v/>
      </c>
    </row>
    <row r="456">
      <c r="A456" s="9" t="n">
        <v>45310.91666666666</v>
      </c>
      <c r="B456" t="n">
        <v>1</v>
      </c>
      <c r="C456" t="n">
        <v>19</v>
      </c>
      <c r="D456" t="n">
        <v>22</v>
      </c>
      <c r="E456" s="10" t="n">
        <v>0</v>
      </c>
      <c r="F456" s="10" t="n">
        <v>0.2679208483010035</v>
      </c>
      <c r="G456" s="11">
        <f>E456*Summary!$B$6</f>
        <v/>
      </c>
      <c r="H456" s="11">
        <f>F456*Summary!$B$7</f>
        <v/>
      </c>
      <c r="I456" s="11">
        <f>MAX(0,N456-M456)</f>
        <v/>
      </c>
      <c r="J456" s="11">
        <f>MAX(0,M456-N456)</f>
        <v/>
      </c>
      <c r="K456" s="11">
        <f>O456</f>
        <v/>
      </c>
      <c r="L456" s="11">
        <f>L455+IF(K456&gt;0,K456*Summary!$B$9,K456/Summary!$B$9)</f>
        <v/>
      </c>
      <c r="M456" s="11">
        <f>G456+H456</f>
        <v/>
      </c>
      <c r="N456" s="11">
        <f>Summary!$C$16*Summary!$B$8</f>
        <v/>
      </c>
      <c r="O456" s="11">
        <f>M456-N456</f>
        <v/>
      </c>
    </row>
    <row r="457">
      <c r="A457" s="9" t="n">
        <v>45310.95833333334</v>
      </c>
      <c r="B457" t="n">
        <v>1</v>
      </c>
      <c r="C457" t="n">
        <v>19</v>
      </c>
      <c r="D457" t="n">
        <v>23</v>
      </c>
      <c r="E457" s="10" t="n">
        <v>0</v>
      </c>
      <c r="F457" s="10" t="n">
        <v>0.2589084621380309</v>
      </c>
      <c r="G457" s="11">
        <f>E457*Summary!$B$6</f>
        <v/>
      </c>
      <c r="H457" s="11">
        <f>F457*Summary!$B$7</f>
        <v/>
      </c>
      <c r="I457" s="11">
        <f>MAX(0,N457-M457)</f>
        <v/>
      </c>
      <c r="J457" s="11">
        <f>MAX(0,M457-N457)</f>
        <v/>
      </c>
      <c r="K457" s="11">
        <f>O457</f>
        <v/>
      </c>
      <c r="L457" s="11">
        <f>L456+IF(K457&gt;0,K457*Summary!$B$9,K457/Summary!$B$9)</f>
        <v/>
      </c>
      <c r="M457" s="11">
        <f>G457+H457</f>
        <v/>
      </c>
      <c r="N457" s="11">
        <f>Summary!$C$16*Summary!$B$8</f>
        <v/>
      </c>
      <c r="O457" s="11">
        <f>M457-N457</f>
        <v/>
      </c>
    </row>
    <row r="458">
      <c r="A458" s="9" t="n">
        <v>45311</v>
      </c>
      <c r="B458" t="n">
        <v>1</v>
      </c>
      <c r="C458" t="n">
        <v>20</v>
      </c>
      <c r="D458" t="n">
        <v>0</v>
      </c>
      <c r="E458" s="10" t="n">
        <v>0</v>
      </c>
      <c r="F458" s="10" t="n">
        <v>0.3665300559672134</v>
      </c>
      <c r="G458" s="11">
        <f>E458*Summary!$B$6</f>
        <v/>
      </c>
      <c r="H458" s="11">
        <f>F458*Summary!$B$7</f>
        <v/>
      </c>
      <c r="I458" s="11">
        <f>MAX(0,N458-M458)</f>
        <v/>
      </c>
      <c r="J458" s="11">
        <f>MAX(0,M458-N458)</f>
        <v/>
      </c>
      <c r="K458" s="11">
        <f>O458</f>
        <v/>
      </c>
      <c r="L458" s="11">
        <f>L457+IF(K458&gt;0,K458*Summary!$B$9,K458/Summary!$B$9)</f>
        <v/>
      </c>
      <c r="M458" s="11">
        <f>G458+H458</f>
        <v/>
      </c>
      <c r="N458" s="11">
        <f>Summary!$C$16*Summary!$B$8</f>
        <v/>
      </c>
      <c r="O458" s="11">
        <f>M458-N458</f>
        <v/>
      </c>
    </row>
    <row r="459">
      <c r="A459" s="9" t="n">
        <v>45311.04166666666</v>
      </c>
      <c r="B459" t="n">
        <v>1</v>
      </c>
      <c r="C459" t="n">
        <v>20</v>
      </c>
      <c r="D459" t="n">
        <v>1</v>
      </c>
      <c r="E459" s="10" t="n">
        <v>0</v>
      </c>
      <c r="F459" s="10" t="n">
        <v>0.2444939146785395</v>
      </c>
      <c r="G459" s="11">
        <f>E459*Summary!$B$6</f>
        <v/>
      </c>
      <c r="H459" s="11">
        <f>F459*Summary!$B$7</f>
        <v/>
      </c>
      <c r="I459" s="11">
        <f>MAX(0,N459-M459)</f>
        <v/>
      </c>
      <c r="J459" s="11">
        <f>MAX(0,M459-N459)</f>
        <v/>
      </c>
      <c r="K459" s="11">
        <f>O459</f>
        <v/>
      </c>
      <c r="L459" s="11">
        <f>L458+IF(K459&gt;0,K459*Summary!$B$9,K459/Summary!$B$9)</f>
        <v/>
      </c>
      <c r="M459" s="11">
        <f>G459+H459</f>
        <v/>
      </c>
      <c r="N459" s="11">
        <f>Summary!$C$16*Summary!$B$8</f>
        <v/>
      </c>
      <c r="O459" s="11">
        <f>M459-N459</f>
        <v/>
      </c>
    </row>
    <row r="460">
      <c r="A460" s="9" t="n">
        <v>45311.08333333334</v>
      </c>
      <c r="B460" t="n">
        <v>1</v>
      </c>
      <c r="C460" t="n">
        <v>20</v>
      </c>
      <c r="D460" t="n">
        <v>2</v>
      </c>
      <c r="E460" s="10" t="n">
        <v>0</v>
      </c>
      <c r="F460" s="10" t="n">
        <v>0.2492372758169462</v>
      </c>
      <c r="G460" s="11">
        <f>E460*Summary!$B$6</f>
        <v/>
      </c>
      <c r="H460" s="11">
        <f>F460*Summary!$B$7</f>
        <v/>
      </c>
      <c r="I460" s="11">
        <f>MAX(0,N460-M460)</f>
        <v/>
      </c>
      <c r="J460" s="11">
        <f>MAX(0,M460-N460)</f>
        <v/>
      </c>
      <c r="K460" s="11">
        <f>O460</f>
        <v/>
      </c>
      <c r="L460" s="11">
        <f>L459+IF(K460&gt;0,K460*Summary!$B$9,K460/Summary!$B$9)</f>
        <v/>
      </c>
      <c r="M460" s="11">
        <f>G460+H460</f>
        <v/>
      </c>
      <c r="N460" s="11">
        <f>Summary!$C$16*Summary!$B$8</f>
        <v/>
      </c>
      <c r="O460" s="11">
        <f>M460-N460</f>
        <v/>
      </c>
    </row>
    <row r="461">
      <c r="A461" s="9" t="n">
        <v>45311.125</v>
      </c>
      <c r="B461" t="n">
        <v>1</v>
      </c>
      <c r="C461" t="n">
        <v>20</v>
      </c>
      <c r="D461" t="n">
        <v>3</v>
      </c>
      <c r="E461" s="10" t="n">
        <v>0</v>
      </c>
      <c r="F461" s="10" t="n">
        <v>0.2609639186313405</v>
      </c>
      <c r="G461" s="11">
        <f>E461*Summary!$B$6</f>
        <v/>
      </c>
      <c r="H461" s="11">
        <f>F461*Summary!$B$7</f>
        <v/>
      </c>
      <c r="I461" s="11">
        <f>MAX(0,N461-M461)</f>
        <v/>
      </c>
      <c r="J461" s="11">
        <f>MAX(0,M461-N461)</f>
        <v/>
      </c>
      <c r="K461" s="11">
        <f>O461</f>
        <v/>
      </c>
      <c r="L461" s="11">
        <f>L460+IF(K461&gt;0,K461*Summary!$B$9,K461/Summary!$B$9)</f>
        <v/>
      </c>
      <c r="M461" s="11">
        <f>G461+H461</f>
        <v/>
      </c>
      <c r="N461" s="11">
        <f>Summary!$C$16*Summary!$B$8</f>
        <v/>
      </c>
      <c r="O461" s="11">
        <f>M461-N461</f>
        <v/>
      </c>
    </row>
    <row r="462">
      <c r="A462" s="9" t="n">
        <v>45311.16666666666</v>
      </c>
      <c r="B462" t="n">
        <v>1</v>
      </c>
      <c r="C462" t="n">
        <v>20</v>
      </c>
      <c r="D462" t="n">
        <v>4</v>
      </c>
      <c r="E462" s="10" t="n">
        <v>0</v>
      </c>
      <c r="F462" s="10" t="n">
        <v>0.2710567370536169</v>
      </c>
      <c r="G462" s="11">
        <f>E462*Summary!$B$6</f>
        <v/>
      </c>
      <c r="H462" s="11">
        <f>F462*Summary!$B$7</f>
        <v/>
      </c>
      <c r="I462" s="11">
        <f>MAX(0,N462-M462)</f>
        <v/>
      </c>
      <c r="J462" s="11">
        <f>MAX(0,M462-N462)</f>
        <v/>
      </c>
      <c r="K462" s="11">
        <f>O462</f>
        <v/>
      </c>
      <c r="L462" s="11">
        <f>L461+IF(K462&gt;0,K462*Summary!$B$9,K462/Summary!$B$9)</f>
        <v/>
      </c>
      <c r="M462" s="11">
        <f>G462+H462</f>
        <v/>
      </c>
      <c r="N462" s="11">
        <f>Summary!$C$16*Summary!$B$8</f>
        <v/>
      </c>
      <c r="O462" s="11">
        <f>M462-N462</f>
        <v/>
      </c>
    </row>
    <row r="463">
      <c r="A463" s="9" t="n">
        <v>45311.20833333334</v>
      </c>
      <c r="B463" t="n">
        <v>1</v>
      </c>
      <c r="C463" t="n">
        <v>20</v>
      </c>
      <c r="D463" t="n">
        <v>5</v>
      </c>
      <c r="E463" s="10" t="n">
        <v>0</v>
      </c>
      <c r="F463" s="10" t="n">
        <v>0.2819401156656278</v>
      </c>
      <c r="G463" s="11">
        <f>E463*Summary!$B$6</f>
        <v/>
      </c>
      <c r="H463" s="11">
        <f>F463*Summary!$B$7</f>
        <v/>
      </c>
      <c r="I463" s="11">
        <f>MAX(0,N463-M463)</f>
        <v/>
      </c>
      <c r="J463" s="11">
        <f>MAX(0,M463-N463)</f>
        <v/>
      </c>
      <c r="K463" s="11">
        <f>O463</f>
        <v/>
      </c>
      <c r="L463" s="11">
        <f>L462+IF(K463&gt;0,K463*Summary!$B$9,K463/Summary!$B$9)</f>
        <v/>
      </c>
      <c r="M463" s="11">
        <f>G463+H463</f>
        <v/>
      </c>
      <c r="N463" s="11">
        <f>Summary!$C$16*Summary!$B$8</f>
        <v/>
      </c>
      <c r="O463" s="11">
        <f>M463-N463</f>
        <v/>
      </c>
    </row>
    <row r="464">
      <c r="A464" s="9" t="n">
        <v>45311.25</v>
      </c>
      <c r="B464" t="n">
        <v>1</v>
      </c>
      <c r="C464" t="n">
        <v>20</v>
      </c>
      <c r="D464" t="n">
        <v>6</v>
      </c>
      <c r="E464" s="10" t="n">
        <v>0</v>
      </c>
      <c r="F464" s="10" t="n">
        <v>0.2917430620183349</v>
      </c>
      <c r="G464" s="11">
        <f>E464*Summary!$B$6</f>
        <v/>
      </c>
      <c r="H464" s="11">
        <f>F464*Summary!$B$7</f>
        <v/>
      </c>
      <c r="I464" s="11">
        <f>MAX(0,N464-M464)</f>
        <v/>
      </c>
      <c r="J464" s="11">
        <f>MAX(0,M464-N464)</f>
        <v/>
      </c>
      <c r="K464" s="11">
        <f>O464</f>
        <v/>
      </c>
      <c r="L464" s="11">
        <f>L463+IF(K464&gt;0,K464*Summary!$B$9,K464/Summary!$B$9)</f>
        <v/>
      </c>
      <c r="M464" s="11">
        <f>G464+H464</f>
        <v/>
      </c>
      <c r="N464" s="11">
        <f>Summary!$C$16*Summary!$B$8</f>
        <v/>
      </c>
      <c r="O464" s="11">
        <f>M464-N464</f>
        <v/>
      </c>
    </row>
    <row r="465">
      <c r="A465" s="9" t="n">
        <v>45311.29166666666</v>
      </c>
      <c r="B465" t="n">
        <v>1</v>
      </c>
      <c r="C465" t="n">
        <v>20</v>
      </c>
      <c r="D465" t="n">
        <v>7</v>
      </c>
      <c r="E465" s="10" t="n">
        <v>0</v>
      </c>
      <c r="F465" s="10" t="n">
        <v>0.2974087433780984</v>
      </c>
      <c r="G465" s="11">
        <f>E465*Summary!$B$6</f>
        <v/>
      </c>
      <c r="H465" s="11">
        <f>F465*Summary!$B$7</f>
        <v/>
      </c>
      <c r="I465" s="11">
        <f>MAX(0,N465-M465)</f>
        <v/>
      </c>
      <c r="J465" s="11">
        <f>MAX(0,M465-N465)</f>
        <v/>
      </c>
      <c r="K465" s="11">
        <f>O465</f>
        <v/>
      </c>
      <c r="L465" s="11">
        <f>L464+IF(K465&gt;0,K465*Summary!$B$9,K465/Summary!$B$9)</f>
        <v/>
      </c>
      <c r="M465" s="11">
        <f>G465+H465</f>
        <v/>
      </c>
      <c r="N465" s="11">
        <f>Summary!$C$16*Summary!$B$8</f>
        <v/>
      </c>
      <c r="O465" s="11">
        <f>M465-N465</f>
        <v/>
      </c>
    </row>
    <row r="466">
      <c r="A466" s="9" t="n">
        <v>45311.33333333334</v>
      </c>
      <c r="B466" t="n">
        <v>1</v>
      </c>
      <c r="C466" t="n">
        <v>20</v>
      </c>
      <c r="D466" t="n">
        <v>8</v>
      </c>
      <c r="E466" s="10" t="n">
        <v>0</v>
      </c>
      <c r="F466" s="10" t="n">
        <v>0.3005182801243872</v>
      </c>
      <c r="G466" s="11">
        <f>E466*Summary!$B$6</f>
        <v/>
      </c>
      <c r="H466" s="11">
        <f>F466*Summary!$B$7</f>
        <v/>
      </c>
      <c r="I466" s="11">
        <f>MAX(0,N466-M466)</f>
        <v/>
      </c>
      <c r="J466" s="11">
        <f>MAX(0,M466-N466)</f>
        <v/>
      </c>
      <c r="K466" s="11">
        <f>O466</f>
        <v/>
      </c>
      <c r="L466" s="11">
        <f>L465+IF(K466&gt;0,K466*Summary!$B$9,K466/Summary!$B$9)</f>
        <v/>
      </c>
      <c r="M466" s="11">
        <f>G466+H466</f>
        <v/>
      </c>
      <c r="N466" s="11">
        <f>Summary!$C$16*Summary!$B$8</f>
        <v/>
      </c>
      <c r="O466" s="11">
        <f>M466-N466</f>
        <v/>
      </c>
    </row>
    <row r="467">
      <c r="A467" s="9" t="n">
        <v>45311.375</v>
      </c>
      <c r="B467" t="n">
        <v>1</v>
      </c>
      <c r="C467" t="n">
        <v>20</v>
      </c>
      <c r="D467" t="n">
        <v>9</v>
      </c>
      <c r="E467" s="10" t="n">
        <v>0.01178</v>
      </c>
      <c r="F467" s="10" t="n">
        <v>0.3018358804406113</v>
      </c>
      <c r="G467" s="11">
        <f>E467*Summary!$B$6</f>
        <v/>
      </c>
      <c r="H467" s="11">
        <f>F467*Summary!$B$7</f>
        <v/>
      </c>
      <c r="I467" s="11">
        <f>MAX(0,N467-M467)</f>
        <v/>
      </c>
      <c r="J467" s="11">
        <f>MAX(0,M467-N467)</f>
        <v/>
      </c>
      <c r="K467" s="11">
        <f>O467</f>
        <v/>
      </c>
      <c r="L467" s="11">
        <f>L466+IF(K467&gt;0,K467*Summary!$B$9,K467/Summary!$B$9)</f>
        <v/>
      </c>
      <c r="M467" s="11">
        <f>G467+H467</f>
        <v/>
      </c>
      <c r="N467" s="11">
        <f>Summary!$C$16*Summary!$B$8</f>
        <v/>
      </c>
      <c r="O467" s="11">
        <f>M467-N467</f>
        <v/>
      </c>
    </row>
    <row r="468">
      <c r="A468" s="9" t="n">
        <v>45311.41666666666</v>
      </c>
      <c r="B468" t="n">
        <v>1</v>
      </c>
      <c r="C468" t="n">
        <v>20</v>
      </c>
      <c r="D468" t="n">
        <v>10</v>
      </c>
      <c r="E468" s="10" t="n">
        <v>0.038658</v>
      </c>
      <c r="F468" s="10" t="n">
        <v>0.3035224088453781</v>
      </c>
      <c r="G468" s="11">
        <f>E468*Summary!$B$6</f>
        <v/>
      </c>
      <c r="H468" s="11">
        <f>F468*Summary!$B$7</f>
        <v/>
      </c>
      <c r="I468" s="11">
        <f>MAX(0,N468-M468)</f>
        <v/>
      </c>
      <c r="J468" s="11">
        <f>MAX(0,M468-N468)</f>
        <v/>
      </c>
      <c r="K468" s="11">
        <f>O468</f>
        <v/>
      </c>
      <c r="L468" s="11">
        <f>L467+IF(K468&gt;0,K468*Summary!$B$9,K468/Summary!$B$9)</f>
        <v/>
      </c>
      <c r="M468" s="11">
        <f>G468+H468</f>
        <v/>
      </c>
      <c r="N468" s="11">
        <f>Summary!$C$16*Summary!$B$8</f>
        <v/>
      </c>
      <c r="O468" s="11">
        <f>M468-N468</f>
        <v/>
      </c>
    </row>
    <row r="469">
      <c r="A469" s="9" t="n">
        <v>45311.45833333334</v>
      </c>
      <c r="B469" t="n">
        <v>1</v>
      </c>
      <c r="C469" t="n">
        <v>20</v>
      </c>
      <c r="D469" t="n">
        <v>11</v>
      </c>
      <c r="E469" s="10" t="n">
        <v>0.059507</v>
      </c>
      <c r="F469" s="10" t="n">
        <v>0.298647287675349</v>
      </c>
      <c r="G469" s="11">
        <f>E469*Summary!$B$6</f>
        <v/>
      </c>
      <c r="H469" s="11">
        <f>F469*Summary!$B$7</f>
        <v/>
      </c>
      <c r="I469" s="11">
        <f>MAX(0,N469-M469)</f>
        <v/>
      </c>
      <c r="J469" s="11">
        <f>MAX(0,M469-N469)</f>
        <v/>
      </c>
      <c r="K469" s="11">
        <f>O469</f>
        <v/>
      </c>
      <c r="L469" s="11">
        <f>L468+IF(K469&gt;0,K469*Summary!$B$9,K469/Summary!$B$9)</f>
        <v/>
      </c>
      <c r="M469" s="11">
        <f>G469+H469</f>
        <v/>
      </c>
      <c r="N469" s="11">
        <f>Summary!$C$16*Summary!$B$8</f>
        <v/>
      </c>
      <c r="O469" s="11">
        <f>M469-N469</f>
        <v/>
      </c>
    </row>
    <row r="470">
      <c r="A470" s="9" t="n">
        <v>45311.5</v>
      </c>
      <c r="B470" t="n">
        <v>1</v>
      </c>
      <c r="C470" t="n">
        <v>20</v>
      </c>
      <c r="D470" t="n">
        <v>12</v>
      </c>
      <c r="E470" s="10" t="n">
        <v>0.065956</v>
      </c>
      <c r="F470" s="10" t="n">
        <v>0.2953005828721399</v>
      </c>
      <c r="G470" s="11">
        <f>E470*Summary!$B$6</f>
        <v/>
      </c>
      <c r="H470" s="11">
        <f>F470*Summary!$B$7</f>
        <v/>
      </c>
      <c r="I470" s="11">
        <f>MAX(0,N470-M470)</f>
        <v/>
      </c>
      <c r="J470" s="11">
        <f>MAX(0,M470-N470)</f>
        <v/>
      </c>
      <c r="K470" s="11">
        <f>O470</f>
        <v/>
      </c>
      <c r="L470" s="11">
        <f>L469+IF(K470&gt;0,K470*Summary!$B$9,K470/Summary!$B$9)</f>
        <v/>
      </c>
      <c r="M470" s="11">
        <f>G470+H470</f>
        <v/>
      </c>
      <c r="N470" s="11">
        <f>Summary!$C$16*Summary!$B$8</f>
        <v/>
      </c>
      <c r="O470" s="11">
        <f>M470-N470</f>
        <v/>
      </c>
    </row>
    <row r="471">
      <c r="A471" s="9" t="n">
        <v>45311.54166666666</v>
      </c>
      <c r="B471" t="n">
        <v>1</v>
      </c>
      <c r="C471" t="n">
        <v>20</v>
      </c>
      <c r="D471" t="n">
        <v>13</v>
      </c>
      <c r="E471" s="10" t="n">
        <v>0.08939999999999999</v>
      </c>
      <c r="F471" s="10" t="n">
        <v>0.2910842618602228</v>
      </c>
      <c r="G471" s="11">
        <f>E471*Summary!$B$6</f>
        <v/>
      </c>
      <c r="H471" s="11">
        <f>F471*Summary!$B$7</f>
        <v/>
      </c>
      <c r="I471" s="11">
        <f>MAX(0,N471-M471)</f>
        <v/>
      </c>
      <c r="J471" s="11">
        <f>MAX(0,M471-N471)</f>
        <v/>
      </c>
      <c r="K471" s="11">
        <f>O471</f>
        <v/>
      </c>
      <c r="L471" s="11">
        <f>L470+IF(K471&gt;0,K471*Summary!$B$9,K471/Summary!$B$9)</f>
        <v/>
      </c>
      <c r="M471" s="11">
        <f>G471+H471</f>
        <v/>
      </c>
      <c r="N471" s="11">
        <f>Summary!$C$16*Summary!$B$8</f>
        <v/>
      </c>
      <c r="O471" s="11">
        <f>M471-N471</f>
        <v/>
      </c>
    </row>
    <row r="472">
      <c r="A472" s="9" t="n">
        <v>45311.58333333334</v>
      </c>
      <c r="B472" t="n">
        <v>1</v>
      </c>
      <c r="C472" t="n">
        <v>20</v>
      </c>
      <c r="D472" t="n">
        <v>14</v>
      </c>
      <c r="E472" s="10" t="n">
        <v>0.055766</v>
      </c>
      <c r="F472" s="10" t="n">
        <v>0.2911896698855208</v>
      </c>
      <c r="G472" s="11">
        <f>E472*Summary!$B$6</f>
        <v/>
      </c>
      <c r="H472" s="11">
        <f>F472*Summary!$B$7</f>
        <v/>
      </c>
      <c r="I472" s="11">
        <f>MAX(0,N472-M472)</f>
        <v/>
      </c>
      <c r="J472" s="11">
        <f>MAX(0,M472-N472)</f>
        <v/>
      </c>
      <c r="K472" s="11">
        <f>O472</f>
        <v/>
      </c>
      <c r="L472" s="11">
        <f>L471+IF(K472&gt;0,K472*Summary!$B$9,K472/Summary!$B$9)</f>
        <v/>
      </c>
      <c r="M472" s="11">
        <f>G472+H472</f>
        <v/>
      </c>
      <c r="N472" s="11">
        <f>Summary!$C$16*Summary!$B$8</f>
        <v/>
      </c>
      <c r="O472" s="11">
        <f>M472-N472</f>
        <v/>
      </c>
    </row>
    <row r="473">
      <c r="A473" s="9" t="n">
        <v>45311.625</v>
      </c>
      <c r="B473" t="n">
        <v>1</v>
      </c>
      <c r="C473" t="n">
        <v>20</v>
      </c>
      <c r="D473" t="n">
        <v>15</v>
      </c>
      <c r="E473" s="10" t="n">
        <v>0.010034</v>
      </c>
      <c r="F473" s="10" t="n">
        <v>0.306579241579018</v>
      </c>
      <c r="G473" s="11">
        <f>E473*Summary!$B$6</f>
        <v/>
      </c>
      <c r="H473" s="11">
        <f>F473*Summary!$B$7</f>
        <v/>
      </c>
      <c r="I473" s="11">
        <f>MAX(0,N473-M473)</f>
        <v/>
      </c>
      <c r="J473" s="11">
        <f>MAX(0,M473-N473)</f>
        <v/>
      </c>
      <c r="K473" s="11">
        <f>O473</f>
        <v/>
      </c>
      <c r="L473" s="11">
        <f>L472+IF(K473&gt;0,K473*Summary!$B$9,K473/Summary!$B$9)</f>
        <v/>
      </c>
      <c r="M473" s="11">
        <f>G473+H473</f>
        <v/>
      </c>
      <c r="N473" s="11">
        <f>Summary!$C$16*Summary!$B$8</f>
        <v/>
      </c>
      <c r="O473" s="11">
        <f>M473-N473</f>
        <v/>
      </c>
    </row>
    <row r="474">
      <c r="A474" s="9" t="n">
        <v>45311.66666666666</v>
      </c>
      <c r="B474" t="n">
        <v>1</v>
      </c>
      <c r="C474" t="n">
        <v>20</v>
      </c>
      <c r="D474" t="n">
        <v>16</v>
      </c>
      <c r="E474" s="10" t="n">
        <v>0</v>
      </c>
      <c r="F474" s="10" t="n">
        <v>0.3228647814875476</v>
      </c>
      <c r="G474" s="11">
        <f>E474*Summary!$B$6</f>
        <v/>
      </c>
      <c r="H474" s="11">
        <f>F474*Summary!$B$7</f>
        <v/>
      </c>
      <c r="I474" s="11">
        <f>MAX(0,N474-M474)</f>
        <v/>
      </c>
      <c r="J474" s="11">
        <f>MAX(0,M474-N474)</f>
        <v/>
      </c>
      <c r="K474" s="11">
        <f>O474</f>
        <v/>
      </c>
      <c r="L474" s="11">
        <f>L473+IF(K474&gt;0,K474*Summary!$B$9,K474/Summary!$B$9)</f>
        <v/>
      </c>
      <c r="M474" s="11">
        <f>G474+H474</f>
        <v/>
      </c>
      <c r="N474" s="11">
        <f>Summary!$C$16*Summary!$B$8</f>
        <v/>
      </c>
      <c r="O474" s="11">
        <f>M474-N474</f>
        <v/>
      </c>
    </row>
    <row r="475">
      <c r="A475" s="9" t="n">
        <v>45311.70833333334</v>
      </c>
      <c r="B475" t="n">
        <v>1</v>
      </c>
      <c r="C475" t="n">
        <v>20</v>
      </c>
      <c r="D475" t="n">
        <v>17</v>
      </c>
      <c r="E475" s="10" t="n">
        <v>0</v>
      </c>
      <c r="F475" s="10" t="n">
        <v>0.3624981989995678</v>
      </c>
      <c r="G475" s="11">
        <f>E475*Summary!$B$6</f>
        <v/>
      </c>
      <c r="H475" s="11">
        <f>F475*Summary!$B$7</f>
        <v/>
      </c>
      <c r="I475" s="11">
        <f>MAX(0,N475-M475)</f>
        <v/>
      </c>
      <c r="J475" s="11">
        <f>MAX(0,M475-N475)</f>
        <v/>
      </c>
      <c r="K475" s="11">
        <f>O475</f>
        <v/>
      </c>
      <c r="L475" s="11">
        <f>L474+IF(K475&gt;0,K475*Summary!$B$9,K475/Summary!$B$9)</f>
        <v/>
      </c>
      <c r="M475" s="11">
        <f>G475+H475</f>
        <v/>
      </c>
      <c r="N475" s="11">
        <f>Summary!$C$16*Summary!$B$8</f>
        <v/>
      </c>
      <c r="O475" s="11">
        <f>M475-N475</f>
        <v/>
      </c>
    </row>
    <row r="476">
      <c r="A476" s="9" t="n">
        <v>45311.75</v>
      </c>
      <c r="B476" t="n">
        <v>1</v>
      </c>
      <c r="C476" t="n">
        <v>20</v>
      </c>
      <c r="D476" t="n">
        <v>18</v>
      </c>
      <c r="E476" s="10" t="n">
        <v>0</v>
      </c>
      <c r="F476" s="10" t="n">
        <v>0.3489005637361353</v>
      </c>
      <c r="G476" s="11">
        <f>E476*Summary!$B$6</f>
        <v/>
      </c>
      <c r="H476" s="11">
        <f>F476*Summary!$B$7</f>
        <v/>
      </c>
      <c r="I476" s="11">
        <f>MAX(0,N476-M476)</f>
        <v/>
      </c>
      <c r="J476" s="11">
        <f>MAX(0,M476-N476)</f>
        <v/>
      </c>
      <c r="K476" s="11">
        <f>O476</f>
        <v/>
      </c>
      <c r="L476" s="11">
        <f>L475+IF(K476&gt;0,K476*Summary!$B$9,K476/Summary!$B$9)</f>
        <v/>
      </c>
      <c r="M476" s="11">
        <f>G476+H476</f>
        <v/>
      </c>
      <c r="N476" s="11">
        <f>Summary!$C$16*Summary!$B$8</f>
        <v/>
      </c>
      <c r="O476" s="11">
        <f>M476-N476</f>
        <v/>
      </c>
    </row>
    <row r="477">
      <c r="A477" s="9" t="n">
        <v>45311.79166666666</v>
      </c>
      <c r="B477" t="n">
        <v>1</v>
      </c>
      <c r="C477" t="n">
        <v>20</v>
      </c>
      <c r="D477" t="n">
        <v>19</v>
      </c>
      <c r="E477" s="10" t="n">
        <v>0</v>
      </c>
      <c r="F477" s="10" t="n">
        <v>0.3568852216524532</v>
      </c>
      <c r="G477" s="11">
        <f>E477*Summary!$B$6</f>
        <v/>
      </c>
      <c r="H477" s="11">
        <f>F477*Summary!$B$7</f>
        <v/>
      </c>
      <c r="I477" s="11">
        <f>MAX(0,N477-M477)</f>
        <v/>
      </c>
      <c r="J477" s="11">
        <f>MAX(0,M477-N477)</f>
        <v/>
      </c>
      <c r="K477" s="11">
        <f>O477</f>
        <v/>
      </c>
      <c r="L477" s="11">
        <f>L476+IF(K477&gt;0,K477*Summary!$B$9,K477/Summary!$B$9)</f>
        <v/>
      </c>
      <c r="M477" s="11">
        <f>G477+H477</f>
        <v/>
      </c>
      <c r="N477" s="11">
        <f>Summary!$C$16*Summary!$B$8</f>
        <v/>
      </c>
      <c r="O477" s="11">
        <f>M477-N477</f>
        <v/>
      </c>
    </row>
    <row r="478">
      <c r="A478" s="9" t="n">
        <v>45311.83333333334</v>
      </c>
      <c r="B478" t="n">
        <v>1</v>
      </c>
      <c r="C478" t="n">
        <v>20</v>
      </c>
      <c r="D478" t="n">
        <v>20</v>
      </c>
      <c r="E478" s="10" t="n">
        <v>0</v>
      </c>
      <c r="F478" s="10" t="n">
        <v>0.3629988871197329</v>
      </c>
      <c r="G478" s="11">
        <f>E478*Summary!$B$6</f>
        <v/>
      </c>
      <c r="H478" s="11">
        <f>F478*Summary!$B$7</f>
        <v/>
      </c>
      <c r="I478" s="11">
        <f>MAX(0,N478-M478)</f>
        <v/>
      </c>
      <c r="J478" s="11">
        <f>MAX(0,M478-N478)</f>
        <v/>
      </c>
      <c r="K478" s="11">
        <f>O478</f>
        <v/>
      </c>
      <c r="L478" s="11">
        <f>L477+IF(K478&gt;0,K478*Summary!$B$9,K478/Summary!$B$9)</f>
        <v/>
      </c>
      <c r="M478" s="11">
        <f>G478+H478</f>
        <v/>
      </c>
      <c r="N478" s="11">
        <f>Summary!$C$16*Summary!$B$8</f>
        <v/>
      </c>
      <c r="O478" s="11">
        <f>M478-N478</f>
        <v/>
      </c>
    </row>
    <row r="479">
      <c r="A479" s="9" t="n">
        <v>45311.875</v>
      </c>
      <c r="B479" t="n">
        <v>1</v>
      </c>
      <c r="C479" t="n">
        <v>20</v>
      </c>
      <c r="D479" t="n">
        <v>21</v>
      </c>
      <c r="E479" s="10" t="n">
        <v>0</v>
      </c>
      <c r="F479" s="10" t="n">
        <v>0.3638948553347653</v>
      </c>
      <c r="G479" s="11">
        <f>E479*Summary!$B$6</f>
        <v/>
      </c>
      <c r="H479" s="11">
        <f>F479*Summary!$B$7</f>
        <v/>
      </c>
      <c r="I479" s="11">
        <f>MAX(0,N479-M479)</f>
        <v/>
      </c>
      <c r="J479" s="11">
        <f>MAX(0,M479-N479)</f>
        <v/>
      </c>
      <c r="K479" s="11">
        <f>O479</f>
        <v/>
      </c>
      <c r="L479" s="11">
        <f>L478+IF(K479&gt;0,K479*Summary!$B$9,K479/Summary!$B$9)</f>
        <v/>
      </c>
      <c r="M479" s="11">
        <f>G479+H479</f>
        <v/>
      </c>
      <c r="N479" s="11">
        <f>Summary!$C$16*Summary!$B$8</f>
        <v/>
      </c>
      <c r="O479" s="11">
        <f>M479-N479</f>
        <v/>
      </c>
    </row>
    <row r="480">
      <c r="A480" s="9" t="n">
        <v>45311.91666666666</v>
      </c>
      <c r="B480" t="n">
        <v>1</v>
      </c>
      <c r="C480" t="n">
        <v>20</v>
      </c>
      <c r="D480" t="n">
        <v>22</v>
      </c>
      <c r="E480" s="10" t="n">
        <v>0</v>
      </c>
      <c r="F480" s="10" t="n">
        <v>0.3640266153663877</v>
      </c>
      <c r="G480" s="11">
        <f>E480*Summary!$B$6</f>
        <v/>
      </c>
      <c r="H480" s="11">
        <f>F480*Summary!$B$7</f>
        <v/>
      </c>
      <c r="I480" s="11">
        <f>MAX(0,N480-M480)</f>
        <v/>
      </c>
      <c r="J480" s="11">
        <f>MAX(0,M480-N480)</f>
        <v/>
      </c>
      <c r="K480" s="11">
        <f>O480</f>
        <v/>
      </c>
      <c r="L480" s="11">
        <f>L479+IF(K480&gt;0,K480*Summary!$B$9,K480/Summary!$B$9)</f>
        <v/>
      </c>
      <c r="M480" s="11">
        <f>G480+H480</f>
        <v/>
      </c>
      <c r="N480" s="11">
        <f>Summary!$C$16*Summary!$B$8</f>
        <v/>
      </c>
      <c r="O480" s="11">
        <f>M480-N480</f>
        <v/>
      </c>
    </row>
    <row r="481">
      <c r="A481" s="9" t="n">
        <v>45311.95833333334</v>
      </c>
      <c r="B481" t="n">
        <v>1</v>
      </c>
      <c r="C481" t="n">
        <v>20</v>
      </c>
      <c r="D481" t="n">
        <v>23</v>
      </c>
      <c r="E481" s="10" t="n">
        <v>0</v>
      </c>
      <c r="F481" s="10" t="n">
        <v>0.3627617190628126</v>
      </c>
      <c r="G481" s="11">
        <f>E481*Summary!$B$6</f>
        <v/>
      </c>
      <c r="H481" s="11">
        <f>F481*Summary!$B$7</f>
        <v/>
      </c>
      <c r="I481" s="11">
        <f>MAX(0,N481-M481)</f>
        <v/>
      </c>
      <c r="J481" s="11">
        <f>MAX(0,M481-N481)</f>
        <v/>
      </c>
      <c r="K481" s="11">
        <f>O481</f>
        <v/>
      </c>
      <c r="L481" s="11">
        <f>L480+IF(K481&gt;0,K481*Summary!$B$9,K481/Summary!$B$9)</f>
        <v/>
      </c>
      <c r="M481" s="11">
        <f>G481+H481</f>
        <v/>
      </c>
      <c r="N481" s="11">
        <f>Summary!$C$16*Summary!$B$8</f>
        <v/>
      </c>
      <c r="O481" s="11">
        <f>M481-N481</f>
        <v/>
      </c>
    </row>
    <row r="482">
      <c r="A482" s="9" t="n">
        <v>45312</v>
      </c>
      <c r="B482" t="n">
        <v>1</v>
      </c>
      <c r="C482" t="n">
        <v>21</v>
      </c>
      <c r="D482" t="n">
        <v>0</v>
      </c>
      <c r="E482" s="10" t="n">
        <v>0</v>
      </c>
      <c r="F482" s="10" t="n">
        <v>0.3248675339682082</v>
      </c>
      <c r="G482" s="11">
        <f>E482*Summary!$B$6</f>
        <v/>
      </c>
      <c r="H482" s="11">
        <f>F482*Summary!$B$7</f>
        <v/>
      </c>
      <c r="I482" s="11">
        <f>MAX(0,N482-M482)</f>
        <v/>
      </c>
      <c r="J482" s="11">
        <f>MAX(0,M482-N482)</f>
        <v/>
      </c>
      <c r="K482" s="11">
        <f>O482</f>
        <v/>
      </c>
      <c r="L482" s="11">
        <f>L481+IF(K482&gt;0,K482*Summary!$B$9,K482/Summary!$B$9)</f>
        <v/>
      </c>
      <c r="M482" s="11">
        <f>G482+H482</f>
        <v/>
      </c>
      <c r="N482" s="11">
        <f>Summary!$C$16*Summary!$B$8</f>
        <v/>
      </c>
      <c r="O482" s="11">
        <f>M482-N482</f>
        <v/>
      </c>
    </row>
    <row r="483">
      <c r="A483" s="9" t="n">
        <v>45312.04166666666</v>
      </c>
      <c r="B483" t="n">
        <v>1</v>
      </c>
      <c r="C483" t="n">
        <v>21</v>
      </c>
      <c r="D483" t="n">
        <v>1</v>
      </c>
      <c r="E483" s="10" t="n">
        <v>0</v>
      </c>
      <c r="F483" s="10" t="n">
        <v>0.3717741052257852</v>
      </c>
      <c r="G483" s="11">
        <f>E483*Summary!$B$6</f>
        <v/>
      </c>
      <c r="H483" s="11">
        <f>F483*Summary!$B$7</f>
        <v/>
      </c>
      <c r="I483" s="11">
        <f>MAX(0,N483-M483)</f>
        <v/>
      </c>
      <c r="J483" s="11">
        <f>MAX(0,M483-N483)</f>
        <v/>
      </c>
      <c r="K483" s="11">
        <f>O483</f>
        <v/>
      </c>
      <c r="L483" s="11">
        <f>L482+IF(K483&gt;0,K483*Summary!$B$9,K483/Summary!$B$9)</f>
        <v/>
      </c>
      <c r="M483" s="11">
        <f>G483+H483</f>
        <v/>
      </c>
      <c r="N483" s="11">
        <f>Summary!$C$16*Summary!$B$8</f>
        <v/>
      </c>
      <c r="O483" s="11">
        <f>M483-N483</f>
        <v/>
      </c>
    </row>
    <row r="484">
      <c r="A484" s="9" t="n">
        <v>45312.08333333334</v>
      </c>
      <c r="B484" t="n">
        <v>1</v>
      </c>
      <c r="C484" t="n">
        <v>21</v>
      </c>
      <c r="D484" t="n">
        <v>2</v>
      </c>
      <c r="E484" s="10" t="n">
        <v>0</v>
      </c>
      <c r="F484" s="10" t="n">
        <v>0.368585512460523</v>
      </c>
      <c r="G484" s="11">
        <f>E484*Summary!$B$6</f>
        <v/>
      </c>
      <c r="H484" s="11">
        <f>F484*Summary!$B$7</f>
        <v/>
      </c>
      <c r="I484" s="11">
        <f>MAX(0,N484-M484)</f>
        <v/>
      </c>
      <c r="J484" s="11">
        <f>MAX(0,M484-N484)</f>
        <v/>
      </c>
      <c r="K484" s="11">
        <f>O484</f>
        <v/>
      </c>
      <c r="L484" s="11">
        <f>L483+IF(K484&gt;0,K484*Summary!$B$9,K484/Summary!$B$9)</f>
        <v/>
      </c>
      <c r="M484" s="11">
        <f>G484+H484</f>
        <v/>
      </c>
      <c r="N484" s="11">
        <f>Summary!$C$16*Summary!$B$8</f>
        <v/>
      </c>
      <c r="O484" s="11">
        <f>M484-N484</f>
        <v/>
      </c>
    </row>
    <row r="485">
      <c r="A485" s="9" t="n">
        <v>45312.125</v>
      </c>
      <c r="B485" t="n">
        <v>1</v>
      </c>
      <c r="C485" t="n">
        <v>21</v>
      </c>
      <c r="D485" t="n">
        <v>3</v>
      </c>
      <c r="E485" s="10" t="n">
        <v>0</v>
      </c>
      <c r="F485" s="10" t="n">
        <v>0.3642110794106591</v>
      </c>
      <c r="G485" s="11">
        <f>E485*Summary!$B$6</f>
        <v/>
      </c>
      <c r="H485" s="11">
        <f>F485*Summary!$B$7</f>
        <v/>
      </c>
      <c r="I485" s="11">
        <f>MAX(0,N485-M485)</f>
        <v/>
      </c>
      <c r="J485" s="11">
        <f>MAX(0,M485-N485)</f>
        <v/>
      </c>
      <c r="K485" s="11">
        <f>O485</f>
        <v/>
      </c>
      <c r="L485" s="11">
        <f>L484+IF(K485&gt;0,K485*Summary!$B$9,K485/Summary!$B$9)</f>
        <v/>
      </c>
      <c r="M485" s="11">
        <f>G485+H485</f>
        <v/>
      </c>
      <c r="N485" s="11">
        <f>Summary!$C$16*Summary!$B$8</f>
        <v/>
      </c>
      <c r="O485" s="11">
        <f>M485-N485</f>
        <v/>
      </c>
    </row>
    <row r="486">
      <c r="A486" s="9" t="n">
        <v>45312.16666666666</v>
      </c>
      <c r="B486" t="n">
        <v>1</v>
      </c>
      <c r="C486" t="n">
        <v>21</v>
      </c>
      <c r="D486" t="n">
        <v>4</v>
      </c>
      <c r="E486" s="10" t="n">
        <v>0</v>
      </c>
      <c r="F486" s="10" t="n">
        <v>0.3575703738168897</v>
      </c>
      <c r="G486" s="11">
        <f>E486*Summary!$B$6</f>
        <v/>
      </c>
      <c r="H486" s="11">
        <f>F486*Summary!$B$7</f>
        <v/>
      </c>
      <c r="I486" s="11">
        <f>MAX(0,N486-M486)</f>
        <v/>
      </c>
      <c r="J486" s="11">
        <f>MAX(0,M486-N486)</f>
        <v/>
      </c>
      <c r="K486" s="11">
        <f>O486</f>
        <v/>
      </c>
      <c r="L486" s="11">
        <f>L485+IF(K486&gt;0,K486*Summary!$B$9,K486/Summary!$B$9)</f>
        <v/>
      </c>
      <c r="M486" s="11">
        <f>G486+H486</f>
        <v/>
      </c>
      <c r="N486" s="11">
        <f>Summary!$C$16*Summary!$B$8</f>
        <v/>
      </c>
      <c r="O486" s="11">
        <f>M486-N486</f>
        <v/>
      </c>
    </row>
    <row r="487">
      <c r="A487" s="9" t="n">
        <v>45312.20833333334</v>
      </c>
      <c r="B487" t="n">
        <v>1</v>
      </c>
      <c r="C487" t="n">
        <v>21</v>
      </c>
      <c r="D487" t="n">
        <v>5</v>
      </c>
      <c r="E487" s="10" t="n">
        <v>0</v>
      </c>
      <c r="F487" s="10" t="n">
        <v>0.3506661481598756</v>
      </c>
      <c r="G487" s="11">
        <f>E487*Summary!$B$6</f>
        <v/>
      </c>
      <c r="H487" s="11">
        <f>F487*Summary!$B$7</f>
        <v/>
      </c>
      <c r="I487" s="11">
        <f>MAX(0,N487-M487)</f>
        <v/>
      </c>
      <c r="J487" s="11">
        <f>MAX(0,M487-N487)</f>
        <v/>
      </c>
      <c r="K487" s="11">
        <f>O487</f>
        <v/>
      </c>
      <c r="L487" s="11">
        <f>L486+IF(K487&gt;0,K487*Summary!$B$9,K487/Summary!$B$9)</f>
        <v/>
      </c>
      <c r="M487" s="11">
        <f>G487+H487</f>
        <v/>
      </c>
      <c r="N487" s="11">
        <f>Summary!$C$16*Summary!$B$8</f>
        <v/>
      </c>
      <c r="O487" s="11">
        <f>M487-N487</f>
        <v/>
      </c>
    </row>
    <row r="488">
      <c r="A488" s="9" t="n">
        <v>45312.25</v>
      </c>
      <c r="B488" t="n">
        <v>1</v>
      </c>
      <c r="C488" t="n">
        <v>21</v>
      </c>
      <c r="D488" t="n">
        <v>6</v>
      </c>
      <c r="E488" s="10" t="n">
        <v>0</v>
      </c>
      <c r="F488" s="10" t="n">
        <v>0.3441308505914041</v>
      </c>
      <c r="G488" s="11">
        <f>E488*Summary!$B$6</f>
        <v/>
      </c>
      <c r="H488" s="11">
        <f>F488*Summary!$B$7</f>
        <v/>
      </c>
      <c r="I488" s="11">
        <f>MAX(0,N488-M488)</f>
        <v/>
      </c>
      <c r="J488" s="11">
        <f>MAX(0,M488-N488)</f>
        <v/>
      </c>
      <c r="K488" s="11">
        <f>O488</f>
        <v/>
      </c>
      <c r="L488" s="11">
        <f>L487+IF(K488&gt;0,K488*Summary!$B$9,K488/Summary!$B$9)</f>
        <v/>
      </c>
      <c r="M488" s="11">
        <f>G488+H488</f>
        <v/>
      </c>
      <c r="N488" s="11">
        <f>Summary!$C$16*Summary!$B$8</f>
        <v/>
      </c>
      <c r="O488" s="11">
        <f>M488-N488</f>
        <v/>
      </c>
    </row>
    <row r="489">
      <c r="A489" s="9" t="n">
        <v>45312.29166666666</v>
      </c>
      <c r="B489" t="n">
        <v>1</v>
      </c>
      <c r="C489" t="n">
        <v>21</v>
      </c>
      <c r="D489" t="n">
        <v>7</v>
      </c>
      <c r="E489" s="10" t="n">
        <v>0</v>
      </c>
      <c r="F489" s="10" t="n">
        <v>0.3394401934656465</v>
      </c>
      <c r="G489" s="11">
        <f>E489*Summary!$B$6</f>
        <v/>
      </c>
      <c r="H489" s="11">
        <f>F489*Summary!$B$7</f>
        <v/>
      </c>
      <c r="I489" s="11">
        <f>MAX(0,N489-M489)</f>
        <v/>
      </c>
      <c r="J489" s="11">
        <f>MAX(0,M489-N489)</f>
        <v/>
      </c>
      <c r="K489" s="11">
        <f>O489</f>
        <v/>
      </c>
      <c r="L489" s="11">
        <f>L488+IF(K489&gt;0,K489*Summary!$B$9,K489/Summary!$B$9)</f>
        <v/>
      </c>
      <c r="M489" s="11">
        <f>G489+H489</f>
        <v/>
      </c>
      <c r="N489" s="11">
        <f>Summary!$C$16*Summary!$B$8</f>
        <v/>
      </c>
      <c r="O489" s="11">
        <f>M489-N489</f>
        <v/>
      </c>
    </row>
    <row r="490">
      <c r="A490" s="9" t="n">
        <v>45312.33333333334</v>
      </c>
      <c r="B490" t="n">
        <v>1</v>
      </c>
      <c r="C490" t="n">
        <v>21</v>
      </c>
      <c r="D490" t="n">
        <v>8</v>
      </c>
      <c r="E490" s="10" t="n">
        <v>0</v>
      </c>
      <c r="F490" s="10" t="n">
        <v>0.3275027346006563</v>
      </c>
      <c r="G490" s="11">
        <f>E490*Summary!$B$6</f>
        <v/>
      </c>
      <c r="H490" s="11">
        <f>F490*Summary!$B$7</f>
        <v/>
      </c>
      <c r="I490" s="11">
        <f>MAX(0,N490-M490)</f>
        <v/>
      </c>
      <c r="J490" s="11">
        <f>MAX(0,M490-N490)</f>
        <v/>
      </c>
      <c r="K490" s="11">
        <f>O490</f>
        <v/>
      </c>
      <c r="L490" s="11">
        <f>L489+IF(K490&gt;0,K490*Summary!$B$9,K490/Summary!$B$9)</f>
        <v/>
      </c>
      <c r="M490" s="11">
        <f>G490+H490</f>
        <v/>
      </c>
      <c r="N490" s="11">
        <f>Summary!$C$16*Summary!$B$8</f>
        <v/>
      </c>
      <c r="O490" s="11">
        <f>M490-N490</f>
        <v/>
      </c>
    </row>
    <row r="491">
      <c r="A491" s="9" t="n">
        <v>45312.375</v>
      </c>
      <c r="B491" t="n">
        <v>1</v>
      </c>
      <c r="C491" t="n">
        <v>21</v>
      </c>
      <c r="D491" t="n">
        <v>9</v>
      </c>
      <c r="E491" s="10" t="n">
        <v>0.035175</v>
      </c>
      <c r="F491" s="10" t="n">
        <v>0.3207829729879135</v>
      </c>
      <c r="G491" s="11">
        <f>E491*Summary!$B$6</f>
        <v/>
      </c>
      <c r="H491" s="11">
        <f>F491*Summary!$B$7</f>
        <v/>
      </c>
      <c r="I491" s="11">
        <f>MAX(0,N491-M491)</f>
        <v/>
      </c>
      <c r="J491" s="11">
        <f>MAX(0,M491-N491)</f>
        <v/>
      </c>
      <c r="K491" s="11">
        <f>O491</f>
        <v/>
      </c>
      <c r="L491" s="11">
        <f>L490+IF(K491&gt;0,K491*Summary!$B$9,K491/Summary!$B$9)</f>
        <v/>
      </c>
      <c r="M491" s="11">
        <f>G491+H491</f>
        <v/>
      </c>
      <c r="N491" s="11">
        <f>Summary!$C$16*Summary!$B$8</f>
        <v/>
      </c>
      <c r="O491" s="11">
        <f>M491-N491</f>
        <v/>
      </c>
    </row>
    <row r="492">
      <c r="A492" s="9" t="n">
        <v>45312.41666666666</v>
      </c>
      <c r="B492" t="n">
        <v>1</v>
      </c>
      <c r="C492" t="n">
        <v>21</v>
      </c>
      <c r="D492" t="n">
        <v>10</v>
      </c>
      <c r="E492" s="10" t="n">
        <v>0.042156</v>
      </c>
      <c r="F492" s="10" t="n">
        <v>0.307185337724481</v>
      </c>
      <c r="G492" s="11">
        <f>E492*Summary!$B$6</f>
        <v/>
      </c>
      <c r="H492" s="11">
        <f>F492*Summary!$B$7</f>
        <v/>
      </c>
      <c r="I492" s="11">
        <f>MAX(0,N492-M492)</f>
        <v/>
      </c>
      <c r="J492" s="11">
        <f>MAX(0,M492-N492)</f>
        <v/>
      </c>
      <c r="K492" s="11">
        <f>O492</f>
        <v/>
      </c>
      <c r="L492" s="11">
        <f>L491+IF(K492&gt;0,K492*Summary!$B$9,K492/Summary!$B$9)</f>
        <v/>
      </c>
      <c r="M492" s="11">
        <f>G492+H492</f>
        <v/>
      </c>
      <c r="N492" s="11">
        <f>Summary!$C$16*Summary!$B$8</f>
        <v/>
      </c>
      <c r="O492" s="11">
        <f>M492-N492</f>
        <v/>
      </c>
    </row>
    <row r="493">
      <c r="A493" s="9" t="n">
        <v>45312.45833333334</v>
      </c>
      <c r="B493" t="n">
        <v>1</v>
      </c>
      <c r="C493" t="n">
        <v>21</v>
      </c>
      <c r="D493" t="n">
        <v>11</v>
      </c>
      <c r="E493" s="10" t="n">
        <v>0.12464</v>
      </c>
      <c r="F493" s="10" t="n">
        <v>0.295142470834193</v>
      </c>
      <c r="G493" s="11">
        <f>E493*Summary!$B$6</f>
        <v/>
      </c>
      <c r="H493" s="11">
        <f>F493*Summary!$B$7</f>
        <v/>
      </c>
      <c r="I493" s="11">
        <f>MAX(0,N493-M493)</f>
        <v/>
      </c>
      <c r="J493" s="11">
        <f>MAX(0,M493-N493)</f>
        <v/>
      </c>
      <c r="K493" s="11">
        <f>O493</f>
        <v/>
      </c>
      <c r="L493" s="11">
        <f>L492+IF(K493&gt;0,K493*Summary!$B$9,K493/Summary!$B$9)</f>
        <v/>
      </c>
      <c r="M493" s="11">
        <f>G493+H493</f>
        <v/>
      </c>
      <c r="N493" s="11">
        <f>Summary!$C$16*Summary!$B$8</f>
        <v/>
      </c>
      <c r="O493" s="11">
        <f>M493-N493</f>
        <v/>
      </c>
    </row>
    <row r="494">
      <c r="A494" s="9" t="n">
        <v>45312.5</v>
      </c>
      <c r="B494" t="n">
        <v>1</v>
      </c>
      <c r="C494" t="n">
        <v>21</v>
      </c>
      <c r="D494" t="n">
        <v>12</v>
      </c>
      <c r="E494" s="10" t="n">
        <v>0.218665</v>
      </c>
      <c r="F494" s="10" t="n">
        <v>0.2832577159818518</v>
      </c>
      <c r="G494" s="11">
        <f>E494*Summary!$B$6</f>
        <v/>
      </c>
      <c r="H494" s="11">
        <f>F494*Summary!$B$7</f>
        <v/>
      </c>
      <c r="I494" s="11">
        <f>MAX(0,N494-M494)</f>
        <v/>
      </c>
      <c r="J494" s="11">
        <f>MAX(0,M494-N494)</f>
        <v/>
      </c>
      <c r="K494" s="11">
        <f>O494</f>
        <v/>
      </c>
      <c r="L494" s="11">
        <f>L493+IF(K494&gt;0,K494*Summary!$B$9,K494/Summary!$B$9)</f>
        <v/>
      </c>
      <c r="M494" s="11">
        <f>G494+H494</f>
        <v/>
      </c>
      <c r="N494" s="11">
        <f>Summary!$C$16*Summary!$B$8</f>
        <v/>
      </c>
      <c r="O494" s="11">
        <f>M494-N494</f>
        <v/>
      </c>
    </row>
    <row r="495">
      <c r="A495" s="9" t="n">
        <v>45312.54166666666</v>
      </c>
      <c r="B495" t="n">
        <v>1</v>
      </c>
      <c r="C495" t="n">
        <v>21</v>
      </c>
      <c r="D495" t="n">
        <v>13</v>
      </c>
      <c r="E495" s="10" t="n">
        <v>0.145336</v>
      </c>
      <c r="F495" s="10" t="n">
        <v>0.2786988188877165</v>
      </c>
      <c r="G495" s="11">
        <f>E495*Summary!$B$6</f>
        <v/>
      </c>
      <c r="H495" s="11">
        <f>F495*Summary!$B$7</f>
        <v/>
      </c>
      <c r="I495" s="11">
        <f>MAX(0,N495-M495)</f>
        <v/>
      </c>
      <c r="J495" s="11">
        <f>MAX(0,M495-N495)</f>
        <v/>
      </c>
      <c r="K495" s="11">
        <f>O495</f>
        <v/>
      </c>
      <c r="L495" s="11">
        <f>L494+IF(K495&gt;0,K495*Summary!$B$9,K495/Summary!$B$9)</f>
        <v/>
      </c>
      <c r="M495" s="11">
        <f>G495+H495</f>
        <v/>
      </c>
      <c r="N495" s="11">
        <f>Summary!$C$16*Summary!$B$8</f>
        <v/>
      </c>
      <c r="O495" s="11">
        <f>M495-N495</f>
        <v/>
      </c>
    </row>
    <row r="496">
      <c r="A496" s="9" t="n">
        <v>45312.58333333334</v>
      </c>
      <c r="B496" t="n">
        <v>1</v>
      </c>
      <c r="C496" t="n">
        <v>21</v>
      </c>
      <c r="D496" t="n">
        <v>14</v>
      </c>
      <c r="E496" s="10" t="n">
        <v>0.124512</v>
      </c>
      <c r="F496" s="10" t="n">
        <v>0.2824408037857929</v>
      </c>
      <c r="G496" s="11">
        <f>E496*Summary!$B$6</f>
        <v/>
      </c>
      <c r="H496" s="11">
        <f>F496*Summary!$B$7</f>
        <v/>
      </c>
      <c r="I496" s="11">
        <f>MAX(0,N496-M496)</f>
        <v/>
      </c>
      <c r="J496" s="11">
        <f>MAX(0,M496-N496)</f>
        <v/>
      </c>
      <c r="K496" s="11">
        <f>O496</f>
        <v/>
      </c>
      <c r="L496" s="11">
        <f>L495+IF(K496&gt;0,K496*Summary!$B$9,K496/Summary!$B$9)</f>
        <v/>
      </c>
      <c r="M496" s="11">
        <f>G496+H496</f>
        <v/>
      </c>
      <c r="N496" s="11">
        <f>Summary!$C$16*Summary!$B$8</f>
        <v/>
      </c>
      <c r="O496" s="11">
        <f>M496-N496</f>
        <v/>
      </c>
    </row>
    <row r="497">
      <c r="A497" s="9" t="n">
        <v>45312.625</v>
      </c>
      <c r="B497" t="n">
        <v>1</v>
      </c>
      <c r="C497" t="n">
        <v>21</v>
      </c>
      <c r="D497" t="n">
        <v>15</v>
      </c>
      <c r="E497" s="10" t="n">
        <v>0.027853</v>
      </c>
      <c r="F497" s="10" t="n">
        <v>0.2912687259044942</v>
      </c>
      <c r="G497" s="11">
        <f>E497*Summary!$B$6</f>
        <v/>
      </c>
      <c r="H497" s="11">
        <f>F497*Summary!$B$7</f>
        <v/>
      </c>
      <c r="I497" s="11">
        <f>MAX(0,N497-M497)</f>
        <v/>
      </c>
      <c r="J497" s="11">
        <f>MAX(0,M497-N497)</f>
        <v/>
      </c>
      <c r="K497" s="11">
        <f>O497</f>
        <v/>
      </c>
      <c r="L497" s="11">
        <f>L496+IF(K497&gt;0,K497*Summary!$B$9,K497/Summary!$B$9)</f>
        <v/>
      </c>
      <c r="M497" s="11">
        <f>G497+H497</f>
        <v/>
      </c>
      <c r="N497" s="11">
        <f>Summary!$C$16*Summary!$B$8</f>
        <v/>
      </c>
      <c r="O497" s="11">
        <f>M497-N497</f>
        <v/>
      </c>
    </row>
    <row r="498">
      <c r="A498" s="9" t="n">
        <v>45312.66666666666</v>
      </c>
      <c r="B498" t="n">
        <v>1</v>
      </c>
      <c r="C498" t="n">
        <v>21</v>
      </c>
      <c r="D498" t="n">
        <v>16</v>
      </c>
      <c r="E498" s="10" t="n">
        <v>0</v>
      </c>
      <c r="F498" s="10" t="n">
        <v>0.298699991687998</v>
      </c>
      <c r="G498" s="11">
        <f>E498*Summary!$B$6</f>
        <v/>
      </c>
      <c r="H498" s="11">
        <f>F498*Summary!$B$7</f>
        <v/>
      </c>
      <c r="I498" s="11">
        <f>MAX(0,N498-M498)</f>
        <v/>
      </c>
      <c r="J498" s="11">
        <f>MAX(0,M498-N498)</f>
        <v/>
      </c>
      <c r="K498" s="11">
        <f>O498</f>
        <v/>
      </c>
      <c r="L498" s="11">
        <f>L497+IF(K498&gt;0,K498*Summary!$B$9,K498/Summary!$B$9)</f>
        <v/>
      </c>
      <c r="M498" s="11">
        <f>G498+H498</f>
        <v/>
      </c>
      <c r="N498" s="11">
        <f>Summary!$C$16*Summary!$B$8</f>
        <v/>
      </c>
      <c r="O498" s="11">
        <f>M498-N498</f>
        <v/>
      </c>
    </row>
    <row r="499">
      <c r="A499" s="9" t="n">
        <v>45312.70833333334</v>
      </c>
      <c r="B499" t="n">
        <v>1</v>
      </c>
      <c r="C499" t="n">
        <v>21</v>
      </c>
      <c r="D499" t="n">
        <v>17</v>
      </c>
      <c r="E499" s="10" t="n">
        <v>0</v>
      </c>
      <c r="F499" s="10" t="n">
        <v>0.3017304724153134</v>
      </c>
      <c r="G499" s="11">
        <f>E499*Summary!$B$6</f>
        <v/>
      </c>
      <c r="H499" s="11">
        <f>F499*Summary!$B$7</f>
        <v/>
      </c>
      <c r="I499" s="11">
        <f>MAX(0,N499-M499)</f>
        <v/>
      </c>
      <c r="J499" s="11">
        <f>MAX(0,M499-N499)</f>
        <v/>
      </c>
      <c r="K499" s="11">
        <f>O499</f>
        <v/>
      </c>
      <c r="L499" s="11">
        <f>L498+IF(K499&gt;0,K499*Summary!$B$9,K499/Summary!$B$9)</f>
        <v/>
      </c>
      <c r="M499" s="11">
        <f>G499+H499</f>
        <v/>
      </c>
      <c r="N499" s="11">
        <f>Summary!$C$16*Summary!$B$8</f>
        <v/>
      </c>
      <c r="O499" s="11">
        <f>M499-N499</f>
        <v/>
      </c>
    </row>
    <row r="500">
      <c r="A500" s="9" t="n">
        <v>45312.75</v>
      </c>
      <c r="B500" t="n">
        <v>1</v>
      </c>
      <c r="C500" t="n">
        <v>21</v>
      </c>
      <c r="D500" t="n">
        <v>18</v>
      </c>
      <c r="E500" s="10" t="n">
        <v>0</v>
      </c>
      <c r="F500" s="10" t="n">
        <v>0.3234708776330106</v>
      </c>
      <c r="G500" s="11">
        <f>E500*Summary!$B$6</f>
        <v/>
      </c>
      <c r="H500" s="11">
        <f>F500*Summary!$B$7</f>
        <v/>
      </c>
      <c r="I500" s="11">
        <f>MAX(0,N500-M500)</f>
        <v/>
      </c>
      <c r="J500" s="11">
        <f>MAX(0,M500-N500)</f>
        <v/>
      </c>
      <c r="K500" s="11">
        <f>O500</f>
        <v/>
      </c>
      <c r="L500" s="11">
        <f>L499+IF(K500&gt;0,K500*Summary!$B$9,K500/Summary!$B$9)</f>
        <v/>
      </c>
      <c r="M500" s="11">
        <f>G500+H500</f>
        <v/>
      </c>
      <c r="N500" s="11">
        <f>Summary!$C$16*Summary!$B$8</f>
        <v/>
      </c>
      <c r="O500" s="11">
        <f>M500-N500</f>
        <v/>
      </c>
    </row>
    <row r="501">
      <c r="A501" s="9" t="n">
        <v>45312.79166666666</v>
      </c>
      <c r="B501" t="n">
        <v>1</v>
      </c>
      <c r="C501" t="n">
        <v>21</v>
      </c>
      <c r="D501" t="n">
        <v>19</v>
      </c>
      <c r="E501" s="10" t="n">
        <v>0</v>
      </c>
      <c r="F501" s="10" t="n">
        <v>0.306579241579018</v>
      </c>
      <c r="G501" s="11">
        <f>E501*Summary!$B$6</f>
        <v/>
      </c>
      <c r="H501" s="11">
        <f>F501*Summary!$B$7</f>
        <v/>
      </c>
      <c r="I501" s="11">
        <f>MAX(0,N501-M501)</f>
        <v/>
      </c>
      <c r="J501" s="11">
        <f>MAX(0,M501-N501)</f>
        <v/>
      </c>
      <c r="K501" s="11">
        <f>O501</f>
        <v/>
      </c>
      <c r="L501" s="11">
        <f>L500+IF(K501&gt;0,K501*Summary!$B$9,K501/Summary!$B$9)</f>
        <v/>
      </c>
      <c r="M501" s="11">
        <f>G501+H501</f>
        <v/>
      </c>
      <c r="N501" s="11">
        <f>Summary!$C$16*Summary!$B$8</f>
        <v/>
      </c>
      <c r="O501" s="11">
        <f>M501-N501</f>
        <v/>
      </c>
    </row>
    <row r="502">
      <c r="A502" s="9" t="n">
        <v>45312.83333333334</v>
      </c>
      <c r="B502" t="n">
        <v>1</v>
      </c>
      <c r="C502" t="n">
        <v>21</v>
      </c>
      <c r="D502" t="n">
        <v>20</v>
      </c>
      <c r="E502" s="10" t="n">
        <v>0</v>
      </c>
      <c r="F502" s="10" t="n">
        <v>0.3325096158023078</v>
      </c>
      <c r="G502" s="11">
        <f>E502*Summary!$B$6</f>
        <v/>
      </c>
      <c r="H502" s="11">
        <f>F502*Summary!$B$7</f>
        <v/>
      </c>
      <c r="I502" s="11">
        <f>MAX(0,N502-M502)</f>
        <v/>
      </c>
      <c r="J502" s="11">
        <f>MAX(0,M502-N502)</f>
        <v/>
      </c>
      <c r="K502" s="11">
        <f>O502</f>
        <v/>
      </c>
      <c r="L502" s="11">
        <f>L501+IF(K502&gt;0,K502*Summary!$B$9,K502/Summary!$B$9)</f>
        <v/>
      </c>
      <c r="M502" s="11">
        <f>G502+H502</f>
        <v/>
      </c>
      <c r="N502" s="11">
        <f>Summary!$C$16*Summary!$B$8</f>
        <v/>
      </c>
      <c r="O502" s="11">
        <f>M502-N502</f>
        <v/>
      </c>
    </row>
    <row r="503">
      <c r="A503" s="9" t="n">
        <v>45312.875</v>
      </c>
      <c r="B503" t="n">
        <v>1</v>
      </c>
      <c r="C503" t="n">
        <v>21</v>
      </c>
      <c r="D503" t="n">
        <v>21</v>
      </c>
      <c r="E503" s="10" t="n">
        <v>0</v>
      </c>
      <c r="F503" s="10" t="n">
        <v>0.3068164096359383</v>
      </c>
      <c r="G503" s="11">
        <f>E503*Summary!$B$6</f>
        <v/>
      </c>
      <c r="H503" s="11">
        <f>F503*Summary!$B$7</f>
        <v/>
      </c>
      <c r="I503" s="11">
        <f>MAX(0,N503-M503)</f>
        <v/>
      </c>
      <c r="J503" s="11">
        <f>MAX(0,M503-N503)</f>
        <v/>
      </c>
      <c r="K503" s="11">
        <f>O503</f>
        <v/>
      </c>
      <c r="L503" s="11">
        <f>L502+IF(K503&gt;0,K503*Summary!$B$9,K503/Summary!$B$9)</f>
        <v/>
      </c>
      <c r="M503" s="11">
        <f>G503+H503</f>
        <v/>
      </c>
      <c r="N503" s="11">
        <f>Summary!$C$16*Summary!$B$8</f>
        <v/>
      </c>
      <c r="O503" s="11">
        <f>M503-N503</f>
        <v/>
      </c>
    </row>
    <row r="504">
      <c r="A504" s="9" t="n">
        <v>45312.91666666666</v>
      </c>
      <c r="B504" t="n">
        <v>1</v>
      </c>
      <c r="C504" t="n">
        <v>21</v>
      </c>
      <c r="D504" t="n">
        <v>22</v>
      </c>
      <c r="E504" s="10" t="n">
        <v>0</v>
      </c>
      <c r="F504" s="10" t="n">
        <v>0.3099522983885516</v>
      </c>
      <c r="G504" s="11">
        <f>E504*Summary!$B$6</f>
        <v/>
      </c>
      <c r="H504" s="11">
        <f>F504*Summary!$B$7</f>
        <v/>
      </c>
      <c r="I504" s="11">
        <f>MAX(0,N504-M504)</f>
        <v/>
      </c>
      <c r="J504" s="11">
        <f>MAX(0,M504-N504)</f>
        <v/>
      </c>
      <c r="K504" s="11">
        <f>O504</f>
        <v/>
      </c>
      <c r="L504" s="11">
        <f>L503+IF(K504&gt;0,K504*Summary!$B$9,K504/Summary!$B$9)</f>
        <v/>
      </c>
      <c r="M504" s="11">
        <f>G504+H504</f>
        <v/>
      </c>
      <c r="N504" s="11">
        <f>Summary!$C$16*Summary!$B$8</f>
        <v/>
      </c>
      <c r="O504" s="11">
        <f>M504-N504</f>
        <v/>
      </c>
    </row>
    <row r="505">
      <c r="A505" s="9" t="n">
        <v>45312.95833333334</v>
      </c>
      <c r="B505" t="n">
        <v>1</v>
      </c>
      <c r="C505" t="n">
        <v>21</v>
      </c>
      <c r="D505" t="n">
        <v>23</v>
      </c>
      <c r="E505" s="10" t="n">
        <v>0</v>
      </c>
      <c r="F505" s="10" t="n">
        <v>0.3173572121657309</v>
      </c>
      <c r="G505" s="11">
        <f>E505*Summary!$B$6</f>
        <v/>
      </c>
      <c r="H505" s="11">
        <f>F505*Summary!$B$7</f>
        <v/>
      </c>
      <c r="I505" s="11">
        <f>MAX(0,N505-M505)</f>
        <v/>
      </c>
      <c r="J505" s="11">
        <f>MAX(0,M505-N505)</f>
        <v/>
      </c>
      <c r="K505" s="11">
        <f>O505</f>
        <v/>
      </c>
      <c r="L505" s="11">
        <f>L504+IF(K505&gt;0,K505*Summary!$B$9,K505/Summary!$B$9)</f>
        <v/>
      </c>
      <c r="M505" s="11">
        <f>G505+H505</f>
        <v/>
      </c>
      <c r="N505" s="11">
        <f>Summary!$C$16*Summary!$B$8</f>
        <v/>
      </c>
      <c r="O505" s="11">
        <f>M505-N505</f>
        <v/>
      </c>
    </row>
    <row r="506">
      <c r="A506" s="9" t="n">
        <v>45313</v>
      </c>
      <c r="B506" t="n">
        <v>1</v>
      </c>
      <c r="C506" t="n">
        <v>22</v>
      </c>
      <c r="D506" t="n">
        <v>0</v>
      </c>
      <c r="E506" s="10" t="n">
        <v>0</v>
      </c>
      <c r="F506" s="10" t="n">
        <v>0.3482154115716988</v>
      </c>
      <c r="G506" s="11">
        <f>E506*Summary!$B$6</f>
        <v/>
      </c>
      <c r="H506" s="11">
        <f>F506*Summary!$B$7</f>
        <v/>
      </c>
      <c r="I506" s="11">
        <f>MAX(0,N506-M506)</f>
        <v/>
      </c>
      <c r="J506" s="11">
        <f>MAX(0,M506-N506)</f>
        <v/>
      </c>
      <c r="K506" s="11">
        <f>O506</f>
        <v/>
      </c>
      <c r="L506" s="11">
        <f>L505+IF(K506&gt;0,K506*Summary!$B$9,K506/Summary!$B$9)</f>
        <v/>
      </c>
      <c r="M506" s="11">
        <f>G506+H506</f>
        <v/>
      </c>
      <c r="N506" s="11">
        <f>Summary!$C$16*Summary!$B$8</f>
        <v/>
      </c>
      <c r="O506" s="11">
        <f>M506-N506</f>
        <v/>
      </c>
    </row>
    <row r="507">
      <c r="A507" s="9" t="n">
        <v>45313.04166666666</v>
      </c>
      <c r="B507" t="n">
        <v>1</v>
      </c>
      <c r="C507" t="n">
        <v>22</v>
      </c>
      <c r="D507" t="n">
        <v>1</v>
      </c>
      <c r="E507" s="10" t="n">
        <v>0</v>
      </c>
      <c r="F507" s="10" t="n">
        <v>0.325789854189565</v>
      </c>
      <c r="G507" s="11">
        <f>E507*Summary!$B$6</f>
        <v/>
      </c>
      <c r="H507" s="11">
        <f>F507*Summary!$B$7</f>
        <v/>
      </c>
      <c r="I507" s="11">
        <f>MAX(0,N507-M507)</f>
        <v/>
      </c>
      <c r="J507" s="11">
        <f>MAX(0,M507-N507)</f>
        <v/>
      </c>
      <c r="K507" s="11">
        <f>O507</f>
        <v/>
      </c>
      <c r="L507" s="11">
        <f>L506+IF(K507&gt;0,K507*Summary!$B$9,K507/Summary!$B$9)</f>
        <v/>
      </c>
      <c r="M507" s="11">
        <f>G507+H507</f>
        <v/>
      </c>
      <c r="N507" s="11">
        <f>Summary!$C$16*Summary!$B$8</f>
        <v/>
      </c>
      <c r="O507" s="11">
        <f>M507-N507</f>
        <v/>
      </c>
    </row>
    <row r="508">
      <c r="A508" s="9" t="n">
        <v>45313.08333333334</v>
      </c>
      <c r="B508" t="n">
        <v>1</v>
      </c>
      <c r="C508" t="n">
        <v>22</v>
      </c>
      <c r="D508" t="n">
        <v>2</v>
      </c>
      <c r="E508" s="10" t="n">
        <v>0</v>
      </c>
      <c r="F508" s="10" t="n">
        <v>0.3284250548220132</v>
      </c>
      <c r="G508" s="11">
        <f>E508*Summary!$B$6</f>
        <v/>
      </c>
      <c r="H508" s="11">
        <f>F508*Summary!$B$7</f>
        <v/>
      </c>
      <c r="I508" s="11">
        <f>MAX(0,N508-M508)</f>
        <v/>
      </c>
      <c r="J508" s="11">
        <f>MAX(0,M508-N508)</f>
        <v/>
      </c>
      <c r="K508" s="11">
        <f>O508</f>
        <v/>
      </c>
      <c r="L508" s="11">
        <f>L507+IF(K508&gt;0,K508*Summary!$B$9,K508/Summary!$B$9)</f>
        <v/>
      </c>
      <c r="M508" s="11">
        <f>G508+H508</f>
        <v/>
      </c>
      <c r="N508" s="11">
        <f>Summary!$C$16*Summary!$B$8</f>
        <v/>
      </c>
      <c r="O508" s="11">
        <f>M508-N508</f>
        <v/>
      </c>
    </row>
    <row r="509">
      <c r="A509" s="9" t="n">
        <v>45313.125</v>
      </c>
      <c r="B509" t="n">
        <v>1</v>
      </c>
      <c r="C509" t="n">
        <v>22</v>
      </c>
      <c r="D509" t="n">
        <v>3</v>
      </c>
      <c r="E509" s="10" t="n">
        <v>0</v>
      </c>
      <c r="F509" s="10" t="n">
        <v>0.331376479530355</v>
      </c>
      <c r="G509" s="11">
        <f>E509*Summary!$B$6</f>
        <v/>
      </c>
      <c r="H509" s="11">
        <f>F509*Summary!$B$7</f>
        <v/>
      </c>
      <c r="I509" s="11">
        <f>MAX(0,N509-M509)</f>
        <v/>
      </c>
      <c r="J509" s="11">
        <f>MAX(0,M509-N509)</f>
        <v/>
      </c>
      <c r="K509" s="11">
        <f>O509</f>
        <v/>
      </c>
      <c r="L509" s="11">
        <f>L508+IF(K509&gt;0,K509*Summary!$B$9,K509/Summary!$B$9)</f>
        <v/>
      </c>
      <c r="M509" s="11">
        <f>G509+H509</f>
        <v/>
      </c>
      <c r="N509" s="11">
        <f>Summary!$C$16*Summary!$B$8</f>
        <v/>
      </c>
      <c r="O509" s="11">
        <f>M509-N509</f>
        <v/>
      </c>
    </row>
    <row r="510">
      <c r="A510" s="9" t="n">
        <v>45313.16666666666</v>
      </c>
      <c r="B510" t="n">
        <v>1</v>
      </c>
      <c r="C510" t="n">
        <v>22</v>
      </c>
      <c r="D510" t="n">
        <v>4</v>
      </c>
      <c r="E510" s="10" t="n">
        <v>0</v>
      </c>
      <c r="F510" s="10" t="n">
        <v>0.3310339034481368</v>
      </c>
      <c r="G510" s="11">
        <f>E510*Summary!$B$6</f>
        <v/>
      </c>
      <c r="H510" s="11">
        <f>F510*Summary!$B$7</f>
        <v/>
      </c>
      <c r="I510" s="11">
        <f>MAX(0,N510-M510)</f>
        <v/>
      </c>
      <c r="J510" s="11">
        <f>MAX(0,M510-N510)</f>
        <v/>
      </c>
      <c r="K510" s="11">
        <f>O510</f>
        <v/>
      </c>
      <c r="L510" s="11">
        <f>L509+IF(K510&gt;0,K510*Summary!$B$9,K510/Summary!$B$9)</f>
        <v/>
      </c>
      <c r="M510" s="11">
        <f>G510+H510</f>
        <v/>
      </c>
      <c r="N510" s="11">
        <f>Summary!$C$16*Summary!$B$8</f>
        <v/>
      </c>
      <c r="O510" s="11">
        <f>M510-N510</f>
        <v/>
      </c>
    </row>
    <row r="511">
      <c r="A511" s="9" t="n">
        <v>45313.20833333334</v>
      </c>
      <c r="B511" t="n">
        <v>1</v>
      </c>
      <c r="C511" t="n">
        <v>22</v>
      </c>
      <c r="D511" t="n">
        <v>5</v>
      </c>
      <c r="E511" s="10" t="n">
        <v>0</v>
      </c>
      <c r="F511" s="10" t="n">
        <v>0.3285568148536356</v>
      </c>
      <c r="G511" s="11">
        <f>E511*Summary!$B$6</f>
        <v/>
      </c>
      <c r="H511" s="11">
        <f>F511*Summary!$B$7</f>
        <v/>
      </c>
      <c r="I511" s="11">
        <f>MAX(0,N511-M511)</f>
        <v/>
      </c>
      <c r="J511" s="11">
        <f>MAX(0,M511-N511)</f>
        <v/>
      </c>
      <c r="K511" s="11">
        <f>O511</f>
        <v/>
      </c>
      <c r="L511" s="11">
        <f>L510+IF(K511&gt;0,K511*Summary!$B$9,K511/Summary!$B$9)</f>
        <v/>
      </c>
      <c r="M511" s="11">
        <f>G511+H511</f>
        <v/>
      </c>
      <c r="N511" s="11">
        <f>Summary!$C$16*Summary!$B$8</f>
        <v/>
      </c>
      <c r="O511" s="11">
        <f>M511-N511</f>
        <v/>
      </c>
    </row>
    <row r="512">
      <c r="A512" s="9" t="n">
        <v>45313.25</v>
      </c>
      <c r="B512" t="n">
        <v>1</v>
      </c>
      <c r="C512" t="n">
        <v>22</v>
      </c>
      <c r="D512" t="n">
        <v>6</v>
      </c>
      <c r="E512" s="10" t="n">
        <v>0</v>
      </c>
      <c r="F512" s="10" t="n">
        <v>0.3242877898290696</v>
      </c>
      <c r="G512" s="11">
        <f>E512*Summary!$B$6</f>
        <v/>
      </c>
      <c r="H512" s="11">
        <f>F512*Summary!$B$7</f>
        <v/>
      </c>
      <c r="I512" s="11">
        <f>MAX(0,N512-M512)</f>
        <v/>
      </c>
      <c r="J512" s="11">
        <f>MAX(0,M512-N512)</f>
        <v/>
      </c>
      <c r="K512" s="11">
        <f>O512</f>
        <v/>
      </c>
      <c r="L512" s="11">
        <f>L511+IF(K512&gt;0,K512*Summary!$B$9,K512/Summary!$B$9)</f>
        <v/>
      </c>
      <c r="M512" s="11">
        <f>G512+H512</f>
        <v/>
      </c>
      <c r="N512" s="11">
        <f>Summary!$C$16*Summary!$B$8</f>
        <v/>
      </c>
      <c r="O512" s="11">
        <f>M512-N512</f>
        <v/>
      </c>
    </row>
    <row r="513">
      <c r="A513" s="9" t="n">
        <v>45313.29166666666</v>
      </c>
      <c r="B513" t="n">
        <v>1</v>
      </c>
      <c r="C513" t="n">
        <v>22</v>
      </c>
      <c r="D513" t="n">
        <v>7</v>
      </c>
      <c r="E513" s="10" t="n">
        <v>0</v>
      </c>
      <c r="F513" s="10" t="n">
        <v>0.3213890691333766</v>
      </c>
      <c r="G513" s="11">
        <f>E513*Summary!$B$6</f>
        <v/>
      </c>
      <c r="H513" s="11">
        <f>F513*Summary!$B$7</f>
        <v/>
      </c>
      <c r="I513" s="11">
        <f>MAX(0,N513-M513)</f>
        <v/>
      </c>
      <c r="J513" s="11">
        <f>MAX(0,M513-N513)</f>
        <v/>
      </c>
      <c r="K513" s="11">
        <f>O513</f>
        <v/>
      </c>
      <c r="L513" s="11">
        <f>L512+IF(K513&gt;0,K513*Summary!$B$9,K513/Summary!$B$9)</f>
        <v/>
      </c>
      <c r="M513" s="11">
        <f>G513+H513</f>
        <v/>
      </c>
      <c r="N513" s="11">
        <f>Summary!$C$16*Summary!$B$8</f>
        <v/>
      </c>
      <c r="O513" s="11">
        <f>M513-N513</f>
        <v/>
      </c>
    </row>
    <row r="514">
      <c r="A514" s="9" t="n">
        <v>45313.33333333334</v>
      </c>
      <c r="B514" t="n">
        <v>1</v>
      </c>
      <c r="C514" t="n">
        <v>22</v>
      </c>
      <c r="D514" t="n">
        <v>8</v>
      </c>
      <c r="E514" s="10" t="n">
        <v>0</v>
      </c>
      <c r="F514" s="10" t="n">
        <v>0.3210728450574828</v>
      </c>
      <c r="G514" s="11">
        <f>E514*Summary!$B$6</f>
        <v/>
      </c>
      <c r="H514" s="11">
        <f>F514*Summary!$B$7</f>
        <v/>
      </c>
      <c r="I514" s="11">
        <f>MAX(0,N514-M514)</f>
        <v/>
      </c>
      <c r="J514" s="11">
        <f>MAX(0,M514-N514)</f>
        <v/>
      </c>
      <c r="K514" s="11">
        <f>O514</f>
        <v/>
      </c>
      <c r="L514" s="11">
        <f>L513+IF(K514&gt;0,K514*Summary!$B$9,K514/Summary!$B$9)</f>
        <v/>
      </c>
      <c r="M514" s="11">
        <f>G514+H514</f>
        <v/>
      </c>
      <c r="N514" s="11">
        <f>Summary!$C$16*Summary!$B$8</f>
        <v/>
      </c>
      <c r="O514" s="11">
        <f>M514-N514</f>
        <v/>
      </c>
    </row>
    <row r="515">
      <c r="A515" s="9" t="n">
        <v>45313.375</v>
      </c>
      <c r="B515" t="n">
        <v>1</v>
      </c>
      <c r="C515" t="n">
        <v>22</v>
      </c>
      <c r="D515" t="n">
        <v>9</v>
      </c>
      <c r="E515" s="10" t="n">
        <v>0.012673</v>
      </c>
      <c r="F515" s="10" t="n">
        <v>0.3206248609499666</v>
      </c>
      <c r="G515" s="11">
        <f>E515*Summary!$B$6</f>
        <v/>
      </c>
      <c r="H515" s="11">
        <f>F515*Summary!$B$7</f>
        <v/>
      </c>
      <c r="I515" s="11">
        <f>MAX(0,N515-M515)</f>
        <v/>
      </c>
      <c r="J515" s="11">
        <f>MAX(0,M515-N515)</f>
        <v/>
      </c>
      <c r="K515" s="11">
        <f>O515</f>
        <v/>
      </c>
      <c r="L515" s="11">
        <f>L514+IF(K515&gt;0,K515*Summary!$B$9,K515/Summary!$B$9)</f>
        <v/>
      </c>
      <c r="M515" s="11">
        <f>G515+H515</f>
        <v/>
      </c>
      <c r="N515" s="11">
        <f>Summary!$C$16*Summary!$B$8</f>
        <v/>
      </c>
      <c r="O515" s="11">
        <f>M515-N515</f>
        <v/>
      </c>
    </row>
    <row r="516">
      <c r="A516" s="9" t="n">
        <v>45313.41666666666</v>
      </c>
      <c r="B516" t="n">
        <v>1</v>
      </c>
      <c r="C516" t="n">
        <v>22</v>
      </c>
      <c r="D516" t="n">
        <v>10</v>
      </c>
      <c r="E516" s="10" t="n">
        <v>0.018228</v>
      </c>
      <c r="F516" s="10" t="n">
        <v>0.3182795323870878</v>
      </c>
      <c r="G516" s="11">
        <f>E516*Summary!$B$6</f>
        <v/>
      </c>
      <c r="H516" s="11">
        <f>F516*Summary!$B$7</f>
        <v/>
      </c>
      <c r="I516" s="11">
        <f>MAX(0,N516-M516)</f>
        <v/>
      </c>
      <c r="J516" s="11">
        <f>MAX(0,M516-N516)</f>
        <v/>
      </c>
      <c r="K516" s="11">
        <f>O516</f>
        <v/>
      </c>
      <c r="L516" s="11">
        <f>L515+IF(K516&gt;0,K516*Summary!$B$9,K516/Summary!$B$9)</f>
        <v/>
      </c>
      <c r="M516" s="11">
        <f>G516+H516</f>
        <v/>
      </c>
      <c r="N516" s="11">
        <f>Summary!$C$16*Summary!$B$8</f>
        <v/>
      </c>
      <c r="O516" s="11">
        <f>M516-N516</f>
        <v/>
      </c>
    </row>
    <row r="517">
      <c r="A517" s="9" t="n">
        <v>45313.45833333334</v>
      </c>
      <c r="B517" t="n">
        <v>1</v>
      </c>
      <c r="C517" t="n">
        <v>22</v>
      </c>
      <c r="D517" t="n">
        <v>11</v>
      </c>
      <c r="E517" s="10" t="n">
        <v>0.025752</v>
      </c>
      <c r="F517" s="10" t="n">
        <v>0.3248411819618837</v>
      </c>
      <c r="G517" s="11">
        <f>E517*Summary!$B$6</f>
        <v/>
      </c>
      <c r="H517" s="11">
        <f>F517*Summary!$B$7</f>
        <v/>
      </c>
      <c r="I517" s="11">
        <f>MAX(0,N517-M517)</f>
        <v/>
      </c>
      <c r="J517" s="11">
        <f>MAX(0,M517-N517)</f>
        <v/>
      </c>
      <c r="K517" s="11">
        <f>O517</f>
        <v/>
      </c>
      <c r="L517" s="11">
        <f>L516+IF(K517&gt;0,K517*Summary!$B$9,K517/Summary!$B$9)</f>
        <v/>
      </c>
      <c r="M517" s="11">
        <f>G517+H517</f>
        <v/>
      </c>
      <c r="N517" s="11">
        <f>Summary!$C$16*Summary!$B$8</f>
        <v/>
      </c>
      <c r="O517" s="11">
        <f>M517-N517</f>
        <v/>
      </c>
    </row>
    <row r="518">
      <c r="A518" s="9" t="n">
        <v>45313.5</v>
      </c>
      <c r="B518" t="n">
        <v>1</v>
      </c>
      <c r="C518" t="n">
        <v>22</v>
      </c>
      <c r="D518" t="n">
        <v>12</v>
      </c>
      <c r="E518" s="10" t="n">
        <v>0.032037</v>
      </c>
      <c r="F518" s="10" t="n">
        <v>0.310084058420174</v>
      </c>
      <c r="G518" s="11">
        <f>E518*Summary!$B$6</f>
        <v/>
      </c>
      <c r="H518" s="11">
        <f>F518*Summary!$B$7</f>
        <v/>
      </c>
      <c r="I518" s="11">
        <f>MAX(0,N518-M518)</f>
        <v/>
      </c>
      <c r="J518" s="11">
        <f>MAX(0,M518-N518)</f>
        <v/>
      </c>
      <c r="K518" s="11">
        <f>O518</f>
        <v/>
      </c>
      <c r="L518" s="11">
        <f>L517+IF(K518&gt;0,K518*Summary!$B$9,K518/Summary!$B$9)</f>
        <v/>
      </c>
      <c r="M518" s="11">
        <f>G518+H518</f>
        <v/>
      </c>
      <c r="N518" s="11">
        <f>Summary!$C$16*Summary!$B$8</f>
        <v/>
      </c>
      <c r="O518" s="11">
        <f>M518-N518</f>
        <v/>
      </c>
    </row>
    <row r="519">
      <c r="A519" s="9" t="n">
        <v>45313.54166666666</v>
      </c>
      <c r="B519" t="n">
        <v>1</v>
      </c>
      <c r="C519" t="n">
        <v>22</v>
      </c>
      <c r="D519" t="n">
        <v>13</v>
      </c>
      <c r="E519" s="10" t="n">
        <v>0.018666</v>
      </c>
      <c r="F519" s="10" t="n">
        <v>0.3150909396218255</v>
      </c>
      <c r="G519" s="11">
        <f>E519*Summary!$B$6</f>
        <v/>
      </c>
      <c r="H519" s="11">
        <f>F519*Summary!$B$7</f>
        <v/>
      </c>
      <c r="I519" s="11">
        <f>MAX(0,N519-M519)</f>
        <v/>
      </c>
      <c r="J519" s="11">
        <f>MAX(0,M519-N519)</f>
        <v/>
      </c>
      <c r="K519" s="11">
        <f>O519</f>
        <v/>
      </c>
      <c r="L519" s="11">
        <f>L518+IF(K519&gt;0,K519*Summary!$B$9,K519/Summary!$B$9)</f>
        <v/>
      </c>
      <c r="M519" s="11">
        <f>G519+H519</f>
        <v/>
      </c>
      <c r="N519" s="11">
        <f>Summary!$C$16*Summary!$B$8</f>
        <v/>
      </c>
      <c r="O519" s="11">
        <f>M519-N519</f>
        <v/>
      </c>
    </row>
    <row r="520">
      <c r="A520" s="9" t="n">
        <v>45313.58333333334</v>
      </c>
      <c r="B520" t="n">
        <v>1</v>
      </c>
      <c r="C520" t="n">
        <v>22</v>
      </c>
      <c r="D520" t="n">
        <v>14</v>
      </c>
      <c r="E520" s="10" t="n">
        <v>0.040134</v>
      </c>
      <c r="F520" s="10" t="n">
        <v>0.3167774680265923</v>
      </c>
      <c r="G520" s="11">
        <f>E520*Summary!$B$6</f>
        <v/>
      </c>
      <c r="H520" s="11">
        <f>F520*Summary!$B$7</f>
        <v/>
      </c>
      <c r="I520" s="11">
        <f>MAX(0,N520-M520)</f>
        <v/>
      </c>
      <c r="J520" s="11">
        <f>MAX(0,M520-N520)</f>
        <v/>
      </c>
      <c r="K520" s="11">
        <f>O520</f>
        <v/>
      </c>
      <c r="L520" s="11">
        <f>L519+IF(K520&gt;0,K520*Summary!$B$9,K520/Summary!$B$9)</f>
        <v/>
      </c>
      <c r="M520" s="11">
        <f>G520+H520</f>
        <v/>
      </c>
      <c r="N520" s="11">
        <f>Summary!$C$16*Summary!$B$8</f>
        <v/>
      </c>
      <c r="O520" s="11">
        <f>M520-N520</f>
        <v/>
      </c>
    </row>
    <row r="521">
      <c r="A521" s="9" t="n">
        <v>45313.625</v>
      </c>
      <c r="B521" t="n">
        <v>1</v>
      </c>
      <c r="C521" t="n">
        <v>22</v>
      </c>
      <c r="D521" t="n">
        <v>15</v>
      </c>
      <c r="E521" s="10" t="n">
        <v>0.01146</v>
      </c>
      <c r="F521" s="10" t="n">
        <v>0.3184112924187101</v>
      </c>
      <c r="G521" s="11">
        <f>E521*Summary!$B$6</f>
        <v/>
      </c>
      <c r="H521" s="11">
        <f>F521*Summary!$B$7</f>
        <v/>
      </c>
      <c r="I521" s="11">
        <f>MAX(0,N521-M521)</f>
        <v/>
      </c>
      <c r="J521" s="11">
        <f>MAX(0,M521-N521)</f>
        <v/>
      </c>
      <c r="K521" s="11">
        <f>O521</f>
        <v/>
      </c>
      <c r="L521" s="11">
        <f>L520+IF(K521&gt;0,K521*Summary!$B$9,K521/Summary!$B$9)</f>
        <v/>
      </c>
      <c r="M521" s="11">
        <f>G521+H521</f>
        <v/>
      </c>
      <c r="N521" s="11">
        <f>Summary!$C$16*Summary!$B$8</f>
        <v/>
      </c>
      <c r="O521" s="11">
        <f>M521-N521</f>
        <v/>
      </c>
    </row>
    <row r="522">
      <c r="A522" s="9" t="n">
        <v>45313.66666666666</v>
      </c>
      <c r="B522" t="n">
        <v>1</v>
      </c>
      <c r="C522" t="n">
        <v>22</v>
      </c>
      <c r="D522" t="n">
        <v>16</v>
      </c>
      <c r="E522" s="10" t="n">
        <v>0</v>
      </c>
      <c r="F522" s="10" t="n">
        <v>0.3223640933673824</v>
      </c>
      <c r="G522" s="11">
        <f>E522*Summary!$B$6</f>
        <v/>
      </c>
      <c r="H522" s="11">
        <f>F522*Summary!$B$7</f>
        <v/>
      </c>
      <c r="I522" s="11">
        <f>MAX(0,N522-M522)</f>
        <v/>
      </c>
      <c r="J522" s="11">
        <f>MAX(0,M522-N522)</f>
        <v/>
      </c>
      <c r="K522" s="11">
        <f>O522</f>
        <v/>
      </c>
      <c r="L522" s="11">
        <f>L521+IF(K522&gt;0,K522*Summary!$B$9,K522/Summary!$B$9)</f>
        <v/>
      </c>
      <c r="M522" s="11">
        <f>G522+H522</f>
        <v/>
      </c>
      <c r="N522" s="11">
        <f>Summary!$C$16*Summary!$B$8</f>
        <v/>
      </c>
      <c r="O522" s="11">
        <f>M522-N522</f>
        <v/>
      </c>
    </row>
    <row r="523">
      <c r="A523" s="9" t="n">
        <v>45313.70833333334</v>
      </c>
      <c r="B523" t="n">
        <v>1</v>
      </c>
      <c r="C523" t="n">
        <v>22</v>
      </c>
      <c r="D523" t="n">
        <v>17</v>
      </c>
      <c r="E523" s="10" t="n">
        <v>0</v>
      </c>
      <c r="F523" s="10" t="n">
        <v>0.3316663515999244</v>
      </c>
      <c r="G523" s="11">
        <f>E523*Summary!$B$6</f>
        <v/>
      </c>
      <c r="H523" s="11">
        <f>F523*Summary!$B$7</f>
        <v/>
      </c>
      <c r="I523" s="11">
        <f>MAX(0,N523-M523)</f>
        <v/>
      </c>
      <c r="J523" s="11">
        <f>MAX(0,M523-N523)</f>
        <v/>
      </c>
      <c r="K523" s="11">
        <f>O523</f>
        <v/>
      </c>
      <c r="L523" s="11">
        <f>L522+IF(K523&gt;0,K523*Summary!$B$9,K523/Summary!$B$9)</f>
        <v/>
      </c>
      <c r="M523" s="11">
        <f>G523+H523</f>
        <v/>
      </c>
      <c r="N523" s="11">
        <f>Summary!$C$16*Summary!$B$8</f>
        <v/>
      </c>
      <c r="O523" s="11">
        <f>M523-N523</f>
        <v/>
      </c>
    </row>
    <row r="524">
      <c r="A524" s="9" t="n">
        <v>45313.75</v>
      </c>
      <c r="B524" t="n">
        <v>1</v>
      </c>
      <c r="C524" t="n">
        <v>22</v>
      </c>
      <c r="D524" t="n">
        <v>18</v>
      </c>
      <c r="E524" s="10" t="n">
        <v>0</v>
      </c>
      <c r="F524" s="10" t="n">
        <v>0.3385969292632631</v>
      </c>
      <c r="G524" s="11">
        <f>E524*Summary!$B$6</f>
        <v/>
      </c>
      <c r="H524" s="11">
        <f>F524*Summary!$B$7</f>
        <v/>
      </c>
      <c r="I524" s="11">
        <f>MAX(0,N524-M524)</f>
        <v/>
      </c>
      <c r="J524" s="11">
        <f>MAX(0,M524-N524)</f>
        <v/>
      </c>
      <c r="K524" s="11">
        <f>O524</f>
        <v/>
      </c>
      <c r="L524" s="11">
        <f>L523+IF(K524&gt;0,K524*Summary!$B$9,K524/Summary!$B$9)</f>
        <v/>
      </c>
      <c r="M524" s="11">
        <f>G524+H524</f>
        <v/>
      </c>
      <c r="N524" s="11">
        <f>Summary!$C$16*Summary!$B$8</f>
        <v/>
      </c>
      <c r="O524" s="11">
        <f>M524-N524</f>
        <v/>
      </c>
    </row>
    <row r="525">
      <c r="A525" s="9" t="n">
        <v>45313.79166666666</v>
      </c>
      <c r="B525" t="n">
        <v>1</v>
      </c>
      <c r="C525" t="n">
        <v>22</v>
      </c>
      <c r="D525" t="n">
        <v>19</v>
      </c>
      <c r="E525" s="10" t="n">
        <v>0</v>
      </c>
      <c r="F525" s="10" t="n">
        <v>0.3384388172253161</v>
      </c>
      <c r="G525" s="11">
        <f>E525*Summary!$B$6</f>
        <v/>
      </c>
      <c r="H525" s="11">
        <f>F525*Summary!$B$7</f>
        <v/>
      </c>
      <c r="I525" s="11">
        <f>MAX(0,N525-M525)</f>
        <v/>
      </c>
      <c r="J525" s="11">
        <f>MAX(0,M525-N525)</f>
        <v/>
      </c>
      <c r="K525" s="11">
        <f>O525</f>
        <v/>
      </c>
      <c r="L525" s="11">
        <f>L524+IF(K525&gt;0,K525*Summary!$B$9,K525/Summary!$B$9)</f>
        <v/>
      </c>
      <c r="M525" s="11">
        <f>G525+H525</f>
        <v/>
      </c>
      <c r="N525" s="11">
        <f>Summary!$C$16*Summary!$B$8</f>
        <v/>
      </c>
      <c r="O525" s="11">
        <f>M525-N525</f>
        <v/>
      </c>
    </row>
    <row r="526">
      <c r="A526" s="9" t="n">
        <v>45313.83333333334</v>
      </c>
      <c r="B526" t="n">
        <v>1</v>
      </c>
      <c r="C526" t="n">
        <v>22</v>
      </c>
      <c r="D526" t="n">
        <v>20</v>
      </c>
      <c r="E526" s="10" t="n">
        <v>0</v>
      </c>
      <c r="F526" s="10" t="n">
        <v>0.3372529769407145</v>
      </c>
      <c r="G526" s="11">
        <f>E526*Summary!$B$6</f>
        <v/>
      </c>
      <c r="H526" s="11">
        <f>F526*Summary!$B$7</f>
        <v/>
      </c>
      <c r="I526" s="11">
        <f>MAX(0,N526-M526)</f>
        <v/>
      </c>
      <c r="J526" s="11">
        <f>MAX(0,M526-N526)</f>
        <v/>
      </c>
      <c r="K526" s="11">
        <f>O526</f>
        <v/>
      </c>
      <c r="L526" s="11">
        <f>L525+IF(K526&gt;0,K526*Summary!$B$9,K526/Summary!$B$9)</f>
        <v/>
      </c>
      <c r="M526" s="11">
        <f>G526+H526</f>
        <v/>
      </c>
      <c r="N526" s="11">
        <f>Summary!$C$16*Summary!$B$8</f>
        <v/>
      </c>
      <c r="O526" s="11">
        <f>M526-N526</f>
        <v/>
      </c>
    </row>
    <row r="527">
      <c r="A527" s="9" t="n">
        <v>45313.875</v>
      </c>
      <c r="B527" t="n">
        <v>1</v>
      </c>
      <c r="C527" t="n">
        <v>22</v>
      </c>
      <c r="D527" t="n">
        <v>21</v>
      </c>
      <c r="E527" s="10" t="n">
        <v>0</v>
      </c>
      <c r="F527" s="10" t="n">
        <v>0.295142470834193</v>
      </c>
      <c r="G527" s="11">
        <f>E527*Summary!$B$6</f>
        <v/>
      </c>
      <c r="H527" s="11">
        <f>F527*Summary!$B$7</f>
        <v/>
      </c>
      <c r="I527" s="11">
        <f>MAX(0,N527-M527)</f>
        <v/>
      </c>
      <c r="J527" s="11">
        <f>MAX(0,M527-N527)</f>
        <v/>
      </c>
      <c r="K527" s="11">
        <f>O527</f>
        <v/>
      </c>
      <c r="L527" s="11">
        <f>L526+IF(K527&gt;0,K527*Summary!$B$9,K527/Summary!$B$9)</f>
        <v/>
      </c>
      <c r="M527" s="11">
        <f>G527+H527</f>
        <v/>
      </c>
      <c r="N527" s="11">
        <f>Summary!$C$16*Summary!$B$8</f>
        <v/>
      </c>
      <c r="O527" s="11">
        <f>M527-N527</f>
        <v/>
      </c>
    </row>
    <row r="528">
      <c r="A528" s="9" t="n">
        <v>45313.91666666666</v>
      </c>
      <c r="B528" t="n">
        <v>1</v>
      </c>
      <c r="C528" t="n">
        <v>22</v>
      </c>
      <c r="D528" t="n">
        <v>22</v>
      </c>
      <c r="E528" s="10" t="n">
        <v>0</v>
      </c>
      <c r="F528" s="10" t="n">
        <v>0.335144816434756</v>
      </c>
      <c r="G528" s="11">
        <f>E528*Summary!$B$6</f>
        <v/>
      </c>
      <c r="H528" s="11">
        <f>F528*Summary!$B$7</f>
        <v/>
      </c>
      <c r="I528" s="11">
        <f>MAX(0,N528-M528)</f>
        <v/>
      </c>
      <c r="J528" s="11">
        <f>MAX(0,M528-N528)</f>
        <v/>
      </c>
      <c r="K528" s="11">
        <f>O528</f>
        <v/>
      </c>
      <c r="L528" s="11">
        <f>L527+IF(K528&gt;0,K528*Summary!$B$9,K528/Summary!$B$9)</f>
        <v/>
      </c>
      <c r="M528" s="11">
        <f>G528+H528</f>
        <v/>
      </c>
      <c r="N528" s="11">
        <f>Summary!$C$16*Summary!$B$8</f>
        <v/>
      </c>
      <c r="O528" s="11">
        <f>M528-N528</f>
        <v/>
      </c>
    </row>
    <row r="529">
      <c r="A529" s="9" t="n">
        <v>45313.95833333334</v>
      </c>
      <c r="B529" t="n">
        <v>1</v>
      </c>
      <c r="C529" t="n">
        <v>22</v>
      </c>
      <c r="D529" t="n">
        <v>23</v>
      </c>
      <c r="E529" s="10" t="n">
        <v>0</v>
      </c>
      <c r="F529" s="10" t="n">
        <v>0.3398354735605137</v>
      </c>
      <c r="G529" s="11">
        <f>E529*Summary!$B$6</f>
        <v/>
      </c>
      <c r="H529" s="11">
        <f>F529*Summary!$B$7</f>
        <v/>
      </c>
      <c r="I529" s="11">
        <f>MAX(0,N529-M529)</f>
        <v/>
      </c>
      <c r="J529" s="11">
        <f>MAX(0,M529-N529)</f>
        <v/>
      </c>
      <c r="K529" s="11">
        <f>O529</f>
        <v/>
      </c>
      <c r="L529" s="11">
        <f>L528+IF(K529&gt;0,K529*Summary!$B$9,K529/Summary!$B$9)</f>
        <v/>
      </c>
      <c r="M529" s="11">
        <f>G529+H529</f>
        <v/>
      </c>
      <c r="N529" s="11">
        <f>Summary!$C$16*Summary!$B$8</f>
        <v/>
      </c>
      <c r="O529" s="11">
        <f>M529-N529</f>
        <v/>
      </c>
    </row>
    <row r="530">
      <c r="A530" s="9" t="n">
        <v>45314</v>
      </c>
      <c r="B530" t="n">
        <v>1</v>
      </c>
      <c r="C530" t="n">
        <v>23</v>
      </c>
      <c r="D530" t="n">
        <v>0</v>
      </c>
      <c r="E530" s="10" t="n">
        <v>0</v>
      </c>
      <c r="F530" s="10" t="n">
        <v>0.470436016904644</v>
      </c>
      <c r="G530" s="11">
        <f>E530*Summary!$B$6</f>
        <v/>
      </c>
      <c r="H530" s="11">
        <f>F530*Summary!$B$7</f>
        <v/>
      </c>
      <c r="I530" s="11">
        <f>MAX(0,N530-M530)</f>
        <v/>
      </c>
      <c r="J530" s="11">
        <f>MAX(0,M530-N530)</f>
        <v/>
      </c>
      <c r="K530" s="11">
        <f>O530</f>
        <v/>
      </c>
      <c r="L530" s="11">
        <f>L529+IF(K530&gt;0,K530*Summary!$B$9,K530/Summary!$B$9)</f>
        <v/>
      </c>
      <c r="M530" s="11">
        <f>G530+H530</f>
        <v/>
      </c>
      <c r="N530" s="11">
        <f>Summary!$C$16*Summary!$B$8</f>
        <v/>
      </c>
      <c r="O530" s="11">
        <f>M530-N530</f>
        <v/>
      </c>
    </row>
    <row r="531">
      <c r="A531" s="9" t="n">
        <v>45314.04166666666</v>
      </c>
      <c r="B531" t="n">
        <v>1</v>
      </c>
      <c r="C531" t="n">
        <v>23</v>
      </c>
      <c r="D531" t="n">
        <v>1</v>
      </c>
      <c r="E531" s="10" t="n">
        <v>0</v>
      </c>
      <c r="F531" s="10" t="n">
        <v>0.352273620545669</v>
      </c>
      <c r="G531" s="11">
        <f>E531*Summary!$B$6</f>
        <v/>
      </c>
      <c r="H531" s="11">
        <f>F531*Summary!$B$7</f>
        <v/>
      </c>
      <c r="I531" s="11">
        <f>MAX(0,N531-M531)</f>
        <v/>
      </c>
      <c r="J531" s="11">
        <f>MAX(0,M531-N531)</f>
        <v/>
      </c>
      <c r="K531" s="11">
        <f>O531</f>
        <v/>
      </c>
      <c r="L531" s="11">
        <f>L530+IF(K531&gt;0,K531*Summary!$B$9,K531/Summary!$B$9)</f>
        <v/>
      </c>
      <c r="M531" s="11">
        <f>G531+H531</f>
        <v/>
      </c>
      <c r="N531" s="11">
        <f>Summary!$C$16*Summary!$B$8</f>
        <v/>
      </c>
      <c r="O531" s="11">
        <f>M531-N531</f>
        <v/>
      </c>
    </row>
    <row r="532">
      <c r="A532" s="9" t="n">
        <v>45314.08333333334</v>
      </c>
      <c r="B532" t="n">
        <v>1</v>
      </c>
      <c r="C532" t="n">
        <v>23</v>
      </c>
      <c r="D532" t="n">
        <v>2</v>
      </c>
      <c r="E532" s="10" t="n">
        <v>0</v>
      </c>
      <c r="F532" s="10" t="n">
        <v>0.3614968227592375</v>
      </c>
      <c r="G532" s="11">
        <f>E532*Summary!$B$6</f>
        <v/>
      </c>
      <c r="H532" s="11">
        <f>F532*Summary!$B$7</f>
        <v/>
      </c>
      <c r="I532" s="11">
        <f>MAX(0,N532-M532)</f>
        <v/>
      </c>
      <c r="J532" s="11">
        <f>MAX(0,M532-N532)</f>
        <v/>
      </c>
      <c r="K532" s="11">
        <f>O532</f>
        <v/>
      </c>
      <c r="L532" s="11">
        <f>L531+IF(K532&gt;0,K532*Summary!$B$9,K532/Summary!$B$9)</f>
        <v/>
      </c>
      <c r="M532" s="11">
        <f>G532+H532</f>
        <v/>
      </c>
      <c r="N532" s="11">
        <f>Summary!$C$16*Summary!$B$8</f>
        <v/>
      </c>
      <c r="O532" s="11">
        <f>M532-N532</f>
        <v/>
      </c>
    </row>
    <row r="533">
      <c r="A533" s="9" t="n">
        <v>45314.125</v>
      </c>
      <c r="B533" t="n">
        <v>1</v>
      </c>
      <c r="C533" t="n">
        <v>23</v>
      </c>
      <c r="D533" t="n">
        <v>3</v>
      </c>
      <c r="E533" s="10" t="n">
        <v>0</v>
      </c>
      <c r="F533" s="10" t="n">
        <v>0.3690071445617147</v>
      </c>
      <c r="G533" s="11">
        <f>E533*Summary!$B$6</f>
        <v/>
      </c>
      <c r="H533" s="11">
        <f>F533*Summary!$B$7</f>
        <v/>
      </c>
      <c r="I533" s="11">
        <f>MAX(0,N533-M533)</f>
        <v/>
      </c>
      <c r="J533" s="11">
        <f>MAX(0,M533-N533)</f>
        <v/>
      </c>
      <c r="K533" s="11">
        <f>O533</f>
        <v/>
      </c>
      <c r="L533" s="11">
        <f>L532+IF(K533&gt;0,K533*Summary!$B$9,K533/Summary!$B$9)</f>
        <v/>
      </c>
      <c r="M533" s="11">
        <f>G533+H533</f>
        <v/>
      </c>
      <c r="N533" s="11">
        <f>Summary!$C$16*Summary!$B$8</f>
        <v/>
      </c>
      <c r="O533" s="11">
        <f>M533-N533</f>
        <v/>
      </c>
    </row>
    <row r="534">
      <c r="A534" s="9" t="n">
        <v>45314.16666666666</v>
      </c>
      <c r="B534" t="n">
        <v>1</v>
      </c>
      <c r="C534" t="n">
        <v>23</v>
      </c>
      <c r="D534" t="n">
        <v>4</v>
      </c>
      <c r="E534" s="10" t="n">
        <v>0</v>
      </c>
      <c r="F534" s="10" t="n">
        <v>0.3972037913289099</v>
      </c>
      <c r="G534" s="11">
        <f>E534*Summary!$B$6</f>
        <v/>
      </c>
      <c r="H534" s="11">
        <f>F534*Summary!$B$7</f>
        <v/>
      </c>
      <c r="I534" s="11">
        <f>MAX(0,N534-M534)</f>
        <v/>
      </c>
      <c r="J534" s="11">
        <f>MAX(0,M534-N534)</f>
        <v/>
      </c>
      <c r="K534" s="11">
        <f>O534</f>
        <v/>
      </c>
      <c r="L534" s="11">
        <f>L533+IF(K534&gt;0,K534*Summary!$B$9,K534/Summary!$B$9)</f>
        <v/>
      </c>
      <c r="M534" s="11">
        <f>G534+H534</f>
        <v/>
      </c>
      <c r="N534" s="11">
        <f>Summary!$C$16*Summary!$B$8</f>
        <v/>
      </c>
      <c r="O534" s="11">
        <f>M534-N534</f>
        <v/>
      </c>
    </row>
    <row r="535">
      <c r="A535" s="9" t="n">
        <v>45314.20833333334</v>
      </c>
      <c r="B535" t="n">
        <v>1</v>
      </c>
      <c r="C535" t="n">
        <v>23</v>
      </c>
      <c r="D535" t="n">
        <v>5</v>
      </c>
      <c r="E535" s="10" t="n">
        <v>0</v>
      </c>
      <c r="F535" s="10" t="n">
        <v>0.4319357356645765</v>
      </c>
      <c r="G535" s="11">
        <f>E535*Summary!$B$6</f>
        <v/>
      </c>
      <c r="H535" s="11">
        <f>F535*Summary!$B$7</f>
        <v/>
      </c>
      <c r="I535" s="11">
        <f>MAX(0,N535-M535)</f>
        <v/>
      </c>
      <c r="J535" s="11">
        <f>MAX(0,M535-N535)</f>
        <v/>
      </c>
      <c r="K535" s="11">
        <f>O535</f>
        <v/>
      </c>
      <c r="L535" s="11">
        <f>L534+IF(K535&gt;0,K535*Summary!$B$9,K535/Summary!$B$9)</f>
        <v/>
      </c>
      <c r="M535" s="11">
        <f>G535+H535</f>
        <v/>
      </c>
      <c r="N535" s="11">
        <f>Summary!$C$16*Summary!$B$8</f>
        <v/>
      </c>
      <c r="O535" s="11">
        <f>M535-N535</f>
        <v/>
      </c>
    </row>
    <row r="536">
      <c r="A536" s="9" t="n">
        <v>45314.25</v>
      </c>
      <c r="B536" t="n">
        <v>1</v>
      </c>
      <c r="C536" t="n">
        <v>23</v>
      </c>
      <c r="D536" t="n">
        <v>6</v>
      </c>
      <c r="E536" s="10" t="n">
        <v>0</v>
      </c>
      <c r="F536" s="10" t="n">
        <v>0.4046350571124137</v>
      </c>
      <c r="G536" s="11">
        <f>E536*Summary!$B$6</f>
        <v/>
      </c>
      <c r="H536" s="11">
        <f>F536*Summary!$B$7</f>
        <v/>
      </c>
      <c r="I536" s="11">
        <f>MAX(0,N536-M536)</f>
        <v/>
      </c>
      <c r="J536" s="11">
        <f>MAX(0,M536-N536)</f>
        <v/>
      </c>
      <c r="K536" s="11">
        <f>O536</f>
        <v/>
      </c>
      <c r="L536" s="11">
        <f>L535+IF(K536&gt;0,K536*Summary!$B$9,K536/Summary!$B$9)</f>
        <v/>
      </c>
      <c r="M536" s="11">
        <f>G536+H536</f>
        <v/>
      </c>
      <c r="N536" s="11">
        <f>Summary!$C$16*Summary!$B$8</f>
        <v/>
      </c>
      <c r="O536" s="11">
        <f>M536-N536</f>
        <v/>
      </c>
    </row>
    <row r="537">
      <c r="A537" s="9" t="n">
        <v>45314.29166666666</v>
      </c>
      <c r="B537" t="n">
        <v>1</v>
      </c>
      <c r="C537" t="n">
        <v>23</v>
      </c>
      <c r="D537" t="n">
        <v>7</v>
      </c>
      <c r="E537" s="10" t="n">
        <v>0</v>
      </c>
      <c r="F537" s="10" t="n">
        <v>0.4100372184089324</v>
      </c>
      <c r="G537" s="11">
        <f>E537*Summary!$B$6</f>
        <v/>
      </c>
      <c r="H537" s="11">
        <f>F537*Summary!$B$7</f>
        <v/>
      </c>
      <c r="I537" s="11">
        <f>MAX(0,N537-M537)</f>
        <v/>
      </c>
      <c r="J537" s="11">
        <f>MAX(0,M537-N537)</f>
        <v/>
      </c>
      <c r="K537" s="11">
        <f>O537</f>
        <v/>
      </c>
      <c r="L537" s="11">
        <f>L536+IF(K537&gt;0,K537*Summary!$B$9,K537/Summary!$B$9)</f>
        <v/>
      </c>
      <c r="M537" s="11">
        <f>G537+H537</f>
        <v/>
      </c>
      <c r="N537" s="11">
        <f>Summary!$C$16*Summary!$B$8</f>
        <v/>
      </c>
      <c r="O537" s="11">
        <f>M537-N537</f>
        <v/>
      </c>
    </row>
    <row r="538">
      <c r="A538" s="9" t="n">
        <v>45314.33333333334</v>
      </c>
      <c r="B538" t="n">
        <v>1</v>
      </c>
      <c r="C538" t="n">
        <v>23</v>
      </c>
      <c r="D538" t="n">
        <v>8</v>
      </c>
      <c r="E538" s="10" t="n">
        <v>0</v>
      </c>
      <c r="F538" s="10" t="n">
        <v>0.4115392827694278</v>
      </c>
      <c r="G538" s="11">
        <f>E538*Summary!$B$6</f>
        <v/>
      </c>
      <c r="H538" s="11">
        <f>F538*Summary!$B$7</f>
        <v/>
      </c>
      <c r="I538" s="11">
        <f>MAX(0,N538-M538)</f>
        <v/>
      </c>
      <c r="J538" s="11">
        <f>MAX(0,M538-N538)</f>
        <v/>
      </c>
      <c r="K538" s="11">
        <f>O538</f>
        <v/>
      </c>
      <c r="L538" s="11">
        <f>L537+IF(K538&gt;0,K538*Summary!$B$9,K538/Summary!$B$9)</f>
        <v/>
      </c>
      <c r="M538" s="11">
        <f>G538+H538</f>
        <v/>
      </c>
      <c r="N538" s="11">
        <f>Summary!$C$16*Summary!$B$8</f>
        <v/>
      </c>
      <c r="O538" s="11">
        <f>M538-N538</f>
        <v/>
      </c>
    </row>
    <row r="539">
      <c r="A539" s="9" t="n">
        <v>45314.375</v>
      </c>
      <c r="B539" t="n">
        <v>1</v>
      </c>
      <c r="C539" t="n">
        <v>23</v>
      </c>
      <c r="D539" t="n">
        <v>9</v>
      </c>
      <c r="E539" s="10" t="n">
        <v>0.014611</v>
      </c>
      <c r="F539" s="10" t="n">
        <v>0.4153603236864777</v>
      </c>
      <c r="G539" s="11">
        <f>E539*Summary!$B$6</f>
        <v/>
      </c>
      <c r="H539" s="11">
        <f>F539*Summary!$B$7</f>
        <v/>
      </c>
      <c r="I539" s="11">
        <f>MAX(0,N539-M539)</f>
        <v/>
      </c>
      <c r="J539" s="11">
        <f>MAX(0,M539-N539)</f>
        <v/>
      </c>
      <c r="K539" s="11">
        <f>O539</f>
        <v/>
      </c>
      <c r="L539" s="11">
        <f>L538+IF(K539&gt;0,K539*Summary!$B$9,K539/Summary!$B$9)</f>
        <v/>
      </c>
      <c r="M539" s="11">
        <f>G539+H539</f>
        <v/>
      </c>
      <c r="N539" s="11">
        <f>Summary!$C$16*Summary!$B$8</f>
        <v/>
      </c>
      <c r="O539" s="11">
        <f>M539-N539</f>
        <v/>
      </c>
    </row>
    <row r="540">
      <c r="A540" s="9" t="n">
        <v>45314.41666666666</v>
      </c>
      <c r="B540" t="n">
        <v>1</v>
      </c>
      <c r="C540" t="n">
        <v>23</v>
      </c>
      <c r="D540" t="n">
        <v>10</v>
      </c>
      <c r="E540" s="10" t="n">
        <v>0.026668</v>
      </c>
      <c r="F540" s="10" t="n">
        <v>0.4120926749022419</v>
      </c>
      <c r="G540" s="11">
        <f>E540*Summary!$B$6</f>
        <v/>
      </c>
      <c r="H540" s="11">
        <f>F540*Summary!$B$7</f>
        <v/>
      </c>
      <c r="I540" s="11">
        <f>MAX(0,N540-M540)</f>
        <v/>
      </c>
      <c r="J540" s="11">
        <f>MAX(0,M540-N540)</f>
        <v/>
      </c>
      <c r="K540" s="11">
        <f>O540</f>
        <v/>
      </c>
      <c r="L540" s="11">
        <f>L539+IF(K540&gt;0,K540*Summary!$B$9,K540/Summary!$B$9)</f>
        <v/>
      </c>
      <c r="M540" s="11">
        <f>G540+H540</f>
        <v/>
      </c>
      <c r="N540" s="11">
        <f>Summary!$C$16*Summary!$B$8</f>
        <v/>
      </c>
      <c r="O540" s="11">
        <f>M540-N540</f>
        <v/>
      </c>
    </row>
    <row r="541">
      <c r="A541" s="9" t="n">
        <v>45314.45833333334</v>
      </c>
      <c r="B541" t="n">
        <v>1</v>
      </c>
      <c r="C541" t="n">
        <v>23</v>
      </c>
      <c r="D541" t="n">
        <v>11</v>
      </c>
      <c r="E541" s="10" t="n">
        <v>0.022013</v>
      </c>
      <c r="F541" s="10" t="n">
        <v>0.4444002346560563</v>
      </c>
      <c r="G541" s="11">
        <f>E541*Summary!$B$6</f>
        <v/>
      </c>
      <c r="H541" s="11">
        <f>F541*Summary!$B$7</f>
        <v/>
      </c>
      <c r="I541" s="11">
        <f>MAX(0,N541-M541)</f>
        <v/>
      </c>
      <c r="J541" s="11">
        <f>MAX(0,M541-N541)</f>
        <v/>
      </c>
      <c r="K541" s="11">
        <f>O541</f>
        <v/>
      </c>
      <c r="L541" s="11">
        <f>L540+IF(K541&gt;0,K541*Summary!$B$9,K541/Summary!$B$9)</f>
        <v/>
      </c>
      <c r="M541" s="11">
        <f>G541+H541</f>
        <v/>
      </c>
      <c r="N541" s="11">
        <f>Summary!$C$16*Summary!$B$8</f>
        <v/>
      </c>
      <c r="O541" s="11">
        <f>M541-N541</f>
        <v/>
      </c>
    </row>
    <row r="542">
      <c r="A542" s="9" t="n">
        <v>45314.5</v>
      </c>
      <c r="B542" t="n">
        <v>1</v>
      </c>
      <c r="C542" t="n">
        <v>23</v>
      </c>
      <c r="D542" t="n">
        <v>12</v>
      </c>
      <c r="E542" s="10" t="n">
        <v>0.051853</v>
      </c>
      <c r="F542" s="10" t="n">
        <v>0.4066641615993988</v>
      </c>
      <c r="G542" s="11">
        <f>E542*Summary!$B$6</f>
        <v/>
      </c>
      <c r="H542" s="11">
        <f>F542*Summary!$B$7</f>
        <v/>
      </c>
      <c r="I542" s="11">
        <f>MAX(0,N542-M542)</f>
        <v/>
      </c>
      <c r="J542" s="11">
        <f>MAX(0,M542-N542)</f>
        <v/>
      </c>
      <c r="K542" s="11">
        <f>O542</f>
        <v/>
      </c>
      <c r="L542" s="11">
        <f>L541+IF(K542&gt;0,K542*Summary!$B$9,K542/Summary!$B$9)</f>
        <v/>
      </c>
      <c r="M542" s="11">
        <f>G542+H542</f>
        <v/>
      </c>
      <c r="N542" s="11">
        <f>Summary!$C$16*Summary!$B$8</f>
        <v/>
      </c>
      <c r="O542" s="11">
        <f>M542-N542</f>
        <v/>
      </c>
    </row>
    <row r="543">
      <c r="A543" s="9" t="n">
        <v>45314.54166666666</v>
      </c>
      <c r="B543" t="n">
        <v>1</v>
      </c>
      <c r="C543" t="n">
        <v>23</v>
      </c>
      <c r="D543" t="n">
        <v>13</v>
      </c>
      <c r="E543" s="10" t="n">
        <v>0.047035</v>
      </c>
      <c r="F543" s="10" t="n">
        <v>0.4048985771756585</v>
      </c>
      <c r="G543" s="11">
        <f>E543*Summary!$B$6</f>
        <v/>
      </c>
      <c r="H543" s="11">
        <f>F543*Summary!$B$7</f>
        <v/>
      </c>
      <c r="I543" s="11">
        <f>MAX(0,N543-M543)</f>
        <v/>
      </c>
      <c r="J543" s="11">
        <f>MAX(0,M543-N543)</f>
        <v/>
      </c>
      <c r="K543" s="11">
        <f>O543</f>
        <v/>
      </c>
      <c r="L543" s="11">
        <f>L542+IF(K543&gt;0,K543*Summary!$B$9,K543/Summary!$B$9)</f>
        <v/>
      </c>
      <c r="M543" s="11">
        <f>G543+H543</f>
        <v/>
      </c>
      <c r="N543" s="11">
        <f>Summary!$C$16*Summary!$B$8</f>
        <v/>
      </c>
      <c r="O543" s="11">
        <f>M543-N543</f>
        <v/>
      </c>
    </row>
    <row r="544">
      <c r="A544" s="9" t="n">
        <v>45314.58333333334</v>
      </c>
      <c r="B544" t="n">
        <v>1</v>
      </c>
      <c r="C544" t="n">
        <v>23</v>
      </c>
      <c r="D544" t="n">
        <v>14</v>
      </c>
      <c r="E544" s="10" t="n">
        <v>0.039355</v>
      </c>
      <c r="F544" s="10" t="n">
        <v>0.4017890404293697</v>
      </c>
      <c r="G544" s="11">
        <f>E544*Summary!$B$6</f>
        <v/>
      </c>
      <c r="H544" s="11">
        <f>F544*Summary!$B$7</f>
        <v/>
      </c>
      <c r="I544" s="11">
        <f>MAX(0,N544-M544)</f>
        <v/>
      </c>
      <c r="J544" s="11">
        <f>MAX(0,M544-N544)</f>
        <v/>
      </c>
      <c r="K544" s="11">
        <f>O544</f>
        <v/>
      </c>
      <c r="L544" s="11">
        <f>L543+IF(K544&gt;0,K544*Summary!$B$9,K544/Summary!$B$9)</f>
        <v/>
      </c>
      <c r="M544" s="11">
        <f>G544+H544</f>
        <v/>
      </c>
      <c r="N544" s="11">
        <f>Summary!$C$16*Summary!$B$8</f>
        <v/>
      </c>
      <c r="O544" s="11">
        <f>M544-N544</f>
        <v/>
      </c>
    </row>
    <row r="545">
      <c r="A545" s="9" t="n">
        <v>45314.625</v>
      </c>
      <c r="B545" t="n">
        <v>1</v>
      </c>
      <c r="C545" t="n">
        <v>23</v>
      </c>
      <c r="D545" t="n">
        <v>15</v>
      </c>
      <c r="E545" s="10" t="n">
        <v>0.004881</v>
      </c>
      <c r="F545" s="10" t="n">
        <v>0.4065851055804253</v>
      </c>
      <c r="G545" s="11">
        <f>E545*Summary!$B$6</f>
        <v/>
      </c>
      <c r="H545" s="11">
        <f>F545*Summary!$B$7</f>
        <v/>
      </c>
      <c r="I545" s="11">
        <f>MAX(0,N545-M545)</f>
        <v/>
      </c>
      <c r="J545" s="11">
        <f>MAX(0,M545-N545)</f>
        <v/>
      </c>
      <c r="K545" s="11">
        <f>O545</f>
        <v/>
      </c>
      <c r="L545" s="11">
        <f>L544+IF(K545&gt;0,K545*Summary!$B$9,K545/Summary!$B$9)</f>
        <v/>
      </c>
      <c r="M545" s="11">
        <f>G545+H545</f>
        <v/>
      </c>
      <c r="N545" s="11">
        <f>Summary!$C$16*Summary!$B$8</f>
        <v/>
      </c>
      <c r="O545" s="11">
        <f>M545-N545</f>
        <v/>
      </c>
    </row>
    <row r="546">
      <c r="A546" s="9" t="n">
        <v>45314.66666666666</v>
      </c>
      <c r="B546" t="n">
        <v>1</v>
      </c>
      <c r="C546" t="n">
        <v>23</v>
      </c>
      <c r="D546" t="n">
        <v>16</v>
      </c>
      <c r="E546" s="10" t="n">
        <v>0</v>
      </c>
      <c r="F546" s="10" t="n">
        <v>0.4120136188832685</v>
      </c>
      <c r="G546" s="11">
        <f>E546*Summary!$B$6</f>
        <v/>
      </c>
      <c r="H546" s="11">
        <f>F546*Summary!$B$7</f>
        <v/>
      </c>
      <c r="I546" s="11">
        <f>MAX(0,N546-M546)</f>
        <v/>
      </c>
      <c r="J546" s="11">
        <f>MAX(0,M546-N546)</f>
        <v/>
      </c>
      <c r="K546" s="11">
        <f>O546</f>
        <v/>
      </c>
      <c r="L546" s="11">
        <f>L545+IF(K546&gt;0,K546*Summary!$B$9,K546/Summary!$B$9)</f>
        <v/>
      </c>
      <c r="M546" s="11">
        <f>G546+H546</f>
        <v/>
      </c>
      <c r="N546" s="11">
        <f>Summary!$C$16*Summary!$B$8</f>
        <v/>
      </c>
      <c r="O546" s="11">
        <f>M546-N546</f>
        <v/>
      </c>
    </row>
    <row r="547">
      <c r="A547" s="9" t="n">
        <v>45314.70833333334</v>
      </c>
      <c r="B547" t="n">
        <v>1</v>
      </c>
      <c r="C547" t="n">
        <v>23</v>
      </c>
      <c r="D547" t="n">
        <v>17</v>
      </c>
      <c r="E547" s="10" t="n">
        <v>0</v>
      </c>
      <c r="F547" s="10" t="n">
        <v>0.4167306280153507</v>
      </c>
      <c r="G547" s="11">
        <f>E547*Summary!$B$6</f>
        <v/>
      </c>
      <c r="H547" s="11">
        <f>F547*Summary!$B$7</f>
        <v/>
      </c>
      <c r="I547" s="11">
        <f>MAX(0,N547-M547)</f>
        <v/>
      </c>
      <c r="J547" s="11">
        <f>MAX(0,M547-N547)</f>
        <v/>
      </c>
      <c r="K547" s="11">
        <f>O547</f>
        <v/>
      </c>
      <c r="L547" s="11">
        <f>L546+IF(K547&gt;0,K547*Summary!$B$9,K547/Summary!$B$9)</f>
        <v/>
      </c>
      <c r="M547" s="11">
        <f>G547+H547</f>
        <v/>
      </c>
      <c r="N547" s="11">
        <f>Summary!$C$16*Summary!$B$8</f>
        <v/>
      </c>
      <c r="O547" s="11">
        <f>M547-N547</f>
        <v/>
      </c>
    </row>
    <row r="548">
      <c r="A548" s="9" t="n">
        <v>45314.75</v>
      </c>
      <c r="B548" t="n">
        <v>1</v>
      </c>
      <c r="C548" t="n">
        <v>23</v>
      </c>
      <c r="D548" t="n">
        <v>18</v>
      </c>
      <c r="E548" s="10" t="n">
        <v>0</v>
      </c>
      <c r="F548" s="10" t="n">
        <v>0.4172049641291913</v>
      </c>
      <c r="G548" s="11">
        <f>E548*Summary!$B$6</f>
        <v/>
      </c>
      <c r="H548" s="11">
        <f>F548*Summary!$B$7</f>
        <v/>
      </c>
      <c r="I548" s="11">
        <f>MAX(0,N548-M548)</f>
        <v/>
      </c>
      <c r="J548" s="11">
        <f>MAX(0,M548-N548)</f>
        <v/>
      </c>
      <c r="K548" s="11">
        <f>O548</f>
        <v/>
      </c>
      <c r="L548" s="11">
        <f>L547+IF(K548&gt;0,K548*Summary!$B$9,K548/Summary!$B$9)</f>
        <v/>
      </c>
      <c r="M548" s="11">
        <f>G548+H548</f>
        <v/>
      </c>
      <c r="N548" s="11">
        <f>Summary!$C$16*Summary!$B$8</f>
        <v/>
      </c>
      <c r="O548" s="11">
        <f>M548-N548</f>
        <v/>
      </c>
    </row>
    <row r="549">
      <c r="A549" s="9" t="n">
        <v>45314.79166666666</v>
      </c>
      <c r="B549" t="n">
        <v>1</v>
      </c>
      <c r="C549" t="n">
        <v>23</v>
      </c>
      <c r="D549" t="n">
        <v>19</v>
      </c>
      <c r="E549" s="10" t="n">
        <v>0</v>
      </c>
      <c r="F549" s="10" t="n">
        <v>0.3863204127168991</v>
      </c>
      <c r="G549" s="11">
        <f>E549*Summary!$B$6</f>
        <v/>
      </c>
      <c r="H549" s="11">
        <f>F549*Summary!$B$7</f>
        <v/>
      </c>
      <c r="I549" s="11">
        <f>MAX(0,N549-M549)</f>
        <v/>
      </c>
      <c r="J549" s="11">
        <f>MAX(0,M549-N549)</f>
        <v/>
      </c>
      <c r="K549" s="11">
        <f>O549</f>
        <v/>
      </c>
      <c r="L549" s="11">
        <f>L548+IF(K549&gt;0,K549*Summary!$B$9,K549/Summary!$B$9)</f>
        <v/>
      </c>
      <c r="M549" s="11">
        <f>G549+H549</f>
        <v/>
      </c>
      <c r="N549" s="11">
        <f>Summary!$C$16*Summary!$B$8</f>
        <v/>
      </c>
      <c r="O549" s="11">
        <f>M549-N549</f>
        <v/>
      </c>
    </row>
    <row r="550">
      <c r="A550" s="9" t="n">
        <v>45314.83333333334</v>
      </c>
      <c r="B550" t="n">
        <v>1</v>
      </c>
      <c r="C550" t="n">
        <v>23</v>
      </c>
      <c r="D550" t="n">
        <v>20</v>
      </c>
      <c r="E550" s="10" t="n">
        <v>0</v>
      </c>
      <c r="F550" s="10" t="n">
        <v>0.4216848052043533</v>
      </c>
      <c r="G550" s="11">
        <f>E550*Summary!$B$6</f>
        <v/>
      </c>
      <c r="H550" s="11">
        <f>F550*Summary!$B$7</f>
        <v/>
      </c>
      <c r="I550" s="11">
        <f>MAX(0,N550-M550)</f>
        <v/>
      </c>
      <c r="J550" s="11">
        <f>MAX(0,M550-N550)</f>
        <v/>
      </c>
      <c r="K550" s="11">
        <f>O550</f>
        <v/>
      </c>
      <c r="L550" s="11">
        <f>L549+IF(K550&gt;0,K550*Summary!$B$9,K550/Summary!$B$9)</f>
        <v/>
      </c>
      <c r="M550" s="11">
        <f>G550+H550</f>
        <v/>
      </c>
      <c r="N550" s="11">
        <f>Summary!$C$16*Summary!$B$8</f>
        <v/>
      </c>
      <c r="O550" s="11">
        <f>M550-N550</f>
        <v/>
      </c>
    </row>
    <row r="551">
      <c r="A551" s="9" t="n">
        <v>45314.875</v>
      </c>
      <c r="B551" t="n">
        <v>1</v>
      </c>
      <c r="C551" t="n">
        <v>23</v>
      </c>
      <c r="D551" t="n">
        <v>21</v>
      </c>
      <c r="E551" s="10" t="n">
        <v>0</v>
      </c>
      <c r="F551" s="10" t="n">
        <v>0.4301174472281873</v>
      </c>
      <c r="G551" s="11">
        <f>E551*Summary!$B$6</f>
        <v/>
      </c>
      <c r="H551" s="11">
        <f>F551*Summary!$B$7</f>
        <v/>
      </c>
      <c r="I551" s="11">
        <f>MAX(0,N551-M551)</f>
        <v/>
      </c>
      <c r="J551" s="11">
        <f>MAX(0,M551-N551)</f>
        <v/>
      </c>
      <c r="K551" s="11">
        <f>O551</f>
        <v/>
      </c>
      <c r="L551" s="11">
        <f>L550+IF(K551&gt;0,K551*Summary!$B$9,K551/Summary!$B$9)</f>
        <v/>
      </c>
      <c r="M551" s="11">
        <f>G551+H551</f>
        <v/>
      </c>
      <c r="N551" s="11">
        <f>Summary!$C$16*Summary!$B$8</f>
        <v/>
      </c>
      <c r="O551" s="11">
        <f>M551-N551</f>
        <v/>
      </c>
    </row>
    <row r="552">
      <c r="A552" s="9" t="n">
        <v>45314.91666666666</v>
      </c>
      <c r="B552" t="n">
        <v>1</v>
      </c>
      <c r="C552" t="n">
        <v>23</v>
      </c>
      <c r="D552" t="n">
        <v>22</v>
      </c>
      <c r="E552" s="10" t="n">
        <v>0</v>
      </c>
      <c r="F552" s="10" t="n">
        <v>0.4392615934227824</v>
      </c>
      <c r="G552" s="11">
        <f>E552*Summary!$B$6</f>
        <v/>
      </c>
      <c r="H552" s="11">
        <f>F552*Summary!$B$7</f>
        <v/>
      </c>
      <c r="I552" s="11">
        <f>MAX(0,N552-M552)</f>
        <v/>
      </c>
      <c r="J552" s="11">
        <f>MAX(0,M552-N552)</f>
        <v/>
      </c>
      <c r="K552" s="11">
        <f>O552</f>
        <v/>
      </c>
      <c r="L552" s="11">
        <f>L551+IF(K552&gt;0,K552*Summary!$B$9,K552/Summary!$B$9)</f>
        <v/>
      </c>
      <c r="M552" s="11">
        <f>G552+H552</f>
        <v/>
      </c>
      <c r="N552" s="11">
        <f>Summary!$C$16*Summary!$B$8</f>
        <v/>
      </c>
      <c r="O552" s="11">
        <f>M552-N552</f>
        <v/>
      </c>
    </row>
    <row r="553">
      <c r="A553" s="9" t="n">
        <v>45314.95833333334</v>
      </c>
      <c r="B553" t="n">
        <v>1</v>
      </c>
      <c r="C553" t="n">
        <v>23</v>
      </c>
      <c r="D553" t="n">
        <v>23</v>
      </c>
      <c r="E553" s="10" t="n">
        <v>0</v>
      </c>
      <c r="F553" s="10" t="n">
        <v>0.4500659160158199</v>
      </c>
      <c r="G553" s="11">
        <f>E553*Summary!$B$6</f>
        <v/>
      </c>
      <c r="H553" s="11">
        <f>F553*Summary!$B$7</f>
        <v/>
      </c>
      <c r="I553" s="11">
        <f>MAX(0,N553-M553)</f>
        <v/>
      </c>
      <c r="J553" s="11">
        <f>MAX(0,M553-N553)</f>
        <v/>
      </c>
      <c r="K553" s="11">
        <f>O553</f>
        <v/>
      </c>
      <c r="L553" s="11">
        <f>L552+IF(K553&gt;0,K553*Summary!$B$9,K553/Summary!$B$9)</f>
        <v/>
      </c>
      <c r="M553" s="11">
        <f>G553+H553</f>
        <v/>
      </c>
      <c r="N553" s="11">
        <f>Summary!$C$16*Summary!$B$8</f>
        <v/>
      </c>
      <c r="O553" s="11">
        <f>M553-N553</f>
        <v/>
      </c>
    </row>
    <row r="554">
      <c r="A554" s="9" t="n">
        <v>45315</v>
      </c>
      <c r="B554" t="n">
        <v>1</v>
      </c>
      <c r="C554" t="n">
        <v>24</v>
      </c>
      <c r="D554" t="n">
        <v>0</v>
      </c>
      <c r="E554" s="10" t="n">
        <v>0</v>
      </c>
      <c r="F554" s="10" t="n">
        <v>0.4271923745261699</v>
      </c>
      <c r="G554" s="11">
        <f>E554*Summary!$B$6</f>
        <v/>
      </c>
      <c r="H554" s="11">
        <f>F554*Summary!$B$7</f>
        <v/>
      </c>
      <c r="I554" s="11">
        <f>MAX(0,N554-M554)</f>
        <v/>
      </c>
      <c r="J554" s="11">
        <f>MAX(0,M554-N554)</f>
        <v/>
      </c>
      <c r="K554" s="11">
        <f>O554</f>
        <v/>
      </c>
      <c r="L554" s="11">
        <f>L553+IF(K554&gt;0,K554*Summary!$B$9,K554/Summary!$B$9)</f>
        <v/>
      </c>
      <c r="M554" s="11">
        <f>G554+H554</f>
        <v/>
      </c>
      <c r="N554" s="11">
        <f>Summary!$C$16*Summary!$B$8</f>
        <v/>
      </c>
      <c r="O554" s="11">
        <f>M554-N554</f>
        <v/>
      </c>
    </row>
    <row r="555">
      <c r="A555" s="9" t="n">
        <v>45315.04166666666</v>
      </c>
      <c r="B555" t="n">
        <v>1</v>
      </c>
      <c r="C555" t="n">
        <v>24</v>
      </c>
      <c r="D555" t="n">
        <v>1</v>
      </c>
      <c r="E555" s="10" t="n">
        <v>0</v>
      </c>
      <c r="F555" s="10" t="n">
        <v>0.4771557785173868</v>
      </c>
      <c r="G555" s="11">
        <f>E555*Summary!$B$6</f>
        <v/>
      </c>
      <c r="H555" s="11">
        <f>F555*Summary!$B$7</f>
        <v/>
      </c>
      <c r="I555" s="11">
        <f>MAX(0,N555-M555)</f>
        <v/>
      </c>
      <c r="J555" s="11">
        <f>MAX(0,M555-N555)</f>
        <v/>
      </c>
      <c r="K555" s="11">
        <f>O555</f>
        <v/>
      </c>
      <c r="L555" s="11">
        <f>L554+IF(K555&gt;0,K555*Summary!$B$9,K555/Summary!$B$9)</f>
        <v/>
      </c>
      <c r="M555" s="11">
        <f>G555+H555</f>
        <v/>
      </c>
      <c r="N555" s="11">
        <f>Summary!$C$16*Summary!$B$8</f>
        <v/>
      </c>
      <c r="O555" s="11">
        <f>M555-N555</f>
        <v/>
      </c>
    </row>
    <row r="556">
      <c r="A556" s="9" t="n">
        <v>45315.08333333334</v>
      </c>
      <c r="B556" t="n">
        <v>1</v>
      </c>
      <c r="C556" t="n">
        <v>24</v>
      </c>
      <c r="D556" t="n">
        <v>2</v>
      </c>
      <c r="E556" s="10" t="n">
        <v>0</v>
      </c>
      <c r="F556" s="10" t="n">
        <v>0.4872485969396633</v>
      </c>
      <c r="G556" s="11">
        <f>E556*Summary!$B$6</f>
        <v/>
      </c>
      <c r="H556" s="11">
        <f>F556*Summary!$B$7</f>
        <v/>
      </c>
      <c r="I556" s="11">
        <f>MAX(0,N556-M556)</f>
        <v/>
      </c>
      <c r="J556" s="11">
        <f>MAX(0,M556-N556)</f>
        <v/>
      </c>
      <c r="K556" s="11">
        <f>O556</f>
        <v/>
      </c>
      <c r="L556" s="11">
        <f>L555+IF(K556&gt;0,K556*Summary!$B$9,K556/Summary!$B$9)</f>
        <v/>
      </c>
      <c r="M556" s="11">
        <f>G556+H556</f>
        <v/>
      </c>
      <c r="N556" s="11">
        <f>Summary!$C$16*Summary!$B$8</f>
        <v/>
      </c>
      <c r="O556" s="11">
        <f>M556-N556</f>
        <v/>
      </c>
    </row>
    <row r="557">
      <c r="A557" s="9" t="n">
        <v>45315.125</v>
      </c>
      <c r="B557" t="n">
        <v>1</v>
      </c>
      <c r="C557" t="n">
        <v>24</v>
      </c>
      <c r="D557" t="n">
        <v>3</v>
      </c>
      <c r="E557" s="10" t="n">
        <v>0</v>
      </c>
      <c r="F557" s="10" t="n">
        <v>0.4895412214898932</v>
      </c>
      <c r="G557" s="11">
        <f>E557*Summary!$B$6</f>
        <v/>
      </c>
      <c r="H557" s="11">
        <f>F557*Summary!$B$7</f>
        <v/>
      </c>
      <c r="I557" s="11">
        <f>MAX(0,N557-M557)</f>
        <v/>
      </c>
      <c r="J557" s="11">
        <f>MAX(0,M557-N557)</f>
        <v/>
      </c>
      <c r="K557" s="11">
        <f>O557</f>
        <v/>
      </c>
      <c r="L557" s="11">
        <f>L556+IF(K557&gt;0,K557*Summary!$B$9,K557/Summary!$B$9)</f>
        <v/>
      </c>
      <c r="M557" s="11">
        <f>G557+H557</f>
        <v/>
      </c>
      <c r="N557" s="11">
        <f>Summary!$C$16*Summary!$B$8</f>
        <v/>
      </c>
      <c r="O557" s="11">
        <f>M557-N557</f>
        <v/>
      </c>
    </row>
    <row r="558">
      <c r="A558" s="9" t="n">
        <v>45315.16666666666</v>
      </c>
      <c r="B558" t="n">
        <v>1</v>
      </c>
      <c r="C558" t="n">
        <v>24</v>
      </c>
      <c r="D558" t="n">
        <v>4</v>
      </c>
      <c r="E558" s="10" t="n">
        <v>0</v>
      </c>
      <c r="F558" s="10" t="n">
        <v>0.4890141813634035</v>
      </c>
      <c r="G558" s="11">
        <f>E558*Summary!$B$6</f>
        <v/>
      </c>
      <c r="H558" s="11">
        <f>F558*Summary!$B$7</f>
        <v/>
      </c>
      <c r="I558" s="11">
        <f>MAX(0,N558-M558)</f>
        <v/>
      </c>
      <c r="J558" s="11">
        <f>MAX(0,M558-N558)</f>
        <v/>
      </c>
      <c r="K558" s="11">
        <f>O558</f>
        <v/>
      </c>
      <c r="L558" s="11">
        <f>L557+IF(K558&gt;0,K558*Summary!$B$9,K558/Summary!$B$9)</f>
        <v/>
      </c>
      <c r="M558" s="11">
        <f>G558+H558</f>
        <v/>
      </c>
      <c r="N558" s="11">
        <f>Summary!$C$16*Summary!$B$8</f>
        <v/>
      </c>
      <c r="O558" s="11">
        <f>M558-N558</f>
        <v/>
      </c>
    </row>
    <row r="559">
      <c r="A559" s="9" t="n">
        <v>45315.20833333334</v>
      </c>
      <c r="B559" t="n">
        <v>1</v>
      </c>
      <c r="C559" t="n">
        <v>24</v>
      </c>
      <c r="D559" t="n">
        <v>5</v>
      </c>
      <c r="E559" s="10" t="n">
        <v>0</v>
      </c>
      <c r="F559" s="10" t="n">
        <v>0.4866688528005247</v>
      </c>
      <c r="G559" s="11">
        <f>E559*Summary!$B$6</f>
        <v/>
      </c>
      <c r="H559" s="11">
        <f>F559*Summary!$B$7</f>
        <v/>
      </c>
      <c r="I559" s="11">
        <f>MAX(0,N559-M559)</f>
        <v/>
      </c>
      <c r="J559" s="11">
        <f>MAX(0,M559-N559)</f>
        <v/>
      </c>
      <c r="K559" s="11">
        <f>O559</f>
        <v/>
      </c>
      <c r="L559" s="11">
        <f>L558+IF(K559&gt;0,K559*Summary!$B$9,K559/Summary!$B$9)</f>
        <v/>
      </c>
      <c r="M559" s="11">
        <f>G559+H559</f>
        <v/>
      </c>
      <c r="N559" s="11">
        <f>Summary!$C$16*Summary!$B$8</f>
        <v/>
      </c>
      <c r="O559" s="11">
        <f>M559-N559</f>
        <v/>
      </c>
    </row>
    <row r="560">
      <c r="A560" s="9" t="n">
        <v>45315.25</v>
      </c>
      <c r="B560" t="n">
        <v>1</v>
      </c>
      <c r="C560" t="n">
        <v>24</v>
      </c>
      <c r="D560" t="n">
        <v>6</v>
      </c>
      <c r="E560" s="10" t="n">
        <v>0</v>
      </c>
      <c r="F560" s="10" t="n">
        <v>0.478367970808313</v>
      </c>
      <c r="G560" s="11">
        <f>E560*Summary!$B$6</f>
        <v/>
      </c>
      <c r="H560" s="11">
        <f>F560*Summary!$B$7</f>
        <v/>
      </c>
      <c r="I560" s="11">
        <f>MAX(0,N560-M560)</f>
        <v/>
      </c>
      <c r="J560" s="11">
        <f>MAX(0,M560-N560)</f>
        <v/>
      </c>
      <c r="K560" s="11">
        <f>O560</f>
        <v/>
      </c>
      <c r="L560" s="11">
        <f>L559+IF(K560&gt;0,K560*Summary!$B$9,K560/Summary!$B$9)</f>
        <v/>
      </c>
      <c r="M560" s="11">
        <f>G560+H560</f>
        <v/>
      </c>
      <c r="N560" s="11">
        <f>Summary!$C$16*Summary!$B$8</f>
        <v/>
      </c>
      <c r="O560" s="11">
        <f>M560-N560</f>
        <v/>
      </c>
    </row>
    <row r="561">
      <c r="A561" s="9" t="n">
        <v>45315.29166666666</v>
      </c>
      <c r="B561" t="n">
        <v>1</v>
      </c>
      <c r="C561" t="n">
        <v>24</v>
      </c>
      <c r="D561" t="n">
        <v>7</v>
      </c>
      <c r="E561" s="10" t="n">
        <v>0</v>
      </c>
      <c r="F561" s="10" t="n">
        <v>0.4652710236650457</v>
      </c>
      <c r="G561" s="11">
        <f>E561*Summary!$B$6</f>
        <v/>
      </c>
      <c r="H561" s="11">
        <f>F561*Summary!$B$7</f>
        <v/>
      </c>
      <c r="I561" s="11">
        <f>MAX(0,N561-M561)</f>
        <v/>
      </c>
      <c r="J561" s="11">
        <f>MAX(0,M561-N561)</f>
        <v/>
      </c>
      <c r="K561" s="11">
        <f>O561</f>
        <v/>
      </c>
      <c r="L561" s="11">
        <f>L560+IF(K561&gt;0,K561*Summary!$B$9,K561/Summary!$B$9)</f>
        <v/>
      </c>
      <c r="M561" s="11">
        <f>G561+H561</f>
        <v/>
      </c>
      <c r="N561" s="11">
        <f>Summary!$C$16*Summary!$B$8</f>
        <v/>
      </c>
      <c r="O561" s="11">
        <f>M561-N561</f>
        <v/>
      </c>
    </row>
    <row r="562">
      <c r="A562" s="9" t="n">
        <v>45315.33333333334</v>
      </c>
      <c r="B562" t="n">
        <v>1</v>
      </c>
      <c r="C562" t="n">
        <v>24</v>
      </c>
      <c r="D562" t="n">
        <v>8</v>
      </c>
      <c r="E562" s="10" t="n">
        <v>0</v>
      </c>
      <c r="F562" s="10" t="n">
        <v>0.4700934408224258</v>
      </c>
      <c r="G562" s="11">
        <f>E562*Summary!$B$6</f>
        <v/>
      </c>
      <c r="H562" s="11">
        <f>F562*Summary!$B$7</f>
        <v/>
      </c>
      <c r="I562" s="11">
        <f>MAX(0,N562-M562)</f>
        <v/>
      </c>
      <c r="J562" s="11">
        <f>MAX(0,M562-N562)</f>
        <v/>
      </c>
      <c r="K562" s="11">
        <f>O562</f>
        <v/>
      </c>
      <c r="L562" s="11">
        <f>L561+IF(K562&gt;0,K562*Summary!$B$9,K562/Summary!$B$9)</f>
        <v/>
      </c>
      <c r="M562" s="11">
        <f>G562+H562</f>
        <v/>
      </c>
      <c r="N562" s="11">
        <f>Summary!$C$16*Summary!$B$8</f>
        <v/>
      </c>
      <c r="O562" s="11">
        <f>M562-N562</f>
        <v/>
      </c>
    </row>
    <row r="563">
      <c r="A563" s="9" t="n">
        <v>45315.375</v>
      </c>
      <c r="B563" t="n">
        <v>1</v>
      </c>
      <c r="C563" t="n">
        <v>24</v>
      </c>
      <c r="D563" t="n">
        <v>9</v>
      </c>
      <c r="E563" s="10" t="n">
        <v>0.011193</v>
      </c>
      <c r="F563" s="10" t="n">
        <v>0.43989404157457</v>
      </c>
      <c r="G563" s="11">
        <f>E563*Summary!$B$6</f>
        <v/>
      </c>
      <c r="H563" s="11">
        <f>F563*Summary!$B$7</f>
        <v/>
      </c>
      <c r="I563" s="11">
        <f>MAX(0,N563-M563)</f>
        <v/>
      </c>
      <c r="J563" s="11">
        <f>MAX(0,M563-N563)</f>
        <v/>
      </c>
      <c r="K563" s="11">
        <f>O563</f>
        <v/>
      </c>
      <c r="L563" s="11">
        <f>L562+IF(K563&gt;0,K563*Summary!$B$9,K563/Summary!$B$9)</f>
        <v/>
      </c>
      <c r="M563" s="11">
        <f>G563+H563</f>
        <v/>
      </c>
      <c r="N563" s="11">
        <f>Summary!$C$16*Summary!$B$8</f>
        <v/>
      </c>
      <c r="O563" s="11">
        <f>M563-N563</f>
        <v/>
      </c>
    </row>
    <row r="564">
      <c r="A564" s="9" t="n">
        <v>45315.41666666666</v>
      </c>
      <c r="B564" t="n">
        <v>1</v>
      </c>
      <c r="C564" t="n">
        <v>24</v>
      </c>
      <c r="D564" t="n">
        <v>10</v>
      </c>
      <c r="E564" s="10" t="n">
        <v>0.024367</v>
      </c>
      <c r="F564" s="10" t="n">
        <v>0.4288261989182878</v>
      </c>
      <c r="G564" s="11">
        <f>E564*Summary!$B$6</f>
        <v/>
      </c>
      <c r="H564" s="11">
        <f>F564*Summary!$B$7</f>
        <v/>
      </c>
      <c r="I564" s="11">
        <f>MAX(0,N564-M564)</f>
        <v/>
      </c>
      <c r="J564" s="11">
        <f>MAX(0,M564-N564)</f>
        <v/>
      </c>
      <c r="K564" s="11">
        <f>O564</f>
        <v/>
      </c>
      <c r="L564" s="11">
        <f>L563+IF(K564&gt;0,K564*Summary!$B$9,K564/Summary!$B$9)</f>
        <v/>
      </c>
      <c r="M564" s="11">
        <f>G564+H564</f>
        <v/>
      </c>
      <c r="N564" s="11">
        <f>Summary!$C$16*Summary!$B$8</f>
        <v/>
      </c>
      <c r="O564" s="11">
        <f>M564-N564</f>
        <v/>
      </c>
    </row>
    <row r="565">
      <c r="A565" s="9" t="n">
        <v>45315.45833333334</v>
      </c>
      <c r="B565" t="n">
        <v>1</v>
      </c>
      <c r="C565" t="n">
        <v>24</v>
      </c>
      <c r="D565" t="n">
        <v>11</v>
      </c>
      <c r="E565" s="10" t="n">
        <v>0.025378</v>
      </c>
      <c r="F565" s="10" t="n">
        <v>0.4172313161355159</v>
      </c>
      <c r="G565" s="11">
        <f>E565*Summary!$B$6</f>
        <v/>
      </c>
      <c r="H565" s="11">
        <f>F565*Summary!$B$7</f>
        <v/>
      </c>
      <c r="I565" s="11">
        <f>MAX(0,N565-M565)</f>
        <v/>
      </c>
      <c r="J565" s="11">
        <f>MAX(0,M565-N565)</f>
        <v/>
      </c>
      <c r="K565" s="11">
        <f>O565</f>
        <v/>
      </c>
      <c r="L565" s="11">
        <f>L564+IF(K565&gt;0,K565*Summary!$B$9,K565/Summary!$B$9)</f>
        <v/>
      </c>
      <c r="M565" s="11">
        <f>G565+H565</f>
        <v/>
      </c>
      <c r="N565" s="11">
        <f>Summary!$C$16*Summary!$B$8</f>
        <v/>
      </c>
      <c r="O565" s="11">
        <f>M565-N565</f>
        <v/>
      </c>
    </row>
    <row r="566">
      <c r="A566" s="9" t="n">
        <v>45315.5</v>
      </c>
      <c r="B566" t="n">
        <v>1</v>
      </c>
      <c r="C566" t="n">
        <v>24</v>
      </c>
      <c r="D566" t="n">
        <v>12</v>
      </c>
      <c r="E566" s="10" t="n">
        <v>0.01265</v>
      </c>
      <c r="F566" s="10" t="n">
        <v>0.4074547217891332</v>
      </c>
      <c r="G566" s="11">
        <f>E566*Summary!$B$6</f>
        <v/>
      </c>
      <c r="H566" s="11">
        <f>F566*Summary!$B$7</f>
        <v/>
      </c>
      <c r="I566" s="11">
        <f>MAX(0,N566-M566)</f>
        <v/>
      </c>
      <c r="J566" s="11">
        <f>MAX(0,M566-N566)</f>
        <v/>
      </c>
      <c r="K566" s="11">
        <f>O566</f>
        <v/>
      </c>
      <c r="L566" s="11">
        <f>L565+IF(K566&gt;0,K566*Summary!$B$9,K566/Summary!$B$9)</f>
        <v/>
      </c>
      <c r="M566" s="11">
        <f>G566+H566</f>
        <v/>
      </c>
      <c r="N566" s="11">
        <f>Summary!$C$16*Summary!$B$8</f>
        <v/>
      </c>
      <c r="O566" s="11">
        <f>M566-N566</f>
        <v/>
      </c>
    </row>
    <row r="567">
      <c r="A567" s="9" t="n">
        <v>45315.54166666666</v>
      </c>
      <c r="B567" t="n">
        <v>1</v>
      </c>
      <c r="C567" t="n">
        <v>24</v>
      </c>
      <c r="D567" t="n">
        <v>13</v>
      </c>
      <c r="E567" s="10" t="n">
        <v>0.032072</v>
      </c>
      <c r="F567" s="10" t="n">
        <v>0.4022370245368859</v>
      </c>
      <c r="G567" s="11">
        <f>E567*Summary!$B$6</f>
        <v/>
      </c>
      <c r="H567" s="11">
        <f>F567*Summary!$B$7</f>
        <v/>
      </c>
      <c r="I567" s="11">
        <f>MAX(0,N567-M567)</f>
        <v/>
      </c>
      <c r="J567" s="11">
        <f>MAX(0,M567-N567)</f>
        <v/>
      </c>
      <c r="K567" s="11">
        <f>O567</f>
        <v/>
      </c>
      <c r="L567" s="11">
        <f>L566+IF(K567&gt;0,K567*Summary!$B$9,K567/Summary!$B$9)</f>
        <v/>
      </c>
      <c r="M567" s="11">
        <f>G567+H567</f>
        <v/>
      </c>
      <c r="N567" s="11">
        <f>Summary!$C$16*Summary!$B$8</f>
        <v/>
      </c>
      <c r="O567" s="11">
        <f>M567-N567</f>
        <v/>
      </c>
    </row>
    <row r="568">
      <c r="A568" s="9" t="n">
        <v>45315.58333333334</v>
      </c>
      <c r="B568" t="n">
        <v>1</v>
      </c>
      <c r="C568" t="n">
        <v>24</v>
      </c>
      <c r="D568" t="n">
        <v>14</v>
      </c>
      <c r="E568" s="10" t="n">
        <v>0.014618</v>
      </c>
      <c r="F568" s="10" t="n">
        <v>0.4033174567961896</v>
      </c>
      <c r="G568" s="11">
        <f>E568*Summary!$B$6</f>
        <v/>
      </c>
      <c r="H568" s="11">
        <f>F568*Summary!$B$7</f>
        <v/>
      </c>
      <c r="I568" s="11">
        <f>MAX(0,N568-M568)</f>
        <v/>
      </c>
      <c r="J568" s="11">
        <f>MAX(0,M568-N568)</f>
        <v/>
      </c>
      <c r="K568" s="11">
        <f>O568</f>
        <v/>
      </c>
      <c r="L568" s="11">
        <f>L567+IF(K568&gt;0,K568*Summary!$B$9,K568/Summary!$B$9)</f>
        <v/>
      </c>
      <c r="M568" s="11">
        <f>G568+H568</f>
        <v/>
      </c>
      <c r="N568" s="11">
        <f>Summary!$C$16*Summary!$B$8</f>
        <v/>
      </c>
      <c r="O568" s="11">
        <f>M568-N568</f>
        <v/>
      </c>
    </row>
    <row r="569">
      <c r="A569" s="9" t="n">
        <v>45315.625</v>
      </c>
      <c r="B569" t="n">
        <v>1</v>
      </c>
      <c r="C569" t="n">
        <v>24</v>
      </c>
      <c r="D569" t="n">
        <v>15</v>
      </c>
      <c r="E569" s="10" t="n">
        <v>0.004703</v>
      </c>
      <c r="F569" s="10" t="n">
        <v>0.4105906105417465</v>
      </c>
      <c r="G569" s="11">
        <f>E569*Summary!$B$6</f>
        <v/>
      </c>
      <c r="H569" s="11">
        <f>F569*Summary!$B$7</f>
        <v/>
      </c>
      <c r="I569" s="11">
        <f>MAX(0,N569-M569)</f>
        <v/>
      </c>
      <c r="J569" s="11">
        <f>MAX(0,M569-N569)</f>
        <v/>
      </c>
      <c r="K569" s="11">
        <f>O569</f>
        <v/>
      </c>
      <c r="L569" s="11">
        <f>L568+IF(K569&gt;0,K569*Summary!$B$9,K569/Summary!$B$9)</f>
        <v/>
      </c>
      <c r="M569" s="11">
        <f>G569+H569</f>
        <v/>
      </c>
      <c r="N569" s="11">
        <f>Summary!$C$16*Summary!$B$8</f>
        <v/>
      </c>
      <c r="O569" s="11">
        <f>M569-N569</f>
        <v/>
      </c>
    </row>
    <row r="570">
      <c r="A570" s="9" t="n">
        <v>45315.66666666666</v>
      </c>
      <c r="B570" t="n">
        <v>1</v>
      </c>
      <c r="C570" t="n">
        <v>24</v>
      </c>
      <c r="D570" t="n">
        <v>16</v>
      </c>
      <c r="E570" s="10" t="n">
        <v>0</v>
      </c>
      <c r="F570" s="10" t="n">
        <v>0.4222645493434918</v>
      </c>
      <c r="G570" s="11">
        <f>E570*Summary!$B$6</f>
        <v/>
      </c>
      <c r="H570" s="11">
        <f>F570*Summary!$B$7</f>
        <v/>
      </c>
      <c r="I570" s="11">
        <f>MAX(0,N570-M570)</f>
        <v/>
      </c>
      <c r="J570" s="11">
        <f>MAX(0,M570-N570)</f>
        <v/>
      </c>
      <c r="K570" s="11">
        <f>O570</f>
        <v/>
      </c>
      <c r="L570" s="11">
        <f>L569+IF(K570&gt;0,K570*Summary!$B$9,K570/Summary!$B$9)</f>
        <v/>
      </c>
      <c r="M570" s="11">
        <f>G570+H570</f>
        <v/>
      </c>
      <c r="N570" s="11">
        <f>Summary!$C$16*Summary!$B$8</f>
        <v/>
      </c>
      <c r="O570" s="11">
        <f>M570-N570</f>
        <v/>
      </c>
    </row>
    <row r="571">
      <c r="A571" s="9" t="n">
        <v>45315.70833333334</v>
      </c>
      <c r="B571" t="n">
        <v>1</v>
      </c>
      <c r="C571" t="n">
        <v>24</v>
      </c>
      <c r="D571" t="n">
        <v>17</v>
      </c>
      <c r="E571" s="10" t="n">
        <v>0</v>
      </c>
      <c r="F571" s="10" t="n">
        <v>0.4326472398353375</v>
      </c>
      <c r="G571" s="11">
        <f>E571*Summary!$B$6</f>
        <v/>
      </c>
      <c r="H571" s="11">
        <f>F571*Summary!$B$7</f>
        <v/>
      </c>
      <c r="I571" s="11">
        <f>MAX(0,N571-M571)</f>
        <v/>
      </c>
      <c r="J571" s="11">
        <f>MAX(0,M571-N571)</f>
        <v/>
      </c>
      <c r="K571" s="11">
        <f>O571</f>
        <v/>
      </c>
      <c r="L571" s="11">
        <f>L570+IF(K571&gt;0,K571*Summary!$B$9,K571/Summary!$B$9)</f>
        <v/>
      </c>
      <c r="M571" s="11">
        <f>G571+H571</f>
        <v/>
      </c>
      <c r="N571" s="11">
        <f>Summary!$C$16*Summary!$B$8</f>
        <v/>
      </c>
      <c r="O571" s="11">
        <f>M571-N571</f>
        <v/>
      </c>
    </row>
    <row r="572">
      <c r="A572" s="9" t="n">
        <v>45315.75</v>
      </c>
      <c r="B572" t="n">
        <v>1</v>
      </c>
      <c r="C572" t="n">
        <v>24</v>
      </c>
      <c r="D572" t="n">
        <v>18</v>
      </c>
      <c r="E572" s="10" t="n">
        <v>0</v>
      </c>
      <c r="F572" s="10" t="n">
        <v>0.4216321011917043</v>
      </c>
      <c r="G572" s="11">
        <f>E572*Summary!$B$6</f>
        <v/>
      </c>
      <c r="H572" s="11">
        <f>F572*Summary!$B$7</f>
        <v/>
      </c>
      <c r="I572" s="11">
        <f>MAX(0,N572-M572)</f>
        <v/>
      </c>
      <c r="J572" s="11">
        <f>MAX(0,M572-N572)</f>
        <v/>
      </c>
      <c r="K572" s="11">
        <f>O572</f>
        <v/>
      </c>
      <c r="L572" s="11">
        <f>L571+IF(K572&gt;0,K572*Summary!$B$9,K572/Summary!$B$9)</f>
        <v/>
      </c>
      <c r="M572" s="11">
        <f>G572+H572</f>
        <v/>
      </c>
      <c r="N572" s="11">
        <f>Summary!$C$16*Summary!$B$8</f>
        <v/>
      </c>
      <c r="O572" s="11">
        <f>M572-N572</f>
        <v/>
      </c>
    </row>
    <row r="573">
      <c r="A573" s="9" t="n">
        <v>45315.79166666666</v>
      </c>
      <c r="B573" t="n">
        <v>1</v>
      </c>
      <c r="C573" t="n">
        <v>24</v>
      </c>
      <c r="D573" t="n">
        <v>19</v>
      </c>
      <c r="E573" s="10" t="n">
        <v>0</v>
      </c>
      <c r="F573" s="10" t="n">
        <v>0.4469036752568821</v>
      </c>
      <c r="G573" s="11">
        <f>E573*Summary!$B$6</f>
        <v/>
      </c>
      <c r="H573" s="11">
        <f>F573*Summary!$B$7</f>
        <v/>
      </c>
      <c r="I573" s="11">
        <f>MAX(0,N573-M573)</f>
        <v/>
      </c>
      <c r="J573" s="11">
        <f>MAX(0,M573-N573)</f>
        <v/>
      </c>
      <c r="K573" s="11">
        <f>O573</f>
        <v/>
      </c>
      <c r="L573" s="11">
        <f>L572+IF(K573&gt;0,K573*Summary!$B$9,K573/Summary!$B$9)</f>
        <v/>
      </c>
      <c r="M573" s="11">
        <f>G573+H573</f>
        <v/>
      </c>
      <c r="N573" s="11">
        <f>Summary!$C$16*Summary!$B$8</f>
        <v/>
      </c>
      <c r="O573" s="11">
        <f>M573-N573</f>
        <v/>
      </c>
    </row>
    <row r="574">
      <c r="A574" s="9" t="n">
        <v>45315.83333333334</v>
      </c>
      <c r="B574" t="n">
        <v>1</v>
      </c>
      <c r="C574" t="n">
        <v>24</v>
      </c>
      <c r="D574" t="n">
        <v>20</v>
      </c>
      <c r="E574" s="10" t="n">
        <v>0</v>
      </c>
      <c r="F574" s="10" t="n">
        <v>0.4475361234086696</v>
      </c>
      <c r="G574" s="11">
        <f>E574*Summary!$B$6</f>
        <v/>
      </c>
      <c r="H574" s="11">
        <f>F574*Summary!$B$7</f>
        <v/>
      </c>
      <c r="I574" s="11">
        <f>MAX(0,N574-M574)</f>
        <v/>
      </c>
      <c r="J574" s="11">
        <f>MAX(0,M574-N574)</f>
        <v/>
      </c>
      <c r="K574" s="11">
        <f>O574</f>
        <v/>
      </c>
      <c r="L574" s="11">
        <f>L573+IF(K574&gt;0,K574*Summary!$B$9,K574/Summary!$B$9)</f>
        <v/>
      </c>
      <c r="M574" s="11">
        <f>G574+H574</f>
        <v/>
      </c>
      <c r="N574" s="11">
        <f>Summary!$C$16*Summary!$B$8</f>
        <v/>
      </c>
      <c r="O574" s="11">
        <f>M574-N574</f>
        <v/>
      </c>
    </row>
    <row r="575">
      <c r="A575" s="9" t="n">
        <v>45315.875</v>
      </c>
      <c r="B575" t="n">
        <v>1</v>
      </c>
      <c r="C575" t="n">
        <v>24</v>
      </c>
      <c r="D575" t="n">
        <v>21</v>
      </c>
      <c r="E575" s="10" t="n">
        <v>0</v>
      </c>
      <c r="F575" s="10" t="n">
        <v>0.4423447781627468</v>
      </c>
      <c r="G575" s="11">
        <f>E575*Summary!$B$6</f>
        <v/>
      </c>
      <c r="H575" s="11">
        <f>F575*Summary!$B$7</f>
        <v/>
      </c>
      <c r="I575" s="11">
        <f>MAX(0,N575-M575)</f>
        <v/>
      </c>
      <c r="J575" s="11">
        <f>MAX(0,M575-N575)</f>
        <v/>
      </c>
      <c r="K575" s="11">
        <f>O575</f>
        <v/>
      </c>
      <c r="L575" s="11">
        <f>L574+IF(K575&gt;0,K575*Summary!$B$9,K575/Summary!$B$9)</f>
        <v/>
      </c>
      <c r="M575" s="11">
        <f>G575+H575</f>
        <v/>
      </c>
      <c r="N575" s="11">
        <f>Summary!$C$16*Summary!$B$8</f>
        <v/>
      </c>
      <c r="O575" s="11">
        <f>M575-N575</f>
        <v/>
      </c>
    </row>
    <row r="576">
      <c r="A576" s="9" t="n">
        <v>45315.91666666666</v>
      </c>
      <c r="B576" t="n">
        <v>1</v>
      </c>
      <c r="C576" t="n">
        <v>24</v>
      </c>
      <c r="D576" t="n">
        <v>22</v>
      </c>
      <c r="E576" s="10" t="n">
        <v>0</v>
      </c>
      <c r="F576" s="10" t="n">
        <v>0.4352560884614612</v>
      </c>
      <c r="G576" s="11">
        <f>E576*Summary!$B$6</f>
        <v/>
      </c>
      <c r="H576" s="11">
        <f>F576*Summary!$B$7</f>
        <v/>
      </c>
      <c r="I576" s="11">
        <f>MAX(0,N576-M576)</f>
        <v/>
      </c>
      <c r="J576" s="11">
        <f>MAX(0,M576-N576)</f>
        <v/>
      </c>
      <c r="K576" s="11">
        <f>O576</f>
        <v/>
      </c>
      <c r="L576" s="11">
        <f>L575+IF(K576&gt;0,K576*Summary!$B$9,K576/Summary!$B$9)</f>
        <v/>
      </c>
      <c r="M576" s="11">
        <f>G576+H576</f>
        <v/>
      </c>
      <c r="N576" s="11">
        <f>Summary!$C$16*Summary!$B$8</f>
        <v/>
      </c>
      <c r="O576" s="11">
        <f>M576-N576</f>
        <v/>
      </c>
    </row>
    <row r="577">
      <c r="A577" s="9" t="n">
        <v>45315.95833333334</v>
      </c>
      <c r="B577" t="n">
        <v>1</v>
      </c>
      <c r="C577" t="n">
        <v>24</v>
      </c>
      <c r="D577" t="n">
        <v>23</v>
      </c>
      <c r="E577" s="10" t="n">
        <v>0</v>
      </c>
      <c r="F577" s="10" t="n">
        <v>0.4314877515570604</v>
      </c>
      <c r="G577" s="11">
        <f>E577*Summary!$B$6</f>
        <v/>
      </c>
      <c r="H577" s="11">
        <f>F577*Summary!$B$7</f>
        <v/>
      </c>
      <c r="I577" s="11">
        <f>MAX(0,N577-M577)</f>
        <v/>
      </c>
      <c r="J577" s="11">
        <f>MAX(0,M577-N577)</f>
        <v/>
      </c>
      <c r="K577" s="11">
        <f>O577</f>
        <v/>
      </c>
      <c r="L577" s="11">
        <f>L576+IF(K577&gt;0,K577*Summary!$B$9,K577/Summary!$B$9)</f>
        <v/>
      </c>
      <c r="M577" s="11">
        <f>G577+H577</f>
        <v/>
      </c>
      <c r="N577" s="11">
        <f>Summary!$C$16*Summary!$B$8</f>
        <v/>
      </c>
      <c r="O577" s="11">
        <f>M577-N577</f>
        <v/>
      </c>
    </row>
    <row r="578">
      <c r="A578" s="9" t="n">
        <v>45316</v>
      </c>
      <c r="B578" t="n">
        <v>1</v>
      </c>
      <c r="C578" t="n">
        <v>25</v>
      </c>
      <c r="D578" t="n">
        <v>0</v>
      </c>
      <c r="E578" s="10" t="n">
        <v>0</v>
      </c>
      <c r="F578" s="10" t="n">
        <v>0.4248206939569666</v>
      </c>
      <c r="G578" s="11">
        <f>E578*Summary!$B$6</f>
        <v/>
      </c>
      <c r="H578" s="11">
        <f>F578*Summary!$B$7</f>
        <v/>
      </c>
      <c r="I578" s="11">
        <f>MAX(0,N578-M578)</f>
        <v/>
      </c>
      <c r="J578" s="11">
        <f>MAX(0,M578-N578)</f>
        <v/>
      </c>
      <c r="K578" s="11">
        <f>O578</f>
        <v/>
      </c>
      <c r="L578" s="11">
        <f>L577+IF(K578&gt;0,K578*Summary!$B$9,K578/Summary!$B$9)</f>
        <v/>
      </c>
      <c r="M578" s="11">
        <f>G578+H578</f>
        <v/>
      </c>
      <c r="N578" s="11">
        <f>Summary!$C$16*Summary!$B$8</f>
        <v/>
      </c>
      <c r="O578" s="11">
        <f>M578-N578</f>
        <v/>
      </c>
    </row>
    <row r="579">
      <c r="A579" s="9" t="n">
        <v>45316.04166666666</v>
      </c>
      <c r="B579" t="n">
        <v>1</v>
      </c>
      <c r="C579" t="n">
        <v>25</v>
      </c>
      <c r="D579" t="n">
        <v>1</v>
      </c>
      <c r="E579" s="10" t="n">
        <v>0</v>
      </c>
      <c r="F579" s="10" t="n">
        <v>0.4261909982858396</v>
      </c>
      <c r="G579" s="11">
        <f>E579*Summary!$B$6</f>
        <v/>
      </c>
      <c r="H579" s="11">
        <f>F579*Summary!$B$7</f>
        <v/>
      </c>
      <c r="I579" s="11">
        <f>MAX(0,N579-M579)</f>
        <v/>
      </c>
      <c r="J579" s="11">
        <f>MAX(0,M579-N579)</f>
        <v/>
      </c>
      <c r="K579" s="11">
        <f>O579</f>
        <v/>
      </c>
      <c r="L579" s="11">
        <f>L578+IF(K579&gt;0,K579*Summary!$B$9,K579/Summary!$B$9)</f>
        <v/>
      </c>
      <c r="M579" s="11">
        <f>G579+H579</f>
        <v/>
      </c>
      <c r="N579" s="11">
        <f>Summary!$C$16*Summary!$B$8</f>
        <v/>
      </c>
      <c r="O579" s="11">
        <f>M579-N579</f>
        <v/>
      </c>
    </row>
    <row r="580">
      <c r="A580" s="9" t="n">
        <v>45316.08333333334</v>
      </c>
      <c r="B580" t="n">
        <v>1</v>
      </c>
      <c r="C580" t="n">
        <v>25</v>
      </c>
      <c r="D580" t="n">
        <v>2</v>
      </c>
      <c r="E580" s="10" t="n">
        <v>0</v>
      </c>
      <c r="F580" s="10" t="n">
        <v>0.4198401647616395</v>
      </c>
      <c r="G580" s="11">
        <f>E580*Summary!$B$6</f>
        <v/>
      </c>
      <c r="H580" s="11">
        <f>F580*Summary!$B$7</f>
        <v/>
      </c>
      <c r="I580" s="11">
        <f>MAX(0,N580-M580)</f>
        <v/>
      </c>
      <c r="J580" s="11">
        <f>MAX(0,M580-N580)</f>
        <v/>
      </c>
      <c r="K580" s="11">
        <f>O580</f>
        <v/>
      </c>
      <c r="L580" s="11">
        <f>L579+IF(K580&gt;0,K580*Summary!$B$9,K580/Summary!$B$9)</f>
        <v/>
      </c>
      <c r="M580" s="11">
        <f>G580+H580</f>
        <v/>
      </c>
      <c r="N580" s="11">
        <f>Summary!$C$16*Summary!$B$8</f>
        <v/>
      </c>
      <c r="O580" s="11">
        <f>M580-N580</f>
        <v/>
      </c>
    </row>
    <row r="581">
      <c r="A581" s="9" t="n">
        <v>45316.125</v>
      </c>
      <c r="B581" t="n">
        <v>1</v>
      </c>
      <c r="C581" t="n">
        <v>25</v>
      </c>
      <c r="D581" t="n">
        <v>3</v>
      </c>
      <c r="E581" s="10" t="n">
        <v>0</v>
      </c>
      <c r="F581" s="10" t="n">
        <v>0.4177056522493565</v>
      </c>
      <c r="G581" s="11">
        <f>E581*Summary!$B$6</f>
        <v/>
      </c>
      <c r="H581" s="11">
        <f>F581*Summary!$B$7</f>
        <v/>
      </c>
      <c r="I581" s="11">
        <f>MAX(0,N581-M581)</f>
        <v/>
      </c>
      <c r="J581" s="11">
        <f>MAX(0,M581-N581)</f>
        <v/>
      </c>
      <c r="K581" s="11">
        <f>O581</f>
        <v/>
      </c>
      <c r="L581" s="11">
        <f>L580+IF(K581&gt;0,K581*Summary!$B$9,K581/Summary!$B$9)</f>
        <v/>
      </c>
      <c r="M581" s="11">
        <f>G581+H581</f>
        <v/>
      </c>
      <c r="N581" s="11">
        <f>Summary!$C$16*Summary!$B$8</f>
        <v/>
      </c>
      <c r="O581" s="11">
        <f>M581-N581</f>
        <v/>
      </c>
    </row>
    <row r="582">
      <c r="A582" s="9" t="n">
        <v>45316.16666666666</v>
      </c>
      <c r="B582" t="n">
        <v>1</v>
      </c>
      <c r="C582" t="n">
        <v>25</v>
      </c>
      <c r="D582" t="n">
        <v>4</v>
      </c>
      <c r="E582" s="10" t="n">
        <v>0</v>
      </c>
      <c r="F582" s="10" t="n">
        <v>0.4094311222634693</v>
      </c>
      <c r="G582" s="11">
        <f>E582*Summary!$B$6</f>
        <v/>
      </c>
      <c r="H582" s="11">
        <f>F582*Summary!$B$7</f>
        <v/>
      </c>
      <c r="I582" s="11">
        <f>MAX(0,N582-M582)</f>
        <v/>
      </c>
      <c r="J582" s="11">
        <f>MAX(0,M582-N582)</f>
        <v/>
      </c>
      <c r="K582" s="11">
        <f>O582</f>
        <v/>
      </c>
      <c r="L582" s="11">
        <f>L581+IF(K582&gt;0,K582*Summary!$B$9,K582/Summary!$B$9)</f>
        <v/>
      </c>
      <c r="M582" s="11">
        <f>G582+H582</f>
        <v/>
      </c>
      <c r="N582" s="11">
        <f>Summary!$C$16*Summary!$B$8</f>
        <v/>
      </c>
      <c r="O582" s="11">
        <f>M582-N582</f>
        <v/>
      </c>
    </row>
    <row r="583">
      <c r="A583" s="9" t="n">
        <v>45316.20833333334</v>
      </c>
      <c r="B583" t="n">
        <v>1</v>
      </c>
      <c r="C583" t="n">
        <v>25</v>
      </c>
      <c r="D583" t="n">
        <v>5</v>
      </c>
      <c r="E583" s="10" t="n">
        <v>0</v>
      </c>
      <c r="F583" s="10" t="n">
        <v>0.4062161774918826</v>
      </c>
      <c r="G583" s="11">
        <f>E583*Summary!$B$6</f>
        <v/>
      </c>
      <c r="H583" s="11">
        <f>F583*Summary!$B$7</f>
        <v/>
      </c>
      <c r="I583" s="11">
        <f>MAX(0,N583-M583)</f>
        <v/>
      </c>
      <c r="J583" s="11">
        <f>MAX(0,M583-N583)</f>
        <v/>
      </c>
      <c r="K583" s="11">
        <f>O583</f>
        <v/>
      </c>
      <c r="L583" s="11">
        <f>L582+IF(K583&gt;0,K583*Summary!$B$9,K583/Summary!$B$9)</f>
        <v/>
      </c>
      <c r="M583" s="11">
        <f>G583+H583</f>
        <v/>
      </c>
      <c r="N583" s="11">
        <f>Summary!$C$16*Summary!$B$8</f>
        <v/>
      </c>
      <c r="O583" s="11">
        <f>M583-N583</f>
        <v/>
      </c>
    </row>
    <row r="584">
      <c r="A584" s="9" t="n">
        <v>45316.25</v>
      </c>
      <c r="B584" t="n">
        <v>1</v>
      </c>
      <c r="C584" t="n">
        <v>25</v>
      </c>
      <c r="D584" t="n">
        <v>6</v>
      </c>
      <c r="E584" s="10" t="n">
        <v>0</v>
      </c>
      <c r="F584" s="10" t="n">
        <v>0.3980470555312933</v>
      </c>
      <c r="G584" s="11">
        <f>E584*Summary!$B$6</f>
        <v/>
      </c>
      <c r="H584" s="11">
        <f>F584*Summary!$B$7</f>
        <v/>
      </c>
      <c r="I584" s="11">
        <f>MAX(0,N584-M584)</f>
        <v/>
      </c>
      <c r="J584" s="11">
        <f>MAX(0,M584-N584)</f>
        <v/>
      </c>
      <c r="K584" s="11">
        <f>O584</f>
        <v/>
      </c>
      <c r="L584" s="11">
        <f>L583+IF(K584&gt;0,K584*Summary!$B$9,K584/Summary!$B$9)</f>
        <v/>
      </c>
      <c r="M584" s="11">
        <f>G584+H584</f>
        <v/>
      </c>
      <c r="N584" s="11">
        <f>Summary!$C$16*Summary!$B$8</f>
        <v/>
      </c>
      <c r="O584" s="11">
        <f>M584-N584</f>
        <v/>
      </c>
    </row>
    <row r="585">
      <c r="A585" s="9" t="n">
        <v>45316.29166666666</v>
      </c>
      <c r="B585" t="n">
        <v>1</v>
      </c>
      <c r="C585" t="n">
        <v>25</v>
      </c>
      <c r="D585" t="n">
        <v>7</v>
      </c>
      <c r="E585" s="10" t="n">
        <v>0</v>
      </c>
      <c r="F585" s="10" t="n">
        <v>0.3986267996704319</v>
      </c>
      <c r="G585" s="11">
        <f>E585*Summary!$B$6</f>
        <v/>
      </c>
      <c r="H585" s="11">
        <f>F585*Summary!$B$7</f>
        <v/>
      </c>
      <c r="I585" s="11">
        <f>MAX(0,N585-M585)</f>
        <v/>
      </c>
      <c r="J585" s="11">
        <f>MAX(0,M585-N585)</f>
        <v/>
      </c>
      <c r="K585" s="11">
        <f>O585</f>
        <v/>
      </c>
      <c r="L585" s="11">
        <f>L584+IF(K585&gt;0,K585*Summary!$B$9,K585/Summary!$B$9)</f>
        <v/>
      </c>
      <c r="M585" s="11">
        <f>G585+H585</f>
        <v/>
      </c>
      <c r="N585" s="11">
        <f>Summary!$C$16*Summary!$B$8</f>
        <v/>
      </c>
      <c r="O585" s="11">
        <f>M585-N585</f>
        <v/>
      </c>
    </row>
    <row r="586">
      <c r="A586" s="9" t="n">
        <v>45316.33333333334</v>
      </c>
      <c r="B586" t="n">
        <v>1</v>
      </c>
      <c r="C586" t="n">
        <v>25</v>
      </c>
      <c r="D586" t="n">
        <v>8</v>
      </c>
      <c r="E586" s="10" t="n">
        <v>0</v>
      </c>
      <c r="F586" s="10" t="n">
        <v>0.3899042855770286</v>
      </c>
      <c r="G586" s="11">
        <f>E586*Summary!$B$6</f>
        <v/>
      </c>
      <c r="H586" s="11">
        <f>F586*Summary!$B$7</f>
        <v/>
      </c>
      <c r="I586" s="11">
        <f>MAX(0,N586-M586)</f>
        <v/>
      </c>
      <c r="J586" s="11">
        <f>MAX(0,M586-N586)</f>
        <v/>
      </c>
      <c r="K586" s="11">
        <f>O586</f>
        <v/>
      </c>
      <c r="L586" s="11">
        <f>L585+IF(K586&gt;0,K586*Summary!$B$9,K586/Summary!$B$9)</f>
        <v/>
      </c>
      <c r="M586" s="11">
        <f>G586+H586</f>
        <v/>
      </c>
      <c r="N586" s="11">
        <f>Summary!$C$16*Summary!$B$8</f>
        <v/>
      </c>
      <c r="O586" s="11">
        <f>M586-N586</f>
        <v/>
      </c>
    </row>
    <row r="587">
      <c r="A587" s="9" t="n">
        <v>45316.375</v>
      </c>
      <c r="B587" t="n">
        <v>1</v>
      </c>
      <c r="C587" t="n">
        <v>25</v>
      </c>
      <c r="D587" t="n">
        <v>9</v>
      </c>
      <c r="E587" s="10" t="n">
        <v>0.043811</v>
      </c>
      <c r="F587" s="10" t="n">
        <v>0.3854244445018667</v>
      </c>
      <c r="G587" s="11">
        <f>E587*Summary!$B$6</f>
        <v/>
      </c>
      <c r="H587" s="11">
        <f>F587*Summary!$B$7</f>
        <v/>
      </c>
      <c r="I587" s="11">
        <f>MAX(0,N587-M587)</f>
        <v/>
      </c>
      <c r="J587" s="11">
        <f>MAX(0,M587-N587)</f>
        <v/>
      </c>
      <c r="K587" s="11">
        <f>O587</f>
        <v/>
      </c>
      <c r="L587" s="11">
        <f>L586+IF(K587&gt;0,K587*Summary!$B$9,K587/Summary!$B$9)</f>
        <v/>
      </c>
      <c r="M587" s="11">
        <f>G587+H587</f>
        <v/>
      </c>
      <c r="N587" s="11">
        <f>Summary!$C$16*Summary!$B$8</f>
        <v/>
      </c>
      <c r="O587" s="11">
        <f>M587-N587</f>
        <v/>
      </c>
    </row>
    <row r="588">
      <c r="A588" s="9" t="n">
        <v>45316.41666666666</v>
      </c>
      <c r="B588" t="n">
        <v>1</v>
      </c>
      <c r="C588" t="n">
        <v>25</v>
      </c>
      <c r="D588" t="n">
        <v>10</v>
      </c>
      <c r="E588" s="10" t="n">
        <v>0.122424</v>
      </c>
      <c r="F588" s="10" t="n">
        <v>0.3720112732827056</v>
      </c>
      <c r="G588" s="11">
        <f>E588*Summary!$B$6</f>
        <v/>
      </c>
      <c r="H588" s="11">
        <f>F588*Summary!$B$7</f>
        <v/>
      </c>
      <c r="I588" s="11">
        <f>MAX(0,N588-M588)</f>
        <v/>
      </c>
      <c r="J588" s="11">
        <f>MAX(0,M588-N588)</f>
        <v/>
      </c>
      <c r="K588" s="11">
        <f>O588</f>
        <v/>
      </c>
      <c r="L588" s="11">
        <f>L587+IF(K588&gt;0,K588*Summary!$B$9,K588/Summary!$B$9)</f>
        <v/>
      </c>
      <c r="M588" s="11">
        <f>G588+H588</f>
        <v/>
      </c>
      <c r="N588" s="11">
        <f>Summary!$C$16*Summary!$B$8</f>
        <v/>
      </c>
      <c r="O588" s="11">
        <f>M588-N588</f>
        <v/>
      </c>
    </row>
    <row r="589">
      <c r="A589" s="9" t="n">
        <v>45316.45833333334</v>
      </c>
      <c r="B589" t="n">
        <v>1</v>
      </c>
      <c r="C589" t="n">
        <v>25</v>
      </c>
      <c r="D589" t="n">
        <v>11</v>
      </c>
      <c r="E589" s="10" t="n">
        <v>0.094058</v>
      </c>
      <c r="F589" s="10" t="n">
        <v>0.3614968227592375</v>
      </c>
      <c r="G589" s="11">
        <f>E589*Summary!$B$6</f>
        <v/>
      </c>
      <c r="H589" s="11">
        <f>F589*Summary!$B$7</f>
        <v/>
      </c>
      <c r="I589" s="11">
        <f>MAX(0,N589-M589)</f>
        <v/>
      </c>
      <c r="J589" s="11">
        <f>MAX(0,M589-N589)</f>
        <v/>
      </c>
      <c r="K589" s="11">
        <f>O589</f>
        <v/>
      </c>
      <c r="L589" s="11">
        <f>L588+IF(K589&gt;0,K589*Summary!$B$9,K589/Summary!$B$9)</f>
        <v/>
      </c>
      <c r="M589" s="11">
        <f>G589+H589</f>
        <v/>
      </c>
      <c r="N589" s="11">
        <f>Summary!$C$16*Summary!$B$8</f>
        <v/>
      </c>
      <c r="O589" s="11">
        <f>M589-N589</f>
        <v/>
      </c>
    </row>
    <row r="590">
      <c r="A590" s="9" t="n">
        <v>45316.5</v>
      </c>
      <c r="B590" t="n">
        <v>1</v>
      </c>
      <c r="C590" t="n">
        <v>25</v>
      </c>
      <c r="D590" t="n">
        <v>12</v>
      </c>
      <c r="E590" s="10" t="n">
        <v>0.08257200000000001</v>
      </c>
      <c r="F590" s="10" t="n">
        <v>0.3519310444634506</v>
      </c>
      <c r="G590" s="11">
        <f>E590*Summary!$B$6</f>
        <v/>
      </c>
      <c r="H590" s="11">
        <f>F590*Summary!$B$7</f>
        <v/>
      </c>
      <c r="I590" s="11">
        <f>MAX(0,N590-M590)</f>
        <v/>
      </c>
      <c r="J590" s="11">
        <f>MAX(0,M590-N590)</f>
        <v/>
      </c>
      <c r="K590" s="11">
        <f>O590</f>
        <v/>
      </c>
      <c r="L590" s="11">
        <f>L589+IF(K590&gt;0,K590*Summary!$B$9,K590/Summary!$B$9)</f>
        <v/>
      </c>
      <c r="M590" s="11">
        <f>G590+H590</f>
        <v/>
      </c>
      <c r="N590" s="11">
        <f>Summary!$C$16*Summary!$B$8</f>
        <v/>
      </c>
      <c r="O590" s="11">
        <f>M590-N590</f>
        <v/>
      </c>
    </row>
    <row r="591">
      <c r="A591" s="9" t="n">
        <v>45316.54166666666</v>
      </c>
      <c r="B591" t="n">
        <v>1</v>
      </c>
      <c r="C591" t="n">
        <v>25</v>
      </c>
      <c r="D591" t="n">
        <v>13</v>
      </c>
      <c r="E591" s="10" t="n">
        <v>0.060617</v>
      </c>
      <c r="F591" s="10" t="n">
        <v>0.3454748029139527</v>
      </c>
      <c r="G591" s="11">
        <f>E591*Summary!$B$6</f>
        <v/>
      </c>
      <c r="H591" s="11">
        <f>F591*Summary!$B$7</f>
        <v/>
      </c>
      <c r="I591" s="11">
        <f>MAX(0,N591-M591)</f>
        <v/>
      </c>
      <c r="J591" s="11">
        <f>MAX(0,M591-N591)</f>
        <v/>
      </c>
      <c r="K591" s="11">
        <f>O591</f>
        <v/>
      </c>
      <c r="L591" s="11">
        <f>L590+IF(K591&gt;0,K591*Summary!$B$9,K591/Summary!$B$9)</f>
        <v/>
      </c>
      <c r="M591" s="11">
        <f>G591+H591</f>
        <v/>
      </c>
      <c r="N591" s="11">
        <f>Summary!$C$16*Summary!$B$8</f>
        <v/>
      </c>
      <c r="O591" s="11">
        <f>M591-N591</f>
        <v/>
      </c>
    </row>
    <row r="592">
      <c r="A592" s="9" t="n">
        <v>45316.58333333334</v>
      </c>
      <c r="B592" t="n">
        <v>1</v>
      </c>
      <c r="C592" t="n">
        <v>25</v>
      </c>
      <c r="D592" t="n">
        <v>14</v>
      </c>
      <c r="E592" s="10" t="n">
        <v>0.042706</v>
      </c>
      <c r="F592" s="10" t="n">
        <v>0.3739613217507172</v>
      </c>
      <c r="G592" s="11">
        <f>E592*Summary!$B$6</f>
        <v/>
      </c>
      <c r="H592" s="11">
        <f>F592*Summary!$B$7</f>
        <v/>
      </c>
      <c r="I592" s="11">
        <f>MAX(0,N592-M592)</f>
        <v/>
      </c>
      <c r="J592" s="11">
        <f>MAX(0,M592-N592)</f>
        <v/>
      </c>
      <c r="K592" s="11">
        <f>O592</f>
        <v/>
      </c>
      <c r="L592" s="11">
        <f>L591+IF(K592&gt;0,K592*Summary!$B$9,K592/Summary!$B$9)</f>
        <v/>
      </c>
      <c r="M592" s="11">
        <f>G592+H592</f>
        <v/>
      </c>
      <c r="N592" s="11">
        <f>Summary!$C$16*Summary!$B$8</f>
        <v/>
      </c>
      <c r="O592" s="11">
        <f>M592-N592</f>
        <v/>
      </c>
    </row>
    <row r="593">
      <c r="A593" s="9" t="n">
        <v>45316.625</v>
      </c>
      <c r="B593" t="n">
        <v>1</v>
      </c>
      <c r="C593" t="n">
        <v>25</v>
      </c>
      <c r="D593" t="n">
        <v>15</v>
      </c>
      <c r="E593" s="10" t="n">
        <v>0.017739</v>
      </c>
      <c r="F593" s="10" t="n">
        <v>0.3523263245583179</v>
      </c>
      <c r="G593" s="11">
        <f>E593*Summary!$B$6</f>
        <v/>
      </c>
      <c r="H593" s="11">
        <f>F593*Summary!$B$7</f>
        <v/>
      </c>
      <c r="I593" s="11">
        <f>MAX(0,N593-M593)</f>
        <v/>
      </c>
      <c r="J593" s="11">
        <f>MAX(0,M593-N593)</f>
        <v/>
      </c>
      <c r="K593" s="11">
        <f>O593</f>
        <v/>
      </c>
      <c r="L593" s="11">
        <f>L592+IF(K593&gt;0,K593*Summary!$B$9,K593/Summary!$B$9)</f>
        <v/>
      </c>
      <c r="M593" s="11">
        <f>G593+H593</f>
        <v/>
      </c>
      <c r="N593" s="11">
        <f>Summary!$C$16*Summary!$B$8</f>
        <v/>
      </c>
      <c r="O593" s="11">
        <f>M593-N593</f>
        <v/>
      </c>
    </row>
    <row r="594">
      <c r="A594" s="9" t="n">
        <v>45316.66666666666</v>
      </c>
      <c r="B594" t="n">
        <v>1</v>
      </c>
      <c r="C594" t="n">
        <v>25</v>
      </c>
      <c r="D594" t="n">
        <v>16</v>
      </c>
      <c r="E594" s="10" t="n">
        <v>0</v>
      </c>
      <c r="F594" s="10" t="n">
        <v>0.3902205096529223</v>
      </c>
      <c r="G594" s="11">
        <f>E594*Summary!$B$6</f>
        <v/>
      </c>
      <c r="H594" s="11">
        <f>F594*Summary!$B$7</f>
        <v/>
      </c>
      <c r="I594" s="11">
        <f>MAX(0,N594-M594)</f>
        <v/>
      </c>
      <c r="J594" s="11">
        <f>MAX(0,M594-N594)</f>
        <v/>
      </c>
      <c r="K594" s="11">
        <f>O594</f>
        <v/>
      </c>
      <c r="L594" s="11">
        <f>L593+IF(K594&gt;0,K594*Summary!$B$9,K594/Summary!$B$9)</f>
        <v/>
      </c>
      <c r="M594" s="11">
        <f>G594+H594</f>
        <v/>
      </c>
      <c r="N594" s="11">
        <f>Summary!$C$16*Summary!$B$8</f>
        <v/>
      </c>
      <c r="O594" s="11">
        <f>M594-N594</f>
        <v/>
      </c>
    </row>
    <row r="595">
      <c r="A595" s="9" t="n">
        <v>45316.70833333334</v>
      </c>
      <c r="B595" t="n">
        <v>1</v>
      </c>
      <c r="C595" t="n">
        <v>25</v>
      </c>
      <c r="D595" t="n">
        <v>17</v>
      </c>
      <c r="E595" s="10" t="n">
        <v>0</v>
      </c>
      <c r="F595" s="10" t="n">
        <v>0.3617866948288068</v>
      </c>
      <c r="G595" s="11">
        <f>E595*Summary!$B$6</f>
        <v/>
      </c>
      <c r="H595" s="11">
        <f>F595*Summary!$B$7</f>
        <v/>
      </c>
      <c r="I595" s="11">
        <f>MAX(0,N595-M595)</f>
        <v/>
      </c>
      <c r="J595" s="11">
        <f>MAX(0,M595-N595)</f>
        <v/>
      </c>
      <c r="K595" s="11">
        <f>O595</f>
        <v/>
      </c>
      <c r="L595" s="11">
        <f>L594+IF(K595&gt;0,K595*Summary!$B$9,K595/Summary!$B$9)</f>
        <v/>
      </c>
      <c r="M595" s="11">
        <f>G595+H595</f>
        <v/>
      </c>
      <c r="N595" s="11">
        <f>Summary!$C$16*Summary!$B$8</f>
        <v/>
      </c>
      <c r="O595" s="11">
        <f>M595-N595</f>
        <v/>
      </c>
    </row>
    <row r="596">
      <c r="A596" s="9" t="n">
        <v>45316.75</v>
      </c>
      <c r="B596" t="n">
        <v>1</v>
      </c>
      <c r="C596" t="n">
        <v>25</v>
      </c>
      <c r="D596" t="n">
        <v>18</v>
      </c>
      <c r="E596" s="10" t="n">
        <v>0</v>
      </c>
      <c r="F596" s="10" t="n">
        <v>0.3686118644668475</v>
      </c>
      <c r="G596" s="11">
        <f>E596*Summary!$B$6</f>
        <v/>
      </c>
      <c r="H596" s="11">
        <f>F596*Summary!$B$7</f>
        <v/>
      </c>
      <c r="I596" s="11">
        <f>MAX(0,N596-M596)</f>
        <v/>
      </c>
      <c r="J596" s="11">
        <f>MAX(0,M596-N596)</f>
        <v/>
      </c>
      <c r="K596" s="11">
        <f>O596</f>
        <v/>
      </c>
      <c r="L596" s="11">
        <f>L595+IF(K596&gt;0,K596*Summary!$B$9,K596/Summary!$B$9)</f>
        <v/>
      </c>
      <c r="M596" s="11">
        <f>G596+H596</f>
        <v/>
      </c>
      <c r="N596" s="11">
        <f>Summary!$C$16*Summary!$B$8</f>
        <v/>
      </c>
      <c r="O596" s="11">
        <f>M596-N596</f>
        <v/>
      </c>
    </row>
    <row r="597">
      <c r="A597" s="9" t="n">
        <v>45316.79166666666</v>
      </c>
      <c r="B597" t="n">
        <v>1</v>
      </c>
      <c r="C597" t="n">
        <v>25</v>
      </c>
      <c r="D597" t="n">
        <v>19</v>
      </c>
      <c r="E597" s="10" t="n">
        <v>0</v>
      </c>
      <c r="F597" s="10" t="n">
        <v>0.3801540432369704</v>
      </c>
      <c r="G597" s="11">
        <f>E597*Summary!$B$6</f>
        <v/>
      </c>
      <c r="H597" s="11">
        <f>F597*Summary!$B$7</f>
        <v/>
      </c>
      <c r="I597" s="11">
        <f>MAX(0,N597-M597)</f>
        <v/>
      </c>
      <c r="J597" s="11">
        <f>MAX(0,M597-N597)</f>
        <v/>
      </c>
      <c r="K597" s="11">
        <f>O597</f>
        <v/>
      </c>
      <c r="L597" s="11">
        <f>L596+IF(K597&gt;0,K597*Summary!$B$9,K597/Summary!$B$9)</f>
        <v/>
      </c>
      <c r="M597" s="11">
        <f>G597+H597</f>
        <v/>
      </c>
      <c r="N597" s="11">
        <f>Summary!$C$16*Summary!$B$8</f>
        <v/>
      </c>
      <c r="O597" s="11">
        <f>M597-N597</f>
        <v/>
      </c>
    </row>
    <row r="598">
      <c r="A598" s="9" t="n">
        <v>45316.83333333334</v>
      </c>
      <c r="B598" t="n">
        <v>1</v>
      </c>
      <c r="C598" t="n">
        <v>25</v>
      </c>
      <c r="D598" t="n">
        <v>20</v>
      </c>
      <c r="E598" s="10" t="n">
        <v>0</v>
      </c>
      <c r="F598" s="10" t="n">
        <v>0.3863204127168991</v>
      </c>
      <c r="G598" s="11">
        <f>E598*Summary!$B$6</f>
        <v/>
      </c>
      <c r="H598" s="11">
        <f>F598*Summary!$B$7</f>
        <v/>
      </c>
      <c r="I598" s="11">
        <f>MAX(0,N598-M598)</f>
        <v/>
      </c>
      <c r="J598" s="11">
        <f>MAX(0,M598-N598)</f>
        <v/>
      </c>
      <c r="K598" s="11">
        <f>O598</f>
        <v/>
      </c>
      <c r="L598" s="11">
        <f>L597+IF(K598&gt;0,K598*Summary!$B$9,K598/Summary!$B$9)</f>
        <v/>
      </c>
      <c r="M598" s="11">
        <f>G598+H598</f>
        <v/>
      </c>
      <c r="N598" s="11">
        <f>Summary!$C$16*Summary!$B$8</f>
        <v/>
      </c>
      <c r="O598" s="11">
        <f>M598-N598</f>
        <v/>
      </c>
    </row>
    <row r="599">
      <c r="A599" s="9" t="n">
        <v>45316.875</v>
      </c>
      <c r="B599" t="n">
        <v>1</v>
      </c>
      <c r="C599" t="n">
        <v>25</v>
      </c>
      <c r="D599" t="n">
        <v>21</v>
      </c>
      <c r="E599" s="10" t="n">
        <v>0</v>
      </c>
      <c r="F599" s="10" t="n">
        <v>0.3957017269684145</v>
      </c>
      <c r="G599" s="11">
        <f>E599*Summary!$B$6</f>
        <v/>
      </c>
      <c r="H599" s="11">
        <f>F599*Summary!$B$7</f>
        <v/>
      </c>
      <c r="I599" s="11">
        <f>MAX(0,N599-M599)</f>
        <v/>
      </c>
      <c r="J599" s="11">
        <f>MAX(0,M599-N599)</f>
        <v/>
      </c>
      <c r="K599" s="11">
        <f>O599</f>
        <v/>
      </c>
      <c r="L599" s="11">
        <f>L598+IF(K599&gt;0,K599*Summary!$B$9,K599/Summary!$B$9)</f>
        <v/>
      </c>
      <c r="M599" s="11">
        <f>G599+H599</f>
        <v/>
      </c>
      <c r="N599" s="11">
        <f>Summary!$C$16*Summary!$B$8</f>
        <v/>
      </c>
      <c r="O599" s="11">
        <f>M599-N599</f>
        <v/>
      </c>
    </row>
    <row r="600">
      <c r="A600" s="9" t="n">
        <v>45316.91666666666</v>
      </c>
      <c r="B600" t="n">
        <v>1</v>
      </c>
      <c r="C600" t="n">
        <v>25</v>
      </c>
      <c r="D600" t="n">
        <v>22</v>
      </c>
      <c r="E600" s="10" t="n">
        <v>0</v>
      </c>
      <c r="F600" s="10" t="n">
        <v>0.4042924810301954</v>
      </c>
      <c r="G600" s="11">
        <f>E600*Summary!$B$6</f>
        <v/>
      </c>
      <c r="H600" s="11">
        <f>F600*Summary!$B$7</f>
        <v/>
      </c>
      <c r="I600" s="11">
        <f>MAX(0,N600-M600)</f>
        <v/>
      </c>
      <c r="J600" s="11">
        <f>MAX(0,M600-N600)</f>
        <v/>
      </c>
      <c r="K600" s="11">
        <f>O600</f>
        <v/>
      </c>
      <c r="L600" s="11">
        <f>L599+IF(K600&gt;0,K600*Summary!$B$9,K600/Summary!$B$9)</f>
        <v/>
      </c>
      <c r="M600" s="11">
        <f>G600+H600</f>
        <v/>
      </c>
      <c r="N600" s="11">
        <f>Summary!$C$16*Summary!$B$8</f>
        <v/>
      </c>
      <c r="O600" s="11">
        <f>M600-N600</f>
        <v/>
      </c>
    </row>
    <row r="601">
      <c r="A601" s="9" t="n">
        <v>45316.95833333334</v>
      </c>
      <c r="B601" t="n">
        <v>1</v>
      </c>
      <c r="C601" t="n">
        <v>25</v>
      </c>
      <c r="D601" t="n">
        <v>23</v>
      </c>
      <c r="E601" s="10" t="n">
        <v>0</v>
      </c>
      <c r="F601" s="10" t="n">
        <v>0.4142008354082005</v>
      </c>
      <c r="G601" s="11">
        <f>E601*Summary!$B$6</f>
        <v/>
      </c>
      <c r="H601" s="11">
        <f>F601*Summary!$B$7</f>
        <v/>
      </c>
      <c r="I601" s="11">
        <f>MAX(0,N601-M601)</f>
        <v/>
      </c>
      <c r="J601" s="11">
        <f>MAX(0,M601-N601)</f>
        <v/>
      </c>
      <c r="K601" s="11">
        <f>O601</f>
        <v/>
      </c>
      <c r="L601" s="11">
        <f>L600+IF(K601&gt;0,K601*Summary!$B$9,K601/Summary!$B$9)</f>
        <v/>
      </c>
      <c r="M601" s="11">
        <f>G601+H601</f>
        <v/>
      </c>
      <c r="N601" s="11">
        <f>Summary!$C$16*Summary!$B$8</f>
        <v/>
      </c>
      <c r="O601" s="11">
        <f>M601-N601</f>
        <v/>
      </c>
    </row>
    <row r="602">
      <c r="A602" s="9" t="n">
        <v>45317</v>
      </c>
      <c r="B602" t="n">
        <v>1</v>
      </c>
      <c r="C602" t="n">
        <v>26</v>
      </c>
      <c r="D602" t="n">
        <v>0</v>
      </c>
      <c r="E602" s="10" t="n">
        <v>0</v>
      </c>
      <c r="F602" s="10" t="n">
        <v>0.3335900480616115</v>
      </c>
      <c r="G602" s="11">
        <f>E602*Summary!$B$6</f>
        <v/>
      </c>
      <c r="H602" s="11">
        <f>F602*Summary!$B$7</f>
        <v/>
      </c>
      <c r="I602" s="11">
        <f>MAX(0,N602-M602)</f>
        <v/>
      </c>
      <c r="J602" s="11">
        <f>MAX(0,M602-N602)</f>
        <v/>
      </c>
      <c r="K602" s="11">
        <f>O602</f>
        <v/>
      </c>
      <c r="L602" s="11">
        <f>L601+IF(K602&gt;0,K602*Summary!$B$9,K602/Summary!$B$9)</f>
        <v/>
      </c>
      <c r="M602" s="11">
        <f>G602+H602</f>
        <v/>
      </c>
      <c r="N602" s="11">
        <f>Summary!$C$16*Summary!$B$8</f>
        <v/>
      </c>
      <c r="O602" s="11">
        <f>M602-N602</f>
        <v/>
      </c>
    </row>
    <row r="603">
      <c r="A603" s="9" t="n">
        <v>45317.04166666666</v>
      </c>
      <c r="B603" t="n">
        <v>1</v>
      </c>
      <c r="C603" t="n">
        <v>26</v>
      </c>
      <c r="D603" t="n">
        <v>1</v>
      </c>
      <c r="E603" s="10" t="n">
        <v>0</v>
      </c>
      <c r="F603" s="10" t="n">
        <v>0.4325418318100396</v>
      </c>
      <c r="G603" s="11">
        <f>E603*Summary!$B$6</f>
        <v/>
      </c>
      <c r="H603" s="11">
        <f>F603*Summary!$B$7</f>
        <v/>
      </c>
      <c r="I603" s="11">
        <f>MAX(0,N603-M603)</f>
        <v/>
      </c>
      <c r="J603" s="11">
        <f>MAX(0,M603-N603)</f>
        <v/>
      </c>
      <c r="K603" s="11">
        <f>O603</f>
        <v/>
      </c>
      <c r="L603" s="11">
        <f>L602+IF(K603&gt;0,K603*Summary!$B$9,K603/Summary!$B$9)</f>
        <v/>
      </c>
      <c r="M603" s="11">
        <f>G603+H603</f>
        <v/>
      </c>
      <c r="N603" s="11">
        <f>Summary!$C$16*Summary!$B$8</f>
        <v/>
      </c>
      <c r="O603" s="11">
        <f>M603-N603</f>
        <v/>
      </c>
    </row>
    <row r="604">
      <c r="A604" s="9" t="n">
        <v>45317.08333333334</v>
      </c>
      <c r="B604" t="n">
        <v>1</v>
      </c>
      <c r="C604" t="n">
        <v>26</v>
      </c>
      <c r="D604" t="n">
        <v>2</v>
      </c>
      <c r="E604" s="10" t="n">
        <v>0</v>
      </c>
      <c r="F604" s="10" t="n">
        <v>0.4364419287460629</v>
      </c>
      <c r="G604" s="11">
        <f>E604*Summary!$B$6</f>
        <v/>
      </c>
      <c r="H604" s="11">
        <f>F604*Summary!$B$7</f>
        <v/>
      </c>
      <c r="I604" s="11">
        <f>MAX(0,N604-M604)</f>
        <v/>
      </c>
      <c r="J604" s="11">
        <f>MAX(0,M604-N604)</f>
        <v/>
      </c>
      <c r="K604" s="11">
        <f>O604</f>
        <v/>
      </c>
      <c r="L604" s="11">
        <f>L603+IF(K604&gt;0,K604*Summary!$B$9,K604/Summary!$B$9)</f>
        <v/>
      </c>
      <c r="M604" s="11">
        <f>G604+H604</f>
        <v/>
      </c>
      <c r="N604" s="11">
        <f>Summary!$C$16*Summary!$B$8</f>
        <v/>
      </c>
      <c r="O604" s="11">
        <f>M604-N604</f>
        <v/>
      </c>
    </row>
    <row r="605">
      <c r="A605" s="9" t="n">
        <v>45317.125</v>
      </c>
      <c r="B605" t="n">
        <v>1</v>
      </c>
      <c r="C605" t="n">
        <v>26</v>
      </c>
      <c r="D605" t="n">
        <v>3</v>
      </c>
      <c r="E605" s="10" t="n">
        <v>0</v>
      </c>
      <c r="F605" s="10" t="n">
        <v>0.4435833224599974</v>
      </c>
      <c r="G605" s="11">
        <f>E605*Summary!$B$6</f>
        <v/>
      </c>
      <c r="H605" s="11">
        <f>F605*Summary!$B$7</f>
        <v/>
      </c>
      <c r="I605" s="11">
        <f>MAX(0,N605-M605)</f>
        <v/>
      </c>
      <c r="J605" s="11">
        <f>MAX(0,M605-N605)</f>
        <v/>
      </c>
      <c r="K605" s="11">
        <f>O605</f>
        <v/>
      </c>
      <c r="L605" s="11">
        <f>L604+IF(K605&gt;0,K605*Summary!$B$9,K605/Summary!$B$9)</f>
        <v/>
      </c>
      <c r="M605" s="11">
        <f>G605+H605</f>
        <v/>
      </c>
      <c r="N605" s="11">
        <f>Summary!$C$16*Summary!$B$8</f>
        <v/>
      </c>
      <c r="O605" s="11">
        <f>M605-N605</f>
        <v/>
      </c>
    </row>
    <row r="606">
      <c r="A606" s="9" t="n">
        <v>45317.16666666666</v>
      </c>
      <c r="B606" t="n">
        <v>1</v>
      </c>
      <c r="C606" t="n">
        <v>26</v>
      </c>
      <c r="D606" t="n">
        <v>4</v>
      </c>
      <c r="E606" s="10" t="n">
        <v>0</v>
      </c>
      <c r="F606" s="10" t="n">
        <v>0.4545984611036306</v>
      </c>
      <c r="G606" s="11">
        <f>E606*Summary!$B$6</f>
        <v/>
      </c>
      <c r="H606" s="11">
        <f>F606*Summary!$B$7</f>
        <v/>
      </c>
      <c r="I606" s="11">
        <f>MAX(0,N606-M606)</f>
        <v/>
      </c>
      <c r="J606" s="11">
        <f>MAX(0,M606-N606)</f>
        <v/>
      </c>
      <c r="K606" s="11">
        <f>O606</f>
        <v/>
      </c>
      <c r="L606" s="11">
        <f>L605+IF(K606&gt;0,K606*Summary!$B$9,K606/Summary!$B$9)</f>
        <v/>
      </c>
      <c r="M606" s="11">
        <f>G606+H606</f>
        <v/>
      </c>
      <c r="N606" s="11">
        <f>Summary!$C$16*Summary!$B$8</f>
        <v/>
      </c>
      <c r="O606" s="11">
        <f>M606-N606</f>
        <v/>
      </c>
    </row>
    <row r="607">
      <c r="A607" s="9" t="n">
        <v>45317.20833333334</v>
      </c>
      <c r="B607" t="n">
        <v>1</v>
      </c>
      <c r="C607" t="n">
        <v>26</v>
      </c>
      <c r="D607" t="n">
        <v>5</v>
      </c>
      <c r="E607" s="10" t="n">
        <v>0</v>
      </c>
      <c r="F607" s="10" t="n">
        <v>0.4617398548175651</v>
      </c>
      <c r="G607" s="11">
        <f>E607*Summary!$B$6</f>
        <v/>
      </c>
      <c r="H607" s="11">
        <f>F607*Summary!$B$7</f>
        <v/>
      </c>
      <c r="I607" s="11">
        <f>MAX(0,N607-M607)</f>
        <v/>
      </c>
      <c r="J607" s="11">
        <f>MAX(0,M607-N607)</f>
        <v/>
      </c>
      <c r="K607" s="11">
        <f>O607</f>
        <v/>
      </c>
      <c r="L607" s="11">
        <f>L606+IF(K607&gt;0,K607*Summary!$B$9,K607/Summary!$B$9)</f>
        <v/>
      </c>
      <c r="M607" s="11">
        <f>G607+H607</f>
        <v/>
      </c>
      <c r="N607" s="11">
        <f>Summary!$C$16*Summary!$B$8</f>
        <v/>
      </c>
      <c r="O607" s="11">
        <f>M607-N607</f>
        <v/>
      </c>
    </row>
    <row r="608">
      <c r="A608" s="9" t="n">
        <v>45317.25</v>
      </c>
      <c r="B608" t="n">
        <v>1</v>
      </c>
      <c r="C608" t="n">
        <v>26</v>
      </c>
      <c r="D608" t="n">
        <v>6</v>
      </c>
      <c r="E608" s="10" t="n">
        <v>0</v>
      </c>
      <c r="F608" s="10" t="n">
        <v>0.4645858715006091</v>
      </c>
      <c r="G608" s="11">
        <f>E608*Summary!$B$6</f>
        <v/>
      </c>
      <c r="H608" s="11">
        <f>F608*Summary!$B$7</f>
        <v/>
      </c>
      <c r="I608" s="11">
        <f>MAX(0,N608-M608)</f>
        <v/>
      </c>
      <c r="J608" s="11">
        <f>MAX(0,M608-N608)</f>
        <v/>
      </c>
      <c r="K608" s="11">
        <f>O608</f>
        <v/>
      </c>
      <c r="L608" s="11">
        <f>L607+IF(K608&gt;0,K608*Summary!$B$9,K608/Summary!$B$9)</f>
        <v/>
      </c>
      <c r="M608" s="11">
        <f>G608+H608</f>
        <v/>
      </c>
      <c r="N608" s="11">
        <f>Summary!$C$16*Summary!$B$8</f>
        <v/>
      </c>
      <c r="O608" s="11">
        <f>M608-N608</f>
        <v/>
      </c>
    </row>
    <row r="609">
      <c r="A609" s="9" t="n">
        <v>45317.29166666666</v>
      </c>
      <c r="B609" t="n">
        <v>1</v>
      </c>
      <c r="C609" t="n">
        <v>26</v>
      </c>
      <c r="D609" t="n">
        <v>7</v>
      </c>
      <c r="E609" s="10" t="n">
        <v>0</v>
      </c>
      <c r="F609" s="10" t="n">
        <v>0.4631101591464382</v>
      </c>
      <c r="G609" s="11">
        <f>E609*Summary!$B$6</f>
        <v/>
      </c>
      <c r="H609" s="11">
        <f>F609*Summary!$B$7</f>
        <v/>
      </c>
      <c r="I609" s="11">
        <f>MAX(0,N609-M609)</f>
        <v/>
      </c>
      <c r="J609" s="11">
        <f>MAX(0,M609-N609)</f>
        <v/>
      </c>
      <c r="K609" s="11">
        <f>O609</f>
        <v/>
      </c>
      <c r="L609" s="11">
        <f>L608+IF(K609&gt;0,K609*Summary!$B$9,K609/Summary!$B$9)</f>
        <v/>
      </c>
      <c r="M609" s="11">
        <f>G609+H609</f>
        <v/>
      </c>
      <c r="N609" s="11">
        <f>Summary!$C$16*Summary!$B$8</f>
        <v/>
      </c>
      <c r="O609" s="11">
        <f>M609-N609</f>
        <v/>
      </c>
    </row>
    <row r="610">
      <c r="A610" s="9" t="n">
        <v>45317.33333333334</v>
      </c>
      <c r="B610" t="n">
        <v>1</v>
      </c>
      <c r="C610" t="n">
        <v>26</v>
      </c>
      <c r="D610" t="n">
        <v>8</v>
      </c>
      <c r="E610" s="10" t="n">
        <v>0</v>
      </c>
      <c r="F610" s="10" t="n">
        <v>0.4592364142167394</v>
      </c>
      <c r="G610" s="11">
        <f>E610*Summary!$B$6</f>
        <v/>
      </c>
      <c r="H610" s="11">
        <f>F610*Summary!$B$7</f>
        <v/>
      </c>
      <c r="I610" s="11">
        <f>MAX(0,N610-M610)</f>
        <v/>
      </c>
      <c r="J610" s="11">
        <f>MAX(0,M610-N610)</f>
        <v/>
      </c>
      <c r="K610" s="11">
        <f>O610</f>
        <v/>
      </c>
      <c r="L610" s="11">
        <f>L609+IF(K610&gt;0,K610*Summary!$B$9,K610/Summary!$B$9)</f>
        <v/>
      </c>
      <c r="M610" s="11">
        <f>G610+H610</f>
        <v/>
      </c>
      <c r="N610" s="11">
        <f>Summary!$C$16*Summary!$B$8</f>
        <v/>
      </c>
      <c r="O610" s="11">
        <f>M610-N610</f>
        <v/>
      </c>
    </row>
    <row r="611">
      <c r="A611" s="9" t="n">
        <v>45317.375</v>
      </c>
      <c r="B611" t="n">
        <v>1</v>
      </c>
      <c r="C611" t="n">
        <v>26</v>
      </c>
      <c r="D611" t="n">
        <v>9</v>
      </c>
      <c r="E611" s="10" t="n">
        <v>0.021664</v>
      </c>
      <c r="F611" s="10" t="n">
        <v>0.4539660129518431</v>
      </c>
      <c r="G611" s="11">
        <f>E611*Summary!$B$6</f>
        <v/>
      </c>
      <c r="H611" s="11">
        <f>F611*Summary!$B$7</f>
        <v/>
      </c>
      <c r="I611" s="11">
        <f>MAX(0,N611-M611)</f>
        <v/>
      </c>
      <c r="J611" s="11">
        <f>MAX(0,M611-N611)</f>
        <v/>
      </c>
      <c r="K611" s="11">
        <f>O611</f>
        <v/>
      </c>
      <c r="L611" s="11">
        <f>L610+IF(K611&gt;0,K611*Summary!$B$9,K611/Summary!$B$9)</f>
        <v/>
      </c>
      <c r="M611" s="11">
        <f>G611+H611</f>
        <v/>
      </c>
      <c r="N611" s="11">
        <f>Summary!$C$16*Summary!$B$8</f>
        <v/>
      </c>
      <c r="O611" s="11">
        <f>M611-N611</f>
        <v/>
      </c>
    </row>
    <row r="612">
      <c r="A612" s="9" t="n">
        <v>45317.41666666666</v>
      </c>
      <c r="B612" t="n">
        <v>1</v>
      </c>
      <c r="C612" t="n">
        <v>26</v>
      </c>
      <c r="D612" t="n">
        <v>10</v>
      </c>
      <c r="E612" s="10" t="n">
        <v>0.035304</v>
      </c>
      <c r="F612" s="10" t="n">
        <v>0.4322783117467948</v>
      </c>
      <c r="G612" s="11">
        <f>E612*Summary!$B$6</f>
        <v/>
      </c>
      <c r="H612" s="11">
        <f>F612*Summary!$B$7</f>
        <v/>
      </c>
      <c r="I612" s="11">
        <f>MAX(0,N612-M612)</f>
        <v/>
      </c>
      <c r="J612" s="11">
        <f>MAX(0,M612-N612)</f>
        <v/>
      </c>
      <c r="K612" s="11">
        <f>O612</f>
        <v/>
      </c>
      <c r="L612" s="11">
        <f>L611+IF(K612&gt;0,K612*Summary!$B$9,K612/Summary!$B$9)</f>
        <v/>
      </c>
      <c r="M612" s="11">
        <f>G612+H612</f>
        <v/>
      </c>
      <c r="N612" s="11">
        <f>Summary!$C$16*Summary!$B$8</f>
        <v/>
      </c>
      <c r="O612" s="11">
        <f>M612-N612</f>
        <v/>
      </c>
    </row>
    <row r="613">
      <c r="A613" s="9" t="n">
        <v>45317.45833333334</v>
      </c>
      <c r="B613" t="n">
        <v>1</v>
      </c>
      <c r="C613" t="n">
        <v>26</v>
      </c>
      <c r="D613" t="n">
        <v>11</v>
      </c>
      <c r="E613" s="10" t="n">
        <v>0.024558</v>
      </c>
      <c r="F613" s="10" t="n">
        <v>0.4142535394208495</v>
      </c>
      <c r="G613" s="11">
        <f>E613*Summary!$B$6</f>
        <v/>
      </c>
      <c r="H613" s="11">
        <f>F613*Summary!$B$7</f>
        <v/>
      </c>
      <c r="I613" s="11">
        <f>MAX(0,N613-M613)</f>
        <v/>
      </c>
      <c r="J613" s="11">
        <f>MAX(0,M613-N613)</f>
        <v/>
      </c>
      <c r="K613" s="11">
        <f>O613</f>
        <v/>
      </c>
      <c r="L613" s="11">
        <f>L612+IF(K613&gt;0,K613*Summary!$B$9,K613/Summary!$B$9)</f>
        <v/>
      </c>
      <c r="M613" s="11">
        <f>G613+H613</f>
        <v/>
      </c>
      <c r="N613" s="11">
        <f>Summary!$C$16*Summary!$B$8</f>
        <v/>
      </c>
      <c r="O613" s="11">
        <f>M613-N613</f>
        <v/>
      </c>
    </row>
    <row r="614">
      <c r="A614" s="9" t="n">
        <v>45317.5</v>
      </c>
      <c r="B614" t="n">
        <v>1</v>
      </c>
      <c r="C614" t="n">
        <v>26</v>
      </c>
      <c r="D614" t="n">
        <v>12</v>
      </c>
      <c r="E614" s="10" t="n">
        <v>0.041842</v>
      </c>
      <c r="F614" s="10" t="n">
        <v>0.3968612152466917</v>
      </c>
      <c r="G614" s="11">
        <f>E614*Summary!$B$6</f>
        <v/>
      </c>
      <c r="H614" s="11">
        <f>F614*Summary!$B$7</f>
        <v/>
      </c>
      <c r="I614" s="11">
        <f>MAX(0,N614-M614)</f>
        <v/>
      </c>
      <c r="J614" s="11">
        <f>MAX(0,M614-N614)</f>
        <v/>
      </c>
      <c r="K614" s="11">
        <f>O614</f>
        <v/>
      </c>
      <c r="L614" s="11">
        <f>L613+IF(K614&gt;0,K614*Summary!$B$9,K614/Summary!$B$9)</f>
        <v/>
      </c>
      <c r="M614" s="11">
        <f>G614+H614</f>
        <v/>
      </c>
      <c r="N614" s="11">
        <f>Summary!$C$16*Summary!$B$8</f>
        <v/>
      </c>
      <c r="O614" s="11">
        <f>M614-N614</f>
        <v/>
      </c>
    </row>
    <row r="615">
      <c r="A615" s="9" t="n">
        <v>45317.54166666666</v>
      </c>
      <c r="B615" t="n">
        <v>1</v>
      </c>
      <c r="C615" t="n">
        <v>26</v>
      </c>
      <c r="D615" t="n">
        <v>13</v>
      </c>
      <c r="E615" s="10" t="n">
        <v>0.034933</v>
      </c>
      <c r="F615" s="10" t="n">
        <v>0.3784148108195546</v>
      </c>
      <c r="G615" s="11">
        <f>E615*Summary!$B$6</f>
        <v/>
      </c>
      <c r="H615" s="11">
        <f>F615*Summary!$B$7</f>
        <v/>
      </c>
      <c r="I615" s="11">
        <f>MAX(0,N615-M615)</f>
        <v/>
      </c>
      <c r="J615" s="11">
        <f>MAX(0,M615-N615)</f>
        <v/>
      </c>
      <c r="K615" s="11">
        <f>O615</f>
        <v/>
      </c>
      <c r="L615" s="11">
        <f>L614+IF(K615&gt;0,K615*Summary!$B$9,K615/Summary!$B$9)</f>
        <v/>
      </c>
      <c r="M615" s="11">
        <f>G615+H615</f>
        <v/>
      </c>
      <c r="N615" s="11">
        <f>Summary!$C$16*Summary!$B$8</f>
        <v/>
      </c>
      <c r="O615" s="11">
        <f>M615-N615</f>
        <v/>
      </c>
    </row>
    <row r="616">
      <c r="A616" s="9" t="n">
        <v>45317.58333333334</v>
      </c>
      <c r="B616" t="n">
        <v>1</v>
      </c>
      <c r="C616" t="n">
        <v>26</v>
      </c>
      <c r="D616" t="n">
        <v>14</v>
      </c>
      <c r="E616" s="10" t="n">
        <v>0.02286</v>
      </c>
      <c r="F616" s="10" t="n">
        <v>0.3662138318913197</v>
      </c>
      <c r="G616" s="11">
        <f>E616*Summary!$B$6</f>
        <v/>
      </c>
      <c r="H616" s="11">
        <f>F616*Summary!$B$7</f>
        <v/>
      </c>
      <c r="I616" s="11">
        <f>MAX(0,N616-M616)</f>
        <v/>
      </c>
      <c r="J616" s="11">
        <f>MAX(0,M616-N616)</f>
        <v/>
      </c>
      <c r="K616" s="11">
        <f>O616</f>
        <v/>
      </c>
      <c r="L616" s="11">
        <f>L615+IF(K616&gt;0,K616*Summary!$B$9,K616/Summary!$B$9)</f>
        <v/>
      </c>
      <c r="M616" s="11">
        <f>G616+H616</f>
        <v/>
      </c>
      <c r="N616" s="11">
        <f>Summary!$C$16*Summary!$B$8</f>
        <v/>
      </c>
      <c r="O616" s="11">
        <f>M616-N616</f>
        <v/>
      </c>
    </row>
    <row r="617">
      <c r="A617" s="9" t="n">
        <v>45317.625</v>
      </c>
      <c r="B617" t="n">
        <v>1</v>
      </c>
      <c r="C617" t="n">
        <v>26</v>
      </c>
      <c r="D617" t="n">
        <v>15</v>
      </c>
      <c r="E617" s="10" t="n">
        <v>0.004458</v>
      </c>
      <c r="F617" s="10" t="n">
        <v>0.3563581815259635</v>
      </c>
      <c r="G617" s="11">
        <f>E617*Summary!$B$6</f>
        <v/>
      </c>
      <c r="H617" s="11">
        <f>F617*Summary!$B$7</f>
        <v/>
      </c>
      <c r="I617" s="11">
        <f>MAX(0,N617-M617)</f>
        <v/>
      </c>
      <c r="J617" s="11">
        <f>MAX(0,M617-N617)</f>
        <v/>
      </c>
      <c r="K617" s="11">
        <f>O617</f>
        <v/>
      </c>
      <c r="L617" s="11">
        <f>L616+IF(K617&gt;0,K617*Summary!$B$9,K617/Summary!$B$9)</f>
        <v/>
      </c>
      <c r="M617" s="11">
        <f>G617+H617</f>
        <v/>
      </c>
      <c r="N617" s="11">
        <f>Summary!$C$16*Summary!$B$8</f>
        <v/>
      </c>
      <c r="O617" s="11">
        <f>M617-N617</f>
        <v/>
      </c>
    </row>
    <row r="618">
      <c r="A618" s="9" t="n">
        <v>45317.66666666666</v>
      </c>
      <c r="B618" t="n">
        <v>1</v>
      </c>
      <c r="C618" t="n">
        <v>26</v>
      </c>
      <c r="D618" t="n">
        <v>16</v>
      </c>
      <c r="E618" s="10" t="n">
        <v>0</v>
      </c>
      <c r="F618" s="10" t="n">
        <v>0.3495066598815984</v>
      </c>
      <c r="G618" s="11">
        <f>E618*Summary!$B$6</f>
        <v/>
      </c>
      <c r="H618" s="11">
        <f>F618*Summary!$B$7</f>
        <v/>
      </c>
      <c r="I618" s="11">
        <f>MAX(0,N618-M618)</f>
        <v/>
      </c>
      <c r="J618" s="11">
        <f>MAX(0,M618-N618)</f>
        <v/>
      </c>
      <c r="K618" s="11">
        <f>O618</f>
        <v/>
      </c>
      <c r="L618" s="11">
        <f>L617+IF(K618&gt;0,K618*Summary!$B$9,K618/Summary!$B$9)</f>
        <v/>
      </c>
      <c r="M618" s="11">
        <f>G618+H618</f>
        <v/>
      </c>
      <c r="N618" s="11">
        <f>Summary!$C$16*Summary!$B$8</f>
        <v/>
      </c>
      <c r="O618" s="11">
        <f>M618-N618</f>
        <v/>
      </c>
    </row>
    <row r="619">
      <c r="A619" s="9" t="n">
        <v>45317.70833333334</v>
      </c>
      <c r="B619" t="n">
        <v>1</v>
      </c>
      <c r="C619" t="n">
        <v>26</v>
      </c>
      <c r="D619" t="n">
        <v>17</v>
      </c>
      <c r="E619" s="10" t="n">
        <v>0</v>
      </c>
      <c r="F619" s="10" t="n">
        <v>0.3416801140032273</v>
      </c>
      <c r="G619" s="11">
        <f>E619*Summary!$B$6</f>
        <v/>
      </c>
      <c r="H619" s="11">
        <f>F619*Summary!$B$7</f>
        <v/>
      </c>
      <c r="I619" s="11">
        <f>MAX(0,N619-M619)</f>
        <v/>
      </c>
      <c r="J619" s="11">
        <f>MAX(0,M619-N619)</f>
        <v/>
      </c>
      <c r="K619" s="11">
        <f>O619</f>
        <v/>
      </c>
      <c r="L619" s="11">
        <f>L618+IF(K619&gt;0,K619*Summary!$B$9,K619/Summary!$B$9)</f>
        <v/>
      </c>
      <c r="M619" s="11">
        <f>G619+H619</f>
        <v/>
      </c>
      <c r="N619" s="11">
        <f>Summary!$C$16*Summary!$B$8</f>
        <v/>
      </c>
      <c r="O619" s="11">
        <f>M619-N619</f>
        <v/>
      </c>
    </row>
    <row r="620">
      <c r="A620" s="9" t="n">
        <v>45317.75</v>
      </c>
      <c r="B620" t="n">
        <v>1</v>
      </c>
      <c r="C620" t="n">
        <v>26</v>
      </c>
      <c r="D620" t="n">
        <v>18</v>
      </c>
      <c r="E620" s="10" t="n">
        <v>0</v>
      </c>
      <c r="F620" s="10" t="n">
        <v>0.3406523857565725</v>
      </c>
      <c r="G620" s="11">
        <f>E620*Summary!$B$6</f>
        <v/>
      </c>
      <c r="H620" s="11">
        <f>F620*Summary!$B$7</f>
        <v/>
      </c>
      <c r="I620" s="11">
        <f>MAX(0,N620-M620)</f>
        <v/>
      </c>
      <c r="J620" s="11">
        <f>MAX(0,M620-N620)</f>
        <v/>
      </c>
      <c r="K620" s="11">
        <f>O620</f>
        <v/>
      </c>
      <c r="L620" s="11">
        <f>L619+IF(K620&gt;0,K620*Summary!$B$9,K620/Summary!$B$9)</f>
        <v/>
      </c>
      <c r="M620" s="11">
        <f>G620+H620</f>
        <v/>
      </c>
      <c r="N620" s="11">
        <f>Summary!$C$16*Summary!$B$8</f>
        <v/>
      </c>
      <c r="O620" s="11">
        <f>M620-N620</f>
        <v/>
      </c>
    </row>
    <row r="621">
      <c r="A621" s="9" t="n">
        <v>45317.79166666666</v>
      </c>
      <c r="B621" t="n">
        <v>1</v>
      </c>
      <c r="C621" t="n">
        <v>26</v>
      </c>
      <c r="D621" t="n">
        <v>19</v>
      </c>
      <c r="E621" s="10" t="n">
        <v>0</v>
      </c>
      <c r="F621" s="10" t="n">
        <v>0.3379908331177999</v>
      </c>
      <c r="G621" s="11">
        <f>E621*Summary!$B$6</f>
        <v/>
      </c>
      <c r="H621" s="11">
        <f>F621*Summary!$B$7</f>
        <v/>
      </c>
      <c r="I621" s="11">
        <f>MAX(0,N621-M621)</f>
        <v/>
      </c>
      <c r="J621" s="11">
        <f>MAX(0,M621-N621)</f>
        <v/>
      </c>
      <c r="K621" s="11">
        <f>O621</f>
        <v/>
      </c>
      <c r="L621" s="11">
        <f>L620+IF(K621&gt;0,K621*Summary!$B$9,K621/Summary!$B$9)</f>
        <v/>
      </c>
      <c r="M621" s="11">
        <f>G621+H621</f>
        <v/>
      </c>
      <c r="N621" s="11">
        <f>Summary!$C$16*Summary!$B$8</f>
        <v/>
      </c>
      <c r="O621" s="11">
        <f>M621-N621</f>
        <v/>
      </c>
    </row>
    <row r="622">
      <c r="A622" s="9" t="n">
        <v>45317.83333333334</v>
      </c>
      <c r="B622" t="n">
        <v>1</v>
      </c>
      <c r="C622" t="n">
        <v>26</v>
      </c>
      <c r="D622" t="n">
        <v>20</v>
      </c>
      <c r="E622" s="10" t="n">
        <v>0</v>
      </c>
      <c r="F622" s="10" t="n">
        <v>0.3348285923588621</v>
      </c>
      <c r="G622" s="11">
        <f>E622*Summary!$B$6</f>
        <v/>
      </c>
      <c r="H622" s="11">
        <f>F622*Summary!$B$7</f>
        <v/>
      </c>
      <c r="I622" s="11">
        <f>MAX(0,N622-M622)</f>
        <v/>
      </c>
      <c r="J622" s="11">
        <f>MAX(0,M622-N622)</f>
        <v/>
      </c>
      <c r="K622" s="11">
        <f>O622</f>
        <v/>
      </c>
      <c r="L622" s="11">
        <f>L621+IF(K622&gt;0,K622*Summary!$B$9,K622/Summary!$B$9)</f>
        <v/>
      </c>
      <c r="M622" s="11">
        <f>G622+H622</f>
        <v/>
      </c>
      <c r="N622" s="11">
        <f>Summary!$C$16*Summary!$B$8</f>
        <v/>
      </c>
      <c r="O622" s="11">
        <f>M622-N622</f>
        <v/>
      </c>
    </row>
    <row r="623">
      <c r="A623" s="9" t="n">
        <v>45317.875</v>
      </c>
      <c r="B623" t="n">
        <v>1</v>
      </c>
      <c r="C623" t="n">
        <v>26</v>
      </c>
      <c r="D623" t="n">
        <v>21</v>
      </c>
      <c r="E623" s="10" t="n">
        <v>0</v>
      </c>
      <c r="F623" s="10" t="n">
        <v>0.3338799201311808</v>
      </c>
      <c r="G623" s="11">
        <f>E623*Summary!$B$6</f>
        <v/>
      </c>
      <c r="H623" s="11">
        <f>F623*Summary!$B$7</f>
        <v/>
      </c>
      <c r="I623" s="11">
        <f>MAX(0,N623-M623)</f>
        <v/>
      </c>
      <c r="J623" s="11">
        <f>MAX(0,M623-N623)</f>
        <v/>
      </c>
      <c r="K623" s="11">
        <f>O623</f>
        <v/>
      </c>
      <c r="L623" s="11">
        <f>L622+IF(K623&gt;0,K623*Summary!$B$9,K623/Summary!$B$9)</f>
        <v/>
      </c>
      <c r="M623" s="11">
        <f>G623+H623</f>
        <v/>
      </c>
      <c r="N623" s="11">
        <f>Summary!$C$16*Summary!$B$8</f>
        <v/>
      </c>
      <c r="O623" s="11">
        <f>M623-N623</f>
        <v/>
      </c>
    </row>
    <row r="624">
      <c r="A624" s="9" t="n">
        <v>45317.91666666666</v>
      </c>
      <c r="B624" t="n">
        <v>1</v>
      </c>
      <c r="C624" t="n">
        <v>26</v>
      </c>
      <c r="D624" t="n">
        <v>22</v>
      </c>
      <c r="E624" s="10" t="n">
        <v>0</v>
      </c>
      <c r="F624" s="10" t="n">
        <v>0.3342224962133991</v>
      </c>
      <c r="G624" s="11">
        <f>E624*Summary!$B$6</f>
        <v/>
      </c>
      <c r="H624" s="11">
        <f>F624*Summary!$B$7</f>
        <v/>
      </c>
      <c r="I624" s="11">
        <f>MAX(0,N624-M624)</f>
        <v/>
      </c>
      <c r="J624" s="11">
        <f>MAX(0,M624-N624)</f>
        <v/>
      </c>
      <c r="K624" s="11">
        <f>O624</f>
        <v/>
      </c>
      <c r="L624" s="11">
        <f>L623+IF(K624&gt;0,K624*Summary!$B$9,K624/Summary!$B$9)</f>
        <v/>
      </c>
      <c r="M624" s="11">
        <f>G624+H624</f>
        <v/>
      </c>
      <c r="N624" s="11">
        <f>Summary!$C$16*Summary!$B$8</f>
        <v/>
      </c>
      <c r="O624" s="11">
        <f>M624-N624</f>
        <v/>
      </c>
    </row>
    <row r="625">
      <c r="A625" s="9" t="n">
        <v>45317.95833333334</v>
      </c>
      <c r="B625" t="n">
        <v>1</v>
      </c>
      <c r="C625" t="n">
        <v>26</v>
      </c>
      <c r="D625" t="n">
        <v>23</v>
      </c>
      <c r="E625" s="10" t="n">
        <v>0</v>
      </c>
      <c r="F625" s="10" t="n">
        <v>0.3352238724537294</v>
      </c>
      <c r="G625" s="11">
        <f>E625*Summary!$B$6</f>
        <v/>
      </c>
      <c r="H625" s="11">
        <f>F625*Summary!$B$7</f>
        <v/>
      </c>
      <c r="I625" s="11">
        <f>MAX(0,N625-M625)</f>
        <v/>
      </c>
      <c r="J625" s="11">
        <f>MAX(0,M625-N625)</f>
        <v/>
      </c>
      <c r="K625" s="11">
        <f>O625</f>
        <v/>
      </c>
      <c r="L625" s="11">
        <f>L624+IF(K625&gt;0,K625*Summary!$B$9,K625/Summary!$B$9)</f>
        <v/>
      </c>
      <c r="M625" s="11">
        <f>G625+H625</f>
        <v/>
      </c>
      <c r="N625" s="11">
        <f>Summary!$C$16*Summary!$B$8</f>
        <v/>
      </c>
      <c r="O625" s="11">
        <f>M625-N625</f>
        <v/>
      </c>
    </row>
    <row r="626">
      <c r="A626" s="9" t="n">
        <v>45318</v>
      </c>
      <c r="B626" t="n">
        <v>1</v>
      </c>
      <c r="C626" t="n">
        <v>27</v>
      </c>
      <c r="D626" t="n">
        <v>0</v>
      </c>
      <c r="E626" s="10" t="n">
        <v>0</v>
      </c>
      <c r="F626" s="10" t="n">
        <v>0.4838228361174806</v>
      </c>
      <c r="G626" s="11">
        <f>E626*Summary!$B$6</f>
        <v/>
      </c>
      <c r="H626" s="11">
        <f>F626*Summary!$B$7</f>
        <v/>
      </c>
      <c r="I626" s="11">
        <f>MAX(0,N626-M626)</f>
        <v/>
      </c>
      <c r="J626" s="11">
        <f>MAX(0,M626-N626)</f>
        <v/>
      </c>
      <c r="K626" s="11">
        <f>O626</f>
        <v/>
      </c>
      <c r="L626" s="11">
        <f>L625+IF(K626&gt;0,K626*Summary!$B$9,K626/Summary!$B$9)</f>
        <v/>
      </c>
      <c r="M626" s="11">
        <f>G626+H626</f>
        <v/>
      </c>
      <c r="N626" s="11">
        <f>Summary!$C$16*Summary!$B$8</f>
        <v/>
      </c>
      <c r="O626" s="11">
        <f>M626-N626</f>
        <v/>
      </c>
    </row>
    <row r="627">
      <c r="A627" s="9" t="n">
        <v>45318.04166666666</v>
      </c>
      <c r="B627" t="n">
        <v>1</v>
      </c>
      <c r="C627" t="n">
        <v>27</v>
      </c>
      <c r="D627" t="n">
        <v>1</v>
      </c>
      <c r="E627" s="10" t="n">
        <v>0</v>
      </c>
      <c r="F627" s="10" t="n">
        <v>0.3318508156441958</v>
      </c>
      <c r="G627" s="11">
        <f>E627*Summary!$B$6</f>
        <v/>
      </c>
      <c r="H627" s="11">
        <f>F627*Summary!$B$7</f>
        <v/>
      </c>
      <c r="I627" s="11">
        <f>MAX(0,N627-M627)</f>
        <v/>
      </c>
      <c r="J627" s="11">
        <f>MAX(0,M627-N627)</f>
        <v/>
      </c>
      <c r="K627" s="11">
        <f>O627</f>
        <v/>
      </c>
      <c r="L627" s="11">
        <f>L626+IF(K627&gt;0,K627*Summary!$B$9,K627/Summary!$B$9)</f>
        <v/>
      </c>
      <c r="M627" s="11">
        <f>G627+H627</f>
        <v/>
      </c>
      <c r="N627" s="11">
        <f>Summary!$C$16*Summary!$B$8</f>
        <v/>
      </c>
      <c r="O627" s="11">
        <f>M627-N627</f>
        <v/>
      </c>
    </row>
    <row r="628">
      <c r="A628" s="9" t="n">
        <v>45318.08333333334</v>
      </c>
      <c r="B628" t="n">
        <v>1</v>
      </c>
      <c r="C628" t="n">
        <v>27</v>
      </c>
      <c r="D628" t="n">
        <v>2</v>
      </c>
      <c r="E628" s="10" t="n">
        <v>0</v>
      </c>
      <c r="F628" s="10" t="n">
        <v>0.327318270556385</v>
      </c>
      <c r="G628" s="11">
        <f>E628*Summary!$B$6</f>
        <v/>
      </c>
      <c r="H628" s="11">
        <f>F628*Summary!$B$7</f>
        <v/>
      </c>
      <c r="I628" s="11">
        <f>MAX(0,N628-M628)</f>
        <v/>
      </c>
      <c r="J628" s="11">
        <f>MAX(0,M628-N628)</f>
        <v/>
      </c>
      <c r="K628" s="11">
        <f>O628</f>
        <v/>
      </c>
      <c r="L628" s="11">
        <f>L627+IF(K628&gt;0,K628*Summary!$B$9,K628/Summary!$B$9)</f>
        <v/>
      </c>
      <c r="M628" s="11">
        <f>G628+H628</f>
        <v/>
      </c>
      <c r="N628" s="11">
        <f>Summary!$C$16*Summary!$B$8</f>
        <v/>
      </c>
      <c r="O628" s="11">
        <f>M628-N628</f>
        <v/>
      </c>
    </row>
    <row r="629">
      <c r="A629" s="9" t="n">
        <v>45318.125</v>
      </c>
      <c r="B629" t="n">
        <v>1</v>
      </c>
      <c r="C629" t="n">
        <v>27</v>
      </c>
      <c r="D629" t="n">
        <v>3</v>
      </c>
      <c r="E629" s="10" t="n">
        <v>0</v>
      </c>
      <c r="F629" s="10" t="n">
        <v>0.326606766385624</v>
      </c>
      <c r="G629" s="11">
        <f>E629*Summary!$B$6</f>
        <v/>
      </c>
      <c r="H629" s="11">
        <f>F629*Summary!$B$7</f>
        <v/>
      </c>
      <c r="I629" s="11">
        <f>MAX(0,N629-M629)</f>
        <v/>
      </c>
      <c r="J629" s="11">
        <f>MAX(0,M629-N629)</f>
        <v/>
      </c>
      <c r="K629" s="11">
        <f>O629</f>
        <v/>
      </c>
      <c r="L629" s="11">
        <f>L628+IF(K629&gt;0,K629*Summary!$B$9,K629/Summary!$B$9)</f>
        <v/>
      </c>
      <c r="M629" s="11">
        <f>G629+H629</f>
        <v/>
      </c>
      <c r="N629" s="11">
        <f>Summary!$C$16*Summary!$B$8</f>
        <v/>
      </c>
      <c r="O629" s="11">
        <f>M629-N629</f>
        <v/>
      </c>
    </row>
    <row r="630">
      <c r="A630" s="9" t="n">
        <v>45318.16666666666</v>
      </c>
      <c r="B630" t="n">
        <v>1</v>
      </c>
      <c r="C630" t="n">
        <v>27</v>
      </c>
      <c r="D630" t="n">
        <v>4</v>
      </c>
      <c r="E630" s="10" t="n">
        <v>0</v>
      </c>
      <c r="F630" s="10" t="n">
        <v>0.3258952622148629</v>
      </c>
      <c r="G630" s="11">
        <f>E630*Summary!$B$6</f>
        <v/>
      </c>
      <c r="H630" s="11">
        <f>F630*Summary!$B$7</f>
        <v/>
      </c>
      <c r="I630" s="11">
        <f>MAX(0,N630-M630)</f>
        <v/>
      </c>
      <c r="J630" s="11">
        <f>MAX(0,M630-N630)</f>
        <v/>
      </c>
      <c r="K630" s="11">
        <f>O630</f>
        <v/>
      </c>
      <c r="L630" s="11">
        <f>L629+IF(K630&gt;0,K630*Summary!$B$9,K630/Summary!$B$9)</f>
        <v/>
      </c>
      <c r="M630" s="11">
        <f>G630+H630</f>
        <v/>
      </c>
      <c r="N630" s="11">
        <f>Summary!$C$16*Summary!$B$8</f>
        <v/>
      </c>
      <c r="O630" s="11">
        <f>M630-N630</f>
        <v/>
      </c>
    </row>
    <row r="631">
      <c r="A631" s="9" t="n">
        <v>45318.20833333334</v>
      </c>
      <c r="B631" t="n">
        <v>1</v>
      </c>
      <c r="C631" t="n">
        <v>27</v>
      </c>
      <c r="D631" t="n">
        <v>5</v>
      </c>
      <c r="E631" s="10" t="n">
        <v>0</v>
      </c>
      <c r="F631" s="10" t="n">
        <v>0.3232073575697658</v>
      </c>
      <c r="G631" s="11">
        <f>E631*Summary!$B$6</f>
        <v/>
      </c>
      <c r="H631" s="11">
        <f>F631*Summary!$B$7</f>
        <v/>
      </c>
      <c r="I631" s="11">
        <f>MAX(0,N631-M631)</f>
        <v/>
      </c>
      <c r="J631" s="11">
        <f>MAX(0,M631-N631)</f>
        <v/>
      </c>
      <c r="K631" s="11">
        <f>O631</f>
        <v/>
      </c>
      <c r="L631" s="11">
        <f>L630+IF(K631&gt;0,K631*Summary!$B$9,K631/Summary!$B$9)</f>
        <v/>
      </c>
      <c r="M631" s="11">
        <f>G631+H631</f>
        <v/>
      </c>
      <c r="N631" s="11">
        <f>Summary!$C$16*Summary!$B$8</f>
        <v/>
      </c>
      <c r="O631" s="11">
        <f>M631-N631</f>
        <v/>
      </c>
    </row>
    <row r="632">
      <c r="A632" s="9" t="n">
        <v>45318.25</v>
      </c>
      <c r="B632" t="n">
        <v>1</v>
      </c>
      <c r="C632" t="n">
        <v>27</v>
      </c>
      <c r="D632" t="n">
        <v>6</v>
      </c>
      <c r="E632" s="10" t="n">
        <v>0</v>
      </c>
      <c r="F632" s="10" t="n">
        <v>0.3131672431601383</v>
      </c>
      <c r="G632" s="11">
        <f>E632*Summary!$B$6</f>
        <v/>
      </c>
      <c r="H632" s="11">
        <f>F632*Summary!$B$7</f>
        <v/>
      </c>
      <c r="I632" s="11">
        <f>MAX(0,N632-M632)</f>
        <v/>
      </c>
      <c r="J632" s="11">
        <f>MAX(0,M632-N632)</f>
        <v/>
      </c>
      <c r="K632" s="11">
        <f>O632</f>
        <v/>
      </c>
      <c r="L632" s="11">
        <f>L631+IF(K632&gt;0,K632*Summary!$B$9,K632/Summary!$B$9)</f>
        <v/>
      </c>
      <c r="M632" s="11">
        <f>G632+H632</f>
        <v/>
      </c>
      <c r="N632" s="11">
        <f>Summary!$C$16*Summary!$B$8</f>
        <v/>
      </c>
      <c r="O632" s="11">
        <f>M632-N632</f>
        <v/>
      </c>
    </row>
    <row r="633">
      <c r="A633" s="9" t="n">
        <v>45318.29166666666</v>
      </c>
      <c r="B633" t="n">
        <v>1</v>
      </c>
      <c r="C633" t="n">
        <v>27</v>
      </c>
      <c r="D633" t="n">
        <v>7</v>
      </c>
      <c r="E633" s="10" t="n">
        <v>0</v>
      </c>
      <c r="F633" s="10" t="n">
        <v>0.3092671462241151</v>
      </c>
      <c r="G633" s="11">
        <f>E633*Summary!$B$6</f>
        <v/>
      </c>
      <c r="H633" s="11">
        <f>F633*Summary!$B$7</f>
        <v/>
      </c>
      <c r="I633" s="11">
        <f>MAX(0,N633-M633)</f>
        <v/>
      </c>
      <c r="J633" s="11">
        <f>MAX(0,M633-N633)</f>
        <v/>
      </c>
      <c r="K633" s="11">
        <f>O633</f>
        <v/>
      </c>
      <c r="L633" s="11">
        <f>L632+IF(K633&gt;0,K633*Summary!$B$9,K633/Summary!$B$9)</f>
        <v/>
      </c>
      <c r="M633" s="11">
        <f>G633+H633</f>
        <v/>
      </c>
      <c r="N633" s="11">
        <f>Summary!$C$16*Summary!$B$8</f>
        <v/>
      </c>
      <c r="O633" s="11">
        <f>M633-N633</f>
        <v/>
      </c>
    </row>
    <row r="634">
      <c r="A634" s="9" t="n">
        <v>45318.33333333334</v>
      </c>
      <c r="B634" t="n">
        <v>1</v>
      </c>
      <c r="C634" t="n">
        <v>27</v>
      </c>
      <c r="D634" t="n">
        <v>8</v>
      </c>
      <c r="E634" s="10" t="n">
        <v>0</v>
      </c>
      <c r="F634" s="10" t="n">
        <v>0.3063684255284221</v>
      </c>
      <c r="G634" s="11">
        <f>E634*Summary!$B$6</f>
        <v/>
      </c>
      <c r="H634" s="11">
        <f>F634*Summary!$B$7</f>
        <v/>
      </c>
      <c r="I634" s="11">
        <f>MAX(0,N634-M634)</f>
        <v/>
      </c>
      <c r="J634" s="11">
        <f>MAX(0,M634-N634)</f>
        <v/>
      </c>
      <c r="K634" s="11">
        <f>O634</f>
        <v/>
      </c>
      <c r="L634" s="11">
        <f>L633+IF(K634&gt;0,K634*Summary!$B$9,K634/Summary!$B$9)</f>
        <v/>
      </c>
      <c r="M634" s="11">
        <f>G634+H634</f>
        <v/>
      </c>
      <c r="N634" s="11">
        <f>Summary!$C$16*Summary!$B$8</f>
        <v/>
      </c>
      <c r="O634" s="11">
        <f>M634-N634</f>
        <v/>
      </c>
    </row>
    <row r="635">
      <c r="A635" s="9" t="n">
        <v>45318.375</v>
      </c>
      <c r="B635" t="n">
        <v>1</v>
      </c>
      <c r="C635" t="n">
        <v>27</v>
      </c>
      <c r="D635" t="n">
        <v>9</v>
      </c>
      <c r="E635" s="10" t="n">
        <v>0.014955</v>
      </c>
      <c r="F635" s="10" t="n">
        <v>0.3111644906794778</v>
      </c>
      <c r="G635" s="11">
        <f>E635*Summary!$B$6</f>
        <v/>
      </c>
      <c r="H635" s="11">
        <f>F635*Summary!$B$7</f>
        <v/>
      </c>
      <c r="I635" s="11">
        <f>MAX(0,N635-M635)</f>
        <v/>
      </c>
      <c r="J635" s="11">
        <f>MAX(0,M635-N635)</f>
        <v/>
      </c>
      <c r="K635" s="11">
        <f>O635</f>
        <v/>
      </c>
      <c r="L635" s="11">
        <f>L634+IF(K635&gt;0,K635*Summary!$B$9,K635/Summary!$B$9)</f>
        <v/>
      </c>
      <c r="M635" s="11">
        <f>G635+H635</f>
        <v/>
      </c>
      <c r="N635" s="11">
        <f>Summary!$C$16*Summary!$B$8</f>
        <v/>
      </c>
      <c r="O635" s="11">
        <f>M635-N635</f>
        <v/>
      </c>
    </row>
    <row r="636">
      <c r="A636" s="9" t="n">
        <v>45318.41666666666</v>
      </c>
      <c r="B636" t="n">
        <v>1</v>
      </c>
      <c r="C636" t="n">
        <v>27</v>
      </c>
      <c r="D636" t="n">
        <v>10</v>
      </c>
      <c r="E636" s="10" t="n">
        <v>0.014525</v>
      </c>
      <c r="F636" s="10" t="n">
        <v>0.3121658669198081</v>
      </c>
      <c r="G636" s="11">
        <f>E636*Summary!$B$6</f>
        <v/>
      </c>
      <c r="H636" s="11">
        <f>F636*Summary!$B$7</f>
        <v/>
      </c>
      <c r="I636" s="11">
        <f>MAX(0,N636-M636)</f>
        <v/>
      </c>
      <c r="J636" s="11">
        <f>MAX(0,M636-N636)</f>
        <v/>
      </c>
      <c r="K636" s="11">
        <f>O636</f>
        <v/>
      </c>
      <c r="L636" s="11">
        <f>L635+IF(K636&gt;0,K636*Summary!$B$9,K636/Summary!$B$9)</f>
        <v/>
      </c>
      <c r="M636" s="11">
        <f>G636+H636</f>
        <v/>
      </c>
      <c r="N636" s="11">
        <f>Summary!$C$16*Summary!$B$8</f>
        <v/>
      </c>
      <c r="O636" s="11">
        <f>M636-N636</f>
        <v/>
      </c>
    </row>
    <row r="637">
      <c r="A637" s="9" t="n">
        <v>45318.45833333334</v>
      </c>
      <c r="B637" t="n">
        <v>1</v>
      </c>
      <c r="C637" t="n">
        <v>27</v>
      </c>
      <c r="D637" t="n">
        <v>11</v>
      </c>
      <c r="E637" s="10" t="n">
        <v>0.018519</v>
      </c>
      <c r="F637" s="10" t="n">
        <v>0.3152754036660969</v>
      </c>
      <c r="G637" s="11">
        <f>E637*Summary!$B$6</f>
        <v/>
      </c>
      <c r="H637" s="11">
        <f>F637*Summary!$B$7</f>
        <v/>
      </c>
      <c r="I637" s="11">
        <f>MAX(0,N637-M637)</f>
        <v/>
      </c>
      <c r="J637" s="11">
        <f>MAX(0,M637-N637)</f>
        <v/>
      </c>
      <c r="K637" s="11">
        <f>O637</f>
        <v/>
      </c>
      <c r="L637" s="11">
        <f>L636+IF(K637&gt;0,K637*Summary!$B$9,K637/Summary!$B$9)</f>
        <v/>
      </c>
      <c r="M637" s="11">
        <f>G637+H637</f>
        <v/>
      </c>
      <c r="N637" s="11">
        <f>Summary!$C$16*Summary!$B$8</f>
        <v/>
      </c>
      <c r="O637" s="11">
        <f>M637-N637</f>
        <v/>
      </c>
    </row>
    <row r="638">
      <c r="A638" s="9" t="n">
        <v>45318.5</v>
      </c>
      <c r="B638" t="n">
        <v>1</v>
      </c>
      <c r="C638" t="n">
        <v>27</v>
      </c>
      <c r="D638" t="n">
        <v>12</v>
      </c>
      <c r="E638" s="10" t="n">
        <v>0.015197</v>
      </c>
      <c r="F638" s="10" t="n">
        <v>0.3234708776330106</v>
      </c>
      <c r="G638" s="11">
        <f>E638*Summary!$B$6</f>
        <v/>
      </c>
      <c r="H638" s="11">
        <f>F638*Summary!$B$7</f>
        <v/>
      </c>
      <c r="I638" s="11">
        <f>MAX(0,N638-M638)</f>
        <v/>
      </c>
      <c r="J638" s="11">
        <f>MAX(0,M638-N638)</f>
        <v/>
      </c>
      <c r="K638" s="11">
        <f>O638</f>
        <v/>
      </c>
      <c r="L638" s="11">
        <f>L637+IF(K638&gt;0,K638*Summary!$B$9,K638/Summary!$B$9)</f>
        <v/>
      </c>
      <c r="M638" s="11">
        <f>G638+H638</f>
        <v/>
      </c>
      <c r="N638" s="11">
        <f>Summary!$C$16*Summary!$B$8</f>
        <v/>
      </c>
      <c r="O638" s="11">
        <f>M638-N638</f>
        <v/>
      </c>
    </row>
    <row r="639">
      <c r="A639" s="9" t="n">
        <v>45318.54166666666</v>
      </c>
      <c r="B639" t="n">
        <v>1</v>
      </c>
      <c r="C639" t="n">
        <v>27</v>
      </c>
      <c r="D639" t="n">
        <v>13</v>
      </c>
      <c r="E639" s="10" t="n">
        <v>0.011196</v>
      </c>
      <c r="F639" s="10" t="n">
        <v>0.3368840488521717</v>
      </c>
      <c r="G639" s="11">
        <f>E639*Summary!$B$6</f>
        <v/>
      </c>
      <c r="H639" s="11">
        <f>F639*Summary!$B$7</f>
        <v/>
      </c>
      <c r="I639" s="11">
        <f>MAX(0,N639-M639)</f>
        <v/>
      </c>
      <c r="J639" s="11">
        <f>MAX(0,M639-N639)</f>
        <v/>
      </c>
      <c r="K639" s="11">
        <f>O639</f>
        <v/>
      </c>
      <c r="L639" s="11">
        <f>L638+IF(K639&gt;0,K639*Summary!$B$9,K639/Summary!$B$9)</f>
        <v/>
      </c>
      <c r="M639" s="11">
        <f>G639+H639</f>
        <v/>
      </c>
      <c r="N639" s="11">
        <f>Summary!$C$16*Summary!$B$8</f>
        <v/>
      </c>
      <c r="O639" s="11">
        <f>M639-N639</f>
        <v/>
      </c>
    </row>
    <row r="640">
      <c r="A640" s="9" t="n">
        <v>45318.58333333334</v>
      </c>
      <c r="B640" t="n">
        <v>1</v>
      </c>
      <c r="C640" t="n">
        <v>27</v>
      </c>
      <c r="D640" t="n">
        <v>14</v>
      </c>
      <c r="E640" s="10" t="n">
        <v>0.011251</v>
      </c>
      <c r="F640" s="10" t="n">
        <v>0.3554622133109312</v>
      </c>
      <c r="G640" s="11">
        <f>E640*Summary!$B$6</f>
        <v/>
      </c>
      <c r="H640" s="11">
        <f>F640*Summary!$B$7</f>
        <v/>
      </c>
      <c r="I640" s="11">
        <f>MAX(0,N640-M640)</f>
        <v/>
      </c>
      <c r="J640" s="11">
        <f>MAX(0,M640-N640)</f>
        <v/>
      </c>
      <c r="K640" s="11">
        <f>O640</f>
        <v/>
      </c>
      <c r="L640" s="11">
        <f>L639+IF(K640&gt;0,K640*Summary!$B$9,K640/Summary!$B$9)</f>
        <v/>
      </c>
      <c r="M640" s="11">
        <f>G640+H640</f>
        <v/>
      </c>
      <c r="N640" s="11">
        <f>Summary!$C$16*Summary!$B$8</f>
        <v/>
      </c>
      <c r="O640" s="11">
        <f>M640-N640</f>
        <v/>
      </c>
    </row>
    <row r="641">
      <c r="A641" s="9" t="n">
        <v>45318.625</v>
      </c>
      <c r="B641" t="n">
        <v>1</v>
      </c>
      <c r="C641" t="n">
        <v>27</v>
      </c>
      <c r="D641" t="n">
        <v>15</v>
      </c>
      <c r="E641" s="10" t="n">
        <v>0.015561</v>
      </c>
      <c r="F641" s="10" t="n">
        <v>0.3702193368526409</v>
      </c>
      <c r="G641" s="11">
        <f>E641*Summary!$B$6</f>
        <v/>
      </c>
      <c r="H641" s="11">
        <f>F641*Summary!$B$7</f>
        <v/>
      </c>
      <c r="I641" s="11">
        <f>MAX(0,N641-M641)</f>
        <v/>
      </c>
      <c r="J641" s="11">
        <f>MAX(0,M641-N641)</f>
        <v/>
      </c>
      <c r="K641" s="11">
        <f>O641</f>
        <v/>
      </c>
      <c r="L641" s="11">
        <f>L640+IF(K641&gt;0,K641*Summary!$B$9,K641/Summary!$B$9)</f>
        <v/>
      </c>
      <c r="M641" s="11">
        <f>G641+H641</f>
        <v/>
      </c>
      <c r="N641" s="11">
        <f>Summary!$C$16*Summary!$B$8</f>
        <v/>
      </c>
      <c r="O641" s="11">
        <f>M641-N641</f>
        <v/>
      </c>
    </row>
    <row r="642">
      <c r="A642" s="9" t="n">
        <v>45318.66666666666</v>
      </c>
      <c r="B642" t="n">
        <v>1</v>
      </c>
      <c r="C642" t="n">
        <v>27</v>
      </c>
      <c r="D642" t="n">
        <v>16</v>
      </c>
      <c r="E642" s="10" t="n">
        <v>0</v>
      </c>
      <c r="F642" s="10" t="n">
        <v>0.3875853090204742</v>
      </c>
      <c r="G642" s="11">
        <f>E642*Summary!$B$6</f>
        <v/>
      </c>
      <c r="H642" s="11">
        <f>F642*Summary!$B$7</f>
        <v/>
      </c>
      <c r="I642" s="11">
        <f>MAX(0,N642-M642)</f>
        <v/>
      </c>
      <c r="J642" s="11">
        <f>MAX(0,M642-N642)</f>
        <v/>
      </c>
      <c r="K642" s="11">
        <f>O642</f>
        <v/>
      </c>
      <c r="L642" s="11">
        <f>L641+IF(K642&gt;0,K642*Summary!$B$9,K642/Summary!$B$9)</f>
        <v/>
      </c>
      <c r="M642" s="11">
        <f>G642+H642</f>
        <v/>
      </c>
      <c r="N642" s="11">
        <f>Summary!$C$16*Summary!$B$8</f>
        <v/>
      </c>
      <c r="O642" s="11">
        <f>M642-N642</f>
        <v/>
      </c>
    </row>
    <row r="643">
      <c r="A643" s="9" t="n">
        <v>45318.70833333334</v>
      </c>
      <c r="B643" t="n">
        <v>1</v>
      </c>
      <c r="C643" t="n">
        <v>27</v>
      </c>
      <c r="D643" t="n">
        <v>17</v>
      </c>
      <c r="E643" s="10" t="n">
        <v>0</v>
      </c>
      <c r="F643" s="10" t="n">
        <v>0.4045032970807912</v>
      </c>
      <c r="G643" s="11">
        <f>E643*Summary!$B$6</f>
        <v/>
      </c>
      <c r="H643" s="11">
        <f>F643*Summary!$B$7</f>
        <v/>
      </c>
      <c r="I643" s="11">
        <f>MAX(0,N643-M643)</f>
        <v/>
      </c>
      <c r="J643" s="11">
        <f>MAX(0,M643-N643)</f>
        <v/>
      </c>
      <c r="K643" s="11">
        <f>O643</f>
        <v/>
      </c>
      <c r="L643" s="11">
        <f>L642+IF(K643&gt;0,K643*Summary!$B$9,K643/Summary!$B$9)</f>
        <v/>
      </c>
      <c r="M643" s="11">
        <f>G643+H643</f>
        <v/>
      </c>
      <c r="N643" s="11">
        <f>Summary!$C$16*Summary!$B$8</f>
        <v/>
      </c>
      <c r="O643" s="11">
        <f>M643-N643</f>
        <v/>
      </c>
    </row>
    <row r="644">
      <c r="A644" s="9" t="n">
        <v>45318.75</v>
      </c>
      <c r="B644" t="n">
        <v>1</v>
      </c>
      <c r="C644" t="n">
        <v>27</v>
      </c>
      <c r="D644" t="n">
        <v>18</v>
      </c>
      <c r="E644" s="10" t="n">
        <v>0</v>
      </c>
      <c r="F644" s="10" t="n">
        <v>0.4173894281734628</v>
      </c>
      <c r="G644" s="11">
        <f>E644*Summary!$B$6</f>
        <v/>
      </c>
      <c r="H644" s="11">
        <f>F644*Summary!$B$7</f>
        <v/>
      </c>
      <c r="I644" s="11">
        <f>MAX(0,N644-M644)</f>
        <v/>
      </c>
      <c r="J644" s="11">
        <f>MAX(0,M644-N644)</f>
        <v/>
      </c>
      <c r="K644" s="11">
        <f>O644</f>
        <v/>
      </c>
      <c r="L644" s="11">
        <f>L643+IF(K644&gt;0,K644*Summary!$B$9,K644/Summary!$B$9)</f>
        <v/>
      </c>
      <c r="M644" s="11">
        <f>G644+H644</f>
        <v/>
      </c>
      <c r="N644" s="11">
        <f>Summary!$C$16*Summary!$B$8</f>
        <v/>
      </c>
      <c r="O644" s="11">
        <f>M644-N644</f>
        <v/>
      </c>
    </row>
    <row r="645">
      <c r="A645" s="9" t="n">
        <v>45318.79166666666</v>
      </c>
      <c r="B645" t="n">
        <v>1</v>
      </c>
      <c r="C645" t="n">
        <v>27</v>
      </c>
      <c r="D645" t="n">
        <v>19</v>
      </c>
      <c r="E645" s="10" t="n">
        <v>0</v>
      </c>
      <c r="F645" s="10" t="n">
        <v>0.431145175474842</v>
      </c>
      <c r="G645" s="11">
        <f>E645*Summary!$B$6</f>
        <v/>
      </c>
      <c r="H645" s="11">
        <f>F645*Summary!$B$7</f>
        <v/>
      </c>
      <c r="I645" s="11">
        <f>MAX(0,N645-M645)</f>
        <v/>
      </c>
      <c r="J645" s="11">
        <f>MAX(0,M645-N645)</f>
        <v/>
      </c>
      <c r="K645" s="11">
        <f>O645</f>
        <v/>
      </c>
      <c r="L645" s="11">
        <f>L644+IF(K645&gt;0,K645*Summary!$B$9,K645/Summary!$B$9)</f>
        <v/>
      </c>
      <c r="M645" s="11">
        <f>G645+H645</f>
        <v/>
      </c>
      <c r="N645" s="11">
        <f>Summary!$C$16*Summary!$B$8</f>
        <v/>
      </c>
      <c r="O645" s="11">
        <f>M645-N645</f>
        <v/>
      </c>
    </row>
    <row r="646">
      <c r="A646" s="9" t="n">
        <v>45318.83333333334</v>
      </c>
      <c r="B646" t="n">
        <v>1</v>
      </c>
      <c r="C646" t="n">
        <v>27</v>
      </c>
      <c r="D646" t="n">
        <v>20</v>
      </c>
      <c r="E646" s="10" t="n">
        <v>0</v>
      </c>
      <c r="F646" s="10" t="n">
        <v>0.444163066599136</v>
      </c>
      <c r="G646" s="11">
        <f>E646*Summary!$B$6</f>
        <v/>
      </c>
      <c r="H646" s="11">
        <f>F646*Summary!$B$7</f>
        <v/>
      </c>
      <c r="I646" s="11">
        <f>MAX(0,N646-M646)</f>
        <v/>
      </c>
      <c r="J646" s="11">
        <f>MAX(0,M646-N646)</f>
        <v/>
      </c>
      <c r="K646" s="11">
        <f>O646</f>
        <v/>
      </c>
      <c r="L646" s="11">
        <f>L645+IF(K646&gt;0,K646*Summary!$B$9,K646/Summary!$B$9)</f>
        <v/>
      </c>
      <c r="M646" s="11">
        <f>G646+H646</f>
        <v/>
      </c>
      <c r="N646" s="11">
        <f>Summary!$C$16*Summary!$B$8</f>
        <v/>
      </c>
      <c r="O646" s="11">
        <f>M646-N646</f>
        <v/>
      </c>
    </row>
    <row r="647">
      <c r="A647" s="9" t="n">
        <v>45318.875</v>
      </c>
      <c r="B647" t="n">
        <v>1</v>
      </c>
      <c r="C647" t="n">
        <v>27</v>
      </c>
      <c r="D647" t="n">
        <v>21</v>
      </c>
      <c r="E647" s="10" t="n">
        <v>0</v>
      </c>
      <c r="F647" s="10" t="n">
        <v>0.4600533264127983</v>
      </c>
      <c r="G647" s="11">
        <f>E647*Summary!$B$6</f>
        <v/>
      </c>
      <c r="H647" s="11">
        <f>F647*Summary!$B$7</f>
        <v/>
      </c>
      <c r="I647" s="11">
        <f>MAX(0,N647-M647)</f>
        <v/>
      </c>
      <c r="J647" s="11">
        <f>MAX(0,M647-N647)</f>
        <v/>
      </c>
      <c r="K647" s="11">
        <f>O647</f>
        <v/>
      </c>
      <c r="L647" s="11">
        <f>L646+IF(K647&gt;0,K647*Summary!$B$9,K647/Summary!$B$9)</f>
        <v/>
      </c>
      <c r="M647" s="11">
        <f>G647+H647</f>
        <v/>
      </c>
      <c r="N647" s="11">
        <f>Summary!$C$16*Summary!$B$8</f>
        <v/>
      </c>
      <c r="O647" s="11">
        <f>M647-N647</f>
        <v/>
      </c>
    </row>
    <row r="648">
      <c r="A648" s="9" t="n">
        <v>45318.91666666666</v>
      </c>
      <c r="B648" t="n">
        <v>1</v>
      </c>
      <c r="C648" t="n">
        <v>27</v>
      </c>
      <c r="D648" t="n">
        <v>22</v>
      </c>
      <c r="E648" s="10" t="n">
        <v>0</v>
      </c>
      <c r="F648" s="10" t="n">
        <v>0.4707522409805379</v>
      </c>
      <c r="G648" s="11">
        <f>E648*Summary!$B$6</f>
        <v/>
      </c>
      <c r="H648" s="11">
        <f>F648*Summary!$B$7</f>
        <v/>
      </c>
      <c r="I648" s="11">
        <f>MAX(0,N648-M648)</f>
        <v/>
      </c>
      <c r="J648" s="11">
        <f>MAX(0,M648-N648)</f>
        <v/>
      </c>
      <c r="K648" s="11">
        <f>O648</f>
        <v/>
      </c>
      <c r="L648" s="11">
        <f>L647+IF(K648&gt;0,K648*Summary!$B$9,K648/Summary!$B$9)</f>
        <v/>
      </c>
      <c r="M648" s="11">
        <f>G648+H648</f>
        <v/>
      </c>
      <c r="N648" s="11">
        <f>Summary!$C$16*Summary!$B$8</f>
        <v/>
      </c>
      <c r="O648" s="11">
        <f>M648-N648</f>
        <v/>
      </c>
    </row>
    <row r="649">
      <c r="A649" s="9" t="n">
        <v>45318.95833333334</v>
      </c>
      <c r="B649" t="n">
        <v>1</v>
      </c>
      <c r="C649" t="n">
        <v>27</v>
      </c>
      <c r="D649" t="n">
        <v>23</v>
      </c>
      <c r="E649" s="10" t="n">
        <v>0</v>
      </c>
      <c r="F649" s="10" t="n">
        <v>0.4781308027513926</v>
      </c>
      <c r="G649" s="11">
        <f>E649*Summary!$B$6</f>
        <v/>
      </c>
      <c r="H649" s="11">
        <f>F649*Summary!$B$7</f>
        <v/>
      </c>
      <c r="I649" s="11">
        <f>MAX(0,N649-M649)</f>
        <v/>
      </c>
      <c r="J649" s="11">
        <f>MAX(0,M649-N649)</f>
        <v/>
      </c>
      <c r="K649" s="11">
        <f>O649</f>
        <v/>
      </c>
      <c r="L649" s="11">
        <f>L648+IF(K649&gt;0,K649*Summary!$B$9,K649/Summary!$B$9)</f>
        <v/>
      </c>
      <c r="M649" s="11">
        <f>G649+H649</f>
        <v/>
      </c>
      <c r="N649" s="11">
        <f>Summary!$C$16*Summary!$B$8</f>
        <v/>
      </c>
      <c r="O649" s="11">
        <f>M649-N649</f>
        <v/>
      </c>
    </row>
    <row r="650">
      <c r="A650" s="9" t="n">
        <v>45319</v>
      </c>
      <c r="B650" t="n">
        <v>1</v>
      </c>
      <c r="C650" t="n">
        <v>28</v>
      </c>
      <c r="D650" t="n">
        <v>0</v>
      </c>
      <c r="E650" s="10" t="n">
        <v>0</v>
      </c>
      <c r="F650" s="10" t="n">
        <v>0.3989166717400012</v>
      </c>
      <c r="G650" s="11">
        <f>E650*Summary!$B$6</f>
        <v/>
      </c>
      <c r="H650" s="11">
        <f>F650*Summary!$B$7</f>
        <v/>
      </c>
      <c r="I650" s="11">
        <f>MAX(0,N650-M650)</f>
        <v/>
      </c>
      <c r="J650" s="11">
        <f>MAX(0,M650-N650)</f>
        <v/>
      </c>
      <c r="K650" s="11">
        <f>O650</f>
        <v/>
      </c>
      <c r="L650" s="11">
        <f>L649+IF(K650&gt;0,K650*Summary!$B$9,K650/Summary!$B$9)</f>
        <v/>
      </c>
      <c r="M650" s="11">
        <f>G650+H650</f>
        <v/>
      </c>
      <c r="N650" s="11">
        <f>Summary!$C$16*Summary!$B$8</f>
        <v/>
      </c>
      <c r="O650" s="11">
        <f>M650-N650</f>
        <v/>
      </c>
    </row>
    <row r="651">
      <c r="A651" s="9" t="n">
        <v>45319.04166666666</v>
      </c>
      <c r="B651" t="n">
        <v>1</v>
      </c>
      <c r="C651" t="n">
        <v>28</v>
      </c>
      <c r="D651" t="n">
        <v>1</v>
      </c>
      <c r="E651" s="10" t="n">
        <v>0</v>
      </c>
      <c r="F651" s="10" t="n">
        <v>0.4779990427197702</v>
      </c>
      <c r="G651" s="11">
        <f>E651*Summary!$B$6</f>
        <v/>
      </c>
      <c r="H651" s="11">
        <f>F651*Summary!$B$7</f>
        <v/>
      </c>
      <c r="I651" s="11">
        <f>MAX(0,N651-M651)</f>
        <v/>
      </c>
      <c r="J651" s="11">
        <f>MAX(0,M651-N651)</f>
        <v/>
      </c>
      <c r="K651" s="11">
        <f>O651</f>
        <v/>
      </c>
      <c r="L651" s="11">
        <f>L650+IF(K651&gt;0,K651*Summary!$B$9,K651/Summary!$B$9)</f>
        <v/>
      </c>
      <c r="M651" s="11">
        <f>G651+H651</f>
        <v/>
      </c>
      <c r="N651" s="11">
        <f>Summary!$C$16*Summary!$B$8</f>
        <v/>
      </c>
      <c r="O651" s="11">
        <f>M651-N651</f>
        <v/>
      </c>
    </row>
    <row r="652">
      <c r="A652" s="9" t="n">
        <v>45319.08333333334</v>
      </c>
      <c r="B652" t="n">
        <v>1</v>
      </c>
      <c r="C652" t="n">
        <v>28</v>
      </c>
      <c r="D652" t="n">
        <v>2</v>
      </c>
      <c r="E652" s="10" t="n">
        <v>0</v>
      </c>
      <c r="F652" s="10" t="n">
        <v>0.4822944197506607</v>
      </c>
      <c r="G652" s="11">
        <f>E652*Summary!$B$6</f>
        <v/>
      </c>
      <c r="H652" s="11">
        <f>F652*Summary!$B$7</f>
        <v/>
      </c>
      <c r="I652" s="11">
        <f>MAX(0,N652-M652)</f>
        <v/>
      </c>
      <c r="J652" s="11">
        <f>MAX(0,M652-N652)</f>
        <v/>
      </c>
      <c r="K652" s="11">
        <f>O652</f>
        <v/>
      </c>
      <c r="L652" s="11">
        <f>L651+IF(K652&gt;0,K652*Summary!$B$9,K652/Summary!$B$9)</f>
        <v/>
      </c>
      <c r="M652" s="11">
        <f>G652+H652</f>
        <v/>
      </c>
      <c r="N652" s="11">
        <f>Summary!$C$16*Summary!$B$8</f>
        <v/>
      </c>
      <c r="O652" s="11">
        <f>M652-N652</f>
        <v/>
      </c>
    </row>
    <row r="653">
      <c r="A653" s="9" t="n">
        <v>45319.125</v>
      </c>
      <c r="B653" t="n">
        <v>1</v>
      </c>
      <c r="C653" t="n">
        <v>28</v>
      </c>
      <c r="D653" t="n">
        <v>3</v>
      </c>
      <c r="E653" s="10" t="n">
        <v>0</v>
      </c>
      <c r="F653" s="10" t="n">
        <v>0.4823207717569852</v>
      </c>
      <c r="G653" s="11">
        <f>E653*Summary!$B$6</f>
        <v/>
      </c>
      <c r="H653" s="11">
        <f>F653*Summary!$B$7</f>
        <v/>
      </c>
      <c r="I653" s="11">
        <f>MAX(0,N653-M653)</f>
        <v/>
      </c>
      <c r="J653" s="11">
        <f>MAX(0,M653-N653)</f>
        <v/>
      </c>
      <c r="K653" s="11">
        <f>O653</f>
        <v/>
      </c>
      <c r="L653" s="11">
        <f>L652+IF(K653&gt;0,K653*Summary!$B$9,K653/Summary!$B$9)</f>
        <v/>
      </c>
      <c r="M653" s="11">
        <f>G653+H653</f>
        <v/>
      </c>
      <c r="N653" s="11">
        <f>Summary!$C$16*Summary!$B$8</f>
        <v/>
      </c>
      <c r="O653" s="11">
        <f>M653-N653</f>
        <v/>
      </c>
    </row>
    <row r="654">
      <c r="A654" s="9" t="n">
        <v>45319.16666666666</v>
      </c>
      <c r="B654" t="n">
        <v>1</v>
      </c>
      <c r="C654" t="n">
        <v>28</v>
      </c>
      <c r="D654" t="n">
        <v>4</v>
      </c>
      <c r="E654" s="10" t="n">
        <v>0</v>
      </c>
      <c r="F654" s="10" t="n">
        <v>0.4793956990549678</v>
      </c>
      <c r="G654" s="11">
        <f>E654*Summary!$B$6</f>
        <v/>
      </c>
      <c r="H654" s="11">
        <f>F654*Summary!$B$7</f>
        <v/>
      </c>
      <c r="I654" s="11">
        <f>MAX(0,N654-M654)</f>
        <v/>
      </c>
      <c r="J654" s="11">
        <f>MAX(0,M654-N654)</f>
        <v/>
      </c>
      <c r="K654" s="11">
        <f>O654</f>
        <v/>
      </c>
      <c r="L654" s="11">
        <f>L653+IF(K654&gt;0,K654*Summary!$B$9,K654/Summary!$B$9)</f>
        <v/>
      </c>
      <c r="M654" s="11">
        <f>G654+H654</f>
        <v/>
      </c>
      <c r="N654" s="11">
        <f>Summary!$C$16*Summary!$B$8</f>
        <v/>
      </c>
      <c r="O654" s="11">
        <f>M654-N654</f>
        <v/>
      </c>
    </row>
    <row r="655">
      <c r="A655" s="9" t="n">
        <v>45319.20833333334</v>
      </c>
      <c r="B655" t="n">
        <v>1</v>
      </c>
      <c r="C655" t="n">
        <v>28</v>
      </c>
      <c r="D655" t="n">
        <v>5</v>
      </c>
      <c r="E655" s="10" t="n">
        <v>0</v>
      </c>
      <c r="F655" s="10" t="n">
        <v>0.4746523379165611</v>
      </c>
      <c r="G655" s="11">
        <f>E655*Summary!$B$6</f>
        <v/>
      </c>
      <c r="H655" s="11">
        <f>F655*Summary!$B$7</f>
        <v/>
      </c>
      <c r="I655" s="11">
        <f>MAX(0,N655-M655)</f>
        <v/>
      </c>
      <c r="J655" s="11">
        <f>MAX(0,M655-N655)</f>
        <v/>
      </c>
      <c r="K655" s="11">
        <f>O655</f>
        <v/>
      </c>
      <c r="L655" s="11">
        <f>L654+IF(K655&gt;0,K655*Summary!$B$9,K655/Summary!$B$9)</f>
        <v/>
      </c>
      <c r="M655" s="11">
        <f>G655+H655</f>
        <v/>
      </c>
      <c r="N655" s="11">
        <f>Summary!$C$16*Summary!$B$8</f>
        <v/>
      </c>
      <c r="O655" s="11">
        <f>M655-N655</f>
        <v/>
      </c>
    </row>
    <row r="656">
      <c r="A656" s="9" t="n">
        <v>45319.25</v>
      </c>
      <c r="B656" t="n">
        <v>1</v>
      </c>
      <c r="C656" t="n">
        <v>28</v>
      </c>
      <c r="D656" t="n">
        <v>6</v>
      </c>
      <c r="E656" s="10" t="n">
        <v>0</v>
      </c>
      <c r="F656" s="10" t="n">
        <v>0.4700143848034523</v>
      </c>
      <c r="G656" s="11">
        <f>E656*Summary!$B$6</f>
        <v/>
      </c>
      <c r="H656" s="11">
        <f>F656*Summary!$B$7</f>
        <v/>
      </c>
      <c r="I656" s="11">
        <f>MAX(0,N656-M656)</f>
        <v/>
      </c>
      <c r="J656" s="11">
        <f>MAX(0,M656-N656)</f>
        <v/>
      </c>
      <c r="K656" s="11">
        <f>O656</f>
        <v/>
      </c>
      <c r="L656" s="11">
        <f>L655+IF(K656&gt;0,K656*Summary!$B$9,K656/Summary!$B$9)</f>
        <v/>
      </c>
      <c r="M656" s="11">
        <f>G656+H656</f>
        <v/>
      </c>
      <c r="N656" s="11">
        <f>Summary!$C$16*Summary!$B$8</f>
        <v/>
      </c>
      <c r="O656" s="11">
        <f>M656-N656</f>
        <v/>
      </c>
    </row>
    <row r="657">
      <c r="A657" s="9" t="n">
        <v>45319.29166666666</v>
      </c>
      <c r="B657" t="n">
        <v>1</v>
      </c>
      <c r="C657" t="n">
        <v>28</v>
      </c>
      <c r="D657" t="n">
        <v>7</v>
      </c>
      <c r="E657" s="10" t="n">
        <v>0</v>
      </c>
      <c r="F657" s="10" t="n">
        <v>0.4606330705519369</v>
      </c>
      <c r="G657" s="11">
        <f>E657*Summary!$B$6</f>
        <v/>
      </c>
      <c r="H657" s="11">
        <f>F657*Summary!$B$7</f>
        <v/>
      </c>
      <c r="I657" s="11">
        <f>MAX(0,N657-M657)</f>
        <v/>
      </c>
      <c r="J657" s="11">
        <f>MAX(0,M657-N657)</f>
        <v/>
      </c>
      <c r="K657" s="11">
        <f>O657</f>
        <v/>
      </c>
      <c r="L657" s="11">
        <f>L656+IF(K657&gt;0,K657*Summary!$B$9,K657/Summary!$B$9)</f>
        <v/>
      </c>
      <c r="M657" s="11">
        <f>G657+H657</f>
        <v/>
      </c>
      <c r="N657" s="11">
        <f>Summary!$C$16*Summary!$B$8</f>
        <v/>
      </c>
      <c r="O657" s="11">
        <f>M657-N657</f>
        <v/>
      </c>
    </row>
    <row r="658">
      <c r="A658" s="9" t="n">
        <v>45319.33333333334</v>
      </c>
      <c r="B658" t="n">
        <v>1</v>
      </c>
      <c r="C658" t="n">
        <v>28</v>
      </c>
      <c r="D658" t="n">
        <v>8</v>
      </c>
      <c r="E658" s="10" t="n">
        <v>0</v>
      </c>
      <c r="F658" s="10" t="n">
        <v>0.4518051484332356</v>
      </c>
      <c r="G658" s="11">
        <f>E658*Summary!$B$6</f>
        <v/>
      </c>
      <c r="H658" s="11">
        <f>F658*Summary!$B$7</f>
        <v/>
      </c>
      <c r="I658" s="11">
        <f>MAX(0,N658-M658)</f>
        <v/>
      </c>
      <c r="J658" s="11">
        <f>MAX(0,M658-N658)</f>
        <v/>
      </c>
      <c r="K658" s="11">
        <f>O658</f>
        <v/>
      </c>
      <c r="L658" s="11">
        <f>L657+IF(K658&gt;0,K658*Summary!$B$9,K658/Summary!$B$9)</f>
        <v/>
      </c>
      <c r="M658" s="11">
        <f>G658+H658</f>
        <v/>
      </c>
      <c r="N658" s="11">
        <f>Summary!$C$16*Summary!$B$8</f>
        <v/>
      </c>
      <c r="O658" s="11">
        <f>M658-N658</f>
        <v/>
      </c>
    </row>
    <row r="659">
      <c r="A659" s="9" t="n">
        <v>45319.375</v>
      </c>
      <c r="B659" t="n">
        <v>1</v>
      </c>
      <c r="C659" t="n">
        <v>28</v>
      </c>
      <c r="D659" t="n">
        <v>9</v>
      </c>
      <c r="E659" s="10" t="n">
        <v>0.005017</v>
      </c>
      <c r="F659" s="10" t="n">
        <v>0.4385764412583459</v>
      </c>
      <c r="G659" s="11">
        <f>E659*Summary!$B$6</f>
        <v/>
      </c>
      <c r="H659" s="11">
        <f>F659*Summary!$B$7</f>
        <v/>
      </c>
      <c r="I659" s="11">
        <f>MAX(0,N659-M659)</f>
        <v/>
      </c>
      <c r="J659" s="11">
        <f>MAX(0,M659-N659)</f>
        <v/>
      </c>
      <c r="K659" s="11">
        <f>O659</f>
        <v/>
      </c>
      <c r="L659" s="11">
        <f>L658+IF(K659&gt;0,K659*Summary!$B$9,K659/Summary!$B$9)</f>
        <v/>
      </c>
      <c r="M659" s="11">
        <f>G659+H659</f>
        <v/>
      </c>
      <c r="N659" s="11">
        <f>Summary!$C$16*Summary!$B$8</f>
        <v/>
      </c>
      <c r="O659" s="11">
        <f>M659-N659</f>
        <v/>
      </c>
    </row>
    <row r="660">
      <c r="A660" s="9" t="n">
        <v>45319.41666666666</v>
      </c>
      <c r="B660" t="n">
        <v>1</v>
      </c>
      <c r="C660" t="n">
        <v>28</v>
      </c>
      <c r="D660" t="n">
        <v>10</v>
      </c>
      <c r="E660" s="10" t="n">
        <v>0.008902</v>
      </c>
      <c r="F660" s="10" t="n">
        <v>0.4223172533561408</v>
      </c>
      <c r="G660" s="11">
        <f>E660*Summary!$B$6</f>
        <v/>
      </c>
      <c r="H660" s="11">
        <f>F660*Summary!$B$7</f>
        <v/>
      </c>
      <c r="I660" s="11">
        <f>MAX(0,N660-M660)</f>
        <v/>
      </c>
      <c r="J660" s="11">
        <f>MAX(0,M660-N660)</f>
        <v/>
      </c>
      <c r="K660" s="11">
        <f>O660</f>
        <v/>
      </c>
      <c r="L660" s="11">
        <f>L659+IF(K660&gt;0,K660*Summary!$B$9,K660/Summary!$B$9)</f>
        <v/>
      </c>
      <c r="M660" s="11">
        <f>G660+H660</f>
        <v/>
      </c>
      <c r="N660" s="11">
        <f>Summary!$C$16*Summary!$B$8</f>
        <v/>
      </c>
      <c r="O660" s="11">
        <f>M660-N660</f>
        <v/>
      </c>
    </row>
    <row r="661">
      <c r="A661" s="9" t="n">
        <v>45319.45833333334</v>
      </c>
      <c r="B661" t="n">
        <v>1</v>
      </c>
      <c r="C661" t="n">
        <v>28</v>
      </c>
      <c r="D661" t="n">
        <v>11</v>
      </c>
      <c r="E661" s="10" t="n">
        <v>0.026394</v>
      </c>
      <c r="F661" s="10" t="n">
        <v>0.4017890404293697</v>
      </c>
      <c r="G661" s="11">
        <f>E661*Summary!$B$6</f>
        <v/>
      </c>
      <c r="H661" s="11">
        <f>F661*Summary!$B$7</f>
        <v/>
      </c>
      <c r="I661" s="11">
        <f>MAX(0,N661-M661)</f>
        <v/>
      </c>
      <c r="J661" s="11">
        <f>MAX(0,M661-N661)</f>
        <v/>
      </c>
      <c r="K661" s="11">
        <f>O661</f>
        <v/>
      </c>
      <c r="L661" s="11">
        <f>L660+IF(K661&gt;0,K661*Summary!$B$9,K661/Summary!$B$9)</f>
        <v/>
      </c>
      <c r="M661" s="11">
        <f>G661+H661</f>
        <v/>
      </c>
      <c r="N661" s="11">
        <f>Summary!$C$16*Summary!$B$8</f>
        <v/>
      </c>
      <c r="O661" s="11">
        <f>M661-N661</f>
        <v/>
      </c>
    </row>
    <row r="662">
      <c r="A662" s="9" t="n">
        <v>45319.5</v>
      </c>
      <c r="B662" t="n">
        <v>1</v>
      </c>
      <c r="C662" t="n">
        <v>28</v>
      </c>
      <c r="D662" t="n">
        <v>12</v>
      </c>
      <c r="E662" s="10" t="n">
        <v>0.028037</v>
      </c>
      <c r="F662" s="10" t="n">
        <v>0.3856879645651115</v>
      </c>
      <c r="G662" s="11">
        <f>E662*Summary!$B$6</f>
        <v/>
      </c>
      <c r="H662" s="11">
        <f>F662*Summary!$B$7</f>
        <v/>
      </c>
      <c r="I662" s="11">
        <f>MAX(0,N662-M662)</f>
        <v/>
      </c>
      <c r="J662" s="11">
        <f>MAX(0,M662-N662)</f>
        <v/>
      </c>
      <c r="K662" s="11">
        <f>O662</f>
        <v/>
      </c>
      <c r="L662" s="11">
        <f>L661+IF(K662&gt;0,K662*Summary!$B$9,K662/Summary!$B$9)</f>
        <v/>
      </c>
      <c r="M662" s="11">
        <f>G662+H662</f>
        <v/>
      </c>
      <c r="N662" s="11">
        <f>Summary!$C$16*Summary!$B$8</f>
        <v/>
      </c>
      <c r="O662" s="11">
        <f>M662-N662</f>
        <v/>
      </c>
    </row>
    <row r="663">
      <c r="A663" s="9" t="n">
        <v>45319.54166666666</v>
      </c>
      <c r="B663" t="n">
        <v>1</v>
      </c>
      <c r="C663" t="n">
        <v>28</v>
      </c>
      <c r="D663" t="n">
        <v>13</v>
      </c>
      <c r="E663" s="10" t="n">
        <v>0.044182</v>
      </c>
      <c r="F663" s="10" t="n">
        <v>0.3745410658898558</v>
      </c>
      <c r="G663" s="11">
        <f>E663*Summary!$B$6</f>
        <v/>
      </c>
      <c r="H663" s="11">
        <f>F663*Summary!$B$7</f>
        <v/>
      </c>
      <c r="I663" s="11">
        <f>MAX(0,N663-M663)</f>
        <v/>
      </c>
      <c r="J663" s="11">
        <f>MAX(0,M663-N663)</f>
        <v/>
      </c>
      <c r="K663" s="11">
        <f>O663</f>
        <v/>
      </c>
      <c r="L663" s="11">
        <f>L662+IF(K663&gt;0,K663*Summary!$B$9,K663/Summary!$B$9)</f>
        <v/>
      </c>
      <c r="M663" s="11">
        <f>G663+H663</f>
        <v/>
      </c>
      <c r="N663" s="11">
        <f>Summary!$C$16*Summary!$B$8</f>
        <v/>
      </c>
      <c r="O663" s="11">
        <f>M663-N663</f>
        <v/>
      </c>
    </row>
    <row r="664">
      <c r="A664" s="9" t="n">
        <v>45319.58333333334</v>
      </c>
      <c r="B664" t="n">
        <v>1</v>
      </c>
      <c r="C664" t="n">
        <v>28</v>
      </c>
      <c r="D664" t="n">
        <v>14</v>
      </c>
      <c r="E664" s="10" t="n">
        <v>0.01297</v>
      </c>
      <c r="F664" s="10" t="n">
        <v>0.3735923936621744</v>
      </c>
      <c r="G664" s="11">
        <f>E664*Summary!$B$6</f>
        <v/>
      </c>
      <c r="H664" s="11">
        <f>F664*Summary!$B$7</f>
        <v/>
      </c>
      <c r="I664" s="11">
        <f>MAX(0,N664-M664)</f>
        <v/>
      </c>
      <c r="J664" s="11">
        <f>MAX(0,M664-N664)</f>
        <v/>
      </c>
      <c r="K664" s="11">
        <f>O664</f>
        <v/>
      </c>
      <c r="L664" s="11">
        <f>L663+IF(K664&gt;0,K664*Summary!$B$9,K664/Summary!$B$9)</f>
        <v/>
      </c>
      <c r="M664" s="11">
        <f>G664+H664</f>
        <v/>
      </c>
      <c r="N664" s="11">
        <f>Summary!$C$16*Summary!$B$8</f>
        <v/>
      </c>
      <c r="O664" s="11">
        <f>M664-N664</f>
        <v/>
      </c>
    </row>
    <row r="665">
      <c r="A665" s="9" t="n">
        <v>45319.625</v>
      </c>
      <c r="B665" t="n">
        <v>1</v>
      </c>
      <c r="C665" t="n">
        <v>28</v>
      </c>
      <c r="D665" t="n">
        <v>15</v>
      </c>
      <c r="E665" s="10" t="n">
        <v>0.003507</v>
      </c>
      <c r="F665" s="10" t="n">
        <v>0.3803385072812417</v>
      </c>
      <c r="G665" s="11">
        <f>E665*Summary!$B$6</f>
        <v/>
      </c>
      <c r="H665" s="11">
        <f>F665*Summary!$B$7</f>
        <v/>
      </c>
      <c r="I665" s="11">
        <f>MAX(0,N665-M665)</f>
        <v/>
      </c>
      <c r="J665" s="11">
        <f>MAX(0,M665-N665)</f>
        <v/>
      </c>
      <c r="K665" s="11">
        <f>O665</f>
        <v/>
      </c>
      <c r="L665" s="11">
        <f>L664+IF(K665&gt;0,K665*Summary!$B$9,K665/Summary!$B$9)</f>
        <v/>
      </c>
      <c r="M665" s="11">
        <f>G665+H665</f>
        <v/>
      </c>
      <c r="N665" s="11">
        <f>Summary!$C$16*Summary!$B$8</f>
        <v/>
      </c>
      <c r="O665" s="11">
        <f>M665-N665</f>
        <v/>
      </c>
    </row>
    <row r="666">
      <c r="A666" s="9" t="n">
        <v>45319.66666666666</v>
      </c>
      <c r="B666" t="n">
        <v>1</v>
      </c>
      <c r="C666" t="n">
        <v>28</v>
      </c>
      <c r="D666" t="n">
        <v>16</v>
      </c>
      <c r="E666" s="10" t="n">
        <v>0</v>
      </c>
      <c r="F666" s="10" t="n">
        <v>0.3852926844702443</v>
      </c>
      <c r="G666" s="11">
        <f>E666*Summary!$B$6</f>
        <v/>
      </c>
      <c r="H666" s="11">
        <f>F666*Summary!$B$7</f>
        <v/>
      </c>
      <c r="I666" s="11">
        <f>MAX(0,N666-M666)</f>
        <v/>
      </c>
      <c r="J666" s="11">
        <f>MAX(0,M666-N666)</f>
        <v/>
      </c>
      <c r="K666" s="11">
        <f>O666</f>
        <v/>
      </c>
      <c r="L666" s="11">
        <f>L665+IF(K666&gt;0,K666*Summary!$B$9,K666/Summary!$B$9)</f>
        <v/>
      </c>
      <c r="M666" s="11">
        <f>G666+H666</f>
        <v/>
      </c>
      <c r="N666" s="11">
        <f>Summary!$C$16*Summary!$B$8</f>
        <v/>
      </c>
      <c r="O666" s="11">
        <f>M666-N666</f>
        <v/>
      </c>
    </row>
    <row r="667">
      <c r="A667" s="9" t="n">
        <v>45319.70833333334</v>
      </c>
      <c r="B667" t="n">
        <v>1</v>
      </c>
      <c r="C667" t="n">
        <v>28</v>
      </c>
      <c r="D667" t="n">
        <v>17</v>
      </c>
      <c r="E667" s="10" t="n">
        <v>0</v>
      </c>
      <c r="F667" s="10" t="n">
        <v>0.3922759661462319</v>
      </c>
      <c r="G667" s="11">
        <f>E667*Summary!$B$6</f>
        <v/>
      </c>
      <c r="H667" s="11">
        <f>F667*Summary!$B$7</f>
        <v/>
      </c>
      <c r="I667" s="11">
        <f>MAX(0,N667-M667)</f>
        <v/>
      </c>
      <c r="J667" s="11">
        <f>MAX(0,M667-N667)</f>
        <v/>
      </c>
      <c r="K667" s="11">
        <f>O667</f>
        <v/>
      </c>
      <c r="L667" s="11">
        <f>L666+IF(K667&gt;0,K667*Summary!$B$9,K667/Summary!$B$9)</f>
        <v/>
      </c>
      <c r="M667" s="11">
        <f>G667+H667</f>
        <v/>
      </c>
      <c r="N667" s="11">
        <f>Summary!$C$16*Summary!$B$8</f>
        <v/>
      </c>
      <c r="O667" s="11">
        <f>M667-N667</f>
        <v/>
      </c>
    </row>
    <row r="668">
      <c r="A668" s="9" t="n">
        <v>45319.75</v>
      </c>
      <c r="B668" t="n">
        <v>1</v>
      </c>
      <c r="C668" t="n">
        <v>28</v>
      </c>
      <c r="D668" t="n">
        <v>18</v>
      </c>
      <c r="E668" s="10" t="n">
        <v>0</v>
      </c>
      <c r="F668" s="10" t="n">
        <v>0.407112145706915</v>
      </c>
      <c r="G668" s="11">
        <f>E668*Summary!$B$6</f>
        <v/>
      </c>
      <c r="H668" s="11">
        <f>F668*Summary!$B$7</f>
        <v/>
      </c>
      <c r="I668" s="11">
        <f>MAX(0,N668-M668)</f>
        <v/>
      </c>
      <c r="J668" s="11">
        <f>MAX(0,M668-N668)</f>
        <v/>
      </c>
      <c r="K668" s="11">
        <f>O668</f>
        <v/>
      </c>
      <c r="L668" s="11">
        <f>L667+IF(K668&gt;0,K668*Summary!$B$9,K668/Summary!$B$9)</f>
        <v/>
      </c>
      <c r="M668" s="11">
        <f>G668+H668</f>
        <v/>
      </c>
      <c r="N668" s="11">
        <f>Summary!$C$16*Summary!$B$8</f>
        <v/>
      </c>
      <c r="O668" s="11">
        <f>M668-N668</f>
        <v/>
      </c>
    </row>
    <row r="669">
      <c r="A669" s="9" t="n">
        <v>45319.79166666666</v>
      </c>
      <c r="B669" t="n">
        <v>1</v>
      </c>
      <c r="C669" t="n">
        <v>28</v>
      </c>
      <c r="D669" t="n">
        <v>19</v>
      </c>
      <c r="E669" s="10" t="n">
        <v>0</v>
      </c>
      <c r="F669" s="10" t="n">
        <v>0.4029748807139714</v>
      </c>
      <c r="G669" s="11">
        <f>E669*Summary!$B$6</f>
        <v/>
      </c>
      <c r="H669" s="11">
        <f>F669*Summary!$B$7</f>
        <v/>
      </c>
      <c r="I669" s="11">
        <f>MAX(0,N669-M669)</f>
        <v/>
      </c>
      <c r="J669" s="11">
        <f>MAX(0,M669-N669)</f>
        <v/>
      </c>
      <c r="K669" s="11">
        <f>O669</f>
        <v/>
      </c>
      <c r="L669" s="11">
        <f>L668+IF(K669&gt;0,K669*Summary!$B$9,K669/Summary!$B$9)</f>
        <v/>
      </c>
      <c r="M669" s="11">
        <f>G669+H669</f>
        <v/>
      </c>
      <c r="N669" s="11">
        <f>Summary!$C$16*Summary!$B$8</f>
        <v/>
      </c>
      <c r="O669" s="11">
        <f>M669-N669</f>
        <v/>
      </c>
    </row>
    <row r="670">
      <c r="A670" s="9" t="n">
        <v>45319.83333333334</v>
      </c>
      <c r="B670" t="n">
        <v>1</v>
      </c>
      <c r="C670" t="n">
        <v>28</v>
      </c>
      <c r="D670" t="n">
        <v>20</v>
      </c>
      <c r="E670" s="10" t="n">
        <v>0</v>
      </c>
      <c r="F670" s="10" t="n">
        <v>0.4036600328784078</v>
      </c>
      <c r="G670" s="11">
        <f>E670*Summary!$B$6</f>
        <v/>
      </c>
      <c r="H670" s="11">
        <f>F670*Summary!$B$7</f>
        <v/>
      </c>
      <c r="I670" s="11">
        <f>MAX(0,N670-M670)</f>
        <v/>
      </c>
      <c r="J670" s="11">
        <f>MAX(0,M670-N670)</f>
        <v/>
      </c>
      <c r="K670" s="11">
        <f>O670</f>
        <v/>
      </c>
      <c r="L670" s="11">
        <f>L669+IF(K670&gt;0,K670*Summary!$B$9,K670/Summary!$B$9)</f>
        <v/>
      </c>
      <c r="M670" s="11">
        <f>G670+H670</f>
        <v/>
      </c>
      <c r="N670" s="11">
        <f>Summary!$C$16*Summary!$B$8</f>
        <v/>
      </c>
      <c r="O670" s="11">
        <f>M670-N670</f>
        <v/>
      </c>
    </row>
    <row r="671">
      <c r="A671" s="9" t="n">
        <v>45319.875</v>
      </c>
      <c r="B671" t="n">
        <v>1</v>
      </c>
      <c r="C671" t="n">
        <v>28</v>
      </c>
      <c r="D671" t="n">
        <v>21</v>
      </c>
      <c r="E671" s="10" t="n">
        <v>0</v>
      </c>
      <c r="F671" s="10" t="n">
        <v>0.4054783213147971</v>
      </c>
      <c r="G671" s="11">
        <f>E671*Summary!$B$6</f>
        <v/>
      </c>
      <c r="H671" s="11">
        <f>F671*Summary!$B$7</f>
        <v/>
      </c>
      <c r="I671" s="11">
        <f>MAX(0,N671-M671)</f>
        <v/>
      </c>
      <c r="J671" s="11">
        <f>MAX(0,M671-N671)</f>
        <v/>
      </c>
      <c r="K671" s="11">
        <f>O671</f>
        <v/>
      </c>
      <c r="L671" s="11">
        <f>L670+IF(K671&gt;0,K671*Summary!$B$9,K671/Summary!$B$9)</f>
        <v/>
      </c>
      <c r="M671" s="11">
        <f>G671+H671</f>
        <v/>
      </c>
      <c r="N671" s="11">
        <f>Summary!$C$16*Summary!$B$8</f>
        <v/>
      </c>
      <c r="O671" s="11">
        <f>M671-N671</f>
        <v/>
      </c>
    </row>
    <row r="672">
      <c r="A672" s="9" t="n">
        <v>45319.91666666666</v>
      </c>
      <c r="B672" t="n">
        <v>1</v>
      </c>
      <c r="C672" t="n">
        <v>28</v>
      </c>
      <c r="D672" t="n">
        <v>22</v>
      </c>
      <c r="E672" s="10" t="n">
        <v>0</v>
      </c>
      <c r="F672" s="10" t="n">
        <v>0.4084560980294635</v>
      </c>
      <c r="G672" s="11">
        <f>E672*Summary!$B$6</f>
        <v/>
      </c>
      <c r="H672" s="11">
        <f>F672*Summary!$B$7</f>
        <v/>
      </c>
      <c r="I672" s="11">
        <f>MAX(0,N672-M672)</f>
        <v/>
      </c>
      <c r="J672" s="11">
        <f>MAX(0,M672-N672)</f>
        <v/>
      </c>
      <c r="K672" s="11">
        <f>O672</f>
        <v/>
      </c>
      <c r="L672" s="11">
        <f>L671+IF(K672&gt;0,K672*Summary!$B$9,K672/Summary!$B$9)</f>
        <v/>
      </c>
      <c r="M672" s="11">
        <f>G672+H672</f>
        <v/>
      </c>
      <c r="N672" s="11">
        <f>Summary!$C$16*Summary!$B$8</f>
        <v/>
      </c>
      <c r="O672" s="11">
        <f>M672-N672</f>
        <v/>
      </c>
    </row>
    <row r="673">
      <c r="A673" s="9" t="n">
        <v>45319.95833333334</v>
      </c>
      <c r="B673" t="n">
        <v>1</v>
      </c>
      <c r="C673" t="n">
        <v>28</v>
      </c>
      <c r="D673" t="n">
        <v>23</v>
      </c>
      <c r="E673" s="10" t="n">
        <v>0</v>
      </c>
      <c r="F673" s="10" t="n">
        <v>0.4096682903203897</v>
      </c>
      <c r="G673" s="11">
        <f>E673*Summary!$B$6</f>
        <v/>
      </c>
      <c r="H673" s="11">
        <f>F673*Summary!$B$7</f>
        <v/>
      </c>
      <c r="I673" s="11">
        <f>MAX(0,N673-M673)</f>
        <v/>
      </c>
      <c r="J673" s="11">
        <f>MAX(0,M673-N673)</f>
        <v/>
      </c>
      <c r="K673" s="11">
        <f>O673</f>
        <v/>
      </c>
      <c r="L673" s="11">
        <f>L672+IF(K673&gt;0,K673*Summary!$B$9,K673/Summary!$B$9)</f>
        <v/>
      </c>
      <c r="M673" s="11">
        <f>G673+H673</f>
        <v/>
      </c>
      <c r="N673" s="11">
        <f>Summary!$C$16*Summary!$B$8</f>
        <v/>
      </c>
      <c r="O673" s="11">
        <f>M673-N673</f>
        <v/>
      </c>
    </row>
    <row r="674">
      <c r="A674" s="9" t="n">
        <v>45320</v>
      </c>
      <c r="B674" t="n">
        <v>1</v>
      </c>
      <c r="C674" t="n">
        <v>29</v>
      </c>
      <c r="D674" t="n">
        <v>0</v>
      </c>
      <c r="E674" s="10" t="n">
        <v>0</v>
      </c>
      <c r="F674" s="10" t="n">
        <v>0.3536175728682174</v>
      </c>
      <c r="G674" s="11">
        <f>E674*Summary!$B$6</f>
        <v/>
      </c>
      <c r="H674" s="11">
        <f>F674*Summary!$B$7</f>
        <v/>
      </c>
      <c r="I674" s="11">
        <f>MAX(0,N674-M674)</f>
        <v/>
      </c>
      <c r="J674" s="11">
        <f>MAX(0,M674-N674)</f>
        <v/>
      </c>
      <c r="K674" s="11">
        <f>O674</f>
        <v/>
      </c>
      <c r="L674" s="11">
        <f>L673+IF(K674&gt;0,K674*Summary!$B$9,K674/Summary!$B$9)</f>
        <v/>
      </c>
      <c r="M674" s="11">
        <f>G674+H674</f>
        <v/>
      </c>
      <c r="N674" s="11">
        <f>Summary!$C$16*Summary!$B$8</f>
        <v/>
      </c>
      <c r="O674" s="11">
        <f>M674-N674</f>
        <v/>
      </c>
    </row>
    <row r="675">
      <c r="A675" s="9" t="n">
        <v>45320.04166666666</v>
      </c>
      <c r="B675" t="n">
        <v>1</v>
      </c>
      <c r="C675" t="n">
        <v>29</v>
      </c>
      <c r="D675" t="n">
        <v>1</v>
      </c>
      <c r="E675" s="10" t="n">
        <v>0</v>
      </c>
      <c r="F675" s="10" t="n">
        <v>0.4006295521510925</v>
      </c>
      <c r="G675" s="11">
        <f>E675*Summary!$B$6</f>
        <v/>
      </c>
      <c r="H675" s="11">
        <f>F675*Summary!$B$7</f>
        <v/>
      </c>
      <c r="I675" s="11">
        <f>MAX(0,N675-M675)</f>
        <v/>
      </c>
      <c r="J675" s="11">
        <f>MAX(0,M675-N675)</f>
        <v/>
      </c>
      <c r="K675" s="11">
        <f>O675</f>
        <v/>
      </c>
      <c r="L675" s="11">
        <f>L674+IF(K675&gt;0,K675*Summary!$B$9,K675/Summary!$B$9)</f>
        <v/>
      </c>
      <c r="M675" s="11">
        <f>G675+H675</f>
        <v/>
      </c>
      <c r="N675" s="11">
        <f>Summary!$C$16*Summary!$B$8</f>
        <v/>
      </c>
      <c r="O675" s="11">
        <f>M675-N675</f>
        <v/>
      </c>
    </row>
    <row r="676">
      <c r="A676" s="9" t="n">
        <v>45320.08333333334</v>
      </c>
      <c r="B676" t="n">
        <v>1</v>
      </c>
      <c r="C676" t="n">
        <v>29</v>
      </c>
      <c r="D676" t="n">
        <v>2</v>
      </c>
      <c r="E676" s="10" t="n">
        <v>0</v>
      </c>
      <c r="F676" s="10" t="n">
        <v>0.3998126399550336</v>
      </c>
      <c r="G676" s="11">
        <f>E676*Summary!$B$6</f>
        <v/>
      </c>
      <c r="H676" s="11">
        <f>F676*Summary!$B$7</f>
        <v/>
      </c>
      <c r="I676" s="11">
        <f>MAX(0,N676-M676)</f>
        <v/>
      </c>
      <c r="J676" s="11">
        <f>MAX(0,M676-N676)</f>
        <v/>
      </c>
      <c r="K676" s="11">
        <f>O676</f>
        <v/>
      </c>
      <c r="L676" s="11">
        <f>L675+IF(K676&gt;0,K676*Summary!$B$9,K676/Summary!$B$9)</f>
        <v/>
      </c>
      <c r="M676" s="11">
        <f>G676+H676</f>
        <v/>
      </c>
      <c r="N676" s="11">
        <f>Summary!$C$16*Summary!$B$8</f>
        <v/>
      </c>
      <c r="O676" s="11">
        <f>M676-N676</f>
        <v/>
      </c>
    </row>
    <row r="677">
      <c r="A677" s="9" t="n">
        <v>45320.125</v>
      </c>
      <c r="B677" t="n">
        <v>1</v>
      </c>
      <c r="C677" t="n">
        <v>29</v>
      </c>
      <c r="D677" t="n">
        <v>3</v>
      </c>
      <c r="E677" s="10" t="n">
        <v>0</v>
      </c>
      <c r="F677" s="10" t="n">
        <v>0.402843120682349</v>
      </c>
      <c r="G677" s="11">
        <f>E677*Summary!$B$6</f>
        <v/>
      </c>
      <c r="H677" s="11">
        <f>F677*Summary!$B$7</f>
        <v/>
      </c>
      <c r="I677" s="11">
        <f>MAX(0,N677-M677)</f>
        <v/>
      </c>
      <c r="J677" s="11">
        <f>MAX(0,M677-N677)</f>
        <v/>
      </c>
      <c r="K677" s="11">
        <f>O677</f>
        <v/>
      </c>
      <c r="L677" s="11">
        <f>L676+IF(K677&gt;0,K677*Summary!$B$9,K677/Summary!$B$9)</f>
        <v/>
      </c>
      <c r="M677" s="11">
        <f>G677+H677</f>
        <v/>
      </c>
      <c r="N677" s="11">
        <f>Summary!$C$16*Summary!$B$8</f>
        <v/>
      </c>
      <c r="O677" s="11">
        <f>M677-N677</f>
        <v/>
      </c>
    </row>
    <row r="678">
      <c r="A678" s="9" t="n">
        <v>45320.16666666666</v>
      </c>
      <c r="B678" t="n">
        <v>1</v>
      </c>
      <c r="C678" t="n">
        <v>29</v>
      </c>
      <c r="D678" t="n">
        <v>4</v>
      </c>
      <c r="E678" s="10" t="n">
        <v>0</v>
      </c>
      <c r="F678" s="10" t="n">
        <v>0.3996808799234112</v>
      </c>
      <c r="G678" s="11">
        <f>E678*Summary!$B$6</f>
        <v/>
      </c>
      <c r="H678" s="11">
        <f>F678*Summary!$B$7</f>
        <v/>
      </c>
      <c r="I678" s="11">
        <f>MAX(0,N678-M678)</f>
        <v/>
      </c>
      <c r="J678" s="11">
        <f>MAX(0,M678-N678)</f>
        <v/>
      </c>
      <c r="K678" s="11">
        <f>O678</f>
        <v/>
      </c>
      <c r="L678" s="11">
        <f>L677+IF(K678&gt;0,K678*Summary!$B$9,K678/Summary!$B$9)</f>
        <v/>
      </c>
      <c r="M678" s="11">
        <f>G678+H678</f>
        <v/>
      </c>
      <c r="N678" s="11">
        <f>Summary!$C$16*Summary!$B$8</f>
        <v/>
      </c>
      <c r="O678" s="11">
        <f>M678-N678</f>
        <v/>
      </c>
    </row>
    <row r="679">
      <c r="A679" s="9" t="n">
        <v>45320.20833333334</v>
      </c>
      <c r="B679" t="n">
        <v>1</v>
      </c>
      <c r="C679" t="n">
        <v>29</v>
      </c>
      <c r="D679" t="n">
        <v>5</v>
      </c>
      <c r="E679" s="10" t="n">
        <v>0</v>
      </c>
      <c r="F679" s="10" t="n">
        <v>0.3984950396388095</v>
      </c>
      <c r="G679" s="11">
        <f>E679*Summary!$B$6</f>
        <v/>
      </c>
      <c r="H679" s="11">
        <f>F679*Summary!$B$7</f>
        <v/>
      </c>
      <c r="I679" s="11">
        <f>MAX(0,N679-M679)</f>
        <v/>
      </c>
      <c r="J679" s="11">
        <f>MAX(0,M679-N679)</f>
        <v/>
      </c>
      <c r="K679" s="11">
        <f>O679</f>
        <v/>
      </c>
      <c r="L679" s="11">
        <f>L678+IF(K679&gt;0,K679*Summary!$B$9,K679/Summary!$B$9)</f>
        <v/>
      </c>
      <c r="M679" s="11">
        <f>G679+H679</f>
        <v/>
      </c>
      <c r="N679" s="11">
        <f>Summary!$C$16*Summary!$B$8</f>
        <v/>
      </c>
      <c r="O679" s="11">
        <f>M679-N679</f>
        <v/>
      </c>
    </row>
    <row r="680">
      <c r="A680" s="9" t="n">
        <v>45320.25</v>
      </c>
      <c r="B680" t="n">
        <v>1</v>
      </c>
      <c r="C680" t="n">
        <v>29</v>
      </c>
      <c r="D680" t="n">
        <v>6</v>
      </c>
      <c r="E680" s="10" t="n">
        <v>0</v>
      </c>
      <c r="F680" s="10" t="n">
        <v>0.3969139192593406</v>
      </c>
      <c r="G680" s="11">
        <f>E680*Summary!$B$6</f>
        <v/>
      </c>
      <c r="H680" s="11">
        <f>F680*Summary!$B$7</f>
        <v/>
      </c>
      <c r="I680" s="11">
        <f>MAX(0,N680-M680)</f>
        <v/>
      </c>
      <c r="J680" s="11">
        <f>MAX(0,M680-N680)</f>
        <v/>
      </c>
      <c r="K680" s="11">
        <f>O680</f>
        <v/>
      </c>
      <c r="L680" s="11">
        <f>L679+IF(K680&gt;0,K680*Summary!$B$9,K680/Summary!$B$9)</f>
        <v/>
      </c>
      <c r="M680" s="11">
        <f>G680+H680</f>
        <v/>
      </c>
      <c r="N680" s="11">
        <f>Summary!$C$16*Summary!$B$8</f>
        <v/>
      </c>
      <c r="O680" s="11">
        <f>M680-N680</f>
        <v/>
      </c>
    </row>
    <row r="681">
      <c r="A681" s="9" t="n">
        <v>45320.29166666666</v>
      </c>
      <c r="B681" t="n">
        <v>1</v>
      </c>
      <c r="C681" t="n">
        <v>29</v>
      </c>
      <c r="D681" t="n">
        <v>7</v>
      </c>
      <c r="E681" s="10" t="n">
        <v>0</v>
      </c>
      <c r="F681" s="10" t="n">
        <v>0.3960970070632817</v>
      </c>
      <c r="G681" s="11">
        <f>E681*Summary!$B$6</f>
        <v/>
      </c>
      <c r="H681" s="11">
        <f>F681*Summary!$B$7</f>
        <v/>
      </c>
      <c r="I681" s="11">
        <f>MAX(0,N681-M681)</f>
        <v/>
      </c>
      <c r="J681" s="11">
        <f>MAX(0,M681-N681)</f>
        <v/>
      </c>
      <c r="K681" s="11">
        <f>O681</f>
        <v/>
      </c>
      <c r="L681" s="11">
        <f>L680+IF(K681&gt;0,K681*Summary!$B$9,K681/Summary!$B$9)</f>
        <v/>
      </c>
      <c r="M681" s="11">
        <f>G681+H681</f>
        <v/>
      </c>
      <c r="N681" s="11">
        <f>Summary!$C$16*Summary!$B$8</f>
        <v/>
      </c>
      <c r="O681" s="11">
        <f>M681-N681</f>
        <v/>
      </c>
    </row>
    <row r="682">
      <c r="A682" s="9" t="n">
        <v>45320.33333333334</v>
      </c>
      <c r="B682" t="n">
        <v>1</v>
      </c>
      <c r="C682" t="n">
        <v>29</v>
      </c>
      <c r="D682" t="n">
        <v>8</v>
      </c>
      <c r="E682" s="10" t="n">
        <v>0</v>
      </c>
      <c r="F682" s="10" t="n">
        <v>0.3933827504118601</v>
      </c>
      <c r="G682" s="11">
        <f>E682*Summary!$B$6</f>
        <v/>
      </c>
      <c r="H682" s="11">
        <f>F682*Summary!$B$7</f>
        <v/>
      </c>
      <c r="I682" s="11">
        <f>MAX(0,N682-M682)</f>
        <v/>
      </c>
      <c r="J682" s="11">
        <f>MAX(0,M682-N682)</f>
        <v/>
      </c>
      <c r="K682" s="11">
        <f>O682</f>
        <v/>
      </c>
      <c r="L682" s="11">
        <f>L681+IF(K682&gt;0,K682*Summary!$B$9,K682/Summary!$B$9)</f>
        <v/>
      </c>
      <c r="M682" s="11">
        <f>G682+H682</f>
        <v/>
      </c>
      <c r="N682" s="11">
        <f>Summary!$C$16*Summary!$B$8</f>
        <v/>
      </c>
      <c r="O682" s="11">
        <f>M682-N682</f>
        <v/>
      </c>
    </row>
    <row r="683">
      <c r="A683" s="9" t="n">
        <v>45320.375</v>
      </c>
      <c r="B683" t="n">
        <v>1</v>
      </c>
      <c r="C683" t="n">
        <v>29</v>
      </c>
      <c r="D683" t="n">
        <v>9</v>
      </c>
      <c r="E683" s="10" t="n">
        <v>0.026556</v>
      </c>
      <c r="F683" s="10" t="n">
        <v>0.390589437741465</v>
      </c>
      <c r="G683" s="11">
        <f>E683*Summary!$B$6</f>
        <v/>
      </c>
      <c r="H683" s="11">
        <f>F683*Summary!$B$7</f>
        <v/>
      </c>
      <c r="I683" s="11">
        <f>MAX(0,N683-M683)</f>
        <v/>
      </c>
      <c r="J683" s="11">
        <f>MAX(0,M683-N683)</f>
        <v/>
      </c>
      <c r="K683" s="11">
        <f>O683</f>
        <v/>
      </c>
      <c r="L683" s="11">
        <f>L682+IF(K683&gt;0,K683*Summary!$B$9,K683/Summary!$B$9)</f>
        <v/>
      </c>
      <c r="M683" s="11">
        <f>G683+H683</f>
        <v/>
      </c>
      <c r="N683" s="11">
        <f>Summary!$C$16*Summary!$B$8</f>
        <v/>
      </c>
      <c r="O683" s="11">
        <f>M683-N683</f>
        <v/>
      </c>
    </row>
    <row r="684">
      <c r="A684" s="9" t="n">
        <v>45320.41666666666</v>
      </c>
      <c r="B684" t="n">
        <v>1</v>
      </c>
      <c r="C684" t="n">
        <v>29</v>
      </c>
      <c r="D684" t="n">
        <v>10</v>
      </c>
      <c r="E684" s="10" t="n">
        <v>0.043544</v>
      </c>
      <c r="F684" s="10" t="n">
        <v>0.3887184452924269</v>
      </c>
      <c r="G684" s="11">
        <f>E684*Summary!$B$6</f>
        <v/>
      </c>
      <c r="H684" s="11">
        <f>F684*Summary!$B$7</f>
        <v/>
      </c>
      <c r="I684" s="11">
        <f>MAX(0,N684-M684)</f>
        <v/>
      </c>
      <c r="J684" s="11">
        <f>MAX(0,M684-N684)</f>
        <v/>
      </c>
      <c r="K684" s="11">
        <f>O684</f>
        <v/>
      </c>
      <c r="L684" s="11">
        <f>L683+IF(K684&gt;0,K684*Summary!$B$9,K684/Summary!$B$9)</f>
        <v/>
      </c>
      <c r="M684" s="11">
        <f>G684+H684</f>
        <v/>
      </c>
      <c r="N684" s="11">
        <f>Summary!$C$16*Summary!$B$8</f>
        <v/>
      </c>
      <c r="O684" s="11">
        <f>M684-N684</f>
        <v/>
      </c>
    </row>
    <row r="685">
      <c r="A685" s="9" t="n">
        <v>45320.45833333334</v>
      </c>
      <c r="B685" t="n">
        <v>1</v>
      </c>
      <c r="C685" t="n">
        <v>29</v>
      </c>
      <c r="D685" t="n">
        <v>11</v>
      </c>
      <c r="E685" s="10" t="n">
        <v>0.095847</v>
      </c>
      <c r="F685" s="10" t="n">
        <v>0.3816034035848168</v>
      </c>
      <c r="G685" s="11">
        <f>E685*Summary!$B$6</f>
        <v/>
      </c>
      <c r="H685" s="11">
        <f>F685*Summary!$B$7</f>
        <v/>
      </c>
      <c r="I685" s="11">
        <f>MAX(0,N685-M685)</f>
        <v/>
      </c>
      <c r="J685" s="11">
        <f>MAX(0,M685-N685)</f>
        <v/>
      </c>
      <c r="K685" s="11">
        <f>O685</f>
        <v/>
      </c>
      <c r="L685" s="11">
        <f>L684+IF(K685&gt;0,K685*Summary!$B$9,K685/Summary!$B$9)</f>
        <v/>
      </c>
      <c r="M685" s="11">
        <f>G685+H685</f>
        <v/>
      </c>
      <c r="N685" s="11">
        <f>Summary!$C$16*Summary!$B$8</f>
        <v/>
      </c>
      <c r="O685" s="11">
        <f>M685-N685</f>
        <v/>
      </c>
    </row>
    <row r="686">
      <c r="A686" s="9" t="n">
        <v>45320.5</v>
      </c>
      <c r="B686" t="n">
        <v>1</v>
      </c>
      <c r="C686" t="n">
        <v>29</v>
      </c>
      <c r="D686" t="n">
        <v>12</v>
      </c>
      <c r="E686" s="10" t="n">
        <v>0.038152</v>
      </c>
      <c r="F686" s="10" t="n">
        <v>0.3798641711674011</v>
      </c>
      <c r="G686" s="11">
        <f>E686*Summary!$B$6</f>
        <v/>
      </c>
      <c r="H686" s="11">
        <f>F686*Summary!$B$7</f>
        <v/>
      </c>
      <c r="I686" s="11">
        <f>MAX(0,N686-M686)</f>
        <v/>
      </c>
      <c r="J686" s="11">
        <f>MAX(0,M686-N686)</f>
        <v/>
      </c>
      <c r="K686" s="11">
        <f>O686</f>
        <v/>
      </c>
      <c r="L686" s="11">
        <f>L685+IF(K686&gt;0,K686*Summary!$B$9,K686/Summary!$B$9)</f>
        <v/>
      </c>
      <c r="M686" s="11">
        <f>G686+H686</f>
        <v/>
      </c>
      <c r="N686" s="11">
        <f>Summary!$C$16*Summary!$B$8</f>
        <v/>
      </c>
      <c r="O686" s="11">
        <f>M686-N686</f>
        <v/>
      </c>
    </row>
    <row r="687">
      <c r="A687" s="9" t="n">
        <v>45320.54166666666</v>
      </c>
      <c r="B687" t="n">
        <v>1</v>
      </c>
      <c r="C687" t="n">
        <v>29</v>
      </c>
      <c r="D687" t="n">
        <v>13</v>
      </c>
      <c r="E687" s="10" t="n">
        <v>0.03386</v>
      </c>
      <c r="F687" s="10" t="n">
        <v>0.3748836419720741</v>
      </c>
      <c r="G687" s="11">
        <f>E687*Summary!$B$6</f>
        <v/>
      </c>
      <c r="H687" s="11">
        <f>F687*Summary!$B$7</f>
        <v/>
      </c>
      <c r="I687" s="11">
        <f>MAX(0,N687-M687)</f>
        <v/>
      </c>
      <c r="J687" s="11">
        <f>MAX(0,M687-N687)</f>
        <v/>
      </c>
      <c r="K687" s="11">
        <f>O687</f>
        <v/>
      </c>
      <c r="L687" s="11">
        <f>L686+IF(K687&gt;0,K687*Summary!$B$9,K687/Summary!$B$9)</f>
        <v/>
      </c>
      <c r="M687" s="11">
        <f>G687+H687</f>
        <v/>
      </c>
      <c r="N687" s="11">
        <f>Summary!$C$16*Summary!$B$8</f>
        <v/>
      </c>
      <c r="O687" s="11">
        <f>M687-N687</f>
        <v/>
      </c>
    </row>
    <row r="688">
      <c r="A688" s="9" t="n">
        <v>45320.58333333334</v>
      </c>
      <c r="B688" t="n">
        <v>1</v>
      </c>
      <c r="C688" t="n">
        <v>29</v>
      </c>
      <c r="D688" t="n">
        <v>14</v>
      </c>
      <c r="E688" s="10" t="n">
        <v>0.024583</v>
      </c>
      <c r="F688" s="10" t="n">
        <v>0.3723538493649238</v>
      </c>
      <c r="G688" s="11">
        <f>E688*Summary!$B$6</f>
        <v/>
      </c>
      <c r="H688" s="11">
        <f>F688*Summary!$B$7</f>
        <v/>
      </c>
      <c r="I688" s="11">
        <f>MAX(0,N688-M688)</f>
        <v/>
      </c>
      <c r="J688" s="11">
        <f>MAX(0,M688-N688)</f>
        <v/>
      </c>
      <c r="K688" s="11">
        <f>O688</f>
        <v/>
      </c>
      <c r="L688" s="11">
        <f>L687+IF(K688&gt;0,K688*Summary!$B$9,K688/Summary!$B$9)</f>
        <v/>
      </c>
      <c r="M688" s="11">
        <f>G688+H688</f>
        <v/>
      </c>
      <c r="N688" s="11">
        <f>Summary!$C$16*Summary!$B$8</f>
        <v/>
      </c>
      <c r="O688" s="11">
        <f>M688-N688</f>
        <v/>
      </c>
    </row>
    <row r="689">
      <c r="A689" s="9" t="n">
        <v>45320.625</v>
      </c>
      <c r="B689" t="n">
        <v>1</v>
      </c>
      <c r="C689" t="n">
        <v>29</v>
      </c>
      <c r="D689" t="n">
        <v>15</v>
      </c>
      <c r="E689" s="10" t="n">
        <v>0.015628</v>
      </c>
      <c r="F689" s="10" t="n">
        <v>0.3672415601379744</v>
      </c>
      <c r="G689" s="11">
        <f>E689*Summary!$B$6</f>
        <v/>
      </c>
      <c r="H689" s="11">
        <f>F689*Summary!$B$7</f>
        <v/>
      </c>
      <c r="I689" s="11">
        <f>MAX(0,N689-M689)</f>
        <v/>
      </c>
      <c r="J689" s="11">
        <f>MAX(0,M689-N689)</f>
        <v/>
      </c>
      <c r="K689" s="11">
        <f>O689</f>
        <v/>
      </c>
      <c r="L689" s="11">
        <f>L688+IF(K689&gt;0,K689*Summary!$B$9,K689/Summary!$B$9)</f>
        <v/>
      </c>
      <c r="M689" s="11">
        <f>G689+H689</f>
        <v/>
      </c>
      <c r="N689" s="11">
        <f>Summary!$C$16*Summary!$B$8</f>
        <v/>
      </c>
      <c r="O689" s="11">
        <f>M689-N689</f>
        <v/>
      </c>
    </row>
    <row r="690">
      <c r="A690" s="9" t="n">
        <v>45320.66666666666</v>
      </c>
      <c r="B690" t="n">
        <v>1</v>
      </c>
      <c r="C690" t="n">
        <v>29</v>
      </c>
      <c r="D690" t="n">
        <v>16</v>
      </c>
      <c r="E690" s="10" t="n">
        <v>0</v>
      </c>
      <c r="F690" s="10" t="n">
        <v>0.3672152081316499</v>
      </c>
      <c r="G690" s="11">
        <f>E690*Summary!$B$6</f>
        <v/>
      </c>
      <c r="H690" s="11">
        <f>F690*Summary!$B$7</f>
        <v/>
      </c>
      <c r="I690" s="11">
        <f>MAX(0,N690-M690)</f>
        <v/>
      </c>
      <c r="J690" s="11">
        <f>MAX(0,M690-N690)</f>
        <v/>
      </c>
      <c r="K690" s="11">
        <f>O690</f>
        <v/>
      </c>
      <c r="L690" s="11">
        <f>L689+IF(K690&gt;0,K690*Summary!$B$9,K690/Summary!$B$9)</f>
        <v/>
      </c>
      <c r="M690" s="11">
        <f>G690+H690</f>
        <v/>
      </c>
      <c r="N690" s="11">
        <f>Summary!$C$16*Summary!$B$8</f>
        <v/>
      </c>
      <c r="O690" s="11">
        <f>M690-N690</f>
        <v/>
      </c>
    </row>
    <row r="691">
      <c r="A691" s="9" t="n">
        <v>45320.70833333334</v>
      </c>
      <c r="B691" t="n">
        <v>1</v>
      </c>
      <c r="C691" t="n">
        <v>29</v>
      </c>
      <c r="D691" t="n">
        <v>17</v>
      </c>
      <c r="E691" s="10" t="n">
        <v>0</v>
      </c>
      <c r="F691" s="10" t="n">
        <v>0.3670043920810541</v>
      </c>
      <c r="G691" s="11">
        <f>E691*Summary!$B$6</f>
        <v/>
      </c>
      <c r="H691" s="11">
        <f>F691*Summary!$B$7</f>
        <v/>
      </c>
      <c r="I691" s="11">
        <f>MAX(0,N691-M691)</f>
        <v/>
      </c>
      <c r="J691" s="11">
        <f>MAX(0,M691-N691)</f>
        <v/>
      </c>
      <c r="K691" s="11">
        <f>O691</f>
        <v/>
      </c>
      <c r="L691" s="11">
        <f>L690+IF(K691&gt;0,K691*Summary!$B$9,K691/Summary!$B$9)</f>
        <v/>
      </c>
      <c r="M691" s="11">
        <f>G691+H691</f>
        <v/>
      </c>
      <c r="N691" s="11">
        <f>Summary!$C$16*Summary!$B$8</f>
        <v/>
      </c>
      <c r="O691" s="11">
        <f>M691-N691</f>
        <v/>
      </c>
    </row>
    <row r="692">
      <c r="A692" s="9" t="n">
        <v>45320.75</v>
      </c>
      <c r="B692" t="n">
        <v>1</v>
      </c>
      <c r="C692" t="n">
        <v>29</v>
      </c>
      <c r="D692" t="n">
        <v>18</v>
      </c>
      <c r="E692" s="10" t="n">
        <v>0</v>
      </c>
      <c r="F692" s="10" t="n">
        <v>0.3393084334340241</v>
      </c>
      <c r="G692" s="11">
        <f>E692*Summary!$B$6</f>
        <v/>
      </c>
      <c r="H692" s="11">
        <f>F692*Summary!$B$7</f>
        <v/>
      </c>
      <c r="I692" s="11">
        <f>MAX(0,N692-M692)</f>
        <v/>
      </c>
      <c r="J692" s="11">
        <f>MAX(0,M692-N692)</f>
        <v/>
      </c>
      <c r="K692" s="11">
        <f>O692</f>
        <v/>
      </c>
      <c r="L692" s="11">
        <f>L691+IF(K692&gt;0,K692*Summary!$B$9,K692/Summary!$B$9)</f>
        <v/>
      </c>
      <c r="M692" s="11">
        <f>G692+H692</f>
        <v/>
      </c>
      <c r="N692" s="11">
        <f>Summary!$C$16*Summary!$B$8</f>
        <v/>
      </c>
      <c r="O692" s="11">
        <f>M692-N692</f>
        <v/>
      </c>
    </row>
    <row r="693">
      <c r="A693" s="9" t="n">
        <v>45320.79166666666</v>
      </c>
      <c r="B693" t="n">
        <v>1</v>
      </c>
      <c r="C693" t="n">
        <v>29</v>
      </c>
      <c r="D693" t="n">
        <v>19</v>
      </c>
      <c r="E693" s="10" t="n">
        <v>0</v>
      </c>
      <c r="F693" s="10" t="n">
        <v>0.35933595824063</v>
      </c>
      <c r="G693" s="11">
        <f>E693*Summary!$B$6</f>
        <v/>
      </c>
      <c r="H693" s="11">
        <f>F693*Summary!$B$7</f>
        <v/>
      </c>
      <c r="I693" s="11">
        <f>MAX(0,N693-M693)</f>
        <v/>
      </c>
      <c r="J693" s="11">
        <f>MAX(0,M693-N693)</f>
        <v/>
      </c>
      <c r="K693" s="11">
        <f>O693</f>
        <v/>
      </c>
      <c r="L693" s="11">
        <f>L692+IF(K693&gt;0,K693*Summary!$B$9,K693/Summary!$B$9)</f>
        <v/>
      </c>
      <c r="M693" s="11">
        <f>G693+H693</f>
        <v/>
      </c>
      <c r="N693" s="11">
        <f>Summary!$C$16*Summary!$B$8</f>
        <v/>
      </c>
      <c r="O693" s="11">
        <f>M693-N693</f>
        <v/>
      </c>
    </row>
    <row r="694">
      <c r="A694" s="9" t="n">
        <v>45320.83333333334</v>
      </c>
      <c r="B694" t="n">
        <v>1</v>
      </c>
      <c r="C694" t="n">
        <v>29</v>
      </c>
      <c r="D694" t="n">
        <v>20</v>
      </c>
      <c r="E694" s="10" t="n">
        <v>0</v>
      </c>
      <c r="F694" s="10" t="n">
        <v>0.3595731262975503</v>
      </c>
      <c r="G694" s="11">
        <f>E694*Summary!$B$6</f>
        <v/>
      </c>
      <c r="H694" s="11">
        <f>F694*Summary!$B$7</f>
        <v/>
      </c>
      <c r="I694" s="11">
        <f>MAX(0,N694-M694)</f>
        <v/>
      </c>
      <c r="J694" s="11">
        <f>MAX(0,M694-N694)</f>
        <v/>
      </c>
      <c r="K694" s="11">
        <f>O694</f>
        <v/>
      </c>
      <c r="L694" s="11">
        <f>L693+IF(K694&gt;0,K694*Summary!$B$9,K694/Summary!$B$9)</f>
        <v/>
      </c>
      <c r="M694" s="11">
        <f>G694+H694</f>
        <v/>
      </c>
      <c r="N694" s="11">
        <f>Summary!$C$16*Summary!$B$8</f>
        <v/>
      </c>
      <c r="O694" s="11">
        <f>M694-N694</f>
        <v/>
      </c>
    </row>
    <row r="695">
      <c r="A695" s="9" t="n">
        <v>45320.875</v>
      </c>
      <c r="B695" t="n">
        <v>1</v>
      </c>
      <c r="C695" t="n">
        <v>29</v>
      </c>
      <c r="D695" t="n">
        <v>21</v>
      </c>
      <c r="E695" s="10" t="n">
        <v>0</v>
      </c>
      <c r="F695" s="10" t="n">
        <v>0.3560156054437453</v>
      </c>
      <c r="G695" s="11">
        <f>E695*Summary!$B$6</f>
        <v/>
      </c>
      <c r="H695" s="11">
        <f>F695*Summary!$B$7</f>
        <v/>
      </c>
      <c r="I695" s="11">
        <f>MAX(0,N695-M695)</f>
        <v/>
      </c>
      <c r="J695" s="11">
        <f>MAX(0,M695-N695)</f>
        <v/>
      </c>
      <c r="K695" s="11">
        <f>O695</f>
        <v/>
      </c>
      <c r="L695" s="11">
        <f>L694+IF(K695&gt;0,K695*Summary!$B$9,K695/Summary!$B$9)</f>
        <v/>
      </c>
      <c r="M695" s="11">
        <f>G695+H695</f>
        <v/>
      </c>
      <c r="N695" s="11">
        <f>Summary!$C$16*Summary!$B$8</f>
        <v/>
      </c>
      <c r="O695" s="11">
        <f>M695-N695</f>
        <v/>
      </c>
    </row>
    <row r="696">
      <c r="A696" s="9" t="n">
        <v>45320.91666666666</v>
      </c>
      <c r="B696" t="n">
        <v>1</v>
      </c>
      <c r="C696" t="n">
        <v>29</v>
      </c>
      <c r="D696" t="n">
        <v>22</v>
      </c>
      <c r="E696" s="10" t="n">
        <v>0</v>
      </c>
      <c r="F696" s="10" t="n">
        <v>0.3551196372287129</v>
      </c>
      <c r="G696" s="11">
        <f>E696*Summary!$B$6</f>
        <v/>
      </c>
      <c r="H696" s="11">
        <f>F696*Summary!$B$7</f>
        <v/>
      </c>
      <c r="I696" s="11">
        <f>MAX(0,N696-M696)</f>
        <v/>
      </c>
      <c r="J696" s="11">
        <f>MAX(0,M696-N696)</f>
        <v/>
      </c>
      <c r="K696" s="11">
        <f>O696</f>
        <v/>
      </c>
      <c r="L696" s="11">
        <f>L695+IF(K696&gt;0,K696*Summary!$B$9,K696/Summary!$B$9)</f>
        <v/>
      </c>
      <c r="M696" s="11">
        <f>G696+H696</f>
        <v/>
      </c>
      <c r="N696" s="11">
        <f>Summary!$C$16*Summary!$B$8</f>
        <v/>
      </c>
      <c r="O696" s="11">
        <f>M696-N696</f>
        <v/>
      </c>
    </row>
    <row r="697">
      <c r="A697" s="9" t="n">
        <v>45320.95833333334</v>
      </c>
      <c r="B697" t="n">
        <v>1</v>
      </c>
      <c r="C697" t="n">
        <v>29</v>
      </c>
      <c r="D697" t="n">
        <v>23</v>
      </c>
      <c r="E697" s="10" t="n">
        <v>0</v>
      </c>
      <c r="F697" s="10" t="n">
        <v>0.3768336904400857</v>
      </c>
      <c r="G697" s="11">
        <f>E697*Summary!$B$6</f>
        <v/>
      </c>
      <c r="H697" s="11">
        <f>F697*Summary!$B$7</f>
        <v/>
      </c>
      <c r="I697" s="11">
        <f>MAX(0,N697-M697)</f>
        <v/>
      </c>
      <c r="J697" s="11">
        <f>MAX(0,M697-N697)</f>
        <v/>
      </c>
      <c r="K697" s="11">
        <f>O697</f>
        <v/>
      </c>
      <c r="L697" s="11">
        <f>L696+IF(K697&gt;0,K697*Summary!$B$9,K697/Summary!$B$9)</f>
        <v/>
      </c>
      <c r="M697" s="11">
        <f>G697+H697</f>
        <v/>
      </c>
      <c r="N697" s="11">
        <f>Summary!$C$16*Summary!$B$8</f>
        <v/>
      </c>
      <c r="O697" s="11">
        <f>M697-N697</f>
        <v/>
      </c>
    </row>
    <row r="698">
      <c r="A698" s="9" t="n">
        <v>45321</v>
      </c>
      <c r="B698" t="n">
        <v>1</v>
      </c>
      <c r="C698" t="n">
        <v>30</v>
      </c>
      <c r="D698" t="n">
        <v>0</v>
      </c>
      <c r="E698" s="10" t="n">
        <v>0</v>
      </c>
      <c r="F698" s="10" t="n">
        <v>0.3163031319127517</v>
      </c>
      <c r="G698" s="11">
        <f>E698*Summary!$B$6</f>
        <v/>
      </c>
      <c r="H698" s="11">
        <f>F698*Summary!$B$7</f>
        <v/>
      </c>
      <c r="I698" s="11">
        <f>MAX(0,N698-M698)</f>
        <v/>
      </c>
      <c r="J698" s="11">
        <f>MAX(0,M698-N698)</f>
        <v/>
      </c>
      <c r="K698" s="11">
        <f>O698</f>
        <v/>
      </c>
      <c r="L698" s="11">
        <f>L697+IF(K698&gt;0,K698*Summary!$B$9,K698/Summary!$B$9)</f>
        <v/>
      </c>
      <c r="M698" s="11">
        <f>G698+H698</f>
        <v/>
      </c>
      <c r="N698" s="11">
        <f>Summary!$C$16*Summary!$B$8</f>
        <v/>
      </c>
      <c r="O698" s="11">
        <f>M698-N698</f>
        <v/>
      </c>
    </row>
    <row r="699">
      <c r="A699" s="9" t="n">
        <v>45321.04166666666</v>
      </c>
      <c r="B699" t="n">
        <v>1</v>
      </c>
      <c r="C699" t="n">
        <v>30</v>
      </c>
      <c r="D699" t="n">
        <v>1</v>
      </c>
      <c r="E699" s="10" t="n">
        <v>0</v>
      </c>
      <c r="F699" s="10" t="n">
        <v>0.3478728354894805</v>
      </c>
      <c r="G699" s="11">
        <f>E699*Summary!$B$6</f>
        <v/>
      </c>
      <c r="H699" s="11">
        <f>F699*Summary!$B$7</f>
        <v/>
      </c>
      <c r="I699" s="11">
        <f>MAX(0,N699-M699)</f>
        <v/>
      </c>
      <c r="J699" s="11">
        <f>MAX(0,M699-N699)</f>
        <v/>
      </c>
      <c r="K699" s="11">
        <f>O699</f>
        <v/>
      </c>
      <c r="L699" s="11">
        <f>L698+IF(K699&gt;0,K699*Summary!$B$9,K699/Summary!$B$9)</f>
        <v/>
      </c>
      <c r="M699" s="11">
        <f>G699+H699</f>
        <v/>
      </c>
      <c r="N699" s="11">
        <f>Summary!$C$16*Summary!$B$8</f>
        <v/>
      </c>
      <c r="O699" s="11">
        <f>M699-N699</f>
        <v/>
      </c>
    </row>
    <row r="700">
      <c r="A700" s="9" t="n">
        <v>45321.08333333334</v>
      </c>
      <c r="B700" t="n">
        <v>1</v>
      </c>
      <c r="C700" t="n">
        <v>30</v>
      </c>
      <c r="D700" t="n">
        <v>2</v>
      </c>
      <c r="E700" s="10" t="n">
        <v>0</v>
      </c>
      <c r="F700" s="10" t="n">
        <v>0.3472140353313685</v>
      </c>
      <c r="G700" s="11">
        <f>E700*Summary!$B$6</f>
        <v/>
      </c>
      <c r="H700" s="11">
        <f>F700*Summary!$B$7</f>
        <v/>
      </c>
      <c r="I700" s="11">
        <f>MAX(0,N700-M700)</f>
        <v/>
      </c>
      <c r="J700" s="11">
        <f>MAX(0,M700-N700)</f>
        <v/>
      </c>
      <c r="K700" s="11">
        <f>O700</f>
        <v/>
      </c>
      <c r="L700" s="11">
        <f>L699+IF(K700&gt;0,K700*Summary!$B$9,K700/Summary!$B$9)</f>
        <v/>
      </c>
      <c r="M700" s="11">
        <f>G700+H700</f>
        <v/>
      </c>
      <c r="N700" s="11">
        <f>Summary!$C$16*Summary!$B$8</f>
        <v/>
      </c>
      <c r="O700" s="11">
        <f>M700-N700</f>
        <v/>
      </c>
    </row>
    <row r="701">
      <c r="A701" s="9" t="n">
        <v>45321.125</v>
      </c>
      <c r="B701" t="n">
        <v>1</v>
      </c>
      <c r="C701" t="n">
        <v>30</v>
      </c>
      <c r="D701" t="n">
        <v>3</v>
      </c>
      <c r="E701" s="10" t="n">
        <v>0</v>
      </c>
      <c r="F701" s="10" t="n">
        <v>0.348610691666566</v>
      </c>
      <c r="G701" s="11">
        <f>E701*Summary!$B$6</f>
        <v/>
      </c>
      <c r="H701" s="11">
        <f>F701*Summary!$B$7</f>
        <v/>
      </c>
      <c r="I701" s="11">
        <f>MAX(0,N701-M701)</f>
        <v/>
      </c>
      <c r="J701" s="11">
        <f>MAX(0,M701-N701)</f>
        <v/>
      </c>
      <c r="K701" s="11">
        <f>O701</f>
        <v/>
      </c>
      <c r="L701" s="11">
        <f>L700+IF(K701&gt;0,K701*Summary!$B$9,K701/Summary!$B$9)</f>
        <v/>
      </c>
      <c r="M701" s="11">
        <f>G701+H701</f>
        <v/>
      </c>
      <c r="N701" s="11">
        <f>Summary!$C$16*Summary!$B$8</f>
        <v/>
      </c>
      <c r="O701" s="11">
        <f>M701-N701</f>
        <v/>
      </c>
    </row>
    <row r="702">
      <c r="A702" s="9" t="n">
        <v>45321.16666666666</v>
      </c>
      <c r="B702" t="n">
        <v>1</v>
      </c>
      <c r="C702" t="n">
        <v>30</v>
      </c>
      <c r="D702" t="n">
        <v>4</v>
      </c>
      <c r="E702" s="10" t="n">
        <v>0</v>
      </c>
      <c r="F702" s="10" t="n">
        <v>0.3465552351732564</v>
      </c>
      <c r="G702" s="11">
        <f>E702*Summary!$B$6</f>
        <v/>
      </c>
      <c r="H702" s="11">
        <f>F702*Summary!$B$7</f>
        <v/>
      </c>
      <c r="I702" s="11">
        <f>MAX(0,N702-M702)</f>
        <v/>
      </c>
      <c r="J702" s="11">
        <f>MAX(0,M702-N702)</f>
        <v/>
      </c>
      <c r="K702" s="11">
        <f>O702</f>
        <v/>
      </c>
      <c r="L702" s="11">
        <f>L701+IF(K702&gt;0,K702*Summary!$B$9,K702/Summary!$B$9)</f>
        <v/>
      </c>
      <c r="M702" s="11">
        <f>G702+H702</f>
        <v/>
      </c>
      <c r="N702" s="11">
        <f>Summary!$C$16*Summary!$B$8</f>
        <v/>
      </c>
      <c r="O702" s="11">
        <f>M702-N702</f>
        <v/>
      </c>
    </row>
    <row r="703">
      <c r="A703" s="9" t="n">
        <v>45321.20833333334</v>
      </c>
      <c r="B703" t="n">
        <v>1</v>
      </c>
      <c r="C703" t="n">
        <v>30</v>
      </c>
      <c r="D703" t="n">
        <v>5</v>
      </c>
      <c r="E703" s="10" t="n">
        <v>0</v>
      </c>
      <c r="F703" s="10" t="n">
        <v>0.3424706741929618</v>
      </c>
      <c r="G703" s="11">
        <f>E703*Summary!$B$6</f>
        <v/>
      </c>
      <c r="H703" s="11">
        <f>F703*Summary!$B$7</f>
        <v/>
      </c>
      <c r="I703" s="11">
        <f>MAX(0,N703-M703)</f>
        <v/>
      </c>
      <c r="J703" s="11">
        <f>MAX(0,M703-N703)</f>
        <v/>
      </c>
      <c r="K703" s="11">
        <f>O703</f>
        <v/>
      </c>
      <c r="L703" s="11">
        <f>L702+IF(K703&gt;0,K703*Summary!$B$9,K703/Summary!$B$9)</f>
        <v/>
      </c>
      <c r="M703" s="11">
        <f>G703+H703</f>
        <v/>
      </c>
      <c r="N703" s="11">
        <f>Summary!$C$16*Summary!$B$8</f>
        <v/>
      </c>
      <c r="O703" s="11">
        <f>M703-N703</f>
        <v/>
      </c>
    </row>
    <row r="704">
      <c r="A704" s="9" t="n">
        <v>45321.25</v>
      </c>
      <c r="B704" t="n">
        <v>1</v>
      </c>
      <c r="C704" t="n">
        <v>30</v>
      </c>
      <c r="D704" t="n">
        <v>6</v>
      </c>
      <c r="E704" s="10" t="n">
        <v>0</v>
      </c>
      <c r="F704" s="10" t="n">
        <v>0.3380435371304489</v>
      </c>
      <c r="G704" s="11">
        <f>E704*Summary!$B$6</f>
        <v/>
      </c>
      <c r="H704" s="11">
        <f>F704*Summary!$B$7</f>
        <v/>
      </c>
      <c r="I704" s="11">
        <f>MAX(0,N704-M704)</f>
        <v/>
      </c>
      <c r="J704" s="11">
        <f>MAX(0,M704-N704)</f>
        <v/>
      </c>
      <c r="K704" s="11">
        <f>O704</f>
        <v/>
      </c>
      <c r="L704" s="11">
        <f>L703+IF(K704&gt;0,K704*Summary!$B$9,K704/Summary!$B$9)</f>
        <v/>
      </c>
      <c r="M704" s="11">
        <f>G704+H704</f>
        <v/>
      </c>
      <c r="N704" s="11">
        <f>Summary!$C$16*Summary!$B$8</f>
        <v/>
      </c>
      <c r="O704" s="11">
        <f>M704-N704</f>
        <v/>
      </c>
    </row>
    <row r="705">
      <c r="A705" s="9" t="n">
        <v>45321.29166666666</v>
      </c>
      <c r="B705" t="n">
        <v>1</v>
      </c>
      <c r="C705" t="n">
        <v>30</v>
      </c>
      <c r="D705" t="n">
        <v>7</v>
      </c>
      <c r="E705" s="10" t="n">
        <v>0</v>
      </c>
      <c r="F705" s="10" t="n">
        <v>0.3332474719793933</v>
      </c>
      <c r="G705" s="11">
        <f>E705*Summary!$B$6</f>
        <v/>
      </c>
      <c r="H705" s="11">
        <f>F705*Summary!$B$7</f>
        <v/>
      </c>
      <c r="I705" s="11">
        <f>MAX(0,N705-M705)</f>
        <v/>
      </c>
      <c r="J705" s="11">
        <f>MAX(0,M705-N705)</f>
        <v/>
      </c>
      <c r="K705" s="11">
        <f>O705</f>
        <v/>
      </c>
      <c r="L705" s="11">
        <f>L704+IF(K705&gt;0,K705*Summary!$B$9,K705/Summary!$B$9)</f>
        <v/>
      </c>
      <c r="M705" s="11">
        <f>G705+H705</f>
        <v/>
      </c>
      <c r="N705" s="11">
        <f>Summary!$C$16*Summary!$B$8</f>
        <v/>
      </c>
      <c r="O705" s="11">
        <f>M705-N705</f>
        <v/>
      </c>
    </row>
    <row r="706">
      <c r="A706" s="9" t="n">
        <v>45321.33333333334</v>
      </c>
      <c r="B706" t="n">
        <v>1</v>
      </c>
      <c r="C706" t="n">
        <v>30</v>
      </c>
      <c r="D706" t="n">
        <v>8</v>
      </c>
      <c r="E706" s="10" t="n">
        <v>0</v>
      </c>
      <c r="F706" s="10" t="n">
        <v>0.3274236785816829</v>
      </c>
      <c r="G706" s="11">
        <f>E706*Summary!$B$6</f>
        <v/>
      </c>
      <c r="H706" s="11">
        <f>F706*Summary!$B$7</f>
        <v/>
      </c>
      <c r="I706" s="11">
        <f>MAX(0,N706-M706)</f>
        <v/>
      </c>
      <c r="J706" s="11">
        <f>MAX(0,M706-N706)</f>
        <v/>
      </c>
      <c r="K706" s="11">
        <f>O706</f>
        <v/>
      </c>
      <c r="L706" s="11">
        <f>L705+IF(K706&gt;0,K706*Summary!$B$9,K706/Summary!$B$9)</f>
        <v/>
      </c>
      <c r="M706" s="11">
        <f>G706+H706</f>
        <v/>
      </c>
      <c r="N706" s="11">
        <f>Summary!$C$16*Summary!$B$8</f>
        <v/>
      </c>
      <c r="O706" s="11">
        <f>M706-N706</f>
        <v/>
      </c>
    </row>
    <row r="707">
      <c r="A707" s="9" t="n">
        <v>45321.375</v>
      </c>
      <c r="B707" t="n">
        <v>1</v>
      </c>
      <c r="C707" t="n">
        <v>30</v>
      </c>
      <c r="D707" t="n">
        <v>9</v>
      </c>
      <c r="E707" s="10" t="n">
        <v>0.069062</v>
      </c>
      <c r="F707" s="10" t="n">
        <v>0.3448687067684896</v>
      </c>
      <c r="G707" s="11">
        <f>E707*Summary!$B$6</f>
        <v/>
      </c>
      <c r="H707" s="11">
        <f>F707*Summary!$B$7</f>
        <v/>
      </c>
      <c r="I707" s="11">
        <f>MAX(0,N707-M707)</f>
        <v/>
      </c>
      <c r="J707" s="11">
        <f>MAX(0,M707-N707)</f>
        <v/>
      </c>
      <c r="K707" s="11">
        <f>O707</f>
        <v/>
      </c>
      <c r="L707" s="11">
        <f>L706+IF(K707&gt;0,K707*Summary!$B$9,K707/Summary!$B$9)</f>
        <v/>
      </c>
      <c r="M707" s="11">
        <f>G707+H707</f>
        <v/>
      </c>
      <c r="N707" s="11">
        <f>Summary!$C$16*Summary!$B$8</f>
        <v/>
      </c>
      <c r="O707" s="11">
        <f>M707-N707</f>
        <v/>
      </c>
    </row>
    <row r="708">
      <c r="A708" s="9" t="n">
        <v>45321.41666666666</v>
      </c>
      <c r="B708" t="n">
        <v>1</v>
      </c>
      <c r="C708" t="n">
        <v>30</v>
      </c>
      <c r="D708" t="n">
        <v>10</v>
      </c>
      <c r="E708" s="10" t="n">
        <v>0.040666</v>
      </c>
      <c r="F708" s="10" t="n">
        <v>0.3106110985466636</v>
      </c>
      <c r="G708" s="11">
        <f>E708*Summary!$B$6</f>
        <v/>
      </c>
      <c r="H708" s="11">
        <f>F708*Summary!$B$7</f>
        <v/>
      </c>
      <c r="I708" s="11">
        <f>MAX(0,N708-M708)</f>
        <v/>
      </c>
      <c r="J708" s="11">
        <f>MAX(0,M708-N708)</f>
        <v/>
      </c>
      <c r="K708" s="11">
        <f>O708</f>
        <v/>
      </c>
      <c r="L708" s="11">
        <f>L707+IF(K708&gt;0,K708*Summary!$B$9,K708/Summary!$B$9)</f>
        <v/>
      </c>
      <c r="M708" s="11">
        <f>G708+H708</f>
        <v/>
      </c>
      <c r="N708" s="11">
        <f>Summary!$C$16*Summary!$B$8</f>
        <v/>
      </c>
      <c r="O708" s="11">
        <f>M708-N708</f>
        <v/>
      </c>
    </row>
    <row r="709">
      <c r="A709" s="9" t="n">
        <v>45321.45833333334</v>
      </c>
      <c r="B709" t="n">
        <v>1</v>
      </c>
      <c r="C709" t="n">
        <v>30</v>
      </c>
      <c r="D709" t="n">
        <v>11</v>
      </c>
      <c r="E709" s="10" t="n">
        <v>0.037342</v>
      </c>
      <c r="F709" s="10" t="n">
        <v>0.3042602650224636</v>
      </c>
      <c r="G709" s="11">
        <f>E709*Summary!$B$6</f>
        <v/>
      </c>
      <c r="H709" s="11">
        <f>F709*Summary!$B$7</f>
        <v/>
      </c>
      <c r="I709" s="11">
        <f>MAX(0,N709-M709)</f>
        <v/>
      </c>
      <c r="J709" s="11">
        <f>MAX(0,M709-N709)</f>
        <v/>
      </c>
      <c r="K709" s="11">
        <f>O709</f>
        <v/>
      </c>
      <c r="L709" s="11">
        <f>L708+IF(K709&gt;0,K709*Summary!$B$9,K709/Summary!$B$9)</f>
        <v/>
      </c>
      <c r="M709" s="11">
        <f>G709+H709</f>
        <v/>
      </c>
      <c r="N709" s="11">
        <f>Summary!$C$16*Summary!$B$8</f>
        <v/>
      </c>
      <c r="O709" s="11">
        <f>M709-N709</f>
        <v/>
      </c>
    </row>
    <row r="710">
      <c r="A710" s="9" t="n">
        <v>45321.5</v>
      </c>
      <c r="B710" t="n">
        <v>1</v>
      </c>
      <c r="C710" t="n">
        <v>30</v>
      </c>
      <c r="D710" t="n">
        <v>12</v>
      </c>
      <c r="E710" s="10" t="n">
        <v>0.028844</v>
      </c>
      <c r="F710" s="10" t="n">
        <v>0.2993324398397856</v>
      </c>
      <c r="G710" s="11">
        <f>E710*Summary!$B$6</f>
        <v/>
      </c>
      <c r="H710" s="11">
        <f>F710*Summary!$B$7</f>
        <v/>
      </c>
      <c r="I710" s="11">
        <f>MAX(0,N710-M710)</f>
        <v/>
      </c>
      <c r="J710" s="11">
        <f>MAX(0,M710-N710)</f>
        <v/>
      </c>
      <c r="K710" s="11">
        <f>O710</f>
        <v/>
      </c>
      <c r="L710" s="11">
        <f>L709+IF(K710&gt;0,K710*Summary!$B$9,K710/Summary!$B$9)</f>
        <v/>
      </c>
      <c r="M710" s="11">
        <f>G710+H710</f>
        <v/>
      </c>
      <c r="N710" s="11">
        <f>Summary!$C$16*Summary!$B$8</f>
        <v/>
      </c>
      <c r="O710" s="11">
        <f>M710-N710</f>
        <v/>
      </c>
    </row>
    <row r="711">
      <c r="A711" s="9" t="n">
        <v>45321.54166666666</v>
      </c>
      <c r="B711" t="n">
        <v>1</v>
      </c>
      <c r="C711" t="n">
        <v>30</v>
      </c>
      <c r="D711" t="n">
        <v>13</v>
      </c>
      <c r="E711" s="10" t="n">
        <v>0.022001</v>
      </c>
      <c r="F711" s="10" t="n">
        <v>0.2993851438524345</v>
      </c>
      <c r="G711" s="11">
        <f>E711*Summary!$B$6</f>
        <v/>
      </c>
      <c r="H711" s="11">
        <f>F711*Summary!$B$7</f>
        <v/>
      </c>
      <c r="I711" s="11">
        <f>MAX(0,N711-M711)</f>
        <v/>
      </c>
      <c r="J711" s="11">
        <f>MAX(0,M711-N711)</f>
        <v/>
      </c>
      <c r="K711" s="11">
        <f>O711</f>
        <v/>
      </c>
      <c r="L711" s="11">
        <f>L710+IF(K711&gt;0,K711*Summary!$B$9,K711/Summary!$B$9)</f>
        <v/>
      </c>
      <c r="M711" s="11">
        <f>G711+H711</f>
        <v/>
      </c>
      <c r="N711" s="11">
        <f>Summary!$C$16*Summary!$B$8</f>
        <v/>
      </c>
      <c r="O711" s="11">
        <f>M711-N711</f>
        <v/>
      </c>
    </row>
    <row r="712">
      <c r="A712" s="9" t="n">
        <v>45321.58333333334</v>
      </c>
      <c r="B712" t="n">
        <v>1</v>
      </c>
      <c r="C712" t="n">
        <v>30</v>
      </c>
      <c r="D712" t="n">
        <v>14</v>
      </c>
      <c r="E712" s="10" t="n">
        <v>0.017209</v>
      </c>
      <c r="F712" s="10" t="n">
        <v>0.3008608562066055</v>
      </c>
      <c r="G712" s="11">
        <f>E712*Summary!$B$6</f>
        <v/>
      </c>
      <c r="H712" s="11">
        <f>F712*Summary!$B$7</f>
        <v/>
      </c>
      <c r="I712" s="11">
        <f>MAX(0,N712-M712)</f>
        <v/>
      </c>
      <c r="J712" s="11">
        <f>MAX(0,M712-N712)</f>
        <v/>
      </c>
      <c r="K712" s="11">
        <f>O712</f>
        <v/>
      </c>
      <c r="L712" s="11">
        <f>L711+IF(K712&gt;0,K712*Summary!$B$9,K712/Summary!$B$9)</f>
        <v/>
      </c>
      <c r="M712" s="11">
        <f>G712+H712</f>
        <v/>
      </c>
      <c r="N712" s="11">
        <f>Summary!$C$16*Summary!$B$8</f>
        <v/>
      </c>
      <c r="O712" s="11">
        <f>M712-N712</f>
        <v/>
      </c>
    </row>
    <row r="713">
      <c r="A713" s="9" t="n">
        <v>45321.625</v>
      </c>
      <c r="B713" t="n">
        <v>1</v>
      </c>
      <c r="C713" t="n">
        <v>30</v>
      </c>
      <c r="D713" t="n">
        <v>15</v>
      </c>
      <c r="E713" s="10" t="n">
        <v>0.008562999999999999</v>
      </c>
      <c r="F713" s="10" t="n">
        <v>0.30800224992054</v>
      </c>
      <c r="G713" s="11">
        <f>E713*Summary!$B$6</f>
        <v/>
      </c>
      <c r="H713" s="11">
        <f>F713*Summary!$B$7</f>
        <v/>
      </c>
      <c r="I713" s="11">
        <f>MAX(0,N713-M713)</f>
        <v/>
      </c>
      <c r="J713" s="11">
        <f>MAX(0,M713-N713)</f>
        <v/>
      </c>
      <c r="K713" s="11">
        <f>O713</f>
        <v/>
      </c>
      <c r="L713" s="11">
        <f>L712+IF(K713&gt;0,K713*Summary!$B$9,K713/Summary!$B$9)</f>
        <v/>
      </c>
      <c r="M713" s="11">
        <f>G713+H713</f>
        <v/>
      </c>
      <c r="N713" s="11">
        <f>Summary!$C$16*Summary!$B$8</f>
        <v/>
      </c>
      <c r="O713" s="11">
        <f>M713-N713</f>
        <v/>
      </c>
    </row>
    <row r="714">
      <c r="A714" s="9" t="n">
        <v>45321.66666666666</v>
      </c>
      <c r="B714" t="n">
        <v>1</v>
      </c>
      <c r="C714" t="n">
        <v>30</v>
      </c>
      <c r="D714" t="n">
        <v>16</v>
      </c>
      <c r="E714" s="10" t="n">
        <v>0</v>
      </c>
      <c r="F714" s="10" t="n">
        <v>0.318727516494604</v>
      </c>
      <c r="G714" s="11">
        <f>E714*Summary!$B$6</f>
        <v/>
      </c>
      <c r="H714" s="11">
        <f>F714*Summary!$B$7</f>
        <v/>
      </c>
      <c r="I714" s="11">
        <f>MAX(0,N714-M714)</f>
        <v/>
      </c>
      <c r="J714" s="11">
        <f>MAX(0,M714-N714)</f>
        <v/>
      </c>
      <c r="K714" s="11">
        <f>O714</f>
        <v/>
      </c>
      <c r="L714" s="11">
        <f>L713+IF(K714&gt;0,K714*Summary!$B$9,K714/Summary!$B$9)</f>
        <v/>
      </c>
      <c r="M714" s="11">
        <f>G714+H714</f>
        <v/>
      </c>
      <c r="N714" s="11">
        <f>Summary!$C$16*Summary!$B$8</f>
        <v/>
      </c>
      <c r="O714" s="11">
        <f>M714-N714</f>
        <v/>
      </c>
    </row>
    <row r="715">
      <c r="A715" s="9" t="n">
        <v>45321.70833333334</v>
      </c>
      <c r="B715" t="n">
        <v>1</v>
      </c>
      <c r="C715" t="n">
        <v>30</v>
      </c>
      <c r="D715" t="n">
        <v>17</v>
      </c>
      <c r="E715" s="10" t="n">
        <v>0</v>
      </c>
      <c r="F715" s="10" t="n">
        <v>0.323549933651984</v>
      </c>
      <c r="G715" s="11">
        <f>E715*Summary!$B$6</f>
        <v/>
      </c>
      <c r="H715" s="11">
        <f>F715*Summary!$B$7</f>
        <v/>
      </c>
      <c r="I715" s="11">
        <f>MAX(0,N715-M715)</f>
        <v/>
      </c>
      <c r="J715" s="11">
        <f>MAX(0,M715-N715)</f>
        <v/>
      </c>
      <c r="K715" s="11">
        <f>O715</f>
        <v/>
      </c>
      <c r="L715" s="11">
        <f>L714+IF(K715&gt;0,K715*Summary!$B$9,K715/Summary!$B$9)</f>
        <v/>
      </c>
      <c r="M715" s="11">
        <f>G715+H715</f>
        <v/>
      </c>
      <c r="N715" s="11">
        <f>Summary!$C$16*Summary!$B$8</f>
        <v/>
      </c>
      <c r="O715" s="11">
        <f>M715-N715</f>
        <v/>
      </c>
    </row>
    <row r="716">
      <c r="A716" s="9" t="n">
        <v>45321.75</v>
      </c>
      <c r="B716" t="n">
        <v>1</v>
      </c>
      <c r="C716" t="n">
        <v>30</v>
      </c>
      <c r="D716" t="n">
        <v>18</v>
      </c>
      <c r="E716" s="10" t="n">
        <v>0</v>
      </c>
      <c r="F716" s="10" t="n">
        <v>0.3248938859745326</v>
      </c>
      <c r="G716" s="11">
        <f>E716*Summary!$B$6</f>
        <v/>
      </c>
      <c r="H716" s="11">
        <f>F716*Summary!$B$7</f>
        <v/>
      </c>
      <c r="I716" s="11">
        <f>MAX(0,N716-M716)</f>
        <v/>
      </c>
      <c r="J716" s="11">
        <f>MAX(0,M716-N716)</f>
        <v/>
      </c>
      <c r="K716" s="11">
        <f>O716</f>
        <v/>
      </c>
      <c r="L716" s="11">
        <f>L715+IF(K716&gt;0,K716*Summary!$B$9,K716/Summary!$B$9)</f>
        <v/>
      </c>
      <c r="M716" s="11">
        <f>G716+H716</f>
        <v/>
      </c>
      <c r="N716" s="11">
        <f>Summary!$C$16*Summary!$B$8</f>
        <v/>
      </c>
      <c r="O716" s="11">
        <f>M716-N716</f>
        <v/>
      </c>
    </row>
    <row r="717">
      <c r="A717" s="9" t="n">
        <v>45321.79166666666</v>
      </c>
      <c r="B717" t="n">
        <v>1</v>
      </c>
      <c r="C717" t="n">
        <v>30</v>
      </c>
      <c r="D717" t="n">
        <v>19</v>
      </c>
      <c r="E717" s="10" t="n">
        <v>0</v>
      </c>
      <c r="F717" s="10" t="n">
        <v>0.3212046050891052</v>
      </c>
      <c r="G717" s="11">
        <f>E717*Summary!$B$6</f>
        <v/>
      </c>
      <c r="H717" s="11">
        <f>F717*Summary!$B$7</f>
        <v/>
      </c>
      <c r="I717" s="11">
        <f>MAX(0,N717-M717)</f>
        <v/>
      </c>
      <c r="J717" s="11">
        <f>MAX(0,M717-N717)</f>
        <v/>
      </c>
      <c r="K717" s="11">
        <f>O717</f>
        <v/>
      </c>
      <c r="L717" s="11">
        <f>L716+IF(K717&gt;0,K717*Summary!$B$9,K717/Summary!$B$9)</f>
        <v/>
      </c>
      <c r="M717" s="11">
        <f>G717+H717</f>
        <v/>
      </c>
      <c r="N717" s="11">
        <f>Summary!$C$16*Summary!$B$8</f>
        <v/>
      </c>
      <c r="O717" s="11">
        <f>M717-N717</f>
        <v/>
      </c>
    </row>
    <row r="718">
      <c r="A718" s="9" t="n">
        <v>45321.83333333334</v>
      </c>
      <c r="B718" t="n">
        <v>1</v>
      </c>
      <c r="C718" t="n">
        <v>30</v>
      </c>
      <c r="D718" t="n">
        <v>20</v>
      </c>
      <c r="E718" s="10" t="n">
        <v>0</v>
      </c>
      <c r="F718" s="10" t="n">
        <v>0.3168301720392413</v>
      </c>
      <c r="G718" s="11">
        <f>E718*Summary!$B$6</f>
        <v/>
      </c>
      <c r="H718" s="11">
        <f>F718*Summary!$B$7</f>
        <v/>
      </c>
      <c r="I718" s="11">
        <f>MAX(0,N718-M718)</f>
        <v/>
      </c>
      <c r="J718" s="11">
        <f>MAX(0,M718-N718)</f>
        <v/>
      </c>
      <c r="K718" s="11">
        <f>O718</f>
        <v/>
      </c>
      <c r="L718" s="11">
        <f>L717+IF(K718&gt;0,K718*Summary!$B$9,K718/Summary!$B$9)</f>
        <v/>
      </c>
      <c r="M718" s="11">
        <f>G718+H718</f>
        <v/>
      </c>
      <c r="N718" s="11">
        <f>Summary!$C$16*Summary!$B$8</f>
        <v/>
      </c>
      <c r="O718" s="11">
        <f>M718-N718</f>
        <v/>
      </c>
    </row>
    <row r="719">
      <c r="A719" s="9" t="n">
        <v>45321.875</v>
      </c>
      <c r="B719" t="n">
        <v>1</v>
      </c>
      <c r="C719" t="n">
        <v>30</v>
      </c>
      <c r="D719" t="n">
        <v>21</v>
      </c>
      <c r="E719" s="10" t="n">
        <v>0</v>
      </c>
      <c r="F719" s="10" t="n">
        <v>0.3418118740348497</v>
      </c>
      <c r="G719" s="11">
        <f>E719*Summary!$B$6</f>
        <v/>
      </c>
      <c r="H719" s="11">
        <f>F719*Summary!$B$7</f>
        <v/>
      </c>
      <c r="I719" s="11">
        <f>MAX(0,N719-M719)</f>
        <v/>
      </c>
      <c r="J719" s="11">
        <f>MAX(0,M719-N719)</f>
        <v/>
      </c>
      <c r="K719" s="11">
        <f>O719</f>
        <v/>
      </c>
      <c r="L719" s="11">
        <f>L718+IF(K719&gt;0,K719*Summary!$B$9,K719/Summary!$B$9)</f>
        <v/>
      </c>
      <c r="M719" s="11">
        <f>G719+H719</f>
        <v/>
      </c>
      <c r="N719" s="11">
        <f>Summary!$C$16*Summary!$B$8</f>
        <v/>
      </c>
      <c r="O719" s="11">
        <f>M719-N719</f>
        <v/>
      </c>
    </row>
    <row r="720">
      <c r="A720" s="9" t="n">
        <v>45321.91666666666</v>
      </c>
      <c r="B720" t="n">
        <v>1</v>
      </c>
      <c r="C720" t="n">
        <v>30</v>
      </c>
      <c r="D720" t="n">
        <v>22</v>
      </c>
      <c r="E720" s="10" t="n">
        <v>0</v>
      </c>
      <c r="F720" s="10" t="n">
        <v>0.3145902515016604</v>
      </c>
      <c r="G720" s="11">
        <f>E720*Summary!$B$6</f>
        <v/>
      </c>
      <c r="H720" s="11">
        <f>F720*Summary!$B$7</f>
        <v/>
      </c>
      <c r="I720" s="11">
        <f>MAX(0,N720-M720)</f>
        <v/>
      </c>
      <c r="J720" s="11">
        <f>MAX(0,M720-N720)</f>
        <v/>
      </c>
      <c r="K720" s="11">
        <f>O720</f>
        <v/>
      </c>
      <c r="L720" s="11">
        <f>L719+IF(K720&gt;0,K720*Summary!$B$9,K720/Summary!$B$9)</f>
        <v/>
      </c>
      <c r="M720" s="11">
        <f>G720+H720</f>
        <v/>
      </c>
      <c r="N720" s="11">
        <f>Summary!$C$16*Summary!$B$8</f>
        <v/>
      </c>
      <c r="O720" s="11">
        <f>M720-N720</f>
        <v/>
      </c>
    </row>
    <row r="721">
      <c r="A721" s="9" t="n">
        <v>45321.95833333334</v>
      </c>
      <c r="B721" t="n">
        <v>1</v>
      </c>
      <c r="C721" t="n">
        <v>30</v>
      </c>
      <c r="D721" t="n">
        <v>23</v>
      </c>
      <c r="E721" s="10" t="n">
        <v>0</v>
      </c>
      <c r="F721" s="10" t="n">
        <v>0.3126929070462977</v>
      </c>
      <c r="G721" s="11">
        <f>E721*Summary!$B$6</f>
        <v/>
      </c>
      <c r="H721" s="11">
        <f>F721*Summary!$B$7</f>
        <v/>
      </c>
      <c r="I721" s="11">
        <f>MAX(0,N721-M721)</f>
        <v/>
      </c>
      <c r="J721" s="11">
        <f>MAX(0,M721-N721)</f>
        <v/>
      </c>
      <c r="K721" s="11">
        <f>O721</f>
        <v/>
      </c>
      <c r="L721" s="11">
        <f>L720+IF(K721&gt;0,K721*Summary!$B$9,K721/Summary!$B$9)</f>
        <v/>
      </c>
      <c r="M721" s="11">
        <f>G721+H721</f>
        <v/>
      </c>
      <c r="N721" s="11">
        <f>Summary!$C$16*Summary!$B$8</f>
        <v/>
      </c>
      <c r="O721" s="11">
        <f>M721-N721</f>
        <v/>
      </c>
    </row>
    <row r="722">
      <c r="A722" s="9" t="n">
        <v>45322</v>
      </c>
      <c r="B722" t="n">
        <v>1</v>
      </c>
      <c r="C722" t="n">
        <v>31</v>
      </c>
      <c r="D722" t="n">
        <v>0</v>
      </c>
      <c r="E722" s="10" t="n">
        <v>0</v>
      </c>
      <c r="F722" s="10" t="n">
        <v>0.3491640837993801</v>
      </c>
      <c r="G722" s="11">
        <f>E722*Summary!$B$6</f>
        <v/>
      </c>
      <c r="H722" s="11">
        <f>F722*Summary!$B$7</f>
        <v/>
      </c>
      <c r="I722" s="11">
        <f>MAX(0,N722-M722)</f>
        <v/>
      </c>
      <c r="J722" s="11">
        <f>MAX(0,M722-N722)</f>
        <v/>
      </c>
      <c r="K722" s="11">
        <f>O722</f>
        <v/>
      </c>
      <c r="L722" s="11">
        <f>L721+IF(K722&gt;0,K722*Summary!$B$9,K722/Summary!$B$9)</f>
        <v/>
      </c>
      <c r="M722" s="11">
        <f>G722+H722</f>
        <v/>
      </c>
      <c r="N722" s="11">
        <f>Summary!$C$16*Summary!$B$8</f>
        <v/>
      </c>
      <c r="O722" s="11">
        <f>M722-N722</f>
        <v/>
      </c>
    </row>
    <row r="723">
      <c r="A723" s="9" t="n">
        <v>45322.04166666666</v>
      </c>
      <c r="B723" t="n">
        <v>1</v>
      </c>
      <c r="C723" t="n">
        <v>31</v>
      </c>
      <c r="D723" t="n">
        <v>1</v>
      </c>
      <c r="E723" s="10" t="n">
        <v>0</v>
      </c>
      <c r="F723" s="10" t="n">
        <v>0.3119286988628877</v>
      </c>
      <c r="G723" s="11">
        <f>E723*Summary!$B$6</f>
        <v/>
      </c>
      <c r="H723" s="11">
        <f>F723*Summary!$B$7</f>
        <v/>
      </c>
      <c r="I723" s="11">
        <f>MAX(0,N723-M723)</f>
        <v/>
      </c>
      <c r="J723" s="11">
        <f>MAX(0,M723-N723)</f>
        <v/>
      </c>
      <c r="K723" s="11">
        <f>O723</f>
        <v/>
      </c>
      <c r="L723" s="11">
        <f>L722+IF(K723&gt;0,K723*Summary!$B$9,K723/Summary!$B$9)</f>
        <v/>
      </c>
      <c r="M723" s="11">
        <f>G723+H723</f>
        <v/>
      </c>
      <c r="N723" s="11">
        <f>Summary!$C$16*Summary!$B$8</f>
        <v/>
      </c>
      <c r="O723" s="11">
        <f>M723-N723</f>
        <v/>
      </c>
    </row>
    <row r="724">
      <c r="A724" s="9" t="n">
        <v>45322.08333333334</v>
      </c>
      <c r="B724" t="n">
        <v>1</v>
      </c>
      <c r="C724" t="n">
        <v>31</v>
      </c>
      <c r="D724" t="n">
        <v>2</v>
      </c>
      <c r="E724" s="10" t="n">
        <v>0</v>
      </c>
      <c r="F724" s="10" t="n">
        <v>0.3116388267933184</v>
      </c>
      <c r="G724" s="11">
        <f>E724*Summary!$B$6</f>
        <v/>
      </c>
      <c r="H724" s="11">
        <f>F724*Summary!$B$7</f>
        <v/>
      </c>
      <c r="I724" s="11">
        <f>MAX(0,N724-M724)</f>
        <v/>
      </c>
      <c r="J724" s="11">
        <f>MAX(0,M724-N724)</f>
        <v/>
      </c>
      <c r="K724" s="11">
        <f>O724</f>
        <v/>
      </c>
      <c r="L724" s="11">
        <f>L723+IF(K724&gt;0,K724*Summary!$B$9,K724/Summary!$B$9)</f>
        <v/>
      </c>
      <c r="M724" s="11">
        <f>G724+H724</f>
        <v/>
      </c>
      <c r="N724" s="11">
        <f>Summary!$C$16*Summary!$B$8</f>
        <v/>
      </c>
      <c r="O724" s="11">
        <f>M724-N724</f>
        <v/>
      </c>
    </row>
    <row r="725">
      <c r="A725" s="9" t="n">
        <v>45322.125</v>
      </c>
      <c r="B725" t="n">
        <v>1</v>
      </c>
      <c r="C725" t="n">
        <v>31</v>
      </c>
      <c r="D725" t="n">
        <v>3</v>
      </c>
      <c r="E725" s="10" t="n">
        <v>0</v>
      </c>
      <c r="F725" s="10" t="n">
        <v>0.3080286019268644</v>
      </c>
      <c r="G725" s="11">
        <f>E725*Summary!$B$6</f>
        <v/>
      </c>
      <c r="H725" s="11">
        <f>F725*Summary!$B$7</f>
        <v/>
      </c>
      <c r="I725" s="11">
        <f>MAX(0,N725-M725)</f>
        <v/>
      </c>
      <c r="J725" s="11">
        <f>MAX(0,M725-N725)</f>
        <v/>
      </c>
      <c r="K725" s="11">
        <f>O725</f>
        <v/>
      </c>
      <c r="L725" s="11">
        <f>L724+IF(K725&gt;0,K725*Summary!$B$9,K725/Summary!$B$9)</f>
        <v/>
      </c>
      <c r="M725" s="11">
        <f>G725+H725</f>
        <v/>
      </c>
      <c r="N725" s="11">
        <f>Summary!$C$16*Summary!$B$8</f>
        <v/>
      </c>
      <c r="O725" s="11">
        <f>M725-N725</f>
        <v/>
      </c>
    </row>
    <row r="726">
      <c r="A726" s="9" t="n">
        <v>45322.16666666666</v>
      </c>
      <c r="B726" t="n">
        <v>1</v>
      </c>
      <c r="C726" t="n">
        <v>31</v>
      </c>
      <c r="D726" t="n">
        <v>4</v>
      </c>
      <c r="E726" s="10" t="n">
        <v>0</v>
      </c>
      <c r="F726" s="10" t="n">
        <v>0.3013351923204461</v>
      </c>
      <c r="G726" s="11">
        <f>E726*Summary!$B$6</f>
        <v/>
      </c>
      <c r="H726" s="11">
        <f>F726*Summary!$B$7</f>
        <v/>
      </c>
      <c r="I726" s="11">
        <f>MAX(0,N726-M726)</f>
        <v/>
      </c>
      <c r="J726" s="11">
        <f>MAX(0,M726-N726)</f>
        <v/>
      </c>
      <c r="K726" s="11">
        <f>O726</f>
        <v/>
      </c>
      <c r="L726" s="11">
        <f>L725+IF(K726&gt;0,K726*Summary!$B$9,K726/Summary!$B$9)</f>
        <v/>
      </c>
      <c r="M726" s="11">
        <f>G726+H726</f>
        <v/>
      </c>
      <c r="N726" s="11">
        <f>Summary!$C$16*Summary!$B$8</f>
        <v/>
      </c>
      <c r="O726" s="11">
        <f>M726-N726</f>
        <v/>
      </c>
    </row>
    <row r="727">
      <c r="A727" s="9" t="n">
        <v>45322.20833333334</v>
      </c>
      <c r="B727" t="n">
        <v>1</v>
      </c>
      <c r="C727" t="n">
        <v>31</v>
      </c>
      <c r="D727" t="n">
        <v>5</v>
      </c>
      <c r="E727" s="10" t="n">
        <v>0</v>
      </c>
      <c r="F727" s="10" t="n">
        <v>0.2953532868847888</v>
      </c>
      <c r="G727" s="11">
        <f>E727*Summary!$B$6</f>
        <v/>
      </c>
      <c r="H727" s="11">
        <f>F727*Summary!$B$7</f>
        <v/>
      </c>
      <c r="I727" s="11">
        <f>MAX(0,N727-M727)</f>
        <v/>
      </c>
      <c r="J727" s="11">
        <f>MAX(0,M727-N727)</f>
        <v/>
      </c>
      <c r="K727" s="11">
        <f>O727</f>
        <v/>
      </c>
      <c r="L727" s="11">
        <f>L726+IF(K727&gt;0,K727*Summary!$B$9,K727/Summary!$B$9)</f>
        <v/>
      </c>
      <c r="M727" s="11">
        <f>G727+H727</f>
        <v/>
      </c>
      <c r="N727" s="11">
        <f>Summary!$C$16*Summary!$B$8</f>
        <v/>
      </c>
      <c r="O727" s="11">
        <f>M727-N727</f>
        <v/>
      </c>
    </row>
    <row r="728">
      <c r="A728" s="9" t="n">
        <v>45322.25</v>
      </c>
      <c r="B728" t="n">
        <v>1</v>
      </c>
      <c r="C728" t="n">
        <v>31</v>
      </c>
      <c r="D728" t="n">
        <v>6</v>
      </c>
      <c r="E728" s="10" t="n">
        <v>0</v>
      </c>
      <c r="F728" s="10" t="n">
        <v>0.2925072702017448</v>
      </c>
      <c r="G728" s="11">
        <f>E728*Summary!$B$6</f>
        <v/>
      </c>
      <c r="H728" s="11">
        <f>F728*Summary!$B$7</f>
        <v/>
      </c>
      <c r="I728" s="11">
        <f>MAX(0,N728-M728)</f>
        <v/>
      </c>
      <c r="J728" s="11">
        <f>MAX(0,M728-N728)</f>
        <v/>
      </c>
      <c r="K728" s="11">
        <f>O728</f>
        <v/>
      </c>
      <c r="L728" s="11">
        <f>L727+IF(K728&gt;0,K728*Summary!$B$9,K728/Summary!$B$9)</f>
        <v/>
      </c>
      <c r="M728" s="11">
        <f>G728+H728</f>
        <v/>
      </c>
      <c r="N728" s="11">
        <f>Summary!$C$16*Summary!$B$8</f>
        <v/>
      </c>
      <c r="O728" s="11">
        <f>M728-N728</f>
        <v/>
      </c>
    </row>
    <row r="729">
      <c r="A729" s="9" t="n">
        <v>45322.29166666666</v>
      </c>
      <c r="B729" t="n">
        <v>1</v>
      </c>
      <c r="C729" t="n">
        <v>31</v>
      </c>
      <c r="D729" t="n">
        <v>7</v>
      </c>
      <c r="E729" s="10" t="n">
        <v>0</v>
      </c>
      <c r="F729" s="10" t="n">
        <v>0.2949316547835971</v>
      </c>
      <c r="G729" s="11">
        <f>E729*Summary!$B$6</f>
        <v/>
      </c>
      <c r="H729" s="11">
        <f>F729*Summary!$B$7</f>
        <v/>
      </c>
      <c r="I729" s="11">
        <f>MAX(0,N729-M729)</f>
        <v/>
      </c>
      <c r="J729" s="11">
        <f>MAX(0,M729-N729)</f>
        <v/>
      </c>
      <c r="K729" s="11">
        <f>O729</f>
        <v/>
      </c>
      <c r="L729" s="11">
        <f>L728+IF(K729&gt;0,K729*Summary!$B$9,K729/Summary!$B$9)</f>
        <v/>
      </c>
      <c r="M729" s="11">
        <f>G729+H729</f>
        <v/>
      </c>
      <c r="N729" s="11">
        <f>Summary!$C$16*Summary!$B$8</f>
        <v/>
      </c>
      <c r="O729" s="11">
        <f>M729-N729</f>
        <v/>
      </c>
    </row>
    <row r="730">
      <c r="A730" s="9" t="n">
        <v>45322.33333333334</v>
      </c>
      <c r="B730" t="n">
        <v>1</v>
      </c>
      <c r="C730" t="n">
        <v>31</v>
      </c>
      <c r="D730" t="n">
        <v>8</v>
      </c>
      <c r="E730" s="10" t="n">
        <v>0.00868</v>
      </c>
      <c r="F730" s="10" t="n">
        <v>0.2914268379424411</v>
      </c>
      <c r="G730" s="11">
        <f>E730*Summary!$B$6</f>
        <v/>
      </c>
      <c r="H730" s="11">
        <f>F730*Summary!$B$7</f>
        <v/>
      </c>
      <c r="I730" s="11">
        <f>MAX(0,N730-M730)</f>
        <v/>
      </c>
      <c r="J730" s="11">
        <f>MAX(0,M730-N730)</f>
        <v/>
      </c>
      <c r="K730" s="11">
        <f>O730</f>
        <v/>
      </c>
      <c r="L730" s="11">
        <f>L729+IF(K730&gt;0,K730*Summary!$B$9,K730/Summary!$B$9)</f>
        <v/>
      </c>
      <c r="M730" s="11">
        <f>G730+H730</f>
        <v/>
      </c>
      <c r="N730" s="11">
        <f>Summary!$C$16*Summary!$B$8</f>
        <v/>
      </c>
      <c r="O730" s="11">
        <f>M730-N730</f>
        <v/>
      </c>
    </row>
    <row r="731">
      <c r="A731" s="9" t="n">
        <v>45322.375</v>
      </c>
      <c r="B731" t="n">
        <v>1</v>
      </c>
      <c r="C731" t="n">
        <v>31</v>
      </c>
      <c r="D731" t="n">
        <v>9</v>
      </c>
      <c r="E731" s="10" t="n">
        <v>0.0605</v>
      </c>
      <c r="F731" s="10" t="n">
        <v>0.301546008371042</v>
      </c>
      <c r="G731" s="11">
        <f>E731*Summary!$B$6</f>
        <v/>
      </c>
      <c r="H731" s="11">
        <f>F731*Summary!$B$7</f>
        <v/>
      </c>
      <c r="I731" s="11">
        <f>MAX(0,N731-M731)</f>
        <v/>
      </c>
      <c r="J731" s="11">
        <f>MAX(0,M731-N731)</f>
        <v/>
      </c>
      <c r="K731" s="11">
        <f>O731</f>
        <v/>
      </c>
      <c r="L731" s="11">
        <f>L730+IF(K731&gt;0,K731*Summary!$B$9,K731/Summary!$B$9)</f>
        <v/>
      </c>
      <c r="M731" s="11">
        <f>G731+H731</f>
        <v/>
      </c>
      <c r="N731" s="11">
        <f>Summary!$C$16*Summary!$B$8</f>
        <v/>
      </c>
      <c r="O731" s="11">
        <f>M731-N731</f>
        <v/>
      </c>
    </row>
    <row r="732">
      <c r="A732" s="9" t="n">
        <v>45322.41666666666</v>
      </c>
      <c r="B732" t="n">
        <v>1</v>
      </c>
      <c r="C732" t="n">
        <v>31</v>
      </c>
      <c r="D732" t="n">
        <v>10</v>
      </c>
      <c r="E732" s="10" t="n">
        <v>0.055658</v>
      </c>
      <c r="F732" s="10" t="n">
        <v>0.3017568244216379</v>
      </c>
      <c r="G732" s="11">
        <f>E732*Summary!$B$6</f>
        <v/>
      </c>
      <c r="H732" s="11">
        <f>F732*Summary!$B$7</f>
        <v/>
      </c>
      <c r="I732" s="11">
        <f>MAX(0,N732-M732)</f>
        <v/>
      </c>
      <c r="J732" s="11">
        <f>MAX(0,M732-N732)</f>
        <v/>
      </c>
      <c r="K732" s="11">
        <f>O732</f>
        <v/>
      </c>
      <c r="L732" s="11">
        <f>L731+IF(K732&gt;0,K732*Summary!$B$9,K732/Summary!$B$9)</f>
        <v/>
      </c>
      <c r="M732" s="11">
        <f>G732+H732</f>
        <v/>
      </c>
      <c r="N732" s="11">
        <f>Summary!$C$16*Summary!$B$8</f>
        <v/>
      </c>
      <c r="O732" s="11">
        <f>M732-N732</f>
        <v/>
      </c>
    </row>
    <row r="733">
      <c r="A733" s="9" t="n">
        <v>45322.45833333334</v>
      </c>
      <c r="B733" t="n">
        <v>1</v>
      </c>
      <c r="C733" t="n">
        <v>31</v>
      </c>
      <c r="D733" t="n">
        <v>11</v>
      </c>
      <c r="E733" s="10" t="n">
        <v>0.075132</v>
      </c>
      <c r="F733" s="10" t="n">
        <v>0.3002284080548179</v>
      </c>
      <c r="G733" s="11">
        <f>E733*Summary!$B$6</f>
        <v/>
      </c>
      <c r="H733" s="11">
        <f>F733*Summary!$B$7</f>
        <v/>
      </c>
      <c r="I733" s="11">
        <f>MAX(0,N733-M733)</f>
        <v/>
      </c>
      <c r="J733" s="11">
        <f>MAX(0,M733-N733)</f>
        <v/>
      </c>
      <c r="K733" s="11">
        <f>O733</f>
        <v/>
      </c>
      <c r="L733" s="11">
        <f>L732+IF(K733&gt;0,K733*Summary!$B$9,K733/Summary!$B$9)</f>
        <v/>
      </c>
      <c r="M733" s="11">
        <f>G733+H733</f>
        <v/>
      </c>
      <c r="N733" s="11">
        <f>Summary!$C$16*Summary!$B$8</f>
        <v/>
      </c>
      <c r="O733" s="11">
        <f>M733-N733</f>
        <v/>
      </c>
    </row>
    <row r="734">
      <c r="A734" s="9" t="n">
        <v>45322.5</v>
      </c>
      <c r="B734" t="n">
        <v>1</v>
      </c>
      <c r="C734" t="n">
        <v>31</v>
      </c>
      <c r="D734" t="n">
        <v>12</v>
      </c>
      <c r="E734" s="10" t="n">
        <v>0.058147</v>
      </c>
      <c r="F734" s="10" t="n">
        <v>0.2975405034097208</v>
      </c>
      <c r="G734" s="11">
        <f>E734*Summary!$B$6</f>
        <v/>
      </c>
      <c r="H734" s="11">
        <f>F734*Summary!$B$7</f>
        <v/>
      </c>
      <c r="I734" s="11">
        <f>MAX(0,N734-M734)</f>
        <v/>
      </c>
      <c r="J734" s="11">
        <f>MAX(0,M734-N734)</f>
        <v/>
      </c>
      <c r="K734" s="11">
        <f>O734</f>
        <v/>
      </c>
      <c r="L734" s="11">
        <f>L733+IF(K734&gt;0,K734*Summary!$B$9,K734/Summary!$B$9)</f>
        <v/>
      </c>
      <c r="M734" s="11">
        <f>G734+H734</f>
        <v/>
      </c>
      <c r="N734" s="11">
        <f>Summary!$C$16*Summary!$B$8</f>
        <v/>
      </c>
      <c r="O734" s="11">
        <f>M734-N734</f>
        <v/>
      </c>
    </row>
    <row r="735">
      <c r="A735" s="9" t="n">
        <v>45322.54166666666</v>
      </c>
      <c r="B735" t="n">
        <v>1</v>
      </c>
      <c r="C735" t="n">
        <v>31</v>
      </c>
      <c r="D735" t="n">
        <v>13</v>
      </c>
      <c r="E735" s="10" t="n">
        <v>0.060073</v>
      </c>
      <c r="F735" s="10" t="n">
        <v>0.299411495858759</v>
      </c>
      <c r="G735" s="11">
        <f>E735*Summary!$B$6</f>
        <v/>
      </c>
      <c r="H735" s="11">
        <f>F735*Summary!$B$7</f>
        <v/>
      </c>
      <c r="I735" s="11">
        <f>MAX(0,N735-M735)</f>
        <v/>
      </c>
      <c r="J735" s="11">
        <f>MAX(0,M735-N735)</f>
        <v/>
      </c>
      <c r="K735" s="11">
        <f>O735</f>
        <v/>
      </c>
      <c r="L735" s="11">
        <f>L734+IF(K735&gt;0,K735*Summary!$B$9,K735/Summary!$B$9)</f>
        <v/>
      </c>
      <c r="M735" s="11">
        <f>G735+H735</f>
        <v/>
      </c>
      <c r="N735" s="11">
        <f>Summary!$C$16*Summary!$B$8</f>
        <v/>
      </c>
      <c r="O735" s="11">
        <f>M735-N735</f>
        <v/>
      </c>
    </row>
    <row r="736">
      <c r="A736" s="9" t="n">
        <v>45322.58333333334</v>
      </c>
      <c r="B736" t="n">
        <v>1</v>
      </c>
      <c r="C736" t="n">
        <v>31</v>
      </c>
      <c r="D736" t="n">
        <v>14</v>
      </c>
      <c r="E736" s="10" t="n">
        <v>0.04406</v>
      </c>
      <c r="F736" s="10" t="n">
        <v>0.3055251613260387</v>
      </c>
      <c r="G736" s="11">
        <f>E736*Summary!$B$6</f>
        <v/>
      </c>
      <c r="H736" s="11">
        <f>F736*Summary!$B$7</f>
        <v/>
      </c>
      <c r="I736" s="11">
        <f>MAX(0,N736-M736)</f>
        <v/>
      </c>
      <c r="J736" s="11">
        <f>MAX(0,M736-N736)</f>
        <v/>
      </c>
      <c r="K736" s="11">
        <f>O736</f>
        <v/>
      </c>
      <c r="L736" s="11">
        <f>L735+IF(K736&gt;0,K736*Summary!$B$9,K736/Summary!$B$9)</f>
        <v/>
      </c>
      <c r="M736" s="11">
        <f>G736+H736</f>
        <v/>
      </c>
      <c r="N736" s="11">
        <f>Summary!$C$16*Summary!$B$8</f>
        <v/>
      </c>
      <c r="O736" s="11">
        <f>M736-N736</f>
        <v/>
      </c>
    </row>
    <row r="737">
      <c r="A737" s="9" t="n">
        <v>45322.625</v>
      </c>
      <c r="B737" t="n">
        <v>1</v>
      </c>
      <c r="C737" t="n">
        <v>31</v>
      </c>
      <c r="D737" t="n">
        <v>15</v>
      </c>
      <c r="E737" s="10" t="n">
        <v>0.029672</v>
      </c>
      <c r="F737" s="10" t="n">
        <v>0.3220742212978131</v>
      </c>
      <c r="G737" s="11">
        <f>E737*Summary!$B$6</f>
        <v/>
      </c>
      <c r="H737" s="11">
        <f>F737*Summary!$B$7</f>
        <v/>
      </c>
      <c r="I737" s="11">
        <f>MAX(0,N737-M737)</f>
        <v/>
      </c>
      <c r="J737" s="11">
        <f>MAX(0,M737-N737)</f>
        <v/>
      </c>
      <c r="K737" s="11">
        <f>O737</f>
        <v/>
      </c>
      <c r="L737" s="11">
        <f>L736+IF(K737&gt;0,K737*Summary!$B$9,K737/Summary!$B$9)</f>
        <v/>
      </c>
      <c r="M737" s="11">
        <f>G737+H737</f>
        <v/>
      </c>
      <c r="N737" s="11">
        <f>Summary!$C$16*Summary!$B$8</f>
        <v/>
      </c>
      <c r="O737" s="11">
        <f>M737-N737</f>
        <v/>
      </c>
    </row>
    <row r="738">
      <c r="A738" s="9" t="n">
        <v>45322.66666666666</v>
      </c>
      <c r="B738" t="n">
        <v>1</v>
      </c>
      <c r="C738" t="n">
        <v>31</v>
      </c>
      <c r="D738" t="n">
        <v>16</v>
      </c>
      <c r="E738" s="10" t="n">
        <v>0</v>
      </c>
      <c r="F738" s="10" t="n">
        <v>0.3385442252506141</v>
      </c>
      <c r="G738" s="11">
        <f>E738*Summary!$B$6</f>
        <v/>
      </c>
      <c r="H738" s="11">
        <f>F738*Summary!$B$7</f>
        <v/>
      </c>
      <c r="I738" s="11">
        <f>MAX(0,N738-M738)</f>
        <v/>
      </c>
      <c r="J738" s="11">
        <f>MAX(0,M738-N738)</f>
        <v/>
      </c>
      <c r="K738" s="11">
        <f>O738</f>
        <v/>
      </c>
      <c r="L738" s="11">
        <f>L737+IF(K738&gt;0,K738*Summary!$B$9,K738/Summary!$B$9)</f>
        <v/>
      </c>
      <c r="M738" s="11">
        <f>G738+H738</f>
        <v/>
      </c>
      <c r="N738" s="11">
        <f>Summary!$C$16*Summary!$B$8</f>
        <v/>
      </c>
      <c r="O738" s="11">
        <f>M738-N738</f>
        <v/>
      </c>
    </row>
    <row r="739">
      <c r="A739" s="9" t="n">
        <v>45322.70833333334</v>
      </c>
      <c r="B739" t="n">
        <v>1</v>
      </c>
      <c r="C739" t="n">
        <v>31</v>
      </c>
      <c r="D739" t="n">
        <v>17</v>
      </c>
      <c r="E739" s="10" t="n">
        <v>0</v>
      </c>
      <c r="F739" s="10" t="n">
        <v>0.3515357643685834</v>
      </c>
      <c r="G739" s="11">
        <f>E739*Summary!$B$6</f>
        <v/>
      </c>
      <c r="H739" s="11">
        <f>F739*Summary!$B$7</f>
        <v/>
      </c>
      <c r="I739" s="11">
        <f>MAX(0,N739-M739)</f>
        <v/>
      </c>
      <c r="J739" s="11">
        <f>MAX(0,M739-N739)</f>
        <v/>
      </c>
      <c r="K739" s="11">
        <f>O739</f>
        <v/>
      </c>
      <c r="L739" s="11">
        <f>L738+IF(K739&gt;0,K739*Summary!$B$9,K739/Summary!$B$9)</f>
        <v/>
      </c>
      <c r="M739" s="11">
        <f>G739+H739</f>
        <v/>
      </c>
      <c r="N739" s="11">
        <f>Summary!$C$16*Summary!$B$8</f>
        <v/>
      </c>
      <c r="O739" s="11">
        <f>M739-N739</f>
        <v/>
      </c>
    </row>
    <row r="740">
      <c r="A740" s="9" t="n">
        <v>45322.75</v>
      </c>
      <c r="B740" t="n">
        <v>1</v>
      </c>
      <c r="C740" t="n">
        <v>31</v>
      </c>
      <c r="D740" t="n">
        <v>18</v>
      </c>
      <c r="E740" s="10" t="n">
        <v>0</v>
      </c>
      <c r="F740" s="10" t="n">
        <v>0.3632097031703287</v>
      </c>
      <c r="G740" s="11">
        <f>E740*Summary!$B$6</f>
        <v/>
      </c>
      <c r="H740" s="11">
        <f>F740*Summary!$B$7</f>
        <v/>
      </c>
      <c r="I740" s="11">
        <f>MAX(0,N740-M740)</f>
        <v/>
      </c>
      <c r="J740" s="11">
        <f>MAX(0,M740-N740)</f>
        <v/>
      </c>
      <c r="K740" s="11">
        <f>O740</f>
        <v/>
      </c>
      <c r="L740" s="11">
        <f>L739+IF(K740&gt;0,K740*Summary!$B$9,K740/Summary!$B$9)</f>
        <v/>
      </c>
      <c r="M740" s="11">
        <f>G740+H740</f>
        <v/>
      </c>
      <c r="N740" s="11">
        <f>Summary!$C$16*Summary!$B$8</f>
        <v/>
      </c>
      <c r="O740" s="11">
        <f>M740-N740</f>
        <v/>
      </c>
    </row>
    <row r="741">
      <c r="A741" s="9" t="n">
        <v>45322.79166666666</v>
      </c>
      <c r="B741" t="n">
        <v>1</v>
      </c>
      <c r="C741" t="n">
        <v>31</v>
      </c>
      <c r="D741" t="n">
        <v>19</v>
      </c>
      <c r="E741" s="10" t="n">
        <v>0</v>
      </c>
      <c r="F741" s="10" t="n">
        <v>0.3611015426643703</v>
      </c>
      <c r="G741" s="11">
        <f>E741*Summary!$B$6</f>
        <v/>
      </c>
      <c r="H741" s="11">
        <f>F741*Summary!$B$7</f>
        <v/>
      </c>
      <c r="I741" s="11">
        <f>MAX(0,N741-M741)</f>
        <v/>
      </c>
      <c r="J741" s="11">
        <f>MAX(0,M741-N741)</f>
        <v/>
      </c>
      <c r="K741" s="11">
        <f>O741</f>
        <v/>
      </c>
      <c r="L741" s="11">
        <f>L740+IF(K741&gt;0,K741*Summary!$B$9,K741/Summary!$B$9)</f>
        <v/>
      </c>
      <c r="M741" s="11">
        <f>G741+H741</f>
        <v/>
      </c>
      <c r="N741" s="11">
        <f>Summary!$C$16*Summary!$B$8</f>
        <v/>
      </c>
      <c r="O741" s="11">
        <f>M741-N741</f>
        <v/>
      </c>
    </row>
    <row r="742">
      <c r="A742" s="9" t="n">
        <v>45322.83333333334</v>
      </c>
      <c r="B742" t="n">
        <v>1</v>
      </c>
      <c r="C742" t="n">
        <v>31</v>
      </c>
      <c r="D742" t="n">
        <v>20</v>
      </c>
      <c r="E742" s="10" t="n">
        <v>0</v>
      </c>
      <c r="F742" s="10" t="n">
        <v>0.3608380226011254</v>
      </c>
      <c r="G742" s="11">
        <f>E742*Summary!$B$6</f>
        <v/>
      </c>
      <c r="H742" s="11">
        <f>F742*Summary!$B$7</f>
        <v/>
      </c>
      <c r="I742" s="11">
        <f>MAX(0,N742-M742)</f>
        <v/>
      </c>
      <c r="J742" s="11">
        <f>MAX(0,M742-N742)</f>
        <v/>
      </c>
      <c r="K742" s="11">
        <f>O742</f>
        <v/>
      </c>
      <c r="L742" s="11">
        <f>L741+IF(K742&gt;0,K742*Summary!$B$9,K742/Summary!$B$9)</f>
        <v/>
      </c>
      <c r="M742" s="11">
        <f>G742+H742</f>
        <v/>
      </c>
      <c r="N742" s="11">
        <f>Summary!$C$16*Summary!$B$8</f>
        <v/>
      </c>
      <c r="O742" s="11">
        <f>M742-N742</f>
        <v/>
      </c>
    </row>
    <row r="743">
      <c r="A743" s="9" t="n">
        <v>45322.875</v>
      </c>
      <c r="B743" t="n">
        <v>1</v>
      </c>
      <c r="C743" t="n">
        <v>31</v>
      </c>
      <c r="D743" t="n">
        <v>21</v>
      </c>
      <c r="E743" s="10" t="n">
        <v>0</v>
      </c>
      <c r="F743" s="10" t="n">
        <v>0.3575176698042408</v>
      </c>
      <c r="G743" s="11">
        <f>E743*Summary!$B$6</f>
        <v/>
      </c>
      <c r="H743" s="11">
        <f>F743*Summary!$B$7</f>
        <v/>
      </c>
      <c r="I743" s="11">
        <f>MAX(0,N743-M743)</f>
        <v/>
      </c>
      <c r="J743" s="11">
        <f>MAX(0,M743-N743)</f>
        <v/>
      </c>
      <c r="K743" s="11">
        <f>O743</f>
        <v/>
      </c>
      <c r="L743" s="11">
        <f>L742+IF(K743&gt;0,K743*Summary!$B$9,K743/Summary!$B$9)</f>
        <v/>
      </c>
      <c r="M743" s="11">
        <f>G743+H743</f>
        <v/>
      </c>
      <c r="N743" s="11">
        <f>Summary!$C$16*Summary!$B$8</f>
        <v/>
      </c>
      <c r="O743" s="11">
        <f>M743-N743</f>
        <v/>
      </c>
    </row>
    <row r="744">
      <c r="A744" s="9" t="n">
        <v>45322.91666666666</v>
      </c>
      <c r="B744" t="n">
        <v>1</v>
      </c>
      <c r="C744" t="n">
        <v>31</v>
      </c>
      <c r="D744" t="n">
        <v>22</v>
      </c>
      <c r="E744" s="10" t="n">
        <v>0</v>
      </c>
      <c r="F744" s="10" t="n">
        <v>0.3460545470530913</v>
      </c>
      <c r="G744" s="11">
        <f>E744*Summary!$B$6</f>
        <v/>
      </c>
      <c r="H744" s="11">
        <f>F744*Summary!$B$7</f>
        <v/>
      </c>
      <c r="I744" s="11">
        <f>MAX(0,N744-M744)</f>
        <v/>
      </c>
      <c r="J744" s="11">
        <f>MAX(0,M744-N744)</f>
        <v/>
      </c>
      <c r="K744" s="11">
        <f>O744</f>
        <v/>
      </c>
      <c r="L744" s="11">
        <f>L743+IF(K744&gt;0,K744*Summary!$B$9,K744/Summary!$B$9)</f>
        <v/>
      </c>
      <c r="M744" s="11">
        <f>G744+H744</f>
        <v/>
      </c>
      <c r="N744" s="11">
        <f>Summary!$C$16*Summary!$B$8</f>
        <v/>
      </c>
      <c r="O744" s="11">
        <f>M744-N744</f>
        <v/>
      </c>
    </row>
    <row r="745">
      <c r="A745" s="9" t="n">
        <v>45322.95833333334</v>
      </c>
      <c r="B745" t="n">
        <v>1</v>
      </c>
      <c r="C745" t="n">
        <v>31</v>
      </c>
      <c r="D745" t="n">
        <v>23</v>
      </c>
      <c r="E745" s="10" t="n">
        <v>0</v>
      </c>
      <c r="F745" s="10" t="n">
        <v>0.3441835546040531</v>
      </c>
      <c r="G745" s="11">
        <f>E745*Summary!$B$6</f>
        <v/>
      </c>
      <c r="H745" s="11">
        <f>F745*Summary!$B$7</f>
        <v/>
      </c>
      <c r="I745" s="11">
        <f>MAX(0,N745-M745)</f>
        <v/>
      </c>
      <c r="J745" s="11">
        <f>MAX(0,M745-N745)</f>
        <v/>
      </c>
      <c r="K745" s="11">
        <f>O745</f>
        <v/>
      </c>
      <c r="L745" s="11">
        <f>L744+IF(K745&gt;0,K745*Summary!$B$9,K745/Summary!$B$9)</f>
        <v/>
      </c>
      <c r="M745" s="11">
        <f>G745+H745</f>
        <v/>
      </c>
      <c r="N745" s="11">
        <f>Summary!$C$16*Summary!$B$8</f>
        <v/>
      </c>
      <c r="O745" s="11">
        <f>M745-N745</f>
        <v/>
      </c>
    </row>
    <row r="746">
      <c r="A746" s="9" t="n">
        <v>45323</v>
      </c>
      <c r="B746" t="n">
        <v>2</v>
      </c>
      <c r="C746" t="n">
        <v>1</v>
      </c>
      <c r="D746" t="n">
        <v>0</v>
      </c>
      <c r="E746" s="10" t="n">
        <v>0</v>
      </c>
      <c r="F746" s="10" t="n">
        <v>0.3280034227208214</v>
      </c>
      <c r="G746" s="11">
        <f>E746*Summary!$B$6</f>
        <v/>
      </c>
      <c r="H746" s="11">
        <f>F746*Summary!$B$7</f>
        <v/>
      </c>
      <c r="I746" s="11">
        <f>MAX(0,N746-M746)</f>
        <v/>
      </c>
      <c r="J746" s="11">
        <f>MAX(0,M746-N746)</f>
        <v/>
      </c>
      <c r="K746" s="11">
        <f>O746</f>
        <v/>
      </c>
      <c r="L746" s="11">
        <f>L745+IF(K746&gt;0,K746*Summary!$B$9,K746/Summary!$B$9)</f>
        <v/>
      </c>
      <c r="M746" s="11">
        <f>G746+H746</f>
        <v/>
      </c>
      <c r="N746" s="11">
        <f>Summary!$C$16*Summary!$B$8</f>
        <v/>
      </c>
      <c r="O746" s="11">
        <f>M746-N746</f>
        <v/>
      </c>
    </row>
    <row r="747">
      <c r="A747" s="9" t="n">
        <v>45323.04166666666</v>
      </c>
      <c r="B747" t="n">
        <v>2</v>
      </c>
      <c r="C747" t="n">
        <v>1</v>
      </c>
      <c r="D747" t="n">
        <v>1</v>
      </c>
      <c r="E747" s="10" t="n">
        <v>0</v>
      </c>
      <c r="F747" s="10" t="n">
        <v>0.3449477627874631</v>
      </c>
      <c r="G747" s="11">
        <f>E747*Summary!$B$6</f>
        <v/>
      </c>
      <c r="H747" s="11">
        <f>F747*Summary!$B$7</f>
        <v/>
      </c>
      <c r="I747" s="11">
        <f>MAX(0,N747-M747)</f>
        <v/>
      </c>
      <c r="J747" s="11">
        <f>MAX(0,M747-N747)</f>
        <v/>
      </c>
      <c r="K747" s="11">
        <f>O747</f>
        <v/>
      </c>
      <c r="L747" s="11">
        <f>L746+IF(K747&gt;0,K747*Summary!$B$9,K747/Summary!$B$9)</f>
        <v/>
      </c>
      <c r="M747" s="11">
        <f>G747+H747</f>
        <v/>
      </c>
      <c r="N747" s="11">
        <f>Summary!$C$16*Summary!$B$8</f>
        <v/>
      </c>
      <c r="O747" s="11">
        <f>M747-N747</f>
        <v/>
      </c>
    </row>
    <row r="748">
      <c r="A748" s="9" t="n">
        <v>45323.08333333334</v>
      </c>
      <c r="B748" t="n">
        <v>2</v>
      </c>
      <c r="C748" t="n">
        <v>1</v>
      </c>
      <c r="D748" t="n">
        <v>2</v>
      </c>
      <c r="E748" s="10" t="n">
        <v>0</v>
      </c>
      <c r="F748" s="10" t="n">
        <v>0.3419963380791211</v>
      </c>
      <c r="G748" s="11">
        <f>E748*Summary!$B$6</f>
        <v/>
      </c>
      <c r="H748" s="11">
        <f>F748*Summary!$B$7</f>
        <v/>
      </c>
      <c r="I748" s="11">
        <f>MAX(0,N748-M748)</f>
        <v/>
      </c>
      <c r="J748" s="11">
        <f>MAX(0,M748-N748)</f>
        <v/>
      </c>
      <c r="K748" s="11">
        <f>O748</f>
        <v/>
      </c>
      <c r="L748" s="11">
        <f>L747+IF(K748&gt;0,K748*Summary!$B$9,K748/Summary!$B$9)</f>
        <v/>
      </c>
      <c r="M748" s="11">
        <f>G748+H748</f>
        <v/>
      </c>
      <c r="N748" s="11">
        <f>Summary!$C$16*Summary!$B$8</f>
        <v/>
      </c>
      <c r="O748" s="11">
        <f>M748-N748</f>
        <v/>
      </c>
    </row>
    <row r="749">
      <c r="A749" s="9" t="n">
        <v>45323.125</v>
      </c>
      <c r="B749" t="n">
        <v>2</v>
      </c>
      <c r="C749" t="n">
        <v>1</v>
      </c>
      <c r="D749" t="n">
        <v>3</v>
      </c>
      <c r="E749" s="10" t="n">
        <v>0</v>
      </c>
      <c r="F749" s="10" t="n">
        <v>0.3448950587748141</v>
      </c>
      <c r="G749" s="11">
        <f>E749*Summary!$B$6</f>
        <v/>
      </c>
      <c r="H749" s="11">
        <f>F749*Summary!$B$7</f>
        <v/>
      </c>
      <c r="I749" s="11">
        <f>MAX(0,N749-M749)</f>
        <v/>
      </c>
      <c r="J749" s="11">
        <f>MAX(0,M749-N749)</f>
        <v/>
      </c>
      <c r="K749" s="11">
        <f>O749</f>
        <v/>
      </c>
      <c r="L749" s="11">
        <f>L748+IF(K749&gt;0,K749*Summary!$B$9,K749/Summary!$B$9)</f>
        <v/>
      </c>
      <c r="M749" s="11">
        <f>G749+H749</f>
        <v/>
      </c>
      <c r="N749" s="11">
        <f>Summary!$C$16*Summary!$B$8</f>
        <v/>
      </c>
      <c r="O749" s="11">
        <f>M749-N749</f>
        <v/>
      </c>
    </row>
    <row r="750">
      <c r="A750" s="9" t="n">
        <v>45323.16666666666</v>
      </c>
      <c r="B750" t="n">
        <v>2</v>
      </c>
      <c r="C750" t="n">
        <v>1</v>
      </c>
      <c r="D750" t="n">
        <v>4</v>
      </c>
      <c r="E750" s="10" t="n">
        <v>0</v>
      </c>
      <c r="F750" s="10" t="n">
        <v>0.3478464834831561</v>
      </c>
      <c r="G750" s="11">
        <f>E750*Summary!$B$6</f>
        <v/>
      </c>
      <c r="H750" s="11">
        <f>F750*Summary!$B$7</f>
        <v/>
      </c>
      <c r="I750" s="11">
        <f>MAX(0,N750-M750)</f>
        <v/>
      </c>
      <c r="J750" s="11">
        <f>MAX(0,M750-N750)</f>
        <v/>
      </c>
      <c r="K750" s="11">
        <f>O750</f>
        <v/>
      </c>
      <c r="L750" s="11">
        <f>L749+IF(K750&gt;0,K750*Summary!$B$9,K750/Summary!$B$9)</f>
        <v/>
      </c>
      <c r="M750" s="11">
        <f>G750+H750</f>
        <v/>
      </c>
      <c r="N750" s="11">
        <f>Summary!$C$16*Summary!$B$8</f>
        <v/>
      </c>
      <c r="O750" s="11">
        <f>M750-N750</f>
        <v/>
      </c>
    </row>
    <row r="751">
      <c r="A751" s="9" t="n">
        <v>45323.20833333334</v>
      </c>
      <c r="B751" t="n">
        <v>2</v>
      </c>
      <c r="C751" t="n">
        <v>1</v>
      </c>
      <c r="D751" t="n">
        <v>5</v>
      </c>
      <c r="E751" s="10" t="n">
        <v>0</v>
      </c>
      <c r="F751" s="10" t="n">
        <v>0.3502972200713328</v>
      </c>
      <c r="G751" s="11">
        <f>E751*Summary!$B$6</f>
        <v/>
      </c>
      <c r="H751" s="11">
        <f>F751*Summary!$B$7</f>
        <v/>
      </c>
      <c r="I751" s="11">
        <f>MAX(0,N751-M751)</f>
        <v/>
      </c>
      <c r="J751" s="11">
        <f>MAX(0,M751-N751)</f>
        <v/>
      </c>
      <c r="K751" s="11">
        <f>O751</f>
        <v/>
      </c>
      <c r="L751" s="11">
        <f>L750+IF(K751&gt;0,K751*Summary!$B$9,K751/Summary!$B$9)</f>
        <v/>
      </c>
      <c r="M751" s="11">
        <f>G751+H751</f>
        <v/>
      </c>
      <c r="N751" s="11">
        <f>Summary!$C$16*Summary!$B$8</f>
        <v/>
      </c>
      <c r="O751" s="11">
        <f>M751-N751</f>
        <v/>
      </c>
    </row>
    <row r="752">
      <c r="A752" s="9" t="n">
        <v>45323.25</v>
      </c>
      <c r="B752" t="n">
        <v>2</v>
      </c>
      <c r="C752" t="n">
        <v>1</v>
      </c>
      <c r="D752" t="n">
        <v>6</v>
      </c>
      <c r="E752" s="10" t="n">
        <v>0</v>
      </c>
      <c r="F752" s="10" t="n">
        <v>0.3514830603559345</v>
      </c>
      <c r="G752" s="11">
        <f>E752*Summary!$B$6</f>
        <v/>
      </c>
      <c r="H752" s="11">
        <f>F752*Summary!$B$7</f>
        <v/>
      </c>
      <c r="I752" s="11">
        <f>MAX(0,N752-M752)</f>
        <v/>
      </c>
      <c r="J752" s="11">
        <f>MAX(0,M752-N752)</f>
        <v/>
      </c>
      <c r="K752" s="11">
        <f>O752</f>
        <v/>
      </c>
      <c r="L752" s="11">
        <f>L751+IF(K752&gt;0,K752*Summary!$B$9,K752/Summary!$B$9)</f>
        <v/>
      </c>
      <c r="M752" s="11">
        <f>G752+H752</f>
        <v/>
      </c>
      <c r="N752" s="11">
        <f>Summary!$C$16*Summary!$B$8</f>
        <v/>
      </c>
      <c r="O752" s="11">
        <f>M752-N752</f>
        <v/>
      </c>
    </row>
    <row r="753">
      <c r="A753" s="9" t="n">
        <v>45323.29166666666</v>
      </c>
      <c r="B753" t="n">
        <v>2</v>
      </c>
      <c r="C753" t="n">
        <v>1</v>
      </c>
      <c r="D753" t="n">
        <v>7</v>
      </c>
      <c r="E753" s="10" t="n">
        <v>0</v>
      </c>
      <c r="F753" s="10" t="n">
        <v>0.3468978112554747</v>
      </c>
      <c r="G753" s="11">
        <f>E753*Summary!$B$6</f>
        <v/>
      </c>
      <c r="H753" s="11">
        <f>F753*Summary!$B$7</f>
        <v/>
      </c>
      <c r="I753" s="11">
        <f>MAX(0,N753-M753)</f>
        <v/>
      </c>
      <c r="J753" s="11">
        <f>MAX(0,M753-N753)</f>
        <v/>
      </c>
      <c r="K753" s="11">
        <f>O753</f>
        <v/>
      </c>
      <c r="L753" s="11">
        <f>L752+IF(K753&gt;0,K753*Summary!$B$9,K753/Summary!$B$9)</f>
        <v/>
      </c>
      <c r="M753" s="11">
        <f>G753+H753</f>
        <v/>
      </c>
      <c r="N753" s="11">
        <f>Summary!$C$16*Summary!$B$8</f>
        <v/>
      </c>
      <c r="O753" s="11">
        <f>M753-N753</f>
        <v/>
      </c>
    </row>
    <row r="754">
      <c r="A754" s="9" t="n">
        <v>45323.33333333334</v>
      </c>
      <c r="B754" t="n">
        <v>2</v>
      </c>
      <c r="C754" t="n">
        <v>1</v>
      </c>
      <c r="D754" t="n">
        <v>8</v>
      </c>
      <c r="E754" s="10" t="n">
        <v>0</v>
      </c>
      <c r="F754" s="10" t="n">
        <v>0.3405733297375991</v>
      </c>
      <c r="G754" s="11">
        <f>E754*Summary!$B$6</f>
        <v/>
      </c>
      <c r="H754" s="11">
        <f>F754*Summary!$B$7</f>
        <v/>
      </c>
      <c r="I754" s="11">
        <f>MAX(0,N754-M754)</f>
        <v/>
      </c>
      <c r="J754" s="11">
        <f>MAX(0,M754-N754)</f>
        <v/>
      </c>
      <c r="K754" s="11">
        <f>O754</f>
        <v/>
      </c>
      <c r="L754" s="11">
        <f>L753+IF(K754&gt;0,K754*Summary!$B$9,K754/Summary!$B$9)</f>
        <v/>
      </c>
      <c r="M754" s="11">
        <f>G754+H754</f>
        <v/>
      </c>
      <c r="N754" s="11">
        <f>Summary!$C$16*Summary!$B$8</f>
        <v/>
      </c>
      <c r="O754" s="11">
        <f>M754-N754</f>
        <v/>
      </c>
    </row>
    <row r="755">
      <c r="A755" s="9" t="n">
        <v>45323.375</v>
      </c>
      <c r="B755" t="n">
        <v>2</v>
      </c>
      <c r="C755" t="n">
        <v>1</v>
      </c>
      <c r="D755" t="n">
        <v>9</v>
      </c>
      <c r="E755" s="10" t="n">
        <v>0.003202</v>
      </c>
      <c r="F755" s="10" t="n">
        <v>0.3353556324853518</v>
      </c>
      <c r="G755" s="11">
        <f>E755*Summary!$B$6</f>
        <v/>
      </c>
      <c r="H755" s="11">
        <f>F755*Summary!$B$7</f>
        <v/>
      </c>
      <c r="I755" s="11">
        <f>MAX(0,N755-M755)</f>
        <v/>
      </c>
      <c r="J755" s="11">
        <f>MAX(0,M755-N755)</f>
        <v/>
      </c>
      <c r="K755" s="11">
        <f>O755</f>
        <v/>
      </c>
      <c r="L755" s="11">
        <f>L754+IF(K755&gt;0,K755*Summary!$B$9,K755/Summary!$B$9)</f>
        <v/>
      </c>
      <c r="M755" s="11">
        <f>G755+H755</f>
        <v/>
      </c>
      <c r="N755" s="11">
        <f>Summary!$C$16*Summary!$B$8</f>
        <v/>
      </c>
      <c r="O755" s="11">
        <f>M755-N755</f>
        <v/>
      </c>
    </row>
    <row r="756">
      <c r="A756" s="9" t="n">
        <v>45323.41666666666</v>
      </c>
      <c r="B756" t="n">
        <v>2</v>
      </c>
      <c r="C756" t="n">
        <v>1</v>
      </c>
      <c r="D756" t="n">
        <v>10</v>
      </c>
      <c r="E756" s="10" t="n">
        <v>0.01134</v>
      </c>
      <c r="F756" s="10" t="n">
        <v>0.3287939829105559</v>
      </c>
      <c r="G756" s="11">
        <f>E756*Summary!$B$6</f>
        <v/>
      </c>
      <c r="H756" s="11">
        <f>F756*Summary!$B$7</f>
        <v/>
      </c>
      <c r="I756" s="11">
        <f>MAX(0,N756-M756)</f>
        <v/>
      </c>
      <c r="J756" s="11">
        <f>MAX(0,M756-N756)</f>
        <v/>
      </c>
      <c r="K756" s="11">
        <f>O756</f>
        <v/>
      </c>
      <c r="L756" s="11">
        <f>L755+IF(K756&gt;0,K756*Summary!$B$9,K756/Summary!$B$9)</f>
        <v/>
      </c>
      <c r="M756" s="11">
        <f>G756+H756</f>
        <v/>
      </c>
      <c r="N756" s="11">
        <f>Summary!$C$16*Summary!$B$8</f>
        <v/>
      </c>
      <c r="O756" s="11">
        <f>M756-N756</f>
        <v/>
      </c>
    </row>
    <row r="757">
      <c r="A757" s="9" t="n">
        <v>45323.45833333334</v>
      </c>
      <c r="B757" t="n">
        <v>2</v>
      </c>
      <c r="C757" t="n">
        <v>1</v>
      </c>
      <c r="D757" t="n">
        <v>11</v>
      </c>
      <c r="E757" s="10" t="n">
        <v>0.018103</v>
      </c>
      <c r="F757" s="10" t="n">
        <v>0.3233391176013882</v>
      </c>
      <c r="G757" s="11">
        <f>E757*Summary!$B$6</f>
        <v/>
      </c>
      <c r="H757" s="11">
        <f>F757*Summary!$B$7</f>
        <v/>
      </c>
      <c r="I757" s="11">
        <f>MAX(0,N757-M757)</f>
        <v/>
      </c>
      <c r="J757" s="11">
        <f>MAX(0,M757-N757)</f>
        <v/>
      </c>
      <c r="K757" s="11">
        <f>O757</f>
        <v/>
      </c>
      <c r="L757" s="11">
        <f>L756+IF(K757&gt;0,K757*Summary!$B$9,K757/Summary!$B$9)</f>
        <v/>
      </c>
      <c r="M757" s="11">
        <f>G757+H757</f>
        <v/>
      </c>
      <c r="N757" s="11">
        <f>Summary!$C$16*Summary!$B$8</f>
        <v/>
      </c>
      <c r="O757" s="11">
        <f>M757-N757</f>
        <v/>
      </c>
    </row>
    <row r="758">
      <c r="A758" s="9" t="n">
        <v>45323.5</v>
      </c>
      <c r="B758" t="n">
        <v>2</v>
      </c>
      <c r="C758" t="n">
        <v>1</v>
      </c>
      <c r="D758" t="n">
        <v>12</v>
      </c>
      <c r="E758" s="10" t="n">
        <v>0.110842</v>
      </c>
      <c r="F758" s="10" t="n">
        <v>0.3250519980124795</v>
      </c>
      <c r="G758" s="11">
        <f>E758*Summary!$B$6</f>
        <v/>
      </c>
      <c r="H758" s="11">
        <f>F758*Summary!$B$7</f>
        <v/>
      </c>
      <c r="I758" s="11">
        <f>MAX(0,N758-M758)</f>
        <v/>
      </c>
      <c r="J758" s="11">
        <f>MAX(0,M758-N758)</f>
        <v/>
      </c>
      <c r="K758" s="11">
        <f>O758</f>
        <v/>
      </c>
      <c r="L758" s="11">
        <f>L757+IF(K758&gt;0,K758*Summary!$B$9,K758/Summary!$B$9)</f>
        <v/>
      </c>
      <c r="M758" s="11">
        <f>G758+H758</f>
        <v/>
      </c>
      <c r="N758" s="11">
        <f>Summary!$C$16*Summary!$B$8</f>
        <v/>
      </c>
      <c r="O758" s="11">
        <f>M758-N758</f>
        <v/>
      </c>
    </row>
    <row r="759">
      <c r="A759" s="9" t="n">
        <v>45323.54166666666</v>
      </c>
      <c r="B759" t="n">
        <v>2</v>
      </c>
      <c r="C759" t="n">
        <v>1</v>
      </c>
      <c r="D759" t="n">
        <v>13</v>
      </c>
      <c r="E759" s="10" t="n">
        <v>0.083922</v>
      </c>
      <c r="F759" s="10" t="n">
        <v>0.3579393019054324</v>
      </c>
      <c r="G759" s="11">
        <f>E759*Summary!$B$6</f>
        <v/>
      </c>
      <c r="H759" s="11">
        <f>F759*Summary!$B$7</f>
        <v/>
      </c>
      <c r="I759" s="11">
        <f>MAX(0,N759-M759)</f>
        <v/>
      </c>
      <c r="J759" s="11">
        <f>MAX(0,M759-N759)</f>
        <v/>
      </c>
      <c r="K759" s="11">
        <f>O759</f>
        <v/>
      </c>
      <c r="L759" s="11">
        <f>L758+IF(K759&gt;0,K759*Summary!$B$9,K759/Summary!$B$9)</f>
        <v/>
      </c>
      <c r="M759" s="11">
        <f>G759+H759</f>
        <v/>
      </c>
      <c r="N759" s="11">
        <f>Summary!$C$16*Summary!$B$8</f>
        <v/>
      </c>
      <c r="O759" s="11">
        <f>M759-N759</f>
        <v/>
      </c>
    </row>
    <row r="760">
      <c r="A760" s="9" t="n">
        <v>45323.58333333334</v>
      </c>
      <c r="B760" t="n">
        <v>2</v>
      </c>
      <c r="C760" t="n">
        <v>1</v>
      </c>
      <c r="D760" t="n">
        <v>14</v>
      </c>
      <c r="E760" s="10" t="n">
        <v>0.035981</v>
      </c>
      <c r="F760" s="10" t="n">
        <v>0.3263168943160547</v>
      </c>
      <c r="G760" s="11">
        <f>E760*Summary!$B$6</f>
        <v/>
      </c>
      <c r="H760" s="11">
        <f>F760*Summary!$B$7</f>
        <v/>
      </c>
      <c r="I760" s="11">
        <f>MAX(0,N760-M760)</f>
        <v/>
      </c>
      <c r="J760" s="11">
        <f>MAX(0,M760-N760)</f>
        <v/>
      </c>
      <c r="K760" s="11">
        <f>O760</f>
        <v/>
      </c>
      <c r="L760" s="11">
        <f>L759+IF(K760&gt;0,K760*Summary!$B$9,K760/Summary!$B$9)</f>
        <v/>
      </c>
      <c r="M760" s="11">
        <f>G760+H760</f>
        <v/>
      </c>
      <c r="N760" s="11">
        <f>Summary!$C$16*Summary!$B$8</f>
        <v/>
      </c>
      <c r="O760" s="11">
        <f>M760-N760</f>
        <v/>
      </c>
    </row>
    <row r="761">
      <c r="A761" s="9" t="n">
        <v>45323.625</v>
      </c>
      <c r="B761" t="n">
        <v>2</v>
      </c>
      <c r="C761" t="n">
        <v>1</v>
      </c>
      <c r="D761" t="n">
        <v>15</v>
      </c>
      <c r="E761" s="10" t="n">
        <v>0.021516</v>
      </c>
      <c r="F761" s="10" t="n">
        <v>0.3293210230370455</v>
      </c>
      <c r="G761" s="11">
        <f>E761*Summary!$B$6</f>
        <v/>
      </c>
      <c r="H761" s="11">
        <f>F761*Summary!$B$7</f>
        <v/>
      </c>
      <c r="I761" s="11">
        <f>MAX(0,N761-M761)</f>
        <v/>
      </c>
      <c r="J761" s="11">
        <f>MAX(0,M761-N761)</f>
        <v/>
      </c>
      <c r="K761" s="11">
        <f>O761</f>
        <v/>
      </c>
      <c r="L761" s="11">
        <f>L760+IF(K761&gt;0,K761*Summary!$B$9,K761/Summary!$B$9)</f>
        <v/>
      </c>
      <c r="M761" s="11">
        <f>G761+H761</f>
        <v/>
      </c>
      <c r="N761" s="11">
        <f>Summary!$C$16*Summary!$B$8</f>
        <v/>
      </c>
      <c r="O761" s="11">
        <f>M761-N761</f>
        <v/>
      </c>
    </row>
    <row r="762">
      <c r="A762" s="9" t="n">
        <v>45323.66666666666</v>
      </c>
      <c r="B762" t="n">
        <v>2</v>
      </c>
      <c r="C762" t="n">
        <v>1</v>
      </c>
      <c r="D762" t="n">
        <v>16</v>
      </c>
      <c r="E762" s="10" t="n">
        <v>0</v>
      </c>
      <c r="F762" s="10" t="n">
        <v>0.3403098096743543</v>
      </c>
      <c r="G762" s="11">
        <f>E762*Summary!$B$6</f>
        <v/>
      </c>
      <c r="H762" s="11">
        <f>F762*Summary!$B$7</f>
        <v/>
      </c>
      <c r="I762" s="11">
        <f>MAX(0,N762-M762)</f>
        <v/>
      </c>
      <c r="J762" s="11">
        <f>MAX(0,M762-N762)</f>
        <v/>
      </c>
      <c r="K762" s="11">
        <f>O762</f>
        <v/>
      </c>
      <c r="L762" s="11">
        <f>L761+IF(K762&gt;0,K762*Summary!$B$9,K762/Summary!$B$9)</f>
        <v/>
      </c>
      <c r="M762" s="11">
        <f>G762+H762</f>
        <v/>
      </c>
      <c r="N762" s="11">
        <f>Summary!$C$16*Summary!$B$8</f>
        <v/>
      </c>
      <c r="O762" s="11">
        <f>M762-N762</f>
        <v/>
      </c>
    </row>
    <row r="763">
      <c r="A763" s="9" t="n">
        <v>45323.70833333334</v>
      </c>
      <c r="B763" t="n">
        <v>2</v>
      </c>
      <c r="C763" t="n">
        <v>1</v>
      </c>
      <c r="D763" t="n">
        <v>17</v>
      </c>
      <c r="E763" s="10" t="n">
        <v>0</v>
      </c>
      <c r="F763" s="10" t="n">
        <v>0.3447369467368672</v>
      </c>
      <c r="G763" s="11">
        <f>E763*Summary!$B$6</f>
        <v/>
      </c>
      <c r="H763" s="11">
        <f>F763*Summary!$B$7</f>
        <v/>
      </c>
      <c r="I763" s="11">
        <f>MAX(0,N763-M763)</f>
        <v/>
      </c>
      <c r="J763" s="11">
        <f>MAX(0,M763-N763)</f>
        <v/>
      </c>
      <c r="K763" s="11">
        <f>O763</f>
        <v/>
      </c>
      <c r="L763" s="11">
        <f>L762+IF(K763&gt;0,K763*Summary!$B$9,K763/Summary!$B$9)</f>
        <v/>
      </c>
      <c r="M763" s="11">
        <f>G763+H763</f>
        <v/>
      </c>
      <c r="N763" s="11">
        <f>Summary!$C$16*Summary!$B$8</f>
        <v/>
      </c>
      <c r="O763" s="11">
        <f>M763-N763</f>
        <v/>
      </c>
    </row>
    <row r="764">
      <c r="A764" s="9" t="n">
        <v>45323.75</v>
      </c>
      <c r="B764" t="n">
        <v>2</v>
      </c>
      <c r="C764" t="n">
        <v>1</v>
      </c>
      <c r="D764" t="n">
        <v>18</v>
      </c>
      <c r="E764" s="10" t="n">
        <v>0</v>
      </c>
      <c r="F764" s="10" t="n">
        <v>0.3434984024396165</v>
      </c>
      <c r="G764" s="11">
        <f>E764*Summary!$B$6</f>
        <v/>
      </c>
      <c r="H764" s="11">
        <f>F764*Summary!$B$7</f>
        <v/>
      </c>
      <c r="I764" s="11">
        <f>MAX(0,N764-M764)</f>
        <v/>
      </c>
      <c r="J764" s="11">
        <f>MAX(0,M764-N764)</f>
        <v/>
      </c>
      <c r="K764" s="11">
        <f>O764</f>
        <v/>
      </c>
      <c r="L764" s="11">
        <f>L763+IF(K764&gt;0,K764*Summary!$B$9,K764/Summary!$B$9)</f>
        <v/>
      </c>
      <c r="M764" s="11">
        <f>G764+H764</f>
        <v/>
      </c>
      <c r="N764" s="11">
        <f>Summary!$C$16*Summary!$B$8</f>
        <v/>
      </c>
      <c r="O764" s="11">
        <f>M764-N764</f>
        <v/>
      </c>
    </row>
    <row r="765">
      <c r="A765" s="9" t="n">
        <v>45323.79166666666</v>
      </c>
      <c r="B765" t="n">
        <v>2</v>
      </c>
      <c r="C765" t="n">
        <v>1</v>
      </c>
      <c r="D765" t="n">
        <v>19</v>
      </c>
      <c r="E765" s="10" t="n">
        <v>0</v>
      </c>
      <c r="F765" s="10" t="n">
        <v>0.3437355704965369</v>
      </c>
      <c r="G765" s="11">
        <f>E765*Summary!$B$6</f>
        <v/>
      </c>
      <c r="H765" s="11">
        <f>F765*Summary!$B$7</f>
        <v/>
      </c>
      <c r="I765" s="11">
        <f>MAX(0,N765-M765)</f>
        <v/>
      </c>
      <c r="J765" s="11">
        <f>MAX(0,M765-N765)</f>
        <v/>
      </c>
      <c r="K765" s="11">
        <f>O765</f>
        <v/>
      </c>
      <c r="L765" s="11">
        <f>L764+IF(K765&gt;0,K765*Summary!$B$9,K765/Summary!$B$9)</f>
        <v/>
      </c>
      <c r="M765" s="11">
        <f>G765+H765</f>
        <v/>
      </c>
      <c r="N765" s="11">
        <f>Summary!$C$16*Summary!$B$8</f>
        <v/>
      </c>
      <c r="O765" s="11">
        <f>M765-N765</f>
        <v/>
      </c>
    </row>
    <row r="766">
      <c r="A766" s="9" t="n">
        <v>45323.83333333334</v>
      </c>
      <c r="B766" t="n">
        <v>2</v>
      </c>
      <c r="C766" t="n">
        <v>1</v>
      </c>
      <c r="D766" t="n">
        <v>20</v>
      </c>
      <c r="E766" s="10" t="n">
        <v>0</v>
      </c>
      <c r="F766" s="10" t="n">
        <v>0.3434984024396165</v>
      </c>
      <c r="G766" s="11">
        <f>E766*Summary!$B$6</f>
        <v/>
      </c>
      <c r="H766" s="11">
        <f>F766*Summary!$B$7</f>
        <v/>
      </c>
      <c r="I766" s="11">
        <f>MAX(0,N766-M766)</f>
        <v/>
      </c>
      <c r="J766" s="11">
        <f>MAX(0,M766-N766)</f>
        <v/>
      </c>
      <c r="K766" s="11">
        <f>O766</f>
        <v/>
      </c>
      <c r="L766" s="11">
        <f>L765+IF(K766&gt;0,K766*Summary!$B$9,K766/Summary!$B$9)</f>
        <v/>
      </c>
      <c r="M766" s="11">
        <f>G766+H766</f>
        <v/>
      </c>
      <c r="N766" s="11">
        <f>Summary!$C$16*Summary!$B$8</f>
        <v/>
      </c>
      <c r="O766" s="11">
        <f>M766-N766</f>
        <v/>
      </c>
    </row>
    <row r="767">
      <c r="A767" s="9" t="n">
        <v>45323.875</v>
      </c>
      <c r="B767" t="n">
        <v>2</v>
      </c>
      <c r="C767" t="n">
        <v>1</v>
      </c>
      <c r="D767" t="n">
        <v>21</v>
      </c>
      <c r="E767" s="10" t="n">
        <v>0</v>
      </c>
      <c r="F767" s="10" t="n">
        <v>0.3409949618387909</v>
      </c>
      <c r="G767" s="11">
        <f>E767*Summary!$B$6</f>
        <v/>
      </c>
      <c r="H767" s="11">
        <f>F767*Summary!$B$7</f>
        <v/>
      </c>
      <c r="I767" s="11">
        <f>MAX(0,N767-M767)</f>
        <v/>
      </c>
      <c r="J767" s="11">
        <f>MAX(0,M767-N767)</f>
        <v/>
      </c>
      <c r="K767" s="11">
        <f>O767</f>
        <v/>
      </c>
      <c r="L767" s="11">
        <f>L766+IF(K767&gt;0,K767*Summary!$B$9,K767/Summary!$B$9)</f>
        <v/>
      </c>
      <c r="M767" s="11">
        <f>G767+H767</f>
        <v/>
      </c>
      <c r="N767" s="11">
        <f>Summary!$C$16*Summary!$B$8</f>
        <v/>
      </c>
      <c r="O767" s="11">
        <f>M767-N767</f>
        <v/>
      </c>
    </row>
    <row r="768">
      <c r="A768" s="9" t="n">
        <v>45323.91666666666</v>
      </c>
      <c r="B768" t="n">
        <v>2</v>
      </c>
      <c r="C768" t="n">
        <v>1</v>
      </c>
      <c r="D768" t="n">
        <v>22</v>
      </c>
      <c r="E768" s="10" t="n">
        <v>0</v>
      </c>
      <c r="F768" s="10" t="n">
        <v>0.33722662493439</v>
      </c>
      <c r="G768" s="11">
        <f>E768*Summary!$B$6</f>
        <v/>
      </c>
      <c r="H768" s="11">
        <f>F768*Summary!$B$7</f>
        <v/>
      </c>
      <c r="I768" s="11">
        <f>MAX(0,N768-M768)</f>
        <v/>
      </c>
      <c r="J768" s="11">
        <f>MAX(0,M768-N768)</f>
        <v/>
      </c>
      <c r="K768" s="11">
        <f>O768</f>
        <v/>
      </c>
      <c r="L768" s="11">
        <f>L767+IF(K768&gt;0,K768*Summary!$B$9,K768/Summary!$B$9)</f>
        <v/>
      </c>
      <c r="M768" s="11">
        <f>G768+H768</f>
        <v/>
      </c>
      <c r="N768" s="11">
        <f>Summary!$C$16*Summary!$B$8</f>
        <v/>
      </c>
      <c r="O768" s="11">
        <f>M768-N768</f>
        <v/>
      </c>
    </row>
    <row r="769">
      <c r="A769" s="9" t="n">
        <v>45323.95833333334</v>
      </c>
      <c r="B769" t="n">
        <v>2</v>
      </c>
      <c r="C769" t="n">
        <v>1</v>
      </c>
      <c r="D769" t="n">
        <v>23</v>
      </c>
      <c r="E769" s="10" t="n">
        <v>0</v>
      </c>
      <c r="F769" s="10" t="n">
        <v>0.3322724477453874</v>
      </c>
      <c r="G769" s="11">
        <f>E769*Summary!$B$6</f>
        <v/>
      </c>
      <c r="H769" s="11">
        <f>F769*Summary!$B$7</f>
        <v/>
      </c>
      <c r="I769" s="11">
        <f>MAX(0,N769-M769)</f>
        <v/>
      </c>
      <c r="J769" s="11">
        <f>MAX(0,M769-N769)</f>
        <v/>
      </c>
      <c r="K769" s="11">
        <f>O769</f>
        <v/>
      </c>
      <c r="L769" s="11">
        <f>L768+IF(K769&gt;0,K769*Summary!$B$9,K769/Summary!$B$9)</f>
        <v/>
      </c>
      <c r="M769" s="11">
        <f>G769+H769</f>
        <v/>
      </c>
      <c r="N769" s="11">
        <f>Summary!$C$16*Summary!$B$8</f>
        <v/>
      </c>
      <c r="O769" s="11">
        <f>M769-N769</f>
        <v/>
      </c>
    </row>
    <row r="770">
      <c r="A770" s="9" t="n">
        <v>45324</v>
      </c>
      <c r="B770" t="n">
        <v>2</v>
      </c>
      <c r="C770" t="n">
        <v>2</v>
      </c>
      <c r="D770" t="n">
        <v>0</v>
      </c>
      <c r="E770" s="10" t="n">
        <v>0</v>
      </c>
      <c r="F770" s="10" t="n">
        <v>0.3156970357672886</v>
      </c>
      <c r="G770" s="11">
        <f>E770*Summary!$B$6</f>
        <v/>
      </c>
      <c r="H770" s="11">
        <f>F770*Summary!$B$7</f>
        <v/>
      </c>
      <c r="I770" s="11">
        <f>MAX(0,N770-M770)</f>
        <v/>
      </c>
      <c r="J770" s="11">
        <f>MAX(0,M770-N770)</f>
        <v/>
      </c>
      <c r="K770" s="11">
        <f>O770</f>
        <v/>
      </c>
      <c r="L770" s="11">
        <f>L769+IF(K770&gt;0,K770*Summary!$B$9,K770/Summary!$B$9)</f>
        <v/>
      </c>
      <c r="M770" s="11">
        <f>G770+H770</f>
        <v/>
      </c>
      <c r="N770" s="11">
        <f>Summary!$C$16*Summary!$B$8</f>
        <v/>
      </c>
      <c r="O770" s="11">
        <f>M770-N770</f>
        <v/>
      </c>
    </row>
    <row r="771">
      <c r="A771" s="9" t="n">
        <v>45324.04166666666</v>
      </c>
      <c r="B771" t="n">
        <v>2</v>
      </c>
      <c r="C771" t="n">
        <v>2</v>
      </c>
      <c r="D771" t="n">
        <v>1</v>
      </c>
      <c r="E771" s="10" t="n">
        <v>0</v>
      </c>
      <c r="F771" s="10" t="n">
        <v>0.3293737270496945</v>
      </c>
      <c r="G771" s="11">
        <f>E771*Summary!$B$6</f>
        <v/>
      </c>
      <c r="H771" s="11">
        <f>F771*Summary!$B$7</f>
        <v/>
      </c>
      <c r="I771" s="11">
        <f>MAX(0,N771-M771)</f>
        <v/>
      </c>
      <c r="J771" s="11">
        <f>MAX(0,M771-N771)</f>
        <v/>
      </c>
      <c r="K771" s="11">
        <f>O771</f>
        <v/>
      </c>
      <c r="L771" s="11">
        <f>L770+IF(K771&gt;0,K771*Summary!$B$9,K771/Summary!$B$9)</f>
        <v/>
      </c>
      <c r="M771" s="11">
        <f>G771+H771</f>
        <v/>
      </c>
      <c r="N771" s="11">
        <f>Summary!$C$16*Summary!$B$8</f>
        <v/>
      </c>
      <c r="O771" s="11">
        <f>M771-N771</f>
        <v/>
      </c>
    </row>
    <row r="772">
      <c r="A772" s="9" t="n">
        <v>45324.08333333334</v>
      </c>
      <c r="B772" t="n">
        <v>2</v>
      </c>
      <c r="C772" t="n">
        <v>2</v>
      </c>
      <c r="D772" t="n">
        <v>2</v>
      </c>
      <c r="E772" s="10" t="n">
        <v>0</v>
      </c>
      <c r="F772" s="10" t="n">
        <v>0.330058879214131</v>
      </c>
      <c r="G772" s="11">
        <f>E772*Summary!$B$6</f>
        <v/>
      </c>
      <c r="H772" s="11">
        <f>F772*Summary!$B$7</f>
        <v/>
      </c>
      <c r="I772" s="11">
        <f>MAX(0,N772-M772)</f>
        <v/>
      </c>
      <c r="J772" s="11">
        <f>MAX(0,M772-N772)</f>
        <v/>
      </c>
      <c r="K772" s="11">
        <f>O772</f>
        <v/>
      </c>
      <c r="L772" s="11">
        <f>L771+IF(K772&gt;0,K772*Summary!$B$9,K772/Summary!$B$9)</f>
        <v/>
      </c>
      <c r="M772" s="11">
        <f>G772+H772</f>
        <v/>
      </c>
      <c r="N772" s="11">
        <f>Summary!$C$16*Summary!$B$8</f>
        <v/>
      </c>
      <c r="O772" s="11">
        <f>M772-N772</f>
        <v/>
      </c>
    </row>
    <row r="773">
      <c r="A773" s="9" t="n">
        <v>45324.125</v>
      </c>
      <c r="B773" t="n">
        <v>2</v>
      </c>
      <c r="C773" t="n">
        <v>2</v>
      </c>
      <c r="D773" t="n">
        <v>3</v>
      </c>
      <c r="E773" s="10" t="n">
        <v>0</v>
      </c>
      <c r="F773" s="10" t="n">
        <v>0.3266594703982729</v>
      </c>
      <c r="G773" s="11">
        <f>E773*Summary!$B$6</f>
        <v/>
      </c>
      <c r="H773" s="11">
        <f>F773*Summary!$B$7</f>
        <v/>
      </c>
      <c r="I773" s="11">
        <f>MAX(0,N773-M773)</f>
        <v/>
      </c>
      <c r="J773" s="11">
        <f>MAX(0,M773-N773)</f>
        <v/>
      </c>
      <c r="K773" s="11">
        <f>O773</f>
        <v/>
      </c>
      <c r="L773" s="11">
        <f>L772+IF(K773&gt;0,K773*Summary!$B$9,K773/Summary!$B$9)</f>
        <v/>
      </c>
      <c r="M773" s="11">
        <f>G773+H773</f>
        <v/>
      </c>
      <c r="N773" s="11">
        <f>Summary!$C$16*Summary!$B$8</f>
        <v/>
      </c>
      <c r="O773" s="11">
        <f>M773-N773</f>
        <v/>
      </c>
    </row>
    <row r="774">
      <c r="A774" s="9" t="n">
        <v>45324.16666666666</v>
      </c>
      <c r="B774" t="n">
        <v>2</v>
      </c>
      <c r="C774" t="n">
        <v>2</v>
      </c>
      <c r="D774" t="n">
        <v>4</v>
      </c>
      <c r="E774" s="10" t="n">
        <v>0</v>
      </c>
      <c r="F774" s="10" t="n">
        <v>0.3358826726118414</v>
      </c>
      <c r="G774" s="11">
        <f>E774*Summary!$B$6</f>
        <v/>
      </c>
      <c r="H774" s="11">
        <f>F774*Summary!$B$7</f>
        <v/>
      </c>
      <c r="I774" s="11">
        <f>MAX(0,N774-M774)</f>
        <v/>
      </c>
      <c r="J774" s="11">
        <f>MAX(0,M774-N774)</f>
        <v/>
      </c>
      <c r="K774" s="11">
        <f>O774</f>
        <v/>
      </c>
      <c r="L774" s="11">
        <f>L773+IF(K774&gt;0,K774*Summary!$B$9,K774/Summary!$B$9)</f>
        <v/>
      </c>
      <c r="M774" s="11">
        <f>G774+H774</f>
        <v/>
      </c>
      <c r="N774" s="11">
        <f>Summary!$C$16*Summary!$B$8</f>
        <v/>
      </c>
      <c r="O774" s="11">
        <f>M774-N774</f>
        <v/>
      </c>
    </row>
    <row r="775">
      <c r="A775" s="9" t="n">
        <v>45324.20833333334</v>
      </c>
      <c r="B775" t="n">
        <v>2</v>
      </c>
      <c r="C775" t="n">
        <v>2</v>
      </c>
      <c r="D775" t="n">
        <v>5</v>
      </c>
      <c r="E775" s="10" t="n">
        <v>0</v>
      </c>
      <c r="F775" s="10" t="n">
        <v>0.3221269253104621</v>
      </c>
      <c r="G775" s="11">
        <f>E775*Summary!$B$6</f>
        <v/>
      </c>
      <c r="H775" s="11">
        <f>F775*Summary!$B$7</f>
        <v/>
      </c>
      <c r="I775" s="11">
        <f>MAX(0,N775-M775)</f>
        <v/>
      </c>
      <c r="J775" s="11">
        <f>MAX(0,M775-N775)</f>
        <v/>
      </c>
      <c r="K775" s="11">
        <f>O775</f>
        <v/>
      </c>
      <c r="L775" s="11">
        <f>L774+IF(K775&gt;0,K775*Summary!$B$9,K775/Summary!$B$9)</f>
        <v/>
      </c>
      <c r="M775" s="11">
        <f>G775+H775</f>
        <v/>
      </c>
      <c r="N775" s="11">
        <f>Summary!$C$16*Summary!$B$8</f>
        <v/>
      </c>
      <c r="O775" s="11">
        <f>M775-N775</f>
        <v/>
      </c>
    </row>
    <row r="776">
      <c r="A776" s="9" t="n">
        <v>45324.25</v>
      </c>
      <c r="B776" t="n">
        <v>2</v>
      </c>
      <c r="C776" t="n">
        <v>2</v>
      </c>
      <c r="D776" t="n">
        <v>6</v>
      </c>
      <c r="E776" s="10" t="n">
        <v>0</v>
      </c>
      <c r="F776" s="10" t="n">
        <v>0.319333612640067</v>
      </c>
      <c r="G776" s="11">
        <f>E776*Summary!$B$6</f>
        <v/>
      </c>
      <c r="H776" s="11">
        <f>F776*Summary!$B$7</f>
        <v/>
      </c>
      <c r="I776" s="11">
        <f>MAX(0,N776-M776)</f>
        <v/>
      </c>
      <c r="J776" s="11">
        <f>MAX(0,M776-N776)</f>
        <v/>
      </c>
      <c r="K776" s="11">
        <f>O776</f>
        <v/>
      </c>
      <c r="L776" s="11">
        <f>L775+IF(K776&gt;0,K776*Summary!$B$9,K776/Summary!$B$9)</f>
        <v/>
      </c>
      <c r="M776" s="11">
        <f>G776+H776</f>
        <v/>
      </c>
      <c r="N776" s="11">
        <f>Summary!$C$16*Summary!$B$8</f>
        <v/>
      </c>
      <c r="O776" s="11">
        <f>M776-N776</f>
        <v/>
      </c>
    </row>
    <row r="777">
      <c r="A777" s="9" t="n">
        <v>45324.29166666666</v>
      </c>
      <c r="B777" t="n">
        <v>2</v>
      </c>
      <c r="C777" t="n">
        <v>2</v>
      </c>
      <c r="D777" t="n">
        <v>7</v>
      </c>
      <c r="E777" s="10" t="n">
        <v>0</v>
      </c>
      <c r="F777" s="10" t="n">
        <v>0.3200187648045035</v>
      </c>
      <c r="G777" s="11">
        <f>E777*Summary!$B$6</f>
        <v/>
      </c>
      <c r="H777" s="11">
        <f>F777*Summary!$B$7</f>
        <v/>
      </c>
      <c r="I777" s="11">
        <f>MAX(0,N777-M777)</f>
        <v/>
      </c>
      <c r="J777" s="11">
        <f>MAX(0,M777-N777)</f>
        <v/>
      </c>
      <c r="K777" s="11">
        <f>O777</f>
        <v/>
      </c>
      <c r="L777" s="11">
        <f>L776+IF(K777&gt;0,K777*Summary!$B$9,K777/Summary!$B$9)</f>
        <v/>
      </c>
      <c r="M777" s="11">
        <f>G777+H777</f>
        <v/>
      </c>
      <c r="N777" s="11">
        <f>Summary!$C$16*Summary!$B$8</f>
        <v/>
      </c>
      <c r="O777" s="11">
        <f>M777-N777</f>
        <v/>
      </c>
    </row>
    <row r="778">
      <c r="A778" s="9" t="n">
        <v>45324.33333333334</v>
      </c>
      <c r="B778" t="n">
        <v>2</v>
      </c>
      <c r="C778" t="n">
        <v>2</v>
      </c>
      <c r="D778" t="n">
        <v>8</v>
      </c>
      <c r="E778" s="10" t="n">
        <v>0.012827</v>
      </c>
      <c r="F778" s="10" t="n">
        <v>0.3179369563048695</v>
      </c>
      <c r="G778" s="11">
        <f>E778*Summary!$B$6</f>
        <v/>
      </c>
      <c r="H778" s="11">
        <f>F778*Summary!$B$7</f>
        <v/>
      </c>
      <c r="I778" s="11">
        <f>MAX(0,N778-M778)</f>
        <v/>
      </c>
      <c r="J778" s="11">
        <f>MAX(0,M778-N778)</f>
        <v/>
      </c>
      <c r="K778" s="11">
        <f>O778</f>
        <v/>
      </c>
      <c r="L778" s="11">
        <f>L777+IF(K778&gt;0,K778*Summary!$B$9,K778/Summary!$B$9)</f>
        <v/>
      </c>
      <c r="M778" s="11">
        <f>G778+H778</f>
        <v/>
      </c>
      <c r="N778" s="11">
        <f>Summary!$C$16*Summary!$B$8</f>
        <v/>
      </c>
      <c r="O778" s="11">
        <f>M778-N778</f>
        <v/>
      </c>
    </row>
    <row r="779">
      <c r="A779" s="9" t="n">
        <v>45324.375</v>
      </c>
      <c r="B779" t="n">
        <v>2</v>
      </c>
      <c r="C779" t="n">
        <v>2</v>
      </c>
      <c r="D779" t="n">
        <v>9</v>
      </c>
      <c r="E779" s="10" t="n">
        <v>0.131137</v>
      </c>
      <c r="F779" s="10" t="n">
        <v>0.3123239789577549</v>
      </c>
      <c r="G779" s="11">
        <f>E779*Summary!$B$6</f>
        <v/>
      </c>
      <c r="H779" s="11">
        <f>F779*Summary!$B$7</f>
        <v/>
      </c>
      <c r="I779" s="11">
        <f>MAX(0,N779-M779)</f>
        <v/>
      </c>
      <c r="J779" s="11">
        <f>MAX(0,M779-N779)</f>
        <v/>
      </c>
      <c r="K779" s="11">
        <f>O779</f>
        <v/>
      </c>
      <c r="L779" s="11">
        <f>L778+IF(K779&gt;0,K779*Summary!$B$9,K779/Summary!$B$9)</f>
        <v/>
      </c>
      <c r="M779" s="11">
        <f>G779+H779</f>
        <v/>
      </c>
      <c r="N779" s="11">
        <f>Summary!$C$16*Summary!$B$8</f>
        <v/>
      </c>
      <c r="O779" s="11">
        <f>M779-N779</f>
        <v/>
      </c>
    </row>
    <row r="780">
      <c r="A780" s="9" t="n">
        <v>45324.41666666666</v>
      </c>
      <c r="B780" t="n">
        <v>2</v>
      </c>
      <c r="C780" t="n">
        <v>2</v>
      </c>
      <c r="D780" t="n">
        <v>10</v>
      </c>
      <c r="E780" s="10" t="n">
        <v>0.242586</v>
      </c>
      <c r="F780" s="10" t="n">
        <v>0.305156233237496</v>
      </c>
      <c r="G780" s="11">
        <f>E780*Summary!$B$6</f>
        <v/>
      </c>
      <c r="H780" s="11">
        <f>F780*Summary!$B$7</f>
        <v/>
      </c>
      <c r="I780" s="11">
        <f>MAX(0,N780-M780)</f>
        <v/>
      </c>
      <c r="J780" s="11">
        <f>MAX(0,M780-N780)</f>
        <v/>
      </c>
      <c r="K780" s="11">
        <f>O780</f>
        <v/>
      </c>
      <c r="L780" s="11">
        <f>L779+IF(K780&gt;0,K780*Summary!$B$9,K780/Summary!$B$9)</f>
        <v/>
      </c>
      <c r="M780" s="11">
        <f>G780+H780</f>
        <v/>
      </c>
      <c r="N780" s="11">
        <f>Summary!$C$16*Summary!$B$8</f>
        <v/>
      </c>
      <c r="O780" s="11">
        <f>M780-N780</f>
        <v/>
      </c>
    </row>
    <row r="781">
      <c r="A781" s="9" t="n">
        <v>45324.45833333334</v>
      </c>
      <c r="B781" t="n">
        <v>2</v>
      </c>
      <c r="C781" t="n">
        <v>2</v>
      </c>
      <c r="D781" t="n">
        <v>11</v>
      </c>
      <c r="E781" s="10" t="n">
        <v>0.286983</v>
      </c>
      <c r="F781" s="10" t="n">
        <v>0.2711884970852393</v>
      </c>
      <c r="G781" s="11">
        <f>E781*Summary!$B$6</f>
        <v/>
      </c>
      <c r="H781" s="11">
        <f>F781*Summary!$B$7</f>
        <v/>
      </c>
      <c r="I781" s="11">
        <f>MAX(0,N781-M781)</f>
        <v/>
      </c>
      <c r="J781" s="11">
        <f>MAX(0,M781-N781)</f>
        <v/>
      </c>
      <c r="K781" s="11">
        <f>O781</f>
        <v/>
      </c>
      <c r="L781" s="11">
        <f>L780+IF(K781&gt;0,K781*Summary!$B$9,K781/Summary!$B$9)</f>
        <v/>
      </c>
      <c r="M781" s="11">
        <f>G781+H781</f>
        <v/>
      </c>
      <c r="N781" s="11">
        <f>Summary!$C$16*Summary!$B$8</f>
        <v/>
      </c>
      <c r="O781" s="11">
        <f>M781-N781</f>
        <v/>
      </c>
    </row>
    <row r="782">
      <c r="A782" s="9" t="n">
        <v>45324.5</v>
      </c>
      <c r="B782" t="n">
        <v>2</v>
      </c>
      <c r="C782" t="n">
        <v>2</v>
      </c>
      <c r="D782" t="n">
        <v>12</v>
      </c>
      <c r="E782" s="10" t="n">
        <v>0.340916</v>
      </c>
      <c r="F782" s="10" t="n">
        <v>0.3010453202508769</v>
      </c>
      <c r="G782" s="11">
        <f>E782*Summary!$B$6</f>
        <v/>
      </c>
      <c r="H782" s="11">
        <f>F782*Summary!$B$7</f>
        <v/>
      </c>
      <c r="I782" s="11">
        <f>MAX(0,N782-M782)</f>
        <v/>
      </c>
      <c r="J782" s="11">
        <f>MAX(0,M782-N782)</f>
        <v/>
      </c>
      <c r="K782" s="11">
        <f>O782</f>
        <v/>
      </c>
      <c r="L782" s="11">
        <f>L781+IF(K782&gt;0,K782*Summary!$B$9,K782/Summary!$B$9)</f>
        <v/>
      </c>
      <c r="M782" s="11">
        <f>G782+H782</f>
        <v/>
      </c>
      <c r="N782" s="11">
        <f>Summary!$C$16*Summary!$B$8</f>
        <v/>
      </c>
      <c r="O782" s="11">
        <f>M782-N782</f>
        <v/>
      </c>
    </row>
    <row r="783">
      <c r="A783" s="9" t="n">
        <v>45324.54166666666</v>
      </c>
      <c r="B783" t="n">
        <v>2</v>
      </c>
      <c r="C783" t="n">
        <v>2</v>
      </c>
      <c r="D783" t="n">
        <v>13</v>
      </c>
      <c r="E783" s="10" t="n">
        <v>0.304941</v>
      </c>
      <c r="F783" s="10" t="n">
        <v>0.2990425677702163</v>
      </c>
      <c r="G783" s="11">
        <f>E783*Summary!$B$6</f>
        <v/>
      </c>
      <c r="H783" s="11">
        <f>F783*Summary!$B$7</f>
        <v/>
      </c>
      <c r="I783" s="11">
        <f>MAX(0,N783-M783)</f>
        <v/>
      </c>
      <c r="J783" s="11">
        <f>MAX(0,M783-N783)</f>
        <v/>
      </c>
      <c r="K783" s="11">
        <f>O783</f>
        <v/>
      </c>
      <c r="L783" s="11">
        <f>L782+IF(K783&gt;0,K783*Summary!$B$9,K783/Summary!$B$9)</f>
        <v/>
      </c>
      <c r="M783" s="11">
        <f>G783+H783</f>
        <v/>
      </c>
      <c r="N783" s="11">
        <f>Summary!$C$16*Summary!$B$8</f>
        <v/>
      </c>
      <c r="O783" s="11">
        <f>M783-N783</f>
        <v/>
      </c>
    </row>
    <row r="784">
      <c r="A784" s="9" t="n">
        <v>45324.58333333334</v>
      </c>
      <c r="B784" t="n">
        <v>2</v>
      </c>
      <c r="C784" t="n">
        <v>2</v>
      </c>
      <c r="D784" t="n">
        <v>14</v>
      </c>
      <c r="E784" s="10" t="n">
        <v>0.221647</v>
      </c>
      <c r="F784" s="10" t="n">
        <v>0.3027845526682926</v>
      </c>
      <c r="G784" s="11">
        <f>E784*Summary!$B$6</f>
        <v/>
      </c>
      <c r="H784" s="11">
        <f>F784*Summary!$B$7</f>
        <v/>
      </c>
      <c r="I784" s="11">
        <f>MAX(0,N784-M784)</f>
        <v/>
      </c>
      <c r="J784" s="11">
        <f>MAX(0,M784-N784)</f>
        <v/>
      </c>
      <c r="K784" s="11">
        <f>O784</f>
        <v/>
      </c>
      <c r="L784" s="11">
        <f>L783+IF(K784&gt;0,K784*Summary!$B$9,K784/Summary!$B$9)</f>
        <v/>
      </c>
      <c r="M784" s="11">
        <f>G784+H784</f>
        <v/>
      </c>
      <c r="N784" s="11">
        <f>Summary!$C$16*Summary!$B$8</f>
        <v/>
      </c>
      <c r="O784" s="11">
        <f>M784-N784</f>
        <v/>
      </c>
    </row>
    <row r="785">
      <c r="A785" s="9" t="n">
        <v>45324.625</v>
      </c>
      <c r="B785" t="n">
        <v>2</v>
      </c>
      <c r="C785" t="n">
        <v>2</v>
      </c>
      <c r="D785" t="n">
        <v>15</v>
      </c>
      <c r="E785" s="10" t="n">
        <v>0.100967</v>
      </c>
      <c r="F785" s="10" t="n">
        <v>0.3112435466984512</v>
      </c>
      <c r="G785" s="11">
        <f>E785*Summary!$B$6</f>
        <v/>
      </c>
      <c r="H785" s="11">
        <f>F785*Summary!$B$7</f>
        <v/>
      </c>
      <c r="I785" s="11">
        <f>MAX(0,N785-M785)</f>
        <v/>
      </c>
      <c r="J785" s="11">
        <f>MAX(0,M785-N785)</f>
        <v/>
      </c>
      <c r="K785" s="11">
        <f>O785</f>
        <v/>
      </c>
      <c r="L785" s="11">
        <f>L784+IF(K785&gt;0,K785*Summary!$B$9,K785/Summary!$B$9)</f>
        <v/>
      </c>
      <c r="M785" s="11">
        <f>G785+H785</f>
        <v/>
      </c>
      <c r="N785" s="11">
        <f>Summary!$C$16*Summary!$B$8</f>
        <v/>
      </c>
      <c r="O785" s="11">
        <f>M785-N785</f>
        <v/>
      </c>
    </row>
    <row r="786">
      <c r="A786" s="9" t="n">
        <v>45324.66666666666</v>
      </c>
      <c r="B786" t="n">
        <v>2</v>
      </c>
      <c r="C786" t="n">
        <v>2</v>
      </c>
      <c r="D786" t="n">
        <v>16</v>
      </c>
      <c r="E786" s="10" t="n">
        <v>0</v>
      </c>
      <c r="F786" s="10" t="n">
        <v>0.3199660607918546</v>
      </c>
      <c r="G786" s="11">
        <f>E786*Summary!$B$6</f>
        <v/>
      </c>
      <c r="H786" s="11">
        <f>F786*Summary!$B$7</f>
        <v/>
      </c>
      <c r="I786" s="11">
        <f>MAX(0,N786-M786)</f>
        <v/>
      </c>
      <c r="J786" s="11">
        <f>MAX(0,M786-N786)</f>
        <v/>
      </c>
      <c r="K786" s="11">
        <f>O786</f>
        <v/>
      </c>
      <c r="L786" s="11">
        <f>L785+IF(K786&gt;0,K786*Summary!$B$9,K786/Summary!$B$9)</f>
        <v/>
      </c>
      <c r="M786" s="11">
        <f>G786+H786</f>
        <v/>
      </c>
      <c r="N786" s="11">
        <f>Summary!$C$16*Summary!$B$8</f>
        <v/>
      </c>
      <c r="O786" s="11">
        <f>M786-N786</f>
        <v/>
      </c>
    </row>
    <row r="787">
      <c r="A787" s="9" t="n">
        <v>45324.70833333334</v>
      </c>
      <c r="B787" t="n">
        <v>2</v>
      </c>
      <c r="C787" t="n">
        <v>2</v>
      </c>
      <c r="D787" t="n">
        <v>17</v>
      </c>
      <c r="E787" s="10" t="n">
        <v>0</v>
      </c>
      <c r="F787" s="10" t="n">
        <v>0.331534591568302</v>
      </c>
      <c r="G787" s="11">
        <f>E787*Summary!$B$6</f>
        <v/>
      </c>
      <c r="H787" s="11">
        <f>F787*Summary!$B$7</f>
        <v/>
      </c>
      <c r="I787" s="11">
        <f>MAX(0,N787-M787)</f>
        <v/>
      </c>
      <c r="J787" s="11">
        <f>MAX(0,M787-N787)</f>
        <v/>
      </c>
      <c r="K787" s="11">
        <f>O787</f>
        <v/>
      </c>
      <c r="L787" s="11">
        <f>L786+IF(K787&gt;0,K787*Summary!$B$9,K787/Summary!$B$9)</f>
        <v/>
      </c>
      <c r="M787" s="11">
        <f>G787+H787</f>
        <v/>
      </c>
      <c r="N787" s="11">
        <f>Summary!$C$16*Summary!$B$8</f>
        <v/>
      </c>
      <c r="O787" s="11">
        <f>M787-N787</f>
        <v/>
      </c>
    </row>
    <row r="788">
      <c r="A788" s="9" t="n">
        <v>45324.75</v>
      </c>
      <c r="B788" t="n">
        <v>2</v>
      </c>
      <c r="C788" t="n">
        <v>2</v>
      </c>
      <c r="D788" t="n">
        <v>18</v>
      </c>
      <c r="E788" s="10" t="n">
        <v>0</v>
      </c>
      <c r="F788" s="10" t="n">
        <v>0.3374110889786613</v>
      </c>
      <c r="G788" s="11">
        <f>E788*Summary!$B$6</f>
        <v/>
      </c>
      <c r="H788" s="11">
        <f>F788*Summary!$B$7</f>
        <v/>
      </c>
      <c r="I788" s="11">
        <f>MAX(0,N788-M788)</f>
        <v/>
      </c>
      <c r="J788" s="11">
        <f>MAX(0,M788-N788)</f>
        <v/>
      </c>
      <c r="K788" s="11">
        <f>O788</f>
        <v/>
      </c>
      <c r="L788" s="11">
        <f>L787+IF(K788&gt;0,K788*Summary!$B$9,K788/Summary!$B$9)</f>
        <v/>
      </c>
      <c r="M788" s="11">
        <f>G788+H788</f>
        <v/>
      </c>
      <c r="N788" s="11">
        <f>Summary!$C$16*Summary!$B$8</f>
        <v/>
      </c>
      <c r="O788" s="11">
        <f>M788-N788</f>
        <v/>
      </c>
    </row>
    <row r="789">
      <c r="A789" s="9" t="n">
        <v>45324.79166666666</v>
      </c>
      <c r="B789" t="n">
        <v>2</v>
      </c>
      <c r="C789" t="n">
        <v>2</v>
      </c>
      <c r="D789" t="n">
        <v>19</v>
      </c>
      <c r="E789" s="10" t="n">
        <v>0</v>
      </c>
      <c r="F789" s="10" t="n">
        <v>0.3373583849660124</v>
      </c>
      <c r="G789" s="11">
        <f>E789*Summary!$B$6</f>
        <v/>
      </c>
      <c r="H789" s="11">
        <f>F789*Summary!$B$7</f>
        <v/>
      </c>
      <c r="I789" s="11">
        <f>MAX(0,N789-M789)</f>
        <v/>
      </c>
      <c r="J789" s="11">
        <f>MAX(0,M789-N789)</f>
        <v/>
      </c>
      <c r="K789" s="11">
        <f>O789</f>
        <v/>
      </c>
      <c r="L789" s="11">
        <f>L788+IF(K789&gt;0,K789*Summary!$B$9,K789/Summary!$B$9)</f>
        <v/>
      </c>
      <c r="M789" s="11">
        <f>G789+H789</f>
        <v/>
      </c>
      <c r="N789" s="11">
        <f>Summary!$C$16*Summary!$B$8</f>
        <v/>
      </c>
      <c r="O789" s="11">
        <f>M789-N789</f>
        <v/>
      </c>
    </row>
    <row r="790">
      <c r="A790" s="9" t="n">
        <v>45324.83333333334</v>
      </c>
      <c r="B790" t="n">
        <v>2</v>
      </c>
      <c r="C790" t="n">
        <v>2</v>
      </c>
      <c r="D790" t="n">
        <v>20</v>
      </c>
      <c r="E790" s="10" t="n">
        <v>0</v>
      </c>
      <c r="F790" s="10" t="n">
        <v>0.3315082395619775</v>
      </c>
      <c r="G790" s="11">
        <f>E790*Summary!$B$6</f>
        <v/>
      </c>
      <c r="H790" s="11">
        <f>F790*Summary!$B$7</f>
        <v/>
      </c>
      <c r="I790" s="11">
        <f>MAX(0,N790-M790)</f>
        <v/>
      </c>
      <c r="J790" s="11">
        <f>MAX(0,M790-N790)</f>
        <v/>
      </c>
      <c r="K790" s="11">
        <f>O790</f>
        <v/>
      </c>
      <c r="L790" s="11">
        <f>L789+IF(K790&gt;0,K790*Summary!$B$9,K790/Summary!$B$9)</f>
        <v/>
      </c>
      <c r="M790" s="11">
        <f>G790+H790</f>
        <v/>
      </c>
      <c r="N790" s="11">
        <f>Summary!$C$16*Summary!$B$8</f>
        <v/>
      </c>
      <c r="O790" s="11">
        <f>M790-N790</f>
        <v/>
      </c>
    </row>
    <row r="791">
      <c r="A791" s="9" t="n">
        <v>45324.875</v>
      </c>
      <c r="B791" t="n">
        <v>2</v>
      </c>
      <c r="C791" t="n">
        <v>2</v>
      </c>
      <c r="D791" t="n">
        <v>21</v>
      </c>
      <c r="E791" s="10" t="n">
        <v>0</v>
      </c>
      <c r="F791" s="10" t="n">
        <v>0.3259743182338364</v>
      </c>
      <c r="G791" s="11">
        <f>E791*Summary!$B$6</f>
        <v/>
      </c>
      <c r="H791" s="11">
        <f>F791*Summary!$B$7</f>
        <v/>
      </c>
      <c r="I791" s="11">
        <f>MAX(0,N791-M791)</f>
        <v/>
      </c>
      <c r="J791" s="11">
        <f>MAX(0,M791-N791)</f>
        <v/>
      </c>
      <c r="K791" s="11">
        <f>O791</f>
        <v/>
      </c>
      <c r="L791" s="11">
        <f>L790+IF(K791&gt;0,K791*Summary!$B$9,K791/Summary!$B$9)</f>
        <v/>
      </c>
      <c r="M791" s="11">
        <f>G791+H791</f>
        <v/>
      </c>
      <c r="N791" s="11">
        <f>Summary!$C$16*Summary!$B$8</f>
        <v/>
      </c>
      <c r="O791" s="11">
        <f>M791-N791</f>
        <v/>
      </c>
    </row>
    <row r="792">
      <c r="A792" s="9" t="n">
        <v>45324.91666666666</v>
      </c>
      <c r="B792" t="n">
        <v>2</v>
      </c>
      <c r="C792" t="n">
        <v>2</v>
      </c>
      <c r="D792" t="n">
        <v>22</v>
      </c>
      <c r="E792" s="10" t="n">
        <v>0</v>
      </c>
      <c r="F792" s="10" t="n">
        <v>0.3214417731460255</v>
      </c>
      <c r="G792" s="11">
        <f>E792*Summary!$B$6</f>
        <v/>
      </c>
      <c r="H792" s="11">
        <f>F792*Summary!$B$7</f>
        <v/>
      </c>
      <c r="I792" s="11">
        <f>MAX(0,N792-M792)</f>
        <v/>
      </c>
      <c r="J792" s="11">
        <f>MAX(0,M792-N792)</f>
        <v/>
      </c>
      <c r="K792" s="11">
        <f>O792</f>
        <v/>
      </c>
      <c r="L792" s="11">
        <f>L791+IF(K792&gt;0,K792*Summary!$B$9,K792/Summary!$B$9)</f>
        <v/>
      </c>
      <c r="M792" s="11">
        <f>G792+H792</f>
        <v/>
      </c>
      <c r="N792" s="11">
        <f>Summary!$C$16*Summary!$B$8</f>
        <v/>
      </c>
      <c r="O792" s="11">
        <f>M792-N792</f>
        <v/>
      </c>
    </row>
    <row r="793">
      <c r="A793" s="9" t="n">
        <v>45324.95833333334</v>
      </c>
      <c r="B793" t="n">
        <v>2</v>
      </c>
      <c r="C793" t="n">
        <v>2</v>
      </c>
      <c r="D793" t="n">
        <v>23</v>
      </c>
      <c r="E793" s="10" t="n">
        <v>0</v>
      </c>
      <c r="F793" s="10" t="n">
        <v>0.3185430524503325</v>
      </c>
      <c r="G793" s="11">
        <f>E793*Summary!$B$6</f>
        <v/>
      </c>
      <c r="H793" s="11">
        <f>F793*Summary!$B$7</f>
        <v/>
      </c>
      <c r="I793" s="11">
        <f>MAX(0,N793-M793)</f>
        <v/>
      </c>
      <c r="J793" s="11">
        <f>MAX(0,M793-N793)</f>
        <v/>
      </c>
      <c r="K793" s="11">
        <f>O793</f>
        <v/>
      </c>
      <c r="L793" s="11">
        <f>L792+IF(K793&gt;0,K793*Summary!$B$9,K793/Summary!$B$9)</f>
        <v/>
      </c>
      <c r="M793" s="11">
        <f>G793+H793</f>
        <v/>
      </c>
      <c r="N793" s="11">
        <f>Summary!$C$16*Summary!$B$8</f>
        <v/>
      </c>
      <c r="O793" s="11">
        <f>M793-N793</f>
        <v/>
      </c>
    </row>
    <row r="794">
      <c r="A794" s="9" t="n">
        <v>45325</v>
      </c>
      <c r="B794" t="n">
        <v>2</v>
      </c>
      <c r="C794" t="n">
        <v>3</v>
      </c>
      <c r="D794" t="n">
        <v>0</v>
      </c>
      <c r="E794" s="10" t="n">
        <v>0</v>
      </c>
      <c r="F794" s="10" t="n">
        <v>0.3511404842737162</v>
      </c>
      <c r="G794" s="11">
        <f>E794*Summary!$B$6</f>
        <v/>
      </c>
      <c r="H794" s="11">
        <f>F794*Summary!$B$7</f>
        <v/>
      </c>
      <c r="I794" s="11">
        <f>MAX(0,N794-M794)</f>
        <v/>
      </c>
      <c r="J794" s="11">
        <f>MAX(0,M794-N794)</f>
        <v/>
      </c>
      <c r="K794" s="11">
        <f>O794</f>
        <v/>
      </c>
      <c r="L794" s="11">
        <f>L793+IF(K794&gt;0,K794*Summary!$B$9,K794/Summary!$B$9)</f>
        <v/>
      </c>
      <c r="M794" s="11">
        <f>G794+H794</f>
        <v/>
      </c>
      <c r="N794" s="11">
        <f>Summary!$C$16*Summary!$B$8</f>
        <v/>
      </c>
      <c r="O794" s="11">
        <f>M794-N794</f>
        <v/>
      </c>
    </row>
    <row r="795">
      <c r="A795" s="9" t="n">
        <v>45325.04166666666</v>
      </c>
      <c r="B795" t="n">
        <v>2</v>
      </c>
      <c r="C795" t="n">
        <v>3</v>
      </c>
      <c r="D795" t="n">
        <v>1</v>
      </c>
      <c r="E795" s="10" t="n">
        <v>0</v>
      </c>
      <c r="F795" s="10" t="n">
        <v>0.3243404938417185</v>
      </c>
      <c r="G795" s="11">
        <f>E795*Summary!$B$6</f>
        <v/>
      </c>
      <c r="H795" s="11">
        <f>F795*Summary!$B$7</f>
        <v/>
      </c>
      <c r="I795" s="11">
        <f>MAX(0,N795-M795)</f>
        <v/>
      </c>
      <c r="J795" s="11">
        <f>MAX(0,M795-N795)</f>
        <v/>
      </c>
      <c r="K795" s="11">
        <f>O795</f>
        <v/>
      </c>
      <c r="L795" s="11">
        <f>L794+IF(K795&gt;0,K795*Summary!$B$9,K795/Summary!$B$9)</f>
        <v/>
      </c>
      <c r="M795" s="11">
        <f>G795+H795</f>
        <v/>
      </c>
      <c r="N795" s="11">
        <f>Summary!$C$16*Summary!$B$8</f>
        <v/>
      </c>
      <c r="O795" s="11">
        <f>M795-N795</f>
        <v/>
      </c>
    </row>
    <row r="796">
      <c r="A796" s="9" t="n">
        <v>45325.08333333334</v>
      </c>
      <c r="B796" t="n">
        <v>2</v>
      </c>
      <c r="C796" t="n">
        <v>3</v>
      </c>
      <c r="D796" t="n">
        <v>2</v>
      </c>
      <c r="E796" s="10" t="n">
        <v>0</v>
      </c>
      <c r="F796" s="10" t="n">
        <v>0.3242614378227451</v>
      </c>
      <c r="G796" s="11">
        <f>E796*Summary!$B$6</f>
        <v/>
      </c>
      <c r="H796" s="11">
        <f>F796*Summary!$B$7</f>
        <v/>
      </c>
      <c r="I796" s="11">
        <f>MAX(0,N796-M796)</f>
        <v/>
      </c>
      <c r="J796" s="11">
        <f>MAX(0,M796-N796)</f>
        <v/>
      </c>
      <c r="K796" s="11">
        <f>O796</f>
        <v/>
      </c>
      <c r="L796" s="11">
        <f>L795+IF(K796&gt;0,K796*Summary!$B$9,K796/Summary!$B$9)</f>
        <v/>
      </c>
      <c r="M796" s="11">
        <f>G796+H796</f>
        <v/>
      </c>
      <c r="N796" s="11">
        <f>Summary!$C$16*Summary!$B$8</f>
        <v/>
      </c>
      <c r="O796" s="11">
        <f>M796-N796</f>
        <v/>
      </c>
    </row>
    <row r="797">
      <c r="A797" s="9" t="n">
        <v>45325.125</v>
      </c>
      <c r="B797" t="n">
        <v>2</v>
      </c>
      <c r="C797" t="n">
        <v>3</v>
      </c>
      <c r="D797" t="n">
        <v>3</v>
      </c>
      <c r="E797" s="10" t="n">
        <v>0</v>
      </c>
      <c r="F797" s="10" t="n">
        <v>0.3238925097342023</v>
      </c>
      <c r="G797" s="11">
        <f>E797*Summary!$B$6</f>
        <v/>
      </c>
      <c r="H797" s="11">
        <f>F797*Summary!$B$7</f>
        <v/>
      </c>
      <c r="I797" s="11">
        <f>MAX(0,N797-M797)</f>
        <v/>
      </c>
      <c r="J797" s="11">
        <f>MAX(0,M797-N797)</f>
        <v/>
      </c>
      <c r="K797" s="11">
        <f>O797</f>
        <v/>
      </c>
      <c r="L797" s="11">
        <f>L796+IF(K797&gt;0,K797*Summary!$B$9,K797/Summary!$B$9)</f>
        <v/>
      </c>
      <c r="M797" s="11">
        <f>G797+H797</f>
        <v/>
      </c>
      <c r="N797" s="11">
        <f>Summary!$C$16*Summary!$B$8</f>
        <v/>
      </c>
      <c r="O797" s="11">
        <f>M797-N797</f>
        <v/>
      </c>
    </row>
    <row r="798">
      <c r="A798" s="9" t="n">
        <v>45325.16666666666</v>
      </c>
      <c r="B798" t="n">
        <v>2</v>
      </c>
      <c r="C798" t="n">
        <v>3</v>
      </c>
      <c r="D798" t="n">
        <v>4</v>
      </c>
      <c r="E798" s="10" t="n">
        <v>0</v>
      </c>
      <c r="F798" s="10" t="n">
        <v>0.3154071636977193</v>
      </c>
      <c r="G798" s="11">
        <f>E798*Summary!$B$6</f>
        <v/>
      </c>
      <c r="H798" s="11">
        <f>F798*Summary!$B$7</f>
        <v/>
      </c>
      <c r="I798" s="11">
        <f>MAX(0,N798-M798)</f>
        <v/>
      </c>
      <c r="J798" s="11">
        <f>MAX(0,M798-N798)</f>
        <v/>
      </c>
      <c r="K798" s="11">
        <f>O798</f>
        <v/>
      </c>
      <c r="L798" s="11">
        <f>L797+IF(K798&gt;0,K798*Summary!$B$9,K798/Summary!$B$9)</f>
        <v/>
      </c>
      <c r="M798" s="11">
        <f>G798+H798</f>
        <v/>
      </c>
      <c r="N798" s="11">
        <f>Summary!$C$16*Summary!$B$8</f>
        <v/>
      </c>
      <c r="O798" s="11">
        <f>M798-N798</f>
        <v/>
      </c>
    </row>
    <row r="799">
      <c r="A799" s="9" t="n">
        <v>45325.20833333334</v>
      </c>
      <c r="B799" t="n">
        <v>2</v>
      </c>
      <c r="C799" t="n">
        <v>3</v>
      </c>
      <c r="D799" t="n">
        <v>5</v>
      </c>
      <c r="E799" s="10" t="n">
        <v>0</v>
      </c>
      <c r="F799" s="10" t="n">
        <v>0.3261587822781077</v>
      </c>
      <c r="G799" s="11">
        <f>E799*Summary!$B$6</f>
        <v/>
      </c>
      <c r="H799" s="11">
        <f>F799*Summary!$B$7</f>
        <v/>
      </c>
      <c r="I799" s="11">
        <f>MAX(0,N799-M799)</f>
        <v/>
      </c>
      <c r="J799" s="11">
        <f>MAX(0,M799-N799)</f>
        <v/>
      </c>
      <c r="K799" s="11">
        <f>O799</f>
        <v/>
      </c>
      <c r="L799" s="11">
        <f>L798+IF(K799&gt;0,K799*Summary!$B$9,K799/Summary!$B$9)</f>
        <v/>
      </c>
      <c r="M799" s="11">
        <f>G799+H799</f>
        <v/>
      </c>
      <c r="N799" s="11">
        <f>Summary!$C$16*Summary!$B$8</f>
        <v/>
      </c>
      <c r="O799" s="11">
        <f>M799-N799</f>
        <v/>
      </c>
    </row>
    <row r="800">
      <c r="A800" s="9" t="n">
        <v>45325.25</v>
      </c>
      <c r="B800" t="n">
        <v>2</v>
      </c>
      <c r="C800" t="n">
        <v>3</v>
      </c>
      <c r="D800" t="n">
        <v>6</v>
      </c>
      <c r="E800" s="10" t="n">
        <v>0</v>
      </c>
      <c r="F800" s="10" t="n">
        <v>0.3285304628473111</v>
      </c>
      <c r="G800" s="11">
        <f>E800*Summary!$B$6</f>
        <v/>
      </c>
      <c r="H800" s="11">
        <f>F800*Summary!$B$7</f>
        <v/>
      </c>
      <c r="I800" s="11">
        <f>MAX(0,N800-M800)</f>
        <v/>
      </c>
      <c r="J800" s="11">
        <f>MAX(0,M800-N800)</f>
        <v/>
      </c>
      <c r="K800" s="11">
        <f>O800</f>
        <v/>
      </c>
      <c r="L800" s="11">
        <f>L799+IF(K800&gt;0,K800*Summary!$B$9,K800/Summary!$B$9)</f>
        <v/>
      </c>
      <c r="M800" s="11">
        <f>G800+H800</f>
        <v/>
      </c>
      <c r="N800" s="11">
        <f>Summary!$C$16*Summary!$B$8</f>
        <v/>
      </c>
      <c r="O800" s="11">
        <f>M800-N800</f>
        <v/>
      </c>
    </row>
    <row r="801">
      <c r="A801" s="9" t="n">
        <v>45325.29166666666</v>
      </c>
      <c r="B801" t="n">
        <v>2</v>
      </c>
      <c r="C801" t="n">
        <v>3</v>
      </c>
      <c r="D801" t="n">
        <v>7</v>
      </c>
      <c r="E801" s="10" t="n">
        <v>0</v>
      </c>
      <c r="F801" s="10" t="n">
        <v>0.3252101100504264</v>
      </c>
      <c r="G801" s="11">
        <f>E801*Summary!$B$6</f>
        <v/>
      </c>
      <c r="H801" s="11">
        <f>F801*Summary!$B$7</f>
        <v/>
      </c>
      <c r="I801" s="11">
        <f>MAX(0,N801-M801)</f>
        <v/>
      </c>
      <c r="J801" s="11">
        <f>MAX(0,M801-N801)</f>
        <v/>
      </c>
      <c r="K801" s="11">
        <f>O801</f>
        <v/>
      </c>
      <c r="L801" s="11">
        <f>L800+IF(K801&gt;0,K801*Summary!$B$9,K801/Summary!$B$9)</f>
        <v/>
      </c>
      <c r="M801" s="11">
        <f>G801+H801</f>
        <v/>
      </c>
      <c r="N801" s="11">
        <f>Summary!$C$16*Summary!$B$8</f>
        <v/>
      </c>
      <c r="O801" s="11">
        <f>M801-N801</f>
        <v/>
      </c>
    </row>
    <row r="802">
      <c r="A802" s="9" t="n">
        <v>45325.33333333334</v>
      </c>
      <c r="B802" t="n">
        <v>2</v>
      </c>
      <c r="C802" t="n">
        <v>3</v>
      </c>
      <c r="D802" t="n">
        <v>8</v>
      </c>
      <c r="E802" s="10" t="n">
        <v>0.002755</v>
      </c>
      <c r="F802" s="10" t="n">
        <v>0.3241823818037716</v>
      </c>
      <c r="G802" s="11">
        <f>E802*Summary!$B$6</f>
        <v/>
      </c>
      <c r="H802" s="11">
        <f>F802*Summary!$B$7</f>
        <v/>
      </c>
      <c r="I802" s="11">
        <f>MAX(0,N802-M802)</f>
        <v/>
      </c>
      <c r="J802" s="11">
        <f>MAX(0,M802-N802)</f>
        <v/>
      </c>
      <c r="K802" s="11">
        <f>O802</f>
        <v/>
      </c>
      <c r="L802" s="11">
        <f>L801+IF(K802&gt;0,K802*Summary!$B$9,K802/Summary!$B$9)</f>
        <v/>
      </c>
      <c r="M802" s="11">
        <f>G802+H802</f>
        <v/>
      </c>
      <c r="N802" s="11">
        <f>Summary!$C$16*Summary!$B$8</f>
        <v/>
      </c>
      <c r="O802" s="11">
        <f>M802-N802</f>
        <v/>
      </c>
    </row>
    <row r="803">
      <c r="A803" s="9" t="n">
        <v>45325.375</v>
      </c>
      <c r="B803" t="n">
        <v>2</v>
      </c>
      <c r="C803" t="n">
        <v>3</v>
      </c>
      <c r="D803" t="n">
        <v>9</v>
      </c>
      <c r="E803" s="10" t="n">
        <v>0.112735</v>
      </c>
      <c r="F803" s="10" t="n">
        <v>0.3161450198748048</v>
      </c>
      <c r="G803" s="11">
        <f>E803*Summary!$B$6</f>
        <v/>
      </c>
      <c r="H803" s="11">
        <f>F803*Summary!$B$7</f>
        <v/>
      </c>
      <c r="I803" s="11">
        <f>MAX(0,N803-M803)</f>
        <v/>
      </c>
      <c r="J803" s="11">
        <f>MAX(0,M803-N803)</f>
        <v/>
      </c>
      <c r="K803" s="11">
        <f>O803</f>
        <v/>
      </c>
      <c r="L803" s="11">
        <f>L802+IF(K803&gt;0,K803*Summary!$B$9,K803/Summary!$B$9)</f>
        <v/>
      </c>
      <c r="M803" s="11">
        <f>G803+H803</f>
        <v/>
      </c>
      <c r="N803" s="11">
        <f>Summary!$C$16*Summary!$B$8</f>
        <v/>
      </c>
      <c r="O803" s="11">
        <f>M803-N803</f>
        <v/>
      </c>
    </row>
    <row r="804">
      <c r="A804" s="9" t="n">
        <v>45325.41666666666</v>
      </c>
      <c r="B804" t="n">
        <v>2</v>
      </c>
      <c r="C804" t="n">
        <v>3</v>
      </c>
      <c r="D804" t="n">
        <v>10</v>
      </c>
      <c r="E804" s="10" t="n">
        <v>0.218085</v>
      </c>
      <c r="F804" s="10" t="n">
        <v>0.3031007767441865</v>
      </c>
      <c r="G804" s="11">
        <f>E804*Summary!$B$6</f>
        <v/>
      </c>
      <c r="H804" s="11">
        <f>F804*Summary!$B$7</f>
        <v/>
      </c>
      <c r="I804" s="11">
        <f>MAX(0,N804-M804)</f>
        <v/>
      </c>
      <c r="J804" s="11">
        <f>MAX(0,M804-N804)</f>
        <v/>
      </c>
      <c r="K804" s="11">
        <f>O804</f>
        <v/>
      </c>
      <c r="L804" s="11">
        <f>L803+IF(K804&gt;0,K804*Summary!$B$9,K804/Summary!$B$9)</f>
        <v/>
      </c>
      <c r="M804" s="11">
        <f>G804+H804</f>
        <v/>
      </c>
      <c r="N804" s="11">
        <f>Summary!$C$16*Summary!$B$8</f>
        <v/>
      </c>
      <c r="O804" s="11">
        <f>M804-N804</f>
        <v/>
      </c>
    </row>
    <row r="805">
      <c r="A805" s="9" t="n">
        <v>45325.45833333334</v>
      </c>
      <c r="B805" t="n">
        <v>2</v>
      </c>
      <c r="C805" t="n">
        <v>3</v>
      </c>
      <c r="D805" t="n">
        <v>11</v>
      </c>
      <c r="E805" s="10" t="n">
        <v>0.277145</v>
      </c>
      <c r="F805" s="10" t="n">
        <v>0.2867888848293323</v>
      </c>
      <c r="G805" s="11">
        <f>E805*Summary!$B$6</f>
        <v/>
      </c>
      <c r="H805" s="11">
        <f>F805*Summary!$B$7</f>
        <v/>
      </c>
      <c r="I805" s="11">
        <f>MAX(0,N805-M805)</f>
        <v/>
      </c>
      <c r="J805" s="11">
        <f>MAX(0,M805-N805)</f>
        <v/>
      </c>
      <c r="K805" s="11">
        <f>O805</f>
        <v/>
      </c>
      <c r="L805" s="11">
        <f>L804+IF(K805&gt;0,K805*Summary!$B$9,K805/Summary!$B$9)</f>
        <v/>
      </c>
      <c r="M805" s="11">
        <f>G805+H805</f>
        <v/>
      </c>
      <c r="N805" s="11">
        <f>Summary!$C$16*Summary!$B$8</f>
        <v/>
      </c>
      <c r="O805" s="11">
        <f>M805-N805</f>
        <v/>
      </c>
    </row>
    <row r="806">
      <c r="A806" s="9" t="n">
        <v>45325.5</v>
      </c>
      <c r="B806" t="n">
        <v>2</v>
      </c>
      <c r="C806" t="n">
        <v>3</v>
      </c>
      <c r="D806" t="n">
        <v>12</v>
      </c>
      <c r="E806" s="10" t="n">
        <v>0.283039</v>
      </c>
      <c r="F806" s="10" t="n">
        <v>0.2752467060592095</v>
      </c>
      <c r="G806" s="11">
        <f>E806*Summary!$B$6</f>
        <v/>
      </c>
      <c r="H806" s="11">
        <f>F806*Summary!$B$7</f>
        <v/>
      </c>
      <c r="I806" s="11">
        <f>MAX(0,N806-M806)</f>
        <v/>
      </c>
      <c r="J806" s="11">
        <f>MAX(0,M806-N806)</f>
        <v/>
      </c>
      <c r="K806" s="11">
        <f>O806</f>
        <v/>
      </c>
      <c r="L806" s="11">
        <f>L805+IF(K806&gt;0,K806*Summary!$B$9,K806/Summary!$B$9)</f>
        <v/>
      </c>
      <c r="M806" s="11">
        <f>G806+H806</f>
        <v/>
      </c>
      <c r="N806" s="11">
        <f>Summary!$C$16*Summary!$B$8</f>
        <v/>
      </c>
      <c r="O806" s="11">
        <f>M806-N806</f>
        <v/>
      </c>
    </row>
    <row r="807">
      <c r="A807" s="9" t="n">
        <v>45325.54166666666</v>
      </c>
      <c r="B807" t="n">
        <v>2</v>
      </c>
      <c r="C807" t="n">
        <v>3</v>
      </c>
      <c r="D807" t="n">
        <v>13</v>
      </c>
      <c r="E807" s="10" t="n">
        <v>0.234477</v>
      </c>
      <c r="F807" s="10" t="n">
        <v>0.2747987219516932</v>
      </c>
      <c r="G807" s="11">
        <f>E807*Summary!$B$6</f>
        <v/>
      </c>
      <c r="H807" s="11">
        <f>F807*Summary!$B$7</f>
        <v/>
      </c>
      <c r="I807" s="11">
        <f>MAX(0,N807-M807)</f>
        <v/>
      </c>
      <c r="J807" s="11">
        <f>MAX(0,M807-N807)</f>
        <v/>
      </c>
      <c r="K807" s="11">
        <f>O807</f>
        <v/>
      </c>
      <c r="L807" s="11">
        <f>L806+IF(K807&gt;0,K807*Summary!$B$9,K807/Summary!$B$9)</f>
        <v/>
      </c>
      <c r="M807" s="11">
        <f>G807+H807</f>
        <v/>
      </c>
      <c r="N807" s="11">
        <f>Summary!$C$16*Summary!$B$8</f>
        <v/>
      </c>
      <c r="O807" s="11">
        <f>M807-N807</f>
        <v/>
      </c>
    </row>
    <row r="808">
      <c r="A808" s="9" t="n">
        <v>45325.58333333334</v>
      </c>
      <c r="B808" t="n">
        <v>2</v>
      </c>
      <c r="C808" t="n">
        <v>3</v>
      </c>
      <c r="D808" t="n">
        <v>14</v>
      </c>
      <c r="E808" s="10" t="n">
        <v>0.192436</v>
      </c>
      <c r="F808" s="10" t="n">
        <v>0.2808860354126485</v>
      </c>
      <c r="G808" s="11">
        <f>E808*Summary!$B$6</f>
        <v/>
      </c>
      <c r="H808" s="11">
        <f>F808*Summary!$B$7</f>
        <v/>
      </c>
      <c r="I808" s="11">
        <f>MAX(0,N808-M808)</f>
        <v/>
      </c>
      <c r="J808" s="11">
        <f>MAX(0,M808-N808)</f>
        <v/>
      </c>
      <c r="K808" s="11">
        <f>O808</f>
        <v/>
      </c>
      <c r="L808" s="11">
        <f>L807+IF(K808&gt;0,K808*Summary!$B$9,K808/Summary!$B$9)</f>
        <v/>
      </c>
      <c r="M808" s="11">
        <f>G808+H808</f>
        <v/>
      </c>
      <c r="N808" s="11">
        <f>Summary!$C$16*Summary!$B$8</f>
        <v/>
      </c>
      <c r="O808" s="11">
        <f>M808-N808</f>
        <v/>
      </c>
    </row>
    <row r="809">
      <c r="A809" s="9" t="n">
        <v>45325.625</v>
      </c>
      <c r="B809" t="n">
        <v>2</v>
      </c>
      <c r="C809" t="n">
        <v>3</v>
      </c>
      <c r="D809" t="n">
        <v>15</v>
      </c>
      <c r="E809" s="10" t="n">
        <v>0.054349</v>
      </c>
      <c r="F809" s="10" t="n">
        <v>0.2965391271693905</v>
      </c>
      <c r="G809" s="11">
        <f>E809*Summary!$B$6</f>
        <v/>
      </c>
      <c r="H809" s="11">
        <f>F809*Summary!$B$7</f>
        <v/>
      </c>
      <c r="I809" s="11">
        <f>MAX(0,N809-M809)</f>
        <v/>
      </c>
      <c r="J809" s="11">
        <f>MAX(0,M809-N809)</f>
        <v/>
      </c>
      <c r="K809" s="11">
        <f>O809</f>
        <v/>
      </c>
      <c r="L809" s="11">
        <f>L808+IF(K809&gt;0,K809*Summary!$B$9,K809/Summary!$B$9)</f>
        <v/>
      </c>
      <c r="M809" s="11">
        <f>G809+H809</f>
        <v/>
      </c>
      <c r="N809" s="11">
        <f>Summary!$C$16*Summary!$B$8</f>
        <v/>
      </c>
      <c r="O809" s="11">
        <f>M809-N809</f>
        <v/>
      </c>
    </row>
    <row r="810">
      <c r="A810" s="9" t="n">
        <v>45325.66666666666</v>
      </c>
      <c r="B810" t="n">
        <v>2</v>
      </c>
      <c r="C810" t="n">
        <v>3</v>
      </c>
      <c r="D810" t="n">
        <v>16</v>
      </c>
      <c r="E810" s="10" t="n">
        <v>0</v>
      </c>
      <c r="F810" s="10" t="n">
        <v>0.312218570932457</v>
      </c>
      <c r="G810" s="11">
        <f>E810*Summary!$B$6</f>
        <v/>
      </c>
      <c r="H810" s="11">
        <f>F810*Summary!$B$7</f>
        <v/>
      </c>
      <c r="I810" s="11">
        <f>MAX(0,N810-M810)</f>
        <v/>
      </c>
      <c r="J810" s="11">
        <f>MAX(0,M810-N810)</f>
        <v/>
      </c>
      <c r="K810" s="11">
        <f>O810</f>
        <v/>
      </c>
      <c r="L810" s="11">
        <f>L809+IF(K810&gt;0,K810*Summary!$B$9,K810/Summary!$B$9)</f>
        <v/>
      </c>
      <c r="M810" s="11">
        <f>G810+H810</f>
        <v/>
      </c>
      <c r="N810" s="11">
        <f>Summary!$C$16*Summary!$B$8</f>
        <v/>
      </c>
      <c r="O810" s="11">
        <f>M810-N810</f>
        <v/>
      </c>
    </row>
    <row r="811">
      <c r="A811" s="9" t="n">
        <v>45325.70833333334</v>
      </c>
      <c r="B811" t="n">
        <v>2</v>
      </c>
      <c r="C811" t="n">
        <v>3</v>
      </c>
      <c r="D811" t="n">
        <v>17</v>
      </c>
      <c r="E811" s="10" t="n">
        <v>0</v>
      </c>
      <c r="F811" s="10" t="n">
        <v>0.3297690071445618</v>
      </c>
      <c r="G811" s="11">
        <f>E811*Summary!$B$6</f>
        <v/>
      </c>
      <c r="H811" s="11">
        <f>F811*Summary!$B$7</f>
        <v/>
      </c>
      <c r="I811" s="11">
        <f>MAX(0,N811-M811)</f>
        <v/>
      </c>
      <c r="J811" s="11">
        <f>MAX(0,M811-N811)</f>
        <v/>
      </c>
      <c r="K811" s="11">
        <f>O811</f>
        <v/>
      </c>
      <c r="L811" s="11">
        <f>L810+IF(K811&gt;0,K811*Summary!$B$9,K811/Summary!$B$9)</f>
        <v/>
      </c>
      <c r="M811" s="11">
        <f>G811+H811</f>
        <v/>
      </c>
      <c r="N811" s="11">
        <f>Summary!$C$16*Summary!$B$8</f>
        <v/>
      </c>
      <c r="O811" s="11">
        <f>M811-N811</f>
        <v/>
      </c>
    </row>
    <row r="812">
      <c r="A812" s="9" t="n">
        <v>45325.75</v>
      </c>
      <c r="B812" t="n">
        <v>2</v>
      </c>
      <c r="C812" t="n">
        <v>3</v>
      </c>
      <c r="D812" t="n">
        <v>18</v>
      </c>
      <c r="E812" s="10" t="n">
        <v>0</v>
      </c>
      <c r="F812" s="10" t="n">
        <v>0.3430240663257759</v>
      </c>
      <c r="G812" s="11">
        <f>E812*Summary!$B$6</f>
        <v/>
      </c>
      <c r="H812" s="11">
        <f>F812*Summary!$B$7</f>
        <v/>
      </c>
      <c r="I812" s="11">
        <f>MAX(0,N812-M812)</f>
        <v/>
      </c>
      <c r="J812" s="11">
        <f>MAX(0,M812-N812)</f>
        <v/>
      </c>
      <c r="K812" s="11">
        <f>O812</f>
        <v/>
      </c>
      <c r="L812" s="11">
        <f>L811+IF(K812&gt;0,K812*Summary!$B$9,K812/Summary!$B$9)</f>
        <v/>
      </c>
      <c r="M812" s="11">
        <f>G812+H812</f>
        <v/>
      </c>
      <c r="N812" s="11">
        <f>Summary!$C$16*Summary!$B$8</f>
        <v/>
      </c>
      <c r="O812" s="11">
        <f>M812-N812</f>
        <v/>
      </c>
    </row>
    <row r="813">
      <c r="A813" s="9" t="n">
        <v>45325.79166666666</v>
      </c>
      <c r="B813" t="n">
        <v>2</v>
      </c>
      <c r="C813" t="n">
        <v>3</v>
      </c>
      <c r="D813" t="n">
        <v>19</v>
      </c>
      <c r="E813" s="10" t="n">
        <v>0</v>
      </c>
      <c r="F813" s="10" t="n">
        <v>0.3483998756159702</v>
      </c>
      <c r="G813" s="11">
        <f>E813*Summary!$B$6</f>
        <v/>
      </c>
      <c r="H813" s="11">
        <f>F813*Summary!$B$7</f>
        <v/>
      </c>
      <c r="I813" s="11">
        <f>MAX(0,N813-M813)</f>
        <v/>
      </c>
      <c r="J813" s="11">
        <f>MAX(0,M813-N813)</f>
        <v/>
      </c>
      <c r="K813" s="11">
        <f>O813</f>
        <v/>
      </c>
      <c r="L813" s="11">
        <f>L812+IF(K813&gt;0,K813*Summary!$B$9,K813/Summary!$B$9)</f>
        <v/>
      </c>
      <c r="M813" s="11">
        <f>G813+H813</f>
        <v/>
      </c>
      <c r="N813" s="11">
        <f>Summary!$C$16*Summary!$B$8</f>
        <v/>
      </c>
      <c r="O813" s="11">
        <f>M813-N813</f>
        <v/>
      </c>
    </row>
    <row r="814">
      <c r="A814" s="9" t="n">
        <v>45325.83333333334</v>
      </c>
      <c r="B814" t="n">
        <v>2</v>
      </c>
      <c r="C814" t="n">
        <v>3</v>
      </c>
      <c r="D814" t="n">
        <v>20</v>
      </c>
      <c r="E814" s="10" t="n">
        <v>0</v>
      </c>
      <c r="F814" s="10" t="n">
        <v>0.3534594608302706</v>
      </c>
      <c r="G814" s="11">
        <f>E814*Summary!$B$6</f>
        <v/>
      </c>
      <c r="H814" s="11">
        <f>F814*Summary!$B$7</f>
        <v/>
      </c>
      <c r="I814" s="11">
        <f>MAX(0,N814-M814)</f>
        <v/>
      </c>
      <c r="J814" s="11">
        <f>MAX(0,M814-N814)</f>
        <v/>
      </c>
      <c r="K814" s="11">
        <f>O814</f>
        <v/>
      </c>
      <c r="L814" s="11">
        <f>L813+IF(K814&gt;0,K814*Summary!$B$9,K814/Summary!$B$9)</f>
        <v/>
      </c>
      <c r="M814" s="11">
        <f>G814+H814</f>
        <v/>
      </c>
      <c r="N814" s="11">
        <f>Summary!$C$16*Summary!$B$8</f>
        <v/>
      </c>
      <c r="O814" s="11">
        <f>M814-N814</f>
        <v/>
      </c>
    </row>
    <row r="815">
      <c r="A815" s="9" t="n">
        <v>45325.875</v>
      </c>
      <c r="B815" t="n">
        <v>2</v>
      </c>
      <c r="C815" t="n">
        <v>3</v>
      </c>
      <c r="D815" t="n">
        <v>21</v>
      </c>
      <c r="E815" s="10" t="n">
        <v>0</v>
      </c>
      <c r="F815" s="10" t="n">
        <v>0.349980995995439</v>
      </c>
      <c r="G815" s="11">
        <f>E815*Summary!$B$6</f>
        <v/>
      </c>
      <c r="H815" s="11">
        <f>F815*Summary!$B$7</f>
        <v/>
      </c>
      <c r="I815" s="11">
        <f>MAX(0,N815-M815)</f>
        <v/>
      </c>
      <c r="J815" s="11">
        <f>MAX(0,M815-N815)</f>
        <v/>
      </c>
      <c r="K815" s="11">
        <f>O815</f>
        <v/>
      </c>
      <c r="L815" s="11">
        <f>L814+IF(K815&gt;0,K815*Summary!$B$9,K815/Summary!$B$9)</f>
        <v/>
      </c>
      <c r="M815" s="11">
        <f>G815+H815</f>
        <v/>
      </c>
      <c r="N815" s="11">
        <f>Summary!$C$16*Summary!$B$8</f>
        <v/>
      </c>
      <c r="O815" s="11">
        <f>M815-N815</f>
        <v/>
      </c>
    </row>
    <row r="816">
      <c r="A816" s="9" t="n">
        <v>45325.91666666666</v>
      </c>
      <c r="B816" t="n">
        <v>2</v>
      </c>
      <c r="C816" t="n">
        <v>3</v>
      </c>
      <c r="D816" t="n">
        <v>22</v>
      </c>
      <c r="E816" s="10" t="n">
        <v>0</v>
      </c>
      <c r="F816" s="10" t="n">
        <v>0.352273620545669</v>
      </c>
      <c r="G816" s="11">
        <f>E816*Summary!$B$6</f>
        <v/>
      </c>
      <c r="H816" s="11">
        <f>F816*Summary!$B$7</f>
        <v/>
      </c>
      <c r="I816" s="11">
        <f>MAX(0,N816-M816)</f>
        <v/>
      </c>
      <c r="J816" s="11">
        <f>MAX(0,M816-N816)</f>
        <v/>
      </c>
      <c r="K816" s="11">
        <f>O816</f>
        <v/>
      </c>
      <c r="L816" s="11">
        <f>L815+IF(K816&gt;0,K816*Summary!$B$9,K816/Summary!$B$9)</f>
        <v/>
      </c>
      <c r="M816" s="11">
        <f>G816+H816</f>
        <v/>
      </c>
      <c r="N816" s="11">
        <f>Summary!$C$16*Summary!$B$8</f>
        <v/>
      </c>
      <c r="O816" s="11">
        <f>M816-N816</f>
        <v/>
      </c>
    </row>
    <row r="817">
      <c r="A817" s="9" t="n">
        <v>45325.95833333334</v>
      </c>
      <c r="B817" t="n">
        <v>2</v>
      </c>
      <c r="C817" t="n">
        <v>3</v>
      </c>
      <c r="D817" t="n">
        <v>23</v>
      </c>
      <c r="E817" s="10" t="n">
        <v>0</v>
      </c>
      <c r="F817" s="10" t="n">
        <v>0.3590987901837096</v>
      </c>
      <c r="G817" s="11">
        <f>E817*Summary!$B$6</f>
        <v/>
      </c>
      <c r="H817" s="11">
        <f>F817*Summary!$B$7</f>
        <v/>
      </c>
      <c r="I817" s="11">
        <f>MAX(0,N817-M817)</f>
        <v/>
      </c>
      <c r="J817" s="11">
        <f>MAX(0,M817-N817)</f>
        <v/>
      </c>
      <c r="K817" s="11">
        <f>O817</f>
        <v/>
      </c>
      <c r="L817" s="11">
        <f>L816+IF(K817&gt;0,K817*Summary!$B$9,K817/Summary!$B$9)</f>
        <v/>
      </c>
      <c r="M817" s="11">
        <f>G817+H817</f>
        <v/>
      </c>
      <c r="N817" s="11">
        <f>Summary!$C$16*Summary!$B$8</f>
        <v/>
      </c>
      <c r="O817" s="11">
        <f>M817-N817</f>
        <v/>
      </c>
    </row>
    <row r="818">
      <c r="A818" s="9" t="n">
        <v>45326</v>
      </c>
      <c r="B818" t="n">
        <v>2</v>
      </c>
      <c r="C818" t="n">
        <v>4</v>
      </c>
      <c r="D818" t="n">
        <v>0</v>
      </c>
      <c r="E818" s="10" t="n">
        <v>0</v>
      </c>
      <c r="F818" s="10" t="n">
        <v>0.4276667106400106</v>
      </c>
      <c r="G818" s="11">
        <f>E818*Summary!$B$6</f>
        <v/>
      </c>
      <c r="H818" s="11">
        <f>F818*Summary!$B$7</f>
        <v/>
      </c>
      <c r="I818" s="11">
        <f>MAX(0,N818-M818)</f>
        <v/>
      </c>
      <c r="J818" s="11">
        <f>MAX(0,M818-N818)</f>
        <v/>
      </c>
      <c r="K818" s="11">
        <f>O818</f>
        <v/>
      </c>
      <c r="L818" s="11">
        <f>L817+IF(K818&gt;0,K818*Summary!$B$9,K818/Summary!$B$9)</f>
        <v/>
      </c>
      <c r="M818" s="11">
        <f>G818+H818</f>
        <v/>
      </c>
      <c r="N818" s="11">
        <f>Summary!$C$16*Summary!$B$8</f>
        <v/>
      </c>
      <c r="O818" s="11">
        <f>M818-N818</f>
        <v/>
      </c>
    </row>
    <row r="819">
      <c r="A819" s="9" t="n">
        <v>45326.04166666666</v>
      </c>
      <c r="B819" t="n">
        <v>2</v>
      </c>
      <c r="C819" t="n">
        <v>4</v>
      </c>
      <c r="D819" t="n">
        <v>1</v>
      </c>
      <c r="E819" s="10" t="n">
        <v>0</v>
      </c>
      <c r="F819" s="10" t="n">
        <v>0.3541446129947071</v>
      </c>
      <c r="G819" s="11">
        <f>E819*Summary!$B$6</f>
        <v/>
      </c>
      <c r="H819" s="11">
        <f>F819*Summary!$B$7</f>
        <v/>
      </c>
      <c r="I819" s="11">
        <f>MAX(0,N819-M819)</f>
        <v/>
      </c>
      <c r="J819" s="11">
        <f>MAX(0,M819-N819)</f>
        <v/>
      </c>
      <c r="K819" s="11">
        <f>O819</f>
        <v/>
      </c>
      <c r="L819" s="11">
        <f>L818+IF(K819&gt;0,K819*Summary!$B$9,K819/Summary!$B$9)</f>
        <v/>
      </c>
      <c r="M819" s="11">
        <f>G819+H819</f>
        <v/>
      </c>
      <c r="N819" s="11">
        <f>Summary!$C$16*Summary!$B$8</f>
        <v/>
      </c>
      <c r="O819" s="11">
        <f>M819-N819</f>
        <v/>
      </c>
    </row>
    <row r="820">
      <c r="A820" s="9" t="n">
        <v>45326.08333333334</v>
      </c>
      <c r="B820" t="n">
        <v>2</v>
      </c>
      <c r="C820" t="n">
        <v>4</v>
      </c>
      <c r="D820" t="n">
        <v>2</v>
      </c>
      <c r="E820" s="10" t="n">
        <v>0</v>
      </c>
      <c r="F820" s="10" t="n">
        <v>0.3573595577662939</v>
      </c>
      <c r="G820" s="11">
        <f>E820*Summary!$B$6</f>
        <v/>
      </c>
      <c r="H820" s="11">
        <f>F820*Summary!$B$7</f>
        <v/>
      </c>
      <c r="I820" s="11">
        <f>MAX(0,N820-M820)</f>
        <v/>
      </c>
      <c r="J820" s="11">
        <f>MAX(0,M820-N820)</f>
        <v/>
      </c>
      <c r="K820" s="11">
        <f>O820</f>
        <v/>
      </c>
      <c r="L820" s="11">
        <f>L819+IF(K820&gt;0,K820*Summary!$B$9,K820/Summary!$B$9)</f>
        <v/>
      </c>
      <c r="M820" s="11">
        <f>G820+H820</f>
        <v/>
      </c>
      <c r="N820" s="11">
        <f>Summary!$C$16*Summary!$B$8</f>
        <v/>
      </c>
      <c r="O820" s="11">
        <f>M820-N820</f>
        <v/>
      </c>
    </row>
    <row r="821">
      <c r="A821" s="9" t="n">
        <v>45326.125</v>
      </c>
      <c r="B821" t="n">
        <v>2</v>
      </c>
      <c r="C821" t="n">
        <v>4</v>
      </c>
      <c r="D821" t="n">
        <v>3</v>
      </c>
      <c r="E821" s="10" t="n">
        <v>0</v>
      </c>
      <c r="F821" s="10" t="n">
        <v>0.3576757818421876</v>
      </c>
      <c r="G821" s="11">
        <f>E821*Summary!$B$6</f>
        <v/>
      </c>
      <c r="H821" s="11">
        <f>F821*Summary!$B$7</f>
        <v/>
      </c>
      <c r="I821" s="11">
        <f>MAX(0,N821-M821)</f>
        <v/>
      </c>
      <c r="J821" s="11">
        <f>MAX(0,M821-N821)</f>
        <v/>
      </c>
      <c r="K821" s="11">
        <f>O821</f>
        <v/>
      </c>
      <c r="L821" s="11">
        <f>L820+IF(K821&gt;0,K821*Summary!$B$9,K821/Summary!$B$9)</f>
        <v/>
      </c>
      <c r="M821" s="11">
        <f>G821+H821</f>
        <v/>
      </c>
      <c r="N821" s="11">
        <f>Summary!$C$16*Summary!$B$8</f>
        <v/>
      </c>
      <c r="O821" s="11">
        <f>M821-N821</f>
        <v/>
      </c>
    </row>
    <row r="822">
      <c r="A822" s="9" t="n">
        <v>45326.16666666666</v>
      </c>
      <c r="B822" t="n">
        <v>2</v>
      </c>
      <c r="C822" t="n">
        <v>4</v>
      </c>
      <c r="D822" t="n">
        <v>4</v>
      </c>
      <c r="E822" s="10" t="n">
        <v>0</v>
      </c>
      <c r="F822" s="10" t="n">
        <v>0.3616022307845354</v>
      </c>
      <c r="G822" s="11">
        <f>E822*Summary!$B$6</f>
        <v/>
      </c>
      <c r="H822" s="11">
        <f>F822*Summary!$B$7</f>
        <v/>
      </c>
      <c r="I822" s="11">
        <f>MAX(0,N822-M822)</f>
        <v/>
      </c>
      <c r="J822" s="11">
        <f>MAX(0,M822-N822)</f>
        <v/>
      </c>
      <c r="K822" s="11">
        <f>O822</f>
        <v/>
      </c>
      <c r="L822" s="11">
        <f>L821+IF(K822&gt;0,K822*Summary!$B$9,K822/Summary!$B$9)</f>
        <v/>
      </c>
      <c r="M822" s="11">
        <f>G822+H822</f>
        <v/>
      </c>
      <c r="N822" s="11">
        <f>Summary!$C$16*Summary!$B$8</f>
        <v/>
      </c>
      <c r="O822" s="11">
        <f>M822-N822</f>
        <v/>
      </c>
    </row>
    <row r="823">
      <c r="A823" s="9" t="n">
        <v>45326.20833333334</v>
      </c>
      <c r="B823" t="n">
        <v>2</v>
      </c>
      <c r="C823" t="n">
        <v>4</v>
      </c>
      <c r="D823" t="n">
        <v>5</v>
      </c>
      <c r="E823" s="10" t="n">
        <v>0</v>
      </c>
      <c r="F823" s="10" t="n">
        <v>0.3737768577064459</v>
      </c>
      <c r="G823" s="11">
        <f>E823*Summary!$B$6</f>
        <v/>
      </c>
      <c r="H823" s="11">
        <f>F823*Summary!$B$7</f>
        <v/>
      </c>
      <c r="I823" s="11">
        <f>MAX(0,N823-M823)</f>
        <v/>
      </c>
      <c r="J823" s="11">
        <f>MAX(0,M823-N823)</f>
        <v/>
      </c>
      <c r="K823" s="11">
        <f>O823</f>
        <v/>
      </c>
      <c r="L823" s="11">
        <f>L822+IF(K823&gt;0,K823*Summary!$B$9,K823/Summary!$B$9)</f>
        <v/>
      </c>
      <c r="M823" s="11">
        <f>G823+H823</f>
        <v/>
      </c>
      <c r="N823" s="11">
        <f>Summary!$C$16*Summary!$B$8</f>
        <v/>
      </c>
      <c r="O823" s="11">
        <f>M823-N823</f>
        <v/>
      </c>
    </row>
    <row r="824">
      <c r="A824" s="9" t="n">
        <v>45326.25</v>
      </c>
      <c r="B824" t="n">
        <v>2</v>
      </c>
      <c r="C824" t="n">
        <v>4</v>
      </c>
      <c r="D824" t="n">
        <v>6</v>
      </c>
      <c r="E824" s="10" t="n">
        <v>0</v>
      </c>
      <c r="F824" s="10" t="n">
        <v>0.3583082299939752</v>
      </c>
      <c r="G824" s="11">
        <f>E824*Summary!$B$6</f>
        <v/>
      </c>
      <c r="H824" s="11">
        <f>F824*Summary!$B$7</f>
        <v/>
      </c>
      <c r="I824" s="11">
        <f>MAX(0,N824-M824)</f>
        <v/>
      </c>
      <c r="J824" s="11">
        <f>MAX(0,M824-N824)</f>
        <v/>
      </c>
      <c r="K824" s="11">
        <f>O824</f>
        <v/>
      </c>
      <c r="L824" s="11">
        <f>L823+IF(K824&gt;0,K824*Summary!$B$9,K824/Summary!$B$9)</f>
        <v/>
      </c>
      <c r="M824" s="11">
        <f>G824+H824</f>
        <v/>
      </c>
      <c r="N824" s="11">
        <f>Summary!$C$16*Summary!$B$8</f>
        <v/>
      </c>
      <c r="O824" s="11">
        <f>M824-N824</f>
        <v/>
      </c>
    </row>
    <row r="825">
      <c r="A825" s="9" t="n">
        <v>45326.29166666666</v>
      </c>
      <c r="B825" t="n">
        <v>2</v>
      </c>
      <c r="C825" t="n">
        <v>4</v>
      </c>
      <c r="D825" t="n">
        <v>7</v>
      </c>
      <c r="E825" s="10" t="n">
        <v>0</v>
      </c>
      <c r="F825" s="10" t="n">
        <v>0.35298512471643</v>
      </c>
      <c r="G825" s="11">
        <f>E825*Summary!$B$6</f>
        <v/>
      </c>
      <c r="H825" s="11">
        <f>F825*Summary!$B$7</f>
        <v/>
      </c>
      <c r="I825" s="11">
        <f>MAX(0,N825-M825)</f>
        <v/>
      </c>
      <c r="J825" s="11">
        <f>MAX(0,M825-N825)</f>
        <v/>
      </c>
      <c r="K825" s="11">
        <f>O825</f>
        <v/>
      </c>
      <c r="L825" s="11">
        <f>L824+IF(K825&gt;0,K825*Summary!$B$9,K825/Summary!$B$9)</f>
        <v/>
      </c>
      <c r="M825" s="11">
        <f>G825+H825</f>
        <v/>
      </c>
      <c r="N825" s="11">
        <f>Summary!$C$16*Summary!$B$8</f>
        <v/>
      </c>
      <c r="O825" s="11">
        <f>M825-N825</f>
        <v/>
      </c>
    </row>
    <row r="826">
      <c r="A826" s="9" t="n">
        <v>45326.33333333334</v>
      </c>
      <c r="B826" t="n">
        <v>2</v>
      </c>
      <c r="C826" t="n">
        <v>4</v>
      </c>
      <c r="D826" t="n">
        <v>8</v>
      </c>
      <c r="E826" s="10" t="n">
        <v>0</v>
      </c>
      <c r="F826" s="10" t="n">
        <v>0.3482417635780232</v>
      </c>
      <c r="G826" s="11">
        <f>E826*Summary!$B$6</f>
        <v/>
      </c>
      <c r="H826" s="11">
        <f>F826*Summary!$B$7</f>
        <v/>
      </c>
      <c r="I826" s="11">
        <f>MAX(0,N826-M826)</f>
        <v/>
      </c>
      <c r="J826" s="11">
        <f>MAX(0,M826-N826)</f>
        <v/>
      </c>
      <c r="K826" s="11">
        <f>O826</f>
        <v/>
      </c>
      <c r="L826" s="11">
        <f>L825+IF(K826&gt;0,K826*Summary!$B$9,K826/Summary!$B$9)</f>
        <v/>
      </c>
      <c r="M826" s="11">
        <f>G826+H826</f>
        <v/>
      </c>
      <c r="N826" s="11">
        <f>Summary!$C$16*Summary!$B$8</f>
        <v/>
      </c>
      <c r="O826" s="11">
        <f>M826-N826</f>
        <v/>
      </c>
    </row>
    <row r="827">
      <c r="A827" s="9" t="n">
        <v>45326.375</v>
      </c>
      <c r="B827" t="n">
        <v>2</v>
      </c>
      <c r="C827" t="n">
        <v>4</v>
      </c>
      <c r="D827" t="n">
        <v>9</v>
      </c>
      <c r="E827" s="10" t="n">
        <v>0.042002</v>
      </c>
      <c r="F827" s="10" t="n">
        <v>0.3409422578261419</v>
      </c>
      <c r="G827" s="11">
        <f>E827*Summary!$B$6</f>
        <v/>
      </c>
      <c r="H827" s="11">
        <f>F827*Summary!$B$7</f>
        <v/>
      </c>
      <c r="I827" s="11">
        <f>MAX(0,N827-M827)</f>
        <v/>
      </c>
      <c r="J827" s="11">
        <f>MAX(0,M827-N827)</f>
        <v/>
      </c>
      <c r="K827" s="11">
        <f>O827</f>
        <v/>
      </c>
      <c r="L827" s="11">
        <f>L826+IF(K827&gt;0,K827*Summary!$B$9,K827/Summary!$B$9)</f>
        <v/>
      </c>
      <c r="M827" s="11">
        <f>G827+H827</f>
        <v/>
      </c>
      <c r="N827" s="11">
        <f>Summary!$C$16*Summary!$B$8</f>
        <v/>
      </c>
      <c r="O827" s="11">
        <f>M827-N827</f>
        <v/>
      </c>
    </row>
    <row r="828">
      <c r="A828" s="9" t="n">
        <v>45326.41666666666</v>
      </c>
      <c r="B828" t="n">
        <v>2</v>
      </c>
      <c r="C828" t="n">
        <v>4</v>
      </c>
      <c r="D828" t="n">
        <v>10</v>
      </c>
      <c r="E828" s="10" t="n">
        <v>0.084415</v>
      </c>
      <c r="F828" s="10" t="n">
        <v>0.3315609435746265</v>
      </c>
      <c r="G828" s="11">
        <f>E828*Summary!$B$6</f>
        <v/>
      </c>
      <c r="H828" s="11">
        <f>F828*Summary!$B$7</f>
        <v/>
      </c>
      <c r="I828" s="11">
        <f>MAX(0,N828-M828)</f>
        <v/>
      </c>
      <c r="J828" s="11">
        <f>MAX(0,M828-N828)</f>
        <v/>
      </c>
      <c r="K828" s="11">
        <f>O828</f>
        <v/>
      </c>
      <c r="L828" s="11">
        <f>L827+IF(K828&gt;0,K828*Summary!$B$9,K828/Summary!$B$9)</f>
        <v/>
      </c>
      <c r="M828" s="11">
        <f>G828+H828</f>
        <v/>
      </c>
      <c r="N828" s="11">
        <f>Summary!$C$16*Summary!$B$8</f>
        <v/>
      </c>
      <c r="O828" s="11">
        <f>M828-N828</f>
        <v/>
      </c>
    </row>
    <row r="829">
      <c r="A829" s="9" t="n">
        <v>45326.45833333334</v>
      </c>
      <c r="B829" t="n">
        <v>2</v>
      </c>
      <c r="C829" t="n">
        <v>4</v>
      </c>
      <c r="D829" t="n">
        <v>11</v>
      </c>
      <c r="E829" s="10" t="n">
        <v>0.08214</v>
      </c>
      <c r="F829" s="10" t="n">
        <v>0.3196234847096363</v>
      </c>
      <c r="G829" s="11">
        <f>E829*Summary!$B$6</f>
        <v/>
      </c>
      <c r="H829" s="11">
        <f>F829*Summary!$B$7</f>
        <v/>
      </c>
      <c r="I829" s="11">
        <f>MAX(0,N829-M829)</f>
        <v/>
      </c>
      <c r="J829" s="11">
        <f>MAX(0,M829-N829)</f>
        <v/>
      </c>
      <c r="K829" s="11">
        <f>O829</f>
        <v/>
      </c>
      <c r="L829" s="11">
        <f>L828+IF(K829&gt;0,K829*Summary!$B$9,K829/Summary!$B$9)</f>
        <v/>
      </c>
      <c r="M829" s="11">
        <f>G829+H829</f>
        <v/>
      </c>
      <c r="N829" s="11">
        <f>Summary!$C$16*Summary!$B$8</f>
        <v/>
      </c>
      <c r="O829" s="11">
        <f>M829-N829</f>
        <v/>
      </c>
    </row>
    <row r="830">
      <c r="A830" s="9" t="n">
        <v>45326.5</v>
      </c>
      <c r="B830" t="n">
        <v>2</v>
      </c>
      <c r="C830" t="n">
        <v>4</v>
      </c>
      <c r="D830" t="n">
        <v>12</v>
      </c>
      <c r="E830" s="10" t="n">
        <v>0.06966799999999999</v>
      </c>
      <c r="F830" s="10" t="n">
        <v>0.3140105073625218</v>
      </c>
      <c r="G830" s="11">
        <f>E830*Summary!$B$6</f>
        <v/>
      </c>
      <c r="H830" s="11">
        <f>F830*Summary!$B$7</f>
        <v/>
      </c>
      <c r="I830" s="11">
        <f>MAX(0,N830-M830)</f>
        <v/>
      </c>
      <c r="J830" s="11">
        <f>MAX(0,M830-N830)</f>
        <v/>
      </c>
      <c r="K830" s="11">
        <f>O830</f>
        <v/>
      </c>
      <c r="L830" s="11">
        <f>L829+IF(K830&gt;0,K830*Summary!$B$9,K830/Summary!$B$9)</f>
        <v/>
      </c>
      <c r="M830" s="11">
        <f>G830+H830</f>
        <v/>
      </c>
      <c r="N830" s="11">
        <f>Summary!$C$16*Summary!$B$8</f>
        <v/>
      </c>
      <c r="O830" s="11">
        <f>M830-N830</f>
        <v/>
      </c>
    </row>
    <row r="831">
      <c r="A831" s="9" t="n">
        <v>45326.54166666666</v>
      </c>
      <c r="B831" t="n">
        <v>2</v>
      </c>
      <c r="C831" t="n">
        <v>4</v>
      </c>
      <c r="D831" t="n">
        <v>13</v>
      </c>
      <c r="E831" s="10" t="n">
        <v>0.0728</v>
      </c>
      <c r="F831" s="10" t="n">
        <v>0.3091353861924927</v>
      </c>
      <c r="G831" s="11">
        <f>E831*Summary!$B$6</f>
        <v/>
      </c>
      <c r="H831" s="11">
        <f>F831*Summary!$B$7</f>
        <v/>
      </c>
      <c r="I831" s="11">
        <f>MAX(0,N831-M831)</f>
        <v/>
      </c>
      <c r="J831" s="11">
        <f>MAX(0,M831-N831)</f>
        <v/>
      </c>
      <c r="K831" s="11">
        <f>O831</f>
        <v/>
      </c>
      <c r="L831" s="11">
        <f>L830+IF(K831&gt;0,K831*Summary!$B$9,K831/Summary!$B$9)</f>
        <v/>
      </c>
      <c r="M831" s="11">
        <f>G831+H831</f>
        <v/>
      </c>
      <c r="N831" s="11">
        <f>Summary!$C$16*Summary!$B$8</f>
        <v/>
      </c>
      <c r="O831" s="11">
        <f>M831-N831</f>
        <v/>
      </c>
    </row>
    <row r="832">
      <c r="A832" s="9" t="n">
        <v>45326.58333333334</v>
      </c>
      <c r="B832" t="n">
        <v>2</v>
      </c>
      <c r="C832" t="n">
        <v>4</v>
      </c>
      <c r="D832" t="n">
        <v>14</v>
      </c>
      <c r="E832" s="10" t="n">
        <v>0.035117</v>
      </c>
      <c r="F832" s="10" t="n">
        <v>0.3291629109990986</v>
      </c>
      <c r="G832" s="11">
        <f>E832*Summary!$B$6</f>
        <v/>
      </c>
      <c r="H832" s="11">
        <f>F832*Summary!$B$7</f>
        <v/>
      </c>
      <c r="I832" s="11">
        <f>MAX(0,N832-M832)</f>
        <v/>
      </c>
      <c r="J832" s="11">
        <f>MAX(0,M832-N832)</f>
        <v/>
      </c>
      <c r="K832" s="11">
        <f>O832</f>
        <v/>
      </c>
      <c r="L832" s="11">
        <f>L831+IF(K832&gt;0,K832*Summary!$B$9,K832/Summary!$B$9)</f>
        <v/>
      </c>
      <c r="M832" s="11">
        <f>G832+H832</f>
        <v/>
      </c>
      <c r="N832" s="11">
        <f>Summary!$C$16*Summary!$B$8</f>
        <v/>
      </c>
      <c r="O832" s="11">
        <f>M832-N832</f>
        <v/>
      </c>
    </row>
    <row r="833">
      <c r="A833" s="9" t="n">
        <v>45326.625</v>
      </c>
      <c r="B833" t="n">
        <v>2</v>
      </c>
      <c r="C833" t="n">
        <v>4</v>
      </c>
      <c r="D833" t="n">
        <v>15</v>
      </c>
      <c r="E833" s="10" t="n">
        <v>0.025617</v>
      </c>
      <c r="F833" s="10" t="n">
        <v>0.3156970357672886</v>
      </c>
      <c r="G833" s="11">
        <f>E833*Summary!$B$6</f>
        <v/>
      </c>
      <c r="H833" s="11">
        <f>F833*Summary!$B$7</f>
        <v/>
      </c>
      <c r="I833" s="11">
        <f>MAX(0,N833-M833)</f>
        <v/>
      </c>
      <c r="J833" s="11">
        <f>MAX(0,M833-N833)</f>
        <v/>
      </c>
      <c r="K833" s="11">
        <f>O833</f>
        <v/>
      </c>
      <c r="L833" s="11">
        <f>L832+IF(K833&gt;0,K833*Summary!$B$9,K833/Summary!$B$9)</f>
        <v/>
      </c>
      <c r="M833" s="11">
        <f>G833+H833</f>
        <v/>
      </c>
      <c r="N833" s="11">
        <f>Summary!$C$16*Summary!$B$8</f>
        <v/>
      </c>
      <c r="O833" s="11">
        <f>M833-N833</f>
        <v/>
      </c>
    </row>
    <row r="834">
      <c r="A834" s="9" t="n">
        <v>45326.66666666666</v>
      </c>
      <c r="B834" t="n">
        <v>2</v>
      </c>
      <c r="C834" t="n">
        <v>4</v>
      </c>
      <c r="D834" t="n">
        <v>16</v>
      </c>
      <c r="E834" s="10" t="n">
        <v>0</v>
      </c>
      <c r="F834" s="10" t="n">
        <v>0.3308494394038654</v>
      </c>
      <c r="G834" s="11">
        <f>E834*Summary!$B$6</f>
        <v/>
      </c>
      <c r="H834" s="11">
        <f>F834*Summary!$B$7</f>
        <v/>
      </c>
      <c r="I834" s="11">
        <f>MAX(0,N834-M834)</f>
        <v/>
      </c>
      <c r="J834" s="11">
        <f>MAX(0,M834-N834)</f>
        <v/>
      </c>
      <c r="K834" s="11">
        <f>O834</f>
        <v/>
      </c>
      <c r="L834" s="11">
        <f>L833+IF(K834&gt;0,K834*Summary!$B$9,K834/Summary!$B$9)</f>
        <v/>
      </c>
      <c r="M834" s="11">
        <f>G834+H834</f>
        <v/>
      </c>
      <c r="N834" s="11">
        <f>Summary!$C$16*Summary!$B$8</f>
        <v/>
      </c>
      <c r="O834" s="11">
        <f>M834-N834</f>
        <v/>
      </c>
    </row>
    <row r="835">
      <c r="A835" s="9" t="n">
        <v>45326.70833333334</v>
      </c>
      <c r="B835" t="n">
        <v>2</v>
      </c>
      <c r="C835" t="n">
        <v>4</v>
      </c>
      <c r="D835" t="n">
        <v>17</v>
      </c>
      <c r="E835" s="10" t="n">
        <v>0</v>
      </c>
      <c r="F835" s="10" t="n">
        <v>0.3462653631036871</v>
      </c>
      <c r="G835" s="11">
        <f>E835*Summary!$B$6</f>
        <v/>
      </c>
      <c r="H835" s="11">
        <f>F835*Summary!$B$7</f>
        <v/>
      </c>
      <c r="I835" s="11">
        <f>MAX(0,N835-M835)</f>
        <v/>
      </c>
      <c r="J835" s="11">
        <f>MAX(0,M835-N835)</f>
        <v/>
      </c>
      <c r="K835" s="11">
        <f>O835</f>
        <v/>
      </c>
      <c r="L835" s="11">
        <f>L834+IF(K835&gt;0,K835*Summary!$B$9,K835/Summary!$B$9)</f>
        <v/>
      </c>
      <c r="M835" s="11">
        <f>G835+H835</f>
        <v/>
      </c>
      <c r="N835" s="11">
        <f>Summary!$C$16*Summary!$B$8</f>
        <v/>
      </c>
      <c r="O835" s="11">
        <f>M835-N835</f>
        <v/>
      </c>
    </row>
    <row r="836">
      <c r="A836" s="9" t="n">
        <v>45326.75</v>
      </c>
      <c r="B836" t="n">
        <v>2</v>
      </c>
      <c r="C836" t="n">
        <v>4</v>
      </c>
      <c r="D836" t="n">
        <v>18</v>
      </c>
      <c r="E836" s="10" t="n">
        <v>0</v>
      </c>
      <c r="F836" s="10" t="n">
        <v>0.3666354639925113</v>
      </c>
      <c r="G836" s="11">
        <f>E836*Summary!$B$6</f>
        <v/>
      </c>
      <c r="H836" s="11">
        <f>F836*Summary!$B$7</f>
        <v/>
      </c>
      <c r="I836" s="11">
        <f>MAX(0,N836-M836)</f>
        <v/>
      </c>
      <c r="J836" s="11">
        <f>MAX(0,M836-N836)</f>
        <v/>
      </c>
      <c r="K836" s="11">
        <f>O836</f>
        <v/>
      </c>
      <c r="L836" s="11">
        <f>L835+IF(K836&gt;0,K836*Summary!$B$9,K836/Summary!$B$9)</f>
        <v/>
      </c>
      <c r="M836" s="11">
        <f>G836+H836</f>
        <v/>
      </c>
      <c r="N836" s="11">
        <f>Summary!$C$16*Summary!$B$8</f>
        <v/>
      </c>
      <c r="O836" s="11">
        <f>M836-N836</f>
        <v/>
      </c>
    </row>
    <row r="837">
      <c r="A837" s="9" t="n">
        <v>45326.79166666666</v>
      </c>
      <c r="B837" t="n">
        <v>2</v>
      </c>
      <c r="C837" t="n">
        <v>4</v>
      </c>
      <c r="D837" t="n">
        <v>19</v>
      </c>
      <c r="E837" s="10" t="n">
        <v>0</v>
      </c>
      <c r="F837" s="10" t="n">
        <v>0.3818405716417372</v>
      </c>
      <c r="G837" s="11">
        <f>E837*Summary!$B$6</f>
        <v/>
      </c>
      <c r="H837" s="11">
        <f>F837*Summary!$B$7</f>
        <v/>
      </c>
      <c r="I837" s="11">
        <f>MAX(0,N837-M837)</f>
        <v/>
      </c>
      <c r="J837" s="11">
        <f>MAX(0,M837-N837)</f>
        <v/>
      </c>
      <c r="K837" s="11">
        <f>O837</f>
        <v/>
      </c>
      <c r="L837" s="11">
        <f>L836+IF(K837&gt;0,K837*Summary!$B$9,K837/Summary!$B$9)</f>
        <v/>
      </c>
      <c r="M837" s="11">
        <f>G837+H837</f>
        <v/>
      </c>
      <c r="N837" s="11">
        <f>Summary!$C$16*Summary!$B$8</f>
        <v/>
      </c>
      <c r="O837" s="11">
        <f>M837-N837</f>
        <v/>
      </c>
    </row>
    <row r="838">
      <c r="A838" s="9" t="n">
        <v>45326.83333333334</v>
      </c>
      <c r="B838" t="n">
        <v>2</v>
      </c>
      <c r="C838" t="n">
        <v>4</v>
      </c>
      <c r="D838" t="n">
        <v>20</v>
      </c>
      <c r="E838" s="10" t="n">
        <v>0</v>
      </c>
      <c r="F838" s="10" t="n">
        <v>0.388507629241831</v>
      </c>
      <c r="G838" s="11">
        <f>E838*Summary!$B$6</f>
        <v/>
      </c>
      <c r="H838" s="11">
        <f>F838*Summary!$B$7</f>
        <v/>
      </c>
      <c r="I838" s="11">
        <f>MAX(0,N838-M838)</f>
        <v/>
      </c>
      <c r="J838" s="11">
        <f>MAX(0,M838-N838)</f>
        <v/>
      </c>
      <c r="K838" s="11">
        <f>O838</f>
        <v/>
      </c>
      <c r="L838" s="11">
        <f>L837+IF(K838&gt;0,K838*Summary!$B$9,K838/Summary!$B$9)</f>
        <v/>
      </c>
      <c r="M838" s="11">
        <f>G838+H838</f>
        <v/>
      </c>
      <c r="N838" s="11">
        <f>Summary!$C$16*Summary!$B$8</f>
        <v/>
      </c>
      <c r="O838" s="11">
        <f>M838-N838</f>
        <v/>
      </c>
    </row>
    <row r="839">
      <c r="A839" s="9" t="n">
        <v>45326.875</v>
      </c>
      <c r="B839" t="n">
        <v>2</v>
      </c>
      <c r="C839" t="n">
        <v>4</v>
      </c>
      <c r="D839" t="n">
        <v>21</v>
      </c>
      <c r="E839" s="10" t="n">
        <v>0</v>
      </c>
      <c r="F839" s="10" t="n">
        <v>0.3980734075376178</v>
      </c>
      <c r="G839" s="11">
        <f>E839*Summary!$B$6</f>
        <v/>
      </c>
      <c r="H839" s="11">
        <f>F839*Summary!$B$7</f>
        <v/>
      </c>
      <c r="I839" s="11">
        <f>MAX(0,N839-M839)</f>
        <v/>
      </c>
      <c r="J839" s="11">
        <f>MAX(0,M839-N839)</f>
        <v/>
      </c>
      <c r="K839" s="11">
        <f>O839</f>
        <v/>
      </c>
      <c r="L839" s="11">
        <f>L838+IF(K839&gt;0,K839*Summary!$B$9,K839/Summary!$B$9)</f>
        <v/>
      </c>
      <c r="M839" s="11">
        <f>G839+H839</f>
        <v/>
      </c>
      <c r="N839" s="11">
        <f>Summary!$C$16*Summary!$B$8</f>
        <v/>
      </c>
      <c r="O839" s="11">
        <f>M839-N839</f>
        <v/>
      </c>
    </row>
    <row r="840">
      <c r="A840" s="9" t="n">
        <v>45326.91666666666</v>
      </c>
      <c r="B840" t="n">
        <v>2</v>
      </c>
      <c r="C840" t="n">
        <v>4</v>
      </c>
      <c r="D840" t="n">
        <v>22</v>
      </c>
      <c r="E840" s="10" t="n">
        <v>0</v>
      </c>
      <c r="F840" s="10" t="n">
        <v>0.4060053614412867</v>
      </c>
      <c r="G840" s="11">
        <f>E840*Summary!$B$6</f>
        <v/>
      </c>
      <c r="H840" s="11">
        <f>F840*Summary!$B$7</f>
        <v/>
      </c>
      <c r="I840" s="11">
        <f>MAX(0,N840-M840)</f>
        <v/>
      </c>
      <c r="J840" s="11">
        <f>MAX(0,M840-N840)</f>
        <v/>
      </c>
      <c r="K840" s="11">
        <f>O840</f>
        <v/>
      </c>
      <c r="L840" s="11">
        <f>L839+IF(K840&gt;0,K840*Summary!$B$9,K840/Summary!$B$9)</f>
        <v/>
      </c>
      <c r="M840" s="11">
        <f>G840+H840</f>
        <v/>
      </c>
      <c r="N840" s="11">
        <f>Summary!$C$16*Summary!$B$8</f>
        <v/>
      </c>
      <c r="O840" s="11">
        <f>M840-N840</f>
        <v/>
      </c>
    </row>
    <row r="841">
      <c r="A841" s="9" t="n">
        <v>45326.95833333334</v>
      </c>
      <c r="B841" t="n">
        <v>2</v>
      </c>
      <c r="C841" t="n">
        <v>4</v>
      </c>
      <c r="D841" t="n">
        <v>23</v>
      </c>
      <c r="E841" s="10" t="n">
        <v>0</v>
      </c>
      <c r="F841" s="10" t="n">
        <v>0.4201036848248843</v>
      </c>
      <c r="G841" s="11">
        <f>E841*Summary!$B$6</f>
        <v/>
      </c>
      <c r="H841" s="11">
        <f>F841*Summary!$B$7</f>
        <v/>
      </c>
      <c r="I841" s="11">
        <f>MAX(0,N841-M841)</f>
        <v/>
      </c>
      <c r="J841" s="11">
        <f>MAX(0,M841-N841)</f>
        <v/>
      </c>
      <c r="K841" s="11">
        <f>O841</f>
        <v/>
      </c>
      <c r="L841" s="11">
        <f>L840+IF(K841&gt;0,K841*Summary!$B$9,K841/Summary!$B$9)</f>
        <v/>
      </c>
      <c r="M841" s="11">
        <f>G841+H841</f>
        <v/>
      </c>
      <c r="N841" s="11">
        <f>Summary!$C$16*Summary!$B$8</f>
        <v/>
      </c>
      <c r="O841" s="11">
        <f>M841-N841</f>
        <v/>
      </c>
    </row>
    <row r="842">
      <c r="A842" s="9" t="n">
        <v>45327</v>
      </c>
      <c r="B842" t="n">
        <v>2</v>
      </c>
      <c r="C842" t="n">
        <v>5</v>
      </c>
      <c r="D842" t="n">
        <v>0</v>
      </c>
      <c r="E842" s="10" t="n">
        <v>0</v>
      </c>
      <c r="F842" s="10" t="n">
        <v>0.3360407846497883</v>
      </c>
      <c r="G842" s="11">
        <f>E842*Summary!$B$6</f>
        <v/>
      </c>
      <c r="H842" s="11">
        <f>F842*Summary!$B$7</f>
        <v/>
      </c>
      <c r="I842" s="11">
        <f>MAX(0,N842-M842)</f>
        <v/>
      </c>
      <c r="J842" s="11">
        <f>MAX(0,M842-N842)</f>
        <v/>
      </c>
      <c r="K842" s="11">
        <f>O842</f>
        <v/>
      </c>
      <c r="L842" s="11">
        <f>L841+IF(K842&gt;0,K842*Summary!$B$9,K842/Summary!$B$9)</f>
        <v/>
      </c>
      <c r="M842" s="11">
        <f>G842+H842</f>
        <v/>
      </c>
      <c r="N842" s="11">
        <f>Summary!$C$16*Summary!$B$8</f>
        <v/>
      </c>
      <c r="O842" s="11">
        <f>M842-N842</f>
        <v/>
      </c>
    </row>
    <row r="843">
      <c r="A843" s="9" t="n">
        <v>45327.04166666666</v>
      </c>
      <c r="B843" t="n">
        <v>2</v>
      </c>
      <c r="C843" t="n">
        <v>5</v>
      </c>
      <c r="D843" t="n">
        <v>1</v>
      </c>
      <c r="E843" s="10" t="n">
        <v>0</v>
      </c>
      <c r="F843" s="10" t="n">
        <v>0.4369426168662281</v>
      </c>
      <c r="G843" s="11">
        <f>E843*Summary!$B$6</f>
        <v/>
      </c>
      <c r="H843" s="11">
        <f>F843*Summary!$B$7</f>
        <v/>
      </c>
      <c r="I843" s="11">
        <f>MAX(0,N843-M843)</f>
        <v/>
      </c>
      <c r="J843" s="11">
        <f>MAX(0,M843-N843)</f>
        <v/>
      </c>
      <c r="K843" s="11">
        <f>O843</f>
        <v/>
      </c>
      <c r="L843" s="11">
        <f>L842+IF(K843&gt;0,K843*Summary!$B$9,K843/Summary!$B$9)</f>
        <v/>
      </c>
      <c r="M843" s="11">
        <f>G843+H843</f>
        <v/>
      </c>
      <c r="N843" s="11">
        <f>Summary!$C$16*Summary!$B$8</f>
        <v/>
      </c>
      <c r="O843" s="11">
        <f>M843-N843</f>
        <v/>
      </c>
    </row>
    <row r="844">
      <c r="A844" s="9" t="n">
        <v>45327.08333333334</v>
      </c>
      <c r="B844" t="n">
        <v>2</v>
      </c>
      <c r="C844" t="n">
        <v>5</v>
      </c>
      <c r="D844" t="n">
        <v>2</v>
      </c>
      <c r="E844" s="10" t="n">
        <v>0</v>
      </c>
      <c r="F844" s="10" t="n">
        <v>0.4449272747825459</v>
      </c>
      <c r="G844" s="11">
        <f>E844*Summary!$B$6</f>
        <v/>
      </c>
      <c r="H844" s="11">
        <f>F844*Summary!$B$7</f>
        <v/>
      </c>
      <c r="I844" s="11">
        <f>MAX(0,N844-M844)</f>
        <v/>
      </c>
      <c r="J844" s="11">
        <f>MAX(0,M844-N844)</f>
        <v/>
      </c>
      <c r="K844" s="11">
        <f>O844</f>
        <v/>
      </c>
      <c r="L844" s="11">
        <f>L843+IF(K844&gt;0,K844*Summary!$B$9,K844/Summary!$B$9)</f>
        <v/>
      </c>
      <c r="M844" s="11">
        <f>G844+H844</f>
        <v/>
      </c>
      <c r="N844" s="11">
        <f>Summary!$C$16*Summary!$B$8</f>
        <v/>
      </c>
      <c r="O844" s="11">
        <f>M844-N844</f>
        <v/>
      </c>
    </row>
    <row r="845">
      <c r="A845" s="9" t="n">
        <v>45327.125</v>
      </c>
      <c r="B845" t="n">
        <v>2</v>
      </c>
      <c r="C845" t="n">
        <v>5</v>
      </c>
      <c r="D845" t="n">
        <v>3</v>
      </c>
      <c r="E845" s="10" t="n">
        <v>0</v>
      </c>
      <c r="F845" s="10" t="n">
        <v>0.4666413279939187</v>
      </c>
      <c r="G845" s="11">
        <f>E845*Summary!$B$6</f>
        <v/>
      </c>
      <c r="H845" s="11">
        <f>F845*Summary!$B$7</f>
        <v/>
      </c>
      <c r="I845" s="11">
        <f>MAX(0,N845-M845)</f>
        <v/>
      </c>
      <c r="J845" s="11">
        <f>MAX(0,M845-N845)</f>
        <v/>
      </c>
      <c r="K845" s="11">
        <f>O845</f>
        <v/>
      </c>
      <c r="L845" s="11">
        <f>L844+IF(K845&gt;0,K845*Summary!$B$9,K845/Summary!$B$9)</f>
        <v/>
      </c>
      <c r="M845" s="11">
        <f>G845+H845</f>
        <v/>
      </c>
      <c r="N845" s="11">
        <f>Summary!$C$16*Summary!$B$8</f>
        <v/>
      </c>
      <c r="O845" s="11">
        <f>M845-N845</f>
        <v/>
      </c>
    </row>
    <row r="846">
      <c r="A846" s="9" t="n">
        <v>45327.16666666666</v>
      </c>
      <c r="B846" t="n">
        <v>2</v>
      </c>
      <c r="C846" t="n">
        <v>5</v>
      </c>
      <c r="D846" t="n">
        <v>4</v>
      </c>
      <c r="E846" s="10" t="n">
        <v>0</v>
      </c>
      <c r="F846" s="10" t="n">
        <v>0.4580505739321378</v>
      </c>
      <c r="G846" s="11">
        <f>E846*Summary!$B$6</f>
        <v/>
      </c>
      <c r="H846" s="11">
        <f>F846*Summary!$B$7</f>
        <v/>
      </c>
      <c r="I846" s="11">
        <f>MAX(0,N846-M846)</f>
        <v/>
      </c>
      <c r="J846" s="11">
        <f>MAX(0,M846-N846)</f>
        <v/>
      </c>
      <c r="K846" s="11">
        <f>O846</f>
        <v/>
      </c>
      <c r="L846" s="11">
        <f>L845+IF(K846&gt;0,K846*Summary!$B$9,K846/Summary!$B$9)</f>
        <v/>
      </c>
      <c r="M846" s="11">
        <f>G846+H846</f>
        <v/>
      </c>
      <c r="N846" s="11">
        <f>Summary!$C$16*Summary!$B$8</f>
        <v/>
      </c>
      <c r="O846" s="11">
        <f>M846-N846</f>
        <v/>
      </c>
    </row>
    <row r="847">
      <c r="A847" s="9" t="n">
        <v>45327.20833333334</v>
      </c>
      <c r="B847" t="n">
        <v>2</v>
      </c>
      <c r="C847" t="n">
        <v>5</v>
      </c>
      <c r="D847" t="n">
        <v>5</v>
      </c>
      <c r="E847" s="10" t="n">
        <v>0</v>
      </c>
      <c r="F847" s="10" t="n">
        <v>0.4620297268871344</v>
      </c>
      <c r="G847" s="11">
        <f>E847*Summary!$B$6</f>
        <v/>
      </c>
      <c r="H847" s="11">
        <f>F847*Summary!$B$7</f>
        <v/>
      </c>
      <c r="I847" s="11">
        <f>MAX(0,N847-M847)</f>
        <v/>
      </c>
      <c r="J847" s="11">
        <f>MAX(0,M847-N847)</f>
        <v/>
      </c>
      <c r="K847" s="11">
        <f>O847</f>
        <v/>
      </c>
      <c r="L847" s="11">
        <f>L846+IF(K847&gt;0,K847*Summary!$B$9,K847/Summary!$B$9)</f>
        <v/>
      </c>
      <c r="M847" s="11">
        <f>G847+H847</f>
        <v/>
      </c>
      <c r="N847" s="11">
        <f>Summary!$C$16*Summary!$B$8</f>
        <v/>
      </c>
      <c r="O847" s="11">
        <f>M847-N847</f>
        <v/>
      </c>
    </row>
    <row r="848">
      <c r="A848" s="9" t="n">
        <v>45327.25</v>
      </c>
      <c r="B848" t="n">
        <v>2</v>
      </c>
      <c r="C848" t="n">
        <v>5</v>
      </c>
      <c r="D848" t="n">
        <v>6</v>
      </c>
      <c r="E848" s="10" t="n">
        <v>0</v>
      </c>
      <c r="F848" s="10" t="n">
        <v>0.4620824308997834</v>
      </c>
      <c r="G848" s="11">
        <f>E848*Summary!$B$6</f>
        <v/>
      </c>
      <c r="H848" s="11">
        <f>F848*Summary!$B$7</f>
        <v/>
      </c>
      <c r="I848" s="11">
        <f>MAX(0,N848-M848)</f>
        <v/>
      </c>
      <c r="J848" s="11">
        <f>MAX(0,M848-N848)</f>
        <v/>
      </c>
      <c r="K848" s="11">
        <f>O848</f>
        <v/>
      </c>
      <c r="L848" s="11">
        <f>L847+IF(K848&gt;0,K848*Summary!$B$9,K848/Summary!$B$9)</f>
        <v/>
      </c>
      <c r="M848" s="11">
        <f>G848+H848</f>
        <v/>
      </c>
      <c r="N848" s="11">
        <f>Summary!$C$16*Summary!$B$8</f>
        <v/>
      </c>
      <c r="O848" s="11">
        <f>M848-N848</f>
        <v/>
      </c>
    </row>
    <row r="849">
      <c r="A849" s="9" t="n">
        <v>45327.29166666666</v>
      </c>
      <c r="B849" t="n">
        <v>2</v>
      </c>
      <c r="C849" t="n">
        <v>5</v>
      </c>
      <c r="D849" t="n">
        <v>7</v>
      </c>
      <c r="E849" s="10" t="n">
        <v>0</v>
      </c>
      <c r="F849" s="10" t="n">
        <v>0.4503821400917136</v>
      </c>
      <c r="G849" s="11">
        <f>E849*Summary!$B$6</f>
        <v/>
      </c>
      <c r="H849" s="11">
        <f>F849*Summary!$B$7</f>
        <v/>
      </c>
      <c r="I849" s="11">
        <f>MAX(0,N849-M849)</f>
        <v/>
      </c>
      <c r="J849" s="11">
        <f>MAX(0,M849-N849)</f>
        <v/>
      </c>
      <c r="K849" s="11">
        <f>O849</f>
        <v/>
      </c>
      <c r="L849" s="11">
        <f>L848+IF(K849&gt;0,K849*Summary!$B$9,K849/Summary!$B$9)</f>
        <v/>
      </c>
      <c r="M849" s="11">
        <f>G849+H849</f>
        <v/>
      </c>
      <c r="N849" s="11">
        <f>Summary!$C$16*Summary!$B$8</f>
        <v/>
      </c>
      <c r="O849" s="11">
        <f>M849-N849</f>
        <v/>
      </c>
    </row>
    <row r="850">
      <c r="A850" s="9" t="n">
        <v>45327.33333333334</v>
      </c>
      <c r="B850" t="n">
        <v>2</v>
      </c>
      <c r="C850" t="n">
        <v>5</v>
      </c>
      <c r="D850" t="n">
        <v>8</v>
      </c>
      <c r="E850" s="10" t="n">
        <v>0.02274</v>
      </c>
      <c r="F850" s="10" t="n">
        <v>0.432067495696199</v>
      </c>
      <c r="G850" s="11">
        <f>E850*Summary!$B$6</f>
        <v/>
      </c>
      <c r="H850" s="11">
        <f>F850*Summary!$B$7</f>
        <v/>
      </c>
      <c r="I850" s="11">
        <f>MAX(0,N850-M850)</f>
        <v/>
      </c>
      <c r="J850" s="11">
        <f>MAX(0,M850-N850)</f>
        <v/>
      </c>
      <c r="K850" s="11">
        <f>O850</f>
        <v/>
      </c>
      <c r="L850" s="11">
        <f>L849+IF(K850&gt;0,K850*Summary!$B$9,K850/Summary!$B$9)</f>
        <v/>
      </c>
      <c r="M850" s="11">
        <f>G850+H850</f>
        <v/>
      </c>
      <c r="N850" s="11">
        <f>Summary!$C$16*Summary!$B$8</f>
        <v/>
      </c>
      <c r="O850" s="11">
        <f>M850-N850</f>
        <v/>
      </c>
    </row>
    <row r="851">
      <c r="A851" s="9" t="n">
        <v>45327.375</v>
      </c>
      <c r="B851" t="n">
        <v>2</v>
      </c>
      <c r="C851" t="n">
        <v>5</v>
      </c>
      <c r="D851" t="n">
        <v>9</v>
      </c>
      <c r="E851" s="10" t="n">
        <v>0.152088</v>
      </c>
      <c r="F851" s="10" t="n">
        <v>0.4050039852009564</v>
      </c>
      <c r="G851" s="11">
        <f>E851*Summary!$B$6</f>
        <v/>
      </c>
      <c r="H851" s="11">
        <f>F851*Summary!$B$7</f>
        <v/>
      </c>
      <c r="I851" s="11">
        <f>MAX(0,N851-M851)</f>
        <v/>
      </c>
      <c r="J851" s="11">
        <f>MAX(0,M851-N851)</f>
        <v/>
      </c>
      <c r="K851" s="11">
        <f>O851</f>
        <v/>
      </c>
      <c r="L851" s="11">
        <f>L850+IF(K851&gt;0,K851*Summary!$B$9,K851/Summary!$B$9)</f>
        <v/>
      </c>
      <c r="M851" s="11">
        <f>G851+H851</f>
        <v/>
      </c>
      <c r="N851" s="11">
        <f>Summary!$C$16*Summary!$B$8</f>
        <v/>
      </c>
      <c r="O851" s="11">
        <f>M851-N851</f>
        <v/>
      </c>
    </row>
    <row r="852">
      <c r="A852" s="9" t="n">
        <v>45327.41666666666</v>
      </c>
      <c r="B852" t="n">
        <v>2</v>
      </c>
      <c r="C852" t="n">
        <v>5</v>
      </c>
      <c r="D852" t="n">
        <v>10</v>
      </c>
      <c r="E852" s="10" t="n">
        <v>0.261159</v>
      </c>
      <c r="F852" s="10" t="n">
        <v>0.3762802983072716</v>
      </c>
      <c r="G852" s="11">
        <f>E852*Summary!$B$6</f>
        <v/>
      </c>
      <c r="H852" s="11">
        <f>F852*Summary!$B$7</f>
        <v/>
      </c>
      <c r="I852" s="11">
        <f>MAX(0,N852-M852)</f>
        <v/>
      </c>
      <c r="J852" s="11">
        <f>MAX(0,M852-N852)</f>
        <v/>
      </c>
      <c r="K852" s="11">
        <f>O852</f>
        <v/>
      </c>
      <c r="L852" s="11">
        <f>L851+IF(K852&gt;0,K852*Summary!$B$9,K852/Summary!$B$9)</f>
        <v/>
      </c>
      <c r="M852" s="11">
        <f>G852+H852</f>
        <v/>
      </c>
      <c r="N852" s="11">
        <f>Summary!$C$16*Summary!$B$8</f>
        <v/>
      </c>
      <c r="O852" s="11">
        <f>M852-N852</f>
        <v/>
      </c>
    </row>
    <row r="853">
      <c r="A853" s="9" t="n">
        <v>45327.45833333334</v>
      </c>
      <c r="B853" t="n">
        <v>2</v>
      </c>
      <c r="C853" t="n">
        <v>5</v>
      </c>
      <c r="D853" t="n">
        <v>11</v>
      </c>
      <c r="E853" s="10" t="n">
        <v>0.341298</v>
      </c>
      <c r="F853" s="10" t="n">
        <v>0.3519046924571262</v>
      </c>
      <c r="G853" s="11">
        <f>E853*Summary!$B$6</f>
        <v/>
      </c>
      <c r="H853" s="11">
        <f>F853*Summary!$B$7</f>
        <v/>
      </c>
      <c r="I853" s="11">
        <f>MAX(0,N853-M853)</f>
        <v/>
      </c>
      <c r="J853" s="11">
        <f>MAX(0,M853-N853)</f>
        <v/>
      </c>
      <c r="K853" s="11">
        <f>O853</f>
        <v/>
      </c>
      <c r="L853" s="11">
        <f>L852+IF(K853&gt;0,K853*Summary!$B$9,K853/Summary!$B$9)</f>
        <v/>
      </c>
      <c r="M853" s="11">
        <f>G853+H853</f>
        <v/>
      </c>
      <c r="N853" s="11">
        <f>Summary!$C$16*Summary!$B$8</f>
        <v/>
      </c>
      <c r="O853" s="11">
        <f>M853-N853</f>
        <v/>
      </c>
    </row>
    <row r="854">
      <c r="A854" s="9" t="n">
        <v>45327.5</v>
      </c>
      <c r="B854" t="n">
        <v>2</v>
      </c>
      <c r="C854" t="n">
        <v>5</v>
      </c>
      <c r="D854" t="n">
        <v>12</v>
      </c>
      <c r="E854" s="10" t="n">
        <v>0.363015</v>
      </c>
      <c r="F854" s="10" t="n">
        <v>0.3263432463223792</v>
      </c>
      <c r="G854" s="11">
        <f>E854*Summary!$B$6</f>
        <v/>
      </c>
      <c r="H854" s="11">
        <f>F854*Summary!$B$7</f>
        <v/>
      </c>
      <c r="I854" s="11">
        <f>MAX(0,N854-M854)</f>
        <v/>
      </c>
      <c r="J854" s="11">
        <f>MAX(0,M854-N854)</f>
        <v/>
      </c>
      <c r="K854" s="11">
        <f>O854</f>
        <v/>
      </c>
      <c r="L854" s="11">
        <f>L853+IF(K854&gt;0,K854*Summary!$B$9,K854/Summary!$B$9)</f>
        <v/>
      </c>
      <c r="M854" s="11">
        <f>G854+H854</f>
        <v/>
      </c>
      <c r="N854" s="11">
        <f>Summary!$C$16*Summary!$B$8</f>
        <v/>
      </c>
      <c r="O854" s="11">
        <f>M854-N854</f>
        <v/>
      </c>
    </row>
    <row r="855">
      <c r="A855" s="9" t="n">
        <v>45327.54166666666</v>
      </c>
      <c r="B855" t="n">
        <v>2</v>
      </c>
      <c r="C855" t="n">
        <v>5</v>
      </c>
      <c r="D855" t="n">
        <v>13</v>
      </c>
      <c r="E855" s="10" t="n">
        <v>0.267064</v>
      </c>
      <c r="F855" s="10" t="n">
        <v>0.3268175824362198</v>
      </c>
      <c r="G855" s="11">
        <f>E855*Summary!$B$6</f>
        <v/>
      </c>
      <c r="H855" s="11">
        <f>F855*Summary!$B$7</f>
        <v/>
      </c>
      <c r="I855" s="11">
        <f>MAX(0,N855-M855)</f>
        <v/>
      </c>
      <c r="J855" s="11">
        <f>MAX(0,M855-N855)</f>
        <v/>
      </c>
      <c r="K855" s="11">
        <f>O855</f>
        <v/>
      </c>
      <c r="L855" s="11">
        <f>L854+IF(K855&gt;0,K855*Summary!$B$9,K855/Summary!$B$9)</f>
        <v/>
      </c>
      <c r="M855" s="11">
        <f>G855+H855</f>
        <v/>
      </c>
      <c r="N855" s="11">
        <f>Summary!$C$16*Summary!$B$8</f>
        <v/>
      </c>
      <c r="O855" s="11">
        <f>M855-N855</f>
        <v/>
      </c>
    </row>
    <row r="856">
      <c r="A856" s="9" t="n">
        <v>45327.58333333334</v>
      </c>
      <c r="B856" t="n">
        <v>2</v>
      </c>
      <c r="C856" t="n">
        <v>5</v>
      </c>
      <c r="D856" t="n">
        <v>14</v>
      </c>
      <c r="E856" s="10" t="n">
        <v>0.07274700000000001</v>
      </c>
      <c r="F856" s="10" t="n">
        <v>0.3110063786415309</v>
      </c>
      <c r="G856" s="11">
        <f>E856*Summary!$B$6</f>
        <v/>
      </c>
      <c r="H856" s="11">
        <f>F856*Summary!$B$7</f>
        <v/>
      </c>
      <c r="I856" s="11">
        <f>MAX(0,N856-M856)</f>
        <v/>
      </c>
      <c r="J856" s="11">
        <f>MAX(0,M856-N856)</f>
        <v/>
      </c>
      <c r="K856" s="11">
        <f>O856</f>
        <v/>
      </c>
      <c r="L856" s="11">
        <f>L855+IF(K856&gt;0,K856*Summary!$B$9,K856/Summary!$B$9)</f>
        <v/>
      </c>
      <c r="M856" s="11">
        <f>G856+H856</f>
        <v/>
      </c>
      <c r="N856" s="11">
        <f>Summary!$C$16*Summary!$B$8</f>
        <v/>
      </c>
      <c r="O856" s="11">
        <f>M856-N856</f>
        <v/>
      </c>
    </row>
    <row r="857">
      <c r="A857" s="9" t="n">
        <v>45327.625</v>
      </c>
      <c r="B857" t="n">
        <v>2</v>
      </c>
      <c r="C857" t="n">
        <v>5</v>
      </c>
      <c r="D857" t="n">
        <v>15</v>
      </c>
      <c r="E857" s="10" t="n">
        <v>0.029647</v>
      </c>
      <c r="F857" s="10" t="n">
        <v>0.3184376444250346</v>
      </c>
      <c r="G857" s="11">
        <f>E857*Summary!$B$6</f>
        <v/>
      </c>
      <c r="H857" s="11">
        <f>F857*Summary!$B$7</f>
        <v/>
      </c>
      <c r="I857" s="11">
        <f>MAX(0,N857-M857)</f>
        <v/>
      </c>
      <c r="J857" s="11">
        <f>MAX(0,M857-N857)</f>
        <v/>
      </c>
      <c r="K857" s="11">
        <f>O857</f>
        <v/>
      </c>
      <c r="L857" s="11">
        <f>L856+IF(K857&gt;0,K857*Summary!$B$9,K857/Summary!$B$9)</f>
        <v/>
      </c>
      <c r="M857" s="11">
        <f>G857+H857</f>
        <v/>
      </c>
      <c r="N857" s="11">
        <f>Summary!$C$16*Summary!$B$8</f>
        <v/>
      </c>
      <c r="O857" s="11">
        <f>M857-N857</f>
        <v/>
      </c>
    </row>
    <row r="858">
      <c r="A858" s="9" t="n">
        <v>45327.66666666666</v>
      </c>
      <c r="B858" t="n">
        <v>2</v>
      </c>
      <c r="C858" t="n">
        <v>5</v>
      </c>
      <c r="D858" t="n">
        <v>16</v>
      </c>
      <c r="E858" s="10" t="n">
        <v>0</v>
      </c>
      <c r="F858" s="10" t="n">
        <v>0.3339589761501543</v>
      </c>
      <c r="G858" s="11">
        <f>E858*Summary!$B$6</f>
        <v/>
      </c>
      <c r="H858" s="11">
        <f>F858*Summary!$B$7</f>
        <v/>
      </c>
      <c r="I858" s="11">
        <f>MAX(0,N858-M858)</f>
        <v/>
      </c>
      <c r="J858" s="11">
        <f>MAX(0,M858-N858)</f>
        <v/>
      </c>
      <c r="K858" s="11">
        <f>O858</f>
        <v/>
      </c>
      <c r="L858" s="11">
        <f>L857+IF(K858&gt;0,K858*Summary!$B$9,K858/Summary!$B$9)</f>
        <v/>
      </c>
      <c r="M858" s="11">
        <f>G858+H858</f>
        <v/>
      </c>
      <c r="N858" s="11">
        <f>Summary!$C$16*Summary!$B$8</f>
        <v/>
      </c>
      <c r="O858" s="11">
        <f>M858-N858</f>
        <v/>
      </c>
    </row>
    <row r="859">
      <c r="A859" s="9" t="n">
        <v>45327.70833333334</v>
      </c>
      <c r="B859" t="n">
        <v>2</v>
      </c>
      <c r="C859" t="n">
        <v>5</v>
      </c>
      <c r="D859" t="n">
        <v>17</v>
      </c>
      <c r="E859" s="10" t="n">
        <v>0</v>
      </c>
      <c r="F859" s="10" t="n">
        <v>0.344394370654649</v>
      </c>
      <c r="G859" s="11">
        <f>E859*Summary!$B$6</f>
        <v/>
      </c>
      <c r="H859" s="11">
        <f>F859*Summary!$B$7</f>
        <v/>
      </c>
      <c r="I859" s="11">
        <f>MAX(0,N859-M859)</f>
        <v/>
      </c>
      <c r="J859" s="11">
        <f>MAX(0,M859-N859)</f>
        <v/>
      </c>
      <c r="K859" s="11">
        <f>O859</f>
        <v/>
      </c>
      <c r="L859" s="11">
        <f>L858+IF(K859&gt;0,K859*Summary!$B$9,K859/Summary!$B$9)</f>
        <v/>
      </c>
      <c r="M859" s="11">
        <f>G859+H859</f>
        <v/>
      </c>
      <c r="N859" s="11">
        <f>Summary!$C$16*Summary!$B$8</f>
        <v/>
      </c>
      <c r="O859" s="11">
        <f>M859-N859</f>
        <v/>
      </c>
    </row>
    <row r="860">
      <c r="A860" s="9" t="n">
        <v>45327.75</v>
      </c>
      <c r="B860" t="n">
        <v>2</v>
      </c>
      <c r="C860" t="n">
        <v>5</v>
      </c>
      <c r="D860" t="n">
        <v>18</v>
      </c>
      <c r="E860" s="10" t="n">
        <v>0</v>
      </c>
      <c r="F860" s="10" t="n">
        <v>0.3554622133109312</v>
      </c>
      <c r="G860" s="11">
        <f>E860*Summary!$B$6</f>
        <v/>
      </c>
      <c r="H860" s="11">
        <f>F860*Summary!$B$7</f>
        <v/>
      </c>
      <c r="I860" s="11">
        <f>MAX(0,N860-M860)</f>
        <v/>
      </c>
      <c r="J860" s="11">
        <f>MAX(0,M860-N860)</f>
        <v/>
      </c>
      <c r="K860" s="11">
        <f>O860</f>
        <v/>
      </c>
      <c r="L860" s="11">
        <f>L859+IF(K860&gt;0,K860*Summary!$B$9,K860/Summary!$B$9)</f>
        <v/>
      </c>
      <c r="M860" s="11">
        <f>G860+H860</f>
        <v/>
      </c>
      <c r="N860" s="11">
        <f>Summary!$C$16*Summary!$B$8</f>
        <v/>
      </c>
      <c r="O860" s="11">
        <f>M860-N860</f>
        <v/>
      </c>
    </row>
    <row r="861">
      <c r="A861" s="9" t="n">
        <v>45327.79166666666</v>
      </c>
      <c r="B861" t="n">
        <v>2</v>
      </c>
      <c r="C861" t="n">
        <v>5</v>
      </c>
      <c r="D861" t="n">
        <v>19</v>
      </c>
      <c r="E861" s="10" t="n">
        <v>0</v>
      </c>
      <c r="F861" s="10" t="n">
        <v>0.3634732232335736</v>
      </c>
      <c r="G861" s="11">
        <f>E861*Summary!$B$6</f>
        <v/>
      </c>
      <c r="H861" s="11">
        <f>F861*Summary!$B$7</f>
        <v/>
      </c>
      <c r="I861" s="11">
        <f>MAX(0,N861-M861)</f>
        <v/>
      </c>
      <c r="J861" s="11">
        <f>MAX(0,M861-N861)</f>
        <v/>
      </c>
      <c r="K861" s="11">
        <f>O861</f>
        <v/>
      </c>
      <c r="L861" s="11">
        <f>L860+IF(K861&gt;0,K861*Summary!$B$9,K861/Summary!$B$9)</f>
        <v/>
      </c>
      <c r="M861" s="11">
        <f>G861+H861</f>
        <v/>
      </c>
      <c r="N861" s="11">
        <f>Summary!$C$16*Summary!$B$8</f>
        <v/>
      </c>
      <c r="O861" s="11">
        <f>M861-N861</f>
        <v/>
      </c>
    </row>
    <row r="862">
      <c r="A862" s="9" t="n">
        <v>45327.83333333334</v>
      </c>
      <c r="B862" t="n">
        <v>2</v>
      </c>
      <c r="C862" t="n">
        <v>5</v>
      </c>
      <c r="D862" t="n">
        <v>20</v>
      </c>
      <c r="E862" s="10" t="n">
        <v>0</v>
      </c>
      <c r="F862" s="10" t="n">
        <v>0.3619184548604292</v>
      </c>
      <c r="G862" s="11">
        <f>E862*Summary!$B$6</f>
        <v/>
      </c>
      <c r="H862" s="11">
        <f>F862*Summary!$B$7</f>
        <v/>
      </c>
      <c r="I862" s="11">
        <f>MAX(0,N862-M862)</f>
        <v/>
      </c>
      <c r="J862" s="11">
        <f>MAX(0,M862-N862)</f>
        <v/>
      </c>
      <c r="K862" s="11">
        <f>O862</f>
        <v/>
      </c>
      <c r="L862" s="11">
        <f>L861+IF(K862&gt;0,K862*Summary!$B$9,K862/Summary!$B$9)</f>
        <v/>
      </c>
      <c r="M862" s="11">
        <f>G862+H862</f>
        <v/>
      </c>
      <c r="N862" s="11">
        <f>Summary!$C$16*Summary!$B$8</f>
        <v/>
      </c>
      <c r="O862" s="11">
        <f>M862-N862</f>
        <v/>
      </c>
    </row>
    <row r="863">
      <c r="A863" s="9" t="n">
        <v>45327.875</v>
      </c>
      <c r="B863" t="n">
        <v>2</v>
      </c>
      <c r="C863" t="n">
        <v>5</v>
      </c>
      <c r="D863" t="n">
        <v>21</v>
      </c>
      <c r="E863" s="10" t="n">
        <v>0</v>
      </c>
      <c r="F863" s="10" t="n">
        <v>0.3540128529630847</v>
      </c>
      <c r="G863" s="11">
        <f>E863*Summary!$B$6</f>
        <v/>
      </c>
      <c r="H863" s="11">
        <f>F863*Summary!$B$7</f>
        <v/>
      </c>
      <c r="I863" s="11">
        <f>MAX(0,N863-M863)</f>
        <v/>
      </c>
      <c r="J863" s="11">
        <f>MAX(0,M863-N863)</f>
        <v/>
      </c>
      <c r="K863" s="11">
        <f>O863</f>
        <v/>
      </c>
      <c r="L863" s="11">
        <f>L862+IF(K863&gt;0,K863*Summary!$B$9,K863/Summary!$B$9)</f>
        <v/>
      </c>
      <c r="M863" s="11">
        <f>G863+H863</f>
        <v/>
      </c>
      <c r="N863" s="11">
        <f>Summary!$C$16*Summary!$B$8</f>
        <v/>
      </c>
      <c r="O863" s="11">
        <f>M863-N863</f>
        <v/>
      </c>
    </row>
    <row r="864">
      <c r="A864" s="9" t="n">
        <v>45327.91666666666</v>
      </c>
      <c r="B864" t="n">
        <v>2</v>
      </c>
      <c r="C864" t="n">
        <v>5</v>
      </c>
      <c r="D864" t="n">
        <v>22</v>
      </c>
      <c r="E864" s="10" t="n">
        <v>0</v>
      </c>
      <c r="F864" s="10" t="n">
        <v>0.3488215077171619</v>
      </c>
      <c r="G864" s="11">
        <f>E864*Summary!$B$6</f>
        <v/>
      </c>
      <c r="H864" s="11">
        <f>F864*Summary!$B$7</f>
        <v/>
      </c>
      <c r="I864" s="11">
        <f>MAX(0,N864-M864)</f>
        <v/>
      </c>
      <c r="J864" s="11">
        <f>MAX(0,M864-N864)</f>
        <v/>
      </c>
      <c r="K864" s="11">
        <f>O864</f>
        <v/>
      </c>
      <c r="L864" s="11">
        <f>L863+IF(K864&gt;0,K864*Summary!$B$9,K864/Summary!$B$9)</f>
        <v/>
      </c>
      <c r="M864" s="11">
        <f>G864+H864</f>
        <v/>
      </c>
      <c r="N864" s="11">
        <f>Summary!$C$16*Summary!$B$8</f>
        <v/>
      </c>
      <c r="O864" s="11">
        <f>M864-N864</f>
        <v/>
      </c>
    </row>
    <row r="865">
      <c r="A865" s="9" t="n">
        <v>45327.95833333334</v>
      </c>
      <c r="B865" t="n">
        <v>2</v>
      </c>
      <c r="C865" t="n">
        <v>5</v>
      </c>
      <c r="D865" t="n">
        <v>23</v>
      </c>
      <c r="E865" s="10" t="n">
        <v>0</v>
      </c>
      <c r="F865" s="10" t="n">
        <v>0.3433402904016697</v>
      </c>
      <c r="G865" s="11">
        <f>E865*Summary!$B$6</f>
        <v/>
      </c>
      <c r="H865" s="11">
        <f>F865*Summary!$B$7</f>
        <v/>
      </c>
      <c r="I865" s="11">
        <f>MAX(0,N865-M865)</f>
        <v/>
      </c>
      <c r="J865" s="11">
        <f>MAX(0,M865-N865)</f>
        <v/>
      </c>
      <c r="K865" s="11">
        <f>O865</f>
        <v/>
      </c>
      <c r="L865" s="11">
        <f>L864+IF(K865&gt;0,K865*Summary!$B$9,K865/Summary!$B$9)</f>
        <v/>
      </c>
      <c r="M865" s="11">
        <f>G865+H865</f>
        <v/>
      </c>
      <c r="N865" s="11">
        <f>Summary!$C$16*Summary!$B$8</f>
        <v/>
      </c>
      <c r="O865" s="11">
        <f>M865-N865</f>
        <v/>
      </c>
    </row>
    <row r="866">
      <c r="A866" s="9" t="n">
        <v>45328</v>
      </c>
      <c r="B866" t="n">
        <v>2</v>
      </c>
      <c r="C866" t="n">
        <v>6</v>
      </c>
      <c r="D866" t="n">
        <v>0</v>
      </c>
      <c r="E866" s="10" t="n">
        <v>0</v>
      </c>
      <c r="F866" s="10" t="n">
        <v>0.3020466964912071</v>
      </c>
      <c r="G866" s="11">
        <f>E866*Summary!$B$6</f>
        <v/>
      </c>
      <c r="H866" s="11">
        <f>F866*Summary!$B$7</f>
        <v/>
      </c>
      <c r="I866" s="11">
        <f>MAX(0,N866-M866)</f>
        <v/>
      </c>
      <c r="J866" s="11">
        <f>MAX(0,M866-N866)</f>
        <v/>
      </c>
      <c r="K866" s="11">
        <f>O866</f>
        <v/>
      </c>
      <c r="L866" s="11">
        <f>L865+IF(K866&gt;0,K866*Summary!$B$9,K866/Summary!$B$9)</f>
        <v/>
      </c>
      <c r="M866" s="11">
        <f>G866+H866</f>
        <v/>
      </c>
      <c r="N866" s="11">
        <f>Summary!$C$16*Summary!$B$8</f>
        <v/>
      </c>
      <c r="O866" s="11">
        <f>M866-N866</f>
        <v/>
      </c>
    </row>
    <row r="867">
      <c r="A867" s="9" t="n">
        <v>45328.04166666666</v>
      </c>
      <c r="B867" t="n">
        <v>2</v>
      </c>
      <c r="C867" t="n">
        <v>6</v>
      </c>
      <c r="D867" t="n">
        <v>1</v>
      </c>
      <c r="E867" s="10" t="n">
        <v>0</v>
      </c>
      <c r="F867" s="10" t="n">
        <v>0.3274236785816829</v>
      </c>
      <c r="G867" s="11">
        <f>E867*Summary!$B$6</f>
        <v/>
      </c>
      <c r="H867" s="11">
        <f>F867*Summary!$B$7</f>
        <v/>
      </c>
      <c r="I867" s="11">
        <f>MAX(0,N867-M867)</f>
        <v/>
      </c>
      <c r="J867" s="11">
        <f>MAX(0,M867-N867)</f>
        <v/>
      </c>
      <c r="K867" s="11">
        <f>O867</f>
        <v/>
      </c>
      <c r="L867" s="11">
        <f>L866+IF(K867&gt;0,K867*Summary!$B$9,K867/Summary!$B$9)</f>
        <v/>
      </c>
      <c r="M867" s="11">
        <f>G867+H867</f>
        <v/>
      </c>
      <c r="N867" s="11">
        <f>Summary!$C$16*Summary!$B$8</f>
        <v/>
      </c>
      <c r="O867" s="11">
        <f>M867-N867</f>
        <v/>
      </c>
    </row>
    <row r="868">
      <c r="A868" s="9" t="n">
        <v>45328.08333333334</v>
      </c>
      <c r="B868" t="n">
        <v>2</v>
      </c>
      <c r="C868" t="n">
        <v>6</v>
      </c>
      <c r="D868" t="n">
        <v>2</v>
      </c>
      <c r="E868" s="10" t="n">
        <v>0</v>
      </c>
      <c r="F868" s="10" t="n">
        <v>0.3205721569373177</v>
      </c>
      <c r="G868" s="11">
        <f>E868*Summary!$B$6</f>
        <v/>
      </c>
      <c r="H868" s="11">
        <f>F868*Summary!$B$7</f>
        <v/>
      </c>
      <c r="I868" s="11">
        <f>MAX(0,N868-M868)</f>
        <v/>
      </c>
      <c r="J868" s="11">
        <f>MAX(0,M868-N868)</f>
        <v/>
      </c>
      <c r="K868" s="11">
        <f>O868</f>
        <v/>
      </c>
      <c r="L868" s="11">
        <f>L867+IF(K868&gt;0,K868*Summary!$B$9,K868/Summary!$B$9)</f>
        <v/>
      </c>
      <c r="M868" s="11">
        <f>G868+H868</f>
        <v/>
      </c>
      <c r="N868" s="11">
        <f>Summary!$C$16*Summary!$B$8</f>
        <v/>
      </c>
      <c r="O868" s="11">
        <f>M868-N868</f>
        <v/>
      </c>
    </row>
    <row r="869">
      <c r="A869" s="9" t="n">
        <v>45328.125</v>
      </c>
      <c r="B869" t="n">
        <v>2</v>
      </c>
      <c r="C869" t="n">
        <v>6</v>
      </c>
      <c r="D869" t="n">
        <v>3</v>
      </c>
      <c r="E869" s="10" t="n">
        <v>0</v>
      </c>
      <c r="F869" s="10" t="n">
        <v>0.314405787457389</v>
      </c>
      <c r="G869" s="11">
        <f>E869*Summary!$B$6</f>
        <v/>
      </c>
      <c r="H869" s="11">
        <f>F869*Summary!$B$7</f>
        <v/>
      </c>
      <c r="I869" s="11">
        <f>MAX(0,N869-M869)</f>
        <v/>
      </c>
      <c r="J869" s="11">
        <f>MAX(0,M869-N869)</f>
        <v/>
      </c>
      <c r="K869" s="11">
        <f>O869</f>
        <v/>
      </c>
      <c r="L869" s="11">
        <f>L868+IF(K869&gt;0,K869*Summary!$B$9,K869/Summary!$B$9)</f>
        <v/>
      </c>
      <c r="M869" s="11">
        <f>G869+H869</f>
        <v/>
      </c>
      <c r="N869" s="11">
        <f>Summary!$C$16*Summary!$B$8</f>
        <v/>
      </c>
      <c r="O869" s="11">
        <f>M869-N869</f>
        <v/>
      </c>
    </row>
    <row r="870">
      <c r="A870" s="9" t="n">
        <v>45328.16666666666</v>
      </c>
      <c r="B870" t="n">
        <v>2</v>
      </c>
      <c r="C870" t="n">
        <v>6</v>
      </c>
      <c r="D870" t="n">
        <v>4</v>
      </c>
      <c r="E870" s="10" t="n">
        <v>0</v>
      </c>
      <c r="F870" s="10" t="n">
        <v>0.3067110016106404</v>
      </c>
      <c r="G870" s="11">
        <f>E870*Summary!$B$6</f>
        <v/>
      </c>
      <c r="H870" s="11">
        <f>F870*Summary!$B$7</f>
        <v/>
      </c>
      <c r="I870" s="11">
        <f>MAX(0,N870-M870)</f>
        <v/>
      </c>
      <c r="J870" s="11">
        <f>MAX(0,M870-N870)</f>
        <v/>
      </c>
      <c r="K870" s="11">
        <f>O870</f>
        <v/>
      </c>
      <c r="L870" s="11">
        <f>L869+IF(K870&gt;0,K870*Summary!$B$9,K870/Summary!$B$9)</f>
        <v/>
      </c>
      <c r="M870" s="11">
        <f>G870+H870</f>
        <v/>
      </c>
      <c r="N870" s="11">
        <f>Summary!$C$16*Summary!$B$8</f>
        <v/>
      </c>
      <c r="O870" s="11">
        <f>M870-N870</f>
        <v/>
      </c>
    </row>
    <row r="871">
      <c r="A871" s="9" t="n">
        <v>45328.20833333334</v>
      </c>
      <c r="B871" t="n">
        <v>2</v>
      </c>
      <c r="C871" t="n">
        <v>6</v>
      </c>
      <c r="D871" t="n">
        <v>5</v>
      </c>
      <c r="E871" s="10" t="n">
        <v>0</v>
      </c>
      <c r="F871" s="10" t="n">
        <v>0.3020466964912071</v>
      </c>
      <c r="G871" s="11">
        <f>E871*Summary!$B$6</f>
        <v/>
      </c>
      <c r="H871" s="11">
        <f>F871*Summary!$B$7</f>
        <v/>
      </c>
      <c r="I871" s="11">
        <f>MAX(0,N871-M871)</f>
        <v/>
      </c>
      <c r="J871" s="11">
        <f>MAX(0,M871-N871)</f>
        <v/>
      </c>
      <c r="K871" s="11">
        <f>O871</f>
        <v/>
      </c>
      <c r="L871" s="11">
        <f>L870+IF(K871&gt;0,K871*Summary!$B$9,K871/Summary!$B$9)</f>
        <v/>
      </c>
      <c r="M871" s="11">
        <f>G871+H871</f>
        <v/>
      </c>
      <c r="N871" s="11">
        <f>Summary!$C$16*Summary!$B$8</f>
        <v/>
      </c>
      <c r="O871" s="11">
        <f>M871-N871</f>
        <v/>
      </c>
    </row>
    <row r="872">
      <c r="A872" s="9" t="n">
        <v>45328.25</v>
      </c>
      <c r="B872" t="n">
        <v>2</v>
      </c>
      <c r="C872" t="n">
        <v>6</v>
      </c>
      <c r="D872" t="n">
        <v>6</v>
      </c>
      <c r="E872" s="10" t="n">
        <v>0</v>
      </c>
      <c r="F872" s="10" t="n">
        <v>0.2944573186697565</v>
      </c>
      <c r="G872" s="11">
        <f>E872*Summary!$B$6</f>
        <v/>
      </c>
      <c r="H872" s="11">
        <f>F872*Summary!$B$7</f>
        <v/>
      </c>
      <c r="I872" s="11">
        <f>MAX(0,N872-M872)</f>
        <v/>
      </c>
      <c r="J872" s="11">
        <f>MAX(0,M872-N872)</f>
        <v/>
      </c>
      <c r="K872" s="11">
        <f>O872</f>
        <v/>
      </c>
      <c r="L872" s="11">
        <f>L871+IF(K872&gt;0,K872*Summary!$B$9,K872/Summary!$B$9)</f>
        <v/>
      </c>
      <c r="M872" s="11">
        <f>G872+H872</f>
        <v/>
      </c>
      <c r="N872" s="11">
        <f>Summary!$C$16*Summary!$B$8</f>
        <v/>
      </c>
      <c r="O872" s="11">
        <f>M872-N872</f>
        <v/>
      </c>
    </row>
    <row r="873">
      <c r="A873" s="9" t="n">
        <v>45328.29166666666</v>
      </c>
      <c r="B873" t="n">
        <v>2</v>
      </c>
      <c r="C873" t="n">
        <v>6</v>
      </c>
      <c r="D873" t="n">
        <v>7</v>
      </c>
      <c r="E873" s="10" t="n">
        <v>0</v>
      </c>
      <c r="F873" s="10" t="n">
        <v>0.2860773806585714</v>
      </c>
      <c r="G873" s="11">
        <f>E873*Summary!$B$6</f>
        <v/>
      </c>
      <c r="H873" s="11">
        <f>F873*Summary!$B$7</f>
        <v/>
      </c>
      <c r="I873" s="11">
        <f>MAX(0,N873-M873)</f>
        <v/>
      </c>
      <c r="J873" s="11">
        <f>MAX(0,M873-N873)</f>
        <v/>
      </c>
      <c r="K873" s="11">
        <f>O873</f>
        <v/>
      </c>
      <c r="L873" s="11">
        <f>L872+IF(K873&gt;0,K873*Summary!$B$9,K873/Summary!$B$9)</f>
        <v/>
      </c>
      <c r="M873" s="11">
        <f>G873+H873</f>
        <v/>
      </c>
      <c r="N873" s="11">
        <f>Summary!$C$16*Summary!$B$8</f>
        <v/>
      </c>
      <c r="O873" s="11">
        <f>M873-N873</f>
        <v/>
      </c>
    </row>
    <row r="874">
      <c r="A874" s="9" t="n">
        <v>45328.33333333334</v>
      </c>
      <c r="B874" t="n">
        <v>2</v>
      </c>
      <c r="C874" t="n">
        <v>6</v>
      </c>
      <c r="D874" t="n">
        <v>8</v>
      </c>
      <c r="E874" s="10" t="n">
        <v>0.020987</v>
      </c>
      <c r="F874" s="10" t="n">
        <v>0.2796738431217223</v>
      </c>
      <c r="G874" s="11">
        <f>E874*Summary!$B$6</f>
        <v/>
      </c>
      <c r="H874" s="11">
        <f>F874*Summary!$B$7</f>
        <v/>
      </c>
      <c r="I874" s="11">
        <f>MAX(0,N874-M874)</f>
        <v/>
      </c>
      <c r="J874" s="11">
        <f>MAX(0,M874-N874)</f>
        <v/>
      </c>
      <c r="K874" s="11">
        <f>O874</f>
        <v/>
      </c>
      <c r="L874" s="11">
        <f>L873+IF(K874&gt;0,K874*Summary!$B$9,K874/Summary!$B$9)</f>
        <v/>
      </c>
      <c r="M874" s="11">
        <f>G874+H874</f>
        <v/>
      </c>
      <c r="N874" s="11">
        <f>Summary!$C$16*Summary!$B$8</f>
        <v/>
      </c>
      <c r="O874" s="11">
        <f>M874-N874</f>
        <v/>
      </c>
    </row>
    <row r="875">
      <c r="A875" s="9" t="n">
        <v>45328.375</v>
      </c>
      <c r="B875" t="n">
        <v>2</v>
      </c>
      <c r="C875" t="n">
        <v>6</v>
      </c>
      <c r="D875" t="n">
        <v>9</v>
      </c>
      <c r="E875" s="10" t="n">
        <v>0.143782</v>
      </c>
      <c r="F875" s="10" t="n">
        <v>0.271557425173782</v>
      </c>
      <c r="G875" s="11">
        <f>E875*Summary!$B$6</f>
        <v/>
      </c>
      <c r="H875" s="11">
        <f>F875*Summary!$B$7</f>
        <v/>
      </c>
      <c r="I875" s="11">
        <f>MAX(0,N875-M875)</f>
        <v/>
      </c>
      <c r="J875" s="11">
        <f>MAX(0,M875-N875)</f>
        <v/>
      </c>
      <c r="K875" s="11">
        <f>O875</f>
        <v/>
      </c>
      <c r="L875" s="11">
        <f>L874+IF(K875&gt;0,K875*Summary!$B$9,K875/Summary!$B$9)</f>
        <v/>
      </c>
      <c r="M875" s="11">
        <f>G875+H875</f>
        <v/>
      </c>
      <c r="N875" s="11">
        <f>Summary!$C$16*Summary!$B$8</f>
        <v/>
      </c>
      <c r="O875" s="11">
        <f>M875-N875</f>
        <v/>
      </c>
    </row>
    <row r="876">
      <c r="A876" s="9" t="n">
        <v>45328.41666666666</v>
      </c>
      <c r="B876" t="n">
        <v>2</v>
      </c>
      <c r="C876" t="n">
        <v>6</v>
      </c>
      <c r="D876" t="n">
        <v>10</v>
      </c>
      <c r="E876" s="10" t="n">
        <v>0.254524</v>
      </c>
      <c r="F876" s="10" t="n">
        <v>0.2589084621380309</v>
      </c>
      <c r="G876" s="11">
        <f>E876*Summary!$B$6</f>
        <v/>
      </c>
      <c r="H876" s="11">
        <f>F876*Summary!$B$7</f>
        <v/>
      </c>
      <c r="I876" s="11">
        <f>MAX(0,N876-M876)</f>
        <v/>
      </c>
      <c r="J876" s="11">
        <f>MAX(0,M876-N876)</f>
        <v/>
      </c>
      <c r="K876" s="11">
        <f>O876</f>
        <v/>
      </c>
      <c r="L876" s="11">
        <f>L875+IF(K876&gt;0,K876*Summary!$B$9,K876/Summary!$B$9)</f>
        <v/>
      </c>
      <c r="M876" s="11">
        <f>G876+H876</f>
        <v/>
      </c>
      <c r="N876" s="11">
        <f>Summary!$C$16*Summary!$B$8</f>
        <v/>
      </c>
      <c r="O876" s="11">
        <f>M876-N876</f>
        <v/>
      </c>
    </row>
    <row r="877">
      <c r="A877" s="9" t="n">
        <v>45328.45833333334</v>
      </c>
      <c r="B877" t="n">
        <v>2</v>
      </c>
      <c r="C877" t="n">
        <v>6</v>
      </c>
      <c r="D877" t="n">
        <v>11</v>
      </c>
      <c r="E877" s="10" t="n">
        <v>0.334999</v>
      </c>
      <c r="F877" s="10" t="n">
        <v>0.2468919472540674</v>
      </c>
      <c r="G877" s="11">
        <f>E877*Summary!$B$6</f>
        <v/>
      </c>
      <c r="H877" s="11">
        <f>F877*Summary!$B$7</f>
        <v/>
      </c>
      <c r="I877" s="11">
        <f>MAX(0,N877-M877)</f>
        <v/>
      </c>
      <c r="J877" s="11">
        <f>MAX(0,M877-N877)</f>
        <v/>
      </c>
      <c r="K877" s="11">
        <f>O877</f>
        <v/>
      </c>
      <c r="L877" s="11">
        <f>L876+IF(K877&gt;0,K877*Summary!$B$9,K877/Summary!$B$9)</f>
        <v/>
      </c>
      <c r="M877" s="11">
        <f>G877+H877</f>
        <v/>
      </c>
      <c r="N877" s="11">
        <f>Summary!$C$16*Summary!$B$8</f>
        <v/>
      </c>
      <c r="O877" s="11">
        <f>M877-N877</f>
        <v/>
      </c>
    </row>
    <row r="878">
      <c r="A878" s="9" t="n">
        <v>45328.5</v>
      </c>
      <c r="B878" t="n">
        <v>2</v>
      </c>
      <c r="C878" t="n">
        <v>6</v>
      </c>
      <c r="D878" t="n">
        <v>12</v>
      </c>
      <c r="E878" s="10" t="n">
        <v>0.35979</v>
      </c>
      <c r="F878" s="10" t="n">
        <v>0.2437297064951296</v>
      </c>
      <c r="G878" s="11">
        <f>E878*Summary!$B$6</f>
        <v/>
      </c>
      <c r="H878" s="11">
        <f>F878*Summary!$B$7</f>
        <v/>
      </c>
      <c r="I878" s="11">
        <f>MAX(0,N878-M878)</f>
        <v/>
      </c>
      <c r="J878" s="11">
        <f>MAX(0,M878-N878)</f>
        <v/>
      </c>
      <c r="K878" s="11">
        <f>O878</f>
        <v/>
      </c>
      <c r="L878" s="11">
        <f>L877+IF(K878&gt;0,K878*Summary!$B$9,K878/Summary!$B$9)</f>
        <v/>
      </c>
      <c r="M878" s="11">
        <f>G878+H878</f>
        <v/>
      </c>
      <c r="N878" s="11">
        <f>Summary!$C$16*Summary!$B$8</f>
        <v/>
      </c>
      <c r="O878" s="11">
        <f>M878-N878</f>
        <v/>
      </c>
    </row>
    <row r="879">
      <c r="A879" s="9" t="n">
        <v>45328.54166666666</v>
      </c>
      <c r="B879" t="n">
        <v>2</v>
      </c>
      <c r="C879" t="n">
        <v>6</v>
      </c>
      <c r="D879" t="n">
        <v>13</v>
      </c>
      <c r="E879" s="10" t="n">
        <v>0.29196</v>
      </c>
      <c r="F879" s="10" t="n">
        <v>0.2438351145204275</v>
      </c>
      <c r="G879" s="11">
        <f>E879*Summary!$B$6</f>
        <v/>
      </c>
      <c r="H879" s="11">
        <f>F879*Summary!$B$7</f>
        <v/>
      </c>
      <c r="I879" s="11">
        <f>MAX(0,N879-M879)</f>
        <v/>
      </c>
      <c r="J879" s="11">
        <f>MAX(0,M879-N879)</f>
        <v/>
      </c>
      <c r="K879" s="11">
        <f>O879</f>
        <v/>
      </c>
      <c r="L879" s="11">
        <f>L878+IF(K879&gt;0,K879*Summary!$B$9,K879/Summary!$B$9)</f>
        <v/>
      </c>
      <c r="M879" s="11">
        <f>G879+H879</f>
        <v/>
      </c>
      <c r="N879" s="11">
        <f>Summary!$C$16*Summary!$B$8</f>
        <v/>
      </c>
      <c r="O879" s="11">
        <f>M879-N879</f>
        <v/>
      </c>
    </row>
    <row r="880">
      <c r="A880" s="9" t="n">
        <v>45328.58333333334</v>
      </c>
      <c r="B880" t="n">
        <v>2</v>
      </c>
      <c r="C880" t="n">
        <v>6</v>
      </c>
      <c r="D880" t="n">
        <v>14</v>
      </c>
      <c r="E880" s="10" t="n">
        <v>0.183538</v>
      </c>
      <c r="F880" s="10" t="n">
        <v>0.2478406194817487</v>
      </c>
      <c r="G880" s="11">
        <f>E880*Summary!$B$6</f>
        <v/>
      </c>
      <c r="H880" s="11">
        <f>F880*Summary!$B$7</f>
        <v/>
      </c>
      <c r="I880" s="11">
        <f>MAX(0,N880-M880)</f>
        <v/>
      </c>
      <c r="J880" s="11">
        <f>MAX(0,M880-N880)</f>
        <v/>
      </c>
      <c r="K880" s="11">
        <f>O880</f>
        <v/>
      </c>
      <c r="L880" s="11">
        <f>L879+IF(K880&gt;0,K880*Summary!$B$9,K880/Summary!$B$9)</f>
        <v/>
      </c>
      <c r="M880" s="11">
        <f>G880+H880</f>
        <v/>
      </c>
      <c r="N880" s="11">
        <f>Summary!$C$16*Summary!$B$8</f>
        <v/>
      </c>
      <c r="O880" s="11">
        <f>M880-N880</f>
        <v/>
      </c>
    </row>
    <row r="881">
      <c r="A881" s="9" t="n">
        <v>45328.625</v>
      </c>
      <c r="B881" t="n">
        <v>2</v>
      </c>
      <c r="C881" t="n">
        <v>6</v>
      </c>
      <c r="D881" t="n">
        <v>15</v>
      </c>
      <c r="E881" s="10" t="n">
        <v>0.100204</v>
      </c>
      <c r="F881" s="10" t="n">
        <v>0.2612801427072343</v>
      </c>
      <c r="G881" s="11">
        <f>E881*Summary!$B$6</f>
        <v/>
      </c>
      <c r="H881" s="11">
        <f>F881*Summary!$B$7</f>
        <v/>
      </c>
      <c r="I881" s="11">
        <f>MAX(0,N881-M881)</f>
        <v/>
      </c>
      <c r="J881" s="11">
        <f>MAX(0,M881-N881)</f>
        <v/>
      </c>
      <c r="K881" s="11">
        <f>O881</f>
        <v/>
      </c>
      <c r="L881" s="11">
        <f>L880+IF(K881&gt;0,K881*Summary!$B$9,K881/Summary!$B$9)</f>
        <v/>
      </c>
      <c r="M881" s="11">
        <f>G881+H881</f>
        <v/>
      </c>
      <c r="N881" s="11">
        <f>Summary!$C$16*Summary!$B$8</f>
        <v/>
      </c>
      <c r="O881" s="11">
        <f>M881-N881</f>
        <v/>
      </c>
    </row>
    <row r="882">
      <c r="A882" s="9" t="n">
        <v>45328.66666666666</v>
      </c>
      <c r="B882" t="n">
        <v>2</v>
      </c>
      <c r="C882" t="n">
        <v>6</v>
      </c>
      <c r="D882" t="n">
        <v>16</v>
      </c>
      <c r="E882" s="10" t="n">
        <v>0.007437</v>
      </c>
      <c r="F882" s="10" t="n">
        <v>0.273744641698714</v>
      </c>
      <c r="G882" s="11">
        <f>E882*Summary!$B$6</f>
        <v/>
      </c>
      <c r="H882" s="11">
        <f>F882*Summary!$B$7</f>
        <v/>
      </c>
      <c r="I882" s="11">
        <f>MAX(0,N882-M882)</f>
        <v/>
      </c>
      <c r="J882" s="11">
        <f>MAX(0,M882-N882)</f>
        <v/>
      </c>
      <c r="K882" s="11">
        <f>O882</f>
        <v/>
      </c>
      <c r="L882" s="11">
        <f>L881+IF(K882&gt;0,K882*Summary!$B$9,K882/Summary!$B$9)</f>
        <v/>
      </c>
      <c r="M882" s="11">
        <f>G882+H882</f>
        <v/>
      </c>
      <c r="N882" s="11">
        <f>Summary!$C$16*Summary!$B$8</f>
        <v/>
      </c>
      <c r="O882" s="11">
        <f>M882-N882</f>
        <v/>
      </c>
    </row>
    <row r="883">
      <c r="A883" s="9" t="n">
        <v>45328.70833333334</v>
      </c>
      <c r="B883" t="n">
        <v>2</v>
      </c>
      <c r="C883" t="n">
        <v>6</v>
      </c>
      <c r="D883" t="n">
        <v>17</v>
      </c>
      <c r="E883" s="10" t="n">
        <v>0</v>
      </c>
      <c r="F883" s="10" t="n">
        <v>0.3068427616422628</v>
      </c>
      <c r="G883" s="11">
        <f>E883*Summary!$B$6</f>
        <v/>
      </c>
      <c r="H883" s="11">
        <f>F883*Summary!$B$7</f>
        <v/>
      </c>
      <c r="I883" s="11">
        <f>MAX(0,N883-M883)</f>
        <v/>
      </c>
      <c r="J883" s="11">
        <f>MAX(0,M883-N883)</f>
        <v/>
      </c>
      <c r="K883" s="11">
        <f>O883</f>
        <v/>
      </c>
      <c r="L883" s="11">
        <f>L882+IF(K883&gt;0,K883*Summary!$B$9,K883/Summary!$B$9)</f>
        <v/>
      </c>
      <c r="M883" s="11">
        <f>G883+H883</f>
        <v/>
      </c>
      <c r="N883" s="11">
        <f>Summary!$C$16*Summary!$B$8</f>
        <v/>
      </c>
      <c r="O883" s="11">
        <f>M883-N883</f>
        <v/>
      </c>
    </row>
    <row r="884">
      <c r="A884" s="9" t="n">
        <v>45328.75</v>
      </c>
      <c r="B884" t="n">
        <v>2</v>
      </c>
      <c r="C884" t="n">
        <v>6</v>
      </c>
      <c r="D884" t="n">
        <v>18</v>
      </c>
      <c r="E884" s="10" t="n">
        <v>0</v>
      </c>
      <c r="F884" s="10" t="n">
        <v>0.2910315578475739</v>
      </c>
      <c r="G884" s="11">
        <f>E884*Summary!$B$6</f>
        <v/>
      </c>
      <c r="H884" s="11">
        <f>F884*Summary!$B$7</f>
        <v/>
      </c>
      <c r="I884" s="11">
        <f>MAX(0,N884-M884)</f>
        <v/>
      </c>
      <c r="J884" s="11">
        <f>MAX(0,M884-N884)</f>
        <v/>
      </c>
      <c r="K884" s="11">
        <f>O884</f>
        <v/>
      </c>
      <c r="L884" s="11">
        <f>L883+IF(K884&gt;0,K884*Summary!$B$9,K884/Summary!$B$9)</f>
        <v/>
      </c>
      <c r="M884" s="11">
        <f>G884+H884</f>
        <v/>
      </c>
      <c r="N884" s="11">
        <f>Summary!$C$16*Summary!$B$8</f>
        <v/>
      </c>
      <c r="O884" s="11">
        <f>M884-N884</f>
        <v/>
      </c>
    </row>
    <row r="885">
      <c r="A885" s="9" t="n">
        <v>45328.79166666666</v>
      </c>
      <c r="B885" t="n">
        <v>2</v>
      </c>
      <c r="C885" t="n">
        <v>6</v>
      </c>
      <c r="D885" t="n">
        <v>19</v>
      </c>
      <c r="E885" s="10" t="n">
        <v>0</v>
      </c>
      <c r="F885" s="10" t="n">
        <v>0.2920329340879042</v>
      </c>
      <c r="G885" s="11">
        <f>E885*Summary!$B$6</f>
        <v/>
      </c>
      <c r="H885" s="11">
        <f>F885*Summary!$B$7</f>
        <v/>
      </c>
      <c r="I885" s="11">
        <f>MAX(0,N885-M885)</f>
        <v/>
      </c>
      <c r="J885" s="11">
        <f>MAX(0,M885-N885)</f>
        <v/>
      </c>
      <c r="K885" s="11">
        <f>O885</f>
        <v/>
      </c>
      <c r="L885" s="11">
        <f>L884+IF(K885&gt;0,K885*Summary!$B$9,K885/Summary!$B$9)</f>
        <v/>
      </c>
      <c r="M885" s="11">
        <f>G885+H885</f>
        <v/>
      </c>
      <c r="N885" s="11">
        <f>Summary!$C$16*Summary!$B$8</f>
        <v/>
      </c>
      <c r="O885" s="11">
        <f>M885-N885</f>
        <v/>
      </c>
    </row>
    <row r="886">
      <c r="A886" s="9" t="n">
        <v>45328.83333333334</v>
      </c>
      <c r="B886" t="n">
        <v>2</v>
      </c>
      <c r="C886" t="n">
        <v>6</v>
      </c>
      <c r="D886" t="n">
        <v>20</v>
      </c>
      <c r="E886" s="10" t="n">
        <v>0</v>
      </c>
      <c r="F886" s="10" t="n">
        <v>0.2878956690949606</v>
      </c>
      <c r="G886" s="11">
        <f>E886*Summary!$B$6</f>
        <v/>
      </c>
      <c r="H886" s="11">
        <f>F886*Summary!$B$7</f>
        <v/>
      </c>
      <c r="I886" s="11">
        <f>MAX(0,N886-M886)</f>
        <v/>
      </c>
      <c r="J886" s="11">
        <f>MAX(0,M886-N886)</f>
        <v/>
      </c>
      <c r="K886" s="11">
        <f>O886</f>
        <v/>
      </c>
      <c r="L886" s="11">
        <f>L885+IF(K886&gt;0,K886*Summary!$B$9,K886/Summary!$B$9)</f>
        <v/>
      </c>
      <c r="M886" s="11">
        <f>G886+H886</f>
        <v/>
      </c>
      <c r="N886" s="11">
        <f>Summary!$C$16*Summary!$B$8</f>
        <v/>
      </c>
      <c r="O886" s="11">
        <f>M886-N886</f>
        <v/>
      </c>
    </row>
    <row r="887">
      <c r="A887" s="9" t="n">
        <v>45328.875</v>
      </c>
      <c r="B887" t="n">
        <v>2</v>
      </c>
      <c r="C887" t="n">
        <v>6</v>
      </c>
      <c r="D887" t="n">
        <v>21</v>
      </c>
      <c r="E887" s="10" t="n">
        <v>0</v>
      </c>
      <c r="F887" s="10" t="n">
        <v>0.2867888848293323</v>
      </c>
      <c r="G887" s="11">
        <f>E887*Summary!$B$6</f>
        <v/>
      </c>
      <c r="H887" s="11">
        <f>F887*Summary!$B$7</f>
        <v/>
      </c>
      <c r="I887" s="11">
        <f>MAX(0,N887-M887)</f>
        <v/>
      </c>
      <c r="J887" s="11">
        <f>MAX(0,M887-N887)</f>
        <v/>
      </c>
      <c r="K887" s="11">
        <f>O887</f>
        <v/>
      </c>
      <c r="L887" s="11">
        <f>L886+IF(K887&gt;0,K887*Summary!$B$9,K887/Summary!$B$9)</f>
        <v/>
      </c>
      <c r="M887" s="11">
        <f>G887+H887</f>
        <v/>
      </c>
      <c r="N887" s="11">
        <f>Summary!$C$16*Summary!$B$8</f>
        <v/>
      </c>
      <c r="O887" s="11">
        <f>M887-N887</f>
        <v/>
      </c>
    </row>
    <row r="888">
      <c r="A888" s="9" t="n">
        <v>45328.91666666666</v>
      </c>
      <c r="B888" t="n">
        <v>2</v>
      </c>
      <c r="C888" t="n">
        <v>6</v>
      </c>
      <c r="D888" t="n">
        <v>22</v>
      </c>
      <c r="E888" s="10" t="n">
        <v>0</v>
      </c>
      <c r="F888" s="10" t="n">
        <v>0.290873445809627</v>
      </c>
      <c r="G888" s="11">
        <f>E888*Summary!$B$6</f>
        <v/>
      </c>
      <c r="H888" s="11">
        <f>F888*Summary!$B$7</f>
        <v/>
      </c>
      <c r="I888" s="11">
        <f>MAX(0,N888-M888)</f>
        <v/>
      </c>
      <c r="J888" s="11">
        <f>MAX(0,M888-N888)</f>
        <v/>
      </c>
      <c r="K888" s="11">
        <f>O888</f>
        <v/>
      </c>
      <c r="L888" s="11">
        <f>L887+IF(K888&gt;0,K888*Summary!$B$9,K888/Summary!$B$9)</f>
        <v/>
      </c>
      <c r="M888" s="11">
        <f>G888+H888</f>
        <v/>
      </c>
      <c r="N888" s="11">
        <f>Summary!$C$16*Summary!$B$8</f>
        <v/>
      </c>
      <c r="O888" s="11">
        <f>M888-N888</f>
        <v/>
      </c>
    </row>
    <row r="889">
      <c r="A889" s="9" t="n">
        <v>45328.95833333334</v>
      </c>
      <c r="B889" t="n">
        <v>2</v>
      </c>
      <c r="C889" t="n">
        <v>6</v>
      </c>
      <c r="D889" t="n">
        <v>23</v>
      </c>
      <c r="E889" s="10" t="n">
        <v>0</v>
      </c>
      <c r="F889" s="10" t="n">
        <v>0.2934559424294262</v>
      </c>
      <c r="G889" s="11">
        <f>E889*Summary!$B$6</f>
        <v/>
      </c>
      <c r="H889" s="11">
        <f>F889*Summary!$B$7</f>
        <v/>
      </c>
      <c r="I889" s="11">
        <f>MAX(0,N889-M889)</f>
        <v/>
      </c>
      <c r="J889" s="11">
        <f>MAX(0,M889-N889)</f>
        <v/>
      </c>
      <c r="K889" s="11">
        <f>O889</f>
        <v/>
      </c>
      <c r="L889" s="11">
        <f>L888+IF(K889&gt;0,K889*Summary!$B$9,K889/Summary!$B$9)</f>
        <v/>
      </c>
      <c r="M889" s="11">
        <f>G889+H889</f>
        <v/>
      </c>
      <c r="N889" s="11">
        <f>Summary!$C$16*Summary!$B$8</f>
        <v/>
      </c>
      <c r="O889" s="11">
        <f>M889-N889</f>
        <v/>
      </c>
    </row>
    <row r="890">
      <c r="A890" s="9" t="n">
        <v>45329</v>
      </c>
      <c r="B890" t="n">
        <v>2</v>
      </c>
      <c r="C890" t="n">
        <v>7</v>
      </c>
      <c r="D890" t="n">
        <v>0</v>
      </c>
      <c r="E890" s="10" t="n">
        <v>0</v>
      </c>
      <c r="F890" s="10" t="n">
        <v>0.4090094901622776</v>
      </c>
      <c r="G890" s="11">
        <f>E890*Summary!$B$6</f>
        <v/>
      </c>
      <c r="H890" s="11">
        <f>F890*Summary!$B$7</f>
        <v/>
      </c>
      <c r="I890" s="11">
        <f>MAX(0,N890-M890)</f>
        <v/>
      </c>
      <c r="J890" s="11">
        <f>MAX(0,M890-N890)</f>
        <v/>
      </c>
      <c r="K890" s="11">
        <f>O890</f>
        <v/>
      </c>
      <c r="L890" s="11">
        <f>L889+IF(K890&gt;0,K890*Summary!$B$9,K890/Summary!$B$9)</f>
        <v/>
      </c>
      <c r="M890" s="11">
        <f>G890+H890</f>
        <v/>
      </c>
      <c r="N890" s="11">
        <f>Summary!$C$16*Summary!$B$8</f>
        <v/>
      </c>
      <c r="O890" s="11">
        <f>M890-N890</f>
        <v/>
      </c>
    </row>
    <row r="891">
      <c r="A891" s="9" t="n">
        <v>45329.04166666666</v>
      </c>
      <c r="B891" t="n">
        <v>2</v>
      </c>
      <c r="C891" t="n">
        <v>7</v>
      </c>
      <c r="D891" t="n">
        <v>1</v>
      </c>
      <c r="E891" s="10" t="n">
        <v>0</v>
      </c>
      <c r="F891" s="10" t="n">
        <v>0.3038649849275964</v>
      </c>
      <c r="G891" s="11">
        <f>E891*Summary!$B$6</f>
        <v/>
      </c>
      <c r="H891" s="11">
        <f>F891*Summary!$B$7</f>
        <v/>
      </c>
      <c r="I891" s="11">
        <f>MAX(0,N891-M891)</f>
        <v/>
      </c>
      <c r="J891" s="11">
        <f>MAX(0,M891-N891)</f>
        <v/>
      </c>
      <c r="K891" s="11">
        <f>O891</f>
        <v/>
      </c>
      <c r="L891" s="11">
        <f>L890+IF(K891&gt;0,K891*Summary!$B$9,K891/Summary!$B$9)</f>
        <v/>
      </c>
      <c r="M891" s="11">
        <f>G891+H891</f>
        <v/>
      </c>
      <c r="N891" s="11">
        <f>Summary!$C$16*Summary!$B$8</f>
        <v/>
      </c>
      <c r="O891" s="11">
        <f>M891-N891</f>
        <v/>
      </c>
    </row>
    <row r="892">
      <c r="A892" s="9" t="n">
        <v>45329.08333333334</v>
      </c>
      <c r="B892" t="n">
        <v>2</v>
      </c>
      <c r="C892" t="n">
        <v>7</v>
      </c>
      <c r="D892" t="n">
        <v>2</v>
      </c>
      <c r="E892" s="10" t="n">
        <v>0</v>
      </c>
      <c r="F892" s="10" t="n">
        <v>0.3075279138066993</v>
      </c>
      <c r="G892" s="11">
        <f>E892*Summary!$B$6</f>
        <v/>
      </c>
      <c r="H892" s="11">
        <f>F892*Summary!$B$7</f>
        <v/>
      </c>
      <c r="I892" s="11">
        <f>MAX(0,N892-M892)</f>
        <v/>
      </c>
      <c r="J892" s="11">
        <f>MAX(0,M892-N892)</f>
        <v/>
      </c>
      <c r="K892" s="11">
        <f>O892</f>
        <v/>
      </c>
      <c r="L892" s="11">
        <f>L891+IF(K892&gt;0,K892*Summary!$B$9,K892/Summary!$B$9)</f>
        <v/>
      </c>
      <c r="M892" s="11">
        <f>G892+H892</f>
        <v/>
      </c>
      <c r="N892" s="11">
        <f>Summary!$C$16*Summary!$B$8</f>
        <v/>
      </c>
      <c r="O892" s="11">
        <f>M892-N892</f>
        <v/>
      </c>
    </row>
    <row r="893">
      <c r="A893" s="9" t="n">
        <v>45329.125</v>
      </c>
      <c r="B893" t="n">
        <v>2</v>
      </c>
      <c r="C893" t="n">
        <v>7</v>
      </c>
      <c r="D893" t="n">
        <v>3</v>
      </c>
      <c r="E893" s="10" t="n">
        <v>0</v>
      </c>
      <c r="F893" s="10" t="n">
        <v>0.3127719630652712</v>
      </c>
      <c r="G893" s="11">
        <f>E893*Summary!$B$6</f>
        <v/>
      </c>
      <c r="H893" s="11">
        <f>F893*Summary!$B$7</f>
        <v/>
      </c>
      <c r="I893" s="11">
        <f>MAX(0,N893-M893)</f>
        <v/>
      </c>
      <c r="J893" s="11">
        <f>MAX(0,M893-N893)</f>
        <v/>
      </c>
      <c r="K893" s="11">
        <f>O893</f>
        <v/>
      </c>
      <c r="L893" s="11">
        <f>L892+IF(K893&gt;0,K893*Summary!$B$9,K893/Summary!$B$9)</f>
        <v/>
      </c>
      <c r="M893" s="11">
        <f>G893+H893</f>
        <v/>
      </c>
      <c r="N893" s="11">
        <f>Summary!$C$16*Summary!$B$8</f>
        <v/>
      </c>
      <c r="O893" s="11">
        <f>M893-N893</f>
        <v/>
      </c>
    </row>
    <row r="894">
      <c r="A894" s="9" t="n">
        <v>45329.16666666666</v>
      </c>
      <c r="B894" t="n">
        <v>2</v>
      </c>
      <c r="C894" t="n">
        <v>7</v>
      </c>
      <c r="D894" t="n">
        <v>4</v>
      </c>
      <c r="E894" s="10" t="n">
        <v>0</v>
      </c>
      <c r="F894" s="10" t="n">
        <v>0.3189383325451998</v>
      </c>
      <c r="G894" s="11">
        <f>E894*Summary!$B$6</f>
        <v/>
      </c>
      <c r="H894" s="11">
        <f>F894*Summary!$B$7</f>
        <v/>
      </c>
      <c r="I894" s="11">
        <f>MAX(0,N894-M894)</f>
        <v/>
      </c>
      <c r="J894" s="11">
        <f>MAX(0,M894-N894)</f>
        <v/>
      </c>
      <c r="K894" s="11">
        <f>O894</f>
        <v/>
      </c>
      <c r="L894" s="11">
        <f>L893+IF(K894&gt;0,K894*Summary!$B$9,K894/Summary!$B$9)</f>
        <v/>
      </c>
      <c r="M894" s="11">
        <f>G894+H894</f>
        <v/>
      </c>
      <c r="N894" s="11">
        <f>Summary!$C$16*Summary!$B$8</f>
        <v/>
      </c>
      <c r="O894" s="11">
        <f>M894-N894</f>
        <v/>
      </c>
    </row>
    <row r="895">
      <c r="A895" s="9" t="n">
        <v>45329.20833333334</v>
      </c>
      <c r="B895" t="n">
        <v>2</v>
      </c>
      <c r="C895" t="n">
        <v>7</v>
      </c>
      <c r="D895" t="n">
        <v>5</v>
      </c>
      <c r="E895" s="10" t="n">
        <v>0</v>
      </c>
      <c r="F895" s="10" t="n">
        <v>0.3213100131144032</v>
      </c>
      <c r="G895" s="11">
        <f>E895*Summary!$B$6</f>
        <v/>
      </c>
      <c r="H895" s="11">
        <f>F895*Summary!$B$7</f>
        <v/>
      </c>
      <c r="I895" s="11">
        <f>MAX(0,N895-M895)</f>
        <v/>
      </c>
      <c r="J895" s="11">
        <f>MAX(0,M895-N895)</f>
        <v/>
      </c>
      <c r="K895" s="11">
        <f>O895</f>
        <v/>
      </c>
      <c r="L895" s="11">
        <f>L894+IF(K895&gt;0,K895*Summary!$B$9,K895/Summary!$B$9)</f>
        <v/>
      </c>
      <c r="M895" s="11">
        <f>G895+H895</f>
        <v/>
      </c>
      <c r="N895" s="11">
        <f>Summary!$C$16*Summary!$B$8</f>
        <v/>
      </c>
      <c r="O895" s="11">
        <f>M895-N895</f>
        <v/>
      </c>
    </row>
    <row r="896">
      <c r="A896" s="9" t="n">
        <v>45329.25</v>
      </c>
      <c r="B896" t="n">
        <v>2</v>
      </c>
      <c r="C896" t="n">
        <v>7</v>
      </c>
      <c r="D896" t="n">
        <v>6</v>
      </c>
      <c r="E896" s="10" t="n">
        <v>0</v>
      </c>
      <c r="F896" s="10" t="n">
        <v>0.327871662689199</v>
      </c>
      <c r="G896" s="11">
        <f>E896*Summary!$B$6</f>
        <v/>
      </c>
      <c r="H896" s="11">
        <f>F896*Summary!$B$7</f>
        <v/>
      </c>
      <c r="I896" s="11">
        <f>MAX(0,N896-M896)</f>
        <v/>
      </c>
      <c r="J896" s="11">
        <f>MAX(0,M896-N896)</f>
        <v/>
      </c>
      <c r="K896" s="11">
        <f>O896</f>
        <v/>
      </c>
      <c r="L896" s="11">
        <f>L895+IF(K896&gt;0,K896*Summary!$B$9,K896/Summary!$B$9)</f>
        <v/>
      </c>
      <c r="M896" s="11">
        <f>G896+H896</f>
        <v/>
      </c>
      <c r="N896" s="11">
        <f>Summary!$C$16*Summary!$B$8</f>
        <v/>
      </c>
      <c r="O896" s="11">
        <f>M896-N896</f>
        <v/>
      </c>
    </row>
    <row r="897">
      <c r="A897" s="9" t="n">
        <v>45329.29166666666</v>
      </c>
      <c r="B897" t="n">
        <v>2</v>
      </c>
      <c r="C897" t="n">
        <v>7</v>
      </c>
      <c r="D897" t="n">
        <v>7</v>
      </c>
      <c r="E897" s="10" t="n">
        <v>0</v>
      </c>
      <c r="F897" s="10" t="n">
        <v>0.3340643841754522</v>
      </c>
      <c r="G897" s="11">
        <f>E897*Summary!$B$6</f>
        <v/>
      </c>
      <c r="H897" s="11">
        <f>F897*Summary!$B$7</f>
        <v/>
      </c>
      <c r="I897" s="11">
        <f>MAX(0,N897-M897)</f>
        <v/>
      </c>
      <c r="J897" s="11">
        <f>MAX(0,M897-N897)</f>
        <v/>
      </c>
      <c r="K897" s="11">
        <f>O897</f>
        <v/>
      </c>
      <c r="L897" s="11">
        <f>L896+IF(K897&gt;0,K897*Summary!$B$9,K897/Summary!$B$9)</f>
        <v/>
      </c>
      <c r="M897" s="11">
        <f>G897+H897</f>
        <v/>
      </c>
      <c r="N897" s="11">
        <f>Summary!$C$16*Summary!$B$8</f>
        <v/>
      </c>
      <c r="O897" s="11">
        <f>M897-N897</f>
        <v/>
      </c>
    </row>
    <row r="898">
      <c r="A898" s="9" t="n">
        <v>45329.33333333334</v>
      </c>
      <c r="B898" t="n">
        <v>2</v>
      </c>
      <c r="C898" t="n">
        <v>7</v>
      </c>
      <c r="D898" t="n">
        <v>8</v>
      </c>
      <c r="E898" s="10" t="n">
        <v>0.006261</v>
      </c>
      <c r="F898" s="10" t="n">
        <v>0.333669104080585</v>
      </c>
      <c r="G898" s="11">
        <f>E898*Summary!$B$6</f>
        <v/>
      </c>
      <c r="H898" s="11">
        <f>F898*Summary!$B$7</f>
        <v/>
      </c>
      <c r="I898" s="11">
        <f>MAX(0,N898-M898)</f>
        <v/>
      </c>
      <c r="J898" s="11">
        <f>MAX(0,M898-N898)</f>
        <v/>
      </c>
      <c r="K898" s="11">
        <f>O898</f>
        <v/>
      </c>
      <c r="L898" s="11">
        <f>L897+IF(K898&gt;0,K898*Summary!$B$9,K898/Summary!$B$9)</f>
        <v/>
      </c>
      <c r="M898" s="11">
        <f>G898+H898</f>
        <v/>
      </c>
      <c r="N898" s="11">
        <f>Summary!$C$16*Summary!$B$8</f>
        <v/>
      </c>
      <c r="O898" s="11">
        <f>M898-N898</f>
        <v/>
      </c>
    </row>
    <row r="899">
      <c r="A899" s="9" t="n">
        <v>45329.375</v>
      </c>
      <c r="B899" t="n">
        <v>2</v>
      </c>
      <c r="C899" t="n">
        <v>7</v>
      </c>
      <c r="D899" t="n">
        <v>9</v>
      </c>
      <c r="E899" s="10" t="n">
        <v>0.021372</v>
      </c>
      <c r="F899" s="10" t="n">
        <v>0.3263168943160547</v>
      </c>
      <c r="G899" s="11">
        <f>E899*Summary!$B$6</f>
        <v/>
      </c>
      <c r="H899" s="11">
        <f>F899*Summary!$B$7</f>
        <v/>
      </c>
      <c r="I899" s="11">
        <f>MAX(0,N899-M899)</f>
        <v/>
      </c>
      <c r="J899" s="11">
        <f>MAX(0,M899-N899)</f>
        <v/>
      </c>
      <c r="K899" s="11">
        <f>O899</f>
        <v/>
      </c>
      <c r="L899" s="11">
        <f>L898+IF(K899&gt;0,K899*Summary!$B$9,K899/Summary!$B$9)</f>
        <v/>
      </c>
      <c r="M899" s="11">
        <f>G899+H899</f>
        <v/>
      </c>
      <c r="N899" s="11">
        <f>Summary!$C$16*Summary!$B$8</f>
        <v/>
      </c>
      <c r="O899" s="11">
        <f>M899-N899</f>
        <v/>
      </c>
    </row>
    <row r="900">
      <c r="A900" s="9" t="n">
        <v>45329.41666666666</v>
      </c>
      <c r="B900" t="n">
        <v>2</v>
      </c>
      <c r="C900" t="n">
        <v>7</v>
      </c>
      <c r="D900" t="n">
        <v>10</v>
      </c>
      <c r="E900" s="10" t="n">
        <v>0.037692</v>
      </c>
      <c r="F900" s="10" t="n">
        <v>0.3212309570954297</v>
      </c>
      <c r="G900" s="11">
        <f>E900*Summary!$B$6</f>
        <v/>
      </c>
      <c r="H900" s="11">
        <f>F900*Summary!$B$7</f>
        <v/>
      </c>
      <c r="I900" s="11">
        <f>MAX(0,N900-M900)</f>
        <v/>
      </c>
      <c r="J900" s="11">
        <f>MAX(0,M900-N900)</f>
        <v/>
      </c>
      <c r="K900" s="11">
        <f>O900</f>
        <v/>
      </c>
      <c r="L900" s="11">
        <f>L899+IF(K900&gt;0,K900*Summary!$B$9,K900/Summary!$B$9)</f>
        <v/>
      </c>
      <c r="M900" s="11">
        <f>G900+H900</f>
        <v/>
      </c>
      <c r="N900" s="11">
        <f>Summary!$C$16*Summary!$B$8</f>
        <v/>
      </c>
      <c r="O900" s="11">
        <f>M900-N900</f>
        <v/>
      </c>
    </row>
    <row r="901">
      <c r="A901" s="9" t="n">
        <v>45329.45833333334</v>
      </c>
      <c r="B901" t="n">
        <v>2</v>
      </c>
      <c r="C901" t="n">
        <v>7</v>
      </c>
      <c r="D901" t="n">
        <v>11</v>
      </c>
      <c r="E901" s="10" t="n">
        <v>0.04519</v>
      </c>
      <c r="F901" s="10" t="n">
        <v>0.3169882840771882</v>
      </c>
      <c r="G901" s="11">
        <f>E901*Summary!$B$6</f>
        <v/>
      </c>
      <c r="H901" s="11">
        <f>F901*Summary!$B$7</f>
        <v/>
      </c>
      <c r="I901" s="11">
        <f>MAX(0,N901-M901)</f>
        <v/>
      </c>
      <c r="J901" s="11">
        <f>MAX(0,M901-N901)</f>
        <v/>
      </c>
      <c r="K901" s="11">
        <f>O901</f>
        <v/>
      </c>
      <c r="L901" s="11">
        <f>L900+IF(K901&gt;0,K901*Summary!$B$9,K901/Summary!$B$9)</f>
        <v/>
      </c>
      <c r="M901" s="11">
        <f>G901+H901</f>
        <v/>
      </c>
      <c r="N901" s="11">
        <f>Summary!$C$16*Summary!$B$8</f>
        <v/>
      </c>
      <c r="O901" s="11">
        <f>M901-N901</f>
        <v/>
      </c>
    </row>
    <row r="902">
      <c r="A902" s="9" t="n">
        <v>45329.5</v>
      </c>
      <c r="B902" t="n">
        <v>2</v>
      </c>
      <c r="C902" t="n">
        <v>7</v>
      </c>
      <c r="D902" t="n">
        <v>12</v>
      </c>
      <c r="E902" s="10" t="n">
        <v>0.046771</v>
      </c>
      <c r="F902" s="10" t="n">
        <v>0.3161713718811293</v>
      </c>
      <c r="G902" s="11">
        <f>E902*Summary!$B$6</f>
        <v/>
      </c>
      <c r="H902" s="11">
        <f>F902*Summary!$B$7</f>
        <v/>
      </c>
      <c r="I902" s="11">
        <f>MAX(0,N902-M902)</f>
        <v/>
      </c>
      <c r="J902" s="11">
        <f>MAX(0,M902-N902)</f>
        <v/>
      </c>
      <c r="K902" s="11">
        <f>O902</f>
        <v/>
      </c>
      <c r="L902" s="11">
        <f>L901+IF(K902&gt;0,K902*Summary!$B$9,K902/Summary!$B$9)</f>
        <v/>
      </c>
      <c r="M902" s="11">
        <f>G902+H902</f>
        <v/>
      </c>
      <c r="N902" s="11">
        <f>Summary!$C$16*Summary!$B$8</f>
        <v/>
      </c>
      <c r="O902" s="11">
        <f>M902-N902</f>
        <v/>
      </c>
    </row>
    <row r="903">
      <c r="A903" s="9" t="n">
        <v>45329.54166666666</v>
      </c>
      <c r="B903" t="n">
        <v>2</v>
      </c>
      <c r="C903" t="n">
        <v>7</v>
      </c>
      <c r="D903" t="n">
        <v>13</v>
      </c>
      <c r="E903" s="10" t="n">
        <v>0.04243</v>
      </c>
      <c r="F903" s="10" t="n">
        <v>0.3183849404123857</v>
      </c>
      <c r="G903" s="11">
        <f>E903*Summary!$B$6</f>
        <v/>
      </c>
      <c r="H903" s="11">
        <f>F903*Summary!$B$7</f>
        <v/>
      </c>
      <c r="I903" s="11">
        <f>MAX(0,N903-M903)</f>
        <v/>
      </c>
      <c r="J903" s="11">
        <f>MAX(0,M903-N903)</f>
        <v/>
      </c>
      <c r="K903" s="11">
        <f>O903</f>
        <v/>
      </c>
      <c r="L903" s="11">
        <f>L902+IF(K903&gt;0,K903*Summary!$B$9,K903/Summary!$B$9)</f>
        <v/>
      </c>
      <c r="M903" s="11">
        <f>G903+H903</f>
        <v/>
      </c>
      <c r="N903" s="11">
        <f>Summary!$C$16*Summary!$B$8</f>
        <v/>
      </c>
      <c r="O903" s="11">
        <f>M903-N903</f>
        <v/>
      </c>
    </row>
    <row r="904">
      <c r="A904" s="9" t="n">
        <v>45329.58333333334</v>
      </c>
      <c r="B904" t="n">
        <v>2</v>
      </c>
      <c r="C904" t="n">
        <v>7</v>
      </c>
      <c r="D904" t="n">
        <v>14</v>
      </c>
      <c r="E904" s="10" t="n">
        <v>0.034759</v>
      </c>
      <c r="F904" s="10" t="n">
        <v>0.3305332153279716</v>
      </c>
      <c r="G904" s="11">
        <f>E904*Summary!$B$6</f>
        <v/>
      </c>
      <c r="H904" s="11">
        <f>F904*Summary!$B$7</f>
        <v/>
      </c>
      <c r="I904" s="11">
        <f>MAX(0,N904-M904)</f>
        <v/>
      </c>
      <c r="J904" s="11">
        <f>MAX(0,M904-N904)</f>
        <v/>
      </c>
      <c r="K904" s="11">
        <f>O904</f>
        <v/>
      </c>
      <c r="L904" s="11">
        <f>L903+IF(K904&gt;0,K904*Summary!$B$9,K904/Summary!$B$9)</f>
        <v/>
      </c>
      <c r="M904" s="11">
        <f>G904+H904</f>
        <v/>
      </c>
      <c r="N904" s="11">
        <f>Summary!$C$16*Summary!$B$8</f>
        <v/>
      </c>
      <c r="O904" s="11">
        <f>M904-N904</f>
        <v/>
      </c>
    </row>
    <row r="905">
      <c r="A905" s="9" t="n">
        <v>45329.625</v>
      </c>
      <c r="B905" t="n">
        <v>2</v>
      </c>
      <c r="C905" t="n">
        <v>7</v>
      </c>
      <c r="D905" t="n">
        <v>15</v>
      </c>
      <c r="E905" s="10" t="n">
        <v>0.017607</v>
      </c>
      <c r="F905" s="10" t="n">
        <v>0.349980995995439</v>
      </c>
      <c r="G905" s="11">
        <f>E905*Summary!$B$6</f>
        <v/>
      </c>
      <c r="H905" s="11">
        <f>F905*Summary!$B$7</f>
        <v/>
      </c>
      <c r="I905" s="11">
        <f>MAX(0,N905-M905)</f>
        <v/>
      </c>
      <c r="J905" s="11">
        <f>MAX(0,M905-N905)</f>
        <v/>
      </c>
      <c r="K905" s="11">
        <f>O905</f>
        <v/>
      </c>
      <c r="L905" s="11">
        <f>L904+IF(K905&gt;0,K905*Summary!$B$9,K905/Summary!$B$9)</f>
        <v/>
      </c>
      <c r="M905" s="11">
        <f>G905+H905</f>
        <v/>
      </c>
      <c r="N905" s="11">
        <f>Summary!$C$16*Summary!$B$8</f>
        <v/>
      </c>
      <c r="O905" s="11">
        <f>M905-N905</f>
        <v/>
      </c>
    </row>
    <row r="906">
      <c r="A906" s="9" t="n">
        <v>45329.66666666666</v>
      </c>
      <c r="B906" t="n">
        <v>2</v>
      </c>
      <c r="C906" t="n">
        <v>7</v>
      </c>
      <c r="D906" t="n">
        <v>16</v>
      </c>
      <c r="E906" s="10" t="n">
        <v>0</v>
      </c>
      <c r="F906" s="10" t="n">
        <v>0.3680321203277089</v>
      </c>
      <c r="G906" s="11">
        <f>E906*Summary!$B$6</f>
        <v/>
      </c>
      <c r="H906" s="11">
        <f>F906*Summary!$B$7</f>
        <v/>
      </c>
      <c r="I906" s="11">
        <f>MAX(0,N906-M906)</f>
        <v/>
      </c>
      <c r="J906" s="11">
        <f>MAX(0,M906-N906)</f>
        <v/>
      </c>
      <c r="K906" s="11">
        <f>O906</f>
        <v/>
      </c>
      <c r="L906" s="11">
        <f>L905+IF(K906&gt;0,K906*Summary!$B$9,K906/Summary!$B$9)</f>
        <v/>
      </c>
      <c r="M906" s="11">
        <f>G906+H906</f>
        <v/>
      </c>
      <c r="N906" s="11">
        <f>Summary!$C$16*Summary!$B$8</f>
        <v/>
      </c>
      <c r="O906" s="11">
        <f>M906-N906</f>
        <v/>
      </c>
    </row>
    <row r="907">
      <c r="A907" s="9" t="n">
        <v>45329.70833333334</v>
      </c>
      <c r="B907" t="n">
        <v>2</v>
      </c>
      <c r="C907" t="n">
        <v>7</v>
      </c>
      <c r="D907" t="n">
        <v>17</v>
      </c>
      <c r="E907" s="10" t="n">
        <v>0</v>
      </c>
      <c r="F907" s="10" t="n">
        <v>0.3782566987816077</v>
      </c>
      <c r="G907" s="11">
        <f>E907*Summary!$B$6</f>
        <v/>
      </c>
      <c r="H907" s="11">
        <f>F907*Summary!$B$7</f>
        <v/>
      </c>
      <c r="I907" s="11">
        <f>MAX(0,N907-M907)</f>
        <v/>
      </c>
      <c r="J907" s="11">
        <f>MAX(0,M907-N907)</f>
        <v/>
      </c>
      <c r="K907" s="11">
        <f>O907</f>
        <v/>
      </c>
      <c r="L907" s="11">
        <f>L906+IF(K907&gt;0,K907*Summary!$B$9,K907/Summary!$B$9)</f>
        <v/>
      </c>
      <c r="M907" s="11">
        <f>G907+H907</f>
        <v/>
      </c>
      <c r="N907" s="11">
        <f>Summary!$C$16*Summary!$B$8</f>
        <v/>
      </c>
      <c r="O907" s="11">
        <f>M907-N907</f>
        <v/>
      </c>
    </row>
    <row r="908">
      <c r="A908" s="9" t="n">
        <v>45329.75</v>
      </c>
      <c r="B908" t="n">
        <v>2</v>
      </c>
      <c r="C908" t="n">
        <v>7</v>
      </c>
      <c r="D908" t="n">
        <v>18</v>
      </c>
      <c r="E908" s="10" t="n">
        <v>0</v>
      </c>
      <c r="F908" s="10" t="n">
        <v>0.3851082204259729</v>
      </c>
      <c r="G908" s="11">
        <f>E908*Summary!$B$6</f>
        <v/>
      </c>
      <c r="H908" s="11">
        <f>F908*Summary!$B$7</f>
        <v/>
      </c>
      <c r="I908" s="11">
        <f>MAX(0,N908-M908)</f>
        <v/>
      </c>
      <c r="J908" s="11">
        <f>MAX(0,M908-N908)</f>
        <v/>
      </c>
      <c r="K908" s="11">
        <f>O908</f>
        <v/>
      </c>
      <c r="L908" s="11">
        <f>L907+IF(K908&gt;0,K908*Summary!$B$9,K908/Summary!$B$9)</f>
        <v/>
      </c>
      <c r="M908" s="11">
        <f>G908+H908</f>
        <v/>
      </c>
      <c r="N908" s="11">
        <f>Summary!$C$16*Summary!$B$8</f>
        <v/>
      </c>
      <c r="O908" s="11">
        <f>M908-N908</f>
        <v/>
      </c>
    </row>
    <row r="909">
      <c r="A909" s="9" t="n">
        <v>45329.79166666666</v>
      </c>
      <c r="B909" t="n">
        <v>2</v>
      </c>
      <c r="C909" t="n">
        <v>7</v>
      </c>
      <c r="D909" t="n">
        <v>19</v>
      </c>
      <c r="E909" s="10" t="n">
        <v>0</v>
      </c>
      <c r="F909" s="10" t="n">
        <v>0.3835534520528284</v>
      </c>
      <c r="G909" s="11">
        <f>E909*Summary!$B$6</f>
        <v/>
      </c>
      <c r="H909" s="11">
        <f>F909*Summary!$B$7</f>
        <v/>
      </c>
      <c r="I909" s="11">
        <f>MAX(0,N909-M909)</f>
        <v/>
      </c>
      <c r="J909" s="11">
        <f>MAX(0,M909-N909)</f>
        <v/>
      </c>
      <c r="K909" s="11">
        <f>O909</f>
        <v/>
      </c>
      <c r="L909" s="11">
        <f>L908+IF(K909&gt;0,K909*Summary!$B$9,K909/Summary!$B$9)</f>
        <v/>
      </c>
      <c r="M909" s="11">
        <f>G909+H909</f>
        <v/>
      </c>
      <c r="N909" s="11">
        <f>Summary!$C$16*Summary!$B$8</f>
        <v/>
      </c>
      <c r="O909" s="11">
        <f>M909-N909</f>
        <v/>
      </c>
    </row>
    <row r="910">
      <c r="A910" s="9" t="n">
        <v>45329.83333333334</v>
      </c>
      <c r="B910" t="n">
        <v>2</v>
      </c>
      <c r="C910" t="n">
        <v>7</v>
      </c>
      <c r="D910" t="n">
        <v>20</v>
      </c>
      <c r="E910" s="10" t="n">
        <v>0</v>
      </c>
      <c r="F910" s="10" t="n">
        <v>0.3762275942946226</v>
      </c>
      <c r="G910" s="11">
        <f>E910*Summary!$B$6</f>
        <v/>
      </c>
      <c r="H910" s="11">
        <f>F910*Summary!$B$7</f>
        <v/>
      </c>
      <c r="I910" s="11">
        <f>MAX(0,N910-M910)</f>
        <v/>
      </c>
      <c r="J910" s="11">
        <f>MAX(0,M910-N910)</f>
        <v/>
      </c>
      <c r="K910" s="11">
        <f>O910</f>
        <v/>
      </c>
      <c r="L910" s="11">
        <f>L909+IF(K910&gt;0,K910*Summary!$B$9,K910/Summary!$B$9)</f>
        <v/>
      </c>
      <c r="M910" s="11">
        <f>G910+H910</f>
        <v/>
      </c>
      <c r="N910" s="11">
        <f>Summary!$C$16*Summary!$B$8</f>
        <v/>
      </c>
      <c r="O910" s="11">
        <f>M910-N910</f>
        <v/>
      </c>
    </row>
    <row r="911">
      <c r="A911" s="9" t="n">
        <v>45329.875</v>
      </c>
      <c r="B911" t="n">
        <v>2</v>
      </c>
      <c r="C911" t="n">
        <v>7</v>
      </c>
      <c r="D911" t="n">
        <v>21</v>
      </c>
      <c r="E911" s="10" t="n">
        <v>0</v>
      </c>
      <c r="F911" s="10" t="n">
        <v>0.3750154020036965</v>
      </c>
      <c r="G911" s="11">
        <f>E911*Summary!$B$6</f>
        <v/>
      </c>
      <c r="H911" s="11">
        <f>F911*Summary!$B$7</f>
        <v/>
      </c>
      <c r="I911" s="11">
        <f>MAX(0,N911-M911)</f>
        <v/>
      </c>
      <c r="J911" s="11">
        <f>MAX(0,M911-N911)</f>
        <v/>
      </c>
      <c r="K911" s="11">
        <f>O911</f>
        <v/>
      </c>
      <c r="L911" s="11">
        <f>L910+IF(K911&gt;0,K911*Summary!$B$9,K911/Summary!$B$9)</f>
        <v/>
      </c>
      <c r="M911" s="11">
        <f>G911+H911</f>
        <v/>
      </c>
      <c r="N911" s="11">
        <f>Summary!$C$16*Summary!$B$8</f>
        <v/>
      </c>
      <c r="O911" s="11">
        <f>M911-N911</f>
        <v/>
      </c>
    </row>
    <row r="912">
      <c r="A912" s="9" t="n">
        <v>45329.91666666666</v>
      </c>
      <c r="B912" t="n">
        <v>2</v>
      </c>
      <c r="C912" t="n">
        <v>7</v>
      </c>
      <c r="D912" t="n">
        <v>22</v>
      </c>
      <c r="E912" s="10" t="n">
        <v>0</v>
      </c>
      <c r="F912" s="10" t="n">
        <v>0.3796533551168052</v>
      </c>
      <c r="G912" s="11">
        <f>E912*Summary!$B$6</f>
        <v/>
      </c>
      <c r="H912" s="11">
        <f>F912*Summary!$B$7</f>
        <v/>
      </c>
      <c r="I912" s="11">
        <f>MAX(0,N912-M912)</f>
        <v/>
      </c>
      <c r="J912" s="11">
        <f>MAX(0,M912-N912)</f>
        <v/>
      </c>
      <c r="K912" s="11">
        <f>O912</f>
        <v/>
      </c>
      <c r="L912" s="11">
        <f>L911+IF(K912&gt;0,K912*Summary!$B$9,K912/Summary!$B$9)</f>
        <v/>
      </c>
      <c r="M912" s="11">
        <f>G912+H912</f>
        <v/>
      </c>
      <c r="N912" s="11">
        <f>Summary!$C$16*Summary!$B$8</f>
        <v/>
      </c>
      <c r="O912" s="11">
        <f>M912-N912</f>
        <v/>
      </c>
    </row>
    <row r="913">
      <c r="A913" s="9" t="n">
        <v>45329.95833333334</v>
      </c>
      <c r="B913" t="n">
        <v>2</v>
      </c>
      <c r="C913" t="n">
        <v>7</v>
      </c>
      <c r="D913" t="n">
        <v>23</v>
      </c>
      <c r="E913" s="10" t="n">
        <v>0</v>
      </c>
      <c r="F913" s="10" t="n">
        <v>0.3897725255454061</v>
      </c>
      <c r="G913" s="11">
        <f>E913*Summary!$B$6</f>
        <v/>
      </c>
      <c r="H913" s="11">
        <f>F913*Summary!$B$7</f>
        <v/>
      </c>
      <c r="I913" s="11">
        <f>MAX(0,N913-M913)</f>
        <v/>
      </c>
      <c r="J913" s="11">
        <f>MAX(0,M913-N913)</f>
        <v/>
      </c>
      <c r="K913" s="11">
        <f>O913</f>
        <v/>
      </c>
      <c r="L913" s="11">
        <f>L912+IF(K913&gt;0,K913*Summary!$B$9,K913/Summary!$B$9)</f>
        <v/>
      </c>
      <c r="M913" s="11">
        <f>G913+H913</f>
        <v/>
      </c>
      <c r="N913" s="11">
        <f>Summary!$C$16*Summary!$B$8</f>
        <v/>
      </c>
      <c r="O913" s="11">
        <f>M913-N913</f>
        <v/>
      </c>
    </row>
    <row r="914">
      <c r="A914" s="9" t="n">
        <v>45330</v>
      </c>
      <c r="B914" t="n">
        <v>2</v>
      </c>
      <c r="C914" t="n">
        <v>8</v>
      </c>
      <c r="D914" t="n">
        <v>0</v>
      </c>
      <c r="E914" s="10" t="n">
        <v>0</v>
      </c>
      <c r="F914" s="10" t="n">
        <v>0.4387609053026173</v>
      </c>
      <c r="G914" s="11">
        <f>E914*Summary!$B$6</f>
        <v/>
      </c>
      <c r="H914" s="11">
        <f>F914*Summary!$B$7</f>
        <v/>
      </c>
      <c r="I914" s="11">
        <f>MAX(0,N914-M914)</f>
        <v/>
      </c>
      <c r="J914" s="11">
        <f>MAX(0,M914-N914)</f>
        <v/>
      </c>
      <c r="K914" s="11">
        <f>O914</f>
        <v/>
      </c>
      <c r="L914" s="11">
        <f>L913+IF(K914&gt;0,K914*Summary!$B$9,K914/Summary!$B$9)</f>
        <v/>
      </c>
      <c r="M914" s="11">
        <f>G914+H914</f>
        <v/>
      </c>
      <c r="N914" s="11">
        <f>Summary!$C$16*Summary!$B$8</f>
        <v/>
      </c>
      <c r="O914" s="11">
        <f>M914-N914</f>
        <v/>
      </c>
    </row>
    <row r="915">
      <c r="A915" s="9" t="n">
        <v>45330.04166666666</v>
      </c>
      <c r="B915" t="n">
        <v>2</v>
      </c>
      <c r="C915" t="n">
        <v>8</v>
      </c>
      <c r="D915" t="n">
        <v>1</v>
      </c>
      <c r="E915" s="10" t="n">
        <v>0</v>
      </c>
      <c r="F915" s="10" t="n">
        <v>0.4165725159774039</v>
      </c>
      <c r="G915" s="11">
        <f>E915*Summary!$B$6</f>
        <v/>
      </c>
      <c r="H915" s="11">
        <f>F915*Summary!$B$7</f>
        <v/>
      </c>
      <c r="I915" s="11">
        <f>MAX(0,N915-M915)</f>
        <v/>
      </c>
      <c r="J915" s="11">
        <f>MAX(0,M915-N915)</f>
        <v/>
      </c>
      <c r="K915" s="11">
        <f>O915</f>
        <v/>
      </c>
      <c r="L915" s="11">
        <f>L914+IF(K915&gt;0,K915*Summary!$B$9,K915/Summary!$B$9)</f>
        <v/>
      </c>
      <c r="M915" s="11">
        <f>G915+H915</f>
        <v/>
      </c>
      <c r="N915" s="11">
        <f>Summary!$C$16*Summary!$B$8</f>
        <v/>
      </c>
      <c r="O915" s="11">
        <f>M915-N915</f>
        <v/>
      </c>
    </row>
    <row r="916">
      <c r="A916" s="9" t="n">
        <v>45330.08333333334</v>
      </c>
      <c r="B916" t="n">
        <v>2</v>
      </c>
      <c r="C916" t="n">
        <v>8</v>
      </c>
      <c r="D916" t="n">
        <v>2</v>
      </c>
      <c r="E916" s="10" t="n">
        <v>0</v>
      </c>
      <c r="F916" s="10" t="n">
        <v>0.4232132215711732</v>
      </c>
      <c r="G916" s="11">
        <f>E916*Summary!$B$6</f>
        <v/>
      </c>
      <c r="H916" s="11">
        <f>F916*Summary!$B$7</f>
        <v/>
      </c>
      <c r="I916" s="11">
        <f>MAX(0,N916-M916)</f>
        <v/>
      </c>
      <c r="J916" s="11">
        <f>MAX(0,M916-N916)</f>
        <v/>
      </c>
      <c r="K916" s="11">
        <f>O916</f>
        <v/>
      </c>
      <c r="L916" s="11">
        <f>L915+IF(K916&gt;0,K916*Summary!$B$9,K916/Summary!$B$9)</f>
        <v/>
      </c>
      <c r="M916" s="11">
        <f>G916+H916</f>
        <v/>
      </c>
      <c r="N916" s="11">
        <f>Summary!$C$16*Summary!$B$8</f>
        <v/>
      </c>
      <c r="O916" s="11">
        <f>M916-N916</f>
        <v/>
      </c>
    </row>
    <row r="917">
      <c r="A917" s="9" t="n">
        <v>45330.125</v>
      </c>
      <c r="B917" t="n">
        <v>2</v>
      </c>
      <c r="C917" t="n">
        <v>8</v>
      </c>
      <c r="D917" t="n">
        <v>3</v>
      </c>
      <c r="E917" s="10" t="n">
        <v>0</v>
      </c>
      <c r="F917" s="10" t="n">
        <v>0.4300120392028894</v>
      </c>
      <c r="G917" s="11">
        <f>E917*Summary!$B$6</f>
        <v/>
      </c>
      <c r="H917" s="11">
        <f>F917*Summary!$B$7</f>
        <v/>
      </c>
      <c r="I917" s="11">
        <f>MAX(0,N917-M917)</f>
        <v/>
      </c>
      <c r="J917" s="11">
        <f>MAX(0,M917-N917)</f>
        <v/>
      </c>
      <c r="K917" s="11">
        <f>O917</f>
        <v/>
      </c>
      <c r="L917" s="11">
        <f>L916+IF(K917&gt;0,K917*Summary!$B$9,K917/Summary!$B$9)</f>
        <v/>
      </c>
      <c r="M917" s="11">
        <f>G917+H917</f>
        <v/>
      </c>
      <c r="N917" s="11">
        <f>Summary!$C$16*Summary!$B$8</f>
        <v/>
      </c>
      <c r="O917" s="11">
        <f>M917-N917</f>
        <v/>
      </c>
    </row>
    <row r="918">
      <c r="A918" s="9" t="n">
        <v>45330.16666666666</v>
      </c>
      <c r="B918" t="n">
        <v>2</v>
      </c>
      <c r="C918" t="n">
        <v>8</v>
      </c>
      <c r="D918" t="n">
        <v>4</v>
      </c>
      <c r="E918" s="10" t="n">
        <v>0</v>
      </c>
      <c r="F918" s="10" t="n">
        <v>0.435519608524706</v>
      </c>
      <c r="G918" s="11">
        <f>E918*Summary!$B$6</f>
        <v/>
      </c>
      <c r="H918" s="11">
        <f>F918*Summary!$B$7</f>
        <v/>
      </c>
      <c r="I918" s="11">
        <f>MAX(0,N918-M918)</f>
        <v/>
      </c>
      <c r="J918" s="11">
        <f>MAX(0,M918-N918)</f>
        <v/>
      </c>
      <c r="K918" s="11">
        <f>O918</f>
        <v/>
      </c>
      <c r="L918" s="11">
        <f>L917+IF(K918&gt;0,K918*Summary!$B$9,K918/Summary!$B$9)</f>
        <v/>
      </c>
      <c r="M918" s="11">
        <f>G918+H918</f>
        <v/>
      </c>
      <c r="N918" s="11">
        <f>Summary!$C$16*Summary!$B$8</f>
        <v/>
      </c>
      <c r="O918" s="11">
        <f>M918-N918</f>
        <v/>
      </c>
    </row>
    <row r="919">
      <c r="A919" s="9" t="n">
        <v>45330.20833333334</v>
      </c>
      <c r="B919" t="n">
        <v>2</v>
      </c>
      <c r="C919" t="n">
        <v>8</v>
      </c>
      <c r="D919" t="n">
        <v>5</v>
      </c>
      <c r="E919" s="10" t="n">
        <v>0</v>
      </c>
      <c r="F919" s="10" t="n">
        <v>0.438418329220399</v>
      </c>
      <c r="G919" s="11">
        <f>E919*Summary!$B$6</f>
        <v/>
      </c>
      <c r="H919" s="11">
        <f>F919*Summary!$B$7</f>
        <v/>
      </c>
      <c r="I919" s="11">
        <f>MAX(0,N919-M919)</f>
        <v/>
      </c>
      <c r="J919" s="11">
        <f>MAX(0,M919-N919)</f>
        <v/>
      </c>
      <c r="K919" s="11">
        <f>O919</f>
        <v/>
      </c>
      <c r="L919" s="11">
        <f>L918+IF(K919&gt;0,K919*Summary!$B$9,K919/Summary!$B$9)</f>
        <v/>
      </c>
      <c r="M919" s="11">
        <f>G919+H919</f>
        <v/>
      </c>
      <c r="N919" s="11">
        <f>Summary!$C$16*Summary!$B$8</f>
        <v/>
      </c>
      <c r="O919" s="11">
        <f>M919-N919</f>
        <v/>
      </c>
    </row>
    <row r="920">
      <c r="A920" s="9" t="n">
        <v>45330.25</v>
      </c>
      <c r="B920" t="n">
        <v>2</v>
      </c>
      <c r="C920" t="n">
        <v>8</v>
      </c>
      <c r="D920" t="n">
        <v>6</v>
      </c>
      <c r="E920" s="10" t="n">
        <v>0</v>
      </c>
      <c r="F920" s="10" t="n">
        <v>0.4378649370875849</v>
      </c>
      <c r="G920" s="11">
        <f>E920*Summary!$B$6</f>
        <v/>
      </c>
      <c r="H920" s="11">
        <f>F920*Summary!$B$7</f>
        <v/>
      </c>
      <c r="I920" s="11">
        <f>MAX(0,N920-M920)</f>
        <v/>
      </c>
      <c r="J920" s="11">
        <f>MAX(0,M920-N920)</f>
        <v/>
      </c>
      <c r="K920" s="11">
        <f>O920</f>
        <v/>
      </c>
      <c r="L920" s="11">
        <f>L919+IF(K920&gt;0,K920*Summary!$B$9,K920/Summary!$B$9)</f>
        <v/>
      </c>
      <c r="M920" s="11">
        <f>G920+H920</f>
        <v/>
      </c>
      <c r="N920" s="11">
        <f>Summary!$C$16*Summary!$B$8</f>
        <v/>
      </c>
      <c r="O920" s="11">
        <f>M920-N920</f>
        <v/>
      </c>
    </row>
    <row r="921">
      <c r="A921" s="9" t="n">
        <v>45330.29166666666</v>
      </c>
      <c r="B921" t="n">
        <v>2</v>
      </c>
      <c r="C921" t="n">
        <v>8</v>
      </c>
      <c r="D921" t="n">
        <v>7</v>
      </c>
      <c r="E921" s="10" t="n">
        <v>0</v>
      </c>
      <c r="F921" s="10" t="n">
        <v>0.43989404157457</v>
      </c>
      <c r="G921" s="11">
        <f>E921*Summary!$B$6</f>
        <v/>
      </c>
      <c r="H921" s="11">
        <f>F921*Summary!$B$7</f>
        <v/>
      </c>
      <c r="I921" s="11">
        <f>MAX(0,N921-M921)</f>
        <v/>
      </c>
      <c r="J921" s="11">
        <f>MAX(0,M921-N921)</f>
        <v/>
      </c>
      <c r="K921" s="11">
        <f>O921</f>
        <v/>
      </c>
      <c r="L921" s="11">
        <f>L920+IF(K921&gt;0,K921*Summary!$B$9,K921/Summary!$B$9)</f>
        <v/>
      </c>
      <c r="M921" s="11">
        <f>G921+H921</f>
        <v/>
      </c>
      <c r="N921" s="11">
        <f>Summary!$C$16*Summary!$B$8</f>
        <v/>
      </c>
      <c r="O921" s="11">
        <f>M921-N921</f>
        <v/>
      </c>
    </row>
    <row r="922">
      <c r="A922" s="9" t="n">
        <v>45330.33333333334</v>
      </c>
      <c r="B922" t="n">
        <v>2</v>
      </c>
      <c r="C922" t="n">
        <v>8</v>
      </c>
      <c r="D922" t="n">
        <v>8</v>
      </c>
      <c r="E922" s="10" t="n">
        <v>0.011744</v>
      </c>
      <c r="F922" s="10" t="n">
        <v>0.4374433049863932</v>
      </c>
      <c r="G922" s="11">
        <f>E922*Summary!$B$6</f>
        <v/>
      </c>
      <c r="H922" s="11">
        <f>F922*Summary!$B$7</f>
        <v/>
      </c>
      <c r="I922" s="11">
        <f>MAX(0,N922-M922)</f>
        <v/>
      </c>
      <c r="J922" s="11">
        <f>MAX(0,M922-N922)</f>
        <v/>
      </c>
      <c r="K922" s="11">
        <f>O922</f>
        <v/>
      </c>
      <c r="L922" s="11">
        <f>L921+IF(K922&gt;0,K922*Summary!$B$9,K922/Summary!$B$9)</f>
        <v/>
      </c>
      <c r="M922" s="11">
        <f>G922+H922</f>
        <v/>
      </c>
      <c r="N922" s="11">
        <f>Summary!$C$16*Summary!$B$8</f>
        <v/>
      </c>
      <c r="O922" s="11">
        <f>M922-N922</f>
        <v/>
      </c>
    </row>
    <row r="923">
      <c r="A923" s="9" t="n">
        <v>45330.375</v>
      </c>
      <c r="B923" t="n">
        <v>2</v>
      </c>
      <c r="C923" t="n">
        <v>8</v>
      </c>
      <c r="D923" t="n">
        <v>9</v>
      </c>
      <c r="E923" s="10" t="n">
        <v>0.013596</v>
      </c>
      <c r="F923" s="10" t="n">
        <v>0.427086966500872</v>
      </c>
      <c r="G923" s="11">
        <f>E923*Summary!$B$6</f>
        <v/>
      </c>
      <c r="H923" s="11">
        <f>F923*Summary!$B$7</f>
        <v/>
      </c>
      <c r="I923" s="11">
        <f>MAX(0,N923-M923)</f>
        <v/>
      </c>
      <c r="J923" s="11">
        <f>MAX(0,M923-N923)</f>
        <v/>
      </c>
      <c r="K923" s="11">
        <f>O923</f>
        <v/>
      </c>
      <c r="L923" s="11">
        <f>L922+IF(K923&gt;0,K923*Summary!$B$9,K923/Summary!$B$9)</f>
        <v/>
      </c>
      <c r="M923" s="11">
        <f>G923+H923</f>
        <v/>
      </c>
      <c r="N923" s="11">
        <f>Summary!$C$16*Summary!$B$8</f>
        <v/>
      </c>
      <c r="O923" s="11">
        <f>M923-N923</f>
        <v/>
      </c>
    </row>
    <row r="924">
      <c r="A924" s="9" t="n">
        <v>45330.41666666666</v>
      </c>
      <c r="B924" t="n">
        <v>2</v>
      </c>
      <c r="C924" t="n">
        <v>8</v>
      </c>
      <c r="D924" t="n">
        <v>10</v>
      </c>
      <c r="E924" s="10" t="n">
        <v>0.021237</v>
      </c>
      <c r="F924" s="10" t="n">
        <v>0.4237402616976628</v>
      </c>
      <c r="G924" s="11">
        <f>E924*Summary!$B$6</f>
        <v/>
      </c>
      <c r="H924" s="11">
        <f>F924*Summary!$B$7</f>
        <v/>
      </c>
      <c r="I924" s="11">
        <f>MAX(0,N924-M924)</f>
        <v/>
      </c>
      <c r="J924" s="11">
        <f>MAX(0,M924-N924)</f>
        <v/>
      </c>
      <c r="K924" s="11">
        <f>O924</f>
        <v/>
      </c>
      <c r="L924" s="11">
        <f>L923+IF(K924&gt;0,K924*Summary!$B$9,K924/Summary!$B$9)</f>
        <v/>
      </c>
      <c r="M924" s="11">
        <f>G924+H924</f>
        <v/>
      </c>
      <c r="N924" s="11">
        <f>Summary!$C$16*Summary!$B$8</f>
        <v/>
      </c>
      <c r="O924" s="11">
        <f>M924-N924</f>
        <v/>
      </c>
    </row>
    <row r="925">
      <c r="A925" s="9" t="n">
        <v>45330.45833333334</v>
      </c>
      <c r="B925" t="n">
        <v>2</v>
      </c>
      <c r="C925" t="n">
        <v>8</v>
      </c>
      <c r="D925" t="n">
        <v>11</v>
      </c>
      <c r="E925" s="10" t="n">
        <v>0.04124</v>
      </c>
      <c r="F925" s="10" t="n">
        <v>0.4195239406857457</v>
      </c>
      <c r="G925" s="11">
        <f>E925*Summary!$B$6</f>
        <v/>
      </c>
      <c r="H925" s="11">
        <f>F925*Summary!$B$7</f>
        <v/>
      </c>
      <c r="I925" s="11">
        <f>MAX(0,N925-M925)</f>
        <v/>
      </c>
      <c r="J925" s="11">
        <f>MAX(0,M925-N925)</f>
        <v/>
      </c>
      <c r="K925" s="11">
        <f>O925</f>
        <v/>
      </c>
      <c r="L925" s="11">
        <f>L924+IF(K925&gt;0,K925*Summary!$B$9,K925/Summary!$B$9)</f>
        <v/>
      </c>
      <c r="M925" s="11">
        <f>G925+H925</f>
        <v/>
      </c>
      <c r="N925" s="11">
        <f>Summary!$C$16*Summary!$B$8</f>
        <v/>
      </c>
      <c r="O925" s="11">
        <f>M925-N925</f>
        <v/>
      </c>
    </row>
    <row r="926">
      <c r="A926" s="9" t="n">
        <v>45330.5</v>
      </c>
      <c r="B926" t="n">
        <v>2</v>
      </c>
      <c r="C926" t="n">
        <v>8</v>
      </c>
      <c r="D926" t="n">
        <v>12</v>
      </c>
      <c r="E926" s="10" t="n">
        <v>0.053899</v>
      </c>
      <c r="F926" s="10" t="n">
        <v>0.4158610118066429</v>
      </c>
      <c r="G926" s="11">
        <f>E926*Summary!$B$6</f>
        <v/>
      </c>
      <c r="H926" s="11">
        <f>F926*Summary!$B$7</f>
        <v/>
      </c>
      <c r="I926" s="11">
        <f>MAX(0,N926-M926)</f>
        <v/>
      </c>
      <c r="J926" s="11">
        <f>MAX(0,M926-N926)</f>
        <v/>
      </c>
      <c r="K926" s="11">
        <f>O926</f>
        <v/>
      </c>
      <c r="L926" s="11">
        <f>L925+IF(K926&gt;0,K926*Summary!$B$9,K926/Summary!$B$9)</f>
        <v/>
      </c>
      <c r="M926" s="11">
        <f>G926+H926</f>
        <v/>
      </c>
      <c r="N926" s="11">
        <f>Summary!$C$16*Summary!$B$8</f>
        <v/>
      </c>
      <c r="O926" s="11">
        <f>M926-N926</f>
        <v/>
      </c>
    </row>
    <row r="927">
      <c r="A927" s="9" t="n">
        <v>45330.54166666666</v>
      </c>
      <c r="B927" t="n">
        <v>2</v>
      </c>
      <c r="C927" t="n">
        <v>8</v>
      </c>
      <c r="D927" t="n">
        <v>13</v>
      </c>
      <c r="E927" s="10" t="n">
        <v>0.07956000000000001</v>
      </c>
      <c r="F927" s="10" t="n">
        <v>0.4140427233702536</v>
      </c>
      <c r="G927" s="11">
        <f>E927*Summary!$B$6</f>
        <v/>
      </c>
      <c r="H927" s="11">
        <f>F927*Summary!$B$7</f>
        <v/>
      </c>
      <c r="I927" s="11">
        <f>MAX(0,N927-M927)</f>
        <v/>
      </c>
      <c r="J927" s="11">
        <f>MAX(0,M927-N927)</f>
        <v/>
      </c>
      <c r="K927" s="11">
        <f>O927</f>
        <v/>
      </c>
      <c r="L927" s="11">
        <f>L926+IF(K927&gt;0,K927*Summary!$B$9,K927/Summary!$B$9)</f>
        <v/>
      </c>
      <c r="M927" s="11">
        <f>G927+H927</f>
        <v/>
      </c>
      <c r="N927" s="11">
        <f>Summary!$C$16*Summary!$B$8</f>
        <v/>
      </c>
      <c r="O927" s="11">
        <f>M927-N927</f>
        <v/>
      </c>
    </row>
    <row r="928">
      <c r="A928" s="9" t="n">
        <v>45330.58333333334</v>
      </c>
      <c r="B928" t="n">
        <v>2</v>
      </c>
      <c r="C928" t="n">
        <v>8</v>
      </c>
      <c r="D928" t="n">
        <v>14</v>
      </c>
      <c r="E928" s="10" t="n">
        <v>0.113682</v>
      </c>
      <c r="F928" s="10" t="n">
        <v>0.4181009323442237</v>
      </c>
      <c r="G928" s="11">
        <f>E928*Summary!$B$6</f>
        <v/>
      </c>
      <c r="H928" s="11">
        <f>F928*Summary!$B$7</f>
        <v/>
      </c>
      <c r="I928" s="11">
        <f>MAX(0,N928-M928)</f>
        <v/>
      </c>
      <c r="J928" s="11">
        <f>MAX(0,M928-N928)</f>
        <v/>
      </c>
      <c r="K928" s="11">
        <f>O928</f>
        <v/>
      </c>
      <c r="L928" s="11">
        <f>L927+IF(K928&gt;0,K928*Summary!$B$9,K928/Summary!$B$9)</f>
        <v/>
      </c>
      <c r="M928" s="11">
        <f>G928+H928</f>
        <v/>
      </c>
      <c r="N928" s="11">
        <f>Summary!$C$16*Summary!$B$8</f>
        <v/>
      </c>
      <c r="O928" s="11">
        <f>M928-N928</f>
        <v/>
      </c>
    </row>
    <row r="929">
      <c r="A929" s="9" t="n">
        <v>45330.625</v>
      </c>
      <c r="B929" t="n">
        <v>2</v>
      </c>
      <c r="C929" t="n">
        <v>8</v>
      </c>
      <c r="D929" t="n">
        <v>15</v>
      </c>
      <c r="E929" s="10" t="n">
        <v>0.037078</v>
      </c>
      <c r="F929" s="10" t="n">
        <v>0.4171786121228669</v>
      </c>
      <c r="G929" s="11">
        <f>E929*Summary!$B$6</f>
        <v/>
      </c>
      <c r="H929" s="11">
        <f>F929*Summary!$B$7</f>
        <v/>
      </c>
      <c r="I929" s="11">
        <f>MAX(0,N929-M929)</f>
        <v/>
      </c>
      <c r="J929" s="11">
        <f>MAX(0,M929-N929)</f>
        <v/>
      </c>
      <c r="K929" s="11">
        <f>O929</f>
        <v/>
      </c>
      <c r="L929" s="11">
        <f>L928+IF(K929&gt;0,K929*Summary!$B$9,K929/Summary!$B$9)</f>
        <v/>
      </c>
      <c r="M929" s="11">
        <f>G929+H929</f>
        <v/>
      </c>
      <c r="N929" s="11">
        <f>Summary!$C$16*Summary!$B$8</f>
        <v/>
      </c>
      <c r="O929" s="11">
        <f>M929-N929</f>
        <v/>
      </c>
    </row>
    <row r="930">
      <c r="A930" s="9" t="n">
        <v>45330.66666666666</v>
      </c>
      <c r="B930" t="n">
        <v>2</v>
      </c>
      <c r="C930" t="n">
        <v>8</v>
      </c>
      <c r="D930" t="n">
        <v>16</v>
      </c>
      <c r="E930" s="10" t="n">
        <v>0</v>
      </c>
      <c r="F930" s="10" t="n">
        <v>0.4225017174004122</v>
      </c>
      <c r="G930" s="11">
        <f>E930*Summary!$B$6</f>
        <v/>
      </c>
      <c r="H930" s="11">
        <f>F930*Summary!$B$7</f>
        <v/>
      </c>
      <c r="I930" s="11">
        <f>MAX(0,N930-M930)</f>
        <v/>
      </c>
      <c r="J930" s="11">
        <f>MAX(0,M930-N930)</f>
        <v/>
      </c>
      <c r="K930" s="11">
        <f>O930</f>
        <v/>
      </c>
      <c r="L930" s="11">
        <f>L929+IF(K930&gt;0,K930*Summary!$B$9,K930/Summary!$B$9)</f>
        <v/>
      </c>
      <c r="M930" s="11">
        <f>G930+H930</f>
        <v/>
      </c>
      <c r="N930" s="11">
        <f>Summary!$C$16*Summary!$B$8</f>
        <v/>
      </c>
      <c r="O930" s="11">
        <f>M930-N930</f>
        <v/>
      </c>
    </row>
    <row r="931">
      <c r="A931" s="9" t="n">
        <v>45330.70833333334</v>
      </c>
      <c r="B931" t="n">
        <v>2</v>
      </c>
      <c r="C931" t="n">
        <v>8</v>
      </c>
      <c r="D931" t="n">
        <v>17</v>
      </c>
      <c r="E931" s="10" t="n">
        <v>0</v>
      </c>
      <c r="F931" s="10" t="n">
        <v>0.4454543149090355</v>
      </c>
      <c r="G931" s="11">
        <f>E931*Summary!$B$6</f>
        <v/>
      </c>
      <c r="H931" s="11">
        <f>F931*Summary!$B$7</f>
        <v/>
      </c>
      <c r="I931" s="11">
        <f>MAX(0,N931-M931)</f>
        <v/>
      </c>
      <c r="J931" s="11">
        <f>MAX(0,M931-N931)</f>
        <v/>
      </c>
      <c r="K931" s="11">
        <f>O931</f>
        <v/>
      </c>
      <c r="L931" s="11">
        <f>L930+IF(K931&gt;0,K931*Summary!$B$9,K931/Summary!$B$9)</f>
        <v/>
      </c>
      <c r="M931" s="11">
        <f>G931+H931</f>
        <v/>
      </c>
      <c r="N931" s="11">
        <f>Summary!$C$16*Summary!$B$8</f>
        <v/>
      </c>
      <c r="O931" s="11">
        <f>M931-N931</f>
        <v/>
      </c>
    </row>
    <row r="932">
      <c r="A932" s="9" t="n">
        <v>45330.75</v>
      </c>
      <c r="B932" t="n">
        <v>2</v>
      </c>
      <c r="C932" t="n">
        <v>8</v>
      </c>
      <c r="D932" t="n">
        <v>18</v>
      </c>
      <c r="E932" s="10" t="n">
        <v>0</v>
      </c>
      <c r="F932" s="10" t="n">
        <v>0.4401839136441393</v>
      </c>
      <c r="G932" s="11">
        <f>E932*Summary!$B$6</f>
        <v/>
      </c>
      <c r="H932" s="11">
        <f>F932*Summary!$B$7</f>
        <v/>
      </c>
      <c r="I932" s="11">
        <f>MAX(0,N932-M932)</f>
        <v/>
      </c>
      <c r="J932" s="11">
        <f>MAX(0,M932-N932)</f>
        <v/>
      </c>
      <c r="K932" s="11">
        <f>O932</f>
        <v/>
      </c>
      <c r="L932" s="11">
        <f>L931+IF(K932&gt;0,K932*Summary!$B$9,K932/Summary!$B$9)</f>
        <v/>
      </c>
      <c r="M932" s="11">
        <f>G932+H932</f>
        <v/>
      </c>
      <c r="N932" s="11">
        <f>Summary!$C$16*Summary!$B$8</f>
        <v/>
      </c>
      <c r="O932" s="11">
        <f>M932-N932</f>
        <v/>
      </c>
    </row>
    <row r="933">
      <c r="A933" s="9" t="n">
        <v>45330.79166666666</v>
      </c>
      <c r="B933" t="n">
        <v>2</v>
      </c>
      <c r="C933" t="n">
        <v>8</v>
      </c>
      <c r="D933" t="n">
        <v>19</v>
      </c>
      <c r="E933" s="10" t="n">
        <v>0</v>
      </c>
      <c r="F933" s="10" t="n">
        <v>0.4466138031873128</v>
      </c>
      <c r="G933" s="11">
        <f>E933*Summary!$B$6</f>
        <v/>
      </c>
      <c r="H933" s="11">
        <f>F933*Summary!$B$7</f>
        <v/>
      </c>
      <c r="I933" s="11">
        <f>MAX(0,N933-M933)</f>
        <v/>
      </c>
      <c r="J933" s="11">
        <f>MAX(0,M933-N933)</f>
        <v/>
      </c>
      <c r="K933" s="11">
        <f>O933</f>
        <v/>
      </c>
      <c r="L933" s="11">
        <f>L932+IF(K933&gt;0,K933*Summary!$B$9,K933/Summary!$B$9)</f>
        <v/>
      </c>
      <c r="M933" s="11">
        <f>G933+H933</f>
        <v/>
      </c>
      <c r="N933" s="11">
        <f>Summary!$C$16*Summary!$B$8</f>
        <v/>
      </c>
      <c r="O933" s="11">
        <f>M933-N933</f>
        <v/>
      </c>
    </row>
    <row r="934">
      <c r="A934" s="9" t="n">
        <v>45330.83333333334</v>
      </c>
      <c r="B934" t="n">
        <v>2</v>
      </c>
      <c r="C934" t="n">
        <v>8</v>
      </c>
      <c r="D934" t="n">
        <v>20</v>
      </c>
      <c r="E934" s="10" t="n">
        <v>0</v>
      </c>
      <c r="F934" s="10" t="n">
        <v>0.4449009227762215</v>
      </c>
      <c r="G934" s="11">
        <f>E934*Summary!$B$6</f>
        <v/>
      </c>
      <c r="H934" s="11">
        <f>F934*Summary!$B$7</f>
        <v/>
      </c>
      <c r="I934" s="11">
        <f>MAX(0,N934-M934)</f>
        <v/>
      </c>
      <c r="J934" s="11">
        <f>MAX(0,M934-N934)</f>
        <v/>
      </c>
      <c r="K934" s="11">
        <f>O934</f>
        <v/>
      </c>
      <c r="L934" s="11">
        <f>L933+IF(K934&gt;0,K934*Summary!$B$9,K934/Summary!$B$9)</f>
        <v/>
      </c>
      <c r="M934" s="11">
        <f>G934+H934</f>
        <v/>
      </c>
      <c r="N934" s="11">
        <f>Summary!$C$16*Summary!$B$8</f>
        <v/>
      </c>
      <c r="O934" s="11">
        <f>M934-N934</f>
        <v/>
      </c>
    </row>
    <row r="935">
      <c r="A935" s="9" t="n">
        <v>45330.875</v>
      </c>
      <c r="B935" t="n">
        <v>2</v>
      </c>
      <c r="C935" t="n">
        <v>8</v>
      </c>
      <c r="D935" t="n">
        <v>21</v>
      </c>
      <c r="E935" s="10" t="n">
        <v>0</v>
      </c>
      <c r="F935" s="10" t="n">
        <v>0.43989404157457</v>
      </c>
      <c r="G935" s="11">
        <f>E935*Summary!$B$6</f>
        <v/>
      </c>
      <c r="H935" s="11">
        <f>F935*Summary!$B$7</f>
        <v/>
      </c>
      <c r="I935" s="11">
        <f>MAX(0,N935-M935)</f>
        <v/>
      </c>
      <c r="J935" s="11">
        <f>MAX(0,M935-N935)</f>
        <v/>
      </c>
      <c r="K935" s="11">
        <f>O935</f>
        <v/>
      </c>
      <c r="L935" s="11">
        <f>L934+IF(K935&gt;0,K935*Summary!$B$9,K935/Summary!$B$9)</f>
        <v/>
      </c>
      <c r="M935" s="11">
        <f>G935+H935</f>
        <v/>
      </c>
      <c r="N935" s="11">
        <f>Summary!$C$16*Summary!$B$8</f>
        <v/>
      </c>
      <c r="O935" s="11">
        <f>M935-N935</f>
        <v/>
      </c>
    </row>
    <row r="936">
      <c r="A936" s="9" t="n">
        <v>45330.91666666666</v>
      </c>
      <c r="B936" t="n">
        <v>2</v>
      </c>
      <c r="C936" t="n">
        <v>8</v>
      </c>
      <c r="D936" t="n">
        <v>22</v>
      </c>
      <c r="E936" s="10" t="n">
        <v>0</v>
      </c>
      <c r="F936" s="10" t="n">
        <v>0.4364946327587118</v>
      </c>
      <c r="G936" s="11">
        <f>E936*Summary!$B$6</f>
        <v/>
      </c>
      <c r="H936" s="11">
        <f>F936*Summary!$B$7</f>
        <v/>
      </c>
      <c r="I936" s="11">
        <f>MAX(0,N936-M936)</f>
        <v/>
      </c>
      <c r="J936" s="11">
        <f>MAX(0,M936-N936)</f>
        <v/>
      </c>
      <c r="K936" s="11">
        <f>O936</f>
        <v/>
      </c>
      <c r="L936" s="11">
        <f>L935+IF(K936&gt;0,K936*Summary!$B$9,K936/Summary!$B$9)</f>
        <v/>
      </c>
      <c r="M936" s="11">
        <f>G936+H936</f>
        <v/>
      </c>
      <c r="N936" s="11">
        <f>Summary!$C$16*Summary!$B$8</f>
        <v/>
      </c>
      <c r="O936" s="11">
        <f>M936-N936</f>
        <v/>
      </c>
    </row>
    <row r="937">
      <c r="A937" s="9" t="n">
        <v>45330.95833333334</v>
      </c>
      <c r="B937" t="n">
        <v>2</v>
      </c>
      <c r="C937" t="n">
        <v>8</v>
      </c>
      <c r="D937" t="n">
        <v>23</v>
      </c>
      <c r="E937" s="10" t="n">
        <v>0</v>
      </c>
      <c r="F937" s="10" t="n">
        <v>0.4345709362970247</v>
      </c>
      <c r="G937" s="11">
        <f>E937*Summary!$B$6</f>
        <v/>
      </c>
      <c r="H937" s="11">
        <f>F937*Summary!$B$7</f>
        <v/>
      </c>
      <c r="I937" s="11">
        <f>MAX(0,N937-M937)</f>
        <v/>
      </c>
      <c r="J937" s="11">
        <f>MAX(0,M937-N937)</f>
        <v/>
      </c>
      <c r="K937" s="11">
        <f>O937</f>
        <v/>
      </c>
      <c r="L937" s="11">
        <f>L936+IF(K937&gt;0,K937*Summary!$B$9,K937/Summary!$B$9)</f>
        <v/>
      </c>
      <c r="M937" s="11">
        <f>G937+H937</f>
        <v/>
      </c>
      <c r="N937" s="11">
        <f>Summary!$C$16*Summary!$B$8</f>
        <v/>
      </c>
      <c r="O937" s="11">
        <f>M937-N937</f>
        <v/>
      </c>
    </row>
    <row r="938">
      <c r="A938" s="9" t="n">
        <v>45331</v>
      </c>
      <c r="B938" t="n">
        <v>2</v>
      </c>
      <c r="C938" t="n">
        <v>9</v>
      </c>
      <c r="D938" t="n">
        <v>0</v>
      </c>
      <c r="E938" s="10" t="n">
        <v>0</v>
      </c>
      <c r="F938" s="10" t="n">
        <v>0.4949960867990608</v>
      </c>
      <c r="G938" s="11">
        <f>E938*Summary!$B$6</f>
        <v/>
      </c>
      <c r="H938" s="11">
        <f>F938*Summary!$B$7</f>
        <v/>
      </c>
      <c r="I938" s="11">
        <f>MAX(0,N938-M938)</f>
        <v/>
      </c>
      <c r="J938" s="11">
        <f>MAX(0,M938-N938)</f>
        <v/>
      </c>
      <c r="K938" s="11">
        <f>O938</f>
        <v/>
      </c>
      <c r="L938" s="11">
        <f>L937+IF(K938&gt;0,K938*Summary!$B$9,K938/Summary!$B$9)</f>
        <v/>
      </c>
      <c r="M938" s="11">
        <f>G938+H938</f>
        <v/>
      </c>
      <c r="N938" s="11">
        <f>Summary!$C$16*Summary!$B$8</f>
        <v/>
      </c>
      <c r="O938" s="11">
        <f>M938-N938</f>
        <v/>
      </c>
    </row>
    <row r="939">
      <c r="A939" s="9" t="n">
        <v>45331.04166666666</v>
      </c>
      <c r="B939" t="n">
        <v>2</v>
      </c>
      <c r="C939" t="n">
        <v>9</v>
      </c>
      <c r="D939" t="n">
        <v>1</v>
      </c>
      <c r="E939" s="10" t="n">
        <v>0</v>
      </c>
      <c r="F939" s="10" t="n">
        <v>0.4679589283101427</v>
      </c>
      <c r="G939" s="11">
        <f>E939*Summary!$B$6</f>
        <v/>
      </c>
      <c r="H939" s="11">
        <f>F939*Summary!$B$7</f>
        <v/>
      </c>
      <c r="I939" s="11">
        <f>MAX(0,N939-M939)</f>
        <v/>
      </c>
      <c r="J939" s="11">
        <f>MAX(0,M939-N939)</f>
        <v/>
      </c>
      <c r="K939" s="11">
        <f>O939</f>
        <v/>
      </c>
      <c r="L939" s="11">
        <f>L938+IF(K939&gt;0,K939*Summary!$B$9,K939/Summary!$B$9)</f>
        <v/>
      </c>
      <c r="M939" s="11">
        <f>G939+H939</f>
        <v/>
      </c>
      <c r="N939" s="11">
        <f>Summary!$C$16*Summary!$B$8</f>
        <v/>
      </c>
      <c r="O939" s="11">
        <f>M939-N939</f>
        <v/>
      </c>
    </row>
    <row r="940">
      <c r="A940" s="9" t="n">
        <v>45331.08333333334</v>
      </c>
      <c r="B940" t="n">
        <v>2</v>
      </c>
      <c r="C940" t="n">
        <v>9</v>
      </c>
      <c r="D940" t="n">
        <v>2</v>
      </c>
      <c r="E940" s="10" t="n">
        <v>0</v>
      </c>
      <c r="F940" s="10" t="n">
        <v>0.4471935473264513</v>
      </c>
      <c r="G940" s="11">
        <f>E940*Summary!$B$6</f>
        <v/>
      </c>
      <c r="H940" s="11">
        <f>F940*Summary!$B$7</f>
        <v/>
      </c>
      <c r="I940" s="11">
        <f>MAX(0,N940-M940)</f>
        <v/>
      </c>
      <c r="J940" s="11">
        <f>MAX(0,M940-N940)</f>
        <v/>
      </c>
      <c r="K940" s="11">
        <f>O940</f>
        <v/>
      </c>
      <c r="L940" s="11">
        <f>L939+IF(K940&gt;0,K940*Summary!$B$9,K940/Summary!$B$9)</f>
        <v/>
      </c>
      <c r="M940" s="11">
        <f>G940+H940</f>
        <v/>
      </c>
      <c r="N940" s="11">
        <f>Summary!$C$16*Summary!$B$8</f>
        <v/>
      </c>
      <c r="O940" s="11">
        <f>M940-N940</f>
        <v/>
      </c>
    </row>
    <row r="941">
      <c r="A941" s="9" t="n">
        <v>45331.125</v>
      </c>
      <c r="B941" t="n">
        <v>2</v>
      </c>
      <c r="C941" t="n">
        <v>9</v>
      </c>
      <c r="D941" t="n">
        <v>3</v>
      </c>
      <c r="E941" s="10" t="n">
        <v>0</v>
      </c>
      <c r="F941" s="10" t="n">
        <v>0.4506983641676074</v>
      </c>
      <c r="G941" s="11">
        <f>E941*Summary!$B$6</f>
        <v/>
      </c>
      <c r="H941" s="11">
        <f>F941*Summary!$B$7</f>
        <v/>
      </c>
      <c r="I941" s="11">
        <f>MAX(0,N941-M941)</f>
        <v/>
      </c>
      <c r="J941" s="11">
        <f>MAX(0,M941-N941)</f>
        <v/>
      </c>
      <c r="K941" s="11">
        <f>O941</f>
        <v/>
      </c>
      <c r="L941" s="11">
        <f>L940+IF(K941&gt;0,K941*Summary!$B$9,K941/Summary!$B$9)</f>
        <v/>
      </c>
      <c r="M941" s="11">
        <f>G941+H941</f>
        <v/>
      </c>
      <c r="N941" s="11">
        <f>Summary!$C$16*Summary!$B$8</f>
        <v/>
      </c>
      <c r="O941" s="11">
        <f>M941-N941</f>
        <v/>
      </c>
    </row>
    <row r="942">
      <c r="A942" s="9" t="n">
        <v>45331.16666666666</v>
      </c>
      <c r="B942" t="n">
        <v>2</v>
      </c>
      <c r="C942" t="n">
        <v>9</v>
      </c>
      <c r="D942" t="n">
        <v>4</v>
      </c>
      <c r="E942" s="10" t="n">
        <v>0</v>
      </c>
      <c r="F942" s="10" t="n">
        <v>0.4650865596207743</v>
      </c>
      <c r="G942" s="11">
        <f>E942*Summary!$B$6</f>
        <v/>
      </c>
      <c r="H942" s="11">
        <f>F942*Summary!$B$7</f>
        <v/>
      </c>
      <c r="I942" s="11">
        <f>MAX(0,N942-M942)</f>
        <v/>
      </c>
      <c r="J942" s="11">
        <f>MAX(0,M942-N942)</f>
        <v/>
      </c>
      <c r="K942" s="11">
        <f>O942</f>
        <v/>
      </c>
      <c r="L942" s="11">
        <f>L941+IF(K942&gt;0,K942*Summary!$B$9,K942/Summary!$B$9)</f>
        <v/>
      </c>
      <c r="M942" s="11">
        <f>G942+H942</f>
        <v/>
      </c>
      <c r="N942" s="11">
        <f>Summary!$C$16*Summary!$B$8</f>
        <v/>
      </c>
      <c r="O942" s="11">
        <f>M942-N942</f>
        <v/>
      </c>
    </row>
    <row r="943">
      <c r="A943" s="9" t="n">
        <v>45331.20833333334</v>
      </c>
      <c r="B943" t="n">
        <v>2</v>
      </c>
      <c r="C943" t="n">
        <v>9</v>
      </c>
      <c r="D943" t="n">
        <v>5</v>
      </c>
      <c r="E943" s="10" t="n">
        <v>0</v>
      </c>
      <c r="F943" s="10" t="n">
        <v>0.4615553907732938</v>
      </c>
      <c r="G943" s="11">
        <f>E943*Summary!$B$6</f>
        <v/>
      </c>
      <c r="H943" s="11">
        <f>F943*Summary!$B$7</f>
        <v/>
      </c>
      <c r="I943" s="11">
        <f>MAX(0,N943-M943)</f>
        <v/>
      </c>
      <c r="J943" s="11">
        <f>MAX(0,M943-N943)</f>
        <v/>
      </c>
      <c r="K943" s="11">
        <f>O943</f>
        <v/>
      </c>
      <c r="L943" s="11">
        <f>L942+IF(K943&gt;0,K943*Summary!$B$9,K943/Summary!$B$9)</f>
        <v/>
      </c>
      <c r="M943" s="11">
        <f>G943+H943</f>
        <v/>
      </c>
      <c r="N943" s="11">
        <f>Summary!$C$16*Summary!$B$8</f>
        <v/>
      </c>
      <c r="O943" s="11">
        <f>M943-N943</f>
        <v/>
      </c>
    </row>
    <row r="944">
      <c r="A944" s="9" t="n">
        <v>45331.25</v>
      </c>
      <c r="B944" t="n">
        <v>2</v>
      </c>
      <c r="C944" t="n">
        <v>9</v>
      </c>
      <c r="D944" t="n">
        <v>6</v>
      </c>
      <c r="E944" s="10" t="n">
        <v>0</v>
      </c>
      <c r="F944" s="10" t="n">
        <v>0.4663778079306739</v>
      </c>
      <c r="G944" s="11">
        <f>E944*Summary!$B$6</f>
        <v/>
      </c>
      <c r="H944" s="11">
        <f>F944*Summary!$B$7</f>
        <v/>
      </c>
      <c r="I944" s="11">
        <f>MAX(0,N944-M944)</f>
        <v/>
      </c>
      <c r="J944" s="11">
        <f>MAX(0,M944-N944)</f>
        <v/>
      </c>
      <c r="K944" s="11">
        <f>O944</f>
        <v/>
      </c>
      <c r="L944" s="11">
        <f>L943+IF(K944&gt;0,K944*Summary!$B$9,K944/Summary!$B$9)</f>
        <v/>
      </c>
      <c r="M944" s="11">
        <f>G944+H944</f>
        <v/>
      </c>
      <c r="N944" s="11">
        <f>Summary!$C$16*Summary!$B$8</f>
        <v/>
      </c>
      <c r="O944" s="11">
        <f>M944-N944</f>
        <v/>
      </c>
    </row>
    <row r="945">
      <c r="A945" s="9" t="n">
        <v>45331.29166666666</v>
      </c>
      <c r="B945" t="n">
        <v>2</v>
      </c>
      <c r="C945" t="n">
        <v>9</v>
      </c>
      <c r="D945" t="n">
        <v>7</v>
      </c>
      <c r="E945" s="10" t="n">
        <v>0</v>
      </c>
      <c r="F945" s="10" t="n">
        <v>0.487564821015557</v>
      </c>
      <c r="G945" s="11">
        <f>E945*Summary!$B$6</f>
        <v/>
      </c>
      <c r="H945" s="11">
        <f>F945*Summary!$B$7</f>
        <v/>
      </c>
      <c r="I945" s="11">
        <f>MAX(0,N945-M945)</f>
        <v/>
      </c>
      <c r="J945" s="11">
        <f>MAX(0,M945-N945)</f>
        <v/>
      </c>
      <c r="K945" s="11">
        <f>O945</f>
        <v/>
      </c>
      <c r="L945" s="11">
        <f>L944+IF(K945&gt;0,K945*Summary!$B$9,K945/Summary!$B$9)</f>
        <v/>
      </c>
      <c r="M945" s="11">
        <f>G945+H945</f>
        <v/>
      </c>
      <c r="N945" s="11">
        <f>Summary!$C$16*Summary!$B$8</f>
        <v/>
      </c>
      <c r="O945" s="11">
        <f>M945-N945</f>
        <v/>
      </c>
    </row>
    <row r="946">
      <c r="A946" s="9" t="n">
        <v>45331.33333333334</v>
      </c>
      <c r="B946" t="n">
        <v>2</v>
      </c>
      <c r="C946" t="n">
        <v>9</v>
      </c>
      <c r="D946" t="n">
        <v>8</v>
      </c>
      <c r="E946" s="10" t="n">
        <v>0.002473</v>
      </c>
      <c r="F946" s="10" t="n">
        <v>0.4670102560824614</v>
      </c>
      <c r="G946" s="11">
        <f>E946*Summary!$B$6</f>
        <v/>
      </c>
      <c r="H946" s="11">
        <f>F946*Summary!$B$7</f>
        <v/>
      </c>
      <c r="I946" s="11">
        <f>MAX(0,N946-M946)</f>
        <v/>
      </c>
      <c r="J946" s="11">
        <f>MAX(0,M946-N946)</f>
        <v/>
      </c>
      <c r="K946" s="11">
        <f>O946</f>
        <v/>
      </c>
      <c r="L946" s="11">
        <f>L945+IF(K946&gt;0,K946*Summary!$B$9,K946/Summary!$B$9)</f>
        <v/>
      </c>
      <c r="M946" s="11">
        <f>G946+H946</f>
        <v/>
      </c>
      <c r="N946" s="11">
        <f>Summary!$C$16*Summary!$B$8</f>
        <v/>
      </c>
      <c r="O946" s="11">
        <f>M946-N946</f>
        <v/>
      </c>
    </row>
    <row r="947">
      <c r="A947" s="9" t="n">
        <v>45331.375</v>
      </c>
      <c r="B947" t="n">
        <v>2</v>
      </c>
      <c r="C947" t="n">
        <v>9</v>
      </c>
      <c r="D947" t="n">
        <v>9</v>
      </c>
      <c r="E947" s="10" t="n">
        <v>0.002002</v>
      </c>
      <c r="F947" s="10" t="n">
        <v>0.4593154702357129</v>
      </c>
      <c r="G947" s="11">
        <f>E947*Summary!$B$6</f>
        <v/>
      </c>
      <c r="H947" s="11">
        <f>F947*Summary!$B$7</f>
        <v/>
      </c>
      <c r="I947" s="11">
        <f>MAX(0,N947-M947)</f>
        <v/>
      </c>
      <c r="J947" s="11">
        <f>MAX(0,M947-N947)</f>
        <v/>
      </c>
      <c r="K947" s="11">
        <f>O947</f>
        <v/>
      </c>
      <c r="L947" s="11">
        <f>L946+IF(K947&gt;0,K947*Summary!$B$9,K947/Summary!$B$9)</f>
        <v/>
      </c>
      <c r="M947" s="11">
        <f>G947+H947</f>
        <v/>
      </c>
      <c r="N947" s="11">
        <f>Summary!$C$16*Summary!$B$8</f>
        <v/>
      </c>
      <c r="O947" s="11">
        <f>M947-N947</f>
        <v/>
      </c>
    </row>
    <row r="948">
      <c r="A948" s="9" t="n">
        <v>45331.41666666666</v>
      </c>
      <c r="B948" t="n">
        <v>2</v>
      </c>
      <c r="C948" t="n">
        <v>9</v>
      </c>
      <c r="D948" t="n">
        <v>10</v>
      </c>
      <c r="E948" s="10" t="n">
        <v>0.018432</v>
      </c>
      <c r="F948" s="10" t="n">
        <v>0.4749949139987793</v>
      </c>
      <c r="G948" s="11">
        <f>E948*Summary!$B$6</f>
        <v/>
      </c>
      <c r="H948" s="11">
        <f>F948*Summary!$B$7</f>
        <v/>
      </c>
      <c r="I948" s="11">
        <f>MAX(0,N948-M948)</f>
        <v/>
      </c>
      <c r="J948" s="11">
        <f>MAX(0,M948-N948)</f>
        <v/>
      </c>
      <c r="K948" s="11">
        <f>O948</f>
        <v/>
      </c>
      <c r="L948" s="11">
        <f>L947+IF(K948&gt;0,K948*Summary!$B$9,K948/Summary!$B$9)</f>
        <v/>
      </c>
      <c r="M948" s="11">
        <f>G948+H948</f>
        <v/>
      </c>
      <c r="N948" s="11">
        <f>Summary!$C$16*Summary!$B$8</f>
        <v/>
      </c>
      <c r="O948" s="11">
        <f>M948-N948</f>
        <v/>
      </c>
    </row>
    <row r="949">
      <c r="A949" s="9" t="n">
        <v>45331.45833333334</v>
      </c>
      <c r="B949" t="n">
        <v>2</v>
      </c>
      <c r="C949" t="n">
        <v>9</v>
      </c>
      <c r="D949" t="n">
        <v>11</v>
      </c>
      <c r="E949" s="10" t="n">
        <v>0.029894</v>
      </c>
      <c r="F949" s="10" t="n">
        <v>0.4495652278956547</v>
      </c>
      <c r="G949" s="11">
        <f>E949*Summary!$B$6</f>
        <v/>
      </c>
      <c r="H949" s="11">
        <f>F949*Summary!$B$7</f>
        <v/>
      </c>
      <c r="I949" s="11">
        <f>MAX(0,N949-M949)</f>
        <v/>
      </c>
      <c r="J949" s="11">
        <f>MAX(0,M949-N949)</f>
        <v/>
      </c>
      <c r="K949" s="11">
        <f>O949</f>
        <v/>
      </c>
      <c r="L949" s="11">
        <f>L948+IF(K949&gt;0,K949*Summary!$B$9,K949/Summary!$B$9)</f>
        <v/>
      </c>
      <c r="M949" s="11">
        <f>G949+H949</f>
        <v/>
      </c>
      <c r="N949" s="11">
        <f>Summary!$C$16*Summary!$B$8</f>
        <v/>
      </c>
      <c r="O949" s="11">
        <f>M949-N949</f>
        <v/>
      </c>
    </row>
    <row r="950">
      <c r="A950" s="9" t="n">
        <v>45331.5</v>
      </c>
      <c r="B950" t="n">
        <v>2</v>
      </c>
      <c r="C950" t="n">
        <v>9</v>
      </c>
      <c r="D950" t="n">
        <v>12</v>
      </c>
      <c r="E950" s="10" t="n">
        <v>0.024467</v>
      </c>
      <c r="F950" s="10" t="n">
        <v>0.4470881393011534</v>
      </c>
      <c r="G950" s="11">
        <f>E950*Summary!$B$6</f>
        <v/>
      </c>
      <c r="H950" s="11">
        <f>F950*Summary!$B$7</f>
        <v/>
      </c>
      <c r="I950" s="11">
        <f>MAX(0,N950-M950)</f>
        <v/>
      </c>
      <c r="J950" s="11">
        <f>MAX(0,M950-N950)</f>
        <v/>
      </c>
      <c r="K950" s="11">
        <f>O950</f>
        <v/>
      </c>
      <c r="L950" s="11">
        <f>L949+IF(K950&gt;0,K950*Summary!$B$9,K950/Summary!$B$9)</f>
        <v/>
      </c>
      <c r="M950" s="11">
        <f>G950+H950</f>
        <v/>
      </c>
      <c r="N950" s="11">
        <f>Summary!$C$16*Summary!$B$8</f>
        <v/>
      </c>
      <c r="O950" s="11">
        <f>M950-N950</f>
        <v/>
      </c>
    </row>
    <row r="951">
      <c r="A951" s="9" t="n">
        <v>45331.54166666666</v>
      </c>
      <c r="B951" t="n">
        <v>2</v>
      </c>
      <c r="C951" t="n">
        <v>9</v>
      </c>
      <c r="D951" t="n">
        <v>13</v>
      </c>
      <c r="E951" s="10" t="n">
        <v>0.026288</v>
      </c>
      <c r="F951" s="10" t="n">
        <v>0.451989612477507</v>
      </c>
      <c r="G951" s="11">
        <f>E951*Summary!$B$6</f>
        <v/>
      </c>
      <c r="H951" s="11">
        <f>F951*Summary!$B$7</f>
        <v/>
      </c>
      <c r="I951" s="11">
        <f>MAX(0,N951-M951)</f>
        <v/>
      </c>
      <c r="J951" s="11">
        <f>MAX(0,M951-N951)</f>
        <v/>
      </c>
      <c r="K951" s="11">
        <f>O951</f>
        <v/>
      </c>
      <c r="L951" s="11">
        <f>L950+IF(K951&gt;0,K951*Summary!$B$9,K951/Summary!$B$9)</f>
        <v/>
      </c>
      <c r="M951" s="11">
        <f>G951+H951</f>
        <v/>
      </c>
      <c r="N951" s="11">
        <f>Summary!$C$16*Summary!$B$8</f>
        <v/>
      </c>
      <c r="O951" s="11">
        <f>M951-N951</f>
        <v/>
      </c>
    </row>
    <row r="952">
      <c r="A952" s="9" t="n">
        <v>45331.58333333334</v>
      </c>
      <c r="B952" t="n">
        <v>2</v>
      </c>
      <c r="C952" t="n">
        <v>9</v>
      </c>
      <c r="D952" t="n">
        <v>14</v>
      </c>
      <c r="E952" s="10" t="n">
        <v>0.018458</v>
      </c>
      <c r="F952" s="10" t="n">
        <v>0.4575235338056481</v>
      </c>
      <c r="G952" s="11">
        <f>E952*Summary!$B$6</f>
        <v/>
      </c>
      <c r="H952" s="11">
        <f>F952*Summary!$B$7</f>
        <v/>
      </c>
      <c r="I952" s="11">
        <f>MAX(0,N952-M952)</f>
        <v/>
      </c>
      <c r="J952" s="11">
        <f>MAX(0,M952-N952)</f>
        <v/>
      </c>
      <c r="K952" s="11">
        <f>O952</f>
        <v/>
      </c>
      <c r="L952" s="11">
        <f>L951+IF(K952&gt;0,K952*Summary!$B$9,K952/Summary!$B$9)</f>
        <v/>
      </c>
      <c r="M952" s="11">
        <f>G952+H952</f>
        <v/>
      </c>
      <c r="N952" s="11">
        <f>Summary!$C$16*Summary!$B$8</f>
        <v/>
      </c>
      <c r="O952" s="11">
        <f>M952-N952</f>
        <v/>
      </c>
    </row>
    <row r="953">
      <c r="A953" s="9" t="n">
        <v>45331.625</v>
      </c>
      <c r="B953" t="n">
        <v>2</v>
      </c>
      <c r="C953" t="n">
        <v>9</v>
      </c>
      <c r="D953" t="n">
        <v>15</v>
      </c>
      <c r="E953" s="10" t="n">
        <v>0.010872</v>
      </c>
      <c r="F953" s="10" t="n">
        <v>0.4863526287246309</v>
      </c>
      <c r="G953" s="11">
        <f>E953*Summary!$B$6</f>
        <v/>
      </c>
      <c r="H953" s="11">
        <f>F953*Summary!$B$7</f>
        <v/>
      </c>
      <c r="I953" s="11">
        <f>MAX(0,N953-M953)</f>
        <v/>
      </c>
      <c r="J953" s="11">
        <f>MAX(0,M953-N953)</f>
        <v/>
      </c>
      <c r="K953" s="11">
        <f>O953</f>
        <v/>
      </c>
      <c r="L953" s="11">
        <f>L952+IF(K953&gt;0,K953*Summary!$B$9,K953/Summary!$B$9)</f>
        <v/>
      </c>
      <c r="M953" s="11">
        <f>G953+H953</f>
        <v/>
      </c>
      <c r="N953" s="11">
        <f>Summary!$C$16*Summary!$B$8</f>
        <v/>
      </c>
      <c r="O953" s="11">
        <f>M953-N953</f>
        <v/>
      </c>
    </row>
    <row r="954">
      <c r="A954" s="9" t="n">
        <v>45331.66666666666</v>
      </c>
      <c r="B954" t="n">
        <v>2</v>
      </c>
      <c r="C954" t="n">
        <v>9</v>
      </c>
      <c r="D954" t="n">
        <v>16</v>
      </c>
      <c r="E954" s="10" t="n">
        <v>0</v>
      </c>
      <c r="F954" s="10" t="n">
        <v>0.4379703451128828</v>
      </c>
      <c r="G954" s="11">
        <f>E954*Summary!$B$6</f>
        <v/>
      </c>
      <c r="H954" s="11">
        <f>F954*Summary!$B$7</f>
        <v/>
      </c>
      <c r="I954" s="11">
        <f>MAX(0,N954-M954)</f>
        <v/>
      </c>
      <c r="J954" s="11">
        <f>MAX(0,M954-N954)</f>
        <v/>
      </c>
      <c r="K954" s="11">
        <f>O954</f>
        <v/>
      </c>
      <c r="L954" s="11">
        <f>L953+IF(K954&gt;0,K954*Summary!$B$9,K954/Summary!$B$9)</f>
        <v/>
      </c>
      <c r="M954" s="11">
        <f>G954+H954</f>
        <v/>
      </c>
      <c r="N954" s="11">
        <f>Summary!$C$16*Summary!$B$8</f>
        <v/>
      </c>
      <c r="O954" s="11">
        <f>M954-N954</f>
        <v/>
      </c>
    </row>
    <row r="955">
      <c r="A955" s="9" t="n">
        <v>45331.70833333334</v>
      </c>
      <c r="B955" t="n">
        <v>2</v>
      </c>
      <c r="C955" t="n">
        <v>9</v>
      </c>
      <c r="D955" t="n">
        <v>17</v>
      </c>
      <c r="E955" s="10" t="n">
        <v>0</v>
      </c>
      <c r="F955" s="10" t="n">
        <v>0.489752037540489</v>
      </c>
      <c r="G955" s="11">
        <f>E955*Summary!$B$6</f>
        <v/>
      </c>
      <c r="H955" s="11">
        <f>F955*Summary!$B$7</f>
        <v/>
      </c>
      <c r="I955" s="11">
        <f>MAX(0,N955-M955)</f>
        <v/>
      </c>
      <c r="J955" s="11">
        <f>MAX(0,M955-N955)</f>
        <v/>
      </c>
      <c r="K955" s="11">
        <f>O955</f>
        <v/>
      </c>
      <c r="L955" s="11">
        <f>L954+IF(K955&gt;0,K955*Summary!$B$9,K955/Summary!$B$9)</f>
        <v/>
      </c>
      <c r="M955" s="11">
        <f>G955+H955</f>
        <v/>
      </c>
      <c r="N955" s="11">
        <f>Summary!$C$16*Summary!$B$8</f>
        <v/>
      </c>
      <c r="O955" s="11">
        <f>M955-N955</f>
        <v/>
      </c>
    </row>
    <row r="956">
      <c r="A956" s="9" t="n">
        <v>45331.75</v>
      </c>
      <c r="B956" t="n">
        <v>2</v>
      </c>
      <c r="C956" t="n">
        <v>9</v>
      </c>
      <c r="D956" t="n">
        <v>18</v>
      </c>
      <c r="E956" s="10" t="n">
        <v>0</v>
      </c>
      <c r="F956" s="10" t="n">
        <v>0.5027435766584584</v>
      </c>
      <c r="G956" s="11">
        <f>E956*Summary!$B$6</f>
        <v/>
      </c>
      <c r="H956" s="11">
        <f>F956*Summary!$B$7</f>
        <v/>
      </c>
      <c r="I956" s="11">
        <f>MAX(0,N956-M956)</f>
        <v/>
      </c>
      <c r="J956" s="11">
        <f>MAX(0,M956-N956)</f>
        <v/>
      </c>
      <c r="K956" s="11">
        <f>O956</f>
        <v/>
      </c>
      <c r="L956" s="11">
        <f>L955+IF(K956&gt;0,K956*Summary!$B$9,K956/Summary!$B$9)</f>
        <v/>
      </c>
      <c r="M956" s="11">
        <f>G956+H956</f>
        <v/>
      </c>
      <c r="N956" s="11">
        <f>Summary!$C$16*Summary!$B$8</f>
        <v/>
      </c>
      <c r="O956" s="11">
        <f>M956-N956</f>
        <v/>
      </c>
    </row>
    <row r="957">
      <c r="A957" s="9" t="n">
        <v>45331.79166666666</v>
      </c>
      <c r="B957" t="n">
        <v>2</v>
      </c>
      <c r="C957" t="n">
        <v>9</v>
      </c>
      <c r="D957" t="n">
        <v>19</v>
      </c>
      <c r="E957" s="10" t="n">
        <v>0</v>
      </c>
      <c r="F957" s="10" t="n">
        <v>0.508909946138387</v>
      </c>
      <c r="G957" s="11">
        <f>E957*Summary!$B$6</f>
        <v/>
      </c>
      <c r="H957" s="11">
        <f>F957*Summary!$B$7</f>
        <v/>
      </c>
      <c r="I957" s="11">
        <f>MAX(0,N957-M957)</f>
        <v/>
      </c>
      <c r="J957" s="11">
        <f>MAX(0,M957-N957)</f>
        <v/>
      </c>
      <c r="K957" s="11">
        <f>O957</f>
        <v/>
      </c>
      <c r="L957" s="11">
        <f>L956+IF(K957&gt;0,K957*Summary!$B$9,K957/Summary!$B$9)</f>
        <v/>
      </c>
      <c r="M957" s="11">
        <f>G957+H957</f>
        <v/>
      </c>
      <c r="N957" s="11">
        <f>Summary!$C$16*Summary!$B$8</f>
        <v/>
      </c>
      <c r="O957" s="11">
        <f>M957-N957</f>
        <v/>
      </c>
    </row>
    <row r="958">
      <c r="A958" s="9" t="n">
        <v>45331.83333333334</v>
      </c>
      <c r="B958" t="n">
        <v>2</v>
      </c>
      <c r="C958" t="n">
        <v>9</v>
      </c>
      <c r="D958" t="n">
        <v>20</v>
      </c>
      <c r="E958" s="10" t="n">
        <v>0</v>
      </c>
      <c r="F958" s="10" t="n">
        <v>0.5128363950807349</v>
      </c>
      <c r="G958" s="11">
        <f>E958*Summary!$B$6</f>
        <v/>
      </c>
      <c r="H958" s="11">
        <f>F958*Summary!$B$7</f>
        <v/>
      </c>
      <c r="I958" s="11">
        <f>MAX(0,N958-M958)</f>
        <v/>
      </c>
      <c r="J958" s="11">
        <f>MAX(0,M958-N958)</f>
        <v/>
      </c>
      <c r="K958" s="11">
        <f>O958</f>
        <v/>
      </c>
      <c r="L958" s="11">
        <f>L957+IF(K958&gt;0,K958*Summary!$B$9,K958/Summary!$B$9)</f>
        <v/>
      </c>
      <c r="M958" s="11">
        <f>G958+H958</f>
        <v/>
      </c>
      <c r="N958" s="11">
        <f>Summary!$C$16*Summary!$B$8</f>
        <v/>
      </c>
      <c r="O958" s="11">
        <f>M958-N958</f>
        <v/>
      </c>
    </row>
    <row r="959">
      <c r="A959" s="9" t="n">
        <v>45331.875</v>
      </c>
      <c r="B959" t="n">
        <v>2</v>
      </c>
      <c r="C959" t="n">
        <v>9</v>
      </c>
      <c r="D959" t="n">
        <v>21</v>
      </c>
      <c r="E959" s="10" t="n">
        <v>0</v>
      </c>
      <c r="F959" s="10" t="n">
        <v>0.5100430824103397</v>
      </c>
      <c r="G959" s="11">
        <f>E959*Summary!$B$6</f>
        <v/>
      </c>
      <c r="H959" s="11">
        <f>F959*Summary!$B$7</f>
        <v/>
      </c>
      <c r="I959" s="11">
        <f>MAX(0,N959-M959)</f>
        <v/>
      </c>
      <c r="J959" s="11">
        <f>MAX(0,M959-N959)</f>
        <v/>
      </c>
      <c r="K959" s="11">
        <f>O959</f>
        <v/>
      </c>
      <c r="L959" s="11">
        <f>L958+IF(K959&gt;0,K959*Summary!$B$9,K959/Summary!$B$9)</f>
        <v/>
      </c>
      <c r="M959" s="11">
        <f>G959+H959</f>
        <v/>
      </c>
      <c r="N959" s="11">
        <f>Summary!$C$16*Summary!$B$8</f>
        <v/>
      </c>
      <c r="O959" s="11">
        <f>M959-N959</f>
        <v/>
      </c>
    </row>
    <row r="960">
      <c r="A960" s="9" t="n">
        <v>45331.91666666666</v>
      </c>
      <c r="B960" t="n">
        <v>2</v>
      </c>
      <c r="C960" t="n">
        <v>9</v>
      </c>
      <c r="D960" t="n">
        <v>22</v>
      </c>
      <c r="E960" s="10" t="n">
        <v>0</v>
      </c>
      <c r="F960" s="10" t="n">
        <v>0.5015577363738567</v>
      </c>
      <c r="G960" s="11">
        <f>E960*Summary!$B$6</f>
        <v/>
      </c>
      <c r="H960" s="11">
        <f>F960*Summary!$B$7</f>
        <v/>
      </c>
      <c r="I960" s="11">
        <f>MAX(0,N960-M960)</f>
        <v/>
      </c>
      <c r="J960" s="11">
        <f>MAX(0,M960-N960)</f>
        <v/>
      </c>
      <c r="K960" s="11">
        <f>O960</f>
        <v/>
      </c>
      <c r="L960" s="11">
        <f>L959+IF(K960&gt;0,K960*Summary!$B$9,K960/Summary!$B$9)</f>
        <v/>
      </c>
      <c r="M960" s="11">
        <f>G960+H960</f>
        <v/>
      </c>
      <c r="N960" s="11">
        <f>Summary!$C$16*Summary!$B$8</f>
        <v/>
      </c>
      <c r="O960" s="11">
        <f>M960-N960</f>
        <v/>
      </c>
    </row>
    <row r="961">
      <c r="A961" s="9" t="n">
        <v>45331.95833333334</v>
      </c>
      <c r="B961" t="n">
        <v>2</v>
      </c>
      <c r="C961" t="n">
        <v>9</v>
      </c>
      <c r="D961" t="n">
        <v>23</v>
      </c>
      <c r="E961" s="10" t="n">
        <v>0</v>
      </c>
      <c r="F961" s="10" t="n">
        <v>0.4944953986788957</v>
      </c>
      <c r="G961" s="11">
        <f>E961*Summary!$B$6</f>
        <v/>
      </c>
      <c r="H961" s="11">
        <f>F961*Summary!$B$7</f>
        <v/>
      </c>
      <c r="I961" s="11">
        <f>MAX(0,N961-M961)</f>
        <v/>
      </c>
      <c r="J961" s="11">
        <f>MAX(0,M961-N961)</f>
        <v/>
      </c>
      <c r="K961" s="11">
        <f>O961</f>
        <v/>
      </c>
      <c r="L961" s="11">
        <f>L960+IF(K961&gt;0,K961*Summary!$B$9,K961/Summary!$B$9)</f>
        <v/>
      </c>
      <c r="M961" s="11">
        <f>G961+H961</f>
        <v/>
      </c>
      <c r="N961" s="11">
        <f>Summary!$C$16*Summary!$B$8</f>
        <v/>
      </c>
      <c r="O961" s="11">
        <f>M961-N961</f>
        <v/>
      </c>
    </row>
    <row r="962">
      <c r="A962" s="9" t="n">
        <v>45332</v>
      </c>
      <c r="B962" t="n">
        <v>2</v>
      </c>
      <c r="C962" t="n">
        <v>10</v>
      </c>
      <c r="D962" t="n">
        <v>0</v>
      </c>
      <c r="E962" s="10" t="n">
        <v>0</v>
      </c>
      <c r="F962" s="10" t="n">
        <v>0.3956753749620899</v>
      </c>
      <c r="G962" s="11">
        <f>E962*Summary!$B$6</f>
        <v/>
      </c>
      <c r="H962" s="11">
        <f>F962*Summary!$B$7</f>
        <v/>
      </c>
      <c r="I962" s="11">
        <f>MAX(0,N962-M962)</f>
        <v/>
      </c>
      <c r="J962" s="11">
        <f>MAX(0,M962-N962)</f>
        <v/>
      </c>
      <c r="K962" s="11">
        <f>O962</f>
        <v/>
      </c>
      <c r="L962" s="11">
        <f>L961+IF(K962&gt;0,K962*Summary!$B$9,K962/Summary!$B$9)</f>
        <v/>
      </c>
      <c r="M962" s="11">
        <f>G962+H962</f>
        <v/>
      </c>
      <c r="N962" s="11">
        <f>Summary!$C$16*Summary!$B$8</f>
        <v/>
      </c>
      <c r="O962" s="11">
        <f>M962-N962</f>
        <v/>
      </c>
    </row>
    <row r="963">
      <c r="A963" s="9" t="n">
        <v>45332.04166666666</v>
      </c>
      <c r="B963" t="n">
        <v>2</v>
      </c>
      <c r="C963" t="n">
        <v>10</v>
      </c>
      <c r="D963" t="n">
        <v>1</v>
      </c>
      <c r="E963" s="10" t="n">
        <v>0</v>
      </c>
      <c r="F963" s="10" t="n">
        <v>0.4875384690092325</v>
      </c>
      <c r="G963" s="11">
        <f>E963*Summary!$B$6</f>
        <v/>
      </c>
      <c r="H963" s="11">
        <f>F963*Summary!$B$7</f>
        <v/>
      </c>
      <c r="I963" s="11">
        <f>MAX(0,N963-M963)</f>
        <v/>
      </c>
      <c r="J963" s="11">
        <f>MAX(0,M963-N963)</f>
        <v/>
      </c>
      <c r="K963" s="11">
        <f>O963</f>
        <v/>
      </c>
      <c r="L963" s="11">
        <f>L962+IF(K963&gt;0,K963*Summary!$B$9,K963/Summary!$B$9)</f>
        <v/>
      </c>
      <c r="M963" s="11">
        <f>G963+H963</f>
        <v/>
      </c>
      <c r="N963" s="11">
        <f>Summary!$C$16*Summary!$B$8</f>
        <v/>
      </c>
      <c r="O963" s="11">
        <f>M963-N963</f>
        <v/>
      </c>
    </row>
    <row r="964">
      <c r="A964" s="9" t="n">
        <v>45332.08333333334</v>
      </c>
      <c r="B964" t="n">
        <v>2</v>
      </c>
      <c r="C964" t="n">
        <v>10</v>
      </c>
      <c r="D964" t="n">
        <v>2</v>
      </c>
      <c r="E964" s="10" t="n">
        <v>0</v>
      </c>
      <c r="F964" s="10" t="n">
        <v>0.487564821015557</v>
      </c>
      <c r="G964" s="11">
        <f>E964*Summary!$B$6</f>
        <v/>
      </c>
      <c r="H964" s="11">
        <f>F964*Summary!$B$7</f>
        <v/>
      </c>
      <c r="I964" s="11">
        <f>MAX(0,N964-M964)</f>
        <v/>
      </c>
      <c r="J964" s="11">
        <f>MAX(0,M964-N964)</f>
        <v/>
      </c>
      <c r="K964" s="11">
        <f>O964</f>
        <v/>
      </c>
      <c r="L964" s="11">
        <f>L963+IF(K964&gt;0,K964*Summary!$B$9,K964/Summary!$B$9)</f>
        <v/>
      </c>
      <c r="M964" s="11">
        <f>G964+H964</f>
        <v/>
      </c>
      <c r="N964" s="11">
        <f>Summary!$C$16*Summary!$B$8</f>
        <v/>
      </c>
      <c r="O964" s="11">
        <f>M964-N964</f>
        <v/>
      </c>
    </row>
    <row r="965">
      <c r="A965" s="9" t="n">
        <v>45332.125</v>
      </c>
      <c r="B965" t="n">
        <v>2</v>
      </c>
      <c r="C965" t="n">
        <v>10</v>
      </c>
      <c r="D965" t="n">
        <v>3</v>
      </c>
      <c r="E965" s="10" t="n">
        <v>0</v>
      </c>
      <c r="F965" s="10" t="n">
        <v>0.4887770133064832</v>
      </c>
      <c r="G965" s="11">
        <f>E965*Summary!$B$6</f>
        <v/>
      </c>
      <c r="H965" s="11">
        <f>F965*Summary!$B$7</f>
        <v/>
      </c>
      <c r="I965" s="11">
        <f>MAX(0,N965-M965)</f>
        <v/>
      </c>
      <c r="J965" s="11">
        <f>MAX(0,M965-N965)</f>
        <v/>
      </c>
      <c r="K965" s="11">
        <f>O965</f>
        <v/>
      </c>
      <c r="L965" s="11">
        <f>L964+IF(K965&gt;0,K965*Summary!$B$9,K965/Summary!$B$9)</f>
        <v/>
      </c>
      <c r="M965" s="11">
        <f>G965+H965</f>
        <v/>
      </c>
      <c r="N965" s="11">
        <f>Summary!$C$16*Summary!$B$8</f>
        <v/>
      </c>
      <c r="O965" s="11">
        <f>M965-N965</f>
        <v/>
      </c>
    </row>
    <row r="966">
      <c r="A966" s="9" t="n">
        <v>45332.16666666666</v>
      </c>
      <c r="B966" t="n">
        <v>2</v>
      </c>
      <c r="C966" t="n">
        <v>10</v>
      </c>
      <c r="D966" t="n">
        <v>4</v>
      </c>
      <c r="E966" s="10" t="n">
        <v>0</v>
      </c>
      <c r="F966" s="10" t="n">
        <v>0.4882236211736691</v>
      </c>
      <c r="G966" s="11">
        <f>E966*Summary!$B$6</f>
        <v/>
      </c>
      <c r="H966" s="11">
        <f>F966*Summary!$B$7</f>
        <v/>
      </c>
      <c r="I966" s="11">
        <f>MAX(0,N966-M966)</f>
        <v/>
      </c>
      <c r="J966" s="11">
        <f>MAX(0,M966-N966)</f>
        <v/>
      </c>
      <c r="K966" s="11">
        <f>O966</f>
        <v/>
      </c>
      <c r="L966" s="11">
        <f>L965+IF(K966&gt;0,K966*Summary!$B$9,K966/Summary!$B$9)</f>
        <v/>
      </c>
      <c r="M966" s="11">
        <f>G966+H966</f>
        <v/>
      </c>
      <c r="N966" s="11">
        <f>Summary!$C$16*Summary!$B$8</f>
        <v/>
      </c>
      <c r="O966" s="11">
        <f>M966-N966</f>
        <v/>
      </c>
    </row>
    <row r="967">
      <c r="A967" s="9" t="n">
        <v>45332.20833333334</v>
      </c>
      <c r="B967" t="n">
        <v>2</v>
      </c>
      <c r="C967" t="n">
        <v>10</v>
      </c>
      <c r="D967" t="n">
        <v>5</v>
      </c>
      <c r="E967" s="10" t="n">
        <v>0</v>
      </c>
      <c r="F967" s="10" t="n">
        <v>0.4901209656290317</v>
      </c>
      <c r="G967" s="11">
        <f>E967*Summary!$B$6</f>
        <v/>
      </c>
      <c r="H967" s="11">
        <f>F967*Summary!$B$7</f>
        <v/>
      </c>
      <c r="I967" s="11">
        <f>MAX(0,N967-M967)</f>
        <v/>
      </c>
      <c r="J967" s="11">
        <f>MAX(0,M967-N967)</f>
        <v/>
      </c>
      <c r="K967" s="11">
        <f>O967</f>
        <v/>
      </c>
      <c r="L967" s="11">
        <f>L966+IF(K967&gt;0,K967*Summary!$B$9,K967/Summary!$B$9)</f>
        <v/>
      </c>
      <c r="M967" s="11">
        <f>G967+H967</f>
        <v/>
      </c>
      <c r="N967" s="11">
        <f>Summary!$C$16*Summary!$B$8</f>
        <v/>
      </c>
      <c r="O967" s="11">
        <f>M967-N967</f>
        <v/>
      </c>
    </row>
    <row r="968">
      <c r="A968" s="9" t="n">
        <v>45332.25</v>
      </c>
      <c r="B968" t="n">
        <v>2</v>
      </c>
      <c r="C968" t="n">
        <v>10</v>
      </c>
      <c r="D968" t="n">
        <v>6</v>
      </c>
      <c r="E968" s="10" t="n">
        <v>0</v>
      </c>
      <c r="F968" s="10" t="n">
        <v>0.4917284380148251</v>
      </c>
      <c r="G968" s="11">
        <f>E968*Summary!$B$6</f>
        <v/>
      </c>
      <c r="H968" s="11">
        <f>F968*Summary!$B$7</f>
        <v/>
      </c>
      <c r="I968" s="11">
        <f>MAX(0,N968-M968)</f>
        <v/>
      </c>
      <c r="J968" s="11">
        <f>MAX(0,M968-N968)</f>
        <v/>
      </c>
      <c r="K968" s="11">
        <f>O968</f>
        <v/>
      </c>
      <c r="L968" s="11">
        <f>L967+IF(K968&gt;0,K968*Summary!$B$9,K968/Summary!$B$9)</f>
        <v/>
      </c>
      <c r="M968" s="11">
        <f>G968+H968</f>
        <v/>
      </c>
      <c r="N968" s="11">
        <f>Summary!$C$16*Summary!$B$8</f>
        <v/>
      </c>
      <c r="O968" s="11">
        <f>M968-N968</f>
        <v/>
      </c>
    </row>
    <row r="969">
      <c r="A969" s="9" t="n">
        <v>45332.29166666666</v>
      </c>
      <c r="B969" t="n">
        <v>2</v>
      </c>
      <c r="C969" t="n">
        <v>10</v>
      </c>
      <c r="D969" t="n">
        <v>7</v>
      </c>
      <c r="E969" s="10" t="n">
        <v>0</v>
      </c>
      <c r="F969" s="10" t="n">
        <v>0.5211372770729465</v>
      </c>
      <c r="G969" s="11">
        <f>E969*Summary!$B$6</f>
        <v/>
      </c>
      <c r="H969" s="11">
        <f>F969*Summary!$B$7</f>
        <v/>
      </c>
      <c r="I969" s="11">
        <f>MAX(0,N969-M969)</f>
        <v/>
      </c>
      <c r="J969" s="11">
        <f>MAX(0,M969-N969)</f>
        <v/>
      </c>
      <c r="K969" s="11">
        <f>O969</f>
        <v/>
      </c>
      <c r="L969" s="11">
        <f>L968+IF(K969&gt;0,K969*Summary!$B$9,K969/Summary!$B$9)</f>
        <v/>
      </c>
      <c r="M969" s="11">
        <f>G969+H969</f>
        <v/>
      </c>
      <c r="N969" s="11">
        <f>Summary!$C$16*Summary!$B$8</f>
        <v/>
      </c>
      <c r="O969" s="11">
        <f>M969-N969</f>
        <v/>
      </c>
    </row>
    <row r="970">
      <c r="A970" s="9" t="n">
        <v>45332.33333333334</v>
      </c>
      <c r="B970" t="n">
        <v>2</v>
      </c>
      <c r="C970" t="n">
        <v>10</v>
      </c>
      <c r="D970" t="n">
        <v>8</v>
      </c>
      <c r="E970" s="10" t="n">
        <v>0</v>
      </c>
      <c r="F970" s="10" t="n">
        <v>0.5045091610821987</v>
      </c>
      <c r="G970" s="11">
        <f>E970*Summary!$B$6</f>
        <v/>
      </c>
      <c r="H970" s="11">
        <f>F970*Summary!$B$7</f>
        <v/>
      </c>
      <c r="I970" s="11">
        <f>MAX(0,N970-M970)</f>
        <v/>
      </c>
      <c r="J970" s="11">
        <f>MAX(0,M970-N970)</f>
        <v/>
      </c>
      <c r="K970" s="11">
        <f>O970</f>
        <v/>
      </c>
      <c r="L970" s="11">
        <f>L969+IF(K970&gt;0,K970*Summary!$B$9,K970/Summary!$B$9)</f>
        <v/>
      </c>
      <c r="M970" s="11">
        <f>G970+H970</f>
        <v/>
      </c>
      <c r="N970" s="11">
        <f>Summary!$C$16*Summary!$B$8</f>
        <v/>
      </c>
      <c r="O970" s="11">
        <f>M970-N970</f>
        <v/>
      </c>
    </row>
    <row r="971">
      <c r="A971" s="9" t="n">
        <v>45332.375</v>
      </c>
      <c r="B971" t="n">
        <v>2</v>
      </c>
      <c r="C971" t="n">
        <v>10</v>
      </c>
      <c r="D971" t="n">
        <v>9</v>
      </c>
      <c r="E971" s="10" t="n">
        <v>0.014355</v>
      </c>
      <c r="F971" s="10" t="n">
        <v>0.456970141672834</v>
      </c>
      <c r="G971" s="11">
        <f>E971*Summary!$B$6</f>
        <v/>
      </c>
      <c r="H971" s="11">
        <f>F971*Summary!$B$7</f>
        <v/>
      </c>
      <c r="I971" s="11">
        <f>MAX(0,N971-M971)</f>
        <v/>
      </c>
      <c r="J971" s="11">
        <f>MAX(0,M971-N971)</f>
        <v/>
      </c>
      <c r="K971" s="11">
        <f>O971</f>
        <v/>
      </c>
      <c r="L971" s="11">
        <f>L970+IF(K971&gt;0,K971*Summary!$B$9,K971/Summary!$B$9)</f>
        <v/>
      </c>
      <c r="M971" s="11">
        <f>G971+H971</f>
        <v/>
      </c>
      <c r="N971" s="11">
        <f>Summary!$C$16*Summary!$B$8</f>
        <v/>
      </c>
      <c r="O971" s="11">
        <f>M971-N971</f>
        <v/>
      </c>
    </row>
    <row r="972">
      <c r="A972" s="9" t="n">
        <v>45332.41666666666</v>
      </c>
      <c r="B972" t="n">
        <v>2</v>
      </c>
      <c r="C972" t="n">
        <v>10</v>
      </c>
      <c r="D972" t="n">
        <v>10</v>
      </c>
      <c r="E972" s="10" t="n">
        <v>0.046312</v>
      </c>
      <c r="F972" s="10" t="n">
        <v>0.4392088894101335</v>
      </c>
      <c r="G972" s="11">
        <f>E972*Summary!$B$6</f>
        <v/>
      </c>
      <c r="H972" s="11">
        <f>F972*Summary!$B$7</f>
        <v/>
      </c>
      <c r="I972" s="11">
        <f>MAX(0,N972-M972)</f>
        <v/>
      </c>
      <c r="J972" s="11">
        <f>MAX(0,M972-N972)</f>
        <v/>
      </c>
      <c r="K972" s="11">
        <f>O972</f>
        <v/>
      </c>
      <c r="L972" s="11">
        <f>L971+IF(K972&gt;0,K972*Summary!$B$9,K972/Summary!$B$9)</f>
        <v/>
      </c>
      <c r="M972" s="11">
        <f>G972+H972</f>
        <v/>
      </c>
      <c r="N972" s="11">
        <f>Summary!$C$16*Summary!$B$8</f>
        <v/>
      </c>
      <c r="O972" s="11">
        <f>M972-N972</f>
        <v/>
      </c>
    </row>
    <row r="973">
      <c r="A973" s="9" t="n">
        <v>45332.45833333334</v>
      </c>
      <c r="B973" t="n">
        <v>2</v>
      </c>
      <c r="C973" t="n">
        <v>10</v>
      </c>
      <c r="D973" t="n">
        <v>11</v>
      </c>
      <c r="E973" s="10" t="n">
        <v>0.068242</v>
      </c>
      <c r="F973" s="10" t="n">
        <v>0.4196820527236926</v>
      </c>
      <c r="G973" s="11">
        <f>E973*Summary!$B$6</f>
        <v/>
      </c>
      <c r="H973" s="11">
        <f>F973*Summary!$B$7</f>
        <v/>
      </c>
      <c r="I973" s="11">
        <f>MAX(0,N973-M973)</f>
        <v/>
      </c>
      <c r="J973" s="11">
        <f>MAX(0,M973-N973)</f>
        <v/>
      </c>
      <c r="K973" s="11">
        <f>O973</f>
        <v/>
      </c>
      <c r="L973" s="11">
        <f>L972+IF(K973&gt;0,K973*Summary!$B$9,K973/Summary!$B$9)</f>
        <v/>
      </c>
      <c r="M973" s="11">
        <f>G973+H973</f>
        <v/>
      </c>
      <c r="N973" s="11">
        <f>Summary!$C$16*Summary!$B$8</f>
        <v/>
      </c>
      <c r="O973" s="11">
        <f>M973-N973</f>
        <v/>
      </c>
    </row>
    <row r="974">
      <c r="A974" s="9" t="n">
        <v>45332.5</v>
      </c>
      <c r="B974" t="n">
        <v>2</v>
      </c>
      <c r="C974" t="n">
        <v>10</v>
      </c>
      <c r="D974" t="n">
        <v>12</v>
      </c>
      <c r="E974" s="10" t="n">
        <v>0.078745</v>
      </c>
      <c r="F974" s="10" t="n">
        <v>0.408535154048437</v>
      </c>
      <c r="G974" s="11">
        <f>E974*Summary!$B$6</f>
        <v/>
      </c>
      <c r="H974" s="11">
        <f>F974*Summary!$B$7</f>
        <v/>
      </c>
      <c r="I974" s="11">
        <f>MAX(0,N974-M974)</f>
        <v/>
      </c>
      <c r="J974" s="11">
        <f>MAX(0,M974-N974)</f>
        <v/>
      </c>
      <c r="K974" s="11">
        <f>O974</f>
        <v/>
      </c>
      <c r="L974" s="11">
        <f>L973+IF(K974&gt;0,K974*Summary!$B$9,K974/Summary!$B$9)</f>
        <v/>
      </c>
      <c r="M974" s="11">
        <f>G974+H974</f>
        <v/>
      </c>
      <c r="N974" s="11">
        <f>Summary!$C$16*Summary!$B$8</f>
        <v/>
      </c>
      <c r="O974" s="11">
        <f>M974-N974</f>
        <v/>
      </c>
    </row>
    <row r="975">
      <c r="A975" s="9" t="n">
        <v>45332.54166666666</v>
      </c>
      <c r="B975" t="n">
        <v>2</v>
      </c>
      <c r="C975" t="n">
        <v>10</v>
      </c>
      <c r="D975" t="n">
        <v>13</v>
      </c>
      <c r="E975" s="10" t="n">
        <v>0.07252400000000001</v>
      </c>
      <c r="F975" s="10" t="n">
        <v>0.3982051675692402</v>
      </c>
      <c r="G975" s="11">
        <f>E975*Summary!$B$6</f>
        <v/>
      </c>
      <c r="H975" s="11">
        <f>F975*Summary!$B$7</f>
        <v/>
      </c>
      <c r="I975" s="11">
        <f>MAX(0,N975-M975)</f>
        <v/>
      </c>
      <c r="J975" s="11">
        <f>MAX(0,M975-N975)</f>
        <v/>
      </c>
      <c r="K975" s="11">
        <f>O975</f>
        <v/>
      </c>
      <c r="L975" s="11">
        <f>L974+IF(K975&gt;0,K975*Summary!$B$9,K975/Summary!$B$9)</f>
        <v/>
      </c>
      <c r="M975" s="11">
        <f>G975+H975</f>
        <v/>
      </c>
      <c r="N975" s="11">
        <f>Summary!$C$16*Summary!$B$8</f>
        <v/>
      </c>
      <c r="O975" s="11">
        <f>M975-N975</f>
        <v/>
      </c>
    </row>
    <row r="976">
      <c r="A976" s="9" t="n">
        <v>45332.58333333334</v>
      </c>
      <c r="B976" t="n">
        <v>2</v>
      </c>
      <c r="C976" t="n">
        <v>10</v>
      </c>
      <c r="D976" t="n">
        <v>14</v>
      </c>
      <c r="E976" s="10" t="n">
        <v>0.075568</v>
      </c>
      <c r="F976" s="10" t="n">
        <v>0.3988639677273522</v>
      </c>
      <c r="G976" s="11">
        <f>E976*Summary!$B$6</f>
        <v/>
      </c>
      <c r="H976" s="11">
        <f>F976*Summary!$B$7</f>
        <v/>
      </c>
      <c r="I976" s="11">
        <f>MAX(0,N976-M976)</f>
        <v/>
      </c>
      <c r="J976" s="11">
        <f>MAX(0,M976-N976)</f>
        <v/>
      </c>
      <c r="K976" s="11">
        <f>O976</f>
        <v/>
      </c>
      <c r="L976" s="11">
        <f>L975+IF(K976&gt;0,K976*Summary!$B$9,K976/Summary!$B$9)</f>
        <v/>
      </c>
      <c r="M976" s="11">
        <f>G976+H976</f>
        <v/>
      </c>
      <c r="N976" s="11">
        <f>Summary!$C$16*Summary!$B$8</f>
        <v/>
      </c>
      <c r="O976" s="11">
        <f>M976-N976</f>
        <v/>
      </c>
    </row>
    <row r="977">
      <c r="A977" s="9" t="n">
        <v>45332.625</v>
      </c>
      <c r="B977" t="n">
        <v>2</v>
      </c>
      <c r="C977" t="n">
        <v>10</v>
      </c>
      <c r="D977" t="n">
        <v>15</v>
      </c>
      <c r="E977" s="10" t="n">
        <v>0.042372</v>
      </c>
      <c r="F977" s="10" t="n">
        <v>0.4060317134476112</v>
      </c>
      <c r="G977" s="11">
        <f>E977*Summary!$B$6</f>
        <v/>
      </c>
      <c r="H977" s="11">
        <f>F977*Summary!$B$7</f>
        <v/>
      </c>
      <c r="I977" s="11">
        <f>MAX(0,N977-M977)</f>
        <v/>
      </c>
      <c r="J977" s="11">
        <f>MAX(0,M977-N977)</f>
        <v/>
      </c>
      <c r="K977" s="11">
        <f>O977</f>
        <v/>
      </c>
      <c r="L977" s="11">
        <f>L976+IF(K977&gt;0,K977*Summary!$B$9,K977/Summary!$B$9)</f>
        <v/>
      </c>
      <c r="M977" s="11">
        <f>G977+H977</f>
        <v/>
      </c>
      <c r="N977" s="11">
        <f>Summary!$C$16*Summary!$B$8</f>
        <v/>
      </c>
      <c r="O977" s="11">
        <f>M977-N977</f>
        <v/>
      </c>
    </row>
    <row r="978">
      <c r="A978" s="9" t="n">
        <v>45332.66666666666</v>
      </c>
      <c r="B978" t="n">
        <v>2</v>
      </c>
      <c r="C978" t="n">
        <v>10</v>
      </c>
      <c r="D978" t="n">
        <v>16</v>
      </c>
      <c r="E978" s="10" t="n">
        <v>0</v>
      </c>
      <c r="F978" s="10" t="n">
        <v>0.4225544214130611</v>
      </c>
      <c r="G978" s="11">
        <f>E978*Summary!$B$6</f>
        <v/>
      </c>
      <c r="H978" s="11">
        <f>F978*Summary!$B$7</f>
        <v/>
      </c>
      <c r="I978" s="11">
        <f>MAX(0,N978-M978)</f>
        <v/>
      </c>
      <c r="J978" s="11">
        <f>MAX(0,M978-N978)</f>
        <v/>
      </c>
      <c r="K978" s="11">
        <f>O978</f>
        <v/>
      </c>
      <c r="L978" s="11">
        <f>L977+IF(K978&gt;0,K978*Summary!$B$9,K978/Summary!$B$9)</f>
        <v/>
      </c>
      <c r="M978" s="11">
        <f>G978+H978</f>
        <v/>
      </c>
      <c r="N978" s="11">
        <f>Summary!$C$16*Summary!$B$8</f>
        <v/>
      </c>
      <c r="O978" s="11">
        <f>M978-N978</f>
        <v/>
      </c>
    </row>
    <row r="979">
      <c r="A979" s="9" t="n">
        <v>45332.70833333334</v>
      </c>
      <c r="B979" t="n">
        <v>2</v>
      </c>
      <c r="C979" t="n">
        <v>10</v>
      </c>
      <c r="D979" t="n">
        <v>17</v>
      </c>
      <c r="E979" s="10" t="n">
        <v>0</v>
      </c>
      <c r="F979" s="10" t="n">
        <v>0.4347554003412961</v>
      </c>
      <c r="G979" s="11">
        <f>E979*Summary!$B$6</f>
        <v/>
      </c>
      <c r="H979" s="11">
        <f>F979*Summary!$B$7</f>
        <v/>
      </c>
      <c r="I979" s="11">
        <f>MAX(0,N979-M979)</f>
        <v/>
      </c>
      <c r="J979" s="11">
        <f>MAX(0,M979-N979)</f>
        <v/>
      </c>
      <c r="K979" s="11">
        <f>O979</f>
        <v/>
      </c>
      <c r="L979" s="11">
        <f>L978+IF(K979&gt;0,K979*Summary!$B$9,K979/Summary!$B$9)</f>
        <v/>
      </c>
      <c r="M979" s="11">
        <f>G979+H979</f>
        <v/>
      </c>
      <c r="N979" s="11">
        <f>Summary!$C$16*Summary!$B$8</f>
        <v/>
      </c>
      <c r="O979" s="11">
        <f>M979-N979</f>
        <v/>
      </c>
    </row>
    <row r="980">
      <c r="A980" s="9" t="n">
        <v>45332.75</v>
      </c>
      <c r="B980" t="n">
        <v>2</v>
      </c>
      <c r="C980" t="n">
        <v>10</v>
      </c>
      <c r="D980" t="n">
        <v>18</v>
      </c>
      <c r="E980" s="10" t="n">
        <v>0</v>
      </c>
      <c r="F980" s="10" t="n">
        <v>0.4504084920980381</v>
      </c>
      <c r="G980" s="11">
        <f>E980*Summary!$B$6</f>
        <v/>
      </c>
      <c r="H980" s="11">
        <f>F980*Summary!$B$7</f>
        <v/>
      </c>
      <c r="I980" s="11">
        <f>MAX(0,N980-M980)</f>
        <v/>
      </c>
      <c r="J980" s="11">
        <f>MAX(0,M980-N980)</f>
        <v/>
      </c>
      <c r="K980" s="11">
        <f>O980</f>
        <v/>
      </c>
      <c r="L980" s="11">
        <f>L979+IF(K980&gt;0,K980*Summary!$B$9,K980/Summary!$B$9)</f>
        <v/>
      </c>
      <c r="M980" s="11">
        <f>G980+H980</f>
        <v/>
      </c>
      <c r="N980" s="11">
        <f>Summary!$C$16*Summary!$B$8</f>
        <v/>
      </c>
      <c r="O980" s="11">
        <f>M980-N980</f>
        <v/>
      </c>
    </row>
    <row r="981">
      <c r="A981" s="9" t="n">
        <v>45332.79166666666</v>
      </c>
      <c r="B981" t="n">
        <v>2</v>
      </c>
      <c r="C981" t="n">
        <v>10</v>
      </c>
      <c r="D981" t="n">
        <v>19</v>
      </c>
      <c r="E981" s="10" t="n">
        <v>0</v>
      </c>
      <c r="F981" s="10" t="n">
        <v>0.4516470363952887</v>
      </c>
      <c r="G981" s="11">
        <f>E981*Summary!$B$6</f>
        <v/>
      </c>
      <c r="H981" s="11">
        <f>F981*Summary!$B$7</f>
        <v/>
      </c>
      <c r="I981" s="11">
        <f>MAX(0,N981-M981)</f>
        <v/>
      </c>
      <c r="J981" s="11">
        <f>MAX(0,M981-N981)</f>
        <v/>
      </c>
      <c r="K981" s="11">
        <f>O981</f>
        <v/>
      </c>
      <c r="L981" s="11">
        <f>L980+IF(K981&gt;0,K981*Summary!$B$9,K981/Summary!$B$9)</f>
        <v/>
      </c>
      <c r="M981" s="11">
        <f>G981+H981</f>
        <v/>
      </c>
      <c r="N981" s="11">
        <f>Summary!$C$16*Summary!$B$8</f>
        <v/>
      </c>
      <c r="O981" s="11">
        <f>M981-N981</f>
        <v/>
      </c>
    </row>
    <row r="982">
      <c r="A982" s="9" t="n">
        <v>45332.83333333334</v>
      </c>
      <c r="B982" t="n">
        <v>2</v>
      </c>
      <c r="C982" t="n">
        <v>10</v>
      </c>
      <c r="D982" t="n">
        <v>20</v>
      </c>
      <c r="E982" s="10" t="n">
        <v>0</v>
      </c>
      <c r="F982" s="10" t="n">
        <v>0.4461658190797965</v>
      </c>
      <c r="G982" s="11">
        <f>E982*Summary!$B$6</f>
        <v/>
      </c>
      <c r="H982" s="11">
        <f>F982*Summary!$B$7</f>
        <v/>
      </c>
      <c r="I982" s="11">
        <f>MAX(0,N982-M982)</f>
        <v/>
      </c>
      <c r="J982" s="11">
        <f>MAX(0,M982-N982)</f>
        <v/>
      </c>
      <c r="K982" s="11">
        <f>O982</f>
        <v/>
      </c>
      <c r="L982" s="11">
        <f>L981+IF(K982&gt;0,K982*Summary!$B$9,K982/Summary!$B$9)</f>
        <v/>
      </c>
      <c r="M982" s="11">
        <f>G982+H982</f>
        <v/>
      </c>
      <c r="N982" s="11">
        <f>Summary!$C$16*Summary!$B$8</f>
        <v/>
      </c>
      <c r="O982" s="11">
        <f>M982-N982</f>
        <v/>
      </c>
    </row>
    <row r="983">
      <c r="A983" s="9" t="n">
        <v>45332.875</v>
      </c>
      <c r="B983" t="n">
        <v>2</v>
      </c>
      <c r="C983" t="n">
        <v>10</v>
      </c>
      <c r="D983" t="n">
        <v>21</v>
      </c>
      <c r="E983" s="10" t="n">
        <v>0</v>
      </c>
      <c r="F983" s="10" t="n">
        <v>0.4318039756329541</v>
      </c>
      <c r="G983" s="11">
        <f>E983*Summary!$B$6</f>
        <v/>
      </c>
      <c r="H983" s="11">
        <f>F983*Summary!$B$7</f>
        <v/>
      </c>
      <c r="I983" s="11">
        <f>MAX(0,N983-M983)</f>
        <v/>
      </c>
      <c r="J983" s="11">
        <f>MAX(0,M983-N983)</f>
        <v/>
      </c>
      <c r="K983" s="11">
        <f>O983</f>
        <v/>
      </c>
      <c r="L983" s="11">
        <f>L982+IF(K983&gt;0,K983*Summary!$B$9,K983/Summary!$B$9)</f>
        <v/>
      </c>
      <c r="M983" s="11">
        <f>G983+H983</f>
        <v/>
      </c>
      <c r="N983" s="11">
        <f>Summary!$C$16*Summary!$B$8</f>
        <v/>
      </c>
      <c r="O983" s="11">
        <f>M983-N983</f>
        <v/>
      </c>
    </row>
    <row r="984">
      <c r="A984" s="9" t="n">
        <v>45332.91666666666</v>
      </c>
      <c r="B984" t="n">
        <v>2</v>
      </c>
      <c r="C984" t="n">
        <v>10</v>
      </c>
      <c r="D984" t="n">
        <v>22</v>
      </c>
      <c r="E984" s="10" t="n">
        <v>0</v>
      </c>
      <c r="F984" s="10" t="n">
        <v>0.416308995914159</v>
      </c>
      <c r="G984" s="11">
        <f>E984*Summary!$B$6</f>
        <v/>
      </c>
      <c r="H984" s="11">
        <f>F984*Summary!$B$7</f>
        <v/>
      </c>
      <c r="I984" s="11">
        <f>MAX(0,N984-M984)</f>
        <v/>
      </c>
      <c r="J984" s="11">
        <f>MAX(0,M984-N984)</f>
        <v/>
      </c>
      <c r="K984" s="11">
        <f>O984</f>
        <v/>
      </c>
      <c r="L984" s="11">
        <f>L983+IF(K984&gt;0,K984*Summary!$B$9,K984/Summary!$B$9)</f>
        <v/>
      </c>
      <c r="M984" s="11">
        <f>G984+H984</f>
        <v/>
      </c>
      <c r="N984" s="11">
        <f>Summary!$C$16*Summary!$B$8</f>
        <v/>
      </c>
      <c r="O984" s="11">
        <f>M984-N984</f>
        <v/>
      </c>
    </row>
    <row r="985">
      <c r="A985" s="9" t="n">
        <v>45332.95833333334</v>
      </c>
      <c r="B985" t="n">
        <v>2</v>
      </c>
      <c r="C985" t="n">
        <v>10</v>
      </c>
      <c r="D985" t="n">
        <v>23</v>
      </c>
      <c r="E985" s="10" t="n">
        <v>0</v>
      </c>
      <c r="F985" s="10" t="n">
        <v>0.4035282728467854</v>
      </c>
      <c r="G985" s="11">
        <f>E985*Summary!$B$6</f>
        <v/>
      </c>
      <c r="H985" s="11">
        <f>F985*Summary!$B$7</f>
        <v/>
      </c>
      <c r="I985" s="11">
        <f>MAX(0,N985-M985)</f>
        <v/>
      </c>
      <c r="J985" s="11">
        <f>MAX(0,M985-N985)</f>
        <v/>
      </c>
      <c r="K985" s="11">
        <f>O985</f>
        <v/>
      </c>
      <c r="L985" s="11">
        <f>L984+IF(K985&gt;0,K985*Summary!$B$9,K985/Summary!$B$9)</f>
        <v/>
      </c>
      <c r="M985" s="11">
        <f>G985+H985</f>
        <v/>
      </c>
      <c r="N985" s="11">
        <f>Summary!$C$16*Summary!$B$8</f>
        <v/>
      </c>
      <c r="O985" s="11">
        <f>M985-N985</f>
        <v/>
      </c>
    </row>
    <row r="986">
      <c r="A986" s="9" t="n">
        <v>45333</v>
      </c>
      <c r="B986" t="n">
        <v>2</v>
      </c>
      <c r="C986" t="n">
        <v>11</v>
      </c>
      <c r="D986" t="n">
        <v>0</v>
      </c>
      <c r="E986" s="10" t="n">
        <v>0</v>
      </c>
      <c r="F986" s="10" t="n">
        <v>0.4642696474247154</v>
      </c>
      <c r="G986" s="11">
        <f>E986*Summary!$B$6</f>
        <v/>
      </c>
      <c r="H986" s="11">
        <f>F986*Summary!$B$7</f>
        <v/>
      </c>
      <c r="I986" s="11">
        <f>MAX(0,N986-M986)</f>
        <v/>
      </c>
      <c r="J986" s="11">
        <f>MAX(0,M986-N986)</f>
        <v/>
      </c>
      <c r="K986" s="11">
        <f>O986</f>
        <v/>
      </c>
      <c r="L986" s="11">
        <f>L985+IF(K986&gt;0,K986*Summary!$B$9,K986/Summary!$B$9)</f>
        <v/>
      </c>
      <c r="M986" s="11">
        <f>G986+H986</f>
        <v/>
      </c>
      <c r="N986" s="11">
        <f>Summary!$C$16*Summary!$B$8</f>
        <v/>
      </c>
      <c r="O986" s="11">
        <f>M986-N986</f>
        <v/>
      </c>
    </row>
    <row r="987">
      <c r="A987" s="9" t="n">
        <v>45333.04166666666</v>
      </c>
      <c r="B987" t="n">
        <v>2</v>
      </c>
      <c r="C987" t="n">
        <v>11</v>
      </c>
      <c r="D987" t="n">
        <v>1</v>
      </c>
      <c r="E987" s="10" t="n">
        <v>0</v>
      </c>
      <c r="F987" s="10" t="n">
        <v>0.3900360456086509</v>
      </c>
      <c r="G987" s="11">
        <f>E987*Summary!$B$6</f>
        <v/>
      </c>
      <c r="H987" s="11">
        <f>F987*Summary!$B$7</f>
        <v/>
      </c>
      <c r="I987" s="11">
        <f>MAX(0,N987-M987)</f>
        <v/>
      </c>
      <c r="J987" s="11">
        <f>MAX(0,M987-N987)</f>
        <v/>
      </c>
      <c r="K987" s="11">
        <f>O987</f>
        <v/>
      </c>
      <c r="L987" s="11">
        <f>L986+IF(K987&gt;0,K987*Summary!$B$9,K987/Summary!$B$9)</f>
        <v/>
      </c>
      <c r="M987" s="11">
        <f>G987+H987</f>
        <v/>
      </c>
      <c r="N987" s="11">
        <f>Summary!$C$16*Summary!$B$8</f>
        <v/>
      </c>
      <c r="O987" s="11">
        <f>M987-N987</f>
        <v/>
      </c>
    </row>
    <row r="988">
      <c r="A988" s="9" t="n">
        <v>45333.08333333334</v>
      </c>
      <c r="B988" t="n">
        <v>2</v>
      </c>
      <c r="C988" t="n">
        <v>11</v>
      </c>
      <c r="D988" t="n">
        <v>2</v>
      </c>
      <c r="E988" s="10" t="n">
        <v>0</v>
      </c>
      <c r="F988" s="10" t="n">
        <v>0.388507629241831</v>
      </c>
      <c r="G988" s="11">
        <f>E988*Summary!$B$6</f>
        <v/>
      </c>
      <c r="H988" s="11">
        <f>F988*Summary!$B$7</f>
        <v/>
      </c>
      <c r="I988" s="11">
        <f>MAX(0,N988-M988)</f>
        <v/>
      </c>
      <c r="J988" s="11">
        <f>MAX(0,M988-N988)</f>
        <v/>
      </c>
      <c r="K988" s="11">
        <f>O988</f>
        <v/>
      </c>
      <c r="L988" s="11">
        <f>L987+IF(K988&gt;0,K988*Summary!$B$9,K988/Summary!$B$9)</f>
        <v/>
      </c>
      <c r="M988" s="11">
        <f>G988+H988</f>
        <v/>
      </c>
      <c r="N988" s="11">
        <f>Summary!$C$16*Summary!$B$8</f>
        <v/>
      </c>
      <c r="O988" s="11">
        <f>M988-N988</f>
        <v/>
      </c>
    </row>
    <row r="989">
      <c r="A989" s="9" t="n">
        <v>45333.125</v>
      </c>
      <c r="B989" t="n">
        <v>2</v>
      </c>
      <c r="C989" t="n">
        <v>11</v>
      </c>
      <c r="D989" t="n">
        <v>3</v>
      </c>
      <c r="E989" s="10" t="n">
        <v>0</v>
      </c>
      <c r="F989" s="10" t="n">
        <v>0.387084620900309</v>
      </c>
      <c r="G989" s="11">
        <f>E989*Summary!$B$6</f>
        <v/>
      </c>
      <c r="H989" s="11">
        <f>F989*Summary!$B$7</f>
        <v/>
      </c>
      <c r="I989" s="11">
        <f>MAX(0,N989-M989)</f>
        <v/>
      </c>
      <c r="J989" s="11">
        <f>MAX(0,M989-N989)</f>
        <v/>
      </c>
      <c r="K989" s="11">
        <f>O989</f>
        <v/>
      </c>
      <c r="L989" s="11">
        <f>L988+IF(K989&gt;0,K989*Summary!$B$9,K989/Summary!$B$9)</f>
        <v/>
      </c>
      <c r="M989" s="11">
        <f>G989+H989</f>
        <v/>
      </c>
      <c r="N989" s="11">
        <f>Summary!$C$16*Summary!$B$8</f>
        <v/>
      </c>
      <c r="O989" s="11">
        <f>M989-N989</f>
        <v/>
      </c>
    </row>
    <row r="990">
      <c r="A990" s="9" t="n">
        <v>45333.16666666666</v>
      </c>
      <c r="B990" t="n">
        <v>2</v>
      </c>
      <c r="C990" t="n">
        <v>11</v>
      </c>
      <c r="D990" t="n">
        <v>4</v>
      </c>
      <c r="E990" s="10" t="n">
        <v>0</v>
      </c>
      <c r="F990" s="10" t="n">
        <v>0.3899306375833531</v>
      </c>
      <c r="G990" s="11">
        <f>E990*Summary!$B$6</f>
        <v/>
      </c>
      <c r="H990" s="11">
        <f>F990*Summary!$B$7</f>
        <v/>
      </c>
      <c r="I990" s="11">
        <f>MAX(0,N990-M990)</f>
        <v/>
      </c>
      <c r="J990" s="11">
        <f>MAX(0,M990-N990)</f>
        <v/>
      </c>
      <c r="K990" s="11">
        <f>O990</f>
        <v/>
      </c>
      <c r="L990" s="11">
        <f>L989+IF(K990&gt;0,K990*Summary!$B$9,K990/Summary!$B$9)</f>
        <v/>
      </c>
      <c r="M990" s="11">
        <f>G990+H990</f>
        <v/>
      </c>
      <c r="N990" s="11">
        <f>Summary!$C$16*Summary!$B$8</f>
        <v/>
      </c>
      <c r="O990" s="11">
        <f>M990-N990</f>
        <v/>
      </c>
    </row>
    <row r="991">
      <c r="A991" s="9" t="n">
        <v>45333.20833333334</v>
      </c>
      <c r="B991" t="n">
        <v>2</v>
      </c>
      <c r="C991" t="n">
        <v>11</v>
      </c>
      <c r="D991" t="n">
        <v>5</v>
      </c>
      <c r="E991" s="10" t="n">
        <v>0</v>
      </c>
      <c r="F991" s="10" t="n">
        <v>0.3938307345193763</v>
      </c>
      <c r="G991" s="11">
        <f>E991*Summary!$B$6</f>
        <v/>
      </c>
      <c r="H991" s="11">
        <f>F991*Summary!$B$7</f>
        <v/>
      </c>
      <c r="I991" s="11">
        <f>MAX(0,N991-M991)</f>
        <v/>
      </c>
      <c r="J991" s="11">
        <f>MAX(0,M991-N991)</f>
        <v/>
      </c>
      <c r="K991" s="11">
        <f>O991</f>
        <v/>
      </c>
      <c r="L991" s="11">
        <f>L990+IF(K991&gt;0,K991*Summary!$B$9,K991/Summary!$B$9)</f>
        <v/>
      </c>
      <c r="M991" s="11">
        <f>G991+H991</f>
        <v/>
      </c>
      <c r="N991" s="11">
        <f>Summary!$C$16*Summary!$B$8</f>
        <v/>
      </c>
      <c r="O991" s="11">
        <f>M991-N991</f>
        <v/>
      </c>
    </row>
    <row r="992">
      <c r="A992" s="9" t="n">
        <v>45333.25</v>
      </c>
      <c r="B992" t="n">
        <v>2</v>
      </c>
      <c r="C992" t="n">
        <v>11</v>
      </c>
      <c r="D992" t="n">
        <v>6</v>
      </c>
      <c r="E992" s="10" t="n">
        <v>0</v>
      </c>
      <c r="F992" s="10" t="n">
        <v>0.3960179510443083</v>
      </c>
      <c r="G992" s="11">
        <f>E992*Summary!$B$6</f>
        <v/>
      </c>
      <c r="H992" s="11">
        <f>F992*Summary!$B$7</f>
        <v/>
      </c>
      <c r="I992" s="11">
        <f>MAX(0,N992-M992)</f>
        <v/>
      </c>
      <c r="J992" s="11">
        <f>MAX(0,M992-N992)</f>
        <v/>
      </c>
      <c r="K992" s="11">
        <f>O992</f>
        <v/>
      </c>
      <c r="L992" s="11">
        <f>L991+IF(K992&gt;0,K992*Summary!$B$9,K992/Summary!$B$9)</f>
        <v/>
      </c>
      <c r="M992" s="11">
        <f>G992+H992</f>
        <v/>
      </c>
      <c r="N992" s="11">
        <f>Summary!$C$16*Summary!$B$8</f>
        <v/>
      </c>
      <c r="O992" s="11">
        <f>M992-N992</f>
        <v/>
      </c>
    </row>
    <row r="993">
      <c r="A993" s="9" t="n">
        <v>45333.29166666666</v>
      </c>
      <c r="B993" t="n">
        <v>2</v>
      </c>
      <c r="C993" t="n">
        <v>11</v>
      </c>
      <c r="D993" t="n">
        <v>7</v>
      </c>
      <c r="E993" s="10" t="n">
        <v>0</v>
      </c>
      <c r="F993" s="10" t="n">
        <v>0.3940415505699721</v>
      </c>
      <c r="G993" s="11">
        <f>E993*Summary!$B$6</f>
        <v/>
      </c>
      <c r="H993" s="11">
        <f>F993*Summary!$B$7</f>
        <v/>
      </c>
      <c r="I993" s="11">
        <f>MAX(0,N993-M993)</f>
        <v/>
      </c>
      <c r="J993" s="11">
        <f>MAX(0,M993-N993)</f>
        <v/>
      </c>
      <c r="K993" s="11">
        <f>O993</f>
        <v/>
      </c>
      <c r="L993" s="11">
        <f>L992+IF(K993&gt;0,K993*Summary!$B$9,K993/Summary!$B$9)</f>
        <v/>
      </c>
      <c r="M993" s="11">
        <f>G993+H993</f>
        <v/>
      </c>
      <c r="N993" s="11">
        <f>Summary!$C$16*Summary!$B$8</f>
        <v/>
      </c>
      <c r="O993" s="11">
        <f>M993-N993</f>
        <v/>
      </c>
    </row>
    <row r="994">
      <c r="A994" s="9" t="n">
        <v>45333.33333333334</v>
      </c>
      <c r="B994" t="n">
        <v>2</v>
      </c>
      <c r="C994" t="n">
        <v>11</v>
      </c>
      <c r="D994" t="n">
        <v>8</v>
      </c>
      <c r="E994" s="10" t="n">
        <v>0.019157</v>
      </c>
      <c r="F994" s="10" t="n">
        <v>0.3803121552749172</v>
      </c>
      <c r="G994" s="11">
        <f>E994*Summary!$B$6</f>
        <v/>
      </c>
      <c r="H994" s="11">
        <f>F994*Summary!$B$7</f>
        <v/>
      </c>
      <c r="I994" s="11">
        <f>MAX(0,N994-M994)</f>
        <v/>
      </c>
      <c r="J994" s="11">
        <f>MAX(0,M994-N994)</f>
        <v/>
      </c>
      <c r="K994" s="11">
        <f>O994</f>
        <v/>
      </c>
      <c r="L994" s="11">
        <f>L993+IF(K994&gt;0,K994*Summary!$B$9,K994/Summary!$B$9)</f>
        <v/>
      </c>
      <c r="M994" s="11">
        <f>G994+H994</f>
        <v/>
      </c>
      <c r="N994" s="11">
        <f>Summary!$C$16*Summary!$B$8</f>
        <v/>
      </c>
      <c r="O994" s="11">
        <f>M994-N994</f>
        <v/>
      </c>
    </row>
    <row r="995">
      <c r="A995" s="9" t="n">
        <v>45333.375</v>
      </c>
      <c r="B995" t="n">
        <v>2</v>
      </c>
      <c r="C995" t="n">
        <v>11</v>
      </c>
      <c r="D995" t="n">
        <v>9</v>
      </c>
      <c r="E995" s="10" t="n">
        <v>0.023875</v>
      </c>
      <c r="F995" s="10" t="n">
        <v>0.3573859097726184</v>
      </c>
      <c r="G995" s="11">
        <f>E995*Summary!$B$6</f>
        <v/>
      </c>
      <c r="H995" s="11">
        <f>F995*Summary!$B$7</f>
        <v/>
      </c>
      <c r="I995" s="11">
        <f>MAX(0,N995-M995)</f>
        <v/>
      </c>
      <c r="J995" s="11">
        <f>MAX(0,M995-N995)</f>
        <v/>
      </c>
      <c r="K995" s="11">
        <f>O995</f>
        <v/>
      </c>
      <c r="L995" s="11">
        <f>L994+IF(K995&gt;0,K995*Summary!$B$9,K995/Summary!$B$9)</f>
        <v/>
      </c>
      <c r="M995" s="11">
        <f>G995+H995</f>
        <v/>
      </c>
      <c r="N995" s="11">
        <f>Summary!$C$16*Summary!$B$8</f>
        <v/>
      </c>
      <c r="O995" s="11">
        <f>M995-N995</f>
        <v/>
      </c>
    </row>
    <row r="996">
      <c r="A996" s="9" t="n">
        <v>45333.41666666666</v>
      </c>
      <c r="B996" t="n">
        <v>2</v>
      </c>
      <c r="C996" t="n">
        <v>11</v>
      </c>
      <c r="D996" t="n">
        <v>10</v>
      </c>
      <c r="E996" s="10" t="n">
        <v>0.024923</v>
      </c>
      <c r="F996" s="10" t="n">
        <v>0.3340643841754522</v>
      </c>
      <c r="G996" s="11">
        <f>E996*Summary!$B$6</f>
        <v/>
      </c>
      <c r="H996" s="11">
        <f>F996*Summary!$B$7</f>
        <v/>
      </c>
      <c r="I996" s="11">
        <f>MAX(0,N996-M996)</f>
        <v/>
      </c>
      <c r="J996" s="11">
        <f>MAX(0,M996-N996)</f>
        <v/>
      </c>
      <c r="K996" s="11">
        <f>O996</f>
        <v/>
      </c>
      <c r="L996" s="11">
        <f>L995+IF(K996&gt;0,K996*Summary!$B$9,K996/Summary!$B$9)</f>
        <v/>
      </c>
      <c r="M996" s="11">
        <f>G996+H996</f>
        <v/>
      </c>
      <c r="N996" s="11">
        <f>Summary!$C$16*Summary!$B$8</f>
        <v/>
      </c>
      <c r="O996" s="11">
        <f>M996-N996</f>
        <v/>
      </c>
    </row>
    <row r="997">
      <c r="A997" s="9" t="n">
        <v>45333.45833333334</v>
      </c>
      <c r="B997" t="n">
        <v>2</v>
      </c>
      <c r="C997" t="n">
        <v>11</v>
      </c>
      <c r="D997" t="n">
        <v>11</v>
      </c>
      <c r="E997" s="10" t="n">
        <v>0.08792899999999999</v>
      </c>
      <c r="F997" s="10" t="n">
        <v>0.309372554249413</v>
      </c>
      <c r="G997" s="11">
        <f>E997*Summary!$B$6</f>
        <v/>
      </c>
      <c r="H997" s="11">
        <f>F997*Summary!$B$7</f>
        <v/>
      </c>
      <c r="I997" s="11">
        <f>MAX(0,N997-M997)</f>
        <v/>
      </c>
      <c r="J997" s="11">
        <f>MAX(0,M997-N997)</f>
        <v/>
      </c>
      <c r="K997" s="11">
        <f>O997</f>
        <v/>
      </c>
      <c r="L997" s="11">
        <f>L996+IF(K997&gt;0,K997*Summary!$B$9,K997/Summary!$B$9)</f>
        <v/>
      </c>
      <c r="M997" s="11">
        <f>G997+H997</f>
        <v/>
      </c>
      <c r="N997" s="11">
        <f>Summary!$C$16*Summary!$B$8</f>
        <v/>
      </c>
      <c r="O997" s="11">
        <f>M997-N997</f>
        <v/>
      </c>
    </row>
    <row r="998">
      <c r="A998" s="9" t="n">
        <v>45333.5</v>
      </c>
      <c r="B998" t="n">
        <v>2</v>
      </c>
      <c r="C998" t="n">
        <v>11</v>
      </c>
      <c r="D998" t="n">
        <v>12</v>
      </c>
      <c r="E998" s="10" t="n">
        <v>0.09228600000000001</v>
      </c>
      <c r="F998" s="10" t="n">
        <v>0.2914531899487656</v>
      </c>
      <c r="G998" s="11">
        <f>E998*Summary!$B$6</f>
        <v/>
      </c>
      <c r="H998" s="11">
        <f>F998*Summary!$B$7</f>
        <v/>
      </c>
      <c r="I998" s="11">
        <f>MAX(0,N998-M998)</f>
        <v/>
      </c>
      <c r="J998" s="11">
        <f>MAX(0,M998-N998)</f>
        <v/>
      </c>
      <c r="K998" s="11">
        <f>O998</f>
        <v/>
      </c>
      <c r="L998" s="11">
        <f>L997+IF(K998&gt;0,K998*Summary!$B$9,K998/Summary!$B$9)</f>
        <v/>
      </c>
      <c r="M998" s="11">
        <f>G998+H998</f>
        <v/>
      </c>
      <c r="N998" s="11">
        <f>Summary!$C$16*Summary!$B$8</f>
        <v/>
      </c>
      <c r="O998" s="11">
        <f>M998-N998</f>
        <v/>
      </c>
    </row>
    <row r="999">
      <c r="A999" s="9" t="n">
        <v>45333.54166666666</v>
      </c>
      <c r="B999" t="n">
        <v>2</v>
      </c>
      <c r="C999" t="n">
        <v>11</v>
      </c>
      <c r="D999" t="n">
        <v>13</v>
      </c>
      <c r="E999" s="10" t="n">
        <v>0.084897</v>
      </c>
      <c r="F999" s="10" t="n">
        <v>0.2879220211012851</v>
      </c>
      <c r="G999" s="11">
        <f>E999*Summary!$B$6</f>
        <v/>
      </c>
      <c r="H999" s="11">
        <f>F999*Summary!$B$7</f>
        <v/>
      </c>
      <c r="I999" s="11">
        <f>MAX(0,N999-M999)</f>
        <v/>
      </c>
      <c r="J999" s="11">
        <f>MAX(0,M999-N999)</f>
        <v/>
      </c>
      <c r="K999" s="11">
        <f>O999</f>
        <v/>
      </c>
      <c r="L999" s="11">
        <f>L998+IF(K999&gt;0,K999*Summary!$B$9,K999/Summary!$B$9)</f>
        <v/>
      </c>
      <c r="M999" s="11">
        <f>G999+H999</f>
        <v/>
      </c>
      <c r="N999" s="11">
        <f>Summary!$C$16*Summary!$B$8</f>
        <v/>
      </c>
      <c r="O999" s="11">
        <f>M999-N999</f>
        <v/>
      </c>
    </row>
    <row r="1000">
      <c r="A1000" s="9" t="n">
        <v>45333.58333333334</v>
      </c>
      <c r="B1000" t="n">
        <v>2</v>
      </c>
      <c r="C1000" t="n">
        <v>11</v>
      </c>
      <c r="D1000" t="n">
        <v>14</v>
      </c>
      <c r="E1000" s="10" t="n">
        <v>0.049588</v>
      </c>
      <c r="F1000" s="10" t="n">
        <v>0.2951161188278685</v>
      </c>
      <c r="G1000" s="11">
        <f>E1000*Summary!$B$6</f>
        <v/>
      </c>
      <c r="H1000" s="11">
        <f>F1000*Summary!$B$7</f>
        <v/>
      </c>
      <c r="I1000" s="11">
        <f>MAX(0,N1000-M1000)</f>
        <v/>
      </c>
      <c r="J1000" s="11">
        <f>MAX(0,M1000-N1000)</f>
        <v/>
      </c>
      <c r="K1000" s="11">
        <f>O1000</f>
        <v/>
      </c>
      <c r="L1000" s="11">
        <f>L999+IF(K1000&gt;0,K1000*Summary!$B$9,K1000/Summary!$B$9)</f>
        <v/>
      </c>
      <c r="M1000" s="11">
        <f>G1000+H1000</f>
        <v/>
      </c>
      <c r="N1000" s="11">
        <f>Summary!$C$16*Summary!$B$8</f>
        <v/>
      </c>
      <c r="O1000" s="11">
        <f>M1000-N1000</f>
        <v/>
      </c>
    </row>
    <row r="1001">
      <c r="A1001" s="9" t="n">
        <v>45333.625</v>
      </c>
      <c r="B1001" t="n">
        <v>2</v>
      </c>
      <c r="C1001" t="n">
        <v>11</v>
      </c>
      <c r="D1001" t="n">
        <v>15</v>
      </c>
      <c r="E1001" s="10" t="n">
        <v>0.04109</v>
      </c>
      <c r="F1001" s="10" t="n">
        <v>0.3074488577877259</v>
      </c>
      <c r="G1001" s="11">
        <f>E1001*Summary!$B$6</f>
        <v/>
      </c>
      <c r="H1001" s="11">
        <f>F1001*Summary!$B$7</f>
        <v/>
      </c>
      <c r="I1001" s="11">
        <f>MAX(0,N1001-M1001)</f>
        <v/>
      </c>
      <c r="J1001" s="11">
        <f>MAX(0,M1001-N1001)</f>
        <v/>
      </c>
      <c r="K1001" s="11">
        <f>O1001</f>
        <v/>
      </c>
      <c r="L1001" s="11">
        <f>L1000+IF(K1001&gt;0,K1001*Summary!$B$9,K1001/Summary!$B$9)</f>
        <v/>
      </c>
      <c r="M1001" s="11">
        <f>G1001+H1001</f>
        <v/>
      </c>
      <c r="N1001" s="11">
        <f>Summary!$C$16*Summary!$B$8</f>
        <v/>
      </c>
      <c r="O1001" s="11">
        <f>M1001-N1001</f>
        <v/>
      </c>
    </row>
    <row r="1002">
      <c r="A1002" s="9" t="n">
        <v>45333.66666666666</v>
      </c>
      <c r="B1002" t="n">
        <v>2</v>
      </c>
      <c r="C1002" t="n">
        <v>11</v>
      </c>
      <c r="D1002" t="n">
        <v>16</v>
      </c>
      <c r="E1002" s="10" t="n">
        <v>0</v>
      </c>
      <c r="F1002" s="10" t="n">
        <v>0.3270020464804912</v>
      </c>
      <c r="G1002" s="11">
        <f>E1002*Summary!$B$6</f>
        <v/>
      </c>
      <c r="H1002" s="11">
        <f>F1002*Summary!$B$7</f>
        <v/>
      </c>
      <c r="I1002" s="11">
        <f>MAX(0,N1002-M1002)</f>
        <v/>
      </c>
      <c r="J1002" s="11">
        <f>MAX(0,M1002-N1002)</f>
        <v/>
      </c>
      <c r="K1002" s="11">
        <f>O1002</f>
        <v/>
      </c>
      <c r="L1002" s="11">
        <f>L1001+IF(K1002&gt;0,K1002*Summary!$B$9,K1002/Summary!$B$9)</f>
        <v/>
      </c>
      <c r="M1002" s="11">
        <f>G1002+H1002</f>
        <v/>
      </c>
      <c r="N1002" s="11">
        <f>Summary!$C$16*Summary!$B$8</f>
        <v/>
      </c>
      <c r="O1002" s="11">
        <f>M1002-N1002</f>
        <v/>
      </c>
    </row>
    <row r="1003">
      <c r="A1003" s="9" t="n">
        <v>45333.70833333334</v>
      </c>
      <c r="B1003" t="n">
        <v>2</v>
      </c>
      <c r="C1003" t="n">
        <v>11</v>
      </c>
      <c r="D1003" t="n">
        <v>17</v>
      </c>
      <c r="E1003" s="10" t="n">
        <v>0</v>
      </c>
      <c r="F1003" s="10" t="n">
        <v>0.3526161966278872</v>
      </c>
      <c r="G1003" s="11">
        <f>E1003*Summary!$B$6</f>
        <v/>
      </c>
      <c r="H1003" s="11">
        <f>F1003*Summary!$B$7</f>
        <v/>
      </c>
      <c r="I1003" s="11">
        <f>MAX(0,N1003-M1003)</f>
        <v/>
      </c>
      <c r="J1003" s="11">
        <f>MAX(0,M1003-N1003)</f>
        <v/>
      </c>
      <c r="K1003" s="11">
        <f>O1003</f>
        <v/>
      </c>
      <c r="L1003" s="11">
        <f>L1002+IF(K1003&gt;0,K1003*Summary!$B$9,K1003/Summary!$B$9)</f>
        <v/>
      </c>
      <c r="M1003" s="11">
        <f>G1003+H1003</f>
        <v/>
      </c>
      <c r="N1003" s="11">
        <f>Summary!$C$16*Summary!$B$8</f>
        <v/>
      </c>
      <c r="O1003" s="11">
        <f>M1003-N1003</f>
        <v/>
      </c>
    </row>
    <row r="1004">
      <c r="A1004" s="9" t="n">
        <v>45333.75</v>
      </c>
      <c r="B1004" t="n">
        <v>2</v>
      </c>
      <c r="C1004" t="n">
        <v>11</v>
      </c>
      <c r="D1004" t="n">
        <v>18</v>
      </c>
      <c r="E1004" s="10" t="n">
        <v>0</v>
      </c>
      <c r="F1004" s="10" t="n">
        <v>0.4045032970807912</v>
      </c>
      <c r="G1004" s="11">
        <f>E1004*Summary!$B$6</f>
        <v/>
      </c>
      <c r="H1004" s="11">
        <f>F1004*Summary!$B$7</f>
        <v/>
      </c>
      <c r="I1004" s="11">
        <f>MAX(0,N1004-M1004)</f>
        <v/>
      </c>
      <c r="J1004" s="11">
        <f>MAX(0,M1004-N1004)</f>
        <v/>
      </c>
      <c r="K1004" s="11">
        <f>O1004</f>
        <v/>
      </c>
      <c r="L1004" s="11">
        <f>L1003+IF(K1004&gt;0,K1004*Summary!$B$9,K1004/Summary!$B$9)</f>
        <v/>
      </c>
      <c r="M1004" s="11">
        <f>G1004+H1004</f>
        <v/>
      </c>
      <c r="N1004" s="11">
        <f>Summary!$C$16*Summary!$B$8</f>
        <v/>
      </c>
      <c r="O1004" s="11">
        <f>M1004-N1004</f>
        <v/>
      </c>
    </row>
    <row r="1005">
      <c r="A1005" s="9" t="n">
        <v>45333.79166666666</v>
      </c>
      <c r="B1005" t="n">
        <v>2</v>
      </c>
      <c r="C1005" t="n">
        <v>11</v>
      </c>
      <c r="D1005" t="n">
        <v>19</v>
      </c>
      <c r="E1005" s="10" t="n">
        <v>0</v>
      </c>
      <c r="F1005" s="10" t="n">
        <v>0.4013937603345025</v>
      </c>
      <c r="G1005" s="11">
        <f>E1005*Summary!$B$6</f>
        <v/>
      </c>
      <c r="H1005" s="11">
        <f>F1005*Summary!$B$7</f>
        <v/>
      </c>
      <c r="I1005" s="11">
        <f>MAX(0,N1005-M1005)</f>
        <v/>
      </c>
      <c r="J1005" s="11">
        <f>MAX(0,M1005-N1005)</f>
        <v/>
      </c>
      <c r="K1005" s="11">
        <f>O1005</f>
        <v/>
      </c>
      <c r="L1005" s="11">
        <f>L1004+IF(K1005&gt;0,K1005*Summary!$B$9,K1005/Summary!$B$9)</f>
        <v/>
      </c>
      <c r="M1005" s="11">
        <f>G1005+H1005</f>
        <v/>
      </c>
      <c r="N1005" s="11">
        <f>Summary!$C$16*Summary!$B$8</f>
        <v/>
      </c>
      <c r="O1005" s="11">
        <f>M1005-N1005</f>
        <v/>
      </c>
    </row>
    <row r="1006">
      <c r="A1006" s="9" t="n">
        <v>45333.83333333334</v>
      </c>
      <c r="B1006" t="n">
        <v>2</v>
      </c>
      <c r="C1006" t="n">
        <v>11</v>
      </c>
      <c r="D1006" t="n">
        <v>20</v>
      </c>
      <c r="E1006" s="10" t="n">
        <v>0</v>
      </c>
      <c r="F1006" s="10" t="n">
        <v>0.4185489164517399</v>
      </c>
      <c r="G1006" s="11">
        <f>E1006*Summary!$B$6</f>
        <v/>
      </c>
      <c r="H1006" s="11">
        <f>F1006*Summary!$B$7</f>
        <v/>
      </c>
      <c r="I1006" s="11">
        <f>MAX(0,N1006-M1006)</f>
        <v/>
      </c>
      <c r="J1006" s="11">
        <f>MAX(0,M1006-N1006)</f>
        <v/>
      </c>
      <c r="K1006" s="11">
        <f>O1006</f>
        <v/>
      </c>
      <c r="L1006" s="11">
        <f>L1005+IF(K1006&gt;0,K1006*Summary!$B$9,K1006/Summary!$B$9)</f>
        <v/>
      </c>
      <c r="M1006" s="11">
        <f>G1006+H1006</f>
        <v/>
      </c>
      <c r="N1006" s="11">
        <f>Summary!$C$16*Summary!$B$8</f>
        <v/>
      </c>
      <c r="O1006" s="11">
        <f>M1006-N1006</f>
        <v/>
      </c>
    </row>
    <row r="1007">
      <c r="A1007" s="9" t="n">
        <v>45333.875</v>
      </c>
      <c r="B1007" t="n">
        <v>2</v>
      </c>
      <c r="C1007" t="n">
        <v>11</v>
      </c>
      <c r="D1007" t="n">
        <v>21</v>
      </c>
      <c r="E1007" s="10" t="n">
        <v>0</v>
      </c>
      <c r="F1007" s="10" t="n">
        <v>0.434043896170535</v>
      </c>
      <c r="G1007" s="11">
        <f>E1007*Summary!$B$6</f>
        <v/>
      </c>
      <c r="H1007" s="11">
        <f>F1007*Summary!$B$7</f>
        <v/>
      </c>
      <c r="I1007" s="11">
        <f>MAX(0,N1007-M1007)</f>
        <v/>
      </c>
      <c r="J1007" s="11">
        <f>MAX(0,M1007-N1007)</f>
        <v/>
      </c>
      <c r="K1007" s="11">
        <f>O1007</f>
        <v/>
      </c>
      <c r="L1007" s="11">
        <f>L1006+IF(K1007&gt;0,K1007*Summary!$B$9,K1007/Summary!$B$9)</f>
        <v/>
      </c>
      <c r="M1007" s="11">
        <f>G1007+H1007</f>
        <v/>
      </c>
      <c r="N1007" s="11">
        <f>Summary!$C$16*Summary!$B$8</f>
        <v/>
      </c>
      <c r="O1007" s="11">
        <f>M1007-N1007</f>
        <v/>
      </c>
    </row>
    <row r="1008">
      <c r="A1008" s="9" t="n">
        <v>45333.91666666666</v>
      </c>
      <c r="B1008" t="n">
        <v>2</v>
      </c>
      <c r="C1008" t="n">
        <v>11</v>
      </c>
      <c r="D1008" t="n">
        <v>22</v>
      </c>
      <c r="E1008" s="10" t="n">
        <v>0</v>
      </c>
      <c r="F1008" s="10" t="n">
        <v>0.4495388758893302</v>
      </c>
      <c r="G1008" s="11">
        <f>E1008*Summary!$B$6</f>
        <v/>
      </c>
      <c r="H1008" s="11">
        <f>F1008*Summary!$B$7</f>
        <v/>
      </c>
      <c r="I1008" s="11">
        <f>MAX(0,N1008-M1008)</f>
        <v/>
      </c>
      <c r="J1008" s="11">
        <f>MAX(0,M1008-N1008)</f>
        <v/>
      </c>
      <c r="K1008" s="11">
        <f>O1008</f>
        <v/>
      </c>
      <c r="L1008" s="11">
        <f>L1007+IF(K1008&gt;0,K1008*Summary!$B$9,K1008/Summary!$B$9)</f>
        <v/>
      </c>
      <c r="M1008" s="11">
        <f>G1008+H1008</f>
        <v/>
      </c>
      <c r="N1008" s="11">
        <f>Summary!$C$16*Summary!$B$8</f>
        <v/>
      </c>
      <c r="O1008" s="11">
        <f>M1008-N1008</f>
        <v/>
      </c>
    </row>
    <row r="1009">
      <c r="A1009" s="9" t="n">
        <v>45333.95833333334</v>
      </c>
      <c r="B1009" t="n">
        <v>2</v>
      </c>
      <c r="C1009" t="n">
        <v>11</v>
      </c>
      <c r="D1009" t="n">
        <v>23</v>
      </c>
      <c r="E1009" s="10" t="n">
        <v>0</v>
      </c>
      <c r="F1009" s="10" t="n">
        <v>0.4505402521296605</v>
      </c>
      <c r="G1009" s="11">
        <f>E1009*Summary!$B$6</f>
        <v/>
      </c>
      <c r="H1009" s="11">
        <f>F1009*Summary!$B$7</f>
        <v/>
      </c>
      <c r="I1009" s="11">
        <f>MAX(0,N1009-M1009)</f>
        <v/>
      </c>
      <c r="J1009" s="11">
        <f>MAX(0,M1009-N1009)</f>
        <v/>
      </c>
      <c r="K1009" s="11">
        <f>O1009</f>
        <v/>
      </c>
      <c r="L1009" s="11">
        <f>L1008+IF(K1009&gt;0,K1009*Summary!$B$9,K1009/Summary!$B$9)</f>
        <v/>
      </c>
      <c r="M1009" s="11">
        <f>G1009+H1009</f>
        <v/>
      </c>
      <c r="N1009" s="11">
        <f>Summary!$C$16*Summary!$B$8</f>
        <v/>
      </c>
      <c r="O1009" s="11">
        <f>M1009-N1009</f>
        <v/>
      </c>
    </row>
    <row r="1010">
      <c r="A1010" s="9" t="n">
        <v>45334</v>
      </c>
      <c r="B1010" t="n">
        <v>2</v>
      </c>
      <c r="C1010" t="n">
        <v>12</v>
      </c>
      <c r="D1010" t="n">
        <v>0</v>
      </c>
      <c r="E1010" s="10" t="n">
        <v>0</v>
      </c>
      <c r="F1010" s="10" t="n">
        <v>0.404108016985924</v>
      </c>
      <c r="G1010" s="11">
        <f>E1010*Summary!$B$6</f>
        <v/>
      </c>
      <c r="H1010" s="11">
        <f>F1010*Summary!$B$7</f>
        <v/>
      </c>
      <c r="I1010" s="11">
        <f>MAX(0,N1010-M1010)</f>
        <v/>
      </c>
      <c r="J1010" s="11">
        <f>MAX(0,M1010-N1010)</f>
        <v/>
      </c>
      <c r="K1010" s="11">
        <f>O1010</f>
        <v/>
      </c>
      <c r="L1010" s="11">
        <f>L1009+IF(K1010&gt;0,K1010*Summary!$B$9,K1010/Summary!$B$9)</f>
        <v/>
      </c>
      <c r="M1010" s="11">
        <f>G1010+H1010</f>
        <v/>
      </c>
      <c r="N1010" s="11">
        <f>Summary!$C$16*Summary!$B$8</f>
        <v/>
      </c>
      <c r="O1010" s="11">
        <f>M1010-N1010</f>
        <v/>
      </c>
    </row>
    <row r="1011">
      <c r="A1011" s="9" t="n">
        <v>45334.04166666666</v>
      </c>
      <c r="B1011" t="n">
        <v>2</v>
      </c>
      <c r="C1011" t="n">
        <v>12</v>
      </c>
      <c r="D1011" t="n">
        <v>1</v>
      </c>
      <c r="E1011" s="10" t="n">
        <v>0</v>
      </c>
      <c r="F1011" s="10" t="n">
        <v>0.4930460383310492</v>
      </c>
      <c r="G1011" s="11">
        <f>E1011*Summary!$B$6</f>
        <v/>
      </c>
      <c r="H1011" s="11">
        <f>F1011*Summary!$B$7</f>
        <v/>
      </c>
      <c r="I1011" s="11">
        <f>MAX(0,N1011-M1011)</f>
        <v/>
      </c>
      <c r="J1011" s="11">
        <f>MAX(0,M1011-N1011)</f>
        <v/>
      </c>
      <c r="K1011" s="11">
        <f>O1011</f>
        <v/>
      </c>
      <c r="L1011" s="11">
        <f>L1010+IF(K1011&gt;0,K1011*Summary!$B$9,K1011/Summary!$B$9)</f>
        <v/>
      </c>
      <c r="M1011" s="11">
        <f>G1011+H1011</f>
        <v/>
      </c>
      <c r="N1011" s="11">
        <f>Summary!$C$16*Summary!$B$8</f>
        <v/>
      </c>
      <c r="O1011" s="11">
        <f>M1011-N1011</f>
        <v/>
      </c>
    </row>
    <row r="1012">
      <c r="A1012" s="9" t="n">
        <v>45334.08333333334</v>
      </c>
      <c r="B1012" t="n">
        <v>2</v>
      </c>
      <c r="C1012" t="n">
        <v>12</v>
      </c>
      <c r="D1012" t="n">
        <v>2</v>
      </c>
      <c r="E1012" s="10" t="n">
        <v>0</v>
      </c>
      <c r="F1012" s="10" t="n">
        <v>0.4725178254042781</v>
      </c>
      <c r="G1012" s="11">
        <f>E1012*Summary!$B$6</f>
        <v/>
      </c>
      <c r="H1012" s="11">
        <f>F1012*Summary!$B$7</f>
        <v/>
      </c>
      <c r="I1012" s="11">
        <f>MAX(0,N1012-M1012)</f>
        <v/>
      </c>
      <c r="J1012" s="11">
        <f>MAX(0,M1012-N1012)</f>
        <v/>
      </c>
      <c r="K1012" s="11">
        <f>O1012</f>
        <v/>
      </c>
      <c r="L1012" s="11">
        <f>L1011+IF(K1012&gt;0,K1012*Summary!$B$9,K1012/Summary!$B$9)</f>
        <v/>
      </c>
      <c r="M1012" s="11">
        <f>G1012+H1012</f>
        <v/>
      </c>
      <c r="N1012" s="11">
        <f>Summary!$C$16*Summary!$B$8</f>
        <v/>
      </c>
      <c r="O1012" s="11">
        <f>M1012-N1012</f>
        <v/>
      </c>
    </row>
    <row r="1013">
      <c r="A1013" s="9" t="n">
        <v>45334.125</v>
      </c>
      <c r="B1013" t="n">
        <v>2</v>
      </c>
      <c r="C1013" t="n">
        <v>12</v>
      </c>
      <c r="D1013" t="n">
        <v>3</v>
      </c>
      <c r="E1013" s="10" t="n">
        <v>0</v>
      </c>
      <c r="F1013" s="10" t="n">
        <v>0.4742307058153694</v>
      </c>
      <c r="G1013" s="11">
        <f>E1013*Summary!$B$6</f>
        <v/>
      </c>
      <c r="H1013" s="11">
        <f>F1013*Summary!$B$7</f>
        <v/>
      </c>
      <c r="I1013" s="11">
        <f>MAX(0,N1013-M1013)</f>
        <v/>
      </c>
      <c r="J1013" s="11">
        <f>MAX(0,M1013-N1013)</f>
        <v/>
      </c>
      <c r="K1013" s="11">
        <f>O1013</f>
        <v/>
      </c>
      <c r="L1013" s="11">
        <f>L1012+IF(K1013&gt;0,K1013*Summary!$B$9,K1013/Summary!$B$9)</f>
        <v/>
      </c>
      <c r="M1013" s="11">
        <f>G1013+H1013</f>
        <v/>
      </c>
      <c r="N1013" s="11">
        <f>Summary!$C$16*Summary!$B$8</f>
        <v/>
      </c>
      <c r="O1013" s="11">
        <f>M1013-N1013</f>
        <v/>
      </c>
    </row>
    <row r="1014">
      <c r="A1014" s="9" t="n">
        <v>45334.16666666666</v>
      </c>
      <c r="B1014" t="n">
        <v>2</v>
      </c>
      <c r="C1014" t="n">
        <v>12</v>
      </c>
      <c r="D1014" t="n">
        <v>4</v>
      </c>
      <c r="E1014" s="10" t="n">
        <v>0</v>
      </c>
      <c r="F1014" s="10" t="n">
        <v>0.4766287383908972</v>
      </c>
      <c r="G1014" s="11">
        <f>E1014*Summary!$B$6</f>
        <v/>
      </c>
      <c r="H1014" s="11">
        <f>F1014*Summary!$B$7</f>
        <v/>
      </c>
      <c r="I1014" s="11">
        <f>MAX(0,N1014-M1014)</f>
        <v/>
      </c>
      <c r="J1014" s="11">
        <f>MAX(0,M1014-N1014)</f>
        <v/>
      </c>
      <c r="K1014" s="11">
        <f>O1014</f>
        <v/>
      </c>
      <c r="L1014" s="11">
        <f>L1013+IF(K1014&gt;0,K1014*Summary!$B$9,K1014/Summary!$B$9)</f>
        <v/>
      </c>
      <c r="M1014" s="11">
        <f>G1014+H1014</f>
        <v/>
      </c>
      <c r="N1014" s="11">
        <f>Summary!$C$16*Summary!$B$8</f>
        <v/>
      </c>
      <c r="O1014" s="11">
        <f>M1014-N1014</f>
        <v/>
      </c>
    </row>
    <row r="1015">
      <c r="A1015" s="9" t="n">
        <v>45334.20833333334</v>
      </c>
      <c r="B1015" t="n">
        <v>2</v>
      </c>
      <c r="C1015" t="n">
        <v>12</v>
      </c>
      <c r="D1015" t="n">
        <v>5</v>
      </c>
      <c r="E1015" s="10" t="n">
        <v>0</v>
      </c>
      <c r="F1015" s="10" t="n">
        <v>0.476944962466791</v>
      </c>
      <c r="G1015" s="11">
        <f>E1015*Summary!$B$6</f>
        <v/>
      </c>
      <c r="H1015" s="11">
        <f>F1015*Summary!$B$7</f>
        <v/>
      </c>
      <c r="I1015" s="11">
        <f>MAX(0,N1015-M1015)</f>
        <v/>
      </c>
      <c r="J1015" s="11">
        <f>MAX(0,M1015-N1015)</f>
        <v/>
      </c>
      <c r="K1015" s="11">
        <f>O1015</f>
        <v/>
      </c>
      <c r="L1015" s="11">
        <f>L1014+IF(K1015&gt;0,K1015*Summary!$B$9,K1015/Summary!$B$9)</f>
        <v/>
      </c>
      <c r="M1015" s="11">
        <f>G1015+H1015</f>
        <v/>
      </c>
      <c r="N1015" s="11">
        <f>Summary!$C$16*Summary!$B$8</f>
        <v/>
      </c>
      <c r="O1015" s="11">
        <f>M1015-N1015</f>
        <v/>
      </c>
    </row>
    <row r="1016">
      <c r="A1016" s="9" t="n">
        <v>45334.25</v>
      </c>
      <c r="B1016" t="n">
        <v>2</v>
      </c>
      <c r="C1016" t="n">
        <v>12</v>
      </c>
      <c r="D1016" t="n">
        <v>6</v>
      </c>
      <c r="E1016" s="10" t="n">
        <v>0</v>
      </c>
      <c r="F1016" s="10" t="n">
        <v>0.46835420840501</v>
      </c>
      <c r="G1016" s="11">
        <f>E1016*Summary!$B$6</f>
        <v/>
      </c>
      <c r="H1016" s="11">
        <f>F1016*Summary!$B$7</f>
        <v/>
      </c>
      <c r="I1016" s="11">
        <f>MAX(0,N1016-M1016)</f>
        <v/>
      </c>
      <c r="J1016" s="11">
        <f>MAX(0,M1016-N1016)</f>
        <v/>
      </c>
      <c r="K1016" s="11">
        <f>O1016</f>
        <v/>
      </c>
      <c r="L1016" s="11">
        <f>L1015+IF(K1016&gt;0,K1016*Summary!$B$9,K1016/Summary!$B$9)</f>
        <v/>
      </c>
      <c r="M1016" s="11">
        <f>G1016+H1016</f>
        <v/>
      </c>
      <c r="N1016" s="11">
        <f>Summary!$C$16*Summary!$B$8</f>
        <v/>
      </c>
      <c r="O1016" s="11">
        <f>M1016-N1016</f>
        <v/>
      </c>
    </row>
    <row r="1017">
      <c r="A1017" s="9" t="n">
        <v>45334.29166666666</v>
      </c>
      <c r="B1017" t="n">
        <v>2</v>
      </c>
      <c r="C1017" t="n">
        <v>12</v>
      </c>
      <c r="D1017" t="n">
        <v>7</v>
      </c>
      <c r="E1017" s="10" t="n">
        <v>0</v>
      </c>
      <c r="F1017" s="10" t="n">
        <v>0.4625831190199485</v>
      </c>
      <c r="G1017" s="11">
        <f>E1017*Summary!$B$6</f>
        <v/>
      </c>
      <c r="H1017" s="11">
        <f>F1017*Summary!$B$7</f>
        <v/>
      </c>
      <c r="I1017" s="11">
        <f>MAX(0,N1017-M1017)</f>
        <v/>
      </c>
      <c r="J1017" s="11">
        <f>MAX(0,M1017-N1017)</f>
        <v/>
      </c>
      <c r="K1017" s="11">
        <f>O1017</f>
        <v/>
      </c>
      <c r="L1017" s="11">
        <f>L1016+IF(K1017&gt;0,K1017*Summary!$B$9,K1017/Summary!$B$9)</f>
        <v/>
      </c>
      <c r="M1017" s="11">
        <f>G1017+H1017</f>
        <v/>
      </c>
      <c r="N1017" s="11">
        <f>Summary!$C$16*Summary!$B$8</f>
        <v/>
      </c>
      <c r="O1017" s="11">
        <f>M1017-N1017</f>
        <v/>
      </c>
    </row>
    <row r="1018">
      <c r="A1018" s="9" t="n">
        <v>45334.33333333334</v>
      </c>
      <c r="B1018" t="n">
        <v>2</v>
      </c>
      <c r="C1018" t="n">
        <v>12</v>
      </c>
      <c r="D1018" t="n">
        <v>8</v>
      </c>
      <c r="E1018" s="10" t="n">
        <v>0</v>
      </c>
      <c r="F1018" s="10" t="n">
        <v>0.4479050514972123</v>
      </c>
      <c r="G1018" s="11">
        <f>E1018*Summary!$B$6</f>
        <v/>
      </c>
      <c r="H1018" s="11">
        <f>F1018*Summary!$B$7</f>
        <v/>
      </c>
      <c r="I1018" s="11">
        <f>MAX(0,N1018-M1018)</f>
        <v/>
      </c>
      <c r="J1018" s="11">
        <f>MAX(0,M1018-N1018)</f>
        <v/>
      </c>
      <c r="K1018" s="11">
        <f>O1018</f>
        <v/>
      </c>
      <c r="L1018" s="11">
        <f>L1017+IF(K1018&gt;0,K1018*Summary!$B$9,K1018/Summary!$B$9)</f>
        <v/>
      </c>
      <c r="M1018" s="11">
        <f>G1018+H1018</f>
        <v/>
      </c>
      <c r="N1018" s="11">
        <f>Summary!$C$16*Summary!$B$8</f>
        <v/>
      </c>
      <c r="O1018" s="11">
        <f>M1018-N1018</f>
        <v/>
      </c>
    </row>
    <row r="1019">
      <c r="A1019" s="9" t="n">
        <v>45334.375</v>
      </c>
      <c r="B1019" t="n">
        <v>2</v>
      </c>
      <c r="C1019" t="n">
        <v>12</v>
      </c>
      <c r="D1019" t="n">
        <v>9</v>
      </c>
      <c r="E1019" s="10" t="n">
        <v>0.021789</v>
      </c>
      <c r="F1019" s="10" t="n">
        <v>0.4335959120630189</v>
      </c>
      <c r="G1019" s="11">
        <f>E1019*Summary!$B$6</f>
        <v/>
      </c>
      <c r="H1019" s="11">
        <f>F1019*Summary!$B$7</f>
        <v/>
      </c>
      <c r="I1019" s="11">
        <f>MAX(0,N1019-M1019)</f>
        <v/>
      </c>
      <c r="J1019" s="11">
        <f>MAX(0,M1019-N1019)</f>
        <v/>
      </c>
      <c r="K1019" s="11">
        <f>O1019</f>
        <v/>
      </c>
      <c r="L1019" s="11">
        <f>L1018+IF(K1019&gt;0,K1019*Summary!$B$9,K1019/Summary!$B$9)</f>
        <v/>
      </c>
      <c r="M1019" s="11">
        <f>G1019+H1019</f>
        <v/>
      </c>
      <c r="N1019" s="11">
        <f>Summary!$C$16*Summary!$B$8</f>
        <v/>
      </c>
      <c r="O1019" s="11">
        <f>M1019-N1019</f>
        <v/>
      </c>
    </row>
    <row r="1020">
      <c r="A1020" s="9" t="n">
        <v>45334.41666666666</v>
      </c>
      <c r="B1020" t="n">
        <v>2</v>
      </c>
      <c r="C1020" t="n">
        <v>12</v>
      </c>
      <c r="D1020" t="n">
        <v>10</v>
      </c>
      <c r="E1020" s="10" t="n">
        <v>0.147447</v>
      </c>
      <c r="F1020" s="10" t="n">
        <v>0.4157819557876694</v>
      </c>
      <c r="G1020" s="11">
        <f>E1020*Summary!$B$6</f>
        <v/>
      </c>
      <c r="H1020" s="11">
        <f>F1020*Summary!$B$7</f>
        <v/>
      </c>
      <c r="I1020" s="11">
        <f>MAX(0,N1020-M1020)</f>
        <v/>
      </c>
      <c r="J1020" s="11">
        <f>MAX(0,M1020-N1020)</f>
        <v/>
      </c>
      <c r="K1020" s="11">
        <f>O1020</f>
        <v/>
      </c>
      <c r="L1020" s="11">
        <f>L1019+IF(K1020&gt;0,K1020*Summary!$B$9,K1020/Summary!$B$9)</f>
        <v/>
      </c>
      <c r="M1020" s="11">
        <f>G1020+H1020</f>
        <v/>
      </c>
      <c r="N1020" s="11">
        <f>Summary!$C$16*Summary!$B$8</f>
        <v/>
      </c>
      <c r="O1020" s="11">
        <f>M1020-N1020</f>
        <v/>
      </c>
    </row>
    <row r="1021">
      <c r="A1021" s="9" t="n">
        <v>45334.45833333334</v>
      </c>
      <c r="B1021" t="n">
        <v>2</v>
      </c>
      <c r="C1021" t="n">
        <v>12</v>
      </c>
      <c r="D1021" t="n">
        <v>11</v>
      </c>
      <c r="E1021" s="10" t="n">
        <v>0.237633</v>
      </c>
      <c r="F1021" s="10" t="n">
        <v>0.3983369276008626</v>
      </c>
      <c r="G1021" s="11">
        <f>E1021*Summary!$B$6</f>
        <v/>
      </c>
      <c r="H1021" s="11">
        <f>F1021*Summary!$B$7</f>
        <v/>
      </c>
      <c r="I1021" s="11">
        <f>MAX(0,N1021-M1021)</f>
        <v/>
      </c>
      <c r="J1021" s="11">
        <f>MAX(0,M1021-N1021)</f>
        <v/>
      </c>
      <c r="K1021" s="11">
        <f>O1021</f>
        <v/>
      </c>
      <c r="L1021" s="11">
        <f>L1020+IF(K1021&gt;0,K1021*Summary!$B$9,K1021/Summary!$B$9)</f>
        <v/>
      </c>
      <c r="M1021" s="11">
        <f>G1021+H1021</f>
        <v/>
      </c>
      <c r="N1021" s="11">
        <f>Summary!$C$16*Summary!$B$8</f>
        <v/>
      </c>
      <c r="O1021" s="11">
        <f>M1021-N1021</f>
        <v/>
      </c>
    </row>
    <row r="1022">
      <c r="A1022" s="9" t="n">
        <v>45334.5</v>
      </c>
      <c r="B1022" t="n">
        <v>2</v>
      </c>
      <c r="C1022" t="n">
        <v>12</v>
      </c>
      <c r="D1022" t="n">
        <v>12</v>
      </c>
      <c r="E1022" s="10" t="n">
        <v>0.392632</v>
      </c>
      <c r="F1022" s="10" t="n">
        <v>0.3843967162552119</v>
      </c>
      <c r="G1022" s="11">
        <f>E1022*Summary!$B$6</f>
        <v/>
      </c>
      <c r="H1022" s="11">
        <f>F1022*Summary!$B$7</f>
        <v/>
      </c>
      <c r="I1022" s="11">
        <f>MAX(0,N1022-M1022)</f>
        <v/>
      </c>
      <c r="J1022" s="11">
        <f>MAX(0,M1022-N1022)</f>
        <v/>
      </c>
      <c r="K1022" s="11">
        <f>O1022</f>
        <v/>
      </c>
      <c r="L1022" s="11">
        <f>L1021+IF(K1022&gt;0,K1022*Summary!$B$9,K1022/Summary!$B$9)</f>
        <v/>
      </c>
      <c r="M1022" s="11">
        <f>G1022+H1022</f>
        <v/>
      </c>
      <c r="N1022" s="11">
        <f>Summary!$C$16*Summary!$B$8</f>
        <v/>
      </c>
      <c r="O1022" s="11">
        <f>M1022-N1022</f>
        <v/>
      </c>
    </row>
    <row r="1023">
      <c r="A1023" s="9" t="n">
        <v>45334.54166666666</v>
      </c>
      <c r="B1023" t="n">
        <v>2</v>
      </c>
      <c r="C1023" t="n">
        <v>12</v>
      </c>
      <c r="D1023" t="n">
        <v>13</v>
      </c>
      <c r="E1023" s="10" t="n">
        <v>0.37066</v>
      </c>
      <c r="F1023" s="10" t="n">
        <v>0.3720112732827056</v>
      </c>
      <c r="G1023" s="11">
        <f>E1023*Summary!$B$6</f>
        <v/>
      </c>
      <c r="H1023" s="11">
        <f>F1023*Summary!$B$7</f>
        <v/>
      </c>
      <c r="I1023" s="11">
        <f>MAX(0,N1023-M1023)</f>
        <v/>
      </c>
      <c r="J1023" s="11">
        <f>MAX(0,M1023-N1023)</f>
        <v/>
      </c>
      <c r="K1023" s="11">
        <f>O1023</f>
        <v/>
      </c>
      <c r="L1023" s="11">
        <f>L1022+IF(K1023&gt;0,K1023*Summary!$B$9,K1023/Summary!$B$9)</f>
        <v/>
      </c>
      <c r="M1023" s="11">
        <f>G1023+H1023</f>
        <v/>
      </c>
      <c r="N1023" s="11">
        <f>Summary!$C$16*Summary!$B$8</f>
        <v/>
      </c>
      <c r="O1023" s="11">
        <f>M1023-N1023</f>
        <v/>
      </c>
    </row>
    <row r="1024">
      <c r="A1024" s="9" t="n">
        <v>45334.58333333334</v>
      </c>
      <c r="B1024" t="n">
        <v>2</v>
      </c>
      <c r="C1024" t="n">
        <v>12</v>
      </c>
      <c r="D1024" t="n">
        <v>14</v>
      </c>
      <c r="E1024" s="10" t="n">
        <v>0.280718</v>
      </c>
      <c r="F1024" s="10" t="n">
        <v>0.3683219923972781</v>
      </c>
      <c r="G1024" s="11">
        <f>E1024*Summary!$B$6</f>
        <v/>
      </c>
      <c r="H1024" s="11">
        <f>F1024*Summary!$B$7</f>
        <v/>
      </c>
      <c r="I1024" s="11">
        <f>MAX(0,N1024-M1024)</f>
        <v/>
      </c>
      <c r="J1024" s="11">
        <f>MAX(0,M1024-N1024)</f>
        <v/>
      </c>
      <c r="K1024" s="11">
        <f>O1024</f>
        <v/>
      </c>
      <c r="L1024" s="11">
        <f>L1023+IF(K1024&gt;0,K1024*Summary!$B$9,K1024/Summary!$B$9)</f>
        <v/>
      </c>
      <c r="M1024" s="11">
        <f>G1024+H1024</f>
        <v/>
      </c>
      <c r="N1024" s="11">
        <f>Summary!$C$16*Summary!$B$8</f>
        <v/>
      </c>
      <c r="O1024" s="11">
        <f>M1024-N1024</f>
        <v/>
      </c>
    </row>
    <row r="1025">
      <c r="A1025" s="9" t="n">
        <v>45334.625</v>
      </c>
      <c r="B1025" t="n">
        <v>2</v>
      </c>
      <c r="C1025" t="n">
        <v>12</v>
      </c>
      <c r="D1025" t="n">
        <v>15</v>
      </c>
      <c r="E1025" s="10" t="n">
        <v>0.147041</v>
      </c>
      <c r="F1025" s="10" t="n">
        <v>0.3711153050676732</v>
      </c>
      <c r="G1025" s="11">
        <f>E1025*Summary!$B$6</f>
        <v/>
      </c>
      <c r="H1025" s="11">
        <f>F1025*Summary!$B$7</f>
        <v/>
      </c>
      <c r="I1025" s="11">
        <f>MAX(0,N1025-M1025)</f>
        <v/>
      </c>
      <c r="J1025" s="11">
        <f>MAX(0,M1025-N1025)</f>
        <v/>
      </c>
      <c r="K1025" s="11">
        <f>O1025</f>
        <v/>
      </c>
      <c r="L1025" s="11">
        <f>L1024+IF(K1025&gt;0,K1025*Summary!$B$9,K1025/Summary!$B$9)</f>
        <v/>
      </c>
      <c r="M1025" s="11">
        <f>G1025+H1025</f>
        <v/>
      </c>
      <c r="N1025" s="11">
        <f>Summary!$C$16*Summary!$B$8</f>
        <v/>
      </c>
      <c r="O1025" s="11">
        <f>M1025-N1025</f>
        <v/>
      </c>
    </row>
    <row r="1026">
      <c r="A1026" s="9" t="n">
        <v>45334.66666666666</v>
      </c>
      <c r="B1026" t="n">
        <v>2</v>
      </c>
      <c r="C1026" t="n">
        <v>12</v>
      </c>
      <c r="D1026" t="n">
        <v>16</v>
      </c>
      <c r="E1026" s="10" t="n">
        <v>0.013168</v>
      </c>
      <c r="F1026" s="10" t="n">
        <v>0.3840014361603447</v>
      </c>
      <c r="G1026" s="11">
        <f>E1026*Summary!$B$6</f>
        <v/>
      </c>
      <c r="H1026" s="11">
        <f>F1026*Summary!$B$7</f>
        <v/>
      </c>
      <c r="I1026" s="11">
        <f>MAX(0,N1026-M1026)</f>
        <v/>
      </c>
      <c r="J1026" s="11">
        <f>MAX(0,M1026-N1026)</f>
        <v/>
      </c>
      <c r="K1026" s="11">
        <f>O1026</f>
        <v/>
      </c>
      <c r="L1026" s="11">
        <f>L1025+IF(K1026&gt;0,K1026*Summary!$B$9,K1026/Summary!$B$9)</f>
        <v/>
      </c>
      <c r="M1026" s="11">
        <f>G1026+H1026</f>
        <v/>
      </c>
      <c r="N1026" s="11">
        <f>Summary!$C$16*Summary!$B$8</f>
        <v/>
      </c>
      <c r="O1026" s="11">
        <f>M1026-N1026</f>
        <v/>
      </c>
    </row>
    <row r="1027">
      <c r="A1027" s="9" t="n">
        <v>45334.70833333334</v>
      </c>
      <c r="B1027" t="n">
        <v>2</v>
      </c>
      <c r="C1027" t="n">
        <v>12</v>
      </c>
      <c r="D1027" t="n">
        <v>17</v>
      </c>
      <c r="E1027" s="10" t="n">
        <v>0</v>
      </c>
      <c r="F1027" s="10" t="n">
        <v>0.3920124460829871</v>
      </c>
      <c r="G1027" s="11">
        <f>E1027*Summary!$B$6</f>
        <v/>
      </c>
      <c r="H1027" s="11">
        <f>F1027*Summary!$B$7</f>
        <v/>
      </c>
      <c r="I1027" s="11">
        <f>MAX(0,N1027-M1027)</f>
        <v/>
      </c>
      <c r="J1027" s="11">
        <f>MAX(0,M1027-N1027)</f>
        <v/>
      </c>
      <c r="K1027" s="11">
        <f>O1027</f>
        <v/>
      </c>
      <c r="L1027" s="11">
        <f>L1026+IF(K1027&gt;0,K1027*Summary!$B$9,K1027/Summary!$B$9)</f>
        <v/>
      </c>
      <c r="M1027" s="11">
        <f>G1027+H1027</f>
        <v/>
      </c>
      <c r="N1027" s="11">
        <f>Summary!$C$16*Summary!$B$8</f>
        <v/>
      </c>
      <c r="O1027" s="11">
        <f>M1027-N1027</f>
        <v/>
      </c>
    </row>
    <row r="1028">
      <c r="A1028" s="9" t="n">
        <v>45334.75</v>
      </c>
      <c r="B1028" t="n">
        <v>2</v>
      </c>
      <c r="C1028" t="n">
        <v>12</v>
      </c>
      <c r="D1028" t="n">
        <v>18</v>
      </c>
      <c r="E1028" s="10" t="n">
        <v>0</v>
      </c>
      <c r="F1028" s="10" t="n">
        <v>0.403501920840461</v>
      </c>
      <c r="G1028" s="11">
        <f>E1028*Summary!$B$6</f>
        <v/>
      </c>
      <c r="H1028" s="11">
        <f>F1028*Summary!$B$7</f>
        <v/>
      </c>
      <c r="I1028" s="11">
        <f>MAX(0,N1028-M1028)</f>
        <v/>
      </c>
      <c r="J1028" s="11">
        <f>MAX(0,M1028-N1028)</f>
        <v/>
      </c>
      <c r="K1028" s="11">
        <f>O1028</f>
        <v/>
      </c>
      <c r="L1028" s="11">
        <f>L1027+IF(K1028&gt;0,K1028*Summary!$B$9,K1028/Summary!$B$9)</f>
        <v/>
      </c>
      <c r="M1028" s="11">
        <f>G1028+H1028</f>
        <v/>
      </c>
      <c r="N1028" s="11">
        <f>Summary!$C$16*Summary!$B$8</f>
        <v/>
      </c>
      <c r="O1028" s="11">
        <f>M1028-N1028</f>
        <v/>
      </c>
    </row>
    <row r="1029">
      <c r="A1029" s="9" t="n">
        <v>45334.79166666666</v>
      </c>
      <c r="B1029" t="n">
        <v>2</v>
      </c>
      <c r="C1029" t="n">
        <v>12</v>
      </c>
      <c r="D1029" t="n">
        <v>19</v>
      </c>
      <c r="E1029" s="10" t="n">
        <v>0</v>
      </c>
      <c r="F1029" s="10" t="n">
        <v>0.4363101687144405</v>
      </c>
      <c r="G1029" s="11">
        <f>E1029*Summary!$B$6</f>
        <v/>
      </c>
      <c r="H1029" s="11">
        <f>F1029*Summary!$B$7</f>
        <v/>
      </c>
      <c r="I1029" s="11">
        <f>MAX(0,N1029-M1029)</f>
        <v/>
      </c>
      <c r="J1029" s="11">
        <f>MAX(0,M1029-N1029)</f>
        <v/>
      </c>
      <c r="K1029" s="11">
        <f>O1029</f>
        <v/>
      </c>
      <c r="L1029" s="11">
        <f>L1028+IF(K1029&gt;0,K1029*Summary!$B$9,K1029/Summary!$B$9)</f>
        <v/>
      </c>
      <c r="M1029" s="11">
        <f>G1029+H1029</f>
        <v/>
      </c>
      <c r="N1029" s="11">
        <f>Summary!$C$16*Summary!$B$8</f>
        <v/>
      </c>
      <c r="O1029" s="11">
        <f>M1029-N1029</f>
        <v/>
      </c>
    </row>
    <row r="1030">
      <c r="A1030" s="9" t="n">
        <v>45334.83333333334</v>
      </c>
      <c r="B1030" t="n">
        <v>2</v>
      </c>
      <c r="C1030" t="n">
        <v>12</v>
      </c>
      <c r="D1030" t="n">
        <v>20</v>
      </c>
      <c r="E1030" s="10" t="n">
        <v>0</v>
      </c>
      <c r="F1030" s="10" t="n">
        <v>0.4330952239428538</v>
      </c>
      <c r="G1030" s="11">
        <f>E1030*Summary!$B$6</f>
        <v/>
      </c>
      <c r="H1030" s="11">
        <f>F1030*Summary!$B$7</f>
        <v/>
      </c>
      <c r="I1030" s="11">
        <f>MAX(0,N1030-M1030)</f>
        <v/>
      </c>
      <c r="J1030" s="11">
        <f>MAX(0,M1030-N1030)</f>
        <v/>
      </c>
      <c r="K1030" s="11">
        <f>O1030</f>
        <v/>
      </c>
      <c r="L1030" s="11">
        <f>L1029+IF(K1030&gt;0,K1030*Summary!$B$9,K1030/Summary!$B$9)</f>
        <v/>
      </c>
      <c r="M1030" s="11">
        <f>G1030+H1030</f>
        <v/>
      </c>
      <c r="N1030" s="11">
        <f>Summary!$C$16*Summary!$B$8</f>
        <v/>
      </c>
      <c r="O1030" s="11">
        <f>M1030-N1030</f>
        <v/>
      </c>
    </row>
    <row r="1031">
      <c r="A1031" s="9" t="n">
        <v>45334.875</v>
      </c>
      <c r="B1031" t="n">
        <v>2</v>
      </c>
      <c r="C1031" t="n">
        <v>12</v>
      </c>
      <c r="D1031" t="n">
        <v>21</v>
      </c>
      <c r="E1031" s="10" t="n">
        <v>0</v>
      </c>
      <c r="F1031" s="10" t="n">
        <v>0.4054783213147971</v>
      </c>
      <c r="G1031" s="11">
        <f>E1031*Summary!$B$6</f>
        <v/>
      </c>
      <c r="H1031" s="11">
        <f>F1031*Summary!$B$7</f>
        <v/>
      </c>
      <c r="I1031" s="11">
        <f>MAX(0,N1031-M1031)</f>
        <v/>
      </c>
      <c r="J1031" s="11">
        <f>MAX(0,M1031-N1031)</f>
        <v/>
      </c>
      <c r="K1031" s="11">
        <f>O1031</f>
        <v/>
      </c>
      <c r="L1031" s="11">
        <f>L1030+IF(K1031&gt;0,K1031*Summary!$B$9,K1031/Summary!$B$9)</f>
        <v/>
      </c>
      <c r="M1031" s="11">
        <f>G1031+H1031</f>
        <v/>
      </c>
      <c r="N1031" s="11">
        <f>Summary!$C$16*Summary!$B$8</f>
        <v/>
      </c>
      <c r="O1031" s="11">
        <f>M1031-N1031</f>
        <v/>
      </c>
    </row>
    <row r="1032">
      <c r="A1032" s="9" t="n">
        <v>45334.91666666666</v>
      </c>
      <c r="B1032" t="n">
        <v>2</v>
      </c>
      <c r="C1032" t="n">
        <v>12</v>
      </c>
      <c r="D1032" t="n">
        <v>22</v>
      </c>
      <c r="E1032" s="10" t="n">
        <v>0</v>
      </c>
      <c r="F1032" s="10" t="n">
        <v>0.4037127368910569</v>
      </c>
      <c r="G1032" s="11">
        <f>E1032*Summary!$B$6</f>
        <v/>
      </c>
      <c r="H1032" s="11">
        <f>F1032*Summary!$B$7</f>
        <v/>
      </c>
      <c r="I1032" s="11">
        <f>MAX(0,N1032-M1032)</f>
        <v/>
      </c>
      <c r="J1032" s="11">
        <f>MAX(0,M1032-N1032)</f>
        <v/>
      </c>
      <c r="K1032" s="11">
        <f>O1032</f>
        <v/>
      </c>
      <c r="L1032" s="11">
        <f>L1031+IF(K1032&gt;0,K1032*Summary!$B$9,K1032/Summary!$B$9)</f>
        <v/>
      </c>
      <c r="M1032" s="11">
        <f>G1032+H1032</f>
        <v/>
      </c>
      <c r="N1032" s="11">
        <f>Summary!$C$16*Summary!$B$8</f>
        <v/>
      </c>
      <c r="O1032" s="11">
        <f>M1032-N1032</f>
        <v/>
      </c>
    </row>
    <row r="1033">
      <c r="A1033" s="9" t="n">
        <v>45334.95833333334</v>
      </c>
      <c r="B1033" t="n">
        <v>2</v>
      </c>
      <c r="C1033" t="n">
        <v>12</v>
      </c>
      <c r="D1033" t="n">
        <v>23</v>
      </c>
      <c r="E1033" s="10" t="n">
        <v>0</v>
      </c>
      <c r="F1033" s="10" t="n">
        <v>0.4051357452325788</v>
      </c>
      <c r="G1033" s="11">
        <f>E1033*Summary!$B$6</f>
        <v/>
      </c>
      <c r="H1033" s="11">
        <f>F1033*Summary!$B$7</f>
        <v/>
      </c>
      <c r="I1033" s="11">
        <f>MAX(0,N1033-M1033)</f>
        <v/>
      </c>
      <c r="J1033" s="11">
        <f>MAX(0,M1033-N1033)</f>
        <v/>
      </c>
      <c r="K1033" s="11">
        <f>O1033</f>
        <v/>
      </c>
      <c r="L1033" s="11">
        <f>L1032+IF(K1033&gt;0,K1033*Summary!$B$9,K1033/Summary!$B$9)</f>
        <v/>
      </c>
      <c r="M1033" s="11">
        <f>G1033+H1033</f>
        <v/>
      </c>
      <c r="N1033" s="11">
        <f>Summary!$C$16*Summary!$B$8</f>
        <v/>
      </c>
      <c r="O1033" s="11">
        <f>M1033-N1033</f>
        <v/>
      </c>
    </row>
    <row r="1034">
      <c r="A1034" s="9" t="n">
        <v>45335</v>
      </c>
      <c r="B1034" t="n">
        <v>2</v>
      </c>
      <c r="C1034" t="n">
        <v>13</v>
      </c>
      <c r="D1034" t="n">
        <v>0</v>
      </c>
      <c r="E1034" s="10" t="n">
        <v>0</v>
      </c>
      <c r="F1034" s="10" t="n">
        <v>0.2561678534802848</v>
      </c>
      <c r="G1034" s="11">
        <f>E1034*Summary!$B$6</f>
        <v/>
      </c>
      <c r="H1034" s="11">
        <f>F1034*Summary!$B$7</f>
        <v/>
      </c>
      <c r="I1034" s="11">
        <f>MAX(0,N1034-M1034)</f>
        <v/>
      </c>
      <c r="J1034" s="11">
        <f>MAX(0,M1034-N1034)</f>
        <v/>
      </c>
      <c r="K1034" s="11">
        <f>O1034</f>
        <v/>
      </c>
      <c r="L1034" s="11">
        <f>L1033+IF(K1034&gt;0,K1034*Summary!$B$9,K1034/Summary!$B$9)</f>
        <v/>
      </c>
      <c r="M1034" s="11">
        <f>G1034+H1034</f>
        <v/>
      </c>
      <c r="N1034" s="11">
        <f>Summary!$C$16*Summary!$B$8</f>
        <v/>
      </c>
      <c r="O1034" s="11">
        <f>M1034-N1034</f>
        <v/>
      </c>
    </row>
    <row r="1035">
      <c r="A1035" s="9" t="n">
        <v>45335.04166666666</v>
      </c>
      <c r="B1035" t="n">
        <v>2</v>
      </c>
      <c r="C1035" t="n">
        <v>13</v>
      </c>
      <c r="D1035" t="n">
        <v>1</v>
      </c>
      <c r="E1035" s="10" t="n">
        <v>0</v>
      </c>
      <c r="F1035" s="10" t="n">
        <v>0.4027904166697</v>
      </c>
      <c r="G1035" s="11">
        <f>E1035*Summary!$B$6</f>
        <v/>
      </c>
      <c r="H1035" s="11">
        <f>F1035*Summary!$B$7</f>
        <v/>
      </c>
      <c r="I1035" s="11">
        <f>MAX(0,N1035-M1035)</f>
        <v/>
      </c>
      <c r="J1035" s="11">
        <f>MAX(0,M1035-N1035)</f>
        <v/>
      </c>
      <c r="K1035" s="11">
        <f>O1035</f>
        <v/>
      </c>
      <c r="L1035" s="11">
        <f>L1034+IF(K1035&gt;0,K1035*Summary!$B$9,K1035/Summary!$B$9)</f>
        <v/>
      </c>
      <c r="M1035" s="11">
        <f>G1035+H1035</f>
        <v/>
      </c>
      <c r="N1035" s="11">
        <f>Summary!$C$16*Summary!$B$8</f>
        <v/>
      </c>
      <c r="O1035" s="11">
        <f>M1035-N1035</f>
        <v/>
      </c>
    </row>
    <row r="1036">
      <c r="A1036" s="9" t="n">
        <v>45335.08333333334</v>
      </c>
      <c r="B1036" t="n">
        <v>2</v>
      </c>
      <c r="C1036" t="n">
        <v>13</v>
      </c>
      <c r="D1036" t="n">
        <v>2</v>
      </c>
      <c r="E1036" s="10" t="n">
        <v>0</v>
      </c>
      <c r="F1036" s="10" t="n">
        <v>0.4017099844103962</v>
      </c>
      <c r="G1036" s="11">
        <f>E1036*Summary!$B$6</f>
        <v/>
      </c>
      <c r="H1036" s="11">
        <f>F1036*Summary!$B$7</f>
        <v/>
      </c>
      <c r="I1036" s="11">
        <f>MAX(0,N1036-M1036)</f>
        <v/>
      </c>
      <c r="J1036" s="11">
        <f>MAX(0,M1036-N1036)</f>
        <v/>
      </c>
      <c r="K1036" s="11">
        <f>O1036</f>
        <v/>
      </c>
      <c r="L1036" s="11">
        <f>L1035+IF(K1036&gt;0,K1036*Summary!$B$9,K1036/Summary!$B$9)</f>
        <v/>
      </c>
      <c r="M1036" s="11">
        <f>G1036+H1036</f>
        <v/>
      </c>
      <c r="N1036" s="11">
        <f>Summary!$C$16*Summary!$B$8</f>
        <v/>
      </c>
      <c r="O1036" s="11">
        <f>M1036-N1036</f>
        <v/>
      </c>
    </row>
    <row r="1037">
      <c r="A1037" s="9" t="n">
        <v>45335.125</v>
      </c>
      <c r="B1037" t="n">
        <v>2</v>
      </c>
      <c r="C1037" t="n">
        <v>13</v>
      </c>
      <c r="D1037" t="n">
        <v>3</v>
      </c>
      <c r="E1037" s="10" t="n">
        <v>0</v>
      </c>
      <c r="F1037" s="10" t="n">
        <v>0.4032120487708917</v>
      </c>
      <c r="G1037" s="11">
        <f>E1037*Summary!$B$6</f>
        <v/>
      </c>
      <c r="H1037" s="11">
        <f>F1037*Summary!$B$7</f>
        <v/>
      </c>
      <c r="I1037" s="11">
        <f>MAX(0,N1037-M1037)</f>
        <v/>
      </c>
      <c r="J1037" s="11">
        <f>MAX(0,M1037-N1037)</f>
        <v/>
      </c>
      <c r="K1037" s="11">
        <f>O1037</f>
        <v/>
      </c>
      <c r="L1037" s="11">
        <f>L1036+IF(K1037&gt;0,K1037*Summary!$B$9,K1037/Summary!$B$9)</f>
        <v/>
      </c>
      <c r="M1037" s="11">
        <f>G1037+H1037</f>
        <v/>
      </c>
      <c r="N1037" s="11">
        <f>Summary!$C$16*Summary!$B$8</f>
        <v/>
      </c>
      <c r="O1037" s="11">
        <f>M1037-N1037</f>
        <v/>
      </c>
    </row>
    <row r="1038">
      <c r="A1038" s="9" t="n">
        <v>45335.16666666666</v>
      </c>
      <c r="B1038" t="n">
        <v>2</v>
      </c>
      <c r="C1038" t="n">
        <v>13</v>
      </c>
      <c r="D1038" t="n">
        <v>4</v>
      </c>
      <c r="E1038" s="10" t="n">
        <v>0</v>
      </c>
      <c r="F1038" s="10" t="n">
        <v>0.400603200144768</v>
      </c>
      <c r="G1038" s="11">
        <f>E1038*Summary!$B$6</f>
        <v/>
      </c>
      <c r="H1038" s="11">
        <f>F1038*Summary!$B$7</f>
        <v/>
      </c>
      <c r="I1038" s="11">
        <f>MAX(0,N1038-M1038)</f>
        <v/>
      </c>
      <c r="J1038" s="11">
        <f>MAX(0,M1038-N1038)</f>
        <v/>
      </c>
      <c r="K1038" s="11">
        <f>O1038</f>
        <v/>
      </c>
      <c r="L1038" s="11">
        <f>L1037+IF(K1038&gt;0,K1038*Summary!$B$9,K1038/Summary!$B$9)</f>
        <v/>
      </c>
      <c r="M1038" s="11">
        <f>G1038+H1038</f>
        <v/>
      </c>
      <c r="N1038" s="11">
        <f>Summary!$C$16*Summary!$B$8</f>
        <v/>
      </c>
      <c r="O1038" s="11">
        <f>M1038-N1038</f>
        <v/>
      </c>
    </row>
    <row r="1039">
      <c r="A1039" s="9" t="n">
        <v>45335.20833333334</v>
      </c>
      <c r="B1039" t="n">
        <v>2</v>
      </c>
      <c r="C1039" t="n">
        <v>13</v>
      </c>
      <c r="D1039" t="n">
        <v>5</v>
      </c>
      <c r="E1039" s="10" t="n">
        <v>0</v>
      </c>
      <c r="F1039" s="10" t="n">
        <v>0.4012620003028801</v>
      </c>
      <c r="G1039" s="11">
        <f>E1039*Summary!$B$6</f>
        <v/>
      </c>
      <c r="H1039" s="11">
        <f>F1039*Summary!$B$7</f>
        <v/>
      </c>
      <c r="I1039" s="11">
        <f>MAX(0,N1039-M1039)</f>
        <v/>
      </c>
      <c r="J1039" s="11">
        <f>MAX(0,M1039-N1039)</f>
        <v/>
      </c>
      <c r="K1039" s="11">
        <f>O1039</f>
        <v/>
      </c>
      <c r="L1039" s="11">
        <f>L1038+IF(K1039&gt;0,K1039*Summary!$B$9,K1039/Summary!$B$9)</f>
        <v/>
      </c>
      <c r="M1039" s="11">
        <f>G1039+H1039</f>
        <v/>
      </c>
      <c r="N1039" s="11">
        <f>Summary!$C$16*Summary!$B$8</f>
        <v/>
      </c>
      <c r="O1039" s="11">
        <f>M1039-N1039</f>
        <v/>
      </c>
    </row>
    <row r="1040">
      <c r="A1040" s="9" t="n">
        <v>45335.25</v>
      </c>
      <c r="B1040" t="n">
        <v>2</v>
      </c>
      <c r="C1040" t="n">
        <v>13</v>
      </c>
      <c r="D1040" t="n">
        <v>6</v>
      </c>
      <c r="E1040" s="10" t="n">
        <v>0</v>
      </c>
      <c r="F1040" s="10" t="n">
        <v>0.4013410563218535</v>
      </c>
      <c r="G1040" s="11">
        <f>E1040*Summary!$B$6</f>
        <v/>
      </c>
      <c r="H1040" s="11">
        <f>F1040*Summary!$B$7</f>
        <v/>
      </c>
      <c r="I1040" s="11">
        <f>MAX(0,N1040-M1040)</f>
        <v/>
      </c>
      <c r="J1040" s="11">
        <f>MAX(0,M1040-N1040)</f>
        <v/>
      </c>
      <c r="K1040" s="11">
        <f>O1040</f>
        <v/>
      </c>
      <c r="L1040" s="11">
        <f>L1039+IF(K1040&gt;0,K1040*Summary!$B$9,K1040/Summary!$B$9)</f>
        <v/>
      </c>
      <c r="M1040" s="11">
        <f>G1040+H1040</f>
        <v/>
      </c>
      <c r="N1040" s="11">
        <f>Summary!$C$16*Summary!$B$8</f>
        <v/>
      </c>
      <c r="O1040" s="11">
        <f>M1040-N1040</f>
        <v/>
      </c>
    </row>
    <row r="1041">
      <c r="A1041" s="9" t="n">
        <v>45335.29166666666</v>
      </c>
      <c r="B1041" t="n">
        <v>2</v>
      </c>
      <c r="C1041" t="n">
        <v>13</v>
      </c>
      <c r="D1041" t="n">
        <v>7</v>
      </c>
      <c r="E1041" s="10" t="n">
        <v>0</v>
      </c>
      <c r="F1041" s="10" t="n">
        <v>0.3989166717400012</v>
      </c>
      <c r="G1041" s="11">
        <f>E1041*Summary!$B$6</f>
        <v/>
      </c>
      <c r="H1041" s="11">
        <f>F1041*Summary!$B$7</f>
        <v/>
      </c>
      <c r="I1041" s="11">
        <f>MAX(0,N1041-M1041)</f>
        <v/>
      </c>
      <c r="J1041" s="11">
        <f>MAX(0,M1041-N1041)</f>
        <v/>
      </c>
      <c r="K1041" s="11">
        <f>O1041</f>
        <v/>
      </c>
      <c r="L1041" s="11">
        <f>L1040+IF(K1041&gt;0,K1041*Summary!$B$9,K1041/Summary!$B$9)</f>
        <v/>
      </c>
      <c r="M1041" s="11">
        <f>G1041+H1041</f>
        <v/>
      </c>
      <c r="N1041" s="11">
        <f>Summary!$C$16*Summary!$B$8</f>
        <v/>
      </c>
      <c r="O1041" s="11">
        <f>M1041-N1041</f>
        <v/>
      </c>
    </row>
    <row r="1042">
      <c r="A1042" s="9" t="n">
        <v>45335.33333333334</v>
      </c>
      <c r="B1042" t="n">
        <v>2</v>
      </c>
      <c r="C1042" t="n">
        <v>13</v>
      </c>
      <c r="D1042" t="n">
        <v>8</v>
      </c>
      <c r="E1042" s="10" t="n">
        <v>0.040165</v>
      </c>
      <c r="F1042" s="10" t="n">
        <v>0.3896934695264327</v>
      </c>
      <c r="G1042" s="11">
        <f>E1042*Summary!$B$6</f>
        <v/>
      </c>
      <c r="H1042" s="11">
        <f>F1042*Summary!$B$7</f>
        <v/>
      </c>
      <c r="I1042" s="11">
        <f>MAX(0,N1042-M1042)</f>
        <v/>
      </c>
      <c r="J1042" s="11">
        <f>MAX(0,M1042-N1042)</f>
        <v/>
      </c>
      <c r="K1042" s="11">
        <f>O1042</f>
        <v/>
      </c>
      <c r="L1042" s="11">
        <f>L1041+IF(K1042&gt;0,K1042*Summary!$B$9,K1042/Summary!$B$9)</f>
        <v/>
      </c>
      <c r="M1042" s="11">
        <f>G1042+H1042</f>
        <v/>
      </c>
      <c r="N1042" s="11">
        <f>Summary!$C$16*Summary!$B$8</f>
        <v/>
      </c>
      <c r="O1042" s="11">
        <f>M1042-N1042</f>
        <v/>
      </c>
    </row>
    <row r="1043">
      <c r="A1043" s="9" t="n">
        <v>45335.375</v>
      </c>
      <c r="B1043" t="n">
        <v>2</v>
      </c>
      <c r="C1043" t="n">
        <v>13</v>
      </c>
      <c r="D1043" t="n">
        <v>9</v>
      </c>
      <c r="E1043" s="10" t="n">
        <v>0.159338</v>
      </c>
      <c r="F1043" s="10" t="n">
        <v>0.3724856093965462</v>
      </c>
      <c r="G1043" s="11">
        <f>E1043*Summary!$B$6</f>
        <v/>
      </c>
      <c r="H1043" s="11">
        <f>F1043*Summary!$B$7</f>
        <v/>
      </c>
      <c r="I1043" s="11">
        <f>MAX(0,N1043-M1043)</f>
        <v/>
      </c>
      <c r="J1043" s="11">
        <f>MAX(0,M1043-N1043)</f>
        <v/>
      </c>
      <c r="K1043" s="11">
        <f>O1043</f>
        <v/>
      </c>
      <c r="L1043" s="11">
        <f>L1042+IF(K1043&gt;0,K1043*Summary!$B$9,K1043/Summary!$B$9)</f>
        <v/>
      </c>
      <c r="M1043" s="11">
        <f>G1043+H1043</f>
        <v/>
      </c>
      <c r="N1043" s="11">
        <f>Summary!$C$16*Summary!$B$8</f>
        <v/>
      </c>
      <c r="O1043" s="11">
        <f>M1043-N1043</f>
        <v/>
      </c>
    </row>
    <row r="1044">
      <c r="A1044" s="9" t="n">
        <v>45335.41666666666</v>
      </c>
      <c r="B1044" t="n">
        <v>2</v>
      </c>
      <c r="C1044" t="n">
        <v>13</v>
      </c>
      <c r="D1044" t="n">
        <v>10</v>
      </c>
      <c r="E1044" s="10" t="n">
        <v>0.319755</v>
      </c>
      <c r="F1044" s="10" t="n">
        <v>0.3558574934057984</v>
      </c>
      <c r="G1044" s="11">
        <f>E1044*Summary!$B$6</f>
        <v/>
      </c>
      <c r="H1044" s="11">
        <f>F1044*Summary!$B$7</f>
        <v/>
      </c>
      <c r="I1044" s="11">
        <f>MAX(0,N1044-M1044)</f>
        <v/>
      </c>
      <c r="J1044" s="11">
        <f>MAX(0,M1044-N1044)</f>
        <v/>
      </c>
      <c r="K1044" s="11">
        <f>O1044</f>
        <v/>
      </c>
      <c r="L1044" s="11">
        <f>L1043+IF(K1044&gt;0,K1044*Summary!$B$9,K1044/Summary!$B$9)</f>
        <v/>
      </c>
      <c r="M1044" s="11">
        <f>G1044+H1044</f>
        <v/>
      </c>
      <c r="N1044" s="11">
        <f>Summary!$C$16*Summary!$B$8</f>
        <v/>
      </c>
      <c r="O1044" s="11">
        <f>M1044-N1044</f>
        <v/>
      </c>
    </row>
    <row r="1045">
      <c r="A1045" s="9" t="n">
        <v>45335.45833333334</v>
      </c>
      <c r="B1045" t="n">
        <v>2</v>
      </c>
      <c r="C1045" t="n">
        <v>13</v>
      </c>
      <c r="D1045" t="n">
        <v>11</v>
      </c>
      <c r="E1045" s="10" t="n">
        <v>0.405591</v>
      </c>
      <c r="F1045" s="10" t="n">
        <v>0.3391503213960771</v>
      </c>
      <c r="G1045" s="11">
        <f>E1045*Summary!$B$6</f>
        <v/>
      </c>
      <c r="H1045" s="11">
        <f>F1045*Summary!$B$7</f>
        <v/>
      </c>
      <c r="I1045" s="11">
        <f>MAX(0,N1045-M1045)</f>
        <v/>
      </c>
      <c r="J1045" s="11">
        <f>MAX(0,M1045-N1045)</f>
        <v/>
      </c>
      <c r="K1045" s="11">
        <f>O1045</f>
        <v/>
      </c>
      <c r="L1045" s="11">
        <f>L1044+IF(K1045&gt;0,K1045*Summary!$B$9,K1045/Summary!$B$9)</f>
        <v/>
      </c>
      <c r="M1045" s="11">
        <f>G1045+H1045</f>
        <v/>
      </c>
      <c r="N1045" s="11">
        <f>Summary!$C$16*Summary!$B$8</f>
        <v/>
      </c>
      <c r="O1045" s="11">
        <f>M1045-N1045</f>
        <v/>
      </c>
    </row>
    <row r="1046">
      <c r="A1046" s="9" t="n">
        <v>45335.5</v>
      </c>
      <c r="B1046" t="n">
        <v>2</v>
      </c>
      <c r="C1046" t="n">
        <v>13</v>
      </c>
      <c r="D1046" t="n">
        <v>12</v>
      </c>
      <c r="E1046" s="10" t="n">
        <v>0.377772</v>
      </c>
      <c r="F1046" s="10" t="n">
        <v>0.3238398057215534</v>
      </c>
      <c r="G1046" s="11">
        <f>E1046*Summary!$B$6</f>
        <v/>
      </c>
      <c r="H1046" s="11">
        <f>F1046*Summary!$B$7</f>
        <v/>
      </c>
      <c r="I1046" s="11">
        <f>MAX(0,N1046-M1046)</f>
        <v/>
      </c>
      <c r="J1046" s="11">
        <f>MAX(0,M1046-N1046)</f>
        <v/>
      </c>
      <c r="K1046" s="11">
        <f>O1046</f>
        <v/>
      </c>
      <c r="L1046" s="11">
        <f>L1045+IF(K1046&gt;0,K1046*Summary!$B$9,K1046/Summary!$B$9)</f>
        <v/>
      </c>
      <c r="M1046" s="11">
        <f>G1046+H1046</f>
        <v/>
      </c>
      <c r="N1046" s="11">
        <f>Summary!$C$16*Summary!$B$8</f>
        <v/>
      </c>
      <c r="O1046" s="11">
        <f>M1046-N1046</f>
        <v/>
      </c>
    </row>
    <row r="1047">
      <c r="A1047" s="9" t="n">
        <v>45335.54166666666</v>
      </c>
      <c r="B1047" t="n">
        <v>2</v>
      </c>
      <c r="C1047" t="n">
        <v>13</v>
      </c>
      <c r="D1047" t="n">
        <v>13</v>
      </c>
      <c r="E1047" s="10" t="n">
        <v>0.311786</v>
      </c>
      <c r="F1047" s="10" t="n">
        <v>0.3092144422114661</v>
      </c>
      <c r="G1047" s="11">
        <f>E1047*Summary!$B$6</f>
        <v/>
      </c>
      <c r="H1047" s="11">
        <f>F1047*Summary!$B$7</f>
        <v/>
      </c>
      <c r="I1047" s="11">
        <f>MAX(0,N1047-M1047)</f>
        <v/>
      </c>
      <c r="J1047" s="11">
        <f>MAX(0,M1047-N1047)</f>
        <v/>
      </c>
      <c r="K1047" s="11">
        <f>O1047</f>
        <v/>
      </c>
      <c r="L1047" s="11">
        <f>L1046+IF(K1047&gt;0,K1047*Summary!$B$9,K1047/Summary!$B$9)</f>
        <v/>
      </c>
      <c r="M1047" s="11">
        <f>G1047+H1047</f>
        <v/>
      </c>
      <c r="N1047" s="11">
        <f>Summary!$C$16*Summary!$B$8</f>
        <v/>
      </c>
      <c r="O1047" s="11">
        <f>M1047-N1047</f>
        <v/>
      </c>
    </row>
    <row r="1048">
      <c r="A1048" s="9" t="n">
        <v>45335.58333333334</v>
      </c>
      <c r="B1048" t="n">
        <v>2</v>
      </c>
      <c r="C1048" t="n">
        <v>13</v>
      </c>
      <c r="D1048" t="n">
        <v>14</v>
      </c>
      <c r="E1048" s="10" t="n">
        <v>0.203097</v>
      </c>
      <c r="F1048" s="10" t="n">
        <v>0.3024419765860744</v>
      </c>
      <c r="G1048" s="11">
        <f>E1048*Summary!$B$6</f>
        <v/>
      </c>
      <c r="H1048" s="11">
        <f>F1048*Summary!$B$7</f>
        <v/>
      </c>
      <c r="I1048" s="11">
        <f>MAX(0,N1048-M1048)</f>
        <v/>
      </c>
      <c r="J1048" s="11">
        <f>MAX(0,M1048-N1048)</f>
        <v/>
      </c>
      <c r="K1048" s="11">
        <f>O1048</f>
        <v/>
      </c>
      <c r="L1048" s="11">
        <f>L1047+IF(K1048&gt;0,K1048*Summary!$B$9,K1048/Summary!$B$9)</f>
        <v/>
      </c>
      <c r="M1048" s="11">
        <f>G1048+H1048</f>
        <v/>
      </c>
      <c r="N1048" s="11">
        <f>Summary!$C$16*Summary!$B$8</f>
        <v/>
      </c>
      <c r="O1048" s="11">
        <f>M1048-N1048</f>
        <v/>
      </c>
    </row>
    <row r="1049">
      <c r="A1049" s="9" t="n">
        <v>45335.625</v>
      </c>
      <c r="B1049" t="n">
        <v>2</v>
      </c>
      <c r="C1049" t="n">
        <v>13</v>
      </c>
      <c r="D1049" t="n">
        <v>15</v>
      </c>
      <c r="E1049" s="10" t="n">
        <v>0.115239</v>
      </c>
      <c r="F1049" s="10" t="n">
        <v>0.3011770802824993</v>
      </c>
      <c r="G1049" s="11">
        <f>E1049*Summary!$B$6</f>
        <v/>
      </c>
      <c r="H1049" s="11">
        <f>F1049*Summary!$B$7</f>
        <v/>
      </c>
      <c r="I1049" s="11">
        <f>MAX(0,N1049-M1049)</f>
        <v/>
      </c>
      <c r="J1049" s="11">
        <f>MAX(0,M1049-N1049)</f>
        <v/>
      </c>
      <c r="K1049" s="11">
        <f>O1049</f>
        <v/>
      </c>
      <c r="L1049" s="11">
        <f>L1048+IF(K1049&gt;0,K1049*Summary!$B$9,K1049/Summary!$B$9)</f>
        <v/>
      </c>
      <c r="M1049" s="11">
        <f>G1049+H1049</f>
        <v/>
      </c>
      <c r="N1049" s="11">
        <f>Summary!$C$16*Summary!$B$8</f>
        <v/>
      </c>
      <c r="O1049" s="11">
        <f>M1049-N1049</f>
        <v/>
      </c>
    </row>
    <row r="1050">
      <c r="A1050" s="9" t="n">
        <v>45335.66666666666</v>
      </c>
      <c r="B1050" t="n">
        <v>2</v>
      </c>
      <c r="C1050" t="n">
        <v>13</v>
      </c>
      <c r="D1050" t="n">
        <v>16</v>
      </c>
      <c r="E1050" s="10" t="n">
        <v>0.008923</v>
      </c>
      <c r="F1050" s="10" t="n">
        <v>0.3084502340280562</v>
      </c>
      <c r="G1050" s="11">
        <f>E1050*Summary!$B$6</f>
        <v/>
      </c>
      <c r="H1050" s="11">
        <f>F1050*Summary!$B$7</f>
        <v/>
      </c>
      <c r="I1050" s="11">
        <f>MAX(0,N1050-M1050)</f>
        <v/>
      </c>
      <c r="J1050" s="11">
        <f>MAX(0,M1050-N1050)</f>
        <v/>
      </c>
      <c r="K1050" s="11">
        <f>O1050</f>
        <v/>
      </c>
      <c r="L1050" s="11">
        <f>L1049+IF(K1050&gt;0,K1050*Summary!$B$9,K1050/Summary!$B$9)</f>
        <v/>
      </c>
      <c r="M1050" s="11">
        <f>G1050+H1050</f>
        <v/>
      </c>
      <c r="N1050" s="11">
        <f>Summary!$C$16*Summary!$B$8</f>
        <v/>
      </c>
      <c r="O1050" s="11">
        <f>M1050-N1050</f>
        <v/>
      </c>
    </row>
    <row r="1051">
      <c r="A1051" s="9" t="n">
        <v>45335.70833333334</v>
      </c>
      <c r="B1051" t="n">
        <v>2</v>
      </c>
      <c r="C1051" t="n">
        <v>13</v>
      </c>
      <c r="D1051" t="n">
        <v>17</v>
      </c>
      <c r="E1051" s="10" t="n">
        <v>0</v>
      </c>
      <c r="F1051" s="10" t="n">
        <v>0.330058879214131</v>
      </c>
      <c r="G1051" s="11">
        <f>E1051*Summary!$B$6</f>
        <v/>
      </c>
      <c r="H1051" s="11">
        <f>F1051*Summary!$B$7</f>
        <v/>
      </c>
      <c r="I1051" s="11">
        <f>MAX(0,N1051-M1051)</f>
        <v/>
      </c>
      <c r="J1051" s="11">
        <f>MAX(0,M1051-N1051)</f>
        <v/>
      </c>
      <c r="K1051" s="11">
        <f>O1051</f>
        <v/>
      </c>
      <c r="L1051" s="11">
        <f>L1050+IF(K1051&gt;0,K1051*Summary!$B$9,K1051/Summary!$B$9)</f>
        <v/>
      </c>
      <c r="M1051" s="11">
        <f>G1051+H1051</f>
        <v/>
      </c>
      <c r="N1051" s="11">
        <f>Summary!$C$16*Summary!$B$8</f>
        <v/>
      </c>
      <c r="O1051" s="11">
        <f>M1051-N1051</f>
        <v/>
      </c>
    </row>
    <row r="1052">
      <c r="A1052" s="9" t="n">
        <v>45335.75</v>
      </c>
      <c r="B1052" t="n">
        <v>2</v>
      </c>
      <c r="C1052" t="n">
        <v>13</v>
      </c>
      <c r="D1052" t="n">
        <v>18</v>
      </c>
      <c r="E1052" s="10" t="n">
        <v>0</v>
      </c>
      <c r="F1052" s="10" t="n">
        <v>0.3270547504931401</v>
      </c>
      <c r="G1052" s="11">
        <f>E1052*Summary!$B$6</f>
        <v/>
      </c>
      <c r="H1052" s="11">
        <f>F1052*Summary!$B$7</f>
        <v/>
      </c>
      <c r="I1052" s="11">
        <f>MAX(0,N1052-M1052)</f>
        <v/>
      </c>
      <c r="J1052" s="11">
        <f>MAX(0,M1052-N1052)</f>
        <v/>
      </c>
      <c r="K1052" s="11">
        <f>O1052</f>
        <v/>
      </c>
      <c r="L1052" s="11">
        <f>L1051+IF(K1052&gt;0,K1052*Summary!$B$9,K1052/Summary!$B$9)</f>
        <v/>
      </c>
      <c r="M1052" s="11">
        <f>G1052+H1052</f>
        <v/>
      </c>
      <c r="N1052" s="11">
        <f>Summary!$C$16*Summary!$B$8</f>
        <v/>
      </c>
      <c r="O1052" s="11">
        <f>M1052-N1052</f>
        <v/>
      </c>
    </row>
    <row r="1053">
      <c r="A1053" s="9" t="n">
        <v>45335.79166666666</v>
      </c>
      <c r="B1053" t="n">
        <v>2</v>
      </c>
      <c r="C1053" t="n">
        <v>13</v>
      </c>
      <c r="D1053" t="n">
        <v>19</v>
      </c>
      <c r="E1053" s="10" t="n">
        <v>0</v>
      </c>
      <c r="F1053" s="10" t="n">
        <v>0.3231019495444679</v>
      </c>
      <c r="G1053" s="11">
        <f>E1053*Summary!$B$6</f>
        <v/>
      </c>
      <c r="H1053" s="11">
        <f>F1053*Summary!$B$7</f>
        <v/>
      </c>
      <c r="I1053" s="11">
        <f>MAX(0,N1053-M1053)</f>
        <v/>
      </c>
      <c r="J1053" s="11">
        <f>MAX(0,M1053-N1053)</f>
        <v/>
      </c>
      <c r="K1053" s="11">
        <f>O1053</f>
        <v/>
      </c>
      <c r="L1053" s="11">
        <f>L1052+IF(K1053&gt;0,K1053*Summary!$B$9,K1053/Summary!$B$9)</f>
        <v/>
      </c>
      <c r="M1053" s="11">
        <f>G1053+H1053</f>
        <v/>
      </c>
      <c r="N1053" s="11">
        <f>Summary!$C$16*Summary!$B$8</f>
        <v/>
      </c>
      <c r="O1053" s="11">
        <f>M1053-N1053</f>
        <v/>
      </c>
    </row>
    <row r="1054">
      <c r="A1054" s="9" t="n">
        <v>45335.83333333334</v>
      </c>
      <c r="B1054" t="n">
        <v>2</v>
      </c>
      <c r="C1054" t="n">
        <v>13</v>
      </c>
      <c r="D1054" t="n">
        <v>20</v>
      </c>
      <c r="E1054" s="10" t="n">
        <v>0</v>
      </c>
      <c r="F1054" s="10" t="n">
        <v>0.3150909396218255</v>
      </c>
      <c r="G1054" s="11">
        <f>E1054*Summary!$B$6</f>
        <v/>
      </c>
      <c r="H1054" s="11">
        <f>F1054*Summary!$B$7</f>
        <v/>
      </c>
      <c r="I1054" s="11">
        <f>MAX(0,N1054-M1054)</f>
        <v/>
      </c>
      <c r="J1054" s="11">
        <f>MAX(0,M1054-N1054)</f>
        <v/>
      </c>
      <c r="K1054" s="11">
        <f>O1054</f>
        <v/>
      </c>
      <c r="L1054" s="11">
        <f>L1053+IF(K1054&gt;0,K1054*Summary!$B$9,K1054/Summary!$B$9)</f>
        <v/>
      </c>
      <c r="M1054" s="11">
        <f>G1054+H1054</f>
        <v/>
      </c>
      <c r="N1054" s="11">
        <f>Summary!$C$16*Summary!$B$8</f>
        <v/>
      </c>
      <c r="O1054" s="11">
        <f>M1054-N1054</f>
        <v/>
      </c>
    </row>
    <row r="1055">
      <c r="A1055" s="9" t="n">
        <v>45335.875</v>
      </c>
      <c r="B1055" t="n">
        <v>2</v>
      </c>
      <c r="C1055" t="n">
        <v>13</v>
      </c>
      <c r="D1055" t="n">
        <v>21</v>
      </c>
      <c r="E1055" s="10" t="n">
        <v>0</v>
      </c>
      <c r="F1055" s="10" t="n">
        <v>0.29935879184611</v>
      </c>
      <c r="G1055" s="11">
        <f>E1055*Summary!$B$6</f>
        <v/>
      </c>
      <c r="H1055" s="11">
        <f>F1055*Summary!$B$7</f>
        <v/>
      </c>
      <c r="I1055" s="11">
        <f>MAX(0,N1055-M1055)</f>
        <v/>
      </c>
      <c r="J1055" s="11">
        <f>MAX(0,M1055-N1055)</f>
        <v/>
      </c>
      <c r="K1055" s="11">
        <f>O1055</f>
        <v/>
      </c>
      <c r="L1055" s="11">
        <f>L1054+IF(K1055&gt;0,K1055*Summary!$B$9,K1055/Summary!$B$9)</f>
        <v/>
      </c>
      <c r="M1055" s="11">
        <f>G1055+H1055</f>
        <v/>
      </c>
      <c r="N1055" s="11">
        <f>Summary!$C$16*Summary!$B$8</f>
        <v/>
      </c>
      <c r="O1055" s="11">
        <f>M1055-N1055</f>
        <v/>
      </c>
    </row>
    <row r="1056">
      <c r="A1056" s="9" t="n">
        <v>45335.91666666666</v>
      </c>
      <c r="B1056" t="n">
        <v>2</v>
      </c>
      <c r="C1056" t="n">
        <v>13</v>
      </c>
      <c r="D1056" t="n">
        <v>22</v>
      </c>
      <c r="E1056" s="10" t="n">
        <v>0</v>
      </c>
      <c r="F1056" s="10" t="n">
        <v>0.3054461053070653</v>
      </c>
      <c r="G1056" s="11">
        <f>E1056*Summary!$B$6</f>
        <v/>
      </c>
      <c r="H1056" s="11">
        <f>F1056*Summary!$B$7</f>
        <v/>
      </c>
      <c r="I1056" s="11">
        <f>MAX(0,N1056-M1056)</f>
        <v/>
      </c>
      <c r="J1056" s="11">
        <f>MAX(0,M1056-N1056)</f>
        <v/>
      </c>
      <c r="K1056" s="11">
        <f>O1056</f>
        <v/>
      </c>
      <c r="L1056" s="11">
        <f>L1055+IF(K1056&gt;0,K1056*Summary!$B$9,K1056/Summary!$B$9)</f>
        <v/>
      </c>
      <c r="M1056" s="11">
        <f>G1056+H1056</f>
        <v/>
      </c>
      <c r="N1056" s="11">
        <f>Summary!$C$16*Summary!$B$8</f>
        <v/>
      </c>
      <c r="O1056" s="11">
        <f>M1056-N1056</f>
        <v/>
      </c>
    </row>
    <row r="1057">
      <c r="A1057" s="9" t="n">
        <v>45335.95833333334</v>
      </c>
      <c r="B1057" t="n">
        <v>2</v>
      </c>
      <c r="C1057" t="n">
        <v>13</v>
      </c>
      <c r="D1057" t="n">
        <v>23</v>
      </c>
      <c r="E1057" s="10" t="n">
        <v>0</v>
      </c>
      <c r="F1057" s="10" t="n">
        <v>0.3032588887821333</v>
      </c>
      <c r="G1057" s="11">
        <f>E1057*Summary!$B$6</f>
        <v/>
      </c>
      <c r="H1057" s="11">
        <f>F1057*Summary!$B$7</f>
        <v/>
      </c>
      <c r="I1057" s="11">
        <f>MAX(0,N1057-M1057)</f>
        <v/>
      </c>
      <c r="J1057" s="11">
        <f>MAX(0,M1057-N1057)</f>
        <v/>
      </c>
      <c r="K1057" s="11">
        <f>O1057</f>
        <v/>
      </c>
      <c r="L1057" s="11">
        <f>L1056+IF(K1057&gt;0,K1057*Summary!$B$9,K1057/Summary!$B$9)</f>
        <v/>
      </c>
      <c r="M1057" s="11">
        <f>G1057+H1057</f>
        <v/>
      </c>
      <c r="N1057" s="11">
        <f>Summary!$C$16*Summary!$B$8</f>
        <v/>
      </c>
      <c r="O1057" s="11">
        <f>M1057-N1057</f>
        <v/>
      </c>
    </row>
    <row r="1058">
      <c r="A1058" s="9" t="n">
        <v>45336</v>
      </c>
      <c r="B1058" t="n">
        <v>2</v>
      </c>
      <c r="C1058" t="n">
        <v>14</v>
      </c>
      <c r="D1058" t="n">
        <v>0</v>
      </c>
      <c r="E1058" s="10" t="n">
        <v>0</v>
      </c>
      <c r="F1058" s="10" t="n">
        <v>0.2938512225242934</v>
      </c>
      <c r="G1058" s="11">
        <f>E1058*Summary!$B$6</f>
        <v/>
      </c>
      <c r="H1058" s="11">
        <f>F1058*Summary!$B$7</f>
        <v/>
      </c>
      <c r="I1058" s="11">
        <f>MAX(0,N1058-M1058)</f>
        <v/>
      </c>
      <c r="J1058" s="11">
        <f>MAX(0,M1058-N1058)</f>
        <v/>
      </c>
      <c r="K1058" s="11">
        <f>O1058</f>
        <v/>
      </c>
      <c r="L1058" s="11">
        <f>L1057+IF(K1058&gt;0,K1058*Summary!$B$9,K1058/Summary!$B$9)</f>
        <v/>
      </c>
      <c r="M1058" s="11">
        <f>G1058+H1058</f>
        <v/>
      </c>
      <c r="N1058" s="11">
        <f>Summary!$C$16*Summary!$B$8</f>
        <v/>
      </c>
      <c r="O1058" s="11">
        <f>M1058-N1058</f>
        <v/>
      </c>
    </row>
    <row r="1059">
      <c r="A1059" s="9" t="n">
        <v>45336.04166666666</v>
      </c>
      <c r="B1059" t="n">
        <v>2</v>
      </c>
      <c r="C1059" t="n">
        <v>14</v>
      </c>
      <c r="D1059" t="n">
        <v>1</v>
      </c>
      <c r="E1059" s="10" t="n">
        <v>0</v>
      </c>
      <c r="F1059" s="10" t="n">
        <v>0.253822524917406</v>
      </c>
      <c r="G1059" s="11">
        <f>E1059*Summary!$B$6</f>
        <v/>
      </c>
      <c r="H1059" s="11">
        <f>F1059*Summary!$B$7</f>
        <v/>
      </c>
      <c r="I1059" s="11">
        <f>MAX(0,N1059-M1059)</f>
        <v/>
      </c>
      <c r="J1059" s="11">
        <f>MAX(0,M1059-N1059)</f>
        <v/>
      </c>
      <c r="K1059" s="11">
        <f>O1059</f>
        <v/>
      </c>
      <c r="L1059" s="11">
        <f>L1058+IF(K1059&gt;0,K1059*Summary!$B$9,K1059/Summary!$B$9)</f>
        <v/>
      </c>
      <c r="M1059" s="11">
        <f>G1059+H1059</f>
        <v/>
      </c>
      <c r="N1059" s="11">
        <f>Summary!$C$16*Summary!$B$8</f>
        <v/>
      </c>
      <c r="O1059" s="11">
        <f>M1059-N1059</f>
        <v/>
      </c>
    </row>
    <row r="1060">
      <c r="A1060" s="9" t="n">
        <v>45336.08333333334</v>
      </c>
      <c r="B1060" t="n">
        <v>2</v>
      </c>
      <c r="C1060" t="n">
        <v>14</v>
      </c>
      <c r="D1060" t="n">
        <v>2</v>
      </c>
      <c r="E1060" s="10" t="n">
        <v>0</v>
      </c>
      <c r="F1060" s="10" t="n">
        <v>0.231001687440405</v>
      </c>
      <c r="G1060" s="11">
        <f>E1060*Summary!$B$6</f>
        <v/>
      </c>
      <c r="H1060" s="11">
        <f>F1060*Summary!$B$7</f>
        <v/>
      </c>
      <c r="I1060" s="11">
        <f>MAX(0,N1060-M1060)</f>
        <v/>
      </c>
      <c r="J1060" s="11">
        <f>MAX(0,M1060-N1060)</f>
        <v/>
      </c>
      <c r="K1060" s="11">
        <f>O1060</f>
        <v/>
      </c>
      <c r="L1060" s="11">
        <f>L1059+IF(K1060&gt;0,K1060*Summary!$B$9,K1060/Summary!$B$9)</f>
        <v/>
      </c>
      <c r="M1060" s="11">
        <f>G1060+H1060</f>
        <v/>
      </c>
      <c r="N1060" s="11">
        <f>Summary!$C$16*Summary!$B$8</f>
        <v/>
      </c>
      <c r="O1060" s="11">
        <f>M1060-N1060</f>
        <v/>
      </c>
    </row>
    <row r="1061">
      <c r="A1061" s="9" t="n">
        <v>45336.125</v>
      </c>
      <c r="B1061" t="n">
        <v>2</v>
      </c>
      <c r="C1061" t="n">
        <v>14</v>
      </c>
      <c r="D1061" t="n">
        <v>3</v>
      </c>
      <c r="E1061" s="10" t="n">
        <v>0</v>
      </c>
      <c r="F1061" s="10" t="n">
        <v>0.223781237707497</v>
      </c>
      <c r="G1061" s="11">
        <f>E1061*Summary!$B$6</f>
        <v/>
      </c>
      <c r="H1061" s="11">
        <f>F1061*Summary!$B$7</f>
        <v/>
      </c>
      <c r="I1061" s="11">
        <f>MAX(0,N1061-M1061)</f>
        <v/>
      </c>
      <c r="J1061" s="11">
        <f>MAX(0,M1061-N1061)</f>
        <v/>
      </c>
      <c r="K1061" s="11">
        <f>O1061</f>
        <v/>
      </c>
      <c r="L1061" s="11">
        <f>L1060+IF(K1061&gt;0,K1061*Summary!$B$9,K1061/Summary!$B$9)</f>
        <v/>
      </c>
      <c r="M1061" s="11">
        <f>G1061+H1061</f>
        <v/>
      </c>
      <c r="N1061" s="11">
        <f>Summary!$C$16*Summary!$B$8</f>
        <v/>
      </c>
      <c r="O1061" s="11">
        <f>M1061-N1061</f>
        <v/>
      </c>
    </row>
    <row r="1062">
      <c r="A1062" s="9" t="n">
        <v>45336.16666666666</v>
      </c>
      <c r="B1062" t="n">
        <v>2</v>
      </c>
      <c r="C1062" t="n">
        <v>14</v>
      </c>
      <c r="D1062" t="n">
        <v>4</v>
      </c>
      <c r="E1062" s="10" t="n">
        <v>0</v>
      </c>
      <c r="F1062" s="10" t="n">
        <v>0.2175358122085949</v>
      </c>
      <c r="G1062" s="11">
        <f>E1062*Summary!$B$6</f>
        <v/>
      </c>
      <c r="H1062" s="11">
        <f>F1062*Summary!$B$7</f>
        <v/>
      </c>
      <c r="I1062" s="11">
        <f>MAX(0,N1062-M1062)</f>
        <v/>
      </c>
      <c r="J1062" s="11">
        <f>MAX(0,M1062-N1062)</f>
        <v/>
      </c>
      <c r="K1062" s="11">
        <f>O1062</f>
        <v/>
      </c>
      <c r="L1062" s="11">
        <f>L1061+IF(K1062&gt;0,K1062*Summary!$B$9,K1062/Summary!$B$9)</f>
        <v/>
      </c>
      <c r="M1062" s="11">
        <f>G1062+H1062</f>
        <v/>
      </c>
      <c r="N1062" s="11">
        <f>Summary!$C$16*Summary!$B$8</f>
        <v/>
      </c>
      <c r="O1062" s="11">
        <f>M1062-N1062</f>
        <v/>
      </c>
    </row>
    <row r="1063">
      <c r="A1063" s="9" t="n">
        <v>45336.20833333334</v>
      </c>
      <c r="B1063" t="n">
        <v>2</v>
      </c>
      <c r="C1063" t="n">
        <v>14</v>
      </c>
      <c r="D1063" t="n">
        <v>5</v>
      </c>
      <c r="E1063" s="10" t="n">
        <v>0</v>
      </c>
      <c r="F1063" s="10" t="n">
        <v>0.2117120188108845</v>
      </c>
      <c r="G1063" s="11">
        <f>E1063*Summary!$B$6</f>
        <v/>
      </c>
      <c r="H1063" s="11">
        <f>F1063*Summary!$B$7</f>
        <v/>
      </c>
      <c r="I1063" s="11">
        <f>MAX(0,N1063-M1063)</f>
        <v/>
      </c>
      <c r="J1063" s="11">
        <f>MAX(0,M1063-N1063)</f>
        <v/>
      </c>
      <c r="K1063" s="11">
        <f>O1063</f>
        <v/>
      </c>
      <c r="L1063" s="11">
        <f>L1062+IF(K1063&gt;0,K1063*Summary!$B$9,K1063/Summary!$B$9)</f>
        <v/>
      </c>
      <c r="M1063" s="11">
        <f>G1063+H1063</f>
        <v/>
      </c>
      <c r="N1063" s="11">
        <f>Summary!$C$16*Summary!$B$8</f>
        <v/>
      </c>
      <c r="O1063" s="11">
        <f>M1063-N1063</f>
        <v/>
      </c>
    </row>
    <row r="1064">
      <c r="A1064" s="9" t="n">
        <v>45336.25</v>
      </c>
      <c r="B1064" t="n">
        <v>2</v>
      </c>
      <c r="C1064" t="n">
        <v>14</v>
      </c>
      <c r="D1064" t="n">
        <v>6</v>
      </c>
      <c r="E1064" s="10" t="n">
        <v>0</v>
      </c>
      <c r="F1064" s="10" t="n">
        <v>0.2100781944187667</v>
      </c>
      <c r="G1064" s="11">
        <f>E1064*Summary!$B$6</f>
        <v/>
      </c>
      <c r="H1064" s="11">
        <f>F1064*Summary!$B$7</f>
        <v/>
      </c>
      <c r="I1064" s="11">
        <f>MAX(0,N1064-M1064)</f>
        <v/>
      </c>
      <c r="J1064" s="11">
        <f>MAX(0,M1064-N1064)</f>
        <v/>
      </c>
      <c r="K1064" s="11">
        <f>O1064</f>
        <v/>
      </c>
      <c r="L1064" s="11">
        <f>L1063+IF(K1064&gt;0,K1064*Summary!$B$9,K1064/Summary!$B$9)</f>
        <v/>
      </c>
      <c r="M1064" s="11">
        <f>G1064+H1064</f>
        <v/>
      </c>
      <c r="N1064" s="11">
        <f>Summary!$C$16*Summary!$B$8</f>
        <v/>
      </c>
      <c r="O1064" s="11">
        <f>M1064-N1064</f>
        <v/>
      </c>
    </row>
    <row r="1065">
      <c r="A1065" s="9" t="n">
        <v>45336.29166666666</v>
      </c>
      <c r="B1065" t="n">
        <v>2</v>
      </c>
      <c r="C1065" t="n">
        <v>14</v>
      </c>
      <c r="D1065" t="n">
        <v>7</v>
      </c>
      <c r="E1065" s="10" t="n">
        <v>0</v>
      </c>
      <c r="F1065" s="10" t="n">
        <v>0.2072058257293982</v>
      </c>
      <c r="G1065" s="11">
        <f>E1065*Summary!$B$6</f>
        <v/>
      </c>
      <c r="H1065" s="11">
        <f>F1065*Summary!$B$7</f>
        <v/>
      </c>
      <c r="I1065" s="11">
        <f>MAX(0,N1065-M1065)</f>
        <v/>
      </c>
      <c r="J1065" s="11">
        <f>MAX(0,M1065-N1065)</f>
        <v/>
      </c>
      <c r="K1065" s="11">
        <f>O1065</f>
        <v/>
      </c>
      <c r="L1065" s="11">
        <f>L1064+IF(K1065&gt;0,K1065*Summary!$B$9,K1065/Summary!$B$9)</f>
        <v/>
      </c>
      <c r="M1065" s="11">
        <f>G1065+H1065</f>
        <v/>
      </c>
      <c r="N1065" s="11">
        <f>Summary!$C$16*Summary!$B$8</f>
        <v/>
      </c>
      <c r="O1065" s="11">
        <f>M1065-N1065</f>
        <v/>
      </c>
    </row>
    <row r="1066">
      <c r="A1066" s="9" t="n">
        <v>45336.33333333334</v>
      </c>
      <c r="B1066" t="n">
        <v>2</v>
      </c>
      <c r="C1066" t="n">
        <v>14</v>
      </c>
      <c r="D1066" t="n">
        <v>8</v>
      </c>
      <c r="E1066" s="10" t="n">
        <v>0.045339</v>
      </c>
      <c r="F1066" s="10" t="n">
        <v>0.2129505631081351</v>
      </c>
      <c r="G1066" s="11">
        <f>E1066*Summary!$B$6</f>
        <v/>
      </c>
      <c r="H1066" s="11">
        <f>F1066*Summary!$B$7</f>
        <v/>
      </c>
      <c r="I1066" s="11">
        <f>MAX(0,N1066-M1066)</f>
        <v/>
      </c>
      <c r="J1066" s="11">
        <f>MAX(0,M1066-N1066)</f>
        <v/>
      </c>
      <c r="K1066" s="11">
        <f>O1066</f>
        <v/>
      </c>
      <c r="L1066" s="11">
        <f>L1065+IF(K1066&gt;0,K1066*Summary!$B$9,K1066/Summary!$B$9)</f>
        <v/>
      </c>
      <c r="M1066" s="11">
        <f>G1066+H1066</f>
        <v/>
      </c>
      <c r="N1066" s="11">
        <f>Summary!$C$16*Summary!$B$8</f>
        <v/>
      </c>
      <c r="O1066" s="11">
        <f>M1066-N1066</f>
        <v/>
      </c>
    </row>
    <row r="1067">
      <c r="A1067" s="9" t="n">
        <v>45336.375</v>
      </c>
      <c r="B1067" t="n">
        <v>2</v>
      </c>
      <c r="C1067" t="n">
        <v>14</v>
      </c>
      <c r="D1067" t="n">
        <v>9</v>
      </c>
      <c r="E1067" s="10" t="n">
        <v>0.173584</v>
      </c>
      <c r="F1067" s="10" t="n">
        <v>0.1842268762144503</v>
      </c>
      <c r="G1067" s="11">
        <f>E1067*Summary!$B$6</f>
        <v/>
      </c>
      <c r="H1067" s="11">
        <f>F1067*Summary!$B$7</f>
        <v/>
      </c>
      <c r="I1067" s="11">
        <f>MAX(0,N1067-M1067)</f>
        <v/>
      </c>
      <c r="J1067" s="11">
        <f>MAX(0,M1067-N1067)</f>
        <v/>
      </c>
      <c r="K1067" s="11">
        <f>O1067</f>
        <v/>
      </c>
      <c r="L1067" s="11">
        <f>L1066+IF(K1067&gt;0,K1067*Summary!$B$9,K1067/Summary!$B$9)</f>
        <v/>
      </c>
      <c r="M1067" s="11">
        <f>G1067+H1067</f>
        <v/>
      </c>
      <c r="N1067" s="11">
        <f>Summary!$C$16*Summary!$B$8</f>
        <v/>
      </c>
      <c r="O1067" s="11">
        <f>M1067-N1067</f>
        <v/>
      </c>
    </row>
    <row r="1068">
      <c r="A1068" s="9" t="n">
        <v>45336.41666666666</v>
      </c>
      <c r="B1068" t="n">
        <v>2</v>
      </c>
      <c r="C1068" t="n">
        <v>14</v>
      </c>
      <c r="D1068" t="n">
        <v>10</v>
      </c>
      <c r="E1068" s="10" t="n">
        <v>0.175812</v>
      </c>
      <c r="F1068" s="10" t="n">
        <v>0.1719731932735664</v>
      </c>
      <c r="G1068" s="11">
        <f>E1068*Summary!$B$6</f>
        <v/>
      </c>
      <c r="H1068" s="11">
        <f>F1068*Summary!$B$7</f>
        <v/>
      </c>
      <c r="I1068" s="11">
        <f>MAX(0,N1068-M1068)</f>
        <v/>
      </c>
      <c r="J1068" s="11">
        <f>MAX(0,M1068-N1068)</f>
        <v/>
      </c>
      <c r="K1068" s="11">
        <f>O1068</f>
        <v/>
      </c>
      <c r="L1068" s="11">
        <f>L1067+IF(K1068&gt;0,K1068*Summary!$B$9,K1068/Summary!$B$9)</f>
        <v/>
      </c>
      <c r="M1068" s="11">
        <f>G1068+H1068</f>
        <v/>
      </c>
      <c r="N1068" s="11">
        <f>Summary!$C$16*Summary!$B$8</f>
        <v/>
      </c>
      <c r="O1068" s="11">
        <f>M1068-N1068</f>
        <v/>
      </c>
    </row>
    <row r="1069">
      <c r="A1069" s="9" t="n">
        <v>45336.45833333334</v>
      </c>
      <c r="B1069" t="n">
        <v>2</v>
      </c>
      <c r="C1069" t="n">
        <v>14</v>
      </c>
      <c r="D1069" t="n">
        <v>11</v>
      </c>
      <c r="E1069" s="10" t="n">
        <v>0.145719</v>
      </c>
      <c r="F1069" s="10" t="n">
        <v>0.1599303263832783</v>
      </c>
      <c r="G1069" s="11">
        <f>E1069*Summary!$B$6</f>
        <v/>
      </c>
      <c r="H1069" s="11">
        <f>F1069*Summary!$B$7</f>
        <v/>
      </c>
      <c r="I1069" s="11">
        <f>MAX(0,N1069-M1069)</f>
        <v/>
      </c>
      <c r="J1069" s="11">
        <f>MAX(0,M1069-N1069)</f>
        <v/>
      </c>
      <c r="K1069" s="11">
        <f>O1069</f>
        <v/>
      </c>
      <c r="L1069" s="11">
        <f>L1068+IF(K1069&gt;0,K1069*Summary!$B$9,K1069/Summary!$B$9)</f>
        <v/>
      </c>
      <c r="M1069" s="11">
        <f>G1069+H1069</f>
        <v/>
      </c>
      <c r="N1069" s="11">
        <f>Summary!$C$16*Summary!$B$8</f>
        <v/>
      </c>
      <c r="O1069" s="11">
        <f>M1069-N1069</f>
        <v/>
      </c>
    </row>
    <row r="1070">
      <c r="A1070" s="9" t="n">
        <v>45336.5</v>
      </c>
      <c r="B1070" t="n">
        <v>2</v>
      </c>
      <c r="C1070" t="n">
        <v>14</v>
      </c>
      <c r="D1070" t="n">
        <v>12</v>
      </c>
      <c r="E1070" s="10" t="n">
        <v>0.119501</v>
      </c>
      <c r="F1070" s="10" t="n">
        <v>0.15400112496027</v>
      </c>
      <c r="G1070" s="11">
        <f>E1070*Summary!$B$6</f>
        <v/>
      </c>
      <c r="H1070" s="11">
        <f>F1070*Summary!$B$7</f>
        <v/>
      </c>
      <c r="I1070" s="11">
        <f>MAX(0,N1070-M1070)</f>
        <v/>
      </c>
      <c r="J1070" s="11">
        <f>MAX(0,M1070-N1070)</f>
        <v/>
      </c>
      <c r="K1070" s="11">
        <f>O1070</f>
        <v/>
      </c>
      <c r="L1070" s="11">
        <f>L1069+IF(K1070&gt;0,K1070*Summary!$B$9,K1070/Summary!$B$9)</f>
        <v/>
      </c>
      <c r="M1070" s="11">
        <f>G1070+H1070</f>
        <v/>
      </c>
      <c r="N1070" s="11">
        <f>Summary!$C$16*Summary!$B$8</f>
        <v/>
      </c>
      <c r="O1070" s="11">
        <f>M1070-N1070</f>
        <v/>
      </c>
    </row>
    <row r="1071">
      <c r="A1071" s="9" t="n">
        <v>45336.54166666666</v>
      </c>
      <c r="B1071" t="n">
        <v>2</v>
      </c>
      <c r="C1071" t="n">
        <v>14</v>
      </c>
      <c r="D1071" t="n">
        <v>13</v>
      </c>
      <c r="E1071" s="10" t="n">
        <v>0.097381</v>
      </c>
      <c r="F1071" s="10" t="n">
        <v>0.1537112528907007</v>
      </c>
      <c r="G1071" s="11">
        <f>E1071*Summary!$B$6</f>
        <v/>
      </c>
      <c r="H1071" s="11">
        <f>F1071*Summary!$B$7</f>
        <v/>
      </c>
      <c r="I1071" s="11">
        <f>MAX(0,N1071-M1071)</f>
        <v/>
      </c>
      <c r="J1071" s="11">
        <f>MAX(0,M1071-N1071)</f>
        <v/>
      </c>
      <c r="K1071" s="11">
        <f>O1071</f>
        <v/>
      </c>
      <c r="L1071" s="11">
        <f>L1070+IF(K1071&gt;0,K1071*Summary!$B$9,K1071/Summary!$B$9)</f>
        <v/>
      </c>
      <c r="M1071" s="11">
        <f>G1071+H1071</f>
        <v/>
      </c>
      <c r="N1071" s="11">
        <f>Summary!$C$16*Summary!$B$8</f>
        <v/>
      </c>
      <c r="O1071" s="11">
        <f>M1071-N1071</f>
        <v/>
      </c>
    </row>
    <row r="1072">
      <c r="A1072" s="9" t="n">
        <v>45336.58333333334</v>
      </c>
      <c r="B1072" t="n">
        <v>2</v>
      </c>
      <c r="C1072" t="n">
        <v>14</v>
      </c>
      <c r="D1072" t="n">
        <v>14</v>
      </c>
      <c r="E1072" s="10" t="n">
        <v>0.115939</v>
      </c>
      <c r="F1072" s="10" t="n">
        <v>0.160404662497119</v>
      </c>
      <c r="G1072" s="11">
        <f>E1072*Summary!$B$6</f>
        <v/>
      </c>
      <c r="H1072" s="11">
        <f>F1072*Summary!$B$7</f>
        <v/>
      </c>
      <c r="I1072" s="11">
        <f>MAX(0,N1072-M1072)</f>
        <v/>
      </c>
      <c r="J1072" s="11">
        <f>MAX(0,M1072-N1072)</f>
        <v/>
      </c>
      <c r="K1072" s="11">
        <f>O1072</f>
        <v/>
      </c>
      <c r="L1072" s="11">
        <f>L1071+IF(K1072&gt;0,K1072*Summary!$B$9,K1072/Summary!$B$9)</f>
        <v/>
      </c>
      <c r="M1072" s="11">
        <f>G1072+H1072</f>
        <v/>
      </c>
      <c r="N1072" s="11">
        <f>Summary!$C$16*Summary!$B$8</f>
        <v/>
      </c>
      <c r="O1072" s="11">
        <f>M1072-N1072</f>
        <v/>
      </c>
    </row>
    <row r="1073">
      <c r="A1073" s="9" t="n">
        <v>45336.625</v>
      </c>
      <c r="B1073" t="n">
        <v>2</v>
      </c>
      <c r="C1073" t="n">
        <v>14</v>
      </c>
      <c r="D1073" t="n">
        <v>15</v>
      </c>
      <c r="E1073" s="10" t="n">
        <v>0.08044800000000001</v>
      </c>
      <c r="F1073" s="10" t="n">
        <v>0.1741077057858494</v>
      </c>
      <c r="G1073" s="11">
        <f>E1073*Summary!$B$6</f>
        <v/>
      </c>
      <c r="H1073" s="11">
        <f>F1073*Summary!$B$7</f>
        <v/>
      </c>
      <c r="I1073" s="11">
        <f>MAX(0,N1073-M1073)</f>
        <v/>
      </c>
      <c r="J1073" s="11">
        <f>MAX(0,M1073-N1073)</f>
        <v/>
      </c>
      <c r="K1073" s="11">
        <f>O1073</f>
        <v/>
      </c>
      <c r="L1073" s="11">
        <f>L1072+IF(K1073&gt;0,K1073*Summary!$B$9,K1073/Summary!$B$9)</f>
        <v/>
      </c>
      <c r="M1073" s="11">
        <f>G1073+H1073</f>
        <v/>
      </c>
      <c r="N1073" s="11">
        <f>Summary!$C$16*Summary!$B$8</f>
        <v/>
      </c>
      <c r="O1073" s="11">
        <f>M1073-N1073</f>
        <v/>
      </c>
    </row>
    <row r="1074">
      <c r="A1074" s="9" t="n">
        <v>45336.66666666666</v>
      </c>
      <c r="B1074" t="n">
        <v>2</v>
      </c>
      <c r="C1074" t="n">
        <v>14</v>
      </c>
      <c r="D1074" t="n">
        <v>16</v>
      </c>
      <c r="E1074" s="10" t="n">
        <v>0.007898000000000001</v>
      </c>
      <c r="F1074" s="10" t="n">
        <v>0.1934237264216943</v>
      </c>
      <c r="G1074" s="11">
        <f>E1074*Summary!$B$6</f>
        <v/>
      </c>
      <c r="H1074" s="11">
        <f>F1074*Summary!$B$7</f>
        <v/>
      </c>
      <c r="I1074" s="11">
        <f>MAX(0,N1074-M1074)</f>
        <v/>
      </c>
      <c r="J1074" s="11">
        <f>MAX(0,M1074-N1074)</f>
        <v/>
      </c>
      <c r="K1074" s="11">
        <f>O1074</f>
        <v/>
      </c>
      <c r="L1074" s="11">
        <f>L1073+IF(K1074&gt;0,K1074*Summary!$B$9,K1074/Summary!$B$9)</f>
        <v/>
      </c>
      <c r="M1074" s="11">
        <f>G1074+H1074</f>
        <v/>
      </c>
      <c r="N1074" s="11">
        <f>Summary!$C$16*Summary!$B$8</f>
        <v/>
      </c>
      <c r="O1074" s="11">
        <f>M1074-N1074</f>
        <v/>
      </c>
    </row>
    <row r="1075">
      <c r="A1075" s="9" t="n">
        <v>45336.70833333334</v>
      </c>
      <c r="B1075" t="n">
        <v>2</v>
      </c>
      <c r="C1075" t="n">
        <v>14</v>
      </c>
      <c r="D1075" t="n">
        <v>17</v>
      </c>
      <c r="E1075" s="10" t="n">
        <v>0</v>
      </c>
      <c r="F1075" s="10" t="n">
        <v>0.2186953004868721</v>
      </c>
      <c r="G1075" s="11">
        <f>E1075*Summary!$B$6</f>
        <v/>
      </c>
      <c r="H1075" s="11">
        <f>F1075*Summary!$B$7</f>
        <v/>
      </c>
      <c r="I1075" s="11">
        <f>MAX(0,N1075-M1075)</f>
        <v/>
      </c>
      <c r="J1075" s="11">
        <f>MAX(0,M1075-N1075)</f>
        <v/>
      </c>
      <c r="K1075" s="11">
        <f>O1075</f>
        <v/>
      </c>
      <c r="L1075" s="11">
        <f>L1074+IF(K1075&gt;0,K1075*Summary!$B$9,K1075/Summary!$B$9)</f>
        <v/>
      </c>
      <c r="M1075" s="11">
        <f>G1075+H1075</f>
        <v/>
      </c>
      <c r="N1075" s="11">
        <f>Summary!$C$16*Summary!$B$8</f>
        <v/>
      </c>
      <c r="O1075" s="11">
        <f>M1075-N1075</f>
        <v/>
      </c>
    </row>
    <row r="1076">
      <c r="A1076" s="9" t="n">
        <v>45336.75</v>
      </c>
      <c r="B1076" t="n">
        <v>2</v>
      </c>
      <c r="C1076" t="n">
        <v>14</v>
      </c>
      <c r="D1076" t="n">
        <v>18</v>
      </c>
      <c r="E1076" s="10" t="n">
        <v>0</v>
      </c>
      <c r="F1076" s="10" t="n">
        <v>0.2422803461472831</v>
      </c>
      <c r="G1076" s="11">
        <f>E1076*Summary!$B$6</f>
        <v/>
      </c>
      <c r="H1076" s="11">
        <f>F1076*Summary!$B$7</f>
        <v/>
      </c>
      <c r="I1076" s="11">
        <f>MAX(0,N1076-M1076)</f>
        <v/>
      </c>
      <c r="J1076" s="11">
        <f>MAX(0,M1076-N1076)</f>
        <v/>
      </c>
      <c r="K1076" s="11">
        <f>O1076</f>
        <v/>
      </c>
      <c r="L1076" s="11">
        <f>L1075+IF(K1076&gt;0,K1076*Summary!$B$9,K1076/Summary!$B$9)</f>
        <v/>
      </c>
      <c r="M1076" s="11">
        <f>G1076+H1076</f>
        <v/>
      </c>
      <c r="N1076" s="11">
        <f>Summary!$C$16*Summary!$B$8</f>
        <v/>
      </c>
      <c r="O1076" s="11">
        <f>M1076-N1076</f>
        <v/>
      </c>
    </row>
    <row r="1077">
      <c r="A1077" s="9" t="n">
        <v>45336.79166666666</v>
      </c>
      <c r="B1077" t="n">
        <v>2</v>
      </c>
      <c r="C1077" t="n">
        <v>14</v>
      </c>
      <c r="D1077" t="n">
        <v>19</v>
      </c>
      <c r="E1077" s="10" t="n">
        <v>0</v>
      </c>
      <c r="F1077" s="10" t="n">
        <v>0.2598571343657123</v>
      </c>
      <c r="G1077" s="11">
        <f>E1077*Summary!$B$6</f>
        <v/>
      </c>
      <c r="H1077" s="11">
        <f>F1077*Summary!$B$7</f>
        <v/>
      </c>
      <c r="I1077" s="11">
        <f>MAX(0,N1077-M1077)</f>
        <v/>
      </c>
      <c r="J1077" s="11">
        <f>MAX(0,M1077-N1077)</f>
        <v/>
      </c>
      <c r="K1077" s="11">
        <f>O1077</f>
        <v/>
      </c>
      <c r="L1077" s="11">
        <f>L1076+IF(K1077&gt;0,K1077*Summary!$B$9,K1077/Summary!$B$9)</f>
        <v/>
      </c>
      <c r="M1077" s="11">
        <f>G1077+H1077</f>
        <v/>
      </c>
      <c r="N1077" s="11">
        <f>Summary!$C$16*Summary!$B$8</f>
        <v/>
      </c>
      <c r="O1077" s="11">
        <f>M1077-N1077</f>
        <v/>
      </c>
    </row>
    <row r="1078">
      <c r="A1078" s="9" t="n">
        <v>45336.83333333334</v>
      </c>
      <c r="B1078" t="n">
        <v>2</v>
      </c>
      <c r="C1078" t="n">
        <v>14</v>
      </c>
      <c r="D1078" t="n">
        <v>20</v>
      </c>
      <c r="E1078" s="10" t="n">
        <v>0</v>
      </c>
      <c r="F1078" s="10" t="n">
        <v>0.2841009801842352</v>
      </c>
      <c r="G1078" s="11">
        <f>E1078*Summary!$B$6</f>
        <v/>
      </c>
      <c r="H1078" s="11">
        <f>F1078*Summary!$B$7</f>
        <v/>
      </c>
      <c r="I1078" s="11">
        <f>MAX(0,N1078-M1078)</f>
        <v/>
      </c>
      <c r="J1078" s="11">
        <f>MAX(0,M1078-N1078)</f>
        <v/>
      </c>
      <c r="K1078" s="11">
        <f>O1078</f>
        <v/>
      </c>
      <c r="L1078" s="11">
        <f>L1077+IF(K1078&gt;0,K1078*Summary!$B$9,K1078/Summary!$B$9)</f>
        <v/>
      </c>
      <c r="M1078" s="11">
        <f>G1078+H1078</f>
        <v/>
      </c>
      <c r="N1078" s="11">
        <f>Summary!$C$16*Summary!$B$8</f>
        <v/>
      </c>
      <c r="O1078" s="11">
        <f>M1078-N1078</f>
        <v/>
      </c>
    </row>
    <row r="1079">
      <c r="A1079" s="9" t="n">
        <v>45336.875</v>
      </c>
      <c r="B1079" t="n">
        <v>2</v>
      </c>
      <c r="C1079" t="n">
        <v>14</v>
      </c>
      <c r="D1079" t="n">
        <v>21</v>
      </c>
      <c r="E1079" s="10" t="n">
        <v>0</v>
      </c>
      <c r="F1079" s="10" t="n">
        <v>0.2709776810346434</v>
      </c>
      <c r="G1079" s="11">
        <f>E1079*Summary!$B$6</f>
        <v/>
      </c>
      <c r="H1079" s="11">
        <f>F1079*Summary!$B$7</f>
        <v/>
      </c>
      <c r="I1079" s="11">
        <f>MAX(0,N1079-M1079)</f>
        <v/>
      </c>
      <c r="J1079" s="11">
        <f>MAX(0,M1079-N1079)</f>
        <v/>
      </c>
      <c r="K1079" s="11">
        <f>O1079</f>
        <v/>
      </c>
      <c r="L1079" s="11">
        <f>L1078+IF(K1079&gt;0,K1079*Summary!$B$9,K1079/Summary!$B$9)</f>
        <v/>
      </c>
      <c r="M1079" s="11">
        <f>G1079+H1079</f>
        <v/>
      </c>
      <c r="N1079" s="11">
        <f>Summary!$C$16*Summary!$B$8</f>
        <v/>
      </c>
      <c r="O1079" s="11">
        <f>M1079-N1079</f>
        <v/>
      </c>
    </row>
    <row r="1080">
      <c r="A1080" s="9" t="n">
        <v>45336.91666666666</v>
      </c>
      <c r="B1080" t="n">
        <v>2</v>
      </c>
      <c r="C1080" t="n">
        <v>14</v>
      </c>
      <c r="D1080" t="n">
        <v>22</v>
      </c>
      <c r="E1080" s="10" t="n">
        <v>0</v>
      </c>
      <c r="F1080" s="10" t="n">
        <v>0.2743507378441771</v>
      </c>
      <c r="G1080" s="11">
        <f>E1080*Summary!$B$6</f>
        <v/>
      </c>
      <c r="H1080" s="11">
        <f>F1080*Summary!$B$7</f>
        <v/>
      </c>
      <c r="I1080" s="11">
        <f>MAX(0,N1080-M1080)</f>
        <v/>
      </c>
      <c r="J1080" s="11">
        <f>MAX(0,M1080-N1080)</f>
        <v/>
      </c>
      <c r="K1080" s="11">
        <f>O1080</f>
        <v/>
      </c>
      <c r="L1080" s="11">
        <f>L1079+IF(K1080&gt;0,K1080*Summary!$B$9,K1080/Summary!$B$9)</f>
        <v/>
      </c>
      <c r="M1080" s="11">
        <f>G1080+H1080</f>
        <v/>
      </c>
      <c r="N1080" s="11">
        <f>Summary!$C$16*Summary!$B$8</f>
        <v/>
      </c>
      <c r="O1080" s="11">
        <f>M1080-N1080</f>
        <v/>
      </c>
    </row>
    <row r="1081">
      <c r="A1081" s="9" t="n">
        <v>45336.95833333334</v>
      </c>
      <c r="B1081" t="n">
        <v>2</v>
      </c>
      <c r="C1081" t="n">
        <v>14</v>
      </c>
      <c r="D1081" t="n">
        <v>23</v>
      </c>
      <c r="E1081" s="10" t="n">
        <v>0</v>
      </c>
      <c r="F1081" s="10" t="n">
        <v>0.2806488673557281</v>
      </c>
      <c r="G1081" s="11">
        <f>E1081*Summary!$B$6</f>
        <v/>
      </c>
      <c r="H1081" s="11">
        <f>F1081*Summary!$B$7</f>
        <v/>
      </c>
      <c r="I1081" s="11">
        <f>MAX(0,N1081-M1081)</f>
        <v/>
      </c>
      <c r="J1081" s="11">
        <f>MAX(0,M1081-N1081)</f>
        <v/>
      </c>
      <c r="K1081" s="11">
        <f>O1081</f>
        <v/>
      </c>
      <c r="L1081" s="11">
        <f>L1080+IF(K1081&gt;0,K1081*Summary!$B$9,K1081/Summary!$B$9)</f>
        <v/>
      </c>
      <c r="M1081" s="11">
        <f>G1081+H1081</f>
        <v/>
      </c>
      <c r="N1081" s="11">
        <f>Summary!$C$16*Summary!$B$8</f>
        <v/>
      </c>
      <c r="O1081" s="11">
        <f>M1081-N1081</f>
        <v/>
      </c>
    </row>
    <row r="1082">
      <c r="A1082" s="9" t="n">
        <v>45337</v>
      </c>
      <c r="B1082" t="n">
        <v>2</v>
      </c>
      <c r="C1082" t="n">
        <v>15</v>
      </c>
      <c r="D1082" t="n">
        <v>0</v>
      </c>
      <c r="E1082" s="10" t="n">
        <v>0</v>
      </c>
      <c r="F1082" s="10" t="n">
        <v>0.4375223610053667</v>
      </c>
      <c r="G1082" s="11">
        <f>E1082*Summary!$B$6</f>
        <v/>
      </c>
      <c r="H1082" s="11">
        <f>F1082*Summary!$B$7</f>
        <v/>
      </c>
      <c r="I1082" s="11">
        <f>MAX(0,N1082-M1082)</f>
        <v/>
      </c>
      <c r="J1082" s="11">
        <f>MAX(0,M1082-N1082)</f>
        <v/>
      </c>
      <c r="K1082" s="11">
        <f>O1082</f>
        <v/>
      </c>
      <c r="L1082" s="11">
        <f>L1081+IF(K1082&gt;0,K1082*Summary!$B$9,K1082/Summary!$B$9)</f>
        <v/>
      </c>
      <c r="M1082" s="11">
        <f>G1082+H1082</f>
        <v/>
      </c>
      <c r="N1082" s="11">
        <f>Summary!$C$16*Summary!$B$8</f>
        <v/>
      </c>
      <c r="O1082" s="11">
        <f>M1082-N1082</f>
        <v/>
      </c>
    </row>
    <row r="1083">
      <c r="A1083" s="9" t="n">
        <v>45337.04166666666</v>
      </c>
      <c r="B1083" t="n">
        <v>2</v>
      </c>
      <c r="C1083" t="n">
        <v>15</v>
      </c>
      <c r="D1083" t="n">
        <v>1</v>
      </c>
      <c r="E1083" s="10" t="n">
        <v>0</v>
      </c>
      <c r="F1083" s="10" t="n">
        <v>0.2981465995551839</v>
      </c>
      <c r="G1083" s="11">
        <f>E1083*Summary!$B$6</f>
        <v/>
      </c>
      <c r="H1083" s="11">
        <f>F1083*Summary!$B$7</f>
        <v/>
      </c>
      <c r="I1083" s="11">
        <f>MAX(0,N1083-M1083)</f>
        <v/>
      </c>
      <c r="J1083" s="11">
        <f>MAX(0,M1083-N1083)</f>
        <v/>
      </c>
      <c r="K1083" s="11">
        <f>O1083</f>
        <v/>
      </c>
      <c r="L1083" s="11">
        <f>L1082+IF(K1083&gt;0,K1083*Summary!$B$9,K1083/Summary!$B$9)</f>
        <v/>
      </c>
      <c r="M1083" s="11">
        <f>G1083+H1083</f>
        <v/>
      </c>
      <c r="N1083" s="11">
        <f>Summary!$C$16*Summary!$B$8</f>
        <v/>
      </c>
      <c r="O1083" s="11">
        <f>M1083-N1083</f>
        <v/>
      </c>
    </row>
    <row r="1084">
      <c r="A1084" s="9" t="n">
        <v>45337.08333333334</v>
      </c>
      <c r="B1084" t="n">
        <v>2</v>
      </c>
      <c r="C1084" t="n">
        <v>15</v>
      </c>
      <c r="D1084" t="n">
        <v>2</v>
      </c>
      <c r="E1084" s="10" t="n">
        <v>0</v>
      </c>
      <c r="F1084" s="10" t="n">
        <v>0.3051825852438205</v>
      </c>
      <c r="G1084" s="11">
        <f>E1084*Summary!$B$6</f>
        <v/>
      </c>
      <c r="H1084" s="11">
        <f>F1084*Summary!$B$7</f>
        <v/>
      </c>
      <c r="I1084" s="11">
        <f>MAX(0,N1084-M1084)</f>
        <v/>
      </c>
      <c r="J1084" s="11">
        <f>MAX(0,M1084-N1084)</f>
        <v/>
      </c>
      <c r="K1084" s="11">
        <f>O1084</f>
        <v/>
      </c>
      <c r="L1084" s="11">
        <f>L1083+IF(K1084&gt;0,K1084*Summary!$B$9,K1084/Summary!$B$9)</f>
        <v/>
      </c>
      <c r="M1084" s="11">
        <f>G1084+H1084</f>
        <v/>
      </c>
      <c r="N1084" s="11">
        <f>Summary!$C$16*Summary!$B$8</f>
        <v/>
      </c>
      <c r="O1084" s="11">
        <f>M1084-N1084</f>
        <v/>
      </c>
    </row>
    <row r="1085">
      <c r="A1085" s="9" t="n">
        <v>45337.125</v>
      </c>
      <c r="B1085" t="n">
        <v>2</v>
      </c>
      <c r="C1085" t="n">
        <v>15</v>
      </c>
      <c r="D1085" t="n">
        <v>3</v>
      </c>
      <c r="E1085" s="10" t="n">
        <v>0</v>
      </c>
      <c r="F1085" s="10" t="n">
        <v>0.3114543627490471</v>
      </c>
      <c r="G1085" s="11">
        <f>E1085*Summary!$B$6</f>
        <v/>
      </c>
      <c r="H1085" s="11">
        <f>F1085*Summary!$B$7</f>
        <v/>
      </c>
      <c r="I1085" s="11">
        <f>MAX(0,N1085-M1085)</f>
        <v/>
      </c>
      <c r="J1085" s="11">
        <f>MAX(0,M1085-N1085)</f>
        <v/>
      </c>
      <c r="K1085" s="11">
        <f>O1085</f>
        <v/>
      </c>
      <c r="L1085" s="11">
        <f>L1084+IF(K1085&gt;0,K1085*Summary!$B$9,K1085/Summary!$B$9)</f>
        <v/>
      </c>
      <c r="M1085" s="11">
        <f>G1085+H1085</f>
        <v/>
      </c>
      <c r="N1085" s="11">
        <f>Summary!$C$16*Summary!$B$8</f>
        <v/>
      </c>
      <c r="O1085" s="11">
        <f>M1085-N1085</f>
        <v/>
      </c>
    </row>
    <row r="1086">
      <c r="A1086" s="9" t="n">
        <v>45337.16666666666</v>
      </c>
      <c r="B1086" t="n">
        <v>2</v>
      </c>
      <c r="C1086" t="n">
        <v>15</v>
      </c>
      <c r="D1086" t="n">
        <v>4</v>
      </c>
      <c r="E1086" s="10" t="n">
        <v>0</v>
      </c>
      <c r="F1086" s="10" t="n">
        <v>0.3188592765262264</v>
      </c>
      <c r="G1086" s="11">
        <f>E1086*Summary!$B$6</f>
        <v/>
      </c>
      <c r="H1086" s="11">
        <f>F1086*Summary!$B$7</f>
        <v/>
      </c>
      <c r="I1086" s="11">
        <f>MAX(0,N1086-M1086)</f>
        <v/>
      </c>
      <c r="J1086" s="11">
        <f>MAX(0,M1086-N1086)</f>
        <v/>
      </c>
      <c r="K1086" s="11">
        <f>O1086</f>
        <v/>
      </c>
      <c r="L1086" s="11">
        <f>L1085+IF(K1086&gt;0,K1086*Summary!$B$9,K1086/Summary!$B$9)</f>
        <v/>
      </c>
      <c r="M1086" s="11">
        <f>G1086+H1086</f>
        <v/>
      </c>
      <c r="N1086" s="11">
        <f>Summary!$C$16*Summary!$B$8</f>
        <v/>
      </c>
      <c r="O1086" s="11">
        <f>M1086-N1086</f>
        <v/>
      </c>
    </row>
    <row r="1087">
      <c r="A1087" s="9" t="n">
        <v>45337.20833333334</v>
      </c>
      <c r="B1087" t="n">
        <v>2</v>
      </c>
      <c r="C1087" t="n">
        <v>15</v>
      </c>
      <c r="D1087" t="n">
        <v>5</v>
      </c>
      <c r="E1087" s="10" t="n">
        <v>0</v>
      </c>
      <c r="F1087" s="10" t="n">
        <v>0.327265566543736</v>
      </c>
      <c r="G1087" s="11">
        <f>E1087*Summary!$B$6</f>
        <v/>
      </c>
      <c r="H1087" s="11">
        <f>F1087*Summary!$B$7</f>
        <v/>
      </c>
      <c r="I1087" s="11">
        <f>MAX(0,N1087-M1087)</f>
        <v/>
      </c>
      <c r="J1087" s="11">
        <f>MAX(0,M1087-N1087)</f>
        <v/>
      </c>
      <c r="K1087" s="11">
        <f>O1087</f>
        <v/>
      </c>
      <c r="L1087" s="11">
        <f>L1086+IF(K1087&gt;0,K1087*Summary!$B$9,K1087/Summary!$B$9)</f>
        <v/>
      </c>
      <c r="M1087" s="11">
        <f>G1087+H1087</f>
        <v/>
      </c>
      <c r="N1087" s="11">
        <f>Summary!$C$16*Summary!$B$8</f>
        <v/>
      </c>
      <c r="O1087" s="11">
        <f>M1087-N1087</f>
        <v/>
      </c>
    </row>
    <row r="1088">
      <c r="A1088" s="9" t="n">
        <v>45337.25</v>
      </c>
      <c r="B1088" t="n">
        <v>2</v>
      </c>
      <c r="C1088" t="n">
        <v>15</v>
      </c>
      <c r="D1088" t="n">
        <v>6</v>
      </c>
      <c r="E1088" s="10" t="n">
        <v>0</v>
      </c>
      <c r="F1088" s="10" t="n">
        <v>0.3370421608901186</v>
      </c>
      <c r="G1088" s="11">
        <f>E1088*Summary!$B$6</f>
        <v/>
      </c>
      <c r="H1088" s="11">
        <f>F1088*Summary!$B$7</f>
        <v/>
      </c>
      <c r="I1088" s="11">
        <f>MAX(0,N1088-M1088)</f>
        <v/>
      </c>
      <c r="J1088" s="11">
        <f>MAX(0,M1088-N1088)</f>
        <v/>
      </c>
      <c r="K1088" s="11">
        <f>O1088</f>
        <v/>
      </c>
      <c r="L1088" s="11">
        <f>L1087+IF(K1088&gt;0,K1088*Summary!$B$9,K1088/Summary!$B$9)</f>
        <v/>
      </c>
      <c r="M1088" s="11">
        <f>G1088+H1088</f>
        <v/>
      </c>
      <c r="N1088" s="11">
        <f>Summary!$C$16*Summary!$B$8</f>
        <v/>
      </c>
      <c r="O1088" s="11">
        <f>M1088-N1088</f>
        <v/>
      </c>
    </row>
    <row r="1089">
      <c r="A1089" s="9" t="n">
        <v>45337.29166666666</v>
      </c>
      <c r="B1089" t="n">
        <v>2</v>
      </c>
      <c r="C1089" t="n">
        <v>15</v>
      </c>
      <c r="D1089" t="n">
        <v>7</v>
      </c>
      <c r="E1089" s="10" t="n">
        <v>0</v>
      </c>
      <c r="F1089" s="10" t="n">
        <v>0.3413638899273336</v>
      </c>
      <c r="G1089" s="11">
        <f>E1089*Summary!$B$6</f>
        <v/>
      </c>
      <c r="H1089" s="11">
        <f>F1089*Summary!$B$7</f>
        <v/>
      </c>
      <c r="I1089" s="11">
        <f>MAX(0,N1089-M1089)</f>
        <v/>
      </c>
      <c r="J1089" s="11">
        <f>MAX(0,M1089-N1089)</f>
        <v/>
      </c>
      <c r="K1089" s="11">
        <f>O1089</f>
        <v/>
      </c>
      <c r="L1089" s="11">
        <f>L1088+IF(K1089&gt;0,K1089*Summary!$B$9,K1089/Summary!$B$9)</f>
        <v/>
      </c>
      <c r="M1089" s="11">
        <f>G1089+H1089</f>
        <v/>
      </c>
      <c r="N1089" s="11">
        <f>Summary!$C$16*Summary!$B$8</f>
        <v/>
      </c>
      <c r="O1089" s="11">
        <f>M1089-N1089</f>
        <v/>
      </c>
    </row>
    <row r="1090">
      <c r="A1090" s="9" t="n">
        <v>45337.33333333334</v>
      </c>
      <c r="B1090" t="n">
        <v>2</v>
      </c>
      <c r="C1090" t="n">
        <v>15</v>
      </c>
      <c r="D1090" t="n">
        <v>8</v>
      </c>
      <c r="E1090" s="10" t="n">
        <v>0.002881</v>
      </c>
      <c r="F1090" s="10" t="n">
        <v>0.3449214107811385</v>
      </c>
      <c r="G1090" s="11">
        <f>E1090*Summary!$B$6</f>
        <v/>
      </c>
      <c r="H1090" s="11">
        <f>F1090*Summary!$B$7</f>
        <v/>
      </c>
      <c r="I1090" s="11">
        <f>MAX(0,N1090-M1090)</f>
        <v/>
      </c>
      <c r="J1090" s="11">
        <f>MAX(0,M1090-N1090)</f>
        <v/>
      </c>
      <c r="K1090" s="11">
        <f>O1090</f>
        <v/>
      </c>
      <c r="L1090" s="11">
        <f>L1089+IF(K1090&gt;0,K1090*Summary!$B$9,K1090/Summary!$B$9)</f>
        <v/>
      </c>
      <c r="M1090" s="11">
        <f>G1090+H1090</f>
        <v/>
      </c>
      <c r="N1090" s="11">
        <f>Summary!$C$16*Summary!$B$8</f>
        <v/>
      </c>
      <c r="O1090" s="11">
        <f>M1090-N1090</f>
        <v/>
      </c>
    </row>
    <row r="1091">
      <c r="A1091" s="9" t="n">
        <v>45337.375</v>
      </c>
      <c r="B1091" t="n">
        <v>2</v>
      </c>
      <c r="C1091" t="n">
        <v>15</v>
      </c>
      <c r="D1091" t="n">
        <v>9</v>
      </c>
      <c r="E1091" s="10" t="n">
        <v>0.022479</v>
      </c>
      <c r="F1091" s="10" t="n">
        <v>0.3445261306862714</v>
      </c>
      <c r="G1091" s="11">
        <f>E1091*Summary!$B$6</f>
        <v/>
      </c>
      <c r="H1091" s="11">
        <f>F1091*Summary!$B$7</f>
        <v/>
      </c>
      <c r="I1091" s="11">
        <f>MAX(0,N1091-M1091)</f>
        <v/>
      </c>
      <c r="J1091" s="11">
        <f>MAX(0,M1091-N1091)</f>
        <v/>
      </c>
      <c r="K1091" s="11">
        <f>O1091</f>
        <v/>
      </c>
      <c r="L1091" s="11">
        <f>L1090+IF(K1091&gt;0,K1091*Summary!$B$9,K1091/Summary!$B$9)</f>
        <v/>
      </c>
      <c r="M1091" s="11">
        <f>G1091+H1091</f>
        <v/>
      </c>
      <c r="N1091" s="11">
        <f>Summary!$C$16*Summary!$B$8</f>
        <v/>
      </c>
      <c r="O1091" s="11">
        <f>M1091-N1091</f>
        <v/>
      </c>
    </row>
    <row r="1092">
      <c r="A1092" s="9" t="n">
        <v>45337.41666666666</v>
      </c>
      <c r="B1092" t="n">
        <v>2</v>
      </c>
      <c r="C1092" t="n">
        <v>15</v>
      </c>
      <c r="D1092" t="n">
        <v>10</v>
      </c>
      <c r="E1092" s="10" t="n">
        <v>0.035753</v>
      </c>
      <c r="F1092" s="10" t="n">
        <v>0.3598102943544706</v>
      </c>
      <c r="G1092" s="11">
        <f>E1092*Summary!$B$6</f>
        <v/>
      </c>
      <c r="H1092" s="11">
        <f>F1092*Summary!$B$7</f>
        <v/>
      </c>
      <c r="I1092" s="11">
        <f>MAX(0,N1092-M1092)</f>
        <v/>
      </c>
      <c r="J1092" s="11">
        <f>MAX(0,M1092-N1092)</f>
        <v/>
      </c>
      <c r="K1092" s="11">
        <f>O1092</f>
        <v/>
      </c>
      <c r="L1092" s="11">
        <f>L1091+IF(K1092&gt;0,K1092*Summary!$B$9,K1092/Summary!$B$9)</f>
        <v/>
      </c>
      <c r="M1092" s="11">
        <f>G1092+H1092</f>
        <v/>
      </c>
      <c r="N1092" s="11">
        <f>Summary!$C$16*Summary!$B$8</f>
        <v/>
      </c>
      <c r="O1092" s="11">
        <f>M1092-N1092</f>
        <v/>
      </c>
    </row>
    <row r="1093">
      <c r="A1093" s="9" t="n">
        <v>45337.45833333334</v>
      </c>
      <c r="B1093" t="n">
        <v>2</v>
      </c>
      <c r="C1093" t="n">
        <v>15</v>
      </c>
      <c r="D1093" t="n">
        <v>11</v>
      </c>
      <c r="E1093" s="10" t="n">
        <v>0.039894</v>
      </c>
      <c r="F1093" s="10" t="n">
        <v>0.335856320605517</v>
      </c>
      <c r="G1093" s="11">
        <f>E1093*Summary!$B$6</f>
        <v/>
      </c>
      <c r="H1093" s="11">
        <f>F1093*Summary!$B$7</f>
        <v/>
      </c>
      <c r="I1093" s="11">
        <f>MAX(0,N1093-M1093)</f>
        <v/>
      </c>
      <c r="J1093" s="11">
        <f>MAX(0,M1093-N1093)</f>
        <v/>
      </c>
      <c r="K1093" s="11">
        <f>O1093</f>
        <v/>
      </c>
      <c r="L1093" s="11">
        <f>L1092+IF(K1093&gt;0,K1093*Summary!$B$9,K1093/Summary!$B$9)</f>
        <v/>
      </c>
      <c r="M1093" s="11">
        <f>G1093+H1093</f>
        <v/>
      </c>
      <c r="N1093" s="11">
        <f>Summary!$C$16*Summary!$B$8</f>
        <v/>
      </c>
      <c r="O1093" s="11">
        <f>M1093-N1093</f>
        <v/>
      </c>
    </row>
    <row r="1094">
      <c r="A1094" s="9" t="n">
        <v>45337.5</v>
      </c>
      <c r="B1094" t="n">
        <v>2</v>
      </c>
      <c r="C1094" t="n">
        <v>15</v>
      </c>
      <c r="D1094" t="n">
        <v>12</v>
      </c>
      <c r="E1094" s="10" t="n">
        <v>0.053052</v>
      </c>
      <c r="F1094" s="10" t="n">
        <v>0.3367259368142248</v>
      </c>
      <c r="G1094" s="11">
        <f>E1094*Summary!$B$6</f>
        <v/>
      </c>
      <c r="H1094" s="11">
        <f>F1094*Summary!$B$7</f>
        <v/>
      </c>
      <c r="I1094" s="11">
        <f>MAX(0,N1094-M1094)</f>
        <v/>
      </c>
      <c r="J1094" s="11">
        <f>MAX(0,M1094-N1094)</f>
        <v/>
      </c>
      <c r="K1094" s="11">
        <f>O1094</f>
        <v/>
      </c>
      <c r="L1094" s="11">
        <f>L1093+IF(K1094&gt;0,K1094*Summary!$B$9,K1094/Summary!$B$9)</f>
        <v/>
      </c>
      <c r="M1094" s="11">
        <f>G1094+H1094</f>
        <v/>
      </c>
      <c r="N1094" s="11">
        <f>Summary!$C$16*Summary!$B$8</f>
        <v/>
      </c>
      <c r="O1094" s="11">
        <f>M1094-N1094</f>
        <v/>
      </c>
    </row>
    <row r="1095">
      <c r="A1095" s="9" t="n">
        <v>45337.54166666666</v>
      </c>
      <c r="B1095" t="n">
        <v>2</v>
      </c>
      <c r="C1095" t="n">
        <v>15</v>
      </c>
      <c r="D1095" t="n">
        <v>13</v>
      </c>
      <c r="E1095" s="10" t="n">
        <v>0.054245</v>
      </c>
      <c r="F1095" s="10" t="n">
        <v>0.3420226900854456</v>
      </c>
      <c r="G1095" s="11">
        <f>E1095*Summary!$B$6</f>
        <v/>
      </c>
      <c r="H1095" s="11">
        <f>F1095*Summary!$B$7</f>
        <v/>
      </c>
      <c r="I1095" s="11">
        <f>MAX(0,N1095-M1095)</f>
        <v/>
      </c>
      <c r="J1095" s="11">
        <f>MAX(0,M1095-N1095)</f>
        <v/>
      </c>
      <c r="K1095" s="11">
        <f>O1095</f>
        <v/>
      </c>
      <c r="L1095" s="11">
        <f>L1094+IF(K1095&gt;0,K1095*Summary!$B$9,K1095/Summary!$B$9)</f>
        <v/>
      </c>
      <c r="M1095" s="11">
        <f>G1095+H1095</f>
        <v/>
      </c>
      <c r="N1095" s="11">
        <f>Summary!$C$16*Summary!$B$8</f>
        <v/>
      </c>
      <c r="O1095" s="11">
        <f>M1095-N1095</f>
        <v/>
      </c>
    </row>
    <row r="1096">
      <c r="A1096" s="9" t="n">
        <v>45337.58333333334</v>
      </c>
      <c r="B1096" t="n">
        <v>2</v>
      </c>
      <c r="C1096" t="n">
        <v>15</v>
      </c>
      <c r="D1096" t="n">
        <v>14</v>
      </c>
      <c r="E1096" s="10" t="n">
        <v>0.033921</v>
      </c>
      <c r="F1096" s="10" t="n">
        <v>0.3415483539716049</v>
      </c>
      <c r="G1096" s="11">
        <f>E1096*Summary!$B$6</f>
        <v/>
      </c>
      <c r="H1096" s="11">
        <f>F1096*Summary!$B$7</f>
        <v/>
      </c>
      <c r="I1096" s="11">
        <f>MAX(0,N1096-M1096)</f>
        <v/>
      </c>
      <c r="J1096" s="11">
        <f>MAX(0,M1096-N1096)</f>
        <v/>
      </c>
      <c r="K1096" s="11">
        <f>O1096</f>
        <v/>
      </c>
      <c r="L1096" s="11">
        <f>L1095+IF(K1096&gt;0,K1096*Summary!$B$9,K1096/Summary!$B$9)</f>
        <v/>
      </c>
      <c r="M1096" s="11">
        <f>G1096+H1096</f>
        <v/>
      </c>
      <c r="N1096" s="11">
        <f>Summary!$C$16*Summary!$B$8</f>
        <v/>
      </c>
      <c r="O1096" s="11">
        <f>M1096-N1096</f>
        <v/>
      </c>
    </row>
    <row r="1097">
      <c r="A1097" s="9" t="n">
        <v>45337.625</v>
      </c>
      <c r="B1097" t="n">
        <v>2</v>
      </c>
      <c r="C1097" t="n">
        <v>15</v>
      </c>
      <c r="D1097" t="n">
        <v>15</v>
      </c>
      <c r="E1097" s="10" t="n">
        <v>0.034542</v>
      </c>
      <c r="F1097" s="10" t="n">
        <v>0.35298512471643</v>
      </c>
      <c r="G1097" s="11">
        <f>E1097*Summary!$B$6</f>
        <v/>
      </c>
      <c r="H1097" s="11">
        <f>F1097*Summary!$B$7</f>
        <v/>
      </c>
      <c r="I1097" s="11">
        <f>MAX(0,N1097-M1097)</f>
        <v/>
      </c>
      <c r="J1097" s="11">
        <f>MAX(0,M1097-N1097)</f>
        <v/>
      </c>
      <c r="K1097" s="11">
        <f>O1097</f>
        <v/>
      </c>
      <c r="L1097" s="11">
        <f>L1096+IF(K1097&gt;0,K1097*Summary!$B$9,K1097/Summary!$B$9)</f>
        <v/>
      </c>
      <c r="M1097" s="11">
        <f>G1097+H1097</f>
        <v/>
      </c>
      <c r="N1097" s="11">
        <f>Summary!$C$16*Summary!$B$8</f>
        <v/>
      </c>
      <c r="O1097" s="11">
        <f>M1097-N1097</f>
        <v/>
      </c>
    </row>
    <row r="1098">
      <c r="A1098" s="9" t="n">
        <v>45337.66666666666</v>
      </c>
      <c r="B1098" t="n">
        <v>2</v>
      </c>
      <c r="C1098" t="n">
        <v>15</v>
      </c>
      <c r="D1098" t="n">
        <v>16</v>
      </c>
      <c r="E1098" s="10" t="n">
        <v>0.00245</v>
      </c>
      <c r="F1098" s="10" t="n">
        <v>0.3729335935040624</v>
      </c>
      <c r="G1098" s="11">
        <f>E1098*Summary!$B$6</f>
        <v/>
      </c>
      <c r="H1098" s="11">
        <f>F1098*Summary!$B$7</f>
        <v/>
      </c>
      <c r="I1098" s="11">
        <f>MAX(0,N1098-M1098)</f>
        <v/>
      </c>
      <c r="J1098" s="11">
        <f>MAX(0,M1098-N1098)</f>
        <v/>
      </c>
      <c r="K1098" s="11">
        <f>O1098</f>
        <v/>
      </c>
      <c r="L1098" s="11">
        <f>L1097+IF(K1098&gt;0,K1098*Summary!$B$9,K1098/Summary!$B$9)</f>
        <v/>
      </c>
      <c r="M1098" s="11">
        <f>G1098+H1098</f>
        <v/>
      </c>
      <c r="N1098" s="11">
        <f>Summary!$C$16*Summary!$B$8</f>
        <v/>
      </c>
      <c r="O1098" s="11">
        <f>M1098-N1098</f>
        <v/>
      </c>
    </row>
    <row r="1099">
      <c r="A1099" s="9" t="n">
        <v>45337.70833333334</v>
      </c>
      <c r="B1099" t="n">
        <v>2</v>
      </c>
      <c r="C1099" t="n">
        <v>15</v>
      </c>
      <c r="D1099" t="n">
        <v>17</v>
      </c>
      <c r="E1099" s="10" t="n">
        <v>0</v>
      </c>
      <c r="F1099" s="10" t="n">
        <v>0.3951746868419249</v>
      </c>
      <c r="G1099" s="11">
        <f>E1099*Summary!$B$6</f>
        <v/>
      </c>
      <c r="H1099" s="11">
        <f>F1099*Summary!$B$7</f>
        <v/>
      </c>
      <c r="I1099" s="11">
        <f>MAX(0,N1099-M1099)</f>
        <v/>
      </c>
      <c r="J1099" s="11">
        <f>MAX(0,M1099-N1099)</f>
        <v/>
      </c>
      <c r="K1099" s="11">
        <f>O1099</f>
        <v/>
      </c>
      <c r="L1099" s="11">
        <f>L1098+IF(K1099&gt;0,K1099*Summary!$B$9,K1099/Summary!$B$9)</f>
        <v/>
      </c>
      <c r="M1099" s="11">
        <f>G1099+H1099</f>
        <v/>
      </c>
      <c r="N1099" s="11">
        <f>Summary!$C$16*Summary!$B$8</f>
        <v/>
      </c>
      <c r="O1099" s="11">
        <f>M1099-N1099</f>
        <v/>
      </c>
    </row>
    <row r="1100">
      <c r="A1100" s="9" t="n">
        <v>45337.75</v>
      </c>
      <c r="B1100" t="n">
        <v>2</v>
      </c>
      <c r="C1100" t="n">
        <v>15</v>
      </c>
      <c r="D1100" t="n">
        <v>18</v>
      </c>
      <c r="E1100" s="10" t="n">
        <v>0</v>
      </c>
      <c r="F1100" s="10" t="n">
        <v>0.4130676991362477</v>
      </c>
      <c r="G1100" s="11">
        <f>E1100*Summary!$B$6</f>
        <v/>
      </c>
      <c r="H1100" s="11">
        <f>F1100*Summary!$B$7</f>
        <v/>
      </c>
      <c r="I1100" s="11">
        <f>MAX(0,N1100-M1100)</f>
        <v/>
      </c>
      <c r="J1100" s="11">
        <f>MAX(0,M1100-N1100)</f>
        <v/>
      </c>
      <c r="K1100" s="11">
        <f>O1100</f>
        <v/>
      </c>
      <c r="L1100" s="11">
        <f>L1099+IF(K1100&gt;0,K1100*Summary!$B$9,K1100/Summary!$B$9)</f>
        <v/>
      </c>
      <c r="M1100" s="11">
        <f>G1100+H1100</f>
        <v/>
      </c>
      <c r="N1100" s="11">
        <f>Summary!$C$16*Summary!$B$8</f>
        <v/>
      </c>
      <c r="O1100" s="11">
        <f>M1100-N1100</f>
        <v/>
      </c>
    </row>
    <row r="1101">
      <c r="A1101" s="9" t="n">
        <v>45337.79166666666</v>
      </c>
      <c r="B1101" t="n">
        <v>2</v>
      </c>
      <c r="C1101" t="n">
        <v>15</v>
      </c>
      <c r="D1101" t="n">
        <v>19</v>
      </c>
      <c r="E1101" s="10" t="n">
        <v>0</v>
      </c>
      <c r="F1101" s="10" t="n">
        <v>0.4264545183490844</v>
      </c>
      <c r="G1101" s="11">
        <f>E1101*Summary!$B$6</f>
        <v/>
      </c>
      <c r="H1101" s="11">
        <f>F1101*Summary!$B$7</f>
        <v/>
      </c>
      <c r="I1101" s="11">
        <f>MAX(0,N1101-M1101)</f>
        <v/>
      </c>
      <c r="J1101" s="11">
        <f>MAX(0,M1101-N1101)</f>
        <v/>
      </c>
      <c r="K1101" s="11">
        <f>O1101</f>
        <v/>
      </c>
      <c r="L1101" s="11">
        <f>L1100+IF(K1101&gt;0,K1101*Summary!$B$9,K1101/Summary!$B$9)</f>
        <v/>
      </c>
      <c r="M1101" s="11">
        <f>G1101+H1101</f>
        <v/>
      </c>
      <c r="N1101" s="11">
        <f>Summary!$C$16*Summary!$B$8</f>
        <v/>
      </c>
      <c r="O1101" s="11">
        <f>M1101-N1101</f>
        <v/>
      </c>
    </row>
    <row r="1102">
      <c r="A1102" s="9" t="n">
        <v>45337.83333333334</v>
      </c>
      <c r="B1102" t="n">
        <v>2</v>
      </c>
      <c r="C1102" t="n">
        <v>15</v>
      </c>
      <c r="D1102" t="n">
        <v>20</v>
      </c>
      <c r="E1102" s="10" t="n">
        <v>0</v>
      </c>
      <c r="F1102" s="10" t="n">
        <v>0.4572336617360788</v>
      </c>
      <c r="G1102" s="11">
        <f>E1102*Summary!$B$6</f>
        <v/>
      </c>
      <c r="H1102" s="11">
        <f>F1102*Summary!$B$7</f>
        <v/>
      </c>
      <c r="I1102" s="11">
        <f>MAX(0,N1102-M1102)</f>
        <v/>
      </c>
      <c r="J1102" s="11">
        <f>MAX(0,M1102-N1102)</f>
        <v/>
      </c>
      <c r="K1102" s="11">
        <f>O1102</f>
        <v/>
      </c>
      <c r="L1102" s="11">
        <f>L1101+IF(K1102&gt;0,K1102*Summary!$B$9,K1102/Summary!$B$9)</f>
        <v/>
      </c>
      <c r="M1102" s="11">
        <f>G1102+H1102</f>
        <v/>
      </c>
      <c r="N1102" s="11">
        <f>Summary!$C$16*Summary!$B$8</f>
        <v/>
      </c>
      <c r="O1102" s="11">
        <f>M1102-N1102</f>
        <v/>
      </c>
    </row>
    <row r="1103">
      <c r="A1103" s="9" t="n">
        <v>45337.875</v>
      </c>
      <c r="B1103" t="n">
        <v>2</v>
      </c>
      <c r="C1103" t="n">
        <v>15</v>
      </c>
      <c r="D1103" t="n">
        <v>21</v>
      </c>
      <c r="E1103" s="10" t="n">
        <v>0</v>
      </c>
      <c r="F1103" s="10" t="n">
        <v>0.4388399613215907</v>
      </c>
      <c r="G1103" s="11">
        <f>E1103*Summary!$B$6</f>
        <v/>
      </c>
      <c r="H1103" s="11">
        <f>F1103*Summary!$B$7</f>
        <v/>
      </c>
      <c r="I1103" s="11">
        <f>MAX(0,N1103-M1103)</f>
        <v/>
      </c>
      <c r="J1103" s="11">
        <f>MAX(0,M1103-N1103)</f>
        <v/>
      </c>
      <c r="K1103" s="11">
        <f>O1103</f>
        <v/>
      </c>
      <c r="L1103" s="11">
        <f>L1102+IF(K1103&gt;0,K1103*Summary!$B$9,K1103/Summary!$B$9)</f>
        <v/>
      </c>
      <c r="M1103" s="11">
        <f>G1103+H1103</f>
        <v/>
      </c>
      <c r="N1103" s="11">
        <f>Summary!$C$16*Summary!$B$8</f>
        <v/>
      </c>
      <c r="O1103" s="11">
        <f>M1103-N1103</f>
        <v/>
      </c>
    </row>
    <row r="1104">
      <c r="A1104" s="9" t="n">
        <v>45337.91666666666</v>
      </c>
      <c r="B1104" t="n">
        <v>2</v>
      </c>
      <c r="C1104" t="n">
        <v>15</v>
      </c>
      <c r="D1104" t="n">
        <v>22</v>
      </c>
      <c r="E1104" s="10" t="n">
        <v>0</v>
      </c>
      <c r="F1104" s="10" t="n">
        <v>0.4417650340236081</v>
      </c>
      <c r="G1104" s="11">
        <f>E1104*Summary!$B$6</f>
        <v/>
      </c>
      <c r="H1104" s="11">
        <f>F1104*Summary!$B$7</f>
        <v/>
      </c>
      <c r="I1104" s="11">
        <f>MAX(0,N1104-M1104)</f>
        <v/>
      </c>
      <c r="J1104" s="11">
        <f>MAX(0,M1104-N1104)</f>
        <v/>
      </c>
      <c r="K1104" s="11">
        <f>O1104</f>
        <v/>
      </c>
      <c r="L1104" s="11">
        <f>L1103+IF(K1104&gt;0,K1104*Summary!$B$9,K1104/Summary!$B$9)</f>
        <v/>
      </c>
      <c r="M1104" s="11">
        <f>G1104+H1104</f>
        <v/>
      </c>
      <c r="N1104" s="11">
        <f>Summary!$C$16*Summary!$B$8</f>
        <v/>
      </c>
      <c r="O1104" s="11">
        <f>M1104-N1104</f>
        <v/>
      </c>
    </row>
    <row r="1105">
      <c r="A1105" s="9" t="n">
        <v>45337.95833333334</v>
      </c>
      <c r="B1105" t="n">
        <v>2</v>
      </c>
      <c r="C1105" t="n">
        <v>15</v>
      </c>
      <c r="D1105" t="n">
        <v>23</v>
      </c>
      <c r="E1105" s="10" t="n">
        <v>0</v>
      </c>
      <c r="F1105" s="10" t="n">
        <v>0.4365736887776853</v>
      </c>
      <c r="G1105" s="11">
        <f>E1105*Summary!$B$6</f>
        <v/>
      </c>
      <c r="H1105" s="11">
        <f>F1105*Summary!$B$7</f>
        <v/>
      </c>
      <c r="I1105" s="11">
        <f>MAX(0,N1105-M1105)</f>
        <v/>
      </c>
      <c r="J1105" s="11">
        <f>MAX(0,M1105-N1105)</f>
        <v/>
      </c>
      <c r="K1105" s="11">
        <f>O1105</f>
        <v/>
      </c>
      <c r="L1105" s="11">
        <f>L1104+IF(K1105&gt;0,K1105*Summary!$B$9,K1105/Summary!$B$9)</f>
        <v/>
      </c>
      <c r="M1105" s="11">
        <f>G1105+H1105</f>
        <v/>
      </c>
      <c r="N1105" s="11">
        <f>Summary!$C$16*Summary!$B$8</f>
        <v/>
      </c>
      <c r="O1105" s="11">
        <f>M1105-N1105</f>
        <v/>
      </c>
    </row>
    <row r="1106">
      <c r="A1106" s="9" t="n">
        <v>45338</v>
      </c>
      <c r="B1106" t="n">
        <v>2</v>
      </c>
      <c r="C1106" t="n">
        <v>16</v>
      </c>
      <c r="D1106" t="n">
        <v>0</v>
      </c>
      <c r="E1106" s="10" t="n">
        <v>0</v>
      </c>
      <c r="F1106" s="10" t="n">
        <v>0.4027904166697</v>
      </c>
      <c r="G1106" s="11">
        <f>E1106*Summary!$B$6</f>
        <v/>
      </c>
      <c r="H1106" s="11">
        <f>F1106*Summary!$B$7</f>
        <v/>
      </c>
      <c r="I1106" s="11">
        <f>MAX(0,N1106-M1106)</f>
        <v/>
      </c>
      <c r="J1106" s="11">
        <f>MAX(0,M1106-N1106)</f>
        <v/>
      </c>
      <c r="K1106" s="11">
        <f>O1106</f>
        <v/>
      </c>
      <c r="L1106" s="11">
        <f>L1105+IF(K1106&gt;0,K1106*Summary!$B$9,K1106/Summary!$B$9)</f>
        <v/>
      </c>
      <c r="M1106" s="11">
        <f>G1106+H1106</f>
        <v/>
      </c>
      <c r="N1106" s="11">
        <f>Summary!$C$16*Summary!$B$8</f>
        <v/>
      </c>
      <c r="O1106" s="11">
        <f>M1106-N1106</f>
        <v/>
      </c>
    </row>
    <row r="1107">
      <c r="A1107" s="9" t="n">
        <v>45338.04166666666</v>
      </c>
      <c r="B1107" t="n">
        <v>2</v>
      </c>
      <c r="C1107" t="n">
        <v>16</v>
      </c>
      <c r="D1107" t="n">
        <v>1</v>
      </c>
      <c r="E1107" s="10" t="n">
        <v>0</v>
      </c>
      <c r="F1107" s="10" t="n">
        <v>0.4366263927903343</v>
      </c>
      <c r="G1107" s="11">
        <f>E1107*Summary!$B$6</f>
        <v/>
      </c>
      <c r="H1107" s="11">
        <f>F1107*Summary!$B$7</f>
        <v/>
      </c>
      <c r="I1107" s="11">
        <f>MAX(0,N1107-M1107)</f>
        <v/>
      </c>
      <c r="J1107" s="11">
        <f>MAX(0,M1107-N1107)</f>
        <v/>
      </c>
      <c r="K1107" s="11">
        <f>O1107</f>
        <v/>
      </c>
      <c r="L1107" s="11">
        <f>L1106+IF(K1107&gt;0,K1107*Summary!$B$9,K1107/Summary!$B$9)</f>
        <v/>
      </c>
      <c r="M1107" s="11">
        <f>G1107+H1107</f>
        <v/>
      </c>
      <c r="N1107" s="11">
        <f>Summary!$C$16*Summary!$B$8</f>
        <v/>
      </c>
      <c r="O1107" s="11">
        <f>M1107-N1107</f>
        <v/>
      </c>
    </row>
    <row r="1108">
      <c r="A1108" s="9" t="n">
        <v>45338.08333333334</v>
      </c>
      <c r="B1108" t="n">
        <v>2</v>
      </c>
      <c r="C1108" t="n">
        <v>16</v>
      </c>
      <c r="D1108" t="n">
        <v>2</v>
      </c>
      <c r="E1108" s="10" t="n">
        <v>0</v>
      </c>
      <c r="F1108" s="10" t="n">
        <v>0.4341229521895085</v>
      </c>
      <c r="G1108" s="11">
        <f>E1108*Summary!$B$6</f>
        <v/>
      </c>
      <c r="H1108" s="11">
        <f>F1108*Summary!$B$7</f>
        <v/>
      </c>
      <c r="I1108" s="11">
        <f>MAX(0,N1108-M1108)</f>
        <v/>
      </c>
      <c r="J1108" s="11">
        <f>MAX(0,M1108-N1108)</f>
        <v/>
      </c>
      <c r="K1108" s="11">
        <f>O1108</f>
        <v/>
      </c>
      <c r="L1108" s="11">
        <f>L1107+IF(K1108&gt;0,K1108*Summary!$B$9,K1108/Summary!$B$9)</f>
        <v/>
      </c>
      <c r="M1108" s="11">
        <f>G1108+H1108</f>
        <v/>
      </c>
      <c r="N1108" s="11">
        <f>Summary!$C$16*Summary!$B$8</f>
        <v/>
      </c>
      <c r="O1108" s="11">
        <f>M1108-N1108</f>
        <v/>
      </c>
    </row>
    <row r="1109">
      <c r="A1109" s="9" t="n">
        <v>45338.125</v>
      </c>
      <c r="B1109" t="n">
        <v>2</v>
      </c>
      <c r="C1109" t="n">
        <v>16</v>
      </c>
      <c r="D1109" t="n">
        <v>3</v>
      </c>
      <c r="E1109" s="10" t="n">
        <v>0</v>
      </c>
      <c r="F1109" s="10" t="n">
        <v>0.42566395815935</v>
      </c>
      <c r="G1109" s="11">
        <f>E1109*Summary!$B$6</f>
        <v/>
      </c>
      <c r="H1109" s="11">
        <f>F1109*Summary!$B$7</f>
        <v/>
      </c>
      <c r="I1109" s="11">
        <f>MAX(0,N1109-M1109)</f>
        <v/>
      </c>
      <c r="J1109" s="11">
        <f>MAX(0,M1109-N1109)</f>
        <v/>
      </c>
      <c r="K1109" s="11">
        <f>O1109</f>
        <v/>
      </c>
      <c r="L1109" s="11">
        <f>L1108+IF(K1109&gt;0,K1109*Summary!$B$9,K1109/Summary!$B$9)</f>
        <v/>
      </c>
      <c r="M1109" s="11">
        <f>G1109+H1109</f>
        <v/>
      </c>
      <c r="N1109" s="11">
        <f>Summary!$C$16*Summary!$B$8</f>
        <v/>
      </c>
      <c r="O1109" s="11">
        <f>M1109-N1109</f>
        <v/>
      </c>
    </row>
    <row r="1110">
      <c r="A1110" s="9" t="n">
        <v>45338.16666666666</v>
      </c>
      <c r="B1110" t="n">
        <v>2</v>
      </c>
      <c r="C1110" t="n">
        <v>16</v>
      </c>
      <c r="D1110" t="n">
        <v>4</v>
      </c>
      <c r="E1110" s="10" t="n">
        <v>0</v>
      </c>
      <c r="F1110" s="10" t="n">
        <v>0.4188651405276337</v>
      </c>
      <c r="G1110" s="11">
        <f>E1110*Summary!$B$6</f>
        <v/>
      </c>
      <c r="H1110" s="11">
        <f>F1110*Summary!$B$7</f>
        <v/>
      </c>
      <c r="I1110" s="11">
        <f>MAX(0,N1110-M1110)</f>
        <v/>
      </c>
      <c r="J1110" s="11">
        <f>MAX(0,M1110-N1110)</f>
        <v/>
      </c>
      <c r="K1110" s="11">
        <f>O1110</f>
        <v/>
      </c>
      <c r="L1110" s="11">
        <f>L1109+IF(K1110&gt;0,K1110*Summary!$B$9,K1110/Summary!$B$9)</f>
        <v/>
      </c>
      <c r="M1110" s="11">
        <f>G1110+H1110</f>
        <v/>
      </c>
      <c r="N1110" s="11">
        <f>Summary!$C$16*Summary!$B$8</f>
        <v/>
      </c>
      <c r="O1110" s="11">
        <f>M1110-N1110</f>
        <v/>
      </c>
    </row>
    <row r="1111">
      <c r="A1111" s="9" t="n">
        <v>45338.20833333334</v>
      </c>
      <c r="B1111" t="n">
        <v>2</v>
      </c>
      <c r="C1111" t="n">
        <v>16</v>
      </c>
      <c r="D1111" t="n">
        <v>5</v>
      </c>
      <c r="E1111" s="10" t="n">
        <v>0</v>
      </c>
      <c r="F1111" s="10" t="n">
        <v>0.4181536363568727</v>
      </c>
      <c r="G1111" s="11">
        <f>E1111*Summary!$B$6</f>
        <v/>
      </c>
      <c r="H1111" s="11">
        <f>F1111*Summary!$B$7</f>
        <v/>
      </c>
      <c r="I1111" s="11">
        <f>MAX(0,N1111-M1111)</f>
        <v/>
      </c>
      <c r="J1111" s="11">
        <f>MAX(0,M1111-N1111)</f>
        <v/>
      </c>
      <c r="K1111" s="11">
        <f>O1111</f>
        <v/>
      </c>
      <c r="L1111" s="11">
        <f>L1110+IF(K1111&gt;0,K1111*Summary!$B$9,K1111/Summary!$B$9)</f>
        <v/>
      </c>
      <c r="M1111" s="11">
        <f>G1111+H1111</f>
        <v/>
      </c>
      <c r="N1111" s="11">
        <f>Summary!$C$16*Summary!$B$8</f>
        <v/>
      </c>
      <c r="O1111" s="11">
        <f>M1111-N1111</f>
        <v/>
      </c>
    </row>
    <row r="1112">
      <c r="A1112" s="9" t="n">
        <v>45338.25</v>
      </c>
      <c r="B1112" t="n">
        <v>2</v>
      </c>
      <c r="C1112" t="n">
        <v>16</v>
      </c>
      <c r="D1112" t="n">
        <v>6</v>
      </c>
      <c r="E1112" s="10" t="n">
        <v>0</v>
      </c>
      <c r="F1112" s="10" t="n">
        <v>0.4177056522493565</v>
      </c>
      <c r="G1112" s="11">
        <f>E1112*Summary!$B$6</f>
        <v/>
      </c>
      <c r="H1112" s="11">
        <f>F1112*Summary!$B$7</f>
        <v/>
      </c>
      <c r="I1112" s="11">
        <f>MAX(0,N1112-M1112)</f>
        <v/>
      </c>
      <c r="J1112" s="11">
        <f>MAX(0,M1112-N1112)</f>
        <v/>
      </c>
      <c r="K1112" s="11">
        <f>O1112</f>
        <v/>
      </c>
      <c r="L1112" s="11">
        <f>L1111+IF(K1112&gt;0,K1112*Summary!$B$9,K1112/Summary!$B$9)</f>
        <v/>
      </c>
      <c r="M1112" s="11">
        <f>G1112+H1112</f>
        <v/>
      </c>
      <c r="N1112" s="11">
        <f>Summary!$C$16*Summary!$B$8</f>
        <v/>
      </c>
      <c r="O1112" s="11">
        <f>M1112-N1112</f>
        <v/>
      </c>
    </row>
    <row r="1113">
      <c r="A1113" s="9" t="n">
        <v>45338.29166666666</v>
      </c>
      <c r="B1113" t="n">
        <v>2</v>
      </c>
      <c r="C1113" t="n">
        <v>16</v>
      </c>
      <c r="D1113" t="n">
        <v>7</v>
      </c>
      <c r="E1113" s="10" t="n">
        <v>0</v>
      </c>
      <c r="F1113" s="10" t="n">
        <v>0.4181272843505482</v>
      </c>
      <c r="G1113" s="11">
        <f>E1113*Summary!$B$6</f>
        <v/>
      </c>
      <c r="H1113" s="11">
        <f>F1113*Summary!$B$7</f>
        <v/>
      </c>
      <c r="I1113" s="11">
        <f>MAX(0,N1113-M1113)</f>
        <v/>
      </c>
      <c r="J1113" s="11">
        <f>MAX(0,M1113-N1113)</f>
        <v/>
      </c>
      <c r="K1113" s="11">
        <f>O1113</f>
        <v/>
      </c>
      <c r="L1113" s="11">
        <f>L1112+IF(K1113&gt;0,K1113*Summary!$B$9,K1113/Summary!$B$9)</f>
        <v/>
      </c>
      <c r="M1113" s="11">
        <f>G1113+H1113</f>
        <v/>
      </c>
      <c r="N1113" s="11">
        <f>Summary!$C$16*Summary!$B$8</f>
        <v/>
      </c>
      <c r="O1113" s="11">
        <f>M1113-N1113</f>
        <v/>
      </c>
    </row>
    <row r="1114">
      <c r="A1114" s="9" t="n">
        <v>45338.33333333334</v>
      </c>
      <c r="B1114" t="n">
        <v>2</v>
      </c>
      <c r="C1114" t="n">
        <v>16</v>
      </c>
      <c r="D1114" t="n">
        <v>8</v>
      </c>
      <c r="E1114" s="10" t="n">
        <v>0</v>
      </c>
      <c r="F1114" s="10" t="n">
        <v>0.40837704201049</v>
      </c>
      <c r="G1114" s="11">
        <f>E1114*Summary!$B$6</f>
        <v/>
      </c>
      <c r="H1114" s="11">
        <f>F1114*Summary!$B$7</f>
        <v/>
      </c>
      <c r="I1114" s="11">
        <f>MAX(0,N1114-M1114)</f>
        <v/>
      </c>
      <c r="J1114" s="11">
        <f>MAX(0,M1114-N1114)</f>
        <v/>
      </c>
      <c r="K1114" s="11">
        <f>O1114</f>
        <v/>
      </c>
      <c r="L1114" s="11">
        <f>L1113+IF(K1114&gt;0,K1114*Summary!$B$9,K1114/Summary!$B$9)</f>
        <v/>
      </c>
      <c r="M1114" s="11">
        <f>G1114+H1114</f>
        <v/>
      </c>
      <c r="N1114" s="11">
        <f>Summary!$C$16*Summary!$B$8</f>
        <v/>
      </c>
      <c r="O1114" s="11">
        <f>M1114-N1114</f>
        <v/>
      </c>
    </row>
    <row r="1115">
      <c r="A1115" s="9" t="n">
        <v>45338.375</v>
      </c>
      <c r="B1115" t="n">
        <v>2</v>
      </c>
      <c r="C1115" t="n">
        <v>16</v>
      </c>
      <c r="D1115" t="n">
        <v>9</v>
      </c>
      <c r="E1115" s="10" t="n">
        <v>0.008357</v>
      </c>
      <c r="F1115" s="10" t="n">
        <v>0.4010511842522842</v>
      </c>
      <c r="G1115" s="11">
        <f>E1115*Summary!$B$6</f>
        <v/>
      </c>
      <c r="H1115" s="11">
        <f>F1115*Summary!$B$7</f>
        <v/>
      </c>
      <c r="I1115" s="11">
        <f>MAX(0,N1115-M1115)</f>
        <v/>
      </c>
      <c r="J1115" s="11">
        <f>MAX(0,M1115-N1115)</f>
        <v/>
      </c>
      <c r="K1115" s="11">
        <f>O1115</f>
        <v/>
      </c>
      <c r="L1115" s="11">
        <f>L1114+IF(K1115&gt;0,K1115*Summary!$B$9,K1115/Summary!$B$9)</f>
        <v/>
      </c>
      <c r="M1115" s="11">
        <f>G1115+H1115</f>
        <v/>
      </c>
      <c r="N1115" s="11">
        <f>Summary!$C$16*Summary!$B$8</f>
        <v/>
      </c>
      <c r="O1115" s="11">
        <f>M1115-N1115</f>
        <v/>
      </c>
    </row>
    <row r="1116">
      <c r="A1116" s="9" t="n">
        <v>45338.41666666666</v>
      </c>
      <c r="B1116" t="n">
        <v>2</v>
      </c>
      <c r="C1116" t="n">
        <v>16</v>
      </c>
      <c r="D1116" t="n">
        <v>10</v>
      </c>
      <c r="E1116" s="10" t="n">
        <v>0.026166</v>
      </c>
      <c r="F1116" s="10" t="n">
        <v>0.3907211977730874</v>
      </c>
      <c r="G1116" s="11">
        <f>E1116*Summary!$B$6</f>
        <v/>
      </c>
      <c r="H1116" s="11">
        <f>F1116*Summary!$B$7</f>
        <v/>
      </c>
      <c r="I1116" s="11">
        <f>MAX(0,N1116-M1116)</f>
        <v/>
      </c>
      <c r="J1116" s="11">
        <f>MAX(0,M1116-N1116)</f>
        <v/>
      </c>
      <c r="K1116" s="11">
        <f>O1116</f>
        <v/>
      </c>
      <c r="L1116" s="11">
        <f>L1115+IF(K1116&gt;0,K1116*Summary!$B$9,K1116/Summary!$B$9)</f>
        <v/>
      </c>
      <c r="M1116" s="11">
        <f>G1116+H1116</f>
        <v/>
      </c>
      <c r="N1116" s="11">
        <f>Summary!$C$16*Summary!$B$8</f>
        <v/>
      </c>
      <c r="O1116" s="11">
        <f>M1116-N1116</f>
        <v/>
      </c>
    </row>
    <row r="1117">
      <c r="A1117" s="9" t="n">
        <v>45338.45833333334</v>
      </c>
      <c r="B1117" t="n">
        <v>2</v>
      </c>
      <c r="C1117" t="n">
        <v>16</v>
      </c>
      <c r="D1117" t="n">
        <v>11</v>
      </c>
      <c r="E1117" s="10" t="n">
        <v>0.033139</v>
      </c>
      <c r="F1117" s="10" t="n">
        <v>0.3772553225412774</v>
      </c>
      <c r="G1117" s="11">
        <f>E1117*Summary!$B$6</f>
        <v/>
      </c>
      <c r="H1117" s="11">
        <f>F1117*Summary!$B$7</f>
        <v/>
      </c>
      <c r="I1117" s="11">
        <f>MAX(0,N1117-M1117)</f>
        <v/>
      </c>
      <c r="J1117" s="11">
        <f>MAX(0,M1117-N1117)</f>
        <v/>
      </c>
      <c r="K1117" s="11">
        <f>O1117</f>
        <v/>
      </c>
      <c r="L1117" s="11">
        <f>L1116+IF(K1117&gt;0,K1117*Summary!$B$9,K1117/Summary!$B$9)</f>
        <v/>
      </c>
      <c r="M1117" s="11">
        <f>G1117+H1117</f>
        <v/>
      </c>
      <c r="N1117" s="11">
        <f>Summary!$C$16*Summary!$B$8</f>
        <v/>
      </c>
      <c r="O1117" s="11">
        <f>M1117-N1117</f>
        <v/>
      </c>
    </row>
    <row r="1118">
      <c r="A1118" s="9" t="n">
        <v>45338.5</v>
      </c>
      <c r="B1118" t="n">
        <v>2</v>
      </c>
      <c r="C1118" t="n">
        <v>16</v>
      </c>
      <c r="D1118" t="n">
        <v>12</v>
      </c>
      <c r="E1118" s="10" t="n">
        <v>0.02689</v>
      </c>
      <c r="F1118" s="10" t="n">
        <v>0.362181974923674</v>
      </c>
      <c r="G1118" s="11">
        <f>E1118*Summary!$B$6</f>
        <v/>
      </c>
      <c r="H1118" s="11">
        <f>F1118*Summary!$B$7</f>
        <v/>
      </c>
      <c r="I1118" s="11">
        <f>MAX(0,N1118-M1118)</f>
        <v/>
      </c>
      <c r="J1118" s="11">
        <f>MAX(0,M1118-N1118)</f>
        <v/>
      </c>
      <c r="K1118" s="11">
        <f>O1118</f>
        <v/>
      </c>
      <c r="L1118" s="11">
        <f>L1117+IF(K1118&gt;0,K1118*Summary!$B$9,K1118/Summary!$B$9)</f>
        <v/>
      </c>
      <c r="M1118" s="11">
        <f>G1118+H1118</f>
        <v/>
      </c>
      <c r="N1118" s="11">
        <f>Summary!$C$16*Summary!$B$8</f>
        <v/>
      </c>
      <c r="O1118" s="11">
        <f>M1118-N1118</f>
        <v/>
      </c>
    </row>
    <row r="1119">
      <c r="A1119" s="9" t="n">
        <v>45338.54166666666</v>
      </c>
      <c r="B1119" t="n">
        <v>2</v>
      </c>
      <c r="C1119" t="n">
        <v>16</v>
      </c>
      <c r="D1119" t="n">
        <v>13</v>
      </c>
      <c r="E1119" s="10" t="n">
        <v>0.028646</v>
      </c>
      <c r="F1119" s="10" t="n">
        <v>0.3526689006405362</v>
      </c>
      <c r="G1119" s="11">
        <f>E1119*Summary!$B$6</f>
        <v/>
      </c>
      <c r="H1119" s="11">
        <f>F1119*Summary!$B$7</f>
        <v/>
      </c>
      <c r="I1119" s="11">
        <f>MAX(0,N1119-M1119)</f>
        <v/>
      </c>
      <c r="J1119" s="11">
        <f>MAX(0,M1119-N1119)</f>
        <v/>
      </c>
      <c r="K1119" s="11">
        <f>O1119</f>
        <v/>
      </c>
      <c r="L1119" s="11">
        <f>L1118+IF(K1119&gt;0,K1119*Summary!$B$9,K1119/Summary!$B$9)</f>
        <v/>
      </c>
      <c r="M1119" s="11">
        <f>G1119+H1119</f>
        <v/>
      </c>
      <c r="N1119" s="11">
        <f>Summary!$C$16*Summary!$B$8</f>
        <v/>
      </c>
      <c r="O1119" s="11">
        <f>M1119-N1119</f>
        <v/>
      </c>
    </row>
    <row r="1120">
      <c r="A1120" s="9" t="n">
        <v>45338.58333333334</v>
      </c>
      <c r="B1120" t="n">
        <v>2</v>
      </c>
      <c r="C1120" t="n">
        <v>16</v>
      </c>
      <c r="D1120" t="n">
        <v>14</v>
      </c>
      <c r="E1120" s="10" t="n">
        <v>0.042617</v>
      </c>
      <c r="F1120" s="10" t="n">
        <v>0.3474775553946133</v>
      </c>
      <c r="G1120" s="11">
        <f>E1120*Summary!$B$6</f>
        <v/>
      </c>
      <c r="H1120" s="11">
        <f>F1120*Summary!$B$7</f>
        <v/>
      </c>
      <c r="I1120" s="11">
        <f>MAX(0,N1120-M1120)</f>
        <v/>
      </c>
      <c r="J1120" s="11">
        <f>MAX(0,M1120-N1120)</f>
        <v/>
      </c>
      <c r="K1120" s="11">
        <f>O1120</f>
        <v/>
      </c>
      <c r="L1120" s="11">
        <f>L1119+IF(K1120&gt;0,K1120*Summary!$B$9,K1120/Summary!$B$9)</f>
        <v/>
      </c>
      <c r="M1120" s="11">
        <f>G1120+H1120</f>
        <v/>
      </c>
      <c r="N1120" s="11">
        <f>Summary!$C$16*Summary!$B$8</f>
        <v/>
      </c>
      <c r="O1120" s="11">
        <f>M1120-N1120</f>
        <v/>
      </c>
    </row>
    <row r="1121">
      <c r="A1121" s="9" t="n">
        <v>45338.625</v>
      </c>
      <c r="B1121" t="n">
        <v>2</v>
      </c>
      <c r="C1121" t="n">
        <v>16</v>
      </c>
      <c r="D1121" t="n">
        <v>15</v>
      </c>
      <c r="E1121" s="10" t="n">
        <v>0.029949</v>
      </c>
      <c r="F1121" s="10" t="n">
        <v>0.3511141322673917</v>
      </c>
      <c r="G1121" s="11">
        <f>E1121*Summary!$B$6</f>
        <v/>
      </c>
      <c r="H1121" s="11">
        <f>F1121*Summary!$B$7</f>
        <v/>
      </c>
      <c r="I1121" s="11">
        <f>MAX(0,N1121-M1121)</f>
        <v/>
      </c>
      <c r="J1121" s="11">
        <f>MAX(0,M1121-N1121)</f>
        <v/>
      </c>
      <c r="K1121" s="11">
        <f>O1121</f>
        <v/>
      </c>
      <c r="L1121" s="11">
        <f>L1120+IF(K1121&gt;0,K1121*Summary!$B$9,K1121/Summary!$B$9)</f>
        <v/>
      </c>
      <c r="M1121" s="11">
        <f>G1121+H1121</f>
        <v/>
      </c>
      <c r="N1121" s="11">
        <f>Summary!$C$16*Summary!$B$8</f>
        <v/>
      </c>
      <c r="O1121" s="11">
        <f>M1121-N1121</f>
        <v/>
      </c>
    </row>
    <row r="1122">
      <c r="A1122" s="9" t="n">
        <v>45338.66666666666</v>
      </c>
      <c r="B1122" t="n">
        <v>2</v>
      </c>
      <c r="C1122" t="n">
        <v>16</v>
      </c>
      <c r="D1122" t="n">
        <v>16</v>
      </c>
      <c r="E1122" s="10" t="n">
        <v>0.00229</v>
      </c>
      <c r="F1122" s="10" t="n">
        <v>0.3609697826327478</v>
      </c>
      <c r="G1122" s="11">
        <f>E1122*Summary!$B$6</f>
        <v/>
      </c>
      <c r="H1122" s="11">
        <f>F1122*Summary!$B$7</f>
        <v/>
      </c>
      <c r="I1122" s="11">
        <f>MAX(0,N1122-M1122)</f>
        <v/>
      </c>
      <c r="J1122" s="11">
        <f>MAX(0,M1122-N1122)</f>
        <v/>
      </c>
      <c r="K1122" s="11">
        <f>O1122</f>
        <v/>
      </c>
      <c r="L1122" s="11">
        <f>L1121+IF(K1122&gt;0,K1122*Summary!$B$9,K1122/Summary!$B$9)</f>
        <v/>
      </c>
      <c r="M1122" s="11">
        <f>G1122+H1122</f>
        <v/>
      </c>
      <c r="N1122" s="11">
        <f>Summary!$C$16*Summary!$B$8</f>
        <v/>
      </c>
      <c r="O1122" s="11">
        <f>M1122-N1122</f>
        <v/>
      </c>
    </row>
    <row r="1123">
      <c r="A1123" s="9" t="n">
        <v>45338.70833333334</v>
      </c>
      <c r="B1123" t="n">
        <v>2</v>
      </c>
      <c r="C1123" t="n">
        <v>16</v>
      </c>
      <c r="D1123" t="n">
        <v>17</v>
      </c>
      <c r="E1123" s="10" t="n">
        <v>0</v>
      </c>
      <c r="F1123" s="10" t="n">
        <v>0.3778614186867404</v>
      </c>
      <c r="G1123" s="11">
        <f>E1123*Summary!$B$6</f>
        <v/>
      </c>
      <c r="H1123" s="11">
        <f>F1123*Summary!$B$7</f>
        <v/>
      </c>
      <c r="I1123" s="11">
        <f>MAX(0,N1123-M1123)</f>
        <v/>
      </c>
      <c r="J1123" s="11">
        <f>MAX(0,M1123-N1123)</f>
        <v/>
      </c>
      <c r="K1123" s="11">
        <f>O1123</f>
        <v/>
      </c>
      <c r="L1123" s="11">
        <f>L1122+IF(K1123&gt;0,K1123*Summary!$B$9,K1123/Summary!$B$9)</f>
        <v/>
      </c>
      <c r="M1123" s="11">
        <f>G1123+H1123</f>
        <v/>
      </c>
      <c r="N1123" s="11">
        <f>Summary!$C$16*Summary!$B$8</f>
        <v/>
      </c>
      <c r="O1123" s="11">
        <f>M1123-N1123</f>
        <v/>
      </c>
    </row>
    <row r="1124">
      <c r="A1124" s="9" t="n">
        <v>45338.75</v>
      </c>
      <c r="B1124" t="n">
        <v>2</v>
      </c>
      <c r="C1124" t="n">
        <v>16</v>
      </c>
      <c r="D1124" t="n">
        <v>18</v>
      </c>
      <c r="E1124" s="10" t="n">
        <v>0</v>
      </c>
      <c r="F1124" s="10" t="n">
        <v>0.3895353574884858</v>
      </c>
      <c r="G1124" s="11">
        <f>E1124*Summary!$B$6</f>
        <v/>
      </c>
      <c r="H1124" s="11">
        <f>F1124*Summary!$B$7</f>
        <v/>
      </c>
      <c r="I1124" s="11">
        <f>MAX(0,N1124-M1124)</f>
        <v/>
      </c>
      <c r="J1124" s="11">
        <f>MAX(0,M1124-N1124)</f>
        <v/>
      </c>
      <c r="K1124" s="11">
        <f>O1124</f>
        <v/>
      </c>
      <c r="L1124" s="11">
        <f>L1123+IF(K1124&gt;0,K1124*Summary!$B$9,K1124/Summary!$B$9)</f>
        <v/>
      </c>
      <c r="M1124" s="11">
        <f>G1124+H1124</f>
        <v/>
      </c>
      <c r="N1124" s="11">
        <f>Summary!$C$16*Summary!$B$8</f>
        <v/>
      </c>
      <c r="O1124" s="11">
        <f>M1124-N1124</f>
        <v/>
      </c>
    </row>
    <row r="1125">
      <c r="A1125" s="9" t="n">
        <v>45338.79166666666</v>
      </c>
      <c r="B1125" t="n">
        <v>2</v>
      </c>
      <c r="C1125" t="n">
        <v>16</v>
      </c>
      <c r="D1125" t="n">
        <v>19</v>
      </c>
      <c r="E1125" s="10" t="n">
        <v>0</v>
      </c>
      <c r="F1125" s="10" t="n">
        <v>0.3986004476641075</v>
      </c>
      <c r="G1125" s="11">
        <f>E1125*Summary!$B$6</f>
        <v/>
      </c>
      <c r="H1125" s="11">
        <f>F1125*Summary!$B$7</f>
        <v/>
      </c>
      <c r="I1125" s="11">
        <f>MAX(0,N1125-M1125)</f>
        <v/>
      </c>
      <c r="J1125" s="11">
        <f>MAX(0,M1125-N1125)</f>
        <v/>
      </c>
      <c r="K1125" s="11">
        <f>O1125</f>
        <v/>
      </c>
      <c r="L1125" s="11">
        <f>L1124+IF(K1125&gt;0,K1125*Summary!$B$9,K1125/Summary!$B$9)</f>
        <v/>
      </c>
      <c r="M1125" s="11">
        <f>G1125+H1125</f>
        <v/>
      </c>
      <c r="N1125" s="11">
        <f>Summary!$C$16*Summary!$B$8</f>
        <v/>
      </c>
      <c r="O1125" s="11">
        <f>M1125-N1125</f>
        <v/>
      </c>
    </row>
    <row r="1126">
      <c r="A1126" s="9" t="n">
        <v>45338.83333333334</v>
      </c>
      <c r="B1126" t="n">
        <v>2</v>
      </c>
      <c r="C1126" t="n">
        <v>16</v>
      </c>
      <c r="D1126" t="n">
        <v>20</v>
      </c>
      <c r="E1126" s="10" t="n">
        <v>0</v>
      </c>
      <c r="F1126" s="10" t="n">
        <v>0.4019471524673166</v>
      </c>
      <c r="G1126" s="11">
        <f>E1126*Summary!$B$6</f>
        <v/>
      </c>
      <c r="H1126" s="11">
        <f>F1126*Summary!$B$7</f>
        <v/>
      </c>
      <c r="I1126" s="11">
        <f>MAX(0,N1126-M1126)</f>
        <v/>
      </c>
      <c r="J1126" s="11">
        <f>MAX(0,M1126-N1126)</f>
        <v/>
      </c>
      <c r="K1126" s="11">
        <f>O1126</f>
        <v/>
      </c>
      <c r="L1126" s="11">
        <f>L1125+IF(K1126&gt;0,K1126*Summary!$B$9,K1126/Summary!$B$9)</f>
        <v/>
      </c>
      <c r="M1126" s="11">
        <f>G1126+H1126</f>
        <v/>
      </c>
      <c r="N1126" s="11">
        <f>Summary!$C$16*Summary!$B$8</f>
        <v/>
      </c>
      <c r="O1126" s="11">
        <f>M1126-N1126</f>
        <v/>
      </c>
    </row>
    <row r="1127">
      <c r="A1127" s="9" t="n">
        <v>45338.875</v>
      </c>
      <c r="B1127" t="n">
        <v>2</v>
      </c>
      <c r="C1127" t="n">
        <v>16</v>
      </c>
      <c r="D1127" t="n">
        <v>21</v>
      </c>
      <c r="E1127" s="10" t="n">
        <v>0</v>
      </c>
      <c r="F1127" s="10" t="n">
        <v>0.4010511842522842</v>
      </c>
      <c r="G1127" s="11">
        <f>E1127*Summary!$B$6</f>
        <v/>
      </c>
      <c r="H1127" s="11">
        <f>F1127*Summary!$B$7</f>
        <v/>
      </c>
      <c r="I1127" s="11">
        <f>MAX(0,N1127-M1127)</f>
        <v/>
      </c>
      <c r="J1127" s="11">
        <f>MAX(0,M1127-N1127)</f>
        <v/>
      </c>
      <c r="K1127" s="11">
        <f>O1127</f>
        <v/>
      </c>
      <c r="L1127" s="11">
        <f>L1126+IF(K1127&gt;0,K1127*Summary!$B$9,K1127/Summary!$B$9)</f>
        <v/>
      </c>
      <c r="M1127" s="11">
        <f>G1127+H1127</f>
        <v/>
      </c>
      <c r="N1127" s="11">
        <f>Summary!$C$16*Summary!$B$8</f>
        <v/>
      </c>
      <c r="O1127" s="11">
        <f>M1127-N1127</f>
        <v/>
      </c>
    </row>
    <row r="1128">
      <c r="A1128" s="9" t="n">
        <v>45338.91666666666</v>
      </c>
      <c r="B1128" t="n">
        <v>2</v>
      </c>
      <c r="C1128" t="n">
        <v>16</v>
      </c>
      <c r="D1128" t="n">
        <v>22</v>
      </c>
      <c r="E1128" s="10" t="n">
        <v>0</v>
      </c>
      <c r="F1128" s="10" t="n">
        <v>0.4025532486127796</v>
      </c>
      <c r="G1128" s="11">
        <f>E1128*Summary!$B$6</f>
        <v/>
      </c>
      <c r="H1128" s="11">
        <f>F1128*Summary!$B$7</f>
        <v/>
      </c>
      <c r="I1128" s="11">
        <f>MAX(0,N1128-M1128)</f>
        <v/>
      </c>
      <c r="J1128" s="11">
        <f>MAX(0,M1128-N1128)</f>
        <v/>
      </c>
      <c r="K1128" s="11">
        <f>O1128</f>
        <v/>
      </c>
      <c r="L1128" s="11">
        <f>L1127+IF(K1128&gt;0,K1128*Summary!$B$9,K1128/Summary!$B$9)</f>
        <v/>
      </c>
      <c r="M1128" s="11">
        <f>G1128+H1128</f>
        <v/>
      </c>
      <c r="N1128" s="11">
        <f>Summary!$C$16*Summary!$B$8</f>
        <v/>
      </c>
      <c r="O1128" s="11">
        <f>M1128-N1128</f>
        <v/>
      </c>
    </row>
    <row r="1129">
      <c r="A1129" s="9" t="n">
        <v>45338.95833333334</v>
      </c>
      <c r="B1129" t="n">
        <v>2</v>
      </c>
      <c r="C1129" t="n">
        <v>16</v>
      </c>
      <c r="D1129" t="n">
        <v>23</v>
      </c>
      <c r="E1129" s="10" t="n">
        <v>0</v>
      </c>
      <c r="F1129" s="10" t="n">
        <v>0.4029485287076469</v>
      </c>
      <c r="G1129" s="11">
        <f>E1129*Summary!$B$6</f>
        <v/>
      </c>
      <c r="H1129" s="11">
        <f>F1129*Summary!$B$7</f>
        <v/>
      </c>
      <c r="I1129" s="11">
        <f>MAX(0,N1129-M1129)</f>
        <v/>
      </c>
      <c r="J1129" s="11">
        <f>MAX(0,M1129-N1129)</f>
        <v/>
      </c>
      <c r="K1129" s="11">
        <f>O1129</f>
        <v/>
      </c>
      <c r="L1129" s="11">
        <f>L1128+IF(K1129&gt;0,K1129*Summary!$B$9,K1129/Summary!$B$9)</f>
        <v/>
      </c>
      <c r="M1129" s="11">
        <f>G1129+H1129</f>
        <v/>
      </c>
      <c r="N1129" s="11">
        <f>Summary!$C$16*Summary!$B$8</f>
        <v/>
      </c>
      <c r="O1129" s="11">
        <f>M1129-N1129</f>
        <v/>
      </c>
    </row>
    <row r="1130">
      <c r="A1130" s="9" t="n">
        <v>45339</v>
      </c>
      <c r="B1130" t="n">
        <v>2</v>
      </c>
      <c r="C1130" t="n">
        <v>17</v>
      </c>
      <c r="D1130" t="n">
        <v>0</v>
      </c>
      <c r="E1130" s="10" t="n">
        <v>0</v>
      </c>
      <c r="F1130" s="10" t="n">
        <v>0.4211577650778636</v>
      </c>
      <c r="G1130" s="11">
        <f>E1130*Summary!$B$6</f>
        <v/>
      </c>
      <c r="H1130" s="11">
        <f>F1130*Summary!$B$7</f>
        <v/>
      </c>
      <c r="I1130" s="11">
        <f>MAX(0,N1130-M1130)</f>
        <v/>
      </c>
      <c r="J1130" s="11">
        <f>MAX(0,M1130-N1130)</f>
        <v/>
      </c>
      <c r="K1130" s="11">
        <f>O1130</f>
        <v/>
      </c>
      <c r="L1130" s="11">
        <f>L1129+IF(K1130&gt;0,K1130*Summary!$B$9,K1130/Summary!$B$9)</f>
        <v/>
      </c>
      <c r="M1130" s="11">
        <f>G1130+H1130</f>
        <v/>
      </c>
      <c r="N1130" s="11">
        <f>Summary!$C$16*Summary!$B$8</f>
        <v/>
      </c>
      <c r="O1130" s="11">
        <f>M1130-N1130</f>
        <v/>
      </c>
    </row>
    <row r="1131">
      <c r="A1131" s="9" t="n">
        <v>45339.04166666666</v>
      </c>
      <c r="B1131" t="n">
        <v>2</v>
      </c>
      <c r="C1131" t="n">
        <v>17</v>
      </c>
      <c r="D1131" t="n">
        <v>1</v>
      </c>
      <c r="E1131" s="10" t="n">
        <v>0</v>
      </c>
      <c r="F1131" s="10" t="n">
        <v>0.4031066407455938</v>
      </c>
      <c r="G1131" s="11">
        <f>E1131*Summary!$B$6</f>
        <v/>
      </c>
      <c r="H1131" s="11">
        <f>F1131*Summary!$B$7</f>
        <v/>
      </c>
      <c r="I1131" s="11">
        <f>MAX(0,N1131-M1131)</f>
        <v/>
      </c>
      <c r="J1131" s="11">
        <f>MAX(0,M1131-N1131)</f>
        <v/>
      </c>
      <c r="K1131" s="11">
        <f>O1131</f>
        <v/>
      </c>
      <c r="L1131" s="11">
        <f>L1130+IF(K1131&gt;0,K1131*Summary!$B$9,K1131/Summary!$B$9)</f>
        <v/>
      </c>
      <c r="M1131" s="11">
        <f>G1131+H1131</f>
        <v/>
      </c>
      <c r="N1131" s="11">
        <f>Summary!$C$16*Summary!$B$8</f>
        <v/>
      </c>
      <c r="O1131" s="11">
        <f>M1131-N1131</f>
        <v/>
      </c>
    </row>
    <row r="1132">
      <c r="A1132" s="9" t="n">
        <v>45339.08333333334</v>
      </c>
      <c r="B1132" t="n">
        <v>2</v>
      </c>
      <c r="C1132" t="n">
        <v>17</v>
      </c>
      <c r="D1132" t="n">
        <v>2</v>
      </c>
      <c r="E1132" s="10" t="n">
        <v>0</v>
      </c>
      <c r="F1132" s="10" t="n">
        <v>0.4029485287076469</v>
      </c>
      <c r="G1132" s="11">
        <f>E1132*Summary!$B$6</f>
        <v/>
      </c>
      <c r="H1132" s="11">
        <f>F1132*Summary!$B$7</f>
        <v/>
      </c>
      <c r="I1132" s="11">
        <f>MAX(0,N1132-M1132)</f>
        <v/>
      </c>
      <c r="J1132" s="11">
        <f>MAX(0,M1132-N1132)</f>
        <v/>
      </c>
      <c r="K1132" s="11">
        <f>O1132</f>
        <v/>
      </c>
      <c r="L1132" s="11">
        <f>L1131+IF(K1132&gt;0,K1132*Summary!$B$9,K1132/Summary!$B$9)</f>
        <v/>
      </c>
      <c r="M1132" s="11">
        <f>G1132+H1132</f>
        <v/>
      </c>
      <c r="N1132" s="11">
        <f>Summary!$C$16*Summary!$B$8</f>
        <v/>
      </c>
      <c r="O1132" s="11">
        <f>M1132-N1132</f>
        <v/>
      </c>
    </row>
    <row r="1133">
      <c r="A1133" s="9" t="n">
        <v>45339.125</v>
      </c>
      <c r="B1133" t="n">
        <v>2</v>
      </c>
      <c r="C1133" t="n">
        <v>17</v>
      </c>
      <c r="D1133" t="n">
        <v>3</v>
      </c>
      <c r="E1133" s="10" t="n">
        <v>0</v>
      </c>
      <c r="F1133" s="10" t="n">
        <v>0.4050303372072809</v>
      </c>
      <c r="G1133" s="11">
        <f>E1133*Summary!$B$6</f>
        <v/>
      </c>
      <c r="H1133" s="11">
        <f>F1133*Summary!$B$7</f>
        <v/>
      </c>
      <c r="I1133" s="11">
        <f>MAX(0,N1133-M1133)</f>
        <v/>
      </c>
      <c r="J1133" s="11">
        <f>MAX(0,M1133-N1133)</f>
        <v/>
      </c>
      <c r="K1133" s="11">
        <f>O1133</f>
        <v/>
      </c>
      <c r="L1133" s="11">
        <f>L1132+IF(K1133&gt;0,K1133*Summary!$B$9,K1133/Summary!$B$9)</f>
        <v/>
      </c>
      <c r="M1133" s="11">
        <f>G1133+H1133</f>
        <v/>
      </c>
      <c r="N1133" s="11">
        <f>Summary!$C$16*Summary!$B$8</f>
        <v/>
      </c>
      <c r="O1133" s="11">
        <f>M1133-N1133</f>
        <v/>
      </c>
    </row>
    <row r="1134">
      <c r="A1134" s="9" t="n">
        <v>45339.16666666666</v>
      </c>
      <c r="B1134" t="n">
        <v>2</v>
      </c>
      <c r="C1134" t="n">
        <v>17</v>
      </c>
      <c r="D1134" t="n">
        <v>4</v>
      </c>
      <c r="E1134" s="10" t="n">
        <v>0</v>
      </c>
      <c r="F1134" s="10" t="n">
        <v>0.4030275847266204</v>
      </c>
      <c r="G1134" s="11">
        <f>E1134*Summary!$B$6</f>
        <v/>
      </c>
      <c r="H1134" s="11">
        <f>F1134*Summary!$B$7</f>
        <v/>
      </c>
      <c r="I1134" s="11">
        <f>MAX(0,N1134-M1134)</f>
        <v/>
      </c>
      <c r="J1134" s="11">
        <f>MAX(0,M1134-N1134)</f>
        <v/>
      </c>
      <c r="K1134" s="11">
        <f>O1134</f>
        <v/>
      </c>
      <c r="L1134" s="11">
        <f>L1133+IF(K1134&gt;0,K1134*Summary!$B$9,K1134/Summary!$B$9)</f>
        <v/>
      </c>
      <c r="M1134" s="11">
        <f>G1134+H1134</f>
        <v/>
      </c>
      <c r="N1134" s="11">
        <f>Summary!$C$16*Summary!$B$8</f>
        <v/>
      </c>
      <c r="O1134" s="11">
        <f>M1134-N1134</f>
        <v/>
      </c>
    </row>
    <row r="1135">
      <c r="A1135" s="9" t="n">
        <v>45339.20833333334</v>
      </c>
      <c r="B1135" t="n">
        <v>2</v>
      </c>
      <c r="C1135" t="n">
        <v>17</v>
      </c>
      <c r="D1135" t="n">
        <v>5</v>
      </c>
      <c r="E1135" s="10" t="n">
        <v>0</v>
      </c>
      <c r="F1135" s="10" t="n">
        <v>0.4051357452325788</v>
      </c>
      <c r="G1135" s="11">
        <f>E1135*Summary!$B$6</f>
        <v/>
      </c>
      <c r="H1135" s="11">
        <f>F1135*Summary!$B$7</f>
        <v/>
      </c>
      <c r="I1135" s="11">
        <f>MAX(0,N1135-M1135)</f>
        <v/>
      </c>
      <c r="J1135" s="11">
        <f>MAX(0,M1135-N1135)</f>
        <v/>
      </c>
      <c r="K1135" s="11">
        <f>O1135</f>
        <v/>
      </c>
      <c r="L1135" s="11">
        <f>L1134+IF(K1135&gt;0,K1135*Summary!$B$9,K1135/Summary!$B$9)</f>
        <v/>
      </c>
      <c r="M1135" s="11">
        <f>G1135+H1135</f>
        <v/>
      </c>
      <c r="N1135" s="11">
        <f>Summary!$C$16*Summary!$B$8</f>
        <v/>
      </c>
      <c r="O1135" s="11">
        <f>M1135-N1135</f>
        <v/>
      </c>
    </row>
    <row r="1136">
      <c r="A1136" s="9" t="n">
        <v>45339.25</v>
      </c>
      <c r="B1136" t="n">
        <v>2</v>
      </c>
      <c r="C1136" t="n">
        <v>17</v>
      </c>
      <c r="D1136" t="n">
        <v>6</v>
      </c>
      <c r="E1136" s="10" t="n">
        <v>0</v>
      </c>
      <c r="F1136" s="10" t="n">
        <v>0.4056100813464195</v>
      </c>
      <c r="G1136" s="11">
        <f>E1136*Summary!$B$6</f>
        <v/>
      </c>
      <c r="H1136" s="11">
        <f>F1136*Summary!$B$7</f>
        <v/>
      </c>
      <c r="I1136" s="11">
        <f>MAX(0,N1136-M1136)</f>
        <v/>
      </c>
      <c r="J1136" s="11">
        <f>MAX(0,M1136-N1136)</f>
        <v/>
      </c>
      <c r="K1136" s="11">
        <f>O1136</f>
        <v/>
      </c>
      <c r="L1136" s="11">
        <f>L1135+IF(K1136&gt;0,K1136*Summary!$B$9,K1136/Summary!$B$9)</f>
        <v/>
      </c>
      <c r="M1136" s="11">
        <f>G1136+H1136</f>
        <v/>
      </c>
      <c r="N1136" s="11">
        <f>Summary!$C$16*Summary!$B$8</f>
        <v/>
      </c>
      <c r="O1136" s="11">
        <f>M1136-N1136</f>
        <v/>
      </c>
    </row>
    <row r="1137">
      <c r="A1137" s="9" t="n">
        <v>45339.29166666666</v>
      </c>
      <c r="B1137" t="n">
        <v>2</v>
      </c>
      <c r="C1137" t="n">
        <v>17</v>
      </c>
      <c r="D1137" t="n">
        <v>7</v>
      </c>
      <c r="E1137" s="10" t="n">
        <v>0</v>
      </c>
      <c r="F1137" s="10" t="n">
        <v>0.4019735044736411</v>
      </c>
      <c r="G1137" s="11">
        <f>E1137*Summary!$B$6</f>
        <v/>
      </c>
      <c r="H1137" s="11">
        <f>F1137*Summary!$B$7</f>
        <v/>
      </c>
      <c r="I1137" s="11">
        <f>MAX(0,N1137-M1137)</f>
        <v/>
      </c>
      <c r="J1137" s="11">
        <f>MAX(0,M1137-N1137)</f>
        <v/>
      </c>
      <c r="K1137" s="11">
        <f>O1137</f>
        <v/>
      </c>
      <c r="L1137" s="11">
        <f>L1136+IF(K1137&gt;0,K1137*Summary!$B$9,K1137/Summary!$B$9)</f>
        <v/>
      </c>
      <c r="M1137" s="11">
        <f>G1137+H1137</f>
        <v/>
      </c>
      <c r="N1137" s="11">
        <f>Summary!$C$16*Summary!$B$8</f>
        <v/>
      </c>
      <c r="O1137" s="11">
        <f>M1137-N1137</f>
        <v/>
      </c>
    </row>
    <row r="1138">
      <c r="A1138" s="9" t="n">
        <v>45339.33333333334</v>
      </c>
      <c r="B1138" t="n">
        <v>2</v>
      </c>
      <c r="C1138" t="n">
        <v>17</v>
      </c>
      <c r="D1138" t="n">
        <v>8</v>
      </c>
      <c r="E1138" s="10" t="n">
        <v>0.017617</v>
      </c>
      <c r="F1138" s="10" t="n">
        <v>0.3964132311391755</v>
      </c>
      <c r="G1138" s="11">
        <f>E1138*Summary!$B$6</f>
        <v/>
      </c>
      <c r="H1138" s="11">
        <f>F1138*Summary!$B$7</f>
        <v/>
      </c>
      <c r="I1138" s="11">
        <f>MAX(0,N1138-M1138)</f>
        <v/>
      </c>
      <c r="J1138" s="11">
        <f>MAX(0,M1138-N1138)</f>
        <v/>
      </c>
      <c r="K1138" s="11">
        <f>O1138</f>
        <v/>
      </c>
      <c r="L1138" s="11">
        <f>L1137+IF(K1138&gt;0,K1138*Summary!$B$9,K1138/Summary!$B$9)</f>
        <v/>
      </c>
      <c r="M1138" s="11">
        <f>G1138+H1138</f>
        <v/>
      </c>
      <c r="N1138" s="11">
        <f>Summary!$C$16*Summary!$B$8</f>
        <v/>
      </c>
      <c r="O1138" s="11">
        <f>M1138-N1138</f>
        <v/>
      </c>
    </row>
    <row r="1139">
      <c r="A1139" s="9" t="n">
        <v>45339.375</v>
      </c>
      <c r="B1139" t="n">
        <v>2</v>
      </c>
      <c r="C1139" t="n">
        <v>17</v>
      </c>
      <c r="D1139" t="n">
        <v>9</v>
      </c>
      <c r="E1139" s="10" t="n">
        <v>0.056574</v>
      </c>
      <c r="F1139" s="10" t="n">
        <v>0.3819459796670351</v>
      </c>
      <c r="G1139" s="11">
        <f>E1139*Summary!$B$6</f>
        <v/>
      </c>
      <c r="H1139" s="11">
        <f>F1139*Summary!$B$7</f>
        <v/>
      </c>
      <c r="I1139" s="11">
        <f>MAX(0,N1139-M1139)</f>
        <v/>
      </c>
      <c r="J1139" s="11">
        <f>MAX(0,M1139-N1139)</f>
        <v/>
      </c>
      <c r="K1139" s="11">
        <f>O1139</f>
        <v/>
      </c>
      <c r="L1139" s="11">
        <f>L1138+IF(K1139&gt;0,K1139*Summary!$B$9,K1139/Summary!$B$9)</f>
        <v/>
      </c>
      <c r="M1139" s="11">
        <f>G1139+H1139</f>
        <v/>
      </c>
      <c r="N1139" s="11">
        <f>Summary!$C$16*Summary!$B$8</f>
        <v/>
      </c>
      <c r="O1139" s="11">
        <f>M1139-N1139</f>
        <v/>
      </c>
    </row>
    <row r="1140">
      <c r="A1140" s="9" t="n">
        <v>45339.41666666666</v>
      </c>
      <c r="B1140" t="n">
        <v>2</v>
      </c>
      <c r="C1140" t="n">
        <v>17</v>
      </c>
      <c r="D1140" t="n">
        <v>10</v>
      </c>
      <c r="E1140" s="10" t="n">
        <v>0.034684</v>
      </c>
      <c r="F1140" s="10" t="n">
        <v>0.369191608605986</v>
      </c>
      <c r="G1140" s="11">
        <f>E1140*Summary!$B$6</f>
        <v/>
      </c>
      <c r="H1140" s="11">
        <f>F1140*Summary!$B$7</f>
        <v/>
      </c>
      <c r="I1140" s="11">
        <f>MAX(0,N1140-M1140)</f>
        <v/>
      </c>
      <c r="J1140" s="11">
        <f>MAX(0,M1140-N1140)</f>
        <v/>
      </c>
      <c r="K1140" s="11">
        <f>O1140</f>
        <v/>
      </c>
      <c r="L1140" s="11">
        <f>L1139+IF(K1140&gt;0,K1140*Summary!$B$9,K1140/Summary!$B$9)</f>
        <v/>
      </c>
      <c r="M1140" s="11">
        <f>G1140+H1140</f>
        <v/>
      </c>
      <c r="N1140" s="11">
        <f>Summary!$C$16*Summary!$B$8</f>
        <v/>
      </c>
      <c r="O1140" s="11">
        <f>M1140-N1140</f>
        <v/>
      </c>
    </row>
    <row r="1141">
      <c r="A1141" s="9" t="n">
        <v>45339.45833333334</v>
      </c>
      <c r="B1141" t="n">
        <v>2</v>
      </c>
      <c r="C1141" t="n">
        <v>17</v>
      </c>
      <c r="D1141" t="n">
        <v>11</v>
      </c>
      <c r="E1141" s="10" t="n">
        <v>0.033515</v>
      </c>
      <c r="F1141" s="10" t="n">
        <v>0.3589670301520872</v>
      </c>
      <c r="G1141" s="11">
        <f>E1141*Summary!$B$6</f>
        <v/>
      </c>
      <c r="H1141" s="11">
        <f>F1141*Summary!$B$7</f>
        <v/>
      </c>
      <c r="I1141" s="11">
        <f>MAX(0,N1141-M1141)</f>
        <v/>
      </c>
      <c r="J1141" s="11">
        <f>MAX(0,M1141-N1141)</f>
        <v/>
      </c>
      <c r="K1141" s="11">
        <f>O1141</f>
        <v/>
      </c>
      <c r="L1141" s="11">
        <f>L1140+IF(K1141&gt;0,K1141*Summary!$B$9,K1141/Summary!$B$9)</f>
        <v/>
      </c>
      <c r="M1141" s="11">
        <f>G1141+H1141</f>
        <v/>
      </c>
      <c r="N1141" s="11">
        <f>Summary!$C$16*Summary!$B$8</f>
        <v/>
      </c>
      <c r="O1141" s="11">
        <f>M1141-N1141</f>
        <v/>
      </c>
    </row>
    <row r="1142">
      <c r="A1142" s="9" t="n">
        <v>45339.5</v>
      </c>
      <c r="B1142" t="n">
        <v>2</v>
      </c>
      <c r="C1142" t="n">
        <v>17</v>
      </c>
      <c r="D1142" t="n">
        <v>12</v>
      </c>
      <c r="E1142" s="10" t="n">
        <v>0.041476</v>
      </c>
      <c r="F1142" s="10" t="n">
        <v>0.3583082299939752</v>
      </c>
      <c r="G1142" s="11">
        <f>E1142*Summary!$B$6</f>
        <v/>
      </c>
      <c r="H1142" s="11">
        <f>F1142*Summary!$B$7</f>
        <v/>
      </c>
      <c r="I1142" s="11">
        <f>MAX(0,N1142-M1142)</f>
        <v/>
      </c>
      <c r="J1142" s="11">
        <f>MAX(0,M1142-N1142)</f>
        <v/>
      </c>
      <c r="K1142" s="11">
        <f>O1142</f>
        <v/>
      </c>
      <c r="L1142" s="11">
        <f>L1141+IF(K1142&gt;0,K1142*Summary!$B$9,K1142/Summary!$B$9)</f>
        <v/>
      </c>
      <c r="M1142" s="11">
        <f>G1142+H1142</f>
        <v/>
      </c>
      <c r="N1142" s="11">
        <f>Summary!$C$16*Summary!$B$8</f>
        <v/>
      </c>
      <c r="O1142" s="11">
        <f>M1142-N1142</f>
        <v/>
      </c>
    </row>
    <row r="1143">
      <c r="A1143" s="9" t="n">
        <v>45339.54166666666</v>
      </c>
      <c r="B1143" t="n">
        <v>2</v>
      </c>
      <c r="C1143" t="n">
        <v>17</v>
      </c>
      <c r="D1143" t="n">
        <v>13</v>
      </c>
      <c r="E1143" s="10" t="n">
        <v>0.043355</v>
      </c>
      <c r="F1143" s="10" t="n">
        <v>0.360758966582152</v>
      </c>
      <c r="G1143" s="11">
        <f>E1143*Summary!$B$6</f>
        <v/>
      </c>
      <c r="H1143" s="11">
        <f>F1143*Summary!$B$7</f>
        <v/>
      </c>
      <c r="I1143" s="11">
        <f>MAX(0,N1143-M1143)</f>
        <v/>
      </c>
      <c r="J1143" s="11">
        <f>MAX(0,M1143-N1143)</f>
        <v/>
      </c>
      <c r="K1143" s="11">
        <f>O1143</f>
        <v/>
      </c>
      <c r="L1143" s="11">
        <f>L1142+IF(K1143&gt;0,K1143*Summary!$B$9,K1143/Summary!$B$9)</f>
        <v/>
      </c>
      <c r="M1143" s="11">
        <f>G1143+H1143</f>
        <v/>
      </c>
      <c r="N1143" s="11">
        <f>Summary!$C$16*Summary!$B$8</f>
        <v/>
      </c>
      <c r="O1143" s="11">
        <f>M1143-N1143</f>
        <v/>
      </c>
    </row>
    <row r="1144">
      <c r="A1144" s="9" t="n">
        <v>45339.58333333334</v>
      </c>
      <c r="B1144" t="n">
        <v>2</v>
      </c>
      <c r="C1144" t="n">
        <v>17</v>
      </c>
      <c r="D1144" t="n">
        <v>14</v>
      </c>
      <c r="E1144" s="10" t="n">
        <v>0.040283</v>
      </c>
      <c r="F1144" s="10" t="n">
        <v>0.3574122617789428</v>
      </c>
      <c r="G1144" s="11">
        <f>E1144*Summary!$B$6</f>
        <v/>
      </c>
      <c r="H1144" s="11">
        <f>F1144*Summary!$B$7</f>
        <v/>
      </c>
      <c r="I1144" s="11">
        <f>MAX(0,N1144-M1144)</f>
        <v/>
      </c>
      <c r="J1144" s="11">
        <f>MAX(0,M1144-N1144)</f>
        <v/>
      </c>
      <c r="K1144" s="11">
        <f>O1144</f>
        <v/>
      </c>
      <c r="L1144" s="11">
        <f>L1143+IF(K1144&gt;0,K1144*Summary!$B$9,K1144/Summary!$B$9)</f>
        <v/>
      </c>
      <c r="M1144" s="11">
        <f>G1144+H1144</f>
        <v/>
      </c>
      <c r="N1144" s="11">
        <f>Summary!$C$16*Summary!$B$8</f>
        <v/>
      </c>
      <c r="O1144" s="11">
        <f>M1144-N1144</f>
        <v/>
      </c>
    </row>
    <row r="1145">
      <c r="A1145" s="9" t="n">
        <v>45339.625</v>
      </c>
      <c r="B1145" t="n">
        <v>2</v>
      </c>
      <c r="C1145" t="n">
        <v>17</v>
      </c>
      <c r="D1145" t="n">
        <v>15</v>
      </c>
      <c r="E1145" s="10" t="n">
        <v>0.02722</v>
      </c>
      <c r="F1145" s="10" t="n">
        <v>0.3522999725519934</v>
      </c>
      <c r="G1145" s="11">
        <f>E1145*Summary!$B$6</f>
        <v/>
      </c>
      <c r="H1145" s="11">
        <f>F1145*Summary!$B$7</f>
        <v/>
      </c>
      <c r="I1145" s="11">
        <f>MAX(0,N1145-M1145)</f>
        <v/>
      </c>
      <c r="J1145" s="11">
        <f>MAX(0,M1145-N1145)</f>
        <v/>
      </c>
      <c r="K1145" s="11">
        <f>O1145</f>
        <v/>
      </c>
      <c r="L1145" s="11">
        <f>L1144+IF(K1145&gt;0,K1145*Summary!$B$9,K1145/Summary!$B$9)</f>
        <v/>
      </c>
      <c r="M1145" s="11">
        <f>G1145+H1145</f>
        <v/>
      </c>
      <c r="N1145" s="11">
        <f>Summary!$C$16*Summary!$B$8</f>
        <v/>
      </c>
      <c r="O1145" s="11">
        <f>M1145-N1145</f>
        <v/>
      </c>
    </row>
    <row r="1146">
      <c r="A1146" s="9" t="n">
        <v>45339.66666666666</v>
      </c>
      <c r="B1146" t="n">
        <v>2</v>
      </c>
      <c r="C1146" t="n">
        <v>17</v>
      </c>
      <c r="D1146" t="n">
        <v>16</v>
      </c>
      <c r="E1146" s="10" t="n">
        <v>0.005643</v>
      </c>
      <c r="F1146" s="10" t="n">
        <v>0.355725733374176</v>
      </c>
      <c r="G1146" s="11">
        <f>E1146*Summary!$B$6</f>
        <v/>
      </c>
      <c r="H1146" s="11">
        <f>F1146*Summary!$B$7</f>
        <v/>
      </c>
      <c r="I1146" s="11">
        <f>MAX(0,N1146-M1146)</f>
        <v/>
      </c>
      <c r="J1146" s="11">
        <f>MAX(0,M1146-N1146)</f>
        <v/>
      </c>
      <c r="K1146" s="11">
        <f>O1146</f>
        <v/>
      </c>
      <c r="L1146" s="11">
        <f>L1145+IF(K1146&gt;0,K1146*Summary!$B$9,K1146/Summary!$B$9)</f>
        <v/>
      </c>
      <c r="M1146" s="11">
        <f>G1146+H1146</f>
        <v/>
      </c>
      <c r="N1146" s="11">
        <f>Summary!$C$16*Summary!$B$8</f>
        <v/>
      </c>
      <c r="O1146" s="11">
        <f>M1146-N1146</f>
        <v/>
      </c>
    </row>
    <row r="1147">
      <c r="A1147" s="9" t="n">
        <v>45339.70833333334</v>
      </c>
      <c r="B1147" t="n">
        <v>2</v>
      </c>
      <c r="C1147" t="n">
        <v>17</v>
      </c>
      <c r="D1147" t="n">
        <v>17</v>
      </c>
      <c r="E1147" s="10" t="n">
        <v>0</v>
      </c>
      <c r="F1147" s="10" t="n">
        <v>0.3640002633600632</v>
      </c>
      <c r="G1147" s="11">
        <f>E1147*Summary!$B$6</f>
        <v/>
      </c>
      <c r="H1147" s="11">
        <f>F1147*Summary!$B$7</f>
        <v/>
      </c>
      <c r="I1147" s="11">
        <f>MAX(0,N1147-M1147)</f>
        <v/>
      </c>
      <c r="J1147" s="11">
        <f>MAX(0,M1147-N1147)</f>
        <v/>
      </c>
      <c r="K1147" s="11">
        <f>O1147</f>
        <v/>
      </c>
      <c r="L1147" s="11">
        <f>L1146+IF(K1147&gt;0,K1147*Summary!$B$9,K1147/Summary!$B$9)</f>
        <v/>
      </c>
      <c r="M1147" s="11">
        <f>G1147+H1147</f>
        <v/>
      </c>
      <c r="N1147" s="11">
        <f>Summary!$C$16*Summary!$B$8</f>
        <v/>
      </c>
      <c r="O1147" s="11">
        <f>M1147-N1147</f>
        <v/>
      </c>
    </row>
    <row r="1148">
      <c r="A1148" s="9" t="n">
        <v>45339.75</v>
      </c>
      <c r="B1148" t="n">
        <v>2</v>
      </c>
      <c r="C1148" t="n">
        <v>17</v>
      </c>
      <c r="D1148" t="n">
        <v>18</v>
      </c>
      <c r="E1148" s="10" t="n">
        <v>0</v>
      </c>
      <c r="F1148" s="10" t="n">
        <v>0.3246830699239368</v>
      </c>
      <c r="G1148" s="11">
        <f>E1148*Summary!$B$6</f>
        <v/>
      </c>
      <c r="H1148" s="11">
        <f>F1148*Summary!$B$7</f>
        <v/>
      </c>
      <c r="I1148" s="11">
        <f>MAX(0,N1148-M1148)</f>
        <v/>
      </c>
      <c r="J1148" s="11">
        <f>MAX(0,M1148-N1148)</f>
        <v/>
      </c>
      <c r="K1148" s="11">
        <f>O1148</f>
        <v/>
      </c>
      <c r="L1148" s="11">
        <f>L1147+IF(K1148&gt;0,K1148*Summary!$B$9,K1148/Summary!$B$9)</f>
        <v/>
      </c>
      <c r="M1148" s="11">
        <f>G1148+H1148</f>
        <v/>
      </c>
      <c r="N1148" s="11">
        <f>Summary!$C$16*Summary!$B$8</f>
        <v/>
      </c>
      <c r="O1148" s="11">
        <f>M1148-N1148</f>
        <v/>
      </c>
    </row>
    <row r="1149">
      <c r="A1149" s="9" t="n">
        <v>45339.79166666666</v>
      </c>
      <c r="B1149" t="n">
        <v>2</v>
      </c>
      <c r="C1149" t="n">
        <v>17</v>
      </c>
      <c r="D1149" t="n">
        <v>19</v>
      </c>
      <c r="E1149" s="10" t="n">
        <v>0</v>
      </c>
      <c r="F1149" s="10" t="n">
        <v>0.3819723316733596</v>
      </c>
      <c r="G1149" s="11">
        <f>E1149*Summary!$B$6</f>
        <v/>
      </c>
      <c r="H1149" s="11">
        <f>F1149*Summary!$B$7</f>
        <v/>
      </c>
      <c r="I1149" s="11">
        <f>MAX(0,N1149-M1149)</f>
        <v/>
      </c>
      <c r="J1149" s="11">
        <f>MAX(0,M1149-N1149)</f>
        <v/>
      </c>
      <c r="K1149" s="11">
        <f>O1149</f>
        <v/>
      </c>
      <c r="L1149" s="11">
        <f>L1148+IF(K1149&gt;0,K1149*Summary!$B$9,K1149/Summary!$B$9)</f>
        <v/>
      </c>
      <c r="M1149" s="11">
        <f>G1149+H1149</f>
        <v/>
      </c>
      <c r="N1149" s="11">
        <f>Summary!$C$16*Summary!$B$8</f>
        <v/>
      </c>
      <c r="O1149" s="11">
        <f>M1149-N1149</f>
        <v/>
      </c>
    </row>
    <row r="1150">
      <c r="A1150" s="9" t="n">
        <v>45339.83333333334</v>
      </c>
      <c r="B1150" t="n">
        <v>2</v>
      </c>
      <c r="C1150" t="n">
        <v>17</v>
      </c>
      <c r="D1150" t="n">
        <v>20</v>
      </c>
      <c r="E1150" s="10" t="n">
        <v>0</v>
      </c>
      <c r="F1150" s="10" t="n">
        <v>0.3842122522109405</v>
      </c>
      <c r="G1150" s="11">
        <f>E1150*Summary!$B$6</f>
        <v/>
      </c>
      <c r="H1150" s="11">
        <f>F1150*Summary!$B$7</f>
        <v/>
      </c>
      <c r="I1150" s="11">
        <f>MAX(0,N1150-M1150)</f>
        <v/>
      </c>
      <c r="J1150" s="11">
        <f>MAX(0,M1150-N1150)</f>
        <v/>
      </c>
      <c r="K1150" s="11">
        <f>O1150</f>
        <v/>
      </c>
      <c r="L1150" s="11">
        <f>L1149+IF(K1150&gt;0,K1150*Summary!$B$9,K1150/Summary!$B$9)</f>
        <v/>
      </c>
      <c r="M1150" s="11">
        <f>G1150+H1150</f>
        <v/>
      </c>
      <c r="N1150" s="11">
        <f>Summary!$C$16*Summary!$B$8</f>
        <v/>
      </c>
      <c r="O1150" s="11">
        <f>M1150-N1150</f>
        <v/>
      </c>
    </row>
    <row r="1151">
      <c r="A1151" s="9" t="n">
        <v>45339.875</v>
      </c>
      <c r="B1151" t="n">
        <v>2</v>
      </c>
      <c r="C1151" t="n">
        <v>17</v>
      </c>
      <c r="D1151" t="n">
        <v>21</v>
      </c>
      <c r="E1151" s="10" t="n">
        <v>0</v>
      </c>
      <c r="F1151" s="10" t="n">
        <v>0.3938043825130518</v>
      </c>
      <c r="G1151" s="11">
        <f>E1151*Summary!$B$6</f>
        <v/>
      </c>
      <c r="H1151" s="11">
        <f>F1151*Summary!$B$7</f>
        <v/>
      </c>
      <c r="I1151" s="11">
        <f>MAX(0,N1151-M1151)</f>
        <v/>
      </c>
      <c r="J1151" s="11">
        <f>MAX(0,M1151-N1151)</f>
        <v/>
      </c>
      <c r="K1151" s="11">
        <f>O1151</f>
        <v/>
      </c>
      <c r="L1151" s="11">
        <f>L1150+IF(K1151&gt;0,K1151*Summary!$B$9,K1151/Summary!$B$9)</f>
        <v/>
      </c>
      <c r="M1151" s="11">
        <f>G1151+H1151</f>
        <v/>
      </c>
      <c r="N1151" s="11">
        <f>Summary!$C$16*Summary!$B$8</f>
        <v/>
      </c>
      <c r="O1151" s="11">
        <f>M1151-N1151</f>
        <v/>
      </c>
    </row>
    <row r="1152">
      <c r="A1152" s="9" t="n">
        <v>45339.91666666666</v>
      </c>
      <c r="B1152" t="n">
        <v>2</v>
      </c>
      <c r="C1152" t="n">
        <v>17</v>
      </c>
      <c r="D1152" t="n">
        <v>22</v>
      </c>
      <c r="E1152" s="10" t="n">
        <v>0</v>
      </c>
      <c r="F1152" s="10" t="n">
        <v>0.4086932660863839</v>
      </c>
      <c r="G1152" s="11">
        <f>E1152*Summary!$B$6</f>
        <v/>
      </c>
      <c r="H1152" s="11">
        <f>F1152*Summary!$B$7</f>
        <v/>
      </c>
      <c r="I1152" s="11">
        <f>MAX(0,N1152-M1152)</f>
        <v/>
      </c>
      <c r="J1152" s="11">
        <f>MAX(0,M1152-N1152)</f>
        <v/>
      </c>
      <c r="K1152" s="11">
        <f>O1152</f>
        <v/>
      </c>
      <c r="L1152" s="11">
        <f>L1151+IF(K1152&gt;0,K1152*Summary!$B$9,K1152/Summary!$B$9)</f>
        <v/>
      </c>
      <c r="M1152" s="11">
        <f>G1152+H1152</f>
        <v/>
      </c>
      <c r="N1152" s="11">
        <f>Summary!$C$16*Summary!$B$8</f>
        <v/>
      </c>
      <c r="O1152" s="11">
        <f>M1152-N1152</f>
        <v/>
      </c>
    </row>
    <row r="1153">
      <c r="A1153" s="9" t="n">
        <v>45339.95833333334</v>
      </c>
      <c r="B1153" t="n">
        <v>2</v>
      </c>
      <c r="C1153" t="n">
        <v>17</v>
      </c>
      <c r="D1153" t="n">
        <v>23</v>
      </c>
      <c r="E1153" s="10" t="n">
        <v>0</v>
      </c>
      <c r="F1153" s="10" t="n">
        <v>0.4176529482367076</v>
      </c>
      <c r="G1153" s="11">
        <f>E1153*Summary!$B$6</f>
        <v/>
      </c>
      <c r="H1153" s="11">
        <f>F1153*Summary!$B$7</f>
        <v/>
      </c>
      <c r="I1153" s="11">
        <f>MAX(0,N1153-M1153)</f>
        <v/>
      </c>
      <c r="J1153" s="11">
        <f>MAX(0,M1153-N1153)</f>
        <v/>
      </c>
      <c r="K1153" s="11">
        <f>O1153</f>
        <v/>
      </c>
      <c r="L1153" s="11">
        <f>L1152+IF(K1153&gt;0,K1153*Summary!$B$9,K1153/Summary!$B$9)</f>
        <v/>
      </c>
      <c r="M1153" s="11">
        <f>G1153+H1153</f>
        <v/>
      </c>
      <c r="N1153" s="11">
        <f>Summary!$C$16*Summary!$B$8</f>
        <v/>
      </c>
      <c r="O1153" s="11">
        <f>M1153-N1153</f>
        <v/>
      </c>
    </row>
    <row r="1154">
      <c r="A1154" s="9" t="n">
        <v>45340</v>
      </c>
      <c r="B1154" t="n">
        <v>2</v>
      </c>
      <c r="C1154" t="n">
        <v>18</v>
      </c>
      <c r="D1154" t="n">
        <v>0</v>
      </c>
      <c r="E1154" s="10" t="n">
        <v>0</v>
      </c>
      <c r="F1154" s="10" t="n">
        <v>0.4066114575867498</v>
      </c>
      <c r="G1154" s="11">
        <f>E1154*Summary!$B$6</f>
        <v/>
      </c>
      <c r="H1154" s="11">
        <f>F1154*Summary!$B$7</f>
        <v/>
      </c>
      <c r="I1154" s="11">
        <f>MAX(0,N1154-M1154)</f>
        <v/>
      </c>
      <c r="J1154" s="11">
        <f>MAX(0,M1154-N1154)</f>
        <v/>
      </c>
      <c r="K1154" s="11">
        <f>O1154</f>
        <v/>
      </c>
      <c r="L1154" s="11">
        <f>L1153+IF(K1154&gt;0,K1154*Summary!$B$9,K1154/Summary!$B$9)</f>
        <v/>
      </c>
      <c r="M1154" s="11">
        <f>G1154+H1154</f>
        <v/>
      </c>
      <c r="N1154" s="11">
        <f>Summary!$C$16*Summary!$B$8</f>
        <v/>
      </c>
      <c r="O1154" s="11">
        <f>M1154-N1154</f>
        <v/>
      </c>
    </row>
    <row r="1155">
      <c r="A1155" s="9" t="n">
        <v>45340.04166666666</v>
      </c>
      <c r="B1155" t="n">
        <v>2</v>
      </c>
      <c r="C1155" t="n">
        <v>18</v>
      </c>
      <c r="D1155" t="n">
        <v>1</v>
      </c>
      <c r="E1155" s="10" t="n">
        <v>0</v>
      </c>
      <c r="F1155" s="10" t="n">
        <v>0.4066114575867498</v>
      </c>
      <c r="G1155" s="11">
        <f>E1155*Summary!$B$6</f>
        <v/>
      </c>
      <c r="H1155" s="11">
        <f>F1155*Summary!$B$7</f>
        <v/>
      </c>
      <c r="I1155" s="11">
        <f>MAX(0,N1155-M1155)</f>
        <v/>
      </c>
      <c r="J1155" s="11">
        <f>MAX(0,M1155-N1155)</f>
        <v/>
      </c>
      <c r="K1155" s="11">
        <f>O1155</f>
        <v/>
      </c>
      <c r="L1155" s="11">
        <f>L1154+IF(K1155&gt;0,K1155*Summary!$B$9,K1155/Summary!$B$9)</f>
        <v/>
      </c>
      <c r="M1155" s="11">
        <f>G1155+H1155</f>
        <v/>
      </c>
      <c r="N1155" s="11">
        <f>Summary!$C$16*Summary!$B$8</f>
        <v/>
      </c>
      <c r="O1155" s="11">
        <f>M1155-N1155</f>
        <v/>
      </c>
    </row>
    <row r="1156">
      <c r="A1156" s="9" t="n">
        <v>45340.08333333334</v>
      </c>
      <c r="B1156" t="n">
        <v>2</v>
      </c>
      <c r="C1156" t="n">
        <v>18</v>
      </c>
      <c r="D1156" t="n">
        <v>2</v>
      </c>
      <c r="E1156" s="10" t="n">
        <v>0</v>
      </c>
      <c r="F1156" s="10" t="n">
        <v>0.4315668075760338</v>
      </c>
      <c r="G1156" s="11">
        <f>E1156*Summary!$B$6</f>
        <v/>
      </c>
      <c r="H1156" s="11">
        <f>F1156*Summary!$B$7</f>
        <v/>
      </c>
      <c r="I1156" s="11">
        <f>MAX(0,N1156-M1156)</f>
        <v/>
      </c>
      <c r="J1156" s="11">
        <f>MAX(0,M1156-N1156)</f>
        <v/>
      </c>
      <c r="K1156" s="11">
        <f>O1156</f>
        <v/>
      </c>
      <c r="L1156" s="11">
        <f>L1155+IF(K1156&gt;0,K1156*Summary!$B$9,K1156/Summary!$B$9)</f>
        <v/>
      </c>
      <c r="M1156" s="11">
        <f>G1156+H1156</f>
        <v/>
      </c>
      <c r="N1156" s="11">
        <f>Summary!$C$16*Summary!$B$8</f>
        <v/>
      </c>
      <c r="O1156" s="11">
        <f>M1156-N1156</f>
        <v/>
      </c>
    </row>
    <row r="1157">
      <c r="A1157" s="9" t="n">
        <v>45340.125</v>
      </c>
      <c r="B1157" t="n">
        <v>2</v>
      </c>
      <c r="C1157" t="n">
        <v>18</v>
      </c>
      <c r="D1157" t="n">
        <v>3</v>
      </c>
      <c r="E1157" s="10" t="n">
        <v>0</v>
      </c>
      <c r="F1157" s="10" t="n">
        <v>0.4384973852393725</v>
      </c>
      <c r="G1157" s="11">
        <f>E1157*Summary!$B$6</f>
        <v/>
      </c>
      <c r="H1157" s="11">
        <f>F1157*Summary!$B$7</f>
        <v/>
      </c>
      <c r="I1157" s="11">
        <f>MAX(0,N1157-M1157)</f>
        <v/>
      </c>
      <c r="J1157" s="11">
        <f>MAX(0,M1157-N1157)</f>
        <v/>
      </c>
      <c r="K1157" s="11">
        <f>O1157</f>
        <v/>
      </c>
      <c r="L1157" s="11">
        <f>L1156+IF(K1157&gt;0,K1157*Summary!$B$9,K1157/Summary!$B$9)</f>
        <v/>
      </c>
      <c r="M1157" s="11">
        <f>G1157+H1157</f>
        <v/>
      </c>
      <c r="N1157" s="11">
        <f>Summary!$C$16*Summary!$B$8</f>
        <v/>
      </c>
      <c r="O1157" s="11">
        <f>M1157-N1157</f>
        <v/>
      </c>
    </row>
    <row r="1158">
      <c r="A1158" s="9" t="n">
        <v>45340.16666666666</v>
      </c>
      <c r="B1158" t="n">
        <v>2</v>
      </c>
      <c r="C1158" t="n">
        <v>18</v>
      </c>
      <c r="D1158" t="n">
        <v>4</v>
      </c>
      <c r="E1158" s="10" t="n">
        <v>0</v>
      </c>
      <c r="F1158" s="10" t="n">
        <v>0.4427664102639385</v>
      </c>
      <c r="G1158" s="11">
        <f>E1158*Summary!$B$6</f>
        <v/>
      </c>
      <c r="H1158" s="11">
        <f>F1158*Summary!$B$7</f>
        <v/>
      </c>
      <c r="I1158" s="11">
        <f>MAX(0,N1158-M1158)</f>
        <v/>
      </c>
      <c r="J1158" s="11">
        <f>MAX(0,M1158-N1158)</f>
        <v/>
      </c>
      <c r="K1158" s="11">
        <f>O1158</f>
        <v/>
      </c>
      <c r="L1158" s="11">
        <f>L1157+IF(K1158&gt;0,K1158*Summary!$B$9,K1158/Summary!$B$9)</f>
        <v/>
      </c>
      <c r="M1158" s="11">
        <f>G1158+H1158</f>
        <v/>
      </c>
      <c r="N1158" s="11">
        <f>Summary!$C$16*Summary!$B$8</f>
        <v/>
      </c>
      <c r="O1158" s="11">
        <f>M1158-N1158</f>
        <v/>
      </c>
    </row>
    <row r="1159">
      <c r="A1159" s="9" t="n">
        <v>45340.20833333334</v>
      </c>
      <c r="B1159" t="n">
        <v>2</v>
      </c>
      <c r="C1159" t="n">
        <v>18</v>
      </c>
      <c r="D1159" t="n">
        <v>5</v>
      </c>
      <c r="E1159" s="10" t="n">
        <v>0</v>
      </c>
      <c r="F1159" s="10" t="n">
        <v>0.4410271778465227</v>
      </c>
      <c r="G1159" s="11">
        <f>E1159*Summary!$B$6</f>
        <v/>
      </c>
      <c r="H1159" s="11">
        <f>F1159*Summary!$B$7</f>
        <v/>
      </c>
      <c r="I1159" s="11">
        <f>MAX(0,N1159-M1159)</f>
        <v/>
      </c>
      <c r="J1159" s="11">
        <f>MAX(0,M1159-N1159)</f>
        <v/>
      </c>
      <c r="K1159" s="11">
        <f>O1159</f>
        <v/>
      </c>
      <c r="L1159" s="11">
        <f>L1158+IF(K1159&gt;0,K1159*Summary!$B$9,K1159/Summary!$B$9)</f>
        <v/>
      </c>
      <c r="M1159" s="11">
        <f>G1159+H1159</f>
        <v/>
      </c>
      <c r="N1159" s="11">
        <f>Summary!$C$16*Summary!$B$8</f>
        <v/>
      </c>
      <c r="O1159" s="11">
        <f>M1159-N1159</f>
        <v/>
      </c>
    </row>
    <row r="1160">
      <c r="A1160" s="9" t="n">
        <v>45340.25</v>
      </c>
      <c r="B1160" t="n">
        <v>2</v>
      </c>
      <c r="C1160" t="n">
        <v>18</v>
      </c>
      <c r="D1160" t="n">
        <v>6</v>
      </c>
      <c r="E1160" s="10" t="n">
        <v>0</v>
      </c>
      <c r="F1160" s="10" t="n">
        <v>0.4708840010121603</v>
      </c>
      <c r="G1160" s="11">
        <f>E1160*Summary!$B$6</f>
        <v/>
      </c>
      <c r="H1160" s="11">
        <f>F1160*Summary!$B$7</f>
        <v/>
      </c>
      <c r="I1160" s="11">
        <f>MAX(0,N1160-M1160)</f>
        <v/>
      </c>
      <c r="J1160" s="11">
        <f>MAX(0,M1160-N1160)</f>
        <v/>
      </c>
      <c r="K1160" s="11">
        <f>O1160</f>
        <v/>
      </c>
      <c r="L1160" s="11">
        <f>L1159+IF(K1160&gt;0,K1160*Summary!$B$9,K1160/Summary!$B$9)</f>
        <v/>
      </c>
      <c r="M1160" s="11">
        <f>G1160+H1160</f>
        <v/>
      </c>
      <c r="N1160" s="11">
        <f>Summary!$C$16*Summary!$B$8</f>
        <v/>
      </c>
      <c r="O1160" s="11">
        <f>M1160-N1160</f>
        <v/>
      </c>
    </row>
    <row r="1161">
      <c r="A1161" s="9" t="n">
        <v>45340.29166666666</v>
      </c>
      <c r="B1161" t="n">
        <v>2</v>
      </c>
      <c r="C1161" t="n">
        <v>18</v>
      </c>
      <c r="D1161" t="n">
        <v>7</v>
      </c>
      <c r="E1161" s="10" t="n">
        <v>0</v>
      </c>
      <c r="F1161" s="10" t="n">
        <v>0.4393406494417559</v>
      </c>
      <c r="G1161" s="11">
        <f>E1161*Summary!$B$6</f>
        <v/>
      </c>
      <c r="H1161" s="11">
        <f>F1161*Summary!$B$7</f>
        <v/>
      </c>
      <c r="I1161" s="11">
        <f>MAX(0,N1161-M1161)</f>
        <v/>
      </c>
      <c r="J1161" s="11">
        <f>MAX(0,M1161-N1161)</f>
        <v/>
      </c>
      <c r="K1161" s="11">
        <f>O1161</f>
        <v/>
      </c>
      <c r="L1161" s="11">
        <f>L1160+IF(K1161&gt;0,K1161*Summary!$B$9,K1161/Summary!$B$9)</f>
        <v/>
      </c>
      <c r="M1161" s="11">
        <f>G1161+H1161</f>
        <v/>
      </c>
      <c r="N1161" s="11">
        <f>Summary!$C$16*Summary!$B$8</f>
        <v/>
      </c>
      <c r="O1161" s="11">
        <f>M1161-N1161</f>
        <v/>
      </c>
    </row>
    <row r="1162">
      <c r="A1162" s="9" t="n">
        <v>45340.33333333334</v>
      </c>
      <c r="B1162" t="n">
        <v>2</v>
      </c>
      <c r="C1162" t="n">
        <v>18</v>
      </c>
      <c r="D1162" t="n">
        <v>8</v>
      </c>
      <c r="E1162" s="10" t="n">
        <v>0.027167</v>
      </c>
      <c r="F1162" s="10" t="n">
        <v>0.4317776236266296</v>
      </c>
      <c r="G1162" s="11">
        <f>E1162*Summary!$B$6</f>
        <v/>
      </c>
      <c r="H1162" s="11">
        <f>F1162*Summary!$B$7</f>
        <v/>
      </c>
      <c r="I1162" s="11">
        <f>MAX(0,N1162-M1162)</f>
        <v/>
      </c>
      <c r="J1162" s="11">
        <f>MAX(0,M1162-N1162)</f>
        <v/>
      </c>
      <c r="K1162" s="11">
        <f>O1162</f>
        <v/>
      </c>
      <c r="L1162" s="11">
        <f>L1161+IF(K1162&gt;0,K1162*Summary!$B$9,K1162/Summary!$B$9)</f>
        <v/>
      </c>
      <c r="M1162" s="11">
        <f>G1162+H1162</f>
        <v/>
      </c>
      <c r="N1162" s="11">
        <f>Summary!$C$16*Summary!$B$8</f>
        <v/>
      </c>
      <c r="O1162" s="11">
        <f>M1162-N1162</f>
        <v/>
      </c>
    </row>
    <row r="1163">
      <c r="A1163" s="9" t="n">
        <v>45340.375</v>
      </c>
      <c r="B1163" t="n">
        <v>2</v>
      </c>
      <c r="C1163" t="n">
        <v>18</v>
      </c>
      <c r="D1163" t="n">
        <v>9</v>
      </c>
      <c r="E1163" s="10" t="n">
        <v>0.05959</v>
      </c>
      <c r="F1163" s="10" t="n">
        <v>0.4229760535142528</v>
      </c>
      <c r="G1163" s="11">
        <f>E1163*Summary!$B$6</f>
        <v/>
      </c>
      <c r="H1163" s="11">
        <f>F1163*Summary!$B$7</f>
        <v/>
      </c>
      <c r="I1163" s="11">
        <f>MAX(0,N1163-M1163)</f>
        <v/>
      </c>
      <c r="J1163" s="11">
        <f>MAX(0,M1163-N1163)</f>
        <v/>
      </c>
      <c r="K1163" s="11">
        <f>O1163</f>
        <v/>
      </c>
      <c r="L1163" s="11">
        <f>L1162+IF(K1163&gt;0,K1163*Summary!$B$9,K1163/Summary!$B$9)</f>
        <v/>
      </c>
      <c r="M1163" s="11">
        <f>G1163+H1163</f>
        <v/>
      </c>
      <c r="N1163" s="11">
        <f>Summary!$C$16*Summary!$B$8</f>
        <v/>
      </c>
      <c r="O1163" s="11">
        <f>M1163-N1163</f>
        <v/>
      </c>
    </row>
    <row r="1164">
      <c r="A1164" s="9" t="n">
        <v>45340.41666666666</v>
      </c>
      <c r="B1164" t="n">
        <v>2</v>
      </c>
      <c r="C1164" t="n">
        <v>18</v>
      </c>
      <c r="D1164" t="n">
        <v>10</v>
      </c>
      <c r="E1164" s="10" t="n">
        <v>0.046581</v>
      </c>
      <c r="F1164" s="10" t="n">
        <v>0.4055310253274461</v>
      </c>
      <c r="G1164" s="11">
        <f>E1164*Summary!$B$6</f>
        <v/>
      </c>
      <c r="H1164" s="11">
        <f>F1164*Summary!$B$7</f>
        <v/>
      </c>
      <c r="I1164" s="11">
        <f>MAX(0,N1164-M1164)</f>
        <v/>
      </c>
      <c r="J1164" s="11">
        <f>MAX(0,M1164-N1164)</f>
        <v/>
      </c>
      <c r="K1164" s="11">
        <f>O1164</f>
        <v/>
      </c>
      <c r="L1164" s="11">
        <f>L1163+IF(K1164&gt;0,K1164*Summary!$B$9,K1164/Summary!$B$9)</f>
        <v/>
      </c>
      <c r="M1164" s="11">
        <f>G1164+H1164</f>
        <v/>
      </c>
      <c r="N1164" s="11">
        <f>Summary!$C$16*Summary!$B$8</f>
        <v/>
      </c>
      <c r="O1164" s="11">
        <f>M1164-N1164</f>
        <v/>
      </c>
    </row>
    <row r="1165">
      <c r="A1165" s="9" t="n">
        <v>45340.45833333334</v>
      </c>
      <c r="B1165" t="n">
        <v>2</v>
      </c>
      <c r="C1165" t="n">
        <v>18</v>
      </c>
      <c r="D1165" t="n">
        <v>11</v>
      </c>
      <c r="E1165" s="10" t="n">
        <v>0.013635</v>
      </c>
      <c r="F1165" s="10" t="n">
        <v>0.39414695859527</v>
      </c>
      <c r="G1165" s="11">
        <f>E1165*Summary!$B$6</f>
        <v/>
      </c>
      <c r="H1165" s="11">
        <f>F1165*Summary!$B$7</f>
        <v/>
      </c>
      <c r="I1165" s="11">
        <f>MAX(0,N1165-M1165)</f>
        <v/>
      </c>
      <c r="J1165" s="11">
        <f>MAX(0,M1165-N1165)</f>
        <v/>
      </c>
      <c r="K1165" s="11">
        <f>O1165</f>
        <v/>
      </c>
      <c r="L1165" s="11">
        <f>L1164+IF(K1165&gt;0,K1165*Summary!$B$9,K1165/Summary!$B$9)</f>
        <v/>
      </c>
      <c r="M1165" s="11">
        <f>G1165+H1165</f>
        <v/>
      </c>
      <c r="N1165" s="11">
        <f>Summary!$C$16*Summary!$B$8</f>
        <v/>
      </c>
      <c r="O1165" s="11">
        <f>M1165-N1165</f>
        <v/>
      </c>
    </row>
    <row r="1166">
      <c r="A1166" s="9" t="n">
        <v>45340.5</v>
      </c>
      <c r="B1166" t="n">
        <v>2</v>
      </c>
      <c r="C1166" t="n">
        <v>18</v>
      </c>
      <c r="D1166" t="n">
        <v>12</v>
      </c>
      <c r="E1166" s="10" t="n">
        <v>0.077254</v>
      </c>
      <c r="F1166" s="10" t="n">
        <v>0.3869792128750111</v>
      </c>
      <c r="G1166" s="11">
        <f>E1166*Summary!$B$6</f>
        <v/>
      </c>
      <c r="H1166" s="11">
        <f>F1166*Summary!$B$7</f>
        <v/>
      </c>
      <c r="I1166" s="11">
        <f>MAX(0,N1166-M1166)</f>
        <v/>
      </c>
      <c r="J1166" s="11">
        <f>MAX(0,M1166-N1166)</f>
        <v/>
      </c>
      <c r="K1166" s="11">
        <f>O1166</f>
        <v/>
      </c>
      <c r="L1166" s="11">
        <f>L1165+IF(K1166&gt;0,K1166*Summary!$B$9,K1166/Summary!$B$9)</f>
        <v/>
      </c>
      <c r="M1166" s="11">
        <f>G1166+H1166</f>
        <v/>
      </c>
      <c r="N1166" s="11">
        <f>Summary!$C$16*Summary!$B$8</f>
        <v/>
      </c>
      <c r="O1166" s="11">
        <f>M1166-N1166</f>
        <v/>
      </c>
    </row>
    <row r="1167">
      <c r="A1167" s="9" t="n">
        <v>45340.54166666666</v>
      </c>
      <c r="B1167" t="n">
        <v>2</v>
      </c>
      <c r="C1167" t="n">
        <v>18</v>
      </c>
      <c r="D1167" t="n">
        <v>13</v>
      </c>
      <c r="E1167" s="10" t="n">
        <v>0.125208</v>
      </c>
      <c r="F1167" s="10" t="n">
        <v>0.3855035005208401</v>
      </c>
      <c r="G1167" s="11">
        <f>E1167*Summary!$B$6</f>
        <v/>
      </c>
      <c r="H1167" s="11">
        <f>F1167*Summary!$B$7</f>
        <v/>
      </c>
      <c r="I1167" s="11">
        <f>MAX(0,N1167-M1167)</f>
        <v/>
      </c>
      <c r="J1167" s="11">
        <f>MAX(0,M1167-N1167)</f>
        <v/>
      </c>
      <c r="K1167" s="11">
        <f>O1167</f>
        <v/>
      </c>
      <c r="L1167" s="11">
        <f>L1166+IF(K1167&gt;0,K1167*Summary!$B$9,K1167/Summary!$B$9)</f>
        <v/>
      </c>
      <c r="M1167" s="11">
        <f>G1167+H1167</f>
        <v/>
      </c>
      <c r="N1167" s="11">
        <f>Summary!$C$16*Summary!$B$8</f>
        <v/>
      </c>
      <c r="O1167" s="11">
        <f>M1167-N1167</f>
        <v/>
      </c>
    </row>
    <row r="1168">
      <c r="A1168" s="9" t="n">
        <v>45340.58333333334</v>
      </c>
      <c r="B1168" t="n">
        <v>2</v>
      </c>
      <c r="C1168" t="n">
        <v>18</v>
      </c>
      <c r="D1168" t="n">
        <v>14</v>
      </c>
      <c r="E1168" s="10" t="n">
        <v>0.167355</v>
      </c>
      <c r="F1168" s="10" t="n">
        <v>0.384185900204616</v>
      </c>
      <c r="G1168" s="11">
        <f>E1168*Summary!$B$6</f>
        <v/>
      </c>
      <c r="H1168" s="11">
        <f>F1168*Summary!$B$7</f>
        <v/>
      </c>
      <c r="I1168" s="11">
        <f>MAX(0,N1168-M1168)</f>
        <v/>
      </c>
      <c r="J1168" s="11">
        <f>MAX(0,M1168-N1168)</f>
        <v/>
      </c>
      <c r="K1168" s="11">
        <f>O1168</f>
        <v/>
      </c>
      <c r="L1168" s="11">
        <f>L1167+IF(K1168&gt;0,K1168*Summary!$B$9,K1168/Summary!$B$9)</f>
        <v/>
      </c>
      <c r="M1168" s="11">
        <f>G1168+H1168</f>
        <v/>
      </c>
      <c r="N1168" s="11">
        <f>Summary!$C$16*Summary!$B$8</f>
        <v/>
      </c>
      <c r="O1168" s="11">
        <f>M1168-N1168</f>
        <v/>
      </c>
    </row>
    <row r="1169">
      <c r="A1169" s="9" t="n">
        <v>45340.625</v>
      </c>
      <c r="B1169" t="n">
        <v>2</v>
      </c>
      <c r="C1169" t="n">
        <v>18</v>
      </c>
      <c r="D1169" t="n">
        <v>15</v>
      </c>
      <c r="E1169" s="10" t="n">
        <v>0.08308</v>
      </c>
      <c r="F1169" s="10" t="n">
        <v>0.3886657412797779</v>
      </c>
      <c r="G1169" s="11">
        <f>E1169*Summary!$B$6</f>
        <v/>
      </c>
      <c r="H1169" s="11">
        <f>F1169*Summary!$B$7</f>
        <v/>
      </c>
      <c r="I1169" s="11">
        <f>MAX(0,N1169-M1169)</f>
        <v/>
      </c>
      <c r="J1169" s="11">
        <f>MAX(0,M1169-N1169)</f>
        <v/>
      </c>
      <c r="K1169" s="11">
        <f>O1169</f>
        <v/>
      </c>
      <c r="L1169" s="11">
        <f>L1168+IF(K1169&gt;0,K1169*Summary!$B$9,K1169/Summary!$B$9)</f>
        <v/>
      </c>
      <c r="M1169" s="11">
        <f>G1169+H1169</f>
        <v/>
      </c>
      <c r="N1169" s="11">
        <f>Summary!$C$16*Summary!$B$8</f>
        <v/>
      </c>
      <c r="O1169" s="11">
        <f>M1169-N1169</f>
        <v/>
      </c>
    </row>
    <row r="1170">
      <c r="A1170" s="9" t="n">
        <v>45340.66666666666</v>
      </c>
      <c r="B1170" t="n">
        <v>2</v>
      </c>
      <c r="C1170" t="n">
        <v>18</v>
      </c>
      <c r="D1170" t="n">
        <v>16</v>
      </c>
      <c r="E1170" s="10" t="n">
        <v>0.014083</v>
      </c>
      <c r="F1170" s="10" t="n">
        <v>0.3995491198917888</v>
      </c>
      <c r="G1170" s="11">
        <f>E1170*Summary!$B$6</f>
        <v/>
      </c>
      <c r="H1170" s="11">
        <f>F1170*Summary!$B$7</f>
        <v/>
      </c>
      <c r="I1170" s="11">
        <f>MAX(0,N1170-M1170)</f>
        <v/>
      </c>
      <c r="J1170" s="11">
        <f>MAX(0,M1170-N1170)</f>
        <v/>
      </c>
      <c r="K1170" s="11">
        <f>O1170</f>
        <v/>
      </c>
      <c r="L1170" s="11">
        <f>L1169+IF(K1170&gt;0,K1170*Summary!$B$9,K1170/Summary!$B$9)</f>
        <v/>
      </c>
      <c r="M1170" s="11">
        <f>G1170+H1170</f>
        <v/>
      </c>
      <c r="N1170" s="11">
        <f>Summary!$C$16*Summary!$B$8</f>
        <v/>
      </c>
      <c r="O1170" s="11">
        <f>M1170-N1170</f>
        <v/>
      </c>
    </row>
    <row r="1171">
      <c r="A1171" s="9" t="n">
        <v>45340.70833333334</v>
      </c>
      <c r="B1171" t="n">
        <v>2</v>
      </c>
      <c r="C1171" t="n">
        <v>18</v>
      </c>
      <c r="D1171" t="n">
        <v>17</v>
      </c>
      <c r="E1171" s="10" t="n">
        <v>0</v>
      </c>
      <c r="F1171" s="10" t="n">
        <v>0.4164144039394569</v>
      </c>
      <c r="G1171" s="11">
        <f>E1171*Summary!$B$6</f>
        <v/>
      </c>
      <c r="H1171" s="11">
        <f>F1171*Summary!$B$7</f>
        <v/>
      </c>
      <c r="I1171" s="11">
        <f>MAX(0,N1171-M1171)</f>
        <v/>
      </c>
      <c r="J1171" s="11">
        <f>MAX(0,M1171-N1171)</f>
        <v/>
      </c>
      <c r="K1171" s="11">
        <f>O1171</f>
        <v/>
      </c>
      <c r="L1171" s="11">
        <f>L1170+IF(K1171&gt;0,K1171*Summary!$B$9,K1171/Summary!$B$9)</f>
        <v/>
      </c>
      <c r="M1171" s="11">
        <f>G1171+H1171</f>
        <v/>
      </c>
      <c r="N1171" s="11">
        <f>Summary!$C$16*Summary!$B$8</f>
        <v/>
      </c>
      <c r="O1171" s="11">
        <f>M1171-N1171</f>
        <v/>
      </c>
    </row>
    <row r="1172">
      <c r="A1172" s="9" t="n">
        <v>45340.75</v>
      </c>
      <c r="B1172" t="n">
        <v>2</v>
      </c>
      <c r="C1172" t="n">
        <v>18</v>
      </c>
      <c r="D1172" t="n">
        <v>18</v>
      </c>
      <c r="E1172" s="10" t="n">
        <v>0</v>
      </c>
      <c r="F1172" s="10" t="n">
        <v>0.4230024055205773</v>
      </c>
      <c r="G1172" s="11">
        <f>E1172*Summary!$B$6</f>
        <v/>
      </c>
      <c r="H1172" s="11">
        <f>F1172*Summary!$B$7</f>
        <v/>
      </c>
      <c r="I1172" s="11">
        <f>MAX(0,N1172-M1172)</f>
        <v/>
      </c>
      <c r="J1172" s="11">
        <f>MAX(0,M1172-N1172)</f>
        <v/>
      </c>
      <c r="K1172" s="11">
        <f>O1172</f>
        <v/>
      </c>
      <c r="L1172" s="11">
        <f>L1171+IF(K1172&gt;0,K1172*Summary!$B$9,K1172/Summary!$B$9)</f>
        <v/>
      </c>
      <c r="M1172" s="11">
        <f>G1172+H1172</f>
        <v/>
      </c>
      <c r="N1172" s="11">
        <f>Summary!$C$16*Summary!$B$8</f>
        <v/>
      </c>
      <c r="O1172" s="11">
        <f>M1172-N1172</f>
        <v/>
      </c>
    </row>
    <row r="1173">
      <c r="A1173" s="9" t="n">
        <v>45340.79166666666</v>
      </c>
      <c r="B1173" t="n">
        <v>2</v>
      </c>
      <c r="C1173" t="n">
        <v>18</v>
      </c>
      <c r="D1173" t="n">
        <v>19</v>
      </c>
      <c r="E1173" s="10" t="n">
        <v>0</v>
      </c>
      <c r="F1173" s="10" t="n">
        <v>0.4267970944313026</v>
      </c>
      <c r="G1173" s="11">
        <f>E1173*Summary!$B$6</f>
        <v/>
      </c>
      <c r="H1173" s="11">
        <f>F1173*Summary!$B$7</f>
        <v/>
      </c>
      <c r="I1173" s="11">
        <f>MAX(0,N1173-M1173)</f>
        <v/>
      </c>
      <c r="J1173" s="11">
        <f>MAX(0,M1173-N1173)</f>
        <v/>
      </c>
      <c r="K1173" s="11">
        <f>O1173</f>
        <v/>
      </c>
      <c r="L1173" s="11">
        <f>L1172+IF(K1173&gt;0,K1173*Summary!$B$9,K1173/Summary!$B$9)</f>
        <v/>
      </c>
      <c r="M1173" s="11">
        <f>G1173+H1173</f>
        <v/>
      </c>
      <c r="N1173" s="11">
        <f>Summary!$C$16*Summary!$B$8</f>
        <v/>
      </c>
      <c r="O1173" s="11">
        <f>M1173-N1173</f>
        <v/>
      </c>
    </row>
    <row r="1174">
      <c r="A1174" s="9" t="n">
        <v>45340.83333333334</v>
      </c>
      <c r="B1174" t="n">
        <v>2</v>
      </c>
      <c r="C1174" t="n">
        <v>18</v>
      </c>
      <c r="D1174" t="n">
        <v>20</v>
      </c>
      <c r="E1174" s="10" t="n">
        <v>0</v>
      </c>
      <c r="F1174" s="10" t="n">
        <v>0.4291951270068304</v>
      </c>
      <c r="G1174" s="11">
        <f>E1174*Summary!$B$6</f>
        <v/>
      </c>
      <c r="H1174" s="11">
        <f>F1174*Summary!$B$7</f>
        <v/>
      </c>
      <c r="I1174" s="11">
        <f>MAX(0,N1174-M1174)</f>
        <v/>
      </c>
      <c r="J1174" s="11">
        <f>MAX(0,M1174-N1174)</f>
        <v/>
      </c>
      <c r="K1174" s="11">
        <f>O1174</f>
        <v/>
      </c>
      <c r="L1174" s="11">
        <f>L1173+IF(K1174&gt;0,K1174*Summary!$B$9,K1174/Summary!$B$9)</f>
        <v/>
      </c>
      <c r="M1174" s="11">
        <f>G1174+H1174</f>
        <v/>
      </c>
      <c r="N1174" s="11">
        <f>Summary!$C$16*Summary!$B$8</f>
        <v/>
      </c>
      <c r="O1174" s="11">
        <f>M1174-N1174</f>
        <v/>
      </c>
    </row>
    <row r="1175">
      <c r="A1175" s="9" t="n">
        <v>45340.875</v>
      </c>
      <c r="B1175" t="n">
        <v>2</v>
      </c>
      <c r="C1175" t="n">
        <v>18</v>
      </c>
      <c r="D1175" t="n">
        <v>21</v>
      </c>
      <c r="E1175" s="10" t="n">
        <v>0</v>
      </c>
      <c r="F1175" s="10" t="n">
        <v>0.4292741830258039</v>
      </c>
      <c r="G1175" s="11">
        <f>E1175*Summary!$B$6</f>
        <v/>
      </c>
      <c r="H1175" s="11">
        <f>F1175*Summary!$B$7</f>
        <v/>
      </c>
      <c r="I1175" s="11">
        <f>MAX(0,N1175-M1175)</f>
        <v/>
      </c>
      <c r="J1175" s="11">
        <f>MAX(0,M1175-N1175)</f>
        <v/>
      </c>
      <c r="K1175" s="11">
        <f>O1175</f>
        <v/>
      </c>
      <c r="L1175" s="11">
        <f>L1174+IF(K1175&gt;0,K1175*Summary!$B$9,K1175/Summary!$B$9)</f>
        <v/>
      </c>
      <c r="M1175" s="11">
        <f>G1175+H1175</f>
        <v/>
      </c>
      <c r="N1175" s="11">
        <f>Summary!$C$16*Summary!$B$8</f>
        <v/>
      </c>
      <c r="O1175" s="11">
        <f>M1175-N1175</f>
        <v/>
      </c>
    </row>
    <row r="1176">
      <c r="A1176" s="9" t="n">
        <v>45340.91666666666</v>
      </c>
      <c r="B1176" t="n">
        <v>2</v>
      </c>
      <c r="C1176" t="n">
        <v>18</v>
      </c>
      <c r="D1176" t="n">
        <v>22</v>
      </c>
      <c r="E1176" s="10" t="n">
        <v>0</v>
      </c>
      <c r="F1176" s="10" t="n">
        <v>0.4244254138620993</v>
      </c>
      <c r="G1176" s="11">
        <f>E1176*Summary!$B$6</f>
        <v/>
      </c>
      <c r="H1176" s="11">
        <f>F1176*Summary!$B$7</f>
        <v/>
      </c>
      <c r="I1176" s="11">
        <f>MAX(0,N1176-M1176)</f>
        <v/>
      </c>
      <c r="J1176" s="11">
        <f>MAX(0,M1176-N1176)</f>
        <v/>
      </c>
      <c r="K1176" s="11">
        <f>O1176</f>
        <v/>
      </c>
      <c r="L1176" s="11">
        <f>L1175+IF(K1176&gt;0,K1176*Summary!$B$9,K1176/Summary!$B$9)</f>
        <v/>
      </c>
      <c r="M1176" s="11">
        <f>G1176+H1176</f>
        <v/>
      </c>
      <c r="N1176" s="11">
        <f>Summary!$C$16*Summary!$B$8</f>
        <v/>
      </c>
      <c r="O1176" s="11">
        <f>M1176-N1176</f>
        <v/>
      </c>
    </row>
    <row r="1177">
      <c r="A1177" s="9" t="n">
        <v>45340.95833333334</v>
      </c>
      <c r="B1177" t="n">
        <v>2</v>
      </c>
      <c r="C1177" t="n">
        <v>18</v>
      </c>
      <c r="D1177" t="n">
        <v>23</v>
      </c>
      <c r="E1177" s="10" t="n">
        <v>0</v>
      </c>
      <c r="F1177" s="10" t="n">
        <v>0.4194185326604478</v>
      </c>
      <c r="G1177" s="11">
        <f>E1177*Summary!$B$6</f>
        <v/>
      </c>
      <c r="H1177" s="11">
        <f>F1177*Summary!$B$7</f>
        <v/>
      </c>
      <c r="I1177" s="11">
        <f>MAX(0,N1177-M1177)</f>
        <v/>
      </c>
      <c r="J1177" s="11">
        <f>MAX(0,M1177-N1177)</f>
        <v/>
      </c>
      <c r="K1177" s="11">
        <f>O1177</f>
        <v/>
      </c>
      <c r="L1177" s="11">
        <f>L1176+IF(K1177&gt;0,K1177*Summary!$B$9,K1177/Summary!$B$9)</f>
        <v/>
      </c>
      <c r="M1177" s="11">
        <f>G1177+H1177</f>
        <v/>
      </c>
      <c r="N1177" s="11">
        <f>Summary!$C$16*Summary!$B$8</f>
        <v/>
      </c>
      <c r="O1177" s="11">
        <f>M1177-N1177</f>
        <v/>
      </c>
    </row>
    <row r="1178">
      <c r="A1178" s="9" t="n">
        <v>45341</v>
      </c>
      <c r="B1178" t="n">
        <v>2</v>
      </c>
      <c r="C1178" t="n">
        <v>19</v>
      </c>
      <c r="D1178" t="n">
        <v>0</v>
      </c>
      <c r="E1178" s="10" t="n">
        <v>0</v>
      </c>
      <c r="F1178" s="10" t="n">
        <v>0.2869206448609548</v>
      </c>
      <c r="G1178" s="11">
        <f>E1178*Summary!$B$6</f>
        <v/>
      </c>
      <c r="H1178" s="11">
        <f>F1178*Summary!$B$7</f>
        <v/>
      </c>
      <c r="I1178" s="11">
        <f>MAX(0,N1178-M1178)</f>
        <v/>
      </c>
      <c r="J1178" s="11">
        <f>MAX(0,M1178-N1178)</f>
        <v/>
      </c>
      <c r="K1178" s="11">
        <f>O1178</f>
        <v/>
      </c>
      <c r="L1178" s="11">
        <f>L1177+IF(K1178&gt;0,K1178*Summary!$B$9,K1178/Summary!$B$9)</f>
        <v/>
      </c>
      <c r="M1178" s="11">
        <f>G1178+H1178</f>
        <v/>
      </c>
      <c r="N1178" s="11">
        <f>Summary!$C$16*Summary!$B$8</f>
        <v/>
      </c>
      <c r="O1178" s="11">
        <f>M1178-N1178</f>
        <v/>
      </c>
    </row>
    <row r="1179">
      <c r="A1179" s="9" t="n">
        <v>45341.04166666666</v>
      </c>
      <c r="B1179" t="n">
        <v>2</v>
      </c>
      <c r="C1179" t="n">
        <v>19</v>
      </c>
      <c r="D1179" t="n">
        <v>1</v>
      </c>
      <c r="E1179" s="10" t="n">
        <v>0</v>
      </c>
      <c r="F1179" s="10" t="n">
        <v>0.401367408328178</v>
      </c>
      <c r="G1179" s="11">
        <f>E1179*Summary!$B$6</f>
        <v/>
      </c>
      <c r="H1179" s="11">
        <f>F1179*Summary!$B$7</f>
        <v/>
      </c>
      <c r="I1179" s="11">
        <f>MAX(0,N1179-M1179)</f>
        <v/>
      </c>
      <c r="J1179" s="11">
        <f>MAX(0,M1179-N1179)</f>
        <v/>
      </c>
      <c r="K1179" s="11">
        <f>O1179</f>
        <v/>
      </c>
      <c r="L1179" s="11">
        <f>L1178+IF(K1179&gt;0,K1179*Summary!$B$9,K1179/Summary!$B$9)</f>
        <v/>
      </c>
      <c r="M1179" s="11">
        <f>G1179+H1179</f>
        <v/>
      </c>
      <c r="N1179" s="11">
        <f>Summary!$C$16*Summary!$B$8</f>
        <v/>
      </c>
      <c r="O1179" s="11">
        <f>M1179-N1179</f>
        <v/>
      </c>
    </row>
    <row r="1180">
      <c r="A1180" s="9" t="n">
        <v>45341.08333333334</v>
      </c>
      <c r="B1180" t="n">
        <v>2</v>
      </c>
      <c r="C1180" t="n">
        <v>19</v>
      </c>
      <c r="D1180" t="n">
        <v>2</v>
      </c>
      <c r="E1180" s="10" t="n">
        <v>0</v>
      </c>
      <c r="F1180" s="10" t="n">
        <v>0.3918806860513647</v>
      </c>
      <c r="G1180" s="11">
        <f>E1180*Summary!$B$6</f>
        <v/>
      </c>
      <c r="H1180" s="11">
        <f>F1180*Summary!$B$7</f>
        <v/>
      </c>
      <c r="I1180" s="11">
        <f>MAX(0,N1180-M1180)</f>
        <v/>
      </c>
      <c r="J1180" s="11">
        <f>MAX(0,M1180-N1180)</f>
        <v/>
      </c>
      <c r="K1180" s="11">
        <f>O1180</f>
        <v/>
      </c>
      <c r="L1180" s="11">
        <f>L1179+IF(K1180&gt;0,K1180*Summary!$B$9,K1180/Summary!$B$9)</f>
        <v/>
      </c>
      <c r="M1180" s="11">
        <f>G1180+H1180</f>
        <v/>
      </c>
      <c r="N1180" s="11">
        <f>Summary!$C$16*Summary!$B$8</f>
        <v/>
      </c>
      <c r="O1180" s="11">
        <f>M1180-N1180</f>
        <v/>
      </c>
    </row>
    <row r="1181">
      <c r="A1181" s="9" t="n">
        <v>45341.125</v>
      </c>
      <c r="B1181" t="n">
        <v>2</v>
      </c>
      <c r="C1181" t="n">
        <v>19</v>
      </c>
      <c r="D1181" t="n">
        <v>3</v>
      </c>
      <c r="E1181" s="10" t="n">
        <v>0</v>
      </c>
      <c r="F1181" s="10" t="n">
        <v>0.3847919963500791</v>
      </c>
      <c r="G1181" s="11">
        <f>E1181*Summary!$B$6</f>
        <v/>
      </c>
      <c r="H1181" s="11">
        <f>F1181*Summary!$B$7</f>
        <v/>
      </c>
      <c r="I1181" s="11">
        <f>MAX(0,N1181-M1181)</f>
        <v/>
      </c>
      <c r="J1181" s="11">
        <f>MAX(0,M1181-N1181)</f>
        <v/>
      </c>
      <c r="K1181" s="11">
        <f>O1181</f>
        <v/>
      </c>
      <c r="L1181" s="11">
        <f>L1180+IF(K1181&gt;0,K1181*Summary!$B$9,K1181/Summary!$B$9)</f>
        <v/>
      </c>
      <c r="M1181" s="11">
        <f>G1181+H1181</f>
        <v/>
      </c>
      <c r="N1181" s="11">
        <f>Summary!$C$16*Summary!$B$8</f>
        <v/>
      </c>
      <c r="O1181" s="11">
        <f>M1181-N1181</f>
        <v/>
      </c>
    </row>
    <row r="1182">
      <c r="A1182" s="9" t="n">
        <v>45341.16666666666</v>
      </c>
      <c r="B1182" t="n">
        <v>2</v>
      </c>
      <c r="C1182" t="n">
        <v>19</v>
      </c>
      <c r="D1182" t="n">
        <v>4</v>
      </c>
      <c r="E1182" s="10" t="n">
        <v>0</v>
      </c>
      <c r="F1182" s="10" t="n">
        <v>0.3756214981491596</v>
      </c>
      <c r="G1182" s="11">
        <f>E1182*Summary!$B$6</f>
        <v/>
      </c>
      <c r="H1182" s="11">
        <f>F1182*Summary!$B$7</f>
        <v/>
      </c>
      <c r="I1182" s="11">
        <f>MAX(0,N1182-M1182)</f>
        <v/>
      </c>
      <c r="J1182" s="11">
        <f>MAX(0,M1182-N1182)</f>
        <v/>
      </c>
      <c r="K1182" s="11">
        <f>O1182</f>
        <v/>
      </c>
      <c r="L1182" s="11">
        <f>L1181+IF(K1182&gt;0,K1182*Summary!$B$9,K1182/Summary!$B$9)</f>
        <v/>
      </c>
      <c r="M1182" s="11">
        <f>G1182+H1182</f>
        <v/>
      </c>
      <c r="N1182" s="11">
        <f>Summary!$C$16*Summary!$B$8</f>
        <v/>
      </c>
      <c r="O1182" s="11">
        <f>M1182-N1182</f>
        <v/>
      </c>
    </row>
    <row r="1183">
      <c r="A1183" s="9" t="n">
        <v>45341.20833333334</v>
      </c>
      <c r="B1183" t="n">
        <v>2</v>
      </c>
      <c r="C1183" t="n">
        <v>19</v>
      </c>
      <c r="D1183" t="n">
        <v>5</v>
      </c>
      <c r="E1183" s="10" t="n">
        <v>0</v>
      </c>
      <c r="F1183" s="10" t="n">
        <v>0.3470032192807727</v>
      </c>
      <c r="G1183" s="11">
        <f>E1183*Summary!$B$6</f>
        <v/>
      </c>
      <c r="H1183" s="11">
        <f>F1183*Summary!$B$7</f>
        <v/>
      </c>
      <c r="I1183" s="11">
        <f>MAX(0,N1183-M1183)</f>
        <v/>
      </c>
      <c r="J1183" s="11">
        <f>MAX(0,M1183-N1183)</f>
        <v/>
      </c>
      <c r="K1183" s="11">
        <f>O1183</f>
        <v/>
      </c>
      <c r="L1183" s="11">
        <f>L1182+IF(K1183&gt;0,K1183*Summary!$B$9,K1183/Summary!$B$9)</f>
        <v/>
      </c>
      <c r="M1183" s="11">
        <f>G1183+H1183</f>
        <v/>
      </c>
      <c r="N1183" s="11">
        <f>Summary!$C$16*Summary!$B$8</f>
        <v/>
      </c>
      <c r="O1183" s="11">
        <f>M1183-N1183</f>
        <v/>
      </c>
    </row>
    <row r="1184">
      <c r="A1184" s="9" t="n">
        <v>45341.25</v>
      </c>
      <c r="B1184" t="n">
        <v>2</v>
      </c>
      <c r="C1184" t="n">
        <v>19</v>
      </c>
      <c r="D1184" t="n">
        <v>6</v>
      </c>
      <c r="E1184" s="10" t="n">
        <v>0</v>
      </c>
      <c r="F1184" s="10" t="n">
        <v>0.3563845335322881</v>
      </c>
      <c r="G1184" s="11">
        <f>E1184*Summary!$B$6</f>
        <v/>
      </c>
      <c r="H1184" s="11">
        <f>F1184*Summary!$B$7</f>
        <v/>
      </c>
      <c r="I1184" s="11">
        <f>MAX(0,N1184-M1184)</f>
        <v/>
      </c>
      <c r="J1184" s="11">
        <f>MAX(0,M1184-N1184)</f>
        <v/>
      </c>
      <c r="K1184" s="11">
        <f>O1184</f>
        <v/>
      </c>
      <c r="L1184" s="11">
        <f>L1183+IF(K1184&gt;0,K1184*Summary!$B$9,K1184/Summary!$B$9)</f>
        <v/>
      </c>
      <c r="M1184" s="11">
        <f>G1184+H1184</f>
        <v/>
      </c>
      <c r="N1184" s="11">
        <f>Summary!$C$16*Summary!$B$8</f>
        <v/>
      </c>
      <c r="O1184" s="11">
        <f>M1184-N1184</f>
        <v/>
      </c>
    </row>
    <row r="1185">
      <c r="A1185" s="9" t="n">
        <v>45341.29166666666</v>
      </c>
      <c r="B1185" t="n">
        <v>2</v>
      </c>
      <c r="C1185" t="n">
        <v>19</v>
      </c>
      <c r="D1185" t="n">
        <v>7</v>
      </c>
      <c r="E1185" s="10" t="n">
        <v>0</v>
      </c>
      <c r="F1185" s="10" t="n">
        <v>0.3449741147937875</v>
      </c>
      <c r="G1185" s="11">
        <f>E1185*Summary!$B$6</f>
        <v/>
      </c>
      <c r="H1185" s="11">
        <f>F1185*Summary!$B$7</f>
        <v/>
      </c>
      <c r="I1185" s="11">
        <f>MAX(0,N1185-M1185)</f>
        <v/>
      </c>
      <c r="J1185" s="11">
        <f>MAX(0,M1185-N1185)</f>
        <v/>
      </c>
      <c r="K1185" s="11">
        <f>O1185</f>
        <v/>
      </c>
      <c r="L1185" s="11">
        <f>L1184+IF(K1185&gt;0,K1185*Summary!$B$9,K1185/Summary!$B$9)</f>
        <v/>
      </c>
      <c r="M1185" s="11">
        <f>G1185+H1185</f>
        <v/>
      </c>
      <c r="N1185" s="11">
        <f>Summary!$C$16*Summary!$B$8</f>
        <v/>
      </c>
      <c r="O1185" s="11">
        <f>M1185-N1185</f>
        <v/>
      </c>
    </row>
    <row r="1186">
      <c r="A1186" s="9" t="n">
        <v>45341.33333333334</v>
      </c>
      <c r="B1186" t="n">
        <v>2</v>
      </c>
      <c r="C1186" t="n">
        <v>19</v>
      </c>
      <c r="D1186" t="n">
        <v>8</v>
      </c>
      <c r="E1186" s="10" t="n">
        <v>0.009811</v>
      </c>
      <c r="F1186" s="10" t="n">
        <v>0.3286622228789335</v>
      </c>
      <c r="G1186" s="11">
        <f>E1186*Summary!$B$6</f>
        <v/>
      </c>
      <c r="H1186" s="11">
        <f>F1186*Summary!$B$7</f>
        <v/>
      </c>
      <c r="I1186" s="11">
        <f>MAX(0,N1186-M1186)</f>
        <v/>
      </c>
      <c r="J1186" s="11">
        <f>MAX(0,M1186-N1186)</f>
        <v/>
      </c>
      <c r="K1186" s="11">
        <f>O1186</f>
        <v/>
      </c>
      <c r="L1186" s="11">
        <f>L1185+IF(K1186&gt;0,K1186*Summary!$B$9,K1186/Summary!$B$9)</f>
        <v/>
      </c>
      <c r="M1186" s="11">
        <f>G1186+H1186</f>
        <v/>
      </c>
      <c r="N1186" s="11">
        <f>Summary!$C$16*Summary!$B$8</f>
        <v/>
      </c>
      <c r="O1186" s="11">
        <f>M1186-N1186</f>
        <v/>
      </c>
    </row>
    <row r="1187">
      <c r="A1187" s="9" t="n">
        <v>45341.375</v>
      </c>
      <c r="B1187" t="n">
        <v>2</v>
      </c>
      <c r="C1187" t="n">
        <v>19</v>
      </c>
      <c r="D1187" t="n">
        <v>9</v>
      </c>
      <c r="E1187" s="10" t="n">
        <v>0.064455</v>
      </c>
      <c r="F1187" s="10" t="n">
        <v>0.3147483635396072</v>
      </c>
      <c r="G1187" s="11">
        <f>E1187*Summary!$B$6</f>
        <v/>
      </c>
      <c r="H1187" s="11">
        <f>F1187*Summary!$B$7</f>
        <v/>
      </c>
      <c r="I1187" s="11">
        <f>MAX(0,N1187-M1187)</f>
        <v/>
      </c>
      <c r="J1187" s="11">
        <f>MAX(0,M1187-N1187)</f>
        <v/>
      </c>
      <c r="K1187" s="11">
        <f>O1187</f>
        <v/>
      </c>
      <c r="L1187" s="11">
        <f>L1186+IF(K1187&gt;0,K1187*Summary!$B$9,K1187/Summary!$B$9)</f>
        <v/>
      </c>
      <c r="M1187" s="11">
        <f>G1187+H1187</f>
        <v/>
      </c>
      <c r="N1187" s="11">
        <f>Summary!$C$16*Summary!$B$8</f>
        <v/>
      </c>
      <c r="O1187" s="11">
        <f>M1187-N1187</f>
        <v/>
      </c>
    </row>
    <row r="1188">
      <c r="A1188" s="9" t="n">
        <v>45341.41666666666</v>
      </c>
      <c r="B1188" t="n">
        <v>2</v>
      </c>
      <c r="C1188" t="n">
        <v>19</v>
      </c>
      <c r="D1188" t="n">
        <v>10</v>
      </c>
      <c r="E1188" s="10" t="n">
        <v>0.131345</v>
      </c>
      <c r="F1188" s="10" t="n">
        <v>0.2962492550998212</v>
      </c>
      <c r="G1188" s="11">
        <f>E1188*Summary!$B$6</f>
        <v/>
      </c>
      <c r="H1188" s="11">
        <f>F1188*Summary!$B$7</f>
        <v/>
      </c>
      <c r="I1188" s="11">
        <f>MAX(0,N1188-M1188)</f>
        <v/>
      </c>
      <c r="J1188" s="11">
        <f>MAX(0,M1188-N1188)</f>
        <v/>
      </c>
      <c r="K1188" s="11">
        <f>O1188</f>
        <v/>
      </c>
      <c r="L1188" s="11">
        <f>L1187+IF(K1188&gt;0,K1188*Summary!$B$9,K1188/Summary!$B$9)</f>
        <v/>
      </c>
      <c r="M1188" s="11">
        <f>G1188+H1188</f>
        <v/>
      </c>
      <c r="N1188" s="11">
        <f>Summary!$C$16*Summary!$B$8</f>
        <v/>
      </c>
      <c r="O1188" s="11">
        <f>M1188-N1188</f>
        <v/>
      </c>
    </row>
    <row r="1189">
      <c r="A1189" s="9" t="n">
        <v>45341.45833333334</v>
      </c>
      <c r="B1189" t="n">
        <v>2</v>
      </c>
      <c r="C1189" t="n">
        <v>19</v>
      </c>
      <c r="D1189" t="n">
        <v>11</v>
      </c>
      <c r="E1189" s="10" t="n">
        <v>0.284489</v>
      </c>
      <c r="F1189" s="10" t="n">
        <v>0.2825725638174153</v>
      </c>
      <c r="G1189" s="11">
        <f>E1189*Summary!$B$6</f>
        <v/>
      </c>
      <c r="H1189" s="11">
        <f>F1189*Summary!$B$7</f>
        <v/>
      </c>
      <c r="I1189" s="11">
        <f>MAX(0,N1189-M1189)</f>
        <v/>
      </c>
      <c r="J1189" s="11">
        <f>MAX(0,M1189-N1189)</f>
        <v/>
      </c>
      <c r="K1189" s="11">
        <f>O1189</f>
        <v/>
      </c>
      <c r="L1189" s="11">
        <f>L1188+IF(K1189&gt;0,K1189*Summary!$B$9,K1189/Summary!$B$9)</f>
        <v/>
      </c>
      <c r="M1189" s="11">
        <f>G1189+H1189</f>
        <v/>
      </c>
      <c r="N1189" s="11">
        <f>Summary!$C$16*Summary!$B$8</f>
        <v/>
      </c>
      <c r="O1189" s="11">
        <f>M1189-N1189</f>
        <v/>
      </c>
    </row>
    <row r="1190">
      <c r="A1190" s="9" t="n">
        <v>45341.5</v>
      </c>
      <c r="B1190" t="n">
        <v>2</v>
      </c>
      <c r="C1190" t="n">
        <v>19</v>
      </c>
      <c r="D1190" t="n">
        <v>12</v>
      </c>
      <c r="E1190" s="10" t="n">
        <v>0.305568</v>
      </c>
      <c r="F1190" s="10" t="n">
        <v>0.278066370735929</v>
      </c>
      <c r="G1190" s="11">
        <f>E1190*Summary!$B$6</f>
        <v/>
      </c>
      <c r="H1190" s="11">
        <f>F1190*Summary!$B$7</f>
        <v/>
      </c>
      <c r="I1190" s="11">
        <f>MAX(0,N1190-M1190)</f>
        <v/>
      </c>
      <c r="J1190" s="11">
        <f>MAX(0,M1190-N1190)</f>
        <v/>
      </c>
      <c r="K1190" s="11">
        <f>O1190</f>
        <v/>
      </c>
      <c r="L1190" s="11">
        <f>L1189+IF(K1190&gt;0,K1190*Summary!$B$9,K1190/Summary!$B$9)</f>
        <v/>
      </c>
      <c r="M1190" s="11">
        <f>G1190+H1190</f>
        <v/>
      </c>
      <c r="N1190" s="11">
        <f>Summary!$C$16*Summary!$B$8</f>
        <v/>
      </c>
      <c r="O1190" s="11">
        <f>M1190-N1190</f>
        <v/>
      </c>
    </row>
    <row r="1191">
      <c r="A1191" s="9" t="n">
        <v>45341.54166666666</v>
      </c>
      <c r="B1191" t="n">
        <v>2</v>
      </c>
      <c r="C1191" t="n">
        <v>19</v>
      </c>
      <c r="D1191" t="n">
        <v>13</v>
      </c>
      <c r="E1191" s="10" t="n">
        <v>0.230301</v>
      </c>
      <c r="F1191" s="10" t="n">
        <v>0.2783035387928493</v>
      </c>
      <c r="G1191" s="11">
        <f>E1191*Summary!$B$6</f>
        <v/>
      </c>
      <c r="H1191" s="11">
        <f>F1191*Summary!$B$7</f>
        <v/>
      </c>
      <c r="I1191" s="11">
        <f>MAX(0,N1191-M1191)</f>
        <v/>
      </c>
      <c r="J1191" s="11">
        <f>MAX(0,M1191-N1191)</f>
        <v/>
      </c>
      <c r="K1191" s="11">
        <f>O1191</f>
        <v/>
      </c>
      <c r="L1191" s="11">
        <f>L1190+IF(K1191&gt;0,K1191*Summary!$B$9,K1191/Summary!$B$9)</f>
        <v/>
      </c>
      <c r="M1191" s="11">
        <f>G1191+H1191</f>
        <v/>
      </c>
      <c r="N1191" s="11">
        <f>Summary!$C$16*Summary!$B$8</f>
        <v/>
      </c>
      <c r="O1191" s="11">
        <f>M1191-N1191</f>
        <v/>
      </c>
    </row>
    <row r="1192">
      <c r="A1192" s="9" t="n">
        <v>45341.58333333334</v>
      </c>
      <c r="B1192" t="n">
        <v>2</v>
      </c>
      <c r="C1192" t="n">
        <v>19</v>
      </c>
      <c r="D1192" t="n">
        <v>14</v>
      </c>
      <c r="E1192" s="10" t="n">
        <v>0.287725</v>
      </c>
      <c r="F1192" s="10" t="n">
        <v>0.2776710906410618</v>
      </c>
      <c r="G1192" s="11">
        <f>E1192*Summary!$B$6</f>
        <v/>
      </c>
      <c r="H1192" s="11">
        <f>F1192*Summary!$B$7</f>
        <v/>
      </c>
      <c r="I1192" s="11">
        <f>MAX(0,N1192-M1192)</f>
        <v/>
      </c>
      <c r="J1192" s="11">
        <f>MAX(0,M1192-N1192)</f>
        <v/>
      </c>
      <c r="K1192" s="11">
        <f>O1192</f>
        <v/>
      </c>
      <c r="L1192" s="11">
        <f>L1191+IF(K1192&gt;0,K1192*Summary!$B$9,K1192/Summary!$B$9)</f>
        <v/>
      </c>
      <c r="M1192" s="11">
        <f>G1192+H1192</f>
        <v/>
      </c>
      <c r="N1192" s="11">
        <f>Summary!$C$16*Summary!$B$8</f>
        <v/>
      </c>
      <c r="O1192" s="11">
        <f>M1192-N1192</f>
        <v/>
      </c>
    </row>
    <row r="1193">
      <c r="A1193" s="9" t="n">
        <v>45341.625</v>
      </c>
      <c r="B1193" t="n">
        <v>2</v>
      </c>
      <c r="C1193" t="n">
        <v>19</v>
      </c>
      <c r="D1193" t="n">
        <v>15</v>
      </c>
      <c r="E1193" s="10" t="n">
        <v>0.210684</v>
      </c>
      <c r="F1193" s="10" t="n">
        <v>0.2827833798680112</v>
      </c>
      <c r="G1193" s="11">
        <f>E1193*Summary!$B$6</f>
        <v/>
      </c>
      <c r="H1193" s="11">
        <f>F1193*Summary!$B$7</f>
        <v/>
      </c>
      <c r="I1193" s="11">
        <f>MAX(0,N1193-M1193)</f>
        <v/>
      </c>
      <c r="J1193" s="11">
        <f>MAX(0,M1193-N1193)</f>
        <v/>
      </c>
      <c r="K1193" s="11">
        <f>O1193</f>
        <v/>
      </c>
      <c r="L1193" s="11">
        <f>L1192+IF(K1193&gt;0,K1193*Summary!$B$9,K1193/Summary!$B$9)</f>
        <v/>
      </c>
      <c r="M1193" s="11">
        <f>G1193+H1193</f>
        <v/>
      </c>
      <c r="N1193" s="11">
        <f>Summary!$C$16*Summary!$B$8</f>
        <v/>
      </c>
      <c r="O1193" s="11">
        <f>M1193-N1193</f>
        <v/>
      </c>
    </row>
    <row r="1194">
      <c r="A1194" s="9" t="n">
        <v>45341.66666666666</v>
      </c>
      <c r="B1194" t="n">
        <v>2</v>
      </c>
      <c r="C1194" t="n">
        <v>19</v>
      </c>
      <c r="D1194" t="n">
        <v>16</v>
      </c>
      <c r="E1194" s="10" t="n">
        <v>0.057132</v>
      </c>
      <c r="F1194" s="10" t="n">
        <v>0.2944836706760809</v>
      </c>
      <c r="G1194" s="11">
        <f>E1194*Summary!$B$6</f>
        <v/>
      </c>
      <c r="H1194" s="11">
        <f>F1194*Summary!$B$7</f>
        <v/>
      </c>
      <c r="I1194" s="11">
        <f>MAX(0,N1194-M1194)</f>
        <v/>
      </c>
      <c r="J1194" s="11">
        <f>MAX(0,M1194-N1194)</f>
        <v/>
      </c>
      <c r="K1194" s="11">
        <f>O1194</f>
        <v/>
      </c>
      <c r="L1194" s="11">
        <f>L1193+IF(K1194&gt;0,K1194*Summary!$B$9,K1194/Summary!$B$9)</f>
        <v/>
      </c>
      <c r="M1194" s="11">
        <f>G1194+H1194</f>
        <v/>
      </c>
      <c r="N1194" s="11">
        <f>Summary!$C$16*Summary!$B$8</f>
        <v/>
      </c>
      <c r="O1194" s="11">
        <f>M1194-N1194</f>
        <v/>
      </c>
    </row>
    <row r="1195">
      <c r="A1195" s="9" t="n">
        <v>45341.70833333334</v>
      </c>
      <c r="B1195" t="n">
        <v>2</v>
      </c>
      <c r="C1195" t="n">
        <v>19</v>
      </c>
      <c r="D1195" t="n">
        <v>17</v>
      </c>
      <c r="E1195" s="10" t="n">
        <v>0</v>
      </c>
      <c r="F1195" s="10" t="n">
        <v>0.3130091311221915</v>
      </c>
      <c r="G1195" s="11">
        <f>E1195*Summary!$B$6</f>
        <v/>
      </c>
      <c r="H1195" s="11">
        <f>F1195*Summary!$B$7</f>
        <v/>
      </c>
      <c r="I1195" s="11">
        <f>MAX(0,N1195-M1195)</f>
        <v/>
      </c>
      <c r="J1195" s="11">
        <f>MAX(0,M1195-N1195)</f>
        <v/>
      </c>
      <c r="K1195" s="11">
        <f>O1195</f>
        <v/>
      </c>
      <c r="L1195" s="11">
        <f>L1194+IF(K1195&gt;0,K1195*Summary!$B$9,K1195/Summary!$B$9)</f>
        <v/>
      </c>
      <c r="M1195" s="11">
        <f>G1195+H1195</f>
        <v/>
      </c>
      <c r="N1195" s="11">
        <f>Summary!$C$16*Summary!$B$8</f>
        <v/>
      </c>
      <c r="O1195" s="11">
        <f>M1195-N1195</f>
        <v/>
      </c>
    </row>
    <row r="1196">
      <c r="A1196" s="9" t="n">
        <v>45341.75</v>
      </c>
      <c r="B1196" t="n">
        <v>2</v>
      </c>
      <c r="C1196" t="n">
        <v>19</v>
      </c>
      <c r="D1196" t="n">
        <v>18</v>
      </c>
      <c r="E1196" s="10" t="n">
        <v>0</v>
      </c>
      <c r="F1196" s="10" t="n">
        <v>0.3231283015507923</v>
      </c>
      <c r="G1196" s="11">
        <f>E1196*Summary!$B$6</f>
        <v/>
      </c>
      <c r="H1196" s="11">
        <f>F1196*Summary!$B$7</f>
        <v/>
      </c>
      <c r="I1196" s="11">
        <f>MAX(0,N1196-M1196)</f>
        <v/>
      </c>
      <c r="J1196" s="11">
        <f>MAX(0,M1196-N1196)</f>
        <v/>
      </c>
      <c r="K1196" s="11">
        <f>O1196</f>
        <v/>
      </c>
      <c r="L1196" s="11">
        <f>L1195+IF(K1196&gt;0,K1196*Summary!$B$9,K1196/Summary!$B$9)</f>
        <v/>
      </c>
      <c r="M1196" s="11">
        <f>G1196+H1196</f>
        <v/>
      </c>
      <c r="N1196" s="11">
        <f>Summary!$C$16*Summary!$B$8</f>
        <v/>
      </c>
      <c r="O1196" s="11">
        <f>M1196-N1196</f>
        <v/>
      </c>
    </row>
    <row r="1197">
      <c r="A1197" s="9" t="n">
        <v>45341.79166666666</v>
      </c>
      <c r="B1197" t="n">
        <v>2</v>
      </c>
      <c r="C1197" t="n">
        <v>19</v>
      </c>
      <c r="D1197" t="n">
        <v>19</v>
      </c>
      <c r="E1197" s="10" t="n">
        <v>0</v>
      </c>
      <c r="F1197" s="10" t="n">
        <v>0.3277662546639011</v>
      </c>
      <c r="G1197" s="11">
        <f>E1197*Summary!$B$6</f>
        <v/>
      </c>
      <c r="H1197" s="11">
        <f>F1197*Summary!$B$7</f>
        <v/>
      </c>
      <c r="I1197" s="11">
        <f>MAX(0,N1197-M1197)</f>
        <v/>
      </c>
      <c r="J1197" s="11">
        <f>MAX(0,M1197-N1197)</f>
        <v/>
      </c>
      <c r="K1197" s="11">
        <f>O1197</f>
        <v/>
      </c>
      <c r="L1197" s="11">
        <f>L1196+IF(K1197&gt;0,K1197*Summary!$B$9,K1197/Summary!$B$9)</f>
        <v/>
      </c>
      <c r="M1197" s="11">
        <f>G1197+H1197</f>
        <v/>
      </c>
      <c r="N1197" s="11">
        <f>Summary!$C$16*Summary!$B$8</f>
        <v/>
      </c>
      <c r="O1197" s="11">
        <f>M1197-N1197</f>
        <v/>
      </c>
    </row>
    <row r="1198">
      <c r="A1198" s="9" t="n">
        <v>45341.83333333334</v>
      </c>
      <c r="B1198" t="n">
        <v>2</v>
      </c>
      <c r="C1198" t="n">
        <v>19</v>
      </c>
      <c r="D1198" t="n">
        <v>20</v>
      </c>
      <c r="E1198" s="10" t="n">
        <v>0</v>
      </c>
      <c r="F1198" s="10" t="n">
        <v>0.3241296777911227</v>
      </c>
      <c r="G1198" s="11">
        <f>E1198*Summary!$B$6</f>
        <v/>
      </c>
      <c r="H1198" s="11">
        <f>F1198*Summary!$B$7</f>
        <v/>
      </c>
      <c r="I1198" s="11">
        <f>MAX(0,N1198-M1198)</f>
        <v/>
      </c>
      <c r="J1198" s="11">
        <f>MAX(0,M1198-N1198)</f>
        <v/>
      </c>
      <c r="K1198" s="11">
        <f>O1198</f>
        <v/>
      </c>
      <c r="L1198" s="11">
        <f>L1197+IF(K1198&gt;0,K1198*Summary!$B$9,K1198/Summary!$B$9)</f>
        <v/>
      </c>
      <c r="M1198" s="11">
        <f>G1198+H1198</f>
        <v/>
      </c>
      <c r="N1198" s="11">
        <f>Summary!$C$16*Summary!$B$8</f>
        <v/>
      </c>
      <c r="O1198" s="11">
        <f>M1198-N1198</f>
        <v/>
      </c>
    </row>
    <row r="1199">
      <c r="A1199" s="9" t="n">
        <v>45341.875</v>
      </c>
      <c r="B1199" t="n">
        <v>2</v>
      </c>
      <c r="C1199" t="n">
        <v>19</v>
      </c>
      <c r="D1199" t="n">
        <v>21</v>
      </c>
      <c r="E1199" s="10" t="n">
        <v>0</v>
      </c>
      <c r="F1199" s="10" t="n">
        <v>0.3166193559886454</v>
      </c>
      <c r="G1199" s="11">
        <f>E1199*Summary!$B$6</f>
        <v/>
      </c>
      <c r="H1199" s="11">
        <f>F1199*Summary!$B$7</f>
        <v/>
      </c>
      <c r="I1199" s="11">
        <f>MAX(0,N1199-M1199)</f>
        <v/>
      </c>
      <c r="J1199" s="11">
        <f>MAX(0,M1199-N1199)</f>
        <v/>
      </c>
      <c r="K1199" s="11">
        <f>O1199</f>
        <v/>
      </c>
      <c r="L1199" s="11">
        <f>L1198+IF(K1199&gt;0,K1199*Summary!$B$9,K1199/Summary!$B$9)</f>
        <v/>
      </c>
      <c r="M1199" s="11">
        <f>G1199+H1199</f>
        <v/>
      </c>
      <c r="N1199" s="11">
        <f>Summary!$C$16*Summary!$B$8</f>
        <v/>
      </c>
      <c r="O1199" s="11">
        <f>M1199-N1199</f>
        <v/>
      </c>
    </row>
    <row r="1200">
      <c r="A1200" s="9" t="n">
        <v>45341.91666666666</v>
      </c>
      <c r="B1200" t="n">
        <v>2</v>
      </c>
      <c r="C1200" t="n">
        <v>19</v>
      </c>
      <c r="D1200" t="n">
        <v>22</v>
      </c>
      <c r="E1200" s="10" t="n">
        <v>0</v>
      </c>
      <c r="F1200" s="10" t="n">
        <v>0.3082130659711358</v>
      </c>
      <c r="G1200" s="11">
        <f>E1200*Summary!$B$6</f>
        <v/>
      </c>
      <c r="H1200" s="11">
        <f>F1200*Summary!$B$7</f>
        <v/>
      </c>
      <c r="I1200" s="11">
        <f>MAX(0,N1200-M1200)</f>
        <v/>
      </c>
      <c r="J1200" s="11">
        <f>MAX(0,M1200-N1200)</f>
        <v/>
      </c>
      <c r="K1200" s="11">
        <f>O1200</f>
        <v/>
      </c>
      <c r="L1200" s="11">
        <f>L1199+IF(K1200&gt;0,K1200*Summary!$B$9,K1200/Summary!$B$9)</f>
        <v/>
      </c>
      <c r="M1200" s="11">
        <f>G1200+H1200</f>
        <v/>
      </c>
      <c r="N1200" s="11">
        <f>Summary!$C$16*Summary!$B$8</f>
        <v/>
      </c>
      <c r="O1200" s="11">
        <f>M1200-N1200</f>
        <v/>
      </c>
    </row>
    <row r="1201">
      <c r="A1201" s="9" t="n">
        <v>45341.95833333334</v>
      </c>
      <c r="B1201" t="n">
        <v>2</v>
      </c>
      <c r="C1201" t="n">
        <v>19</v>
      </c>
      <c r="D1201" t="n">
        <v>23</v>
      </c>
      <c r="E1201" s="10" t="n">
        <v>0</v>
      </c>
      <c r="F1201" s="10" t="n">
        <v>0.2842590922221821</v>
      </c>
      <c r="G1201" s="11">
        <f>E1201*Summary!$B$6</f>
        <v/>
      </c>
      <c r="H1201" s="11">
        <f>F1201*Summary!$B$7</f>
        <v/>
      </c>
      <c r="I1201" s="11">
        <f>MAX(0,N1201-M1201)</f>
        <v/>
      </c>
      <c r="J1201" s="11">
        <f>MAX(0,M1201-N1201)</f>
        <v/>
      </c>
      <c r="K1201" s="11">
        <f>O1201</f>
        <v/>
      </c>
      <c r="L1201" s="11">
        <f>L1200+IF(K1201&gt;0,K1201*Summary!$B$9,K1201/Summary!$B$9)</f>
        <v/>
      </c>
      <c r="M1201" s="11">
        <f>G1201+H1201</f>
        <v/>
      </c>
      <c r="N1201" s="11">
        <f>Summary!$C$16*Summary!$B$8</f>
        <v/>
      </c>
      <c r="O1201" s="11">
        <f>M1201-N1201</f>
        <v/>
      </c>
    </row>
    <row r="1202">
      <c r="A1202" s="9" t="n">
        <v>45342</v>
      </c>
      <c r="B1202" t="n">
        <v>2</v>
      </c>
      <c r="C1202" t="n">
        <v>20</v>
      </c>
      <c r="D1202" t="n">
        <v>0</v>
      </c>
      <c r="E1202" s="10" t="n">
        <v>0</v>
      </c>
      <c r="F1202" s="10" t="n">
        <v>0.4574708297929991</v>
      </c>
      <c r="G1202" s="11">
        <f>E1202*Summary!$B$6</f>
        <v/>
      </c>
      <c r="H1202" s="11">
        <f>F1202*Summary!$B$7</f>
        <v/>
      </c>
      <c r="I1202" s="11">
        <f>MAX(0,N1202-M1202)</f>
        <v/>
      </c>
      <c r="J1202" s="11">
        <f>MAX(0,M1202-N1202)</f>
        <v/>
      </c>
      <c r="K1202" s="11">
        <f>O1202</f>
        <v/>
      </c>
      <c r="L1202" s="11">
        <f>L1201+IF(K1202&gt;0,K1202*Summary!$B$9,K1202/Summary!$B$9)</f>
        <v/>
      </c>
      <c r="M1202" s="11">
        <f>G1202+H1202</f>
        <v/>
      </c>
      <c r="N1202" s="11">
        <f>Summary!$C$16*Summary!$B$8</f>
        <v/>
      </c>
      <c r="O1202" s="11">
        <f>M1202-N1202</f>
        <v/>
      </c>
    </row>
    <row r="1203">
      <c r="A1203" s="9" t="n">
        <v>45342.04166666666</v>
      </c>
      <c r="B1203" t="n">
        <v>2</v>
      </c>
      <c r="C1203" t="n">
        <v>20</v>
      </c>
      <c r="D1203" t="n">
        <v>1</v>
      </c>
      <c r="E1203" s="10" t="n">
        <v>0</v>
      </c>
      <c r="F1203" s="10" t="n">
        <v>0.3231546535571169</v>
      </c>
      <c r="G1203" s="11">
        <f>E1203*Summary!$B$6</f>
        <v/>
      </c>
      <c r="H1203" s="11">
        <f>F1203*Summary!$B$7</f>
        <v/>
      </c>
      <c r="I1203" s="11">
        <f>MAX(0,N1203-M1203)</f>
        <v/>
      </c>
      <c r="J1203" s="11">
        <f>MAX(0,M1203-N1203)</f>
        <v/>
      </c>
      <c r="K1203" s="11">
        <f>O1203</f>
        <v/>
      </c>
      <c r="L1203" s="11">
        <f>L1202+IF(K1203&gt;0,K1203*Summary!$B$9,K1203/Summary!$B$9)</f>
        <v/>
      </c>
      <c r="M1203" s="11">
        <f>G1203+H1203</f>
        <v/>
      </c>
      <c r="N1203" s="11">
        <f>Summary!$C$16*Summary!$B$8</f>
        <v/>
      </c>
      <c r="O1203" s="11">
        <f>M1203-N1203</f>
        <v/>
      </c>
    </row>
    <row r="1204">
      <c r="A1204" s="9" t="n">
        <v>45342.08333333334</v>
      </c>
      <c r="B1204" t="n">
        <v>2</v>
      </c>
      <c r="C1204" t="n">
        <v>20</v>
      </c>
      <c r="D1204" t="n">
        <v>2</v>
      </c>
      <c r="E1204" s="10" t="n">
        <v>0</v>
      </c>
      <c r="F1204" s="10" t="n">
        <v>0.3359090246181659</v>
      </c>
      <c r="G1204" s="11">
        <f>E1204*Summary!$B$6</f>
        <v/>
      </c>
      <c r="H1204" s="11">
        <f>F1204*Summary!$B$7</f>
        <v/>
      </c>
      <c r="I1204" s="11">
        <f>MAX(0,N1204-M1204)</f>
        <v/>
      </c>
      <c r="J1204" s="11">
        <f>MAX(0,M1204-N1204)</f>
        <v/>
      </c>
      <c r="K1204" s="11">
        <f>O1204</f>
        <v/>
      </c>
      <c r="L1204" s="11">
        <f>L1203+IF(K1204&gt;0,K1204*Summary!$B$9,K1204/Summary!$B$9)</f>
        <v/>
      </c>
      <c r="M1204" s="11">
        <f>G1204+H1204</f>
        <v/>
      </c>
      <c r="N1204" s="11">
        <f>Summary!$C$16*Summary!$B$8</f>
        <v/>
      </c>
      <c r="O1204" s="11">
        <f>M1204-N1204</f>
        <v/>
      </c>
    </row>
    <row r="1205">
      <c r="A1205" s="9" t="n">
        <v>45342.125</v>
      </c>
      <c r="B1205" t="n">
        <v>2</v>
      </c>
      <c r="C1205" t="n">
        <v>20</v>
      </c>
      <c r="D1205" t="n">
        <v>3</v>
      </c>
      <c r="E1205" s="10" t="n">
        <v>0</v>
      </c>
      <c r="F1205" s="10" t="n">
        <v>0.3522999725519934</v>
      </c>
      <c r="G1205" s="11">
        <f>E1205*Summary!$B$6</f>
        <v/>
      </c>
      <c r="H1205" s="11">
        <f>F1205*Summary!$B$7</f>
        <v/>
      </c>
      <c r="I1205" s="11">
        <f>MAX(0,N1205-M1205)</f>
        <v/>
      </c>
      <c r="J1205" s="11">
        <f>MAX(0,M1205-N1205)</f>
        <v/>
      </c>
      <c r="K1205" s="11">
        <f>O1205</f>
        <v/>
      </c>
      <c r="L1205" s="11">
        <f>L1204+IF(K1205&gt;0,K1205*Summary!$B$9,K1205/Summary!$B$9)</f>
        <v/>
      </c>
      <c r="M1205" s="11">
        <f>G1205+H1205</f>
        <v/>
      </c>
      <c r="N1205" s="11">
        <f>Summary!$C$16*Summary!$B$8</f>
        <v/>
      </c>
      <c r="O1205" s="11">
        <f>M1205-N1205</f>
        <v/>
      </c>
    </row>
    <row r="1206">
      <c r="A1206" s="9" t="n">
        <v>45342.16666666666</v>
      </c>
      <c r="B1206" t="n">
        <v>2</v>
      </c>
      <c r="C1206" t="n">
        <v>20</v>
      </c>
      <c r="D1206" t="n">
        <v>4</v>
      </c>
      <c r="E1206" s="10" t="n">
        <v>0</v>
      </c>
      <c r="F1206" s="10" t="n">
        <v>0.3723538493649238</v>
      </c>
      <c r="G1206" s="11">
        <f>E1206*Summary!$B$6</f>
        <v/>
      </c>
      <c r="H1206" s="11">
        <f>F1206*Summary!$B$7</f>
        <v/>
      </c>
      <c r="I1206" s="11">
        <f>MAX(0,N1206-M1206)</f>
        <v/>
      </c>
      <c r="J1206" s="11">
        <f>MAX(0,M1206-N1206)</f>
        <v/>
      </c>
      <c r="K1206" s="11">
        <f>O1206</f>
        <v/>
      </c>
      <c r="L1206" s="11">
        <f>L1205+IF(K1206&gt;0,K1206*Summary!$B$9,K1206/Summary!$B$9)</f>
        <v/>
      </c>
      <c r="M1206" s="11">
        <f>G1206+H1206</f>
        <v/>
      </c>
      <c r="N1206" s="11">
        <f>Summary!$C$16*Summary!$B$8</f>
        <v/>
      </c>
      <c r="O1206" s="11">
        <f>M1206-N1206</f>
        <v/>
      </c>
    </row>
    <row r="1207">
      <c r="A1207" s="9" t="n">
        <v>45342.20833333334</v>
      </c>
      <c r="B1207" t="n">
        <v>2</v>
      </c>
      <c r="C1207" t="n">
        <v>20</v>
      </c>
      <c r="D1207" t="n">
        <v>5</v>
      </c>
      <c r="E1207" s="10" t="n">
        <v>0</v>
      </c>
      <c r="F1207" s="10" t="n">
        <v>0.3911428298742791</v>
      </c>
      <c r="G1207" s="11">
        <f>E1207*Summary!$B$6</f>
        <v/>
      </c>
      <c r="H1207" s="11">
        <f>F1207*Summary!$B$7</f>
        <v/>
      </c>
      <c r="I1207" s="11">
        <f>MAX(0,N1207-M1207)</f>
        <v/>
      </c>
      <c r="J1207" s="11">
        <f>MAX(0,M1207-N1207)</f>
        <v/>
      </c>
      <c r="K1207" s="11">
        <f>O1207</f>
        <v/>
      </c>
      <c r="L1207" s="11">
        <f>L1206+IF(K1207&gt;0,K1207*Summary!$B$9,K1207/Summary!$B$9)</f>
        <v/>
      </c>
      <c r="M1207" s="11">
        <f>G1207+H1207</f>
        <v/>
      </c>
      <c r="N1207" s="11">
        <f>Summary!$C$16*Summary!$B$8</f>
        <v/>
      </c>
      <c r="O1207" s="11">
        <f>M1207-N1207</f>
        <v/>
      </c>
    </row>
    <row r="1208">
      <c r="A1208" s="9" t="n">
        <v>45342.25</v>
      </c>
      <c r="B1208" t="n">
        <v>2</v>
      </c>
      <c r="C1208" t="n">
        <v>20</v>
      </c>
      <c r="D1208" t="n">
        <v>6</v>
      </c>
      <c r="E1208" s="10" t="n">
        <v>0</v>
      </c>
      <c r="F1208" s="10" t="n">
        <v>0.4044769450744668</v>
      </c>
      <c r="G1208" s="11">
        <f>E1208*Summary!$B$6</f>
        <v/>
      </c>
      <c r="H1208" s="11">
        <f>F1208*Summary!$B$7</f>
        <v/>
      </c>
      <c r="I1208" s="11">
        <f>MAX(0,N1208-M1208)</f>
        <v/>
      </c>
      <c r="J1208" s="11">
        <f>MAX(0,M1208-N1208)</f>
        <v/>
      </c>
      <c r="K1208" s="11">
        <f>O1208</f>
        <v/>
      </c>
      <c r="L1208" s="11">
        <f>L1207+IF(K1208&gt;0,K1208*Summary!$B$9,K1208/Summary!$B$9)</f>
        <v/>
      </c>
      <c r="M1208" s="11">
        <f>G1208+H1208</f>
        <v/>
      </c>
      <c r="N1208" s="11">
        <f>Summary!$C$16*Summary!$B$8</f>
        <v/>
      </c>
      <c r="O1208" s="11">
        <f>M1208-N1208</f>
        <v/>
      </c>
    </row>
    <row r="1209">
      <c r="A1209" s="9" t="n">
        <v>45342.29166666666</v>
      </c>
      <c r="B1209" t="n">
        <v>2</v>
      </c>
      <c r="C1209" t="n">
        <v>20</v>
      </c>
      <c r="D1209" t="n">
        <v>7</v>
      </c>
      <c r="E1209" s="10" t="n">
        <v>0</v>
      </c>
      <c r="F1209" s="10" t="n">
        <v>0.4143062434334984</v>
      </c>
      <c r="G1209" s="11">
        <f>E1209*Summary!$B$6</f>
        <v/>
      </c>
      <c r="H1209" s="11">
        <f>F1209*Summary!$B$7</f>
        <v/>
      </c>
      <c r="I1209" s="11">
        <f>MAX(0,N1209-M1209)</f>
        <v/>
      </c>
      <c r="J1209" s="11">
        <f>MAX(0,M1209-N1209)</f>
        <v/>
      </c>
      <c r="K1209" s="11">
        <f>O1209</f>
        <v/>
      </c>
      <c r="L1209" s="11">
        <f>L1208+IF(K1209&gt;0,K1209*Summary!$B$9,K1209/Summary!$B$9)</f>
        <v/>
      </c>
      <c r="M1209" s="11">
        <f>G1209+H1209</f>
        <v/>
      </c>
      <c r="N1209" s="11">
        <f>Summary!$C$16*Summary!$B$8</f>
        <v/>
      </c>
      <c r="O1209" s="11">
        <f>M1209-N1209</f>
        <v/>
      </c>
    </row>
    <row r="1210">
      <c r="A1210" s="9" t="n">
        <v>45342.33333333334</v>
      </c>
      <c r="B1210" t="n">
        <v>2</v>
      </c>
      <c r="C1210" t="n">
        <v>20</v>
      </c>
      <c r="D1210" t="n">
        <v>8</v>
      </c>
      <c r="E1210" s="10" t="n">
        <v>0.028929</v>
      </c>
      <c r="F1210" s="10" t="n">
        <v>0.4143325954398229</v>
      </c>
      <c r="G1210" s="11">
        <f>E1210*Summary!$B$6</f>
        <v/>
      </c>
      <c r="H1210" s="11">
        <f>F1210*Summary!$B$7</f>
        <v/>
      </c>
      <c r="I1210" s="11">
        <f>MAX(0,N1210-M1210)</f>
        <v/>
      </c>
      <c r="J1210" s="11">
        <f>MAX(0,M1210-N1210)</f>
        <v/>
      </c>
      <c r="K1210" s="11">
        <f>O1210</f>
        <v/>
      </c>
      <c r="L1210" s="11">
        <f>L1209+IF(K1210&gt;0,K1210*Summary!$B$9,K1210/Summary!$B$9)</f>
        <v/>
      </c>
      <c r="M1210" s="11">
        <f>G1210+H1210</f>
        <v/>
      </c>
      <c r="N1210" s="11">
        <f>Summary!$C$16*Summary!$B$8</f>
        <v/>
      </c>
      <c r="O1210" s="11">
        <f>M1210-N1210</f>
        <v/>
      </c>
    </row>
    <row r="1211">
      <c r="A1211" s="9" t="n">
        <v>45342.375</v>
      </c>
      <c r="B1211" t="n">
        <v>2</v>
      </c>
      <c r="C1211" t="n">
        <v>20</v>
      </c>
      <c r="D1211" t="n">
        <v>9</v>
      </c>
      <c r="E1211" s="10" t="n">
        <v>0.047196</v>
      </c>
      <c r="F1211" s="10" t="n">
        <v>0.4082979859915166</v>
      </c>
      <c r="G1211" s="11">
        <f>E1211*Summary!$B$6</f>
        <v/>
      </c>
      <c r="H1211" s="11">
        <f>F1211*Summary!$B$7</f>
        <v/>
      </c>
      <c r="I1211" s="11">
        <f>MAX(0,N1211-M1211)</f>
        <v/>
      </c>
      <c r="J1211" s="11">
        <f>MAX(0,M1211-N1211)</f>
        <v/>
      </c>
      <c r="K1211" s="11">
        <f>O1211</f>
        <v/>
      </c>
      <c r="L1211" s="11">
        <f>L1210+IF(K1211&gt;0,K1211*Summary!$B$9,K1211/Summary!$B$9)</f>
        <v/>
      </c>
      <c r="M1211" s="11">
        <f>G1211+H1211</f>
        <v/>
      </c>
      <c r="N1211" s="11">
        <f>Summary!$C$16*Summary!$B$8</f>
        <v/>
      </c>
      <c r="O1211" s="11">
        <f>M1211-N1211</f>
        <v/>
      </c>
    </row>
    <row r="1212">
      <c r="A1212" s="9" t="n">
        <v>45342.41666666666</v>
      </c>
      <c r="B1212" t="n">
        <v>2</v>
      </c>
      <c r="C1212" t="n">
        <v>20</v>
      </c>
      <c r="D1212" t="n">
        <v>10</v>
      </c>
      <c r="E1212" s="10" t="n">
        <v>0.041197</v>
      </c>
      <c r="F1212" s="10" t="n">
        <v>0.3934354544245091</v>
      </c>
      <c r="G1212" s="11">
        <f>E1212*Summary!$B$6</f>
        <v/>
      </c>
      <c r="H1212" s="11">
        <f>F1212*Summary!$B$7</f>
        <v/>
      </c>
      <c r="I1212" s="11">
        <f>MAX(0,N1212-M1212)</f>
        <v/>
      </c>
      <c r="J1212" s="11">
        <f>MAX(0,M1212-N1212)</f>
        <v/>
      </c>
      <c r="K1212" s="11">
        <f>O1212</f>
        <v/>
      </c>
      <c r="L1212" s="11">
        <f>L1211+IF(K1212&gt;0,K1212*Summary!$B$9,K1212/Summary!$B$9)</f>
        <v/>
      </c>
      <c r="M1212" s="11">
        <f>G1212+H1212</f>
        <v/>
      </c>
      <c r="N1212" s="11">
        <f>Summary!$C$16*Summary!$B$8</f>
        <v/>
      </c>
      <c r="O1212" s="11">
        <f>M1212-N1212</f>
        <v/>
      </c>
    </row>
    <row r="1213">
      <c r="A1213" s="9" t="n">
        <v>45342.45833333334</v>
      </c>
      <c r="B1213" t="n">
        <v>2</v>
      </c>
      <c r="C1213" t="n">
        <v>20</v>
      </c>
      <c r="D1213" t="n">
        <v>11</v>
      </c>
      <c r="E1213" s="10" t="n">
        <v>0.046137</v>
      </c>
      <c r="F1213" s="10" t="n">
        <v>0.379258075021938</v>
      </c>
      <c r="G1213" s="11">
        <f>E1213*Summary!$B$6</f>
        <v/>
      </c>
      <c r="H1213" s="11">
        <f>F1213*Summary!$B$7</f>
        <v/>
      </c>
      <c r="I1213" s="11">
        <f>MAX(0,N1213-M1213)</f>
        <v/>
      </c>
      <c r="J1213" s="11">
        <f>MAX(0,M1213-N1213)</f>
        <v/>
      </c>
      <c r="K1213" s="11">
        <f>O1213</f>
        <v/>
      </c>
      <c r="L1213" s="11">
        <f>L1212+IF(K1213&gt;0,K1213*Summary!$B$9,K1213/Summary!$B$9)</f>
        <v/>
      </c>
      <c r="M1213" s="11">
        <f>G1213+H1213</f>
        <v/>
      </c>
      <c r="N1213" s="11">
        <f>Summary!$C$16*Summary!$B$8</f>
        <v/>
      </c>
      <c r="O1213" s="11">
        <f>M1213-N1213</f>
        <v/>
      </c>
    </row>
    <row r="1214">
      <c r="A1214" s="9" t="n">
        <v>45342.5</v>
      </c>
      <c r="B1214" t="n">
        <v>2</v>
      </c>
      <c r="C1214" t="n">
        <v>20</v>
      </c>
      <c r="D1214" t="n">
        <v>12</v>
      </c>
      <c r="E1214" s="10" t="n">
        <v>0.033752</v>
      </c>
      <c r="F1214" s="10" t="n">
        <v>0.376359354326245</v>
      </c>
      <c r="G1214" s="11">
        <f>E1214*Summary!$B$6</f>
        <v/>
      </c>
      <c r="H1214" s="11">
        <f>F1214*Summary!$B$7</f>
        <v/>
      </c>
      <c r="I1214" s="11">
        <f>MAX(0,N1214-M1214)</f>
        <v/>
      </c>
      <c r="J1214" s="11">
        <f>MAX(0,M1214-N1214)</f>
        <v/>
      </c>
      <c r="K1214" s="11">
        <f>O1214</f>
        <v/>
      </c>
      <c r="L1214" s="11">
        <f>L1213+IF(K1214&gt;0,K1214*Summary!$B$9,K1214/Summary!$B$9)</f>
        <v/>
      </c>
      <c r="M1214" s="11">
        <f>G1214+H1214</f>
        <v/>
      </c>
      <c r="N1214" s="11">
        <f>Summary!$C$16*Summary!$B$8</f>
        <v/>
      </c>
      <c r="O1214" s="11">
        <f>M1214-N1214</f>
        <v/>
      </c>
    </row>
    <row r="1215">
      <c r="A1215" s="9" t="n">
        <v>45342.54166666666</v>
      </c>
      <c r="B1215" t="n">
        <v>2</v>
      </c>
      <c r="C1215" t="n">
        <v>20</v>
      </c>
      <c r="D1215" t="n">
        <v>13</v>
      </c>
      <c r="E1215" s="10" t="n">
        <v>0.039217</v>
      </c>
      <c r="F1215" s="10" t="n">
        <v>0.380628379350811</v>
      </c>
      <c r="G1215" s="11">
        <f>E1215*Summary!$B$6</f>
        <v/>
      </c>
      <c r="H1215" s="11">
        <f>F1215*Summary!$B$7</f>
        <v/>
      </c>
      <c r="I1215" s="11">
        <f>MAX(0,N1215-M1215)</f>
        <v/>
      </c>
      <c r="J1215" s="11">
        <f>MAX(0,M1215-N1215)</f>
        <v/>
      </c>
      <c r="K1215" s="11">
        <f>O1215</f>
        <v/>
      </c>
      <c r="L1215" s="11">
        <f>L1214+IF(K1215&gt;0,K1215*Summary!$B$9,K1215/Summary!$B$9)</f>
        <v/>
      </c>
      <c r="M1215" s="11">
        <f>G1215+H1215</f>
        <v/>
      </c>
      <c r="N1215" s="11">
        <f>Summary!$C$16*Summary!$B$8</f>
        <v/>
      </c>
      <c r="O1215" s="11">
        <f>M1215-N1215</f>
        <v/>
      </c>
    </row>
    <row r="1216">
      <c r="A1216" s="9" t="n">
        <v>45342.58333333334</v>
      </c>
      <c r="B1216" t="n">
        <v>2</v>
      </c>
      <c r="C1216" t="n">
        <v>20</v>
      </c>
      <c r="D1216" t="n">
        <v>14</v>
      </c>
      <c r="E1216" s="10" t="n">
        <v>0.035871</v>
      </c>
      <c r="F1216" s="10" t="n">
        <v>0.3881123491469638</v>
      </c>
      <c r="G1216" s="11">
        <f>E1216*Summary!$B$6</f>
        <v/>
      </c>
      <c r="H1216" s="11">
        <f>F1216*Summary!$B$7</f>
        <v/>
      </c>
      <c r="I1216" s="11">
        <f>MAX(0,N1216-M1216)</f>
        <v/>
      </c>
      <c r="J1216" s="11">
        <f>MAX(0,M1216-N1216)</f>
        <v/>
      </c>
      <c r="K1216" s="11">
        <f>O1216</f>
        <v/>
      </c>
      <c r="L1216" s="11">
        <f>L1215+IF(K1216&gt;0,K1216*Summary!$B$9,K1216/Summary!$B$9)</f>
        <v/>
      </c>
      <c r="M1216" s="11">
        <f>G1216+H1216</f>
        <v/>
      </c>
      <c r="N1216" s="11">
        <f>Summary!$C$16*Summary!$B$8</f>
        <v/>
      </c>
      <c r="O1216" s="11">
        <f>M1216-N1216</f>
        <v/>
      </c>
    </row>
    <row r="1217">
      <c r="A1217" s="9" t="n">
        <v>45342.625</v>
      </c>
      <c r="B1217" t="n">
        <v>2</v>
      </c>
      <c r="C1217" t="n">
        <v>20</v>
      </c>
      <c r="D1217" t="n">
        <v>15</v>
      </c>
      <c r="E1217" s="10" t="n">
        <v>0.032031</v>
      </c>
      <c r="F1217" s="10" t="n">
        <v>0.3969929752783141</v>
      </c>
      <c r="G1217" s="11">
        <f>E1217*Summary!$B$6</f>
        <v/>
      </c>
      <c r="H1217" s="11">
        <f>F1217*Summary!$B$7</f>
        <v/>
      </c>
      <c r="I1217" s="11">
        <f>MAX(0,N1217-M1217)</f>
        <v/>
      </c>
      <c r="J1217" s="11">
        <f>MAX(0,M1217-N1217)</f>
        <v/>
      </c>
      <c r="K1217" s="11">
        <f>O1217</f>
        <v/>
      </c>
      <c r="L1217" s="11">
        <f>L1216+IF(K1217&gt;0,K1217*Summary!$B$9,K1217/Summary!$B$9)</f>
        <v/>
      </c>
      <c r="M1217" s="11">
        <f>G1217+H1217</f>
        <v/>
      </c>
      <c r="N1217" s="11">
        <f>Summary!$C$16*Summary!$B$8</f>
        <v/>
      </c>
      <c r="O1217" s="11">
        <f>M1217-N1217</f>
        <v/>
      </c>
    </row>
    <row r="1218">
      <c r="A1218" s="9" t="n">
        <v>45342.66666666666</v>
      </c>
      <c r="B1218" t="n">
        <v>2</v>
      </c>
      <c r="C1218" t="n">
        <v>20</v>
      </c>
      <c r="D1218" t="n">
        <v>16</v>
      </c>
      <c r="E1218" s="10" t="n">
        <v>0.007239</v>
      </c>
      <c r="F1218" s="10" t="n">
        <v>0.4121453789148909</v>
      </c>
      <c r="G1218" s="11">
        <f>E1218*Summary!$B$6</f>
        <v/>
      </c>
      <c r="H1218" s="11">
        <f>F1218*Summary!$B$7</f>
        <v/>
      </c>
      <c r="I1218" s="11">
        <f>MAX(0,N1218-M1218)</f>
        <v/>
      </c>
      <c r="J1218" s="11">
        <f>MAX(0,M1218-N1218)</f>
        <v/>
      </c>
      <c r="K1218" s="11">
        <f>O1218</f>
        <v/>
      </c>
      <c r="L1218" s="11">
        <f>L1217+IF(K1218&gt;0,K1218*Summary!$B$9,K1218/Summary!$B$9)</f>
        <v/>
      </c>
      <c r="M1218" s="11">
        <f>G1218+H1218</f>
        <v/>
      </c>
      <c r="N1218" s="11">
        <f>Summary!$C$16*Summary!$B$8</f>
        <v/>
      </c>
      <c r="O1218" s="11">
        <f>M1218-N1218</f>
        <v/>
      </c>
    </row>
    <row r="1219">
      <c r="A1219" s="9" t="n">
        <v>45342.70833333334</v>
      </c>
      <c r="B1219" t="n">
        <v>2</v>
      </c>
      <c r="C1219" t="n">
        <v>20</v>
      </c>
      <c r="D1219" t="n">
        <v>17</v>
      </c>
      <c r="E1219" s="10" t="n">
        <v>0</v>
      </c>
      <c r="F1219" s="10" t="n">
        <v>0.434913512379243</v>
      </c>
      <c r="G1219" s="11">
        <f>E1219*Summary!$B$6</f>
        <v/>
      </c>
      <c r="H1219" s="11">
        <f>F1219*Summary!$B$7</f>
        <v/>
      </c>
      <c r="I1219" s="11">
        <f>MAX(0,N1219-M1219)</f>
        <v/>
      </c>
      <c r="J1219" s="11">
        <f>MAX(0,M1219-N1219)</f>
        <v/>
      </c>
      <c r="K1219" s="11">
        <f>O1219</f>
        <v/>
      </c>
      <c r="L1219" s="11">
        <f>L1218+IF(K1219&gt;0,K1219*Summary!$B$9,K1219/Summary!$B$9)</f>
        <v/>
      </c>
      <c r="M1219" s="11">
        <f>G1219+H1219</f>
        <v/>
      </c>
      <c r="N1219" s="11">
        <f>Summary!$C$16*Summary!$B$8</f>
        <v/>
      </c>
      <c r="O1219" s="11">
        <f>M1219-N1219</f>
        <v/>
      </c>
    </row>
    <row r="1220">
      <c r="A1220" s="9" t="n">
        <v>45342.75</v>
      </c>
      <c r="B1220" t="n">
        <v>2</v>
      </c>
      <c r="C1220" t="n">
        <v>20</v>
      </c>
      <c r="D1220" t="n">
        <v>18</v>
      </c>
      <c r="E1220" s="10" t="n">
        <v>0</v>
      </c>
      <c r="F1220" s="10" t="n">
        <v>0.456205933489424</v>
      </c>
      <c r="G1220" s="11">
        <f>E1220*Summary!$B$6</f>
        <v/>
      </c>
      <c r="H1220" s="11">
        <f>F1220*Summary!$B$7</f>
        <v/>
      </c>
      <c r="I1220" s="11">
        <f>MAX(0,N1220-M1220)</f>
        <v/>
      </c>
      <c r="J1220" s="11">
        <f>MAX(0,M1220-N1220)</f>
        <v/>
      </c>
      <c r="K1220" s="11">
        <f>O1220</f>
        <v/>
      </c>
      <c r="L1220" s="11">
        <f>L1219+IF(K1220&gt;0,K1220*Summary!$B$9,K1220/Summary!$B$9)</f>
        <v/>
      </c>
      <c r="M1220" s="11">
        <f>G1220+H1220</f>
        <v/>
      </c>
      <c r="N1220" s="11">
        <f>Summary!$C$16*Summary!$B$8</f>
        <v/>
      </c>
      <c r="O1220" s="11">
        <f>M1220-N1220</f>
        <v/>
      </c>
    </row>
    <row r="1221">
      <c r="A1221" s="9" t="n">
        <v>45342.79166666666</v>
      </c>
      <c r="B1221" t="n">
        <v>2</v>
      </c>
      <c r="C1221" t="n">
        <v>20</v>
      </c>
      <c r="D1221" t="n">
        <v>19</v>
      </c>
      <c r="E1221" s="10" t="n">
        <v>0</v>
      </c>
      <c r="F1221" s="10" t="n">
        <v>0.4673528321646797</v>
      </c>
      <c r="G1221" s="11">
        <f>E1221*Summary!$B$6</f>
        <v/>
      </c>
      <c r="H1221" s="11">
        <f>F1221*Summary!$B$7</f>
        <v/>
      </c>
      <c r="I1221" s="11">
        <f>MAX(0,N1221-M1221)</f>
        <v/>
      </c>
      <c r="J1221" s="11">
        <f>MAX(0,M1221-N1221)</f>
        <v/>
      </c>
      <c r="K1221" s="11">
        <f>O1221</f>
        <v/>
      </c>
      <c r="L1221" s="11">
        <f>L1220+IF(K1221&gt;0,K1221*Summary!$B$9,K1221/Summary!$B$9)</f>
        <v/>
      </c>
      <c r="M1221" s="11">
        <f>G1221+H1221</f>
        <v/>
      </c>
      <c r="N1221" s="11">
        <f>Summary!$C$16*Summary!$B$8</f>
        <v/>
      </c>
      <c r="O1221" s="11">
        <f>M1221-N1221</f>
        <v/>
      </c>
    </row>
    <row r="1222">
      <c r="A1222" s="9" t="n">
        <v>45342.83333333334</v>
      </c>
      <c r="B1222" t="n">
        <v>2</v>
      </c>
      <c r="C1222" t="n">
        <v>20</v>
      </c>
      <c r="D1222" t="n">
        <v>20</v>
      </c>
      <c r="E1222" s="10" t="n">
        <v>0</v>
      </c>
      <c r="F1222" s="10" t="n">
        <v>0.4722279533347088</v>
      </c>
      <c r="G1222" s="11">
        <f>E1222*Summary!$B$6</f>
        <v/>
      </c>
      <c r="H1222" s="11">
        <f>F1222*Summary!$B$7</f>
        <v/>
      </c>
      <c r="I1222" s="11">
        <f>MAX(0,N1222-M1222)</f>
        <v/>
      </c>
      <c r="J1222" s="11">
        <f>MAX(0,M1222-N1222)</f>
        <v/>
      </c>
      <c r="K1222" s="11">
        <f>O1222</f>
        <v/>
      </c>
      <c r="L1222" s="11">
        <f>L1221+IF(K1222&gt;0,K1222*Summary!$B$9,K1222/Summary!$B$9)</f>
        <v/>
      </c>
      <c r="M1222" s="11">
        <f>G1222+H1222</f>
        <v/>
      </c>
      <c r="N1222" s="11">
        <f>Summary!$C$16*Summary!$B$8</f>
        <v/>
      </c>
      <c r="O1222" s="11">
        <f>M1222-N1222</f>
        <v/>
      </c>
    </row>
    <row r="1223">
      <c r="A1223" s="9" t="n">
        <v>45342.875</v>
      </c>
      <c r="B1223" t="n">
        <v>2</v>
      </c>
      <c r="C1223" t="n">
        <v>20</v>
      </c>
      <c r="D1223" t="n">
        <v>21</v>
      </c>
      <c r="E1223" s="10" t="n">
        <v>0</v>
      </c>
      <c r="F1223" s="10" t="n">
        <v>0.4727022894485495</v>
      </c>
      <c r="G1223" s="11">
        <f>E1223*Summary!$B$6</f>
        <v/>
      </c>
      <c r="H1223" s="11">
        <f>F1223*Summary!$B$7</f>
        <v/>
      </c>
      <c r="I1223" s="11">
        <f>MAX(0,N1223-M1223)</f>
        <v/>
      </c>
      <c r="J1223" s="11">
        <f>MAX(0,M1223-N1223)</f>
        <v/>
      </c>
      <c r="K1223" s="11">
        <f>O1223</f>
        <v/>
      </c>
      <c r="L1223" s="11">
        <f>L1222+IF(K1223&gt;0,K1223*Summary!$B$9,K1223/Summary!$B$9)</f>
        <v/>
      </c>
      <c r="M1223" s="11">
        <f>G1223+H1223</f>
        <v/>
      </c>
      <c r="N1223" s="11">
        <f>Summary!$C$16*Summary!$B$8</f>
        <v/>
      </c>
      <c r="O1223" s="11">
        <f>M1223-N1223</f>
        <v/>
      </c>
    </row>
    <row r="1224">
      <c r="A1224" s="9" t="n">
        <v>45342.91666666666</v>
      </c>
      <c r="B1224" t="n">
        <v>2</v>
      </c>
      <c r="C1224" t="n">
        <v>20</v>
      </c>
      <c r="D1224" t="n">
        <v>22</v>
      </c>
      <c r="E1224" s="10" t="n">
        <v>0</v>
      </c>
      <c r="F1224" s="10" t="n">
        <v>0.4730975695434167</v>
      </c>
      <c r="G1224" s="11">
        <f>E1224*Summary!$B$6</f>
        <v/>
      </c>
      <c r="H1224" s="11">
        <f>F1224*Summary!$B$7</f>
        <v/>
      </c>
      <c r="I1224" s="11">
        <f>MAX(0,N1224-M1224)</f>
        <v/>
      </c>
      <c r="J1224" s="11">
        <f>MAX(0,M1224-N1224)</f>
        <v/>
      </c>
      <c r="K1224" s="11">
        <f>O1224</f>
        <v/>
      </c>
      <c r="L1224" s="11">
        <f>L1223+IF(K1224&gt;0,K1224*Summary!$B$9,K1224/Summary!$B$9)</f>
        <v/>
      </c>
      <c r="M1224" s="11">
        <f>G1224+H1224</f>
        <v/>
      </c>
      <c r="N1224" s="11">
        <f>Summary!$C$16*Summary!$B$8</f>
        <v/>
      </c>
      <c r="O1224" s="11">
        <f>M1224-N1224</f>
        <v/>
      </c>
    </row>
    <row r="1225">
      <c r="A1225" s="9" t="n">
        <v>45342.95833333334</v>
      </c>
      <c r="B1225" t="n">
        <v>2</v>
      </c>
      <c r="C1225" t="n">
        <v>20</v>
      </c>
      <c r="D1225" t="n">
        <v>23</v>
      </c>
      <c r="E1225" s="10" t="n">
        <v>0</v>
      </c>
      <c r="F1225" s="10" t="n">
        <v>0.4674055361773287</v>
      </c>
      <c r="G1225" s="11">
        <f>E1225*Summary!$B$6</f>
        <v/>
      </c>
      <c r="H1225" s="11">
        <f>F1225*Summary!$B$7</f>
        <v/>
      </c>
      <c r="I1225" s="11">
        <f>MAX(0,N1225-M1225)</f>
        <v/>
      </c>
      <c r="J1225" s="11">
        <f>MAX(0,M1225-N1225)</f>
        <v/>
      </c>
      <c r="K1225" s="11">
        <f>O1225</f>
        <v/>
      </c>
      <c r="L1225" s="11">
        <f>L1224+IF(K1225&gt;0,K1225*Summary!$B$9,K1225/Summary!$B$9)</f>
        <v/>
      </c>
      <c r="M1225" s="11">
        <f>G1225+H1225</f>
        <v/>
      </c>
      <c r="N1225" s="11">
        <f>Summary!$C$16*Summary!$B$8</f>
        <v/>
      </c>
      <c r="O1225" s="11">
        <f>M1225-N1225</f>
        <v/>
      </c>
    </row>
    <row r="1226">
      <c r="A1226" s="9" t="n">
        <v>45343</v>
      </c>
      <c r="B1226" t="n">
        <v>2</v>
      </c>
      <c r="C1226" t="n">
        <v>21</v>
      </c>
      <c r="D1226" t="n">
        <v>0</v>
      </c>
      <c r="E1226" s="10" t="n">
        <v>0</v>
      </c>
      <c r="F1226" s="10" t="n">
        <v>0.3551459892350374</v>
      </c>
      <c r="G1226" s="11">
        <f>E1226*Summary!$B$6</f>
        <v/>
      </c>
      <c r="H1226" s="11">
        <f>F1226*Summary!$B$7</f>
        <v/>
      </c>
      <c r="I1226" s="11">
        <f>MAX(0,N1226-M1226)</f>
        <v/>
      </c>
      <c r="J1226" s="11">
        <f>MAX(0,M1226-N1226)</f>
        <v/>
      </c>
      <c r="K1226" s="11">
        <f>O1226</f>
        <v/>
      </c>
      <c r="L1226" s="11">
        <f>L1225+IF(K1226&gt;0,K1226*Summary!$B$9,K1226/Summary!$B$9)</f>
        <v/>
      </c>
      <c r="M1226" s="11">
        <f>G1226+H1226</f>
        <v/>
      </c>
      <c r="N1226" s="11">
        <f>Summary!$C$16*Summary!$B$8</f>
        <v/>
      </c>
      <c r="O1226" s="11">
        <f>M1226-N1226</f>
        <v/>
      </c>
    </row>
    <row r="1227">
      <c r="A1227" s="9" t="n">
        <v>45343.04166666666</v>
      </c>
      <c r="B1227" t="n">
        <v>2</v>
      </c>
      <c r="C1227" t="n">
        <v>21</v>
      </c>
      <c r="D1227" t="n">
        <v>1</v>
      </c>
      <c r="E1227" s="10" t="n">
        <v>0</v>
      </c>
      <c r="F1227" s="10" t="n">
        <v>0.4971305993113438</v>
      </c>
      <c r="G1227" s="11">
        <f>E1227*Summary!$B$6</f>
        <v/>
      </c>
      <c r="H1227" s="11">
        <f>F1227*Summary!$B$7</f>
        <v/>
      </c>
      <c r="I1227" s="11">
        <f>MAX(0,N1227-M1227)</f>
        <v/>
      </c>
      <c r="J1227" s="11">
        <f>MAX(0,M1227-N1227)</f>
        <v/>
      </c>
      <c r="K1227" s="11">
        <f>O1227</f>
        <v/>
      </c>
      <c r="L1227" s="11">
        <f>L1226+IF(K1227&gt;0,K1227*Summary!$B$9,K1227/Summary!$B$9)</f>
        <v/>
      </c>
      <c r="M1227" s="11">
        <f>G1227+H1227</f>
        <v/>
      </c>
      <c r="N1227" s="11">
        <f>Summary!$C$16*Summary!$B$8</f>
        <v/>
      </c>
      <c r="O1227" s="11">
        <f>M1227-N1227</f>
        <v/>
      </c>
    </row>
    <row r="1228">
      <c r="A1228" s="9" t="n">
        <v>45343.08333333334</v>
      </c>
      <c r="B1228" t="n">
        <v>2</v>
      </c>
      <c r="C1228" t="n">
        <v>21</v>
      </c>
      <c r="D1228" t="n">
        <v>2</v>
      </c>
      <c r="E1228" s="10" t="n">
        <v>0</v>
      </c>
      <c r="F1228" s="10" t="n">
        <v>0.4837437800985072</v>
      </c>
      <c r="G1228" s="11">
        <f>E1228*Summary!$B$6</f>
        <v/>
      </c>
      <c r="H1228" s="11">
        <f>F1228*Summary!$B$7</f>
        <v/>
      </c>
      <c r="I1228" s="11">
        <f>MAX(0,N1228-M1228)</f>
        <v/>
      </c>
      <c r="J1228" s="11">
        <f>MAX(0,M1228-N1228)</f>
        <v/>
      </c>
      <c r="K1228" s="11">
        <f>O1228</f>
        <v/>
      </c>
      <c r="L1228" s="11">
        <f>L1227+IF(K1228&gt;0,K1228*Summary!$B$9,K1228/Summary!$B$9)</f>
        <v/>
      </c>
      <c r="M1228" s="11">
        <f>G1228+H1228</f>
        <v/>
      </c>
      <c r="N1228" s="11">
        <f>Summary!$C$16*Summary!$B$8</f>
        <v/>
      </c>
      <c r="O1228" s="11">
        <f>M1228-N1228</f>
        <v/>
      </c>
    </row>
    <row r="1229">
      <c r="A1229" s="9" t="n">
        <v>45343.125</v>
      </c>
      <c r="B1229" t="n">
        <v>2</v>
      </c>
      <c r="C1229" t="n">
        <v>21</v>
      </c>
      <c r="D1229" t="n">
        <v>3</v>
      </c>
      <c r="E1229" s="10" t="n">
        <v>0</v>
      </c>
      <c r="F1229" s="10" t="n">
        <v>0.425611254146701</v>
      </c>
      <c r="G1229" s="11">
        <f>E1229*Summary!$B$6</f>
        <v/>
      </c>
      <c r="H1229" s="11">
        <f>F1229*Summary!$B$7</f>
        <v/>
      </c>
      <c r="I1229" s="11">
        <f>MAX(0,N1229-M1229)</f>
        <v/>
      </c>
      <c r="J1229" s="11">
        <f>MAX(0,M1229-N1229)</f>
        <v/>
      </c>
      <c r="K1229" s="11">
        <f>O1229</f>
        <v/>
      </c>
      <c r="L1229" s="11">
        <f>L1228+IF(K1229&gt;0,K1229*Summary!$B$9,K1229/Summary!$B$9)</f>
        <v/>
      </c>
      <c r="M1229" s="11">
        <f>G1229+H1229</f>
        <v/>
      </c>
      <c r="N1229" s="11">
        <f>Summary!$C$16*Summary!$B$8</f>
        <v/>
      </c>
      <c r="O1229" s="11">
        <f>M1229-N1229</f>
        <v/>
      </c>
    </row>
    <row r="1230">
      <c r="A1230" s="9" t="n">
        <v>45343.16666666666</v>
      </c>
      <c r="B1230" t="n">
        <v>2</v>
      </c>
      <c r="C1230" t="n">
        <v>21</v>
      </c>
      <c r="D1230" t="n">
        <v>4</v>
      </c>
      <c r="E1230" s="10" t="n">
        <v>0</v>
      </c>
      <c r="F1230" s="10" t="n">
        <v>0.4131731071615457</v>
      </c>
      <c r="G1230" s="11">
        <f>E1230*Summary!$B$6</f>
        <v/>
      </c>
      <c r="H1230" s="11">
        <f>F1230*Summary!$B$7</f>
        <v/>
      </c>
      <c r="I1230" s="11">
        <f>MAX(0,N1230-M1230)</f>
        <v/>
      </c>
      <c r="J1230" s="11">
        <f>MAX(0,M1230-N1230)</f>
        <v/>
      </c>
      <c r="K1230" s="11">
        <f>O1230</f>
        <v/>
      </c>
      <c r="L1230" s="11">
        <f>L1229+IF(K1230&gt;0,K1230*Summary!$B$9,K1230/Summary!$B$9)</f>
        <v/>
      </c>
      <c r="M1230" s="11">
        <f>G1230+H1230</f>
        <v/>
      </c>
      <c r="N1230" s="11">
        <f>Summary!$C$16*Summary!$B$8</f>
        <v/>
      </c>
      <c r="O1230" s="11">
        <f>M1230-N1230</f>
        <v/>
      </c>
    </row>
    <row r="1231">
      <c r="A1231" s="9" t="n">
        <v>45343.20833333334</v>
      </c>
      <c r="B1231" t="n">
        <v>2</v>
      </c>
      <c r="C1231" t="n">
        <v>21</v>
      </c>
      <c r="D1231" t="n">
        <v>5</v>
      </c>
      <c r="E1231" s="10" t="n">
        <v>0</v>
      </c>
      <c r="F1231" s="10" t="n">
        <v>0.4048458731630096</v>
      </c>
      <c r="G1231" s="11">
        <f>E1231*Summary!$B$6</f>
        <v/>
      </c>
      <c r="H1231" s="11">
        <f>F1231*Summary!$B$7</f>
        <v/>
      </c>
      <c r="I1231" s="11">
        <f>MAX(0,N1231-M1231)</f>
        <v/>
      </c>
      <c r="J1231" s="11">
        <f>MAX(0,M1231-N1231)</f>
        <v/>
      </c>
      <c r="K1231" s="11">
        <f>O1231</f>
        <v/>
      </c>
      <c r="L1231" s="11">
        <f>L1230+IF(K1231&gt;0,K1231*Summary!$B$9,K1231/Summary!$B$9)</f>
        <v/>
      </c>
      <c r="M1231" s="11">
        <f>G1231+H1231</f>
        <v/>
      </c>
      <c r="N1231" s="11">
        <f>Summary!$C$16*Summary!$B$8</f>
        <v/>
      </c>
      <c r="O1231" s="11">
        <f>M1231-N1231</f>
        <v/>
      </c>
    </row>
    <row r="1232">
      <c r="A1232" s="9" t="n">
        <v>45343.25</v>
      </c>
      <c r="B1232" t="n">
        <v>2</v>
      </c>
      <c r="C1232" t="n">
        <v>21</v>
      </c>
      <c r="D1232" t="n">
        <v>6</v>
      </c>
      <c r="E1232" s="10" t="n">
        <v>0</v>
      </c>
      <c r="F1232" s="10" t="n">
        <v>0.3968612152466917</v>
      </c>
      <c r="G1232" s="11">
        <f>E1232*Summary!$B$6</f>
        <v/>
      </c>
      <c r="H1232" s="11">
        <f>F1232*Summary!$B$7</f>
        <v/>
      </c>
      <c r="I1232" s="11">
        <f>MAX(0,N1232-M1232)</f>
        <v/>
      </c>
      <c r="J1232" s="11">
        <f>MAX(0,M1232-N1232)</f>
        <v/>
      </c>
      <c r="K1232" s="11">
        <f>O1232</f>
        <v/>
      </c>
      <c r="L1232" s="11">
        <f>L1231+IF(K1232&gt;0,K1232*Summary!$B$9,K1232/Summary!$B$9)</f>
        <v/>
      </c>
      <c r="M1232" s="11">
        <f>G1232+H1232</f>
        <v/>
      </c>
      <c r="N1232" s="11">
        <f>Summary!$C$16*Summary!$B$8</f>
        <v/>
      </c>
      <c r="O1232" s="11">
        <f>M1232-N1232</f>
        <v/>
      </c>
    </row>
    <row r="1233">
      <c r="A1233" s="9" t="n">
        <v>45343.29166666666</v>
      </c>
      <c r="B1233" t="n">
        <v>2</v>
      </c>
      <c r="C1233" t="n">
        <v>21</v>
      </c>
      <c r="D1233" t="n">
        <v>7</v>
      </c>
      <c r="E1233" s="10" t="n">
        <v>0</v>
      </c>
      <c r="F1233" s="10" t="n">
        <v>0.4265072223617334</v>
      </c>
      <c r="G1233" s="11">
        <f>E1233*Summary!$B$6</f>
        <v/>
      </c>
      <c r="H1233" s="11">
        <f>F1233*Summary!$B$7</f>
        <v/>
      </c>
      <c r="I1233" s="11">
        <f>MAX(0,N1233-M1233)</f>
        <v/>
      </c>
      <c r="J1233" s="11">
        <f>MAX(0,M1233-N1233)</f>
        <v/>
      </c>
      <c r="K1233" s="11">
        <f>O1233</f>
        <v/>
      </c>
      <c r="L1233" s="11">
        <f>L1232+IF(K1233&gt;0,K1233*Summary!$B$9,K1233/Summary!$B$9)</f>
        <v/>
      </c>
      <c r="M1233" s="11">
        <f>G1233+H1233</f>
        <v/>
      </c>
      <c r="N1233" s="11">
        <f>Summary!$C$16*Summary!$B$8</f>
        <v/>
      </c>
      <c r="O1233" s="11">
        <f>M1233-N1233</f>
        <v/>
      </c>
    </row>
    <row r="1234">
      <c r="A1234" s="9" t="n">
        <v>45343.33333333334</v>
      </c>
      <c r="B1234" t="n">
        <v>2</v>
      </c>
      <c r="C1234" t="n">
        <v>21</v>
      </c>
      <c r="D1234" t="n">
        <v>8</v>
      </c>
      <c r="E1234" s="10" t="n">
        <v>0.027356</v>
      </c>
      <c r="F1234" s="10" t="n">
        <v>0.3769918024780326</v>
      </c>
      <c r="G1234" s="11">
        <f>E1234*Summary!$B$6</f>
        <v/>
      </c>
      <c r="H1234" s="11">
        <f>F1234*Summary!$B$7</f>
        <v/>
      </c>
      <c r="I1234" s="11">
        <f>MAX(0,N1234-M1234)</f>
        <v/>
      </c>
      <c r="J1234" s="11">
        <f>MAX(0,M1234-N1234)</f>
        <v/>
      </c>
      <c r="K1234" s="11">
        <f>O1234</f>
        <v/>
      </c>
      <c r="L1234" s="11">
        <f>L1233+IF(K1234&gt;0,K1234*Summary!$B$9,K1234/Summary!$B$9)</f>
        <v/>
      </c>
      <c r="M1234" s="11">
        <f>G1234+H1234</f>
        <v/>
      </c>
      <c r="N1234" s="11">
        <f>Summary!$C$16*Summary!$B$8</f>
        <v/>
      </c>
      <c r="O1234" s="11">
        <f>M1234-N1234</f>
        <v/>
      </c>
    </row>
    <row r="1235">
      <c r="A1235" s="9" t="n">
        <v>45343.375</v>
      </c>
      <c r="B1235" t="n">
        <v>2</v>
      </c>
      <c r="C1235" t="n">
        <v>21</v>
      </c>
      <c r="D1235" t="n">
        <v>9</v>
      </c>
      <c r="E1235" s="10" t="n">
        <v>0.167227</v>
      </c>
      <c r="F1235" s="10" t="n">
        <v>0.3629198311007595</v>
      </c>
      <c r="G1235" s="11">
        <f>E1235*Summary!$B$6</f>
        <v/>
      </c>
      <c r="H1235" s="11">
        <f>F1235*Summary!$B$7</f>
        <v/>
      </c>
      <c r="I1235" s="11">
        <f>MAX(0,N1235-M1235)</f>
        <v/>
      </c>
      <c r="J1235" s="11">
        <f>MAX(0,M1235-N1235)</f>
        <v/>
      </c>
      <c r="K1235" s="11">
        <f>O1235</f>
        <v/>
      </c>
      <c r="L1235" s="11">
        <f>L1234+IF(K1235&gt;0,K1235*Summary!$B$9,K1235/Summary!$B$9)</f>
        <v/>
      </c>
      <c r="M1235" s="11">
        <f>G1235+H1235</f>
        <v/>
      </c>
      <c r="N1235" s="11">
        <f>Summary!$C$16*Summary!$B$8</f>
        <v/>
      </c>
      <c r="O1235" s="11">
        <f>M1235-N1235</f>
        <v/>
      </c>
    </row>
    <row r="1236">
      <c r="A1236" s="9" t="n">
        <v>45343.41666666666</v>
      </c>
      <c r="B1236" t="n">
        <v>2</v>
      </c>
      <c r="C1236" t="n">
        <v>21</v>
      </c>
      <c r="D1236" t="n">
        <v>10</v>
      </c>
      <c r="E1236" s="10" t="n">
        <v>0.35138</v>
      </c>
      <c r="F1236" s="10" t="n">
        <v>0.3497701799448432</v>
      </c>
      <c r="G1236" s="11">
        <f>E1236*Summary!$B$6</f>
        <v/>
      </c>
      <c r="H1236" s="11">
        <f>F1236*Summary!$B$7</f>
        <v/>
      </c>
      <c r="I1236" s="11">
        <f>MAX(0,N1236-M1236)</f>
        <v/>
      </c>
      <c r="J1236" s="11">
        <f>MAX(0,M1236-N1236)</f>
        <v/>
      </c>
      <c r="K1236" s="11">
        <f>O1236</f>
        <v/>
      </c>
      <c r="L1236" s="11">
        <f>L1235+IF(K1236&gt;0,K1236*Summary!$B$9,K1236/Summary!$B$9)</f>
        <v/>
      </c>
      <c r="M1236" s="11">
        <f>G1236+H1236</f>
        <v/>
      </c>
      <c r="N1236" s="11">
        <f>Summary!$C$16*Summary!$B$8</f>
        <v/>
      </c>
      <c r="O1236" s="11">
        <f>M1236-N1236</f>
        <v/>
      </c>
    </row>
    <row r="1237">
      <c r="A1237" s="9" t="n">
        <v>45343.45833333334</v>
      </c>
      <c r="B1237" t="n">
        <v>2</v>
      </c>
      <c r="C1237" t="n">
        <v>21</v>
      </c>
      <c r="D1237" t="n">
        <v>11</v>
      </c>
      <c r="E1237" s="10" t="n">
        <v>0.429651</v>
      </c>
      <c r="F1237" s="10" t="n">
        <v>0.3414692979526315</v>
      </c>
      <c r="G1237" s="11">
        <f>E1237*Summary!$B$6</f>
        <v/>
      </c>
      <c r="H1237" s="11">
        <f>F1237*Summary!$B$7</f>
        <v/>
      </c>
      <c r="I1237" s="11">
        <f>MAX(0,N1237-M1237)</f>
        <v/>
      </c>
      <c r="J1237" s="11">
        <f>MAX(0,M1237-N1237)</f>
        <v/>
      </c>
      <c r="K1237" s="11">
        <f>O1237</f>
        <v/>
      </c>
      <c r="L1237" s="11">
        <f>L1236+IF(K1237&gt;0,K1237*Summary!$B$9,K1237/Summary!$B$9)</f>
        <v/>
      </c>
      <c r="M1237" s="11">
        <f>G1237+H1237</f>
        <v/>
      </c>
      <c r="N1237" s="11">
        <f>Summary!$C$16*Summary!$B$8</f>
        <v/>
      </c>
      <c r="O1237" s="11">
        <f>M1237-N1237</f>
        <v/>
      </c>
    </row>
    <row r="1238">
      <c r="A1238" s="9" t="n">
        <v>45343.5</v>
      </c>
      <c r="B1238" t="n">
        <v>2</v>
      </c>
      <c r="C1238" t="n">
        <v>21</v>
      </c>
      <c r="D1238" t="n">
        <v>12</v>
      </c>
      <c r="E1238" s="10" t="n">
        <v>0.455428</v>
      </c>
      <c r="F1238" s="10" t="n">
        <v>0.3289784469548273</v>
      </c>
      <c r="G1238" s="11">
        <f>E1238*Summary!$B$6</f>
        <v/>
      </c>
      <c r="H1238" s="11">
        <f>F1238*Summary!$B$7</f>
        <v/>
      </c>
      <c r="I1238" s="11">
        <f>MAX(0,N1238-M1238)</f>
        <v/>
      </c>
      <c r="J1238" s="11">
        <f>MAX(0,M1238-N1238)</f>
        <v/>
      </c>
      <c r="K1238" s="11">
        <f>O1238</f>
        <v/>
      </c>
      <c r="L1238" s="11">
        <f>L1237+IF(K1238&gt;0,K1238*Summary!$B$9,K1238/Summary!$B$9)</f>
        <v/>
      </c>
      <c r="M1238" s="11">
        <f>G1238+H1238</f>
        <v/>
      </c>
      <c r="N1238" s="11">
        <f>Summary!$C$16*Summary!$B$8</f>
        <v/>
      </c>
      <c r="O1238" s="11">
        <f>M1238-N1238</f>
        <v/>
      </c>
    </row>
    <row r="1239">
      <c r="A1239" s="9" t="n">
        <v>45343.54166666666</v>
      </c>
      <c r="B1239" t="n">
        <v>2</v>
      </c>
      <c r="C1239" t="n">
        <v>21</v>
      </c>
      <c r="D1239" t="n">
        <v>13</v>
      </c>
      <c r="E1239" s="10" t="n">
        <v>0.371832</v>
      </c>
      <c r="F1239" s="10" t="n">
        <v>0.3141422673941442</v>
      </c>
      <c r="G1239" s="11">
        <f>E1239*Summary!$B$6</f>
        <v/>
      </c>
      <c r="H1239" s="11">
        <f>F1239*Summary!$B$7</f>
        <v/>
      </c>
      <c r="I1239" s="11">
        <f>MAX(0,N1239-M1239)</f>
        <v/>
      </c>
      <c r="J1239" s="11">
        <f>MAX(0,M1239-N1239)</f>
        <v/>
      </c>
      <c r="K1239" s="11">
        <f>O1239</f>
        <v/>
      </c>
      <c r="L1239" s="11">
        <f>L1238+IF(K1239&gt;0,K1239*Summary!$B$9,K1239/Summary!$B$9)</f>
        <v/>
      </c>
      <c r="M1239" s="11">
        <f>G1239+H1239</f>
        <v/>
      </c>
      <c r="N1239" s="11">
        <f>Summary!$C$16*Summary!$B$8</f>
        <v/>
      </c>
      <c r="O1239" s="11">
        <f>M1239-N1239</f>
        <v/>
      </c>
    </row>
    <row r="1240">
      <c r="A1240" s="9" t="n">
        <v>45343.58333333334</v>
      </c>
      <c r="B1240" t="n">
        <v>2</v>
      </c>
      <c r="C1240" t="n">
        <v>21</v>
      </c>
      <c r="D1240" t="n">
        <v>14</v>
      </c>
      <c r="E1240" s="10" t="n">
        <v>0.204466</v>
      </c>
      <c r="F1240" s="10" t="n">
        <v>0.304392025054086</v>
      </c>
      <c r="G1240" s="11">
        <f>E1240*Summary!$B$6</f>
        <v/>
      </c>
      <c r="H1240" s="11">
        <f>F1240*Summary!$B$7</f>
        <v/>
      </c>
      <c r="I1240" s="11">
        <f>MAX(0,N1240-M1240)</f>
        <v/>
      </c>
      <c r="J1240" s="11">
        <f>MAX(0,M1240-N1240)</f>
        <v/>
      </c>
      <c r="K1240" s="11">
        <f>O1240</f>
        <v/>
      </c>
      <c r="L1240" s="11">
        <f>L1239+IF(K1240&gt;0,K1240*Summary!$B$9,K1240/Summary!$B$9)</f>
        <v/>
      </c>
      <c r="M1240" s="11">
        <f>G1240+H1240</f>
        <v/>
      </c>
      <c r="N1240" s="11">
        <f>Summary!$C$16*Summary!$B$8</f>
        <v/>
      </c>
      <c r="O1240" s="11">
        <f>M1240-N1240</f>
        <v/>
      </c>
    </row>
    <row r="1241">
      <c r="A1241" s="9" t="n">
        <v>45343.625</v>
      </c>
      <c r="B1241" t="n">
        <v>2</v>
      </c>
      <c r="C1241" t="n">
        <v>21</v>
      </c>
      <c r="D1241" t="n">
        <v>15</v>
      </c>
      <c r="E1241" s="10" t="n">
        <v>0.047102</v>
      </c>
      <c r="F1241" s="10" t="n">
        <v>0.3030744247378619</v>
      </c>
      <c r="G1241" s="11">
        <f>E1241*Summary!$B$6</f>
        <v/>
      </c>
      <c r="H1241" s="11">
        <f>F1241*Summary!$B$7</f>
        <v/>
      </c>
      <c r="I1241" s="11">
        <f>MAX(0,N1241-M1241)</f>
        <v/>
      </c>
      <c r="J1241" s="11">
        <f>MAX(0,M1241-N1241)</f>
        <v/>
      </c>
      <c r="K1241" s="11">
        <f>O1241</f>
        <v/>
      </c>
      <c r="L1241" s="11">
        <f>L1240+IF(K1241&gt;0,K1241*Summary!$B$9,K1241/Summary!$B$9)</f>
        <v/>
      </c>
      <c r="M1241" s="11">
        <f>G1241+H1241</f>
        <v/>
      </c>
      <c r="N1241" s="11">
        <f>Summary!$C$16*Summary!$B$8</f>
        <v/>
      </c>
      <c r="O1241" s="11">
        <f>M1241-N1241</f>
        <v/>
      </c>
    </row>
    <row r="1242">
      <c r="A1242" s="9" t="n">
        <v>45343.66666666666</v>
      </c>
      <c r="B1242" t="n">
        <v>2</v>
      </c>
      <c r="C1242" t="n">
        <v>21</v>
      </c>
      <c r="D1242" t="n">
        <v>16</v>
      </c>
      <c r="E1242" s="10" t="n">
        <v>0.008923</v>
      </c>
      <c r="F1242" s="10" t="n">
        <v>0.3053670492880918</v>
      </c>
      <c r="G1242" s="11">
        <f>E1242*Summary!$B$6</f>
        <v/>
      </c>
      <c r="H1242" s="11">
        <f>F1242*Summary!$B$7</f>
        <v/>
      </c>
      <c r="I1242" s="11">
        <f>MAX(0,N1242-M1242)</f>
        <v/>
      </c>
      <c r="J1242" s="11">
        <f>MAX(0,M1242-N1242)</f>
        <v/>
      </c>
      <c r="K1242" s="11">
        <f>O1242</f>
        <v/>
      </c>
      <c r="L1242" s="11">
        <f>L1241+IF(K1242&gt;0,K1242*Summary!$B$9,K1242/Summary!$B$9)</f>
        <v/>
      </c>
      <c r="M1242" s="11">
        <f>G1242+H1242</f>
        <v/>
      </c>
      <c r="N1242" s="11">
        <f>Summary!$C$16*Summary!$B$8</f>
        <v/>
      </c>
      <c r="O1242" s="11">
        <f>M1242-N1242</f>
        <v/>
      </c>
    </row>
    <row r="1243">
      <c r="A1243" s="9" t="n">
        <v>45343.70833333334</v>
      </c>
      <c r="B1243" t="n">
        <v>2</v>
      </c>
      <c r="C1243" t="n">
        <v>21</v>
      </c>
      <c r="D1243" t="n">
        <v>17</v>
      </c>
      <c r="E1243" s="10" t="n">
        <v>0</v>
      </c>
      <c r="F1243" s="10" t="n">
        <v>0.3154598677103683</v>
      </c>
      <c r="G1243" s="11">
        <f>E1243*Summary!$B$6</f>
        <v/>
      </c>
      <c r="H1243" s="11">
        <f>F1243*Summary!$B$7</f>
        <v/>
      </c>
      <c r="I1243" s="11">
        <f>MAX(0,N1243-M1243)</f>
        <v/>
      </c>
      <c r="J1243" s="11">
        <f>MAX(0,M1243-N1243)</f>
        <v/>
      </c>
      <c r="K1243" s="11">
        <f>O1243</f>
        <v/>
      </c>
      <c r="L1243" s="11">
        <f>L1242+IF(K1243&gt;0,K1243*Summary!$B$9,K1243/Summary!$B$9)</f>
        <v/>
      </c>
      <c r="M1243" s="11">
        <f>G1243+H1243</f>
        <v/>
      </c>
      <c r="N1243" s="11">
        <f>Summary!$C$16*Summary!$B$8</f>
        <v/>
      </c>
      <c r="O1243" s="11">
        <f>M1243-N1243</f>
        <v/>
      </c>
    </row>
    <row r="1244">
      <c r="A1244" s="9" t="n">
        <v>45343.75</v>
      </c>
      <c r="B1244" t="n">
        <v>2</v>
      </c>
      <c r="C1244" t="n">
        <v>21</v>
      </c>
      <c r="D1244" t="n">
        <v>18</v>
      </c>
      <c r="E1244" s="10" t="n">
        <v>0</v>
      </c>
      <c r="F1244" s="10" t="n">
        <v>0.3229174855001965</v>
      </c>
      <c r="G1244" s="11">
        <f>E1244*Summary!$B$6</f>
        <v/>
      </c>
      <c r="H1244" s="11">
        <f>F1244*Summary!$B$7</f>
        <v/>
      </c>
      <c r="I1244" s="11">
        <f>MAX(0,N1244-M1244)</f>
        <v/>
      </c>
      <c r="J1244" s="11">
        <f>MAX(0,M1244-N1244)</f>
        <v/>
      </c>
      <c r="K1244" s="11">
        <f>O1244</f>
        <v/>
      </c>
      <c r="L1244" s="11">
        <f>L1243+IF(K1244&gt;0,K1244*Summary!$B$9,K1244/Summary!$B$9)</f>
        <v/>
      </c>
      <c r="M1244" s="11">
        <f>G1244+H1244</f>
        <v/>
      </c>
      <c r="N1244" s="11">
        <f>Summary!$C$16*Summary!$B$8</f>
        <v/>
      </c>
      <c r="O1244" s="11">
        <f>M1244-N1244</f>
        <v/>
      </c>
    </row>
    <row r="1245">
      <c r="A1245" s="9" t="n">
        <v>45343.79166666666</v>
      </c>
      <c r="B1245" t="n">
        <v>2</v>
      </c>
      <c r="C1245" t="n">
        <v>21</v>
      </c>
      <c r="D1245" t="n">
        <v>19</v>
      </c>
      <c r="E1245" s="10" t="n">
        <v>0</v>
      </c>
      <c r="F1245" s="10" t="n">
        <v>0.3342488482197236</v>
      </c>
      <c r="G1245" s="11">
        <f>E1245*Summary!$B$6</f>
        <v/>
      </c>
      <c r="H1245" s="11">
        <f>F1245*Summary!$B$7</f>
        <v/>
      </c>
      <c r="I1245" s="11">
        <f>MAX(0,N1245-M1245)</f>
        <v/>
      </c>
      <c r="J1245" s="11">
        <f>MAX(0,M1245-N1245)</f>
        <v/>
      </c>
      <c r="K1245" s="11">
        <f>O1245</f>
        <v/>
      </c>
      <c r="L1245" s="11">
        <f>L1244+IF(K1245&gt;0,K1245*Summary!$B$9,K1245/Summary!$B$9)</f>
        <v/>
      </c>
      <c r="M1245" s="11">
        <f>G1245+H1245</f>
        <v/>
      </c>
      <c r="N1245" s="11">
        <f>Summary!$C$16*Summary!$B$8</f>
        <v/>
      </c>
      <c r="O1245" s="11">
        <f>M1245-N1245</f>
        <v/>
      </c>
    </row>
    <row r="1246">
      <c r="A1246" s="9" t="n">
        <v>45343.83333333334</v>
      </c>
      <c r="B1246" t="n">
        <v>2</v>
      </c>
      <c r="C1246" t="n">
        <v>21</v>
      </c>
      <c r="D1246" t="n">
        <v>20</v>
      </c>
      <c r="E1246" s="10" t="n">
        <v>0</v>
      </c>
      <c r="F1246" s="10" t="n">
        <v>0.3422862101486904</v>
      </c>
      <c r="G1246" s="11">
        <f>E1246*Summary!$B$6</f>
        <v/>
      </c>
      <c r="H1246" s="11">
        <f>F1246*Summary!$B$7</f>
        <v/>
      </c>
      <c r="I1246" s="11">
        <f>MAX(0,N1246-M1246)</f>
        <v/>
      </c>
      <c r="J1246" s="11">
        <f>MAX(0,M1246-N1246)</f>
        <v/>
      </c>
      <c r="K1246" s="11">
        <f>O1246</f>
        <v/>
      </c>
      <c r="L1246" s="11">
        <f>L1245+IF(K1246&gt;0,K1246*Summary!$B$9,K1246/Summary!$B$9)</f>
        <v/>
      </c>
      <c r="M1246" s="11">
        <f>G1246+H1246</f>
        <v/>
      </c>
      <c r="N1246" s="11">
        <f>Summary!$C$16*Summary!$B$8</f>
        <v/>
      </c>
      <c r="O1246" s="11">
        <f>M1246-N1246</f>
        <v/>
      </c>
    </row>
    <row r="1247">
      <c r="A1247" s="9" t="n">
        <v>45343.875</v>
      </c>
      <c r="B1247" t="n">
        <v>2</v>
      </c>
      <c r="C1247" t="n">
        <v>21</v>
      </c>
      <c r="D1247" t="n">
        <v>21</v>
      </c>
      <c r="E1247" s="10" t="n">
        <v>0</v>
      </c>
      <c r="F1247" s="10" t="n">
        <v>0.3467396992175278</v>
      </c>
      <c r="G1247" s="11">
        <f>E1247*Summary!$B$6</f>
        <v/>
      </c>
      <c r="H1247" s="11">
        <f>F1247*Summary!$B$7</f>
        <v/>
      </c>
      <c r="I1247" s="11">
        <f>MAX(0,N1247-M1247)</f>
        <v/>
      </c>
      <c r="J1247" s="11">
        <f>MAX(0,M1247-N1247)</f>
        <v/>
      </c>
      <c r="K1247" s="11">
        <f>O1247</f>
        <v/>
      </c>
      <c r="L1247" s="11">
        <f>L1246+IF(K1247&gt;0,K1247*Summary!$B$9,K1247/Summary!$B$9)</f>
        <v/>
      </c>
      <c r="M1247" s="11">
        <f>G1247+H1247</f>
        <v/>
      </c>
      <c r="N1247" s="11">
        <f>Summary!$C$16*Summary!$B$8</f>
        <v/>
      </c>
      <c r="O1247" s="11">
        <f>M1247-N1247</f>
        <v/>
      </c>
    </row>
    <row r="1248">
      <c r="A1248" s="9" t="n">
        <v>45343.91666666666</v>
      </c>
      <c r="B1248" t="n">
        <v>2</v>
      </c>
      <c r="C1248" t="n">
        <v>21</v>
      </c>
      <c r="D1248" t="n">
        <v>22</v>
      </c>
      <c r="E1248" s="10" t="n">
        <v>0</v>
      </c>
      <c r="F1248" s="10" t="n">
        <v>0.3516675244002058</v>
      </c>
      <c r="G1248" s="11">
        <f>E1248*Summary!$B$6</f>
        <v/>
      </c>
      <c r="H1248" s="11">
        <f>F1248*Summary!$B$7</f>
        <v/>
      </c>
      <c r="I1248" s="11">
        <f>MAX(0,N1248-M1248)</f>
        <v/>
      </c>
      <c r="J1248" s="11">
        <f>MAX(0,M1248-N1248)</f>
        <v/>
      </c>
      <c r="K1248" s="11">
        <f>O1248</f>
        <v/>
      </c>
      <c r="L1248" s="11">
        <f>L1247+IF(K1248&gt;0,K1248*Summary!$B$9,K1248/Summary!$B$9)</f>
        <v/>
      </c>
      <c r="M1248" s="11">
        <f>G1248+H1248</f>
        <v/>
      </c>
      <c r="N1248" s="11">
        <f>Summary!$C$16*Summary!$B$8</f>
        <v/>
      </c>
      <c r="O1248" s="11">
        <f>M1248-N1248</f>
        <v/>
      </c>
    </row>
    <row r="1249">
      <c r="A1249" s="9" t="n">
        <v>45343.95833333334</v>
      </c>
      <c r="B1249" t="n">
        <v>2</v>
      </c>
      <c r="C1249" t="n">
        <v>21</v>
      </c>
      <c r="D1249" t="n">
        <v>23</v>
      </c>
      <c r="E1249" s="10" t="n">
        <v>0</v>
      </c>
      <c r="F1249" s="10" t="n">
        <v>0.3667145200114847</v>
      </c>
      <c r="G1249" s="11">
        <f>E1249*Summary!$B$6</f>
        <v/>
      </c>
      <c r="H1249" s="11">
        <f>F1249*Summary!$B$7</f>
        <v/>
      </c>
      <c r="I1249" s="11">
        <f>MAX(0,N1249-M1249)</f>
        <v/>
      </c>
      <c r="J1249" s="11">
        <f>MAX(0,M1249-N1249)</f>
        <v/>
      </c>
      <c r="K1249" s="11">
        <f>O1249</f>
        <v/>
      </c>
      <c r="L1249" s="11">
        <f>L1248+IF(K1249&gt;0,K1249*Summary!$B$9,K1249/Summary!$B$9)</f>
        <v/>
      </c>
      <c r="M1249" s="11">
        <f>G1249+H1249</f>
        <v/>
      </c>
      <c r="N1249" s="11">
        <f>Summary!$C$16*Summary!$B$8</f>
        <v/>
      </c>
      <c r="O1249" s="11">
        <f>M1249-N1249</f>
        <v/>
      </c>
    </row>
    <row r="1250">
      <c r="A1250" s="9" t="n">
        <v>45344</v>
      </c>
      <c r="B1250" t="n">
        <v>2</v>
      </c>
      <c r="C1250" t="n">
        <v>22</v>
      </c>
      <c r="D1250" t="n">
        <v>0</v>
      </c>
      <c r="E1250" s="10" t="n">
        <v>0</v>
      </c>
      <c r="F1250" s="10" t="n">
        <v>0.4424765381943692</v>
      </c>
      <c r="G1250" s="11">
        <f>E1250*Summary!$B$6</f>
        <v/>
      </c>
      <c r="H1250" s="11">
        <f>F1250*Summary!$B$7</f>
        <v/>
      </c>
      <c r="I1250" s="11">
        <f>MAX(0,N1250-M1250)</f>
        <v/>
      </c>
      <c r="J1250" s="11">
        <f>MAX(0,M1250-N1250)</f>
        <v/>
      </c>
      <c r="K1250" s="11">
        <f>O1250</f>
        <v/>
      </c>
      <c r="L1250" s="11">
        <f>L1249+IF(K1250&gt;0,K1250*Summary!$B$9,K1250/Summary!$B$9)</f>
        <v/>
      </c>
      <c r="M1250" s="11">
        <f>G1250+H1250</f>
        <v/>
      </c>
      <c r="N1250" s="11">
        <f>Summary!$C$16*Summary!$B$8</f>
        <v/>
      </c>
      <c r="O1250" s="11">
        <f>M1250-N1250</f>
        <v/>
      </c>
    </row>
    <row r="1251">
      <c r="A1251" s="9" t="n">
        <v>45344.04166666666</v>
      </c>
      <c r="B1251" t="n">
        <v>2</v>
      </c>
      <c r="C1251" t="n">
        <v>22</v>
      </c>
      <c r="D1251" t="n">
        <v>1</v>
      </c>
      <c r="E1251" s="10" t="n">
        <v>0</v>
      </c>
      <c r="F1251" s="10" t="n">
        <v>0.357254149740996</v>
      </c>
      <c r="G1251" s="11">
        <f>E1251*Summary!$B$6</f>
        <v/>
      </c>
      <c r="H1251" s="11">
        <f>F1251*Summary!$B$7</f>
        <v/>
      </c>
      <c r="I1251" s="11">
        <f>MAX(0,N1251-M1251)</f>
        <v/>
      </c>
      <c r="J1251" s="11">
        <f>MAX(0,M1251-N1251)</f>
        <v/>
      </c>
      <c r="K1251" s="11">
        <f>O1251</f>
        <v/>
      </c>
      <c r="L1251" s="11">
        <f>L1250+IF(K1251&gt;0,K1251*Summary!$B$9,K1251/Summary!$B$9)</f>
        <v/>
      </c>
      <c r="M1251" s="11">
        <f>G1251+H1251</f>
        <v/>
      </c>
      <c r="N1251" s="11">
        <f>Summary!$C$16*Summary!$B$8</f>
        <v/>
      </c>
      <c r="O1251" s="11">
        <f>M1251-N1251</f>
        <v/>
      </c>
    </row>
    <row r="1252">
      <c r="A1252" s="9" t="n">
        <v>45344.08333333334</v>
      </c>
      <c r="B1252" t="n">
        <v>2</v>
      </c>
      <c r="C1252" t="n">
        <v>22</v>
      </c>
      <c r="D1252" t="n">
        <v>2</v>
      </c>
      <c r="E1252" s="10" t="n">
        <v>0</v>
      </c>
      <c r="F1252" s="10" t="n">
        <v>0.3591778462026831</v>
      </c>
      <c r="G1252" s="11">
        <f>E1252*Summary!$B$6</f>
        <v/>
      </c>
      <c r="H1252" s="11">
        <f>F1252*Summary!$B$7</f>
        <v/>
      </c>
      <c r="I1252" s="11">
        <f>MAX(0,N1252-M1252)</f>
        <v/>
      </c>
      <c r="J1252" s="11">
        <f>MAX(0,M1252-N1252)</f>
        <v/>
      </c>
      <c r="K1252" s="11">
        <f>O1252</f>
        <v/>
      </c>
      <c r="L1252" s="11">
        <f>L1251+IF(K1252&gt;0,K1252*Summary!$B$9,K1252/Summary!$B$9)</f>
        <v/>
      </c>
      <c r="M1252" s="11">
        <f>G1252+H1252</f>
        <v/>
      </c>
      <c r="N1252" s="11">
        <f>Summary!$C$16*Summary!$B$8</f>
        <v/>
      </c>
      <c r="O1252" s="11">
        <f>M1252-N1252</f>
        <v/>
      </c>
    </row>
    <row r="1253">
      <c r="A1253" s="9" t="n">
        <v>45344.125</v>
      </c>
      <c r="B1253" t="n">
        <v>2</v>
      </c>
      <c r="C1253" t="n">
        <v>22</v>
      </c>
      <c r="D1253" t="n">
        <v>3</v>
      </c>
      <c r="E1253" s="10" t="n">
        <v>0</v>
      </c>
      <c r="F1253" s="10" t="n">
        <v>0.3596258303101993</v>
      </c>
      <c r="G1253" s="11">
        <f>E1253*Summary!$B$6</f>
        <v/>
      </c>
      <c r="H1253" s="11">
        <f>F1253*Summary!$B$7</f>
        <v/>
      </c>
      <c r="I1253" s="11">
        <f>MAX(0,N1253-M1253)</f>
        <v/>
      </c>
      <c r="J1253" s="11">
        <f>MAX(0,M1253-N1253)</f>
        <v/>
      </c>
      <c r="K1253" s="11">
        <f>O1253</f>
        <v/>
      </c>
      <c r="L1253" s="11">
        <f>L1252+IF(K1253&gt;0,K1253*Summary!$B$9,K1253/Summary!$B$9)</f>
        <v/>
      </c>
      <c r="M1253" s="11">
        <f>G1253+H1253</f>
        <v/>
      </c>
      <c r="N1253" s="11">
        <f>Summary!$C$16*Summary!$B$8</f>
        <v/>
      </c>
      <c r="O1253" s="11">
        <f>M1253-N1253</f>
        <v/>
      </c>
    </row>
    <row r="1254">
      <c r="A1254" s="9" t="n">
        <v>45344.16666666666</v>
      </c>
      <c r="B1254" t="n">
        <v>2</v>
      </c>
      <c r="C1254" t="n">
        <v>22</v>
      </c>
      <c r="D1254" t="n">
        <v>4</v>
      </c>
      <c r="E1254" s="10" t="n">
        <v>0</v>
      </c>
      <c r="F1254" s="10" t="n">
        <v>0.3596521823165237</v>
      </c>
      <c r="G1254" s="11">
        <f>E1254*Summary!$B$6</f>
        <v/>
      </c>
      <c r="H1254" s="11">
        <f>F1254*Summary!$B$7</f>
        <v/>
      </c>
      <c r="I1254" s="11">
        <f>MAX(0,N1254-M1254)</f>
        <v/>
      </c>
      <c r="J1254" s="11">
        <f>MAX(0,M1254-N1254)</f>
        <v/>
      </c>
      <c r="K1254" s="11">
        <f>O1254</f>
        <v/>
      </c>
      <c r="L1254" s="11">
        <f>L1253+IF(K1254&gt;0,K1254*Summary!$B$9,K1254/Summary!$B$9)</f>
        <v/>
      </c>
      <c r="M1254" s="11">
        <f>G1254+H1254</f>
        <v/>
      </c>
      <c r="N1254" s="11">
        <f>Summary!$C$16*Summary!$B$8</f>
        <v/>
      </c>
      <c r="O1254" s="11">
        <f>M1254-N1254</f>
        <v/>
      </c>
    </row>
    <row r="1255">
      <c r="A1255" s="9" t="n">
        <v>45344.20833333334</v>
      </c>
      <c r="B1255" t="n">
        <v>2</v>
      </c>
      <c r="C1255" t="n">
        <v>22</v>
      </c>
      <c r="D1255" t="n">
        <v>5</v>
      </c>
      <c r="E1255" s="10" t="n">
        <v>0</v>
      </c>
      <c r="F1255" s="10" t="n">
        <v>0.3187538685009284</v>
      </c>
      <c r="G1255" s="11">
        <f>E1255*Summary!$B$6</f>
        <v/>
      </c>
      <c r="H1255" s="11">
        <f>F1255*Summary!$B$7</f>
        <v/>
      </c>
      <c r="I1255" s="11">
        <f>MAX(0,N1255-M1255)</f>
        <v/>
      </c>
      <c r="J1255" s="11">
        <f>MAX(0,M1255-N1255)</f>
        <v/>
      </c>
      <c r="K1255" s="11">
        <f>O1255</f>
        <v/>
      </c>
      <c r="L1255" s="11">
        <f>L1254+IF(K1255&gt;0,K1255*Summary!$B$9,K1255/Summary!$B$9)</f>
        <v/>
      </c>
      <c r="M1255" s="11">
        <f>G1255+H1255</f>
        <v/>
      </c>
      <c r="N1255" s="11">
        <f>Summary!$C$16*Summary!$B$8</f>
        <v/>
      </c>
      <c r="O1255" s="11">
        <f>M1255-N1255</f>
        <v/>
      </c>
    </row>
    <row r="1256">
      <c r="A1256" s="9" t="n">
        <v>45344.25</v>
      </c>
      <c r="B1256" t="n">
        <v>2</v>
      </c>
      <c r="C1256" t="n">
        <v>22</v>
      </c>
      <c r="D1256" t="n">
        <v>6</v>
      </c>
      <c r="E1256" s="10" t="n">
        <v>0</v>
      </c>
      <c r="F1256" s="10" t="n">
        <v>0.3652915116699628</v>
      </c>
      <c r="G1256" s="11">
        <f>E1256*Summary!$B$6</f>
        <v/>
      </c>
      <c r="H1256" s="11">
        <f>F1256*Summary!$B$7</f>
        <v/>
      </c>
      <c r="I1256" s="11">
        <f>MAX(0,N1256-M1256)</f>
        <v/>
      </c>
      <c r="J1256" s="11">
        <f>MAX(0,M1256-N1256)</f>
        <v/>
      </c>
      <c r="K1256" s="11">
        <f>O1256</f>
        <v/>
      </c>
      <c r="L1256" s="11">
        <f>L1255+IF(K1256&gt;0,K1256*Summary!$B$9,K1256/Summary!$B$9)</f>
        <v/>
      </c>
      <c r="M1256" s="11">
        <f>G1256+H1256</f>
        <v/>
      </c>
      <c r="N1256" s="11">
        <f>Summary!$C$16*Summary!$B$8</f>
        <v/>
      </c>
      <c r="O1256" s="11">
        <f>M1256-N1256</f>
        <v/>
      </c>
    </row>
    <row r="1257">
      <c r="A1257" s="9" t="n">
        <v>45344.29166666666</v>
      </c>
      <c r="B1257" t="n">
        <v>2</v>
      </c>
      <c r="C1257" t="n">
        <v>22</v>
      </c>
      <c r="D1257" t="n">
        <v>7</v>
      </c>
      <c r="E1257" s="10" t="n">
        <v>0</v>
      </c>
      <c r="F1257" s="10" t="n">
        <v>0.3647644715434731</v>
      </c>
      <c r="G1257" s="11">
        <f>E1257*Summary!$B$6</f>
        <v/>
      </c>
      <c r="H1257" s="11">
        <f>F1257*Summary!$B$7</f>
        <v/>
      </c>
      <c r="I1257" s="11">
        <f>MAX(0,N1257-M1257)</f>
        <v/>
      </c>
      <c r="J1257" s="11">
        <f>MAX(0,M1257-N1257)</f>
        <v/>
      </c>
      <c r="K1257" s="11">
        <f>O1257</f>
        <v/>
      </c>
      <c r="L1257" s="11">
        <f>L1256+IF(K1257&gt;0,K1257*Summary!$B$9,K1257/Summary!$B$9)</f>
        <v/>
      </c>
      <c r="M1257" s="11">
        <f>G1257+H1257</f>
        <v/>
      </c>
      <c r="N1257" s="11">
        <f>Summary!$C$16*Summary!$B$8</f>
        <v/>
      </c>
      <c r="O1257" s="11">
        <f>M1257-N1257</f>
        <v/>
      </c>
    </row>
    <row r="1258">
      <c r="A1258" s="9" t="n">
        <v>45344.33333333334</v>
      </c>
      <c r="B1258" t="n">
        <v>2</v>
      </c>
      <c r="C1258" t="n">
        <v>22</v>
      </c>
      <c r="D1258" t="n">
        <v>8</v>
      </c>
      <c r="E1258" s="10" t="n">
        <v>0.002972</v>
      </c>
      <c r="F1258" s="10" t="n">
        <v>0.356331829519639</v>
      </c>
      <c r="G1258" s="11">
        <f>E1258*Summary!$B$6</f>
        <v/>
      </c>
      <c r="H1258" s="11">
        <f>F1258*Summary!$B$7</f>
        <v/>
      </c>
      <c r="I1258" s="11">
        <f>MAX(0,N1258-M1258)</f>
        <v/>
      </c>
      <c r="J1258" s="11">
        <f>MAX(0,M1258-N1258)</f>
        <v/>
      </c>
      <c r="K1258" s="11">
        <f>O1258</f>
        <v/>
      </c>
      <c r="L1258" s="11">
        <f>L1257+IF(K1258&gt;0,K1258*Summary!$B$9,K1258/Summary!$B$9)</f>
        <v/>
      </c>
      <c r="M1258" s="11">
        <f>G1258+H1258</f>
        <v/>
      </c>
      <c r="N1258" s="11">
        <f>Summary!$C$16*Summary!$B$8</f>
        <v/>
      </c>
      <c r="O1258" s="11">
        <f>M1258-N1258</f>
        <v/>
      </c>
    </row>
    <row r="1259">
      <c r="A1259" s="9" t="n">
        <v>45344.375</v>
      </c>
      <c r="B1259" t="n">
        <v>2</v>
      </c>
      <c r="C1259" t="n">
        <v>22</v>
      </c>
      <c r="D1259" t="n">
        <v>9</v>
      </c>
      <c r="E1259" s="10" t="n">
        <v>0.027641</v>
      </c>
      <c r="F1259" s="10" t="n">
        <v>0.3427868982688556</v>
      </c>
      <c r="G1259" s="11">
        <f>E1259*Summary!$B$6</f>
        <v/>
      </c>
      <c r="H1259" s="11">
        <f>F1259*Summary!$B$7</f>
        <v/>
      </c>
      <c r="I1259" s="11">
        <f>MAX(0,N1259-M1259)</f>
        <v/>
      </c>
      <c r="J1259" s="11">
        <f>MAX(0,M1259-N1259)</f>
        <v/>
      </c>
      <c r="K1259" s="11">
        <f>O1259</f>
        <v/>
      </c>
      <c r="L1259" s="11">
        <f>L1258+IF(K1259&gt;0,K1259*Summary!$B$9,K1259/Summary!$B$9)</f>
        <v/>
      </c>
      <c r="M1259" s="11">
        <f>G1259+H1259</f>
        <v/>
      </c>
      <c r="N1259" s="11">
        <f>Summary!$C$16*Summary!$B$8</f>
        <v/>
      </c>
      <c r="O1259" s="11">
        <f>M1259-N1259</f>
        <v/>
      </c>
    </row>
    <row r="1260">
      <c r="A1260" s="9" t="n">
        <v>45344.41666666666</v>
      </c>
      <c r="B1260" t="n">
        <v>2</v>
      </c>
      <c r="C1260" t="n">
        <v>22</v>
      </c>
      <c r="D1260" t="n">
        <v>10</v>
      </c>
      <c r="E1260" s="10" t="n">
        <v>0.027264</v>
      </c>
      <c r="F1260" s="10" t="n">
        <v>0.3322724477453874</v>
      </c>
      <c r="G1260" s="11">
        <f>E1260*Summary!$B$6</f>
        <v/>
      </c>
      <c r="H1260" s="11">
        <f>F1260*Summary!$B$7</f>
        <v/>
      </c>
      <c r="I1260" s="11">
        <f>MAX(0,N1260-M1260)</f>
        <v/>
      </c>
      <c r="J1260" s="11">
        <f>MAX(0,M1260-N1260)</f>
        <v/>
      </c>
      <c r="K1260" s="11">
        <f>O1260</f>
        <v/>
      </c>
      <c r="L1260" s="11">
        <f>L1259+IF(K1260&gt;0,K1260*Summary!$B$9,K1260/Summary!$B$9)</f>
        <v/>
      </c>
      <c r="M1260" s="11">
        <f>G1260+H1260</f>
        <v/>
      </c>
      <c r="N1260" s="11">
        <f>Summary!$C$16*Summary!$B$8</f>
        <v/>
      </c>
      <c r="O1260" s="11">
        <f>M1260-N1260</f>
        <v/>
      </c>
    </row>
    <row r="1261">
      <c r="A1261" s="9" t="n">
        <v>45344.45833333334</v>
      </c>
      <c r="B1261" t="n">
        <v>2</v>
      </c>
      <c r="C1261" t="n">
        <v>22</v>
      </c>
      <c r="D1261" t="n">
        <v>11</v>
      </c>
      <c r="E1261" s="10" t="n">
        <v>0.037945</v>
      </c>
      <c r="F1261" s="10" t="n">
        <v>0.3238398057215534</v>
      </c>
      <c r="G1261" s="11">
        <f>E1261*Summary!$B$6</f>
        <v/>
      </c>
      <c r="H1261" s="11">
        <f>F1261*Summary!$B$7</f>
        <v/>
      </c>
      <c r="I1261" s="11">
        <f>MAX(0,N1261-M1261)</f>
        <v/>
      </c>
      <c r="J1261" s="11">
        <f>MAX(0,M1261-N1261)</f>
        <v/>
      </c>
      <c r="K1261" s="11">
        <f>O1261</f>
        <v/>
      </c>
      <c r="L1261" s="11">
        <f>L1260+IF(K1261&gt;0,K1261*Summary!$B$9,K1261/Summary!$B$9)</f>
        <v/>
      </c>
      <c r="M1261" s="11">
        <f>G1261+H1261</f>
        <v/>
      </c>
      <c r="N1261" s="11">
        <f>Summary!$C$16*Summary!$B$8</f>
        <v/>
      </c>
      <c r="O1261" s="11">
        <f>M1261-N1261</f>
        <v/>
      </c>
    </row>
    <row r="1262">
      <c r="A1262" s="9" t="n">
        <v>45344.5</v>
      </c>
      <c r="B1262" t="n">
        <v>2</v>
      </c>
      <c r="C1262" t="n">
        <v>22</v>
      </c>
      <c r="D1262" t="n">
        <v>12</v>
      </c>
      <c r="E1262" s="10" t="n">
        <v>0.093655</v>
      </c>
      <c r="F1262" s="10" t="n">
        <v>0.3168565240455657</v>
      </c>
      <c r="G1262" s="11">
        <f>E1262*Summary!$B$6</f>
        <v/>
      </c>
      <c r="H1262" s="11">
        <f>F1262*Summary!$B$7</f>
        <v/>
      </c>
      <c r="I1262" s="11">
        <f>MAX(0,N1262-M1262)</f>
        <v/>
      </c>
      <c r="J1262" s="11">
        <f>MAX(0,M1262-N1262)</f>
        <v/>
      </c>
      <c r="K1262" s="11">
        <f>O1262</f>
        <v/>
      </c>
      <c r="L1262" s="11">
        <f>L1261+IF(K1262&gt;0,K1262*Summary!$B$9,K1262/Summary!$B$9)</f>
        <v/>
      </c>
      <c r="M1262" s="11">
        <f>G1262+H1262</f>
        <v/>
      </c>
      <c r="N1262" s="11">
        <f>Summary!$C$16*Summary!$B$8</f>
        <v/>
      </c>
      <c r="O1262" s="11">
        <f>M1262-N1262</f>
        <v/>
      </c>
    </row>
    <row r="1263">
      <c r="A1263" s="9" t="n">
        <v>45344.54166666666</v>
      </c>
      <c r="B1263" t="n">
        <v>2</v>
      </c>
      <c r="C1263" t="n">
        <v>22</v>
      </c>
      <c r="D1263" t="n">
        <v>13</v>
      </c>
      <c r="E1263" s="10" t="n">
        <v>0.09916999999999999</v>
      </c>
      <c r="F1263" s="10" t="n">
        <v>0.3164085399380496</v>
      </c>
      <c r="G1263" s="11">
        <f>E1263*Summary!$B$6</f>
        <v/>
      </c>
      <c r="H1263" s="11">
        <f>F1263*Summary!$B$7</f>
        <v/>
      </c>
      <c r="I1263" s="11">
        <f>MAX(0,N1263-M1263)</f>
        <v/>
      </c>
      <c r="J1263" s="11">
        <f>MAX(0,M1263-N1263)</f>
        <v/>
      </c>
      <c r="K1263" s="11">
        <f>O1263</f>
        <v/>
      </c>
      <c r="L1263" s="11">
        <f>L1262+IF(K1263&gt;0,K1263*Summary!$B$9,K1263/Summary!$B$9)</f>
        <v/>
      </c>
      <c r="M1263" s="11">
        <f>G1263+H1263</f>
        <v/>
      </c>
      <c r="N1263" s="11">
        <f>Summary!$C$16*Summary!$B$8</f>
        <v/>
      </c>
      <c r="O1263" s="11">
        <f>M1263-N1263</f>
        <v/>
      </c>
    </row>
    <row r="1264">
      <c r="A1264" s="9" t="n">
        <v>45344.58333333334</v>
      </c>
      <c r="B1264" t="n">
        <v>2</v>
      </c>
      <c r="C1264" t="n">
        <v>22</v>
      </c>
      <c r="D1264" t="n">
        <v>14</v>
      </c>
      <c r="E1264" s="10" t="n">
        <v>0.153271</v>
      </c>
      <c r="F1264" s="10" t="n">
        <v>0.2715310731674576</v>
      </c>
      <c r="G1264" s="11">
        <f>E1264*Summary!$B$6</f>
        <v/>
      </c>
      <c r="H1264" s="11">
        <f>F1264*Summary!$B$7</f>
        <v/>
      </c>
      <c r="I1264" s="11">
        <f>MAX(0,N1264-M1264)</f>
        <v/>
      </c>
      <c r="J1264" s="11">
        <f>MAX(0,M1264-N1264)</f>
        <v/>
      </c>
      <c r="K1264" s="11">
        <f>O1264</f>
        <v/>
      </c>
      <c r="L1264" s="11">
        <f>L1263+IF(K1264&gt;0,K1264*Summary!$B$9,K1264/Summary!$B$9)</f>
        <v/>
      </c>
      <c r="M1264" s="11">
        <f>G1264+H1264</f>
        <v/>
      </c>
      <c r="N1264" s="11">
        <f>Summary!$C$16*Summary!$B$8</f>
        <v/>
      </c>
      <c r="O1264" s="11">
        <f>M1264-N1264</f>
        <v/>
      </c>
    </row>
    <row r="1265">
      <c r="A1265" s="9" t="n">
        <v>45344.625</v>
      </c>
      <c r="B1265" t="n">
        <v>2</v>
      </c>
      <c r="C1265" t="n">
        <v>22</v>
      </c>
      <c r="D1265" t="n">
        <v>15</v>
      </c>
      <c r="E1265" s="10" t="n">
        <v>0.108166</v>
      </c>
      <c r="F1265" s="10" t="n">
        <v>0.3346177763082663</v>
      </c>
      <c r="G1265" s="11">
        <f>E1265*Summary!$B$6</f>
        <v/>
      </c>
      <c r="H1265" s="11">
        <f>F1265*Summary!$B$7</f>
        <v/>
      </c>
      <c r="I1265" s="11">
        <f>MAX(0,N1265-M1265)</f>
        <v/>
      </c>
      <c r="J1265" s="11">
        <f>MAX(0,M1265-N1265)</f>
        <v/>
      </c>
      <c r="K1265" s="11">
        <f>O1265</f>
        <v/>
      </c>
      <c r="L1265" s="11">
        <f>L1264+IF(K1265&gt;0,K1265*Summary!$B$9,K1265/Summary!$B$9)</f>
        <v/>
      </c>
      <c r="M1265" s="11">
        <f>G1265+H1265</f>
        <v/>
      </c>
      <c r="N1265" s="11">
        <f>Summary!$C$16*Summary!$B$8</f>
        <v/>
      </c>
      <c r="O1265" s="11">
        <f>M1265-N1265</f>
        <v/>
      </c>
    </row>
    <row r="1266">
      <c r="A1266" s="9" t="n">
        <v>45344.66666666666</v>
      </c>
      <c r="B1266" t="n">
        <v>2</v>
      </c>
      <c r="C1266" t="n">
        <v>22</v>
      </c>
      <c r="D1266" t="n">
        <v>16</v>
      </c>
      <c r="E1266" s="10" t="n">
        <v>0.022665</v>
      </c>
      <c r="F1266" s="10" t="n">
        <v>0.3512195402926896</v>
      </c>
      <c r="G1266" s="11">
        <f>E1266*Summary!$B$6</f>
        <v/>
      </c>
      <c r="H1266" s="11">
        <f>F1266*Summary!$B$7</f>
        <v/>
      </c>
      <c r="I1266" s="11">
        <f>MAX(0,N1266-M1266)</f>
        <v/>
      </c>
      <c r="J1266" s="11">
        <f>MAX(0,M1266-N1266)</f>
        <v/>
      </c>
      <c r="K1266" s="11">
        <f>O1266</f>
        <v/>
      </c>
      <c r="L1266" s="11">
        <f>L1265+IF(K1266&gt;0,K1266*Summary!$B$9,K1266/Summary!$B$9)</f>
        <v/>
      </c>
      <c r="M1266" s="11">
        <f>G1266+H1266</f>
        <v/>
      </c>
      <c r="N1266" s="11">
        <f>Summary!$C$16*Summary!$B$8</f>
        <v/>
      </c>
      <c r="O1266" s="11">
        <f>M1266-N1266</f>
        <v/>
      </c>
    </row>
    <row r="1267">
      <c r="A1267" s="9" t="n">
        <v>45344.70833333334</v>
      </c>
      <c r="B1267" t="n">
        <v>2</v>
      </c>
      <c r="C1267" t="n">
        <v>22</v>
      </c>
      <c r="D1267" t="n">
        <v>17</v>
      </c>
      <c r="E1267" s="10" t="n">
        <v>0</v>
      </c>
      <c r="F1267" s="10" t="n">
        <v>0.3259216142211874</v>
      </c>
      <c r="G1267" s="11">
        <f>E1267*Summary!$B$6</f>
        <v/>
      </c>
      <c r="H1267" s="11">
        <f>F1267*Summary!$B$7</f>
        <v/>
      </c>
      <c r="I1267" s="11">
        <f>MAX(0,N1267-M1267)</f>
        <v/>
      </c>
      <c r="J1267" s="11">
        <f>MAX(0,M1267-N1267)</f>
        <v/>
      </c>
      <c r="K1267" s="11">
        <f>O1267</f>
        <v/>
      </c>
      <c r="L1267" s="11">
        <f>L1266+IF(K1267&gt;0,K1267*Summary!$B$9,K1267/Summary!$B$9)</f>
        <v/>
      </c>
      <c r="M1267" s="11">
        <f>G1267+H1267</f>
        <v/>
      </c>
      <c r="N1267" s="11">
        <f>Summary!$C$16*Summary!$B$8</f>
        <v/>
      </c>
      <c r="O1267" s="11">
        <f>M1267-N1267</f>
        <v/>
      </c>
    </row>
    <row r="1268">
      <c r="A1268" s="9" t="n">
        <v>45344.75</v>
      </c>
      <c r="B1268" t="n">
        <v>2</v>
      </c>
      <c r="C1268" t="n">
        <v>22</v>
      </c>
      <c r="D1268" t="n">
        <v>18</v>
      </c>
      <c r="E1268" s="10" t="n">
        <v>0</v>
      </c>
      <c r="F1268" s="10" t="n">
        <v>0.3869528608686866</v>
      </c>
      <c r="G1268" s="11">
        <f>E1268*Summary!$B$6</f>
        <v/>
      </c>
      <c r="H1268" s="11">
        <f>F1268*Summary!$B$7</f>
        <v/>
      </c>
      <c r="I1268" s="11">
        <f>MAX(0,N1268-M1268)</f>
        <v/>
      </c>
      <c r="J1268" s="11">
        <f>MAX(0,M1268-N1268)</f>
        <v/>
      </c>
      <c r="K1268" s="11">
        <f>O1268</f>
        <v/>
      </c>
      <c r="L1268" s="11">
        <f>L1267+IF(K1268&gt;0,K1268*Summary!$B$9,K1268/Summary!$B$9)</f>
        <v/>
      </c>
      <c r="M1268" s="11">
        <f>G1268+H1268</f>
        <v/>
      </c>
      <c r="N1268" s="11">
        <f>Summary!$C$16*Summary!$B$8</f>
        <v/>
      </c>
      <c r="O1268" s="11">
        <f>M1268-N1268</f>
        <v/>
      </c>
    </row>
    <row r="1269">
      <c r="A1269" s="9" t="n">
        <v>45344.79166666666</v>
      </c>
      <c r="B1269" t="n">
        <v>2</v>
      </c>
      <c r="C1269" t="n">
        <v>22</v>
      </c>
      <c r="D1269" t="n">
        <v>19</v>
      </c>
      <c r="E1269" s="10" t="n">
        <v>0</v>
      </c>
      <c r="F1269" s="10" t="n">
        <v>0.4051884492452278</v>
      </c>
      <c r="G1269" s="11">
        <f>E1269*Summary!$B$6</f>
        <v/>
      </c>
      <c r="H1269" s="11">
        <f>F1269*Summary!$B$7</f>
        <v/>
      </c>
      <c r="I1269" s="11">
        <f>MAX(0,N1269-M1269)</f>
        <v/>
      </c>
      <c r="J1269" s="11">
        <f>MAX(0,M1269-N1269)</f>
        <v/>
      </c>
      <c r="K1269" s="11">
        <f>O1269</f>
        <v/>
      </c>
      <c r="L1269" s="11">
        <f>L1268+IF(K1269&gt;0,K1269*Summary!$B$9,K1269/Summary!$B$9)</f>
        <v/>
      </c>
      <c r="M1269" s="11">
        <f>G1269+H1269</f>
        <v/>
      </c>
      <c r="N1269" s="11">
        <f>Summary!$C$16*Summary!$B$8</f>
        <v/>
      </c>
      <c r="O1269" s="11">
        <f>M1269-N1269</f>
        <v/>
      </c>
    </row>
    <row r="1270">
      <c r="A1270" s="9" t="n">
        <v>45344.83333333334</v>
      </c>
      <c r="B1270" t="n">
        <v>2</v>
      </c>
      <c r="C1270" t="n">
        <v>22</v>
      </c>
      <c r="D1270" t="n">
        <v>20</v>
      </c>
      <c r="E1270" s="10" t="n">
        <v>0</v>
      </c>
      <c r="F1270" s="10" t="n">
        <v>0.4134366272247905</v>
      </c>
      <c r="G1270" s="11">
        <f>E1270*Summary!$B$6</f>
        <v/>
      </c>
      <c r="H1270" s="11">
        <f>F1270*Summary!$B$7</f>
        <v/>
      </c>
      <c r="I1270" s="11">
        <f>MAX(0,N1270-M1270)</f>
        <v/>
      </c>
      <c r="J1270" s="11">
        <f>MAX(0,M1270-N1270)</f>
        <v/>
      </c>
      <c r="K1270" s="11">
        <f>O1270</f>
        <v/>
      </c>
      <c r="L1270" s="11">
        <f>L1269+IF(K1270&gt;0,K1270*Summary!$B$9,K1270/Summary!$B$9)</f>
        <v/>
      </c>
      <c r="M1270" s="11">
        <f>G1270+H1270</f>
        <v/>
      </c>
      <c r="N1270" s="11">
        <f>Summary!$C$16*Summary!$B$8</f>
        <v/>
      </c>
      <c r="O1270" s="11">
        <f>M1270-N1270</f>
        <v/>
      </c>
    </row>
    <row r="1271">
      <c r="A1271" s="9" t="n">
        <v>45344.875</v>
      </c>
      <c r="B1271" t="n">
        <v>2</v>
      </c>
      <c r="C1271" t="n">
        <v>22</v>
      </c>
      <c r="D1271" t="n">
        <v>21</v>
      </c>
      <c r="E1271" s="10" t="n">
        <v>0</v>
      </c>
      <c r="F1271" s="10" t="n">
        <v>0.4163616999268079</v>
      </c>
      <c r="G1271" s="11">
        <f>E1271*Summary!$B$6</f>
        <v/>
      </c>
      <c r="H1271" s="11">
        <f>F1271*Summary!$B$7</f>
        <v/>
      </c>
      <c r="I1271" s="11">
        <f>MAX(0,N1271-M1271)</f>
        <v/>
      </c>
      <c r="J1271" s="11">
        <f>MAX(0,M1271-N1271)</f>
        <v/>
      </c>
      <c r="K1271" s="11">
        <f>O1271</f>
        <v/>
      </c>
      <c r="L1271" s="11">
        <f>L1270+IF(K1271&gt;0,K1271*Summary!$B$9,K1271/Summary!$B$9)</f>
        <v/>
      </c>
      <c r="M1271" s="11">
        <f>G1271+H1271</f>
        <v/>
      </c>
      <c r="N1271" s="11">
        <f>Summary!$C$16*Summary!$B$8</f>
        <v/>
      </c>
      <c r="O1271" s="11">
        <f>M1271-N1271</f>
        <v/>
      </c>
    </row>
    <row r="1272">
      <c r="A1272" s="9" t="n">
        <v>45344.91666666666</v>
      </c>
      <c r="B1272" t="n">
        <v>2</v>
      </c>
      <c r="C1272" t="n">
        <v>22</v>
      </c>
      <c r="D1272" t="n">
        <v>22</v>
      </c>
      <c r="E1272" s="10" t="n">
        <v>0</v>
      </c>
      <c r="F1272" s="10" t="n">
        <v>0.4179428203062769</v>
      </c>
      <c r="G1272" s="11">
        <f>E1272*Summary!$B$6</f>
        <v/>
      </c>
      <c r="H1272" s="11">
        <f>F1272*Summary!$B$7</f>
        <v/>
      </c>
      <c r="I1272" s="11">
        <f>MAX(0,N1272-M1272)</f>
        <v/>
      </c>
      <c r="J1272" s="11">
        <f>MAX(0,M1272-N1272)</f>
        <v/>
      </c>
      <c r="K1272" s="11">
        <f>O1272</f>
        <v/>
      </c>
      <c r="L1272" s="11">
        <f>L1271+IF(K1272&gt;0,K1272*Summary!$B$9,K1272/Summary!$B$9)</f>
        <v/>
      </c>
      <c r="M1272" s="11">
        <f>G1272+H1272</f>
        <v/>
      </c>
      <c r="N1272" s="11">
        <f>Summary!$C$16*Summary!$B$8</f>
        <v/>
      </c>
      <c r="O1272" s="11">
        <f>M1272-N1272</f>
        <v/>
      </c>
    </row>
    <row r="1273">
      <c r="A1273" s="9" t="n">
        <v>45344.95833333334</v>
      </c>
      <c r="B1273" t="n">
        <v>2</v>
      </c>
      <c r="C1273" t="n">
        <v>22</v>
      </c>
      <c r="D1273" t="n">
        <v>23</v>
      </c>
      <c r="E1273" s="10" t="n">
        <v>0</v>
      </c>
      <c r="F1273" s="10" t="n">
        <v>0.3822622037429289</v>
      </c>
      <c r="G1273" s="11">
        <f>E1273*Summary!$B$6</f>
        <v/>
      </c>
      <c r="H1273" s="11">
        <f>F1273*Summary!$B$7</f>
        <v/>
      </c>
      <c r="I1273" s="11">
        <f>MAX(0,N1273-M1273)</f>
        <v/>
      </c>
      <c r="J1273" s="11">
        <f>MAX(0,M1273-N1273)</f>
        <v/>
      </c>
      <c r="K1273" s="11">
        <f>O1273</f>
        <v/>
      </c>
      <c r="L1273" s="11">
        <f>L1272+IF(K1273&gt;0,K1273*Summary!$B$9,K1273/Summary!$B$9)</f>
        <v/>
      </c>
      <c r="M1273" s="11">
        <f>G1273+H1273</f>
        <v/>
      </c>
      <c r="N1273" s="11">
        <f>Summary!$C$16*Summary!$B$8</f>
        <v/>
      </c>
      <c r="O1273" s="11">
        <f>M1273-N1273</f>
        <v/>
      </c>
    </row>
    <row r="1274">
      <c r="A1274" s="9" t="n">
        <v>45345</v>
      </c>
      <c r="B1274" t="n">
        <v>2</v>
      </c>
      <c r="C1274" t="n">
        <v>23</v>
      </c>
      <c r="D1274" t="n">
        <v>0</v>
      </c>
      <c r="E1274" s="10" t="n">
        <v>0</v>
      </c>
      <c r="F1274" s="10" t="n">
        <v>0.4511990522877726</v>
      </c>
      <c r="G1274" s="11">
        <f>E1274*Summary!$B$6</f>
        <v/>
      </c>
      <c r="H1274" s="11">
        <f>F1274*Summary!$B$7</f>
        <v/>
      </c>
      <c r="I1274" s="11">
        <f>MAX(0,N1274-M1274)</f>
        <v/>
      </c>
      <c r="J1274" s="11">
        <f>MAX(0,M1274-N1274)</f>
        <v/>
      </c>
      <c r="K1274" s="11">
        <f>O1274</f>
        <v/>
      </c>
      <c r="L1274" s="11">
        <f>L1273+IF(K1274&gt;0,K1274*Summary!$B$9,K1274/Summary!$B$9)</f>
        <v/>
      </c>
      <c r="M1274" s="11">
        <f>G1274+H1274</f>
        <v/>
      </c>
      <c r="N1274" s="11">
        <f>Summary!$C$16*Summary!$B$8</f>
        <v/>
      </c>
      <c r="O1274" s="11">
        <f>M1274-N1274</f>
        <v/>
      </c>
    </row>
    <row r="1275">
      <c r="A1275" s="9" t="n">
        <v>45345.04166666666</v>
      </c>
      <c r="B1275" t="n">
        <v>2</v>
      </c>
      <c r="C1275" t="n">
        <v>23</v>
      </c>
      <c r="D1275" t="n">
        <v>1</v>
      </c>
      <c r="E1275" s="10" t="n">
        <v>0</v>
      </c>
      <c r="F1275" s="10" t="n">
        <v>0.4424501861880447</v>
      </c>
      <c r="G1275" s="11">
        <f>E1275*Summary!$B$6</f>
        <v/>
      </c>
      <c r="H1275" s="11">
        <f>F1275*Summary!$B$7</f>
        <v/>
      </c>
      <c r="I1275" s="11">
        <f>MAX(0,N1275-M1275)</f>
        <v/>
      </c>
      <c r="J1275" s="11">
        <f>MAX(0,M1275-N1275)</f>
        <v/>
      </c>
      <c r="K1275" s="11">
        <f>O1275</f>
        <v/>
      </c>
      <c r="L1275" s="11">
        <f>L1274+IF(K1275&gt;0,K1275*Summary!$B$9,K1275/Summary!$B$9)</f>
        <v/>
      </c>
      <c r="M1275" s="11">
        <f>G1275+H1275</f>
        <v/>
      </c>
      <c r="N1275" s="11">
        <f>Summary!$C$16*Summary!$B$8</f>
        <v/>
      </c>
      <c r="O1275" s="11">
        <f>M1275-N1275</f>
        <v/>
      </c>
    </row>
    <row r="1276">
      <c r="A1276" s="9" t="n">
        <v>45345.08333333334</v>
      </c>
      <c r="B1276" t="n">
        <v>2</v>
      </c>
      <c r="C1276" t="n">
        <v>23</v>
      </c>
      <c r="D1276" t="n">
        <v>2</v>
      </c>
      <c r="E1276" s="10" t="n">
        <v>0</v>
      </c>
      <c r="F1276" s="10" t="n">
        <v>0.4502240280537668</v>
      </c>
      <c r="G1276" s="11">
        <f>E1276*Summary!$B$6</f>
        <v/>
      </c>
      <c r="H1276" s="11">
        <f>F1276*Summary!$B$7</f>
        <v/>
      </c>
      <c r="I1276" s="11">
        <f>MAX(0,N1276-M1276)</f>
        <v/>
      </c>
      <c r="J1276" s="11">
        <f>MAX(0,M1276-N1276)</f>
        <v/>
      </c>
      <c r="K1276" s="11">
        <f>O1276</f>
        <v/>
      </c>
      <c r="L1276" s="11">
        <f>L1275+IF(K1276&gt;0,K1276*Summary!$B$9,K1276/Summary!$B$9)</f>
        <v/>
      </c>
      <c r="M1276" s="11">
        <f>G1276+H1276</f>
        <v/>
      </c>
      <c r="N1276" s="11">
        <f>Summary!$C$16*Summary!$B$8</f>
        <v/>
      </c>
      <c r="O1276" s="11">
        <f>M1276-N1276</f>
        <v/>
      </c>
    </row>
    <row r="1277">
      <c r="A1277" s="9" t="n">
        <v>45345.125</v>
      </c>
      <c r="B1277" t="n">
        <v>2</v>
      </c>
      <c r="C1277" t="n">
        <v>23</v>
      </c>
      <c r="D1277" t="n">
        <v>3</v>
      </c>
      <c r="E1277" s="10" t="n">
        <v>0</v>
      </c>
      <c r="F1277" s="10" t="n">
        <v>0.4503294360790647</v>
      </c>
      <c r="G1277" s="11">
        <f>E1277*Summary!$B$6</f>
        <v/>
      </c>
      <c r="H1277" s="11">
        <f>F1277*Summary!$B$7</f>
        <v/>
      </c>
      <c r="I1277" s="11">
        <f>MAX(0,N1277-M1277)</f>
        <v/>
      </c>
      <c r="J1277" s="11">
        <f>MAX(0,M1277-N1277)</f>
        <v/>
      </c>
      <c r="K1277" s="11">
        <f>O1277</f>
        <v/>
      </c>
      <c r="L1277" s="11">
        <f>L1276+IF(K1277&gt;0,K1277*Summary!$B$9,K1277/Summary!$B$9)</f>
        <v/>
      </c>
      <c r="M1277" s="11">
        <f>G1277+H1277</f>
        <v/>
      </c>
      <c r="N1277" s="11">
        <f>Summary!$C$16*Summary!$B$8</f>
        <v/>
      </c>
      <c r="O1277" s="11">
        <f>M1277-N1277</f>
        <v/>
      </c>
    </row>
    <row r="1278">
      <c r="A1278" s="9" t="n">
        <v>45345.16666666666</v>
      </c>
      <c r="B1278" t="n">
        <v>2</v>
      </c>
      <c r="C1278" t="n">
        <v>23</v>
      </c>
      <c r="D1278" t="n">
        <v>4</v>
      </c>
      <c r="E1278" s="10" t="n">
        <v>0</v>
      </c>
      <c r="F1278" s="10" t="n">
        <v>0.4486692596806223</v>
      </c>
      <c r="G1278" s="11">
        <f>E1278*Summary!$B$6</f>
        <v/>
      </c>
      <c r="H1278" s="11">
        <f>F1278*Summary!$B$7</f>
        <v/>
      </c>
      <c r="I1278" s="11">
        <f>MAX(0,N1278-M1278)</f>
        <v/>
      </c>
      <c r="J1278" s="11">
        <f>MAX(0,M1278-N1278)</f>
        <v/>
      </c>
      <c r="K1278" s="11">
        <f>O1278</f>
        <v/>
      </c>
      <c r="L1278" s="11">
        <f>L1277+IF(K1278&gt;0,K1278*Summary!$B$9,K1278/Summary!$B$9)</f>
        <v/>
      </c>
      <c r="M1278" s="11">
        <f>G1278+H1278</f>
        <v/>
      </c>
      <c r="N1278" s="11">
        <f>Summary!$C$16*Summary!$B$8</f>
        <v/>
      </c>
      <c r="O1278" s="11">
        <f>M1278-N1278</f>
        <v/>
      </c>
    </row>
    <row r="1279">
      <c r="A1279" s="9" t="n">
        <v>45345.20833333334</v>
      </c>
      <c r="B1279" t="n">
        <v>2</v>
      </c>
      <c r="C1279" t="n">
        <v>23</v>
      </c>
      <c r="D1279" t="n">
        <v>5</v>
      </c>
      <c r="E1279" s="10" t="n">
        <v>0</v>
      </c>
      <c r="F1279" s="10" t="n">
        <v>0.4806605953585428</v>
      </c>
      <c r="G1279" s="11">
        <f>E1279*Summary!$B$6</f>
        <v/>
      </c>
      <c r="H1279" s="11">
        <f>F1279*Summary!$B$7</f>
        <v/>
      </c>
      <c r="I1279" s="11">
        <f>MAX(0,N1279-M1279)</f>
        <v/>
      </c>
      <c r="J1279" s="11">
        <f>MAX(0,M1279-N1279)</f>
        <v/>
      </c>
      <c r="K1279" s="11">
        <f>O1279</f>
        <v/>
      </c>
      <c r="L1279" s="11">
        <f>L1278+IF(K1279&gt;0,K1279*Summary!$B$9,K1279/Summary!$B$9)</f>
        <v/>
      </c>
      <c r="M1279" s="11">
        <f>G1279+H1279</f>
        <v/>
      </c>
      <c r="N1279" s="11">
        <f>Summary!$C$16*Summary!$B$8</f>
        <v/>
      </c>
      <c r="O1279" s="11">
        <f>M1279-N1279</f>
        <v/>
      </c>
    </row>
    <row r="1280">
      <c r="A1280" s="9" t="n">
        <v>45345.25</v>
      </c>
      <c r="B1280" t="n">
        <v>2</v>
      </c>
      <c r="C1280" t="n">
        <v>23</v>
      </c>
      <c r="D1280" t="n">
        <v>6</v>
      </c>
      <c r="E1280" s="10" t="n">
        <v>0</v>
      </c>
      <c r="F1280" s="10" t="n">
        <v>0.4430826343398322</v>
      </c>
      <c r="G1280" s="11">
        <f>E1280*Summary!$B$6</f>
        <v/>
      </c>
      <c r="H1280" s="11">
        <f>F1280*Summary!$B$7</f>
        <v/>
      </c>
      <c r="I1280" s="11">
        <f>MAX(0,N1280-M1280)</f>
        <v/>
      </c>
      <c r="J1280" s="11">
        <f>MAX(0,M1280-N1280)</f>
        <v/>
      </c>
      <c r="K1280" s="11">
        <f>O1280</f>
        <v/>
      </c>
      <c r="L1280" s="11">
        <f>L1279+IF(K1280&gt;0,K1280*Summary!$B$9,K1280/Summary!$B$9)</f>
        <v/>
      </c>
      <c r="M1280" s="11">
        <f>G1280+H1280</f>
        <v/>
      </c>
      <c r="N1280" s="11">
        <f>Summary!$C$16*Summary!$B$8</f>
        <v/>
      </c>
      <c r="O1280" s="11">
        <f>M1280-N1280</f>
        <v/>
      </c>
    </row>
    <row r="1281">
      <c r="A1281" s="9" t="n">
        <v>45345.29166666666</v>
      </c>
      <c r="B1281" t="n">
        <v>2</v>
      </c>
      <c r="C1281" t="n">
        <v>23</v>
      </c>
      <c r="D1281" t="n">
        <v>7</v>
      </c>
      <c r="E1281" s="10" t="n">
        <v>0</v>
      </c>
      <c r="F1281" s="10" t="n">
        <v>0.4389453693468887</v>
      </c>
      <c r="G1281" s="11">
        <f>E1281*Summary!$B$6</f>
        <v/>
      </c>
      <c r="H1281" s="11">
        <f>F1281*Summary!$B$7</f>
        <v/>
      </c>
      <c r="I1281" s="11">
        <f>MAX(0,N1281-M1281)</f>
        <v/>
      </c>
      <c r="J1281" s="11">
        <f>MAX(0,M1281-N1281)</f>
        <v/>
      </c>
      <c r="K1281" s="11">
        <f>O1281</f>
        <v/>
      </c>
      <c r="L1281" s="11">
        <f>L1280+IF(K1281&gt;0,K1281*Summary!$B$9,K1281/Summary!$B$9)</f>
        <v/>
      </c>
      <c r="M1281" s="11">
        <f>G1281+H1281</f>
        <v/>
      </c>
      <c r="N1281" s="11">
        <f>Summary!$C$16*Summary!$B$8</f>
        <v/>
      </c>
      <c r="O1281" s="11">
        <f>M1281-N1281</f>
        <v/>
      </c>
    </row>
    <row r="1282">
      <c r="A1282" s="9" t="n">
        <v>45345.33333333334</v>
      </c>
      <c r="B1282" t="n">
        <v>2</v>
      </c>
      <c r="C1282" t="n">
        <v>23</v>
      </c>
      <c r="D1282" t="n">
        <v>8</v>
      </c>
      <c r="E1282" s="10" t="n">
        <v>0.016916</v>
      </c>
      <c r="F1282" s="10" t="n">
        <v>0.4271133185071964</v>
      </c>
      <c r="G1282" s="11">
        <f>E1282*Summary!$B$6</f>
        <v/>
      </c>
      <c r="H1282" s="11">
        <f>F1282*Summary!$B$7</f>
        <v/>
      </c>
      <c r="I1282" s="11">
        <f>MAX(0,N1282-M1282)</f>
        <v/>
      </c>
      <c r="J1282" s="11">
        <f>MAX(0,M1282-N1282)</f>
        <v/>
      </c>
      <c r="K1282" s="11">
        <f>O1282</f>
        <v/>
      </c>
      <c r="L1282" s="11">
        <f>L1281+IF(K1282&gt;0,K1282*Summary!$B$9,K1282/Summary!$B$9)</f>
        <v/>
      </c>
      <c r="M1282" s="11">
        <f>G1282+H1282</f>
        <v/>
      </c>
      <c r="N1282" s="11">
        <f>Summary!$C$16*Summary!$B$8</f>
        <v/>
      </c>
      <c r="O1282" s="11">
        <f>M1282-N1282</f>
        <v/>
      </c>
    </row>
    <row r="1283">
      <c r="A1283" s="9" t="n">
        <v>45345.375</v>
      </c>
      <c r="B1283" t="n">
        <v>2</v>
      </c>
      <c r="C1283" t="n">
        <v>23</v>
      </c>
      <c r="D1283" t="n">
        <v>9</v>
      </c>
      <c r="E1283" s="10" t="n">
        <v>0.05323</v>
      </c>
      <c r="F1283" s="10" t="n">
        <v>0.414174483401876</v>
      </c>
      <c r="G1283" s="11">
        <f>E1283*Summary!$B$6</f>
        <v/>
      </c>
      <c r="H1283" s="11">
        <f>F1283*Summary!$B$7</f>
        <v/>
      </c>
      <c r="I1283" s="11">
        <f>MAX(0,N1283-M1283)</f>
        <v/>
      </c>
      <c r="J1283" s="11">
        <f>MAX(0,M1283-N1283)</f>
        <v/>
      </c>
      <c r="K1283" s="11">
        <f>O1283</f>
        <v/>
      </c>
      <c r="L1283" s="11">
        <f>L1282+IF(K1283&gt;0,K1283*Summary!$B$9,K1283/Summary!$B$9)</f>
        <v/>
      </c>
      <c r="M1283" s="11">
        <f>G1283+H1283</f>
        <v/>
      </c>
      <c r="N1283" s="11">
        <f>Summary!$C$16*Summary!$B$8</f>
        <v/>
      </c>
      <c r="O1283" s="11">
        <f>M1283-N1283</f>
        <v/>
      </c>
    </row>
    <row r="1284">
      <c r="A1284" s="9" t="n">
        <v>45345.41666666666</v>
      </c>
      <c r="B1284" t="n">
        <v>2</v>
      </c>
      <c r="C1284" t="n">
        <v>23</v>
      </c>
      <c r="D1284" t="n">
        <v>10</v>
      </c>
      <c r="E1284" s="10" t="n">
        <v>0.08493000000000001</v>
      </c>
      <c r="F1284" s="10" t="n">
        <v>0.4018153924356942</v>
      </c>
      <c r="G1284" s="11">
        <f>E1284*Summary!$B$6</f>
        <v/>
      </c>
      <c r="H1284" s="11">
        <f>F1284*Summary!$B$7</f>
        <v/>
      </c>
      <c r="I1284" s="11">
        <f>MAX(0,N1284-M1284)</f>
        <v/>
      </c>
      <c r="J1284" s="11">
        <f>MAX(0,M1284-N1284)</f>
        <v/>
      </c>
      <c r="K1284" s="11">
        <f>O1284</f>
        <v/>
      </c>
      <c r="L1284" s="11">
        <f>L1283+IF(K1284&gt;0,K1284*Summary!$B$9,K1284/Summary!$B$9)</f>
        <v/>
      </c>
      <c r="M1284" s="11">
        <f>G1284+H1284</f>
        <v/>
      </c>
      <c r="N1284" s="11">
        <f>Summary!$C$16*Summary!$B$8</f>
        <v/>
      </c>
      <c r="O1284" s="11">
        <f>M1284-N1284</f>
        <v/>
      </c>
    </row>
    <row r="1285">
      <c r="A1285" s="9" t="n">
        <v>45345.45833333334</v>
      </c>
      <c r="B1285" t="n">
        <v>2</v>
      </c>
      <c r="C1285" t="n">
        <v>23</v>
      </c>
      <c r="D1285" t="n">
        <v>11</v>
      </c>
      <c r="E1285" s="10" t="n">
        <v>0.201786</v>
      </c>
      <c r="F1285" s="10" t="n">
        <v>0.3904576777098427</v>
      </c>
      <c r="G1285" s="11">
        <f>E1285*Summary!$B$6</f>
        <v/>
      </c>
      <c r="H1285" s="11">
        <f>F1285*Summary!$B$7</f>
        <v/>
      </c>
      <c r="I1285" s="11">
        <f>MAX(0,N1285-M1285)</f>
        <v/>
      </c>
      <c r="J1285" s="11">
        <f>MAX(0,M1285-N1285)</f>
        <v/>
      </c>
      <c r="K1285" s="11">
        <f>O1285</f>
        <v/>
      </c>
      <c r="L1285" s="11">
        <f>L1284+IF(K1285&gt;0,K1285*Summary!$B$9,K1285/Summary!$B$9)</f>
        <v/>
      </c>
      <c r="M1285" s="11">
        <f>G1285+H1285</f>
        <v/>
      </c>
      <c r="N1285" s="11">
        <f>Summary!$C$16*Summary!$B$8</f>
        <v/>
      </c>
      <c r="O1285" s="11">
        <f>M1285-N1285</f>
        <v/>
      </c>
    </row>
    <row r="1286">
      <c r="A1286" s="9" t="n">
        <v>45345.5</v>
      </c>
      <c r="B1286" t="n">
        <v>2</v>
      </c>
      <c r="C1286" t="n">
        <v>23</v>
      </c>
      <c r="D1286" t="n">
        <v>12</v>
      </c>
      <c r="E1286" s="10" t="n">
        <v>0.226496</v>
      </c>
      <c r="F1286" s="10" t="n">
        <v>0.3824466677872002</v>
      </c>
      <c r="G1286" s="11">
        <f>E1286*Summary!$B$6</f>
        <v/>
      </c>
      <c r="H1286" s="11">
        <f>F1286*Summary!$B$7</f>
        <v/>
      </c>
      <c r="I1286" s="11">
        <f>MAX(0,N1286-M1286)</f>
        <v/>
      </c>
      <c r="J1286" s="11">
        <f>MAX(0,M1286-N1286)</f>
        <v/>
      </c>
      <c r="K1286" s="11">
        <f>O1286</f>
        <v/>
      </c>
      <c r="L1286" s="11">
        <f>L1285+IF(K1286&gt;0,K1286*Summary!$B$9,K1286/Summary!$B$9)</f>
        <v/>
      </c>
      <c r="M1286" s="11">
        <f>G1286+H1286</f>
        <v/>
      </c>
      <c r="N1286" s="11">
        <f>Summary!$C$16*Summary!$B$8</f>
        <v/>
      </c>
      <c r="O1286" s="11">
        <f>M1286-N1286</f>
        <v/>
      </c>
    </row>
    <row r="1287">
      <c r="A1287" s="9" t="n">
        <v>45345.54166666666</v>
      </c>
      <c r="B1287" t="n">
        <v>2</v>
      </c>
      <c r="C1287" t="n">
        <v>23</v>
      </c>
      <c r="D1287" t="n">
        <v>13</v>
      </c>
      <c r="E1287" s="10" t="n">
        <v>0.196856</v>
      </c>
      <c r="F1287" s="10" t="n">
        <v>0.379258075021938</v>
      </c>
      <c r="G1287" s="11">
        <f>E1287*Summary!$B$6</f>
        <v/>
      </c>
      <c r="H1287" s="11">
        <f>F1287*Summary!$B$7</f>
        <v/>
      </c>
      <c r="I1287" s="11">
        <f>MAX(0,N1287-M1287)</f>
        <v/>
      </c>
      <c r="J1287" s="11">
        <f>MAX(0,M1287-N1287)</f>
        <v/>
      </c>
      <c r="K1287" s="11">
        <f>O1287</f>
        <v/>
      </c>
      <c r="L1287" s="11">
        <f>L1286+IF(K1287&gt;0,K1287*Summary!$B$9,K1287/Summary!$B$9)</f>
        <v/>
      </c>
      <c r="M1287" s="11">
        <f>G1287+H1287</f>
        <v/>
      </c>
      <c r="N1287" s="11">
        <f>Summary!$C$16*Summary!$B$8</f>
        <v/>
      </c>
      <c r="O1287" s="11">
        <f>M1287-N1287</f>
        <v/>
      </c>
    </row>
    <row r="1288">
      <c r="A1288" s="9" t="n">
        <v>45345.58333333334</v>
      </c>
      <c r="B1288" t="n">
        <v>2</v>
      </c>
      <c r="C1288" t="n">
        <v>23</v>
      </c>
      <c r="D1288" t="n">
        <v>14</v>
      </c>
      <c r="E1288" s="10" t="n">
        <v>0.145185</v>
      </c>
      <c r="F1288" s="10" t="n">
        <v>0.3707463769791305</v>
      </c>
      <c r="G1288" s="11">
        <f>E1288*Summary!$B$6</f>
        <v/>
      </c>
      <c r="H1288" s="11">
        <f>F1288*Summary!$B$7</f>
        <v/>
      </c>
      <c r="I1288" s="11">
        <f>MAX(0,N1288-M1288)</f>
        <v/>
      </c>
      <c r="J1288" s="11">
        <f>MAX(0,M1288-N1288)</f>
        <v/>
      </c>
      <c r="K1288" s="11">
        <f>O1288</f>
        <v/>
      </c>
      <c r="L1288" s="11">
        <f>L1287+IF(K1288&gt;0,K1288*Summary!$B$9,K1288/Summary!$B$9)</f>
        <v/>
      </c>
      <c r="M1288" s="11">
        <f>G1288+H1288</f>
        <v/>
      </c>
      <c r="N1288" s="11">
        <f>Summary!$C$16*Summary!$B$8</f>
        <v/>
      </c>
      <c r="O1288" s="11">
        <f>M1288-N1288</f>
        <v/>
      </c>
    </row>
    <row r="1289">
      <c r="A1289" s="9" t="n">
        <v>45345.625</v>
      </c>
      <c r="B1289" t="n">
        <v>2</v>
      </c>
      <c r="C1289" t="n">
        <v>23</v>
      </c>
      <c r="D1289" t="n">
        <v>15</v>
      </c>
      <c r="E1289" s="10" t="n">
        <v>0.180487</v>
      </c>
      <c r="F1289" s="10" t="n">
        <v>0.3723011453522749</v>
      </c>
      <c r="G1289" s="11">
        <f>E1289*Summary!$B$6</f>
        <v/>
      </c>
      <c r="H1289" s="11">
        <f>F1289*Summary!$B$7</f>
        <v/>
      </c>
      <c r="I1289" s="11">
        <f>MAX(0,N1289-M1289)</f>
        <v/>
      </c>
      <c r="J1289" s="11">
        <f>MAX(0,M1289-N1289)</f>
        <v/>
      </c>
      <c r="K1289" s="11">
        <f>O1289</f>
        <v/>
      </c>
      <c r="L1289" s="11">
        <f>L1288+IF(K1289&gt;0,K1289*Summary!$B$9,K1289/Summary!$B$9)</f>
        <v/>
      </c>
      <c r="M1289" s="11">
        <f>G1289+H1289</f>
        <v/>
      </c>
      <c r="N1289" s="11">
        <f>Summary!$C$16*Summary!$B$8</f>
        <v/>
      </c>
      <c r="O1289" s="11">
        <f>M1289-N1289</f>
        <v/>
      </c>
    </row>
    <row r="1290">
      <c r="A1290" s="9" t="n">
        <v>45345.66666666666</v>
      </c>
      <c r="B1290" t="n">
        <v>2</v>
      </c>
      <c r="C1290" t="n">
        <v>23</v>
      </c>
      <c r="D1290" t="n">
        <v>16</v>
      </c>
      <c r="E1290" s="10" t="n">
        <v>0.066485</v>
      </c>
      <c r="F1290" s="10" t="n">
        <v>0.3787573869017729</v>
      </c>
      <c r="G1290" s="11">
        <f>E1290*Summary!$B$6</f>
        <v/>
      </c>
      <c r="H1290" s="11">
        <f>F1290*Summary!$B$7</f>
        <v/>
      </c>
      <c r="I1290" s="11">
        <f>MAX(0,N1290-M1290)</f>
        <v/>
      </c>
      <c r="J1290" s="11">
        <f>MAX(0,M1290-N1290)</f>
        <v/>
      </c>
      <c r="K1290" s="11">
        <f>O1290</f>
        <v/>
      </c>
      <c r="L1290" s="11">
        <f>L1289+IF(K1290&gt;0,K1290*Summary!$B$9,K1290/Summary!$B$9)</f>
        <v/>
      </c>
      <c r="M1290" s="11">
        <f>G1290+H1290</f>
        <v/>
      </c>
      <c r="N1290" s="11">
        <f>Summary!$C$16*Summary!$B$8</f>
        <v/>
      </c>
      <c r="O1290" s="11">
        <f>M1290-N1290</f>
        <v/>
      </c>
    </row>
    <row r="1291">
      <c r="A1291" s="9" t="n">
        <v>45345.70833333334</v>
      </c>
      <c r="B1291" t="n">
        <v>2</v>
      </c>
      <c r="C1291" t="n">
        <v>23</v>
      </c>
      <c r="D1291" t="n">
        <v>17</v>
      </c>
      <c r="E1291" s="10" t="n">
        <v>0</v>
      </c>
      <c r="F1291" s="10" t="n">
        <v>0.3925921902221257</v>
      </c>
      <c r="G1291" s="11">
        <f>E1291*Summary!$B$6</f>
        <v/>
      </c>
      <c r="H1291" s="11">
        <f>F1291*Summary!$B$7</f>
        <v/>
      </c>
      <c r="I1291" s="11">
        <f>MAX(0,N1291-M1291)</f>
        <v/>
      </c>
      <c r="J1291" s="11">
        <f>MAX(0,M1291-N1291)</f>
        <v/>
      </c>
      <c r="K1291" s="11">
        <f>O1291</f>
        <v/>
      </c>
      <c r="L1291" s="11">
        <f>L1290+IF(K1291&gt;0,K1291*Summary!$B$9,K1291/Summary!$B$9)</f>
        <v/>
      </c>
      <c r="M1291" s="11">
        <f>G1291+H1291</f>
        <v/>
      </c>
      <c r="N1291" s="11">
        <f>Summary!$C$16*Summary!$B$8</f>
        <v/>
      </c>
      <c r="O1291" s="11">
        <f>M1291-N1291</f>
        <v/>
      </c>
    </row>
    <row r="1292">
      <c r="A1292" s="9" t="n">
        <v>45345.75</v>
      </c>
      <c r="B1292" t="n">
        <v>2</v>
      </c>
      <c r="C1292" t="n">
        <v>23</v>
      </c>
      <c r="D1292" t="n">
        <v>18</v>
      </c>
      <c r="E1292" s="10" t="n">
        <v>0</v>
      </c>
      <c r="F1292" s="10" t="n">
        <v>0.4074020177764842</v>
      </c>
      <c r="G1292" s="11">
        <f>E1292*Summary!$B$6</f>
        <v/>
      </c>
      <c r="H1292" s="11">
        <f>F1292*Summary!$B$7</f>
        <v/>
      </c>
      <c r="I1292" s="11">
        <f>MAX(0,N1292-M1292)</f>
        <v/>
      </c>
      <c r="J1292" s="11">
        <f>MAX(0,M1292-N1292)</f>
        <v/>
      </c>
      <c r="K1292" s="11">
        <f>O1292</f>
        <v/>
      </c>
      <c r="L1292" s="11">
        <f>L1291+IF(K1292&gt;0,K1292*Summary!$B$9,K1292/Summary!$B$9)</f>
        <v/>
      </c>
      <c r="M1292" s="11">
        <f>G1292+H1292</f>
        <v/>
      </c>
      <c r="N1292" s="11">
        <f>Summary!$C$16*Summary!$B$8</f>
        <v/>
      </c>
      <c r="O1292" s="11">
        <f>M1292-N1292</f>
        <v/>
      </c>
    </row>
    <row r="1293">
      <c r="A1293" s="9" t="n">
        <v>45345.79166666666</v>
      </c>
      <c r="B1293" t="n">
        <v>2</v>
      </c>
      <c r="C1293" t="n">
        <v>23</v>
      </c>
      <c r="D1293" t="n">
        <v>19</v>
      </c>
      <c r="E1293" s="10" t="n">
        <v>0</v>
      </c>
      <c r="F1293" s="10" t="n">
        <v>0.4208151889956454</v>
      </c>
      <c r="G1293" s="11">
        <f>E1293*Summary!$B$6</f>
        <v/>
      </c>
      <c r="H1293" s="11">
        <f>F1293*Summary!$B$7</f>
        <v/>
      </c>
      <c r="I1293" s="11">
        <f>MAX(0,N1293-M1293)</f>
        <v/>
      </c>
      <c r="J1293" s="11">
        <f>MAX(0,M1293-N1293)</f>
        <v/>
      </c>
      <c r="K1293" s="11">
        <f>O1293</f>
        <v/>
      </c>
      <c r="L1293" s="11">
        <f>L1292+IF(K1293&gt;0,K1293*Summary!$B$9,K1293/Summary!$B$9)</f>
        <v/>
      </c>
      <c r="M1293" s="11">
        <f>G1293+H1293</f>
        <v/>
      </c>
      <c r="N1293" s="11">
        <f>Summary!$C$16*Summary!$B$8</f>
        <v/>
      </c>
      <c r="O1293" s="11">
        <f>M1293-N1293</f>
        <v/>
      </c>
    </row>
    <row r="1294">
      <c r="A1294" s="9" t="n">
        <v>45345.83333333334</v>
      </c>
      <c r="B1294" t="n">
        <v>2</v>
      </c>
      <c r="C1294" t="n">
        <v>23</v>
      </c>
      <c r="D1294" t="n">
        <v>20</v>
      </c>
      <c r="E1294" s="10" t="n">
        <v>0</v>
      </c>
      <c r="F1294" s="10" t="n">
        <v>0.4292478310194794</v>
      </c>
      <c r="G1294" s="11">
        <f>E1294*Summary!$B$6</f>
        <v/>
      </c>
      <c r="H1294" s="11">
        <f>F1294*Summary!$B$7</f>
        <v/>
      </c>
      <c r="I1294" s="11">
        <f>MAX(0,N1294-M1294)</f>
        <v/>
      </c>
      <c r="J1294" s="11">
        <f>MAX(0,M1294-N1294)</f>
        <v/>
      </c>
      <c r="K1294" s="11">
        <f>O1294</f>
        <v/>
      </c>
      <c r="L1294" s="11">
        <f>L1293+IF(K1294&gt;0,K1294*Summary!$B$9,K1294/Summary!$B$9)</f>
        <v/>
      </c>
      <c r="M1294" s="11">
        <f>G1294+H1294</f>
        <v/>
      </c>
      <c r="N1294" s="11">
        <f>Summary!$C$16*Summary!$B$8</f>
        <v/>
      </c>
      <c r="O1294" s="11">
        <f>M1294-N1294</f>
        <v/>
      </c>
    </row>
    <row r="1295">
      <c r="A1295" s="9" t="n">
        <v>45345.875</v>
      </c>
      <c r="B1295" t="n">
        <v>2</v>
      </c>
      <c r="C1295" t="n">
        <v>23</v>
      </c>
      <c r="D1295" t="n">
        <v>21</v>
      </c>
      <c r="E1295" s="10" t="n">
        <v>0</v>
      </c>
      <c r="F1295" s="10" t="n">
        <v>0.4271133185071964</v>
      </c>
      <c r="G1295" s="11">
        <f>E1295*Summary!$B$6</f>
        <v/>
      </c>
      <c r="H1295" s="11">
        <f>F1295*Summary!$B$7</f>
        <v/>
      </c>
      <c r="I1295" s="11">
        <f>MAX(0,N1295-M1295)</f>
        <v/>
      </c>
      <c r="J1295" s="11">
        <f>MAX(0,M1295-N1295)</f>
        <v/>
      </c>
      <c r="K1295" s="11">
        <f>O1295</f>
        <v/>
      </c>
      <c r="L1295" s="11">
        <f>L1294+IF(K1295&gt;0,K1295*Summary!$B$9,K1295/Summary!$B$9)</f>
        <v/>
      </c>
      <c r="M1295" s="11">
        <f>G1295+H1295</f>
        <v/>
      </c>
      <c r="N1295" s="11">
        <f>Summary!$C$16*Summary!$B$8</f>
        <v/>
      </c>
      <c r="O1295" s="11">
        <f>M1295-N1295</f>
        <v/>
      </c>
    </row>
    <row r="1296">
      <c r="A1296" s="9" t="n">
        <v>45345.91666666666</v>
      </c>
      <c r="B1296" t="n">
        <v>2</v>
      </c>
      <c r="C1296" t="n">
        <v>23</v>
      </c>
      <c r="D1296" t="n">
        <v>22</v>
      </c>
      <c r="E1296" s="10" t="n">
        <v>0</v>
      </c>
      <c r="F1296" s="10" t="n">
        <v>0.4318566796456031</v>
      </c>
      <c r="G1296" s="11">
        <f>E1296*Summary!$B$6</f>
        <v/>
      </c>
      <c r="H1296" s="11">
        <f>F1296*Summary!$B$7</f>
        <v/>
      </c>
      <c r="I1296" s="11">
        <f>MAX(0,N1296-M1296)</f>
        <v/>
      </c>
      <c r="J1296" s="11">
        <f>MAX(0,M1296-N1296)</f>
        <v/>
      </c>
      <c r="K1296" s="11">
        <f>O1296</f>
        <v/>
      </c>
      <c r="L1296" s="11">
        <f>L1295+IF(K1296&gt;0,K1296*Summary!$B$9,K1296/Summary!$B$9)</f>
        <v/>
      </c>
      <c r="M1296" s="11">
        <f>G1296+H1296</f>
        <v/>
      </c>
      <c r="N1296" s="11">
        <f>Summary!$C$16*Summary!$B$8</f>
        <v/>
      </c>
      <c r="O1296" s="11">
        <f>M1296-N1296</f>
        <v/>
      </c>
    </row>
    <row r="1297">
      <c r="A1297" s="9" t="n">
        <v>45345.95833333334</v>
      </c>
      <c r="B1297" t="n">
        <v>2</v>
      </c>
      <c r="C1297" t="n">
        <v>23</v>
      </c>
      <c r="D1297" t="n">
        <v>23</v>
      </c>
      <c r="E1297" s="10" t="n">
        <v>0</v>
      </c>
      <c r="F1297" s="10" t="n">
        <v>0.4342810642274554</v>
      </c>
      <c r="G1297" s="11">
        <f>E1297*Summary!$B$6</f>
        <v/>
      </c>
      <c r="H1297" s="11">
        <f>F1297*Summary!$B$7</f>
        <v/>
      </c>
      <c r="I1297" s="11">
        <f>MAX(0,N1297-M1297)</f>
        <v/>
      </c>
      <c r="J1297" s="11">
        <f>MAX(0,M1297-N1297)</f>
        <v/>
      </c>
      <c r="K1297" s="11">
        <f>O1297</f>
        <v/>
      </c>
      <c r="L1297" s="11">
        <f>L1296+IF(K1297&gt;0,K1297*Summary!$B$9,K1297/Summary!$B$9)</f>
        <v/>
      </c>
      <c r="M1297" s="11">
        <f>G1297+H1297</f>
        <v/>
      </c>
      <c r="N1297" s="11">
        <f>Summary!$C$16*Summary!$B$8</f>
        <v/>
      </c>
      <c r="O1297" s="11">
        <f>M1297-N1297</f>
        <v/>
      </c>
    </row>
    <row r="1298">
      <c r="A1298" s="9" t="n">
        <v>45346</v>
      </c>
      <c r="B1298" t="n">
        <v>2</v>
      </c>
      <c r="C1298" t="n">
        <v>24</v>
      </c>
      <c r="D1298" t="n">
        <v>0</v>
      </c>
      <c r="E1298" s="10" t="n">
        <v>0</v>
      </c>
      <c r="F1298" s="10" t="n">
        <v>0.4138319073196577</v>
      </c>
      <c r="G1298" s="11">
        <f>E1298*Summary!$B$6</f>
        <v/>
      </c>
      <c r="H1298" s="11">
        <f>F1298*Summary!$B$7</f>
        <v/>
      </c>
      <c r="I1298" s="11">
        <f>MAX(0,N1298-M1298)</f>
        <v/>
      </c>
      <c r="J1298" s="11">
        <f>MAX(0,M1298-N1298)</f>
        <v/>
      </c>
      <c r="K1298" s="11">
        <f>O1298</f>
        <v/>
      </c>
      <c r="L1298" s="11">
        <f>L1297+IF(K1298&gt;0,K1298*Summary!$B$9,K1298/Summary!$B$9)</f>
        <v/>
      </c>
      <c r="M1298" s="11">
        <f>G1298+H1298</f>
        <v/>
      </c>
      <c r="N1298" s="11">
        <f>Summary!$C$16*Summary!$B$8</f>
        <v/>
      </c>
      <c r="O1298" s="11">
        <f>M1298-N1298</f>
        <v/>
      </c>
    </row>
    <row r="1299">
      <c r="A1299" s="9" t="n">
        <v>45346.04166666666</v>
      </c>
      <c r="B1299" t="n">
        <v>2</v>
      </c>
      <c r="C1299" t="n">
        <v>24</v>
      </c>
      <c r="D1299" t="n">
        <v>1</v>
      </c>
      <c r="E1299" s="10" t="n">
        <v>0</v>
      </c>
      <c r="F1299" s="10" t="n">
        <v>0.458287741989058</v>
      </c>
      <c r="G1299" s="11">
        <f>E1299*Summary!$B$6</f>
        <v/>
      </c>
      <c r="H1299" s="11">
        <f>F1299*Summary!$B$7</f>
        <v/>
      </c>
      <c r="I1299" s="11">
        <f>MAX(0,N1299-M1299)</f>
        <v/>
      </c>
      <c r="J1299" s="11">
        <f>MAX(0,M1299-N1299)</f>
        <v/>
      </c>
      <c r="K1299" s="11">
        <f>O1299</f>
        <v/>
      </c>
      <c r="L1299" s="11">
        <f>L1298+IF(K1299&gt;0,K1299*Summary!$B$9,K1299/Summary!$B$9)</f>
        <v/>
      </c>
      <c r="M1299" s="11">
        <f>G1299+H1299</f>
        <v/>
      </c>
      <c r="N1299" s="11">
        <f>Summary!$C$16*Summary!$B$8</f>
        <v/>
      </c>
      <c r="O1299" s="11">
        <f>M1299-N1299</f>
        <v/>
      </c>
    </row>
    <row r="1300">
      <c r="A1300" s="9" t="n">
        <v>45346.08333333334</v>
      </c>
      <c r="B1300" t="n">
        <v>2</v>
      </c>
      <c r="C1300" t="n">
        <v>24</v>
      </c>
      <c r="D1300" t="n">
        <v>2</v>
      </c>
      <c r="E1300" s="10" t="n">
        <v>0</v>
      </c>
      <c r="F1300" s="10" t="n">
        <v>0.4587357260965742</v>
      </c>
      <c r="G1300" s="11">
        <f>E1300*Summary!$B$6</f>
        <v/>
      </c>
      <c r="H1300" s="11">
        <f>F1300*Summary!$B$7</f>
        <v/>
      </c>
      <c r="I1300" s="11">
        <f>MAX(0,N1300-M1300)</f>
        <v/>
      </c>
      <c r="J1300" s="11">
        <f>MAX(0,M1300-N1300)</f>
        <v/>
      </c>
      <c r="K1300" s="11">
        <f>O1300</f>
        <v/>
      </c>
      <c r="L1300" s="11">
        <f>L1299+IF(K1300&gt;0,K1300*Summary!$B$9,K1300/Summary!$B$9)</f>
        <v/>
      </c>
      <c r="M1300" s="11">
        <f>G1300+H1300</f>
        <v/>
      </c>
      <c r="N1300" s="11">
        <f>Summary!$C$16*Summary!$B$8</f>
        <v/>
      </c>
      <c r="O1300" s="11">
        <f>M1300-N1300</f>
        <v/>
      </c>
    </row>
    <row r="1301">
      <c r="A1301" s="9" t="n">
        <v>45346.125</v>
      </c>
      <c r="B1301" t="n">
        <v>2</v>
      </c>
      <c r="C1301" t="n">
        <v>24</v>
      </c>
      <c r="D1301" t="n">
        <v>3</v>
      </c>
      <c r="E1301" s="10" t="n">
        <v>0</v>
      </c>
      <c r="F1301" s="10" t="n">
        <v>0.4590783021787925</v>
      </c>
      <c r="G1301" s="11">
        <f>E1301*Summary!$B$6</f>
        <v/>
      </c>
      <c r="H1301" s="11">
        <f>F1301*Summary!$B$7</f>
        <v/>
      </c>
      <c r="I1301" s="11">
        <f>MAX(0,N1301-M1301)</f>
        <v/>
      </c>
      <c r="J1301" s="11">
        <f>MAX(0,M1301-N1301)</f>
        <v/>
      </c>
      <c r="K1301" s="11">
        <f>O1301</f>
        <v/>
      </c>
      <c r="L1301" s="11">
        <f>L1300+IF(K1301&gt;0,K1301*Summary!$B$9,K1301/Summary!$B$9)</f>
        <v/>
      </c>
      <c r="M1301" s="11">
        <f>G1301+H1301</f>
        <v/>
      </c>
      <c r="N1301" s="11">
        <f>Summary!$C$16*Summary!$B$8</f>
        <v/>
      </c>
      <c r="O1301" s="11">
        <f>M1301-N1301</f>
        <v/>
      </c>
    </row>
    <row r="1302">
      <c r="A1302" s="9" t="n">
        <v>45346.16666666666</v>
      </c>
      <c r="B1302" t="n">
        <v>2</v>
      </c>
      <c r="C1302" t="n">
        <v>24</v>
      </c>
      <c r="D1302" t="n">
        <v>4</v>
      </c>
      <c r="E1302" s="10" t="n">
        <v>0</v>
      </c>
      <c r="F1302" s="10" t="n">
        <v>0.4561532294767751</v>
      </c>
      <c r="G1302" s="11">
        <f>E1302*Summary!$B$6</f>
        <v/>
      </c>
      <c r="H1302" s="11">
        <f>F1302*Summary!$B$7</f>
        <v/>
      </c>
      <c r="I1302" s="11">
        <f>MAX(0,N1302-M1302)</f>
        <v/>
      </c>
      <c r="J1302" s="11">
        <f>MAX(0,M1302-N1302)</f>
        <v/>
      </c>
      <c r="K1302" s="11">
        <f>O1302</f>
        <v/>
      </c>
      <c r="L1302" s="11">
        <f>L1301+IF(K1302&gt;0,K1302*Summary!$B$9,K1302/Summary!$B$9)</f>
        <v/>
      </c>
      <c r="M1302" s="11">
        <f>G1302+H1302</f>
        <v/>
      </c>
      <c r="N1302" s="11">
        <f>Summary!$C$16*Summary!$B$8</f>
        <v/>
      </c>
      <c r="O1302" s="11">
        <f>M1302-N1302</f>
        <v/>
      </c>
    </row>
    <row r="1303">
      <c r="A1303" s="9" t="n">
        <v>45346.20833333334</v>
      </c>
      <c r="B1303" t="n">
        <v>2</v>
      </c>
      <c r="C1303" t="n">
        <v>24</v>
      </c>
      <c r="D1303" t="n">
        <v>5</v>
      </c>
      <c r="E1303" s="10" t="n">
        <v>0</v>
      </c>
      <c r="F1303" s="10" t="n">
        <v>0.4501976760474423</v>
      </c>
      <c r="G1303" s="11">
        <f>E1303*Summary!$B$6</f>
        <v/>
      </c>
      <c r="H1303" s="11">
        <f>F1303*Summary!$B$7</f>
        <v/>
      </c>
      <c r="I1303" s="11">
        <f>MAX(0,N1303-M1303)</f>
        <v/>
      </c>
      <c r="J1303" s="11">
        <f>MAX(0,M1303-N1303)</f>
        <v/>
      </c>
      <c r="K1303" s="11">
        <f>O1303</f>
        <v/>
      </c>
      <c r="L1303" s="11">
        <f>L1302+IF(K1303&gt;0,K1303*Summary!$B$9,K1303/Summary!$B$9)</f>
        <v/>
      </c>
      <c r="M1303" s="11">
        <f>G1303+H1303</f>
        <v/>
      </c>
      <c r="N1303" s="11">
        <f>Summary!$C$16*Summary!$B$8</f>
        <v/>
      </c>
      <c r="O1303" s="11">
        <f>M1303-N1303</f>
        <v/>
      </c>
    </row>
    <row r="1304">
      <c r="A1304" s="9" t="n">
        <v>45346.25</v>
      </c>
      <c r="B1304" t="n">
        <v>2</v>
      </c>
      <c r="C1304" t="n">
        <v>24</v>
      </c>
      <c r="D1304" t="n">
        <v>6</v>
      </c>
      <c r="E1304" s="10" t="n">
        <v>0</v>
      </c>
      <c r="F1304" s="10" t="n">
        <v>0.4504875481170116</v>
      </c>
      <c r="G1304" s="11">
        <f>E1304*Summary!$B$6</f>
        <v/>
      </c>
      <c r="H1304" s="11">
        <f>F1304*Summary!$B$7</f>
        <v/>
      </c>
      <c r="I1304" s="11">
        <f>MAX(0,N1304-M1304)</f>
        <v/>
      </c>
      <c r="J1304" s="11">
        <f>MAX(0,M1304-N1304)</f>
        <v/>
      </c>
      <c r="K1304" s="11">
        <f>O1304</f>
        <v/>
      </c>
      <c r="L1304" s="11">
        <f>L1303+IF(K1304&gt;0,K1304*Summary!$B$9,K1304/Summary!$B$9)</f>
        <v/>
      </c>
      <c r="M1304" s="11">
        <f>G1304+H1304</f>
        <v/>
      </c>
      <c r="N1304" s="11">
        <f>Summary!$C$16*Summary!$B$8</f>
        <v/>
      </c>
      <c r="O1304" s="11">
        <f>M1304-N1304</f>
        <v/>
      </c>
    </row>
    <row r="1305">
      <c r="A1305" s="9" t="n">
        <v>45346.29166666666</v>
      </c>
      <c r="B1305" t="n">
        <v>2</v>
      </c>
      <c r="C1305" t="n">
        <v>24</v>
      </c>
      <c r="D1305" t="n">
        <v>7</v>
      </c>
      <c r="E1305" s="10" t="n">
        <v>0.004868</v>
      </c>
      <c r="F1305" s="10" t="n">
        <v>0.4451644428394663</v>
      </c>
      <c r="G1305" s="11">
        <f>E1305*Summary!$B$6</f>
        <v/>
      </c>
      <c r="H1305" s="11">
        <f>F1305*Summary!$B$7</f>
        <v/>
      </c>
      <c r="I1305" s="11">
        <f>MAX(0,N1305-M1305)</f>
        <v/>
      </c>
      <c r="J1305" s="11">
        <f>MAX(0,M1305-N1305)</f>
        <v/>
      </c>
      <c r="K1305" s="11">
        <f>O1305</f>
        <v/>
      </c>
      <c r="L1305" s="11">
        <f>L1304+IF(K1305&gt;0,K1305*Summary!$B$9,K1305/Summary!$B$9)</f>
        <v/>
      </c>
      <c r="M1305" s="11">
        <f>G1305+H1305</f>
        <v/>
      </c>
      <c r="N1305" s="11">
        <f>Summary!$C$16*Summary!$B$8</f>
        <v/>
      </c>
      <c r="O1305" s="11">
        <f>M1305-N1305</f>
        <v/>
      </c>
    </row>
    <row r="1306">
      <c r="A1306" s="9" t="n">
        <v>45346.33333333334</v>
      </c>
      <c r="B1306" t="n">
        <v>2</v>
      </c>
      <c r="C1306" t="n">
        <v>24</v>
      </c>
      <c r="D1306" t="n">
        <v>8</v>
      </c>
      <c r="E1306" s="10" t="n">
        <v>0.123376</v>
      </c>
      <c r="F1306" s="10" t="n">
        <v>0.4243990618557749</v>
      </c>
      <c r="G1306" s="11">
        <f>E1306*Summary!$B$6</f>
        <v/>
      </c>
      <c r="H1306" s="11">
        <f>F1306*Summary!$B$7</f>
        <v/>
      </c>
      <c r="I1306" s="11">
        <f>MAX(0,N1306-M1306)</f>
        <v/>
      </c>
      <c r="J1306" s="11">
        <f>MAX(0,M1306-N1306)</f>
        <v/>
      </c>
      <c r="K1306" s="11">
        <f>O1306</f>
        <v/>
      </c>
      <c r="L1306" s="11">
        <f>L1305+IF(K1306&gt;0,K1306*Summary!$B$9,K1306/Summary!$B$9)</f>
        <v/>
      </c>
      <c r="M1306" s="11">
        <f>G1306+H1306</f>
        <v/>
      </c>
      <c r="N1306" s="11">
        <f>Summary!$C$16*Summary!$B$8</f>
        <v/>
      </c>
      <c r="O1306" s="11">
        <f>M1306-N1306</f>
        <v/>
      </c>
    </row>
    <row r="1307">
      <c r="A1307" s="9" t="n">
        <v>45346.375</v>
      </c>
      <c r="B1307" t="n">
        <v>2</v>
      </c>
      <c r="C1307" t="n">
        <v>24</v>
      </c>
      <c r="D1307" t="n">
        <v>9</v>
      </c>
      <c r="E1307" s="10" t="n">
        <v>0.288897</v>
      </c>
      <c r="F1307" s="10" t="n">
        <v>0.4080871699409208</v>
      </c>
      <c r="G1307" s="11">
        <f>E1307*Summary!$B$6</f>
        <v/>
      </c>
      <c r="H1307" s="11">
        <f>F1307*Summary!$B$7</f>
        <v/>
      </c>
      <c r="I1307" s="11">
        <f>MAX(0,N1307-M1307)</f>
        <v/>
      </c>
      <c r="J1307" s="11">
        <f>MAX(0,M1307-N1307)</f>
        <v/>
      </c>
      <c r="K1307" s="11">
        <f>O1307</f>
        <v/>
      </c>
      <c r="L1307" s="11">
        <f>L1306+IF(K1307&gt;0,K1307*Summary!$B$9,K1307/Summary!$B$9)</f>
        <v/>
      </c>
      <c r="M1307" s="11">
        <f>G1307+H1307</f>
        <v/>
      </c>
      <c r="N1307" s="11">
        <f>Summary!$C$16*Summary!$B$8</f>
        <v/>
      </c>
      <c r="O1307" s="11">
        <f>M1307-N1307</f>
        <v/>
      </c>
    </row>
    <row r="1308">
      <c r="A1308" s="9" t="n">
        <v>45346.41666666666</v>
      </c>
      <c r="B1308" t="n">
        <v>2</v>
      </c>
      <c r="C1308" t="n">
        <v>24</v>
      </c>
      <c r="D1308" t="n">
        <v>10</v>
      </c>
      <c r="E1308" s="10" t="n">
        <v>0.417864</v>
      </c>
      <c r="F1308" s="10" t="n">
        <v>0.3914854059564974</v>
      </c>
      <c r="G1308" s="11">
        <f>E1308*Summary!$B$6</f>
        <v/>
      </c>
      <c r="H1308" s="11">
        <f>F1308*Summary!$B$7</f>
        <v/>
      </c>
      <c r="I1308" s="11">
        <f>MAX(0,N1308-M1308)</f>
        <v/>
      </c>
      <c r="J1308" s="11">
        <f>MAX(0,M1308-N1308)</f>
        <v/>
      </c>
      <c r="K1308" s="11">
        <f>O1308</f>
        <v/>
      </c>
      <c r="L1308" s="11">
        <f>L1307+IF(K1308&gt;0,K1308*Summary!$B$9,K1308/Summary!$B$9)</f>
        <v/>
      </c>
      <c r="M1308" s="11">
        <f>G1308+H1308</f>
        <v/>
      </c>
      <c r="N1308" s="11">
        <f>Summary!$C$16*Summary!$B$8</f>
        <v/>
      </c>
      <c r="O1308" s="11">
        <f>M1308-N1308</f>
        <v/>
      </c>
    </row>
    <row r="1309">
      <c r="A1309" s="9" t="n">
        <v>45346.45833333334</v>
      </c>
      <c r="B1309" t="n">
        <v>2</v>
      </c>
      <c r="C1309" t="n">
        <v>24</v>
      </c>
      <c r="D1309" t="n">
        <v>11</v>
      </c>
      <c r="E1309" s="10" t="n">
        <v>0.427632</v>
      </c>
      <c r="F1309" s="10" t="n">
        <v>0.3802330992559438</v>
      </c>
      <c r="G1309" s="11">
        <f>E1309*Summary!$B$6</f>
        <v/>
      </c>
      <c r="H1309" s="11">
        <f>F1309*Summary!$B$7</f>
        <v/>
      </c>
      <c r="I1309" s="11">
        <f>MAX(0,N1309-M1309)</f>
        <v/>
      </c>
      <c r="J1309" s="11">
        <f>MAX(0,M1309-N1309)</f>
        <v/>
      </c>
      <c r="K1309" s="11">
        <f>O1309</f>
        <v/>
      </c>
      <c r="L1309" s="11">
        <f>L1308+IF(K1309&gt;0,K1309*Summary!$B$9,K1309/Summary!$B$9)</f>
        <v/>
      </c>
      <c r="M1309" s="11">
        <f>G1309+H1309</f>
        <v/>
      </c>
      <c r="N1309" s="11">
        <f>Summary!$C$16*Summary!$B$8</f>
        <v/>
      </c>
      <c r="O1309" s="11">
        <f>M1309-N1309</f>
        <v/>
      </c>
    </row>
    <row r="1310">
      <c r="A1310" s="9" t="n">
        <v>45346.5</v>
      </c>
      <c r="B1310" t="n">
        <v>2</v>
      </c>
      <c r="C1310" t="n">
        <v>24</v>
      </c>
      <c r="D1310" t="n">
        <v>12</v>
      </c>
      <c r="E1310" s="10" t="n">
        <v>0.345927</v>
      </c>
      <c r="F1310" s="10" t="n">
        <v>0.3752525700606168</v>
      </c>
      <c r="G1310" s="11">
        <f>E1310*Summary!$B$6</f>
        <v/>
      </c>
      <c r="H1310" s="11">
        <f>F1310*Summary!$B$7</f>
        <v/>
      </c>
      <c r="I1310" s="11">
        <f>MAX(0,N1310-M1310)</f>
        <v/>
      </c>
      <c r="J1310" s="11">
        <f>MAX(0,M1310-N1310)</f>
        <v/>
      </c>
      <c r="K1310" s="11">
        <f>O1310</f>
        <v/>
      </c>
      <c r="L1310" s="11">
        <f>L1309+IF(K1310&gt;0,K1310*Summary!$B$9,K1310/Summary!$B$9)</f>
        <v/>
      </c>
      <c r="M1310" s="11">
        <f>G1310+H1310</f>
        <v/>
      </c>
      <c r="N1310" s="11">
        <f>Summary!$C$16*Summary!$B$8</f>
        <v/>
      </c>
      <c r="O1310" s="11">
        <f>M1310-N1310</f>
        <v/>
      </c>
    </row>
    <row r="1311">
      <c r="A1311" s="9" t="n">
        <v>45346.54166666666</v>
      </c>
      <c r="B1311" t="n">
        <v>2</v>
      </c>
      <c r="C1311" t="n">
        <v>24</v>
      </c>
      <c r="D1311" t="n">
        <v>13</v>
      </c>
      <c r="E1311" s="10" t="n">
        <v>0.158955</v>
      </c>
      <c r="F1311" s="10" t="n">
        <v>0.3647644715434731</v>
      </c>
      <c r="G1311" s="11">
        <f>E1311*Summary!$B$6</f>
        <v/>
      </c>
      <c r="H1311" s="11">
        <f>F1311*Summary!$B$7</f>
        <v/>
      </c>
      <c r="I1311" s="11">
        <f>MAX(0,N1311-M1311)</f>
        <v/>
      </c>
      <c r="J1311" s="11">
        <f>MAX(0,M1311-N1311)</f>
        <v/>
      </c>
      <c r="K1311" s="11">
        <f>O1311</f>
        <v/>
      </c>
      <c r="L1311" s="11">
        <f>L1310+IF(K1311&gt;0,K1311*Summary!$B$9,K1311/Summary!$B$9)</f>
        <v/>
      </c>
      <c r="M1311" s="11">
        <f>G1311+H1311</f>
        <v/>
      </c>
      <c r="N1311" s="11">
        <f>Summary!$C$16*Summary!$B$8</f>
        <v/>
      </c>
      <c r="O1311" s="11">
        <f>M1311-N1311</f>
        <v/>
      </c>
    </row>
    <row r="1312">
      <c r="A1312" s="9" t="n">
        <v>45346.58333333334</v>
      </c>
      <c r="B1312" t="n">
        <v>2</v>
      </c>
      <c r="C1312" t="n">
        <v>24</v>
      </c>
      <c r="D1312" t="n">
        <v>14</v>
      </c>
      <c r="E1312" s="10" t="n">
        <v>0.089214</v>
      </c>
      <c r="F1312" s="10" t="n">
        <v>0.3603636864872847</v>
      </c>
      <c r="G1312" s="11">
        <f>E1312*Summary!$B$6</f>
        <v/>
      </c>
      <c r="H1312" s="11">
        <f>F1312*Summary!$B$7</f>
        <v/>
      </c>
      <c r="I1312" s="11">
        <f>MAX(0,N1312-M1312)</f>
        <v/>
      </c>
      <c r="J1312" s="11">
        <f>MAX(0,M1312-N1312)</f>
        <v/>
      </c>
      <c r="K1312" s="11">
        <f>O1312</f>
        <v/>
      </c>
      <c r="L1312" s="11">
        <f>L1311+IF(K1312&gt;0,K1312*Summary!$B$9,K1312/Summary!$B$9)</f>
        <v/>
      </c>
      <c r="M1312" s="11">
        <f>G1312+H1312</f>
        <v/>
      </c>
      <c r="N1312" s="11">
        <f>Summary!$C$16*Summary!$B$8</f>
        <v/>
      </c>
      <c r="O1312" s="11">
        <f>M1312-N1312</f>
        <v/>
      </c>
    </row>
    <row r="1313">
      <c r="A1313" s="9" t="n">
        <v>45346.625</v>
      </c>
      <c r="B1313" t="n">
        <v>2</v>
      </c>
      <c r="C1313" t="n">
        <v>24</v>
      </c>
      <c r="D1313" t="n">
        <v>15</v>
      </c>
      <c r="E1313" s="10" t="n">
        <v>0.0556</v>
      </c>
      <c r="F1313" s="10" t="n">
        <v>0.3580447099307304</v>
      </c>
      <c r="G1313" s="11">
        <f>E1313*Summary!$B$6</f>
        <v/>
      </c>
      <c r="H1313" s="11">
        <f>F1313*Summary!$B$7</f>
        <v/>
      </c>
      <c r="I1313" s="11">
        <f>MAX(0,N1313-M1313)</f>
        <v/>
      </c>
      <c r="J1313" s="11">
        <f>MAX(0,M1313-N1313)</f>
        <v/>
      </c>
      <c r="K1313" s="11">
        <f>O1313</f>
        <v/>
      </c>
      <c r="L1313" s="11">
        <f>L1312+IF(K1313&gt;0,K1313*Summary!$B$9,K1313/Summary!$B$9)</f>
        <v/>
      </c>
      <c r="M1313" s="11">
        <f>G1313+H1313</f>
        <v/>
      </c>
      <c r="N1313" s="11">
        <f>Summary!$C$16*Summary!$B$8</f>
        <v/>
      </c>
      <c r="O1313" s="11">
        <f>M1313-N1313</f>
        <v/>
      </c>
    </row>
    <row r="1314">
      <c r="A1314" s="9" t="n">
        <v>45346.66666666666</v>
      </c>
      <c r="B1314" t="n">
        <v>2</v>
      </c>
      <c r="C1314" t="n">
        <v>24</v>
      </c>
      <c r="D1314" t="n">
        <v>16</v>
      </c>
      <c r="E1314" s="10" t="n">
        <v>0.021283</v>
      </c>
      <c r="F1314" s="10" t="n">
        <v>0.3648698795687711</v>
      </c>
      <c r="G1314" s="11">
        <f>E1314*Summary!$B$6</f>
        <v/>
      </c>
      <c r="H1314" s="11">
        <f>F1314*Summary!$B$7</f>
        <v/>
      </c>
      <c r="I1314" s="11">
        <f>MAX(0,N1314-M1314)</f>
        <v/>
      </c>
      <c r="J1314" s="11">
        <f>MAX(0,M1314-N1314)</f>
        <v/>
      </c>
      <c r="K1314" s="11">
        <f>O1314</f>
        <v/>
      </c>
      <c r="L1314" s="11">
        <f>L1313+IF(K1314&gt;0,K1314*Summary!$B$9,K1314/Summary!$B$9)</f>
        <v/>
      </c>
      <c r="M1314" s="11">
        <f>G1314+H1314</f>
        <v/>
      </c>
      <c r="N1314" s="11">
        <f>Summary!$C$16*Summary!$B$8</f>
        <v/>
      </c>
      <c r="O1314" s="11">
        <f>M1314-N1314</f>
        <v/>
      </c>
    </row>
    <row r="1315">
      <c r="A1315" s="9" t="n">
        <v>45346.70833333334</v>
      </c>
      <c r="B1315" t="n">
        <v>2</v>
      </c>
      <c r="C1315" t="n">
        <v>24</v>
      </c>
      <c r="D1315" t="n">
        <v>17</v>
      </c>
      <c r="E1315" s="10" t="n">
        <v>0</v>
      </c>
      <c r="F1315" s="10" t="n">
        <v>0.3775978986234956</v>
      </c>
      <c r="G1315" s="11">
        <f>E1315*Summary!$B$6</f>
        <v/>
      </c>
      <c r="H1315" s="11">
        <f>F1315*Summary!$B$7</f>
        <v/>
      </c>
      <c r="I1315" s="11">
        <f>MAX(0,N1315-M1315)</f>
        <v/>
      </c>
      <c r="J1315" s="11">
        <f>MAX(0,M1315-N1315)</f>
        <v/>
      </c>
      <c r="K1315" s="11">
        <f>O1315</f>
        <v/>
      </c>
      <c r="L1315" s="11">
        <f>L1314+IF(K1315&gt;0,K1315*Summary!$B$9,K1315/Summary!$B$9)</f>
        <v/>
      </c>
      <c r="M1315" s="11">
        <f>G1315+H1315</f>
        <v/>
      </c>
      <c r="N1315" s="11">
        <f>Summary!$C$16*Summary!$B$8</f>
        <v/>
      </c>
      <c r="O1315" s="11">
        <f>M1315-N1315</f>
        <v/>
      </c>
    </row>
    <row r="1316">
      <c r="A1316" s="9" t="n">
        <v>45346.75</v>
      </c>
      <c r="B1316" t="n">
        <v>2</v>
      </c>
      <c r="C1316" t="n">
        <v>24</v>
      </c>
      <c r="D1316" t="n">
        <v>18</v>
      </c>
      <c r="E1316" s="10" t="n">
        <v>0</v>
      </c>
      <c r="F1316" s="10" t="n">
        <v>0.3915381099691463</v>
      </c>
      <c r="G1316" s="11">
        <f>E1316*Summary!$B$6</f>
        <v/>
      </c>
      <c r="H1316" s="11">
        <f>F1316*Summary!$B$7</f>
        <v/>
      </c>
      <c r="I1316" s="11">
        <f>MAX(0,N1316-M1316)</f>
        <v/>
      </c>
      <c r="J1316" s="11">
        <f>MAX(0,M1316-N1316)</f>
        <v/>
      </c>
      <c r="K1316" s="11">
        <f>O1316</f>
        <v/>
      </c>
      <c r="L1316" s="11">
        <f>L1315+IF(K1316&gt;0,K1316*Summary!$B$9,K1316/Summary!$B$9)</f>
        <v/>
      </c>
      <c r="M1316" s="11">
        <f>G1316+H1316</f>
        <v/>
      </c>
      <c r="N1316" s="11">
        <f>Summary!$C$16*Summary!$B$8</f>
        <v/>
      </c>
      <c r="O1316" s="11">
        <f>M1316-N1316</f>
        <v/>
      </c>
    </row>
    <row r="1317">
      <c r="A1317" s="9" t="n">
        <v>45346.79166666666</v>
      </c>
      <c r="B1317" t="n">
        <v>2</v>
      </c>
      <c r="C1317" t="n">
        <v>24</v>
      </c>
      <c r="D1317" t="n">
        <v>19</v>
      </c>
      <c r="E1317" s="10" t="n">
        <v>0</v>
      </c>
      <c r="F1317" s="10" t="n">
        <v>0.4032647527835406</v>
      </c>
      <c r="G1317" s="11">
        <f>E1317*Summary!$B$6</f>
        <v/>
      </c>
      <c r="H1317" s="11">
        <f>F1317*Summary!$B$7</f>
        <v/>
      </c>
      <c r="I1317" s="11">
        <f>MAX(0,N1317-M1317)</f>
        <v/>
      </c>
      <c r="J1317" s="11">
        <f>MAX(0,M1317-N1317)</f>
        <v/>
      </c>
      <c r="K1317" s="11">
        <f>O1317</f>
        <v/>
      </c>
      <c r="L1317" s="11">
        <f>L1316+IF(K1317&gt;0,K1317*Summary!$B$9,K1317/Summary!$B$9)</f>
        <v/>
      </c>
      <c r="M1317" s="11">
        <f>G1317+H1317</f>
        <v/>
      </c>
      <c r="N1317" s="11">
        <f>Summary!$C$16*Summary!$B$8</f>
        <v/>
      </c>
      <c r="O1317" s="11">
        <f>M1317-N1317</f>
        <v/>
      </c>
    </row>
    <row r="1318">
      <c r="A1318" s="9" t="n">
        <v>45346.83333333334</v>
      </c>
      <c r="B1318" t="n">
        <v>2</v>
      </c>
      <c r="C1318" t="n">
        <v>24</v>
      </c>
      <c r="D1318" t="n">
        <v>20</v>
      </c>
      <c r="E1318" s="10" t="n">
        <v>0</v>
      </c>
      <c r="F1318" s="10" t="n">
        <v>0.4094311222634693</v>
      </c>
      <c r="G1318" s="11">
        <f>E1318*Summary!$B$6</f>
        <v/>
      </c>
      <c r="H1318" s="11">
        <f>F1318*Summary!$B$7</f>
        <v/>
      </c>
      <c r="I1318" s="11">
        <f>MAX(0,N1318-M1318)</f>
        <v/>
      </c>
      <c r="J1318" s="11">
        <f>MAX(0,M1318-N1318)</f>
        <v/>
      </c>
      <c r="K1318" s="11">
        <f>O1318</f>
        <v/>
      </c>
      <c r="L1318" s="11">
        <f>L1317+IF(K1318&gt;0,K1318*Summary!$B$9,K1318/Summary!$B$9)</f>
        <v/>
      </c>
      <c r="M1318" s="11">
        <f>G1318+H1318</f>
        <v/>
      </c>
      <c r="N1318" s="11">
        <f>Summary!$C$16*Summary!$B$8</f>
        <v/>
      </c>
      <c r="O1318" s="11">
        <f>M1318-N1318</f>
        <v/>
      </c>
    </row>
    <row r="1319">
      <c r="A1319" s="9" t="n">
        <v>45346.875</v>
      </c>
      <c r="B1319" t="n">
        <v>2</v>
      </c>
      <c r="C1319" t="n">
        <v>24</v>
      </c>
      <c r="D1319" t="n">
        <v>21</v>
      </c>
      <c r="E1319" s="10" t="n">
        <v>0</v>
      </c>
      <c r="F1319" s="10" t="n">
        <v>0.410564258535422</v>
      </c>
      <c r="G1319" s="11">
        <f>E1319*Summary!$B$6</f>
        <v/>
      </c>
      <c r="H1319" s="11">
        <f>F1319*Summary!$B$7</f>
        <v/>
      </c>
      <c r="I1319" s="11">
        <f>MAX(0,N1319-M1319)</f>
        <v/>
      </c>
      <c r="J1319" s="11">
        <f>MAX(0,M1319-N1319)</f>
        <v/>
      </c>
      <c r="K1319" s="11">
        <f>O1319</f>
        <v/>
      </c>
      <c r="L1319" s="11">
        <f>L1318+IF(K1319&gt;0,K1319*Summary!$B$9,K1319/Summary!$B$9)</f>
        <v/>
      </c>
      <c r="M1319" s="11">
        <f>G1319+H1319</f>
        <v/>
      </c>
      <c r="N1319" s="11">
        <f>Summary!$C$16*Summary!$B$8</f>
        <v/>
      </c>
      <c r="O1319" s="11">
        <f>M1319-N1319</f>
        <v/>
      </c>
    </row>
    <row r="1320">
      <c r="A1320" s="9" t="n">
        <v>45346.91666666666</v>
      </c>
      <c r="B1320" t="n">
        <v>2</v>
      </c>
      <c r="C1320" t="n">
        <v>24</v>
      </c>
      <c r="D1320" t="n">
        <v>22</v>
      </c>
      <c r="E1320" s="10" t="n">
        <v>0</v>
      </c>
      <c r="F1320" s="10" t="n">
        <v>0.4266916864060047</v>
      </c>
      <c r="G1320" s="11">
        <f>E1320*Summary!$B$6</f>
        <v/>
      </c>
      <c r="H1320" s="11">
        <f>F1320*Summary!$B$7</f>
        <v/>
      </c>
      <c r="I1320" s="11">
        <f>MAX(0,N1320-M1320)</f>
        <v/>
      </c>
      <c r="J1320" s="11">
        <f>MAX(0,M1320-N1320)</f>
        <v/>
      </c>
      <c r="K1320" s="11">
        <f>O1320</f>
        <v/>
      </c>
      <c r="L1320" s="11">
        <f>L1319+IF(K1320&gt;0,K1320*Summary!$B$9,K1320/Summary!$B$9)</f>
        <v/>
      </c>
      <c r="M1320" s="11">
        <f>G1320+H1320</f>
        <v/>
      </c>
      <c r="N1320" s="11">
        <f>Summary!$C$16*Summary!$B$8</f>
        <v/>
      </c>
      <c r="O1320" s="11">
        <f>M1320-N1320</f>
        <v/>
      </c>
    </row>
    <row r="1321">
      <c r="A1321" s="9" t="n">
        <v>45346.95833333334</v>
      </c>
      <c r="B1321" t="n">
        <v>2</v>
      </c>
      <c r="C1321" t="n">
        <v>24</v>
      </c>
      <c r="D1321" t="n">
        <v>23</v>
      </c>
      <c r="E1321" s="10" t="n">
        <v>0</v>
      </c>
      <c r="F1321" s="10" t="n">
        <v>0.4101953304468793</v>
      </c>
      <c r="G1321" s="11">
        <f>E1321*Summary!$B$6</f>
        <v/>
      </c>
      <c r="H1321" s="11">
        <f>F1321*Summary!$B$7</f>
        <v/>
      </c>
      <c r="I1321" s="11">
        <f>MAX(0,N1321-M1321)</f>
        <v/>
      </c>
      <c r="J1321" s="11">
        <f>MAX(0,M1321-N1321)</f>
        <v/>
      </c>
      <c r="K1321" s="11">
        <f>O1321</f>
        <v/>
      </c>
      <c r="L1321" s="11">
        <f>L1320+IF(K1321&gt;0,K1321*Summary!$B$9,K1321/Summary!$B$9)</f>
        <v/>
      </c>
      <c r="M1321" s="11">
        <f>G1321+H1321</f>
        <v/>
      </c>
      <c r="N1321" s="11">
        <f>Summary!$C$16*Summary!$B$8</f>
        <v/>
      </c>
      <c r="O1321" s="11">
        <f>M1321-N1321</f>
        <v/>
      </c>
    </row>
    <row r="1322">
      <c r="A1322" s="9" t="n">
        <v>45347</v>
      </c>
      <c r="B1322" t="n">
        <v>2</v>
      </c>
      <c r="C1322" t="n">
        <v>25</v>
      </c>
      <c r="D1322" t="n">
        <v>0</v>
      </c>
      <c r="E1322" s="10" t="n">
        <v>0</v>
      </c>
      <c r="F1322" s="10" t="n">
        <v>0.4306708393610014</v>
      </c>
      <c r="G1322" s="11">
        <f>E1322*Summary!$B$6</f>
        <v/>
      </c>
      <c r="H1322" s="11">
        <f>F1322*Summary!$B$7</f>
        <v/>
      </c>
      <c r="I1322" s="11">
        <f>MAX(0,N1322-M1322)</f>
        <v/>
      </c>
      <c r="J1322" s="11">
        <f>MAX(0,M1322-N1322)</f>
        <v/>
      </c>
      <c r="K1322" s="11">
        <f>O1322</f>
        <v/>
      </c>
      <c r="L1322" s="11">
        <f>L1321+IF(K1322&gt;0,K1322*Summary!$B$9,K1322/Summary!$B$9)</f>
        <v/>
      </c>
      <c r="M1322" s="11">
        <f>G1322+H1322</f>
        <v/>
      </c>
      <c r="N1322" s="11">
        <f>Summary!$C$16*Summary!$B$8</f>
        <v/>
      </c>
      <c r="O1322" s="11">
        <f>M1322-N1322</f>
        <v/>
      </c>
    </row>
    <row r="1323">
      <c r="A1323" s="9" t="n">
        <v>45347.04166666666</v>
      </c>
      <c r="B1323" t="n">
        <v>2</v>
      </c>
      <c r="C1323" t="n">
        <v>25</v>
      </c>
      <c r="D1323" t="n">
        <v>1</v>
      </c>
      <c r="E1323" s="10" t="n">
        <v>0</v>
      </c>
      <c r="F1323" s="10" t="n">
        <v>0.4140163713639291</v>
      </c>
      <c r="G1323" s="11">
        <f>E1323*Summary!$B$6</f>
        <v/>
      </c>
      <c r="H1323" s="11">
        <f>F1323*Summary!$B$7</f>
        <v/>
      </c>
      <c r="I1323" s="11">
        <f>MAX(0,N1323-M1323)</f>
        <v/>
      </c>
      <c r="J1323" s="11">
        <f>MAX(0,M1323-N1323)</f>
        <v/>
      </c>
      <c r="K1323" s="11">
        <f>O1323</f>
        <v/>
      </c>
      <c r="L1323" s="11">
        <f>L1322+IF(K1323&gt;0,K1323*Summary!$B$9,K1323/Summary!$B$9)</f>
        <v/>
      </c>
      <c r="M1323" s="11">
        <f>G1323+H1323</f>
        <v/>
      </c>
      <c r="N1323" s="11">
        <f>Summary!$C$16*Summary!$B$8</f>
        <v/>
      </c>
      <c r="O1323" s="11">
        <f>M1323-N1323</f>
        <v/>
      </c>
    </row>
    <row r="1324">
      <c r="A1324" s="9" t="n">
        <v>45347.08333333334</v>
      </c>
      <c r="B1324" t="n">
        <v>2</v>
      </c>
      <c r="C1324" t="n">
        <v>25</v>
      </c>
      <c r="D1324" t="n">
        <v>2</v>
      </c>
      <c r="E1324" s="10" t="n">
        <v>0</v>
      </c>
      <c r="F1324" s="10" t="n">
        <v>0.4129359391046253</v>
      </c>
      <c r="G1324" s="11">
        <f>E1324*Summary!$B$6</f>
        <v/>
      </c>
      <c r="H1324" s="11">
        <f>F1324*Summary!$B$7</f>
        <v/>
      </c>
      <c r="I1324" s="11">
        <f>MAX(0,N1324-M1324)</f>
        <v/>
      </c>
      <c r="J1324" s="11">
        <f>MAX(0,M1324-N1324)</f>
        <v/>
      </c>
      <c r="K1324" s="11">
        <f>O1324</f>
        <v/>
      </c>
      <c r="L1324" s="11">
        <f>L1323+IF(K1324&gt;0,K1324*Summary!$B$9,K1324/Summary!$B$9)</f>
        <v/>
      </c>
      <c r="M1324" s="11">
        <f>G1324+H1324</f>
        <v/>
      </c>
      <c r="N1324" s="11">
        <f>Summary!$C$16*Summary!$B$8</f>
        <v/>
      </c>
      <c r="O1324" s="11">
        <f>M1324-N1324</f>
        <v/>
      </c>
    </row>
    <row r="1325">
      <c r="A1325" s="9" t="n">
        <v>45347.125</v>
      </c>
      <c r="B1325" t="n">
        <v>2</v>
      </c>
      <c r="C1325" t="n">
        <v>25</v>
      </c>
      <c r="D1325" t="n">
        <v>3</v>
      </c>
      <c r="E1325" s="10" t="n">
        <v>0</v>
      </c>
      <c r="F1325" s="10" t="n">
        <v>0.4155711397370735</v>
      </c>
      <c r="G1325" s="11">
        <f>E1325*Summary!$B$6</f>
        <v/>
      </c>
      <c r="H1325" s="11">
        <f>F1325*Summary!$B$7</f>
        <v/>
      </c>
      <c r="I1325" s="11">
        <f>MAX(0,N1325-M1325)</f>
        <v/>
      </c>
      <c r="J1325" s="11">
        <f>MAX(0,M1325-N1325)</f>
        <v/>
      </c>
      <c r="K1325" s="11">
        <f>O1325</f>
        <v/>
      </c>
      <c r="L1325" s="11">
        <f>L1324+IF(K1325&gt;0,K1325*Summary!$B$9,K1325/Summary!$B$9)</f>
        <v/>
      </c>
      <c r="M1325" s="11">
        <f>G1325+H1325</f>
        <v/>
      </c>
      <c r="N1325" s="11">
        <f>Summary!$C$16*Summary!$B$8</f>
        <v/>
      </c>
      <c r="O1325" s="11">
        <f>M1325-N1325</f>
        <v/>
      </c>
    </row>
    <row r="1326">
      <c r="A1326" s="9" t="n">
        <v>45347.16666666666</v>
      </c>
      <c r="B1326" t="n">
        <v>2</v>
      </c>
      <c r="C1326" t="n">
        <v>25</v>
      </c>
      <c r="D1326" t="n">
        <v>4</v>
      </c>
      <c r="E1326" s="10" t="n">
        <v>0</v>
      </c>
      <c r="F1326" s="10" t="n">
        <v>0.4153603236864777</v>
      </c>
      <c r="G1326" s="11">
        <f>E1326*Summary!$B$6</f>
        <v/>
      </c>
      <c r="H1326" s="11">
        <f>F1326*Summary!$B$7</f>
        <v/>
      </c>
      <c r="I1326" s="11">
        <f>MAX(0,N1326-M1326)</f>
        <v/>
      </c>
      <c r="J1326" s="11">
        <f>MAX(0,M1326-N1326)</f>
        <v/>
      </c>
      <c r="K1326" s="11">
        <f>O1326</f>
        <v/>
      </c>
      <c r="L1326" s="11">
        <f>L1325+IF(K1326&gt;0,K1326*Summary!$B$9,K1326/Summary!$B$9)</f>
        <v/>
      </c>
      <c r="M1326" s="11">
        <f>G1326+H1326</f>
        <v/>
      </c>
      <c r="N1326" s="11">
        <f>Summary!$C$16*Summary!$B$8</f>
        <v/>
      </c>
      <c r="O1326" s="11">
        <f>M1326-N1326</f>
        <v/>
      </c>
    </row>
    <row r="1327">
      <c r="A1327" s="9" t="n">
        <v>45347.20833333334</v>
      </c>
      <c r="B1327" t="n">
        <v>2</v>
      </c>
      <c r="C1327" t="n">
        <v>25</v>
      </c>
      <c r="D1327" t="n">
        <v>5</v>
      </c>
      <c r="E1327" s="10" t="n">
        <v>0</v>
      </c>
      <c r="F1327" s="10" t="n">
        <v>0.4161772358825366</v>
      </c>
      <c r="G1327" s="11">
        <f>E1327*Summary!$B$6</f>
        <v/>
      </c>
      <c r="H1327" s="11">
        <f>F1327*Summary!$B$7</f>
        <v/>
      </c>
      <c r="I1327" s="11">
        <f>MAX(0,N1327-M1327)</f>
        <v/>
      </c>
      <c r="J1327" s="11">
        <f>MAX(0,M1327-N1327)</f>
        <v/>
      </c>
      <c r="K1327" s="11">
        <f>O1327</f>
        <v/>
      </c>
      <c r="L1327" s="11">
        <f>L1326+IF(K1327&gt;0,K1327*Summary!$B$9,K1327/Summary!$B$9)</f>
        <v/>
      </c>
      <c r="M1327" s="11">
        <f>G1327+H1327</f>
        <v/>
      </c>
      <c r="N1327" s="11">
        <f>Summary!$C$16*Summary!$B$8</f>
        <v/>
      </c>
      <c r="O1327" s="11">
        <f>M1327-N1327</f>
        <v/>
      </c>
    </row>
    <row r="1328">
      <c r="A1328" s="9" t="n">
        <v>45347.25</v>
      </c>
      <c r="B1328" t="n">
        <v>2</v>
      </c>
      <c r="C1328" t="n">
        <v>25</v>
      </c>
      <c r="D1328" t="n">
        <v>6</v>
      </c>
      <c r="E1328" s="10" t="n">
        <v>0</v>
      </c>
      <c r="F1328" s="10" t="n">
        <v>0.41702050008492</v>
      </c>
      <c r="G1328" s="11">
        <f>E1328*Summary!$B$6</f>
        <v/>
      </c>
      <c r="H1328" s="11">
        <f>F1328*Summary!$B$7</f>
        <v/>
      </c>
      <c r="I1328" s="11">
        <f>MAX(0,N1328-M1328)</f>
        <v/>
      </c>
      <c r="J1328" s="11">
        <f>MAX(0,M1328-N1328)</f>
        <v/>
      </c>
      <c r="K1328" s="11">
        <f>O1328</f>
        <v/>
      </c>
      <c r="L1328" s="11">
        <f>L1327+IF(K1328&gt;0,K1328*Summary!$B$9,K1328/Summary!$B$9)</f>
        <v/>
      </c>
      <c r="M1328" s="11">
        <f>G1328+H1328</f>
        <v/>
      </c>
      <c r="N1328" s="11">
        <f>Summary!$C$16*Summary!$B$8</f>
        <v/>
      </c>
      <c r="O1328" s="11">
        <f>M1328-N1328</f>
        <v/>
      </c>
    </row>
    <row r="1329">
      <c r="A1329" s="9" t="n">
        <v>45347.29166666666</v>
      </c>
      <c r="B1329" t="n">
        <v>2</v>
      </c>
      <c r="C1329" t="n">
        <v>25</v>
      </c>
      <c r="D1329" t="n">
        <v>7</v>
      </c>
      <c r="E1329" s="10" t="n">
        <v>0</v>
      </c>
      <c r="F1329" s="10" t="n">
        <v>0.4094047702571449</v>
      </c>
      <c r="G1329" s="11">
        <f>E1329*Summary!$B$6</f>
        <v/>
      </c>
      <c r="H1329" s="11">
        <f>F1329*Summary!$B$7</f>
        <v/>
      </c>
      <c r="I1329" s="11">
        <f>MAX(0,N1329-M1329)</f>
        <v/>
      </c>
      <c r="J1329" s="11">
        <f>MAX(0,M1329-N1329)</f>
        <v/>
      </c>
      <c r="K1329" s="11">
        <f>O1329</f>
        <v/>
      </c>
      <c r="L1329" s="11">
        <f>L1328+IF(K1329&gt;0,K1329*Summary!$B$9,K1329/Summary!$B$9)</f>
        <v/>
      </c>
      <c r="M1329" s="11">
        <f>G1329+H1329</f>
        <v/>
      </c>
      <c r="N1329" s="11">
        <f>Summary!$C$16*Summary!$B$8</f>
        <v/>
      </c>
      <c r="O1329" s="11">
        <f>M1329-N1329</f>
        <v/>
      </c>
    </row>
    <row r="1330">
      <c r="A1330" s="9" t="n">
        <v>45347.33333333334</v>
      </c>
      <c r="B1330" t="n">
        <v>2</v>
      </c>
      <c r="C1330" t="n">
        <v>25</v>
      </c>
      <c r="D1330" t="n">
        <v>8</v>
      </c>
      <c r="E1330" s="10" t="n">
        <v>0.009875</v>
      </c>
      <c r="F1330" s="10" t="n">
        <v>0.3948848147723555</v>
      </c>
      <c r="G1330" s="11">
        <f>E1330*Summary!$B$6</f>
        <v/>
      </c>
      <c r="H1330" s="11">
        <f>F1330*Summary!$B$7</f>
        <v/>
      </c>
      <c r="I1330" s="11">
        <f>MAX(0,N1330-M1330)</f>
        <v/>
      </c>
      <c r="J1330" s="11">
        <f>MAX(0,M1330-N1330)</f>
        <v/>
      </c>
      <c r="K1330" s="11">
        <f>O1330</f>
        <v/>
      </c>
      <c r="L1330" s="11">
        <f>L1329+IF(K1330&gt;0,K1330*Summary!$B$9,K1330/Summary!$B$9)</f>
        <v/>
      </c>
      <c r="M1330" s="11">
        <f>G1330+H1330</f>
        <v/>
      </c>
      <c r="N1330" s="11">
        <f>Summary!$C$16*Summary!$B$8</f>
        <v/>
      </c>
      <c r="O1330" s="11">
        <f>M1330-N1330</f>
        <v/>
      </c>
    </row>
    <row r="1331">
      <c r="A1331" s="9" t="n">
        <v>45347.375</v>
      </c>
      <c r="B1331" t="n">
        <v>2</v>
      </c>
      <c r="C1331" t="n">
        <v>25</v>
      </c>
      <c r="D1331" t="n">
        <v>9</v>
      </c>
      <c r="E1331" s="10" t="n">
        <v>0.037595</v>
      </c>
      <c r="F1331" s="10" t="n">
        <v>0.3761221862693247</v>
      </c>
      <c r="G1331" s="11">
        <f>E1331*Summary!$B$6</f>
        <v/>
      </c>
      <c r="H1331" s="11">
        <f>F1331*Summary!$B$7</f>
        <v/>
      </c>
      <c r="I1331" s="11">
        <f>MAX(0,N1331-M1331)</f>
        <v/>
      </c>
      <c r="J1331" s="11">
        <f>MAX(0,M1331-N1331)</f>
        <v/>
      </c>
      <c r="K1331" s="11">
        <f>O1331</f>
        <v/>
      </c>
      <c r="L1331" s="11">
        <f>L1330+IF(K1331&gt;0,K1331*Summary!$B$9,K1331/Summary!$B$9)</f>
        <v/>
      </c>
      <c r="M1331" s="11">
        <f>G1331+H1331</f>
        <v/>
      </c>
      <c r="N1331" s="11">
        <f>Summary!$C$16*Summary!$B$8</f>
        <v/>
      </c>
      <c r="O1331" s="11">
        <f>M1331-N1331</f>
        <v/>
      </c>
    </row>
    <row r="1332">
      <c r="A1332" s="9" t="n">
        <v>45347.41666666666</v>
      </c>
      <c r="B1332" t="n">
        <v>2</v>
      </c>
      <c r="C1332" t="n">
        <v>25</v>
      </c>
      <c r="D1332" t="n">
        <v>10</v>
      </c>
      <c r="E1332" s="10" t="n">
        <v>0.051054</v>
      </c>
      <c r="F1332" s="10" t="n">
        <v>0.3662138318913197</v>
      </c>
      <c r="G1332" s="11">
        <f>E1332*Summary!$B$6</f>
        <v/>
      </c>
      <c r="H1332" s="11">
        <f>F1332*Summary!$B$7</f>
        <v/>
      </c>
      <c r="I1332" s="11">
        <f>MAX(0,N1332-M1332)</f>
        <v/>
      </c>
      <c r="J1332" s="11">
        <f>MAX(0,M1332-N1332)</f>
        <v/>
      </c>
      <c r="K1332" s="11">
        <f>O1332</f>
        <v/>
      </c>
      <c r="L1332" s="11">
        <f>L1331+IF(K1332&gt;0,K1332*Summary!$B$9,K1332/Summary!$B$9)</f>
        <v/>
      </c>
      <c r="M1332" s="11">
        <f>G1332+H1332</f>
        <v/>
      </c>
      <c r="N1332" s="11">
        <f>Summary!$C$16*Summary!$B$8</f>
        <v/>
      </c>
      <c r="O1332" s="11">
        <f>M1332-N1332</f>
        <v/>
      </c>
    </row>
    <row r="1333">
      <c r="A1333" s="9" t="n">
        <v>45347.45833333334</v>
      </c>
      <c r="B1333" t="n">
        <v>2</v>
      </c>
      <c r="C1333" t="n">
        <v>25</v>
      </c>
      <c r="D1333" t="n">
        <v>11</v>
      </c>
      <c r="E1333" s="10" t="n">
        <v>0.046241</v>
      </c>
      <c r="F1333" s="10" t="n">
        <v>0.3643691914486059</v>
      </c>
      <c r="G1333" s="11">
        <f>E1333*Summary!$B$6</f>
        <v/>
      </c>
      <c r="H1333" s="11">
        <f>F1333*Summary!$B$7</f>
        <v/>
      </c>
      <c r="I1333" s="11">
        <f>MAX(0,N1333-M1333)</f>
        <v/>
      </c>
      <c r="J1333" s="11">
        <f>MAX(0,M1333-N1333)</f>
        <v/>
      </c>
      <c r="K1333" s="11">
        <f>O1333</f>
        <v/>
      </c>
      <c r="L1333" s="11">
        <f>L1332+IF(K1333&gt;0,K1333*Summary!$B$9,K1333/Summary!$B$9)</f>
        <v/>
      </c>
      <c r="M1333" s="11">
        <f>G1333+H1333</f>
        <v/>
      </c>
      <c r="N1333" s="11">
        <f>Summary!$C$16*Summary!$B$8</f>
        <v/>
      </c>
      <c r="O1333" s="11">
        <f>M1333-N1333</f>
        <v/>
      </c>
    </row>
    <row r="1334">
      <c r="A1334" s="9" t="n">
        <v>45347.5</v>
      </c>
      <c r="B1334" t="n">
        <v>2</v>
      </c>
      <c r="C1334" t="n">
        <v>25</v>
      </c>
      <c r="D1334" t="n">
        <v>12</v>
      </c>
      <c r="E1334" s="10" t="n">
        <v>0.07213799999999999</v>
      </c>
      <c r="F1334" s="10" t="n">
        <v>0.3623400869616209</v>
      </c>
      <c r="G1334" s="11">
        <f>E1334*Summary!$B$6</f>
        <v/>
      </c>
      <c r="H1334" s="11">
        <f>F1334*Summary!$B$7</f>
        <v/>
      </c>
      <c r="I1334" s="11">
        <f>MAX(0,N1334-M1334)</f>
        <v/>
      </c>
      <c r="J1334" s="11">
        <f>MAX(0,M1334-N1334)</f>
        <v/>
      </c>
      <c r="K1334" s="11">
        <f>O1334</f>
        <v/>
      </c>
      <c r="L1334" s="11">
        <f>L1333+IF(K1334&gt;0,K1334*Summary!$B$9,K1334/Summary!$B$9)</f>
        <v/>
      </c>
      <c r="M1334" s="11">
        <f>G1334+H1334</f>
        <v/>
      </c>
      <c r="N1334" s="11">
        <f>Summary!$C$16*Summary!$B$8</f>
        <v/>
      </c>
      <c r="O1334" s="11">
        <f>M1334-N1334</f>
        <v/>
      </c>
    </row>
    <row r="1335">
      <c r="A1335" s="9" t="n">
        <v>45347.54166666666</v>
      </c>
      <c r="B1335" t="n">
        <v>2</v>
      </c>
      <c r="C1335" t="n">
        <v>25</v>
      </c>
      <c r="D1335" t="n">
        <v>13</v>
      </c>
      <c r="E1335" s="10" t="n">
        <v>0.069636</v>
      </c>
      <c r="F1335" s="10" t="n">
        <v>0.3549088211781171</v>
      </c>
      <c r="G1335" s="11">
        <f>E1335*Summary!$B$6</f>
        <v/>
      </c>
      <c r="H1335" s="11">
        <f>F1335*Summary!$B$7</f>
        <v/>
      </c>
      <c r="I1335" s="11">
        <f>MAX(0,N1335-M1335)</f>
        <v/>
      </c>
      <c r="J1335" s="11">
        <f>MAX(0,M1335-N1335)</f>
        <v/>
      </c>
      <c r="K1335" s="11">
        <f>O1335</f>
        <v/>
      </c>
      <c r="L1335" s="11">
        <f>L1334+IF(K1335&gt;0,K1335*Summary!$B$9,K1335/Summary!$B$9)</f>
        <v/>
      </c>
      <c r="M1335" s="11">
        <f>G1335+H1335</f>
        <v/>
      </c>
      <c r="N1335" s="11">
        <f>Summary!$C$16*Summary!$B$8</f>
        <v/>
      </c>
      <c r="O1335" s="11">
        <f>M1335-N1335</f>
        <v/>
      </c>
    </row>
    <row r="1336">
      <c r="A1336" s="9" t="n">
        <v>45347.58333333334</v>
      </c>
      <c r="B1336" t="n">
        <v>2</v>
      </c>
      <c r="C1336" t="n">
        <v>25</v>
      </c>
      <c r="D1336" t="n">
        <v>14</v>
      </c>
      <c r="E1336" s="10" t="n">
        <v>0.09276</v>
      </c>
      <c r="F1336" s="10" t="n">
        <v>0.3501918120460349</v>
      </c>
      <c r="G1336" s="11">
        <f>E1336*Summary!$B$6</f>
        <v/>
      </c>
      <c r="H1336" s="11">
        <f>F1336*Summary!$B$7</f>
        <v/>
      </c>
      <c r="I1336" s="11">
        <f>MAX(0,N1336-M1336)</f>
        <v/>
      </c>
      <c r="J1336" s="11">
        <f>MAX(0,M1336-N1336)</f>
        <v/>
      </c>
      <c r="K1336" s="11">
        <f>O1336</f>
        <v/>
      </c>
      <c r="L1336" s="11">
        <f>L1335+IF(K1336&gt;0,K1336*Summary!$B$9,K1336/Summary!$B$9)</f>
        <v/>
      </c>
      <c r="M1336" s="11">
        <f>G1336+H1336</f>
        <v/>
      </c>
      <c r="N1336" s="11">
        <f>Summary!$C$16*Summary!$B$8</f>
        <v/>
      </c>
      <c r="O1336" s="11">
        <f>M1336-N1336</f>
        <v/>
      </c>
    </row>
    <row r="1337">
      <c r="A1337" s="9" t="n">
        <v>45347.625</v>
      </c>
      <c r="B1337" t="n">
        <v>2</v>
      </c>
      <c r="C1337" t="n">
        <v>25</v>
      </c>
      <c r="D1337" t="n">
        <v>15</v>
      </c>
      <c r="E1337" s="10" t="n">
        <v>0.073684</v>
      </c>
      <c r="F1337" s="10" t="n">
        <v>0.3502708680650083</v>
      </c>
      <c r="G1337" s="11">
        <f>E1337*Summary!$B$6</f>
        <v/>
      </c>
      <c r="H1337" s="11">
        <f>F1337*Summary!$B$7</f>
        <v/>
      </c>
      <c r="I1337" s="11">
        <f>MAX(0,N1337-M1337)</f>
        <v/>
      </c>
      <c r="J1337" s="11">
        <f>MAX(0,M1337-N1337)</f>
        <v/>
      </c>
      <c r="K1337" s="11">
        <f>O1337</f>
        <v/>
      </c>
      <c r="L1337" s="11">
        <f>L1336+IF(K1337&gt;0,K1337*Summary!$B$9,K1337/Summary!$B$9)</f>
        <v/>
      </c>
      <c r="M1337" s="11">
        <f>G1337+H1337</f>
        <v/>
      </c>
      <c r="N1337" s="11">
        <f>Summary!$C$16*Summary!$B$8</f>
        <v/>
      </c>
      <c r="O1337" s="11">
        <f>M1337-N1337</f>
        <v/>
      </c>
    </row>
    <row r="1338">
      <c r="A1338" s="9" t="n">
        <v>45347.66666666666</v>
      </c>
      <c r="B1338" t="n">
        <v>2</v>
      </c>
      <c r="C1338" t="n">
        <v>25</v>
      </c>
      <c r="D1338" t="n">
        <v>16</v>
      </c>
      <c r="E1338" s="10" t="n">
        <v>0.014441</v>
      </c>
      <c r="F1338" s="10" t="n">
        <v>0.3640266153663877</v>
      </c>
      <c r="G1338" s="11">
        <f>E1338*Summary!$B$6</f>
        <v/>
      </c>
      <c r="H1338" s="11">
        <f>F1338*Summary!$B$7</f>
        <v/>
      </c>
      <c r="I1338" s="11">
        <f>MAX(0,N1338-M1338)</f>
        <v/>
      </c>
      <c r="J1338" s="11">
        <f>MAX(0,M1338-N1338)</f>
        <v/>
      </c>
      <c r="K1338" s="11">
        <f>O1338</f>
        <v/>
      </c>
      <c r="L1338" s="11">
        <f>L1337+IF(K1338&gt;0,K1338*Summary!$B$9,K1338/Summary!$B$9)</f>
        <v/>
      </c>
      <c r="M1338" s="11">
        <f>G1338+H1338</f>
        <v/>
      </c>
      <c r="N1338" s="11">
        <f>Summary!$C$16*Summary!$B$8</f>
        <v/>
      </c>
      <c r="O1338" s="11">
        <f>M1338-N1338</f>
        <v/>
      </c>
    </row>
    <row r="1339">
      <c r="A1339" s="9" t="n">
        <v>45347.70833333334</v>
      </c>
      <c r="B1339" t="n">
        <v>2</v>
      </c>
      <c r="C1339" t="n">
        <v>25</v>
      </c>
      <c r="D1339" t="n">
        <v>17</v>
      </c>
      <c r="E1339" s="10" t="n">
        <v>0</v>
      </c>
      <c r="F1339" s="10" t="n">
        <v>0.3941996626079191</v>
      </c>
      <c r="G1339" s="11">
        <f>E1339*Summary!$B$6</f>
        <v/>
      </c>
      <c r="H1339" s="11">
        <f>F1339*Summary!$B$7</f>
        <v/>
      </c>
      <c r="I1339" s="11">
        <f>MAX(0,N1339-M1339)</f>
        <v/>
      </c>
      <c r="J1339" s="11">
        <f>MAX(0,M1339-N1339)</f>
        <v/>
      </c>
      <c r="K1339" s="11">
        <f>O1339</f>
        <v/>
      </c>
      <c r="L1339" s="11">
        <f>L1338+IF(K1339&gt;0,K1339*Summary!$B$9,K1339/Summary!$B$9)</f>
        <v/>
      </c>
      <c r="M1339" s="11">
        <f>G1339+H1339</f>
        <v/>
      </c>
      <c r="N1339" s="11">
        <f>Summary!$C$16*Summary!$B$8</f>
        <v/>
      </c>
      <c r="O1339" s="11">
        <f>M1339-N1339</f>
        <v/>
      </c>
    </row>
    <row r="1340">
      <c r="A1340" s="9" t="n">
        <v>45347.75</v>
      </c>
      <c r="B1340" t="n">
        <v>2</v>
      </c>
      <c r="C1340" t="n">
        <v>25</v>
      </c>
      <c r="D1340" t="n">
        <v>18</v>
      </c>
      <c r="E1340" s="10" t="n">
        <v>0</v>
      </c>
      <c r="F1340" s="10" t="n">
        <v>0.4237139096913383</v>
      </c>
      <c r="G1340" s="11">
        <f>E1340*Summary!$B$6</f>
        <v/>
      </c>
      <c r="H1340" s="11">
        <f>F1340*Summary!$B$7</f>
        <v/>
      </c>
      <c r="I1340" s="11">
        <f>MAX(0,N1340-M1340)</f>
        <v/>
      </c>
      <c r="J1340" s="11">
        <f>MAX(0,M1340-N1340)</f>
        <v/>
      </c>
      <c r="K1340" s="11">
        <f>O1340</f>
        <v/>
      </c>
      <c r="L1340" s="11">
        <f>L1339+IF(K1340&gt;0,K1340*Summary!$B$9,K1340/Summary!$B$9)</f>
        <v/>
      </c>
      <c r="M1340" s="11">
        <f>G1340+H1340</f>
        <v/>
      </c>
      <c r="N1340" s="11">
        <f>Summary!$C$16*Summary!$B$8</f>
        <v/>
      </c>
      <c r="O1340" s="11">
        <f>M1340-N1340</f>
        <v/>
      </c>
    </row>
    <row r="1341">
      <c r="A1341" s="9" t="n">
        <v>45347.79166666666</v>
      </c>
      <c r="B1341" t="n">
        <v>2</v>
      </c>
      <c r="C1341" t="n">
        <v>25</v>
      </c>
      <c r="D1341" t="n">
        <v>19</v>
      </c>
      <c r="E1341" s="10" t="n">
        <v>0</v>
      </c>
      <c r="F1341" s="10" t="n">
        <v>0.4372324889357974</v>
      </c>
      <c r="G1341" s="11">
        <f>E1341*Summary!$B$6</f>
        <v/>
      </c>
      <c r="H1341" s="11">
        <f>F1341*Summary!$B$7</f>
        <v/>
      </c>
      <c r="I1341" s="11">
        <f>MAX(0,N1341-M1341)</f>
        <v/>
      </c>
      <c r="J1341" s="11">
        <f>MAX(0,M1341-N1341)</f>
        <v/>
      </c>
      <c r="K1341" s="11">
        <f>O1341</f>
        <v/>
      </c>
      <c r="L1341" s="11">
        <f>L1340+IF(K1341&gt;0,K1341*Summary!$B$9,K1341/Summary!$B$9)</f>
        <v/>
      </c>
      <c r="M1341" s="11">
        <f>G1341+H1341</f>
        <v/>
      </c>
      <c r="N1341" s="11">
        <f>Summary!$C$16*Summary!$B$8</f>
        <v/>
      </c>
      <c r="O1341" s="11">
        <f>M1341-N1341</f>
        <v/>
      </c>
    </row>
    <row r="1342">
      <c r="A1342" s="9" t="n">
        <v>45347.83333333334</v>
      </c>
      <c r="B1342" t="n">
        <v>2</v>
      </c>
      <c r="C1342" t="n">
        <v>25</v>
      </c>
      <c r="D1342" t="n">
        <v>20</v>
      </c>
      <c r="E1342" s="10" t="n">
        <v>0</v>
      </c>
      <c r="F1342" s="10" t="n">
        <v>0.4487219636932713</v>
      </c>
      <c r="G1342" s="11">
        <f>E1342*Summary!$B$6</f>
        <v/>
      </c>
      <c r="H1342" s="11">
        <f>F1342*Summary!$B$7</f>
        <v/>
      </c>
      <c r="I1342" s="11">
        <f>MAX(0,N1342-M1342)</f>
        <v/>
      </c>
      <c r="J1342" s="11">
        <f>MAX(0,M1342-N1342)</f>
        <v/>
      </c>
      <c r="K1342" s="11">
        <f>O1342</f>
        <v/>
      </c>
      <c r="L1342" s="11">
        <f>L1341+IF(K1342&gt;0,K1342*Summary!$B$9,K1342/Summary!$B$9)</f>
        <v/>
      </c>
      <c r="M1342" s="11">
        <f>G1342+H1342</f>
        <v/>
      </c>
      <c r="N1342" s="11">
        <f>Summary!$C$16*Summary!$B$8</f>
        <v/>
      </c>
      <c r="O1342" s="11">
        <f>M1342-N1342</f>
        <v/>
      </c>
    </row>
    <row r="1343">
      <c r="A1343" s="9" t="n">
        <v>45347.875</v>
      </c>
      <c r="B1343" t="n">
        <v>2</v>
      </c>
      <c r="C1343" t="n">
        <v>25</v>
      </c>
      <c r="D1343" t="n">
        <v>21</v>
      </c>
      <c r="E1343" s="10" t="n">
        <v>0</v>
      </c>
      <c r="F1343" s="10" t="n">
        <v>0.4542822370277368</v>
      </c>
      <c r="G1343" s="11">
        <f>E1343*Summary!$B$6</f>
        <v/>
      </c>
      <c r="H1343" s="11">
        <f>F1343*Summary!$B$7</f>
        <v/>
      </c>
      <c r="I1343" s="11">
        <f>MAX(0,N1343-M1343)</f>
        <v/>
      </c>
      <c r="J1343" s="11">
        <f>MAX(0,M1343-N1343)</f>
        <v/>
      </c>
      <c r="K1343" s="11">
        <f>O1343</f>
        <v/>
      </c>
      <c r="L1343" s="11">
        <f>L1342+IF(K1343&gt;0,K1343*Summary!$B$9,K1343/Summary!$B$9)</f>
        <v/>
      </c>
      <c r="M1343" s="11">
        <f>G1343+H1343</f>
        <v/>
      </c>
      <c r="N1343" s="11">
        <f>Summary!$C$16*Summary!$B$8</f>
        <v/>
      </c>
      <c r="O1343" s="11">
        <f>M1343-N1343</f>
        <v/>
      </c>
    </row>
    <row r="1344">
      <c r="A1344" s="9" t="n">
        <v>45347.91666666666</v>
      </c>
      <c r="B1344" t="n">
        <v>2</v>
      </c>
      <c r="C1344" t="n">
        <v>25</v>
      </c>
      <c r="D1344" t="n">
        <v>22</v>
      </c>
      <c r="E1344" s="10" t="n">
        <v>0</v>
      </c>
      <c r="F1344" s="10" t="n">
        <v>0.4470354352885045</v>
      </c>
      <c r="G1344" s="11">
        <f>E1344*Summary!$B$6</f>
        <v/>
      </c>
      <c r="H1344" s="11">
        <f>F1344*Summary!$B$7</f>
        <v/>
      </c>
      <c r="I1344" s="11">
        <f>MAX(0,N1344-M1344)</f>
        <v/>
      </c>
      <c r="J1344" s="11">
        <f>MAX(0,M1344-N1344)</f>
        <v/>
      </c>
      <c r="K1344" s="11">
        <f>O1344</f>
        <v/>
      </c>
      <c r="L1344" s="11">
        <f>L1343+IF(K1344&gt;0,K1344*Summary!$B$9,K1344/Summary!$B$9)</f>
        <v/>
      </c>
      <c r="M1344" s="11">
        <f>G1344+H1344</f>
        <v/>
      </c>
      <c r="N1344" s="11">
        <f>Summary!$C$16*Summary!$B$8</f>
        <v/>
      </c>
      <c r="O1344" s="11">
        <f>M1344-N1344</f>
        <v/>
      </c>
    </row>
    <row r="1345">
      <c r="A1345" s="9" t="n">
        <v>45347.95833333334</v>
      </c>
      <c r="B1345" t="n">
        <v>2</v>
      </c>
      <c r="C1345" t="n">
        <v>25</v>
      </c>
      <c r="D1345" t="n">
        <v>23</v>
      </c>
      <c r="E1345" s="10" t="n">
        <v>0</v>
      </c>
      <c r="F1345" s="10" t="n">
        <v>0.4081662259598942</v>
      </c>
      <c r="G1345" s="11">
        <f>E1345*Summary!$B$6</f>
        <v/>
      </c>
      <c r="H1345" s="11">
        <f>F1345*Summary!$B$7</f>
        <v/>
      </c>
      <c r="I1345" s="11">
        <f>MAX(0,N1345-M1345)</f>
        <v/>
      </c>
      <c r="J1345" s="11">
        <f>MAX(0,M1345-N1345)</f>
        <v/>
      </c>
      <c r="K1345" s="11">
        <f>O1345</f>
        <v/>
      </c>
      <c r="L1345" s="11">
        <f>L1344+IF(K1345&gt;0,K1345*Summary!$B$9,K1345/Summary!$B$9)</f>
        <v/>
      </c>
      <c r="M1345" s="11">
        <f>G1345+H1345</f>
        <v/>
      </c>
      <c r="N1345" s="11">
        <f>Summary!$C$16*Summary!$B$8</f>
        <v/>
      </c>
      <c r="O1345" s="11">
        <f>M1345-N1345</f>
        <v/>
      </c>
    </row>
    <row r="1346">
      <c r="A1346" s="9" t="n">
        <v>45348</v>
      </c>
      <c r="B1346" t="n">
        <v>2</v>
      </c>
      <c r="C1346" t="n">
        <v>26</v>
      </c>
      <c r="D1346" t="n">
        <v>0</v>
      </c>
      <c r="E1346" s="10" t="n">
        <v>0</v>
      </c>
      <c r="F1346" s="10" t="n">
        <v>0.3137996913119259</v>
      </c>
      <c r="G1346" s="11">
        <f>E1346*Summary!$B$6</f>
        <v/>
      </c>
      <c r="H1346" s="11">
        <f>F1346*Summary!$B$7</f>
        <v/>
      </c>
      <c r="I1346" s="11">
        <f>MAX(0,N1346-M1346)</f>
        <v/>
      </c>
      <c r="J1346" s="11">
        <f>MAX(0,M1346-N1346)</f>
        <v/>
      </c>
      <c r="K1346" s="11">
        <f>O1346</f>
        <v/>
      </c>
      <c r="L1346" s="11">
        <f>L1345+IF(K1346&gt;0,K1346*Summary!$B$9,K1346/Summary!$B$9)</f>
        <v/>
      </c>
      <c r="M1346" s="11">
        <f>G1346+H1346</f>
        <v/>
      </c>
      <c r="N1346" s="11">
        <f>Summary!$C$16*Summary!$B$8</f>
        <v/>
      </c>
      <c r="O1346" s="11">
        <f>M1346-N1346</f>
        <v/>
      </c>
    </row>
    <row r="1347">
      <c r="A1347" s="9" t="n">
        <v>45348.04166666666</v>
      </c>
      <c r="B1347" t="n">
        <v>2</v>
      </c>
      <c r="C1347" t="n">
        <v>26</v>
      </c>
      <c r="D1347" t="n">
        <v>1</v>
      </c>
      <c r="E1347" s="10" t="n">
        <v>0</v>
      </c>
      <c r="F1347" s="10" t="n">
        <v>0.4169941480785955</v>
      </c>
      <c r="G1347" s="11">
        <f>E1347*Summary!$B$6</f>
        <v/>
      </c>
      <c r="H1347" s="11">
        <f>F1347*Summary!$B$7</f>
        <v/>
      </c>
      <c r="I1347" s="11">
        <f>MAX(0,N1347-M1347)</f>
        <v/>
      </c>
      <c r="J1347" s="11">
        <f>MAX(0,M1347-N1347)</f>
        <v/>
      </c>
      <c r="K1347" s="11">
        <f>O1347</f>
        <v/>
      </c>
      <c r="L1347" s="11">
        <f>L1346+IF(K1347&gt;0,K1347*Summary!$B$9,K1347/Summary!$B$9)</f>
        <v/>
      </c>
      <c r="M1347" s="11">
        <f>G1347+H1347</f>
        <v/>
      </c>
      <c r="N1347" s="11">
        <f>Summary!$C$16*Summary!$B$8</f>
        <v/>
      </c>
      <c r="O1347" s="11">
        <f>M1347-N1347</f>
        <v/>
      </c>
    </row>
    <row r="1348">
      <c r="A1348" s="9" t="n">
        <v>45348.08333333334</v>
      </c>
      <c r="B1348" t="n">
        <v>2</v>
      </c>
      <c r="C1348" t="n">
        <v>26</v>
      </c>
      <c r="D1348" t="n">
        <v>2</v>
      </c>
      <c r="E1348" s="10" t="n">
        <v>0</v>
      </c>
      <c r="F1348" s="10" t="n">
        <v>0.4022633765432104</v>
      </c>
      <c r="G1348" s="11">
        <f>E1348*Summary!$B$6</f>
        <v/>
      </c>
      <c r="H1348" s="11">
        <f>F1348*Summary!$B$7</f>
        <v/>
      </c>
      <c r="I1348" s="11">
        <f>MAX(0,N1348-M1348)</f>
        <v/>
      </c>
      <c r="J1348" s="11">
        <f>MAX(0,M1348-N1348)</f>
        <v/>
      </c>
      <c r="K1348" s="11">
        <f>O1348</f>
        <v/>
      </c>
      <c r="L1348" s="11">
        <f>L1347+IF(K1348&gt;0,K1348*Summary!$B$9,K1348/Summary!$B$9)</f>
        <v/>
      </c>
      <c r="M1348" s="11">
        <f>G1348+H1348</f>
        <v/>
      </c>
      <c r="N1348" s="11">
        <f>Summary!$C$16*Summary!$B$8</f>
        <v/>
      </c>
      <c r="O1348" s="11">
        <f>M1348-N1348</f>
        <v/>
      </c>
    </row>
    <row r="1349">
      <c r="A1349" s="9" t="n">
        <v>45348.125</v>
      </c>
      <c r="B1349" t="n">
        <v>2</v>
      </c>
      <c r="C1349" t="n">
        <v>26</v>
      </c>
      <c r="D1349" t="n">
        <v>3</v>
      </c>
      <c r="E1349" s="10" t="n">
        <v>0</v>
      </c>
      <c r="F1349" s="10" t="n">
        <v>0.3887711493050758</v>
      </c>
      <c r="G1349" s="11">
        <f>E1349*Summary!$B$6</f>
        <v/>
      </c>
      <c r="H1349" s="11">
        <f>F1349*Summary!$B$7</f>
        <v/>
      </c>
      <c r="I1349" s="11">
        <f>MAX(0,N1349-M1349)</f>
        <v/>
      </c>
      <c r="J1349" s="11">
        <f>MAX(0,M1349-N1349)</f>
        <v/>
      </c>
      <c r="K1349" s="11">
        <f>O1349</f>
        <v/>
      </c>
      <c r="L1349" s="11">
        <f>L1348+IF(K1349&gt;0,K1349*Summary!$B$9,K1349/Summary!$B$9)</f>
        <v/>
      </c>
      <c r="M1349" s="11">
        <f>G1349+H1349</f>
        <v/>
      </c>
      <c r="N1349" s="11">
        <f>Summary!$C$16*Summary!$B$8</f>
        <v/>
      </c>
      <c r="O1349" s="11">
        <f>M1349-N1349</f>
        <v/>
      </c>
    </row>
    <row r="1350">
      <c r="A1350" s="9" t="n">
        <v>45348.16666666666</v>
      </c>
      <c r="B1350" t="n">
        <v>2</v>
      </c>
      <c r="C1350" t="n">
        <v>26</v>
      </c>
      <c r="D1350" t="n">
        <v>4</v>
      </c>
      <c r="E1350" s="10" t="n">
        <v>0</v>
      </c>
      <c r="F1350" s="10" t="n">
        <v>0.4004714401131456</v>
      </c>
      <c r="G1350" s="11">
        <f>E1350*Summary!$B$6</f>
        <v/>
      </c>
      <c r="H1350" s="11">
        <f>F1350*Summary!$B$7</f>
        <v/>
      </c>
      <c r="I1350" s="11">
        <f>MAX(0,N1350-M1350)</f>
        <v/>
      </c>
      <c r="J1350" s="11">
        <f>MAX(0,M1350-N1350)</f>
        <v/>
      </c>
      <c r="K1350" s="11">
        <f>O1350</f>
        <v/>
      </c>
      <c r="L1350" s="11">
        <f>L1349+IF(K1350&gt;0,K1350*Summary!$B$9,K1350/Summary!$B$9)</f>
        <v/>
      </c>
      <c r="M1350" s="11">
        <f>G1350+H1350</f>
        <v/>
      </c>
      <c r="N1350" s="11">
        <f>Summary!$C$16*Summary!$B$8</f>
        <v/>
      </c>
      <c r="O1350" s="11">
        <f>M1350-N1350</f>
        <v/>
      </c>
    </row>
    <row r="1351">
      <c r="A1351" s="9" t="n">
        <v>45348.20833333334</v>
      </c>
      <c r="B1351" t="n">
        <v>2</v>
      </c>
      <c r="C1351" t="n">
        <v>26</v>
      </c>
      <c r="D1351" t="n">
        <v>5</v>
      </c>
      <c r="E1351" s="10" t="n">
        <v>0</v>
      </c>
      <c r="F1351" s="10" t="n">
        <v>0.3661874798849952</v>
      </c>
      <c r="G1351" s="11">
        <f>E1351*Summary!$B$6</f>
        <v/>
      </c>
      <c r="H1351" s="11">
        <f>F1351*Summary!$B$7</f>
        <v/>
      </c>
      <c r="I1351" s="11">
        <f>MAX(0,N1351-M1351)</f>
        <v/>
      </c>
      <c r="J1351" s="11">
        <f>MAX(0,M1351-N1351)</f>
        <v/>
      </c>
      <c r="K1351" s="11">
        <f>O1351</f>
        <v/>
      </c>
      <c r="L1351" s="11">
        <f>L1350+IF(K1351&gt;0,K1351*Summary!$B$9,K1351/Summary!$B$9)</f>
        <v/>
      </c>
      <c r="M1351" s="11">
        <f>G1351+H1351</f>
        <v/>
      </c>
      <c r="N1351" s="11">
        <f>Summary!$C$16*Summary!$B$8</f>
        <v/>
      </c>
      <c r="O1351" s="11">
        <f>M1351-N1351</f>
        <v/>
      </c>
    </row>
    <row r="1352">
      <c r="A1352" s="9" t="n">
        <v>45348.25</v>
      </c>
      <c r="B1352" t="n">
        <v>2</v>
      </c>
      <c r="C1352" t="n">
        <v>26</v>
      </c>
      <c r="D1352" t="n">
        <v>6</v>
      </c>
      <c r="E1352" s="10" t="n">
        <v>0</v>
      </c>
      <c r="F1352" s="10" t="n">
        <v>0.3581237659497038</v>
      </c>
      <c r="G1352" s="11">
        <f>E1352*Summary!$B$6</f>
        <v/>
      </c>
      <c r="H1352" s="11">
        <f>F1352*Summary!$B$7</f>
        <v/>
      </c>
      <c r="I1352" s="11">
        <f>MAX(0,N1352-M1352)</f>
        <v/>
      </c>
      <c r="J1352" s="11">
        <f>MAX(0,M1352-N1352)</f>
        <v/>
      </c>
      <c r="K1352" s="11">
        <f>O1352</f>
        <v/>
      </c>
      <c r="L1352" s="11">
        <f>L1351+IF(K1352&gt;0,K1352*Summary!$B$9,K1352/Summary!$B$9)</f>
        <v/>
      </c>
      <c r="M1352" s="11">
        <f>G1352+H1352</f>
        <v/>
      </c>
      <c r="N1352" s="11">
        <f>Summary!$C$16*Summary!$B$8</f>
        <v/>
      </c>
      <c r="O1352" s="11">
        <f>M1352-N1352</f>
        <v/>
      </c>
    </row>
    <row r="1353">
      <c r="A1353" s="9" t="n">
        <v>45348.29166666666</v>
      </c>
      <c r="B1353" t="n">
        <v>2</v>
      </c>
      <c r="C1353" t="n">
        <v>26</v>
      </c>
      <c r="D1353" t="n">
        <v>7</v>
      </c>
      <c r="E1353" s="10" t="n">
        <v>0</v>
      </c>
      <c r="F1353" s="10" t="n">
        <v>0.3436828664838879</v>
      </c>
      <c r="G1353" s="11">
        <f>E1353*Summary!$B$6</f>
        <v/>
      </c>
      <c r="H1353" s="11">
        <f>F1353*Summary!$B$7</f>
        <v/>
      </c>
      <c r="I1353" s="11">
        <f>MAX(0,N1353-M1353)</f>
        <v/>
      </c>
      <c r="J1353" s="11">
        <f>MAX(0,M1353-N1353)</f>
        <v/>
      </c>
      <c r="K1353" s="11">
        <f>O1353</f>
        <v/>
      </c>
      <c r="L1353" s="11">
        <f>L1352+IF(K1353&gt;0,K1353*Summary!$B$9,K1353/Summary!$B$9)</f>
        <v/>
      </c>
      <c r="M1353" s="11">
        <f>G1353+H1353</f>
        <v/>
      </c>
      <c r="N1353" s="11">
        <f>Summary!$C$16*Summary!$B$8</f>
        <v/>
      </c>
      <c r="O1353" s="11">
        <f>M1353-N1353</f>
        <v/>
      </c>
    </row>
    <row r="1354">
      <c r="A1354" s="9" t="n">
        <v>45348.33333333334</v>
      </c>
      <c r="B1354" t="n">
        <v>2</v>
      </c>
      <c r="C1354" t="n">
        <v>26</v>
      </c>
      <c r="D1354" t="n">
        <v>8</v>
      </c>
      <c r="E1354" s="10" t="n">
        <v>0.05174</v>
      </c>
      <c r="F1354" s="10" t="n">
        <v>0.3161186678684803</v>
      </c>
      <c r="G1354" s="11">
        <f>E1354*Summary!$B$6</f>
        <v/>
      </c>
      <c r="H1354" s="11">
        <f>F1354*Summary!$B$7</f>
        <v/>
      </c>
      <c r="I1354" s="11">
        <f>MAX(0,N1354-M1354)</f>
        <v/>
      </c>
      <c r="J1354" s="11">
        <f>MAX(0,M1354-N1354)</f>
        <v/>
      </c>
      <c r="K1354" s="11">
        <f>O1354</f>
        <v/>
      </c>
      <c r="L1354" s="11">
        <f>L1353+IF(K1354&gt;0,K1354*Summary!$B$9,K1354/Summary!$B$9)</f>
        <v/>
      </c>
      <c r="M1354" s="11">
        <f>G1354+H1354</f>
        <v/>
      </c>
      <c r="N1354" s="11">
        <f>Summary!$C$16*Summary!$B$8</f>
        <v/>
      </c>
      <c r="O1354" s="11">
        <f>M1354-N1354</f>
        <v/>
      </c>
    </row>
    <row r="1355">
      <c r="A1355" s="9" t="n">
        <v>45348.375</v>
      </c>
      <c r="B1355" t="n">
        <v>2</v>
      </c>
      <c r="C1355" t="n">
        <v>26</v>
      </c>
      <c r="D1355" t="n">
        <v>9</v>
      </c>
      <c r="E1355" s="10" t="n">
        <v>0.116531</v>
      </c>
      <c r="F1355" s="10" t="n">
        <v>0.2884754132340991</v>
      </c>
      <c r="G1355" s="11">
        <f>E1355*Summary!$B$6</f>
        <v/>
      </c>
      <c r="H1355" s="11">
        <f>F1355*Summary!$B$7</f>
        <v/>
      </c>
      <c r="I1355" s="11">
        <f>MAX(0,N1355-M1355)</f>
        <v/>
      </c>
      <c r="J1355" s="11">
        <f>MAX(0,M1355-N1355)</f>
        <v/>
      </c>
      <c r="K1355" s="11">
        <f>O1355</f>
        <v/>
      </c>
      <c r="L1355" s="11">
        <f>L1354+IF(K1355&gt;0,K1355*Summary!$B$9,K1355/Summary!$B$9)</f>
        <v/>
      </c>
      <c r="M1355" s="11">
        <f>G1355+H1355</f>
        <v/>
      </c>
      <c r="N1355" s="11">
        <f>Summary!$C$16*Summary!$B$8</f>
        <v/>
      </c>
      <c r="O1355" s="11">
        <f>M1355-N1355</f>
        <v/>
      </c>
    </row>
    <row r="1356">
      <c r="A1356" s="9" t="n">
        <v>45348.41666666666</v>
      </c>
      <c r="B1356" t="n">
        <v>2</v>
      </c>
      <c r="C1356" t="n">
        <v>26</v>
      </c>
      <c r="D1356" t="n">
        <v>10</v>
      </c>
      <c r="E1356" s="10" t="n">
        <v>0.173781</v>
      </c>
      <c r="F1356" s="10" t="n">
        <v>0.2606740465617712</v>
      </c>
      <c r="G1356" s="11">
        <f>E1356*Summary!$B$6</f>
        <v/>
      </c>
      <c r="H1356" s="11">
        <f>F1356*Summary!$B$7</f>
        <v/>
      </c>
      <c r="I1356" s="11">
        <f>MAX(0,N1356-M1356)</f>
        <v/>
      </c>
      <c r="J1356" s="11">
        <f>MAX(0,M1356-N1356)</f>
        <v/>
      </c>
      <c r="K1356" s="11">
        <f>O1356</f>
        <v/>
      </c>
      <c r="L1356" s="11">
        <f>L1355+IF(K1356&gt;0,K1356*Summary!$B$9,K1356/Summary!$B$9)</f>
        <v/>
      </c>
      <c r="M1356" s="11">
        <f>G1356+H1356</f>
        <v/>
      </c>
      <c r="N1356" s="11">
        <f>Summary!$C$16*Summary!$B$8</f>
        <v/>
      </c>
      <c r="O1356" s="11">
        <f>M1356-N1356</f>
        <v/>
      </c>
    </row>
    <row r="1357">
      <c r="A1357" s="9" t="n">
        <v>45348.45833333334</v>
      </c>
      <c r="B1357" t="n">
        <v>2</v>
      </c>
      <c r="C1357" t="n">
        <v>26</v>
      </c>
      <c r="D1357" t="n">
        <v>11</v>
      </c>
      <c r="E1357" s="10" t="n">
        <v>0.34602</v>
      </c>
      <c r="F1357" s="10" t="n">
        <v>0.2420168260840383</v>
      </c>
      <c r="G1357" s="11">
        <f>E1357*Summary!$B$6</f>
        <v/>
      </c>
      <c r="H1357" s="11">
        <f>F1357*Summary!$B$7</f>
        <v/>
      </c>
      <c r="I1357" s="11">
        <f>MAX(0,N1357-M1357)</f>
        <v/>
      </c>
      <c r="J1357" s="11">
        <f>MAX(0,M1357-N1357)</f>
        <v/>
      </c>
      <c r="K1357" s="11">
        <f>O1357</f>
        <v/>
      </c>
      <c r="L1357" s="11">
        <f>L1356+IF(K1357&gt;0,K1357*Summary!$B$9,K1357/Summary!$B$9)</f>
        <v/>
      </c>
      <c r="M1357" s="11">
        <f>G1357+H1357</f>
        <v/>
      </c>
      <c r="N1357" s="11">
        <f>Summary!$C$16*Summary!$B$8</f>
        <v/>
      </c>
      <c r="O1357" s="11">
        <f>M1357-N1357</f>
        <v/>
      </c>
    </row>
    <row r="1358">
      <c r="A1358" s="9" t="n">
        <v>45348.5</v>
      </c>
      <c r="B1358" t="n">
        <v>2</v>
      </c>
      <c r="C1358" t="n">
        <v>26</v>
      </c>
      <c r="D1358" t="n">
        <v>12</v>
      </c>
      <c r="E1358" s="10" t="n">
        <v>0.3324</v>
      </c>
      <c r="F1358" s="10" t="n">
        <v>0.2301057192253726</v>
      </c>
      <c r="G1358" s="11">
        <f>E1358*Summary!$B$6</f>
        <v/>
      </c>
      <c r="H1358" s="11">
        <f>F1358*Summary!$B$7</f>
        <v/>
      </c>
      <c r="I1358" s="11">
        <f>MAX(0,N1358-M1358)</f>
        <v/>
      </c>
      <c r="J1358" s="11">
        <f>MAX(0,M1358-N1358)</f>
        <v/>
      </c>
      <c r="K1358" s="11">
        <f>O1358</f>
        <v/>
      </c>
      <c r="L1358" s="11">
        <f>L1357+IF(K1358&gt;0,K1358*Summary!$B$9,K1358/Summary!$B$9)</f>
        <v/>
      </c>
      <c r="M1358" s="11">
        <f>G1358+H1358</f>
        <v/>
      </c>
      <c r="N1358" s="11">
        <f>Summary!$C$16*Summary!$B$8</f>
        <v/>
      </c>
      <c r="O1358" s="11">
        <f>M1358-N1358</f>
        <v/>
      </c>
    </row>
    <row r="1359">
      <c r="A1359" s="9" t="n">
        <v>45348.54166666666</v>
      </c>
      <c r="B1359" t="n">
        <v>2</v>
      </c>
      <c r="C1359" t="n">
        <v>26</v>
      </c>
      <c r="D1359" t="n">
        <v>13</v>
      </c>
      <c r="E1359" s="10" t="n">
        <v>0.291739</v>
      </c>
      <c r="F1359" s="10" t="n">
        <v>0.2283401348016324</v>
      </c>
      <c r="G1359" s="11">
        <f>E1359*Summary!$B$6</f>
        <v/>
      </c>
      <c r="H1359" s="11">
        <f>F1359*Summary!$B$7</f>
        <v/>
      </c>
      <c r="I1359" s="11">
        <f>MAX(0,N1359-M1359)</f>
        <v/>
      </c>
      <c r="J1359" s="11">
        <f>MAX(0,M1359-N1359)</f>
        <v/>
      </c>
      <c r="K1359" s="11">
        <f>O1359</f>
        <v/>
      </c>
      <c r="L1359" s="11">
        <f>L1358+IF(K1359&gt;0,K1359*Summary!$B$9,K1359/Summary!$B$9)</f>
        <v/>
      </c>
      <c r="M1359" s="11">
        <f>G1359+H1359</f>
        <v/>
      </c>
      <c r="N1359" s="11">
        <f>Summary!$C$16*Summary!$B$8</f>
        <v/>
      </c>
      <c r="O1359" s="11">
        <f>M1359-N1359</f>
        <v/>
      </c>
    </row>
    <row r="1360">
      <c r="A1360" s="9" t="n">
        <v>45348.58333333334</v>
      </c>
      <c r="B1360" t="n">
        <v>2</v>
      </c>
      <c r="C1360" t="n">
        <v>26</v>
      </c>
      <c r="D1360" t="n">
        <v>14</v>
      </c>
      <c r="E1360" s="10" t="n">
        <v>0.255707</v>
      </c>
      <c r="F1360" s="10" t="n">
        <v>0.2325301038072249</v>
      </c>
      <c r="G1360" s="11">
        <f>E1360*Summary!$B$6</f>
        <v/>
      </c>
      <c r="H1360" s="11">
        <f>F1360*Summary!$B$7</f>
        <v/>
      </c>
      <c r="I1360" s="11">
        <f>MAX(0,N1360-M1360)</f>
        <v/>
      </c>
      <c r="J1360" s="11">
        <f>MAX(0,M1360-N1360)</f>
        <v/>
      </c>
      <c r="K1360" s="11">
        <f>O1360</f>
        <v/>
      </c>
      <c r="L1360" s="11">
        <f>L1359+IF(K1360&gt;0,K1360*Summary!$B$9,K1360/Summary!$B$9)</f>
        <v/>
      </c>
      <c r="M1360" s="11">
        <f>G1360+H1360</f>
        <v/>
      </c>
      <c r="N1360" s="11">
        <f>Summary!$C$16*Summary!$B$8</f>
        <v/>
      </c>
      <c r="O1360" s="11">
        <f>M1360-N1360</f>
        <v/>
      </c>
    </row>
    <row r="1361">
      <c r="A1361" s="9" t="n">
        <v>45348.625</v>
      </c>
      <c r="B1361" t="n">
        <v>2</v>
      </c>
      <c r="C1361" t="n">
        <v>26</v>
      </c>
      <c r="D1361" t="n">
        <v>15</v>
      </c>
      <c r="E1361" s="10" t="n">
        <v>0.08328199999999999</v>
      </c>
      <c r="F1361" s="10" t="n">
        <v>0.2339267601424224</v>
      </c>
      <c r="G1361" s="11">
        <f>E1361*Summary!$B$6</f>
        <v/>
      </c>
      <c r="H1361" s="11">
        <f>F1361*Summary!$B$7</f>
        <v/>
      </c>
      <c r="I1361" s="11">
        <f>MAX(0,N1361-M1361)</f>
        <v/>
      </c>
      <c r="J1361" s="11">
        <f>MAX(0,M1361-N1361)</f>
        <v/>
      </c>
      <c r="K1361" s="11">
        <f>O1361</f>
        <v/>
      </c>
      <c r="L1361" s="11">
        <f>L1360+IF(K1361&gt;0,K1361*Summary!$B$9,K1361/Summary!$B$9)</f>
        <v/>
      </c>
      <c r="M1361" s="11">
        <f>G1361+H1361</f>
        <v/>
      </c>
      <c r="N1361" s="11">
        <f>Summary!$C$16*Summary!$B$8</f>
        <v/>
      </c>
      <c r="O1361" s="11">
        <f>M1361-N1361</f>
        <v/>
      </c>
    </row>
    <row r="1362">
      <c r="A1362" s="9" t="n">
        <v>45348.66666666666</v>
      </c>
      <c r="B1362" t="n">
        <v>2</v>
      </c>
      <c r="C1362" t="n">
        <v>26</v>
      </c>
      <c r="D1362" t="n">
        <v>16</v>
      </c>
      <c r="E1362" s="10" t="n">
        <v>0.038234</v>
      </c>
      <c r="F1362" s="10" t="n">
        <v>0.2471027633046632</v>
      </c>
      <c r="G1362" s="11">
        <f>E1362*Summary!$B$6</f>
        <v/>
      </c>
      <c r="H1362" s="11">
        <f>F1362*Summary!$B$7</f>
        <v/>
      </c>
      <c r="I1362" s="11">
        <f>MAX(0,N1362-M1362)</f>
        <v/>
      </c>
      <c r="J1362" s="11">
        <f>MAX(0,M1362-N1362)</f>
        <v/>
      </c>
      <c r="K1362" s="11">
        <f>O1362</f>
        <v/>
      </c>
      <c r="L1362" s="11">
        <f>L1361+IF(K1362&gt;0,K1362*Summary!$B$9,K1362/Summary!$B$9)</f>
        <v/>
      </c>
      <c r="M1362" s="11">
        <f>G1362+H1362</f>
        <v/>
      </c>
      <c r="N1362" s="11">
        <f>Summary!$C$16*Summary!$B$8</f>
        <v/>
      </c>
      <c r="O1362" s="11">
        <f>M1362-N1362</f>
        <v/>
      </c>
    </row>
    <row r="1363">
      <c r="A1363" s="9" t="n">
        <v>45348.70833333334</v>
      </c>
      <c r="B1363" t="n">
        <v>2</v>
      </c>
      <c r="C1363" t="n">
        <v>26</v>
      </c>
      <c r="D1363" t="n">
        <v>17</v>
      </c>
      <c r="E1363" s="10" t="n">
        <v>0</v>
      </c>
      <c r="F1363" s="10" t="n">
        <v>0.2728750254900061</v>
      </c>
      <c r="G1363" s="11">
        <f>E1363*Summary!$B$6</f>
        <v/>
      </c>
      <c r="H1363" s="11">
        <f>F1363*Summary!$B$7</f>
        <v/>
      </c>
      <c r="I1363" s="11">
        <f>MAX(0,N1363-M1363)</f>
        <v/>
      </c>
      <c r="J1363" s="11">
        <f>MAX(0,M1363-N1363)</f>
        <v/>
      </c>
      <c r="K1363" s="11">
        <f>O1363</f>
        <v/>
      </c>
      <c r="L1363" s="11">
        <f>L1362+IF(K1363&gt;0,K1363*Summary!$B$9,K1363/Summary!$B$9)</f>
        <v/>
      </c>
      <c r="M1363" s="11">
        <f>G1363+H1363</f>
        <v/>
      </c>
      <c r="N1363" s="11">
        <f>Summary!$C$16*Summary!$B$8</f>
        <v/>
      </c>
      <c r="O1363" s="11">
        <f>M1363-N1363</f>
        <v/>
      </c>
    </row>
    <row r="1364">
      <c r="A1364" s="9" t="n">
        <v>45348.75</v>
      </c>
      <c r="B1364" t="n">
        <v>2</v>
      </c>
      <c r="C1364" t="n">
        <v>26</v>
      </c>
      <c r="D1364" t="n">
        <v>18</v>
      </c>
      <c r="E1364" s="10" t="n">
        <v>0</v>
      </c>
      <c r="F1364" s="10" t="n">
        <v>0.2976722634413432</v>
      </c>
      <c r="G1364" s="11">
        <f>E1364*Summary!$B$6</f>
        <v/>
      </c>
      <c r="H1364" s="11">
        <f>F1364*Summary!$B$7</f>
        <v/>
      </c>
      <c r="I1364" s="11">
        <f>MAX(0,N1364-M1364)</f>
        <v/>
      </c>
      <c r="J1364" s="11">
        <f>MAX(0,M1364-N1364)</f>
        <v/>
      </c>
      <c r="K1364" s="11">
        <f>O1364</f>
        <v/>
      </c>
      <c r="L1364" s="11">
        <f>L1363+IF(K1364&gt;0,K1364*Summary!$B$9,K1364/Summary!$B$9)</f>
        <v/>
      </c>
      <c r="M1364" s="11">
        <f>G1364+H1364</f>
        <v/>
      </c>
      <c r="N1364" s="11">
        <f>Summary!$C$16*Summary!$B$8</f>
        <v/>
      </c>
      <c r="O1364" s="11">
        <f>M1364-N1364</f>
        <v/>
      </c>
    </row>
    <row r="1365">
      <c r="A1365" s="9" t="n">
        <v>45348.79166666666</v>
      </c>
      <c r="B1365" t="n">
        <v>2</v>
      </c>
      <c r="C1365" t="n">
        <v>26</v>
      </c>
      <c r="D1365" t="n">
        <v>19</v>
      </c>
      <c r="E1365" s="10" t="n">
        <v>0</v>
      </c>
      <c r="F1365" s="10" t="n">
        <v>0.3134834672360322</v>
      </c>
      <c r="G1365" s="11">
        <f>E1365*Summary!$B$6</f>
        <v/>
      </c>
      <c r="H1365" s="11">
        <f>F1365*Summary!$B$7</f>
        <v/>
      </c>
      <c r="I1365" s="11">
        <f>MAX(0,N1365-M1365)</f>
        <v/>
      </c>
      <c r="J1365" s="11">
        <f>MAX(0,M1365-N1365)</f>
        <v/>
      </c>
      <c r="K1365" s="11">
        <f>O1365</f>
        <v/>
      </c>
      <c r="L1365" s="11">
        <f>L1364+IF(K1365&gt;0,K1365*Summary!$B$9,K1365/Summary!$B$9)</f>
        <v/>
      </c>
      <c r="M1365" s="11">
        <f>G1365+H1365</f>
        <v/>
      </c>
      <c r="N1365" s="11">
        <f>Summary!$C$16*Summary!$B$8</f>
        <v/>
      </c>
      <c r="O1365" s="11">
        <f>M1365-N1365</f>
        <v/>
      </c>
    </row>
    <row r="1366">
      <c r="A1366" s="9" t="n">
        <v>45348.83333333334</v>
      </c>
      <c r="B1366" t="n">
        <v>2</v>
      </c>
      <c r="C1366" t="n">
        <v>26</v>
      </c>
      <c r="D1366" t="n">
        <v>20</v>
      </c>
      <c r="E1366" s="10" t="n">
        <v>0</v>
      </c>
      <c r="F1366" s="10" t="n">
        <v>0.3185167004440081</v>
      </c>
      <c r="G1366" s="11">
        <f>E1366*Summary!$B$6</f>
        <v/>
      </c>
      <c r="H1366" s="11">
        <f>F1366*Summary!$B$7</f>
        <v/>
      </c>
      <c r="I1366" s="11">
        <f>MAX(0,N1366-M1366)</f>
        <v/>
      </c>
      <c r="J1366" s="11">
        <f>MAX(0,M1366-N1366)</f>
        <v/>
      </c>
      <c r="K1366" s="11">
        <f>O1366</f>
        <v/>
      </c>
      <c r="L1366" s="11">
        <f>L1365+IF(K1366&gt;0,K1366*Summary!$B$9,K1366/Summary!$B$9)</f>
        <v/>
      </c>
      <c r="M1366" s="11">
        <f>G1366+H1366</f>
        <v/>
      </c>
      <c r="N1366" s="11">
        <f>Summary!$C$16*Summary!$B$8</f>
        <v/>
      </c>
      <c r="O1366" s="11">
        <f>M1366-N1366</f>
        <v/>
      </c>
    </row>
    <row r="1367">
      <c r="A1367" s="9" t="n">
        <v>45348.875</v>
      </c>
      <c r="B1367" t="n">
        <v>2</v>
      </c>
      <c r="C1367" t="n">
        <v>26</v>
      </c>
      <c r="D1367" t="n">
        <v>21</v>
      </c>
      <c r="E1367" s="10" t="n">
        <v>0</v>
      </c>
      <c r="F1367" s="10" t="n">
        <v>0.3184639964313591</v>
      </c>
      <c r="G1367" s="11">
        <f>E1367*Summary!$B$6</f>
        <v/>
      </c>
      <c r="H1367" s="11">
        <f>F1367*Summary!$B$7</f>
        <v/>
      </c>
      <c r="I1367" s="11">
        <f>MAX(0,N1367-M1367)</f>
        <v/>
      </c>
      <c r="J1367" s="11">
        <f>MAX(0,M1367-N1367)</f>
        <v/>
      </c>
      <c r="K1367" s="11">
        <f>O1367</f>
        <v/>
      </c>
      <c r="L1367" s="11">
        <f>L1366+IF(K1367&gt;0,K1367*Summary!$B$9,K1367/Summary!$B$9)</f>
        <v/>
      </c>
      <c r="M1367" s="11">
        <f>G1367+H1367</f>
        <v/>
      </c>
      <c r="N1367" s="11">
        <f>Summary!$C$16*Summary!$B$8</f>
        <v/>
      </c>
      <c r="O1367" s="11">
        <f>M1367-N1367</f>
        <v/>
      </c>
    </row>
    <row r="1368">
      <c r="A1368" s="9" t="n">
        <v>45348.91666666666</v>
      </c>
      <c r="B1368" t="n">
        <v>2</v>
      </c>
      <c r="C1368" t="n">
        <v>26</v>
      </c>
      <c r="D1368" t="n">
        <v>22</v>
      </c>
      <c r="E1368" s="10" t="n">
        <v>0</v>
      </c>
      <c r="F1368" s="10" t="n">
        <v>0.3138260433182504</v>
      </c>
      <c r="G1368" s="11">
        <f>E1368*Summary!$B$6</f>
        <v/>
      </c>
      <c r="H1368" s="11">
        <f>F1368*Summary!$B$7</f>
        <v/>
      </c>
      <c r="I1368" s="11">
        <f>MAX(0,N1368-M1368)</f>
        <v/>
      </c>
      <c r="J1368" s="11">
        <f>MAX(0,M1368-N1368)</f>
        <v/>
      </c>
      <c r="K1368" s="11">
        <f>O1368</f>
        <v/>
      </c>
      <c r="L1368" s="11">
        <f>L1367+IF(K1368&gt;0,K1368*Summary!$B$9,K1368/Summary!$B$9)</f>
        <v/>
      </c>
      <c r="M1368" s="11">
        <f>G1368+H1368</f>
        <v/>
      </c>
      <c r="N1368" s="11">
        <f>Summary!$C$16*Summary!$B$8</f>
        <v/>
      </c>
      <c r="O1368" s="11">
        <f>M1368-N1368</f>
        <v/>
      </c>
    </row>
    <row r="1369">
      <c r="A1369" s="9" t="n">
        <v>45348.95833333334</v>
      </c>
      <c r="B1369" t="n">
        <v>2</v>
      </c>
      <c r="C1369" t="n">
        <v>26</v>
      </c>
      <c r="D1369" t="n">
        <v>23</v>
      </c>
      <c r="E1369" s="10" t="n">
        <v>0</v>
      </c>
      <c r="F1369" s="10" t="n">
        <v>0.3107692105846105</v>
      </c>
      <c r="G1369" s="11">
        <f>E1369*Summary!$B$6</f>
        <v/>
      </c>
      <c r="H1369" s="11">
        <f>F1369*Summary!$B$7</f>
        <v/>
      </c>
      <c r="I1369" s="11">
        <f>MAX(0,N1369-M1369)</f>
        <v/>
      </c>
      <c r="J1369" s="11">
        <f>MAX(0,M1369-N1369)</f>
        <v/>
      </c>
      <c r="K1369" s="11">
        <f>O1369</f>
        <v/>
      </c>
      <c r="L1369" s="11">
        <f>L1368+IF(K1369&gt;0,K1369*Summary!$B$9,K1369/Summary!$B$9)</f>
        <v/>
      </c>
      <c r="M1369" s="11">
        <f>G1369+H1369</f>
        <v/>
      </c>
      <c r="N1369" s="11">
        <f>Summary!$C$16*Summary!$B$8</f>
        <v/>
      </c>
      <c r="O1369" s="11">
        <f>M1369-N1369</f>
        <v/>
      </c>
    </row>
    <row r="1370">
      <c r="A1370" s="9" t="n">
        <v>45349</v>
      </c>
      <c r="B1370" t="n">
        <v>2</v>
      </c>
      <c r="C1370" t="n">
        <v>27</v>
      </c>
      <c r="D1370" t="n">
        <v>0</v>
      </c>
      <c r="E1370" s="10" t="n">
        <v>0</v>
      </c>
      <c r="F1370" s="10" t="n">
        <v>0.3146429555143093</v>
      </c>
      <c r="G1370" s="11">
        <f>E1370*Summary!$B$6</f>
        <v/>
      </c>
      <c r="H1370" s="11">
        <f>F1370*Summary!$B$7</f>
        <v/>
      </c>
      <c r="I1370" s="11">
        <f>MAX(0,N1370-M1370)</f>
        <v/>
      </c>
      <c r="J1370" s="11">
        <f>MAX(0,M1370-N1370)</f>
        <v/>
      </c>
      <c r="K1370" s="11">
        <f>O1370</f>
        <v/>
      </c>
      <c r="L1370" s="11">
        <f>L1369+IF(K1370&gt;0,K1370*Summary!$B$9,K1370/Summary!$B$9)</f>
        <v/>
      </c>
      <c r="M1370" s="11">
        <f>G1370+H1370</f>
        <v/>
      </c>
      <c r="N1370" s="11">
        <f>Summary!$C$16*Summary!$B$8</f>
        <v/>
      </c>
      <c r="O1370" s="11">
        <f>M1370-N1370</f>
        <v/>
      </c>
    </row>
    <row r="1371">
      <c r="A1371" s="9" t="n">
        <v>45349.04166666666</v>
      </c>
      <c r="B1371" t="n">
        <v>2</v>
      </c>
      <c r="C1371" t="n">
        <v>27</v>
      </c>
      <c r="D1371" t="n">
        <v>1</v>
      </c>
      <c r="E1371" s="10" t="n">
        <v>0</v>
      </c>
      <c r="F1371" s="10" t="n">
        <v>0.3099786503948761</v>
      </c>
      <c r="G1371" s="11">
        <f>E1371*Summary!$B$6</f>
        <v/>
      </c>
      <c r="H1371" s="11">
        <f>F1371*Summary!$B$7</f>
        <v/>
      </c>
      <c r="I1371" s="11">
        <f>MAX(0,N1371-M1371)</f>
        <v/>
      </c>
      <c r="J1371" s="11">
        <f>MAX(0,M1371-N1371)</f>
        <v/>
      </c>
      <c r="K1371" s="11">
        <f>O1371</f>
        <v/>
      </c>
      <c r="L1371" s="11">
        <f>L1370+IF(K1371&gt;0,K1371*Summary!$B$9,K1371/Summary!$B$9)</f>
        <v/>
      </c>
      <c r="M1371" s="11">
        <f>G1371+H1371</f>
        <v/>
      </c>
      <c r="N1371" s="11">
        <f>Summary!$C$16*Summary!$B$8</f>
        <v/>
      </c>
      <c r="O1371" s="11">
        <f>M1371-N1371</f>
        <v/>
      </c>
    </row>
    <row r="1372">
      <c r="A1372" s="9" t="n">
        <v>45349.08333333334</v>
      </c>
      <c r="B1372" t="n">
        <v>2</v>
      </c>
      <c r="C1372" t="n">
        <v>27</v>
      </c>
      <c r="D1372" t="n">
        <v>2</v>
      </c>
      <c r="E1372" s="10" t="n">
        <v>0</v>
      </c>
      <c r="F1372" s="10" t="n">
        <v>0.3092144422114661</v>
      </c>
      <c r="G1372" s="11">
        <f>E1372*Summary!$B$6</f>
        <v/>
      </c>
      <c r="H1372" s="11">
        <f>F1372*Summary!$B$7</f>
        <v/>
      </c>
      <c r="I1372" s="11">
        <f>MAX(0,N1372-M1372)</f>
        <v/>
      </c>
      <c r="J1372" s="11">
        <f>MAX(0,M1372-N1372)</f>
        <v/>
      </c>
      <c r="K1372" s="11">
        <f>O1372</f>
        <v/>
      </c>
      <c r="L1372" s="11">
        <f>L1371+IF(K1372&gt;0,K1372*Summary!$B$9,K1372/Summary!$B$9)</f>
        <v/>
      </c>
      <c r="M1372" s="11">
        <f>G1372+H1372</f>
        <v/>
      </c>
      <c r="N1372" s="11">
        <f>Summary!$C$16*Summary!$B$8</f>
        <v/>
      </c>
      <c r="O1372" s="11">
        <f>M1372-N1372</f>
        <v/>
      </c>
    </row>
    <row r="1373">
      <c r="A1373" s="9" t="n">
        <v>45349.125</v>
      </c>
      <c r="B1373" t="n">
        <v>2</v>
      </c>
      <c r="C1373" t="n">
        <v>27</v>
      </c>
      <c r="D1373" t="n">
        <v>3</v>
      </c>
      <c r="E1373" s="10" t="n">
        <v>0</v>
      </c>
      <c r="F1373" s="10" t="n">
        <v>0.3078704898889176</v>
      </c>
      <c r="G1373" s="11">
        <f>E1373*Summary!$B$6</f>
        <v/>
      </c>
      <c r="H1373" s="11">
        <f>F1373*Summary!$B$7</f>
        <v/>
      </c>
      <c r="I1373" s="11">
        <f>MAX(0,N1373-M1373)</f>
        <v/>
      </c>
      <c r="J1373" s="11">
        <f>MAX(0,M1373-N1373)</f>
        <v/>
      </c>
      <c r="K1373" s="11">
        <f>O1373</f>
        <v/>
      </c>
      <c r="L1373" s="11">
        <f>L1372+IF(K1373&gt;0,K1373*Summary!$B$9,K1373/Summary!$B$9)</f>
        <v/>
      </c>
      <c r="M1373" s="11">
        <f>G1373+H1373</f>
        <v/>
      </c>
      <c r="N1373" s="11">
        <f>Summary!$C$16*Summary!$B$8</f>
        <v/>
      </c>
      <c r="O1373" s="11">
        <f>M1373-N1373</f>
        <v/>
      </c>
    </row>
    <row r="1374">
      <c r="A1374" s="9" t="n">
        <v>45349.16666666666</v>
      </c>
      <c r="B1374" t="n">
        <v>2</v>
      </c>
      <c r="C1374" t="n">
        <v>27</v>
      </c>
      <c r="D1374" t="n">
        <v>4</v>
      </c>
      <c r="E1374" s="10" t="n">
        <v>0</v>
      </c>
      <c r="F1374" s="10" t="n">
        <v>0.3085029380407051</v>
      </c>
      <c r="G1374" s="11">
        <f>E1374*Summary!$B$6</f>
        <v/>
      </c>
      <c r="H1374" s="11">
        <f>F1374*Summary!$B$7</f>
        <v/>
      </c>
      <c r="I1374" s="11">
        <f>MAX(0,N1374-M1374)</f>
        <v/>
      </c>
      <c r="J1374" s="11">
        <f>MAX(0,M1374-N1374)</f>
        <v/>
      </c>
      <c r="K1374" s="11">
        <f>O1374</f>
        <v/>
      </c>
      <c r="L1374" s="11">
        <f>L1373+IF(K1374&gt;0,K1374*Summary!$B$9,K1374/Summary!$B$9)</f>
        <v/>
      </c>
      <c r="M1374" s="11">
        <f>G1374+H1374</f>
        <v/>
      </c>
      <c r="N1374" s="11">
        <f>Summary!$C$16*Summary!$B$8</f>
        <v/>
      </c>
      <c r="O1374" s="11">
        <f>M1374-N1374</f>
        <v/>
      </c>
    </row>
    <row r="1375">
      <c r="A1375" s="9" t="n">
        <v>45349.20833333334</v>
      </c>
      <c r="B1375" t="n">
        <v>2</v>
      </c>
      <c r="C1375" t="n">
        <v>27</v>
      </c>
      <c r="D1375" t="n">
        <v>5</v>
      </c>
      <c r="E1375" s="10" t="n">
        <v>0</v>
      </c>
      <c r="F1375" s="10" t="n">
        <v>0.3049717691932246</v>
      </c>
      <c r="G1375" s="11">
        <f>E1375*Summary!$B$6</f>
        <v/>
      </c>
      <c r="H1375" s="11">
        <f>F1375*Summary!$B$7</f>
        <v/>
      </c>
      <c r="I1375" s="11">
        <f>MAX(0,N1375-M1375)</f>
        <v/>
      </c>
      <c r="J1375" s="11">
        <f>MAX(0,M1375-N1375)</f>
        <v/>
      </c>
      <c r="K1375" s="11">
        <f>O1375</f>
        <v/>
      </c>
      <c r="L1375" s="11">
        <f>L1374+IF(K1375&gt;0,K1375*Summary!$B$9,K1375/Summary!$B$9)</f>
        <v/>
      </c>
      <c r="M1375" s="11">
        <f>G1375+H1375</f>
        <v/>
      </c>
      <c r="N1375" s="11">
        <f>Summary!$C$16*Summary!$B$8</f>
        <v/>
      </c>
      <c r="O1375" s="11">
        <f>M1375-N1375</f>
        <v/>
      </c>
    </row>
    <row r="1376">
      <c r="A1376" s="9" t="n">
        <v>45349.25</v>
      </c>
      <c r="B1376" t="n">
        <v>2</v>
      </c>
      <c r="C1376" t="n">
        <v>27</v>
      </c>
      <c r="D1376" t="n">
        <v>6</v>
      </c>
      <c r="E1376" s="10" t="n">
        <v>0</v>
      </c>
      <c r="F1376" s="10" t="n">
        <v>0.3058940894145815</v>
      </c>
      <c r="G1376" s="11">
        <f>E1376*Summary!$B$6</f>
        <v/>
      </c>
      <c r="H1376" s="11">
        <f>F1376*Summary!$B$7</f>
        <v/>
      </c>
      <c r="I1376" s="11">
        <f>MAX(0,N1376-M1376)</f>
        <v/>
      </c>
      <c r="J1376" s="11">
        <f>MAX(0,M1376-N1376)</f>
        <v/>
      </c>
      <c r="K1376" s="11">
        <f>O1376</f>
        <v/>
      </c>
      <c r="L1376" s="11">
        <f>L1375+IF(K1376&gt;0,K1376*Summary!$B$9,K1376/Summary!$B$9)</f>
        <v/>
      </c>
      <c r="M1376" s="11">
        <f>G1376+H1376</f>
        <v/>
      </c>
      <c r="N1376" s="11">
        <f>Summary!$C$16*Summary!$B$8</f>
        <v/>
      </c>
      <c r="O1376" s="11">
        <f>M1376-N1376</f>
        <v/>
      </c>
    </row>
    <row r="1377">
      <c r="A1377" s="9" t="n">
        <v>45349.29166666666</v>
      </c>
      <c r="B1377" t="n">
        <v>2</v>
      </c>
      <c r="C1377" t="n">
        <v>27</v>
      </c>
      <c r="D1377" t="n">
        <v>7</v>
      </c>
      <c r="E1377" s="10" t="n">
        <v>0.012647</v>
      </c>
      <c r="F1377" s="10" t="n">
        <v>0.3033642968074312</v>
      </c>
      <c r="G1377" s="11">
        <f>E1377*Summary!$B$6</f>
        <v/>
      </c>
      <c r="H1377" s="11">
        <f>F1377*Summary!$B$7</f>
        <v/>
      </c>
      <c r="I1377" s="11">
        <f>MAX(0,N1377-M1377)</f>
        <v/>
      </c>
      <c r="J1377" s="11">
        <f>MAX(0,M1377-N1377)</f>
        <v/>
      </c>
      <c r="K1377" s="11">
        <f>O1377</f>
        <v/>
      </c>
      <c r="L1377" s="11">
        <f>L1376+IF(K1377&gt;0,K1377*Summary!$B$9,K1377/Summary!$B$9)</f>
        <v/>
      </c>
      <c r="M1377" s="11">
        <f>G1377+H1377</f>
        <v/>
      </c>
      <c r="N1377" s="11">
        <f>Summary!$C$16*Summary!$B$8</f>
        <v/>
      </c>
      <c r="O1377" s="11">
        <f>M1377-N1377</f>
        <v/>
      </c>
    </row>
    <row r="1378">
      <c r="A1378" s="9" t="n">
        <v>45349.33333333334</v>
      </c>
      <c r="B1378" t="n">
        <v>2</v>
      </c>
      <c r="C1378" t="n">
        <v>27</v>
      </c>
      <c r="D1378" t="n">
        <v>8</v>
      </c>
      <c r="E1378" s="10" t="n">
        <v>0.15348</v>
      </c>
      <c r="F1378" s="10" t="n">
        <v>0.292349158163798</v>
      </c>
      <c r="G1378" s="11">
        <f>E1378*Summary!$B$6</f>
        <v/>
      </c>
      <c r="H1378" s="11">
        <f>F1378*Summary!$B$7</f>
        <v/>
      </c>
      <c r="I1378" s="11">
        <f>MAX(0,N1378-M1378)</f>
        <v/>
      </c>
      <c r="J1378" s="11">
        <f>MAX(0,M1378-N1378)</f>
        <v/>
      </c>
      <c r="K1378" s="11">
        <f>O1378</f>
        <v/>
      </c>
      <c r="L1378" s="11">
        <f>L1377+IF(K1378&gt;0,K1378*Summary!$B$9,K1378/Summary!$B$9)</f>
        <v/>
      </c>
      <c r="M1378" s="11">
        <f>G1378+H1378</f>
        <v/>
      </c>
      <c r="N1378" s="11">
        <f>Summary!$C$16*Summary!$B$8</f>
        <v/>
      </c>
      <c r="O1378" s="11">
        <f>M1378-N1378</f>
        <v/>
      </c>
    </row>
    <row r="1379">
      <c r="A1379" s="9" t="n">
        <v>45349.375</v>
      </c>
      <c r="B1379" t="n">
        <v>2</v>
      </c>
      <c r="C1379" t="n">
        <v>27</v>
      </c>
      <c r="D1379" t="n">
        <v>9</v>
      </c>
      <c r="E1379" s="10" t="n">
        <v>0.327412</v>
      </c>
      <c r="F1379" s="10" t="n">
        <v>0.2781717787612269</v>
      </c>
      <c r="G1379" s="11">
        <f>E1379*Summary!$B$6</f>
        <v/>
      </c>
      <c r="H1379" s="11">
        <f>F1379*Summary!$B$7</f>
        <v/>
      </c>
      <c r="I1379" s="11">
        <f>MAX(0,N1379-M1379)</f>
        <v/>
      </c>
      <c r="J1379" s="11">
        <f>MAX(0,M1379-N1379)</f>
        <v/>
      </c>
      <c r="K1379" s="11">
        <f>O1379</f>
        <v/>
      </c>
      <c r="L1379" s="11">
        <f>L1378+IF(K1379&gt;0,K1379*Summary!$B$9,K1379/Summary!$B$9)</f>
        <v/>
      </c>
      <c r="M1379" s="11">
        <f>G1379+H1379</f>
        <v/>
      </c>
      <c r="N1379" s="11">
        <f>Summary!$C$16*Summary!$B$8</f>
        <v/>
      </c>
      <c r="O1379" s="11">
        <f>M1379-N1379</f>
        <v/>
      </c>
    </row>
    <row r="1380">
      <c r="A1380" s="9" t="n">
        <v>45349.41666666666</v>
      </c>
      <c r="B1380" t="n">
        <v>2</v>
      </c>
      <c r="C1380" t="n">
        <v>27</v>
      </c>
      <c r="D1380" t="n">
        <v>10</v>
      </c>
      <c r="E1380" s="10" t="n">
        <v>0.449628</v>
      </c>
      <c r="F1380" s="10" t="n">
        <v>0.2660498558519654</v>
      </c>
      <c r="G1380" s="11">
        <f>E1380*Summary!$B$6</f>
        <v/>
      </c>
      <c r="H1380" s="11">
        <f>F1380*Summary!$B$7</f>
        <v/>
      </c>
      <c r="I1380" s="11">
        <f>MAX(0,N1380-M1380)</f>
        <v/>
      </c>
      <c r="J1380" s="11">
        <f>MAX(0,M1380-N1380)</f>
        <v/>
      </c>
      <c r="K1380" s="11">
        <f>O1380</f>
        <v/>
      </c>
      <c r="L1380" s="11">
        <f>L1379+IF(K1380&gt;0,K1380*Summary!$B$9,K1380/Summary!$B$9)</f>
        <v/>
      </c>
      <c r="M1380" s="11">
        <f>G1380+H1380</f>
        <v/>
      </c>
      <c r="N1380" s="11">
        <f>Summary!$C$16*Summary!$B$8</f>
        <v/>
      </c>
      <c r="O1380" s="11">
        <f>M1380-N1380</f>
        <v/>
      </c>
    </row>
    <row r="1381">
      <c r="A1381" s="9" t="n">
        <v>45349.45833333334</v>
      </c>
      <c r="B1381" t="n">
        <v>2</v>
      </c>
      <c r="C1381" t="n">
        <v>27</v>
      </c>
      <c r="D1381" t="n">
        <v>11</v>
      </c>
      <c r="E1381" s="10" t="n">
        <v>0.521692</v>
      </c>
      <c r="F1381" s="10" t="n">
        <v>0.2526893886454533</v>
      </c>
      <c r="G1381" s="11">
        <f>E1381*Summary!$B$6</f>
        <v/>
      </c>
      <c r="H1381" s="11">
        <f>F1381*Summary!$B$7</f>
        <v/>
      </c>
      <c r="I1381" s="11">
        <f>MAX(0,N1381-M1381)</f>
        <v/>
      </c>
      <c r="J1381" s="11">
        <f>MAX(0,M1381-N1381)</f>
        <v/>
      </c>
      <c r="K1381" s="11">
        <f>O1381</f>
        <v/>
      </c>
      <c r="L1381" s="11">
        <f>L1380+IF(K1381&gt;0,K1381*Summary!$B$9,K1381/Summary!$B$9)</f>
        <v/>
      </c>
      <c r="M1381" s="11">
        <f>G1381+H1381</f>
        <v/>
      </c>
      <c r="N1381" s="11">
        <f>Summary!$C$16*Summary!$B$8</f>
        <v/>
      </c>
      <c r="O1381" s="11">
        <f>M1381-N1381</f>
        <v/>
      </c>
    </row>
    <row r="1382">
      <c r="A1382" s="9" t="n">
        <v>45349.5</v>
      </c>
      <c r="B1382" t="n">
        <v>2</v>
      </c>
      <c r="C1382" t="n">
        <v>27</v>
      </c>
      <c r="D1382" t="n">
        <v>12</v>
      </c>
      <c r="E1382" s="10" t="n">
        <v>0.541913</v>
      </c>
      <c r="F1382" s="10" t="n">
        <v>0.2473399313615835</v>
      </c>
      <c r="G1382" s="11">
        <f>E1382*Summary!$B$6</f>
        <v/>
      </c>
      <c r="H1382" s="11">
        <f>F1382*Summary!$B$7</f>
        <v/>
      </c>
      <c r="I1382" s="11">
        <f>MAX(0,N1382-M1382)</f>
        <v/>
      </c>
      <c r="J1382" s="11">
        <f>MAX(0,M1382-N1382)</f>
        <v/>
      </c>
      <c r="K1382" s="11">
        <f>O1382</f>
        <v/>
      </c>
      <c r="L1382" s="11">
        <f>L1381+IF(K1382&gt;0,K1382*Summary!$B$9,K1382/Summary!$B$9)</f>
        <v/>
      </c>
      <c r="M1382" s="11">
        <f>G1382+H1382</f>
        <v/>
      </c>
      <c r="N1382" s="11">
        <f>Summary!$C$16*Summary!$B$8</f>
        <v/>
      </c>
      <c r="O1382" s="11">
        <f>M1382-N1382</f>
        <v/>
      </c>
    </row>
    <row r="1383">
      <c r="A1383" s="9" t="n">
        <v>45349.54166666666</v>
      </c>
      <c r="B1383" t="n">
        <v>2</v>
      </c>
      <c r="C1383" t="n">
        <v>27</v>
      </c>
      <c r="D1383" t="n">
        <v>13</v>
      </c>
      <c r="E1383" s="10" t="n">
        <v>0.508804</v>
      </c>
      <c r="F1383" s="10" t="n">
        <v>0.2429918503180441</v>
      </c>
      <c r="G1383" s="11">
        <f>E1383*Summary!$B$6</f>
        <v/>
      </c>
      <c r="H1383" s="11">
        <f>F1383*Summary!$B$7</f>
        <v/>
      </c>
      <c r="I1383" s="11">
        <f>MAX(0,N1383-M1383)</f>
        <v/>
      </c>
      <c r="J1383" s="11">
        <f>MAX(0,M1383-N1383)</f>
        <v/>
      </c>
      <c r="K1383" s="11">
        <f>O1383</f>
        <v/>
      </c>
      <c r="L1383" s="11">
        <f>L1382+IF(K1383&gt;0,K1383*Summary!$B$9,K1383/Summary!$B$9)</f>
        <v/>
      </c>
      <c r="M1383" s="11">
        <f>G1383+H1383</f>
        <v/>
      </c>
      <c r="N1383" s="11">
        <f>Summary!$C$16*Summary!$B$8</f>
        <v/>
      </c>
      <c r="O1383" s="11">
        <f>M1383-N1383</f>
        <v/>
      </c>
    </row>
    <row r="1384">
      <c r="A1384" s="9" t="n">
        <v>45349.58333333334</v>
      </c>
      <c r="B1384" t="n">
        <v>2</v>
      </c>
      <c r="C1384" t="n">
        <v>27</v>
      </c>
      <c r="D1384" t="n">
        <v>14</v>
      </c>
      <c r="E1384" s="10" t="n">
        <v>0.418096</v>
      </c>
      <c r="F1384" s="10" t="n">
        <v>0.2579597899103496</v>
      </c>
      <c r="G1384" s="11">
        <f>E1384*Summary!$B$6</f>
        <v/>
      </c>
      <c r="H1384" s="11">
        <f>F1384*Summary!$B$7</f>
        <v/>
      </c>
      <c r="I1384" s="11">
        <f>MAX(0,N1384-M1384)</f>
        <v/>
      </c>
      <c r="J1384" s="11">
        <f>MAX(0,M1384-N1384)</f>
        <v/>
      </c>
      <c r="K1384" s="11">
        <f>O1384</f>
        <v/>
      </c>
      <c r="L1384" s="11">
        <f>L1383+IF(K1384&gt;0,K1384*Summary!$B$9,K1384/Summary!$B$9)</f>
        <v/>
      </c>
      <c r="M1384" s="11">
        <f>G1384+H1384</f>
        <v/>
      </c>
      <c r="N1384" s="11">
        <f>Summary!$C$16*Summary!$B$8</f>
        <v/>
      </c>
      <c r="O1384" s="11">
        <f>M1384-N1384</f>
        <v/>
      </c>
    </row>
    <row r="1385">
      <c r="A1385" s="9" t="n">
        <v>45349.625</v>
      </c>
      <c r="B1385" t="n">
        <v>2</v>
      </c>
      <c r="C1385" t="n">
        <v>27</v>
      </c>
      <c r="D1385" t="n">
        <v>15</v>
      </c>
      <c r="E1385" s="10" t="n">
        <v>0.215255</v>
      </c>
      <c r="F1385" s="10" t="n">
        <v>0.2451000108240026</v>
      </c>
      <c r="G1385" s="11">
        <f>E1385*Summary!$B$6</f>
        <v/>
      </c>
      <c r="H1385" s="11">
        <f>F1385*Summary!$B$7</f>
        <v/>
      </c>
      <c r="I1385" s="11">
        <f>MAX(0,N1385-M1385)</f>
        <v/>
      </c>
      <c r="J1385" s="11">
        <f>MAX(0,M1385-N1385)</f>
        <v/>
      </c>
      <c r="K1385" s="11">
        <f>O1385</f>
        <v/>
      </c>
      <c r="L1385" s="11">
        <f>L1384+IF(K1385&gt;0,K1385*Summary!$B$9,K1385/Summary!$B$9)</f>
        <v/>
      </c>
      <c r="M1385" s="11">
        <f>G1385+H1385</f>
        <v/>
      </c>
      <c r="N1385" s="11">
        <f>Summary!$C$16*Summary!$B$8</f>
        <v/>
      </c>
      <c r="O1385" s="11">
        <f>M1385-N1385</f>
        <v/>
      </c>
    </row>
    <row r="1386">
      <c r="A1386" s="9" t="n">
        <v>45349.66666666666</v>
      </c>
      <c r="B1386" t="n">
        <v>2</v>
      </c>
      <c r="C1386" t="n">
        <v>27</v>
      </c>
      <c r="D1386" t="n">
        <v>16</v>
      </c>
      <c r="E1386" s="10" t="n">
        <v>0.037883</v>
      </c>
      <c r="F1386" s="10" t="n">
        <v>0.2593564462455471</v>
      </c>
      <c r="G1386" s="11">
        <f>E1386*Summary!$B$6</f>
        <v/>
      </c>
      <c r="H1386" s="11">
        <f>F1386*Summary!$B$7</f>
        <v/>
      </c>
      <c r="I1386" s="11">
        <f>MAX(0,N1386-M1386)</f>
        <v/>
      </c>
      <c r="J1386" s="11">
        <f>MAX(0,M1386-N1386)</f>
        <v/>
      </c>
      <c r="K1386" s="11">
        <f>O1386</f>
        <v/>
      </c>
      <c r="L1386" s="11">
        <f>L1385+IF(K1386&gt;0,K1386*Summary!$B$9,K1386/Summary!$B$9)</f>
        <v/>
      </c>
      <c r="M1386" s="11">
        <f>G1386+H1386</f>
        <v/>
      </c>
      <c r="N1386" s="11">
        <f>Summary!$C$16*Summary!$B$8</f>
        <v/>
      </c>
      <c r="O1386" s="11">
        <f>M1386-N1386</f>
        <v/>
      </c>
    </row>
    <row r="1387">
      <c r="A1387" s="9" t="n">
        <v>45349.70833333334</v>
      </c>
      <c r="B1387" t="n">
        <v>2</v>
      </c>
      <c r="C1387" t="n">
        <v>27</v>
      </c>
      <c r="D1387" t="n">
        <v>17</v>
      </c>
      <c r="E1387" s="10" t="n">
        <v>0</v>
      </c>
      <c r="F1387" s="10" t="n">
        <v>0.2867361808166834</v>
      </c>
      <c r="G1387" s="11">
        <f>E1387*Summary!$B$6</f>
        <v/>
      </c>
      <c r="H1387" s="11">
        <f>F1387*Summary!$B$7</f>
        <v/>
      </c>
      <c r="I1387" s="11">
        <f>MAX(0,N1387-M1387)</f>
        <v/>
      </c>
      <c r="J1387" s="11">
        <f>MAX(0,M1387-N1387)</f>
        <v/>
      </c>
      <c r="K1387" s="11">
        <f>O1387</f>
        <v/>
      </c>
      <c r="L1387" s="11">
        <f>L1386+IF(K1387&gt;0,K1387*Summary!$B$9,K1387/Summary!$B$9)</f>
        <v/>
      </c>
      <c r="M1387" s="11">
        <f>G1387+H1387</f>
        <v/>
      </c>
      <c r="N1387" s="11">
        <f>Summary!$C$16*Summary!$B$8</f>
        <v/>
      </c>
      <c r="O1387" s="11">
        <f>M1387-N1387</f>
        <v/>
      </c>
    </row>
    <row r="1388">
      <c r="A1388" s="9" t="n">
        <v>45349.75</v>
      </c>
      <c r="B1388" t="n">
        <v>2</v>
      </c>
      <c r="C1388" t="n">
        <v>27</v>
      </c>
      <c r="D1388" t="n">
        <v>18</v>
      </c>
      <c r="E1388" s="10" t="n">
        <v>0</v>
      </c>
      <c r="F1388" s="10" t="n">
        <v>0.3032325367758088</v>
      </c>
      <c r="G1388" s="11">
        <f>E1388*Summary!$B$6</f>
        <v/>
      </c>
      <c r="H1388" s="11">
        <f>F1388*Summary!$B$7</f>
        <v/>
      </c>
      <c r="I1388" s="11">
        <f>MAX(0,N1388-M1388)</f>
        <v/>
      </c>
      <c r="J1388" s="11">
        <f>MAX(0,M1388-N1388)</f>
        <v/>
      </c>
      <c r="K1388" s="11">
        <f>O1388</f>
        <v/>
      </c>
      <c r="L1388" s="11">
        <f>L1387+IF(K1388&gt;0,K1388*Summary!$B$9,K1388/Summary!$B$9)</f>
        <v/>
      </c>
      <c r="M1388" s="11">
        <f>G1388+H1388</f>
        <v/>
      </c>
      <c r="N1388" s="11">
        <f>Summary!$C$16*Summary!$B$8</f>
        <v/>
      </c>
      <c r="O1388" s="11">
        <f>M1388-N1388</f>
        <v/>
      </c>
    </row>
    <row r="1389">
      <c r="A1389" s="9" t="n">
        <v>45349.79166666666</v>
      </c>
      <c r="B1389" t="n">
        <v>2</v>
      </c>
      <c r="C1389" t="n">
        <v>27</v>
      </c>
      <c r="D1389" t="n">
        <v>19</v>
      </c>
      <c r="E1389" s="10" t="n">
        <v>0</v>
      </c>
      <c r="F1389" s="10" t="n">
        <v>0.3135888752613301</v>
      </c>
      <c r="G1389" s="11">
        <f>E1389*Summary!$B$6</f>
        <v/>
      </c>
      <c r="H1389" s="11">
        <f>F1389*Summary!$B$7</f>
        <v/>
      </c>
      <c r="I1389" s="11">
        <f>MAX(0,N1389-M1389)</f>
        <v/>
      </c>
      <c r="J1389" s="11">
        <f>MAX(0,M1389-N1389)</f>
        <v/>
      </c>
      <c r="K1389" s="11">
        <f>O1389</f>
        <v/>
      </c>
      <c r="L1389" s="11">
        <f>L1388+IF(K1389&gt;0,K1389*Summary!$B$9,K1389/Summary!$B$9)</f>
        <v/>
      </c>
      <c r="M1389" s="11">
        <f>G1389+H1389</f>
        <v/>
      </c>
      <c r="N1389" s="11">
        <f>Summary!$C$16*Summary!$B$8</f>
        <v/>
      </c>
      <c r="O1389" s="11">
        <f>M1389-N1389</f>
        <v/>
      </c>
    </row>
    <row r="1390">
      <c r="A1390" s="9" t="n">
        <v>45349.83333333334</v>
      </c>
      <c r="B1390" t="n">
        <v>2</v>
      </c>
      <c r="C1390" t="n">
        <v>27</v>
      </c>
      <c r="D1390" t="n">
        <v>20</v>
      </c>
      <c r="E1390" s="10" t="n">
        <v>0</v>
      </c>
      <c r="F1390" s="10" t="n">
        <v>0.3163031319127517</v>
      </c>
      <c r="G1390" s="11">
        <f>E1390*Summary!$B$6</f>
        <v/>
      </c>
      <c r="H1390" s="11">
        <f>F1390*Summary!$B$7</f>
        <v/>
      </c>
      <c r="I1390" s="11">
        <f>MAX(0,N1390-M1390)</f>
        <v/>
      </c>
      <c r="J1390" s="11">
        <f>MAX(0,M1390-N1390)</f>
        <v/>
      </c>
      <c r="K1390" s="11">
        <f>O1390</f>
        <v/>
      </c>
      <c r="L1390" s="11">
        <f>L1389+IF(K1390&gt;0,K1390*Summary!$B$9,K1390/Summary!$B$9)</f>
        <v/>
      </c>
      <c r="M1390" s="11">
        <f>G1390+H1390</f>
        <v/>
      </c>
      <c r="N1390" s="11">
        <f>Summary!$C$16*Summary!$B$8</f>
        <v/>
      </c>
      <c r="O1390" s="11">
        <f>M1390-N1390</f>
        <v/>
      </c>
    </row>
    <row r="1391">
      <c r="A1391" s="9" t="n">
        <v>45349.875</v>
      </c>
      <c r="B1391" t="n">
        <v>2</v>
      </c>
      <c r="C1391" t="n">
        <v>27</v>
      </c>
      <c r="D1391" t="n">
        <v>21</v>
      </c>
      <c r="E1391" s="10" t="n">
        <v>0</v>
      </c>
      <c r="F1391" s="10" t="n">
        <v>0.3174099161783799</v>
      </c>
      <c r="G1391" s="11">
        <f>E1391*Summary!$B$6</f>
        <v/>
      </c>
      <c r="H1391" s="11">
        <f>F1391*Summary!$B$7</f>
        <v/>
      </c>
      <c r="I1391" s="11">
        <f>MAX(0,N1391-M1391)</f>
        <v/>
      </c>
      <c r="J1391" s="11">
        <f>MAX(0,M1391-N1391)</f>
        <v/>
      </c>
      <c r="K1391" s="11">
        <f>O1391</f>
        <v/>
      </c>
      <c r="L1391" s="11">
        <f>L1390+IF(K1391&gt;0,K1391*Summary!$B$9,K1391/Summary!$B$9)</f>
        <v/>
      </c>
      <c r="M1391" s="11">
        <f>G1391+H1391</f>
        <v/>
      </c>
      <c r="N1391" s="11">
        <f>Summary!$C$16*Summary!$B$8</f>
        <v/>
      </c>
      <c r="O1391" s="11">
        <f>M1391-N1391</f>
        <v/>
      </c>
    </row>
    <row r="1392">
      <c r="A1392" s="9" t="n">
        <v>45349.91666666666</v>
      </c>
      <c r="B1392" t="n">
        <v>2</v>
      </c>
      <c r="C1392" t="n">
        <v>27</v>
      </c>
      <c r="D1392" t="n">
        <v>22</v>
      </c>
      <c r="E1392" s="10" t="n">
        <v>0</v>
      </c>
      <c r="F1392" s="10" t="n">
        <v>0.3166193559886454</v>
      </c>
      <c r="G1392" s="11">
        <f>E1392*Summary!$B$6</f>
        <v/>
      </c>
      <c r="H1392" s="11">
        <f>F1392*Summary!$B$7</f>
        <v/>
      </c>
      <c r="I1392" s="11">
        <f>MAX(0,N1392-M1392)</f>
        <v/>
      </c>
      <c r="J1392" s="11">
        <f>MAX(0,M1392-N1392)</f>
        <v/>
      </c>
      <c r="K1392" s="11">
        <f>O1392</f>
        <v/>
      </c>
      <c r="L1392" s="11">
        <f>L1391+IF(K1392&gt;0,K1392*Summary!$B$9,K1392/Summary!$B$9)</f>
        <v/>
      </c>
      <c r="M1392" s="11">
        <f>G1392+H1392</f>
        <v/>
      </c>
      <c r="N1392" s="11">
        <f>Summary!$C$16*Summary!$B$8</f>
        <v/>
      </c>
      <c r="O1392" s="11">
        <f>M1392-N1392</f>
        <v/>
      </c>
    </row>
    <row r="1393">
      <c r="A1393" s="9" t="n">
        <v>45349.95833333334</v>
      </c>
      <c r="B1393" t="n">
        <v>2</v>
      </c>
      <c r="C1393" t="n">
        <v>27</v>
      </c>
      <c r="D1393" t="n">
        <v>23</v>
      </c>
      <c r="E1393" s="10" t="n">
        <v>0</v>
      </c>
      <c r="F1393" s="10" t="n">
        <v>0.3152226996534479</v>
      </c>
      <c r="G1393" s="11">
        <f>E1393*Summary!$B$6</f>
        <v/>
      </c>
      <c r="H1393" s="11">
        <f>F1393*Summary!$B$7</f>
        <v/>
      </c>
      <c r="I1393" s="11">
        <f>MAX(0,N1393-M1393)</f>
        <v/>
      </c>
      <c r="J1393" s="11">
        <f>MAX(0,M1393-N1393)</f>
        <v/>
      </c>
      <c r="K1393" s="11">
        <f>O1393</f>
        <v/>
      </c>
      <c r="L1393" s="11">
        <f>L1392+IF(K1393&gt;0,K1393*Summary!$B$9,K1393/Summary!$B$9)</f>
        <v/>
      </c>
      <c r="M1393" s="11">
        <f>G1393+H1393</f>
        <v/>
      </c>
      <c r="N1393" s="11">
        <f>Summary!$C$16*Summary!$B$8</f>
        <v/>
      </c>
      <c r="O1393" s="11">
        <f>M1393-N1393</f>
        <v/>
      </c>
    </row>
    <row r="1394">
      <c r="A1394" s="9" t="n">
        <v>45350</v>
      </c>
      <c r="B1394" t="n">
        <v>2</v>
      </c>
      <c r="C1394" t="n">
        <v>28</v>
      </c>
      <c r="D1394" t="n">
        <v>0</v>
      </c>
      <c r="E1394" s="10" t="n">
        <v>0</v>
      </c>
      <c r="F1394" s="10" t="n">
        <v>0.3471613313187195</v>
      </c>
      <c r="G1394" s="11">
        <f>E1394*Summary!$B$6</f>
        <v/>
      </c>
      <c r="H1394" s="11">
        <f>F1394*Summary!$B$7</f>
        <v/>
      </c>
      <c r="I1394" s="11">
        <f>MAX(0,N1394-M1394)</f>
        <v/>
      </c>
      <c r="J1394" s="11">
        <f>MAX(0,M1394-N1394)</f>
        <v/>
      </c>
      <c r="K1394" s="11">
        <f>O1394</f>
        <v/>
      </c>
      <c r="L1394" s="11">
        <f>L1393+IF(K1394&gt;0,K1394*Summary!$B$9,K1394/Summary!$B$9)</f>
        <v/>
      </c>
      <c r="M1394" s="11">
        <f>G1394+H1394</f>
        <v/>
      </c>
      <c r="N1394" s="11">
        <f>Summary!$C$16*Summary!$B$8</f>
        <v/>
      </c>
      <c r="O1394" s="11">
        <f>M1394-N1394</f>
        <v/>
      </c>
    </row>
    <row r="1395">
      <c r="A1395" s="9" t="n">
        <v>45350.04166666666</v>
      </c>
      <c r="B1395" t="n">
        <v>2</v>
      </c>
      <c r="C1395" t="n">
        <v>28</v>
      </c>
      <c r="D1395" t="n">
        <v>1</v>
      </c>
      <c r="E1395" s="10" t="n">
        <v>0</v>
      </c>
      <c r="F1395" s="10" t="n">
        <v>0.3152226996534479</v>
      </c>
      <c r="G1395" s="11">
        <f>E1395*Summary!$B$6</f>
        <v/>
      </c>
      <c r="H1395" s="11">
        <f>F1395*Summary!$B$7</f>
        <v/>
      </c>
      <c r="I1395" s="11">
        <f>MAX(0,N1395-M1395)</f>
        <v/>
      </c>
      <c r="J1395" s="11">
        <f>MAX(0,M1395-N1395)</f>
        <v/>
      </c>
      <c r="K1395" s="11">
        <f>O1395</f>
        <v/>
      </c>
      <c r="L1395" s="11">
        <f>L1394+IF(K1395&gt;0,K1395*Summary!$B$9,K1395/Summary!$B$9)</f>
        <v/>
      </c>
      <c r="M1395" s="11">
        <f>G1395+H1395</f>
        <v/>
      </c>
      <c r="N1395" s="11">
        <f>Summary!$C$16*Summary!$B$8</f>
        <v/>
      </c>
      <c r="O1395" s="11">
        <f>M1395-N1395</f>
        <v/>
      </c>
    </row>
    <row r="1396">
      <c r="A1396" s="9" t="n">
        <v>45350.08333333334</v>
      </c>
      <c r="B1396" t="n">
        <v>2</v>
      </c>
      <c r="C1396" t="n">
        <v>28</v>
      </c>
      <c r="D1396" t="n">
        <v>2</v>
      </c>
      <c r="E1396" s="10" t="n">
        <v>0</v>
      </c>
      <c r="F1396" s="10" t="n">
        <v>0.3154071636977193</v>
      </c>
      <c r="G1396" s="11">
        <f>E1396*Summary!$B$6</f>
        <v/>
      </c>
      <c r="H1396" s="11">
        <f>F1396*Summary!$B$7</f>
        <v/>
      </c>
      <c r="I1396" s="11">
        <f>MAX(0,N1396-M1396)</f>
        <v/>
      </c>
      <c r="J1396" s="11">
        <f>MAX(0,M1396-N1396)</f>
        <v/>
      </c>
      <c r="K1396" s="11">
        <f>O1396</f>
        <v/>
      </c>
      <c r="L1396" s="11">
        <f>L1395+IF(K1396&gt;0,K1396*Summary!$B$9,K1396/Summary!$B$9)</f>
        <v/>
      </c>
      <c r="M1396" s="11">
        <f>G1396+H1396</f>
        <v/>
      </c>
      <c r="N1396" s="11">
        <f>Summary!$C$16*Summary!$B$8</f>
        <v/>
      </c>
      <c r="O1396" s="11">
        <f>M1396-N1396</f>
        <v/>
      </c>
    </row>
    <row r="1397">
      <c r="A1397" s="9" t="n">
        <v>45350.125</v>
      </c>
      <c r="B1397" t="n">
        <v>2</v>
      </c>
      <c r="C1397" t="n">
        <v>28</v>
      </c>
      <c r="D1397" t="n">
        <v>3</v>
      </c>
      <c r="E1397" s="10" t="n">
        <v>0</v>
      </c>
      <c r="F1397" s="10" t="n">
        <v>0.3179369563048695</v>
      </c>
      <c r="G1397" s="11">
        <f>E1397*Summary!$B$6</f>
        <v/>
      </c>
      <c r="H1397" s="11">
        <f>F1397*Summary!$B$7</f>
        <v/>
      </c>
      <c r="I1397" s="11">
        <f>MAX(0,N1397-M1397)</f>
        <v/>
      </c>
      <c r="J1397" s="11">
        <f>MAX(0,M1397-N1397)</f>
        <v/>
      </c>
      <c r="K1397" s="11">
        <f>O1397</f>
        <v/>
      </c>
      <c r="L1397" s="11">
        <f>L1396+IF(K1397&gt;0,K1397*Summary!$B$9,K1397/Summary!$B$9)</f>
        <v/>
      </c>
      <c r="M1397" s="11">
        <f>G1397+H1397</f>
        <v/>
      </c>
      <c r="N1397" s="11">
        <f>Summary!$C$16*Summary!$B$8</f>
        <v/>
      </c>
      <c r="O1397" s="11">
        <f>M1397-N1397</f>
        <v/>
      </c>
    </row>
    <row r="1398">
      <c r="A1398" s="9" t="n">
        <v>45350.16666666666</v>
      </c>
      <c r="B1398" t="n">
        <v>2</v>
      </c>
      <c r="C1398" t="n">
        <v>28</v>
      </c>
      <c r="D1398" t="n">
        <v>4</v>
      </c>
      <c r="E1398" s="10" t="n">
        <v>0</v>
      </c>
      <c r="F1398" s="10" t="n">
        <v>0.3203349888803973</v>
      </c>
      <c r="G1398" s="11">
        <f>E1398*Summary!$B$6</f>
        <v/>
      </c>
      <c r="H1398" s="11">
        <f>F1398*Summary!$B$7</f>
        <v/>
      </c>
      <c r="I1398" s="11">
        <f>MAX(0,N1398-M1398)</f>
        <v/>
      </c>
      <c r="J1398" s="11">
        <f>MAX(0,M1398-N1398)</f>
        <v/>
      </c>
      <c r="K1398" s="11">
        <f>O1398</f>
        <v/>
      </c>
      <c r="L1398" s="11">
        <f>L1397+IF(K1398&gt;0,K1398*Summary!$B$9,K1398/Summary!$B$9)</f>
        <v/>
      </c>
      <c r="M1398" s="11">
        <f>G1398+H1398</f>
        <v/>
      </c>
      <c r="N1398" s="11">
        <f>Summary!$C$16*Summary!$B$8</f>
        <v/>
      </c>
      <c r="O1398" s="11">
        <f>M1398-N1398</f>
        <v/>
      </c>
    </row>
    <row r="1399">
      <c r="A1399" s="9" t="n">
        <v>45350.20833333334</v>
      </c>
      <c r="B1399" t="n">
        <v>2</v>
      </c>
      <c r="C1399" t="n">
        <v>28</v>
      </c>
      <c r="D1399" t="n">
        <v>5</v>
      </c>
      <c r="E1399" s="10" t="n">
        <v>0</v>
      </c>
      <c r="F1399" s="10" t="n">
        <v>0.3103475784834188</v>
      </c>
      <c r="G1399" s="11">
        <f>E1399*Summary!$B$6</f>
        <v/>
      </c>
      <c r="H1399" s="11">
        <f>F1399*Summary!$B$7</f>
        <v/>
      </c>
      <c r="I1399" s="11">
        <f>MAX(0,N1399-M1399)</f>
        <v/>
      </c>
      <c r="J1399" s="11">
        <f>MAX(0,M1399-N1399)</f>
        <v/>
      </c>
      <c r="K1399" s="11">
        <f>O1399</f>
        <v/>
      </c>
      <c r="L1399" s="11">
        <f>L1398+IF(K1399&gt;0,K1399*Summary!$B$9,K1399/Summary!$B$9)</f>
        <v/>
      </c>
      <c r="M1399" s="11">
        <f>G1399+H1399</f>
        <v/>
      </c>
      <c r="N1399" s="11">
        <f>Summary!$C$16*Summary!$B$8</f>
        <v/>
      </c>
      <c r="O1399" s="11">
        <f>M1399-N1399</f>
        <v/>
      </c>
    </row>
    <row r="1400">
      <c r="A1400" s="9" t="n">
        <v>45350.25</v>
      </c>
      <c r="B1400" t="n">
        <v>2</v>
      </c>
      <c r="C1400" t="n">
        <v>28</v>
      </c>
      <c r="D1400" t="n">
        <v>6</v>
      </c>
      <c r="E1400" s="10" t="n">
        <v>0</v>
      </c>
      <c r="F1400" s="10" t="n">
        <v>0.3234708776330106</v>
      </c>
      <c r="G1400" s="11">
        <f>E1400*Summary!$B$6</f>
        <v/>
      </c>
      <c r="H1400" s="11">
        <f>F1400*Summary!$B$7</f>
        <v/>
      </c>
      <c r="I1400" s="11">
        <f>MAX(0,N1400-M1400)</f>
        <v/>
      </c>
      <c r="J1400" s="11">
        <f>MAX(0,M1400-N1400)</f>
        <v/>
      </c>
      <c r="K1400" s="11">
        <f>O1400</f>
        <v/>
      </c>
      <c r="L1400" s="11">
        <f>L1399+IF(K1400&gt;0,K1400*Summary!$B$9,K1400/Summary!$B$9)</f>
        <v/>
      </c>
      <c r="M1400" s="11">
        <f>G1400+H1400</f>
        <v/>
      </c>
      <c r="N1400" s="11">
        <f>Summary!$C$16*Summary!$B$8</f>
        <v/>
      </c>
      <c r="O1400" s="11">
        <f>M1400-N1400</f>
        <v/>
      </c>
    </row>
    <row r="1401">
      <c r="A1401" s="9" t="n">
        <v>45350.29166666666</v>
      </c>
      <c r="B1401" t="n">
        <v>2</v>
      </c>
      <c r="C1401" t="n">
        <v>28</v>
      </c>
      <c r="D1401" t="n">
        <v>7</v>
      </c>
      <c r="E1401" s="10" t="n">
        <v>0</v>
      </c>
      <c r="F1401" s="10" t="n">
        <v>0.3249729419935061</v>
      </c>
      <c r="G1401" s="11">
        <f>E1401*Summary!$B$6</f>
        <v/>
      </c>
      <c r="H1401" s="11">
        <f>F1401*Summary!$B$7</f>
        <v/>
      </c>
      <c r="I1401" s="11">
        <f>MAX(0,N1401-M1401)</f>
        <v/>
      </c>
      <c r="J1401" s="11">
        <f>MAX(0,M1401-N1401)</f>
        <v/>
      </c>
      <c r="K1401" s="11">
        <f>O1401</f>
        <v/>
      </c>
      <c r="L1401" s="11">
        <f>L1400+IF(K1401&gt;0,K1401*Summary!$B$9,K1401/Summary!$B$9)</f>
        <v/>
      </c>
      <c r="M1401" s="11">
        <f>G1401+H1401</f>
        <v/>
      </c>
      <c r="N1401" s="11">
        <f>Summary!$C$16*Summary!$B$8</f>
        <v/>
      </c>
      <c r="O1401" s="11">
        <f>M1401-N1401</f>
        <v/>
      </c>
    </row>
    <row r="1402">
      <c r="A1402" s="9" t="n">
        <v>45350.33333333334</v>
      </c>
      <c r="B1402" t="n">
        <v>2</v>
      </c>
      <c r="C1402" t="n">
        <v>28</v>
      </c>
      <c r="D1402" t="n">
        <v>8</v>
      </c>
      <c r="E1402" s="10" t="n">
        <v>0.025611</v>
      </c>
      <c r="F1402" s="10" t="n">
        <v>0.3114807147553715</v>
      </c>
      <c r="G1402" s="11">
        <f>E1402*Summary!$B$6</f>
        <v/>
      </c>
      <c r="H1402" s="11">
        <f>F1402*Summary!$B$7</f>
        <v/>
      </c>
      <c r="I1402" s="11">
        <f>MAX(0,N1402-M1402)</f>
        <v/>
      </c>
      <c r="J1402" s="11">
        <f>MAX(0,M1402-N1402)</f>
        <v/>
      </c>
      <c r="K1402" s="11">
        <f>O1402</f>
        <v/>
      </c>
      <c r="L1402" s="11">
        <f>L1401+IF(K1402&gt;0,K1402*Summary!$B$9,K1402/Summary!$B$9)</f>
        <v/>
      </c>
      <c r="M1402" s="11">
        <f>G1402+H1402</f>
        <v/>
      </c>
      <c r="N1402" s="11">
        <f>Summary!$C$16*Summary!$B$8</f>
        <v/>
      </c>
      <c r="O1402" s="11">
        <f>M1402-N1402</f>
        <v/>
      </c>
    </row>
    <row r="1403">
      <c r="A1403" s="9" t="n">
        <v>45350.375</v>
      </c>
      <c r="B1403" t="n">
        <v>2</v>
      </c>
      <c r="C1403" t="n">
        <v>28</v>
      </c>
      <c r="D1403" t="n">
        <v>9</v>
      </c>
      <c r="E1403" s="10" t="n">
        <v>0.075609</v>
      </c>
      <c r="F1403" s="10" t="n">
        <v>0.2886335252720461</v>
      </c>
      <c r="G1403" s="11">
        <f>E1403*Summary!$B$6</f>
        <v/>
      </c>
      <c r="H1403" s="11">
        <f>F1403*Summary!$B$7</f>
        <v/>
      </c>
      <c r="I1403" s="11">
        <f>MAX(0,N1403-M1403)</f>
        <v/>
      </c>
      <c r="J1403" s="11">
        <f>MAX(0,M1403-N1403)</f>
        <v/>
      </c>
      <c r="K1403" s="11">
        <f>O1403</f>
        <v/>
      </c>
      <c r="L1403" s="11">
        <f>L1402+IF(K1403&gt;0,K1403*Summary!$B$9,K1403/Summary!$B$9)</f>
        <v/>
      </c>
      <c r="M1403" s="11">
        <f>G1403+H1403</f>
        <v/>
      </c>
      <c r="N1403" s="11">
        <f>Summary!$C$16*Summary!$B$8</f>
        <v/>
      </c>
      <c r="O1403" s="11">
        <f>M1403-N1403</f>
        <v/>
      </c>
    </row>
    <row r="1404">
      <c r="A1404" s="9" t="n">
        <v>45350.41666666666</v>
      </c>
      <c r="B1404" t="n">
        <v>2</v>
      </c>
      <c r="C1404" t="n">
        <v>28</v>
      </c>
      <c r="D1404" t="n">
        <v>10</v>
      </c>
      <c r="E1404" s="10" t="n">
        <v>0.056515</v>
      </c>
      <c r="F1404" s="10" t="n">
        <v>0.2772758105461945</v>
      </c>
      <c r="G1404" s="11">
        <f>E1404*Summary!$B$6</f>
        <v/>
      </c>
      <c r="H1404" s="11">
        <f>F1404*Summary!$B$7</f>
        <v/>
      </c>
      <c r="I1404" s="11">
        <f>MAX(0,N1404-M1404)</f>
        <v/>
      </c>
      <c r="J1404" s="11">
        <f>MAX(0,M1404-N1404)</f>
        <v/>
      </c>
      <c r="K1404" s="11">
        <f>O1404</f>
        <v/>
      </c>
      <c r="L1404" s="11">
        <f>L1403+IF(K1404&gt;0,K1404*Summary!$B$9,K1404/Summary!$B$9)</f>
        <v/>
      </c>
      <c r="M1404" s="11">
        <f>G1404+H1404</f>
        <v/>
      </c>
      <c r="N1404" s="11">
        <f>Summary!$C$16*Summary!$B$8</f>
        <v/>
      </c>
      <c r="O1404" s="11">
        <f>M1404-N1404</f>
        <v/>
      </c>
    </row>
    <row r="1405">
      <c r="A1405" s="9" t="n">
        <v>45350.45833333334</v>
      </c>
      <c r="B1405" t="n">
        <v>2</v>
      </c>
      <c r="C1405" t="n">
        <v>28</v>
      </c>
      <c r="D1405" t="n">
        <v>11</v>
      </c>
      <c r="E1405" s="10" t="n">
        <v>0.093033</v>
      </c>
      <c r="F1405" s="10" t="n">
        <v>0.2755102261224542</v>
      </c>
      <c r="G1405" s="11">
        <f>E1405*Summary!$B$6</f>
        <v/>
      </c>
      <c r="H1405" s="11">
        <f>F1405*Summary!$B$7</f>
        <v/>
      </c>
      <c r="I1405" s="11">
        <f>MAX(0,N1405-M1405)</f>
        <v/>
      </c>
      <c r="J1405" s="11">
        <f>MAX(0,M1405-N1405)</f>
        <v/>
      </c>
      <c r="K1405" s="11">
        <f>O1405</f>
        <v/>
      </c>
      <c r="L1405" s="11">
        <f>L1404+IF(K1405&gt;0,K1405*Summary!$B$9,K1405/Summary!$B$9)</f>
        <v/>
      </c>
      <c r="M1405" s="11">
        <f>G1405+H1405</f>
        <v/>
      </c>
      <c r="N1405" s="11">
        <f>Summary!$C$16*Summary!$B$8</f>
        <v/>
      </c>
      <c r="O1405" s="11">
        <f>M1405-N1405</f>
        <v/>
      </c>
    </row>
    <row r="1406">
      <c r="A1406" s="9" t="n">
        <v>45350.5</v>
      </c>
      <c r="B1406" t="n">
        <v>2</v>
      </c>
      <c r="C1406" t="n">
        <v>28</v>
      </c>
      <c r="D1406" t="n">
        <v>12</v>
      </c>
      <c r="E1406" s="10" t="n">
        <v>0.106115</v>
      </c>
      <c r="F1406" s="10" t="n">
        <v>0.2759845622362949</v>
      </c>
      <c r="G1406" s="11">
        <f>E1406*Summary!$B$6</f>
        <v/>
      </c>
      <c r="H1406" s="11">
        <f>F1406*Summary!$B$7</f>
        <v/>
      </c>
      <c r="I1406" s="11">
        <f>MAX(0,N1406-M1406)</f>
        <v/>
      </c>
      <c r="J1406" s="11">
        <f>MAX(0,M1406-N1406)</f>
        <v/>
      </c>
      <c r="K1406" s="11">
        <f>O1406</f>
        <v/>
      </c>
      <c r="L1406" s="11">
        <f>L1405+IF(K1406&gt;0,K1406*Summary!$B$9,K1406/Summary!$B$9)</f>
        <v/>
      </c>
      <c r="M1406" s="11">
        <f>G1406+H1406</f>
        <v/>
      </c>
      <c r="N1406" s="11">
        <f>Summary!$C$16*Summary!$B$8</f>
        <v/>
      </c>
      <c r="O1406" s="11">
        <f>M1406-N1406</f>
        <v/>
      </c>
    </row>
    <row r="1407">
      <c r="A1407" s="9" t="n">
        <v>45350.54166666666</v>
      </c>
      <c r="B1407" t="n">
        <v>2</v>
      </c>
      <c r="C1407" t="n">
        <v>28</v>
      </c>
      <c r="D1407" t="n">
        <v>13</v>
      </c>
      <c r="E1407" s="10" t="n">
        <v>0.098619</v>
      </c>
      <c r="F1407" s="10" t="n">
        <v>0.2739818097556343</v>
      </c>
      <c r="G1407" s="11">
        <f>E1407*Summary!$B$6</f>
        <v/>
      </c>
      <c r="H1407" s="11">
        <f>F1407*Summary!$B$7</f>
        <v/>
      </c>
      <c r="I1407" s="11">
        <f>MAX(0,N1407-M1407)</f>
        <v/>
      </c>
      <c r="J1407" s="11">
        <f>MAX(0,M1407-N1407)</f>
        <v/>
      </c>
      <c r="K1407" s="11">
        <f>O1407</f>
        <v/>
      </c>
      <c r="L1407" s="11">
        <f>L1406+IF(K1407&gt;0,K1407*Summary!$B$9,K1407/Summary!$B$9)</f>
        <v/>
      </c>
      <c r="M1407" s="11">
        <f>G1407+H1407</f>
        <v/>
      </c>
      <c r="N1407" s="11">
        <f>Summary!$C$16*Summary!$B$8</f>
        <v/>
      </c>
      <c r="O1407" s="11">
        <f>M1407-N1407</f>
        <v/>
      </c>
    </row>
    <row r="1408">
      <c r="A1408" s="9" t="n">
        <v>45350.58333333334</v>
      </c>
      <c r="B1408" t="n">
        <v>2</v>
      </c>
      <c r="C1408" t="n">
        <v>28</v>
      </c>
      <c r="D1408" t="n">
        <v>14</v>
      </c>
      <c r="E1408" s="10" t="n">
        <v>0.372238</v>
      </c>
      <c r="F1408" s="10" t="n">
        <v>0.2703188808765314</v>
      </c>
      <c r="G1408" s="11">
        <f>E1408*Summary!$B$6</f>
        <v/>
      </c>
      <c r="H1408" s="11">
        <f>F1408*Summary!$B$7</f>
        <v/>
      </c>
      <c r="I1408" s="11">
        <f>MAX(0,N1408-M1408)</f>
        <v/>
      </c>
      <c r="J1408" s="11">
        <f>MAX(0,M1408-N1408)</f>
        <v/>
      </c>
      <c r="K1408" s="11">
        <f>O1408</f>
        <v/>
      </c>
      <c r="L1408" s="11">
        <f>L1407+IF(K1408&gt;0,K1408*Summary!$B$9,K1408/Summary!$B$9)</f>
        <v/>
      </c>
      <c r="M1408" s="11">
        <f>G1408+H1408</f>
        <v/>
      </c>
      <c r="N1408" s="11">
        <f>Summary!$C$16*Summary!$B$8</f>
        <v/>
      </c>
      <c r="O1408" s="11">
        <f>M1408-N1408</f>
        <v/>
      </c>
    </row>
    <row r="1409">
      <c r="A1409" s="9" t="n">
        <v>45350.625</v>
      </c>
      <c r="B1409" t="n">
        <v>2</v>
      </c>
      <c r="C1409" t="n">
        <v>28</v>
      </c>
      <c r="D1409" t="n">
        <v>15</v>
      </c>
      <c r="E1409" s="10" t="n">
        <v>0.191241</v>
      </c>
      <c r="F1409" s="10" t="n">
        <v>0.2682370723768974</v>
      </c>
      <c r="G1409" s="11">
        <f>E1409*Summary!$B$6</f>
        <v/>
      </c>
      <c r="H1409" s="11">
        <f>F1409*Summary!$B$7</f>
        <v/>
      </c>
      <c r="I1409" s="11">
        <f>MAX(0,N1409-M1409)</f>
        <v/>
      </c>
      <c r="J1409" s="11">
        <f>MAX(0,M1409-N1409)</f>
        <v/>
      </c>
      <c r="K1409" s="11">
        <f>O1409</f>
        <v/>
      </c>
      <c r="L1409" s="11">
        <f>L1408+IF(K1409&gt;0,K1409*Summary!$B$9,K1409/Summary!$B$9)</f>
        <v/>
      </c>
      <c r="M1409" s="11">
        <f>G1409+H1409</f>
        <v/>
      </c>
      <c r="N1409" s="11">
        <f>Summary!$C$16*Summary!$B$8</f>
        <v/>
      </c>
      <c r="O1409" s="11">
        <f>M1409-N1409</f>
        <v/>
      </c>
    </row>
    <row r="1410">
      <c r="A1410" s="9" t="n">
        <v>45350.66666666666</v>
      </c>
      <c r="B1410" t="n">
        <v>2</v>
      </c>
      <c r="C1410" t="n">
        <v>28</v>
      </c>
      <c r="D1410" t="n">
        <v>16</v>
      </c>
      <c r="E1410" s="10" t="n">
        <v>0.081565</v>
      </c>
      <c r="F1410" s="10" t="n">
        <v>0.278066370735929</v>
      </c>
      <c r="G1410" s="11">
        <f>E1410*Summary!$B$6</f>
        <v/>
      </c>
      <c r="H1410" s="11">
        <f>F1410*Summary!$B$7</f>
        <v/>
      </c>
      <c r="I1410" s="11">
        <f>MAX(0,N1410-M1410)</f>
        <v/>
      </c>
      <c r="J1410" s="11">
        <f>MAX(0,M1410-N1410)</f>
        <v/>
      </c>
      <c r="K1410" s="11">
        <f>O1410</f>
        <v/>
      </c>
      <c r="L1410" s="11">
        <f>L1409+IF(K1410&gt;0,K1410*Summary!$B$9,K1410/Summary!$B$9)</f>
        <v/>
      </c>
      <c r="M1410" s="11">
        <f>G1410+H1410</f>
        <v/>
      </c>
      <c r="N1410" s="11">
        <f>Summary!$C$16*Summary!$B$8</f>
        <v/>
      </c>
      <c r="O1410" s="11">
        <f>M1410-N1410</f>
        <v/>
      </c>
    </row>
    <row r="1411">
      <c r="A1411" s="9" t="n">
        <v>45350.70833333334</v>
      </c>
      <c r="B1411" t="n">
        <v>2</v>
      </c>
      <c r="C1411" t="n">
        <v>28</v>
      </c>
      <c r="D1411" t="n">
        <v>17</v>
      </c>
      <c r="E1411" s="10" t="n">
        <v>0.001632</v>
      </c>
      <c r="F1411" s="10" t="n">
        <v>0.2931660703598569</v>
      </c>
      <c r="G1411" s="11">
        <f>E1411*Summary!$B$6</f>
        <v/>
      </c>
      <c r="H1411" s="11">
        <f>F1411*Summary!$B$7</f>
        <v/>
      </c>
      <c r="I1411" s="11">
        <f>MAX(0,N1411-M1411)</f>
        <v/>
      </c>
      <c r="J1411" s="11">
        <f>MAX(0,M1411-N1411)</f>
        <v/>
      </c>
      <c r="K1411" s="11">
        <f>O1411</f>
        <v/>
      </c>
      <c r="L1411" s="11">
        <f>L1410+IF(K1411&gt;0,K1411*Summary!$B$9,K1411/Summary!$B$9)</f>
        <v/>
      </c>
      <c r="M1411" s="11">
        <f>G1411+H1411</f>
        <v/>
      </c>
      <c r="N1411" s="11">
        <f>Summary!$C$16*Summary!$B$8</f>
        <v/>
      </c>
      <c r="O1411" s="11">
        <f>M1411-N1411</f>
        <v/>
      </c>
    </row>
    <row r="1412">
      <c r="A1412" s="9" t="n">
        <v>45350.75</v>
      </c>
      <c r="B1412" t="n">
        <v>2</v>
      </c>
      <c r="C1412" t="n">
        <v>28</v>
      </c>
      <c r="D1412" t="n">
        <v>18</v>
      </c>
      <c r="E1412" s="10" t="n">
        <v>0</v>
      </c>
      <c r="F1412" s="10" t="n">
        <v>0.3184112924187101</v>
      </c>
      <c r="G1412" s="11">
        <f>E1412*Summary!$B$6</f>
        <v/>
      </c>
      <c r="H1412" s="11">
        <f>F1412*Summary!$B$7</f>
        <v/>
      </c>
      <c r="I1412" s="11">
        <f>MAX(0,N1412-M1412)</f>
        <v/>
      </c>
      <c r="J1412" s="11">
        <f>MAX(0,M1412-N1412)</f>
        <v/>
      </c>
      <c r="K1412" s="11">
        <f>O1412</f>
        <v/>
      </c>
      <c r="L1412" s="11">
        <f>L1411+IF(K1412&gt;0,K1412*Summary!$B$9,K1412/Summary!$B$9)</f>
        <v/>
      </c>
      <c r="M1412" s="11">
        <f>G1412+H1412</f>
        <v/>
      </c>
      <c r="N1412" s="11">
        <f>Summary!$C$16*Summary!$B$8</f>
        <v/>
      </c>
      <c r="O1412" s="11">
        <f>M1412-N1412</f>
        <v/>
      </c>
    </row>
    <row r="1413">
      <c r="A1413" s="9" t="n">
        <v>45350.79166666666</v>
      </c>
      <c r="B1413" t="n">
        <v>2</v>
      </c>
      <c r="C1413" t="n">
        <v>28</v>
      </c>
      <c r="D1413" t="n">
        <v>19</v>
      </c>
      <c r="E1413" s="10" t="n">
        <v>0</v>
      </c>
      <c r="F1413" s="10" t="n">
        <v>0.3327204318529036</v>
      </c>
      <c r="G1413" s="11">
        <f>E1413*Summary!$B$6</f>
        <v/>
      </c>
      <c r="H1413" s="11">
        <f>F1413*Summary!$B$7</f>
        <v/>
      </c>
      <c r="I1413" s="11">
        <f>MAX(0,N1413-M1413)</f>
        <v/>
      </c>
      <c r="J1413" s="11">
        <f>MAX(0,M1413-N1413)</f>
        <v/>
      </c>
      <c r="K1413" s="11">
        <f>O1413</f>
        <v/>
      </c>
      <c r="L1413" s="11">
        <f>L1412+IF(K1413&gt;0,K1413*Summary!$B$9,K1413/Summary!$B$9)</f>
        <v/>
      </c>
      <c r="M1413" s="11">
        <f>G1413+H1413</f>
        <v/>
      </c>
      <c r="N1413" s="11">
        <f>Summary!$C$16*Summary!$B$8</f>
        <v/>
      </c>
      <c r="O1413" s="11">
        <f>M1413-N1413</f>
        <v/>
      </c>
    </row>
    <row r="1414">
      <c r="A1414" s="9" t="n">
        <v>45350.83333333334</v>
      </c>
      <c r="B1414" t="n">
        <v>2</v>
      </c>
      <c r="C1414" t="n">
        <v>28</v>
      </c>
      <c r="D1414" t="n">
        <v>20</v>
      </c>
      <c r="E1414" s="10" t="n">
        <v>0</v>
      </c>
      <c r="F1414" s="10" t="n">
        <v>0.3417855220285253</v>
      </c>
      <c r="G1414" s="11">
        <f>E1414*Summary!$B$6</f>
        <v/>
      </c>
      <c r="H1414" s="11">
        <f>F1414*Summary!$B$7</f>
        <v/>
      </c>
      <c r="I1414" s="11">
        <f>MAX(0,N1414-M1414)</f>
        <v/>
      </c>
      <c r="J1414" s="11">
        <f>MAX(0,M1414-N1414)</f>
        <v/>
      </c>
      <c r="K1414" s="11">
        <f>O1414</f>
        <v/>
      </c>
      <c r="L1414" s="11">
        <f>L1413+IF(K1414&gt;0,K1414*Summary!$B$9,K1414/Summary!$B$9)</f>
        <v/>
      </c>
      <c r="M1414" s="11">
        <f>G1414+H1414</f>
        <v/>
      </c>
      <c r="N1414" s="11">
        <f>Summary!$C$16*Summary!$B$8</f>
        <v/>
      </c>
      <c r="O1414" s="11">
        <f>M1414-N1414</f>
        <v/>
      </c>
    </row>
    <row r="1415">
      <c r="A1415" s="9" t="n">
        <v>45350.875</v>
      </c>
      <c r="B1415" t="n">
        <v>2</v>
      </c>
      <c r="C1415" t="n">
        <v>28</v>
      </c>
      <c r="D1415" t="n">
        <v>21</v>
      </c>
      <c r="E1415" s="10" t="n">
        <v>0</v>
      </c>
      <c r="F1415" s="10" t="n">
        <v>0.3495066598815984</v>
      </c>
      <c r="G1415" s="11">
        <f>E1415*Summary!$B$6</f>
        <v/>
      </c>
      <c r="H1415" s="11">
        <f>F1415*Summary!$B$7</f>
        <v/>
      </c>
      <c r="I1415" s="11">
        <f>MAX(0,N1415-M1415)</f>
        <v/>
      </c>
      <c r="J1415" s="11">
        <f>MAX(0,M1415-N1415)</f>
        <v/>
      </c>
      <c r="K1415" s="11">
        <f>O1415</f>
        <v/>
      </c>
      <c r="L1415" s="11">
        <f>L1414+IF(K1415&gt;0,K1415*Summary!$B$9,K1415/Summary!$B$9)</f>
        <v/>
      </c>
      <c r="M1415" s="11">
        <f>G1415+H1415</f>
        <v/>
      </c>
      <c r="N1415" s="11">
        <f>Summary!$C$16*Summary!$B$8</f>
        <v/>
      </c>
      <c r="O1415" s="11">
        <f>M1415-N1415</f>
        <v/>
      </c>
    </row>
    <row r="1416">
      <c r="A1416" s="9" t="n">
        <v>45350.91666666666</v>
      </c>
      <c r="B1416" t="n">
        <v>2</v>
      </c>
      <c r="C1416" t="n">
        <v>28</v>
      </c>
      <c r="D1416" t="n">
        <v>22</v>
      </c>
      <c r="E1416" s="10" t="n">
        <v>0</v>
      </c>
      <c r="F1416" s="10" t="n">
        <v>0.3527216046531851</v>
      </c>
      <c r="G1416" s="11">
        <f>E1416*Summary!$B$6</f>
        <v/>
      </c>
      <c r="H1416" s="11">
        <f>F1416*Summary!$B$7</f>
        <v/>
      </c>
      <c r="I1416" s="11">
        <f>MAX(0,N1416-M1416)</f>
        <v/>
      </c>
      <c r="J1416" s="11">
        <f>MAX(0,M1416-N1416)</f>
        <v/>
      </c>
      <c r="K1416" s="11">
        <f>O1416</f>
        <v/>
      </c>
      <c r="L1416" s="11">
        <f>L1415+IF(K1416&gt;0,K1416*Summary!$B$9,K1416/Summary!$B$9)</f>
        <v/>
      </c>
      <c r="M1416" s="11">
        <f>G1416+H1416</f>
        <v/>
      </c>
      <c r="N1416" s="11">
        <f>Summary!$C$16*Summary!$B$8</f>
        <v/>
      </c>
      <c r="O1416" s="11">
        <f>M1416-N1416</f>
        <v/>
      </c>
    </row>
    <row r="1417">
      <c r="A1417" s="9" t="n">
        <v>45350.95833333334</v>
      </c>
      <c r="B1417" t="n">
        <v>2</v>
      </c>
      <c r="C1417" t="n">
        <v>28</v>
      </c>
      <c r="D1417" t="n">
        <v>23</v>
      </c>
      <c r="E1417" s="10" t="n">
        <v>0</v>
      </c>
      <c r="F1417" s="10" t="n">
        <v>0.3444997786799469</v>
      </c>
      <c r="G1417" s="11">
        <f>E1417*Summary!$B$6</f>
        <v/>
      </c>
      <c r="H1417" s="11">
        <f>F1417*Summary!$B$7</f>
        <v/>
      </c>
      <c r="I1417" s="11">
        <f>MAX(0,N1417-M1417)</f>
        <v/>
      </c>
      <c r="J1417" s="11">
        <f>MAX(0,M1417-N1417)</f>
        <v/>
      </c>
      <c r="K1417" s="11">
        <f>O1417</f>
        <v/>
      </c>
      <c r="L1417" s="11">
        <f>L1416+IF(K1417&gt;0,K1417*Summary!$B$9,K1417/Summary!$B$9)</f>
        <v/>
      </c>
      <c r="M1417" s="11">
        <f>G1417+H1417</f>
        <v/>
      </c>
      <c r="N1417" s="11">
        <f>Summary!$C$16*Summary!$B$8</f>
        <v/>
      </c>
      <c r="O1417" s="11">
        <f>M1417-N1417</f>
        <v/>
      </c>
    </row>
    <row r="1418">
      <c r="A1418" s="9" t="n">
        <v>45351</v>
      </c>
      <c r="B1418" t="n">
        <v>2</v>
      </c>
      <c r="C1418" t="n">
        <v>29</v>
      </c>
      <c r="D1418" t="n">
        <v>0</v>
      </c>
      <c r="E1418" s="10" t="n">
        <v>0</v>
      </c>
      <c r="F1418" s="10" t="n">
        <v>0.4806605953585428</v>
      </c>
      <c r="G1418" s="11">
        <f>E1418*Summary!$B$6</f>
        <v/>
      </c>
      <c r="H1418" s="11">
        <f>F1418*Summary!$B$7</f>
        <v/>
      </c>
      <c r="I1418" s="11">
        <f>MAX(0,N1418-M1418)</f>
        <v/>
      </c>
      <c r="J1418" s="11">
        <f>MAX(0,M1418-N1418)</f>
        <v/>
      </c>
      <c r="K1418" s="11">
        <f>O1418</f>
        <v/>
      </c>
      <c r="L1418" s="11">
        <f>L1417+IF(K1418&gt;0,K1418*Summary!$B$9,K1418/Summary!$B$9)</f>
        <v/>
      </c>
      <c r="M1418" s="11">
        <f>G1418+H1418</f>
        <v/>
      </c>
      <c r="N1418" s="11">
        <f>Summary!$C$16*Summary!$B$8</f>
        <v/>
      </c>
      <c r="O1418" s="11">
        <f>M1418-N1418</f>
        <v/>
      </c>
    </row>
    <row r="1419">
      <c r="A1419" s="9" t="n">
        <v>45351.04166666666</v>
      </c>
      <c r="B1419" t="n">
        <v>2</v>
      </c>
      <c r="C1419" t="n">
        <v>29</v>
      </c>
      <c r="D1419" t="n">
        <v>1</v>
      </c>
      <c r="E1419" s="10" t="n">
        <v>0</v>
      </c>
      <c r="F1419" s="10" t="n">
        <v>0.2957485669796561</v>
      </c>
      <c r="G1419" s="11">
        <f>E1419*Summary!$B$6</f>
        <v/>
      </c>
      <c r="H1419" s="11">
        <f>F1419*Summary!$B$7</f>
        <v/>
      </c>
      <c r="I1419" s="11">
        <f>MAX(0,N1419-M1419)</f>
        <v/>
      </c>
      <c r="J1419" s="11">
        <f>MAX(0,M1419-N1419)</f>
        <v/>
      </c>
      <c r="K1419" s="11">
        <f>O1419</f>
        <v/>
      </c>
      <c r="L1419" s="11">
        <f>L1418+IF(K1419&gt;0,K1419*Summary!$B$9,K1419/Summary!$B$9)</f>
        <v/>
      </c>
      <c r="M1419" s="11">
        <f>G1419+H1419</f>
        <v/>
      </c>
      <c r="N1419" s="11">
        <f>Summary!$C$16*Summary!$B$8</f>
        <v/>
      </c>
      <c r="O1419" s="11">
        <f>M1419-N1419</f>
        <v/>
      </c>
    </row>
    <row r="1420">
      <c r="A1420" s="9" t="n">
        <v>45351.08333333334</v>
      </c>
      <c r="B1420" t="n">
        <v>2</v>
      </c>
      <c r="C1420" t="n">
        <v>29</v>
      </c>
      <c r="D1420" t="n">
        <v>2</v>
      </c>
      <c r="E1420" s="10" t="n">
        <v>0</v>
      </c>
      <c r="F1420" s="10" t="n">
        <v>0.2924809181954204</v>
      </c>
      <c r="G1420" s="11">
        <f>E1420*Summary!$B$6</f>
        <v/>
      </c>
      <c r="H1420" s="11">
        <f>F1420*Summary!$B$7</f>
        <v/>
      </c>
      <c r="I1420" s="11">
        <f>MAX(0,N1420-M1420)</f>
        <v/>
      </c>
      <c r="J1420" s="11">
        <f>MAX(0,M1420-N1420)</f>
        <v/>
      </c>
      <c r="K1420" s="11">
        <f>O1420</f>
        <v/>
      </c>
      <c r="L1420" s="11">
        <f>L1419+IF(K1420&gt;0,K1420*Summary!$B$9,K1420/Summary!$B$9)</f>
        <v/>
      </c>
      <c r="M1420" s="11">
        <f>G1420+H1420</f>
        <v/>
      </c>
      <c r="N1420" s="11">
        <f>Summary!$C$16*Summary!$B$8</f>
        <v/>
      </c>
      <c r="O1420" s="11">
        <f>M1420-N1420</f>
        <v/>
      </c>
    </row>
    <row r="1421">
      <c r="A1421" s="9" t="n">
        <v>45351.125</v>
      </c>
      <c r="B1421" t="n">
        <v>2</v>
      </c>
      <c r="C1421" t="n">
        <v>29</v>
      </c>
      <c r="D1421" t="n">
        <v>3</v>
      </c>
      <c r="E1421" s="10" t="n">
        <v>0</v>
      </c>
      <c r="F1421" s="10" t="n">
        <v>0.2890815093795622</v>
      </c>
      <c r="G1421" s="11">
        <f>E1421*Summary!$B$6</f>
        <v/>
      </c>
      <c r="H1421" s="11">
        <f>F1421*Summary!$B$7</f>
        <v/>
      </c>
      <c r="I1421" s="11">
        <f>MAX(0,N1421-M1421)</f>
        <v/>
      </c>
      <c r="J1421" s="11">
        <f>MAX(0,M1421-N1421)</f>
        <v/>
      </c>
      <c r="K1421" s="11">
        <f>O1421</f>
        <v/>
      </c>
      <c r="L1421" s="11">
        <f>L1420+IF(K1421&gt;0,K1421*Summary!$B$9,K1421/Summary!$B$9)</f>
        <v/>
      </c>
      <c r="M1421" s="11">
        <f>G1421+H1421</f>
        <v/>
      </c>
      <c r="N1421" s="11">
        <f>Summary!$C$16*Summary!$B$8</f>
        <v/>
      </c>
      <c r="O1421" s="11">
        <f>M1421-N1421</f>
        <v/>
      </c>
    </row>
    <row r="1422">
      <c r="A1422" s="9" t="n">
        <v>45351.16666666666</v>
      </c>
      <c r="B1422" t="n">
        <v>2</v>
      </c>
      <c r="C1422" t="n">
        <v>29</v>
      </c>
      <c r="D1422" t="n">
        <v>4</v>
      </c>
      <c r="E1422" s="10" t="n">
        <v>0</v>
      </c>
      <c r="F1422" s="10" t="n">
        <v>0.2885544692530727</v>
      </c>
      <c r="G1422" s="11">
        <f>E1422*Summary!$B$6</f>
        <v/>
      </c>
      <c r="H1422" s="11">
        <f>F1422*Summary!$B$7</f>
        <v/>
      </c>
      <c r="I1422" s="11">
        <f>MAX(0,N1422-M1422)</f>
        <v/>
      </c>
      <c r="J1422" s="11">
        <f>MAX(0,M1422-N1422)</f>
        <v/>
      </c>
      <c r="K1422" s="11">
        <f>O1422</f>
        <v/>
      </c>
      <c r="L1422" s="11">
        <f>L1421+IF(K1422&gt;0,K1422*Summary!$B$9,K1422/Summary!$B$9)</f>
        <v/>
      </c>
      <c r="M1422" s="11">
        <f>G1422+H1422</f>
        <v/>
      </c>
      <c r="N1422" s="11">
        <f>Summary!$C$16*Summary!$B$8</f>
        <v/>
      </c>
      <c r="O1422" s="11">
        <f>M1422-N1422</f>
        <v/>
      </c>
    </row>
    <row r="1423">
      <c r="A1423" s="9" t="n">
        <v>45351.20833333334</v>
      </c>
      <c r="B1423" t="n">
        <v>2</v>
      </c>
      <c r="C1423" t="n">
        <v>29</v>
      </c>
      <c r="D1423" t="n">
        <v>5</v>
      </c>
      <c r="E1423" s="10" t="n">
        <v>0</v>
      </c>
      <c r="F1423" s="10" t="n">
        <v>0.3027582006619682</v>
      </c>
      <c r="G1423" s="11">
        <f>E1423*Summary!$B$6</f>
        <v/>
      </c>
      <c r="H1423" s="11">
        <f>F1423*Summary!$B$7</f>
        <v/>
      </c>
      <c r="I1423" s="11">
        <f>MAX(0,N1423-M1423)</f>
        <v/>
      </c>
      <c r="J1423" s="11">
        <f>MAX(0,M1423-N1423)</f>
        <v/>
      </c>
      <c r="K1423" s="11">
        <f>O1423</f>
        <v/>
      </c>
      <c r="L1423" s="11">
        <f>L1422+IF(K1423&gt;0,K1423*Summary!$B$9,K1423/Summary!$B$9)</f>
        <v/>
      </c>
      <c r="M1423" s="11">
        <f>G1423+H1423</f>
        <v/>
      </c>
      <c r="N1423" s="11">
        <f>Summary!$C$16*Summary!$B$8</f>
        <v/>
      </c>
      <c r="O1423" s="11">
        <f>M1423-N1423</f>
        <v/>
      </c>
    </row>
    <row r="1424">
      <c r="A1424" s="9" t="n">
        <v>45351.25</v>
      </c>
      <c r="B1424" t="n">
        <v>2</v>
      </c>
      <c r="C1424" t="n">
        <v>29</v>
      </c>
      <c r="D1424" t="n">
        <v>6</v>
      </c>
      <c r="E1424" s="10" t="n">
        <v>0</v>
      </c>
      <c r="F1424" s="10" t="n">
        <v>0.3119550508692122</v>
      </c>
      <c r="G1424" s="11">
        <f>E1424*Summary!$B$6</f>
        <v/>
      </c>
      <c r="H1424" s="11">
        <f>F1424*Summary!$B$7</f>
        <v/>
      </c>
      <c r="I1424" s="11">
        <f>MAX(0,N1424-M1424)</f>
        <v/>
      </c>
      <c r="J1424" s="11">
        <f>MAX(0,M1424-N1424)</f>
        <v/>
      </c>
      <c r="K1424" s="11">
        <f>O1424</f>
        <v/>
      </c>
      <c r="L1424" s="11">
        <f>L1423+IF(K1424&gt;0,K1424*Summary!$B$9,K1424/Summary!$B$9)</f>
        <v/>
      </c>
      <c r="M1424" s="11">
        <f>G1424+H1424</f>
        <v/>
      </c>
      <c r="N1424" s="11">
        <f>Summary!$C$16*Summary!$B$8</f>
        <v/>
      </c>
      <c r="O1424" s="11">
        <f>M1424-N1424</f>
        <v/>
      </c>
    </row>
    <row r="1425">
      <c r="A1425" s="9" t="n">
        <v>45351.29166666666</v>
      </c>
      <c r="B1425" t="n">
        <v>2</v>
      </c>
      <c r="C1425" t="n">
        <v>29</v>
      </c>
      <c r="D1425" t="n">
        <v>7</v>
      </c>
      <c r="E1425" s="10" t="n">
        <v>0</v>
      </c>
      <c r="F1425" s="10" t="n">
        <v>0.4820572516937404</v>
      </c>
      <c r="G1425" s="11">
        <f>E1425*Summary!$B$6</f>
        <v/>
      </c>
      <c r="H1425" s="11">
        <f>F1425*Summary!$B$7</f>
        <v/>
      </c>
      <c r="I1425" s="11">
        <f>MAX(0,N1425-M1425)</f>
        <v/>
      </c>
      <c r="J1425" s="11">
        <f>MAX(0,M1425-N1425)</f>
        <v/>
      </c>
      <c r="K1425" s="11">
        <f>O1425</f>
        <v/>
      </c>
      <c r="L1425" s="11">
        <f>L1424+IF(K1425&gt;0,K1425*Summary!$B$9,K1425/Summary!$B$9)</f>
        <v/>
      </c>
      <c r="M1425" s="11">
        <f>G1425+H1425</f>
        <v/>
      </c>
      <c r="N1425" s="11">
        <f>Summary!$C$16*Summary!$B$8</f>
        <v/>
      </c>
      <c r="O1425" s="11">
        <f>M1425-N1425</f>
        <v/>
      </c>
    </row>
    <row r="1426">
      <c r="A1426" s="9" t="n">
        <v>45351.33333333334</v>
      </c>
      <c r="B1426" t="n">
        <v>2</v>
      </c>
      <c r="C1426" t="n">
        <v>29</v>
      </c>
      <c r="D1426" t="n">
        <v>8</v>
      </c>
      <c r="E1426" s="10" t="n">
        <v>0</v>
      </c>
      <c r="F1426" s="10" t="n">
        <v>0.495444070906577</v>
      </c>
      <c r="G1426" s="11">
        <f>E1426*Summary!$B$6</f>
        <v/>
      </c>
      <c r="H1426" s="11">
        <f>F1426*Summary!$B$7</f>
        <v/>
      </c>
      <c r="I1426" s="11">
        <f>MAX(0,N1426-M1426)</f>
        <v/>
      </c>
      <c r="J1426" s="11">
        <f>MAX(0,M1426-N1426)</f>
        <v/>
      </c>
      <c r="K1426" s="11">
        <f>O1426</f>
        <v/>
      </c>
      <c r="L1426" s="11">
        <f>L1425+IF(K1426&gt;0,K1426*Summary!$B$9,K1426/Summary!$B$9)</f>
        <v/>
      </c>
      <c r="M1426" s="11">
        <f>G1426+H1426</f>
        <v/>
      </c>
      <c r="N1426" s="11">
        <f>Summary!$C$16*Summary!$B$8</f>
        <v/>
      </c>
      <c r="O1426" s="11">
        <f>M1426-N1426</f>
        <v/>
      </c>
    </row>
    <row r="1427">
      <c r="A1427" s="9" t="n">
        <v>45351.375</v>
      </c>
      <c r="B1427" t="n">
        <v>2</v>
      </c>
      <c r="C1427" t="n">
        <v>29</v>
      </c>
      <c r="D1427" t="n">
        <v>9</v>
      </c>
      <c r="E1427" s="10" t="n">
        <v>0</v>
      </c>
      <c r="F1427" s="10" t="n">
        <v>0.3467133472112033</v>
      </c>
      <c r="G1427" s="11">
        <f>E1427*Summary!$B$6</f>
        <v/>
      </c>
      <c r="H1427" s="11">
        <f>F1427*Summary!$B$7</f>
        <v/>
      </c>
      <c r="I1427" s="11">
        <f>MAX(0,N1427-M1427)</f>
        <v/>
      </c>
      <c r="J1427" s="11">
        <f>MAX(0,M1427-N1427)</f>
        <v/>
      </c>
      <c r="K1427" s="11">
        <f>O1427</f>
        <v/>
      </c>
      <c r="L1427" s="11">
        <f>L1426+IF(K1427&gt;0,K1427*Summary!$B$9,K1427/Summary!$B$9)</f>
        <v/>
      </c>
      <c r="M1427" s="11">
        <f>G1427+H1427</f>
        <v/>
      </c>
      <c r="N1427" s="11">
        <f>Summary!$C$16*Summary!$B$8</f>
        <v/>
      </c>
      <c r="O1427" s="11">
        <f>M1427-N1427</f>
        <v/>
      </c>
    </row>
    <row r="1428">
      <c r="A1428" s="9" t="n">
        <v>45351.41666666666</v>
      </c>
      <c r="B1428" t="n">
        <v>2</v>
      </c>
      <c r="C1428" t="n">
        <v>29</v>
      </c>
      <c r="D1428" t="n">
        <v>10</v>
      </c>
      <c r="E1428" s="10" t="n">
        <v>0</v>
      </c>
      <c r="F1428" s="10" t="n">
        <v>0.5403215376771691</v>
      </c>
      <c r="G1428" s="11">
        <f>E1428*Summary!$B$6</f>
        <v/>
      </c>
      <c r="H1428" s="11">
        <f>F1428*Summary!$B$7</f>
        <v/>
      </c>
      <c r="I1428" s="11">
        <f>MAX(0,N1428-M1428)</f>
        <v/>
      </c>
      <c r="J1428" s="11">
        <f>MAX(0,M1428-N1428)</f>
        <v/>
      </c>
      <c r="K1428" s="11">
        <f>O1428</f>
        <v/>
      </c>
      <c r="L1428" s="11">
        <f>L1427+IF(K1428&gt;0,K1428*Summary!$B$9,K1428/Summary!$B$9)</f>
        <v/>
      </c>
      <c r="M1428" s="11">
        <f>G1428+H1428</f>
        <v/>
      </c>
      <c r="N1428" s="11">
        <f>Summary!$C$16*Summary!$B$8</f>
        <v/>
      </c>
      <c r="O1428" s="11">
        <f>M1428-N1428</f>
        <v/>
      </c>
    </row>
    <row r="1429">
      <c r="A1429" s="9" t="n">
        <v>45351.45833333334</v>
      </c>
      <c r="B1429" t="n">
        <v>2</v>
      </c>
      <c r="C1429" t="n">
        <v>29</v>
      </c>
      <c r="D1429" t="n">
        <v>11</v>
      </c>
      <c r="E1429" s="10" t="n">
        <v>0</v>
      </c>
      <c r="F1429" s="10" t="n">
        <v>0.3819196276607106</v>
      </c>
      <c r="G1429" s="11">
        <f>E1429*Summary!$B$6</f>
        <v/>
      </c>
      <c r="H1429" s="11">
        <f>F1429*Summary!$B$7</f>
        <v/>
      </c>
      <c r="I1429" s="11">
        <f>MAX(0,N1429-M1429)</f>
        <v/>
      </c>
      <c r="J1429" s="11">
        <f>MAX(0,M1429-N1429)</f>
        <v/>
      </c>
      <c r="K1429" s="11">
        <f>O1429</f>
        <v/>
      </c>
      <c r="L1429" s="11">
        <f>L1428+IF(K1429&gt;0,K1429*Summary!$B$9,K1429/Summary!$B$9)</f>
        <v/>
      </c>
      <c r="M1429" s="11">
        <f>G1429+H1429</f>
        <v/>
      </c>
      <c r="N1429" s="11">
        <f>Summary!$C$16*Summary!$B$8</f>
        <v/>
      </c>
      <c r="O1429" s="11">
        <f>M1429-N1429</f>
        <v/>
      </c>
    </row>
    <row r="1430">
      <c r="A1430" s="9" t="n">
        <v>45351.5</v>
      </c>
      <c r="B1430" t="n">
        <v>2</v>
      </c>
      <c r="C1430" t="n">
        <v>29</v>
      </c>
      <c r="D1430" t="n">
        <v>12</v>
      </c>
      <c r="E1430" s="10" t="n">
        <v>0</v>
      </c>
      <c r="F1430" s="10" t="n">
        <v>0.3969929752783141</v>
      </c>
      <c r="G1430" s="11">
        <f>E1430*Summary!$B$6</f>
        <v/>
      </c>
      <c r="H1430" s="11">
        <f>F1430*Summary!$B$7</f>
        <v/>
      </c>
      <c r="I1430" s="11">
        <f>MAX(0,N1430-M1430)</f>
        <v/>
      </c>
      <c r="J1430" s="11">
        <f>MAX(0,M1430-N1430)</f>
        <v/>
      </c>
      <c r="K1430" s="11">
        <f>O1430</f>
        <v/>
      </c>
      <c r="L1430" s="11">
        <f>L1429+IF(K1430&gt;0,K1430*Summary!$B$9,K1430/Summary!$B$9)</f>
        <v/>
      </c>
      <c r="M1430" s="11">
        <f>G1430+H1430</f>
        <v/>
      </c>
      <c r="N1430" s="11">
        <f>Summary!$C$16*Summary!$B$8</f>
        <v/>
      </c>
      <c r="O1430" s="11">
        <f>M1430-N1430</f>
        <v/>
      </c>
    </row>
    <row r="1431">
      <c r="A1431" s="9" t="n">
        <v>45351.54166666666</v>
      </c>
      <c r="B1431" t="n">
        <v>2</v>
      </c>
      <c r="C1431" t="n">
        <v>29</v>
      </c>
      <c r="D1431" t="n">
        <v>13</v>
      </c>
      <c r="E1431" s="10" t="n">
        <v>0</v>
      </c>
      <c r="F1431" s="10" t="n">
        <v>0.4150968036232329</v>
      </c>
      <c r="G1431" s="11">
        <f>E1431*Summary!$B$6</f>
        <v/>
      </c>
      <c r="H1431" s="11">
        <f>F1431*Summary!$B$7</f>
        <v/>
      </c>
      <c r="I1431" s="11">
        <f>MAX(0,N1431-M1431)</f>
        <v/>
      </c>
      <c r="J1431" s="11">
        <f>MAX(0,M1431-N1431)</f>
        <v/>
      </c>
      <c r="K1431" s="11">
        <f>O1431</f>
        <v/>
      </c>
      <c r="L1431" s="11">
        <f>L1430+IF(K1431&gt;0,K1431*Summary!$B$9,K1431/Summary!$B$9)</f>
        <v/>
      </c>
      <c r="M1431" s="11">
        <f>G1431+H1431</f>
        <v/>
      </c>
      <c r="N1431" s="11">
        <f>Summary!$C$16*Summary!$B$8</f>
        <v/>
      </c>
      <c r="O1431" s="11">
        <f>M1431-N1431</f>
        <v/>
      </c>
    </row>
    <row r="1432">
      <c r="A1432" s="9" t="n">
        <v>45351.58333333334</v>
      </c>
      <c r="B1432" t="n">
        <v>2</v>
      </c>
      <c r="C1432" t="n">
        <v>29</v>
      </c>
      <c r="D1432" t="n">
        <v>14</v>
      </c>
      <c r="E1432" s="10" t="n">
        <v>0</v>
      </c>
      <c r="F1432" s="10" t="n">
        <v>0.4241091897862055</v>
      </c>
      <c r="G1432" s="11">
        <f>E1432*Summary!$B$6</f>
        <v/>
      </c>
      <c r="H1432" s="11">
        <f>F1432*Summary!$B$7</f>
        <v/>
      </c>
      <c r="I1432" s="11">
        <f>MAX(0,N1432-M1432)</f>
        <v/>
      </c>
      <c r="J1432" s="11">
        <f>MAX(0,M1432-N1432)</f>
        <v/>
      </c>
      <c r="K1432" s="11">
        <f>O1432</f>
        <v/>
      </c>
      <c r="L1432" s="11">
        <f>L1431+IF(K1432&gt;0,K1432*Summary!$B$9,K1432/Summary!$B$9)</f>
        <v/>
      </c>
      <c r="M1432" s="11">
        <f>G1432+H1432</f>
        <v/>
      </c>
      <c r="N1432" s="11">
        <f>Summary!$C$16*Summary!$B$8</f>
        <v/>
      </c>
      <c r="O1432" s="11">
        <f>M1432-N1432</f>
        <v/>
      </c>
    </row>
    <row r="1433">
      <c r="A1433" s="9" t="n">
        <v>45351.625</v>
      </c>
      <c r="B1433" t="n">
        <v>2</v>
      </c>
      <c r="C1433" t="n">
        <v>29</v>
      </c>
      <c r="D1433" t="n">
        <v>15</v>
      </c>
      <c r="E1433" s="10" t="n">
        <v>0</v>
      </c>
      <c r="F1433" s="10" t="n">
        <v>0.4378912890939093</v>
      </c>
      <c r="G1433" s="11">
        <f>E1433*Summary!$B$6</f>
        <v/>
      </c>
      <c r="H1433" s="11">
        <f>F1433*Summary!$B$7</f>
        <v/>
      </c>
      <c r="I1433" s="11">
        <f>MAX(0,N1433-M1433)</f>
        <v/>
      </c>
      <c r="J1433" s="11">
        <f>MAX(0,M1433-N1433)</f>
        <v/>
      </c>
      <c r="K1433" s="11">
        <f>O1433</f>
        <v/>
      </c>
      <c r="L1433" s="11">
        <f>L1432+IF(K1433&gt;0,K1433*Summary!$B$9,K1433/Summary!$B$9)</f>
        <v/>
      </c>
      <c r="M1433" s="11">
        <f>G1433+H1433</f>
        <v/>
      </c>
      <c r="N1433" s="11">
        <f>Summary!$C$16*Summary!$B$8</f>
        <v/>
      </c>
      <c r="O1433" s="11">
        <f>M1433-N1433</f>
        <v/>
      </c>
    </row>
    <row r="1434">
      <c r="A1434" s="9" t="n">
        <v>45351.66666666666</v>
      </c>
      <c r="B1434" t="n">
        <v>2</v>
      </c>
      <c r="C1434" t="n">
        <v>29</v>
      </c>
      <c r="D1434" t="n">
        <v>16</v>
      </c>
      <c r="E1434" s="10" t="n">
        <v>0</v>
      </c>
      <c r="F1434" s="10" t="n">
        <v>0.4532018047684331</v>
      </c>
      <c r="G1434" s="11">
        <f>E1434*Summary!$B$6</f>
        <v/>
      </c>
      <c r="H1434" s="11">
        <f>F1434*Summary!$B$7</f>
        <v/>
      </c>
      <c r="I1434" s="11">
        <f>MAX(0,N1434-M1434)</f>
        <v/>
      </c>
      <c r="J1434" s="11">
        <f>MAX(0,M1434-N1434)</f>
        <v/>
      </c>
      <c r="K1434" s="11">
        <f>O1434</f>
        <v/>
      </c>
      <c r="L1434" s="11">
        <f>L1433+IF(K1434&gt;0,K1434*Summary!$B$9,K1434/Summary!$B$9)</f>
        <v/>
      </c>
      <c r="M1434" s="11">
        <f>G1434+H1434</f>
        <v/>
      </c>
      <c r="N1434" s="11">
        <f>Summary!$C$16*Summary!$B$8</f>
        <v/>
      </c>
      <c r="O1434" s="11">
        <f>M1434-N1434</f>
        <v/>
      </c>
    </row>
    <row r="1435">
      <c r="A1435" s="9" t="n">
        <v>45351.70833333334</v>
      </c>
      <c r="B1435" t="n">
        <v>2</v>
      </c>
      <c r="C1435" t="n">
        <v>29</v>
      </c>
      <c r="D1435" t="n">
        <v>17</v>
      </c>
      <c r="E1435" s="10" t="n">
        <v>0</v>
      </c>
      <c r="F1435" s="10" t="n">
        <v>0.4721488973157353</v>
      </c>
      <c r="G1435" s="11">
        <f>E1435*Summary!$B$6</f>
        <v/>
      </c>
      <c r="H1435" s="11">
        <f>F1435*Summary!$B$7</f>
        <v/>
      </c>
      <c r="I1435" s="11">
        <f>MAX(0,N1435-M1435)</f>
        <v/>
      </c>
      <c r="J1435" s="11">
        <f>MAX(0,M1435-N1435)</f>
        <v/>
      </c>
      <c r="K1435" s="11">
        <f>O1435</f>
        <v/>
      </c>
      <c r="L1435" s="11">
        <f>L1434+IF(K1435&gt;0,K1435*Summary!$B$9,K1435/Summary!$B$9)</f>
        <v/>
      </c>
      <c r="M1435" s="11">
        <f>G1435+H1435</f>
        <v/>
      </c>
      <c r="N1435" s="11">
        <f>Summary!$C$16*Summary!$B$8</f>
        <v/>
      </c>
      <c r="O1435" s="11">
        <f>M1435-N1435</f>
        <v/>
      </c>
    </row>
    <row r="1436">
      <c r="A1436" s="9" t="n">
        <v>45351.75</v>
      </c>
      <c r="B1436" t="n">
        <v>2</v>
      </c>
      <c r="C1436" t="n">
        <v>29</v>
      </c>
      <c r="D1436" t="n">
        <v>18</v>
      </c>
      <c r="E1436" s="10" t="n">
        <v>0</v>
      </c>
      <c r="F1436" s="10" t="n">
        <v>0.484666100319864</v>
      </c>
      <c r="G1436" s="11">
        <f>E1436*Summary!$B$6</f>
        <v/>
      </c>
      <c r="H1436" s="11">
        <f>F1436*Summary!$B$7</f>
        <v/>
      </c>
      <c r="I1436" s="11">
        <f>MAX(0,N1436-M1436)</f>
        <v/>
      </c>
      <c r="J1436" s="11">
        <f>MAX(0,M1436-N1436)</f>
        <v/>
      </c>
      <c r="K1436" s="11">
        <f>O1436</f>
        <v/>
      </c>
      <c r="L1436" s="11">
        <f>L1435+IF(K1436&gt;0,K1436*Summary!$B$9,K1436/Summary!$B$9)</f>
        <v/>
      </c>
      <c r="M1436" s="11">
        <f>G1436+H1436</f>
        <v/>
      </c>
      <c r="N1436" s="11">
        <f>Summary!$C$16*Summary!$B$8</f>
        <v/>
      </c>
      <c r="O1436" s="11">
        <f>M1436-N1436</f>
        <v/>
      </c>
    </row>
    <row r="1437">
      <c r="A1437" s="9" t="n">
        <v>45351.79166666666</v>
      </c>
      <c r="B1437" t="n">
        <v>2</v>
      </c>
      <c r="C1437" t="n">
        <v>29</v>
      </c>
      <c r="D1437" t="n">
        <v>19</v>
      </c>
      <c r="E1437" s="10" t="n">
        <v>0</v>
      </c>
      <c r="F1437" s="10" t="n">
        <v>0.4901473176353562</v>
      </c>
      <c r="G1437" s="11">
        <f>E1437*Summary!$B$6</f>
        <v/>
      </c>
      <c r="H1437" s="11">
        <f>F1437*Summary!$B$7</f>
        <v/>
      </c>
      <c r="I1437" s="11">
        <f>MAX(0,N1437-M1437)</f>
        <v/>
      </c>
      <c r="J1437" s="11">
        <f>MAX(0,M1437-N1437)</f>
        <v/>
      </c>
      <c r="K1437" s="11">
        <f>O1437</f>
        <v/>
      </c>
      <c r="L1437" s="11">
        <f>L1436+IF(K1437&gt;0,K1437*Summary!$B$9,K1437/Summary!$B$9)</f>
        <v/>
      </c>
      <c r="M1437" s="11">
        <f>G1437+H1437</f>
        <v/>
      </c>
      <c r="N1437" s="11">
        <f>Summary!$C$16*Summary!$B$8</f>
        <v/>
      </c>
      <c r="O1437" s="11">
        <f>M1437-N1437</f>
        <v/>
      </c>
    </row>
    <row r="1438">
      <c r="A1438" s="9" t="n">
        <v>45351.83333333334</v>
      </c>
      <c r="B1438" t="n">
        <v>2</v>
      </c>
      <c r="C1438" t="n">
        <v>29</v>
      </c>
      <c r="D1438" t="n">
        <v>20</v>
      </c>
      <c r="E1438" s="10" t="n">
        <v>0</v>
      </c>
      <c r="F1438" s="10" t="n">
        <v>0.4874330609839347</v>
      </c>
      <c r="G1438" s="11">
        <f>E1438*Summary!$B$6</f>
        <v/>
      </c>
      <c r="H1438" s="11">
        <f>F1438*Summary!$B$7</f>
        <v/>
      </c>
      <c r="I1438" s="11">
        <f>MAX(0,N1438-M1438)</f>
        <v/>
      </c>
      <c r="J1438" s="11">
        <f>MAX(0,M1438-N1438)</f>
        <v/>
      </c>
      <c r="K1438" s="11">
        <f>O1438</f>
        <v/>
      </c>
      <c r="L1438" s="11">
        <f>L1437+IF(K1438&gt;0,K1438*Summary!$B$9,K1438/Summary!$B$9)</f>
        <v/>
      </c>
      <c r="M1438" s="11">
        <f>G1438+H1438</f>
        <v/>
      </c>
      <c r="N1438" s="11">
        <f>Summary!$C$16*Summary!$B$8</f>
        <v/>
      </c>
      <c r="O1438" s="11">
        <f>M1438-N1438</f>
        <v/>
      </c>
    </row>
    <row r="1439">
      <c r="A1439" s="9" t="n">
        <v>45351.875</v>
      </c>
      <c r="B1439" t="n">
        <v>2</v>
      </c>
      <c r="C1439" t="n">
        <v>29</v>
      </c>
      <c r="D1439" t="n">
        <v>21</v>
      </c>
      <c r="E1439" s="10" t="n">
        <v>0</v>
      </c>
      <c r="F1439" s="10" t="n">
        <v>0.4840336521680765</v>
      </c>
      <c r="G1439" s="11">
        <f>E1439*Summary!$B$6</f>
        <v/>
      </c>
      <c r="H1439" s="11">
        <f>F1439*Summary!$B$7</f>
        <v/>
      </c>
      <c r="I1439" s="11">
        <f>MAX(0,N1439-M1439)</f>
        <v/>
      </c>
      <c r="J1439" s="11">
        <f>MAX(0,M1439-N1439)</f>
        <v/>
      </c>
      <c r="K1439" s="11">
        <f>O1439</f>
        <v/>
      </c>
      <c r="L1439" s="11">
        <f>L1438+IF(K1439&gt;0,K1439*Summary!$B$9,K1439/Summary!$B$9)</f>
        <v/>
      </c>
      <c r="M1439" s="11">
        <f>G1439+H1439</f>
        <v/>
      </c>
      <c r="N1439" s="11">
        <f>Summary!$C$16*Summary!$B$8</f>
        <v/>
      </c>
      <c r="O1439" s="11">
        <f>M1439-N1439</f>
        <v/>
      </c>
    </row>
    <row r="1440">
      <c r="A1440" s="9" t="n">
        <v>45351.91666666666</v>
      </c>
      <c r="B1440" t="n">
        <v>2</v>
      </c>
      <c r="C1440" t="n">
        <v>29</v>
      </c>
      <c r="D1440" t="n">
        <v>22</v>
      </c>
      <c r="E1440" s="10" t="n">
        <v>0</v>
      </c>
      <c r="F1440" s="10" t="n">
        <v>0.4865370927689023</v>
      </c>
      <c r="G1440" s="11">
        <f>E1440*Summary!$B$6</f>
        <v/>
      </c>
      <c r="H1440" s="11">
        <f>F1440*Summary!$B$7</f>
        <v/>
      </c>
      <c r="I1440" s="11">
        <f>MAX(0,N1440-M1440)</f>
        <v/>
      </c>
      <c r="J1440" s="11">
        <f>MAX(0,M1440-N1440)</f>
        <v/>
      </c>
      <c r="K1440" s="11">
        <f>O1440</f>
        <v/>
      </c>
      <c r="L1440" s="11">
        <f>L1439+IF(K1440&gt;0,K1440*Summary!$B$9,K1440/Summary!$B$9)</f>
        <v/>
      </c>
      <c r="M1440" s="11">
        <f>G1440+H1440</f>
        <v/>
      </c>
      <c r="N1440" s="11">
        <f>Summary!$C$16*Summary!$B$8</f>
        <v/>
      </c>
      <c r="O1440" s="11">
        <f>M1440-N1440</f>
        <v/>
      </c>
    </row>
    <row r="1441">
      <c r="A1441" s="9" t="n">
        <v>45351.95833333334</v>
      </c>
      <c r="B1441" t="n">
        <v>2</v>
      </c>
      <c r="C1441" t="n">
        <v>29</v>
      </c>
      <c r="D1441" t="n">
        <v>23</v>
      </c>
      <c r="E1441" s="10" t="n">
        <v>0</v>
      </c>
      <c r="F1441" s="10" t="n">
        <v>0.4808977634154632</v>
      </c>
      <c r="G1441" s="11">
        <f>E1441*Summary!$B$6</f>
        <v/>
      </c>
      <c r="H1441" s="11">
        <f>F1441*Summary!$B$7</f>
        <v/>
      </c>
      <c r="I1441" s="11">
        <f>MAX(0,N1441-M1441)</f>
        <v/>
      </c>
      <c r="J1441" s="11">
        <f>MAX(0,M1441-N1441)</f>
        <v/>
      </c>
      <c r="K1441" s="11">
        <f>O1441</f>
        <v/>
      </c>
      <c r="L1441" s="11">
        <f>L1440+IF(K1441&gt;0,K1441*Summary!$B$9,K1441/Summary!$B$9)</f>
        <v/>
      </c>
      <c r="M1441" s="11">
        <f>G1441+H1441</f>
        <v/>
      </c>
      <c r="N1441" s="11">
        <f>Summary!$C$16*Summary!$B$8</f>
        <v/>
      </c>
      <c r="O1441" s="11">
        <f>M1441-N1441</f>
        <v/>
      </c>
    </row>
    <row r="1442">
      <c r="A1442" s="9" t="n">
        <v>45352</v>
      </c>
      <c r="B1442" t="n">
        <v>3</v>
      </c>
      <c r="C1442" t="n">
        <v>1</v>
      </c>
      <c r="D1442" t="n">
        <v>0</v>
      </c>
      <c r="E1442" s="10" t="n">
        <v>0</v>
      </c>
      <c r="F1442" s="10" t="n">
        <v>0.3902995656718957</v>
      </c>
      <c r="G1442" s="11">
        <f>E1442*Summary!$B$6</f>
        <v/>
      </c>
      <c r="H1442" s="11">
        <f>F1442*Summary!$B$7</f>
        <v/>
      </c>
      <c r="I1442" s="11">
        <f>MAX(0,N1442-M1442)</f>
        <v/>
      </c>
      <c r="J1442" s="11">
        <f>MAX(0,M1442-N1442)</f>
        <v/>
      </c>
      <c r="K1442" s="11">
        <f>O1442</f>
        <v/>
      </c>
      <c r="L1442" s="11">
        <f>L1441+IF(K1442&gt;0,K1442*Summary!$B$9,K1442/Summary!$B$9)</f>
        <v/>
      </c>
      <c r="M1442" s="11">
        <f>G1442+H1442</f>
        <v/>
      </c>
      <c r="N1442" s="11">
        <f>Summary!$C$16*Summary!$B$8</f>
        <v/>
      </c>
      <c r="O1442" s="11">
        <f>M1442-N1442</f>
        <v/>
      </c>
    </row>
    <row r="1443">
      <c r="A1443" s="9" t="n">
        <v>45352.04166666666</v>
      </c>
      <c r="B1443" t="n">
        <v>3</v>
      </c>
      <c r="C1443" t="n">
        <v>1</v>
      </c>
      <c r="D1443" t="n">
        <v>1</v>
      </c>
      <c r="E1443" s="10" t="n">
        <v>0</v>
      </c>
      <c r="F1443" s="10" t="n">
        <v>0.3973355513605323</v>
      </c>
      <c r="G1443" s="11">
        <f>E1443*Summary!$B$6</f>
        <v/>
      </c>
      <c r="H1443" s="11">
        <f>F1443*Summary!$B$7</f>
        <v/>
      </c>
      <c r="I1443" s="11">
        <f>MAX(0,N1443-M1443)</f>
        <v/>
      </c>
      <c r="J1443" s="11">
        <f>MAX(0,M1443-N1443)</f>
        <v/>
      </c>
      <c r="K1443" s="11">
        <f>O1443</f>
        <v/>
      </c>
      <c r="L1443" s="11">
        <f>L1442+IF(K1443&gt;0,K1443*Summary!$B$9,K1443/Summary!$B$9)</f>
        <v/>
      </c>
      <c r="M1443" s="11">
        <f>G1443+H1443</f>
        <v/>
      </c>
      <c r="N1443" s="11">
        <f>Summary!$C$16*Summary!$B$8</f>
        <v/>
      </c>
      <c r="O1443" s="11">
        <f>M1443-N1443</f>
        <v/>
      </c>
    </row>
    <row r="1444">
      <c r="A1444" s="9" t="n">
        <v>45352.08333333334</v>
      </c>
      <c r="B1444" t="n">
        <v>3</v>
      </c>
      <c r="C1444" t="n">
        <v>1</v>
      </c>
      <c r="D1444" t="n">
        <v>2</v>
      </c>
      <c r="E1444" s="10" t="n">
        <v>0</v>
      </c>
      <c r="F1444" s="10" t="n">
        <v>0.3974673113921547</v>
      </c>
      <c r="G1444" s="11">
        <f>E1444*Summary!$B$6</f>
        <v/>
      </c>
      <c r="H1444" s="11">
        <f>F1444*Summary!$B$7</f>
        <v/>
      </c>
      <c r="I1444" s="11">
        <f>MAX(0,N1444-M1444)</f>
        <v/>
      </c>
      <c r="J1444" s="11">
        <f>MAX(0,M1444-N1444)</f>
        <v/>
      </c>
      <c r="K1444" s="11">
        <f>O1444</f>
        <v/>
      </c>
      <c r="L1444" s="11">
        <f>L1443+IF(K1444&gt;0,K1444*Summary!$B$9,K1444/Summary!$B$9)</f>
        <v/>
      </c>
      <c r="M1444" s="11">
        <f>G1444+H1444</f>
        <v/>
      </c>
      <c r="N1444" s="11">
        <f>Summary!$C$16*Summary!$B$8</f>
        <v/>
      </c>
      <c r="O1444" s="11">
        <f>M1444-N1444</f>
        <v/>
      </c>
    </row>
    <row r="1445">
      <c r="A1445" s="9" t="n">
        <v>45352.125</v>
      </c>
      <c r="B1445" t="n">
        <v>3</v>
      </c>
      <c r="C1445" t="n">
        <v>1</v>
      </c>
      <c r="D1445" t="n">
        <v>3</v>
      </c>
      <c r="E1445" s="10" t="n">
        <v>0</v>
      </c>
      <c r="F1445" s="10" t="n">
        <v>0.402131616511588</v>
      </c>
      <c r="G1445" s="11">
        <f>E1445*Summary!$B$6</f>
        <v/>
      </c>
      <c r="H1445" s="11">
        <f>F1445*Summary!$B$7</f>
        <v/>
      </c>
      <c r="I1445" s="11">
        <f>MAX(0,N1445-M1445)</f>
        <v/>
      </c>
      <c r="J1445" s="11">
        <f>MAX(0,M1445-N1445)</f>
        <v/>
      </c>
      <c r="K1445" s="11">
        <f>O1445</f>
        <v/>
      </c>
      <c r="L1445" s="11">
        <f>L1444+IF(K1445&gt;0,K1445*Summary!$B$9,K1445/Summary!$B$9)</f>
        <v/>
      </c>
      <c r="M1445" s="11">
        <f>G1445+H1445</f>
        <v/>
      </c>
      <c r="N1445" s="11">
        <f>Summary!$C$16*Summary!$B$8</f>
        <v/>
      </c>
      <c r="O1445" s="11">
        <f>M1445-N1445</f>
        <v/>
      </c>
    </row>
    <row r="1446">
      <c r="A1446" s="9" t="n">
        <v>45352.16666666666</v>
      </c>
      <c r="B1446" t="n">
        <v>3</v>
      </c>
      <c r="C1446" t="n">
        <v>1</v>
      </c>
      <c r="D1446" t="n">
        <v>4</v>
      </c>
      <c r="E1446" s="10" t="n">
        <v>0</v>
      </c>
      <c r="F1446" s="10" t="n">
        <v>0.4059526574286378</v>
      </c>
      <c r="G1446" s="11">
        <f>E1446*Summary!$B$6</f>
        <v/>
      </c>
      <c r="H1446" s="11">
        <f>F1446*Summary!$B$7</f>
        <v/>
      </c>
      <c r="I1446" s="11">
        <f>MAX(0,N1446-M1446)</f>
        <v/>
      </c>
      <c r="J1446" s="11">
        <f>MAX(0,M1446-N1446)</f>
        <v/>
      </c>
      <c r="K1446" s="11">
        <f>O1446</f>
        <v/>
      </c>
      <c r="L1446" s="11">
        <f>L1445+IF(K1446&gt;0,K1446*Summary!$B$9,K1446/Summary!$B$9)</f>
        <v/>
      </c>
      <c r="M1446" s="11">
        <f>G1446+H1446</f>
        <v/>
      </c>
      <c r="N1446" s="11">
        <f>Summary!$C$16*Summary!$B$8</f>
        <v/>
      </c>
      <c r="O1446" s="11">
        <f>M1446-N1446</f>
        <v/>
      </c>
    </row>
    <row r="1447">
      <c r="A1447" s="9" t="n">
        <v>45352.20833333334</v>
      </c>
      <c r="B1447" t="n">
        <v>3</v>
      </c>
      <c r="C1447" t="n">
        <v>1</v>
      </c>
      <c r="D1447" t="n">
        <v>5</v>
      </c>
      <c r="E1447" s="10" t="n">
        <v>0</v>
      </c>
      <c r="F1447" s="10" t="n">
        <v>0.4077972978713514</v>
      </c>
      <c r="G1447" s="11">
        <f>E1447*Summary!$B$6</f>
        <v/>
      </c>
      <c r="H1447" s="11">
        <f>F1447*Summary!$B$7</f>
        <v/>
      </c>
      <c r="I1447" s="11">
        <f>MAX(0,N1447-M1447)</f>
        <v/>
      </c>
      <c r="J1447" s="11">
        <f>MAX(0,M1447-N1447)</f>
        <v/>
      </c>
      <c r="K1447" s="11">
        <f>O1447</f>
        <v/>
      </c>
      <c r="L1447" s="11">
        <f>L1446+IF(K1447&gt;0,K1447*Summary!$B$9,K1447/Summary!$B$9)</f>
        <v/>
      </c>
      <c r="M1447" s="11">
        <f>G1447+H1447</f>
        <v/>
      </c>
      <c r="N1447" s="11">
        <f>Summary!$C$16*Summary!$B$8</f>
        <v/>
      </c>
      <c r="O1447" s="11">
        <f>M1447-N1447</f>
        <v/>
      </c>
    </row>
    <row r="1448">
      <c r="A1448" s="9" t="n">
        <v>45352.25</v>
      </c>
      <c r="B1448" t="n">
        <v>3</v>
      </c>
      <c r="C1448" t="n">
        <v>1</v>
      </c>
      <c r="D1448" t="n">
        <v>6</v>
      </c>
      <c r="E1448" s="10" t="n">
        <v>0</v>
      </c>
      <c r="F1448" s="10" t="n">
        <v>0.4030539367329448</v>
      </c>
      <c r="G1448" s="11">
        <f>E1448*Summary!$B$6</f>
        <v/>
      </c>
      <c r="H1448" s="11">
        <f>F1448*Summary!$B$7</f>
        <v/>
      </c>
      <c r="I1448" s="11">
        <f>MAX(0,N1448-M1448)</f>
        <v/>
      </c>
      <c r="J1448" s="11">
        <f>MAX(0,M1448-N1448)</f>
        <v/>
      </c>
      <c r="K1448" s="11">
        <f>O1448</f>
        <v/>
      </c>
      <c r="L1448" s="11">
        <f>L1447+IF(K1448&gt;0,K1448*Summary!$B$9,K1448/Summary!$B$9)</f>
        <v/>
      </c>
      <c r="M1448" s="11">
        <f>G1448+H1448</f>
        <v/>
      </c>
      <c r="N1448" s="11">
        <f>Summary!$C$16*Summary!$B$8</f>
        <v/>
      </c>
      <c r="O1448" s="11">
        <f>M1448-N1448</f>
        <v/>
      </c>
    </row>
    <row r="1449">
      <c r="A1449" s="9" t="n">
        <v>45352.29166666666</v>
      </c>
      <c r="B1449" t="n">
        <v>3</v>
      </c>
      <c r="C1449" t="n">
        <v>1</v>
      </c>
      <c r="D1449" t="n">
        <v>7</v>
      </c>
      <c r="E1449" s="10" t="n">
        <v>0</v>
      </c>
      <c r="F1449" s="10" t="n">
        <v>0.3936989744877539</v>
      </c>
      <c r="G1449" s="11">
        <f>E1449*Summary!$B$6</f>
        <v/>
      </c>
      <c r="H1449" s="11">
        <f>F1449*Summary!$B$7</f>
        <v/>
      </c>
      <c r="I1449" s="11">
        <f>MAX(0,N1449-M1449)</f>
        <v/>
      </c>
      <c r="J1449" s="11">
        <f>MAX(0,M1449-N1449)</f>
        <v/>
      </c>
      <c r="K1449" s="11">
        <f>O1449</f>
        <v/>
      </c>
      <c r="L1449" s="11">
        <f>L1448+IF(K1449&gt;0,K1449*Summary!$B$9,K1449/Summary!$B$9)</f>
        <v/>
      </c>
      <c r="M1449" s="11">
        <f>G1449+H1449</f>
        <v/>
      </c>
      <c r="N1449" s="11">
        <f>Summary!$C$16*Summary!$B$8</f>
        <v/>
      </c>
      <c r="O1449" s="11">
        <f>M1449-N1449</f>
        <v/>
      </c>
    </row>
    <row r="1450">
      <c r="A1450" s="9" t="n">
        <v>45352.33333333334</v>
      </c>
      <c r="B1450" t="n">
        <v>3</v>
      </c>
      <c r="C1450" t="n">
        <v>1</v>
      </c>
      <c r="D1450" t="n">
        <v>8</v>
      </c>
      <c r="E1450" s="10" t="n">
        <v>0.007929</v>
      </c>
      <c r="F1450" s="10" t="n">
        <v>0.3681902323656557</v>
      </c>
      <c r="G1450" s="11">
        <f>E1450*Summary!$B$6</f>
        <v/>
      </c>
      <c r="H1450" s="11">
        <f>F1450*Summary!$B$7</f>
        <v/>
      </c>
      <c r="I1450" s="11">
        <f>MAX(0,N1450-M1450)</f>
        <v/>
      </c>
      <c r="J1450" s="11">
        <f>MAX(0,M1450-N1450)</f>
        <v/>
      </c>
      <c r="K1450" s="11">
        <f>O1450</f>
        <v/>
      </c>
      <c r="L1450" s="11">
        <f>L1449+IF(K1450&gt;0,K1450*Summary!$B$9,K1450/Summary!$B$9)</f>
        <v/>
      </c>
      <c r="M1450" s="11">
        <f>G1450+H1450</f>
        <v/>
      </c>
      <c r="N1450" s="11">
        <f>Summary!$C$16*Summary!$B$8</f>
        <v/>
      </c>
      <c r="O1450" s="11">
        <f>M1450-N1450</f>
        <v/>
      </c>
    </row>
    <row r="1451">
      <c r="A1451" s="9" t="n">
        <v>45352.375</v>
      </c>
      <c r="B1451" t="n">
        <v>3</v>
      </c>
      <c r="C1451" t="n">
        <v>1</v>
      </c>
      <c r="D1451" t="n">
        <v>9</v>
      </c>
      <c r="E1451" s="10" t="n">
        <v>0.020338</v>
      </c>
      <c r="F1451" s="10" t="n">
        <v>0.3419172820601477</v>
      </c>
      <c r="G1451" s="11">
        <f>E1451*Summary!$B$6</f>
        <v/>
      </c>
      <c r="H1451" s="11">
        <f>F1451*Summary!$B$7</f>
        <v/>
      </c>
      <c r="I1451" s="11">
        <f>MAX(0,N1451-M1451)</f>
        <v/>
      </c>
      <c r="J1451" s="11">
        <f>MAX(0,M1451-N1451)</f>
        <v/>
      </c>
      <c r="K1451" s="11">
        <f>O1451</f>
        <v/>
      </c>
      <c r="L1451" s="11">
        <f>L1450+IF(K1451&gt;0,K1451*Summary!$B$9,K1451/Summary!$B$9)</f>
        <v/>
      </c>
      <c r="M1451" s="11">
        <f>G1451+H1451</f>
        <v/>
      </c>
      <c r="N1451" s="11">
        <f>Summary!$C$16*Summary!$B$8</f>
        <v/>
      </c>
      <c r="O1451" s="11">
        <f>M1451-N1451</f>
        <v/>
      </c>
    </row>
    <row r="1452">
      <c r="A1452" s="9" t="n">
        <v>45352.41666666666</v>
      </c>
      <c r="B1452" t="n">
        <v>3</v>
      </c>
      <c r="C1452" t="n">
        <v>1</v>
      </c>
      <c r="D1452" t="n">
        <v>10</v>
      </c>
      <c r="E1452" s="10" t="n">
        <v>0.06407400000000001</v>
      </c>
      <c r="F1452" s="10" t="n">
        <v>0.319280908627418</v>
      </c>
      <c r="G1452" s="11">
        <f>E1452*Summary!$B$6</f>
        <v/>
      </c>
      <c r="H1452" s="11">
        <f>F1452*Summary!$B$7</f>
        <v/>
      </c>
      <c r="I1452" s="11">
        <f>MAX(0,N1452-M1452)</f>
        <v/>
      </c>
      <c r="J1452" s="11">
        <f>MAX(0,M1452-N1452)</f>
        <v/>
      </c>
      <c r="K1452" s="11">
        <f>O1452</f>
        <v/>
      </c>
      <c r="L1452" s="11">
        <f>L1451+IF(K1452&gt;0,K1452*Summary!$B$9,K1452/Summary!$B$9)</f>
        <v/>
      </c>
      <c r="M1452" s="11">
        <f>G1452+H1452</f>
        <v/>
      </c>
      <c r="N1452" s="11">
        <f>Summary!$C$16*Summary!$B$8</f>
        <v/>
      </c>
      <c r="O1452" s="11">
        <f>M1452-N1452</f>
        <v/>
      </c>
    </row>
    <row r="1453">
      <c r="A1453" s="9" t="n">
        <v>45352.45833333334</v>
      </c>
      <c r="B1453" t="n">
        <v>3</v>
      </c>
      <c r="C1453" t="n">
        <v>1</v>
      </c>
      <c r="D1453" t="n">
        <v>11</v>
      </c>
      <c r="E1453" s="10" t="n">
        <v>0.038834</v>
      </c>
      <c r="F1453" s="10" t="n">
        <v>0.3095833703000089</v>
      </c>
      <c r="G1453" s="11">
        <f>E1453*Summary!$B$6</f>
        <v/>
      </c>
      <c r="H1453" s="11">
        <f>F1453*Summary!$B$7</f>
        <v/>
      </c>
      <c r="I1453" s="11">
        <f>MAX(0,N1453-M1453)</f>
        <v/>
      </c>
      <c r="J1453" s="11">
        <f>MAX(0,M1453-N1453)</f>
        <v/>
      </c>
      <c r="K1453" s="11">
        <f>O1453</f>
        <v/>
      </c>
      <c r="L1453" s="11">
        <f>L1452+IF(K1453&gt;0,K1453*Summary!$B$9,K1453/Summary!$B$9)</f>
        <v/>
      </c>
      <c r="M1453" s="11">
        <f>G1453+H1453</f>
        <v/>
      </c>
      <c r="N1453" s="11">
        <f>Summary!$C$16*Summary!$B$8</f>
        <v/>
      </c>
      <c r="O1453" s="11">
        <f>M1453-N1453</f>
        <v/>
      </c>
    </row>
    <row r="1454">
      <c r="A1454" s="9" t="n">
        <v>45352.5</v>
      </c>
      <c r="B1454" t="n">
        <v>3</v>
      </c>
      <c r="C1454" t="n">
        <v>1</v>
      </c>
      <c r="D1454" t="n">
        <v>12</v>
      </c>
      <c r="E1454" s="10" t="n">
        <v>0.038815</v>
      </c>
      <c r="F1454" s="10" t="n">
        <v>0.3073961537750769</v>
      </c>
      <c r="G1454" s="11">
        <f>E1454*Summary!$B$6</f>
        <v/>
      </c>
      <c r="H1454" s="11">
        <f>F1454*Summary!$B$7</f>
        <v/>
      </c>
      <c r="I1454" s="11">
        <f>MAX(0,N1454-M1454)</f>
        <v/>
      </c>
      <c r="J1454" s="11">
        <f>MAX(0,M1454-N1454)</f>
        <v/>
      </c>
      <c r="K1454" s="11">
        <f>O1454</f>
        <v/>
      </c>
      <c r="L1454" s="11">
        <f>L1453+IF(K1454&gt;0,K1454*Summary!$B$9,K1454/Summary!$B$9)</f>
        <v/>
      </c>
      <c r="M1454" s="11">
        <f>G1454+H1454</f>
        <v/>
      </c>
      <c r="N1454" s="11">
        <f>Summary!$C$16*Summary!$B$8</f>
        <v/>
      </c>
      <c r="O1454" s="11">
        <f>M1454-N1454</f>
        <v/>
      </c>
    </row>
    <row r="1455">
      <c r="A1455" s="9" t="n">
        <v>45352.54166666666</v>
      </c>
      <c r="B1455" t="n">
        <v>3</v>
      </c>
      <c r="C1455" t="n">
        <v>1</v>
      </c>
      <c r="D1455" t="n">
        <v>13</v>
      </c>
      <c r="E1455" s="10" t="n">
        <v>0.046049</v>
      </c>
      <c r="F1455" s="10" t="n">
        <v>0.3111117866668288</v>
      </c>
      <c r="G1455" s="11">
        <f>E1455*Summary!$B$6</f>
        <v/>
      </c>
      <c r="H1455" s="11">
        <f>F1455*Summary!$B$7</f>
        <v/>
      </c>
      <c r="I1455" s="11">
        <f>MAX(0,N1455-M1455)</f>
        <v/>
      </c>
      <c r="J1455" s="11">
        <f>MAX(0,M1455-N1455)</f>
        <v/>
      </c>
      <c r="K1455" s="11">
        <f>O1455</f>
        <v/>
      </c>
      <c r="L1455" s="11">
        <f>L1454+IF(K1455&gt;0,K1455*Summary!$B$9,K1455/Summary!$B$9)</f>
        <v/>
      </c>
      <c r="M1455" s="11">
        <f>G1455+H1455</f>
        <v/>
      </c>
      <c r="N1455" s="11">
        <f>Summary!$C$16*Summary!$B$8</f>
        <v/>
      </c>
      <c r="O1455" s="11">
        <f>M1455-N1455</f>
        <v/>
      </c>
    </row>
    <row r="1456">
      <c r="A1456" s="9" t="n">
        <v>45352.58333333334</v>
      </c>
      <c r="B1456" t="n">
        <v>3</v>
      </c>
      <c r="C1456" t="n">
        <v>1</v>
      </c>
      <c r="D1456" t="n">
        <v>14</v>
      </c>
      <c r="E1456" s="10" t="n">
        <v>0.115994</v>
      </c>
      <c r="F1456" s="10" t="n">
        <v>0.3156970357672886</v>
      </c>
      <c r="G1456" s="11">
        <f>E1456*Summary!$B$6</f>
        <v/>
      </c>
      <c r="H1456" s="11">
        <f>F1456*Summary!$B$7</f>
        <v/>
      </c>
      <c r="I1456" s="11">
        <f>MAX(0,N1456-M1456)</f>
        <v/>
      </c>
      <c r="J1456" s="11">
        <f>MAX(0,M1456-N1456)</f>
        <v/>
      </c>
      <c r="K1456" s="11">
        <f>O1456</f>
        <v/>
      </c>
      <c r="L1456" s="11">
        <f>L1455+IF(K1456&gt;0,K1456*Summary!$B$9,K1456/Summary!$B$9)</f>
        <v/>
      </c>
      <c r="M1456" s="11">
        <f>G1456+H1456</f>
        <v/>
      </c>
      <c r="N1456" s="11">
        <f>Summary!$C$16*Summary!$B$8</f>
        <v/>
      </c>
      <c r="O1456" s="11">
        <f>M1456-N1456</f>
        <v/>
      </c>
    </row>
    <row r="1457">
      <c r="A1457" s="9" t="n">
        <v>45352.625</v>
      </c>
      <c r="B1457" t="n">
        <v>3</v>
      </c>
      <c r="C1457" t="n">
        <v>1</v>
      </c>
      <c r="D1457" t="n">
        <v>15</v>
      </c>
      <c r="E1457" s="10" t="n">
        <v>0.061241</v>
      </c>
      <c r="F1457" s="10" t="n">
        <v>0.3237871017089044</v>
      </c>
      <c r="G1457" s="11">
        <f>E1457*Summary!$B$6</f>
        <v/>
      </c>
      <c r="H1457" s="11">
        <f>F1457*Summary!$B$7</f>
        <v/>
      </c>
      <c r="I1457" s="11">
        <f>MAX(0,N1457-M1457)</f>
        <v/>
      </c>
      <c r="J1457" s="11">
        <f>MAX(0,M1457-N1457)</f>
        <v/>
      </c>
      <c r="K1457" s="11">
        <f>O1457</f>
        <v/>
      </c>
      <c r="L1457" s="11">
        <f>L1456+IF(K1457&gt;0,K1457*Summary!$B$9,K1457/Summary!$B$9)</f>
        <v/>
      </c>
      <c r="M1457" s="11">
        <f>G1457+H1457</f>
        <v/>
      </c>
      <c r="N1457" s="11">
        <f>Summary!$C$16*Summary!$B$8</f>
        <v/>
      </c>
      <c r="O1457" s="11">
        <f>M1457-N1457</f>
        <v/>
      </c>
    </row>
    <row r="1458">
      <c r="A1458" s="9" t="n">
        <v>45352.66666666666</v>
      </c>
      <c r="B1458" t="n">
        <v>3</v>
      </c>
      <c r="C1458" t="n">
        <v>1</v>
      </c>
      <c r="D1458" t="n">
        <v>16</v>
      </c>
      <c r="E1458" s="10" t="n">
        <v>0.025361</v>
      </c>
      <c r="F1458" s="10" t="n">
        <v>0.337938129105151</v>
      </c>
      <c r="G1458" s="11">
        <f>E1458*Summary!$B$6</f>
        <v/>
      </c>
      <c r="H1458" s="11">
        <f>F1458*Summary!$B$7</f>
        <v/>
      </c>
      <c r="I1458" s="11">
        <f>MAX(0,N1458-M1458)</f>
        <v/>
      </c>
      <c r="J1458" s="11">
        <f>MAX(0,M1458-N1458)</f>
        <v/>
      </c>
      <c r="K1458" s="11">
        <f>O1458</f>
        <v/>
      </c>
      <c r="L1458" s="11">
        <f>L1457+IF(K1458&gt;0,K1458*Summary!$B$9,K1458/Summary!$B$9)</f>
        <v/>
      </c>
      <c r="M1458" s="11">
        <f>G1458+H1458</f>
        <v/>
      </c>
      <c r="N1458" s="11">
        <f>Summary!$C$16*Summary!$B$8</f>
        <v/>
      </c>
      <c r="O1458" s="11">
        <f>M1458-N1458</f>
        <v/>
      </c>
    </row>
    <row r="1459">
      <c r="A1459" s="9" t="n">
        <v>45352.70833333334</v>
      </c>
      <c r="B1459" t="n">
        <v>3</v>
      </c>
      <c r="C1459" t="n">
        <v>1</v>
      </c>
      <c r="D1459" t="n">
        <v>17</v>
      </c>
      <c r="E1459" s="10" t="n">
        <v>0</v>
      </c>
      <c r="F1459" s="10" t="n">
        <v>0.357912949899108</v>
      </c>
      <c r="G1459" s="11">
        <f>E1459*Summary!$B$6</f>
        <v/>
      </c>
      <c r="H1459" s="11">
        <f>F1459*Summary!$B$7</f>
        <v/>
      </c>
      <c r="I1459" s="11">
        <f>MAX(0,N1459-M1459)</f>
        <v/>
      </c>
      <c r="J1459" s="11">
        <f>MAX(0,M1459-N1459)</f>
        <v/>
      </c>
      <c r="K1459" s="11">
        <f>O1459</f>
        <v/>
      </c>
      <c r="L1459" s="11">
        <f>L1458+IF(K1459&gt;0,K1459*Summary!$B$9,K1459/Summary!$B$9)</f>
        <v/>
      </c>
      <c r="M1459" s="11">
        <f>G1459+H1459</f>
        <v/>
      </c>
      <c r="N1459" s="11">
        <f>Summary!$C$16*Summary!$B$8</f>
        <v/>
      </c>
      <c r="O1459" s="11">
        <f>M1459-N1459</f>
        <v/>
      </c>
    </row>
    <row r="1460">
      <c r="A1460" s="9" t="n">
        <v>45352.75</v>
      </c>
      <c r="B1460" t="n">
        <v>3</v>
      </c>
      <c r="C1460" t="n">
        <v>1</v>
      </c>
      <c r="D1460" t="n">
        <v>18</v>
      </c>
      <c r="E1460" s="10" t="n">
        <v>0</v>
      </c>
      <c r="F1460" s="10" t="n">
        <v>0.3797851151484276</v>
      </c>
      <c r="G1460" s="11">
        <f>E1460*Summary!$B$6</f>
        <v/>
      </c>
      <c r="H1460" s="11">
        <f>F1460*Summary!$B$7</f>
        <v/>
      </c>
      <c r="I1460" s="11">
        <f>MAX(0,N1460-M1460)</f>
        <v/>
      </c>
      <c r="J1460" s="11">
        <f>MAX(0,M1460-N1460)</f>
        <v/>
      </c>
      <c r="K1460" s="11">
        <f>O1460</f>
        <v/>
      </c>
      <c r="L1460" s="11">
        <f>L1459+IF(K1460&gt;0,K1460*Summary!$B$9,K1460/Summary!$B$9)</f>
        <v/>
      </c>
      <c r="M1460" s="11">
        <f>G1460+H1460</f>
        <v/>
      </c>
      <c r="N1460" s="11">
        <f>Summary!$C$16*Summary!$B$8</f>
        <v/>
      </c>
      <c r="O1460" s="11">
        <f>M1460-N1460</f>
        <v/>
      </c>
    </row>
    <row r="1461">
      <c r="A1461" s="9" t="n">
        <v>45352.79166666666</v>
      </c>
      <c r="B1461" t="n">
        <v>3</v>
      </c>
      <c r="C1461" t="n">
        <v>1</v>
      </c>
      <c r="D1461" t="n">
        <v>19</v>
      </c>
      <c r="E1461" s="10" t="n">
        <v>0</v>
      </c>
      <c r="F1461" s="10" t="n">
        <v>0.3977835354680485</v>
      </c>
      <c r="G1461" s="11">
        <f>E1461*Summary!$B$6</f>
        <v/>
      </c>
      <c r="H1461" s="11">
        <f>F1461*Summary!$B$7</f>
        <v/>
      </c>
      <c r="I1461" s="11">
        <f>MAX(0,N1461-M1461)</f>
        <v/>
      </c>
      <c r="J1461" s="11">
        <f>MAX(0,M1461-N1461)</f>
        <v/>
      </c>
      <c r="K1461" s="11">
        <f>O1461</f>
        <v/>
      </c>
      <c r="L1461" s="11">
        <f>L1460+IF(K1461&gt;0,K1461*Summary!$B$9,K1461/Summary!$B$9)</f>
        <v/>
      </c>
      <c r="M1461" s="11">
        <f>G1461+H1461</f>
        <v/>
      </c>
      <c r="N1461" s="11">
        <f>Summary!$C$16*Summary!$B$8</f>
        <v/>
      </c>
      <c r="O1461" s="11">
        <f>M1461-N1461</f>
        <v/>
      </c>
    </row>
    <row r="1462">
      <c r="A1462" s="9" t="n">
        <v>45352.83333333334</v>
      </c>
      <c r="B1462" t="n">
        <v>3</v>
      </c>
      <c r="C1462" t="n">
        <v>1</v>
      </c>
      <c r="D1462" t="n">
        <v>20</v>
      </c>
      <c r="E1462" s="10" t="n">
        <v>0</v>
      </c>
      <c r="F1462" s="10" t="n">
        <v>0.4018417444420186</v>
      </c>
      <c r="G1462" s="11">
        <f>E1462*Summary!$B$6</f>
        <v/>
      </c>
      <c r="H1462" s="11">
        <f>F1462*Summary!$B$7</f>
        <v/>
      </c>
      <c r="I1462" s="11">
        <f>MAX(0,N1462-M1462)</f>
        <v/>
      </c>
      <c r="J1462" s="11">
        <f>MAX(0,M1462-N1462)</f>
        <v/>
      </c>
      <c r="K1462" s="11">
        <f>O1462</f>
        <v/>
      </c>
      <c r="L1462" s="11">
        <f>L1461+IF(K1462&gt;0,K1462*Summary!$B$9,K1462/Summary!$B$9)</f>
        <v/>
      </c>
      <c r="M1462" s="11">
        <f>G1462+H1462</f>
        <v/>
      </c>
      <c r="N1462" s="11">
        <f>Summary!$C$16*Summary!$B$8</f>
        <v/>
      </c>
      <c r="O1462" s="11">
        <f>M1462-N1462</f>
        <v/>
      </c>
    </row>
    <row r="1463">
      <c r="A1463" s="9" t="n">
        <v>45352.875</v>
      </c>
      <c r="B1463" t="n">
        <v>3</v>
      </c>
      <c r="C1463" t="n">
        <v>1</v>
      </c>
      <c r="D1463" t="n">
        <v>21</v>
      </c>
      <c r="E1463" s="10" t="n">
        <v>0</v>
      </c>
      <c r="F1463" s="10" t="n">
        <v>0.3958861910126859</v>
      </c>
      <c r="G1463" s="11">
        <f>E1463*Summary!$B$6</f>
        <v/>
      </c>
      <c r="H1463" s="11">
        <f>F1463*Summary!$B$7</f>
        <v/>
      </c>
      <c r="I1463" s="11">
        <f>MAX(0,N1463-M1463)</f>
        <v/>
      </c>
      <c r="J1463" s="11">
        <f>MAX(0,M1463-N1463)</f>
        <v/>
      </c>
      <c r="K1463" s="11">
        <f>O1463</f>
        <v/>
      </c>
      <c r="L1463" s="11">
        <f>L1462+IF(K1463&gt;0,K1463*Summary!$B$9,K1463/Summary!$B$9)</f>
        <v/>
      </c>
      <c r="M1463" s="11">
        <f>G1463+H1463</f>
        <v/>
      </c>
      <c r="N1463" s="11">
        <f>Summary!$C$16*Summary!$B$8</f>
        <v/>
      </c>
      <c r="O1463" s="11">
        <f>M1463-N1463</f>
        <v/>
      </c>
    </row>
    <row r="1464">
      <c r="A1464" s="9" t="n">
        <v>45352.91666666666</v>
      </c>
      <c r="B1464" t="n">
        <v>3</v>
      </c>
      <c r="C1464" t="n">
        <v>1</v>
      </c>
      <c r="D1464" t="n">
        <v>22</v>
      </c>
      <c r="E1464" s="10" t="n">
        <v>0</v>
      </c>
      <c r="F1464" s="10" t="n">
        <v>0.3888765573303737</v>
      </c>
      <c r="G1464" s="11">
        <f>E1464*Summary!$B$6</f>
        <v/>
      </c>
      <c r="H1464" s="11">
        <f>F1464*Summary!$B$7</f>
        <v/>
      </c>
      <c r="I1464" s="11">
        <f>MAX(0,N1464-M1464)</f>
        <v/>
      </c>
      <c r="J1464" s="11">
        <f>MAX(0,M1464-N1464)</f>
        <v/>
      </c>
      <c r="K1464" s="11">
        <f>O1464</f>
        <v/>
      </c>
      <c r="L1464" s="11">
        <f>L1463+IF(K1464&gt;0,K1464*Summary!$B$9,K1464/Summary!$B$9)</f>
        <v/>
      </c>
      <c r="M1464" s="11">
        <f>G1464+H1464</f>
        <v/>
      </c>
      <c r="N1464" s="11">
        <f>Summary!$C$16*Summary!$B$8</f>
        <v/>
      </c>
      <c r="O1464" s="11">
        <f>M1464-N1464</f>
        <v/>
      </c>
    </row>
    <row r="1465">
      <c r="A1465" s="9" t="n">
        <v>45352.95833333334</v>
      </c>
      <c r="B1465" t="n">
        <v>3</v>
      </c>
      <c r="C1465" t="n">
        <v>1</v>
      </c>
      <c r="D1465" t="n">
        <v>23</v>
      </c>
      <c r="E1465" s="10" t="n">
        <v>0</v>
      </c>
      <c r="F1465" s="10" t="n">
        <v>0.384950108388026</v>
      </c>
      <c r="G1465" s="11">
        <f>E1465*Summary!$B$6</f>
        <v/>
      </c>
      <c r="H1465" s="11">
        <f>F1465*Summary!$B$7</f>
        <v/>
      </c>
      <c r="I1465" s="11">
        <f>MAX(0,N1465-M1465)</f>
        <v/>
      </c>
      <c r="J1465" s="11">
        <f>MAX(0,M1465-N1465)</f>
        <v/>
      </c>
      <c r="K1465" s="11">
        <f>O1465</f>
        <v/>
      </c>
      <c r="L1465" s="11">
        <f>L1464+IF(K1465&gt;0,K1465*Summary!$B$9,K1465/Summary!$B$9)</f>
        <v/>
      </c>
      <c r="M1465" s="11">
        <f>G1465+H1465</f>
        <v/>
      </c>
      <c r="N1465" s="11">
        <f>Summary!$C$16*Summary!$B$8</f>
        <v/>
      </c>
      <c r="O1465" s="11">
        <f>M1465-N1465</f>
        <v/>
      </c>
    </row>
    <row r="1466">
      <c r="A1466" s="9" t="n">
        <v>45353</v>
      </c>
      <c r="B1466" t="n">
        <v>3</v>
      </c>
      <c r="C1466" t="n">
        <v>2</v>
      </c>
      <c r="D1466" t="n">
        <v>0</v>
      </c>
      <c r="E1466" s="10" t="n">
        <v>0</v>
      </c>
      <c r="F1466" s="10" t="n">
        <v>0.3326413758339302</v>
      </c>
      <c r="G1466" s="11">
        <f>E1466*Summary!$B$6</f>
        <v/>
      </c>
      <c r="H1466" s="11">
        <f>F1466*Summary!$B$7</f>
        <v/>
      </c>
      <c r="I1466" s="11">
        <f>MAX(0,N1466-M1466)</f>
        <v/>
      </c>
      <c r="J1466" s="11">
        <f>MAX(0,M1466-N1466)</f>
        <v/>
      </c>
      <c r="K1466" s="11">
        <f>O1466</f>
        <v/>
      </c>
      <c r="L1466" s="11">
        <f>L1465+IF(K1466&gt;0,K1466*Summary!$B$9,K1466/Summary!$B$9)</f>
        <v/>
      </c>
      <c r="M1466" s="11">
        <f>G1466+H1466</f>
        <v/>
      </c>
      <c r="N1466" s="11">
        <f>Summary!$C$16*Summary!$B$8</f>
        <v/>
      </c>
      <c r="O1466" s="11">
        <f>M1466-N1466</f>
        <v/>
      </c>
    </row>
    <row r="1467">
      <c r="A1467" s="9" t="n">
        <v>45353.04166666666</v>
      </c>
      <c r="B1467" t="n">
        <v>3</v>
      </c>
      <c r="C1467" t="n">
        <v>2</v>
      </c>
      <c r="D1467" t="n">
        <v>1</v>
      </c>
      <c r="E1467" s="10" t="n">
        <v>0</v>
      </c>
      <c r="F1467" s="10" t="n">
        <v>0.3855825565398135</v>
      </c>
      <c r="G1467" s="11">
        <f>E1467*Summary!$B$6</f>
        <v/>
      </c>
      <c r="H1467" s="11">
        <f>F1467*Summary!$B$7</f>
        <v/>
      </c>
      <c r="I1467" s="11">
        <f>MAX(0,N1467-M1467)</f>
        <v/>
      </c>
      <c r="J1467" s="11">
        <f>MAX(0,M1467-N1467)</f>
        <v/>
      </c>
      <c r="K1467" s="11">
        <f>O1467</f>
        <v/>
      </c>
      <c r="L1467" s="11">
        <f>L1466+IF(K1467&gt;0,K1467*Summary!$B$9,K1467/Summary!$B$9)</f>
        <v/>
      </c>
      <c r="M1467" s="11">
        <f>G1467+H1467</f>
        <v/>
      </c>
      <c r="N1467" s="11">
        <f>Summary!$C$16*Summary!$B$8</f>
        <v/>
      </c>
      <c r="O1467" s="11">
        <f>M1467-N1467</f>
        <v/>
      </c>
    </row>
    <row r="1468">
      <c r="A1468" s="9" t="n">
        <v>45353.08333333334</v>
      </c>
      <c r="B1468" t="n">
        <v>3</v>
      </c>
      <c r="C1468" t="n">
        <v>2</v>
      </c>
      <c r="D1468" t="n">
        <v>2</v>
      </c>
      <c r="E1468" s="10" t="n">
        <v>0</v>
      </c>
      <c r="F1468" s="10" t="n">
        <v>0.3842122522109405</v>
      </c>
      <c r="G1468" s="11">
        <f>E1468*Summary!$B$6</f>
        <v/>
      </c>
      <c r="H1468" s="11">
        <f>F1468*Summary!$B$7</f>
        <v/>
      </c>
      <c r="I1468" s="11">
        <f>MAX(0,N1468-M1468)</f>
        <v/>
      </c>
      <c r="J1468" s="11">
        <f>MAX(0,M1468-N1468)</f>
        <v/>
      </c>
      <c r="K1468" s="11">
        <f>O1468</f>
        <v/>
      </c>
      <c r="L1468" s="11">
        <f>L1467+IF(K1468&gt;0,K1468*Summary!$B$9,K1468/Summary!$B$9)</f>
        <v/>
      </c>
      <c r="M1468" s="11">
        <f>G1468+H1468</f>
        <v/>
      </c>
      <c r="N1468" s="11">
        <f>Summary!$C$16*Summary!$B$8</f>
        <v/>
      </c>
      <c r="O1468" s="11">
        <f>M1468-N1468</f>
        <v/>
      </c>
    </row>
    <row r="1469">
      <c r="A1469" s="9" t="n">
        <v>45353.125</v>
      </c>
      <c r="B1469" t="n">
        <v>3</v>
      </c>
      <c r="C1469" t="n">
        <v>2</v>
      </c>
      <c r="D1469" t="n">
        <v>3</v>
      </c>
      <c r="E1469" s="10" t="n">
        <v>0</v>
      </c>
      <c r="F1469" s="10" t="n">
        <v>0.3838169721160733</v>
      </c>
      <c r="G1469" s="11">
        <f>E1469*Summary!$B$6</f>
        <v/>
      </c>
      <c r="H1469" s="11">
        <f>F1469*Summary!$B$7</f>
        <v/>
      </c>
      <c r="I1469" s="11">
        <f>MAX(0,N1469-M1469)</f>
        <v/>
      </c>
      <c r="J1469" s="11">
        <f>MAX(0,M1469-N1469)</f>
        <v/>
      </c>
      <c r="K1469" s="11">
        <f>O1469</f>
        <v/>
      </c>
      <c r="L1469" s="11">
        <f>L1468+IF(K1469&gt;0,K1469*Summary!$B$9,K1469/Summary!$B$9)</f>
        <v/>
      </c>
      <c r="M1469" s="11">
        <f>G1469+H1469</f>
        <v/>
      </c>
      <c r="N1469" s="11">
        <f>Summary!$C$16*Summary!$B$8</f>
        <v/>
      </c>
      <c r="O1469" s="11">
        <f>M1469-N1469</f>
        <v/>
      </c>
    </row>
    <row r="1470">
      <c r="A1470" s="9" t="n">
        <v>45353.16666666666</v>
      </c>
      <c r="B1470" t="n">
        <v>3</v>
      </c>
      <c r="C1470" t="n">
        <v>2</v>
      </c>
      <c r="D1470" t="n">
        <v>4</v>
      </c>
      <c r="E1470" s="10" t="n">
        <v>0</v>
      </c>
      <c r="F1470" s="10" t="n">
        <v>0.3860041886410053</v>
      </c>
      <c r="G1470" s="11">
        <f>E1470*Summary!$B$6</f>
        <v/>
      </c>
      <c r="H1470" s="11">
        <f>F1470*Summary!$B$7</f>
        <v/>
      </c>
      <c r="I1470" s="11">
        <f>MAX(0,N1470-M1470)</f>
        <v/>
      </c>
      <c r="J1470" s="11">
        <f>MAX(0,M1470-N1470)</f>
        <v/>
      </c>
      <c r="K1470" s="11">
        <f>O1470</f>
        <v/>
      </c>
      <c r="L1470" s="11">
        <f>L1469+IF(K1470&gt;0,K1470*Summary!$B$9,K1470/Summary!$B$9)</f>
        <v/>
      </c>
      <c r="M1470" s="11">
        <f>G1470+H1470</f>
        <v/>
      </c>
      <c r="N1470" s="11">
        <f>Summary!$C$16*Summary!$B$8</f>
        <v/>
      </c>
      <c r="O1470" s="11">
        <f>M1470-N1470</f>
        <v/>
      </c>
    </row>
    <row r="1471">
      <c r="A1471" s="9" t="n">
        <v>45353.20833333334</v>
      </c>
      <c r="B1471" t="n">
        <v>3</v>
      </c>
      <c r="C1471" t="n">
        <v>2</v>
      </c>
      <c r="D1471" t="n">
        <v>5</v>
      </c>
      <c r="E1471" s="10" t="n">
        <v>0</v>
      </c>
      <c r="F1471" s="10" t="n">
        <v>0.3720639772953545</v>
      </c>
      <c r="G1471" s="11">
        <f>E1471*Summary!$B$6</f>
        <v/>
      </c>
      <c r="H1471" s="11">
        <f>F1471*Summary!$B$7</f>
        <v/>
      </c>
      <c r="I1471" s="11">
        <f>MAX(0,N1471-M1471)</f>
        <v/>
      </c>
      <c r="J1471" s="11">
        <f>MAX(0,M1471-N1471)</f>
        <v/>
      </c>
      <c r="K1471" s="11">
        <f>O1471</f>
        <v/>
      </c>
      <c r="L1471" s="11">
        <f>L1470+IF(K1471&gt;0,K1471*Summary!$B$9,K1471/Summary!$B$9)</f>
        <v/>
      </c>
      <c r="M1471" s="11">
        <f>G1471+H1471</f>
        <v/>
      </c>
      <c r="N1471" s="11">
        <f>Summary!$C$16*Summary!$B$8</f>
        <v/>
      </c>
      <c r="O1471" s="11">
        <f>M1471-N1471</f>
        <v/>
      </c>
    </row>
    <row r="1472">
      <c r="A1472" s="9" t="n">
        <v>45353.25</v>
      </c>
      <c r="B1472" t="n">
        <v>3</v>
      </c>
      <c r="C1472" t="n">
        <v>2</v>
      </c>
      <c r="D1472" t="n">
        <v>6</v>
      </c>
      <c r="E1472" s="10" t="n">
        <v>0</v>
      </c>
      <c r="F1472" s="10" t="n">
        <v>0.377940474705714</v>
      </c>
      <c r="G1472" s="11">
        <f>E1472*Summary!$B$6</f>
        <v/>
      </c>
      <c r="H1472" s="11">
        <f>F1472*Summary!$B$7</f>
        <v/>
      </c>
      <c r="I1472" s="11">
        <f>MAX(0,N1472-M1472)</f>
        <v/>
      </c>
      <c r="J1472" s="11">
        <f>MAX(0,M1472-N1472)</f>
        <v/>
      </c>
      <c r="K1472" s="11">
        <f>O1472</f>
        <v/>
      </c>
      <c r="L1472" s="11">
        <f>L1471+IF(K1472&gt;0,K1472*Summary!$B$9,K1472/Summary!$B$9)</f>
        <v/>
      </c>
      <c r="M1472" s="11">
        <f>G1472+H1472</f>
        <v/>
      </c>
      <c r="N1472" s="11">
        <f>Summary!$C$16*Summary!$B$8</f>
        <v/>
      </c>
      <c r="O1472" s="11">
        <f>M1472-N1472</f>
        <v/>
      </c>
    </row>
    <row r="1473">
      <c r="A1473" s="9" t="n">
        <v>45353.29166666666</v>
      </c>
      <c r="B1473" t="n">
        <v>3</v>
      </c>
      <c r="C1473" t="n">
        <v>2</v>
      </c>
      <c r="D1473" t="n">
        <v>7</v>
      </c>
      <c r="E1473" s="10" t="n">
        <v>0.02338</v>
      </c>
      <c r="F1473" s="10" t="n">
        <v>0.3631042951450308</v>
      </c>
      <c r="G1473" s="11">
        <f>E1473*Summary!$B$6</f>
        <v/>
      </c>
      <c r="H1473" s="11">
        <f>F1473*Summary!$B$7</f>
        <v/>
      </c>
      <c r="I1473" s="11">
        <f>MAX(0,N1473-M1473)</f>
        <v/>
      </c>
      <c r="J1473" s="11">
        <f>MAX(0,M1473-N1473)</f>
        <v/>
      </c>
      <c r="K1473" s="11">
        <f>O1473</f>
        <v/>
      </c>
      <c r="L1473" s="11">
        <f>L1472+IF(K1473&gt;0,K1473*Summary!$B$9,K1473/Summary!$B$9)</f>
        <v/>
      </c>
      <c r="M1473" s="11">
        <f>G1473+H1473</f>
        <v/>
      </c>
      <c r="N1473" s="11">
        <f>Summary!$C$16*Summary!$B$8</f>
        <v/>
      </c>
      <c r="O1473" s="11">
        <f>M1473-N1473</f>
        <v/>
      </c>
    </row>
    <row r="1474">
      <c r="A1474" s="9" t="n">
        <v>45353.33333333334</v>
      </c>
      <c r="B1474" t="n">
        <v>3</v>
      </c>
      <c r="C1474" t="n">
        <v>2</v>
      </c>
      <c r="D1474" t="n">
        <v>8</v>
      </c>
      <c r="E1474" s="10" t="n">
        <v>0.189292</v>
      </c>
      <c r="F1474" s="10" t="n">
        <v>0.3487424516981884</v>
      </c>
      <c r="G1474" s="11">
        <f>E1474*Summary!$B$6</f>
        <v/>
      </c>
      <c r="H1474" s="11">
        <f>F1474*Summary!$B$7</f>
        <v/>
      </c>
      <c r="I1474" s="11">
        <f>MAX(0,N1474-M1474)</f>
        <v/>
      </c>
      <c r="J1474" s="11">
        <f>MAX(0,M1474-N1474)</f>
        <v/>
      </c>
      <c r="K1474" s="11">
        <f>O1474</f>
        <v/>
      </c>
      <c r="L1474" s="11">
        <f>L1473+IF(K1474&gt;0,K1474*Summary!$B$9,K1474/Summary!$B$9)</f>
        <v/>
      </c>
      <c r="M1474" s="11">
        <f>G1474+H1474</f>
        <v/>
      </c>
      <c r="N1474" s="11">
        <f>Summary!$C$16*Summary!$B$8</f>
        <v/>
      </c>
      <c r="O1474" s="11">
        <f>M1474-N1474</f>
        <v/>
      </c>
    </row>
    <row r="1475">
      <c r="A1475" s="9" t="n">
        <v>45353.375</v>
      </c>
      <c r="B1475" t="n">
        <v>3</v>
      </c>
      <c r="C1475" t="n">
        <v>2</v>
      </c>
      <c r="D1475" t="n">
        <v>9</v>
      </c>
      <c r="E1475" s="10" t="n">
        <v>0.369199</v>
      </c>
      <c r="F1475" s="10" t="n">
        <v>0.3365941767826024</v>
      </c>
      <c r="G1475" s="11">
        <f>E1475*Summary!$B$6</f>
        <v/>
      </c>
      <c r="H1475" s="11">
        <f>F1475*Summary!$B$7</f>
        <v/>
      </c>
      <c r="I1475" s="11">
        <f>MAX(0,N1475-M1475)</f>
        <v/>
      </c>
      <c r="J1475" s="11">
        <f>MAX(0,M1475-N1475)</f>
        <v/>
      </c>
      <c r="K1475" s="11">
        <f>O1475</f>
        <v/>
      </c>
      <c r="L1475" s="11">
        <f>L1474+IF(K1475&gt;0,K1475*Summary!$B$9,K1475/Summary!$B$9)</f>
        <v/>
      </c>
      <c r="M1475" s="11">
        <f>G1475+H1475</f>
        <v/>
      </c>
      <c r="N1475" s="11">
        <f>Summary!$C$16*Summary!$B$8</f>
        <v/>
      </c>
      <c r="O1475" s="11">
        <f>M1475-N1475</f>
        <v/>
      </c>
    </row>
    <row r="1476">
      <c r="A1476" s="9" t="n">
        <v>45353.41666666666</v>
      </c>
      <c r="B1476" t="n">
        <v>3</v>
      </c>
      <c r="C1476" t="n">
        <v>2</v>
      </c>
      <c r="D1476" t="n">
        <v>10</v>
      </c>
      <c r="E1476" s="10" t="n">
        <v>0.508061</v>
      </c>
      <c r="F1476" s="10" t="n">
        <v>0.3216262371902969</v>
      </c>
      <c r="G1476" s="11">
        <f>E1476*Summary!$B$6</f>
        <v/>
      </c>
      <c r="H1476" s="11">
        <f>F1476*Summary!$B$7</f>
        <v/>
      </c>
      <c r="I1476" s="11">
        <f>MAX(0,N1476-M1476)</f>
        <v/>
      </c>
      <c r="J1476" s="11">
        <f>MAX(0,M1476-N1476)</f>
        <v/>
      </c>
      <c r="K1476" s="11">
        <f>O1476</f>
        <v/>
      </c>
      <c r="L1476" s="11">
        <f>L1475+IF(K1476&gt;0,K1476*Summary!$B$9,K1476/Summary!$B$9)</f>
        <v/>
      </c>
      <c r="M1476" s="11">
        <f>G1476+H1476</f>
        <v/>
      </c>
      <c r="N1476" s="11">
        <f>Summary!$C$16*Summary!$B$8</f>
        <v/>
      </c>
      <c r="O1476" s="11">
        <f>M1476-N1476</f>
        <v/>
      </c>
    </row>
    <row r="1477">
      <c r="A1477" s="9" t="n">
        <v>45353.45833333334</v>
      </c>
      <c r="B1477" t="n">
        <v>3</v>
      </c>
      <c r="C1477" t="n">
        <v>2</v>
      </c>
      <c r="D1477" t="n">
        <v>11</v>
      </c>
      <c r="E1477" s="10" t="n">
        <v>0.585404</v>
      </c>
      <c r="F1477" s="10" t="n">
        <v>0.3166720600012944</v>
      </c>
      <c r="G1477" s="11">
        <f>E1477*Summary!$B$6</f>
        <v/>
      </c>
      <c r="H1477" s="11">
        <f>F1477*Summary!$B$7</f>
        <v/>
      </c>
      <c r="I1477" s="11">
        <f>MAX(0,N1477-M1477)</f>
        <v/>
      </c>
      <c r="J1477" s="11">
        <f>MAX(0,M1477-N1477)</f>
        <v/>
      </c>
      <c r="K1477" s="11">
        <f>O1477</f>
        <v/>
      </c>
      <c r="L1477" s="11">
        <f>L1476+IF(K1477&gt;0,K1477*Summary!$B$9,K1477/Summary!$B$9)</f>
        <v/>
      </c>
      <c r="M1477" s="11">
        <f>G1477+H1477</f>
        <v/>
      </c>
      <c r="N1477" s="11">
        <f>Summary!$C$16*Summary!$B$8</f>
        <v/>
      </c>
      <c r="O1477" s="11">
        <f>M1477-N1477</f>
        <v/>
      </c>
    </row>
    <row r="1478">
      <c r="A1478" s="9" t="n">
        <v>45353.5</v>
      </c>
      <c r="B1478" t="n">
        <v>3</v>
      </c>
      <c r="C1478" t="n">
        <v>2</v>
      </c>
      <c r="D1478" t="n">
        <v>12</v>
      </c>
      <c r="E1478" s="10" t="n">
        <v>0.609488</v>
      </c>
      <c r="F1478" s="10" t="n">
        <v>0.3137206352929525</v>
      </c>
      <c r="G1478" s="11">
        <f>E1478*Summary!$B$6</f>
        <v/>
      </c>
      <c r="H1478" s="11">
        <f>F1478*Summary!$B$7</f>
        <v/>
      </c>
      <c r="I1478" s="11">
        <f>MAX(0,N1478-M1478)</f>
        <v/>
      </c>
      <c r="J1478" s="11">
        <f>MAX(0,M1478-N1478)</f>
        <v/>
      </c>
      <c r="K1478" s="11">
        <f>O1478</f>
        <v/>
      </c>
      <c r="L1478" s="11">
        <f>L1477+IF(K1478&gt;0,K1478*Summary!$B$9,K1478/Summary!$B$9)</f>
        <v/>
      </c>
      <c r="M1478" s="11">
        <f>G1478+H1478</f>
        <v/>
      </c>
      <c r="N1478" s="11">
        <f>Summary!$C$16*Summary!$B$8</f>
        <v/>
      </c>
      <c r="O1478" s="11">
        <f>M1478-N1478</f>
        <v/>
      </c>
    </row>
    <row r="1479">
      <c r="A1479" s="9" t="n">
        <v>45353.54166666666</v>
      </c>
      <c r="B1479" t="n">
        <v>3</v>
      </c>
      <c r="C1479" t="n">
        <v>2</v>
      </c>
      <c r="D1479" t="n">
        <v>13</v>
      </c>
      <c r="E1479" s="10" t="n">
        <v>0.571321</v>
      </c>
      <c r="F1479" s="10" t="n">
        <v>0.3154598677103683</v>
      </c>
      <c r="G1479" s="11">
        <f>E1479*Summary!$B$6</f>
        <v/>
      </c>
      <c r="H1479" s="11">
        <f>F1479*Summary!$B$7</f>
        <v/>
      </c>
      <c r="I1479" s="11">
        <f>MAX(0,N1479-M1479)</f>
        <v/>
      </c>
      <c r="J1479" s="11">
        <f>MAX(0,M1479-N1479)</f>
        <v/>
      </c>
      <c r="K1479" s="11">
        <f>O1479</f>
        <v/>
      </c>
      <c r="L1479" s="11">
        <f>L1478+IF(K1479&gt;0,K1479*Summary!$B$9,K1479/Summary!$B$9)</f>
        <v/>
      </c>
      <c r="M1479" s="11">
        <f>G1479+H1479</f>
        <v/>
      </c>
      <c r="N1479" s="11">
        <f>Summary!$C$16*Summary!$B$8</f>
        <v/>
      </c>
      <c r="O1479" s="11">
        <f>M1479-N1479</f>
        <v/>
      </c>
    </row>
    <row r="1480">
      <c r="A1480" s="9" t="n">
        <v>45353.58333333334</v>
      </c>
      <c r="B1480" t="n">
        <v>3</v>
      </c>
      <c r="C1480" t="n">
        <v>2</v>
      </c>
      <c r="D1480" t="n">
        <v>14</v>
      </c>
      <c r="E1480" s="10" t="n">
        <v>0.480138</v>
      </c>
      <c r="F1480" s="10" t="n">
        <v>0.3189119805388753</v>
      </c>
      <c r="G1480" s="11">
        <f>E1480*Summary!$B$6</f>
        <v/>
      </c>
      <c r="H1480" s="11">
        <f>F1480*Summary!$B$7</f>
        <v/>
      </c>
      <c r="I1480" s="11">
        <f>MAX(0,N1480-M1480)</f>
        <v/>
      </c>
      <c r="J1480" s="11">
        <f>MAX(0,M1480-N1480)</f>
        <v/>
      </c>
      <c r="K1480" s="11">
        <f>O1480</f>
        <v/>
      </c>
      <c r="L1480" s="11">
        <f>L1479+IF(K1480&gt;0,K1480*Summary!$B$9,K1480/Summary!$B$9)</f>
        <v/>
      </c>
      <c r="M1480" s="11">
        <f>G1480+H1480</f>
        <v/>
      </c>
      <c r="N1480" s="11">
        <f>Summary!$C$16*Summary!$B$8</f>
        <v/>
      </c>
      <c r="O1480" s="11">
        <f>M1480-N1480</f>
        <v/>
      </c>
    </row>
    <row r="1481">
      <c r="A1481" s="9" t="n">
        <v>45353.625</v>
      </c>
      <c r="B1481" t="n">
        <v>3</v>
      </c>
      <c r="C1481" t="n">
        <v>2</v>
      </c>
      <c r="D1481" t="n">
        <v>15</v>
      </c>
      <c r="E1481" s="10" t="n">
        <v>0.330637</v>
      </c>
      <c r="F1481" s="10" t="n">
        <v>0.3222850373484089</v>
      </c>
      <c r="G1481" s="11">
        <f>E1481*Summary!$B$6</f>
        <v/>
      </c>
      <c r="H1481" s="11">
        <f>F1481*Summary!$B$7</f>
        <v/>
      </c>
      <c r="I1481" s="11">
        <f>MAX(0,N1481-M1481)</f>
        <v/>
      </c>
      <c r="J1481" s="11">
        <f>MAX(0,M1481-N1481)</f>
        <v/>
      </c>
      <c r="K1481" s="11">
        <f>O1481</f>
        <v/>
      </c>
      <c r="L1481" s="11">
        <f>L1480+IF(K1481&gt;0,K1481*Summary!$B$9,K1481/Summary!$B$9)</f>
        <v/>
      </c>
      <c r="M1481" s="11">
        <f>G1481+H1481</f>
        <v/>
      </c>
      <c r="N1481" s="11">
        <f>Summary!$C$16*Summary!$B$8</f>
        <v/>
      </c>
      <c r="O1481" s="11">
        <f>M1481-N1481</f>
        <v/>
      </c>
    </row>
    <row r="1482">
      <c r="A1482" s="9" t="n">
        <v>45353.66666666666</v>
      </c>
      <c r="B1482" t="n">
        <v>3</v>
      </c>
      <c r="C1482" t="n">
        <v>2</v>
      </c>
      <c r="D1482" t="n">
        <v>16</v>
      </c>
      <c r="E1482" s="10" t="n">
        <v>0.137598</v>
      </c>
      <c r="F1482" s="10" t="n">
        <v>0.3286095188662845</v>
      </c>
      <c r="G1482" s="11">
        <f>E1482*Summary!$B$6</f>
        <v/>
      </c>
      <c r="H1482" s="11">
        <f>F1482*Summary!$B$7</f>
        <v/>
      </c>
      <c r="I1482" s="11">
        <f>MAX(0,N1482-M1482)</f>
        <v/>
      </c>
      <c r="J1482" s="11">
        <f>MAX(0,M1482-N1482)</f>
        <v/>
      </c>
      <c r="K1482" s="11">
        <f>O1482</f>
        <v/>
      </c>
      <c r="L1482" s="11">
        <f>L1481+IF(K1482&gt;0,K1482*Summary!$B$9,K1482/Summary!$B$9)</f>
        <v/>
      </c>
      <c r="M1482" s="11">
        <f>G1482+H1482</f>
        <v/>
      </c>
      <c r="N1482" s="11">
        <f>Summary!$C$16*Summary!$B$8</f>
        <v/>
      </c>
      <c r="O1482" s="11">
        <f>M1482-N1482</f>
        <v/>
      </c>
    </row>
    <row r="1483">
      <c r="A1483" s="9" t="n">
        <v>45353.70833333334</v>
      </c>
      <c r="B1483" t="n">
        <v>3</v>
      </c>
      <c r="C1483" t="n">
        <v>2</v>
      </c>
      <c r="D1483" t="n">
        <v>17</v>
      </c>
      <c r="E1483" s="10" t="n">
        <v>0.00532</v>
      </c>
      <c r="F1483" s="10" t="n">
        <v>0.3418909300538231</v>
      </c>
      <c r="G1483" s="11">
        <f>E1483*Summary!$B$6</f>
        <v/>
      </c>
      <c r="H1483" s="11">
        <f>F1483*Summary!$B$7</f>
        <v/>
      </c>
      <c r="I1483" s="11">
        <f>MAX(0,N1483-M1483)</f>
        <v/>
      </c>
      <c r="J1483" s="11">
        <f>MAX(0,M1483-N1483)</f>
        <v/>
      </c>
      <c r="K1483" s="11">
        <f>O1483</f>
        <v/>
      </c>
      <c r="L1483" s="11">
        <f>L1482+IF(K1483&gt;0,K1483*Summary!$B$9,K1483/Summary!$B$9)</f>
        <v/>
      </c>
      <c r="M1483" s="11">
        <f>G1483+H1483</f>
        <v/>
      </c>
      <c r="N1483" s="11">
        <f>Summary!$C$16*Summary!$B$8</f>
        <v/>
      </c>
      <c r="O1483" s="11">
        <f>M1483-N1483</f>
        <v/>
      </c>
    </row>
    <row r="1484">
      <c r="A1484" s="9" t="n">
        <v>45353.75</v>
      </c>
      <c r="B1484" t="n">
        <v>3</v>
      </c>
      <c r="C1484" t="n">
        <v>2</v>
      </c>
      <c r="D1484" t="n">
        <v>18</v>
      </c>
      <c r="E1484" s="10" t="n">
        <v>0</v>
      </c>
      <c r="F1484" s="10" t="n">
        <v>0.3804702673128642</v>
      </c>
      <c r="G1484" s="11">
        <f>E1484*Summary!$B$6</f>
        <v/>
      </c>
      <c r="H1484" s="11">
        <f>F1484*Summary!$B$7</f>
        <v/>
      </c>
      <c r="I1484" s="11">
        <f>MAX(0,N1484-M1484)</f>
        <v/>
      </c>
      <c r="J1484" s="11">
        <f>MAX(0,M1484-N1484)</f>
        <v/>
      </c>
      <c r="K1484" s="11">
        <f>O1484</f>
        <v/>
      </c>
      <c r="L1484" s="11">
        <f>L1483+IF(K1484&gt;0,K1484*Summary!$B$9,K1484/Summary!$B$9)</f>
        <v/>
      </c>
      <c r="M1484" s="11">
        <f>G1484+H1484</f>
        <v/>
      </c>
      <c r="N1484" s="11">
        <f>Summary!$C$16*Summary!$B$8</f>
        <v/>
      </c>
      <c r="O1484" s="11">
        <f>M1484-N1484</f>
        <v/>
      </c>
    </row>
    <row r="1485">
      <c r="A1485" s="9" t="n">
        <v>45353.79166666666</v>
      </c>
      <c r="B1485" t="n">
        <v>3</v>
      </c>
      <c r="C1485" t="n">
        <v>2</v>
      </c>
      <c r="D1485" t="n">
        <v>19</v>
      </c>
      <c r="E1485" s="10" t="n">
        <v>0</v>
      </c>
      <c r="F1485" s="10" t="n">
        <v>0.3651333996320159</v>
      </c>
      <c r="G1485" s="11">
        <f>E1485*Summary!$B$6</f>
        <v/>
      </c>
      <c r="H1485" s="11">
        <f>F1485*Summary!$B$7</f>
        <v/>
      </c>
      <c r="I1485" s="11">
        <f>MAX(0,N1485-M1485)</f>
        <v/>
      </c>
      <c r="J1485" s="11">
        <f>MAX(0,M1485-N1485)</f>
        <v/>
      </c>
      <c r="K1485" s="11">
        <f>O1485</f>
        <v/>
      </c>
      <c r="L1485" s="11">
        <f>L1484+IF(K1485&gt;0,K1485*Summary!$B$9,K1485/Summary!$B$9)</f>
        <v/>
      </c>
      <c r="M1485" s="11">
        <f>G1485+H1485</f>
        <v/>
      </c>
      <c r="N1485" s="11">
        <f>Summary!$C$16*Summary!$B$8</f>
        <v/>
      </c>
      <c r="O1485" s="11">
        <f>M1485-N1485</f>
        <v/>
      </c>
    </row>
    <row r="1486">
      <c r="A1486" s="9" t="n">
        <v>45353.83333333334</v>
      </c>
      <c r="B1486" t="n">
        <v>3</v>
      </c>
      <c r="C1486" t="n">
        <v>2</v>
      </c>
      <c r="D1486" t="n">
        <v>20</v>
      </c>
      <c r="E1486" s="10" t="n">
        <v>0</v>
      </c>
      <c r="F1486" s="10" t="n">
        <v>0.3548824691717926</v>
      </c>
      <c r="G1486" s="11">
        <f>E1486*Summary!$B$6</f>
        <v/>
      </c>
      <c r="H1486" s="11">
        <f>F1486*Summary!$B$7</f>
        <v/>
      </c>
      <c r="I1486" s="11">
        <f>MAX(0,N1486-M1486)</f>
        <v/>
      </c>
      <c r="J1486" s="11">
        <f>MAX(0,M1486-N1486)</f>
        <v/>
      </c>
      <c r="K1486" s="11">
        <f>O1486</f>
        <v/>
      </c>
      <c r="L1486" s="11">
        <f>L1485+IF(K1486&gt;0,K1486*Summary!$B$9,K1486/Summary!$B$9)</f>
        <v/>
      </c>
      <c r="M1486" s="11">
        <f>G1486+H1486</f>
        <v/>
      </c>
      <c r="N1486" s="11">
        <f>Summary!$C$16*Summary!$B$8</f>
        <v/>
      </c>
      <c r="O1486" s="11">
        <f>M1486-N1486</f>
        <v/>
      </c>
    </row>
    <row r="1487">
      <c r="A1487" s="9" t="n">
        <v>45353.875</v>
      </c>
      <c r="B1487" t="n">
        <v>3</v>
      </c>
      <c r="C1487" t="n">
        <v>2</v>
      </c>
      <c r="D1487" t="n">
        <v>21</v>
      </c>
      <c r="E1487" s="10" t="n">
        <v>0</v>
      </c>
      <c r="F1487" s="10" t="n">
        <v>0.3781249387499853</v>
      </c>
      <c r="G1487" s="11">
        <f>E1487*Summary!$B$6</f>
        <v/>
      </c>
      <c r="H1487" s="11">
        <f>F1487*Summary!$B$7</f>
        <v/>
      </c>
      <c r="I1487" s="11">
        <f>MAX(0,N1487-M1487)</f>
        <v/>
      </c>
      <c r="J1487" s="11">
        <f>MAX(0,M1487-N1487)</f>
        <v/>
      </c>
      <c r="K1487" s="11">
        <f>O1487</f>
        <v/>
      </c>
      <c r="L1487" s="11">
        <f>L1486+IF(K1487&gt;0,K1487*Summary!$B$9,K1487/Summary!$B$9)</f>
        <v/>
      </c>
      <c r="M1487" s="11">
        <f>G1487+H1487</f>
        <v/>
      </c>
      <c r="N1487" s="11">
        <f>Summary!$C$16*Summary!$B$8</f>
        <v/>
      </c>
      <c r="O1487" s="11">
        <f>M1487-N1487</f>
        <v/>
      </c>
    </row>
    <row r="1488">
      <c r="A1488" s="9" t="n">
        <v>45353.91666666666</v>
      </c>
      <c r="B1488" t="n">
        <v>3</v>
      </c>
      <c r="C1488" t="n">
        <v>2</v>
      </c>
      <c r="D1488" t="n">
        <v>22</v>
      </c>
      <c r="E1488" s="10" t="n">
        <v>0</v>
      </c>
      <c r="F1488" s="10" t="n">
        <v>0.3420753940980946</v>
      </c>
      <c r="G1488" s="11">
        <f>E1488*Summary!$B$6</f>
        <v/>
      </c>
      <c r="H1488" s="11">
        <f>F1488*Summary!$B$7</f>
        <v/>
      </c>
      <c r="I1488" s="11">
        <f>MAX(0,N1488-M1488)</f>
        <v/>
      </c>
      <c r="J1488" s="11">
        <f>MAX(0,M1488-N1488)</f>
        <v/>
      </c>
      <c r="K1488" s="11">
        <f>O1488</f>
        <v/>
      </c>
      <c r="L1488" s="11">
        <f>L1487+IF(K1488&gt;0,K1488*Summary!$B$9,K1488/Summary!$B$9)</f>
        <v/>
      </c>
      <c r="M1488" s="11">
        <f>G1488+H1488</f>
        <v/>
      </c>
      <c r="N1488" s="11">
        <f>Summary!$C$16*Summary!$B$8</f>
        <v/>
      </c>
      <c r="O1488" s="11">
        <f>M1488-N1488</f>
        <v/>
      </c>
    </row>
    <row r="1489">
      <c r="A1489" s="9" t="n">
        <v>45353.95833333334</v>
      </c>
      <c r="B1489" t="n">
        <v>3</v>
      </c>
      <c r="C1489" t="n">
        <v>2</v>
      </c>
      <c r="D1489" t="n">
        <v>23</v>
      </c>
      <c r="E1489" s="10" t="n">
        <v>0</v>
      </c>
      <c r="F1489" s="10" t="n">
        <v>0.3375428490102838</v>
      </c>
      <c r="G1489" s="11">
        <f>E1489*Summary!$B$6</f>
        <v/>
      </c>
      <c r="H1489" s="11">
        <f>F1489*Summary!$B$7</f>
        <v/>
      </c>
      <c r="I1489" s="11">
        <f>MAX(0,N1489-M1489)</f>
        <v/>
      </c>
      <c r="J1489" s="11">
        <f>MAX(0,M1489-N1489)</f>
        <v/>
      </c>
      <c r="K1489" s="11">
        <f>O1489</f>
        <v/>
      </c>
      <c r="L1489" s="11">
        <f>L1488+IF(K1489&gt;0,K1489*Summary!$B$9,K1489/Summary!$B$9)</f>
        <v/>
      </c>
      <c r="M1489" s="11">
        <f>G1489+H1489</f>
        <v/>
      </c>
      <c r="N1489" s="11">
        <f>Summary!$C$16*Summary!$B$8</f>
        <v/>
      </c>
      <c r="O1489" s="11">
        <f>M1489-N1489</f>
        <v/>
      </c>
    </row>
    <row r="1490">
      <c r="A1490" s="9" t="n">
        <v>45354</v>
      </c>
      <c r="B1490" t="n">
        <v>3</v>
      </c>
      <c r="C1490" t="n">
        <v>3</v>
      </c>
      <c r="D1490" t="n">
        <v>0</v>
      </c>
      <c r="E1490" s="10" t="n">
        <v>0</v>
      </c>
      <c r="F1490" s="10" t="n">
        <v>0.3485843396602415</v>
      </c>
      <c r="G1490" s="11">
        <f>E1490*Summary!$B$6</f>
        <v/>
      </c>
      <c r="H1490" s="11">
        <f>F1490*Summary!$B$7</f>
        <v/>
      </c>
      <c r="I1490" s="11">
        <f>MAX(0,N1490-M1490)</f>
        <v/>
      </c>
      <c r="J1490" s="11">
        <f>MAX(0,M1490-N1490)</f>
        <v/>
      </c>
      <c r="K1490" s="11">
        <f>O1490</f>
        <v/>
      </c>
      <c r="L1490" s="11">
        <f>L1489+IF(K1490&gt;0,K1490*Summary!$B$9,K1490/Summary!$B$9)</f>
        <v/>
      </c>
      <c r="M1490" s="11">
        <f>G1490+H1490</f>
        <v/>
      </c>
      <c r="N1490" s="11">
        <f>Summary!$C$16*Summary!$B$8</f>
        <v/>
      </c>
      <c r="O1490" s="11">
        <f>M1490-N1490</f>
        <v/>
      </c>
    </row>
    <row r="1491">
      <c r="A1491" s="9" t="n">
        <v>45354.04166666666</v>
      </c>
      <c r="B1491" t="n">
        <v>3</v>
      </c>
      <c r="C1491" t="n">
        <v>3</v>
      </c>
      <c r="D1491" t="n">
        <v>1</v>
      </c>
      <c r="E1491" s="10" t="n">
        <v>0</v>
      </c>
      <c r="F1491" s="10" t="n">
        <v>0.331481887555653</v>
      </c>
      <c r="G1491" s="11">
        <f>E1491*Summary!$B$6</f>
        <v/>
      </c>
      <c r="H1491" s="11">
        <f>F1491*Summary!$B$7</f>
        <v/>
      </c>
      <c r="I1491" s="11">
        <f>MAX(0,N1491-M1491)</f>
        <v/>
      </c>
      <c r="J1491" s="11">
        <f>MAX(0,M1491-N1491)</f>
        <v/>
      </c>
      <c r="K1491" s="11">
        <f>O1491</f>
        <v/>
      </c>
      <c r="L1491" s="11">
        <f>L1490+IF(K1491&gt;0,K1491*Summary!$B$9,K1491/Summary!$B$9)</f>
        <v/>
      </c>
      <c r="M1491" s="11">
        <f>G1491+H1491</f>
        <v/>
      </c>
      <c r="N1491" s="11">
        <f>Summary!$C$16*Summary!$B$8</f>
        <v/>
      </c>
      <c r="O1491" s="11">
        <f>M1491-N1491</f>
        <v/>
      </c>
    </row>
    <row r="1492">
      <c r="A1492" s="9" t="n">
        <v>45354.08333333334</v>
      </c>
      <c r="B1492" t="n">
        <v>3</v>
      </c>
      <c r="C1492" t="n">
        <v>3</v>
      </c>
      <c r="D1492" t="n">
        <v>2</v>
      </c>
      <c r="E1492" s="10" t="n">
        <v>0</v>
      </c>
      <c r="F1492" s="10" t="n">
        <v>0.3354873925169742</v>
      </c>
      <c r="G1492" s="11">
        <f>E1492*Summary!$B$6</f>
        <v/>
      </c>
      <c r="H1492" s="11">
        <f>F1492*Summary!$B$7</f>
        <v/>
      </c>
      <c r="I1492" s="11">
        <f>MAX(0,N1492-M1492)</f>
        <v/>
      </c>
      <c r="J1492" s="11">
        <f>MAX(0,M1492-N1492)</f>
        <v/>
      </c>
      <c r="K1492" s="11">
        <f>O1492</f>
        <v/>
      </c>
      <c r="L1492" s="11">
        <f>L1491+IF(K1492&gt;0,K1492*Summary!$B$9,K1492/Summary!$B$9)</f>
        <v/>
      </c>
      <c r="M1492" s="11">
        <f>G1492+H1492</f>
        <v/>
      </c>
      <c r="N1492" s="11">
        <f>Summary!$C$16*Summary!$B$8</f>
        <v/>
      </c>
      <c r="O1492" s="11">
        <f>M1492-N1492</f>
        <v/>
      </c>
    </row>
    <row r="1493">
      <c r="A1493" s="9" t="n">
        <v>45354.125</v>
      </c>
      <c r="B1493" t="n">
        <v>3</v>
      </c>
      <c r="C1493" t="n">
        <v>3</v>
      </c>
      <c r="D1493" t="n">
        <v>3</v>
      </c>
      <c r="E1493" s="10" t="n">
        <v>0</v>
      </c>
      <c r="F1493" s="10" t="n">
        <v>0.3379908331177999</v>
      </c>
      <c r="G1493" s="11">
        <f>E1493*Summary!$B$6</f>
        <v/>
      </c>
      <c r="H1493" s="11">
        <f>F1493*Summary!$B$7</f>
        <v/>
      </c>
      <c r="I1493" s="11">
        <f>MAX(0,N1493-M1493)</f>
        <v/>
      </c>
      <c r="J1493" s="11">
        <f>MAX(0,M1493-N1493)</f>
        <v/>
      </c>
      <c r="K1493" s="11">
        <f>O1493</f>
        <v/>
      </c>
      <c r="L1493" s="11">
        <f>L1492+IF(K1493&gt;0,K1493*Summary!$B$9,K1493/Summary!$B$9)</f>
        <v/>
      </c>
      <c r="M1493" s="11">
        <f>G1493+H1493</f>
        <v/>
      </c>
      <c r="N1493" s="11">
        <f>Summary!$C$16*Summary!$B$8</f>
        <v/>
      </c>
      <c r="O1493" s="11">
        <f>M1493-N1493</f>
        <v/>
      </c>
    </row>
    <row r="1494">
      <c r="A1494" s="9" t="n">
        <v>45354.16666666666</v>
      </c>
      <c r="B1494" t="n">
        <v>3</v>
      </c>
      <c r="C1494" t="n">
        <v>3</v>
      </c>
      <c r="D1494" t="n">
        <v>4</v>
      </c>
      <c r="E1494" s="10" t="n">
        <v>0</v>
      </c>
      <c r="F1494" s="10" t="n">
        <v>0.3427605462625311</v>
      </c>
      <c r="G1494" s="11">
        <f>E1494*Summary!$B$6</f>
        <v/>
      </c>
      <c r="H1494" s="11">
        <f>F1494*Summary!$B$7</f>
        <v/>
      </c>
      <c r="I1494" s="11">
        <f>MAX(0,N1494-M1494)</f>
        <v/>
      </c>
      <c r="J1494" s="11">
        <f>MAX(0,M1494-N1494)</f>
        <v/>
      </c>
      <c r="K1494" s="11">
        <f>O1494</f>
        <v/>
      </c>
      <c r="L1494" s="11">
        <f>L1493+IF(K1494&gt;0,K1494*Summary!$B$9,K1494/Summary!$B$9)</f>
        <v/>
      </c>
      <c r="M1494" s="11">
        <f>G1494+H1494</f>
        <v/>
      </c>
      <c r="N1494" s="11">
        <f>Summary!$C$16*Summary!$B$8</f>
        <v/>
      </c>
      <c r="O1494" s="11">
        <f>M1494-N1494</f>
        <v/>
      </c>
    </row>
    <row r="1495">
      <c r="A1495" s="9" t="n">
        <v>45354.20833333334</v>
      </c>
      <c r="B1495" t="n">
        <v>3</v>
      </c>
      <c r="C1495" t="n">
        <v>3</v>
      </c>
      <c r="D1495" t="n">
        <v>5</v>
      </c>
      <c r="E1495" s="10" t="n">
        <v>0</v>
      </c>
      <c r="F1495" s="10" t="n">
        <v>0.3501918120460349</v>
      </c>
      <c r="G1495" s="11">
        <f>E1495*Summary!$B$6</f>
        <v/>
      </c>
      <c r="H1495" s="11">
        <f>F1495*Summary!$B$7</f>
        <v/>
      </c>
      <c r="I1495" s="11">
        <f>MAX(0,N1495-M1495)</f>
        <v/>
      </c>
      <c r="J1495" s="11">
        <f>MAX(0,M1495-N1495)</f>
        <v/>
      </c>
      <c r="K1495" s="11">
        <f>O1495</f>
        <v/>
      </c>
      <c r="L1495" s="11">
        <f>L1494+IF(K1495&gt;0,K1495*Summary!$B$9,K1495/Summary!$B$9)</f>
        <v/>
      </c>
      <c r="M1495" s="11">
        <f>G1495+H1495</f>
        <v/>
      </c>
      <c r="N1495" s="11">
        <f>Summary!$C$16*Summary!$B$8</f>
        <v/>
      </c>
      <c r="O1495" s="11">
        <f>M1495-N1495</f>
        <v/>
      </c>
    </row>
    <row r="1496">
      <c r="A1496" s="9" t="n">
        <v>45354.25</v>
      </c>
      <c r="B1496" t="n">
        <v>3</v>
      </c>
      <c r="C1496" t="n">
        <v>3</v>
      </c>
      <c r="D1496" t="n">
        <v>6</v>
      </c>
      <c r="E1496" s="10" t="n">
        <v>0</v>
      </c>
      <c r="F1496" s="10" t="n">
        <v>0.3601528704366889</v>
      </c>
      <c r="G1496" s="11">
        <f>E1496*Summary!$B$6</f>
        <v/>
      </c>
      <c r="H1496" s="11">
        <f>F1496*Summary!$B$7</f>
        <v/>
      </c>
      <c r="I1496" s="11">
        <f>MAX(0,N1496-M1496)</f>
        <v/>
      </c>
      <c r="J1496" s="11">
        <f>MAX(0,M1496-N1496)</f>
        <v/>
      </c>
      <c r="K1496" s="11">
        <f>O1496</f>
        <v/>
      </c>
      <c r="L1496" s="11">
        <f>L1495+IF(K1496&gt;0,K1496*Summary!$B$9,K1496/Summary!$B$9)</f>
        <v/>
      </c>
      <c r="M1496" s="11">
        <f>G1496+H1496</f>
        <v/>
      </c>
      <c r="N1496" s="11">
        <f>Summary!$C$16*Summary!$B$8</f>
        <v/>
      </c>
      <c r="O1496" s="11">
        <f>M1496-N1496</f>
        <v/>
      </c>
    </row>
    <row r="1497">
      <c r="A1497" s="9" t="n">
        <v>45354.29166666666</v>
      </c>
      <c r="B1497" t="n">
        <v>3</v>
      </c>
      <c r="C1497" t="n">
        <v>3</v>
      </c>
      <c r="D1497" t="n">
        <v>7</v>
      </c>
      <c r="E1497" s="10" t="n">
        <v>0.026752</v>
      </c>
      <c r="F1497" s="10" t="n">
        <v>0.3656077357458565</v>
      </c>
      <c r="G1497" s="11">
        <f>E1497*Summary!$B$6</f>
        <v/>
      </c>
      <c r="H1497" s="11">
        <f>F1497*Summary!$B$7</f>
        <v/>
      </c>
      <c r="I1497" s="11">
        <f>MAX(0,N1497-M1497)</f>
        <v/>
      </c>
      <c r="J1497" s="11">
        <f>MAX(0,M1497-N1497)</f>
        <v/>
      </c>
      <c r="K1497" s="11">
        <f>O1497</f>
        <v/>
      </c>
      <c r="L1497" s="11">
        <f>L1496+IF(K1497&gt;0,K1497*Summary!$B$9,K1497/Summary!$B$9)</f>
        <v/>
      </c>
      <c r="M1497" s="11">
        <f>G1497+H1497</f>
        <v/>
      </c>
      <c r="N1497" s="11">
        <f>Summary!$C$16*Summary!$B$8</f>
        <v/>
      </c>
      <c r="O1497" s="11">
        <f>M1497-N1497</f>
        <v/>
      </c>
    </row>
    <row r="1498">
      <c r="A1498" s="9" t="n">
        <v>45354.33333333334</v>
      </c>
      <c r="B1498" t="n">
        <v>3</v>
      </c>
      <c r="C1498" t="n">
        <v>3</v>
      </c>
      <c r="D1498" t="n">
        <v>8</v>
      </c>
      <c r="E1498" s="10" t="n">
        <v>0.193967</v>
      </c>
      <c r="F1498" s="10" t="n">
        <v>0.3595731262975503</v>
      </c>
      <c r="G1498" s="11">
        <f>E1498*Summary!$B$6</f>
        <v/>
      </c>
      <c r="H1498" s="11">
        <f>F1498*Summary!$B$7</f>
        <v/>
      </c>
      <c r="I1498" s="11">
        <f>MAX(0,N1498-M1498)</f>
        <v/>
      </c>
      <c r="J1498" s="11">
        <f>MAX(0,M1498-N1498)</f>
        <v/>
      </c>
      <c r="K1498" s="11">
        <f>O1498</f>
        <v/>
      </c>
      <c r="L1498" s="11">
        <f>L1497+IF(K1498&gt;0,K1498*Summary!$B$9,K1498/Summary!$B$9)</f>
        <v/>
      </c>
      <c r="M1498" s="11">
        <f>G1498+H1498</f>
        <v/>
      </c>
      <c r="N1498" s="11">
        <f>Summary!$C$16*Summary!$B$8</f>
        <v/>
      </c>
      <c r="O1498" s="11">
        <f>M1498-N1498</f>
        <v/>
      </c>
    </row>
    <row r="1499">
      <c r="A1499" s="9" t="n">
        <v>45354.375</v>
      </c>
      <c r="B1499" t="n">
        <v>3</v>
      </c>
      <c r="C1499" t="n">
        <v>3</v>
      </c>
      <c r="D1499" t="n">
        <v>9</v>
      </c>
      <c r="E1499" s="10" t="n">
        <v>0.373514</v>
      </c>
      <c r="F1499" s="10" t="n">
        <v>0.3505080361219287</v>
      </c>
      <c r="G1499" s="11">
        <f>E1499*Summary!$B$6</f>
        <v/>
      </c>
      <c r="H1499" s="11">
        <f>F1499*Summary!$B$7</f>
        <v/>
      </c>
      <c r="I1499" s="11">
        <f>MAX(0,N1499-M1499)</f>
        <v/>
      </c>
      <c r="J1499" s="11">
        <f>MAX(0,M1499-N1499)</f>
        <v/>
      </c>
      <c r="K1499" s="11">
        <f>O1499</f>
        <v/>
      </c>
      <c r="L1499" s="11">
        <f>L1498+IF(K1499&gt;0,K1499*Summary!$B$9,K1499/Summary!$B$9)</f>
        <v/>
      </c>
      <c r="M1499" s="11">
        <f>G1499+H1499</f>
        <v/>
      </c>
      <c r="N1499" s="11">
        <f>Summary!$C$16*Summary!$B$8</f>
        <v/>
      </c>
      <c r="O1499" s="11">
        <f>M1499-N1499</f>
        <v/>
      </c>
    </row>
    <row r="1500">
      <c r="A1500" s="9" t="n">
        <v>45354.41666666666</v>
      </c>
      <c r="B1500" t="n">
        <v>3</v>
      </c>
      <c r="C1500" t="n">
        <v>3</v>
      </c>
      <c r="D1500" t="n">
        <v>10</v>
      </c>
      <c r="E1500" s="10" t="n">
        <v>0.513827</v>
      </c>
      <c r="F1500" s="10" t="n">
        <v>0.3377273130545551</v>
      </c>
      <c r="G1500" s="11">
        <f>E1500*Summary!$B$6</f>
        <v/>
      </c>
      <c r="H1500" s="11">
        <f>F1500*Summary!$B$7</f>
        <v/>
      </c>
      <c r="I1500" s="11">
        <f>MAX(0,N1500-M1500)</f>
        <v/>
      </c>
      <c r="J1500" s="11">
        <f>MAX(0,M1500-N1500)</f>
        <v/>
      </c>
      <c r="K1500" s="11">
        <f>O1500</f>
        <v/>
      </c>
      <c r="L1500" s="11">
        <f>L1499+IF(K1500&gt;0,K1500*Summary!$B$9,K1500/Summary!$B$9)</f>
        <v/>
      </c>
      <c r="M1500" s="11">
        <f>G1500+H1500</f>
        <v/>
      </c>
      <c r="N1500" s="11">
        <f>Summary!$C$16*Summary!$B$8</f>
        <v/>
      </c>
      <c r="O1500" s="11">
        <f>M1500-N1500</f>
        <v/>
      </c>
    </row>
    <row r="1501">
      <c r="A1501" s="9" t="n">
        <v>45354.45833333334</v>
      </c>
      <c r="B1501" t="n">
        <v>3</v>
      </c>
      <c r="C1501" t="n">
        <v>3</v>
      </c>
      <c r="D1501" t="n">
        <v>11</v>
      </c>
      <c r="E1501" s="10" t="n">
        <v>0.5980490000000001</v>
      </c>
      <c r="F1501" s="10" t="n">
        <v>0.3399145295794871</v>
      </c>
      <c r="G1501" s="11">
        <f>E1501*Summary!$B$6</f>
        <v/>
      </c>
      <c r="H1501" s="11">
        <f>F1501*Summary!$B$7</f>
        <v/>
      </c>
      <c r="I1501" s="11">
        <f>MAX(0,N1501-M1501)</f>
        <v/>
      </c>
      <c r="J1501" s="11">
        <f>MAX(0,M1501-N1501)</f>
        <v/>
      </c>
      <c r="K1501" s="11">
        <f>O1501</f>
        <v/>
      </c>
      <c r="L1501" s="11">
        <f>L1500+IF(K1501&gt;0,K1501*Summary!$B$9,K1501/Summary!$B$9)</f>
        <v/>
      </c>
      <c r="M1501" s="11">
        <f>G1501+H1501</f>
        <v/>
      </c>
      <c r="N1501" s="11">
        <f>Summary!$C$16*Summary!$B$8</f>
        <v/>
      </c>
      <c r="O1501" s="11">
        <f>M1501-N1501</f>
        <v/>
      </c>
    </row>
    <row r="1502">
      <c r="A1502" s="9" t="n">
        <v>45354.5</v>
      </c>
      <c r="B1502" t="n">
        <v>3</v>
      </c>
      <c r="C1502" t="n">
        <v>3</v>
      </c>
      <c r="D1502" t="n">
        <v>12</v>
      </c>
      <c r="E1502" s="10" t="n">
        <v>0.621379</v>
      </c>
      <c r="F1502" s="10" t="n">
        <v>0.3502708680650083</v>
      </c>
      <c r="G1502" s="11">
        <f>E1502*Summary!$B$6</f>
        <v/>
      </c>
      <c r="H1502" s="11">
        <f>F1502*Summary!$B$7</f>
        <v/>
      </c>
      <c r="I1502" s="11">
        <f>MAX(0,N1502-M1502)</f>
        <v/>
      </c>
      <c r="J1502" s="11">
        <f>MAX(0,M1502-N1502)</f>
        <v/>
      </c>
      <c r="K1502" s="11">
        <f>O1502</f>
        <v/>
      </c>
      <c r="L1502" s="11">
        <f>L1501+IF(K1502&gt;0,K1502*Summary!$B$9,K1502/Summary!$B$9)</f>
        <v/>
      </c>
      <c r="M1502" s="11">
        <f>G1502+H1502</f>
        <v/>
      </c>
      <c r="N1502" s="11">
        <f>Summary!$C$16*Summary!$B$8</f>
        <v/>
      </c>
      <c r="O1502" s="11">
        <f>M1502-N1502</f>
        <v/>
      </c>
    </row>
    <row r="1503">
      <c r="A1503" s="9" t="n">
        <v>45354.54166666666</v>
      </c>
      <c r="B1503" t="n">
        <v>3</v>
      </c>
      <c r="C1503" t="n">
        <v>3</v>
      </c>
      <c r="D1503" t="n">
        <v>13</v>
      </c>
      <c r="E1503" s="10" t="n">
        <v>0.587307</v>
      </c>
      <c r="F1503" s="10" t="n">
        <v>0.360811670594801</v>
      </c>
      <c r="G1503" s="11">
        <f>E1503*Summary!$B$6</f>
        <v/>
      </c>
      <c r="H1503" s="11">
        <f>F1503*Summary!$B$7</f>
        <v/>
      </c>
      <c r="I1503" s="11">
        <f>MAX(0,N1503-M1503)</f>
        <v/>
      </c>
      <c r="J1503" s="11">
        <f>MAX(0,M1503-N1503)</f>
        <v/>
      </c>
      <c r="K1503" s="11">
        <f>O1503</f>
        <v/>
      </c>
      <c r="L1503" s="11">
        <f>L1502+IF(K1503&gt;0,K1503*Summary!$B$9,K1503/Summary!$B$9)</f>
        <v/>
      </c>
      <c r="M1503" s="11">
        <f>G1503+H1503</f>
        <v/>
      </c>
      <c r="N1503" s="11">
        <f>Summary!$C$16*Summary!$B$8</f>
        <v/>
      </c>
      <c r="O1503" s="11">
        <f>M1503-N1503</f>
        <v/>
      </c>
    </row>
    <row r="1504">
      <c r="A1504" s="9" t="n">
        <v>45354.58333333334</v>
      </c>
      <c r="B1504" t="n">
        <v>3</v>
      </c>
      <c r="C1504" t="n">
        <v>3</v>
      </c>
      <c r="D1504" t="n">
        <v>14</v>
      </c>
      <c r="E1504" s="10" t="n">
        <v>0.492968</v>
      </c>
      <c r="F1504" s="10" t="n">
        <v>0.3667145200114847</v>
      </c>
      <c r="G1504" s="11">
        <f>E1504*Summary!$B$6</f>
        <v/>
      </c>
      <c r="H1504" s="11">
        <f>F1504*Summary!$B$7</f>
        <v/>
      </c>
      <c r="I1504" s="11">
        <f>MAX(0,N1504-M1504)</f>
        <v/>
      </c>
      <c r="J1504" s="11">
        <f>MAX(0,M1504-N1504)</f>
        <v/>
      </c>
      <c r="K1504" s="11">
        <f>O1504</f>
        <v/>
      </c>
      <c r="L1504" s="11">
        <f>L1503+IF(K1504&gt;0,K1504*Summary!$B$9,K1504/Summary!$B$9)</f>
        <v/>
      </c>
      <c r="M1504" s="11">
        <f>G1504+H1504</f>
        <v/>
      </c>
      <c r="N1504" s="11">
        <f>Summary!$C$16*Summary!$B$8</f>
        <v/>
      </c>
      <c r="O1504" s="11">
        <f>M1504-N1504</f>
        <v/>
      </c>
    </row>
    <row r="1505">
      <c r="A1505" s="9" t="n">
        <v>45354.625</v>
      </c>
      <c r="B1505" t="n">
        <v>3</v>
      </c>
      <c r="C1505" t="n">
        <v>3</v>
      </c>
      <c r="D1505" t="n">
        <v>15</v>
      </c>
      <c r="E1505" s="10" t="n">
        <v>0.342528</v>
      </c>
      <c r="F1505" s="10" t="n">
        <v>0.3693233686376085</v>
      </c>
      <c r="G1505" s="11">
        <f>E1505*Summary!$B$6</f>
        <v/>
      </c>
      <c r="H1505" s="11">
        <f>F1505*Summary!$B$7</f>
        <v/>
      </c>
      <c r="I1505" s="11">
        <f>MAX(0,N1505-M1505)</f>
        <v/>
      </c>
      <c r="J1505" s="11">
        <f>MAX(0,M1505-N1505)</f>
        <v/>
      </c>
      <c r="K1505" s="11">
        <f>O1505</f>
        <v/>
      </c>
      <c r="L1505" s="11">
        <f>L1504+IF(K1505&gt;0,K1505*Summary!$B$9,K1505/Summary!$B$9)</f>
        <v/>
      </c>
      <c r="M1505" s="11">
        <f>G1505+H1505</f>
        <v/>
      </c>
      <c r="N1505" s="11">
        <f>Summary!$C$16*Summary!$B$8</f>
        <v/>
      </c>
      <c r="O1505" s="11">
        <f>M1505-N1505</f>
        <v/>
      </c>
    </row>
    <row r="1506">
      <c r="A1506" s="9" t="n">
        <v>45354.66666666666</v>
      </c>
      <c r="B1506" t="n">
        <v>3</v>
      </c>
      <c r="C1506" t="n">
        <v>3</v>
      </c>
      <c r="D1506" t="n">
        <v>16</v>
      </c>
      <c r="E1506" s="10" t="n">
        <v>0.146496</v>
      </c>
      <c r="F1506" s="10" t="n">
        <v>0.3745937699025048</v>
      </c>
      <c r="G1506" s="11">
        <f>E1506*Summary!$B$6</f>
        <v/>
      </c>
      <c r="H1506" s="11">
        <f>F1506*Summary!$B$7</f>
        <v/>
      </c>
      <c r="I1506" s="11">
        <f>MAX(0,N1506-M1506)</f>
        <v/>
      </c>
      <c r="J1506" s="11">
        <f>MAX(0,M1506-N1506)</f>
        <v/>
      </c>
      <c r="K1506" s="11">
        <f>O1506</f>
        <v/>
      </c>
      <c r="L1506" s="11">
        <f>L1505+IF(K1506&gt;0,K1506*Summary!$B$9,K1506/Summary!$B$9)</f>
        <v/>
      </c>
      <c r="M1506" s="11">
        <f>G1506+H1506</f>
        <v/>
      </c>
      <c r="N1506" s="11">
        <f>Summary!$C$16*Summary!$B$8</f>
        <v/>
      </c>
      <c r="O1506" s="11">
        <f>M1506-N1506</f>
        <v/>
      </c>
    </row>
    <row r="1507">
      <c r="A1507" s="9" t="n">
        <v>45354.70833333334</v>
      </c>
      <c r="B1507" t="n">
        <v>3</v>
      </c>
      <c r="C1507" t="n">
        <v>3</v>
      </c>
      <c r="D1507" t="n">
        <v>17</v>
      </c>
      <c r="E1507" s="10" t="n">
        <v>0.006812</v>
      </c>
      <c r="F1507" s="10" t="n">
        <v>0.3851082204259729</v>
      </c>
      <c r="G1507" s="11">
        <f>E1507*Summary!$B$6</f>
        <v/>
      </c>
      <c r="H1507" s="11">
        <f>F1507*Summary!$B$7</f>
        <v/>
      </c>
      <c r="I1507" s="11">
        <f>MAX(0,N1507-M1507)</f>
        <v/>
      </c>
      <c r="J1507" s="11">
        <f>MAX(0,M1507-N1507)</f>
        <v/>
      </c>
      <c r="K1507" s="11">
        <f>O1507</f>
        <v/>
      </c>
      <c r="L1507" s="11">
        <f>L1506+IF(K1507&gt;0,K1507*Summary!$B$9,K1507/Summary!$B$9)</f>
        <v/>
      </c>
      <c r="M1507" s="11">
        <f>G1507+H1507</f>
        <v/>
      </c>
      <c r="N1507" s="11">
        <f>Summary!$C$16*Summary!$B$8</f>
        <v/>
      </c>
      <c r="O1507" s="11">
        <f>M1507-N1507</f>
        <v/>
      </c>
    </row>
    <row r="1508">
      <c r="A1508" s="9" t="n">
        <v>45354.75</v>
      </c>
      <c r="B1508" t="n">
        <v>3</v>
      </c>
      <c r="C1508" t="n">
        <v>3</v>
      </c>
      <c r="D1508" t="n">
        <v>18</v>
      </c>
      <c r="E1508" s="10" t="n">
        <v>0</v>
      </c>
      <c r="F1508" s="10" t="n">
        <v>0.3904313257035181</v>
      </c>
      <c r="G1508" s="11">
        <f>E1508*Summary!$B$6</f>
        <v/>
      </c>
      <c r="H1508" s="11">
        <f>F1508*Summary!$B$7</f>
        <v/>
      </c>
      <c r="I1508" s="11">
        <f>MAX(0,N1508-M1508)</f>
        <v/>
      </c>
      <c r="J1508" s="11">
        <f>MAX(0,M1508-N1508)</f>
        <v/>
      </c>
      <c r="K1508" s="11">
        <f>O1508</f>
        <v/>
      </c>
      <c r="L1508" s="11">
        <f>L1507+IF(K1508&gt;0,K1508*Summary!$B$9,K1508/Summary!$B$9)</f>
        <v/>
      </c>
      <c r="M1508" s="11">
        <f>G1508+H1508</f>
        <v/>
      </c>
      <c r="N1508" s="11">
        <f>Summary!$C$16*Summary!$B$8</f>
        <v/>
      </c>
      <c r="O1508" s="11">
        <f>M1508-N1508</f>
        <v/>
      </c>
    </row>
    <row r="1509">
      <c r="A1509" s="9" t="n">
        <v>45354.79166666666</v>
      </c>
      <c r="B1509" t="n">
        <v>3</v>
      </c>
      <c r="C1509" t="n">
        <v>3</v>
      </c>
      <c r="D1509" t="n">
        <v>19</v>
      </c>
      <c r="E1509" s="10" t="n">
        <v>0</v>
      </c>
      <c r="F1509" s="10" t="n">
        <v>0.3923550221652053</v>
      </c>
      <c r="G1509" s="11">
        <f>E1509*Summary!$B$6</f>
        <v/>
      </c>
      <c r="H1509" s="11">
        <f>F1509*Summary!$B$7</f>
        <v/>
      </c>
      <c r="I1509" s="11">
        <f>MAX(0,N1509-M1509)</f>
        <v/>
      </c>
      <c r="J1509" s="11">
        <f>MAX(0,M1509-N1509)</f>
        <v/>
      </c>
      <c r="K1509" s="11">
        <f>O1509</f>
        <v/>
      </c>
      <c r="L1509" s="11">
        <f>L1508+IF(K1509&gt;0,K1509*Summary!$B$9,K1509/Summary!$B$9)</f>
        <v/>
      </c>
      <c r="M1509" s="11">
        <f>G1509+H1509</f>
        <v/>
      </c>
      <c r="N1509" s="11">
        <f>Summary!$C$16*Summary!$B$8</f>
        <v/>
      </c>
      <c r="O1509" s="11">
        <f>M1509-N1509</f>
        <v/>
      </c>
    </row>
    <row r="1510">
      <c r="A1510" s="9" t="n">
        <v>45354.83333333334</v>
      </c>
      <c r="B1510" t="n">
        <v>3</v>
      </c>
      <c r="C1510" t="n">
        <v>3</v>
      </c>
      <c r="D1510" t="n">
        <v>20</v>
      </c>
      <c r="E1510" s="10" t="n">
        <v>0</v>
      </c>
      <c r="F1510" s="10" t="n">
        <v>0.3860041886410053</v>
      </c>
      <c r="G1510" s="11">
        <f>E1510*Summary!$B$6</f>
        <v/>
      </c>
      <c r="H1510" s="11">
        <f>F1510*Summary!$B$7</f>
        <v/>
      </c>
      <c r="I1510" s="11">
        <f>MAX(0,N1510-M1510)</f>
        <v/>
      </c>
      <c r="J1510" s="11">
        <f>MAX(0,M1510-N1510)</f>
        <v/>
      </c>
      <c r="K1510" s="11">
        <f>O1510</f>
        <v/>
      </c>
      <c r="L1510" s="11">
        <f>L1509+IF(K1510&gt;0,K1510*Summary!$B$9,K1510/Summary!$B$9)</f>
        <v/>
      </c>
      <c r="M1510" s="11">
        <f>G1510+H1510</f>
        <v/>
      </c>
      <c r="N1510" s="11">
        <f>Summary!$C$16*Summary!$B$8</f>
        <v/>
      </c>
      <c r="O1510" s="11">
        <f>M1510-N1510</f>
        <v/>
      </c>
    </row>
    <row r="1511">
      <c r="A1511" s="9" t="n">
        <v>45354.875</v>
      </c>
      <c r="B1511" t="n">
        <v>3</v>
      </c>
      <c r="C1511" t="n">
        <v>3</v>
      </c>
      <c r="D1511" t="n">
        <v>21</v>
      </c>
      <c r="E1511" s="10" t="n">
        <v>0</v>
      </c>
      <c r="F1511" s="10" t="n">
        <v>0.3766228743894898</v>
      </c>
      <c r="G1511" s="11">
        <f>E1511*Summary!$B$6</f>
        <v/>
      </c>
      <c r="H1511" s="11">
        <f>F1511*Summary!$B$7</f>
        <v/>
      </c>
      <c r="I1511" s="11">
        <f>MAX(0,N1511-M1511)</f>
        <v/>
      </c>
      <c r="J1511" s="11">
        <f>MAX(0,M1511-N1511)</f>
        <v/>
      </c>
      <c r="K1511" s="11">
        <f>O1511</f>
        <v/>
      </c>
      <c r="L1511" s="11">
        <f>L1510+IF(K1511&gt;0,K1511*Summary!$B$9,K1511/Summary!$B$9)</f>
        <v/>
      </c>
      <c r="M1511" s="11">
        <f>G1511+H1511</f>
        <v/>
      </c>
      <c r="N1511" s="11">
        <f>Summary!$C$16*Summary!$B$8</f>
        <v/>
      </c>
      <c r="O1511" s="11">
        <f>M1511-N1511</f>
        <v/>
      </c>
    </row>
    <row r="1512">
      <c r="A1512" s="9" t="n">
        <v>45354.91666666666</v>
      </c>
      <c r="B1512" t="n">
        <v>3</v>
      </c>
      <c r="C1512" t="n">
        <v>3</v>
      </c>
      <c r="D1512" t="n">
        <v>22</v>
      </c>
      <c r="E1512" s="10" t="n">
        <v>0</v>
      </c>
      <c r="F1512" s="10" t="n">
        <v>0.3658185517964525</v>
      </c>
      <c r="G1512" s="11">
        <f>E1512*Summary!$B$6</f>
        <v/>
      </c>
      <c r="H1512" s="11">
        <f>F1512*Summary!$B$7</f>
        <v/>
      </c>
      <c r="I1512" s="11">
        <f>MAX(0,N1512-M1512)</f>
        <v/>
      </c>
      <c r="J1512" s="11">
        <f>MAX(0,M1512-N1512)</f>
        <v/>
      </c>
      <c r="K1512" s="11">
        <f>O1512</f>
        <v/>
      </c>
      <c r="L1512" s="11">
        <f>L1511+IF(K1512&gt;0,K1512*Summary!$B$9,K1512/Summary!$B$9)</f>
        <v/>
      </c>
      <c r="M1512" s="11">
        <f>G1512+H1512</f>
        <v/>
      </c>
      <c r="N1512" s="11">
        <f>Summary!$C$16*Summary!$B$8</f>
        <v/>
      </c>
      <c r="O1512" s="11">
        <f>M1512-N1512</f>
        <v/>
      </c>
    </row>
    <row r="1513">
      <c r="A1513" s="9" t="n">
        <v>45354.95833333334</v>
      </c>
      <c r="B1513" t="n">
        <v>3</v>
      </c>
      <c r="C1513" t="n">
        <v>3</v>
      </c>
      <c r="D1513" t="n">
        <v>23</v>
      </c>
      <c r="E1513" s="10" t="n">
        <v>0</v>
      </c>
      <c r="F1513" s="10" t="n">
        <v>0.3577811898674856</v>
      </c>
      <c r="G1513" s="11">
        <f>E1513*Summary!$B$6</f>
        <v/>
      </c>
      <c r="H1513" s="11">
        <f>F1513*Summary!$B$7</f>
        <v/>
      </c>
      <c r="I1513" s="11">
        <f>MAX(0,N1513-M1513)</f>
        <v/>
      </c>
      <c r="J1513" s="11">
        <f>MAX(0,M1513-N1513)</f>
        <v/>
      </c>
      <c r="K1513" s="11">
        <f>O1513</f>
        <v/>
      </c>
      <c r="L1513" s="11">
        <f>L1512+IF(K1513&gt;0,K1513*Summary!$B$9,K1513/Summary!$B$9)</f>
        <v/>
      </c>
      <c r="M1513" s="11">
        <f>G1513+H1513</f>
        <v/>
      </c>
      <c r="N1513" s="11">
        <f>Summary!$C$16*Summary!$B$8</f>
        <v/>
      </c>
      <c r="O1513" s="11">
        <f>M1513-N1513</f>
        <v/>
      </c>
    </row>
    <row r="1514">
      <c r="A1514" s="9" t="n">
        <v>45355</v>
      </c>
      <c r="B1514" t="n">
        <v>3</v>
      </c>
      <c r="C1514" t="n">
        <v>4</v>
      </c>
      <c r="D1514" t="n">
        <v>0</v>
      </c>
      <c r="E1514" s="10" t="n">
        <v>0</v>
      </c>
      <c r="F1514" s="10" t="n">
        <v>0.3970720312972875</v>
      </c>
      <c r="G1514" s="11">
        <f>E1514*Summary!$B$6</f>
        <v/>
      </c>
      <c r="H1514" s="11">
        <f>F1514*Summary!$B$7</f>
        <v/>
      </c>
      <c r="I1514" s="11">
        <f>MAX(0,N1514-M1514)</f>
        <v/>
      </c>
      <c r="J1514" s="11">
        <f>MAX(0,M1514-N1514)</f>
        <v/>
      </c>
      <c r="K1514" s="11">
        <f>O1514</f>
        <v/>
      </c>
      <c r="L1514" s="11">
        <f>L1513+IF(K1514&gt;0,K1514*Summary!$B$9,K1514/Summary!$B$9)</f>
        <v/>
      </c>
      <c r="M1514" s="11">
        <f>G1514+H1514</f>
        <v/>
      </c>
      <c r="N1514" s="11">
        <f>Summary!$C$16*Summary!$B$8</f>
        <v/>
      </c>
      <c r="O1514" s="11">
        <f>M1514-N1514</f>
        <v/>
      </c>
    </row>
    <row r="1515">
      <c r="A1515" s="9" t="n">
        <v>45355.04166666666</v>
      </c>
      <c r="B1515" t="n">
        <v>3</v>
      </c>
      <c r="C1515" t="n">
        <v>4</v>
      </c>
      <c r="D1515" t="n">
        <v>1</v>
      </c>
      <c r="E1515" s="10" t="n">
        <v>0</v>
      </c>
      <c r="F1515" s="10" t="n">
        <v>0.3468714592491502</v>
      </c>
      <c r="G1515" s="11">
        <f>E1515*Summary!$B$6</f>
        <v/>
      </c>
      <c r="H1515" s="11">
        <f>F1515*Summary!$B$7</f>
        <v/>
      </c>
      <c r="I1515" s="11">
        <f>MAX(0,N1515-M1515)</f>
        <v/>
      </c>
      <c r="J1515" s="11">
        <f>MAX(0,M1515-N1515)</f>
        <v/>
      </c>
      <c r="K1515" s="11">
        <f>O1515</f>
        <v/>
      </c>
      <c r="L1515" s="11">
        <f>L1514+IF(K1515&gt;0,K1515*Summary!$B$9,K1515/Summary!$B$9)</f>
        <v/>
      </c>
      <c r="M1515" s="11">
        <f>G1515+H1515</f>
        <v/>
      </c>
      <c r="N1515" s="11">
        <f>Summary!$C$16*Summary!$B$8</f>
        <v/>
      </c>
      <c r="O1515" s="11">
        <f>M1515-N1515</f>
        <v/>
      </c>
    </row>
    <row r="1516">
      <c r="A1516" s="9" t="n">
        <v>45355.08333333334</v>
      </c>
      <c r="B1516" t="n">
        <v>3</v>
      </c>
      <c r="C1516" t="n">
        <v>4</v>
      </c>
      <c r="D1516" t="n">
        <v>2</v>
      </c>
      <c r="E1516" s="10" t="n">
        <v>0</v>
      </c>
      <c r="F1516" s="10" t="n">
        <v>0.3282142387714173</v>
      </c>
      <c r="G1516" s="11">
        <f>E1516*Summary!$B$6</f>
        <v/>
      </c>
      <c r="H1516" s="11">
        <f>F1516*Summary!$B$7</f>
        <v/>
      </c>
      <c r="I1516" s="11">
        <f>MAX(0,N1516-M1516)</f>
        <v/>
      </c>
      <c r="J1516" s="11">
        <f>MAX(0,M1516-N1516)</f>
        <v/>
      </c>
      <c r="K1516" s="11">
        <f>O1516</f>
        <v/>
      </c>
      <c r="L1516" s="11">
        <f>L1515+IF(K1516&gt;0,K1516*Summary!$B$9,K1516/Summary!$B$9)</f>
        <v/>
      </c>
      <c r="M1516" s="11">
        <f>G1516+H1516</f>
        <v/>
      </c>
      <c r="N1516" s="11">
        <f>Summary!$C$16*Summary!$B$8</f>
        <v/>
      </c>
      <c r="O1516" s="11">
        <f>M1516-N1516</f>
        <v/>
      </c>
    </row>
    <row r="1517">
      <c r="A1517" s="9" t="n">
        <v>45355.125</v>
      </c>
      <c r="B1517" t="n">
        <v>3</v>
      </c>
      <c r="C1517" t="n">
        <v>4</v>
      </c>
      <c r="D1517" t="n">
        <v>3</v>
      </c>
      <c r="E1517" s="10" t="n">
        <v>0</v>
      </c>
      <c r="F1517" s="10" t="n">
        <v>0.3385442252506141</v>
      </c>
      <c r="G1517" s="11">
        <f>E1517*Summary!$B$6</f>
        <v/>
      </c>
      <c r="H1517" s="11">
        <f>F1517*Summary!$B$7</f>
        <v/>
      </c>
      <c r="I1517" s="11">
        <f>MAX(0,N1517-M1517)</f>
        <v/>
      </c>
      <c r="J1517" s="11">
        <f>MAX(0,M1517-N1517)</f>
        <v/>
      </c>
      <c r="K1517" s="11">
        <f>O1517</f>
        <v/>
      </c>
      <c r="L1517" s="11">
        <f>L1516+IF(K1517&gt;0,K1517*Summary!$B$9,K1517/Summary!$B$9)</f>
        <v/>
      </c>
      <c r="M1517" s="11">
        <f>G1517+H1517</f>
        <v/>
      </c>
      <c r="N1517" s="11">
        <f>Summary!$C$16*Summary!$B$8</f>
        <v/>
      </c>
      <c r="O1517" s="11">
        <f>M1517-N1517</f>
        <v/>
      </c>
    </row>
    <row r="1518">
      <c r="A1518" s="9" t="n">
        <v>45355.16666666666</v>
      </c>
      <c r="B1518" t="n">
        <v>3</v>
      </c>
      <c r="C1518" t="n">
        <v>4</v>
      </c>
      <c r="D1518" t="n">
        <v>4</v>
      </c>
      <c r="E1518" s="10" t="n">
        <v>0</v>
      </c>
      <c r="F1518" s="10" t="n">
        <v>0.3379644811114755</v>
      </c>
      <c r="G1518" s="11">
        <f>E1518*Summary!$B$6</f>
        <v/>
      </c>
      <c r="H1518" s="11">
        <f>F1518*Summary!$B$7</f>
        <v/>
      </c>
      <c r="I1518" s="11">
        <f>MAX(0,N1518-M1518)</f>
        <v/>
      </c>
      <c r="J1518" s="11">
        <f>MAX(0,M1518-N1518)</f>
        <v/>
      </c>
      <c r="K1518" s="11">
        <f>O1518</f>
        <v/>
      </c>
      <c r="L1518" s="11">
        <f>L1517+IF(K1518&gt;0,K1518*Summary!$B$9,K1518/Summary!$B$9)</f>
        <v/>
      </c>
      <c r="M1518" s="11">
        <f>G1518+H1518</f>
        <v/>
      </c>
      <c r="N1518" s="11">
        <f>Summary!$C$16*Summary!$B$8</f>
        <v/>
      </c>
      <c r="O1518" s="11">
        <f>M1518-N1518</f>
        <v/>
      </c>
    </row>
    <row r="1519">
      <c r="A1519" s="9" t="n">
        <v>45355.20833333334</v>
      </c>
      <c r="B1519" t="n">
        <v>3</v>
      </c>
      <c r="C1519" t="n">
        <v>4</v>
      </c>
      <c r="D1519" t="n">
        <v>5</v>
      </c>
      <c r="E1519" s="10" t="n">
        <v>0</v>
      </c>
      <c r="F1519" s="10" t="n">
        <v>0.3399935855984605</v>
      </c>
      <c r="G1519" s="11">
        <f>E1519*Summary!$B$6</f>
        <v/>
      </c>
      <c r="H1519" s="11">
        <f>F1519*Summary!$B$7</f>
        <v/>
      </c>
      <c r="I1519" s="11">
        <f>MAX(0,N1519-M1519)</f>
        <v/>
      </c>
      <c r="J1519" s="11">
        <f>MAX(0,M1519-N1519)</f>
        <v/>
      </c>
      <c r="K1519" s="11">
        <f>O1519</f>
        <v/>
      </c>
      <c r="L1519" s="11">
        <f>L1518+IF(K1519&gt;0,K1519*Summary!$B$9,K1519/Summary!$B$9)</f>
        <v/>
      </c>
      <c r="M1519" s="11">
        <f>G1519+H1519</f>
        <v/>
      </c>
      <c r="N1519" s="11">
        <f>Summary!$C$16*Summary!$B$8</f>
        <v/>
      </c>
      <c r="O1519" s="11">
        <f>M1519-N1519</f>
        <v/>
      </c>
    </row>
    <row r="1520">
      <c r="A1520" s="9" t="n">
        <v>45355.25</v>
      </c>
      <c r="B1520" t="n">
        <v>3</v>
      </c>
      <c r="C1520" t="n">
        <v>4</v>
      </c>
      <c r="D1520" t="n">
        <v>6</v>
      </c>
      <c r="E1520" s="10" t="n">
        <v>0</v>
      </c>
      <c r="F1520" s="10" t="n">
        <v>0.3368576968458473</v>
      </c>
      <c r="G1520" s="11">
        <f>E1520*Summary!$B$6</f>
        <v/>
      </c>
      <c r="H1520" s="11">
        <f>F1520*Summary!$B$7</f>
        <v/>
      </c>
      <c r="I1520" s="11">
        <f>MAX(0,N1520-M1520)</f>
        <v/>
      </c>
      <c r="J1520" s="11">
        <f>MAX(0,M1520-N1520)</f>
        <v/>
      </c>
      <c r="K1520" s="11">
        <f>O1520</f>
        <v/>
      </c>
      <c r="L1520" s="11">
        <f>L1519+IF(K1520&gt;0,K1520*Summary!$B$9,K1520/Summary!$B$9)</f>
        <v/>
      </c>
      <c r="M1520" s="11">
        <f>G1520+H1520</f>
        <v/>
      </c>
      <c r="N1520" s="11">
        <f>Summary!$C$16*Summary!$B$8</f>
        <v/>
      </c>
      <c r="O1520" s="11">
        <f>M1520-N1520</f>
        <v/>
      </c>
    </row>
    <row r="1521">
      <c r="A1521" s="9" t="n">
        <v>45355.29166666666</v>
      </c>
      <c r="B1521" t="n">
        <v>3</v>
      </c>
      <c r="C1521" t="n">
        <v>4</v>
      </c>
      <c r="D1521" t="n">
        <v>7</v>
      </c>
      <c r="E1521" s="10" t="n">
        <v>0.031588</v>
      </c>
      <c r="F1521" s="10" t="n">
        <v>0.3345387202892929</v>
      </c>
      <c r="G1521" s="11">
        <f>E1521*Summary!$B$6</f>
        <v/>
      </c>
      <c r="H1521" s="11">
        <f>F1521*Summary!$B$7</f>
        <v/>
      </c>
      <c r="I1521" s="11">
        <f>MAX(0,N1521-M1521)</f>
        <v/>
      </c>
      <c r="J1521" s="11">
        <f>MAX(0,M1521-N1521)</f>
        <v/>
      </c>
      <c r="K1521" s="11">
        <f>O1521</f>
        <v/>
      </c>
      <c r="L1521" s="11">
        <f>L1520+IF(K1521&gt;0,K1521*Summary!$B$9,K1521/Summary!$B$9)</f>
        <v/>
      </c>
      <c r="M1521" s="11">
        <f>G1521+H1521</f>
        <v/>
      </c>
      <c r="N1521" s="11">
        <f>Summary!$C$16*Summary!$B$8</f>
        <v/>
      </c>
      <c r="O1521" s="11">
        <f>M1521-N1521</f>
        <v/>
      </c>
    </row>
    <row r="1522">
      <c r="A1522" s="9" t="n">
        <v>45355.33333333334</v>
      </c>
      <c r="B1522" t="n">
        <v>3</v>
      </c>
      <c r="C1522" t="n">
        <v>4</v>
      </c>
      <c r="D1522" t="n">
        <v>8</v>
      </c>
      <c r="E1522" s="10" t="n">
        <v>0.205336</v>
      </c>
      <c r="F1522" s="10" t="n">
        <v>0.3214944771586745</v>
      </c>
      <c r="G1522" s="11">
        <f>E1522*Summary!$B$6</f>
        <v/>
      </c>
      <c r="H1522" s="11">
        <f>F1522*Summary!$B$7</f>
        <v/>
      </c>
      <c r="I1522" s="11">
        <f>MAX(0,N1522-M1522)</f>
        <v/>
      </c>
      <c r="J1522" s="11">
        <f>MAX(0,M1522-N1522)</f>
        <v/>
      </c>
      <c r="K1522" s="11">
        <f>O1522</f>
        <v/>
      </c>
      <c r="L1522" s="11">
        <f>L1521+IF(K1522&gt;0,K1522*Summary!$B$9,K1522/Summary!$B$9)</f>
        <v/>
      </c>
      <c r="M1522" s="11">
        <f>G1522+H1522</f>
        <v/>
      </c>
      <c r="N1522" s="11">
        <f>Summary!$C$16*Summary!$B$8</f>
        <v/>
      </c>
      <c r="O1522" s="11">
        <f>M1522-N1522</f>
        <v/>
      </c>
    </row>
    <row r="1523">
      <c r="A1523" s="9" t="n">
        <v>45355.375</v>
      </c>
      <c r="B1523" t="n">
        <v>3</v>
      </c>
      <c r="C1523" t="n">
        <v>4</v>
      </c>
      <c r="D1523" t="n">
        <v>9</v>
      </c>
      <c r="E1523" s="10" t="n">
        <v>0.382783</v>
      </c>
      <c r="F1523" s="10" t="n">
        <v>0.3125084430020263</v>
      </c>
      <c r="G1523" s="11">
        <f>E1523*Summary!$B$6</f>
        <v/>
      </c>
      <c r="H1523" s="11">
        <f>F1523*Summary!$B$7</f>
        <v/>
      </c>
      <c r="I1523" s="11">
        <f>MAX(0,N1523-M1523)</f>
        <v/>
      </c>
      <c r="J1523" s="11">
        <f>MAX(0,M1523-N1523)</f>
        <v/>
      </c>
      <c r="K1523" s="11">
        <f>O1523</f>
        <v/>
      </c>
      <c r="L1523" s="11">
        <f>L1522+IF(K1523&gt;0,K1523*Summary!$B$9,K1523/Summary!$B$9)</f>
        <v/>
      </c>
      <c r="M1523" s="11">
        <f>G1523+H1523</f>
        <v/>
      </c>
      <c r="N1523" s="11">
        <f>Summary!$C$16*Summary!$B$8</f>
        <v/>
      </c>
      <c r="O1523" s="11">
        <f>M1523-N1523</f>
        <v/>
      </c>
    </row>
    <row r="1524">
      <c r="A1524" s="9" t="n">
        <v>45355.41666666666</v>
      </c>
      <c r="B1524" t="n">
        <v>3</v>
      </c>
      <c r="C1524" t="n">
        <v>4</v>
      </c>
      <c r="D1524" t="n">
        <v>10</v>
      </c>
      <c r="E1524" s="10" t="n">
        <v>0.514952</v>
      </c>
      <c r="F1524" s="10" t="n">
        <v>0.3046555451173308</v>
      </c>
      <c r="G1524" s="11">
        <f>E1524*Summary!$B$6</f>
        <v/>
      </c>
      <c r="H1524" s="11">
        <f>F1524*Summary!$B$7</f>
        <v/>
      </c>
      <c r="I1524" s="11">
        <f>MAX(0,N1524-M1524)</f>
        <v/>
      </c>
      <c r="J1524" s="11">
        <f>MAX(0,M1524-N1524)</f>
        <v/>
      </c>
      <c r="K1524" s="11">
        <f>O1524</f>
        <v/>
      </c>
      <c r="L1524" s="11">
        <f>L1523+IF(K1524&gt;0,K1524*Summary!$B$9,K1524/Summary!$B$9)</f>
        <v/>
      </c>
      <c r="M1524" s="11">
        <f>G1524+H1524</f>
        <v/>
      </c>
      <c r="N1524" s="11">
        <f>Summary!$C$16*Summary!$B$8</f>
        <v/>
      </c>
      <c r="O1524" s="11">
        <f>M1524-N1524</f>
        <v/>
      </c>
    </row>
    <row r="1525">
      <c r="A1525" s="9" t="n">
        <v>45355.45833333334</v>
      </c>
      <c r="B1525" t="n">
        <v>3</v>
      </c>
      <c r="C1525" t="n">
        <v>4</v>
      </c>
      <c r="D1525" t="n">
        <v>11</v>
      </c>
      <c r="E1525" s="10" t="n">
        <v>0.364326</v>
      </c>
      <c r="F1525" s="10" t="n">
        <v>0.298699991687998</v>
      </c>
      <c r="G1525" s="11">
        <f>E1525*Summary!$B$6</f>
        <v/>
      </c>
      <c r="H1525" s="11">
        <f>F1525*Summary!$B$7</f>
        <v/>
      </c>
      <c r="I1525" s="11">
        <f>MAX(0,N1525-M1525)</f>
        <v/>
      </c>
      <c r="J1525" s="11">
        <f>MAX(0,M1525-N1525)</f>
        <v/>
      </c>
      <c r="K1525" s="11">
        <f>O1525</f>
        <v/>
      </c>
      <c r="L1525" s="11">
        <f>L1524+IF(K1525&gt;0,K1525*Summary!$B$9,K1525/Summary!$B$9)</f>
        <v/>
      </c>
      <c r="M1525" s="11">
        <f>G1525+H1525</f>
        <v/>
      </c>
      <c r="N1525" s="11">
        <f>Summary!$C$16*Summary!$B$8</f>
        <v/>
      </c>
      <c r="O1525" s="11">
        <f>M1525-N1525</f>
        <v/>
      </c>
    </row>
    <row r="1526">
      <c r="A1526" s="9" t="n">
        <v>45355.5</v>
      </c>
      <c r="B1526" t="n">
        <v>3</v>
      </c>
      <c r="C1526" t="n">
        <v>4</v>
      </c>
      <c r="D1526" t="n">
        <v>12</v>
      </c>
      <c r="E1526" s="10" t="n">
        <v>0.256751</v>
      </c>
      <c r="F1526" s="10" t="n">
        <v>0.2955641029353847</v>
      </c>
      <c r="G1526" s="11">
        <f>E1526*Summary!$B$6</f>
        <v/>
      </c>
      <c r="H1526" s="11">
        <f>F1526*Summary!$B$7</f>
        <v/>
      </c>
      <c r="I1526" s="11">
        <f>MAX(0,N1526-M1526)</f>
        <v/>
      </c>
      <c r="J1526" s="11">
        <f>MAX(0,M1526-N1526)</f>
        <v/>
      </c>
      <c r="K1526" s="11">
        <f>O1526</f>
        <v/>
      </c>
      <c r="L1526" s="11">
        <f>L1525+IF(K1526&gt;0,K1526*Summary!$B$9,K1526/Summary!$B$9)</f>
        <v/>
      </c>
      <c r="M1526" s="11">
        <f>G1526+H1526</f>
        <v/>
      </c>
      <c r="N1526" s="11">
        <f>Summary!$C$16*Summary!$B$8</f>
        <v/>
      </c>
      <c r="O1526" s="11">
        <f>M1526-N1526</f>
        <v/>
      </c>
    </row>
    <row r="1527">
      <c r="A1527" s="9" t="n">
        <v>45355.54166666666</v>
      </c>
      <c r="B1527" t="n">
        <v>3</v>
      </c>
      <c r="C1527" t="n">
        <v>4</v>
      </c>
      <c r="D1527" t="n">
        <v>13</v>
      </c>
      <c r="E1527" s="10" t="n">
        <v>0.135011</v>
      </c>
      <c r="F1527" s="10" t="n">
        <v>0.2924545661890959</v>
      </c>
      <c r="G1527" s="11">
        <f>E1527*Summary!$B$6</f>
        <v/>
      </c>
      <c r="H1527" s="11">
        <f>F1527*Summary!$B$7</f>
        <v/>
      </c>
      <c r="I1527" s="11">
        <f>MAX(0,N1527-M1527)</f>
        <v/>
      </c>
      <c r="J1527" s="11">
        <f>MAX(0,M1527-N1527)</f>
        <v/>
      </c>
      <c r="K1527" s="11">
        <f>O1527</f>
        <v/>
      </c>
      <c r="L1527" s="11">
        <f>L1526+IF(K1527&gt;0,K1527*Summary!$B$9,K1527/Summary!$B$9)</f>
        <v/>
      </c>
      <c r="M1527" s="11">
        <f>G1527+H1527</f>
        <v/>
      </c>
      <c r="N1527" s="11">
        <f>Summary!$C$16*Summary!$B$8</f>
        <v/>
      </c>
      <c r="O1527" s="11">
        <f>M1527-N1527</f>
        <v/>
      </c>
    </row>
    <row r="1528">
      <c r="A1528" s="9" t="n">
        <v>45355.58333333334</v>
      </c>
      <c r="B1528" t="n">
        <v>3</v>
      </c>
      <c r="C1528" t="n">
        <v>4</v>
      </c>
      <c r="D1528" t="n">
        <v>14</v>
      </c>
      <c r="E1528" s="10" t="n">
        <v>0.246565</v>
      </c>
      <c r="F1528" s="10" t="n">
        <v>0.2951688228405175</v>
      </c>
      <c r="G1528" s="11">
        <f>E1528*Summary!$B$6</f>
        <v/>
      </c>
      <c r="H1528" s="11">
        <f>F1528*Summary!$B$7</f>
        <v/>
      </c>
      <c r="I1528" s="11">
        <f>MAX(0,N1528-M1528)</f>
        <v/>
      </c>
      <c r="J1528" s="11">
        <f>MAX(0,M1528-N1528)</f>
        <v/>
      </c>
      <c r="K1528" s="11">
        <f>O1528</f>
        <v/>
      </c>
      <c r="L1528" s="11">
        <f>L1527+IF(K1528&gt;0,K1528*Summary!$B$9,K1528/Summary!$B$9)</f>
        <v/>
      </c>
      <c r="M1528" s="11">
        <f>G1528+H1528</f>
        <v/>
      </c>
      <c r="N1528" s="11">
        <f>Summary!$C$16*Summary!$B$8</f>
        <v/>
      </c>
      <c r="O1528" s="11">
        <f>M1528-N1528</f>
        <v/>
      </c>
    </row>
    <row r="1529">
      <c r="A1529" s="9" t="n">
        <v>45355.625</v>
      </c>
      <c r="B1529" t="n">
        <v>3</v>
      </c>
      <c r="C1529" t="n">
        <v>4</v>
      </c>
      <c r="D1529" t="n">
        <v>15</v>
      </c>
      <c r="E1529" s="10" t="n">
        <v>0.156229</v>
      </c>
      <c r="F1529" s="10" t="n">
        <v>0.3017304724153134</v>
      </c>
      <c r="G1529" s="11">
        <f>E1529*Summary!$B$6</f>
        <v/>
      </c>
      <c r="H1529" s="11">
        <f>F1529*Summary!$B$7</f>
        <v/>
      </c>
      <c r="I1529" s="11">
        <f>MAX(0,N1529-M1529)</f>
        <v/>
      </c>
      <c r="J1529" s="11">
        <f>MAX(0,M1529-N1529)</f>
        <v/>
      </c>
      <c r="K1529" s="11">
        <f>O1529</f>
        <v/>
      </c>
      <c r="L1529" s="11">
        <f>L1528+IF(K1529&gt;0,K1529*Summary!$B$9,K1529/Summary!$B$9)</f>
        <v/>
      </c>
      <c r="M1529" s="11">
        <f>G1529+H1529</f>
        <v/>
      </c>
      <c r="N1529" s="11">
        <f>Summary!$C$16*Summary!$B$8</f>
        <v/>
      </c>
      <c r="O1529" s="11">
        <f>M1529-N1529</f>
        <v/>
      </c>
    </row>
    <row r="1530">
      <c r="A1530" s="9" t="n">
        <v>45355.66666666666</v>
      </c>
      <c r="B1530" t="n">
        <v>3</v>
      </c>
      <c r="C1530" t="n">
        <v>4</v>
      </c>
      <c r="D1530" t="n">
        <v>16</v>
      </c>
      <c r="E1530" s="10" t="n">
        <v>0.098776</v>
      </c>
      <c r="F1530" s="10" t="n">
        <v>0.313746987299277</v>
      </c>
      <c r="G1530" s="11">
        <f>E1530*Summary!$B$6</f>
        <v/>
      </c>
      <c r="H1530" s="11">
        <f>F1530*Summary!$B$7</f>
        <v/>
      </c>
      <c r="I1530" s="11">
        <f>MAX(0,N1530-M1530)</f>
        <v/>
      </c>
      <c r="J1530" s="11">
        <f>MAX(0,M1530-N1530)</f>
        <v/>
      </c>
      <c r="K1530" s="11">
        <f>O1530</f>
        <v/>
      </c>
      <c r="L1530" s="11">
        <f>L1529+IF(K1530&gt;0,K1530*Summary!$B$9,K1530/Summary!$B$9)</f>
        <v/>
      </c>
      <c r="M1530" s="11">
        <f>G1530+H1530</f>
        <v/>
      </c>
      <c r="N1530" s="11">
        <f>Summary!$C$16*Summary!$B$8</f>
        <v/>
      </c>
      <c r="O1530" s="11">
        <f>M1530-N1530</f>
        <v/>
      </c>
    </row>
    <row r="1531">
      <c r="A1531" s="9" t="n">
        <v>45355.70833333334</v>
      </c>
      <c r="B1531" t="n">
        <v>3</v>
      </c>
      <c r="C1531" t="n">
        <v>4</v>
      </c>
      <c r="D1531" t="n">
        <v>17</v>
      </c>
      <c r="E1531" s="10" t="n">
        <v>0.006301</v>
      </c>
      <c r="F1531" s="10" t="n">
        <v>0.3292683190243966</v>
      </c>
      <c r="G1531" s="11">
        <f>E1531*Summary!$B$6</f>
        <v/>
      </c>
      <c r="H1531" s="11">
        <f>F1531*Summary!$B$7</f>
        <v/>
      </c>
      <c r="I1531" s="11">
        <f>MAX(0,N1531-M1531)</f>
        <v/>
      </c>
      <c r="J1531" s="11">
        <f>MAX(0,M1531-N1531)</f>
        <v/>
      </c>
      <c r="K1531" s="11">
        <f>O1531</f>
        <v/>
      </c>
      <c r="L1531" s="11">
        <f>L1530+IF(K1531&gt;0,K1531*Summary!$B$9,K1531/Summary!$B$9)</f>
        <v/>
      </c>
      <c r="M1531" s="11">
        <f>G1531+H1531</f>
        <v/>
      </c>
      <c r="N1531" s="11">
        <f>Summary!$C$16*Summary!$B$8</f>
        <v/>
      </c>
      <c r="O1531" s="11">
        <f>M1531-N1531</f>
        <v/>
      </c>
    </row>
    <row r="1532">
      <c r="A1532" s="9" t="n">
        <v>45355.75</v>
      </c>
      <c r="B1532" t="n">
        <v>3</v>
      </c>
      <c r="C1532" t="n">
        <v>4</v>
      </c>
      <c r="D1532" t="n">
        <v>18</v>
      </c>
      <c r="E1532" s="10" t="n">
        <v>0</v>
      </c>
      <c r="F1532" s="10" t="n">
        <v>0.348505283641268</v>
      </c>
      <c r="G1532" s="11">
        <f>E1532*Summary!$B$6</f>
        <v/>
      </c>
      <c r="H1532" s="11">
        <f>F1532*Summary!$B$7</f>
        <v/>
      </c>
      <c r="I1532" s="11">
        <f>MAX(0,N1532-M1532)</f>
        <v/>
      </c>
      <c r="J1532" s="11">
        <f>MAX(0,M1532-N1532)</f>
        <v/>
      </c>
      <c r="K1532" s="11">
        <f>O1532</f>
        <v/>
      </c>
      <c r="L1532" s="11">
        <f>L1531+IF(K1532&gt;0,K1532*Summary!$B$9,K1532/Summary!$B$9)</f>
        <v/>
      </c>
      <c r="M1532" s="11">
        <f>G1532+H1532</f>
        <v/>
      </c>
      <c r="N1532" s="11">
        <f>Summary!$C$16*Summary!$B$8</f>
        <v/>
      </c>
      <c r="O1532" s="11">
        <f>M1532-N1532</f>
        <v/>
      </c>
    </row>
    <row r="1533">
      <c r="A1533" s="9" t="n">
        <v>45355.79166666666</v>
      </c>
      <c r="B1533" t="n">
        <v>3</v>
      </c>
      <c r="C1533" t="n">
        <v>4</v>
      </c>
      <c r="D1533" t="n">
        <v>19</v>
      </c>
      <c r="E1533" s="10" t="n">
        <v>0</v>
      </c>
      <c r="F1533" s="10" t="n">
        <v>0.3660030158407238</v>
      </c>
      <c r="G1533" s="11">
        <f>E1533*Summary!$B$6</f>
        <v/>
      </c>
      <c r="H1533" s="11">
        <f>F1533*Summary!$B$7</f>
        <v/>
      </c>
      <c r="I1533" s="11">
        <f>MAX(0,N1533-M1533)</f>
        <v/>
      </c>
      <c r="J1533" s="11">
        <f>MAX(0,M1533-N1533)</f>
        <v/>
      </c>
      <c r="K1533" s="11">
        <f>O1533</f>
        <v/>
      </c>
      <c r="L1533" s="11">
        <f>L1532+IF(K1533&gt;0,K1533*Summary!$B$9,K1533/Summary!$B$9)</f>
        <v/>
      </c>
      <c r="M1533" s="11">
        <f>G1533+H1533</f>
        <v/>
      </c>
      <c r="N1533" s="11">
        <f>Summary!$C$16*Summary!$B$8</f>
        <v/>
      </c>
      <c r="O1533" s="11">
        <f>M1533-N1533</f>
        <v/>
      </c>
    </row>
    <row r="1534">
      <c r="A1534" s="9" t="n">
        <v>45355.83333333334</v>
      </c>
      <c r="B1534" t="n">
        <v>3</v>
      </c>
      <c r="C1534" t="n">
        <v>4</v>
      </c>
      <c r="D1534" t="n">
        <v>20</v>
      </c>
      <c r="E1534" s="10" t="n">
        <v>0</v>
      </c>
      <c r="F1534" s="10" t="n">
        <v>0.3969929752783141</v>
      </c>
      <c r="G1534" s="11">
        <f>E1534*Summary!$B$6</f>
        <v/>
      </c>
      <c r="H1534" s="11">
        <f>F1534*Summary!$B$7</f>
        <v/>
      </c>
      <c r="I1534" s="11">
        <f>MAX(0,N1534-M1534)</f>
        <v/>
      </c>
      <c r="J1534" s="11">
        <f>MAX(0,M1534-N1534)</f>
        <v/>
      </c>
      <c r="K1534" s="11">
        <f>O1534</f>
        <v/>
      </c>
      <c r="L1534" s="11">
        <f>L1533+IF(K1534&gt;0,K1534*Summary!$B$9,K1534/Summary!$B$9)</f>
        <v/>
      </c>
      <c r="M1534" s="11">
        <f>G1534+H1534</f>
        <v/>
      </c>
      <c r="N1534" s="11">
        <f>Summary!$C$16*Summary!$B$8</f>
        <v/>
      </c>
      <c r="O1534" s="11">
        <f>M1534-N1534</f>
        <v/>
      </c>
    </row>
    <row r="1535">
      <c r="A1535" s="9" t="n">
        <v>45355.875</v>
      </c>
      <c r="B1535" t="n">
        <v>3</v>
      </c>
      <c r="C1535" t="n">
        <v>4</v>
      </c>
      <c r="D1535" t="n">
        <v>21</v>
      </c>
      <c r="E1535" s="10" t="n">
        <v>0</v>
      </c>
      <c r="F1535" s="10" t="n">
        <v>0.4052148012515523</v>
      </c>
      <c r="G1535" s="11">
        <f>E1535*Summary!$B$6</f>
        <v/>
      </c>
      <c r="H1535" s="11">
        <f>F1535*Summary!$B$7</f>
        <v/>
      </c>
      <c r="I1535" s="11">
        <f>MAX(0,N1535-M1535)</f>
        <v/>
      </c>
      <c r="J1535" s="11">
        <f>MAX(0,M1535-N1535)</f>
        <v/>
      </c>
      <c r="K1535" s="11">
        <f>O1535</f>
        <v/>
      </c>
      <c r="L1535" s="11">
        <f>L1534+IF(K1535&gt;0,K1535*Summary!$B$9,K1535/Summary!$B$9)</f>
        <v/>
      </c>
      <c r="M1535" s="11">
        <f>G1535+H1535</f>
        <v/>
      </c>
      <c r="N1535" s="11">
        <f>Summary!$C$16*Summary!$B$8</f>
        <v/>
      </c>
      <c r="O1535" s="11">
        <f>M1535-N1535</f>
        <v/>
      </c>
    </row>
    <row r="1536">
      <c r="A1536" s="9" t="n">
        <v>45355.91666666666</v>
      </c>
      <c r="B1536" t="n">
        <v>3</v>
      </c>
      <c r="C1536" t="n">
        <v>4</v>
      </c>
      <c r="D1536" t="n">
        <v>22</v>
      </c>
      <c r="E1536" s="10" t="n">
        <v>0</v>
      </c>
      <c r="F1536" s="10" t="n">
        <v>0.3935672144561315</v>
      </c>
      <c r="G1536" s="11">
        <f>E1536*Summary!$B$6</f>
        <v/>
      </c>
      <c r="H1536" s="11">
        <f>F1536*Summary!$B$7</f>
        <v/>
      </c>
      <c r="I1536" s="11">
        <f>MAX(0,N1536-M1536)</f>
        <v/>
      </c>
      <c r="J1536" s="11">
        <f>MAX(0,M1536-N1536)</f>
        <v/>
      </c>
      <c r="K1536" s="11">
        <f>O1536</f>
        <v/>
      </c>
      <c r="L1536" s="11">
        <f>L1535+IF(K1536&gt;0,K1536*Summary!$B$9,K1536/Summary!$B$9)</f>
        <v/>
      </c>
      <c r="M1536" s="11">
        <f>G1536+H1536</f>
        <v/>
      </c>
      <c r="N1536" s="11">
        <f>Summary!$C$16*Summary!$B$8</f>
        <v/>
      </c>
      <c r="O1536" s="11">
        <f>M1536-N1536</f>
        <v/>
      </c>
    </row>
    <row r="1537">
      <c r="A1537" s="9" t="n">
        <v>45355.95833333334</v>
      </c>
      <c r="B1537" t="n">
        <v>3</v>
      </c>
      <c r="C1537" t="n">
        <v>4</v>
      </c>
      <c r="D1537" t="n">
        <v>23</v>
      </c>
      <c r="E1537" s="10" t="n">
        <v>0</v>
      </c>
      <c r="F1537" s="10" t="n">
        <v>0.3944368306648393</v>
      </c>
      <c r="G1537" s="11">
        <f>E1537*Summary!$B$6</f>
        <v/>
      </c>
      <c r="H1537" s="11">
        <f>F1537*Summary!$B$7</f>
        <v/>
      </c>
      <c r="I1537" s="11">
        <f>MAX(0,N1537-M1537)</f>
        <v/>
      </c>
      <c r="J1537" s="11">
        <f>MAX(0,M1537-N1537)</f>
        <v/>
      </c>
      <c r="K1537" s="11">
        <f>O1537</f>
        <v/>
      </c>
      <c r="L1537" s="11">
        <f>L1536+IF(K1537&gt;0,K1537*Summary!$B$9,K1537/Summary!$B$9)</f>
        <v/>
      </c>
      <c r="M1537" s="11">
        <f>G1537+H1537</f>
        <v/>
      </c>
      <c r="N1537" s="11">
        <f>Summary!$C$16*Summary!$B$8</f>
        <v/>
      </c>
      <c r="O1537" s="11">
        <f>M1537-N1537</f>
        <v/>
      </c>
    </row>
    <row r="1538">
      <c r="A1538" s="9" t="n">
        <v>45356</v>
      </c>
      <c r="B1538" t="n">
        <v>3</v>
      </c>
      <c r="C1538" t="n">
        <v>5</v>
      </c>
      <c r="D1538" t="n">
        <v>0</v>
      </c>
      <c r="E1538" s="10" t="n">
        <v>0</v>
      </c>
      <c r="F1538" s="10" t="n">
        <v>0.3946739987217597</v>
      </c>
      <c r="G1538" s="11">
        <f>E1538*Summary!$B$6</f>
        <v/>
      </c>
      <c r="H1538" s="11">
        <f>F1538*Summary!$B$7</f>
        <v/>
      </c>
      <c r="I1538" s="11">
        <f>MAX(0,N1538-M1538)</f>
        <v/>
      </c>
      <c r="J1538" s="11">
        <f>MAX(0,M1538-N1538)</f>
        <v/>
      </c>
      <c r="K1538" s="11">
        <f>O1538</f>
        <v/>
      </c>
      <c r="L1538" s="11">
        <f>L1537+IF(K1538&gt;0,K1538*Summary!$B$9,K1538/Summary!$B$9)</f>
        <v/>
      </c>
      <c r="M1538" s="11">
        <f>G1538+H1538</f>
        <v/>
      </c>
      <c r="N1538" s="11">
        <f>Summary!$C$16*Summary!$B$8</f>
        <v/>
      </c>
      <c r="O1538" s="11">
        <f>M1538-N1538</f>
        <v/>
      </c>
    </row>
    <row r="1539">
      <c r="A1539" s="9" t="n">
        <v>45356.04166666666</v>
      </c>
      <c r="B1539" t="n">
        <v>3</v>
      </c>
      <c r="C1539" t="n">
        <v>5</v>
      </c>
      <c r="D1539" t="n">
        <v>1</v>
      </c>
      <c r="E1539" s="10" t="n">
        <v>0</v>
      </c>
      <c r="F1539" s="10" t="n">
        <v>0.397809887474373</v>
      </c>
      <c r="G1539" s="11">
        <f>E1539*Summary!$B$6</f>
        <v/>
      </c>
      <c r="H1539" s="11">
        <f>F1539*Summary!$B$7</f>
        <v/>
      </c>
      <c r="I1539" s="11">
        <f>MAX(0,N1539-M1539)</f>
        <v/>
      </c>
      <c r="J1539" s="11">
        <f>MAX(0,M1539-N1539)</f>
        <v/>
      </c>
      <c r="K1539" s="11">
        <f>O1539</f>
        <v/>
      </c>
      <c r="L1539" s="11">
        <f>L1538+IF(K1539&gt;0,K1539*Summary!$B$9,K1539/Summary!$B$9)</f>
        <v/>
      </c>
      <c r="M1539" s="11">
        <f>G1539+H1539</f>
        <v/>
      </c>
      <c r="N1539" s="11">
        <f>Summary!$C$16*Summary!$B$8</f>
        <v/>
      </c>
      <c r="O1539" s="11">
        <f>M1539-N1539</f>
        <v/>
      </c>
    </row>
    <row r="1540">
      <c r="A1540" s="9" t="n">
        <v>45356.08333333334</v>
      </c>
      <c r="B1540" t="n">
        <v>3</v>
      </c>
      <c r="C1540" t="n">
        <v>5</v>
      </c>
      <c r="D1540" t="n">
        <v>2</v>
      </c>
      <c r="E1540" s="10" t="n">
        <v>0</v>
      </c>
      <c r="F1540" s="10" t="n">
        <v>0.3975990714237771</v>
      </c>
      <c r="G1540" s="11">
        <f>E1540*Summary!$B$6</f>
        <v/>
      </c>
      <c r="H1540" s="11">
        <f>F1540*Summary!$B$7</f>
        <v/>
      </c>
      <c r="I1540" s="11">
        <f>MAX(0,N1540-M1540)</f>
        <v/>
      </c>
      <c r="J1540" s="11">
        <f>MAX(0,M1540-N1540)</f>
        <v/>
      </c>
      <c r="K1540" s="11">
        <f>O1540</f>
        <v/>
      </c>
      <c r="L1540" s="11">
        <f>L1539+IF(K1540&gt;0,K1540*Summary!$B$9,K1540/Summary!$B$9)</f>
        <v/>
      </c>
      <c r="M1540" s="11">
        <f>G1540+H1540</f>
        <v/>
      </c>
      <c r="N1540" s="11">
        <f>Summary!$C$16*Summary!$B$8</f>
        <v/>
      </c>
      <c r="O1540" s="11">
        <f>M1540-N1540</f>
        <v/>
      </c>
    </row>
    <row r="1541">
      <c r="A1541" s="9" t="n">
        <v>45356.125</v>
      </c>
      <c r="B1541" t="n">
        <v>3</v>
      </c>
      <c r="C1541" t="n">
        <v>5</v>
      </c>
      <c r="D1541" t="n">
        <v>3</v>
      </c>
      <c r="E1541" s="10" t="n">
        <v>0</v>
      </c>
      <c r="F1541" s="10" t="n">
        <v>0.3960443030506327</v>
      </c>
      <c r="G1541" s="11">
        <f>E1541*Summary!$B$6</f>
        <v/>
      </c>
      <c r="H1541" s="11">
        <f>F1541*Summary!$B$7</f>
        <v/>
      </c>
      <c r="I1541" s="11">
        <f>MAX(0,N1541-M1541)</f>
        <v/>
      </c>
      <c r="J1541" s="11">
        <f>MAX(0,M1541-N1541)</f>
        <v/>
      </c>
      <c r="K1541" s="11">
        <f>O1541</f>
        <v/>
      </c>
      <c r="L1541" s="11">
        <f>L1540+IF(K1541&gt;0,K1541*Summary!$B$9,K1541/Summary!$B$9)</f>
        <v/>
      </c>
      <c r="M1541" s="11">
        <f>G1541+H1541</f>
        <v/>
      </c>
      <c r="N1541" s="11">
        <f>Summary!$C$16*Summary!$B$8</f>
        <v/>
      </c>
      <c r="O1541" s="11">
        <f>M1541-N1541</f>
        <v/>
      </c>
    </row>
    <row r="1542">
      <c r="A1542" s="9" t="n">
        <v>45356.16666666666</v>
      </c>
      <c r="B1542" t="n">
        <v>3</v>
      </c>
      <c r="C1542" t="n">
        <v>5</v>
      </c>
      <c r="D1542" t="n">
        <v>4</v>
      </c>
      <c r="E1542" s="10" t="n">
        <v>0</v>
      </c>
      <c r="F1542" s="10" t="n">
        <v>0.3977835354680485</v>
      </c>
      <c r="G1542" s="11">
        <f>E1542*Summary!$B$6</f>
        <v/>
      </c>
      <c r="H1542" s="11">
        <f>F1542*Summary!$B$7</f>
        <v/>
      </c>
      <c r="I1542" s="11">
        <f>MAX(0,N1542-M1542)</f>
        <v/>
      </c>
      <c r="J1542" s="11">
        <f>MAX(0,M1542-N1542)</f>
        <v/>
      </c>
      <c r="K1542" s="11">
        <f>O1542</f>
        <v/>
      </c>
      <c r="L1542" s="11">
        <f>L1541+IF(K1542&gt;0,K1542*Summary!$B$9,K1542/Summary!$B$9)</f>
        <v/>
      </c>
      <c r="M1542" s="11">
        <f>G1542+H1542</f>
        <v/>
      </c>
      <c r="N1542" s="11">
        <f>Summary!$C$16*Summary!$B$8</f>
        <v/>
      </c>
      <c r="O1542" s="11">
        <f>M1542-N1542</f>
        <v/>
      </c>
    </row>
    <row r="1543">
      <c r="A1543" s="9" t="n">
        <v>45356.20833333334</v>
      </c>
      <c r="B1543" t="n">
        <v>3</v>
      </c>
      <c r="C1543" t="n">
        <v>5</v>
      </c>
      <c r="D1543" t="n">
        <v>5</v>
      </c>
      <c r="E1543" s="10" t="n">
        <v>0</v>
      </c>
      <c r="F1543" s="10" t="n">
        <v>0.3997599359423846</v>
      </c>
      <c r="G1543" s="11">
        <f>E1543*Summary!$B$6</f>
        <v/>
      </c>
      <c r="H1543" s="11">
        <f>F1543*Summary!$B$7</f>
        <v/>
      </c>
      <c r="I1543" s="11">
        <f>MAX(0,N1543-M1543)</f>
        <v/>
      </c>
      <c r="J1543" s="11">
        <f>MAX(0,M1543-N1543)</f>
        <v/>
      </c>
      <c r="K1543" s="11">
        <f>O1543</f>
        <v/>
      </c>
      <c r="L1543" s="11">
        <f>L1542+IF(K1543&gt;0,K1543*Summary!$B$9,K1543/Summary!$B$9)</f>
        <v/>
      </c>
      <c r="M1543" s="11">
        <f>G1543+H1543</f>
        <v/>
      </c>
      <c r="N1543" s="11">
        <f>Summary!$C$16*Summary!$B$8</f>
        <v/>
      </c>
      <c r="O1543" s="11">
        <f>M1543-N1543</f>
        <v/>
      </c>
    </row>
    <row r="1544">
      <c r="A1544" s="9" t="n">
        <v>45356.25</v>
      </c>
      <c r="B1544" t="n">
        <v>3</v>
      </c>
      <c r="C1544" t="n">
        <v>5</v>
      </c>
      <c r="D1544" t="n">
        <v>6</v>
      </c>
      <c r="E1544" s="10" t="n">
        <v>0</v>
      </c>
      <c r="F1544" s="10" t="n">
        <v>0.4045296490871158</v>
      </c>
      <c r="G1544" s="11">
        <f>E1544*Summary!$B$6</f>
        <v/>
      </c>
      <c r="H1544" s="11">
        <f>F1544*Summary!$B$7</f>
        <v/>
      </c>
      <c r="I1544" s="11">
        <f>MAX(0,N1544-M1544)</f>
        <v/>
      </c>
      <c r="J1544" s="11">
        <f>MAX(0,M1544-N1544)</f>
        <v/>
      </c>
      <c r="K1544" s="11">
        <f>O1544</f>
        <v/>
      </c>
      <c r="L1544" s="11">
        <f>L1543+IF(K1544&gt;0,K1544*Summary!$B$9,K1544/Summary!$B$9)</f>
        <v/>
      </c>
      <c r="M1544" s="11">
        <f>G1544+H1544</f>
        <v/>
      </c>
      <c r="N1544" s="11">
        <f>Summary!$C$16*Summary!$B$8</f>
        <v/>
      </c>
      <c r="O1544" s="11">
        <f>M1544-N1544</f>
        <v/>
      </c>
    </row>
    <row r="1545">
      <c r="A1545" s="9" t="n">
        <v>45356.29166666666</v>
      </c>
      <c r="B1545" t="n">
        <v>3</v>
      </c>
      <c r="C1545" t="n">
        <v>5</v>
      </c>
      <c r="D1545" t="n">
        <v>7</v>
      </c>
      <c r="E1545" s="10" t="n">
        <v>0.038166</v>
      </c>
      <c r="F1545" s="10" t="n">
        <v>0.4048985771756585</v>
      </c>
      <c r="G1545" s="11">
        <f>E1545*Summary!$B$6</f>
        <v/>
      </c>
      <c r="H1545" s="11">
        <f>F1545*Summary!$B$7</f>
        <v/>
      </c>
      <c r="I1545" s="11">
        <f>MAX(0,N1545-M1545)</f>
        <v/>
      </c>
      <c r="J1545" s="11">
        <f>MAX(0,M1545-N1545)</f>
        <v/>
      </c>
      <c r="K1545" s="11">
        <f>O1545</f>
        <v/>
      </c>
      <c r="L1545" s="11">
        <f>L1544+IF(K1545&gt;0,K1545*Summary!$B$9,K1545/Summary!$B$9)</f>
        <v/>
      </c>
      <c r="M1545" s="11">
        <f>G1545+H1545</f>
        <v/>
      </c>
      <c r="N1545" s="11">
        <f>Summary!$C$16*Summary!$B$8</f>
        <v/>
      </c>
      <c r="O1545" s="11">
        <f>M1545-N1545</f>
        <v/>
      </c>
    </row>
    <row r="1546">
      <c r="A1546" s="9" t="n">
        <v>45356.33333333334</v>
      </c>
      <c r="B1546" t="n">
        <v>3</v>
      </c>
      <c r="C1546" t="n">
        <v>5</v>
      </c>
      <c r="D1546" t="n">
        <v>8</v>
      </c>
      <c r="E1546" s="10" t="n">
        <v>0.223294</v>
      </c>
      <c r="F1546" s="10" t="n">
        <v>0.3902205096529223</v>
      </c>
      <c r="G1546" s="11">
        <f>E1546*Summary!$B$6</f>
        <v/>
      </c>
      <c r="H1546" s="11">
        <f>F1546*Summary!$B$7</f>
        <v/>
      </c>
      <c r="I1546" s="11">
        <f>MAX(0,N1546-M1546)</f>
        <v/>
      </c>
      <c r="J1546" s="11">
        <f>MAX(0,M1546-N1546)</f>
        <v/>
      </c>
      <c r="K1546" s="11">
        <f>O1546</f>
        <v/>
      </c>
      <c r="L1546" s="11">
        <f>L1545+IF(K1546&gt;0,K1546*Summary!$B$9,K1546/Summary!$B$9)</f>
        <v/>
      </c>
      <c r="M1546" s="11">
        <f>G1546+H1546</f>
        <v/>
      </c>
      <c r="N1546" s="11">
        <f>Summary!$C$16*Summary!$B$8</f>
        <v/>
      </c>
      <c r="O1546" s="11">
        <f>M1546-N1546</f>
        <v/>
      </c>
    </row>
    <row r="1547">
      <c r="A1547" s="9" t="n">
        <v>45356.375</v>
      </c>
      <c r="B1547" t="n">
        <v>3</v>
      </c>
      <c r="C1547" t="n">
        <v>5</v>
      </c>
      <c r="D1547" t="n">
        <v>9</v>
      </c>
      <c r="E1547" s="10" t="n">
        <v>0.406901</v>
      </c>
      <c r="F1547" s="10" t="n">
        <v>0.3720376252890301</v>
      </c>
      <c r="G1547" s="11">
        <f>E1547*Summary!$B$6</f>
        <v/>
      </c>
      <c r="H1547" s="11">
        <f>F1547*Summary!$B$7</f>
        <v/>
      </c>
      <c r="I1547" s="11">
        <f>MAX(0,N1547-M1547)</f>
        <v/>
      </c>
      <c r="J1547" s="11">
        <f>MAX(0,M1547-N1547)</f>
        <v/>
      </c>
      <c r="K1547" s="11">
        <f>O1547</f>
        <v/>
      </c>
      <c r="L1547" s="11">
        <f>L1546+IF(K1547&gt;0,K1547*Summary!$B$9,K1547/Summary!$B$9)</f>
        <v/>
      </c>
      <c r="M1547" s="11">
        <f>G1547+H1547</f>
        <v/>
      </c>
      <c r="N1547" s="11">
        <f>Summary!$C$16*Summary!$B$8</f>
        <v/>
      </c>
      <c r="O1547" s="11">
        <f>M1547-N1547</f>
        <v/>
      </c>
    </row>
    <row r="1548">
      <c r="A1548" s="9" t="n">
        <v>45356.41666666666</v>
      </c>
      <c r="B1548" t="n">
        <v>3</v>
      </c>
      <c r="C1548" t="n">
        <v>5</v>
      </c>
      <c r="D1548" t="n">
        <v>10</v>
      </c>
      <c r="E1548" s="10" t="n">
        <v>0.488618</v>
      </c>
      <c r="F1548" s="10" t="n">
        <v>0.3609697826327478</v>
      </c>
      <c r="G1548" s="11">
        <f>E1548*Summary!$B$6</f>
        <v/>
      </c>
      <c r="H1548" s="11">
        <f>F1548*Summary!$B$7</f>
        <v/>
      </c>
      <c r="I1548" s="11">
        <f>MAX(0,N1548-M1548)</f>
        <v/>
      </c>
      <c r="J1548" s="11">
        <f>MAX(0,M1548-N1548)</f>
        <v/>
      </c>
      <c r="K1548" s="11">
        <f>O1548</f>
        <v/>
      </c>
      <c r="L1548" s="11">
        <f>L1547+IF(K1548&gt;0,K1548*Summary!$B$9,K1548/Summary!$B$9)</f>
        <v/>
      </c>
      <c r="M1548" s="11">
        <f>G1548+H1548</f>
        <v/>
      </c>
      <c r="N1548" s="11">
        <f>Summary!$C$16*Summary!$B$8</f>
        <v/>
      </c>
      <c r="O1548" s="11">
        <f>M1548-N1548</f>
        <v/>
      </c>
    </row>
    <row r="1549">
      <c r="A1549" s="9" t="n">
        <v>45356.45833333334</v>
      </c>
      <c r="B1549" t="n">
        <v>3</v>
      </c>
      <c r="C1549" t="n">
        <v>5</v>
      </c>
      <c r="D1549" t="n">
        <v>11</v>
      </c>
      <c r="E1549" s="10" t="n">
        <v>0.628861</v>
      </c>
      <c r="F1549" s="10" t="n">
        <v>0.3570433336904</v>
      </c>
      <c r="G1549" s="11">
        <f>E1549*Summary!$B$6</f>
        <v/>
      </c>
      <c r="H1549" s="11">
        <f>F1549*Summary!$B$7</f>
        <v/>
      </c>
      <c r="I1549" s="11">
        <f>MAX(0,N1549-M1549)</f>
        <v/>
      </c>
      <c r="J1549" s="11">
        <f>MAX(0,M1549-N1549)</f>
        <v/>
      </c>
      <c r="K1549" s="11">
        <f>O1549</f>
        <v/>
      </c>
      <c r="L1549" s="11">
        <f>L1548+IF(K1549&gt;0,K1549*Summary!$B$9,K1549/Summary!$B$9)</f>
        <v/>
      </c>
      <c r="M1549" s="11">
        <f>G1549+H1549</f>
        <v/>
      </c>
      <c r="N1549" s="11">
        <f>Summary!$C$16*Summary!$B$8</f>
        <v/>
      </c>
      <c r="O1549" s="11">
        <f>M1549-N1549</f>
        <v/>
      </c>
    </row>
    <row r="1550">
      <c r="A1550" s="9" t="n">
        <v>45356.5</v>
      </c>
      <c r="B1550" t="n">
        <v>3</v>
      </c>
      <c r="C1550" t="n">
        <v>5</v>
      </c>
      <c r="D1550" t="n">
        <v>12</v>
      </c>
      <c r="E1550" s="10" t="n">
        <v>0.582261</v>
      </c>
      <c r="F1550" s="10" t="n">
        <v>0.3631306471513553</v>
      </c>
      <c r="G1550" s="11">
        <f>E1550*Summary!$B$6</f>
        <v/>
      </c>
      <c r="H1550" s="11">
        <f>F1550*Summary!$B$7</f>
        <v/>
      </c>
      <c r="I1550" s="11">
        <f>MAX(0,N1550-M1550)</f>
        <v/>
      </c>
      <c r="J1550" s="11">
        <f>MAX(0,M1550-N1550)</f>
        <v/>
      </c>
      <c r="K1550" s="11">
        <f>O1550</f>
        <v/>
      </c>
      <c r="L1550" s="11">
        <f>L1549+IF(K1550&gt;0,K1550*Summary!$B$9,K1550/Summary!$B$9)</f>
        <v/>
      </c>
      <c r="M1550" s="11">
        <f>G1550+H1550</f>
        <v/>
      </c>
      <c r="N1550" s="11">
        <f>Summary!$C$16*Summary!$B$8</f>
        <v/>
      </c>
      <c r="O1550" s="11">
        <f>M1550-N1550</f>
        <v/>
      </c>
    </row>
    <row r="1551">
      <c r="A1551" s="9" t="n">
        <v>45356.54166666666</v>
      </c>
      <c r="B1551" t="n">
        <v>3</v>
      </c>
      <c r="C1551" t="n">
        <v>5</v>
      </c>
      <c r="D1551" t="n">
        <v>13</v>
      </c>
      <c r="E1551" s="10" t="n">
        <v>0.330162</v>
      </c>
      <c r="F1551" s="10" t="n">
        <v>0.3624454949869187</v>
      </c>
      <c r="G1551" s="11">
        <f>E1551*Summary!$B$6</f>
        <v/>
      </c>
      <c r="H1551" s="11">
        <f>F1551*Summary!$B$7</f>
        <v/>
      </c>
      <c r="I1551" s="11">
        <f>MAX(0,N1551-M1551)</f>
        <v/>
      </c>
      <c r="J1551" s="11">
        <f>MAX(0,M1551-N1551)</f>
        <v/>
      </c>
      <c r="K1551" s="11">
        <f>O1551</f>
        <v/>
      </c>
      <c r="L1551" s="11">
        <f>L1550+IF(K1551&gt;0,K1551*Summary!$B$9,K1551/Summary!$B$9)</f>
        <v/>
      </c>
      <c r="M1551" s="11">
        <f>G1551+H1551</f>
        <v/>
      </c>
      <c r="N1551" s="11">
        <f>Summary!$C$16*Summary!$B$8</f>
        <v/>
      </c>
      <c r="O1551" s="11">
        <f>M1551-N1551</f>
        <v/>
      </c>
    </row>
    <row r="1552">
      <c r="A1552" s="9" t="n">
        <v>45356.58333333334</v>
      </c>
      <c r="B1552" t="n">
        <v>3</v>
      </c>
      <c r="C1552" t="n">
        <v>5</v>
      </c>
      <c r="D1552" t="n">
        <v>14</v>
      </c>
      <c r="E1552" s="10" t="n">
        <v>0.51414</v>
      </c>
      <c r="F1552" s="10" t="n">
        <v>0.3653178636762873</v>
      </c>
      <c r="G1552" s="11">
        <f>E1552*Summary!$B$6</f>
        <v/>
      </c>
      <c r="H1552" s="11">
        <f>F1552*Summary!$B$7</f>
        <v/>
      </c>
      <c r="I1552" s="11">
        <f>MAX(0,N1552-M1552)</f>
        <v/>
      </c>
      <c r="J1552" s="11">
        <f>MAX(0,M1552-N1552)</f>
        <v/>
      </c>
      <c r="K1552" s="11">
        <f>O1552</f>
        <v/>
      </c>
      <c r="L1552" s="11">
        <f>L1551+IF(K1552&gt;0,K1552*Summary!$B$9,K1552/Summary!$B$9)</f>
        <v/>
      </c>
      <c r="M1552" s="11">
        <f>G1552+H1552</f>
        <v/>
      </c>
      <c r="N1552" s="11">
        <f>Summary!$C$16*Summary!$B$8</f>
        <v/>
      </c>
      <c r="O1552" s="11">
        <f>M1552-N1552</f>
        <v/>
      </c>
    </row>
    <row r="1553">
      <c r="A1553" s="9" t="n">
        <v>45356.625</v>
      </c>
      <c r="B1553" t="n">
        <v>3</v>
      </c>
      <c r="C1553" t="n">
        <v>5</v>
      </c>
      <c r="D1553" t="n">
        <v>15</v>
      </c>
      <c r="E1553" s="10" t="n">
        <v>0.238456</v>
      </c>
      <c r="F1553" s="10" t="n">
        <v>0.3615231747655619</v>
      </c>
      <c r="G1553" s="11">
        <f>E1553*Summary!$B$6</f>
        <v/>
      </c>
      <c r="H1553" s="11">
        <f>F1553*Summary!$B$7</f>
        <v/>
      </c>
      <c r="I1553" s="11">
        <f>MAX(0,N1553-M1553)</f>
        <v/>
      </c>
      <c r="J1553" s="11">
        <f>MAX(0,M1553-N1553)</f>
        <v/>
      </c>
      <c r="K1553" s="11">
        <f>O1553</f>
        <v/>
      </c>
      <c r="L1553" s="11">
        <f>L1552+IF(K1553&gt;0,K1553*Summary!$B$9,K1553/Summary!$B$9)</f>
        <v/>
      </c>
      <c r="M1553" s="11">
        <f>G1553+H1553</f>
        <v/>
      </c>
      <c r="N1553" s="11">
        <f>Summary!$C$16*Summary!$B$8</f>
        <v/>
      </c>
      <c r="O1553" s="11">
        <f>M1553-N1553</f>
        <v/>
      </c>
    </row>
    <row r="1554">
      <c r="A1554" s="9" t="n">
        <v>45356.66666666666</v>
      </c>
      <c r="B1554" t="n">
        <v>3</v>
      </c>
      <c r="C1554" t="n">
        <v>5</v>
      </c>
      <c r="D1554" t="n">
        <v>16</v>
      </c>
      <c r="E1554" s="10" t="n">
        <v>0.113626</v>
      </c>
      <c r="F1554" s="10" t="n">
        <v>0.3584136380192731</v>
      </c>
      <c r="G1554" s="11">
        <f>E1554*Summary!$B$6</f>
        <v/>
      </c>
      <c r="H1554" s="11">
        <f>F1554*Summary!$B$7</f>
        <v/>
      </c>
      <c r="I1554" s="11">
        <f>MAX(0,N1554-M1554)</f>
        <v/>
      </c>
      <c r="J1554" s="11">
        <f>MAX(0,M1554-N1554)</f>
        <v/>
      </c>
      <c r="K1554" s="11">
        <f>O1554</f>
        <v/>
      </c>
      <c r="L1554" s="11">
        <f>L1553+IF(K1554&gt;0,K1554*Summary!$B$9,K1554/Summary!$B$9)</f>
        <v/>
      </c>
      <c r="M1554" s="11">
        <f>G1554+H1554</f>
        <v/>
      </c>
      <c r="N1554" s="11">
        <f>Summary!$C$16*Summary!$B$8</f>
        <v/>
      </c>
      <c r="O1554" s="11">
        <f>M1554-N1554</f>
        <v/>
      </c>
    </row>
    <row r="1555">
      <c r="A1555" s="9" t="n">
        <v>45356.70833333334</v>
      </c>
      <c r="B1555" t="n">
        <v>3</v>
      </c>
      <c r="C1555" t="n">
        <v>5</v>
      </c>
      <c r="D1555" t="n">
        <v>17</v>
      </c>
      <c r="E1555" s="10" t="n">
        <v>0.004915</v>
      </c>
      <c r="F1555" s="10" t="n">
        <v>0.3647381195371487</v>
      </c>
      <c r="G1555" s="11">
        <f>E1555*Summary!$B$6</f>
        <v/>
      </c>
      <c r="H1555" s="11">
        <f>F1555*Summary!$B$7</f>
        <v/>
      </c>
      <c r="I1555" s="11">
        <f>MAX(0,N1555-M1555)</f>
        <v/>
      </c>
      <c r="J1555" s="11">
        <f>MAX(0,M1555-N1555)</f>
        <v/>
      </c>
      <c r="K1555" s="11">
        <f>O1555</f>
        <v/>
      </c>
      <c r="L1555" s="11">
        <f>L1554+IF(K1555&gt;0,K1555*Summary!$B$9,K1555/Summary!$B$9)</f>
        <v/>
      </c>
      <c r="M1555" s="11">
        <f>G1555+H1555</f>
        <v/>
      </c>
      <c r="N1555" s="11">
        <f>Summary!$C$16*Summary!$B$8</f>
        <v/>
      </c>
      <c r="O1555" s="11">
        <f>M1555-N1555</f>
        <v/>
      </c>
    </row>
    <row r="1556">
      <c r="A1556" s="9" t="n">
        <v>45356.75</v>
      </c>
      <c r="B1556" t="n">
        <v>3</v>
      </c>
      <c r="C1556" t="n">
        <v>5</v>
      </c>
      <c r="D1556" t="n">
        <v>18</v>
      </c>
      <c r="E1556" s="10" t="n">
        <v>0</v>
      </c>
      <c r="F1556" s="10" t="n">
        <v>0.3768600424464102</v>
      </c>
      <c r="G1556" s="11">
        <f>E1556*Summary!$B$6</f>
        <v/>
      </c>
      <c r="H1556" s="11">
        <f>F1556*Summary!$B$7</f>
        <v/>
      </c>
      <c r="I1556" s="11">
        <f>MAX(0,N1556-M1556)</f>
        <v/>
      </c>
      <c r="J1556" s="11">
        <f>MAX(0,M1556-N1556)</f>
        <v/>
      </c>
      <c r="K1556" s="11">
        <f>O1556</f>
        <v/>
      </c>
      <c r="L1556" s="11">
        <f>L1555+IF(K1556&gt;0,K1556*Summary!$B$9,K1556/Summary!$B$9)</f>
        <v/>
      </c>
      <c r="M1556" s="11">
        <f>G1556+H1556</f>
        <v/>
      </c>
      <c r="N1556" s="11">
        <f>Summary!$C$16*Summary!$B$8</f>
        <v/>
      </c>
      <c r="O1556" s="11">
        <f>M1556-N1556</f>
        <v/>
      </c>
    </row>
    <row r="1557">
      <c r="A1557" s="9" t="n">
        <v>45356.79166666666</v>
      </c>
      <c r="B1557" t="n">
        <v>3</v>
      </c>
      <c r="C1557" t="n">
        <v>5</v>
      </c>
      <c r="D1557" t="n">
        <v>19</v>
      </c>
      <c r="E1557" s="10" t="n">
        <v>0</v>
      </c>
      <c r="F1557" s="10" t="n">
        <v>0.3841595481982916</v>
      </c>
      <c r="G1557" s="11">
        <f>E1557*Summary!$B$6</f>
        <v/>
      </c>
      <c r="H1557" s="11">
        <f>F1557*Summary!$B$7</f>
        <v/>
      </c>
      <c r="I1557" s="11">
        <f>MAX(0,N1557-M1557)</f>
        <v/>
      </c>
      <c r="J1557" s="11">
        <f>MAX(0,M1557-N1557)</f>
        <v/>
      </c>
      <c r="K1557" s="11">
        <f>O1557</f>
        <v/>
      </c>
      <c r="L1557" s="11">
        <f>L1556+IF(K1557&gt;0,K1557*Summary!$B$9,K1557/Summary!$B$9)</f>
        <v/>
      </c>
      <c r="M1557" s="11">
        <f>G1557+H1557</f>
        <v/>
      </c>
      <c r="N1557" s="11">
        <f>Summary!$C$16*Summary!$B$8</f>
        <v/>
      </c>
      <c r="O1557" s="11">
        <f>M1557-N1557</f>
        <v/>
      </c>
    </row>
    <row r="1558">
      <c r="A1558" s="9" t="n">
        <v>45356.83333333334</v>
      </c>
      <c r="B1558" t="n">
        <v>3</v>
      </c>
      <c r="C1558" t="n">
        <v>5</v>
      </c>
      <c r="D1558" t="n">
        <v>20</v>
      </c>
      <c r="E1558" s="10" t="n">
        <v>0</v>
      </c>
      <c r="F1558" s="10" t="n">
        <v>0.3855825565398135</v>
      </c>
      <c r="G1558" s="11">
        <f>E1558*Summary!$B$6</f>
        <v/>
      </c>
      <c r="H1558" s="11">
        <f>F1558*Summary!$B$7</f>
        <v/>
      </c>
      <c r="I1558" s="11">
        <f>MAX(0,N1558-M1558)</f>
        <v/>
      </c>
      <c r="J1558" s="11">
        <f>MAX(0,M1558-N1558)</f>
        <v/>
      </c>
      <c r="K1558" s="11">
        <f>O1558</f>
        <v/>
      </c>
      <c r="L1558" s="11">
        <f>L1557+IF(K1558&gt;0,K1558*Summary!$B$9,K1558/Summary!$B$9)</f>
        <v/>
      </c>
      <c r="M1558" s="11">
        <f>G1558+H1558</f>
        <v/>
      </c>
      <c r="N1558" s="11">
        <f>Summary!$C$16*Summary!$B$8</f>
        <v/>
      </c>
      <c r="O1558" s="11">
        <f>M1558-N1558</f>
        <v/>
      </c>
    </row>
    <row r="1559">
      <c r="A1559" s="9" t="n">
        <v>45356.875</v>
      </c>
      <c r="B1559" t="n">
        <v>3</v>
      </c>
      <c r="C1559" t="n">
        <v>5</v>
      </c>
      <c r="D1559" t="n">
        <v>21</v>
      </c>
      <c r="E1559" s="10" t="n">
        <v>0</v>
      </c>
      <c r="F1559" s="10" t="n">
        <v>0.3866893408054418</v>
      </c>
      <c r="G1559" s="11">
        <f>E1559*Summary!$B$6</f>
        <v/>
      </c>
      <c r="H1559" s="11">
        <f>F1559*Summary!$B$7</f>
        <v/>
      </c>
      <c r="I1559" s="11">
        <f>MAX(0,N1559-M1559)</f>
        <v/>
      </c>
      <c r="J1559" s="11">
        <f>MAX(0,M1559-N1559)</f>
        <v/>
      </c>
      <c r="K1559" s="11">
        <f>O1559</f>
        <v/>
      </c>
      <c r="L1559" s="11">
        <f>L1558+IF(K1559&gt;0,K1559*Summary!$B$9,K1559/Summary!$B$9)</f>
        <v/>
      </c>
      <c r="M1559" s="11">
        <f>G1559+H1559</f>
        <v/>
      </c>
      <c r="N1559" s="11">
        <f>Summary!$C$16*Summary!$B$8</f>
        <v/>
      </c>
      <c r="O1559" s="11">
        <f>M1559-N1559</f>
        <v/>
      </c>
    </row>
    <row r="1560">
      <c r="A1560" s="9" t="n">
        <v>45356.91666666666</v>
      </c>
      <c r="B1560" t="n">
        <v>3</v>
      </c>
      <c r="C1560" t="n">
        <v>5</v>
      </c>
      <c r="D1560" t="n">
        <v>22</v>
      </c>
      <c r="E1560" s="10" t="n">
        <v>0</v>
      </c>
      <c r="F1560" s="10" t="n">
        <v>0.3840541401729936</v>
      </c>
      <c r="G1560" s="11">
        <f>E1560*Summary!$B$6</f>
        <v/>
      </c>
      <c r="H1560" s="11">
        <f>F1560*Summary!$B$7</f>
        <v/>
      </c>
      <c r="I1560" s="11">
        <f>MAX(0,N1560-M1560)</f>
        <v/>
      </c>
      <c r="J1560" s="11">
        <f>MAX(0,M1560-N1560)</f>
        <v/>
      </c>
      <c r="K1560" s="11">
        <f>O1560</f>
        <v/>
      </c>
      <c r="L1560" s="11">
        <f>L1559+IF(K1560&gt;0,K1560*Summary!$B$9,K1560/Summary!$B$9)</f>
        <v/>
      </c>
      <c r="M1560" s="11">
        <f>G1560+H1560</f>
        <v/>
      </c>
      <c r="N1560" s="11">
        <f>Summary!$C$16*Summary!$B$8</f>
        <v/>
      </c>
      <c r="O1560" s="11">
        <f>M1560-N1560</f>
        <v/>
      </c>
    </row>
    <row r="1561">
      <c r="A1561" s="9" t="n">
        <v>45356.95833333334</v>
      </c>
      <c r="B1561" t="n">
        <v>3</v>
      </c>
      <c r="C1561" t="n">
        <v>5</v>
      </c>
      <c r="D1561" t="n">
        <v>23</v>
      </c>
      <c r="E1561" s="10" t="n">
        <v>0</v>
      </c>
      <c r="F1561" s="10" t="n">
        <v>0.3884812772355065</v>
      </c>
      <c r="G1561" s="11">
        <f>E1561*Summary!$B$6</f>
        <v/>
      </c>
      <c r="H1561" s="11">
        <f>F1561*Summary!$B$7</f>
        <v/>
      </c>
      <c r="I1561" s="11">
        <f>MAX(0,N1561-M1561)</f>
        <v/>
      </c>
      <c r="J1561" s="11">
        <f>MAX(0,M1561-N1561)</f>
        <v/>
      </c>
      <c r="K1561" s="11">
        <f>O1561</f>
        <v/>
      </c>
      <c r="L1561" s="11">
        <f>L1560+IF(K1561&gt;0,K1561*Summary!$B$9,K1561/Summary!$B$9)</f>
        <v/>
      </c>
      <c r="M1561" s="11">
        <f>G1561+H1561</f>
        <v/>
      </c>
      <c r="N1561" s="11">
        <f>Summary!$C$16*Summary!$B$8</f>
        <v/>
      </c>
      <c r="O1561" s="11">
        <f>M1561-N1561</f>
        <v/>
      </c>
    </row>
    <row r="1562">
      <c r="A1562" s="9" t="n">
        <v>45357</v>
      </c>
      <c r="B1562" t="n">
        <v>3</v>
      </c>
      <c r="C1562" t="n">
        <v>6</v>
      </c>
      <c r="D1562" t="n">
        <v>0</v>
      </c>
      <c r="E1562" s="10" t="n">
        <v>0</v>
      </c>
      <c r="F1562" s="10" t="n">
        <v>0.3407577937818705</v>
      </c>
      <c r="G1562" s="11">
        <f>E1562*Summary!$B$6</f>
        <v/>
      </c>
      <c r="H1562" s="11">
        <f>F1562*Summary!$B$7</f>
        <v/>
      </c>
      <c r="I1562" s="11">
        <f>MAX(0,N1562-M1562)</f>
        <v/>
      </c>
      <c r="J1562" s="11">
        <f>MAX(0,M1562-N1562)</f>
        <v/>
      </c>
      <c r="K1562" s="11">
        <f>O1562</f>
        <v/>
      </c>
      <c r="L1562" s="11">
        <f>L1561+IF(K1562&gt;0,K1562*Summary!$B$9,K1562/Summary!$B$9)</f>
        <v/>
      </c>
      <c r="M1562" s="11">
        <f>G1562+H1562</f>
        <v/>
      </c>
      <c r="N1562" s="11">
        <f>Summary!$C$16*Summary!$B$8</f>
        <v/>
      </c>
      <c r="O1562" s="11">
        <f>M1562-N1562</f>
        <v/>
      </c>
    </row>
    <row r="1563">
      <c r="A1563" s="9" t="n">
        <v>45357.04166666666</v>
      </c>
      <c r="B1563" t="n">
        <v>3</v>
      </c>
      <c r="C1563" t="n">
        <v>6</v>
      </c>
      <c r="D1563" t="n">
        <v>1</v>
      </c>
      <c r="E1563" s="10" t="n">
        <v>0</v>
      </c>
      <c r="F1563" s="10" t="n">
        <v>0.3959915990379838</v>
      </c>
      <c r="G1563" s="11">
        <f>E1563*Summary!$B$6</f>
        <v/>
      </c>
      <c r="H1563" s="11">
        <f>F1563*Summary!$B$7</f>
        <v/>
      </c>
      <c r="I1563" s="11">
        <f>MAX(0,N1563-M1563)</f>
        <v/>
      </c>
      <c r="J1563" s="11">
        <f>MAX(0,M1563-N1563)</f>
        <v/>
      </c>
      <c r="K1563" s="11">
        <f>O1563</f>
        <v/>
      </c>
      <c r="L1563" s="11">
        <f>L1562+IF(K1563&gt;0,K1563*Summary!$B$9,K1563/Summary!$B$9)</f>
        <v/>
      </c>
      <c r="M1563" s="11">
        <f>G1563+H1563</f>
        <v/>
      </c>
      <c r="N1563" s="11">
        <f>Summary!$C$16*Summary!$B$8</f>
        <v/>
      </c>
      <c r="O1563" s="11">
        <f>M1563-N1563</f>
        <v/>
      </c>
    </row>
    <row r="1564">
      <c r="A1564" s="9" t="n">
        <v>45357.08333333334</v>
      </c>
      <c r="B1564" t="n">
        <v>3</v>
      </c>
      <c r="C1564" t="n">
        <v>6</v>
      </c>
      <c r="D1564" t="n">
        <v>2</v>
      </c>
      <c r="E1564" s="10" t="n">
        <v>0</v>
      </c>
      <c r="F1564" s="10" t="n">
        <v>0.3973619033668568</v>
      </c>
      <c r="G1564" s="11">
        <f>E1564*Summary!$B$6</f>
        <v/>
      </c>
      <c r="H1564" s="11">
        <f>F1564*Summary!$B$7</f>
        <v/>
      </c>
      <c r="I1564" s="11">
        <f>MAX(0,N1564-M1564)</f>
        <v/>
      </c>
      <c r="J1564" s="11">
        <f>MAX(0,M1564-N1564)</f>
        <v/>
      </c>
      <c r="K1564" s="11">
        <f>O1564</f>
        <v/>
      </c>
      <c r="L1564" s="11">
        <f>L1563+IF(K1564&gt;0,K1564*Summary!$B$9,K1564/Summary!$B$9)</f>
        <v/>
      </c>
      <c r="M1564" s="11">
        <f>G1564+H1564</f>
        <v/>
      </c>
      <c r="N1564" s="11">
        <f>Summary!$C$16*Summary!$B$8</f>
        <v/>
      </c>
      <c r="O1564" s="11">
        <f>M1564-N1564</f>
        <v/>
      </c>
    </row>
    <row r="1565">
      <c r="A1565" s="9" t="n">
        <v>45357.125</v>
      </c>
      <c r="B1565" t="n">
        <v>3</v>
      </c>
      <c r="C1565" t="n">
        <v>6</v>
      </c>
      <c r="D1565" t="n">
        <v>3</v>
      </c>
      <c r="E1565" s="10" t="n">
        <v>0</v>
      </c>
      <c r="F1565" s="10" t="n">
        <v>0.3867683968244153</v>
      </c>
      <c r="G1565" s="11">
        <f>E1565*Summary!$B$6</f>
        <v/>
      </c>
      <c r="H1565" s="11">
        <f>F1565*Summary!$B$7</f>
        <v/>
      </c>
      <c r="I1565" s="11">
        <f>MAX(0,N1565-M1565)</f>
        <v/>
      </c>
      <c r="J1565" s="11">
        <f>MAX(0,M1565-N1565)</f>
        <v/>
      </c>
      <c r="K1565" s="11">
        <f>O1565</f>
        <v/>
      </c>
      <c r="L1565" s="11">
        <f>L1564+IF(K1565&gt;0,K1565*Summary!$B$9,K1565/Summary!$B$9)</f>
        <v/>
      </c>
      <c r="M1565" s="11">
        <f>G1565+H1565</f>
        <v/>
      </c>
      <c r="N1565" s="11">
        <f>Summary!$C$16*Summary!$B$8</f>
        <v/>
      </c>
      <c r="O1565" s="11">
        <f>M1565-N1565</f>
        <v/>
      </c>
    </row>
    <row r="1566">
      <c r="A1566" s="9" t="n">
        <v>45357.16666666666</v>
      </c>
      <c r="B1566" t="n">
        <v>3</v>
      </c>
      <c r="C1566" t="n">
        <v>6</v>
      </c>
      <c r="D1566" t="n">
        <v>4</v>
      </c>
      <c r="E1566" s="10" t="n">
        <v>0</v>
      </c>
      <c r="F1566" s="10" t="n">
        <v>0.3975200154048037</v>
      </c>
      <c r="G1566" s="11">
        <f>E1566*Summary!$B$6</f>
        <v/>
      </c>
      <c r="H1566" s="11">
        <f>F1566*Summary!$B$7</f>
        <v/>
      </c>
      <c r="I1566" s="11">
        <f>MAX(0,N1566-M1566)</f>
        <v/>
      </c>
      <c r="J1566" s="11">
        <f>MAX(0,M1566-N1566)</f>
        <v/>
      </c>
      <c r="K1566" s="11">
        <f>O1566</f>
        <v/>
      </c>
      <c r="L1566" s="11">
        <f>L1565+IF(K1566&gt;0,K1566*Summary!$B$9,K1566/Summary!$B$9)</f>
        <v/>
      </c>
      <c r="M1566" s="11">
        <f>G1566+H1566</f>
        <v/>
      </c>
      <c r="N1566" s="11">
        <f>Summary!$C$16*Summary!$B$8</f>
        <v/>
      </c>
      <c r="O1566" s="11">
        <f>M1566-N1566</f>
        <v/>
      </c>
    </row>
    <row r="1567">
      <c r="A1567" s="9" t="n">
        <v>45357.20833333334</v>
      </c>
      <c r="B1567" t="n">
        <v>3</v>
      </c>
      <c r="C1567" t="n">
        <v>6</v>
      </c>
      <c r="D1567" t="n">
        <v>5</v>
      </c>
      <c r="E1567" s="10" t="n">
        <v>0</v>
      </c>
      <c r="F1567" s="10" t="n">
        <v>0.3913272939185505</v>
      </c>
      <c r="G1567" s="11">
        <f>E1567*Summary!$B$6</f>
        <v/>
      </c>
      <c r="H1567" s="11">
        <f>F1567*Summary!$B$7</f>
        <v/>
      </c>
      <c r="I1567" s="11">
        <f>MAX(0,N1567-M1567)</f>
        <v/>
      </c>
      <c r="J1567" s="11">
        <f>MAX(0,M1567-N1567)</f>
        <v/>
      </c>
      <c r="K1567" s="11">
        <f>O1567</f>
        <v/>
      </c>
      <c r="L1567" s="11">
        <f>L1566+IF(K1567&gt;0,K1567*Summary!$B$9,K1567/Summary!$B$9)</f>
        <v/>
      </c>
      <c r="M1567" s="11">
        <f>G1567+H1567</f>
        <v/>
      </c>
      <c r="N1567" s="11">
        <f>Summary!$C$16*Summary!$B$8</f>
        <v/>
      </c>
      <c r="O1567" s="11">
        <f>M1567-N1567</f>
        <v/>
      </c>
    </row>
    <row r="1568">
      <c r="A1568" s="9" t="n">
        <v>45357.25</v>
      </c>
      <c r="B1568" t="n">
        <v>3</v>
      </c>
      <c r="C1568" t="n">
        <v>6</v>
      </c>
      <c r="D1568" t="n">
        <v>6</v>
      </c>
      <c r="E1568" s="10" t="n">
        <v>0</v>
      </c>
      <c r="F1568" s="10" t="n">
        <v>0.3906948457667629</v>
      </c>
      <c r="G1568" s="11">
        <f>E1568*Summary!$B$6</f>
        <v/>
      </c>
      <c r="H1568" s="11">
        <f>F1568*Summary!$B$7</f>
        <v/>
      </c>
      <c r="I1568" s="11">
        <f>MAX(0,N1568-M1568)</f>
        <v/>
      </c>
      <c r="J1568" s="11">
        <f>MAX(0,M1568-N1568)</f>
        <v/>
      </c>
      <c r="K1568" s="11">
        <f>O1568</f>
        <v/>
      </c>
      <c r="L1568" s="11">
        <f>L1567+IF(K1568&gt;0,K1568*Summary!$B$9,K1568/Summary!$B$9)</f>
        <v/>
      </c>
      <c r="M1568" s="11">
        <f>G1568+H1568</f>
        <v/>
      </c>
      <c r="N1568" s="11">
        <f>Summary!$C$16*Summary!$B$8</f>
        <v/>
      </c>
      <c r="O1568" s="11">
        <f>M1568-N1568</f>
        <v/>
      </c>
    </row>
    <row r="1569">
      <c r="A1569" s="9" t="n">
        <v>45357.29166666666</v>
      </c>
      <c r="B1569" t="n">
        <v>3</v>
      </c>
      <c r="C1569" t="n">
        <v>6</v>
      </c>
      <c r="D1569" t="n">
        <v>7</v>
      </c>
      <c r="E1569" s="10" t="n">
        <v>0.045324</v>
      </c>
      <c r="F1569" s="10" t="n">
        <v>0.3958334870000368</v>
      </c>
      <c r="G1569" s="11">
        <f>E1569*Summary!$B$6</f>
        <v/>
      </c>
      <c r="H1569" s="11">
        <f>F1569*Summary!$B$7</f>
        <v/>
      </c>
      <c r="I1569" s="11">
        <f>MAX(0,N1569-M1569)</f>
        <v/>
      </c>
      <c r="J1569" s="11">
        <f>MAX(0,M1569-N1569)</f>
        <v/>
      </c>
      <c r="K1569" s="11">
        <f>O1569</f>
        <v/>
      </c>
      <c r="L1569" s="11">
        <f>L1568+IF(K1569&gt;0,K1569*Summary!$B$9,K1569/Summary!$B$9)</f>
        <v/>
      </c>
      <c r="M1569" s="11">
        <f>G1569+H1569</f>
        <v/>
      </c>
      <c r="N1569" s="11">
        <f>Summary!$C$16*Summary!$B$8</f>
        <v/>
      </c>
      <c r="O1569" s="11">
        <f>M1569-N1569</f>
        <v/>
      </c>
    </row>
    <row r="1570">
      <c r="A1570" s="9" t="n">
        <v>45357.33333333334</v>
      </c>
      <c r="B1570" t="n">
        <v>3</v>
      </c>
      <c r="C1570" t="n">
        <v>6</v>
      </c>
      <c r="D1570" t="n">
        <v>8</v>
      </c>
      <c r="E1570" s="10" t="n">
        <v>0.236519</v>
      </c>
      <c r="F1570" s="10" t="n">
        <v>0.3587562141014914</v>
      </c>
      <c r="G1570" s="11">
        <f>E1570*Summary!$B$6</f>
        <v/>
      </c>
      <c r="H1570" s="11">
        <f>F1570*Summary!$B$7</f>
        <v/>
      </c>
      <c r="I1570" s="11">
        <f>MAX(0,N1570-M1570)</f>
        <v/>
      </c>
      <c r="J1570" s="11">
        <f>MAX(0,M1570-N1570)</f>
        <v/>
      </c>
      <c r="K1570" s="11">
        <f>O1570</f>
        <v/>
      </c>
      <c r="L1570" s="11">
        <f>L1569+IF(K1570&gt;0,K1570*Summary!$B$9,K1570/Summary!$B$9)</f>
        <v/>
      </c>
      <c r="M1570" s="11">
        <f>G1570+H1570</f>
        <v/>
      </c>
      <c r="N1570" s="11">
        <f>Summary!$C$16*Summary!$B$8</f>
        <v/>
      </c>
      <c r="O1570" s="11">
        <f>M1570-N1570</f>
        <v/>
      </c>
    </row>
    <row r="1571">
      <c r="A1571" s="9" t="n">
        <v>45357.375</v>
      </c>
      <c r="B1571" t="n">
        <v>3</v>
      </c>
      <c r="C1571" t="n">
        <v>6</v>
      </c>
      <c r="D1571" t="n">
        <v>9</v>
      </c>
      <c r="E1571" s="10" t="n">
        <v>0.416704</v>
      </c>
      <c r="F1571" s="10" t="n">
        <v>0.3399408815858115</v>
      </c>
      <c r="G1571" s="11">
        <f>E1571*Summary!$B$6</f>
        <v/>
      </c>
      <c r="H1571" s="11">
        <f>F1571*Summary!$B$7</f>
        <v/>
      </c>
      <c r="I1571" s="11">
        <f>MAX(0,N1571-M1571)</f>
        <v/>
      </c>
      <c r="J1571" s="11">
        <f>MAX(0,M1571-N1571)</f>
        <v/>
      </c>
      <c r="K1571" s="11">
        <f>O1571</f>
        <v/>
      </c>
      <c r="L1571" s="11">
        <f>L1570+IF(K1571&gt;0,K1571*Summary!$B$9,K1571/Summary!$B$9)</f>
        <v/>
      </c>
      <c r="M1571" s="11">
        <f>G1571+H1571</f>
        <v/>
      </c>
      <c r="N1571" s="11">
        <f>Summary!$C$16*Summary!$B$8</f>
        <v/>
      </c>
      <c r="O1571" s="11">
        <f>M1571-N1571</f>
        <v/>
      </c>
    </row>
    <row r="1572">
      <c r="A1572" s="9" t="n">
        <v>45357.41666666666</v>
      </c>
      <c r="B1572" t="n">
        <v>3</v>
      </c>
      <c r="C1572" t="n">
        <v>6</v>
      </c>
      <c r="D1572" t="n">
        <v>10</v>
      </c>
      <c r="E1572" s="10" t="n">
        <v>0.555938</v>
      </c>
      <c r="F1572" s="10" t="n">
        <v>0.3224431493863558</v>
      </c>
      <c r="G1572" s="11">
        <f>E1572*Summary!$B$6</f>
        <v/>
      </c>
      <c r="H1572" s="11">
        <f>F1572*Summary!$B$7</f>
        <v/>
      </c>
      <c r="I1572" s="11">
        <f>MAX(0,N1572-M1572)</f>
        <v/>
      </c>
      <c r="J1572" s="11">
        <f>MAX(0,M1572-N1572)</f>
        <v/>
      </c>
      <c r="K1572" s="11">
        <f>O1572</f>
        <v/>
      </c>
      <c r="L1572" s="11">
        <f>L1571+IF(K1572&gt;0,K1572*Summary!$B$9,K1572/Summary!$B$9)</f>
        <v/>
      </c>
      <c r="M1572" s="11">
        <f>G1572+H1572</f>
        <v/>
      </c>
      <c r="N1572" s="11">
        <f>Summary!$C$16*Summary!$B$8</f>
        <v/>
      </c>
      <c r="O1572" s="11">
        <f>M1572-N1572</f>
        <v/>
      </c>
    </row>
    <row r="1573">
      <c r="A1573" s="9" t="n">
        <v>45357.45833333334</v>
      </c>
      <c r="B1573" t="n">
        <v>3</v>
      </c>
      <c r="C1573" t="n">
        <v>6</v>
      </c>
      <c r="D1573" t="n">
        <v>11</v>
      </c>
      <c r="E1573" s="10" t="n">
        <v>0.641356</v>
      </c>
      <c r="F1573" s="10" t="n">
        <v>0.3166720600012944</v>
      </c>
      <c r="G1573" s="11">
        <f>E1573*Summary!$B$6</f>
        <v/>
      </c>
      <c r="H1573" s="11">
        <f>F1573*Summary!$B$7</f>
        <v/>
      </c>
      <c r="I1573" s="11">
        <f>MAX(0,N1573-M1573)</f>
        <v/>
      </c>
      <c r="J1573" s="11">
        <f>MAX(0,M1573-N1573)</f>
        <v/>
      </c>
      <c r="K1573" s="11">
        <f>O1573</f>
        <v/>
      </c>
      <c r="L1573" s="11">
        <f>L1572+IF(K1573&gt;0,K1573*Summary!$B$9,K1573/Summary!$B$9)</f>
        <v/>
      </c>
      <c r="M1573" s="11">
        <f>G1573+H1573</f>
        <v/>
      </c>
      <c r="N1573" s="11">
        <f>Summary!$C$16*Summary!$B$8</f>
        <v/>
      </c>
      <c r="O1573" s="11">
        <f>M1573-N1573</f>
        <v/>
      </c>
    </row>
    <row r="1574">
      <c r="A1574" s="9" t="n">
        <v>45357.5</v>
      </c>
      <c r="B1574" t="n">
        <v>3</v>
      </c>
      <c r="C1574" t="n">
        <v>6</v>
      </c>
      <c r="D1574" t="n">
        <v>12</v>
      </c>
      <c r="E1574" s="10" t="n">
        <v>0.66436</v>
      </c>
      <c r="F1574" s="10" t="n">
        <v>0.3147483635396072</v>
      </c>
      <c r="G1574" s="11">
        <f>E1574*Summary!$B$6</f>
        <v/>
      </c>
      <c r="H1574" s="11">
        <f>F1574*Summary!$B$7</f>
        <v/>
      </c>
      <c r="I1574" s="11">
        <f>MAX(0,N1574-M1574)</f>
        <v/>
      </c>
      <c r="J1574" s="11">
        <f>MAX(0,M1574-N1574)</f>
        <v/>
      </c>
      <c r="K1574" s="11">
        <f>O1574</f>
        <v/>
      </c>
      <c r="L1574" s="11">
        <f>L1573+IF(K1574&gt;0,K1574*Summary!$B$9,K1574/Summary!$B$9)</f>
        <v/>
      </c>
      <c r="M1574" s="11">
        <f>G1574+H1574</f>
        <v/>
      </c>
      <c r="N1574" s="11">
        <f>Summary!$C$16*Summary!$B$8</f>
        <v/>
      </c>
      <c r="O1574" s="11">
        <f>M1574-N1574</f>
        <v/>
      </c>
    </row>
    <row r="1575">
      <c r="A1575" s="9" t="n">
        <v>45357.54166666666</v>
      </c>
      <c r="B1575" t="n">
        <v>3</v>
      </c>
      <c r="C1575" t="n">
        <v>6</v>
      </c>
      <c r="D1575" t="n">
        <v>13</v>
      </c>
      <c r="E1575" s="10" t="n">
        <v>0.622214</v>
      </c>
      <c r="F1575" s="10" t="n">
        <v>0.3240242697658248</v>
      </c>
      <c r="G1575" s="11">
        <f>E1575*Summary!$B$6</f>
        <v/>
      </c>
      <c r="H1575" s="11">
        <f>F1575*Summary!$B$7</f>
        <v/>
      </c>
      <c r="I1575" s="11">
        <f>MAX(0,N1575-M1575)</f>
        <v/>
      </c>
      <c r="J1575" s="11">
        <f>MAX(0,M1575-N1575)</f>
        <v/>
      </c>
      <c r="K1575" s="11">
        <f>O1575</f>
        <v/>
      </c>
      <c r="L1575" s="11">
        <f>L1574+IF(K1575&gt;0,K1575*Summary!$B$9,K1575/Summary!$B$9)</f>
        <v/>
      </c>
      <c r="M1575" s="11">
        <f>G1575+H1575</f>
        <v/>
      </c>
      <c r="N1575" s="11">
        <f>Summary!$C$16*Summary!$B$8</f>
        <v/>
      </c>
      <c r="O1575" s="11">
        <f>M1575-N1575</f>
        <v/>
      </c>
    </row>
    <row r="1576">
      <c r="A1576" s="9" t="n">
        <v>45357.58333333334</v>
      </c>
      <c r="B1576" t="n">
        <v>3</v>
      </c>
      <c r="C1576" t="n">
        <v>6</v>
      </c>
      <c r="D1576" t="n">
        <v>14</v>
      </c>
      <c r="E1576" s="10" t="n">
        <v>0.522075</v>
      </c>
      <c r="F1576" s="10" t="n">
        <v>0.3166720600012944</v>
      </c>
      <c r="G1576" s="11">
        <f>E1576*Summary!$B$6</f>
        <v/>
      </c>
      <c r="H1576" s="11">
        <f>F1576*Summary!$B$7</f>
        <v/>
      </c>
      <c r="I1576" s="11">
        <f>MAX(0,N1576-M1576)</f>
        <v/>
      </c>
      <c r="J1576" s="11">
        <f>MAX(0,M1576-N1576)</f>
        <v/>
      </c>
      <c r="K1576" s="11">
        <f>O1576</f>
        <v/>
      </c>
      <c r="L1576" s="11">
        <f>L1575+IF(K1576&gt;0,K1576*Summary!$B$9,K1576/Summary!$B$9)</f>
        <v/>
      </c>
      <c r="M1576" s="11">
        <f>G1576+H1576</f>
        <v/>
      </c>
      <c r="N1576" s="11">
        <f>Summary!$C$16*Summary!$B$8</f>
        <v/>
      </c>
      <c r="O1576" s="11">
        <f>M1576-N1576</f>
        <v/>
      </c>
    </row>
    <row r="1577">
      <c r="A1577" s="9" t="n">
        <v>45357.625</v>
      </c>
      <c r="B1577" t="n">
        <v>3</v>
      </c>
      <c r="C1577" t="n">
        <v>6</v>
      </c>
      <c r="D1577" t="n">
        <v>15</v>
      </c>
      <c r="E1577" s="10" t="n">
        <v>0.369117</v>
      </c>
      <c r="F1577" s="10" t="n">
        <v>0.3182531803807633</v>
      </c>
      <c r="G1577" s="11">
        <f>E1577*Summary!$B$6</f>
        <v/>
      </c>
      <c r="H1577" s="11">
        <f>F1577*Summary!$B$7</f>
        <v/>
      </c>
      <c r="I1577" s="11">
        <f>MAX(0,N1577-M1577)</f>
        <v/>
      </c>
      <c r="J1577" s="11">
        <f>MAX(0,M1577-N1577)</f>
        <v/>
      </c>
      <c r="K1577" s="11">
        <f>O1577</f>
        <v/>
      </c>
      <c r="L1577" s="11">
        <f>L1576+IF(K1577&gt;0,K1577*Summary!$B$9,K1577/Summary!$B$9)</f>
        <v/>
      </c>
      <c r="M1577" s="11">
        <f>G1577+H1577</f>
        <v/>
      </c>
      <c r="N1577" s="11">
        <f>Summary!$C$16*Summary!$B$8</f>
        <v/>
      </c>
      <c r="O1577" s="11">
        <f>M1577-N1577</f>
        <v/>
      </c>
    </row>
    <row r="1578">
      <c r="A1578" s="9" t="n">
        <v>45357.66666666666</v>
      </c>
      <c r="B1578" t="n">
        <v>3</v>
      </c>
      <c r="C1578" t="n">
        <v>6</v>
      </c>
      <c r="D1578" t="n">
        <v>16</v>
      </c>
      <c r="E1578" s="10" t="n">
        <v>0.170533</v>
      </c>
      <c r="F1578" s="10" t="n">
        <v>0.3236816936836064</v>
      </c>
      <c r="G1578" s="11">
        <f>E1578*Summary!$B$6</f>
        <v/>
      </c>
      <c r="H1578" s="11">
        <f>F1578*Summary!$B$7</f>
        <v/>
      </c>
      <c r="I1578" s="11">
        <f>MAX(0,N1578-M1578)</f>
        <v/>
      </c>
      <c r="J1578" s="11">
        <f>MAX(0,M1578-N1578)</f>
        <v/>
      </c>
      <c r="K1578" s="11">
        <f>O1578</f>
        <v/>
      </c>
      <c r="L1578" s="11">
        <f>L1577+IF(K1578&gt;0,K1578*Summary!$B$9,K1578/Summary!$B$9)</f>
        <v/>
      </c>
      <c r="M1578" s="11">
        <f>G1578+H1578</f>
        <v/>
      </c>
      <c r="N1578" s="11">
        <f>Summary!$C$16*Summary!$B$8</f>
        <v/>
      </c>
      <c r="O1578" s="11">
        <f>M1578-N1578</f>
        <v/>
      </c>
    </row>
    <row r="1579">
      <c r="A1579" s="9" t="n">
        <v>45357.70833333334</v>
      </c>
      <c r="B1579" t="n">
        <v>3</v>
      </c>
      <c r="C1579" t="n">
        <v>6</v>
      </c>
      <c r="D1579" t="n">
        <v>17</v>
      </c>
      <c r="E1579" s="10" t="n">
        <v>0.012778</v>
      </c>
      <c r="F1579" s="10" t="n">
        <v>0.3312183674924082</v>
      </c>
      <c r="G1579" s="11">
        <f>E1579*Summary!$B$6</f>
        <v/>
      </c>
      <c r="H1579" s="11">
        <f>F1579*Summary!$B$7</f>
        <v/>
      </c>
      <c r="I1579" s="11">
        <f>MAX(0,N1579-M1579)</f>
        <v/>
      </c>
      <c r="J1579" s="11">
        <f>MAX(0,M1579-N1579)</f>
        <v/>
      </c>
      <c r="K1579" s="11">
        <f>O1579</f>
        <v/>
      </c>
      <c r="L1579" s="11">
        <f>L1578+IF(K1579&gt;0,K1579*Summary!$B$9,K1579/Summary!$B$9)</f>
        <v/>
      </c>
      <c r="M1579" s="11">
        <f>G1579+H1579</f>
        <v/>
      </c>
      <c r="N1579" s="11">
        <f>Summary!$C$16*Summary!$B$8</f>
        <v/>
      </c>
      <c r="O1579" s="11">
        <f>M1579-N1579</f>
        <v/>
      </c>
    </row>
    <row r="1580">
      <c r="A1580" s="9" t="n">
        <v>45357.75</v>
      </c>
      <c r="B1580" t="n">
        <v>3</v>
      </c>
      <c r="C1580" t="n">
        <v>6</v>
      </c>
      <c r="D1580" t="n">
        <v>18</v>
      </c>
      <c r="E1580" s="10" t="n">
        <v>0</v>
      </c>
      <c r="F1580" s="10" t="n">
        <v>0.3425760822182597</v>
      </c>
      <c r="G1580" s="11">
        <f>E1580*Summary!$B$6</f>
        <v/>
      </c>
      <c r="H1580" s="11">
        <f>F1580*Summary!$B$7</f>
        <v/>
      </c>
      <c r="I1580" s="11">
        <f>MAX(0,N1580-M1580)</f>
        <v/>
      </c>
      <c r="J1580" s="11">
        <f>MAX(0,M1580-N1580)</f>
        <v/>
      </c>
      <c r="K1580" s="11">
        <f>O1580</f>
        <v/>
      </c>
      <c r="L1580" s="11">
        <f>L1579+IF(K1580&gt;0,K1580*Summary!$B$9,K1580/Summary!$B$9)</f>
        <v/>
      </c>
      <c r="M1580" s="11">
        <f>G1580+H1580</f>
        <v/>
      </c>
      <c r="N1580" s="11">
        <f>Summary!$C$16*Summary!$B$8</f>
        <v/>
      </c>
      <c r="O1580" s="11">
        <f>M1580-N1580</f>
        <v/>
      </c>
    </row>
    <row r="1581">
      <c r="A1581" s="9" t="n">
        <v>45357.79166666666</v>
      </c>
      <c r="B1581" t="n">
        <v>3</v>
      </c>
      <c r="C1581" t="n">
        <v>6</v>
      </c>
      <c r="D1581" t="n">
        <v>19</v>
      </c>
      <c r="E1581" s="10" t="n">
        <v>0</v>
      </c>
      <c r="F1581" s="10" t="n">
        <v>0.3487688037045129</v>
      </c>
      <c r="G1581" s="11">
        <f>E1581*Summary!$B$6</f>
        <v/>
      </c>
      <c r="H1581" s="11">
        <f>F1581*Summary!$B$7</f>
        <v/>
      </c>
      <c r="I1581" s="11">
        <f>MAX(0,N1581-M1581)</f>
        <v/>
      </c>
      <c r="J1581" s="11">
        <f>MAX(0,M1581-N1581)</f>
        <v/>
      </c>
      <c r="K1581" s="11">
        <f>O1581</f>
        <v/>
      </c>
      <c r="L1581" s="11">
        <f>L1580+IF(K1581&gt;0,K1581*Summary!$B$9,K1581/Summary!$B$9)</f>
        <v/>
      </c>
      <c r="M1581" s="11">
        <f>G1581+H1581</f>
        <v/>
      </c>
      <c r="N1581" s="11">
        <f>Summary!$C$16*Summary!$B$8</f>
        <v/>
      </c>
      <c r="O1581" s="11">
        <f>M1581-N1581</f>
        <v/>
      </c>
    </row>
    <row r="1582">
      <c r="A1582" s="9" t="n">
        <v>45357.83333333334</v>
      </c>
      <c r="B1582" t="n">
        <v>3</v>
      </c>
      <c r="C1582" t="n">
        <v>6</v>
      </c>
      <c r="D1582" t="n">
        <v>20</v>
      </c>
      <c r="E1582" s="10" t="n">
        <v>0</v>
      </c>
      <c r="F1582" s="10" t="n">
        <v>0.3481100035464009</v>
      </c>
      <c r="G1582" s="11">
        <f>E1582*Summary!$B$6</f>
        <v/>
      </c>
      <c r="H1582" s="11">
        <f>F1582*Summary!$B$7</f>
        <v/>
      </c>
      <c r="I1582" s="11">
        <f>MAX(0,N1582-M1582)</f>
        <v/>
      </c>
      <c r="J1582" s="11">
        <f>MAX(0,M1582-N1582)</f>
        <v/>
      </c>
      <c r="K1582" s="11">
        <f>O1582</f>
        <v/>
      </c>
      <c r="L1582" s="11">
        <f>L1581+IF(K1582&gt;0,K1582*Summary!$B$9,K1582/Summary!$B$9)</f>
        <v/>
      </c>
      <c r="M1582" s="11">
        <f>G1582+H1582</f>
        <v/>
      </c>
      <c r="N1582" s="11">
        <f>Summary!$C$16*Summary!$B$8</f>
        <v/>
      </c>
      <c r="O1582" s="11">
        <f>M1582-N1582</f>
        <v/>
      </c>
    </row>
    <row r="1583">
      <c r="A1583" s="9" t="n">
        <v>45357.875</v>
      </c>
      <c r="B1583" t="n">
        <v>3</v>
      </c>
      <c r="C1583" t="n">
        <v>6</v>
      </c>
      <c r="D1583" t="n">
        <v>21</v>
      </c>
      <c r="E1583" s="10" t="n">
        <v>0</v>
      </c>
      <c r="F1583" s="10" t="n">
        <v>0.3458700830088199</v>
      </c>
      <c r="G1583" s="11">
        <f>E1583*Summary!$B$6</f>
        <v/>
      </c>
      <c r="H1583" s="11">
        <f>F1583*Summary!$B$7</f>
        <v/>
      </c>
      <c r="I1583" s="11">
        <f>MAX(0,N1583-M1583)</f>
        <v/>
      </c>
      <c r="J1583" s="11">
        <f>MAX(0,M1583-N1583)</f>
        <v/>
      </c>
      <c r="K1583" s="11">
        <f>O1583</f>
        <v/>
      </c>
      <c r="L1583" s="11">
        <f>L1582+IF(K1583&gt;0,K1583*Summary!$B$9,K1583/Summary!$B$9)</f>
        <v/>
      </c>
      <c r="M1583" s="11">
        <f>G1583+H1583</f>
        <v/>
      </c>
      <c r="N1583" s="11">
        <f>Summary!$C$16*Summary!$B$8</f>
        <v/>
      </c>
      <c r="O1583" s="11">
        <f>M1583-N1583</f>
        <v/>
      </c>
    </row>
    <row r="1584">
      <c r="A1584" s="9" t="n">
        <v>45357.91666666666</v>
      </c>
      <c r="B1584" t="n">
        <v>3</v>
      </c>
      <c r="C1584" t="n">
        <v>6</v>
      </c>
      <c r="D1584" t="n">
        <v>22</v>
      </c>
      <c r="E1584" s="10" t="n">
        <v>0</v>
      </c>
      <c r="F1584" s="10" t="n">
        <v>0.3389658573518057</v>
      </c>
      <c r="G1584" s="11">
        <f>E1584*Summary!$B$6</f>
        <v/>
      </c>
      <c r="H1584" s="11">
        <f>F1584*Summary!$B$7</f>
        <v/>
      </c>
      <c r="I1584" s="11">
        <f>MAX(0,N1584-M1584)</f>
        <v/>
      </c>
      <c r="J1584" s="11">
        <f>MAX(0,M1584-N1584)</f>
        <v/>
      </c>
      <c r="K1584" s="11">
        <f>O1584</f>
        <v/>
      </c>
      <c r="L1584" s="11">
        <f>L1583+IF(K1584&gt;0,K1584*Summary!$B$9,K1584/Summary!$B$9)</f>
        <v/>
      </c>
      <c r="M1584" s="11">
        <f>G1584+H1584</f>
        <v/>
      </c>
      <c r="N1584" s="11">
        <f>Summary!$C$16*Summary!$B$8</f>
        <v/>
      </c>
      <c r="O1584" s="11">
        <f>M1584-N1584</f>
        <v/>
      </c>
    </row>
    <row r="1585">
      <c r="A1585" s="9" t="n">
        <v>45357.95833333334</v>
      </c>
      <c r="B1585" t="n">
        <v>3</v>
      </c>
      <c r="C1585" t="n">
        <v>6</v>
      </c>
      <c r="D1585" t="n">
        <v>23</v>
      </c>
      <c r="E1585" s="10" t="n">
        <v>0</v>
      </c>
      <c r="F1585" s="10" t="n">
        <v>0.331429183543004</v>
      </c>
      <c r="G1585" s="11">
        <f>E1585*Summary!$B$6</f>
        <v/>
      </c>
      <c r="H1585" s="11">
        <f>F1585*Summary!$B$7</f>
        <v/>
      </c>
      <c r="I1585" s="11">
        <f>MAX(0,N1585-M1585)</f>
        <v/>
      </c>
      <c r="J1585" s="11">
        <f>MAX(0,M1585-N1585)</f>
        <v/>
      </c>
      <c r="K1585" s="11">
        <f>O1585</f>
        <v/>
      </c>
      <c r="L1585" s="11">
        <f>L1584+IF(K1585&gt;0,K1585*Summary!$B$9,K1585/Summary!$B$9)</f>
        <v/>
      </c>
      <c r="M1585" s="11">
        <f>G1585+H1585</f>
        <v/>
      </c>
      <c r="N1585" s="11">
        <f>Summary!$C$16*Summary!$B$8</f>
        <v/>
      </c>
      <c r="O1585" s="11">
        <f>M1585-N1585</f>
        <v/>
      </c>
    </row>
    <row r="1586">
      <c r="A1586" s="9" t="n">
        <v>45358</v>
      </c>
      <c r="B1586" t="n">
        <v>3</v>
      </c>
      <c r="C1586" t="n">
        <v>7</v>
      </c>
      <c r="D1586" t="n">
        <v>0</v>
      </c>
      <c r="E1586" s="10" t="n">
        <v>0</v>
      </c>
      <c r="F1586" s="10" t="n">
        <v>0.371431529143567</v>
      </c>
      <c r="G1586" s="11">
        <f>E1586*Summary!$B$6</f>
        <v/>
      </c>
      <c r="H1586" s="11">
        <f>F1586*Summary!$B$7</f>
        <v/>
      </c>
      <c r="I1586" s="11">
        <f>MAX(0,N1586-M1586)</f>
        <v/>
      </c>
      <c r="J1586" s="11">
        <f>MAX(0,M1586-N1586)</f>
        <v/>
      </c>
      <c r="K1586" s="11">
        <f>O1586</f>
        <v/>
      </c>
      <c r="L1586" s="11">
        <f>L1585+IF(K1586&gt;0,K1586*Summary!$B$9,K1586/Summary!$B$9)</f>
        <v/>
      </c>
      <c r="M1586" s="11">
        <f>G1586+H1586</f>
        <v/>
      </c>
      <c r="N1586" s="11">
        <f>Summary!$C$16*Summary!$B$8</f>
        <v/>
      </c>
      <c r="O1586" s="11">
        <f>M1586-N1586</f>
        <v/>
      </c>
    </row>
    <row r="1587">
      <c r="A1587" s="9" t="n">
        <v>45358.04166666666</v>
      </c>
      <c r="B1587" t="n">
        <v>3</v>
      </c>
      <c r="C1587" t="n">
        <v>7</v>
      </c>
      <c r="D1587" t="n">
        <v>1</v>
      </c>
      <c r="E1587" s="10" t="n">
        <v>0</v>
      </c>
      <c r="F1587" s="10" t="n">
        <v>0.3384915212379651</v>
      </c>
      <c r="G1587" s="11">
        <f>E1587*Summary!$B$6</f>
        <v/>
      </c>
      <c r="H1587" s="11">
        <f>F1587*Summary!$B$7</f>
        <v/>
      </c>
      <c r="I1587" s="11">
        <f>MAX(0,N1587-M1587)</f>
        <v/>
      </c>
      <c r="J1587" s="11">
        <f>MAX(0,M1587-N1587)</f>
        <v/>
      </c>
      <c r="K1587" s="11">
        <f>O1587</f>
        <v/>
      </c>
      <c r="L1587" s="11">
        <f>L1586+IF(K1587&gt;0,K1587*Summary!$B$9,K1587/Summary!$B$9)</f>
        <v/>
      </c>
      <c r="M1587" s="11">
        <f>G1587+H1587</f>
        <v/>
      </c>
      <c r="N1587" s="11">
        <f>Summary!$C$16*Summary!$B$8</f>
        <v/>
      </c>
      <c r="O1587" s="11">
        <f>M1587-N1587</f>
        <v/>
      </c>
    </row>
    <row r="1588">
      <c r="A1588" s="9" t="n">
        <v>45358.08333333334</v>
      </c>
      <c r="B1588" t="n">
        <v>3</v>
      </c>
      <c r="C1588" t="n">
        <v>7</v>
      </c>
      <c r="D1588" t="n">
        <v>2</v>
      </c>
      <c r="E1588" s="10" t="n">
        <v>0</v>
      </c>
      <c r="F1588" s="10" t="n">
        <v>0.335750912580219</v>
      </c>
      <c r="G1588" s="11">
        <f>E1588*Summary!$B$6</f>
        <v/>
      </c>
      <c r="H1588" s="11">
        <f>F1588*Summary!$B$7</f>
        <v/>
      </c>
      <c r="I1588" s="11">
        <f>MAX(0,N1588-M1588)</f>
        <v/>
      </c>
      <c r="J1588" s="11">
        <f>MAX(0,M1588-N1588)</f>
        <v/>
      </c>
      <c r="K1588" s="11">
        <f>O1588</f>
        <v/>
      </c>
      <c r="L1588" s="11">
        <f>L1587+IF(K1588&gt;0,K1588*Summary!$B$9,K1588/Summary!$B$9)</f>
        <v/>
      </c>
      <c r="M1588" s="11">
        <f>G1588+H1588</f>
        <v/>
      </c>
      <c r="N1588" s="11">
        <f>Summary!$C$16*Summary!$B$8</f>
        <v/>
      </c>
      <c r="O1588" s="11">
        <f>M1588-N1588</f>
        <v/>
      </c>
    </row>
    <row r="1589">
      <c r="A1589" s="9" t="n">
        <v>45358.125</v>
      </c>
      <c r="B1589" t="n">
        <v>3</v>
      </c>
      <c r="C1589" t="n">
        <v>7</v>
      </c>
      <c r="D1589" t="n">
        <v>3</v>
      </c>
      <c r="E1589" s="10" t="n">
        <v>0</v>
      </c>
      <c r="F1589" s="10" t="n">
        <v>0.3319562236694936</v>
      </c>
      <c r="G1589" s="11">
        <f>E1589*Summary!$B$6</f>
        <v/>
      </c>
      <c r="H1589" s="11">
        <f>F1589*Summary!$B$7</f>
        <v/>
      </c>
      <c r="I1589" s="11">
        <f>MAX(0,N1589-M1589)</f>
        <v/>
      </c>
      <c r="J1589" s="11">
        <f>MAX(0,M1589-N1589)</f>
        <v/>
      </c>
      <c r="K1589" s="11">
        <f>O1589</f>
        <v/>
      </c>
      <c r="L1589" s="11">
        <f>L1588+IF(K1589&gt;0,K1589*Summary!$B$9,K1589/Summary!$B$9)</f>
        <v/>
      </c>
      <c r="M1589" s="11">
        <f>G1589+H1589</f>
        <v/>
      </c>
      <c r="N1589" s="11">
        <f>Summary!$C$16*Summary!$B$8</f>
        <v/>
      </c>
      <c r="O1589" s="11">
        <f>M1589-N1589</f>
        <v/>
      </c>
    </row>
    <row r="1590">
      <c r="A1590" s="9" t="n">
        <v>45358.16666666666</v>
      </c>
      <c r="B1590" t="n">
        <v>3</v>
      </c>
      <c r="C1590" t="n">
        <v>7</v>
      </c>
      <c r="D1590" t="n">
        <v>4</v>
      </c>
      <c r="E1590" s="10" t="n">
        <v>0</v>
      </c>
      <c r="F1590" s="10" t="n">
        <v>0.3287412788979069</v>
      </c>
      <c r="G1590" s="11">
        <f>E1590*Summary!$B$6</f>
        <v/>
      </c>
      <c r="H1590" s="11">
        <f>F1590*Summary!$B$7</f>
        <v/>
      </c>
      <c r="I1590" s="11">
        <f>MAX(0,N1590-M1590)</f>
        <v/>
      </c>
      <c r="J1590" s="11">
        <f>MAX(0,M1590-N1590)</f>
        <v/>
      </c>
      <c r="K1590" s="11">
        <f>O1590</f>
        <v/>
      </c>
      <c r="L1590" s="11">
        <f>L1589+IF(K1590&gt;0,K1590*Summary!$B$9,K1590/Summary!$B$9)</f>
        <v/>
      </c>
      <c r="M1590" s="11">
        <f>G1590+H1590</f>
        <v/>
      </c>
      <c r="N1590" s="11">
        <f>Summary!$C$16*Summary!$B$8</f>
        <v/>
      </c>
      <c r="O1590" s="11">
        <f>M1590-N1590</f>
        <v/>
      </c>
    </row>
    <row r="1591">
      <c r="A1591" s="9" t="n">
        <v>45358.20833333334</v>
      </c>
      <c r="B1591" t="n">
        <v>3</v>
      </c>
      <c r="C1591" t="n">
        <v>7</v>
      </c>
      <c r="D1591" t="n">
        <v>5</v>
      </c>
      <c r="E1591" s="10" t="n">
        <v>0</v>
      </c>
      <c r="F1591" s="10" t="n">
        <v>0.3288466869232048</v>
      </c>
      <c r="G1591" s="11">
        <f>E1591*Summary!$B$6</f>
        <v/>
      </c>
      <c r="H1591" s="11">
        <f>F1591*Summary!$B$7</f>
        <v/>
      </c>
      <c r="I1591" s="11">
        <f>MAX(0,N1591-M1591)</f>
        <v/>
      </c>
      <c r="J1591" s="11">
        <f>MAX(0,M1591-N1591)</f>
        <v/>
      </c>
      <c r="K1591" s="11">
        <f>O1591</f>
        <v/>
      </c>
      <c r="L1591" s="11">
        <f>L1590+IF(K1591&gt;0,K1591*Summary!$B$9,K1591/Summary!$B$9)</f>
        <v/>
      </c>
      <c r="M1591" s="11">
        <f>G1591+H1591</f>
        <v/>
      </c>
      <c r="N1591" s="11">
        <f>Summary!$C$16*Summary!$B$8</f>
        <v/>
      </c>
      <c r="O1591" s="11">
        <f>M1591-N1591</f>
        <v/>
      </c>
    </row>
    <row r="1592">
      <c r="A1592" s="9" t="n">
        <v>45358.25</v>
      </c>
      <c r="B1592" t="n">
        <v>3</v>
      </c>
      <c r="C1592" t="n">
        <v>7</v>
      </c>
      <c r="D1592" t="n">
        <v>6</v>
      </c>
      <c r="E1592" s="10" t="n">
        <v>0</v>
      </c>
      <c r="F1592" s="10" t="n">
        <v>0.3313237755177061</v>
      </c>
      <c r="G1592" s="11">
        <f>E1592*Summary!$B$6</f>
        <v/>
      </c>
      <c r="H1592" s="11">
        <f>F1592*Summary!$B$7</f>
        <v/>
      </c>
      <c r="I1592" s="11">
        <f>MAX(0,N1592-M1592)</f>
        <v/>
      </c>
      <c r="J1592" s="11">
        <f>MAX(0,M1592-N1592)</f>
        <v/>
      </c>
      <c r="K1592" s="11">
        <f>O1592</f>
        <v/>
      </c>
      <c r="L1592" s="11">
        <f>L1591+IF(K1592&gt;0,K1592*Summary!$B$9,K1592/Summary!$B$9)</f>
        <v/>
      </c>
      <c r="M1592" s="11">
        <f>G1592+H1592</f>
        <v/>
      </c>
      <c r="N1592" s="11">
        <f>Summary!$C$16*Summary!$B$8</f>
        <v/>
      </c>
      <c r="O1592" s="11">
        <f>M1592-N1592</f>
        <v/>
      </c>
    </row>
    <row r="1593">
      <c r="A1593" s="9" t="n">
        <v>45358.29166666666</v>
      </c>
      <c r="B1593" t="n">
        <v>3</v>
      </c>
      <c r="C1593" t="n">
        <v>7</v>
      </c>
      <c r="D1593" t="n">
        <v>7</v>
      </c>
      <c r="E1593" s="10" t="n">
        <v>0.013713</v>
      </c>
      <c r="F1593" s="10" t="n">
        <v>0.3330630079351219</v>
      </c>
      <c r="G1593" s="11">
        <f>E1593*Summary!$B$6</f>
        <v/>
      </c>
      <c r="H1593" s="11">
        <f>F1593*Summary!$B$7</f>
        <v/>
      </c>
      <c r="I1593" s="11">
        <f>MAX(0,N1593-M1593)</f>
        <v/>
      </c>
      <c r="J1593" s="11">
        <f>MAX(0,M1593-N1593)</f>
        <v/>
      </c>
      <c r="K1593" s="11">
        <f>O1593</f>
        <v/>
      </c>
      <c r="L1593" s="11">
        <f>L1592+IF(K1593&gt;0,K1593*Summary!$B$9,K1593/Summary!$B$9)</f>
        <v/>
      </c>
      <c r="M1593" s="11">
        <f>G1593+H1593</f>
        <v/>
      </c>
      <c r="N1593" s="11">
        <f>Summary!$C$16*Summary!$B$8</f>
        <v/>
      </c>
      <c r="O1593" s="11">
        <f>M1593-N1593</f>
        <v/>
      </c>
    </row>
    <row r="1594">
      <c r="A1594" s="9" t="n">
        <v>45358.33333333334</v>
      </c>
      <c r="B1594" t="n">
        <v>3</v>
      </c>
      <c r="C1594" t="n">
        <v>7</v>
      </c>
      <c r="D1594" t="n">
        <v>8</v>
      </c>
      <c r="E1594" s="10" t="n">
        <v>0.120568</v>
      </c>
      <c r="F1594" s="10" t="n">
        <v>0.325131054031453</v>
      </c>
      <c r="G1594" s="11">
        <f>E1594*Summary!$B$6</f>
        <v/>
      </c>
      <c r="H1594" s="11">
        <f>F1594*Summary!$B$7</f>
        <v/>
      </c>
      <c r="I1594" s="11">
        <f>MAX(0,N1594-M1594)</f>
        <v/>
      </c>
      <c r="J1594" s="11">
        <f>MAX(0,M1594-N1594)</f>
        <v/>
      </c>
      <c r="K1594" s="11">
        <f>O1594</f>
        <v/>
      </c>
      <c r="L1594" s="11">
        <f>L1593+IF(K1594&gt;0,K1594*Summary!$B$9,K1594/Summary!$B$9)</f>
        <v/>
      </c>
      <c r="M1594" s="11">
        <f>G1594+H1594</f>
        <v/>
      </c>
      <c r="N1594" s="11">
        <f>Summary!$C$16*Summary!$B$8</f>
        <v/>
      </c>
      <c r="O1594" s="11">
        <f>M1594-N1594</f>
        <v/>
      </c>
    </row>
    <row r="1595">
      <c r="A1595" s="9" t="n">
        <v>45358.375</v>
      </c>
      <c r="B1595" t="n">
        <v>3</v>
      </c>
      <c r="C1595" t="n">
        <v>7</v>
      </c>
      <c r="D1595" t="n">
        <v>9</v>
      </c>
      <c r="E1595" s="10" t="n">
        <v>0.335962</v>
      </c>
      <c r="F1595" s="10" t="n">
        <v>0.3133780592107342</v>
      </c>
      <c r="G1595" s="11">
        <f>E1595*Summary!$B$6</f>
        <v/>
      </c>
      <c r="H1595" s="11">
        <f>F1595*Summary!$B$7</f>
        <v/>
      </c>
      <c r="I1595" s="11">
        <f>MAX(0,N1595-M1595)</f>
        <v/>
      </c>
      <c r="J1595" s="11">
        <f>MAX(0,M1595-N1595)</f>
        <v/>
      </c>
      <c r="K1595" s="11">
        <f>O1595</f>
        <v/>
      </c>
      <c r="L1595" s="11">
        <f>L1594+IF(K1595&gt;0,K1595*Summary!$B$9,K1595/Summary!$B$9)</f>
        <v/>
      </c>
      <c r="M1595" s="11">
        <f>G1595+H1595</f>
        <v/>
      </c>
      <c r="N1595" s="11">
        <f>Summary!$C$16*Summary!$B$8</f>
        <v/>
      </c>
      <c r="O1595" s="11">
        <f>M1595-N1595</f>
        <v/>
      </c>
    </row>
    <row r="1596">
      <c r="A1596" s="9" t="n">
        <v>45358.41666666666</v>
      </c>
      <c r="B1596" t="n">
        <v>3</v>
      </c>
      <c r="C1596" t="n">
        <v>7</v>
      </c>
      <c r="D1596" t="n">
        <v>10</v>
      </c>
      <c r="E1596" s="10" t="n">
        <v>0.297992</v>
      </c>
      <c r="F1596" s="10" t="n">
        <v>0.3061049054651773</v>
      </c>
      <c r="G1596" s="11">
        <f>E1596*Summary!$B$6</f>
        <v/>
      </c>
      <c r="H1596" s="11">
        <f>F1596*Summary!$B$7</f>
        <v/>
      </c>
      <c r="I1596" s="11">
        <f>MAX(0,N1596-M1596)</f>
        <v/>
      </c>
      <c r="J1596" s="11">
        <f>MAX(0,M1596-N1596)</f>
        <v/>
      </c>
      <c r="K1596" s="11">
        <f>O1596</f>
        <v/>
      </c>
      <c r="L1596" s="11">
        <f>L1595+IF(K1596&gt;0,K1596*Summary!$B$9,K1596/Summary!$B$9)</f>
        <v/>
      </c>
      <c r="M1596" s="11">
        <f>G1596+H1596</f>
        <v/>
      </c>
      <c r="N1596" s="11">
        <f>Summary!$C$16*Summary!$B$8</f>
        <v/>
      </c>
      <c r="O1596" s="11">
        <f>M1596-N1596</f>
        <v/>
      </c>
    </row>
    <row r="1597">
      <c r="A1597" s="9" t="n">
        <v>45358.45833333334</v>
      </c>
      <c r="B1597" t="n">
        <v>3</v>
      </c>
      <c r="C1597" t="n">
        <v>7</v>
      </c>
      <c r="D1597" t="n">
        <v>11</v>
      </c>
      <c r="E1597" s="10" t="n">
        <v>0.329639</v>
      </c>
      <c r="F1597" s="10" t="n">
        <v>0.3018622324469358</v>
      </c>
      <c r="G1597" s="11">
        <f>E1597*Summary!$B$6</f>
        <v/>
      </c>
      <c r="H1597" s="11">
        <f>F1597*Summary!$B$7</f>
        <v/>
      </c>
      <c r="I1597" s="11">
        <f>MAX(0,N1597-M1597)</f>
        <v/>
      </c>
      <c r="J1597" s="11">
        <f>MAX(0,M1597-N1597)</f>
        <v/>
      </c>
      <c r="K1597" s="11">
        <f>O1597</f>
        <v/>
      </c>
      <c r="L1597" s="11">
        <f>L1596+IF(K1597&gt;0,K1597*Summary!$B$9,K1597/Summary!$B$9)</f>
        <v/>
      </c>
      <c r="M1597" s="11">
        <f>G1597+H1597</f>
        <v/>
      </c>
      <c r="N1597" s="11">
        <f>Summary!$C$16*Summary!$B$8</f>
        <v/>
      </c>
      <c r="O1597" s="11">
        <f>M1597-N1597</f>
        <v/>
      </c>
    </row>
    <row r="1598">
      <c r="A1598" s="9" t="n">
        <v>45358.5</v>
      </c>
      <c r="B1598" t="n">
        <v>3</v>
      </c>
      <c r="C1598" t="n">
        <v>7</v>
      </c>
      <c r="D1598" t="n">
        <v>12</v>
      </c>
      <c r="E1598" s="10" t="n">
        <v>0.550787</v>
      </c>
      <c r="F1598" s="10" t="n">
        <v>0.2987263436943225</v>
      </c>
      <c r="G1598" s="11">
        <f>E1598*Summary!$B$6</f>
        <v/>
      </c>
      <c r="H1598" s="11">
        <f>F1598*Summary!$B$7</f>
        <v/>
      </c>
      <c r="I1598" s="11">
        <f>MAX(0,N1598-M1598)</f>
        <v/>
      </c>
      <c r="J1598" s="11">
        <f>MAX(0,M1598-N1598)</f>
        <v/>
      </c>
      <c r="K1598" s="11">
        <f>O1598</f>
        <v/>
      </c>
      <c r="L1598" s="11">
        <f>L1597+IF(K1598&gt;0,K1598*Summary!$B$9,K1598/Summary!$B$9)</f>
        <v/>
      </c>
      <c r="M1598" s="11">
        <f>G1598+H1598</f>
        <v/>
      </c>
      <c r="N1598" s="11">
        <f>Summary!$C$16*Summary!$B$8</f>
        <v/>
      </c>
      <c r="O1598" s="11">
        <f>M1598-N1598</f>
        <v/>
      </c>
    </row>
    <row r="1599">
      <c r="A1599" s="9" t="n">
        <v>45358.54166666666</v>
      </c>
      <c r="B1599" t="n">
        <v>3</v>
      </c>
      <c r="C1599" t="n">
        <v>7</v>
      </c>
      <c r="D1599" t="n">
        <v>13</v>
      </c>
      <c r="E1599" s="10" t="n">
        <v>0.530648</v>
      </c>
      <c r="F1599" s="10" t="n">
        <v>0.296618183188364</v>
      </c>
      <c r="G1599" s="11">
        <f>E1599*Summary!$B$6</f>
        <v/>
      </c>
      <c r="H1599" s="11">
        <f>F1599*Summary!$B$7</f>
        <v/>
      </c>
      <c r="I1599" s="11">
        <f>MAX(0,N1599-M1599)</f>
        <v/>
      </c>
      <c r="J1599" s="11">
        <f>MAX(0,M1599-N1599)</f>
        <v/>
      </c>
      <c r="K1599" s="11">
        <f>O1599</f>
        <v/>
      </c>
      <c r="L1599" s="11">
        <f>L1598+IF(K1599&gt;0,K1599*Summary!$B$9,K1599/Summary!$B$9)</f>
        <v/>
      </c>
      <c r="M1599" s="11">
        <f>G1599+H1599</f>
        <v/>
      </c>
      <c r="N1599" s="11">
        <f>Summary!$C$16*Summary!$B$8</f>
        <v/>
      </c>
      <c r="O1599" s="11">
        <f>M1599-N1599</f>
        <v/>
      </c>
    </row>
    <row r="1600">
      <c r="A1600" s="9" t="n">
        <v>45358.58333333334</v>
      </c>
      <c r="B1600" t="n">
        <v>3</v>
      </c>
      <c r="C1600" t="n">
        <v>7</v>
      </c>
      <c r="D1600" t="n">
        <v>14</v>
      </c>
      <c r="E1600" s="10" t="n">
        <v>0.378816</v>
      </c>
      <c r="F1600" s="10" t="n">
        <v>0.2970398152895557</v>
      </c>
      <c r="G1600" s="11">
        <f>E1600*Summary!$B$6</f>
        <v/>
      </c>
      <c r="H1600" s="11">
        <f>F1600*Summary!$B$7</f>
        <v/>
      </c>
      <c r="I1600" s="11">
        <f>MAX(0,N1600-M1600)</f>
        <v/>
      </c>
      <c r="J1600" s="11">
        <f>MAX(0,M1600-N1600)</f>
        <v/>
      </c>
      <c r="K1600" s="11">
        <f>O1600</f>
        <v/>
      </c>
      <c r="L1600" s="11">
        <f>L1599+IF(K1600&gt;0,K1600*Summary!$B$9,K1600/Summary!$B$9)</f>
        <v/>
      </c>
      <c r="M1600" s="11">
        <f>G1600+H1600</f>
        <v/>
      </c>
      <c r="N1600" s="11">
        <f>Summary!$C$16*Summary!$B$8</f>
        <v/>
      </c>
      <c r="O1600" s="11">
        <f>M1600-N1600</f>
        <v/>
      </c>
    </row>
    <row r="1601">
      <c r="A1601" s="9" t="n">
        <v>45358.625</v>
      </c>
      <c r="B1601" t="n">
        <v>3</v>
      </c>
      <c r="C1601" t="n">
        <v>7</v>
      </c>
      <c r="D1601" t="n">
        <v>15</v>
      </c>
      <c r="E1601" s="10" t="n">
        <v>0.191183</v>
      </c>
      <c r="F1601" s="10" t="n">
        <v>0.2997540719409773</v>
      </c>
      <c r="G1601" s="11">
        <f>E1601*Summary!$B$6</f>
        <v/>
      </c>
      <c r="H1601" s="11">
        <f>F1601*Summary!$B$7</f>
        <v/>
      </c>
      <c r="I1601" s="11">
        <f>MAX(0,N1601-M1601)</f>
        <v/>
      </c>
      <c r="J1601" s="11">
        <f>MAX(0,M1601-N1601)</f>
        <v/>
      </c>
      <c r="K1601" s="11">
        <f>O1601</f>
        <v/>
      </c>
      <c r="L1601" s="11">
        <f>L1600+IF(K1601&gt;0,K1601*Summary!$B$9,K1601/Summary!$B$9)</f>
        <v/>
      </c>
      <c r="M1601" s="11">
        <f>G1601+H1601</f>
        <v/>
      </c>
      <c r="N1601" s="11">
        <f>Summary!$C$16*Summary!$B$8</f>
        <v/>
      </c>
      <c r="O1601" s="11">
        <f>M1601-N1601</f>
        <v/>
      </c>
    </row>
    <row r="1602">
      <c r="A1602" s="9" t="n">
        <v>45358.66666666666</v>
      </c>
      <c r="B1602" t="n">
        <v>3</v>
      </c>
      <c r="C1602" t="n">
        <v>7</v>
      </c>
      <c r="D1602" t="n">
        <v>16</v>
      </c>
      <c r="E1602" s="10" t="n">
        <v>0.096305</v>
      </c>
      <c r="F1602" s="10" t="n">
        <v>0.3103212264770943</v>
      </c>
      <c r="G1602" s="11">
        <f>E1602*Summary!$B$6</f>
        <v/>
      </c>
      <c r="H1602" s="11">
        <f>F1602*Summary!$B$7</f>
        <v/>
      </c>
      <c r="I1602" s="11">
        <f>MAX(0,N1602-M1602)</f>
        <v/>
      </c>
      <c r="J1602" s="11">
        <f>MAX(0,M1602-N1602)</f>
        <v/>
      </c>
      <c r="K1602" s="11">
        <f>O1602</f>
        <v/>
      </c>
      <c r="L1602" s="11">
        <f>L1601+IF(K1602&gt;0,K1602*Summary!$B$9,K1602/Summary!$B$9)</f>
        <v/>
      </c>
      <c r="M1602" s="11">
        <f>G1602+H1602</f>
        <v/>
      </c>
      <c r="N1602" s="11">
        <f>Summary!$C$16*Summary!$B$8</f>
        <v/>
      </c>
      <c r="O1602" s="11">
        <f>M1602-N1602</f>
        <v/>
      </c>
    </row>
    <row r="1603">
      <c r="A1603" s="9" t="n">
        <v>45358.70833333334</v>
      </c>
      <c r="B1603" t="n">
        <v>3</v>
      </c>
      <c r="C1603" t="n">
        <v>7</v>
      </c>
      <c r="D1603" t="n">
        <v>17</v>
      </c>
      <c r="E1603" s="10" t="n">
        <v>0.011716</v>
      </c>
      <c r="F1603" s="10" t="n">
        <v>0.3262114862907567</v>
      </c>
      <c r="G1603" s="11">
        <f>E1603*Summary!$B$6</f>
        <v/>
      </c>
      <c r="H1603" s="11">
        <f>F1603*Summary!$B$7</f>
        <v/>
      </c>
      <c r="I1603" s="11">
        <f>MAX(0,N1603-M1603)</f>
        <v/>
      </c>
      <c r="J1603" s="11">
        <f>MAX(0,M1603-N1603)</f>
        <v/>
      </c>
      <c r="K1603" s="11">
        <f>O1603</f>
        <v/>
      </c>
      <c r="L1603" s="11">
        <f>L1602+IF(K1603&gt;0,K1603*Summary!$B$9,K1603/Summary!$B$9)</f>
        <v/>
      </c>
      <c r="M1603" s="11">
        <f>G1603+H1603</f>
        <v/>
      </c>
      <c r="N1603" s="11">
        <f>Summary!$C$16*Summary!$B$8</f>
        <v/>
      </c>
      <c r="O1603" s="11">
        <f>M1603-N1603</f>
        <v/>
      </c>
    </row>
    <row r="1604">
      <c r="A1604" s="9" t="n">
        <v>45358.75</v>
      </c>
      <c r="B1604" t="n">
        <v>3</v>
      </c>
      <c r="C1604" t="n">
        <v>7</v>
      </c>
      <c r="D1604" t="n">
        <v>18</v>
      </c>
      <c r="E1604" s="10" t="n">
        <v>0</v>
      </c>
      <c r="F1604" s="10" t="n">
        <v>0.3447632987431917</v>
      </c>
      <c r="G1604" s="11">
        <f>E1604*Summary!$B$6</f>
        <v/>
      </c>
      <c r="H1604" s="11">
        <f>F1604*Summary!$B$7</f>
        <v/>
      </c>
      <c r="I1604" s="11">
        <f>MAX(0,N1604-M1604)</f>
        <v/>
      </c>
      <c r="J1604" s="11">
        <f>MAX(0,M1604-N1604)</f>
        <v/>
      </c>
      <c r="K1604" s="11">
        <f>O1604</f>
        <v/>
      </c>
      <c r="L1604" s="11">
        <f>L1603+IF(K1604&gt;0,K1604*Summary!$B$9,K1604/Summary!$B$9)</f>
        <v/>
      </c>
      <c r="M1604" s="11">
        <f>G1604+H1604</f>
        <v/>
      </c>
      <c r="N1604" s="11">
        <f>Summary!$C$16*Summary!$B$8</f>
        <v/>
      </c>
      <c r="O1604" s="11">
        <f>M1604-N1604</f>
        <v/>
      </c>
    </row>
    <row r="1605">
      <c r="A1605" s="9" t="n">
        <v>45358.79166666666</v>
      </c>
      <c r="B1605" t="n">
        <v>3</v>
      </c>
      <c r="C1605" t="n">
        <v>7</v>
      </c>
      <c r="D1605" t="n">
        <v>19</v>
      </c>
      <c r="E1605" s="10" t="n">
        <v>0</v>
      </c>
      <c r="F1605" s="10" t="n">
        <v>0.3357772645865435</v>
      </c>
      <c r="G1605" s="11">
        <f>E1605*Summary!$B$6</f>
        <v/>
      </c>
      <c r="H1605" s="11">
        <f>F1605*Summary!$B$7</f>
        <v/>
      </c>
      <c r="I1605" s="11">
        <f>MAX(0,N1605-M1605)</f>
        <v/>
      </c>
      <c r="J1605" s="11">
        <f>MAX(0,M1605-N1605)</f>
        <v/>
      </c>
      <c r="K1605" s="11">
        <f>O1605</f>
        <v/>
      </c>
      <c r="L1605" s="11">
        <f>L1604+IF(K1605&gt;0,K1605*Summary!$B$9,K1605/Summary!$B$9)</f>
        <v/>
      </c>
      <c r="M1605" s="11">
        <f>G1605+H1605</f>
        <v/>
      </c>
      <c r="N1605" s="11">
        <f>Summary!$C$16*Summary!$B$8</f>
        <v/>
      </c>
      <c r="O1605" s="11">
        <f>M1605-N1605</f>
        <v/>
      </c>
    </row>
    <row r="1606">
      <c r="A1606" s="9" t="n">
        <v>45358.83333333334</v>
      </c>
      <c r="B1606" t="n">
        <v>3</v>
      </c>
      <c r="C1606" t="n">
        <v>7</v>
      </c>
      <c r="D1606" t="n">
        <v>20</v>
      </c>
      <c r="E1606" s="10" t="n">
        <v>0</v>
      </c>
      <c r="F1606" s="10" t="n">
        <v>0.3686645684794965</v>
      </c>
      <c r="G1606" s="11">
        <f>E1606*Summary!$B$6</f>
        <v/>
      </c>
      <c r="H1606" s="11">
        <f>F1606*Summary!$B$7</f>
        <v/>
      </c>
      <c r="I1606" s="11">
        <f>MAX(0,N1606-M1606)</f>
        <v/>
      </c>
      <c r="J1606" s="11">
        <f>MAX(0,M1606-N1606)</f>
        <v/>
      </c>
      <c r="K1606" s="11">
        <f>O1606</f>
        <v/>
      </c>
      <c r="L1606" s="11">
        <f>L1605+IF(K1606&gt;0,K1606*Summary!$B$9,K1606/Summary!$B$9)</f>
        <v/>
      </c>
      <c r="M1606" s="11">
        <f>G1606+H1606</f>
        <v/>
      </c>
      <c r="N1606" s="11">
        <f>Summary!$C$16*Summary!$B$8</f>
        <v/>
      </c>
      <c r="O1606" s="11">
        <f>M1606-N1606</f>
        <v/>
      </c>
    </row>
    <row r="1607">
      <c r="A1607" s="9" t="n">
        <v>45358.875</v>
      </c>
      <c r="B1607" t="n">
        <v>3</v>
      </c>
      <c r="C1607" t="n">
        <v>7</v>
      </c>
      <c r="D1607" t="n">
        <v>21</v>
      </c>
      <c r="E1607" s="10" t="n">
        <v>0</v>
      </c>
      <c r="F1607" s="10" t="n">
        <v>0.3738295617190948</v>
      </c>
      <c r="G1607" s="11">
        <f>E1607*Summary!$B$6</f>
        <v/>
      </c>
      <c r="H1607" s="11">
        <f>F1607*Summary!$B$7</f>
        <v/>
      </c>
      <c r="I1607" s="11">
        <f>MAX(0,N1607-M1607)</f>
        <v/>
      </c>
      <c r="J1607" s="11">
        <f>MAX(0,M1607-N1607)</f>
        <v/>
      </c>
      <c r="K1607" s="11">
        <f>O1607</f>
        <v/>
      </c>
      <c r="L1607" s="11">
        <f>L1606+IF(K1607&gt;0,K1607*Summary!$B$9,K1607/Summary!$B$9)</f>
        <v/>
      </c>
      <c r="M1607" s="11">
        <f>G1607+H1607</f>
        <v/>
      </c>
      <c r="N1607" s="11">
        <f>Summary!$C$16*Summary!$B$8</f>
        <v/>
      </c>
      <c r="O1607" s="11">
        <f>M1607-N1607</f>
        <v/>
      </c>
    </row>
    <row r="1608">
      <c r="A1608" s="9" t="n">
        <v>45358.91666666666</v>
      </c>
      <c r="B1608" t="n">
        <v>3</v>
      </c>
      <c r="C1608" t="n">
        <v>7</v>
      </c>
      <c r="D1608" t="n">
        <v>22</v>
      </c>
      <c r="E1608" s="10" t="n">
        <v>0</v>
      </c>
      <c r="F1608" s="10" t="n">
        <v>0.3755424421301861</v>
      </c>
      <c r="G1608" s="11">
        <f>E1608*Summary!$B$6</f>
        <v/>
      </c>
      <c r="H1608" s="11">
        <f>F1608*Summary!$B$7</f>
        <v/>
      </c>
      <c r="I1608" s="11">
        <f>MAX(0,N1608-M1608)</f>
        <v/>
      </c>
      <c r="J1608" s="11">
        <f>MAX(0,M1608-N1608)</f>
        <v/>
      </c>
      <c r="K1608" s="11">
        <f>O1608</f>
        <v/>
      </c>
      <c r="L1608" s="11">
        <f>L1607+IF(K1608&gt;0,K1608*Summary!$B$9,K1608/Summary!$B$9)</f>
        <v/>
      </c>
      <c r="M1608" s="11">
        <f>G1608+H1608</f>
        <v/>
      </c>
      <c r="N1608" s="11">
        <f>Summary!$C$16*Summary!$B$8</f>
        <v/>
      </c>
      <c r="O1608" s="11">
        <f>M1608-N1608</f>
        <v/>
      </c>
    </row>
    <row r="1609">
      <c r="A1609" s="9" t="n">
        <v>45358.95833333334</v>
      </c>
      <c r="B1609" t="n">
        <v>3</v>
      </c>
      <c r="C1609" t="n">
        <v>7</v>
      </c>
      <c r="D1609" t="n">
        <v>23</v>
      </c>
      <c r="E1609" s="10" t="n">
        <v>0</v>
      </c>
      <c r="F1609" s="10" t="n">
        <v>0.3694287766629064</v>
      </c>
      <c r="G1609" s="11">
        <f>E1609*Summary!$B$6</f>
        <v/>
      </c>
      <c r="H1609" s="11">
        <f>F1609*Summary!$B$7</f>
        <v/>
      </c>
      <c r="I1609" s="11">
        <f>MAX(0,N1609-M1609)</f>
        <v/>
      </c>
      <c r="J1609" s="11">
        <f>MAX(0,M1609-N1609)</f>
        <v/>
      </c>
      <c r="K1609" s="11">
        <f>O1609</f>
        <v/>
      </c>
      <c r="L1609" s="11">
        <f>L1608+IF(K1609&gt;0,K1609*Summary!$B$9,K1609/Summary!$B$9)</f>
        <v/>
      </c>
      <c r="M1609" s="11">
        <f>G1609+H1609</f>
        <v/>
      </c>
      <c r="N1609" s="11">
        <f>Summary!$C$16*Summary!$B$8</f>
        <v/>
      </c>
      <c r="O1609" s="11">
        <f>M1609-N1609</f>
        <v/>
      </c>
    </row>
    <row r="1610">
      <c r="A1610" s="9" t="n">
        <v>45359</v>
      </c>
      <c r="B1610" t="n">
        <v>3</v>
      </c>
      <c r="C1610" t="n">
        <v>8</v>
      </c>
      <c r="D1610" t="n">
        <v>0</v>
      </c>
      <c r="E1610" s="10" t="n">
        <v>0</v>
      </c>
      <c r="F1610" s="10" t="n">
        <v>0.2852604684625124</v>
      </c>
      <c r="G1610" s="11">
        <f>E1610*Summary!$B$6</f>
        <v/>
      </c>
      <c r="H1610" s="11">
        <f>F1610*Summary!$B$7</f>
        <v/>
      </c>
      <c r="I1610" s="11">
        <f>MAX(0,N1610-M1610)</f>
        <v/>
      </c>
      <c r="J1610" s="11">
        <f>MAX(0,M1610-N1610)</f>
        <v/>
      </c>
      <c r="K1610" s="11">
        <f>O1610</f>
        <v/>
      </c>
      <c r="L1610" s="11">
        <f>L1609+IF(K1610&gt;0,K1610*Summary!$B$9,K1610/Summary!$B$9)</f>
        <v/>
      </c>
      <c r="M1610" s="11">
        <f>G1610+H1610</f>
        <v/>
      </c>
      <c r="N1610" s="11">
        <f>Summary!$C$16*Summary!$B$8</f>
        <v/>
      </c>
      <c r="O1610" s="11">
        <f>M1610-N1610</f>
        <v/>
      </c>
    </row>
    <row r="1611">
      <c r="A1611" s="9" t="n">
        <v>45359.04166666666</v>
      </c>
      <c r="B1611" t="n">
        <v>3</v>
      </c>
      <c r="C1611" t="n">
        <v>8</v>
      </c>
      <c r="D1611" t="n">
        <v>1</v>
      </c>
      <c r="E1611" s="10" t="n">
        <v>0</v>
      </c>
      <c r="F1611" s="10" t="n">
        <v>0.3734342816242276</v>
      </c>
      <c r="G1611" s="11">
        <f>E1611*Summary!$B$6</f>
        <v/>
      </c>
      <c r="H1611" s="11">
        <f>F1611*Summary!$B$7</f>
        <v/>
      </c>
      <c r="I1611" s="11">
        <f>MAX(0,N1611-M1611)</f>
        <v/>
      </c>
      <c r="J1611" s="11">
        <f>MAX(0,M1611-N1611)</f>
        <v/>
      </c>
      <c r="K1611" s="11">
        <f>O1611</f>
        <v/>
      </c>
      <c r="L1611" s="11">
        <f>L1610+IF(K1611&gt;0,K1611*Summary!$B$9,K1611/Summary!$B$9)</f>
        <v/>
      </c>
      <c r="M1611" s="11">
        <f>G1611+H1611</f>
        <v/>
      </c>
      <c r="N1611" s="11">
        <f>Summary!$C$16*Summary!$B$8</f>
        <v/>
      </c>
      <c r="O1611" s="11">
        <f>M1611-N1611</f>
        <v/>
      </c>
    </row>
    <row r="1612">
      <c r="A1612" s="9" t="n">
        <v>45359.08333333334</v>
      </c>
      <c r="B1612" t="n">
        <v>3</v>
      </c>
      <c r="C1612" t="n">
        <v>8</v>
      </c>
      <c r="D1612" t="n">
        <v>2</v>
      </c>
      <c r="E1612" s="10" t="n">
        <v>0</v>
      </c>
      <c r="F1612" s="10" t="n">
        <v>0.3522999725519934</v>
      </c>
      <c r="G1612" s="11">
        <f>E1612*Summary!$B$6</f>
        <v/>
      </c>
      <c r="H1612" s="11">
        <f>F1612*Summary!$B$7</f>
        <v/>
      </c>
      <c r="I1612" s="11">
        <f>MAX(0,N1612-M1612)</f>
        <v/>
      </c>
      <c r="J1612" s="11">
        <f>MAX(0,M1612-N1612)</f>
        <v/>
      </c>
      <c r="K1612" s="11">
        <f>O1612</f>
        <v/>
      </c>
      <c r="L1612" s="11">
        <f>L1611+IF(K1612&gt;0,K1612*Summary!$B$9,K1612/Summary!$B$9)</f>
        <v/>
      </c>
      <c r="M1612" s="11">
        <f>G1612+H1612</f>
        <v/>
      </c>
      <c r="N1612" s="11">
        <f>Summary!$C$16*Summary!$B$8</f>
        <v/>
      </c>
      <c r="O1612" s="11">
        <f>M1612-N1612</f>
        <v/>
      </c>
    </row>
    <row r="1613">
      <c r="A1613" s="9" t="n">
        <v>45359.125</v>
      </c>
      <c r="B1613" t="n">
        <v>3</v>
      </c>
      <c r="C1613" t="n">
        <v>8</v>
      </c>
      <c r="D1613" t="n">
        <v>3</v>
      </c>
      <c r="E1613" s="10" t="n">
        <v>0</v>
      </c>
      <c r="F1613" s="10" t="n">
        <v>0.3456329149518996</v>
      </c>
      <c r="G1613" s="11">
        <f>E1613*Summary!$B$6</f>
        <v/>
      </c>
      <c r="H1613" s="11">
        <f>F1613*Summary!$B$7</f>
        <v/>
      </c>
      <c r="I1613" s="11">
        <f>MAX(0,N1613-M1613)</f>
        <v/>
      </c>
      <c r="J1613" s="11">
        <f>MAX(0,M1613-N1613)</f>
        <v/>
      </c>
      <c r="K1613" s="11">
        <f>O1613</f>
        <v/>
      </c>
      <c r="L1613" s="11">
        <f>L1612+IF(K1613&gt;0,K1613*Summary!$B$9,K1613/Summary!$B$9)</f>
        <v/>
      </c>
      <c r="M1613" s="11">
        <f>G1613+H1613</f>
        <v/>
      </c>
      <c r="N1613" s="11">
        <f>Summary!$C$16*Summary!$B$8</f>
        <v/>
      </c>
      <c r="O1613" s="11">
        <f>M1613-N1613</f>
        <v/>
      </c>
    </row>
    <row r="1614">
      <c r="A1614" s="9" t="n">
        <v>45359.16666666666</v>
      </c>
      <c r="B1614" t="n">
        <v>3</v>
      </c>
      <c r="C1614" t="n">
        <v>8</v>
      </c>
      <c r="D1614" t="n">
        <v>4</v>
      </c>
      <c r="E1614" s="10" t="n">
        <v>0</v>
      </c>
      <c r="F1614" s="10" t="n">
        <v>0.3398354735605137</v>
      </c>
      <c r="G1614" s="11">
        <f>E1614*Summary!$B$6</f>
        <v/>
      </c>
      <c r="H1614" s="11">
        <f>F1614*Summary!$B$7</f>
        <v/>
      </c>
      <c r="I1614" s="11">
        <f>MAX(0,N1614-M1614)</f>
        <v/>
      </c>
      <c r="J1614" s="11">
        <f>MAX(0,M1614-N1614)</f>
        <v/>
      </c>
      <c r="K1614" s="11">
        <f>O1614</f>
        <v/>
      </c>
      <c r="L1614" s="11">
        <f>L1613+IF(K1614&gt;0,K1614*Summary!$B$9,K1614/Summary!$B$9)</f>
        <v/>
      </c>
      <c r="M1614" s="11">
        <f>G1614+H1614</f>
        <v/>
      </c>
      <c r="N1614" s="11">
        <f>Summary!$C$16*Summary!$B$8</f>
        <v/>
      </c>
      <c r="O1614" s="11">
        <f>M1614-N1614</f>
        <v/>
      </c>
    </row>
    <row r="1615">
      <c r="A1615" s="9" t="n">
        <v>45359.20833333334</v>
      </c>
      <c r="B1615" t="n">
        <v>3</v>
      </c>
      <c r="C1615" t="n">
        <v>8</v>
      </c>
      <c r="D1615" t="n">
        <v>5</v>
      </c>
      <c r="E1615" s="10" t="n">
        <v>0</v>
      </c>
      <c r="F1615" s="10" t="n">
        <v>0.3296372471129393</v>
      </c>
      <c r="G1615" s="11">
        <f>E1615*Summary!$B$6</f>
        <v/>
      </c>
      <c r="H1615" s="11">
        <f>F1615*Summary!$B$7</f>
        <v/>
      </c>
      <c r="I1615" s="11">
        <f>MAX(0,N1615-M1615)</f>
        <v/>
      </c>
      <c r="J1615" s="11">
        <f>MAX(0,M1615-N1615)</f>
        <v/>
      </c>
      <c r="K1615" s="11">
        <f>O1615</f>
        <v/>
      </c>
      <c r="L1615" s="11">
        <f>L1614+IF(K1615&gt;0,K1615*Summary!$B$9,K1615/Summary!$B$9)</f>
        <v/>
      </c>
      <c r="M1615" s="11">
        <f>G1615+H1615</f>
        <v/>
      </c>
      <c r="N1615" s="11">
        <f>Summary!$C$16*Summary!$B$8</f>
        <v/>
      </c>
      <c r="O1615" s="11">
        <f>M1615-N1615</f>
        <v/>
      </c>
    </row>
    <row r="1616">
      <c r="A1616" s="9" t="n">
        <v>45359.25</v>
      </c>
      <c r="B1616" t="n">
        <v>3</v>
      </c>
      <c r="C1616" t="n">
        <v>8</v>
      </c>
      <c r="D1616" t="n">
        <v>6</v>
      </c>
      <c r="E1616" s="10" t="n">
        <v>0</v>
      </c>
      <c r="F1616" s="10" t="n">
        <v>0.3185430524503325</v>
      </c>
      <c r="G1616" s="11">
        <f>E1616*Summary!$B$6</f>
        <v/>
      </c>
      <c r="H1616" s="11">
        <f>F1616*Summary!$B$7</f>
        <v/>
      </c>
      <c r="I1616" s="11">
        <f>MAX(0,N1616-M1616)</f>
        <v/>
      </c>
      <c r="J1616" s="11">
        <f>MAX(0,M1616-N1616)</f>
        <v/>
      </c>
      <c r="K1616" s="11">
        <f>O1616</f>
        <v/>
      </c>
      <c r="L1616" s="11">
        <f>L1615+IF(K1616&gt;0,K1616*Summary!$B$9,K1616/Summary!$B$9)</f>
        <v/>
      </c>
      <c r="M1616" s="11">
        <f>G1616+H1616</f>
        <v/>
      </c>
      <c r="N1616" s="11">
        <f>Summary!$C$16*Summary!$B$8</f>
        <v/>
      </c>
      <c r="O1616" s="11">
        <f>M1616-N1616</f>
        <v/>
      </c>
    </row>
    <row r="1617">
      <c r="A1617" s="9" t="n">
        <v>45359.29166666666</v>
      </c>
      <c r="B1617" t="n">
        <v>3</v>
      </c>
      <c r="C1617" t="n">
        <v>8</v>
      </c>
      <c r="D1617" t="n">
        <v>7</v>
      </c>
      <c r="E1617" s="10" t="n">
        <v>0.034012</v>
      </c>
      <c r="F1617" s="10" t="n">
        <v>0.3026000886240213</v>
      </c>
      <c r="G1617" s="11">
        <f>E1617*Summary!$B$6</f>
        <v/>
      </c>
      <c r="H1617" s="11">
        <f>F1617*Summary!$B$7</f>
        <v/>
      </c>
      <c r="I1617" s="11">
        <f>MAX(0,N1617-M1617)</f>
        <v/>
      </c>
      <c r="J1617" s="11">
        <f>MAX(0,M1617-N1617)</f>
        <v/>
      </c>
      <c r="K1617" s="11">
        <f>O1617</f>
        <v/>
      </c>
      <c r="L1617" s="11">
        <f>L1616+IF(K1617&gt;0,K1617*Summary!$B$9,K1617/Summary!$B$9)</f>
        <v/>
      </c>
      <c r="M1617" s="11">
        <f>G1617+H1617</f>
        <v/>
      </c>
      <c r="N1617" s="11">
        <f>Summary!$C$16*Summary!$B$8</f>
        <v/>
      </c>
      <c r="O1617" s="11">
        <f>M1617-N1617</f>
        <v/>
      </c>
    </row>
    <row r="1618">
      <c r="A1618" s="9" t="n">
        <v>45359.33333333334</v>
      </c>
      <c r="B1618" t="n">
        <v>3</v>
      </c>
      <c r="C1618" t="n">
        <v>8</v>
      </c>
      <c r="D1618" t="n">
        <v>8</v>
      </c>
      <c r="E1618" s="10" t="n">
        <v>0.161218</v>
      </c>
      <c r="F1618" s="10" t="n">
        <v>0.2781981307675513</v>
      </c>
      <c r="G1618" s="11">
        <f>E1618*Summary!$B$6</f>
        <v/>
      </c>
      <c r="H1618" s="11">
        <f>F1618*Summary!$B$7</f>
        <v/>
      </c>
      <c r="I1618" s="11">
        <f>MAX(0,N1618-M1618)</f>
        <v/>
      </c>
      <c r="J1618" s="11">
        <f>MAX(0,M1618-N1618)</f>
        <v/>
      </c>
      <c r="K1618" s="11">
        <f>O1618</f>
        <v/>
      </c>
      <c r="L1618" s="11">
        <f>L1617+IF(K1618&gt;0,K1618*Summary!$B$9,K1618/Summary!$B$9)</f>
        <v/>
      </c>
      <c r="M1618" s="11">
        <f>G1618+H1618</f>
        <v/>
      </c>
      <c r="N1618" s="11">
        <f>Summary!$C$16*Summary!$B$8</f>
        <v/>
      </c>
      <c r="O1618" s="11">
        <f>M1618-N1618</f>
        <v/>
      </c>
    </row>
    <row r="1619">
      <c r="A1619" s="9" t="n">
        <v>45359.375</v>
      </c>
      <c r="B1619" t="n">
        <v>3</v>
      </c>
      <c r="C1619" t="n">
        <v>8</v>
      </c>
      <c r="D1619" t="n">
        <v>9</v>
      </c>
      <c r="E1619" s="10" t="n">
        <v>0.341878</v>
      </c>
      <c r="F1619" s="10" t="n">
        <v>0.2565894855814765</v>
      </c>
      <c r="G1619" s="11">
        <f>E1619*Summary!$B$6</f>
        <v/>
      </c>
      <c r="H1619" s="11">
        <f>F1619*Summary!$B$7</f>
        <v/>
      </c>
      <c r="I1619" s="11">
        <f>MAX(0,N1619-M1619)</f>
        <v/>
      </c>
      <c r="J1619" s="11">
        <f>MAX(0,M1619-N1619)</f>
        <v/>
      </c>
      <c r="K1619" s="11">
        <f>O1619</f>
        <v/>
      </c>
      <c r="L1619" s="11">
        <f>L1618+IF(K1619&gt;0,K1619*Summary!$B$9,K1619/Summary!$B$9)</f>
        <v/>
      </c>
      <c r="M1619" s="11">
        <f>G1619+H1619</f>
        <v/>
      </c>
      <c r="N1619" s="11">
        <f>Summary!$C$16*Summary!$B$8</f>
        <v/>
      </c>
      <c r="O1619" s="11">
        <f>M1619-N1619</f>
        <v/>
      </c>
    </row>
    <row r="1620">
      <c r="A1620" s="9" t="n">
        <v>45359.41666666666</v>
      </c>
      <c r="B1620" t="n">
        <v>3</v>
      </c>
      <c r="C1620" t="n">
        <v>8</v>
      </c>
      <c r="D1620" t="n">
        <v>10</v>
      </c>
      <c r="E1620" s="10" t="n">
        <v>0.545231</v>
      </c>
      <c r="F1620" s="10" t="n">
        <v>0.2438351145204275</v>
      </c>
      <c r="G1620" s="11">
        <f>E1620*Summary!$B$6</f>
        <v/>
      </c>
      <c r="H1620" s="11">
        <f>F1620*Summary!$B$7</f>
        <v/>
      </c>
      <c r="I1620" s="11">
        <f>MAX(0,N1620-M1620)</f>
        <v/>
      </c>
      <c r="J1620" s="11">
        <f>MAX(0,M1620-N1620)</f>
        <v/>
      </c>
      <c r="K1620" s="11">
        <f>O1620</f>
        <v/>
      </c>
      <c r="L1620" s="11">
        <f>L1619+IF(K1620&gt;0,K1620*Summary!$B$9,K1620/Summary!$B$9)</f>
        <v/>
      </c>
      <c r="M1620" s="11">
        <f>G1620+H1620</f>
        <v/>
      </c>
      <c r="N1620" s="11">
        <f>Summary!$C$16*Summary!$B$8</f>
        <v/>
      </c>
      <c r="O1620" s="11">
        <f>M1620-N1620</f>
        <v/>
      </c>
    </row>
    <row r="1621">
      <c r="A1621" s="9" t="n">
        <v>45359.45833333334</v>
      </c>
      <c r="B1621" t="n">
        <v>3</v>
      </c>
      <c r="C1621" t="n">
        <v>8</v>
      </c>
      <c r="D1621" t="n">
        <v>11</v>
      </c>
      <c r="E1621" s="10" t="n">
        <v>0.638629</v>
      </c>
      <c r="F1621" s="10" t="n">
        <v>0.2350598964143751</v>
      </c>
      <c r="G1621" s="11">
        <f>E1621*Summary!$B$6</f>
        <v/>
      </c>
      <c r="H1621" s="11">
        <f>F1621*Summary!$B$7</f>
        <v/>
      </c>
      <c r="I1621" s="11">
        <f>MAX(0,N1621-M1621)</f>
        <v/>
      </c>
      <c r="J1621" s="11">
        <f>MAX(0,M1621-N1621)</f>
        <v/>
      </c>
      <c r="K1621" s="11">
        <f>O1621</f>
        <v/>
      </c>
      <c r="L1621" s="11">
        <f>L1620+IF(K1621&gt;0,K1621*Summary!$B$9,K1621/Summary!$B$9)</f>
        <v/>
      </c>
      <c r="M1621" s="11">
        <f>G1621+H1621</f>
        <v/>
      </c>
      <c r="N1621" s="11">
        <f>Summary!$C$16*Summary!$B$8</f>
        <v/>
      </c>
      <c r="O1621" s="11">
        <f>M1621-N1621</f>
        <v/>
      </c>
    </row>
    <row r="1622">
      <c r="A1622" s="9" t="n">
        <v>45359.5</v>
      </c>
      <c r="B1622" t="n">
        <v>3</v>
      </c>
      <c r="C1622" t="n">
        <v>8</v>
      </c>
      <c r="D1622" t="n">
        <v>12</v>
      </c>
      <c r="E1622" s="10" t="n">
        <v>0.6641049999999999</v>
      </c>
      <c r="F1622" s="10" t="n">
        <v>0.2519251804620433</v>
      </c>
      <c r="G1622" s="11">
        <f>E1622*Summary!$B$6</f>
        <v/>
      </c>
      <c r="H1622" s="11">
        <f>F1622*Summary!$B$7</f>
        <v/>
      </c>
      <c r="I1622" s="11">
        <f>MAX(0,N1622-M1622)</f>
        <v/>
      </c>
      <c r="J1622" s="11">
        <f>MAX(0,M1622-N1622)</f>
        <v/>
      </c>
      <c r="K1622" s="11">
        <f>O1622</f>
        <v/>
      </c>
      <c r="L1622" s="11">
        <f>L1621+IF(K1622&gt;0,K1622*Summary!$B$9,K1622/Summary!$B$9)</f>
        <v/>
      </c>
      <c r="M1622" s="11">
        <f>G1622+H1622</f>
        <v/>
      </c>
      <c r="N1622" s="11">
        <f>Summary!$C$16*Summary!$B$8</f>
        <v/>
      </c>
      <c r="O1622" s="11">
        <f>M1622-N1622</f>
        <v/>
      </c>
    </row>
    <row r="1623">
      <c r="A1623" s="9" t="n">
        <v>45359.54166666666</v>
      </c>
      <c r="B1623" t="n">
        <v>3</v>
      </c>
      <c r="C1623" t="n">
        <v>8</v>
      </c>
      <c r="D1623" t="n">
        <v>13</v>
      </c>
      <c r="E1623" s="10" t="n">
        <v>0.621042</v>
      </c>
      <c r="F1623" s="10" t="n">
        <v>0.2388018813124515</v>
      </c>
      <c r="G1623" s="11">
        <f>E1623*Summary!$B$6</f>
        <v/>
      </c>
      <c r="H1623" s="11">
        <f>F1623*Summary!$B$7</f>
        <v/>
      </c>
      <c r="I1623" s="11">
        <f>MAX(0,N1623-M1623)</f>
        <v/>
      </c>
      <c r="J1623" s="11">
        <f>MAX(0,M1623-N1623)</f>
        <v/>
      </c>
      <c r="K1623" s="11">
        <f>O1623</f>
        <v/>
      </c>
      <c r="L1623" s="11">
        <f>L1622+IF(K1623&gt;0,K1623*Summary!$B$9,K1623/Summary!$B$9)</f>
        <v/>
      </c>
      <c r="M1623" s="11">
        <f>G1623+H1623</f>
        <v/>
      </c>
      <c r="N1623" s="11">
        <f>Summary!$C$16*Summary!$B$8</f>
        <v/>
      </c>
      <c r="O1623" s="11">
        <f>M1623-N1623</f>
        <v/>
      </c>
    </row>
    <row r="1624">
      <c r="A1624" s="9" t="n">
        <v>45359.58333333334</v>
      </c>
      <c r="B1624" t="n">
        <v>3</v>
      </c>
      <c r="C1624" t="n">
        <v>8</v>
      </c>
      <c r="D1624" t="n">
        <v>14</v>
      </c>
      <c r="E1624" s="10" t="n">
        <v>0.460347</v>
      </c>
      <c r="F1624" s="10" t="n">
        <v>0.2425965702231768</v>
      </c>
      <c r="G1624" s="11">
        <f>E1624*Summary!$B$6</f>
        <v/>
      </c>
      <c r="H1624" s="11">
        <f>F1624*Summary!$B$7</f>
        <v/>
      </c>
      <c r="I1624" s="11">
        <f>MAX(0,N1624-M1624)</f>
        <v/>
      </c>
      <c r="J1624" s="11">
        <f>MAX(0,M1624-N1624)</f>
        <v/>
      </c>
      <c r="K1624" s="11">
        <f>O1624</f>
        <v/>
      </c>
      <c r="L1624" s="11">
        <f>L1623+IF(K1624&gt;0,K1624*Summary!$B$9,K1624/Summary!$B$9)</f>
        <v/>
      </c>
      <c r="M1624" s="11">
        <f>G1624+H1624</f>
        <v/>
      </c>
      <c r="N1624" s="11">
        <f>Summary!$C$16*Summary!$B$8</f>
        <v/>
      </c>
      <c r="O1624" s="11">
        <f>M1624-N1624</f>
        <v/>
      </c>
    </row>
    <row r="1625">
      <c r="A1625" s="9" t="n">
        <v>45359.625</v>
      </c>
      <c r="B1625" t="n">
        <v>3</v>
      </c>
      <c r="C1625" t="n">
        <v>8</v>
      </c>
      <c r="D1625" t="n">
        <v>15</v>
      </c>
      <c r="E1625" s="10" t="n">
        <v>0.301322</v>
      </c>
      <c r="F1625" s="10" t="n">
        <v>0.244572970697513</v>
      </c>
      <c r="G1625" s="11">
        <f>E1625*Summary!$B$6</f>
        <v/>
      </c>
      <c r="H1625" s="11">
        <f>F1625*Summary!$B$7</f>
        <v/>
      </c>
      <c r="I1625" s="11">
        <f>MAX(0,N1625-M1625)</f>
        <v/>
      </c>
      <c r="J1625" s="11">
        <f>MAX(0,M1625-N1625)</f>
        <v/>
      </c>
      <c r="K1625" s="11">
        <f>O1625</f>
        <v/>
      </c>
      <c r="L1625" s="11">
        <f>L1624+IF(K1625&gt;0,K1625*Summary!$B$9,K1625/Summary!$B$9)</f>
        <v/>
      </c>
      <c r="M1625" s="11">
        <f>G1625+H1625</f>
        <v/>
      </c>
      <c r="N1625" s="11">
        <f>Summary!$C$16*Summary!$B$8</f>
        <v/>
      </c>
      <c r="O1625" s="11">
        <f>M1625-N1625</f>
        <v/>
      </c>
    </row>
    <row r="1626">
      <c r="A1626" s="9" t="n">
        <v>45359.66666666666</v>
      </c>
      <c r="B1626" t="n">
        <v>3</v>
      </c>
      <c r="C1626" t="n">
        <v>8</v>
      </c>
      <c r="D1626" t="n">
        <v>16</v>
      </c>
      <c r="E1626" s="10" t="n">
        <v>0.084622</v>
      </c>
      <c r="F1626" s="10" t="n">
        <v>0.2507129881711171</v>
      </c>
      <c r="G1626" s="11">
        <f>E1626*Summary!$B$6</f>
        <v/>
      </c>
      <c r="H1626" s="11">
        <f>F1626*Summary!$B$7</f>
        <v/>
      </c>
      <c r="I1626" s="11">
        <f>MAX(0,N1626-M1626)</f>
        <v/>
      </c>
      <c r="J1626" s="11">
        <f>MAX(0,M1626-N1626)</f>
        <v/>
      </c>
      <c r="K1626" s="11">
        <f>O1626</f>
        <v/>
      </c>
      <c r="L1626" s="11">
        <f>L1625+IF(K1626&gt;0,K1626*Summary!$B$9,K1626/Summary!$B$9)</f>
        <v/>
      </c>
      <c r="M1626" s="11">
        <f>G1626+H1626</f>
        <v/>
      </c>
      <c r="N1626" s="11">
        <f>Summary!$C$16*Summary!$B$8</f>
        <v/>
      </c>
      <c r="O1626" s="11">
        <f>M1626-N1626</f>
        <v/>
      </c>
    </row>
    <row r="1627">
      <c r="A1627" s="9" t="n">
        <v>45359.70833333334</v>
      </c>
      <c r="B1627" t="n">
        <v>3</v>
      </c>
      <c r="C1627" t="n">
        <v>8</v>
      </c>
      <c r="D1627" t="n">
        <v>17</v>
      </c>
      <c r="E1627" s="10" t="n">
        <v>0.011615</v>
      </c>
      <c r="F1627" s="10" t="n">
        <v>0.2657599837823961</v>
      </c>
      <c r="G1627" s="11">
        <f>E1627*Summary!$B$6</f>
        <v/>
      </c>
      <c r="H1627" s="11">
        <f>F1627*Summary!$B$7</f>
        <v/>
      </c>
      <c r="I1627" s="11">
        <f>MAX(0,N1627-M1627)</f>
        <v/>
      </c>
      <c r="J1627" s="11">
        <f>MAX(0,M1627-N1627)</f>
        <v/>
      </c>
      <c r="K1627" s="11">
        <f>O1627</f>
        <v/>
      </c>
      <c r="L1627" s="11">
        <f>L1626+IF(K1627&gt;0,K1627*Summary!$B$9,K1627/Summary!$B$9)</f>
        <v/>
      </c>
      <c r="M1627" s="11">
        <f>G1627+H1627</f>
        <v/>
      </c>
      <c r="N1627" s="11">
        <f>Summary!$C$16*Summary!$B$8</f>
        <v/>
      </c>
      <c r="O1627" s="11">
        <f>M1627-N1627</f>
        <v/>
      </c>
    </row>
    <row r="1628">
      <c r="A1628" s="9" t="n">
        <v>45359.75</v>
      </c>
      <c r="B1628" t="n">
        <v>3</v>
      </c>
      <c r="C1628" t="n">
        <v>8</v>
      </c>
      <c r="D1628" t="n">
        <v>18</v>
      </c>
      <c r="E1628" s="10" t="n">
        <v>0</v>
      </c>
      <c r="F1628" s="10" t="n">
        <v>0.2828360838806601</v>
      </c>
      <c r="G1628" s="11">
        <f>E1628*Summary!$B$6</f>
        <v/>
      </c>
      <c r="H1628" s="11">
        <f>F1628*Summary!$B$7</f>
        <v/>
      </c>
      <c r="I1628" s="11">
        <f>MAX(0,N1628-M1628)</f>
        <v/>
      </c>
      <c r="J1628" s="11">
        <f>MAX(0,M1628-N1628)</f>
        <v/>
      </c>
      <c r="K1628" s="11">
        <f>O1628</f>
        <v/>
      </c>
      <c r="L1628" s="11">
        <f>L1627+IF(K1628&gt;0,K1628*Summary!$B$9,K1628/Summary!$B$9)</f>
        <v/>
      </c>
      <c r="M1628" s="11">
        <f>G1628+H1628</f>
        <v/>
      </c>
      <c r="N1628" s="11">
        <f>Summary!$C$16*Summary!$B$8</f>
        <v/>
      </c>
      <c r="O1628" s="11">
        <f>M1628-N1628</f>
        <v/>
      </c>
    </row>
    <row r="1629">
      <c r="A1629" s="9" t="n">
        <v>45359.79166666666</v>
      </c>
      <c r="B1629" t="n">
        <v>3</v>
      </c>
      <c r="C1629" t="n">
        <v>8</v>
      </c>
      <c r="D1629" t="n">
        <v>19</v>
      </c>
      <c r="E1629" s="10" t="n">
        <v>0</v>
      </c>
      <c r="F1629" s="10" t="n">
        <v>0.2966972392073374</v>
      </c>
      <c r="G1629" s="11">
        <f>E1629*Summary!$B$6</f>
        <v/>
      </c>
      <c r="H1629" s="11">
        <f>F1629*Summary!$B$7</f>
        <v/>
      </c>
      <c r="I1629" s="11">
        <f>MAX(0,N1629-M1629)</f>
        <v/>
      </c>
      <c r="J1629" s="11">
        <f>MAX(0,M1629-N1629)</f>
        <v/>
      </c>
      <c r="K1629" s="11">
        <f>O1629</f>
        <v/>
      </c>
      <c r="L1629" s="11">
        <f>L1628+IF(K1629&gt;0,K1629*Summary!$B$9,K1629/Summary!$B$9)</f>
        <v/>
      </c>
      <c r="M1629" s="11">
        <f>G1629+H1629</f>
        <v/>
      </c>
      <c r="N1629" s="11">
        <f>Summary!$C$16*Summary!$B$8</f>
        <v/>
      </c>
      <c r="O1629" s="11">
        <f>M1629-N1629</f>
        <v/>
      </c>
    </row>
    <row r="1630">
      <c r="A1630" s="9" t="n">
        <v>45359.83333333334</v>
      </c>
      <c r="B1630" t="n">
        <v>3</v>
      </c>
      <c r="C1630" t="n">
        <v>8</v>
      </c>
      <c r="D1630" t="n">
        <v>20</v>
      </c>
      <c r="E1630" s="10" t="n">
        <v>0</v>
      </c>
      <c r="F1630" s="10" t="n">
        <v>0.3031798327631599</v>
      </c>
      <c r="G1630" s="11">
        <f>E1630*Summary!$B$6</f>
        <v/>
      </c>
      <c r="H1630" s="11">
        <f>F1630*Summary!$B$7</f>
        <v/>
      </c>
      <c r="I1630" s="11">
        <f>MAX(0,N1630-M1630)</f>
        <v/>
      </c>
      <c r="J1630" s="11">
        <f>MAX(0,M1630-N1630)</f>
        <v/>
      </c>
      <c r="K1630" s="11">
        <f>O1630</f>
        <v/>
      </c>
      <c r="L1630" s="11">
        <f>L1629+IF(K1630&gt;0,K1630*Summary!$B$9,K1630/Summary!$B$9)</f>
        <v/>
      </c>
      <c r="M1630" s="11">
        <f>G1630+H1630</f>
        <v/>
      </c>
      <c r="N1630" s="11">
        <f>Summary!$C$16*Summary!$B$8</f>
        <v/>
      </c>
      <c r="O1630" s="11">
        <f>M1630-N1630</f>
        <v/>
      </c>
    </row>
    <row r="1631">
      <c r="A1631" s="9" t="n">
        <v>45359.875</v>
      </c>
      <c r="B1631" t="n">
        <v>3</v>
      </c>
      <c r="C1631" t="n">
        <v>8</v>
      </c>
      <c r="D1631" t="n">
        <v>21</v>
      </c>
      <c r="E1631" s="10" t="n">
        <v>0</v>
      </c>
      <c r="F1631" s="10" t="n">
        <v>0.3040494489718678</v>
      </c>
      <c r="G1631" s="11">
        <f>E1631*Summary!$B$6</f>
        <v/>
      </c>
      <c r="H1631" s="11">
        <f>F1631*Summary!$B$7</f>
        <v/>
      </c>
      <c r="I1631" s="11">
        <f>MAX(0,N1631-M1631)</f>
        <v/>
      </c>
      <c r="J1631" s="11">
        <f>MAX(0,M1631-N1631)</f>
        <v/>
      </c>
      <c r="K1631" s="11">
        <f>O1631</f>
        <v/>
      </c>
      <c r="L1631" s="11">
        <f>L1630+IF(K1631&gt;0,K1631*Summary!$B$9,K1631/Summary!$B$9)</f>
        <v/>
      </c>
      <c r="M1631" s="11">
        <f>G1631+H1631</f>
        <v/>
      </c>
      <c r="N1631" s="11">
        <f>Summary!$C$16*Summary!$B$8</f>
        <v/>
      </c>
      <c r="O1631" s="11">
        <f>M1631-N1631</f>
        <v/>
      </c>
    </row>
    <row r="1632">
      <c r="A1632" s="9" t="n">
        <v>45359.91666666666</v>
      </c>
      <c r="B1632" t="n">
        <v>3</v>
      </c>
      <c r="C1632" t="n">
        <v>8</v>
      </c>
      <c r="D1632" t="n">
        <v>22</v>
      </c>
      <c r="E1632" s="10" t="n">
        <v>0</v>
      </c>
      <c r="F1632" s="10" t="n">
        <v>0.301546008371042</v>
      </c>
      <c r="G1632" s="11">
        <f>E1632*Summary!$B$6</f>
        <v/>
      </c>
      <c r="H1632" s="11">
        <f>F1632*Summary!$B$7</f>
        <v/>
      </c>
      <c r="I1632" s="11">
        <f>MAX(0,N1632-M1632)</f>
        <v/>
      </c>
      <c r="J1632" s="11">
        <f>MAX(0,M1632-N1632)</f>
        <v/>
      </c>
      <c r="K1632" s="11">
        <f>O1632</f>
        <v/>
      </c>
      <c r="L1632" s="11">
        <f>L1631+IF(K1632&gt;0,K1632*Summary!$B$9,K1632/Summary!$B$9)</f>
        <v/>
      </c>
      <c r="M1632" s="11">
        <f>G1632+H1632</f>
        <v/>
      </c>
      <c r="N1632" s="11">
        <f>Summary!$C$16*Summary!$B$8</f>
        <v/>
      </c>
      <c r="O1632" s="11">
        <f>M1632-N1632</f>
        <v/>
      </c>
    </row>
    <row r="1633">
      <c r="A1633" s="9" t="n">
        <v>45359.95833333334</v>
      </c>
      <c r="B1633" t="n">
        <v>3</v>
      </c>
      <c r="C1633" t="n">
        <v>8</v>
      </c>
      <c r="D1633" t="n">
        <v>23</v>
      </c>
      <c r="E1633" s="10" t="n">
        <v>0</v>
      </c>
      <c r="F1633" s="10" t="n">
        <v>0.2938248705179689</v>
      </c>
      <c r="G1633" s="11">
        <f>E1633*Summary!$B$6</f>
        <v/>
      </c>
      <c r="H1633" s="11">
        <f>F1633*Summary!$B$7</f>
        <v/>
      </c>
      <c r="I1633" s="11">
        <f>MAX(0,N1633-M1633)</f>
        <v/>
      </c>
      <c r="J1633" s="11">
        <f>MAX(0,M1633-N1633)</f>
        <v/>
      </c>
      <c r="K1633" s="11">
        <f>O1633</f>
        <v/>
      </c>
      <c r="L1633" s="11">
        <f>L1632+IF(K1633&gt;0,K1633*Summary!$B$9,K1633/Summary!$B$9)</f>
        <v/>
      </c>
      <c r="M1633" s="11">
        <f>G1633+H1633</f>
        <v/>
      </c>
      <c r="N1633" s="11">
        <f>Summary!$C$16*Summary!$B$8</f>
        <v/>
      </c>
      <c r="O1633" s="11">
        <f>M1633-N1633</f>
        <v/>
      </c>
    </row>
    <row r="1634">
      <c r="A1634" s="9" t="n">
        <v>45360</v>
      </c>
      <c r="B1634" t="n">
        <v>3</v>
      </c>
      <c r="C1634" t="n">
        <v>9</v>
      </c>
      <c r="D1634" t="n">
        <v>0</v>
      </c>
      <c r="E1634" s="10" t="n">
        <v>0</v>
      </c>
      <c r="F1634" s="10" t="n">
        <v>0.2254677661122639</v>
      </c>
      <c r="G1634" s="11">
        <f>E1634*Summary!$B$6</f>
        <v/>
      </c>
      <c r="H1634" s="11">
        <f>F1634*Summary!$B$7</f>
        <v/>
      </c>
      <c r="I1634" s="11">
        <f>MAX(0,N1634-M1634)</f>
        <v/>
      </c>
      <c r="J1634" s="11">
        <f>MAX(0,M1634-N1634)</f>
        <v/>
      </c>
      <c r="K1634" s="11">
        <f>O1634</f>
        <v/>
      </c>
      <c r="L1634" s="11">
        <f>L1633+IF(K1634&gt;0,K1634*Summary!$B$9,K1634/Summary!$B$9)</f>
        <v/>
      </c>
      <c r="M1634" s="11">
        <f>G1634+H1634</f>
        <v/>
      </c>
      <c r="N1634" s="11">
        <f>Summary!$C$16*Summary!$B$8</f>
        <v/>
      </c>
      <c r="O1634" s="11">
        <f>M1634-N1634</f>
        <v/>
      </c>
    </row>
    <row r="1635">
      <c r="A1635" s="9" t="n">
        <v>45360.04166666666</v>
      </c>
      <c r="B1635" t="n">
        <v>3</v>
      </c>
      <c r="C1635" t="n">
        <v>9</v>
      </c>
      <c r="D1635" t="n">
        <v>1</v>
      </c>
      <c r="E1635" s="10" t="n">
        <v>0</v>
      </c>
      <c r="F1635" s="10" t="n">
        <v>0.27724945853987</v>
      </c>
      <c r="G1635" s="11">
        <f>E1635*Summary!$B$6</f>
        <v/>
      </c>
      <c r="H1635" s="11">
        <f>F1635*Summary!$B$7</f>
        <v/>
      </c>
      <c r="I1635" s="11">
        <f>MAX(0,N1635-M1635)</f>
        <v/>
      </c>
      <c r="J1635" s="11">
        <f>MAX(0,M1635-N1635)</f>
        <v/>
      </c>
      <c r="K1635" s="11">
        <f>O1635</f>
        <v/>
      </c>
      <c r="L1635" s="11">
        <f>L1634+IF(K1635&gt;0,K1635*Summary!$B$9,K1635/Summary!$B$9)</f>
        <v/>
      </c>
      <c r="M1635" s="11">
        <f>G1635+H1635</f>
        <v/>
      </c>
      <c r="N1635" s="11">
        <f>Summary!$C$16*Summary!$B$8</f>
        <v/>
      </c>
      <c r="O1635" s="11">
        <f>M1635-N1635</f>
        <v/>
      </c>
    </row>
    <row r="1636">
      <c r="A1636" s="9" t="n">
        <v>45360.08333333334</v>
      </c>
      <c r="B1636" t="n">
        <v>3</v>
      </c>
      <c r="C1636" t="n">
        <v>9</v>
      </c>
      <c r="D1636" t="n">
        <v>2</v>
      </c>
      <c r="E1636" s="10" t="n">
        <v>0</v>
      </c>
      <c r="F1636" s="10" t="n">
        <v>0.2917694140246593</v>
      </c>
      <c r="G1636" s="11">
        <f>E1636*Summary!$B$6</f>
        <v/>
      </c>
      <c r="H1636" s="11">
        <f>F1636*Summary!$B$7</f>
        <v/>
      </c>
      <c r="I1636" s="11">
        <f>MAX(0,N1636-M1636)</f>
        <v/>
      </c>
      <c r="J1636" s="11">
        <f>MAX(0,M1636-N1636)</f>
        <v/>
      </c>
      <c r="K1636" s="11">
        <f>O1636</f>
        <v/>
      </c>
      <c r="L1636" s="11">
        <f>L1635+IF(K1636&gt;0,K1636*Summary!$B$9,K1636/Summary!$B$9)</f>
        <v/>
      </c>
      <c r="M1636" s="11">
        <f>G1636+H1636</f>
        <v/>
      </c>
      <c r="N1636" s="11">
        <f>Summary!$C$16*Summary!$B$8</f>
        <v/>
      </c>
      <c r="O1636" s="11">
        <f>M1636-N1636</f>
        <v/>
      </c>
    </row>
    <row r="1637">
      <c r="A1637" s="9" t="n">
        <v>45360.125</v>
      </c>
      <c r="B1637" t="n">
        <v>3</v>
      </c>
      <c r="C1637" t="n">
        <v>9</v>
      </c>
      <c r="D1637" t="n">
        <v>3</v>
      </c>
      <c r="E1637" s="10" t="n">
        <v>0</v>
      </c>
      <c r="F1637" s="10" t="n">
        <v>0.2624659829918359</v>
      </c>
      <c r="G1637" s="11">
        <f>E1637*Summary!$B$6</f>
        <v/>
      </c>
      <c r="H1637" s="11">
        <f>F1637*Summary!$B$7</f>
        <v/>
      </c>
      <c r="I1637" s="11">
        <f>MAX(0,N1637-M1637)</f>
        <v/>
      </c>
      <c r="J1637" s="11">
        <f>MAX(0,M1637-N1637)</f>
        <v/>
      </c>
      <c r="K1637" s="11">
        <f>O1637</f>
        <v/>
      </c>
      <c r="L1637" s="11">
        <f>L1636+IF(K1637&gt;0,K1637*Summary!$B$9,K1637/Summary!$B$9)</f>
        <v/>
      </c>
      <c r="M1637" s="11">
        <f>G1637+H1637</f>
        <v/>
      </c>
      <c r="N1637" s="11">
        <f>Summary!$C$16*Summary!$B$8</f>
        <v/>
      </c>
      <c r="O1637" s="11">
        <f>M1637-N1637</f>
        <v/>
      </c>
    </row>
    <row r="1638">
      <c r="A1638" s="9" t="n">
        <v>45360.16666666666</v>
      </c>
      <c r="B1638" t="n">
        <v>3</v>
      </c>
      <c r="C1638" t="n">
        <v>9</v>
      </c>
      <c r="D1638" t="n">
        <v>4</v>
      </c>
      <c r="E1638" s="10" t="n">
        <v>0</v>
      </c>
      <c r="F1638" s="10" t="n">
        <v>0.2567475976194234</v>
      </c>
      <c r="G1638" s="11">
        <f>E1638*Summary!$B$6</f>
        <v/>
      </c>
      <c r="H1638" s="11">
        <f>F1638*Summary!$B$7</f>
        <v/>
      </c>
      <c r="I1638" s="11">
        <f>MAX(0,N1638-M1638)</f>
        <v/>
      </c>
      <c r="J1638" s="11">
        <f>MAX(0,M1638-N1638)</f>
        <v/>
      </c>
      <c r="K1638" s="11">
        <f>O1638</f>
        <v/>
      </c>
      <c r="L1638" s="11">
        <f>L1637+IF(K1638&gt;0,K1638*Summary!$B$9,K1638/Summary!$B$9)</f>
        <v/>
      </c>
      <c r="M1638" s="11">
        <f>G1638+H1638</f>
        <v/>
      </c>
      <c r="N1638" s="11">
        <f>Summary!$C$16*Summary!$B$8</f>
        <v/>
      </c>
      <c r="O1638" s="11">
        <f>M1638-N1638</f>
        <v/>
      </c>
    </row>
    <row r="1639">
      <c r="A1639" s="9" t="n">
        <v>45360.20833333334</v>
      </c>
      <c r="B1639" t="n">
        <v>3</v>
      </c>
      <c r="C1639" t="n">
        <v>9</v>
      </c>
      <c r="D1639" t="n">
        <v>5</v>
      </c>
      <c r="E1639" s="10" t="n">
        <v>0</v>
      </c>
      <c r="F1639" s="10" t="n">
        <v>0.2547184931324383</v>
      </c>
      <c r="G1639" s="11">
        <f>E1639*Summary!$B$6</f>
        <v/>
      </c>
      <c r="H1639" s="11">
        <f>F1639*Summary!$B$7</f>
        <v/>
      </c>
      <c r="I1639" s="11">
        <f>MAX(0,N1639-M1639)</f>
        <v/>
      </c>
      <c r="J1639" s="11">
        <f>MAX(0,M1639-N1639)</f>
        <v/>
      </c>
      <c r="K1639" s="11">
        <f>O1639</f>
        <v/>
      </c>
      <c r="L1639" s="11">
        <f>L1638+IF(K1639&gt;0,K1639*Summary!$B$9,K1639/Summary!$B$9)</f>
        <v/>
      </c>
      <c r="M1639" s="11">
        <f>G1639+H1639</f>
        <v/>
      </c>
      <c r="N1639" s="11">
        <f>Summary!$C$16*Summary!$B$8</f>
        <v/>
      </c>
      <c r="O1639" s="11">
        <f>M1639-N1639</f>
        <v/>
      </c>
    </row>
    <row r="1640">
      <c r="A1640" s="9" t="n">
        <v>45360.25</v>
      </c>
      <c r="B1640" t="n">
        <v>3</v>
      </c>
      <c r="C1640" t="n">
        <v>9</v>
      </c>
      <c r="D1640" t="n">
        <v>6</v>
      </c>
      <c r="E1640" s="10" t="n">
        <v>0</v>
      </c>
      <c r="F1640" s="10" t="n">
        <v>0.2644160314598475</v>
      </c>
      <c r="G1640" s="11">
        <f>E1640*Summary!$B$6</f>
        <v/>
      </c>
      <c r="H1640" s="11">
        <f>F1640*Summary!$B$7</f>
        <v/>
      </c>
      <c r="I1640" s="11">
        <f>MAX(0,N1640-M1640)</f>
        <v/>
      </c>
      <c r="J1640" s="11">
        <f>MAX(0,M1640-N1640)</f>
        <v/>
      </c>
      <c r="K1640" s="11">
        <f>O1640</f>
        <v/>
      </c>
      <c r="L1640" s="11">
        <f>L1639+IF(K1640&gt;0,K1640*Summary!$B$9,K1640/Summary!$B$9)</f>
        <v/>
      </c>
      <c r="M1640" s="11">
        <f>G1640+H1640</f>
        <v/>
      </c>
      <c r="N1640" s="11">
        <f>Summary!$C$16*Summary!$B$8</f>
        <v/>
      </c>
      <c r="O1640" s="11">
        <f>M1640-N1640</f>
        <v/>
      </c>
    </row>
    <row r="1641">
      <c r="A1641" s="9" t="n">
        <v>45360.29166666666</v>
      </c>
      <c r="B1641" t="n">
        <v>3</v>
      </c>
      <c r="C1641" t="n">
        <v>9</v>
      </c>
      <c r="D1641" t="n">
        <v>7</v>
      </c>
      <c r="E1641" s="10" t="n">
        <v>0.023002</v>
      </c>
      <c r="F1641" s="10" t="n">
        <v>0.238064025135366</v>
      </c>
      <c r="G1641" s="11">
        <f>E1641*Summary!$B$6</f>
        <v/>
      </c>
      <c r="H1641" s="11">
        <f>F1641*Summary!$B$7</f>
        <v/>
      </c>
      <c r="I1641" s="11">
        <f>MAX(0,N1641-M1641)</f>
        <v/>
      </c>
      <c r="J1641" s="11">
        <f>MAX(0,M1641-N1641)</f>
        <v/>
      </c>
      <c r="K1641" s="11">
        <f>O1641</f>
        <v/>
      </c>
      <c r="L1641" s="11">
        <f>L1640+IF(K1641&gt;0,K1641*Summary!$B$9,K1641/Summary!$B$9)</f>
        <v/>
      </c>
      <c r="M1641" s="11">
        <f>G1641+H1641</f>
        <v/>
      </c>
      <c r="N1641" s="11">
        <f>Summary!$C$16*Summary!$B$8</f>
        <v/>
      </c>
      <c r="O1641" s="11">
        <f>M1641-N1641</f>
        <v/>
      </c>
    </row>
    <row r="1642">
      <c r="A1642" s="9" t="n">
        <v>45360.33333333334</v>
      </c>
      <c r="B1642" t="n">
        <v>3</v>
      </c>
      <c r="C1642" t="n">
        <v>9</v>
      </c>
      <c r="D1642" t="n">
        <v>8</v>
      </c>
      <c r="E1642" s="10" t="n">
        <v>0.0706</v>
      </c>
      <c r="F1642" s="10" t="n">
        <v>0.2401721856413245</v>
      </c>
      <c r="G1642" s="11">
        <f>E1642*Summary!$B$6</f>
        <v/>
      </c>
      <c r="H1642" s="11">
        <f>F1642*Summary!$B$7</f>
        <v/>
      </c>
      <c r="I1642" s="11">
        <f>MAX(0,N1642-M1642)</f>
        <v/>
      </c>
      <c r="J1642" s="11">
        <f>MAX(0,M1642-N1642)</f>
        <v/>
      </c>
      <c r="K1642" s="11">
        <f>O1642</f>
        <v/>
      </c>
      <c r="L1642" s="11">
        <f>L1641+IF(K1642&gt;0,K1642*Summary!$B$9,K1642/Summary!$B$9)</f>
        <v/>
      </c>
      <c r="M1642" s="11">
        <f>G1642+H1642</f>
        <v/>
      </c>
      <c r="N1642" s="11">
        <f>Summary!$C$16*Summary!$B$8</f>
        <v/>
      </c>
      <c r="O1642" s="11">
        <f>M1642-N1642</f>
        <v/>
      </c>
    </row>
    <row r="1643">
      <c r="A1643" s="9" t="n">
        <v>45360.375</v>
      </c>
      <c r="B1643" t="n">
        <v>3</v>
      </c>
      <c r="C1643" t="n">
        <v>9</v>
      </c>
      <c r="D1643" t="n">
        <v>9</v>
      </c>
      <c r="E1643" s="10" t="n">
        <v>0.178921</v>
      </c>
      <c r="F1643" s="10" t="n">
        <v>0.2076011058242654</v>
      </c>
      <c r="G1643" s="11">
        <f>E1643*Summary!$B$6</f>
        <v/>
      </c>
      <c r="H1643" s="11">
        <f>F1643*Summary!$B$7</f>
        <v/>
      </c>
      <c r="I1643" s="11">
        <f>MAX(0,N1643-M1643)</f>
        <v/>
      </c>
      <c r="J1643" s="11">
        <f>MAX(0,M1643-N1643)</f>
        <v/>
      </c>
      <c r="K1643" s="11">
        <f>O1643</f>
        <v/>
      </c>
      <c r="L1643" s="11">
        <f>L1642+IF(K1643&gt;0,K1643*Summary!$B$9,K1643/Summary!$B$9)</f>
        <v/>
      </c>
      <c r="M1643" s="11">
        <f>G1643+H1643</f>
        <v/>
      </c>
      <c r="N1643" s="11">
        <f>Summary!$C$16*Summary!$B$8</f>
        <v/>
      </c>
      <c r="O1643" s="11">
        <f>M1643-N1643</f>
        <v/>
      </c>
    </row>
    <row r="1644">
      <c r="A1644" s="9" t="n">
        <v>45360.41666666666</v>
      </c>
      <c r="B1644" t="n">
        <v>3</v>
      </c>
      <c r="C1644" t="n">
        <v>9</v>
      </c>
      <c r="D1644" t="n">
        <v>10</v>
      </c>
      <c r="E1644" s="10" t="n">
        <v>0.543757</v>
      </c>
      <c r="F1644" s="10" t="n">
        <v>0.1959008150161956</v>
      </c>
      <c r="G1644" s="11">
        <f>E1644*Summary!$B$6</f>
        <v/>
      </c>
      <c r="H1644" s="11">
        <f>F1644*Summary!$B$7</f>
        <v/>
      </c>
      <c r="I1644" s="11">
        <f>MAX(0,N1644-M1644)</f>
        <v/>
      </c>
      <c r="J1644" s="11">
        <f>MAX(0,M1644-N1644)</f>
        <v/>
      </c>
      <c r="K1644" s="11">
        <f>O1644</f>
        <v/>
      </c>
      <c r="L1644" s="11">
        <f>L1643+IF(K1644&gt;0,K1644*Summary!$B$9,K1644/Summary!$B$9)</f>
        <v/>
      </c>
      <c r="M1644" s="11">
        <f>G1644+H1644</f>
        <v/>
      </c>
      <c r="N1644" s="11">
        <f>Summary!$C$16*Summary!$B$8</f>
        <v/>
      </c>
      <c r="O1644" s="11">
        <f>M1644-N1644</f>
        <v/>
      </c>
    </row>
    <row r="1645">
      <c r="A1645" s="9" t="n">
        <v>45360.45833333334</v>
      </c>
      <c r="B1645" t="n">
        <v>3</v>
      </c>
      <c r="C1645" t="n">
        <v>9</v>
      </c>
      <c r="D1645" t="n">
        <v>11</v>
      </c>
      <c r="E1645" s="10" t="n">
        <v>0.6348240000000001</v>
      </c>
      <c r="F1645" s="10" t="n">
        <v>0.1932129103710985</v>
      </c>
      <c r="G1645" s="11">
        <f>E1645*Summary!$B$6</f>
        <v/>
      </c>
      <c r="H1645" s="11">
        <f>F1645*Summary!$B$7</f>
        <v/>
      </c>
      <c r="I1645" s="11">
        <f>MAX(0,N1645-M1645)</f>
        <v/>
      </c>
      <c r="J1645" s="11">
        <f>MAX(0,M1645-N1645)</f>
        <v/>
      </c>
      <c r="K1645" s="11">
        <f>O1645</f>
        <v/>
      </c>
      <c r="L1645" s="11">
        <f>L1644+IF(K1645&gt;0,K1645*Summary!$B$9,K1645/Summary!$B$9)</f>
        <v/>
      </c>
      <c r="M1645" s="11">
        <f>G1645+H1645</f>
        <v/>
      </c>
      <c r="N1645" s="11">
        <f>Summary!$C$16*Summary!$B$8</f>
        <v/>
      </c>
      <c r="O1645" s="11">
        <f>M1645-N1645</f>
        <v/>
      </c>
    </row>
    <row r="1646">
      <c r="A1646" s="9" t="n">
        <v>45360.5</v>
      </c>
      <c r="B1646" t="n">
        <v>3</v>
      </c>
      <c r="C1646" t="n">
        <v>9</v>
      </c>
      <c r="D1646" t="n">
        <v>12</v>
      </c>
      <c r="E1646" s="10" t="n">
        <v>0.659987</v>
      </c>
      <c r="F1646" s="10" t="n">
        <v>0.186730316815276</v>
      </c>
      <c r="G1646" s="11">
        <f>E1646*Summary!$B$6</f>
        <v/>
      </c>
      <c r="H1646" s="11">
        <f>F1646*Summary!$B$7</f>
        <v/>
      </c>
      <c r="I1646" s="11">
        <f>MAX(0,N1646-M1646)</f>
        <v/>
      </c>
      <c r="J1646" s="11">
        <f>MAX(0,M1646-N1646)</f>
        <v/>
      </c>
      <c r="K1646" s="11">
        <f>O1646</f>
        <v/>
      </c>
      <c r="L1646" s="11">
        <f>L1645+IF(K1646&gt;0,K1646*Summary!$B$9,K1646/Summary!$B$9)</f>
        <v/>
      </c>
      <c r="M1646" s="11">
        <f>G1646+H1646</f>
        <v/>
      </c>
      <c r="N1646" s="11">
        <f>Summary!$C$16*Summary!$B$8</f>
        <v/>
      </c>
      <c r="O1646" s="11">
        <f>M1646-N1646</f>
        <v/>
      </c>
    </row>
    <row r="1647">
      <c r="A1647" s="9" t="n">
        <v>45360.54166666666</v>
      </c>
      <c r="B1647" t="n">
        <v>3</v>
      </c>
      <c r="C1647" t="n">
        <v>9</v>
      </c>
      <c r="D1647" t="n">
        <v>13</v>
      </c>
      <c r="E1647" s="10" t="n">
        <v>0.616506</v>
      </c>
      <c r="F1647" s="10" t="n">
        <v>0.1817761396262735</v>
      </c>
      <c r="G1647" s="11">
        <f>E1647*Summary!$B$6</f>
        <v/>
      </c>
      <c r="H1647" s="11">
        <f>F1647*Summary!$B$7</f>
        <v/>
      </c>
      <c r="I1647" s="11">
        <f>MAX(0,N1647-M1647)</f>
        <v/>
      </c>
      <c r="J1647" s="11">
        <f>MAX(0,M1647-N1647)</f>
        <v/>
      </c>
      <c r="K1647" s="11">
        <f>O1647</f>
        <v/>
      </c>
      <c r="L1647" s="11">
        <f>L1646+IF(K1647&gt;0,K1647*Summary!$B$9,K1647/Summary!$B$9)</f>
        <v/>
      </c>
      <c r="M1647" s="11">
        <f>G1647+H1647</f>
        <v/>
      </c>
      <c r="N1647" s="11">
        <f>Summary!$C$16*Summary!$B$8</f>
        <v/>
      </c>
      <c r="O1647" s="11">
        <f>M1647-N1647</f>
        <v/>
      </c>
    </row>
    <row r="1648">
      <c r="A1648" s="9" t="n">
        <v>45360.58333333334</v>
      </c>
      <c r="B1648" t="n">
        <v>3</v>
      </c>
      <c r="C1648" t="n">
        <v>9</v>
      </c>
      <c r="D1648" t="n">
        <v>14</v>
      </c>
      <c r="E1648" s="10" t="n">
        <v>0.344083</v>
      </c>
      <c r="F1648" s="10" t="n">
        <v>0.1737387776973066</v>
      </c>
      <c r="G1648" s="11">
        <f>E1648*Summary!$B$6</f>
        <v/>
      </c>
      <c r="H1648" s="11">
        <f>F1648*Summary!$B$7</f>
        <v/>
      </c>
      <c r="I1648" s="11">
        <f>MAX(0,N1648-M1648)</f>
        <v/>
      </c>
      <c r="J1648" s="11">
        <f>MAX(0,M1648-N1648)</f>
        <v/>
      </c>
      <c r="K1648" s="11">
        <f>O1648</f>
        <v/>
      </c>
      <c r="L1648" s="11">
        <f>L1647+IF(K1648&gt;0,K1648*Summary!$B$9,K1648/Summary!$B$9)</f>
        <v/>
      </c>
      <c r="M1648" s="11">
        <f>G1648+H1648</f>
        <v/>
      </c>
      <c r="N1648" s="11">
        <f>Summary!$C$16*Summary!$B$8</f>
        <v/>
      </c>
      <c r="O1648" s="11">
        <f>M1648-N1648</f>
        <v/>
      </c>
    </row>
    <row r="1649">
      <c r="A1649" s="9" t="n">
        <v>45360.625</v>
      </c>
      <c r="B1649" t="n">
        <v>3</v>
      </c>
      <c r="C1649" t="n">
        <v>9</v>
      </c>
      <c r="D1649" t="n">
        <v>15</v>
      </c>
      <c r="E1649" s="10" t="n">
        <v>0.226217</v>
      </c>
      <c r="F1649" s="10" t="n">
        <v>0.1669663120719149</v>
      </c>
      <c r="G1649" s="11">
        <f>E1649*Summary!$B$6</f>
        <v/>
      </c>
      <c r="H1649" s="11">
        <f>F1649*Summary!$B$7</f>
        <v/>
      </c>
      <c r="I1649" s="11">
        <f>MAX(0,N1649-M1649)</f>
        <v/>
      </c>
      <c r="J1649" s="11">
        <f>MAX(0,M1649-N1649)</f>
        <v/>
      </c>
      <c r="K1649" s="11">
        <f>O1649</f>
        <v/>
      </c>
      <c r="L1649" s="11">
        <f>L1648+IF(K1649&gt;0,K1649*Summary!$B$9,K1649/Summary!$B$9)</f>
        <v/>
      </c>
      <c r="M1649" s="11">
        <f>G1649+H1649</f>
        <v/>
      </c>
      <c r="N1649" s="11">
        <f>Summary!$C$16*Summary!$B$8</f>
        <v/>
      </c>
      <c r="O1649" s="11">
        <f>M1649-N1649</f>
        <v/>
      </c>
    </row>
    <row r="1650">
      <c r="A1650" s="9" t="n">
        <v>45360.66666666666</v>
      </c>
      <c r="B1650" t="n">
        <v>3</v>
      </c>
      <c r="C1650" t="n">
        <v>9</v>
      </c>
      <c r="D1650" t="n">
        <v>16</v>
      </c>
      <c r="E1650" s="10" t="n">
        <v>0.109215</v>
      </c>
      <c r="F1650" s="10" t="n">
        <v>0.1734752576340618</v>
      </c>
      <c r="G1650" s="11">
        <f>E1650*Summary!$B$6</f>
        <v/>
      </c>
      <c r="H1650" s="11">
        <f>F1650*Summary!$B$7</f>
        <v/>
      </c>
      <c r="I1650" s="11">
        <f>MAX(0,N1650-M1650)</f>
        <v/>
      </c>
      <c r="J1650" s="11">
        <f>MAX(0,M1650-N1650)</f>
        <v/>
      </c>
      <c r="K1650" s="11">
        <f>O1650</f>
        <v/>
      </c>
      <c r="L1650" s="11">
        <f>L1649+IF(K1650&gt;0,K1650*Summary!$B$9,K1650/Summary!$B$9)</f>
        <v/>
      </c>
      <c r="M1650" s="11">
        <f>G1650+H1650</f>
        <v/>
      </c>
      <c r="N1650" s="11">
        <f>Summary!$C$16*Summary!$B$8</f>
        <v/>
      </c>
      <c r="O1650" s="11">
        <f>M1650-N1650</f>
        <v/>
      </c>
    </row>
    <row r="1651">
      <c r="A1651" s="9" t="n">
        <v>45360.70833333334</v>
      </c>
      <c r="B1651" t="n">
        <v>3</v>
      </c>
      <c r="C1651" t="n">
        <v>9</v>
      </c>
      <c r="D1651" t="n">
        <v>17</v>
      </c>
      <c r="E1651" s="10" t="n">
        <v>0.014213</v>
      </c>
      <c r="F1651" s="10" t="n">
        <v>0.182513995803359</v>
      </c>
      <c r="G1651" s="11">
        <f>E1651*Summary!$B$6</f>
        <v/>
      </c>
      <c r="H1651" s="11">
        <f>F1651*Summary!$B$7</f>
        <v/>
      </c>
      <c r="I1651" s="11">
        <f>MAX(0,N1651-M1651)</f>
        <v/>
      </c>
      <c r="J1651" s="11">
        <f>MAX(0,M1651-N1651)</f>
        <v/>
      </c>
      <c r="K1651" s="11">
        <f>O1651</f>
        <v/>
      </c>
      <c r="L1651" s="11">
        <f>L1650+IF(K1651&gt;0,K1651*Summary!$B$9,K1651/Summary!$B$9)</f>
        <v/>
      </c>
      <c r="M1651" s="11">
        <f>G1651+H1651</f>
        <v/>
      </c>
      <c r="N1651" s="11">
        <f>Summary!$C$16*Summary!$B$8</f>
        <v/>
      </c>
      <c r="O1651" s="11">
        <f>M1651-N1651</f>
        <v/>
      </c>
    </row>
    <row r="1652">
      <c r="A1652" s="9" t="n">
        <v>45360.75</v>
      </c>
      <c r="B1652" t="n">
        <v>3</v>
      </c>
      <c r="C1652" t="n">
        <v>9</v>
      </c>
      <c r="D1652" t="n">
        <v>18</v>
      </c>
      <c r="E1652" s="10" t="n">
        <v>0</v>
      </c>
      <c r="F1652" s="10" t="n">
        <v>0.1948467347632163</v>
      </c>
      <c r="G1652" s="11">
        <f>E1652*Summary!$B$6</f>
        <v/>
      </c>
      <c r="H1652" s="11">
        <f>F1652*Summary!$B$7</f>
        <v/>
      </c>
      <c r="I1652" s="11">
        <f>MAX(0,N1652-M1652)</f>
        <v/>
      </c>
      <c r="J1652" s="11">
        <f>MAX(0,M1652-N1652)</f>
        <v/>
      </c>
      <c r="K1652" s="11">
        <f>O1652</f>
        <v/>
      </c>
      <c r="L1652" s="11">
        <f>L1651+IF(K1652&gt;0,K1652*Summary!$B$9,K1652/Summary!$B$9)</f>
        <v/>
      </c>
      <c r="M1652" s="11">
        <f>G1652+H1652</f>
        <v/>
      </c>
      <c r="N1652" s="11">
        <f>Summary!$C$16*Summary!$B$8</f>
        <v/>
      </c>
      <c r="O1652" s="11">
        <f>M1652-N1652</f>
        <v/>
      </c>
    </row>
    <row r="1653">
      <c r="A1653" s="9" t="n">
        <v>45360.79166666666</v>
      </c>
      <c r="B1653" t="n">
        <v>3</v>
      </c>
      <c r="C1653" t="n">
        <v>9</v>
      </c>
      <c r="D1653" t="n">
        <v>19</v>
      </c>
      <c r="E1653" s="10" t="n">
        <v>0</v>
      </c>
      <c r="F1653" s="10" t="n">
        <v>0.2084180180203243</v>
      </c>
      <c r="G1653" s="11">
        <f>E1653*Summary!$B$6</f>
        <v/>
      </c>
      <c r="H1653" s="11">
        <f>F1653*Summary!$B$7</f>
        <v/>
      </c>
      <c r="I1653" s="11">
        <f>MAX(0,N1653-M1653)</f>
        <v/>
      </c>
      <c r="J1653" s="11">
        <f>MAX(0,M1653-N1653)</f>
        <v/>
      </c>
      <c r="K1653" s="11">
        <f>O1653</f>
        <v/>
      </c>
      <c r="L1653" s="11">
        <f>L1652+IF(K1653&gt;0,K1653*Summary!$B$9,K1653/Summary!$B$9)</f>
        <v/>
      </c>
      <c r="M1653" s="11">
        <f>G1653+H1653</f>
        <v/>
      </c>
      <c r="N1653" s="11">
        <f>Summary!$C$16*Summary!$B$8</f>
        <v/>
      </c>
      <c r="O1653" s="11">
        <f>M1653-N1653</f>
        <v/>
      </c>
    </row>
    <row r="1654">
      <c r="A1654" s="9" t="n">
        <v>45360.83333333334</v>
      </c>
      <c r="B1654" t="n">
        <v>3</v>
      </c>
      <c r="C1654" t="n">
        <v>9</v>
      </c>
      <c r="D1654" t="n">
        <v>20</v>
      </c>
      <c r="E1654" s="10" t="n">
        <v>0</v>
      </c>
      <c r="F1654" s="10" t="n">
        <v>0.2159810438354505</v>
      </c>
      <c r="G1654" s="11">
        <f>E1654*Summary!$B$6</f>
        <v/>
      </c>
      <c r="H1654" s="11">
        <f>F1654*Summary!$B$7</f>
        <v/>
      </c>
      <c r="I1654" s="11">
        <f>MAX(0,N1654-M1654)</f>
        <v/>
      </c>
      <c r="J1654" s="11">
        <f>MAX(0,M1654-N1654)</f>
        <v/>
      </c>
      <c r="K1654" s="11">
        <f>O1654</f>
        <v/>
      </c>
      <c r="L1654" s="11">
        <f>L1653+IF(K1654&gt;0,K1654*Summary!$B$9,K1654/Summary!$B$9)</f>
        <v/>
      </c>
      <c r="M1654" s="11">
        <f>G1654+H1654</f>
        <v/>
      </c>
      <c r="N1654" s="11">
        <f>Summary!$C$16*Summary!$B$8</f>
        <v/>
      </c>
      <c r="O1654" s="11">
        <f>M1654-N1654</f>
        <v/>
      </c>
    </row>
    <row r="1655">
      <c r="A1655" s="9" t="n">
        <v>45360.875</v>
      </c>
      <c r="B1655" t="n">
        <v>3</v>
      </c>
      <c r="C1655" t="n">
        <v>9</v>
      </c>
      <c r="D1655" t="n">
        <v>21</v>
      </c>
      <c r="E1655" s="10" t="n">
        <v>0</v>
      </c>
      <c r="F1655" s="10" t="n">
        <v>0.2361403286736789</v>
      </c>
      <c r="G1655" s="11">
        <f>E1655*Summary!$B$6</f>
        <v/>
      </c>
      <c r="H1655" s="11">
        <f>F1655*Summary!$B$7</f>
        <v/>
      </c>
      <c r="I1655" s="11">
        <f>MAX(0,N1655-M1655)</f>
        <v/>
      </c>
      <c r="J1655" s="11">
        <f>MAX(0,M1655-N1655)</f>
        <v/>
      </c>
      <c r="K1655" s="11">
        <f>O1655</f>
        <v/>
      </c>
      <c r="L1655" s="11">
        <f>L1654+IF(K1655&gt;0,K1655*Summary!$B$9,K1655/Summary!$B$9)</f>
        <v/>
      </c>
      <c r="M1655" s="11">
        <f>G1655+H1655</f>
        <v/>
      </c>
      <c r="N1655" s="11">
        <f>Summary!$C$16*Summary!$B$8</f>
        <v/>
      </c>
      <c r="O1655" s="11">
        <f>M1655-N1655</f>
        <v/>
      </c>
    </row>
    <row r="1656">
      <c r="A1656" s="9" t="n">
        <v>45360.91666666666</v>
      </c>
      <c r="B1656" t="n">
        <v>3</v>
      </c>
      <c r="C1656" t="n">
        <v>9</v>
      </c>
      <c r="D1656" t="n">
        <v>22</v>
      </c>
      <c r="E1656" s="10" t="n">
        <v>0</v>
      </c>
      <c r="F1656" s="10" t="n">
        <v>0.2391971614073187</v>
      </c>
      <c r="G1656" s="11">
        <f>E1656*Summary!$B$6</f>
        <v/>
      </c>
      <c r="H1656" s="11">
        <f>F1656*Summary!$B$7</f>
        <v/>
      </c>
      <c r="I1656" s="11">
        <f>MAX(0,N1656-M1656)</f>
        <v/>
      </c>
      <c r="J1656" s="11">
        <f>MAX(0,M1656-N1656)</f>
        <v/>
      </c>
      <c r="K1656" s="11">
        <f>O1656</f>
        <v/>
      </c>
      <c r="L1656" s="11">
        <f>L1655+IF(K1656&gt;0,K1656*Summary!$B$9,K1656/Summary!$B$9)</f>
        <v/>
      </c>
      <c r="M1656" s="11">
        <f>G1656+H1656</f>
        <v/>
      </c>
      <c r="N1656" s="11">
        <f>Summary!$C$16*Summary!$B$8</f>
        <v/>
      </c>
      <c r="O1656" s="11">
        <f>M1656-N1656</f>
        <v/>
      </c>
    </row>
    <row r="1657">
      <c r="A1657" s="9" t="n">
        <v>45360.95833333334</v>
      </c>
      <c r="B1657" t="n">
        <v>3</v>
      </c>
      <c r="C1657" t="n">
        <v>9</v>
      </c>
      <c r="D1657" t="n">
        <v>23</v>
      </c>
      <c r="E1657" s="10" t="n">
        <v>0</v>
      </c>
      <c r="F1657" s="10" t="n">
        <v>0.2203554768853145</v>
      </c>
      <c r="G1657" s="11">
        <f>E1657*Summary!$B$6</f>
        <v/>
      </c>
      <c r="H1657" s="11">
        <f>F1657*Summary!$B$7</f>
        <v/>
      </c>
      <c r="I1657" s="11">
        <f>MAX(0,N1657-M1657)</f>
        <v/>
      </c>
      <c r="J1657" s="11">
        <f>MAX(0,M1657-N1657)</f>
        <v/>
      </c>
      <c r="K1657" s="11">
        <f>O1657</f>
        <v/>
      </c>
      <c r="L1657" s="11">
        <f>L1656+IF(K1657&gt;0,K1657*Summary!$B$9,K1657/Summary!$B$9)</f>
        <v/>
      </c>
      <c r="M1657" s="11">
        <f>G1657+H1657</f>
        <v/>
      </c>
      <c r="N1657" s="11">
        <f>Summary!$C$16*Summary!$B$8</f>
        <v/>
      </c>
      <c r="O1657" s="11">
        <f>M1657-N1657</f>
        <v/>
      </c>
    </row>
    <row r="1658">
      <c r="A1658" s="9" t="n">
        <v>45361</v>
      </c>
      <c r="B1658" t="n">
        <v>3</v>
      </c>
      <c r="C1658" t="n">
        <v>10</v>
      </c>
      <c r="D1658" t="n">
        <v>0</v>
      </c>
      <c r="E1658" s="10" t="n">
        <v>0</v>
      </c>
      <c r="F1658" s="10" t="n">
        <v>0.3205985089436421</v>
      </c>
      <c r="G1658" s="11">
        <f>E1658*Summary!$B$6</f>
        <v/>
      </c>
      <c r="H1658" s="11">
        <f>F1658*Summary!$B$7</f>
        <v/>
      </c>
      <c r="I1658" s="11">
        <f>MAX(0,N1658-M1658)</f>
        <v/>
      </c>
      <c r="J1658" s="11">
        <f>MAX(0,M1658-N1658)</f>
        <v/>
      </c>
      <c r="K1658" s="11">
        <f>O1658</f>
        <v/>
      </c>
      <c r="L1658" s="11">
        <f>L1657+IF(K1658&gt;0,K1658*Summary!$B$9,K1658/Summary!$B$9)</f>
        <v/>
      </c>
      <c r="M1658" s="11">
        <f>G1658+H1658</f>
        <v/>
      </c>
      <c r="N1658" s="11">
        <f>Summary!$C$16*Summary!$B$8</f>
        <v/>
      </c>
      <c r="O1658" s="11">
        <f>M1658-N1658</f>
        <v/>
      </c>
    </row>
    <row r="1659">
      <c r="A1659" s="9" t="n">
        <v>45361.04166666666</v>
      </c>
      <c r="B1659" t="n">
        <v>3</v>
      </c>
      <c r="C1659" t="n">
        <v>10</v>
      </c>
      <c r="D1659" t="n">
        <v>1</v>
      </c>
      <c r="E1659" s="10" t="n">
        <v>0</v>
      </c>
      <c r="F1659" s="10" t="n">
        <v>0.2200919568220696</v>
      </c>
      <c r="G1659" s="11">
        <f>E1659*Summary!$B$6</f>
        <v/>
      </c>
      <c r="H1659" s="11">
        <f>F1659*Summary!$B$7</f>
        <v/>
      </c>
      <c r="I1659" s="11">
        <f>MAX(0,N1659-M1659)</f>
        <v/>
      </c>
      <c r="J1659" s="11">
        <f>MAX(0,M1659-N1659)</f>
        <v/>
      </c>
      <c r="K1659" s="11">
        <f>O1659</f>
        <v/>
      </c>
      <c r="L1659" s="11">
        <f>L1658+IF(K1659&gt;0,K1659*Summary!$B$9,K1659/Summary!$B$9)</f>
        <v/>
      </c>
      <c r="M1659" s="11">
        <f>G1659+H1659</f>
        <v/>
      </c>
      <c r="N1659" s="11">
        <f>Summary!$C$16*Summary!$B$8</f>
        <v/>
      </c>
      <c r="O1659" s="11">
        <f>M1659-N1659</f>
        <v/>
      </c>
    </row>
    <row r="1660">
      <c r="A1660" s="9" t="n">
        <v>45361.08333333334</v>
      </c>
      <c r="B1660" t="n">
        <v>3</v>
      </c>
      <c r="C1660" t="n">
        <v>10</v>
      </c>
      <c r="D1660" t="n">
        <v>2</v>
      </c>
      <c r="E1660" s="10" t="n">
        <v>0</v>
      </c>
      <c r="F1660" s="10" t="n">
        <v>0.2193013966323352</v>
      </c>
      <c r="G1660" s="11">
        <f>E1660*Summary!$B$6</f>
        <v/>
      </c>
      <c r="H1660" s="11">
        <f>F1660*Summary!$B$7</f>
        <v/>
      </c>
      <c r="I1660" s="11">
        <f>MAX(0,N1660-M1660)</f>
        <v/>
      </c>
      <c r="J1660" s="11">
        <f>MAX(0,M1660-N1660)</f>
        <v/>
      </c>
      <c r="K1660" s="11">
        <f>O1660</f>
        <v/>
      </c>
      <c r="L1660" s="11">
        <f>L1659+IF(K1660&gt;0,K1660*Summary!$B$9,K1660/Summary!$B$9)</f>
        <v/>
      </c>
      <c r="M1660" s="11">
        <f>G1660+H1660</f>
        <v/>
      </c>
      <c r="N1660" s="11">
        <f>Summary!$C$16*Summary!$B$8</f>
        <v/>
      </c>
      <c r="O1660" s="11">
        <f>M1660-N1660</f>
        <v/>
      </c>
    </row>
    <row r="1661">
      <c r="A1661" s="9" t="n">
        <v>45361.125</v>
      </c>
      <c r="B1661" t="n">
        <v>3</v>
      </c>
      <c r="C1661" t="n">
        <v>10</v>
      </c>
      <c r="D1661" t="n">
        <v>3</v>
      </c>
      <c r="E1661" s="10" t="n">
        <v>0</v>
      </c>
      <c r="F1661" s="10" t="n">
        <v>0.223069733536736</v>
      </c>
      <c r="G1661" s="11">
        <f>E1661*Summary!$B$6</f>
        <v/>
      </c>
      <c r="H1661" s="11">
        <f>F1661*Summary!$B$7</f>
        <v/>
      </c>
      <c r="I1661" s="11">
        <f>MAX(0,N1661-M1661)</f>
        <v/>
      </c>
      <c r="J1661" s="11">
        <f>MAX(0,M1661-N1661)</f>
        <v/>
      </c>
      <c r="K1661" s="11">
        <f>O1661</f>
        <v/>
      </c>
      <c r="L1661" s="11">
        <f>L1660+IF(K1661&gt;0,K1661*Summary!$B$9,K1661/Summary!$B$9)</f>
        <v/>
      </c>
      <c r="M1661" s="11">
        <f>G1661+H1661</f>
        <v/>
      </c>
      <c r="N1661" s="11">
        <f>Summary!$C$16*Summary!$B$8</f>
        <v/>
      </c>
      <c r="O1661" s="11">
        <f>M1661-N1661</f>
        <v/>
      </c>
    </row>
    <row r="1662">
      <c r="A1662" s="9" t="n">
        <v>45361.16666666666</v>
      </c>
      <c r="B1662" t="n">
        <v>3</v>
      </c>
      <c r="C1662" t="n">
        <v>10</v>
      </c>
      <c r="D1662" t="n">
        <v>4</v>
      </c>
      <c r="E1662" s="10" t="n">
        <v>0</v>
      </c>
      <c r="F1662" s="10" t="n">
        <v>0.2274178145802755</v>
      </c>
      <c r="G1662" s="11">
        <f>E1662*Summary!$B$6</f>
        <v/>
      </c>
      <c r="H1662" s="11">
        <f>F1662*Summary!$B$7</f>
        <v/>
      </c>
      <c r="I1662" s="11">
        <f>MAX(0,N1662-M1662)</f>
        <v/>
      </c>
      <c r="J1662" s="11">
        <f>MAX(0,M1662-N1662)</f>
        <v/>
      </c>
      <c r="K1662" s="11">
        <f>O1662</f>
        <v/>
      </c>
      <c r="L1662" s="11">
        <f>L1661+IF(K1662&gt;0,K1662*Summary!$B$9,K1662/Summary!$B$9)</f>
        <v/>
      </c>
      <c r="M1662" s="11">
        <f>G1662+H1662</f>
        <v/>
      </c>
      <c r="N1662" s="11">
        <f>Summary!$C$16*Summary!$B$8</f>
        <v/>
      </c>
      <c r="O1662" s="11">
        <f>M1662-N1662</f>
        <v/>
      </c>
    </row>
    <row r="1663">
      <c r="A1663" s="9" t="n">
        <v>45361.20833333334</v>
      </c>
      <c r="B1663" t="n">
        <v>3</v>
      </c>
      <c r="C1663" t="n">
        <v>10</v>
      </c>
      <c r="D1663" t="n">
        <v>5</v>
      </c>
      <c r="E1663" s="10" t="n">
        <v>0</v>
      </c>
      <c r="F1663" s="10" t="n">
        <v>0.2348754323701037</v>
      </c>
      <c r="G1663" s="11">
        <f>E1663*Summary!$B$6</f>
        <v/>
      </c>
      <c r="H1663" s="11">
        <f>F1663*Summary!$B$7</f>
        <v/>
      </c>
      <c r="I1663" s="11">
        <f>MAX(0,N1663-M1663)</f>
        <v/>
      </c>
      <c r="J1663" s="11">
        <f>MAX(0,M1663-N1663)</f>
        <v/>
      </c>
      <c r="K1663" s="11">
        <f>O1663</f>
        <v/>
      </c>
      <c r="L1663" s="11">
        <f>L1662+IF(K1663&gt;0,K1663*Summary!$B$9,K1663/Summary!$B$9)</f>
        <v/>
      </c>
      <c r="M1663" s="11">
        <f>G1663+H1663</f>
        <v/>
      </c>
      <c r="N1663" s="11">
        <f>Summary!$C$16*Summary!$B$8</f>
        <v/>
      </c>
      <c r="O1663" s="11">
        <f>M1663-N1663</f>
        <v/>
      </c>
    </row>
    <row r="1664">
      <c r="A1664" s="9" t="n">
        <v>45361.25</v>
      </c>
      <c r="B1664" t="n">
        <v>3</v>
      </c>
      <c r="C1664" t="n">
        <v>10</v>
      </c>
      <c r="D1664" t="n">
        <v>6</v>
      </c>
      <c r="E1664" s="10" t="n">
        <v>0</v>
      </c>
      <c r="F1664" s="10" t="n">
        <v>0.245284474868274</v>
      </c>
      <c r="G1664" s="11">
        <f>E1664*Summary!$B$6</f>
        <v/>
      </c>
      <c r="H1664" s="11">
        <f>F1664*Summary!$B$7</f>
        <v/>
      </c>
      <c r="I1664" s="11">
        <f>MAX(0,N1664-M1664)</f>
        <v/>
      </c>
      <c r="J1664" s="11">
        <f>MAX(0,M1664-N1664)</f>
        <v/>
      </c>
      <c r="K1664" s="11">
        <f>O1664</f>
        <v/>
      </c>
      <c r="L1664" s="11">
        <f>L1663+IF(K1664&gt;0,K1664*Summary!$B$9,K1664/Summary!$B$9)</f>
        <v/>
      </c>
      <c r="M1664" s="11">
        <f>G1664+H1664</f>
        <v/>
      </c>
      <c r="N1664" s="11">
        <f>Summary!$C$16*Summary!$B$8</f>
        <v/>
      </c>
      <c r="O1664" s="11">
        <f>M1664-N1664</f>
        <v/>
      </c>
    </row>
    <row r="1665">
      <c r="A1665" s="9" t="n">
        <v>45361.29166666666</v>
      </c>
      <c r="B1665" t="n">
        <v>3</v>
      </c>
      <c r="C1665" t="n">
        <v>10</v>
      </c>
      <c r="D1665" t="n">
        <v>7</v>
      </c>
      <c r="E1665" s="10" t="n">
        <v>0.049291</v>
      </c>
      <c r="F1665" s="10" t="n">
        <v>0.2491582197979727</v>
      </c>
      <c r="G1665" s="11">
        <f>E1665*Summary!$B$6</f>
        <v/>
      </c>
      <c r="H1665" s="11">
        <f>F1665*Summary!$B$7</f>
        <v/>
      </c>
      <c r="I1665" s="11">
        <f>MAX(0,N1665-M1665)</f>
        <v/>
      </c>
      <c r="J1665" s="11">
        <f>MAX(0,M1665-N1665)</f>
        <v/>
      </c>
      <c r="K1665" s="11">
        <f>O1665</f>
        <v/>
      </c>
      <c r="L1665" s="11">
        <f>L1664+IF(K1665&gt;0,K1665*Summary!$B$9,K1665/Summary!$B$9)</f>
        <v/>
      </c>
      <c r="M1665" s="11">
        <f>G1665+H1665</f>
        <v/>
      </c>
      <c r="N1665" s="11">
        <f>Summary!$C$16*Summary!$B$8</f>
        <v/>
      </c>
      <c r="O1665" s="11">
        <f>M1665-N1665</f>
        <v/>
      </c>
    </row>
    <row r="1666">
      <c r="A1666" s="9" t="n">
        <v>45361.33333333334</v>
      </c>
      <c r="B1666" t="n">
        <v>3</v>
      </c>
      <c r="C1666" t="n">
        <v>10</v>
      </c>
      <c r="D1666" t="n">
        <v>8</v>
      </c>
      <c r="E1666" s="10" t="n">
        <v>0.10462</v>
      </c>
      <c r="F1666" s="10" t="n">
        <v>0.2411208578690059</v>
      </c>
      <c r="G1666" s="11">
        <f>E1666*Summary!$B$6</f>
        <v/>
      </c>
      <c r="H1666" s="11">
        <f>F1666*Summary!$B$7</f>
        <v/>
      </c>
      <c r="I1666" s="11">
        <f>MAX(0,N1666-M1666)</f>
        <v/>
      </c>
      <c r="J1666" s="11">
        <f>MAX(0,M1666-N1666)</f>
        <v/>
      </c>
      <c r="K1666" s="11">
        <f>O1666</f>
        <v/>
      </c>
      <c r="L1666" s="11">
        <f>L1665+IF(K1666&gt;0,K1666*Summary!$B$9,K1666/Summary!$B$9)</f>
        <v/>
      </c>
      <c r="M1666" s="11">
        <f>G1666+H1666</f>
        <v/>
      </c>
      <c r="N1666" s="11">
        <f>Summary!$C$16*Summary!$B$8</f>
        <v/>
      </c>
      <c r="O1666" s="11">
        <f>M1666-N1666</f>
        <v/>
      </c>
    </row>
    <row r="1667">
      <c r="A1667" s="9" t="n">
        <v>45361.375</v>
      </c>
      <c r="B1667" t="n">
        <v>3</v>
      </c>
      <c r="C1667" t="n">
        <v>10</v>
      </c>
      <c r="D1667" t="n">
        <v>9</v>
      </c>
      <c r="E1667" s="10" t="n">
        <v>0.114903</v>
      </c>
      <c r="F1667" s="10" t="n">
        <v>0.2323983437756025</v>
      </c>
      <c r="G1667" s="11">
        <f>E1667*Summary!$B$6</f>
        <v/>
      </c>
      <c r="H1667" s="11">
        <f>F1667*Summary!$B$7</f>
        <v/>
      </c>
      <c r="I1667" s="11">
        <f>MAX(0,N1667-M1667)</f>
        <v/>
      </c>
      <c r="J1667" s="11">
        <f>MAX(0,M1667-N1667)</f>
        <v/>
      </c>
      <c r="K1667" s="11">
        <f>O1667</f>
        <v/>
      </c>
      <c r="L1667" s="11">
        <f>L1666+IF(K1667&gt;0,K1667*Summary!$B$9,K1667/Summary!$B$9)</f>
        <v/>
      </c>
      <c r="M1667" s="11">
        <f>G1667+H1667</f>
        <v/>
      </c>
      <c r="N1667" s="11">
        <f>Summary!$C$16*Summary!$B$8</f>
        <v/>
      </c>
      <c r="O1667" s="11">
        <f>M1667-N1667</f>
        <v/>
      </c>
    </row>
    <row r="1668">
      <c r="A1668" s="9" t="n">
        <v>45361.41666666666</v>
      </c>
      <c r="B1668" t="n">
        <v>3</v>
      </c>
      <c r="C1668" t="n">
        <v>10</v>
      </c>
      <c r="D1668" t="n">
        <v>10</v>
      </c>
      <c r="E1668" s="10" t="n">
        <v>0.091081</v>
      </c>
      <c r="F1668" s="10" t="n">
        <v>0.2314760235542457</v>
      </c>
      <c r="G1668" s="11">
        <f>E1668*Summary!$B$6</f>
        <v/>
      </c>
      <c r="H1668" s="11">
        <f>F1668*Summary!$B$7</f>
        <v/>
      </c>
      <c r="I1668" s="11">
        <f>MAX(0,N1668-M1668)</f>
        <v/>
      </c>
      <c r="J1668" s="11">
        <f>MAX(0,M1668-N1668)</f>
        <v/>
      </c>
      <c r="K1668" s="11">
        <f>O1668</f>
        <v/>
      </c>
      <c r="L1668" s="11">
        <f>L1667+IF(K1668&gt;0,K1668*Summary!$B$9,K1668/Summary!$B$9)</f>
        <v/>
      </c>
      <c r="M1668" s="11">
        <f>G1668+H1668</f>
        <v/>
      </c>
      <c r="N1668" s="11">
        <f>Summary!$C$16*Summary!$B$8</f>
        <v/>
      </c>
      <c r="O1668" s="11">
        <f>M1668-N1668</f>
        <v/>
      </c>
    </row>
    <row r="1669">
      <c r="A1669" s="9" t="n">
        <v>45361.45833333334</v>
      </c>
      <c r="B1669" t="n">
        <v>3</v>
      </c>
      <c r="C1669" t="n">
        <v>10</v>
      </c>
      <c r="D1669" t="n">
        <v>11</v>
      </c>
      <c r="E1669" s="10" t="n">
        <v>0.08846999999999999</v>
      </c>
      <c r="F1669" s="10" t="n">
        <v>0.235982216635732</v>
      </c>
      <c r="G1669" s="11">
        <f>E1669*Summary!$B$6</f>
        <v/>
      </c>
      <c r="H1669" s="11">
        <f>F1669*Summary!$B$7</f>
        <v/>
      </c>
      <c r="I1669" s="11">
        <f>MAX(0,N1669-M1669)</f>
        <v/>
      </c>
      <c r="J1669" s="11">
        <f>MAX(0,M1669-N1669)</f>
        <v/>
      </c>
      <c r="K1669" s="11">
        <f>O1669</f>
        <v/>
      </c>
      <c r="L1669" s="11">
        <f>L1668+IF(K1669&gt;0,K1669*Summary!$B$9,K1669/Summary!$B$9)</f>
        <v/>
      </c>
      <c r="M1669" s="11">
        <f>G1669+H1669</f>
        <v/>
      </c>
      <c r="N1669" s="11">
        <f>Summary!$C$16*Summary!$B$8</f>
        <v/>
      </c>
      <c r="O1669" s="11">
        <f>M1669-N1669</f>
        <v/>
      </c>
    </row>
    <row r="1670">
      <c r="A1670" s="9" t="n">
        <v>45361.5</v>
      </c>
      <c r="B1670" t="n">
        <v>3</v>
      </c>
      <c r="C1670" t="n">
        <v>10</v>
      </c>
      <c r="D1670" t="n">
        <v>12</v>
      </c>
      <c r="E1670" s="10" t="n">
        <v>0.112871</v>
      </c>
      <c r="F1670" s="10" t="n">
        <v>0.2404620577108938</v>
      </c>
      <c r="G1670" s="11">
        <f>E1670*Summary!$B$6</f>
        <v/>
      </c>
      <c r="H1670" s="11">
        <f>F1670*Summary!$B$7</f>
        <v/>
      </c>
      <c r="I1670" s="11">
        <f>MAX(0,N1670-M1670)</f>
        <v/>
      </c>
      <c r="J1670" s="11">
        <f>MAX(0,M1670-N1670)</f>
        <v/>
      </c>
      <c r="K1670" s="11">
        <f>O1670</f>
        <v/>
      </c>
      <c r="L1670" s="11">
        <f>L1669+IF(K1670&gt;0,K1670*Summary!$B$9,K1670/Summary!$B$9)</f>
        <v/>
      </c>
      <c r="M1670" s="11">
        <f>G1670+H1670</f>
        <v/>
      </c>
      <c r="N1670" s="11">
        <f>Summary!$C$16*Summary!$B$8</f>
        <v/>
      </c>
      <c r="O1670" s="11">
        <f>M1670-N1670</f>
        <v/>
      </c>
    </row>
    <row r="1671">
      <c r="A1671" s="9" t="n">
        <v>45361.54166666666</v>
      </c>
      <c r="B1671" t="n">
        <v>3</v>
      </c>
      <c r="C1671" t="n">
        <v>10</v>
      </c>
      <c r="D1671" t="n">
        <v>13</v>
      </c>
      <c r="E1671" s="10" t="n">
        <v>0.06837600000000001</v>
      </c>
      <c r="F1671" s="10" t="n">
        <v>0.2477615634627752</v>
      </c>
      <c r="G1671" s="11">
        <f>E1671*Summary!$B$6</f>
        <v/>
      </c>
      <c r="H1671" s="11">
        <f>F1671*Summary!$B$7</f>
        <v/>
      </c>
      <c r="I1671" s="11">
        <f>MAX(0,N1671-M1671)</f>
        <v/>
      </c>
      <c r="J1671" s="11">
        <f>MAX(0,M1671-N1671)</f>
        <v/>
      </c>
      <c r="K1671" s="11">
        <f>O1671</f>
        <v/>
      </c>
      <c r="L1671" s="11">
        <f>L1670+IF(K1671&gt;0,K1671*Summary!$B$9,K1671/Summary!$B$9)</f>
        <v/>
      </c>
      <c r="M1671" s="11">
        <f>G1671+H1671</f>
        <v/>
      </c>
      <c r="N1671" s="11">
        <f>Summary!$C$16*Summary!$B$8</f>
        <v/>
      </c>
      <c r="O1671" s="11">
        <f>M1671-N1671</f>
        <v/>
      </c>
    </row>
    <row r="1672">
      <c r="A1672" s="9" t="n">
        <v>45361.58333333334</v>
      </c>
      <c r="B1672" t="n">
        <v>3</v>
      </c>
      <c r="C1672" t="n">
        <v>10</v>
      </c>
      <c r="D1672" t="n">
        <v>14</v>
      </c>
      <c r="E1672" s="10" t="n">
        <v>0.089184</v>
      </c>
      <c r="F1672" s="10" t="n">
        <v>0.2810177954442709</v>
      </c>
      <c r="G1672" s="11">
        <f>E1672*Summary!$B$6</f>
        <v/>
      </c>
      <c r="H1672" s="11">
        <f>F1672*Summary!$B$7</f>
        <v/>
      </c>
      <c r="I1672" s="11">
        <f>MAX(0,N1672-M1672)</f>
        <v/>
      </c>
      <c r="J1672" s="11">
        <f>MAX(0,M1672-N1672)</f>
        <v/>
      </c>
      <c r="K1672" s="11">
        <f>O1672</f>
        <v/>
      </c>
      <c r="L1672" s="11">
        <f>L1671+IF(K1672&gt;0,K1672*Summary!$B$9,K1672/Summary!$B$9)</f>
        <v/>
      </c>
      <c r="M1672" s="11">
        <f>G1672+H1672</f>
        <v/>
      </c>
      <c r="N1672" s="11">
        <f>Summary!$C$16*Summary!$B$8</f>
        <v/>
      </c>
      <c r="O1672" s="11">
        <f>M1672-N1672</f>
        <v/>
      </c>
    </row>
    <row r="1673">
      <c r="A1673" s="9" t="n">
        <v>45361.625</v>
      </c>
      <c r="B1673" t="n">
        <v>3</v>
      </c>
      <c r="C1673" t="n">
        <v>10</v>
      </c>
      <c r="D1673" t="n">
        <v>15</v>
      </c>
      <c r="E1673" s="10" t="n">
        <v>0.170058</v>
      </c>
      <c r="F1673" s="10" t="n">
        <v>0.2626767990424317</v>
      </c>
      <c r="G1673" s="11">
        <f>E1673*Summary!$B$6</f>
        <v/>
      </c>
      <c r="H1673" s="11">
        <f>F1673*Summary!$B$7</f>
        <v/>
      </c>
      <c r="I1673" s="11">
        <f>MAX(0,N1673-M1673)</f>
        <v/>
      </c>
      <c r="J1673" s="11">
        <f>MAX(0,M1673-N1673)</f>
        <v/>
      </c>
      <c r="K1673" s="11">
        <f>O1673</f>
        <v/>
      </c>
      <c r="L1673" s="11">
        <f>L1672+IF(K1673&gt;0,K1673*Summary!$B$9,K1673/Summary!$B$9)</f>
        <v/>
      </c>
      <c r="M1673" s="11">
        <f>G1673+H1673</f>
        <v/>
      </c>
      <c r="N1673" s="11">
        <f>Summary!$C$16*Summary!$B$8</f>
        <v/>
      </c>
      <c r="O1673" s="11">
        <f>M1673-N1673</f>
        <v/>
      </c>
    </row>
    <row r="1674">
      <c r="A1674" s="9" t="n">
        <v>45361.66666666666</v>
      </c>
      <c r="B1674" t="n">
        <v>3</v>
      </c>
      <c r="C1674" t="n">
        <v>10</v>
      </c>
      <c r="D1674" t="n">
        <v>16</v>
      </c>
      <c r="E1674" s="10" t="n">
        <v>0.115233</v>
      </c>
      <c r="F1674" s="10" t="n">
        <v>0.2731648975595754</v>
      </c>
      <c r="G1674" s="11">
        <f>E1674*Summary!$B$6</f>
        <v/>
      </c>
      <c r="H1674" s="11">
        <f>F1674*Summary!$B$7</f>
        <v/>
      </c>
      <c r="I1674" s="11">
        <f>MAX(0,N1674-M1674)</f>
        <v/>
      </c>
      <c r="J1674" s="11">
        <f>MAX(0,M1674-N1674)</f>
        <v/>
      </c>
      <c r="K1674" s="11">
        <f>O1674</f>
        <v/>
      </c>
      <c r="L1674" s="11">
        <f>L1673+IF(K1674&gt;0,K1674*Summary!$B$9,K1674/Summary!$B$9)</f>
        <v/>
      </c>
      <c r="M1674" s="11">
        <f>G1674+H1674</f>
        <v/>
      </c>
      <c r="N1674" s="11">
        <f>Summary!$C$16*Summary!$B$8</f>
        <v/>
      </c>
      <c r="O1674" s="11">
        <f>M1674-N1674</f>
        <v/>
      </c>
    </row>
    <row r="1675">
      <c r="A1675" s="9" t="n">
        <v>45361.70833333334</v>
      </c>
      <c r="B1675" t="n">
        <v>3</v>
      </c>
      <c r="C1675" t="n">
        <v>10</v>
      </c>
      <c r="D1675" t="n">
        <v>17</v>
      </c>
      <c r="E1675" s="10" t="n">
        <v>0.014188</v>
      </c>
      <c r="F1675" s="10" t="n">
        <v>0.2896085495060519</v>
      </c>
      <c r="G1675" s="11">
        <f>E1675*Summary!$B$6</f>
        <v/>
      </c>
      <c r="H1675" s="11">
        <f>F1675*Summary!$B$7</f>
        <v/>
      </c>
      <c r="I1675" s="11">
        <f>MAX(0,N1675-M1675)</f>
        <v/>
      </c>
      <c r="J1675" s="11">
        <f>MAX(0,M1675-N1675)</f>
        <v/>
      </c>
      <c r="K1675" s="11">
        <f>O1675</f>
        <v/>
      </c>
      <c r="L1675" s="11">
        <f>L1674+IF(K1675&gt;0,K1675*Summary!$B$9,K1675/Summary!$B$9)</f>
        <v/>
      </c>
      <c r="M1675" s="11">
        <f>G1675+H1675</f>
        <v/>
      </c>
      <c r="N1675" s="11">
        <f>Summary!$C$16*Summary!$B$8</f>
        <v/>
      </c>
      <c r="O1675" s="11">
        <f>M1675-N1675</f>
        <v/>
      </c>
    </row>
    <row r="1676">
      <c r="A1676" s="9" t="n">
        <v>45361.75</v>
      </c>
      <c r="B1676" t="n">
        <v>3</v>
      </c>
      <c r="C1676" t="n">
        <v>10</v>
      </c>
      <c r="D1676" t="n">
        <v>18</v>
      </c>
      <c r="E1676" s="10" t="n">
        <v>0</v>
      </c>
      <c r="F1676" s="10" t="n">
        <v>0.3150909396218255</v>
      </c>
      <c r="G1676" s="11">
        <f>E1676*Summary!$B$6</f>
        <v/>
      </c>
      <c r="H1676" s="11">
        <f>F1676*Summary!$B$7</f>
        <v/>
      </c>
      <c r="I1676" s="11">
        <f>MAX(0,N1676-M1676)</f>
        <v/>
      </c>
      <c r="J1676" s="11">
        <f>MAX(0,M1676-N1676)</f>
        <v/>
      </c>
      <c r="K1676" s="11">
        <f>O1676</f>
        <v/>
      </c>
      <c r="L1676" s="11">
        <f>L1675+IF(K1676&gt;0,K1676*Summary!$B$9,K1676/Summary!$B$9)</f>
        <v/>
      </c>
      <c r="M1676" s="11">
        <f>G1676+H1676</f>
        <v/>
      </c>
      <c r="N1676" s="11">
        <f>Summary!$C$16*Summary!$B$8</f>
        <v/>
      </c>
      <c r="O1676" s="11">
        <f>M1676-N1676</f>
        <v/>
      </c>
    </row>
    <row r="1677">
      <c r="A1677" s="9" t="n">
        <v>45361.79166666666</v>
      </c>
      <c r="B1677" t="n">
        <v>3</v>
      </c>
      <c r="C1677" t="n">
        <v>10</v>
      </c>
      <c r="D1677" t="n">
        <v>19</v>
      </c>
      <c r="E1677" s="10" t="n">
        <v>0</v>
      </c>
      <c r="F1677" s="10" t="n">
        <v>0.332140687713765</v>
      </c>
      <c r="G1677" s="11">
        <f>E1677*Summary!$B$6</f>
        <v/>
      </c>
      <c r="H1677" s="11">
        <f>F1677*Summary!$B$7</f>
        <v/>
      </c>
      <c r="I1677" s="11">
        <f>MAX(0,N1677-M1677)</f>
        <v/>
      </c>
      <c r="J1677" s="11">
        <f>MAX(0,M1677-N1677)</f>
        <v/>
      </c>
      <c r="K1677" s="11">
        <f>O1677</f>
        <v/>
      </c>
      <c r="L1677" s="11">
        <f>L1676+IF(K1677&gt;0,K1677*Summary!$B$9,K1677/Summary!$B$9)</f>
        <v/>
      </c>
      <c r="M1677" s="11">
        <f>G1677+H1677</f>
        <v/>
      </c>
      <c r="N1677" s="11">
        <f>Summary!$C$16*Summary!$B$8</f>
        <v/>
      </c>
      <c r="O1677" s="11">
        <f>M1677-N1677</f>
        <v/>
      </c>
    </row>
    <row r="1678">
      <c r="A1678" s="9" t="n">
        <v>45361.83333333334</v>
      </c>
      <c r="B1678" t="n">
        <v>3</v>
      </c>
      <c r="C1678" t="n">
        <v>10</v>
      </c>
      <c r="D1678" t="n">
        <v>20</v>
      </c>
      <c r="E1678" s="10" t="n">
        <v>0</v>
      </c>
      <c r="F1678" s="10" t="n">
        <v>0.3363833607320066</v>
      </c>
      <c r="G1678" s="11">
        <f>E1678*Summary!$B$6</f>
        <v/>
      </c>
      <c r="H1678" s="11">
        <f>F1678*Summary!$B$7</f>
        <v/>
      </c>
      <c r="I1678" s="11">
        <f>MAX(0,N1678-M1678)</f>
        <v/>
      </c>
      <c r="J1678" s="11">
        <f>MAX(0,M1678-N1678)</f>
        <v/>
      </c>
      <c r="K1678" s="11">
        <f>O1678</f>
        <v/>
      </c>
      <c r="L1678" s="11">
        <f>L1677+IF(K1678&gt;0,K1678*Summary!$B$9,K1678/Summary!$B$9)</f>
        <v/>
      </c>
      <c r="M1678" s="11">
        <f>G1678+H1678</f>
        <v/>
      </c>
      <c r="N1678" s="11">
        <f>Summary!$C$16*Summary!$B$8</f>
        <v/>
      </c>
      <c r="O1678" s="11">
        <f>M1678-N1678</f>
        <v/>
      </c>
    </row>
    <row r="1679">
      <c r="A1679" s="9" t="n">
        <v>45361.875</v>
      </c>
      <c r="B1679" t="n">
        <v>3</v>
      </c>
      <c r="C1679" t="n">
        <v>10</v>
      </c>
      <c r="D1679" t="n">
        <v>21</v>
      </c>
      <c r="E1679" s="10" t="n">
        <v>0</v>
      </c>
      <c r="F1679" s="10" t="n">
        <v>0.3348285923588621</v>
      </c>
      <c r="G1679" s="11">
        <f>E1679*Summary!$B$6</f>
        <v/>
      </c>
      <c r="H1679" s="11">
        <f>F1679*Summary!$B$7</f>
        <v/>
      </c>
      <c r="I1679" s="11">
        <f>MAX(0,N1679-M1679)</f>
        <v/>
      </c>
      <c r="J1679" s="11">
        <f>MAX(0,M1679-N1679)</f>
        <v/>
      </c>
      <c r="K1679" s="11">
        <f>O1679</f>
        <v/>
      </c>
      <c r="L1679" s="11">
        <f>L1678+IF(K1679&gt;0,K1679*Summary!$B$9,K1679/Summary!$B$9)</f>
        <v/>
      </c>
      <c r="M1679" s="11">
        <f>G1679+H1679</f>
        <v/>
      </c>
      <c r="N1679" s="11">
        <f>Summary!$C$16*Summary!$B$8</f>
        <v/>
      </c>
      <c r="O1679" s="11">
        <f>M1679-N1679</f>
        <v/>
      </c>
    </row>
    <row r="1680">
      <c r="A1680" s="9" t="n">
        <v>45361.91666666666</v>
      </c>
      <c r="B1680" t="n">
        <v>3</v>
      </c>
      <c r="C1680" t="n">
        <v>10</v>
      </c>
      <c r="D1680" t="n">
        <v>22</v>
      </c>
      <c r="E1680" s="10" t="n">
        <v>0</v>
      </c>
      <c r="F1680" s="10" t="n">
        <v>0.3317717596252223</v>
      </c>
      <c r="G1680" s="11">
        <f>E1680*Summary!$B$6</f>
        <v/>
      </c>
      <c r="H1680" s="11">
        <f>F1680*Summary!$B$7</f>
        <v/>
      </c>
      <c r="I1680" s="11">
        <f>MAX(0,N1680-M1680)</f>
        <v/>
      </c>
      <c r="J1680" s="11">
        <f>MAX(0,M1680-N1680)</f>
        <v/>
      </c>
      <c r="K1680" s="11">
        <f>O1680</f>
        <v/>
      </c>
      <c r="L1680" s="11">
        <f>L1679+IF(K1680&gt;0,K1680*Summary!$B$9,K1680/Summary!$B$9)</f>
        <v/>
      </c>
      <c r="M1680" s="11">
        <f>G1680+H1680</f>
        <v/>
      </c>
      <c r="N1680" s="11">
        <f>Summary!$C$16*Summary!$B$8</f>
        <v/>
      </c>
      <c r="O1680" s="11">
        <f>M1680-N1680</f>
        <v/>
      </c>
    </row>
    <row r="1681">
      <c r="A1681" s="9" t="n">
        <v>45361.95833333334</v>
      </c>
      <c r="B1681" t="n">
        <v>3</v>
      </c>
      <c r="C1681" t="n">
        <v>10</v>
      </c>
      <c r="D1681" t="n">
        <v>23</v>
      </c>
      <c r="E1681" s="10" t="n">
        <v>0</v>
      </c>
      <c r="F1681" s="10" t="n">
        <v>0.3254999821199958</v>
      </c>
      <c r="G1681" s="11">
        <f>E1681*Summary!$B$6</f>
        <v/>
      </c>
      <c r="H1681" s="11">
        <f>F1681*Summary!$B$7</f>
        <v/>
      </c>
      <c r="I1681" s="11">
        <f>MAX(0,N1681-M1681)</f>
        <v/>
      </c>
      <c r="J1681" s="11">
        <f>MAX(0,M1681-N1681)</f>
        <v/>
      </c>
      <c r="K1681" s="11">
        <f>O1681</f>
        <v/>
      </c>
      <c r="L1681" s="11">
        <f>L1680+IF(K1681&gt;0,K1681*Summary!$B$9,K1681/Summary!$B$9)</f>
        <v/>
      </c>
      <c r="M1681" s="11">
        <f>G1681+H1681</f>
        <v/>
      </c>
      <c r="N1681" s="11">
        <f>Summary!$C$16*Summary!$B$8</f>
        <v/>
      </c>
      <c r="O1681" s="11">
        <f>M1681-N1681</f>
        <v/>
      </c>
    </row>
    <row r="1682">
      <c r="A1682" s="9" t="n">
        <v>45362</v>
      </c>
      <c r="B1682" t="n">
        <v>3</v>
      </c>
      <c r="C1682" t="n">
        <v>11</v>
      </c>
      <c r="D1682" t="n">
        <v>0</v>
      </c>
      <c r="E1682" s="10" t="n">
        <v>0</v>
      </c>
      <c r="F1682" s="10" t="n">
        <v>0.3454748029139527</v>
      </c>
      <c r="G1682" s="11">
        <f>E1682*Summary!$B$6</f>
        <v/>
      </c>
      <c r="H1682" s="11">
        <f>F1682*Summary!$B$7</f>
        <v/>
      </c>
      <c r="I1682" s="11">
        <f>MAX(0,N1682-M1682)</f>
        <v/>
      </c>
      <c r="J1682" s="11">
        <f>MAX(0,M1682-N1682)</f>
        <v/>
      </c>
      <c r="K1682" s="11">
        <f>O1682</f>
        <v/>
      </c>
      <c r="L1682" s="11">
        <f>L1681+IF(K1682&gt;0,K1682*Summary!$B$9,K1682/Summary!$B$9)</f>
        <v/>
      </c>
      <c r="M1682" s="11">
        <f>G1682+H1682</f>
        <v/>
      </c>
      <c r="N1682" s="11">
        <f>Summary!$C$16*Summary!$B$8</f>
        <v/>
      </c>
      <c r="O1682" s="11">
        <f>M1682-N1682</f>
        <v/>
      </c>
    </row>
    <row r="1683">
      <c r="A1683" s="9" t="n">
        <v>45362.04166666666</v>
      </c>
      <c r="B1683" t="n">
        <v>3</v>
      </c>
      <c r="C1683" t="n">
        <v>11</v>
      </c>
      <c r="D1683" t="n">
        <v>1</v>
      </c>
      <c r="E1683" s="10" t="n">
        <v>0</v>
      </c>
      <c r="F1683" s="10" t="n">
        <v>0.3173572121657309</v>
      </c>
      <c r="G1683" s="11">
        <f>E1683*Summary!$B$6</f>
        <v/>
      </c>
      <c r="H1683" s="11">
        <f>F1683*Summary!$B$7</f>
        <v/>
      </c>
      <c r="I1683" s="11">
        <f>MAX(0,N1683-M1683)</f>
        <v/>
      </c>
      <c r="J1683" s="11">
        <f>MAX(0,M1683-N1683)</f>
        <v/>
      </c>
      <c r="K1683" s="11">
        <f>O1683</f>
        <v/>
      </c>
      <c r="L1683" s="11">
        <f>L1682+IF(K1683&gt;0,K1683*Summary!$B$9,K1683/Summary!$B$9)</f>
        <v/>
      </c>
      <c r="M1683" s="11">
        <f>G1683+H1683</f>
        <v/>
      </c>
      <c r="N1683" s="11">
        <f>Summary!$C$16*Summary!$B$8</f>
        <v/>
      </c>
      <c r="O1683" s="11">
        <f>M1683-N1683</f>
        <v/>
      </c>
    </row>
    <row r="1684">
      <c r="A1684" s="9" t="n">
        <v>45362.08333333334</v>
      </c>
      <c r="B1684" t="n">
        <v>3</v>
      </c>
      <c r="C1684" t="n">
        <v>11</v>
      </c>
      <c r="D1684" t="n">
        <v>2</v>
      </c>
      <c r="E1684" s="10" t="n">
        <v>0</v>
      </c>
      <c r="F1684" s="10" t="n">
        <v>0.3174099161783799</v>
      </c>
      <c r="G1684" s="11">
        <f>E1684*Summary!$B$6</f>
        <v/>
      </c>
      <c r="H1684" s="11">
        <f>F1684*Summary!$B$7</f>
        <v/>
      </c>
      <c r="I1684" s="11">
        <f>MAX(0,N1684-M1684)</f>
        <v/>
      </c>
      <c r="J1684" s="11">
        <f>MAX(0,M1684-N1684)</f>
        <v/>
      </c>
      <c r="K1684" s="11">
        <f>O1684</f>
        <v/>
      </c>
      <c r="L1684" s="11">
        <f>L1683+IF(K1684&gt;0,K1684*Summary!$B$9,K1684/Summary!$B$9)</f>
        <v/>
      </c>
      <c r="M1684" s="11">
        <f>G1684+H1684</f>
        <v/>
      </c>
      <c r="N1684" s="11">
        <f>Summary!$C$16*Summary!$B$8</f>
        <v/>
      </c>
      <c r="O1684" s="11">
        <f>M1684-N1684</f>
        <v/>
      </c>
    </row>
    <row r="1685">
      <c r="A1685" s="9" t="n">
        <v>45362.125</v>
      </c>
      <c r="B1685" t="n">
        <v>3</v>
      </c>
      <c r="C1685" t="n">
        <v>11</v>
      </c>
      <c r="D1685" t="n">
        <v>3</v>
      </c>
      <c r="E1685" s="10" t="n">
        <v>0</v>
      </c>
      <c r="F1685" s="10" t="n">
        <v>0.3219161092598662</v>
      </c>
      <c r="G1685" s="11">
        <f>E1685*Summary!$B$6</f>
        <v/>
      </c>
      <c r="H1685" s="11">
        <f>F1685*Summary!$B$7</f>
        <v/>
      </c>
      <c r="I1685" s="11">
        <f>MAX(0,N1685-M1685)</f>
        <v/>
      </c>
      <c r="J1685" s="11">
        <f>MAX(0,M1685-N1685)</f>
        <v/>
      </c>
      <c r="K1685" s="11">
        <f>O1685</f>
        <v/>
      </c>
      <c r="L1685" s="11">
        <f>L1684+IF(K1685&gt;0,K1685*Summary!$B$9,K1685/Summary!$B$9)</f>
        <v/>
      </c>
      <c r="M1685" s="11">
        <f>G1685+H1685</f>
        <v/>
      </c>
      <c r="N1685" s="11">
        <f>Summary!$C$16*Summary!$B$8</f>
        <v/>
      </c>
      <c r="O1685" s="11">
        <f>M1685-N1685</f>
        <v/>
      </c>
    </row>
    <row r="1686">
      <c r="A1686" s="9" t="n">
        <v>45362.16666666666</v>
      </c>
      <c r="B1686" t="n">
        <v>3</v>
      </c>
      <c r="C1686" t="n">
        <v>11</v>
      </c>
      <c r="D1686" t="n">
        <v>4</v>
      </c>
      <c r="E1686" s="10" t="n">
        <v>0</v>
      </c>
      <c r="F1686" s="10" t="n">
        <v>0.3277135506512522</v>
      </c>
      <c r="G1686" s="11">
        <f>E1686*Summary!$B$6</f>
        <v/>
      </c>
      <c r="H1686" s="11">
        <f>F1686*Summary!$B$7</f>
        <v/>
      </c>
      <c r="I1686" s="11">
        <f>MAX(0,N1686-M1686)</f>
        <v/>
      </c>
      <c r="J1686" s="11">
        <f>MAX(0,M1686-N1686)</f>
        <v/>
      </c>
      <c r="K1686" s="11">
        <f>O1686</f>
        <v/>
      </c>
      <c r="L1686" s="11">
        <f>L1685+IF(K1686&gt;0,K1686*Summary!$B$9,K1686/Summary!$B$9)</f>
        <v/>
      </c>
      <c r="M1686" s="11">
        <f>G1686+H1686</f>
        <v/>
      </c>
      <c r="N1686" s="11">
        <f>Summary!$C$16*Summary!$B$8</f>
        <v/>
      </c>
      <c r="O1686" s="11">
        <f>M1686-N1686</f>
        <v/>
      </c>
    </row>
    <row r="1687">
      <c r="A1687" s="9" t="n">
        <v>45362.20833333334</v>
      </c>
      <c r="B1687" t="n">
        <v>3</v>
      </c>
      <c r="C1687" t="n">
        <v>11</v>
      </c>
      <c r="D1687" t="n">
        <v>5</v>
      </c>
      <c r="E1687" s="10" t="n">
        <v>0</v>
      </c>
      <c r="F1687" s="10" t="n">
        <v>0.332246095739063</v>
      </c>
      <c r="G1687" s="11">
        <f>E1687*Summary!$B$6</f>
        <v/>
      </c>
      <c r="H1687" s="11">
        <f>F1687*Summary!$B$7</f>
        <v/>
      </c>
      <c r="I1687" s="11">
        <f>MAX(0,N1687-M1687)</f>
        <v/>
      </c>
      <c r="J1687" s="11">
        <f>MAX(0,M1687-N1687)</f>
        <v/>
      </c>
      <c r="K1687" s="11">
        <f>O1687</f>
        <v/>
      </c>
      <c r="L1687" s="11">
        <f>L1686+IF(K1687&gt;0,K1687*Summary!$B$9,K1687/Summary!$B$9)</f>
        <v/>
      </c>
      <c r="M1687" s="11">
        <f>G1687+H1687</f>
        <v/>
      </c>
      <c r="N1687" s="11">
        <f>Summary!$C$16*Summary!$B$8</f>
        <v/>
      </c>
      <c r="O1687" s="11">
        <f>M1687-N1687</f>
        <v/>
      </c>
    </row>
    <row r="1688">
      <c r="A1688" s="9" t="n">
        <v>45362.25</v>
      </c>
      <c r="B1688" t="n">
        <v>3</v>
      </c>
      <c r="C1688" t="n">
        <v>11</v>
      </c>
      <c r="D1688" t="n">
        <v>6</v>
      </c>
      <c r="E1688" s="10" t="n">
        <v>0</v>
      </c>
      <c r="F1688" s="10" t="n">
        <v>0.3333528800046912</v>
      </c>
      <c r="G1688" s="11">
        <f>E1688*Summary!$B$6</f>
        <v/>
      </c>
      <c r="H1688" s="11">
        <f>F1688*Summary!$B$7</f>
        <v/>
      </c>
      <c r="I1688" s="11">
        <f>MAX(0,N1688-M1688)</f>
        <v/>
      </c>
      <c r="J1688" s="11">
        <f>MAX(0,M1688-N1688)</f>
        <v/>
      </c>
      <c r="K1688" s="11">
        <f>O1688</f>
        <v/>
      </c>
      <c r="L1688" s="11">
        <f>L1687+IF(K1688&gt;0,K1688*Summary!$B$9,K1688/Summary!$B$9)</f>
        <v/>
      </c>
      <c r="M1688" s="11">
        <f>G1688+H1688</f>
        <v/>
      </c>
      <c r="N1688" s="11">
        <f>Summary!$C$16*Summary!$B$8</f>
        <v/>
      </c>
      <c r="O1688" s="11">
        <f>M1688-N1688</f>
        <v/>
      </c>
    </row>
    <row r="1689">
      <c r="A1689" s="9" t="n">
        <v>45362.29166666666</v>
      </c>
      <c r="B1689" t="n">
        <v>3</v>
      </c>
      <c r="C1689" t="n">
        <v>11</v>
      </c>
      <c r="D1689" t="n">
        <v>7</v>
      </c>
      <c r="E1689" s="10" t="n">
        <v>0.045775</v>
      </c>
      <c r="F1689" s="10" t="n">
        <v>0.3295318390876414</v>
      </c>
      <c r="G1689" s="11">
        <f>E1689*Summary!$B$6</f>
        <v/>
      </c>
      <c r="H1689" s="11">
        <f>F1689*Summary!$B$7</f>
        <v/>
      </c>
      <c r="I1689" s="11">
        <f>MAX(0,N1689-M1689)</f>
        <v/>
      </c>
      <c r="J1689" s="11">
        <f>MAX(0,M1689-N1689)</f>
        <v/>
      </c>
      <c r="K1689" s="11">
        <f>O1689</f>
        <v/>
      </c>
      <c r="L1689" s="11">
        <f>L1688+IF(K1689&gt;0,K1689*Summary!$B$9,K1689/Summary!$B$9)</f>
        <v/>
      </c>
      <c r="M1689" s="11">
        <f>G1689+H1689</f>
        <v/>
      </c>
      <c r="N1689" s="11">
        <f>Summary!$C$16*Summary!$B$8</f>
        <v/>
      </c>
      <c r="O1689" s="11">
        <f>M1689-N1689</f>
        <v/>
      </c>
    </row>
    <row r="1690">
      <c r="A1690" s="9" t="n">
        <v>45362.33333333334</v>
      </c>
      <c r="B1690" t="n">
        <v>3</v>
      </c>
      <c r="C1690" t="n">
        <v>11</v>
      </c>
      <c r="D1690" t="n">
        <v>8</v>
      </c>
      <c r="E1690" s="10" t="n">
        <v>0.170997</v>
      </c>
      <c r="F1690" s="10" t="n">
        <v>0.3145111954826869</v>
      </c>
      <c r="G1690" s="11">
        <f>E1690*Summary!$B$6</f>
        <v/>
      </c>
      <c r="H1690" s="11">
        <f>F1690*Summary!$B$7</f>
        <v/>
      </c>
      <c r="I1690" s="11">
        <f>MAX(0,N1690-M1690)</f>
        <v/>
      </c>
      <c r="J1690" s="11">
        <f>MAX(0,M1690-N1690)</f>
        <v/>
      </c>
      <c r="K1690" s="11">
        <f>O1690</f>
        <v/>
      </c>
      <c r="L1690" s="11">
        <f>L1689+IF(K1690&gt;0,K1690*Summary!$B$9,K1690/Summary!$B$9)</f>
        <v/>
      </c>
      <c r="M1690" s="11">
        <f>G1690+H1690</f>
        <v/>
      </c>
      <c r="N1690" s="11">
        <f>Summary!$C$16*Summary!$B$8</f>
        <v/>
      </c>
      <c r="O1690" s="11">
        <f>M1690-N1690</f>
        <v/>
      </c>
    </row>
    <row r="1691">
      <c r="A1691" s="9" t="n">
        <v>45362.375</v>
      </c>
      <c r="B1691" t="n">
        <v>3</v>
      </c>
      <c r="C1691" t="n">
        <v>11</v>
      </c>
      <c r="D1691" t="n">
        <v>9</v>
      </c>
      <c r="E1691" s="10" t="n">
        <v>0.341391</v>
      </c>
      <c r="F1691" s="10" t="n">
        <v>0.3024946805987234</v>
      </c>
      <c r="G1691" s="11">
        <f>E1691*Summary!$B$6</f>
        <v/>
      </c>
      <c r="H1691" s="11">
        <f>F1691*Summary!$B$7</f>
        <v/>
      </c>
      <c r="I1691" s="11">
        <f>MAX(0,N1691-M1691)</f>
        <v/>
      </c>
      <c r="J1691" s="11">
        <f>MAX(0,M1691-N1691)</f>
        <v/>
      </c>
      <c r="K1691" s="11">
        <f>O1691</f>
        <v/>
      </c>
      <c r="L1691" s="11">
        <f>L1690+IF(K1691&gt;0,K1691*Summary!$B$9,K1691/Summary!$B$9)</f>
        <v/>
      </c>
      <c r="M1691" s="11">
        <f>G1691+H1691</f>
        <v/>
      </c>
      <c r="N1691" s="11">
        <f>Summary!$C$16*Summary!$B$8</f>
        <v/>
      </c>
      <c r="O1691" s="11">
        <f>M1691-N1691</f>
        <v/>
      </c>
    </row>
    <row r="1692">
      <c r="A1692" s="9" t="n">
        <v>45362.41666666666</v>
      </c>
      <c r="B1692" t="n">
        <v>3</v>
      </c>
      <c r="C1692" t="n">
        <v>11</v>
      </c>
      <c r="D1692" t="n">
        <v>10</v>
      </c>
      <c r="E1692" s="10" t="n">
        <v>0.488363</v>
      </c>
      <c r="F1692" s="10" t="n">
        <v>0.2942201506128361</v>
      </c>
      <c r="G1692" s="11">
        <f>E1692*Summary!$B$6</f>
        <v/>
      </c>
      <c r="H1692" s="11">
        <f>F1692*Summary!$B$7</f>
        <v/>
      </c>
      <c r="I1692" s="11">
        <f>MAX(0,N1692-M1692)</f>
        <v/>
      </c>
      <c r="J1692" s="11">
        <f>MAX(0,M1692-N1692)</f>
        <v/>
      </c>
      <c r="K1692" s="11">
        <f>O1692</f>
        <v/>
      </c>
      <c r="L1692" s="11">
        <f>L1691+IF(K1692&gt;0,K1692*Summary!$B$9,K1692/Summary!$B$9)</f>
        <v/>
      </c>
      <c r="M1692" s="11">
        <f>G1692+H1692</f>
        <v/>
      </c>
      <c r="N1692" s="11">
        <f>Summary!$C$16*Summary!$B$8</f>
        <v/>
      </c>
      <c r="O1692" s="11">
        <f>M1692-N1692</f>
        <v/>
      </c>
    </row>
    <row r="1693">
      <c r="A1693" s="9" t="n">
        <v>45362.45833333334</v>
      </c>
      <c r="B1693" t="n">
        <v>3</v>
      </c>
      <c r="C1693" t="n">
        <v>11</v>
      </c>
      <c r="D1693" t="n">
        <v>11</v>
      </c>
      <c r="E1693" s="10" t="n">
        <v>0.649708</v>
      </c>
      <c r="F1693" s="10" t="n">
        <v>0.2925072702017448</v>
      </c>
      <c r="G1693" s="11">
        <f>E1693*Summary!$B$6</f>
        <v/>
      </c>
      <c r="H1693" s="11">
        <f>F1693*Summary!$B$7</f>
        <v/>
      </c>
      <c r="I1693" s="11">
        <f>MAX(0,N1693-M1693)</f>
        <v/>
      </c>
      <c r="J1693" s="11">
        <f>MAX(0,M1693-N1693)</f>
        <v/>
      </c>
      <c r="K1693" s="11">
        <f>O1693</f>
        <v/>
      </c>
      <c r="L1693" s="11">
        <f>L1692+IF(K1693&gt;0,K1693*Summary!$B$9,K1693/Summary!$B$9)</f>
        <v/>
      </c>
      <c r="M1693" s="11">
        <f>G1693+H1693</f>
        <v/>
      </c>
      <c r="N1693" s="11">
        <f>Summary!$C$16*Summary!$B$8</f>
        <v/>
      </c>
      <c r="O1693" s="11">
        <f>M1693-N1693</f>
        <v/>
      </c>
    </row>
    <row r="1694">
      <c r="A1694" s="9" t="n">
        <v>45362.5</v>
      </c>
      <c r="B1694" t="n">
        <v>3</v>
      </c>
      <c r="C1694" t="n">
        <v>11</v>
      </c>
      <c r="D1694" t="n">
        <v>12</v>
      </c>
      <c r="E1694" s="10" t="n">
        <v>0.477528</v>
      </c>
      <c r="F1694" s="10" t="n">
        <v>0.2940883905812137</v>
      </c>
      <c r="G1694" s="11">
        <f>E1694*Summary!$B$6</f>
        <v/>
      </c>
      <c r="H1694" s="11">
        <f>F1694*Summary!$B$7</f>
        <v/>
      </c>
      <c r="I1694" s="11">
        <f>MAX(0,N1694-M1694)</f>
        <v/>
      </c>
      <c r="J1694" s="11">
        <f>MAX(0,M1694-N1694)</f>
        <v/>
      </c>
      <c r="K1694" s="11">
        <f>O1694</f>
        <v/>
      </c>
      <c r="L1694" s="11">
        <f>L1693+IF(K1694&gt;0,K1694*Summary!$B$9,K1694/Summary!$B$9)</f>
        <v/>
      </c>
      <c r="M1694" s="11">
        <f>G1694+H1694</f>
        <v/>
      </c>
      <c r="N1694" s="11">
        <f>Summary!$C$16*Summary!$B$8</f>
        <v/>
      </c>
      <c r="O1694" s="11">
        <f>M1694-N1694</f>
        <v/>
      </c>
    </row>
    <row r="1695">
      <c r="A1695" s="9" t="n">
        <v>45362.54166666666</v>
      </c>
      <c r="B1695" t="n">
        <v>3</v>
      </c>
      <c r="C1695" t="n">
        <v>11</v>
      </c>
      <c r="D1695" t="n">
        <v>13</v>
      </c>
      <c r="E1695" s="10" t="n">
        <v>0.6347429999999999</v>
      </c>
      <c r="F1695" s="10" t="n">
        <v>0.2988317517196204</v>
      </c>
      <c r="G1695" s="11">
        <f>E1695*Summary!$B$6</f>
        <v/>
      </c>
      <c r="H1695" s="11">
        <f>F1695*Summary!$B$7</f>
        <v/>
      </c>
      <c r="I1695" s="11">
        <f>MAX(0,N1695-M1695)</f>
        <v/>
      </c>
      <c r="J1695" s="11">
        <f>MAX(0,M1695-N1695)</f>
        <v/>
      </c>
      <c r="K1695" s="11">
        <f>O1695</f>
        <v/>
      </c>
      <c r="L1695" s="11">
        <f>L1694+IF(K1695&gt;0,K1695*Summary!$B$9,K1695/Summary!$B$9)</f>
        <v/>
      </c>
      <c r="M1695" s="11">
        <f>G1695+H1695</f>
        <v/>
      </c>
      <c r="N1695" s="11">
        <f>Summary!$C$16*Summary!$B$8</f>
        <v/>
      </c>
      <c r="O1695" s="11">
        <f>M1695-N1695</f>
        <v/>
      </c>
    </row>
    <row r="1696">
      <c r="A1696" s="9" t="n">
        <v>45362.58333333334</v>
      </c>
      <c r="B1696" t="n">
        <v>3</v>
      </c>
      <c r="C1696" t="n">
        <v>11</v>
      </c>
      <c r="D1696" t="n">
        <v>14</v>
      </c>
      <c r="E1696" s="10" t="n">
        <v>0.476089</v>
      </c>
      <c r="F1696" s="10" t="n">
        <v>0.3000175920042221</v>
      </c>
      <c r="G1696" s="11">
        <f>E1696*Summary!$B$6</f>
        <v/>
      </c>
      <c r="H1696" s="11">
        <f>F1696*Summary!$B$7</f>
        <v/>
      </c>
      <c r="I1696" s="11">
        <f>MAX(0,N1696-M1696)</f>
        <v/>
      </c>
      <c r="J1696" s="11">
        <f>MAX(0,M1696-N1696)</f>
        <v/>
      </c>
      <c r="K1696" s="11">
        <f>O1696</f>
        <v/>
      </c>
      <c r="L1696" s="11">
        <f>L1695+IF(K1696&gt;0,K1696*Summary!$B$9,K1696/Summary!$B$9)</f>
        <v/>
      </c>
      <c r="M1696" s="11">
        <f>G1696+H1696</f>
        <v/>
      </c>
      <c r="N1696" s="11">
        <f>Summary!$C$16*Summary!$B$8</f>
        <v/>
      </c>
      <c r="O1696" s="11">
        <f>M1696-N1696</f>
        <v/>
      </c>
    </row>
    <row r="1697">
      <c r="A1697" s="9" t="n">
        <v>45362.625</v>
      </c>
      <c r="B1697" t="n">
        <v>3</v>
      </c>
      <c r="C1697" t="n">
        <v>11</v>
      </c>
      <c r="D1697" t="n">
        <v>15</v>
      </c>
      <c r="E1697" s="10" t="n">
        <v>0.305649</v>
      </c>
      <c r="F1697" s="10" t="n">
        <v>0.3012824883077972</v>
      </c>
      <c r="G1697" s="11">
        <f>E1697*Summary!$B$6</f>
        <v/>
      </c>
      <c r="H1697" s="11">
        <f>F1697*Summary!$B$7</f>
        <v/>
      </c>
      <c r="I1697" s="11">
        <f>MAX(0,N1697-M1697)</f>
        <v/>
      </c>
      <c r="J1697" s="11">
        <f>MAX(0,M1697-N1697)</f>
        <v/>
      </c>
      <c r="K1697" s="11">
        <f>O1697</f>
        <v/>
      </c>
      <c r="L1697" s="11">
        <f>L1696+IF(K1697&gt;0,K1697*Summary!$B$9,K1697/Summary!$B$9)</f>
        <v/>
      </c>
      <c r="M1697" s="11">
        <f>G1697+H1697</f>
        <v/>
      </c>
      <c r="N1697" s="11">
        <f>Summary!$C$16*Summary!$B$8</f>
        <v/>
      </c>
      <c r="O1697" s="11">
        <f>M1697-N1697</f>
        <v/>
      </c>
    </row>
    <row r="1698">
      <c r="A1698" s="9" t="n">
        <v>45362.66666666666</v>
      </c>
      <c r="B1698" t="n">
        <v>3</v>
      </c>
      <c r="C1698" t="n">
        <v>11</v>
      </c>
      <c r="D1698" t="n">
        <v>16</v>
      </c>
      <c r="E1698" s="10" t="n">
        <v>0.122691</v>
      </c>
      <c r="F1698" s="10" t="n">
        <v>0.3346704803209153</v>
      </c>
      <c r="G1698" s="11">
        <f>E1698*Summary!$B$6</f>
        <v/>
      </c>
      <c r="H1698" s="11">
        <f>F1698*Summary!$B$7</f>
        <v/>
      </c>
      <c r="I1698" s="11">
        <f>MAX(0,N1698-M1698)</f>
        <v/>
      </c>
      <c r="J1698" s="11">
        <f>MAX(0,M1698-N1698)</f>
        <v/>
      </c>
      <c r="K1698" s="11">
        <f>O1698</f>
        <v/>
      </c>
      <c r="L1698" s="11">
        <f>L1697+IF(K1698&gt;0,K1698*Summary!$B$9,K1698/Summary!$B$9)</f>
        <v/>
      </c>
      <c r="M1698" s="11">
        <f>G1698+H1698</f>
        <v/>
      </c>
      <c r="N1698" s="11">
        <f>Summary!$C$16*Summary!$B$8</f>
        <v/>
      </c>
      <c r="O1698" s="11">
        <f>M1698-N1698</f>
        <v/>
      </c>
    </row>
    <row r="1699">
      <c r="A1699" s="9" t="n">
        <v>45362.70833333334</v>
      </c>
      <c r="B1699" t="n">
        <v>3</v>
      </c>
      <c r="C1699" t="n">
        <v>11</v>
      </c>
      <c r="D1699" t="n">
        <v>17</v>
      </c>
      <c r="E1699" s="10" t="n">
        <v>0.01585</v>
      </c>
      <c r="F1699" s="10" t="n">
        <v>0.3165930039823209</v>
      </c>
      <c r="G1699" s="11">
        <f>E1699*Summary!$B$6</f>
        <v/>
      </c>
      <c r="H1699" s="11">
        <f>F1699*Summary!$B$7</f>
        <v/>
      </c>
      <c r="I1699" s="11">
        <f>MAX(0,N1699-M1699)</f>
        <v/>
      </c>
      <c r="J1699" s="11">
        <f>MAX(0,M1699-N1699)</f>
        <v/>
      </c>
      <c r="K1699" s="11">
        <f>O1699</f>
        <v/>
      </c>
      <c r="L1699" s="11">
        <f>L1698+IF(K1699&gt;0,K1699*Summary!$B$9,K1699/Summary!$B$9)</f>
        <v/>
      </c>
      <c r="M1699" s="11">
        <f>G1699+H1699</f>
        <v/>
      </c>
      <c r="N1699" s="11">
        <f>Summary!$C$16*Summary!$B$8</f>
        <v/>
      </c>
      <c r="O1699" s="11">
        <f>M1699-N1699</f>
        <v/>
      </c>
    </row>
    <row r="1700">
      <c r="A1700" s="9" t="n">
        <v>45362.75</v>
      </c>
      <c r="B1700" t="n">
        <v>3</v>
      </c>
      <c r="C1700" t="n">
        <v>11</v>
      </c>
      <c r="D1700" t="n">
        <v>18</v>
      </c>
      <c r="E1700" s="10" t="n">
        <v>0</v>
      </c>
      <c r="F1700" s="10" t="n">
        <v>0.3318244636378712</v>
      </c>
      <c r="G1700" s="11">
        <f>E1700*Summary!$B$6</f>
        <v/>
      </c>
      <c r="H1700" s="11">
        <f>F1700*Summary!$B$7</f>
        <v/>
      </c>
      <c r="I1700" s="11">
        <f>MAX(0,N1700-M1700)</f>
        <v/>
      </c>
      <c r="J1700" s="11">
        <f>MAX(0,M1700-N1700)</f>
        <v/>
      </c>
      <c r="K1700" s="11">
        <f>O1700</f>
        <v/>
      </c>
      <c r="L1700" s="11">
        <f>L1699+IF(K1700&gt;0,K1700*Summary!$B$9,K1700/Summary!$B$9)</f>
        <v/>
      </c>
      <c r="M1700" s="11">
        <f>G1700+H1700</f>
        <v/>
      </c>
      <c r="N1700" s="11">
        <f>Summary!$C$16*Summary!$B$8</f>
        <v/>
      </c>
      <c r="O1700" s="11">
        <f>M1700-N1700</f>
        <v/>
      </c>
    </row>
    <row r="1701">
      <c r="A1701" s="9" t="n">
        <v>45362.79166666666</v>
      </c>
      <c r="B1701" t="n">
        <v>3</v>
      </c>
      <c r="C1701" t="n">
        <v>11</v>
      </c>
      <c r="D1701" t="n">
        <v>19</v>
      </c>
      <c r="E1701" s="10" t="n">
        <v>0</v>
      </c>
      <c r="F1701" s="10" t="n">
        <v>0.3448687067684896</v>
      </c>
      <c r="G1701" s="11">
        <f>E1701*Summary!$B$6</f>
        <v/>
      </c>
      <c r="H1701" s="11">
        <f>F1701*Summary!$B$7</f>
        <v/>
      </c>
      <c r="I1701" s="11">
        <f>MAX(0,N1701-M1701)</f>
        <v/>
      </c>
      <c r="J1701" s="11">
        <f>MAX(0,M1701-N1701)</f>
        <v/>
      </c>
      <c r="K1701" s="11">
        <f>O1701</f>
        <v/>
      </c>
      <c r="L1701" s="11">
        <f>L1700+IF(K1701&gt;0,K1701*Summary!$B$9,K1701/Summary!$B$9)</f>
        <v/>
      </c>
      <c r="M1701" s="11">
        <f>G1701+H1701</f>
        <v/>
      </c>
      <c r="N1701" s="11">
        <f>Summary!$C$16*Summary!$B$8</f>
        <v/>
      </c>
      <c r="O1701" s="11">
        <f>M1701-N1701</f>
        <v/>
      </c>
    </row>
    <row r="1702">
      <c r="A1702" s="9" t="n">
        <v>45362.83333333334</v>
      </c>
      <c r="B1702" t="n">
        <v>3</v>
      </c>
      <c r="C1702" t="n">
        <v>11</v>
      </c>
      <c r="D1702" t="n">
        <v>20</v>
      </c>
      <c r="E1702" s="10" t="n">
        <v>0</v>
      </c>
      <c r="F1702" s="10" t="n">
        <v>0.3524844365962648</v>
      </c>
      <c r="G1702" s="11">
        <f>E1702*Summary!$B$6</f>
        <v/>
      </c>
      <c r="H1702" s="11">
        <f>F1702*Summary!$B$7</f>
        <v/>
      </c>
      <c r="I1702" s="11">
        <f>MAX(0,N1702-M1702)</f>
        <v/>
      </c>
      <c r="J1702" s="11">
        <f>MAX(0,M1702-N1702)</f>
        <v/>
      </c>
      <c r="K1702" s="11">
        <f>O1702</f>
        <v/>
      </c>
      <c r="L1702" s="11">
        <f>L1701+IF(K1702&gt;0,K1702*Summary!$B$9,K1702/Summary!$B$9)</f>
        <v/>
      </c>
      <c r="M1702" s="11">
        <f>G1702+H1702</f>
        <v/>
      </c>
      <c r="N1702" s="11">
        <f>Summary!$C$16*Summary!$B$8</f>
        <v/>
      </c>
      <c r="O1702" s="11">
        <f>M1702-N1702</f>
        <v/>
      </c>
    </row>
    <row r="1703">
      <c r="A1703" s="9" t="n">
        <v>45362.875</v>
      </c>
      <c r="B1703" t="n">
        <v>3</v>
      </c>
      <c r="C1703" t="n">
        <v>11</v>
      </c>
      <c r="D1703" t="n">
        <v>21</v>
      </c>
      <c r="E1703" s="10" t="n">
        <v>0</v>
      </c>
      <c r="F1703" s="10" t="n">
        <v>0.3504289801029552</v>
      </c>
      <c r="G1703" s="11">
        <f>E1703*Summary!$B$6</f>
        <v/>
      </c>
      <c r="H1703" s="11">
        <f>F1703*Summary!$B$7</f>
        <v/>
      </c>
      <c r="I1703" s="11">
        <f>MAX(0,N1703-M1703)</f>
        <v/>
      </c>
      <c r="J1703" s="11">
        <f>MAX(0,M1703-N1703)</f>
        <v/>
      </c>
      <c r="K1703" s="11">
        <f>O1703</f>
        <v/>
      </c>
      <c r="L1703" s="11">
        <f>L1702+IF(K1703&gt;0,K1703*Summary!$B$9,K1703/Summary!$B$9)</f>
        <v/>
      </c>
      <c r="M1703" s="11">
        <f>G1703+H1703</f>
        <v/>
      </c>
      <c r="N1703" s="11">
        <f>Summary!$C$16*Summary!$B$8</f>
        <v/>
      </c>
      <c r="O1703" s="11">
        <f>M1703-N1703</f>
        <v/>
      </c>
    </row>
    <row r="1704">
      <c r="A1704" s="9" t="n">
        <v>45362.91666666666</v>
      </c>
      <c r="B1704" t="n">
        <v>3</v>
      </c>
      <c r="C1704" t="n">
        <v>11</v>
      </c>
      <c r="D1704" t="n">
        <v>22</v>
      </c>
      <c r="E1704" s="10" t="n">
        <v>0</v>
      </c>
      <c r="F1704" s="10" t="n">
        <v>0.3472403873376929</v>
      </c>
      <c r="G1704" s="11">
        <f>E1704*Summary!$B$6</f>
        <v/>
      </c>
      <c r="H1704" s="11">
        <f>F1704*Summary!$B$7</f>
        <v/>
      </c>
      <c r="I1704" s="11">
        <f>MAX(0,N1704-M1704)</f>
        <v/>
      </c>
      <c r="J1704" s="11">
        <f>MAX(0,M1704-N1704)</f>
        <v/>
      </c>
      <c r="K1704" s="11">
        <f>O1704</f>
        <v/>
      </c>
      <c r="L1704" s="11">
        <f>L1703+IF(K1704&gt;0,K1704*Summary!$B$9,K1704/Summary!$B$9)</f>
        <v/>
      </c>
      <c r="M1704" s="11">
        <f>G1704+H1704</f>
        <v/>
      </c>
      <c r="N1704" s="11">
        <f>Summary!$C$16*Summary!$B$8</f>
        <v/>
      </c>
      <c r="O1704" s="11">
        <f>M1704-N1704</f>
        <v/>
      </c>
    </row>
    <row r="1705">
      <c r="A1705" s="9" t="n">
        <v>45362.95833333334</v>
      </c>
      <c r="B1705" t="n">
        <v>3</v>
      </c>
      <c r="C1705" t="n">
        <v>11</v>
      </c>
      <c r="D1705" t="n">
        <v>23</v>
      </c>
      <c r="E1705" s="10" t="n">
        <v>0</v>
      </c>
      <c r="F1705" s="10" t="n">
        <v>0.3465025311606075</v>
      </c>
      <c r="G1705" s="11">
        <f>E1705*Summary!$B$6</f>
        <v/>
      </c>
      <c r="H1705" s="11">
        <f>F1705*Summary!$B$7</f>
        <v/>
      </c>
      <c r="I1705" s="11">
        <f>MAX(0,N1705-M1705)</f>
        <v/>
      </c>
      <c r="J1705" s="11">
        <f>MAX(0,M1705-N1705)</f>
        <v/>
      </c>
      <c r="K1705" s="11">
        <f>O1705</f>
        <v/>
      </c>
      <c r="L1705" s="11">
        <f>L1704+IF(K1705&gt;0,K1705*Summary!$B$9,K1705/Summary!$B$9)</f>
        <v/>
      </c>
      <c r="M1705" s="11">
        <f>G1705+H1705</f>
        <v/>
      </c>
      <c r="N1705" s="11">
        <f>Summary!$C$16*Summary!$B$8</f>
        <v/>
      </c>
      <c r="O1705" s="11">
        <f>M1705-N1705</f>
        <v/>
      </c>
    </row>
    <row r="1706">
      <c r="A1706" s="9" t="n">
        <v>45363</v>
      </c>
      <c r="B1706" t="n">
        <v>3</v>
      </c>
      <c r="C1706" t="n">
        <v>12</v>
      </c>
      <c r="D1706" t="n">
        <v>0</v>
      </c>
      <c r="E1706" s="10" t="n">
        <v>0</v>
      </c>
      <c r="F1706" s="10" t="n">
        <v>0.2958276229986295</v>
      </c>
      <c r="G1706" s="11">
        <f>E1706*Summary!$B$6</f>
        <v/>
      </c>
      <c r="H1706" s="11">
        <f>F1706*Summary!$B$7</f>
        <v/>
      </c>
      <c r="I1706" s="11">
        <f>MAX(0,N1706-M1706)</f>
        <v/>
      </c>
      <c r="J1706" s="11">
        <f>MAX(0,M1706-N1706)</f>
        <v/>
      </c>
      <c r="K1706" s="11">
        <f>O1706</f>
        <v/>
      </c>
      <c r="L1706" s="11">
        <f>L1705+IF(K1706&gt;0,K1706*Summary!$B$9,K1706/Summary!$B$9)</f>
        <v/>
      </c>
      <c r="M1706" s="11">
        <f>G1706+H1706</f>
        <v/>
      </c>
      <c r="N1706" s="11">
        <f>Summary!$C$16*Summary!$B$8</f>
        <v/>
      </c>
      <c r="O1706" s="11">
        <f>M1706-N1706</f>
        <v/>
      </c>
    </row>
    <row r="1707">
      <c r="A1707" s="9" t="n">
        <v>45363.04166666666</v>
      </c>
      <c r="B1707" t="n">
        <v>3</v>
      </c>
      <c r="C1707" t="n">
        <v>12</v>
      </c>
      <c r="D1707" t="n">
        <v>1</v>
      </c>
      <c r="E1707" s="10" t="n">
        <v>0</v>
      </c>
      <c r="F1707" s="10" t="n">
        <v>0.3624191429805943</v>
      </c>
      <c r="G1707" s="11">
        <f>E1707*Summary!$B$6</f>
        <v/>
      </c>
      <c r="H1707" s="11">
        <f>F1707*Summary!$B$7</f>
        <v/>
      </c>
      <c r="I1707" s="11">
        <f>MAX(0,N1707-M1707)</f>
        <v/>
      </c>
      <c r="J1707" s="11">
        <f>MAX(0,M1707-N1707)</f>
        <v/>
      </c>
      <c r="K1707" s="11">
        <f>O1707</f>
        <v/>
      </c>
      <c r="L1707" s="11">
        <f>L1706+IF(K1707&gt;0,K1707*Summary!$B$9,K1707/Summary!$B$9)</f>
        <v/>
      </c>
      <c r="M1707" s="11">
        <f>G1707+H1707</f>
        <v/>
      </c>
      <c r="N1707" s="11">
        <f>Summary!$C$16*Summary!$B$8</f>
        <v/>
      </c>
      <c r="O1707" s="11">
        <f>M1707-N1707</f>
        <v/>
      </c>
    </row>
    <row r="1708">
      <c r="A1708" s="9" t="n">
        <v>45363.08333333334</v>
      </c>
      <c r="B1708" t="n">
        <v>3</v>
      </c>
      <c r="C1708" t="n">
        <v>12</v>
      </c>
      <c r="D1708" t="n">
        <v>2</v>
      </c>
      <c r="E1708" s="10" t="n">
        <v>0</v>
      </c>
      <c r="F1708" s="10" t="n">
        <v>0.3447105947305427</v>
      </c>
      <c r="G1708" s="11">
        <f>E1708*Summary!$B$6</f>
        <v/>
      </c>
      <c r="H1708" s="11">
        <f>F1708*Summary!$B$7</f>
        <v/>
      </c>
      <c r="I1708" s="11">
        <f>MAX(0,N1708-M1708)</f>
        <v/>
      </c>
      <c r="J1708" s="11">
        <f>MAX(0,M1708-N1708)</f>
        <v/>
      </c>
      <c r="K1708" s="11">
        <f>O1708</f>
        <v/>
      </c>
      <c r="L1708" s="11">
        <f>L1707+IF(K1708&gt;0,K1708*Summary!$B$9,K1708/Summary!$B$9)</f>
        <v/>
      </c>
      <c r="M1708" s="11">
        <f>G1708+H1708</f>
        <v/>
      </c>
      <c r="N1708" s="11">
        <f>Summary!$C$16*Summary!$B$8</f>
        <v/>
      </c>
      <c r="O1708" s="11">
        <f>M1708-N1708</f>
        <v/>
      </c>
    </row>
    <row r="1709">
      <c r="A1709" s="9" t="n">
        <v>45363.125</v>
      </c>
      <c r="B1709" t="n">
        <v>3</v>
      </c>
      <c r="C1709" t="n">
        <v>12</v>
      </c>
      <c r="D1709" t="n">
        <v>3</v>
      </c>
      <c r="E1709" s="10" t="n">
        <v>0</v>
      </c>
      <c r="F1709" s="10" t="n">
        <v>0.3422862101486904</v>
      </c>
      <c r="G1709" s="11">
        <f>E1709*Summary!$B$6</f>
        <v/>
      </c>
      <c r="H1709" s="11">
        <f>F1709*Summary!$B$7</f>
        <v/>
      </c>
      <c r="I1709" s="11">
        <f>MAX(0,N1709-M1709)</f>
        <v/>
      </c>
      <c r="J1709" s="11">
        <f>MAX(0,M1709-N1709)</f>
        <v/>
      </c>
      <c r="K1709" s="11">
        <f>O1709</f>
        <v/>
      </c>
      <c r="L1709" s="11">
        <f>L1708+IF(K1709&gt;0,K1709*Summary!$B$9,K1709/Summary!$B$9)</f>
        <v/>
      </c>
      <c r="M1709" s="11">
        <f>G1709+H1709</f>
        <v/>
      </c>
      <c r="N1709" s="11">
        <f>Summary!$C$16*Summary!$B$8</f>
        <v/>
      </c>
      <c r="O1709" s="11">
        <f>M1709-N1709</f>
        <v/>
      </c>
    </row>
    <row r="1710">
      <c r="A1710" s="9" t="n">
        <v>45363.16666666666</v>
      </c>
      <c r="B1710" t="n">
        <v>3</v>
      </c>
      <c r="C1710" t="n">
        <v>12</v>
      </c>
      <c r="D1710" t="n">
        <v>4</v>
      </c>
      <c r="E1710" s="10" t="n">
        <v>0</v>
      </c>
      <c r="F1710" s="10" t="n">
        <v>0.3347495363398887</v>
      </c>
      <c r="G1710" s="11">
        <f>E1710*Summary!$B$6</f>
        <v/>
      </c>
      <c r="H1710" s="11">
        <f>F1710*Summary!$B$7</f>
        <v/>
      </c>
      <c r="I1710" s="11">
        <f>MAX(0,N1710-M1710)</f>
        <v/>
      </c>
      <c r="J1710" s="11">
        <f>MAX(0,M1710-N1710)</f>
        <v/>
      </c>
      <c r="K1710" s="11">
        <f>O1710</f>
        <v/>
      </c>
      <c r="L1710" s="11">
        <f>L1709+IF(K1710&gt;0,K1710*Summary!$B$9,K1710/Summary!$B$9)</f>
        <v/>
      </c>
      <c r="M1710" s="11">
        <f>G1710+H1710</f>
        <v/>
      </c>
      <c r="N1710" s="11">
        <f>Summary!$C$16*Summary!$B$8</f>
        <v/>
      </c>
      <c r="O1710" s="11">
        <f>M1710-N1710</f>
        <v/>
      </c>
    </row>
    <row r="1711">
      <c r="A1711" s="9" t="n">
        <v>45363.20833333334</v>
      </c>
      <c r="B1711" t="n">
        <v>3</v>
      </c>
      <c r="C1711" t="n">
        <v>12</v>
      </c>
      <c r="D1711" t="n">
        <v>5</v>
      </c>
      <c r="E1711" s="10" t="n">
        <v>0</v>
      </c>
      <c r="F1711" s="10" t="n">
        <v>0.3264486543476771</v>
      </c>
      <c r="G1711" s="11">
        <f>E1711*Summary!$B$6</f>
        <v/>
      </c>
      <c r="H1711" s="11">
        <f>F1711*Summary!$B$7</f>
        <v/>
      </c>
      <c r="I1711" s="11">
        <f>MAX(0,N1711-M1711)</f>
        <v/>
      </c>
      <c r="J1711" s="11">
        <f>MAX(0,M1711-N1711)</f>
        <v/>
      </c>
      <c r="K1711" s="11">
        <f>O1711</f>
        <v/>
      </c>
      <c r="L1711" s="11">
        <f>L1710+IF(K1711&gt;0,K1711*Summary!$B$9,K1711/Summary!$B$9)</f>
        <v/>
      </c>
      <c r="M1711" s="11">
        <f>G1711+H1711</f>
        <v/>
      </c>
      <c r="N1711" s="11">
        <f>Summary!$C$16*Summary!$B$8</f>
        <v/>
      </c>
      <c r="O1711" s="11">
        <f>M1711-N1711</f>
        <v/>
      </c>
    </row>
    <row r="1712">
      <c r="A1712" s="9" t="n">
        <v>45363.25</v>
      </c>
      <c r="B1712" t="n">
        <v>3</v>
      </c>
      <c r="C1712" t="n">
        <v>12</v>
      </c>
      <c r="D1712" t="n">
        <v>6</v>
      </c>
      <c r="E1712" s="10" t="n">
        <v>0</v>
      </c>
      <c r="F1712" s="10" t="n">
        <v>0.3123503309640794</v>
      </c>
      <c r="G1712" s="11">
        <f>E1712*Summary!$B$6</f>
        <v/>
      </c>
      <c r="H1712" s="11">
        <f>F1712*Summary!$B$7</f>
        <v/>
      </c>
      <c r="I1712" s="11">
        <f>MAX(0,N1712-M1712)</f>
        <v/>
      </c>
      <c r="J1712" s="11">
        <f>MAX(0,M1712-N1712)</f>
        <v/>
      </c>
      <c r="K1712" s="11">
        <f>O1712</f>
        <v/>
      </c>
      <c r="L1712" s="11">
        <f>L1711+IF(K1712&gt;0,K1712*Summary!$B$9,K1712/Summary!$B$9)</f>
        <v/>
      </c>
      <c r="M1712" s="11">
        <f>G1712+H1712</f>
        <v/>
      </c>
      <c r="N1712" s="11">
        <f>Summary!$C$16*Summary!$B$8</f>
        <v/>
      </c>
      <c r="O1712" s="11">
        <f>M1712-N1712</f>
        <v/>
      </c>
    </row>
    <row r="1713">
      <c r="A1713" s="9" t="n">
        <v>45363.29166666666</v>
      </c>
      <c r="B1713" t="n">
        <v>3</v>
      </c>
      <c r="C1713" t="n">
        <v>12</v>
      </c>
      <c r="D1713" t="n">
        <v>7</v>
      </c>
      <c r="E1713" s="10" t="n">
        <v>0.01401</v>
      </c>
      <c r="F1713" s="10" t="n">
        <v>0.2882118931708544</v>
      </c>
      <c r="G1713" s="11">
        <f>E1713*Summary!$B$6</f>
        <v/>
      </c>
      <c r="H1713" s="11">
        <f>F1713*Summary!$B$7</f>
        <v/>
      </c>
      <c r="I1713" s="11">
        <f>MAX(0,N1713-M1713)</f>
        <v/>
      </c>
      <c r="J1713" s="11">
        <f>MAX(0,M1713-N1713)</f>
        <v/>
      </c>
      <c r="K1713" s="11">
        <f>O1713</f>
        <v/>
      </c>
      <c r="L1713" s="11">
        <f>L1712+IF(K1713&gt;0,K1713*Summary!$B$9,K1713/Summary!$B$9)</f>
        <v/>
      </c>
      <c r="M1713" s="11">
        <f>G1713+H1713</f>
        <v/>
      </c>
      <c r="N1713" s="11">
        <f>Summary!$C$16*Summary!$B$8</f>
        <v/>
      </c>
      <c r="O1713" s="11">
        <f>M1713-N1713</f>
        <v/>
      </c>
    </row>
    <row r="1714">
      <c r="A1714" s="9" t="n">
        <v>45363.33333333334</v>
      </c>
      <c r="B1714" t="n">
        <v>3</v>
      </c>
      <c r="C1714" t="n">
        <v>12</v>
      </c>
      <c r="D1714" t="n">
        <v>8</v>
      </c>
      <c r="E1714" s="10" t="n">
        <v>0.046362</v>
      </c>
      <c r="F1714" s="10" t="n">
        <v>0.2553245892779014</v>
      </c>
      <c r="G1714" s="11">
        <f>E1714*Summary!$B$6</f>
        <v/>
      </c>
      <c r="H1714" s="11">
        <f>F1714*Summary!$B$7</f>
        <v/>
      </c>
      <c r="I1714" s="11">
        <f>MAX(0,N1714-M1714)</f>
        <v/>
      </c>
      <c r="J1714" s="11">
        <f>MAX(0,M1714-N1714)</f>
        <v/>
      </c>
      <c r="K1714" s="11">
        <f>O1714</f>
        <v/>
      </c>
      <c r="L1714" s="11">
        <f>L1713+IF(K1714&gt;0,K1714*Summary!$B$9,K1714/Summary!$B$9)</f>
        <v/>
      </c>
      <c r="M1714" s="11">
        <f>G1714+H1714</f>
        <v/>
      </c>
      <c r="N1714" s="11">
        <f>Summary!$C$16*Summary!$B$8</f>
        <v/>
      </c>
      <c r="O1714" s="11">
        <f>M1714-N1714</f>
        <v/>
      </c>
    </row>
    <row r="1715">
      <c r="A1715" s="9" t="n">
        <v>45363.375</v>
      </c>
      <c r="B1715" t="n">
        <v>3</v>
      </c>
      <c r="C1715" t="n">
        <v>12</v>
      </c>
      <c r="D1715" t="n">
        <v>9</v>
      </c>
      <c r="E1715" s="10" t="n">
        <v>0.109806</v>
      </c>
      <c r="F1715" s="10" t="n">
        <v>0.2211460370750489</v>
      </c>
      <c r="G1715" s="11">
        <f>E1715*Summary!$B$6</f>
        <v/>
      </c>
      <c r="H1715" s="11">
        <f>F1715*Summary!$B$7</f>
        <v/>
      </c>
      <c r="I1715" s="11">
        <f>MAX(0,N1715-M1715)</f>
        <v/>
      </c>
      <c r="J1715" s="11">
        <f>MAX(0,M1715-N1715)</f>
        <v/>
      </c>
      <c r="K1715" s="11">
        <f>O1715</f>
        <v/>
      </c>
      <c r="L1715" s="11">
        <f>L1714+IF(K1715&gt;0,K1715*Summary!$B$9,K1715/Summary!$B$9)</f>
        <v/>
      </c>
      <c r="M1715" s="11">
        <f>G1715+H1715</f>
        <v/>
      </c>
      <c r="N1715" s="11">
        <f>Summary!$C$16*Summary!$B$8</f>
        <v/>
      </c>
      <c r="O1715" s="11">
        <f>M1715-N1715</f>
        <v/>
      </c>
    </row>
    <row r="1716">
      <c r="A1716" s="9" t="n">
        <v>45363.41666666666</v>
      </c>
      <c r="B1716" t="n">
        <v>3</v>
      </c>
      <c r="C1716" t="n">
        <v>12</v>
      </c>
      <c r="D1716" t="n">
        <v>10</v>
      </c>
      <c r="E1716" s="10" t="n">
        <v>0.144663</v>
      </c>
      <c r="F1716" s="10" t="n">
        <v>0.1958481110035467</v>
      </c>
      <c r="G1716" s="11">
        <f>E1716*Summary!$B$6</f>
        <v/>
      </c>
      <c r="H1716" s="11">
        <f>F1716*Summary!$B$7</f>
        <v/>
      </c>
      <c r="I1716" s="11">
        <f>MAX(0,N1716-M1716)</f>
        <v/>
      </c>
      <c r="J1716" s="11">
        <f>MAX(0,M1716-N1716)</f>
        <v/>
      </c>
      <c r="K1716" s="11">
        <f>O1716</f>
        <v/>
      </c>
      <c r="L1716" s="11">
        <f>L1715+IF(K1716&gt;0,K1716*Summary!$B$9,K1716/Summary!$B$9)</f>
        <v/>
      </c>
      <c r="M1716" s="11">
        <f>G1716+H1716</f>
        <v/>
      </c>
      <c r="N1716" s="11">
        <f>Summary!$C$16*Summary!$B$8</f>
        <v/>
      </c>
      <c r="O1716" s="11">
        <f>M1716-N1716</f>
        <v/>
      </c>
    </row>
    <row r="1717">
      <c r="A1717" s="9" t="n">
        <v>45363.45833333334</v>
      </c>
      <c r="B1717" t="n">
        <v>3</v>
      </c>
      <c r="C1717" t="n">
        <v>12</v>
      </c>
      <c r="D1717" t="n">
        <v>11</v>
      </c>
      <c r="E1717" s="10" t="n">
        <v>0.106697</v>
      </c>
      <c r="F1717" s="10" t="n">
        <v>0.1852809564674295</v>
      </c>
      <c r="G1717" s="11">
        <f>E1717*Summary!$B$6</f>
        <v/>
      </c>
      <c r="H1717" s="11">
        <f>F1717*Summary!$B$7</f>
        <v/>
      </c>
      <c r="I1717" s="11">
        <f>MAX(0,N1717-M1717)</f>
        <v/>
      </c>
      <c r="J1717" s="11">
        <f>MAX(0,M1717-N1717)</f>
        <v/>
      </c>
      <c r="K1717" s="11">
        <f>O1717</f>
        <v/>
      </c>
      <c r="L1717" s="11">
        <f>L1716+IF(K1717&gt;0,K1717*Summary!$B$9,K1717/Summary!$B$9)</f>
        <v/>
      </c>
      <c r="M1717" s="11">
        <f>G1717+H1717</f>
        <v/>
      </c>
      <c r="N1717" s="11">
        <f>Summary!$C$16*Summary!$B$8</f>
        <v/>
      </c>
      <c r="O1717" s="11">
        <f>M1717-N1717</f>
        <v/>
      </c>
    </row>
    <row r="1718">
      <c r="A1718" s="9" t="n">
        <v>45363.5</v>
      </c>
      <c r="B1718" t="n">
        <v>3</v>
      </c>
      <c r="C1718" t="n">
        <v>12</v>
      </c>
      <c r="D1718" t="n">
        <v>12</v>
      </c>
      <c r="E1718" s="10" t="n">
        <v>0.248619</v>
      </c>
      <c r="F1718" s="10" t="n">
        <v>0.1842532282207748</v>
      </c>
      <c r="G1718" s="11">
        <f>E1718*Summary!$B$6</f>
        <v/>
      </c>
      <c r="H1718" s="11">
        <f>F1718*Summary!$B$7</f>
        <v/>
      </c>
      <c r="I1718" s="11">
        <f>MAX(0,N1718-M1718)</f>
        <v/>
      </c>
      <c r="J1718" s="11">
        <f>MAX(0,M1718-N1718)</f>
        <v/>
      </c>
      <c r="K1718" s="11">
        <f>O1718</f>
        <v/>
      </c>
      <c r="L1718" s="11">
        <f>L1717+IF(K1718&gt;0,K1718*Summary!$B$9,K1718/Summary!$B$9)</f>
        <v/>
      </c>
      <c r="M1718" s="11">
        <f>G1718+H1718</f>
        <v/>
      </c>
      <c r="N1718" s="11">
        <f>Summary!$C$16*Summary!$B$8</f>
        <v/>
      </c>
      <c r="O1718" s="11">
        <f>M1718-N1718</f>
        <v/>
      </c>
    </row>
    <row r="1719">
      <c r="A1719" s="9" t="n">
        <v>45363.54166666666</v>
      </c>
      <c r="B1719" t="n">
        <v>3</v>
      </c>
      <c r="C1719" t="n">
        <v>12</v>
      </c>
      <c r="D1719" t="n">
        <v>13</v>
      </c>
      <c r="E1719" s="10" t="n">
        <v>0.276739</v>
      </c>
      <c r="F1719" s="10" t="n">
        <v>0.1905513577323259</v>
      </c>
      <c r="G1719" s="11">
        <f>E1719*Summary!$B$6</f>
        <v/>
      </c>
      <c r="H1719" s="11">
        <f>F1719*Summary!$B$7</f>
        <v/>
      </c>
      <c r="I1719" s="11">
        <f>MAX(0,N1719-M1719)</f>
        <v/>
      </c>
      <c r="J1719" s="11">
        <f>MAX(0,M1719-N1719)</f>
        <v/>
      </c>
      <c r="K1719" s="11">
        <f>O1719</f>
        <v/>
      </c>
      <c r="L1719" s="11">
        <f>L1718+IF(K1719&gt;0,K1719*Summary!$B$9,K1719/Summary!$B$9)</f>
        <v/>
      </c>
      <c r="M1719" s="11">
        <f>G1719+H1719</f>
        <v/>
      </c>
      <c r="N1719" s="11">
        <f>Summary!$C$16*Summary!$B$8</f>
        <v/>
      </c>
      <c r="O1719" s="11">
        <f>M1719-N1719</f>
        <v/>
      </c>
    </row>
    <row r="1720">
      <c r="A1720" s="9" t="n">
        <v>45363.58333333334</v>
      </c>
      <c r="B1720" t="n">
        <v>3</v>
      </c>
      <c r="C1720" t="n">
        <v>12</v>
      </c>
      <c r="D1720" t="n">
        <v>14</v>
      </c>
      <c r="E1720" s="10" t="n">
        <v>0.414314</v>
      </c>
      <c r="F1720" s="10" t="n">
        <v>0.1991684638004313</v>
      </c>
      <c r="G1720" s="11">
        <f>E1720*Summary!$B$6</f>
        <v/>
      </c>
      <c r="H1720" s="11">
        <f>F1720*Summary!$B$7</f>
        <v/>
      </c>
      <c r="I1720" s="11">
        <f>MAX(0,N1720-M1720)</f>
        <v/>
      </c>
      <c r="J1720" s="11">
        <f>MAX(0,M1720-N1720)</f>
        <v/>
      </c>
      <c r="K1720" s="11">
        <f>O1720</f>
        <v/>
      </c>
      <c r="L1720" s="11">
        <f>L1719+IF(K1720&gt;0,K1720*Summary!$B$9,K1720/Summary!$B$9)</f>
        <v/>
      </c>
      <c r="M1720" s="11">
        <f>G1720+H1720</f>
        <v/>
      </c>
      <c r="N1720" s="11">
        <f>Summary!$C$16*Summary!$B$8</f>
        <v/>
      </c>
      <c r="O1720" s="11">
        <f>M1720-N1720</f>
        <v/>
      </c>
    </row>
    <row r="1721">
      <c r="A1721" s="9" t="n">
        <v>45363.625</v>
      </c>
      <c r="B1721" t="n">
        <v>3</v>
      </c>
      <c r="C1721" t="n">
        <v>12</v>
      </c>
      <c r="D1721" t="n">
        <v>15</v>
      </c>
      <c r="E1721" s="10" t="n">
        <v>0.277145</v>
      </c>
      <c r="F1721" s="10" t="n">
        <v>0.2110005146401235</v>
      </c>
      <c r="G1721" s="11">
        <f>E1721*Summary!$B$6</f>
        <v/>
      </c>
      <c r="H1721" s="11">
        <f>F1721*Summary!$B$7</f>
        <v/>
      </c>
      <c r="I1721" s="11">
        <f>MAX(0,N1721-M1721)</f>
        <v/>
      </c>
      <c r="J1721" s="11">
        <f>MAX(0,M1721-N1721)</f>
        <v/>
      </c>
      <c r="K1721" s="11">
        <f>O1721</f>
        <v/>
      </c>
      <c r="L1721" s="11">
        <f>L1720+IF(K1721&gt;0,K1721*Summary!$B$9,K1721/Summary!$B$9)</f>
        <v/>
      </c>
      <c r="M1721" s="11">
        <f>G1721+H1721</f>
        <v/>
      </c>
      <c r="N1721" s="11">
        <f>Summary!$C$16*Summary!$B$8</f>
        <v/>
      </c>
      <c r="O1721" s="11">
        <f>M1721-N1721</f>
        <v/>
      </c>
    </row>
    <row r="1722">
      <c r="A1722" s="9" t="n">
        <v>45363.66666666666</v>
      </c>
      <c r="B1722" t="n">
        <v>3</v>
      </c>
      <c r="C1722" t="n">
        <v>12</v>
      </c>
      <c r="D1722" t="n">
        <v>16</v>
      </c>
      <c r="E1722" s="10" t="n">
        <v>0.194628</v>
      </c>
      <c r="F1722" s="10" t="n">
        <v>0.2233069015936564</v>
      </c>
      <c r="G1722" s="11">
        <f>E1722*Summary!$B$6</f>
        <v/>
      </c>
      <c r="H1722" s="11">
        <f>F1722*Summary!$B$7</f>
        <v/>
      </c>
      <c r="I1722" s="11">
        <f>MAX(0,N1722-M1722)</f>
        <v/>
      </c>
      <c r="J1722" s="11">
        <f>MAX(0,M1722-N1722)</f>
        <v/>
      </c>
      <c r="K1722" s="11">
        <f>O1722</f>
        <v/>
      </c>
      <c r="L1722" s="11">
        <f>L1721+IF(K1722&gt;0,K1722*Summary!$B$9,K1722/Summary!$B$9)</f>
        <v/>
      </c>
      <c r="M1722" s="11">
        <f>G1722+H1722</f>
        <v/>
      </c>
      <c r="N1722" s="11">
        <f>Summary!$C$16*Summary!$B$8</f>
        <v/>
      </c>
      <c r="O1722" s="11">
        <f>M1722-N1722</f>
        <v/>
      </c>
    </row>
    <row r="1723">
      <c r="A1723" s="9" t="n">
        <v>45363.70833333334</v>
      </c>
      <c r="B1723" t="n">
        <v>3</v>
      </c>
      <c r="C1723" t="n">
        <v>12</v>
      </c>
      <c r="D1723" t="n">
        <v>17</v>
      </c>
      <c r="E1723" s="10" t="n">
        <v>0.022732</v>
      </c>
      <c r="F1723" s="10" t="n">
        <v>0.2442303946152947</v>
      </c>
      <c r="G1723" s="11">
        <f>E1723*Summary!$B$6</f>
        <v/>
      </c>
      <c r="H1723" s="11">
        <f>F1723*Summary!$B$7</f>
        <v/>
      </c>
      <c r="I1723" s="11">
        <f>MAX(0,N1723-M1723)</f>
        <v/>
      </c>
      <c r="J1723" s="11">
        <f>MAX(0,M1723-N1723)</f>
        <v/>
      </c>
      <c r="K1723" s="11">
        <f>O1723</f>
        <v/>
      </c>
      <c r="L1723" s="11">
        <f>L1722+IF(K1723&gt;0,K1723*Summary!$B$9,K1723/Summary!$B$9)</f>
        <v/>
      </c>
      <c r="M1723" s="11">
        <f>G1723+H1723</f>
        <v/>
      </c>
      <c r="N1723" s="11">
        <f>Summary!$C$16*Summary!$B$8</f>
        <v/>
      </c>
      <c r="O1723" s="11">
        <f>M1723-N1723</f>
        <v/>
      </c>
    </row>
    <row r="1724">
      <c r="A1724" s="9" t="n">
        <v>45363.75</v>
      </c>
      <c r="B1724" t="n">
        <v>3</v>
      </c>
      <c r="C1724" t="n">
        <v>12</v>
      </c>
      <c r="D1724" t="n">
        <v>18</v>
      </c>
      <c r="E1724" s="10" t="n">
        <v>0</v>
      </c>
      <c r="F1724" s="10" t="n">
        <v>0.2736392336734161</v>
      </c>
      <c r="G1724" s="11">
        <f>E1724*Summary!$B$6</f>
        <v/>
      </c>
      <c r="H1724" s="11">
        <f>F1724*Summary!$B$7</f>
        <v/>
      </c>
      <c r="I1724" s="11">
        <f>MAX(0,N1724-M1724)</f>
        <v/>
      </c>
      <c r="J1724" s="11">
        <f>MAX(0,M1724-N1724)</f>
        <v/>
      </c>
      <c r="K1724" s="11">
        <f>O1724</f>
        <v/>
      </c>
      <c r="L1724" s="11">
        <f>L1723+IF(K1724&gt;0,K1724*Summary!$B$9,K1724/Summary!$B$9)</f>
        <v/>
      </c>
      <c r="M1724" s="11">
        <f>G1724+H1724</f>
        <v/>
      </c>
      <c r="N1724" s="11">
        <f>Summary!$C$16*Summary!$B$8</f>
        <v/>
      </c>
      <c r="O1724" s="11">
        <f>M1724-N1724</f>
        <v/>
      </c>
    </row>
    <row r="1725">
      <c r="A1725" s="9" t="n">
        <v>45363.79166666666</v>
      </c>
      <c r="B1725" t="n">
        <v>3</v>
      </c>
      <c r="C1725" t="n">
        <v>12</v>
      </c>
      <c r="D1725" t="n">
        <v>19</v>
      </c>
      <c r="E1725" s="10" t="n">
        <v>0</v>
      </c>
      <c r="F1725" s="10" t="n">
        <v>0.2926390302333672</v>
      </c>
      <c r="G1725" s="11">
        <f>E1725*Summary!$B$6</f>
        <v/>
      </c>
      <c r="H1725" s="11">
        <f>F1725*Summary!$B$7</f>
        <v/>
      </c>
      <c r="I1725" s="11">
        <f>MAX(0,N1725-M1725)</f>
        <v/>
      </c>
      <c r="J1725" s="11">
        <f>MAX(0,M1725-N1725)</f>
        <v/>
      </c>
      <c r="K1725" s="11">
        <f>O1725</f>
        <v/>
      </c>
      <c r="L1725" s="11">
        <f>L1724+IF(K1725&gt;0,K1725*Summary!$B$9,K1725/Summary!$B$9)</f>
        <v/>
      </c>
      <c r="M1725" s="11">
        <f>G1725+H1725</f>
        <v/>
      </c>
      <c r="N1725" s="11">
        <f>Summary!$C$16*Summary!$B$8</f>
        <v/>
      </c>
      <c r="O1725" s="11">
        <f>M1725-N1725</f>
        <v/>
      </c>
    </row>
    <row r="1726">
      <c r="A1726" s="9" t="n">
        <v>45363.83333333334</v>
      </c>
      <c r="B1726" t="n">
        <v>3</v>
      </c>
      <c r="C1726" t="n">
        <v>12</v>
      </c>
      <c r="D1726" t="n">
        <v>20</v>
      </c>
      <c r="E1726" s="10" t="n">
        <v>0</v>
      </c>
      <c r="F1726" s="10" t="n">
        <v>0.3046291931110063</v>
      </c>
      <c r="G1726" s="11">
        <f>E1726*Summary!$B$6</f>
        <v/>
      </c>
      <c r="H1726" s="11">
        <f>F1726*Summary!$B$7</f>
        <v/>
      </c>
      <c r="I1726" s="11">
        <f>MAX(0,N1726-M1726)</f>
        <v/>
      </c>
      <c r="J1726" s="11">
        <f>MAX(0,M1726-N1726)</f>
        <v/>
      </c>
      <c r="K1726" s="11">
        <f>O1726</f>
        <v/>
      </c>
      <c r="L1726" s="11">
        <f>L1725+IF(K1726&gt;0,K1726*Summary!$B$9,K1726/Summary!$B$9)</f>
        <v/>
      </c>
      <c r="M1726" s="11">
        <f>G1726+H1726</f>
        <v/>
      </c>
      <c r="N1726" s="11">
        <f>Summary!$C$16*Summary!$B$8</f>
        <v/>
      </c>
      <c r="O1726" s="11">
        <f>M1726-N1726</f>
        <v/>
      </c>
    </row>
    <row r="1727">
      <c r="A1727" s="9" t="n">
        <v>45363.875</v>
      </c>
      <c r="B1727" t="n">
        <v>3</v>
      </c>
      <c r="C1727" t="n">
        <v>12</v>
      </c>
      <c r="D1727" t="n">
        <v>21</v>
      </c>
      <c r="E1727" s="10" t="n">
        <v>0</v>
      </c>
      <c r="F1727" s="10" t="n">
        <v>0.3043129690351126</v>
      </c>
      <c r="G1727" s="11">
        <f>E1727*Summary!$B$6</f>
        <v/>
      </c>
      <c r="H1727" s="11">
        <f>F1727*Summary!$B$7</f>
        <v/>
      </c>
      <c r="I1727" s="11">
        <f>MAX(0,N1727-M1727)</f>
        <v/>
      </c>
      <c r="J1727" s="11">
        <f>MAX(0,M1727-N1727)</f>
        <v/>
      </c>
      <c r="K1727" s="11">
        <f>O1727</f>
        <v/>
      </c>
      <c r="L1727" s="11">
        <f>L1726+IF(K1727&gt;0,K1727*Summary!$B$9,K1727/Summary!$B$9)</f>
        <v/>
      </c>
      <c r="M1727" s="11">
        <f>G1727+H1727</f>
        <v/>
      </c>
      <c r="N1727" s="11">
        <f>Summary!$C$16*Summary!$B$8</f>
        <v/>
      </c>
      <c r="O1727" s="11">
        <f>M1727-N1727</f>
        <v/>
      </c>
    </row>
    <row r="1728">
      <c r="A1728" s="9" t="n">
        <v>45363.91666666666</v>
      </c>
      <c r="B1728" t="n">
        <v>3</v>
      </c>
      <c r="C1728" t="n">
        <v>12</v>
      </c>
      <c r="D1728" t="n">
        <v>22</v>
      </c>
      <c r="E1728" s="10" t="n">
        <v>0</v>
      </c>
      <c r="F1728" s="10" t="n">
        <v>0.3048136571552777</v>
      </c>
      <c r="G1728" s="11">
        <f>E1728*Summary!$B$6</f>
        <v/>
      </c>
      <c r="H1728" s="11">
        <f>F1728*Summary!$B$7</f>
        <v/>
      </c>
      <c r="I1728" s="11">
        <f>MAX(0,N1728-M1728)</f>
        <v/>
      </c>
      <c r="J1728" s="11">
        <f>MAX(0,M1728-N1728)</f>
        <v/>
      </c>
      <c r="K1728" s="11">
        <f>O1728</f>
        <v/>
      </c>
      <c r="L1728" s="11">
        <f>L1727+IF(K1728&gt;0,K1728*Summary!$B$9,K1728/Summary!$B$9)</f>
        <v/>
      </c>
      <c r="M1728" s="11">
        <f>G1728+H1728</f>
        <v/>
      </c>
      <c r="N1728" s="11">
        <f>Summary!$C$16*Summary!$B$8</f>
        <v/>
      </c>
      <c r="O1728" s="11">
        <f>M1728-N1728</f>
        <v/>
      </c>
    </row>
    <row r="1729">
      <c r="A1729" s="9" t="n">
        <v>45363.95833333334</v>
      </c>
      <c r="B1729" t="n">
        <v>3</v>
      </c>
      <c r="C1729" t="n">
        <v>12</v>
      </c>
      <c r="D1729" t="n">
        <v>23</v>
      </c>
      <c r="E1729" s="10" t="n">
        <v>0</v>
      </c>
      <c r="F1729" s="10" t="n">
        <v>0.3039967449592187</v>
      </c>
      <c r="G1729" s="11">
        <f>E1729*Summary!$B$6</f>
        <v/>
      </c>
      <c r="H1729" s="11">
        <f>F1729*Summary!$B$7</f>
        <v/>
      </c>
      <c r="I1729" s="11">
        <f>MAX(0,N1729-M1729)</f>
        <v/>
      </c>
      <c r="J1729" s="11">
        <f>MAX(0,M1729-N1729)</f>
        <v/>
      </c>
      <c r="K1729" s="11">
        <f>O1729</f>
        <v/>
      </c>
      <c r="L1729" s="11">
        <f>L1728+IF(K1729&gt;0,K1729*Summary!$B$9,K1729/Summary!$B$9)</f>
        <v/>
      </c>
      <c r="M1729" s="11">
        <f>G1729+H1729</f>
        <v/>
      </c>
      <c r="N1729" s="11">
        <f>Summary!$C$16*Summary!$B$8</f>
        <v/>
      </c>
      <c r="O1729" s="11">
        <f>M1729-N1729</f>
        <v/>
      </c>
    </row>
    <row r="1730">
      <c r="A1730" s="9" t="n">
        <v>45364</v>
      </c>
      <c r="B1730" t="n">
        <v>3</v>
      </c>
      <c r="C1730" t="n">
        <v>13</v>
      </c>
      <c r="D1730" t="n">
        <v>0</v>
      </c>
      <c r="E1730" s="10" t="n">
        <v>0</v>
      </c>
      <c r="F1730" s="10" t="n">
        <v>0.342207154129717</v>
      </c>
      <c r="G1730" s="11">
        <f>E1730*Summary!$B$6</f>
        <v/>
      </c>
      <c r="H1730" s="11">
        <f>F1730*Summary!$B$7</f>
        <v/>
      </c>
      <c r="I1730" s="11">
        <f>MAX(0,N1730-M1730)</f>
        <v/>
      </c>
      <c r="J1730" s="11">
        <f>MAX(0,M1730-N1730)</f>
        <v/>
      </c>
      <c r="K1730" s="11">
        <f>O1730</f>
        <v/>
      </c>
      <c r="L1730" s="11">
        <f>L1729+IF(K1730&gt;0,K1730*Summary!$B$9,K1730/Summary!$B$9)</f>
        <v/>
      </c>
      <c r="M1730" s="11">
        <f>G1730+H1730</f>
        <v/>
      </c>
      <c r="N1730" s="11">
        <f>Summary!$C$16*Summary!$B$8</f>
        <v/>
      </c>
      <c r="O1730" s="11">
        <f>M1730-N1730</f>
        <v/>
      </c>
    </row>
    <row r="1731">
      <c r="A1731" s="9" t="n">
        <v>45364.04166666666</v>
      </c>
      <c r="B1731" t="n">
        <v>3</v>
      </c>
      <c r="C1731" t="n">
        <v>13</v>
      </c>
      <c r="D1731" t="n">
        <v>1</v>
      </c>
      <c r="E1731" s="10" t="n">
        <v>0</v>
      </c>
      <c r="F1731" s="10" t="n">
        <v>0.2964337191440926</v>
      </c>
      <c r="G1731" s="11">
        <f>E1731*Summary!$B$6</f>
        <v/>
      </c>
      <c r="H1731" s="11">
        <f>F1731*Summary!$B$7</f>
        <v/>
      </c>
      <c r="I1731" s="11">
        <f>MAX(0,N1731-M1731)</f>
        <v/>
      </c>
      <c r="J1731" s="11">
        <f>MAX(0,M1731-N1731)</f>
        <v/>
      </c>
      <c r="K1731" s="11">
        <f>O1731</f>
        <v/>
      </c>
      <c r="L1731" s="11">
        <f>L1730+IF(K1731&gt;0,K1731*Summary!$B$9,K1731/Summary!$B$9)</f>
        <v/>
      </c>
      <c r="M1731" s="11">
        <f>G1731+H1731</f>
        <v/>
      </c>
      <c r="N1731" s="11">
        <f>Summary!$C$16*Summary!$B$8</f>
        <v/>
      </c>
      <c r="O1731" s="11">
        <f>M1731-N1731</f>
        <v/>
      </c>
    </row>
    <row r="1732">
      <c r="A1732" s="9" t="n">
        <v>45364.08333333334</v>
      </c>
      <c r="B1732" t="n">
        <v>3</v>
      </c>
      <c r="C1732" t="n">
        <v>13</v>
      </c>
      <c r="D1732" t="n">
        <v>2</v>
      </c>
      <c r="E1732" s="10" t="n">
        <v>0</v>
      </c>
      <c r="F1732" s="10" t="n">
        <v>0.2987526957006469</v>
      </c>
      <c r="G1732" s="11">
        <f>E1732*Summary!$B$6</f>
        <v/>
      </c>
      <c r="H1732" s="11">
        <f>F1732*Summary!$B$7</f>
        <v/>
      </c>
      <c r="I1732" s="11">
        <f>MAX(0,N1732-M1732)</f>
        <v/>
      </c>
      <c r="J1732" s="11">
        <f>MAX(0,M1732-N1732)</f>
        <v/>
      </c>
      <c r="K1732" s="11">
        <f>O1732</f>
        <v/>
      </c>
      <c r="L1732" s="11">
        <f>L1731+IF(K1732&gt;0,K1732*Summary!$B$9,K1732/Summary!$B$9)</f>
        <v/>
      </c>
      <c r="M1732" s="11">
        <f>G1732+H1732</f>
        <v/>
      </c>
      <c r="N1732" s="11">
        <f>Summary!$C$16*Summary!$B$8</f>
        <v/>
      </c>
      <c r="O1732" s="11">
        <f>M1732-N1732</f>
        <v/>
      </c>
    </row>
    <row r="1733">
      <c r="A1733" s="9" t="n">
        <v>45364.125</v>
      </c>
      <c r="B1733" t="n">
        <v>3</v>
      </c>
      <c r="C1733" t="n">
        <v>13</v>
      </c>
      <c r="D1733" t="n">
        <v>3</v>
      </c>
      <c r="E1733" s="10" t="n">
        <v>0</v>
      </c>
      <c r="F1733" s="10" t="n">
        <v>0.2994905518777324</v>
      </c>
      <c r="G1733" s="11">
        <f>E1733*Summary!$B$6</f>
        <v/>
      </c>
      <c r="H1733" s="11">
        <f>F1733*Summary!$B$7</f>
        <v/>
      </c>
      <c r="I1733" s="11">
        <f>MAX(0,N1733-M1733)</f>
        <v/>
      </c>
      <c r="J1733" s="11">
        <f>MAX(0,M1733-N1733)</f>
        <v/>
      </c>
      <c r="K1733" s="11">
        <f>O1733</f>
        <v/>
      </c>
      <c r="L1733" s="11">
        <f>L1732+IF(K1733&gt;0,K1733*Summary!$B$9,K1733/Summary!$B$9)</f>
        <v/>
      </c>
      <c r="M1733" s="11">
        <f>G1733+H1733</f>
        <v/>
      </c>
      <c r="N1733" s="11">
        <f>Summary!$C$16*Summary!$B$8</f>
        <v/>
      </c>
      <c r="O1733" s="11">
        <f>M1733-N1733</f>
        <v/>
      </c>
    </row>
    <row r="1734">
      <c r="A1734" s="9" t="n">
        <v>45364.16666666666</v>
      </c>
      <c r="B1734" t="n">
        <v>3</v>
      </c>
      <c r="C1734" t="n">
        <v>13</v>
      </c>
      <c r="D1734" t="n">
        <v>4</v>
      </c>
      <c r="E1734" s="10" t="n">
        <v>0</v>
      </c>
      <c r="F1734" s="10" t="n">
        <v>0.297988487517237</v>
      </c>
      <c r="G1734" s="11">
        <f>E1734*Summary!$B$6</f>
        <v/>
      </c>
      <c r="H1734" s="11">
        <f>F1734*Summary!$B$7</f>
        <v/>
      </c>
      <c r="I1734" s="11">
        <f>MAX(0,N1734-M1734)</f>
        <v/>
      </c>
      <c r="J1734" s="11">
        <f>MAX(0,M1734-N1734)</f>
        <v/>
      </c>
      <c r="K1734" s="11">
        <f>O1734</f>
        <v/>
      </c>
      <c r="L1734" s="11">
        <f>L1733+IF(K1734&gt;0,K1734*Summary!$B$9,K1734/Summary!$B$9)</f>
        <v/>
      </c>
      <c r="M1734" s="11">
        <f>G1734+H1734</f>
        <v/>
      </c>
      <c r="N1734" s="11">
        <f>Summary!$C$16*Summary!$B$8</f>
        <v/>
      </c>
      <c r="O1734" s="11">
        <f>M1734-N1734</f>
        <v/>
      </c>
    </row>
    <row r="1735">
      <c r="A1735" s="9" t="n">
        <v>45364.20833333334</v>
      </c>
      <c r="B1735" t="n">
        <v>3</v>
      </c>
      <c r="C1735" t="n">
        <v>13</v>
      </c>
      <c r="D1735" t="n">
        <v>5</v>
      </c>
      <c r="E1735" s="10" t="n">
        <v>0</v>
      </c>
      <c r="F1735" s="10" t="n">
        <v>0.2913741339297921</v>
      </c>
      <c r="G1735" s="11">
        <f>E1735*Summary!$B$6</f>
        <v/>
      </c>
      <c r="H1735" s="11">
        <f>F1735*Summary!$B$7</f>
        <v/>
      </c>
      <c r="I1735" s="11">
        <f>MAX(0,N1735-M1735)</f>
        <v/>
      </c>
      <c r="J1735" s="11">
        <f>MAX(0,M1735-N1735)</f>
        <v/>
      </c>
      <c r="K1735" s="11">
        <f>O1735</f>
        <v/>
      </c>
      <c r="L1735" s="11">
        <f>L1734+IF(K1735&gt;0,K1735*Summary!$B$9,K1735/Summary!$B$9)</f>
        <v/>
      </c>
      <c r="M1735" s="11">
        <f>G1735+H1735</f>
        <v/>
      </c>
      <c r="N1735" s="11">
        <f>Summary!$C$16*Summary!$B$8</f>
        <v/>
      </c>
      <c r="O1735" s="11">
        <f>M1735-N1735</f>
        <v/>
      </c>
    </row>
    <row r="1736">
      <c r="A1736" s="9" t="n">
        <v>45364.25</v>
      </c>
      <c r="B1736" t="n">
        <v>3</v>
      </c>
      <c r="C1736" t="n">
        <v>13</v>
      </c>
      <c r="D1736" t="n">
        <v>6</v>
      </c>
      <c r="E1736" s="10" t="n">
        <v>0</v>
      </c>
      <c r="F1736" s="10" t="n">
        <v>0.2860510286522469</v>
      </c>
      <c r="G1736" s="11">
        <f>E1736*Summary!$B$6</f>
        <v/>
      </c>
      <c r="H1736" s="11">
        <f>F1736*Summary!$B$7</f>
        <v/>
      </c>
      <c r="I1736" s="11">
        <f>MAX(0,N1736-M1736)</f>
        <v/>
      </c>
      <c r="J1736" s="11">
        <f>MAX(0,M1736-N1736)</f>
        <v/>
      </c>
      <c r="K1736" s="11">
        <f>O1736</f>
        <v/>
      </c>
      <c r="L1736" s="11">
        <f>L1735+IF(K1736&gt;0,K1736*Summary!$B$9,K1736/Summary!$B$9)</f>
        <v/>
      </c>
      <c r="M1736" s="11">
        <f>G1736+H1736</f>
        <v/>
      </c>
      <c r="N1736" s="11">
        <f>Summary!$C$16*Summary!$B$8</f>
        <v/>
      </c>
      <c r="O1736" s="11">
        <f>M1736-N1736</f>
        <v/>
      </c>
    </row>
    <row r="1737">
      <c r="A1737" s="9" t="n">
        <v>45364.29166666666</v>
      </c>
      <c r="B1737" t="n">
        <v>3</v>
      </c>
      <c r="C1737" t="n">
        <v>13</v>
      </c>
      <c r="D1737" t="n">
        <v>7</v>
      </c>
      <c r="E1737" s="10" t="n">
        <v>0.055588</v>
      </c>
      <c r="F1737" s="10" t="n">
        <v>0.2754838741161298</v>
      </c>
      <c r="G1737" s="11">
        <f>E1737*Summary!$B$6</f>
        <v/>
      </c>
      <c r="H1737" s="11">
        <f>F1737*Summary!$B$7</f>
        <v/>
      </c>
      <c r="I1737" s="11">
        <f>MAX(0,N1737-M1737)</f>
        <v/>
      </c>
      <c r="J1737" s="11">
        <f>MAX(0,M1737-N1737)</f>
        <v/>
      </c>
      <c r="K1737" s="11">
        <f>O1737</f>
        <v/>
      </c>
      <c r="L1737" s="11">
        <f>L1736+IF(K1737&gt;0,K1737*Summary!$B$9,K1737/Summary!$B$9)</f>
        <v/>
      </c>
      <c r="M1737" s="11">
        <f>G1737+H1737</f>
        <v/>
      </c>
      <c r="N1737" s="11">
        <f>Summary!$C$16*Summary!$B$8</f>
        <v/>
      </c>
      <c r="O1737" s="11">
        <f>M1737-N1737</f>
        <v/>
      </c>
    </row>
    <row r="1738">
      <c r="A1738" s="9" t="n">
        <v>45364.33333333334</v>
      </c>
      <c r="B1738" t="n">
        <v>3</v>
      </c>
      <c r="C1738" t="n">
        <v>13</v>
      </c>
      <c r="D1738" t="n">
        <v>8</v>
      </c>
      <c r="E1738" s="10" t="n">
        <v>0.225927</v>
      </c>
      <c r="F1738" s="10" t="n">
        <v>0.2584604780305147</v>
      </c>
      <c r="G1738" s="11">
        <f>E1738*Summary!$B$6</f>
        <v/>
      </c>
      <c r="H1738" s="11">
        <f>F1738*Summary!$B$7</f>
        <v/>
      </c>
      <c r="I1738" s="11">
        <f>MAX(0,N1738-M1738)</f>
        <v/>
      </c>
      <c r="J1738" s="11">
        <f>MAX(0,M1738-N1738)</f>
        <v/>
      </c>
      <c r="K1738" s="11">
        <f>O1738</f>
        <v/>
      </c>
      <c r="L1738" s="11">
        <f>L1737+IF(K1738&gt;0,K1738*Summary!$B$9,K1738/Summary!$B$9)</f>
        <v/>
      </c>
      <c r="M1738" s="11">
        <f>G1738+H1738</f>
        <v/>
      </c>
      <c r="N1738" s="11">
        <f>Summary!$C$16*Summary!$B$8</f>
        <v/>
      </c>
      <c r="O1738" s="11">
        <f>M1738-N1738</f>
        <v/>
      </c>
    </row>
    <row r="1739">
      <c r="A1739" s="9" t="n">
        <v>45364.375</v>
      </c>
      <c r="B1739" t="n">
        <v>3</v>
      </c>
      <c r="C1739" t="n">
        <v>13</v>
      </c>
      <c r="D1739" t="n">
        <v>9</v>
      </c>
      <c r="E1739" s="10" t="n">
        <v>0.461136</v>
      </c>
      <c r="F1739" s="10" t="n">
        <v>0.2422012901283097</v>
      </c>
      <c r="G1739" s="11">
        <f>E1739*Summary!$B$6</f>
        <v/>
      </c>
      <c r="H1739" s="11">
        <f>F1739*Summary!$B$7</f>
        <v/>
      </c>
      <c r="I1739" s="11">
        <f>MAX(0,N1739-M1739)</f>
        <v/>
      </c>
      <c r="J1739" s="11">
        <f>MAX(0,M1739-N1739)</f>
        <v/>
      </c>
      <c r="K1739" s="11">
        <f>O1739</f>
        <v/>
      </c>
      <c r="L1739" s="11">
        <f>L1738+IF(K1739&gt;0,K1739*Summary!$B$9,K1739/Summary!$B$9)</f>
        <v/>
      </c>
      <c r="M1739" s="11">
        <f>G1739+H1739</f>
        <v/>
      </c>
      <c r="N1739" s="11">
        <f>Summary!$C$16*Summary!$B$8</f>
        <v/>
      </c>
      <c r="O1739" s="11">
        <f>M1739-N1739</f>
        <v/>
      </c>
    </row>
    <row r="1740">
      <c r="A1740" s="9" t="n">
        <v>45364.41666666666</v>
      </c>
      <c r="B1740" t="n">
        <v>3</v>
      </c>
      <c r="C1740" t="n">
        <v>13</v>
      </c>
      <c r="D1740" t="n">
        <v>10</v>
      </c>
      <c r="E1740" s="10" t="n">
        <v>0.605196</v>
      </c>
      <c r="F1740" s="10" t="n">
        <v>0.2314760235542457</v>
      </c>
      <c r="G1740" s="11">
        <f>E1740*Summary!$B$6</f>
        <v/>
      </c>
      <c r="H1740" s="11">
        <f>F1740*Summary!$B$7</f>
        <v/>
      </c>
      <c r="I1740" s="11">
        <f>MAX(0,N1740-M1740)</f>
        <v/>
      </c>
      <c r="J1740" s="11">
        <f>MAX(0,M1740-N1740)</f>
        <v/>
      </c>
      <c r="K1740" s="11">
        <f>O1740</f>
        <v/>
      </c>
      <c r="L1740" s="11">
        <f>L1739+IF(K1740&gt;0,K1740*Summary!$B$9,K1740/Summary!$B$9)</f>
        <v/>
      </c>
      <c r="M1740" s="11">
        <f>G1740+H1740</f>
        <v/>
      </c>
      <c r="N1740" s="11">
        <f>Summary!$C$16*Summary!$B$8</f>
        <v/>
      </c>
      <c r="O1740" s="11">
        <f>M1740-N1740</f>
        <v/>
      </c>
    </row>
    <row r="1741">
      <c r="A1741" s="9" t="n">
        <v>45364.45833333334</v>
      </c>
      <c r="B1741" t="n">
        <v>3</v>
      </c>
      <c r="C1741" t="n">
        <v>13</v>
      </c>
      <c r="D1741" t="n">
        <v>11</v>
      </c>
      <c r="E1741" s="10" t="n">
        <v>0.690381</v>
      </c>
      <c r="F1741" s="10" t="n">
        <v>0.2275232226055734</v>
      </c>
      <c r="G1741" s="11">
        <f>E1741*Summary!$B$6</f>
        <v/>
      </c>
      <c r="H1741" s="11">
        <f>F1741*Summary!$B$7</f>
        <v/>
      </c>
      <c r="I1741" s="11">
        <f>MAX(0,N1741-M1741)</f>
        <v/>
      </c>
      <c r="J1741" s="11">
        <f>MAX(0,M1741-N1741)</f>
        <v/>
      </c>
      <c r="K1741" s="11">
        <f>O1741</f>
        <v/>
      </c>
      <c r="L1741" s="11">
        <f>L1740+IF(K1741&gt;0,K1741*Summary!$B$9,K1741/Summary!$B$9)</f>
        <v/>
      </c>
      <c r="M1741" s="11">
        <f>G1741+H1741</f>
        <v/>
      </c>
      <c r="N1741" s="11">
        <f>Summary!$C$16*Summary!$B$8</f>
        <v/>
      </c>
      <c r="O1741" s="11">
        <f>M1741-N1741</f>
        <v/>
      </c>
    </row>
    <row r="1742">
      <c r="A1742" s="9" t="n">
        <v>45364.5</v>
      </c>
      <c r="B1742" t="n">
        <v>3</v>
      </c>
      <c r="C1742" t="n">
        <v>13</v>
      </c>
      <c r="D1742" t="n">
        <v>12</v>
      </c>
      <c r="E1742" s="10" t="n">
        <v>0.710091</v>
      </c>
      <c r="F1742" s="10" t="n">
        <v>0.2296313831115319</v>
      </c>
      <c r="G1742" s="11">
        <f>E1742*Summary!$B$6</f>
        <v/>
      </c>
      <c r="H1742" s="11">
        <f>F1742*Summary!$B$7</f>
        <v/>
      </c>
      <c r="I1742" s="11">
        <f>MAX(0,N1742-M1742)</f>
        <v/>
      </c>
      <c r="J1742" s="11">
        <f>MAX(0,M1742-N1742)</f>
        <v/>
      </c>
      <c r="K1742" s="11">
        <f>O1742</f>
        <v/>
      </c>
      <c r="L1742" s="11">
        <f>L1741+IF(K1742&gt;0,K1742*Summary!$B$9,K1742/Summary!$B$9)</f>
        <v/>
      </c>
      <c r="M1742" s="11">
        <f>G1742+H1742</f>
        <v/>
      </c>
      <c r="N1742" s="11">
        <f>Summary!$C$16*Summary!$B$8</f>
        <v/>
      </c>
      <c r="O1742" s="11">
        <f>M1742-N1742</f>
        <v/>
      </c>
    </row>
    <row r="1743">
      <c r="A1743" s="9" t="n">
        <v>45364.54166666666</v>
      </c>
      <c r="B1743" t="n">
        <v>3</v>
      </c>
      <c r="C1743" t="n">
        <v>13</v>
      </c>
      <c r="D1743" t="n">
        <v>13</v>
      </c>
      <c r="E1743" s="10" t="n">
        <v>0.491994</v>
      </c>
      <c r="F1743" s="10" t="n">
        <v>0.2319767116744108</v>
      </c>
      <c r="G1743" s="11">
        <f>E1743*Summary!$B$6</f>
        <v/>
      </c>
      <c r="H1743" s="11">
        <f>F1743*Summary!$B$7</f>
        <v/>
      </c>
      <c r="I1743" s="11">
        <f>MAX(0,N1743-M1743)</f>
        <v/>
      </c>
      <c r="J1743" s="11">
        <f>MAX(0,M1743-N1743)</f>
        <v/>
      </c>
      <c r="K1743" s="11">
        <f>O1743</f>
        <v/>
      </c>
      <c r="L1743" s="11">
        <f>L1742+IF(K1743&gt;0,K1743*Summary!$B$9,K1743/Summary!$B$9)</f>
        <v/>
      </c>
      <c r="M1743" s="11">
        <f>G1743+H1743</f>
        <v/>
      </c>
      <c r="N1743" s="11">
        <f>Summary!$C$16*Summary!$B$8</f>
        <v/>
      </c>
      <c r="O1743" s="11">
        <f>M1743-N1743</f>
        <v/>
      </c>
    </row>
    <row r="1744">
      <c r="A1744" s="9" t="n">
        <v>45364.58333333334</v>
      </c>
      <c r="B1744" t="n">
        <v>3</v>
      </c>
      <c r="C1744" t="n">
        <v>13</v>
      </c>
      <c r="D1744" t="n">
        <v>14</v>
      </c>
      <c r="E1744" s="10" t="n">
        <v>0.441205</v>
      </c>
      <c r="F1744" s="10" t="n">
        <v>0.2424648101915544</v>
      </c>
      <c r="G1744" s="11">
        <f>E1744*Summary!$B$6</f>
        <v/>
      </c>
      <c r="H1744" s="11">
        <f>F1744*Summary!$B$7</f>
        <v/>
      </c>
      <c r="I1744" s="11">
        <f>MAX(0,N1744-M1744)</f>
        <v/>
      </c>
      <c r="J1744" s="11">
        <f>MAX(0,M1744-N1744)</f>
        <v/>
      </c>
      <c r="K1744" s="11">
        <f>O1744</f>
        <v/>
      </c>
      <c r="L1744" s="11">
        <f>L1743+IF(K1744&gt;0,K1744*Summary!$B$9,K1744/Summary!$B$9)</f>
        <v/>
      </c>
      <c r="M1744" s="11">
        <f>G1744+H1744</f>
        <v/>
      </c>
      <c r="N1744" s="11">
        <f>Summary!$C$16*Summary!$B$8</f>
        <v/>
      </c>
      <c r="O1744" s="11">
        <f>M1744-N1744</f>
        <v/>
      </c>
    </row>
    <row r="1745">
      <c r="A1745" s="9" t="n">
        <v>45364.625</v>
      </c>
      <c r="B1745" t="n">
        <v>3</v>
      </c>
      <c r="C1745" t="n">
        <v>13</v>
      </c>
      <c r="D1745" t="n">
        <v>15</v>
      </c>
      <c r="E1745" s="10" t="n">
        <v>0.142621</v>
      </c>
      <c r="F1745" s="10" t="n">
        <v>0.2527684446644267</v>
      </c>
      <c r="G1745" s="11">
        <f>E1745*Summary!$B$6</f>
        <v/>
      </c>
      <c r="H1745" s="11">
        <f>F1745*Summary!$B$7</f>
        <v/>
      </c>
      <c r="I1745" s="11">
        <f>MAX(0,N1745-M1745)</f>
        <v/>
      </c>
      <c r="J1745" s="11">
        <f>MAX(0,M1745-N1745)</f>
        <v/>
      </c>
      <c r="K1745" s="11">
        <f>O1745</f>
        <v/>
      </c>
      <c r="L1745" s="11">
        <f>L1744+IF(K1745&gt;0,K1745*Summary!$B$9,K1745/Summary!$B$9)</f>
        <v/>
      </c>
      <c r="M1745" s="11">
        <f>G1745+H1745</f>
        <v/>
      </c>
      <c r="N1745" s="11">
        <f>Summary!$C$16*Summary!$B$8</f>
        <v/>
      </c>
      <c r="O1745" s="11">
        <f>M1745-N1745</f>
        <v/>
      </c>
    </row>
    <row r="1746">
      <c r="A1746" s="9" t="n">
        <v>45364.66666666666</v>
      </c>
      <c r="B1746" t="n">
        <v>3</v>
      </c>
      <c r="C1746" t="n">
        <v>13</v>
      </c>
      <c r="D1746" t="n">
        <v>16</v>
      </c>
      <c r="E1746" s="10" t="n">
        <v>0.112785</v>
      </c>
      <c r="F1746" s="10" t="n">
        <v>0.2671829921239181</v>
      </c>
      <c r="G1746" s="11">
        <f>E1746*Summary!$B$6</f>
        <v/>
      </c>
      <c r="H1746" s="11">
        <f>F1746*Summary!$B$7</f>
        <v/>
      </c>
      <c r="I1746" s="11">
        <f>MAX(0,N1746-M1746)</f>
        <v/>
      </c>
      <c r="J1746" s="11">
        <f>MAX(0,M1746-N1746)</f>
        <v/>
      </c>
      <c r="K1746" s="11">
        <f>O1746</f>
        <v/>
      </c>
      <c r="L1746" s="11">
        <f>L1745+IF(K1746&gt;0,K1746*Summary!$B$9,K1746/Summary!$B$9)</f>
        <v/>
      </c>
      <c r="M1746" s="11">
        <f>G1746+H1746</f>
        <v/>
      </c>
      <c r="N1746" s="11">
        <f>Summary!$C$16*Summary!$B$8</f>
        <v/>
      </c>
      <c r="O1746" s="11">
        <f>M1746-N1746</f>
        <v/>
      </c>
    </row>
    <row r="1747">
      <c r="A1747" s="9" t="n">
        <v>45364.70833333334</v>
      </c>
      <c r="B1747" t="n">
        <v>3</v>
      </c>
      <c r="C1747" t="n">
        <v>13</v>
      </c>
      <c r="D1747" t="n">
        <v>17</v>
      </c>
      <c r="E1747" s="10" t="n">
        <v>0.014254</v>
      </c>
      <c r="F1747" s="10" t="n">
        <v>0.2919011740562817</v>
      </c>
      <c r="G1747" s="11">
        <f>E1747*Summary!$B$6</f>
        <v/>
      </c>
      <c r="H1747" s="11">
        <f>F1747*Summary!$B$7</f>
        <v/>
      </c>
      <c r="I1747" s="11">
        <f>MAX(0,N1747-M1747)</f>
        <v/>
      </c>
      <c r="J1747" s="11">
        <f>MAX(0,M1747-N1747)</f>
        <v/>
      </c>
      <c r="K1747" s="11">
        <f>O1747</f>
        <v/>
      </c>
      <c r="L1747" s="11">
        <f>L1746+IF(K1747&gt;0,K1747*Summary!$B$9,K1747/Summary!$B$9)</f>
        <v/>
      </c>
      <c r="M1747" s="11">
        <f>G1747+H1747</f>
        <v/>
      </c>
      <c r="N1747" s="11">
        <f>Summary!$C$16*Summary!$B$8</f>
        <v/>
      </c>
      <c r="O1747" s="11">
        <f>M1747-N1747</f>
        <v/>
      </c>
    </row>
    <row r="1748">
      <c r="A1748" s="9" t="n">
        <v>45364.75</v>
      </c>
      <c r="B1748" t="n">
        <v>3</v>
      </c>
      <c r="C1748" t="n">
        <v>13</v>
      </c>
      <c r="D1748" t="n">
        <v>18</v>
      </c>
      <c r="E1748" s="10" t="n">
        <v>0</v>
      </c>
      <c r="F1748" s="10" t="n">
        <v>0.3184903484376836</v>
      </c>
      <c r="G1748" s="11">
        <f>E1748*Summary!$B$6</f>
        <v/>
      </c>
      <c r="H1748" s="11">
        <f>F1748*Summary!$B$7</f>
        <v/>
      </c>
      <c r="I1748" s="11">
        <f>MAX(0,N1748-M1748)</f>
        <v/>
      </c>
      <c r="J1748" s="11">
        <f>MAX(0,M1748-N1748)</f>
        <v/>
      </c>
      <c r="K1748" s="11">
        <f>O1748</f>
        <v/>
      </c>
      <c r="L1748" s="11">
        <f>L1747+IF(K1748&gt;0,K1748*Summary!$B$9,K1748/Summary!$B$9)</f>
        <v/>
      </c>
      <c r="M1748" s="11">
        <f>G1748+H1748</f>
        <v/>
      </c>
      <c r="N1748" s="11">
        <f>Summary!$C$16*Summary!$B$8</f>
        <v/>
      </c>
      <c r="O1748" s="11">
        <f>M1748-N1748</f>
        <v/>
      </c>
    </row>
    <row r="1749">
      <c r="A1749" s="9" t="n">
        <v>45364.79166666666</v>
      </c>
      <c r="B1749" t="n">
        <v>3</v>
      </c>
      <c r="C1749" t="n">
        <v>13</v>
      </c>
      <c r="D1749" t="n">
        <v>19</v>
      </c>
      <c r="E1749" s="10" t="n">
        <v>0</v>
      </c>
      <c r="F1749" s="10" t="n">
        <v>0.3414692979526315</v>
      </c>
      <c r="G1749" s="11">
        <f>E1749*Summary!$B$6</f>
        <v/>
      </c>
      <c r="H1749" s="11">
        <f>F1749*Summary!$B$7</f>
        <v/>
      </c>
      <c r="I1749" s="11">
        <f>MAX(0,N1749-M1749)</f>
        <v/>
      </c>
      <c r="J1749" s="11">
        <f>MAX(0,M1749-N1749)</f>
        <v/>
      </c>
      <c r="K1749" s="11">
        <f>O1749</f>
        <v/>
      </c>
      <c r="L1749" s="11">
        <f>L1748+IF(K1749&gt;0,K1749*Summary!$B$9,K1749/Summary!$B$9)</f>
        <v/>
      </c>
      <c r="M1749" s="11">
        <f>G1749+H1749</f>
        <v/>
      </c>
      <c r="N1749" s="11">
        <f>Summary!$C$16*Summary!$B$8</f>
        <v/>
      </c>
      <c r="O1749" s="11">
        <f>M1749-N1749</f>
        <v/>
      </c>
    </row>
    <row r="1750">
      <c r="A1750" s="9" t="n">
        <v>45364.83333333334</v>
      </c>
      <c r="B1750" t="n">
        <v>3</v>
      </c>
      <c r="C1750" t="n">
        <v>13</v>
      </c>
      <c r="D1750" t="n">
        <v>20</v>
      </c>
      <c r="E1750" s="10" t="n">
        <v>0</v>
      </c>
      <c r="F1750" s="10" t="n">
        <v>0.3511141322673917</v>
      </c>
      <c r="G1750" s="11">
        <f>E1750*Summary!$B$6</f>
        <v/>
      </c>
      <c r="H1750" s="11">
        <f>F1750*Summary!$B$7</f>
        <v/>
      </c>
      <c r="I1750" s="11">
        <f>MAX(0,N1750-M1750)</f>
        <v/>
      </c>
      <c r="J1750" s="11">
        <f>MAX(0,M1750-N1750)</f>
        <v/>
      </c>
      <c r="K1750" s="11">
        <f>O1750</f>
        <v/>
      </c>
      <c r="L1750" s="11">
        <f>L1749+IF(K1750&gt;0,K1750*Summary!$B$9,K1750/Summary!$B$9)</f>
        <v/>
      </c>
      <c r="M1750" s="11">
        <f>G1750+H1750</f>
        <v/>
      </c>
      <c r="N1750" s="11">
        <f>Summary!$C$16*Summary!$B$8</f>
        <v/>
      </c>
      <c r="O1750" s="11">
        <f>M1750-N1750</f>
        <v/>
      </c>
    </row>
    <row r="1751">
      <c r="A1751" s="9" t="n">
        <v>45364.875</v>
      </c>
      <c r="B1751" t="n">
        <v>3</v>
      </c>
      <c r="C1751" t="n">
        <v>13</v>
      </c>
      <c r="D1751" t="n">
        <v>21</v>
      </c>
      <c r="E1751" s="10" t="n">
        <v>0</v>
      </c>
      <c r="F1751" s="10" t="n">
        <v>0.3562527735006656</v>
      </c>
      <c r="G1751" s="11">
        <f>E1751*Summary!$B$6</f>
        <v/>
      </c>
      <c r="H1751" s="11">
        <f>F1751*Summary!$B$7</f>
        <v/>
      </c>
      <c r="I1751" s="11">
        <f>MAX(0,N1751-M1751)</f>
        <v/>
      </c>
      <c r="J1751" s="11">
        <f>MAX(0,M1751-N1751)</f>
        <v/>
      </c>
      <c r="K1751" s="11">
        <f>O1751</f>
        <v/>
      </c>
      <c r="L1751" s="11">
        <f>L1750+IF(K1751&gt;0,K1751*Summary!$B$9,K1751/Summary!$B$9)</f>
        <v/>
      </c>
      <c r="M1751" s="11">
        <f>G1751+H1751</f>
        <v/>
      </c>
      <c r="N1751" s="11">
        <f>Summary!$C$16*Summary!$B$8</f>
        <v/>
      </c>
      <c r="O1751" s="11">
        <f>M1751-N1751</f>
        <v/>
      </c>
    </row>
    <row r="1752">
      <c r="A1752" s="9" t="n">
        <v>45364.91666666666</v>
      </c>
      <c r="B1752" t="n">
        <v>3</v>
      </c>
      <c r="C1752" t="n">
        <v>13</v>
      </c>
      <c r="D1752" t="n">
        <v>22</v>
      </c>
      <c r="E1752" s="10" t="n">
        <v>0</v>
      </c>
      <c r="F1752" s="10" t="n">
        <v>0.3499546439891146</v>
      </c>
      <c r="G1752" s="11">
        <f>E1752*Summary!$B$6</f>
        <v/>
      </c>
      <c r="H1752" s="11">
        <f>F1752*Summary!$B$7</f>
        <v/>
      </c>
      <c r="I1752" s="11">
        <f>MAX(0,N1752-M1752)</f>
        <v/>
      </c>
      <c r="J1752" s="11">
        <f>MAX(0,M1752-N1752)</f>
        <v/>
      </c>
      <c r="K1752" s="11">
        <f>O1752</f>
        <v/>
      </c>
      <c r="L1752" s="11">
        <f>L1751+IF(K1752&gt;0,K1752*Summary!$B$9,K1752/Summary!$B$9)</f>
        <v/>
      </c>
      <c r="M1752" s="11">
        <f>G1752+H1752</f>
        <v/>
      </c>
      <c r="N1752" s="11">
        <f>Summary!$C$16*Summary!$B$8</f>
        <v/>
      </c>
      <c r="O1752" s="11">
        <f>M1752-N1752</f>
        <v/>
      </c>
    </row>
    <row r="1753">
      <c r="A1753" s="9" t="n">
        <v>45364.95833333334</v>
      </c>
      <c r="B1753" t="n">
        <v>3</v>
      </c>
      <c r="C1753" t="n">
        <v>13</v>
      </c>
      <c r="D1753" t="n">
        <v>23</v>
      </c>
      <c r="E1753" s="10" t="n">
        <v>0</v>
      </c>
      <c r="F1753" s="10" t="n">
        <v>0.3448687067684896</v>
      </c>
      <c r="G1753" s="11">
        <f>E1753*Summary!$B$6</f>
        <v/>
      </c>
      <c r="H1753" s="11">
        <f>F1753*Summary!$B$7</f>
        <v/>
      </c>
      <c r="I1753" s="11">
        <f>MAX(0,N1753-M1753)</f>
        <v/>
      </c>
      <c r="J1753" s="11">
        <f>MAX(0,M1753-N1753)</f>
        <v/>
      </c>
      <c r="K1753" s="11">
        <f>O1753</f>
        <v/>
      </c>
      <c r="L1753" s="11">
        <f>L1752+IF(K1753&gt;0,K1753*Summary!$B$9,K1753/Summary!$B$9)</f>
        <v/>
      </c>
      <c r="M1753" s="11">
        <f>G1753+H1753</f>
        <v/>
      </c>
      <c r="N1753" s="11">
        <f>Summary!$C$16*Summary!$B$8</f>
        <v/>
      </c>
      <c r="O1753" s="11">
        <f>M1753-N1753</f>
        <v/>
      </c>
    </row>
    <row r="1754">
      <c r="A1754" s="9" t="n">
        <v>45365</v>
      </c>
      <c r="B1754" t="n">
        <v>3</v>
      </c>
      <c r="C1754" t="n">
        <v>14</v>
      </c>
      <c r="D1754" t="n">
        <v>0</v>
      </c>
      <c r="E1754" s="10" t="n">
        <v>0</v>
      </c>
      <c r="F1754" s="10" t="n">
        <v>0.3445261306862714</v>
      </c>
      <c r="G1754" s="11">
        <f>E1754*Summary!$B$6</f>
        <v/>
      </c>
      <c r="H1754" s="11">
        <f>F1754*Summary!$B$7</f>
        <v/>
      </c>
      <c r="I1754" s="11">
        <f>MAX(0,N1754-M1754)</f>
        <v/>
      </c>
      <c r="J1754" s="11">
        <f>MAX(0,M1754-N1754)</f>
        <v/>
      </c>
      <c r="K1754" s="11">
        <f>O1754</f>
        <v/>
      </c>
      <c r="L1754" s="11">
        <f>L1753+IF(K1754&gt;0,K1754*Summary!$B$9,K1754/Summary!$B$9)</f>
        <v/>
      </c>
      <c r="M1754" s="11">
        <f>G1754+H1754</f>
        <v/>
      </c>
      <c r="N1754" s="11">
        <f>Summary!$C$16*Summary!$B$8</f>
        <v/>
      </c>
      <c r="O1754" s="11">
        <f>M1754-N1754</f>
        <v/>
      </c>
    </row>
    <row r="1755">
      <c r="A1755" s="9" t="n">
        <v>45365.04166666666</v>
      </c>
      <c r="B1755" t="n">
        <v>3</v>
      </c>
      <c r="C1755" t="n">
        <v>14</v>
      </c>
      <c r="D1755" t="n">
        <v>1</v>
      </c>
      <c r="E1755" s="10" t="n">
        <v>0</v>
      </c>
      <c r="F1755" s="10" t="n">
        <v>0.3364360647446555</v>
      </c>
      <c r="G1755" s="11">
        <f>E1755*Summary!$B$6</f>
        <v/>
      </c>
      <c r="H1755" s="11">
        <f>F1755*Summary!$B$7</f>
        <v/>
      </c>
      <c r="I1755" s="11">
        <f>MAX(0,N1755-M1755)</f>
        <v/>
      </c>
      <c r="J1755" s="11">
        <f>MAX(0,M1755-N1755)</f>
        <v/>
      </c>
      <c r="K1755" s="11">
        <f>O1755</f>
        <v/>
      </c>
      <c r="L1755" s="11">
        <f>L1754+IF(K1755&gt;0,K1755*Summary!$B$9,K1755/Summary!$B$9)</f>
        <v/>
      </c>
      <c r="M1755" s="11">
        <f>G1755+H1755</f>
        <v/>
      </c>
      <c r="N1755" s="11">
        <f>Summary!$C$16*Summary!$B$8</f>
        <v/>
      </c>
      <c r="O1755" s="11">
        <f>M1755-N1755</f>
        <v/>
      </c>
    </row>
    <row r="1756">
      <c r="A1756" s="9" t="n">
        <v>45365.08333333334</v>
      </c>
      <c r="B1756" t="n">
        <v>3</v>
      </c>
      <c r="C1756" t="n">
        <v>14</v>
      </c>
      <c r="D1756" t="n">
        <v>2</v>
      </c>
      <c r="E1756" s="10" t="n">
        <v>0</v>
      </c>
      <c r="F1756" s="10" t="n">
        <v>0.330664975359594</v>
      </c>
      <c r="G1756" s="11">
        <f>E1756*Summary!$B$6</f>
        <v/>
      </c>
      <c r="H1756" s="11">
        <f>F1756*Summary!$B$7</f>
        <v/>
      </c>
      <c r="I1756" s="11">
        <f>MAX(0,N1756-M1756)</f>
        <v/>
      </c>
      <c r="J1756" s="11">
        <f>MAX(0,M1756-N1756)</f>
        <v/>
      </c>
      <c r="K1756" s="11">
        <f>O1756</f>
        <v/>
      </c>
      <c r="L1756" s="11">
        <f>L1755+IF(K1756&gt;0,K1756*Summary!$B$9,K1756/Summary!$B$9)</f>
        <v/>
      </c>
      <c r="M1756" s="11">
        <f>G1756+H1756</f>
        <v/>
      </c>
      <c r="N1756" s="11">
        <f>Summary!$C$16*Summary!$B$8</f>
        <v/>
      </c>
      <c r="O1756" s="11">
        <f>M1756-N1756</f>
        <v/>
      </c>
    </row>
    <row r="1757">
      <c r="A1757" s="9" t="n">
        <v>45365.125</v>
      </c>
      <c r="B1757" t="n">
        <v>3</v>
      </c>
      <c r="C1757" t="n">
        <v>14</v>
      </c>
      <c r="D1757" t="n">
        <v>3</v>
      </c>
      <c r="E1757" s="10" t="n">
        <v>0</v>
      </c>
      <c r="F1757" s="10" t="n">
        <v>0.3231283015507923</v>
      </c>
      <c r="G1757" s="11">
        <f>E1757*Summary!$B$6</f>
        <v/>
      </c>
      <c r="H1757" s="11">
        <f>F1757*Summary!$B$7</f>
        <v/>
      </c>
      <c r="I1757" s="11">
        <f>MAX(0,N1757-M1757)</f>
        <v/>
      </c>
      <c r="J1757" s="11">
        <f>MAX(0,M1757-N1757)</f>
        <v/>
      </c>
      <c r="K1757" s="11">
        <f>O1757</f>
        <v/>
      </c>
      <c r="L1757" s="11">
        <f>L1756+IF(K1757&gt;0,K1757*Summary!$B$9,K1757/Summary!$B$9)</f>
        <v/>
      </c>
      <c r="M1757" s="11">
        <f>G1757+H1757</f>
        <v/>
      </c>
      <c r="N1757" s="11">
        <f>Summary!$C$16*Summary!$B$8</f>
        <v/>
      </c>
      <c r="O1757" s="11">
        <f>M1757-N1757</f>
        <v/>
      </c>
    </row>
    <row r="1758">
      <c r="A1758" s="9" t="n">
        <v>45365.16666666666</v>
      </c>
      <c r="B1758" t="n">
        <v>3</v>
      </c>
      <c r="C1758" t="n">
        <v>14</v>
      </c>
      <c r="D1758" t="n">
        <v>4</v>
      </c>
      <c r="E1758" s="10" t="n">
        <v>0</v>
      </c>
      <c r="F1758" s="10" t="n">
        <v>0.3156443317546396</v>
      </c>
      <c r="G1758" s="11">
        <f>E1758*Summary!$B$6</f>
        <v/>
      </c>
      <c r="H1758" s="11">
        <f>F1758*Summary!$B$7</f>
        <v/>
      </c>
      <c r="I1758" s="11">
        <f>MAX(0,N1758-M1758)</f>
        <v/>
      </c>
      <c r="J1758" s="11">
        <f>MAX(0,M1758-N1758)</f>
        <v/>
      </c>
      <c r="K1758" s="11">
        <f>O1758</f>
        <v/>
      </c>
      <c r="L1758" s="11">
        <f>L1757+IF(K1758&gt;0,K1758*Summary!$B$9,K1758/Summary!$B$9)</f>
        <v/>
      </c>
      <c r="M1758" s="11">
        <f>G1758+H1758</f>
        <v/>
      </c>
      <c r="N1758" s="11">
        <f>Summary!$C$16*Summary!$B$8</f>
        <v/>
      </c>
      <c r="O1758" s="11">
        <f>M1758-N1758</f>
        <v/>
      </c>
    </row>
    <row r="1759">
      <c r="A1759" s="9" t="n">
        <v>45365.20833333334</v>
      </c>
      <c r="B1759" t="n">
        <v>3</v>
      </c>
      <c r="C1759" t="n">
        <v>14</v>
      </c>
      <c r="D1759" t="n">
        <v>5</v>
      </c>
      <c r="E1759" s="10" t="n">
        <v>0</v>
      </c>
      <c r="F1759" s="10" t="n">
        <v>0.3095043142810354</v>
      </c>
      <c r="G1759" s="11">
        <f>E1759*Summary!$B$6</f>
        <v/>
      </c>
      <c r="H1759" s="11">
        <f>F1759*Summary!$B$7</f>
        <v/>
      </c>
      <c r="I1759" s="11">
        <f>MAX(0,N1759-M1759)</f>
        <v/>
      </c>
      <c r="J1759" s="11">
        <f>MAX(0,M1759-N1759)</f>
        <v/>
      </c>
      <c r="K1759" s="11">
        <f>O1759</f>
        <v/>
      </c>
      <c r="L1759" s="11">
        <f>L1758+IF(K1759&gt;0,K1759*Summary!$B$9,K1759/Summary!$B$9)</f>
        <v/>
      </c>
      <c r="M1759" s="11">
        <f>G1759+H1759</f>
        <v/>
      </c>
      <c r="N1759" s="11">
        <f>Summary!$C$16*Summary!$B$8</f>
        <v/>
      </c>
      <c r="O1759" s="11">
        <f>M1759-N1759</f>
        <v/>
      </c>
    </row>
    <row r="1760">
      <c r="A1760" s="9" t="n">
        <v>45365.25</v>
      </c>
      <c r="B1760" t="n">
        <v>3</v>
      </c>
      <c r="C1760" t="n">
        <v>14</v>
      </c>
      <c r="D1760" t="n">
        <v>6</v>
      </c>
      <c r="E1760" s="10" t="n">
        <v>0</v>
      </c>
      <c r="F1760" s="10" t="n">
        <v>0.3049454171869001</v>
      </c>
      <c r="G1760" s="11">
        <f>E1760*Summary!$B$6</f>
        <v/>
      </c>
      <c r="H1760" s="11">
        <f>F1760*Summary!$B$7</f>
        <v/>
      </c>
      <c r="I1760" s="11">
        <f>MAX(0,N1760-M1760)</f>
        <v/>
      </c>
      <c r="J1760" s="11">
        <f>MAX(0,M1760-N1760)</f>
        <v/>
      </c>
      <c r="K1760" s="11">
        <f>O1760</f>
        <v/>
      </c>
      <c r="L1760" s="11">
        <f>L1759+IF(K1760&gt;0,K1760*Summary!$B$9,K1760/Summary!$B$9)</f>
        <v/>
      </c>
      <c r="M1760" s="11">
        <f>G1760+H1760</f>
        <v/>
      </c>
      <c r="N1760" s="11">
        <f>Summary!$C$16*Summary!$B$8</f>
        <v/>
      </c>
      <c r="O1760" s="11">
        <f>M1760-N1760</f>
        <v/>
      </c>
    </row>
    <row r="1761">
      <c r="A1761" s="9" t="n">
        <v>45365.29166666666</v>
      </c>
      <c r="B1761" t="n">
        <v>3</v>
      </c>
      <c r="C1761" t="n">
        <v>14</v>
      </c>
      <c r="D1761" t="n">
        <v>7</v>
      </c>
      <c r="E1761" s="10" t="n">
        <v>0.042172</v>
      </c>
      <c r="F1761" s="10" t="n">
        <v>0.2938248705179689</v>
      </c>
      <c r="G1761" s="11">
        <f>E1761*Summary!$B$6</f>
        <v/>
      </c>
      <c r="H1761" s="11">
        <f>F1761*Summary!$B$7</f>
        <v/>
      </c>
      <c r="I1761" s="11">
        <f>MAX(0,N1761-M1761)</f>
        <v/>
      </c>
      <c r="J1761" s="11">
        <f>MAX(0,M1761-N1761)</f>
        <v/>
      </c>
      <c r="K1761" s="11">
        <f>O1761</f>
        <v/>
      </c>
      <c r="L1761" s="11">
        <f>L1760+IF(K1761&gt;0,K1761*Summary!$B$9,K1761/Summary!$B$9)</f>
        <v/>
      </c>
      <c r="M1761" s="11">
        <f>G1761+H1761</f>
        <v/>
      </c>
      <c r="N1761" s="11">
        <f>Summary!$C$16*Summary!$B$8</f>
        <v/>
      </c>
      <c r="O1761" s="11">
        <f>M1761-N1761</f>
        <v/>
      </c>
    </row>
    <row r="1762">
      <c r="A1762" s="9" t="n">
        <v>45365.33333333334</v>
      </c>
      <c r="B1762" t="n">
        <v>3</v>
      </c>
      <c r="C1762" t="n">
        <v>14</v>
      </c>
      <c r="D1762" t="n">
        <v>8</v>
      </c>
      <c r="E1762" s="10" t="n">
        <v>0.09908599999999999</v>
      </c>
      <c r="F1762" s="10" t="n">
        <v>0.2700553608132866</v>
      </c>
      <c r="G1762" s="11">
        <f>E1762*Summary!$B$6</f>
        <v/>
      </c>
      <c r="H1762" s="11">
        <f>F1762*Summary!$B$7</f>
        <v/>
      </c>
      <c r="I1762" s="11">
        <f>MAX(0,N1762-M1762)</f>
        <v/>
      </c>
      <c r="J1762" s="11">
        <f>MAX(0,M1762-N1762)</f>
        <v/>
      </c>
      <c r="K1762" s="11">
        <f>O1762</f>
        <v/>
      </c>
      <c r="L1762" s="11">
        <f>L1761+IF(K1762&gt;0,K1762*Summary!$B$9,K1762/Summary!$B$9)</f>
        <v/>
      </c>
      <c r="M1762" s="11">
        <f>G1762+H1762</f>
        <v/>
      </c>
      <c r="N1762" s="11">
        <f>Summary!$C$16*Summary!$B$8</f>
        <v/>
      </c>
      <c r="O1762" s="11">
        <f>M1762-N1762</f>
        <v/>
      </c>
    </row>
    <row r="1763">
      <c r="A1763" s="9" t="n">
        <v>45365.375</v>
      </c>
      <c r="B1763" t="n">
        <v>3</v>
      </c>
      <c r="C1763" t="n">
        <v>14</v>
      </c>
      <c r="D1763" t="n">
        <v>9</v>
      </c>
      <c r="E1763" s="10" t="n">
        <v>0.24428</v>
      </c>
      <c r="F1763" s="10" t="n">
        <v>0.2489210517410524</v>
      </c>
      <c r="G1763" s="11">
        <f>E1763*Summary!$B$6</f>
        <v/>
      </c>
      <c r="H1763" s="11">
        <f>F1763*Summary!$B$7</f>
        <v/>
      </c>
      <c r="I1763" s="11">
        <f>MAX(0,N1763-M1763)</f>
        <v/>
      </c>
      <c r="J1763" s="11">
        <f>MAX(0,M1763-N1763)</f>
        <v/>
      </c>
      <c r="K1763" s="11">
        <f>O1763</f>
        <v/>
      </c>
      <c r="L1763" s="11">
        <f>L1762+IF(K1763&gt;0,K1763*Summary!$B$9,K1763/Summary!$B$9)</f>
        <v/>
      </c>
      <c r="M1763" s="11">
        <f>G1763+H1763</f>
        <v/>
      </c>
      <c r="N1763" s="11">
        <f>Summary!$C$16*Summary!$B$8</f>
        <v/>
      </c>
      <c r="O1763" s="11">
        <f>M1763-N1763</f>
        <v/>
      </c>
    </row>
    <row r="1764">
      <c r="A1764" s="9" t="n">
        <v>45365.41666666666</v>
      </c>
      <c r="B1764" t="n">
        <v>3</v>
      </c>
      <c r="C1764" t="n">
        <v>14</v>
      </c>
      <c r="D1764" t="n">
        <v>10</v>
      </c>
      <c r="E1764" s="10" t="n">
        <v>0.272087</v>
      </c>
      <c r="F1764" s="10" t="n">
        <v>0.2347700243448058</v>
      </c>
      <c r="G1764" s="11">
        <f>E1764*Summary!$B$6</f>
        <v/>
      </c>
      <c r="H1764" s="11">
        <f>F1764*Summary!$B$7</f>
        <v/>
      </c>
      <c r="I1764" s="11">
        <f>MAX(0,N1764-M1764)</f>
        <v/>
      </c>
      <c r="J1764" s="11">
        <f>MAX(0,M1764-N1764)</f>
        <v/>
      </c>
      <c r="K1764" s="11">
        <f>O1764</f>
        <v/>
      </c>
      <c r="L1764" s="11">
        <f>L1763+IF(K1764&gt;0,K1764*Summary!$B$9,K1764/Summary!$B$9)</f>
        <v/>
      </c>
      <c r="M1764" s="11">
        <f>G1764+H1764</f>
        <v/>
      </c>
      <c r="N1764" s="11">
        <f>Summary!$C$16*Summary!$B$8</f>
        <v/>
      </c>
      <c r="O1764" s="11">
        <f>M1764-N1764</f>
        <v/>
      </c>
    </row>
    <row r="1765">
      <c r="A1765" s="9" t="n">
        <v>45365.45833333334</v>
      </c>
      <c r="B1765" t="n">
        <v>3</v>
      </c>
      <c r="C1765" t="n">
        <v>14</v>
      </c>
      <c r="D1765" t="n">
        <v>11</v>
      </c>
      <c r="E1765" s="10" t="n">
        <v>0.581135</v>
      </c>
      <c r="F1765" s="10" t="n">
        <v>0.241726954014469</v>
      </c>
      <c r="G1765" s="11">
        <f>E1765*Summary!$B$6</f>
        <v/>
      </c>
      <c r="H1765" s="11">
        <f>F1765*Summary!$B$7</f>
        <v/>
      </c>
      <c r="I1765" s="11">
        <f>MAX(0,N1765-M1765)</f>
        <v/>
      </c>
      <c r="J1765" s="11">
        <f>MAX(0,M1765-N1765)</f>
        <v/>
      </c>
      <c r="K1765" s="11">
        <f>O1765</f>
        <v/>
      </c>
      <c r="L1765" s="11">
        <f>L1764+IF(K1765&gt;0,K1765*Summary!$B$9,K1765/Summary!$B$9)</f>
        <v/>
      </c>
      <c r="M1765" s="11">
        <f>G1765+H1765</f>
        <v/>
      </c>
      <c r="N1765" s="11">
        <f>Summary!$C$16*Summary!$B$8</f>
        <v/>
      </c>
      <c r="O1765" s="11">
        <f>M1765-N1765</f>
        <v/>
      </c>
    </row>
    <row r="1766">
      <c r="A1766" s="9" t="n">
        <v>45365.5</v>
      </c>
      <c r="B1766" t="n">
        <v>3</v>
      </c>
      <c r="C1766" t="n">
        <v>14</v>
      </c>
      <c r="D1766" t="n">
        <v>12</v>
      </c>
      <c r="E1766" s="10" t="n">
        <v>0.729383</v>
      </c>
      <c r="F1766" s="10" t="n">
        <v>0.2325564558135494</v>
      </c>
      <c r="G1766" s="11">
        <f>E1766*Summary!$B$6</f>
        <v/>
      </c>
      <c r="H1766" s="11">
        <f>F1766*Summary!$B$7</f>
        <v/>
      </c>
      <c r="I1766" s="11">
        <f>MAX(0,N1766-M1766)</f>
        <v/>
      </c>
      <c r="J1766" s="11">
        <f>MAX(0,M1766-N1766)</f>
        <v/>
      </c>
      <c r="K1766" s="11">
        <f>O1766</f>
        <v/>
      </c>
      <c r="L1766" s="11">
        <f>L1765+IF(K1766&gt;0,K1766*Summary!$B$9,K1766/Summary!$B$9)</f>
        <v/>
      </c>
      <c r="M1766" s="11">
        <f>G1766+H1766</f>
        <v/>
      </c>
      <c r="N1766" s="11">
        <f>Summary!$C$16*Summary!$B$8</f>
        <v/>
      </c>
      <c r="O1766" s="11">
        <f>M1766-N1766</f>
        <v/>
      </c>
    </row>
    <row r="1767">
      <c r="A1767" s="9" t="n">
        <v>45365.54166666666</v>
      </c>
      <c r="B1767" t="n">
        <v>3</v>
      </c>
      <c r="C1767" t="n">
        <v>14</v>
      </c>
      <c r="D1767" t="n">
        <v>13</v>
      </c>
      <c r="E1767" s="10" t="n">
        <v>0.591704</v>
      </c>
      <c r="F1767" s="10" t="n">
        <v>0.2339267601424224</v>
      </c>
      <c r="G1767" s="11">
        <f>E1767*Summary!$B$6</f>
        <v/>
      </c>
      <c r="H1767" s="11">
        <f>F1767*Summary!$B$7</f>
        <v/>
      </c>
      <c r="I1767" s="11">
        <f>MAX(0,N1767-M1767)</f>
        <v/>
      </c>
      <c r="J1767" s="11">
        <f>MAX(0,M1767-N1767)</f>
        <v/>
      </c>
      <c r="K1767" s="11">
        <f>O1767</f>
        <v/>
      </c>
      <c r="L1767" s="11">
        <f>L1766+IF(K1767&gt;0,K1767*Summary!$B$9,K1767/Summary!$B$9)</f>
        <v/>
      </c>
      <c r="M1767" s="11">
        <f>G1767+H1767</f>
        <v/>
      </c>
      <c r="N1767" s="11">
        <f>Summary!$C$16*Summary!$B$8</f>
        <v/>
      </c>
      <c r="O1767" s="11">
        <f>M1767-N1767</f>
        <v/>
      </c>
    </row>
    <row r="1768">
      <c r="A1768" s="9" t="n">
        <v>45365.58333333334</v>
      </c>
      <c r="B1768" t="n">
        <v>3</v>
      </c>
      <c r="C1768" t="n">
        <v>14</v>
      </c>
      <c r="D1768" t="n">
        <v>14</v>
      </c>
      <c r="E1768" s="10" t="n">
        <v>0.50827</v>
      </c>
      <c r="F1768" s="10" t="n">
        <v>0.2391444573946698</v>
      </c>
      <c r="G1768" s="11">
        <f>E1768*Summary!$B$6</f>
        <v/>
      </c>
      <c r="H1768" s="11">
        <f>F1768*Summary!$B$7</f>
        <v/>
      </c>
      <c r="I1768" s="11">
        <f>MAX(0,N1768-M1768)</f>
        <v/>
      </c>
      <c r="J1768" s="11">
        <f>MAX(0,M1768-N1768)</f>
        <v/>
      </c>
      <c r="K1768" s="11">
        <f>O1768</f>
        <v/>
      </c>
      <c r="L1768" s="11">
        <f>L1767+IF(K1768&gt;0,K1768*Summary!$B$9,K1768/Summary!$B$9)</f>
        <v/>
      </c>
      <c r="M1768" s="11">
        <f>G1768+H1768</f>
        <v/>
      </c>
      <c r="N1768" s="11">
        <f>Summary!$C$16*Summary!$B$8</f>
        <v/>
      </c>
      <c r="O1768" s="11">
        <f>M1768-N1768</f>
        <v/>
      </c>
    </row>
    <row r="1769">
      <c r="A1769" s="9" t="n">
        <v>45365.625</v>
      </c>
      <c r="B1769" t="n">
        <v>3</v>
      </c>
      <c r="C1769" t="n">
        <v>14</v>
      </c>
      <c r="D1769" t="n">
        <v>15</v>
      </c>
      <c r="E1769" s="10" t="n">
        <v>0.105889</v>
      </c>
      <c r="F1769" s="10" t="n">
        <v>0.2470764112983387</v>
      </c>
      <c r="G1769" s="11">
        <f>E1769*Summary!$B$6</f>
        <v/>
      </c>
      <c r="H1769" s="11">
        <f>F1769*Summary!$B$7</f>
        <v/>
      </c>
      <c r="I1769" s="11">
        <f>MAX(0,N1769-M1769)</f>
        <v/>
      </c>
      <c r="J1769" s="11">
        <f>MAX(0,M1769-N1769)</f>
        <v/>
      </c>
      <c r="K1769" s="11">
        <f>O1769</f>
        <v/>
      </c>
      <c r="L1769" s="11">
        <f>L1768+IF(K1769&gt;0,K1769*Summary!$B$9,K1769/Summary!$B$9)</f>
        <v/>
      </c>
      <c r="M1769" s="11">
        <f>G1769+H1769</f>
        <v/>
      </c>
      <c r="N1769" s="11">
        <f>Summary!$C$16*Summary!$B$8</f>
        <v/>
      </c>
      <c r="O1769" s="11">
        <f>M1769-N1769</f>
        <v/>
      </c>
    </row>
    <row r="1770">
      <c r="A1770" s="9" t="n">
        <v>45365.66666666666</v>
      </c>
      <c r="B1770" t="n">
        <v>3</v>
      </c>
      <c r="C1770" t="n">
        <v>14</v>
      </c>
      <c r="D1770" t="n">
        <v>16</v>
      </c>
      <c r="E1770" s="10" t="n">
        <v>0.088131</v>
      </c>
      <c r="F1770" s="10" t="n">
        <v>0.2565104295625031</v>
      </c>
      <c r="G1770" s="11">
        <f>E1770*Summary!$B$6</f>
        <v/>
      </c>
      <c r="H1770" s="11">
        <f>F1770*Summary!$B$7</f>
        <v/>
      </c>
      <c r="I1770" s="11">
        <f>MAX(0,N1770-M1770)</f>
        <v/>
      </c>
      <c r="J1770" s="11">
        <f>MAX(0,M1770-N1770)</f>
        <v/>
      </c>
      <c r="K1770" s="11">
        <f>O1770</f>
        <v/>
      </c>
      <c r="L1770" s="11">
        <f>L1769+IF(K1770&gt;0,K1770*Summary!$B$9,K1770/Summary!$B$9)</f>
        <v/>
      </c>
      <c r="M1770" s="11">
        <f>G1770+H1770</f>
        <v/>
      </c>
      <c r="N1770" s="11">
        <f>Summary!$C$16*Summary!$B$8</f>
        <v/>
      </c>
      <c r="O1770" s="11">
        <f>M1770-N1770</f>
        <v/>
      </c>
    </row>
    <row r="1771">
      <c r="A1771" s="9" t="n">
        <v>45365.70833333334</v>
      </c>
      <c r="B1771" t="n">
        <v>3</v>
      </c>
      <c r="C1771" t="n">
        <v>14</v>
      </c>
      <c r="D1771" t="n">
        <v>17</v>
      </c>
      <c r="E1771" s="10" t="n">
        <v>0.025303</v>
      </c>
      <c r="F1771" s="10" t="n">
        <v>0.2734020656164958</v>
      </c>
      <c r="G1771" s="11">
        <f>E1771*Summary!$B$6</f>
        <v/>
      </c>
      <c r="H1771" s="11">
        <f>F1771*Summary!$B$7</f>
        <v/>
      </c>
      <c r="I1771" s="11">
        <f>MAX(0,N1771-M1771)</f>
        <v/>
      </c>
      <c r="J1771" s="11">
        <f>MAX(0,M1771-N1771)</f>
        <v/>
      </c>
      <c r="K1771" s="11">
        <f>O1771</f>
        <v/>
      </c>
      <c r="L1771" s="11">
        <f>L1770+IF(K1771&gt;0,K1771*Summary!$B$9,K1771/Summary!$B$9)</f>
        <v/>
      </c>
      <c r="M1771" s="11">
        <f>G1771+H1771</f>
        <v/>
      </c>
      <c r="N1771" s="11">
        <f>Summary!$C$16*Summary!$B$8</f>
        <v/>
      </c>
      <c r="O1771" s="11">
        <f>M1771-N1771</f>
        <v/>
      </c>
    </row>
    <row r="1772">
      <c r="A1772" s="9" t="n">
        <v>45365.75</v>
      </c>
      <c r="B1772" t="n">
        <v>3</v>
      </c>
      <c r="C1772" t="n">
        <v>14</v>
      </c>
      <c r="D1772" t="n">
        <v>18</v>
      </c>
      <c r="E1772" s="10" t="n">
        <v>0</v>
      </c>
      <c r="F1772" s="10" t="n">
        <v>0.301598712383691</v>
      </c>
      <c r="G1772" s="11">
        <f>E1772*Summary!$B$6</f>
        <v/>
      </c>
      <c r="H1772" s="11">
        <f>F1772*Summary!$B$7</f>
        <v/>
      </c>
      <c r="I1772" s="11">
        <f>MAX(0,N1772-M1772)</f>
        <v/>
      </c>
      <c r="J1772" s="11">
        <f>MAX(0,M1772-N1772)</f>
        <v/>
      </c>
      <c r="K1772" s="11">
        <f>O1772</f>
        <v/>
      </c>
      <c r="L1772" s="11">
        <f>L1771+IF(K1772&gt;0,K1772*Summary!$B$9,K1772/Summary!$B$9)</f>
        <v/>
      </c>
      <c r="M1772" s="11">
        <f>G1772+H1772</f>
        <v/>
      </c>
      <c r="N1772" s="11">
        <f>Summary!$C$16*Summary!$B$8</f>
        <v/>
      </c>
      <c r="O1772" s="11">
        <f>M1772-N1772</f>
        <v/>
      </c>
    </row>
    <row r="1773">
      <c r="A1773" s="9" t="n">
        <v>45365.79166666666</v>
      </c>
      <c r="B1773" t="n">
        <v>3</v>
      </c>
      <c r="C1773" t="n">
        <v>14</v>
      </c>
      <c r="D1773" t="n">
        <v>19</v>
      </c>
      <c r="E1773" s="10" t="n">
        <v>0</v>
      </c>
      <c r="F1773" s="10" t="n">
        <v>0.324419549860692</v>
      </c>
      <c r="G1773" s="11">
        <f>E1773*Summary!$B$6</f>
        <v/>
      </c>
      <c r="H1773" s="11">
        <f>F1773*Summary!$B$7</f>
        <v/>
      </c>
      <c r="I1773" s="11">
        <f>MAX(0,N1773-M1773)</f>
        <v/>
      </c>
      <c r="J1773" s="11">
        <f>MAX(0,M1773-N1773)</f>
        <v/>
      </c>
      <c r="K1773" s="11">
        <f>O1773</f>
        <v/>
      </c>
      <c r="L1773" s="11">
        <f>L1772+IF(K1773&gt;0,K1773*Summary!$B$9,K1773/Summary!$B$9)</f>
        <v/>
      </c>
      <c r="M1773" s="11">
        <f>G1773+H1773</f>
        <v/>
      </c>
      <c r="N1773" s="11">
        <f>Summary!$C$16*Summary!$B$8</f>
        <v/>
      </c>
      <c r="O1773" s="11">
        <f>M1773-N1773</f>
        <v/>
      </c>
    </row>
    <row r="1774">
      <c r="A1774" s="9" t="n">
        <v>45365.83333333334</v>
      </c>
      <c r="B1774" t="n">
        <v>3</v>
      </c>
      <c r="C1774" t="n">
        <v>14</v>
      </c>
      <c r="D1774" t="n">
        <v>20</v>
      </c>
      <c r="E1774" s="10" t="n">
        <v>0</v>
      </c>
      <c r="F1774" s="10" t="n">
        <v>0.3368313448395228</v>
      </c>
      <c r="G1774" s="11">
        <f>E1774*Summary!$B$6</f>
        <v/>
      </c>
      <c r="H1774" s="11">
        <f>F1774*Summary!$B$7</f>
        <v/>
      </c>
      <c r="I1774" s="11">
        <f>MAX(0,N1774-M1774)</f>
        <v/>
      </c>
      <c r="J1774" s="11">
        <f>MAX(0,M1774-N1774)</f>
        <v/>
      </c>
      <c r="K1774" s="11">
        <f>O1774</f>
        <v/>
      </c>
      <c r="L1774" s="11">
        <f>L1773+IF(K1774&gt;0,K1774*Summary!$B$9,K1774/Summary!$B$9)</f>
        <v/>
      </c>
      <c r="M1774" s="11">
        <f>G1774+H1774</f>
        <v/>
      </c>
      <c r="N1774" s="11">
        <f>Summary!$C$16*Summary!$B$8</f>
        <v/>
      </c>
      <c r="O1774" s="11">
        <f>M1774-N1774</f>
        <v/>
      </c>
    </row>
    <row r="1775">
      <c r="A1775" s="9" t="n">
        <v>45365.875</v>
      </c>
      <c r="B1775" t="n">
        <v>3</v>
      </c>
      <c r="C1775" t="n">
        <v>14</v>
      </c>
      <c r="D1775" t="n">
        <v>21</v>
      </c>
      <c r="E1775" s="10" t="n">
        <v>0</v>
      </c>
      <c r="F1775" s="10" t="n">
        <v>0.3437619225028614</v>
      </c>
      <c r="G1775" s="11">
        <f>E1775*Summary!$B$6</f>
        <v/>
      </c>
      <c r="H1775" s="11">
        <f>F1775*Summary!$B$7</f>
        <v/>
      </c>
      <c r="I1775" s="11">
        <f>MAX(0,N1775-M1775)</f>
        <v/>
      </c>
      <c r="J1775" s="11">
        <f>MAX(0,M1775-N1775)</f>
        <v/>
      </c>
      <c r="K1775" s="11">
        <f>O1775</f>
        <v/>
      </c>
      <c r="L1775" s="11">
        <f>L1774+IF(K1775&gt;0,K1775*Summary!$B$9,K1775/Summary!$B$9)</f>
        <v/>
      </c>
      <c r="M1775" s="11">
        <f>G1775+H1775</f>
        <v/>
      </c>
      <c r="N1775" s="11">
        <f>Summary!$C$16*Summary!$B$8</f>
        <v/>
      </c>
      <c r="O1775" s="11">
        <f>M1775-N1775</f>
        <v/>
      </c>
    </row>
    <row r="1776">
      <c r="A1776" s="9" t="n">
        <v>45365.91666666666</v>
      </c>
      <c r="B1776" t="n">
        <v>3</v>
      </c>
      <c r="C1776" t="n">
        <v>14</v>
      </c>
      <c r="D1776" t="n">
        <v>22</v>
      </c>
      <c r="E1776" s="10" t="n">
        <v>0</v>
      </c>
      <c r="F1776" s="10" t="n">
        <v>0.3441308505914041</v>
      </c>
      <c r="G1776" s="11">
        <f>E1776*Summary!$B$6</f>
        <v/>
      </c>
      <c r="H1776" s="11">
        <f>F1776*Summary!$B$7</f>
        <v/>
      </c>
      <c r="I1776" s="11">
        <f>MAX(0,N1776-M1776)</f>
        <v/>
      </c>
      <c r="J1776" s="11">
        <f>MAX(0,M1776-N1776)</f>
        <v/>
      </c>
      <c r="K1776" s="11">
        <f>O1776</f>
        <v/>
      </c>
      <c r="L1776" s="11">
        <f>L1775+IF(K1776&gt;0,K1776*Summary!$B$9,K1776/Summary!$B$9)</f>
        <v/>
      </c>
      <c r="M1776" s="11">
        <f>G1776+H1776</f>
        <v/>
      </c>
      <c r="N1776" s="11">
        <f>Summary!$C$16*Summary!$B$8</f>
        <v/>
      </c>
      <c r="O1776" s="11">
        <f>M1776-N1776</f>
        <v/>
      </c>
    </row>
    <row r="1777">
      <c r="A1777" s="9" t="n">
        <v>45365.95833333334</v>
      </c>
      <c r="B1777" t="n">
        <v>3</v>
      </c>
      <c r="C1777" t="n">
        <v>14</v>
      </c>
      <c r="D1777" t="n">
        <v>23</v>
      </c>
      <c r="E1777" s="10" t="n">
        <v>0</v>
      </c>
      <c r="F1777" s="10" t="n">
        <v>0.3394138414593219</v>
      </c>
      <c r="G1777" s="11">
        <f>E1777*Summary!$B$6</f>
        <v/>
      </c>
      <c r="H1777" s="11">
        <f>F1777*Summary!$B$7</f>
        <v/>
      </c>
      <c r="I1777" s="11">
        <f>MAX(0,N1777-M1777)</f>
        <v/>
      </c>
      <c r="J1777" s="11">
        <f>MAX(0,M1777-N1777)</f>
        <v/>
      </c>
      <c r="K1777" s="11">
        <f>O1777</f>
        <v/>
      </c>
      <c r="L1777" s="11">
        <f>L1776+IF(K1777&gt;0,K1777*Summary!$B$9,K1777/Summary!$B$9)</f>
        <v/>
      </c>
      <c r="M1777" s="11">
        <f>G1777+H1777</f>
        <v/>
      </c>
      <c r="N1777" s="11">
        <f>Summary!$C$16*Summary!$B$8</f>
        <v/>
      </c>
      <c r="O1777" s="11">
        <f>M1777-N1777</f>
        <v/>
      </c>
    </row>
    <row r="1778">
      <c r="A1778" s="9" t="n">
        <v>45366</v>
      </c>
      <c r="B1778" t="n">
        <v>3</v>
      </c>
      <c r="C1778" t="n">
        <v>15</v>
      </c>
      <c r="D1778" t="n">
        <v>0</v>
      </c>
      <c r="E1778" s="10" t="n">
        <v>0</v>
      </c>
      <c r="F1778" s="10" t="n">
        <v>0.3634732232335736</v>
      </c>
      <c r="G1778" s="11">
        <f>E1778*Summary!$B$6</f>
        <v/>
      </c>
      <c r="H1778" s="11">
        <f>F1778*Summary!$B$7</f>
        <v/>
      </c>
      <c r="I1778" s="11">
        <f>MAX(0,N1778-M1778)</f>
        <v/>
      </c>
      <c r="J1778" s="11">
        <f>MAX(0,M1778-N1778)</f>
        <v/>
      </c>
      <c r="K1778" s="11">
        <f>O1778</f>
        <v/>
      </c>
      <c r="L1778" s="11">
        <f>L1777+IF(K1778&gt;0,K1778*Summary!$B$9,K1778/Summary!$B$9)</f>
        <v/>
      </c>
      <c r="M1778" s="11">
        <f>G1778+H1778</f>
        <v/>
      </c>
      <c r="N1778" s="11">
        <f>Summary!$C$16*Summary!$B$8</f>
        <v/>
      </c>
      <c r="O1778" s="11">
        <f>M1778-N1778</f>
        <v/>
      </c>
    </row>
    <row r="1779">
      <c r="A1779" s="9" t="n">
        <v>45366.04166666666</v>
      </c>
      <c r="B1779" t="n">
        <v>3</v>
      </c>
      <c r="C1779" t="n">
        <v>15</v>
      </c>
      <c r="D1779" t="n">
        <v>1</v>
      </c>
      <c r="E1779" s="10" t="n">
        <v>0</v>
      </c>
      <c r="F1779" s="10" t="n">
        <v>0.3434456984269676</v>
      </c>
      <c r="G1779" s="11">
        <f>E1779*Summary!$B$6</f>
        <v/>
      </c>
      <c r="H1779" s="11">
        <f>F1779*Summary!$B$7</f>
        <v/>
      </c>
      <c r="I1779" s="11">
        <f>MAX(0,N1779-M1779)</f>
        <v/>
      </c>
      <c r="J1779" s="11">
        <f>MAX(0,M1779-N1779)</f>
        <v/>
      </c>
      <c r="K1779" s="11">
        <f>O1779</f>
        <v/>
      </c>
      <c r="L1779" s="11">
        <f>L1778+IF(K1779&gt;0,K1779*Summary!$B$9,K1779/Summary!$B$9)</f>
        <v/>
      </c>
      <c r="M1779" s="11">
        <f>G1779+H1779</f>
        <v/>
      </c>
      <c r="N1779" s="11">
        <f>Summary!$C$16*Summary!$B$8</f>
        <v/>
      </c>
      <c r="O1779" s="11">
        <f>M1779-N1779</f>
        <v/>
      </c>
    </row>
    <row r="1780">
      <c r="A1780" s="9" t="n">
        <v>45366.08333333334</v>
      </c>
      <c r="B1780" t="n">
        <v>3</v>
      </c>
      <c r="C1780" t="n">
        <v>15</v>
      </c>
      <c r="D1780" t="n">
        <v>2</v>
      </c>
      <c r="E1780" s="10" t="n">
        <v>0</v>
      </c>
      <c r="F1780" s="10" t="n">
        <v>0.3474775553946133</v>
      </c>
      <c r="G1780" s="11">
        <f>E1780*Summary!$B$6</f>
        <v/>
      </c>
      <c r="H1780" s="11">
        <f>F1780*Summary!$B$7</f>
        <v/>
      </c>
      <c r="I1780" s="11">
        <f>MAX(0,N1780-M1780)</f>
        <v/>
      </c>
      <c r="J1780" s="11">
        <f>MAX(0,M1780-N1780)</f>
        <v/>
      </c>
      <c r="K1780" s="11">
        <f>O1780</f>
        <v/>
      </c>
      <c r="L1780" s="11">
        <f>L1779+IF(K1780&gt;0,K1780*Summary!$B$9,K1780/Summary!$B$9)</f>
        <v/>
      </c>
      <c r="M1780" s="11">
        <f>G1780+H1780</f>
        <v/>
      </c>
      <c r="N1780" s="11">
        <f>Summary!$C$16*Summary!$B$8</f>
        <v/>
      </c>
      <c r="O1780" s="11">
        <f>M1780-N1780</f>
        <v/>
      </c>
    </row>
    <row r="1781">
      <c r="A1781" s="9" t="n">
        <v>45366.125</v>
      </c>
      <c r="B1781" t="n">
        <v>3</v>
      </c>
      <c r="C1781" t="n">
        <v>15</v>
      </c>
      <c r="D1781" t="n">
        <v>3</v>
      </c>
      <c r="E1781" s="10" t="n">
        <v>0</v>
      </c>
      <c r="F1781" s="10" t="n">
        <v>0.346476179154283</v>
      </c>
      <c r="G1781" s="11">
        <f>E1781*Summary!$B$6</f>
        <v/>
      </c>
      <c r="H1781" s="11">
        <f>F1781*Summary!$B$7</f>
        <v/>
      </c>
      <c r="I1781" s="11">
        <f>MAX(0,N1781-M1781)</f>
        <v/>
      </c>
      <c r="J1781" s="11">
        <f>MAX(0,M1781-N1781)</f>
        <v/>
      </c>
      <c r="K1781" s="11">
        <f>O1781</f>
        <v/>
      </c>
      <c r="L1781" s="11">
        <f>L1780+IF(K1781&gt;0,K1781*Summary!$B$9,K1781/Summary!$B$9)</f>
        <v/>
      </c>
      <c r="M1781" s="11">
        <f>G1781+H1781</f>
        <v/>
      </c>
      <c r="N1781" s="11">
        <f>Summary!$C$16*Summary!$B$8</f>
        <v/>
      </c>
      <c r="O1781" s="11">
        <f>M1781-N1781</f>
        <v/>
      </c>
    </row>
    <row r="1782">
      <c r="A1782" s="9" t="n">
        <v>45366.16666666666</v>
      </c>
      <c r="B1782" t="n">
        <v>3</v>
      </c>
      <c r="C1782" t="n">
        <v>15</v>
      </c>
      <c r="D1782" t="n">
        <v>4</v>
      </c>
      <c r="E1782" s="10" t="n">
        <v>0</v>
      </c>
      <c r="F1782" s="10" t="n">
        <v>0.3531432367543768</v>
      </c>
      <c r="G1782" s="11">
        <f>E1782*Summary!$B$6</f>
        <v/>
      </c>
      <c r="H1782" s="11">
        <f>F1782*Summary!$B$7</f>
        <v/>
      </c>
      <c r="I1782" s="11">
        <f>MAX(0,N1782-M1782)</f>
        <v/>
      </c>
      <c r="J1782" s="11">
        <f>MAX(0,M1782-N1782)</f>
        <v/>
      </c>
      <c r="K1782" s="11">
        <f>O1782</f>
        <v/>
      </c>
      <c r="L1782" s="11">
        <f>L1781+IF(K1782&gt;0,K1782*Summary!$B$9,K1782/Summary!$B$9)</f>
        <v/>
      </c>
      <c r="M1782" s="11">
        <f>G1782+H1782</f>
        <v/>
      </c>
      <c r="N1782" s="11">
        <f>Summary!$C$16*Summary!$B$8</f>
        <v/>
      </c>
      <c r="O1782" s="11">
        <f>M1782-N1782</f>
        <v/>
      </c>
    </row>
    <row r="1783">
      <c r="A1783" s="9" t="n">
        <v>45366.20833333334</v>
      </c>
      <c r="B1783" t="n">
        <v>3</v>
      </c>
      <c r="C1783" t="n">
        <v>15</v>
      </c>
      <c r="D1783" t="n">
        <v>5</v>
      </c>
      <c r="E1783" s="10" t="n">
        <v>0</v>
      </c>
      <c r="F1783" s="10" t="n">
        <v>0.3592041982090076</v>
      </c>
      <c r="G1783" s="11">
        <f>E1783*Summary!$B$6</f>
        <v/>
      </c>
      <c r="H1783" s="11">
        <f>F1783*Summary!$B$7</f>
        <v/>
      </c>
      <c r="I1783" s="11">
        <f>MAX(0,N1783-M1783)</f>
        <v/>
      </c>
      <c r="J1783" s="11">
        <f>MAX(0,M1783-N1783)</f>
        <v/>
      </c>
      <c r="K1783" s="11">
        <f>O1783</f>
        <v/>
      </c>
      <c r="L1783" s="11">
        <f>L1782+IF(K1783&gt;0,K1783*Summary!$B$9,K1783/Summary!$B$9)</f>
        <v/>
      </c>
      <c r="M1783" s="11">
        <f>G1783+H1783</f>
        <v/>
      </c>
      <c r="N1783" s="11">
        <f>Summary!$C$16*Summary!$B$8</f>
        <v/>
      </c>
      <c r="O1783" s="11">
        <f>M1783-N1783</f>
        <v/>
      </c>
    </row>
    <row r="1784">
      <c r="A1784" s="9" t="n">
        <v>45366.25</v>
      </c>
      <c r="B1784" t="n">
        <v>3</v>
      </c>
      <c r="C1784" t="n">
        <v>15</v>
      </c>
      <c r="D1784" t="n">
        <v>6</v>
      </c>
      <c r="E1784" s="10" t="n">
        <v>0</v>
      </c>
      <c r="F1784" s="10" t="n">
        <v>0.3661874798849952</v>
      </c>
      <c r="G1784" s="11">
        <f>E1784*Summary!$B$6</f>
        <v/>
      </c>
      <c r="H1784" s="11">
        <f>F1784*Summary!$B$7</f>
        <v/>
      </c>
      <c r="I1784" s="11">
        <f>MAX(0,N1784-M1784)</f>
        <v/>
      </c>
      <c r="J1784" s="11">
        <f>MAX(0,M1784-N1784)</f>
        <v/>
      </c>
      <c r="K1784" s="11">
        <f>O1784</f>
        <v/>
      </c>
      <c r="L1784" s="11">
        <f>L1783+IF(K1784&gt;0,K1784*Summary!$B$9,K1784/Summary!$B$9)</f>
        <v/>
      </c>
      <c r="M1784" s="11">
        <f>G1784+H1784</f>
        <v/>
      </c>
      <c r="N1784" s="11">
        <f>Summary!$C$16*Summary!$B$8</f>
        <v/>
      </c>
      <c r="O1784" s="11">
        <f>M1784-N1784</f>
        <v/>
      </c>
    </row>
    <row r="1785">
      <c r="A1785" s="9" t="n">
        <v>45366.29166666666</v>
      </c>
      <c r="B1785" t="n">
        <v>3</v>
      </c>
      <c r="C1785" t="n">
        <v>15</v>
      </c>
      <c r="D1785" t="n">
        <v>7</v>
      </c>
      <c r="E1785" s="10" t="n">
        <v>0.09787999999999999</v>
      </c>
      <c r="F1785" s="10" t="n">
        <v>0.357860245886459</v>
      </c>
      <c r="G1785" s="11">
        <f>E1785*Summary!$B$6</f>
        <v/>
      </c>
      <c r="H1785" s="11">
        <f>F1785*Summary!$B$7</f>
        <v/>
      </c>
      <c r="I1785" s="11">
        <f>MAX(0,N1785-M1785)</f>
        <v/>
      </c>
      <c r="J1785" s="11">
        <f>MAX(0,M1785-N1785)</f>
        <v/>
      </c>
      <c r="K1785" s="11">
        <f>O1785</f>
        <v/>
      </c>
      <c r="L1785" s="11">
        <f>L1784+IF(K1785&gt;0,K1785*Summary!$B$9,K1785/Summary!$B$9)</f>
        <v/>
      </c>
      <c r="M1785" s="11">
        <f>G1785+H1785</f>
        <v/>
      </c>
      <c r="N1785" s="11">
        <f>Summary!$C$16*Summary!$B$8</f>
        <v/>
      </c>
      <c r="O1785" s="11">
        <f>M1785-N1785</f>
        <v/>
      </c>
    </row>
    <row r="1786">
      <c r="A1786" s="9" t="n">
        <v>45366.33333333334</v>
      </c>
      <c r="B1786" t="n">
        <v>3</v>
      </c>
      <c r="C1786" t="n">
        <v>15</v>
      </c>
      <c r="D1786" t="n">
        <v>8</v>
      </c>
      <c r="E1786" s="10" t="n">
        <v>0.299848</v>
      </c>
      <c r="F1786" s="10" t="n">
        <v>0.3410213138451153</v>
      </c>
      <c r="G1786" s="11">
        <f>E1786*Summary!$B$6</f>
        <v/>
      </c>
      <c r="H1786" s="11">
        <f>F1786*Summary!$B$7</f>
        <v/>
      </c>
      <c r="I1786" s="11">
        <f>MAX(0,N1786-M1786)</f>
        <v/>
      </c>
      <c r="J1786" s="11">
        <f>MAX(0,M1786-N1786)</f>
        <v/>
      </c>
      <c r="K1786" s="11">
        <f>O1786</f>
        <v/>
      </c>
      <c r="L1786" s="11">
        <f>L1785+IF(K1786&gt;0,K1786*Summary!$B$9,K1786/Summary!$B$9)</f>
        <v/>
      </c>
      <c r="M1786" s="11">
        <f>G1786+H1786</f>
        <v/>
      </c>
      <c r="N1786" s="11">
        <f>Summary!$C$16*Summary!$B$8</f>
        <v/>
      </c>
      <c r="O1786" s="11">
        <f>M1786-N1786</f>
        <v/>
      </c>
    </row>
    <row r="1787">
      <c r="A1787" s="9" t="n">
        <v>45366.375</v>
      </c>
      <c r="B1787" t="n">
        <v>3</v>
      </c>
      <c r="C1787" t="n">
        <v>15</v>
      </c>
      <c r="D1787" t="n">
        <v>9</v>
      </c>
      <c r="E1787" s="10" t="n">
        <v>0.493502</v>
      </c>
      <c r="F1787" s="10" t="n">
        <v>0.3226276134306272</v>
      </c>
      <c r="G1787" s="11">
        <f>E1787*Summary!$B$6</f>
        <v/>
      </c>
      <c r="H1787" s="11">
        <f>F1787*Summary!$B$7</f>
        <v/>
      </c>
      <c r="I1787" s="11">
        <f>MAX(0,N1787-M1787)</f>
        <v/>
      </c>
      <c r="J1787" s="11">
        <f>MAX(0,M1787-N1787)</f>
        <v/>
      </c>
      <c r="K1787" s="11">
        <f>O1787</f>
        <v/>
      </c>
      <c r="L1787" s="11">
        <f>L1786+IF(K1787&gt;0,K1787*Summary!$B$9,K1787/Summary!$B$9)</f>
        <v/>
      </c>
      <c r="M1787" s="11">
        <f>G1787+H1787</f>
        <v/>
      </c>
      <c r="N1787" s="11">
        <f>Summary!$C$16*Summary!$B$8</f>
        <v/>
      </c>
      <c r="O1787" s="11">
        <f>M1787-N1787</f>
        <v/>
      </c>
    </row>
    <row r="1788">
      <c r="A1788" s="9" t="n">
        <v>45366.41666666666</v>
      </c>
      <c r="B1788" t="n">
        <v>3</v>
      </c>
      <c r="C1788" t="n">
        <v>15</v>
      </c>
      <c r="D1788" t="n">
        <v>10</v>
      </c>
      <c r="E1788" s="10" t="n">
        <v>0.640242</v>
      </c>
      <c r="F1788" s="10" t="n">
        <v>0.3240242697658248</v>
      </c>
      <c r="G1788" s="11">
        <f>E1788*Summary!$B$6</f>
        <v/>
      </c>
      <c r="H1788" s="11">
        <f>F1788*Summary!$B$7</f>
        <v/>
      </c>
      <c r="I1788" s="11">
        <f>MAX(0,N1788-M1788)</f>
        <v/>
      </c>
      <c r="J1788" s="11">
        <f>MAX(0,M1788-N1788)</f>
        <v/>
      </c>
      <c r="K1788" s="11">
        <f>O1788</f>
        <v/>
      </c>
      <c r="L1788" s="11">
        <f>L1787+IF(K1788&gt;0,K1788*Summary!$B$9,K1788/Summary!$B$9)</f>
        <v/>
      </c>
      <c r="M1788" s="11">
        <f>G1788+H1788</f>
        <v/>
      </c>
      <c r="N1788" s="11">
        <f>Summary!$C$16*Summary!$B$8</f>
        <v/>
      </c>
      <c r="O1788" s="11">
        <f>M1788-N1788</f>
        <v/>
      </c>
    </row>
    <row r="1789">
      <c r="A1789" s="9" t="n">
        <v>45366.45833333334</v>
      </c>
      <c r="B1789" t="n">
        <v>3</v>
      </c>
      <c r="C1789" t="n">
        <v>15</v>
      </c>
      <c r="D1789" t="n">
        <v>11</v>
      </c>
      <c r="E1789" s="10" t="n">
        <v>0.722655</v>
      </c>
      <c r="F1789" s="10" t="n">
        <v>0.3345650722956173</v>
      </c>
      <c r="G1789" s="11">
        <f>E1789*Summary!$B$6</f>
        <v/>
      </c>
      <c r="H1789" s="11">
        <f>F1789*Summary!$B$7</f>
        <v/>
      </c>
      <c r="I1789" s="11">
        <f>MAX(0,N1789-M1789)</f>
        <v/>
      </c>
      <c r="J1789" s="11">
        <f>MAX(0,M1789-N1789)</f>
        <v/>
      </c>
      <c r="K1789" s="11">
        <f>O1789</f>
        <v/>
      </c>
      <c r="L1789" s="11">
        <f>L1788+IF(K1789&gt;0,K1789*Summary!$B$9,K1789/Summary!$B$9)</f>
        <v/>
      </c>
      <c r="M1789" s="11">
        <f>G1789+H1789</f>
        <v/>
      </c>
      <c r="N1789" s="11">
        <f>Summary!$C$16*Summary!$B$8</f>
        <v/>
      </c>
      <c r="O1789" s="11">
        <f>M1789-N1789</f>
        <v/>
      </c>
    </row>
    <row r="1790">
      <c r="A1790" s="9" t="n">
        <v>45366.5</v>
      </c>
      <c r="B1790" t="n">
        <v>3</v>
      </c>
      <c r="C1790" t="n">
        <v>15</v>
      </c>
      <c r="D1790" t="n">
        <v>12</v>
      </c>
      <c r="E1790" s="10" t="n">
        <v>0.744012</v>
      </c>
      <c r="F1790" s="10" t="n">
        <v>0.3453430428823303</v>
      </c>
      <c r="G1790" s="11">
        <f>E1790*Summary!$B$6</f>
        <v/>
      </c>
      <c r="H1790" s="11">
        <f>F1790*Summary!$B$7</f>
        <v/>
      </c>
      <c r="I1790" s="11">
        <f>MAX(0,N1790-M1790)</f>
        <v/>
      </c>
      <c r="J1790" s="11">
        <f>MAX(0,M1790-N1790)</f>
        <v/>
      </c>
      <c r="K1790" s="11">
        <f>O1790</f>
        <v/>
      </c>
      <c r="L1790" s="11">
        <f>L1789+IF(K1790&gt;0,K1790*Summary!$B$9,K1790/Summary!$B$9)</f>
        <v/>
      </c>
      <c r="M1790" s="11">
        <f>G1790+H1790</f>
        <v/>
      </c>
      <c r="N1790" s="11">
        <f>Summary!$C$16*Summary!$B$8</f>
        <v/>
      </c>
      <c r="O1790" s="11">
        <f>M1790-N1790</f>
        <v/>
      </c>
    </row>
    <row r="1791">
      <c r="A1791" s="9" t="n">
        <v>45366.54166666666</v>
      </c>
      <c r="B1791" t="n">
        <v>3</v>
      </c>
      <c r="C1791" t="n">
        <v>15</v>
      </c>
      <c r="D1791" t="n">
        <v>13</v>
      </c>
      <c r="E1791" s="10" t="n">
        <v>0.698444</v>
      </c>
      <c r="F1791" s="10" t="n">
        <v>0.3871636769192825</v>
      </c>
      <c r="G1791" s="11">
        <f>E1791*Summary!$B$6</f>
        <v/>
      </c>
      <c r="H1791" s="11">
        <f>F1791*Summary!$B$7</f>
        <v/>
      </c>
      <c r="I1791" s="11">
        <f>MAX(0,N1791-M1791)</f>
        <v/>
      </c>
      <c r="J1791" s="11">
        <f>MAX(0,M1791-N1791)</f>
        <v/>
      </c>
      <c r="K1791" s="11">
        <f>O1791</f>
        <v/>
      </c>
      <c r="L1791" s="11">
        <f>L1790+IF(K1791&gt;0,K1791*Summary!$B$9,K1791/Summary!$B$9)</f>
        <v/>
      </c>
      <c r="M1791" s="11">
        <f>G1791+H1791</f>
        <v/>
      </c>
      <c r="N1791" s="11">
        <f>Summary!$C$16*Summary!$B$8</f>
        <v/>
      </c>
      <c r="O1791" s="11">
        <f>M1791-N1791</f>
        <v/>
      </c>
    </row>
    <row r="1792">
      <c r="A1792" s="9" t="n">
        <v>45366.58333333334</v>
      </c>
      <c r="B1792" t="n">
        <v>3</v>
      </c>
      <c r="C1792" t="n">
        <v>15</v>
      </c>
      <c r="D1792" t="n">
        <v>14</v>
      </c>
      <c r="E1792" s="10" t="n">
        <v>0.5980259999999999</v>
      </c>
      <c r="F1792" s="10" t="n">
        <v>0.3619184548604292</v>
      </c>
      <c r="G1792" s="11">
        <f>E1792*Summary!$B$6</f>
        <v/>
      </c>
      <c r="H1792" s="11">
        <f>F1792*Summary!$B$7</f>
        <v/>
      </c>
      <c r="I1792" s="11">
        <f>MAX(0,N1792-M1792)</f>
        <v/>
      </c>
      <c r="J1792" s="11">
        <f>MAX(0,M1792-N1792)</f>
        <v/>
      </c>
      <c r="K1792" s="11">
        <f>O1792</f>
        <v/>
      </c>
      <c r="L1792" s="11">
        <f>L1791+IF(K1792&gt;0,K1792*Summary!$B$9,K1792/Summary!$B$9)</f>
        <v/>
      </c>
      <c r="M1792" s="11">
        <f>G1792+H1792</f>
        <v/>
      </c>
      <c r="N1792" s="11">
        <f>Summary!$C$16*Summary!$B$8</f>
        <v/>
      </c>
      <c r="O1792" s="11">
        <f>M1792-N1792</f>
        <v/>
      </c>
    </row>
    <row r="1793">
      <c r="A1793" s="9" t="n">
        <v>45366.625</v>
      </c>
      <c r="B1793" t="n">
        <v>3</v>
      </c>
      <c r="C1793" t="n">
        <v>15</v>
      </c>
      <c r="D1793" t="n">
        <v>15</v>
      </c>
      <c r="E1793" s="10" t="n">
        <v>0.43892</v>
      </c>
      <c r="F1793" s="10" t="n">
        <v>0.3663192399166176</v>
      </c>
      <c r="G1793" s="11">
        <f>E1793*Summary!$B$6</f>
        <v/>
      </c>
      <c r="H1793" s="11">
        <f>F1793*Summary!$B$7</f>
        <v/>
      </c>
      <c r="I1793" s="11">
        <f>MAX(0,N1793-M1793)</f>
        <v/>
      </c>
      <c r="J1793" s="11">
        <f>MAX(0,M1793-N1793)</f>
        <v/>
      </c>
      <c r="K1793" s="11">
        <f>O1793</f>
        <v/>
      </c>
      <c r="L1793" s="11">
        <f>L1792+IF(K1793&gt;0,K1793*Summary!$B$9,K1793/Summary!$B$9)</f>
        <v/>
      </c>
      <c r="M1793" s="11">
        <f>G1793+H1793</f>
        <v/>
      </c>
      <c r="N1793" s="11">
        <f>Summary!$C$16*Summary!$B$8</f>
        <v/>
      </c>
      <c r="O1793" s="11">
        <f>M1793-N1793</f>
        <v/>
      </c>
    </row>
    <row r="1794">
      <c r="A1794" s="9" t="n">
        <v>45366.66666666666</v>
      </c>
      <c r="B1794" t="n">
        <v>3</v>
      </c>
      <c r="C1794" t="n">
        <v>15</v>
      </c>
      <c r="D1794" t="n">
        <v>16</v>
      </c>
      <c r="E1794" s="10" t="n">
        <v>0.223584</v>
      </c>
      <c r="F1794" s="10" t="n">
        <v>0.3668989840557562</v>
      </c>
      <c r="G1794" s="11">
        <f>E1794*Summary!$B$6</f>
        <v/>
      </c>
      <c r="H1794" s="11">
        <f>F1794*Summary!$B$7</f>
        <v/>
      </c>
      <c r="I1794" s="11">
        <f>MAX(0,N1794-M1794)</f>
        <v/>
      </c>
      <c r="J1794" s="11">
        <f>MAX(0,M1794-N1794)</f>
        <v/>
      </c>
      <c r="K1794" s="11">
        <f>O1794</f>
        <v/>
      </c>
      <c r="L1794" s="11">
        <f>L1793+IF(K1794&gt;0,K1794*Summary!$B$9,K1794/Summary!$B$9)</f>
        <v/>
      </c>
      <c r="M1794" s="11">
        <f>G1794+H1794</f>
        <v/>
      </c>
      <c r="N1794" s="11">
        <f>Summary!$C$16*Summary!$B$8</f>
        <v/>
      </c>
      <c r="O1794" s="11">
        <f>M1794-N1794</f>
        <v/>
      </c>
    </row>
    <row r="1795">
      <c r="A1795" s="9" t="n">
        <v>45366.70833333334</v>
      </c>
      <c r="B1795" t="n">
        <v>3</v>
      </c>
      <c r="C1795" t="n">
        <v>15</v>
      </c>
      <c r="D1795" t="n">
        <v>17</v>
      </c>
      <c r="E1795" s="10" t="n">
        <v>0.033901</v>
      </c>
      <c r="F1795" s="10" t="n">
        <v>0.3729862975167114</v>
      </c>
      <c r="G1795" s="11">
        <f>E1795*Summary!$B$6</f>
        <v/>
      </c>
      <c r="H1795" s="11">
        <f>F1795*Summary!$B$7</f>
        <v/>
      </c>
      <c r="I1795" s="11">
        <f>MAX(0,N1795-M1795)</f>
        <v/>
      </c>
      <c r="J1795" s="11">
        <f>MAX(0,M1795-N1795)</f>
        <v/>
      </c>
      <c r="K1795" s="11">
        <f>O1795</f>
        <v/>
      </c>
      <c r="L1795" s="11">
        <f>L1794+IF(K1795&gt;0,K1795*Summary!$B$9,K1795/Summary!$B$9)</f>
        <v/>
      </c>
      <c r="M1795" s="11">
        <f>G1795+H1795</f>
        <v/>
      </c>
      <c r="N1795" s="11">
        <f>Summary!$C$16*Summary!$B$8</f>
        <v/>
      </c>
      <c r="O1795" s="11">
        <f>M1795-N1795</f>
        <v/>
      </c>
    </row>
    <row r="1796">
      <c r="A1796" s="9" t="n">
        <v>45366.75</v>
      </c>
      <c r="B1796" t="n">
        <v>3</v>
      </c>
      <c r="C1796" t="n">
        <v>15</v>
      </c>
      <c r="D1796" t="n">
        <v>18</v>
      </c>
      <c r="E1796" s="10" t="n">
        <v>0</v>
      </c>
      <c r="F1796" s="10" t="n">
        <v>0.3916962220070933</v>
      </c>
      <c r="G1796" s="11">
        <f>E1796*Summary!$B$6</f>
        <v/>
      </c>
      <c r="H1796" s="11">
        <f>F1796*Summary!$B$7</f>
        <v/>
      </c>
      <c r="I1796" s="11">
        <f>MAX(0,N1796-M1796)</f>
        <v/>
      </c>
      <c r="J1796" s="11">
        <f>MAX(0,M1796-N1796)</f>
        <v/>
      </c>
      <c r="K1796" s="11">
        <f>O1796</f>
        <v/>
      </c>
      <c r="L1796" s="11">
        <f>L1795+IF(K1796&gt;0,K1796*Summary!$B$9,K1796/Summary!$B$9)</f>
        <v/>
      </c>
      <c r="M1796" s="11">
        <f>G1796+H1796</f>
        <v/>
      </c>
      <c r="N1796" s="11">
        <f>Summary!$C$16*Summary!$B$8</f>
        <v/>
      </c>
      <c r="O1796" s="11">
        <f>M1796-N1796</f>
        <v/>
      </c>
    </row>
    <row r="1797">
      <c r="A1797" s="9" t="n">
        <v>45366.79166666666</v>
      </c>
      <c r="B1797" t="n">
        <v>3</v>
      </c>
      <c r="C1797" t="n">
        <v>15</v>
      </c>
      <c r="D1797" t="n">
        <v>19</v>
      </c>
      <c r="E1797" s="10" t="n">
        <v>0</v>
      </c>
      <c r="F1797" s="10" t="n">
        <v>0.4008930722143373</v>
      </c>
      <c r="G1797" s="11">
        <f>E1797*Summary!$B$6</f>
        <v/>
      </c>
      <c r="H1797" s="11">
        <f>F1797*Summary!$B$7</f>
        <v/>
      </c>
      <c r="I1797" s="11">
        <f>MAX(0,N1797-M1797)</f>
        <v/>
      </c>
      <c r="J1797" s="11">
        <f>MAX(0,M1797-N1797)</f>
        <v/>
      </c>
      <c r="K1797" s="11">
        <f>O1797</f>
        <v/>
      </c>
      <c r="L1797" s="11">
        <f>L1796+IF(K1797&gt;0,K1797*Summary!$B$9,K1797/Summary!$B$9)</f>
        <v/>
      </c>
      <c r="M1797" s="11">
        <f>G1797+H1797</f>
        <v/>
      </c>
      <c r="N1797" s="11">
        <f>Summary!$C$16*Summary!$B$8</f>
        <v/>
      </c>
      <c r="O1797" s="11">
        <f>M1797-N1797</f>
        <v/>
      </c>
    </row>
    <row r="1798">
      <c r="A1798" s="9" t="n">
        <v>45366.83333333334</v>
      </c>
      <c r="B1798" t="n">
        <v>3</v>
      </c>
      <c r="C1798" t="n">
        <v>15</v>
      </c>
      <c r="D1798" t="n">
        <v>20</v>
      </c>
      <c r="E1798" s="10" t="n">
        <v>0</v>
      </c>
      <c r="F1798" s="10" t="n">
        <v>0.4039499049479772</v>
      </c>
      <c r="G1798" s="11">
        <f>E1798*Summary!$B$6</f>
        <v/>
      </c>
      <c r="H1798" s="11">
        <f>F1798*Summary!$B$7</f>
        <v/>
      </c>
      <c r="I1798" s="11">
        <f>MAX(0,N1798-M1798)</f>
        <v/>
      </c>
      <c r="J1798" s="11">
        <f>MAX(0,M1798-N1798)</f>
        <v/>
      </c>
      <c r="K1798" s="11">
        <f>O1798</f>
        <v/>
      </c>
      <c r="L1798" s="11">
        <f>L1797+IF(K1798&gt;0,K1798*Summary!$B$9,K1798/Summary!$B$9)</f>
        <v/>
      </c>
      <c r="M1798" s="11">
        <f>G1798+H1798</f>
        <v/>
      </c>
      <c r="N1798" s="11">
        <f>Summary!$C$16*Summary!$B$8</f>
        <v/>
      </c>
      <c r="O1798" s="11">
        <f>M1798-N1798</f>
        <v/>
      </c>
    </row>
    <row r="1799">
      <c r="A1799" s="9" t="n">
        <v>45366.875</v>
      </c>
      <c r="B1799" t="n">
        <v>3</v>
      </c>
      <c r="C1799" t="n">
        <v>15</v>
      </c>
      <c r="D1799" t="n">
        <v>21</v>
      </c>
      <c r="E1799" s="10" t="n">
        <v>0</v>
      </c>
      <c r="F1799" s="10" t="n">
        <v>0.3960443030506327</v>
      </c>
      <c r="G1799" s="11">
        <f>E1799*Summary!$B$6</f>
        <v/>
      </c>
      <c r="H1799" s="11">
        <f>F1799*Summary!$B$7</f>
        <v/>
      </c>
      <c r="I1799" s="11">
        <f>MAX(0,N1799-M1799)</f>
        <v/>
      </c>
      <c r="J1799" s="11">
        <f>MAX(0,M1799-N1799)</f>
        <v/>
      </c>
      <c r="K1799" s="11">
        <f>O1799</f>
        <v/>
      </c>
      <c r="L1799" s="11">
        <f>L1798+IF(K1799&gt;0,K1799*Summary!$B$9,K1799/Summary!$B$9)</f>
        <v/>
      </c>
      <c r="M1799" s="11">
        <f>G1799+H1799</f>
        <v/>
      </c>
      <c r="N1799" s="11">
        <f>Summary!$C$16*Summary!$B$8</f>
        <v/>
      </c>
      <c r="O1799" s="11">
        <f>M1799-N1799</f>
        <v/>
      </c>
    </row>
    <row r="1800">
      <c r="A1800" s="9" t="n">
        <v>45366.91666666666</v>
      </c>
      <c r="B1800" t="n">
        <v>3</v>
      </c>
      <c r="C1800" t="n">
        <v>15</v>
      </c>
      <c r="D1800" t="n">
        <v>22</v>
      </c>
      <c r="E1800" s="10" t="n">
        <v>0</v>
      </c>
      <c r="F1800" s="10" t="n">
        <v>0.3874271969825273</v>
      </c>
      <c r="G1800" s="11">
        <f>E1800*Summary!$B$6</f>
        <v/>
      </c>
      <c r="H1800" s="11">
        <f>F1800*Summary!$B$7</f>
        <v/>
      </c>
      <c r="I1800" s="11">
        <f>MAX(0,N1800-M1800)</f>
        <v/>
      </c>
      <c r="J1800" s="11">
        <f>MAX(0,M1800-N1800)</f>
        <v/>
      </c>
      <c r="K1800" s="11">
        <f>O1800</f>
        <v/>
      </c>
      <c r="L1800" s="11">
        <f>L1799+IF(K1800&gt;0,K1800*Summary!$B$9,K1800/Summary!$B$9)</f>
        <v/>
      </c>
      <c r="M1800" s="11">
        <f>G1800+H1800</f>
        <v/>
      </c>
      <c r="N1800" s="11">
        <f>Summary!$C$16*Summary!$B$8</f>
        <v/>
      </c>
      <c r="O1800" s="11">
        <f>M1800-N1800</f>
        <v/>
      </c>
    </row>
    <row r="1801">
      <c r="A1801" s="9" t="n">
        <v>45366.95833333334</v>
      </c>
      <c r="B1801" t="n">
        <v>3</v>
      </c>
      <c r="C1801" t="n">
        <v>15</v>
      </c>
      <c r="D1801" t="n">
        <v>23</v>
      </c>
      <c r="E1801" s="10" t="n">
        <v>0</v>
      </c>
      <c r="F1801" s="10" t="n">
        <v>0.3759377222250533</v>
      </c>
      <c r="G1801" s="11">
        <f>E1801*Summary!$B$6</f>
        <v/>
      </c>
      <c r="H1801" s="11">
        <f>F1801*Summary!$B$7</f>
        <v/>
      </c>
      <c r="I1801" s="11">
        <f>MAX(0,N1801-M1801)</f>
        <v/>
      </c>
      <c r="J1801" s="11">
        <f>MAX(0,M1801-N1801)</f>
        <v/>
      </c>
      <c r="K1801" s="11">
        <f>O1801</f>
        <v/>
      </c>
      <c r="L1801" s="11">
        <f>L1800+IF(K1801&gt;0,K1801*Summary!$B$9,K1801/Summary!$B$9)</f>
        <v/>
      </c>
      <c r="M1801" s="11">
        <f>G1801+H1801</f>
        <v/>
      </c>
      <c r="N1801" s="11">
        <f>Summary!$C$16*Summary!$B$8</f>
        <v/>
      </c>
      <c r="O1801" s="11">
        <f>M1801-N1801</f>
        <v/>
      </c>
    </row>
    <row r="1802">
      <c r="A1802" s="9" t="n">
        <v>45367</v>
      </c>
      <c r="B1802" t="n">
        <v>3</v>
      </c>
      <c r="C1802" t="n">
        <v>16</v>
      </c>
      <c r="D1802" t="n">
        <v>0</v>
      </c>
      <c r="E1802" s="10" t="n">
        <v>0</v>
      </c>
      <c r="F1802" s="10" t="n">
        <v>0.4253477340834562</v>
      </c>
      <c r="G1802" s="11">
        <f>E1802*Summary!$B$6</f>
        <v/>
      </c>
      <c r="H1802" s="11">
        <f>F1802*Summary!$B$7</f>
        <v/>
      </c>
      <c r="I1802" s="11">
        <f>MAX(0,N1802-M1802)</f>
        <v/>
      </c>
      <c r="J1802" s="11">
        <f>MAX(0,M1802-N1802)</f>
        <v/>
      </c>
      <c r="K1802" s="11">
        <f>O1802</f>
        <v/>
      </c>
      <c r="L1802" s="11">
        <f>L1801+IF(K1802&gt;0,K1802*Summary!$B$9,K1802/Summary!$B$9)</f>
        <v/>
      </c>
      <c r="M1802" s="11">
        <f>G1802+H1802</f>
        <v/>
      </c>
      <c r="N1802" s="11">
        <f>Summary!$C$16*Summary!$B$8</f>
        <v/>
      </c>
      <c r="O1802" s="11">
        <f>M1802-N1802</f>
        <v/>
      </c>
    </row>
    <row r="1803">
      <c r="A1803" s="9" t="n">
        <v>45367.04166666666</v>
      </c>
      <c r="B1803" t="n">
        <v>3</v>
      </c>
      <c r="C1803" t="n">
        <v>16</v>
      </c>
      <c r="D1803" t="n">
        <v>1</v>
      </c>
      <c r="E1803" s="10" t="n">
        <v>0</v>
      </c>
      <c r="F1803" s="10" t="n">
        <v>0.3480572995337519</v>
      </c>
      <c r="G1803" s="11">
        <f>E1803*Summary!$B$6</f>
        <v/>
      </c>
      <c r="H1803" s="11">
        <f>F1803*Summary!$B$7</f>
        <v/>
      </c>
      <c r="I1803" s="11">
        <f>MAX(0,N1803-M1803)</f>
        <v/>
      </c>
      <c r="J1803" s="11">
        <f>MAX(0,M1803-N1803)</f>
        <v/>
      </c>
      <c r="K1803" s="11">
        <f>O1803</f>
        <v/>
      </c>
      <c r="L1803" s="11">
        <f>L1802+IF(K1803&gt;0,K1803*Summary!$B$9,K1803/Summary!$B$9)</f>
        <v/>
      </c>
      <c r="M1803" s="11">
        <f>G1803+H1803</f>
        <v/>
      </c>
      <c r="N1803" s="11">
        <f>Summary!$C$16*Summary!$B$8</f>
        <v/>
      </c>
      <c r="O1803" s="11">
        <f>M1803-N1803</f>
        <v/>
      </c>
    </row>
    <row r="1804">
      <c r="A1804" s="9" t="n">
        <v>45367.08333333334</v>
      </c>
      <c r="B1804" t="n">
        <v>3</v>
      </c>
      <c r="C1804" t="n">
        <v>16</v>
      </c>
      <c r="D1804" t="n">
        <v>2</v>
      </c>
      <c r="E1804" s="10" t="n">
        <v>0</v>
      </c>
      <c r="F1804" s="10" t="n">
        <v>0.3319562236694936</v>
      </c>
      <c r="G1804" s="11">
        <f>E1804*Summary!$B$6</f>
        <v/>
      </c>
      <c r="H1804" s="11">
        <f>F1804*Summary!$B$7</f>
        <v/>
      </c>
      <c r="I1804" s="11">
        <f>MAX(0,N1804-M1804)</f>
        <v/>
      </c>
      <c r="J1804" s="11">
        <f>MAX(0,M1804-N1804)</f>
        <v/>
      </c>
      <c r="K1804" s="11">
        <f>O1804</f>
        <v/>
      </c>
      <c r="L1804" s="11">
        <f>L1803+IF(K1804&gt;0,K1804*Summary!$B$9,K1804/Summary!$B$9)</f>
        <v/>
      </c>
      <c r="M1804" s="11">
        <f>G1804+H1804</f>
        <v/>
      </c>
      <c r="N1804" s="11">
        <f>Summary!$C$16*Summary!$B$8</f>
        <v/>
      </c>
      <c r="O1804" s="11">
        <f>M1804-N1804</f>
        <v/>
      </c>
    </row>
    <row r="1805">
      <c r="A1805" s="9" t="n">
        <v>45367.125</v>
      </c>
      <c r="B1805" t="n">
        <v>3</v>
      </c>
      <c r="C1805" t="n">
        <v>16</v>
      </c>
      <c r="D1805" t="n">
        <v>3</v>
      </c>
      <c r="E1805" s="10" t="n">
        <v>0</v>
      </c>
      <c r="F1805" s="10" t="n">
        <v>0.3171200441088106</v>
      </c>
      <c r="G1805" s="11">
        <f>E1805*Summary!$B$6</f>
        <v/>
      </c>
      <c r="H1805" s="11">
        <f>F1805*Summary!$B$7</f>
        <v/>
      </c>
      <c r="I1805" s="11">
        <f>MAX(0,N1805-M1805)</f>
        <v/>
      </c>
      <c r="J1805" s="11">
        <f>MAX(0,M1805-N1805)</f>
        <v/>
      </c>
      <c r="K1805" s="11">
        <f>O1805</f>
        <v/>
      </c>
      <c r="L1805" s="11">
        <f>L1804+IF(K1805&gt;0,K1805*Summary!$B$9,K1805/Summary!$B$9)</f>
        <v/>
      </c>
      <c r="M1805" s="11">
        <f>G1805+H1805</f>
        <v/>
      </c>
      <c r="N1805" s="11">
        <f>Summary!$C$16*Summary!$B$8</f>
        <v/>
      </c>
      <c r="O1805" s="11">
        <f>M1805-N1805</f>
        <v/>
      </c>
    </row>
    <row r="1806">
      <c r="A1806" s="9" t="n">
        <v>45367.16666666666</v>
      </c>
      <c r="B1806" t="n">
        <v>3</v>
      </c>
      <c r="C1806" t="n">
        <v>16</v>
      </c>
      <c r="D1806" t="n">
        <v>4</v>
      </c>
      <c r="E1806" s="10" t="n">
        <v>0</v>
      </c>
      <c r="F1806" s="10" t="n">
        <v>0.3017304724153134</v>
      </c>
      <c r="G1806" s="11">
        <f>E1806*Summary!$B$6</f>
        <v/>
      </c>
      <c r="H1806" s="11">
        <f>F1806*Summary!$B$7</f>
        <v/>
      </c>
      <c r="I1806" s="11">
        <f>MAX(0,N1806-M1806)</f>
        <v/>
      </c>
      <c r="J1806" s="11">
        <f>MAX(0,M1806-N1806)</f>
        <v/>
      </c>
      <c r="K1806" s="11">
        <f>O1806</f>
        <v/>
      </c>
      <c r="L1806" s="11">
        <f>L1805+IF(K1806&gt;0,K1806*Summary!$B$9,K1806/Summary!$B$9)</f>
        <v/>
      </c>
      <c r="M1806" s="11">
        <f>G1806+H1806</f>
        <v/>
      </c>
      <c r="N1806" s="11">
        <f>Summary!$C$16*Summary!$B$8</f>
        <v/>
      </c>
      <c r="O1806" s="11">
        <f>M1806-N1806</f>
        <v/>
      </c>
    </row>
    <row r="1807">
      <c r="A1807" s="9" t="n">
        <v>45367.20833333334</v>
      </c>
      <c r="B1807" t="n">
        <v>3</v>
      </c>
      <c r="C1807" t="n">
        <v>16</v>
      </c>
      <c r="D1807" t="n">
        <v>5</v>
      </c>
      <c r="E1807" s="10" t="n">
        <v>0</v>
      </c>
      <c r="F1807" s="10" t="n">
        <v>0.2895294934870785</v>
      </c>
      <c r="G1807" s="11">
        <f>E1807*Summary!$B$6</f>
        <v/>
      </c>
      <c r="H1807" s="11">
        <f>F1807*Summary!$B$7</f>
        <v/>
      </c>
      <c r="I1807" s="11">
        <f>MAX(0,N1807-M1807)</f>
        <v/>
      </c>
      <c r="J1807" s="11">
        <f>MAX(0,M1807-N1807)</f>
        <v/>
      </c>
      <c r="K1807" s="11">
        <f>O1807</f>
        <v/>
      </c>
      <c r="L1807" s="11">
        <f>L1806+IF(K1807&gt;0,K1807*Summary!$B$9,K1807/Summary!$B$9)</f>
        <v/>
      </c>
      <c r="M1807" s="11">
        <f>G1807+H1807</f>
        <v/>
      </c>
      <c r="N1807" s="11">
        <f>Summary!$C$16*Summary!$B$8</f>
        <v/>
      </c>
      <c r="O1807" s="11">
        <f>M1807-N1807</f>
        <v/>
      </c>
    </row>
    <row r="1808">
      <c r="A1808" s="9" t="n">
        <v>45367.25</v>
      </c>
      <c r="B1808" t="n">
        <v>3</v>
      </c>
      <c r="C1808" t="n">
        <v>16</v>
      </c>
      <c r="D1808" t="n">
        <v>6</v>
      </c>
      <c r="E1808" s="10" t="n">
        <v>0</v>
      </c>
      <c r="F1808" s="10" t="n">
        <v>0.2842063882095332</v>
      </c>
      <c r="G1808" s="11">
        <f>E1808*Summary!$B$6</f>
        <v/>
      </c>
      <c r="H1808" s="11">
        <f>F1808*Summary!$B$7</f>
        <v/>
      </c>
      <c r="I1808" s="11">
        <f>MAX(0,N1808-M1808)</f>
        <v/>
      </c>
      <c r="J1808" s="11">
        <f>MAX(0,M1808-N1808)</f>
        <v/>
      </c>
      <c r="K1808" s="11">
        <f>O1808</f>
        <v/>
      </c>
      <c r="L1808" s="11">
        <f>L1807+IF(K1808&gt;0,K1808*Summary!$B$9,K1808/Summary!$B$9)</f>
        <v/>
      </c>
      <c r="M1808" s="11">
        <f>G1808+H1808</f>
        <v/>
      </c>
      <c r="N1808" s="11">
        <f>Summary!$C$16*Summary!$B$8</f>
        <v/>
      </c>
      <c r="O1808" s="11">
        <f>M1808-N1808</f>
        <v/>
      </c>
    </row>
    <row r="1809">
      <c r="A1809" s="9" t="n">
        <v>45367.29166666666</v>
      </c>
      <c r="B1809" t="n">
        <v>3</v>
      </c>
      <c r="C1809" t="n">
        <v>16</v>
      </c>
      <c r="D1809" t="n">
        <v>7</v>
      </c>
      <c r="E1809" s="10" t="n">
        <v>0.101148</v>
      </c>
      <c r="F1809" s="10" t="n">
        <v>0.2709249770219945</v>
      </c>
      <c r="G1809" s="11">
        <f>E1809*Summary!$B$6</f>
        <v/>
      </c>
      <c r="H1809" s="11">
        <f>F1809*Summary!$B$7</f>
        <v/>
      </c>
      <c r="I1809" s="11">
        <f>MAX(0,N1809-M1809)</f>
        <v/>
      </c>
      <c r="J1809" s="11">
        <f>MAX(0,M1809-N1809)</f>
        <v/>
      </c>
      <c r="K1809" s="11">
        <f>O1809</f>
        <v/>
      </c>
      <c r="L1809" s="11">
        <f>L1808+IF(K1809&gt;0,K1809*Summary!$B$9,K1809/Summary!$B$9)</f>
        <v/>
      </c>
      <c r="M1809" s="11">
        <f>G1809+H1809</f>
        <v/>
      </c>
      <c r="N1809" s="11">
        <f>Summary!$C$16*Summary!$B$8</f>
        <v/>
      </c>
      <c r="O1809" s="11">
        <f>M1809-N1809</f>
        <v/>
      </c>
    </row>
    <row r="1810">
      <c r="A1810" s="9" t="n">
        <v>45367.33333333334</v>
      </c>
      <c r="B1810" t="n">
        <v>3</v>
      </c>
      <c r="C1810" t="n">
        <v>16</v>
      </c>
      <c r="D1810" t="n">
        <v>8</v>
      </c>
      <c r="E1810" s="10" t="n">
        <v>0.306368</v>
      </c>
      <c r="F1810" s="10" t="n">
        <v>0.2445993227038374</v>
      </c>
      <c r="G1810" s="11">
        <f>E1810*Summary!$B$6</f>
        <v/>
      </c>
      <c r="H1810" s="11">
        <f>F1810*Summary!$B$7</f>
        <v/>
      </c>
      <c r="I1810" s="11">
        <f>MAX(0,N1810-M1810)</f>
        <v/>
      </c>
      <c r="J1810" s="11">
        <f>MAX(0,M1810-N1810)</f>
        <v/>
      </c>
      <c r="K1810" s="11">
        <f>O1810</f>
        <v/>
      </c>
      <c r="L1810" s="11">
        <f>L1809+IF(K1810&gt;0,K1810*Summary!$B$9,K1810/Summary!$B$9)</f>
        <v/>
      </c>
      <c r="M1810" s="11">
        <f>G1810+H1810</f>
        <v/>
      </c>
      <c r="N1810" s="11">
        <f>Summary!$C$16*Summary!$B$8</f>
        <v/>
      </c>
      <c r="O1810" s="11">
        <f>M1810-N1810</f>
        <v/>
      </c>
    </row>
    <row r="1811">
      <c r="A1811" s="9" t="n">
        <v>45367.375</v>
      </c>
      <c r="B1811" t="n">
        <v>3</v>
      </c>
      <c r="C1811" t="n">
        <v>16</v>
      </c>
      <c r="D1811" t="n">
        <v>9</v>
      </c>
      <c r="E1811" s="10" t="n">
        <v>0.500161</v>
      </c>
      <c r="F1811" s="10" t="n">
        <v>0.2285245988459037</v>
      </c>
      <c r="G1811" s="11">
        <f>E1811*Summary!$B$6</f>
        <v/>
      </c>
      <c r="H1811" s="11">
        <f>F1811*Summary!$B$7</f>
        <v/>
      </c>
      <c r="I1811" s="11">
        <f>MAX(0,N1811-M1811)</f>
        <v/>
      </c>
      <c r="J1811" s="11">
        <f>MAX(0,M1811-N1811)</f>
        <v/>
      </c>
      <c r="K1811" s="11">
        <f>O1811</f>
        <v/>
      </c>
      <c r="L1811" s="11">
        <f>L1810+IF(K1811&gt;0,K1811*Summary!$B$9,K1811/Summary!$B$9)</f>
        <v/>
      </c>
      <c r="M1811" s="11">
        <f>G1811+H1811</f>
        <v/>
      </c>
      <c r="N1811" s="11">
        <f>Summary!$C$16*Summary!$B$8</f>
        <v/>
      </c>
      <c r="O1811" s="11">
        <f>M1811-N1811</f>
        <v/>
      </c>
    </row>
    <row r="1812">
      <c r="A1812" s="9" t="n">
        <v>45367.41666666666</v>
      </c>
      <c r="B1812" t="n">
        <v>3</v>
      </c>
      <c r="C1812" t="n">
        <v>16</v>
      </c>
      <c r="D1812" t="n">
        <v>10</v>
      </c>
      <c r="E1812" s="10" t="n">
        <v>0.647782</v>
      </c>
      <c r="F1812" s="10" t="n">
        <v>0.2246245019098805</v>
      </c>
      <c r="G1812" s="11">
        <f>E1812*Summary!$B$6</f>
        <v/>
      </c>
      <c r="H1812" s="11">
        <f>F1812*Summary!$B$7</f>
        <v/>
      </c>
      <c r="I1812" s="11">
        <f>MAX(0,N1812-M1812)</f>
        <v/>
      </c>
      <c r="J1812" s="11">
        <f>MAX(0,M1812-N1812)</f>
        <v/>
      </c>
      <c r="K1812" s="11">
        <f>O1812</f>
        <v/>
      </c>
      <c r="L1812" s="11">
        <f>L1811+IF(K1812&gt;0,K1812*Summary!$B$9,K1812/Summary!$B$9)</f>
        <v/>
      </c>
      <c r="M1812" s="11">
        <f>G1812+H1812</f>
        <v/>
      </c>
      <c r="N1812" s="11">
        <f>Summary!$C$16*Summary!$B$8</f>
        <v/>
      </c>
      <c r="O1812" s="11">
        <f>M1812-N1812</f>
        <v/>
      </c>
    </row>
    <row r="1813">
      <c r="A1813" s="9" t="n">
        <v>45367.45833333334</v>
      </c>
      <c r="B1813" t="n">
        <v>3</v>
      </c>
      <c r="C1813" t="n">
        <v>16</v>
      </c>
      <c r="D1813" t="n">
        <v>11</v>
      </c>
      <c r="E1813" s="10" t="n">
        <v>0.58653</v>
      </c>
      <c r="F1813" s="10" t="n">
        <v>0.2248353179604763</v>
      </c>
      <c r="G1813" s="11">
        <f>E1813*Summary!$B$6</f>
        <v/>
      </c>
      <c r="H1813" s="11">
        <f>F1813*Summary!$B$7</f>
        <v/>
      </c>
      <c r="I1813" s="11">
        <f>MAX(0,N1813-M1813)</f>
        <v/>
      </c>
      <c r="J1813" s="11">
        <f>MAX(0,M1813-N1813)</f>
        <v/>
      </c>
      <c r="K1813" s="11">
        <f>O1813</f>
        <v/>
      </c>
      <c r="L1813" s="11">
        <f>L1812+IF(K1813&gt;0,K1813*Summary!$B$9,K1813/Summary!$B$9)</f>
        <v/>
      </c>
      <c r="M1813" s="11">
        <f>G1813+H1813</f>
        <v/>
      </c>
      <c r="N1813" s="11">
        <f>Summary!$C$16*Summary!$B$8</f>
        <v/>
      </c>
      <c r="O1813" s="11">
        <f>M1813-N1813</f>
        <v/>
      </c>
    </row>
    <row r="1814">
      <c r="A1814" s="9" t="n">
        <v>45367.5</v>
      </c>
      <c r="B1814" t="n">
        <v>3</v>
      </c>
      <c r="C1814" t="n">
        <v>16</v>
      </c>
      <c r="D1814" t="n">
        <v>12</v>
      </c>
      <c r="E1814" s="10" t="n">
        <v>0.553108</v>
      </c>
      <c r="F1814" s="10" t="n">
        <v>0.2332679599843104</v>
      </c>
      <c r="G1814" s="11">
        <f>E1814*Summary!$B$6</f>
        <v/>
      </c>
      <c r="H1814" s="11">
        <f>F1814*Summary!$B$7</f>
        <v/>
      </c>
      <c r="I1814" s="11">
        <f>MAX(0,N1814-M1814)</f>
        <v/>
      </c>
      <c r="J1814" s="11">
        <f>MAX(0,M1814-N1814)</f>
        <v/>
      </c>
      <c r="K1814" s="11">
        <f>O1814</f>
        <v/>
      </c>
      <c r="L1814" s="11">
        <f>L1813+IF(K1814&gt;0,K1814*Summary!$B$9,K1814/Summary!$B$9)</f>
        <v/>
      </c>
      <c r="M1814" s="11">
        <f>G1814+H1814</f>
        <v/>
      </c>
      <c r="N1814" s="11">
        <f>Summary!$C$16*Summary!$B$8</f>
        <v/>
      </c>
      <c r="O1814" s="11">
        <f>M1814-N1814</f>
        <v/>
      </c>
    </row>
    <row r="1815">
      <c r="A1815" s="9" t="n">
        <v>45367.54166666666</v>
      </c>
      <c r="B1815" t="n">
        <v>3</v>
      </c>
      <c r="C1815" t="n">
        <v>16</v>
      </c>
      <c r="D1815" t="n">
        <v>13</v>
      </c>
      <c r="E1815" s="10" t="n">
        <v>0.319361</v>
      </c>
      <c r="F1815" s="10" t="n">
        <v>0.241621545989171</v>
      </c>
      <c r="G1815" s="11">
        <f>E1815*Summary!$B$6</f>
        <v/>
      </c>
      <c r="H1815" s="11">
        <f>F1815*Summary!$B$7</f>
        <v/>
      </c>
      <c r="I1815" s="11">
        <f>MAX(0,N1815-M1815)</f>
        <v/>
      </c>
      <c r="J1815" s="11">
        <f>MAX(0,M1815-N1815)</f>
        <v/>
      </c>
      <c r="K1815" s="11">
        <f>O1815</f>
        <v/>
      </c>
      <c r="L1815" s="11">
        <f>L1814+IF(K1815&gt;0,K1815*Summary!$B$9,K1815/Summary!$B$9)</f>
        <v/>
      </c>
      <c r="M1815" s="11">
        <f>G1815+H1815</f>
        <v/>
      </c>
      <c r="N1815" s="11">
        <f>Summary!$C$16*Summary!$B$8</f>
        <v/>
      </c>
      <c r="O1815" s="11">
        <f>M1815-N1815</f>
        <v/>
      </c>
    </row>
    <row r="1816">
      <c r="A1816" s="9" t="n">
        <v>45367.58333333334</v>
      </c>
      <c r="B1816" t="n">
        <v>3</v>
      </c>
      <c r="C1816" t="n">
        <v>16</v>
      </c>
      <c r="D1816" t="n">
        <v>14</v>
      </c>
      <c r="E1816" s="10" t="n">
        <v>0.23312</v>
      </c>
      <c r="F1816" s="10" t="n">
        <v>0.2575645098154823</v>
      </c>
      <c r="G1816" s="11">
        <f>E1816*Summary!$B$6</f>
        <v/>
      </c>
      <c r="H1816" s="11">
        <f>F1816*Summary!$B$7</f>
        <v/>
      </c>
      <c r="I1816" s="11">
        <f>MAX(0,N1816-M1816)</f>
        <v/>
      </c>
      <c r="J1816" s="11">
        <f>MAX(0,M1816-N1816)</f>
        <v/>
      </c>
      <c r="K1816" s="11">
        <f>O1816</f>
        <v/>
      </c>
      <c r="L1816" s="11">
        <f>L1815+IF(K1816&gt;0,K1816*Summary!$B$9,K1816/Summary!$B$9)</f>
        <v/>
      </c>
      <c r="M1816" s="11">
        <f>G1816+H1816</f>
        <v/>
      </c>
      <c r="N1816" s="11">
        <f>Summary!$C$16*Summary!$B$8</f>
        <v/>
      </c>
      <c r="O1816" s="11">
        <f>M1816-N1816</f>
        <v/>
      </c>
    </row>
    <row r="1817">
      <c r="A1817" s="9" t="n">
        <v>45367.625</v>
      </c>
      <c r="B1817" t="n">
        <v>3</v>
      </c>
      <c r="C1817" t="n">
        <v>16</v>
      </c>
      <c r="D1817" t="n">
        <v>15</v>
      </c>
      <c r="E1817" s="10" t="n">
        <v>0.152262</v>
      </c>
      <c r="F1817" s="10" t="n">
        <v>0.2727169134520592</v>
      </c>
      <c r="G1817" s="11">
        <f>E1817*Summary!$B$6</f>
        <v/>
      </c>
      <c r="H1817" s="11">
        <f>F1817*Summary!$B$7</f>
        <v/>
      </c>
      <c r="I1817" s="11">
        <f>MAX(0,N1817-M1817)</f>
        <v/>
      </c>
      <c r="J1817" s="11">
        <f>MAX(0,M1817-N1817)</f>
        <v/>
      </c>
      <c r="K1817" s="11">
        <f>O1817</f>
        <v/>
      </c>
      <c r="L1817" s="11">
        <f>L1816+IF(K1817&gt;0,K1817*Summary!$B$9,K1817/Summary!$B$9)</f>
        <v/>
      </c>
      <c r="M1817" s="11">
        <f>G1817+H1817</f>
        <v/>
      </c>
      <c r="N1817" s="11">
        <f>Summary!$C$16*Summary!$B$8</f>
        <v/>
      </c>
      <c r="O1817" s="11">
        <f>M1817-N1817</f>
        <v/>
      </c>
    </row>
    <row r="1818">
      <c r="A1818" s="9" t="n">
        <v>45367.66666666666</v>
      </c>
      <c r="B1818" t="n">
        <v>3</v>
      </c>
      <c r="C1818" t="n">
        <v>16</v>
      </c>
      <c r="D1818" t="n">
        <v>16</v>
      </c>
      <c r="E1818" s="10" t="n">
        <v>0.108778</v>
      </c>
      <c r="F1818" s="10" t="n">
        <v>0.2799637151912917</v>
      </c>
      <c r="G1818" s="11">
        <f>E1818*Summary!$B$6</f>
        <v/>
      </c>
      <c r="H1818" s="11">
        <f>F1818*Summary!$B$7</f>
        <v/>
      </c>
      <c r="I1818" s="11">
        <f>MAX(0,N1818-M1818)</f>
        <v/>
      </c>
      <c r="J1818" s="11">
        <f>MAX(0,M1818-N1818)</f>
        <v/>
      </c>
      <c r="K1818" s="11">
        <f>O1818</f>
        <v/>
      </c>
      <c r="L1818" s="11">
        <f>L1817+IF(K1818&gt;0,K1818*Summary!$B$9,K1818/Summary!$B$9)</f>
        <v/>
      </c>
      <c r="M1818" s="11">
        <f>G1818+H1818</f>
        <v/>
      </c>
      <c r="N1818" s="11">
        <f>Summary!$C$16*Summary!$B$8</f>
        <v/>
      </c>
      <c r="O1818" s="11">
        <f>M1818-N1818</f>
        <v/>
      </c>
    </row>
    <row r="1819">
      <c r="A1819" s="9" t="n">
        <v>45367.70833333334</v>
      </c>
      <c r="B1819" t="n">
        <v>3</v>
      </c>
      <c r="C1819" t="n">
        <v>16</v>
      </c>
      <c r="D1819" t="n">
        <v>17</v>
      </c>
      <c r="E1819" s="10" t="n">
        <v>0.015218</v>
      </c>
      <c r="F1819" s="10" t="n">
        <v>0.2977776714666411</v>
      </c>
      <c r="G1819" s="11">
        <f>E1819*Summary!$B$6</f>
        <v/>
      </c>
      <c r="H1819" s="11">
        <f>F1819*Summary!$B$7</f>
        <v/>
      </c>
      <c r="I1819" s="11">
        <f>MAX(0,N1819-M1819)</f>
        <v/>
      </c>
      <c r="J1819" s="11">
        <f>MAX(0,M1819-N1819)</f>
        <v/>
      </c>
      <c r="K1819" s="11">
        <f>O1819</f>
        <v/>
      </c>
      <c r="L1819" s="11">
        <f>L1818+IF(K1819&gt;0,K1819*Summary!$B$9,K1819/Summary!$B$9)</f>
        <v/>
      </c>
      <c r="M1819" s="11">
        <f>G1819+H1819</f>
        <v/>
      </c>
      <c r="N1819" s="11">
        <f>Summary!$C$16*Summary!$B$8</f>
        <v/>
      </c>
      <c r="O1819" s="11">
        <f>M1819-N1819</f>
        <v/>
      </c>
    </row>
    <row r="1820">
      <c r="A1820" s="9" t="n">
        <v>45367.75</v>
      </c>
      <c r="B1820" t="n">
        <v>3</v>
      </c>
      <c r="C1820" t="n">
        <v>16</v>
      </c>
      <c r="D1820" t="n">
        <v>18</v>
      </c>
      <c r="E1820" s="10" t="n">
        <v>0</v>
      </c>
      <c r="F1820" s="10" t="n">
        <v>0.3325359678086323</v>
      </c>
      <c r="G1820" s="11">
        <f>E1820*Summary!$B$6</f>
        <v/>
      </c>
      <c r="H1820" s="11">
        <f>F1820*Summary!$B$7</f>
        <v/>
      </c>
      <c r="I1820" s="11">
        <f>MAX(0,N1820-M1820)</f>
        <v/>
      </c>
      <c r="J1820" s="11">
        <f>MAX(0,M1820-N1820)</f>
        <v/>
      </c>
      <c r="K1820" s="11">
        <f>O1820</f>
        <v/>
      </c>
      <c r="L1820" s="11">
        <f>L1819+IF(K1820&gt;0,K1820*Summary!$B$9,K1820/Summary!$B$9)</f>
        <v/>
      </c>
      <c r="M1820" s="11">
        <f>G1820+H1820</f>
        <v/>
      </c>
      <c r="N1820" s="11">
        <f>Summary!$C$16*Summary!$B$8</f>
        <v/>
      </c>
      <c r="O1820" s="11">
        <f>M1820-N1820</f>
        <v/>
      </c>
    </row>
    <row r="1821">
      <c r="A1821" s="9" t="n">
        <v>45367.79166666666</v>
      </c>
      <c r="B1821" t="n">
        <v>3</v>
      </c>
      <c r="C1821" t="n">
        <v>16</v>
      </c>
      <c r="D1821" t="n">
        <v>19</v>
      </c>
      <c r="E1821" s="10" t="n">
        <v>0</v>
      </c>
      <c r="F1821" s="10" t="n">
        <v>0.3615495267718864</v>
      </c>
      <c r="G1821" s="11">
        <f>E1821*Summary!$B$6</f>
        <v/>
      </c>
      <c r="H1821" s="11">
        <f>F1821*Summary!$B$7</f>
        <v/>
      </c>
      <c r="I1821" s="11">
        <f>MAX(0,N1821-M1821)</f>
        <v/>
      </c>
      <c r="J1821" s="11">
        <f>MAX(0,M1821-N1821)</f>
        <v/>
      </c>
      <c r="K1821" s="11">
        <f>O1821</f>
        <v/>
      </c>
      <c r="L1821" s="11">
        <f>L1820+IF(K1821&gt;0,K1821*Summary!$B$9,K1821/Summary!$B$9)</f>
        <v/>
      </c>
      <c r="M1821" s="11">
        <f>G1821+H1821</f>
        <v/>
      </c>
      <c r="N1821" s="11">
        <f>Summary!$C$16*Summary!$B$8</f>
        <v/>
      </c>
      <c r="O1821" s="11">
        <f>M1821-N1821</f>
        <v/>
      </c>
    </row>
    <row r="1822">
      <c r="A1822" s="9" t="n">
        <v>45367.83333333334</v>
      </c>
      <c r="B1822" t="n">
        <v>3</v>
      </c>
      <c r="C1822" t="n">
        <v>16</v>
      </c>
      <c r="D1822" t="n">
        <v>20</v>
      </c>
      <c r="E1822" s="10" t="n">
        <v>0</v>
      </c>
      <c r="F1822" s="10" t="n">
        <v>0.3831581719579613</v>
      </c>
      <c r="G1822" s="11">
        <f>E1822*Summary!$B$6</f>
        <v/>
      </c>
      <c r="H1822" s="11">
        <f>F1822*Summary!$B$7</f>
        <v/>
      </c>
      <c r="I1822" s="11">
        <f>MAX(0,N1822-M1822)</f>
        <v/>
      </c>
      <c r="J1822" s="11">
        <f>MAX(0,M1822-N1822)</f>
        <v/>
      </c>
      <c r="K1822" s="11">
        <f>O1822</f>
        <v/>
      </c>
      <c r="L1822" s="11">
        <f>L1821+IF(K1822&gt;0,K1822*Summary!$B$9,K1822/Summary!$B$9)</f>
        <v/>
      </c>
      <c r="M1822" s="11">
        <f>G1822+H1822</f>
        <v/>
      </c>
      <c r="N1822" s="11">
        <f>Summary!$C$16*Summary!$B$8</f>
        <v/>
      </c>
      <c r="O1822" s="11">
        <f>M1822-N1822</f>
        <v/>
      </c>
    </row>
    <row r="1823">
      <c r="A1823" s="9" t="n">
        <v>45367.875</v>
      </c>
      <c r="B1823" t="n">
        <v>3</v>
      </c>
      <c r="C1823" t="n">
        <v>16</v>
      </c>
      <c r="D1823" t="n">
        <v>21</v>
      </c>
      <c r="E1823" s="10" t="n">
        <v>0</v>
      </c>
      <c r="F1823" s="10" t="n">
        <v>0.4010511842522842</v>
      </c>
      <c r="G1823" s="11">
        <f>E1823*Summary!$B$6</f>
        <v/>
      </c>
      <c r="H1823" s="11">
        <f>F1823*Summary!$B$7</f>
        <v/>
      </c>
      <c r="I1823" s="11">
        <f>MAX(0,N1823-M1823)</f>
        <v/>
      </c>
      <c r="J1823" s="11">
        <f>MAX(0,M1823-N1823)</f>
        <v/>
      </c>
      <c r="K1823" s="11">
        <f>O1823</f>
        <v/>
      </c>
      <c r="L1823" s="11">
        <f>L1822+IF(K1823&gt;0,K1823*Summary!$B$9,K1823/Summary!$B$9)</f>
        <v/>
      </c>
      <c r="M1823" s="11">
        <f>G1823+H1823</f>
        <v/>
      </c>
      <c r="N1823" s="11">
        <f>Summary!$C$16*Summary!$B$8</f>
        <v/>
      </c>
      <c r="O1823" s="11">
        <f>M1823-N1823</f>
        <v/>
      </c>
    </row>
    <row r="1824">
      <c r="A1824" s="9" t="n">
        <v>45367.91666666666</v>
      </c>
      <c r="B1824" t="n">
        <v>3</v>
      </c>
      <c r="C1824" t="n">
        <v>16</v>
      </c>
      <c r="D1824" t="n">
        <v>22</v>
      </c>
      <c r="E1824" s="10" t="n">
        <v>0</v>
      </c>
      <c r="F1824" s="10" t="n">
        <v>0.4113021147125075</v>
      </c>
      <c r="G1824" s="11">
        <f>E1824*Summary!$B$6</f>
        <v/>
      </c>
      <c r="H1824" s="11">
        <f>F1824*Summary!$B$7</f>
        <v/>
      </c>
      <c r="I1824" s="11">
        <f>MAX(0,N1824-M1824)</f>
        <v/>
      </c>
      <c r="J1824" s="11">
        <f>MAX(0,M1824-N1824)</f>
        <v/>
      </c>
      <c r="K1824" s="11">
        <f>O1824</f>
        <v/>
      </c>
      <c r="L1824" s="11">
        <f>L1823+IF(K1824&gt;0,K1824*Summary!$B$9,K1824/Summary!$B$9)</f>
        <v/>
      </c>
      <c r="M1824" s="11">
        <f>G1824+H1824</f>
        <v/>
      </c>
      <c r="N1824" s="11">
        <f>Summary!$C$16*Summary!$B$8</f>
        <v/>
      </c>
      <c r="O1824" s="11">
        <f>M1824-N1824</f>
        <v/>
      </c>
    </row>
    <row r="1825">
      <c r="A1825" s="9" t="n">
        <v>45367.95833333334</v>
      </c>
      <c r="B1825" t="n">
        <v>3</v>
      </c>
      <c r="C1825" t="n">
        <v>16</v>
      </c>
      <c r="D1825" t="n">
        <v>23</v>
      </c>
      <c r="E1825" s="10" t="n">
        <v>0</v>
      </c>
      <c r="F1825" s="10" t="n">
        <v>0.4103797944911507</v>
      </c>
      <c r="G1825" s="11">
        <f>E1825*Summary!$B$6</f>
        <v/>
      </c>
      <c r="H1825" s="11">
        <f>F1825*Summary!$B$7</f>
        <v/>
      </c>
      <c r="I1825" s="11">
        <f>MAX(0,N1825-M1825)</f>
        <v/>
      </c>
      <c r="J1825" s="11">
        <f>MAX(0,M1825-N1825)</f>
        <v/>
      </c>
      <c r="K1825" s="11">
        <f>O1825</f>
        <v/>
      </c>
      <c r="L1825" s="11">
        <f>L1824+IF(K1825&gt;0,K1825*Summary!$B$9,K1825/Summary!$B$9)</f>
        <v/>
      </c>
      <c r="M1825" s="11">
        <f>G1825+H1825</f>
        <v/>
      </c>
      <c r="N1825" s="11">
        <f>Summary!$C$16*Summary!$B$8</f>
        <v/>
      </c>
      <c r="O1825" s="11">
        <f>M1825-N1825</f>
        <v/>
      </c>
    </row>
    <row r="1826">
      <c r="A1826" s="9" t="n">
        <v>45368</v>
      </c>
      <c r="B1826" t="n">
        <v>3</v>
      </c>
      <c r="C1826" t="n">
        <v>17</v>
      </c>
      <c r="D1826" t="n">
        <v>0</v>
      </c>
      <c r="E1826" s="10" t="n">
        <v>0</v>
      </c>
      <c r="F1826" s="10" t="n">
        <v>0.41143387474413</v>
      </c>
      <c r="G1826" s="11">
        <f>E1826*Summary!$B$6</f>
        <v/>
      </c>
      <c r="H1826" s="11">
        <f>F1826*Summary!$B$7</f>
        <v/>
      </c>
      <c r="I1826" s="11">
        <f>MAX(0,N1826-M1826)</f>
        <v/>
      </c>
      <c r="J1826" s="11">
        <f>MAX(0,M1826-N1826)</f>
        <v/>
      </c>
      <c r="K1826" s="11">
        <f>O1826</f>
        <v/>
      </c>
      <c r="L1826" s="11">
        <f>L1825+IF(K1826&gt;0,K1826*Summary!$B$9,K1826/Summary!$B$9)</f>
        <v/>
      </c>
      <c r="M1826" s="11">
        <f>G1826+H1826</f>
        <v/>
      </c>
      <c r="N1826" s="11">
        <f>Summary!$C$16*Summary!$B$8</f>
        <v/>
      </c>
      <c r="O1826" s="11">
        <f>M1826-N1826</f>
        <v/>
      </c>
    </row>
    <row r="1827">
      <c r="A1827" s="9" t="n">
        <v>45368.04166666666</v>
      </c>
      <c r="B1827" t="n">
        <v>3</v>
      </c>
      <c r="C1827" t="n">
        <v>17</v>
      </c>
      <c r="D1827" t="n">
        <v>1</v>
      </c>
      <c r="E1827" s="10" t="n">
        <v>0</v>
      </c>
      <c r="F1827" s="10" t="n">
        <v>0.4253213820771317</v>
      </c>
      <c r="G1827" s="11">
        <f>E1827*Summary!$B$6</f>
        <v/>
      </c>
      <c r="H1827" s="11">
        <f>F1827*Summary!$B$7</f>
        <v/>
      </c>
      <c r="I1827" s="11">
        <f>MAX(0,N1827-M1827)</f>
        <v/>
      </c>
      <c r="J1827" s="11">
        <f>MAX(0,M1827-N1827)</f>
        <v/>
      </c>
      <c r="K1827" s="11">
        <f>O1827</f>
        <v/>
      </c>
      <c r="L1827" s="11">
        <f>L1826+IF(K1827&gt;0,K1827*Summary!$B$9,K1827/Summary!$B$9)</f>
        <v/>
      </c>
      <c r="M1827" s="11">
        <f>G1827+H1827</f>
        <v/>
      </c>
      <c r="N1827" s="11">
        <f>Summary!$C$16*Summary!$B$8</f>
        <v/>
      </c>
      <c r="O1827" s="11">
        <f>M1827-N1827</f>
        <v/>
      </c>
    </row>
    <row r="1828">
      <c r="A1828" s="9" t="n">
        <v>45368.08333333334</v>
      </c>
      <c r="B1828" t="n">
        <v>3</v>
      </c>
      <c r="C1828" t="n">
        <v>17</v>
      </c>
      <c r="D1828" t="n">
        <v>2</v>
      </c>
      <c r="E1828" s="10" t="n">
        <v>0</v>
      </c>
      <c r="F1828" s="10" t="n">
        <v>0.4309870634368952</v>
      </c>
      <c r="G1828" s="11">
        <f>E1828*Summary!$B$6</f>
        <v/>
      </c>
      <c r="H1828" s="11">
        <f>F1828*Summary!$B$7</f>
        <v/>
      </c>
      <c r="I1828" s="11">
        <f>MAX(0,N1828-M1828)</f>
        <v/>
      </c>
      <c r="J1828" s="11">
        <f>MAX(0,M1828-N1828)</f>
        <v/>
      </c>
      <c r="K1828" s="11">
        <f>O1828</f>
        <v/>
      </c>
      <c r="L1828" s="11">
        <f>L1827+IF(K1828&gt;0,K1828*Summary!$B$9,K1828/Summary!$B$9)</f>
        <v/>
      </c>
      <c r="M1828" s="11">
        <f>G1828+H1828</f>
        <v/>
      </c>
      <c r="N1828" s="11">
        <f>Summary!$C$16*Summary!$B$8</f>
        <v/>
      </c>
      <c r="O1828" s="11">
        <f>M1828-N1828</f>
        <v/>
      </c>
    </row>
    <row r="1829">
      <c r="A1829" s="9" t="n">
        <v>45368.125</v>
      </c>
      <c r="B1829" t="n">
        <v>3</v>
      </c>
      <c r="C1829" t="n">
        <v>17</v>
      </c>
      <c r="D1829" t="n">
        <v>3</v>
      </c>
      <c r="E1829" s="10" t="n">
        <v>0</v>
      </c>
      <c r="F1829" s="10" t="n">
        <v>0.434149304195833</v>
      </c>
      <c r="G1829" s="11">
        <f>E1829*Summary!$B$6</f>
        <v/>
      </c>
      <c r="H1829" s="11">
        <f>F1829*Summary!$B$7</f>
        <v/>
      </c>
      <c r="I1829" s="11">
        <f>MAX(0,N1829-M1829)</f>
        <v/>
      </c>
      <c r="J1829" s="11">
        <f>MAX(0,M1829-N1829)</f>
        <v/>
      </c>
      <c r="K1829" s="11">
        <f>O1829</f>
        <v/>
      </c>
      <c r="L1829" s="11">
        <f>L1828+IF(K1829&gt;0,K1829*Summary!$B$9,K1829/Summary!$B$9)</f>
        <v/>
      </c>
      <c r="M1829" s="11">
        <f>G1829+H1829</f>
        <v/>
      </c>
      <c r="N1829" s="11">
        <f>Summary!$C$16*Summary!$B$8</f>
        <v/>
      </c>
      <c r="O1829" s="11">
        <f>M1829-N1829</f>
        <v/>
      </c>
    </row>
    <row r="1830">
      <c r="A1830" s="9" t="n">
        <v>45368.16666666666</v>
      </c>
      <c r="B1830" t="n">
        <v>3</v>
      </c>
      <c r="C1830" t="n">
        <v>17</v>
      </c>
      <c r="D1830" t="n">
        <v>4</v>
      </c>
      <c r="E1830" s="10" t="n">
        <v>0</v>
      </c>
      <c r="F1830" s="10" t="n">
        <v>0.438471033233048</v>
      </c>
      <c r="G1830" s="11">
        <f>E1830*Summary!$B$6</f>
        <v/>
      </c>
      <c r="H1830" s="11">
        <f>F1830*Summary!$B$7</f>
        <v/>
      </c>
      <c r="I1830" s="11">
        <f>MAX(0,N1830-M1830)</f>
        <v/>
      </c>
      <c r="J1830" s="11">
        <f>MAX(0,M1830-N1830)</f>
        <v/>
      </c>
      <c r="K1830" s="11">
        <f>O1830</f>
        <v/>
      </c>
      <c r="L1830" s="11">
        <f>L1829+IF(K1830&gt;0,K1830*Summary!$B$9,K1830/Summary!$B$9)</f>
        <v/>
      </c>
      <c r="M1830" s="11">
        <f>G1830+H1830</f>
        <v/>
      </c>
      <c r="N1830" s="11">
        <f>Summary!$C$16*Summary!$B$8</f>
        <v/>
      </c>
      <c r="O1830" s="11">
        <f>M1830-N1830</f>
        <v/>
      </c>
    </row>
    <row r="1831">
      <c r="A1831" s="9" t="n">
        <v>45368.20833333334</v>
      </c>
      <c r="B1831" t="n">
        <v>3</v>
      </c>
      <c r="C1831" t="n">
        <v>17</v>
      </c>
      <c r="D1831" t="n">
        <v>5</v>
      </c>
      <c r="E1831" s="10" t="n">
        <v>0</v>
      </c>
      <c r="F1831" s="10" t="n">
        <v>0.4422393701374489</v>
      </c>
      <c r="G1831" s="11">
        <f>E1831*Summary!$B$6</f>
        <v/>
      </c>
      <c r="H1831" s="11">
        <f>F1831*Summary!$B$7</f>
        <v/>
      </c>
      <c r="I1831" s="11">
        <f>MAX(0,N1831-M1831)</f>
        <v/>
      </c>
      <c r="J1831" s="11">
        <f>MAX(0,M1831-N1831)</f>
        <v/>
      </c>
      <c r="K1831" s="11">
        <f>O1831</f>
        <v/>
      </c>
      <c r="L1831" s="11">
        <f>L1830+IF(K1831&gt;0,K1831*Summary!$B$9,K1831/Summary!$B$9)</f>
        <v/>
      </c>
      <c r="M1831" s="11">
        <f>G1831+H1831</f>
        <v/>
      </c>
      <c r="N1831" s="11">
        <f>Summary!$C$16*Summary!$B$8</f>
        <v/>
      </c>
      <c r="O1831" s="11">
        <f>M1831-N1831</f>
        <v/>
      </c>
    </row>
    <row r="1832">
      <c r="A1832" s="9" t="n">
        <v>45368.25</v>
      </c>
      <c r="B1832" t="n">
        <v>3</v>
      </c>
      <c r="C1832" t="n">
        <v>17</v>
      </c>
      <c r="D1832" t="n">
        <v>6</v>
      </c>
      <c r="E1832" s="10" t="n">
        <v>0</v>
      </c>
      <c r="F1832" s="10" t="n">
        <v>0.4458759470102273</v>
      </c>
      <c r="G1832" s="11">
        <f>E1832*Summary!$B$6</f>
        <v/>
      </c>
      <c r="H1832" s="11">
        <f>F1832*Summary!$B$7</f>
        <v/>
      </c>
      <c r="I1832" s="11">
        <f>MAX(0,N1832-M1832)</f>
        <v/>
      </c>
      <c r="J1832" s="11">
        <f>MAX(0,M1832-N1832)</f>
        <v/>
      </c>
      <c r="K1832" s="11">
        <f>O1832</f>
        <v/>
      </c>
      <c r="L1832" s="11">
        <f>L1831+IF(K1832&gt;0,K1832*Summary!$B$9,K1832/Summary!$B$9)</f>
        <v/>
      </c>
      <c r="M1832" s="11">
        <f>G1832+H1832</f>
        <v/>
      </c>
      <c r="N1832" s="11">
        <f>Summary!$C$16*Summary!$B$8</f>
        <v/>
      </c>
      <c r="O1832" s="11">
        <f>M1832-N1832</f>
        <v/>
      </c>
    </row>
    <row r="1833">
      <c r="A1833" s="9" t="n">
        <v>45368.29166666666</v>
      </c>
      <c r="B1833" t="n">
        <v>3</v>
      </c>
      <c r="C1833" t="n">
        <v>17</v>
      </c>
      <c r="D1833" t="n">
        <v>7</v>
      </c>
      <c r="E1833" s="10" t="n">
        <v>0.071924</v>
      </c>
      <c r="F1833" s="10" t="n">
        <v>0.4360730006575201</v>
      </c>
      <c r="G1833" s="11">
        <f>E1833*Summary!$B$6</f>
        <v/>
      </c>
      <c r="H1833" s="11">
        <f>F1833*Summary!$B$7</f>
        <v/>
      </c>
      <c r="I1833" s="11">
        <f>MAX(0,N1833-M1833)</f>
        <v/>
      </c>
      <c r="J1833" s="11">
        <f>MAX(0,M1833-N1833)</f>
        <v/>
      </c>
      <c r="K1833" s="11">
        <f>O1833</f>
        <v/>
      </c>
      <c r="L1833" s="11">
        <f>L1832+IF(K1833&gt;0,K1833*Summary!$B$9,K1833/Summary!$B$9)</f>
        <v/>
      </c>
      <c r="M1833" s="11">
        <f>G1833+H1833</f>
        <v/>
      </c>
      <c r="N1833" s="11">
        <f>Summary!$C$16*Summary!$B$8</f>
        <v/>
      </c>
      <c r="O1833" s="11">
        <f>M1833-N1833</f>
        <v/>
      </c>
    </row>
    <row r="1834">
      <c r="A1834" s="9" t="n">
        <v>45368.33333333334</v>
      </c>
      <c r="B1834" t="n">
        <v>3</v>
      </c>
      <c r="C1834" t="n">
        <v>17</v>
      </c>
      <c r="D1834" t="n">
        <v>8</v>
      </c>
      <c r="E1834" s="10" t="n">
        <v>0.150301</v>
      </c>
      <c r="F1834" s="10" t="n">
        <v>0.413515683243764</v>
      </c>
      <c r="G1834" s="11">
        <f>E1834*Summary!$B$6</f>
        <v/>
      </c>
      <c r="H1834" s="11">
        <f>F1834*Summary!$B$7</f>
        <v/>
      </c>
      <c r="I1834" s="11">
        <f>MAX(0,N1834-M1834)</f>
        <v/>
      </c>
      <c r="J1834" s="11">
        <f>MAX(0,M1834-N1834)</f>
        <v/>
      </c>
      <c r="K1834" s="11">
        <f>O1834</f>
        <v/>
      </c>
      <c r="L1834" s="11">
        <f>L1833+IF(K1834&gt;0,K1834*Summary!$B$9,K1834/Summary!$B$9)</f>
        <v/>
      </c>
      <c r="M1834" s="11">
        <f>G1834+H1834</f>
        <v/>
      </c>
      <c r="N1834" s="11">
        <f>Summary!$C$16*Summary!$B$8</f>
        <v/>
      </c>
      <c r="O1834" s="11">
        <f>M1834-N1834</f>
        <v/>
      </c>
    </row>
    <row r="1835">
      <c r="A1835" s="9" t="n">
        <v>45368.375</v>
      </c>
      <c r="B1835" t="n">
        <v>3</v>
      </c>
      <c r="C1835" t="n">
        <v>17</v>
      </c>
      <c r="D1835" t="n">
        <v>9</v>
      </c>
      <c r="E1835" s="10" t="n">
        <v>0.08999600000000001</v>
      </c>
      <c r="F1835" s="10" t="n">
        <v>0.4035546248531099</v>
      </c>
      <c r="G1835" s="11">
        <f>E1835*Summary!$B$6</f>
        <v/>
      </c>
      <c r="H1835" s="11">
        <f>F1835*Summary!$B$7</f>
        <v/>
      </c>
      <c r="I1835" s="11">
        <f>MAX(0,N1835-M1835)</f>
        <v/>
      </c>
      <c r="J1835" s="11">
        <f>MAX(0,M1835-N1835)</f>
        <v/>
      </c>
      <c r="K1835" s="11">
        <f>O1835</f>
        <v/>
      </c>
      <c r="L1835" s="11">
        <f>L1834+IF(K1835&gt;0,K1835*Summary!$B$9,K1835/Summary!$B$9)</f>
        <v/>
      </c>
      <c r="M1835" s="11">
        <f>G1835+H1835</f>
        <v/>
      </c>
      <c r="N1835" s="11">
        <f>Summary!$C$16*Summary!$B$8</f>
        <v/>
      </c>
      <c r="O1835" s="11">
        <f>M1835-N1835</f>
        <v/>
      </c>
    </row>
    <row r="1836">
      <c r="A1836" s="9" t="n">
        <v>45368.41666666666</v>
      </c>
      <c r="B1836" t="n">
        <v>3</v>
      </c>
      <c r="C1836" t="n">
        <v>17</v>
      </c>
      <c r="D1836" t="n">
        <v>10</v>
      </c>
      <c r="E1836" s="10" t="n">
        <v>0.120174</v>
      </c>
      <c r="F1836" s="10" t="n">
        <v>0.4050303372072809</v>
      </c>
      <c r="G1836" s="11">
        <f>E1836*Summary!$B$6</f>
        <v/>
      </c>
      <c r="H1836" s="11">
        <f>F1836*Summary!$B$7</f>
        <v/>
      </c>
      <c r="I1836" s="11">
        <f>MAX(0,N1836-M1836)</f>
        <v/>
      </c>
      <c r="J1836" s="11">
        <f>MAX(0,M1836-N1836)</f>
        <v/>
      </c>
      <c r="K1836" s="11">
        <f>O1836</f>
        <v/>
      </c>
      <c r="L1836" s="11">
        <f>L1835+IF(K1836&gt;0,K1836*Summary!$B$9,K1836/Summary!$B$9)</f>
        <v/>
      </c>
      <c r="M1836" s="11">
        <f>G1836+H1836</f>
        <v/>
      </c>
      <c r="N1836" s="11">
        <f>Summary!$C$16*Summary!$B$8</f>
        <v/>
      </c>
      <c r="O1836" s="11">
        <f>M1836-N1836</f>
        <v/>
      </c>
    </row>
    <row r="1837">
      <c r="A1837" s="9" t="n">
        <v>45368.45833333334</v>
      </c>
      <c r="B1837" t="n">
        <v>3</v>
      </c>
      <c r="C1837" t="n">
        <v>17</v>
      </c>
      <c r="D1837" t="n">
        <v>11</v>
      </c>
      <c r="E1837" s="10" t="n">
        <v>0.149536</v>
      </c>
      <c r="F1837" s="10" t="n">
        <v>0.4169414440659466</v>
      </c>
      <c r="G1837" s="11">
        <f>E1837*Summary!$B$6</f>
        <v/>
      </c>
      <c r="H1837" s="11">
        <f>F1837*Summary!$B$7</f>
        <v/>
      </c>
      <c r="I1837" s="11">
        <f>MAX(0,N1837-M1837)</f>
        <v/>
      </c>
      <c r="J1837" s="11">
        <f>MAX(0,M1837-N1837)</f>
        <v/>
      </c>
      <c r="K1837" s="11">
        <f>O1837</f>
        <v/>
      </c>
      <c r="L1837" s="11">
        <f>L1836+IF(K1837&gt;0,K1837*Summary!$B$9,K1837/Summary!$B$9)</f>
        <v/>
      </c>
      <c r="M1837" s="11">
        <f>G1837+H1837</f>
        <v/>
      </c>
      <c r="N1837" s="11">
        <f>Summary!$C$16*Summary!$B$8</f>
        <v/>
      </c>
      <c r="O1837" s="11">
        <f>M1837-N1837</f>
        <v/>
      </c>
    </row>
    <row r="1838">
      <c r="A1838" s="9" t="n">
        <v>45368.5</v>
      </c>
      <c r="B1838" t="n">
        <v>3</v>
      </c>
      <c r="C1838" t="n">
        <v>17</v>
      </c>
      <c r="D1838" t="n">
        <v>12</v>
      </c>
      <c r="E1838" s="10" t="n">
        <v>0.128236</v>
      </c>
      <c r="F1838" s="10" t="n">
        <v>0.4313296395191135</v>
      </c>
      <c r="G1838" s="11">
        <f>E1838*Summary!$B$6</f>
        <v/>
      </c>
      <c r="H1838" s="11">
        <f>F1838*Summary!$B$7</f>
        <v/>
      </c>
      <c r="I1838" s="11">
        <f>MAX(0,N1838-M1838)</f>
        <v/>
      </c>
      <c r="J1838" s="11">
        <f>MAX(0,M1838-N1838)</f>
        <v/>
      </c>
      <c r="K1838" s="11">
        <f>O1838</f>
        <v/>
      </c>
      <c r="L1838" s="11">
        <f>L1837+IF(K1838&gt;0,K1838*Summary!$B$9,K1838/Summary!$B$9)</f>
        <v/>
      </c>
      <c r="M1838" s="11">
        <f>G1838+H1838</f>
        <v/>
      </c>
      <c r="N1838" s="11">
        <f>Summary!$C$16*Summary!$B$8</f>
        <v/>
      </c>
      <c r="O1838" s="11">
        <f>M1838-N1838</f>
        <v/>
      </c>
    </row>
    <row r="1839">
      <c r="A1839" s="9" t="n">
        <v>45368.54166666666</v>
      </c>
      <c r="B1839" t="n">
        <v>3</v>
      </c>
      <c r="C1839" t="n">
        <v>17</v>
      </c>
      <c r="D1839" t="n">
        <v>13</v>
      </c>
      <c r="E1839" s="10" t="n">
        <v>0.175684</v>
      </c>
      <c r="F1839" s="10" t="n">
        <v>0.4387872573089417</v>
      </c>
      <c r="G1839" s="11">
        <f>E1839*Summary!$B$6</f>
        <v/>
      </c>
      <c r="H1839" s="11">
        <f>F1839*Summary!$B$7</f>
        <v/>
      </c>
      <c r="I1839" s="11">
        <f>MAX(0,N1839-M1839)</f>
        <v/>
      </c>
      <c r="J1839" s="11">
        <f>MAX(0,M1839-N1839)</f>
        <v/>
      </c>
      <c r="K1839" s="11">
        <f>O1839</f>
        <v/>
      </c>
      <c r="L1839" s="11">
        <f>L1838+IF(K1839&gt;0,K1839*Summary!$B$9,K1839/Summary!$B$9)</f>
        <v/>
      </c>
      <c r="M1839" s="11">
        <f>G1839+H1839</f>
        <v/>
      </c>
      <c r="N1839" s="11">
        <f>Summary!$C$16*Summary!$B$8</f>
        <v/>
      </c>
      <c r="O1839" s="11">
        <f>M1839-N1839</f>
        <v/>
      </c>
    </row>
    <row r="1840">
      <c r="A1840" s="9" t="n">
        <v>45368.58333333334</v>
      </c>
      <c r="B1840" t="n">
        <v>3</v>
      </c>
      <c r="C1840" t="n">
        <v>17</v>
      </c>
      <c r="D1840" t="n">
        <v>14</v>
      </c>
      <c r="E1840" s="10" t="n">
        <v>0.174709</v>
      </c>
      <c r="F1840" s="10" t="n">
        <v>0.4429245223018853</v>
      </c>
      <c r="G1840" s="11">
        <f>E1840*Summary!$B$6</f>
        <v/>
      </c>
      <c r="H1840" s="11">
        <f>F1840*Summary!$B$7</f>
        <v/>
      </c>
      <c r="I1840" s="11">
        <f>MAX(0,N1840-M1840)</f>
        <v/>
      </c>
      <c r="J1840" s="11">
        <f>MAX(0,M1840-N1840)</f>
        <v/>
      </c>
      <c r="K1840" s="11">
        <f>O1840</f>
        <v/>
      </c>
      <c r="L1840" s="11">
        <f>L1839+IF(K1840&gt;0,K1840*Summary!$B$9,K1840/Summary!$B$9)</f>
        <v/>
      </c>
      <c r="M1840" s="11">
        <f>G1840+H1840</f>
        <v/>
      </c>
      <c r="N1840" s="11">
        <f>Summary!$C$16*Summary!$B$8</f>
        <v/>
      </c>
      <c r="O1840" s="11">
        <f>M1840-N1840</f>
        <v/>
      </c>
    </row>
    <row r="1841">
      <c r="A1841" s="9" t="n">
        <v>45368.625</v>
      </c>
      <c r="B1841" t="n">
        <v>3</v>
      </c>
      <c r="C1841" t="n">
        <v>17</v>
      </c>
      <c r="D1841" t="n">
        <v>15</v>
      </c>
      <c r="E1841" s="10" t="n">
        <v>0.113893</v>
      </c>
      <c r="F1841" s="10" t="n">
        <v>0.4402366176567882</v>
      </c>
      <c r="G1841" s="11">
        <f>E1841*Summary!$B$6</f>
        <v/>
      </c>
      <c r="H1841" s="11">
        <f>F1841*Summary!$B$7</f>
        <v/>
      </c>
      <c r="I1841" s="11">
        <f>MAX(0,N1841-M1841)</f>
        <v/>
      </c>
      <c r="J1841" s="11">
        <f>MAX(0,M1841-N1841)</f>
        <v/>
      </c>
      <c r="K1841" s="11">
        <f>O1841</f>
        <v/>
      </c>
      <c r="L1841" s="11">
        <f>L1840+IF(K1841&gt;0,K1841*Summary!$B$9,K1841/Summary!$B$9)</f>
        <v/>
      </c>
      <c r="M1841" s="11">
        <f>G1841+H1841</f>
        <v/>
      </c>
      <c r="N1841" s="11">
        <f>Summary!$C$16*Summary!$B$8</f>
        <v/>
      </c>
      <c r="O1841" s="11">
        <f>M1841-N1841</f>
        <v/>
      </c>
    </row>
    <row r="1842">
      <c r="A1842" s="9" t="n">
        <v>45368.66666666666</v>
      </c>
      <c r="B1842" t="n">
        <v>3</v>
      </c>
      <c r="C1842" t="n">
        <v>17</v>
      </c>
      <c r="D1842" t="n">
        <v>16</v>
      </c>
      <c r="E1842" s="10" t="n">
        <v>0.06342200000000001</v>
      </c>
      <c r="F1842" s="10" t="n">
        <v>0.4424501861880447</v>
      </c>
      <c r="G1842" s="11">
        <f>E1842*Summary!$B$6</f>
        <v/>
      </c>
      <c r="H1842" s="11">
        <f>F1842*Summary!$B$7</f>
        <v/>
      </c>
      <c r="I1842" s="11">
        <f>MAX(0,N1842-M1842)</f>
        <v/>
      </c>
      <c r="J1842" s="11">
        <f>MAX(0,M1842-N1842)</f>
        <v/>
      </c>
      <c r="K1842" s="11">
        <f>O1842</f>
        <v/>
      </c>
      <c r="L1842" s="11">
        <f>L1841+IF(K1842&gt;0,K1842*Summary!$B$9,K1842/Summary!$B$9)</f>
        <v/>
      </c>
      <c r="M1842" s="11">
        <f>G1842+H1842</f>
        <v/>
      </c>
      <c r="N1842" s="11">
        <f>Summary!$C$16*Summary!$B$8</f>
        <v/>
      </c>
      <c r="O1842" s="11">
        <f>M1842-N1842</f>
        <v/>
      </c>
    </row>
    <row r="1843">
      <c r="A1843" s="9" t="n">
        <v>45368.70833333334</v>
      </c>
      <c r="B1843" t="n">
        <v>3</v>
      </c>
      <c r="C1843" t="n">
        <v>17</v>
      </c>
      <c r="D1843" t="n">
        <v>17</v>
      </c>
      <c r="E1843" s="10" t="n">
        <v>0.016021</v>
      </c>
      <c r="F1843" s="10" t="n">
        <v>0.4510936442624746</v>
      </c>
      <c r="G1843" s="11">
        <f>E1843*Summary!$B$6</f>
        <v/>
      </c>
      <c r="H1843" s="11">
        <f>F1843*Summary!$B$7</f>
        <v/>
      </c>
      <c r="I1843" s="11">
        <f>MAX(0,N1843-M1843)</f>
        <v/>
      </c>
      <c r="J1843" s="11">
        <f>MAX(0,M1843-N1843)</f>
        <v/>
      </c>
      <c r="K1843" s="11">
        <f>O1843</f>
        <v/>
      </c>
      <c r="L1843" s="11">
        <f>L1842+IF(K1843&gt;0,K1843*Summary!$B$9,K1843/Summary!$B$9)</f>
        <v/>
      </c>
      <c r="M1843" s="11">
        <f>G1843+H1843</f>
        <v/>
      </c>
      <c r="N1843" s="11">
        <f>Summary!$C$16*Summary!$B$8</f>
        <v/>
      </c>
      <c r="O1843" s="11">
        <f>M1843-N1843</f>
        <v/>
      </c>
    </row>
    <row r="1844">
      <c r="A1844" s="9" t="n">
        <v>45368.75</v>
      </c>
      <c r="B1844" t="n">
        <v>3</v>
      </c>
      <c r="C1844" t="n">
        <v>17</v>
      </c>
      <c r="D1844" t="n">
        <v>18</v>
      </c>
      <c r="E1844" s="10" t="n">
        <v>0</v>
      </c>
      <c r="F1844" s="10" t="n">
        <v>0.4642169434120664</v>
      </c>
      <c r="G1844" s="11">
        <f>E1844*Summary!$B$6</f>
        <v/>
      </c>
      <c r="H1844" s="11">
        <f>F1844*Summary!$B$7</f>
        <v/>
      </c>
      <c r="I1844" s="11">
        <f>MAX(0,N1844-M1844)</f>
        <v/>
      </c>
      <c r="J1844" s="11">
        <f>MAX(0,M1844-N1844)</f>
        <v/>
      </c>
      <c r="K1844" s="11">
        <f>O1844</f>
        <v/>
      </c>
      <c r="L1844" s="11">
        <f>L1843+IF(K1844&gt;0,K1844*Summary!$B$9,K1844/Summary!$B$9)</f>
        <v/>
      </c>
      <c r="M1844" s="11">
        <f>G1844+H1844</f>
        <v/>
      </c>
      <c r="N1844" s="11">
        <f>Summary!$C$16*Summary!$B$8</f>
        <v/>
      </c>
      <c r="O1844" s="11">
        <f>M1844-N1844</f>
        <v/>
      </c>
    </row>
    <row r="1845">
      <c r="A1845" s="9" t="n">
        <v>45368.79166666666</v>
      </c>
      <c r="B1845" t="n">
        <v>3</v>
      </c>
      <c r="C1845" t="n">
        <v>17</v>
      </c>
      <c r="D1845" t="n">
        <v>19</v>
      </c>
      <c r="E1845" s="10" t="n">
        <v>0</v>
      </c>
      <c r="F1845" s="10" t="n">
        <v>0.4713319851196764</v>
      </c>
      <c r="G1845" s="11">
        <f>E1845*Summary!$B$6</f>
        <v/>
      </c>
      <c r="H1845" s="11">
        <f>F1845*Summary!$B$7</f>
        <v/>
      </c>
      <c r="I1845" s="11">
        <f>MAX(0,N1845-M1845)</f>
        <v/>
      </c>
      <c r="J1845" s="11">
        <f>MAX(0,M1845-N1845)</f>
        <v/>
      </c>
      <c r="K1845" s="11">
        <f>O1845</f>
        <v/>
      </c>
      <c r="L1845" s="11">
        <f>L1844+IF(K1845&gt;0,K1845*Summary!$B$9,K1845/Summary!$B$9)</f>
        <v/>
      </c>
      <c r="M1845" s="11">
        <f>G1845+H1845</f>
        <v/>
      </c>
      <c r="N1845" s="11">
        <f>Summary!$C$16*Summary!$B$8</f>
        <v/>
      </c>
      <c r="O1845" s="11">
        <f>M1845-N1845</f>
        <v/>
      </c>
    </row>
    <row r="1846">
      <c r="A1846" s="9" t="n">
        <v>45368.83333333334</v>
      </c>
      <c r="B1846" t="n">
        <v>3</v>
      </c>
      <c r="C1846" t="n">
        <v>17</v>
      </c>
      <c r="D1846" t="n">
        <v>20</v>
      </c>
      <c r="E1846" s="10" t="n">
        <v>0</v>
      </c>
      <c r="F1846" s="10" t="n">
        <v>0.4576552938372705</v>
      </c>
      <c r="G1846" s="11">
        <f>E1846*Summary!$B$6</f>
        <v/>
      </c>
      <c r="H1846" s="11">
        <f>F1846*Summary!$B$7</f>
        <v/>
      </c>
      <c r="I1846" s="11">
        <f>MAX(0,N1846-M1846)</f>
        <v/>
      </c>
      <c r="J1846" s="11">
        <f>MAX(0,M1846-N1846)</f>
        <v/>
      </c>
      <c r="K1846" s="11">
        <f>O1846</f>
        <v/>
      </c>
      <c r="L1846" s="11">
        <f>L1845+IF(K1846&gt;0,K1846*Summary!$B$9,K1846/Summary!$B$9)</f>
        <v/>
      </c>
      <c r="M1846" s="11">
        <f>G1846+H1846</f>
        <v/>
      </c>
      <c r="N1846" s="11">
        <f>Summary!$C$16*Summary!$B$8</f>
        <v/>
      </c>
      <c r="O1846" s="11">
        <f>M1846-N1846</f>
        <v/>
      </c>
    </row>
    <row r="1847">
      <c r="A1847" s="9" t="n">
        <v>45368.875</v>
      </c>
      <c r="B1847" t="n">
        <v>3</v>
      </c>
      <c r="C1847" t="n">
        <v>17</v>
      </c>
      <c r="D1847" t="n">
        <v>21</v>
      </c>
      <c r="E1847" s="10" t="n">
        <v>0</v>
      </c>
      <c r="F1847" s="10" t="n">
        <v>0.4614499827479958</v>
      </c>
      <c r="G1847" s="11">
        <f>E1847*Summary!$B$6</f>
        <v/>
      </c>
      <c r="H1847" s="11">
        <f>F1847*Summary!$B$7</f>
        <v/>
      </c>
      <c r="I1847" s="11">
        <f>MAX(0,N1847-M1847)</f>
        <v/>
      </c>
      <c r="J1847" s="11">
        <f>MAX(0,M1847-N1847)</f>
        <v/>
      </c>
      <c r="K1847" s="11">
        <f>O1847</f>
        <v/>
      </c>
      <c r="L1847" s="11">
        <f>L1846+IF(K1847&gt;0,K1847*Summary!$B$9,K1847/Summary!$B$9)</f>
        <v/>
      </c>
      <c r="M1847" s="11">
        <f>G1847+H1847</f>
        <v/>
      </c>
      <c r="N1847" s="11">
        <f>Summary!$C$16*Summary!$B$8</f>
        <v/>
      </c>
      <c r="O1847" s="11">
        <f>M1847-N1847</f>
        <v/>
      </c>
    </row>
    <row r="1848">
      <c r="A1848" s="9" t="n">
        <v>45368.91666666666</v>
      </c>
      <c r="B1848" t="n">
        <v>3</v>
      </c>
      <c r="C1848" t="n">
        <v>17</v>
      </c>
      <c r="D1848" t="n">
        <v>22</v>
      </c>
      <c r="E1848" s="10" t="n">
        <v>0</v>
      </c>
      <c r="F1848" s="10" t="n">
        <v>0.4432143943714547</v>
      </c>
      <c r="G1848" s="11">
        <f>E1848*Summary!$B$6</f>
        <v/>
      </c>
      <c r="H1848" s="11">
        <f>F1848*Summary!$B$7</f>
        <v/>
      </c>
      <c r="I1848" s="11">
        <f>MAX(0,N1848-M1848)</f>
        <v/>
      </c>
      <c r="J1848" s="11">
        <f>MAX(0,M1848-N1848)</f>
        <v/>
      </c>
      <c r="K1848" s="11">
        <f>O1848</f>
        <v/>
      </c>
      <c r="L1848" s="11">
        <f>L1847+IF(K1848&gt;0,K1848*Summary!$B$9,K1848/Summary!$B$9)</f>
        <v/>
      </c>
      <c r="M1848" s="11">
        <f>G1848+H1848</f>
        <v/>
      </c>
      <c r="N1848" s="11">
        <f>Summary!$C$16*Summary!$B$8</f>
        <v/>
      </c>
      <c r="O1848" s="11">
        <f>M1848-N1848</f>
        <v/>
      </c>
    </row>
    <row r="1849">
      <c r="A1849" s="9" t="n">
        <v>45368.95833333334</v>
      </c>
      <c r="B1849" t="n">
        <v>3</v>
      </c>
      <c r="C1849" t="n">
        <v>17</v>
      </c>
      <c r="D1849" t="n">
        <v>23</v>
      </c>
      <c r="E1849" s="10" t="n">
        <v>0</v>
      </c>
      <c r="F1849" s="10" t="n">
        <v>0.4247679899443176</v>
      </c>
      <c r="G1849" s="11">
        <f>E1849*Summary!$B$6</f>
        <v/>
      </c>
      <c r="H1849" s="11">
        <f>F1849*Summary!$B$7</f>
        <v/>
      </c>
      <c r="I1849" s="11">
        <f>MAX(0,N1849-M1849)</f>
        <v/>
      </c>
      <c r="J1849" s="11">
        <f>MAX(0,M1849-N1849)</f>
        <v/>
      </c>
      <c r="K1849" s="11">
        <f>O1849</f>
        <v/>
      </c>
      <c r="L1849" s="11">
        <f>L1848+IF(K1849&gt;0,K1849*Summary!$B$9,K1849/Summary!$B$9)</f>
        <v/>
      </c>
      <c r="M1849" s="11">
        <f>G1849+H1849</f>
        <v/>
      </c>
      <c r="N1849" s="11">
        <f>Summary!$C$16*Summary!$B$8</f>
        <v/>
      </c>
      <c r="O1849" s="11">
        <f>M1849-N1849</f>
        <v/>
      </c>
    </row>
    <row r="1850">
      <c r="A1850" s="9" t="n">
        <v>45369</v>
      </c>
      <c r="B1850" t="n">
        <v>3</v>
      </c>
      <c r="C1850" t="n">
        <v>18</v>
      </c>
      <c r="D1850" t="n">
        <v>0</v>
      </c>
      <c r="E1850" s="10" t="n">
        <v>0</v>
      </c>
      <c r="F1850" s="10" t="n">
        <v>0.3095833703000089</v>
      </c>
      <c r="G1850" s="11">
        <f>E1850*Summary!$B$6</f>
        <v/>
      </c>
      <c r="H1850" s="11">
        <f>F1850*Summary!$B$7</f>
        <v/>
      </c>
      <c r="I1850" s="11">
        <f>MAX(0,N1850-M1850)</f>
        <v/>
      </c>
      <c r="J1850" s="11">
        <f>MAX(0,M1850-N1850)</f>
        <v/>
      </c>
      <c r="K1850" s="11">
        <f>O1850</f>
        <v/>
      </c>
      <c r="L1850" s="11">
        <f>L1849+IF(K1850&gt;0,K1850*Summary!$B$9,K1850/Summary!$B$9)</f>
        <v/>
      </c>
      <c r="M1850" s="11">
        <f>G1850+H1850</f>
        <v/>
      </c>
      <c r="N1850" s="11">
        <f>Summary!$C$16*Summary!$B$8</f>
        <v/>
      </c>
      <c r="O1850" s="11">
        <f>M1850-N1850</f>
        <v/>
      </c>
    </row>
    <row r="1851">
      <c r="A1851" s="9" t="n">
        <v>45369.04166666666</v>
      </c>
      <c r="B1851" t="n">
        <v>3</v>
      </c>
      <c r="C1851" t="n">
        <v>18</v>
      </c>
      <c r="D1851" t="n">
        <v>1</v>
      </c>
      <c r="E1851" s="10" t="n">
        <v>0</v>
      </c>
      <c r="F1851" s="10" t="n">
        <v>0.3934354544245091</v>
      </c>
      <c r="G1851" s="11">
        <f>E1851*Summary!$B$6</f>
        <v/>
      </c>
      <c r="H1851" s="11">
        <f>F1851*Summary!$B$7</f>
        <v/>
      </c>
      <c r="I1851" s="11">
        <f>MAX(0,N1851-M1851)</f>
        <v/>
      </c>
      <c r="J1851" s="11">
        <f>MAX(0,M1851-N1851)</f>
        <v/>
      </c>
      <c r="K1851" s="11">
        <f>O1851</f>
        <v/>
      </c>
      <c r="L1851" s="11">
        <f>L1850+IF(K1851&gt;0,K1851*Summary!$B$9,K1851/Summary!$B$9)</f>
        <v/>
      </c>
      <c r="M1851" s="11">
        <f>G1851+H1851</f>
        <v/>
      </c>
      <c r="N1851" s="11">
        <f>Summary!$C$16*Summary!$B$8</f>
        <v/>
      </c>
      <c r="O1851" s="11">
        <f>M1851-N1851</f>
        <v/>
      </c>
    </row>
    <row r="1852">
      <c r="A1852" s="9" t="n">
        <v>45369.08333333334</v>
      </c>
      <c r="B1852" t="n">
        <v>3</v>
      </c>
      <c r="C1852" t="n">
        <v>18</v>
      </c>
      <c r="D1852" t="n">
        <v>2</v>
      </c>
      <c r="E1852" s="10" t="n">
        <v>0</v>
      </c>
      <c r="F1852" s="10" t="n">
        <v>0.372090329301679</v>
      </c>
      <c r="G1852" s="11">
        <f>E1852*Summary!$B$6</f>
        <v/>
      </c>
      <c r="H1852" s="11">
        <f>F1852*Summary!$B$7</f>
        <v/>
      </c>
      <c r="I1852" s="11">
        <f>MAX(0,N1852-M1852)</f>
        <v/>
      </c>
      <c r="J1852" s="11">
        <f>MAX(0,M1852-N1852)</f>
        <v/>
      </c>
      <c r="K1852" s="11">
        <f>O1852</f>
        <v/>
      </c>
      <c r="L1852" s="11">
        <f>L1851+IF(K1852&gt;0,K1852*Summary!$B$9,K1852/Summary!$B$9)</f>
        <v/>
      </c>
      <c r="M1852" s="11">
        <f>G1852+H1852</f>
        <v/>
      </c>
      <c r="N1852" s="11">
        <f>Summary!$C$16*Summary!$B$8</f>
        <v/>
      </c>
      <c r="O1852" s="11">
        <f>M1852-N1852</f>
        <v/>
      </c>
    </row>
    <row r="1853">
      <c r="A1853" s="9" t="n">
        <v>45369.125</v>
      </c>
      <c r="B1853" t="n">
        <v>3</v>
      </c>
      <c r="C1853" t="n">
        <v>18</v>
      </c>
      <c r="D1853" t="n">
        <v>3</v>
      </c>
      <c r="E1853" s="10" t="n">
        <v>0</v>
      </c>
      <c r="F1853" s="10" t="n">
        <v>0.3558047893931494</v>
      </c>
      <c r="G1853" s="11">
        <f>E1853*Summary!$B$6</f>
        <v/>
      </c>
      <c r="H1853" s="11">
        <f>F1853*Summary!$B$7</f>
        <v/>
      </c>
      <c r="I1853" s="11">
        <f>MAX(0,N1853-M1853)</f>
        <v/>
      </c>
      <c r="J1853" s="11">
        <f>MAX(0,M1853-N1853)</f>
        <v/>
      </c>
      <c r="K1853" s="11">
        <f>O1853</f>
        <v/>
      </c>
      <c r="L1853" s="11">
        <f>L1852+IF(K1853&gt;0,K1853*Summary!$B$9,K1853/Summary!$B$9)</f>
        <v/>
      </c>
      <c r="M1853" s="11">
        <f>G1853+H1853</f>
        <v/>
      </c>
      <c r="N1853" s="11">
        <f>Summary!$C$16*Summary!$B$8</f>
        <v/>
      </c>
      <c r="O1853" s="11">
        <f>M1853-N1853</f>
        <v/>
      </c>
    </row>
    <row r="1854">
      <c r="A1854" s="9" t="n">
        <v>45369.16666666666</v>
      </c>
      <c r="B1854" t="n">
        <v>3</v>
      </c>
      <c r="C1854" t="n">
        <v>18</v>
      </c>
      <c r="D1854" t="n">
        <v>4</v>
      </c>
      <c r="E1854" s="10" t="n">
        <v>0</v>
      </c>
      <c r="F1854" s="10" t="n">
        <v>0.3476356674325602</v>
      </c>
      <c r="G1854" s="11">
        <f>E1854*Summary!$B$6</f>
        <v/>
      </c>
      <c r="H1854" s="11">
        <f>F1854*Summary!$B$7</f>
        <v/>
      </c>
      <c r="I1854" s="11">
        <f>MAX(0,N1854-M1854)</f>
        <v/>
      </c>
      <c r="J1854" s="11">
        <f>MAX(0,M1854-N1854)</f>
        <v/>
      </c>
      <c r="K1854" s="11">
        <f>O1854</f>
        <v/>
      </c>
      <c r="L1854" s="11">
        <f>L1853+IF(K1854&gt;0,K1854*Summary!$B$9,K1854/Summary!$B$9)</f>
        <v/>
      </c>
      <c r="M1854" s="11">
        <f>G1854+H1854</f>
        <v/>
      </c>
      <c r="N1854" s="11">
        <f>Summary!$C$16*Summary!$B$8</f>
        <v/>
      </c>
      <c r="O1854" s="11">
        <f>M1854-N1854</f>
        <v/>
      </c>
    </row>
    <row r="1855">
      <c r="A1855" s="9" t="n">
        <v>45369.20833333334</v>
      </c>
      <c r="B1855" t="n">
        <v>3</v>
      </c>
      <c r="C1855" t="n">
        <v>18</v>
      </c>
      <c r="D1855" t="n">
        <v>5</v>
      </c>
      <c r="E1855" s="10" t="n">
        <v>0</v>
      </c>
      <c r="F1855" s="10" t="n">
        <v>0.3248148299555592</v>
      </c>
      <c r="G1855" s="11">
        <f>E1855*Summary!$B$6</f>
        <v/>
      </c>
      <c r="H1855" s="11">
        <f>F1855*Summary!$B$7</f>
        <v/>
      </c>
      <c r="I1855" s="11">
        <f>MAX(0,N1855-M1855)</f>
        <v/>
      </c>
      <c r="J1855" s="11">
        <f>MAX(0,M1855-N1855)</f>
        <v/>
      </c>
      <c r="K1855" s="11">
        <f>O1855</f>
        <v/>
      </c>
      <c r="L1855" s="11">
        <f>L1854+IF(K1855&gt;0,K1855*Summary!$B$9,K1855/Summary!$B$9)</f>
        <v/>
      </c>
      <c r="M1855" s="11">
        <f>G1855+H1855</f>
        <v/>
      </c>
      <c r="N1855" s="11">
        <f>Summary!$C$16*Summary!$B$8</f>
        <v/>
      </c>
      <c r="O1855" s="11">
        <f>M1855-N1855</f>
        <v/>
      </c>
    </row>
    <row r="1856">
      <c r="A1856" s="9" t="n">
        <v>45369.25</v>
      </c>
      <c r="B1856" t="n">
        <v>3</v>
      </c>
      <c r="C1856" t="n">
        <v>18</v>
      </c>
      <c r="D1856" t="n">
        <v>6</v>
      </c>
      <c r="E1856" s="10" t="n">
        <v>0</v>
      </c>
      <c r="F1856" s="10" t="n">
        <v>0.3131672431601383</v>
      </c>
      <c r="G1856" s="11">
        <f>E1856*Summary!$B$6</f>
        <v/>
      </c>
      <c r="H1856" s="11">
        <f>F1856*Summary!$B$7</f>
        <v/>
      </c>
      <c r="I1856" s="11">
        <f>MAX(0,N1856-M1856)</f>
        <v/>
      </c>
      <c r="J1856" s="11">
        <f>MAX(0,M1856-N1856)</f>
        <v/>
      </c>
      <c r="K1856" s="11">
        <f>O1856</f>
        <v/>
      </c>
      <c r="L1856" s="11">
        <f>L1855+IF(K1856&gt;0,K1856*Summary!$B$9,K1856/Summary!$B$9)</f>
        <v/>
      </c>
      <c r="M1856" s="11">
        <f>G1856+H1856</f>
        <v/>
      </c>
      <c r="N1856" s="11">
        <f>Summary!$C$16*Summary!$B$8</f>
        <v/>
      </c>
      <c r="O1856" s="11">
        <f>M1856-N1856</f>
        <v/>
      </c>
    </row>
    <row r="1857">
      <c r="A1857" s="9" t="n">
        <v>45369.29166666666</v>
      </c>
      <c r="B1857" t="n">
        <v>3</v>
      </c>
      <c r="C1857" t="n">
        <v>18</v>
      </c>
      <c r="D1857" t="n">
        <v>7</v>
      </c>
      <c r="E1857" s="10" t="n">
        <v>0.010233</v>
      </c>
      <c r="F1857" s="10" t="n">
        <v>0.2955641029353847</v>
      </c>
      <c r="G1857" s="11">
        <f>E1857*Summary!$B$6</f>
        <v/>
      </c>
      <c r="H1857" s="11">
        <f>F1857*Summary!$B$7</f>
        <v/>
      </c>
      <c r="I1857" s="11">
        <f>MAX(0,N1857-M1857)</f>
        <v/>
      </c>
      <c r="J1857" s="11">
        <f>MAX(0,M1857-N1857)</f>
        <v/>
      </c>
      <c r="K1857" s="11">
        <f>O1857</f>
        <v/>
      </c>
      <c r="L1857" s="11">
        <f>L1856+IF(K1857&gt;0,K1857*Summary!$B$9,K1857/Summary!$B$9)</f>
        <v/>
      </c>
      <c r="M1857" s="11">
        <f>G1857+H1857</f>
        <v/>
      </c>
      <c r="N1857" s="11">
        <f>Summary!$C$16*Summary!$B$8</f>
        <v/>
      </c>
      <c r="O1857" s="11">
        <f>M1857-N1857</f>
        <v/>
      </c>
    </row>
    <row r="1858">
      <c r="A1858" s="9" t="n">
        <v>45369.33333333334</v>
      </c>
      <c r="B1858" t="n">
        <v>3</v>
      </c>
      <c r="C1858" t="n">
        <v>18</v>
      </c>
      <c r="D1858" t="n">
        <v>8</v>
      </c>
      <c r="E1858" s="10" t="n">
        <v>0.042071</v>
      </c>
      <c r="F1858" s="10" t="n">
        <v>0.2689749285539829</v>
      </c>
      <c r="G1858" s="11">
        <f>E1858*Summary!$B$6</f>
        <v/>
      </c>
      <c r="H1858" s="11">
        <f>F1858*Summary!$B$7</f>
        <v/>
      </c>
      <c r="I1858" s="11">
        <f>MAX(0,N1858-M1858)</f>
        <v/>
      </c>
      <c r="J1858" s="11">
        <f>MAX(0,M1858-N1858)</f>
        <v/>
      </c>
      <c r="K1858" s="11">
        <f>O1858</f>
        <v/>
      </c>
      <c r="L1858" s="11">
        <f>L1857+IF(K1858&gt;0,K1858*Summary!$B$9,K1858/Summary!$B$9)</f>
        <v/>
      </c>
      <c r="M1858" s="11">
        <f>G1858+H1858</f>
        <v/>
      </c>
      <c r="N1858" s="11">
        <f>Summary!$C$16*Summary!$B$8</f>
        <v/>
      </c>
      <c r="O1858" s="11">
        <f>M1858-N1858</f>
        <v/>
      </c>
    </row>
    <row r="1859">
      <c r="A1859" s="9" t="n">
        <v>45369.375</v>
      </c>
      <c r="B1859" t="n">
        <v>3</v>
      </c>
      <c r="C1859" t="n">
        <v>18</v>
      </c>
      <c r="D1859" t="n">
        <v>9</v>
      </c>
      <c r="E1859" s="10" t="n">
        <v>0.112652</v>
      </c>
      <c r="F1859" s="10" t="n">
        <v>0.2483149555955893</v>
      </c>
      <c r="G1859" s="11">
        <f>E1859*Summary!$B$6</f>
        <v/>
      </c>
      <c r="H1859" s="11">
        <f>F1859*Summary!$B$7</f>
        <v/>
      </c>
      <c r="I1859" s="11">
        <f>MAX(0,N1859-M1859)</f>
        <v/>
      </c>
      <c r="J1859" s="11">
        <f>MAX(0,M1859-N1859)</f>
        <v/>
      </c>
      <c r="K1859" s="11">
        <f>O1859</f>
        <v/>
      </c>
      <c r="L1859" s="11">
        <f>L1858+IF(K1859&gt;0,K1859*Summary!$B$9,K1859/Summary!$B$9)</f>
        <v/>
      </c>
      <c r="M1859" s="11">
        <f>G1859+H1859</f>
        <v/>
      </c>
      <c r="N1859" s="11">
        <f>Summary!$C$16*Summary!$B$8</f>
        <v/>
      </c>
      <c r="O1859" s="11">
        <f>M1859-N1859</f>
        <v/>
      </c>
    </row>
    <row r="1860">
      <c r="A1860" s="9" t="n">
        <v>45369.41666666666</v>
      </c>
      <c r="B1860" t="n">
        <v>3</v>
      </c>
      <c r="C1860" t="n">
        <v>18</v>
      </c>
      <c r="D1860" t="n">
        <v>10</v>
      </c>
      <c r="E1860" s="10" t="n">
        <v>0.13899</v>
      </c>
      <c r="F1860" s="10" t="n">
        <v>0.2347963763511303</v>
      </c>
      <c r="G1860" s="11">
        <f>E1860*Summary!$B$6</f>
        <v/>
      </c>
      <c r="H1860" s="11">
        <f>F1860*Summary!$B$7</f>
        <v/>
      </c>
      <c r="I1860" s="11">
        <f>MAX(0,N1860-M1860)</f>
        <v/>
      </c>
      <c r="J1860" s="11">
        <f>MAX(0,M1860-N1860)</f>
        <v/>
      </c>
      <c r="K1860" s="11">
        <f>O1860</f>
        <v/>
      </c>
      <c r="L1860" s="11">
        <f>L1859+IF(K1860&gt;0,K1860*Summary!$B$9,K1860/Summary!$B$9)</f>
        <v/>
      </c>
      <c r="M1860" s="11">
        <f>G1860+H1860</f>
        <v/>
      </c>
      <c r="N1860" s="11">
        <f>Summary!$C$16*Summary!$B$8</f>
        <v/>
      </c>
      <c r="O1860" s="11">
        <f>M1860-N1860</f>
        <v/>
      </c>
    </row>
    <row r="1861">
      <c r="A1861" s="9" t="n">
        <v>45369.45833333334</v>
      </c>
      <c r="B1861" t="n">
        <v>3</v>
      </c>
      <c r="C1861" t="n">
        <v>18</v>
      </c>
      <c r="D1861" t="n">
        <v>11</v>
      </c>
      <c r="E1861" s="10" t="n">
        <v>0.191276</v>
      </c>
      <c r="F1861" s="10" t="n">
        <v>0.2306327593518623</v>
      </c>
      <c r="G1861" s="11">
        <f>E1861*Summary!$B$6</f>
        <v/>
      </c>
      <c r="H1861" s="11">
        <f>F1861*Summary!$B$7</f>
        <v/>
      </c>
      <c r="I1861" s="11">
        <f>MAX(0,N1861-M1861)</f>
        <v/>
      </c>
      <c r="J1861" s="11">
        <f>MAX(0,M1861-N1861)</f>
        <v/>
      </c>
      <c r="K1861" s="11">
        <f>O1861</f>
        <v/>
      </c>
      <c r="L1861" s="11">
        <f>L1860+IF(K1861&gt;0,K1861*Summary!$B$9,K1861/Summary!$B$9)</f>
        <v/>
      </c>
      <c r="M1861" s="11">
        <f>G1861+H1861</f>
        <v/>
      </c>
      <c r="N1861" s="11">
        <f>Summary!$C$16*Summary!$B$8</f>
        <v/>
      </c>
      <c r="O1861" s="11">
        <f>M1861-N1861</f>
        <v/>
      </c>
    </row>
    <row r="1862">
      <c r="A1862" s="9" t="n">
        <v>45369.5</v>
      </c>
      <c r="B1862" t="n">
        <v>3</v>
      </c>
      <c r="C1862" t="n">
        <v>18</v>
      </c>
      <c r="D1862" t="n">
        <v>12</v>
      </c>
      <c r="E1862" s="10" t="n">
        <v>0.196937</v>
      </c>
      <c r="F1862" s="10" t="n">
        <v>0.2292097510103402</v>
      </c>
      <c r="G1862" s="11">
        <f>E1862*Summary!$B$6</f>
        <v/>
      </c>
      <c r="H1862" s="11">
        <f>F1862*Summary!$B$7</f>
        <v/>
      </c>
      <c r="I1862" s="11">
        <f>MAX(0,N1862-M1862)</f>
        <v/>
      </c>
      <c r="J1862" s="11">
        <f>MAX(0,M1862-N1862)</f>
        <v/>
      </c>
      <c r="K1862" s="11">
        <f>O1862</f>
        <v/>
      </c>
      <c r="L1862" s="11">
        <f>L1861+IF(K1862&gt;0,K1862*Summary!$B$9,K1862/Summary!$B$9)</f>
        <v/>
      </c>
      <c r="M1862" s="11">
        <f>G1862+H1862</f>
        <v/>
      </c>
      <c r="N1862" s="11">
        <f>Summary!$C$16*Summary!$B$8</f>
        <v/>
      </c>
      <c r="O1862" s="11">
        <f>M1862-N1862</f>
        <v/>
      </c>
    </row>
    <row r="1863">
      <c r="A1863" s="9" t="n">
        <v>45369.54166666666</v>
      </c>
      <c r="B1863" t="n">
        <v>3</v>
      </c>
      <c r="C1863" t="n">
        <v>18</v>
      </c>
      <c r="D1863" t="n">
        <v>13</v>
      </c>
      <c r="E1863" s="10" t="n">
        <v>0.225521</v>
      </c>
      <c r="F1863" s="10" t="n">
        <v>0.2387228252934781</v>
      </c>
      <c r="G1863" s="11">
        <f>E1863*Summary!$B$6</f>
        <v/>
      </c>
      <c r="H1863" s="11">
        <f>F1863*Summary!$B$7</f>
        <v/>
      </c>
      <c r="I1863" s="11">
        <f>MAX(0,N1863-M1863)</f>
        <v/>
      </c>
      <c r="J1863" s="11">
        <f>MAX(0,M1863-N1863)</f>
        <v/>
      </c>
      <c r="K1863" s="11">
        <f>O1863</f>
        <v/>
      </c>
      <c r="L1863" s="11">
        <f>L1862+IF(K1863&gt;0,K1863*Summary!$B$9,K1863/Summary!$B$9)</f>
        <v/>
      </c>
      <c r="M1863" s="11">
        <f>G1863+H1863</f>
        <v/>
      </c>
      <c r="N1863" s="11">
        <f>Summary!$C$16*Summary!$B$8</f>
        <v/>
      </c>
      <c r="O1863" s="11">
        <f>M1863-N1863</f>
        <v/>
      </c>
    </row>
    <row r="1864">
      <c r="A1864" s="9" t="n">
        <v>45369.58333333334</v>
      </c>
      <c r="B1864" t="n">
        <v>3</v>
      </c>
      <c r="C1864" t="n">
        <v>18</v>
      </c>
      <c r="D1864" t="n">
        <v>14</v>
      </c>
      <c r="E1864" s="10" t="n">
        <v>0.119698</v>
      </c>
      <c r="F1864" s="10" t="n">
        <v>0.2498697239687337</v>
      </c>
      <c r="G1864" s="11">
        <f>E1864*Summary!$B$6</f>
        <v/>
      </c>
      <c r="H1864" s="11">
        <f>F1864*Summary!$B$7</f>
        <v/>
      </c>
      <c r="I1864" s="11">
        <f>MAX(0,N1864-M1864)</f>
        <v/>
      </c>
      <c r="J1864" s="11">
        <f>MAX(0,M1864-N1864)</f>
        <v/>
      </c>
      <c r="K1864" s="11">
        <f>O1864</f>
        <v/>
      </c>
      <c r="L1864" s="11">
        <f>L1863+IF(K1864&gt;0,K1864*Summary!$B$9,K1864/Summary!$B$9)</f>
        <v/>
      </c>
      <c r="M1864" s="11">
        <f>G1864+H1864</f>
        <v/>
      </c>
      <c r="N1864" s="11">
        <f>Summary!$C$16*Summary!$B$8</f>
        <v/>
      </c>
      <c r="O1864" s="11">
        <f>M1864-N1864</f>
        <v/>
      </c>
    </row>
    <row r="1865">
      <c r="A1865" s="9" t="n">
        <v>45369.625</v>
      </c>
      <c r="B1865" t="n">
        <v>3</v>
      </c>
      <c r="C1865" t="n">
        <v>18</v>
      </c>
      <c r="D1865" t="n">
        <v>15</v>
      </c>
      <c r="E1865" s="10" t="n">
        <v>0.083039</v>
      </c>
      <c r="F1865" s="10" t="n">
        <v>0.2605686385364733</v>
      </c>
      <c r="G1865" s="11">
        <f>E1865*Summary!$B$6</f>
        <v/>
      </c>
      <c r="H1865" s="11">
        <f>F1865*Summary!$B$7</f>
        <v/>
      </c>
      <c r="I1865" s="11">
        <f>MAX(0,N1865-M1865)</f>
        <v/>
      </c>
      <c r="J1865" s="11">
        <f>MAX(0,M1865-N1865)</f>
        <v/>
      </c>
      <c r="K1865" s="11">
        <f>O1865</f>
        <v/>
      </c>
      <c r="L1865" s="11">
        <f>L1864+IF(K1865&gt;0,K1865*Summary!$B$9,K1865/Summary!$B$9)</f>
        <v/>
      </c>
      <c r="M1865" s="11">
        <f>G1865+H1865</f>
        <v/>
      </c>
      <c r="N1865" s="11">
        <f>Summary!$C$16*Summary!$B$8</f>
        <v/>
      </c>
      <c r="O1865" s="11">
        <f>M1865-N1865</f>
        <v/>
      </c>
    </row>
    <row r="1866">
      <c r="A1866" s="9" t="n">
        <v>45369.66666666666</v>
      </c>
      <c r="B1866" t="n">
        <v>3</v>
      </c>
      <c r="C1866" t="n">
        <v>18</v>
      </c>
      <c r="D1866" t="n">
        <v>16</v>
      </c>
      <c r="E1866" s="10" t="n">
        <v>0.045728</v>
      </c>
      <c r="F1866" s="10" t="n">
        <v>0.2641261593902782</v>
      </c>
      <c r="G1866" s="11">
        <f>E1866*Summary!$B$6</f>
        <v/>
      </c>
      <c r="H1866" s="11">
        <f>F1866*Summary!$B$7</f>
        <v/>
      </c>
      <c r="I1866" s="11">
        <f>MAX(0,N1866-M1866)</f>
        <v/>
      </c>
      <c r="J1866" s="11">
        <f>MAX(0,M1866-N1866)</f>
        <v/>
      </c>
      <c r="K1866" s="11">
        <f>O1866</f>
        <v/>
      </c>
      <c r="L1866" s="11">
        <f>L1865+IF(K1866&gt;0,K1866*Summary!$B$9,K1866/Summary!$B$9)</f>
        <v/>
      </c>
      <c r="M1866" s="11">
        <f>G1866+H1866</f>
        <v/>
      </c>
      <c r="N1866" s="11">
        <f>Summary!$C$16*Summary!$B$8</f>
        <v/>
      </c>
      <c r="O1866" s="11">
        <f>M1866-N1866</f>
        <v/>
      </c>
    </row>
    <row r="1867">
      <c r="A1867" s="9" t="n">
        <v>45369.70833333334</v>
      </c>
      <c r="B1867" t="n">
        <v>3</v>
      </c>
      <c r="C1867" t="n">
        <v>18</v>
      </c>
      <c r="D1867" t="n">
        <v>17</v>
      </c>
      <c r="E1867" s="10" t="n">
        <v>0.008624</v>
      </c>
      <c r="F1867" s="10" t="n">
        <v>0.2293942150546116</v>
      </c>
      <c r="G1867" s="11">
        <f>E1867*Summary!$B$6</f>
        <v/>
      </c>
      <c r="H1867" s="11">
        <f>F1867*Summary!$B$7</f>
        <v/>
      </c>
      <c r="I1867" s="11">
        <f>MAX(0,N1867-M1867)</f>
        <v/>
      </c>
      <c r="J1867" s="11">
        <f>MAX(0,M1867-N1867)</f>
        <v/>
      </c>
      <c r="K1867" s="11">
        <f>O1867</f>
        <v/>
      </c>
      <c r="L1867" s="11">
        <f>L1866+IF(K1867&gt;0,K1867*Summary!$B$9,K1867/Summary!$B$9)</f>
        <v/>
      </c>
      <c r="M1867" s="11">
        <f>G1867+H1867</f>
        <v/>
      </c>
      <c r="N1867" s="11">
        <f>Summary!$C$16*Summary!$B$8</f>
        <v/>
      </c>
      <c r="O1867" s="11">
        <f>M1867-N1867</f>
        <v/>
      </c>
    </row>
    <row r="1868">
      <c r="A1868" s="9" t="n">
        <v>45369.75</v>
      </c>
      <c r="B1868" t="n">
        <v>3</v>
      </c>
      <c r="C1868" t="n">
        <v>18</v>
      </c>
      <c r="D1868" t="n">
        <v>18</v>
      </c>
      <c r="E1868" s="10" t="n">
        <v>0</v>
      </c>
      <c r="F1868" s="10" t="n">
        <v>0.2863672527281407</v>
      </c>
      <c r="G1868" s="11">
        <f>E1868*Summary!$B$6</f>
        <v/>
      </c>
      <c r="H1868" s="11">
        <f>F1868*Summary!$B$7</f>
        <v/>
      </c>
      <c r="I1868" s="11">
        <f>MAX(0,N1868-M1868)</f>
        <v/>
      </c>
      <c r="J1868" s="11">
        <f>MAX(0,M1868-N1868)</f>
        <v/>
      </c>
      <c r="K1868" s="11">
        <f>O1868</f>
        <v/>
      </c>
      <c r="L1868" s="11">
        <f>L1867+IF(K1868&gt;0,K1868*Summary!$B$9,K1868/Summary!$B$9)</f>
        <v/>
      </c>
      <c r="M1868" s="11">
        <f>G1868+H1868</f>
        <v/>
      </c>
      <c r="N1868" s="11">
        <f>Summary!$C$16*Summary!$B$8</f>
        <v/>
      </c>
      <c r="O1868" s="11">
        <f>M1868-N1868</f>
        <v/>
      </c>
    </row>
    <row r="1869">
      <c r="A1869" s="9" t="n">
        <v>45369.79166666666</v>
      </c>
      <c r="B1869" t="n">
        <v>3</v>
      </c>
      <c r="C1869" t="n">
        <v>18</v>
      </c>
      <c r="D1869" t="n">
        <v>19</v>
      </c>
      <c r="E1869" s="10" t="n">
        <v>0</v>
      </c>
      <c r="F1869" s="10" t="n">
        <v>0.3028109046746171</v>
      </c>
      <c r="G1869" s="11">
        <f>E1869*Summary!$B$6</f>
        <v/>
      </c>
      <c r="H1869" s="11">
        <f>F1869*Summary!$B$7</f>
        <v/>
      </c>
      <c r="I1869" s="11">
        <f>MAX(0,N1869-M1869)</f>
        <v/>
      </c>
      <c r="J1869" s="11">
        <f>MAX(0,M1869-N1869)</f>
        <v/>
      </c>
      <c r="K1869" s="11">
        <f>O1869</f>
        <v/>
      </c>
      <c r="L1869" s="11">
        <f>L1868+IF(K1869&gt;0,K1869*Summary!$B$9,K1869/Summary!$B$9)</f>
        <v/>
      </c>
      <c r="M1869" s="11">
        <f>G1869+H1869</f>
        <v/>
      </c>
      <c r="N1869" s="11">
        <f>Summary!$C$16*Summary!$B$8</f>
        <v/>
      </c>
      <c r="O1869" s="11">
        <f>M1869-N1869</f>
        <v/>
      </c>
    </row>
    <row r="1870">
      <c r="A1870" s="9" t="n">
        <v>45369.83333333334</v>
      </c>
      <c r="B1870" t="n">
        <v>3</v>
      </c>
      <c r="C1870" t="n">
        <v>18</v>
      </c>
      <c r="D1870" t="n">
        <v>20</v>
      </c>
      <c r="E1870" s="10" t="n">
        <v>0</v>
      </c>
      <c r="F1870" s="10" t="n">
        <v>0.3146693075206338</v>
      </c>
      <c r="G1870" s="11">
        <f>E1870*Summary!$B$6</f>
        <v/>
      </c>
      <c r="H1870" s="11">
        <f>F1870*Summary!$B$7</f>
        <v/>
      </c>
      <c r="I1870" s="11">
        <f>MAX(0,N1870-M1870)</f>
        <v/>
      </c>
      <c r="J1870" s="11">
        <f>MAX(0,M1870-N1870)</f>
        <v/>
      </c>
      <c r="K1870" s="11">
        <f>O1870</f>
        <v/>
      </c>
      <c r="L1870" s="11">
        <f>L1869+IF(K1870&gt;0,K1870*Summary!$B$9,K1870/Summary!$B$9)</f>
        <v/>
      </c>
      <c r="M1870" s="11">
        <f>G1870+H1870</f>
        <v/>
      </c>
      <c r="N1870" s="11">
        <f>Summary!$C$16*Summary!$B$8</f>
        <v/>
      </c>
      <c r="O1870" s="11">
        <f>M1870-N1870</f>
        <v/>
      </c>
    </row>
    <row r="1871">
      <c r="A1871" s="9" t="n">
        <v>45369.875</v>
      </c>
      <c r="B1871" t="n">
        <v>3</v>
      </c>
      <c r="C1871" t="n">
        <v>18</v>
      </c>
      <c r="D1871" t="n">
        <v>21</v>
      </c>
      <c r="E1871" s="10" t="n">
        <v>0</v>
      </c>
      <c r="F1871" s="10" t="n">
        <v>0.3214154211397011</v>
      </c>
      <c r="G1871" s="11">
        <f>E1871*Summary!$B$6</f>
        <v/>
      </c>
      <c r="H1871" s="11">
        <f>F1871*Summary!$B$7</f>
        <v/>
      </c>
      <c r="I1871" s="11">
        <f>MAX(0,N1871-M1871)</f>
        <v/>
      </c>
      <c r="J1871" s="11">
        <f>MAX(0,M1871-N1871)</f>
        <v/>
      </c>
      <c r="K1871" s="11">
        <f>O1871</f>
        <v/>
      </c>
      <c r="L1871" s="11">
        <f>L1870+IF(K1871&gt;0,K1871*Summary!$B$9,K1871/Summary!$B$9)</f>
        <v/>
      </c>
      <c r="M1871" s="11">
        <f>G1871+H1871</f>
        <v/>
      </c>
      <c r="N1871" s="11">
        <f>Summary!$C$16*Summary!$B$8</f>
        <v/>
      </c>
      <c r="O1871" s="11">
        <f>M1871-N1871</f>
        <v/>
      </c>
    </row>
    <row r="1872">
      <c r="A1872" s="9" t="n">
        <v>45369.91666666666</v>
      </c>
      <c r="B1872" t="n">
        <v>3</v>
      </c>
      <c r="C1872" t="n">
        <v>18</v>
      </c>
      <c r="D1872" t="n">
        <v>22</v>
      </c>
      <c r="E1872" s="10" t="n">
        <v>0</v>
      </c>
      <c r="F1872" s="10" t="n">
        <v>0.319992412798179</v>
      </c>
      <c r="G1872" s="11">
        <f>E1872*Summary!$B$6</f>
        <v/>
      </c>
      <c r="H1872" s="11">
        <f>F1872*Summary!$B$7</f>
        <v/>
      </c>
      <c r="I1872" s="11">
        <f>MAX(0,N1872-M1872)</f>
        <v/>
      </c>
      <c r="J1872" s="11">
        <f>MAX(0,M1872-N1872)</f>
        <v/>
      </c>
      <c r="K1872" s="11">
        <f>O1872</f>
        <v/>
      </c>
      <c r="L1872" s="11">
        <f>L1871+IF(K1872&gt;0,K1872*Summary!$B$9,K1872/Summary!$B$9)</f>
        <v/>
      </c>
      <c r="M1872" s="11">
        <f>G1872+H1872</f>
        <v/>
      </c>
      <c r="N1872" s="11">
        <f>Summary!$C$16*Summary!$B$8</f>
        <v/>
      </c>
      <c r="O1872" s="11">
        <f>M1872-N1872</f>
        <v/>
      </c>
    </row>
    <row r="1873">
      <c r="A1873" s="9" t="n">
        <v>45369.95833333334</v>
      </c>
      <c r="B1873" t="n">
        <v>3</v>
      </c>
      <c r="C1873" t="n">
        <v>18</v>
      </c>
      <c r="D1873" t="n">
        <v>23</v>
      </c>
      <c r="E1873" s="10" t="n">
        <v>0</v>
      </c>
      <c r="F1873" s="10" t="n">
        <v>0.3156970357672886</v>
      </c>
      <c r="G1873" s="11">
        <f>E1873*Summary!$B$6</f>
        <v/>
      </c>
      <c r="H1873" s="11">
        <f>F1873*Summary!$B$7</f>
        <v/>
      </c>
      <c r="I1873" s="11">
        <f>MAX(0,N1873-M1873)</f>
        <v/>
      </c>
      <c r="J1873" s="11">
        <f>MAX(0,M1873-N1873)</f>
        <v/>
      </c>
      <c r="K1873" s="11">
        <f>O1873</f>
        <v/>
      </c>
      <c r="L1873" s="11">
        <f>L1872+IF(K1873&gt;0,K1873*Summary!$B$9,K1873/Summary!$B$9)</f>
        <v/>
      </c>
      <c r="M1873" s="11">
        <f>G1873+H1873</f>
        <v/>
      </c>
      <c r="N1873" s="11">
        <f>Summary!$C$16*Summary!$B$8</f>
        <v/>
      </c>
      <c r="O1873" s="11">
        <f>M1873-N1873</f>
        <v/>
      </c>
    </row>
    <row r="1874">
      <c r="A1874" s="9" t="n">
        <v>45370</v>
      </c>
      <c r="B1874" t="n">
        <v>3</v>
      </c>
      <c r="C1874" t="n">
        <v>19</v>
      </c>
      <c r="D1874" t="n">
        <v>0</v>
      </c>
      <c r="E1874" s="10" t="n">
        <v>0</v>
      </c>
      <c r="F1874" s="10" t="n">
        <v>0.30012300002952</v>
      </c>
      <c r="G1874" s="11">
        <f>E1874*Summary!$B$6</f>
        <v/>
      </c>
      <c r="H1874" s="11">
        <f>F1874*Summary!$B$7</f>
        <v/>
      </c>
      <c r="I1874" s="11">
        <f>MAX(0,N1874-M1874)</f>
        <v/>
      </c>
      <c r="J1874" s="11">
        <f>MAX(0,M1874-N1874)</f>
        <v/>
      </c>
      <c r="K1874" s="11">
        <f>O1874</f>
        <v/>
      </c>
      <c r="L1874" s="11">
        <f>L1873+IF(K1874&gt;0,K1874*Summary!$B$9,K1874/Summary!$B$9)</f>
        <v/>
      </c>
      <c r="M1874" s="11">
        <f>G1874+H1874</f>
        <v/>
      </c>
      <c r="N1874" s="11">
        <f>Summary!$C$16*Summary!$B$8</f>
        <v/>
      </c>
      <c r="O1874" s="11">
        <f>M1874-N1874</f>
        <v/>
      </c>
    </row>
    <row r="1875">
      <c r="A1875" s="9" t="n">
        <v>45370.04166666666</v>
      </c>
      <c r="B1875" t="n">
        <v>3</v>
      </c>
      <c r="C1875" t="n">
        <v>19</v>
      </c>
      <c r="D1875" t="n">
        <v>1</v>
      </c>
      <c r="E1875" s="10" t="n">
        <v>0</v>
      </c>
      <c r="F1875" s="10" t="n">
        <v>0.3023102165544519</v>
      </c>
      <c r="G1875" s="11">
        <f>E1875*Summary!$B$6</f>
        <v/>
      </c>
      <c r="H1875" s="11">
        <f>F1875*Summary!$B$7</f>
        <v/>
      </c>
      <c r="I1875" s="11">
        <f>MAX(0,N1875-M1875)</f>
        <v/>
      </c>
      <c r="J1875" s="11">
        <f>MAX(0,M1875-N1875)</f>
        <v/>
      </c>
      <c r="K1875" s="11">
        <f>O1875</f>
        <v/>
      </c>
      <c r="L1875" s="11">
        <f>L1874+IF(K1875&gt;0,K1875*Summary!$B$9,K1875/Summary!$B$9)</f>
        <v/>
      </c>
      <c r="M1875" s="11">
        <f>G1875+H1875</f>
        <v/>
      </c>
      <c r="N1875" s="11">
        <f>Summary!$C$16*Summary!$B$8</f>
        <v/>
      </c>
      <c r="O1875" s="11">
        <f>M1875-N1875</f>
        <v/>
      </c>
    </row>
    <row r="1876">
      <c r="A1876" s="9" t="n">
        <v>45370.08333333334</v>
      </c>
      <c r="B1876" t="n">
        <v>3</v>
      </c>
      <c r="C1876" t="n">
        <v>19</v>
      </c>
      <c r="D1876" t="n">
        <v>2</v>
      </c>
      <c r="E1876" s="10" t="n">
        <v>0</v>
      </c>
      <c r="F1876" s="10" t="n">
        <v>0.2969080552579333</v>
      </c>
      <c r="G1876" s="11">
        <f>E1876*Summary!$B$6</f>
        <v/>
      </c>
      <c r="H1876" s="11">
        <f>F1876*Summary!$B$7</f>
        <v/>
      </c>
      <c r="I1876" s="11">
        <f>MAX(0,N1876-M1876)</f>
        <v/>
      </c>
      <c r="J1876" s="11">
        <f>MAX(0,M1876-N1876)</f>
        <v/>
      </c>
      <c r="K1876" s="11">
        <f>O1876</f>
        <v/>
      </c>
      <c r="L1876" s="11">
        <f>L1875+IF(K1876&gt;0,K1876*Summary!$B$9,K1876/Summary!$B$9)</f>
        <v/>
      </c>
      <c r="M1876" s="11">
        <f>G1876+H1876</f>
        <v/>
      </c>
      <c r="N1876" s="11">
        <f>Summary!$C$16*Summary!$B$8</f>
        <v/>
      </c>
      <c r="O1876" s="11">
        <f>M1876-N1876</f>
        <v/>
      </c>
    </row>
    <row r="1877">
      <c r="A1877" s="9" t="n">
        <v>45370.125</v>
      </c>
      <c r="B1877" t="n">
        <v>3</v>
      </c>
      <c r="C1877" t="n">
        <v>19</v>
      </c>
      <c r="D1877" t="n">
        <v>3</v>
      </c>
      <c r="E1877" s="10" t="n">
        <v>0</v>
      </c>
      <c r="F1877" s="10" t="n">
        <v>0.2902937016704884</v>
      </c>
      <c r="G1877" s="11">
        <f>E1877*Summary!$B$6</f>
        <v/>
      </c>
      <c r="H1877" s="11">
        <f>F1877*Summary!$B$7</f>
        <v/>
      </c>
      <c r="I1877" s="11">
        <f>MAX(0,N1877-M1877)</f>
        <v/>
      </c>
      <c r="J1877" s="11">
        <f>MAX(0,M1877-N1877)</f>
        <v/>
      </c>
      <c r="K1877" s="11">
        <f>O1877</f>
        <v/>
      </c>
      <c r="L1877" s="11">
        <f>L1876+IF(K1877&gt;0,K1877*Summary!$B$9,K1877/Summary!$B$9)</f>
        <v/>
      </c>
      <c r="M1877" s="11">
        <f>G1877+H1877</f>
        <v/>
      </c>
      <c r="N1877" s="11">
        <f>Summary!$C$16*Summary!$B$8</f>
        <v/>
      </c>
      <c r="O1877" s="11">
        <f>M1877-N1877</f>
        <v/>
      </c>
    </row>
    <row r="1878">
      <c r="A1878" s="9" t="n">
        <v>45370.16666666666</v>
      </c>
      <c r="B1878" t="n">
        <v>3</v>
      </c>
      <c r="C1878" t="n">
        <v>19</v>
      </c>
      <c r="D1878" t="n">
        <v>4</v>
      </c>
      <c r="E1878" s="10" t="n">
        <v>0</v>
      </c>
      <c r="F1878" s="10" t="n">
        <v>0.2888179893163174</v>
      </c>
      <c r="G1878" s="11">
        <f>E1878*Summary!$B$6</f>
        <v/>
      </c>
      <c r="H1878" s="11">
        <f>F1878*Summary!$B$7</f>
        <v/>
      </c>
      <c r="I1878" s="11">
        <f>MAX(0,N1878-M1878)</f>
        <v/>
      </c>
      <c r="J1878" s="11">
        <f>MAX(0,M1878-N1878)</f>
        <v/>
      </c>
      <c r="K1878" s="11">
        <f>O1878</f>
        <v/>
      </c>
      <c r="L1878" s="11">
        <f>L1877+IF(K1878&gt;0,K1878*Summary!$B$9,K1878/Summary!$B$9)</f>
        <v/>
      </c>
      <c r="M1878" s="11">
        <f>G1878+H1878</f>
        <v/>
      </c>
      <c r="N1878" s="11">
        <f>Summary!$C$16*Summary!$B$8</f>
        <v/>
      </c>
      <c r="O1878" s="11">
        <f>M1878-N1878</f>
        <v/>
      </c>
    </row>
    <row r="1879">
      <c r="A1879" s="9" t="n">
        <v>45370.20833333334</v>
      </c>
      <c r="B1879" t="n">
        <v>3</v>
      </c>
      <c r="C1879" t="n">
        <v>19</v>
      </c>
      <c r="D1879" t="n">
        <v>5</v>
      </c>
      <c r="E1879" s="10" t="n">
        <v>0</v>
      </c>
      <c r="F1879" s="10" t="n">
        <v>0.2904518137084353</v>
      </c>
      <c r="G1879" s="11">
        <f>E1879*Summary!$B$6</f>
        <v/>
      </c>
      <c r="H1879" s="11">
        <f>F1879*Summary!$B$7</f>
        <v/>
      </c>
      <c r="I1879" s="11">
        <f>MAX(0,N1879-M1879)</f>
        <v/>
      </c>
      <c r="J1879" s="11">
        <f>MAX(0,M1879-N1879)</f>
        <v/>
      </c>
      <c r="K1879" s="11">
        <f>O1879</f>
        <v/>
      </c>
      <c r="L1879" s="11">
        <f>L1878+IF(K1879&gt;0,K1879*Summary!$B$9,K1879/Summary!$B$9)</f>
        <v/>
      </c>
      <c r="M1879" s="11">
        <f>G1879+H1879</f>
        <v/>
      </c>
      <c r="N1879" s="11">
        <f>Summary!$C$16*Summary!$B$8</f>
        <v/>
      </c>
      <c r="O1879" s="11">
        <f>M1879-N1879</f>
        <v/>
      </c>
    </row>
    <row r="1880">
      <c r="A1880" s="9" t="n">
        <v>45370.25</v>
      </c>
      <c r="B1880" t="n">
        <v>3</v>
      </c>
      <c r="C1880" t="n">
        <v>19</v>
      </c>
      <c r="D1880" t="n">
        <v>6</v>
      </c>
      <c r="E1880" s="10" t="n">
        <v>0</v>
      </c>
      <c r="F1880" s="10" t="n">
        <v>0.2907153337716801</v>
      </c>
      <c r="G1880" s="11">
        <f>E1880*Summary!$B$6</f>
        <v/>
      </c>
      <c r="H1880" s="11">
        <f>F1880*Summary!$B$7</f>
        <v/>
      </c>
      <c r="I1880" s="11">
        <f>MAX(0,N1880-M1880)</f>
        <v/>
      </c>
      <c r="J1880" s="11">
        <f>MAX(0,M1880-N1880)</f>
        <v/>
      </c>
      <c r="K1880" s="11">
        <f>O1880</f>
        <v/>
      </c>
      <c r="L1880" s="11">
        <f>L1879+IF(K1880&gt;0,K1880*Summary!$B$9,K1880/Summary!$B$9)</f>
        <v/>
      </c>
      <c r="M1880" s="11">
        <f>G1880+H1880</f>
        <v/>
      </c>
      <c r="N1880" s="11">
        <f>Summary!$C$16*Summary!$B$8</f>
        <v/>
      </c>
      <c r="O1880" s="11">
        <f>M1880-N1880</f>
        <v/>
      </c>
    </row>
    <row r="1881">
      <c r="A1881" s="9" t="n">
        <v>45370.29166666666</v>
      </c>
      <c r="B1881" t="n">
        <v>3</v>
      </c>
      <c r="C1881" t="n">
        <v>19</v>
      </c>
      <c r="D1881" t="n">
        <v>7</v>
      </c>
      <c r="E1881" s="10" t="n">
        <v>0.011899</v>
      </c>
      <c r="F1881" s="10" t="n">
        <v>0.2780927227422534</v>
      </c>
      <c r="G1881" s="11">
        <f>E1881*Summary!$B$6</f>
        <v/>
      </c>
      <c r="H1881" s="11">
        <f>F1881*Summary!$B$7</f>
        <v/>
      </c>
      <c r="I1881" s="11">
        <f>MAX(0,N1881-M1881)</f>
        <v/>
      </c>
      <c r="J1881" s="11">
        <f>MAX(0,M1881-N1881)</f>
        <v/>
      </c>
      <c r="K1881" s="11">
        <f>O1881</f>
        <v/>
      </c>
      <c r="L1881" s="11">
        <f>L1880+IF(K1881&gt;0,K1881*Summary!$B$9,K1881/Summary!$B$9)</f>
        <v/>
      </c>
      <c r="M1881" s="11">
        <f>G1881+H1881</f>
        <v/>
      </c>
      <c r="N1881" s="11">
        <f>Summary!$C$16*Summary!$B$8</f>
        <v/>
      </c>
      <c r="O1881" s="11">
        <f>M1881-N1881</f>
        <v/>
      </c>
    </row>
    <row r="1882">
      <c r="A1882" s="9" t="n">
        <v>45370.33333333334</v>
      </c>
      <c r="B1882" t="n">
        <v>3</v>
      </c>
      <c r="C1882" t="n">
        <v>19</v>
      </c>
      <c r="D1882" t="n">
        <v>8</v>
      </c>
      <c r="E1882" s="10" t="n">
        <v>0.033344</v>
      </c>
      <c r="F1882" s="10" t="n">
        <v>0.2441776906026457</v>
      </c>
      <c r="G1882" s="11">
        <f>E1882*Summary!$B$6</f>
        <v/>
      </c>
      <c r="H1882" s="11">
        <f>F1882*Summary!$B$7</f>
        <v/>
      </c>
      <c r="I1882" s="11">
        <f>MAX(0,N1882-M1882)</f>
        <v/>
      </c>
      <c r="J1882" s="11">
        <f>MAX(0,M1882-N1882)</f>
        <v/>
      </c>
      <c r="K1882" s="11">
        <f>O1882</f>
        <v/>
      </c>
      <c r="L1882" s="11">
        <f>L1881+IF(K1882&gt;0,K1882*Summary!$B$9,K1882/Summary!$B$9)</f>
        <v/>
      </c>
      <c r="M1882" s="11">
        <f>G1882+H1882</f>
        <v/>
      </c>
      <c r="N1882" s="11">
        <f>Summary!$C$16*Summary!$B$8</f>
        <v/>
      </c>
      <c r="O1882" s="11">
        <f>M1882-N1882</f>
        <v/>
      </c>
    </row>
    <row r="1883">
      <c r="A1883" s="9" t="n">
        <v>45370.375</v>
      </c>
      <c r="B1883" t="n">
        <v>3</v>
      </c>
      <c r="C1883" t="n">
        <v>19</v>
      </c>
      <c r="D1883" t="n">
        <v>9</v>
      </c>
      <c r="E1883" s="10" t="n">
        <v>0.060917</v>
      </c>
      <c r="F1883" s="10" t="n">
        <v>0.2162709159050198</v>
      </c>
      <c r="G1883" s="11">
        <f>E1883*Summary!$B$6</f>
        <v/>
      </c>
      <c r="H1883" s="11">
        <f>F1883*Summary!$B$7</f>
        <v/>
      </c>
      <c r="I1883" s="11">
        <f>MAX(0,N1883-M1883)</f>
        <v/>
      </c>
      <c r="J1883" s="11">
        <f>MAX(0,M1883-N1883)</f>
        <v/>
      </c>
      <c r="K1883" s="11">
        <f>O1883</f>
        <v/>
      </c>
      <c r="L1883" s="11">
        <f>L1882+IF(K1883&gt;0,K1883*Summary!$B$9,K1883/Summary!$B$9)</f>
        <v/>
      </c>
      <c r="M1883" s="11">
        <f>G1883+H1883</f>
        <v/>
      </c>
      <c r="N1883" s="11">
        <f>Summary!$C$16*Summary!$B$8</f>
        <v/>
      </c>
      <c r="O1883" s="11">
        <f>M1883-N1883</f>
        <v/>
      </c>
    </row>
    <row r="1884">
      <c r="A1884" s="9" t="n">
        <v>45370.41666666666</v>
      </c>
      <c r="B1884" t="n">
        <v>3</v>
      </c>
      <c r="C1884" t="n">
        <v>19</v>
      </c>
      <c r="D1884" t="n">
        <v>10</v>
      </c>
      <c r="E1884" s="10" t="n">
        <v>0.058819</v>
      </c>
      <c r="F1884" s="10" t="n">
        <v>0.202383408572018</v>
      </c>
      <c r="G1884" s="11">
        <f>E1884*Summary!$B$6</f>
        <v/>
      </c>
      <c r="H1884" s="11">
        <f>F1884*Summary!$B$7</f>
        <v/>
      </c>
      <c r="I1884" s="11">
        <f>MAX(0,N1884-M1884)</f>
        <v/>
      </c>
      <c r="J1884" s="11">
        <f>MAX(0,M1884-N1884)</f>
        <v/>
      </c>
      <c r="K1884" s="11">
        <f>O1884</f>
        <v/>
      </c>
      <c r="L1884" s="11">
        <f>L1883+IF(K1884&gt;0,K1884*Summary!$B$9,K1884/Summary!$B$9)</f>
        <v/>
      </c>
      <c r="M1884" s="11">
        <f>G1884+H1884</f>
        <v/>
      </c>
      <c r="N1884" s="11">
        <f>Summary!$C$16*Summary!$B$8</f>
        <v/>
      </c>
      <c r="O1884" s="11">
        <f>M1884-N1884</f>
        <v/>
      </c>
    </row>
    <row r="1885">
      <c r="A1885" s="9" t="n">
        <v>45370.45833333334</v>
      </c>
      <c r="B1885" t="n">
        <v>3</v>
      </c>
      <c r="C1885" t="n">
        <v>19</v>
      </c>
      <c r="D1885" t="n">
        <v>11</v>
      </c>
      <c r="E1885" s="10" t="n">
        <v>0.372447</v>
      </c>
      <c r="F1885" s="10" t="n">
        <v>0.1998536159648678</v>
      </c>
      <c r="G1885" s="11">
        <f>E1885*Summary!$B$6</f>
        <v/>
      </c>
      <c r="H1885" s="11">
        <f>F1885*Summary!$B$7</f>
        <v/>
      </c>
      <c r="I1885" s="11">
        <f>MAX(0,N1885-M1885)</f>
        <v/>
      </c>
      <c r="J1885" s="11">
        <f>MAX(0,M1885-N1885)</f>
        <v/>
      </c>
      <c r="K1885" s="11">
        <f>O1885</f>
        <v/>
      </c>
      <c r="L1885" s="11">
        <f>L1884+IF(K1885&gt;0,K1885*Summary!$B$9,K1885/Summary!$B$9)</f>
        <v/>
      </c>
      <c r="M1885" s="11">
        <f>G1885+H1885</f>
        <v/>
      </c>
      <c r="N1885" s="11">
        <f>Summary!$C$16*Summary!$B$8</f>
        <v/>
      </c>
      <c r="O1885" s="11">
        <f>M1885-N1885</f>
        <v/>
      </c>
    </row>
    <row r="1886">
      <c r="A1886" s="9" t="n">
        <v>45370.5</v>
      </c>
      <c r="B1886" t="n">
        <v>3</v>
      </c>
      <c r="C1886" t="n">
        <v>19</v>
      </c>
      <c r="D1886" t="n">
        <v>12</v>
      </c>
      <c r="E1886" s="10" t="n">
        <v>0.198271</v>
      </c>
      <c r="F1886" s="10" t="n">
        <v>0.1996164479079475</v>
      </c>
      <c r="G1886" s="11">
        <f>E1886*Summary!$B$6</f>
        <v/>
      </c>
      <c r="H1886" s="11">
        <f>F1886*Summary!$B$7</f>
        <v/>
      </c>
      <c r="I1886" s="11">
        <f>MAX(0,N1886-M1886)</f>
        <v/>
      </c>
      <c r="J1886" s="11">
        <f>MAX(0,M1886-N1886)</f>
        <v/>
      </c>
      <c r="K1886" s="11">
        <f>O1886</f>
        <v/>
      </c>
      <c r="L1886" s="11">
        <f>L1885+IF(K1886&gt;0,K1886*Summary!$B$9,K1886/Summary!$B$9)</f>
        <v/>
      </c>
      <c r="M1886" s="11">
        <f>G1886+H1886</f>
        <v/>
      </c>
      <c r="N1886" s="11">
        <f>Summary!$C$16*Summary!$B$8</f>
        <v/>
      </c>
      <c r="O1886" s="11">
        <f>M1886-N1886</f>
        <v/>
      </c>
    </row>
    <row r="1887">
      <c r="A1887" s="9" t="n">
        <v>45370.54166666666</v>
      </c>
      <c r="B1887" t="n">
        <v>3</v>
      </c>
      <c r="C1887" t="n">
        <v>19</v>
      </c>
      <c r="D1887" t="n">
        <v>13</v>
      </c>
      <c r="E1887" s="10" t="n">
        <v>0.129106</v>
      </c>
      <c r="F1887" s="10" t="n">
        <v>0.1993265758383782</v>
      </c>
      <c r="G1887" s="11">
        <f>E1887*Summary!$B$6</f>
        <v/>
      </c>
      <c r="H1887" s="11">
        <f>F1887*Summary!$B$7</f>
        <v/>
      </c>
      <c r="I1887" s="11">
        <f>MAX(0,N1887-M1887)</f>
        <v/>
      </c>
      <c r="J1887" s="11">
        <f>MAX(0,M1887-N1887)</f>
        <v/>
      </c>
      <c r="K1887" s="11">
        <f>O1887</f>
        <v/>
      </c>
      <c r="L1887" s="11">
        <f>L1886+IF(K1887&gt;0,K1887*Summary!$B$9,K1887/Summary!$B$9)</f>
        <v/>
      </c>
      <c r="M1887" s="11">
        <f>G1887+H1887</f>
        <v/>
      </c>
      <c r="N1887" s="11">
        <f>Summary!$C$16*Summary!$B$8</f>
        <v/>
      </c>
      <c r="O1887" s="11">
        <f>M1887-N1887</f>
        <v/>
      </c>
    </row>
    <row r="1888">
      <c r="A1888" s="9" t="n">
        <v>45370.58333333334</v>
      </c>
      <c r="B1888" t="n">
        <v>3</v>
      </c>
      <c r="C1888" t="n">
        <v>19</v>
      </c>
      <c r="D1888" t="n">
        <v>14</v>
      </c>
      <c r="E1888" s="10" t="n">
        <v>0.192459</v>
      </c>
      <c r="F1888" s="10" t="n">
        <v>0.2051767212424131</v>
      </c>
      <c r="G1888" s="11">
        <f>E1888*Summary!$B$6</f>
        <v/>
      </c>
      <c r="H1888" s="11">
        <f>F1888*Summary!$B$7</f>
        <v/>
      </c>
      <c r="I1888" s="11">
        <f>MAX(0,N1888-M1888)</f>
        <v/>
      </c>
      <c r="J1888" s="11">
        <f>MAX(0,M1888-N1888)</f>
        <v/>
      </c>
      <c r="K1888" s="11">
        <f>O1888</f>
        <v/>
      </c>
      <c r="L1888" s="11">
        <f>L1887+IF(K1888&gt;0,K1888*Summary!$B$9,K1888/Summary!$B$9)</f>
        <v/>
      </c>
      <c r="M1888" s="11">
        <f>G1888+H1888</f>
        <v/>
      </c>
      <c r="N1888" s="11">
        <f>Summary!$C$16*Summary!$B$8</f>
        <v/>
      </c>
      <c r="O1888" s="11">
        <f>M1888-N1888</f>
        <v/>
      </c>
    </row>
    <row r="1889">
      <c r="A1889" s="9" t="n">
        <v>45370.625</v>
      </c>
      <c r="B1889" t="n">
        <v>3</v>
      </c>
      <c r="C1889" t="n">
        <v>19</v>
      </c>
      <c r="D1889" t="n">
        <v>15</v>
      </c>
      <c r="E1889" s="10" t="n">
        <v>0.116276</v>
      </c>
      <c r="F1889" s="10" t="n">
        <v>0.2011975682874164</v>
      </c>
      <c r="G1889" s="11">
        <f>E1889*Summary!$B$6</f>
        <v/>
      </c>
      <c r="H1889" s="11">
        <f>F1889*Summary!$B$7</f>
        <v/>
      </c>
      <c r="I1889" s="11">
        <f>MAX(0,N1889-M1889)</f>
        <v/>
      </c>
      <c r="J1889" s="11">
        <f>MAX(0,M1889-N1889)</f>
        <v/>
      </c>
      <c r="K1889" s="11">
        <f>O1889</f>
        <v/>
      </c>
      <c r="L1889" s="11">
        <f>L1888+IF(K1889&gt;0,K1889*Summary!$B$9,K1889/Summary!$B$9)</f>
        <v/>
      </c>
      <c r="M1889" s="11">
        <f>G1889+H1889</f>
        <v/>
      </c>
      <c r="N1889" s="11">
        <f>Summary!$C$16*Summary!$B$8</f>
        <v/>
      </c>
      <c r="O1889" s="11">
        <f>M1889-N1889</f>
        <v/>
      </c>
    </row>
    <row r="1890">
      <c r="A1890" s="9" t="n">
        <v>45370.66666666666</v>
      </c>
      <c r="B1890" t="n">
        <v>3</v>
      </c>
      <c r="C1890" t="n">
        <v>19</v>
      </c>
      <c r="D1890" t="n">
        <v>16</v>
      </c>
      <c r="E1890" s="10" t="n">
        <v>0.123573</v>
      </c>
      <c r="F1890" s="10" t="n">
        <v>0.2013556803253633</v>
      </c>
      <c r="G1890" s="11">
        <f>E1890*Summary!$B$6</f>
        <v/>
      </c>
      <c r="H1890" s="11">
        <f>F1890*Summary!$B$7</f>
        <v/>
      </c>
      <c r="I1890" s="11">
        <f>MAX(0,N1890-M1890)</f>
        <v/>
      </c>
      <c r="J1890" s="11">
        <f>MAX(0,M1890-N1890)</f>
        <v/>
      </c>
      <c r="K1890" s="11">
        <f>O1890</f>
        <v/>
      </c>
      <c r="L1890" s="11">
        <f>L1889+IF(K1890&gt;0,K1890*Summary!$B$9,K1890/Summary!$B$9)</f>
        <v/>
      </c>
      <c r="M1890" s="11">
        <f>G1890+H1890</f>
        <v/>
      </c>
      <c r="N1890" s="11">
        <f>Summary!$C$16*Summary!$B$8</f>
        <v/>
      </c>
      <c r="O1890" s="11">
        <f>M1890-N1890</f>
        <v/>
      </c>
    </row>
    <row r="1891">
      <c r="A1891" s="9" t="n">
        <v>45370.70833333334</v>
      </c>
      <c r="B1891" t="n">
        <v>3</v>
      </c>
      <c r="C1891" t="n">
        <v>19</v>
      </c>
      <c r="D1891" t="n">
        <v>17</v>
      </c>
      <c r="E1891" s="10" t="n">
        <v>0.026768</v>
      </c>
      <c r="F1891" s="10" t="n">
        <v>0.2154540037089609</v>
      </c>
      <c r="G1891" s="11">
        <f>E1891*Summary!$B$6</f>
        <v/>
      </c>
      <c r="H1891" s="11">
        <f>F1891*Summary!$B$7</f>
        <v/>
      </c>
      <c r="I1891" s="11">
        <f>MAX(0,N1891-M1891)</f>
        <v/>
      </c>
      <c r="J1891" s="11">
        <f>MAX(0,M1891-N1891)</f>
        <v/>
      </c>
      <c r="K1891" s="11">
        <f>O1891</f>
        <v/>
      </c>
      <c r="L1891" s="11">
        <f>L1890+IF(K1891&gt;0,K1891*Summary!$B$9,K1891/Summary!$B$9)</f>
        <v/>
      </c>
      <c r="M1891" s="11">
        <f>G1891+H1891</f>
        <v/>
      </c>
      <c r="N1891" s="11">
        <f>Summary!$C$16*Summary!$B$8</f>
        <v/>
      </c>
      <c r="O1891" s="11">
        <f>M1891-N1891</f>
        <v/>
      </c>
    </row>
    <row r="1892">
      <c r="A1892" s="9" t="n">
        <v>45370.75</v>
      </c>
      <c r="B1892" t="n">
        <v>3</v>
      </c>
      <c r="C1892" t="n">
        <v>19</v>
      </c>
      <c r="D1892" t="n">
        <v>18</v>
      </c>
      <c r="E1892" s="10" t="n">
        <v>0</v>
      </c>
      <c r="F1892" s="10" t="n">
        <v>0.2408573378057611</v>
      </c>
      <c r="G1892" s="11">
        <f>E1892*Summary!$B$6</f>
        <v/>
      </c>
      <c r="H1892" s="11">
        <f>F1892*Summary!$B$7</f>
        <v/>
      </c>
      <c r="I1892" s="11">
        <f>MAX(0,N1892-M1892)</f>
        <v/>
      </c>
      <c r="J1892" s="11">
        <f>MAX(0,M1892-N1892)</f>
        <v/>
      </c>
      <c r="K1892" s="11">
        <f>O1892</f>
        <v/>
      </c>
      <c r="L1892" s="11">
        <f>L1891+IF(K1892&gt;0,K1892*Summary!$B$9,K1892/Summary!$B$9)</f>
        <v/>
      </c>
      <c r="M1892" s="11">
        <f>G1892+H1892</f>
        <v/>
      </c>
      <c r="N1892" s="11">
        <f>Summary!$C$16*Summary!$B$8</f>
        <v/>
      </c>
      <c r="O1892" s="11">
        <f>M1892-N1892</f>
        <v/>
      </c>
    </row>
    <row r="1893">
      <c r="A1893" s="9" t="n">
        <v>45370.79166666666</v>
      </c>
      <c r="B1893" t="n">
        <v>3</v>
      </c>
      <c r="C1893" t="n">
        <v>19</v>
      </c>
      <c r="D1893" t="n">
        <v>19</v>
      </c>
      <c r="E1893" s="10" t="n">
        <v>0</v>
      </c>
      <c r="F1893" s="10" t="n">
        <v>0.2657336317760716</v>
      </c>
      <c r="G1893" s="11">
        <f>E1893*Summary!$B$6</f>
        <v/>
      </c>
      <c r="H1893" s="11">
        <f>F1893*Summary!$B$7</f>
        <v/>
      </c>
      <c r="I1893" s="11">
        <f>MAX(0,N1893-M1893)</f>
        <v/>
      </c>
      <c r="J1893" s="11">
        <f>MAX(0,M1893-N1893)</f>
        <v/>
      </c>
      <c r="K1893" s="11">
        <f>O1893</f>
        <v/>
      </c>
      <c r="L1893" s="11">
        <f>L1892+IF(K1893&gt;0,K1893*Summary!$B$9,K1893/Summary!$B$9)</f>
        <v/>
      </c>
      <c r="M1893" s="11">
        <f>G1893+H1893</f>
        <v/>
      </c>
      <c r="N1893" s="11">
        <f>Summary!$C$16*Summary!$B$8</f>
        <v/>
      </c>
      <c r="O1893" s="11">
        <f>M1893-N1893</f>
        <v/>
      </c>
    </row>
    <row r="1894">
      <c r="A1894" s="9" t="n">
        <v>45370.83333333334</v>
      </c>
      <c r="B1894" t="n">
        <v>3</v>
      </c>
      <c r="C1894" t="n">
        <v>19</v>
      </c>
      <c r="D1894" t="n">
        <v>20</v>
      </c>
      <c r="E1894" s="10" t="n">
        <v>0</v>
      </c>
      <c r="F1894" s="10" t="n">
        <v>0.2833894760134743</v>
      </c>
      <c r="G1894" s="11">
        <f>E1894*Summary!$B$6</f>
        <v/>
      </c>
      <c r="H1894" s="11">
        <f>F1894*Summary!$B$7</f>
        <v/>
      </c>
      <c r="I1894" s="11">
        <f>MAX(0,N1894-M1894)</f>
        <v/>
      </c>
      <c r="J1894" s="11">
        <f>MAX(0,M1894-N1894)</f>
        <v/>
      </c>
      <c r="K1894" s="11">
        <f>O1894</f>
        <v/>
      </c>
      <c r="L1894" s="11">
        <f>L1893+IF(K1894&gt;0,K1894*Summary!$B$9,K1894/Summary!$B$9)</f>
        <v/>
      </c>
      <c r="M1894" s="11">
        <f>G1894+H1894</f>
        <v/>
      </c>
      <c r="N1894" s="11">
        <f>Summary!$C$16*Summary!$B$8</f>
        <v/>
      </c>
      <c r="O1894" s="11">
        <f>M1894-N1894</f>
        <v/>
      </c>
    </row>
    <row r="1895">
      <c r="A1895" s="9" t="n">
        <v>45370.875</v>
      </c>
      <c r="B1895" t="n">
        <v>3</v>
      </c>
      <c r="C1895" t="n">
        <v>19</v>
      </c>
      <c r="D1895" t="n">
        <v>21</v>
      </c>
      <c r="E1895" s="10" t="n">
        <v>0</v>
      </c>
      <c r="F1895" s="10" t="n">
        <v>0.2975405034097208</v>
      </c>
      <c r="G1895" s="11">
        <f>E1895*Summary!$B$6</f>
        <v/>
      </c>
      <c r="H1895" s="11">
        <f>F1895*Summary!$B$7</f>
        <v/>
      </c>
      <c r="I1895" s="11">
        <f>MAX(0,N1895-M1895)</f>
        <v/>
      </c>
      <c r="J1895" s="11">
        <f>MAX(0,M1895-N1895)</f>
        <v/>
      </c>
      <c r="K1895" s="11">
        <f>O1895</f>
        <v/>
      </c>
      <c r="L1895" s="11">
        <f>L1894+IF(K1895&gt;0,K1895*Summary!$B$9,K1895/Summary!$B$9)</f>
        <v/>
      </c>
      <c r="M1895" s="11">
        <f>G1895+H1895</f>
        <v/>
      </c>
      <c r="N1895" s="11">
        <f>Summary!$C$16*Summary!$B$8</f>
        <v/>
      </c>
      <c r="O1895" s="11">
        <f>M1895-N1895</f>
        <v/>
      </c>
    </row>
    <row r="1896">
      <c r="A1896" s="9" t="n">
        <v>45370.91666666666</v>
      </c>
      <c r="B1896" t="n">
        <v>3</v>
      </c>
      <c r="C1896" t="n">
        <v>19</v>
      </c>
      <c r="D1896" t="n">
        <v>22</v>
      </c>
      <c r="E1896" s="10" t="n">
        <v>0</v>
      </c>
      <c r="F1896" s="10" t="n">
        <v>0.2997804239473018</v>
      </c>
      <c r="G1896" s="11">
        <f>E1896*Summary!$B$6</f>
        <v/>
      </c>
      <c r="H1896" s="11">
        <f>F1896*Summary!$B$7</f>
        <v/>
      </c>
      <c r="I1896" s="11">
        <f>MAX(0,N1896-M1896)</f>
        <v/>
      </c>
      <c r="J1896" s="11">
        <f>MAX(0,M1896-N1896)</f>
        <v/>
      </c>
      <c r="K1896" s="11">
        <f>O1896</f>
        <v/>
      </c>
      <c r="L1896" s="11">
        <f>L1895+IF(K1896&gt;0,K1896*Summary!$B$9,K1896/Summary!$B$9)</f>
        <v/>
      </c>
      <c r="M1896" s="11">
        <f>G1896+H1896</f>
        <v/>
      </c>
      <c r="N1896" s="11">
        <f>Summary!$C$16*Summary!$B$8</f>
        <v/>
      </c>
      <c r="O1896" s="11">
        <f>M1896-N1896</f>
        <v/>
      </c>
    </row>
    <row r="1897">
      <c r="A1897" s="9" t="n">
        <v>45370.95833333334</v>
      </c>
      <c r="B1897" t="n">
        <v>3</v>
      </c>
      <c r="C1897" t="n">
        <v>19</v>
      </c>
      <c r="D1897" t="n">
        <v>23</v>
      </c>
      <c r="E1897" s="10" t="n">
        <v>0</v>
      </c>
      <c r="F1897" s="10" t="n">
        <v>0.2987790477069714</v>
      </c>
      <c r="G1897" s="11">
        <f>E1897*Summary!$B$6</f>
        <v/>
      </c>
      <c r="H1897" s="11">
        <f>F1897*Summary!$B$7</f>
        <v/>
      </c>
      <c r="I1897" s="11">
        <f>MAX(0,N1897-M1897)</f>
        <v/>
      </c>
      <c r="J1897" s="11">
        <f>MAX(0,M1897-N1897)</f>
        <v/>
      </c>
      <c r="K1897" s="11">
        <f>O1897</f>
        <v/>
      </c>
      <c r="L1897" s="11">
        <f>L1896+IF(K1897&gt;0,K1897*Summary!$B$9,K1897/Summary!$B$9)</f>
        <v/>
      </c>
      <c r="M1897" s="11">
        <f>G1897+H1897</f>
        <v/>
      </c>
      <c r="N1897" s="11">
        <f>Summary!$C$16*Summary!$B$8</f>
        <v/>
      </c>
      <c r="O1897" s="11">
        <f>M1897-N1897</f>
        <v/>
      </c>
    </row>
    <row r="1898">
      <c r="A1898" s="9" t="n">
        <v>45371</v>
      </c>
      <c r="B1898" t="n">
        <v>3</v>
      </c>
      <c r="C1898" t="n">
        <v>20</v>
      </c>
      <c r="D1898" t="n">
        <v>0</v>
      </c>
      <c r="E1898" s="10" t="n">
        <v>0</v>
      </c>
      <c r="F1898" s="10" t="n">
        <v>0.2725588014141124</v>
      </c>
      <c r="G1898" s="11">
        <f>E1898*Summary!$B$6</f>
        <v/>
      </c>
      <c r="H1898" s="11">
        <f>F1898*Summary!$B$7</f>
        <v/>
      </c>
      <c r="I1898" s="11">
        <f>MAX(0,N1898-M1898)</f>
        <v/>
      </c>
      <c r="J1898" s="11">
        <f>MAX(0,M1898-N1898)</f>
        <v/>
      </c>
      <c r="K1898" s="11">
        <f>O1898</f>
        <v/>
      </c>
      <c r="L1898" s="11">
        <f>L1897+IF(K1898&gt;0,K1898*Summary!$B$9,K1898/Summary!$B$9)</f>
        <v/>
      </c>
      <c r="M1898" s="11">
        <f>G1898+H1898</f>
        <v/>
      </c>
      <c r="N1898" s="11">
        <f>Summary!$C$16*Summary!$B$8</f>
        <v/>
      </c>
      <c r="O1898" s="11">
        <f>M1898-N1898</f>
        <v/>
      </c>
    </row>
    <row r="1899">
      <c r="A1899" s="9" t="n">
        <v>45371.04166666666</v>
      </c>
      <c r="B1899" t="n">
        <v>3</v>
      </c>
      <c r="C1899" t="n">
        <v>20</v>
      </c>
      <c r="D1899" t="n">
        <v>1</v>
      </c>
      <c r="E1899" s="10" t="n">
        <v>0</v>
      </c>
      <c r="F1899" s="10" t="n">
        <v>0.2992797358271366</v>
      </c>
      <c r="G1899" s="11">
        <f>E1899*Summary!$B$6</f>
        <v/>
      </c>
      <c r="H1899" s="11">
        <f>F1899*Summary!$B$7</f>
        <v/>
      </c>
      <c r="I1899" s="11">
        <f>MAX(0,N1899-M1899)</f>
        <v/>
      </c>
      <c r="J1899" s="11">
        <f>MAX(0,M1899-N1899)</f>
        <v/>
      </c>
      <c r="K1899" s="11">
        <f>O1899</f>
        <v/>
      </c>
      <c r="L1899" s="11">
        <f>L1898+IF(K1899&gt;0,K1899*Summary!$B$9,K1899/Summary!$B$9)</f>
        <v/>
      </c>
      <c r="M1899" s="11">
        <f>G1899+H1899</f>
        <v/>
      </c>
      <c r="N1899" s="11">
        <f>Summary!$C$16*Summary!$B$8</f>
        <v/>
      </c>
      <c r="O1899" s="11">
        <f>M1899-N1899</f>
        <v/>
      </c>
    </row>
    <row r="1900">
      <c r="A1900" s="9" t="n">
        <v>45371.08333333334</v>
      </c>
      <c r="B1900" t="n">
        <v>3</v>
      </c>
      <c r="C1900" t="n">
        <v>20</v>
      </c>
      <c r="D1900" t="n">
        <v>2</v>
      </c>
      <c r="E1900" s="10" t="n">
        <v>0</v>
      </c>
      <c r="F1900" s="10" t="n">
        <v>0.30012300002952</v>
      </c>
      <c r="G1900" s="11">
        <f>E1900*Summary!$B$6</f>
        <v/>
      </c>
      <c r="H1900" s="11">
        <f>F1900*Summary!$B$7</f>
        <v/>
      </c>
      <c r="I1900" s="11">
        <f>MAX(0,N1900-M1900)</f>
        <v/>
      </c>
      <c r="J1900" s="11">
        <f>MAX(0,M1900-N1900)</f>
        <v/>
      </c>
      <c r="K1900" s="11">
        <f>O1900</f>
        <v/>
      </c>
      <c r="L1900" s="11">
        <f>L1899+IF(K1900&gt;0,K1900*Summary!$B$9,K1900/Summary!$B$9)</f>
        <v/>
      </c>
      <c r="M1900" s="11">
        <f>G1900+H1900</f>
        <v/>
      </c>
      <c r="N1900" s="11">
        <f>Summary!$C$16*Summary!$B$8</f>
        <v/>
      </c>
      <c r="O1900" s="11">
        <f>M1900-N1900</f>
        <v/>
      </c>
    </row>
    <row r="1901">
      <c r="A1901" s="9" t="n">
        <v>45371.125</v>
      </c>
      <c r="B1901" t="n">
        <v>3</v>
      </c>
      <c r="C1901" t="n">
        <v>20</v>
      </c>
      <c r="D1901" t="n">
        <v>3</v>
      </c>
      <c r="E1901" s="10" t="n">
        <v>0</v>
      </c>
      <c r="F1901" s="10" t="n">
        <v>0.2975932074223698</v>
      </c>
      <c r="G1901" s="11">
        <f>E1901*Summary!$B$6</f>
        <v/>
      </c>
      <c r="H1901" s="11">
        <f>F1901*Summary!$B$7</f>
        <v/>
      </c>
      <c r="I1901" s="11">
        <f>MAX(0,N1901-M1901)</f>
        <v/>
      </c>
      <c r="J1901" s="11">
        <f>MAX(0,M1901-N1901)</f>
        <v/>
      </c>
      <c r="K1901" s="11">
        <f>O1901</f>
        <v/>
      </c>
      <c r="L1901" s="11">
        <f>L1900+IF(K1901&gt;0,K1901*Summary!$B$9,K1901/Summary!$B$9)</f>
        <v/>
      </c>
      <c r="M1901" s="11">
        <f>G1901+H1901</f>
        <v/>
      </c>
      <c r="N1901" s="11">
        <f>Summary!$C$16*Summary!$B$8</f>
        <v/>
      </c>
      <c r="O1901" s="11">
        <f>M1901-N1901</f>
        <v/>
      </c>
    </row>
    <row r="1902">
      <c r="A1902" s="9" t="n">
        <v>45371.16666666666</v>
      </c>
      <c r="B1902" t="n">
        <v>3</v>
      </c>
      <c r="C1902" t="n">
        <v>20</v>
      </c>
      <c r="D1902" t="n">
        <v>4</v>
      </c>
      <c r="E1902" s="10" t="n">
        <v>0</v>
      </c>
      <c r="F1902" s="10" t="n">
        <v>0.2952478788594909</v>
      </c>
      <c r="G1902" s="11">
        <f>E1902*Summary!$B$6</f>
        <v/>
      </c>
      <c r="H1902" s="11">
        <f>F1902*Summary!$B$7</f>
        <v/>
      </c>
      <c r="I1902" s="11">
        <f>MAX(0,N1902-M1902)</f>
        <v/>
      </c>
      <c r="J1902" s="11">
        <f>MAX(0,M1902-N1902)</f>
        <v/>
      </c>
      <c r="K1902" s="11">
        <f>O1902</f>
        <v/>
      </c>
      <c r="L1902" s="11">
        <f>L1901+IF(K1902&gt;0,K1902*Summary!$B$9,K1902/Summary!$B$9)</f>
        <v/>
      </c>
      <c r="M1902" s="11">
        <f>G1902+H1902</f>
        <v/>
      </c>
      <c r="N1902" s="11">
        <f>Summary!$C$16*Summary!$B$8</f>
        <v/>
      </c>
      <c r="O1902" s="11">
        <f>M1902-N1902</f>
        <v/>
      </c>
    </row>
    <row r="1903">
      <c r="A1903" s="9" t="n">
        <v>45371.20833333334</v>
      </c>
      <c r="B1903" t="n">
        <v>3</v>
      </c>
      <c r="C1903" t="n">
        <v>20</v>
      </c>
      <c r="D1903" t="n">
        <v>5</v>
      </c>
      <c r="E1903" s="10" t="n">
        <v>0</v>
      </c>
      <c r="F1903" s="10" t="n">
        <v>0.3091090341861682</v>
      </c>
      <c r="G1903" s="11">
        <f>E1903*Summary!$B$6</f>
        <v/>
      </c>
      <c r="H1903" s="11">
        <f>F1903*Summary!$B$7</f>
        <v/>
      </c>
      <c r="I1903" s="11">
        <f>MAX(0,N1903-M1903)</f>
        <v/>
      </c>
      <c r="J1903" s="11">
        <f>MAX(0,M1903-N1903)</f>
        <v/>
      </c>
      <c r="K1903" s="11">
        <f>O1903</f>
        <v/>
      </c>
      <c r="L1903" s="11">
        <f>L1902+IF(K1903&gt;0,K1903*Summary!$B$9,K1903/Summary!$B$9)</f>
        <v/>
      </c>
      <c r="M1903" s="11">
        <f>G1903+H1903</f>
        <v/>
      </c>
      <c r="N1903" s="11">
        <f>Summary!$C$16*Summary!$B$8</f>
        <v/>
      </c>
      <c r="O1903" s="11">
        <f>M1903-N1903</f>
        <v/>
      </c>
    </row>
    <row r="1904">
      <c r="A1904" s="9" t="n">
        <v>45371.25</v>
      </c>
      <c r="B1904" t="n">
        <v>3</v>
      </c>
      <c r="C1904" t="n">
        <v>20</v>
      </c>
      <c r="D1904" t="n">
        <v>6</v>
      </c>
      <c r="E1904" s="10" t="n">
        <v>0</v>
      </c>
      <c r="F1904" s="10" t="n">
        <v>0.2912687259044942</v>
      </c>
      <c r="G1904" s="11">
        <f>E1904*Summary!$B$6</f>
        <v/>
      </c>
      <c r="H1904" s="11">
        <f>F1904*Summary!$B$7</f>
        <v/>
      </c>
      <c r="I1904" s="11">
        <f>MAX(0,N1904-M1904)</f>
        <v/>
      </c>
      <c r="J1904" s="11">
        <f>MAX(0,M1904-N1904)</f>
        <v/>
      </c>
      <c r="K1904" s="11">
        <f>O1904</f>
        <v/>
      </c>
      <c r="L1904" s="11">
        <f>L1903+IF(K1904&gt;0,K1904*Summary!$B$9,K1904/Summary!$B$9)</f>
        <v/>
      </c>
      <c r="M1904" s="11">
        <f>G1904+H1904</f>
        <v/>
      </c>
      <c r="N1904" s="11">
        <f>Summary!$C$16*Summary!$B$8</f>
        <v/>
      </c>
      <c r="O1904" s="11">
        <f>M1904-N1904</f>
        <v/>
      </c>
    </row>
    <row r="1905">
      <c r="A1905" s="9" t="n">
        <v>45371.29166666666</v>
      </c>
      <c r="B1905" t="n">
        <v>3</v>
      </c>
      <c r="C1905" t="n">
        <v>20</v>
      </c>
      <c r="D1905" t="n">
        <v>7</v>
      </c>
      <c r="E1905" s="10" t="n">
        <v>0.042133</v>
      </c>
      <c r="F1905" s="10" t="n">
        <v>0.2794630270711265</v>
      </c>
      <c r="G1905" s="11">
        <f>E1905*Summary!$B$6</f>
        <v/>
      </c>
      <c r="H1905" s="11">
        <f>F1905*Summary!$B$7</f>
        <v/>
      </c>
      <c r="I1905" s="11">
        <f>MAX(0,N1905-M1905)</f>
        <v/>
      </c>
      <c r="J1905" s="11">
        <f>MAX(0,M1905-N1905)</f>
        <v/>
      </c>
      <c r="K1905" s="11">
        <f>O1905</f>
        <v/>
      </c>
      <c r="L1905" s="11">
        <f>L1904+IF(K1905&gt;0,K1905*Summary!$B$9,K1905/Summary!$B$9)</f>
        <v/>
      </c>
      <c r="M1905" s="11">
        <f>G1905+H1905</f>
        <v/>
      </c>
      <c r="N1905" s="11">
        <f>Summary!$C$16*Summary!$B$8</f>
        <v/>
      </c>
      <c r="O1905" s="11">
        <f>M1905-N1905</f>
        <v/>
      </c>
    </row>
    <row r="1906">
      <c r="A1906" s="9" t="n">
        <v>45371.33333333334</v>
      </c>
      <c r="B1906" t="n">
        <v>3</v>
      </c>
      <c r="C1906" t="n">
        <v>20</v>
      </c>
      <c r="D1906" t="n">
        <v>8</v>
      </c>
      <c r="E1906" s="10" t="n">
        <v>0.122656</v>
      </c>
      <c r="F1906" s="10" t="n">
        <v>0.2524258685822084</v>
      </c>
      <c r="G1906" s="11">
        <f>E1906*Summary!$B$6</f>
        <v/>
      </c>
      <c r="H1906" s="11">
        <f>F1906*Summary!$B$7</f>
        <v/>
      </c>
      <c r="I1906" s="11">
        <f>MAX(0,N1906-M1906)</f>
        <v/>
      </c>
      <c r="J1906" s="11">
        <f>MAX(0,M1906-N1906)</f>
        <v/>
      </c>
      <c r="K1906" s="11">
        <f>O1906</f>
        <v/>
      </c>
      <c r="L1906" s="11">
        <f>L1905+IF(K1906&gt;0,K1906*Summary!$B$9,K1906/Summary!$B$9)</f>
        <v/>
      </c>
      <c r="M1906" s="11">
        <f>G1906+H1906</f>
        <v/>
      </c>
      <c r="N1906" s="11">
        <f>Summary!$C$16*Summary!$B$8</f>
        <v/>
      </c>
      <c r="O1906" s="11">
        <f>M1906-N1906</f>
        <v/>
      </c>
    </row>
    <row r="1907">
      <c r="A1907" s="9" t="n">
        <v>45371.375</v>
      </c>
      <c r="B1907" t="n">
        <v>3</v>
      </c>
      <c r="C1907" t="n">
        <v>20</v>
      </c>
      <c r="D1907" t="n">
        <v>9</v>
      </c>
      <c r="E1907" s="10" t="n">
        <v>0.189419</v>
      </c>
      <c r="F1907" s="10" t="n">
        <v>0.2290252869660689</v>
      </c>
      <c r="G1907" s="11">
        <f>E1907*Summary!$B$6</f>
        <v/>
      </c>
      <c r="H1907" s="11">
        <f>F1907*Summary!$B$7</f>
        <v/>
      </c>
      <c r="I1907" s="11">
        <f>MAX(0,N1907-M1907)</f>
        <v/>
      </c>
      <c r="J1907" s="11">
        <f>MAX(0,M1907-N1907)</f>
        <v/>
      </c>
      <c r="K1907" s="11">
        <f>O1907</f>
        <v/>
      </c>
      <c r="L1907" s="11">
        <f>L1906+IF(K1907&gt;0,K1907*Summary!$B$9,K1907/Summary!$B$9)</f>
        <v/>
      </c>
      <c r="M1907" s="11">
        <f>G1907+H1907</f>
        <v/>
      </c>
      <c r="N1907" s="11">
        <f>Summary!$C$16*Summary!$B$8</f>
        <v/>
      </c>
      <c r="O1907" s="11">
        <f>M1907-N1907</f>
        <v/>
      </c>
    </row>
    <row r="1908">
      <c r="A1908" s="9" t="n">
        <v>45371.41666666666</v>
      </c>
      <c r="B1908" t="n">
        <v>3</v>
      </c>
      <c r="C1908" t="n">
        <v>20</v>
      </c>
      <c r="D1908" t="n">
        <v>10</v>
      </c>
      <c r="E1908" s="10" t="n">
        <v>0.218561</v>
      </c>
      <c r="F1908" s="10" t="n">
        <v>0.2169033640568074</v>
      </c>
      <c r="G1908" s="11">
        <f>E1908*Summary!$B$6</f>
        <v/>
      </c>
      <c r="H1908" s="11">
        <f>F1908*Summary!$B$7</f>
        <v/>
      </c>
      <c r="I1908" s="11">
        <f>MAX(0,N1908-M1908)</f>
        <v/>
      </c>
      <c r="J1908" s="11">
        <f>MAX(0,M1908-N1908)</f>
        <v/>
      </c>
      <c r="K1908" s="11">
        <f>O1908</f>
        <v/>
      </c>
      <c r="L1908" s="11">
        <f>L1907+IF(K1908&gt;0,K1908*Summary!$B$9,K1908/Summary!$B$9)</f>
        <v/>
      </c>
      <c r="M1908" s="11">
        <f>G1908+H1908</f>
        <v/>
      </c>
      <c r="N1908" s="11">
        <f>Summary!$C$16*Summary!$B$8</f>
        <v/>
      </c>
      <c r="O1908" s="11">
        <f>M1908-N1908</f>
        <v/>
      </c>
    </row>
    <row r="1909">
      <c r="A1909" s="9" t="n">
        <v>45371.45833333334</v>
      </c>
      <c r="B1909" t="n">
        <v>3</v>
      </c>
      <c r="C1909" t="n">
        <v>20</v>
      </c>
      <c r="D1909" t="n">
        <v>11</v>
      </c>
      <c r="E1909" s="10" t="n">
        <v>0.234385</v>
      </c>
      <c r="F1909" s="10" t="n">
        <v>0.2111322746717459</v>
      </c>
      <c r="G1909" s="11">
        <f>E1909*Summary!$B$6</f>
        <v/>
      </c>
      <c r="H1909" s="11">
        <f>F1909*Summary!$B$7</f>
        <v/>
      </c>
      <c r="I1909" s="11">
        <f>MAX(0,N1909-M1909)</f>
        <v/>
      </c>
      <c r="J1909" s="11">
        <f>MAX(0,M1909-N1909)</f>
        <v/>
      </c>
      <c r="K1909" s="11">
        <f>O1909</f>
        <v/>
      </c>
      <c r="L1909" s="11">
        <f>L1908+IF(K1909&gt;0,K1909*Summary!$B$9,K1909/Summary!$B$9)</f>
        <v/>
      </c>
      <c r="M1909" s="11">
        <f>G1909+H1909</f>
        <v/>
      </c>
      <c r="N1909" s="11">
        <f>Summary!$C$16*Summary!$B$8</f>
        <v/>
      </c>
      <c r="O1909" s="11">
        <f>M1909-N1909</f>
        <v/>
      </c>
    </row>
    <row r="1910">
      <c r="A1910" s="9" t="n">
        <v>45371.5</v>
      </c>
      <c r="B1910" t="n">
        <v>3</v>
      </c>
      <c r="C1910" t="n">
        <v>20</v>
      </c>
      <c r="D1910" t="n">
        <v>12</v>
      </c>
      <c r="E1910" s="10" t="n">
        <v>0.18819</v>
      </c>
      <c r="F1910" s="10" t="n">
        <v>0.2073375857610206</v>
      </c>
      <c r="G1910" s="11">
        <f>E1910*Summary!$B$6</f>
        <v/>
      </c>
      <c r="H1910" s="11">
        <f>F1910*Summary!$B$7</f>
        <v/>
      </c>
      <c r="I1910" s="11">
        <f>MAX(0,N1910-M1910)</f>
        <v/>
      </c>
      <c r="J1910" s="11">
        <f>MAX(0,M1910-N1910)</f>
        <v/>
      </c>
      <c r="K1910" s="11">
        <f>O1910</f>
        <v/>
      </c>
      <c r="L1910" s="11">
        <f>L1909+IF(K1910&gt;0,K1910*Summary!$B$9,K1910/Summary!$B$9)</f>
        <v/>
      </c>
      <c r="M1910" s="11">
        <f>G1910+H1910</f>
        <v/>
      </c>
      <c r="N1910" s="11">
        <f>Summary!$C$16*Summary!$B$8</f>
        <v/>
      </c>
      <c r="O1910" s="11">
        <f>M1910-N1910</f>
        <v/>
      </c>
    </row>
    <row r="1911">
      <c r="A1911" s="9" t="n">
        <v>45371.54166666666</v>
      </c>
      <c r="B1911" t="n">
        <v>3</v>
      </c>
      <c r="C1911" t="n">
        <v>20</v>
      </c>
      <c r="D1911" t="n">
        <v>13</v>
      </c>
      <c r="E1911" s="10" t="n">
        <v>0.181078</v>
      </c>
      <c r="F1911" s="10" t="n">
        <v>0.2062835055080413</v>
      </c>
      <c r="G1911" s="11">
        <f>E1911*Summary!$B$6</f>
        <v/>
      </c>
      <c r="H1911" s="11">
        <f>F1911*Summary!$B$7</f>
        <v/>
      </c>
      <c r="I1911" s="11">
        <f>MAX(0,N1911-M1911)</f>
        <v/>
      </c>
      <c r="J1911" s="11">
        <f>MAX(0,M1911-N1911)</f>
        <v/>
      </c>
      <c r="K1911" s="11">
        <f>O1911</f>
        <v/>
      </c>
      <c r="L1911" s="11">
        <f>L1910+IF(K1911&gt;0,K1911*Summary!$B$9,K1911/Summary!$B$9)</f>
        <v/>
      </c>
      <c r="M1911" s="11">
        <f>G1911+H1911</f>
        <v/>
      </c>
      <c r="N1911" s="11">
        <f>Summary!$C$16*Summary!$B$8</f>
        <v/>
      </c>
      <c r="O1911" s="11">
        <f>M1911-N1911</f>
        <v/>
      </c>
    </row>
    <row r="1912">
      <c r="A1912" s="9" t="n">
        <v>45371.58333333334</v>
      </c>
      <c r="B1912" t="n">
        <v>3</v>
      </c>
      <c r="C1912" t="n">
        <v>20</v>
      </c>
      <c r="D1912" t="n">
        <v>14</v>
      </c>
      <c r="E1912" s="10" t="n">
        <v>0.15558</v>
      </c>
      <c r="F1912" s="10" t="n">
        <v>0.2049395531854928</v>
      </c>
      <c r="G1912" s="11">
        <f>E1912*Summary!$B$6</f>
        <v/>
      </c>
      <c r="H1912" s="11">
        <f>F1912*Summary!$B$7</f>
        <v/>
      </c>
      <c r="I1912" s="11">
        <f>MAX(0,N1912-M1912)</f>
        <v/>
      </c>
      <c r="J1912" s="11">
        <f>MAX(0,M1912-N1912)</f>
        <v/>
      </c>
      <c r="K1912" s="11">
        <f>O1912</f>
        <v/>
      </c>
      <c r="L1912" s="11">
        <f>L1911+IF(K1912&gt;0,K1912*Summary!$B$9,K1912/Summary!$B$9)</f>
        <v/>
      </c>
      <c r="M1912" s="11">
        <f>G1912+H1912</f>
        <v/>
      </c>
      <c r="N1912" s="11">
        <f>Summary!$C$16*Summary!$B$8</f>
        <v/>
      </c>
      <c r="O1912" s="11">
        <f>M1912-N1912</f>
        <v/>
      </c>
    </row>
    <row r="1913">
      <c r="A1913" s="9" t="n">
        <v>45371.625</v>
      </c>
      <c r="B1913" t="n">
        <v>3</v>
      </c>
      <c r="C1913" t="n">
        <v>20</v>
      </c>
      <c r="D1913" t="n">
        <v>15</v>
      </c>
      <c r="E1913" s="10" t="n">
        <v>0.108212</v>
      </c>
      <c r="F1913" s="10" t="n">
        <v>0.2044652170716521</v>
      </c>
      <c r="G1913" s="11">
        <f>E1913*Summary!$B$6</f>
        <v/>
      </c>
      <c r="H1913" s="11">
        <f>F1913*Summary!$B$7</f>
        <v/>
      </c>
      <c r="I1913" s="11">
        <f>MAX(0,N1913-M1913)</f>
        <v/>
      </c>
      <c r="J1913" s="11">
        <f>MAX(0,M1913-N1913)</f>
        <v/>
      </c>
      <c r="K1913" s="11">
        <f>O1913</f>
        <v/>
      </c>
      <c r="L1913" s="11">
        <f>L1912+IF(K1913&gt;0,K1913*Summary!$B$9,K1913/Summary!$B$9)</f>
        <v/>
      </c>
      <c r="M1913" s="11">
        <f>G1913+H1913</f>
        <v/>
      </c>
      <c r="N1913" s="11">
        <f>Summary!$C$16*Summary!$B$8</f>
        <v/>
      </c>
      <c r="O1913" s="11">
        <f>M1913-N1913</f>
        <v/>
      </c>
    </row>
    <row r="1914">
      <c r="A1914" s="9" t="n">
        <v>45371.66666666666</v>
      </c>
      <c r="B1914" t="n">
        <v>3</v>
      </c>
      <c r="C1914" t="n">
        <v>20</v>
      </c>
      <c r="D1914" t="n">
        <v>16</v>
      </c>
      <c r="E1914" s="10" t="n">
        <v>0.071118</v>
      </c>
      <c r="F1914" s="10" t="n">
        <v>0.2037010088882421</v>
      </c>
      <c r="G1914" s="11">
        <f>E1914*Summary!$B$6</f>
        <v/>
      </c>
      <c r="H1914" s="11">
        <f>F1914*Summary!$B$7</f>
        <v/>
      </c>
      <c r="I1914" s="11">
        <f>MAX(0,N1914-M1914)</f>
        <v/>
      </c>
      <c r="J1914" s="11">
        <f>MAX(0,M1914-N1914)</f>
        <v/>
      </c>
      <c r="K1914" s="11">
        <f>O1914</f>
        <v/>
      </c>
      <c r="L1914" s="11">
        <f>L1913+IF(K1914&gt;0,K1914*Summary!$B$9,K1914/Summary!$B$9)</f>
        <v/>
      </c>
      <c r="M1914" s="11">
        <f>G1914+H1914</f>
        <v/>
      </c>
      <c r="N1914" s="11">
        <f>Summary!$C$16*Summary!$B$8</f>
        <v/>
      </c>
      <c r="O1914" s="11">
        <f>M1914-N1914</f>
        <v/>
      </c>
    </row>
    <row r="1915">
      <c r="A1915" s="9" t="n">
        <v>45371.70833333334</v>
      </c>
      <c r="B1915" t="n">
        <v>3</v>
      </c>
      <c r="C1915" t="n">
        <v>20</v>
      </c>
      <c r="D1915" t="n">
        <v>17</v>
      </c>
      <c r="E1915" s="10" t="n">
        <v>0.029667</v>
      </c>
      <c r="F1915" s="10" t="n">
        <v>0.2097092663302239</v>
      </c>
      <c r="G1915" s="11">
        <f>E1915*Summary!$B$6</f>
        <v/>
      </c>
      <c r="H1915" s="11">
        <f>F1915*Summary!$B$7</f>
        <v/>
      </c>
      <c r="I1915" s="11">
        <f>MAX(0,N1915-M1915)</f>
        <v/>
      </c>
      <c r="J1915" s="11">
        <f>MAX(0,M1915-N1915)</f>
        <v/>
      </c>
      <c r="K1915" s="11">
        <f>O1915</f>
        <v/>
      </c>
      <c r="L1915" s="11">
        <f>L1914+IF(K1915&gt;0,K1915*Summary!$B$9,K1915/Summary!$B$9)</f>
        <v/>
      </c>
      <c r="M1915" s="11">
        <f>G1915+H1915</f>
        <v/>
      </c>
      <c r="N1915" s="11">
        <f>Summary!$C$16*Summary!$B$8</f>
        <v/>
      </c>
      <c r="O1915" s="11">
        <f>M1915-N1915</f>
        <v/>
      </c>
    </row>
    <row r="1916">
      <c r="A1916" s="9" t="n">
        <v>45371.75</v>
      </c>
      <c r="B1916" t="n">
        <v>3</v>
      </c>
      <c r="C1916" t="n">
        <v>20</v>
      </c>
      <c r="D1916" t="n">
        <v>18</v>
      </c>
      <c r="E1916" s="10" t="n">
        <v>0</v>
      </c>
      <c r="F1916" s="10" t="n">
        <v>0.2305800553392133</v>
      </c>
      <c r="G1916" s="11">
        <f>E1916*Summary!$B$6</f>
        <v/>
      </c>
      <c r="H1916" s="11">
        <f>F1916*Summary!$B$7</f>
        <v/>
      </c>
      <c r="I1916" s="11">
        <f>MAX(0,N1916-M1916)</f>
        <v/>
      </c>
      <c r="J1916" s="11">
        <f>MAX(0,M1916-N1916)</f>
        <v/>
      </c>
      <c r="K1916" s="11">
        <f>O1916</f>
        <v/>
      </c>
      <c r="L1916" s="11">
        <f>L1915+IF(K1916&gt;0,K1916*Summary!$B$9,K1916/Summary!$B$9)</f>
        <v/>
      </c>
      <c r="M1916" s="11">
        <f>G1916+H1916</f>
        <v/>
      </c>
      <c r="N1916" s="11">
        <f>Summary!$C$16*Summary!$B$8</f>
        <v/>
      </c>
      <c r="O1916" s="11">
        <f>M1916-N1916</f>
        <v/>
      </c>
    </row>
    <row r="1917">
      <c r="A1917" s="9" t="n">
        <v>45371.79166666666</v>
      </c>
      <c r="B1917" t="n">
        <v>3</v>
      </c>
      <c r="C1917" t="n">
        <v>20</v>
      </c>
      <c r="D1917" t="n">
        <v>19</v>
      </c>
      <c r="E1917" s="10" t="n">
        <v>0</v>
      </c>
      <c r="F1917" s="10" t="n">
        <v>0.2553772932905504</v>
      </c>
      <c r="G1917" s="11">
        <f>E1917*Summary!$B$6</f>
        <v/>
      </c>
      <c r="H1917" s="11">
        <f>F1917*Summary!$B$7</f>
        <v/>
      </c>
      <c r="I1917" s="11">
        <f>MAX(0,N1917-M1917)</f>
        <v/>
      </c>
      <c r="J1917" s="11">
        <f>MAX(0,M1917-N1917)</f>
        <v/>
      </c>
      <c r="K1917" s="11">
        <f>O1917</f>
        <v/>
      </c>
      <c r="L1917" s="11">
        <f>L1916+IF(K1917&gt;0,K1917*Summary!$B$9,K1917/Summary!$B$9)</f>
        <v/>
      </c>
      <c r="M1917" s="11">
        <f>G1917+H1917</f>
        <v/>
      </c>
      <c r="N1917" s="11">
        <f>Summary!$C$16*Summary!$B$8</f>
        <v/>
      </c>
      <c r="O1917" s="11">
        <f>M1917-N1917</f>
        <v/>
      </c>
    </row>
    <row r="1918">
      <c r="A1918" s="9" t="n">
        <v>45371.83333333334</v>
      </c>
      <c r="B1918" t="n">
        <v>3</v>
      </c>
      <c r="C1918" t="n">
        <v>20</v>
      </c>
      <c r="D1918" t="n">
        <v>20</v>
      </c>
      <c r="E1918" s="10" t="n">
        <v>0</v>
      </c>
      <c r="F1918" s="10" t="n">
        <v>0.2576699178407803</v>
      </c>
      <c r="G1918" s="11">
        <f>E1918*Summary!$B$6</f>
        <v/>
      </c>
      <c r="H1918" s="11">
        <f>F1918*Summary!$B$7</f>
        <v/>
      </c>
      <c r="I1918" s="11">
        <f>MAX(0,N1918-M1918)</f>
        <v/>
      </c>
      <c r="J1918" s="11">
        <f>MAX(0,M1918-N1918)</f>
        <v/>
      </c>
      <c r="K1918" s="11">
        <f>O1918</f>
        <v/>
      </c>
      <c r="L1918" s="11">
        <f>L1917+IF(K1918&gt;0,K1918*Summary!$B$9,K1918/Summary!$B$9)</f>
        <v/>
      </c>
      <c r="M1918" s="11">
        <f>G1918+H1918</f>
        <v/>
      </c>
      <c r="N1918" s="11">
        <f>Summary!$C$16*Summary!$B$8</f>
        <v/>
      </c>
      <c r="O1918" s="11">
        <f>M1918-N1918</f>
        <v/>
      </c>
    </row>
    <row r="1919">
      <c r="A1919" s="9" t="n">
        <v>45371.875</v>
      </c>
      <c r="B1919" t="n">
        <v>3</v>
      </c>
      <c r="C1919" t="n">
        <v>20</v>
      </c>
      <c r="D1919" t="n">
        <v>21</v>
      </c>
      <c r="E1919" s="10" t="n">
        <v>0</v>
      </c>
      <c r="F1919" s="10" t="n">
        <v>0.2674992161998119</v>
      </c>
      <c r="G1919" s="11">
        <f>E1919*Summary!$B$6</f>
        <v/>
      </c>
      <c r="H1919" s="11">
        <f>F1919*Summary!$B$7</f>
        <v/>
      </c>
      <c r="I1919" s="11">
        <f>MAX(0,N1919-M1919)</f>
        <v/>
      </c>
      <c r="J1919" s="11">
        <f>MAX(0,M1919-N1919)</f>
        <v/>
      </c>
      <c r="K1919" s="11">
        <f>O1919</f>
        <v/>
      </c>
      <c r="L1919" s="11">
        <f>L1918+IF(K1919&gt;0,K1919*Summary!$B$9,K1919/Summary!$B$9)</f>
        <v/>
      </c>
      <c r="M1919" s="11">
        <f>G1919+H1919</f>
        <v/>
      </c>
      <c r="N1919" s="11">
        <f>Summary!$C$16*Summary!$B$8</f>
        <v/>
      </c>
      <c r="O1919" s="11">
        <f>M1919-N1919</f>
        <v/>
      </c>
    </row>
    <row r="1920">
      <c r="A1920" s="9" t="n">
        <v>45371.91666666666</v>
      </c>
      <c r="B1920" t="n">
        <v>3</v>
      </c>
      <c r="C1920" t="n">
        <v>20</v>
      </c>
      <c r="D1920" t="n">
        <v>22</v>
      </c>
      <c r="E1920" s="10" t="n">
        <v>0</v>
      </c>
      <c r="F1920" s="10" t="n">
        <v>0.2677890882693812</v>
      </c>
      <c r="G1920" s="11">
        <f>E1920*Summary!$B$6</f>
        <v/>
      </c>
      <c r="H1920" s="11">
        <f>F1920*Summary!$B$7</f>
        <v/>
      </c>
      <c r="I1920" s="11">
        <f>MAX(0,N1920-M1920)</f>
        <v/>
      </c>
      <c r="J1920" s="11">
        <f>MAX(0,M1920-N1920)</f>
        <v/>
      </c>
      <c r="K1920" s="11">
        <f>O1920</f>
        <v/>
      </c>
      <c r="L1920" s="11">
        <f>L1919+IF(K1920&gt;0,K1920*Summary!$B$9,K1920/Summary!$B$9)</f>
        <v/>
      </c>
      <c r="M1920" s="11">
        <f>G1920+H1920</f>
        <v/>
      </c>
      <c r="N1920" s="11">
        <f>Summary!$C$16*Summary!$B$8</f>
        <v/>
      </c>
      <c r="O1920" s="11">
        <f>M1920-N1920</f>
        <v/>
      </c>
    </row>
    <row r="1921">
      <c r="A1921" s="9" t="n">
        <v>45371.95833333334</v>
      </c>
      <c r="B1921" t="n">
        <v>3</v>
      </c>
      <c r="C1921" t="n">
        <v>20</v>
      </c>
      <c r="D1921" t="n">
        <v>23</v>
      </c>
      <c r="E1921" s="10" t="n">
        <v>0</v>
      </c>
      <c r="F1921" s="10" t="n">
        <v>0.2756683381604011</v>
      </c>
      <c r="G1921" s="11">
        <f>E1921*Summary!$B$6</f>
        <v/>
      </c>
      <c r="H1921" s="11">
        <f>F1921*Summary!$B$7</f>
        <v/>
      </c>
      <c r="I1921" s="11">
        <f>MAX(0,N1921-M1921)</f>
        <v/>
      </c>
      <c r="J1921" s="11">
        <f>MAX(0,M1921-N1921)</f>
        <v/>
      </c>
      <c r="K1921" s="11">
        <f>O1921</f>
        <v/>
      </c>
      <c r="L1921" s="11">
        <f>L1920+IF(K1921&gt;0,K1921*Summary!$B$9,K1921/Summary!$B$9)</f>
        <v/>
      </c>
      <c r="M1921" s="11">
        <f>G1921+H1921</f>
        <v/>
      </c>
      <c r="N1921" s="11">
        <f>Summary!$C$16*Summary!$B$8</f>
        <v/>
      </c>
      <c r="O1921" s="11">
        <f>M1921-N1921</f>
        <v/>
      </c>
    </row>
    <row r="1922">
      <c r="A1922" s="9" t="n">
        <v>45372</v>
      </c>
      <c r="B1922" t="n">
        <v>3</v>
      </c>
      <c r="C1922" t="n">
        <v>21</v>
      </c>
      <c r="D1922" t="n">
        <v>0</v>
      </c>
      <c r="E1922" s="10" t="n">
        <v>0</v>
      </c>
      <c r="F1922" s="10" t="n">
        <v>0.3102421704581209</v>
      </c>
      <c r="G1922" s="11">
        <f>E1922*Summary!$B$6</f>
        <v/>
      </c>
      <c r="H1922" s="11">
        <f>F1922*Summary!$B$7</f>
        <v/>
      </c>
      <c r="I1922" s="11">
        <f>MAX(0,N1922-M1922)</f>
        <v/>
      </c>
      <c r="J1922" s="11">
        <f>MAX(0,M1922-N1922)</f>
        <v/>
      </c>
      <c r="K1922" s="11">
        <f>O1922</f>
        <v/>
      </c>
      <c r="L1922" s="11">
        <f>L1921+IF(K1922&gt;0,K1922*Summary!$B$9,K1922/Summary!$B$9)</f>
        <v/>
      </c>
      <c r="M1922" s="11">
        <f>G1922+H1922</f>
        <v/>
      </c>
      <c r="N1922" s="11">
        <f>Summary!$C$16*Summary!$B$8</f>
        <v/>
      </c>
      <c r="O1922" s="11">
        <f>M1922-N1922</f>
        <v/>
      </c>
    </row>
    <row r="1923">
      <c r="A1923" s="9" t="n">
        <v>45372.04166666666</v>
      </c>
      <c r="B1923" t="n">
        <v>3</v>
      </c>
      <c r="C1923" t="n">
        <v>21</v>
      </c>
      <c r="D1923" t="n">
        <v>1</v>
      </c>
      <c r="E1923" s="10" t="n">
        <v>0</v>
      </c>
      <c r="F1923" s="10" t="n">
        <v>0.2891342133922112</v>
      </c>
      <c r="G1923" s="11">
        <f>E1923*Summary!$B$6</f>
        <v/>
      </c>
      <c r="H1923" s="11">
        <f>F1923*Summary!$B$7</f>
        <v/>
      </c>
      <c r="I1923" s="11">
        <f>MAX(0,N1923-M1923)</f>
        <v/>
      </c>
      <c r="J1923" s="11">
        <f>MAX(0,M1923-N1923)</f>
        <v/>
      </c>
      <c r="K1923" s="11">
        <f>O1923</f>
        <v/>
      </c>
      <c r="L1923" s="11">
        <f>L1922+IF(K1923&gt;0,K1923*Summary!$B$9,K1923/Summary!$B$9)</f>
        <v/>
      </c>
      <c r="M1923" s="11">
        <f>G1923+H1923</f>
        <v/>
      </c>
      <c r="N1923" s="11">
        <f>Summary!$C$16*Summary!$B$8</f>
        <v/>
      </c>
      <c r="O1923" s="11">
        <f>M1923-N1923</f>
        <v/>
      </c>
    </row>
    <row r="1924">
      <c r="A1924" s="9" t="n">
        <v>45372.08333333334</v>
      </c>
      <c r="B1924" t="n">
        <v>3</v>
      </c>
      <c r="C1924" t="n">
        <v>21</v>
      </c>
      <c r="D1924" t="n">
        <v>2</v>
      </c>
      <c r="E1924" s="10" t="n">
        <v>0</v>
      </c>
      <c r="F1924" s="10" t="n">
        <v>0.3040494489718678</v>
      </c>
      <c r="G1924" s="11">
        <f>E1924*Summary!$B$6</f>
        <v/>
      </c>
      <c r="H1924" s="11">
        <f>F1924*Summary!$B$7</f>
        <v/>
      </c>
      <c r="I1924" s="11">
        <f>MAX(0,N1924-M1924)</f>
        <v/>
      </c>
      <c r="J1924" s="11">
        <f>MAX(0,M1924-N1924)</f>
        <v/>
      </c>
      <c r="K1924" s="11">
        <f>O1924</f>
        <v/>
      </c>
      <c r="L1924" s="11">
        <f>L1923+IF(K1924&gt;0,K1924*Summary!$B$9,K1924/Summary!$B$9)</f>
        <v/>
      </c>
      <c r="M1924" s="11">
        <f>G1924+H1924</f>
        <v/>
      </c>
      <c r="N1924" s="11">
        <f>Summary!$C$16*Summary!$B$8</f>
        <v/>
      </c>
      <c r="O1924" s="11">
        <f>M1924-N1924</f>
        <v/>
      </c>
    </row>
    <row r="1925">
      <c r="A1925" s="9" t="n">
        <v>45372.125</v>
      </c>
      <c r="B1925" t="n">
        <v>3</v>
      </c>
      <c r="C1925" t="n">
        <v>21</v>
      </c>
      <c r="D1925" t="n">
        <v>3</v>
      </c>
      <c r="E1925" s="10" t="n">
        <v>0</v>
      </c>
      <c r="F1925" s="10" t="n">
        <v>0.3162767799064272</v>
      </c>
      <c r="G1925" s="11">
        <f>E1925*Summary!$B$6</f>
        <v/>
      </c>
      <c r="H1925" s="11">
        <f>F1925*Summary!$B$7</f>
        <v/>
      </c>
      <c r="I1925" s="11">
        <f>MAX(0,N1925-M1925)</f>
        <v/>
      </c>
      <c r="J1925" s="11">
        <f>MAX(0,M1925-N1925)</f>
        <v/>
      </c>
      <c r="K1925" s="11">
        <f>O1925</f>
        <v/>
      </c>
      <c r="L1925" s="11">
        <f>L1924+IF(K1925&gt;0,K1925*Summary!$B$9,K1925/Summary!$B$9)</f>
        <v/>
      </c>
      <c r="M1925" s="11">
        <f>G1925+H1925</f>
        <v/>
      </c>
      <c r="N1925" s="11">
        <f>Summary!$C$16*Summary!$B$8</f>
        <v/>
      </c>
      <c r="O1925" s="11">
        <f>M1925-N1925</f>
        <v/>
      </c>
    </row>
    <row r="1926">
      <c r="A1926" s="9" t="n">
        <v>45372.16666666666</v>
      </c>
      <c r="B1926" t="n">
        <v>3</v>
      </c>
      <c r="C1926" t="n">
        <v>21</v>
      </c>
      <c r="D1926" t="n">
        <v>4</v>
      </c>
      <c r="E1926" s="10" t="n">
        <v>0</v>
      </c>
      <c r="F1926" s="10" t="n">
        <v>0.3282142387714173</v>
      </c>
      <c r="G1926" s="11">
        <f>E1926*Summary!$B$6</f>
        <v/>
      </c>
      <c r="H1926" s="11">
        <f>F1926*Summary!$B$7</f>
        <v/>
      </c>
      <c r="I1926" s="11">
        <f>MAX(0,N1926-M1926)</f>
        <v/>
      </c>
      <c r="J1926" s="11">
        <f>MAX(0,M1926-N1926)</f>
        <v/>
      </c>
      <c r="K1926" s="11">
        <f>O1926</f>
        <v/>
      </c>
      <c r="L1926" s="11">
        <f>L1925+IF(K1926&gt;0,K1926*Summary!$B$9,K1926/Summary!$B$9)</f>
        <v/>
      </c>
      <c r="M1926" s="11">
        <f>G1926+H1926</f>
        <v/>
      </c>
      <c r="N1926" s="11">
        <f>Summary!$C$16*Summary!$B$8</f>
        <v/>
      </c>
      <c r="O1926" s="11">
        <f>M1926-N1926</f>
        <v/>
      </c>
    </row>
    <row r="1927">
      <c r="A1927" s="9" t="n">
        <v>45372.20833333334</v>
      </c>
      <c r="B1927" t="n">
        <v>3</v>
      </c>
      <c r="C1927" t="n">
        <v>21</v>
      </c>
      <c r="D1927" t="n">
        <v>5</v>
      </c>
      <c r="E1927" s="10" t="n">
        <v>0</v>
      </c>
      <c r="F1927" s="10" t="n">
        <v>0.3383861132126672</v>
      </c>
      <c r="G1927" s="11">
        <f>E1927*Summary!$B$6</f>
        <v/>
      </c>
      <c r="H1927" s="11">
        <f>F1927*Summary!$B$7</f>
        <v/>
      </c>
      <c r="I1927" s="11">
        <f>MAX(0,N1927-M1927)</f>
        <v/>
      </c>
      <c r="J1927" s="11">
        <f>MAX(0,M1927-N1927)</f>
        <v/>
      </c>
      <c r="K1927" s="11">
        <f>O1927</f>
        <v/>
      </c>
      <c r="L1927" s="11">
        <f>L1926+IF(K1927&gt;0,K1927*Summary!$B$9,K1927/Summary!$B$9)</f>
        <v/>
      </c>
      <c r="M1927" s="11">
        <f>G1927+H1927</f>
        <v/>
      </c>
      <c r="N1927" s="11">
        <f>Summary!$C$16*Summary!$B$8</f>
        <v/>
      </c>
      <c r="O1927" s="11">
        <f>M1927-N1927</f>
        <v/>
      </c>
    </row>
    <row r="1928">
      <c r="A1928" s="9" t="n">
        <v>45372.25</v>
      </c>
      <c r="B1928" t="n">
        <v>3</v>
      </c>
      <c r="C1928" t="n">
        <v>21</v>
      </c>
      <c r="D1928" t="n">
        <v>6</v>
      </c>
      <c r="E1928" s="10" t="n">
        <v>0.003737</v>
      </c>
      <c r="F1928" s="10" t="n">
        <v>0.3351184644284314</v>
      </c>
      <c r="G1928" s="11">
        <f>E1928*Summary!$B$6</f>
        <v/>
      </c>
      <c r="H1928" s="11">
        <f>F1928*Summary!$B$7</f>
        <v/>
      </c>
      <c r="I1928" s="11">
        <f>MAX(0,N1928-M1928)</f>
        <v/>
      </c>
      <c r="J1928" s="11">
        <f>MAX(0,M1928-N1928)</f>
        <v/>
      </c>
      <c r="K1928" s="11">
        <f>O1928</f>
        <v/>
      </c>
      <c r="L1928" s="11">
        <f>L1927+IF(K1928&gt;0,K1928*Summary!$B$9,K1928/Summary!$B$9)</f>
        <v/>
      </c>
      <c r="M1928" s="11">
        <f>G1928+H1928</f>
        <v/>
      </c>
      <c r="N1928" s="11">
        <f>Summary!$C$16*Summary!$B$8</f>
        <v/>
      </c>
      <c r="O1928" s="11">
        <f>M1928-N1928</f>
        <v/>
      </c>
    </row>
    <row r="1929">
      <c r="A1929" s="9" t="n">
        <v>45372.29166666666</v>
      </c>
      <c r="B1929" t="n">
        <v>3</v>
      </c>
      <c r="C1929" t="n">
        <v>21</v>
      </c>
      <c r="D1929" t="n">
        <v>7</v>
      </c>
      <c r="E1929" s="10" t="n">
        <v>0.088989</v>
      </c>
      <c r="F1929" s="10" t="n">
        <v>0.3224431493863558</v>
      </c>
      <c r="G1929" s="11">
        <f>E1929*Summary!$B$6</f>
        <v/>
      </c>
      <c r="H1929" s="11">
        <f>F1929*Summary!$B$7</f>
        <v/>
      </c>
      <c r="I1929" s="11">
        <f>MAX(0,N1929-M1929)</f>
        <v/>
      </c>
      <c r="J1929" s="11">
        <f>MAX(0,M1929-N1929)</f>
        <v/>
      </c>
      <c r="K1929" s="11">
        <f>O1929</f>
        <v/>
      </c>
      <c r="L1929" s="11">
        <f>L1928+IF(K1929&gt;0,K1929*Summary!$B$9,K1929/Summary!$B$9)</f>
        <v/>
      </c>
      <c r="M1929" s="11">
        <f>G1929+H1929</f>
        <v/>
      </c>
      <c r="N1929" s="11">
        <f>Summary!$C$16*Summary!$B$8</f>
        <v/>
      </c>
      <c r="O1929" s="11">
        <f>M1929-N1929</f>
        <v/>
      </c>
    </row>
    <row r="1930">
      <c r="A1930" s="9" t="n">
        <v>45372.33333333334</v>
      </c>
      <c r="B1930" t="n">
        <v>3</v>
      </c>
      <c r="C1930" t="n">
        <v>21</v>
      </c>
      <c r="D1930" t="n">
        <v>8</v>
      </c>
      <c r="E1930" s="10" t="n">
        <v>0.205835</v>
      </c>
      <c r="F1930" s="10" t="n">
        <v>0.2964600711504171</v>
      </c>
      <c r="G1930" s="11">
        <f>E1930*Summary!$B$6</f>
        <v/>
      </c>
      <c r="H1930" s="11">
        <f>F1930*Summary!$B$7</f>
        <v/>
      </c>
      <c r="I1930" s="11">
        <f>MAX(0,N1930-M1930)</f>
        <v/>
      </c>
      <c r="J1930" s="11">
        <f>MAX(0,M1930-N1930)</f>
        <v/>
      </c>
      <c r="K1930" s="11">
        <f>O1930</f>
        <v/>
      </c>
      <c r="L1930" s="11">
        <f>L1929+IF(K1930&gt;0,K1930*Summary!$B$9,K1930/Summary!$B$9)</f>
        <v/>
      </c>
      <c r="M1930" s="11">
        <f>G1930+H1930</f>
        <v/>
      </c>
      <c r="N1930" s="11">
        <f>Summary!$C$16*Summary!$B$8</f>
        <v/>
      </c>
      <c r="O1930" s="11">
        <f>M1930-N1930</f>
        <v/>
      </c>
    </row>
    <row r="1931">
      <c r="A1931" s="9" t="n">
        <v>45372.375</v>
      </c>
      <c r="B1931" t="n">
        <v>3</v>
      </c>
      <c r="C1931" t="n">
        <v>21</v>
      </c>
      <c r="D1931" t="n">
        <v>9</v>
      </c>
      <c r="E1931" s="10" t="n">
        <v>0.398769</v>
      </c>
      <c r="F1931" s="10" t="n">
        <v>0.2733757136101713</v>
      </c>
      <c r="G1931" s="11">
        <f>E1931*Summary!$B$6</f>
        <v/>
      </c>
      <c r="H1931" s="11">
        <f>F1931*Summary!$B$7</f>
        <v/>
      </c>
      <c r="I1931" s="11">
        <f>MAX(0,N1931-M1931)</f>
        <v/>
      </c>
      <c r="J1931" s="11">
        <f>MAX(0,M1931-N1931)</f>
        <v/>
      </c>
      <c r="K1931" s="11">
        <f>O1931</f>
        <v/>
      </c>
      <c r="L1931" s="11">
        <f>L1930+IF(K1931&gt;0,K1931*Summary!$B$9,K1931/Summary!$B$9)</f>
        <v/>
      </c>
      <c r="M1931" s="11">
        <f>G1931+H1931</f>
        <v/>
      </c>
      <c r="N1931" s="11">
        <f>Summary!$C$16*Summary!$B$8</f>
        <v/>
      </c>
      <c r="O1931" s="11">
        <f>M1931-N1931</f>
        <v/>
      </c>
    </row>
    <row r="1932">
      <c r="A1932" s="9" t="n">
        <v>45372.41666666666</v>
      </c>
      <c r="B1932" t="n">
        <v>3</v>
      </c>
      <c r="C1932" t="n">
        <v>21</v>
      </c>
      <c r="D1932" t="n">
        <v>10</v>
      </c>
      <c r="E1932" s="10" t="n">
        <v>0.442957</v>
      </c>
      <c r="F1932" s="10" t="n">
        <v>0.2639680473523314</v>
      </c>
      <c r="G1932" s="11">
        <f>E1932*Summary!$B$6</f>
        <v/>
      </c>
      <c r="H1932" s="11">
        <f>F1932*Summary!$B$7</f>
        <v/>
      </c>
      <c r="I1932" s="11">
        <f>MAX(0,N1932-M1932)</f>
        <v/>
      </c>
      <c r="J1932" s="11">
        <f>MAX(0,M1932-N1932)</f>
        <v/>
      </c>
      <c r="K1932" s="11">
        <f>O1932</f>
        <v/>
      </c>
      <c r="L1932" s="11">
        <f>L1931+IF(K1932&gt;0,K1932*Summary!$B$9,K1932/Summary!$B$9)</f>
        <v/>
      </c>
      <c r="M1932" s="11">
        <f>G1932+H1932</f>
        <v/>
      </c>
      <c r="N1932" s="11">
        <f>Summary!$C$16*Summary!$B$8</f>
        <v/>
      </c>
      <c r="O1932" s="11">
        <f>M1932-N1932</f>
        <v/>
      </c>
    </row>
    <row r="1933">
      <c r="A1933" s="9" t="n">
        <v>45372.45833333334</v>
      </c>
      <c r="B1933" t="n">
        <v>3</v>
      </c>
      <c r="C1933" t="n">
        <v>21</v>
      </c>
      <c r="D1933" t="n">
        <v>11</v>
      </c>
      <c r="E1933" s="10" t="n">
        <v>0.728791</v>
      </c>
      <c r="F1933" s="10" t="n">
        <v>0.2656809277634227</v>
      </c>
      <c r="G1933" s="11">
        <f>E1933*Summary!$B$6</f>
        <v/>
      </c>
      <c r="H1933" s="11">
        <f>F1933*Summary!$B$7</f>
        <v/>
      </c>
      <c r="I1933" s="11">
        <f>MAX(0,N1933-M1933)</f>
        <v/>
      </c>
      <c r="J1933" s="11">
        <f>MAX(0,M1933-N1933)</f>
        <v/>
      </c>
      <c r="K1933" s="11">
        <f>O1933</f>
        <v/>
      </c>
      <c r="L1933" s="11">
        <f>L1932+IF(K1933&gt;0,K1933*Summary!$B$9,K1933/Summary!$B$9)</f>
        <v/>
      </c>
      <c r="M1933" s="11">
        <f>G1933+H1933</f>
        <v/>
      </c>
      <c r="N1933" s="11">
        <f>Summary!$C$16*Summary!$B$8</f>
        <v/>
      </c>
      <c r="O1933" s="11">
        <f>M1933-N1933</f>
        <v/>
      </c>
    </row>
    <row r="1934">
      <c r="A1934" s="9" t="n">
        <v>45372.5</v>
      </c>
      <c r="B1934" t="n">
        <v>3</v>
      </c>
      <c r="C1934" t="n">
        <v>21</v>
      </c>
      <c r="D1934" t="n">
        <v>12</v>
      </c>
      <c r="E1934" s="10" t="n">
        <v>0.542644</v>
      </c>
      <c r="F1934" s="10" t="n">
        <v>0.2658390398013695</v>
      </c>
      <c r="G1934" s="11">
        <f>E1934*Summary!$B$6</f>
        <v/>
      </c>
      <c r="H1934" s="11">
        <f>F1934*Summary!$B$7</f>
        <v/>
      </c>
      <c r="I1934" s="11">
        <f>MAX(0,N1934-M1934)</f>
        <v/>
      </c>
      <c r="J1934" s="11">
        <f>MAX(0,M1934-N1934)</f>
        <v/>
      </c>
      <c r="K1934" s="11">
        <f>O1934</f>
        <v/>
      </c>
      <c r="L1934" s="11">
        <f>L1933+IF(K1934&gt;0,K1934*Summary!$B$9,K1934/Summary!$B$9)</f>
        <v/>
      </c>
      <c r="M1934" s="11">
        <f>G1934+H1934</f>
        <v/>
      </c>
      <c r="N1934" s="11">
        <f>Summary!$C$16*Summary!$B$8</f>
        <v/>
      </c>
      <c r="O1934" s="11">
        <f>M1934-N1934</f>
        <v/>
      </c>
    </row>
    <row r="1935">
      <c r="A1935" s="9" t="n">
        <v>45372.54166666666</v>
      </c>
      <c r="B1935" t="n">
        <v>3</v>
      </c>
      <c r="C1935" t="n">
        <v>21</v>
      </c>
      <c r="D1935" t="n">
        <v>13</v>
      </c>
      <c r="E1935" s="10" t="n">
        <v>0.692898</v>
      </c>
      <c r="F1935" s="10" t="n">
        <v>0.2683161283958708</v>
      </c>
      <c r="G1935" s="11">
        <f>E1935*Summary!$B$6</f>
        <v/>
      </c>
      <c r="H1935" s="11">
        <f>F1935*Summary!$B$7</f>
        <v/>
      </c>
      <c r="I1935" s="11">
        <f>MAX(0,N1935-M1935)</f>
        <v/>
      </c>
      <c r="J1935" s="11">
        <f>MAX(0,M1935-N1935)</f>
        <v/>
      </c>
      <c r="K1935" s="11">
        <f>O1935</f>
        <v/>
      </c>
      <c r="L1935" s="11">
        <f>L1934+IF(K1935&gt;0,K1935*Summary!$B$9,K1935/Summary!$B$9)</f>
        <v/>
      </c>
      <c r="M1935" s="11">
        <f>G1935+H1935</f>
        <v/>
      </c>
      <c r="N1935" s="11">
        <f>Summary!$C$16*Summary!$B$8</f>
        <v/>
      </c>
      <c r="O1935" s="11">
        <f>M1935-N1935</f>
        <v/>
      </c>
    </row>
    <row r="1936">
      <c r="A1936" s="9" t="n">
        <v>45372.58333333334</v>
      </c>
      <c r="B1936" t="n">
        <v>3</v>
      </c>
      <c r="C1936" t="n">
        <v>21</v>
      </c>
      <c r="D1936" t="n">
        <v>14</v>
      </c>
      <c r="E1936" s="10" t="n">
        <v>0.588943</v>
      </c>
      <c r="F1936" s="10" t="n">
        <v>0.2653910556938534</v>
      </c>
      <c r="G1936" s="11">
        <f>E1936*Summary!$B$6</f>
        <v/>
      </c>
      <c r="H1936" s="11">
        <f>F1936*Summary!$B$7</f>
        <v/>
      </c>
      <c r="I1936" s="11">
        <f>MAX(0,N1936-M1936)</f>
        <v/>
      </c>
      <c r="J1936" s="11">
        <f>MAX(0,M1936-N1936)</f>
        <v/>
      </c>
      <c r="K1936" s="11">
        <f>O1936</f>
        <v/>
      </c>
      <c r="L1936" s="11">
        <f>L1935+IF(K1936&gt;0,K1936*Summary!$B$9,K1936/Summary!$B$9)</f>
        <v/>
      </c>
      <c r="M1936" s="11">
        <f>G1936+H1936</f>
        <v/>
      </c>
      <c r="N1936" s="11">
        <f>Summary!$C$16*Summary!$B$8</f>
        <v/>
      </c>
      <c r="O1936" s="11">
        <f>M1936-N1936</f>
        <v/>
      </c>
    </row>
    <row r="1937">
      <c r="A1937" s="9" t="n">
        <v>45372.625</v>
      </c>
      <c r="B1937" t="n">
        <v>3</v>
      </c>
      <c r="C1937" t="n">
        <v>21</v>
      </c>
      <c r="D1937" t="n">
        <v>15</v>
      </c>
      <c r="E1937" s="10" t="n">
        <v>0.362122</v>
      </c>
      <c r="F1937" s="10" t="n">
        <v>0.258091549941972</v>
      </c>
      <c r="G1937" s="11">
        <f>E1937*Summary!$B$6</f>
        <v/>
      </c>
      <c r="H1937" s="11">
        <f>F1937*Summary!$B$7</f>
        <v/>
      </c>
      <c r="I1937" s="11">
        <f>MAX(0,N1937-M1937)</f>
        <v/>
      </c>
      <c r="J1937" s="11">
        <f>MAX(0,M1937-N1937)</f>
        <v/>
      </c>
      <c r="K1937" s="11">
        <f>O1937</f>
        <v/>
      </c>
      <c r="L1937" s="11">
        <f>L1936+IF(K1937&gt;0,K1937*Summary!$B$9,K1937/Summary!$B$9)</f>
        <v/>
      </c>
      <c r="M1937" s="11">
        <f>G1937+H1937</f>
        <v/>
      </c>
      <c r="N1937" s="11">
        <f>Summary!$C$16*Summary!$B$8</f>
        <v/>
      </c>
      <c r="O1937" s="11">
        <f>M1937-N1937</f>
        <v/>
      </c>
    </row>
    <row r="1938">
      <c r="A1938" s="9" t="n">
        <v>45372.66666666666</v>
      </c>
      <c r="B1938" t="n">
        <v>3</v>
      </c>
      <c r="C1938" t="n">
        <v>21</v>
      </c>
      <c r="D1938" t="n">
        <v>16</v>
      </c>
      <c r="E1938" s="10" t="n">
        <v>0.189535</v>
      </c>
      <c r="F1938" s="10" t="n">
        <v>0.2505021721205213</v>
      </c>
      <c r="G1938" s="11">
        <f>E1938*Summary!$B$6</f>
        <v/>
      </c>
      <c r="H1938" s="11">
        <f>F1938*Summary!$B$7</f>
        <v/>
      </c>
      <c r="I1938" s="11">
        <f>MAX(0,N1938-M1938)</f>
        <v/>
      </c>
      <c r="J1938" s="11">
        <f>MAX(0,M1938-N1938)</f>
        <v/>
      </c>
      <c r="K1938" s="11">
        <f>O1938</f>
        <v/>
      </c>
      <c r="L1938" s="11">
        <f>L1937+IF(K1938&gt;0,K1938*Summary!$B$9,K1938/Summary!$B$9)</f>
        <v/>
      </c>
      <c r="M1938" s="11">
        <f>G1938+H1938</f>
        <v/>
      </c>
      <c r="N1938" s="11">
        <f>Summary!$C$16*Summary!$B$8</f>
        <v/>
      </c>
      <c r="O1938" s="11">
        <f>M1938-N1938</f>
        <v/>
      </c>
    </row>
    <row r="1939">
      <c r="A1939" s="9" t="n">
        <v>45372.70833333334</v>
      </c>
      <c r="B1939" t="n">
        <v>3</v>
      </c>
      <c r="C1939" t="n">
        <v>21</v>
      </c>
      <c r="D1939" t="n">
        <v>17</v>
      </c>
      <c r="E1939" s="10" t="n">
        <v>0.053286</v>
      </c>
      <c r="F1939" s="10" t="n">
        <v>0.2558779814107155</v>
      </c>
      <c r="G1939" s="11">
        <f>E1939*Summary!$B$6</f>
        <v/>
      </c>
      <c r="H1939" s="11">
        <f>F1939*Summary!$B$7</f>
        <v/>
      </c>
      <c r="I1939" s="11">
        <f>MAX(0,N1939-M1939)</f>
        <v/>
      </c>
      <c r="J1939" s="11">
        <f>MAX(0,M1939-N1939)</f>
        <v/>
      </c>
      <c r="K1939" s="11">
        <f>O1939</f>
        <v/>
      </c>
      <c r="L1939" s="11">
        <f>L1938+IF(K1939&gt;0,K1939*Summary!$B$9,K1939/Summary!$B$9)</f>
        <v/>
      </c>
      <c r="M1939" s="11">
        <f>G1939+H1939</f>
        <v/>
      </c>
      <c r="N1939" s="11">
        <f>Summary!$C$16*Summary!$B$8</f>
        <v/>
      </c>
      <c r="O1939" s="11">
        <f>M1939-N1939</f>
        <v/>
      </c>
    </row>
    <row r="1940">
      <c r="A1940" s="9" t="n">
        <v>45372.75</v>
      </c>
      <c r="B1940" t="n">
        <v>3</v>
      </c>
      <c r="C1940" t="n">
        <v>21</v>
      </c>
      <c r="D1940" t="n">
        <v>18</v>
      </c>
      <c r="E1940" s="10" t="n">
        <v>0</v>
      </c>
      <c r="F1940" s="10" t="n">
        <v>0.278725170894041</v>
      </c>
      <c r="G1940" s="11">
        <f>E1940*Summary!$B$6</f>
        <v/>
      </c>
      <c r="H1940" s="11">
        <f>F1940*Summary!$B$7</f>
        <v/>
      </c>
      <c r="I1940" s="11">
        <f>MAX(0,N1940-M1940)</f>
        <v/>
      </c>
      <c r="J1940" s="11">
        <f>MAX(0,M1940-N1940)</f>
        <v/>
      </c>
      <c r="K1940" s="11">
        <f>O1940</f>
        <v/>
      </c>
      <c r="L1940" s="11">
        <f>L1939+IF(K1940&gt;0,K1940*Summary!$B$9,K1940/Summary!$B$9)</f>
        <v/>
      </c>
      <c r="M1940" s="11">
        <f>G1940+H1940</f>
        <v/>
      </c>
      <c r="N1940" s="11">
        <f>Summary!$C$16*Summary!$B$8</f>
        <v/>
      </c>
      <c r="O1940" s="11">
        <f>M1940-N1940</f>
        <v/>
      </c>
    </row>
    <row r="1941">
      <c r="A1941" s="9" t="n">
        <v>45372.79166666666</v>
      </c>
      <c r="B1941" t="n">
        <v>3</v>
      </c>
      <c r="C1941" t="n">
        <v>21</v>
      </c>
      <c r="D1941" t="n">
        <v>19</v>
      </c>
      <c r="E1941" s="10" t="n">
        <v>0</v>
      </c>
      <c r="F1941" s="10" t="n">
        <v>0.3299007671761842</v>
      </c>
      <c r="G1941" s="11">
        <f>E1941*Summary!$B$6</f>
        <v/>
      </c>
      <c r="H1941" s="11">
        <f>F1941*Summary!$B$7</f>
        <v/>
      </c>
      <c r="I1941" s="11">
        <f>MAX(0,N1941-M1941)</f>
        <v/>
      </c>
      <c r="J1941" s="11">
        <f>MAX(0,M1941-N1941)</f>
        <v/>
      </c>
      <c r="K1941" s="11">
        <f>O1941</f>
        <v/>
      </c>
      <c r="L1941" s="11">
        <f>L1940+IF(K1941&gt;0,K1941*Summary!$B$9,K1941/Summary!$B$9)</f>
        <v/>
      </c>
      <c r="M1941" s="11">
        <f>G1941+H1941</f>
        <v/>
      </c>
      <c r="N1941" s="11">
        <f>Summary!$C$16*Summary!$B$8</f>
        <v/>
      </c>
      <c r="O1941" s="11">
        <f>M1941-N1941</f>
        <v/>
      </c>
    </row>
    <row r="1942">
      <c r="A1942" s="9" t="n">
        <v>45372.83333333334</v>
      </c>
      <c r="B1942" t="n">
        <v>3</v>
      </c>
      <c r="C1942" t="n">
        <v>21</v>
      </c>
      <c r="D1942" t="n">
        <v>20</v>
      </c>
      <c r="E1942" s="10" t="n">
        <v>0</v>
      </c>
      <c r="F1942" s="10" t="n">
        <v>0.324419549860692</v>
      </c>
      <c r="G1942" s="11">
        <f>E1942*Summary!$B$6</f>
        <v/>
      </c>
      <c r="H1942" s="11">
        <f>F1942*Summary!$B$7</f>
        <v/>
      </c>
      <c r="I1942" s="11">
        <f>MAX(0,N1942-M1942)</f>
        <v/>
      </c>
      <c r="J1942" s="11">
        <f>MAX(0,M1942-N1942)</f>
        <v/>
      </c>
      <c r="K1942" s="11">
        <f>O1942</f>
        <v/>
      </c>
      <c r="L1942" s="11">
        <f>L1941+IF(K1942&gt;0,K1942*Summary!$B$9,K1942/Summary!$B$9)</f>
        <v/>
      </c>
      <c r="M1942" s="11">
        <f>G1942+H1942</f>
        <v/>
      </c>
      <c r="N1942" s="11">
        <f>Summary!$C$16*Summary!$B$8</f>
        <v/>
      </c>
      <c r="O1942" s="11">
        <f>M1942-N1942</f>
        <v/>
      </c>
    </row>
    <row r="1943">
      <c r="A1943" s="9" t="n">
        <v>45372.875</v>
      </c>
      <c r="B1943" t="n">
        <v>3</v>
      </c>
      <c r="C1943" t="n">
        <v>21</v>
      </c>
      <c r="D1943" t="n">
        <v>21</v>
      </c>
      <c r="E1943" s="10" t="n">
        <v>0</v>
      </c>
      <c r="F1943" s="10" t="n">
        <v>0.330058879214131</v>
      </c>
      <c r="G1943" s="11">
        <f>E1943*Summary!$B$6</f>
        <v/>
      </c>
      <c r="H1943" s="11">
        <f>F1943*Summary!$B$7</f>
        <v/>
      </c>
      <c r="I1943" s="11">
        <f>MAX(0,N1943-M1943)</f>
        <v/>
      </c>
      <c r="J1943" s="11">
        <f>MAX(0,M1943-N1943)</f>
        <v/>
      </c>
      <c r="K1943" s="11">
        <f>O1943</f>
        <v/>
      </c>
      <c r="L1943" s="11">
        <f>L1942+IF(K1943&gt;0,K1943*Summary!$B$9,K1943/Summary!$B$9)</f>
        <v/>
      </c>
      <c r="M1943" s="11">
        <f>G1943+H1943</f>
        <v/>
      </c>
      <c r="N1943" s="11">
        <f>Summary!$C$16*Summary!$B$8</f>
        <v/>
      </c>
      <c r="O1943" s="11">
        <f>M1943-N1943</f>
        <v/>
      </c>
    </row>
    <row r="1944">
      <c r="A1944" s="9" t="n">
        <v>45372.91666666666</v>
      </c>
      <c r="B1944" t="n">
        <v>3</v>
      </c>
      <c r="C1944" t="n">
        <v>21</v>
      </c>
      <c r="D1944" t="n">
        <v>22</v>
      </c>
      <c r="E1944" s="10" t="n">
        <v>0</v>
      </c>
      <c r="F1944" s="10" t="n">
        <v>0.3254209261010222</v>
      </c>
      <c r="G1944" s="11">
        <f>E1944*Summary!$B$6</f>
        <v/>
      </c>
      <c r="H1944" s="11">
        <f>F1944*Summary!$B$7</f>
        <v/>
      </c>
      <c r="I1944" s="11">
        <f>MAX(0,N1944-M1944)</f>
        <v/>
      </c>
      <c r="J1944" s="11">
        <f>MAX(0,M1944-N1944)</f>
        <v/>
      </c>
      <c r="K1944" s="11">
        <f>O1944</f>
        <v/>
      </c>
      <c r="L1944" s="11">
        <f>L1943+IF(K1944&gt;0,K1944*Summary!$B$9,K1944/Summary!$B$9)</f>
        <v/>
      </c>
      <c r="M1944" s="11">
        <f>G1944+H1944</f>
        <v/>
      </c>
      <c r="N1944" s="11">
        <f>Summary!$C$16*Summary!$B$8</f>
        <v/>
      </c>
      <c r="O1944" s="11">
        <f>M1944-N1944</f>
        <v/>
      </c>
    </row>
    <row r="1945">
      <c r="A1945" s="9" t="n">
        <v>45372.95833333334</v>
      </c>
      <c r="B1945" t="n">
        <v>3</v>
      </c>
      <c r="C1945" t="n">
        <v>21</v>
      </c>
      <c r="D1945" t="n">
        <v>23</v>
      </c>
      <c r="E1945" s="10" t="n">
        <v>0</v>
      </c>
      <c r="F1945" s="10" t="n">
        <v>0.3175943802226512</v>
      </c>
      <c r="G1945" s="11">
        <f>E1945*Summary!$B$6</f>
        <v/>
      </c>
      <c r="H1945" s="11">
        <f>F1945*Summary!$B$7</f>
        <v/>
      </c>
      <c r="I1945" s="11">
        <f>MAX(0,N1945-M1945)</f>
        <v/>
      </c>
      <c r="J1945" s="11">
        <f>MAX(0,M1945-N1945)</f>
        <v/>
      </c>
      <c r="K1945" s="11">
        <f>O1945</f>
        <v/>
      </c>
      <c r="L1945" s="11">
        <f>L1944+IF(K1945&gt;0,K1945*Summary!$B$9,K1945/Summary!$B$9)</f>
        <v/>
      </c>
      <c r="M1945" s="11">
        <f>G1945+H1945</f>
        <v/>
      </c>
      <c r="N1945" s="11">
        <f>Summary!$C$16*Summary!$B$8</f>
        <v/>
      </c>
      <c r="O1945" s="11">
        <f>M1945-N1945</f>
        <v/>
      </c>
    </row>
    <row r="1946">
      <c r="A1946" s="9" t="n">
        <v>45373</v>
      </c>
      <c r="B1946" t="n">
        <v>3</v>
      </c>
      <c r="C1946" t="n">
        <v>22</v>
      </c>
      <c r="D1946" t="n">
        <v>0</v>
      </c>
      <c r="E1946" s="10" t="n">
        <v>0</v>
      </c>
      <c r="F1946" s="10" t="n">
        <v>0.4470354352885045</v>
      </c>
      <c r="G1946" s="11">
        <f>E1946*Summary!$B$6</f>
        <v/>
      </c>
      <c r="H1946" s="11">
        <f>F1946*Summary!$B$7</f>
        <v/>
      </c>
      <c r="I1946" s="11">
        <f>MAX(0,N1946-M1946)</f>
        <v/>
      </c>
      <c r="J1946" s="11">
        <f>MAX(0,M1946-N1946)</f>
        <v/>
      </c>
      <c r="K1946" s="11">
        <f>O1946</f>
        <v/>
      </c>
      <c r="L1946" s="11">
        <f>L1945+IF(K1946&gt;0,K1946*Summary!$B$9,K1946/Summary!$B$9)</f>
        <v/>
      </c>
      <c r="M1946" s="11">
        <f>G1946+H1946</f>
        <v/>
      </c>
      <c r="N1946" s="11">
        <f>Summary!$C$16*Summary!$B$8</f>
        <v/>
      </c>
      <c r="O1946" s="11">
        <f>M1946-N1946</f>
        <v/>
      </c>
    </row>
    <row r="1947">
      <c r="A1947" s="9" t="n">
        <v>45373.04166666666</v>
      </c>
      <c r="B1947" t="n">
        <v>3</v>
      </c>
      <c r="C1947" t="n">
        <v>22</v>
      </c>
      <c r="D1947" t="n">
        <v>1</v>
      </c>
      <c r="E1947" s="10" t="n">
        <v>0</v>
      </c>
      <c r="F1947" s="10" t="n">
        <v>0.3040230969655432</v>
      </c>
      <c r="G1947" s="11">
        <f>E1947*Summary!$B$6</f>
        <v/>
      </c>
      <c r="H1947" s="11">
        <f>F1947*Summary!$B$7</f>
        <v/>
      </c>
      <c r="I1947" s="11">
        <f>MAX(0,N1947-M1947)</f>
        <v/>
      </c>
      <c r="J1947" s="11">
        <f>MAX(0,M1947-N1947)</f>
        <v/>
      </c>
      <c r="K1947" s="11">
        <f>O1947</f>
        <v/>
      </c>
      <c r="L1947" s="11">
        <f>L1946+IF(K1947&gt;0,K1947*Summary!$B$9,K1947/Summary!$B$9)</f>
        <v/>
      </c>
      <c r="M1947" s="11">
        <f>G1947+H1947</f>
        <v/>
      </c>
      <c r="N1947" s="11">
        <f>Summary!$C$16*Summary!$B$8</f>
        <v/>
      </c>
      <c r="O1947" s="11">
        <f>M1947-N1947</f>
        <v/>
      </c>
    </row>
    <row r="1948">
      <c r="A1948" s="9" t="n">
        <v>45373.08333333334</v>
      </c>
      <c r="B1948" t="n">
        <v>3</v>
      </c>
      <c r="C1948" t="n">
        <v>22</v>
      </c>
      <c r="D1948" t="n">
        <v>2</v>
      </c>
      <c r="E1948" s="10" t="n">
        <v>0</v>
      </c>
      <c r="F1948" s="10" t="n">
        <v>0.3041285049908412</v>
      </c>
      <c r="G1948" s="11">
        <f>E1948*Summary!$B$6</f>
        <v/>
      </c>
      <c r="H1948" s="11">
        <f>F1948*Summary!$B$7</f>
        <v/>
      </c>
      <c r="I1948" s="11">
        <f>MAX(0,N1948-M1948)</f>
        <v/>
      </c>
      <c r="J1948" s="11">
        <f>MAX(0,M1948-N1948)</f>
        <v/>
      </c>
      <c r="K1948" s="11">
        <f>O1948</f>
        <v/>
      </c>
      <c r="L1948" s="11">
        <f>L1947+IF(K1948&gt;0,K1948*Summary!$B$9,K1948/Summary!$B$9)</f>
        <v/>
      </c>
      <c r="M1948" s="11">
        <f>G1948+H1948</f>
        <v/>
      </c>
      <c r="N1948" s="11">
        <f>Summary!$C$16*Summary!$B$8</f>
        <v/>
      </c>
      <c r="O1948" s="11">
        <f>M1948-N1948</f>
        <v/>
      </c>
    </row>
    <row r="1949">
      <c r="A1949" s="9" t="n">
        <v>45373.125</v>
      </c>
      <c r="B1949" t="n">
        <v>3</v>
      </c>
      <c r="C1949" t="n">
        <v>22</v>
      </c>
      <c r="D1949" t="n">
        <v>3</v>
      </c>
      <c r="E1949" s="10" t="n">
        <v>0</v>
      </c>
      <c r="F1949" s="10" t="n">
        <v>0.3082394179774603</v>
      </c>
      <c r="G1949" s="11">
        <f>E1949*Summary!$B$6</f>
        <v/>
      </c>
      <c r="H1949" s="11">
        <f>F1949*Summary!$B$7</f>
        <v/>
      </c>
      <c r="I1949" s="11">
        <f>MAX(0,N1949-M1949)</f>
        <v/>
      </c>
      <c r="J1949" s="11">
        <f>MAX(0,M1949-N1949)</f>
        <v/>
      </c>
      <c r="K1949" s="11">
        <f>O1949</f>
        <v/>
      </c>
      <c r="L1949" s="11">
        <f>L1948+IF(K1949&gt;0,K1949*Summary!$B$9,K1949/Summary!$B$9)</f>
        <v/>
      </c>
      <c r="M1949" s="11">
        <f>G1949+H1949</f>
        <v/>
      </c>
      <c r="N1949" s="11">
        <f>Summary!$C$16*Summary!$B$8</f>
        <v/>
      </c>
      <c r="O1949" s="11">
        <f>M1949-N1949</f>
        <v/>
      </c>
    </row>
    <row r="1950">
      <c r="A1950" s="9" t="n">
        <v>45373.16666666666</v>
      </c>
      <c r="B1950" t="n">
        <v>3</v>
      </c>
      <c r="C1950" t="n">
        <v>22</v>
      </c>
      <c r="D1950" t="n">
        <v>4</v>
      </c>
      <c r="E1950" s="10" t="n">
        <v>0</v>
      </c>
      <c r="F1950" s="10" t="n">
        <v>0.3139841553561973</v>
      </c>
      <c r="G1950" s="11">
        <f>E1950*Summary!$B$6</f>
        <v/>
      </c>
      <c r="H1950" s="11">
        <f>F1950*Summary!$B$7</f>
        <v/>
      </c>
      <c r="I1950" s="11">
        <f>MAX(0,N1950-M1950)</f>
        <v/>
      </c>
      <c r="J1950" s="11">
        <f>MAX(0,M1950-N1950)</f>
        <v/>
      </c>
      <c r="K1950" s="11">
        <f>O1950</f>
        <v/>
      </c>
      <c r="L1950" s="11">
        <f>L1949+IF(K1950&gt;0,K1950*Summary!$B$9,K1950/Summary!$B$9)</f>
        <v/>
      </c>
      <c r="M1950" s="11">
        <f>G1950+H1950</f>
        <v/>
      </c>
      <c r="N1950" s="11">
        <f>Summary!$C$16*Summary!$B$8</f>
        <v/>
      </c>
      <c r="O1950" s="11">
        <f>M1950-N1950</f>
        <v/>
      </c>
    </row>
    <row r="1951">
      <c r="A1951" s="9" t="n">
        <v>45373.20833333334</v>
      </c>
      <c r="B1951" t="n">
        <v>3</v>
      </c>
      <c r="C1951" t="n">
        <v>22</v>
      </c>
      <c r="D1951" t="n">
        <v>5</v>
      </c>
      <c r="E1951" s="10" t="n">
        <v>0</v>
      </c>
      <c r="F1951" s="10" t="n">
        <v>0.3190173885641732</v>
      </c>
      <c r="G1951" s="11">
        <f>E1951*Summary!$B$6</f>
        <v/>
      </c>
      <c r="H1951" s="11">
        <f>F1951*Summary!$B$7</f>
        <v/>
      </c>
      <c r="I1951" s="11">
        <f>MAX(0,N1951-M1951)</f>
        <v/>
      </c>
      <c r="J1951" s="11">
        <f>MAX(0,M1951-N1951)</f>
        <v/>
      </c>
      <c r="K1951" s="11">
        <f>O1951</f>
        <v/>
      </c>
      <c r="L1951" s="11">
        <f>L1950+IF(K1951&gt;0,K1951*Summary!$B$9,K1951/Summary!$B$9)</f>
        <v/>
      </c>
      <c r="M1951" s="11">
        <f>G1951+H1951</f>
        <v/>
      </c>
      <c r="N1951" s="11">
        <f>Summary!$C$16*Summary!$B$8</f>
        <v/>
      </c>
      <c r="O1951" s="11">
        <f>M1951-N1951</f>
        <v/>
      </c>
    </row>
    <row r="1952">
      <c r="A1952" s="9" t="n">
        <v>45373.25</v>
      </c>
      <c r="B1952" t="n">
        <v>3</v>
      </c>
      <c r="C1952" t="n">
        <v>22</v>
      </c>
      <c r="D1952" t="n">
        <v>6</v>
      </c>
      <c r="E1952" s="10" t="n">
        <v>0.003862</v>
      </c>
      <c r="F1952" s="10" t="n">
        <v>0.3216262371902969</v>
      </c>
      <c r="G1952" s="11">
        <f>E1952*Summary!$B$6</f>
        <v/>
      </c>
      <c r="H1952" s="11">
        <f>F1952*Summary!$B$7</f>
        <v/>
      </c>
      <c r="I1952" s="11">
        <f>MAX(0,N1952-M1952)</f>
        <v/>
      </c>
      <c r="J1952" s="11">
        <f>MAX(0,M1952-N1952)</f>
        <v/>
      </c>
      <c r="K1952" s="11">
        <f>O1952</f>
        <v/>
      </c>
      <c r="L1952" s="11">
        <f>L1951+IF(K1952&gt;0,K1952*Summary!$B$9,K1952/Summary!$B$9)</f>
        <v/>
      </c>
      <c r="M1952" s="11">
        <f>G1952+H1952</f>
        <v/>
      </c>
      <c r="N1952" s="11">
        <f>Summary!$C$16*Summary!$B$8</f>
        <v/>
      </c>
      <c r="O1952" s="11">
        <f>M1952-N1952</f>
        <v/>
      </c>
    </row>
    <row r="1953">
      <c r="A1953" s="9" t="n">
        <v>45373.29166666666</v>
      </c>
      <c r="B1953" t="n">
        <v>3</v>
      </c>
      <c r="C1953" t="n">
        <v>22</v>
      </c>
      <c r="D1953" t="n">
        <v>7</v>
      </c>
      <c r="E1953" s="10" t="n">
        <v>0.057984</v>
      </c>
      <c r="F1953" s="10" t="n">
        <v>0.3198343007602322</v>
      </c>
      <c r="G1953" s="11">
        <f>E1953*Summary!$B$6</f>
        <v/>
      </c>
      <c r="H1953" s="11">
        <f>F1953*Summary!$B$7</f>
        <v/>
      </c>
      <c r="I1953" s="11">
        <f>MAX(0,N1953-M1953)</f>
        <v/>
      </c>
      <c r="J1953" s="11">
        <f>MAX(0,M1953-N1953)</f>
        <v/>
      </c>
      <c r="K1953" s="11">
        <f>O1953</f>
        <v/>
      </c>
      <c r="L1953" s="11">
        <f>L1952+IF(K1953&gt;0,K1953*Summary!$B$9,K1953/Summary!$B$9)</f>
        <v/>
      </c>
      <c r="M1953" s="11">
        <f>G1953+H1953</f>
        <v/>
      </c>
      <c r="N1953" s="11">
        <f>Summary!$C$16*Summary!$B$8</f>
        <v/>
      </c>
      <c r="O1953" s="11">
        <f>M1953-N1953</f>
        <v/>
      </c>
    </row>
    <row r="1954">
      <c r="A1954" s="9" t="n">
        <v>45373.33333333334</v>
      </c>
      <c r="B1954" t="n">
        <v>3</v>
      </c>
      <c r="C1954" t="n">
        <v>22</v>
      </c>
      <c r="D1954" t="n">
        <v>8</v>
      </c>
      <c r="E1954" s="10" t="n">
        <v>0.08160100000000001</v>
      </c>
      <c r="F1954" s="10" t="n">
        <v>0.3070799296991831</v>
      </c>
      <c r="G1954" s="11">
        <f>E1954*Summary!$B$6</f>
        <v/>
      </c>
      <c r="H1954" s="11">
        <f>F1954*Summary!$B$7</f>
        <v/>
      </c>
      <c r="I1954" s="11">
        <f>MAX(0,N1954-M1954)</f>
        <v/>
      </c>
      <c r="J1954" s="11">
        <f>MAX(0,M1954-N1954)</f>
        <v/>
      </c>
      <c r="K1954" s="11">
        <f>O1954</f>
        <v/>
      </c>
      <c r="L1954" s="11">
        <f>L1953+IF(K1954&gt;0,K1954*Summary!$B$9,K1954/Summary!$B$9)</f>
        <v/>
      </c>
      <c r="M1954" s="11">
        <f>G1954+H1954</f>
        <v/>
      </c>
      <c r="N1954" s="11">
        <f>Summary!$C$16*Summary!$B$8</f>
        <v/>
      </c>
      <c r="O1954" s="11">
        <f>M1954-N1954</f>
        <v/>
      </c>
    </row>
    <row r="1955">
      <c r="A1955" s="9" t="n">
        <v>45373.375</v>
      </c>
      <c r="B1955" t="n">
        <v>3</v>
      </c>
      <c r="C1955" t="n">
        <v>22</v>
      </c>
      <c r="D1955" t="n">
        <v>9</v>
      </c>
      <c r="E1955" s="10" t="n">
        <v>0.144501</v>
      </c>
      <c r="F1955" s="10" t="n">
        <v>0.2846280203107249</v>
      </c>
      <c r="G1955" s="11">
        <f>E1955*Summary!$B$6</f>
        <v/>
      </c>
      <c r="H1955" s="11">
        <f>F1955*Summary!$B$7</f>
        <v/>
      </c>
      <c r="I1955" s="11">
        <f>MAX(0,N1955-M1955)</f>
        <v/>
      </c>
      <c r="J1955" s="11">
        <f>MAX(0,M1955-N1955)</f>
        <v/>
      </c>
      <c r="K1955" s="11">
        <f>O1955</f>
        <v/>
      </c>
      <c r="L1955" s="11">
        <f>L1954+IF(K1955&gt;0,K1955*Summary!$B$9,K1955/Summary!$B$9)</f>
        <v/>
      </c>
      <c r="M1955" s="11">
        <f>G1955+H1955</f>
        <v/>
      </c>
      <c r="N1955" s="11">
        <f>Summary!$C$16*Summary!$B$8</f>
        <v/>
      </c>
      <c r="O1955" s="11">
        <f>M1955-N1955</f>
        <v/>
      </c>
    </row>
    <row r="1956">
      <c r="A1956" s="9" t="n">
        <v>45373.41666666666</v>
      </c>
      <c r="B1956" t="n">
        <v>3</v>
      </c>
      <c r="C1956" t="n">
        <v>22</v>
      </c>
      <c r="D1956" t="n">
        <v>10</v>
      </c>
      <c r="E1956" s="10" t="n">
        <v>0.198863</v>
      </c>
      <c r="F1956" s="10" t="n">
        <v>0.3011243762698503</v>
      </c>
      <c r="G1956" s="11">
        <f>E1956*Summary!$B$6</f>
        <v/>
      </c>
      <c r="H1956" s="11">
        <f>F1956*Summary!$B$7</f>
        <v/>
      </c>
      <c r="I1956" s="11">
        <f>MAX(0,N1956-M1956)</f>
        <v/>
      </c>
      <c r="J1956" s="11">
        <f>MAX(0,M1956-N1956)</f>
        <v/>
      </c>
      <c r="K1956" s="11">
        <f>O1956</f>
        <v/>
      </c>
      <c r="L1956" s="11">
        <f>L1955+IF(K1956&gt;0,K1956*Summary!$B$9,K1956/Summary!$B$9)</f>
        <v/>
      </c>
      <c r="M1956" s="11">
        <f>G1956+H1956</f>
        <v/>
      </c>
      <c r="N1956" s="11">
        <f>Summary!$C$16*Summary!$B$8</f>
        <v/>
      </c>
      <c r="O1956" s="11">
        <f>M1956-N1956</f>
        <v/>
      </c>
    </row>
    <row r="1957">
      <c r="A1957" s="9" t="n">
        <v>45373.45833333334</v>
      </c>
      <c r="B1957" t="n">
        <v>3</v>
      </c>
      <c r="C1957" t="n">
        <v>22</v>
      </c>
      <c r="D1957" t="n">
        <v>11</v>
      </c>
      <c r="E1957" s="10" t="n">
        <v>0.213468</v>
      </c>
      <c r="F1957" s="10" t="n">
        <v>0.3119023468565633</v>
      </c>
      <c r="G1957" s="11">
        <f>E1957*Summary!$B$6</f>
        <v/>
      </c>
      <c r="H1957" s="11">
        <f>F1957*Summary!$B$7</f>
        <v/>
      </c>
      <c r="I1957" s="11">
        <f>MAX(0,N1957-M1957)</f>
        <v/>
      </c>
      <c r="J1957" s="11">
        <f>MAX(0,M1957-N1957)</f>
        <v/>
      </c>
      <c r="K1957" s="11">
        <f>O1957</f>
        <v/>
      </c>
      <c r="L1957" s="11">
        <f>L1956+IF(K1957&gt;0,K1957*Summary!$B$9,K1957/Summary!$B$9)</f>
        <v/>
      </c>
      <c r="M1957" s="11">
        <f>G1957+H1957</f>
        <v/>
      </c>
      <c r="N1957" s="11">
        <f>Summary!$C$16*Summary!$B$8</f>
        <v/>
      </c>
      <c r="O1957" s="11">
        <f>M1957-N1957</f>
        <v/>
      </c>
    </row>
    <row r="1958">
      <c r="A1958" s="9" t="n">
        <v>45373.5</v>
      </c>
      <c r="B1958" t="n">
        <v>3</v>
      </c>
      <c r="C1958" t="n">
        <v>22</v>
      </c>
      <c r="D1958" t="n">
        <v>12</v>
      </c>
      <c r="E1958" s="10" t="n">
        <v>0.233166</v>
      </c>
      <c r="F1958" s="10" t="n">
        <v>0.331429183543004</v>
      </c>
      <c r="G1958" s="11">
        <f>E1958*Summary!$B$6</f>
        <v/>
      </c>
      <c r="H1958" s="11">
        <f>F1958*Summary!$B$7</f>
        <v/>
      </c>
      <c r="I1958" s="11">
        <f>MAX(0,N1958-M1958)</f>
        <v/>
      </c>
      <c r="J1958" s="11">
        <f>MAX(0,M1958-N1958)</f>
        <v/>
      </c>
      <c r="K1958" s="11">
        <f>O1958</f>
        <v/>
      </c>
      <c r="L1958" s="11">
        <f>L1957+IF(K1958&gt;0,K1958*Summary!$B$9,K1958/Summary!$B$9)</f>
        <v/>
      </c>
      <c r="M1958" s="11">
        <f>G1958+H1958</f>
        <v/>
      </c>
      <c r="N1958" s="11">
        <f>Summary!$C$16*Summary!$B$8</f>
        <v/>
      </c>
      <c r="O1958" s="11">
        <f>M1958-N1958</f>
        <v/>
      </c>
    </row>
    <row r="1959">
      <c r="A1959" s="9" t="n">
        <v>45373.54166666666</v>
      </c>
      <c r="B1959" t="n">
        <v>3</v>
      </c>
      <c r="C1959" t="n">
        <v>22</v>
      </c>
      <c r="D1959" t="n">
        <v>13</v>
      </c>
      <c r="E1959" s="10" t="n">
        <v>0.135046</v>
      </c>
      <c r="F1959" s="10" t="n">
        <v>0.348557987653917</v>
      </c>
      <c r="G1959" s="11">
        <f>E1959*Summary!$B$6</f>
        <v/>
      </c>
      <c r="H1959" s="11">
        <f>F1959*Summary!$B$7</f>
        <v/>
      </c>
      <c r="I1959" s="11">
        <f>MAX(0,N1959-M1959)</f>
        <v/>
      </c>
      <c r="J1959" s="11">
        <f>MAX(0,M1959-N1959)</f>
        <v/>
      </c>
      <c r="K1959" s="11">
        <f>O1959</f>
        <v/>
      </c>
      <c r="L1959" s="11">
        <f>L1958+IF(K1959&gt;0,K1959*Summary!$B$9,K1959/Summary!$B$9)</f>
        <v/>
      </c>
      <c r="M1959" s="11">
        <f>G1959+H1959</f>
        <v/>
      </c>
      <c r="N1959" s="11">
        <f>Summary!$C$16*Summary!$B$8</f>
        <v/>
      </c>
      <c r="O1959" s="11">
        <f>M1959-N1959</f>
        <v/>
      </c>
    </row>
    <row r="1960">
      <c r="A1960" s="9" t="n">
        <v>45373.58333333334</v>
      </c>
      <c r="B1960" t="n">
        <v>3</v>
      </c>
      <c r="C1960" t="n">
        <v>22</v>
      </c>
      <c r="D1960" t="n">
        <v>14</v>
      </c>
      <c r="E1960" s="10" t="n">
        <v>0.09231399999999999</v>
      </c>
      <c r="F1960" s="10" t="n">
        <v>0.3660293678470483</v>
      </c>
      <c r="G1960" s="11">
        <f>E1960*Summary!$B$6</f>
        <v/>
      </c>
      <c r="H1960" s="11">
        <f>F1960*Summary!$B$7</f>
        <v/>
      </c>
      <c r="I1960" s="11">
        <f>MAX(0,N1960-M1960)</f>
        <v/>
      </c>
      <c r="J1960" s="11">
        <f>MAX(0,M1960-N1960)</f>
        <v/>
      </c>
      <c r="K1960" s="11">
        <f>O1960</f>
        <v/>
      </c>
      <c r="L1960" s="11">
        <f>L1959+IF(K1960&gt;0,K1960*Summary!$B$9,K1960/Summary!$B$9)</f>
        <v/>
      </c>
      <c r="M1960" s="11">
        <f>G1960+H1960</f>
        <v/>
      </c>
      <c r="N1960" s="11">
        <f>Summary!$C$16*Summary!$B$8</f>
        <v/>
      </c>
      <c r="O1960" s="11">
        <f>M1960-N1960</f>
        <v/>
      </c>
    </row>
    <row r="1961">
      <c r="A1961" s="9" t="n">
        <v>45373.625</v>
      </c>
      <c r="B1961" t="n">
        <v>3</v>
      </c>
      <c r="C1961" t="n">
        <v>22</v>
      </c>
      <c r="D1961" t="n">
        <v>15</v>
      </c>
      <c r="E1961" s="10" t="n">
        <v>0.09549299999999999</v>
      </c>
      <c r="F1961" s="10" t="n">
        <v>0.381497995559519</v>
      </c>
      <c r="G1961" s="11">
        <f>E1961*Summary!$B$6</f>
        <v/>
      </c>
      <c r="H1961" s="11">
        <f>F1961*Summary!$B$7</f>
        <v/>
      </c>
      <c r="I1961" s="11">
        <f>MAX(0,N1961-M1961)</f>
        <v/>
      </c>
      <c r="J1961" s="11">
        <f>MAX(0,M1961-N1961)</f>
        <v/>
      </c>
      <c r="K1961" s="11">
        <f>O1961</f>
        <v/>
      </c>
      <c r="L1961" s="11">
        <f>L1960+IF(K1961&gt;0,K1961*Summary!$B$9,K1961/Summary!$B$9)</f>
        <v/>
      </c>
      <c r="M1961" s="11">
        <f>G1961+H1961</f>
        <v/>
      </c>
      <c r="N1961" s="11">
        <f>Summary!$C$16*Summary!$B$8</f>
        <v/>
      </c>
      <c r="O1961" s="11">
        <f>M1961-N1961</f>
        <v/>
      </c>
    </row>
    <row r="1962">
      <c r="A1962" s="9" t="n">
        <v>45373.66666666666</v>
      </c>
      <c r="B1962" t="n">
        <v>3</v>
      </c>
      <c r="C1962" t="n">
        <v>22</v>
      </c>
      <c r="D1962" t="n">
        <v>16</v>
      </c>
      <c r="E1962" s="10" t="n">
        <v>0.045764</v>
      </c>
      <c r="F1962" s="10" t="n">
        <v>0.4120663228959175</v>
      </c>
      <c r="G1962" s="11">
        <f>E1962*Summary!$B$6</f>
        <v/>
      </c>
      <c r="H1962" s="11">
        <f>F1962*Summary!$B$7</f>
        <v/>
      </c>
      <c r="I1962" s="11">
        <f>MAX(0,N1962-M1962)</f>
        <v/>
      </c>
      <c r="J1962" s="11">
        <f>MAX(0,M1962-N1962)</f>
        <v/>
      </c>
      <c r="K1962" s="11">
        <f>O1962</f>
        <v/>
      </c>
      <c r="L1962" s="11">
        <f>L1961+IF(K1962&gt;0,K1962*Summary!$B$9,K1962/Summary!$B$9)</f>
        <v/>
      </c>
      <c r="M1962" s="11">
        <f>G1962+H1962</f>
        <v/>
      </c>
      <c r="N1962" s="11">
        <f>Summary!$C$16*Summary!$B$8</f>
        <v/>
      </c>
      <c r="O1962" s="11">
        <f>M1962-N1962</f>
        <v/>
      </c>
    </row>
    <row r="1963">
      <c r="A1963" s="9" t="n">
        <v>45373.70833333334</v>
      </c>
      <c r="B1963" t="n">
        <v>3</v>
      </c>
      <c r="C1963" t="n">
        <v>22</v>
      </c>
      <c r="D1963" t="n">
        <v>17</v>
      </c>
      <c r="E1963" s="10" t="n">
        <v>0.01952</v>
      </c>
      <c r="F1963" s="10" t="n">
        <v>0.4139109633386312</v>
      </c>
      <c r="G1963" s="11">
        <f>E1963*Summary!$B$6</f>
        <v/>
      </c>
      <c r="H1963" s="11">
        <f>F1963*Summary!$B$7</f>
        <v/>
      </c>
      <c r="I1963" s="11">
        <f>MAX(0,N1963-M1963)</f>
        <v/>
      </c>
      <c r="J1963" s="11">
        <f>MAX(0,M1963-N1963)</f>
        <v/>
      </c>
      <c r="K1963" s="11">
        <f>O1963</f>
        <v/>
      </c>
      <c r="L1963" s="11">
        <f>L1962+IF(K1963&gt;0,K1963*Summary!$B$9,K1963/Summary!$B$9)</f>
        <v/>
      </c>
      <c r="M1963" s="11">
        <f>G1963+H1963</f>
        <v/>
      </c>
      <c r="N1963" s="11">
        <f>Summary!$C$16*Summary!$B$8</f>
        <v/>
      </c>
      <c r="O1963" s="11">
        <f>M1963-N1963</f>
        <v/>
      </c>
    </row>
    <row r="1964">
      <c r="A1964" s="9" t="n">
        <v>45373.75</v>
      </c>
      <c r="B1964" t="n">
        <v>3</v>
      </c>
      <c r="C1964" t="n">
        <v>22</v>
      </c>
      <c r="D1964" t="n">
        <v>18</v>
      </c>
      <c r="E1964" s="10" t="n">
        <v>0</v>
      </c>
      <c r="F1964" s="10" t="n">
        <v>0.4424238341817202</v>
      </c>
      <c r="G1964" s="11">
        <f>E1964*Summary!$B$6</f>
        <v/>
      </c>
      <c r="H1964" s="11">
        <f>F1964*Summary!$B$7</f>
        <v/>
      </c>
      <c r="I1964" s="11">
        <f>MAX(0,N1964-M1964)</f>
        <v/>
      </c>
      <c r="J1964" s="11">
        <f>MAX(0,M1964-N1964)</f>
        <v/>
      </c>
      <c r="K1964" s="11">
        <f>O1964</f>
        <v/>
      </c>
      <c r="L1964" s="11">
        <f>L1963+IF(K1964&gt;0,K1964*Summary!$B$9,K1964/Summary!$B$9)</f>
        <v/>
      </c>
      <c r="M1964" s="11">
        <f>G1964+H1964</f>
        <v/>
      </c>
      <c r="N1964" s="11">
        <f>Summary!$C$16*Summary!$B$8</f>
        <v/>
      </c>
      <c r="O1964" s="11">
        <f>M1964-N1964</f>
        <v/>
      </c>
    </row>
    <row r="1965">
      <c r="A1965" s="9" t="n">
        <v>45373.79166666666</v>
      </c>
      <c r="B1965" t="n">
        <v>3</v>
      </c>
      <c r="C1965" t="n">
        <v>22</v>
      </c>
      <c r="D1965" t="n">
        <v>19</v>
      </c>
      <c r="E1965" s="10" t="n">
        <v>0</v>
      </c>
      <c r="F1965" s="10" t="n">
        <v>0.4645858715006091</v>
      </c>
      <c r="G1965" s="11">
        <f>E1965*Summary!$B$6</f>
        <v/>
      </c>
      <c r="H1965" s="11">
        <f>F1965*Summary!$B$7</f>
        <v/>
      </c>
      <c r="I1965" s="11">
        <f>MAX(0,N1965-M1965)</f>
        <v/>
      </c>
      <c r="J1965" s="11">
        <f>MAX(0,M1965-N1965)</f>
        <v/>
      </c>
      <c r="K1965" s="11">
        <f>O1965</f>
        <v/>
      </c>
      <c r="L1965" s="11">
        <f>L1964+IF(K1965&gt;0,K1965*Summary!$B$9,K1965/Summary!$B$9)</f>
        <v/>
      </c>
      <c r="M1965" s="11">
        <f>G1965+H1965</f>
        <v/>
      </c>
      <c r="N1965" s="11">
        <f>Summary!$C$16*Summary!$B$8</f>
        <v/>
      </c>
      <c r="O1965" s="11">
        <f>M1965-N1965</f>
        <v/>
      </c>
    </row>
    <row r="1966">
      <c r="A1966" s="9" t="n">
        <v>45373.83333333334</v>
      </c>
      <c r="B1966" t="n">
        <v>3</v>
      </c>
      <c r="C1966" t="n">
        <v>22</v>
      </c>
      <c r="D1966" t="n">
        <v>20</v>
      </c>
      <c r="E1966" s="10" t="n">
        <v>0</v>
      </c>
      <c r="F1966" s="10" t="n">
        <v>0.4767868504288441</v>
      </c>
      <c r="G1966" s="11">
        <f>E1966*Summary!$B$6</f>
        <v/>
      </c>
      <c r="H1966" s="11">
        <f>F1966*Summary!$B$7</f>
        <v/>
      </c>
      <c r="I1966" s="11">
        <f>MAX(0,N1966-M1966)</f>
        <v/>
      </c>
      <c r="J1966" s="11">
        <f>MAX(0,M1966-N1966)</f>
        <v/>
      </c>
      <c r="K1966" s="11">
        <f>O1966</f>
        <v/>
      </c>
      <c r="L1966" s="11">
        <f>L1965+IF(K1966&gt;0,K1966*Summary!$B$9,K1966/Summary!$B$9)</f>
        <v/>
      </c>
      <c r="M1966" s="11">
        <f>G1966+H1966</f>
        <v/>
      </c>
      <c r="N1966" s="11">
        <f>Summary!$C$16*Summary!$B$8</f>
        <v/>
      </c>
      <c r="O1966" s="11">
        <f>M1966-N1966</f>
        <v/>
      </c>
    </row>
    <row r="1967">
      <c r="A1967" s="9" t="n">
        <v>45373.875</v>
      </c>
      <c r="B1967" t="n">
        <v>3</v>
      </c>
      <c r="C1967" t="n">
        <v>22</v>
      </c>
      <c r="D1967" t="n">
        <v>21</v>
      </c>
      <c r="E1967" s="10" t="n">
        <v>0</v>
      </c>
      <c r="F1967" s="10" t="n">
        <v>0.4798963871751329</v>
      </c>
      <c r="G1967" s="11">
        <f>E1967*Summary!$B$6</f>
        <v/>
      </c>
      <c r="H1967" s="11">
        <f>F1967*Summary!$B$7</f>
        <v/>
      </c>
      <c r="I1967" s="11">
        <f>MAX(0,N1967-M1967)</f>
        <v/>
      </c>
      <c r="J1967" s="11">
        <f>MAX(0,M1967-N1967)</f>
        <v/>
      </c>
      <c r="K1967" s="11">
        <f>O1967</f>
        <v/>
      </c>
      <c r="L1967" s="11">
        <f>L1966+IF(K1967&gt;0,K1967*Summary!$B$9,K1967/Summary!$B$9)</f>
        <v/>
      </c>
      <c r="M1967" s="11">
        <f>G1967+H1967</f>
        <v/>
      </c>
      <c r="N1967" s="11">
        <f>Summary!$C$16*Summary!$B$8</f>
        <v/>
      </c>
      <c r="O1967" s="11">
        <f>M1967-N1967</f>
        <v/>
      </c>
    </row>
    <row r="1968">
      <c r="A1968" s="9" t="n">
        <v>45373.91666666666</v>
      </c>
      <c r="B1968" t="n">
        <v>3</v>
      </c>
      <c r="C1968" t="n">
        <v>22</v>
      </c>
      <c r="D1968" t="n">
        <v>22</v>
      </c>
      <c r="E1968" s="10" t="n">
        <v>0</v>
      </c>
      <c r="F1968" s="10" t="n">
        <v>0.4909115258187662</v>
      </c>
      <c r="G1968" s="11">
        <f>E1968*Summary!$B$6</f>
        <v/>
      </c>
      <c r="H1968" s="11">
        <f>F1968*Summary!$B$7</f>
        <v/>
      </c>
      <c r="I1968" s="11">
        <f>MAX(0,N1968-M1968)</f>
        <v/>
      </c>
      <c r="J1968" s="11">
        <f>MAX(0,M1968-N1968)</f>
        <v/>
      </c>
      <c r="K1968" s="11">
        <f>O1968</f>
        <v/>
      </c>
      <c r="L1968" s="11">
        <f>L1967+IF(K1968&gt;0,K1968*Summary!$B$9,K1968/Summary!$B$9)</f>
        <v/>
      </c>
      <c r="M1968" s="11">
        <f>G1968+H1968</f>
        <v/>
      </c>
      <c r="N1968" s="11">
        <f>Summary!$C$16*Summary!$B$8</f>
        <v/>
      </c>
      <c r="O1968" s="11">
        <f>M1968-N1968</f>
        <v/>
      </c>
    </row>
    <row r="1969">
      <c r="A1969" s="9" t="n">
        <v>45373.95833333334</v>
      </c>
      <c r="B1969" t="n">
        <v>3</v>
      </c>
      <c r="C1969" t="n">
        <v>22</v>
      </c>
      <c r="D1969" t="n">
        <v>23</v>
      </c>
      <c r="E1969" s="10" t="n">
        <v>0</v>
      </c>
      <c r="F1969" s="10" t="n">
        <v>0.4630047511211402</v>
      </c>
      <c r="G1969" s="11">
        <f>E1969*Summary!$B$6</f>
        <v/>
      </c>
      <c r="H1969" s="11">
        <f>F1969*Summary!$B$7</f>
        <v/>
      </c>
      <c r="I1969" s="11">
        <f>MAX(0,N1969-M1969)</f>
        <v/>
      </c>
      <c r="J1969" s="11">
        <f>MAX(0,M1969-N1969)</f>
        <v/>
      </c>
      <c r="K1969" s="11">
        <f>O1969</f>
        <v/>
      </c>
      <c r="L1969" s="11">
        <f>L1968+IF(K1969&gt;0,K1969*Summary!$B$9,K1969/Summary!$B$9)</f>
        <v/>
      </c>
      <c r="M1969" s="11">
        <f>G1969+H1969</f>
        <v/>
      </c>
      <c r="N1969" s="11">
        <f>Summary!$C$16*Summary!$B$8</f>
        <v/>
      </c>
      <c r="O1969" s="11">
        <f>M1969-N1969</f>
        <v/>
      </c>
    </row>
    <row r="1970">
      <c r="A1970" s="9" t="n">
        <v>45374</v>
      </c>
      <c r="B1970" t="n">
        <v>3</v>
      </c>
      <c r="C1970" t="n">
        <v>23</v>
      </c>
      <c r="D1970" t="n">
        <v>0</v>
      </c>
      <c r="E1970" s="10" t="n">
        <v>0</v>
      </c>
      <c r="F1970" s="10" t="n">
        <v>0.4231605175585242</v>
      </c>
      <c r="G1970" s="11">
        <f>E1970*Summary!$B$6</f>
        <v/>
      </c>
      <c r="H1970" s="11">
        <f>F1970*Summary!$B$7</f>
        <v/>
      </c>
      <c r="I1970" s="11">
        <f>MAX(0,N1970-M1970)</f>
        <v/>
      </c>
      <c r="J1970" s="11">
        <f>MAX(0,M1970-N1970)</f>
        <v/>
      </c>
      <c r="K1970" s="11">
        <f>O1970</f>
        <v/>
      </c>
      <c r="L1970" s="11">
        <f>L1969+IF(K1970&gt;0,K1970*Summary!$B$9,K1970/Summary!$B$9)</f>
        <v/>
      </c>
      <c r="M1970" s="11">
        <f>G1970+H1970</f>
        <v/>
      </c>
      <c r="N1970" s="11">
        <f>Summary!$C$16*Summary!$B$8</f>
        <v/>
      </c>
      <c r="O1970" s="11">
        <f>M1970-N1970</f>
        <v/>
      </c>
    </row>
    <row r="1971">
      <c r="A1971" s="9" t="n">
        <v>45374.04166666666</v>
      </c>
      <c r="B1971" t="n">
        <v>3</v>
      </c>
      <c r="C1971" t="n">
        <v>23</v>
      </c>
      <c r="D1971" t="n">
        <v>1</v>
      </c>
      <c r="E1971" s="10" t="n">
        <v>0</v>
      </c>
      <c r="F1971" s="10" t="n">
        <v>0.4399203935808945</v>
      </c>
      <c r="G1971" s="11">
        <f>E1971*Summary!$B$6</f>
        <v/>
      </c>
      <c r="H1971" s="11">
        <f>F1971*Summary!$B$7</f>
        <v/>
      </c>
      <c r="I1971" s="11">
        <f>MAX(0,N1971-M1971)</f>
        <v/>
      </c>
      <c r="J1971" s="11">
        <f>MAX(0,M1971-N1971)</f>
        <v/>
      </c>
      <c r="K1971" s="11">
        <f>O1971</f>
        <v/>
      </c>
      <c r="L1971" s="11">
        <f>L1970+IF(K1971&gt;0,K1971*Summary!$B$9,K1971/Summary!$B$9)</f>
        <v/>
      </c>
      <c r="M1971" s="11">
        <f>G1971+H1971</f>
        <v/>
      </c>
      <c r="N1971" s="11">
        <f>Summary!$C$16*Summary!$B$8</f>
        <v/>
      </c>
      <c r="O1971" s="11">
        <f>M1971-N1971</f>
        <v/>
      </c>
    </row>
    <row r="1972">
      <c r="A1972" s="9" t="n">
        <v>45374.08333333334</v>
      </c>
      <c r="B1972" t="n">
        <v>3</v>
      </c>
      <c r="C1972" t="n">
        <v>23</v>
      </c>
      <c r="D1972" t="n">
        <v>2</v>
      </c>
      <c r="E1972" s="10" t="n">
        <v>0</v>
      </c>
      <c r="F1972" s="10" t="n">
        <v>0.406954033668968</v>
      </c>
      <c r="G1972" s="11">
        <f>E1972*Summary!$B$6</f>
        <v/>
      </c>
      <c r="H1972" s="11">
        <f>F1972*Summary!$B$7</f>
        <v/>
      </c>
      <c r="I1972" s="11">
        <f>MAX(0,N1972-M1972)</f>
        <v/>
      </c>
      <c r="J1972" s="11">
        <f>MAX(0,M1972-N1972)</f>
        <v/>
      </c>
      <c r="K1972" s="11">
        <f>O1972</f>
        <v/>
      </c>
      <c r="L1972" s="11">
        <f>L1971+IF(K1972&gt;0,K1972*Summary!$B$9,K1972/Summary!$B$9)</f>
        <v/>
      </c>
      <c r="M1972" s="11">
        <f>G1972+H1972</f>
        <v/>
      </c>
      <c r="N1972" s="11">
        <f>Summary!$C$16*Summary!$B$8</f>
        <v/>
      </c>
      <c r="O1972" s="11">
        <f>M1972-N1972</f>
        <v/>
      </c>
    </row>
    <row r="1973">
      <c r="A1973" s="9" t="n">
        <v>45374.125</v>
      </c>
      <c r="B1973" t="n">
        <v>3</v>
      </c>
      <c r="C1973" t="n">
        <v>23</v>
      </c>
      <c r="D1973" t="n">
        <v>3</v>
      </c>
      <c r="E1973" s="10" t="n">
        <v>0</v>
      </c>
      <c r="F1973" s="10" t="n">
        <v>0.4258220701972968</v>
      </c>
      <c r="G1973" s="11">
        <f>E1973*Summary!$B$6</f>
        <v/>
      </c>
      <c r="H1973" s="11">
        <f>F1973*Summary!$B$7</f>
        <v/>
      </c>
      <c r="I1973" s="11">
        <f>MAX(0,N1973-M1973)</f>
        <v/>
      </c>
      <c r="J1973" s="11">
        <f>MAX(0,M1973-N1973)</f>
        <v/>
      </c>
      <c r="K1973" s="11">
        <f>O1973</f>
        <v/>
      </c>
      <c r="L1973" s="11">
        <f>L1972+IF(K1973&gt;0,K1973*Summary!$B$9,K1973/Summary!$B$9)</f>
        <v/>
      </c>
      <c r="M1973" s="11">
        <f>G1973+H1973</f>
        <v/>
      </c>
      <c r="N1973" s="11">
        <f>Summary!$C$16*Summary!$B$8</f>
        <v/>
      </c>
      <c r="O1973" s="11">
        <f>M1973-N1973</f>
        <v/>
      </c>
    </row>
    <row r="1974">
      <c r="A1974" s="9" t="n">
        <v>45374.16666666666</v>
      </c>
      <c r="B1974" t="n">
        <v>3</v>
      </c>
      <c r="C1974" t="n">
        <v>23</v>
      </c>
      <c r="D1974" t="n">
        <v>4</v>
      </c>
      <c r="E1974" s="10" t="n">
        <v>0</v>
      </c>
      <c r="F1974" s="10" t="n">
        <v>0.4129095870983009</v>
      </c>
      <c r="G1974" s="11">
        <f>E1974*Summary!$B$6</f>
        <v/>
      </c>
      <c r="H1974" s="11">
        <f>F1974*Summary!$B$7</f>
        <v/>
      </c>
      <c r="I1974" s="11">
        <f>MAX(0,N1974-M1974)</f>
        <v/>
      </c>
      <c r="J1974" s="11">
        <f>MAX(0,M1974-N1974)</f>
        <v/>
      </c>
      <c r="K1974" s="11">
        <f>O1974</f>
        <v/>
      </c>
      <c r="L1974" s="11">
        <f>L1973+IF(K1974&gt;0,K1974*Summary!$B$9,K1974/Summary!$B$9)</f>
        <v/>
      </c>
      <c r="M1974" s="11">
        <f>G1974+H1974</f>
        <v/>
      </c>
      <c r="N1974" s="11">
        <f>Summary!$C$16*Summary!$B$8</f>
        <v/>
      </c>
      <c r="O1974" s="11">
        <f>M1974-N1974</f>
        <v/>
      </c>
    </row>
    <row r="1975">
      <c r="A1975" s="9" t="n">
        <v>45374.20833333334</v>
      </c>
      <c r="B1975" t="n">
        <v>3</v>
      </c>
      <c r="C1975" t="n">
        <v>23</v>
      </c>
      <c r="D1975" t="n">
        <v>5</v>
      </c>
      <c r="E1975" s="10" t="n">
        <v>0</v>
      </c>
      <c r="F1975" s="10" t="n">
        <v>0.4308025993926238</v>
      </c>
      <c r="G1975" s="11">
        <f>E1975*Summary!$B$6</f>
        <v/>
      </c>
      <c r="H1975" s="11">
        <f>F1975*Summary!$B$7</f>
        <v/>
      </c>
      <c r="I1975" s="11">
        <f>MAX(0,N1975-M1975)</f>
        <v/>
      </c>
      <c r="J1975" s="11">
        <f>MAX(0,M1975-N1975)</f>
        <v/>
      </c>
      <c r="K1975" s="11">
        <f>O1975</f>
        <v/>
      </c>
      <c r="L1975" s="11">
        <f>L1974+IF(K1975&gt;0,K1975*Summary!$B$9,K1975/Summary!$B$9)</f>
        <v/>
      </c>
      <c r="M1975" s="11">
        <f>G1975+H1975</f>
        <v/>
      </c>
      <c r="N1975" s="11">
        <f>Summary!$C$16*Summary!$B$8</f>
        <v/>
      </c>
      <c r="O1975" s="11">
        <f>M1975-N1975</f>
        <v/>
      </c>
    </row>
    <row r="1976">
      <c r="A1976" s="9" t="n">
        <v>45374.25</v>
      </c>
      <c r="B1976" t="n">
        <v>3</v>
      </c>
      <c r="C1976" t="n">
        <v>23</v>
      </c>
      <c r="D1976" t="n">
        <v>6</v>
      </c>
      <c r="E1976" s="10" t="n">
        <v>0</v>
      </c>
      <c r="F1976" s="10" t="n">
        <v>0.3929084142980194</v>
      </c>
      <c r="G1976" s="11">
        <f>E1976*Summary!$B$6</f>
        <v/>
      </c>
      <c r="H1976" s="11">
        <f>F1976*Summary!$B$7</f>
        <v/>
      </c>
      <c r="I1976" s="11">
        <f>MAX(0,N1976-M1976)</f>
        <v/>
      </c>
      <c r="J1976" s="11">
        <f>MAX(0,M1976-N1976)</f>
        <v/>
      </c>
      <c r="K1976" s="11">
        <f>O1976</f>
        <v/>
      </c>
      <c r="L1976" s="11">
        <f>L1975+IF(K1976&gt;0,K1976*Summary!$B$9,K1976/Summary!$B$9)</f>
        <v/>
      </c>
      <c r="M1976" s="11">
        <f>G1976+H1976</f>
        <v/>
      </c>
      <c r="N1976" s="11">
        <f>Summary!$C$16*Summary!$B$8</f>
        <v/>
      </c>
      <c r="O1976" s="11">
        <f>M1976-N1976</f>
        <v/>
      </c>
    </row>
    <row r="1977">
      <c r="A1977" s="9" t="n">
        <v>45374.29166666666</v>
      </c>
      <c r="B1977" t="n">
        <v>3</v>
      </c>
      <c r="C1977" t="n">
        <v>23</v>
      </c>
      <c r="D1977" t="n">
        <v>7</v>
      </c>
      <c r="E1977" s="10" t="n">
        <v>0.015552</v>
      </c>
      <c r="F1977" s="10" t="n">
        <v>0.3746201219088293</v>
      </c>
      <c r="G1977" s="11">
        <f>E1977*Summary!$B$6</f>
        <v/>
      </c>
      <c r="H1977" s="11">
        <f>F1977*Summary!$B$7</f>
        <v/>
      </c>
      <c r="I1977" s="11">
        <f>MAX(0,N1977-M1977)</f>
        <v/>
      </c>
      <c r="J1977" s="11">
        <f>MAX(0,M1977-N1977)</f>
        <v/>
      </c>
      <c r="K1977" s="11">
        <f>O1977</f>
        <v/>
      </c>
      <c r="L1977" s="11">
        <f>L1976+IF(K1977&gt;0,K1977*Summary!$B$9,K1977/Summary!$B$9)</f>
        <v/>
      </c>
      <c r="M1977" s="11">
        <f>G1977+H1977</f>
        <v/>
      </c>
      <c r="N1977" s="11">
        <f>Summary!$C$16*Summary!$B$8</f>
        <v/>
      </c>
      <c r="O1977" s="11">
        <f>M1977-N1977</f>
        <v/>
      </c>
    </row>
    <row r="1978">
      <c r="A1978" s="9" t="n">
        <v>45374.33333333334</v>
      </c>
      <c r="B1978" t="n">
        <v>3</v>
      </c>
      <c r="C1978" t="n">
        <v>23</v>
      </c>
      <c r="D1978" t="n">
        <v>8</v>
      </c>
      <c r="E1978" s="10" t="n">
        <v>0.061696</v>
      </c>
      <c r="F1978" s="10" t="n">
        <v>0.3484262276222946</v>
      </c>
      <c r="G1978" s="11">
        <f>E1978*Summary!$B$6</f>
        <v/>
      </c>
      <c r="H1978" s="11">
        <f>F1978*Summary!$B$7</f>
        <v/>
      </c>
      <c r="I1978" s="11">
        <f>MAX(0,N1978-M1978)</f>
        <v/>
      </c>
      <c r="J1978" s="11">
        <f>MAX(0,M1978-N1978)</f>
        <v/>
      </c>
      <c r="K1978" s="11">
        <f>O1978</f>
        <v/>
      </c>
      <c r="L1978" s="11">
        <f>L1977+IF(K1978&gt;0,K1978*Summary!$B$9,K1978/Summary!$B$9)</f>
        <v/>
      </c>
      <c r="M1978" s="11">
        <f>G1978+H1978</f>
        <v/>
      </c>
      <c r="N1978" s="11">
        <f>Summary!$C$16*Summary!$B$8</f>
        <v/>
      </c>
      <c r="O1978" s="11">
        <f>M1978-N1978</f>
        <v/>
      </c>
    </row>
    <row r="1979">
      <c r="A1979" s="9" t="n">
        <v>45374.375</v>
      </c>
      <c r="B1979" t="n">
        <v>3</v>
      </c>
      <c r="C1979" t="n">
        <v>23</v>
      </c>
      <c r="D1979" t="n">
        <v>9</v>
      </c>
      <c r="E1979" s="10" t="n">
        <v>0.08881</v>
      </c>
      <c r="F1979" s="10" t="n">
        <v>0.3311129594671102</v>
      </c>
      <c r="G1979" s="11">
        <f>E1979*Summary!$B$6</f>
        <v/>
      </c>
      <c r="H1979" s="11">
        <f>F1979*Summary!$B$7</f>
        <v/>
      </c>
      <c r="I1979" s="11">
        <f>MAX(0,N1979-M1979)</f>
        <v/>
      </c>
      <c r="J1979" s="11">
        <f>MAX(0,M1979-N1979)</f>
        <v/>
      </c>
      <c r="K1979" s="11">
        <f>O1979</f>
        <v/>
      </c>
      <c r="L1979" s="11">
        <f>L1978+IF(K1979&gt;0,K1979*Summary!$B$9,K1979/Summary!$B$9)</f>
        <v/>
      </c>
      <c r="M1979" s="11">
        <f>G1979+H1979</f>
        <v/>
      </c>
      <c r="N1979" s="11">
        <f>Summary!$C$16*Summary!$B$8</f>
        <v/>
      </c>
      <c r="O1979" s="11">
        <f>M1979-N1979</f>
        <v/>
      </c>
    </row>
    <row r="1980">
      <c r="A1980" s="9" t="n">
        <v>45374.41666666666</v>
      </c>
      <c r="B1980" t="n">
        <v>3</v>
      </c>
      <c r="C1980" t="n">
        <v>23</v>
      </c>
      <c r="D1980" t="n">
        <v>10</v>
      </c>
      <c r="E1980" s="10" t="n">
        <v>0.147262</v>
      </c>
      <c r="F1980" s="10" t="n">
        <v>0.3276344946322787</v>
      </c>
      <c r="G1980" s="11">
        <f>E1980*Summary!$B$6</f>
        <v/>
      </c>
      <c r="H1980" s="11">
        <f>F1980*Summary!$B$7</f>
        <v/>
      </c>
      <c r="I1980" s="11">
        <f>MAX(0,N1980-M1980)</f>
        <v/>
      </c>
      <c r="J1980" s="11">
        <f>MAX(0,M1980-N1980)</f>
        <v/>
      </c>
      <c r="K1980" s="11">
        <f>O1980</f>
        <v/>
      </c>
      <c r="L1980" s="11">
        <f>L1979+IF(K1980&gt;0,K1980*Summary!$B$9,K1980/Summary!$B$9)</f>
        <v/>
      </c>
      <c r="M1980" s="11">
        <f>G1980+H1980</f>
        <v/>
      </c>
      <c r="N1980" s="11">
        <f>Summary!$C$16*Summary!$B$8</f>
        <v/>
      </c>
      <c r="O1980" s="11">
        <f>M1980-N1980</f>
        <v/>
      </c>
    </row>
    <row r="1981">
      <c r="A1981" s="9" t="n">
        <v>45374.45833333334</v>
      </c>
      <c r="B1981" t="n">
        <v>3</v>
      </c>
      <c r="C1981" t="n">
        <v>23</v>
      </c>
      <c r="D1981" t="n">
        <v>11</v>
      </c>
      <c r="E1981" s="10" t="n">
        <v>0.192923</v>
      </c>
      <c r="F1981" s="10" t="n">
        <v>0.3295054870813169</v>
      </c>
      <c r="G1981" s="11">
        <f>E1981*Summary!$B$6</f>
        <v/>
      </c>
      <c r="H1981" s="11">
        <f>F1981*Summary!$B$7</f>
        <v/>
      </c>
      <c r="I1981" s="11">
        <f>MAX(0,N1981-M1981)</f>
        <v/>
      </c>
      <c r="J1981" s="11">
        <f>MAX(0,M1981-N1981)</f>
        <v/>
      </c>
      <c r="K1981" s="11">
        <f>O1981</f>
        <v/>
      </c>
      <c r="L1981" s="11">
        <f>L1980+IF(K1981&gt;0,K1981*Summary!$B$9,K1981/Summary!$B$9)</f>
        <v/>
      </c>
      <c r="M1981" s="11">
        <f>G1981+H1981</f>
        <v/>
      </c>
      <c r="N1981" s="11">
        <f>Summary!$C$16*Summary!$B$8</f>
        <v/>
      </c>
      <c r="O1981" s="11">
        <f>M1981-N1981</f>
        <v/>
      </c>
    </row>
    <row r="1982">
      <c r="A1982" s="9" t="n">
        <v>45374.5</v>
      </c>
      <c r="B1982" t="n">
        <v>3</v>
      </c>
      <c r="C1982" t="n">
        <v>23</v>
      </c>
      <c r="D1982" t="n">
        <v>12</v>
      </c>
      <c r="E1982" s="10" t="n">
        <v>0.230394</v>
      </c>
      <c r="F1982" s="10" t="n">
        <v>0.3361461926750863</v>
      </c>
      <c r="G1982" s="11">
        <f>E1982*Summary!$B$6</f>
        <v/>
      </c>
      <c r="H1982" s="11">
        <f>F1982*Summary!$B$7</f>
        <v/>
      </c>
      <c r="I1982" s="11">
        <f>MAX(0,N1982-M1982)</f>
        <v/>
      </c>
      <c r="J1982" s="11">
        <f>MAX(0,M1982-N1982)</f>
        <v/>
      </c>
      <c r="K1982" s="11">
        <f>O1982</f>
        <v/>
      </c>
      <c r="L1982" s="11">
        <f>L1981+IF(K1982&gt;0,K1982*Summary!$B$9,K1982/Summary!$B$9)</f>
        <v/>
      </c>
      <c r="M1982" s="11">
        <f>G1982+H1982</f>
        <v/>
      </c>
      <c r="N1982" s="11">
        <f>Summary!$C$16*Summary!$B$8</f>
        <v/>
      </c>
      <c r="O1982" s="11">
        <f>M1982-N1982</f>
        <v/>
      </c>
    </row>
    <row r="1983">
      <c r="A1983" s="9" t="n">
        <v>45374.54166666666</v>
      </c>
      <c r="B1983" t="n">
        <v>3</v>
      </c>
      <c r="C1983" t="n">
        <v>23</v>
      </c>
      <c r="D1983" t="n">
        <v>13</v>
      </c>
      <c r="E1983" s="10" t="n">
        <v>0.235579</v>
      </c>
      <c r="F1983" s="10" t="n">
        <v>0.3460808990594158</v>
      </c>
      <c r="G1983" s="11">
        <f>E1983*Summary!$B$6</f>
        <v/>
      </c>
      <c r="H1983" s="11">
        <f>F1983*Summary!$B$7</f>
        <v/>
      </c>
      <c r="I1983" s="11">
        <f>MAX(0,N1983-M1983)</f>
        <v/>
      </c>
      <c r="J1983" s="11">
        <f>MAX(0,M1983-N1983)</f>
        <v/>
      </c>
      <c r="K1983" s="11">
        <f>O1983</f>
        <v/>
      </c>
      <c r="L1983" s="11">
        <f>L1982+IF(K1983&gt;0,K1983*Summary!$B$9,K1983/Summary!$B$9)</f>
        <v/>
      </c>
      <c r="M1983" s="11">
        <f>G1983+H1983</f>
        <v/>
      </c>
      <c r="N1983" s="11">
        <f>Summary!$C$16*Summary!$B$8</f>
        <v/>
      </c>
      <c r="O1983" s="11">
        <f>M1983-N1983</f>
        <v/>
      </c>
    </row>
    <row r="1984">
      <c r="A1984" s="9" t="n">
        <v>45374.58333333334</v>
      </c>
      <c r="B1984" t="n">
        <v>3</v>
      </c>
      <c r="C1984" t="n">
        <v>23</v>
      </c>
      <c r="D1984" t="n">
        <v>14</v>
      </c>
      <c r="E1984" s="10" t="n">
        <v>0.390741</v>
      </c>
      <c r="F1984" s="10" t="n">
        <v>0.3551986932476864</v>
      </c>
      <c r="G1984" s="11">
        <f>E1984*Summary!$B$6</f>
        <v/>
      </c>
      <c r="H1984" s="11">
        <f>F1984*Summary!$B$7</f>
        <v/>
      </c>
      <c r="I1984" s="11">
        <f>MAX(0,N1984-M1984)</f>
        <v/>
      </c>
      <c r="J1984" s="11">
        <f>MAX(0,M1984-N1984)</f>
        <v/>
      </c>
      <c r="K1984" s="11">
        <f>O1984</f>
        <v/>
      </c>
      <c r="L1984" s="11">
        <f>L1983+IF(K1984&gt;0,K1984*Summary!$B$9,K1984/Summary!$B$9)</f>
        <v/>
      </c>
      <c r="M1984" s="11">
        <f>G1984+H1984</f>
        <v/>
      </c>
      <c r="N1984" s="11">
        <f>Summary!$C$16*Summary!$B$8</f>
        <v/>
      </c>
      <c r="O1984" s="11">
        <f>M1984-N1984</f>
        <v/>
      </c>
    </row>
    <row r="1985">
      <c r="A1985" s="9" t="n">
        <v>45374.625</v>
      </c>
      <c r="B1985" t="n">
        <v>3</v>
      </c>
      <c r="C1985" t="n">
        <v>23</v>
      </c>
      <c r="D1985" t="n">
        <v>15</v>
      </c>
      <c r="E1985" s="10" t="n">
        <v>0.446368</v>
      </c>
      <c r="F1985" s="10" t="n">
        <v>0.3464498271479585</v>
      </c>
      <c r="G1985" s="11">
        <f>E1985*Summary!$B$6</f>
        <v/>
      </c>
      <c r="H1985" s="11">
        <f>F1985*Summary!$B$7</f>
        <v/>
      </c>
      <c r="I1985" s="11">
        <f>MAX(0,N1985-M1985)</f>
        <v/>
      </c>
      <c r="J1985" s="11">
        <f>MAX(0,M1985-N1985)</f>
        <v/>
      </c>
      <c r="K1985" s="11">
        <f>O1985</f>
        <v/>
      </c>
      <c r="L1985" s="11">
        <f>L1984+IF(K1985&gt;0,K1985*Summary!$B$9,K1985/Summary!$B$9)</f>
        <v/>
      </c>
      <c r="M1985" s="11">
        <f>G1985+H1985</f>
        <v/>
      </c>
      <c r="N1985" s="11">
        <f>Summary!$C$16*Summary!$B$8</f>
        <v/>
      </c>
      <c r="O1985" s="11">
        <f>M1985-N1985</f>
        <v/>
      </c>
    </row>
    <row r="1986">
      <c r="A1986" s="9" t="n">
        <v>45374.66666666666</v>
      </c>
      <c r="B1986" t="n">
        <v>3</v>
      </c>
      <c r="C1986" t="n">
        <v>23</v>
      </c>
      <c r="D1986" t="n">
        <v>16</v>
      </c>
      <c r="E1986" s="10" t="n">
        <v>0.241612</v>
      </c>
      <c r="F1986" s="10" t="n">
        <v>0.3766492263958143</v>
      </c>
      <c r="G1986" s="11">
        <f>E1986*Summary!$B$6</f>
        <v/>
      </c>
      <c r="H1986" s="11">
        <f>F1986*Summary!$B$7</f>
        <v/>
      </c>
      <c r="I1986" s="11">
        <f>MAX(0,N1986-M1986)</f>
        <v/>
      </c>
      <c r="J1986" s="11">
        <f>MAX(0,M1986-N1986)</f>
        <v/>
      </c>
      <c r="K1986" s="11">
        <f>O1986</f>
        <v/>
      </c>
      <c r="L1986" s="11">
        <f>L1985+IF(K1986&gt;0,K1986*Summary!$B$9,K1986/Summary!$B$9)</f>
        <v/>
      </c>
      <c r="M1986" s="11">
        <f>G1986+H1986</f>
        <v/>
      </c>
      <c r="N1986" s="11">
        <f>Summary!$C$16*Summary!$B$8</f>
        <v/>
      </c>
      <c r="O1986" s="11">
        <f>M1986-N1986</f>
        <v/>
      </c>
    </row>
    <row r="1987">
      <c r="A1987" s="9" t="n">
        <v>45374.70833333334</v>
      </c>
      <c r="B1987" t="n">
        <v>3</v>
      </c>
      <c r="C1987" t="n">
        <v>23</v>
      </c>
      <c r="D1987" t="n">
        <v>17</v>
      </c>
      <c r="E1987" s="10" t="n">
        <v>0.057843</v>
      </c>
      <c r="F1987" s="10" t="n">
        <v>0.3946212947091107</v>
      </c>
      <c r="G1987" s="11">
        <f>E1987*Summary!$B$6</f>
        <v/>
      </c>
      <c r="H1987" s="11">
        <f>F1987*Summary!$B$7</f>
        <v/>
      </c>
      <c r="I1987" s="11">
        <f>MAX(0,N1987-M1987)</f>
        <v/>
      </c>
      <c r="J1987" s="11">
        <f>MAX(0,M1987-N1987)</f>
        <v/>
      </c>
      <c r="K1987" s="11">
        <f>O1987</f>
        <v/>
      </c>
      <c r="L1987" s="11">
        <f>L1986+IF(K1987&gt;0,K1987*Summary!$B$9,K1987/Summary!$B$9)</f>
        <v/>
      </c>
      <c r="M1987" s="11">
        <f>G1987+H1987</f>
        <v/>
      </c>
      <c r="N1987" s="11">
        <f>Summary!$C$16*Summary!$B$8</f>
        <v/>
      </c>
      <c r="O1987" s="11">
        <f>M1987-N1987</f>
        <v/>
      </c>
    </row>
    <row r="1988">
      <c r="A1988" s="9" t="n">
        <v>45374.75</v>
      </c>
      <c r="B1988" t="n">
        <v>3</v>
      </c>
      <c r="C1988" t="n">
        <v>23</v>
      </c>
      <c r="D1988" t="n">
        <v>18</v>
      </c>
      <c r="E1988" s="10" t="n">
        <v>0</v>
      </c>
      <c r="F1988" s="10" t="n">
        <v>0.4231078135458752</v>
      </c>
      <c r="G1988" s="11">
        <f>E1988*Summary!$B$6</f>
        <v/>
      </c>
      <c r="H1988" s="11">
        <f>F1988*Summary!$B$7</f>
        <v/>
      </c>
      <c r="I1988" s="11">
        <f>MAX(0,N1988-M1988)</f>
        <v/>
      </c>
      <c r="J1988" s="11">
        <f>MAX(0,M1988-N1988)</f>
        <v/>
      </c>
      <c r="K1988" s="11">
        <f>O1988</f>
        <v/>
      </c>
      <c r="L1988" s="11">
        <f>L1987+IF(K1988&gt;0,K1988*Summary!$B$9,K1988/Summary!$B$9)</f>
        <v/>
      </c>
      <c r="M1988" s="11">
        <f>G1988+H1988</f>
        <v/>
      </c>
      <c r="N1988" s="11">
        <f>Summary!$C$16*Summary!$B$8</f>
        <v/>
      </c>
      <c r="O1988" s="11">
        <f>M1988-N1988</f>
        <v/>
      </c>
    </row>
    <row r="1989">
      <c r="A1989" s="9" t="n">
        <v>45374.79166666666</v>
      </c>
      <c r="B1989" t="n">
        <v>3</v>
      </c>
      <c r="C1989" t="n">
        <v>23</v>
      </c>
      <c r="D1989" t="n">
        <v>19</v>
      </c>
      <c r="E1989" s="10" t="n">
        <v>0</v>
      </c>
      <c r="F1989" s="10" t="n">
        <v>0.4427664102639385</v>
      </c>
      <c r="G1989" s="11">
        <f>E1989*Summary!$B$6</f>
        <v/>
      </c>
      <c r="H1989" s="11">
        <f>F1989*Summary!$B$7</f>
        <v/>
      </c>
      <c r="I1989" s="11">
        <f>MAX(0,N1989-M1989)</f>
        <v/>
      </c>
      <c r="J1989" s="11">
        <f>MAX(0,M1989-N1989)</f>
        <v/>
      </c>
      <c r="K1989" s="11">
        <f>O1989</f>
        <v/>
      </c>
      <c r="L1989" s="11">
        <f>L1988+IF(K1989&gt;0,K1989*Summary!$B$9,K1989/Summary!$B$9)</f>
        <v/>
      </c>
      <c r="M1989" s="11">
        <f>G1989+H1989</f>
        <v/>
      </c>
      <c r="N1989" s="11">
        <f>Summary!$C$16*Summary!$B$8</f>
        <v/>
      </c>
      <c r="O1989" s="11">
        <f>M1989-N1989</f>
        <v/>
      </c>
    </row>
    <row r="1990">
      <c r="A1990" s="9" t="n">
        <v>45374.83333333334</v>
      </c>
      <c r="B1990" t="n">
        <v>3</v>
      </c>
      <c r="C1990" t="n">
        <v>23</v>
      </c>
      <c r="D1990" t="n">
        <v>20</v>
      </c>
      <c r="E1990" s="10" t="n">
        <v>0</v>
      </c>
      <c r="F1990" s="10" t="n">
        <v>0.4516206843889642</v>
      </c>
      <c r="G1990" s="11">
        <f>E1990*Summary!$B$6</f>
        <v/>
      </c>
      <c r="H1990" s="11">
        <f>F1990*Summary!$B$7</f>
        <v/>
      </c>
      <c r="I1990" s="11">
        <f>MAX(0,N1990-M1990)</f>
        <v/>
      </c>
      <c r="J1990" s="11">
        <f>MAX(0,M1990-N1990)</f>
        <v/>
      </c>
      <c r="K1990" s="11">
        <f>O1990</f>
        <v/>
      </c>
      <c r="L1990" s="11">
        <f>L1989+IF(K1990&gt;0,K1990*Summary!$B$9,K1990/Summary!$B$9)</f>
        <v/>
      </c>
      <c r="M1990" s="11">
        <f>G1990+H1990</f>
        <v/>
      </c>
      <c r="N1990" s="11">
        <f>Summary!$C$16*Summary!$B$8</f>
        <v/>
      </c>
      <c r="O1990" s="11">
        <f>M1990-N1990</f>
        <v/>
      </c>
    </row>
    <row r="1991">
      <c r="A1991" s="9" t="n">
        <v>45374.875</v>
      </c>
      <c r="B1991" t="n">
        <v>3</v>
      </c>
      <c r="C1991" t="n">
        <v>23</v>
      </c>
      <c r="D1991" t="n">
        <v>21</v>
      </c>
      <c r="E1991" s="10" t="n">
        <v>0</v>
      </c>
      <c r="F1991" s="10" t="n">
        <v>0.4516997404079376</v>
      </c>
      <c r="G1991" s="11">
        <f>E1991*Summary!$B$6</f>
        <v/>
      </c>
      <c r="H1991" s="11">
        <f>F1991*Summary!$B$7</f>
        <v/>
      </c>
      <c r="I1991" s="11">
        <f>MAX(0,N1991-M1991)</f>
        <v/>
      </c>
      <c r="J1991" s="11">
        <f>MAX(0,M1991-N1991)</f>
        <v/>
      </c>
      <c r="K1991" s="11">
        <f>O1991</f>
        <v/>
      </c>
      <c r="L1991" s="11">
        <f>L1990+IF(K1991&gt;0,K1991*Summary!$B$9,K1991/Summary!$B$9)</f>
        <v/>
      </c>
      <c r="M1991" s="11">
        <f>G1991+H1991</f>
        <v/>
      </c>
      <c r="N1991" s="11">
        <f>Summary!$C$16*Summary!$B$8</f>
        <v/>
      </c>
      <c r="O1991" s="11">
        <f>M1991-N1991</f>
        <v/>
      </c>
    </row>
    <row r="1992">
      <c r="A1992" s="9" t="n">
        <v>45374.91666666666</v>
      </c>
      <c r="B1992" t="n">
        <v>3</v>
      </c>
      <c r="C1992" t="n">
        <v>23</v>
      </c>
      <c r="D1992" t="n">
        <v>22</v>
      </c>
      <c r="E1992" s="10" t="n">
        <v>0</v>
      </c>
      <c r="F1992" s="10" t="n">
        <v>0.444110362586487</v>
      </c>
      <c r="G1992" s="11">
        <f>E1992*Summary!$B$6</f>
        <v/>
      </c>
      <c r="H1992" s="11">
        <f>F1992*Summary!$B$7</f>
        <v/>
      </c>
      <c r="I1992" s="11">
        <f>MAX(0,N1992-M1992)</f>
        <v/>
      </c>
      <c r="J1992" s="11">
        <f>MAX(0,M1992-N1992)</f>
        <v/>
      </c>
      <c r="K1992" s="11">
        <f>O1992</f>
        <v/>
      </c>
      <c r="L1992" s="11">
        <f>L1991+IF(K1992&gt;0,K1992*Summary!$B$9,K1992/Summary!$B$9)</f>
        <v/>
      </c>
      <c r="M1992" s="11">
        <f>G1992+H1992</f>
        <v/>
      </c>
      <c r="N1992" s="11">
        <f>Summary!$C$16*Summary!$B$8</f>
        <v/>
      </c>
      <c r="O1992" s="11">
        <f>M1992-N1992</f>
        <v/>
      </c>
    </row>
    <row r="1993">
      <c r="A1993" s="9" t="n">
        <v>45374.95833333334</v>
      </c>
      <c r="B1993" t="n">
        <v>3</v>
      </c>
      <c r="C1993" t="n">
        <v>23</v>
      </c>
      <c r="D1993" t="n">
        <v>23</v>
      </c>
      <c r="E1993" s="10" t="n">
        <v>0</v>
      </c>
      <c r="F1993" s="10" t="n">
        <v>0.4337803761072903</v>
      </c>
      <c r="G1993" s="11">
        <f>E1993*Summary!$B$6</f>
        <v/>
      </c>
      <c r="H1993" s="11">
        <f>F1993*Summary!$B$7</f>
        <v/>
      </c>
      <c r="I1993" s="11">
        <f>MAX(0,N1993-M1993)</f>
        <v/>
      </c>
      <c r="J1993" s="11">
        <f>MAX(0,M1993-N1993)</f>
        <v/>
      </c>
      <c r="K1993" s="11">
        <f>O1993</f>
        <v/>
      </c>
      <c r="L1993" s="11">
        <f>L1992+IF(K1993&gt;0,K1993*Summary!$B$9,K1993/Summary!$B$9)</f>
        <v/>
      </c>
      <c r="M1993" s="11">
        <f>G1993+H1993</f>
        <v/>
      </c>
      <c r="N1993" s="11">
        <f>Summary!$C$16*Summary!$B$8</f>
        <v/>
      </c>
      <c r="O1993" s="11">
        <f>M1993-N1993</f>
        <v/>
      </c>
    </row>
    <row r="1994">
      <c r="A1994" s="9" t="n">
        <v>45375</v>
      </c>
      <c r="B1994" t="n">
        <v>3</v>
      </c>
      <c r="C1994" t="n">
        <v>24</v>
      </c>
      <c r="D1994" t="n">
        <v>0</v>
      </c>
      <c r="E1994" s="10" t="n">
        <v>0</v>
      </c>
      <c r="F1994" s="10" t="n">
        <v>0.4294586470700753</v>
      </c>
      <c r="G1994" s="11">
        <f>E1994*Summary!$B$6</f>
        <v/>
      </c>
      <c r="H1994" s="11">
        <f>F1994*Summary!$B$7</f>
        <v/>
      </c>
      <c r="I1994" s="11">
        <f>MAX(0,N1994-M1994)</f>
        <v/>
      </c>
      <c r="J1994" s="11">
        <f>MAX(0,M1994-N1994)</f>
        <v/>
      </c>
      <c r="K1994" s="11">
        <f>O1994</f>
        <v/>
      </c>
      <c r="L1994" s="11">
        <f>L1993+IF(K1994&gt;0,K1994*Summary!$B$9,K1994/Summary!$B$9)</f>
        <v/>
      </c>
      <c r="M1994" s="11">
        <f>G1994+H1994</f>
        <v/>
      </c>
      <c r="N1994" s="11">
        <f>Summary!$C$16*Summary!$B$8</f>
        <v/>
      </c>
      <c r="O1994" s="11">
        <f>M1994-N1994</f>
        <v/>
      </c>
    </row>
    <row r="1995">
      <c r="A1995" s="9" t="n">
        <v>45375.04166666666</v>
      </c>
      <c r="B1995" t="n">
        <v>3</v>
      </c>
      <c r="C1995" t="n">
        <v>24</v>
      </c>
      <c r="D1995" t="n">
        <v>1</v>
      </c>
      <c r="E1995" s="10" t="n">
        <v>0</v>
      </c>
      <c r="F1995" s="10" t="n">
        <v>0.4117764508263482</v>
      </c>
      <c r="G1995" s="11">
        <f>E1995*Summary!$B$6</f>
        <v/>
      </c>
      <c r="H1995" s="11">
        <f>F1995*Summary!$B$7</f>
        <v/>
      </c>
      <c r="I1995" s="11">
        <f>MAX(0,N1995-M1995)</f>
        <v/>
      </c>
      <c r="J1995" s="11">
        <f>MAX(0,M1995-N1995)</f>
        <v/>
      </c>
      <c r="K1995" s="11">
        <f>O1995</f>
        <v/>
      </c>
      <c r="L1995" s="11">
        <f>L1994+IF(K1995&gt;0,K1995*Summary!$B$9,K1995/Summary!$B$9)</f>
        <v/>
      </c>
      <c r="M1995" s="11">
        <f>G1995+H1995</f>
        <v/>
      </c>
      <c r="N1995" s="11">
        <f>Summary!$C$16*Summary!$B$8</f>
        <v/>
      </c>
      <c r="O1995" s="11">
        <f>M1995-N1995</f>
        <v/>
      </c>
    </row>
    <row r="1996">
      <c r="A1996" s="9" t="n">
        <v>45375.08333333334</v>
      </c>
      <c r="B1996" t="n">
        <v>3</v>
      </c>
      <c r="C1996" t="n">
        <v>24</v>
      </c>
      <c r="D1996" t="n">
        <v>2</v>
      </c>
      <c r="E1996" s="10" t="n">
        <v>0</v>
      </c>
      <c r="F1996" s="10" t="n">
        <v>0.3981524635565912</v>
      </c>
      <c r="G1996" s="11">
        <f>E1996*Summary!$B$6</f>
        <v/>
      </c>
      <c r="H1996" s="11">
        <f>F1996*Summary!$B$7</f>
        <v/>
      </c>
      <c r="I1996" s="11">
        <f>MAX(0,N1996-M1996)</f>
        <v/>
      </c>
      <c r="J1996" s="11">
        <f>MAX(0,M1996-N1996)</f>
        <v/>
      </c>
      <c r="K1996" s="11">
        <f>O1996</f>
        <v/>
      </c>
      <c r="L1996" s="11">
        <f>L1995+IF(K1996&gt;0,K1996*Summary!$B$9,K1996/Summary!$B$9)</f>
        <v/>
      </c>
      <c r="M1996" s="11">
        <f>G1996+H1996</f>
        <v/>
      </c>
      <c r="N1996" s="11">
        <f>Summary!$C$16*Summary!$B$8</f>
        <v/>
      </c>
      <c r="O1996" s="11">
        <f>M1996-N1996</f>
        <v/>
      </c>
    </row>
    <row r="1997">
      <c r="A1997" s="9" t="n">
        <v>45375.125</v>
      </c>
      <c r="B1997" t="n">
        <v>3</v>
      </c>
      <c r="C1997" t="n">
        <v>24</v>
      </c>
      <c r="D1997" t="n">
        <v>3</v>
      </c>
      <c r="E1997" s="10" t="n">
        <v>0</v>
      </c>
      <c r="F1997" s="10" t="n">
        <v>0.3855298525271646</v>
      </c>
      <c r="G1997" s="11">
        <f>E1997*Summary!$B$6</f>
        <v/>
      </c>
      <c r="H1997" s="11">
        <f>F1997*Summary!$B$7</f>
        <v/>
      </c>
      <c r="I1997" s="11">
        <f>MAX(0,N1997-M1997)</f>
        <v/>
      </c>
      <c r="J1997" s="11">
        <f>MAX(0,M1997-N1997)</f>
        <v/>
      </c>
      <c r="K1997" s="11">
        <f>O1997</f>
        <v/>
      </c>
      <c r="L1997" s="11">
        <f>L1996+IF(K1997&gt;0,K1997*Summary!$B$9,K1997/Summary!$B$9)</f>
        <v/>
      </c>
      <c r="M1997" s="11">
        <f>G1997+H1997</f>
        <v/>
      </c>
      <c r="N1997" s="11">
        <f>Summary!$C$16*Summary!$B$8</f>
        <v/>
      </c>
      <c r="O1997" s="11">
        <f>M1997-N1997</f>
        <v/>
      </c>
    </row>
    <row r="1998">
      <c r="A1998" s="9" t="n">
        <v>45375.16666666666</v>
      </c>
      <c r="B1998" t="n">
        <v>3</v>
      </c>
      <c r="C1998" t="n">
        <v>24</v>
      </c>
      <c r="D1998" t="n">
        <v>4</v>
      </c>
      <c r="E1998" s="10" t="n">
        <v>0</v>
      </c>
      <c r="F1998" s="10" t="n">
        <v>0.3743566018455844</v>
      </c>
      <c r="G1998" s="11">
        <f>E1998*Summary!$B$6</f>
        <v/>
      </c>
      <c r="H1998" s="11">
        <f>F1998*Summary!$B$7</f>
        <v/>
      </c>
      <c r="I1998" s="11">
        <f>MAX(0,N1998-M1998)</f>
        <v/>
      </c>
      <c r="J1998" s="11">
        <f>MAX(0,M1998-N1998)</f>
        <v/>
      </c>
      <c r="K1998" s="11">
        <f>O1998</f>
        <v/>
      </c>
      <c r="L1998" s="11">
        <f>L1997+IF(K1998&gt;0,K1998*Summary!$B$9,K1998/Summary!$B$9)</f>
        <v/>
      </c>
      <c r="M1998" s="11">
        <f>G1998+H1998</f>
        <v/>
      </c>
      <c r="N1998" s="11">
        <f>Summary!$C$16*Summary!$B$8</f>
        <v/>
      </c>
      <c r="O1998" s="11">
        <f>M1998-N1998</f>
        <v/>
      </c>
    </row>
    <row r="1999">
      <c r="A1999" s="9" t="n">
        <v>45375.20833333334</v>
      </c>
      <c r="B1999" t="n">
        <v>3</v>
      </c>
      <c r="C1999" t="n">
        <v>24</v>
      </c>
      <c r="D1999" t="n">
        <v>5</v>
      </c>
      <c r="E1999" s="10" t="n">
        <v>0</v>
      </c>
      <c r="F1999" s="10" t="n">
        <v>0.3670570960937031</v>
      </c>
      <c r="G1999" s="11">
        <f>E1999*Summary!$B$6</f>
        <v/>
      </c>
      <c r="H1999" s="11">
        <f>F1999*Summary!$B$7</f>
        <v/>
      </c>
      <c r="I1999" s="11">
        <f>MAX(0,N1999-M1999)</f>
        <v/>
      </c>
      <c r="J1999" s="11">
        <f>MAX(0,M1999-N1999)</f>
        <v/>
      </c>
      <c r="K1999" s="11">
        <f>O1999</f>
        <v/>
      </c>
      <c r="L1999" s="11">
        <f>L1998+IF(K1999&gt;0,K1999*Summary!$B$9,K1999/Summary!$B$9)</f>
        <v/>
      </c>
      <c r="M1999" s="11">
        <f>G1999+H1999</f>
        <v/>
      </c>
      <c r="N1999" s="11">
        <f>Summary!$C$16*Summary!$B$8</f>
        <v/>
      </c>
      <c r="O1999" s="11">
        <f>M1999-N1999</f>
        <v/>
      </c>
    </row>
    <row r="2000">
      <c r="A2000" s="9" t="n">
        <v>45375.25</v>
      </c>
      <c r="B2000" t="n">
        <v>3</v>
      </c>
      <c r="C2000" t="n">
        <v>24</v>
      </c>
      <c r="D2000" t="n">
        <v>6</v>
      </c>
      <c r="E2000" s="10" t="n">
        <v>0</v>
      </c>
      <c r="F2000" s="10" t="n">
        <v>0.3534067568176216</v>
      </c>
      <c r="G2000" s="11">
        <f>E2000*Summary!$B$6</f>
        <v/>
      </c>
      <c r="H2000" s="11">
        <f>F2000*Summary!$B$7</f>
        <v/>
      </c>
      <c r="I2000" s="11">
        <f>MAX(0,N2000-M2000)</f>
        <v/>
      </c>
      <c r="J2000" s="11">
        <f>MAX(0,M2000-N2000)</f>
        <v/>
      </c>
      <c r="K2000" s="11">
        <f>O2000</f>
        <v/>
      </c>
      <c r="L2000" s="11">
        <f>L1999+IF(K2000&gt;0,K2000*Summary!$B$9,K2000/Summary!$B$9)</f>
        <v/>
      </c>
      <c r="M2000" s="11">
        <f>G2000+H2000</f>
        <v/>
      </c>
      <c r="N2000" s="11">
        <f>Summary!$C$16*Summary!$B$8</f>
        <v/>
      </c>
      <c r="O2000" s="11">
        <f>M2000-N2000</f>
        <v/>
      </c>
    </row>
    <row r="2001">
      <c r="A2001" s="9" t="n">
        <v>45375.29166666666</v>
      </c>
      <c r="B2001" t="n">
        <v>3</v>
      </c>
      <c r="C2001" t="n">
        <v>24</v>
      </c>
      <c r="D2001" t="n">
        <v>7</v>
      </c>
      <c r="E2001" s="10" t="n">
        <v>0.034346</v>
      </c>
      <c r="F2001" s="10" t="n">
        <v>0.3335109920426381</v>
      </c>
      <c r="G2001" s="11">
        <f>E2001*Summary!$B$6</f>
        <v/>
      </c>
      <c r="H2001" s="11">
        <f>F2001*Summary!$B$7</f>
        <v/>
      </c>
      <c r="I2001" s="11">
        <f>MAX(0,N2001-M2001)</f>
        <v/>
      </c>
      <c r="J2001" s="11">
        <f>MAX(0,M2001-N2001)</f>
        <v/>
      </c>
      <c r="K2001" s="11">
        <f>O2001</f>
        <v/>
      </c>
      <c r="L2001" s="11">
        <f>L2000+IF(K2001&gt;0,K2001*Summary!$B$9,K2001/Summary!$B$9)</f>
        <v/>
      </c>
      <c r="M2001" s="11">
        <f>G2001+H2001</f>
        <v/>
      </c>
      <c r="N2001" s="11">
        <f>Summary!$C$16*Summary!$B$8</f>
        <v/>
      </c>
      <c r="O2001" s="11">
        <f>M2001-N2001</f>
        <v/>
      </c>
    </row>
    <row r="2002">
      <c r="A2002" s="9" t="n">
        <v>45375.33333333334</v>
      </c>
      <c r="B2002" t="n">
        <v>3</v>
      </c>
      <c r="C2002" t="n">
        <v>24</v>
      </c>
      <c r="D2002" t="n">
        <v>8</v>
      </c>
      <c r="E2002" s="10" t="n">
        <v>0.06653100000000001</v>
      </c>
      <c r="F2002" s="10" t="n">
        <v>0.3048400091616022</v>
      </c>
      <c r="G2002" s="11">
        <f>E2002*Summary!$B$6</f>
        <v/>
      </c>
      <c r="H2002" s="11">
        <f>F2002*Summary!$B$7</f>
        <v/>
      </c>
      <c r="I2002" s="11">
        <f>MAX(0,N2002-M2002)</f>
        <v/>
      </c>
      <c r="J2002" s="11">
        <f>MAX(0,M2002-N2002)</f>
        <v/>
      </c>
      <c r="K2002" s="11">
        <f>O2002</f>
        <v/>
      </c>
      <c r="L2002" s="11">
        <f>L2001+IF(K2002&gt;0,K2002*Summary!$B$9,K2002/Summary!$B$9)</f>
        <v/>
      </c>
      <c r="M2002" s="11">
        <f>G2002+H2002</f>
        <v/>
      </c>
      <c r="N2002" s="11">
        <f>Summary!$C$16*Summary!$B$8</f>
        <v/>
      </c>
      <c r="O2002" s="11">
        <f>M2002-N2002</f>
        <v/>
      </c>
    </row>
    <row r="2003">
      <c r="A2003" s="9" t="n">
        <v>45375.375</v>
      </c>
      <c r="B2003" t="n">
        <v>3</v>
      </c>
      <c r="C2003" t="n">
        <v>24</v>
      </c>
      <c r="D2003" t="n">
        <v>9</v>
      </c>
      <c r="E2003" s="10" t="n">
        <v>0.14725</v>
      </c>
      <c r="F2003" s="10" t="n">
        <v>0.2832313639755273</v>
      </c>
      <c r="G2003" s="11">
        <f>E2003*Summary!$B$6</f>
        <v/>
      </c>
      <c r="H2003" s="11">
        <f>F2003*Summary!$B$7</f>
        <v/>
      </c>
      <c r="I2003" s="11">
        <f>MAX(0,N2003-M2003)</f>
        <v/>
      </c>
      <c r="J2003" s="11">
        <f>MAX(0,M2003-N2003)</f>
        <v/>
      </c>
      <c r="K2003" s="11">
        <f>O2003</f>
        <v/>
      </c>
      <c r="L2003" s="11">
        <f>L2002+IF(K2003&gt;0,K2003*Summary!$B$9,K2003/Summary!$B$9)</f>
        <v/>
      </c>
      <c r="M2003" s="11">
        <f>G2003+H2003</f>
        <v/>
      </c>
      <c r="N2003" s="11">
        <f>Summary!$C$16*Summary!$B$8</f>
        <v/>
      </c>
      <c r="O2003" s="11">
        <f>M2003-N2003</f>
        <v/>
      </c>
    </row>
    <row r="2004">
      <c r="A2004" s="9" t="n">
        <v>45375.41666666666</v>
      </c>
      <c r="B2004" t="n">
        <v>3</v>
      </c>
      <c r="C2004" t="n">
        <v>24</v>
      </c>
      <c r="D2004" t="n">
        <v>10</v>
      </c>
      <c r="E2004" s="10" t="n">
        <v>0.22993</v>
      </c>
      <c r="F2004" s="10" t="n">
        <v>0.2747460179390443</v>
      </c>
      <c r="G2004" s="11">
        <f>E2004*Summary!$B$6</f>
        <v/>
      </c>
      <c r="H2004" s="11">
        <f>F2004*Summary!$B$7</f>
        <v/>
      </c>
      <c r="I2004" s="11">
        <f>MAX(0,N2004-M2004)</f>
        <v/>
      </c>
      <c r="J2004" s="11">
        <f>MAX(0,M2004-N2004)</f>
        <v/>
      </c>
      <c r="K2004" s="11">
        <f>O2004</f>
        <v/>
      </c>
      <c r="L2004" s="11">
        <f>L2003+IF(K2004&gt;0,K2004*Summary!$B$9,K2004/Summary!$B$9)</f>
        <v/>
      </c>
      <c r="M2004" s="11">
        <f>G2004+H2004</f>
        <v/>
      </c>
      <c r="N2004" s="11">
        <f>Summary!$C$16*Summary!$B$8</f>
        <v/>
      </c>
      <c r="O2004" s="11">
        <f>M2004-N2004</f>
        <v/>
      </c>
    </row>
    <row r="2005">
      <c r="A2005" s="9" t="n">
        <v>45375.45833333334</v>
      </c>
      <c r="B2005" t="n">
        <v>3</v>
      </c>
      <c r="C2005" t="n">
        <v>24</v>
      </c>
      <c r="D2005" t="n">
        <v>11</v>
      </c>
      <c r="E2005" s="10" t="n">
        <v>0.202807</v>
      </c>
      <c r="F2005" s="10" t="n">
        <v>0.2825198598047663</v>
      </c>
      <c r="G2005" s="11">
        <f>E2005*Summary!$B$6</f>
        <v/>
      </c>
      <c r="H2005" s="11">
        <f>F2005*Summary!$B$7</f>
        <v/>
      </c>
      <c r="I2005" s="11">
        <f>MAX(0,N2005-M2005)</f>
        <v/>
      </c>
      <c r="J2005" s="11">
        <f>MAX(0,M2005-N2005)</f>
        <v/>
      </c>
      <c r="K2005" s="11">
        <f>O2005</f>
        <v/>
      </c>
      <c r="L2005" s="11">
        <f>L2004+IF(K2005&gt;0,K2005*Summary!$B$9,K2005/Summary!$B$9)</f>
        <v/>
      </c>
      <c r="M2005" s="11">
        <f>G2005+H2005</f>
        <v/>
      </c>
      <c r="N2005" s="11">
        <f>Summary!$C$16*Summary!$B$8</f>
        <v/>
      </c>
      <c r="O2005" s="11">
        <f>M2005-N2005</f>
        <v/>
      </c>
    </row>
    <row r="2006">
      <c r="A2006" s="9" t="n">
        <v>45375.5</v>
      </c>
      <c r="B2006" t="n">
        <v>3</v>
      </c>
      <c r="C2006" t="n">
        <v>24</v>
      </c>
      <c r="D2006" t="n">
        <v>12</v>
      </c>
      <c r="E2006" s="10" t="n">
        <v>0.207111</v>
      </c>
      <c r="F2006" s="10" t="n">
        <v>0.2993851438524345</v>
      </c>
      <c r="G2006" s="11">
        <f>E2006*Summary!$B$6</f>
        <v/>
      </c>
      <c r="H2006" s="11">
        <f>F2006*Summary!$B$7</f>
        <v/>
      </c>
      <c r="I2006" s="11">
        <f>MAX(0,N2006-M2006)</f>
        <v/>
      </c>
      <c r="J2006" s="11">
        <f>MAX(0,M2006-N2006)</f>
        <v/>
      </c>
      <c r="K2006" s="11">
        <f>O2006</f>
        <v/>
      </c>
      <c r="L2006" s="11">
        <f>L2005+IF(K2006&gt;0,K2006*Summary!$B$9,K2006/Summary!$B$9)</f>
        <v/>
      </c>
      <c r="M2006" s="11">
        <f>G2006+H2006</f>
        <v/>
      </c>
      <c r="N2006" s="11">
        <f>Summary!$C$16*Summary!$B$8</f>
        <v/>
      </c>
      <c r="O2006" s="11">
        <f>M2006-N2006</f>
        <v/>
      </c>
    </row>
    <row r="2007">
      <c r="A2007" s="9" t="n">
        <v>45375.54166666666</v>
      </c>
      <c r="B2007" t="n">
        <v>3</v>
      </c>
      <c r="C2007" t="n">
        <v>24</v>
      </c>
      <c r="D2007" t="n">
        <v>13</v>
      </c>
      <c r="E2007" s="10" t="n">
        <v>0.6245230000000001</v>
      </c>
      <c r="F2007" s="10" t="n">
        <v>0.3122449229387815</v>
      </c>
      <c r="G2007" s="11">
        <f>E2007*Summary!$B$6</f>
        <v/>
      </c>
      <c r="H2007" s="11">
        <f>F2007*Summary!$B$7</f>
        <v/>
      </c>
      <c r="I2007" s="11">
        <f>MAX(0,N2007-M2007)</f>
        <v/>
      </c>
      <c r="J2007" s="11">
        <f>MAX(0,M2007-N2007)</f>
        <v/>
      </c>
      <c r="K2007" s="11">
        <f>O2007</f>
        <v/>
      </c>
      <c r="L2007" s="11">
        <f>L2006+IF(K2007&gt;0,K2007*Summary!$B$9,K2007/Summary!$B$9)</f>
        <v/>
      </c>
      <c r="M2007" s="11">
        <f>G2007+H2007</f>
        <v/>
      </c>
      <c r="N2007" s="11">
        <f>Summary!$C$16*Summary!$B$8</f>
        <v/>
      </c>
      <c r="O2007" s="11">
        <f>M2007-N2007</f>
        <v/>
      </c>
    </row>
    <row r="2008">
      <c r="A2008" s="9" t="n">
        <v>45375.58333333334</v>
      </c>
      <c r="B2008" t="n">
        <v>3</v>
      </c>
      <c r="C2008" t="n">
        <v>24</v>
      </c>
      <c r="D2008" t="n">
        <v>14</v>
      </c>
      <c r="E2008" s="10" t="n">
        <v>0.480799</v>
      </c>
      <c r="F2008" s="10" t="n">
        <v>0.3274763825943318</v>
      </c>
      <c r="G2008" s="11">
        <f>E2008*Summary!$B$6</f>
        <v/>
      </c>
      <c r="H2008" s="11">
        <f>F2008*Summary!$B$7</f>
        <v/>
      </c>
      <c r="I2008" s="11">
        <f>MAX(0,N2008-M2008)</f>
        <v/>
      </c>
      <c r="J2008" s="11">
        <f>MAX(0,M2008-N2008)</f>
        <v/>
      </c>
      <c r="K2008" s="11">
        <f>O2008</f>
        <v/>
      </c>
      <c r="L2008" s="11">
        <f>L2007+IF(K2008&gt;0,K2008*Summary!$B$9,K2008/Summary!$B$9)</f>
        <v/>
      </c>
      <c r="M2008" s="11">
        <f>G2008+H2008</f>
        <v/>
      </c>
      <c r="N2008" s="11">
        <f>Summary!$C$16*Summary!$B$8</f>
        <v/>
      </c>
      <c r="O2008" s="11">
        <f>M2008-N2008</f>
        <v/>
      </c>
    </row>
    <row r="2009">
      <c r="A2009" s="9" t="n">
        <v>45375.625</v>
      </c>
      <c r="B2009" t="n">
        <v>3</v>
      </c>
      <c r="C2009" t="n">
        <v>24</v>
      </c>
      <c r="D2009" t="n">
        <v>15</v>
      </c>
      <c r="E2009" s="10" t="n">
        <v>0.10556</v>
      </c>
      <c r="F2009" s="10" t="n">
        <v>0.3416801140032273</v>
      </c>
      <c r="G2009" s="11">
        <f>E2009*Summary!$B$6</f>
        <v/>
      </c>
      <c r="H2009" s="11">
        <f>F2009*Summary!$B$7</f>
        <v/>
      </c>
      <c r="I2009" s="11">
        <f>MAX(0,N2009-M2009)</f>
        <v/>
      </c>
      <c r="J2009" s="11">
        <f>MAX(0,M2009-N2009)</f>
        <v/>
      </c>
      <c r="K2009" s="11">
        <f>O2009</f>
        <v/>
      </c>
      <c r="L2009" s="11">
        <f>L2008+IF(K2009&gt;0,K2009*Summary!$B$9,K2009/Summary!$B$9)</f>
        <v/>
      </c>
      <c r="M2009" s="11">
        <f>G2009+H2009</f>
        <v/>
      </c>
      <c r="N2009" s="11">
        <f>Summary!$C$16*Summary!$B$8</f>
        <v/>
      </c>
      <c r="O2009" s="11">
        <f>M2009-N2009</f>
        <v/>
      </c>
    </row>
    <row r="2010">
      <c r="A2010" s="9" t="n">
        <v>45375.66666666666</v>
      </c>
      <c r="B2010" t="n">
        <v>3</v>
      </c>
      <c r="C2010" t="n">
        <v>24</v>
      </c>
      <c r="D2010" t="n">
        <v>16</v>
      </c>
      <c r="E2010" s="10" t="n">
        <v>0.094974</v>
      </c>
      <c r="F2010" s="10" t="n">
        <v>0.3624191429805943</v>
      </c>
      <c r="G2010" s="11">
        <f>E2010*Summary!$B$6</f>
        <v/>
      </c>
      <c r="H2010" s="11">
        <f>F2010*Summary!$B$7</f>
        <v/>
      </c>
      <c r="I2010" s="11">
        <f>MAX(0,N2010-M2010)</f>
        <v/>
      </c>
      <c r="J2010" s="11">
        <f>MAX(0,M2010-N2010)</f>
        <v/>
      </c>
      <c r="K2010" s="11">
        <f>O2010</f>
        <v/>
      </c>
      <c r="L2010" s="11">
        <f>L2009+IF(K2010&gt;0,K2010*Summary!$B$9,K2010/Summary!$B$9)</f>
        <v/>
      </c>
      <c r="M2010" s="11">
        <f>G2010+H2010</f>
        <v/>
      </c>
      <c r="N2010" s="11">
        <f>Summary!$C$16*Summary!$B$8</f>
        <v/>
      </c>
      <c r="O2010" s="11">
        <f>M2010-N2010</f>
        <v/>
      </c>
    </row>
    <row r="2011">
      <c r="A2011" s="9" t="n">
        <v>45375.70833333334</v>
      </c>
      <c r="B2011" t="n">
        <v>3</v>
      </c>
      <c r="C2011" t="n">
        <v>24</v>
      </c>
      <c r="D2011" t="n">
        <v>17</v>
      </c>
      <c r="E2011" s="10" t="n">
        <v>0.027382</v>
      </c>
      <c r="F2011" s="10" t="n">
        <v>0.3860041886410053</v>
      </c>
      <c r="G2011" s="11">
        <f>E2011*Summary!$B$6</f>
        <v/>
      </c>
      <c r="H2011" s="11">
        <f>F2011*Summary!$B$7</f>
        <v/>
      </c>
      <c r="I2011" s="11">
        <f>MAX(0,N2011-M2011)</f>
        <v/>
      </c>
      <c r="J2011" s="11">
        <f>MAX(0,M2011-N2011)</f>
        <v/>
      </c>
      <c r="K2011" s="11">
        <f>O2011</f>
        <v/>
      </c>
      <c r="L2011" s="11">
        <f>L2010+IF(K2011&gt;0,K2011*Summary!$B$9,K2011/Summary!$B$9)</f>
        <v/>
      </c>
      <c r="M2011" s="11">
        <f>G2011+H2011</f>
        <v/>
      </c>
      <c r="N2011" s="11">
        <f>Summary!$C$16*Summary!$B$8</f>
        <v/>
      </c>
      <c r="O2011" s="11">
        <f>M2011-N2011</f>
        <v/>
      </c>
    </row>
    <row r="2012">
      <c r="A2012" s="9" t="n">
        <v>45375.75</v>
      </c>
      <c r="B2012" t="n">
        <v>3</v>
      </c>
      <c r="C2012" t="n">
        <v>24</v>
      </c>
      <c r="D2012" t="n">
        <v>18</v>
      </c>
      <c r="E2012" s="10" t="n">
        <v>0</v>
      </c>
      <c r="F2012" s="10" t="n">
        <v>0.3936199184687804</v>
      </c>
      <c r="G2012" s="11">
        <f>E2012*Summary!$B$6</f>
        <v/>
      </c>
      <c r="H2012" s="11">
        <f>F2012*Summary!$B$7</f>
        <v/>
      </c>
      <c r="I2012" s="11">
        <f>MAX(0,N2012-M2012)</f>
        <v/>
      </c>
      <c r="J2012" s="11">
        <f>MAX(0,M2012-N2012)</f>
        <v/>
      </c>
      <c r="K2012" s="11">
        <f>O2012</f>
        <v/>
      </c>
      <c r="L2012" s="11">
        <f>L2011+IF(K2012&gt;0,K2012*Summary!$B$9,K2012/Summary!$B$9)</f>
        <v/>
      </c>
      <c r="M2012" s="11">
        <f>G2012+H2012</f>
        <v/>
      </c>
      <c r="N2012" s="11">
        <f>Summary!$C$16*Summary!$B$8</f>
        <v/>
      </c>
      <c r="O2012" s="11">
        <f>M2012-N2012</f>
        <v/>
      </c>
    </row>
    <row r="2013">
      <c r="A2013" s="9" t="n">
        <v>45375.79166666666</v>
      </c>
      <c r="B2013" t="n">
        <v>3</v>
      </c>
      <c r="C2013" t="n">
        <v>24</v>
      </c>
      <c r="D2013" t="n">
        <v>19</v>
      </c>
      <c r="E2013" s="10" t="n">
        <v>0</v>
      </c>
      <c r="F2013" s="10" t="n">
        <v>0.4388399613215907</v>
      </c>
      <c r="G2013" s="11">
        <f>E2013*Summary!$B$6</f>
        <v/>
      </c>
      <c r="H2013" s="11">
        <f>F2013*Summary!$B$7</f>
        <v/>
      </c>
      <c r="I2013" s="11">
        <f>MAX(0,N2013-M2013)</f>
        <v/>
      </c>
      <c r="J2013" s="11">
        <f>MAX(0,M2013-N2013)</f>
        <v/>
      </c>
      <c r="K2013" s="11">
        <f>O2013</f>
        <v/>
      </c>
      <c r="L2013" s="11">
        <f>L2012+IF(K2013&gt;0,K2013*Summary!$B$9,K2013/Summary!$B$9)</f>
        <v/>
      </c>
      <c r="M2013" s="11">
        <f>G2013+H2013</f>
        <v/>
      </c>
      <c r="N2013" s="11">
        <f>Summary!$C$16*Summary!$B$8</f>
        <v/>
      </c>
      <c r="O2013" s="11">
        <f>M2013-N2013</f>
        <v/>
      </c>
    </row>
    <row r="2014">
      <c r="A2014" s="9" t="n">
        <v>45375.83333333334</v>
      </c>
      <c r="B2014" t="n">
        <v>3</v>
      </c>
      <c r="C2014" t="n">
        <v>24</v>
      </c>
      <c r="D2014" t="n">
        <v>20</v>
      </c>
      <c r="E2014" s="10" t="n">
        <v>0</v>
      </c>
      <c r="F2014" s="10" t="n">
        <v>0.4503557880853892</v>
      </c>
      <c r="G2014" s="11">
        <f>E2014*Summary!$B$6</f>
        <v/>
      </c>
      <c r="H2014" s="11">
        <f>F2014*Summary!$B$7</f>
        <v/>
      </c>
      <c r="I2014" s="11">
        <f>MAX(0,N2014-M2014)</f>
        <v/>
      </c>
      <c r="J2014" s="11">
        <f>MAX(0,M2014-N2014)</f>
        <v/>
      </c>
      <c r="K2014" s="11">
        <f>O2014</f>
        <v/>
      </c>
      <c r="L2014" s="11">
        <f>L2013+IF(K2014&gt;0,K2014*Summary!$B$9,K2014/Summary!$B$9)</f>
        <v/>
      </c>
      <c r="M2014" s="11">
        <f>G2014+H2014</f>
        <v/>
      </c>
      <c r="N2014" s="11">
        <f>Summary!$C$16*Summary!$B$8</f>
        <v/>
      </c>
      <c r="O2014" s="11">
        <f>M2014-N2014</f>
        <v/>
      </c>
    </row>
    <row r="2015">
      <c r="A2015" s="9" t="n">
        <v>45375.875</v>
      </c>
      <c r="B2015" t="n">
        <v>3</v>
      </c>
      <c r="C2015" t="n">
        <v>24</v>
      </c>
      <c r="D2015" t="n">
        <v>21</v>
      </c>
      <c r="E2015" s="10" t="n">
        <v>0</v>
      </c>
      <c r="F2015" s="10" t="n">
        <v>0.4525166526039966</v>
      </c>
      <c r="G2015" s="11">
        <f>E2015*Summary!$B$6</f>
        <v/>
      </c>
      <c r="H2015" s="11">
        <f>F2015*Summary!$B$7</f>
        <v/>
      </c>
      <c r="I2015" s="11">
        <f>MAX(0,N2015-M2015)</f>
        <v/>
      </c>
      <c r="J2015" s="11">
        <f>MAX(0,M2015-N2015)</f>
        <v/>
      </c>
      <c r="K2015" s="11">
        <f>O2015</f>
        <v/>
      </c>
      <c r="L2015" s="11">
        <f>L2014+IF(K2015&gt;0,K2015*Summary!$B$9,K2015/Summary!$B$9)</f>
        <v/>
      </c>
      <c r="M2015" s="11">
        <f>G2015+H2015</f>
        <v/>
      </c>
      <c r="N2015" s="11">
        <f>Summary!$C$16*Summary!$B$8</f>
        <v/>
      </c>
      <c r="O2015" s="11">
        <f>M2015-N2015</f>
        <v/>
      </c>
    </row>
    <row r="2016">
      <c r="A2016" s="9" t="n">
        <v>45375.91666666666</v>
      </c>
      <c r="B2016" t="n">
        <v>3</v>
      </c>
      <c r="C2016" t="n">
        <v>24</v>
      </c>
      <c r="D2016" t="n">
        <v>22</v>
      </c>
      <c r="E2016" s="10" t="n">
        <v>0</v>
      </c>
      <c r="F2016" s="10" t="n">
        <v>0.4430826343398322</v>
      </c>
      <c r="G2016" s="11">
        <f>E2016*Summary!$B$6</f>
        <v/>
      </c>
      <c r="H2016" s="11">
        <f>F2016*Summary!$B$7</f>
        <v/>
      </c>
      <c r="I2016" s="11">
        <f>MAX(0,N2016-M2016)</f>
        <v/>
      </c>
      <c r="J2016" s="11">
        <f>MAX(0,M2016-N2016)</f>
        <v/>
      </c>
      <c r="K2016" s="11">
        <f>O2016</f>
        <v/>
      </c>
      <c r="L2016" s="11">
        <f>L2015+IF(K2016&gt;0,K2016*Summary!$B$9,K2016/Summary!$B$9)</f>
        <v/>
      </c>
      <c r="M2016" s="11">
        <f>G2016+H2016</f>
        <v/>
      </c>
      <c r="N2016" s="11">
        <f>Summary!$C$16*Summary!$B$8</f>
        <v/>
      </c>
      <c r="O2016" s="11">
        <f>M2016-N2016</f>
        <v/>
      </c>
    </row>
    <row r="2017">
      <c r="A2017" s="9" t="n">
        <v>45375.95833333334</v>
      </c>
      <c r="B2017" t="n">
        <v>3</v>
      </c>
      <c r="C2017" t="n">
        <v>24</v>
      </c>
      <c r="D2017" t="n">
        <v>23</v>
      </c>
      <c r="E2017" s="10" t="n">
        <v>0</v>
      </c>
      <c r="F2017" s="10" t="n">
        <v>0.4311715274811666</v>
      </c>
      <c r="G2017" s="11">
        <f>E2017*Summary!$B$6</f>
        <v/>
      </c>
      <c r="H2017" s="11">
        <f>F2017*Summary!$B$7</f>
        <v/>
      </c>
      <c r="I2017" s="11">
        <f>MAX(0,N2017-M2017)</f>
        <v/>
      </c>
      <c r="J2017" s="11">
        <f>MAX(0,M2017-N2017)</f>
        <v/>
      </c>
      <c r="K2017" s="11">
        <f>O2017</f>
        <v/>
      </c>
      <c r="L2017" s="11">
        <f>L2016+IF(K2017&gt;0,K2017*Summary!$B$9,K2017/Summary!$B$9)</f>
        <v/>
      </c>
      <c r="M2017" s="11">
        <f>G2017+H2017</f>
        <v/>
      </c>
      <c r="N2017" s="11">
        <f>Summary!$C$16*Summary!$B$8</f>
        <v/>
      </c>
      <c r="O2017" s="11">
        <f>M2017-N2017</f>
        <v/>
      </c>
    </row>
    <row r="2018">
      <c r="A2018" s="9" t="n">
        <v>45376</v>
      </c>
      <c r="B2018" t="n">
        <v>3</v>
      </c>
      <c r="C2018" t="n">
        <v>25</v>
      </c>
      <c r="D2018" t="n">
        <v>0</v>
      </c>
      <c r="E2018" s="10" t="n">
        <v>0</v>
      </c>
      <c r="F2018" s="10" t="n">
        <v>0.3434193464206431</v>
      </c>
      <c r="G2018" s="11">
        <f>E2018*Summary!$B$6</f>
        <v/>
      </c>
      <c r="H2018" s="11">
        <f>F2018*Summary!$B$7</f>
        <v/>
      </c>
      <c r="I2018" s="11">
        <f>MAX(0,N2018-M2018)</f>
        <v/>
      </c>
      <c r="J2018" s="11">
        <f>MAX(0,M2018-N2018)</f>
        <v/>
      </c>
      <c r="K2018" s="11">
        <f>O2018</f>
        <v/>
      </c>
      <c r="L2018" s="11">
        <f>L2017+IF(K2018&gt;0,K2018*Summary!$B$9,K2018/Summary!$B$9)</f>
        <v/>
      </c>
      <c r="M2018" s="11">
        <f>G2018+H2018</f>
        <v/>
      </c>
      <c r="N2018" s="11">
        <f>Summary!$C$16*Summary!$B$8</f>
        <v/>
      </c>
      <c r="O2018" s="11">
        <f>M2018-N2018</f>
        <v/>
      </c>
    </row>
    <row r="2019">
      <c r="A2019" s="9" t="n">
        <v>45376.04166666666</v>
      </c>
      <c r="B2019" t="n">
        <v>3</v>
      </c>
      <c r="C2019" t="n">
        <v>25</v>
      </c>
      <c r="D2019" t="n">
        <v>1</v>
      </c>
      <c r="E2019" s="10" t="n">
        <v>0</v>
      </c>
      <c r="F2019" s="10" t="n">
        <v>0.4161772358825366</v>
      </c>
      <c r="G2019" s="11">
        <f>E2019*Summary!$B$6</f>
        <v/>
      </c>
      <c r="H2019" s="11">
        <f>F2019*Summary!$B$7</f>
        <v/>
      </c>
      <c r="I2019" s="11">
        <f>MAX(0,N2019-M2019)</f>
        <v/>
      </c>
      <c r="J2019" s="11">
        <f>MAX(0,M2019-N2019)</f>
        <v/>
      </c>
      <c r="K2019" s="11">
        <f>O2019</f>
        <v/>
      </c>
      <c r="L2019" s="11">
        <f>L2018+IF(K2019&gt;0,K2019*Summary!$B$9,K2019/Summary!$B$9)</f>
        <v/>
      </c>
      <c r="M2019" s="11">
        <f>G2019+H2019</f>
        <v/>
      </c>
      <c r="N2019" s="11">
        <f>Summary!$C$16*Summary!$B$8</f>
        <v/>
      </c>
      <c r="O2019" s="11">
        <f>M2019-N2019</f>
        <v/>
      </c>
    </row>
    <row r="2020">
      <c r="A2020" s="9" t="n">
        <v>45376.08333333334</v>
      </c>
      <c r="B2020" t="n">
        <v>3</v>
      </c>
      <c r="C2020" t="n">
        <v>25</v>
      </c>
      <c r="D2020" t="n">
        <v>2</v>
      </c>
      <c r="E2020" s="10" t="n">
        <v>0</v>
      </c>
      <c r="F2020" s="10" t="n">
        <v>0.4098791063709855</v>
      </c>
      <c r="G2020" s="11">
        <f>E2020*Summary!$B$6</f>
        <v/>
      </c>
      <c r="H2020" s="11">
        <f>F2020*Summary!$B$7</f>
        <v/>
      </c>
      <c r="I2020" s="11">
        <f>MAX(0,N2020-M2020)</f>
        <v/>
      </c>
      <c r="J2020" s="11">
        <f>MAX(0,M2020-N2020)</f>
        <v/>
      </c>
      <c r="K2020" s="11">
        <f>O2020</f>
        <v/>
      </c>
      <c r="L2020" s="11">
        <f>L2019+IF(K2020&gt;0,K2020*Summary!$B$9,K2020/Summary!$B$9)</f>
        <v/>
      </c>
      <c r="M2020" s="11">
        <f>G2020+H2020</f>
        <v/>
      </c>
      <c r="N2020" s="11">
        <f>Summary!$C$16*Summary!$B$8</f>
        <v/>
      </c>
      <c r="O2020" s="11">
        <f>M2020-N2020</f>
        <v/>
      </c>
    </row>
    <row r="2021">
      <c r="A2021" s="9" t="n">
        <v>45376.125</v>
      </c>
      <c r="B2021" t="n">
        <v>3</v>
      </c>
      <c r="C2021" t="n">
        <v>25</v>
      </c>
      <c r="D2021" t="n">
        <v>3</v>
      </c>
      <c r="E2021" s="10" t="n">
        <v>0</v>
      </c>
      <c r="F2021" s="10" t="n">
        <v>0.406295233510856</v>
      </c>
      <c r="G2021" s="11">
        <f>E2021*Summary!$B$6</f>
        <v/>
      </c>
      <c r="H2021" s="11">
        <f>F2021*Summary!$B$7</f>
        <v/>
      </c>
      <c r="I2021" s="11">
        <f>MAX(0,N2021-M2021)</f>
        <v/>
      </c>
      <c r="J2021" s="11">
        <f>MAX(0,M2021-N2021)</f>
        <v/>
      </c>
      <c r="K2021" s="11">
        <f>O2021</f>
        <v/>
      </c>
      <c r="L2021" s="11">
        <f>L2020+IF(K2021&gt;0,K2021*Summary!$B$9,K2021/Summary!$B$9)</f>
        <v/>
      </c>
      <c r="M2021" s="11">
        <f>G2021+H2021</f>
        <v/>
      </c>
      <c r="N2021" s="11">
        <f>Summary!$C$16*Summary!$B$8</f>
        <v/>
      </c>
      <c r="O2021" s="11">
        <f>M2021-N2021</f>
        <v/>
      </c>
    </row>
    <row r="2022">
      <c r="A2022" s="9" t="n">
        <v>45376.16666666666</v>
      </c>
      <c r="B2022" t="n">
        <v>3</v>
      </c>
      <c r="C2022" t="n">
        <v>25</v>
      </c>
      <c r="D2022" t="n">
        <v>4</v>
      </c>
      <c r="E2022" s="10" t="n">
        <v>0</v>
      </c>
      <c r="F2022" s="10" t="n">
        <v>0.3987849117083788</v>
      </c>
      <c r="G2022" s="11">
        <f>E2022*Summary!$B$6</f>
        <v/>
      </c>
      <c r="H2022" s="11">
        <f>F2022*Summary!$B$7</f>
        <v/>
      </c>
      <c r="I2022" s="11">
        <f>MAX(0,N2022-M2022)</f>
        <v/>
      </c>
      <c r="J2022" s="11">
        <f>MAX(0,M2022-N2022)</f>
        <v/>
      </c>
      <c r="K2022" s="11">
        <f>O2022</f>
        <v/>
      </c>
      <c r="L2022" s="11">
        <f>L2021+IF(K2022&gt;0,K2022*Summary!$B$9,K2022/Summary!$B$9)</f>
        <v/>
      </c>
      <c r="M2022" s="11">
        <f>G2022+H2022</f>
        <v/>
      </c>
      <c r="N2022" s="11">
        <f>Summary!$C$16*Summary!$B$8</f>
        <v/>
      </c>
      <c r="O2022" s="11">
        <f>M2022-N2022</f>
        <v/>
      </c>
    </row>
    <row r="2023">
      <c r="A2023" s="9" t="n">
        <v>45376.20833333334</v>
      </c>
      <c r="B2023" t="n">
        <v>3</v>
      </c>
      <c r="C2023" t="n">
        <v>25</v>
      </c>
      <c r="D2023" t="n">
        <v>5</v>
      </c>
      <c r="E2023" s="10" t="n">
        <v>0</v>
      </c>
      <c r="F2023" s="10" t="n">
        <v>0.3928820622916949</v>
      </c>
      <c r="G2023" s="11">
        <f>E2023*Summary!$B$6</f>
        <v/>
      </c>
      <c r="H2023" s="11">
        <f>F2023*Summary!$B$7</f>
        <v/>
      </c>
      <c r="I2023" s="11">
        <f>MAX(0,N2023-M2023)</f>
        <v/>
      </c>
      <c r="J2023" s="11">
        <f>MAX(0,M2023-N2023)</f>
        <v/>
      </c>
      <c r="K2023" s="11">
        <f>O2023</f>
        <v/>
      </c>
      <c r="L2023" s="11">
        <f>L2022+IF(K2023&gt;0,K2023*Summary!$B$9,K2023/Summary!$B$9)</f>
        <v/>
      </c>
      <c r="M2023" s="11">
        <f>G2023+H2023</f>
        <v/>
      </c>
      <c r="N2023" s="11">
        <f>Summary!$C$16*Summary!$B$8</f>
        <v/>
      </c>
      <c r="O2023" s="11">
        <f>M2023-N2023</f>
        <v/>
      </c>
    </row>
    <row r="2024">
      <c r="A2024" s="9" t="n">
        <v>45376.25</v>
      </c>
      <c r="B2024" t="n">
        <v>3</v>
      </c>
      <c r="C2024" t="n">
        <v>25</v>
      </c>
      <c r="D2024" t="n">
        <v>6</v>
      </c>
      <c r="E2024" s="10" t="n">
        <v>0.002946</v>
      </c>
      <c r="F2024" s="10" t="n">
        <v>0.3874799009951763</v>
      </c>
      <c r="G2024" s="11">
        <f>E2024*Summary!$B$6</f>
        <v/>
      </c>
      <c r="H2024" s="11">
        <f>F2024*Summary!$B$7</f>
        <v/>
      </c>
      <c r="I2024" s="11">
        <f>MAX(0,N2024-M2024)</f>
        <v/>
      </c>
      <c r="J2024" s="11">
        <f>MAX(0,M2024-N2024)</f>
        <v/>
      </c>
      <c r="K2024" s="11">
        <f>O2024</f>
        <v/>
      </c>
      <c r="L2024" s="11">
        <f>L2023+IF(K2024&gt;0,K2024*Summary!$B$9,K2024/Summary!$B$9)</f>
        <v/>
      </c>
      <c r="M2024" s="11">
        <f>G2024+H2024</f>
        <v/>
      </c>
      <c r="N2024" s="11">
        <f>Summary!$C$16*Summary!$B$8</f>
        <v/>
      </c>
      <c r="O2024" s="11">
        <f>M2024-N2024</f>
        <v/>
      </c>
    </row>
    <row r="2025">
      <c r="A2025" s="9" t="n">
        <v>45376.29166666666</v>
      </c>
      <c r="B2025" t="n">
        <v>3</v>
      </c>
      <c r="C2025" t="n">
        <v>25</v>
      </c>
      <c r="D2025" t="n">
        <v>7</v>
      </c>
      <c r="E2025" s="10" t="n">
        <v>0.045271</v>
      </c>
      <c r="F2025" s="10" t="n">
        <v>0.3711943610866467</v>
      </c>
      <c r="G2025" s="11">
        <f>E2025*Summary!$B$6</f>
        <v/>
      </c>
      <c r="H2025" s="11">
        <f>F2025*Summary!$B$7</f>
        <v/>
      </c>
      <c r="I2025" s="11">
        <f>MAX(0,N2025-M2025)</f>
        <v/>
      </c>
      <c r="J2025" s="11">
        <f>MAX(0,M2025-N2025)</f>
        <v/>
      </c>
      <c r="K2025" s="11">
        <f>O2025</f>
        <v/>
      </c>
      <c r="L2025" s="11">
        <f>L2024+IF(K2025&gt;0,K2025*Summary!$B$9,K2025/Summary!$B$9)</f>
        <v/>
      </c>
      <c r="M2025" s="11">
        <f>G2025+H2025</f>
        <v/>
      </c>
      <c r="N2025" s="11">
        <f>Summary!$C$16*Summary!$B$8</f>
        <v/>
      </c>
      <c r="O2025" s="11">
        <f>M2025-N2025</f>
        <v/>
      </c>
    </row>
    <row r="2026">
      <c r="A2026" s="9" t="n">
        <v>45376.33333333334</v>
      </c>
      <c r="B2026" t="n">
        <v>3</v>
      </c>
      <c r="C2026" t="n">
        <v>25</v>
      </c>
      <c r="D2026" t="n">
        <v>8</v>
      </c>
      <c r="E2026" s="10" t="n">
        <v>0.144153</v>
      </c>
      <c r="F2026" s="10" t="n">
        <v>0.3475302594072622</v>
      </c>
      <c r="G2026" s="11">
        <f>E2026*Summary!$B$6</f>
        <v/>
      </c>
      <c r="H2026" s="11">
        <f>F2026*Summary!$B$7</f>
        <v/>
      </c>
      <c r="I2026" s="11">
        <f>MAX(0,N2026-M2026)</f>
        <v/>
      </c>
      <c r="J2026" s="11">
        <f>MAX(0,M2026-N2026)</f>
        <v/>
      </c>
      <c r="K2026" s="11">
        <f>O2026</f>
        <v/>
      </c>
      <c r="L2026" s="11">
        <f>L2025+IF(K2026&gt;0,K2026*Summary!$B$9,K2026/Summary!$B$9)</f>
        <v/>
      </c>
      <c r="M2026" s="11">
        <f>G2026+H2026</f>
        <v/>
      </c>
      <c r="N2026" s="11">
        <f>Summary!$C$16*Summary!$B$8</f>
        <v/>
      </c>
      <c r="O2026" s="11">
        <f>M2026-N2026</f>
        <v/>
      </c>
    </row>
    <row r="2027">
      <c r="A2027" s="9" t="n">
        <v>45376.375</v>
      </c>
      <c r="B2027" t="n">
        <v>3</v>
      </c>
      <c r="C2027" t="n">
        <v>25</v>
      </c>
      <c r="D2027" t="n">
        <v>9</v>
      </c>
      <c r="E2027" s="10" t="n">
        <v>0.242528</v>
      </c>
      <c r="F2027" s="10" t="n">
        <v>0.3316663515999244</v>
      </c>
      <c r="G2027" s="11">
        <f>E2027*Summary!$B$6</f>
        <v/>
      </c>
      <c r="H2027" s="11">
        <f>F2027*Summary!$B$7</f>
        <v/>
      </c>
      <c r="I2027" s="11">
        <f>MAX(0,N2027-M2027)</f>
        <v/>
      </c>
      <c r="J2027" s="11">
        <f>MAX(0,M2027-N2027)</f>
        <v/>
      </c>
      <c r="K2027" s="11">
        <f>O2027</f>
        <v/>
      </c>
      <c r="L2027" s="11">
        <f>L2026+IF(K2027&gt;0,K2027*Summary!$B$9,K2027/Summary!$B$9)</f>
        <v/>
      </c>
      <c r="M2027" s="11">
        <f>G2027+H2027</f>
        <v/>
      </c>
      <c r="N2027" s="11">
        <f>Summary!$C$16*Summary!$B$8</f>
        <v/>
      </c>
      <c r="O2027" s="11">
        <f>M2027-N2027</f>
        <v/>
      </c>
    </row>
    <row r="2028">
      <c r="A2028" s="9" t="n">
        <v>45376.41666666666</v>
      </c>
      <c r="B2028" t="n">
        <v>3</v>
      </c>
      <c r="C2028" t="n">
        <v>25</v>
      </c>
      <c r="D2028" t="n">
        <v>10</v>
      </c>
      <c r="E2028" s="10" t="n">
        <v>0.280811</v>
      </c>
      <c r="F2028" s="10" t="n">
        <v>0.3223377413610579</v>
      </c>
      <c r="G2028" s="11">
        <f>E2028*Summary!$B$6</f>
        <v/>
      </c>
      <c r="H2028" s="11">
        <f>F2028*Summary!$B$7</f>
        <v/>
      </c>
      <c r="I2028" s="11">
        <f>MAX(0,N2028-M2028)</f>
        <v/>
      </c>
      <c r="J2028" s="11">
        <f>MAX(0,M2028-N2028)</f>
        <v/>
      </c>
      <c r="K2028" s="11">
        <f>O2028</f>
        <v/>
      </c>
      <c r="L2028" s="11">
        <f>L2027+IF(K2028&gt;0,K2028*Summary!$B$9,K2028/Summary!$B$9)</f>
        <v/>
      </c>
      <c r="M2028" s="11">
        <f>G2028+H2028</f>
        <v/>
      </c>
      <c r="N2028" s="11">
        <f>Summary!$C$16*Summary!$B$8</f>
        <v/>
      </c>
      <c r="O2028" s="11">
        <f>M2028-N2028</f>
        <v/>
      </c>
    </row>
    <row r="2029">
      <c r="A2029" s="9" t="n">
        <v>45376.45833333334</v>
      </c>
      <c r="B2029" t="n">
        <v>3</v>
      </c>
      <c r="C2029" t="n">
        <v>25</v>
      </c>
      <c r="D2029" t="n">
        <v>11</v>
      </c>
      <c r="E2029" s="10" t="n">
        <v>0.422493</v>
      </c>
      <c r="F2029" s="10" t="n">
        <v>0.3263168943160547</v>
      </c>
      <c r="G2029" s="11">
        <f>E2029*Summary!$B$6</f>
        <v/>
      </c>
      <c r="H2029" s="11">
        <f>F2029*Summary!$B$7</f>
        <v/>
      </c>
      <c r="I2029" s="11">
        <f>MAX(0,N2029-M2029)</f>
        <v/>
      </c>
      <c r="J2029" s="11">
        <f>MAX(0,M2029-N2029)</f>
        <v/>
      </c>
      <c r="K2029" s="11">
        <f>O2029</f>
        <v/>
      </c>
      <c r="L2029" s="11">
        <f>L2028+IF(K2029&gt;0,K2029*Summary!$B$9,K2029/Summary!$B$9)</f>
        <v/>
      </c>
      <c r="M2029" s="11">
        <f>G2029+H2029</f>
        <v/>
      </c>
      <c r="N2029" s="11">
        <f>Summary!$C$16*Summary!$B$8</f>
        <v/>
      </c>
      <c r="O2029" s="11">
        <f>M2029-N2029</f>
        <v/>
      </c>
    </row>
    <row r="2030">
      <c r="A2030" s="9" t="n">
        <v>45376.5</v>
      </c>
      <c r="B2030" t="n">
        <v>3</v>
      </c>
      <c r="C2030" t="n">
        <v>25</v>
      </c>
      <c r="D2030" t="n">
        <v>12</v>
      </c>
      <c r="E2030" s="10" t="n">
        <v>0.700323</v>
      </c>
      <c r="F2030" s="10" t="n">
        <v>0.3278980146955235</v>
      </c>
      <c r="G2030" s="11">
        <f>E2030*Summary!$B$6</f>
        <v/>
      </c>
      <c r="H2030" s="11">
        <f>F2030*Summary!$B$7</f>
        <v/>
      </c>
      <c r="I2030" s="11">
        <f>MAX(0,N2030-M2030)</f>
        <v/>
      </c>
      <c r="J2030" s="11">
        <f>MAX(0,M2030-N2030)</f>
        <v/>
      </c>
      <c r="K2030" s="11">
        <f>O2030</f>
        <v/>
      </c>
      <c r="L2030" s="11">
        <f>L2029+IF(K2030&gt;0,K2030*Summary!$B$9,K2030/Summary!$B$9)</f>
        <v/>
      </c>
      <c r="M2030" s="11">
        <f>G2030+H2030</f>
        <v/>
      </c>
      <c r="N2030" s="11">
        <f>Summary!$C$16*Summary!$B$8</f>
        <v/>
      </c>
      <c r="O2030" s="11">
        <f>M2030-N2030</f>
        <v/>
      </c>
    </row>
    <row r="2031">
      <c r="A2031" s="9" t="n">
        <v>45376.54166666666</v>
      </c>
      <c r="B2031" t="n">
        <v>3</v>
      </c>
      <c r="C2031" t="n">
        <v>25</v>
      </c>
      <c r="D2031" t="n">
        <v>13</v>
      </c>
      <c r="E2031" s="10" t="n">
        <v>0.657226</v>
      </c>
      <c r="F2031" s="10" t="n">
        <v>0.3239188617405268</v>
      </c>
      <c r="G2031" s="11">
        <f>E2031*Summary!$B$6</f>
        <v/>
      </c>
      <c r="H2031" s="11">
        <f>F2031*Summary!$B$7</f>
        <v/>
      </c>
      <c r="I2031" s="11">
        <f>MAX(0,N2031-M2031)</f>
        <v/>
      </c>
      <c r="J2031" s="11">
        <f>MAX(0,M2031-N2031)</f>
        <v/>
      </c>
      <c r="K2031" s="11">
        <f>O2031</f>
        <v/>
      </c>
      <c r="L2031" s="11">
        <f>L2030+IF(K2031&gt;0,K2031*Summary!$B$9,K2031/Summary!$B$9)</f>
        <v/>
      </c>
      <c r="M2031" s="11">
        <f>G2031+H2031</f>
        <v/>
      </c>
      <c r="N2031" s="11">
        <f>Summary!$C$16*Summary!$B$8</f>
        <v/>
      </c>
      <c r="O2031" s="11">
        <f>M2031-N2031</f>
        <v/>
      </c>
    </row>
    <row r="2032">
      <c r="A2032" s="9" t="n">
        <v>45376.58333333334</v>
      </c>
      <c r="B2032" t="n">
        <v>3</v>
      </c>
      <c r="C2032" t="n">
        <v>25</v>
      </c>
      <c r="D2032" t="n">
        <v>14</v>
      </c>
      <c r="E2032" s="10" t="n">
        <v>0.563757</v>
      </c>
      <c r="F2032" s="10" t="n">
        <v>0.3245249578859899</v>
      </c>
      <c r="G2032" s="11">
        <f>E2032*Summary!$B$6</f>
        <v/>
      </c>
      <c r="H2032" s="11">
        <f>F2032*Summary!$B$7</f>
        <v/>
      </c>
      <c r="I2032" s="11">
        <f>MAX(0,N2032-M2032)</f>
        <v/>
      </c>
      <c r="J2032" s="11">
        <f>MAX(0,M2032-N2032)</f>
        <v/>
      </c>
      <c r="K2032" s="11">
        <f>O2032</f>
        <v/>
      </c>
      <c r="L2032" s="11">
        <f>L2031+IF(K2032&gt;0,K2032*Summary!$B$9,K2032/Summary!$B$9)</f>
        <v/>
      </c>
      <c r="M2032" s="11">
        <f>G2032+H2032</f>
        <v/>
      </c>
      <c r="N2032" s="11">
        <f>Summary!$C$16*Summary!$B$8</f>
        <v/>
      </c>
      <c r="O2032" s="11">
        <f>M2032-N2032</f>
        <v/>
      </c>
    </row>
    <row r="2033">
      <c r="A2033" s="9" t="n">
        <v>45376.625</v>
      </c>
      <c r="B2033" t="n">
        <v>3</v>
      </c>
      <c r="C2033" t="n">
        <v>25</v>
      </c>
      <c r="D2033" t="n">
        <v>15</v>
      </c>
      <c r="E2033" s="10" t="n">
        <v>0.360962</v>
      </c>
      <c r="F2033" s="10" t="n">
        <v>0.3189119805388753</v>
      </c>
      <c r="G2033" s="11">
        <f>E2033*Summary!$B$6</f>
        <v/>
      </c>
      <c r="H2033" s="11">
        <f>F2033*Summary!$B$7</f>
        <v/>
      </c>
      <c r="I2033" s="11">
        <f>MAX(0,N2033-M2033)</f>
        <v/>
      </c>
      <c r="J2033" s="11">
        <f>MAX(0,M2033-N2033)</f>
        <v/>
      </c>
      <c r="K2033" s="11">
        <f>O2033</f>
        <v/>
      </c>
      <c r="L2033" s="11">
        <f>L2032+IF(K2033&gt;0,K2033*Summary!$B$9,K2033/Summary!$B$9)</f>
        <v/>
      </c>
      <c r="M2033" s="11">
        <f>G2033+H2033</f>
        <v/>
      </c>
      <c r="N2033" s="11">
        <f>Summary!$C$16*Summary!$B$8</f>
        <v/>
      </c>
      <c r="O2033" s="11">
        <f>M2033-N2033</f>
        <v/>
      </c>
    </row>
    <row r="2034">
      <c r="A2034" s="9" t="n">
        <v>45376.66666666666</v>
      </c>
      <c r="B2034" t="n">
        <v>3</v>
      </c>
      <c r="C2034" t="n">
        <v>25</v>
      </c>
      <c r="D2034" t="n">
        <v>16</v>
      </c>
      <c r="E2034" s="10" t="n">
        <v>0.230266</v>
      </c>
      <c r="F2034" s="10" t="n">
        <v>0.3164348919443741</v>
      </c>
      <c r="G2034" s="11">
        <f>E2034*Summary!$B$6</f>
        <v/>
      </c>
      <c r="H2034" s="11">
        <f>F2034*Summary!$B$7</f>
        <v/>
      </c>
      <c r="I2034" s="11">
        <f>MAX(0,N2034-M2034)</f>
        <v/>
      </c>
      <c r="J2034" s="11">
        <f>MAX(0,M2034-N2034)</f>
        <v/>
      </c>
      <c r="K2034" s="11">
        <f>O2034</f>
        <v/>
      </c>
      <c r="L2034" s="11">
        <f>L2033+IF(K2034&gt;0,K2034*Summary!$B$9,K2034/Summary!$B$9)</f>
        <v/>
      </c>
      <c r="M2034" s="11">
        <f>G2034+H2034</f>
        <v/>
      </c>
      <c r="N2034" s="11">
        <f>Summary!$C$16*Summary!$B$8</f>
        <v/>
      </c>
      <c r="O2034" s="11">
        <f>M2034-N2034</f>
        <v/>
      </c>
    </row>
    <row r="2035">
      <c r="A2035" s="9" t="n">
        <v>45376.70833333334</v>
      </c>
      <c r="B2035" t="n">
        <v>3</v>
      </c>
      <c r="C2035" t="n">
        <v>25</v>
      </c>
      <c r="D2035" t="n">
        <v>17</v>
      </c>
      <c r="E2035" s="10" t="n">
        <v>0.053502</v>
      </c>
      <c r="F2035" s="10" t="n">
        <v>0.3136152272676546</v>
      </c>
      <c r="G2035" s="11">
        <f>E2035*Summary!$B$6</f>
        <v/>
      </c>
      <c r="H2035" s="11">
        <f>F2035*Summary!$B$7</f>
        <v/>
      </c>
      <c r="I2035" s="11">
        <f>MAX(0,N2035-M2035)</f>
        <v/>
      </c>
      <c r="J2035" s="11">
        <f>MAX(0,M2035-N2035)</f>
        <v/>
      </c>
      <c r="K2035" s="11">
        <f>O2035</f>
        <v/>
      </c>
      <c r="L2035" s="11">
        <f>L2034+IF(K2035&gt;0,K2035*Summary!$B$9,K2035/Summary!$B$9)</f>
        <v/>
      </c>
      <c r="M2035" s="11">
        <f>G2035+H2035</f>
        <v/>
      </c>
      <c r="N2035" s="11">
        <f>Summary!$C$16*Summary!$B$8</f>
        <v/>
      </c>
      <c r="O2035" s="11">
        <f>M2035-N2035</f>
        <v/>
      </c>
    </row>
    <row r="2036">
      <c r="A2036" s="9" t="n">
        <v>45376.75</v>
      </c>
      <c r="B2036" t="n">
        <v>3</v>
      </c>
      <c r="C2036" t="n">
        <v>25</v>
      </c>
      <c r="D2036" t="n">
        <v>18</v>
      </c>
      <c r="E2036" s="10" t="n">
        <v>0</v>
      </c>
      <c r="F2036" s="10" t="n">
        <v>0.3166193559886454</v>
      </c>
      <c r="G2036" s="11">
        <f>E2036*Summary!$B$6</f>
        <v/>
      </c>
      <c r="H2036" s="11">
        <f>F2036*Summary!$B$7</f>
        <v/>
      </c>
      <c r="I2036" s="11">
        <f>MAX(0,N2036-M2036)</f>
        <v/>
      </c>
      <c r="J2036" s="11">
        <f>MAX(0,M2036-N2036)</f>
        <v/>
      </c>
      <c r="K2036" s="11">
        <f>O2036</f>
        <v/>
      </c>
      <c r="L2036" s="11">
        <f>L2035+IF(K2036&gt;0,K2036*Summary!$B$9,K2036/Summary!$B$9)</f>
        <v/>
      </c>
      <c r="M2036" s="11">
        <f>G2036+H2036</f>
        <v/>
      </c>
      <c r="N2036" s="11">
        <f>Summary!$C$16*Summary!$B$8</f>
        <v/>
      </c>
      <c r="O2036" s="11">
        <f>M2036-N2036</f>
        <v/>
      </c>
    </row>
    <row r="2037">
      <c r="A2037" s="9" t="n">
        <v>45376.79166666666</v>
      </c>
      <c r="B2037" t="n">
        <v>3</v>
      </c>
      <c r="C2037" t="n">
        <v>25</v>
      </c>
      <c r="D2037" t="n">
        <v>19</v>
      </c>
      <c r="E2037" s="10" t="n">
        <v>0</v>
      </c>
      <c r="F2037" s="10" t="n">
        <v>0.3225222054053293</v>
      </c>
      <c r="G2037" s="11">
        <f>E2037*Summary!$B$6</f>
        <v/>
      </c>
      <c r="H2037" s="11">
        <f>F2037*Summary!$B$7</f>
        <v/>
      </c>
      <c r="I2037" s="11">
        <f>MAX(0,N2037-M2037)</f>
        <v/>
      </c>
      <c r="J2037" s="11">
        <f>MAX(0,M2037-N2037)</f>
        <v/>
      </c>
      <c r="K2037" s="11">
        <f>O2037</f>
        <v/>
      </c>
      <c r="L2037" s="11">
        <f>L2036+IF(K2037&gt;0,K2037*Summary!$B$9,K2037/Summary!$B$9)</f>
        <v/>
      </c>
      <c r="M2037" s="11">
        <f>G2037+H2037</f>
        <v/>
      </c>
      <c r="N2037" s="11">
        <f>Summary!$C$16*Summary!$B$8</f>
        <v/>
      </c>
      <c r="O2037" s="11">
        <f>M2037-N2037</f>
        <v/>
      </c>
    </row>
    <row r="2038">
      <c r="A2038" s="9" t="n">
        <v>45376.83333333334</v>
      </c>
      <c r="B2038" t="n">
        <v>3</v>
      </c>
      <c r="C2038" t="n">
        <v>25</v>
      </c>
      <c r="D2038" t="n">
        <v>20</v>
      </c>
      <c r="E2038" s="10" t="n">
        <v>0</v>
      </c>
      <c r="F2038" s="10" t="n">
        <v>0.3302433432584024</v>
      </c>
      <c r="G2038" s="11">
        <f>E2038*Summary!$B$6</f>
        <v/>
      </c>
      <c r="H2038" s="11">
        <f>F2038*Summary!$B$7</f>
        <v/>
      </c>
      <c r="I2038" s="11">
        <f>MAX(0,N2038-M2038)</f>
        <v/>
      </c>
      <c r="J2038" s="11">
        <f>MAX(0,M2038-N2038)</f>
        <v/>
      </c>
      <c r="K2038" s="11">
        <f>O2038</f>
        <v/>
      </c>
      <c r="L2038" s="11">
        <f>L2037+IF(K2038&gt;0,K2038*Summary!$B$9,K2038/Summary!$B$9)</f>
        <v/>
      </c>
      <c r="M2038" s="11">
        <f>G2038+H2038</f>
        <v/>
      </c>
      <c r="N2038" s="11">
        <f>Summary!$C$16*Summary!$B$8</f>
        <v/>
      </c>
      <c r="O2038" s="11">
        <f>M2038-N2038</f>
        <v/>
      </c>
    </row>
    <row r="2039">
      <c r="A2039" s="9" t="n">
        <v>45376.875</v>
      </c>
      <c r="B2039" t="n">
        <v>3</v>
      </c>
      <c r="C2039" t="n">
        <v>25</v>
      </c>
      <c r="D2039" t="n">
        <v>21</v>
      </c>
      <c r="E2039" s="10" t="n">
        <v>0</v>
      </c>
      <c r="F2039" s="10" t="n">
        <v>0.3327467838592281</v>
      </c>
      <c r="G2039" s="11">
        <f>E2039*Summary!$B$6</f>
        <v/>
      </c>
      <c r="H2039" s="11">
        <f>F2039*Summary!$B$7</f>
        <v/>
      </c>
      <c r="I2039" s="11">
        <f>MAX(0,N2039-M2039)</f>
        <v/>
      </c>
      <c r="J2039" s="11">
        <f>MAX(0,M2039-N2039)</f>
        <v/>
      </c>
      <c r="K2039" s="11">
        <f>O2039</f>
        <v/>
      </c>
      <c r="L2039" s="11">
        <f>L2038+IF(K2039&gt;0,K2039*Summary!$B$9,K2039/Summary!$B$9)</f>
        <v/>
      </c>
      <c r="M2039" s="11">
        <f>G2039+H2039</f>
        <v/>
      </c>
      <c r="N2039" s="11">
        <f>Summary!$C$16*Summary!$B$8</f>
        <v/>
      </c>
      <c r="O2039" s="11">
        <f>M2039-N2039</f>
        <v/>
      </c>
    </row>
    <row r="2040">
      <c r="A2040" s="9" t="n">
        <v>45376.91666666666</v>
      </c>
      <c r="B2040" t="n">
        <v>3</v>
      </c>
      <c r="C2040" t="n">
        <v>25</v>
      </c>
      <c r="D2040" t="n">
        <v>22</v>
      </c>
      <c r="E2040" s="10" t="n">
        <v>0</v>
      </c>
      <c r="F2040" s="10" t="n">
        <v>0.3361988966877352</v>
      </c>
      <c r="G2040" s="11">
        <f>E2040*Summary!$B$6</f>
        <v/>
      </c>
      <c r="H2040" s="11">
        <f>F2040*Summary!$B$7</f>
        <v/>
      </c>
      <c r="I2040" s="11">
        <f>MAX(0,N2040-M2040)</f>
        <v/>
      </c>
      <c r="J2040" s="11">
        <f>MAX(0,M2040-N2040)</f>
        <v/>
      </c>
      <c r="K2040" s="11">
        <f>O2040</f>
        <v/>
      </c>
      <c r="L2040" s="11">
        <f>L2039+IF(K2040&gt;0,K2040*Summary!$B$9,K2040/Summary!$B$9)</f>
        <v/>
      </c>
      <c r="M2040" s="11">
        <f>G2040+H2040</f>
        <v/>
      </c>
      <c r="N2040" s="11">
        <f>Summary!$C$16*Summary!$B$8</f>
        <v/>
      </c>
      <c r="O2040" s="11">
        <f>M2040-N2040</f>
        <v/>
      </c>
    </row>
    <row r="2041">
      <c r="A2041" s="9" t="n">
        <v>45376.95833333334</v>
      </c>
      <c r="B2041" t="n">
        <v>3</v>
      </c>
      <c r="C2041" t="n">
        <v>25</v>
      </c>
      <c r="D2041" t="n">
        <v>23</v>
      </c>
      <c r="E2041" s="10" t="n">
        <v>0</v>
      </c>
      <c r="F2041" s="10" t="n">
        <v>0.3396246575099178</v>
      </c>
      <c r="G2041" s="11">
        <f>E2041*Summary!$B$6</f>
        <v/>
      </c>
      <c r="H2041" s="11">
        <f>F2041*Summary!$B$7</f>
        <v/>
      </c>
      <c r="I2041" s="11">
        <f>MAX(0,N2041-M2041)</f>
        <v/>
      </c>
      <c r="J2041" s="11">
        <f>MAX(0,M2041-N2041)</f>
        <v/>
      </c>
      <c r="K2041" s="11">
        <f>O2041</f>
        <v/>
      </c>
      <c r="L2041" s="11">
        <f>L2040+IF(K2041&gt;0,K2041*Summary!$B$9,K2041/Summary!$B$9)</f>
        <v/>
      </c>
      <c r="M2041" s="11">
        <f>G2041+H2041</f>
        <v/>
      </c>
      <c r="N2041" s="11">
        <f>Summary!$C$16*Summary!$B$8</f>
        <v/>
      </c>
      <c r="O2041" s="11">
        <f>M2041-N2041</f>
        <v/>
      </c>
    </row>
    <row r="2042">
      <c r="A2042" s="9" t="n">
        <v>45377</v>
      </c>
      <c r="B2042" t="n">
        <v>3</v>
      </c>
      <c r="C2042" t="n">
        <v>26</v>
      </c>
      <c r="D2042" t="n">
        <v>0</v>
      </c>
      <c r="E2042" s="10" t="n">
        <v>0</v>
      </c>
      <c r="F2042" s="10" t="n">
        <v>0.295853975004954</v>
      </c>
      <c r="G2042" s="11">
        <f>E2042*Summary!$B$6</f>
        <v/>
      </c>
      <c r="H2042" s="11">
        <f>F2042*Summary!$B$7</f>
        <v/>
      </c>
      <c r="I2042" s="11">
        <f>MAX(0,N2042-M2042)</f>
        <v/>
      </c>
      <c r="J2042" s="11">
        <f>MAX(0,M2042-N2042)</f>
        <v/>
      </c>
      <c r="K2042" s="11">
        <f>O2042</f>
        <v/>
      </c>
      <c r="L2042" s="11">
        <f>L2041+IF(K2042&gt;0,K2042*Summary!$B$9,K2042/Summary!$B$9)</f>
        <v/>
      </c>
      <c r="M2042" s="11">
        <f>G2042+H2042</f>
        <v/>
      </c>
      <c r="N2042" s="11">
        <f>Summary!$C$16*Summary!$B$8</f>
        <v/>
      </c>
      <c r="O2042" s="11">
        <f>M2042-N2042</f>
        <v/>
      </c>
    </row>
    <row r="2043">
      <c r="A2043" s="9" t="n">
        <v>45377.04166666666</v>
      </c>
      <c r="B2043" t="n">
        <v>3</v>
      </c>
      <c r="C2043" t="n">
        <v>26</v>
      </c>
      <c r="D2043" t="n">
        <v>1</v>
      </c>
      <c r="E2043" s="10" t="n">
        <v>0</v>
      </c>
      <c r="F2043" s="10" t="n">
        <v>0.3409159058198173</v>
      </c>
      <c r="G2043" s="11">
        <f>E2043*Summary!$B$6</f>
        <v/>
      </c>
      <c r="H2043" s="11">
        <f>F2043*Summary!$B$7</f>
        <v/>
      </c>
      <c r="I2043" s="11">
        <f>MAX(0,N2043-M2043)</f>
        <v/>
      </c>
      <c r="J2043" s="11">
        <f>MAX(0,M2043-N2043)</f>
        <v/>
      </c>
      <c r="K2043" s="11">
        <f>O2043</f>
        <v/>
      </c>
      <c r="L2043" s="11">
        <f>L2042+IF(K2043&gt;0,K2043*Summary!$B$9,K2043/Summary!$B$9)</f>
        <v/>
      </c>
      <c r="M2043" s="11">
        <f>G2043+H2043</f>
        <v/>
      </c>
      <c r="N2043" s="11">
        <f>Summary!$C$16*Summary!$B$8</f>
        <v/>
      </c>
      <c r="O2043" s="11">
        <f>M2043-N2043</f>
        <v/>
      </c>
    </row>
    <row r="2044">
      <c r="A2044" s="9" t="n">
        <v>45377.08333333334</v>
      </c>
      <c r="B2044" t="n">
        <v>3</v>
      </c>
      <c r="C2044" t="n">
        <v>26</v>
      </c>
      <c r="D2044" t="n">
        <v>2</v>
      </c>
      <c r="E2044" s="10" t="n">
        <v>0</v>
      </c>
      <c r="F2044" s="10" t="n">
        <v>0.3407577937818705</v>
      </c>
      <c r="G2044" s="11">
        <f>E2044*Summary!$B$6</f>
        <v/>
      </c>
      <c r="H2044" s="11">
        <f>F2044*Summary!$B$7</f>
        <v/>
      </c>
      <c r="I2044" s="11">
        <f>MAX(0,N2044-M2044)</f>
        <v/>
      </c>
      <c r="J2044" s="11">
        <f>MAX(0,M2044-N2044)</f>
        <v/>
      </c>
      <c r="K2044" s="11">
        <f>O2044</f>
        <v/>
      </c>
      <c r="L2044" s="11">
        <f>L2043+IF(K2044&gt;0,K2044*Summary!$B$9,K2044/Summary!$B$9)</f>
        <v/>
      </c>
      <c r="M2044" s="11">
        <f>G2044+H2044</f>
        <v/>
      </c>
      <c r="N2044" s="11">
        <f>Summary!$C$16*Summary!$B$8</f>
        <v/>
      </c>
      <c r="O2044" s="11">
        <f>M2044-N2044</f>
        <v/>
      </c>
    </row>
    <row r="2045">
      <c r="A2045" s="9" t="n">
        <v>45377.125</v>
      </c>
      <c r="B2045" t="n">
        <v>3</v>
      </c>
      <c r="C2045" t="n">
        <v>26</v>
      </c>
      <c r="D2045" t="n">
        <v>3</v>
      </c>
      <c r="E2045" s="10" t="n">
        <v>0</v>
      </c>
      <c r="F2045" s="10" t="n">
        <v>0.3430767703384249</v>
      </c>
      <c r="G2045" s="11">
        <f>E2045*Summary!$B$6</f>
        <v/>
      </c>
      <c r="H2045" s="11">
        <f>F2045*Summary!$B$7</f>
        <v/>
      </c>
      <c r="I2045" s="11">
        <f>MAX(0,N2045-M2045)</f>
        <v/>
      </c>
      <c r="J2045" s="11">
        <f>MAX(0,M2045-N2045)</f>
        <v/>
      </c>
      <c r="K2045" s="11">
        <f>O2045</f>
        <v/>
      </c>
      <c r="L2045" s="11">
        <f>L2044+IF(K2045&gt;0,K2045*Summary!$B$9,K2045/Summary!$B$9)</f>
        <v/>
      </c>
      <c r="M2045" s="11">
        <f>G2045+H2045</f>
        <v/>
      </c>
      <c r="N2045" s="11">
        <f>Summary!$C$16*Summary!$B$8</f>
        <v/>
      </c>
      <c r="O2045" s="11">
        <f>M2045-N2045</f>
        <v/>
      </c>
    </row>
    <row r="2046">
      <c r="A2046" s="9" t="n">
        <v>45377.16666666666</v>
      </c>
      <c r="B2046" t="n">
        <v>3</v>
      </c>
      <c r="C2046" t="n">
        <v>26</v>
      </c>
      <c r="D2046" t="n">
        <v>4</v>
      </c>
      <c r="E2046" s="10" t="n">
        <v>0</v>
      </c>
      <c r="F2046" s="10" t="n">
        <v>0.3468978112554747</v>
      </c>
      <c r="G2046" s="11">
        <f>E2046*Summary!$B$6</f>
        <v/>
      </c>
      <c r="H2046" s="11">
        <f>F2046*Summary!$B$7</f>
        <v/>
      </c>
      <c r="I2046" s="11">
        <f>MAX(0,N2046-M2046)</f>
        <v/>
      </c>
      <c r="J2046" s="11">
        <f>MAX(0,M2046-N2046)</f>
        <v/>
      </c>
      <c r="K2046" s="11">
        <f>O2046</f>
        <v/>
      </c>
      <c r="L2046" s="11">
        <f>L2045+IF(K2046&gt;0,K2046*Summary!$B$9,K2046/Summary!$B$9)</f>
        <v/>
      </c>
      <c r="M2046" s="11">
        <f>G2046+H2046</f>
        <v/>
      </c>
      <c r="N2046" s="11">
        <f>Summary!$C$16*Summary!$B$8</f>
        <v/>
      </c>
      <c r="O2046" s="11">
        <f>M2046-N2046</f>
        <v/>
      </c>
    </row>
    <row r="2047">
      <c r="A2047" s="9" t="n">
        <v>45377.20833333334</v>
      </c>
      <c r="B2047" t="n">
        <v>3</v>
      </c>
      <c r="C2047" t="n">
        <v>26</v>
      </c>
      <c r="D2047" t="n">
        <v>5</v>
      </c>
      <c r="E2047" s="10" t="n">
        <v>0</v>
      </c>
      <c r="F2047" s="10" t="n">
        <v>0.3530114767227544</v>
      </c>
      <c r="G2047" s="11">
        <f>E2047*Summary!$B$6</f>
        <v/>
      </c>
      <c r="H2047" s="11">
        <f>F2047*Summary!$B$7</f>
        <v/>
      </c>
      <c r="I2047" s="11">
        <f>MAX(0,N2047-M2047)</f>
        <v/>
      </c>
      <c r="J2047" s="11">
        <f>MAX(0,M2047-N2047)</f>
        <v/>
      </c>
      <c r="K2047" s="11">
        <f>O2047</f>
        <v/>
      </c>
      <c r="L2047" s="11">
        <f>L2046+IF(K2047&gt;0,K2047*Summary!$B$9,K2047/Summary!$B$9)</f>
        <v/>
      </c>
      <c r="M2047" s="11">
        <f>G2047+H2047</f>
        <v/>
      </c>
      <c r="N2047" s="11">
        <f>Summary!$C$16*Summary!$B$8</f>
        <v/>
      </c>
      <c r="O2047" s="11">
        <f>M2047-N2047</f>
        <v/>
      </c>
    </row>
    <row r="2048">
      <c r="A2048" s="9" t="n">
        <v>45377.25</v>
      </c>
      <c r="B2048" t="n">
        <v>3</v>
      </c>
      <c r="C2048" t="n">
        <v>26</v>
      </c>
      <c r="D2048" t="n">
        <v>6</v>
      </c>
      <c r="E2048" s="10" t="n">
        <v>0.004611</v>
      </c>
      <c r="F2048" s="10" t="n">
        <v>0.3552513972603353</v>
      </c>
      <c r="G2048" s="11">
        <f>E2048*Summary!$B$6</f>
        <v/>
      </c>
      <c r="H2048" s="11">
        <f>F2048*Summary!$B$7</f>
        <v/>
      </c>
      <c r="I2048" s="11">
        <f>MAX(0,N2048-M2048)</f>
        <v/>
      </c>
      <c r="J2048" s="11">
        <f>MAX(0,M2048-N2048)</f>
        <v/>
      </c>
      <c r="K2048" s="11">
        <f>O2048</f>
        <v/>
      </c>
      <c r="L2048" s="11">
        <f>L2047+IF(K2048&gt;0,K2048*Summary!$B$9,K2048/Summary!$B$9)</f>
        <v/>
      </c>
      <c r="M2048" s="11">
        <f>G2048+H2048</f>
        <v/>
      </c>
      <c r="N2048" s="11">
        <f>Summary!$C$16*Summary!$B$8</f>
        <v/>
      </c>
      <c r="O2048" s="11">
        <f>M2048-N2048</f>
        <v/>
      </c>
    </row>
    <row r="2049">
      <c r="A2049" s="9" t="n">
        <v>45377.29166666666</v>
      </c>
      <c r="B2049" t="n">
        <v>3</v>
      </c>
      <c r="C2049" t="n">
        <v>26</v>
      </c>
      <c r="D2049" t="n">
        <v>7</v>
      </c>
      <c r="E2049" s="10" t="n">
        <v>0.073827</v>
      </c>
      <c r="F2049" s="10" t="n">
        <v>0.3490059717614332</v>
      </c>
      <c r="G2049" s="11">
        <f>E2049*Summary!$B$6</f>
        <v/>
      </c>
      <c r="H2049" s="11">
        <f>F2049*Summary!$B$7</f>
        <v/>
      </c>
      <c r="I2049" s="11">
        <f>MAX(0,N2049-M2049)</f>
        <v/>
      </c>
      <c r="J2049" s="11">
        <f>MAX(0,M2049-N2049)</f>
        <v/>
      </c>
      <c r="K2049" s="11">
        <f>O2049</f>
        <v/>
      </c>
      <c r="L2049" s="11">
        <f>L2048+IF(K2049&gt;0,K2049*Summary!$B$9,K2049/Summary!$B$9)</f>
        <v/>
      </c>
      <c r="M2049" s="11">
        <f>G2049+H2049</f>
        <v/>
      </c>
      <c r="N2049" s="11">
        <f>Summary!$C$16*Summary!$B$8</f>
        <v/>
      </c>
      <c r="O2049" s="11">
        <f>M2049-N2049</f>
        <v/>
      </c>
    </row>
    <row r="2050">
      <c r="A2050" s="9" t="n">
        <v>45377.33333333334</v>
      </c>
      <c r="B2050" t="n">
        <v>3</v>
      </c>
      <c r="C2050" t="n">
        <v>26</v>
      </c>
      <c r="D2050" t="n">
        <v>8</v>
      </c>
      <c r="E2050" s="10" t="n">
        <v>0.302331</v>
      </c>
      <c r="F2050" s="10" t="n">
        <v>0.3298480631635352</v>
      </c>
      <c r="G2050" s="11">
        <f>E2050*Summary!$B$6</f>
        <v/>
      </c>
      <c r="H2050" s="11">
        <f>F2050*Summary!$B$7</f>
        <v/>
      </c>
      <c r="I2050" s="11">
        <f>MAX(0,N2050-M2050)</f>
        <v/>
      </c>
      <c r="J2050" s="11">
        <f>MAX(0,M2050-N2050)</f>
        <v/>
      </c>
      <c r="K2050" s="11">
        <f>O2050</f>
        <v/>
      </c>
      <c r="L2050" s="11">
        <f>L2049+IF(K2050&gt;0,K2050*Summary!$B$9,K2050/Summary!$B$9)</f>
        <v/>
      </c>
      <c r="M2050" s="11">
        <f>G2050+H2050</f>
        <v/>
      </c>
      <c r="N2050" s="11">
        <f>Summary!$C$16*Summary!$B$8</f>
        <v/>
      </c>
      <c r="O2050" s="11">
        <f>M2050-N2050</f>
        <v/>
      </c>
    </row>
    <row r="2051">
      <c r="A2051" s="9" t="n">
        <v>45377.375</v>
      </c>
      <c r="B2051" t="n">
        <v>3</v>
      </c>
      <c r="C2051" t="n">
        <v>26</v>
      </c>
      <c r="D2051" t="n">
        <v>9</v>
      </c>
      <c r="E2051" s="10" t="n">
        <v>0.465057</v>
      </c>
      <c r="F2051" s="10" t="n">
        <v>0.3206775649626156</v>
      </c>
      <c r="G2051" s="11">
        <f>E2051*Summary!$B$6</f>
        <v/>
      </c>
      <c r="H2051" s="11">
        <f>F2051*Summary!$B$7</f>
        <v/>
      </c>
      <c r="I2051" s="11">
        <f>MAX(0,N2051-M2051)</f>
        <v/>
      </c>
      <c r="J2051" s="11">
        <f>MAX(0,M2051-N2051)</f>
        <v/>
      </c>
      <c r="K2051" s="11">
        <f>O2051</f>
        <v/>
      </c>
      <c r="L2051" s="11">
        <f>L2050+IF(K2051&gt;0,K2051*Summary!$B$9,K2051/Summary!$B$9)</f>
        <v/>
      </c>
      <c r="M2051" s="11">
        <f>G2051+H2051</f>
        <v/>
      </c>
      <c r="N2051" s="11">
        <f>Summary!$C$16*Summary!$B$8</f>
        <v/>
      </c>
      <c r="O2051" s="11">
        <f>M2051-N2051</f>
        <v/>
      </c>
    </row>
    <row r="2052">
      <c r="A2052" s="9" t="n">
        <v>45377.41666666666</v>
      </c>
      <c r="B2052" t="n">
        <v>3</v>
      </c>
      <c r="C2052" t="n">
        <v>26</v>
      </c>
      <c r="D2052" t="n">
        <v>10</v>
      </c>
      <c r="E2052" s="10" t="n">
        <v>0.369373</v>
      </c>
      <c r="F2052" s="10" t="n">
        <v>0.3185167004440081</v>
      </c>
      <c r="G2052" s="11">
        <f>E2052*Summary!$B$6</f>
        <v/>
      </c>
      <c r="H2052" s="11">
        <f>F2052*Summary!$B$7</f>
        <v/>
      </c>
      <c r="I2052" s="11">
        <f>MAX(0,N2052-M2052)</f>
        <v/>
      </c>
      <c r="J2052" s="11">
        <f>MAX(0,M2052-N2052)</f>
        <v/>
      </c>
      <c r="K2052" s="11">
        <f>O2052</f>
        <v/>
      </c>
      <c r="L2052" s="11">
        <f>L2051+IF(K2052&gt;0,K2052*Summary!$B$9,K2052/Summary!$B$9)</f>
        <v/>
      </c>
      <c r="M2052" s="11">
        <f>G2052+H2052</f>
        <v/>
      </c>
      <c r="N2052" s="11">
        <f>Summary!$C$16*Summary!$B$8</f>
        <v/>
      </c>
      <c r="O2052" s="11">
        <f>M2052-N2052</f>
        <v/>
      </c>
    </row>
    <row r="2053">
      <c r="A2053" s="9" t="n">
        <v>45377.45833333334</v>
      </c>
      <c r="B2053" t="n">
        <v>3</v>
      </c>
      <c r="C2053" t="n">
        <v>26</v>
      </c>
      <c r="D2053" t="n">
        <v>11</v>
      </c>
      <c r="E2053" s="10" t="n">
        <v>0.492412</v>
      </c>
      <c r="F2053" s="10" t="n">
        <v>0.3163294839190761</v>
      </c>
      <c r="G2053" s="11">
        <f>E2053*Summary!$B$6</f>
        <v/>
      </c>
      <c r="H2053" s="11">
        <f>F2053*Summary!$B$7</f>
        <v/>
      </c>
      <c r="I2053" s="11">
        <f>MAX(0,N2053-M2053)</f>
        <v/>
      </c>
      <c r="J2053" s="11">
        <f>MAX(0,M2053-N2053)</f>
        <v/>
      </c>
      <c r="K2053" s="11">
        <f>O2053</f>
        <v/>
      </c>
      <c r="L2053" s="11">
        <f>L2052+IF(K2053&gt;0,K2053*Summary!$B$9,K2053/Summary!$B$9)</f>
        <v/>
      </c>
      <c r="M2053" s="11">
        <f>G2053+H2053</f>
        <v/>
      </c>
      <c r="N2053" s="11">
        <f>Summary!$C$16*Summary!$B$8</f>
        <v/>
      </c>
      <c r="O2053" s="11">
        <f>M2053-N2053</f>
        <v/>
      </c>
    </row>
    <row r="2054">
      <c r="A2054" s="9" t="n">
        <v>45377.5</v>
      </c>
      <c r="B2054" t="n">
        <v>3</v>
      </c>
      <c r="C2054" t="n">
        <v>26</v>
      </c>
      <c r="D2054" t="n">
        <v>12</v>
      </c>
      <c r="E2054" s="10" t="n">
        <v>0.665671</v>
      </c>
      <c r="F2054" s="10" t="n">
        <v>0.3083184739964338</v>
      </c>
      <c r="G2054" s="11">
        <f>E2054*Summary!$B$6</f>
        <v/>
      </c>
      <c r="H2054" s="11">
        <f>F2054*Summary!$B$7</f>
        <v/>
      </c>
      <c r="I2054" s="11">
        <f>MAX(0,N2054-M2054)</f>
        <v/>
      </c>
      <c r="J2054" s="11">
        <f>MAX(0,M2054-N2054)</f>
        <v/>
      </c>
      <c r="K2054" s="11">
        <f>O2054</f>
        <v/>
      </c>
      <c r="L2054" s="11">
        <f>L2053+IF(K2054&gt;0,K2054*Summary!$B$9,K2054/Summary!$B$9)</f>
        <v/>
      </c>
      <c r="M2054" s="11">
        <f>G2054+H2054</f>
        <v/>
      </c>
      <c r="N2054" s="11">
        <f>Summary!$C$16*Summary!$B$8</f>
        <v/>
      </c>
      <c r="O2054" s="11">
        <f>M2054-N2054</f>
        <v/>
      </c>
    </row>
    <row r="2055">
      <c r="A2055" s="9" t="n">
        <v>45377.54166666666</v>
      </c>
      <c r="B2055" t="n">
        <v>3</v>
      </c>
      <c r="C2055" t="n">
        <v>26</v>
      </c>
      <c r="D2055" t="n">
        <v>13</v>
      </c>
      <c r="E2055" s="10" t="n">
        <v>0.473038</v>
      </c>
      <c r="F2055" s="10" t="n">
        <v>0.3014933043583931</v>
      </c>
      <c r="G2055" s="11">
        <f>E2055*Summary!$B$6</f>
        <v/>
      </c>
      <c r="H2055" s="11">
        <f>F2055*Summary!$B$7</f>
        <v/>
      </c>
      <c r="I2055" s="11">
        <f>MAX(0,N2055-M2055)</f>
        <v/>
      </c>
      <c r="J2055" s="11">
        <f>MAX(0,M2055-N2055)</f>
        <v/>
      </c>
      <c r="K2055" s="11">
        <f>O2055</f>
        <v/>
      </c>
      <c r="L2055" s="11">
        <f>L2054+IF(K2055&gt;0,K2055*Summary!$B$9,K2055/Summary!$B$9)</f>
        <v/>
      </c>
      <c r="M2055" s="11">
        <f>G2055+H2055</f>
        <v/>
      </c>
      <c r="N2055" s="11">
        <f>Summary!$C$16*Summary!$B$8</f>
        <v/>
      </c>
      <c r="O2055" s="11">
        <f>M2055-N2055</f>
        <v/>
      </c>
    </row>
    <row r="2056">
      <c r="A2056" s="9" t="n">
        <v>45377.58333333334</v>
      </c>
      <c r="B2056" t="n">
        <v>3</v>
      </c>
      <c r="C2056" t="n">
        <v>26</v>
      </c>
      <c r="D2056" t="n">
        <v>14</v>
      </c>
      <c r="E2056" s="10" t="n">
        <v>0.271009</v>
      </c>
      <c r="F2056" s="10" t="n">
        <v>0.2935349984483996</v>
      </c>
      <c r="G2056" s="11">
        <f>E2056*Summary!$B$6</f>
        <v/>
      </c>
      <c r="H2056" s="11">
        <f>F2056*Summary!$B$7</f>
        <v/>
      </c>
      <c r="I2056" s="11">
        <f>MAX(0,N2056-M2056)</f>
        <v/>
      </c>
      <c r="J2056" s="11">
        <f>MAX(0,M2056-N2056)</f>
        <v/>
      </c>
      <c r="K2056" s="11">
        <f>O2056</f>
        <v/>
      </c>
      <c r="L2056" s="11">
        <f>L2055+IF(K2056&gt;0,K2056*Summary!$B$9,K2056/Summary!$B$9)</f>
        <v/>
      </c>
      <c r="M2056" s="11">
        <f>G2056+H2056</f>
        <v/>
      </c>
      <c r="N2056" s="11">
        <f>Summary!$C$16*Summary!$B$8</f>
        <v/>
      </c>
      <c r="O2056" s="11">
        <f>M2056-N2056</f>
        <v/>
      </c>
    </row>
    <row r="2057">
      <c r="A2057" s="9" t="n">
        <v>45377.625</v>
      </c>
      <c r="B2057" t="n">
        <v>3</v>
      </c>
      <c r="C2057" t="n">
        <v>26</v>
      </c>
      <c r="D2057" t="n">
        <v>15</v>
      </c>
      <c r="E2057" s="10" t="n">
        <v>0.112457</v>
      </c>
      <c r="F2057" s="10" t="n">
        <v>0.2784089468181473</v>
      </c>
      <c r="G2057" s="11">
        <f>E2057*Summary!$B$6</f>
        <v/>
      </c>
      <c r="H2057" s="11">
        <f>F2057*Summary!$B$7</f>
        <v/>
      </c>
      <c r="I2057" s="11">
        <f>MAX(0,N2057-M2057)</f>
        <v/>
      </c>
      <c r="J2057" s="11">
        <f>MAX(0,M2057-N2057)</f>
        <v/>
      </c>
      <c r="K2057" s="11">
        <f>O2057</f>
        <v/>
      </c>
      <c r="L2057" s="11">
        <f>L2056+IF(K2057&gt;0,K2057*Summary!$B$9,K2057/Summary!$B$9)</f>
        <v/>
      </c>
      <c r="M2057" s="11">
        <f>G2057+H2057</f>
        <v/>
      </c>
      <c r="N2057" s="11">
        <f>Summary!$C$16*Summary!$B$8</f>
        <v/>
      </c>
      <c r="O2057" s="11">
        <f>M2057-N2057</f>
        <v/>
      </c>
    </row>
    <row r="2058">
      <c r="A2058" s="9" t="n">
        <v>45377.66666666666</v>
      </c>
      <c r="B2058" t="n">
        <v>3</v>
      </c>
      <c r="C2058" t="n">
        <v>26</v>
      </c>
      <c r="D2058" t="n">
        <v>16</v>
      </c>
      <c r="E2058" s="10" t="n">
        <v>0.044749</v>
      </c>
      <c r="F2058" s="10" t="n">
        <v>0.2606740465617712</v>
      </c>
      <c r="G2058" s="11">
        <f>E2058*Summary!$B$6</f>
        <v/>
      </c>
      <c r="H2058" s="11">
        <f>F2058*Summary!$B$7</f>
        <v/>
      </c>
      <c r="I2058" s="11">
        <f>MAX(0,N2058-M2058)</f>
        <v/>
      </c>
      <c r="J2058" s="11">
        <f>MAX(0,M2058-N2058)</f>
        <v/>
      </c>
      <c r="K2058" s="11">
        <f>O2058</f>
        <v/>
      </c>
      <c r="L2058" s="11">
        <f>L2057+IF(K2058&gt;0,K2058*Summary!$B$9,K2058/Summary!$B$9)</f>
        <v/>
      </c>
      <c r="M2058" s="11">
        <f>G2058+H2058</f>
        <v/>
      </c>
      <c r="N2058" s="11">
        <f>Summary!$C$16*Summary!$B$8</f>
        <v/>
      </c>
      <c r="O2058" s="11">
        <f>M2058-N2058</f>
        <v/>
      </c>
    </row>
    <row r="2059">
      <c r="A2059" s="9" t="n">
        <v>45377.70833333334</v>
      </c>
      <c r="B2059" t="n">
        <v>3</v>
      </c>
      <c r="C2059" t="n">
        <v>26</v>
      </c>
      <c r="D2059" t="n">
        <v>17</v>
      </c>
      <c r="E2059" s="10" t="n">
        <v>0.013738</v>
      </c>
      <c r="F2059" s="10" t="n">
        <v>0.253822524917406</v>
      </c>
      <c r="G2059" s="11">
        <f>E2059*Summary!$B$6</f>
        <v/>
      </c>
      <c r="H2059" s="11">
        <f>F2059*Summary!$B$7</f>
        <v/>
      </c>
      <c r="I2059" s="11">
        <f>MAX(0,N2059-M2059)</f>
        <v/>
      </c>
      <c r="J2059" s="11">
        <f>MAX(0,M2059-N2059)</f>
        <v/>
      </c>
      <c r="K2059" s="11">
        <f>O2059</f>
        <v/>
      </c>
      <c r="L2059" s="11">
        <f>L2058+IF(K2059&gt;0,K2059*Summary!$B$9,K2059/Summary!$B$9)</f>
        <v/>
      </c>
      <c r="M2059" s="11">
        <f>G2059+H2059</f>
        <v/>
      </c>
      <c r="N2059" s="11">
        <f>Summary!$C$16*Summary!$B$8</f>
        <v/>
      </c>
      <c r="O2059" s="11">
        <f>M2059-N2059</f>
        <v/>
      </c>
    </row>
    <row r="2060">
      <c r="A2060" s="9" t="n">
        <v>45377.75</v>
      </c>
      <c r="B2060" t="n">
        <v>3</v>
      </c>
      <c r="C2060" t="n">
        <v>26</v>
      </c>
      <c r="D2060" t="n">
        <v>18</v>
      </c>
      <c r="E2060" s="10" t="n">
        <v>0</v>
      </c>
      <c r="F2060" s="10" t="n">
        <v>0.2612801427072343</v>
      </c>
      <c r="G2060" s="11">
        <f>E2060*Summary!$B$6</f>
        <v/>
      </c>
      <c r="H2060" s="11">
        <f>F2060*Summary!$B$7</f>
        <v/>
      </c>
      <c r="I2060" s="11">
        <f>MAX(0,N2060-M2060)</f>
        <v/>
      </c>
      <c r="J2060" s="11">
        <f>MAX(0,M2060-N2060)</f>
        <v/>
      </c>
      <c r="K2060" s="11">
        <f>O2060</f>
        <v/>
      </c>
      <c r="L2060" s="11">
        <f>L2059+IF(K2060&gt;0,K2060*Summary!$B$9,K2060/Summary!$B$9)</f>
        <v/>
      </c>
      <c r="M2060" s="11">
        <f>G2060+H2060</f>
        <v/>
      </c>
      <c r="N2060" s="11">
        <f>Summary!$C$16*Summary!$B$8</f>
        <v/>
      </c>
      <c r="O2060" s="11">
        <f>M2060-N2060</f>
        <v/>
      </c>
    </row>
    <row r="2061">
      <c r="A2061" s="9" t="n">
        <v>45377.79166666666</v>
      </c>
      <c r="B2061" t="n">
        <v>3</v>
      </c>
      <c r="C2061" t="n">
        <v>26</v>
      </c>
      <c r="D2061" t="n">
        <v>19</v>
      </c>
      <c r="E2061" s="10" t="n">
        <v>0</v>
      </c>
      <c r="F2061" s="10" t="n">
        <v>0.2762217302932153</v>
      </c>
      <c r="G2061" s="11">
        <f>E2061*Summary!$B$6</f>
        <v/>
      </c>
      <c r="H2061" s="11">
        <f>F2061*Summary!$B$7</f>
        <v/>
      </c>
      <c r="I2061" s="11">
        <f>MAX(0,N2061-M2061)</f>
        <v/>
      </c>
      <c r="J2061" s="11">
        <f>MAX(0,M2061-N2061)</f>
        <v/>
      </c>
      <c r="K2061" s="11">
        <f>O2061</f>
        <v/>
      </c>
      <c r="L2061" s="11">
        <f>L2060+IF(K2061&gt;0,K2061*Summary!$B$9,K2061/Summary!$B$9)</f>
        <v/>
      </c>
      <c r="M2061" s="11">
        <f>G2061+H2061</f>
        <v/>
      </c>
      <c r="N2061" s="11">
        <f>Summary!$C$16*Summary!$B$8</f>
        <v/>
      </c>
      <c r="O2061" s="11">
        <f>M2061-N2061</f>
        <v/>
      </c>
    </row>
    <row r="2062">
      <c r="A2062" s="9" t="n">
        <v>45377.83333333334</v>
      </c>
      <c r="B2062" t="n">
        <v>3</v>
      </c>
      <c r="C2062" t="n">
        <v>26</v>
      </c>
      <c r="D2062" t="n">
        <v>20</v>
      </c>
      <c r="E2062" s="10" t="n">
        <v>0</v>
      </c>
      <c r="F2062" s="10" t="n">
        <v>0.2824144517794684</v>
      </c>
      <c r="G2062" s="11">
        <f>E2062*Summary!$B$6</f>
        <v/>
      </c>
      <c r="H2062" s="11">
        <f>F2062*Summary!$B$7</f>
        <v/>
      </c>
      <c r="I2062" s="11">
        <f>MAX(0,N2062-M2062)</f>
        <v/>
      </c>
      <c r="J2062" s="11">
        <f>MAX(0,M2062-N2062)</f>
        <v/>
      </c>
      <c r="K2062" s="11">
        <f>O2062</f>
        <v/>
      </c>
      <c r="L2062" s="11">
        <f>L2061+IF(K2062&gt;0,K2062*Summary!$B$9,K2062/Summary!$B$9)</f>
        <v/>
      </c>
      <c r="M2062" s="11">
        <f>G2062+H2062</f>
        <v/>
      </c>
      <c r="N2062" s="11">
        <f>Summary!$C$16*Summary!$B$8</f>
        <v/>
      </c>
      <c r="O2062" s="11">
        <f>M2062-N2062</f>
        <v/>
      </c>
    </row>
    <row r="2063">
      <c r="A2063" s="9" t="n">
        <v>45377.875</v>
      </c>
      <c r="B2063" t="n">
        <v>3</v>
      </c>
      <c r="C2063" t="n">
        <v>26</v>
      </c>
      <c r="D2063" t="n">
        <v>21</v>
      </c>
      <c r="E2063" s="10" t="n">
        <v>0</v>
      </c>
      <c r="F2063" s="10" t="n">
        <v>0.2902146456515149</v>
      </c>
      <c r="G2063" s="11">
        <f>E2063*Summary!$B$6</f>
        <v/>
      </c>
      <c r="H2063" s="11">
        <f>F2063*Summary!$B$7</f>
        <v/>
      </c>
      <c r="I2063" s="11">
        <f>MAX(0,N2063-M2063)</f>
        <v/>
      </c>
      <c r="J2063" s="11">
        <f>MAX(0,M2063-N2063)</f>
        <v/>
      </c>
      <c r="K2063" s="11">
        <f>O2063</f>
        <v/>
      </c>
      <c r="L2063" s="11">
        <f>L2062+IF(K2063&gt;0,K2063*Summary!$B$9,K2063/Summary!$B$9)</f>
        <v/>
      </c>
      <c r="M2063" s="11">
        <f>G2063+H2063</f>
        <v/>
      </c>
      <c r="N2063" s="11">
        <f>Summary!$C$16*Summary!$B$8</f>
        <v/>
      </c>
      <c r="O2063" s="11">
        <f>M2063-N2063</f>
        <v/>
      </c>
    </row>
    <row r="2064">
      <c r="A2064" s="9" t="n">
        <v>45377.91666666666</v>
      </c>
      <c r="B2064" t="n">
        <v>3</v>
      </c>
      <c r="C2064" t="n">
        <v>26</v>
      </c>
      <c r="D2064" t="n">
        <v>22</v>
      </c>
      <c r="E2064" s="10" t="n">
        <v>0</v>
      </c>
      <c r="F2064" s="10" t="n">
        <v>0.2978567274856146</v>
      </c>
      <c r="G2064" s="11">
        <f>E2064*Summary!$B$6</f>
        <v/>
      </c>
      <c r="H2064" s="11">
        <f>F2064*Summary!$B$7</f>
        <v/>
      </c>
      <c r="I2064" s="11">
        <f>MAX(0,N2064-M2064)</f>
        <v/>
      </c>
      <c r="J2064" s="11">
        <f>MAX(0,M2064-N2064)</f>
        <v/>
      </c>
      <c r="K2064" s="11">
        <f>O2064</f>
        <v/>
      </c>
      <c r="L2064" s="11">
        <f>L2063+IF(K2064&gt;0,K2064*Summary!$B$9,K2064/Summary!$B$9)</f>
        <v/>
      </c>
      <c r="M2064" s="11">
        <f>G2064+H2064</f>
        <v/>
      </c>
      <c r="N2064" s="11">
        <f>Summary!$C$16*Summary!$B$8</f>
        <v/>
      </c>
      <c r="O2064" s="11">
        <f>M2064-N2064</f>
        <v/>
      </c>
    </row>
    <row r="2065">
      <c r="A2065" s="9" t="n">
        <v>45377.95833333334</v>
      </c>
      <c r="B2065" t="n">
        <v>3</v>
      </c>
      <c r="C2065" t="n">
        <v>26</v>
      </c>
      <c r="D2065" t="n">
        <v>23</v>
      </c>
      <c r="E2065" s="10" t="n">
        <v>0</v>
      </c>
      <c r="F2065" s="10" t="n">
        <v>0.2940620385748892</v>
      </c>
      <c r="G2065" s="11">
        <f>E2065*Summary!$B$6</f>
        <v/>
      </c>
      <c r="H2065" s="11">
        <f>F2065*Summary!$B$7</f>
        <v/>
      </c>
      <c r="I2065" s="11">
        <f>MAX(0,N2065-M2065)</f>
        <v/>
      </c>
      <c r="J2065" s="11">
        <f>MAX(0,M2065-N2065)</f>
        <v/>
      </c>
      <c r="K2065" s="11">
        <f>O2065</f>
        <v/>
      </c>
      <c r="L2065" s="11">
        <f>L2064+IF(K2065&gt;0,K2065*Summary!$B$9,K2065/Summary!$B$9)</f>
        <v/>
      </c>
      <c r="M2065" s="11">
        <f>G2065+H2065</f>
        <v/>
      </c>
      <c r="N2065" s="11">
        <f>Summary!$C$16*Summary!$B$8</f>
        <v/>
      </c>
      <c r="O2065" s="11">
        <f>M2065-N2065</f>
        <v/>
      </c>
    </row>
    <row r="2066">
      <c r="A2066" s="9" t="n">
        <v>45378</v>
      </c>
      <c r="B2066" t="n">
        <v>3</v>
      </c>
      <c r="C2066" t="n">
        <v>27</v>
      </c>
      <c r="D2066" t="n">
        <v>0</v>
      </c>
      <c r="E2066" s="10" t="n">
        <v>0</v>
      </c>
      <c r="F2066" s="10" t="n">
        <v>0.3729862975167114</v>
      </c>
      <c r="G2066" s="11">
        <f>E2066*Summary!$B$6</f>
        <v/>
      </c>
      <c r="H2066" s="11">
        <f>F2066*Summary!$B$7</f>
        <v/>
      </c>
      <c r="I2066" s="11">
        <f>MAX(0,N2066-M2066)</f>
        <v/>
      </c>
      <c r="J2066" s="11">
        <f>MAX(0,M2066-N2066)</f>
        <v/>
      </c>
      <c r="K2066" s="11">
        <f>O2066</f>
        <v/>
      </c>
      <c r="L2066" s="11">
        <f>L2065+IF(K2066&gt;0,K2066*Summary!$B$9,K2066/Summary!$B$9)</f>
        <v/>
      </c>
      <c r="M2066" s="11">
        <f>G2066+H2066</f>
        <v/>
      </c>
      <c r="N2066" s="11">
        <f>Summary!$C$16*Summary!$B$8</f>
        <v/>
      </c>
      <c r="O2066" s="11">
        <f>M2066-N2066</f>
        <v/>
      </c>
    </row>
    <row r="2067">
      <c r="A2067" s="9" t="n">
        <v>45378.04166666666</v>
      </c>
      <c r="B2067" t="n">
        <v>3</v>
      </c>
      <c r="C2067" t="n">
        <v>27</v>
      </c>
      <c r="D2067" t="n">
        <v>1</v>
      </c>
      <c r="E2067" s="10" t="n">
        <v>0</v>
      </c>
      <c r="F2067" s="10" t="n">
        <v>0.2972506313401515</v>
      </c>
      <c r="G2067" s="11">
        <f>E2067*Summary!$B$6</f>
        <v/>
      </c>
      <c r="H2067" s="11">
        <f>F2067*Summary!$B$7</f>
        <v/>
      </c>
      <c r="I2067" s="11">
        <f>MAX(0,N2067-M2067)</f>
        <v/>
      </c>
      <c r="J2067" s="11">
        <f>MAX(0,M2067-N2067)</f>
        <v/>
      </c>
      <c r="K2067" s="11">
        <f>O2067</f>
        <v/>
      </c>
      <c r="L2067" s="11">
        <f>L2066+IF(K2067&gt;0,K2067*Summary!$B$9,K2067/Summary!$B$9)</f>
        <v/>
      </c>
      <c r="M2067" s="11">
        <f>G2067+H2067</f>
        <v/>
      </c>
      <c r="N2067" s="11">
        <f>Summary!$C$16*Summary!$B$8</f>
        <v/>
      </c>
      <c r="O2067" s="11">
        <f>M2067-N2067</f>
        <v/>
      </c>
    </row>
    <row r="2068">
      <c r="A2068" s="9" t="n">
        <v>45378.08333333334</v>
      </c>
      <c r="B2068" t="n">
        <v>3</v>
      </c>
      <c r="C2068" t="n">
        <v>27</v>
      </c>
      <c r="D2068" t="n">
        <v>2</v>
      </c>
      <c r="E2068" s="10" t="n">
        <v>0</v>
      </c>
      <c r="F2068" s="10" t="n">
        <v>0.304444729066735</v>
      </c>
      <c r="G2068" s="11">
        <f>E2068*Summary!$B$6</f>
        <v/>
      </c>
      <c r="H2068" s="11">
        <f>F2068*Summary!$B$7</f>
        <v/>
      </c>
      <c r="I2068" s="11">
        <f>MAX(0,N2068-M2068)</f>
        <v/>
      </c>
      <c r="J2068" s="11">
        <f>MAX(0,M2068-N2068)</f>
        <v/>
      </c>
      <c r="K2068" s="11">
        <f>O2068</f>
        <v/>
      </c>
      <c r="L2068" s="11">
        <f>L2067+IF(K2068&gt;0,K2068*Summary!$B$9,K2068/Summary!$B$9)</f>
        <v/>
      </c>
      <c r="M2068" s="11">
        <f>G2068+H2068</f>
        <v/>
      </c>
      <c r="N2068" s="11">
        <f>Summary!$C$16*Summary!$B$8</f>
        <v/>
      </c>
      <c r="O2068" s="11">
        <f>M2068-N2068</f>
        <v/>
      </c>
    </row>
    <row r="2069">
      <c r="A2069" s="9" t="n">
        <v>45378.125</v>
      </c>
      <c r="B2069" t="n">
        <v>3</v>
      </c>
      <c r="C2069" t="n">
        <v>27</v>
      </c>
      <c r="D2069" t="n">
        <v>3</v>
      </c>
      <c r="E2069" s="10" t="n">
        <v>0</v>
      </c>
      <c r="F2069" s="10" t="n">
        <v>0.3123766829704039</v>
      </c>
      <c r="G2069" s="11">
        <f>E2069*Summary!$B$6</f>
        <v/>
      </c>
      <c r="H2069" s="11">
        <f>F2069*Summary!$B$7</f>
        <v/>
      </c>
      <c r="I2069" s="11">
        <f>MAX(0,N2069-M2069)</f>
        <v/>
      </c>
      <c r="J2069" s="11">
        <f>MAX(0,M2069-N2069)</f>
        <v/>
      </c>
      <c r="K2069" s="11">
        <f>O2069</f>
        <v/>
      </c>
      <c r="L2069" s="11">
        <f>L2068+IF(K2069&gt;0,K2069*Summary!$B$9,K2069/Summary!$B$9)</f>
        <v/>
      </c>
      <c r="M2069" s="11">
        <f>G2069+H2069</f>
        <v/>
      </c>
      <c r="N2069" s="11">
        <f>Summary!$C$16*Summary!$B$8</f>
        <v/>
      </c>
      <c r="O2069" s="11">
        <f>M2069-N2069</f>
        <v/>
      </c>
    </row>
    <row r="2070">
      <c r="A2070" s="9" t="n">
        <v>45378.16666666666</v>
      </c>
      <c r="B2070" t="n">
        <v>3</v>
      </c>
      <c r="C2070" t="n">
        <v>27</v>
      </c>
      <c r="D2070" t="n">
        <v>4</v>
      </c>
      <c r="E2070" s="10" t="n">
        <v>0</v>
      </c>
      <c r="F2070" s="10" t="n">
        <v>0.3213627171270521</v>
      </c>
      <c r="G2070" s="11">
        <f>E2070*Summary!$B$6</f>
        <v/>
      </c>
      <c r="H2070" s="11">
        <f>F2070*Summary!$B$7</f>
        <v/>
      </c>
      <c r="I2070" s="11">
        <f>MAX(0,N2070-M2070)</f>
        <v/>
      </c>
      <c r="J2070" s="11">
        <f>MAX(0,M2070-N2070)</f>
        <v/>
      </c>
      <c r="K2070" s="11">
        <f>O2070</f>
        <v/>
      </c>
      <c r="L2070" s="11">
        <f>L2069+IF(K2070&gt;0,K2070*Summary!$B$9,K2070/Summary!$B$9)</f>
        <v/>
      </c>
      <c r="M2070" s="11">
        <f>G2070+H2070</f>
        <v/>
      </c>
      <c r="N2070" s="11">
        <f>Summary!$C$16*Summary!$B$8</f>
        <v/>
      </c>
      <c r="O2070" s="11">
        <f>M2070-N2070</f>
        <v/>
      </c>
    </row>
    <row r="2071">
      <c r="A2071" s="9" t="n">
        <v>45378.20833333334</v>
      </c>
      <c r="B2071" t="n">
        <v>3</v>
      </c>
      <c r="C2071" t="n">
        <v>27</v>
      </c>
      <c r="D2071" t="n">
        <v>5</v>
      </c>
      <c r="E2071" s="10" t="n">
        <v>0</v>
      </c>
      <c r="F2071" s="10" t="n">
        <v>0.32858316685996</v>
      </c>
      <c r="G2071" s="11">
        <f>E2071*Summary!$B$6</f>
        <v/>
      </c>
      <c r="H2071" s="11">
        <f>F2071*Summary!$B$7</f>
        <v/>
      </c>
      <c r="I2071" s="11">
        <f>MAX(0,N2071-M2071)</f>
        <v/>
      </c>
      <c r="J2071" s="11">
        <f>MAX(0,M2071-N2071)</f>
        <v/>
      </c>
      <c r="K2071" s="11">
        <f>O2071</f>
        <v/>
      </c>
      <c r="L2071" s="11">
        <f>L2070+IF(K2071&gt;0,K2071*Summary!$B$9,K2071/Summary!$B$9)</f>
        <v/>
      </c>
      <c r="M2071" s="11">
        <f>G2071+H2071</f>
        <v/>
      </c>
      <c r="N2071" s="11">
        <f>Summary!$C$16*Summary!$B$8</f>
        <v/>
      </c>
      <c r="O2071" s="11">
        <f>M2071-N2071</f>
        <v/>
      </c>
    </row>
    <row r="2072">
      <c r="A2072" s="9" t="n">
        <v>45378.25</v>
      </c>
      <c r="B2072" t="n">
        <v>3</v>
      </c>
      <c r="C2072" t="n">
        <v>27</v>
      </c>
      <c r="D2072" t="n">
        <v>6</v>
      </c>
      <c r="E2072" s="10" t="n">
        <v>0</v>
      </c>
      <c r="F2072" s="10" t="n">
        <v>0.333616400067936</v>
      </c>
      <c r="G2072" s="11">
        <f>E2072*Summary!$B$6</f>
        <v/>
      </c>
      <c r="H2072" s="11">
        <f>F2072*Summary!$B$7</f>
        <v/>
      </c>
      <c r="I2072" s="11">
        <f>MAX(0,N2072-M2072)</f>
        <v/>
      </c>
      <c r="J2072" s="11">
        <f>MAX(0,M2072-N2072)</f>
        <v/>
      </c>
      <c r="K2072" s="11">
        <f>O2072</f>
        <v/>
      </c>
      <c r="L2072" s="11">
        <f>L2071+IF(K2072&gt;0,K2072*Summary!$B$9,K2072/Summary!$B$9)</f>
        <v/>
      </c>
      <c r="M2072" s="11">
        <f>G2072+H2072</f>
        <v/>
      </c>
      <c r="N2072" s="11">
        <f>Summary!$C$16*Summary!$B$8</f>
        <v/>
      </c>
      <c r="O2072" s="11">
        <f>M2072-N2072</f>
        <v/>
      </c>
    </row>
    <row r="2073">
      <c r="A2073" s="9" t="n">
        <v>45378.29166666666</v>
      </c>
      <c r="B2073" t="n">
        <v>3</v>
      </c>
      <c r="C2073" t="n">
        <v>27</v>
      </c>
      <c r="D2073" t="n">
        <v>7</v>
      </c>
      <c r="E2073" s="10" t="n">
        <v>0.010213</v>
      </c>
      <c r="F2073" s="10" t="n">
        <v>0.3233654696077127</v>
      </c>
      <c r="G2073" s="11">
        <f>E2073*Summary!$B$6</f>
        <v/>
      </c>
      <c r="H2073" s="11">
        <f>F2073*Summary!$B$7</f>
        <v/>
      </c>
      <c r="I2073" s="11">
        <f>MAX(0,N2073-M2073)</f>
        <v/>
      </c>
      <c r="J2073" s="11">
        <f>MAX(0,M2073-N2073)</f>
        <v/>
      </c>
      <c r="K2073" s="11">
        <f>O2073</f>
        <v/>
      </c>
      <c r="L2073" s="11">
        <f>L2072+IF(K2073&gt;0,K2073*Summary!$B$9,K2073/Summary!$B$9)</f>
        <v/>
      </c>
      <c r="M2073" s="11">
        <f>G2073+H2073</f>
        <v/>
      </c>
      <c r="N2073" s="11">
        <f>Summary!$C$16*Summary!$B$8</f>
        <v/>
      </c>
      <c r="O2073" s="11">
        <f>M2073-N2073</f>
        <v/>
      </c>
    </row>
    <row r="2074">
      <c r="A2074" s="9" t="n">
        <v>45378.33333333334</v>
      </c>
      <c r="B2074" t="n">
        <v>3</v>
      </c>
      <c r="C2074" t="n">
        <v>27</v>
      </c>
      <c r="D2074" t="n">
        <v>8</v>
      </c>
      <c r="E2074" s="10" t="n">
        <v>0.024226</v>
      </c>
      <c r="F2074" s="10" t="n">
        <v>0.2999121839789242</v>
      </c>
      <c r="G2074" s="11">
        <f>E2074*Summary!$B$6</f>
        <v/>
      </c>
      <c r="H2074" s="11">
        <f>F2074*Summary!$B$7</f>
        <v/>
      </c>
      <c r="I2074" s="11">
        <f>MAX(0,N2074-M2074)</f>
        <v/>
      </c>
      <c r="J2074" s="11">
        <f>MAX(0,M2074-N2074)</f>
        <v/>
      </c>
      <c r="K2074" s="11">
        <f>O2074</f>
        <v/>
      </c>
      <c r="L2074" s="11">
        <f>L2073+IF(K2074&gt;0,K2074*Summary!$B$9,K2074/Summary!$B$9)</f>
        <v/>
      </c>
      <c r="M2074" s="11">
        <f>G2074+H2074</f>
        <v/>
      </c>
      <c r="N2074" s="11">
        <f>Summary!$C$16*Summary!$B$8</f>
        <v/>
      </c>
      <c r="O2074" s="11">
        <f>M2074-N2074</f>
        <v/>
      </c>
    </row>
    <row r="2075">
      <c r="A2075" s="9" t="n">
        <v>45378.375</v>
      </c>
      <c r="B2075" t="n">
        <v>3</v>
      </c>
      <c r="C2075" t="n">
        <v>27</v>
      </c>
      <c r="D2075" t="n">
        <v>9</v>
      </c>
      <c r="E2075" s="10" t="n">
        <v>0.044907</v>
      </c>
      <c r="F2075" s="10" t="n">
        <v>0.2897403095376743</v>
      </c>
      <c r="G2075" s="11">
        <f>E2075*Summary!$B$6</f>
        <v/>
      </c>
      <c r="H2075" s="11">
        <f>F2075*Summary!$B$7</f>
        <v/>
      </c>
      <c r="I2075" s="11">
        <f>MAX(0,N2075-M2075)</f>
        <v/>
      </c>
      <c r="J2075" s="11">
        <f>MAX(0,M2075-N2075)</f>
        <v/>
      </c>
      <c r="K2075" s="11">
        <f>O2075</f>
        <v/>
      </c>
      <c r="L2075" s="11">
        <f>L2074+IF(K2075&gt;0,K2075*Summary!$B$9,K2075/Summary!$B$9)</f>
        <v/>
      </c>
      <c r="M2075" s="11">
        <f>G2075+H2075</f>
        <v/>
      </c>
      <c r="N2075" s="11">
        <f>Summary!$C$16*Summary!$B$8</f>
        <v/>
      </c>
      <c r="O2075" s="11">
        <f>M2075-N2075</f>
        <v/>
      </c>
    </row>
    <row r="2076">
      <c r="A2076" s="9" t="n">
        <v>45378.41666666666</v>
      </c>
      <c r="B2076" t="n">
        <v>3</v>
      </c>
      <c r="C2076" t="n">
        <v>27</v>
      </c>
      <c r="D2076" t="n">
        <v>10</v>
      </c>
      <c r="E2076" s="10" t="n">
        <v>0.071617</v>
      </c>
      <c r="F2076" s="10" t="n">
        <v>0.2903991096957863</v>
      </c>
      <c r="G2076" s="11">
        <f>E2076*Summary!$B$6</f>
        <v/>
      </c>
      <c r="H2076" s="11">
        <f>F2076*Summary!$B$7</f>
        <v/>
      </c>
      <c r="I2076" s="11">
        <f>MAX(0,N2076-M2076)</f>
        <v/>
      </c>
      <c r="J2076" s="11">
        <f>MAX(0,M2076-N2076)</f>
        <v/>
      </c>
      <c r="K2076" s="11">
        <f>O2076</f>
        <v/>
      </c>
      <c r="L2076" s="11">
        <f>L2075+IF(K2076&gt;0,K2076*Summary!$B$9,K2076/Summary!$B$9)</f>
        <v/>
      </c>
      <c r="M2076" s="11">
        <f>G2076+H2076</f>
        <v/>
      </c>
      <c r="N2076" s="11">
        <f>Summary!$C$16*Summary!$B$8</f>
        <v/>
      </c>
      <c r="O2076" s="11">
        <f>M2076-N2076</f>
        <v/>
      </c>
    </row>
    <row r="2077">
      <c r="A2077" s="9" t="n">
        <v>45378.45833333334</v>
      </c>
      <c r="B2077" t="n">
        <v>3</v>
      </c>
      <c r="C2077" t="n">
        <v>27</v>
      </c>
      <c r="D2077" t="n">
        <v>11</v>
      </c>
      <c r="E2077" s="10" t="n">
        <v>0.089851</v>
      </c>
      <c r="F2077" s="10" t="n">
        <v>0.299411495858759</v>
      </c>
      <c r="G2077" s="11">
        <f>E2077*Summary!$B$6</f>
        <v/>
      </c>
      <c r="H2077" s="11">
        <f>F2077*Summary!$B$7</f>
        <v/>
      </c>
      <c r="I2077" s="11">
        <f>MAX(0,N2077-M2077)</f>
        <v/>
      </c>
      <c r="J2077" s="11">
        <f>MAX(0,M2077-N2077)</f>
        <v/>
      </c>
      <c r="K2077" s="11">
        <f>O2077</f>
        <v/>
      </c>
      <c r="L2077" s="11">
        <f>L2076+IF(K2077&gt;0,K2077*Summary!$B$9,K2077/Summary!$B$9)</f>
        <v/>
      </c>
      <c r="M2077" s="11">
        <f>G2077+H2077</f>
        <v/>
      </c>
      <c r="N2077" s="11">
        <f>Summary!$C$16*Summary!$B$8</f>
        <v/>
      </c>
      <c r="O2077" s="11">
        <f>M2077-N2077</f>
        <v/>
      </c>
    </row>
    <row r="2078">
      <c r="A2078" s="9" t="n">
        <v>45378.5</v>
      </c>
      <c r="B2078" t="n">
        <v>3</v>
      </c>
      <c r="C2078" t="n">
        <v>27</v>
      </c>
      <c r="D2078" t="n">
        <v>12</v>
      </c>
      <c r="E2078" s="10" t="n">
        <v>0.115202</v>
      </c>
      <c r="F2078" s="10" t="n">
        <v>0.3134307632233831</v>
      </c>
      <c r="G2078" s="11">
        <f>E2078*Summary!$B$6</f>
        <v/>
      </c>
      <c r="H2078" s="11">
        <f>F2078*Summary!$B$7</f>
        <v/>
      </c>
      <c r="I2078" s="11">
        <f>MAX(0,N2078-M2078)</f>
        <v/>
      </c>
      <c r="J2078" s="11">
        <f>MAX(0,M2078-N2078)</f>
        <v/>
      </c>
      <c r="K2078" s="11">
        <f>O2078</f>
        <v/>
      </c>
      <c r="L2078" s="11">
        <f>L2077+IF(K2078&gt;0,K2078*Summary!$B$9,K2078/Summary!$B$9)</f>
        <v/>
      </c>
      <c r="M2078" s="11">
        <f>G2078+H2078</f>
        <v/>
      </c>
      <c r="N2078" s="11">
        <f>Summary!$C$16*Summary!$B$8</f>
        <v/>
      </c>
      <c r="O2078" s="11">
        <f>M2078-N2078</f>
        <v/>
      </c>
    </row>
    <row r="2079">
      <c r="A2079" s="9" t="n">
        <v>45378.54166666666</v>
      </c>
      <c r="B2079" t="n">
        <v>3</v>
      </c>
      <c r="C2079" t="n">
        <v>27</v>
      </c>
      <c r="D2079" t="n">
        <v>13</v>
      </c>
      <c r="E2079" s="10" t="n">
        <v>0.13957</v>
      </c>
      <c r="F2079" s="10" t="n">
        <v>0.3260797262591343</v>
      </c>
      <c r="G2079" s="11">
        <f>E2079*Summary!$B$6</f>
        <v/>
      </c>
      <c r="H2079" s="11">
        <f>F2079*Summary!$B$7</f>
        <v/>
      </c>
      <c r="I2079" s="11">
        <f>MAX(0,N2079-M2079)</f>
        <v/>
      </c>
      <c r="J2079" s="11">
        <f>MAX(0,M2079-N2079)</f>
        <v/>
      </c>
      <c r="K2079" s="11">
        <f>O2079</f>
        <v/>
      </c>
      <c r="L2079" s="11">
        <f>L2078+IF(K2079&gt;0,K2079*Summary!$B$9,K2079/Summary!$B$9)</f>
        <v/>
      </c>
      <c r="M2079" s="11">
        <f>G2079+H2079</f>
        <v/>
      </c>
      <c r="N2079" s="11">
        <f>Summary!$C$16*Summary!$B$8</f>
        <v/>
      </c>
      <c r="O2079" s="11">
        <f>M2079-N2079</f>
        <v/>
      </c>
    </row>
    <row r="2080">
      <c r="A2080" s="9" t="n">
        <v>45378.58333333334</v>
      </c>
      <c r="B2080" t="n">
        <v>3</v>
      </c>
      <c r="C2080" t="n">
        <v>27</v>
      </c>
      <c r="D2080" t="n">
        <v>14</v>
      </c>
      <c r="E2080" s="10" t="n">
        <v>0.122679</v>
      </c>
      <c r="F2080" s="10" t="n">
        <v>0.3388340973201833</v>
      </c>
      <c r="G2080" s="11">
        <f>E2080*Summary!$B$6</f>
        <v/>
      </c>
      <c r="H2080" s="11">
        <f>F2080*Summary!$B$7</f>
        <v/>
      </c>
      <c r="I2080" s="11">
        <f>MAX(0,N2080-M2080)</f>
        <v/>
      </c>
      <c r="J2080" s="11">
        <f>MAX(0,M2080-N2080)</f>
        <v/>
      </c>
      <c r="K2080" s="11">
        <f>O2080</f>
        <v/>
      </c>
      <c r="L2080" s="11">
        <f>L2079+IF(K2080&gt;0,K2080*Summary!$B$9,K2080/Summary!$B$9)</f>
        <v/>
      </c>
      <c r="M2080" s="11">
        <f>G2080+H2080</f>
        <v/>
      </c>
      <c r="N2080" s="11">
        <f>Summary!$C$16*Summary!$B$8</f>
        <v/>
      </c>
      <c r="O2080" s="11">
        <f>M2080-N2080</f>
        <v/>
      </c>
    </row>
    <row r="2081">
      <c r="A2081" s="9" t="n">
        <v>45378.625</v>
      </c>
      <c r="B2081" t="n">
        <v>3</v>
      </c>
      <c r="C2081" t="n">
        <v>27</v>
      </c>
      <c r="D2081" t="n">
        <v>15</v>
      </c>
      <c r="E2081" s="10" t="n">
        <v>0.122111</v>
      </c>
      <c r="F2081" s="10" t="n">
        <v>0.3744620098708824</v>
      </c>
      <c r="G2081" s="11">
        <f>E2081*Summary!$B$6</f>
        <v/>
      </c>
      <c r="H2081" s="11">
        <f>F2081*Summary!$B$7</f>
        <v/>
      </c>
      <c r="I2081" s="11">
        <f>MAX(0,N2081-M2081)</f>
        <v/>
      </c>
      <c r="J2081" s="11">
        <f>MAX(0,M2081-N2081)</f>
        <v/>
      </c>
      <c r="K2081" s="11">
        <f>O2081</f>
        <v/>
      </c>
      <c r="L2081" s="11">
        <f>L2080+IF(K2081&gt;0,K2081*Summary!$B$9,K2081/Summary!$B$9)</f>
        <v/>
      </c>
      <c r="M2081" s="11">
        <f>G2081+H2081</f>
        <v/>
      </c>
      <c r="N2081" s="11">
        <f>Summary!$C$16*Summary!$B$8</f>
        <v/>
      </c>
      <c r="O2081" s="11">
        <f>M2081-N2081</f>
        <v/>
      </c>
    </row>
    <row r="2082">
      <c r="A2082" s="9" t="n">
        <v>45378.66666666666</v>
      </c>
      <c r="B2082" t="n">
        <v>3</v>
      </c>
      <c r="C2082" t="n">
        <v>27</v>
      </c>
      <c r="D2082" t="n">
        <v>16</v>
      </c>
      <c r="E2082" s="10" t="n">
        <v>0.068451</v>
      </c>
      <c r="F2082" s="10" t="n">
        <v>0.3532749967859992</v>
      </c>
      <c r="G2082" s="11">
        <f>E2082*Summary!$B$6</f>
        <v/>
      </c>
      <c r="H2082" s="11">
        <f>F2082*Summary!$B$7</f>
        <v/>
      </c>
      <c r="I2082" s="11">
        <f>MAX(0,N2082-M2082)</f>
        <v/>
      </c>
      <c r="J2082" s="11">
        <f>MAX(0,M2082-N2082)</f>
        <v/>
      </c>
      <c r="K2082" s="11">
        <f>O2082</f>
        <v/>
      </c>
      <c r="L2082" s="11">
        <f>L2081+IF(K2082&gt;0,K2082*Summary!$B$9,K2082/Summary!$B$9)</f>
        <v/>
      </c>
      <c r="M2082" s="11">
        <f>G2082+H2082</f>
        <v/>
      </c>
      <c r="N2082" s="11">
        <f>Summary!$C$16*Summary!$B$8</f>
        <v/>
      </c>
      <c r="O2082" s="11">
        <f>M2082-N2082</f>
        <v/>
      </c>
    </row>
    <row r="2083">
      <c r="A2083" s="9" t="n">
        <v>45378.70833333334</v>
      </c>
      <c r="B2083" t="n">
        <v>3</v>
      </c>
      <c r="C2083" t="n">
        <v>27</v>
      </c>
      <c r="D2083" t="n">
        <v>17</v>
      </c>
      <c r="E2083" s="10" t="n">
        <v>0.026795</v>
      </c>
      <c r="F2083" s="10" t="n">
        <v>0.3611805986833437</v>
      </c>
      <c r="G2083" s="11">
        <f>E2083*Summary!$B$6</f>
        <v/>
      </c>
      <c r="H2083" s="11">
        <f>F2083*Summary!$B$7</f>
        <v/>
      </c>
      <c r="I2083" s="11">
        <f>MAX(0,N2083-M2083)</f>
        <v/>
      </c>
      <c r="J2083" s="11">
        <f>MAX(0,M2083-N2083)</f>
        <v/>
      </c>
      <c r="K2083" s="11">
        <f>O2083</f>
        <v/>
      </c>
      <c r="L2083" s="11">
        <f>L2082+IF(K2083&gt;0,K2083*Summary!$B$9,K2083/Summary!$B$9)</f>
        <v/>
      </c>
      <c r="M2083" s="11">
        <f>G2083+H2083</f>
        <v/>
      </c>
      <c r="N2083" s="11">
        <f>Summary!$C$16*Summary!$B$8</f>
        <v/>
      </c>
      <c r="O2083" s="11">
        <f>M2083-N2083</f>
        <v/>
      </c>
    </row>
    <row r="2084">
      <c r="A2084" s="9" t="n">
        <v>45378.75</v>
      </c>
      <c r="B2084" t="n">
        <v>3</v>
      </c>
      <c r="C2084" t="n">
        <v>27</v>
      </c>
      <c r="D2084" t="n">
        <v>18</v>
      </c>
      <c r="E2084" s="10" t="n">
        <v>0</v>
      </c>
      <c r="F2084" s="10" t="n">
        <v>0.3720112732827056</v>
      </c>
      <c r="G2084" s="11">
        <f>E2084*Summary!$B$6</f>
        <v/>
      </c>
      <c r="H2084" s="11">
        <f>F2084*Summary!$B$7</f>
        <v/>
      </c>
      <c r="I2084" s="11">
        <f>MAX(0,N2084-M2084)</f>
        <v/>
      </c>
      <c r="J2084" s="11">
        <f>MAX(0,M2084-N2084)</f>
        <v/>
      </c>
      <c r="K2084" s="11">
        <f>O2084</f>
        <v/>
      </c>
      <c r="L2084" s="11">
        <f>L2083+IF(K2084&gt;0,K2084*Summary!$B$9,K2084/Summary!$B$9)</f>
        <v/>
      </c>
      <c r="M2084" s="11">
        <f>G2084+H2084</f>
        <v/>
      </c>
      <c r="N2084" s="11">
        <f>Summary!$C$16*Summary!$B$8</f>
        <v/>
      </c>
      <c r="O2084" s="11">
        <f>M2084-N2084</f>
        <v/>
      </c>
    </row>
    <row r="2085">
      <c r="A2085" s="9" t="n">
        <v>45378.79166666666</v>
      </c>
      <c r="B2085" t="n">
        <v>3</v>
      </c>
      <c r="C2085" t="n">
        <v>27</v>
      </c>
      <c r="D2085" t="n">
        <v>19</v>
      </c>
      <c r="E2085" s="10" t="n">
        <v>0</v>
      </c>
      <c r="F2085" s="10" t="n">
        <v>0.3834216920212061</v>
      </c>
      <c r="G2085" s="11">
        <f>E2085*Summary!$B$6</f>
        <v/>
      </c>
      <c r="H2085" s="11">
        <f>F2085*Summary!$B$7</f>
        <v/>
      </c>
      <c r="I2085" s="11">
        <f>MAX(0,N2085-M2085)</f>
        <v/>
      </c>
      <c r="J2085" s="11">
        <f>MAX(0,M2085-N2085)</f>
        <v/>
      </c>
      <c r="K2085" s="11">
        <f>O2085</f>
        <v/>
      </c>
      <c r="L2085" s="11">
        <f>L2084+IF(K2085&gt;0,K2085*Summary!$B$9,K2085/Summary!$B$9)</f>
        <v/>
      </c>
      <c r="M2085" s="11">
        <f>G2085+H2085</f>
        <v/>
      </c>
      <c r="N2085" s="11">
        <f>Summary!$C$16*Summary!$B$8</f>
        <v/>
      </c>
      <c r="O2085" s="11">
        <f>M2085-N2085</f>
        <v/>
      </c>
    </row>
    <row r="2086">
      <c r="A2086" s="9" t="n">
        <v>45378.83333333334</v>
      </c>
      <c r="B2086" t="n">
        <v>3</v>
      </c>
      <c r="C2086" t="n">
        <v>27</v>
      </c>
      <c r="D2086" t="n">
        <v>20</v>
      </c>
      <c r="E2086" s="10" t="n">
        <v>0</v>
      </c>
      <c r="F2086" s="10" t="n">
        <v>0.3858987806157073</v>
      </c>
      <c r="G2086" s="11">
        <f>E2086*Summary!$B$6</f>
        <v/>
      </c>
      <c r="H2086" s="11">
        <f>F2086*Summary!$B$7</f>
        <v/>
      </c>
      <c r="I2086" s="11">
        <f>MAX(0,N2086-M2086)</f>
        <v/>
      </c>
      <c r="J2086" s="11">
        <f>MAX(0,M2086-N2086)</f>
        <v/>
      </c>
      <c r="K2086" s="11">
        <f>O2086</f>
        <v/>
      </c>
      <c r="L2086" s="11">
        <f>L2085+IF(K2086&gt;0,K2086*Summary!$B$9,K2086/Summary!$B$9)</f>
        <v/>
      </c>
      <c r="M2086" s="11">
        <f>G2086+H2086</f>
        <v/>
      </c>
      <c r="N2086" s="11">
        <f>Summary!$C$16*Summary!$B$8</f>
        <v/>
      </c>
      <c r="O2086" s="11">
        <f>M2086-N2086</f>
        <v/>
      </c>
    </row>
    <row r="2087">
      <c r="A2087" s="9" t="n">
        <v>45378.875</v>
      </c>
      <c r="B2087" t="n">
        <v>3</v>
      </c>
      <c r="C2087" t="n">
        <v>27</v>
      </c>
      <c r="D2087" t="n">
        <v>21</v>
      </c>
      <c r="E2087" s="10" t="n">
        <v>0</v>
      </c>
      <c r="F2087" s="10" t="n">
        <v>0.383579804059153</v>
      </c>
      <c r="G2087" s="11">
        <f>E2087*Summary!$B$6</f>
        <v/>
      </c>
      <c r="H2087" s="11">
        <f>F2087*Summary!$B$7</f>
        <v/>
      </c>
      <c r="I2087" s="11">
        <f>MAX(0,N2087-M2087)</f>
        <v/>
      </c>
      <c r="J2087" s="11">
        <f>MAX(0,M2087-N2087)</f>
        <v/>
      </c>
      <c r="K2087" s="11">
        <f>O2087</f>
        <v/>
      </c>
      <c r="L2087" s="11">
        <f>L2086+IF(K2087&gt;0,K2087*Summary!$B$9,K2087/Summary!$B$9)</f>
        <v/>
      </c>
      <c r="M2087" s="11">
        <f>G2087+H2087</f>
        <v/>
      </c>
      <c r="N2087" s="11">
        <f>Summary!$C$16*Summary!$B$8</f>
        <v/>
      </c>
      <c r="O2087" s="11">
        <f>M2087-N2087</f>
        <v/>
      </c>
    </row>
    <row r="2088">
      <c r="A2088" s="9" t="n">
        <v>45378.91666666666</v>
      </c>
      <c r="B2088" t="n">
        <v>3</v>
      </c>
      <c r="C2088" t="n">
        <v>27</v>
      </c>
      <c r="D2088" t="n">
        <v>22</v>
      </c>
      <c r="E2088" s="10" t="n">
        <v>0</v>
      </c>
      <c r="F2088" s="10" t="n">
        <v>0.3327467838592281</v>
      </c>
      <c r="G2088" s="11">
        <f>E2088*Summary!$B$6</f>
        <v/>
      </c>
      <c r="H2088" s="11">
        <f>F2088*Summary!$B$7</f>
        <v/>
      </c>
      <c r="I2088" s="11">
        <f>MAX(0,N2088-M2088)</f>
        <v/>
      </c>
      <c r="J2088" s="11">
        <f>MAX(0,M2088-N2088)</f>
        <v/>
      </c>
      <c r="K2088" s="11">
        <f>O2088</f>
        <v/>
      </c>
      <c r="L2088" s="11">
        <f>L2087+IF(K2088&gt;0,K2088*Summary!$B$9,K2088/Summary!$B$9)</f>
        <v/>
      </c>
      <c r="M2088" s="11">
        <f>G2088+H2088</f>
        <v/>
      </c>
      <c r="N2088" s="11">
        <f>Summary!$C$16*Summary!$B$8</f>
        <v/>
      </c>
      <c r="O2088" s="11">
        <f>M2088-N2088</f>
        <v/>
      </c>
    </row>
    <row r="2089">
      <c r="A2089" s="9" t="n">
        <v>45378.95833333334</v>
      </c>
      <c r="B2089" t="n">
        <v>3</v>
      </c>
      <c r="C2089" t="n">
        <v>27</v>
      </c>
      <c r="D2089" t="n">
        <v>23</v>
      </c>
      <c r="E2089" s="10" t="n">
        <v>0</v>
      </c>
      <c r="F2089" s="10" t="n">
        <v>0.3783884588132301</v>
      </c>
      <c r="G2089" s="11">
        <f>E2089*Summary!$B$6</f>
        <v/>
      </c>
      <c r="H2089" s="11">
        <f>F2089*Summary!$B$7</f>
        <v/>
      </c>
      <c r="I2089" s="11">
        <f>MAX(0,N2089-M2089)</f>
        <v/>
      </c>
      <c r="J2089" s="11">
        <f>MAX(0,M2089-N2089)</f>
        <v/>
      </c>
      <c r="K2089" s="11">
        <f>O2089</f>
        <v/>
      </c>
      <c r="L2089" s="11">
        <f>L2088+IF(K2089&gt;0,K2089*Summary!$B$9,K2089/Summary!$B$9)</f>
        <v/>
      </c>
      <c r="M2089" s="11">
        <f>G2089+H2089</f>
        <v/>
      </c>
      <c r="N2089" s="11">
        <f>Summary!$C$16*Summary!$B$8</f>
        <v/>
      </c>
      <c r="O2089" s="11">
        <f>M2089-N2089</f>
        <v/>
      </c>
    </row>
    <row r="2090">
      <c r="A2090" s="9" t="n">
        <v>45379</v>
      </c>
      <c r="B2090" t="n">
        <v>3</v>
      </c>
      <c r="C2090" t="n">
        <v>28</v>
      </c>
      <c r="D2090" t="n">
        <v>0</v>
      </c>
      <c r="E2090" s="10" t="n">
        <v>0</v>
      </c>
      <c r="F2090" s="10" t="n">
        <v>0.4368372088409301</v>
      </c>
      <c r="G2090" s="11">
        <f>E2090*Summary!$B$6</f>
        <v/>
      </c>
      <c r="H2090" s="11">
        <f>F2090*Summary!$B$7</f>
        <v/>
      </c>
      <c r="I2090" s="11">
        <f>MAX(0,N2090-M2090)</f>
        <v/>
      </c>
      <c r="J2090" s="11">
        <f>MAX(0,M2090-N2090)</f>
        <v/>
      </c>
      <c r="K2090" s="11">
        <f>O2090</f>
        <v/>
      </c>
      <c r="L2090" s="11">
        <f>L2089+IF(K2090&gt;0,K2090*Summary!$B$9,K2090/Summary!$B$9)</f>
        <v/>
      </c>
      <c r="M2090" s="11">
        <f>G2090+H2090</f>
        <v/>
      </c>
      <c r="N2090" s="11">
        <f>Summary!$C$16*Summary!$B$8</f>
        <v/>
      </c>
      <c r="O2090" s="11">
        <f>M2090-N2090</f>
        <v/>
      </c>
    </row>
    <row r="2091">
      <c r="A2091" s="9" t="n">
        <v>45379.04166666666</v>
      </c>
      <c r="B2091" t="n">
        <v>3</v>
      </c>
      <c r="C2091" t="n">
        <v>28</v>
      </c>
      <c r="D2091" t="n">
        <v>1</v>
      </c>
      <c r="E2091" s="10" t="n">
        <v>0</v>
      </c>
      <c r="F2091" s="10" t="n">
        <v>0.375647850155484</v>
      </c>
      <c r="G2091" s="11">
        <f>E2091*Summary!$B$6</f>
        <v/>
      </c>
      <c r="H2091" s="11">
        <f>F2091*Summary!$B$7</f>
        <v/>
      </c>
      <c r="I2091" s="11">
        <f>MAX(0,N2091-M2091)</f>
        <v/>
      </c>
      <c r="J2091" s="11">
        <f>MAX(0,M2091-N2091)</f>
        <v/>
      </c>
      <c r="K2091" s="11">
        <f>O2091</f>
        <v/>
      </c>
      <c r="L2091" s="11">
        <f>L2090+IF(K2091&gt;0,K2091*Summary!$B$9,K2091/Summary!$B$9)</f>
        <v/>
      </c>
      <c r="M2091" s="11">
        <f>G2091+H2091</f>
        <v/>
      </c>
      <c r="N2091" s="11">
        <f>Summary!$C$16*Summary!$B$8</f>
        <v/>
      </c>
      <c r="O2091" s="11">
        <f>M2091-N2091</f>
        <v/>
      </c>
    </row>
    <row r="2092">
      <c r="A2092" s="9" t="n">
        <v>45379.08333333334</v>
      </c>
      <c r="B2092" t="n">
        <v>3</v>
      </c>
      <c r="C2092" t="n">
        <v>28</v>
      </c>
      <c r="D2092" t="n">
        <v>2</v>
      </c>
      <c r="E2092" s="10" t="n">
        <v>0</v>
      </c>
      <c r="F2092" s="10" t="n">
        <v>0.3894563014695123</v>
      </c>
      <c r="G2092" s="11">
        <f>E2092*Summary!$B$6</f>
        <v/>
      </c>
      <c r="H2092" s="11">
        <f>F2092*Summary!$B$7</f>
        <v/>
      </c>
      <c r="I2092" s="11">
        <f>MAX(0,N2092-M2092)</f>
        <v/>
      </c>
      <c r="J2092" s="11">
        <f>MAX(0,M2092-N2092)</f>
        <v/>
      </c>
      <c r="K2092" s="11">
        <f>O2092</f>
        <v/>
      </c>
      <c r="L2092" s="11">
        <f>L2091+IF(K2092&gt;0,K2092*Summary!$B$9,K2092/Summary!$B$9)</f>
        <v/>
      </c>
      <c r="M2092" s="11">
        <f>G2092+H2092</f>
        <v/>
      </c>
      <c r="N2092" s="11">
        <f>Summary!$C$16*Summary!$B$8</f>
        <v/>
      </c>
      <c r="O2092" s="11">
        <f>M2092-N2092</f>
        <v/>
      </c>
    </row>
    <row r="2093">
      <c r="A2093" s="9" t="n">
        <v>45379.125</v>
      </c>
      <c r="B2093" t="n">
        <v>3</v>
      </c>
      <c r="C2093" t="n">
        <v>28</v>
      </c>
      <c r="D2093" t="n">
        <v>3</v>
      </c>
      <c r="E2093" s="10" t="n">
        <v>0</v>
      </c>
      <c r="F2093" s="10" t="n">
        <v>0.399232895815895</v>
      </c>
      <c r="G2093" s="11">
        <f>E2093*Summary!$B$6</f>
        <v/>
      </c>
      <c r="H2093" s="11">
        <f>F2093*Summary!$B$7</f>
        <v/>
      </c>
      <c r="I2093" s="11">
        <f>MAX(0,N2093-M2093)</f>
        <v/>
      </c>
      <c r="J2093" s="11">
        <f>MAX(0,M2093-N2093)</f>
        <v/>
      </c>
      <c r="K2093" s="11">
        <f>O2093</f>
        <v/>
      </c>
      <c r="L2093" s="11">
        <f>L2092+IF(K2093&gt;0,K2093*Summary!$B$9,K2093/Summary!$B$9)</f>
        <v/>
      </c>
      <c r="M2093" s="11">
        <f>G2093+H2093</f>
        <v/>
      </c>
      <c r="N2093" s="11">
        <f>Summary!$C$16*Summary!$B$8</f>
        <v/>
      </c>
      <c r="O2093" s="11">
        <f>M2093-N2093</f>
        <v/>
      </c>
    </row>
    <row r="2094">
      <c r="A2094" s="9" t="n">
        <v>45379.16666666666</v>
      </c>
      <c r="B2094" t="n">
        <v>3</v>
      </c>
      <c r="C2094" t="n">
        <v>28</v>
      </c>
      <c r="D2094" t="n">
        <v>4</v>
      </c>
      <c r="E2094" s="10" t="n">
        <v>0</v>
      </c>
      <c r="F2094" s="10" t="n">
        <v>0.4092203062128735</v>
      </c>
      <c r="G2094" s="11">
        <f>E2094*Summary!$B$6</f>
        <v/>
      </c>
      <c r="H2094" s="11">
        <f>F2094*Summary!$B$7</f>
        <v/>
      </c>
      <c r="I2094" s="11">
        <f>MAX(0,N2094-M2094)</f>
        <v/>
      </c>
      <c r="J2094" s="11">
        <f>MAX(0,M2094-N2094)</f>
        <v/>
      </c>
      <c r="K2094" s="11">
        <f>O2094</f>
        <v/>
      </c>
      <c r="L2094" s="11">
        <f>L2093+IF(K2094&gt;0,K2094*Summary!$B$9,K2094/Summary!$B$9)</f>
        <v/>
      </c>
      <c r="M2094" s="11">
        <f>G2094+H2094</f>
        <v/>
      </c>
      <c r="N2094" s="11">
        <f>Summary!$C$16*Summary!$B$8</f>
        <v/>
      </c>
      <c r="O2094" s="11">
        <f>M2094-N2094</f>
        <v/>
      </c>
    </row>
    <row r="2095">
      <c r="A2095" s="9" t="n">
        <v>45379.20833333334</v>
      </c>
      <c r="B2095" t="n">
        <v>3</v>
      </c>
      <c r="C2095" t="n">
        <v>28</v>
      </c>
      <c r="D2095" t="n">
        <v>5</v>
      </c>
      <c r="E2095" s="10" t="n">
        <v>0</v>
      </c>
      <c r="F2095" s="10" t="n">
        <v>0.4145434114904187</v>
      </c>
      <c r="G2095" s="11">
        <f>E2095*Summary!$B$6</f>
        <v/>
      </c>
      <c r="H2095" s="11">
        <f>F2095*Summary!$B$7</f>
        <v/>
      </c>
      <c r="I2095" s="11">
        <f>MAX(0,N2095-M2095)</f>
        <v/>
      </c>
      <c r="J2095" s="11">
        <f>MAX(0,M2095-N2095)</f>
        <v/>
      </c>
      <c r="K2095" s="11">
        <f>O2095</f>
        <v/>
      </c>
      <c r="L2095" s="11">
        <f>L2094+IF(K2095&gt;0,K2095*Summary!$B$9,K2095/Summary!$B$9)</f>
        <v/>
      </c>
      <c r="M2095" s="11">
        <f>G2095+H2095</f>
        <v/>
      </c>
      <c r="N2095" s="11">
        <f>Summary!$C$16*Summary!$B$8</f>
        <v/>
      </c>
      <c r="O2095" s="11">
        <f>M2095-N2095</f>
        <v/>
      </c>
    </row>
    <row r="2096">
      <c r="A2096" s="9" t="n">
        <v>45379.25</v>
      </c>
      <c r="B2096" t="n">
        <v>3</v>
      </c>
      <c r="C2096" t="n">
        <v>28</v>
      </c>
      <c r="D2096" t="n">
        <v>6</v>
      </c>
      <c r="E2096" s="10" t="n">
        <v>0.003783</v>
      </c>
      <c r="F2096" s="10" t="n">
        <v>0.4169941480785955</v>
      </c>
      <c r="G2096" s="11">
        <f>E2096*Summary!$B$6</f>
        <v/>
      </c>
      <c r="H2096" s="11">
        <f>F2096*Summary!$B$7</f>
        <v/>
      </c>
      <c r="I2096" s="11">
        <f>MAX(0,N2096-M2096)</f>
        <v/>
      </c>
      <c r="J2096" s="11">
        <f>MAX(0,M2096-N2096)</f>
        <v/>
      </c>
      <c r="K2096" s="11">
        <f>O2096</f>
        <v/>
      </c>
      <c r="L2096" s="11">
        <f>L2095+IF(K2096&gt;0,K2096*Summary!$B$9,K2096/Summary!$B$9)</f>
        <v/>
      </c>
      <c r="M2096" s="11">
        <f>G2096+H2096</f>
        <v/>
      </c>
      <c r="N2096" s="11">
        <f>Summary!$C$16*Summary!$B$8</f>
        <v/>
      </c>
      <c r="O2096" s="11">
        <f>M2096-N2096</f>
        <v/>
      </c>
    </row>
    <row r="2097">
      <c r="A2097" s="9" t="n">
        <v>45379.29166666666</v>
      </c>
      <c r="B2097" t="n">
        <v>3</v>
      </c>
      <c r="C2097" t="n">
        <v>28</v>
      </c>
      <c r="D2097" t="n">
        <v>7</v>
      </c>
      <c r="E2097" s="10" t="n">
        <v>0.061953</v>
      </c>
      <c r="F2097" s="10" t="n">
        <v>0.404924929181983</v>
      </c>
      <c r="G2097" s="11">
        <f>E2097*Summary!$B$6</f>
        <v/>
      </c>
      <c r="H2097" s="11">
        <f>F2097*Summary!$B$7</f>
        <v/>
      </c>
      <c r="I2097" s="11">
        <f>MAX(0,N2097-M2097)</f>
        <v/>
      </c>
      <c r="J2097" s="11">
        <f>MAX(0,M2097-N2097)</f>
        <v/>
      </c>
      <c r="K2097" s="11">
        <f>O2097</f>
        <v/>
      </c>
      <c r="L2097" s="11">
        <f>L2096+IF(K2097&gt;0,K2097*Summary!$B$9,K2097/Summary!$B$9)</f>
        <v/>
      </c>
      <c r="M2097" s="11">
        <f>G2097+H2097</f>
        <v/>
      </c>
      <c r="N2097" s="11">
        <f>Summary!$C$16*Summary!$B$8</f>
        <v/>
      </c>
      <c r="O2097" s="11">
        <f>M2097-N2097</f>
        <v/>
      </c>
    </row>
    <row r="2098">
      <c r="A2098" s="9" t="n">
        <v>45379.33333333334</v>
      </c>
      <c r="B2098" t="n">
        <v>3</v>
      </c>
      <c r="C2098" t="n">
        <v>28</v>
      </c>
      <c r="D2098" t="n">
        <v>8</v>
      </c>
      <c r="E2098" s="10" t="n">
        <v>0.323839</v>
      </c>
      <c r="F2098" s="10" t="n">
        <v>0.3858197245967339</v>
      </c>
      <c r="G2098" s="11">
        <f>E2098*Summary!$B$6</f>
        <v/>
      </c>
      <c r="H2098" s="11">
        <f>F2098*Summary!$B$7</f>
        <v/>
      </c>
      <c r="I2098" s="11">
        <f>MAX(0,N2098-M2098)</f>
        <v/>
      </c>
      <c r="J2098" s="11">
        <f>MAX(0,M2098-N2098)</f>
        <v/>
      </c>
      <c r="K2098" s="11">
        <f>O2098</f>
        <v/>
      </c>
      <c r="L2098" s="11">
        <f>L2097+IF(K2098&gt;0,K2098*Summary!$B$9,K2098/Summary!$B$9)</f>
        <v/>
      </c>
      <c r="M2098" s="11">
        <f>G2098+H2098</f>
        <v/>
      </c>
      <c r="N2098" s="11">
        <f>Summary!$C$16*Summary!$B$8</f>
        <v/>
      </c>
      <c r="O2098" s="11">
        <f>M2098-N2098</f>
        <v/>
      </c>
    </row>
    <row r="2099">
      <c r="A2099" s="9" t="n">
        <v>45379.375</v>
      </c>
      <c r="B2099" t="n">
        <v>3</v>
      </c>
      <c r="C2099" t="n">
        <v>28</v>
      </c>
      <c r="D2099" t="n">
        <v>9</v>
      </c>
      <c r="E2099" s="10" t="n">
        <v>0.481623</v>
      </c>
      <c r="F2099" s="10" t="n">
        <v>0.3755687941365106</v>
      </c>
      <c r="G2099" s="11">
        <f>E2099*Summary!$B$6</f>
        <v/>
      </c>
      <c r="H2099" s="11">
        <f>F2099*Summary!$B$7</f>
        <v/>
      </c>
      <c r="I2099" s="11">
        <f>MAX(0,N2099-M2099)</f>
        <v/>
      </c>
      <c r="J2099" s="11">
        <f>MAX(0,M2099-N2099)</f>
        <v/>
      </c>
      <c r="K2099" s="11">
        <f>O2099</f>
        <v/>
      </c>
      <c r="L2099" s="11">
        <f>L2098+IF(K2099&gt;0,K2099*Summary!$B$9,K2099/Summary!$B$9)</f>
        <v/>
      </c>
      <c r="M2099" s="11">
        <f>G2099+H2099</f>
        <v/>
      </c>
      <c r="N2099" s="11">
        <f>Summary!$C$16*Summary!$B$8</f>
        <v/>
      </c>
      <c r="O2099" s="11">
        <f>M2099-N2099</f>
        <v/>
      </c>
    </row>
    <row r="2100">
      <c r="A2100" s="9" t="n">
        <v>45379.41666666666</v>
      </c>
      <c r="B2100" t="n">
        <v>3</v>
      </c>
      <c r="C2100" t="n">
        <v>28</v>
      </c>
      <c r="D2100" t="n">
        <v>10</v>
      </c>
      <c r="E2100" s="10" t="n">
        <v>0.208967</v>
      </c>
      <c r="F2100" s="10" t="n">
        <v>0.3782303467752832</v>
      </c>
      <c r="G2100" s="11">
        <f>E2100*Summary!$B$6</f>
        <v/>
      </c>
      <c r="H2100" s="11">
        <f>F2100*Summary!$B$7</f>
        <v/>
      </c>
      <c r="I2100" s="11">
        <f>MAX(0,N2100-M2100)</f>
        <v/>
      </c>
      <c r="J2100" s="11">
        <f>MAX(0,M2100-N2100)</f>
        <v/>
      </c>
      <c r="K2100" s="11">
        <f>O2100</f>
        <v/>
      </c>
      <c r="L2100" s="11">
        <f>L2099+IF(K2100&gt;0,K2100*Summary!$B$9,K2100/Summary!$B$9)</f>
        <v/>
      </c>
      <c r="M2100" s="11">
        <f>G2100+H2100</f>
        <v/>
      </c>
      <c r="N2100" s="11">
        <f>Summary!$C$16*Summary!$B$8</f>
        <v/>
      </c>
      <c r="O2100" s="11">
        <f>M2100-N2100</f>
        <v/>
      </c>
    </row>
    <row r="2101">
      <c r="A2101" s="9" t="n">
        <v>45379.45833333334</v>
      </c>
      <c r="B2101" t="n">
        <v>3</v>
      </c>
      <c r="C2101" t="n">
        <v>28</v>
      </c>
      <c r="D2101" t="n">
        <v>11</v>
      </c>
      <c r="E2101" s="10" t="n">
        <v>0.213758</v>
      </c>
      <c r="F2101" s="10" t="n">
        <v>0.4213158771158105</v>
      </c>
      <c r="G2101" s="11">
        <f>E2101*Summary!$B$6</f>
        <v/>
      </c>
      <c r="H2101" s="11">
        <f>F2101*Summary!$B$7</f>
        <v/>
      </c>
      <c r="I2101" s="11">
        <f>MAX(0,N2101-M2101)</f>
        <v/>
      </c>
      <c r="J2101" s="11">
        <f>MAX(0,M2101-N2101)</f>
        <v/>
      </c>
      <c r="K2101" s="11">
        <f>O2101</f>
        <v/>
      </c>
      <c r="L2101" s="11">
        <f>L2100+IF(K2101&gt;0,K2101*Summary!$B$9,K2101/Summary!$B$9)</f>
        <v/>
      </c>
      <c r="M2101" s="11">
        <f>G2101+H2101</f>
        <v/>
      </c>
      <c r="N2101" s="11">
        <f>Summary!$C$16*Summary!$B$8</f>
        <v/>
      </c>
      <c r="O2101" s="11">
        <f>M2101-N2101</f>
        <v/>
      </c>
    </row>
    <row r="2102">
      <c r="A2102" s="9" t="n">
        <v>45379.5</v>
      </c>
      <c r="B2102" t="n">
        <v>3</v>
      </c>
      <c r="C2102" t="n">
        <v>28</v>
      </c>
      <c r="D2102" t="n">
        <v>12</v>
      </c>
      <c r="E2102" s="10" t="n">
        <v>0.168712</v>
      </c>
      <c r="F2102" s="10" t="n">
        <v>0.3881914051659372</v>
      </c>
      <c r="G2102" s="11">
        <f>E2102*Summary!$B$6</f>
        <v/>
      </c>
      <c r="H2102" s="11">
        <f>F2102*Summary!$B$7</f>
        <v/>
      </c>
      <c r="I2102" s="11">
        <f>MAX(0,N2102-M2102)</f>
        <v/>
      </c>
      <c r="J2102" s="11">
        <f>MAX(0,M2102-N2102)</f>
        <v/>
      </c>
      <c r="K2102" s="11">
        <f>O2102</f>
        <v/>
      </c>
      <c r="L2102" s="11">
        <f>L2101+IF(K2102&gt;0,K2102*Summary!$B$9,K2102/Summary!$B$9)</f>
        <v/>
      </c>
      <c r="M2102" s="11">
        <f>G2102+H2102</f>
        <v/>
      </c>
      <c r="N2102" s="11">
        <f>Summary!$C$16*Summary!$B$8</f>
        <v/>
      </c>
      <c r="O2102" s="11">
        <f>M2102-N2102</f>
        <v/>
      </c>
    </row>
    <row r="2103">
      <c r="A2103" s="9" t="n">
        <v>45379.54166666666</v>
      </c>
      <c r="B2103" t="n">
        <v>3</v>
      </c>
      <c r="C2103" t="n">
        <v>28</v>
      </c>
      <c r="D2103" t="n">
        <v>13</v>
      </c>
      <c r="E2103" s="10" t="n">
        <v>0.146287</v>
      </c>
      <c r="F2103" s="10" t="n">
        <v>0.3969402712656651</v>
      </c>
      <c r="G2103" s="11">
        <f>E2103*Summary!$B$6</f>
        <v/>
      </c>
      <c r="H2103" s="11">
        <f>F2103*Summary!$B$7</f>
        <v/>
      </c>
      <c r="I2103" s="11">
        <f>MAX(0,N2103-M2103)</f>
        <v/>
      </c>
      <c r="J2103" s="11">
        <f>MAX(0,M2103-N2103)</f>
        <v/>
      </c>
      <c r="K2103" s="11">
        <f>O2103</f>
        <v/>
      </c>
      <c r="L2103" s="11">
        <f>L2102+IF(K2103&gt;0,K2103*Summary!$B$9,K2103/Summary!$B$9)</f>
        <v/>
      </c>
      <c r="M2103" s="11">
        <f>G2103+H2103</f>
        <v/>
      </c>
      <c r="N2103" s="11">
        <f>Summary!$C$16*Summary!$B$8</f>
        <v/>
      </c>
      <c r="O2103" s="11">
        <f>M2103-N2103</f>
        <v/>
      </c>
    </row>
    <row r="2104">
      <c r="A2104" s="9" t="n">
        <v>45379.58333333334</v>
      </c>
      <c r="B2104" t="n">
        <v>3</v>
      </c>
      <c r="C2104" t="n">
        <v>28</v>
      </c>
      <c r="D2104" t="n">
        <v>14</v>
      </c>
      <c r="E2104" s="10" t="n">
        <v>0.154118</v>
      </c>
      <c r="F2104" s="10" t="n">
        <v>0.4053465612831746</v>
      </c>
      <c r="G2104" s="11">
        <f>E2104*Summary!$B$6</f>
        <v/>
      </c>
      <c r="H2104" s="11">
        <f>F2104*Summary!$B$7</f>
        <v/>
      </c>
      <c r="I2104" s="11">
        <f>MAX(0,N2104-M2104)</f>
        <v/>
      </c>
      <c r="J2104" s="11">
        <f>MAX(0,M2104-N2104)</f>
        <v/>
      </c>
      <c r="K2104" s="11">
        <f>O2104</f>
        <v/>
      </c>
      <c r="L2104" s="11">
        <f>L2103+IF(K2104&gt;0,K2104*Summary!$B$9,K2104/Summary!$B$9)</f>
        <v/>
      </c>
      <c r="M2104" s="11">
        <f>G2104+H2104</f>
        <v/>
      </c>
      <c r="N2104" s="11">
        <f>Summary!$C$16*Summary!$B$8</f>
        <v/>
      </c>
      <c r="O2104" s="11">
        <f>M2104-N2104</f>
        <v/>
      </c>
    </row>
    <row r="2105">
      <c r="A2105" s="9" t="n">
        <v>45379.625</v>
      </c>
      <c r="B2105" t="n">
        <v>3</v>
      </c>
      <c r="C2105" t="n">
        <v>28</v>
      </c>
      <c r="D2105" t="n">
        <v>15</v>
      </c>
      <c r="E2105" s="10" t="n">
        <v>0.097862</v>
      </c>
      <c r="F2105" s="10" t="n">
        <v>0.4196557007173681</v>
      </c>
      <c r="G2105" s="11">
        <f>E2105*Summary!$B$6</f>
        <v/>
      </c>
      <c r="H2105" s="11">
        <f>F2105*Summary!$B$7</f>
        <v/>
      </c>
      <c r="I2105" s="11">
        <f>MAX(0,N2105-M2105)</f>
        <v/>
      </c>
      <c r="J2105" s="11">
        <f>MAX(0,M2105-N2105)</f>
        <v/>
      </c>
      <c r="K2105" s="11">
        <f>O2105</f>
        <v/>
      </c>
      <c r="L2105" s="11">
        <f>L2104+IF(K2105&gt;0,K2105*Summary!$B$9,K2105/Summary!$B$9)</f>
        <v/>
      </c>
      <c r="M2105" s="11">
        <f>G2105+H2105</f>
        <v/>
      </c>
      <c r="N2105" s="11">
        <f>Summary!$C$16*Summary!$B$8</f>
        <v/>
      </c>
      <c r="O2105" s="11">
        <f>M2105-N2105</f>
        <v/>
      </c>
    </row>
    <row r="2106">
      <c r="A2106" s="9" t="n">
        <v>45379.66666666666</v>
      </c>
      <c r="B2106" t="n">
        <v>3</v>
      </c>
      <c r="C2106" t="n">
        <v>28</v>
      </c>
      <c r="D2106" t="n">
        <v>16</v>
      </c>
      <c r="E2106" s="10" t="n">
        <v>0.078344</v>
      </c>
      <c r="F2106" s="10" t="n">
        <v>0.4173894281734628</v>
      </c>
      <c r="G2106" s="11">
        <f>E2106*Summary!$B$6</f>
        <v/>
      </c>
      <c r="H2106" s="11">
        <f>F2106*Summary!$B$7</f>
        <v/>
      </c>
      <c r="I2106" s="11">
        <f>MAX(0,N2106-M2106)</f>
        <v/>
      </c>
      <c r="J2106" s="11">
        <f>MAX(0,M2106-N2106)</f>
        <v/>
      </c>
      <c r="K2106" s="11">
        <f>O2106</f>
        <v/>
      </c>
      <c r="L2106" s="11">
        <f>L2105+IF(K2106&gt;0,K2106*Summary!$B$9,K2106/Summary!$B$9)</f>
        <v/>
      </c>
      <c r="M2106" s="11">
        <f>G2106+H2106</f>
        <v/>
      </c>
      <c r="N2106" s="11">
        <f>Summary!$C$16*Summary!$B$8</f>
        <v/>
      </c>
      <c r="O2106" s="11">
        <f>M2106-N2106</f>
        <v/>
      </c>
    </row>
    <row r="2107">
      <c r="A2107" s="9" t="n">
        <v>45379.70833333334</v>
      </c>
      <c r="B2107" t="n">
        <v>3</v>
      </c>
      <c r="C2107" t="n">
        <v>28</v>
      </c>
      <c r="D2107" t="n">
        <v>17</v>
      </c>
      <c r="E2107" s="10" t="n">
        <v>0.035844</v>
      </c>
      <c r="F2107" s="10" t="n">
        <v>0.4222381973371674</v>
      </c>
      <c r="G2107" s="11">
        <f>E2107*Summary!$B$6</f>
        <v/>
      </c>
      <c r="H2107" s="11">
        <f>F2107*Summary!$B$7</f>
        <v/>
      </c>
      <c r="I2107" s="11">
        <f>MAX(0,N2107-M2107)</f>
        <v/>
      </c>
      <c r="J2107" s="11">
        <f>MAX(0,M2107-N2107)</f>
        <v/>
      </c>
      <c r="K2107" s="11">
        <f>O2107</f>
        <v/>
      </c>
      <c r="L2107" s="11">
        <f>L2106+IF(K2107&gt;0,K2107*Summary!$B$9,K2107/Summary!$B$9)</f>
        <v/>
      </c>
      <c r="M2107" s="11">
        <f>G2107+H2107</f>
        <v/>
      </c>
      <c r="N2107" s="11">
        <f>Summary!$C$16*Summary!$B$8</f>
        <v/>
      </c>
      <c r="O2107" s="11">
        <f>M2107-N2107</f>
        <v/>
      </c>
    </row>
    <row r="2108">
      <c r="A2108" s="9" t="n">
        <v>45379.75</v>
      </c>
      <c r="B2108" t="n">
        <v>3</v>
      </c>
      <c r="C2108" t="n">
        <v>28</v>
      </c>
      <c r="D2108" t="n">
        <v>18</v>
      </c>
      <c r="E2108" s="10" t="n">
        <v>0</v>
      </c>
      <c r="F2108" s="10" t="n">
        <v>0.4339648401515616</v>
      </c>
      <c r="G2108" s="11">
        <f>E2108*Summary!$B$6</f>
        <v/>
      </c>
      <c r="H2108" s="11">
        <f>F2108*Summary!$B$7</f>
        <v/>
      </c>
      <c r="I2108" s="11">
        <f>MAX(0,N2108-M2108)</f>
        <v/>
      </c>
      <c r="J2108" s="11">
        <f>MAX(0,M2108-N2108)</f>
        <v/>
      </c>
      <c r="K2108" s="11">
        <f>O2108</f>
        <v/>
      </c>
      <c r="L2108" s="11">
        <f>L2107+IF(K2108&gt;0,K2108*Summary!$B$9,K2108/Summary!$B$9)</f>
        <v/>
      </c>
      <c r="M2108" s="11">
        <f>G2108+H2108</f>
        <v/>
      </c>
      <c r="N2108" s="11">
        <f>Summary!$C$16*Summary!$B$8</f>
        <v/>
      </c>
      <c r="O2108" s="11">
        <f>M2108-N2108</f>
        <v/>
      </c>
    </row>
    <row r="2109">
      <c r="A2109" s="9" t="n">
        <v>45379.79166666666</v>
      </c>
      <c r="B2109" t="n">
        <v>3</v>
      </c>
      <c r="C2109" t="n">
        <v>28</v>
      </c>
      <c r="D2109" t="n">
        <v>19</v>
      </c>
      <c r="E2109" s="10" t="n">
        <v>0</v>
      </c>
      <c r="F2109" s="10" t="n">
        <v>0.4401839136441393</v>
      </c>
      <c r="G2109" s="11">
        <f>E2109*Summary!$B$6</f>
        <v/>
      </c>
      <c r="H2109" s="11">
        <f>F2109*Summary!$B$7</f>
        <v/>
      </c>
      <c r="I2109" s="11">
        <f>MAX(0,N2109-M2109)</f>
        <v/>
      </c>
      <c r="J2109" s="11">
        <f>MAX(0,M2109-N2109)</f>
        <v/>
      </c>
      <c r="K2109" s="11">
        <f>O2109</f>
        <v/>
      </c>
      <c r="L2109" s="11">
        <f>L2108+IF(K2109&gt;0,K2109*Summary!$B$9,K2109/Summary!$B$9)</f>
        <v/>
      </c>
      <c r="M2109" s="11">
        <f>G2109+H2109</f>
        <v/>
      </c>
      <c r="N2109" s="11">
        <f>Summary!$C$16*Summary!$B$8</f>
        <v/>
      </c>
      <c r="O2109" s="11">
        <f>M2109-N2109</f>
        <v/>
      </c>
    </row>
    <row r="2110">
      <c r="A2110" s="9" t="n">
        <v>45379.83333333334</v>
      </c>
      <c r="B2110" t="n">
        <v>3</v>
      </c>
      <c r="C2110" t="n">
        <v>28</v>
      </c>
      <c r="D2110" t="n">
        <v>20</v>
      </c>
      <c r="E2110" s="10" t="n">
        <v>0</v>
      </c>
      <c r="F2110" s="10" t="n">
        <v>0.442740058257614</v>
      </c>
      <c r="G2110" s="11">
        <f>E2110*Summary!$B$6</f>
        <v/>
      </c>
      <c r="H2110" s="11">
        <f>F2110*Summary!$B$7</f>
        <v/>
      </c>
      <c r="I2110" s="11">
        <f>MAX(0,N2110-M2110)</f>
        <v/>
      </c>
      <c r="J2110" s="11">
        <f>MAX(0,M2110-N2110)</f>
        <v/>
      </c>
      <c r="K2110" s="11">
        <f>O2110</f>
        <v/>
      </c>
      <c r="L2110" s="11">
        <f>L2109+IF(K2110&gt;0,K2110*Summary!$B$9,K2110/Summary!$B$9)</f>
        <v/>
      </c>
      <c r="M2110" s="11">
        <f>G2110+H2110</f>
        <v/>
      </c>
      <c r="N2110" s="11">
        <f>Summary!$C$16*Summary!$B$8</f>
        <v/>
      </c>
      <c r="O2110" s="11">
        <f>M2110-N2110</f>
        <v/>
      </c>
    </row>
    <row r="2111">
      <c r="A2111" s="9" t="n">
        <v>45379.875</v>
      </c>
      <c r="B2111" t="n">
        <v>3</v>
      </c>
      <c r="C2111" t="n">
        <v>28</v>
      </c>
      <c r="D2111" t="n">
        <v>21</v>
      </c>
      <c r="E2111" s="10" t="n">
        <v>0</v>
      </c>
      <c r="F2111" s="10" t="n">
        <v>0.4447428107382745</v>
      </c>
      <c r="G2111" s="11">
        <f>E2111*Summary!$B$6</f>
        <v/>
      </c>
      <c r="H2111" s="11">
        <f>F2111*Summary!$B$7</f>
        <v/>
      </c>
      <c r="I2111" s="11">
        <f>MAX(0,N2111-M2111)</f>
        <v/>
      </c>
      <c r="J2111" s="11">
        <f>MAX(0,M2111-N2111)</f>
        <v/>
      </c>
      <c r="K2111" s="11">
        <f>O2111</f>
        <v/>
      </c>
      <c r="L2111" s="11">
        <f>L2110+IF(K2111&gt;0,K2111*Summary!$B$9,K2111/Summary!$B$9)</f>
        <v/>
      </c>
      <c r="M2111" s="11">
        <f>G2111+H2111</f>
        <v/>
      </c>
      <c r="N2111" s="11">
        <f>Summary!$C$16*Summary!$B$8</f>
        <v/>
      </c>
      <c r="O2111" s="11">
        <f>M2111-N2111</f>
        <v/>
      </c>
    </row>
    <row r="2112">
      <c r="A2112" s="9" t="n">
        <v>45379.91666666666</v>
      </c>
      <c r="B2112" t="n">
        <v>3</v>
      </c>
      <c r="C2112" t="n">
        <v>28</v>
      </c>
      <c r="D2112" t="n">
        <v>22</v>
      </c>
      <c r="E2112" s="10" t="n">
        <v>0</v>
      </c>
      <c r="F2112" s="10" t="n">
        <v>0.4440576585738381</v>
      </c>
      <c r="G2112" s="11">
        <f>E2112*Summary!$B$6</f>
        <v/>
      </c>
      <c r="H2112" s="11">
        <f>F2112*Summary!$B$7</f>
        <v/>
      </c>
      <c r="I2112" s="11">
        <f>MAX(0,N2112-M2112)</f>
        <v/>
      </c>
      <c r="J2112" s="11">
        <f>MAX(0,M2112-N2112)</f>
        <v/>
      </c>
      <c r="K2112" s="11">
        <f>O2112</f>
        <v/>
      </c>
      <c r="L2112" s="11">
        <f>L2111+IF(K2112&gt;0,K2112*Summary!$B$9,K2112/Summary!$B$9)</f>
        <v/>
      </c>
      <c r="M2112" s="11">
        <f>G2112+H2112</f>
        <v/>
      </c>
      <c r="N2112" s="11">
        <f>Summary!$C$16*Summary!$B$8</f>
        <v/>
      </c>
      <c r="O2112" s="11">
        <f>M2112-N2112</f>
        <v/>
      </c>
    </row>
    <row r="2113">
      <c r="A2113" s="9" t="n">
        <v>45379.95833333334</v>
      </c>
      <c r="B2113" t="n">
        <v>3</v>
      </c>
      <c r="C2113" t="n">
        <v>28</v>
      </c>
      <c r="D2113" t="n">
        <v>23</v>
      </c>
      <c r="E2113" s="10" t="n">
        <v>0</v>
      </c>
      <c r="F2113" s="10" t="n">
        <v>0.4428981702955609</v>
      </c>
      <c r="G2113" s="11">
        <f>E2113*Summary!$B$6</f>
        <v/>
      </c>
      <c r="H2113" s="11">
        <f>F2113*Summary!$B$7</f>
        <v/>
      </c>
      <c r="I2113" s="11">
        <f>MAX(0,N2113-M2113)</f>
        <v/>
      </c>
      <c r="J2113" s="11">
        <f>MAX(0,M2113-N2113)</f>
        <v/>
      </c>
      <c r="K2113" s="11">
        <f>O2113</f>
        <v/>
      </c>
      <c r="L2113" s="11">
        <f>L2112+IF(K2113&gt;0,K2113*Summary!$B$9,K2113/Summary!$B$9)</f>
        <v/>
      </c>
      <c r="M2113" s="11">
        <f>G2113+H2113</f>
        <v/>
      </c>
      <c r="N2113" s="11">
        <f>Summary!$C$16*Summary!$B$8</f>
        <v/>
      </c>
      <c r="O2113" s="11">
        <f>M2113-N2113</f>
        <v/>
      </c>
    </row>
    <row r="2114">
      <c r="A2114" s="9" t="n">
        <v>45380</v>
      </c>
      <c r="B2114" t="n">
        <v>3</v>
      </c>
      <c r="C2114" t="n">
        <v>29</v>
      </c>
      <c r="D2114" t="n">
        <v>0</v>
      </c>
      <c r="E2114" s="10" t="n">
        <v>0</v>
      </c>
      <c r="F2114" s="10" t="n">
        <v>0.3543817810516274</v>
      </c>
      <c r="G2114" s="11">
        <f>E2114*Summary!$B$6</f>
        <v/>
      </c>
      <c r="H2114" s="11">
        <f>F2114*Summary!$B$7</f>
        <v/>
      </c>
      <c r="I2114" s="11">
        <f>MAX(0,N2114-M2114)</f>
        <v/>
      </c>
      <c r="J2114" s="11">
        <f>MAX(0,M2114-N2114)</f>
        <v/>
      </c>
      <c r="K2114" s="11">
        <f>O2114</f>
        <v/>
      </c>
      <c r="L2114" s="11">
        <f>L2113+IF(K2114&gt;0,K2114*Summary!$B$9,K2114/Summary!$B$9)</f>
        <v/>
      </c>
      <c r="M2114" s="11">
        <f>G2114+H2114</f>
        <v/>
      </c>
      <c r="N2114" s="11">
        <f>Summary!$C$16*Summary!$B$8</f>
        <v/>
      </c>
      <c r="O2114" s="11">
        <f>M2114-N2114</f>
        <v/>
      </c>
    </row>
    <row r="2115">
      <c r="A2115" s="9" t="n">
        <v>45380.04166666666</v>
      </c>
      <c r="B2115" t="n">
        <v>3</v>
      </c>
      <c r="C2115" t="n">
        <v>29</v>
      </c>
      <c r="D2115" t="n">
        <v>1</v>
      </c>
      <c r="E2115" s="10" t="n">
        <v>0</v>
      </c>
      <c r="F2115" s="10" t="n">
        <v>0.4282464547791491</v>
      </c>
      <c r="G2115" s="11">
        <f>E2115*Summary!$B$6</f>
        <v/>
      </c>
      <c r="H2115" s="11">
        <f>F2115*Summary!$B$7</f>
        <v/>
      </c>
      <c r="I2115" s="11">
        <f>MAX(0,N2115-M2115)</f>
        <v/>
      </c>
      <c r="J2115" s="11">
        <f>MAX(0,M2115-N2115)</f>
        <v/>
      </c>
      <c r="K2115" s="11">
        <f>O2115</f>
        <v/>
      </c>
      <c r="L2115" s="11">
        <f>L2114+IF(K2115&gt;0,K2115*Summary!$B$9,K2115/Summary!$B$9)</f>
        <v/>
      </c>
      <c r="M2115" s="11">
        <f>G2115+H2115</f>
        <v/>
      </c>
      <c r="N2115" s="11">
        <f>Summary!$C$16*Summary!$B$8</f>
        <v/>
      </c>
      <c r="O2115" s="11">
        <f>M2115-N2115</f>
        <v/>
      </c>
    </row>
    <row r="2116">
      <c r="A2116" s="9" t="n">
        <v>45380.08333333334</v>
      </c>
      <c r="B2116" t="n">
        <v>3</v>
      </c>
      <c r="C2116" t="n">
        <v>29</v>
      </c>
      <c r="D2116" t="n">
        <v>2</v>
      </c>
      <c r="E2116" s="10" t="n">
        <v>0</v>
      </c>
      <c r="F2116" s="10" t="n">
        <v>0.4152549156611797</v>
      </c>
      <c r="G2116" s="11">
        <f>E2116*Summary!$B$6</f>
        <v/>
      </c>
      <c r="H2116" s="11">
        <f>F2116*Summary!$B$7</f>
        <v/>
      </c>
      <c r="I2116" s="11">
        <f>MAX(0,N2116-M2116)</f>
        <v/>
      </c>
      <c r="J2116" s="11">
        <f>MAX(0,M2116-N2116)</f>
        <v/>
      </c>
      <c r="K2116" s="11">
        <f>O2116</f>
        <v/>
      </c>
      <c r="L2116" s="11">
        <f>L2115+IF(K2116&gt;0,K2116*Summary!$B$9,K2116/Summary!$B$9)</f>
        <v/>
      </c>
      <c r="M2116" s="11">
        <f>G2116+H2116</f>
        <v/>
      </c>
      <c r="N2116" s="11">
        <f>Summary!$C$16*Summary!$B$8</f>
        <v/>
      </c>
      <c r="O2116" s="11">
        <f>M2116-N2116</f>
        <v/>
      </c>
    </row>
    <row r="2117">
      <c r="A2117" s="9" t="n">
        <v>45380.125</v>
      </c>
      <c r="B2117" t="n">
        <v>3</v>
      </c>
      <c r="C2117" t="n">
        <v>29</v>
      </c>
      <c r="D2117" t="n">
        <v>3</v>
      </c>
      <c r="E2117" s="10" t="n">
        <v>0</v>
      </c>
      <c r="F2117" s="10" t="n">
        <v>0.4103007384721772</v>
      </c>
      <c r="G2117" s="11">
        <f>E2117*Summary!$B$6</f>
        <v/>
      </c>
      <c r="H2117" s="11">
        <f>F2117*Summary!$B$7</f>
        <v/>
      </c>
      <c r="I2117" s="11">
        <f>MAX(0,N2117-M2117)</f>
        <v/>
      </c>
      <c r="J2117" s="11">
        <f>MAX(0,M2117-N2117)</f>
        <v/>
      </c>
      <c r="K2117" s="11">
        <f>O2117</f>
        <v/>
      </c>
      <c r="L2117" s="11">
        <f>L2116+IF(K2117&gt;0,K2117*Summary!$B$9,K2117/Summary!$B$9)</f>
        <v/>
      </c>
      <c r="M2117" s="11">
        <f>G2117+H2117</f>
        <v/>
      </c>
      <c r="N2117" s="11">
        <f>Summary!$C$16*Summary!$B$8</f>
        <v/>
      </c>
      <c r="O2117" s="11">
        <f>M2117-N2117</f>
        <v/>
      </c>
    </row>
    <row r="2118">
      <c r="A2118" s="9" t="n">
        <v>45380.16666666666</v>
      </c>
      <c r="B2118" t="n">
        <v>3</v>
      </c>
      <c r="C2118" t="n">
        <v>29</v>
      </c>
      <c r="D2118" t="n">
        <v>4</v>
      </c>
      <c r="E2118" s="10" t="n">
        <v>0</v>
      </c>
      <c r="F2118" s="10" t="n">
        <v>0.3993383038411929</v>
      </c>
      <c r="G2118" s="11">
        <f>E2118*Summary!$B$6</f>
        <v/>
      </c>
      <c r="H2118" s="11">
        <f>F2118*Summary!$B$7</f>
        <v/>
      </c>
      <c r="I2118" s="11">
        <f>MAX(0,N2118-M2118)</f>
        <v/>
      </c>
      <c r="J2118" s="11">
        <f>MAX(0,M2118-N2118)</f>
        <v/>
      </c>
      <c r="K2118" s="11">
        <f>O2118</f>
        <v/>
      </c>
      <c r="L2118" s="11">
        <f>L2117+IF(K2118&gt;0,K2118*Summary!$B$9,K2118/Summary!$B$9)</f>
        <v/>
      </c>
      <c r="M2118" s="11">
        <f>G2118+H2118</f>
        <v/>
      </c>
      <c r="N2118" s="11">
        <f>Summary!$C$16*Summary!$B$8</f>
        <v/>
      </c>
      <c r="O2118" s="11">
        <f>M2118-N2118</f>
        <v/>
      </c>
    </row>
    <row r="2119">
      <c r="A2119" s="9" t="n">
        <v>45380.20833333334</v>
      </c>
      <c r="B2119" t="n">
        <v>3</v>
      </c>
      <c r="C2119" t="n">
        <v>29</v>
      </c>
      <c r="D2119" t="n">
        <v>5</v>
      </c>
      <c r="E2119" s="10" t="n">
        <v>0</v>
      </c>
      <c r="F2119" s="10" t="n">
        <v>0.3923813741715297</v>
      </c>
      <c r="G2119" s="11">
        <f>E2119*Summary!$B$6</f>
        <v/>
      </c>
      <c r="H2119" s="11">
        <f>F2119*Summary!$B$7</f>
        <v/>
      </c>
      <c r="I2119" s="11">
        <f>MAX(0,N2119-M2119)</f>
        <v/>
      </c>
      <c r="J2119" s="11">
        <f>MAX(0,M2119-N2119)</f>
        <v/>
      </c>
      <c r="K2119" s="11">
        <f>O2119</f>
        <v/>
      </c>
      <c r="L2119" s="11">
        <f>L2118+IF(K2119&gt;0,K2119*Summary!$B$9,K2119/Summary!$B$9)</f>
        <v/>
      </c>
      <c r="M2119" s="11">
        <f>G2119+H2119</f>
        <v/>
      </c>
      <c r="N2119" s="11">
        <f>Summary!$C$16*Summary!$B$8</f>
        <v/>
      </c>
      <c r="O2119" s="11">
        <f>M2119-N2119</f>
        <v/>
      </c>
    </row>
    <row r="2120">
      <c r="A2120" s="9" t="n">
        <v>45380.25</v>
      </c>
      <c r="B2120" t="n">
        <v>3</v>
      </c>
      <c r="C2120" t="n">
        <v>29</v>
      </c>
      <c r="D2120" t="n">
        <v>6</v>
      </c>
      <c r="E2120" s="10" t="n">
        <v>0.006363</v>
      </c>
      <c r="F2120" s="10" t="n">
        <v>0.3800749872179969</v>
      </c>
      <c r="G2120" s="11">
        <f>E2120*Summary!$B$6</f>
        <v/>
      </c>
      <c r="H2120" s="11">
        <f>F2120*Summary!$B$7</f>
        <v/>
      </c>
      <c r="I2120" s="11">
        <f>MAX(0,N2120-M2120)</f>
        <v/>
      </c>
      <c r="J2120" s="11">
        <f>MAX(0,M2120-N2120)</f>
        <v/>
      </c>
      <c r="K2120" s="11">
        <f>O2120</f>
        <v/>
      </c>
      <c r="L2120" s="11">
        <f>L2119+IF(K2120&gt;0,K2120*Summary!$B$9,K2120/Summary!$B$9)</f>
        <v/>
      </c>
      <c r="M2120" s="11">
        <f>G2120+H2120</f>
        <v/>
      </c>
      <c r="N2120" s="11">
        <f>Summary!$C$16*Summary!$B$8</f>
        <v/>
      </c>
      <c r="O2120" s="11">
        <f>M2120-N2120</f>
        <v/>
      </c>
    </row>
    <row r="2121">
      <c r="A2121" s="9" t="n">
        <v>45380.29166666666</v>
      </c>
      <c r="B2121" t="n">
        <v>3</v>
      </c>
      <c r="C2121" t="n">
        <v>29</v>
      </c>
      <c r="D2121" t="n">
        <v>7</v>
      </c>
      <c r="E2121" s="10" t="n">
        <v>0.043051</v>
      </c>
      <c r="F2121" s="10" t="n">
        <v>0.3633941672146001</v>
      </c>
      <c r="G2121" s="11">
        <f>E2121*Summary!$B$6</f>
        <v/>
      </c>
      <c r="H2121" s="11">
        <f>F2121*Summary!$B$7</f>
        <v/>
      </c>
      <c r="I2121" s="11">
        <f>MAX(0,N2121-M2121)</f>
        <v/>
      </c>
      <c r="J2121" s="11">
        <f>MAX(0,M2121-N2121)</f>
        <v/>
      </c>
      <c r="K2121" s="11">
        <f>O2121</f>
        <v/>
      </c>
      <c r="L2121" s="11">
        <f>L2120+IF(K2121&gt;0,K2121*Summary!$B$9,K2121/Summary!$B$9)</f>
        <v/>
      </c>
      <c r="M2121" s="11">
        <f>G2121+H2121</f>
        <v/>
      </c>
      <c r="N2121" s="11">
        <f>Summary!$C$16*Summary!$B$8</f>
        <v/>
      </c>
      <c r="O2121" s="11">
        <f>M2121-N2121</f>
        <v/>
      </c>
    </row>
    <row r="2122">
      <c r="A2122" s="9" t="n">
        <v>45380.33333333334</v>
      </c>
      <c r="B2122" t="n">
        <v>3</v>
      </c>
      <c r="C2122" t="n">
        <v>29</v>
      </c>
      <c r="D2122" t="n">
        <v>8</v>
      </c>
      <c r="E2122" s="10" t="n">
        <v>0.095028</v>
      </c>
      <c r="F2122" s="10" t="n">
        <v>0.3512985963116632</v>
      </c>
      <c r="G2122" s="11">
        <f>E2122*Summary!$B$6</f>
        <v/>
      </c>
      <c r="H2122" s="11">
        <f>F2122*Summary!$B$7</f>
        <v/>
      </c>
      <c r="I2122" s="11">
        <f>MAX(0,N2122-M2122)</f>
        <v/>
      </c>
      <c r="J2122" s="11">
        <f>MAX(0,M2122-N2122)</f>
        <v/>
      </c>
      <c r="K2122" s="11">
        <f>O2122</f>
        <v/>
      </c>
      <c r="L2122" s="11">
        <f>L2121+IF(K2122&gt;0,K2122*Summary!$B$9,K2122/Summary!$B$9)</f>
        <v/>
      </c>
      <c r="M2122" s="11">
        <f>G2122+H2122</f>
        <v/>
      </c>
      <c r="N2122" s="11">
        <f>Summary!$C$16*Summary!$B$8</f>
        <v/>
      </c>
      <c r="O2122" s="11">
        <f>M2122-N2122</f>
        <v/>
      </c>
    </row>
    <row r="2123">
      <c r="A2123" s="9" t="n">
        <v>45380.375</v>
      </c>
      <c r="B2123" t="n">
        <v>3</v>
      </c>
      <c r="C2123" t="n">
        <v>29</v>
      </c>
      <c r="D2123" t="n">
        <v>9</v>
      </c>
      <c r="E2123" s="10" t="n">
        <v>0.199767</v>
      </c>
      <c r="F2123" s="10" t="n">
        <v>0.3478728354894805</v>
      </c>
      <c r="G2123" s="11">
        <f>E2123*Summary!$B$6</f>
        <v/>
      </c>
      <c r="H2123" s="11">
        <f>F2123*Summary!$B$7</f>
        <v/>
      </c>
      <c r="I2123" s="11">
        <f>MAX(0,N2123-M2123)</f>
        <v/>
      </c>
      <c r="J2123" s="11">
        <f>MAX(0,M2123-N2123)</f>
        <v/>
      </c>
      <c r="K2123" s="11">
        <f>O2123</f>
        <v/>
      </c>
      <c r="L2123" s="11">
        <f>L2122+IF(K2123&gt;0,K2123*Summary!$B$9,K2123/Summary!$B$9)</f>
        <v/>
      </c>
      <c r="M2123" s="11">
        <f>G2123+H2123</f>
        <v/>
      </c>
      <c r="N2123" s="11">
        <f>Summary!$C$16*Summary!$B$8</f>
        <v/>
      </c>
      <c r="O2123" s="11">
        <f>M2123-N2123</f>
        <v/>
      </c>
    </row>
    <row r="2124">
      <c r="A2124" s="9" t="n">
        <v>45380.41666666666</v>
      </c>
      <c r="B2124" t="n">
        <v>3</v>
      </c>
      <c r="C2124" t="n">
        <v>29</v>
      </c>
      <c r="D2124" t="n">
        <v>10</v>
      </c>
      <c r="E2124" s="10" t="n">
        <v>0.205498</v>
      </c>
      <c r="F2124" s="10" t="n">
        <v>0.3519046924571262</v>
      </c>
      <c r="G2124" s="11">
        <f>E2124*Summary!$B$6</f>
        <v/>
      </c>
      <c r="H2124" s="11">
        <f>F2124*Summary!$B$7</f>
        <v/>
      </c>
      <c r="I2124" s="11">
        <f>MAX(0,N2124-M2124)</f>
        <v/>
      </c>
      <c r="J2124" s="11">
        <f>MAX(0,M2124-N2124)</f>
        <v/>
      </c>
      <c r="K2124" s="11">
        <f>O2124</f>
        <v/>
      </c>
      <c r="L2124" s="11">
        <f>L2123+IF(K2124&gt;0,K2124*Summary!$B$9,K2124/Summary!$B$9)</f>
        <v/>
      </c>
      <c r="M2124" s="11">
        <f>G2124+H2124</f>
        <v/>
      </c>
      <c r="N2124" s="11">
        <f>Summary!$C$16*Summary!$B$8</f>
        <v/>
      </c>
      <c r="O2124" s="11">
        <f>M2124-N2124</f>
        <v/>
      </c>
    </row>
    <row r="2125">
      <c r="A2125" s="9" t="n">
        <v>45380.45833333334</v>
      </c>
      <c r="B2125" t="n">
        <v>3</v>
      </c>
      <c r="C2125" t="n">
        <v>29</v>
      </c>
      <c r="D2125" t="n">
        <v>11</v>
      </c>
      <c r="E2125" s="10" t="n">
        <v>0.25689</v>
      </c>
      <c r="F2125" s="10" t="n">
        <v>0.3544871890769254</v>
      </c>
      <c r="G2125" s="11">
        <f>E2125*Summary!$B$6</f>
        <v/>
      </c>
      <c r="H2125" s="11">
        <f>F2125*Summary!$B$7</f>
        <v/>
      </c>
      <c r="I2125" s="11">
        <f>MAX(0,N2125-M2125)</f>
        <v/>
      </c>
      <c r="J2125" s="11">
        <f>MAX(0,M2125-N2125)</f>
        <v/>
      </c>
      <c r="K2125" s="11">
        <f>O2125</f>
        <v/>
      </c>
      <c r="L2125" s="11">
        <f>L2124+IF(K2125&gt;0,K2125*Summary!$B$9,K2125/Summary!$B$9)</f>
        <v/>
      </c>
      <c r="M2125" s="11">
        <f>G2125+H2125</f>
        <v/>
      </c>
      <c r="N2125" s="11">
        <f>Summary!$C$16*Summary!$B$8</f>
        <v/>
      </c>
      <c r="O2125" s="11">
        <f>M2125-N2125</f>
        <v/>
      </c>
    </row>
    <row r="2126">
      <c r="A2126" s="9" t="n">
        <v>45380.5</v>
      </c>
      <c r="B2126" t="n">
        <v>3</v>
      </c>
      <c r="C2126" t="n">
        <v>29</v>
      </c>
      <c r="D2126" t="n">
        <v>12</v>
      </c>
      <c r="E2126" s="10" t="n">
        <v>0.28109</v>
      </c>
      <c r="F2126" s="10" t="n">
        <v>0.360706262569503</v>
      </c>
      <c r="G2126" s="11">
        <f>E2126*Summary!$B$6</f>
        <v/>
      </c>
      <c r="H2126" s="11">
        <f>F2126*Summary!$B$7</f>
        <v/>
      </c>
      <c r="I2126" s="11">
        <f>MAX(0,N2126-M2126)</f>
        <v/>
      </c>
      <c r="J2126" s="11">
        <f>MAX(0,M2126-N2126)</f>
        <v/>
      </c>
      <c r="K2126" s="11">
        <f>O2126</f>
        <v/>
      </c>
      <c r="L2126" s="11">
        <f>L2125+IF(K2126&gt;0,K2126*Summary!$B$9,K2126/Summary!$B$9)</f>
        <v/>
      </c>
      <c r="M2126" s="11">
        <f>G2126+H2126</f>
        <v/>
      </c>
      <c r="N2126" s="11">
        <f>Summary!$C$16*Summary!$B$8</f>
        <v/>
      </c>
      <c r="O2126" s="11">
        <f>M2126-N2126</f>
        <v/>
      </c>
    </row>
    <row r="2127">
      <c r="A2127" s="9" t="n">
        <v>45380.54166666666</v>
      </c>
      <c r="B2127" t="n">
        <v>3</v>
      </c>
      <c r="C2127" t="n">
        <v>29</v>
      </c>
      <c r="D2127" t="n">
        <v>13</v>
      </c>
      <c r="E2127" s="10" t="n">
        <v>0.270974</v>
      </c>
      <c r="F2127" s="10" t="n">
        <v>0.3644745994739039</v>
      </c>
      <c r="G2127" s="11">
        <f>E2127*Summary!$B$6</f>
        <v/>
      </c>
      <c r="H2127" s="11">
        <f>F2127*Summary!$B$7</f>
        <v/>
      </c>
      <c r="I2127" s="11">
        <f>MAX(0,N2127-M2127)</f>
        <v/>
      </c>
      <c r="J2127" s="11">
        <f>MAX(0,M2127-N2127)</f>
        <v/>
      </c>
      <c r="K2127" s="11">
        <f>O2127</f>
        <v/>
      </c>
      <c r="L2127" s="11">
        <f>L2126+IF(K2127&gt;0,K2127*Summary!$B$9,K2127/Summary!$B$9)</f>
        <v/>
      </c>
      <c r="M2127" s="11">
        <f>G2127+H2127</f>
        <v/>
      </c>
      <c r="N2127" s="11">
        <f>Summary!$C$16*Summary!$B$8</f>
        <v/>
      </c>
      <c r="O2127" s="11">
        <f>M2127-N2127</f>
        <v/>
      </c>
    </row>
    <row r="2128">
      <c r="A2128" s="9" t="n">
        <v>45380.58333333334</v>
      </c>
      <c r="B2128" t="n">
        <v>3</v>
      </c>
      <c r="C2128" t="n">
        <v>29</v>
      </c>
      <c r="D2128" t="n">
        <v>14</v>
      </c>
      <c r="E2128" s="10" t="n">
        <v>0.144234</v>
      </c>
      <c r="F2128" s="10" t="n">
        <v>0.3682165843719802</v>
      </c>
      <c r="G2128" s="11">
        <f>E2128*Summary!$B$6</f>
        <v/>
      </c>
      <c r="H2128" s="11">
        <f>F2128*Summary!$B$7</f>
        <v/>
      </c>
      <c r="I2128" s="11">
        <f>MAX(0,N2128-M2128)</f>
        <v/>
      </c>
      <c r="J2128" s="11">
        <f>MAX(0,M2128-N2128)</f>
        <v/>
      </c>
      <c r="K2128" s="11">
        <f>O2128</f>
        <v/>
      </c>
      <c r="L2128" s="11">
        <f>L2127+IF(K2128&gt;0,K2128*Summary!$B$9,K2128/Summary!$B$9)</f>
        <v/>
      </c>
      <c r="M2128" s="11">
        <f>G2128+H2128</f>
        <v/>
      </c>
      <c r="N2128" s="11">
        <f>Summary!$C$16*Summary!$B$8</f>
        <v/>
      </c>
      <c r="O2128" s="11">
        <f>M2128-N2128</f>
        <v/>
      </c>
    </row>
    <row r="2129">
      <c r="A2129" s="9" t="n">
        <v>45380.625</v>
      </c>
      <c r="B2129" t="n">
        <v>3</v>
      </c>
      <c r="C2129" t="n">
        <v>29</v>
      </c>
      <c r="D2129" t="n">
        <v>15</v>
      </c>
      <c r="E2129" s="10" t="n">
        <v>0.110389</v>
      </c>
      <c r="F2129" s="10" t="n">
        <v>0.3730390015293603</v>
      </c>
      <c r="G2129" s="11">
        <f>E2129*Summary!$B$6</f>
        <v/>
      </c>
      <c r="H2129" s="11">
        <f>F2129*Summary!$B$7</f>
        <v/>
      </c>
      <c r="I2129" s="11">
        <f>MAX(0,N2129-M2129)</f>
        <v/>
      </c>
      <c r="J2129" s="11">
        <f>MAX(0,M2129-N2129)</f>
        <v/>
      </c>
      <c r="K2129" s="11">
        <f>O2129</f>
        <v/>
      </c>
      <c r="L2129" s="11">
        <f>L2128+IF(K2129&gt;0,K2129*Summary!$B$9,K2129/Summary!$B$9)</f>
        <v/>
      </c>
      <c r="M2129" s="11">
        <f>G2129+H2129</f>
        <v/>
      </c>
      <c r="N2129" s="11">
        <f>Summary!$C$16*Summary!$B$8</f>
        <v/>
      </c>
      <c r="O2129" s="11">
        <f>M2129-N2129</f>
        <v/>
      </c>
    </row>
    <row r="2130">
      <c r="A2130" s="9" t="n">
        <v>45380.66666666666</v>
      </c>
      <c r="B2130" t="n">
        <v>3</v>
      </c>
      <c r="C2130" t="n">
        <v>29</v>
      </c>
      <c r="D2130" t="n">
        <v>16</v>
      </c>
      <c r="E2130" s="10" t="n">
        <v>0.219025</v>
      </c>
      <c r="F2130" s="10" t="n">
        <v>0.3651333996320159</v>
      </c>
      <c r="G2130" s="11">
        <f>E2130*Summary!$B$6</f>
        <v/>
      </c>
      <c r="H2130" s="11">
        <f>F2130*Summary!$B$7</f>
        <v/>
      </c>
      <c r="I2130" s="11">
        <f>MAX(0,N2130-M2130)</f>
        <v/>
      </c>
      <c r="J2130" s="11">
        <f>MAX(0,M2130-N2130)</f>
        <v/>
      </c>
      <c r="K2130" s="11">
        <f>O2130</f>
        <v/>
      </c>
      <c r="L2130" s="11">
        <f>L2129+IF(K2130&gt;0,K2130*Summary!$B$9,K2130/Summary!$B$9)</f>
        <v/>
      </c>
      <c r="M2130" s="11">
        <f>G2130+H2130</f>
        <v/>
      </c>
      <c r="N2130" s="11">
        <f>Summary!$C$16*Summary!$B$8</f>
        <v/>
      </c>
      <c r="O2130" s="11">
        <f>M2130-N2130</f>
        <v/>
      </c>
    </row>
    <row r="2131">
      <c r="A2131" s="9" t="n">
        <v>45380.70833333334</v>
      </c>
      <c r="B2131" t="n">
        <v>3</v>
      </c>
      <c r="C2131" t="n">
        <v>29</v>
      </c>
      <c r="D2131" t="n">
        <v>17</v>
      </c>
      <c r="E2131" s="10" t="n">
        <v>0.08385099999999999</v>
      </c>
      <c r="F2131" s="10" t="n">
        <v>0.3517729324255038</v>
      </c>
      <c r="G2131" s="11">
        <f>E2131*Summary!$B$6</f>
        <v/>
      </c>
      <c r="H2131" s="11">
        <f>F2131*Summary!$B$7</f>
        <v/>
      </c>
      <c r="I2131" s="11">
        <f>MAX(0,N2131-M2131)</f>
        <v/>
      </c>
      <c r="J2131" s="11">
        <f>MAX(0,M2131-N2131)</f>
        <v/>
      </c>
      <c r="K2131" s="11">
        <f>O2131</f>
        <v/>
      </c>
      <c r="L2131" s="11">
        <f>L2130+IF(K2131&gt;0,K2131*Summary!$B$9,K2131/Summary!$B$9)</f>
        <v/>
      </c>
      <c r="M2131" s="11">
        <f>G2131+H2131</f>
        <v/>
      </c>
      <c r="N2131" s="11">
        <f>Summary!$C$16*Summary!$B$8</f>
        <v/>
      </c>
      <c r="O2131" s="11">
        <f>M2131-N2131</f>
        <v/>
      </c>
    </row>
    <row r="2132">
      <c r="A2132" s="9" t="n">
        <v>45380.75</v>
      </c>
      <c r="B2132" t="n">
        <v>3</v>
      </c>
      <c r="C2132" t="n">
        <v>29</v>
      </c>
      <c r="D2132" t="n">
        <v>18</v>
      </c>
      <c r="E2132" s="10" t="n">
        <v>0.002081</v>
      </c>
      <c r="F2132" s="10" t="n">
        <v>0.3502181640523594</v>
      </c>
      <c r="G2132" s="11">
        <f>E2132*Summary!$B$6</f>
        <v/>
      </c>
      <c r="H2132" s="11">
        <f>F2132*Summary!$B$7</f>
        <v/>
      </c>
      <c r="I2132" s="11">
        <f>MAX(0,N2132-M2132)</f>
        <v/>
      </c>
      <c r="J2132" s="11">
        <f>MAX(0,M2132-N2132)</f>
        <v/>
      </c>
      <c r="K2132" s="11">
        <f>O2132</f>
        <v/>
      </c>
      <c r="L2132" s="11">
        <f>L2131+IF(K2132&gt;0,K2132*Summary!$B$9,K2132/Summary!$B$9)</f>
        <v/>
      </c>
      <c r="M2132" s="11">
        <f>G2132+H2132</f>
        <v/>
      </c>
      <c r="N2132" s="11">
        <f>Summary!$C$16*Summary!$B$8</f>
        <v/>
      </c>
      <c r="O2132" s="11">
        <f>M2132-N2132</f>
        <v/>
      </c>
    </row>
    <row r="2133">
      <c r="A2133" s="9" t="n">
        <v>45380.79166666666</v>
      </c>
      <c r="B2133" t="n">
        <v>3</v>
      </c>
      <c r="C2133" t="n">
        <v>29</v>
      </c>
      <c r="D2133" t="n">
        <v>19</v>
      </c>
      <c r="E2133" s="10" t="n">
        <v>0</v>
      </c>
      <c r="F2133" s="10" t="n">
        <v>0.3532222927733503</v>
      </c>
      <c r="G2133" s="11">
        <f>E2133*Summary!$B$6</f>
        <v/>
      </c>
      <c r="H2133" s="11">
        <f>F2133*Summary!$B$7</f>
        <v/>
      </c>
      <c r="I2133" s="11">
        <f>MAX(0,N2133-M2133)</f>
        <v/>
      </c>
      <c r="J2133" s="11">
        <f>MAX(0,M2133-N2133)</f>
        <v/>
      </c>
      <c r="K2133" s="11">
        <f>O2133</f>
        <v/>
      </c>
      <c r="L2133" s="11">
        <f>L2132+IF(K2133&gt;0,K2133*Summary!$B$9,K2133/Summary!$B$9)</f>
        <v/>
      </c>
      <c r="M2133" s="11">
        <f>G2133+H2133</f>
        <v/>
      </c>
      <c r="N2133" s="11">
        <f>Summary!$C$16*Summary!$B$8</f>
        <v/>
      </c>
      <c r="O2133" s="11">
        <f>M2133-N2133</f>
        <v/>
      </c>
    </row>
    <row r="2134">
      <c r="A2134" s="9" t="n">
        <v>45380.83333333334</v>
      </c>
      <c r="B2134" t="n">
        <v>3</v>
      </c>
      <c r="C2134" t="n">
        <v>29</v>
      </c>
      <c r="D2134" t="n">
        <v>20</v>
      </c>
      <c r="E2134" s="10" t="n">
        <v>0</v>
      </c>
      <c r="F2134" s="10" t="n">
        <v>0.3539865009567602</v>
      </c>
      <c r="G2134" s="11">
        <f>E2134*Summary!$B$6</f>
        <v/>
      </c>
      <c r="H2134" s="11">
        <f>F2134*Summary!$B$7</f>
        <v/>
      </c>
      <c r="I2134" s="11">
        <f>MAX(0,N2134-M2134)</f>
        <v/>
      </c>
      <c r="J2134" s="11">
        <f>MAX(0,M2134-N2134)</f>
        <v/>
      </c>
      <c r="K2134" s="11">
        <f>O2134</f>
        <v/>
      </c>
      <c r="L2134" s="11">
        <f>L2133+IF(K2134&gt;0,K2134*Summary!$B$9,K2134/Summary!$B$9)</f>
        <v/>
      </c>
      <c r="M2134" s="11">
        <f>G2134+H2134</f>
        <v/>
      </c>
      <c r="N2134" s="11">
        <f>Summary!$C$16*Summary!$B$8</f>
        <v/>
      </c>
      <c r="O2134" s="11">
        <f>M2134-N2134</f>
        <v/>
      </c>
    </row>
    <row r="2135">
      <c r="A2135" s="9" t="n">
        <v>45380.875</v>
      </c>
      <c r="B2135" t="n">
        <v>3</v>
      </c>
      <c r="C2135" t="n">
        <v>29</v>
      </c>
      <c r="D2135" t="n">
        <v>21</v>
      </c>
      <c r="E2135" s="10" t="n">
        <v>0</v>
      </c>
      <c r="F2135" s="10" t="n">
        <v>0.3529587727101055</v>
      </c>
      <c r="G2135" s="11">
        <f>E2135*Summary!$B$6</f>
        <v/>
      </c>
      <c r="H2135" s="11">
        <f>F2135*Summary!$B$7</f>
        <v/>
      </c>
      <c r="I2135" s="11">
        <f>MAX(0,N2135-M2135)</f>
        <v/>
      </c>
      <c r="J2135" s="11">
        <f>MAX(0,M2135-N2135)</f>
        <v/>
      </c>
      <c r="K2135" s="11">
        <f>O2135</f>
        <v/>
      </c>
      <c r="L2135" s="11">
        <f>L2134+IF(K2135&gt;0,K2135*Summary!$B$9,K2135/Summary!$B$9)</f>
        <v/>
      </c>
      <c r="M2135" s="11">
        <f>G2135+H2135</f>
        <v/>
      </c>
      <c r="N2135" s="11">
        <f>Summary!$C$16*Summary!$B$8</f>
        <v/>
      </c>
      <c r="O2135" s="11">
        <f>M2135-N2135</f>
        <v/>
      </c>
    </row>
    <row r="2136">
      <c r="A2136" s="9" t="n">
        <v>45380.91666666666</v>
      </c>
      <c r="B2136" t="n">
        <v>3</v>
      </c>
      <c r="C2136" t="n">
        <v>29</v>
      </c>
      <c r="D2136" t="n">
        <v>22</v>
      </c>
      <c r="E2136" s="10" t="n">
        <v>0</v>
      </c>
      <c r="F2136" s="10" t="n">
        <v>0.3433666424079941</v>
      </c>
      <c r="G2136" s="11">
        <f>E2136*Summary!$B$6</f>
        <v/>
      </c>
      <c r="H2136" s="11">
        <f>F2136*Summary!$B$7</f>
        <v/>
      </c>
      <c r="I2136" s="11">
        <f>MAX(0,N2136-M2136)</f>
        <v/>
      </c>
      <c r="J2136" s="11">
        <f>MAX(0,M2136-N2136)</f>
        <v/>
      </c>
      <c r="K2136" s="11">
        <f>O2136</f>
        <v/>
      </c>
      <c r="L2136" s="11">
        <f>L2135+IF(K2136&gt;0,K2136*Summary!$B$9,K2136/Summary!$B$9)</f>
        <v/>
      </c>
      <c r="M2136" s="11">
        <f>G2136+H2136</f>
        <v/>
      </c>
      <c r="N2136" s="11">
        <f>Summary!$C$16*Summary!$B$8</f>
        <v/>
      </c>
      <c r="O2136" s="11">
        <f>M2136-N2136</f>
        <v/>
      </c>
    </row>
    <row r="2137">
      <c r="A2137" s="9" t="n">
        <v>45380.95833333334</v>
      </c>
      <c r="B2137" t="n">
        <v>3</v>
      </c>
      <c r="C2137" t="n">
        <v>29</v>
      </c>
      <c r="D2137" t="n">
        <v>23</v>
      </c>
      <c r="E2137" s="10" t="n">
        <v>0</v>
      </c>
      <c r="F2137" s="10" t="n">
        <v>0.3348285923588621</v>
      </c>
      <c r="G2137" s="11">
        <f>E2137*Summary!$B$6</f>
        <v/>
      </c>
      <c r="H2137" s="11">
        <f>F2137*Summary!$B$7</f>
        <v/>
      </c>
      <c r="I2137" s="11">
        <f>MAX(0,N2137-M2137)</f>
        <v/>
      </c>
      <c r="J2137" s="11">
        <f>MAX(0,M2137-N2137)</f>
        <v/>
      </c>
      <c r="K2137" s="11">
        <f>O2137</f>
        <v/>
      </c>
      <c r="L2137" s="11">
        <f>L2136+IF(K2137&gt;0,K2137*Summary!$B$9,K2137/Summary!$B$9)</f>
        <v/>
      </c>
      <c r="M2137" s="11">
        <f>G2137+H2137</f>
        <v/>
      </c>
      <c r="N2137" s="11">
        <f>Summary!$C$16*Summary!$B$8</f>
        <v/>
      </c>
      <c r="O2137" s="11">
        <f>M2137-N2137</f>
        <v/>
      </c>
    </row>
    <row r="2138">
      <c r="A2138" s="9" t="n">
        <v>45381</v>
      </c>
      <c r="B2138" t="n">
        <v>3</v>
      </c>
      <c r="C2138" t="n">
        <v>30</v>
      </c>
      <c r="D2138" t="n">
        <v>0</v>
      </c>
      <c r="E2138" s="10" t="n">
        <v>0</v>
      </c>
      <c r="F2138" s="10" t="n">
        <v>0.2978567274856146</v>
      </c>
      <c r="G2138" s="11">
        <f>E2138*Summary!$B$6</f>
        <v/>
      </c>
      <c r="H2138" s="11">
        <f>F2138*Summary!$B$7</f>
        <v/>
      </c>
      <c r="I2138" s="11">
        <f>MAX(0,N2138-M2138)</f>
        <v/>
      </c>
      <c r="J2138" s="11">
        <f>MAX(0,M2138-N2138)</f>
        <v/>
      </c>
      <c r="K2138" s="11">
        <f>O2138</f>
        <v/>
      </c>
      <c r="L2138" s="11">
        <f>L2137+IF(K2138&gt;0,K2138*Summary!$B$9,K2138/Summary!$B$9)</f>
        <v/>
      </c>
      <c r="M2138" s="11">
        <f>G2138+H2138</f>
        <v/>
      </c>
      <c r="N2138" s="11">
        <f>Summary!$C$16*Summary!$B$8</f>
        <v/>
      </c>
      <c r="O2138" s="11">
        <f>M2138-N2138</f>
        <v/>
      </c>
    </row>
    <row r="2139">
      <c r="A2139" s="9" t="n">
        <v>45381.04166666666</v>
      </c>
      <c r="B2139" t="n">
        <v>3</v>
      </c>
      <c r="C2139" t="n">
        <v>30</v>
      </c>
      <c r="D2139" t="n">
        <v>1</v>
      </c>
      <c r="E2139" s="10" t="n">
        <v>0</v>
      </c>
      <c r="F2139" s="10" t="n">
        <v>0.3141686194004686</v>
      </c>
      <c r="G2139" s="11">
        <f>E2139*Summary!$B$6</f>
        <v/>
      </c>
      <c r="H2139" s="11">
        <f>F2139*Summary!$B$7</f>
        <v/>
      </c>
      <c r="I2139" s="11">
        <f>MAX(0,N2139-M2139)</f>
        <v/>
      </c>
      <c r="J2139" s="11">
        <f>MAX(0,M2139-N2139)</f>
        <v/>
      </c>
      <c r="K2139" s="11">
        <f>O2139</f>
        <v/>
      </c>
      <c r="L2139" s="11">
        <f>L2138+IF(K2139&gt;0,K2139*Summary!$B$9,K2139/Summary!$B$9)</f>
        <v/>
      </c>
      <c r="M2139" s="11">
        <f>G2139+H2139</f>
        <v/>
      </c>
      <c r="N2139" s="11">
        <f>Summary!$C$16*Summary!$B$8</f>
        <v/>
      </c>
      <c r="O2139" s="11">
        <f>M2139-N2139</f>
        <v/>
      </c>
    </row>
    <row r="2140">
      <c r="A2140" s="9" t="n">
        <v>45381.08333333334</v>
      </c>
      <c r="B2140" t="n">
        <v>3</v>
      </c>
      <c r="C2140" t="n">
        <v>30</v>
      </c>
      <c r="D2140" t="n">
        <v>2</v>
      </c>
      <c r="E2140" s="10" t="n">
        <v>0</v>
      </c>
      <c r="F2140" s="10" t="n">
        <v>0.3070008736802097</v>
      </c>
      <c r="G2140" s="11">
        <f>E2140*Summary!$B$6</f>
        <v/>
      </c>
      <c r="H2140" s="11">
        <f>F2140*Summary!$B$7</f>
        <v/>
      </c>
      <c r="I2140" s="11">
        <f>MAX(0,N2140-M2140)</f>
        <v/>
      </c>
      <c r="J2140" s="11">
        <f>MAX(0,M2140-N2140)</f>
        <v/>
      </c>
      <c r="K2140" s="11">
        <f>O2140</f>
        <v/>
      </c>
      <c r="L2140" s="11">
        <f>L2139+IF(K2140&gt;0,K2140*Summary!$B$9,K2140/Summary!$B$9)</f>
        <v/>
      </c>
      <c r="M2140" s="11">
        <f>G2140+H2140</f>
        <v/>
      </c>
      <c r="N2140" s="11">
        <f>Summary!$C$16*Summary!$B$8</f>
        <v/>
      </c>
      <c r="O2140" s="11">
        <f>M2140-N2140</f>
        <v/>
      </c>
    </row>
    <row r="2141">
      <c r="A2141" s="9" t="n">
        <v>45381.125</v>
      </c>
      <c r="B2141" t="n">
        <v>3</v>
      </c>
      <c r="C2141" t="n">
        <v>30</v>
      </c>
      <c r="D2141" t="n">
        <v>3</v>
      </c>
      <c r="E2141" s="10" t="n">
        <v>0</v>
      </c>
      <c r="F2141" s="10" t="n">
        <v>0.2986209356690246</v>
      </c>
      <c r="G2141" s="11">
        <f>E2141*Summary!$B$6</f>
        <v/>
      </c>
      <c r="H2141" s="11">
        <f>F2141*Summary!$B$7</f>
        <v/>
      </c>
      <c r="I2141" s="11">
        <f>MAX(0,N2141-M2141)</f>
        <v/>
      </c>
      <c r="J2141" s="11">
        <f>MAX(0,M2141-N2141)</f>
        <v/>
      </c>
      <c r="K2141" s="11">
        <f>O2141</f>
        <v/>
      </c>
      <c r="L2141" s="11">
        <f>L2140+IF(K2141&gt;0,K2141*Summary!$B$9,K2141/Summary!$B$9)</f>
        <v/>
      </c>
      <c r="M2141" s="11">
        <f>G2141+H2141</f>
        <v/>
      </c>
      <c r="N2141" s="11">
        <f>Summary!$C$16*Summary!$B$8</f>
        <v/>
      </c>
      <c r="O2141" s="11">
        <f>M2141-N2141</f>
        <v/>
      </c>
    </row>
    <row r="2142">
      <c r="A2142" s="9" t="n">
        <v>45381.16666666666</v>
      </c>
      <c r="B2142" t="n">
        <v>3</v>
      </c>
      <c r="C2142" t="n">
        <v>30</v>
      </c>
      <c r="D2142" t="n">
        <v>4</v>
      </c>
      <c r="E2142" s="10" t="n">
        <v>0</v>
      </c>
      <c r="F2142" s="10" t="n">
        <v>0.289450437468105</v>
      </c>
      <c r="G2142" s="11">
        <f>E2142*Summary!$B$6</f>
        <v/>
      </c>
      <c r="H2142" s="11">
        <f>F2142*Summary!$B$7</f>
        <v/>
      </c>
      <c r="I2142" s="11">
        <f>MAX(0,N2142-M2142)</f>
        <v/>
      </c>
      <c r="J2142" s="11">
        <f>MAX(0,M2142-N2142)</f>
        <v/>
      </c>
      <c r="K2142" s="11">
        <f>O2142</f>
        <v/>
      </c>
      <c r="L2142" s="11">
        <f>L2141+IF(K2142&gt;0,K2142*Summary!$B$9,K2142/Summary!$B$9)</f>
        <v/>
      </c>
      <c r="M2142" s="11">
        <f>G2142+H2142</f>
        <v/>
      </c>
      <c r="N2142" s="11">
        <f>Summary!$C$16*Summary!$B$8</f>
        <v/>
      </c>
      <c r="O2142" s="11">
        <f>M2142-N2142</f>
        <v/>
      </c>
    </row>
    <row r="2143">
      <c r="A2143" s="9" t="n">
        <v>45381.20833333334</v>
      </c>
      <c r="B2143" t="n">
        <v>3</v>
      </c>
      <c r="C2143" t="n">
        <v>30</v>
      </c>
      <c r="D2143" t="n">
        <v>5</v>
      </c>
      <c r="E2143" s="10" t="n">
        <v>0</v>
      </c>
      <c r="F2143" s="10" t="n">
        <v>0.2838111081146659</v>
      </c>
      <c r="G2143" s="11">
        <f>E2143*Summary!$B$6</f>
        <v/>
      </c>
      <c r="H2143" s="11">
        <f>F2143*Summary!$B$7</f>
        <v/>
      </c>
      <c r="I2143" s="11">
        <f>MAX(0,N2143-M2143)</f>
        <v/>
      </c>
      <c r="J2143" s="11">
        <f>MAX(0,M2143-N2143)</f>
        <v/>
      </c>
      <c r="K2143" s="11">
        <f>O2143</f>
        <v/>
      </c>
      <c r="L2143" s="11">
        <f>L2142+IF(K2143&gt;0,K2143*Summary!$B$9,K2143/Summary!$B$9)</f>
        <v/>
      </c>
      <c r="M2143" s="11">
        <f>G2143+H2143</f>
        <v/>
      </c>
      <c r="N2143" s="11">
        <f>Summary!$C$16*Summary!$B$8</f>
        <v/>
      </c>
      <c r="O2143" s="11">
        <f>M2143-N2143</f>
        <v/>
      </c>
    </row>
    <row r="2144">
      <c r="A2144" s="9" t="n">
        <v>45381.25</v>
      </c>
      <c r="B2144" t="n">
        <v>3</v>
      </c>
      <c r="C2144" t="n">
        <v>30</v>
      </c>
      <c r="D2144" t="n">
        <v>6</v>
      </c>
      <c r="E2144" s="10" t="n">
        <v>0.01003</v>
      </c>
      <c r="F2144" s="10" t="n">
        <v>0.2750358900086136</v>
      </c>
      <c r="G2144" s="11">
        <f>E2144*Summary!$B$6</f>
        <v/>
      </c>
      <c r="H2144" s="11">
        <f>F2144*Summary!$B$7</f>
        <v/>
      </c>
      <c r="I2144" s="11">
        <f>MAX(0,N2144-M2144)</f>
        <v/>
      </c>
      <c r="J2144" s="11">
        <f>MAX(0,M2144-N2144)</f>
        <v/>
      </c>
      <c r="K2144" s="11">
        <f>O2144</f>
        <v/>
      </c>
      <c r="L2144" s="11">
        <f>L2143+IF(K2144&gt;0,K2144*Summary!$B$9,K2144/Summary!$B$9)</f>
        <v/>
      </c>
      <c r="M2144" s="11">
        <f>G2144+H2144</f>
        <v/>
      </c>
      <c r="N2144" s="11">
        <f>Summary!$C$16*Summary!$B$8</f>
        <v/>
      </c>
      <c r="O2144" s="11">
        <f>M2144-N2144</f>
        <v/>
      </c>
    </row>
    <row r="2145">
      <c r="A2145" s="9" t="n">
        <v>45381.29166666666</v>
      </c>
      <c r="B2145" t="n">
        <v>3</v>
      </c>
      <c r="C2145" t="n">
        <v>30</v>
      </c>
      <c r="D2145" t="n">
        <v>7</v>
      </c>
      <c r="E2145" s="10" t="n">
        <v>0.114822</v>
      </c>
      <c r="F2145" s="10" t="n">
        <v>0.2580124939229985</v>
      </c>
      <c r="G2145" s="11">
        <f>E2145*Summary!$B$6</f>
        <v/>
      </c>
      <c r="H2145" s="11">
        <f>F2145*Summary!$B$7</f>
        <v/>
      </c>
      <c r="I2145" s="11">
        <f>MAX(0,N2145-M2145)</f>
        <v/>
      </c>
      <c r="J2145" s="11">
        <f>MAX(0,M2145-N2145)</f>
        <v/>
      </c>
      <c r="K2145" s="11">
        <f>O2145</f>
        <v/>
      </c>
      <c r="L2145" s="11">
        <f>L2144+IF(K2145&gt;0,K2145*Summary!$B$9,K2145/Summary!$B$9)</f>
        <v/>
      </c>
      <c r="M2145" s="11">
        <f>G2145+H2145</f>
        <v/>
      </c>
      <c r="N2145" s="11">
        <f>Summary!$C$16*Summary!$B$8</f>
        <v/>
      </c>
      <c r="O2145" s="11">
        <f>M2145-N2145</f>
        <v/>
      </c>
    </row>
    <row r="2146">
      <c r="A2146" s="9" t="n">
        <v>45381.33333333334</v>
      </c>
      <c r="B2146" t="n">
        <v>3</v>
      </c>
      <c r="C2146" t="n">
        <v>30</v>
      </c>
      <c r="D2146" t="n">
        <v>8</v>
      </c>
      <c r="E2146" s="10" t="n">
        <v>0.287157</v>
      </c>
      <c r="F2146" s="10" t="n">
        <v>0.2467338352161204</v>
      </c>
      <c r="G2146" s="11">
        <f>E2146*Summary!$B$6</f>
        <v/>
      </c>
      <c r="H2146" s="11">
        <f>F2146*Summary!$B$7</f>
        <v/>
      </c>
      <c r="I2146" s="11">
        <f>MAX(0,N2146-M2146)</f>
        <v/>
      </c>
      <c r="J2146" s="11">
        <f>MAX(0,M2146-N2146)</f>
        <v/>
      </c>
      <c r="K2146" s="11">
        <f>O2146</f>
        <v/>
      </c>
      <c r="L2146" s="11">
        <f>L2145+IF(K2146&gt;0,K2146*Summary!$B$9,K2146/Summary!$B$9)</f>
        <v/>
      </c>
      <c r="M2146" s="11">
        <f>G2146+H2146</f>
        <v/>
      </c>
      <c r="N2146" s="11">
        <f>Summary!$C$16*Summary!$B$8</f>
        <v/>
      </c>
      <c r="O2146" s="11">
        <f>M2146-N2146</f>
        <v/>
      </c>
    </row>
    <row r="2147">
      <c r="A2147" s="9" t="n">
        <v>45381.375</v>
      </c>
      <c r="B2147" t="n">
        <v>3</v>
      </c>
      <c r="C2147" t="n">
        <v>30</v>
      </c>
      <c r="D2147" t="n">
        <v>9</v>
      </c>
      <c r="E2147" s="10" t="n">
        <v>0.428537</v>
      </c>
      <c r="F2147" s="10" t="n">
        <v>0.2379849691163926</v>
      </c>
      <c r="G2147" s="11">
        <f>E2147*Summary!$B$6</f>
        <v/>
      </c>
      <c r="H2147" s="11">
        <f>F2147*Summary!$B$7</f>
        <v/>
      </c>
      <c r="I2147" s="11">
        <f>MAX(0,N2147-M2147)</f>
        <v/>
      </c>
      <c r="J2147" s="11">
        <f>MAX(0,M2147-N2147)</f>
        <v/>
      </c>
      <c r="K2147" s="11">
        <f>O2147</f>
        <v/>
      </c>
      <c r="L2147" s="11">
        <f>L2146+IF(K2147&gt;0,K2147*Summary!$B$9,K2147/Summary!$B$9)</f>
        <v/>
      </c>
      <c r="M2147" s="11">
        <f>G2147+H2147</f>
        <v/>
      </c>
      <c r="N2147" s="11">
        <f>Summary!$C$16*Summary!$B$8</f>
        <v/>
      </c>
      <c r="O2147" s="11">
        <f>M2147-N2147</f>
        <v/>
      </c>
    </row>
    <row r="2148">
      <c r="A2148" s="9" t="n">
        <v>45381.41666666666</v>
      </c>
      <c r="B2148" t="n">
        <v>3</v>
      </c>
      <c r="C2148" t="n">
        <v>30</v>
      </c>
      <c r="D2148" t="n">
        <v>10</v>
      </c>
      <c r="E2148" s="10" t="n">
        <v>0.689789</v>
      </c>
      <c r="F2148" s="10" t="n">
        <v>0.241621545989171</v>
      </c>
      <c r="G2148" s="11">
        <f>E2148*Summary!$B$6</f>
        <v/>
      </c>
      <c r="H2148" s="11">
        <f>F2148*Summary!$B$7</f>
        <v/>
      </c>
      <c r="I2148" s="11">
        <f>MAX(0,N2148-M2148)</f>
        <v/>
      </c>
      <c r="J2148" s="11">
        <f>MAX(0,M2148-N2148)</f>
        <v/>
      </c>
      <c r="K2148" s="11">
        <f>O2148</f>
        <v/>
      </c>
      <c r="L2148" s="11">
        <f>L2147+IF(K2148&gt;0,K2148*Summary!$B$9,K2148/Summary!$B$9)</f>
        <v/>
      </c>
      <c r="M2148" s="11">
        <f>G2148+H2148</f>
        <v/>
      </c>
      <c r="N2148" s="11">
        <f>Summary!$C$16*Summary!$B$8</f>
        <v/>
      </c>
      <c r="O2148" s="11">
        <f>M2148-N2148</f>
        <v/>
      </c>
    </row>
    <row r="2149">
      <c r="A2149" s="9" t="n">
        <v>45381.45833333334</v>
      </c>
      <c r="B2149" t="n">
        <v>3</v>
      </c>
      <c r="C2149" t="n">
        <v>30</v>
      </c>
      <c r="D2149" t="n">
        <v>11</v>
      </c>
      <c r="E2149" s="10" t="n">
        <v>0.754058</v>
      </c>
      <c r="F2149" s="10" t="n">
        <v>0.2469710032730408</v>
      </c>
      <c r="G2149" s="11">
        <f>E2149*Summary!$B$6</f>
        <v/>
      </c>
      <c r="H2149" s="11">
        <f>F2149*Summary!$B$7</f>
        <v/>
      </c>
      <c r="I2149" s="11">
        <f>MAX(0,N2149-M2149)</f>
        <v/>
      </c>
      <c r="J2149" s="11">
        <f>MAX(0,M2149-N2149)</f>
        <v/>
      </c>
      <c r="K2149" s="11">
        <f>O2149</f>
        <v/>
      </c>
      <c r="L2149" s="11">
        <f>L2148+IF(K2149&gt;0,K2149*Summary!$B$9,K2149/Summary!$B$9)</f>
        <v/>
      </c>
      <c r="M2149" s="11">
        <f>G2149+H2149</f>
        <v/>
      </c>
      <c r="N2149" s="11">
        <f>Summary!$C$16*Summary!$B$8</f>
        <v/>
      </c>
      <c r="O2149" s="11">
        <f>M2149-N2149</f>
        <v/>
      </c>
    </row>
    <row r="2150">
      <c r="A2150" s="9" t="n">
        <v>45381.5</v>
      </c>
      <c r="B2150" t="n">
        <v>3</v>
      </c>
      <c r="C2150" t="n">
        <v>30</v>
      </c>
      <c r="D2150" t="n">
        <v>12</v>
      </c>
      <c r="E2150" s="10" t="n">
        <v>0.754058</v>
      </c>
      <c r="F2150" s="10" t="n">
        <v>0.2534272448225388</v>
      </c>
      <c r="G2150" s="11">
        <f>E2150*Summary!$B$6</f>
        <v/>
      </c>
      <c r="H2150" s="11">
        <f>F2150*Summary!$B$7</f>
        <v/>
      </c>
      <c r="I2150" s="11">
        <f>MAX(0,N2150-M2150)</f>
        <v/>
      </c>
      <c r="J2150" s="11">
        <f>MAX(0,M2150-N2150)</f>
        <v/>
      </c>
      <c r="K2150" s="11">
        <f>O2150</f>
        <v/>
      </c>
      <c r="L2150" s="11">
        <f>L2149+IF(K2150&gt;0,K2150*Summary!$B$9,K2150/Summary!$B$9)</f>
        <v/>
      </c>
      <c r="M2150" s="11">
        <f>G2150+H2150</f>
        <v/>
      </c>
      <c r="N2150" s="11">
        <f>Summary!$C$16*Summary!$B$8</f>
        <v/>
      </c>
      <c r="O2150" s="11">
        <f>M2150-N2150</f>
        <v/>
      </c>
    </row>
    <row r="2151">
      <c r="A2151" s="9" t="n">
        <v>45381.54166666666</v>
      </c>
      <c r="B2151" t="n">
        <v>3</v>
      </c>
      <c r="C2151" t="n">
        <v>30</v>
      </c>
      <c r="D2151" t="n">
        <v>13</v>
      </c>
      <c r="E2151" s="10" t="n">
        <v>0.641344</v>
      </c>
      <c r="F2151" s="10" t="n">
        <v>0.2590402221696533</v>
      </c>
      <c r="G2151" s="11">
        <f>E2151*Summary!$B$6</f>
        <v/>
      </c>
      <c r="H2151" s="11">
        <f>F2151*Summary!$B$7</f>
        <v/>
      </c>
      <c r="I2151" s="11">
        <f>MAX(0,N2151-M2151)</f>
        <v/>
      </c>
      <c r="J2151" s="11">
        <f>MAX(0,M2151-N2151)</f>
        <v/>
      </c>
      <c r="K2151" s="11">
        <f>O2151</f>
        <v/>
      </c>
      <c r="L2151" s="11">
        <f>L2150+IF(K2151&gt;0,K2151*Summary!$B$9,K2151/Summary!$B$9)</f>
        <v/>
      </c>
      <c r="M2151" s="11">
        <f>G2151+H2151</f>
        <v/>
      </c>
      <c r="N2151" s="11">
        <f>Summary!$C$16*Summary!$B$8</f>
        <v/>
      </c>
      <c r="O2151" s="11">
        <f>M2151-N2151</f>
        <v/>
      </c>
    </row>
    <row r="2152">
      <c r="A2152" s="9" t="n">
        <v>45381.58333333334</v>
      </c>
      <c r="B2152" t="n">
        <v>3</v>
      </c>
      <c r="C2152" t="n">
        <v>30</v>
      </c>
      <c r="D2152" t="n">
        <v>14</v>
      </c>
      <c r="E2152" s="10" t="n">
        <v>0.6127590000000001</v>
      </c>
      <c r="F2152" s="10" t="n">
        <v>0.2604895825174998</v>
      </c>
      <c r="G2152" s="11">
        <f>E2152*Summary!$B$6</f>
        <v/>
      </c>
      <c r="H2152" s="11">
        <f>F2152*Summary!$B$7</f>
        <v/>
      </c>
      <c r="I2152" s="11">
        <f>MAX(0,N2152-M2152)</f>
        <v/>
      </c>
      <c r="J2152" s="11">
        <f>MAX(0,M2152-N2152)</f>
        <v/>
      </c>
      <c r="K2152" s="11">
        <f>O2152</f>
        <v/>
      </c>
      <c r="L2152" s="11">
        <f>L2151+IF(K2152&gt;0,K2152*Summary!$B$9,K2152/Summary!$B$9)</f>
        <v/>
      </c>
      <c r="M2152" s="11">
        <f>G2152+H2152</f>
        <v/>
      </c>
      <c r="N2152" s="11">
        <f>Summary!$C$16*Summary!$B$8</f>
        <v/>
      </c>
      <c r="O2152" s="11">
        <f>M2152-N2152</f>
        <v/>
      </c>
    </row>
    <row r="2153">
      <c r="A2153" s="9" t="n">
        <v>45381.625</v>
      </c>
      <c r="B2153" t="n">
        <v>3</v>
      </c>
      <c r="C2153" t="n">
        <v>30</v>
      </c>
      <c r="D2153" t="n">
        <v>15</v>
      </c>
      <c r="E2153" s="10" t="n">
        <v>0.320997</v>
      </c>
      <c r="F2153" s="10" t="n">
        <v>0.2549293091830342</v>
      </c>
      <c r="G2153" s="11">
        <f>E2153*Summary!$B$6</f>
        <v/>
      </c>
      <c r="H2153" s="11">
        <f>F2153*Summary!$B$7</f>
        <v/>
      </c>
      <c r="I2153" s="11">
        <f>MAX(0,N2153-M2153)</f>
        <v/>
      </c>
      <c r="J2153" s="11">
        <f>MAX(0,M2153-N2153)</f>
        <v/>
      </c>
      <c r="K2153" s="11">
        <f>O2153</f>
        <v/>
      </c>
      <c r="L2153" s="11">
        <f>L2152+IF(K2153&gt;0,K2153*Summary!$B$9,K2153/Summary!$B$9)</f>
        <v/>
      </c>
      <c r="M2153" s="11">
        <f>G2153+H2153</f>
        <v/>
      </c>
      <c r="N2153" s="11">
        <f>Summary!$C$16*Summary!$B$8</f>
        <v/>
      </c>
      <c r="O2153" s="11">
        <f>M2153-N2153</f>
        <v/>
      </c>
    </row>
    <row r="2154">
      <c r="A2154" s="9" t="n">
        <v>45381.66666666666</v>
      </c>
      <c r="B2154" t="n">
        <v>3</v>
      </c>
      <c r="C2154" t="n">
        <v>30</v>
      </c>
      <c r="D2154" t="n">
        <v>16</v>
      </c>
      <c r="E2154" s="10" t="n">
        <v>0.125568</v>
      </c>
      <c r="F2154" s="10" t="n">
        <v>0.252346812563235</v>
      </c>
      <c r="G2154" s="11">
        <f>E2154*Summary!$B$6</f>
        <v/>
      </c>
      <c r="H2154" s="11">
        <f>F2154*Summary!$B$7</f>
        <v/>
      </c>
      <c r="I2154" s="11">
        <f>MAX(0,N2154-M2154)</f>
        <v/>
      </c>
      <c r="J2154" s="11">
        <f>MAX(0,M2154-N2154)</f>
        <v/>
      </c>
      <c r="K2154" s="11">
        <f>O2154</f>
        <v/>
      </c>
      <c r="L2154" s="11">
        <f>L2153+IF(K2154&gt;0,K2154*Summary!$B$9,K2154/Summary!$B$9)</f>
        <v/>
      </c>
      <c r="M2154" s="11">
        <f>G2154+H2154</f>
        <v/>
      </c>
      <c r="N2154" s="11">
        <f>Summary!$C$16*Summary!$B$8</f>
        <v/>
      </c>
      <c r="O2154" s="11">
        <f>M2154-N2154</f>
        <v/>
      </c>
    </row>
    <row r="2155">
      <c r="A2155" s="9" t="n">
        <v>45381.70833333334</v>
      </c>
      <c r="B2155" t="n">
        <v>3</v>
      </c>
      <c r="C2155" t="n">
        <v>30</v>
      </c>
      <c r="D2155" t="n">
        <v>17</v>
      </c>
      <c r="E2155" s="10" t="n">
        <v>0.03174</v>
      </c>
      <c r="F2155" s="10" t="n">
        <v>0.2556935173664441</v>
      </c>
      <c r="G2155" s="11">
        <f>E2155*Summary!$B$6</f>
        <v/>
      </c>
      <c r="H2155" s="11">
        <f>F2155*Summary!$B$7</f>
        <v/>
      </c>
      <c r="I2155" s="11">
        <f>MAX(0,N2155-M2155)</f>
        <v/>
      </c>
      <c r="J2155" s="11">
        <f>MAX(0,M2155-N2155)</f>
        <v/>
      </c>
      <c r="K2155" s="11">
        <f>O2155</f>
        <v/>
      </c>
      <c r="L2155" s="11">
        <f>L2154+IF(K2155&gt;0,K2155*Summary!$B$9,K2155/Summary!$B$9)</f>
        <v/>
      </c>
      <c r="M2155" s="11">
        <f>G2155+H2155</f>
        <v/>
      </c>
      <c r="N2155" s="11">
        <f>Summary!$C$16*Summary!$B$8</f>
        <v/>
      </c>
      <c r="O2155" s="11">
        <f>M2155-N2155</f>
        <v/>
      </c>
    </row>
    <row r="2156">
      <c r="A2156" s="9" t="n">
        <v>45381.75</v>
      </c>
      <c r="B2156" t="n">
        <v>3</v>
      </c>
      <c r="C2156" t="n">
        <v>30</v>
      </c>
      <c r="D2156" t="n">
        <v>18</v>
      </c>
      <c r="E2156" s="10" t="n">
        <v>0</v>
      </c>
      <c r="F2156" s="10" t="n">
        <v>0.2622024629285911</v>
      </c>
      <c r="G2156" s="11">
        <f>E2156*Summary!$B$6</f>
        <v/>
      </c>
      <c r="H2156" s="11">
        <f>F2156*Summary!$B$7</f>
        <v/>
      </c>
      <c r="I2156" s="11">
        <f>MAX(0,N2156-M2156)</f>
        <v/>
      </c>
      <c r="J2156" s="11">
        <f>MAX(0,M2156-N2156)</f>
        <v/>
      </c>
      <c r="K2156" s="11">
        <f>O2156</f>
        <v/>
      </c>
      <c r="L2156" s="11">
        <f>L2155+IF(K2156&gt;0,K2156*Summary!$B$9,K2156/Summary!$B$9)</f>
        <v/>
      </c>
      <c r="M2156" s="11">
        <f>G2156+H2156</f>
        <v/>
      </c>
      <c r="N2156" s="11">
        <f>Summary!$C$16*Summary!$B$8</f>
        <v/>
      </c>
      <c r="O2156" s="11">
        <f>M2156-N2156</f>
        <v/>
      </c>
    </row>
    <row r="2157">
      <c r="A2157" s="9" t="n">
        <v>45381.79166666666</v>
      </c>
      <c r="B2157" t="n">
        <v>3</v>
      </c>
      <c r="C2157" t="n">
        <v>30</v>
      </c>
      <c r="D2157" t="n">
        <v>19</v>
      </c>
      <c r="E2157" s="10" t="n">
        <v>0</v>
      </c>
      <c r="F2157" s="10" t="n">
        <v>0.2742980338315281</v>
      </c>
      <c r="G2157" s="11">
        <f>E2157*Summary!$B$6</f>
        <v/>
      </c>
      <c r="H2157" s="11">
        <f>F2157*Summary!$B$7</f>
        <v/>
      </c>
      <c r="I2157" s="11">
        <f>MAX(0,N2157-M2157)</f>
        <v/>
      </c>
      <c r="J2157" s="11">
        <f>MAX(0,M2157-N2157)</f>
        <v/>
      </c>
      <c r="K2157" s="11">
        <f>O2157</f>
        <v/>
      </c>
      <c r="L2157" s="11">
        <f>L2156+IF(K2157&gt;0,K2157*Summary!$B$9,K2157/Summary!$B$9)</f>
        <v/>
      </c>
      <c r="M2157" s="11">
        <f>G2157+H2157</f>
        <v/>
      </c>
      <c r="N2157" s="11">
        <f>Summary!$C$16*Summary!$B$8</f>
        <v/>
      </c>
      <c r="O2157" s="11">
        <f>M2157-N2157</f>
        <v/>
      </c>
    </row>
    <row r="2158">
      <c r="A2158" s="9" t="n">
        <v>45381.83333333334</v>
      </c>
      <c r="B2158" t="n">
        <v>3</v>
      </c>
      <c r="C2158" t="n">
        <v>30</v>
      </c>
      <c r="D2158" t="n">
        <v>20</v>
      </c>
      <c r="E2158" s="10" t="n">
        <v>0</v>
      </c>
      <c r="F2158" s="10" t="n">
        <v>0.2825198598047663</v>
      </c>
      <c r="G2158" s="11">
        <f>E2158*Summary!$B$6</f>
        <v/>
      </c>
      <c r="H2158" s="11">
        <f>F2158*Summary!$B$7</f>
        <v/>
      </c>
      <c r="I2158" s="11">
        <f>MAX(0,N2158-M2158)</f>
        <v/>
      </c>
      <c r="J2158" s="11">
        <f>MAX(0,M2158-N2158)</f>
        <v/>
      </c>
      <c r="K2158" s="11">
        <f>O2158</f>
        <v/>
      </c>
      <c r="L2158" s="11">
        <f>L2157+IF(K2158&gt;0,K2158*Summary!$B$9,K2158/Summary!$B$9)</f>
        <v/>
      </c>
      <c r="M2158" s="11">
        <f>G2158+H2158</f>
        <v/>
      </c>
      <c r="N2158" s="11">
        <f>Summary!$C$16*Summary!$B$8</f>
        <v/>
      </c>
      <c r="O2158" s="11">
        <f>M2158-N2158</f>
        <v/>
      </c>
    </row>
    <row r="2159">
      <c r="A2159" s="9" t="n">
        <v>45381.875</v>
      </c>
      <c r="B2159" t="n">
        <v>3</v>
      </c>
      <c r="C2159" t="n">
        <v>30</v>
      </c>
      <c r="D2159" t="n">
        <v>21</v>
      </c>
      <c r="E2159" s="10" t="n">
        <v>0</v>
      </c>
      <c r="F2159" s="10" t="n">
        <v>0.2889761013542643</v>
      </c>
      <c r="G2159" s="11">
        <f>E2159*Summary!$B$6</f>
        <v/>
      </c>
      <c r="H2159" s="11">
        <f>F2159*Summary!$B$7</f>
        <v/>
      </c>
      <c r="I2159" s="11">
        <f>MAX(0,N2159-M2159)</f>
        <v/>
      </c>
      <c r="J2159" s="11">
        <f>MAX(0,M2159-N2159)</f>
        <v/>
      </c>
      <c r="K2159" s="11">
        <f>O2159</f>
        <v/>
      </c>
      <c r="L2159" s="11">
        <f>L2158+IF(K2159&gt;0,K2159*Summary!$B$9,K2159/Summary!$B$9)</f>
        <v/>
      </c>
      <c r="M2159" s="11">
        <f>G2159+H2159</f>
        <v/>
      </c>
      <c r="N2159" s="11">
        <f>Summary!$C$16*Summary!$B$8</f>
        <v/>
      </c>
      <c r="O2159" s="11">
        <f>M2159-N2159</f>
        <v/>
      </c>
    </row>
    <row r="2160">
      <c r="A2160" s="9" t="n">
        <v>45381.91666666666</v>
      </c>
      <c r="B2160" t="n">
        <v>3</v>
      </c>
      <c r="C2160" t="n">
        <v>30</v>
      </c>
      <c r="D2160" t="n">
        <v>22</v>
      </c>
      <c r="E2160" s="10" t="n">
        <v>0</v>
      </c>
      <c r="F2160" s="10" t="n">
        <v>0.2944573186697565</v>
      </c>
      <c r="G2160" s="11">
        <f>E2160*Summary!$B$6</f>
        <v/>
      </c>
      <c r="H2160" s="11">
        <f>F2160*Summary!$B$7</f>
        <v/>
      </c>
      <c r="I2160" s="11">
        <f>MAX(0,N2160-M2160)</f>
        <v/>
      </c>
      <c r="J2160" s="11">
        <f>MAX(0,M2160-N2160)</f>
        <v/>
      </c>
      <c r="K2160" s="11">
        <f>O2160</f>
        <v/>
      </c>
      <c r="L2160" s="11">
        <f>L2159+IF(K2160&gt;0,K2160*Summary!$B$9,K2160/Summary!$B$9)</f>
        <v/>
      </c>
      <c r="M2160" s="11">
        <f>G2160+H2160</f>
        <v/>
      </c>
      <c r="N2160" s="11">
        <f>Summary!$C$16*Summary!$B$8</f>
        <v/>
      </c>
      <c r="O2160" s="11">
        <f>M2160-N2160</f>
        <v/>
      </c>
    </row>
    <row r="2161">
      <c r="A2161" s="9" t="n">
        <v>45381.95833333334</v>
      </c>
      <c r="B2161" t="n">
        <v>3</v>
      </c>
      <c r="C2161" t="n">
        <v>30</v>
      </c>
      <c r="D2161" t="n">
        <v>23</v>
      </c>
      <c r="E2161" s="10" t="n">
        <v>0</v>
      </c>
      <c r="F2161" s="10" t="n">
        <v>0.2939829825559158</v>
      </c>
      <c r="G2161" s="11">
        <f>E2161*Summary!$B$6</f>
        <v/>
      </c>
      <c r="H2161" s="11">
        <f>F2161*Summary!$B$7</f>
        <v/>
      </c>
      <c r="I2161" s="11">
        <f>MAX(0,N2161-M2161)</f>
        <v/>
      </c>
      <c r="J2161" s="11">
        <f>MAX(0,M2161-N2161)</f>
        <v/>
      </c>
      <c r="K2161" s="11">
        <f>O2161</f>
        <v/>
      </c>
      <c r="L2161" s="11">
        <f>L2160+IF(K2161&gt;0,K2161*Summary!$B$9,K2161/Summary!$B$9)</f>
        <v/>
      </c>
      <c r="M2161" s="11">
        <f>G2161+H2161</f>
        <v/>
      </c>
      <c r="N2161" s="11">
        <f>Summary!$C$16*Summary!$B$8</f>
        <v/>
      </c>
      <c r="O2161" s="11">
        <f>M2161-N2161</f>
        <v/>
      </c>
    </row>
    <row r="2162">
      <c r="A2162" s="9" t="n">
        <v>45382</v>
      </c>
      <c r="B2162" t="n">
        <v>3</v>
      </c>
      <c r="C2162" t="n">
        <v>31</v>
      </c>
      <c r="D2162" t="n">
        <v>0</v>
      </c>
      <c r="E2162" s="10" t="n">
        <v>0</v>
      </c>
      <c r="F2162" s="10" t="n">
        <v>0.2533218367972409</v>
      </c>
      <c r="G2162" s="11">
        <f>E2162*Summary!$B$6</f>
        <v/>
      </c>
      <c r="H2162" s="11">
        <f>F2162*Summary!$B$7</f>
        <v/>
      </c>
      <c r="I2162" s="11">
        <f>MAX(0,N2162-M2162)</f>
        <v/>
      </c>
      <c r="J2162" s="11">
        <f>MAX(0,M2162-N2162)</f>
        <v/>
      </c>
      <c r="K2162" s="11">
        <f>O2162</f>
        <v/>
      </c>
      <c r="L2162" s="11">
        <f>L2161+IF(K2162&gt;0,K2162*Summary!$B$9,K2162/Summary!$B$9)</f>
        <v/>
      </c>
      <c r="M2162" s="11">
        <f>G2162+H2162</f>
        <v/>
      </c>
      <c r="N2162" s="11">
        <f>Summary!$C$16*Summary!$B$8</f>
        <v/>
      </c>
      <c r="O2162" s="11">
        <f>M2162-N2162</f>
        <v/>
      </c>
    </row>
    <row r="2163">
      <c r="A2163" s="9" t="n">
        <v>45382.04166666666</v>
      </c>
      <c r="B2163" t="n">
        <v>3</v>
      </c>
      <c r="C2163" t="n">
        <v>31</v>
      </c>
      <c r="D2163" t="n">
        <v>1</v>
      </c>
      <c r="E2163" s="10" t="n">
        <v>0</v>
      </c>
      <c r="F2163" s="10" t="n">
        <v>0.2977249674539922</v>
      </c>
      <c r="G2163" s="11">
        <f>E2163*Summary!$B$6</f>
        <v/>
      </c>
      <c r="H2163" s="11">
        <f>F2163*Summary!$B$7</f>
        <v/>
      </c>
      <c r="I2163" s="11">
        <f>MAX(0,N2163-M2163)</f>
        <v/>
      </c>
      <c r="J2163" s="11">
        <f>MAX(0,M2163-N2163)</f>
        <v/>
      </c>
      <c r="K2163" s="11">
        <f>O2163</f>
        <v/>
      </c>
      <c r="L2163" s="11">
        <f>L2162+IF(K2163&gt;0,K2163*Summary!$B$9,K2163/Summary!$B$9)</f>
        <v/>
      </c>
      <c r="M2163" s="11">
        <f>G2163+H2163</f>
        <v/>
      </c>
      <c r="N2163" s="11">
        <f>Summary!$C$16*Summary!$B$8</f>
        <v/>
      </c>
      <c r="O2163" s="11">
        <f>M2163-N2163</f>
        <v/>
      </c>
    </row>
    <row r="2164">
      <c r="A2164" s="9" t="n">
        <v>45382.08333333334</v>
      </c>
      <c r="B2164" t="n">
        <v>3</v>
      </c>
      <c r="C2164" t="n">
        <v>31</v>
      </c>
      <c r="D2164" t="n">
        <v>2</v>
      </c>
      <c r="E2164" s="10" t="n">
        <v>0</v>
      </c>
      <c r="F2164" s="10" t="n">
        <v>0.2999385359852487</v>
      </c>
      <c r="G2164" s="11">
        <f>E2164*Summary!$B$6</f>
        <v/>
      </c>
      <c r="H2164" s="11">
        <f>F2164*Summary!$B$7</f>
        <v/>
      </c>
      <c r="I2164" s="11">
        <f>MAX(0,N2164-M2164)</f>
        <v/>
      </c>
      <c r="J2164" s="11">
        <f>MAX(0,M2164-N2164)</f>
        <v/>
      </c>
      <c r="K2164" s="11">
        <f>O2164</f>
        <v/>
      </c>
      <c r="L2164" s="11">
        <f>L2163+IF(K2164&gt;0,K2164*Summary!$B$9,K2164/Summary!$B$9)</f>
        <v/>
      </c>
      <c r="M2164" s="11">
        <f>G2164+H2164</f>
        <v/>
      </c>
      <c r="N2164" s="11">
        <f>Summary!$C$16*Summary!$B$8</f>
        <v/>
      </c>
      <c r="O2164" s="11">
        <f>M2164-N2164</f>
        <v/>
      </c>
    </row>
    <row r="2165">
      <c r="A2165" s="9" t="n">
        <v>45382.125</v>
      </c>
      <c r="B2165" t="n">
        <v>3</v>
      </c>
      <c r="C2165" t="n">
        <v>31</v>
      </c>
      <c r="D2165" t="n">
        <v>3</v>
      </c>
      <c r="E2165" s="10" t="n">
        <v>0</v>
      </c>
      <c r="F2165" s="10" t="n">
        <v>0.3016250643900155</v>
      </c>
      <c r="G2165" s="11">
        <f>E2165*Summary!$B$6</f>
        <v/>
      </c>
      <c r="H2165" s="11">
        <f>F2165*Summary!$B$7</f>
        <v/>
      </c>
      <c r="I2165" s="11">
        <f>MAX(0,N2165-M2165)</f>
        <v/>
      </c>
      <c r="J2165" s="11">
        <f>MAX(0,M2165-N2165)</f>
        <v/>
      </c>
      <c r="K2165" s="11">
        <f>O2165</f>
        <v/>
      </c>
      <c r="L2165" s="11">
        <f>L2164+IF(K2165&gt;0,K2165*Summary!$B$9,K2165/Summary!$B$9)</f>
        <v/>
      </c>
      <c r="M2165" s="11">
        <f>G2165+H2165</f>
        <v/>
      </c>
      <c r="N2165" s="11">
        <f>Summary!$C$16*Summary!$B$8</f>
        <v/>
      </c>
      <c r="O2165" s="11">
        <f>M2165-N2165</f>
        <v/>
      </c>
    </row>
    <row r="2166">
      <c r="A2166" s="9" t="n">
        <v>45382.16666666666</v>
      </c>
      <c r="B2166" t="n">
        <v>3</v>
      </c>
      <c r="C2166" t="n">
        <v>31</v>
      </c>
      <c r="D2166" t="n">
        <v>4</v>
      </c>
      <c r="E2166" s="10" t="n">
        <v>0</v>
      </c>
      <c r="F2166" s="10" t="n">
        <v>0.3009926162382279</v>
      </c>
      <c r="G2166" s="11">
        <f>E2166*Summary!$B$6</f>
        <v/>
      </c>
      <c r="H2166" s="11">
        <f>F2166*Summary!$B$7</f>
        <v/>
      </c>
      <c r="I2166" s="11">
        <f>MAX(0,N2166-M2166)</f>
        <v/>
      </c>
      <c r="J2166" s="11">
        <f>MAX(0,M2166-N2166)</f>
        <v/>
      </c>
      <c r="K2166" s="11">
        <f>O2166</f>
        <v/>
      </c>
      <c r="L2166" s="11">
        <f>L2165+IF(K2166&gt;0,K2166*Summary!$B$9,K2166/Summary!$B$9)</f>
        <v/>
      </c>
      <c r="M2166" s="11">
        <f>G2166+H2166</f>
        <v/>
      </c>
      <c r="N2166" s="11">
        <f>Summary!$C$16*Summary!$B$8</f>
        <v/>
      </c>
      <c r="O2166" s="11">
        <f>M2166-N2166</f>
        <v/>
      </c>
    </row>
    <row r="2167">
      <c r="A2167" s="9" t="n">
        <v>45382.20833333334</v>
      </c>
      <c r="B2167" t="n">
        <v>3</v>
      </c>
      <c r="C2167" t="n">
        <v>31</v>
      </c>
      <c r="D2167" t="n">
        <v>5</v>
      </c>
      <c r="E2167" s="10" t="n">
        <v>0</v>
      </c>
      <c r="F2167" s="10" t="n">
        <v>0.3003338160801158</v>
      </c>
      <c r="G2167" s="11">
        <f>E2167*Summary!$B$6</f>
        <v/>
      </c>
      <c r="H2167" s="11">
        <f>F2167*Summary!$B$7</f>
        <v/>
      </c>
      <c r="I2167" s="11">
        <f>MAX(0,N2167-M2167)</f>
        <v/>
      </c>
      <c r="J2167" s="11">
        <f>MAX(0,M2167-N2167)</f>
        <v/>
      </c>
      <c r="K2167" s="11">
        <f>O2167</f>
        <v/>
      </c>
      <c r="L2167" s="11">
        <f>L2166+IF(K2167&gt;0,K2167*Summary!$B$9,K2167/Summary!$B$9)</f>
        <v/>
      </c>
      <c r="M2167" s="11">
        <f>G2167+H2167</f>
        <v/>
      </c>
      <c r="N2167" s="11">
        <f>Summary!$C$16*Summary!$B$8</f>
        <v/>
      </c>
      <c r="O2167" s="11">
        <f>M2167-N2167</f>
        <v/>
      </c>
    </row>
    <row r="2168">
      <c r="A2168" s="9" t="n">
        <v>45382.25</v>
      </c>
      <c r="B2168" t="n">
        <v>3</v>
      </c>
      <c r="C2168" t="n">
        <v>31</v>
      </c>
      <c r="D2168" t="n">
        <v>6</v>
      </c>
      <c r="E2168" s="10" t="n">
        <v>0.00198</v>
      </c>
      <c r="F2168" s="10" t="n">
        <v>0.2892396214175091</v>
      </c>
      <c r="G2168" s="11">
        <f>E2168*Summary!$B$6</f>
        <v/>
      </c>
      <c r="H2168" s="11">
        <f>F2168*Summary!$B$7</f>
        <v/>
      </c>
      <c r="I2168" s="11">
        <f>MAX(0,N2168-M2168)</f>
        <v/>
      </c>
      <c r="J2168" s="11">
        <f>MAX(0,M2168-N2168)</f>
        <v/>
      </c>
      <c r="K2168" s="11">
        <f>O2168</f>
        <v/>
      </c>
      <c r="L2168" s="11">
        <f>L2167+IF(K2168&gt;0,K2168*Summary!$B$9,K2168/Summary!$B$9)</f>
        <v/>
      </c>
      <c r="M2168" s="11">
        <f>G2168+H2168</f>
        <v/>
      </c>
      <c r="N2168" s="11">
        <f>Summary!$C$16*Summary!$B$8</f>
        <v/>
      </c>
      <c r="O2168" s="11">
        <f>M2168-N2168</f>
        <v/>
      </c>
    </row>
    <row r="2169">
      <c r="A2169" s="9" t="n">
        <v>45382.29166666666</v>
      </c>
      <c r="B2169" t="n">
        <v>3</v>
      </c>
      <c r="C2169" t="n">
        <v>31</v>
      </c>
      <c r="D2169" t="n">
        <v>7</v>
      </c>
      <c r="E2169" s="10" t="n">
        <v>0.010152</v>
      </c>
      <c r="F2169" s="10" t="n">
        <v>0.2608585106060425</v>
      </c>
      <c r="G2169" s="11">
        <f>E2169*Summary!$B$6</f>
        <v/>
      </c>
      <c r="H2169" s="11">
        <f>F2169*Summary!$B$7</f>
        <v/>
      </c>
      <c r="I2169" s="11">
        <f>MAX(0,N2169-M2169)</f>
        <v/>
      </c>
      <c r="J2169" s="11">
        <f>MAX(0,M2169-N2169)</f>
        <v/>
      </c>
      <c r="K2169" s="11">
        <f>O2169</f>
        <v/>
      </c>
      <c r="L2169" s="11">
        <f>L2168+IF(K2169&gt;0,K2169*Summary!$B$9,K2169/Summary!$B$9)</f>
        <v/>
      </c>
      <c r="M2169" s="11">
        <f>G2169+H2169</f>
        <v/>
      </c>
      <c r="N2169" s="11">
        <f>Summary!$C$16*Summary!$B$8</f>
        <v/>
      </c>
      <c r="O2169" s="11">
        <f>M2169-N2169</f>
        <v/>
      </c>
    </row>
    <row r="2170">
      <c r="A2170" s="9" t="n">
        <v>45382.33333333334</v>
      </c>
      <c r="B2170" t="n">
        <v>3</v>
      </c>
      <c r="C2170" t="n">
        <v>31</v>
      </c>
      <c r="D2170" t="n">
        <v>8</v>
      </c>
      <c r="E2170" s="10" t="n">
        <v>0.04474</v>
      </c>
      <c r="F2170" s="10" t="n">
        <v>0.2308435754024581</v>
      </c>
      <c r="G2170" s="11">
        <f>E2170*Summary!$B$6</f>
        <v/>
      </c>
      <c r="H2170" s="11">
        <f>F2170*Summary!$B$7</f>
        <v/>
      </c>
      <c r="I2170" s="11">
        <f>MAX(0,N2170-M2170)</f>
        <v/>
      </c>
      <c r="J2170" s="11">
        <f>MAX(0,M2170-N2170)</f>
        <v/>
      </c>
      <c r="K2170" s="11">
        <f>O2170</f>
        <v/>
      </c>
      <c r="L2170" s="11">
        <f>L2169+IF(K2170&gt;0,K2170*Summary!$B$9,K2170/Summary!$B$9)</f>
        <v/>
      </c>
      <c r="M2170" s="11">
        <f>G2170+H2170</f>
        <v/>
      </c>
      <c r="N2170" s="11">
        <f>Summary!$C$16*Summary!$B$8</f>
        <v/>
      </c>
      <c r="O2170" s="11">
        <f>M2170-N2170</f>
        <v/>
      </c>
    </row>
    <row r="2171">
      <c r="A2171" s="9" t="n">
        <v>45382.375</v>
      </c>
      <c r="B2171" t="n">
        <v>3</v>
      </c>
      <c r="C2171" t="n">
        <v>31</v>
      </c>
      <c r="D2171" t="n">
        <v>9</v>
      </c>
      <c r="E2171" s="10" t="n">
        <v>0.052254</v>
      </c>
      <c r="F2171" s="10" t="n">
        <v>0.2154012996963119</v>
      </c>
      <c r="G2171" s="11">
        <f>E2171*Summary!$B$6</f>
        <v/>
      </c>
      <c r="H2171" s="11">
        <f>F2171*Summary!$B$7</f>
        <v/>
      </c>
      <c r="I2171" s="11">
        <f>MAX(0,N2171-M2171)</f>
        <v/>
      </c>
      <c r="J2171" s="11">
        <f>MAX(0,M2171-N2171)</f>
        <v/>
      </c>
      <c r="K2171" s="11">
        <f>O2171</f>
        <v/>
      </c>
      <c r="L2171" s="11">
        <f>L2170+IF(K2171&gt;0,K2171*Summary!$B$9,K2171/Summary!$B$9)</f>
        <v/>
      </c>
      <c r="M2171" s="11">
        <f>G2171+H2171</f>
        <v/>
      </c>
      <c r="N2171" s="11">
        <f>Summary!$C$16*Summary!$B$8</f>
        <v/>
      </c>
      <c r="O2171" s="11">
        <f>M2171-N2171</f>
        <v/>
      </c>
    </row>
    <row r="2172">
      <c r="A2172" s="9" t="n">
        <v>45382.41666666666</v>
      </c>
      <c r="B2172" t="n">
        <v>3</v>
      </c>
      <c r="C2172" t="n">
        <v>31</v>
      </c>
      <c r="D2172" t="n">
        <v>10</v>
      </c>
      <c r="E2172" s="10" t="n">
        <v>0.081674</v>
      </c>
      <c r="F2172" s="10" t="n">
        <v>0.2071004177041003</v>
      </c>
      <c r="G2172" s="11">
        <f>E2172*Summary!$B$6</f>
        <v/>
      </c>
      <c r="H2172" s="11">
        <f>F2172*Summary!$B$7</f>
        <v/>
      </c>
      <c r="I2172" s="11">
        <f>MAX(0,N2172-M2172)</f>
        <v/>
      </c>
      <c r="J2172" s="11">
        <f>MAX(0,M2172-N2172)</f>
        <v/>
      </c>
      <c r="K2172" s="11">
        <f>O2172</f>
        <v/>
      </c>
      <c r="L2172" s="11">
        <f>L2171+IF(K2172&gt;0,K2172*Summary!$B$9,K2172/Summary!$B$9)</f>
        <v/>
      </c>
      <c r="M2172" s="11">
        <f>G2172+H2172</f>
        <v/>
      </c>
      <c r="N2172" s="11">
        <f>Summary!$C$16*Summary!$B$8</f>
        <v/>
      </c>
      <c r="O2172" s="11">
        <f>M2172-N2172</f>
        <v/>
      </c>
    </row>
    <row r="2173">
      <c r="A2173" s="9" t="n">
        <v>45382.45833333334</v>
      </c>
      <c r="B2173" t="n">
        <v>3</v>
      </c>
      <c r="C2173" t="n">
        <v>31</v>
      </c>
      <c r="D2173" t="n">
        <v>11</v>
      </c>
      <c r="E2173" s="10" t="n">
        <v>0.092724</v>
      </c>
      <c r="F2173" s="10" t="n">
        <v>0.2019354244645019</v>
      </c>
      <c r="G2173" s="11">
        <f>E2173*Summary!$B$6</f>
        <v/>
      </c>
      <c r="H2173" s="11">
        <f>F2173*Summary!$B$7</f>
        <v/>
      </c>
      <c r="I2173" s="11">
        <f>MAX(0,N2173-M2173)</f>
        <v/>
      </c>
      <c r="J2173" s="11">
        <f>MAX(0,M2173-N2173)</f>
        <v/>
      </c>
      <c r="K2173" s="11">
        <f>O2173</f>
        <v/>
      </c>
      <c r="L2173" s="11">
        <f>L2172+IF(K2173&gt;0,K2173*Summary!$B$9,K2173/Summary!$B$9)</f>
        <v/>
      </c>
      <c r="M2173" s="11">
        <f>G2173+H2173</f>
        <v/>
      </c>
      <c r="N2173" s="11">
        <f>Summary!$C$16*Summary!$B$8</f>
        <v/>
      </c>
      <c r="O2173" s="11">
        <f>M2173-N2173</f>
        <v/>
      </c>
    </row>
    <row r="2174">
      <c r="A2174" s="9" t="n">
        <v>45382.5</v>
      </c>
      <c r="B2174" t="n">
        <v>3</v>
      </c>
      <c r="C2174" t="n">
        <v>31</v>
      </c>
      <c r="D2174" t="n">
        <v>12</v>
      </c>
      <c r="E2174" s="10" t="n">
        <v>0.071011</v>
      </c>
      <c r="F2174" s="10" t="n">
        <v>0.1992211678130802</v>
      </c>
      <c r="G2174" s="11">
        <f>E2174*Summary!$B$6</f>
        <v/>
      </c>
      <c r="H2174" s="11">
        <f>F2174*Summary!$B$7</f>
        <v/>
      </c>
      <c r="I2174" s="11">
        <f>MAX(0,N2174-M2174)</f>
        <v/>
      </c>
      <c r="J2174" s="11">
        <f>MAX(0,M2174-N2174)</f>
        <v/>
      </c>
      <c r="K2174" s="11">
        <f>O2174</f>
        <v/>
      </c>
      <c r="L2174" s="11">
        <f>L2173+IF(K2174&gt;0,K2174*Summary!$B$9,K2174/Summary!$B$9)</f>
        <v/>
      </c>
      <c r="M2174" s="11">
        <f>G2174+H2174</f>
        <v/>
      </c>
      <c r="N2174" s="11">
        <f>Summary!$C$16*Summary!$B$8</f>
        <v/>
      </c>
      <c r="O2174" s="11">
        <f>M2174-N2174</f>
        <v/>
      </c>
    </row>
    <row r="2175">
      <c r="A2175" s="9" t="n">
        <v>45382.54166666666</v>
      </c>
      <c r="B2175" t="n">
        <v>3</v>
      </c>
      <c r="C2175" t="n">
        <v>31</v>
      </c>
      <c r="D2175" t="n">
        <v>13</v>
      </c>
      <c r="E2175" s="10" t="n">
        <v>0.05683</v>
      </c>
      <c r="F2175" s="10" t="n">
        <v>0.2062835055080413</v>
      </c>
      <c r="G2175" s="11">
        <f>E2175*Summary!$B$6</f>
        <v/>
      </c>
      <c r="H2175" s="11">
        <f>F2175*Summary!$B$7</f>
        <v/>
      </c>
      <c r="I2175" s="11">
        <f>MAX(0,N2175-M2175)</f>
        <v/>
      </c>
      <c r="J2175" s="11">
        <f>MAX(0,M2175-N2175)</f>
        <v/>
      </c>
      <c r="K2175" s="11">
        <f>O2175</f>
        <v/>
      </c>
      <c r="L2175" s="11">
        <f>L2174+IF(K2175&gt;0,K2175*Summary!$B$9,K2175/Summary!$B$9)</f>
        <v/>
      </c>
      <c r="M2175" s="11">
        <f>G2175+H2175</f>
        <v/>
      </c>
      <c r="N2175" s="11">
        <f>Summary!$C$16*Summary!$B$8</f>
        <v/>
      </c>
      <c r="O2175" s="11">
        <f>M2175-N2175</f>
        <v/>
      </c>
    </row>
    <row r="2176">
      <c r="A2176" s="9" t="n">
        <v>45382.58333333334</v>
      </c>
      <c r="B2176" t="n">
        <v>3</v>
      </c>
      <c r="C2176" t="n">
        <v>31</v>
      </c>
      <c r="D2176" t="n">
        <v>14</v>
      </c>
      <c r="E2176" s="10" t="n">
        <v>0.051598</v>
      </c>
      <c r="F2176" s="10" t="n">
        <v>0.2019881284771508</v>
      </c>
      <c r="G2176" s="11">
        <f>E2176*Summary!$B$6</f>
        <v/>
      </c>
      <c r="H2176" s="11">
        <f>F2176*Summary!$B$7</f>
        <v/>
      </c>
      <c r="I2176" s="11">
        <f>MAX(0,N2176-M2176)</f>
        <v/>
      </c>
      <c r="J2176" s="11">
        <f>MAX(0,M2176-N2176)</f>
        <v/>
      </c>
      <c r="K2176" s="11">
        <f>O2176</f>
        <v/>
      </c>
      <c r="L2176" s="11">
        <f>L2175+IF(K2176&gt;0,K2176*Summary!$B$9,K2176/Summary!$B$9)</f>
        <v/>
      </c>
      <c r="M2176" s="11">
        <f>G2176+H2176</f>
        <v/>
      </c>
      <c r="N2176" s="11">
        <f>Summary!$C$16*Summary!$B$8</f>
        <v/>
      </c>
      <c r="O2176" s="11">
        <f>M2176-N2176</f>
        <v/>
      </c>
    </row>
    <row r="2177">
      <c r="A2177" s="9" t="n">
        <v>45382.625</v>
      </c>
      <c r="B2177" t="n">
        <v>3</v>
      </c>
      <c r="C2177" t="n">
        <v>31</v>
      </c>
      <c r="D2177" t="n">
        <v>15</v>
      </c>
      <c r="E2177" s="10" t="n">
        <v>0.028579</v>
      </c>
      <c r="F2177" s="10" t="n">
        <v>0.2048868491728438</v>
      </c>
      <c r="G2177" s="11">
        <f>E2177*Summary!$B$6</f>
        <v/>
      </c>
      <c r="H2177" s="11">
        <f>F2177*Summary!$B$7</f>
        <v/>
      </c>
      <c r="I2177" s="11">
        <f>MAX(0,N2177-M2177)</f>
        <v/>
      </c>
      <c r="J2177" s="11">
        <f>MAX(0,M2177-N2177)</f>
        <v/>
      </c>
      <c r="K2177" s="11">
        <f>O2177</f>
        <v/>
      </c>
      <c r="L2177" s="11">
        <f>L2176+IF(K2177&gt;0,K2177*Summary!$B$9,K2177/Summary!$B$9)</f>
        <v/>
      </c>
      <c r="M2177" s="11">
        <f>G2177+H2177</f>
        <v/>
      </c>
      <c r="N2177" s="11">
        <f>Summary!$C$16*Summary!$B$8</f>
        <v/>
      </c>
      <c r="O2177" s="11">
        <f>M2177-N2177</f>
        <v/>
      </c>
    </row>
    <row r="2178">
      <c r="A2178" s="9" t="n">
        <v>45382.66666666666</v>
      </c>
      <c r="B2178" t="n">
        <v>3</v>
      </c>
      <c r="C2178" t="n">
        <v>31</v>
      </c>
      <c r="D2178" t="n">
        <v>16</v>
      </c>
      <c r="E2178" s="10" t="n">
        <v>0.061296</v>
      </c>
      <c r="F2178" s="10" t="n">
        <v>0.2078646258875102</v>
      </c>
      <c r="G2178" s="11">
        <f>E2178*Summary!$B$6</f>
        <v/>
      </c>
      <c r="H2178" s="11">
        <f>F2178*Summary!$B$7</f>
        <v/>
      </c>
      <c r="I2178" s="11">
        <f>MAX(0,N2178-M2178)</f>
        <v/>
      </c>
      <c r="J2178" s="11">
        <f>MAX(0,M2178-N2178)</f>
        <v/>
      </c>
      <c r="K2178" s="11">
        <f>O2178</f>
        <v/>
      </c>
      <c r="L2178" s="11">
        <f>L2177+IF(K2178&gt;0,K2178*Summary!$B$9,K2178/Summary!$B$9)</f>
        <v/>
      </c>
      <c r="M2178" s="11">
        <f>G2178+H2178</f>
        <v/>
      </c>
      <c r="N2178" s="11">
        <f>Summary!$C$16*Summary!$B$8</f>
        <v/>
      </c>
      <c r="O2178" s="11">
        <f>M2178-N2178</f>
        <v/>
      </c>
    </row>
    <row r="2179">
      <c r="A2179" s="9" t="n">
        <v>45382.70833333334</v>
      </c>
      <c r="B2179" t="n">
        <v>3</v>
      </c>
      <c r="C2179" t="n">
        <v>31</v>
      </c>
      <c r="D2179" t="n">
        <v>17</v>
      </c>
      <c r="E2179" s="10" t="n">
        <v>0.049763</v>
      </c>
      <c r="F2179" s="10" t="n">
        <v>0.2208825170118041</v>
      </c>
      <c r="G2179" s="11">
        <f>E2179*Summary!$B$6</f>
        <v/>
      </c>
      <c r="H2179" s="11">
        <f>F2179*Summary!$B$7</f>
        <v/>
      </c>
      <c r="I2179" s="11">
        <f>MAX(0,N2179-M2179)</f>
        <v/>
      </c>
      <c r="J2179" s="11">
        <f>MAX(0,M2179-N2179)</f>
        <v/>
      </c>
      <c r="K2179" s="11">
        <f>O2179</f>
        <v/>
      </c>
      <c r="L2179" s="11">
        <f>L2178+IF(K2179&gt;0,K2179*Summary!$B$9,K2179/Summary!$B$9)</f>
        <v/>
      </c>
      <c r="M2179" s="11">
        <f>G2179+H2179</f>
        <v/>
      </c>
      <c r="N2179" s="11">
        <f>Summary!$C$16*Summary!$B$8</f>
        <v/>
      </c>
      <c r="O2179" s="11">
        <f>M2179-N2179</f>
        <v/>
      </c>
    </row>
    <row r="2180">
      <c r="A2180" s="9" t="n">
        <v>45382.75</v>
      </c>
      <c r="B2180" t="n">
        <v>3</v>
      </c>
      <c r="C2180" t="n">
        <v>31</v>
      </c>
      <c r="D2180" t="n">
        <v>18</v>
      </c>
      <c r="E2180" s="10" t="n">
        <v>0</v>
      </c>
      <c r="F2180" s="10" t="n">
        <v>0.2161918598860464</v>
      </c>
      <c r="G2180" s="11">
        <f>E2180*Summary!$B$6</f>
        <v/>
      </c>
      <c r="H2180" s="11">
        <f>F2180*Summary!$B$7</f>
        <v/>
      </c>
      <c r="I2180" s="11">
        <f>MAX(0,N2180-M2180)</f>
        <v/>
      </c>
      <c r="J2180" s="11">
        <f>MAX(0,M2180-N2180)</f>
        <v/>
      </c>
      <c r="K2180" s="11">
        <f>O2180</f>
        <v/>
      </c>
      <c r="L2180" s="11">
        <f>L2179+IF(K2180&gt;0,K2180*Summary!$B$9,K2180/Summary!$B$9)</f>
        <v/>
      </c>
      <c r="M2180" s="11">
        <f>G2180+H2180</f>
        <v/>
      </c>
      <c r="N2180" s="11">
        <f>Summary!$C$16*Summary!$B$8</f>
        <v/>
      </c>
      <c r="O2180" s="11">
        <f>M2180-N2180</f>
        <v/>
      </c>
    </row>
    <row r="2181">
      <c r="A2181" s="9" t="n">
        <v>45382.79166666666</v>
      </c>
      <c r="B2181" t="n">
        <v>3</v>
      </c>
      <c r="C2181" t="n">
        <v>31</v>
      </c>
      <c r="D2181" t="n">
        <v>19</v>
      </c>
      <c r="E2181" s="10" t="n">
        <v>0</v>
      </c>
      <c r="F2181" s="10" t="n">
        <v>0.2284191908206058</v>
      </c>
      <c r="G2181" s="11">
        <f>E2181*Summary!$B$6</f>
        <v/>
      </c>
      <c r="H2181" s="11">
        <f>F2181*Summary!$B$7</f>
        <v/>
      </c>
      <c r="I2181" s="11">
        <f>MAX(0,N2181-M2181)</f>
        <v/>
      </c>
      <c r="J2181" s="11">
        <f>MAX(0,M2181-N2181)</f>
        <v/>
      </c>
      <c r="K2181" s="11">
        <f>O2181</f>
        <v/>
      </c>
      <c r="L2181" s="11">
        <f>L2180+IF(K2181&gt;0,K2181*Summary!$B$9,K2181/Summary!$B$9)</f>
        <v/>
      </c>
      <c r="M2181" s="11">
        <f>G2181+H2181</f>
        <v/>
      </c>
      <c r="N2181" s="11">
        <f>Summary!$C$16*Summary!$B$8</f>
        <v/>
      </c>
      <c r="O2181" s="11">
        <f>M2181-N2181</f>
        <v/>
      </c>
    </row>
    <row r="2182">
      <c r="A2182" s="9" t="n">
        <v>45382.83333333334</v>
      </c>
      <c r="B2182" t="n">
        <v>3</v>
      </c>
      <c r="C2182" t="n">
        <v>31</v>
      </c>
      <c r="D2182" t="n">
        <v>20</v>
      </c>
      <c r="E2182" s="10" t="n">
        <v>0</v>
      </c>
      <c r="F2182" s="10" t="n">
        <v>0.2399350175844042</v>
      </c>
      <c r="G2182" s="11">
        <f>E2182*Summary!$B$6</f>
        <v/>
      </c>
      <c r="H2182" s="11">
        <f>F2182*Summary!$B$7</f>
        <v/>
      </c>
      <c r="I2182" s="11">
        <f>MAX(0,N2182-M2182)</f>
        <v/>
      </c>
      <c r="J2182" s="11">
        <f>MAX(0,M2182-N2182)</f>
        <v/>
      </c>
      <c r="K2182" s="11">
        <f>O2182</f>
        <v/>
      </c>
      <c r="L2182" s="11">
        <f>L2181+IF(K2182&gt;0,K2182*Summary!$B$9,K2182/Summary!$B$9)</f>
        <v/>
      </c>
      <c r="M2182" s="11">
        <f>G2182+H2182</f>
        <v/>
      </c>
      <c r="N2182" s="11">
        <f>Summary!$C$16*Summary!$B$8</f>
        <v/>
      </c>
      <c r="O2182" s="11">
        <f>M2182-N2182</f>
        <v/>
      </c>
    </row>
    <row r="2183">
      <c r="A2183" s="9" t="n">
        <v>45382.875</v>
      </c>
      <c r="B2183" t="n">
        <v>3</v>
      </c>
      <c r="C2183" t="n">
        <v>31</v>
      </c>
      <c r="D2183" t="n">
        <v>21</v>
      </c>
      <c r="E2183" s="10" t="n">
        <v>0</v>
      </c>
      <c r="F2183" s="10" t="n">
        <v>0.2523204605569105</v>
      </c>
      <c r="G2183" s="11">
        <f>E2183*Summary!$B$6</f>
        <v/>
      </c>
      <c r="H2183" s="11">
        <f>F2183*Summary!$B$7</f>
        <v/>
      </c>
      <c r="I2183" s="11">
        <f>MAX(0,N2183-M2183)</f>
        <v/>
      </c>
      <c r="J2183" s="11">
        <f>MAX(0,M2183-N2183)</f>
        <v/>
      </c>
      <c r="K2183" s="11">
        <f>O2183</f>
        <v/>
      </c>
      <c r="L2183" s="11">
        <f>L2182+IF(K2183&gt;0,K2183*Summary!$B$9,K2183/Summary!$B$9)</f>
        <v/>
      </c>
      <c r="M2183" s="11">
        <f>G2183+H2183</f>
        <v/>
      </c>
      <c r="N2183" s="11">
        <f>Summary!$C$16*Summary!$B$8</f>
        <v/>
      </c>
      <c r="O2183" s="11">
        <f>M2183-N2183</f>
        <v/>
      </c>
    </row>
    <row r="2184">
      <c r="A2184" s="9" t="n">
        <v>45382.91666666666</v>
      </c>
      <c r="B2184" t="n">
        <v>3</v>
      </c>
      <c r="C2184" t="n">
        <v>31</v>
      </c>
      <c r="D2184" t="n">
        <v>22</v>
      </c>
      <c r="E2184" s="10" t="n">
        <v>0</v>
      </c>
      <c r="F2184" s="10" t="n">
        <v>0.2603578224858774</v>
      </c>
      <c r="G2184" s="11">
        <f>E2184*Summary!$B$6</f>
        <v/>
      </c>
      <c r="H2184" s="11">
        <f>F2184*Summary!$B$7</f>
        <v/>
      </c>
      <c r="I2184" s="11">
        <f>MAX(0,N2184-M2184)</f>
        <v/>
      </c>
      <c r="J2184" s="11">
        <f>MAX(0,M2184-N2184)</f>
        <v/>
      </c>
      <c r="K2184" s="11">
        <f>O2184</f>
        <v/>
      </c>
      <c r="L2184" s="11">
        <f>L2183+IF(K2184&gt;0,K2184*Summary!$B$9,K2184/Summary!$B$9)</f>
        <v/>
      </c>
      <c r="M2184" s="11">
        <f>G2184+H2184</f>
        <v/>
      </c>
      <c r="N2184" s="11">
        <f>Summary!$C$16*Summary!$B$8</f>
        <v/>
      </c>
      <c r="O2184" s="11">
        <f>M2184-N2184</f>
        <v/>
      </c>
    </row>
    <row r="2185">
      <c r="A2185" s="9" t="n">
        <v>45382.95833333334</v>
      </c>
      <c r="B2185" t="n">
        <v>3</v>
      </c>
      <c r="C2185" t="n">
        <v>31</v>
      </c>
      <c r="D2185" t="n">
        <v>23</v>
      </c>
      <c r="E2185" s="10" t="n">
        <v>0</v>
      </c>
      <c r="F2185" s="10" t="n">
        <v>0.257274637745913</v>
      </c>
      <c r="G2185" s="11">
        <f>E2185*Summary!$B$6</f>
        <v/>
      </c>
      <c r="H2185" s="11">
        <f>F2185*Summary!$B$7</f>
        <v/>
      </c>
      <c r="I2185" s="11">
        <f>MAX(0,N2185-M2185)</f>
        <v/>
      </c>
      <c r="J2185" s="11">
        <f>MAX(0,M2185-N2185)</f>
        <v/>
      </c>
      <c r="K2185" s="11">
        <f>O2185</f>
        <v/>
      </c>
      <c r="L2185" s="11">
        <f>L2184+IF(K2185&gt;0,K2185*Summary!$B$9,K2185/Summary!$B$9)</f>
        <v/>
      </c>
      <c r="M2185" s="11">
        <f>G2185+H2185</f>
        <v/>
      </c>
      <c r="N2185" s="11">
        <f>Summary!$C$16*Summary!$B$8</f>
        <v/>
      </c>
      <c r="O2185" s="11">
        <f>M2185-N2185</f>
        <v/>
      </c>
    </row>
    <row r="2186">
      <c r="A2186" s="9" t="n">
        <v>45383</v>
      </c>
      <c r="B2186" t="n">
        <v>4</v>
      </c>
      <c r="C2186" t="n">
        <v>1</v>
      </c>
      <c r="D2186" t="n">
        <v>0</v>
      </c>
      <c r="E2186" s="10" t="n">
        <v>0</v>
      </c>
      <c r="F2186" s="10" t="n">
        <v>0.3282405907777418</v>
      </c>
      <c r="G2186" s="11">
        <f>E2186*Summary!$B$6</f>
        <v/>
      </c>
      <c r="H2186" s="11">
        <f>F2186*Summary!$B$7</f>
        <v/>
      </c>
      <c r="I2186" s="11">
        <f>MAX(0,N2186-M2186)</f>
        <v/>
      </c>
      <c r="J2186" s="11">
        <f>MAX(0,M2186-N2186)</f>
        <v/>
      </c>
      <c r="K2186" s="11">
        <f>O2186</f>
        <v/>
      </c>
      <c r="L2186" s="11">
        <f>L2185+IF(K2186&gt;0,K2186*Summary!$B$9,K2186/Summary!$B$9)</f>
        <v/>
      </c>
      <c r="M2186" s="11">
        <f>G2186+H2186</f>
        <v/>
      </c>
      <c r="N2186" s="11">
        <f>Summary!$C$16*Summary!$B$8</f>
        <v/>
      </c>
      <c r="O2186" s="11">
        <f>M2186-N2186</f>
        <v/>
      </c>
    </row>
    <row r="2187">
      <c r="A2187" s="9" t="n">
        <v>45383.04166666666</v>
      </c>
      <c r="B2187" t="n">
        <v>4</v>
      </c>
      <c r="C2187" t="n">
        <v>1</v>
      </c>
      <c r="D2187" t="n">
        <v>1</v>
      </c>
      <c r="E2187" s="10" t="n">
        <v>0</v>
      </c>
      <c r="F2187" s="10" t="n">
        <v>0.251740716417772</v>
      </c>
      <c r="G2187" s="11">
        <f>E2187*Summary!$B$6</f>
        <v/>
      </c>
      <c r="H2187" s="11">
        <f>F2187*Summary!$B$7</f>
        <v/>
      </c>
      <c r="I2187" s="11">
        <f>MAX(0,N2187-M2187)</f>
        <v/>
      </c>
      <c r="J2187" s="11">
        <f>MAX(0,M2187-N2187)</f>
        <v/>
      </c>
      <c r="K2187" s="11">
        <f>O2187</f>
        <v/>
      </c>
      <c r="L2187" s="11">
        <f>L2186+IF(K2187&gt;0,K2187*Summary!$B$9,K2187/Summary!$B$9)</f>
        <v/>
      </c>
      <c r="M2187" s="11">
        <f>G2187+H2187</f>
        <v/>
      </c>
      <c r="N2187" s="11">
        <f>Summary!$C$16*Summary!$B$8</f>
        <v/>
      </c>
      <c r="O2187" s="11">
        <f>M2187-N2187</f>
        <v/>
      </c>
    </row>
    <row r="2188">
      <c r="A2188" s="9" t="n">
        <v>45383.08333333334</v>
      </c>
      <c r="B2188" t="n">
        <v>4</v>
      </c>
      <c r="C2188" t="n">
        <v>1</v>
      </c>
      <c r="D2188" t="n">
        <v>2</v>
      </c>
      <c r="E2188" s="10" t="n">
        <v>0</v>
      </c>
      <c r="F2188" s="10" t="n">
        <v>0.2535590048541612</v>
      </c>
      <c r="G2188" s="11">
        <f>E2188*Summary!$B$6</f>
        <v/>
      </c>
      <c r="H2188" s="11">
        <f>F2188*Summary!$B$7</f>
        <v/>
      </c>
      <c r="I2188" s="11">
        <f>MAX(0,N2188-M2188)</f>
        <v/>
      </c>
      <c r="J2188" s="11">
        <f>MAX(0,M2188-N2188)</f>
        <v/>
      </c>
      <c r="K2188" s="11">
        <f>O2188</f>
        <v/>
      </c>
      <c r="L2188" s="11">
        <f>L2187+IF(K2188&gt;0,K2188*Summary!$B$9,K2188/Summary!$B$9)</f>
        <v/>
      </c>
      <c r="M2188" s="11">
        <f>G2188+H2188</f>
        <v/>
      </c>
      <c r="N2188" s="11">
        <f>Summary!$C$16*Summary!$B$8</f>
        <v/>
      </c>
      <c r="O2188" s="11">
        <f>M2188-N2188</f>
        <v/>
      </c>
    </row>
    <row r="2189">
      <c r="A2189" s="9" t="n">
        <v>45383.125</v>
      </c>
      <c r="B2189" t="n">
        <v>4</v>
      </c>
      <c r="C2189" t="n">
        <v>1</v>
      </c>
      <c r="D2189" t="n">
        <v>3</v>
      </c>
      <c r="E2189" s="10" t="n">
        <v>0</v>
      </c>
      <c r="F2189" s="10" t="n">
        <v>0.2507129881711171</v>
      </c>
      <c r="G2189" s="11">
        <f>E2189*Summary!$B$6</f>
        <v/>
      </c>
      <c r="H2189" s="11">
        <f>F2189*Summary!$B$7</f>
        <v/>
      </c>
      <c r="I2189" s="11">
        <f>MAX(0,N2189-M2189)</f>
        <v/>
      </c>
      <c r="J2189" s="11">
        <f>MAX(0,M2189-N2189)</f>
        <v/>
      </c>
      <c r="K2189" s="11">
        <f>O2189</f>
        <v/>
      </c>
      <c r="L2189" s="11">
        <f>L2188+IF(K2189&gt;0,K2189*Summary!$B$9,K2189/Summary!$B$9)</f>
        <v/>
      </c>
      <c r="M2189" s="11">
        <f>G2189+H2189</f>
        <v/>
      </c>
      <c r="N2189" s="11">
        <f>Summary!$C$16*Summary!$B$8</f>
        <v/>
      </c>
      <c r="O2189" s="11">
        <f>M2189-N2189</f>
        <v/>
      </c>
    </row>
    <row r="2190">
      <c r="A2190" s="9" t="n">
        <v>45383.16666666666</v>
      </c>
      <c r="B2190" t="n">
        <v>4</v>
      </c>
      <c r="C2190" t="n">
        <v>1</v>
      </c>
      <c r="D2190" t="n">
        <v>4</v>
      </c>
      <c r="E2190" s="10" t="n">
        <v>0</v>
      </c>
      <c r="F2190" s="10" t="n">
        <v>0.2526630366391288</v>
      </c>
      <c r="G2190" s="11">
        <f>E2190*Summary!$B$6</f>
        <v/>
      </c>
      <c r="H2190" s="11">
        <f>F2190*Summary!$B$7</f>
        <v/>
      </c>
      <c r="I2190" s="11">
        <f>MAX(0,N2190-M2190)</f>
        <v/>
      </c>
      <c r="J2190" s="11">
        <f>MAX(0,M2190-N2190)</f>
        <v/>
      </c>
      <c r="K2190" s="11">
        <f>O2190</f>
        <v/>
      </c>
      <c r="L2190" s="11">
        <f>L2189+IF(K2190&gt;0,K2190*Summary!$B$9,K2190/Summary!$B$9)</f>
        <v/>
      </c>
      <c r="M2190" s="11">
        <f>G2190+H2190</f>
        <v/>
      </c>
      <c r="N2190" s="11">
        <f>Summary!$C$16*Summary!$B$8</f>
        <v/>
      </c>
      <c r="O2190" s="11">
        <f>M2190-N2190</f>
        <v/>
      </c>
    </row>
    <row r="2191">
      <c r="A2191" s="9" t="n">
        <v>45383.20833333334</v>
      </c>
      <c r="B2191" t="n">
        <v>4</v>
      </c>
      <c r="C2191" t="n">
        <v>1</v>
      </c>
      <c r="D2191" t="n">
        <v>5</v>
      </c>
      <c r="E2191" s="10" t="n">
        <v>0</v>
      </c>
      <c r="F2191" s="10" t="n">
        <v>0.2444412106658906</v>
      </c>
      <c r="G2191" s="11">
        <f>E2191*Summary!$B$6</f>
        <v/>
      </c>
      <c r="H2191" s="11">
        <f>F2191*Summary!$B$7</f>
        <v/>
      </c>
      <c r="I2191" s="11">
        <f>MAX(0,N2191-M2191)</f>
        <v/>
      </c>
      <c r="J2191" s="11">
        <f>MAX(0,M2191-N2191)</f>
        <v/>
      </c>
      <c r="K2191" s="11">
        <f>O2191</f>
        <v/>
      </c>
      <c r="L2191" s="11">
        <f>L2190+IF(K2191&gt;0,K2191*Summary!$B$9,K2191/Summary!$B$9)</f>
        <v/>
      </c>
      <c r="M2191" s="11">
        <f>G2191+H2191</f>
        <v/>
      </c>
      <c r="N2191" s="11">
        <f>Summary!$C$16*Summary!$B$8</f>
        <v/>
      </c>
      <c r="O2191" s="11">
        <f>M2191-N2191</f>
        <v/>
      </c>
    </row>
    <row r="2192">
      <c r="A2192" s="9" t="n">
        <v>45383.25</v>
      </c>
      <c r="B2192" t="n">
        <v>4</v>
      </c>
      <c r="C2192" t="n">
        <v>1</v>
      </c>
      <c r="D2192" t="n">
        <v>6</v>
      </c>
      <c r="E2192" s="10" t="n">
        <v>0.034129</v>
      </c>
      <c r="F2192" s="10" t="n">
        <v>0.2247035579288539</v>
      </c>
      <c r="G2192" s="11">
        <f>E2192*Summary!$B$6</f>
        <v/>
      </c>
      <c r="H2192" s="11">
        <f>F2192*Summary!$B$7</f>
        <v/>
      </c>
      <c r="I2192" s="11">
        <f>MAX(0,N2192-M2192)</f>
        <v/>
      </c>
      <c r="J2192" s="11">
        <f>MAX(0,M2192-N2192)</f>
        <v/>
      </c>
      <c r="K2192" s="11">
        <f>O2192</f>
        <v/>
      </c>
      <c r="L2192" s="11">
        <f>L2191+IF(K2192&gt;0,K2192*Summary!$B$9,K2192/Summary!$B$9)</f>
        <v/>
      </c>
      <c r="M2192" s="11">
        <f>G2192+H2192</f>
        <v/>
      </c>
      <c r="N2192" s="11">
        <f>Summary!$C$16*Summary!$B$8</f>
        <v/>
      </c>
      <c r="O2192" s="11">
        <f>M2192-N2192</f>
        <v/>
      </c>
    </row>
    <row r="2193">
      <c r="A2193" s="9" t="n">
        <v>45383.29166666666</v>
      </c>
      <c r="B2193" t="n">
        <v>4</v>
      </c>
      <c r="C2193" t="n">
        <v>1</v>
      </c>
      <c r="D2193" t="n">
        <v>7</v>
      </c>
      <c r="E2193" s="10" t="n">
        <v>0.208201</v>
      </c>
      <c r="F2193" s="10" t="n">
        <v>0.1933183183963964</v>
      </c>
      <c r="G2193" s="11">
        <f>E2193*Summary!$B$6</f>
        <v/>
      </c>
      <c r="H2193" s="11">
        <f>F2193*Summary!$B$7</f>
        <v/>
      </c>
      <c r="I2193" s="11">
        <f>MAX(0,N2193-M2193)</f>
        <v/>
      </c>
      <c r="J2193" s="11">
        <f>MAX(0,M2193-N2193)</f>
        <v/>
      </c>
      <c r="K2193" s="11">
        <f>O2193</f>
        <v/>
      </c>
      <c r="L2193" s="11">
        <f>L2192+IF(K2193&gt;0,K2193*Summary!$B$9,K2193/Summary!$B$9)</f>
        <v/>
      </c>
      <c r="M2193" s="11">
        <f>G2193+H2193</f>
        <v/>
      </c>
      <c r="N2193" s="11">
        <f>Summary!$C$16*Summary!$B$8</f>
        <v/>
      </c>
      <c r="O2193" s="11">
        <f>M2193-N2193</f>
        <v/>
      </c>
    </row>
    <row r="2194">
      <c r="A2194" s="9" t="n">
        <v>45383.33333333334</v>
      </c>
      <c r="B2194" t="n">
        <v>4</v>
      </c>
      <c r="C2194" t="n">
        <v>1</v>
      </c>
      <c r="D2194" t="n">
        <v>8</v>
      </c>
      <c r="E2194" s="10" t="n">
        <v>0.419976</v>
      </c>
      <c r="F2194" s="10" t="n">
        <v>0.1637777193066526</v>
      </c>
      <c r="G2194" s="11">
        <f>E2194*Summary!$B$6</f>
        <v/>
      </c>
      <c r="H2194" s="11">
        <f>F2194*Summary!$B$7</f>
        <v/>
      </c>
      <c r="I2194" s="11">
        <f>MAX(0,N2194-M2194)</f>
        <v/>
      </c>
      <c r="J2194" s="11">
        <f>MAX(0,M2194-N2194)</f>
        <v/>
      </c>
      <c r="K2194" s="11">
        <f>O2194</f>
        <v/>
      </c>
      <c r="L2194" s="11">
        <f>L2193+IF(K2194&gt;0,K2194*Summary!$B$9,K2194/Summary!$B$9)</f>
        <v/>
      </c>
      <c r="M2194" s="11">
        <f>G2194+H2194</f>
        <v/>
      </c>
      <c r="N2194" s="11">
        <f>Summary!$C$16*Summary!$B$8</f>
        <v/>
      </c>
      <c r="O2194" s="11">
        <f>M2194-N2194</f>
        <v/>
      </c>
    </row>
    <row r="2195">
      <c r="A2195" s="9" t="n">
        <v>45383.375</v>
      </c>
      <c r="B2195" t="n">
        <v>4</v>
      </c>
      <c r="C2195" t="n">
        <v>1</v>
      </c>
      <c r="D2195" t="n">
        <v>9</v>
      </c>
      <c r="E2195" s="10" t="n">
        <v>0.6049290000000001</v>
      </c>
      <c r="F2195" s="10" t="n">
        <v>0.138954129348991</v>
      </c>
      <c r="G2195" s="11">
        <f>E2195*Summary!$B$6</f>
        <v/>
      </c>
      <c r="H2195" s="11">
        <f>F2195*Summary!$B$7</f>
        <v/>
      </c>
      <c r="I2195" s="11">
        <f>MAX(0,N2195-M2195)</f>
        <v/>
      </c>
      <c r="J2195" s="11">
        <f>MAX(0,M2195-N2195)</f>
        <v/>
      </c>
      <c r="K2195" s="11">
        <f>O2195</f>
        <v/>
      </c>
      <c r="L2195" s="11">
        <f>L2194+IF(K2195&gt;0,K2195*Summary!$B$9,K2195/Summary!$B$9)</f>
        <v/>
      </c>
      <c r="M2195" s="11">
        <f>G2195+H2195</f>
        <v/>
      </c>
      <c r="N2195" s="11">
        <f>Summary!$C$16*Summary!$B$8</f>
        <v/>
      </c>
      <c r="O2195" s="11">
        <f>M2195-N2195</f>
        <v/>
      </c>
    </row>
    <row r="2196">
      <c r="A2196" s="9" t="n">
        <v>45383.41666666666</v>
      </c>
      <c r="B2196" t="n">
        <v>4</v>
      </c>
      <c r="C2196" t="n">
        <v>1</v>
      </c>
      <c r="D2196" t="n">
        <v>10</v>
      </c>
      <c r="E2196" s="10" t="n">
        <v>0.734522</v>
      </c>
      <c r="F2196" s="10" t="n">
        <v>0.1378736970896873</v>
      </c>
      <c r="G2196" s="11">
        <f>E2196*Summary!$B$6</f>
        <v/>
      </c>
      <c r="H2196" s="11">
        <f>F2196*Summary!$B$7</f>
        <v/>
      </c>
      <c r="I2196" s="11">
        <f>MAX(0,N2196-M2196)</f>
        <v/>
      </c>
      <c r="J2196" s="11">
        <f>MAX(0,M2196-N2196)</f>
        <v/>
      </c>
      <c r="K2196" s="11">
        <f>O2196</f>
        <v/>
      </c>
      <c r="L2196" s="11">
        <f>L2195+IF(K2196&gt;0,K2196*Summary!$B$9,K2196/Summary!$B$9)</f>
        <v/>
      </c>
      <c r="M2196" s="11">
        <f>G2196+H2196</f>
        <v/>
      </c>
      <c r="N2196" s="11">
        <f>Summary!$C$16*Summary!$B$8</f>
        <v/>
      </c>
      <c r="O2196" s="11">
        <f>M2196-N2196</f>
        <v/>
      </c>
    </row>
    <row r="2197">
      <c r="A2197" s="9" t="n">
        <v>45383.45833333334</v>
      </c>
      <c r="B2197" t="n">
        <v>4</v>
      </c>
      <c r="C2197" t="n">
        <v>1</v>
      </c>
      <c r="D2197" t="n">
        <v>11</v>
      </c>
      <c r="E2197" s="10" t="n">
        <v>0.754058</v>
      </c>
      <c r="F2197" s="10" t="n">
        <v>0.1468070272336865</v>
      </c>
      <c r="G2197" s="11">
        <f>E2197*Summary!$B$6</f>
        <v/>
      </c>
      <c r="H2197" s="11">
        <f>F2197*Summary!$B$7</f>
        <v/>
      </c>
      <c r="I2197" s="11">
        <f>MAX(0,N2197-M2197)</f>
        <v/>
      </c>
      <c r="J2197" s="11">
        <f>MAX(0,M2197-N2197)</f>
        <v/>
      </c>
      <c r="K2197" s="11">
        <f>O2197</f>
        <v/>
      </c>
      <c r="L2197" s="11">
        <f>L2196+IF(K2197&gt;0,K2197*Summary!$B$9,K2197/Summary!$B$9)</f>
        <v/>
      </c>
      <c r="M2197" s="11">
        <f>G2197+H2197</f>
        <v/>
      </c>
      <c r="N2197" s="11">
        <f>Summary!$C$16*Summary!$B$8</f>
        <v/>
      </c>
      <c r="O2197" s="11">
        <f>M2197-N2197</f>
        <v/>
      </c>
    </row>
    <row r="2198">
      <c r="A2198" s="9" t="n">
        <v>45383.5</v>
      </c>
      <c r="B2198" t="n">
        <v>4</v>
      </c>
      <c r="C2198" t="n">
        <v>1</v>
      </c>
      <c r="D2198" t="n">
        <v>12</v>
      </c>
      <c r="E2198" s="10" t="n">
        <v>0.754058</v>
      </c>
      <c r="F2198" s="10" t="n">
        <v>0.165385191692446</v>
      </c>
      <c r="G2198" s="11">
        <f>E2198*Summary!$B$6</f>
        <v/>
      </c>
      <c r="H2198" s="11">
        <f>F2198*Summary!$B$7</f>
        <v/>
      </c>
      <c r="I2198" s="11">
        <f>MAX(0,N2198-M2198)</f>
        <v/>
      </c>
      <c r="J2198" s="11">
        <f>MAX(0,M2198-N2198)</f>
        <v/>
      </c>
      <c r="K2198" s="11">
        <f>O2198</f>
        <v/>
      </c>
      <c r="L2198" s="11">
        <f>L2197+IF(K2198&gt;0,K2198*Summary!$B$9,K2198/Summary!$B$9)</f>
        <v/>
      </c>
      <c r="M2198" s="11">
        <f>G2198+H2198</f>
        <v/>
      </c>
      <c r="N2198" s="11">
        <f>Summary!$C$16*Summary!$B$8</f>
        <v/>
      </c>
      <c r="O2198" s="11">
        <f>M2198-N2198</f>
        <v/>
      </c>
    </row>
    <row r="2199">
      <c r="A2199" s="9" t="n">
        <v>45383.54166666666</v>
      </c>
      <c r="B2199" t="n">
        <v>4</v>
      </c>
      <c r="C2199" t="n">
        <v>1</v>
      </c>
      <c r="D2199" t="n">
        <v>13</v>
      </c>
      <c r="E2199" s="10" t="n">
        <v>0.754058</v>
      </c>
      <c r="F2199" s="10" t="n">
        <v>0.1838579481259076</v>
      </c>
      <c r="G2199" s="11">
        <f>E2199*Summary!$B$6</f>
        <v/>
      </c>
      <c r="H2199" s="11">
        <f>F2199*Summary!$B$7</f>
        <v/>
      </c>
      <c r="I2199" s="11">
        <f>MAX(0,N2199-M2199)</f>
        <v/>
      </c>
      <c r="J2199" s="11">
        <f>MAX(0,M2199-N2199)</f>
        <v/>
      </c>
      <c r="K2199" s="11">
        <f>O2199</f>
        <v/>
      </c>
      <c r="L2199" s="11">
        <f>L2198+IF(K2199&gt;0,K2199*Summary!$B$9,K2199/Summary!$B$9)</f>
        <v/>
      </c>
      <c r="M2199" s="11">
        <f>G2199+H2199</f>
        <v/>
      </c>
      <c r="N2199" s="11">
        <f>Summary!$C$16*Summary!$B$8</f>
        <v/>
      </c>
      <c r="O2199" s="11">
        <f>M2199-N2199</f>
        <v/>
      </c>
    </row>
    <row r="2200">
      <c r="A2200" s="9" t="n">
        <v>45383.58333333334</v>
      </c>
      <c r="B2200" t="n">
        <v>4</v>
      </c>
      <c r="C2200" t="n">
        <v>1</v>
      </c>
      <c r="D2200" t="n">
        <v>14</v>
      </c>
      <c r="E2200" s="10" t="n">
        <v>0.670253</v>
      </c>
      <c r="F2200" s="10" t="n">
        <v>0.2005651201356288</v>
      </c>
      <c r="G2200" s="11">
        <f>E2200*Summary!$B$6</f>
        <v/>
      </c>
      <c r="H2200" s="11">
        <f>F2200*Summary!$B$7</f>
        <v/>
      </c>
      <c r="I2200" s="11">
        <f>MAX(0,N2200-M2200)</f>
        <v/>
      </c>
      <c r="J2200" s="11">
        <f>MAX(0,M2200-N2200)</f>
        <v/>
      </c>
      <c r="K2200" s="11">
        <f>O2200</f>
        <v/>
      </c>
      <c r="L2200" s="11">
        <f>L2199+IF(K2200&gt;0,K2200*Summary!$B$9,K2200/Summary!$B$9)</f>
        <v/>
      </c>
      <c r="M2200" s="11">
        <f>G2200+H2200</f>
        <v/>
      </c>
      <c r="N2200" s="11">
        <f>Summary!$C$16*Summary!$B$8</f>
        <v/>
      </c>
      <c r="O2200" s="11">
        <f>M2200-N2200</f>
        <v/>
      </c>
    </row>
    <row r="2201">
      <c r="A2201" s="9" t="n">
        <v>45383.625</v>
      </c>
      <c r="B2201" t="n">
        <v>4</v>
      </c>
      <c r="C2201" t="n">
        <v>1</v>
      </c>
      <c r="D2201" t="n">
        <v>15</v>
      </c>
      <c r="E2201" s="10" t="n">
        <v>0.512226</v>
      </c>
      <c r="F2201" s="10" t="n">
        <v>0.2120282428867783</v>
      </c>
      <c r="G2201" s="11">
        <f>E2201*Summary!$B$6</f>
        <v/>
      </c>
      <c r="H2201" s="11">
        <f>F2201*Summary!$B$7</f>
        <v/>
      </c>
      <c r="I2201" s="11">
        <f>MAX(0,N2201-M2201)</f>
        <v/>
      </c>
      <c r="J2201" s="11">
        <f>MAX(0,M2201-N2201)</f>
        <v/>
      </c>
      <c r="K2201" s="11">
        <f>O2201</f>
        <v/>
      </c>
      <c r="L2201" s="11">
        <f>L2200+IF(K2201&gt;0,K2201*Summary!$B$9,K2201/Summary!$B$9)</f>
        <v/>
      </c>
      <c r="M2201" s="11">
        <f>G2201+H2201</f>
        <v/>
      </c>
      <c r="N2201" s="11">
        <f>Summary!$C$16*Summary!$B$8</f>
        <v/>
      </c>
      <c r="O2201" s="11">
        <f>M2201-N2201</f>
        <v/>
      </c>
    </row>
    <row r="2202">
      <c r="A2202" s="9" t="n">
        <v>45383.66666666666</v>
      </c>
      <c r="B2202" t="n">
        <v>4</v>
      </c>
      <c r="C2202" t="n">
        <v>1</v>
      </c>
      <c r="D2202" t="n">
        <v>16</v>
      </c>
      <c r="E2202" s="10" t="n">
        <v>0.189779</v>
      </c>
      <c r="F2202" s="10" t="n">
        <v>0.2190378765690904</v>
      </c>
      <c r="G2202" s="11">
        <f>E2202*Summary!$B$6</f>
        <v/>
      </c>
      <c r="H2202" s="11">
        <f>F2202*Summary!$B$7</f>
        <v/>
      </c>
      <c r="I2202" s="11">
        <f>MAX(0,N2202-M2202)</f>
        <v/>
      </c>
      <c r="J2202" s="11">
        <f>MAX(0,M2202-N2202)</f>
        <v/>
      </c>
      <c r="K2202" s="11">
        <f>O2202</f>
        <v/>
      </c>
      <c r="L2202" s="11">
        <f>L2201+IF(K2202&gt;0,K2202*Summary!$B$9,K2202/Summary!$B$9)</f>
        <v/>
      </c>
      <c r="M2202" s="11">
        <f>G2202+H2202</f>
        <v/>
      </c>
      <c r="N2202" s="11">
        <f>Summary!$C$16*Summary!$B$8</f>
        <v/>
      </c>
      <c r="O2202" s="11">
        <f>M2202-N2202</f>
        <v/>
      </c>
    </row>
    <row r="2203">
      <c r="A2203" s="9" t="n">
        <v>45383.70833333334</v>
      </c>
      <c r="B2203" t="n">
        <v>4</v>
      </c>
      <c r="C2203" t="n">
        <v>1</v>
      </c>
      <c r="D2203" t="n">
        <v>17</v>
      </c>
      <c r="E2203" s="10" t="n">
        <v>0.025494</v>
      </c>
      <c r="F2203" s="10" t="n">
        <v>0.2341375761930183</v>
      </c>
      <c r="G2203" s="11">
        <f>E2203*Summary!$B$6</f>
        <v/>
      </c>
      <c r="H2203" s="11">
        <f>F2203*Summary!$B$7</f>
        <v/>
      </c>
      <c r="I2203" s="11">
        <f>MAX(0,N2203-M2203)</f>
        <v/>
      </c>
      <c r="J2203" s="11">
        <f>MAX(0,M2203-N2203)</f>
        <v/>
      </c>
      <c r="K2203" s="11">
        <f>O2203</f>
        <v/>
      </c>
      <c r="L2203" s="11">
        <f>L2202+IF(K2203&gt;0,K2203*Summary!$B$9,K2203/Summary!$B$9)</f>
        <v/>
      </c>
      <c r="M2203" s="11">
        <f>G2203+H2203</f>
        <v/>
      </c>
      <c r="N2203" s="11">
        <f>Summary!$C$16*Summary!$B$8</f>
        <v/>
      </c>
      <c r="O2203" s="11">
        <f>M2203-N2203</f>
        <v/>
      </c>
    </row>
    <row r="2204">
      <c r="A2204" s="9" t="n">
        <v>45383.75</v>
      </c>
      <c r="B2204" t="n">
        <v>4</v>
      </c>
      <c r="C2204" t="n">
        <v>1</v>
      </c>
      <c r="D2204" t="n">
        <v>18</v>
      </c>
      <c r="E2204" s="10" t="n">
        <v>0.004843</v>
      </c>
      <c r="F2204" s="10" t="n">
        <v>0.2459169230200615</v>
      </c>
      <c r="G2204" s="11">
        <f>E2204*Summary!$B$6</f>
        <v/>
      </c>
      <c r="H2204" s="11">
        <f>F2204*Summary!$B$7</f>
        <v/>
      </c>
      <c r="I2204" s="11">
        <f>MAX(0,N2204-M2204)</f>
        <v/>
      </c>
      <c r="J2204" s="11">
        <f>MAX(0,M2204-N2204)</f>
        <v/>
      </c>
      <c r="K2204" s="11">
        <f>O2204</f>
        <v/>
      </c>
      <c r="L2204" s="11">
        <f>L2203+IF(K2204&gt;0,K2204*Summary!$B$9,K2204/Summary!$B$9)</f>
        <v/>
      </c>
      <c r="M2204" s="11">
        <f>G2204+H2204</f>
        <v/>
      </c>
      <c r="N2204" s="11">
        <f>Summary!$C$16*Summary!$B$8</f>
        <v/>
      </c>
      <c r="O2204" s="11">
        <f>M2204-N2204</f>
        <v/>
      </c>
    </row>
    <row r="2205">
      <c r="A2205" s="9" t="n">
        <v>45383.79166666666</v>
      </c>
      <c r="B2205" t="n">
        <v>4</v>
      </c>
      <c r="C2205" t="n">
        <v>1</v>
      </c>
      <c r="D2205" t="n">
        <v>19</v>
      </c>
      <c r="E2205" s="10" t="n">
        <v>0</v>
      </c>
      <c r="F2205" s="10" t="n">
        <v>0.2679999043199771</v>
      </c>
      <c r="G2205" s="11">
        <f>E2205*Summary!$B$6</f>
        <v/>
      </c>
      <c r="H2205" s="11">
        <f>F2205*Summary!$B$7</f>
        <v/>
      </c>
      <c r="I2205" s="11">
        <f>MAX(0,N2205-M2205)</f>
        <v/>
      </c>
      <c r="J2205" s="11">
        <f>MAX(0,M2205-N2205)</f>
        <v/>
      </c>
      <c r="K2205" s="11">
        <f>O2205</f>
        <v/>
      </c>
      <c r="L2205" s="11">
        <f>L2204+IF(K2205&gt;0,K2205*Summary!$B$9,K2205/Summary!$B$9)</f>
        <v/>
      </c>
      <c r="M2205" s="11">
        <f>G2205+H2205</f>
        <v/>
      </c>
      <c r="N2205" s="11">
        <f>Summary!$C$16*Summary!$B$8</f>
        <v/>
      </c>
      <c r="O2205" s="11">
        <f>M2205-N2205</f>
        <v/>
      </c>
    </row>
    <row r="2206">
      <c r="A2206" s="9" t="n">
        <v>45383.83333333334</v>
      </c>
      <c r="B2206" t="n">
        <v>4</v>
      </c>
      <c r="C2206" t="n">
        <v>1</v>
      </c>
      <c r="D2206" t="n">
        <v>20</v>
      </c>
      <c r="E2206" s="10" t="n">
        <v>0</v>
      </c>
      <c r="F2206" s="10" t="n">
        <v>0.2917167100120104</v>
      </c>
      <c r="G2206" s="11">
        <f>E2206*Summary!$B$6</f>
        <v/>
      </c>
      <c r="H2206" s="11">
        <f>F2206*Summary!$B$7</f>
        <v/>
      </c>
      <c r="I2206" s="11">
        <f>MAX(0,N2206-M2206)</f>
        <v/>
      </c>
      <c r="J2206" s="11">
        <f>MAX(0,M2206-N2206)</f>
        <v/>
      </c>
      <c r="K2206" s="11">
        <f>O2206</f>
        <v/>
      </c>
      <c r="L2206" s="11">
        <f>L2205+IF(K2206&gt;0,K2206*Summary!$B$9,K2206/Summary!$B$9)</f>
        <v/>
      </c>
      <c r="M2206" s="11">
        <f>G2206+H2206</f>
        <v/>
      </c>
      <c r="N2206" s="11">
        <f>Summary!$C$16*Summary!$B$8</f>
        <v/>
      </c>
      <c r="O2206" s="11">
        <f>M2206-N2206</f>
        <v/>
      </c>
    </row>
    <row r="2207">
      <c r="A2207" s="9" t="n">
        <v>45383.875</v>
      </c>
      <c r="B2207" t="n">
        <v>4</v>
      </c>
      <c r="C2207" t="n">
        <v>1</v>
      </c>
      <c r="D2207" t="n">
        <v>21</v>
      </c>
      <c r="E2207" s="10" t="n">
        <v>0</v>
      </c>
      <c r="F2207" s="10" t="n">
        <v>0.3289784469548273</v>
      </c>
      <c r="G2207" s="11">
        <f>E2207*Summary!$B$6</f>
        <v/>
      </c>
      <c r="H2207" s="11">
        <f>F2207*Summary!$B$7</f>
        <v/>
      </c>
      <c r="I2207" s="11">
        <f>MAX(0,N2207-M2207)</f>
        <v/>
      </c>
      <c r="J2207" s="11">
        <f>MAX(0,M2207-N2207)</f>
        <v/>
      </c>
      <c r="K2207" s="11">
        <f>O2207</f>
        <v/>
      </c>
      <c r="L2207" s="11">
        <f>L2206+IF(K2207&gt;0,K2207*Summary!$B$9,K2207/Summary!$B$9)</f>
        <v/>
      </c>
      <c r="M2207" s="11">
        <f>G2207+H2207</f>
        <v/>
      </c>
      <c r="N2207" s="11">
        <f>Summary!$C$16*Summary!$B$8</f>
        <v/>
      </c>
      <c r="O2207" s="11">
        <f>M2207-N2207</f>
        <v/>
      </c>
    </row>
    <row r="2208">
      <c r="A2208" s="9" t="n">
        <v>45383.91666666666</v>
      </c>
      <c r="B2208" t="n">
        <v>4</v>
      </c>
      <c r="C2208" t="n">
        <v>1</v>
      </c>
      <c r="D2208" t="n">
        <v>22</v>
      </c>
      <c r="E2208" s="10" t="n">
        <v>0</v>
      </c>
      <c r="F2208" s="10" t="n">
        <v>0.3184112924187101</v>
      </c>
      <c r="G2208" s="11">
        <f>E2208*Summary!$B$6</f>
        <v/>
      </c>
      <c r="H2208" s="11">
        <f>F2208*Summary!$B$7</f>
        <v/>
      </c>
      <c r="I2208" s="11">
        <f>MAX(0,N2208-M2208)</f>
        <v/>
      </c>
      <c r="J2208" s="11">
        <f>MAX(0,M2208-N2208)</f>
        <v/>
      </c>
      <c r="K2208" s="11">
        <f>O2208</f>
        <v/>
      </c>
      <c r="L2208" s="11">
        <f>L2207+IF(K2208&gt;0,K2208*Summary!$B$9,K2208/Summary!$B$9)</f>
        <v/>
      </c>
      <c r="M2208" s="11">
        <f>G2208+H2208</f>
        <v/>
      </c>
      <c r="N2208" s="11">
        <f>Summary!$C$16*Summary!$B$8</f>
        <v/>
      </c>
      <c r="O2208" s="11">
        <f>M2208-N2208</f>
        <v/>
      </c>
    </row>
    <row r="2209">
      <c r="A2209" s="9" t="n">
        <v>45383.95833333334</v>
      </c>
      <c r="B2209" t="n">
        <v>4</v>
      </c>
      <c r="C2209" t="n">
        <v>1</v>
      </c>
      <c r="D2209" t="n">
        <v>23</v>
      </c>
      <c r="E2209" s="10" t="n">
        <v>0</v>
      </c>
      <c r="F2209" s="10" t="n">
        <v>0.3237871017089044</v>
      </c>
      <c r="G2209" s="11">
        <f>E2209*Summary!$B$6</f>
        <v/>
      </c>
      <c r="H2209" s="11">
        <f>F2209*Summary!$B$7</f>
        <v/>
      </c>
      <c r="I2209" s="11">
        <f>MAX(0,N2209-M2209)</f>
        <v/>
      </c>
      <c r="J2209" s="11">
        <f>MAX(0,M2209-N2209)</f>
        <v/>
      </c>
      <c r="K2209" s="11">
        <f>O2209</f>
        <v/>
      </c>
      <c r="L2209" s="11">
        <f>L2208+IF(K2209&gt;0,K2209*Summary!$B$9,K2209/Summary!$B$9)</f>
        <v/>
      </c>
      <c r="M2209" s="11">
        <f>G2209+H2209</f>
        <v/>
      </c>
      <c r="N2209" s="11">
        <f>Summary!$C$16*Summary!$B$8</f>
        <v/>
      </c>
      <c r="O2209" s="11">
        <f>M2209-N2209</f>
        <v/>
      </c>
    </row>
    <row r="2210">
      <c r="A2210" s="9" t="n">
        <v>45384</v>
      </c>
      <c r="B2210" t="n">
        <v>4</v>
      </c>
      <c r="C2210" t="n">
        <v>2</v>
      </c>
      <c r="D2210" t="n">
        <v>0</v>
      </c>
      <c r="E2210" s="10" t="n">
        <v>0</v>
      </c>
      <c r="F2210" s="10" t="n">
        <v>0.3524053805772914</v>
      </c>
      <c r="G2210" s="11">
        <f>E2210*Summary!$B$6</f>
        <v/>
      </c>
      <c r="H2210" s="11">
        <f>F2210*Summary!$B$7</f>
        <v/>
      </c>
      <c r="I2210" s="11">
        <f>MAX(0,N2210-M2210)</f>
        <v/>
      </c>
      <c r="J2210" s="11">
        <f>MAX(0,M2210-N2210)</f>
        <v/>
      </c>
      <c r="K2210" s="11">
        <f>O2210</f>
        <v/>
      </c>
      <c r="L2210" s="11">
        <f>L2209+IF(K2210&gt;0,K2210*Summary!$B$9,K2210/Summary!$B$9)</f>
        <v/>
      </c>
      <c r="M2210" s="11">
        <f>G2210+H2210</f>
        <v/>
      </c>
      <c r="N2210" s="11">
        <f>Summary!$C$16*Summary!$B$8</f>
        <v/>
      </c>
      <c r="O2210" s="11">
        <f>M2210-N2210</f>
        <v/>
      </c>
    </row>
    <row r="2211">
      <c r="A2211" s="9" t="n">
        <v>45384.04166666666</v>
      </c>
      <c r="B2211" t="n">
        <v>4</v>
      </c>
      <c r="C2211" t="n">
        <v>2</v>
      </c>
      <c r="D2211" t="n">
        <v>1</v>
      </c>
      <c r="E2211" s="10" t="n">
        <v>0</v>
      </c>
      <c r="F2211" s="10" t="n">
        <v>0.3285304628473111</v>
      </c>
      <c r="G2211" s="11">
        <f>E2211*Summary!$B$6</f>
        <v/>
      </c>
      <c r="H2211" s="11">
        <f>F2211*Summary!$B$7</f>
        <v/>
      </c>
      <c r="I2211" s="11">
        <f>MAX(0,N2211-M2211)</f>
        <v/>
      </c>
      <c r="J2211" s="11">
        <f>MAX(0,M2211-N2211)</f>
        <v/>
      </c>
      <c r="K2211" s="11">
        <f>O2211</f>
        <v/>
      </c>
      <c r="L2211" s="11">
        <f>L2210+IF(K2211&gt;0,K2211*Summary!$B$9,K2211/Summary!$B$9)</f>
        <v/>
      </c>
      <c r="M2211" s="11">
        <f>G2211+H2211</f>
        <v/>
      </c>
      <c r="N2211" s="11">
        <f>Summary!$C$16*Summary!$B$8</f>
        <v/>
      </c>
      <c r="O2211" s="11">
        <f>M2211-N2211</f>
        <v/>
      </c>
    </row>
    <row r="2212">
      <c r="A2212" s="9" t="n">
        <v>45384.08333333334</v>
      </c>
      <c r="B2212" t="n">
        <v>4</v>
      </c>
      <c r="C2212" t="n">
        <v>2</v>
      </c>
      <c r="D2212" t="n">
        <v>2</v>
      </c>
      <c r="E2212" s="10" t="n">
        <v>0</v>
      </c>
      <c r="F2212" s="10" t="n">
        <v>0.3300852312204555</v>
      </c>
      <c r="G2212" s="11">
        <f>E2212*Summary!$B$6</f>
        <v/>
      </c>
      <c r="H2212" s="11">
        <f>F2212*Summary!$B$7</f>
        <v/>
      </c>
      <c r="I2212" s="11">
        <f>MAX(0,N2212-M2212)</f>
        <v/>
      </c>
      <c r="J2212" s="11">
        <f>MAX(0,M2212-N2212)</f>
        <v/>
      </c>
      <c r="K2212" s="11">
        <f>O2212</f>
        <v/>
      </c>
      <c r="L2212" s="11">
        <f>L2211+IF(K2212&gt;0,K2212*Summary!$B$9,K2212/Summary!$B$9)</f>
        <v/>
      </c>
      <c r="M2212" s="11">
        <f>G2212+H2212</f>
        <v/>
      </c>
      <c r="N2212" s="11">
        <f>Summary!$C$16*Summary!$B$8</f>
        <v/>
      </c>
      <c r="O2212" s="11">
        <f>M2212-N2212</f>
        <v/>
      </c>
    </row>
    <row r="2213">
      <c r="A2213" s="9" t="n">
        <v>45384.125</v>
      </c>
      <c r="B2213" t="n">
        <v>4</v>
      </c>
      <c r="C2213" t="n">
        <v>2</v>
      </c>
      <c r="D2213" t="n">
        <v>3</v>
      </c>
      <c r="E2213" s="10" t="n">
        <v>0</v>
      </c>
      <c r="F2213" s="10" t="n">
        <v>0.3354610405106497</v>
      </c>
      <c r="G2213" s="11">
        <f>E2213*Summary!$B$6</f>
        <v/>
      </c>
      <c r="H2213" s="11">
        <f>F2213*Summary!$B$7</f>
        <v/>
      </c>
      <c r="I2213" s="11">
        <f>MAX(0,N2213-M2213)</f>
        <v/>
      </c>
      <c r="J2213" s="11">
        <f>MAX(0,M2213-N2213)</f>
        <v/>
      </c>
      <c r="K2213" s="11">
        <f>O2213</f>
        <v/>
      </c>
      <c r="L2213" s="11">
        <f>L2212+IF(K2213&gt;0,K2213*Summary!$B$9,K2213/Summary!$B$9)</f>
        <v/>
      </c>
      <c r="M2213" s="11">
        <f>G2213+H2213</f>
        <v/>
      </c>
      <c r="N2213" s="11">
        <f>Summary!$C$16*Summary!$B$8</f>
        <v/>
      </c>
      <c r="O2213" s="11">
        <f>M2213-N2213</f>
        <v/>
      </c>
    </row>
    <row r="2214">
      <c r="A2214" s="9" t="n">
        <v>45384.16666666666</v>
      </c>
      <c r="B2214" t="n">
        <v>4</v>
      </c>
      <c r="C2214" t="n">
        <v>2</v>
      </c>
      <c r="D2214" t="n">
        <v>4</v>
      </c>
      <c r="E2214" s="10" t="n">
        <v>0</v>
      </c>
      <c r="F2214" s="10" t="n">
        <v>0.3403888656933278</v>
      </c>
      <c r="G2214" s="11">
        <f>E2214*Summary!$B$6</f>
        <v/>
      </c>
      <c r="H2214" s="11">
        <f>F2214*Summary!$B$7</f>
        <v/>
      </c>
      <c r="I2214" s="11">
        <f>MAX(0,N2214-M2214)</f>
        <v/>
      </c>
      <c r="J2214" s="11">
        <f>MAX(0,M2214-N2214)</f>
        <v/>
      </c>
      <c r="K2214" s="11">
        <f>O2214</f>
        <v/>
      </c>
      <c r="L2214" s="11">
        <f>L2213+IF(K2214&gt;0,K2214*Summary!$B$9,K2214/Summary!$B$9)</f>
        <v/>
      </c>
      <c r="M2214" s="11">
        <f>G2214+H2214</f>
        <v/>
      </c>
      <c r="N2214" s="11">
        <f>Summary!$C$16*Summary!$B$8</f>
        <v/>
      </c>
      <c r="O2214" s="11">
        <f>M2214-N2214</f>
        <v/>
      </c>
    </row>
    <row r="2215">
      <c r="A2215" s="9" t="n">
        <v>45384.20833333334</v>
      </c>
      <c r="B2215" t="n">
        <v>4</v>
      </c>
      <c r="C2215" t="n">
        <v>2</v>
      </c>
      <c r="D2215" t="n">
        <v>5</v>
      </c>
      <c r="E2215" s="10" t="n">
        <v>0</v>
      </c>
      <c r="F2215" s="10" t="n">
        <v>0.3394401934656465</v>
      </c>
      <c r="G2215" s="11">
        <f>E2215*Summary!$B$6</f>
        <v/>
      </c>
      <c r="H2215" s="11">
        <f>F2215*Summary!$B$7</f>
        <v/>
      </c>
      <c r="I2215" s="11">
        <f>MAX(0,N2215-M2215)</f>
        <v/>
      </c>
      <c r="J2215" s="11">
        <f>MAX(0,M2215-N2215)</f>
        <v/>
      </c>
      <c r="K2215" s="11">
        <f>O2215</f>
        <v/>
      </c>
      <c r="L2215" s="11">
        <f>L2214+IF(K2215&gt;0,K2215*Summary!$B$9,K2215/Summary!$B$9)</f>
        <v/>
      </c>
      <c r="M2215" s="11">
        <f>G2215+H2215</f>
        <v/>
      </c>
      <c r="N2215" s="11">
        <f>Summary!$C$16*Summary!$B$8</f>
        <v/>
      </c>
      <c r="O2215" s="11">
        <f>M2215-N2215</f>
        <v/>
      </c>
    </row>
    <row r="2216">
      <c r="A2216" s="9" t="n">
        <v>45384.25</v>
      </c>
      <c r="B2216" t="n">
        <v>4</v>
      </c>
      <c r="C2216" t="n">
        <v>2</v>
      </c>
      <c r="D2216" t="n">
        <v>6</v>
      </c>
      <c r="E2216" s="10" t="n">
        <v>0.007605</v>
      </c>
      <c r="F2216" s="10" t="n">
        <v>0.3282405907777418</v>
      </c>
      <c r="G2216" s="11">
        <f>E2216*Summary!$B$6</f>
        <v/>
      </c>
      <c r="H2216" s="11">
        <f>F2216*Summary!$B$7</f>
        <v/>
      </c>
      <c r="I2216" s="11">
        <f>MAX(0,N2216-M2216)</f>
        <v/>
      </c>
      <c r="J2216" s="11">
        <f>MAX(0,M2216-N2216)</f>
        <v/>
      </c>
      <c r="K2216" s="11">
        <f>O2216</f>
        <v/>
      </c>
      <c r="L2216" s="11">
        <f>L2215+IF(K2216&gt;0,K2216*Summary!$B$9,K2216/Summary!$B$9)</f>
        <v/>
      </c>
      <c r="M2216" s="11">
        <f>G2216+H2216</f>
        <v/>
      </c>
      <c r="N2216" s="11">
        <f>Summary!$C$16*Summary!$B$8</f>
        <v/>
      </c>
      <c r="O2216" s="11">
        <f>M2216-N2216</f>
        <v/>
      </c>
    </row>
    <row r="2217">
      <c r="A2217" s="9" t="n">
        <v>45384.29166666666</v>
      </c>
      <c r="B2217" t="n">
        <v>4</v>
      </c>
      <c r="C2217" t="n">
        <v>2</v>
      </c>
      <c r="D2217" t="n">
        <v>7</v>
      </c>
      <c r="E2217" s="10" t="n">
        <v>0.027364</v>
      </c>
      <c r="F2217" s="10" t="n">
        <v>0.3105320425276902</v>
      </c>
      <c r="G2217" s="11">
        <f>E2217*Summary!$B$6</f>
        <v/>
      </c>
      <c r="H2217" s="11">
        <f>F2217*Summary!$B$7</f>
        <v/>
      </c>
      <c r="I2217" s="11">
        <f>MAX(0,N2217-M2217)</f>
        <v/>
      </c>
      <c r="J2217" s="11">
        <f>MAX(0,M2217-N2217)</f>
        <v/>
      </c>
      <c r="K2217" s="11">
        <f>O2217</f>
        <v/>
      </c>
      <c r="L2217" s="11">
        <f>L2216+IF(K2217&gt;0,K2217*Summary!$B$9,K2217/Summary!$B$9)</f>
        <v/>
      </c>
      <c r="M2217" s="11">
        <f>G2217+H2217</f>
        <v/>
      </c>
      <c r="N2217" s="11">
        <f>Summary!$C$16*Summary!$B$8</f>
        <v/>
      </c>
      <c r="O2217" s="11">
        <f>M2217-N2217</f>
        <v/>
      </c>
    </row>
    <row r="2218">
      <c r="A2218" s="9" t="n">
        <v>45384.33333333334</v>
      </c>
      <c r="B2218" t="n">
        <v>4</v>
      </c>
      <c r="C2218" t="n">
        <v>2</v>
      </c>
      <c r="D2218" t="n">
        <v>8</v>
      </c>
      <c r="E2218" s="10" t="n">
        <v>0.076899</v>
      </c>
      <c r="F2218" s="10" t="n">
        <v>0.2981993035678328</v>
      </c>
      <c r="G2218" s="11">
        <f>E2218*Summary!$B$6</f>
        <v/>
      </c>
      <c r="H2218" s="11">
        <f>F2218*Summary!$B$7</f>
        <v/>
      </c>
      <c r="I2218" s="11">
        <f>MAX(0,N2218-M2218)</f>
        <v/>
      </c>
      <c r="J2218" s="11">
        <f>MAX(0,M2218-N2218)</f>
        <v/>
      </c>
      <c r="K2218" s="11">
        <f>O2218</f>
        <v/>
      </c>
      <c r="L2218" s="11">
        <f>L2217+IF(K2218&gt;0,K2218*Summary!$B$9,K2218/Summary!$B$9)</f>
        <v/>
      </c>
      <c r="M2218" s="11">
        <f>G2218+H2218</f>
        <v/>
      </c>
      <c r="N2218" s="11">
        <f>Summary!$C$16*Summary!$B$8</f>
        <v/>
      </c>
      <c r="O2218" s="11">
        <f>M2218-N2218</f>
        <v/>
      </c>
    </row>
    <row r="2219">
      <c r="A2219" s="9" t="n">
        <v>45384.375</v>
      </c>
      <c r="B2219" t="n">
        <v>4</v>
      </c>
      <c r="C2219" t="n">
        <v>2</v>
      </c>
      <c r="D2219" t="n">
        <v>9</v>
      </c>
      <c r="E2219" s="10" t="n">
        <v>0.134246</v>
      </c>
      <c r="F2219" s="10" t="n">
        <v>0.2924282141827714</v>
      </c>
      <c r="G2219" s="11">
        <f>E2219*Summary!$B$6</f>
        <v/>
      </c>
      <c r="H2219" s="11">
        <f>F2219*Summary!$B$7</f>
        <v/>
      </c>
      <c r="I2219" s="11">
        <f>MAX(0,N2219-M2219)</f>
        <v/>
      </c>
      <c r="J2219" s="11">
        <f>MAX(0,M2219-N2219)</f>
        <v/>
      </c>
      <c r="K2219" s="11">
        <f>O2219</f>
        <v/>
      </c>
      <c r="L2219" s="11">
        <f>L2218+IF(K2219&gt;0,K2219*Summary!$B$9,K2219/Summary!$B$9)</f>
        <v/>
      </c>
      <c r="M2219" s="11">
        <f>G2219+H2219</f>
        <v/>
      </c>
      <c r="N2219" s="11">
        <f>Summary!$C$16*Summary!$B$8</f>
        <v/>
      </c>
      <c r="O2219" s="11">
        <f>M2219-N2219</f>
        <v/>
      </c>
    </row>
    <row r="2220">
      <c r="A2220" s="9" t="n">
        <v>45384.41666666666</v>
      </c>
      <c r="B2220" t="n">
        <v>4</v>
      </c>
      <c r="C2220" t="n">
        <v>2</v>
      </c>
      <c r="D2220" t="n">
        <v>10</v>
      </c>
      <c r="E2220" s="10" t="n">
        <v>0.163352</v>
      </c>
      <c r="F2220" s="10" t="n">
        <v>0.298699991687998</v>
      </c>
      <c r="G2220" s="11">
        <f>E2220*Summary!$B$6</f>
        <v/>
      </c>
      <c r="H2220" s="11">
        <f>F2220*Summary!$B$7</f>
        <v/>
      </c>
      <c r="I2220" s="11">
        <f>MAX(0,N2220-M2220)</f>
        <v/>
      </c>
      <c r="J2220" s="11">
        <f>MAX(0,M2220-N2220)</f>
        <v/>
      </c>
      <c r="K2220" s="11">
        <f>O2220</f>
        <v/>
      </c>
      <c r="L2220" s="11">
        <f>L2219+IF(K2220&gt;0,K2220*Summary!$B$9,K2220/Summary!$B$9)</f>
        <v/>
      </c>
      <c r="M2220" s="11">
        <f>G2220+H2220</f>
        <v/>
      </c>
      <c r="N2220" s="11">
        <f>Summary!$C$16*Summary!$B$8</f>
        <v/>
      </c>
      <c r="O2220" s="11">
        <f>M2220-N2220</f>
        <v/>
      </c>
    </row>
    <row r="2221">
      <c r="A2221" s="9" t="n">
        <v>45384.45833333334</v>
      </c>
      <c r="B2221" t="n">
        <v>4</v>
      </c>
      <c r="C2221" t="n">
        <v>2</v>
      </c>
      <c r="D2221" t="n">
        <v>11</v>
      </c>
      <c r="E2221" s="10" t="n">
        <v>0.158016</v>
      </c>
      <c r="F2221" s="10" t="n">
        <v>0.312271274945106</v>
      </c>
      <c r="G2221" s="11">
        <f>E2221*Summary!$B$6</f>
        <v/>
      </c>
      <c r="H2221" s="11">
        <f>F2221*Summary!$B$7</f>
        <v/>
      </c>
      <c r="I2221" s="11">
        <f>MAX(0,N2221-M2221)</f>
        <v/>
      </c>
      <c r="J2221" s="11">
        <f>MAX(0,M2221-N2221)</f>
        <v/>
      </c>
      <c r="K2221" s="11">
        <f>O2221</f>
        <v/>
      </c>
      <c r="L2221" s="11">
        <f>L2220+IF(K2221&gt;0,K2221*Summary!$B$9,K2221/Summary!$B$9)</f>
        <v/>
      </c>
      <c r="M2221" s="11">
        <f>G2221+H2221</f>
        <v/>
      </c>
      <c r="N2221" s="11">
        <f>Summary!$C$16*Summary!$B$8</f>
        <v/>
      </c>
      <c r="O2221" s="11">
        <f>M2221-N2221</f>
        <v/>
      </c>
    </row>
    <row r="2222">
      <c r="A2222" s="9" t="n">
        <v>45384.5</v>
      </c>
      <c r="B2222" t="n">
        <v>4</v>
      </c>
      <c r="C2222" t="n">
        <v>2</v>
      </c>
      <c r="D2222" t="n">
        <v>12</v>
      </c>
      <c r="E2222" s="10" t="n">
        <v>0.143944</v>
      </c>
      <c r="F2222" s="10" t="n">
        <v>0.3252891660693998</v>
      </c>
      <c r="G2222" s="11">
        <f>E2222*Summary!$B$6</f>
        <v/>
      </c>
      <c r="H2222" s="11">
        <f>F2222*Summary!$B$7</f>
        <v/>
      </c>
      <c r="I2222" s="11">
        <f>MAX(0,N2222-M2222)</f>
        <v/>
      </c>
      <c r="J2222" s="11">
        <f>MAX(0,M2222-N2222)</f>
        <v/>
      </c>
      <c r="K2222" s="11">
        <f>O2222</f>
        <v/>
      </c>
      <c r="L2222" s="11">
        <f>L2221+IF(K2222&gt;0,K2222*Summary!$B$9,K2222/Summary!$B$9)</f>
        <v/>
      </c>
      <c r="M2222" s="11">
        <f>G2222+H2222</f>
        <v/>
      </c>
      <c r="N2222" s="11">
        <f>Summary!$C$16*Summary!$B$8</f>
        <v/>
      </c>
      <c r="O2222" s="11">
        <f>M2222-N2222</f>
        <v/>
      </c>
    </row>
    <row r="2223">
      <c r="A2223" s="9" t="n">
        <v>45384.54166666666</v>
      </c>
      <c r="B2223" t="n">
        <v>4</v>
      </c>
      <c r="C2223" t="n">
        <v>2</v>
      </c>
      <c r="D2223" t="n">
        <v>13</v>
      </c>
      <c r="E2223" s="10" t="n">
        <v>0.153074</v>
      </c>
      <c r="F2223" s="10" t="n">
        <v>0.3373583849660124</v>
      </c>
      <c r="G2223" s="11">
        <f>E2223*Summary!$B$6</f>
        <v/>
      </c>
      <c r="H2223" s="11">
        <f>F2223*Summary!$B$7</f>
        <v/>
      </c>
      <c r="I2223" s="11">
        <f>MAX(0,N2223-M2223)</f>
        <v/>
      </c>
      <c r="J2223" s="11">
        <f>MAX(0,M2223-N2223)</f>
        <v/>
      </c>
      <c r="K2223" s="11">
        <f>O2223</f>
        <v/>
      </c>
      <c r="L2223" s="11">
        <f>L2222+IF(K2223&gt;0,K2223*Summary!$B$9,K2223/Summary!$B$9)</f>
        <v/>
      </c>
      <c r="M2223" s="11">
        <f>G2223+H2223</f>
        <v/>
      </c>
      <c r="N2223" s="11">
        <f>Summary!$C$16*Summary!$B$8</f>
        <v/>
      </c>
      <c r="O2223" s="11">
        <f>M2223-N2223</f>
        <v/>
      </c>
    </row>
    <row r="2224">
      <c r="A2224" s="9" t="n">
        <v>45384.58333333334</v>
      </c>
      <c r="B2224" t="n">
        <v>4</v>
      </c>
      <c r="C2224" t="n">
        <v>2</v>
      </c>
      <c r="D2224" t="n">
        <v>14</v>
      </c>
      <c r="E2224" s="10" t="n">
        <v>0.151693</v>
      </c>
      <c r="F2224" s="10" t="n">
        <v>0.349322195837327</v>
      </c>
      <c r="G2224" s="11">
        <f>E2224*Summary!$B$6</f>
        <v/>
      </c>
      <c r="H2224" s="11">
        <f>F2224*Summary!$B$7</f>
        <v/>
      </c>
      <c r="I2224" s="11">
        <f>MAX(0,N2224-M2224)</f>
        <v/>
      </c>
      <c r="J2224" s="11">
        <f>MAX(0,M2224-N2224)</f>
        <v/>
      </c>
      <c r="K2224" s="11">
        <f>O2224</f>
        <v/>
      </c>
      <c r="L2224" s="11">
        <f>L2223+IF(K2224&gt;0,K2224*Summary!$B$9,K2224/Summary!$B$9)</f>
        <v/>
      </c>
      <c r="M2224" s="11">
        <f>G2224+H2224</f>
        <v/>
      </c>
      <c r="N2224" s="11">
        <f>Summary!$C$16*Summary!$B$8</f>
        <v/>
      </c>
      <c r="O2224" s="11">
        <f>M2224-N2224</f>
        <v/>
      </c>
    </row>
    <row r="2225">
      <c r="A2225" s="9" t="n">
        <v>45384.625</v>
      </c>
      <c r="B2225" t="n">
        <v>4</v>
      </c>
      <c r="C2225" t="n">
        <v>2</v>
      </c>
      <c r="D2225" t="n">
        <v>15</v>
      </c>
      <c r="E2225" s="10" t="n">
        <v>0.09826799999999999</v>
      </c>
      <c r="F2225" s="10" t="n">
        <v>0.352774308665834</v>
      </c>
      <c r="G2225" s="11">
        <f>E2225*Summary!$B$6</f>
        <v/>
      </c>
      <c r="H2225" s="11">
        <f>F2225*Summary!$B$7</f>
        <v/>
      </c>
      <c r="I2225" s="11">
        <f>MAX(0,N2225-M2225)</f>
        <v/>
      </c>
      <c r="J2225" s="11">
        <f>MAX(0,M2225-N2225)</f>
        <v/>
      </c>
      <c r="K2225" s="11">
        <f>O2225</f>
        <v/>
      </c>
      <c r="L2225" s="11">
        <f>L2224+IF(K2225&gt;0,K2225*Summary!$B$9,K2225/Summary!$B$9)</f>
        <v/>
      </c>
      <c r="M2225" s="11">
        <f>G2225+H2225</f>
        <v/>
      </c>
      <c r="N2225" s="11">
        <f>Summary!$C$16*Summary!$B$8</f>
        <v/>
      </c>
      <c r="O2225" s="11">
        <f>M2225-N2225</f>
        <v/>
      </c>
    </row>
    <row r="2226">
      <c r="A2226" s="9" t="n">
        <v>45384.66666666666</v>
      </c>
      <c r="B2226" t="n">
        <v>4</v>
      </c>
      <c r="C2226" t="n">
        <v>2</v>
      </c>
      <c r="D2226" t="n">
        <v>16</v>
      </c>
      <c r="E2226" s="10" t="n">
        <v>0.128236</v>
      </c>
      <c r="F2226" s="10" t="n">
        <v>0.3483471716033212</v>
      </c>
      <c r="G2226" s="11">
        <f>E2226*Summary!$B$6</f>
        <v/>
      </c>
      <c r="H2226" s="11">
        <f>F2226*Summary!$B$7</f>
        <v/>
      </c>
      <c r="I2226" s="11">
        <f>MAX(0,N2226-M2226)</f>
        <v/>
      </c>
      <c r="J2226" s="11">
        <f>MAX(0,M2226-N2226)</f>
        <v/>
      </c>
      <c r="K2226" s="11">
        <f>O2226</f>
        <v/>
      </c>
      <c r="L2226" s="11">
        <f>L2225+IF(K2226&gt;0,K2226*Summary!$B$9,K2226/Summary!$B$9)</f>
        <v/>
      </c>
      <c r="M2226" s="11">
        <f>G2226+H2226</f>
        <v/>
      </c>
      <c r="N2226" s="11">
        <f>Summary!$C$16*Summary!$B$8</f>
        <v/>
      </c>
      <c r="O2226" s="11">
        <f>M2226-N2226</f>
        <v/>
      </c>
    </row>
    <row r="2227">
      <c r="A2227" s="9" t="n">
        <v>45384.70833333334</v>
      </c>
      <c r="B2227" t="n">
        <v>4</v>
      </c>
      <c r="C2227" t="n">
        <v>2</v>
      </c>
      <c r="D2227" t="n">
        <v>17</v>
      </c>
      <c r="E2227" s="10" t="n">
        <v>0.059136</v>
      </c>
      <c r="F2227" s="10" t="n">
        <v>0.3491640837993801</v>
      </c>
      <c r="G2227" s="11">
        <f>E2227*Summary!$B$6</f>
        <v/>
      </c>
      <c r="H2227" s="11">
        <f>F2227*Summary!$B$7</f>
        <v/>
      </c>
      <c r="I2227" s="11">
        <f>MAX(0,N2227-M2227)</f>
        <v/>
      </c>
      <c r="J2227" s="11">
        <f>MAX(0,M2227-N2227)</f>
        <v/>
      </c>
      <c r="K2227" s="11">
        <f>O2227</f>
        <v/>
      </c>
      <c r="L2227" s="11">
        <f>L2226+IF(K2227&gt;0,K2227*Summary!$B$9,K2227/Summary!$B$9)</f>
        <v/>
      </c>
      <c r="M2227" s="11">
        <f>G2227+H2227</f>
        <v/>
      </c>
      <c r="N2227" s="11">
        <f>Summary!$C$16*Summary!$B$8</f>
        <v/>
      </c>
      <c r="O2227" s="11">
        <f>M2227-N2227</f>
        <v/>
      </c>
    </row>
    <row r="2228">
      <c r="A2228" s="9" t="n">
        <v>45384.75</v>
      </c>
      <c r="B2228" t="n">
        <v>4</v>
      </c>
      <c r="C2228" t="n">
        <v>2</v>
      </c>
      <c r="D2228" t="n">
        <v>18</v>
      </c>
      <c r="E2228" s="10" t="n">
        <v>0.00404</v>
      </c>
      <c r="F2228" s="10" t="n">
        <v>0.3554095092982822</v>
      </c>
      <c r="G2228" s="11">
        <f>E2228*Summary!$B$6</f>
        <v/>
      </c>
      <c r="H2228" s="11">
        <f>F2228*Summary!$B$7</f>
        <v/>
      </c>
      <c r="I2228" s="11">
        <f>MAX(0,N2228-M2228)</f>
        <v/>
      </c>
      <c r="J2228" s="11">
        <f>MAX(0,M2228-N2228)</f>
        <v/>
      </c>
      <c r="K2228" s="11">
        <f>O2228</f>
        <v/>
      </c>
      <c r="L2228" s="11">
        <f>L2227+IF(K2228&gt;0,K2228*Summary!$B$9,K2228/Summary!$B$9)</f>
        <v/>
      </c>
      <c r="M2228" s="11">
        <f>G2228+H2228</f>
        <v/>
      </c>
      <c r="N2228" s="11">
        <f>Summary!$C$16*Summary!$B$8</f>
        <v/>
      </c>
      <c r="O2228" s="11">
        <f>M2228-N2228</f>
        <v/>
      </c>
    </row>
    <row r="2229">
      <c r="A2229" s="9" t="n">
        <v>45384.79166666666</v>
      </c>
      <c r="B2229" t="n">
        <v>4</v>
      </c>
      <c r="C2229" t="n">
        <v>2</v>
      </c>
      <c r="D2229" t="n">
        <v>19</v>
      </c>
      <c r="E2229" s="10" t="n">
        <v>0</v>
      </c>
      <c r="F2229" s="10" t="n">
        <v>0.3677158962518151</v>
      </c>
      <c r="G2229" s="11">
        <f>E2229*Summary!$B$6</f>
        <v/>
      </c>
      <c r="H2229" s="11">
        <f>F2229*Summary!$B$7</f>
        <v/>
      </c>
      <c r="I2229" s="11">
        <f>MAX(0,N2229-M2229)</f>
        <v/>
      </c>
      <c r="J2229" s="11">
        <f>MAX(0,M2229-N2229)</f>
        <v/>
      </c>
      <c r="K2229" s="11">
        <f>O2229</f>
        <v/>
      </c>
      <c r="L2229" s="11">
        <f>L2228+IF(K2229&gt;0,K2229*Summary!$B$9,K2229/Summary!$B$9)</f>
        <v/>
      </c>
      <c r="M2229" s="11">
        <f>G2229+H2229</f>
        <v/>
      </c>
      <c r="N2229" s="11">
        <f>Summary!$C$16*Summary!$B$8</f>
        <v/>
      </c>
      <c r="O2229" s="11">
        <f>M2229-N2229</f>
        <v/>
      </c>
    </row>
    <row r="2230">
      <c r="A2230" s="9" t="n">
        <v>45384.83333333334</v>
      </c>
      <c r="B2230" t="n">
        <v>4</v>
      </c>
      <c r="C2230" t="n">
        <v>2</v>
      </c>
      <c r="D2230" t="n">
        <v>20</v>
      </c>
      <c r="E2230" s="10" t="n">
        <v>0</v>
      </c>
      <c r="F2230" s="10" t="n">
        <v>0.3726964254471421</v>
      </c>
      <c r="G2230" s="11">
        <f>E2230*Summary!$B$6</f>
        <v/>
      </c>
      <c r="H2230" s="11">
        <f>F2230*Summary!$B$7</f>
        <v/>
      </c>
      <c r="I2230" s="11">
        <f>MAX(0,N2230-M2230)</f>
        <v/>
      </c>
      <c r="J2230" s="11">
        <f>MAX(0,M2230-N2230)</f>
        <v/>
      </c>
      <c r="K2230" s="11">
        <f>O2230</f>
        <v/>
      </c>
      <c r="L2230" s="11">
        <f>L2229+IF(K2230&gt;0,K2230*Summary!$B$9,K2230/Summary!$B$9)</f>
        <v/>
      </c>
      <c r="M2230" s="11">
        <f>G2230+H2230</f>
        <v/>
      </c>
      <c r="N2230" s="11">
        <f>Summary!$C$16*Summary!$B$8</f>
        <v/>
      </c>
      <c r="O2230" s="11">
        <f>M2230-N2230</f>
        <v/>
      </c>
    </row>
    <row r="2231">
      <c r="A2231" s="9" t="n">
        <v>45384.875</v>
      </c>
      <c r="B2231" t="n">
        <v>4</v>
      </c>
      <c r="C2231" t="n">
        <v>2</v>
      </c>
      <c r="D2231" t="n">
        <v>21</v>
      </c>
      <c r="E2231" s="10" t="n">
        <v>0</v>
      </c>
      <c r="F2231" s="10" t="n">
        <v>0.3705092089222101</v>
      </c>
      <c r="G2231" s="11">
        <f>E2231*Summary!$B$6</f>
        <v/>
      </c>
      <c r="H2231" s="11">
        <f>F2231*Summary!$B$7</f>
        <v/>
      </c>
      <c r="I2231" s="11">
        <f>MAX(0,N2231-M2231)</f>
        <v/>
      </c>
      <c r="J2231" s="11">
        <f>MAX(0,M2231-N2231)</f>
        <v/>
      </c>
      <c r="K2231" s="11">
        <f>O2231</f>
        <v/>
      </c>
      <c r="L2231" s="11">
        <f>L2230+IF(K2231&gt;0,K2231*Summary!$B$9,K2231/Summary!$B$9)</f>
        <v/>
      </c>
      <c r="M2231" s="11">
        <f>G2231+H2231</f>
        <v/>
      </c>
      <c r="N2231" s="11">
        <f>Summary!$C$16*Summary!$B$8</f>
        <v/>
      </c>
      <c r="O2231" s="11">
        <f>M2231-N2231</f>
        <v/>
      </c>
    </row>
    <row r="2232">
      <c r="A2232" s="9" t="n">
        <v>45384.91666666666</v>
      </c>
      <c r="B2232" t="n">
        <v>4</v>
      </c>
      <c r="C2232" t="n">
        <v>2</v>
      </c>
      <c r="D2232" t="n">
        <v>22</v>
      </c>
      <c r="E2232" s="10" t="n">
        <v>0</v>
      </c>
      <c r="F2232" s="10" t="n">
        <v>0.3654759757142341</v>
      </c>
      <c r="G2232" s="11">
        <f>E2232*Summary!$B$6</f>
        <v/>
      </c>
      <c r="H2232" s="11">
        <f>F2232*Summary!$B$7</f>
        <v/>
      </c>
      <c r="I2232" s="11">
        <f>MAX(0,N2232-M2232)</f>
        <v/>
      </c>
      <c r="J2232" s="11">
        <f>MAX(0,M2232-N2232)</f>
        <v/>
      </c>
      <c r="K2232" s="11">
        <f>O2232</f>
        <v/>
      </c>
      <c r="L2232" s="11">
        <f>L2231+IF(K2232&gt;0,K2232*Summary!$B$9,K2232/Summary!$B$9)</f>
        <v/>
      </c>
      <c r="M2232" s="11">
        <f>G2232+H2232</f>
        <v/>
      </c>
      <c r="N2232" s="11">
        <f>Summary!$C$16*Summary!$B$8</f>
        <v/>
      </c>
      <c r="O2232" s="11">
        <f>M2232-N2232</f>
        <v/>
      </c>
    </row>
    <row r="2233">
      <c r="A2233" s="9" t="n">
        <v>45384.95833333334</v>
      </c>
      <c r="B2233" t="n">
        <v>4</v>
      </c>
      <c r="C2233" t="n">
        <v>2</v>
      </c>
      <c r="D2233" t="n">
        <v>23</v>
      </c>
      <c r="E2233" s="10" t="n">
        <v>0</v>
      </c>
      <c r="F2233" s="10" t="n">
        <v>0.3586771580825179</v>
      </c>
      <c r="G2233" s="11">
        <f>E2233*Summary!$B$6</f>
        <v/>
      </c>
      <c r="H2233" s="11">
        <f>F2233*Summary!$B$7</f>
        <v/>
      </c>
      <c r="I2233" s="11">
        <f>MAX(0,N2233-M2233)</f>
        <v/>
      </c>
      <c r="J2233" s="11">
        <f>MAX(0,M2233-N2233)</f>
        <v/>
      </c>
      <c r="K2233" s="11">
        <f>O2233</f>
        <v/>
      </c>
      <c r="L2233" s="11">
        <f>L2232+IF(K2233&gt;0,K2233*Summary!$B$9,K2233/Summary!$B$9)</f>
        <v/>
      </c>
      <c r="M2233" s="11">
        <f>G2233+H2233</f>
        <v/>
      </c>
      <c r="N2233" s="11">
        <f>Summary!$C$16*Summary!$B$8</f>
        <v/>
      </c>
      <c r="O2233" s="11">
        <f>M2233-N2233</f>
        <v/>
      </c>
    </row>
    <row r="2234">
      <c r="A2234" s="9" t="n">
        <v>45385</v>
      </c>
      <c r="B2234" t="n">
        <v>4</v>
      </c>
      <c r="C2234" t="n">
        <v>3</v>
      </c>
      <c r="D2234" t="n">
        <v>0</v>
      </c>
      <c r="E2234" s="10" t="n">
        <v>0</v>
      </c>
      <c r="F2234" s="10" t="n">
        <v>0.3226012614243028</v>
      </c>
      <c r="G2234" s="11">
        <f>E2234*Summary!$B$6</f>
        <v/>
      </c>
      <c r="H2234" s="11">
        <f>F2234*Summary!$B$7</f>
        <v/>
      </c>
      <c r="I2234" s="11">
        <f>MAX(0,N2234-M2234)</f>
        <v/>
      </c>
      <c r="J2234" s="11">
        <f>MAX(0,M2234-N2234)</f>
        <v/>
      </c>
      <c r="K2234" s="11">
        <f>O2234</f>
        <v/>
      </c>
      <c r="L2234" s="11">
        <f>L2233+IF(K2234&gt;0,K2234*Summary!$B$9,K2234/Summary!$B$9)</f>
        <v/>
      </c>
      <c r="M2234" s="11">
        <f>G2234+H2234</f>
        <v/>
      </c>
      <c r="N2234" s="11">
        <f>Summary!$C$16*Summary!$B$8</f>
        <v/>
      </c>
      <c r="O2234" s="11">
        <f>M2234-N2234</f>
        <v/>
      </c>
    </row>
    <row r="2235">
      <c r="A2235" s="9" t="n">
        <v>45385.04166666666</v>
      </c>
      <c r="B2235" t="n">
        <v>4</v>
      </c>
      <c r="C2235" t="n">
        <v>3</v>
      </c>
      <c r="D2235" t="n">
        <v>1</v>
      </c>
      <c r="E2235" s="10" t="n">
        <v>0</v>
      </c>
      <c r="F2235" s="10" t="n">
        <v>0.3408895538134929</v>
      </c>
      <c r="G2235" s="11">
        <f>E2235*Summary!$B$6</f>
        <v/>
      </c>
      <c r="H2235" s="11">
        <f>F2235*Summary!$B$7</f>
        <v/>
      </c>
      <c r="I2235" s="11">
        <f>MAX(0,N2235-M2235)</f>
        <v/>
      </c>
      <c r="J2235" s="11">
        <f>MAX(0,M2235-N2235)</f>
        <v/>
      </c>
      <c r="K2235" s="11">
        <f>O2235</f>
        <v/>
      </c>
      <c r="L2235" s="11">
        <f>L2234+IF(K2235&gt;0,K2235*Summary!$B$9,K2235/Summary!$B$9)</f>
        <v/>
      </c>
      <c r="M2235" s="11">
        <f>G2235+H2235</f>
        <v/>
      </c>
      <c r="N2235" s="11">
        <f>Summary!$C$16*Summary!$B$8</f>
        <v/>
      </c>
      <c r="O2235" s="11">
        <f>M2235-N2235</f>
        <v/>
      </c>
    </row>
    <row r="2236">
      <c r="A2236" s="9" t="n">
        <v>45385.08333333334</v>
      </c>
      <c r="B2236" t="n">
        <v>4</v>
      </c>
      <c r="C2236" t="n">
        <v>3</v>
      </c>
      <c r="D2236" t="n">
        <v>2</v>
      </c>
      <c r="E2236" s="10" t="n">
        <v>0</v>
      </c>
      <c r="F2236" s="10" t="n">
        <v>0.3302696952647268</v>
      </c>
      <c r="G2236" s="11">
        <f>E2236*Summary!$B$6</f>
        <v/>
      </c>
      <c r="H2236" s="11">
        <f>F2236*Summary!$B$7</f>
        <v/>
      </c>
      <c r="I2236" s="11">
        <f>MAX(0,N2236-M2236)</f>
        <v/>
      </c>
      <c r="J2236" s="11">
        <f>MAX(0,M2236-N2236)</f>
        <v/>
      </c>
      <c r="K2236" s="11">
        <f>O2236</f>
        <v/>
      </c>
      <c r="L2236" s="11">
        <f>L2235+IF(K2236&gt;0,K2236*Summary!$B$9,K2236/Summary!$B$9)</f>
        <v/>
      </c>
      <c r="M2236" s="11">
        <f>G2236+H2236</f>
        <v/>
      </c>
      <c r="N2236" s="11">
        <f>Summary!$C$16*Summary!$B$8</f>
        <v/>
      </c>
      <c r="O2236" s="11">
        <f>M2236-N2236</f>
        <v/>
      </c>
    </row>
    <row r="2237">
      <c r="A2237" s="9" t="n">
        <v>45385.125</v>
      </c>
      <c r="B2237" t="n">
        <v>4</v>
      </c>
      <c r="C2237" t="n">
        <v>3</v>
      </c>
      <c r="D2237" t="n">
        <v>3</v>
      </c>
      <c r="E2237" s="10" t="n">
        <v>0</v>
      </c>
      <c r="F2237" s="10" t="n">
        <v>0.3244722538733409</v>
      </c>
      <c r="G2237" s="11">
        <f>E2237*Summary!$B$6</f>
        <v/>
      </c>
      <c r="H2237" s="11">
        <f>F2237*Summary!$B$7</f>
        <v/>
      </c>
      <c r="I2237" s="11">
        <f>MAX(0,N2237-M2237)</f>
        <v/>
      </c>
      <c r="J2237" s="11">
        <f>MAX(0,M2237-N2237)</f>
        <v/>
      </c>
      <c r="K2237" s="11">
        <f>O2237</f>
        <v/>
      </c>
      <c r="L2237" s="11">
        <f>L2236+IF(K2237&gt;0,K2237*Summary!$B$9,K2237/Summary!$B$9)</f>
        <v/>
      </c>
      <c r="M2237" s="11">
        <f>G2237+H2237</f>
        <v/>
      </c>
      <c r="N2237" s="11">
        <f>Summary!$C$16*Summary!$B$8</f>
        <v/>
      </c>
      <c r="O2237" s="11">
        <f>M2237-N2237</f>
        <v/>
      </c>
    </row>
    <row r="2238">
      <c r="A2238" s="9" t="n">
        <v>45385.16666666666</v>
      </c>
      <c r="B2238" t="n">
        <v>4</v>
      </c>
      <c r="C2238" t="n">
        <v>3</v>
      </c>
      <c r="D2238" t="n">
        <v>4</v>
      </c>
      <c r="E2238" s="10" t="n">
        <v>0</v>
      </c>
      <c r="F2238" s="10" t="n">
        <v>0.3233127655950638</v>
      </c>
      <c r="G2238" s="11">
        <f>E2238*Summary!$B$6</f>
        <v/>
      </c>
      <c r="H2238" s="11">
        <f>F2238*Summary!$B$7</f>
        <v/>
      </c>
      <c r="I2238" s="11">
        <f>MAX(0,N2238-M2238)</f>
        <v/>
      </c>
      <c r="J2238" s="11">
        <f>MAX(0,M2238-N2238)</f>
        <v/>
      </c>
      <c r="K2238" s="11">
        <f>O2238</f>
        <v/>
      </c>
      <c r="L2238" s="11">
        <f>L2237+IF(K2238&gt;0,K2238*Summary!$B$9,K2238/Summary!$B$9)</f>
        <v/>
      </c>
      <c r="M2238" s="11">
        <f>G2238+H2238</f>
        <v/>
      </c>
      <c r="N2238" s="11">
        <f>Summary!$C$16*Summary!$B$8</f>
        <v/>
      </c>
      <c r="O2238" s="11">
        <f>M2238-N2238</f>
        <v/>
      </c>
    </row>
    <row r="2239">
      <c r="A2239" s="9" t="n">
        <v>45385.20833333334</v>
      </c>
      <c r="B2239" t="n">
        <v>4</v>
      </c>
      <c r="C2239" t="n">
        <v>3</v>
      </c>
      <c r="D2239" t="n">
        <v>5</v>
      </c>
      <c r="E2239" s="10" t="n">
        <v>0</v>
      </c>
      <c r="F2239" s="10" t="n">
        <v>0.3178315482795716</v>
      </c>
      <c r="G2239" s="11">
        <f>E2239*Summary!$B$6</f>
        <v/>
      </c>
      <c r="H2239" s="11">
        <f>F2239*Summary!$B$7</f>
        <v/>
      </c>
      <c r="I2239" s="11">
        <f>MAX(0,N2239-M2239)</f>
        <v/>
      </c>
      <c r="J2239" s="11">
        <f>MAX(0,M2239-N2239)</f>
        <v/>
      </c>
      <c r="K2239" s="11">
        <f>O2239</f>
        <v/>
      </c>
      <c r="L2239" s="11">
        <f>L2238+IF(K2239&gt;0,K2239*Summary!$B$9,K2239/Summary!$B$9)</f>
        <v/>
      </c>
      <c r="M2239" s="11">
        <f>G2239+H2239</f>
        <v/>
      </c>
      <c r="N2239" s="11">
        <f>Summary!$C$16*Summary!$B$8</f>
        <v/>
      </c>
      <c r="O2239" s="11">
        <f>M2239-N2239</f>
        <v/>
      </c>
    </row>
    <row r="2240">
      <c r="A2240" s="9" t="n">
        <v>45385.25</v>
      </c>
      <c r="B2240" t="n">
        <v>4</v>
      </c>
      <c r="C2240" t="n">
        <v>3</v>
      </c>
      <c r="D2240" t="n">
        <v>6</v>
      </c>
      <c r="E2240" s="10" t="n">
        <v>0.012144</v>
      </c>
      <c r="F2240" s="10" t="n">
        <v>0.3080286019268644</v>
      </c>
      <c r="G2240" s="11">
        <f>E2240*Summary!$B$6</f>
        <v/>
      </c>
      <c r="H2240" s="11">
        <f>F2240*Summary!$B$7</f>
        <v/>
      </c>
      <c r="I2240" s="11">
        <f>MAX(0,N2240-M2240)</f>
        <v/>
      </c>
      <c r="J2240" s="11">
        <f>MAX(0,M2240-N2240)</f>
        <v/>
      </c>
      <c r="K2240" s="11">
        <f>O2240</f>
        <v/>
      </c>
      <c r="L2240" s="11">
        <f>L2239+IF(K2240&gt;0,K2240*Summary!$B$9,K2240/Summary!$B$9)</f>
        <v/>
      </c>
      <c r="M2240" s="11">
        <f>G2240+H2240</f>
        <v/>
      </c>
      <c r="N2240" s="11">
        <f>Summary!$C$16*Summary!$B$8</f>
        <v/>
      </c>
      <c r="O2240" s="11">
        <f>M2240-N2240</f>
        <v/>
      </c>
    </row>
    <row r="2241">
      <c r="A2241" s="9" t="n">
        <v>45385.29166666666</v>
      </c>
      <c r="B2241" t="n">
        <v>4</v>
      </c>
      <c r="C2241" t="n">
        <v>3</v>
      </c>
      <c r="D2241" t="n">
        <v>7</v>
      </c>
      <c r="E2241" s="10" t="n">
        <v>0.08470999999999999</v>
      </c>
      <c r="F2241" s="10" t="n">
        <v>0.2842063882095332</v>
      </c>
      <c r="G2241" s="11">
        <f>E2241*Summary!$B$6</f>
        <v/>
      </c>
      <c r="H2241" s="11">
        <f>F2241*Summary!$B$7</f>
        <v/>
      </c>
      <c r="I2241" s="11">
        <f>MAX(0,N2241-M2241)</f>
        <v/>
      </c>
      <c r="J2241" s="11">
        <f>MAX(0,M2241-N2241)</f>
        <v/>
      </c>
      <c r="K2241" s="11">
        <f>O2241</f>
        <v/>
      </c>
      <c r="L2241" s="11">
        <f>L2240+IF(K2241&gt;0,K2241*Summary!$B$9,K2241/Summary!$B$9)</f>
        <v/>
      </c>
      <c r="M2241" s="11">
        <f>G2241+H2241</f>
        <v/>
      </c>
      <c r="N2241" s="11">
        <f>Summary!$C$16*Summary!$B$8</f>
        <v/>
      </c>
      <c r="O2241" s="11">
        <f>M2241-N2241</f>
        <v/>
      </c>
    </row>
    <row r="2242">
      <c r="A2242" s="9" t="n">
        <v>45385.33333333334</v>
      </c>
      <c r="B2242" t="n">
        <v>4</v>
      </c>
      <c r="C2242" t="n">
        <v>3</v>
      </c>
      <c r="D2242" t="n">
        <v>8</v>
      </c>
      <c r="E2242" s="10" t="n">
        <v>0.153051</v>
      </c>
      <c r="F2242" s="10" t="n">
        <v>0.2581179019482964</v>
      </c>
      <c r="G2242" s="11">
        <f>E2242*Summary!$B$6</f>
        <v/>
      </c>
      <c r="H2242" s="11">
        <f>F2242*Summary!$B$7</f>
        <v/>
      </c>
      <c r="I2242" s="11">
        <f>MAX(0,N2242-M2242)</f>
        <v/>
      </c>
      <c r="J2242" s="11">
        <f>MAX(0,M2242-N2242)</f>
        <v/>
      </c>
      <c r="K2242" s="11">
        <f>O2242</f>
        <v/>
      </c>
      <c r="L2242" s="11">
        <f>L2241+IF(K2242&gt;0,K2242*Summary!$B$9,K2242/Summary!$B$9)</f>
        <v/>
      </c>
      <c r="M2242" s="11">
        <f>G2242+H2242</f>
        <v/>
      </c>
      <c r="N2242" s="11">
        <f>Summary!$C$16*Summary!$B$8</f>
        <v/>
      </c>
      <c r="O2242" s="11">
        <f>M2242-N2242</f>
        <v/>
      </c>
    </row>
    <row r="2243">
      <c r="A2243" s="9" t="n">
        <v>45385.375</v>
      </c>
      <c r="B2243" t="n">
        <v>4</v>
      </c>
      <c r="C2243" t="n">
        <v>3</v>
      </c>
      <c r="D2243" t="n">
        <v>9</v>
      </c>
      <c r="E2243" s="10" t="n">
        <v>0.169187</v>
      </c>
      <c r="F2243" s="10" t="n">
        <v>0.241726954014469</v>
      </c>
      <c r="G2243" s="11">
        <f>E2243*Summary!$B$6</f>
        <v/>
      </c>
      <c r="H2243" s="11">
        <f>F2243*Summary!$B$7</f>
        <v/>
      </c>
      <c r="I2243" s="11">
        <f>MAX(0,N2243-M2243)</f>
        <v/>
      </c>
      <c r="J2243" s="11">
        <f>MAX(0,M2243-N2243)</f>
        <v/>
      </c>
      <c r="K2243" s="11">
        <f>O2243</f>
        <v/>
      </c>
      <c r="L2243" s="11">
        <f>L2242+IF(K2243&gt;0,K2243*Summary!$B$9,K2243/Summary!$B$9)</f>
        <v/>
      </c>
      <c r="M2243" s="11">
        <f>G2243+H2243</f>
        <v/>
      </c>
      <c r="N2243" s="11">
        <f>Summary!$C$16*Summary!$B$8</f>
        <v/>
      </c>
      <c r="O2243" s="11">
        <f>M2243-N2243</f>
        <v/>
      </c>
    </row>
    <row r="2244">
      <c r="A2244" s="9" t="n">
        <v>45385.41666666666</v>
      </c>
      <c r="B2244" t="n">
        <v>4</v>
      </c>
      <c r="C2244" t="n">
        <v>3</v>
      </c>
      <c r="D2244" t="n">
        <v>10</v>
      </c>
      <c r="E2244" s="10" t="n">
        <v>0.217621</v>
      </c>
      <c r="F2244" s="10" t="n">
        <v>0.2250461340110722</v>
      </c>
      <c r="G2244" s="11">
        <f>E2244*Summary!$B$6</f>
        <v/>
      </c>
      <c r="H2244" s="11">
        <f>F2244*Summary!$B$7</f>
        <v/>
      </c>
      <c r="I2244" s="11">
        <f>MAX(0,N2244-M2244)</f>
        <v/>
      </c>
      <c r="J2244" s="11">
        <f>MAX(0,M2244-N2244)</f>
        <v/>
      </c>
      <c r="K2244" s="11">
        <f>O2244</f>
        <v/>
      </c>
      <c r="L2244" s="11">
        <f>L2243+IF(K2244&gt;0,K2244*Summary!$B$9,K2244/Summary!$B$9)</f>
        <v/>
      </c>
      <c r="M2244" s="11">
        <f>G2244+H2244</f>
        <v/>
      </c>
      <c r="N2244" s="11">
        <f>Summary!$C$16*Summary!$B$8</f>
        <v/>
      </c>
      <c r="O2244" s="11">
        <f>M2244-N2244</f>
        <v/>
      </c>
    </row>
    <row r="2245">
      <c r="A2245" s="9" t="n">
        <v>45385.45833333334</v>
      </c>
      <c r="B2245" t="n">
        <v>4</v>
      </c>
      <c r="C2245" t="n">
        <v>3</v>
      </c>
      <c r="D2245" t="n">
        <v>11</v>
      </c>
      <c r="E2245" s="10" t="n">
        <v>0.249419</v>
      </c>
      <c r="F2245" s="10" t="n">
        <v>0.2263900863336207</v>
      </c>
      <c r="G2245" s="11">
        <f>E2245*Summary!$B$6</f>
        <v/>
      </c>
      <c r="H2245" s="11">
        <f>F2245*Summary!$B$7</f>
        <v/>
      </c>
      <c r="I2245" s="11">
        <f>MAX(0,N2245-M2245)</f>
        <v/>
      </c>
      <c r="J2245" s="11">
        <f>MAX(0,M2245-N2245)</f>
        <v/>
      </c>
      <c r="K2245" s="11">
        <f>O2245</f>
        <v/>
      </c>
      <c r="L2245" s="11">
        <f>L2244+IF(K2245&gt;0,K2245*Summary!$B$9,K2245/Summary!$B$9)</f>
        <v/>
      </c>
      <c r="M2245" s="11">
        <f>G2245+H2245</f>
        <v/>
      </c>
      <c r="N2245" s="11">
        <f>Summary!$C$16*Summary!$B$8</f>
        <v/>
      </c>
      <c r="O2245" s="11">
        <f>M2245-N2245</f>
        <v/>
      </c>
    </row>
    <row r="2246">
      <c r="A2246" s="9" t="n">
        <v>45385.5</v>
      </c>
      <c r="B2246" t="n">
        <v>4</v>
      </c>
      <c r="C2246" t="n">
        <v>3</v>
      </c>
      <c r="D2246" t="n">
        <v>12</v>
      </c>
      <c r="E2246" s="10" t="n">
        <v>0.25805</v>
      </c>
      <c r="F2246" s="10" t="n">
        <v>0.2223318773596505</v>
      </c>
      <c r="G2246" s="11">
        <f>E2246*Summary!$B$6</f>
        <v/>
      </c>
      <c r="H2246" s="11">
        <f>F2246*Summary!$B$7</f>
        <v/>
      </c>
      <c r="I2246" s="11">
        <f>MAX(0,N2246-M2246)</f>
        <v/>
      </c>
      <c r="J2246" s="11">
        <f>MAX(0,M2246-N2246)</f>
        <v/>
      </c>
      <c r="K2246" s="11">
        <f>O2246</f>
        <v/>
      </c>
      <c r="L2246" s="11">
        <f>L2245+IF(K2246&gt;0,K2246*Summary!$B$9,K2246/Summary!$B$9)</f>
        <v/>
      </c>
      <c r="M2246" s="11">
        <f>G2246+H2246</f>
        <v/>
      </c>
      <c r="N2246" s="11">
        <f>Summary!$C$16*Summary!$B$8</f>
        <v/>
      </c>
      <c r="O2246" s="11">
        <f>M2246-N2246</f>
        <v/>
      </c>
    </row>
    <row r="2247">
      <c r="A2247" s="9" t="n">
        <v>45385.54166666666</v>
      </c>
      <c r="B2247" t="n">
        <v>4</v>
      </c>
      <c r="C2247" t="n">
        <v>3</v>
      </c>
      <c r="D2247" t="n">
        <v>13</v>
      </c>
      <c r="E2247" s="10" t="n">
        <v>0.408607</v>
      </c>
      <c r="F2247" s="10" t="n">
        <v>0.2317922476301394</v>
      </c>
      <c r="G2247" s="11">
        <f>E2247*Summary!$B$6</f>
        <v/>
      </c>
      <c r="H2247" s="11">
        <f>F2247*Summary!$B$7</f>
        <v/>
      </c>
      <c r="I2247" s="11">
        <f>MAX(0,N2247-M2247)</f>
        <v/>
      </c>
      <c r="J2247" s="11">
        <f>MAX(0,M2247-N2247)</f>
        <v/>
      </c>
      <c r="K2247" s="11">
        <f>O2247</f>
        <v/>
      </c>
      <c r="L2247" s="11">
        <f>L2246+IF(K2247&gt;0,K2247*Summary!$B$9,K2247/Summary!$B$9)</f>
        <v/>
      </c>
      <c r="M2247" s="11">
        <f>G2247+H2247</f>
        <v/>
      </c>
      <c r="N2247" s="11">
        <f>Summary!$C$16*Summary!$B$8</f>
        <v/>
      </c>
      <c r="O2247" s="11">
        <f>M2247-N2247</f>
        <v/>
      </c>
    </row>
    <row r="2248">
      <c r="A2248" s="9" t="n">
        <v>45385.58333333334</v>
      </c>
      <c r="B2248" t="n">
        <v>4</v>
      </c>
      <c r="C2248" t="n">
        <v>3</v>
      </c>
      <c r="D2248" t="n">
        <v>14</v>
      </c>
      <c r="E2248" s="10" t="n">
        <v>0.552968</v>
      </c>
      <c r="F2248" s="10" t="n">
        <v>0.2433344264002623</v>
      </c>
      <c r="G2248" s="11">
        <f>E2248*Summary!$B$6</f>
        <v/>
      </c>
      <c r="H2248" s="11">
        <f>F2248*Summary!$B$7</f>
        <v/>
      </c>
      <c r="I2248" s="11">
        <f>MAX(0,N2248-M2248)</f>
        <v/>
      </c>
      <c r="J2248" s="11">
        <f>MAX(0,M2248-N2248)</f>
        <v/>
      </c>
      <c r="K2248" s="11">
        <f>O2248</f>
        <v/>
      </c>
      <c r="L2248" s="11">
        <f>L2247+IF(K2248&gt;0,K2248*Summary!$B$9,K2248/Summary!$B$9)</f>
        <v/>
      </c>
      <c r="M2248" s="11">
        <f>G2248+H2248</f>
        <v/>
      </c>
      <c r="N2248" s="11">
        <f>Summary!$C$16*Summary!$B$8</f>
        <v/>
      </c>
      <c r="O2248" s="11">
        <f>M2248-N2248</f>
        <v/>
      </c>
    </row>
    <row r="2249">
      <c r="A2249" s="9" t="n">
        <v>45385.625</v>
      </c>
      <c r="B2249" t="n">
        <v>4</v>
      </c>
      <c r="C2249" t="n">
        <v>3</v>
      </c>
      <c r="D2249" t="n">
        <v>15</v>
      </c>
      <c r="E2249" s="10" t="n">
        <v>0.413224</v>
      </c>
      <c r="F2249" s="10" t="n">
        <v>0.2585658860558127</v>
      </c>
      <c r="G2249" s="11">
        <f>E2249*Summary!$B$6</f>
        <v/>
      </c>
      <c r="H2249" s="11">
        <f>F2249*Summary!$B$7</f>
        <v/>
      </c>
      <c r="I2249" s="11">
        <f>MAX(0,N2249-M2249)</f>
        <v/>
      </c>
      <c r="J2249" s="11">
        <f>MAX(0,M2249-N2249)</f>
        <v/>
      </c>
      <c r="K2249" s="11">
        <f>O2249</f>
        <v/>
      </c>
      <c r="L2249" s="11">
        <f>L2248+IF(K2249&gt;0,K2249*Summary!$B$9,K2249/Summary!$B$9)</f>
        <v/>
      </c>
      <c r="M2249" s="11">
        <f>G2249+H2249</f>
        <v/>
      </c>
      <c r="N2249" s="11">
        <f>Summary!$C$16*Summary!$B$8</f>
        <v/>
      </c>
      <c r="O2249" s="11">
        <f>M2249-N2249</f>
        <v/>
      </c>
    </row>
    <row r="2250">
      <c r="A2250" s="9" t="n">
        <v>45385.66666666666</v>
      </c>
      <c r="B2250" t="n">
        <v>4</v>
      </c>
      <c r="C2250" t="n">
        <v>3</v>
      </c>
      <c r="D2250" t="n">
        <v>16</v>
      </c>
      <c r="E2250" s="10" t="n">
        <v>0.23225</v>
      </c>
      <c r="F2250" s="10" t="n">
        <v>0.2601997104479305</v>
      </c>
      <c r="G2250" s="11">
        <f>E2250*Summary!$B$6</f>
        <v/>
      </c>
      <c r="H2250" s="11">
        <f>F2250*Summary!$B$7</f>
        <v/>
      </c>
      <c r="I2250" s="11">
        <f>MAX(0,N2250-M2250)</f>
        <v/>
      </c>
      <c r="J2250" s="11">
        <f>MAX(0,M2250-N2250)</f>
        <v/>
      </c>
      <c r="K2250" s="11">
        <f>O2250</f>
        <v/>
      </c>
      <c r="L2250" s="11">
        <f>L2249+IF(K2250&gt;0,K2250*Summary!$B$9,K2250/Summary!$B$9)</f>
        <v/>
      </c>
      <c r="M2250" s="11">
        <f>G2250+H2250</f>
        <v/>
      </c>
      <c r="N2250" s="11">
        <f>Summary!$C$16*Summary!$B$8</f>
        <v/>
      </c>
      <c r="O2250" s="11">
        <f>M2250-N2250</f>
        <v/>
      </c>
    </row>
    <row r="2251">
      <c r="A2251" s="9" t="n">
        <v>45385.70833333334</v>
      </c>
      <c r="B2251" t="n">
        <v>4</v>
      </c>
      <c r="C2251" t="n">
        <v>3</v>
      </c>
      <c r="D2251" t="n">
        <v>17</v>
      </c>
      <c r="E2251" s="10" t="n">
        <v>0.070481</v>
      </c>
      <c r="F2251" s="10" t="n">
        <v>0.2636518232764376</v>
      </c>
      <c r="G2251" s="11">
        <f>E2251*Summary!$B$6</f>
        <v/>
      </c>
      <c r="H2251" s="11">
        <f>F2251*Summary!$B$7</f>
        <v/>
      </c>
      <c r="I2251" s="11">
        <f>MAX(0,N2251-M2251)</f>
        <v/>
      </c>
      <c r="J2251" s="11">
        <f>MAX(0,M2251-N2251)</f>
        <v/>
      </c>
      <c r="K2251" s="11">
        <f>O2251</f>
        <v/>
      </c>
      <c r="L2251" s="11">
        <f>L2250+IF(K2251&gt;0,K2251*Summary!$B$9,K2251/Summary!$B$9)</f>
        <v/>
      </c>
      <c r="M2251" s="11">
        <f>G2251+H2251</f>
        <v/>
      </c>
      <c r="N2251" s="11">
        <f>Summary!$C$16*Summary!$B$8</f>
        <v/>
      </c>
      <c r="O2251" s="11">
        <f>M2251-N2251</f>
        <v/>
      </c>
    </row>
    <row r="2252">
      <c r="A2252" s="9" t="n">
        <v>45385.75</v>
      </c>
      <c r="B2252" t="n">
        <v>4</v>
      </c>
      <c r="C2252" t="n">
        <v>3</v>
      </c>
      <c r="D2252" t="n">
        <v>18</v>
      </c>
      <c r="E2252" s="10" t="n">
        <v>0.008222</v>
      </c>
      <c r="F2252" s="10" t="n">
        <v>0.2800427712102651</v>
      </c>
      <c r="G2252" s="11">
        <f>E2252*Summary!$B$6</f>
        <v/>
      </c>
      <c r="H2252" s="11">
        <f>F2252*Summary!$B$7</f>
        <v/>
      </c>
      <c r="I2252" s="11">
        <f>MAX(0,N2252-M2252)</f>
        <v/>
      </c>
      <c r="J2252" s="11">
        <f>MAX(0,M2252-N2252)</f>
        <v/>
      </c>
      <c r="K2252" s="11">
        <f>O2252</f>
        <v/>
      </c>
      <c r="L2252" s="11">
        <f>L2251+IF(K2252&gt;0,K2252*Summary!$B$9,K2252/Summary!$B$9)</f>
        <v/>
      </c>
      <c r="M2252" s="11">
        <f>G2252+H2252</f>
        <v/>
      </c>
      <c r="N2252" s="11">
        <f>Summary!$C$16*Summary!$B$8</f>
        <v/>
      </c>
      <c r="O2252" s="11">
        <f>M2252-N2252</f>
        <v/>
      </c>
    </row>
    <row r="2253">
      <c r="A2253" s="9" t="n">
        <v>45385.79166666666</v>
      </c>
      <c r="B2253" t="n">
        <v>4</v>
      </c>
      <c r="C2253" t="n">
        <v>3</v>
      </c>
      <c r="D2253" t="n">
        <v>19</v>
      </c>
      <c r="E2253" s="10" t="n">
        <v>0</v>
      </c>
      <c r="F2253" s="10" t="n">
        <v>0.3074225057814014</v>
      </c>
      <c r="G2253" s="11">
        <f>E2253*Summary!$B$6</f>
        <v/>
      </c>
      <c r="H2253" s="11">
        <f>F2253*Summary!$B$7</f>
        <v/>
      </c>
      <c r="I2253" s="11">
        <f>MAX(0,N2253-M2253)</f>
        <v/>
      </c>
      <c r="J2253" s="11">
        <f>MAX(0,M2253-N2253)</f>
        <v/>
      </c>
      <c r="K2253" s="11">
        <f>O2253</f>
        <v/>
      </c>
      <c r="L2253" s="11">
        <f>L2252+IF(K2253&gt;0,K2253*Summary!$B$9,K2253/Summary!$B$9)</f>
        <v/>
      </c>
      <c r="M2253" s="11">
        <f>G2253+H2253</f>
        <v/>
      </c>
      <c r="N2253" s="11">
        <f>Summary!$C$16*Summary!$B$8</f>
        <v/>
      </c>
      <c r="O2253" s="11">
        <f>M2253-N2253</f>
        <v/>
      </c>
    </row>
    <row r="2254">
      <c r="A2254" s="9" t="n">
        <v>45385.83333333334</v>
      </c>
      <c r="B2254" t="n">
        <v>4</v>
      </c>
      <c r="C2254" t="n">
        <v>3</v>
      </c>
      <c r="D2254" t="n">
        <v>20</v>
      </c>
      <c r="E2254" s="10" t="n">
        <v>0</v>
      </c>
      <c r="F2254" s="10" t="n">
        <v>0.3095570182936844</v>
      </c>
      <c r="G2254" s="11">
        <f>E2254*Summary!$B$6</f>
        <v/>
      </c>
      <c r="H2254" s="11">
        <f>F2254*Summary!$B$7</f>
        <v/>
      </c>
      <c r="I2254" s="11">
        <f>MAX(0,N2254-M2254)</f>
        <v/>
      </c>
      <c r="J2254" s="11">
        <f>MAX(0,M2254-N2254)</f>
        <v/>
      </c>
      <c r="K2254" s="11">
        <f>O2254</f>
        <v/>
      </c>
      <c r="L2254" s="11">
        <f>L2253+IF(K2254&gt;0,K2254*Summary!$B$9,K2254/Summary!$B$9)</f>
        <v/>
      </c>
      <c r="M2254" s="11">
        <f>G2254+H2254</f>
        <v/>
      </c>
      <c r="N2254" s="11">
        <f>Summary!$C$16*Summary!$B$8</f>
        <v/>
      </c>
      <c r="O2254" s="11">
        <f>M2254-N2254</f>
        <v/>
      </c>
    </row>
    <row r="2255">
      <c r="A2255" s="9" t="n">
        <v>45385.875</v>
      </c>
      <c r="B2255" t="n">
        <v>4</v>
      </c>
      <c r="C2255" t="n">
        <v>3</v>
      </c>
      <c r="D2255" t="n">
        <v>21</v>
      </c>
      <c r="E2255" s="10" t="n">
        <v>0</v>
      </c>
      <c r="F2255" s="10" t="n">
        <v>0.3197815967475832</v>
      </c>
      <c r="G2255" s="11">
        <f>E2255*Summary!$B$6</f>
        <v/>
      </c>
      <c r="H2255" s="11">
        <f>F2255*Summary!$B$7</f>
        <v/>
      </c>
      <c r="I2255" s="11">
        <f>MAX(0,N2255-M2255)</f>
        <v/>
      </c>
      <c r="J2255" s="11">
        <f>MAX(0,M2255-N2255)</f>
        <v/>
      </c>
      <c r="K2255" s="11">
        <f>O2255</f>
        <v/>
      </c>
      <c r="L2255" s="11">
        <f>L2254+IF(K2255&gt;0,K2255*Summary!$B$9,K2255/Summary!$B$9)</f>
        <v/>
      </c>
      <c r="M2255" s="11">
        <f>G2255+H2255</f>
        <v/>
      </c>
      <c r="N2255" s="11">
        <f>Summary!$C$16*Summary!$B$8</f>
        <v/>
      </c>
      <c r="O2255" s="11">
        <f>M2255-N2255</f>
        <v/>
      </c>
    </row>
    <row r="2256">
      <c r="A2256" s="9" t="n">
        <v>45385.91666666666</v>
      </c>
      <c r="B2256" t="n">
        <v>4</v>
      </c>
      <c r="C2256" t="n">
        <v>3</v>
      </c>
      <c r="D2256" t="n">
        <v>22</v>
      </c>
      <c r="E2256" s="10" t="n">
        <v>0</v>
      </c>
      <c r="F2256" s="10" t="n">
        <v>0.3237607497025799</v>
      </c>
      <c r="G2256" s="11">
        <f>E2256*Summary!$B$6</f>
        <v/>
      </c>
      <c r="H2256" s="11">
        <f>F2256*Summary!$B$7</f>
        <v/>
      </c>
      <c r="I2256" s="11">
        <f>MAX(0,N2256-M2256)</f>
        <v/>
      </c>
      <c r="J2256" s="11">
        <f>MAX(0,M2256-N2256)</f>
        <v/>
      </c>
      <c r="K2256" s="11">
        <f>O2256</f>
        <v/>
      </c>
      <c r="L2256" s="11">
        <f>L2255+IF(K2256&gt;0,K2256*Summary!$B$9,K2256/Summary!$B$9)</f>
        <v/>
      </c>
      <c r="M2256" s="11">
        <f>G2256+H2256</f>
        <v/>
      </c>
      <c r="N2256" s="11">
        <f>Summary!$C$16*Summary!$B$8</f>
        <v/>
      </c>
      <c r="O2256" s="11">
        <f>M2256-N2256</f>
        <v/>
      </c>
    </row>
    <row r="2257">
      <c r="A2257" s="9" t="n">
        <v>45385.95833333334</v>
      </c>
      <c r="B2257" t="n">
        <v>4</v>
      </c>
      <c r="C2257" t="n">
        <v>3</v>
      </c>
      <c r="D2257" t="n">
        <v>23</v>
      </c>
      <c r="E2257" s="10" t="n">
        <v>0</v>
      </c>
      <c r="F2257" s="10" t="n">
        <v>0.3209674370321849</v>
      </c>
      <c r="G2257" s="11">
        <f>E2257*Summary!$B$6</f>
        <v/>
      </c>
      <c r="H2257" s="11">
        <f>F2257*Summary!$B$7</f>
        <v/>
      </c>
      <c r="I2257" s="11">
        <f>MAX(0,N2257-M2257)</f>
        <v/>
      </c>
      <c r="J2257" s="11">
        <f>MAX(0,M2257-N2257)</f>
        <v/>
      </c>
      <c r="K2257" s="11">
        <f>O2257</f>
        <v/>
      </c>
      <c r="L2257" s="11">
        <f>L2256+IF(K2257&gt;0,K2257*Summary!$B$9,K2257/Summary!$B$9)</f>
        <v/>
      </c>
      <c r="M2257" s="11">
        <f>G2257+H2257</f>
        <v/>
      </c>
      <c r="N2257" s="11">
        <f>Summary!$C$16*Summary!$B$8</f>
        <v/>
      </c>
      <c r="O2257" s="11">
        <f>M2257-N2257</f>
        <v/>
      </c>
    </row>
    <row r="2258">
      <c r="A2258" s="9" t="n">
        <v>45386</v>
      </c>
      <c r="B2258" t="n">
        <v>4</v>
      </c>
      <c r="C2258" t="n">
        <v>4</v>
      </c>
      <c r="D2258" t="n">
        <v>0</v>
      </c>
      <c r="E2258" s="10" t="n">
        <v>0</v>
      </c>
      <c r="F2258" s="10" t="n">
        <v>0.383474396033855</v>
      </c>
      <c r="G2258" s="11">
        <f>E2258*Summary!$B$6</f>
        <v/>
      </c>
      <c r="H2258" s="11">
        <f>F2258*Summary!$B$7</f>
        <v/>
      </c>
      <c r="I2258" s="11">
        <f>MAX(0,N2258-M2258)</f>
        <v/>
      </c>
      <c r="J2258" s="11">
        <f>MAX(0,M2258-N2258)</f>
        <v/>
      </c>
      <c r="K2258" s="11">
        <f>O2258</f>
        <v/>
      </c>
      <c r="L2258" s="11">
        <f>L2257+IF(K2258&gt;0,K2258*Summary!$B$9,K2258/Summary!$B$9)</f>
        <v/>
      </c>
      <c r="M2258" s="11">
        <f>G2258+H2258</f>
        <v/>
      </c>
      <c r="N2258" s="11">
        <f>Summary!$C$16*Summary!$B$8</f>
        <v/>
      </c>
      <c r="O2258" s="11">
        <f>M2258-N2258</f>
        <v/>
      </c>
    </row>
    <row r="2259">
      <c r="A2259" s="9" t="n">
        <v>45386.04166666666</v>
      </c>
      <c r="B2259" t="n">
        <v>4</v>
      </c>
      <c r="C2259" t="n">
        <v>4</v>
      </c>
      <c r="D2259" t="n">
        <v>1</v>
      </c>
      <c r="E2259" s="10" t="n">
        <v>0</v>
      </c>
      <c r="F2259" s="10" t="n">
        <v>0.3291892630054231</v>
      </c>
      <c r="G2259" s="11">
        <f>E2259*Summary!$B$6</f>
        <v/>
      </c>
      <c r="H2259" s="11">
        <f>F2259*Summary!$B$7</f>
        <v/>
      </c>
      <c r="I2259" s="11">
        <f>MAX(0,N2259-M2259)</f>
        <v/>
      </c>
      <c r="J2259" s="11">
        <f>MAX(0,M2259-N2259)</f>
        <v/>
      </c>
      <c r="K2259" s="11">
        <f>O2259</f>
        <v/>
      </c>
      <c r="L2259" s="11">
        <f>L2258+IF(K2259&gt;0,K2259*Summary!$B$9,K2259/Summary!$B$9)</f>
        <v/>
      </c>
      <c r="M2259" s="11">
        <f>G2259+H2259</f>
        <v/>
      </c>
      <c r="N2259" s="11">
        <f>Summary!$C$16*Summary!$B$8</f>
        <v/>
      </c>
      <c r="O2259" s="11">
        <f>M2259-N2259</f>
        <v/>
      </c>
    </row>
    <row r="2260">
      <c r="A2260" s="9" t="n">
        <v>45386.08333333334</v>
      </c>
      <c r="B2260" t="n">
        <v>4</v>
      </c>
      <c r="C2260" t="n">
        <v>4</v>
      </c>
      <c r="D2260" t="n">
        <v>2</v>
      </c>
      <c r="E2260" s="10" t="n">
        <v>0</v>
      </c>
      <c r="F2260" s="10" t="n">
        <v>0.3340380321691278</v>
      </c>
      <c r="G2260" s="11">
        <f>E2260*Summary!$B$6</f>
        <v/>
      </c>
      <c r="H2260" s="11">
        <f>F2260*Summary!$B$7</f>
        <v/>
      </c>
      <c r="I2260" s="11">
        <f>MAX(0,N2260-M2260)</f>
        <v/>
      </c>
      <c r="J2260" s="11">
        <f>MAX(0,M2260-N2260)</f>
        <v/>
      </c>
      <c r="K2260" s="11">
        <f>O2260</f>
        <v/>
      </c>
      <c r="L2260" s="11">
        <f>L2259+IF(K2260&gt;0,K2260*Summary!$B$9,K2260/Summary!$B$9)</f>
        <v/>
      </c>
      <c r="M2260" s="11">
        <f>G2260+H2260</f>
        <v/>
      </c>
      <c r="N2260" s="11">
        <f>Summary!$C$16*Summary!$B$8</f>
        <v/>
      </c>
      <c r="O2260" s="11">
        <f>M2260-N2260</f>
        <v/>
      </c>
    </row>
    <row r="2261">
      <c r="A2261" s="9" t="n">
        <v>45386.125</v>
      </c>
      <c r="B2261" t="n">
        <v>4</v>
      </c>
      <c r="C2261" t="n">
        <v>4</v>
      </c>
      <c r="D2261" t="n">
        <v>3</v>
      </c>
      <c r="E2261" s="10" t="n">
        <v>0</v>
      </c>
      <c r="F2261" s="10" t="n">
        <v>0.3484525796286191</v>
      </c>
      <c r="G2261" s="11">
        <f>E2261*Summary!$B$6</f>
        <v/>
      </c>
      <c r="H2261" s="11">
        <f>F2261*Summary!$B$7</f>
        <v/>
      </c>
      <c r="I2261" s="11">
        <f>MAX(0,N2261-M2261)</f>
        <v/>
      </c>
      <c r="J2261" s="11">
        <f>MAX(0,M2261-N2261)</f>
        <v/>
      </c>
      <c r="K2261" s="11">
        <f>O2261</f>
        <v/>
      </c>
      <c r="L2261" s="11">
        <f>L2260+IF(K2261&gt;0,K2261*Summary!$B$9,K2261/Summary!$B$9)</f>
        <v/>
      </c>
      <c r="M2261" s="11">
        <f>G2261+H2261</f>
        <v/>
      </c>
      <c r="N2261" s="11">
        <f>Summary!$C$16*Summary!$B$8</f>
        <v/>
      </c>
      <c r="O2261" s="11">
        <f>M2261-N2261</f>
        <v/>
      </c>
    </row>
    <row r="2262">
      <c r="A2262" s="9" t="n">
        <v>45386.16666666666</v>
      </c>
      <c r="B2262" t="n">
        <v>4</v>
      </c>
      <c r="C2262" t="n">
        <v>4</v>
      </c>
      <c r="D2262" t="n">
        <v>4</v>
      </c>
      <c r="E2262" s="10" t="n">
        <v>0</v>
      </c>
      <c r="F2262" s="10" t="n">
        <v>0.3613914147339395</v>
      </c>
      <c r="G2262" s="11">
        <f>E2262*Summary!$B$6</f>
        <v/>
      </c>
      <c r="H2262" s="11">
        <f>F2262*Summary!$B$7</f>
        <v/>
      </c>
      <c r="I2262" s="11">
        <f>MAX(0,N2262-M2262)</f>
        <v/>
      </c>
      <c r="J2262" s="11">
        <f>MAX(0,M2262-N2262)</f>
        <v/>
      </c>
      <c r="K2262" s="11">
        <f>O2262</f>
        <v/>
      </c>
      <c r="L2262" s="11">
        <f>L2261+IF(K2262&gt;0,K2262*Summary!$B$9,K2262/Summary!$B$9)</f>
        <v/>
      </c>
      <c r="M2262" s="11">
        <f>G2262+H2262</f>
        <v/>
      </c>
      <c r="N2262" s="11">
        <f>Summary!$C$16*Summary!$B$8</f>
        <v/>
      </c>
      <c r="O2262" s="11">
        <f>M2262-N2262</f>
        <v/>
      </c>
    </row>
    <row r="2263">
      <c r="A2263" s="9" t="n">
        <v>45386.20833333334</v>
      </c>
      <c r="B2263" t="n">
        <v>4</v>
      </c>
      <c r="C2263" t="n">
        <v>4</v>
      </c>
      <c r="D2263" t="n">
        <v>5</v>
      </c>
      <c r="E2263" s="10" t="n">
        <v>0</v>
      </c>
      <c r="F2263" s="10" t="n">
        <v>0.3697450007388001</v>
      </c>
      <c r="G2263" s="11">
        <f>E2263*Summary!$B$6</f>
        <v/>
      </c>
      <c r="H2263" s="11">
        <f>F2263*Summary!$B$7</f>
        <v/>
      </c>
      <c r="I2263" s="11">
        <f>MAX(0,N2263-M2263)</f>
        <v/>
      </c>
      <c r="J2263" s="11">
        <f>MAX(0,M2263-N2263)</f>
        <v/>
      </c>
      <c r="K2263" s="11">
        <f>O2263</f>
        <v/>
      </c>
      <c r="L2263" s="11">
        <f>L2262+IF(K2263&gt;0,K2263*Summary!$B$9,K2263/Summary!$B$9)</f>
        <v/>
      </c>
      <c r="M2263" s="11">
        <f>G2263+H2263</f>
        <v/>
      </c>
      <c r="N2263" s="11">
        <f>Summary!$C$16*Summary!$B$8</f>
        <v/>
      </c>
      <c r="O2263" s="11">
        <f>M2263-N2263</f>
        <v/>
      </c>
    </row>
    <row r="2264">
      <c r="A2264" s="9" t="n">
        <v>45386.25</v>
      </c>
      <c r="B2264" t="n">
        <v>4</v>
      </c>
      <c r="C2264" t="n">
        <v>4</v>
      </c>
      <c r="D2264" t="n">
        <v>6</v>
      </c>
      <c r="E2264" s="10" t="n">
        <v>0.017661</v>
      </c>
      <c r="F2264" s="10" t="n">
        <v>0.3631833511640043</v>
      </c>
      <c r="G2264" s="11">
        <f>E2264*Summary!$B$6</f>
        <v/>
      </c>
      <c r="H2264" s="11">
        <f>F2264*Summary!$B$7</f>
        <v/>
      </c>
      <c r="I2264" s="11">
        <f>MAX(0,N2264-M2264)</f>
        <v/>
      </c>
      <c r="J2264" s="11">
        <f>MAX(0,M2264-N2264)</f>
        <v/>
      </c>
      <c r="K2264" s="11">
        <f>O2264</f>
        <v/>
      </c>
      <c r="L2264" s="11">
        <f>L2263+IF(K2264&gt;0,K2264*Summary!$B$9,K2264/Summary!$B$9)</f>
        <v/>
      </c>
      <c r="M2264" s="11">
        <f>G2264+H2264</f>
        <v/>
      </c>
      <c r="N2264" s="11">
        <f>Summary!$C$16*Summary!$B$8</f>
        <v/>
      </c>
      <c r="O2264" s="11">
        <f>M2264-N2264</f>
        <v/>
      </c>
    </row>
    <row r="2265">
      <c r="A2265" s="9" t="n">
        <v>45386.29166666666</v>
      </c>
      <c r="B2265" t="n">
        <v>4</v>
      </c>
      <c r="C2265" t="n">
        <v>4</v>
      </c>
      <c r="D2265" t="n">
        <v>7</v>
      </c>
      <c r="E2265" s="10" t="n">
        <v>0.034192</v>
      </c>
      <c r="F2265" s="10" t="n">
        <v>0.3428659542878291</v>
      </c>
      <c r="G2265" s="11">
        <f>E2265*Summary!$B$6</f>
        <v/>
      </c>
      <c r="H2265" s="11">
        <f>F2265*Summary!$B$7</f>
        <v/>
      </c>
      <c r="I2265" s="11">
        <f>MAX(0,N2265-M2265)</f>
        <v/>
      </c>
      <c r="J2265" s="11">
        <f>MAX(0,M2265-N2265)</f>
        <v/>
      </c>
      <c r="K2265" s="11">
        <f>O2265</f>
        <v/>
      </c>
      <c r="L2265" s="11">
        <f>L2264+IF(K2265&gt;0,K2265*Summary!$B$9,K2265/Summary!$B$9)</f>
        <v/>
      </c>
      <c r="M2265" s="11">
        <f>G2265+H2265</f>
        <v/>
      </c>
      <c r="N2265" s="11">
        <f>Summary!$C$16*Summary!$B$8</f>
        <v/>
      </c>
      <c r="O2265" s="11">
        <f>M2265-N2265</f>
        <v/>
      </c>
    </row>
    <row r="2266">
      <c r="A2266" s="9" t="n">
        <v>45386.33333333334</v>
      </c>
      <c r="B2266" t="n">
        <v>4</v>
      </c>
      <c r="C2266" t="n">
        <v>4</v>
      </c>
      <c r="D2266" t="n">
        <v>8</v>
      </c>
      <c r="E2266" s="10" t="n">
        <v>0.094393</v>
      </c>
      <c r="F2266" s="10" t="n">
        <v>0.3253155180757243</v>
      </c>
      <c r="G2266" s="11">
        <f>E2266*Summary!$B$6</f>
        <v/>
      </c>
      <c r="H2266" s="11">
        <f>F2266*Summary!$B$7</f>
        <v/>
      </c>
      <c r="I2266" s="11">
        <f>MAX(0,N2266-M2266)</f>
        <v/>
      </c>
      <c r="J2266" s="11">
        <f>MAX(0,M2266-N2266)</f>
        <v/>
      </c>
      <c r="K2266" s="11">
        <f>O2266</f>
        <v/>
      </c>
      <c r="L2266" s="11">
        <f>L2265+IF(K2266&gt;0,K2266*Summary!$B$9,K2266/Summary!$B$9)</f>
        <v/>
      </c>
      <c r="M2266" s="11">
        <f>G2266+H2266</f>
        <v/>
      </c>
      <c r="N2266" s="11">
        <f>Summary!$C$16*Summary!$B$8</f>
        <v/>
      </c>
      <c r="O2266" s="11">
        <f>M2266-N2266</f>
        <v/>
      </c>
    </row>
    <row r="2267">
      <c r="A2267" s="9" t="n">
        <v>45386.375</v>
      </c>
      <c r="B2267" t="n">
        <v>4</v>
      </c>
      <c r="C2267" t="n">
        <v>4</v>
      </c>
      <c r="D2267" t="n">
        <v>9</v>
      </c>
      <c r="E2267" s="10" t="n">
        <v>0.104972</v>
      </c>
      <c r="F2267" s="10" t="n">
        <v>0.3242877898290696</v>
      </c>
      <c r="G2267" s="11">
        <f>E2267*Summary!$B$6</f>
        <v/>
      </c>
      <c r="H2267" s="11">
        <f>F2267*Summary!$B$7</f>
        <v/>
      </c>
      <c r="I2267" s="11">
        <f>MAX(0,N2267-M2267)</f>
        <v/>
      </c>
      <c r="J2267" s="11">
        <f>MAX(0,M2267-N2267)</f>
        <v/>
      </c>
      <c r="K2267" s="11">
        <f>O2267</f>
        <v/>
      </c>
      <c r="L2267" s="11">
        <f>L2266+IF(K2267&gt;0,K2267*Summary!$B$9,K2267/Summary!$B$9)</f>
        <v/>
      </c>
      <c r="M2267" s="11">
        <f>G2267+H2267</f>
        <v/>
      </c>
      <c r="N2267" s="11">
        <f>Summary!$C$16*Summary!$B$8</f>
        <v/>
      </c>
      <c r="O2267" s="11">
        <f>M2267-N2267</f>
        <v/>
      </c>
    </row>
    <row r="2268">
      <c r="A2268" s="9" t="n">
        <v>45386.41666666666</v>
      </c>
      <c r="B2268" t="n">
        <v>4</v>
      </c>
      <c r="C2268" t="n">
        <v>4</v>
      </c>
      <c r="D2268" t="n">
        <v>10</v>
      </c>
      <c r="E2268" s="10" t="n">
        <v>0.195452</v>
      </c>
      <c r="F2268" s="10" t="n">
        <v>0.3288730389295293</v>
      </c>
      <c r="G2268" s="11">
        <f>E2268*Summary!$B$6</f>
        <v/>
      </c>
      <c r="H2268" s="11">
        <f>F2268*Summary!$B$7</f>
        <v/>
      </c>
      <c r="I2268" s="11">
        <f>MAX(0,N2268-M2268)</f>
        <v/>
      </c>
      <c r="J2268" s="11">
        <f>MAX(0,M2268-N2268)</f>
        <v/>
      </c>
      <c r="K2268" s="11">
        <f>O2268</f>
        <v/>
      </c>
      <c r="L2268" s="11">
        <f>L2267+IF(K2268&gt;0,K2268*Summary!$B$9,K2268/Summary!$B$9)</f>
        <v/>
      </c>
      <c r="M2268" s="11">
        <f>G2268+H2268</f>
        <v/>
      </c>
      <c r="N2268" s="11">
        <f>Summary!$C$16*Summary!$B$8</f>
        <v/>
      </c>
      <c r="O2268" s="11">
        <f>M2268-N2268</f>
        <v/>
      </c>
    </row>
    <row r="2269">
      <c r="A2269" s="9" t="n">
        <v>45386.45833333334</v>
      </c>
      <c r="B2269" t="n">
        <v>4</v>
      </c>
      <c r="C2269" t="n">
        <v>4</v>
      </c>
      <c r="D2269" t="n">
        <v>11</v>
      </c>
      <c r="E2269" s="10" t="n">
        <v>0.09859800000000001</v>
      </c>
      <c r="F2269" s="10" t="n">
        <v>0.3346177763082663</v>
      </c>
      <c r="G2269" s="11">
        <f>E2269*Summary!$B$6</f>
        <v/>
      </c>
      <c r="H2269" s="11">
        <f>F2269*Summary!$B$7</f>
        <v/>
      </c>
      <c r="I2269" s="11">
        <f>MAX(0,N2269-M2269)</f>
        <v/>
      </c>
      <c r="J2269" s="11">
        <f>MAX(0,M2269-N2269)</f>
        <v/>
      </c>
      <c r="K2269" s="11">
        <f>O2269</f>
        <v/>
      </c>
      <c r="L2269" s="11">
        <f>L2268+IF(K2269&gt;0,K2269*Summary!$B$9,K2269/Summary!$B$9)</f>
        <v/>
      </c>
      <c r="M2269" s="11">
        <f>G2269+H2269</f>
        <v/>
      </c>
      <c r="N2269" s="11">
        <f>Summary!$C$16*Summary!$B$8</f>
        <v/>
      </c>
      <c r="O2269" s="11">
        <f>M2269-N2269</f>
        <v/>
      </c>
    </row>
    <row r="2270">
      <c r="A2270" s="9" t="n">
        <v>45386.5</v>
      </c>
      <c r="B2270" t="n">
        <v>4</v>
      </c>
      <c r="C2270" t="n">
        <v>4</v>
      </c>
      <c r="D2270" t="n">
        <v>12</v>
      </c>
      <c r="E2270" s="10" t="n">
        <v>0.198213</v>
      </c>
      <c r="F2270" s="10" t="n">
        <v>0.3418909300538231</v>
      </c>
      <c r="G2270" s="11">
        <f>E2270*Summary!$B$6</f>
        <v/>
      </c>
      <c r="H2270" s="11">
        <f>F2270*Summary!$B$7</f>
        <v/>
      </c>
      <c r="I2270" s="11">
        <f>MAX(0,N2270-M2270)</f>
        <v/>
      </c>
      <c r="J2270" s="11">
        <f>MAX(0,M2270-N2270)</f>
        <v/>
      </c>
      <c r="K2270" s="11">
        <f>O2270</f>
        <v/>
      </c>
      <c r="L2270" s="11">
        <f>L2269+IF(K2270&gt;0,K2270*Summary!$B$9,K2270/Summary!$B$9)</f>
        <v/>
      </c>
      <c r="M2270" s="11">
        <f>G2270+H2270</f>
        <v/>
      </c>
      <c r="N2270" s="11">
        <f>Summary!$C$16*Summary!$B$8</f>
        <v/>
      </c>
      <c r="O2270" s="11">
        <f>M2270-N2270</f>
        <v/>
      </c>
    </row>
    <row r="2271">
      <c r="A2271" s="9" t="n">
        <v>45386.54166666666</v>
      </c>
      <c r="B2271" t="n">
        <v>4</v>
      </c>
      <c r="C2271" t="n">
        <v>4</v>
      </c>
      <c r="D2271" t="n">
        <v>13</v>
      </c>
      <c r="E2271" s="10" t="n">
        <v>0.143143</v>
      </c>
      <c r="F2271" s="10" t="n">
        <v>0.3504816841156042</v>
      </c>
      <c r="G2271" s="11">
        <f>E2271*Summary!$B$6</f>
        <v/>
      </c>
      <c r="H2271" s="11">
        <f>F2271*Summary!$B$7</f>
        <v/>
      </c>
      <c r="I2271" s="11">
        <f>MAX(0,N2271-M2271)</f>
        <v/>
      </c>
      <c r="J2271" s="11">
        <f>MAX(0,M2271-N2271)</f>
        <v/>
      </c>
      <c r="K2271" s="11">
        <f>O2271</f>
        <v/>
      </c>
      <c r="L2271" s="11">
        <f>L2270+IF(K2271&gt;0,K2271*Summary!$B$9,K2271/Summary!$B$9)</f>
        <v/>
      </c>
      <c r="M2271" s="11">
        <f>G2271+H2271</f>
        <v/>
      </c>
      <c r="N2271" s="11">
        <f>Summary!$C$16*Summary!$B$8</f>
        <v/>
      </c>
      <c r="O2271" s="11">
        <f>M2271-N2271</f>
        <v/>
      </c>
    </row>
    <row r="2272">
      <c r="A2272" s="9" t="n">
        <v>45386.58333333334</v>
      </c>
      <c r="B2272" t="n">
        <v>4</v>
      </c>
      <c r="C2272" t="n">
        <v>4</v>
      </c>
      <c r="D2272" t="n">
        <v>14</v>
      </c>
      <c r="E2272" s="10" t="n">
        <v>0.073398</v>
      </c>
      <c r="F2272" s="10" t="n">
        <v>0.3584136380192731</v>
      </c>
      <c r="G2272" s="11">
        <f>E2272*Summary!$B$6</f>
        <v/>
      </c>
      <c r="H2272" s="11">
        <f>F2272*Summary!$B$7</f>
        <v/>
      </c>
      <c r="I2272" s="11">
        <f>MAX(0,N2272-M2272)</f>
        <v/>
      </c>
      <c r="J2272" s="11">
        <f>MAX(0,M2272-N2272)</f>
        <v/>
      </c>
      <c r="K2272" s="11">
        <f>O2272</f>
        <v/>
      </c>
      <c r="L2272" s="11">
        <f>L2271+IF(K2272&gt;0,K2272*Summary!$B$9,K2272/Summary!$B$9)</f>
        <v/>
      </c>
      <c r="M2272" s="11">
        <f>G2272+H2272</f>
        <v/>
      </c>
      <c r="N2272" s="11">
        <f>Summary!$C$16*Summary!$B$8</f>
        <v/>
      </c>
      <c r="O2272" s="11">
        <f>M2272-N2272</f>
        <v/>
      </c>
    </row>
    <row r="2273">
      <c r="A2273" s="9" t="n">
        <v>45386.625</v>
      </c>
      <c r="B2273" t="n">
        <v>4</v>
      </c>
      <c r="C2273" t="n">
        <v>4</v>
      </c>
      <c r="D2273" t="n">
        <v>15</v>
      </c>
      <c r="E2273" s="10" t="n">
        <v>0.07824299999999999</v>
      </c>
      <c r="F2273" s="10" t="n">
        <v>0.3665300559672134</v>
      </c>
      <c r="G2273" s="11">
        <f>E2273*Summary!$B$6</f>
        <v/>
      </c>
      <c r="H2273" s="11">
        <f>F2273*Summary!$B$7</f>
        <v/>
      </c>
      <c r="I2273" s="11">
        <f>MAX(0,N2273-M2273)</f>
        <v/>
      </c>
      <c r="J2273" s="11">
        <f>MAX(0,M2273-N2273)</f>
        <v/>
      </c>
      <c r="K2273" s="11">
        <f>O2273</f>
        <v/>
      </c>
      <c r="L2273" s="11">
        <f>L2272+IF(K2273&gt;0,K2273*Summary!$B$9,K2273/Summary!$B$9)</f>
        <v/>
      </c>
      <c r="M2273" s="11">
        <f>G2273+H2273</f>
        <v/>
      </c>
      <c r="N2273" s="11">
        <f>Summary!$C$16*Summary!$B$8</f>
        <v/>
      </c>
      <c r="O2273" s="11">
        <f>M2273-N2273</f>
        <v/>
      </c>
    </row>
    <row r="2274">
      <c r="A2274" s="9" t="n">
        <v>45386.66666666666</v>
      </c>
      <c r="B2274" t="n">
        <v>4</v>
      </c>
      <c r="C2274" t="n">
        <v>4</v>
      </c>
      <c r="D2274" t="n">
        <v>16</v>
      </c>
      <c r="E2274" s="10" t="n">
        <v>0.068393</v>
      </c>
      <c r="F2274" s="10" t="n">
        <v>0.3694287766629064</v>
      </c>
      <c r="G2274" s="11">
        <f>E2274*Summary!$B$6</f>
        <v/>
      </c>
      <c r="H2274" s="11">
        <f>F2274*Summary!$B$7</f>
        <v/>
      </c>
      <c r="I2274" s="11">
        <f>MAX(0,N2274-M2274)</f>
        <v/>
      </c>
      <c r="J2274" s="11">
        <f>MAX(0,M2274-N2274)</f>
        <v/>
      </c>
      <c r="K2274" s="11">
        <f>O2274</f>
        <v/>
      </c>
      <c r="L2274" s="11">
        <f>L2273+IF(K2274&gt;0,K2274*Summary!$B$9,K2274/Summary!$B$9)</f>
        <v/>
      </c>
      <c r="M2274" s="11">
        <f>G2274+H2274</f>
        <v/>
      </c>
      <c r="N2274" s="11">
        <f>Summary!$C$16*Summary!$B$8</f>
        <v/>
      </c>
      <c r="O2274" s="11">
        <f>M2274-N2274</f>
        <v/>
      </c>
    </row>
    <row r="2275">
      <c r="A2275" s="9" t="n">
        <v>45386.70833333334</v>
      </c>
      <c r="B2275" t="n">
        <v>4</v>
      </c>
      <c r="C2275" t="n">
        <v>4</v>
      </c>
      <c r="D2275" t="n">
        <v>17</v>
      </c>
      <c r="E2275" s="10" t="n">
        <v>0.039456</v>
      </c>
      <c r="F2275" s="10" t="n">
        <v>0.3697713527451247</v>
      </c>
      <c r="G2275" s="11">
        <f>E2275*Summary!$B$6</f>
        <v/>
      </c>
      <c r="H2275" s="11">
        <f>F2275*Summary!$B$7</f>
        <v/>
      </c>
      <c r="I2275" s="11">
        <f>MAX(0,N2275-M2275)</f>
        <v/>
      </c>
      <c r="J2275" s="11">
        <f>MAX(0,M2275-N2275)</f>
        <v/>
      </c>
      <c r="K2275" s="11">
        <f>O2275</f>
        <v/>
      </c>
      <c r="L2275" s="11">
        <f>L2274+IF(K2275&gt;0,K2275*Summary!$B$9,K2275/Summary!$B$9)</f>
        <v/>
      </c>
      <c r="M2275" s="11">
        <f>G2275+H2275</f>
        <v/>
      </c>
      <c r="N2275" s="11">
        <f>Summary!$C$16*Summary!$B$8</f>
        <v/>
      </c>
      <c r="O2275" s="11">
        <f>M2275-N2275</f>
        <v/>
      </c>
    </row>
    <row r="2276">
      <c r="A2276" s="9" t="n">
        <v>45386.75</v>
      </c>
      <c r="B2276" t="n">
        <v>4</v>
      </c>
      <c r="C2276" t="n">
        <v>4</v>
      </c>
      <c r="D2276" t="n">
        <v>18</v>
      </c>
      <c r="E2276" s="10" t="n">
        <v>0.004032</v>
      </c>
      <c r="F2276" s="10" t="n">
        <v>0.3780722347373364</v>
      </c>
      <c r="G2276" s="11">
        <f>E2276*Summary!$B$6</f>
        <v/>
      </c>
      <c r="H2276" s="11">
        <f>F2276*Summary!$B$7</f>
        <v/>
      </c>
      <c r="I2276" s="11">
        <f>MAX(0,N2276-M2276)</f>
        <v/>
      </c>
      <c r="J2276" s="11">
        <f>MAX(0,M2276-N2276)</f>
        <v/>
      </c>
      <c r="K2276" s="11">
        <f>O2276</f>
        <v/>
      </c>
      <c r="L2276" s="11">
        <f>L2275+IF(K2276&gt;0,K2276*Summary!$B$9,K2276/Summary!$B$9)</f>
        <v/>
      </c>
      <c r="M2276" s="11">
        <f>G2276+H2276</f>
        <v/>
      </c>
      <c r="N2276" s="11">
        <f>Summary!$C$16*Summary!$B$8</f>
        <v/>
      </c>
      <c r="O2276" s="11">
        <f>M2276-N2276</f>
        <v/>
      </c>
    </row>
    <row r="2277">
      <c r="A2277" s="9" t="n">
        <v>45386.79166666666</v>
      </c>
      <c r="B2277" t="n">
        <v>4</v>
      </c>
      <c r="C2277" t="n">
        <v>4</v>
      </c>
      <c r="D2277" t="n">
        <v>19</v>
      </c>
      <c r="E2277" s="10" t="n">
        <v>0</v>
      </c>
      <c r="F2277" s="10" t="n">
        <v>0.3953327988798717</v>
      </c>
      <c r="G2277" s="11">
        <f>E2277*Summary!$B$6</f>
        <v/>
      </c>
      <c r="H2277" s="11">
        <f>F2277*Summary!$B$7</f>
        <v/>
      </c>
      <c r="I2277" s="11">
        <f>MAX(0,N2277-M2277)</f>
        <v/>
      </c>
      <c r="J2277" s="11">
        <f>MAX(0,M2277-N2277)</f>
        <v/>
      </c>
      <c r="K2277" s="11">
        <f>O2277</f>
        <v/>
      </c>
      <c r="L2277" s="11">
        <f>L2276+IF(K2277&gt;0,K2277*Summary!$B$9,K2277/Summary!$B$9)</f>
        <v/>
      </c>
      <c r="M2277" s="11">
        <f>G2277+H2277</f>
        <v/>
      </c>
      <c r="N2277" s="11">
        <f>Summary!$C$16*Summary!$B$8</f>
        <v/>
      </c>
      <c r="O2277" s="11">
        <f>M2277-N2277</f>
        <v/>
      </c>
    </row>
    <row r="2278">
      <c r="A2278" s="9" t="n">
        <v>45386.83333333334</v>
      </c>
      <c r="B2278" t="n">
        <v>4</v>
      </c>
      <c r="C2278" t="n">
        <v>4</v>
      </c>
      <c r="D2278" t="n">
        <v>20</v>
      </c>
      <c r="E2278" s="10" t="n">
        <v>0</v>
      </c>
      <c r="F2278" s="10" t="n">
        <v>0.4040816649795996</v>
      </c>
      <c r="G2278" s="11">
        <f>E2278*Summary!$B$6</f>
        <v/>
      </c>
      <c r="H2278" s="11">
        <f>F2278*Summary!$B$7</f>
        <v/>
      </c>
      <c r="I2278" s="11">
        <f>MAX(0,N2278-M2278)</f>
        <v/>
      </c>
      <c r="J2278" s="11">
        <f>MAX(0,M2278-N2278)</f>
        <v/>
      </c>
      <c r="K2278" s="11">
        <f>O2278</f>
        <v/>
      </c>
      <c r="L2278" s="11">
        <f>L2277+IF(K2278&gt;0,K2278*Summary!$B$9,K2278/Summary!$B$9)</f>
        <v/>
      </c>
      <c r="M2278" s="11">
        <f>G2278+H2278</f>
        <v/>
      </c>
      <c r="N2278" s="11">
        <f>Summary!$C$16*Summary!$B$8</f>
        <v/>
      </c>
      <c r="O2278" s="11">
        <f>M2278-N2278</f>
        <v/>
      </c>
    </row>
    <row r="2279">
      <c r="A2279" s="9" t="n">
        <v>45386.875</v>
      </c>
      <c r="B2279" t="n">
        <v>4</v>
      </c>
      <c r="C2279" t="n">
        <v>4</v>
      </c>
      <c r="D2279" t="n">
        <v>21</v>
      </c>
      <c r="E2279" s="10" t="n">
        <v>0</v>
      </c>
      <c r="F2279" s="10" t="n">
        <v>0.4060053614412867</v>
      </c>
      <c r="G2279" s="11">
        <f>E2279*Summary!$B$6</f>
        <v/>
      </c>
      <c r="H2279" s="11">
        <f>F2279*Summary!$B$7</f>
        <v/>
      </c>
      <c r="I2279" s="11">
        <f>MAX(0,N2279-M2279)</f>
        <v/>
      </c>
      <c r="J2279" s="11">
        <f>MAX(0,M2279-N2279)</f>
        <v/>
      </c>
      <c r="K2279" s="11">
        <f>O2279</f>
        <v/>
      </c>
      <c r="L2279" s="11">
        <f>L2278+IF(K2279&gt;0,K2279*Summary!$B$9,K2279/Summary!$B$9)</f>
        <v/>
      </c>
      <c r="M2279" s="11">
        <f>G2279+H2279</f>
        <v/>
      </c>
      <c r="N2279" s="11">
        <f>Summary!$C$16*Summary!$B$8</f>
        <v/>
      </c>
      <c r="O2279" s="11">
        <f>M2279-N2279</f>
        <v/>
      </c>
    </row>
    <row r="2280">
      <c r="A2280" s="9" t="n">
        <v>45386.91666666666</v>
      </c>
      <c r="B2280" t="n">
        <v>4</v>
      </c>
      <c r="C2280" t="n">
        <v>4</v>
      </c>
      <c r="D2280" t="n">
        <v>22</v>
      </c>
      <c r="E2280" s="10" t="n">
        <v>0</v>
      </c>
      <c r="F2280" s="10" t="n">
        <v>0.4019208004609922</v>
      </c>
      <c r="G2280" s="11">
        <f>E2280*Summary!$B$6</f>
        <v/>
      </c>
      <c r="H2280" s="11">
        <f>F2280*Summary!$B$7</f>
        <v/>
      </c>
      <c r="I2280" s="11">
        <f>MAX(0,N2280-M2280)</f>
        <v/>
      </c>
      <c r="J2280" s="11">
        <f>MAX(0,M2280-N2280)</f>
        <v/>
      </c>
      <c r="K2280" s="11">
        <f>O2280</f>
        <v/>
      </c>
      <c r="L2280" s="11">
        <f>L2279+IF(K2280&gt;0,K2280*Summary!$B$9,K2280/Summary!$B$9)</f>
        <v/>
      </c>
      <c r="M2280" s="11">
        <f>G2280+H2280</f>
        <v/>
      </c>
      <c r="N2280" s="11">
        <f>Summary!$C$16*Summary!$B$8</f>
        <v/>
      </c>
      <c r="O2280" s="11">
        <f>M2280-N2280</f>
        <v/>
      </c>
    </row>
    <row r="2281">
      <c r="A2281" s="9" t="n">
        <v>45386.95833333334</v>
      </c>
      <c r="B2281" t="n">
        <v>4</v>
      </c>
      <c r="C2281" t="n">
        <v>4</v>
      </c>
      <c r="D2281" t="n">
        <v>23</v>
      </c>
      <c r="E2281" s="10" t="n">
        <v>0</v>
      </c>
      <c r="F2281" s="10" t="n">
        <v>0.3951483348356004</v>
      </c>
      <c r="G2281" s="11">
        <f>E2281*Summary!$B$6</f>
        <v/>
      </c>
      <c r="H2281" s="11">
        <f>F2281*Summary!$B$7</f>
        <v/>
      </c>
      <c r="I2281" s="11">
        <f>MAX(0,N2281-M2281)</f>
        <v/>
      </c>
      <c r="J2281" s="11">
        <f>MAX(0,M2281-N2281)</f>
        <v/>
      </c>
      <c r="K2281" s="11">
        <f>O2281</f>
        <v/>
      </c>
      <c r="L2281" s="11">
        <f>L2280+IF(K2281&gt;0,K2281*Summary!$B$9,K2281/Summary!$B$9)</f>
        <v/>
      </c>
      <c r="M2281" s="11">
        <f>G2281+H2281</f>
        <v/>
      </c>
      <c r="N2281" s="11">
        <f>Summary!$C$16*Summary!$B$8</f>
        <v/>
      </c>
      <c r="O2281" s="11">
        <f>M2281-N2281</f>
        <v/>
      </c>
    </row>
    <row r="2282">
      <c r="A2282" s="9" t="n">
        <v>45387</v>
      </c>
      <c r="B2282" t="n">
        <v>4</v>
      </c>
      <c r="C2282" t="n">
        <v>5</v>
      </c>
      <c r="D2282" t="n">
        <v>0</v>
      </c>
      <c r="E2282" s="10" t="n">
        <v>0</v>
      </c>
      <c r="F2282" s="10" t="n">
        <v>0.3234445256266862</v>
      </c>
      <c r="G2282" s="11">
        <f>E2282*Summary!$B$6</f>
        <v/>
      </c>
      <c r="H2282" s="11">
        <f>F2282*Summary!$B$7</f>
        <v/>
      </c>
      <c r="I2282" s="11">
        <f>MAX(0,N2282-M2282)</f>
        <v/>
      </c>
      <c r="J2282" s="11">
        <f>MAX(0,M2282-N2282)</f>
        <v/>
      </c>
      <c r="K2282" s="11">
        <f>O2282</f>
        <v/>
      </c>
      <c r="L2282" s="11">
        <f>L2281+IF(K2282&gt;0,K2282*Summary!$B$9,K2282/Summary!$B$9)</f>
        <v/>
      </c>
      <c r="M2282" s="11">
        <f>G2282+H2282</f>
        <v/>
      </c>
      <c r="N2282" s="11">
        <f>Summary!$C$16*Summary!$B$8</f>
        <v/>
      </c>
      <c r="O2282" s="11">
        <f>M2282-N2282</f>
        <v/>
      </c>
    </row>
    <row r="2283">
      <c r="A2283" s="9" t="n">
        <v>45387.04166666666</v>
      </c>
      <c r="B2283" t="n">
        <v>4</v>
      </c>
      <c r="C2283" t="n">
        <v>5</v>
      </c>
      <c r="D2283" t="n">
        <v>1</v>
      </c>
      <c r="E2283" s="10" t="n">
        <v>0</v>
      </c>
      <c r="F2283" s="10" t="n">
        <v>0.4003923840941722</v>
      </c>
      <c r="G2283" s="11">
        <f>E2283*Summary!$B$6</f>
        <v/>
      </c>
      <c r="H2283" s="11">
        <f>F2283*Summary!$B$7</f>
        <v/>
      </c>
      <c r="I2283" s="11">
        <f>MAX(0,N2283-M2283)</f>
        <v/>
      </c>
      <c r="J2283" s="11">
        <f>MAX(0,M2283-N2283)</f>
        <v/>
      </c>
      <c r="K2283" s="11">
        <f>O2283</f>
        <v/>
      </c>
      <c r="L2283" s="11">
        <f>L2282+IF(K2283&gt;0,K2283*Summary!$B$9,K2283/Summary!$B$9)</f>
        <v/>
      </c>
      <c r="M2283" s="11">
        <f>G2283+H2283</f>
        <v/>
      </c>
      <c r="N2283" s="11">
        <f>Summary!$C$16*Summary!$B$8</f>
        <v/>
      </c>
      <c r="O2283" s="11">
        <f>M2283-N2283</f>
        <v/>
      </c>
    </row>
    <row r="2284">
      <c r="A2284" s="9" t="n">
        <v>45387.08333333334</v>
      </c>
      <c r="B2284" t="n">
        <v>4</v>
      </c>
      <c r="C2284" t="n">
        <v>5</v>
      </c>
      <c r="D2284" t="n">
        <v>2</v>
      </c>
      <c r="E2284" s="10" t="n">
        <v>0</v>
      </c>
      <c r="F2284" s="10" t="n">
        <v>0.37433024983926</v>
      </c>
      <c r="G2284" s="11">
        <f>E2284*Summary!$B$6</f>
        <v/>
      </c>
      <c r="H2284" s="11">
        <f>F2284*Summary!$B$7</f>
        <v/>
      </c>
      <c r="I2284" s="11">
        <f>MAX(0,N2284-M2284)</f>
        <v/>
      </c>
      <c r="J2284" s="11">
        <f>MAX(0,M2284-N2284)</f>
        <v/>
      </c>
      <c r="K2284" s="11">
        <f>O2284</f>
        <v/>
      </c>
      <c r="L2284" s="11">
        <f>L2283+IF(K2284&gt;0,K2284*Summary!$B$9,K2284/Summary!$B$9)</f>
        <v/>
      </c>
      <c r="M2284" s="11">
        <f>G2284+H2284</f>
        <v/>
      </c>
      <c r="N2284" s="11">
        <f>Summary!$C$16*Summary!$B$8</f>
        <v/>
      </c>
      <c r="O2284" s="11">
        <f>M2284-N2284</f>
        <v/>
      </c>
    </row>
    <row r="2285">
      <c r="A2285" s="9" t="n">
        <v>45387.125</v>
      </c>
      <c r="B2285" t="n">
        <v>4</v>
      </c>
      <c r="C2285" t="n">
        <v>5</v>
      </c>
      <c r="D2285" t="n">
        <v>3</v>
      </c>
      <c r="E2285" s="10" t="n">
        <v>0</v>
      </c>
      <c r="F2285" s="10" t="n">
        <v>0.3728281854787645</v>
      </c>
      <c r="G2285" s="11">
        <f>E2285*Summary!$B$6</f>
        <v/>
      </c>
      <c r="H2285" s="11">
        <f>F2285*Summary!$B$7</f>
        <v/>
      </c>
      <c r="I2285" s="11">
        <f>MAX(0,N2285-M2285)</f>
        <v/>
      </c>
      <c r="J2285" s="11">
        <f>MAX(0,M2285-N2285)</f>
        <v/>
      </c>
      <c r="K2285" s="11">
        <f>O2285</f>
        <v/>
      </c>
      <c r="L2285" s="11">
        <f>L2284+IF(K2285&gt;0,K2285*Summary!$B$9,K2285/Summary!$B$9)</f>
        <v/>
      </c>
      <c r="M2285" s="11">
        <f>G2285+H2285</f>
        <v/>
      </c>
      <c r="N2285" s="11">
        <f>Summary!$C$16*Summary!$B$8</f>
        <v/>
      </c>
      <c r="O2285" s="11">
        <f>M2285-N2285</f>
        <v/>
      </c>
    </row>
    <row r="2286">
      <c r="A2286" s="9" t="n">
        <v>45387.16666666666</v>
      </c>
      <c r="B2286" t="n">
        <v>4</v>
      </c>
      <c r="C2286" t="n">
        <v>5</v>
      </c>
      <c r="D2286" t="n">
        <v>4</v>
      </c>
      <c r="E2286" s="10" t="n">
        <v>0</v>
      </c>
      <c r="F2286" s="10" t="n">
        <v>0.3686382164731719</v>
      </c>
      <c r="G2286" s="11">
        <f>E2286*Summary!$B$6</f>
        <v/>
      </c>
      <c r="H2286" s="11">
        <f>F2286*Summary!$B$7</f>
        <v/>
      </c>
      <c r="I2286" s="11">
        <f>MAX(0,N2286-M2286)</f>
        <v/>
      </c>
      <c r="J2286" s="11">
        <f>MAX(0,M2286-N2286)</f>
        <v/>
      </c>
      <c r="K2286" s="11">
        <f>O2286</f>
        <v/>
      </c>
      <c r="L2286" s="11">
        <f>L2285+IF(K2286&gt;0,K2286*Summary!$B$9,K2286/Summary!$B$9)</f>
        <v/>
      </c>
      <c r="M2286" s="11">
        <f>G2286+H2286</f>
        <v/>
      </c>
      <c r="N2286" s="11">
        <f>Summary!$C$16*Summary!$B$8</f>
        <v/>
      </c>
      <c r="O2286" s="11">
        <f>M2286-N2286</f>
        <v/>
      </c>
    </row>
    <row r="2287">
      <c r="A2287" s="9" t="n">
        <v>45387.20833333334</v>
      </c>
      <c r="B2287" t="n">
        <v>4</v>
      </c>
      <c r="C2287" t="n">
        <v>5</v>
      </c>
      <c r="D2287" t="n">
        <v>5</v>
      </c>
      <c r="E2287" s="10" t="n">
        <v>0</v>
      </c>
      <c r="F2287" s="10" t="n">
        <v>0.3592569022216565</v>
      </c>
      <c r="G2287" s="11">
        <f>E2287*Summary!$B$6</f>
        <v/>
      </c>
      <c r="H2287" s="11">
        <f>F2287*Summary!$B$7</f>
        <v/>
      </c>
      <c r="I2287" s="11">
        <f>MAX(0,N2287-M2287)</f>
        <v/>
      </c>
      <c r="J2287" s="11">
        <f>MAX(0,M2287-N2287)</f>
        <v/>
      </c>
      <c r="K2287" s="11">
        <f>O2287</f>
        <v/>
      </c>
      <c r="L2287" s="11">
        <f>L2286+IF(K2287&gt;0,K2287*Summary!$B$9,K2287/Summary!$B$9)</f>
        <v/>
      </c>
      <c r="M2287" s="11">
        <f>G2287+H2287</f>
        <v/>
      </c>
      <c r="N2287" s="11">
        <f>Summary!$C$16*Summary!$B$8</f>
        <v/>
      </c>
      <c r="O2287" s="11">
        <f>M2287-N2287</f>
        <v/>
      </c>
    </row>
    <row r="2288">
      <c r="A2288" s="9" t="n">
        <v>45387.25</v>
      </c>
      <c r="B2288" t="n">
        <v>4</v>
      </c>
      <c r="C2288" t="n">
        <v>5</v>
      </c>
      <c r="D2288" t="n">
        <v>6</v>
      </c>
      <c r="E2288" s="10" t="n">
        <v>0.035959</v>
      </c>
      <c r="F2288" s="10" t="n">
        <v>0.3418909300538231</v>
      </c>
      <c r="G2288" s="11">
        <f>E2288*Summary!$B$6</f>
        <v/>
      </c>
      <c r="H2288" s="11">
        <f>F2288*Summary!$B$7</f>
        <v/>
      </c>
      <c r="I2288" s="11">
        <f>MAX(0,N2288-M2288)</f>
        <v/>
      </c>
      <c r="J2288" s="11">
        <f>MAX(0,M2288-N2288)</f>
        <v/>
      </c>
      <c r="K2288" s="11">
        <f>O2288</f>
        <v/>
      </c>
      <c r="L2288" s="11">
        <f>L2287+IF(K2288&gt;0,K2288*Summary!$B$9,K2288/Summary!$B$9)</f>
        <v/>
      </c>
      <c r="M2288" s="11">
        <f>G2288+H2288</f>
        <v/>
      </c>
      <c r="N2288" s="11">
        <f>Summary!$C$16*Summary!$B$8</f>
        <v/>
      </c>
      <c r="O2288" s="11">
        <f>M2288-N2288</f>
        <v/>
      </c>
    </row>
    <row r="2289">
      <c r="A2289" s="9" t="n">
        <v>45387.29166666666</v>
      </c>
      <c r="B2289" t="n">
        <v>4</v>
      </c>
      <c r="C2289" t="n">
        <v>5</v>
      </c>
      <c r="D2289" t="n">
        <v>7</v>
      </c>
      <c r="E2289" s="10" t="n">
        <v>0.147076</v>
      </c>
      <c r="F2289" s="10" t="n">
        <v>0.3139314513435483</v>
      </c>
      <c r="G2289" s="11">
        <f>E2289*Summary!$B$6</f>
        <v/>
      </c>
      <c r="H2289" s="11">
        <f>F2289*Summary!$B$7</f>
        <v/>
      </c>
      <c r="I2289" s="11">
        <f>MAX(0,N2289-M2289)</f>
        <v/>
      </c>
      <c r="J2289" s="11">
        <f>MAX(0,M2289-N2289)</f>
        <v/>
      </c>
      <c r="K2289" s="11">
        <f>O2289</f>
        <v/>
      </c>
      <c r="L2289" s="11">
        <f>L2288+IF(K2289&gt;0,K2289*Summary!$B$9,K2289/Summary!$B$9)</f>
        <v/>
      </c>
      <c r="M2289" s="11">
        <f>G2289+H2289</f>
        <v/>
      </c>
      <c r="N2289" s="11">
        <f>Summary!$C$16*Summary!$B$8</f>
        <v/>
      </c>
      <c r="O2289" s="11">
        <f>M2289-N2289</f>
        <v/>
      </c>
    </row>
    <row r="2290">
      <c r="A2290" s="9" t="n">
        <v>45387.33333333334</v>
      </c>
      <c r="B2290" t="n">
        <v>4</v>
      </c>
      <c r="C2290" t="n">
        <v>5</v>
      </c>
      <c r="D2290" t="n">
        <v>8</v>
      </c>
      <c r="E2290" s="10" t="n">
        <v>0.273178</v>
      </c>
      <c r="F2290" s="10" t="n">
        <v>0.2906099257463822</v>
      </c>
      <c r="G2290" s="11">
        <f>E2290*Summary!$B$6</f>
        <v/>
      </c>
      <c r="H2290" s="11">
        <f>F2290*Summary!$B$7</f>
        <v/>
      </c>
      <c r="I2290" s="11">
        <f>MAX(0,N2290-M2290)</f>
        <v/>
      </c>
      <c r="J2290" s="11">
        <f>MAX(0,M2290-N2290)</f>
        <v/>
      </c>
      <c r="K2290" s="11">
        <f>O2290</f>
        <v/>
      </c>
      <c r="L2290" s="11">
        <f>L2289+IF(K2290&gt;0,K2290*Summary!$B$9,K2290/Summary!$B$9)</f>
        <v/>
      </c>
      <c r="M2290" s="11">
        <f>G2290+H2290</f>
        <v/>
      </c>
      <c r="N2290" s="11">
        <f>Summary!$C$16*Summary!$B$8</f>
        <v/>
      </c>
      <c r="O2290" s="11">
        <f>M2290-N2290</f>
        <v/>
      </c>
    </row>
    <row r="2291">
      <c r="A2291" s="9" t="n">
        <v>45387.375</v>
      </c>
      <c r="B2291" t="n">
        <v>4</v>
      </c>
      <c r="C2291" t="n">
        <v>5</v>
      </c>
      <c r="D2291" t="n">
        <v>9</v>
      </c>
      <c r="E2291" s="10" t="n">
        <v>0.386762</v>
      </c>
      <c r="F2291" s="10" t="n">
        <v>0.281623891589734</v>
      </c>
      <c r="G2291" s="11">
        <f>E2291*Summary!$B$6</f>
        <v/>
      </c>
      <c r="H2291" s="11">
        <f>F2291*Summary!$B$7</f>
        <v/>
      </c>
      <c r="I2291" s="11">
        <f>MAX(0,N2291-M2291)</f>
        <v/>
      </c>
      <c r="J2291" s="11">
        <f>MAX(0,M2291-N2291)</f>
        <v/>
      </c>
      <c r="K2291" s="11">
        <f>O2291</f>
        <v/>
      </c>
      <c r="L2291" s="11">
        <f>L2290+IF(K2291&gt;0,K2291*Summary!$B$9,K2291/Summary!$B$9)</f>
        <v/>
      </c>
      <c r="M2291" s="11">
        <f>G2291+H2291</f>
        <v/>
      </c>
      <c r="N2291" s="11">
        <f>Summary!$C$16*Summary!$B$8</f>
        <v/>
      </c>
      <c r="O2291" s="11">
        <f>M2291-N2291</f>
        <v/>
      </c>
    </row>
    <row r="2292">
      <c r="A2292" s="9" t="n">
        <v>45387.41666666666</v>
      </c>
      <c r="B2292" t="n">
        <v>4</v>
      </c>
      <c r="C2292" t="n">
        <v>5</v>
      </c>
      <c r="D2292" t="n">
        <v>10</v>
      </c>
      <c r="E2292" s="10" t="n">
        <v>0.485718</v>
      </c>
      <c r="F2292" s="10" t="n">
        <v>0.2805698113367547</v>
      </c>
      <c r="G2292" s="11">
        <f>E2292*Summary!$B$6</f>
        <v/>
      </c>
      <c r="H2292" s="11">
        <f>F2292*Summary!$B$7</f>
        <v/>
      </c>
      <c r="I2292" s="11">
        <f>MAX(0,N2292-M2292)</f>
        <v/>
      </c>
      <c r="J2292" s="11">
        <f>MAX(0,M2292-N2292)</f>
        <v/>
      </c>
      <c r="K2292" s="11">
        <f>O2292</f>
        <v/>
      </c>
      <c r="L2292" s="11">
        <f>L2291+IF(K2292&gt;0,K2292*Summary!$B$9,K2292/Summary!$B$9)</f>
        <v/>
      </c>
      <c r="M2292" s="11">
        <f>G2292+H2292</f>
        <v/>
      </c>
      <c r="N2292" s="11">
        <f>Summary!$C$16*Summary!$B$8</f>
        <v/>
      </c>
      <c r="O2292" s="11">
        <f>M2292-N2292</f>
        <v/>
      </c>
    </row>
    <row r="2293">
      <c r="A2293" s="9" t="n">
        <v>45387.45833333334</v>
      </c>
      <c r="B2293" t="n">
        <v>4</v>
      </c>
      <c r="C2293" t="n">
        <v>5</v>
      </c>
      <c r="D2293" t="n">
        <v>11</v>
      </c>
      <c r="E2293" s="10" t="n">
        <v>0.620126</v>
      </c>
      <c r="F2293" s="10" t="n">
        <v>0.2861037326648958</v>
      </c>
      <c r="G2293" s="11">
        <f>E2293*Summary!$B$6</f>
        <v/>
      </c>
      <c r="H2293" s="11">
        <f>F2293*Summary!$B$7</f>
        <v/>
      </c>
      <c r="I2293" s="11">
        <f>MAX(0,N2293-M2293)</f>
        <v/>
      </c>
      <c r="J2293" s="11">
        <f>MAX(0,M2293-N2293)</f>
        <v/>
      </c>
      <c r="K2293" s="11">
        <f>O2293</f>
        <v/>
      </c>
      <c r="L2293" s="11">
        <f>L2292+IF(K2293&gt;0,K2293*Summary!$B$9,K2293/Summary!$B$9)</f>
        <v/>
      </c>
      <c r="M2293" s="11">
        <f>G2293+H2293</f>
        <v/>
      </c>
      <c r="N2293" s="11">
        <f>Summary!$C$16*Summary!$B$8</f>
        <v/>
      </c>
      <c r="O2293" s="11">
        <f>M2293-N2293</f>
        <v/>
      </c>
    </row>
    <row r="2294">
      <c r="A2294" s="9" t="n">
        <v>45387.5</v>
      </c>
      <c r="B2294" t="n">
        <v>4</v>
      </c>
      <c r="C2294" t="n">
        <v>5</v>
      </c>
      <c r="D2294" t="n">
        <v>12</v>
      </c>
      <c r="E2294" s="10" t="n">
        <v>0.754058</v>
      </c>
      <c r="F2294" s="10" t="n">
        <v>0.2889497493479398</v>
      </c>
      <c r="G2294" s="11">
        <f>E2294*Summary!$B$6</f>
        <v/>
      </c>
      <c r="H2294" s="11">
        <f>F2294*Summary!$B$7</f>
        <v/>
      </c>
      <c r="I2294" s="11">
        <f>MAX(0,N2294-M2294)</f>
        <v/>
      </c>
      <c r="J2294" s="11">
        <f>MAX(0,M2294-N2294)</f>
        <v/>
      </c>
      <c r="K2294" s="11">
        <f>O2294</f>
        <v/>
      </c>
      <c r="L2294" s="11">
        <f>L2293+IF(K2294&gt;0,K2294*Summary!$B$9,K2294/Summary!$B$9)</f>
        <v/>
      </c>
      <c r="M2294" s="11">
        <f>G2294+H2294</f>
        <v/>
      </c>
      <c r="N2294" s="11">
        <f>Summary!$C$16*Summary!$B$8</f>
        <v/>
      </c>
      <c r="O2294" s="11">
        <f>M2294-N2294</f>
        <v/>
      </c>
    </row>
    <row r="2295">
      <c r="A2295" s="9" t="n">
        <v>45387.54166666666</v>
      </c>
      <c r="B2295" t="n">
        <v>4</v>
      </c>
      <c r="C2295" t="n">
        <v>5</v>
      </c>
      <c r="D2295" t="n">
        <v>13</v>
      </c>
      <c r="E2295" s="10" t="n">
        <v>0.400022</v>
      </c>
      <c r="F2295" s="10" t="n">
        <v>0.2941410945938627</v>
      </c>
      <c r="G2295" s="11">
        <f>E2295*Summary!$B$6</f>
        <v/>
      </c>
      <c r="H2295" s="11">
        <f>F2295*Summary!$B$7</f>
        <v/>
      </c>
      <c r="I2295" s="11">
        <f>MAX(0,N2295-M2295)</f>
        <v/>
      </c>
      <c r="J2295" s="11">
        <f>MAX(0,M2295-N2295)</f>
        <v/>
      </c>
      <c r="K2295" s="11">
        <f>O2295</f>
        <v/>
      </c>
      <c r="L2295" s="11">
        <f>L2294+IF(K2295&gt;0,K2295*Summary!$B$9,K2295/Summary!$B$9)</f>
        <v/>
      </c>
      <c r="M2295" s="11">
        <f>G2295+H2295</f>
        <v/>
      </c>
      <c r="N2295" s="11">
        <f>Summary!$C$16*Summary!$B$8</f>
        <v/>
      </c>
      <c r="O2295" s="11">
        <f>M2295-N2295</f>
        <v/>
      </c>
    </row>
    <row r="2296">
      <c r="A2296" s="9" t="n">
        <v>45387.58333333334</v>
      </c>
      <c r="B2296" t="n">
        <v>4</v>
      </c>
      <c r="C2296" t="n">
        <v>5</v>
      </c>
      <c r="D2296" t="n">
        <v>14</v>
      </c>
      <c r="E2296" s="10" t="n">
        <v>0.550091</v>
      </c>
      <c r="F2296" s="10" t="n">
        <v>0.3154071636977193</v>
      </c>
      <c r="G2296" s="11">
        <f>E2296*Summary!$B$6</f>
        <v/>
      </c>
      <c r="H2296" s="11">
        <f>F2296*Summary!$B$7</f>
        <v/>
      </c>
      <c r="I2296" s="11">
        <f>MAX(0,N2296-M2296)</f>
        <v/>
      </c>
      <c r="J2296" s="11">
        <f>MAX(0,M2296-N2296)</f>
        <v/>
      </c>
      <c r="K2296" s="11">
        <f>O2296</f>
        <v/>
      </c>
      <c r="L2296" s="11">
        <f>L2295+IF(K2296&gt;0,K2296*Summary!$B$9,K2296/Summary!$B$9)</f>
        <v/>
      </c>
      <c r="M2296" s="11">
        <f>G2296+H2296</f>
        <v/>
      </c>
      <c r="N2296" s="11">
        <f>Summary!$C$16*Summary!$B$8</f>
        <v/>
      </c>
      <c r="O2296" s="11">
        <f>M2296-N2296</f>
        <v/>
      </c>
    </row>
    <row r="2297">
      <c r="A2297" s="9" t="n">
        <v>45387.625</v>
      </c>
      <c r="B2297" t="n">
        <v>4</v>
      </c>
      <c r="C2297" t="n">
        <v>5</v>
      </c>
      <c r="D2297" t="n">
        <v>15</v>
      </c>
      <c r="E2297" s="10" t="n">
        <v>0.545555</v>
      </c>
      <c r="F2297" s="10" t="n">
        <v>0.2905308697274087</v>
      </c>
      <c r="G2297" s="11">
        <f>E2297*Summary!$B$6</f>
        <v/>
      </c>
      <c r="H2297" s="11">
        <f>F2297*Summary!$B$7</f>
        <v/>
      </c>
      <c r="I2297" s="11">
        <f>MAX(0,N2297-M2297)</f>
        <v/>
      </c>
      <c r="J2297" s="11">
        <f>MAX(0,M2297-N2297)</f>
        <v/>
      </c>
      <c r="K2297" s="11">
        <f>O2297</f>
        <v/>
      </c>
      <c r="L2297" s="11">
        <f>L2296+IF(K2297&gt;0,K2297*Summary!$B$9,K2297/Summary!$B$9)</f>
        <v/>
      </c>
      <c r="M2297" s="11">
        <f>G2297+H2297</f>
        <v/>
      </c>
      <c r="N2297" s="11">
        <f>Summary!$C$16*Summary!$B$8</f>
        <v/>
      </c>
      <c r="O2297" s="11">
        <f>M2297-N2297</f>
        <v/>
      </c>
    </row>
    <row r="2298">
      <c r="A2298" s="9" t="n">
        <v>45387.66666666666</v>
      </c>
      <c r="B2298" t="n">
        <v>4</v>
      </c>
      <c r="C2298" t="n">
        <v>5</v>
      </c>
      <c r="D2298" t="n">
        <v>16</v>
      </c>
      <c r="E2298" s="10" t="n">
        <v>0.33102</v>
      </c>
      <c r="F2298" s="10" t="n">
        <v>0.2848388363613207</v>
      </c>
      <c r="G2298" s="11">
        <f>E2298*Summary!$B$6</f>
        <v/>
      </c>
      <c r="H2298" s="11">
        <f>F2298*Summary!$B$7</f>
        <v/>
      </c>
      <c r="I2298" s="11">
        <f>MAX(0,N2298-M2298)</f>
        <v/>
      </c>
      <c r="J2298" s="11">
        <f>MAX(0,M2298-N2298)</f>
        <v/>
      </c>
      <c r="K2298" s="11">
        <f>O2298</f>
        <v/>
      </c>
      <c r="L2298" s="11">
        <f>L2297+IF(K2298&gt;0,K2298*Summary!$B$9,K2298/Summary!$B$9)</f>
        <v/>
      </c>
      <c r="M2298" s="11">
        <f>G2298+H2298</f>
        <v/>
      </c>
      <c r="N2298" s="11">
        <f>Summary!$C$16*Summary!$B$8</f>
        <v/>
      </c>
      <c r="O2298" s="11">
        <f>M2298-N2298</f>
        <v/>
      </c>
    </row>
    <row r="2299">
      <c r="A2299" s="9" t="n">
        <v>45387.70833333334</v>
      </c>
      <c r="B2299" t="n">
        <v>4</v>
      </c>
      <c r="C2299" t="n">
        <v>5</v>
      </c>
      <c r="D2299" t="n">
        <v>17</v>
      </c>
      <c r="E2299" s="10" t="n">
        <v>0.114156</v>
      </c>
      <c r="F2299" s="10" t="n">
        <v>0.2712148490915638</v>
      </c>
      <c r="G2299" s="11">
        <f>E2299*Summary!$B$6</f>
        <v/>
      </c>
      <c r="H2299" s="11">
        <f>F2299*Summary!$B$7</f>
        <v/>
      </c>
      <c r="I2299" s="11">
        <f>MAX(0,N2299-M2299)</f>
        <v/>
      </c>
      <c r="J2299" s="11">
        <f>MAX(0,M2299-N2299)</f>
        <v/>
      </c>
      <c r="K2299" s="11">
        <f>O2299</f>
        <v/>
      </c>
      <c r="L2299" s="11">
        <f>L2298+IF(K2299&gt;0,K2299*Summary!$B$9,K2299/Summary!$B$9)</f>
        <v/>
      </c>
      <c r="M2299" s="11">
        <f>G2299+H2299</f>
        <v/>
      </c>
      <c r="N2299" s="11">
        <f>Summary!$C$16*Summary!$B$8</f>
        <v/>
      </c>
      <c r="O2299" s="11">
        <f>M2299-N2299</f>
        <v/>
      </c>
    </row>
    <row r="2300">
      <c r="A2300" s="9" t="n">
        <v>45387.75</v>
      </c>
      <c r="B2300" t="n">
        <v>4</v>
      </c>
      <c r="C2300" t="n">
        <v>5</v>
      </c>
      <c r="D2300" t="n">
        <v>18</v>
      </c>
      <c r="E2300" s="10" t="n">
        <v>0.010326</v>
      </c>
      <c r="F2300" s="10" t="n">
        <v>0.2768805304513273</v>
      </c>
      <c r="G2300" s="11">
        <f>E2300*Summary!$B$6</f>
        <v/>
      </c>
      <c r="H2300" s="11">
        <f>F2300*Summary!$B$7</f>
        <v/>
      </c>
      <c r="I2300" s="11">
        <f>MAX(0,N2300-M2300)</f>
        <v/>
      </c>
      <c r="J2300" s="11">
        <f>MAX(0,M2300-N2300)</f>
        <v/>
      </c>
      <c r="K2300" s="11">
        <f>O2300</f>
        <v/>
      </c>
      <c r="L2300" s="11">
        <f>L2299+IF(K2300&gt;0,K2300*Summary!$B$9,K2300/Summary!$B$9)</f>
        <v/>
      </c>
      <c r="M2300" s="11">
        <f>G2300+H2300</f>
        <v/>
      </c>
      <c r="N2300" s="11">
        <f>Summary!$C$16*Summary!$B$8</f>
        <v/>
      </c>
      <c r="O2300" s="11">
        <f>M2300-N2300</f>
        <v/>
      </c>
    </row>
    <row r="2301">
      <c r="A2301" s="9" t="n">
        <v>45387.79166666666</v>
      </c>
      <c r="B2301" t="n">
        <v>4</v>
      </c>
      <c r="C2301" t="n">
        <v>5</v>
      </c>
      <c r="D2301" t="n">
        <v>19</v>
      </c>
      <c r="E2301" s="10" t="n">
        <v>0</v>
      </c>
      <c r="F2301" s="10" t="n">
        <v>0.2919802300752552</v>
      </c>
      <c r="G2301" s="11">
        <f>E2301*Summary!$B$6</f>
        <v/>
      </c>
      <c r="H2301" s="11">
        <f>F2301*Summary!$B$7</f>
        <v/>
      </c>
      <c r="I2301" s="11">
        <f>MAX(0,N2301-M2301)</f>
        <v/>
      </c>
      <c r="J2301" s="11">
        <f>MAX(0,M2301-N2301)</f>
        <v/>
      </c>
      <c r="K2301" s="11">
        <f>O2301</f>
        <v/>
      </c>
      <c r="L2301" s="11">
        <f>L2300+IF(K2301&gt;0,K2301*Summary!$B$9,K2301/Summary!$B$9)</f>
        <v/>
      </c>
      <c r="M2301" s="11">
        <f>G2301+H2301</f>
        <v/>
      </c>
      <c r="N2301" s="11">
        <f>Summary!$C$16*Summary!$B$8</f>
        <v/>
      </c>
      <c r="O2301" s="11">
        <f>M2301-N2301</f>
        <v/>
      </c>
    </row>
    <row r="2302">
      <c r="A2302" s="9" t="n">
        <v>45387.83333333334</v>
      </c>
      <c r="B2302" t="n">
        <v>4</v>
      </c>
      <c r="C2302" t="n">
        <v>5</v>
      </c>
      <c r="D2302" t="n">
        <v>20</v>
      </c>
      <c r="E2302" s="10" t="n">
        <v>0</v>
      </c>
      <c r="F2302" s="10" t="n">
        <v>0.3105056905213657</v>
      </c>
      <c r="G2302" s="11">
        <f>E2302*Summary!$B$6</f>
        <v/>
      </c>
      <c r="H2302" s="11">
        <f>F2302*Summary!$B$7</f>
        <v/>
      </c>
      <c r="I2302" s="11">
        <f>MAX(0,N2302-M2302)</f>
        <v/>
      </c>
      <c r="J2302" s="11">
        <f>MAX(0,M2302-N2302)</f>
        <v/>
      </c>
      <c r="K2302" s="11">
        <f>O2302</f>
        <v/>
      </c>
      <c r="L2302" s="11">
        <f>L2301+IF(K2302&gt;0,K2302*Summary!$B$9,K2302/Summary!$B$9)</f>
        <v/>
      </c>
      <c r="M2302" s="11">
        <f>G2302+H2302</f>
        <v/>
      </c>
      <c r="N2302" s="11">
        <f>Summary!$C$16*Summary!$B$8</f>
        <v/>
      </c>
      <c r="O2302" s="11">
        <f>M2302-N2302</f>
        <v/>
      </c>
    </row>
    <row r="2303">
      <c r="A2303" s="9" t="n">
        <v>45387.875</v>
      </c>
      <c r="B2303" t="n">
        <v>4</v>
      </c>
      <c r="C2303" t="n">
        <v>5</v>
      </c>
      <c r="D2303" t="n">
        <v>21</v>
      </c>
      <c r="E2303" s="10" t="n">
        <v>0</v>
      </c>
      <c r="F2303" s="10" t="n">
        <v>0.3275554386133053</v>
      </c>
      <c r="G2303" s="11">
        <f>E2303*Summary!$B$6</f>
        <v/>
      </c>
      <c r="H2303" s="11">
        <f>F2303*Summary!$B$7</f>
        <v/>
      </c>
      <c r="I2303" s="11">
        <f>MAX(0,N2303-M2303)</f>
        <v/>
      </c>
      <c r="J2303" s="11">
        <f>MAX(0,M2303-N2303)</f>
        <v/>
      </c>
      <c r="K2303" s="11">
        <f>O2303</f>
        <v/>
      </c>
      <c r="L2303" s="11">
        <f>L2302+IF(K2303&gt;0,K2303*Summary!$B$9,K2303/Summary!$B$9)</f>
        <v/>
      </c>
      <c r="M2303" s="11">
        <f>G2303+H2303</f>
        <v/>
      </c>
      <c r="N2303" s="11">
        <f>Summary!$C$16*Summary!$B$8</f>
        <v/>
      </c>
      <c r="O2303" s="11">
        <f>M2303-N2303</f>
        <v/>
      </c>
    </row>
    <row r="2304">
      <c r="A2304" s="9" t="n">
        <v>45387.91666666666</v>
      </c>
      <c r="B2304" t="n">
        <v>4</v>
      </c>
      <c r="C2304" t="n">
        <v>5</v>
      </c>
      <c r="D2304" t="n">
        <v>22</v>
      </c>
      <c r="E2304" s="10" t="n">
        <v>0</v>
      </c>
      <c r="F2304" s="10" t="n">
        <v>0.3592569022216565</v>
      </c>
      <c r="G2304" s="11">
        <f>E2304*Summary!$B$6</f>
        <v/>
      </c>
      <c r="H2304" s="11">
        <f>F2304*Summary!$B$7</f>
        <v/>
      </c>
      <c r="I2304" s="11">
        <f>MAX(0,N2304-M2304)</f>
        <v/>
      </c>
      <c r="J2304" s="11">
        <f>MAX(0,M2304-N2304)</f>
        <v/>
      </c>
      <c r="K2304" s="11">
        <f>O2304</f>
        <v/>
      </c>
      <c r="L2304" s="11">
        <f>L2303+IF(K2304&gt;0,K2304*Summary!$B$9,K2304/Summary!$B$9)</f>
        <v/>
      </c>
      <c r="M2304" s="11">
        <f>G2304+H2304</f>
        <v/>
      </c>
      <c r="N2304" s="11">
        <f>Summary!$C$16*Summary!$B$8</f>
        <v/>
      </c>
      <c r="O2304" s="11">
        <f>M2304-N2304</f>
        <v/>
      </c>
    </row>
    <row r="2305">
      <c r="A2305" s="9" t="n">
        <v>45387.95833333334</v>
      </c>
      <c r="B2305" t="n">
        <v>4</v>
      </c>
      <c r="C2305" t="n">
        <v>5</v>
      </c>
      <c r="D2305" t="n">
        <v>23</v>
      </c>
      <c r="E2305" s="10" t="n">
        <v>0</v>
      </c>
      <c r="F2305" s="10" t="n">
        <v>0.3282669427840663</v>
      </c>
      <c r="G2305" s="11">
        <f>E2305*Summary!$B$6</f>
        <v/>
      </c>
      <c r="H2305" s="11">
        <f>F2305*Summary!$B$7</f>
        <v/>
      </c>
      <c r="I2305" s="11">
        <f>MAX(0,N2305-M2305)</f>
        <v/>
      </c>
      <c r="J2305" s="11">
        <f>MAX(0,M2305-N2305)</f>
        <v/>
      </c>
      <c r="K2305" s="11">
        <f>O2305</f>
        <v/>
      </c>
      <c r="L2305" s="11">
        <f>L2304+IF(K2305&gt;0,K2305*Summary!$B$9,K2305/Summary!$B$9)</f>
        <v/>
      </c>
      <c r="M2305" s="11">
        <f>G2305+H2305</f>
        <v/>
      </c>
      <c r="N2305" s="11">
        <f>Summary!$C$16*Summary!$B$8</f>
        <v/>
      </c>
      <c r="O2305" s="11">
        <f>M2305-N2305</f>
        <v/>
      </c>
    </row>
    <row r="2306">
      <c r="A2306" s="9" t="n">
        <v>45388</v>
      </c>
      <c r="B2306" t="n">
        <v>4</v>
      </c>
      <c r="C2306" t="n">
        <v>6</v>
      </c>
      <c r="D2306" t="n">
        <v>0</v>
      </c>
      <c r="E2306" s="10" t="n">
        <v>0</v>
      </c>
      <c r="F2306" s="10" t="n">
        <v>0.3421017461044191</v>
      </c>
      <c r="G2306" s="11">
        <f>E2306*Summary!$B$6</f>
        <v/>
      </c>
      <c r="H2306" s="11">
        <f>F2306*Summary!$B$7</f>
        <v/>
      </c>
      <c r="I2306" s="11">
        <f>MAX(0,N2306-M2306)</f>
        <v/>
      </c>
      <c r="J2306" s="11">
        <f>MAX(0,M2306-N2306)</f>
        <v/>
      </c>
      <c r="K2306" s="11">
        <f>O2306</f>
        <v/>
      </c>
      <c r="L2306" s="11">
        <f>L2305+IF(K2306&gt;0,K2306*Summary!$B$9,K2306/Summary!$B$9)</f>
        <v/>
      </c>
      <c r="M2306" s="11">
        <f>G2306+H2306</f>
        <v/>
      </c>
      <c r="N2306" s="11">
        <f>Summary!$C$16*Summary!$B$8</f>
        <v/>
      </c>
      <c r="O2306" s="11">
        <f>M2306-N2306</f>
        <v/>
      </c>
    </row>
    <row r="2307">
      <c r="A2307" s="9" t="n">
        <v>45388.04166666666</v>
      </c>
      <c r="B2307" t="n">
        <v>4</v>
      </c>
      <c r="C2307" t="n">
        <v>6</v>
      </c>
      <c r="D2307" t="n">
        <v>1</v>
      </c>
      <c r="E2307" s="10" t="n">
        <v>0</v>
      </c>
      <c r="F2307" s="10" t="n">
        <v>0.3214154211397011</v>
      </c>
      <c r="G2307" s="11">
        <f>E2307*Summary!$B$6</f>
        <v/>
      </c>
      <c r="H2307" s="11">
        <f>F2307*Summary!$B$7</f>
        <v/>
      </c>
      <c r="I2307" s="11">
        <f>MAX(0,N2307-M2307)</f>
        <v/>
      </c>
      <c r="J2307" s="11">
        <f>MAX(0,M2307-N2307)</f>
        <v/>
      </c>
      <c r="K2307" s="11">
        <f>O2307</f>
        <v/>
      </c>
      <c r="L2307" s="11">
        <f>L2306+IF(K2307&gt;0,K2307*Summary!$B$9,K2307/Summary!$B$9)</f>
        <v/>
      </c>
      <c r="M2307" s="11">
        <f>G2307+H2307</f>
        <v/>
      </c>
      <c r="N2307" s="11">
        <f>Summary!$C$16*Summary!$B$8</f>
        <v/>
      </c>
      <c r="O2307" s="11">
        <f>M2307-N2307</f>
        <v/>
      </c>
    </row>
    <row r="2308">
      <c r="A2308" s="9" t="n">
        <v>45388.08333333334</v>
      </c>
      <c r="B2308" t="n">
        <v>4</v>
      </c>
      <c r="C2308" t="n">
        <v>6</v>
      </c>
      <c r="D2308" t="n">
        <v>2</v>
      </c>
      <c r="E2308" s="10" t="n">
        <v>0</v>
      </c>
      <c r="F2308" s="10" t="n">
        <v>0.319992412798179</v>
      </c>
      <c r="G2308" s="11">
        <f>E2308*Summary!$B$6</f>
        <v/>
      </c>
      <c r="H2308" s="11">
        <f>F2308*Summary!$B$7</f>
        <v/>
      </c>
      <c r="I2308" s="11">
        <f>MAX(0,N2308-M2308)</f>
        <v/>
      </c>
      <c r="J2308" s="11">
        <f>MAX(0,M2308-N2308)</f>
        <v/>
      </c>
      <c r="K2308" s="11">
        <f>O2308</f>
        <v/>
      </c>
      <c r="L2308" s="11">
        <f>L2307+IF(K2308&gt;0,K2308*Summary!$B$9,K2308/Summary!$B$9)</f>
        <v/>
      </c>
      <c r="M2308" s="11">
        <f>G2308+H2308</f>
        <v/>
      </c>
      <c r="N2308" s="11">
        <f>Summary!$C$16*Summary!$B$8</f>
        <v/>
      </c>
      <c r="O2308" s="11">
        <f>M2308-N2308</f>
        <v/>
      </c>
    </row>
    <row r="2309">
      <c r="A2309" s="9" t="n">
        <v>45388.125</v>
      </c>
      <c r="B2309" t="n">
        <v>4</v>
      </c>
      <c r="C2309" t="n">
        <v>6</v>
      </c>
      <c r="D2309" t="n">
        <v>3</v>
      </c>
      <c r="E2309" s="10" t="n">
        <v>0</v>
      </c>
      <c r="F2309" s="10" t="n">
        <v>0.3192018526084446</v>
      </c>
      <c r="G2309" s="11">
        <f>E2309*Summary!$B$6</f>
        <v/>
      </c>
      <c r="H2309" s="11">
        <f>F2309*Summary!$B$7</f>
        <v/>
      </c>
      <c r="I2309" s="11">
        <f>MAX(0,N2309-M2309)</f>
        <v/>
      </c>
      <c r="J2309" s="11">
        <f>MAX(0,M2309-N2309)</f>
        <v/>
      </c>
      <c r="K2309" s="11">
        <f>O2309</f>
        <v/>
      </c>
      <c r="L2309" s="11">
        <f>L2308+IF(K2309&gt;0,K2309*Summary!$B$9,K2309/Summary!$B$9)</f>
        <v/>
      </c>
      <c r="M2309" s="11">
        <f>G2309+H2309</f>
        <v/>
      </c>
      <c r="N2309" s="11">
        <f>Summary!$C$16*Summary!$B$8</f>
        <v/>
      </c>
      <c r="O2309" s="11">
        <f>M2309-N2309</f>
        <v/>
      </c>
    </row>
    <row r="2310">
      <c r="A2310" s="9" t="n">
        <v>45388.16666666666</v>
      </c>
      <c r="B2310" t="n">
        <v>4</v>
      </c>
      <c r="C2310" t="n">
        <v>6</v>
      </c>
      <c r="D2310" t="n">
        <v>4</v>
      </c>
      <c r="E2310" s="10" t="n">
        <v>0</v>
      </c>
      <c r="F2310" s="10" t="n">
        <v>0.3169355800645392</v>
      </c>
      <c r="G2310" s="11">
        <f>E2310*Summary!$B$6</f>
        <v/>
      </c>
      <c r="H2310" s="11">
        <f>F2310*Summary!$B$7</f>
        <v/>
      </c>
      <c r="I2310" s="11">
        <f>MAX(0,N2310-M2310)</f>
        <v/>
      </c>
      <c r="J2310" s="11">
        <f>MAX(0,M2310-N2310)</f>
        <v/>
      </c>
      <c r="K2310" s="11">
        <f>O2310</f>
        <v/>
      </c>
      <c r="L2310" s="11">
        <f>L2309+IF(K2310&gt;0,K2310*Summary!$B$9,K2310/Summary!$B$9)</f>
        <v/>
      </c>
      <c r="M2310" s="11">
        <f>G2310+H2310</f>
        <v/>
      </c>
      <c r="N2310" s="11">
        <f>Summary!$C$16*Summary!$B$8</f>
        <v/>
      </c>
      <c r="O2310" s="11">
        <f>M2310-N2310</f>
        <v/>
      </c>
    </row>
    <row r="2311">
      <c r="A2311" s="9" t="n">
        <v>45388.20833333334</v>
      </c>
      <c r="B2311" t="n">
        <v>4</v>
      </c>
      <c r="C2311" t="n">
        <v>6</v>
      </c>
      <c r="D2311" t="n">
        <v>5</v>
      </c>
      <c r="E2311" s="10" t="n">
        <v>0</v>
      </c>
      <c r="F2311" s="10" t="n">
        <v>0.3104002824960678</v>
      </c>
      <c r="G2311" s="11">
        <f>E2311*Summary!$B$6</f>
        <v/>
      </c>
      <c r="H2311" s="11">
        <f>F2311*Summary!$B$7</f>
        <v/>
      </c>
      <c r="I2311" s="11">
        <f>MAX(0,N2311-M2311)</f>
        <v/>
      </c>
      <c r="J2311" s="11">
        <f>MAX(0,M2311-N2311)</f>
        <v/>
      </c>
      <c r="K2311" s="11">
        <f>O2311</f>
        <v/>
      </c>
      <c r="L2311" s="11">
        <f>L2310+IF(K2311&gt;0,K2311*Summary!$B$9,K2311/Summary!$B$9)</f>
        <v/>
      </c>
      <c r="M2311" s="11">
        <f>G2311+H2311</f>
        <v/>
      </c>
      <c r="N2311" s="11">
        <f>Summary!$C$16*Summary!$B$8</f>
        <v/>
      </c>
      <c r="O2311" s="11">
        <f>M2311-N2311</f>
        <v/>
      </c>
    </row>
    <row r="2312">
      <c r="A2312" s="9" t="n">
        <v>45388.25</v>
      </c>
      <c r="B2312" t="n">
        <v>4</v>
      </c>
      <c r="C2312" t="n">
        <v>6</v>
      </c>
      <c r="D2312" t="n">
        <v>6</v>
      </c>
      <c r="E2312" s="10" t="n">
        <v>0.022353</v>
      </c>
      <c r="F2312" s="10" t="n">
        <v>0.2984891756374022</v>
      </c>
      <c r="G2312" s="11">
        <f>E2312*Summary!$B$6</f>
        <v/>
      </c>
      <c r="H2312" s="11">
        <f>F2312*Summary!$B$7</f>
        <v/>
      </c>
      <c r="I2312" s="11">
        <f>MAX(0,N2312-M2312)</f>
        <v/>
      </c>
      <c r="J2312" s="11">
        <f>MAX(0,M2312-N2312)</f>
        <v/>
      </c>
      <c r="K2312" s="11">
        <f>O2312</f>
        <v/>
      </c>
      <c r="L2312" s="11">
        <f>L2311+IF(K2312&gt;0,K2312*Summary!$B$9,K2312/Summary!$B$9)</f>
        <v/>
      </c>
      <c r="M2312" s="11">
        <f>G2312+H2312</f>
        <v/>
      </c>
      <c r="N2312" s="11">
        <f>Summary!$C$16*Summary!$B$8</f>
        <v/>
      </c>
      <c r="O2312" s="11">
        <f>M2312-N2312</f>
        <v/>
      </c>
    </row>
    <row r="2313">
      <c r="A2313" s="9" t="n">
        <v>45388.29166666666</v>
      </c>
      <c r="B2313" t="n">
        <v>4</v>
      </c>
      <c r="C2313" t="n">
        <v>6</v>
      </c>
      <c r="D2313" t="n">
        <v>7</v>
      </c>
      <c r="E2313" s="10" t="n">
        <v>0.08081000000000001</v>
      </c>
      <c r="F2313" s="10" t="n">
        <v>0.2728486734836816</v>
      </c>
      <c r="G2313" s="11">
        <f>E2313*Summary!$B$6</f>
        <v/>
      </c>
      <c r="H2313" s="11">
        <f>F2313*Summary!$B$7</f>
        <v/>
      </c>
      <c r="I2313" s="11">
        <f>MAX(0,N2313-M2313)</f>
        <v/>
      </c>
      <c r="J2313" s="11">
        <f>MAX(0,M2313-N2313)</f>
        <v/>
      </c>
      <c r="K2313" s="11">
        <f>O2313</f>
        <v/>
      </c>
      <c r="L2313" s="11">
        <f>L2312+IF(K2313&gt;0,K2313*Summary!$B$9,K2313/Summary!$B$9)</f>
        <v/>
      </c>
      <c r="M2313" s="11">
        <f>G2313+H2313</f>
        <v/>
      </c>
      <c r="N2313" s="11">
        <f>Summary!$C$16*Summary!$B$8</f>
        <v/>
      </c>
      <c r="O2313" s="11">
        <f>M2313-N2313</f>
        <v/>
      </c>
    </row>
    <row r="2314">
      <c r="A2314" s="9" t="n">
        <v>45388.33333333334</v>
      </c>
      <c r="B2314" t="n">
        <v>4</v>
      </c>
      <c r="C2314" t="n">
        <v>6</v>
      </c>
      <c r="D2314" t="n">
        <v>8</v>
      </c>
      <c r="E2314" s="10" t="n">
        <v>0.198816</v>
      </c>
      <c r="F2314" s="10" t="n">
        <v>0.2499224279813827</v>
      </c>
      <c r="G2314" s="11">
        <f>E2314*Summary!$B$6</f>
        <v/>
      </c>
      <c r="H2314" s="11">
        <f>F2314*Summary!$B$7</f>
        <v/>
      </c>
      <c r="I2314" s="11">
        <f>MAX(0,N2314-M2314)</f>
        <v/>
      </c>
      <c r="J2314" s="11">
        <f>MAX(0,M2314-N2314)</f>
        <v/>
      </c>
      <c r="K2314" s="11">
        <f>O2314</f>
        <v/>
      </c>
      <c r="L2314" s="11">
        <f>L2313+IF(K2314&gt;0,K2314*Summary!$B$9,K2314/Summary!$B$9)</f>
        <v/>
      </c>
      <c r="M2314" s="11">
        <f>G2314+H2314</f>
        <v/>
      </c>
      <c r="N2314" s="11">
        <f>Summary!$C$16*Summary!$B$8</f>
        <v/>
      </c>
      <c r="O2314" s="11">
        <f>M2314-N2314</f>
        <v/>
      </c>
    </row>
    <row r="2315">
      <c r="A2315" s="9" t="n">
        <v>45388.375</v>
      </c>
      <c r="B2315" t="n">
        <v>4</v>
      </c>
      <c r="C2315" t="n">
        <v>6</v>
      </c>
      <c r="D2315" t="n">
        <v>9</v>
      </c>
      <c r="E2315" s="10" t="n">
        <v>0.189512</v>
      </c>
      <c r="F2315" s="10" t="n">
        <v>0.2386701212808291</v>
      </c>
      <c r="G2315" s="11">
        <f>E2315*Summary!$B$6</f>
        <v/>
      </c>
      <c r="H2315" s="11">
        <f>F2315*Summary!$B$7</f>
        <v/>
      </c>
      <c r="I2315" s="11">
        <f>MAX(0,N2315-M2315)</f>
        <v/>
      </c>
      <c r="J2315" s="11">
        <f>MAX(0,M2315-N2315)</f>
        <v/>
      </c>
      <c r="K2315" s="11">
        <f>O2315</f>
        <v/>
      </c>
      <c r="L2315" s="11">
        <f>L2314+IF(K2315&gt;0,K2315*Summary!$B$9,K2315/Summary!$B$9)</f>
        <v/>
      </c>
      <c r="M2315" s="11">
        <f>G2315+H2315</f>
        <v/>
      </c>
      <c r="N2315" s="11">
        <f>Summary!$C$16*Summary!$B$8</f>
        <v/>
      </c>
      <c r="O2315" s="11">
        <f>M2315-N2315</f>
        <v/>
      </c>
    </row>
    <row r="2316">
      <c r="A2316" s="9" t="n">
        <v>45388.41666666666</v>
      </c>
      <c r="B2316" t="n">
        <v>4</v>
      </c>
      <c r="C2316" t="n">
        <v>6</v>
      </c>
      <c r="D2316" t="n">
        <v>10</v>
      </c>
      <c r="E2316" s="10" t="n">
        <v>0.21486</v>
      </c>
      <c r="F2316" s="10" t="n">
        <v>0.2436770024824806</v>
      </c>
      <c r="G2316" s="11">
        <f>E2316*Summary!$B$6</f>
        <v/>
      </c>
      <c r="H2316" s="11">
        <f>F2316*Summary!$B$7</f>
        <v/>
      </c>
      <c r="I2316" s="11">
        <f>MAX(0,N2316-M2316)</f>
        <v/>
      </c>
      <c r="J2316" s="11">
        <f>MAX(0,M2316-N2316)</f>
        <v/>
      </c>
      <c r="K2316" s="11">
        <f>O2316</f>
        <v/>
      </c>
      <c r="L2316" s="11">
        <f>L2315+IF(K2316&gt;0,K2316*Summary!$B$9,K2316/Summary!$B$9)</f>
        <v/>
      </c>
      <c r="M2316" s="11">
        <f>G2316+H2316</f>
        <v/>
      </c>
      <c r="N2316" s="11">
        <f>Summary!$C$16*Summary!$B$8</f>
        <v/>
      </c>
      <c r="O2316" s="11">
        <f>M2316-N2316</f>
        <v/>
      </c>
    </row>
    <row r="2317">
      <c r="A2317" s="9" t="n">
        <v>45388.45833333334</v>
      </c>
      <c r="B2317" t="n">
        <v>4</v>
      </c>
      <c r="C2317" t="n">
        <v>6</v>
      </c>
      <c r="D2317" t="n">
        <v>11</v>
      </c>
      <c r="E2317" s="10" t="n">
        <v>0.215069</v>
      </c>
      <c r="F2317" s="10" t="n">
        <v>0.2554036452968749</v>
      </c>
      <c r="G2317" s="11">
        <f>E2317*Summary!$B$6</f>
        <v/>
      </c>
      <c r="H2317" s="11">
        <f>F2317*Summary!$B$7</f>
        <v/>
      </c>
      <c r="I2317" s="11">
        <f>MAX(0,N2317-M2317)</f>
        <v/>
      </c>
      <c r="J2317" s="11">
        <f>MAX(0,M2317-N2317)</f>
        <v/>
      </c>
      <c r="K2317" s="11">
        <f>O2317</f>
        <v/>
      </c>
      <c r="L2317" s="11">
        <f>L2316+IF(K2317&gt;0,K2317*Summary!$B$9,K2317/Summary!$B$9)</f>
        <v/>
      </c>
      <c r="M2317" s="11">
        <f>G2317+H2317</f>
        <v/>
      </c>
      <c r="N2317" s="11">
        <f>Summary!$C$16*Summary!$B$8</f>
        <v/>
      </c>
      <c r="O2317" s="11">
        <f>M2317-N2317</f>
        <v/>
      </c>
    </row>
    <row r="2318">
      <c r="A2318" s="9" t="n">
        <v>45388.5</v>
      </c>
      <c r="B2318" t="n">
        <v>4</v>
      </c>
      <c r="C2318" t="n">
        <v>6</v>
      </c>
      <c r="D2318" t="n">
        <v>12</v>
      </c>
      <c r="E2318" s="10" t="n">
        <v>0.145023</v>
      </c>
      <c r="F2318" s="10" t="n">
        <v>0.2653647036875288</v>
      </c>
      <c r="G2318" s="11">
        <f>E2318*Summary!$B$6</f>
        <v/>
      </c>
      <c r="H2318" s="11">
        <f>F2318*Summary!$B$7</f>
        <v/>
      </c>
      <c r="I2318" s="11">
        <f>MAX(0,N2318-M2318)</f>
        <v/>
      </c>
      <c r="J2318" s="11">
        <f>MAX(0,M2318-N2318)</f>
        <v/>
      </c>
      <c r="K2318" s="11">
        <f>O2318</f>
        <v/>
      </c>
      <c r="L2318" s="11">
        <f>L2317+IF(K2318&gt;0,K2318*Summary!$B$9,K2318/Summary!$B$9)</f>
        <v/>
      </c>
      <c r="M2318" s="11">
        <f>G2318+H2318</f>
        <v/>
      </c>
      <c r="N2318" s="11">
        <f>Summary!$C$16*Summary!$B$8</f>
        <v/>
      </c>
      <c r="O2318" s="11">
        <f>M2318-N2318</f>
        <v/>
      </c>
    </row>
    <row r="2319">
      <c r="A2319" s="9" t="n">
        <v>45388.54166666666</v>
      </c>
      <c r="B2319" t="n">
        <v>4</v>
      </c>
      <c r="C2319" t="n">
        <v>6</v>
      </c>
      <c r="D2319" t="n">
        <v>13</v>
      </c>
      <c r="E2319" s="10" t="n">
        <v>0.151925</v>
      </c>
      <c r="F2319" s="10" t="n">
        <v>0.2774602745904659</v>
      </c>
      <c r="G2319" s="11">
        <f>E2319*Summary!$B$6</f>
        <v/>
      </c>
      <c r="H2319" s="11">
        <f>F2319*Summary!$B$7</f>
        <v/>
      </c>
      <c r="I2319" s="11">
        <f>MAX(0,N2319-M2319)</f>
        <v/>
      </c>
      <c r="J2319" s="11">
        <f>MAX(0,M2319-N2319)</f>
        <v/>
      </c>
      <c r="K2319" s="11">
        <f>O2319</f>
        <v/>
      </c>
      <c r="L2319" s="11">
        <f>L2318+IF(K2319&gt;0,K2319*Summary!$B$9,K2319/Summary!$B$9)</f>
        <v/>
      </c>
      <c r="M2319" s="11">
        <f>G2319+H2319</f>
        <v/>
      </c>
      <c r="N2319" s="11">
        <f>Summary!$C$16*Summary!$B$8</f>
        <v/>
      </c>
      <c r="O2319" s="11">
        <f>M2319-N2319</f>
        <v/>
      </c>
    </row>
    <row r="2320">
      <c r="A2320" s="9" t="n">
        <v>45388.58333333334</v>
      </c>
      <c r="B2320" t="n">
        <v>4</v>
      </c>
      <c r="C2320" t="n">
        <v>6</v>
      </c>
      <c r="D2320" t="n">
        <v>14</v>
      </c>
      <c r="E2320" s="10" t="n">
        <v>0.16138</v>
      </c>
      <c r="F2320" s="10" t="n">
        <v>0.2900828856198925</v>
      </c>
      <c r="G2320" s="11">
        <f>E2320*Summary!$B$6</f>
        <v/>
      </c>
      <c r="H2320" s="11">
        <f>F2320*Summary!$B$7</f>
        <v/>
      </c>
      <c r="I2320" s="11">
        <f>MAX(0,N2320-M2320)</f>
        <v/>
      </c>
      <c r="J2320" s="11">
        <f>MAX(0,M2320-N2320)</f>
        <v/>
      </c>
      <c r="K2320" s="11">
        <f>O2320</f>
        <v/>
      </c>
      <c r="L2320" s="11">
        <f>L2319+IF(K2320&gt;0,K2320*Summary!$B$9,K2320/Summary!$B$9)</f>
        <v/>
      </c>
      <c r="M2320" s="11">
        <f>G2320+H2320</f>
        <v/>
      </c>
      <c r="N2320" s="11">
        <f>Summary!$C$16*Summary!$B$8</f>
        <v/>
      </c>
      <c r="O2320" s="11">
        <f>M2320-N2320</f>
        <v/>
      </c>
    </row>
    <row r="2321">
      <c r="A2321" s="9" t="n">
        <v>45388.625</v>
      </c>
      <c r="B2321" t="n">
        <v>4</v>
      </c>
      <c r="C2321" t="n">
        <v>6</v>
      </c>
      <c r="D2321" t="n">
        <v>15</v>
      </c>
      <c r="E2321" s="10" t="n">
        <v>0.226658</v>
      </c>
      <c r="F2321" s="10" t="n">
        <v>0.2971188713085291</v>
      </c>
      <c r="G2321" s="11">
        <f>E2321*Summary!$B$6</f>
        <v/>
      </c>
      <c r="H2321" s="11">
        <f>F2321*Summary!$B$7</f>
        <v/>
      </c>
      <c r="I2321" s="11">
        <f>MAX(0,N2321-M2321)</f>
        <v/>
      </c>
      <c r="J2321" s="11">
        <f>MAX(0,M2321-N2321)</f>
        <v/>
      </c>
      <c r="K2321" s="11">
        <f>O2321</f>
        <v/>
      </c>
      <c r="L2321" s="11">
        <f>L2320+IF(K2321&gt;0,K2321*Summary!$B$9,K2321/Summary!$B$9)</f>
        <v/>
      </c>
      <c r="M2321" s="11">
        <f>G2321+H2321</f>
        <v/>
      </c>
      <c r="N2321" s="11">
        <f>Summary!$C$16*Summary!$B$8</f>
        <v/>
      </c>
      <c r="O2321" s="11">
        <f>M2321-N2321</f>
        <v/>
      </c>
    </row>
    <row r="2322">
      <c r="A2322" s="9" t="n">
        <v>45388.66666666666</v>
      </c>
      <c r="B2322" t="n">
        <v>4</v>
      </c>
      <c r="C2322" t="n">
        <v>6</v>
      </c>
      <c r="D2322" t="n">
        <v>16</v>
      </c>
      <c r="E2322" s="10" t="n">
        <v>0.124524</v>
      </c>
      <c r="F2322" s="10" t="n">
        <v>0.2877112050506892</v>
      </c>
      <c r="G2322" s="11">
        <f>E2322*Summary!$B$6</f>
        <v/>
      </c>
      <c r="H2322" s="11">
        <f>F2322*Summary!$B$7</f>
        <v/>
      </c>
      <c r="I2322" s="11">
        <f>MAX(0,N2322-M2322)</f>
        <v/>
      </c>
      <c r="J2322" s="11">
        <f>MAX(0,M2322-N2322)</f>
        <v/>
      </c>
      <c r="K2322" s="11">
        <f>O2322</f>
        <v/>
      </c>
      <c r="L2322" s="11">
        <f>L2321+IF(K2322&gt;0,K2322*Summary!$B$9,K2322/Summary!$B$9)</f>
        <v/>
      </c>
      <c r="M2322" s="11">
        <f>G2322+H2322</f>
        <v/>
      </c>
      <c r="N2322" s="11">
        <f>Summary!$C$16*Summary!$B$8</f>
        <v/>
      </c>
      <c r="O2322" s="11">
        <f>M2322-N2322</f>
        <v/>
      </c>
    </row>
    <row r="2323">
      <c r="A2323" s="9" t="n">
        <v>45388.70833333334</v>
      </c>
      <c r="B2323" t="n">
        <v>4</v>
      </c>
      <c r="C2323" t="n">
        <v>6</v>
      </c>
      <c r="D2323" t="n">
        <v>17</v>
      </c>
      <c r="E2323" s="10" t="n">
        <v>0.090263</v>
      </c>
      <c r="F2323" s="10" t="n">
        <v>0.2817292996150319</v>
      </c>
      <c r="G2323" s="11">
        <f>E2323*Summary!$B$6</f>
        <v/>
      </c>
      <c r="H2323" s="11">
        <f>F2323*Summary!$B$7</f>
        <v/>
      </c>
      <c r="I2323" s="11">
        <f>MAX(0,N2323-M2323)</f>
        <v/>
      </c>
      <c r="J2323" s="11">
        <f>MAX(0,M2323-N2323)</f>
        <v/>
      </c>
      <c r="K2323" s="11">
        <f>O2323</f>
        <v/>
      </c>
      <c r="L2323" s="11">
        <f>L2322+IF(K2323&gt;0,K2323*Summary!$B$9,K2323/Summary!$B$9)</f>
        <v/>
      </c>
      <c r="M2323" s="11">
        <f>G2323+H2323</f>
        <v/>
      </c>
      <c r="N2323" s="11">
        <f>Summary!$C$16*Summary!$B$8</f>
        <v/>
      </c>
      <c r="O2323" s="11">
        <f>M2323-N2323</f>
        <v/>
      </c>
    </row>
    <row r="2324">
      <c r="A2324" s="9" t="n">
        <v>45388.75</v>
      </c>
      <c r="B2324" t="n">
        <v>4</v>
      </c>
      <c r="C2324" t="n">
        <v>6</v>
      </c>
      <c r="D2324" t="n">
        <v>18</v>
      </c>
      <c r="E2324" s="10" t="n">
        <v>0.01277</v>
      </c>
      <c r="F2324" s="10" t="n">
        <v>0.2890815093795622</v>
      </c>
      <c r="G2324" s="11">
        <f>E2324*Summary!$B$6</f>
        <v/>
      </c>
      <c r="H2324" s="11">
        <f>F2324*Summary!$B$7</f>
        <v/>
      </c>
      <c r="I2324" s="11">
        <f>MAX(0,N2324-M2324)</f>
        <v/>
      </c>
      <c r="J2324" s="11">
        <f>MAX(0,M2324-N2324)</f>
        <v/>
      </c>
      <c r="K2324" s="11">
        <f>O2324</f>
        <v/>
      </c>
      <c r="L2324" s="11">
        <f>L2323+IF(K2324&gt;0,K2324*Summary!$B$9,K2324/Summary!$B$9)</f>
        <v/>
      </c>
      <c r="M2324" s="11">
        <f>G2324+H2324</f>
        <v/>
      </c>
      <c r="N2324" s="11">
        <f>Summary!$C$16*Summary!$B$8</f>
        <v/>
      </c>
      <c r="O2324" s="11">
        <f>M2324-N2324</f>
        <v/>
      </c>
    </row>
    <row r="2325">
      <c r="A2325" s="9" t="n">
        <v>45388.79166666666</v>
      </c>
      <c r="B2325" t="n">
        <v>4</v>
      </c>
      <c r="C2325" t="n">
        <v>6</v>
      </c>
      <c r="D2325" t="n">
        <v>19</v>
      </c>
      <c r="E2325" s="10" t="n">
        <v>0</v>
      </c>
      <c r="F2325" s="10" t="n">
        <v>0.3120604588945101</v>
      </c>
      <c r="G2325" s="11">
        <f>E2325*Summary!$B$6</f>
        <v/>
      </c>
      <c r="H2325" s="11">
        <f>F2325*Summary!$B$7</f>
        <v/>
      </c>
      <c r="I2325" s="11">
        <f>MAX(0,N2325-M2325)</f>
        <v/>
      </c>
      <c r="J2325" s="11">
        <f>MAX(0,M2325-N2325)</f>
        <v/>
      </c>
      <c r="K2325" s="11">
        <f>O2325</f>
        <v/>
      </c>
      <c r="L2325" s="11">
        <f>L2324+IF(K2325&gt;0,K2325*Summary!$B$9,K2325/Summary!$B$9)</f>
        <v/>
      </c>
      <c r="M2325" s="11">
        <f>G2325+H2325</f>
        <v/>
      </c>
      <c r="N2325" s="11">
        <f>Summary!$C$16*Summary!$B$8</f>
        <v/>
      </c>
      <c r="O2325" s="11">
        <f>M2325-N2325</f>
        <v/>
      </c>
    </row>
    <row r="2326">
      <c r="A2326" s="9" t="n">
        <v>45388.83333333334</v>
      </c>
      <c r="B2326" t="n">
        <v>4</v>
      </c>
      <c r="C2326" t="n">
        <v>6</v>
      </c>
      <c r="D2326" t="n">
        <v>20</v>
      </c>
      <c r="E2326" s="10" t="n">
        <v>0</v>
      </c>
      <c r="F2326" s="10" t="n">
        <v>0.330770383384892</v>
      </c>
      <c r="G2326" s="11">
        <f>E2326*Summary!$B$6</f>
        <v/>
      </c>
      <c r="H2326" s="11">
        <f>F2326*Summary!$B$7</f>
        <v/>
      </c>
      <c r="I2326" s="11">
        <f>MAX(0,N2326-M2326)</f>
        <v/>
      </c>
      <c r="J2326" s="11">
        <f>MAX(0,M2326-N2326)</f>
        <v/>
      </c>
      <c r="K2326" s="11">
        <f>O2326</f>
        <v/>
      </c>
      <c r="L2326" s="11">
        <f>L2325+IF(K2326&gt;0,K2326*Summary!$B$9,K2326/Summary!$B$9)</f>
        <v/>
      </c>
      <c r="M2326" s="11">
        <f>G2326+H2326</f>
        <v/>
      </c>
      <c r="N2326" s="11">
        <f>Summary!$C$16*Summary!$B$8</f>
        <v/>
      </c>
      <c r="O2326" s="11">
        <f>M2326-N2326</f>
        <v/>
      </c>
    </row>
    <row r="2327">
      <c r="A2327" s="9" t="n">
        <v>45388.875</v>
      </c>
      <c r="B2327" t="n">
        <v>4</v>
      </c>
      <c r="C2327" t="n">
        <v>6</v>
      </c>
      <c r="D2327" t="n">
        <v>21</v>
      </c>
      <c r="E2327" s="10" t="n">
        <v>0</v>
      </c>
      <c r="F2327" s="10" t="n">
        <v>0.3405733297375991</v>
      </c>
      <c r="G2327" s="11">
        <f>E2327*Summary!$B$6</f>
        <v/>
      </c>
      <c r="H2327" s="11">
        <f>F2327*Summary!$B$7</f>
        <v/>
      </c>
      <c r="I2327" s="11">
        <f>MAX(0,N2327-M2327)</f>
        <v/>
      </c>
      <c r="J2327" s="11">
        <f>MAX(0,M2327-N2327)</f>
        <v/>
      </c>
      <c r="K2327" s="11">
        <f>O2327</f>
        <v/>
      </c>
      <c r="L2327" s="11">
        <f>L2326+IF(K2327&gt;0,K2327*Summary!$B$9,K2327/Summary!$B$9)</f>
        <v/>
      </c>
      <c r="M2327" s="11">
        <f>G2327+H2327</f>
        <v/>
      </c>
      <c r="N2327" s="11">
        <f>Summary!$C$16*Summary!$B$8</f>
        <v/>
      </c>
      <c r="O2327" s="11">
        <f>M2327-N2327</f>
        <v/>
      </c>
    </row>
    <row r="2328">
      <c r="A2328" s="9" t="n">
        <v>45388.91666666666</v>
      </c>
      <c r="B2328" t="n">
        <v>4</v>
      </c>
      <c r="C2328" t="n">
        <v>6</v>
      </c>
      <c r="D2328" t="n">
        <v>22</v>
      </c>
      <c r="E2328" s="10" t="n">
        <v>0</v>
      </c>
      <c r="F2328" s="10" t="n">
        <v>0.3456329149518996</v>
      </c>
      <c r="G2328" s="11">
        <f>E2328*Summary!$B$6</f>
        <v/>
      </c>
      <c r="H2328" s="11">
        <f>F2328*Summary!$B$7</f>
        <v/>
      </c>
      <c r="I2328" s="11">
        <f>MAX(0,N2328-M2328)</f>
        <v/>
      </c>
      <c r="J2328" s="11">
        <f>MAX(0,M2328-N2328)</f>
        <v/>
      </c>
      <c r="K2328" s="11">
        <f>O2328</f>
        <v/>
      </c>
      <c r="L2328" s="11">
        <f>L2327+IF(K2328&gt;0,K2328*Summary!$B$9,K2328/Summary!$B$9)</f>
        <v/>
      </c>
      <c r="M2328" s="11">
        <f>G2328+H2328</f>
        <v/>
      </c>
      <c r="N2328" s="11">
        <f>Summary!$C$16*Summary!$B$8</f>
        <v/>
      </c>
      <c r="O2328" s="11">
        <f>M2328-N2328</f>
        <v/>
      </c>
    </row>
    <row r="2329">
      <c r="A2329" s="9" t="n">
        <v>45388.95833333334</v>
      </c>
      <c r="B2329" t="n">
        <v>4</v>
      </c>
      <c r="C2329" t="n">
        <v>6</v>
      </c>
      <c r="D2329" t="n">
        <v>23</v>
      </c>
      <c r="E2329" s="10" t="n">
        <v>0</v>
      </c>
      <c r="F2329" s="10" t="n">
        <v>0.342207154129717</v>
      </c>
      <c r="G2329" s="11">
        <f>E2329*Summary!$B$6</f>
        <v/>
      </c>
      <c r="H2329" s="11">
        <f>F2329*Summary!$B$7</f>
        <v/>
      </c>
      <c r="I2329" s="11">
        <f>MAX(0,N2329-M2329)</f>
        <v/>
      </c>
      <c r="J2329" s="11">
        <f>MAX(0,M2329-N2329)</f>
        <v/>
      </c>
      <c r="K2329" s="11">
        <f>O2329</f>
        <v/>
      </c>
      <c r="L2329" s="11">
        <f>L2328+IF(K2329&gt;0,K2329*Summary!$B$9,K2329/Summary!$B$9)</f>
        <v/>
      </c>
      <c r="M2329" s="11">
        <f>G2329+H2329</f>
        <v/>
      </c>
      <c r="N2329" s="11">
        <f>Summary!$C$16*Summary!$B$8</f>
        <v/>
      </c>
      <c r="O2329" s="11">
        <f>M2329-N2329</f>
        <v/>
      </c>
    </row>
    <row r="2330">
      <c r="A2330" s="9" t="n">
        <v>45389</v>
      </c>
      <c r="B2330" t="n">
        <v>4</v>
      </c>
      <c r="C2330" t="n">
        <v>7</v>
      </c>
      <c r="D2330" t="n">
        <v>0</v>
      </c>
      <c r="E2330" s="10" t="n">
        <v>0</v>
      </c>
      <c r="F2330" s="10" t="n">
        <v>0.3130091311221915</v>
      </c>
      <c r="G2330" s="11">
        <f>E2330*Summary!$B$6</f>
        <v/>
      </c>
      <c r="H2330" s="11">
        <f>F2330*Summary!$B$7</f>
        <v/>
      </c>
      <c r="I2330" s="11">
        <f>MAX(0,N2330-M2330)</f>
        <v/>
      </c>
      <c r="J2330" s="11">
        <f>MAX(0,M2330-N2330)</f>
        <v/>
      </c>
      <c r="K2330" s="11">
        <f>O2330</f>
        <v/>
      </c>
      <c r="L2330" s="11">
        <f>L2329+IF(K2330&gt;0,K2330*Summary!$B$9,K2330/Summary!$B$9)</f>
        <v/>
      </c>
      <c r="M2330" s="11">
        <f>G2330+H2330</f>
        <v/>
      </c>
      <c r="N2330" s="11">
        <f>Summary!$C$16*Summary!$B$8</f>
        <v/>
      </c>
      <c r="O2330" s="11">
        <f>M2330-N2330</f>
        <v/>
      </c>
    </row>
    <row r="2331">
      <c r="A2331" s="9" t="n">
        <v>45389.04166666666</v>
      </c>
      <c r="B2331" t="n">
        <v>4</v>
      </c>
      <c r="C2331" t="n">
        <v>7</v>
      </c>
      <c r="D2331" t="n">
        <v>1</v>
      </c>
      <c r="E2331" s="10" t="n">
        <v>0</v>
      </c>
      <c r="F2331" s="10" t="n">
        <v>0.3426814902435577</v>
      </c>
      <c r="G2331" s="11">
        <f>E2331*Summary!$B$6</f>
        <v/>
      </c>
      <c r="H2331" s="11">
        <f>F2331*Summary!$B$7</f>
        <v/>
      </c>
      <c r="I2331" s="11">
        <f>MAX(0,N2331-M2331)</f>
        <v/>
      </c>
      <c r="J2331" s="11">
        <f>MAX(0,M2331-N2331)</f>
        <v/>
      </c>
      <c r="K2331" s="11">
        <f>O2331</f>
        <v/>
      </c>
      <c r="L2331" s="11">
        <f>L2330+IF(K2331&gt;0,K2331*Summary!$B$9,K2331/Summary!$B$9)</f>
        <v/>
      </c>
      <c r="M2331" s="11">
        <f>G2331+H2331</f>
        <v/>
      </c>
      <c r="N2331" s="11">
        <f>Summary!$C$16*Summary!$B$8</f>
        <v/>
      </c>
      <c r="O2331" s="11">
        <f>M2331-N2331</f>
        <v/>
      </c>
    </row>
    <row r="2332">
      <c r="A2332" s="9" t="n">
        <v>45389.08333333334</v>
      </c>
      <c r="B2332" t="n">
        <v>4</v>
      </c>
      <c r="C2332" t="n">
        <v>7</v>
      </c>
      <c r="D2332" t="n">
        <v>2</v>
      </c>
      <c r="E2332" s="10" t="n">
        <v>0</v>
      </c>
      <c r="F2332" s="10" t="n">
        <v>0.3473721473693154</v>
      </c>
      <c r="G2332" s="11">
        <f>E2332*Summary!$B$6</f>
        <v/>
      </c>
      <c r="H2332" s="11">
        <f>F2332*Summary!$B$7</f>
        <v/>
      </c>
      <c r="I2332" s="11">
        <f>MAX(0,N2332-M2332)</f>
        <v/>
      </c>
      <c r="J2332" s="11">
        <f>MAX(0,M2332-N2332)</f>
        <v/>
      </c>
      <c r="K2332" s="11">
        <f>O2332</f>
        <v/>
      </c>
      <c r="L2332" s="11">
        <f>L2331+IF(K2332&gt;0,K2332*Summary!$B$9,K2332/Summary!$B$9)</f>
        <v/>
      </c>
      <c r="M2332" s="11">
        <f>G2332+H2332</f>
        <v/>
      </c>
      <c r="N2332" s="11">
        <f>Summary!$C$16*Summary!$B$8</f>
        <v/>
      </c>
      <c r="O2332" s="11">
        <f>M2332-N2332</f>
        <v/>
      </c>
    </row>
    <row r="2333">
      <c r="A2333" s="9" t="n">
        <v>45389.125</v>
      </c>
      <c r="B2333" t="n">
        <v>4</v>
      </c>
      <c r="C2333" t="n">
        <v>7</v>
      </c>
      <c r="D2333" t="n">
        <v>3</v>
      </c>
      <c r="E2333" s="10" t="n">
        <v>0</v>
      </c>
      <c r="F2333" s="10" t="n">
        <v>0.3476620194388846</v>
      </c>
      <c r="G2333" s="11">
        <f>E2333*Summary!$B$6</f>
        <v/>
      </c>
      <c r="H2333" s="11">
        <f>F2333*Summary!$B$7</f>
        <v/>
      </c>
      <c r="I2333" s="11">
        <f>MAX(0,N2333-M2333)</f>
        <v/>
      </c>
      <c r="J2333" s="11">
        <f>MAX(0,M2333-N2333)</f>
        <v/>
      </c>
      <c r="K2333" s="11">
        <f>O2333</f>
        <v/>
      </c>
      <c r="L2333" s="11">
        <f>L2332+IF(K2333&gt;0,K2333*Summary!$B$9,K2333/Summary!$B$9)</f>
        <v/>
      </c>
      <c r="M2333" s="11">
        <f>G2333+H2333</f>
        <v/>
      </c>
      <c r="N2333" s="11">
        <f>Summary!$C$16*Summary!$B$8</f>
        <v/>
      </c>
      <c r="O2333" s="11">
        <f>M2333-N2333</f>
        <v/>
      </c>
    </row>
    <row r="2334">
      <c r="A2334" s="9" t="n">
        <v>45389.16666666666</v>
      </c>
      <c r="B2334" t="n">
        <v>4</v>
      </c>
      <c r="C2334" t="n">
        <v>7</v>
      </c>
      <c r="D2334" t="n">
        <v>4</v>
      </c>
      <c r="E2334" s="10" t="n">
        <v>0</v>
      </c>
      <c r="F2334" s="10" t="n">
        <v>0.3474512033882888</v>
      </c>
      <c r="G2334" s="11">
        <f>E2334*Summary!$B$6</f>
        <v/>
      </c>
      <c r="H2334" s="11">
        <f>F2334*Summary!$B$7</f>
        <v/>
      </c>
      <c r="I2334" s="11">
        <f>MAX(0,N2334-M2334)</f>
        <v/>
      </c>
      <c r="J2334" s="11">
        <f>MAX(0,M2334-N2334)</f>
        <v/>
      </c>
      <c r="K2334" s="11">
        <f>O2334</f>
        <v/>
      </c>
      <c r="L2334" s="11">
        <f>L2333+IF(K2334&gt;0,K2334*Summary!$B$9,K2334/Summary!$B$9)</f>
        <v/>
      </c>
      <c r="M2334" s="11">
        <f>G2334+H2334</f>
        <v/>
      </c>
      <c r="N2334" s="11">
        <f>Summary!$C$16*Summary!$B$8</f>
        <v/>
      </c>
      <c r="O2334" s="11">
        <f>M2334-N2334</f>
        <v/>
      </c>
    </row>
    <row r="2335">
      <c r="A2335" s="9" t="n">
        <v>45389.20833333334</v>
      </c>
      <c r="B2335" t="n">
        <v>4</v>
      </c>
      <c r="C2335" t="n">
        <v>7</v>
      </c>
      <c r="D2335" t="n">
        <v>5</v>
      </c>
      <c r="E2335" s="10" t="n">
        <v>0</v>
      </c>
      <c r="F2335" s="10" t="n">
        <v>0.3444470746672979</v>
      </c>
      <c r="G2335" s="11">
        <f>E2335*Summary!$B$6</f>
        <v/>
      </c>
      <c r="H2335" s="11">
        <f>F2335*Summary!$B$7</f>
        <v/>
      </c>
      <c r="I2335" s="11">
        <f>MAX(0,N2335-M2335)</f>
        <v/>
      </c>
      <c r="J2335" s="11">
        <f>MAX(0,M2335-N2335)</f>
        <v/>
      </c>
      <c r="K2335" s="11">
        <f>O2335</f>
        <v/>
      </c>
      <c r="L2335" s="11">
        <f>L2334+IF(K2335&gt;0,K2335*Summary!$B$9,K2335/Summary!$B$9)</f>
        <v/>
      </c>
      <c r="M2335" s="11">
        <f>G2335+H2335</f>
        <v/>
      </c>
      <c r="N2335" s="11">
        <f>Summary!$C$16*Summary!$B$8</f>
        <v/>
      </c>
      <c r="O2335" s="11">
        <f>M2335-N2335</f>
        <v/>
      </c>
    </row>
    <row r="2336">
      <c r="A2336" s="9" t="n">
        <v>45389.25</v>
      </c>
      <c r="B2336" t="n">
        <v>4</v>
      </c>
      <c r="C2336" t="n">
        <v>7</v>
      </c>
      <c r="D2336" t="n">
        <v>6</v>
      </c>
      <c r="E2336" s="10" t="n">
        <v>0.043984</v>
      </c>
      <c r="F2336" s="10" t="n">
        <v>0.3343542562450215</v>
      </c>
      <c r="G2336" s="11">
        <f>E2336*Summary!$B$6</f>
        <v/>
      </c>
      <c r="H2336" s="11">
        <f>F2336*Summary!$B$7</f>
        <v/>
      </c>
      <c r="I2336" s="11">
        <f>MAX(0,N2336-M2336)</f>
        <v/>
      </c>
      <c r="J2336" s="11">
        <f>MAX(0,M2336-N2336)</f>
        <v/>
      </c>
      <c r="K2336" s="11">
        <f>O2336</f>
        <v/>
      </c>
      <c r="L2336" s="11">
        <f>L2335+IF(K2336&gt;0,K2336*Summary!$B$9,K2336/Summary!$B$9)</f>
        <v/>
      </c>
      <c r="M2336" s="11">
        <f>G2336+H2336</f>
        <v/>
      </c>
      <c r="N2336" s="11">
        <f>Summary!$C$16*Summary!$B$8</f>
        <v/>
      </c>
      <c r="O2336" s="11">
        <f>M2336-N2336</f>
        <v/>
      </c>
    </row>
    <row r="2337">
      <c r="A2337" s="9" t="n">
        <v>45389.29166666666</v>
      </c>
      <c r="B2337" t="n">
        <v>4</v>
      </c>
      <c r="C2337" t="n">
        <v>7</v>
      </c>
      <c r="D2337" t="n">
        <v>7</v>
      </c>
      <c r="E2337" s="10" t="n">
        <v>0.24718</v>
      </c>
      <c r="F2337" s="10" t="n">
        <v>0.3117969388312653</v>
      </c>
      <c r="G2337" s="11">
        <f>E2337*Summary!$B$6</f>
        <v/>
      </c>
      <c r="H2337" s="11">
        <f>F2337*Summary!$B$7</f>
        <v/>
      </c>
      <c r="I2337" s="11">
        <f>MAX(0,N2337-M2337)</f>
        <v/>
      </c>
      <c r="J2337" s="11">
        <f>MAX(0,M2337-N2337)</f>
        <v/>
      </c>
      <c r="K2337" s="11">
        <f>O2337</f>
        <v/>
      </c>
      <c r="L2337" s="11">
        <f>L2336+IF(K2337&gt;0,K2337*Summary!$B$9,K2337/Summary!$B$9)</f>
        <v/>
      </c>
      <c r="M2337" s="11">
        <f>G2337+H2337</f>
        <v/>
      </c>
      <c r="N2337" s="11">
        <f>Summary!$C$16*Summary!$B$8</f>
        <v/>
      </c>
      <c r="O2337" s="11">
        <f>M2337-N2337</f>
        <v/>
      </c>
    </row>
    <row r="2338">
      <c r="A2338" s="9" t="n">
        <v>45389.33333333334</v>
      </c>
      <c r="B2338" t="n">
        <v>4</v>
      </c>
      <c r="C2338" t="n">
        <v>7</v>
      </c>
      <c r="D2338" t="n">
        <v>8</v>
      </c>
      <c r="E2338" s="10" t="n">
        <v>0.46776</v>
      </c>
      <c r="F2338" s="10" t="n">
        <v>0.3031798327631599</v>
      </c>
      <c r="G2338" s="11">
        <f>E2338*Summary!$B$6</f>
        <v/>
      </c>
      <c r="H2338" s="11">
        <f>F2338*Summary!$B$7</f>
        <v/>
      </c>
      <c r="I2338" s="11">
        <f>MAX(0,N2338-M2338)</f>
        <v/>
      </c>
      <c r="J2338" s="11">
        <f>MAX(0,M2338-N2338)</f>
        <v/>
      </c>
      <c r="K2338" s="11">
        <f>O2338</f>
        <v/>
      </c>
      <c r="L2338" s="11">
        <f>L2337+IF(K2338&gt;0,K2338*Summary!$B$9,K2338/Summary!$B$9)</f>
        <v/>
      </c>
      <c r="M2338" s="11">
        <f>G2338+H2338</f>
        <v/>
      </c>
      <c r="N2338" s="11">
        <f>Summary!$C$16*Summary!$B$8</f>
        <v/>
      </c>
      <c r="O2338" s="11">
        <f>M2338-N2338</f>
        <v/>
      </c>
    </row>
    <row r="2339">
      <c r="A2339" s="9" t="n">
        <v>45389.375</v>
      </c>
      <c r="B2339" t="n">
        <v>4</v>
      </c>
      <c r="C2339" t="n">
        <v>7</v>
      </c>
      <c r="D2339" t="n">
        <v>9</v>
      </c>
      <c r="E2339" s="10" t="n">
        <v>0.648154</v>
      </c>
      <c r="F2339" s="10" t="n">
        <v>0.3038649849275964</v>
      </c>
      <c r="G2339" s="11">
        <f>E2339*Summary!$B$6</f>
        <v/>
      </c>
      <c r="H2339" s="11">
        <f>F2339*Summary!$B$7</f>
        <v/>
      </c>
      <c r="I2339" s="11">
        <f>MAX(0,N2339-M2339)</f>
        <v/>
      </c>
      <c r="J2339" s="11">
        <f>MAX(0,M2339-N2339)</f>
        <v/>
      </c>
      <c r="K2339" s="11">
        <f>O2339</f>
        <v/>
      </c>
      <c r="L2339" s="11">
        <f>L2338+IF(K2339&gt;0,K2339*Summary!$B$9,K2339/Summary!$B$9)</f>
        <v/>
      </c>
      <c r="M2339" s="11">
        <f>G2339+H2339</f>
        <v/>
      </c>
      <c r="N2339" s="11">
        <f>Summary!$C$16*Summary!$B$8</f>
        <v/>
      </c>
      <c r="O2339" s="11">
        <f>M2339-N2339</f>
        <v/>
      </c>
    </row>
    <row r="2340">
      <c r="A2340" s="9" t="n">
        <v>45389.41666666666</v>
      </c>
      <c r="B2340" t="n">
        <v>4</v>
      </c>
      <c r="C2340" t="n">
        <v>7</v>
      </c>
      <c r="D2340" t="n">
        <v>10</v>
      </c>
      <c r="E2340" s="10" t="n">
        <v>0.754058</v>
      </c>
      <c r="F2340" s="10" t="n">
        <v>0.3126665550399732</v>
      </c>
      <c r="G2340" s="11">
        <f>E2340*Summary!$B$6</f>
        <v/>
      </c>
      <c r="H2340" s="11">
        <f>F2340*Summary!$B$7</f>
        <v/>
      </c>
      <c r="I2340" s="11">
        <f>MAX(0,N2340-M2340)</f>
        <v/>
      </c>
      <c r="J2340" s="11">
        <f>MAX(0,M2340-N2340)</f>
        <v/>
      </c>
      <c r="K2340" s="11">
        <f>O2340</f>
        <v/>
      </c>
      <c r="L2340" s="11">
        <f>L2339+IF(K2340&gt;0,K2340*Summary!$B$9,K2340/Summary!$B$9)</f>
        <v/>
      </c>
      <c r="M2340" s="11">
        <f>G2340+H2340</f>
        <v/>
      </c>
      <c r="N2340" s="11">
        <f>Summary!$C$16*Summary!$B$8</f>
        <v/>
      </c>
      <c r="O2340" s="11">
        <f>M2340-N2340</f>
        <v/>
      </c>
    </row>
    <row r="2341">
      <c r="A2341" s="9" t="n">
        <v>45389.45833333334</v>
      </c>
      <c r="B2341" t="n">
        <v>4</v>
      </c>
      <c r="C2341" t="n">
        <v>7</v>
      </c>
      <c r="D2341" t="n">
        <v>11</v>
      </c>
      <c r="E2341" s="10" t="n">
        <v>0.7111229999999999</v>
      </c>
      <c r="F2341" s="10" t="n">
        <v>0.3233918216140372</v>
      </c>
      <c r="G2341" s="11">
        <f>E2341*Summary!$B$6</f>
        <v/>
      </c>
      <c r="H2341" s="11">
        <f>F2341*Summary!$B$7</f>
        <v/>
      </c>
      <c r="I2341" s="11">
        <f>MAX(0,N2341-M2341)</f>
        <v/>
      </c>
      <c r="J2341" s="11">
        <f>MAX(0,M2341-N2341)</f>
        <v/>
      </c>
      <c r="K2341" s="11">
        <f>O2341</f>
        <v/>
      </c>
      <c r="L2341" s="11">
        <f>L2340+IF(K2341&gt;0,K2341*Summary!$B$9,K2341/Summary!$B$9)</f>
        <v/>
      </c>
      <c r="M2341" s="11">
        <f>G2341+H2341</f>
        <v/>
      </c>
      <c r="N2341" s="11">
        <f>Summary!$C$16*Summary!$B$8</f>
        <v/>
      </c>
      <c r="O2341" s="11">
        <f>M2341-N2341</f>
        <v/>
      </c>
    </row>
    <row r="2342">
      <c r="A2342" s="9" t="n">
        <v>45389.5</v>
      </c>
      <c r="B2342" t="n">
        <v>4</v>
      </c>
      <c r="C2342" t="n">
        <v>7</v>
      </c>
      <c r="D2342" t="n">
        <v>12</v>
      </c>
      <c r="E2342" s="10" t="n">
        <v>0.637469</v>
      </c>
      <c r="F2342" s="10" t="n">
        <v>0.3555939733425536</v>
      </c>
      <c r="G2342" s="11">
        <f>E2342*Summary!$B$6</f>
        <v/>
      </c>
      <c r="H2342" s="11">
        <f>F2342*Summary!$B$7</f>
        <v/>
      </c>
      <c r="I2342" s="11">
        <f>MAX(0,N2342-M2342)</f>
        <v/>
      </c>
      <c r="J2342" s="11">
        <f>MAX(0,M2342-N2342)</f>
        <v/>
      </c>
      <c r="K2342" s="11">
        <f>O2342</f>
        <v/>
      </c>
      <c r="L2342" s="11">
        <f>L2341+IF(K2342&gt;0,K2342*Summary!$B$9,K2342/Summary!$B$9)</f>
        <v/>
      </c>
      <c r="M2342" s="11">
        <f>G2342+H2342</f>
        <v/>
      </c>
      <c r="N2342" s="11">
        <f>Summary!$C$16*Summary!$B$8</f>
        <v/>
      </c>
      <c r="O2342" s="11">
        <f>M2342-N2342</f>
        <v/>
      </c>
    </row>
    <row r="2343">
      <c r="A2343" s="9" t="n">
        <v>45389.54166666666</v>
      </c>
      <c r="B2343" t="n">
        <v>4</v>
      </c>
      <c r="C2343" t="n">
        <v>7</v>
      </c>
      <c r="D2343" t="n">
        <v>13</v>
      </c>
      <c r="E2343" s="10" t="n">
        <v>0.739534</v>
      </c>
      <c r="F2343" s="10" t="n">
        <v>0.3307440313785676</v>
      </c>
      <c r="G2343" s="11">
        <f>E2343*Summary!$B$6</f>
        <v/>
      </c>
      <c r="H2343" s="11">
        <f>F2343*Summary!$B$7</f>
        <v/>
      </c>
      <c r="I2343" s="11">
        <f>MAX(0,N2343-M2343)</f>
        <v/>
      </c>
      <c r="J2343" s="11">
        <f>MAX(0,M2343-N2343)</f>
        <v/>
      </c>
      <c r="K2343" s="11">
        <f>O2343</f>
        <v/>
      </c>
      <c r="L2343" s="11">
        <f>L2342+IF(K2343&gt;0,K2343*Summary!$B$9,K2343/Summary!$B$9)</f>
        <v/>
      </c>
      <c r="M2343" s="11">
        <f>G2343+H2343</f>
        <v/>
      </c>
      <c r="N2343" s="11">
        <f>Summary!$C$16*Summary!$B$8</f>
        <v/>
      </c>
      <c r="O2343" s="11">
        <f>M2343-N2343</f>
        <v/>
      </c>
    </row>
    <row r="2344">
      <c r="A2344" s="9" t="n">
        <v>45389.58333333334</v>
      </c>
      <c r="B2344" t="n">
        <v>4</v>
      </c>
      <c r="C2344" t="n">
        <v>7</v>
      </c>
      <c r="D2344" t="n">
        <v>14</v>
      </c>
      <c r="E2344" s="10" t="n">
        <v>0.705555</v>
      </c>
      <c r="F2344" s="10" t="n">
        <v>0.3296635991192638</v>
      </c>
      <c r="G2344" s="11">
        <f>E2344*Summary!$B$6</f>
        <v/>
      </c>
      <c r="H2344" s="11">
        <f>F2344*Summary!$B$7</f>
        <v/>
      </c>
      <c r="I2344" s="11">
        <f>MAX(0,N2344-M2344)</f>
        <v/>
      </c>
      <c r="J2344" s="11">
        <f>MAX(0,M2344-N2344)</f>
        <v/>
      </c>
      <c r="K2344" s="11">
        <f>O2344</f>
        <v/>
      </c>
      <c r="L2344" s="11">
        <f>L2343+IF(K2344&gt;0,K2344*Summary!$B$9,K2344/Summary!$B$9)</f>
        <v/>
      </c>
      <c r="M2344" s="11">
        <f>G2344+H2344</f>
        <v/>
      </c>
      <c r="N2344" s="11">
        <f>Summary!$C$16*Summary!$B$8</f>
        <v/>
      </c>
      <c r="O2344" s="11">
        <f>M2344-N2344</f>
        <v/>
      </c>
    </row>
    <row r="2345">
      <c r="A2345" s="9" t="n">
        <v>45389.625</v>
      </c>
      <c r="B2345" t="n">
        <v>4</v>
      </c>
      <c r="C2345" t="n">
        <v>7</v>
      </c>
      <c r="D2345" t="n">
        <v>15</v>
      </c>
      <c r="E2345" s="10" t="n">
        <v>0.550126</v>
      </c>
      <c r="F2345" s="10" t="n">
        <v>0.3208620290068869</v>
      </c>
      <c r="G2345" s="11">
        <f>E2345*Summary!$B$6</f>
        <v/>
      </c>
      <c r="H2345" s="11">
        <f>F2345*Summary!$B$7</f>
        <v/>
      </c>
      <c r="I2345" s="11">
        <f>MAX(0,N2345-M2345)</f>
        <v/>
      </c>
      <c r="J2345" s="11">
        <f>MAX(0,M2345-N2345)</f>
        <v/>
      </c>
      <c r="K2345" s="11">
        <f>O2345</f>
        <v/>
      </c>
      <c r="L2345" s="11">
        <f>L2344+IF(K2345&gt;0,K2345*Summary!$B$9,K2345/Summary!$B$9)</f>
        <v/>
      </c>
      <c r="M2345" s="11">
        <f>G2345+H2345</f>
        <v/>
      </c>
      <c r="N2345" s="11">
        <f>Summary!$C$16*Summary!$B$8</f>
        <v/>
      </c>
      <c r="O2345" s="11">
        <f>M2345-N2345</f>
        <v/>
      </c>
    </row>
    <row r="2346">
      <c r="A2346" s="9" t="n">
        <v>45389.66666666666</v>
      </c>
      <c r="B2346" t="n">
        <v>4</v>
      </c>
      <c r="C2346" t="n">
        <v>7</v>
      </c>
      <c r="D2346" t="n">
        <v>16</v>
      </c>
      <c r="E2346" s="10" t="n">
        <v>0.336333</v>
      </c>
      <c r="F2346" s="10" t="n">
        <v>0.3083448260027583</v>
      </c>
      <c r="G2346" s="11">
        <f>E2346*Summary!$B$6</f>
        <v/>
      </c>
      <c r="H2346" s="11">
        <f>F2346*Summary!$B$7</f>
        <v/>
      </c>
      <c r="I2346" s="11">
        <f>MAX(0,N2346-M2346)</f>
        <v/>
      </c>
      <c r="J2346" s="11">
        <f>MAX(0,M2346-N2346)</f>
        <v/>
      </c>
      <c r="K2346" s="11">
        <f>O2346</f>
        <v/>
      </c>
      <c r="L2346" s="11">
        <f>L2345+IF(K2346&gt;0,K2346*Summary!$B$9,K2346/Summary!$B$9)</f>
        <v/>
      </c>
      <c r="M2346" s="11">
        <f>G2346+H2346</f>
        <v/>
      </c>
      <c r="N2346" s="11">
        <f>Summary!$C$16*Summary!$B$8</f>
        <v/>
      </c>
      <c r="O2346" s="11">
        <f>M2346-N2346</f>
        <v/>
      </c>
    </row>
    <row r="2347">
      <c r="A2347" s="9" t="n">
        <v>45389.70833333334</v>
      </c>
      <c r="B2347" t="n">
        <v>4</v>
      </c>
      <c r="C2347" t="n">
        <v>7</v>
      </c>
      <c r="D2347" t="n">
        <v>17</v>
      </c>
      <c r="E2347" s="10" t="n">
        <v>0.10638</v>
      </c>
      <c r="F2347" s="10" t="n">
        <v>0.2929025502966121</v>
      </c>
      <c r="G2347" s="11">
        <f>E2347*Summary!$B$6</f>
        <v/>
      </c>
      <c r="H2347" s="11">
        <f>F2347*Summary!$B$7</f>
        <v/>
      </c>
      <c r="I2347" s="11">
        <f>MAX(0,N2347-M2347)</f>
        <v/>
      </c>
      <c r="J2347" s="11">
        <f>MAX(0,M2347-N2347)</f>
        <v/>
      </c>
      <c r="K2347" s="11">
        <f>O2347</f>
        <v/>
      </c>
      <c r="L2347" s="11">
        <f>L2346+IF(K2347&gt;0,K2347*Summary!$B$9,K2347/Summary!$B$9)</f>
        <v/>
      </c>
      <c r="M2347" s="11">
        <f>G2347+H2347</f>
        <v/>
      </c>
      <c r="N2347" s="11">
        <f>Summary!$C$16*Summary!$B$8</f>
        <v/>
      </c>
      <c r="O2347" s="11">
        <f>M2347-N2347</f>
        <v/>
      </c>
    </row>
    <row r="2348">
      <c r="A2348" s="9" t="n">
        <v>45389.75</v>
      </c>
      <c r="B2348" t="n">
        <v>4</v>
      </c>
      <c r="C2348" t="n">
        <v>7</v>
      </c>
      <c r="D2348" t="n">
        <v>18</v>
      </c>
      <c r="E2348" s="10" t="n">
        <v>0.015288</v>
      </c>
      <c r="F2348" s="10" t="n">
        <v>0.2942992066318096</v>
      </c>
      <c r="G2348" s="11">
        <f>E2348*Summary!$B$6</f>
        <v/>
      </c>
      <c r="H2348" s="11">
        <f>F2348*Summary!$B$7</f>
        <v/>
      </c>
      <c r="I2348" s="11">
        <f>MAX(0,N2348-M2348)</f>
        <v/>
      </c>
      <c r="J2348" s="11">
        <f>MAX(0,M2348-N2348)</f>
        <v/>
      </c>
      <c r="K2348" s="11">
        <f>O2348</f>
        <v/>
      </c>
      <c r="L2348" s="11">
        <f>L2347+IF(K2348&gt;0,K2348*Summary!$B$9,K2348/Summary!$B$9)</f>
        <v/>
      </c>
      <c r="M2348" s="11">
        <f>G2348+H2348</f>
        <v/>
      </c>
      <c r="N2348" s="11">
        <f>Summary!$C$16*Summary!$B$8</f>
        <v/>
      </c>
      <c r="O2348" s="11">
        <f>M2348-N2348</f>
        <v/>
      </c>
    </row>
    <row r="2349">
      <c r="A2349" s="9" t="n">
        <v>45389.79166666666</v>
      </c>
      <c r="B2349" t="n">
        <v>4</v>
      </c>
      <c r="C2349" t="n">
        <v>7</v>
      </c>
      <c r="D2349" t="n">
        <v>19</v>
      </c>
      <c r="E2349" s="10" t="n">
        <v>0</v>
      </c>
      <c r="F2349" s="10" t="n">
        <v>0.3039176889402453</v>
      </c>
      <c r="G2349" s="11">
        <f>E2349*Summary!$B$6</f>
        <v/>
      </c>
      <c r="H2349" s="11">
        <f>F2349*Summary!$B$7</f>
        <v/>
      </c>
      <c r="I2349" s="11">
        <f>MAX(0,N2349-M2349)</f>
        <v/>
      </c>
      <c r="J2349" s="11">
        <f>MAX(0,M2349-N2349)</f>
        <v/>
      </c>
      <c r="K2349" s="11">
        <f>O2349</f>
        <v/>
      </c>
      <c r="L2349" s="11">
        <f>L2348+IF(K2349&gt;0,K2349*Summary!$B$9,K2349/Summary!$B$9)</f>
        <v/>
      </c>
      <c r="M2349" s="11">
        <f>G2349+H2349</f>
        <v/>
      </c>
      <c r="N2349" s="11">
        <f>Summary!$C$16*Summary!$B$8</f>
        <v/>
      </c>
      <c r="O2349" s="11">
        <f>M2349-N2349</f>
        <v/>
      </c>
    </row>
    <row r="2350">
      <c r="A2350" s="9" t="n">
        <v>45389.83333333334</v>
      </c>
      <c r="B2350" t="n">
        <v>4</v>
      </c>
      <c r="C2350" t="n">
        <v>7</v>
      </c>
      <c r="D2350" t="n">
        <v>20</v>
      </c>
      <c r="E2350" s="10" t="n">
        <v>0</v>
      </c>
      <c r="F2350" s="10" t="n">
        <v>0.3401780496427319</v>
      </c>
      <c r="G2350" s="11">
        <f>E2350*Summary!$B$6</f>
        <v/>
      </c>
      <c r="H2350" s="11">
        <f>F2350*Summary!$B$7</f>
        <v/>
      </c>
      <c r="I2350" s="11">
        <f>MAX(0,N2350-M2350)</f>
        <v/>
      </c>
      <c r="J2350" s="11">
        <f>MAX(0,M2350-N2350)</f>
        <v/>
      </c>
      <c r="K2350" s="11">
        <f>O2350</f>
        <v/>
      </c>
      <c r="L2350" s="11">
        <f>L2349+IF(K2350&gt;0,K2350*Summary!$B$9,K2350/Summary!$B$9)</f>
        <v/>
      </c>
      <c r="M2350" s="11">
        <f>G2350+H2350</f>
        <v/>
      </c>
      <c r="N2350" s="11">
        <f>Summary!$C$16*Summary!$B$8</f>
        <v/>
      </c>
      <c r="O2350" s="11">
        <f>M2350-N2350</f>
        <v/>
      </c>
    </row>
    <row r="2351">
      <c r="A2351" s="9" t="n">
        <v>45389.875</v>
      </c>
      <c r="B2351" t="n">
        <v>4</v>
      </c>
      <c r="C2351" t="n">
        <v>7</v>
      </c>
      <c r="D2351" t="n">
        <v>21</v>
      </c>
      <c r="E2351" s="10" t="n">
        <v>0</v>
      </c>
      <c r="F2351" s="10" t="n">
        <v>0.3183322363997367</v>
      </c>
      <c r="G2351" s="11">
        <f>E2351*Summary!$B$6</f>
        <v/>
      </c>
      <c r="H2351" s="11">
        <f>F2351*Summary!$B$7</f>
        <v/>
      </c>
      <c r="I2351" s="11">
        <f>MAX(0,N2351-M2351)</f>
        <v/>
      </c>
      <c r="J2351" s="11">
        <f>MAX(0,M2351-N2351)</f>
        <v/>
      </c>
      <c r="K2351" s="11">
        <f>O2351</f>
        <v/>
      </c>
      <c r="L2351" s="11">
        <f>L2350+IF(K2351&gt;0,K2351*Summary!$B$9,K2351/Summary!$B$9)</f>
        <v/>
      </c>
      <c r="M2351" s="11">
        <f>G2351+H2351</f>
        <v/>
      </c>
      <c r="N2351" s="11">
        <f>Summary!$C$16*Summary!$B$8</f>
        <v/>
      </c>
      <c r="O2351" s="11">
        <f>M2351-N2351</f>
        <v/>
      </c>
    </row>
    <row r="2352">
      <c r="A2352" s="9" t="n">
        <v>45389.91666666666</v>
      </c>
      <c r="B2352" t="n">
        <v>4</v>
      </c>
      <c r="C2352" t="n">
        <v>7</v>
      </c>
      <c r="D2352" t="n">
        <v>22</v>
      </c>
      <c r="E2352" s="10" t="n">
        <v>0</v>
      </c>
      <c r="F2352" s="10" t="n">
        <v>0.3245776618986388</v>
      </c>
      <c r="G2352" s="11">
        <f>E2352*Summary!$B$6</f>
        <v/>
      </c>
      <c r="H2352" s="11">
        <f>F2352*Summary!$B$7</f>
        <v/>
      </c>
      <c r="I2352" s="11">
        <f>MAX(0,N2352-M2352)</f>
        <v/>
      </c>
      <c r="J2352" s="11">
        <f>MAX(0,M2352-N2352)</f>
        <v/>
      </c>
      <c r="K2352" s="11">
        <f>O2352</f>
        <v/>
      </c>
      <c r="L2352" s="11">
        <f>L2351+IF(K2352&gt;0,K2352*Summary!$B$9,K2352/Summary!$B$9)</f>
        <v/>
      </c>
      <c r="M2352" s="11">
        <f>G2352+H2352</f>
        <v/>
      </c>
      <c r="N2352" s="11">
        <f>Summary!$C$16*Summary!$B$8</f>
        <v/>
      </c>
      <c r="O2352" s="11">
        <f>M2352-N2352</f>
        <v/>
      </c>
    </row>
    <row r="2353">
      <c r="A2353" s="9" t="n">
        <v>45389.95833333334</v>
      </c>
      <c r="B2353" t="n">
        <v>4</v>
      </c>
      <c r="C2353" t="n">
        <v>7</v>
      </c>
      <c r="D2353" t="n">
        <v>23</v>
      </c>
      <c r="E2353" s="10" t="n">
        <v>0</v>
      </c>
      <c r="F2353" s="10" t="n">
        <v>0.3190437405704977</v>
      </c>
      <c r="G2353" s="11">
        <f>E2353*Summary!$B$6</f>
        <v/>
      </c>
      <c r="H2353" s="11">
        <f>F2353*Summary!$B$7</f>
        <v/>
      </c>
      <c r="I2353" s="11">
        <f>MAX(0,N2353-M2353)</f>
        <v/>
      </c>
      <c r="J2353" s="11">
        <f>MAX(0,M2353-N2353)</f>
        <v/>
      </c>
      <c r="K2353" s="11">
        <f>O2353</f>
        <v/>
      </c>
      <c r="L2353" s="11">
        <f>L2352+IF(K2353&gt;0,K2353*Summary!$B$9,K2353/Summary!$B$9)</f>
        <v/>
      </c>
      <c r="M2353" s="11">
        <f>G2353+H2353</f>
        <v/>
      </c>
      <c r="N2353" s="11">
        <f>Summary!$C$16*Summary!$B$8</f>
        <v/>
      </c>
      <c r="O2353" s="11">
        <f>M2353-N2353</f>
        <v/>
      </c>
    </row>
    <row r="2354">
      <c r="A2354" s="9" t="n">
        <v>45390</v>
      </c>
      <c r="B2354" t="n">
        <v>4</v>
      </c>
      <c r="C2354" t="n">
        <v>8</v>
      </c>
      <c r="D2354" t="n">
        <v>0</v>
      </c>
      <c r="E2354" s="10" t="n">
        <v>0</v>
      </c>
      <c r="F2354" s="10" t="n">
        <v>0.3544081330579519</v>
      </c>
      <c r="G2354" s="11">
        <f>E2354*Summary!$B$6</f>
        <v/>
      </c>
      <c r="H2354" s="11">
        <f>F2354*Summary!$B$7</f>
        <v/>
      </c>
      <c r="I2354" s="11">
        <f>MAX(0,N2354-M2354)</f>
        <v/>
      </c>
      <c r="J2354" s="11">
        <f>MAX(0,M2354-N2354)</f>
        <v/>
      </c>
      <c r="K2354" s="11">
        <f>O2354</f>
        <v/>
      </c>
      <c r="L2354" s="11">
        <f>L2353+IF(K2354&gt;0,K2354*Summary!$B$9,K2354/Summary!$B$9)</f>
        <v/>
      </c>
      <c r="M2354" s="11">
        <f>G2354+H2354</f>
        <v/>
      </c>
      <c r="N2354" s="11">
        <f>Summary!$C$16*Summary!$B$8</f>
        <v/>
      </c>
      <c r="O2354" s="11">
        <f>M2354-N2354</f>
        <v/>
      </c>
    </row>
    <row r="2355">
      <c r="A2355" s="9" t="n">
        <v>45390.04166666666</v>
      </c>
      <c r="B2355" t="n">
        <v>4</v>
      </c>
      <c r="C2355" t="n">
        <v>8</v>
      </c>
      <c r="D2355" t="n">
        <v>1</v>
      </c>
      <c r="E2355" s="10" t="n">
        <v>0</v>
      </c>
      <c r="F2355" s="10" t="n">
        <v>0.3091353861924927</v>
      </c>
      <c r="G2355" s="11">
        <f>E2355*Summary!$B$6</f>
        <v/>
      </c>
      <c r="H2355" s="11">
        <f>F2355*Summary!$B$7</f>
        <v/>
      </c>
      <c r="I2355" s="11">
        <f>MAX(0,N2355-M2355)</f>
        <v/>
      </c>
      <c r="J2355" s="11">
        <f>MAX(0,M2355-N2355)</f>
        <v/>
      </c>
      <c r="K2355" s="11">
        <f>O2355</f>
        <v/>
      </c>
      <c r="L2355" s="11">
        <f>L2354+IF(K2355&gt;0,K2355*Summary!$B$9,K2355/Summary!$B$9)</f>
        <v/>
      </c>
      <c r="M2355" s="11">
        <f>G2355+H2355</f>
        <v/>
      </c>
      <c r="N2355" s="11">
        <f>Summary!$C$16*Summary!$B$8</f>
        <v/>
      </c>
      <c r="O2355" s="11">
        <f>M2355-N2355</f>
        <v/>
      </c>
    </row>
    <row r="2356">
      <c r="A2356" s="9" t="n">
        <v>45390.08333333334</v>
      </c>
      <c r="B2356" t="n">
        <v>4</v>
      </c>
      <c r="C2356" t="n">
        <v>8</v>
      </c>
      <c r="D2356" t="n">
        <v>2</v>
      </c>
      <c r="E2356" s="10" t="n">
        <v>0</v>
      </c>
      <c r="F2356" s="10" t="n">
        <v>0.3078177858762686</v>
      </c>
      <c r="G2356" s="11">
        <f>E2356*Summary!$B$6</f>
        <v/>
      </c>
      <c r="H2356" s="11">
        <f>F2356*Summary!$B$7</f>
        <v/>
      </c>
      <c r="I2356" s="11">
        <f>MAX(0,N2356-M2356)</f>
        <v/>
      </c>
      <c r="J2356" s="11">
        <f>MAX(0,M2356-N2356)</f>
        <v/>
      </c>
      <c r="K2356" s="11">
        <f>O2356</f>
        <v/>
      </c>
      <c r="L2356" s="11">
        <f>L2355+IF(K2356&gt;0,K2356*Summary!$B$9,K2356/Summary!$B$9)</f>
        <v/>
      </c>
      <c r="M2356" s="11">
        <f>G2356+H2356</f>
        <v/>
      </c>
      <c r="N2356" s="11">
        <f>Summary!$C$16*Summary!$B$8</f>
        <v/>
      </c>
      <c r="O2356" s="11">
        <f>M2356-N2356</f>
        <v/>
      </c>
    </row>
    <row r="2357">
      <c r="A2357" s="9" t="n">
        <v>45390.125</v>
      </c>
      <c r="B2357" t="n">
        <v>4</v>
      </c>
      <c r="C2357" t="n">
        <v>8</v>
      </c>
      <c r="D2357" t="n">
        <v>3</v>
      </c>
      <c r="E2357" s="10" t="n">
        <v>0</v>
      </c>
      <c r="F2357" s="10" t="n">
        <v>0.3155125717230172</v>
      </c>
      <c r="G2357" s="11">
        <f>E2357*Summary!$B$6</f>
        <v/>
      </c>
      <c r="H2357" s="11">
        <f>F2357*Summary!$B$7</f>
        <v/>
      </c>
      <c r="I2357" s="11">
        <f>MAX(0,N2357-M2357)</f>
        <v/>
      </c>
      <c r="J2357" s="11">
        <f>MAX(0,M2357-N2357)</f>
        <v/>
      </c>
      <c r="K2357" s="11">
        <f>O2357</f>
        <v/>
      </c>
      <c r="L2357" s="11">
        <f>L2356+IF(K2357&gt;0,K2357*Summary!$B$9,K2357/Summary!$B$9)</f>
        <v/>
      </c>
      <c r="M2357" s="11">
        <f>G2357+H2357</f>
        <v/>
      </c>
      <c r="N2357" s="11">
        <f>Summary!$C$16*Summary!$B$8</f>
        <v/>
      </c>
      <c r="O2357" s="11">
        <f>M2357-N2357</f>
        <v/>
      </c>
    </row>
    <row r="2358">
      <c r="A2358" s="9" t="n">
        <v>45390.16666666666</v>
      </c>
      <c r="B2358" t="n">
        <v>4</v>
      </c>
      <c r="C2358" t="n">
        <v>8</v>
      </c>
      <c r="D2358" t="n">
        <v>4</v>
      </c>
      <c r="E2358" s="10" t="n">
        <v>0</v>
      </c>
      <c r="F2358" s="10" t="n">
        <v>0.3168038200329168</v>
      </c>
      <c r="G2358" s="11">
        <f>E2358*Summary!$B$6</f>
        <v/>
      </c>
      <c r="H2358" s="11">
        <f>F2358*Summary!$B$7</f>
        <v/>
      </c>
      <c r="I2358" s="11">
        <f>MAX(0,N2358-M2358)</f>
        <v/>
      </c>
      <c r="J2358" s="11">
        <f>MAX(0,M2358-N2358)</f>
        <v/>
      </c>
      <c r="K2358" s="11">
        <f>O2358</f>
        <v/>
      </c>
      <c r="L2358" s="11">
        <f>L2357+IF(K2358&gt;0,K2358*Summary!$B$9,K2358/Summary!$B$9)</f>
        <v/>
      </c>
      <c r="M2358" s="11">
        <f>G2358+H2358</f>
        <v/>
      </c>
      <c r="N2358" s="11">
        <f>Summary!$C$16*Summary!$B$8</f>
        <v/>
      </c>
      <c r="O2358" s="11">
        <f>M2358-N2358</f>
        <v/>
      </c>
    </row>
    <row r="2359">
      <c r="A2359" s="9" t="n">
        <v>45390.20833333334</v>
      </c>
      <c r="B2359" t="n">
        <v>4</v>
      </c>
      <c r="C2359" t="n">
        <v>8</v>
      </c>
      <c r="D2359" t="n">
        <v>5</v>
      </c>
      <c r="E2359" s="10" t="n">
        <v>0</v>
      </c>
      <c r="F2359" s="10" t="n">
        <v>0.3152754036660969</v>
      </c>
      <c r="G2359" s="11">
        <f>E2359*Summary!$B$6</f>
        <v/>
      </c>
      <c r="H2359" s="11">
        <f>F2359*Summary!$B$7</f>
        <v/>
      </c>
      <c r="I2359" s="11">
        <f>MAX(0,N2359-M2359)</f>
        <v/>
      </c>
      <c r="J2359" s="11">
        <f>MAX(0,M2359-N2359)</f>
        <v/>
      </c>
      <c r="K2359" s="11">
        <f>O2359</f>
        <v/>
      </c>
      <c r="L2359" s="11">
        <f>L2358+IF(K2359&gt;0,K2359*Summary!$B$9,K2359/Summary!$B$9)</f>
        <v/>
      </c>
      <c r="M2359" s="11">
        <f>G2359+H2359</f>
        <v/>
      </c>
      <c r="N2359" s="11">
        <f>Summary!$C$16*Summary!$B$8</f>
        <v/>
      </c>
      <c r="O2359" s="11">
        <f>M2359-N2359</f>
        <v/>
      </c>
    </row>
    <row r="2360">
      <c r="A2360" s="9" t="n">
        <v>45390.25</v>
      </c>
      <c r="B2360" t="n">
        <v>4</v>
      </c>
      <c r="C2360" t="n">
        <v>8</v>
      </c>
      <c r="D2360" t="n">
        <v>6</v>
      </c>
      <c r="E2360" s="10" t="n">
        <v>0.046651</v>
      </c>
      <c r="F2360" s="10" t="n">
        <v>0.3068164096359383</v>
      </c>
      <c r="G2360" s="11">
        <f>E2360*Summary!$B$6</f>
        <v/>
      </c>
      <c r="H2360" s="11">
        <f>F2360*Summary!$B$7</f>
        <v/>
      </c>
      <c r="I2360" s="11">
        <f>MAX(0,N2360-M2360)</f>
        <v/>
      </c>
      <c r="J2360" s="11">
        <f>MAX(0,M2360-N2360)</f>
        <v/>
      </c>
      <c r="K2360" s="11">
        <f>O2360</f>
        <v/>
      </c>
      <c r="L2360" s="11">
        <f>L2359+IF(K2360&gt;0,K2360*Summary!$B$9,K2360/Summary!$B$9)</f>
        <v/>
      </c>
      <c r="M2360" s="11">
        <f>G2360+H2360</f>
        <v/>
      </c>
      <c r="N2360" s="11">
        <f>Summary!$C$16*Summary!$B$8</f>
        <v/>
      </c>
      <c r="O2360" s="11">
        <f>M2360-N2360</f>
        <v/>
      </c>
    </row>
    <row r="2361">
      <c r="A2361" s="9" t="n">
        <v>45390.29166666666</v>
      </c>
      <c r="B2361" t="n">
        <v>4</v>
      </c>
      <c r="C2361" t="n">
        <v>8</v>
      </c>
      <c r="D2361" t="n">
        <v>7</v>
      </c>
      <c r="E2361" s="10" t="n">
        <v>0.142273</v>
      </c>
      <c r="F2361" s="10" t="n">
        <v>0.2840219241652618</v>
      </c>
      <c r="G2361" s="11">
        <f>E2361*Summary!$B$6</f>
        <v/>
      </c>
      <c r="H2361" s="11">
        <f>F2361*Summary!$B$7</f>
        <v/>
      </c>
      <c r="I2361" s="11">
        <f>MAX(0,N2361-M2361)</f>
        <v/>
      </c>
      <c r="J2361" s="11">
        <f>MAX(0,M2361-N2361)</f>
        <v/>
      </c>
      <c r="K2361" s="11">
        <f>O2361</f>
        <v/>
      </c>
      <c r="L2361" s="11">
        <f>L2360+IF(K2361&gt;0,K2361*Summary!$B$9,K2361/Summary!$B$9)</f>
        <v/>
      </c>
      <c r="M2361" s="11">
        <f>G2361+H2361</f>
        <v/>
      </c>
      <c r="N2361" s="11">
        <f>Summary!$C$16*Summary!$B$8</f>
        <v/>
      </c>
      <c r="O2361" s="11">
        <f>M2361-N2361</f>
        <v/>
      </c>
    </row>
    <row r="2362">
      <c r="A2362" s="9" t="n">
        <v>45390.33333333334</v>
      </c>
      <c r="B2362" t="n">
        <v>4</v>
      </c>
      <c r="C2362" t="n">
        <v>8</v>
      </c>
      <c r="D2362" t="n">
        <v>8</v>
      </c>
      <c r="E2362" s="10" t="n">
        <v>0.338398</v>
      </c>
      <c r="F2362" s="10" t="n">
        <v>0.271610129186431</v>
      </c>
      <c r="G2362" s="11">
        <f>E2362*Summary!$B$6</f>
        <v/>
      </c>
      <c r="H2362" s="11">
        <f>F2362*Summary!$B$7</f>
        <v/>
      </c>
      <c r="I2362" s="11">
        <f>MAX(0,N2362-M2362)</f>
        <v/>
      </c>
      <c r="J2362" s="11">
        <f>MAX(0,M2362-N2362)</f>
        <v/>
      </c>
      <c r="K2362" s="11">
        <f>O2362</f>
        <v/>
      </c>
      <c r="L2362" s="11">
        <f>L2361+IF(K2362&gt;0,K2362*Summary!$B$9,K2362/Summary!$B$9)</f>
        <v/>
      </c>
      <c r="M2362" s="11">
        <f>G2362+H2362</f>
        <v/>
      </c>
      <c r="N2362" s="11">
        <f>Summary!$C$16*Summary!$B$8</f>
        <v/>
      </c>
      <c r="O2362" s="11">
        <f>M2362-N2362</f>
        <v/>
      </c>
    </row>
    <row r="2363">
      <c r="A2363" s="9" t="n">
        <v>45390.375</v>
      </c>
      <c r="B2363" t="n">
        <v>4</v>
      </c>
      <c r="C2363" t="n">
        <v>8</v>
      </c>
      <c r="D2363" t="n">
        <v>9</v>
      </c>
      <c r="E2363" s="10" t="n">
        <v>0.6300210000000001</v>
      </c>
      <c r="F2363" s="10" t="n">
        <v>0.2695546726931214</v>
      </c>
      <c r="G2363" s="11">
        <f>E2363*Summary!$B$6</f>
        <v/>
      </c>
      <c r="H2363" s="11">
        <f>F2363*Summary!$B$7</f>
        <v/>
      </c>
      <c r="I2363" s="11">
        <f>MAX(0,N2363-M2363)</f>
        <v/>
      </c>
      <c r="J2363" s="11">
        <f>MAX(0,M2363-N2363)</f>
        <v/>
      </c>
      <c r="K2363" s="11">
        <f>O2363</f>
        <v/>
      </c>
      <c r="L2363" s="11">
        <f>L2362+IF(K2363&gt;0,K2363*Summary!$B$9,K2363/Summary!$B$9)</f>
        <v/>
      </c>
      <c r="M2363" s="11">
        <f>G2363+H2363</f>
        <v/>
      </c>
      <c r="N2363" s="11">
        <f>Summary!$C$16*Summary!$B$8</f>
        <v/>
      </c>
      <c r="O2363" s="11">
        <f>M2363-N2363</f>
        <v/>
      </c>
    </row>
    <row r="2364">
      <c r="A2364" s="9" t="n">
        <v>45390.41666666666</v>
      </c>
      <c r="B2364" t="n">
        <v>4</v>
      </c>
      <c r="C2364" t="n">
        <v>8</v>
      </c>
      <c r="D2364" t="n">
        <v>10</v>
      </c>
      <c r="E2364" s="10" t="n">
        <v>0.754058</v>
      </c>
      <c r="F2364" s="10" t="n">
        <v>0.2792785630268551</v>
      </c>
      <c r="G2364" s="11">
        <f>E2364*Summary!$B$6</f>
        <v/>
      </c>
      <c r="H2364" s="11">
        <f>F2364*Summary!$B$7</f>
        <v/>
      </c>
      <c r="I2364" s="11">
        <f>MAX(0,N2364-M2364)</f>
        <v/>
      </c>
      <c r="J2364" s="11">
        <f>MAX(0,M2364-N2364)</f>
        <v/>
      </c>
      <c r="K2364" s="11">
        <f>O2364</f>
        <v/>
      </c>
      <c r="L2364" s="11">
        <f>L2363+IF(K2364&gt;0,K2364*Summary!$B$9,K2364/Summary!$B$9)</f>
        <v/>
      </c>
      <c r="M2364" s="11">
        <f>G2364+H2364</f>
        <v/>
      </c>
      <c r="N2364" s="11">
        <f>Summary!$C$16*Summary!$B$8</f>
        <v/>
      </c>
      <c r="O2364" s="11">
        <f>M2364-N2364</f>
        <v/>
      </c>
    </row>
    <row r="2365">
      <c r="A2365" s="9" t="n">
        <v>45390.45833333334</v>
      </c>
      <c r="B2365" t="n">
        <v>4</v>
      </c>
      <c r="C2365" t="n">
        <v>8</v>
      </c>
      <c r="D2365" t="n">
        <v>11</v>
      </c>
      <c r="E2365" s="10" t="n">
        <v>0.754058</v>
      </c>
      <c r="F2365" s="10" t="n">
        <v>0.2894767894744295</v>
      </c>
      <c r="G2365" s="11">
        <f>E2365*Summary!$B$6</f>
        <v/>
      </c>
      <c r="H2365" s="11">
        <f>F2365*Summary!$B$7</f>
        <v/>
      </c>
      <c r="I2365" s="11">
        <f>MAX(0,N2365-M2365)</f>
        <v/>
      </c>
      <c r="J2365" s="11">
        <f>MAX(0,M2365-N2365)</f>
        <v/>
      </c>
      <c r="K2365" s="11">
        <f>O2365</f>
        <v/>
      </c>
      <c r="L2365" s="11">
        <f>L2364+IF(K2365&gt;0,K2365*Summary!$B$9,K2365/Summary!$B$9)</f>
        <v/>
      </c>
      <c r="M2365" s="11">
        <f>G2365+H2365</f>
        <v/>
      </c>
      <c r="N2365" s="11">
        <f>Summary!$C$16*Summary!$B$8</f>
        <v/>
      </c>
      <c r="O2365" s="11">
        <f>M2365-N2365</f>
        <v/>
      </c>
    </row>
    <row r="2366">
      <c r="A2366" s="9" t="n">
        <v>45390.5</v>
      </c>
      <c r="B2366" t="n">
        <v>4</v>
      </c>
      <c r="C2366" t="n">
        <v>8</v>
      </c>
      <c r="D2366" t="n">
        <v>12</v>
      </c>
      <c r="E2366" s="10" t="n">
        <v>0.754058</v>
      </c>
      <c r="F2366" s="10" t="n">
        <v>0.3044710810730594</v>
      </c>
      <c r="G2366" s="11">
        <f>E2366*Summary!$B$6</f>
        <v/>
      </c>
      <c r="H2366" s="11">
        <f>F2366*Summary!$B$7</f>
        <v/>
      </c>
      <c r="I2366" s="11">
        <f>MAX(0,N2366-M2366)</f>
        <v/>
      </c>
      <c r="J2366" s="11">
        <f>MAX(0,M2366-N2366)</f>
        <v/>
      </c>
      <c r="K2366" s="11">
        <f>O2366</f>
        <v/>
      </c>
      <c r="L2366" s="11">
        <f>L2365+IF(K2366&gt;0,K2366*Summary!$B$9,K2366/Summary!$B$9)</f>
        <v/>
      </c>
      <c r="M2366" s="11">
        <f>G2366+H2366</f>
        <v/>
      </c>
      <c r="N2366" s="11">
        <f>Summary!$C$16*Summary!$B$8</f>
        <v/>
      </c>
      <c r="O2366" s="11">
        <f>M2366-N2366</f>
        <v/>
      </c>
    </row>
    <row r="2367">
      <c r="A2367" s="9" t="n">
        <v>45390.54166666666</v>
      </c>
      <c r="B2367" t="n">
        <v>4</v>
      </c>
      <c r="C2367" t="n">
        <v>8</v>
      </c>
      <c r="D2367" t="n">
        <v>13</v>
      </c>
      <c r="E2367" s="10" t="n">
        <v>0.754058</v>
      </c>
      <c r="F2367" s="10" t="n">
        <v>0.3130881871411649</v>
      </c>
      <c r="G2367" s="11">
        <f>E2367*Summary!$B$6</f>
        <v/>
      </c>
      <c r="H2367" s="11">
        <f>F2367*Summary!$B$7</f>
        <v/>
      </c>
      <c r="I2367" s="11">
        <f>MAX(0,N2367-M2367)</f>
        <v/>
      </c>
      <c r="J2367" s="11">
        <f>MAX(0,M2367-N2367)</f>
        <v/>
      </c>
      <c r="K2367" s="11">
        <f>O2367</f>
        <v/>
      </c>
      <c r="L2367" s="11">
        <f>L2366+IF(K2367&gt;0,K2367*Summary!$B$9,K2367/Summary!$B$9)</f>
        <v/>
      </c>
      <c r="M2367" s="11">
        <f>G2367+H2367</f>
        <v/>
      </c>
      <c r="N2367" s="11">
        <f>Summary!$C$16*Summary!$B$8</f>
        <v/>
      </c>
      <c r="O2367" s="11">
        <f>M2367-N2367</f>
        <v/>
      </c>
    </row>
    <row r="2368">
      <c r="A2368" s="9" t="n">
        <v>45390.58333333334</v>
      </c>
      <c r="B2368" t="n">
        <v>4</v>
      </c>
      <c r="C2368" t="n">
        <v>8</v>
      </c>
      <c r="D2368" t="n">
        <v>14</v>
      </c>
      <c r="E2368" s="10" t="n">
        <v>0.6888030000000001</v>
      </c>
      <c r="F2368" s="10" t="n">
        <v>0.3230755975381434</v>
      </c>
      <c r="G2368" s="11">
        <f>E2368*Summary!$B$6</f>
        <v/>
      </c>
      <c r="H2368" s="11">
        <f>F2368*Summary!$B$7</f>
        <v/>
      </c>
      <c r="I2368" s="11">
        <f>MAX(0,N2368-M2368)</f>
        <v/>
      </c>
      <c r="J2368" s="11">
        <f>MAX(0,M2368-N2368)</f>
        <v/>
      </c>
      <c r="K2368" s="11">
        <f>O2368</f>
        <v/>
      </c>
      <c r="L2368" s="11">
        <f>L2367+IF(K2368&gt;0,K2368*Summary!$B$9,K2368/Summary!$B$9)</f>
        <v/>
      </c>
      <c r="M2368" s="11">
        <f>G2368+H2368</f>
        <v/>
      </c>
      <c r="N2368" s="11">
        <f>Summary!$C$16*Summary!$B$8</f>
        <v/>
      </c>
      <c r="O2368" s="11">
        <f>M2368-N2368</f>
        <v/>
      </c>
    </row>
    <row r="2369">
      <c r="A2369" s="9" t="n">
        <v>45390.625</v>
      </c>
      <c r="B2369" t="n">
        <v>4</v>
      </c>
      <c r="C2369" t="n">
        <v>8</v>
      </c>
      <c r="D2369" t="n">
        <v>15</v>
      </c>
      <c r="E2369" s="10" t="n">
        <v>0.5353</v>
      </c>
      <c r="F2369" s="10" t="n">
        <v>0.3230228935254945</v>
      </c>
      <c r="G2369" s="11">
        <f>E2369*Summary!$B$6</f>
        <v/>
      </c>
      <c r="H2369" s="11">
        <f>F2369*Summary!$B$7</f>
        <v/>
      </c>
      <c r="I2369" s="11">
        <f>MAX(0,N2369-M2369)</f>
        <v/>
      </c>
      <c r="J2369" s="11">
        <f>MAX(0,M2369-N2369)</f>
        <v/>
      </c>
      <c r="K2369" s="11">
        <f>O2369</f>
        <v/>
      </c>
      <c r="L2369" s="11">
        <f>L2368+IF(K2369&gt;0,K2369*Summary!$B$9,K2369/Summary!$B$9)</f>
        <v/>
      </c>
      <c r="M2369" s="11">
        <f>G2369+H2369</f>
        <v/>
      </c>
      <c r="N2369" s="11">
        <f>Summary!$C$16*Summary!$B$8</f>
        <v/>
      </c>
      <c r="O2369" s="11">
        <f>M2369-N2369</f>
        <v/>
      </c>
    </row>
    <row r="2370">
      <c r="A2370" s="9" t="n">
        <v>45390.66666666666</v>
      </c>
      <c r="B2370" t="n">
        <v>4</v>
      </c>
      <c r="C2370" t="n">
        <v>8</v>
      </c>
      <c r="D2370" t="n">
        <v>16</v>
      </c>
      <c r="E2370" s="10" t="n">
        <v>0.327841</v>
      </c>
      <c r="F2370" s="10" t="n">
        <v>0.3150382356091765</v>
      </c>
      <c r="G2370" s="11">
        <f>E2370*Summary!$B$6</f>
        <v/>
      </c>
      <c r="H2370" s="11">
        <f>F2370*Summary!$B$7</f>
        <v/>
      </c>
      <c r="I2370" s="11">
        <f>MAX(0,N2370-M2370)</f>
        <v/>
      </c>
      <c r="J2370" s="11">
        <f>MAX(0,M2370-N2370)</f>
        <v/>
      </c>
      <c r="K2370" s="11">
        <f>O2370</f>
        <v/>
      </c>
      <c r="L2370" s="11">
        <f>L2369+IF(K2370&gt;0,K2370*Summary!$B$9,K2370/Summary!$B$9)</f>
        <v/>
      </c>
      <c r="M2370" s="11">
        <f>G2370+H2370</f>
        <v/>
      </c>
      <c r="N2370" s="11">
        <f>Summary!$C$16*Summary!$B$8</f>
        <v/>
      </c>
      <c r="O2370" s="11">
        <f>M2370-N2370</f>
        <v/>
      </c>
    </row>
    <row r="2371">
      <c r="A2371" s="9" t="n">
        <v>45390.70833333334</v>
      </c>
      <c r="B2371" t="n">
        <v>4</v>
      </c>
      <c r="C2371" t="n">
        <v>8</v>
      </c>
      <c r="D2371" t="n">
        <v>17</v>
      </c>
      <c r="E2371" s="10" t="n">
        <v>0.119037</v>
      </c>
      <c r="F2371" s="10" t="n">
        <v>0.3034960568390536</v>
      </c>
      <c r="G2371" s="11">
        <f>E2371*Summary!$B$6</f>
        <v/>
      </c>
      <c r="H2371" s="11">
        <f>F2371*Summary!$B$7</f>
        <v/>
      </c>
      <c r="I2371" s="11">
        <f>MAX(0,N2371-M2371)</f>
        <v/>
      </c>
      <c r="J2371" s="11">
        <f>MAX(0,M2371-N2371)</f>
        <v/>
      </c>
      <c r="K2371" s="11">
        <f>O2371</f>
        <v/>
      </c>
      <c r="L2371" s="11">
        <f>L2370+IF(K2371&gt;0,K2371*Summary!$B$9,K2371/Summary!$B$9)</f>
        <v/>
      </c>
      <c r="M2371" s="11">
        <f>G2371+H2371</f>
        <v/>
      </c>
      <c r="N2371" s="11">
        <f>Summary!$C$16*Summary!$B$8</f>
        <v/>
      </c>
      <c r="O2371" s="11">
        <f>M2371-N2371</f>
        <v/>
      </c>
    </row>
    <row r="2372">
      <c r="A2372" s="9" t="n">
        <v>45390.75</v>
      </c>
      <c r="B2372" t="n">
        <v>4</v>
      </c>
      <c r="C2372" t="n">
        <v>8</v>
      </c>
      <c r="D2372" t="n">
        <v>18</v>
      </c>
      <c r="E2372" s="10" t="n">
        <v>0.013636</v>
      </c>
      <c r="F2372" s="10" t="n">
        <v>0.3033379448011068</v>
      </c>
      <c r="G2372" s="11">
        <f>E2372*Summary!$B$6</f>
        <v/>
      </c>
      <c r="H2372" s="11">
        <f>F2372*Summary!$B$7</f>
        <v/>
      </c>
      <c r="I2372" s="11">
        <f>MAX(0,N2372-M2372)</f>
        <v/>
      </c>
      <c r="J2372" s="11">
        <f>MAX(0,M2372-N2372)</f>
        <v/>
      </c>
      <c r="K2372" s="11">
        <f>O2372</f>
        <v/>
      </c>
      <c r="L2372" s="11">
        <f>L2371+IF(K2372&gt;0,K2372*Summary!$B$9,K2372/Summary!$B$9)</f>
        <v/>
      </c>
      <c r="M2372" s="11">
        <f>G2372+H2372</f>
        <v/>
      </c>
      <c r="N2372" s="11">
        <f>Summary!$C$16*Summary!$B$8</f>
        <v/>
      </c>
      <c r="O2372" s="11">
        <f>M2372-N2372</f>
        <v/>
      </c>
    </row>
    <row r="2373">
      <c r="A2373" s="9" t="n">
        <v>45390.79166666666</v>
      </c>
      <c r="B2373" t="n">
        <v>4</v>
      </c>
      <c r="C2373" t="n">
        <v>8</v>
      </c>
      <c r="D2373" t="n">
        <v>19</v>
      </c>
      <c r="E2373" s="10" t="n">
        <v>0</v>
      </c>
      <c r="F2373" s="10" t="n">
        <v>0.3197025407286098</v>
      </c>
      <c r="G2373" s="11">
        <f>E2373*Summary!$B$6</f>
        <v/>
      </c>
      <c r="H2373" s="11">
        <f>F2373*Summary!$B$7</f>
        <v/>
      </c>
      <c r="I2373" s="11">
        <f>MAX(0,N2373-M2373)</f>
        <v/>
      </c>
      <c r="J2373" s="11">
        <f>MAX(0,M2373-N2373)</f>
        <v/>
      </c>
      <c r="K2373" s="11">
        <f>O2373</f>
        <v/>
      </c>
      <c r="L2373" s="11">
        <f>L2372+IF(K2373&gt;0,K2373*Summary!$B$9,K2373/Summary!$B$9)</f>
        <v/>
      </c>
      <c r="M2373" s="11">
        <f>G2373+H2373</f>
        <v/>
      </c>
      <c r="N2373" s="11">
        <f>Summary!$C$16*Summary!$B$8</f>
        <v/>
      </c>
      <c r="O2373" s="11">
        <f>M2373-N2373</f>
        <v/>
      </c>
    </row>
    <row r="2374">
      <c r="A2374" s="9" t="n">
        <v>45390.83333333334</v>
      </c>
      <c r="B2374" t="n">
        <v>4</v>
      </c>
      <c r="C2374" t="n">
        <v>8</v>
      </c>
      <c r="D2374" t="n">
        <v>20</v>
      </c>
      <c r="E2374" s="10" t="n">
        <v>0</v>
      </c>
      <c r="F2374" s="10" t="n">
        <v>0.3368049928331983</v>
      </c>
      <c r="G2374" s="11">
        <f>E2374*Summary!$B$6</f>
        <v/>
      </c>
      <c r="H2374" s="11">
        <f>F2374*Summary!$B$7</f>
        <v/>
      </c>
      <c r="I2374" s="11">
        <f>MAX(0,N2374-M2374)</f>
        <v/>
      </c>
      <c r="J2374" s="11">
        <f>MAX(0,M2374-N2374)</f>
        <v/>
      </c>
      <c r="K2374" s="11">
        <f>O2374</f>
        <v/>
      </c>
      <c r="L2374" s="11">
        <f>L2373+IF(K2374&gt;0,K2374*Summary!$B$9,K2374/Summary!$B$9)</f>
        <v/>
      </c>
      <c r="M2374" s="11">
        <f>G2374+H2374</f>
        <v/>
      </c>
      <c r="N2374" s="11">
        <f>Summary!$C$16*Summary!$B$8</f>
        <v/>
      </c>
      <c r="O2374" s="11">
        <f>M2374-N2374</f>
        <v/>
      </c>
    </row>
    <row r="2375">
      <c r="A2375" s="9" t="n">
        <v>45390.875</v>
      </c>
      <c r="B2375" t="n">
        <v>4</v>
      </c>
      <c r="C2375" t="n">
        <v>8</v>
      </c>
      <c r="D2375" t="n">
        <v>21</v>
      </c>
      <c r="E2375" s="10" t="n">
        <v>0</v>
      </c>
      <c r="F2375" s="10" t="n">
        <v>0.3627617190628126</v>
      </c>
      <c r="G2375" s="11">
        <f>E2375*Summary!$B$6</f>
        <v/>
      </c>
      <c r="H2375" s="11">
        <f>F2375*Summary!$B$7</f>
        <v/>
      </c>
      <c r="I2375" s="11">
        <f>MAX(0,N2375-M2375)</f>
        <v/>
      </c>
      <c r="J2375" s="11">
        <f>MAX(0,M2375-N2375)</f>
        <v/>
      </c>
      <c r="K2375" s="11">
        <f>O2375</f>
        <v/>
      </c>
      <c r="L2375" s="11">
        <f>L2374+IF(K2375&gt;0,K2375*Summary!$B$9,K2375/Summary!$B$9)</f>
        <v/>
      </c>
      <c r="M2375" s="11">
        <f>G2375+H2375</f>
        <v/>
      </c>
      <c r="N2375" s="11">
        <f>Summary!$C$16*Summary!$B$8</f>
        <v/>
      </c>
      <c r="O2375" s="11">
        <f>M2375-N2375</f>
        <v/>
      </c>
    </row>
    <row r="2376">
      <c r="A2376" s="9" t="n">
        <v>45390.91666666666</v>
      </c>
      <c r="B2376" t="n">
        <v>4</v>
      </c>
      <c r="C2376" t="n">
        <v>8</v>
      </c>
      <c r="D2376" t="n">
        <v>22</v>
      </c>
      <c r="E2376" s="10" t="n">
        <v>0</v>
      </c>
      <c r="F2376" s="10" t="n">
        <v>0.3587035100888424</v>
      </c>
      <c r="G2376" s="11">
        <f>E2376*Summary!$B$6</f>
        <v/>
      </c>
      <c r="H2376" s="11">
        <f>F2376*Summary!$B$7</f>
        <v/>
      </c>
      <c r="I2376" s="11">
        <f>MAX(0,N2376-M2376)</f>
        <v/>
      </c>
      <c r="J2376" s="11">
        <f>MAX(0,M2376-N2376)</f>
        <v/>
      </c>
      <c r="K2376" s="11">
        <f>O2376</f>
        <v/>
      </c>
      <c r="L2376" s="11">
        <f>L2375+IF(K2376&gt;0,K2376*Summary!$B$9,K2376/Summary!$B$9)</f>
        <v/>
      </c>
      <c r="M2376" s="11">
        <f>G2376+H2376</f>
        <v/>
      </c>
      <c r="N2376" s="11">
        <f>Summary!$C$16*Summary!$B$8</f>
        <v/>
      </c>
      <c r="O2376" s="11">
        <f>M2376-N2376</f>
        <v/>
      </c>
    </row>
    <row r="2377">
      <c r="A2377" s="9" t="n">
        <v>45390.95833333334</v>
      </c>
      <c r="B2377" t="n">
        <v>4</v>
      </c>
      <c r="C2377" t="n">
        <v>8</v>
      </c>
      <c r="D2377" t="n">
        <v>23</v>
      </c>
      <c r="E2377" s="10" t="n">
        <v>0</v>
      </c>
      <c r="F2377" s="10" t="n">
        <v>0.3556466773552026</v>
      </c>
      <c r="G2377" s="11">
        <f>E2377*Summary!$B$6</f>
        <v/>
      </c>
      <c r="H2377" s="11">
        <f>F2377*Summary!$B$7</f>
        <v/>
      </c>
      <c r="I2377" s="11">
        <f>MAX(0,N2377-M2377)</f>
        <v/>
      </c>
      <c r="J2377" s="11">
        <f>MAX(0,M2377-N2377)</f>
        <v/>
      </c>
      <c r="K2377" s="11">
        <f>O2377</f>
        <v/>
      </c>
      <c r="L2377" s="11">
        <f>L2376+IF(K2377&gt;0,K2377*Summary!$B$9,K2377/Summary!$B$9)</f>
        <v/>
      </c>
      <c r="M2377" s="11">
        <f>G2377+H2377</f>
        <v/>
      </c>
      <c r="N2377" s="11">
        <f>Summary!$C$16*Summary!$B$8</f>
        <v/>
      </c>
      <c r="O2377" s="11">
        <f>M2377-N2377</f>
        <v/>
      </c>
    </row>
    <row r="2378">
      <c r="A2378" s="9" t="n">
        <v>45391</v>
      </c>
      <c r="B2378" t="n">
        <v>4</v>
      </c>
      <c r="C2378" t="n">
        <v>9</v>
      </c>
      <c r="D2378" t="n">
        <v>0</v>
      </c>
      <c r="E2378" s="10" t="n">
        <v>0</v>
      </c>
      <c r="F2378" s="10" t="n">
        <v>0.3663192399166176</v>
      </c>
      <c r="G2378" s="11">
        <f>E2378*Summary!$B$6</f>
        <v/>
      </c>
      <c r="H2378" s="11">
        <f>F2378*Summary!$B$7</f>
        <v/>
      </c>
      <c r="I2378" s="11">
        <f>MAX(0,N2378-M2378)</f>
        <v/>
      </c>
      <c r="J2378" s="11">
        <f>MAX(0,M2378-N2378)</f>
        <v/>
      </c>
      <c r="K2378" s="11">
        <f>O2378</f>
        <v/>
      </c>
      <c r="L2378" s="11">
        <f>L2377+IF(K2378&gt;0,K2378*Summary!$B$9,K2378/Summary!$B$9)</f>
        <v/>
      </c>
      <c r="M2378" s="11">
        <f>G2378+H2378</f>
        <v/>
      </c>
      <c r="N2378" s="11">
        <f>Summary!$C$16*Summary!$B$8</f>
        <v/>
      </c>
      <c r="O2378" s="11">
        <f>M2378-N2378</f>
        <v/>
      </c>
    </row>
    <row r="2379">
      <c r="A2379" s="9" t="n">
        <v>45391.04166666666</v>
      </c>
      <c r="B2379" t="n">
        <v>4</v>
      </c>
      <c r="C2379" t="n">
        <v>9</v>
      </c>
      <c r="D2379" t="n">
        <v>1</v>
      </c>
      <c r="E2379" s="10" t="n">
        <v>0</v>
      </c>
      <c r="F2379" s="10" t="n">
        <v>0.3606008545442051</v>
      </c>
      <c r="G2379" s="11">
        <f>E2379*Summary!$B$6</f>
        <v/>
      </c>
      <c r="H2379" s="11">
        <f>F2379*Summary!$B$7</f>
        <v/>
      </c>
      <c r="I2379" s="11">
        <f>MAX(0,N2379-M2379)</f>
        <v/>
      </c>
      <c r="J2379" s="11">
        <f>MAX(0,M2379-N2379)</f>
        <v/>
      </c>
      <c r="K2379" s="11">
        <f>O2379</f>
        <v/>
      </c>
      <c r="L2379" s="11">
        <f>L2378+IF(K2379&gt;0,K2379*Summary!$B$9,K2379/Summary!$B$9)</f>
        <v/>
      </c>
      <c r="M2379" s="11">
        <f>G2379+H2379</f>
        <v/>
      </c>
      <c r="N2379" s="11">
        <f>Summary!$C$16*Summary!$B$8</f>
        <v/>
      </c>
      <c r="O2379" s="11">
        <f>M2379-N2379</f>
        <v/>
      </c>
    </row>
    <row r="2380">
      <c r="A2380" s="9" t="n">
        <v>45391.08333333334</v>
      </c>
      <c r="B2380" t="n">
        <v>4</v>
      </c>
      <c r="C2380" t="n">
        <v>9</v>
      </c>
      <c r="D2380" t="n">
        <v>2</v>
      </c>
      <c r="E2380" s="10" t="n">
        <v>0</v>
      </c>
      <c r="F2380" s="10" t="n">
        <v>0.3715632891751894</v>
      </c>
      <c r="G2380" s="11">
        <f>E2380*Summary!$B$6</f>
        <v/>
      </c>
      <c r="H2380" s="11">
        <f>F2380*Summary!$B$7</f>
        <v/>
      </c>
      <c r="I2380" s="11">
        <f>MAX(0,N2380-M2380)</f>
        <v/>
      </c>
      <c r="J2380" s="11">
        <f>MAX(0,M2380-N2380)</f>
        <v/>
      </c>
      <c r="K2380" s="11">
        <f>O2380</f>
        <v/>
      </c>
      <c r="L2380" s="11">
        <f>L2379+IF(K2380&gt;0,K2380*Summary!$B$9,K2380/Summary!$B$9)</f>
        <v/>
      </c>
      <c r="M2380" s="11">
        <f>G2380+H2380</f>
        <v/>
      </c>
      <c r="N2380" s="11">
        <f>Summary!$C$16*Summary!$B$8</f>
        <v/>
      </c>
      <c r="O2380" s="11">
        <f>M2380-N2380</f>
        <v/>
      </c>
    </row>
    <row r="2381">
      <c r="A2381" s="9" t="n">
        <v>45391.125</v>
      </c>
      <c r="B2381" t="n">
        <v>4</v>
      </c>
      <c r="C2381" t="n">
        <v>9</v>
      </c>
      <c r="D2381" t="n">
        <v>3</v>
      </c>
      <c r="E2381" s="10" t="n">
        <v>0</v>
      </c>
      <c r="F2381" s="10" t="n">
        <v>0.3765174663641919</v>
      </c>
      <c r="G2381" s="11">
        <f>E2381*Summary!$B$6</f>
        <v/>
      </c>
      <c r="H2381" s="11">
        <f>F2381*Summary!$B$7</f>
        <v/>
      </c>
      <c r="I2381" s="11">
        <f>MAX(0,N2381-M2381)</f>
        <v/>
      </c>
      <c r="J2381" s="11">
        <f>MAX(0,M2381-N2381)</f>
        <v/>
      </c>
      <c r="K2381" s="11">
        <f>O2381</f>
        <v/>
      </c>
      <c r="L2381" s="11">
        <f>L2380+IF(K2381&gt;0,K2381*Summary!$B$9,K2381/Summary!$B$9)</f>
        <v/>
      </c>
      <c r="M2381" s="11">
        <f>G2381+H2381</f>
        <v/>
      </c>
      <c r="N2381" s="11">
        <f>Summary!$C$16*Summary!$B$8</f>
        <v/>
      </c>
      <c r="O2381" s="11">
        <f>M2381-N2381</f>
        <v/>
      </c>
    </row>
    <row r="2382">
      <c r="A2382" s="9" t="n">
        <v>45391.16666666666</v>
      </c>
      <c r="B2382" t="n">
        <v>4</v>
      </c>
      <c r="C2382" t="n">
        <v>9</v>
      </c>
      <c r="D2382" t="n">
        <v>4</v>
      </c>
      <c r="E2382" s="10" t="n">
        <v>0</v>
      </c>
      <c r="F2382" s="10" t="n">
        <v>0.3819196276607106</v>
      </c>
      <c r="G2382" s="11">
        <f>E2382*Summary!$B$6</f>
        <v/>
      </c>
      <c r="H2382" s="11">
        <f>F2382*Summary!$B$7</f>
        <v/>
      </c>
      <c r="I2382" s="11">
        <f>MAX(0,N2382-M2382)</f>
        <v/>
      </c>
      <c r="J2382" s="11">
        <f>MAX(0,M2382-N2382)</f>
        <v/>
      </c>
      <c r="K2382" s="11">
        <f>O2382</f>
        <v/>
      </c>
      <c r="L2382" s="11">
        <f>L2381+IF(K2382&gt;0,K2382*Summary!$B$9,K2382/Summary!$B$9)</f>
        <v/>
      </c>
      <c r="M2382" s="11">
        <f>G2382+H2382</f>
        <v/>
      </c>
      <c r="N2382" s="11">
        <f>Summary!$C$16*Summary!$B$8</f>
        <v/>
      </c>
      <c r="O2382" s="11">
        <f>M2382-N2382</f>
        <v/>
      </c>
    </row>
    <row r="2383">
      <c r="A2383" s="9" t="n">
        <v>45391.20833333334</v>
      </c>
      <c r="B2383" t="n">
        <v>4</v>
      </c>
      <c r="C2383" t="n">
        <v>9</v>
      </c>
      <c r="D2383" t="n">
        <v>5</v>
      </c>
      <c r="E2383" s="10" t="n">
        <v>0</v>
      </c>
      <c r="F2383" s="10" t="n">
        <v>0.3809973074393538</v>
      </c>
      <c r="G2383" s="11">
        <f>E2383*Summary!$B$6</f>
        <v/>
      </c>
      <c r="H2383" s="11">
        <f>F2383*Summary!$B$7</f>
        <v/>
      </c>
      <c r="I2383" s="11">
        <f>MAX(0,N2383-M2383)</f>
        <v/>
      </c>
      <c r="J2383" s="11">
        <f>MAX(0,M2383-N2383)</f>
        <v/>
      </c>
      <c r="K2383" s="11">
        <f>O2383</f>
        <v/>
      </c>
      <c r="L2383" s="11">
        <f>L2382+IF(K2383&gt;0,K2383*Summary!$B$9,K2383/Summary!$B$9)</f>
        <v/>
      </c>
      <c r="M2383" s="11">
        <f>G2383+H2383</f>
        <v/>
      </c>
      <c r="N2383" s="11">
        <f>Summary!$C$16*Summary!$B$8</f>
        <v/>
      </c>
      <c r="O2383" s="11">
        <f>M2383-N2383</f>
        <v/>
      </c>
    </row>
    <row r="2384">
      <c r="A2384" s="9" t="n">
        <v>45391.25</v>
      </c>
      <c r="B2384" t="n">
        <v>4</v>
      </c>
      <c r="C2384" t="n">
        <v>9</v>
      </c>
      <c r="D2384" t="n">
        <v>6</v>
      </c>
      <c r="E2384" s="10" t="n">
        <v>0.021449</v>
      </c>
      <c r="F2384" s="10" t="n">
        <v>0.3733025215926052</v>
      </c>
      <c r="G2384" s="11">
        <f>E2384*Summary!$B$6</f>
        <v/>
      </c>
      <c r="H2384" s="11">
        <f>F2384*Summary!$B$7</f>
        <v/>
      </c>
      <c r="I2384" s="11">
        <f>MAX(0,N2384-M2384)</f>
        <v/>
      </c>
      <c r="J2384" s="11">
        <f>MAX(0,M2384-N2384)</f>
        <v/>
      </c>
      <c r="K2384" s="11">
        <f>O2384</f>
        <v/>
      </c>
      <c r="L2384" s="11">
        <f>L2383+IF(K2384&gt;0,K2384*Summary!$B$9,K2384/Summary!$B$9)</f>
        <v/>
      </c>
      <c r="M2384" s="11">
        <f>G2384+H2384</f>
        <v/>
      </c>
      <c r="N2384" s="11">
        <f>Summary!$C$16*Summary!$B$8</f>
        <v/>
      </c>
      <c r="O2384" s="11">
        <f>M2384-N2384</f>
        <v/>
      </c>
    </row>
    <row r="2385">
      <c r="A2385" s="9" t="n">
        <v>45391.29166666666</v>
      </c>
      <c r="B2385" t="n">
        <v>4</v>
      </c>
      <c r="C2385" t="n">
        <v>9</v>
      </c>
      <c r="D2385" t="n">
        <v>7</v>
      </c>
      <c r="E2385" s="10" t="n">
        <v>0.128793</v>
      </c>
      <c r="F2385" s="10" t="n">
        <v>0.3505607401345776</v>
      </c>
      <c r="G2385" s="11">
        <f>E2385*Summary!$B$6</f>
        <v/>
      </c>
      <c r="H2385" s="11">
        <f>F2385*Summary!$B$7</f>
        <v/>
      </c>
      <c r="I2385" s="11">
        <f>MAX(0,N2385-M2385)</f>
        <v/>
      </c>
      <c r="J2385" s="11">
        <f>MAX(0,M2385-N2385)</f>
        <v/>
      </c>
      <c r="K2385" s="11">
        <f>O2385</f>
        <v/>
      </c>
      <c r="L2385" s="11">
        <f>L2384+IF(K2385&gt;0,K2385*Summary!$B$9,K2385/Summary!$B$9)</f>
        <v/>
      </c>
      <c r="M2385" s="11">
        <f>G2385+H2385</f>
        <v/>
      </c>
      <c r="N2385" s="11">
        <f>Summary!$C$16*Summary!$B$8</f>
        <v/>
      </c>
      <c r="O2385" s="11">
        <f>M2385-N2385</f>
        <v/>
      </c>
    </row>
    <row r="2386">
      <c r="A2386" s="9" t="n">
        <v>45391.33333333334</v>
      </c>
      <c r="B2386" t="n">
        <v>4</v>
      </c>
      <c r="C2386" t="n">
        <v>9</v>
      </c>
      <c r="D2386" t="n">
        <v>8</v>
      </c>
      <c r="E2386" s="10" t="n">
        <v>0.297575</v>
      </c>
      <c r="F2386" s="10" t="n">
        <v>0.3380962411430979</v>
      </c>
      <c r="G2386" s="11">
        <f>E2386*Summary!$B$6</f>
        <v/>
      </c>
      <c r="H2386" s="11">
        <f>F2386*Summary!$B$7</f>
        <v/>
      </c>
      <c r="I2386" s="11">
        <f>MAX(0,N2386-M2386)</f>
        <v/>
      </c>
      <c r="J2386" s="11">
        <f>MAX(0,M2386-N2386)</f>
        <v/>
      </c>
      <c r="K2386" s="11">
        <f>O2386</f>
        <v/>
      </c>
      <c r="L2386" s="11">
        <f>L2385+IF(K2386&gt;0,K2386*Summary!$B$9,K2386/Summary!$B$9)</f>
        <v/>
      </c>
      <c r="M2386" s="11">
        <f>G2386+H2386</f>
        <v/>
      </c>
      <c r="N2386" s="11">
        <f>Summary!$C$16*Summary!$B$8</f>
        <v/>
      </c>
      <c r="O2386" s="11">
        <f>M2386-N2386</f>
        <v/>
      </c>
    </row>
    <row r="2387">
      <c r="A2387" s="9" t="n">
        <v>45391.375</v>
      </c>
      <c r="B2387" t="n">
        <v>4</v>
      </c>
      <c r="C2387" t="n">
        <v>9</v>
      </c>
      <c r="D2387" t="n">
        <v>9</v>
      </c>
      <c r="E2387" s="10" t="n">
        <v>0.647713</v>
      </c>
      <c r="F2387" s="10" t="n">
        <v>0.3382016491683958</v>
      </c>
      <c r="G2387" s="11">
        <f>E2387*Summary!$B$6</f>
        <v/>
      </c>
      <c r="H2387" s="11">
        <f>F2387*Summary!$B$7</f>
        <v/>
      </c>
      <c r="I2387" s="11">
        <f>MAX(0,N2387-M2387)</f>
        <v/>
      </c>
      <c r="J2387" s="11">
        <f>MAX(0,M2387-N2387)</f>
        <v/>
      </c>
      <c r="K2387" s="11">
        <f>O2387</f>
        <v/>
      </c>
      <c r="L2387" s="11">
        <f>L2386+IF(K2387&gt;0,K2387*Summary!$B$9,K2387/Summary!$B$9)</f>
        <v/>
      </c>
      <c r="M2387" s="11">
        <f>G2387+H2387</f>
        <v/>
      </c>
      <c r="N2387" s="11">
        <f>Summary!$C$16*Summary!$B$8</f>
        <v/>
      </c>
      <c r="O2387" s="11">
        <f>M2387-N2387</f>
        <v/>
      </c>
    </row>
    <row r="2388">
      <c r="A2388" s="9" t="n">
        <v>45391.41666666666</v>
      </c>
      <c r="B2388" t="n">
        <v>4</v>
      </c>
      <c r="C2388" t="n">
        <v>9</v>
      </c>
      <c r="D2388" t="n">
        <v>10</v>
      </c>
      <c r="E2388" s="10" t="n">
        <v>0.617922</v>
      </c>
      <c r="F2388" s="10" t="n">
        <v>0.3464498271479585</v>
      </c>
      <c r="G2388" s="11">
        <f>E2388*Summary!$B$6</f>
        <v/>
      </c>
      <c r="H2388" s="11">
        <f>F2388*Summary!$B$7</f>
        <v/>
      </c>
      <c r="I2388" s="11">
        <f>MAX(0,N2388-M2388)</f>
        <v/>
      </c>
      <c r="J2388" s="11">
        <f>MAX(0,M2388-N2388)</f>
        <v/>
      </c>
      <c r="K2388" s="11">
        <f>O2388</f>
        <v/>
      </c>
      <c r="L2388" s="11">
        <f>L2387+IF(K2388&gt;0,K2388*Summary!$B$9,K2388/Summary!$B$9)</f>
        <v/>
      </c>
      <c r="M2388" s="11">
        <f>G2388+H2388</f>
        <v/>
      </c>
      <c r="N2388" s="11">
        <f>Summary!$C$16*Summary!$B$8</f>
        <v/>
      </c>
      <c r="O2388" s="11">
        <f>M2388-N2388</f>
        <v/>
      </c>
    </row>
    <row r="2389">
      <c r="A2389" s="9" t="n">
        <v>45391.45833333334</v>
      </c>
      <c r="B2389" t="n">
        <v>4</v>
      </c>
      <c r="C2389" t="n">
        <v>9</v>
      </c>
      <c r="D2389" t="n">
        <v>11</v>
      </c>
      <c r="E2389" s="10" t="n">
        <v>0.569639</v>
      </c>
      <c r="F2389" s="10" t="n">
        <v>0.3469241632617992</v>
      </c>
      <c r="G2389" s="11">
        <f>E2389*Summary!$B$6</f>
        <v/>
      </c>
      <c r="H2389" s="11">
        <f>F2389*Summary!$B$7</f>
        <v/>
      </c>
      <c r="I2389" s="11">
        <f>MAX(0,N2389-M2389)</f>
        <v/>
      </c>
      <c r="J2389" s="11">
        <f>MAX(0,M2389-N2389)</f>
        <v/>
      </c>
      <c r="K2389" s="11">
        <f>O2389</f>
        <v/>
      </c>
      <c r="L2389" s="11">
        <f>L2388+IF(K2389&gt;0,K2389*Summary!$B$9,K2389/Summary!$B$9)</f>
        <v/>
      </c>
      <c r="M2389" s="11">
        <f>G2389+H2389</f>
        <v/>
      </c>
      <c r="N2389" s="11">
        <f>Summary!$C$16*Summary!$B$8</f>
        <v/>
      </c>
      <c r="O2389" s="11">
        <f>M2389-N2389</f>
        <v/>
      </c>
    </row>
    <row r="2390">
      <c r="A2390" s="9" t="n">
        <v>45391.5</v>
      </c>
      <c r="B2390" t="n">
        <v>4</v>
      </c>
      <c r="C2390" t="n">
        <v>9</v>
      </c>
      <c r="D2390" t="n">
        <v>12</v>
      </c>
      <c r="E2390" s="10" t="n">
        <v>0.754058</v>
      </c>
      <c r="F2390" s="10" t="n">
        <v>0.3534331088239461</v>
      </c>
      <c r="G2390" s="11">
        <f>E2390*Summary!$B$6</f>
        <v/>
      </c>
      <c r="H2390" s="11">
        <f>F2390*Summary!$B$7</f>
        <v/>
      </c>
      <c r="I2390" s="11">
        <f>MAX(0,N2390-M2390)</f>
        <v/>
      </c>
      <c r="J2390" s="11">
        <f>MAX(0,M2390-N2390)</f>
        <v/>
      </c>
      <c r="K2390" s="11">
        <f>O2390</f>
        <v/>
      </c>
      <c r="L2390" s="11">
        <f>L2389+IF(K2390&gt;0,K2390*Summary!$B$9,K2390/Summary!$B$9)</f>
        <v/>
      </c>
      <c r="M2390" s="11">
        <f>G2390+H2390</f>
        <v/>
      </c>
      <c r="N2390" s="11">
        <f>Summary!$C$16*Summary!$B$8</f>
        <v/>
      </c>
      <c r="O2390" s="11">
        <f>M2390-N2390</f>
        <v/>
      </c>
    </row>
    <row r="2391">
      <c r="A2391" s="9" t="n">
        <v>45391.54166666666</v>
      </c>
      <c r="B2391" t="n">
        <v>4</v>
      </c>
      <c r="C2391" t="n">
        <v>9</v>
      </c>
      <c r="D2391" t="n">
        <v>13</v>
      </c>
      <c r="E2391" s="10" t="n">
        <v>0.754058</v>
      </c>
      <c r="F2391" s="10" t="n">
        <v>0.3898252295580551</v>
      </c>
      <c r="G2391" s="11">
        <f>E2391*Summary!$B$6</f>
        <v/>
      </c>
      <c r="H2391" s="11">
        <f>F2391*Summary!$B$7</f>
        <v/>
      </c>
      <c r="I2391" s="11">
        <f>MAX(0,N2391-M2391)</f>
        <v/>
      </c>
      <c r="J2391" s="11">
        <f>MAX(0,M2391-N2391)</f>
        <v/>
      </c>
      <c r="K2391" s="11">
        <f>O2391</f>
        <v/>
      </c>
      <c r="L2391" s="11">
        <f>L2390+IF(K2391&gt;0,K2391*Summary!$B$9,K2391/Summary!$B$9)</f>
        <v/>
      </c>
      <c r="M2391" s="11">
        <f>G2391+H2391</f>
        <v/>
      </c>
      <c r="N2391" s="11">
        <f>Summary!$C$16*Summary!$B$8</f>
        <v/>
      </c>
      <c r="O2391" s="11">
        <f>M2391-N2391</f>
        <v/>
      </c>
    </row>
    <row r="2392">
      <c r="A2392" s="9" t="n">
        <v>45391.58333333334</v>
      </c>
      <c r="B2392" t="n">
        <v>4</v>
      </c>
      <c r="C2392" t="n">
        <v>9</v>
      </c>
      <c r="D2392" t="n">
        <v>14</v>
      </c>
      <c r="E2392" s="10" t="n">
        <v>0.536982</v>
      </c>
      <c r="F2392" s="10" t="n">
        <v>0.3714578811498915</v>
      </c>
      <c r="G2392" s="11">
        <f>E2392*Summary!$B$6</f>
        <v/>
      </c>
      <c r="H2392" s="11">
        <f>F2392*Summary!$B$7</f>
        <v/>
      </c>
      <c r="I2392" s="11">
        <f>MAX(0,N2392-M2392)</f>
        <v/>
      </c>
      <c r="J2392" s="11">
        <f>MAX(0,M2392-N2392)</f>
        <v/>
      </c>
      <c r="K2392" s="11">
        <f>O2392</f>
        <v/>
      </c>
      <c r="L2392" s="11">
        <f>L2391+IF(K2392&gt;0,K2392*Summary!$B$9,K2392/Summary!$B$9)</f>
        <v/>
      </c>
      <c r="M2392" s="11">
        <f>G2392+H2392</f>
        <v/>
      </c>
      <c r="N2392" s="11">
        <f>Summary!$C$16*Summary!$B$8</f>
        <v/>
      </c>
      <c r="O2392" s="11">
        <f>M2392-N2392</f>
        <v/>
      </c>
    </row>
    <row r="2393">
      <c r="A2393" s="9" t="n">
        <v>45391.625</v>
      </c>
      <c r="B2393" t="n">
        <v>4</v>
      </c>
      <c r="C2393" t="n">
        <v>9</v>
      </c>
      <c r="D2393" t="n">
        <v>15</v>
      </c>
      <c r="E2393" s="10" t="n">
        <v>0.417377</v>
      </c>
      <c r="F2393" s="10" t="n">
        <v>0.373513337643201</v>
      </c>
      <c r="G2393" s="11">
        <f>E2393*Summary!$B$6</f>
        <v/>
      </c>
      <c r="H2393" s="11">
        <f>F2393*Summary!$B$7</f>
        <v/>
      </c>
      <c r="I2393" s="11">
        <f>MAX(0,N2393-M2393)</f>
        <v/>
      </c>
      <c r="J2393" s="11">
        <f>MAX(0,M2393-N2393)</f>
        <v/>
      </c>
      <c r="K2393" s="11">
        <f>O2393</f>
        <v/>
      </c>
      <c r="L2393" s="11">
        <f>L2392+IF(K2393&gt;0,K2393*Summary!$B$9,K2393/Summary!$B$9)</f>
        <v/>
      </c>
      <c r="M2393" s="11">
        <f>G2393+H2393</f>
        <v/>
      </c>
      <c r="N2393" s="11">
        <f>Summary!$C$16*Summary!$B$8</f>
        <v/>
      </c>
      <c r="O2393" s="11">
        <f>M2393-N2393</f>
        <v/>
      </c>
    </row>
    <row r="2394">
      <c r="A2394" s="9" t="n">
        <v>45391.66666666666</v>
      </c>
      <c r="B2394" t="n">
        <v>4</v>
      </c>
      <c r="C2394" t="n">
        <v>9</v>
      </c>
      <c r="D2394" t="n">
        <v>16</v>
      </c>
      <c r="E2394" s="10" t="n">
        <v>0.333166</v>
      </c>
      <c r="F2394" s="10" t="n">
        <v>0.3682692883846292</v>
      </c>
      <c r="G2394" s="11">
        <f>E2394*Summary!$B$6</f>
        <v/>
      </c>
      <c r="H2394" s="11">
        <f>F2394*Summary!$B$7</f>
        <v/>
      </c>
      <c r="I2394" s="11">
        <f>MAX(0,N2394-M2394)</f>
        <v/>
      </c>
      <c r="J2394" s="11">
        <f>MAX(0,M2394-N2394)</f>
        <v/>
      </c>
      <c r="K2394" s="11">
        <f>O2394</f>
        <v/>
      </c>
      <c r="L2394" s="11">
        <f>L2393+IF(K2394&gt;0,K2394*Summary!$B$9,K2394/Summary!$B$9)</f>
        <v/>
      </c>
      <c r="M2394" s="11">
        <f>G2394+H2394</f>
        <v/>
      </c>
      <c r="N2394" s="11">
        <f>Summary!$C$16*Summary!$B$8</f>
        <v/>
      </c>
      <c r="O2394" s="11">
        <f>M2394-N2394</f>
        <v/>
      </c>
    </row>
    <row r="2395">
      <c r="A2395" s="9" t="n">
        <v>45391.70833333334</v>
      </c>
      <c r="B2395" t="n">
        <v>4</v>
      </c>
      <c r="C2395" t="n">
        <v>9</v>
      </c>
      <c r="D2395" t="n">
        <v>17</v>
      </c>
      <c r="E2395" s="10" t="n">
        <v>0.105431</v>
      </c>
      <c r="F2395" s="10" t="n">
        <v>0.3584663420319221</v>
      </c>
      <c r="G2395" s="11">
        <f>E2395*Summary!$B$6</f>
        <v/>
      </c>
      <c r="H2395" s="11">
        <f>F2395*Summary!$B$7</f>
        <v/>
      </c>
      <c r="I2395" s="11">
        <f>MAX(0,N2395-M2395)</f>
        <v/>
      </c>
      <c r="J2395" s="11">
        <f>MAX(0,M2395-N2395)</f>
        <v/>
      </c>
      <c r="K2395" s="11">
        <f>O2395</f>
        <v/>
      </c>
      <c r="L2395" s="11">
        <f>L2394+IF(K2395&gt;0,K2395*Summary!$B$9,K2395/Summary!$B$9)</f>
        <v/>
      </c>
      <c r="M2395" s="11">
        <f>G2395+H2395</f>
        <v/>
      </c>
      <c r="N2395" s="11">
        <f>Summary!$C$16*Summary!$B$8</f>
        <v/>
      </c>
      <c r="O2395" s="11">
        <f>M2395-N2395</f>
        <v/>
      </c>
    </row>
    <row r="2396">
      <c r="A2396" s="9" t="n">
        <v>45391.75</v>
      </c>
      <c r="B2396" t="n">
        <v>4</v>
      </c>
      <c r="C2396" t="n">
        <v>9</v>
      </c>
      <c r="D2396" t="n">
        <v>18</v>
      </c>
      <c r="E2396" s="10" t="n">
        <v>0.017353</v>
      </c>
      <c r="F2396" s="10" t="n">
        <v>0.3602846304683113</v>
      </c>
      <c r="G2396" s="11">
        <f>E2396*Summary!$B$6</f>
        <v/>
      </c>
      <c r="H2396" s="11">
        <f>F2396*Summary!$B$7</f>
        <v/>
      </c>
      <c r="I2396" s="11">
        <f>MAX(0,N2396-M2396)</f>
        <v/>
      </c>
      <c r="J2396" s="11">
        <f>MAX(0,M2396-N2396)</f>
        <v/>
      </c>
      <c r="K2396" s="11">
        <f>O2396</f>
        <v/>
      </c>
      <c r="L2396" s="11">
        <f>L2395+IF(K2396&gt;0,K2396*Summary!$B$9,K2396/Summary!$B$9)</f>
        <v/>
      </c>
      <c r="M2396" s="11">
        <f>G2396+H2396</f>
        <v/>
      </c>
      <c r="N2396" s="11">
        <f>Summary!$C$16*Summary!$B$8</f>
        <v/>
      </c>
      <c r="O2396" s="11">
        <f>M2396-N2396</f>
        <v/>
      </c>
    </row>
    <row r="2397">
      <c r="A2397" s="9" t="n">
        <v>45391.79166666666</v>
      </c>
      <c r="B2397" t="n">
        <v>4</v>
      </c>
      <c r="C2397" t="n">
        <v>9</v>
      </c>
      <c r="D2397" t="n">
        <v>19</v>
      </c>
      <c r="E2397" s="10" t="n">
        <v>0</v>
      </c>
      <c r="F2397" s="10" t="n">
        <v>0.3729599455103869</v>
      </c>
      <c r="G2397" s="11">
        <f>E2397*Summary!$B$6</f>
        <v/>
      </c>
      <c r="H2397" s="11">
        <f>F2397*Summary!$B$7</f>
        <v/>
      </c>
      <c r="I2397" s="11">
        <f>MAX(0,N2397-M2397)</f>
        <v/>
      </c>
      <c r="J2397" s="11">
        <f>MAX(0,M2397-N2397)</f>
        <v/>
      </c>
      <c r="K2397" s="11">
        <f>O2397</f>
        <v/>
      </c>
      <c r="L2397" s="11">
        <f>L2396+IF(K2397&gt;0,K2397*Summary!$B$9,K2397/Summary!$B$9)</f>
        <v/>
      </c>
      <c r="M2397" s="11">
        <f>G2397+H2397</f>
        <v/>
      </c>
      <c r="N2397" s="11">
        <f>Summary!$C$16*Summary!$B$8</f>
        <v/>
      </c>
      <c r="O2397" s="11">
        <f>M2397-N2397</f>
        <v/>
      </c>
    </row>
    <row r="2398">
      <c r="A2398" s="9" t="n">
        <v>45391.83333333334</v>
      </c>
      <c r="B2398" t="n">
        <v>4</v>
      </c>
      <c r="C2398" t="n">
        <v>9</v>
      </c>
      <c r="D2398" t="n">
        <v>20</v>
      </c>
      <c r="E2398" s="10" t="n">
        <v>0</v>
      </c>
      <c r="F2398" s="10" t="n">
        <v>0.3847392923374301</v>
      </c>
      <c r="G2398" s="11">
        <f>E2398*Summary!$B$6</f>
        <v/>
      </c>
      <c r="H2398" s="11">
        <f>F2398*Summary!$B$7</f>
        <v/>
      </c>
      <c r="I2398" s="11">
        <f>MAX(0,N2398-M2398)</f>
        <v/>
      </c>
      <c r="J2398" s="11">
        <f>MAX(0,M2398-N2398)</f>
        <v/>
      </c>
      <c r="K2398" s="11">
        <f>O2398</f>
        <v/>
      </c>
      <c r="L2398" s="11">
        <f>L2397+IF(K2398&gt;0,K2398*Summary!$B$9,K2398/Summary!$B$9)</f>
        <v/>
      </c>
      <c r="M2398" s="11">
        <f>G2398+H2398</f>
        <v/>
      </c>
      <c r="N2398" s="11">
        <f>Summary!$C$16*Summary!$B$8</f>
        <v/>
      </c>
      <c r="O2398" s="11">
        <f>M2398-N2398</f>
        <v/>
      </c>
    </row>
    <row r="2399">
      <c r="A2399" s="9" t="n">
        <v>45391.875</v>
      </c>
      <c r="B2399" t="n">
        <v>4</v>
      </c>
      <c r="C2399" t="n">
        <v>9</v>
      </c>
      <c r="D2399" t="n">
        <v>21</v>
      </c>
      <c r="E2399" s="10" t="n">
        <v>0</v>
      </c>
      <c r="F2399" s="10" t="n">
        <v>0.3946739987217597</v>
      </c>
      <c r="G2399" s="11">
        <f>E2399*Summary!$B$6</f>
        <v/>
      </c>
      <c r="H2399" s="11">
        <f>F2399*Summary!$B$7</f>
        <v/>
      </c>
      <c r="I2399" s="11">
        <f>MAX(0,N2399-M2399)</f>
        <v/>
      </c>
      <c r="J2399" s="11">
        <f>MAX(0,M2399-N2399)</f>
        <v/>
      </c>
      <c r="K2399" s="11">
        <f>O2399</f>
        <v/>
      </c>
      <c r="L2399" s="11">
        <f>L2398+IF(K2399&gt;0,K2399*Summary!$B$9,K2399/Summary!$B$9)</f>
        <v/>
      </c>
      <c r="M2399" s="11">
        <f>G2399+H2399</f>
        <v/>
      </c>
      <c r="N2399" s="11">
        <f>Summary!$C$16*Summary!$B$8</f>
        <v/>
      </c>
      <c r="O2399" s="11">
        <f>M2399-N2399</f>
        <v/>
      </c>
    </row>
    <row r="2400">
      <c r="A2400" s="9" t="n">
        <v>45391.91666666666</v>
      </c>
      <c r="B2400" t="n">
        <v>4</v>
      </c>
      <c r="C2400" t="n">
        <v>9</v>
      </c>
      <c r="D2400" t="n">
        <v>22</v>
      </c>
      <c r="E2400" s="10" t="n">
        <v>0</v>
      </c>
      <c r="F2400" s="10" t="n">
        <v>0.3864521727485214</v>
      </c>
      <c r="G2400" s="11">
        <f>E2400*Summary!$B$6</f>
        <v/>
      </c>
      <c r="H2400" s="11">
        <f>F2400*Summary!$B$7</f>
        <v/>
      </c>
      <c r="I2400" s="11">
        <f>MAX(0,N2400-M2400)</f>
        <v/>
      </c>
      <c r="J2400" s="11">
        <f>MAX(0,M2400-N2400)</f>
        <v/>
      </c>
      <c r="K2400" s="11">
        <f>O2400</f>
        <v/>
      </c>
      <c r="L2400" s="11">
        <f>L2399+IF(K2400&gt;0,K2400*Summary!$B$9,K2400/Summary!$B$9)</f>
        <v/>
      </c>
      <c r="M2400" s="11">
        <f>G2400+H2400</f>
        <v/>
      </c>
      <c r="N2400" s="11">
        <f>Summary!$C$16*Summary!$B$8</f>
        <v/>
      </c>
      <c r="O2400" s="11">
        <f>M2400-N2400</f>
        <v/>
      </c>
    </row>
    <row r="2401">
      <c r="A2401" s="9" t="n">
        <v>45391.95833333334</v>
      </c>
      <c r="B2401" t="n">
        <v>4</v>
      </c>
      <c r="C2401" t="n">
        <v>9</v>
      </c>
      <c r="D2401" t="n">
        <v>23</v>
      </c>
      <c r="E2401" s="10" t="n">
        <v>0</v>
      </c>
      <c r="F2401" s="10" t="n">
        <v>0.3744356578645578</v>
      </c>
      <c r="G2401" s="11">
        <f>E2401*Summary!$B$6</f>
        <v/>
      </c>
      <c r="H2401" s="11">
        <f>F2401*Summary!$B$7</f>
        <v/>
      </c>
      <c r="I2401" s="11">
        <f>MAX(0,N2401-M2401)</f>
        <v/>
      </c>
      <c r="J2401" s="11">
        <f>MAX(0,M2401-N2401)</f>
        <v/>
      </c>
      <c r="K2401" s="11">
        <f>O2401</f>
        <v/>
      </c>
      <c r="L2401" s="11">
        <f>L2400+IF(K2401&gt;0,K2401*Summary!$B$9,K2401/Summary!$B$9)</f>
        <v/>
      </c>
      <c r="M2401" s="11">
        <f>G2401+H2401</f>
        <v/>
      </c>
      <c r="N2401" s="11">
        <f>Summary!$C$16*Summary!$B$8</f>
        <v/>
      </c>
      <c r="O2401" s="11">
        <f>M2401-N2401</f>
        <v/>
      </c>
    </row>
    <row r="2402">
      <c r="A2402" s="9" t="n">
        <v>45392</v>
      </c>
      <c r="B2402" t="n">
        <v>4</v>
      </c>
      <c r="C2402" t="n">
        <v>10</v>
      </c>
      <c r="D2402" t="n">
        <v>0</v>
      </c>
      <c r="E2402" s="10" t="n">
        <v>0</v>
      </c>
      <c r="F2402" s="10" t="n">
        <v>0.4030012327202958</v>
      </c>
      <c r="G2402" s="11">
        <f>E2402*Summary!$B$6</f>
        <v/>
      </c>
      <c r="H2402" s="11">
        <f>F2402*Summary!$B$7</f>
        <v/>
      </c>
      <c r="I2402" s="11">
        <f>MAX(0,N2402-M2402)</f>
        <v/>
      </c>
      <c r="J2402" s="11">
        <f>MAX(0,M2402-N2402)</f>
        <v/>
      </c>
      <c r="K2402" s="11">
        <f>O2402</f>
        <v/>
      </c>
      <c r="L2402" s="11">
        <f>L2401+IF(K2402&gt;0,K2402*Summary!$B$9,K2402/Summary!$B$9)</f>
        <v/>
      </c>
      <c r="M2402" s="11">
        <f>G2402+H2402</f>
        <v/>
      </c>
      <c r="N2402" s="11">
        <f>Summary!$C$16*Summary!$B$8</f>
        <v/>
      </c>
      <c r="O2402" s="11">
        <f>M2402-N2402</f>
        <v/>
      </c>
    </row>
    <row r="2403">
      <c r="A2403" s="9" t="n">
        <v>45392.04166666666</v>
      </c>
      <c r="B2403" t="n">
        <v>4</v>
      </c>
      <c r="C2403" t="n">
        <v>10</v>
      </c>
      <c r="D2403" t="n">
        <v>1</v>
      </c>
      <c r="E2403" s="10" t="n">
        <v>0</v>
      </c>
      <c r="F2403" s="10" t="n">
        <v>0.3667672240241338</v>
      </c>
      <c r="G2403" s="11">
        <f>E2403*Summary!$B$6</f>
        <v/>
      </c>
      <c r="H2403" s="11">
        <f>F2403*Summary!$B$7</f>
        <v/>
      </c>
      <c r="I2403" s="11">
        <f>MAX(0,N2403-M2403)</f>
        <v/>
      </c>
      <c r="J2403" s="11">
        <f>MAX(0,M2403-N2403)</f>
        <v/>
      </c>
      <c r="K2403" s="11">
        <f>O2403</f>
        <v/>
      </c>
      <c r="L2403" s="11">
        <f>L2402+IF(K2403&gt;0,K2403*Summary!$B$9,K2403/Summary!$B$9)</f>
        <v/>
      </c>
      <c r="M2403" s="11">
        <f>G2403+H2403</f>
        <v/>
      </c>
      <c r="N2403" s="11">
        <f>Summary!$C$16*Summary!$B$8</f>
        <v/>
      </c>
      <c r="O2403" s="11">
        <f>M2403-N2403</f>
        <v/>
      </c>
    </row>
    <row r="2404">
      <c r="A2404" s="9" t="n">
        <v>45392.08333333334</v>
      </c>
      <c r="B2404" t="n">
        <v>4</v>
      </c>
      <c r="C2404" t="n">
        <v>10</v>
      </c>
      <c r="D2404" t="n">
        <v>2</v>
      </c>
      <c r="E2404" s="10" t="n">
        <v>0</v>
      </c>
      <c r="F2404" s="10" t="n">
        <v>0.3611805986833437</v>
      </c>
      <c r="G2404" s="11">
        <f>E2404*Summary!$B$6</f>
        <v/>
      </c>
      <c r="H2404" s="11">
        <f>F2404*Summary!$B$7</f>
        <v/>
      </c>
      <c r="I2404" s="11">
        <f>MAX(0,N2404-M2404)</f>
        <v/>
      </c>
      <c r="J2404" s="11">
        <f>MAX(0,M2404-N2404)</f>
        <v/>
      </c>
      <c r="K2404" s="11">
        <f>O2404</f>
        <v/>
      </c>
      <c r="L2404" s="11">
        <f>L2403+IF(K2404&gt;0,K2404*Summary!$B$9,K2404/Summary!$B$9)</f>
        <v/>
      </c>
      <c r="M2404" s="11">
        <f>G2404+H2404</f>
        <v/>
      </c>
      <c r="N2404" s="11">
        <f>Summary!$C$16*Summary!$B$8</f>
        <v/>
      </c>
      <c r="O2404" s="11">
        <f>M2404-N2404</f>
        <v/>
      </c>
    </row>
    <row r="2405">
      <c r="A2405" s="9" t="n">
        <v>45392.125</v>
      </c>
      <c r="B2405" t="n">
        <v>4</v>
      </c>
      <c r="C2405" t="n">
        <v>10</v>
      </c>
      <c r="D2405" t="n">
        <v>3</v>
      </c>
      <c r="E2405" s="10" t="n">
        <v>0</v>
      </c>
      <c r="F2405" s="10" t="n">
        <v>0.3610488386517213</v>
      </c>
      <c r="G2405" s="11">
        <f>E2405*Summary!$B$6</f>
        <v/>
      </c>
      <c r="H2405" s="11">
        <f>F2405*Summary!$B$7</f>
        <v/>
      </c>
      <c r="I2405" s="11">
        <f>MAX(0,N2405-M2405)</f>
        <v/>
      </c>
      <c r="J2405" s="11">
        <f>MAX(0,M2405-N2405)</f>
        <v/>
      </c>
      <c r="K2405" s="11">
        <f>O2405</f>
        <v/>
      </c>
      <c r="L2405" s="11">
        <f>L2404+IF(K2405&gt;0,K2405*Summary!$B$9,K2405/Summary!$B$9)</f>
        <v/>
      </c>
      <c r="M2405" s="11">
        <f>G2405+H2405</f>
        <v/>
      </c>
      <c r="N2405" s="11">
        <f>Summary!$C$16*Summary!$B$8</f>
        <v/>
      </c>
      <c r="O2405" s="11">
        <f>M2405-N2405</f>
        <v/>
      </c>
    </row>
    <row r="2406">
      <c r="A2406" s="9" t="n">
        <v>45392.16666666666</v>
      </c>
      <c r="B2406" t="n">
        <v>4</v>
      </c>
      <c r="C2406" t="n">
        <v>10</v>
      </c>
      <c r="D2406" t="n">
        <v>4</v>
      </c>
      <c r="E2406" s="10" t="n">
        <v>0</v>
      </c>
      <c r="F2406" s="10" t="n">
        <v>0.3603636864872847</v>
      </c>
      <c r="G2406" s="11">
        <f>E2406*Summary!$B$6</f>
        <v/>
      </c>
      <c r="H2406" s="11">
        <f>F2406*Summary!$B$7</f>
        <v/>
      </c>
      <c r="I2406" s="11">
        <f>MAX(0,N2406-M2406)</f>
        <v/>
      </c>
      <c r="J2406" s="11">
        <f>MAX(0,M2406-N2406)</f>
        <v/>
      </c>
      <c r="K2406" s="11">
        <f>O2406</f>
        <v/>
      </c>
      <c r="L2406" s="11">
        <f>L2405+IF(K2406&gt;0,K2406*Summary!$B$9,K2406/Summary!$B$9)</f>
        <v/>
      </c>
      <c r="M2406" s="11">
        <f>G2406+H2406</f>
        <v/>
      </c>
      <c r="N2406" s="11">
        <f>Summary!$C$16*Summary!$B$8</f>
        <v/>
      </c>
      <c r="O2406" s="11">
        <f>M2406-N2406</f>
        <v/>
      </c>
    </row>
    <row r="2407">
      <c r="A2407" s="9" t="n">
        <v>45392.20833333334</v>
      </c>
      <c r="B2407" t="n">
        <v>4</v>
      </c>
      <c r="C2407" t="n">
        <v>10</v>
      </c>
      <c r="D2407" t="n">
        <v>5</v>
      </c>
      <c r="E2407" s="10" t="n">
        <v>0.002277</v>
      </c>
      <c r="F2407" s="10" t="n">
        <v>0.3602582784619868</v>
      </c>
      <c r="G2407" s="11">
        <f>E2407*Summary!$B$6</f>
        <v/>
      </c>
      <c r="H2407" s="11">
        <f>F2407*Summary!$B$7</f>
        <v/>
      </c>
      <c r="I2407" s="11">
        <f>MAX(0,N2407-M2407)</f>
        <v/>
      </c>
      <c r="J2407" s="11">
        <f>MAX(0,M2407-N2407)</f>
        <v/>
      </c>
      <c r="K2407" s="11">
        <f>O2407</f>
        <v/>
      </c>
      <c r="L2407" s="11">
        <f>L2406+IF(K2407&gt;0,K2407*Summary!$B$9,K2407/Summary!$B$9)</f>
        <v/>
      </c>
      <c r="M2407" s="11">
        <f>G2407+H2407</f>
        <v/>
      </c>
      <c r="N2407" s="11">
        <f>Summary!$C$16*Summary!$B$8</f>
        <v/>
      </c>
      <c r="O2407" s="11">
        <f>M2407-N2407</f>
        <v/>
      </c>
    </row>
    <row r="2408">
      <c r="A2408" s="9" t="n">
        <v>45392.25</v>
      </c>
      <c r="B2408" t="n">
        <v>4</v>
      </c>
      <c r="C2408" t="n">
        <v>10</v>
      </c>
      <c r="D2408" t="n">
        <v>6</v>
      </c>
      <c r="E2408" s="10" t="n">
        <v>0.048103</v>
      </c>
      <c r="F2408" s="10" t="n">
        <v>0.3562791255069901</v>
      </c>
      <c r="G2408" s="11">
        <f>E2408*Summary!$B$6</f>
        <v/>
      </c>
      <c r="H2408" s="11">
        <f>F2408*Summary!$B$7</f>
        <v/>
      </c>
      <c r="I2408" s="11">
        <f>MAX(0,N2408-M2408)</f>
        <v/>
      </c>
      <c r="J2408" s="11">
        <f>MAX(0,M2408-N2408)</f>
        <v/>
      </c>
      <c r="K2408" s="11">
        <f>O2408</f>
        <v/>
      </c>
      <c r="L2408" s="11">
        <f>L2407+IF(K2408&gt;0,K2408*Summary!$B$9,K2408/Summary!$B$9)</f>
        <v/>
      </c>
      <c r="M2408" s="11">
        <f>G2408+H2408</f>
        <v/>
      </c>
      <c r="N2408" s="11">
        <f>Summary!$C$16*Summary!$B$8</f>
        <v/>
      </c>
      <c r="O2408" s="11">
        <f>M2408-N2408</f>
        <v/>
      </c>
    </row>
    <row r="2409">
      <c r="A2409" s="9" t="n">
        <v>45392.29166666666</v>
      </c>
      <c r="B2409" t="n">
        <v>4</v>
      </c>
      <c r="C2409" t="n">
        <v>10</v>
      </c>
      <c r="D2409" t="n">
        <v>7</v>
      </c>
      <c r="E2409" s="10" t="n">
        <v>0.222076</v>
      </c>
      <c r="F2409" s="10" t="n">
        <v>0.3378327210798531</v>
      </c>
      <c r="G2409" s="11">
        <f>E2409*Summary!$B$6</f>
        <v/>
      </c>
      <c r="H2409" s="11">
        <f>F2409*Summary!$B$7</f>
        <v/>
      </c>
      <c r="I2409" s="11">
        <f>MAX(0,N2409-M2409)</f>
        <v/>
      </c>
      <c r="J2409" s="11">
        <f>MAX(0,M2409-N2409)</f>
        <v/>
      </c>
      <c r="K2409" s="11">
        <f>O2409</f>
        <v/>
      </c>
      <c r="L2409" s="11">
        <f>L2408+IF(K2409&gt;0,K2409*Summary!$B$9,K2409/Summary!$B$9)</f>
        <v/>
      </c>
      <c r="M2409" s="11">
        <f>G2409+H2409</f>
        <v/>
      </c>
      <c r="N2409" s="11">
        <f>Summary!$C$16*Summary!$B$8</f>
        <v/>
      </c>
      <c r="O2409" s="11">
        <f>M2409-N2409</f>
        <v/>
      </c>
    </row>
    <row r="2410">
      <c r="A2410" s="9" t="n">
        <v>45392.33333333334</v>
      </c>
      <c r="B2410" t="n">
        <v>4</v>
      </c>
      <c r="C2410" t="n">
        <v>10</v>
      </c>
      <c r="D2410" t="n">
        <v>8</v>
      </c>
      <c r="E2410" s="10" t="n">
        <v>0.287841</v>
      </c>
      <c r="F2410" s="10" t="n">
        <v>0.3501391080333859</v>
      </c>
      <c r="G2410" s="11">
        <f>E2410*Summary!$B$6</f>
        <v/>
      </c>
      <c r="H2410" s="11">
        <f>F2410*Summary!$B$7</f>
        <v/>
      </c>
      <c r="I2410" s="11">
        <f>MAX(0,N2410-M2410)</f>
        <v/>
      </c>
      <c r="J2410" s="11">
        <f>MAX(0,M2410-N2410)</f>
        <v/>
      </c>
      <c r="K2410" s="11">
        <f>O2410</f>
        <v/>
      </c>
      <c r="L2410" s="11">
        <f>L2409+IF(K2410&gt;0,K2410*Summary!$B$9,K2410/Summary!$B$9)</f>
        <v/>
      </c>
      <c r="M2410" s="11">
        <f>G2410+H2410</f>
        <v/>
      </c>
      <c r="N2410" s="11">
        <f>Summary!$C$16*Summary!$B$8</f>
        <v/>
      </c>
      <c r="O2410" s="11">
        <f>M2410-N2410</f>
        <v/>
      </c>
    </row>
    <row r="2411">
      <c r="A2411" s="9" t="n">
        <v>45392.375</v>
      </c>
      <c r="B2411" t="n">
        <v>4</v>
      </c>
      <c r="C2411" t="n">
        <v>10</v>
      </c>
      <c r="D2411" t="n">
        <v>9</v>
      </c>
      <c r="E2411" s="10" t="n">
        <v>0.46617</v>
      </c>
      <c r="F2411" s="10" t="n">
        <v>0.356489941557586</v>
      </c>
      <c r="G2411" s="11">
        <f>E2411*Summary!$B$6</f>
        <v/>
      </c>
      <c r="H2411" s="11">
        <f>F2411*Summary!$B$7</f>
        <v/>
      </c>
      <c r="I2411" s="11">
        <f>MAX(0,N2411-M2411)</f>
        <v/>
      </c>
      <c r="J2411" s="11">
        <f>MAX(0,M2411-N2411)</f>
        <v/>
      </c>
      <c r="K2411" s="11">
        <f>O2411</f>
        <v/>
      </c>
      <c r="L2411" s="11">
        <f>L2410+IF(K2411&gt;0,K2411*Summary!$B$9,K2411/Summary!$B$9)</f>
        <v/>
      </c>
      <c r="M2411" s="11">
        <f>G2411+H2411</f>
        <v/>
      </c>
      <c r="N2411" s="11">
        <f>Summary!$C$16*Summary!$B$8</f>
        <v/>
      </c>
      <c r="O2411" s="11">
        <f>M2411-N2411</f>
        <v/>
      </c>
    </row>
    <row r="2412">
      <c r="A2412" s="9" t="n">
        <v>45392.41666666666</v>
      </c>
      <c r="B2412" t="n">
        <v>4</v>
      </c>
      <c r="C2412" t="n">
        <v>10</v>
      </c>
      <c r="D2412" t="n">
        <v>10</v>
      </c>
      <c r="E2412" s="10" t="n">
        <v>0.634673</v>
      </c>
      <c r="F2412" s="10" t="n">
        <v>0.3793898350535604</v>
      </c>
      <c r="G2412" s="11">
        <f>E2412*Summary!$B$6</f>
        <v/>
      </c>
      <c r="H2412" s="11">
        <f>F2412*Summary!$B$7</f>
        <v/>
      </c>
      <c r="I2412" s="11">
        <f>MAX(0,N2412-M2412)</f>
        <v/>
      </c>
      <c r="J2412" s="11">
        <f>MAX(0,M2412-N2412)</f>
        <v/>
      </c>
      <c r="K2412" s="11">
        <f>O2412</f>
        <v/>
      </c>
      <c r="L2412" s="11">
        <f>L2411+IF(K2412&gt;0,K2412*Summary!$B$9,K2412/Summary!$B$9)</f>
        <v/>
      </c>
      <c r="M2412" s="11">
        <f>G2412+H2412</f>
        <v/>
      </c>
      <c r="N2412" s="11">
        <f>Summary!$C$16*Summary!$B$8</f>
        <v/>
      </c>
      <c r="O2412" s="11">
        <f>M2412-N2412</f>
        <v/>
      </c>
    </row>
    <row r="2413">
      <c r="A2413" s="9" t="n">
        <v>45392.45833333334</v>
      </c>
      <c r="B2413" t="n">
        <v>4</v>
      </c>
      <c r="C2413" t="n">
        <v>10</v>
      </c>
      <c r="D2413" t="n">
        <v>11</v>
      </c>
      <c r="E2413" s="10" t="n">
        <v>0.754058</v>
      </c>
      <c r="F2413" s="10" t="n">
        <v>0.4040026089606262</v>
      </c>
      <c r="G2413" s="11">
        <f>E2413*Summary!$B$6</f>
        <v/>
      </c>
      <c r="H2413" s="11">
        <f>F2413*Summary!$B$7</f>
        <v/>
      </c>
      <c r="I2413" s="11">
        <f>MAX(0,N2413-M2413)</f>
        <v/>
      </c>
      <c r="J2413" s="11">
        <f>MAX(0,M2413-N2413)</f>
        <v/>
      </c>
      <c r="K2413" s="11">
        <f>O2413</f>
        <v/>
      </c>
      <c r="L2413" s="11">
        <f>L2412+IF(K2413&gt;0,K2413*Summary!$B$9,K2413/Summary!$B$9)</f>
        <v/>
      </c>
      <c r="M2413" s="11">
        <f>G2413+H2413</f>
        <v/>
      </c>
      <c r="N2413" s="11">
        <f>Summary!$C$16*Summary!$B$8</f>
        <v/>
      </c>
      <c r="O2413" s="11">
        <f>M2413-N2413</f>
        <v/>
      </c>
    </row>
    <row r="2414">
      <c r="A2414" s="9" t="n">
        <v>45392.5</v>
      </c>
      <c r="B2414" t="n">
        <v>4</v>
      </c>
      <c r="C2414" t="n">
        <v>10</v>
      </c>
      <c r="D2414" t="n">
        <v>12</v>
      </c>
      <c r="E2414" s="10" t="n">
        <v>0.754058</v>
      </c>
      <c r="F2414" s="10" t="n">
        <v>0.4235294456470669</v>
      </c>
      <c r="G2414" s="11">
        <f>E2414*Summary!$B$6</f>
        <v/>
      </c>
      <c r="H2414" s="11">
        <f>F2414*Summary!$B$7</f>
        <v/>
      </c>
      <c r="I2414" s="11">
        <f>MAX(0,N2414-M2414)</f>
        <v/>
      </c>
      <c r="J2414" s="11">
        <f>MAX(0,M2414-N2414)</f>
        <v/>
      </c>
      <c r="K2414" s="11">
        <f>O2414</f>
        <v/>
      </c>
      <c r="L2414" s="11">
        <f>L2413+IF(K2414&gt;0,K2414*Summary!$B$9,K2414/Summary!$B$9)</f>
        <v/>
      </c>
      <c r="M2414" s="11">
        <f>G2414+H2414</f>
        <v/>
      </c>
      <c r="N2414" s="11">
        <f>Summary!$C$16*Summary!$B$8</f>
        <v/>
      </c>
      <c r="O2414" s="11">
        <f>M2414-N2414</f>
        <v/>
      </c>
    </row>
    <row r="2415">
      <c r="A2415" s="9" t="n">
        <v>45392.54166666666</v>
      </c>
      <c r="B2415" t="n">
        <v>4</v>
      </c>
      <c r="C2415" t="n">
        <v>10</v>
      </c>
      <c r="D2415" t="n">
        <v>13</v>
      </c>
      <c r="E2415" s="10" t="n">
        <v>0.743931</v>
      </c>
      <c r="F2415" s="10" t="n">
        <v>0.4441894186054605</v>
      </c>
      <c r="G2415" s="11">
        <f>E2415*Summary!$B$6</f>
        <v/>
      </c>
      <c r="H2415" s="11">
        <f>F2415*Summary!$B$7</f>
        <v/>
      </c>
      <c r="I2415" s="11">
        <f>MAX(0,N2415-M2415)</f>
        <v/>
      </c>
      <c r="J2415" s="11">
        <f>MAX(0,M2415-N2415)</f>
        <v/>
      </c>
      <c r="K2415" s="11">
        <f>O2415</f>
        <v/>
      </c>
      <c r="L2415" s="11">
        <f>L2414+IF(K2415&gt;0,K2415*Summary!$B$9,K2415/Summary!$B$9)</f>
        <v/>
      </c>
      <c r="M2415" s="11">
        <f>G2415+H2415</f>
        <v/>
      </c>
      <c r="N2415" s="11">
        <f>Summary!$C$16*Summary!$B$8</f>
        <v/>
      </c>
      <c r="O2415" s="11">
        <f>M2415-N2415</f>
        <v/>
      </c>
    </row>
    <row r="2416">
      <c r="A2416" s="9" t="n">
        <v>45392.58333333334</v>
      </c>
      <c r="B2416" t="n">
        <v>4</v>
      </c>
      <c r="C2416" t="n">
        <v>10</v>
      </c>
      <c r="D2416" t="n">
        <v>14</v>
      </c>
      <c r="E2416" s="10" t="n">
        <v>0.639592</v>
      </c>
      <c r="F2416" s="10" t="n">
        <v>0.4536497888759494</v>
      </c>
      <c r="G2416" s="11">
        <f>E2416*Summary!$B$6</f>
        <v/>
      </c>
      <c r="H2416" s="11">
        <f>F2416*Summary!$B$7</f>
        <v/>
      </c>
      <c r="I2416" s="11">
        <f>MAX(0,N2416-M2416)</f>
        <v/>
      </c>
      <c r="J2416" s="11">
        <f>MAX(0,M2416-N2416)</f>
        <v/>
      </c>
      <c r="K2416" s="11">
        <f>O2416</f>
        <v/>
      </c>
      <c r="L2416" s="11">
        <f>L2415+IF(K2416&gt;0,K2416*Summary!$B$9,K2416/Summary!$B$9)</f>
        <v/>
      </c>
      <c r="M2416" s="11">
        <f>G2416+H2416</f>
        <v/>
      </c>
      <c r="N2416" s="11">
        <f>Summary!$C$16*Summary!$B$8</f>
        <v/>
      </c>
      <c r="O2416" s="11">
        <f>M2416-N2416</f>
        <v/>
      </c>
    </row>
    <row r="2417">
      <c r="A2417" s="9" t="n">
        <v>45392.625</v>
      </c>
      <c r="B2417" t="n">
        <v>4</v>
      </c>
      <c r="C2417" t="n">
        <v>10</v>
      </c>
      <c r="D2417" t="n">
        <v>15</v>
      </c>
      <c r="E2417" s="10" t="n">
        <v>0.485231</v>
      </c>
      <c r="F2417" s="10" t="n">
        <v>0.4516470363952887</v>
      </c>
      <c r="G2417" s="11">
        <f>E2417*Summary!$B$6</f>
        <v/>
      </c>
      <c r="H2417" s="11">
        <f>F2417*Summary!$B$7</f>
        <v/>
      </c>
      <c r="I2417" s="11">
        <f>MAX(0,N2417-M2417)</f>
        <v/>
      </c>
      <c r="J2417" s="11">
        <f>MAX(0,M2417-N2417)</f>
        <v/>
      </c>
      <c r="K2417" s="11">
        <f>O2417</f>
        <v/>
      </c>
      <c r="L2417" s="11">
        <f>L2416+IF(K2417&gt;0,K2417*Summary!$B$9,K2417/Summary!$B$9)</f>
        <v/>
      </c>
      <c r="M2417" s="11">
        <f>G2417+H2417</f>
        <v/>
      </c>
      <c r="N2417" s="11">
        <f>Summary!$C$16*Summary!$B$8</f>
        <v/>
      </c>
      <c r="O2417" s="11">
        <f>M2417-N2417</f>
        <v/>
      </c>
    </row>
    <row r="2418">
      <c r="A2418" s="9" t="n">
        <v>45392.66666666666</v>
      </c>
      <c r="B2418" t="n">
        <v>4</v>
      </c>
      <c r="C2418" t="n">
        <v>10</v>
      </c>
      <c r="D2418" t="n">
        <v>16</v>
      </c>
      <c r="E2418" s="10" t="n">
        <v>0.293607</v>
      </c>
      <c r="F2418" s="10" t="n">
        <v>0.4389190173405642</v>
      </c>
      <c r="G2418" s="11">
        <f>E2418*Summary!$B$6</f>
        <v/>
      </c>
      <c r="H2418" s="11">
        <f>F2418*Summary!$B$7</f>
        <v/>
      </c>
      <c r="I2418" s="11">
        <f>MAX(0,N2418-M2418)</f>
        <v/>
      </c>
      <c r="J2418" s="11">
        <f>MAX(0,M2418-N2418)</f>
        <v/>
      </c>
      <c r="K2418" s="11">
        <f>O2418</f>
        <v/>
      </c>
      <c r="L2418" s="11">
        <f>L2417+IF(K2418&gt;0,K2418*Summary!$B$9,K2418/Summary!$B$9)</f>
        <v/>
      </c>
      <c r="M2418" s="11">
        <f>G2418+H2418</f>
        <v/>
      </c>
      <c r="N2418" s="11">
        <f>Summary!$C$16*Summary!$B$8</f>
        <v/>
      </c>
      <c r="O2418" s="11">
        <f>M2418-N2418</f>
        <v/>
      </c>
    </row>
    <row r="2419">
      <c r="A2419" s="9" t="n">
        <v>45392.70833333334</v>
      </c>
      <c r="B2419" t="n">
        <v>4</v>
      </c>
      <c r="C2419" t="n">
        <v>10</v>
      </c>
      <c r="D2419" t="n">
        <v>17</v>
      </c>
      <c r="E2419" s="10" t="n">
        <v>0.110277</v>
      </c>
      <c r="F2419" s="10" t="n">
        <v>0.4339911921578861</v>
      </c>
      <c r="G2419" s="11">
        <f>E2419*Summary!$B$6</f>
        <v/>
      </c>
      <c r="H2419" s="11">
        <f>F2419*Summary!$B$7</f>
        <v/>
      </c>
      <c r="I2419" s="11">
        <f>MAX(0,N2419-M2419)</f>
        <v/>
      </c>
      <c r="J2419" s="11">
        <f>MAX(0,M2419-N2419)</f>
        <v/>
      </c>
      <c r="K2419" s="11">
        <f>O2419</f>
        <v/>
      </c>
      <c r="L2419" s="11">
        <f>L2418+IF(K2419&gt;0,K2419*Summary!$B$9,K2419/Summary!$B$9)</f>
        <v/>
      </c>
      <c r="M2419" s="11">
        <f>G2419+H2419</f>
        <v/>
      </c>
      <c r="N2419" s="11">
        <f>Summary!$C$16*Summary!$B$8</f>
        <v/>
      </c>
      <c r="O2419" s="11">
        <f>M2419-N2419</f>
        <v/>
      </c>
    </row>
    <row r="2420">
      <c r="A2420" s="9" t="n">
        <v>45392.75</v>
      </c>
      <c r="B2420" t="n">
        <v>4</v>
      </c>
      <c r="C2420" t="n">
        <v>10</v>
      </c>
      <c r="D2420" t="n">
        <v>18</v>
      </c>
      <c r="E2420" s="10" t="n">
        <v>0.017847</v>
      </c>
      <c r="F2420" s="10" t="n">
        <v>0.4353087924741102</v>
      </c>
      <c r="G2420" s="11">
        <f>E2420*Summary!$B$6</f>
        <v/>
      </c>
      <c r="H2420" s="11">
        <f>F2420*Summary!$B$7</f>
        <v/>
      </c>
      <c r="I2420" s="11">
        <f>MAX(0,N2420-M2420)</f>
        <v/>
      </c>
      <c r="J2420" s="11">
        <f>MAX(0,M2420-N2420)</f>
        <v/>
      </c>
      <c r="K2420" s="11">
        <f>O2420</f>
        <v/>
      </c>
      <c r="L2420" s="11">
        <f>L2419+IF(K2420&gt;0,K2420*Summary!$B$9,K2420/Summary!$B$9)</f>
        <v/>
      </c>
      <c r="M2420" s="11">
        <f>G2420+H2420</f>
        <v/>
      </c>
      <c r="N2420" s="11">
        <f>Summary!$C$16*Summary!$B$8</f>
        <v/>
      </c>
      <c r="O2420" s="11">
        <f>M2420-N2420</f>
        <v/>
      </c>
    </row>
    <row r="2421">
      <c r="A2421" s="9" t="n">
        <v>45392.79166666666</v>
      </c>
      <c r="B2421" t="n">
        <v>4</v>
      </c>
      <c r="C2421" t="n">
        <v>10</v>
      </c>
      <c r="D2421" t="n">
        <v>19</v>
      </c>
      <c r="E2421" s="10" t="n">
        <v>0</v>
      </c>
      <c r="F2421" s="10" t="n">
        <v>0.44548066691536</v>
      </c>
      <c r="G2421" s="11">
        <f>E2421*Summary!$B$6</f>
        <v/>
      </c>
      <c r="H2421" s="11">
        <f>F2421*Summary!$B$7</f>
        <v/>
      </c>
      <c r="I2421" s="11">
        <f>MAX(0,N2421-M2421)</f>
        <v/>
      </c>
      <c r="J2421" s="11">
        <f>MAX(0,M2421-N2421)</f>
        <v/>
      </c>
      <c r="K2421" s="11">
        <f>O2421</f>
        <v/>
      </c>
      <c r="L2421" s="11">
        <f>L2420+IF(K2421&gt;0,K2421*Summary!$B$9,K2421/Summary!$B$9)</f>
        <v/>
      </c>
      <c r="M2421" s="11">
        <f>G2421+H2421</f>
        <v/>
      </c>
      <c r="N2421" s="11">
        <f>Summary!$C$16*Summary!$B$8</f>
        <v/>
      </c>
      <c r="O2421" s="11">
        <f>M2421-N2421</f>
        <v/>
      </c>
    </row>
    <row r="2422">
      <c r="A2422" s="9" t="n">
        <v>45392.83333333334</v>
      </c>
      <c r="B2422" t="n">
        <v>4</v>
      </c>
      <c r="C2422" t="n">
        <v>10</v>
      </c>
      <c r="D2422" t="n">
        <v>20</v>
      </c>
      <c r="E2422" s="10" t="n">
        <v>0</v>
      </c>
      <c r="F2422" s="10" t="n">
        <v>0.4500659160158199</v>
      </c>
      <c r="G2422" s="11">
        <f>E2422*Summary!$B$6</f>
        <v/>
      </c>
      <c r="H2422" s="11">
        <f>F2422*Summary!$B$7</f>
        <v/>
      </c>
      <c r="I2422" s="11">
        <f>MAX(0,N2422-M2422)</f>
        <v/>
      </c>
      <c r="J2422" s="11">
        <f>MAX(0,M2422-N2422)</f>
        <v/>
      </c>
      <c r="K2422" s="11">
        <f>O2422</f>
        <v/>
      </c>
      <c r="L2422" s="11">
        <f>L2421+IF(K2422&gt;0,K2422*Summary!$B$9,K2422/Summary!$B$9)</f>
        <v/>
      </c>
      <c r="M2422" s="11">
        <f>G2422+H2422</f>
        <v/>
      </c>
      <c r="N2422" s="11">
        <f>Summary!$C$16*Summary!$B$8</f>
        <v/>
      </c>
      <c r="O2422" s="11">
        <f>M2422-N2422</f>
        <v/>
      </c>
    </row>
    <row r="2423">
      <c r="A2423" s="9" t="n">
        <v>45392.875</v>
      </c>
      <c r="B2423" t="n">
        <v>4</v>
      </c>
      <c r="C2423" t="n">
        <v>10</v>
      </c>
      <c r="D2423" t="n">
        <v>21</v>
      </c>
      <c r="E2423" s="10" t="n">
        <v>0</v>
      </c>
      <c r="F2423" s="10" t="n">
        <v>0.4445056426813542</v>
      </c>
      <c r="G2423" s="11">
        <f>E2423*Summary!$B$6</f>
        <v/>
      </c>
      <c r="H2423" s="11">
        <f>F2423*Summary!$B$7</f>
        <v/>
      </c>
      <c r="I2423" s="11">
        <f>MAX(0,N2423-M2423)</f>
        <v/>
      </c>
      <c r="J2423" s="11">
        <f>MAX(0,M2423-N2423)</f>
        <v/>
      </c>
      <c r="K2423" s="11">
        <f>O2423</f>
        <v/>
      </c>
      <c r="L2423" s="11">
        <f>L2422+IF(K2423&gt;0,K2423*Summary!$B$9,K2423/Summary!$B$9)</f>
        <v/>
      </c>
      <c r="M2423" s="11">
        <f>G2423+H2423</f>
        <v/>
      </c>
      <c r="N2423" s="11">
        <f>Summary!$C$16*Summary!$B$8</f>
        <v/>
      </c>
      <c r="O2423" s="11">
        <f>M2423-N2423</f>
        <v/>
      </c>
    </row>
    <row r="2424">
      <c r="A2424" s="9" t="n">
        <v>45392.91666666666</v>
      </c>
      <c r="B2424" t="n">
        <v>4</v>
      </c>
      <c r="C2424" t="n">
        <v>10</v>
      </c>
      <c r="D2424" t="n">
        <v>22</v>
      </c>
      <c r="E2424" s="10" t="n">
        <v>0</v>
      </c>
      <c r="F2424" s="10" t="n">
        <v>0.42489974997594</v>
      </c>
      <c r="G2424" s="11">
        <f>E2424*Summary!$B$6</f>
        <v/>
      </c>
      <c r="H2424" s="11">
        <f>F2424*Summary!$B$7</f>
        <v/>
      </c>
      <c r="I2424" s="11">
        <f>MAX(0,N2424-M2424)</f>
        <v/>
      </c>
      <c r="J2424" s="11">
        <f>MAX(0,M2424-N2424)</f>
        <v/>
      </c>
      <c r="K2424" s="11">
        <f>O2424</f>
        <v/>
      </c>
      <c r="L2424" s="11">
        <f>L2423+IF(K2424&gt;0,K2424*Summary!$B$9,K2424/Summary!$B$9)</f>
        <v/>
      </c>
      <c r="M2424" s="11">
        <f>G2424+H2424</f>
        <v/>
      </c>
      <c r="N2424" s="11">
        <f>Summary!$C$16*Summary!$B$8</f>
        <v/>
      </c>
      <c r="O2424" s="11">
        <f>M2424-N2424</f>
        <v/>
      </c>
    </row>
    <row r="2425">
      <c r="A2425" s="9" t="n">
        <v>45392.95833333334</v>
      </c>
      <c r="B2425" t="n">
        <v>4</v>
      </c>
      <c r="C2425" t="n">
        <v>10</v>
      </c>
      <c r="D2425" t="n">
        <v>23</v>
      </c>
      <c r="E2425" s="10" t="n">
        <v>0</v>
      </c>
      <c r="F2425" s="10" t="n">
        <v>0.4026059526254286</v>
      </c>
      <c r="G2425" s="11">
        <f>E2425*Summary!$B$6</f>
        <v/>
      </c>
      <c r="H2425" s="11">
        <f>F2425*Summary!$B$7</f>
        <v/>
      </c>
      <c r="I2425" s="11">
        <f>MAX(0,N2425-M2425)</f>
        <v/>
      </c>
      <c r="J2425" s="11">
        <f>MAX(0,M2425-N2425)</f>
        <v/>
      </c>
      <c r="K2425" s="11">
        <f>O2425</f>
        <v/>
      </c>
      <c r="L2425" s="11">
        <f>L2424+IF(K2425&gt;0,K2425*Summary!$B$9,K2425/Summary!$B$9)</f>
        <v/>
      </c>
      <c r="M2425" s="11">
        <f>G2425+H2425</f>
        <v/>
      </c>
      <c r="N2425" s="11">
        <f>Summary!$C$16*Summary!$B$8</f>
        <v/>
      </c>
      <c r="O2425" s="11">
        <f>M2425-N2425</f>
        <v/>
      </c>
    </row>
    <row r="2426">
      <c r="A2426" s="9" t="n">
        <v>45393</v>
      </c>
      <c r="B2426" t="n">
        <v>4</v>
      </c>
      <c r="C2426" t="n">
        <v>11</v>
      </c>
      <c r="D2426" t="n">
        <v>0</v>
      </c>
      <c r="E2426" s="10" t="n">
        <v>0</v>
      </c>
      <c r="F2426" s="10" t="n">
        <v>0.3495857159005718</v>
      </c>
      <c r="G2426" s="11">
        <f>E2426*Summary!$B$6</f>
        <v/>
      </c>
      <c r="H2426" s="11">
        <f>F2426*Summary!$B$7</f>
        <v/>
      </c>
      <c r="I2426" s="11">
        <f>MAX(0,N2426-M2426)</f>
        <v/>
      </c>
      <c r="J2426" s="11">
        <f>MAX(0,M2426-N2426)</f>
        <v/>
      </c>
      <c r="K2426" s="11">
        <f>O2426</f>
        <v/>
      </c>
      <c r="L2426" s="11">
        <f>L2425+IF(K2426&gt;0,K2426*Summary!$B$9,K2426/Summary!$B$9)</f>
        <v/>
      </c>
      <c r="M2426" s="11">
        <f>G2426+H2426</f>
        <v/>
      </c>
      <c r="N2426" s="11">
        <f>Summary!$C$16*Summary!$B$8</f>
        <v/>
      </c>
      <c r="O2426" s="11">
        <f>M2426-N2426</f>
        <v/>
      </c>
    </row>
    <row r="2427">
      <c r="A2427" s="9" t="n">
        <v>45393.04166666666</v>
      </c>
      <c r="B2427" t="n">
        <v>4</v>
      </c>
      <c r="C2427" t="n">
        <v>11</v>
      </c>
      <c r="D2427" t="n">
        <v>1</v>
      </c>
      <c r="E2427" s="10" t="n">
        <v>0</v>
      </c>
      <c r="F2427" s="10" t="n">
        <v>0.3575440218105652</v>
      </c>
      <c r="G2427" s="11">
        <f>E2427*Summary!$B$6</f>
        <v/>
      </c>
      <c r="H2427" s="11">
        <f>F2427*Summary!$B$7</f>
        <v/>
      </c>
      <c r="I2427" s="11">
        <f>MAX(0,N2427-M2427)</f>
        <v/>
      </c>
      <c r="J2427" s="11">
        <f>MAX(0,M2427-N2427)</f>
        <v/>
      </c>
      <c r="K2427" s="11">
        <f>O2427</f>
        <v/>
      </c>
      <c r="L2427" s="11">
        <f>L2426+IF(K2427&gt;0,K2427*Summary!$B$9,K2427/Summary!$B$9)</f>
        <v/>
      </c>
      <c r="M2427" s="11">
        <f>G2427+H2427</f>
        <v/>
      </c>
      <c r="N2427" s="11">
        <f>Summary!$C$16*Summary!$B$8</f>
        <v/>
      </c>
      <c r="O2427" s="11">
        <f>M2427-N2427</f>
        <v/>
      </c>
    </row>
    <row r="2428">
      <c r="A2428" s="9" t="n">
        <v>45393.08333333334</v>
      </c>
      <c r="B2428" t="n">
        <v>4</v>
      </c>
      <c r="C2428" t="n">
        <v>11</v>
      </c>
      <c r="D2428" t="n">
        <v>2</v>
      </c>
      <c r="E2428" s="10" t="n">
        <v>0</v>
      </c>
      <c r="F2428" s="10" t="n">
        <v>0.341495649958956</v>
      </c>
      <c r="G2428" s="11">
        <f>E2428*Summary!$B$6</f>
        <v/>
      </c>
      <c r="H2428" s="11">
        <f>F2428*Summary!$B$7</f>
        <v/>
      </c>
      <c r="I2428" s="11">
        <f>MAX(0,N2428-M2428)</f>
        <v/>
      </c>
      <c r="J2428" s="11">
        <f>MAX(0,M2428-N2428)</f>
        <v/>
      </c>
      <c r="K2428" s="11">
        <f>O2428</f>
        <v/>
      </c>
      <c r="L2428" s="11">
        <f>L2427+IF(K2428&gt;0,K2428*Summary!$B$9,K2428/Summary!$B$9)</f>
        <v/>
      </c>
      <c r="M2428" s="11">
        <f>G2428+H2428</f>
        <v/>
      </c>
      <c r="N2428" s="11">
        <f>Summary!$C$16*Summary!$B$8</f>
        <v/>
      </c>
      <c r="O2428" s="11">
        <f>M2428-N2428</f>
        <v/>
      </c>
    </row>
    <row r="2429">
      <c r="A2429" s="9" t="n">
        <v>45393.125</v>
      </c>
      <c r="B2429" t="n">
        <v>4</v>
      </c>
      <c r="C2429" t="n">
        <v>11</v>
      </c>
      <c r="D2429" t="n">
        <v>3</v>
      </c>
      <c r="E2429" s="10" t="n">
        <v>0</v>
      </c>
      <c r="F2429" s="10" t="n">
        <v>0.3245249578859899</v>
      </c>
      <c r="G2429" s="11">
        <f>E2429*Summary!$B$6</f>
        <v/>
      </c>
      <c r="H2429" s="11">
        <f>F2429*Summary!$B$7</f>
        <v/>
      </c>
      <c r="I2429" s="11">
        <f>MAX(0,N2429-M2429)</f>
        <v/>
      </c>
      <c r="J2429" s="11">
        <f>MAX(0,M2429-N2429)</f>
        <v/>
      </c>
      <c r="K2429" s="11">
        <f>O2429</f>
        <v/>
      </c>
      <c r="L2429" s="11">
        <f>L2428+IF(K2429&gt;0,K2429*Summary!$B$9,K2429/Summary!$B$9)</f>
        <v/>
      </c>
      <c r="M2429" s="11">
        <f>G2429+H2429</f>
        <v/>
      </c>
      <c r="N2429" s="11">
        <f>Summary!$C$16*Summary!$B$8</f>
        <v/>
      </c>
      <c r="O2429" s="11">
        <f>M2429-N2429</f>
        <v/>
      </c>
    </row>
    <row r="2430">
      <c r="A2430" s="9" t="n">
        <v>45393.16666666666</v>
      </c>
      <c r="B2430" t="n">
        <v>4</v>
      </c>
      <c r="C2430" t="n">
        <v>11</v>
      </c>
      <c r="D2430" t="n">
        <v>4</v>
      </c>
      <c r="E2430" s="10" t="n">
        <v>0</v>
      </c>
      <c r="F2430" s="10" t="n">
        <v>0.3163031319127517</v>
      </c>
      <c r="G2430" s="11">
        <f>E2430*Summary!$B$6</f>
        <v/>
      </c>
      <c r="H2430" s="11">
        <f>F2430*Summary!$B$7</f>
        <v/>
      </c>
      <c r="I2430" s="11">
        <f>MAX(0,N2430-M2430)</f>
        <v/>
      </c>
      <c r="J2430" s="11">
        <f>MAX(0,M2430-N2430)</f>
        <v/>
      </c>
      <c r="K2430" s="11">
        <f>O2430</f>
        <v/>
      </c>
      <c r="L2430" s="11">
        <f>L2429+IF(K2430&gt;0,K2430*Summary!$B$9,K2430/Summary!$B$9)</f>
        <v/>
      </c>
      <c r="M2430" s="11">
        <f>G2430+H2430</f>
        <v/>
      </c>
      <c r="N2430" s="11">
        <f>Summary!$C$16*Summary!$B$8</f>
        <v/>
      </c>
      <c r="O2430" s="11">
        <f>M2430-N2430</f>
        <v/>
      </c>
    </row>
    <row r="2431">
      <c r="A2431" s="9" t="n">
        <v>45393.20833333334</v>
      </c>
      <c r="B2431" t="n">
        <v>4</v>
      </c>
      <c r="C2431" t="n">
        <v>11</v>
      </c>
      <c r="D2431" t="n">
        <v>5</v>
      </c>
      <c r="E2431" s="10" t="n">
        <v>0.004101</v>
      </c>
      <c r="F2431" s="10" t="n">
        <v>0.3016514163963399</v>
      </c>
      <c r="G2431" s="11">
        <f>E2431*Summary!$B$6</f>
        <v/>
      </c>
      <c r="H2431" s="11">
        <f>F2431*Summary!$B$7</f>
        <v/>
      </c>
      <c r="I2431" s="11">
        <f>MAX(0,N2431-M2431)</f>
        <v/>
      </c>
      <c r="J2431" s="11">
        <f>MAX(0,M2431-N2431)</f>
        <v/>
      </c>
      <c r="K2431" s="11">
        <f>O2431</f>
        <v/>
      </c>
      <c r="L2431" s="11">
        <f>L2430+IF(K2431&gt;0,K2431*Summary!$B$9,K2431/Summary!$B$9)</f>
        <v/>
      </c>
      <c r="M2431" s="11">
        <f>G2431+H2431</f>
        <v/>
      </c>
      <c r="N2431" s="11">
        <f>Summary!$C$16*Summary!$B$8</f>
        <v/>
      </c>
      <c r="O2431" s="11">
        <f>M2431-N2431</f>
        <v/>
      </c>
    </row>
    <row r="2432">
      <c r="A2432" s="9" t="n">
        <v>45393.25</v>
      </c>
      <c r="B2432" t="n">
        <v>4</v>
      </c>
      <c r="C2432" t="n">
        <v>11</v>
      </c>
      <c r="D2432" t="n">
        <v>6</v>
      </c>
      <c r="E2432" s="10" t="n">
        <v>0.062651</v>
      </c>
      <c r="F2432" s="10" t="n">
        <v>0.2825725638174153</v>
      </c>
      <c r="G2432" s="11">
        <f>E2432*Summary!$B$6</f>
        <v/>
      </c>
      <c r="H2432" s="11">
        <f>F2432*Summary!$B$7</f>
        <v/>
      </c>
      <c r="I2432" s="11">
        <f>MAX(0,N2432-M2432)</f>
        <v/>
      </c>
      <c r="J2432" s="11">
        <f>MAX(0,M2432-N2432)</f>
        <v/>
      </c>
      <c r="K2432" s="11">
        <f>O2432</f>
        <v/>
      </c>
      <c r="L2432" s="11">
        <f>L2431+IF(K2432&gt;0,K2432*Summary!$B$9,K2432/Summary!$B$9)</f>
        <v/>
      </c>
      <c r="M2432" s="11">
        <f>G2432+H2432</f>
        <v/>
      </c>
      <c r="N2432" s="11">
        <f>Summary!$C$16*Summary!$B$8</f>
        <v/>
      </c>
      <c r="O2432" s="11">
        <f>M2432-N2432</f>
        <v/>
      </c>
    </row>
    <row r="2433">
      <c r="A2433" s="9" t="n">
        <v>45393.29166666666</v>
      </c>
      <c r="B2433" t="n">
        <v>4</v>
      </c>
      <c r="C2433" t="n">
        <v>11</v>
      </c>
      <c r="D2433" t="n">
        <v>7</v>
      </c>
      <c r="E2433" s="10" t="n">
        <v>0.237227</v>
      </c>
      <c r="F2433" s="10" t="n">
        <v>0.2565894855814765</v>
      </c>
      <c r="G2433" s="11">
        <f>E2433*Summary!$B$6</f>
        <v/>
      </c>
      <c r="H2433" s="11">
        <f>F2433*Summary!$B$7</f>
        <v/>
      </c>
      <c r="I2433" s="11">
        <f>MAX(0,N2433-M2433)</f>
        <v/>
      </c>
      <c r="J2433" s="11">
        <f>MAX(0,M2433-N2433)</f>
        <v/>
      </c>
      <c r="K2433" s="11">
        <f>O2433</f>
        <v/>
      </c>
      <c r="L2433" s="11">
        <f>L2432+IF(K2433&gt;0,K2433*Summary!$B$9,K2433/Summary!$B$9)</f>
        <v/>
      </c>
      <c r="M2433" s="11">
        <f>G2433+H2433</f>
        <v/>
      </c>
      <c r="N2433" s="11">
        <f>Summary!$C$16*Summary!$B$8</f>
        <v/>
      </c>
      <c r="O2433" s="11">
        <f>M2433-N2433</f>
        <v/>
      </c>
    </row>
    <row r="2434">
      <c r="A2434" s="9" t="n">
        <v>45393.33333333334</v>
      </c>
      <c r="B2434" t="n">
        <v>4</v>
      </c>
      <c r="C2434" t="n">
        <v>11</v>
      </c>
      <c r="D2434" t="n">
        <v>8</v>
      </c>
      <c r="E2434" s="10" t="n">
        <v>0.442238</v>
      </c>
      <c r="F2434" s="10" t="n">
        <v>0.2385383612492067</v>
      </c>
      <c r="G2434" s="11">
        <f>E2434*Summary!$B$6</f>
        <v/>
      </c>
      <c r="H2434" s="11">
        <f>F2434*Summary!$B$7</f>
        <v/>
      </c>
      <c r="I2434" s="11">
        <f>MAX(0,N2434-M2434)</f>
        <v/>
      </c>
      <c r="J2434" s="11">
        <f>MAX(0,M2434-N2434)</f>
        <v/>
      </c>
      <c r="K2434" s="11">
        <f>O2434</f>
        <v/>
      </c>
      <c r="L2434" s="11">
        <f>L2433+IF(K2434&gt;0,K2434*Summary!$B$9,K2434/Summary!$B$9)</f>
        <v/>
      </c>
      <c r="M2434" s="11">
        <f>G2434+H2434</f>
        <v/>
      </c>
      <c r="N2434" s="11">
        <f>Summary!$C$16*Summary!$B$8</f>
        <v/>
      </c>
      <c r="O2434" s="11">
        <f>M2434-N2434</f>
        <v/>
      </c>
    </row>
    <row r="2435">
      <c r="A2435" s="9" t="n">
        <v>45393.375</v>
      </c>
      <c r="B2435" t="n">
        <v>4</v>
      </c>
      <c r="C2435" t="n">
        <v>11</v>
      </c>
      <c r="D2435" t="n">
        <v>9</v>
      </c>
      <c r="E2435" s="10" t="n">
        <v>0.614093</v>
      </c>
      <c r="F2435" s="10" t="n">
        <v>0.2330571439337145</v>
      </c>
      <c r="G2435" s="11">
        <f>E2435*Summary!$B$6</f>
        <v/>
      </c>
      <c r="H2435" s="11">
        <f>F2435*Summary!$B$7</f>
        <v/>
      </c>
      <c r="I2435" s="11">
        <f>MAX(0,N2435-M2435)</f>
        <v/>
      </c>
      <c r="J2435" s="11">
        <f>MAX(0,M2435-N2435)</f>
        <v/>
      </c>
      <c r="K2435" s="11">
        <f>O2435</f>
        <v/>
      </c>
      <c r="L2435" s="11">
        <f>L2434+IF(K2435&gt;0,K2435*Summary!$B$9,K2435/Summary!$B$9)</f>
        <v/>
      </c>
      <c r="M2435" s="11">
        <f>G2435+H2435</f>
        <v/>
      </c>
      <c r="N2435" s="11">
        <f>Summary!$C$16*Summary!$B$8</f>
        <v/>
      </c>
      <c r="O2435" s="11">
        <f>M2435-N2435</f>
        <v/>
      </c>
    </row>
    <row r="2436">
      <c r="A2436" s="9" t="n">
        <v>45393.41666666666</v>
      </c>
      <c r="B2436" t="n">
        <v>4</v>
      </c>
      <c r="C2436" t="n">
        <v>11</v>
      </c>
      <c r="D2436" t="n">
        <v>10</v>
      </c>
      <c r="E2436" s="10" t="n">
        <v>0.678432</v>
      </c>
      <c r="F2436" s="10" t="n">
        <v>0.2361930326863278</v>
      </c>
      <c r="G2436" s="11">
        <f>E2436*Summary!$B$6</f>
        <v/>
      </c>
      <c r="H2436" s="11">
        <f>F2436*Summary!$B$7</f>
        <v/>
      </c>
      <c r="I2436" s="11">
        <f>MAX(0,N2436-M2436)</f>
        <v/>
      </c>
      <c r="J2436" s="11">
        <f>MAX(0,M2436-N2436)</f>
        <v/>
      </c>
      <c r="K2436" s="11">
        <f>O2436</f>
        <v/>
      </c>
      <c r="L2436" s="11">
        <f>L2435+IF(K2436&gt;0,K2436*Summary!$B$9,K2436/Summary!$B$9)</f>
        <v/>
      </c>
      <c r="M2436" s="11">
        <f>G2436+H2436</f>
        <v/>
      </c>
      <c r="N2436" s="11">
        <f>Summary!$C$16*Summary!$B$8</f>
        <v/>
      </c>
      <c r="O2436" s="11">
        <f>M2436-N2436</f>
        <v/>
      </c>
    </row>
    <row r="2437">
      <c r="A2437" s="9" t="n">
        <v>45393.45833333334</v>
      </c>
      <c r="B2437" t="n">
        <v>4</v>
      </c>
      <c r="C2437" t="n">
        <v>11</v>
      </c>
      <c r="D2437" t="n">
        <v>11</v>
      </c>
      <c r="E2437" s="10" t="n">
        <v>0.467818</v>
      </c>
      <c r="F2437" s="10" t="n">
        <v>0.2446256747101619</v>
      </c>
      <c r="G2437" s="11">
        <f>E2437*Summary!$B$6</f>
        <v/>
      </c>
      <c r="H2437" s="11">
        <f>F2437*Summary!$B$7</f>
        <v/>
      </c>
      <c r="I2437" s="11">
        <f>MAX(0,N2437-M2437)</f>
        <v/>
      </c>
      <c r="J2437" s="11">
        <f>MAX(0,M2437-N2437)</f>
        <v/>
      </c>
      <c r="K2437" s="11">
        <f>O2437</f>
        <v/>
      </c>
      <c r="L2437" s="11">
        <f>L2436+IF(K2437&gt;0,K2437*Summary!$B$9,K2437/Summary!$B$9)</f>
        <v/>
      </c>
      <c r="M2437" s="11">
        <f>G2437+H2437</f>
        <v/>
      </c>
      <c r="N2437" s="11">
        <f>Summary!$C$16*Summary!$B$8</f>
        <v/>
      </c>
      <c r="O2437" s="11">
        <f>M2437-N2437</f>
        <v/>
      </c>
    </row>
    <row r="2438">
      <c r="A2438" s="9" t="n">
        <v>45393.5</v>
      </c>
      <c r="B2438" t="n">
        <v>4</v>
      </c>
      <c r="C2438" t="n">
        <v>11</v>
      </c>
      <c r="D2438" t="n">
        <v>12</v>
      </c>
      <c r="E2438" s="10" t="n">
        <v>0.352157</v>
      </c>
      <c r="F2438" s="10" t="n">
        <v>0.2834158280197987</v>
      </c>
      <c r="G2438" s="11">
        <f>E2438*Summary!$B$6</f>
        <v/>
      </c>
      <c r="H2438" s="11">
        <f>F2438*Summary!$B$7</f>
        <v/>
      </c>
      <c r="I2438" s="11">
        <f>MAX(0,N2438-M2438)</f>
        <v/>
      </c>
      <c r="J2438" s="11">
        <f>MAX(0,M2438-N2438)</f>
        <v/>
      </c>
      <c r="K2438" s="11">
        <f>O2438</f>
        <v/>
      </c>
      <c r="L2438" s="11">
        <f>L2437+IF(K2438&gt;0,K2438*Summary!$B$9,K2438/Summary!$B$9)</f>
        <v/>
      </c>
      <c r="M2438" s="11">
        <f>G2438+H2438</f>
        <v/>
      </c>
      <c r="N2438" s="11">
        <f>Summary!$C$16*Summary!$B$8</f>
        <v/>
      </c>
      <c r="O2438" s="11">
        <f>M2438-N2438</f>
        <v/>
      </c>
    </row>
    <row r="2439">
      <c r="A2439" s="9" t="n">
        <v>45393.54166666666</v>
      </c>
      <c r="B2439" t="n">
        <v>4</v>
      </c>
      <c r="C2439" t="n">
        <v>11</v>
      </c>
      <c r="D2439" t="n">
        <v>13</v>
      </c>
      <c r="E2439" s="10" t="n">
        <v>0.423804</v>
      </c>
      <c r="F2439" s="10" t="n">
        <v>0.2750885940212626</v>
      </c>
      <c r="G2439" s="11">
        <f>E2439*Summary!$B$6</f>
        <v/>
      </c>
      <c r="H2439" s="11">
        <f>F2439*Summary!$B$7</f>
        <v/>
      </c>
      <c r="I2439" s="11">
        <f>MAX(0,N2439-M2439)</f>
        <v/>
      </c>
      <c r="J2439" s="11">
        <f>MAX(0,M2439-N2439)</f>
        <v/>
      </c>
      <c r="K2439" s="11">
        <f>O2439</f>
        <v/>
      </c>
      <c r="L2439" s="11">
        <f>L2438+IF(K2439&gt;0,K2439*Summary!$B$9,K2439/Summary!$B$9)</f>
        <v/>
      </c>
      <c r="M2439" s="11">
        <f>G2439+H2439</f>
        <v/>
      </c>
      <c r="N2439" s="11">
        <f>Summary!$C$16*Summary!$B$8</f>
        <v/>
      </c>
      <c r="O2439" s="11">
        <f>M2439-N2439</f>
        <v/>
      </c>
    </row>
    <row r="2440">
      <c r="A2440" s="9" t="n">
        <v>45393.58333333334</v>
      </c>
      <c r="B2440" t="n">
        <v>4</v>
      </c>
      <c r="C2440" t="n">
        <v>11</v>
      </c>
      <c r="D2440" t="n">
        <v>14</v>
      </c>
      <c r="E2440" s="10" t="n">
        <v>0.214582</v>
      </c>
      <c r="F2440" s="10" t="n">
        <v>0.2859192686206244</v>
      </c>
      <c r="G2440" s="11">
        <f>E2440*Summary!$B$6</f>
        <v/>
      </c>
      <c r="H2440" s="11">
        <f>F2440*Summary!$B$7</f>
        <v/>
      </c>
      <c r="I2440" s="11">
        <f>MAX(0,N2440-M2440)</f>
        <v/>
      </c>
      <c r="J2440" s="11">
        <f>MAX(0,M2440-N2440)</f>
        <v/>
      </c>
      <c r="K2440" s="11">
        <f>O2440</f>
        <v/>
      </c>
      <c r="L2440" s="11">
        <f>L2439+IF(K2440&gt;0,K2440*Summary!$B$9,K2440/Summary!$B$9)</f>
        <v/>
      </c>
      <c r="M2440" s="11">
        <f>G2440+H2440</f>
        <v/>
      </c>
      <c r="N2440" s="11">
        <f>Summary!$C$16*Summary!$B$8</f>
        <v/>
      </c>
      <c r="O2440" s="11">
        <f>M2440-N2440</f>
        <v/>
      </c>
    </row>
    <row r="2441">
      <c r="A2441" s="9" t="n">
        <v>45393.625</v>
      </c>
      <c r="B2441" t="n">
        <v>4</v>
      </c>
      <c r="C2441" t="n">
        <v>11</v>
      </c>
      <c r="D2441" t="n">
        <v>15</v>
      </c>
      <c r="E2441" s="10" t="n">
        <v>0.115668</v>
      </c>
      <c r="F2441" s="10" t="n">
        <v>0.2921119901068776</v>
      </c>
      <c r="G2441" s="11">
        <f>E2441*Summary!$B$6</f>
        <v/>
      </c>
      <c r="H2441" s="11">
        <f>F2441*Summary!$B$7</f>
        <v/>
      </c>
      <c r="I2441" s="11">
        <f>MAX(0,N2441-M2441)</f>
        <v/>
      </c>
      <c r="J2441" s="11">
        <f>MAX(0,M2441-N2441)</f>
        <v/>
      </c>
      <c r="K2441" s="11">
        <f>O2441</f>
        <v/>
      </c>
      <c r="L2441" s="11">
        <f>L2440+IF(K2441&gt;0,K2441*Summary!$B$9,K2441/Summary!$B$9)</f>
        <v/>
      </c>
      <c r="M2441" s="11">
        <f>G2441+H2441</f>
        <v/>
      </c>
      <c r="N2441" s="11">
        <f>Summary!$C$16*Summary!$B$8</f>
        <v/>
      </c>
      <c r="O2441" s="11">
        <f>M2441-N2441</f>
        <v/>
      </c>
    </row>
    <row r="2442">
      <c r="A2442" s="9" t="n">
        <v>45393.66666666666</v>
      </c>
      <c r="B2442" t="n">
        <v>4</v>
      </c>
      <c r="C2442" t="n">
        <v>11</v>
      </c>
      <c r="D2442" t="n">
        <v>16</v>
      </c>
      <c r="E2442" s="10" t="n">
        <v>0.097247</v>
      </c>
      <c r="F2442" s="10" t="n">
        <v>0.2930343103282345</v>
      </c>
      <c r="G2442" s="11">
        <f>E2442*Summary!$B$6</f>
        <v/>
      </c>
      <c r="H2442" s="11">
        <f>F2442*Summary!$B$7</f>
        <v/>
      </c>
      <c r="I2442" s="11">
        <f>MAX(0,N2442-M2442)</f>
        <v/>
      </c>
      <c r="J2442" s="11">
        <f>MAX(0,M2442-N2442)</f>
        <v/>
      </c>
      <c r="K2442" s="11">
        <f>O2442</f>
        <v/>
      </c>
      <c r="L2442" s="11">
        <f>L2441+IF(K2442&gt;0,K2442*Summary!$B$9,K2442/Summary!$B$9)</f>
        <v/>
      </c>
      <c r="M2442" s="11">
        <f>G2442+H2442</f>
        <v/>
      </c>
      <c r="N2442" s="11">
        <f>Summary!$C$16*Summary!$B$8</f>
        <v/>
      </c>
      <c r="O2442" s="11">
        <f>M2442-N2442</f>
        <v/>
      </c>
    </row>
    <row r="2443">
      <c r="A2443" s="9" t="n">
        <v>45393.70833333334</v>
      </c>
      <c r="B2443" t="n">
        <v>4</v>
      </c>
      <c r="C2443" t="n">
        <v>11</v>
      </c>
      <c r="D2443" t="n">
        <v>17</v>
      </c>
      <c r="E2443" s="10" t="n">
        <v>0.056494</v>
      </c>
      <c r="F2443" s="10" t="n">
        <v>0.289345029442807</v>
      </c>
      <c r="G2443" s="11">
        <f>E2443*Summary!$B$6</f>
        <v/>
      </c>
      <c r="H2443" s="11">
        <f>F2443*Summary!$B$7</f>
        <v/>
      </c>
      <c r="I2443" s="11">
        <f>MAX(0,N2443-M2443)</f>
        <v/>
      </c>
      <c r="J2443" s="11">
        <f>MAX(0,M2443-N2443)</f>
        <v/>
      </c>
      <c r="K2443" s="11">
        <f>O2443</f>
        <v/>
      </c>
      <c r="L2443" s="11">
        <f>L2442+IF(K2443&gt;0,K2443*Summary!$B$9,K2443/Summary!$B$9)</f>
        <v/>
      </c>
      <c r="M2443" s="11">
        <f>G2443+H2443</f>
        <v/>
      </c>
      <c r="N2443" s="11">
        <f>Summary!$C$16*Summary!$B$8</f>
        <v/>
      </c>
      <c r="O2443" s="11">
        <f>M2443-N2443</f>
        <v/>
      </c>
    </row>
    <row r="2444">
      <c r="A2444" s="9" t="n">
        <v>45393.75</v>
      </c>
      <c r="B2444" t="n">
        <v>4</v>
      </c>
      <c r="C2444" t="n">
        <v>11</v>
      </c>
      <c r="D2444" t="n">
        <v>18</v>
      </c>
      <c r="E2444" s="10" t="n">
        <v>0.013471</v>
      </c>
      <c r="F2444" s="10" t="n">
        <v>0.2992533838208121</v>
      </c>
      <c r="G2444" s="11">
        <f>E2444*Summary!$B$6</f>
        <v/>
      </c>
      <c r="H2444" s="11">
        <f>F2444*Summary!$B$7</f>
        <v/>
      </c>
      <c r="I2444" s="11">
        <f>MAX(0,N2444-M2444)</f>
        <v/>
      </c>
      <c r="J2444" s="11">
        <f>MAX(0,M2444-N2444)</f>
        <v/>
      </c>
      <c r="K2444" s="11">
        <f>O2444</f>
        <v/>
      </c>
      <c r="L2444" s="11">
        <f>L2443+IF(K2444&gt;0,K2444*Summary!$B$9,K2444/Summary!$B$9)</f>
        <v/>
      </c>
      <c r="M2444" s="11">
        <f>G2444+H2444</f>
        <v/>
      </c>
      <c r="N2444" s="11">
        <f>Summary!$C$16*Summary!$B$8</f>
        <v/>
      </c>
      <c r="O2444" s="11">
        <f>M2444-N2444</f>
        <v/>
      </c>
    </row>
    <row r="2445">
      <c r="A2445" s="9" t="n">
        <v>45393.79166666666</v>
      </c>
      <c r="B2445" t="n">
        <v>4</v>
      </c>
      <c r="C2445" t="n">
        <v>11</v>
      </c>
      <c r="D2445" t="n">
        <v>19</v>
      </c>
      <c r="E2445" s="10" t="n">
        <v>0</v>
      </c>
      <c r="F2445" s="10" t="n">
        <v>0.3216789412029459</v>
      </c>
      <c r="G2445" s="11">
        <f>E2445*Summary!$B$6</f>
        <v/>
      </c>
      <c r="H2445" s="11">
        <f>F2445*Summary!$B$7</f>
        <v/>
      </c>
      <c r="I2445" s="11">
        <f>MAX(0,N2445-M2445)</f>
        <v/>
      </c>
      <c r="J2445" s="11">
        <f>MAX(0,M2445-N2445)</f>
        <v/>
      </c>
      <c r="K2445" s="11">
        <f>O2445</f>
        <v/>
      </c>
      <c r="L2445" s="11">
        <f>L2444+IF(K2445&gt;0,K2445*Summary!$B$9,K2445/Summary!$B$9)</f>
        <v/>
      </c>
      <c r="M2445" s="11">
        <f>G2445+H2445</f>
        <v/>
      </c>
      <c r="N2445" s="11">
        <f>Summary!$C$16*Summary!$B$8</f>
        <v/>
      </c>
      <c r="O2445" s="11">
        <f>M2445-N2445</f>
        <v/>
      </c>
    </row>
    <row r="2446">
      <c r="A2446" s="9" t="n">
        <v>45393.83333333334</v>
      </c>
      <c r="B2446" t="n">
        <v>4</v>
      </c>
      <c r="C2446" t="n">
        <v>11</v>
      </c>
      <c r="D2446" t="n">
        <v>20</v>
      </c>
      <c r="E2446" s="10" t="n">
        <v>0</v>
      </c>
      <c r="F2446" s="10" t="n">
        <v>0.3373320329596879</v>
      </c>
      <c r="G2446" s="11">
        <f>E2446*Summary!$B$6</f>
        <v/>
      </c>
      <c r="H2446" s="11">
        <f>F2446*Summary!$B$7</f>
        <v/>
      </c>
      <c r="I2446" s="11">
        <f>MAX(0,N2446-M2446)</f>
        <v/>
      </c>
      <c r="J2446" s="11">
        <f>MAX(0,M2446-N2446)</f>
        <v/>
      </c>
      <c r="K2446" s="11">
        <f>O2446</f>
        <v/>
      </c>
      <c r="L2446" s="11">
        <f>L2445+IF(K2446&gt;0,K2446*Summary!$B$9,K2446/Summary!$B$9)</f>
        <v/>
      </c>
      <c r="M2446" s="11">
        <f>G2446+H2446</f>
        <v/>
      </c>
      <c r="N2446" s="11">
        <f>Summary!$C$16*Summary!$B$8</f>
        <v/>
      </c>
      <c r="O2446" s="11">
        <f>M2446-N2446</f>
        <v/>
      </c>
    </row>
    <row r="2447">
      <c r="A2447" s="9" t="n">
        <v>45393.875</v>
      </c>
      <c r="B2447" t="n">
        <v>4</v>
      </c>
      <c r="C2447" t="n">
        <v>11</v>
      </c>
      <c r="D2447" t="n">
        <v>21</v>
      </c>
      <c r="E2447" s="10" t="n">
        <v>0</v>
      </c>
      <c r="F2447" s="10" t="n">
        <v>0.3487424516981884</v>
      </c>
      <c r="G2447" s="11">
        <f>E2447*Summary!$B$6</f>
        <v/>
      </c>
      <c r="H2447" s="11">
        <f>F2447*Summary!$B$7</f>
        <v/>
      </c>
      <c r="I2447" s="11">
        <f>MAX(0,N2447-M2447)</f>
        <v/>
      </c>
      <c r="J2447" s="11">
        <f>MAX(0,M2447-N2447)</f>
        <v/>
      </c>
      <c r="K2447" s="11">
        <f>O2447</f>
        <v/>
      </c>
      <c r="L2447" s="11">
        <f>L2446+IF(K2447&gt;0,K2447*Summary!$B$9,K2447/Summary!$B$9)</f>
        <v/>
      </c>
      <c r="M2447" s="11">
        <f>G2447+H2447</f>
        <v/>
      </c>
      <c r="N2447" s="11">
        <f>Summary!$C$16*Summary!$B$8</f>
        <v/>
      </c>
      <c r="O2447" s="11">
        <f>M2447-N2447</f>
        <v/>
      </c>
    </row>
    <row r="2448">
      <c r="A2448" s="9" t="n">
        <v>45393.91666666666</v>
      </c>
      <c r="B2448" t="n">
        <v>4</v>
      </c>
      <c r="C2448" t="n">
        <v>11</v>
      </c>
      <c r="D2448" t="n">
        <v>22</v>
      </c>
      <c r="E2448" s="10" t="n">
        <v>0</v>
      </c>
      <c r="F2448" s="10" t="n">
        <v>0.3852663324639198</v>
      </c>
      <c r="G2448" s="11">
        <f>E2448*Summary!$B$6</f>
        <v/>
      </c>
      <c r="H2448" s="11">
        <f>F2448*Summary!$B$7</f>
        <v/>
      </c>
      <c r="I2448" s="11">
        <f>MAX(0,N2448-M2448)</f>
        <v/>
      </c>
      <c r="J2448" s="11">
        <f>MAX(0,M2448-N2448)</f>
        <v/>
      </c>
      <c r="K2448" s="11">
        <f>O2448</f>
        <v/>
      </c>
      <c r="L2448" s="11">
        <f>L2447+IF(K2448&gt;0,K2448*Summary!$B$9,K2448/Summary!$B$9)</f>
        <v/>
      </c>
      <c r="M2448" s="11">
        <f>G2448+H2448</f>
        <v/>
      </c>
      <c r="N2448" s="11">
        <f>Summary!$C$16*Summary!$B$8</f>
        <v/>
      </c>
      <c r="O2448" s="11">
        <f>M2448-N2448</f>
        <v/>
      </c>
    </row>
    <row r="2449">
      <c r="A2449" s="9" t="n">
        <v>45393.95833333334</v>
      </c>
      <c r="B2449" t="n">
        <v>4</v>
      </c>
      <c r="C2449" t="n">
        <v>11</v>
      </c>
      <c r="D2449" t="n">
        <v>23</v>
      </c>
      <c r="E2449" s="10" t="n">
        <v>0</v>
      </c>
      <c r="F2449" s="10" t="n">
        <v>0.3554095092982822</v>
      </c>
      <c r="G2449" s="11">
        <f>E2449*Summary!$B$6</f>
        <v/>
      </c>
      <c r="H2449" s="11">
        <f>F2449*Summary!$B$7</f>
        <v/>
      </c>
      <c r="I2449" s="11">
        <f>MAX(0,N2449-M2449)</f>
        <v/>
      </c>
      <c r="J2449" s="11">
        <f>MAX(0,M2449-N2449)</f>
        <v/>
      </c>
      <c r="K2449" s="11">
        <f>O2449</f>
        <v/>
      </c>
      <c r="L2449" s="11">
        <f>L2448+IF(K2449&gt;0,K2449*Summary!$B$9,K2449/Summary!$B$9)</f>
        <v/>
      </c>
      <c r="M2449" s="11">
        <f>G2449+H2449</f>
        <v/>
      </c>
      <c r="N2449" s="11">
        <f>Summary!$C$16*Summary!$B$8</f>
        <v/>
      </c>
      <c r="O2449" s="11">
        <f>M2449-N2449</f>
        <v/>
      </c>
    </row>
    <row r="2450">
      <c r="A2450" s="9" t="n">
        <v>45394</v>
      </c>
      <c r="B2450" t="n">
        <v>4</v>
      </c>
      <c r="C2450" t="n">
        <v>12</v>
      </c>
      <c r="D2450" t="n">
        <v>0</v>
      </c>
      <c r="E2450" s="10" t="n">
        <v>0</v>
      </c>
      <c r="F2450" s="10" t="n">
        <v>0.3168301720392413</v>
      </c>
      <c r="G2450" s="11">
        <f>E2450*Summary!$B$6</f>
        <v/>
      </c>
      <c r="H2450" s="11">
        <f>F2450*Summary!$B$7</f>
        <v/>
      </c>
      <c r="I2450" s="11">
        <f>MAX(0,N2450-M2450)</f>
        <v/>
      </c>
      <c r="J2450" s="11">
        <f>MAX(0,M2450-N2450)</f>
        <v/>
      </c>
      <c r="K2450" s="11">
        <f>O2450</f>
        <v/>
      </c>
      <c r="L2450" s="11">
        <f>L2449+IF(K2450&gt;0,K2450*Summary!$B$9,K2450/Summary!$B$9)</f>
        <v/>
      </c>
      <c r="M2450" s="11">
        <f>G2450+H2450</f>
        <v/>
      </c>
      <c r="N2450" s="11">
        <f>Summary!$C$16*Summary!$B$8</f>
        <v/>
      </c>
      <c r="O2450" s="11">
        <f>M2450-N2450</f>
        <v/>
      </c>
    </row>
    <row r="2451">
      <c r="A2451" s="9" t="n">
        <v>45394.04166666666</v>
      </c>
      <c r="B2451" t="n">
        <v>4</v>
      </c>
      <c r="C2451" t="n">
        <v>12</v>
      </c>
      <c r="D2451" t="n">
        <v>1</v>
      </c>
      <c r="E2451" s="10" t="n">
        <v>0</v>
      </c>
      <c r="F2451" s="10" t="n">
        <v>0.3411530738767377</v>
      </c>
      <c r="G2451" s="11">
        <f>E2451*Summary!$B$6</f>
        <v/>
      </c>
      <c r="H2451" s="11">
        <f>F2451*Summary!$B$7</f>
        <v/>
      </c>
      <c r="I2451" s="11">
        <f>MAX(0,N2451-M2451)</f>
        <v/>
      </c>
      <c r="J2451" s="11">
        <f>MAX(0,M2451-N2451)</f>
        <v/>
      </c>
      <c r="K2451" s="11">
        <f>O2451</f>
        <v/>
      </c>
      <c r="L2451" s="11">
        <f>L2450+IF(K2451&gt;0,K2451*Summary!$B$9,K2451/Summary!$B$9)</f>
        <v/>
      </c>
      <c r="M2451" s="11">
        <f>G2451+H2451</f>
        <v/>
      </c>
      <c r="N2451" s="11">
        <f>Summary!$C$16*Summary!$B$8</f>
        <v/>
      </c>
      <c r="O2451" s="11">
        <f>M2451-N2451</f>
        <v/>
      </c>
    </row>
    <row r="2452">
      <c r="A2452" s="9" t="n">
        <v>45394.08333333334</v>
      </c>
      <c r="B2452" t="n">
        <v>4</v>
      </c>
      <c r="C2452" t="n">
        <v>12</v>
      </c>
      <c r="D2452" t="n">
        <v>2</v>
      </c>
      <c r="E2452" s="10" t="n">
        <v>0</v>
      </c>
      <c r="F2452" s="10" t="n">
        <v>0.3367522888205493</v>
      </c>
      <c r="G2452" s="11">
        <f>E2452*Summary!$B$6</f>
        <v/>
      </c>
      <c r="H2452" s="11">
        <f>F2452*Summary!$B$7</f>
        <v/>
      </c>
      <c r="I2452" s="11">
        <f>MAX(0,N2452-M2452)</f>
        <v/>
      </c>
      <c r="J2452" s="11">
        <f>MAX(0,M2452-N2452)</f>
        <v/>
      </c>
      <c r="K2452" s="11">
        <f>O2452</f>
        <v/>
      </c>
      <c r="L2452" s="11">
        <f>L2451+IF(K2452&gt;0,K2452*Summary!$B$9,K2452/Summary!$B$9)</f>
        <v/>
      </c>
      <c r="M2452" s="11">
        <f>G2452+H2452</f>
        <v/>
      </c>
      <c r="N2452" s="11">
        <f>Summary!$C$16*Summary!$B$8</f>
        <v/>
      </c>
      <c r="O2452" s="11">
        <f>M2452-N2452</f>
        <v/>
      </c>
    </row>
    <row r="2453">
      <c r="A2453" s="9" t="n">
        <v>45394.125</v>
      </c>
      <c r="B2453" t="n">
        <v>4</v>
      </c>
      <c r="C2453" t="n">
        <v>12</v>
      </c>
      <c r="D2453" t="n">
        <v>3</v>
      </c>
      <c r="E2453" s="10" t="n">
        <v>0</v>
      </c>
      <c r="F2453" s="10" t="n">
        <v>0.3363306567193576</v>
      </c>
      <c r="G2453" s="11">
        <f>E2453*Summary!$B$6</f>
        <v/>
      </c>
      <c r="H2453" s="11">
        <f>F2453*Summary!$B$7</f>
        <v/>
      </c>
      <c r="I2453" s="11">
        <f>MAX(0,N2453-M2453)</f>
        <v/>
      </c>
      <c r="J2453" s="11">
        <f>MAX(0,M2453-N2453)</f>
        <v/>
      </c>
      <c r="K2453" s="11">
        <f>O2453</f>
        <v/>
      </c>
      <c r="L2453" s="11">
        <f>L2452+IF(K2453&gt;0,K2453*Summary!$B$9,K2453/Summary!$B$9)</f>
        <v/>
      </c>
      <c r="M2453" s="11">
        <f>G2453+H2453</f>
        <v/>
      </c>
      <c r="N2453" s="11">
        <f>Summary!$C$16*Summary!$B$8</f>
        <v/>
      </c>
      <c r="O2453" s="11">
        <f>M2453-N2453</f>
        <v/>
      </c>
    </row>
    <row r="2454">
      <c r="A2454" s="9" t="n">
        <v>45394.16666666666</v>
      </c>
      <c r="B2454" t="n">
        <v>4</v>
      </c>
      <c r="C2454" t="n">
        <v>12</v>
      </c>
      <c r="D2454" t="n">
        <v>4</v>
      </c>
      <c r="E2454" s="10" t="n">
        <v>0</v>
      </c>
      <c r="F2454" s="10" t="n">
        <v>0.330664975359594</v>
      </c>
      <c r="G2454" s="11">
        <f>E2454*Summary!$B$6</f>
        <v/>
      </c>
      <c r="H2454" s="11">
        <f>F2454*Summary!$B$7</f>
        <v/>
      </c>
      <c r="I2454" s="11">
        <f>MAX(0,N2454-M2454)</f>
        <v/>
      </c>
      <c r="J2454" s="11">
        <f>MAX(0,M2454-N2454)</f>
        <v/>
      </c>
      <c r="K2454" s="11">
        <f>O2454</f>
        <v/>
      </c>
      <c r="L2454" s="11">
        <f>L2453+IF(K2454&gt;0,K2454*Summary!$B$9,K2454/Summary!$B$9)</f>
        <v/>
      </c>
      <c r="M2454" s="11">
        <f>G2454+H2454</f>
        <v/>
      </c>
      <c r="N2454" s="11">
        <f>Summary!$C$16*Summary!$B$8</f>
        <v/>
      </c>
      <c r="O2454" s="11">
        <f>M2454-N2454</f>
        <v/>
      </c>
    </row>
    <row r="2455">
      <c r="A2455" s="9" t="n">
        <v>45394.20833333334</v>
      </c>
      <c r="B2455" t="n">
        <v>4</v>
      </c>
      <c r="C2455" t="n">
        <v>12</v>
      </c>
      <c r="D2455" t="n">
        <v>5</v>
      </c>
      <c r="E2455" s="10" t="n">
        <v>0</v>
      </c>
      <c r="F2455" s="10" t="n">
        <v>0.32223233333576</v>
      </c>
      <c r="G2455" s="11">
        <f>E2455*Summary!$B$6</f>
        <v/>
      </c>
      <c r="H2455" s="11">
        <f>F2455*Summary!$B$7</f>
        <v/>
      </c>
      <c r="I2455" s="11">
        <f>MAX(0,N2455-M2455)</f>
        <v/>
      </c>
      <c r="J2455" s="11">
        <f>MAX(0,M2455-N2455)</f>
        <v/>
      </c>
      <c r="K2455" s="11">
        <f>O2455</f>
        <v/>
      </c>
      <c r="L2455" s="11">
        <f>L2454+IF(K2455&gt;0,K2455*Summary!$B$9,K2455/Summary!$B$9)</f>
        <v/>
      </c>
      <c r="M2455" s="11">
        <f>G2455+H2455</f>
        <v/>
      </c>
      <c r="N2455" s="11">
        <f>Summary!$C$16*Summary!$B$8</f>
        <v/>
      </c>
      <c r="O2455" s="11">
        <f>M2455-N2455</f>
        <v/>
      </c>
    </row>
    <row r="2456">
      <c r="A2456" s="9" t="n">
        <v>45394.25</v>
      </c>
      <c r="B2456" t="n">
        <v>4</v>
      </c>
      <c r="C2456" t="n">
        <v>12</v>
      </c>
      <c r="D2456" t="n">
        <v>6</v>
      </c>
      <c r="E2456" s="10" t="n">
        <v>0.010532</v>
      </c>
      <c r="F2456" s="10" t="n">
        <v>0.3054724573133897</v>
      </c>
      <c r="G2456" s="11">
        <f>E2456*Summary!$B$6</f>
        <v/>
      </c>
      <c r="H2456" s="11">
        <f>F2456*Summary!$B$7</f>
        <v/>
      </c>
      <c r="I2456" s="11">
        <f>MAX(0,N2456-M2456)</f>
        <v/>
      </c>
      <c r="J2456" s="11">
        <f>MAX(0,M2456-N2456)</f>
        <v/>
      </c>
      <c r="K2456" s="11">
        <f>O2456</f>
        <v/>
      </c>
      <c r="L2456" s="11">
        <f>L2455+IF(K2456&gt;0,K2456*Summary!$B$9,K2456/Summary!$B$9)</f>
        <v/>
      </c>
      <c r="M2456" s="11">
        <f>G2456+H2456</f>
        <v/>
      </c>
      <c r="N2456" s="11">
        <f>Summary!$C$16*Summary!$B$8</f>
        <v/>
      </c>
      <c r="O2456" s="11">
        <f>M2456-N2456</f>
        <v/>
      </c>
    </row>
    <row r="2457">
      <c r="A2457" s="9" t="n">
        <v>45394.29166666666</v>
      </c>
      <c r="B2457" t="n">
        <v>4</v>
      </c>
      <c r="C2457" t="n">
        <v>12</v>
      </c>
      <c r="D2457" t="n">
        <v>7</v>
      </c>
      <c r="E2457" s="10" t="n">
        <v>0.024882</v>
      </c>
      <c r="F2457" s="10" t="n">
        <v>0.2813340195201647</v>
      </c>
      <c r="G2457" s="11">
        <f>E2457*Summary!$B$6</f>
        <v/>
      </c>
      <c r="H2457" s="11">
        <f>F2457*Summary!$B$7</f>
        <v/>
      </c>
      <c r="I2457" s="11">
        <f>MAX(0,N2457-M2457)</f>
        <v/>
      </c>
      <c r="J2457" s="11">
        <f>MAX(0,M2457-N2457)</f>
        <v/>
      </c>
      <c r="K2457" s="11">
        <f>O2457</f>
        <v/>
      </c>
      <c r="L2457" s="11">
        <f>L2456+IF(K2457&gt;0,K2457*Summary!$B$9,K2457/Summary!$B$9)</f>
        <v/>
      </c>
      <c r="M2457" s="11">
        <f>G2457+H2457</f>
        <v/>
      </c>
      <c r="N2457" s="11">
        <f>Summary!$C$16*Summary!$B$8</f>
        <v/>
      </c>
      <c r="O2457" s="11">
        <f>M2457-N2457</f>
        <v/>
      </c>
    </row>
    <row r="2458">
      <c r="A2458" s="9" t="n">
        <v>45394.33333333334</v>
      </c>
      <c r="B2458" t="n">
        <v>4</v>
      </c>
      <c r="C2458" t="n">
        <v>12</v>
      </c>
      <c r="D2458" t="n">
        <v>8</v>
      </c>
      <c r="E2458" s="10" t="n">
        <v>0.095023</v>
      </c>
      <c r="F2458" s="10" t="n">
        <v>0.268711408490738</v>
      </c>
      <c r="G2458" s="11">
        <f>E2458*Summary!$B$6</f>
        <v/>
      </c>
      <c r="H2458" s="11">
        <f>F2458*Summary!$B$7</f>
        <v/>
      </c>
      <c r="I2458" s="11">
        <f>MAX(0,N2458-M2458)</f>
        <v/>
      </c>
      <c r="J2458" s="11">
        <f>MAX(0,M2458-N2458)</f>
        <v/>
      </c>
      <c r="K2458" s="11">
        <f>O2458</f>
        <v/>
      </c>
      <c r="L2458" s="11">
        <f>L2457+IF(K2458&gt;0,K2458*Summary!$B$9,K2458/Summary!$B$9)</f>
        <v/>
      </c>
      <c r="M2458" s="11">
        <f>G2458+H2458</f>
        <v/>
      </c>
      <c r="N2458" s="11">
        <f>Summary!$C$16*Summary!$B$8</f>
        <v/>
      </c>
      <c r="O2458" s="11">
        <f>M2458-N2458</f>
        <v/>
      </c>
    </row>
    <row r="2459">
      <c r="A2459" s="9" t="n">
        <v>45394.375</v>
      </c>
      <c r="B2459" t="n">
        <v>4</v>
      </c>
      <c r="C2459" t="n">
        <v>12</v>
      </c>
      <c r="D2459" t="n">
        <v>9</v>
      </c>
      <c r="E2459" s="10" t="n">
        <v>0.161693</v>
      </c>
      <c r="F2459" s="10" t="n">
        <v>0.2426492742358258</v>
      </c>
      <c r="G2459" s="11">
        <f>E2459*Summary!$B$6</f>
        <v/>
      </c>
      <c r="H2459" s="11">
        <f>F2459*Summary!$B$7</f>
        <v/>
      </c>
      <c r="I2459" s="11">
        <f>MAX(0,N2459-M2459)</f>
        <v/>
      </c>
      <c r="J2459" s="11">
        <f>MAX(0,M2459-N2459)</f>
        <v/>
      </c>
      <c r="K2459" s="11">
        <f>O2459</f>
        <v/>
      </c>
      <c r="L2459" s="11">
        <f>L2458+IF(K2459&gt;0,K2459*Summary!$B$9,K2459/Summary!$B$9)</f>
        <v/>
      </c>
      <c r="M2459" s="11">
        <f>G2459+H2459</f>
        <v/>
      </c>
      <c r="N2459" s="11">
        <f>Summary!$C$16*Summary!$B$8</f>
        <v/>
      </c>
      <c r="O2459" s="11">
        <f>M2459-N2459</f>
        <v/>
      </c>
    </row>
    <row r="2460">
      <c r="A2460" s="9" t="n">
        <v>45394.41666666666</v>
      </c>
      <c r="B2460" t="n">
        <v>4</v>
      </c>
      <c r="C2460" t="n">
        <v>12</v>
      </c>
      <c r="D2460" t="n">
        <v>10</v>
      </c>
      <c r="E2460" s="10" t="n">
        <v>0.15102</v>
      </c>
      <c r="F2460" s="10" t="n">
        <v>0.2557989253917421</v>
      </c>
      <c r="G2460" s="11">
        <f>E2460*Summary!$B$6</f>
        <v/>
      </c>
      <c r="H2460" s="11">
        <f>F2460*Summary!$B$7</f>
        <v/>
      </c>
      <c r="I2460" s="11">
        <f>MAX(0,N2460-M2460)</f>
        <v/>
      </c>
      <c r="J2460" s="11">
        <f>MAX(0,M2460-N2460)</f>
        <v/>
      </c>
      <c r="K2460" s="11">
        <f>O2460</f>
        <v/>
      </c>
      <c r="L2460" s="11">
        <f>L2459+IF(K2460&gt;0,K2460*Summary!$B$9,K2460/Summary!$B$9)</f>
        <v/>
      </c>
      <c r="M2460" s="11">
        <f>G2460+H2460</f>
        <v/>
      </c>
      <c r="N2460" s="11">
        <f>Summary!$C$16*Summary!$B$8</f>
        <v/>
      </c>
      <c r="O2460" s="11">
        <f>M2460-N2460</f>
        <v/>
      </c>
    </row>
    <row r="2461">
      <c r="A2461" s="9" t="n">
        <v>45394.45833333334</v>
      </c>
      <c r="B2461" t="n">
        <v>4</v>
      </c>
      <c r="C2461" t="n">
        <v>12</v>
      </c>
      <c r="D2461" t="n">
        <v>11</v>
      </c>
      <c r="E2461" s="10" t="n">
        <v>0.165127</v>
      </c>
      <c r="F2461" s="10" t="n">
        <v>0.2651011836242841</v>
      </c>
      <c r="G2461" s="11">
        <f>E2461*Summary!$B$6</f>
        <v/>
      </c>
      <c r="H2461" s="11">
        <f>F2461*Summary!$B$7</f>
        <v/>
      </c>
      <c r="I2461" s="11">
        <f>MAX(0,N2461-M2461)</f>
        <v/>
      </c>
      <c r="J2461" s="11">
        <f>MAX(0,M2461-N2461)</f>
        <v/>
      </c>
      <c r="K2461" s="11">
        <f>O2461</f>
        <v/>
      </c>
      <c r="L2461" s="11">
        <f>L2460+IF(K2461&gt;0,K2461*Summary!$B$9,K2461/Summary!$B$9)</f>
        <v/>
      </c>
      <c r="M2461" s="11">
        <f>G2461+H2461</f>
        <v/>
      </c>
      <c r="N2461" s="11">
        <f>Summary!$C$16*Summary!$B$8</f>
        <v/>
      </c>
      <c r="O2461" s="11">
        <f>M2461-N2461</f>
        <v/>
      </c>
    </row>
    <row r="2462">
      <c r="A2462" s="9" t="n">
        <v>45394.5</v>
      </c>
      <c r="B2462" t="n">
        <v>4</v>
      </c>
      <c r="C2462" t="n">
        <v>12</v>
      </c>
      <c r="D2462" t="n">
        <v>12</v>
      </c>
      <c r="E2462" s="10" t="n">
        <v>0.264988</v>
      </c>
      <c r="F2462" s="10" t="n">
        <v>0.2726378574330858</v>
      </c>
      <c r="G2462" s="11">
        <f>E2462*Summary!$B$6</f>
        <v/>
      </c>
      <c r="H2462" s="11">
        <f>F2462*Summary!$B$7</f>
        <v/>
      </c>
      <c r="I2462" s="11">
        <f>MAX(0,N2462-M2462)</f>
        <v/>
      </c>
      <c r="J2462" s="11">
        <f>MAX(0,M2462-N2462)</f>
        <v/>
      </c>
      <c r="K2462" s="11">
        <f>O2462</f>
        <v/>
      </c>
      <c r="L2462" s="11">
        <f>L2461+IF(K2462&gt;0,K2462*Summary!$B$9,K2462/Summary!$B$9)</f>
        <v/>
      </c>
      <c r="M2462" s="11">
        <f>G2462+H2462</f>
        <v/>
      </c>
      <c r="N2462" s="11">
        <f>Summary!$C$16*Summary!$B$8</f>
        <v/>
      </c>
      <c r="O2462" s="11">
        <f>M2462-N2462</f>
        <v/>
      </c>
    </row>
    <row r="2463">
      <c r="A2463" s="9" t="n">
        <v>45394.54166666666</v>
      </c>
      <c r="B2463" t="n">
        <v>4</v>
      </c>
      <c r="C2463" t="n">
        <v>12</v>
      </c>
      <c r="D2463" t="n">
        <v>13</v>
      </c>
      <c r="E2463" s="10" t="n">
        <v>0.305243</v>
      </c>
      <c r="F2463" s="10" t="n">
        <v>0.2791204509889083</v>
      </c>
      <c r="G2463" s="11">
        <f>E2463*Summary!$B$6</f>
        <v/>
      </c>
      <c r="H2463" s="11">
        <f>F2463*Summary!$B$7</f>
        <v/>
      </c>
      <c r="I2463" s="11">
        <f>MAX(0,N2463-M2463)</f>
        <v/>
      </c>
      <c r="J2463" s="11">
        <f>MAX(0,M2463-N2463)</f>
        <v/>
      </c>
      <c r="K2463" s="11">
        <f>O2463</f>
        <v/>
      </c>
      <c r="L2463" s="11">
        <f>L2462+IF(K2463&gt;0,K2463*Summary!$B$9,K2463/Summary!$B$9)</f>
        <v/>
      </c>
      <c r="M2463" s="11">
        <f>G2463+H2463</f>
        <v/>
      </c>
      <c r="N2463" s="11">
        <f>Summary!$C$16*Summary!$B$8</f>
        <v/>
      </c>
      <c r="O2463" s="11">
        <f>M2463-N2463</f>
        <v/>
      </c>
    </row>
    <row r="2464">
      <c r="A2464" s="9" t="n">
        <v>45394.58333333334</v>
      </c>
      <c r="B2464" t="n">
        <v>4</v>
      </c>
      <c r="C2464" t="n">
        <v>12</v>
      </c>
      <c r="D2464" t="n">
        <v>14</v>
      </c>
      <c r="E2464" s="10" t="n">
        <v>0.1937</v>
      </c>
      <c r="F2464" s="10" t="n">
        <v>0.2815448355707605</v>
      </c>
      <c r="G2464" s="11">
        <f>E2464*Summary!$B$6</f>
        <v/>
      </c>
      <c r="H2464" s="11">
        <f>F2464*Summary!$B$7</f>
        <v/>
      </c>
      <c r="I2464" s="11">
        <f>MAX(0,N2464-M2464)</f>
        <v/>
      </c>
      <c r="J2464" s="11">
        <f>MAX(0,M2464-N2464)</f>
        <v/>
      </c>
      <c r="K2464" s="11">
        <f>O2464</f>
        <v/>
      </c>
      <c r="L2464" s="11">
        <f>L2463+IF(K2464&gt;0,K2464*Summary!$B$9,K2464/Summary!$B$9)</f>
        <v/>
      </c>
      <c r="M2464" s="11">
        <f>G2464+H2464</f>
        <v/>
      </c>
      <c r="N2464" s="11">
        <f>Summary!$C$16*Summary!$B$8</f>
        <v/>
      </c>
      <c r="O2464" s="11">
        <f>M2464-N2464</f>
        <v/>
      </c>
    </row>
    <row r="2465">
      <c r="A2465" s="9" t="n">
        <v>45394.625</v>
      </c>
      <c r="B2465" t="n">
        <v>4</v>
      </c>
      <c r="C2465" t="n">
        <v>12</v>
      </c>
      <c r="D2465" t="n">
        <v>15</v>
      </c>
      <c r="E2465" s="10" t="n">
        <v>0.138747</v>
      </c>
      <c r="F2465" s="10" t="n">
        <v>0.2836529960767191</v>
      </c>
      <c r="G2465" s="11">
        <f>E2465*Summary!$B$6</f>
        <v/>
      </c>
      <c r="H2465" s="11">
        <f>F2465*Summary!$B$7</f>
        <v/>
      </c>
      <c r="I2465" s="11">
        <f>MAX(0,N2465-M2465)</f>
        <v/>
      </c>
      <c r="J2465" s="11">
        <f>MAX(0,M2465-N2465)</f>
        <v/>
      </c>
      <c r="K2465" s="11">
        <f>O2465</f>
        <v/>
      </c>
      <c r="L2465" s="11">
        <f>L2464+IF(K2465&gt;0,K2465*Summary!$B$9,K2465/Summary!$B$9)</f>
        <v/>
      </c>
      <c r="M2465" s="11">
        <f>G2465+H2465</f>
        <v/>
      </c>
      <c r="N2465" s="11">
        <f>Summary!$C$16*Summary!$B$8</f>
        <v/>
      </c>
      <c r="O2465" s="11">
        <f>M2465-N2465</f>
        <v/>
      </c>
    </row>
    <row r="2466">
      <c r="A2466" s="9" t="n">
        <v>45394.66666666666</v>
      </c>
      <c r="B2466" t="n">
        <v>4</v>
      </c>
      <c r="C2466" t="n">
        <v>12</v>
      </c>
      <c r="D2466" t="n">
        <v>16</v>
      </c>
      <c r="E2466" s="10" t="n">
        <v>0.089327</v>
      </c>
      <c r="F2466" s="10" t="n">
        <v>0.2792785630268551</v>
      </c>
      <c r="G2466" s="11">
        <f>E2466*Summary!$B$6</f>
        <v/>
      </c>
      <c r="H2466" s="11">
        <f>F2466*Summary!$B$7</f>
        <v/>
      </c>
      <c r="I2466" s="11">
        <f>MAX(0,N2466-M2466)</f>
        <v/>
      </c>
      <c r="J2466" s="11">
        <f>MAX(0,M2466-N2466)</f>
        <v/>
      </c>
      <c r="K2466" s="11">
        <f>O2466</f>
        <v/>
      </c>
      <c r="L2466" s="11">
        <f>L2465+IF(K2466&gt;0,K2466*Summary!$B$9,K2466/Summary!$B$9)</f>
        <v/>
      </c>
      <c r="M2466" s="11">
        <f>G2466+H2466</f>
        <v/>
      </c>
      <c r="N2466" s="11">
        <f>Summary!$C$16*Summary!$B$8</f>
        <v/>
      </c>
      <c r="O2466" s="11">
        <f>M2466-N2466</f>
        <v/>
      </c>
    </row>
    <row r="2467">
      <c r="A2467" s="9" t="n">
        <v>45394.70833333334</v>
      </c>
      <c r="B2467" t="n">
        <v>4</v>
      </c>
      <c r="C2467" t="n">
        <v>12</v>
      </c>
      <c r="D2467" t="n">
        <v>17</v>
      </c>
      <c r="E2467" s="10" t="n">
        <v>0.096262</v>
      </c>
      <c r="F2467" s="10" t="n">
        <v>0.2760636182552684</v>
      </c>
      <c r="G2467" s="11">
        <f>E2467*Summary!$B$6</f>
        <v/>
      </c>
      <c r="H2467" s="11">
        <f>F2467*Summary!$B$7</f>
        <v/>
      </c>
      <c r="I2467" s="11">
        <f>MAX(0,N2467-M2467)</f>
        <v/>
      </c>
      <c r="J2467" s="11">
        <f>MAX(0,M2467-N2467)</f>
        <v/>
      </c>
      <c r="K2467" s="11">
        <f>O2467</f>
        <v/>
      </c>
      <c r="L2467" s="11">
        <f>L2466+IF(K2467&gt;0,K2467*Summary!$B$9,K2467/Summary!$B$9)</f>
        <v/>
      </c>
      <c r="M2467" s="11">
        <f>G2467+H2467</f>
        <v/>
      </c>
      <c r="N2467" s="11">
        <f>Summary!$C$16*Summary!$B$8</f>
        <v/>
      </c>
      <c r="O2467" s="11">
        <f>M2467-N2467</f>
        <v/>
      </c>
    </row>
    <row r="2468">
      <c r="A2468" s="9" t="n">
        <v>45394.75</v>
      </c>
      <c r="B2468" t="n">
        <v>4</v>
      </c>
      <c r="C2468" t="n">
        <v>12</v>
      </c>
      <c r="D2468" t="n">
        <v>18</v>
      </c>
      <c r="E2468" s="10" t="n">
        <v>0.021144</v>
      </c>
      <c r="F2468" s="10" t="n">
        <v>0.2829151398996336</v>
      </c>
      <c r="G2468" s="11">
        <f>E2468*Summary!$B$6</f>
        <v/>
      </c>
      <c r="H2468" s="11">
        <f>F2468*Summary!$B$7</f>
        <v/>
      </c>
      <c r="I2468" s="11">
        <f>MAX(0,N2468-M2468)</f>
        <v/>
      </c>
      <c r="J2468" s="11">
        <f>MAX(0,M2468-N2468)</f>
        <v/>
      </c>
      <c r="K2468" s="11">
        <f>O2468</f>
        <v/>
      </c>
      <c r="L2468" s="11">
        <f>L2467+IF(K2468&gt;0,K2468*Summary!$B$9,K2468/Summary!$B$9)</f>
        <v/>
      </c>
      <c r="M2468" s="11">
        <f>G2468+H2468</f>
        <v/>
      </c>
      <c r="N2468" s="11">
        <f>Summary!$C$16*Summary!$B$8</f>
        <v/>
      </c>
      <c r="O2468" s="11">
        <f>M2468-N2468</f>
        <v/>
      </c>
    </row>
    <row r="2469">
      <c r="A2469" s="9" t="n">
        <v>45394.79166666666</v>
      </c>
      <c r="B2469" t="n">
        <v>4</v>
      </c>
      <c r="C2469" t="n">
        <v>12</v>
      </c>
      <c r="D2469" t="n">
        <v>19</v>
      </c>
      <c r="E2469" s="10" t="n">
        <v>0</v>
      </c>
      <c r="F2469" s="10" t="n">
        <v>0.300834504200281</v>
      </c>
      <c r="G2469" s="11">
        <f>E2469*Summary!$B$6</f>
        <v/>
      </c>
      <c r="H2469" s="11">
        <f>F2469*Summary!$B$7</f>
        <v/>
      </c>
      <c r="I2469" s="11">
        <f>MAX(0,N2469-M2469)</f>
        <v/>
      </c>
      <c r="J2469" s="11">
        <f>MAX(0,M2469-N2469)</f>
        <v/>
      </c>
      <c r="K2469" s="11">
        <f>O2469</f>
        <v/>
      </c>
      <c r="L2469" s="11">
        <f>L2468+IF(K2469&gt;0,K2469*Summary!$B$9,K2469/Summary!$B$9)</f>
        <v/>
      </c>
      <c r="M2469" s="11">
        <f>G2469+H2469</f>
        <v/>
      </c>
      <c r="N2469" s="11">
        <f>Summary!$C$16*Summary!$B$8</f>
        <v/>
      </c>
      <c r="O2469" s="11">
        <f>M2469-N2469</f>
        <v/>
      </c>
    </row>
    <row r="2470">
      <c r="A2470" s="9" t="n">
        <v>45394.83333333334</v>
      </c>
      <c r="B2470" t="n">
        <v>4</v>
      </c>
      <c r="C2470" t="n">
        <v>12</v>
      </c>
      <c r="D2470" t="n">
        <v>20</v>
      </c>
      <c r="E2470" s="10" t="n">
        <v>0</v>
      </c>
      <c r="F2470" s="10" t="n">
        <v>0.3145638994953359</v>
      </c>
      <c r="G2470" s="11">
        <f>E2470*Summary!$B$6</f>
        <v/>
      </c>
      <c r="H2470" s="11">
        <f>F2470*Summary!$B$7</f>
        <v/>
      </c>
      <c r="I2470" s="11">
        <f>MAX(0,N2470-M2470)</f>
        <v/>
      </c>
      <c r="J2470" s="11">
        <f>MAX(0,M2470-N2470)</f>
        <v/>
      </c>
      <c r="K2470" s="11">
        <f>O2470</f>
        <v/>
      </c>
      <c r="L2470" s="11">
        <f>L2469+IF(K2470&gt;0,K2470*Summary!$B$9,K2470/Summary!$B$9)</f>
        <v/>
      </c>
      <c r="M2470" s="11">
        <f>G2470+H2470</f>
        <v/>
      </c>
      <c r="N2470" s="11">
        <f>Summary!$C$16*Summary!$B$8</f>
        <v/>
      </c>
      <c r="O2470" s="11">
        <f>M2470-N2470</f>
        <v/>
      </c>
    </row>
    <row r="2471">
      <c r="A2471" s="9" t="n">
        <v>45394.875</v>
      </c>
      <c r="B2471" t="n">
        <v>4</v>
      </c>
      <c r="C2471" t="n">
        <v>12</v>
      </c>
      <c r="D2471" t="n">
        <v>21</v>
      </c>
      <c r="E2471" s="10" t="n">
        <v>0</v>
      </c>
      <c r="F2471" s="10" t="n">
        <v>0.3226539654369517</v>
      </c>
      <c r="G2471" s="11">
        <f>E2471*Summary!$B$6</f>
        <v/>
      </c>
      <c r="H2471" s="11">
        <f>F2471*Summary!$B$7</f>
        <v/>
      </c>
      <c r="I2471" s="11">
        <f>MAX(0,N2471-M2471)</f>
        <v/>
      </c>
      <c r="J2471" s="11">
        <f>MAX(0,M2471-N2471)</f>
        <v/>
      </c>
      <c r="K2471" s="11">
        <f>O2471</f>
        <v/>
      </c>
      <c r="L2471" s="11">
        <f>L2470+IF(K2471&gt;0,K2471*Summary!$B$9,K2471/Summary!$B$9)</f>
        <v/>
      </c>
      <c r="M2471" s="11">
        <f>G2471+H2471</f>
        <v/>
      </c>
      <c r="N2471" s="11">
        <f>Summary!$C$16*Summary!$B$8</f>
        <v/>
      </c>
      <c r="O2471" s="11">
        <f>M2471-N2471</f>
        <v/>
      </c>
    </row>
    <row r="2472">
      <c r="A2472" s="9" t="n">
        <v>45394.91666666666</v>
      </c>
      <c r="B2472" t="n">
        <v>4</v>
      </c>
      <c r="C2472" t="n">
        <v>12</v>
      </c>
      <c r="D2472" t="n">
        <v>22</v>
      </c>
      <c r="E2472" s="10" t="n">
        <v>0</v>
      </c>
      <c r="F2472" s="10" t="n">
        <v>0.3246567179176123</v>
      </c>
      <c r="G2472" s="11">
        <f>E2472*Summary!$B$6</f>
        <v/>
      </c>
      <c r="H2472" s="11">
        <f>F2472*Summary!$B$7</f>
        <v/>
      </c>
      <c r="I2472" s="11">
        <f>MAX(0,N2472-M2472)</f>
        <v/>
      </c>
      <c r="J2472" s="11">
        <f>MAX(0,M2472-N2472)</f>
        <v/>
      </c>
      <c r="K2472" s="11">
        <f>O2472</f>
        <v/>
      </c>
      <c r="L2472" s="11">
        <f>L2471+IF(K2472&gt;0,K2472*Summary!$B$9,K2472/Summary!$B$9)</f>
        <v/>
      </c>
      <c r="M2472" s="11">
        <f>G2472+H2472</f>
        <v/>
      </c>
      <c r="N2472" s="11">
        <f>Summary!$C$16*Summary!$B$8</f>
        <v/>
      </c>
      <c r="O2472" s="11">
        <f>M2472-N2472</f>
        <v/>
      </c>
    </row>
    <row r="2473">
      <c r="A2473" s="9" t="n">
        <v>45394.95833333334</v>
      </c>
      <c r="B2473" t="n">
        <v>4</v>
      </c>
      <c r="C2473" t="n">
        <v>12</v>
      </c>
      <c r="D2473" t="n">
        <v>23</v>
      </c>
      <c r="E2473" s="10" t="n">
        <v>0</v>
      </c>
      <c r="F2473" s="10" t="n">
        <v>0.3224958533990048</v>
      </c>
      <c r="G2473" s="11">
        <f>E2473*Summary!$B$6</f>
        <v/>
      </c>
      <c r="H2473" s="11">
        <f>F2473*Summary!$B$7</f>
        <v/>
      </c>
      <c r="I2473" s="11">
        <f>MAX(0,N2473-M2473)</f>
        <v/>
      </c>
      <c r="J2473" s="11">
        <f>MAX(0,M2473-N2473)</f>
        <v/>
      </c>
      <c r="K2473" s="11">
        <f>O2473</f>
        <v/>
      </c>
      <c r="L2473" s="11">
        <f>L2472+IF(K2473&gt;0,K2473*Summary!$B$9,K2473/Summary!$B$9)</f>
        <v/>
      </c>
      <c r="M2473" s="11">
        <f>G2473+H2473</f>
        <v/>
      </c>
      <c r="N2473" s="11">
        <f>Summary!$C$16*Summary!$B$8</f>
        <v/>
      </c>
      <c r="O2473" s="11">
        <f>M2473-N2473</f>
        <v/>
      </c>
    </row>
    <row r="2474">
      <c r="A2474" s="9" t="n">
        <v>45395</v>
      </c>
      <c r="B2474" t="n">
        <v>4</v>
      </c>
      <c r="C2474" t="n">
        <v>13</v>
      </c>
      <c r="D2474" t="n">
        <v>0</v>
      </c>
      <c r="E2474" s="10" t="n">
        <v>0</v>
      </c>
      <c r="F2474" s="10" t="n">
        <v>0.3422598581423659</v>
      </c>
      <c r="G2474" s="11">
        <f>E2474*Summary!$B$6</f>
        <v/>
      </c>
      <c r="H2474" s="11">
        <f>F2474*Summary!$B$7</f>
        <v/>
      </c>
      <c r="I2474" s="11">
        <f>MAX(0,N2474-M2474)</f>
        <v/>
      </c>
      <c r="J2474" s="11">
        <f>MAX(0,M2474-N2474)</f>
        <v/>
      </c>
      <c r="K2474" s="11">
        <f>O2474</f>
        <v/>
      </c>
      <c r="L2474" s="11">
        <f>L2473+IF(K2474&gt;0,K2474*Summary!$B$9,K2474/Summary!$B$9)</f>
        <v/>
      </c>
      <c r="M2474" s="11">
        <f>G2474+H2474</f>
        <v/>
      </c>
      <c r="N2474" s="11">
        <f>Summary!$C$16*Summary!$B$8</f>
        <v/>
      </c>
      <c r="O2474" s="11">
        <f>M2474-N2474</f>
        <v/>
      </c>
    </row>
    <row r="2475">
      <c r="A2475" s="9" t="n">
        <v>45395.04166666666</v>
      </c>
      <c r="B2475" t="n">
        <v>4</v>
      </c>
      <c r="C2475" t="n">
        <v>13</v>
      </c>
      <c r="D2475" t="n">
        <v>1</v>
      </c>
      <c r="E2475" s="10" t="n">
        <v>0</v>
      </c>
      <c r="F2475" s="10" t="n">
        <v>0.3232864135887393</v>
      </c>
      <c r="G2475" s="11">
        <f>E2475*Summary!$B$6</f>
        <v/>
      </c>
      <c r="H2475" s="11">
        <f>F2475*Summary!$B$7</f>
        <v/>
      </c>
      <c r="I2475" s="11">
        <f>MAX(0,N2475-M2475)</f>
        <v/>
      </c>
      <c r="J2475" s="11">
        <f>MAX(0,M2475-N2475)</f>
        <v/>
      </c>
      <c r="K2475" s="11">
        <f>O2475</f>
        <v/>
      </c>
      <c r="L2475" s="11">
        <f>L2474+IF(K2475&gt;0,K2475*Summary!$B$9,K2475/Summary!$B$9)</f>
        <v/>
      </c>
      <c r="M2475" s="11">
        <f>G2475+H2475</f>
        <v/>
      </c>
      <c r="N2475" s="11">
        <f>Summary!$C$16*Summary!$B$8</f>
        <v/>
      </c>
      <c r="O2475" s="11">
        <f>M2475-N2475</f>
        <v/>
      </c>
    </row>
    <row r="2476">
      <c r="A2476" s="9" t="n">
        <v>45395.08333333334</v>
      </c>
      <c r="B2476" t="n">
        <v>4</v>
      </c>
      <c r="C2476" t="n">
        <v>13</v>
      </c>
      <c r="D2476" t="n">
        <v>2</v>
      </c>
      <c r="E2476" s="10" t="n">
        <v>0</v>
      </c>
      <c r="F2476" s="10" t="n">
        <v>0.3248148299555592</v>
      </c>
      <c r="G2476" s="11">
        <f>E2476*Summary!$B$6</f>
        <v/>
      </c>
      <c r="H2476" s="11">
        <f>F2476*Summary!$B$7</f>
        <v/>
      </c>
      <c r="I2476" s="11">
        <f>MAX(0,N2476-M2476)</f>
        <v/>
      </c>
      <c r="J2476" s="11">
        <f>MAX(0,M2476-N2476)</f>
        <v/>
      </c>
      <c r="K2476" s="11">
        <f>O2476</f>
        <v/>
      </c>
      <c r="L2476" s="11">
        <f>L2475+IF(K2476&gt;0,K2476*Summary!$B$9,K2476/Summary!$B$9)</f>
        <v/>
      </c>
      <c r="M2476" s="11">
        <f>G2476+H2476</f>
        <v/>
      </c>
      <c r="N2476" s="11">
        <f>Summary!$C$16*Summary!$B$8</f>
        <v/>
      </c>
      <c r="O2476" s="11">
        <f>M2476-N2476</f>
        <v/>
      </c>
    </row>
    <row r="2477">
      <c r="A2477" s="9" t="n">
        <v>45395.125</v>
      </c>
      <c r="B2477" t="n">
        <v>4</v>
      </c>
      <c r="C2477" t="n">
        <v>13</v>
      </c>
      <c r="D2477" t="n">
        <v>3</v>
      </c>
      <c r="E2477" s="10" t="n">
        <v>0</v>
      </c>
      <c r="F2477" s="10" t="n">
        <v>0.3280824787397948</v>
      </c>
      <c r="G2477" s="11">
        <f>E2477*Summary!$B$6</f>
        <v/>
      </c>
      <c r="H2477" s="11">
        <f>F2477*Summary!$B$7</f>
        <v/>
      </c>
      <c r="I2477" s="11">
        <f>MAX(0,N2477-M2477)</f>
        <v/>
      </c>
      <c r="J2477" s="11">
        <f>MAX(0,M2477-N2477)</f>
        <v/>
      </c>
      <c r="K2477" s="11">
        <f>O2477</f>
        <v/>
      </c>
      <c r="L2477" s="11">
        <f>L2476+IF(K2477&gt;0,K2477*Summary!$B$9,K2477/Summary!$B$9)</f>
        <v/>
      </c>
      <c r="M2477" s="11">
        <f>G2477+H2477</f>
        <v/>
      </c>
      <c r="N2477" s="11">
        <f>Summary!$C$16*Summary!$B$8</f>
        <v/>
      </c>
      <c r="O2477" s="11">
        <f>M2477-N2477</f>
        <v/>
      </c>
    </row>
    <row r="2478">
      <c r="A2478" s="9" t="n">
        <v>45395.16666666666</v>
      </c>
      <c r="B2478" t="n">
        <v>4</v>
      </c>
      <c r="C2478" t="n">
        <v>13</v>
      </c>
      <c r="D2478" t="n">
        <v>4</v>
      </c>
      <c r="E2478" s="10" t="n">
        <v>0</v>
      </c>
      <c r="F2478" s="10" t="n">
        <v>0.3365678247762779</v>
      </c>
      <c r="G2478" s="11">
        <f>E2478*Summary!$B$6</f>
        <v/>
      </c>
      <c r="H2478" s="11">
        <f>F2478*Summary!$B$7</f>
        <v/>
      </c>
      <c r="I2478" s="11">
        <f>MAX(0,N2478-M2478)</f>
        <v/>
      </c>
      <c r="J2478" s="11">
        <f>MAX(0,M2478-N2478)</f>
        <v/>
      </c>
      <c r="K2478" s="11">
        <f>O2478</f>
        <v/>
      </c>
      <c r="L2478" s="11">
        <f>L2477+IF(K2478&gt;0,K2478*Summary!$B$9,K2478/Summary!$B$9)</f>
        <v/>
      </c>
      <c r="M2478" s="11">
        <f>G2478+H2478</f>
        <v/>
      </c>
      <c r="N2478" s="11">
        <f>Summary!$C$16*Summary!$B$8</f>
        <v/>
      </c>
      <c r="O2478" s="11">
        <f>M2478-N2478</f>
        <v/>
      </c>
    </row>
    <row r="2479">
      <c r="A2479" s="9" t="n">
        <v>45395.20833333334</v>
      </c>
      <c r="B2479" t="n">
        <v>4</v>
      </c>
      <c r="C2479" t="n">
        <v>13</v>
      </c>
      <c r="D2479" t="n">
        <v>5</v>
      </c>
      <c r="E2479" s="10" t="n">
        <v>0.008368</v>
      </c>
      <c r="F2479" s="10" t="n">
        <v>0.341495649958956</v>
      </c>
      <c r="G2479" s="11">
        <f>E2479*Summary!$B$6</f>
        <v/>
      </c>
      <c r="H2479" s="11">
        <f>F2479*Summary!$B$7</f>
        <v/>
      </c>
      <c r="I2479" s="11">
        <f>MAX(0,N2479-M2479)</f>
        <v/>
      </c>
      <c r="J2479" s="11">
        <f>MAX(0,M2479-N2479)</f>
        <v/>
      </c>
      <c r="K2479" s="11">
        <f>O2479</f>
        <v/>
      </c>
      <c r="L2479" s="11">
        <f>L2478+IF(K2479&gt;0,K2479*Summary!$B$9,K2479/Summary!$B$9)</f>
        <v/>
      </c>
      <c r="M2479" s="11">
        <f>G2479+H2479</f>
        <v/>
      </c>
      <c r="N2479" s="11">
        <f>Summary!$C$16*Summary!$B$8</f>
        <v/>
      </c>
      <c r="O2479" s="11">
        <f>M2479-N2479</f>
        <v/>
      </c>
    </row>
    <row r="2480">
      <c r="A2480" s="9" t="n">
        <v>45395.25</v>
      </c>
      <c r="B2480" t="n">
        <v>4</v>
      </c>
      <c r="C2480" t="n">
        <v>13</v>
      </c>
      <c r="D2480" t="n">
        <v>6</v>
      </c>
      <c r="E2480" s="10" t="n">
        <v>0.075363</v>
      </c>
      <c r="F2480" s="10" t="n">
        <v>0.3409159058198173</v>
      </c>
      <c r="G2480" s="11">
        <f>E2480*Summary!$B$6</f>
        <v/>
      </c>
      <c r="H2480" s="11">
        <f>F2480*Summary!$B$7</f>
        <v/>
      </c>
      <c r="I2480" s="11">
        <f>MAX(0,N2480-M2480)</f>
        <v/>
      </c>
      <c r="J2480" s="11">
        <f>MAX(0,M2480-N2480)</f>
        <v/>
      </c>
      <c r="K2480" s="11">
        <f>O2480</f>
        <v/>
      </c>
      <c r="L2480" s="11">
        <f>L2479+IF(K2480&gt;0,K2480*Summary!$B$9,K2480/Summary!$B$9)</f>
        <v/>
      </c>
      <c r="M2480" s="11">
        <f>G2480+H2480</f>
        <v/>
      </c>
      <c r="N2480" s="11">
        <f>Summary!$C$16*Summary!$B$8</f>
        <v/>
      </c>
      <c r="O2480" s="11">
        <f>M2480-N2480</f>
        <v/>
      </c>
    </row>
    <row r="2481">
      <c r="A2481" s="9" t="n">
        <v>45395.29166666666</v>
      </c>
      <c r="B2481" t="n">
        <v>4</v>
      </c>
      <c r="C2481" t="n">
        <v>13</v>
      </c>
      <c r="D2481" t="n">
        <v>7</v>
      </c>
      <c r="E2481" s="10" t="n">
        <v>0.280405</v>
      </c>
      <c r="F2481" s="10" t="n">
        <v>0.3390185613644547</v>
      </c>
      <c r="G2481" s="11">
        <f>E2481*Summary!$B$6</f>
        <v/>
      </c>
      <c r="H2481" s="11">
        <f>F2481*Summary!$B$7</f>
        <v/>
      </c>
      <c r="I2481" s="11">
        <f>MAX(0,N2481-M2481)</f>
        <v/>
      </c>
      <c r="J2481" s="11">
        <f>MAX(0,M2481-N2481)</f>
        <v/>
      </c>
      <c r="K2481" s="11">
        <f>O2481</f>
        <v/>
      </c>
      <c r="L2481" s="11">
        <f>L2480+IF(K2481&gt;0,K2481*Summary!$B$9,K2481/Summary!$B$9)</f>
        <v/>
      </c>
      <c r="M2481" s="11">
        <f>G2481+H2481</f>
        <v/>
      </c>
      <c r="N2481" s="11">
        <f>Summary!$C$16*Summary!$B$8</f>
        <v/>
      </c>
      <c r="O2481" s="11">
        <f>M2481-N2481</f>
        <v/>
      </c>
    </row>
    <row r="2482">
      <c r="A2482" s="9" t="n">
        <v>45395.33333333334</v>
      </c>
      <c r="B2482" t="n">
        <v>4</v>
      </c>
      <c r="C2482" t="n">
        <v>13</v>
      </c>
      <c r="D2482" t="n">
        <v>8</v>
      </c>
      <c r="E2482" s="10" t="n">
        <v>0.497052</v>
      </c>
      <c r="F2482" s="10" t="n">
        <v>0.3346441283145908</v>
      </c>
      <c r="G2482" s="11">
        <f>E2482*Summary!$B$6</f>
        <v/>
      </c>
      <c r="H2482" s="11">
        <f>F2482*Summary!$B$7</f>
        <v/>
      </c>
      <c r="I2482" s="11">
        <f>MAX(0,N2482-M2482)</f>
        <v/>
      </c>
      <c r="J2482" s="11">
        <f>MAX(0,M2482-N2482)</f>
        <v/>
      </c>
      <c r="K2482" s="11">
        <f>O2482</f>
        <v/>
      </c>
      <c r="L2482" s="11">
        <f>L2481+IF(K2482&gt;0,K2482*Summary!$B$9,K2482/Summary!$B$9)</f>
        <v/>
      </c>
      <c r="M2482" s="11">
        <f>G2482+H2482</f>
        <v/>
      </c>
      <c r="N2482" s="11">
        <f>Summary!$C$16*Summary!$B$8</f>
        <v/>
      </c>
      <c r="O2482" s="11">
        <f>M2482-N2482</f>
        <v/>
      </c>
    </row>
    <row r="2483">
      <c r="A2483" s="9" t="n">
        <v>45395.375</v>
      </c>
      <c r="B2483" t="n">
        <v>4</v>
      </c>
      <c r="C2483" t="n">
        <v>13</v>
      </c>
      <c r="D2483" t="n">
        <v>9</v>
      </c>
      <c r="E2483" s="10" t="n">
        <v>0.665439</v>
      </c>
      <c r="F2483" s="10" t="n">
        <v>0.3384388172253161</v>
      </c>
      <c r="G2483" s="11">
        <f>E2483*Summary!$B$6</f>
        <v/>
      </c>
      <c r="H2483" s="11">
        <f>F2483*Summary!$B$7</f>
        <v/>
      </c>
      <c r="I2483" s="11">
        <f>MAX(0,N2483-M2483)</f>
        <v/>
      </c>
      <c r="J2483" s="11">
        <f>MAX(0,M2483-N2483)</f>
        <v/>
      </c>
      <c r="K2483" s="11">
        <f>O2483</f>
        <v/>
      </c>
      <c r="L2483" s="11">
        <f>L2482+IF(K2483&gt;0,K2483*Summary!$B$9,K2483/Summary!$B$9)</f>
        <v/>
      </c>
      <c r="M2483" s="11">
        <f>G2483+H2483</f>
        <v/>
      </c>
      <c r="N2483" s="11">
        <f>Summary!$C$16*Summary!$B$8</f>
        <v/>
      </c>
      <c r="O2483" s="11">
        <f>M2483-N2483</f>
        <v/>
      </c>
    </row>
    <row r="2484">
      <c r="A2484" s="9" t="n">
        <v>45395.41666666666</v>
      </c>
      <c r="B2484" t="n">
        <v>4</v>
      </c>
      <c r="C2484" t="n">
        <v>13</v>
      </c>
      <c r="D2484" t="n">
        <v>10</v>
      </c>
      <c r="E2484" s="10" t="n">
        <v>0.713734</v>
      </c>
      <c r="F2484" s="10" t="n">
        <v>0.3442626106230265</v>
      </c>
      <c r="G2484" s="11">
        <f>E2484*Summary!$B$6</f>
        <v/>
      </c>
      <c r="H2484" s="11">
        <f>F2484*Summary!$B$7</f>
        <v/>
      </c>
      <c r="I2484" s="11">
        <f>MAX(0,N2484-M2484)</f>
        <v/>
      </c>
      <c r="J2484" s="11">
        <f>MAX(0,M2484-N2484)</f>
        <v/>
      </c>
      <c r="K2484" s="11">
        <f>O2484</f>
        <v/>
      </c>
      <c r="L2484" s="11">
        <f>L2483+IF(K2484&gt;0,K2484*Summary!$B$9,K2484/Summary!$B$9)</f>
        <v/>
      </c>
      <c r="M2484" s="11">
        <f>G2484+H2484</f>
        <v/>
      </c>
      <c r="N2484" s="11">
        <f>Summary!$C$16*Summary!$B$8</f>
        <v/>
      </c>
      <c r="O2484" s="11">
        <f>M2484-N2484</f>
        <v/>
      </c>
    </row>
    <row r="2485">
      <c r="A2485" s="9" t="n">
        <v>45395.45833333334</v>
      </c>
      <c r="B2485" t="n">
        <v>4</v>
      </c>
      <c r="C2485" t="n">
        <v>13</v>
      </c>
      <c r="D2485" t="n">
        <v>11</v>
      </c>
      <c r="E2485" s="10" t="n">
        <v>0.638432</v>
      </c>
      <c r="F2485" s="10" t="n">
        <v>0.352879716691132</v>
      </c>
      <c r="G2485" s="11">
        <f>E2485*Summary!$B$6</f>
        <v/>
      </c>
      <c r="H2485" s="11">
        <f>F2485*Summary!$B$7</f>
        <v/>
      </c>
      <c r="I2485" s="11">
        <f>MAX(0,N2485-M2485)</f>
        <v/>
      </c>
      <c r="J2485" s="11">
        <f>MAX(0,M2485-N2485)</f>
        <v/>
      </c>
      <c r="K2485" s="11">
        <f>O2485</f>
        <v/>
      </c>
      <c r="L2485" s="11">
        <f>L2484+IF(K2485&gt;0,K2485*Summary!$B$9,K2485/Summary!$B$9)</f>
        <v/>
      </c>
      <c r="M2485" s="11">
        <f>G2485+H2485</f>
        <v/>
      </c>
      <c r="N2485" s="11">
        <f>Summary!$C$16*Summary!$B$8</f>
        <v/>
      </c>
      <c r="O2485" s="11">
        <f>M2485-N2485</f>
        <v/>
      </c>
    </row>
    <row r="2486">
      <c r="A2486" s="9" t="n">
        <v>45395.5</v>
      </c>
      <c r="B2486" t="n">
        <v>4</v>
      </c>
      <c r="C2486" t="n">
        <v>13</v>
      </c>
      <c r="D2486" t="n">
        <v>12</v>
      </c>
      <c r="E2486" s="10" t="n">
        <v>0.279326</v>
      </c>
      <c r="F2486" s="10" t="n">
        <v>0.3636840392841694</v>
      </c>
      <c r="G2486" s="11">
        <f>E2486*Summary!$B$6</f>
        <v/>
      </c>
      <c r="H2486" s="11">
        <f>F2486*Summary!$B$7</f>
        <v/>
      </c>
      <c r="I2486" s="11">
        <f>MAX(0,N2486-M2486)</f>
        <v/>
      </c>
      <c r="J2486" s="11">
        <f>MAX(0,M2486-N2486)</f>
        <v/>
      </c>
      <c r="K2486" s="11">
        <f>O2486</f>
        <v/>
      </c>
      <c r="L2486" s="11">
        <f>L2485+IF(K2486&gt;0,K2486*Summary!$B$9,K2486/Summary!$B$9)</f>
        <v/>
      </c>
      <c r="M2486" s="11">
        <f>G2486+H2486</f>
        <v/>
      </c>
      <c r="N2486" s="11">
        <f>Summary!$C$16*Summary!$B$8</f>
        <v/>
      </c>
      <c r="O2486" s="11">
        <f>M2486-N2486</f>
        <v/>
      </c>
    </row>
    <row r="2487">
      <c r="A2487" s="9" t="n">
        <v>45395.54166666666</v>
      </c>
      <c r="B2487" t="n">
        <v>4</v>
      </c>
      <c r="C2487" t="n">
        <v>13</v>
      </c>
      <c r="D2487" t="n">
        <v>13</v>
      </c>
      <c r="E2487" s="10" t="n">
        <v>0.357319</v>
      </c>
      <c r="F2487" s="10" t="n">
        <v>0.3690862005806881</v>
      </c>
      <c r="G2487" s="11">
        <f>E2487*Summary!$B$6</f>
        <v/>
      </c>
      <c r="H2487" s="11">
        <f>F2487*Summary!$B$7</f>
        <v/>
      </c>
      <c r="I2487" s="11">
        <f>MAX(0,N2487-M2487)</f>
        <v/>
      </c>
      <c r="J2487" s="11">
        <f>MAX(0,M2487-N2487)</f>
        <v/>
      </c>
      <c r="K2487" s="11">
        <f>O2487</f>
        <v/>
      </c>
      <c r="L2487" s="11">
        <f>L2486+IF(K2487&gt;0,K2487*Summary!$B$9,K2487/Summary!$B$9)</f>
        <v/>
      </c>
      <c r="M2487" s="11">
        <f>G2487+H2487</f>
        <v/>
      </c>
      <c r="N2487" s="11">
        <f>Summary!$C$16*Summary!$B$8</f>
        <v/>
      </c>
      <c r="O2487" s="11">
        <f>M2487-N2487</f>
        <v/>
      </c>
    </row>
    <row r="2488">
      <c r="A2488" s="9" t="n">
        <v>45395.58333333334</v>
      </c>
      <c r="B2488" t="n">
        <v>4</v>
      </c>
      <c r="C2488" t="n">
        <v>13</v>
      </c>
      <c r="D2488" t="n">
        <v>14</v>
      </c>
      <c r="E2488" s="10" t="n">
        <v>0.645648</v>
      </c>
      <c r="F2488" s="10" t="n">
        <v>0.3710889530613487</v>
      </c>
      <c r="G2488" s="11">
        <f>E2488*Summary!$B$6</f>
        <v/>
      </c>
      <c r="H2488" s="11">
        <f>F2488*Summary!$B$7</f>
        <v/>
      </c>
      <c r="I2488" s="11">
        <f>MAX(0,N2488-M2488)</f>
        <v/>
      </c>
      <c r="J2488" s="11">
        <f>MAX(0,M2488-N2488)</f>
        <v/>
      </c>
      <c r="K2488" s="11">
        <f>O2488</f>
        <v/>
      </c>
      <c r="L2488" s="11">
        <f>L2487+IF(K2488&gt;0,K2488*Summary!$B$9,K2488/Summary!$B$9)</f>
        <v/>
      </c>
      <c r="M2488" s="11">
        <f>G2488+H2488</f>
        <v/>
      </c>
      <c r="N2488" s="11">
        <f>Summary!$C$16*Summary!$B$8</f>
        <v/>
      </c>
      <c r="O2488" s="11">
        <f>M2488-N2488</f>
        <v/>
      </c>
    </row>
    <row r="2489">
      <c r="A2489" s="9" t="n">
        <v>45395.625</v>
      </c>
      <c r="B2489" t="n">
        <v>4</v>
      </c>
      <c r="C2489" t="n">
        <v>13</v>
      </c>
      <c r="D2489" t="n">
        <v>15</v>
      </c>
      <c r="E2489" s="10" t="n">
        <v>0.555463</v>
      </c>
      <c r="F2489" s="10" t="n">
        <v>0.3849237563817015</v>
      </c>
      <c r="G2489" s="11">
        <f>E2489*Summary!$B$6</f>
        <v/>
      </c>
      <c r="H2489" s="11">
        <f>F2489*Summary!$B$7</f>
        <v/>
      </c>
      <c r="I2489" s="11">
        <f>MAX(0,N2489-M2489)</f>
        <v/>
      </c>
      <c r="J2489" s="11">
        <f>MAX(0,M2489-N2489)</f>
        <v/>
      </c>
      <c r="K2489" s="11">
        <f>O2489</f>
        <v/>
      </c>
      <c r="L2489" s="11">
        <f>L2488+IF(K2489&gt;0,K2489*Summary!$B$9,K2489/Summary!$B$9)</f>
        <v/>
      </c>
      <c r="M2489" s="11">
        <f>G2489+H2489</f>
        <v/>
      </c>
      <c r="N2489" s="11">
        <f>Summary!$C$16*Summary!$B$8</f>
        <v/>
      </c>
      <c r="O2489" s="11">
        <f>M2489-N2489</f>
        <v/>
      </c>
    </row>
    <row r="2490">
      <c r="A2490" s="9" t="n">
        <v>45395.66666666666</v>
      </c>
      <c r="B2490" t="n">
        <v>4</v>
      </c>
      <c r="C2490" t="n">
        <v>13</v>
      </c>
      <c r="D2490" t="n">
        <v>16</v>
      </c>
      <c r="E2490" s="10" t="n">
        <v>0.350498</v>
      </c>
      <c r="F2490" s="10" t="n">
        <v>0.3972564953415589</v>
      </c>
      <c r="G2490" s="11">
        <f>E2490*Summary!$B$6</f>
        <v/>
      </c>
      <c r="H2490" s="11">
        <f>F2490*Summary!$B$7</f>
        <v/>
      </c>
      <c r="I2490" s="11">
        <f>MAX(0,N2490-M2490)</f>
        <v/>
      </c>
      <c r="J2490" s="11">
        <f>MAX(0,M2490-N2490)</f>
        <v/>
      </c>
      <c r="K2490" s="11">
        <f>O2490</f>
        <v/>
      </c>
      <c r="L2490" s="11">
        <f>L2489+IF(K2490&gt;0,K2490*Summary!$B$9,K2490/Summary!$B$9)</f>
        <v/>
      </c>
      <c r="M2490" s="11">
        <f>G2490+H2490</f>
        <v/>
      </c>
      <c r="N2490" s="11">
        <f>Summary!$C$16*Summary!$B$8</f>
        <v/>
      </c>
      <c r="O2490" s="11">
        <f>M2490-N2490</f>
        <v/>
      </c>
    </row>
    <row r="2491">
      <c r="A2491" s="9" t="n">
        <v>45395.70833333334</v>
      </c>
      <c r="B2491" t="n">
        <v>4</v>
      </c>
      <c r="C2491" t="n">
        <v>13</v>
      </c>
      <c r="D2491" t="n">
        <v>17</v>
      </c>
      <c r="E2491" s="10" t="n">
        <v>0.135661</v>
      </c>
      <c r="F2491" s="10" t="n">
        <v>0.3882177571722617</v>
      </c>
      <c r="G2491" s="11">
        <f>E2491*Summary!$B$6</f>
        <v/>
      </c>
      <c r="H2491" s="11">
        <f>F2491*Summary!$B$7</f>
        <v/>
      </c>
      <c r="I2491" s="11">
        <f>MAX(0,N2491-M2491)</f>
        <v/>
      </c>
      <c r="J2491" s="11">
        <f>MAX(0,M2491-N2491)</f>
        <v/>
      </c>
      <c r="K2491" s="11">
        <f>O2491</f>
        <v/>
      </c>
      <c r="L2491" s="11">
        <f>L2490+IF(K2491&gt;0,K2491*Summary!$B$9,K2491/Summary!$B$9)</f>
        <v/>
      </c>
      <c r="M2491" s="11">
        <f>G2491+H2491</f>
        <v/>
      </c>
      <c r="N2491" s="11">
        <f>Summary!$C$16*Summary!$B$8</f>
        <v/>
      </c>
      <c r="O2491" s="11">
        <f>M2491-N2491</f>
        <v/>
      </c>
    </row>
    <row r="2492">
      <c r="A2492" s="9" t="n">
        <v>45395.75</v>
      </c>
      <c r="B2492" t="n">
        <v>4</v>
      </c>
      <c r="C2492" t="n">
        <v>13</v>
      </c>
      <c r="D2492" t="n">
        <v>18</v>
      </c>
      <c r="E2492" s="10" t="n">
        <v>0.023537</v>
      </c>
      <c r="F2492" s="10" t="n">
        <v>0.3894826534758368</v>
      </c>
      <c r="G2492" s="11">
        <f>E2492*Summary!$B$6</f>
        <v/>
      </c>
      <c r="H2492" s="11">
        <f>F2492*Summary!$B$7</f>
        <v/>
      </c>
      <c r="I2492" s="11">
        <f>MAX(0,N2492-M2492)</f>
        <v/>
      </c>
      <c r="J2492" s="11">
        <f>MAX(0,M2492-N2492)</f>
        <v/>
      </c>
      <c r="K2492" s="11">
        <f>O2492</f>
        <v/>
      </c>
      <c r="L2492" s="11">
        <f>L2491+IF(K2492&gt;0,K2492*Summary!$B$9,K2492/Summary!$B$9)</f>
        <v/>
      </c>
      <c r="M2492" s="11">
        <f>G2492+H2492</f>
        <v/>
      </c>
      <c r="N2492" s="11">
        <f>Summary!$C$16*Summary!$B$8</f>
        <v/>
      </c>
      <c r="O2492" s="11">
        <f>M2492-N2492</f>
        <v/>
      </c>
    </row>
    <row r="2493">
      <c r="A2493" s="9" t="n">
        <v>45395.79166666666</v>
      </c>
      <c r="B2493" t="n">
        <v>4</v>
      </c>
      <c r="C2493" t="n">
        <v>13</v>
      </c>
      <c r="D2493" t="n">
        <v>19</v>
      </c>
      <c r="E2493" s="10" t="n">
        <v>0</v>
      </c>
      <c r="F2493" s="10" t="n">
        <v>0.3830527639326634</v>
      </c>
      <c r="G2493" s="11">
        <f>E2493*Summary!$B$6</f>
        <v/>
      </c>
      <c r="H2493" s="11">
        <f>F2493*Summary!$B$7</f>
        <v/>
      </c>
      <c r="I2493" s="11">
        <f>MAX(0,N2493-M2493)</f>
        <v/>
      </c>
      <c r="J2493" s="11">
        <f>MAX(0,M2493-N2493)</f>
        <v/>
      </c>
      <c r="K2493" s="11">
        <f>O2493</f>
        <v/>
      </c>
      <c r="L2493" s="11">
        <f>L2492+IF(K2493&gt;0,K2493*Summary!$B$9,K2493/Summary!$B$9)</f>
        <v/>
      </c>
      <c r="M2493" s="11">
        <f>G2493+H2493</f>
        <v/>
      </c>
      <c r="N2493" s="11">
        <f>Summary!$C$16*Summary!$B$8</f>
        <v/>
      </c>
      <c r="O2493" s="11">
        <f>M2493-N2493</f>
        <v/>
      </c>
    </row>
    <row r="2494">
      <c r="A2494" s="9" t="n">
        <v>45395.83333333334</v>
      </c>
      <c r="B2494" t="n">
        <v>4</v>
      </c>
      <c r="C2494" t="n">
        <v>13</v>
      </c>
      <c r="D2494" t="n">
        <v>20</v>
      </c>
      <c r="E2494" s="10" t="n">
        <v>0</v>
      </c>
      <c r="F2494" s="10" t="n">
        <v>0.3842122522109405</v>
      </c>
      <c r="G2494" s="11">
        <f>E2494*Summary!$B$6</f>
        <v/>
      </c>
      <c r="H2494" s="11">
        <f>F2494*Summary!$B$7</f>
        <v/>
      </c>
      <c r="I2494" s="11">
        <f>MAX(0,N2494-M2494)</f>
        <v/>
      </c>
      <c r="J2494" s="11">
        <f>MAX(0,M2494-N2494)</f>
        <v/>
      </c>
      <c r="K2494" s="11">
        <f>O2494</f>
        <v/>
      </c>
      <c r="L2494" s="11">
        <f>L2493+IF(K2494&gt;0,K2494*Summary!$B$9,K2494/Summary!$B$9)</f>
        <v/>
      </c>
      <c r="M2494" s="11">
        <f>G2494+H2494</f>
        <v/>
      </c>
      <c r="N2494" s="11">
        <f>Summary!$C$16*Summary!$B$8</f>
        <v/>
      </c>
      <c r="O2494" s="11">
        <f>M2494-N2494</f>
        <v/>
      </c>
    </row>
    <row r="2495">
      <c r="A2495" s="9" t="n">
        <v>45395.875</v>
      </c>
      <c r="B2495" t="n">
        <v>4</v>
      </c>
      <c r="C2495" t="n">
        <v>13</v>
      </c>
      <c r="D2495" t="n">
        <v>21</v>
      </c>
      <c r="E2495" s="10" t="n">
        <v>0</v>
      </c>
      <c r="F2495" s="10" t="n">
        <v>0.3762275942946226</v>
      </c>
      <c r="G2495" s="11">
        <f>E2495*Summary!$B$6</f>
        <v/>
      </c>
      <c r="H2495" s="11">
        <f>F2495*Summary!$B$7</f>
        <v/>
      </c>
      <c r="I2495" s="11">
        <f>MAX(0,N2495-M2495)</f>
        <v/>
      </c>
      <c r="J2495" s="11">
        <f>MAX(0,M2495-N2495)</f>
        <v/>
      </c>
      <c r="K2495" s="11">
        <f>O2495</f>
        <v/>
      </c>
      <c r="L2495" s="11">
        <f>L2494+IF(K2495&gt;0,K2495*Summary!$B$9,K2495/Summary!$B$9)</f>
        <v/>
      </c>
      <c r="M2495" s="11">
        <f>G2495+H2495</f>
        <v/>
      </c>
      <c r="N2495" s="11">
        <f>Summary!$C$16*Summary!$B$8</f>
        <v/>
      </c>
      <c r="O2495" s="11">
        <f>M2495-N2495</f>
        <v/>
      </c>
    </row>
    <row r="2496">
      <c r="A2496" s="9" t="n">
        <v>45395.91666666666</v>
      </c>
      <c r="B2496" t="n">
        <v>4</v>
      </c>
      <c r="C2496" t="n">
        <v>13</v>
      </c>
      <c r="D2496" t="n">
        <v>22</v>
      </c>
      <c r="E2496" s="10" t="n">
        <v>0</v>
      </c>
      <c r="F2496" s="10" t="n">
        <v>0.3619184548604292</v>
      </c>
      <c r="G2496" s="11">
        <f>E2496*Summary!$B$6</f>
        <v/>
      </c>
      <c r="H2496" s="11">
        <f>F2496*Summary!$B$7</f>
        <v/>
      </c>
      <c r="I2496" s="11">
        <f>MAX(0,N2496-M2496)</f>
        <v/>
      </c>
      <c r="J2496" s="11">
        <f>MAX(0,M2496-N2496)</f>
        <v/>
      </c>
      <c r="K2496" s="11">
        <f>O2496</f>
        <v/>
      </c>
      <c r="L2496" s="11">
        <f>L2495+IF(K2496&gt;0,K2496*Summary!$B$9,K2496/Summary!$B$9)</f>
        <v/>
      </c>
      <c r="M2496" s="11">
        <f>G2496+H2496</f>
        <v/>
      </c>
      <c r="N2496" s="11">
        <f>Summary!$C$16*Summary!$B$8</f>
        <v/>
      </c>
      <c r="O2496" s="11">
        <f>M2496-N2496</f>
        <v/>
      </c>
    </row>
    <row r="2497">
      <c r="A2497" s="9" t="n">
        <v>45395.95833333334</v>
      </c>
      <c r="B2497" t="n">
        <v>4</v>
      </c>
      <c r="C2497" t="n">
        <v>13</v>
      </c>
      <c r="D2497" t="n">
        <v>23</v>
      </c>
      <c r="E2497" s="10" t="n">
        <v>0</v>
      </c>
      <c r="F2497" s="10" t="n">
        <v>0.3530114767227544</v>
      </c>
      <c r="G2497" s="11">
        <f>E2497*Summary!$B$6</f>
        <v/>
      </c>
      <c r="H2497" s="11">
        <f>F2497*Summary!$B$7</f>
        <v/>
      </c>
      <c r="I2497" s="11">
        <f>MAX(0,N2497-M2497)</f>
        <v/>
      </c>
      <c r="J2497" s="11">
        <f>MAX(0,M2497-N2497)</f>
        <v/>
      </c>
      <c r="K2497" s="11">
        <f>O2497</f>
        <v/>
      </c>
      <c r="L2497" s="11">
        <f>L2496+IF(K2497&gt;0,K2497*Summary!$B$9,K2497/Summary!$B$9)</f>
        <v/>
      </c>
      <c r="M2497" s="11">
        <f>G2497+H2497</f>
        <v/>
      </c>
      <c r="N2497" s="11">
        <f>Summary!$C$16*Summary!$B$8</f>
        <v/>
      </c>
      <c r="O2497" s="11">
        <f>M2497-N2497</f>
        <v/>
      </c>
    </row>
    <row r="2498">
      <c r="A2498" s="9" t="n">
        <v>45396</v>
      </c>
      <c r="B2498" t="n">
        <v>4</v>
      </c>
      <c r="C2498" t="n">
        <v>14</v>
      </c>
      <c r="D2498" t="n">
        <v>0</v>
      </c>
      <c r="E2498" s="10" t="n">
        <v>0</v>
      </c>
      <c r="F2498" s="10" t="n">
        <v>0.3025210326050478</v>
      </c>
      <c r="G2498" s="11">
        <f>E2498*Summary!$B$6</f>
        <v/>
      </c>
      <c r="H2498" s="11">
        <f>F2498*Summary!$B$7</f>
        <v/>
      </c>
      <c r="I2498" s="11">
        <f>MAX(0,N2498-M2498)</f>
        <v/>
      </c>
      <c r="J2498" s="11">
        <f>MAX(0,M2498-N2498)</f>
        <v/>
      </c>
      <c r="K2498" s="11">
        <f>O2498</f>
        <v/>
      </c>
      <c r="L2498" s="11">
        <f>L2497+IF(K2498&gt;0,K2498*Summary!$B$9,K2498/Summary!$B$9)</f>
        <v/>
      </c>
      <c r="M2498" s="11">
        <f>G2498+H2498</f>
        <v/>
      </c>
      <c r="N2498" s="11">
        <f>Summary!$C$16*Summary!$B$8</f>
        <v/>
      </c>
      <c r="O2498" s="11">
        <f>M2498-N2498</f>
        <v/>
      </c>
    </row>
    <row r="2499">
      <c r="A2499" s="9" t="n">
        <v>45396.04166666666</v>
      </c>
      <c r="B2499" t="n">
        <v>4</v>
      </c>
      <c r="C2499" t="n">
        <v>14</v>
      </c>
      <c r="D2499" t="n">
        <v>1</v>
      </c>
      <c r="E2499" s="10" t="n">
        <v>0</v>
      </c>
      <c r="F2499" s="10" t="n">
        <v>0.3449214107811385</v>
      </c>
      <c r="G2499" s="11">
        <f>E2499*Summary!$B$6</f>
        <v/>
      </c>
      <c r="H2499" s="11">
        <f>F2499*Summary!$B$7</f>
        <v/>
      </c>
      <c r="I2499" s="11">
        <f>MAX(0,N2499-M2499)</f>
        <v/>
      </c>
      <c r="J2499" s="11">
        <f>MAX(0,M2499-N2499)</f>
        <v/>
      </c>
      <c r="K2499" s="11">
        <f>O2499</f>
        <v/>
      </c>
      <c r="L2499" s="11">
        <f>L2498+IF(K2499&gt;0,K2499*Summary!$B$9,K2499/Summary!$B$9)</f>
        <v/>
      </c>
      <c r="M2499" s="11">
        <f>G2499+H2499</f>
        <v/>
      </c>
      <c r="N2499" s="11">
        <f>Summary!$C$16*Summary!$B$8</f>
        <v/>
      </c>
      <c r="O2499" s="11">
        <f>M2499-N2499</f>
        <v/>
      </c>
    </row>
    <row r="2500">
      <c r="A2500" s="9" t="n">
        <v>45396.08333333334</v>
      </c>
      <c r="B2500" t="n">
        <v>4</v>
      </c>
      <c r="C2500" t="n">
        <v>14</v>
      </c>
      <c r="D2500" t="n">
        <v>2</v>
      </c>
      <c r="E2500" s="10" t="n">
        <v>0</v>
      </c>
      <c r="F2500" s="10" t="n">
        <v>0.3470295712870971</v>
      </c>
      <c r="G2500" s="11">
        <f>E2500*Summary!$B$6</f>
        <v/>
      </c>
      <c r="H2500" s="11">
        <f>F2500*Summary!$B$7</f>
        <v/>
      </c>
      <c r="I2500" s="11">
        <f>MAX(0,N2500-M2500)</f>
        <v/>
      </c>
      <c r="J2500" s="11">
        <f>MAX(0,M2500-N2500)</f>
        <v/>
      </c>
      <c r="K2500" s="11">
        <f>O2500</f>
        <v/>
      </c>
      <c r="L2500" s="11">
        <f>L2499+IF(K2500&gt;0,K2500*Summary!$B$9,K2500/Summary!$B$9)</f>
        <v/>
      </c>
      <c r="M2500" s="11">
        <f>G2500+H2500</f>
        <v/>
      </c>
      <c r="N2500" s="11">
        <f>Summary!$C$16*Summary!$B$8</f>
        <v/>
      </c>
      <c r="O2500" s="11">
        <f>M2500-N2500</f>
        <v/>
      </c>
    </row>
    <row r="2501">
      <c r="A2501" s="9" t="n">
        <v>45396.125</v>
      </c>
      <c r="B2501" t="n">
        <v>4</v>
      </c>
      <c r="C2501" t="n">
        <v>14</v>
      </c>
      <c r="D2501" t="n">
        <v>3</v>
      </c>
      <c r="E2501" s="10" t="n">
        <v>0</v>
      </c>
      <c r="F2501" s="10" t="n">
        <v>0.3509560202294448</v>
      </c>
      <c r="G2501" s="11">
        <f>E2501*Summary!$B$6</f>
        <v/>
      </c>
      <c r="H2501" s="11">
        <f>F2501*Summary!$B$7</f>
        <v/>
      </c>
      <c r="I2501" s="11">
        <f>MAX(0,N2501-M2501)</f>
        <v/>
      </c>
      <c r="J2501" s="11">
        <f>MAX(0,M2501-N2501)</f>
        <v/>
      </c>
      <c r="K2501" s="11">
        <f>O2501</f>
        <v/>
      </c>
      <c r="L2501" s="11">
        <f>L2500+IF(K2501&gt;0,K2501*Summary!$B$9,K2501/Summary!$B$9)</f>
        <v/>
      </c>
      <c r="M2501" s="11">
        <f>G2501+H2501</f>
        <v/>
      </c>
      <c r="N2501" s="11">
        <f>Summary!$C$16*Summary!$B$8</f>
        <v/>
      </c>
      <c r="O2501" s="11">
        <f>M2501-N2501</f>
        <v/>
      </c>
    </row>
    <row r="2502">
      <c r="A2502" s="9" t="n">
        <v>45396.16666666666</v>
      </c>
      <c r="B2502" t="n">
        <v>4</v>
      </c>
      <c r="C2502" t="n">
        <v>14</v>
      </c>
      <c r="D2502" t="n">
        <v>4</v>
      </c>
      <c r="E2502" s="10" t="n">
        <v>0</v>
      </c>
      <c r="F2502" s="10" t="n">
        <v>0.3534858128365951</v>
      </c>
      <c r="G2502" s="11">
        <f>E2502*Summary!$B$6</f>
        <v/>
      </c>
      <c r="H2502" s="11">
        <f>F2502*Summary!$B$7</f>
        <v/>
      </c>
      <c r="I2502" s="11">
        <f>MAX(0,N2502-M2502)</f>
        <v/>
      </c>
      <c r="J2502" s="11">
        <f>MAX(0,M2502-N2502)</f>
        <v/>
      </c>
      <c r="K2502" s="11">
        <f>O2502</f>
        <v/>
      </c>
      <c r="L2502" s="11">
        <f>L2501+IF(K2502&gt;0,K2502*Summary!$B$9,K2502/Summary!$B$9)</f>
        <v/>
      </c>
      <c r="M2502" s="11">
        <f>G2502+H2502</f>
        <v/>
      </c>
      <c r="N2502" s="11">
        <f>Summary!$C$16*Summary!$B$8</f>
        <v/>
      </c>
      <c r="O2502" s="11">
        <f>M2502-N2502</f>
        <v/>
      </c>
    </row>
    <row r="2503">
      <c r="A2503" s="9" t="n">
        <v>45396.20833333334</v>
      </c>
      <c r="B2503" t="n">
        <v>4</v>
      </c>
      <c r="C2503" t="n">
        <v>14</v>
      </c>
      <c r="D2503" t="n">
        <v>5</v>
      </c>
      <c r="E2503" s="10" t="n">
        <v>0.009032</v>
      </c>
      <c r="F2503" s="10" t="n">
        <v>0.3482154115716988</v>
      </c>
      <c r="G2503" s="11">
        <f>E2503*Summary!$B$6</f>
        <v/>
      </c>
      <c r="H2503" s="11">
        <f>F2503*Summary!$B$7</f>
        <v/>
      </c>
      <c r="I2503" s="11">
        <f>MAX(0,N2503-M2503)</f>
        <v/>
      </c>
      <c r="J2503" s="11">
        <f>MAX(0,M2503-N2503)</f>
        <v/>
      </c>
      <c r="K2503" s="11">
        <f>O2503</f>
        <v/>
      </c>
      <c r="L2503" s="11">
        <f>L2502+IF(K2503&gt;0,K2503*Summary!$B$9,K2503/Summary!$B$9)</f>
        <v/>
      </c>
      <c r="M2503" s="11">
        <f>G2503+H2503</f>
        <v/>
      </c>
      <c r="N2503" s="11">
        <f>Summary!$C$16*Summary!$B$8</f>
        <v/>
      </c>
      <c r="O2503" s="11">
        <f>M2503-N2503</f>
        <v/>
      </c>
    </row>
    <row r="2504">
      <c r="A2504" s="9" t="n">
        <v>45396.25</v>
      </c>
      <c r="B2504" t="n">
        <v>4</v>
      </c>
      <c r="C2504" t="n">
        <v>14</v>
      </c>
      <c r="D2504" t="n">
        <v>6</v>
      </c>
      <c r="E2504" s="10" t="n">
        <v>0.037907</v>
      </c>
      <c r="F2504" s="10" t="n">
        <v>0.3296899511255882</v>
      </c>
      <c r="G2504" s="11">
        <f>E2504*Summary!$B$6</f>
        <v/>
      </c>
      <c r="H2504" s="11">
        <f>F2504*Summary!$B$7</f>
        <v/>
      </c>
      <c r="I2504" s="11">
        <f>MAX(0,N2504-M2504)</f>
        <v/>
      </c>
      <c r="J2504" s="11">
        <f>MAX(0,M2504-N2504)</f>
        <v/>
      </c>
      <c r="K2504" s="11">
        <f>O2504</f>
        <v/>
      </c>
      <c r="L2504" s="11">
        <f>L2503+IF(K2504&gt;0,K2504*Summary!$B$9,K2504/Summary!$B$9)</f>
        <v/>
      </c>
      <c r="M2504" s="11">
        <f>G2504+H2504</f>
        <v/>
      </c>
      <c r="N2504" s="11">
        <f>Summary!$C$16*Summary!$B$8</f>
        <v/>
      </c>
      <c r="O2504" s="11">
        <f>M2504-N2504</f>
        <v/>
      </c>
    </row>
    <row r="2505">
      <c r="A2505" s="9" t="n">
        <v>45396.29166666666</v>
      </c>
      <c r="B2505" t="n">
        <v>4</v>
      </c>
      <c r="C2505" t="n">
        <v>14</v>
      </c>
      <c r="D2505" t="n">
        <v>7</v>
      </c>
      <c r="E2505" s="10" t="n">
        <v>0.09433999999999999</v>
      </c>
      <c r="F2505" s="10" t="n">
        <v>0.3109273226225574</v>
      </c>
      <c r="G2505" s="11">
        <f>E2505*Summary!$B$6</f>
        <v/>
      </c>
      <c r="H2505" s="11">
        <f>F2505*Summary!$B$7</f>
        <v/>
      </c>
      <c r="I2505" s="11">
        <f>MAX(0,N2505-M2505)</f>
        <v/>
      </c>
      <c r="J2505" s="11">
        <f>MAX(0,M2505-N2505)</f>
        <v/>
      </c>
      <c r="K2505" s="11">
        <f>O2505</f>
        <v/>
      </c>
      <c r="L2505" s="11">
        <f>L2504+IF(K2505&gt;0,K2505*Summary!$B$9,K2505/Summary!$B$9)</f>
        <v/>
      </c>
      <c r="M2505" s="11">
        <f>G2505+H2505</f>
        <v/>
      </c>
      <c r="N2505" s="11">
        <f>Summary!$C$16*Summary!$B$8</f>
        <v/>
      </c>
      <c r="O2505" s="11">
        <f>M2505-N2505</f>
        <v/>
      </c>
    </row>
    <row r="2506">
      <c r="A2506" s="9" t="n">
        <v>45396.33333333334</v>
      </c>
      <c r="B2506" t="n">
        <v>4</v>
      </c>
      <c r="C2506" t="n">
        <v>14</v>
      </c>
      <c r="D2506" t="n">
        <v>8</v>
      </c>
      <c r="E2506" s="10" t="n">
        <v>0.164768</v>
      </c>
      <c r="F2506" s="10" t="n">
        <v>0.3037859289086229</v>
      </c>
      <c r="G2506" s="11">
        <f>E2506*Summary!$B$6</f>
        <v/>
      </c>
      <c r="H2506" s="11">
        <f>F2506*Summary!$B$7</f>
        <v/>
      </c>
      <c r="I2506" s="11">
        <f>MAX(0,N2506-M2506)</f>
        <v/>
      </c>
      <c r="J2506" s="11">
        <f>MAX(0,M2506-N2506)</f>
        <v/>
      </c>
      <c r="K2506" s="11">
        <f>O2506</f>
        <v/>
      </c>
      <c r="L2506" s="11">
        <f>L2505+IF(K2506&gt;0,K2506*Summary!$B$9,K2506/Summary!$B$9)</f>
        <v/>
      </c>
      <c r="M2506" s="11">
        <f>G2506+H2506</f>
        <v/>
      </c>
      <c r="N2506" s="11">
        <f>Summary!$C$16*Summary!$B$8</f>
        <v/>
      </c>
      <c r="O2506" s="11">
        <f>M2506-N2506</f>
        <v/>
      </c>
    </row>
    <row r="2507">
      <c r="A2507" s="9" t="n">
        <v>45396.375</v>
      </c>
      <c r="B2507" t="n">
        <v>4</v>
      </c>
      <c r="C2507" t="n">
        <v>14</v>
      </c>
      <c r="D2507" t="n">
        <v>9</v>
      </c>
      <c r="E2507" s="10" t="n">
        <v>0.229419</v>
      </c>
      <c r="F2507" s="10" t="n">
        <v>0.30088720821293</v>
      </c>
      <c r="G2507" s="11">
        <f>E2507*Summary!$B$6</f>
        <v/>
      </c>
      <c r="H2507" s="11">
        <f>F2507*Summary!$B$7</f>
        <v/>
      </c>
      <c r="I2507" s="11">
        <f>MAX(0,N2507-M2507)</f>
        <v/>
      </c>
      <c r="J2507" s="11">
        <f>MAX(0,M2507-N2507)</f>
        <v/>
      </c>
      <c r="K2507" s="11">
        <f>O2507</f>
        <v/>
      </c>
      <c r="L2507" s="11">
        <f>L2506+IF(K2507&gt;0,K2507*Summary!$B$9,K2507/Summary!$B$9)</f>
        <v/>
      </c>
      <c r="M2507" s="11">
        <f>G2507+H2507</f>
        <v/>
      </c>
      <c r="N2507" s="11">
        <f>Summary!$C$16*Summary!$B$8</f>
        <v/>
      </c>
      <c r="O2507" s="11">
        <f>M2507-N2507</f>
        <v/>
      </c>
    </row>
    <row r="2508">
      <c r="A2508" s="9" t="n">
        <v>45396.41666666666</v>
      </c>
      <c r="B2508" t="n">
        <v>4</v>
      </c>
      <c r="C2508" t="n">
        <v>14</v>
      </c>
      <c r="D2508" t="n">
        <v>10</v>
      </c>
      <c r="E2508" s="10" t="n">
        <v>0.224095</v>
      </c>
      <c r="F2508" s="10" t="n">
        <v>0.304392025054086</v>
      </c>
      <c r="G2508" s="11">
        <f>E2508*Summary!$B$6</f>
        <v/>
      </c>
      <c r="H2508" s="11">
        <f>F2508*Summary!$B$7</f>
        <v/>
      </c>
      <c r="I2508" s="11">
        <f>MAX(0,N2508-M2508)</f>
        <v/>
      </c>
      <c r="J2508" s="11">
        <f>MAX(0,M2508-N2508)</f>
        <v/>
      </c>
      <c r="K2508" s="11">
        <f>O2508</f>
        <v/>
      </c>
      <c r="L2508" s="11">
        <f>L2507+IF(K2508&gt;0,K2508*Summary!$B$9,K2508/Summary!$B$9)</f>
        <v/>
      </c>
      <c r="M2508" s="11">
        <f>G2508+H2508</f>
        <v/>
      </c>
      <c r="N2508" s="11">
        <f>Summary!$C$16*Summary!$B$8</f>
        <v/>
      </c>
      <c r="O2508" s="11">
        <f>M2508-N2508</f>
        <v/>
      </c>
    </row>
    <row r="2509">
      <c r="A2509" s="9" t="n">
        <v>45396.45833333334</v>
      </c>
      <c r="B2509" t="n">
        <v>4</v>
      </c>
      <c r="C2509" t="n">
        <v>14</v>
      </c>
      <c r="D2509" t="n">
        <v>11</v>
      </c>
      <c r="E2509" s="10" t="n">
        <v>0.218352</v>
      </c>
      <c r="F2509" s="10" t="n">
        <v>0.3132199471727873</v>
      </c>
      <c r="G2509" s="11">
        <f>E2509*Summary!$B$6</f>
        <v/>
      </c>
      <c r="H2509" s="11">
        <f>F2509*Summary!$B$7</f>
        <v/>
      </c>
      <c r="I2509" s="11">
        <f>MAX(0,N2509-M2509)</f>
        <v/>
      </c>
      <c r="J2509" s="11">
        <f>MAX(0,M2509-N2509)</f>
        <v/>
      </c>
      <c r="K2509" s="11">
        <f>O2509</f>
        <v/>
      </c>
      <c r="L2509" s="11">
        <f>L2508+IF(K2509&gt;0,K2509*Summary!$B$9,K2509/Summary!$B$9)</f>
        <v/>
      </c>
      <c r="M2509" s="11">
        <f>G2509+H2509</f>
        <v/>
      </c>
      <c r="N2509" s="11">
        <f>Summary!$C$16*Summary!$B$8</f>
        <v/>
      </c>
      <c r="O2509" s="11">
        <f>M2509-N2509</f>
        <v/>
      </c>
    </row>
    <row r="2510">
      <c r="A2510" s="9" t="n">
        <v>45396.5</v>
      </c>
      <c r="B2510" t="n">
        <v>4</v>
      </c>
      <c r="C2510" t="n">
        <v>14</v>
      </c>
      <c r="D2510" t="n">
        <v>12</v>
      </c>
      <c r="E2510" s="10" t="n">
        <v>0.274361</v>
      </c>
      <c r="F2510" s="10" t="n">
        <v>0.3198870047728811</v>
      </c>
      <c r="G2510" s="11">
        <f>E2510*Summary!$B$6</f>
        <v/>
      </c>
      <c r="H2510" s="11">
        <f>F2510*Summary!$B$7</f>
        <v/>
      </c>
      <c r="I2510" s="11">
        <f>MAX(0,N2510-M2510)</f>
        <v/>
      </c>
      <c r="J2510" s="11">
        <f>MAX(0,M2510-N2510)</f>
        <v/>
      </c>
      <c r="K2510" s="11">
        <f>O2510</f>
        <v/>
      </c>
      <c r="L2510" s="11">
        <f>L2509+IF(K2510&gt;0,K2510*Summary!$B$9,K2510/Summary!$B$9)</f>
        <v/>
      </c>
      <c r="M2510" s="11">
        <f>G2510+H2510</f>
        <v/>
      </c>
      <c r="N2510" s="11">
        <f>Summary!$C$16*Summary!$B$8</f>
        <v/>
      </c>
      <c r="O2510" s="11">
        <f>M2510-N2510</f>
        <v/>
      </c>
    </row>
    <row r="2511">
      <c r="A2511" s="9" t="n">
        <v>45396.54166666666</v>
      </c>
      <c r="B2511" t="n">
        <v>4</v>
      </c>
      <c r="C2511" t="n">
        <v>14</v>
      </c>
      <c r="D2511" t="n">
        <v>13</v>
      </c>
      <c r="E2511" s="10" t="n">
        <v>0.649917</v>
      </c>
      <c r="F2511" s="10" t="n">
        <v>0.3225222054053293</v>
      </c>
      <c r="G2511" s="11">
        <f>E2511*Summary!$B$6</f>
        <v/>
      </c>
      <c r="H2511" s="11">
        <f>F2511*Summary!$B$7</f>
        <v/>
      </c>
      <c r="I2511" s="11">
        <f>MAX(0,N2511-M2511)</f>
        <v/>
      </c>
      <c r="J2511" s="11">
        <f>MAX(0,M2511-N2511)</f>
        <v/>
      </c>
      <c r="K2511" s="11">
        <f>O2511</f>
        <v/>
      </c>
      <c r="L2511" s="11">
        <f>L2510+IF(K2511&gt;0,K2511*Summary!$B$9,K2511/Summary!$B$9)</f>
        <v/>
      </c>
      <c r="M2511" s="11">
        <f>G2511+H2511</f>
        <v/>
      </c>
      <c r="N2511" s="11">
        <f>Summary!$C$16*Summary!$B$8</f>
        <v/>
      </c>
      <c r="O2511" s="11">
        <f>M2511-N2511</f>
        <v/>
      </c>
    </row>
    <row r="2512">
      <c r="A2512" s="9" t="n">
        <v>45396.58333333334</v>
      </c>
      <c r="B2512" t="n">
        <v>4</v>
      </c>
      <c r="C2512" t="n">
        <v>14</v>
      </c>
      <c r="D2512" t="n">
        <v>14</v>
      </c>
      <c r="E2512" s="10" t="n">
        <v>0.718327</v>
      </c>
      <c r="F2512" s="10" t="n">
        <v>0.3231546535571169</v>
      </c>
      <c r="G2512" s="11">
        <f>E2512*Summary!$B$6</f>
        <v/>
      </c>
      <c r="H2512" s="11">
        <f>F2512*Summary!$B$7</f>
        <v/>
      </c>
      <c r="I2512" s="11">
        <f>MAX(0,N2512-M2512)</f>
        <v/>
      </c>
      <c r="J2512" s="11">
        <f>MAX(0,M2512-N2512)</f>
        <v/>
      </c>
      <c r="K2512" s="11">
        <f>O2512</f>
        <v/>
      </c>
      <c r="L2512" s="11">
        <f>L2511+IF(K2512&gt;0,K2512*Summary!$B$9,K2512/Summary!$B$9)</f>
        <v/>
      </c>
      <c r="M2512" s="11">
        <f>G2512+H2512</f>
        <v/>
      </c>
      <c r="N2512" s="11">
        <f>Summary!$C$16*Summary!$B$8</f>
        <v/>
      </c>
      <c r="O2512" s="11">
        <f>M2512-N2512</f>
        <v/>
      </c>
    </row>
    <row r="2513">
      <c r="A2513" s="9" t="n">
        <v>45396.625</v>
      </c>
      <c r="B2513" t="n">
        <v>4</v>
      </c>
      <c r="C2513" t="n">
        <v>14</v>
      </c>
      <c r="D2513" t="n">
        <v>15</v>
      </c>
      <c r="E2513" s="10" t="n">
        <v>0.568966</v>
      </c>
      <c r="F2513" s="10" t="n">
        <v>0.3155125717230172</v>
      </c>
      <c r="G2513" s="11">
        <f>E2513*Summary!$B$6</f>
        <v/>
      </c>
      <c r="H2513" s="11">
        <f>F2513*Summary!$B$7</f>
        <v/>
      </c>
      <c r="I2513" s="11">
        <f>MAX(0,N2513-M2513)</f>
        <v/>
      </c>
      <c r="J2513" s="11">
        <f>MAX(0,M2513-N2513)</f>
        <v/>
      </c>
      <c r="K2513" s="11">
        <f>O2513</f>
        <v/>
      </c>
      <c r="L2513" s="11">
        <f>L2512+IF(K2513&gt;0,K2513*Summary!$B$9,K2513/Summary!$B$9)</f>
        <v/>
      </c>
      <c r="M2513" s="11">
        <f>G2513+H2513</f>
        <v/>
      </c>
      <c r="N2513" s="11">
        <f>Summary!$C$16*Summary!$B$8</f>
        <v/>
      </c>
      <c r="O2513" s="11">
        <f>M2513-N2513</f>
        <v/>
      </c>
    </row>
    <row r="2514">
      <c r="A2514" s="9" t="n">
        <v>45396.66666666666</v>
      </c>
      <c r="B2514" t="n">
        <v>4</v>
      </c>
      <c r="C2514" t="n">
        <v>14</v>
      </c>
      <c r="D2514" t="n">
        <v>16</v>
      </c>
      <c r="E2514" s="10" t="n">
        <v>0.356623</v>
      </c>
      <c r="F2514" s="10" t="n">
        <v>0.3055515133323632</v>
      </c>
      <c r="G2514" s="11">
        <f>E2514*Summary!$B$6</f>
        <v/>
      </c>
      <c r="H2514" s="11">
        <f>F2514*Summary!$B$7</f>
        <v/>
      </c>
      <c r="I2514" s="11">
        <f>MAX(0,N2514-M2514)</f>
        <v/>
      </c>
      <c r="J2514" s="11">
        <f>MAX(0,M2514-N2514)</f>
        <v/>
      </c>
      <c r="K2514" s="11">
        <f>O2514</f>
        <v/>
      </c>
      <c r="L2514" s="11">
        <f>L2513+IF(K2514&gt;0,K2514*Summary!$B$9,K2514/Summary!$B$9)</f>
        <v/>
      </c>
      <c r="M2514" s="11">
        <f>G2514+H2514</f>
        <v/>
      </c>
      <c r="N2514" s="11">
        <f>Summary!$C$16*Summary!$B$8</f>
        <v/>
      </c>
      <c r="O2514" s="11">
        <f>M2514-N2514</f>
        <v/>
      </c>
    </row>
    <row r="2515">
      <c r="A2515" s="9" t="n">
        <v>45396.70833333334</v>
      </c>
      <c r="B2515" t="n">
        <v>4</v>
      </c>
      <c r="C2515" t="n">
        <v>14</v>
      </c>
      <c r="D2515" t="n">
        <v>17</v>
      </c>
      <c r="E2515" s="10" t="n">
        <v>0.130359</v>
      </c>
      <c r="F2515" s="10" t="n">
        <v>0.3034170008200802</v>
      </c>
      <c r="G2515" s="11">
        <f>E2515*Summary!$B$6</f>
        <v/>
      </c>
      <c r="H2515" s="11">
        <f>F2515*Summary!$B$7</f>
        <v/>
      </c>
      <c r="I2515" s="11">
        <f>MAX(0,N2515-M2515)</f>
        <v/>
      </c>
      <c r="J2515" s="11">
        <f>MAX(0,M2515-N2515)</f>
        <v/>
      </c>
      <c r="K2515" s="11">
        <f>O2515</f>
        <v/>
      </c>
      <c r="L2515" s="11">
        <f>L2514+IF(K2515&gt;0,K2515*Summary!$B$9,K2515/Summary!$B$9)</f>
        <v/>
      </c>
      <c r="M2515" s="11">
        <f>G2515+H2515</f>
        <v/>
      </c>
      <c r="N2515" s="11">
        <f>Summary!$C$16*Summary!$B$8</f>
        <v/>
      </c>
      <c r="O2515" s="11">
        <f>M2515-N2515</f>
        <v/>
      </c>
    </row>
    <row r="2516">
      <c r="A2516" s="9" t="n">
        <v>45396.75</v>
      </c>
      <c r="B2516" t="n">
        <v>4</v>
      </c>
      <c r="C2516" t="n">
        <v>14</v>
      </c>
      <c r="D2516" t="n">
        <v>18</v>
      </c>
      <c r="E2516" s="10" t="n">
        <v>0.027459</v>
      </c>
      <c r="F2516" s="10" t="n">
        <v>0.3069218176612362</v>
      </c>
      <c r="G2516" s="11">
        <f>E2516*Summary!$B$6</f>
        <v/>
      </c>
      <c r="H2516" s="11">
        <f>F2516*Summary!$B$7</f>
        <v/>
      </c>
      <c r="I2516" s="11">
        <f>MAX(0,N2516-M2516)</f>
        <v/>
      </c>
      <c r="J2516" s="11">
        <f>MAX(0,M2516-N2516)</f>
        <v/>
      </c>
      <c r="K2516" s="11">
        <f>O2516</f>
        <v/>
      </c>
      <c r="L2516" s="11">
        <f>L2515+IF(K2516&gt;0,K2516*Summary!$B$9,K2516/Summary!$B$9)</f>
        <v/>
      </c>
      <c r="M2516" s="11">
        <f>G2516+H2516</f>
        <v/>
      </c>
      <c r="N2516" s="11">
        <f>Summary!$C$16*Summary!$B$8</f>
        <v/>
      </c>
      <c r="O2516" s="11">
        <f>M2516-N2516</f>
        <v/>
      </c>
    </row>
    <row r="2517">
      <c r="A2517" s="9" t="n">
        <v>45396.79166666666</v>
      </c>
      <c r="B2517" t="n">
        <v>4</v>
      </c>
      <c r="C2517" t="n">
        <v>14</v>
      </c>
      <c r="D2517" t="n">
        <v>19</v>
      </c>
      <c r="E2517" s="10" t="n">
        <v>0</v>
      </c>
      <c r="F2517" s="10" t="n">
        <v>0.3125874990209997</v>
      </c>
      <c r="G2517" s="11">
        <f>E2517*Summary!$B$6</f>
        <v/>
      </c>
      <c r="H2517" s="11">
        <f>F2517*Summary!$B$7</f>
        <v/>
      </c>
      <c r="I2517" s="11">
        <f>MAX(0,N2517-M2517)</f>
        <v/>
      </c>
      <c r="J2517" s="11">
        <f>MAX(0,M2517-N2517)</f>
        <v/>
      </c>
      <c r="K2517" s="11">
        <f>O2517</f>
        <v/>
      </c>
      <c r="L2517" s="11">
        <f>L2516+IF(K2517&gt;0,K2517*Summary!$B$9,K2517/Summary!$B$9)</f>
        <v/>
      </c>
      <c r="M2517" s="11">
        <f>G2517+H2517</f>
        <v/>
      </c>
      <c r="N2517" s="11">
        <f>Summary!$C$16*Summary!$B$8</f>
        <v/>
      </c>
      <c r="O2517" s="11">
        <f>M2517-N2517</f>
        <v/>
      </c>
    </row>
    <row r="2518">
      <c r="A2518" s="9" t="n">
        <v>45396.83333333334</v>
      </c>
      <c r="B2518" t="n">
        <v>4</v>
      </c>
      <c r="C2518" t="n">
        <v>14</v>
      </c>
      <c r="D2518" t="n">
        <v>20</v>
      </c>
      <c r="E2518" s="10" t="n">
        <v>0</v>
      </c>
      <c r="F2518" s="10" t="n">
        <v>0.3178579002858961</v>
      </c>
      <c r="G2518" s="11">
        <f>E2518*Summary!$B$6</f>
        <v/>
      </c>
      <c r="H2518" s="11">
        <f>F2518*Summary!$B$7</f>
        <v/>
      </c>
      <c r="I2518" s="11">
        <f>MAX(0,N2518-M2518)</f>
        <v/>
      </c>
      <c r="J2518" s="11">
        <f>MAX(0,M2518-N2518)</f>
        <v/>
      </c>
      <c r="K2518" s="11">
        <f>O2518</f>
        <v/>
      </c>
      <c r="L2518" s="11">
        <f>L2517+IF(K2518&gt;0,K2518*Summary!$B$9,K2518/Summary!$B$9)</f>
        <v/>
      </c>
      <c r="M2518" s="11">
        <f>G2518+H2518</f>
        <v/>
      </c>
      <c r="N2518" s="11">
        <f>Summary!$C$16*Summary!$B$8</f>
        <v/>
      </c>
      <c r="O2518" s="11">
        <f>M2518-N2518</f>
        <v/>
      </c>
    </row>
    <row r="2519">
      <c r="A2519" s="9" t="n">
        <v>45396.875</v>
      </c>
      <c r="B2519" t="n">
        <v>4</v>
      </c>
      <c r="C2519" t="n">
        <v>14</v>
      </c>
      <c r="D2519" t="n">
        <v>21</v>
      </c>
      <c r="E2519" s="10" t="n">
        <v>0</v>
      </c>
      <c r="F2519" s="10" t="n">
        <v>0.318674812481955</v>
      </c>
      <c r="G2519" s="11">
        <f>E2519*Summary!$B$6</f>
        <v/>
      </c>
      <c r="H2519" s="11">
        <f>F2519*Summary!$B$7</f>
        <v/>
      </c>
      <c r="I2519" s="11">
        <f>MAX(0,N2519-M2519)</f>
        <v/>
      </c>
      <c r="J2519" s="11">
        <f>MAX(0,M2519-N2519)</f>
        <v/>
      </c>
      <c r="K2519" s="11">
        <f>O2519</f>
        <v/>
      </c>
      <c r="L2519" s="11">
        <f>L2518+IF(K2519&gt;0,K2519*Summary!$B$9,K2519/Summary!$B$9)</f>
        <v/>
      </c>
      <c r="M2519" s="11">
        <f>G2519+H2519</f>
        <v/>
      </c>
      <c r="N2519" s="11">
        <f>Summary!$C$16*Summary!$B$8</f>
        <v/>
      </c>
      <c r="O2519" s="11">
        <f>M2519-N2519</f>
        <v/>
      </c>
    </row>
    <row r="2520">
      <c r="A2520" s="9" t="n">
        <v>45396.91666666666</v>
      </c>
      <c r="B2520" t="n">
        <v>4</v>
      </c>
      <c r="C2520" t="n">
        <v>14</v>
      </c>
      <c r="D2520" t="n">
        <v>22</v>
      </c>
      <c r="E2520" s="10" t="n">
        <v>0</v>
      </c>
      <c r="F2520" s="10" t="n">
        <v>0.3211255490701318</v>
      </c>
      <c r="G2520" s="11">
        <f>E2520*Summary!$B$6</f>
        <v/>
      </c>
      <c r="H2520" s="11">
        <f>F2520*Summary!$B$7</f>
        <v/>
      </c>
      <c r="I2520" s="11">
        <f>MAX(0,N2520-M2520)</f>
        <v/>
      </c>
      <c r="J2520" s="11">
        <f>MAX(0,M2520-N2520)</f>
        <v/>
      </c>
      <c r="K2520" s="11">
        <f>O2520</f>
        <v/>
      </c>
      <c r="L2520" s="11">
        <f>L2519+IF(K2520&gt;0,K2520*Summary!$B$9,K2520/Summary!$B$9)</f>
        <v/>
      </c>
      <c r="M2520" s="11">
        <f>G2520+H2520</f>
        <v/>
      </c>
      <c r="N2520" s="11">
        <f>Summary!$C$16*Summary!$B$8</f>
        <v/>
      </c>
      <c r="O2520" s="11">
        <f>M2520-N2520</f>
        <v/>
      </c>
    </row>
    <row r="2521">
      <c r="A2521" s="9" t="n">
        <v>45396.95833333334</v>
      </c>
      <c r="B2521" t="n">
        <v>4</v>
      </c>
      <c r="C2521" t="n">
        <v>14</v>
      </c>
      <c r="D2521" t="n">
        <v>23</v>
      </c>
      <c r="E2521" s="10" t="n">
        <v>0</v>
      </c>
      <c r="F2521" s="10" t="n">
        <v>0.3082130659711358</v>
      </c>
      <c r="G2521" s="11">
        <f>E2521*Summary!$B$6</f>
        <v/>
      </c>
      <c r="H2521" s="11">
        <f>F2521*Summary!$B$7</f>
        <v/>
      </c>
      <c r="I2521" s="11">
        <f>MAX(0,N2521-M2521)</f>
        <v/>
      </c>
      <c r="J2521" s="11">
        <f>MAX(0,M2521-N2521)</f>
        <v/>
      </c>
      <c r="K2521" s="11">
        <f>O2521</f>
        <v/>
      </c>
      <c r="L2521" s="11">
        <f>L2520+IF(K2521&gt;0,K2521*Summary!$B$9,K2521/Summary!$B$9)</f>
        <v/>
      </c>
      <c r="M2521" s="11">
        <f>G2521+H2521</f>
        <v/>
      </c>
      <c r="N2521" s="11">
        <f>Summary!$C$16*Summary!$B$8</f>
        <v/>
      </c>
      <c r="O2521" s="11">
        <f>M2521-N2521</f>
        <v/>
      </c>
    </row>
    <row r="2522">
      <c r="A2522" s="9" t="n">
        <v>45397</v>
      </c>
      <c r="B2522" t="n">
        <v>4</v>
      </c>
      <c r="C2522" t="n">
        <v>15</v>
      </c>
      <c r="D2522" t="n">
        <v>0</v>
      </c>
      <c r="E2522" s="10" t="n">
        <v>0</v>
      </c>
      <c r="F2522" s="10" t="n">
        <v>0.2948262467582992</v>
      </c>
      <c r="G2522" s="11">
        <f>E2522*Summary!$B$6</f>
        <v/>
      </c>
      <c r="H2522" s="11">
        <f>F2522*Summary!$B$7</f>
        <v/>
      </c>
      <c r="I2522" s="11">
        <f>MAX(0,N2522-M2522)</f>
        <v/>
      </c>
      <c r="J2522" s="11">
        <f>MAX(0,M2522-N2522)</f>
        <v/>
      </c>
      <c r="K2522" s="11">
        <f>O2522</f>
        <v/>
      </c>
      <c r="L2522" s="11">
        <f>L2521+IF(K2522&gt;0,K2522*Summary!$B$9,K2522/Summary!$B$9)</f>
        <v/>
      </c>
      <c r="M2522" s="11">
        <f>G2522+H2522</f>
        <v/>
      </c>
      <c r="N2522" s="11">
        <f>Summary!$C$16*Summary!$B$8</f>
        <v/>
      </c>
      <c r="O2522" s="11">
        <f>M2522-N2522</f>
        <v/>
      </c>
    </row>
    <row r="2523">
      <c r="A2523" s="9" t="n">
        <v>45397.04166666666</v>
      </c>
      <c r="B2523" t="n">
        <v>4</v>
      </c>
      <c r="C2523" t="n">
        <v>15</v>
      </c>
      <c r="D2523" t="n">
        <v>1</v>
      </c>
      <c r="E2523" s="10" t="n">
        <v>0</v>
      </c>
      <c r="F2523" s="10" t="n">
        <v>0.2928761982902875</v>
      </c>
      <c r="G2523" s="11">
        <f>E2523*Summary!$B$6</f>
        <v/>
      </c>
      <c r="H2523" s="11">
        <f>F2523*Summary!$B$7</f>
        <v/>
      </c>
      <c r="I2523" s="11">
        <f>MAX(0,N2523-M2523)</f>
        <v/>
      </c>
      <c r="J2523" s="11">
        <f>MAX(0,M2523-N2523)</f>
        <v/>
      </c>
      <c r="K2523" s="11">
        <f>O2523</f>
        <v/>
      </c>
      <c r="L2523" s="11">
        <f>L2522+IF(K2523&gt;0,K2523*Summary!$B$9,K2523/Summary!$B$9)</f>
        <v/>
      </c>
      <c r="M2523" s="11">
        <f>G2523+H2523</f>
        <v/>
      </c>
      <c r="N2523" s="11">
        <f>Summary!$C$16*Summary!$B$8</f>
        <v/>
      </c>
      <c r="O2523" s="11">
        <f>M2523-N2523</f>
        <v/>
      </c>
    </row>
    <row r="2524">
      <c r="A2524" s="9" t="n">
        <v>45397.08333333334</v>
      </c>
      <c r="B2524" t="n">
        <v>4</v>
      </c>
      <c r="C2524" t="n">
        <v>15</v>
      </c>
      <c r="D2524" t="n">
        <v>2</v>
      </c>
      <c r="E2524" s="10" t="n">
        <v>0</v>
      </c>
      <c r="F2524" s="10" t="n">
        <v>0.2862618447028427</v>
      </c>
      <c r="G2524" s="11">
        <f>E2524*Summary!$B$6</f>
        <v/>
      </c>
      <c r="H2524" s="11">
        <f>F2524*Summary!$B$7</f>
        <v/>
      </c>
      <c r="I2524" s="11">
        <f>MAX(0,N2524-M2524)</f>
        <v/>
      </c>
      <c r="J2524" s="11">
        <f>MAX(0,M2524-N2524)</f>
        <v/>
      </c>
      <c r="K2524" s="11">
        <f>O2524</f>
        <v/>
      </c>
      <c r="L2524" s="11">
        <f>L2523+IF(K2524&gt;0,K2524*Summary!$B$9,K2524/Summary!$B$9)</f>
        <v/>
      </c>
      <c r="M2524" s="11">
        <f>G2524+H2524</f>
        <v/>
      </c>
      <c r="N2524" s="11">
        <f>Summary!$C$16*Summary!$B$8</f>
        <v/>
      </c>
      <c r="O2524" s="11">
        <f>M2524-N2524</f>
        <v/>
      </c>
    </row>
    <row r="2525">
      <c r="A2525" s="9" t="n">
        <v>45397.125</v>
      </c>
      <c r="B2525" t="n">
        <v>4</v>
      </c>
      <c r="C2525" t="n">
        <v>15</v>
      </c>
      <c r="D2525" t="n">
        <v>3</v>
      </c>
      <c r="E2525" s="10" t="n">
        <v>0</v>
      </c>
      <c r="F2525" s="10" t="n">
        <v>0.2773812185714924</v>
      </c>
      <c r="G2525" s="11">
        <f>E2525*Summary!$B$6</f>
        <v/>
      </c>
      <c r="H2525" s="11">
        <f>F2525*Summary!$B$7</f>
        <v/>
      </c>
      <c r="I2525" s="11">
        <f>MAX(0,N2525-M2525)</f>
        <v/>
      </c>
      <c r="J2525" s="11">
        <f>MAX(0,M2525-N2525)</f>
        <v/>
      </c>
      <c r="K2525" s="11">
        <f>O2525</f>
        <v/>
      </c>
      <c r="L2525" s="11">
        <f>L2524+IF(K2525&gt;0,K2525*Summary!$B$9,K2525/Summary!$B$9)</f>
        <v/>
      </c>
      <c r="M2525" s="11">
        <f>G2525+H2525</f>
        <v/>
      </c>
      <c r="N2525" s="11">
        <f>Summary!$C$16*Summary!$B$8</f>
        <v/>
      </c>
      <c r="O2525" s="11">
        <f>M2525-N2525</f>
        <v/>
      </c>
    </row>
    <row r="2526">
      <c r="A2526" s="9" t="n">
        <v>45397.16666666666</v>
      </c>
      <c r="B2526" t="n">
        <v>4</v>
      </c>
      <c r="C2526" t="n">
        <v>15</v>
      </c>
      <c r="D2526" t="n">
        <v>4</v>
      </c>
      <c r="E2526" s="10" t="n">
        <v>0</v>
      </c>
      <c r="F2526" s="10" t="n">
        <v>0.2714520171484841</v>
      </c>
      <c r="G2526" s="11">
        <f>E2526*Summary!$B$6</f>
        <v/>
      </c>
      <c r="H2526" s="11">
        <f>F2526*Summary!$B$7</f>
        <v/>
      </c>
      <c r="I2526" s="11">
        <f>MAX(0,N2526-M2526)</f>
        <v/>
      </c>
      <c r="J2526" s="11">
        <f>MAX(0,M2526-N2526)</f>
        <v/>
      </c>
      <c r="K2526" s="11">
        <f>O2526</f>
        <v/>
      </c>
      <c r="L2526" s="11">
        <f>L2525+IF(K2526&gt;0,K2526*Summary!$B$9,K2526/Summary!$B$9)</f>
        <v/>
      </c>
      <c r="M2526" s="11">
        <f>G2526+H2526</f>
        <v/>
      </c>
      <c r="N2526" s="11">
        <f>Summary!$C$16*Summary!$B$8</f>
        <v/>
      </c>
      <c r="O2526" s="11">
        <f>M2526-N2526</f>
        <v/>
      </c>
    </row>
    <row r="2527">
      <c r="A2527" s="9" t="n">
        <v>45397.20833333334</v>
      </c>
      <c r="B2527" t="n">
        <v>4</v>
      </c>
      <c r="C2527" t="n">
        <v>15</v>
      </c>
      <c r="D2527" t="n">
        <v>5</v>
      </c>
      <c r="E2527" s="10" t="n">
        <v>0.008279</v>
      </c>
      <c r="F2527" s="10" t="n">
        <v>0.2617281268147504</v>
      </c>
      <c r="G2527" s="11">
        <f>E2527*Summary!$B$6</f>
        <v/>
      </c>
      <c r="H2527" s="11">
        <f>F2527*Summary!$B$7</f>
        <v/>
      </c>
      <c r="I2527" s="11">
        <f>MAX(0,N2527-M2527)</f>
        <v/>
      </c>
      <c r="J2527" s="11">
        <f>MAX(0,M2527-N2527)</f>
        <v/>
      </c>
      <c r="K2527" s="11">
        <f>O2527</f>
        <v/>
      </c>
      <c r="L2527" s="11">
        <f>L2526+IF(K2527&gt;0,K2527*Summary!$B$9,K2527/Summary!$B$9)</f>
        <v/>
      </c>
      <c r="M2527" s="11">
        <f>G2527+H2527</f>
        <v/>
      </c>
      <c r="N2527" s="11">
        <f>Summary!$C$16*Summary!$B$8</f>
        <v/>
      </c>
      <c r="O2527" s="11">
        <f>M2527-N2527</f>
        <v/>
      </c>
    </row>
    <row r="2528">
      <c r="A2528" s="9" t="n">
        <v>45397.25</v>
      </c>
      <c r="B2528" t="n">
        <v>4</v>
      </c>
      <c r="C2528" t="n">
        <v>15</v>
      </c>
      <c r="D2528" t="n">
        <v>6</v>
      </c>
      <c r="E2528" s="10" t="n">
        <v>0.063067</v>
      </c>
      <c r="F2528" s="10" t="n">
        <v>0.2386701212808291</v>
      </c>
      <c r="G2528" s="11">
        <f>E2528*Summary!$B$6</f>
        <v/>
      </c>
      <c r="H2528" s="11">
        <f>F2528*Summary!$B$7</f>
        <v/>
      </c>
      <c r="I2528" s="11">
        <f>MAX(0,N2528-M2528)</f>
        <v/>
      </c>
      <c r="J2528" s="11">
        <f>MAX(0,M2528-N2528)</f>
        <v/>
      </c>
      <c r="K2528" s="11">
        <f>O2528</f>
        <v/>
      </c>
      <c r="L2528" s="11">
        <f>L2527+IF(K2528&gt;0,K2528*Summary!$B$9,K2528/Summary!$B$9)</f>
        <v/>
      </c>
      <c r="M2528" s="11">
        <f>G2528+H2528</f>
        <v/>
      </c>
      <c r="N2528" s="11">
        <f>Summary!$C$16*Summary!$B$8</f>
        <v/>
      </c>
      <c r="O2528" s="11">
        <f>M2528-N2528</f>
        <v/>
      </c>
    </row>
    <row r="2529">
      <c r="A2529" s="9" t="n">
        <v>45397.29166666666</v>
      </c>
      <c r="B2529" t="n">
        <v>4</v>
      </c>
      <c r="C2529" t="n">
        <v>15</v>
      </c>
      <c r="D2529" t="n">
        <v>7</v>
      </c>
      <c r="E2529" s="10" t="n">
        <v>0.260092</v>
      </c>
      <c r="F2529" s="10" t="n">
        <v>0.2068105456345309</v>
      </c>
      <c r="G2529" s="11">
        <f>E2529*Summary!$B$6</f>
        <v/>
      </c>
      <c r="H2529" s="11">
        <f>F2529*Summary!$B$7</f>
        <v/>
      </c>
      <c r="I2529" s="11">
        <f>MAX(0,N2529-M2529)</f>
        <v/>
      </c>
      <c r="J2529" s="11">
        <f>MAX(0,M2529-N2529)</f>
        <v/>
      </c>
      <c r="K2529" s="11">
        <f>O2529</f>
        <v/>
      </c>
      <c r="L2529" s="11">
        <f>L2528+IF(K2529&gt;0,K2529*Summary!$B$9,K2529/Summary!$B$9)</f>
        <v/>
      </c>
      <c r="M2529" s="11">
        <f>G2529+H2529</f>
        <v/>
      </c>
      <c r="N2529" s="11">
        <f>Summary!$C$16*Summary!$B$8</f>
        <v/>
      </c>
      <c r="O2529" s="11">
        <f>M2529-N2529</f>
        <v/>
      </c>
    </row>
    <row r="2530">
      <c r="A2530" s="9" t="n">
        <v>45397.33333333334</v>
      </c>
      <c r="B2530" t="n">
        <v>4</v>
      </c>
      <c r="C2530" t="n">
        <v>15</v>
      </c>
      <c r="D2530" t="n">
        <v>8</v>
      </c>
      <c r="E2530" s="10" t="n">
        <v>0.389767</v>
      </c>
      <c r="F2530" s="10" t="n">
        <v>0.1877316930556063</v>
      </c>
      <c r="G2530" s="11">
        <f>E2530*Summary!$B$6</f>
        <v/>
      </c>
      <c r="H2530" s="11">
        <f>F2530*Summary!$B$7</f>
        <v/>
      </c>
      <c r="I2530" s="11">
        <f>MAX(0,N2530-M2530)</f>
        <v/>
      </c>
      <c r="J2530" s="11">
        <f>MAX(0,M2530-N2530)</f>
        <v/>
      </c>
      <c r="K2530" s="11">
        <f>O2530</f>
        <v/>
      </c>
      <c r="L2530" s="11">
        <f>L2529+IF(K2530&gt;0,K2530*Summary!$B$9,K2530/Summary!$B$9)</f>
        <v/>
      </c>
      <c r="M2530" s="11">
        <f>G2530+H2530</f>
        <v/>
      </c>
      <c r="N2530" s="11">
        <f>Summary!$C$16*Summary!$B$8</f>
        <v/>
      </c>
      <c r="O2530" s="11">
        <f>M2530-N2530</f>
        <v/>
      </c>
    </row>
    <row r="2531">
      <c r="A2531" s="9" t="n">
        <v>45397.375</v>
      </c>
      <c r="B2531" t="n">
        <v>4</v>
      </c>
      <c r="C2531" t="n">
        <v>15</v>
      </c>
      <c r="D2531" t="n">
        <v>9</v>
      </c>
      <c r="E2531" s="10" t="n">
        <v>0.560602</v>
      </c>
      <c r="F2531" s="10" t="n">
        <v>0.1840951161828279</v>
      </c>
      <c r="G2531" s="11">
        <f>E2531*Summary!$B$6</f>
        <v/>
      </c>
      <c r="H2531" s="11">
        <f>F2531*Summary!$B$7</f>
        <v/>
      </c>
      <c r="I2531" s="11">
        <f>MAX(0,N2531-M2531)</f>
        <v/>
      </c>
      <c r="J2531" s="11">
        <f>MAX(0,M2531-N2531)</f>
        <v/>
      </c>
      <c r="K2531" s="11">
        <f>O2531</f>
        <v/>
      </c>
      <c r="L2531" s="11">
        <f>L2530+IF(K2531&gt;0,K2531*Summary!$B$9,K2531/Summary!$B$9)</f>
        <v/>
      </c>
      <c r="M2531" s="11">
        <f>G2531+H2531</f>
        <v/>
      </c>
      <c r="N2531" s="11">
        <f>Summary!$C$16*Summary!$B$8</f>
        <v/>
      </c>
      <c r="O2531" s="11">
        <f>M2531-N2531</f>
        <v/>
      </c>
    </row>
    <row r="2532">
      <c r="A2532" s="9" t="n">
        <v>45397.41666666666</v>
      </c>
      <c r="B2532" t="n">
        <v>4</v>
      </c>
      <c r="C2532" t="n">
        <v>15</v>
      </c>
      <c r="D2532" t="n">
        <v>10</v>
      </c>
      <c r="E2532" s="10" t="n">
        <v>0.459709</v>
      </c>
      <c r="F2532" s="10" t="n">
        <v>0.1881006211441491</v>
      </c>
      <c r="G2532" s="11">
        <f>E2532*Summary!$B$6</f>
        <v/>
      </c>
      <c r="H2532" s="11">
        <f>F2532*Summary!$B$7</f>
        <v/>
      </c>
      <c r="I2532" s="11">
        <f>MAX(0,N2532-M2532)</f>
        <v/>
      </c>
      <c r="J2532" s="11">
        <f>MAX(0,M2532-N2532)</f>
        <v/>
      </c>
      <c r="K2532" s="11">
        <f>O2532</f>
        <v/>
      </c>
      <c r="L2532" s="11">
        <f>L2531+IF(K2532&gt;0,K2532*Summary!$B$9,K2532/Summary!$B$9)</f>
        <v/>
      </c>
      <c r="M2532" s="11">
        <f>G2532+H2532</f>
        <v/>
      </c>
      <c r="N2532" s="11">
        <f>Summary!$C$16*Summary!$B$8</f>
        <v/>
      </c>
      <c r="O2532" s="11">
        <f>M2532-N2532</f>
        <v/>
      </c>
    </row>
    <row r="2533">
      <c r="A2533" s="9" t="n">
        <v>45397.45833333334</v>
      </c>
      <c r="B2533" t="n">
        <v>4</v>
      </c>
      <c r="C2533" t="n">
        <v>15</v>
      </c>
      <c r="D2533" t="n">
        <v>11</v>
      </c>
      <c r="E2533" s="10" t="n">
        <v>0.748397</v>
      </c>
      <c r="F2533" s="10" t="n">
        <v>0.1905777097386503</v>
      </c>
      <c r="G2533" s="11">
        <f>E2533*Summary!$B$6</f>
        <v/>
      </c>
      <c r="H2533" s="11">
        <f>F2533*Summary!$B$7</f>
        <v/>
      </c>
      <c r="I2533" s="11">
        <f>MAX(0,N2533-M2533)</f>
        <v/>
      </c>
      <c r="J2533" s="11">
        <f>MAX(0,M2533-N2533)</f>
        <v/>
      </c>
      <c r="K2533" s="11">
        <f>O2533</f>
        <v/>
      </c>
      <c r="L2533" s="11">
        <f>L2532+IF(K2533&gt;0,K2533*Summary!$B$9,K2533/Summary!$B$9)</f>
        <v/>
      </c>
      <c r="M2533" s="11">
        <f>G2533+H2533</f>
        <v/>
      </c>
      <c r="N2533" s="11">
        <f>Summary!$C$16*Summary!$B$8</f>
        <v/>
      </c>
      <c r="O2533" s="11">
        <f>M2533-N2533</f>
        <v/>
      </c>
    </row>
    <row r="2534">
      <c r="A2534" s="9" t="n">
        <v>45397.5</v>
      </c>
      <c r="B2534" t="n">
        <v>4</v>
      </c>
      <c r="C2534" t="n">
        <v>15</v>
      </c>
      <c r="D2534" t="n">
        <v>12</v>
      </c>
      <c r="E2534" s="10" t="n">
        <v>0.754058</v>
      </c>
      <c r="F2534" s="10" t="n">
        <v>0.2053611852866845</v>
      </c>
      <c r="G2534" s="11">
        <f>E2534*Summary!$B$6</f>
        <v/>
      </c>
      <c r="H2534" s="11">
        <f>F2534*Summary!$B$7</f>
        <v/>
      </c>
      <c r="I2534" s="11">
        <f>MAX(0,N2534-M2534)</f>
        <v/>
      </c>
      <c r="J2534" s="11">
        <f>MAX(0,M2534-N2534)</f>
        <v/>
      </c>
      <c r="K2534" s="11">
        <f>O2534</f>
        <v/>
      </c>
      <c r="L2534" s="11">
        <f>L2533+IF(K2534&gt;0,K2534*Summary!$B$9,K2534/Summary!$B$9)</f>
        <v/>
      </c>
      <c r="M2534" s="11">
        <f>G2534+H2534</f>
        <v/>
      </c>
      <c r="N2534" s="11">
        <f>Summary!$C$16*Summary!$B$8</f>
        <v/>
      </c>
      <c r="O2534" s="11">
        <f>M2534-N2534</f>
        <v/>
      </c>
    </row>
    <row r="2535">
      <c r="A2535" s="9" t="n">
        <v>45397.54166666666</v>
      </c>
      <c r="B2535" t="n">
        <v>4</v>
      </c>
      <c r="C2535" t="n">
        <v>15</v>
      </c>
      <c r="D2535" t="n">
        <v>13</v>
      </c>
      <c r="E2535" s="10" t="n">
        <v>0.754058</v>
      </c>
      <c r="F2535" s="10" t="n">
        <v>0.2006441761546023</v>
      </c>
      <c r="G2535" s="11">
        <f>E2535*Summary!$B$6</f>
        <v/>
      </c>
      <c r="H2535" s="11">
        <f>F2535*Summary!$B$7</f>
        <v/>
      </c>
      <c r="I2535" s="11">
        <f>MAX(0,N2535-M2535)</f>
        <v/>
      </c>
      <c r="J2535" s="11">
        <f>MAX(0,M2535-N2535)</f>
        <v/>
      </c>
      <c r="K2535" s="11">
        <f>O2535</f>
        <v/>
      </c>
      <c r="L2535" s="11">
        <f>L2534+IF(K2535&gt;0,K2535*Summary!$B$9,K2535/Summary!$B$9)</f>
        <v/>
      </c>
      <c r="M2535" s="11">
        <f>G2535+H2535</f>
        <v/>
      </c>
      <c r="N2535" s="11">
        <f>Summary!$C$16*Summary!$B$8</f>
        <v/>
      </c>
      <c r="O2535" s="11">
        <f>M2535-N2535</f>
        <v/>
      </c>
    </row>
    <row r="2536">
      <c r="A2536" s="9" t="n">
        <v>45397.58333333334</v>
      </c>
      <c r="B2536" t="n">
        <v>4</v>
      </c>
      <c r="C2536" t="n">
        <v>15</v>
      </c>
      <c r="D2536" t="n">
        <v>14</v>
      </c>
      <c r="E2536" s="10" t="n">
        <v>0.733235</v>
      </c>
      <c r="F2536" s="10" t="n">
        <v>0.2030949127427791</v>
      </c>
      <c r="G2536" s="11">
        <f>E2536*Summary!$B$6</f>
        <v/>
      </c>
      <c r="H2536" s="11">
        <f>F2536*Summary!$B$7</f>
        <v/>
      </c>
      <c r="I2536" s="11">
        <f>MAX(0,N2536-M2536)</f>
        <v/>
      </c>
      <c r="J2536" s="11">
        <f>MAX(0,M2536-N2536)</f>
        <v/>
      </c>
      <c r="K2536" s="11">
        <f>O2536</f>
        <v/>
      </c>
      <c r="L2536" s="11">
        <f>L2535+IF(K2536&gt;0,K2536*Summary!$B$9,K2536/Summary!$B$9)</f>
        <v/>
      </c>
      <c r="M2536" s="11">
        <f>G2536+H2536</f>
        <v/>
      </c>
      <c r="N2536" s="11">
        <f>Summary!$C$16*Summary!$B$8</f>
        <v/>
      </c>
      <c r="O2536" s="11">
        <f>M2536-N2536</f>
        <v/>
      </c>
    </row>
    <row r="2537">
      <c r="A2537" s="9" t="n">
        <v>45397.625</v>
      </c>
      <c r="B2537" t="n">
        <v>4</v>
      </c>
      <c r="C2537" t="n">
        <v>15</v>
      </c>
      <c r="D2537" t="n">
        <v>15</v>
      </c>
      <c r="E2537" s="10" t="n">
        <v>0.573954</v>
      </c>
      <c r="F2537" s="10" t="n">
        <v>0.2086288340709202</v>
      </c>
      <c r="G2537" s="11">
        <f>E2537*Summary!$B$6</f>
        <v/>
      </c>
      <c r="H2537" s="11">
        <f>F2537*Summary!$B$7</f>
        <v/>
      </c>
      <c r="I2537" s="11">
        <f>MAX(0,N2537-M2537)</f>
        <v/>
      </c>
      <c r="J2537" s="11">
        <f>MAX(0,M2537-N2537)</f>
        <v/>
      </c>
      <c r="K2537" s="11">
        <f>O2537</f>
        <v/>
      </c>
      <c r="L2537" s="11">
        <f>L2536+IF(K2537&gt;0,K2537*Summary!$B$9,K2537/Summary!$B$9)</f>
        <v/>
      </c>
      <c r="M2537" s="11">
        <f>G2537+H2537</f>
        <v/>
      </c>
      <c r="N2537" s="11">
        <f>Summary!$C$16*Summary!$B$8</f>
        <v/>
      </c>
      <c r="O2537" s="11">
        <f>M2537-N2537</f>
        <v/>
      </c>
    </row>
    <row r="2538">
      <c r="A2538" s="9" t="n">
        <v>45397.66666666666</v>
      </c>
      <c r="B2538" t="n">
        <v>4</v>
      </c>
      <c r="C2538" t="n">
        <v>15</v>
      </c>
      <c r="D2538" t="n">
        <v>16</v>
      </c>
      <c r="E2538" s="10" t="n">
        <v>0.363108</v>
      </c>
      <c r="F2538" s="10" t="n">
        <v>0.2156384677532323</v>
      </c>
      <c r="G2538" s="11">
        <f>E2538*Summary!$B$6</f>
        <v/>
      </c>
      <c r="H2538" s="11">
        <f>F2538*Summary!$B$7</f>
        <v/>
      </c>
      <c r="I2538" s="11">
        <f>MAX(0,N2538-M2538)</f>
        <v/>
      </c>
      <c r="J2538" s="11">
        <f>MAX(0,M2538-N2538)</f>
        <v/>
      </c>
      <c r="K2538" s="11">
        <f>O2538</f>
        <v/>
      </c>
      <c r="L2538" s="11">
        <f>L2537+IF(K2538&gt;0,K2538*Summary!$B$9,K2538/Summary!$B$9)</f>
        <v/>
      </c>
      <c r="M2538" s="11">
        <f>G2538+H2538</f>
        <v/>
      </c>
      <c r="N2538" s="11">
        <f>Summary!$C$16*Summary!$B$8</f>
        <v/>
      </c>
      <c r="O2538" s="11">
        <f>M2538-N2538</f>
        <v/>
      </c>
    </row>
    <row r="2539">
      <c r="A2539" s="9" t="n">
        <v>45397.70833333334</v>
      </c>
      <c r="B2539" t="n">
        <v>4</v>
      </c>
      <c r="C2539" t="n">
        <v>15</v>
      </c>
      <c r="D2539" t="n">
        <v>17</v>
      </c>
      <c r="E2539" s="10" t="n">
        <v>0.124048</v>
      </c>
      <c r="F2539" s="10" t="n">
        <v>0.2245717978972315</v>
      </c>
      <c r="G2539" s="11">
        <f>E2539*Summary!$B$6</f>
        <v/>
      </c>
      <c r="H2539" s="11">
        <f>F2539*Summary!$B$7</f>
        <v/>
      </c>
      <c r="I2539" s="11">
        <f>MAX(0,N2539-M2539)</f>
        <v/>
      </c>
      <c r="J2539" s="11">
        <f>MAX(0,M2539-N2539)</f>
        <v/>
      </c>
      <c r="K2539" s="11">
        <f>O2539</f>
        <v/>
      </c>
      <c r="L2539" s="11">
        <f>L2538+IF(K2539&gt;0,K2539*Summary!$B$9,K2539/Summary!$B$9)</f>
        <v/>
      </c>
      <c r="M2539" s="11">
        <f>G2539+H2539</f>
        <v/>
      </c>
      <c r="N2539" s="11">
        <f>Summary!$C$16*Summary!$B$8</f>
        <v/>
      </c>
      <c r="O2539" s="11">
        <f>M2539-N2539</f>
        <v/>
      </c>
    </row>
    <row r="2540">
      <c r="A2540" s="9" t="n">
        <v>45397.75</v>
      </c>
      <c r="B2540" t="n">
        <v>4</v>
      </c>
      <c r="C2540" t="n">
        <v>15</v>
      </c>
      <c r="D2540" t="n">
        <v>18</v>
      </c>
      <c r="E2540" s="10" t="n">
        <v>0.029158</v>
      </c>
      <c r="F2540" s="10" t="n">
        <v>0.2433080743939379</v>
      </c>
      <c r="G2540" s="11">
        <f>E2540*Summary!$B$6</f>
        <v/>
      </c>
      <c r="H2540" s="11">
        <f>F2540*Summary!$B$7</f>
        <v/>
      </c>
      <c r="I2540" s="11">
        <f>MAX(0,N2540-M2540)</f>
        <v/>
      </c>
      <c r="J2540" s="11">
        <f>MAX(0,M2540-N2540)</f>
        <v/>
      </c>
      <c r="K2540" s="11">
        <f>O2540</f>
        <v/>
      </c>
      <c r="L2540" s="11">
        <f>L2539+IF(K2540&gt;0,K2540*Summary!$B$9,K2540/Summary!$B$9)</f>
        <v/>
      </c>
      <c r="M2540" s="11">
        <f>G2540+H2540</f>
        <v/>
      </c>
      <c r="N2540" s="11">
        <f>Summary!$C$16*Summary!$B$8</f>
        <v/>
      </c>
      <c r="O2540" s="11">
        <f>M2540-N2540</f>
        <v/>
      </c>
    </row>
    <row r="2541">
      <c r="A2541" s="9" t="n">
        <v>45397.79166666666</v>
      </c>
      <c r="B2541" t="n">
        <v>4</v>
      </c>
      <c r="C2541" t="n">
        <v>15</v>
      </c>
      <c r="D2541" t="n">
        <v>19</v>
      </c>
      <c r="E2541" s="10" t="n">
        <v>0</v>
      </c>
      <c r="F2541" s="10" t="n">
        <v>0.2677100322504077</v>
      </c>
      <c r="G2541" s="11">
        <f>E2541*Summary!$B$6</f>
        <v/>
      </c>
      <c r="H2541" s="11">
        <f>F2541*Summary!$B$7</f>
        <v/>
      </c>
      <c r="I2541" s="11">
        <f>MAX(0,N2541-M2541)</f>
        <v/>
      </c>
      <c r="J2541" s="11">
        <f>MAX(0,M2541-N2541)</f>
        <v/>
      </c>
      <c r="K2541" s="11">
        <f>O2541</f>
        <v/>
      </c>
      <c r="L2541" s="11">
        <f>L2540+IF(K2541&gt;0,K2541*Summary!$B$9,K2541/Summary!$B$9)</f>
        <v/>
      </c>
      <c r="M2541" s="11">
        <f>G2541+H2541</f>
        <v/>
      </c>
      <c r="N2541" s="11">
        <f>Summary!$C$16*Summary!$B$8</f>
        <v/>
      </c>
      <c r="O2541" s="11">
        <f>M2541-N2541</f>
        <v/>
      </c>
    </row>
    <row r="2542">
      <c r="A2542" s="9" t="n">
        <v>45397.83333333334</v>
      </c>
      <c r="B2542" t="n">
        <v>4</v>
      </c>
      <c r="C2542" t="n">
        <v>15</v>
      </c>
      <c r="D2542" t="n">
        <v>20</v>
      </c>
      <c r="E2542" s="10" t="n">
        <v>0</v>
      </c>
      <c r="F2542" s="10" t="n">
        <v>0.2847861323486718</v>
      </c>
      <c r="G2542" s="11">
        <f>E2542*Summary!$B$6</f>
        <v/>
      </c>
      <c r="H2542" s="11">
        <f>F2542*Summary!$B$7</f>
        <v/>
      </c>
      <c r="I2542" s="11">
        <f>MAX(0,N2542-M2542)</f>
        <v/>
      </c>
      <c r="J2542" s="11">
        <f>MAX(0,M2542-N2542)</f>
        <v/>
      </c>
      <c r="K2542" s="11">
        <f>O2542</f>
        <v/>
      </c>
      <c r="L2542" s="11">
        <f>L2541+IF(K2542&gt;0,K2542*Summary!$B$9,K2542/Summary!$B$9)</f>
        <v/>
      </c>
      <c r="M2542" s="11">
        <f>G2542+H2542</f>
        <v/>
      </c>
      <c r="N2542" s="11">
        <f>Summary!$C$16*Summary!$B$8</f>
        <v/>
      </c>
      <c r="O2542" s="11">
        <f>M2542-N2542</f>
        <v/>
      </c>
    </row>
    <row r="2543">
      <c r="A2543" s="9" t="n">
        <v>45397.875</v>
      </c>
      <c r="B2543" t="n">
        <v>4</v>
      </c>
      <c r="C2543" t="n">
        <v>15</v>
      </c>
      <c r="D2543" t="n">
        <v>21</v>
      </c>
      <c r="E2543" s="10" t="n">
        <v>0</v>
      </c>
      <c r="F2543" s="10" t="n">
        <v>0.2893186774364826</v>
      </c>
      <c r="G2543" s="11">
        <f>E2543*Summary!$B$6</f>
        <v/>
      </c>
      <c r="H2543" s="11">
        <f>F2543*Summary!$B$7</f>
        <v/>
      </c>
      <c r="I2543" s="11">
        <f>MAX(0,N2543-M2543)</f>
        <v/>
      </c>
      <c r="J2543" s="11">
        <f>MAX(0,M2543-N2543)</f>
        <v/>
      </c>
      <c r="K2543" s="11">
        <f>O2543</f>
        <v/>
      </c>
      <c r="L2543" s="11">
        <f>L2542+IF(K2543&gt;0,K2543*Summary!$B$9,K2543/Summary!$B$9)</f>
        <v/>
      </c>
      <c r="M2543" s="11">
        <f>G2543+H2543</f>
        <v/>
      </c>
      <c r="N2543" s="11">
        <f>Summary!$C$16*Summary!$B$8</f>
        <v/>
      </c>
      <c r="O2543" s="11">
        <f>M2543-N2543</f>
        <v/>
      </c>
    </row>
    <row r="2544">
      <c r="A2544" s="9" t="n">
        <v>45397.91666666666</v>
      </c>
      <c r="B2544" t="n">
        <v>4</v>
      </c>
      <c r="C2544" t="n">
        <v>15</v>
      </c>
      <c r="D2544" t="n">
        <v>22</v>
      </c>
      <c r="E2544" s="10" t="n">
        <v>0</v>
      </c>
      <c r="F2544" s="10" t="n">
        <v>0.2903991096957863</v>
      </c>
      <c r="G2544" s="11">
        <f>E2544*Summary!$B$6</f>
        <v/>
      </c>
      <c r="H2544" s="11">
        <f>F2544*Summary!$B$7</f>
        <v/>
      </c>
      <c r="I2544" s="11">
        <f>MAX(0,N2544-M2544)</f>
        <v/>
      </c>
      <c r="J2544" s="11">
        <f>MAX(0,M2544-N2544)</f>
        <v/>
      </c>
      <c r="K2544" s="11">
        <f>O2544</f>
        <v/>
      </c>
      <c r="L2544" s="11">
        <f>L2543+IF(K2544&gt;0,K2544*Summary!$B$9,K2544/Summary!$B$9)</f>
        <v/>
      </c>
      <c r="M2544" s="11">
        <f>G2544+H2544</f>
        <v/>
      </c>
      <c r="N2544" s="11">
        <f>Summary!$C$16*Summary!$B$8</f>
        <v/>
      </c>
      <c r="O2544" s="11">
        <f>M2544-N2544</f>
        <v/>
      </c>
    </row>
    <row r="2545">
      <c r="A2545" s="9" t="n">
        <v>45397.95833333334</v>
      </c>
      <c r="B2545" t="n">
        <v>4</v>
      </c>
      <c r="C2545" t="n">
        <v>15</v>
      </c>
      <c r="D2545" t="n">
        <v>23</v>
      </c>
      <c r="E2545" s="10" t="n">
        <v>0</v>
      </c>
      <c r="F2545" s="10" t="n">
        <v>0.2980675435362105</v>
      </c>
      <c r="G2545" s="11">
        <f>E2545*Summary!$B$6</f>
        <v/>
      </c>
      <c r="H2545" s="11">
        <f>F2545*Summary!$B$7</f>
        <v/>
      </c>
      <c r="I2545" s="11">
        <f>MAX(0,N2545-M2545)</f>
        <v/>
      </c>
      <c r="J2545" s="11">
        <f>MAX(0,M2545-N2545)</f>
        <v/>
      </c>
      <c r="K2545" s="11">
        <f>O2545</f>
        <v/>
      </c>
      <c r="L2545" s="11">
        <f>L2544+IF(K2545&gt;0,K2545*Summary!$B$9,K2545/Summary!$B$9)</f>
        <v/>
      </c>
      <c r="M2545" s="11">
        <f>G2545+H2545</f>
        <v/>
      </c>
      <c r="N2545" s="11">
        <f>Summary!$C$16*Summary!$B$8</f>
        <v/>
      </c>
      <c r="O2545" s="11">
        <f>M2545-N2545</f>
        <v/>
      </c>
    </row>
    <row r="2546">
      <c r="A2546" s="9" t="n">
        <v>45398</v>
      </c>
      <c r="B2546" t="n">
        <v>4</v>
      </c>
      <c r="C2546" t="n">
        <v>16</v>
      </c>
      <c r="D2546" t="n">
        <v>0</v>
      </c>
      <c r="E2546" s="10" t="n">
        <v>0</v>
      </c>
      <c r="F2546" s="10" t="n">
        <v>0.1967704312249035</v>
      </c>
      <c r="G2546" s="11">
        <f>E2546*Summary!$B$6</f>
        <v/>
      </c>
      <c r="H2546" s="11">
        <f>F2546*Summary!$B$7</f>
        <v/>
      </c>
      <c r="I2546" s="11">
        <f>MAX(0,N2546-M2546)</f>
        <v/>
      </c>
      <c r="J2546" s="11">
        <f>MAX(0,M2546-N2546)</f>
        <v/>
      </c>
      <c r="K2546" s="11">
        <f>O2546</f>
        <v/>
      </c>
      <c r="L2546" s="11">
        <f>L2545+IF(K2546&gt;0,K2546*Summary!$B$9,K2546/Summary!$B$9)</f>
        <v/>
      </c>
      <c r="M2546" s="11">
        <f>G2546+H2546</f>
        <v/>
      </c>
      <c r="N2546" s="11">
        <f>Summary!$C$16*Summary!$B$8</f>
        <v/>
      </c>
      <c r="O2546" s="11">
        <f>M2546-N2546</f>
        <v/>
      </c>
    </row>
    <row r="2547">
      <c r="A2547" s="9" t="n">
        <v>45398.04166666666</v>
      </c>
      <c r="B2547" t="n">
        <v>4</v>
      </c>
      <c r="C2547" t="n">
        <v>16</v>
      </c>
      <c r="D2547" t="n">
        <v>1</v>
      </c>
      <c r="E2547" s="10" t="n">
        <v>0</v>
      </c>
      <c r="F2547" s="10" t="n">
        <v>0.3089772741545458</v>
      </c>
      <c r="G2547" s="11">
        <f>E2547*Summary!$B$6</f>
        <v/>
      </c>
      <c r="H2547" s="11">
        <f>F2547*Summary!$B$7</f>
        <v/>
      </c>
      <c r="I2547" s="11">
        <f>MAX(0,N2547-M2547)</f>
        <v/>
      </c>
      <c r="J2547" s="11">
        <f>MAX(0,M2547-N2547)</f>
        <v/>
      </c>
      <c r="K2547" s="11">
        <f>O2547</f>
        <v/>
      </c>
      <c r="L2547" s="11">
        <f>L2546+IF(K2547&gt;0,K2547*Summary!$B$9,K2547/Summary!$B$9)</f>
        <v/>
      </c>
      <c r="M2547" s="11">
        <f>G2547+H2547</f>
        <v/>
      </c>
      <c r="N2547" s="11">
        <f>Summary!$C$16*Summary!$B$8</f>
        <v/>
      </c>
      <c r="O2547" s="11">
        <f>M2547-N2547</f>
        <v/>
      </c>
    </row>
    <row r="2548">
      <c r="A2548" s="9" t="n">
        <v>45398.08333333334</v>
      </c>
      <c r="B2548" t="n">
        <v>4</v>
      </c>
      <c r="C2548" t="n">
        <v>16</v>
      </c>
      <c r="D2548" t="n">
        <v>2</v>
      </c>
      <c r="E2548" s="10" t="n">
        <v>0</v>
      </c>
      <c r="F2548" s="10" t="n">
        <v>0.2977776714666411</v>
      </c>
      <c r="G2548" s="11">
        <f>E2548*Summary!$B$6</f>
        <v/>
      </c>
      <c r="H2548" s="11">
        <f>F2548*Summary!$B$7</f>
        <v/>
      </c>
      <c r="I2548" s="11">
        <f>MAX(0,N2548-M2548)</f>
        <v/>
      </c>
      <c r="J2548" s="11">
        <f>MAX(0,M2548-N2548)</f>
        <v/>
      </c>
      <c r="K2548" s="11">
        <f>O2548</f>
        <v/>
      </c>
      <c r="L2548" s="11">
        <f>L2547+IF(K2548&gt;0,K2548*Summary!$B$9,K2548/Summary!$B$9)</f>
        <v/>
      </c>
      <c r="M2548" s="11">
        <f>G2548+H2548</f>
        <v/>
      </c>
      <c r="N2548" s="11">
        <f>Summary!$C$16*Summary!$B$8</f>
        <v/>
      </c>
      <c r="O2548" s="11">
        <f>M2548-N2548</f>
        <v/>
      </c>
    </row>
    <row r="2549">
      <c r="A2549" s="9" t="n">
        <v>45398.125</v>
      </c>
      <c r="B2549" t="n">
        <v>4</v>
      </c>
      <c r="C2549" t="n">
        <v>16</v>
      </c>
      <c r="D2549" t="n">
        <v>3</v>
      </c>
      <c r="E2549" s="10" t="n">
        <v>0</v>
      </c>
      <c r="F2549" s="10" t="n">
        <v>0.296618183188364</v>
      </c>
      <c r="G2549" s="11">
        <f>E2549*Summary!$B$6</f>
        <v/>
      </c>
      <c r="H2549" s="11">
        <f>F2549*Summary!$B$7</f>
        <v/>
      </c>
      <c r="I2549" s="11">
        <f>MAX(0,N2549-M2549)</f>
        <v/>
      </c>
      <c r="J2549" s="11">
        <f>MAX(0,M2549-N2549)</f>
        <v/>
      </c>
      <c r="K2549" s="11">
        <f>O2549</f>
        <v/>
      </c>
      <c r="L2549" s="11">
        <f>L2548+IF(K2549&gt;0,K2549*Summary!$B$9,K2549/Summary!$B$9)</f>
        <v/>
      </c>
      <c r="M2549" s="11">
        <f>G2549+H2549</f>
        <v/>
      </c>
      <c r="N2549" s="11">
        <f>Summary!$C$16*Summary!$B$8</f>
        <v/>
      </c>
      <c r="O2549" s="11">
        <f>M2549-N2549</f>
        <v/>
      </c>
    </row>
    <row r="2550">
      <c r="A2550" s="9" t="n">
        <v>45398.16666666666</v>
      </c>
      <c r="B2550" t="n">
        <v>4</v>
      </c>
      <c r="C2550" t="n">
        <v>16</v>
      </c>
      <c r="D2550" t="n">
        <v>4</v>
      </c>
      <c r="E2550" s="10" t="n">
        <v>0</v>
      </c>
      <c r="F2550" s="10" t="n">
        <v>0.295089766821544</v>
      </c>
      <c r="G2550" s="11">
        <f>E2550*Summary!$B$6</f>
        <v/>
      </c>
      <c r="H2550" s="11">
        <f>F2550*Summary!$B$7</f>
        <v/>
      </c>
      <c r="I2550" s="11">
        <f>MAX(0,N2550-M2550)</f>
        <v/>
      </c>
      <c r="J2550" s="11">
        <f>MAX(0,M2550-N2550)</f>
        <v/>
      </c>
      <c r="K2550" s="11">
        <f>O2550</f>
        <v/>
      </c>
      <c r="L2550" s="11">
        <f>L2549+IF(K2550&gt;0,K2550*Summary!$B$9,K2550/Summary!$B$9)</f>
        <v/>
      </c>
      <c r="M2550" s="11">
        <f>G2550+H2550</f>
        <v/>
      </c>
      <c r="N2550" s="11">
        <f>Summary!$C$16*Summary!$B$8</f>
        <v/>
      </c>
      <c r="O2550" s="11">
        <f>M2550-N2550</f>
        <v/>
      </c>
    </row>
    <row r="2551">
      <c r="A2551" s="9" t="n">
        <v>45398.20833333334</v>
      </c>
      <c r="B2551" t="n">
        <v>4</v>
      </c>
      <c r="C2551" t="n">
        <v>16</v>
      </c>
      <c r="D2551" t="n">
        <v>5</v>
      </c>
      <c r="E2551" s="10" t="n">
        <v>0.00945</v>
      </c>
      <c r="F2551" s="10" t="n">
        <v>0.2807015713683771</v>
      </c>
      <c r="G2551" s="11">
        <f>E2551*Summary!$B$6</f>
        <v/>
      </c>
      <c r="H2551" s="11">
        <f>F2551*Summary!$B$7</f>
        <v/>
      </c>
      <c r="I2551" s="11">
        <f>MAX(0,N2551-M2551)</f>
        <v/>
      </c>
      <c r="J2551" s="11">
        <f>MAX(0,M2551-N2551)</f>
        <v/>
      </c>
      <c r="K2551" s="11">
        <f>O2551</f>
        <v/>
      </c>
      <c r="L2551" s="11">
        <f>L2550+IF(K2551&gt;0,K2551*Summary!$B$9,K2551/Summary!$B$9)</f>
        <v/>
      </c>
      <c r="M2551" s="11">
        <f>G2551+H2551</f>
        <v/>
      </c>
      <c r="N2551" s="11">
        <f>Summary!$C$16*Summary!$B$8</f>
        <v/>
      </c>
      <c r="O2551" s="11">
        <f>M2551-N2551</f>
        <v/>
      </c>
    </row>
    <row r="2552">
      <c r="A2552" s="9" t="n">
        <v>45398.25</v>
      </c>
      <c r="B2552" t="n">
        <v>4</v>
      </c>
      <c r="C2552" t="n">
        <v>16</v>
      </c>
      <c r="D2552" t="n">
        <v>6</v>
      </c>
      <c r="E2552" s="10" t="n">
        <v>0.06038</v>
      </c>
      <c r="F2552" s="10" t="n">
        <v>0.2511082682659844</v>
      </c>
      <c r="G2552" s="11">
        <f>E2552*Summary!$B$6</f>
        <v/>
      </c>
      <c r="H2552" s="11">
        <f>F2552*Summary!$B$7</f>
        <v/>
      </c>
      <c r="I2552" s="11">
        <f>MAX(0,N2552-M2552)</f>
        <v/>
      </c>
      <c r="J2552" s="11">
        <f>MAX(0,M2552-N2552)</f>
        <v/>
      </c>
      <c r="K2552" s="11">
        <f>O2552</f>
        <v/>
      </c>
      <c r="L2552" s="11">
        <f>L2551+IF(K2552&gt;0,K2552*Summary!$B$9,K2552/Summary!$B$9)</f>
        <v/>
      </c>
      <c r="M2552" s="11">
        <f>G2552+H2552</f>
        <v/>
      </c>
      <c r="N2552" s="11">
        <f>Summary!$C$16*Summary!$B$8</f>
        <v/>
      </c>
      <c r="O2552" s="11">
        <f>M2552-N2552</f>
        <v/>
      </c>
    </row>
    <row r="2553">
      <c r="A2553" s="9" t="n">
        <v>45398.29166666666</v>
      </c>
      <c r="B2553" t="n">
        <v>4</v>
      </c>
      <c r="C2553" t="n">
        <v>16</v>
      </c>
      <c r="D2553" t="n">
        <v>7</v>
      </c>
      <c r="E2553" s="10" t="n">
        <v>0.255626</v>
      </c>
      <c r="F2553" s="10" t="n">
        <v>0.2143999234559816</v>
      </c>
      <c r="G2553" s="11">
        <f>E2553*Summary!$B$6</f>
        <v/>
      </c>
      <c r="H2553" s="11">
        <f>F2553*Summary!$B$7</f>
        <v/>
      </c>
      <c r="I2553" s="11">
        <f>MAX(0,N2553-M2553)</f>
        <v/>
      </c>
      <c r="J2553" s="11">
        <f>MAX(0,M2553-N2553)</f>
        <v/>
      </c>
      <c r="K2553" s="11">
        <f>O2553</f>
        <v/>
      </c>
      <c r="L2553" s="11">
        <f>L2552+IF(K2553&gt;0,K2553*Summary!$B$9,K2553/Summary!$B$9)</f>
        <v/>
      </c>
      <c r="M2553" s="11">
        <f>G2553+H2553</f>
        <v/>
      </c>
      <c r="N2553" s="11">
        <f>Summary!$C$16*Summary!$B$8</f>
        <v/>
      </c>
      <c r="O2553" s="11">
        <f>M2553-N2553</f>
        <v/>
      </c>
    </row>
    <row r="2554">
      <c r="A2554" s="9" t="n">
        <v>45398.33333333334</v>
      </c>
      <c r="B2554" t="n">
        <v>4</v>
      </c>
      <c r="C2554" t="n">
        <v>16</v>
      </c>
      <c r="D2554" t="n">
        <v>8</v>
      </c>
      <c r="E2554" s="10" t="n">
        <v>0.513363</v>
      </c>
      <c r="F2554" s="10" t="n">
        <v>0.1915790859789807</v>
      </c>
      <c r="G2554" s="11">
        <f>E2554*Summary!$B$6</f>
        <v/>
      </c>
      <c r="H2554" s="11">
        <f>F2554*Summary!$B$7</f>
        <v/>
      </c>
      <c r="I2554" s="11">
        <f>MAX(0,N2554-M2554)</f>
        <v/>
      </c>
      <c r="J2554" s="11">
        <f>MAX(0,M2554-N2554)</f>
        <v/>
      </c>
      <c r="K2554" s="11">
        <f>O2554</f>
        <v/>
      </c>
      <c r="L2554" s="11">
        <f>L2553+IF(K2554&gt;0,K2554*Summary!$B$9,K2554/Summary!$B$9)</f>
        <v/>
      </c>
      <c r="M2554" s="11">
        <f>G2554+H2554</f>
        <v/>
      </c>
      <c r="N2554" s="11">
        <f>Summary!$C$16*Summary!$B$8</f>
        <v/>
      </c>
      <c r="O2554" s="11">
        <f>M2554-N2554</f>
        <v/>
      </c>
    </row>
    <row r="2555">
      <c r="A2555" s="9" t="n">
        <v>45398.375</v>
      </c>
      <c r="B2555" t="n">
        <v>4</v>
      </c>
      <c r="C2555" t="n">
        <v>16</v>
      </c>
      <c r="D2555" t="n">
        <v>9</v>
      </c>
      <c r="E2555" s="10" t="n">
        <v>0.680416</v>
      </c>
      <c r="F2555" s="10" t="n">
        <v>0.1817761396262735</v>
      </c>
      <c r="G2555" s="11">
        <f>E2555*Summary!$B$6</f>
        <v/>
      </c>
      <c r="H2555" s="11">
        <f>F2555*Summary!$B$7</f>
        <v/>
      </c>
      <c r="I2555" s="11">
        <f>MAX(0,N2555-M2555)</f>
        <v/>
      </c>
      <c r="J2555" s="11">
        <f>MAX(0,M2555-N2555)</f>
        <v/>
      </c>
      <c r="K2555" s="11">
        <f>O2555</f>
        <v/>
      </c>
      <c r="L2555" s="11">
        <f>L2554+IF(K2555&gt;0,K2555*Summary!$B$9,K2555/Summary!$B$9)</f>
        <v/>
      </c>
      <c r="M2555" s="11">
        <f>G2555+H2555</f>
        <v/>
      </c>
      <c r="N2555" s="11">
        <f>Summary!$C$16*Summary!$B$8</f>
        <v/>
      </c>
      <c r="O2555" s="11">
        <f>M2555-N2555</f>
        <v/>
      </c>
    </row>
    <row r="2556">
      <c r="A2556" s="9" t="n">
        <v>45398.41666666666</v>
      </c>
      <c r="B2556" t="n">
        <v>4</v>
      </c>
      <c r="C2556" t="n">
        <v>16</v>
      </c>
      <c r="D2556" t="n">
        <v>10</v>
      </c>
      <c r="E2556" s="10" t="n">
        <v>0.754058</v>
      </c>
      <c r="F2556" s="10" t="n">
        <v>0.1793781070507457</v>
      </c>
      <c r="G2556" s="11">
        <f>E2556*Summary!$B$6</f>
        <v/>
      </c>
      <c r="H2556" s="11">
        <f>F2556*Summary!$B$7</f>
        <v/>
      </c>
      <c r="I2556" s="11">
        <f>MAX(0,N2556-M2556)</f>
        <v/>
      </c>
      <c r="J2556" s="11">
        <f>MAX(0,M2556-N2556)</f>
        <v/>
      </c>
      <c r="K2556" s="11">
        <f>O2556</f>
        <v/>
      </c>
      <c r="L2556" s="11">
        <f>L2555+IF(K2556&gt;0,K2556*Summary!$B$9,K2556/Summary!$B$9)</f>
        <v/>
      </c>
      <c r="M2556" s="11">
        <f>G2556+H2556</f>
        <v/>
      </c>
      <c r="N2556" s="11">
        <f>Summary!$C$16*Summary!$B$8</f>
        <v/>
      </c>
      <c r="O2556" s="11">
        <f>M2556-N2556</f>
        <v/>
      </c>
    </row>
    <row r="2557">
      <c r="A2557" s="9" t="n">
        <v>45398.45833333334</v>
      </c>
      <c r="B2557" t="n">
        <v>4</v>
      </c>
      <c r="C2557" t="n">
        <v>16</v>
      </c>
      <c r="D2557" t="n">
        <v>11</v>
      </c>
      <c r="E2557" s="10" t="n">
        <v>0.754058</v>
      </c>
      <c r="F2557" s="10" t="n">
        <v>0.1944251026620246</v>
      </c>
      <c r="G2557" s="11">
        <f>E2557*Summary!$B$6</f>
        <v/>
      </c>
      <c r="H2557" s="11">
        <f>F2557*Summary!$B$7</f>
        <v/>
      </c>
      <c r="I2557" s="11">
        <f>MAX(0,N2557-M2557)</f>
        <v/>
      </c>
      <c r="J2557" s="11">
        <f>MAX(0,M2557-N2557)</f>
        <v/>
      </c>
      <c r="K2557" s="11">
        <f>O2557</f>
        <v/>
      </c>
      <c r="L2557" s="11">
        <f>L2556+IF(K2557&gt;0,K2557*Summary!$B$9,K2557/Summary!$B$9)</f>
        <v/>
      </c>
      <c r="M2557" s="11">
        <f>G2557+H2557</f>
        <v/>
      </c>
      <c r="N2557" s="11">
        <f>Summary!$C$16*Summary!$B$8</f>
        <v/>
      </c>
      <c r="O2557" s="11">
        <f>M2557-N2557</f>
        <v/>
      </c>
    </row>
    <row r="2558">
      <c r="A2558" s="9" t="n">
        <v>45398.5</v>
      </c>
      <c r="B2558" t="n">
        <v>4</v>
      </c>
      <c r="C2558" t="n">
        <v>16</v>
      </c>
      <c r="D2558" t="n">
        <v>12</v>
      </c>
      <c r="E2558" s="10" t="n">
        <v>0.57885</v>
      </c>
      <c r="F2558" s="10" t="n">
        <v>0.1769537224688934</v>
      </c>
      <c r="G2558" s="11">
        <f>E2558*Summary!$B$6</f>
        <v/>
      </c>
      <c r="H2558" s="11">
        <f>F2558*Summary!$B$7</f>
        <v/>
      </c>
      <c r="I2558" s="11">
        <f>MAX(0,N2558-M2558)</f>
        <v/>
      </c>
      <c r="J2558" s="11">
        <f>MAX(0,M2558-N2558)</f>
        <v/>
      </c>
      <c r="K2558" s="11">
        <f>O2558</f>
        <v/>
      </c>
      <c r="L2558" s="11">
        <f>L2557+IF(K2558&gt;0,K2558*Summary!$B$9,K2558/Summary!$B$9)</f>
        <v/>
      </c>
      <c r="M2558" s="11">
        <f>G2558+H2558</f>
        <v/>
      </c>
      <c r="N2558" s="11">
        <f>Summary!$C$16*Summary!$B$8</f>
        <v/>
      </c>
      <c r="O2558" s="11">
        <f>M2558-N2558</f>
        <v/>
      </c>
    </row>
    <row r="2559">
      <c r="A2559" s="9" t="n">
        <v>45398.54166666666</v>
      </c>
      <c r="B2559" t="n">
        <v>4</v>
      </c>
      <c r="C2559" t="n">
        <v>16</v>
      </c>
      <c r="D2559" t="n">
        <v>13</v>
      </c>
      <c r="E2559" s="10" t="n">
        <v>0.333781</v>
      </c>
      <c r="F2559" s="10" t="n">
        <v>0.1871255969101432</v>
      </c>
      <c r="G2559" s="11">
        <f>E2559*Summary!$B$6</f>
        <v/>
      </c>
      <c r="H2559" s="11">
        <f>F2559*Summary!$B$7</f>
        <v/>
      </c>
      <c r="I2559" s="11">
        <f>MAX(0,N2559-M2559)</f>
        <v/>
      </c>
      <c r="J2559" s="11">
        <f>MAX(0,M2559-N2559)</f>
        <v/>
      </c>
      <c r="K2559" s="11">
        <f>O2559</f>
        <v/>
      </c>
      <c r="L2559" s="11">
        <f>L2558+IF(K2559&gt;0,K2559*Summary!$B$9,K2559/Summary!$B$9)</f>
        <v/>
      </c>
      <c r="M2559" s="11">
        <f>G2559+H2559</f>
        <v/>
      </c>
      <c r="N2559" s="11">
        <f>Summary!$C$16*Summary!$B$8</f>
        <v/>
      </c>
      <c r="O2559" s="11">
        <f>M2559-N2559</f>
        <v/>
      </c>
    </row>
    <row r="2560">
      <c r="A2560" s="9" t="n">
        <v>45398.58333333334</v>
      </c>
      <c r="B2560" t="n">
        <v>4</v>
      </c>
      <c r="C2560" t="n">
        <v>16</v>
      </c>
      <c r="D2560" t="n">
        <v>14</v>
      </c>
      <c r="E2560" s="10" t="n">
        <v>0.106283</v>
      </c>
      <c r="F2560" s="10" t="n">
        <v>0.1839106521385565</v>
      </c>
      <c r="G2560" s="11">
        <f>E2560*Summary!$B$6</f>
        <v/>
      </c>
      <c r="H2560" s="11">
        <f>F2560*Summary!$B$7</f>
        <v/>
      </c>
      <c r="I2560" s="11">
        <f>MAX(0,N2560-M2560)</f>
        <v/>
      </c>
      <c r="J2560" s="11">
        <f>MAX(0,M2560-N2560)</f>
        <v/>
      </c>
      <c r="K2560" s="11">
        <f>O2560</f>
        <v/>
      </c>
      <c r="L2560" s="11">
        <f>L2559+IF(K2560&gt;0,K2560*Summary!$B$9,K2560/Summary!$B$9)</f>
        <v/>
      </c>
      <c r="M2560" s="11">
        <f>G2560+H2560</f>
        <v/>
      </c>
      <c r="N2560" s="11">
        <f>Summary!$C$16*Summary!$B$8</f>
        <v/>
      </c>
      <c r="O2560" s="11">
        <f>M2560-N2560</f>
        <v/>
      </c>
    </row>
    <row r="2561">
      <c r="A2561" s="9" t="n">
        <v>45398.625</v>
      </c>
      <c r="B2561" t="n">
        <v>4</v>
      </c>
      <c r="C2561" t="n">
        <v>16</v>
      </c>
      <c r="D2561" t="n">
        <v>15</v>
      </c>
      <c r="E2561" s="10" t="n">
        <v>0.175997</v>
      </c>
      <c r="F2561" s="10" t="n">
        <v>0.1807220593732942</v>
      </c>
      <c r="G2561" s="11">
        <f>E2561*Summary!$B$6</f>
        <v/>
      </c>
      <c r="H2561" s="11">
        <f>F2561*Summary!$B$7</f>
        <v/>
      </c>
      <c r="I2561" s="11">
        <f>MAX(0,N2561-M2561)</f>
        <v/>
      </c>
      <c r="J2561" s="11">
        <f>MAX(0,M2561-N2561)</f>
        <v/>
      </c>
      <c r="K2561" s="11">
        <f>O2561</f>
        <v/>
      </c>
      <c r="L2561" s="11">
        <f>L2560+IF(K2561&gt;0,K2561*Summary!$B$9,K2561/Summary!$B$9)</f>
        <v/>
      </c>
      <c r="M2561" s="11">
        <f>G2561+H2561</f>
        <v/>
      </c>
      <c r="N2561" s="11">
        <f>Summary!$C$16*Summary!$B$8</f>
        <v/>
      </c>
      <c r="O2561" s="11">
        <f>M2561-N2561</f>
        <v/>
      </c>
    </row>
    <row r="2562">
      <c r="A2562" s="9" t="n">
        <v>45398.66666666666</v>
      </c>
      <c r="B2562" t="n">
        <v>4</v>
      </c>
      <c r="C2562" t="n">
        <v>16</v>
      </c>
      <c r="D2562" t="n">
        <v>16</v>
      </c>
      <c r="E2562" s="10" t="n">
        <v>0.106756</v>
      </c>
      <c r="F2562" s="10" t="n">
        <v>0.1885222532453408</v>
      </c>
      <c r="G2562" s="11">
        <f>E2562*Summary!$B$6</f>
        <v/>
      </c>
      <c r="H2562" s="11">
        <f>F2562*Summary!$B$7</f>
        <v/>
      </c>
      <c r="I2562" s="11">
        <f>MAX(0,N2562-M2562)</f>
        <v/>
      </c>
      <c r="J2562" s="11">
        <f>MAX(0,M2562-N2562)</f>
        <v/>
      </c>
      <c r="K2562" s="11">
        <f>O2562</f>
        <v/>
      </c>
      <c r="L2562" s="11">
        <f>L2561+IF(K2562&gt;0,K2562*Summary!$B$9,K2562/Summary!$B$9)</f>
        <v/>
      </c>
      <c r="M2562" s="11">
        <f>G2562+H2562</f>
        <v/>
      </c>
      <c r="N2562" s="11">
        <f>Summary!$C$16*Summary!$B$8</f>
        <v/>
      </c>
      <c r="O2562" s="11">
        <f>M2562-N2562</f>
        <v/>
      </c>
    </row>
    <row r="2563">
      <c r="A2563" s="9" t="n">
        <v>45398.70833333334</v>
      </c>
      <c r="B2563" t="n">
        <v>4</v>
      </c>
      <c r="C2563" t="n">
        <v>16</v>
      </c>
      <c r="D2563" t="n">
        <v>17</v>
      </c>
      <c r="E2563" s="10" t="n">
        <v>0.04856</v>
      </c>
      <c r="F2563" s="10" t="n">
        <v>0.1613533347248003</v>
      </c>
      <c r="G2563" s="11">
        <f>E2563*Summary!$B$6</f>
        <v/>
      </c>
      <c r="H2563" s="11">
        <f>F2563*Summary!$B$7</f>
        <v/>
      </c>
      <c r="I2563" s="11">
        <f>MAX(0,N2563-M2563)</f>
        <v/>
      </c>
      <c r="J2563" s="11">
        <f>MAX(0,M2563-N2563)</f>
        <v/>
      </c>
      <c r="K2563" s="11">
        <f>O2563</f>
        <v/>
      </c>
      <c r="L2563" s="11">
        <f>L2562+IF(K2563&gt;0,K2563*Summary!$B$9,K2563/Summary!$B$9)</f>
        <v/>
      </c>
      <c r="M2563" s="11">
        <f>G2563+H2563</f>
        <v/>
      </c>
      <c r="N2563" s="11">
        <f>Summary!$C$16*Summary!$B$8</f>
        <v/>
      </c>
      <c r="O2563" s="11">
        <f>M2563-N2563</f>
        <v/>
      </c>
    </row>
    <row r="2564">
      <c r="A2564" s="9" t="n">
        <v>45398.75</v>
      </c>
      <c r="B2564" t="n">
        <v>4</v>
      </c>
      <c r="C2564" t="n">
        <v>16</v>
      </c>
      <c r="D2564" t="n">
        <v>18</v>
      </c>
      <c r="E2564" s="10" t="n">
        <v>0.015421</v>
      </c>
      <c r="F2564" s="10" t="n">
        <v>0.1635405512497323</v>
      </c>
      <c r="G2564" s="11">
        <f>E2564*Summary!$B$6</f>
        <v/>
      </c>
      <c r="H2564" s="11">
        <f>F2564*Summary!$B$7</f>
        <v/>
      </c>
      <c r="I2564" s="11">
        <f>MAX(0,N2564-M2564)</f>
        <v/>
      </c>
      <c r="J2564" s="11">
        <f>MAX(0,M2564-N2564)</f>
        <v/>
      </c>
      <c r="K2564" s="11">
        <f>O2564</f>
        <v/>
      </c>
      <c r="L2564" s="11">
        <f>L2563+IF(K2564&gt;0,K2564*Summary!$B$9,K2564/Summary!$B$9)</f>
        <v/>
      </c>
      <c r="M2564" s="11">
        <f>G2564+H2564</f>
        <v/>
      </c>
      <c r="N2564" s="11">
        <f>Summary!$C$16*Summary!$B$8</f>
        <v/>
      </c>
      <c r="O2564" s="11">
        <f>M2564-N2564</f>
        <v/>
      </c>
    </row>
    <row r="2565">
      <c r="A2565" s="9" t="n">
        <v>45398.79166666666</v>
      </c>
      <c r="B2565" t="n">
        <v>4</v>
      </c>
      <c r="C2565" t="n">
        <v>16</v>
      </c>
      <c r="D2565" t="n">
        <v>19</v>
      </c>
      <c r="E2565" s="10" t="n">
        <v>0</v>
      </c>
      <c r="F2565" s="10" t="n">
        <v>0.1770591304941913</v>
      </c>
      <c r="G2565" s="11">
        <f>E2565*Summary!$B$6</f>
        <v/>
      </c>
      <c r="H2565" s="11">
        <f>F2565*Summary!$B$7</f>
        <v/>
      </c>
      <c r="I2565" s="11">
        <f>MAX(0,N2565-M2565)</f>
        <v/>
      </c>
      <c r="J2565" s="11">
        <f>MAX(0,M2565-N2565)</f>
        <v/>
      </c>
      <c r="K2565" s="11">
        <f>O2565</f>
        <v/>
      </c>
      <c r="L2565" s="11">
        <f>L2564+IF(K2565&gt;0,K2565*Summary!$B$9,K2565/Summary!$B$9)</f>
        <v/>
      </c>
      <c r="M2565" s="11">
        <f>G2565+H2565</f>
        <v/>
      </c>
      <c r="N2565" s="11">
        <f>Summary!$C$16*Summary!$B$8</f>
        <v/>
      </c>
      <c r="O2565" s="11">
        <f>M2565-N2565</f>
        <v/>
      </c>
    </row>
    <row r="2566">
      <c r="A2566" s="9" t="n">
        <v>45398.83333333334</v>
      </c>
      <c r="B2566" t="n">
        <v>4</v>
      </c>
      <c r="C2566" t="n">
        <v>16</v>
      </c>
      <c r="D2566" t="n">
        <v>20</v>
      </c>
      <c r="E2566" s="10" t="n">
        <v>0</v>
      </c>
      <c r="F2566" s="10" t="n">
        <v>0.1947676787442429</v>
      </c>
      <c r="G2566" s="11">
        <f>E2566*Summary!$B$6</f>
        <v/>
      </c>
      <c r="H2566" s="11">
        <f>F2566*Summary!$B$7</f>
        <v/>
      </c>
      <c r="I2566" s="11">
        <f>MAX(0,N2566-M2566)</f>
        <v/>
      </c>
      <c r="J2566" s="11">
        <f>MAX(0,M2566-N2566)</f>
        <v/>
      </c>
      <c r="K2566" s="11">
        <f>O2566</f>
        <v/>
      </c>
      <c r="L2566" s="11">
        <f>L2565+IF(K2566&gt;0,K2566*Summary!$B$9,K2566/Summary!$B$9)</f>
        <v/>
      </c>
      <c r="M2566" s="11">
        <f>G2566+H2566</f>
        <v/>
      </c>
      <c r="N2566" s="11">
        <f>Summary!$C$16*Summary!$B$8</f>
        <v/>
      </c>
      <c r="O2566" s="11">
        <f>M2566-N2566</f>
        <v/>
      </c>
    </row>
    <row r="2567">
      <c r="A2567" s="9" t="n">
        <v>45398.875</v>
      </c>
      <c r="B2567" t="n">
        <v>4</v>
      </c>
      <c r="C2567" t="n">
        <v>16</v>
      </c>
      <c r="D2567" t="n">
        <v>21</v>
      </c>
      <c r="E2567" s="10" t="n">
        <v>0</v>
      </c>
      <c r="F2567" s="10" t="n">
        <v>0.2020671844961243</v>
      </c>
      <c r="G2567" s="11">
        <f>E2567*Summary!$B$6</f>
        <v/>
      </c>
      <c r="H2567" s="11">
        <f>F2567*Summary!$B$7</f>
        <v/>
      </c>
      <c r="I2567" s="11">
        <f>MAX(0,N2567-M2567)</f>
        <v/>
      </c>
      <c r="J2567" s="11">
        <f>MAX(0,M2567-N2567)</f>
        <v/>
      </c>
      <c r="K2567" s="11">
        <f>O2567</f>
        <v/>
      </c>
      <c r="L2567" s="11">
        <f>L2566+IF(K2567&gt;0,K2567*Summary!$B$9,K2567/Summary!$B$9)</f>
        <v/>
      </c>
      <c r="M2567" s="11">
        <f>G2567+H2567</f>
        <v/>
      </c>
      <c r="N2567" s="11">
        <f>Summary!$C$16*Summary!$B$8</f>
        <v/>
      </c>
      <c r="O2567" s="11">
        <f>M2567-N2567</f>
        <v/>
      </c>
    </row>
    <row r="2568">
      <c r="A2568" s="9" t="n">
        <v>45398.91666666666</v>
      </c>
      <c r="B2568" t="n">
        <v>4</v>
      </c>
      <c r="C2568" t="n">
        <v>16</v>
      </c>
      <c r="D2568" t="n">
        <v>22</v>
      </c>
      <c r="E2568" s="10" t="n">
        <v>0</v>
      </c>
      <c r="F2568" s="10" t="n">
        <v>0.2052294252550621</v>
      </c>
      <c r="G2568" s="11">
        <f>E2568*Summary!$B$6</f>
        <v/>
      </c>
      <c r="H2568" s="11">
        <f>F2568*Summary!$B$7</f>
        <v/>
      </c>
      <c r="I2568" s="11">
        <f>MAX(0,N2568-M2568)</f>
        <v/>
      </c>
      <c r="J2568" s="11">
        <f>MAX(0,M2568-N2568)</f>
        <v/>
      </c>
      <c r="K2568" s="11">
        <f>O2568</f>
        <v/>
      </c>
      <c r="L2568" s="11">
        <f>L2567+IF(K2568&gt;0,K2568*Summary!$B$9,K2568/Summary!$B$9)</f>
        <v/>
      </c>
      <c r="M2568" s="11">
        <f>G2568+H2568</f>
        <v/>
      </c>
      <c r="N2568" s="11">
        <f>Summary!$C$16*Summary!$B$8</f>
        <v/>
      </c>
      <c r="O2568" s="11">
        <f>M2568-N2568</f>
        <v/>
      </c>
    </row>
    <row r="2569">
      <c r="A2569" s="9" t="n">
        <v>45398.95833333334</v>
      </c>
      <c r="B2569" t="n">
        <v>4</v>
      </c>
      <c r="C2569" t="n">
        <v>16</v>
      </c>
      <c r="D2569" t="n">
        <v>23</v>
      </c>
      <c r="E2569" s="10" t="n">
        <v>0</v>
      </c>
      <c r="F2569" s="10" t="n">
        <v>0.2016192003886081</v>
      </c>
      <c r="G2569" s="11">
        <f>E2569*Summary!$B$6</f>
        <v/>
      </c>
      <c r="H2569" s="11">
        <f>F2569*Summary!$B$7</f>
        <v/>
      </c>
      <c r="I2569" s="11">
        <f>MAX(0,N2569-M2569)</f>
        <v/>
      </c>
      <c r="J2569" s="11">
        <f>MAX(0,M2569-N2569)</f>
        <v/>
      </c>
      <c r="K2569" s="11">
        <f>O2569</f>
        <v/>
      </c>
      <c r="L2569" s="11">
        <f>L2568+IF(K2569&gt;0,K2569*Summary!$B$9,K2569/Summary!$B$9)</f>
        <v/>
      </c>
      <c r="M2569" s="11">
        <f>G2569+H2569</f>
        <v/>
      </c>
      <c r="N2569" s="11">
        <f>Summary!$C$16*Summary!$B$8</f>
        <v/>
      </c>
      <c r="O2569" s="11">
        <f>M2569-N2569</f>
        <v/>
      </c>
    </row>
    <row r="2570">
      <c r="A2570" s="9" t="n">
        <v>45399</v>
      </c>
      <c r="B2570" t="n">
        <v>4</v>
      </c>
      <c r="C2570" t="n">
        <v>17</v>
      </c>
      <c r="D2570" t="n">
        <v>0</v>
      </c>
      <c r="E2570" s="10" t="n">
        <v>0</v>
      </c>
      <c r="F2570" s="10" t="n">
        <v>0.2215940211825651</v>
      </c>
      <c r="G2570" s="11">
        <f>E2570*Summary!$B$6</f>
        <v/>
      </c>
      <c r="H2570" s="11">
        <f>F2570*Summary!$B$7</f>
        <v/>
      </c>
      <c r="I2570" s="11">
        <f>MAX(0,N2570-M2570)</f>
        <v/>
      </c>
      <c r="J2570" s="11">
        <f>MAX(0,M2570-N2570)</f>
        <v/>
      </c>
      <c r="K2570" s="11">
        <f>O2570</f>
        <v/>
      </c>
      <c r="L2570" s="11">
        <f>L2569+IF(K2570&gt;0,K2570*Summary!$B$9,K2570/Summary!$B$9)</f>
        <v/>
      </c>
      <c r="M2570" s="11">
        <f>G2570+H2570</f>
        <v/>
      </c>
      <c r="N2570" s="11">
        <f>Summary!$C$16*Summary!$B$8</f>
        <v/>
      </c>
      <c r="O2570" s="11">
        <f>M2570-N2570</f>
        <v/>
      </c>
    </row>
    <row r="2571">
      <c r="A2571" s="9" t="n">
        <v>45399.04166666666</v>
      </c>
      <c r="B2571" t="n">
        <v>4</v>
      </c>
      <c r="C2571" t="n">
        <v>17</v>
      </c>
      <c r="D2571" t="n">
        <v>1</v>
      </c>
      <c r="E2571" s="10" t="n">
        <v>0</v>
      </c>
      <c r="F2571" s="10" t="n">
        <v>0.1917371980169275</v>
      </c>
      <c r="G2571" s="11">
        <f>E2571*Summary!$B$6</f>
        <v/>
      </c>
      <c r="H2571" s="11">
        <f>F2571*Summary!$B$7</f>
        <v/>
      </c>
      <c r="I2571" s="11">
        <f>MAX(0,N2571-M2571)</f>
        <v/>
      </c>
      <c r="J2571" s="11">
        <f>MAX(0,M2571-N2571)</f>
        <v/>
      </c>
      <c r="K2571" s="11">
        <f>O2571</f>
        <v/>
      </c>
      <c r="L2571" s="11">
        <f>L2570+IF(K2571&gt;0,K2571*Summary!$B$9,K2571/Summary!$B$9)</f>
        <v/>
      </c>
      <c r="M2571" s="11">
        <f>G2571+H2571</f>
        <v/>
      </c>
      <c r="N2571" s="11">
        <f>Summary!$C$16*Summary!$B$8</f>
        <v/>
      </c>
      <c r="O2571" s="11">
        <f>M2571-N2571</f>
        <v/>
      </c>
    </row>
    <row r="2572">
      <c r="A2572" s="9" t="n">
        <v>45399.08333333334</v>
      </c>
      <c r="B2572" t="n">
        <v>4</v>
      </c>
      <c r="C2572" t="n">
        <v>17</v>
      </c>
      <c r="D2572" t="n">
        <v>2</v>
      </c>
      <c r="E2572" s="10" t="n">
        <v>0</v>
      </c>
      <c r="F2572" s="10" t="n">
        <v>0.1864931487583557</v>
      </c>
      <c r="G2572" s="11">
        <f>E2572*Summary!$B$6</f>
        <v/>
      </c>
      <c r="H2572" s="11">
        <f>F2572*Summary!$B$7</f>
        <v/>
      </c>
      <c r="I2572" s="11">
        <f>MAX(0,N2572-M2572)</f>
        <v/>
      </c>
      <c r="J2572" s="11">
        <f>MAX(0,M2572-N2572)</f>
        <v/>
      </c>
      <c r="K2572" s="11">
        <f>O2572</f>
        <v/>
      </c>
      <c r="L2572" s="11">
        <f>L2571+IF(K2572&gt;0,K2572*Summary!$B$9,K2572/Summary!$B$9)</f>
        <v/>
      </c>
      <c r="M2572" s="11">
        <f>G2572+H2572</f>
        <v/>
      </c>
      <c r="N2572" s="11">
        <f>Summary!$C$16*Summary!$B$8</f>
        <v/>
      </c>
      <c r="O2572" s="11">
        <f>M2572-N2572</f>
        <v/>
      </c>
    </row>
    <row r="2573">
      <c r="A2573" s="9" t="n">
        <v>45399.125</v>
      </c>
      <c r="B2573" t="n">
        <v>4</v>
      </c>
      <c r="C2573" t="n">
        <v>17</v>
      </c>
      <c r="D2573" t="n">
        <v>3</v>
      </c>
      <c r="E2573" s="10" t="n">
        <v>0</v>
      </c>
      <c r="F2573" s="10" t="n">
        <v>0.1905513577323259</v>
      </c>
      <c r="G2573" s="11">
        <f>E2573*Summary!$B$6</f>
        <v/>
      </c>
      <c r="H2573" s="11">
        <f>F2573*Summary!$B$7</f>
        <v/>
      </c>
      <c r="I2573" s="11">
        <f>MAX(0,N2573-M2573)</f>
        <v/>
      </c>
      <c r="J2573" s="11">
        <f>MAX(0,M2573-N2573)</f>
        <v/>
      </c>
      <c r="K2573" s="11">
        <f>O2573</f>
        <v/>
      </c>
      <c r="L2573" s="11">
        <f>L2572+IF(K2573&gt;0,K2573*Summary!$B$9,K2573/Summary!$B$9)</f>
        <v/>
      </c>
      <c r="M2573" s="11">
        <f>G2573+H2573</f>
        <v/>
      </c>
      <c r="N2573" s="11">
        <f>Summary!$C$16*Summary!$B$8</f>
        <v/>
      </c>
      <c r="O2573" s="11">
        <f>M2573-N2573</f>
        <v/>
      </c>
    </row>
    <row r="2574">
      <c r="A2574" s="9" t="n">
        <v>45399.16666666666</v>
      </c>
      <c r="B2574" t="n">
        <v>4</v>
      </c>
      <c r="C2574" t="n">
        <v>17</v>
      </c>
      <c r="D2574" t="n">
        <v>4</v>
      </c>
      <c r="E2574" s="10" t="n">
        <v>0</v>
      </c>
      <c r="F2574" s="10" t="n">
        <v>0.1927649262635823</v>
      </c>
      <c r="G2574" s="11">
        <f>E2574*Summary!$B$6</f>
        <v/>
      </c>
      <c r="H2574" s="11">
        <f>F2574*Summary!$B$7</f>
        <v/>
      </c>
      <c r="I2574" s="11">
        <f>MAX(0,N2574-M2574)</f>
        <v/>
      </c>
      <c r="J2574" s="11">
        <f>MAX(0,M2574-N2574)</f>
        <v/>
      </c>
      <c r="K2574" s="11">
        <f>O2574</f>
        <v/>
      </c>
      <c r="L2574" s="11">
        <f>L2573+IF(K2574&gt;0,K2574*Summary!$B$9,K2574/Summary!$B$9)</f>
        <v/>
      </c>
      <c r="M2574" s="11">
        <f>G2574+H2574</f>
        <v/>
      </c>
      <c r="N2574" s="11">
        <f>Summary!$C$16*Summary!$B$8</f>
        <v/>
      </c>
      <c r="O2574" s="11">
        <f>M2574-N2574</f>
        <v/>
      </c>
    </row>
    <row r="2575">
      <c r="A2575" s="9" t="n">
        <v>45399.20833333334</v>
      </c>
      <c r="B2575" t="n">
        <v>4</v>
      </c>
      <c r="C2575" t="n">
        <v>17</v>
      </c>
      <c r="D2575" t="n">
        <v>5</v>
      </c>
      <c r="E2575" s="10" t="n">
        <v>0.002289</v>
      </c>
      <c r="F2575" s="10" t="n">
        <v>0.1902351336564321</v>
      </c>
      <c r="G2575" s="11">
        <f>E2575*Summary!$B$6</f>
        <v/>
      </c>
      <c r="H2575" s="11">
        <f>F2575*Summary!$B$7</f>
        <v/>
      </c>
      <c r="I2575" s="11">
        <f>MAX(0,N2575-M2575)</f>
        <v/>
      </c>
      <c r="J2575" s="11">
        <f>MAX(0,M2575-N2575)</f>
        <v/>
      </c>
      <c r="K2575" s="11">
        <f>O2575</f>
        <v/>
      </c>
      <c r="L2575" s="11">
        <f>L2574+IF(K2575&gt;0,K2575*Summary!$B$9,K2575/Summary!$B$9)</f>
        <v/>
      </c>
      <c r="M2575" s="11">
        <f>G2575+H2575</f>
        <v/>
      </c>
      <c r="N2575" s="11">
        <f>Summary!$C$16*Summary!$B$8</f>
        <v/>
      </c>
      <c r="O2575" s="11">
        <f>M2575-N2575</f>
        <v/>
      </c>
    </row>
    <row r="2576">
      <c r="A2576" s="9" t="n">
        <v>45399.25</v>
      </c>
      <c r="B2576" t="n">
        <v>4</v>
      </c>
      <c r="C2576" t="n">
        <v>17</v>
      </c>
      <c r="D2576" t="n">
        <v>6</v>
      </c>
      <c r="E2576" s="10" t="n">
        <v>0.053696</v>
      </c>
      <c r="F2576" s="10" t="n">
        <v>0.1791936430064743</v>
      </c>
      <c r="G2576" s="11">
        <f>E2576*Summary!$B$6</f>
        <v/>
      </c>
      <c r="H2576" s="11">
        <f>F2576*Summary!$B$7</f>
        <v/>
      </c>
      <c r="I2576" s="11">
        <f>MAX(0,N2576-M2576)</f>
        <v/>
      </c>
      <c r="J2576" s="11">
        <f>MAX(0,M2576-N2576)</f>
        <v/>
      </c>
      <c r="K2576" s="11">
        <f>O2576</f>
        <v/>
      </c>
      <c r="L2576" s="11">
        <f>L2575+IF(K2576&gt;0,K2576*Summary!$B$9,K2576/Summary!$B$9)</f>
        <v/>
      </c>
      <c r="M2576" s="11">
        <f>G2576+H2576</f>
        <v/>
      </c>
      <c r="N2576" s="11">
        <f>Summary!$C$16*Summary!$B$8</f>
        <v/>
      </c>
      <c r="O2576" s="11">
        <f>M2576-N2576</f>
        <v/>
      </c>
    </row>
    <row r="2577">
      <c r="A2577" s="9" t="n">
        <v>45399.29166666666</v>
      </c>
      <c r="B2577" t="n">
        <v>4</v>
      </c>
      <c r="C2577" t="n">
        <v>17</v>
      </c>
      <c r="D2577" t="n">
        <v>7</v>
      </c>
      <c r="E2577" s="10" t="n">
        <v>0.184083</v>
      </c>
      <c r="F2577" s="10" t="n">
        <v>0.1608789986109597</v>
      </c>
      <c r="G2577" s="11">
        <f>E2577*Summary!$B$6</f>
        <v/>
      </c>
      <c r="H2577" s="11">
        <f>F2577*Summary!$B$7</f>
        <v/>
      </c>
      <c r="I2577" s="11">
        <f>MAX(0,N2577-M2577)</f>
        <v/>
      </c>
      <c r="J2577" s="11">
        <f>MAX(0,M2577-N2577)</f>
        <v/>
      </c>
      <c r="K2577" s="11">
        <f>O2577</f>
        <v/>
      </c>
      <c r="L2577" s="11">
        <f>L2576+IF(K2577&gt;0,K2577*Summary!$B$9,K2577/Summary!$B$9)</f>
        <v/>
      </c>
      <c r="M2577" s="11">
        <f>G2577+H2577</f>
        <v/>
      </c>
      <c r="N2577" s="11">
        <f>Summary!$C$16*Summary!$B$8</f>
        <v/>
      </c>
      <c r="O2577" s="11">
        <f>M2577-N2577</f>
        <v/>
      </c>
    </row>
    <row r="2578">
      <c r="A2578" s="9" t="n">
        <v>45399.33333333334</v>
      </c>
      <c r="B2578" t="n">
        <v>4</v>
      </c>
      <c r="C2578" t="n">
        <v>17</v>
      </c>
      <c r="D2578" t="n">
        <v>8</v>
      </c>
      <c r="E2578" s="10" t="n">
        <v>0.424732</v>
      </c>
      <c r="F2578" s="10" t="n">
        <v>0.1475185314044475</v>
      </c>
      <c r="G2578" s="11">
        <f>E2578*Summary!$B$6</f>
        <v/>
      </c>
      <c r="H2578" s="11">
        <f>F2578*Summary!$B$7</f>
        <v/>
      </c>
      <c r="I2578" s="11">
        <f>MAX(0,N2578-M2578)</f>
        <v/>
      </c>
      <c r="J2578" s="11">
        <f>MAX(0,M2578-N2578)</f>
        <v/>
      </c>
      <c r="K2578" s="11">
        <f>O2578</f>
        <v/>
      </c>
      <c r="L2578" s="11">
        <f>L2577+IF(K2578&gt;0,K2578*Summary!$B$9,K2578/Summary!$B$9)</f>
        <v/>
      </c>
      <c r="M2578" s="11">
        <f>G2578+H2578</f>
        <v/>
      </c>
      <c r="N2578" s="11">
        <f>Summary!$C$16*Summary!$B$8</f>
        <v/>
      </c>
      <c r="O2578" s="11">
        <f>M2578-N2578</f>
        <v/>
      </c>
    </row>
    <row r="2579">
      <c r="A2579" s="9" t="n">
        <v>45399.375</v>
      </c>
      <c r="B2579" t="n">
        <v>4</v>
      </c>
      <c r="C2579" t="n">
        <v>17</v>
      </c>
      <c r="D2579" t="n">
        <v>9</v>
      </c>
      <c r="E2579" s="10" t="n">
        <v>0.634233</v>
      </c>
      <c r="F2579" s="10" t="n">
        <v>0.146833379240011</v>
      </c>
      <c r="G2579" s="11">
        <f>E2579*Summary!$B$6</f>
        <v/>
      </c>
      <c r="H2579" s="11">
        <f>F2579*Summary!$B$7</f>
        <v/>
      </c>
      <c r="I2579" s="11">
        <f>MAX(0,N2579-M2579)</f>
        <v/>
      </c>
      <c r="J2579" s="11">
        <f>MAX(0,M2579-N2579)</f>
        <v/>
      </c>
      <c r="K2579" s="11">
        <f>O2579</f>
        <v/>
      </c>
      <c r="L2579" s="11">
        <f>L2578+IF(K2579&gt;0,K2579*Summary!$B$9,K2579/Summary!$B$9)</f>
        <v/>
      </c>
      <c r="M2579" s="11">
        <f>G2579+H2579</f>
        <v/>
      </c>
      <c r="N2579" s="11">
        <f>Summary!$C$16*Summary!$B$8</f>
        <v/>
      </c>
      <c r="O2579" s="11">
        <f>M2579-N2579</f>
        <v/>
      </c>
    </row>
    <row r="2580">
      <c r="A2580" s="9" t="n">
        <v>45399.41666666666</v>
      </c>
      <c r="B2580" t="n">
        <v>4</v>
      </c>
      <c r="C2580" t="n">
        <v>17</v>
      </c>
      <c r="D2580" t="n">
        <v>10</v>
      </c>
      <c r="E2580" s="10" t="n">
        <v>0.754058</v>
      </c>
      <c r="F2580" s="10" t="n">
        <v>0.1531315087515621</v>
      </c>
      <c r="G2580" s="11">
        <f>E2580*Summary!$B$6</f>
        <v/>
      </c>
      <c r="H2580" s="11">
        <f>F2580*Summary!$B$7</f>
        <v/>
      </c>
      <c r="I2580" s="11">
        <f>MAX(0,N2580-M2580)</f>
        <v/>
      </c>
      <c r="J2580" s="11">
        <f>MAX(0,M2580-N2580)</f>
        <v/>
      </c>
      <c r="K2580" s="11">
        <f>O2580</f>
        <v/>
      </c>
      <c r="L2580" s="11">
        <f>L2579+IF(K2580&gt;0,K2580*Summary!$B$9,K2580/Summary!$B$9)</f>
        <v/>
      </c>
      <c r="M2580" s="11">
        <f>G2580+H2580</f>
        <v/>
      </c>
      <c r="N2580" s="11">
        <f>Summary!$C$16*Summary!$B$8</f>
        <v/>
      </c>
      <c r="O2580" s="11">
        <f>M2580-N2580</f>
        <v/>
      </c>
    </row>
    <row r="2581">
      <c r="A2581" s="9" t="n">
        <v>45399.45833333334</v>
      </c>
      <c r="B2581" t="n">
        <v>4</v>
      </c>
      <c r="C2581" t="n">
        <v>17</v>
      </c>
      <c r="D2581" t="n">
        <v>11</v>
      </c>
      <c r="E2581" s="10" t="n">
        <v>0.754058</v>
      </c>
      <c r="F2581" s="10" t="n">
        <v>0.1431968023672326</v>
      </c>
      <c r="G2581" s="11">
        <f>E2581*Summary!$B$6</f>
        <v/>
      </c>
      <c r="H2581" s="11">
        <f>F2581*Summary!$B$7</f>
        <v/>
      </c>
      <c r="I2581" s="11">
        <f>MAX(0,N2581-M2581)</f>
        <v/>
      </c>
      <c r="J2581" s="11">
        <f>MAX(0,M2581-N2581)</f>
        <v/>
      </c>
      <c r="K2581" s="11">
        <f>O2581</f>
        <v/>
      </c>
      <c r="L2581" s="11">
        <f>L2580+IF(K2581&gt;0,K2581*Summary!$B$9,K2581/Summary!$B$9)</f>
        <v/>
      </c>
      <c r="M2581" s="11">
        <f>G2581+H2581</f>
        <v/>
      </c>
      <c r="N2581" s="11">
        <f>Summary!$C$16*Summary!$B$8</f>
        <v/>
      </c>
      <c r="O2581" s="11">
        <f>M2581-N2581</f>
        <v/>
      </c>
    </row>
    <row r="2582">
      <c r="A2582" s="9" t="n">
        <v>45399.5</v>
      </c>
      <c r="B2582" t="n">
        <v>4</v>
      </c>
      <c r="C2582" t="n">
        <v>17</v>
      </c>
      <c r="D2582" t="n">
        <v>12</v>
      </c>
      <c r="E2582" s="10" t="n">
        <v>0.754058</v>
      </c>
      <c r="F2582" s="10" t="n">
        <v>0.1621965989271837</v>
      </c>
      <c r="G2582" s="11">
        <f>E2582*Summary!$B$6</f>
        <v/>
      </c>
      <c r="H2582" s="11">
        <f>F2582*Summary!$B$7</f>
        <v/>
      </c>
      <c r="I2582" s="11">
        <f>MAX(0,N2582-M2582)</f>
        <v/>
      </c>
      <c r="J2582" s="11">
        <f>MAX(0,M2582-N2582)</f>
        <v/>
      </c>
      <c r="K2582" s="11">
        <f>O2582</f>
        <v/>
      </c>
      <c r="L2582" s="11">
        <f>L2581+IF(K2582&gt;0,K2582*Summary!$B$9,K2582/Summary!$B$9)</f>
        <v/>
      </c>
      <c r="M2582" s="11">
        <f>G2582+H2582</f>
        <v/>
      </c>
      <c r="N2582" s="11">
        <f>Summary!$C$16*Summary!$B$8</f>
        <v/>
      </c>
      <c r="O2582" s="11">
        <f>M2582-N2582</f>
        <v/>
      </c>
    </row>
    <row r="2583">
      <c r="A2583" s="9" t="n">
        <v>45399.54166666666</v>
      </c>
      <c r="B2583" t="n">
        <v>4</v>
      </c>
      <c r="C2583" t="n">
        <v>17</v>
      </c>
      <c r="D2583" t="n">
        <v>13</v>
      </c>
      <c r="E2583" s="10" t="n">
        <v>0.712852</v>
      </c>
      <c r="F2583" s="10" t="n">
        <v>0.1671244241098618</v>
      </c>
      <c r="G2583" s="11">
        <f>E2583*Summary!$B$6</f>
        <v/>
      </c>
      <c r="H2583" s="11">
        <f>F2583*Summary!$B$7</f>
        <v/>
      </c>
      <c r="I2583" s="11">
        <f>MAX(0,N2583-M2583)</f>
        <v/>
      </c>
      <c r="J2583" s="11">
        <f>MAX(0,M2583-N2583)</f>
        <v/>
      </c>
      <c r="K2583" s="11">
        <f>O2583</f>
        <v/>
      </c>
      <c r="L2583" s="11">
        <f>L2582+IF(K2583&gt;0,K2583*Summary!$B$9,K2583/Summary!$B$9)</f>
        <v/>
      </c>
      <c r="M2583" s="11">
        <f>G2583+H2583</f>
        <v/>
      </c>
      <c r="N2583" s="11">
        <f>Summary!$C$16*Summary!$B$8</f>
        <v/>
      </c>
      <c r="O2583" s="11">
        <f>M2583-N2583</f>
        <v/>
      </c>
    </row>
    <row r="2584">
      <c r="A2584" s="9" t="n">
        <v>45399.58333333334</v>
      </c>
      <c r="B2584" t="n">
        <v>4</v>
      </c>
      <c r="C2584" t="n">
        <v>17</v>
      </c>
      <c r="D2584" t="n">
        <v>14</v>
      </c>
      <c r="E2584" s="10" t="n">
        <v>0.694546</v>
      </c>
      <c r="F2584" s="10" t="n">
        <v>0.1719731932735664</v>
      </c>
      <c r="G2584" s="11">
        <f>E2584*Summary!$B$6</f>
        <v/>
      </c>
      <c r="H2584" s="11">
        <f>F2584*Summary!$B$7</f>
        <v/>
      </c>
      <c r="I2584" s="11">
        <f>MAX(0,N2584-M2584)</f>
        <v/>
      </c>
      <c r="J2584" s="11">
        <f>MAX(0,M2584-N2584)</f>
        <v/>
      </c>
      <c r="K2584" s="11">
        <f>O2584</f>
        <v/>
      </c>
      <c r="L2584" s="11">
        <f>L2583+IF(K2584&gt;0,K2584*Summary!$B$9,K2584/Summary!$B$9)</f>
        <v/>
      </c>
      <c r="M2584" s="11">
        <f>G2584+H2584</f>
        <v/>
      </c>
      <c r="N2584" s="11">
        <f>Summary!$C$16*Summary!$B$8</f>
        <v/>
      </c>
      <c r="O2584" s="11">
        <f>M2584-N2584</f>
        <v/>
      </c>
    </row>
    <row r="2585">
      <c r="A2585" s="9" t="n">
        <v>45399.625</v>
      </c>
      <c r="B2585" t="n">
        <v>4</v>
      </c>
      <c r="C2585" t="n">
        <v>17</v>
      </c>
      <c r="D2585" t="n">
        <v>15</v>
      </c>
      <c r="E2585" s="10" t="n">
        <v>0.546414</v>
      </c>
      <c r="F2585" s="10" t="n">
        <v>0.171841433241944</v>
      </c>
      <c r="G2585" s="11">
        <f>E2585*Summary!$B$6</f>
        <v/>
      </c>
      <c r="H2585" s="11">
        <f>F2585*Summary!$B$7</f>
        <v/>
      </c>
      <c r="I2585" s="11">
        <f>MAX(0,N2585-M2585)</f>
        <v/>
      </c>
      <c r="J2585" s="11">
        <f>MAX(0,M2585-N2585)</f>
        <v/>
      </c>
      <c r="K2585" s="11">
        <f>O2585</f>
        <v/>
      </c>
      <c r="L2585" s="11">
        <f>L2584+IF(K2585&gt;0,K2585*Summary!$B$9,K2585/Summary!$B$9)</f>
        <v/>
      </c>
      <c r="M2585" s="11">
        <f>G2585+H2585</f>
        <v/>
      </c>
      <c r="N2585" s="11">
        <f>Summary!$C$16*Summary!$B$8</f>
        <v/>
      </c>
      <c r="O2585" s="11">
        <f>M2585-N2585</f>
        <v/>
      </c>
    </row>
    <row r="2586">
      <c r="A2586" s="9" t="n">
        <v>45399.66666666666</v>
      </c>
      <c r="B2586" t="n">
        <v>4</v>
      </c>
      <c r="C2586" t="n">
        <v>17</v>
      </c>
      <c r="D2586" t="n">
        <v>16</v>
      </c>
      <c r="E2586" s="10" t="n">
        <v>0.345985</v>
      </c>
      <c r="F2586" s="10" t="n">
        <v>0.1735016096403863</v>
      </c>
      <c r="G2586" s="11">
        <f>E2586*Summary!$B$6</f>
        <v/>
      </c>
      <c r="H2586" s="11">
        <f>F2586*Summary!$B$7</f>
        <v/>
      </c>
      <c r="I2586" s="11">
        <f>MAX(0,N2586-M2586)</f>
        <v/>
      </c>
      <c r="J2586" s="11">
        <f>MAX(0,M2586-N2586)</f>
        <v/>
      </c>
      <c r="K2586" s="11">
        <f>O2586</f>
        <v/>
      </c>
      <c r="L2586" s="11">
        <f>L2585+IF(K2586&gt;0,K2586*Summary!$B$9,K2586/Summary!$B$9)</f>
        <v/>
      </c>
      <c r="M2586" s="11">
        <f>G2586+H2586</f>
        <v/>
      </c>
      <c r="N2586" s="11">
        <f>Summary!$C$16*Summary!$B$8</f>
        <v/>
      </c>
      <c r="O2586" s="11">
        <f>M2586-N2586</f>
        <v/>
      </c>
    </row>
    <row r="2587">
      <c r="A2587" s="9" t="n">
        <v>45399.70833333334</v>
      </c>
      <c r="B2587" t="n">
        <v>4</v>
      </c>
      <c r="C2587" t="n">
        <v>17</v>
      </c>
      <c r="D2587" t="n">
        <v>17</v>
      </c>
      <c r="E2587" s="10" t="n">
        <v>0.130406</v>
      </c>
      <c r="F2587" s="10" t="n">
        <v>0.1756624741589938</v>
      </c>
      <c r="G2587" s="11">
        <f>E2587*Summary!$B$6</f>
        <v/>
      </c>
      <c r="H2587" s="11">
        <f>F2587*Summary!$B$7</f>
        <v/>
      </c>
      <c r="I2587" s="11">
        <f>MAX(0,N2587-M2587)</f>
        <v/>
      </c>
      <c r="J2587" s="11">
        <f>MAX(0,M2587-N2587)</f>
        <v/>
      </c>
      <c r="K2587" s="11">
        <f>O2587</f>
        <v/>
      </c>
      <c r="L2587" s="11">
        <f>L2586+IF(K2587&gt;0,K2587*Summary!$B$9,K2587/Summary!$B$9)</f>
        <v/>
      </c>
      <c r="M2587" s="11">
        <f>G2587+H2587</f>
        <v/>
      </c>
      <c r="N2587" s="11">
        <f>Summary!$C$16*Summary!$B$8</f>
        <v/>
      </c>
      <c r="O2587" s="11">
        <f>M2587-N2587</f>
        <v/>
      </c>
    </row>
    <row r="2588">
      <c r="A2588" s="9" t="n">
        <v>45399.75</v>
      </c>
      <c r="B2588" t="n">
        <v>4</v>
      </c>
      <c r="C2588" t="n">
        <v>17</v>
      </c>
      <c r="D2588" t="n">
        <v>18</v>
      </c>
      <c r="E2588" s="10" t="n">
        <v>0.030567</v>
      </c>
      <c r="F2588" s="10" t="n">
        <v>0.1845694522966685</v>
      </c>
      <c r="G2588" s="11">
        <f>E2588*Summary!$B$6</f>
        <v/>
      </c>
      <c r="H2588" s="11">
        <f>F2588*Summary!$B$7</f>
        <v/>
      </c>
      <c r="I2588" s="11">
        <f>MAX(0,N2588-M2588)</f>
        <v/>
      </c>
      <c r="J2588" s="11">
        <f>MAX(0,M2588-N2588)</f>
        <v/>
      </c>
      <c r="K2588" s="11">
        <f>O2588</f>
        <v/>
      </c>
      <c r="L2588" s="11">
        <f>L2587+IF(K2588&gt;0,K2588*Summary!$B$9,K2588/Summary!$B$9)</f>
        <v/>
      </c>
      <c r="M2588" s="11">
        <f>G2588+H2588</f>
        <v/>
      </c>
      <c r="N2588" s="11">
        <f>Summary!$C$16*Summary!$B$8</f>
        <v/>
      </c>
      <c r="O2588" s="11">
        <f>M2588-N2588</f>
        <v/>
      </c>
    </row>
    <row r="2589">
      <c r="A2589" s="9" t="n">
        <v>45399.79166666666</v>
      </c>
      <c r="B2589" t="n">
        <v>4</v>
      </c>
      <c r="C2589" t="n">
        <v>17</v>
      </c>
      <c r="D2589" t="n">
        <v>19</v>
      </c>
      <c r="E2589" s="10" t="n">
        <v>0</v>
      </c>
      <c r="F2589" s="10" t="n">
        <v>0.1991684638004313</v>
      </c>
      <c r="G2589" s="11">
        <f>E2589*Summary!$B$6</f>
        <v/>
      </c>
      <c r="H2589" s="11">
        <f>F2589*Summary!$B$7</f>
        <v/>
      </c>
      <c r="I2589" s="11">
        <f>MAX(0,N2589-M2589)</f>
        <v/>
      </c>
      <c r="J2589" s="11">
        <f>MAX(0,M2589-N2589)</f>
        <v/>
      </c>
      <c r="K2589" s="11">
        <f>O2589</f>
        <v/>
      </c>
      <c r="L2589" s="11">
        <f>L2588+IF(K2589&gt;0,K2589*Summary!$B$9,K2589/Summary!$B$9)</f>
        <v/>
      </c>
      <c r="M2589" s="11">
        <f>G2589+H2589</f>
        <v/>
      </c>
      <c r="N2589" s="11">
        <f>Summary!$C$16*Summary!$B$8</f>
        <v/>
      </c>
      <c r="O2589" s="11">
        <f>M2589-N2589</f>
        <v/>
      </c>
    </row>
    <row r="2590">
      <c r="A2590" s="9" t="n">
        <v>45399.83333333334</v>
      </c>
      <c r="B2590" t="n">
        <v>4</v>
      </c>
      <c r="C2590" t="n">
        <v>17</v>
      </c>
      <c r="D2590" t="n">
        <v>20</v>
      </c>
      <c r="E2590" s="10" t="n">
        <v>0</v>
      </c>
      <c r="F2590" s="10" t="n">
        <v>0.2126079870259169</v>
      </c>
      <c r="G2590" s="11">
        <f>E2590*Summary!$B$6</f>
        <v/>
      </c>
      <c r="H2590" s="11">
        <f>F2590*Summary!$B$7</f>
        <v/>
      </c>
      <c r="I2590" s="11">
        <f>MAX(0,N2590-M2590)</f>
        <v/>
      </c>
      <c r="J2590" s="11">
        <f>MAX(0,M2590-N2590)</f>
        <v/>
      </c>
      <c r="K2590" s="11">
        <f>O2590</f>
        <v/>
      </c>
      <c r="L2590" s="11">
        <f>L2589+IF(K2590&gt;0,K2590*Summary!$B$9,K2590/Summary!$B$9)</f>
        <v/>
      </c>
      <c r="M2590" s="11">
        <f>G2590+H2590</f>
        <v/>
      </c>
      <c r="N2590" s="11">
        <f>Summary!$C$16*Summary!$B$8</f>
        <v/>
      </c>
      <c r="O2590" s="11">
        <f>M2590-N2590</f>
        <v/>
      </c>
    </row>
    <row r="2591">
      <c r="A2591" s="9" t="n">
        <v>45399.875</v>
      </c>
      <c r="B2591" t="n">
        <v>4</v>
      </c>
      <c r="C2591" t="n">
        <v>17</v>
      </c>
      <c r="D2591" t="n">
        <v>21</v>
      </c>
      <c r="E2591" s="10" t="n">
        <v>0</v>
      </c>
      <c r="F2591" s="10" t="n">
        <v>0.2100254904061177</v>
      </c>
      <c r="G2591" s="11">
        <f>E2591*Summary!$B$6</f>
        <v/>
      </c>
      <c r="H2591" s="11">
        <f>F2591*Summary!$B$7</f>
        <v/>
      </c>
      <c r="I2591" s="11">
        <f>MAX(0,N2591-M2591)</f>
        <v/>
      </c>
      <c r="J2591" s="11">
        <f>MAX(0,M2591-N2591)</f>
        <v/>
      </c>
      <c r="K2591" s="11">
        <f>O2591</f>
        <v/>
      </c>
      <c r="L2591" s="11">
        <f>L2590+IF(K2591&gt;0,K2591*Summary!$B$9,K2591/Summary!$B$9)</f>
        <v/>
      </c>
      <c r="M2591" s="11">
        <f>G2591+H2591</f>
        <v/>
      </c>
      <c r="N2591" s="11">
        <f>Summary!$C$16*Summary!$B$8</f>
        <v/>
      </c>
      <c r="O2591" s="11">
        <f>M2591-N2591</f>
        <v/>
      </c>
    </row>
    <row r="2592">
      <c r="A2592" s="9" t="n">
        <v>45399.91666666666</v>
      </c>
      <c r="B2592" t="n">
        <v>4</v>
      </c>
      <c r="C2592" t="n">
        <v>17</v>
      </c>
      <c r="D2592" t="n">
        <v>22</v>
      </c>
      <c r="E2592" s="10" t="n">
        <v>0</v>
      </c>
      <c r="F2592" s="10" t="n">
        <v>0.2222791733470016</v>
      </c>
      <c r="G2592" s="11">
        <f>E2592*Summary!$B$6</f>
        <v/>
      </c>
      <c r="H2592" s="11">
        <f>F2592*Summary!$B$7</f>
        <v/>
      </c>
      <c r="I2592" s="11">
        <f>MAX(0,N2592-M2592)</f>
        <v/>
      </c>
      <c r="J2592" s="11">
        <f>MAX(0,M2592-N2592)</f>
        <v/>
      </c>
      <c r="K2592" s="11">
        <f>O2592</f>
        <v/>
      </c>
      <c r="L2592" s="11">
        <f>L2591+IF(K2592&gt;0,K2592*Summary!$B$9,K2592/Summary!$B$9)</f>
        <v/>
      </c>
      <c r="M2592" s="11">
        <f>G2592+H2592</f>
        <v/>
      </c>
      <c r="N2592" s="11">
        <f>Summary!$C$16*Summary!$B$8</f>
        <v/>
      </c>
      <c r="O2592" s="11">
        <f>M2592-N2592</f>
        <v/>
      </c>
    </row>
    <row r="2593">
      <c r="A2593" s="9" t="n">
        <v>45399.95833333334</v>
      </c>
      <c r="B2593" t="n">
        <v>4</v>
      </c>
      <c r="C2593" t="n">
        <v>17</v>
      </c>
      <c r="D2593" t="n">
        <v>23</v>
      </c>
      <c r="E2593" s="10" t="n">
        <v>0</v>
      </c>
      <c r="F2593" s="10" t="n">
        <v>0.2233332535999809</v>
      </c>
      <c r="G2593" s="11">
        <f>E2593*Summary!$B$6</f>
        <v/>
      </c>
      <c r="H2593" s="11">
        <f>F2593*Summary!$B$7</f>
        <v/>
      </c>
      <c r="I2593" s="11">
        <f>MAX(0,N2593-M2593)</f>
        <v/>
      </c>
      <c r="J2593" s="11">
        <f>MAX(0,M2593-N2593)</f>
        <v/>
      </c>
      <c r="K2593" s="11">
        <f>O2593</f>
        <v/>
      </c>
      <c r="L2593" s="11">
        <f>L2592+IF(K2593&gt;0,K2593*Summary!$B$9,K2593/Summary!$B$9)</f>
        <v/>
      </c>
      <c r="M2593" s="11">
        <f>G2593+H2593</f>
        <v/>
      </c>
      <c r="N2593" s="11">
        <f>Summary!$C$16*Summary!$B$8</f>
        <v/>
      </c>
      <c r="O2593" s="11">
        <f>M2593-N2593</f>
        <v/>
      </c>
    </row>
    <row r="2594">
      <c r="A2594" s="9" t="n">
        <v>45400</v>
      </c>
      <c r="B2594" t="n">
        <v>4</v>
      </c>
      <c r="C2594" t="n">
        <v>18</v>
      </c>
      <c r="D2594" t="n">
        <v>0</v>
      </c>
      <c r="E2594" s="10" t="n">
        <v>0</v>
      </c>
      <c r="F2594" s="10" t="n">
        <v>0.2109478106274745</v>
      </c>
      <c r="G2594" s="11">
        <f>E2594*Summary!$B$6</f>
        <v/>
      </c>
      <c r="H2594" s="11">
        <f>F2594*Summary!$B$7</f>
        <v/>
      </c>
      <c r="I2594" s="11">
        <f>MAX(0,N2594-M2594)</f>
        <v/>
      </c>
      <c r="J2594" s="11">
        <f>MAX(0,M2594-N2594)</f>
        <v/>
      </c>
      <c r="K2594" s="11">
        <f>O2594</f>
        <v/>
      </c>
      <c r="L2594" s="11">
        <f>L2593+IF(K2594&gt;0,K2594*Summary!$B$9,K2594/Summary!$B$9)</f>
        <v/>
      </c>
      <c r="M2594" s="11">
        <f>G2594+H2594</f>
        <v/>
      </c>
      <c r="N2594" s="11">
        <f>Summary!$C$16*Summary!$B$8</f>
        <v/>
      </c>
      <c r="O2594" s="11">
        <f>M2594-N2594</f>
        <v/>
      </c>
    </row>
    <row r="2595">
      <c r="A2595" s="9" t="n">
        <v>45400.04166666666</v>
      </c>
      <c r="B2595" t="n">
        <v>4</v>
      </c>
      <c r="C2595" t="n">
        <v>18</v>
      </c>
      <c r="D2595" t="n">
        <v>1</v>
      </c>
      <c r="E2595" s="10" t="n">
        <v>0</v>
      </c>
      <c r="F2595" s="10" t="n">
        <v>0.2237285336948481</v>
      </c>
      <c r="G2595" s="11">
        <f>E2595*Summary!$B$6</f>
        <v/>
      </c>
      <c r="H2595" s="11">
        <f>F2595*Summary!$B$7</f>
        <v/>
      </c>
      <c r="I2595" s="11">
        <f>MAX(0,N2595-M2595)</f>
        <v/>
      </c>
      <c r="J2595" s="11">
        <f>MAX(0,M2595-N2595)</f>
        <v/>
      </c>
      <c r="K2595" s="11">
        <f>O2595</f>
        <v/>
      </c>
      <c r="L2595" s="11">
        <f>L2594+IF(K2595&gt;0,K2595*Summary!$B$9,K2595/Summary!$B$9)</f>
        <v/>
      </c>
      <c r="M2595" s="11">
        <f>G2595+H2595</f>
        <v/>
      </c>
      <c r="N2595" s="11">
        <f>Summary!$C$16*Summary!$B$8</f>
        <v/>
      </c>
      <c r="O2595" s="11">
        <f>M2595-N2595</f>
        <v/>
      </c>
    </row>
    <row r="2596">
      <c r="A2596" s="9" t="n">
        <v>45400.08333333334</v>
      </c>
      <c r="B2596" t="n">
        <v>4</v>
      </c>
      <c r="C2596" t="n">
        <v>18</v>
      </c>
      <c r="D2596" t="n">
        <v>2</v>
      </c>
      <c r="E2596" s="10" t="n">
        <v>0</v>
      </c>
      <c r="F2596" s="10" t="n">
        <v>0.2240974617833908</v>
      </c>
      <c r="G2596" s="11">
        <f>E2596*Summary!$B$6</f>
        <v/>
      </c>
      <c r="H2596" s="11">
        <f>F2596*Summary!$B$7</f>
        <v/>
      </c>
      <c r="I2596" s="11">
        <f>MAX(0,N2596-M2596)</f>
        <v/>
      </c>
      <c r="J2596" s="11">
        <f>MAX(0,M2596-N2596)</f>
        <v/>
      </c>
      <c r="K2596" s="11">
        <f>O2596</f>
        <v/>
      </c>
      <c r="L2596" s="11">
        <f>L2595+IF(K2596&gt;0,K2596*Summary!$B$9,K2596/Summary!$B$9)</f>
        <v/>
      </c>
      <c r="M2596" s="11">
        <f>G2596+H2596</f>
        <v/>
      </c>
      <c r="N2596" s="11">
        <f>Summary!$C$16*Summary!$B$8</f>
        <v/>
      </c>
      <c r="O2596" s="11">
        <f>M2596-N2596</f>
        <v/>
      </c>
    </row>
    <row r="2597">
      <c r="A2597" s="9" t="n">
        <v>45400.125</v>
      </c>
      <c r="B2597" t="n">
        <v>4</v>
      </c>
      <c r="C2597" t="n">
        <v>18</v>
      </c>
      <c r="D2597" t="n">
        <v>3</v>
      </c>
      <c r="E2597" s="10" t="n">
        <v>0</v>
      </c>
      <c r="F2597" s="10" t="n">
        <v>0.2230433815304116</v>
      </c>
      <c r="G2597" s="11">
        <f>E2597*Summary!$B$6</f>
        <v/>
      </c>
      <c r="H2597" s="11">
        <f>F2597*Summary!$B$7</f>
        <v/>
      </c>
      <c r="I2597" s="11">
        <f>MAX(0,N2597-M2597)</f>
        <v/>
      </c>
      <c r="J2597" s="11">
        <f>MAX(0,M2597-N2597)</f>
        <v/>
      </c>
      <c r="K2597" s="11">
        <f>O2597</f>
        <v/>
      </c>
      <c r="L2597" s="11">
        <f>L2596+IF(K2597&gt;0,K2597*Summary!$B$9,K2597/Summary!$B$9)</f>
        <v/>
      </c>
      <c r="M2597" s="11">
        <f>G2597+H2597</f>
        <v/>
      </c>
      <c r="N2597" s="11">
        <f>Summary!$C$16*Summary!$B$8</f>
        <v/>
      </c>
      <c r="O2597" s="11">
        <f>M2597-N2597</f>
        <v/>
      </c>
    </row>
    <row r="2598">
      <c r="A2598" s="9" t="n">
        <v>45400.16666666666</v>
      </c>
      <c r="B2598" t="n">
        <v>4</v>
      </c>
      <c r="C2598" t="n">
        <v>18</v>
      </c>
      <c r="D2598" t="n">
        <v>4</v>
      </c>
      <c r="E2598" s="10" t="n">
        <v>0</v>
      </c>
      <c r="F2598" s="10" t="n">
        <v>0.2189851725564414</v>
      </c>
      <c r="G2598" s="11">
        <f>E2598*Summary!$B$6</f>
        <v/>
      </c>
      <c r="H2598" s="11">
        <f>F2598*Summary!$B$7</f>
        <v/>
      </c>
      <c r="I2598" s="11">
        <f>MAX(0,N2598-M2598)</f>
        <v/>
      </c>
      <c r="J2598" s="11">
        <f>MAX(0,M2598-N2598)</f>
        <v/>
      </c>
      <c r="K2598" s="11">
        <f>O2598</f>
        <v/>
      </c>
      <c r="L2598" s="11">
        <f>L2597+IF(K2598&gt;0,K2598*Summary!$B$9,K2598/Summary!$B$9)</f>
        <v/>
      </c>
      <c r="M2598" s="11">
        <f>G2598+H2598</f>
        <v/>
      </c>
      <c r="N2598" s="11">
        <f>Summary!$C$16*Summary!$B$8</f>
        <v/>
      </c>
      <c r="O2598" s="11">
        <f>M2598-N2598</f>
        <v/>
      </c>
    </row>
    <row r="2599">
      <c r="A2599" s="9" t="n">
        <v>45400.20833333334</v>
      </c>
      <c r="B2599" t="n">
        <v>4</v>
      </c>
      <c r="C2599" t="n">
        <v>18</v>
      </c>
      <c r="D2599" t="n">
        <v>5</v>
      </c>
      <c r="E2599" s="10" t="n">
        <v>0.0159</v>
      </c>
      <c r="F2599" s="10" t="n">
        <v>0.207416641779994</v>
      </c>
      <c r="G2599" s="11">
        <f>E2599*Summary!$B$6</f>
        <v/>
      </c>
      <c r="H2599" s="11">
        <f>F2599*Summary!$B$7</f>
        <v/>
      </c>
      <c r="I2599" s="11">
        <f>MAX(0,N2599-M2599)</f>
        <v/>
      </c>
      <c r="J2599" s="11">
        <f>MAX(0,M2599-N2599)</f>
        <v/>
      </c>
      <c r="K2599" s="11">
        <f>O2599</f>
        <v/>
      </c>
      <c r="L2599" s="11">
        <f>L2598+IF(K2599&gt;0,K2599*Summary!$B$9,K2599/Summary!$B$9)</f>
        <v/>
      </c>
      <c r="M2599" s="11">
        <f>G2599+H2599</f>
        <v/>
      </c>
      <c r="N2599" s="11">
        <f>Summary!$C$16*Summary!$B$8</f>
        <v/>
      </c>
      <c r="O2599" s="11">
        <f>M2599-N2599</f>
        <v/>
      </c>
    </row>
    <row r="2600">
      <c r="A2600" s="9" t="n">
        <v>45400.25</v>
      </c>
      <c r="B2600" t="n">
        <v>4</v>
      </c>
      <c r="C2600" t="n">
        <v>18</v>
      </c>
      <c r="D2600" t="n">
        <v>6</v>
      </c>
      <c r="E2600" s="10" t="n">
        <v>0.107061</v>
      </c>
      <c r="F2600" s="10" t="n">
        <v>0.1902351336564321</v>
      </c>
      <c r="G2600" s="11">
        <f>E2600*Summary!$B$6</f>
        <v/>
      </c>
      <c r="H2600" s="11">
        <f>F2600*Summary!$B$7</f>
        <v/>
      </c>
      <c r="I2600" s="11">
        <f>MAX(0,N2600-M2600)</f>
        <v/>
      </c>
      <c r="J2600" s="11">
        <f>MAX(0,M2600-N2600)</f>
        <v/>
      </c>
      <c r="K2600" s="11">
        <f>O2600</f>
        <v/>
      </c>
      <c r="L2600" s="11">
        <f>L2599+IF(K2600&gt;0,K2600*Summary!$B$9,K2600/Summary!$B$9)</f>
        <v/>
      </c>
      <c r="M2600" s="11">
        <f>G2600+H2600</f>
        <v/>
      </c>
      <c r="N2600" s="11">
        <f>Summary!$C$16*Summary!$B$8</f>
        <v/>
      </c>
      <c r="O2600" s="11">
        <f>M2600-N2600</f>
        <v/>
      </c>
    </row>
    <row r="2601">
      <c r="A2601" s="9" t="n">
        <v>45400.29166666666</v>
      </c>
      <c r="B2601" t="n">
        <v>4</v>
      </c>
      <c r="C2601" t="n">
        <v>18</v>
      </c>
      <c r="D2601" t="n">
        <v>7</v>
      </c>
      <c r="E2601" s="10" t="n">
        <v>0.314199</v>
      </c>
      <c r="F2601" s="10" t="n">
        <v>0.1685737844577083</v>
      </c>
      <c r="G2601" s="11">
        <f>E2601*Summary!$B$6</f>
        <v/>
      </c>
      <c r="H2601" s="11">
        <f>F2601*Summary!$B$7</f>
        <v/>
      </c>
      <c r="I2601" s="11">
        <f>MAX(0,N2601-M2601)</f>
        <v/>
      </c>
      <c r="J2601" s="11">
        <f>MAX(0,M2601-N2601)</f>
        <v/>
      </c>
      <c r="K2601" s="11">
        <f>O2601</f>
        <v/>
      </c>
      <c r="L2601" s="11">
        <f>L2600+IF(K2601&gt;0,K2601*Summary!$B$9,K2601/Summary!$B$9)</f>
        <v/>
      </c>
      <c r="M2601" s="11">
        <f>G2601+H2601</f>
        <v/>
      </c>
      <c r="N2601" s="11">
        <f>Summary!$C$16*Summary!$B$8</f>
        <v/>
      </c>
      <c r="O2601" s="11">
        <f>M2601-N2601</f>
        <v/>
      </c>
    </row>
    <row r="2602">
      <c r="A2602" s="9" t="n">
        <v>45400.33333333334</v>
      </c>
      <c r="B2602" t="n">
        <v>4</v>
      </c>
      <c r="C2602" t="n">
        <v>18</v>
      </c>
      <c r="D2602" t="n">
        <v>8</v>
      </c>
      <c r="E2602" s="10" t="n">
        <v>0.532423</v>
      </c>
      <c r="F2602" s="10" t="n">
        <v>0.1536849008843762</v>
      </c>
      <c r="G2602" s="11">
        <f>E2602*Summary!$B$6</f>
        <v/>
      </c>
      <c r="H2602" s="11">
        <f>F2602*Summary!$B$7</f>
        <v/>
      </c>
      <c r="I2602" s="11">
        <f>MAX(0,N2602-M2602)</f>
        <v/>
      </c>
      <c r="J2602" s="11">
        <f>MAX(0,M2602-N2602)</f>
        <v/>
      </c>
      <c r="K2602" s="11">
        <f>O2602</f>
        <v/>
      </c>
      <c r="L2602" s="11">
        <f>L2601+IF(K2602&gt;0,K2602*Summary!$B$9,K2602/Summary!$B$9)</f>
        <v/>
      </c>
      <c r="M2602" s="11">
        <f>G2602+H2602</f>
        <v/>
      </c>
      <c r="N2602" s="11">
        <f>Summary!$C$16*Summary!$B$8</f>
        <v/>
      </c>
      <c r="O2602" s="11">
        <f>M2602-N2602</f>
        <v/>
      </c>
    </row>
    <row r="2603">
      <c r="A2603" s="9" t="n">
        <v>45400.375</v>
      </c>
      <c r="B2603" t="n">
        <v>4</v>
      </c>
      <c r="C2603" t="n">
        <v>18</v>
      </c>
      <c r="D2603" t="n">
        <v>9</v>
      </c>
      <c r="E2603" s="10" t="n">
        <v>0.701611</v>
      </c>
      <c r="F2603" s="10" t="n">
        <v>0.1524727085934501</v>
      </c>
      <c r="G2603" s="11">
        <f>E2603*Summary!$B$6</f>
        <v/>
      </c>
      <c r="H2603" s="11">
        <f>F2603*Summary!$B$7</f>
        <v/>
      </c>
      <c r="I2603" s="11">
        <f>MAX(0,N2603-M2603)</f>
        <v/>
      </c>
      <c r="J2603" s="11">
        <f>MAX(0,M2603-N2603)</f>
        <v/>
      </c>
      <c r="K2603" s="11">
        <f>O2603</f>
        <v/>
      </c>
      <c r="L2603" s="11">
        <f>L2602+IF(K2603&gt;0,K2603*Summary!$B$9,K2603/Summary!$B$9)</f>
        <v/>
      </c>
      <c r="M2603" s="11">
        <f>G2603+H2603</f>
        <v/>
      </c>
      <c r="N2603" s="11">
        <f>Summary!$C$16*Summary!$B$8</f>
        <v/>
      </c>
      <c r="O2603" s="11">
        <f>M2603-N2603</f>
        <v/>
      </c>
    </row>
    <row r="2604">
      <c r="A2604" s="9" t="n">
        <v>45400.41666666666</v>
      </c>
      <c r="B2604" t="n">
        <v>4</v>
      </c>
      <c r="C2604" t="n">
        <v>18</v>
      </c>
      <c r="D2604" t="n">
        <v>10</v>
      </c>
      <c r="E2604" s="10" t="n">
        <v>0.754058</v>
      </c>
      <c r="F2604" s="10" t="n">
        <v>0.1572687737445057</v>
      </c>
      <c r="G2604" s="11">
        <f>E2604*Summary!$B$6</f>
        <v/>
      </c>
      <c r="H2604" s="11">
        <f>F2604*Summary!$B$7</f>
        <v/>
      </c>
      <c r="I2604" s="11">
        <f>MAX(0,N2604-M2604)</f>
        <v/>
      </c>
      <c r="J2604" s="11">
        <f>MAX(0,M2604-N2604)</f>
        <v/>
      </c>
      <c r="K2604" s="11">
        <f>O2604</f>
        <v/>
      </c>
      <c r="L2604" s="11">
        <f>L2603+IF(K2604&gt;0,K2604*Summary!$B$9,K2604/Summary!$B$9)</f>
        <v/>
      </c>
      <c r="M2604" s="11">
        <f>G2604+H2604</f>
        <v/>
      </c>
      <c r="N2604" s="11">
        <f>Summary!$C$16*Summary!$B$8</f>
        <v/>
      </c>
      <c r="O2604" s="11">
        <f>M2604-N2604</f>
        <v/>
      </c>
    </row>
    <row r="2605">
      <c r="A2605" s="9" t="n">
        <v>45400.45833333334</v>
      </c>
      <c r="B2605" t="n">
        <v>4</v>
      </c>
      <c r="C2605" t="n">
        <v>18</v>
      </c>
      <c r="D2605" t="n">
        <v>11</v>
      </c>
      <c r="E2605" s="10" t="n">
        <v>0.754058</v>
      </c>
      <c r="F2605" s="10" t="n">
        <v>0.1641729994015198</v>
      </c>
      <c r="G2605" s="11">
        <f>E2605*Summary!$B$6</f>
        <v/>
      </c>
      <c r="H2605" s="11">
        <f>F2605*Summary!$B$7</f>
        <v/>
      </c>
      <c r="I2605" s="11">
        <f>MAX(0,N2605-M2605)</f>
        <v/>
      </c>
      <c r="J2605" s="11">
        <f>MAX(0,M2605-N2605)</f>
        <v/>
      </c>
      <c r="K2605" s="11">
        <f>O2605</f>
        <v/>
      </c>
      <c r="L2605" s="11">
        <f>L2604+IF(K2605&gt;0,K2605*Summary!$B$9,K2605/Summary!$B$9)</f>
        <v/>
      </c>
      <c r="M2605" s="11">
        <f>G2605+H2605</f>
        <v/>
      </c>
      <c r="N2605" s="11">
        <f>Summary!$C$16*Summary!$B$8</f>
        <v/>
      </c>
      <c r="O2605" s="11">
        <f>M2605-N2605</f>
        <v/>
      </c>
    </row>
    <row r="2606">
      <c r="A2606" s="9" t="n">
        <v>45400.5</v>
      </c>
      <c r="B2606" t="n">
        <v>4</v>
      </c>
      <c r="C2606" t="n">
        <v>18</v>
      </c>
      <c r="D2606" t="n">
        <v>12</v>
      </c>
      <c r="E2606" s="10" t="n">
        <v>0.754058</v>
      </c>
      <c r="F2606" s="10" t="n">
        <v>0.1681258003501921</v>
      </c>
      <c r="G2606" s="11">
        <f>E2606*Summary!$B$6</f>
        <v/>
      </c>
      <c r="H2606" s="11">
        <f>F2606*Summary!$B$7</f>
        <v/>
      </c>
      <c r="I2606" s="11">
        <f>MAX(0,N2606-M2606)</f>
        <v/>
      </c>
      <c r="J2606" s="11">
        <f>MAX(0,M2606-N2606)</f>
        <v/>
      </c>
      <c r="K2606" s="11">
        <f>O2606</f>
        <v/>
      </c>
      <c r="L2606" s="11">
        <f>L2605+IF(K2606&gt;0,K2606*Summary!$B$9,K2606/Summary!$B$9)</f>
        <v/>
      </c>
      <c r="M2606" s="11">
        <f>G2606+H2606</f>
        <v/>
      </c>
      <c r="N2606" s="11">
        <f>Summary!$C$16*Summary!$B$8</f>
        <v/>
      </c>
      <c r="O2606" s="11">
        <f>M2606-N2606</f>
        <v/>
      </c>
    </row>
    <row r="2607">
      <c r="A2607" s="9" t="n">
        <v>45400.54166666666</v>
      </c>
      <c r="B2607" t="n">
        <v>4</v>
      </c>
      <c r="C2607" t="n">
        <v>18</v>
      </c>
      <c r="D2607" t="n">
        <v>13</v>
      </c>
      <c r="E2607" s="10" t="n">
        <v>0.754058</v>
      </c>
      <c r="F2607" s="10" t="n">
        <v>0.1579012218962933</v>
      </c>
      <c r="G2607" s="11">
        <f>E2607*Summary!$B$6</f>
        <v/>
      </c>
      <c r="H2607" s="11">
        <f>F2607*Summary!$B$7</f>
        <v/>
      </c>
      <c r="I2607" s="11">
        <f>MAX(0,N2607-M2607)</f>
        <v/>
      </c>
      <c r="J2607" s="11">
        <f>MAX(0,M2607-N2607)</f>
        <v/>
      </c>
      <c r="K2607" s="11">
        <f>O2607</f>
        <v/>
      </c>
      <c r="L2607" s="11">
        <f>L2606+IF(K2607&gt;0,K2607*Summary!$B$9,K2607/Summary!$B$9)</f>
        <v/>
      </c>
      <c r="M2607" s="11">
        <f>G2607+H2607</f>
        <v/>
      </c>
      <c r="N2607" s="11">
        <f>Summary!$C$16*Summary!$B$8</f>
        <v/>
      </c>
      <c r="O2607" s="11">
        <f>M2607-N2607</f>
        <v/>
      </c>
    </row>
    <row r="2608">
      <c r="A2608" s="9" t="n">
        <v>45400.58333333334</v>
      </c>
      <c r="B2608" t="n">
        <v>4</v>
      </c>
      <c r="C2608" t="n">
        <v>18</v>
      </c>
      <c r="D2608" t="n">
        <v>14</v>
      </c>
      <c r="E2608" s="10" t="n">
        <v>0.619998</v>
      </c>
      <c r="F2608" s="10" t="n">
        <v>0.171077225058534</v>
      </c>
      <c r="G2608" s="11">
        <f>E2608*Summary!$B$6</f>
        <v/>
      </c>
      <c r="H2608" s="11">
        <f>F2608*Summary!$B$7</f>
        <v/>
      </c>
      <c r="I2608" s="11">
        <f>MAX(0,N2608-M2608)</f>
        <v/>
      </c>
      <c r="J2608" s="11">
        <f>MAX(0,M2608-N2608)</f>
        <v/>
      </c>
      <c r="K2608" s="11">
        <f>O2608</f>
        <v/>
      </c>
      <c r="L2608" s="11">
        <f>L2607+IF(K2608&gt;0,K2608*Summary!$B$9,K2608/Summary!$B$9)</f>
        <v/>
      </c>
      <c r="M2608" s="11">
        <f>G2608+H2608</f>
        <v/>
      </c>
      <c r="N2608" s="11">
        <f>Summary!$C$16*Summary!$B$8</f>
        <v/>
      </c>
      <c r="O2608" s="11">
        <f>M2608-N2608</f>
        <v/>
      </c>
    </row>
    <row r="2609">
      <c r="A2609" s="9" t="n">
        <v>45400.625</v>
      </c>
      <c r="B2609" t="n">
        <v>4</v>
      </c>
      <c r="C2609" t="n">
        <v>18</v>
      </c>
      <c r="D2609" t="n">
        <v>15</v>
      </c>
      <c r="E2609" s="10" t="n">
        <v>0.462876</v>
      </c>
      <c r="F2609" s="10" t="n">
        <v>0.1720522492925398</v>
      </c>
      <c r="G2609" s="11">
        <f>E2609*Summary!$B$6</f>
        <v/>
      </c>
      <c r="H2609" s="11">
        <f>F2609*Summary!$B$7</f>
        <v/>
      </c>
      <c r="I2609" s="11">
        <f>MAX(0,N2609-M2609)</f>
        <v/>
      </c>
      <c r="J2609" s="11">
        <f>MAX(0,M2609-N2609)</f>
        <v/>
      </c>
      <c r="K2609" s="11">
        <f>O2609</f>
        <v/>
      </c>
      <c r="L2609" s="11">
        <f>L2608+IF(K2609&gt;0,K2609*Summary!$B$9,K2609/Summary!$B$9)</f>
        <v/>
      </c>
      <c r="M2609" s="11">
        <f>G2609+H2609</f>
        <v/>
      </c>
      <c r="N2609" s="11">
        <f>Summary!$C$16*Summary!$B$8</f>
        <v/>
      </c>
      <c r="O2609" s="11">
        <f>M2609-N2609</f>
        <v/>
      </c>
    </row>
    <row r="2610">
      <c r="A2610" s="9" t="n">
        <v>45400.66666666666</v>
      </c>
      <c r="B2610" t="n">
        <v>4</v>
      </c>
      <c r="C2610" t="n">
        <v>18</v>
      </c>
      <c r="D2610" t="n">
        <v>16</v>
      </c>
      <c r="E2610" s="10" t="n">
        <v>0.365428</v>
      </c>
      <c r="F2610" s="10" t="n">
        <v>0.1686264884703572</v>
      </c>
      <c r="G2610" s="11">
        <f>E2610*Summary!$B$6</f>
        <v/>
      </c>
      <c r="H2610" s="11">
        <f>F2610*Summary!$B$7</f>
        <v/>
      </c>
      <c r="I2610" s="11">
        <f>MAX(0,N2610-M2610)</f>
        <v/>
      </c>
      <c r="J2610" s="11">
        <f>MAX(0,M2610-N2610)</f>
        <v/>
      </c>
      <c r="K2610" s="11">
        <f>O2610</f>
        <v/>
      </c>
      <c r="L2610" s="11">
        <f>L2609+IF(K2610&gt;0,K2610*Summary!$B$9,K2610/Summary!$B$9)</f>
        <v/>
      </c>
      <c r="M2610" s="11">
        <f>G2610+H2610</f>
        <v/>
      </c>
      <c r="N2610" s="11">
        <f>Summary!$C$16*Summary!$B$8</f>
        <v/>
      </c>
      <c r="O2610" s="11">
        <f>M2610-N2610</f>
        <v/>
      </c>
    </row>
    <row r="2611">
      <c r="A2611" s="9" t="n">
        <v>45400.70833333334</v>
      </c>
      <c r="B2611" t="n">
        <v>4</v>
      </c>
      <c r="C2611" t="n">
        <v>18</v>
      </c>
      <c r="D2611" t="n">
        <v>17</v>
      </c>
      <c r="E2611" s="10" t="n">
        <v>0.13196</v>
      </c>
      <c r="F2611" s="10" t="n">
        <v>0.171129929071183</v>
      </c>
      <c r="G2611" s="11">
        <f>E2611*Summary!$B$6</f>
        <v/>
      </c>
      <c r="H2611" s="11">
        <f>F2611*Summary!$B$7</f>
        <v/>
      </c>
      <c r="I2611" s="11">
        <f>MAX(0,N2611-M2611)</f>
        <v/>
      </c>
      <c r="J2611" s="11">
        <f>MAX(0,M2611-N2611)</f>
        <v/>
      </c>
      <c r="K2611" s="11">
        <f>O2611</f>
        <v/>
      </c>
      <c r="L2611" s="11">
        <f>L2610+IF(K2611&gt;0,K2611*Summary!$B$9,K2611/Summary!$B$9)</f>
        <v/>
      </c>
      <c r="M2611" s="11">
        <f>G2611+H2611</f>
        <v/>
      </c>
      <c r="N2611" s="11">
        <f>Summary!$C$16*Summary!$B$8</f>
        <v/>
      </c>
      <c r="O2611" s="11">
        <f>M2611-N2611</f>
        <v/>
      </c>
    </row>
    <row r="2612">
      <c r="A2612" s="9" t="n">
        <v>45400.75</v>
      </c>
      <c r="B2612" t="n">
        <v>4</v>
      </c>
      <c r="C2612" t="n">
        <v>18</v>
      </c>
      <c r="D2612" t="n">
        <v>18</v>
      </c>
      <c r="E2612" s="10" t="n">
        <v>0.029686</v>
      </c>
      <c r="F2612" s="10" t="n">
        <v>0.1755307141273714</v>
      </c>
      <c r="G2612" s="11">
        <f>E2612*Summary!$B$6</f>
        <v/>
      </c>
      <c r="H2612" s="11">
        <f>F2612*Summary!$B$7</f>
        <v/>
      </c>
      <c r="I2612" s="11">
        <f>MAX(0,N2612-M2612)</f>
        <v/>
      </c>
      <c r="J2612" s="11">
        <f>MAX(0,M2612-N2612)</f>
        <v/>
      </c>
      <c r="K2612" s="11">
        <f>O2612</f>
        <v/>
      </c>
      <c r="L2612" s="11">
        <f>L2611+IF(K2612&gt;0,K2612*Summary!$B$9,K2612/Summary!$B$9)</f>
        <v/>
      </c>
      <c r="M2612" s="11">
        <f>G2612+H2612</f>
        <v/>
      </c>
      <c r="N2612" s="11">
        <f>Summary!$C$16*Summary!$B$8</f>
        <v/>
      </c>
      <c r="O2612" s="11">
        <f>M2612-N2612</f>
        <v/>
      </c>
    </row>
    <row r="2613">
      <c r="A2613" s="9" t="n">
        <v>45400.79166666666</v>
      </c>
      <c r="B2613" t="n">
        <v>4</v>
      </c>
      <c r="C2613" t="n">
        <v>18</v>
      </c>
      <c r="D2613" t="n">
        <v>19</v>
      </c>
      <c r="E2613" s="10" t="n">
        <v>0</v>
      </c>
      <c r="F2613" s="10" t="n">
        <v>0.1870992449038188</v>
      </c>
      <c r="G2613" s="11">
        <f>E2613*Summary!$B$6</f>
        <v/>
      </c>
      <c r="H2613" s="11">
        <f>F2613*Summary!$B$7</f>
        <v/>
      </c>
      <c r="I2613" s="11">
        <f>MAX(0,N2613-M2613)</f>
        <v/>
      </c>
      <c r="J2613" s="11">
        <f>MAX(0,M2613-N2613)</f>
        <v/>
      </c>
      <c r="K2613" s="11">
        <f>O2613</f>
        <v/>
      </c>
      <c r="L2613" s="11">
        <f>L2612+IF(K2613&gt;0,K2613*Summary!$B$9,K2613/Summary!$B$9)</f>
        <v/>
      </c>
      <c r="M2613" s="11">
        <f>G2613+H2613</f>
        <v/>
      </c>
      <c r="N2613" s="11">
        <f>Summary!$C$16*Summary!$B$8</f>
        <v/>
      </c>
      <c r="O2613" s="11">
        <f>M2613-N2613</f>
        <v/>
      </c>
    </row>
    <row r="2614">
      <c r="A2614" s="9" t="n">
        <v>45400.83333333334</v>
      </c>
      <c r="B2614" t="n">
        <v>4</v>
      </c>
      <c r="C2614" t="n">
        <v>18</v>
      </c>
      <c r="D2614" t="n">
        <v>20</v>
      </c>
      <c r="E2614" s="10" t="n">
        <v>0</v>
      </c>
      <c r="F2614" s="10" t="n">
        <v>0.2006441761546023</v>
      </c>
      <c r="G2614" s="11">
        <f>E2614*Summary!$B$6</f>
        <v/>
      </c>
      <c r="H2614" s="11">
        <f>F2614*Summary!$B$7</f>
        <v/>
      </c>
      <c r="I2614" s="11">
        <f>MAX(0,N2614-M2614)</f>
        <v/>
      </c>
      <c r="J2614" s="11">
        <f>MAX(0,M2614-N2614)</f>
        <v/>
      </c>
      <c r="K2614" s="11">
        <f>O2614</f>
        <v/>
      </c>
      <c r="L2614" s="11">
        <f>L2613+IF(K2614&gt;0,K2614*Summary!$B$9,K2614/Summary!$B$9)</f>
        <v/>
      </c>
      <c r="M2614" s="11">
        <f>G2614+H2614</f>
        <v/>
      </c>
      <c r="N2614" s="11">
        <f>Summary!$C$16*Summary!$B$8</f>
        <v/>
      </c>
      <c r="O2614" s="11">
        <f>M2614-N2614</f>
        <v/>
      </c>
    </row>
    <row r="2615">
      <c r="A2615" s="9" t="n">
        <v>45400.875</v>
      </c>
      <c r="B2615" t="n">
        <v>4</v>
      </c>
      <c r="C2615" t="n">
        <v>18</v>
      </c>
      <c r="D2615" t="n">
        <v>21</v>
      </c>
      <c r="E2615" s="10" t="n">
        <v>0</v>
      </c>
      <c r="F2615" s="10" t="n">
        <v>0.210262658463038</v>
      </c>
      <c r="G2615" s="11">
        <f>E2615*Summary!$B$6</f>
        <v/>
      </c>
      <c r="H2615" s="11">
        <f>F2615*Summary!$B$7</f>
        <v/>
      </c>
      <c r="I2615" s="11">
        <f>MAX(0,N2615-M2615)</f>
        <v/>
      </c>
      <c r="J2615" s="11">
        <f>MAX(0,M2615-N2615)</f>
        <v/>
      </c>
      <c r="K2615" s="11">
        <f>O2615</f>
        <v/>
      </c>
      <c r="L2615" s="11">
        <f>L2614+IF(K2615&gt;0,K2615*Summary!$B$9,K2615/Summary!$B$9)</f>
        <v/>
      </c>
      <c r="M2615" s="11">
        <f>G2615+H2615</f>
        <v/>
      </c>
      <c r="N2615" s="11">
        <f>Summary!$C$16*Summary!$B$8</f>
        <v/>
      </c>
      <c r="O2615" s="11">
        <f>M2615-N2615</f>
        <v/>
      </c>
    </row>
    <row r="2616">
      <c r="A2616" s="9" t="n">
        <v>45400.91666666666</v>
      </c>
      <c r="B2616" t="n">
        <v>4</v>
      </c>
      <c r="C2616" t="n">
        <v>18</v>
      </c>
      <c r="D2616" t="n">
        <v>22</v>
      </c>
      <c r="E2616" s="10" t="n">
        <v>0</v>
      </c>
      <c r="F2616" s="10" t="n">
        <v>0.2146897955255509</v>
      </c>
      <c r="G2616" s="11">
        <f>E2616*Summary!$B$6</f>
        <v/>
      </c>
      <c r="H2616" s="11">
        <f>F2616*Summary!$B$7</f>
        <v/>
      </c>
      <c r="I2616" s="11">
        <f>MAX(0,N2616-M2616)</f>
        <v/>
      </c>
      <c r="J2616" s="11">
        <f>MAX(0,M2616-N2616)</f>
        <v/>
      </c>
      <c r="K2616" s="11">
        <f>O2616</f>
        <v/>
      </c>
      <c r="L2616" s="11">
        <f>L2615+IF(K2616&gt;0,K2616*Summary!$B$9,K2616/Summary!$B$9)</f>
        <v/>
      </c>
      <c r="M2616" s="11">
        <f>G2616+H2616</f>
        <v/>
      </c>
      <c r="N2616" s="11">
        <f>Summary!$C$16*Summary!$B$8</f>
        <v/>
      </c>
      <c r="O2616" s="11">
        <f>M2616-N2616</f>
        <v/>
      </c>
    </row>
    <row r="2617">
      <c r="A2617" s="9" t="n">
        <v>45400.95833333334</v>
      </c>
      <c r="B2617" t="n">
        <v>4</v>
      </c>
      <c r="C2617" t="n">
        <v>18</v>
      </c>
      <c r="D2617" t="n">
        <v>23</v>
      </c>
      <c r="E2617" s="10" t="n">
        <v>0</v>
      </c>
      <c r="F2617" s="10" t="n">
        <v>0.2095248022859525</v>
      </c>
      <c r="G2617" s="11">
        <f>E2617*Summary!$B$6</f>
        <v/>
      </c>
      <c r="H2617" s="11">
        <f>F2617*Summary!$B$7</f>
        <v/>
      </c>
      <c r="I2617" s="11">
        <f>MAX(0,N2617-M2617)</f>
        <v/>
      </c>
      <c r="J2617" s="11">
        <f>MAX(0,M2617-N2617)</f>
        <v/>
      </c>
      <c r="K2617" s="11">
        <f>O2617</f>
        <v/>
      </c>
      <c r="L2617" s="11">
        <f>L2616+IF(K2617&gt;0,K2617*Summary!$B$9,K2617/Summary!$B$9)</f>
        <v/>
      </c>
      <c r="M2617" s="11">
        <f>G2617+H2617</f>
        <v/>
      </c>
      <c r="N2617" s="11">
        <f>Summary!$C$16*Summary!$B$8</f>
        <v/>
      </c>
      <c r="O2617" s="11">
        <f>M2617-N2617</f>
        <v/>
      </c>
    </row>
    <row r="2618">
      <c r="A2618" s="9" t="n">
        <v>45401</v>
      </c>
      <c r="B2618" t="n">
        <v>4</v>
      </c>
      <c r="C2618" t="n">
        <v>19</v>
      </c>
      <c r="D2618" t="n">
        <v>0</v>
      </c>
      <c r="E2618" s="10" t="n">
        <v>0</v>
      </c>
      <c r="F2618" s="10" t="n">
        <v>0.2815448355707605</v>
      </c>
      <c r="G2618" s="11">
        <f>E2618*Summary!$B$6</f>
        <v/>
      </c>
      <c r="H2618" s="11">
        <f>F2618*Summary!$B$7</f>
        <v/>
      </c>
      <c r="I2618" s="11">
        <f>MAX(0,N2618-M2618)</f>
        <v/>
      </c>
      <c r="J2618" s="11">
        <f>MAX(0,M2618-N2618)</f>
        <v/>
      </c>
      <c r="K2618" s="11">
        <f>O2618</f>
        <v/>
      </c>
      <c r="L2618" s="11">
        <f>L2617+IF(K2618&gt;0,K2618*Summary!$B$9,K2618/Summary!$B$9)</f>
        <v/>
      </c>
      <c r="M2618" s="11">
        <f>G2618+H2618</f>
        <v/>
      </c>
      <c r="N2618" s="11">
        <f>Summary!$C$16*Summary!$B$8</f>
        <v/>
      </c>
      <c r="O2618" s="11">
        <f>M2618-N2618</f>
        <v/>
      </c>
    </row>
    <row r="2619">
      <c r="A2619" s="9" t="n">
        <v>45401.04166666666</v>
      </c>
      <c r="B2619" t="n">
        <v>4</v>
      </c>
      <c r="C2619" t="n">
        <v>19</v>
      </c>
      <c r="D2619" t="n">
        <v>1</v>
      </c>
      <c r="E2619" s="10" t="n">
        <v>0</v>
      </c>
      <c r="F2619" s="10" t="n">
        <v>0.2087869461088671</v>
      </c>
      <c r="G2619" s="11">
        <f>E2619*Summary!$B$6</f>
        <v/>
      </c>
      <c r="H2619" s="11">
        <f>F2619*Summary!$B$7</f>
        <v/>
      </c>
      <c r="I2619" s="11">
        <f>MAX(0,N2619-M2619)</f>
        <v/>
      </c>
      <c r="J2619" s="11">
        <f>MAX(0,M2619-N2619)</f>
        <v/>
      </c>
      <c r="K2619" s="11">
        <f>O2619</f>
        <v/>
      </c>
      <c r="L2619" s="11">
        <f>L2618+IF(K2619&gt;0,K2619*Summary!$B$9,K2619/Summary!$B$9)</f>
        <v/>
      </c>
      <c r="M2619" s="11">
        <f>G2619+H2619</f>
        <v/>
      </c>
      <c r="N2619" s="11">
        <f>Summary!$C$16*Summary!$B$8</f>
        <v/>
      </c>
      <c r="O2619" s="11">
        <f>M2619-N2619</f>
        <v/>
      </c>
    </row>
    <row r="2620">
      <c r="A2620" s="9" t="n">
        <v>45401.08333333334</v>
      </c>
      <c r="B2620" t="n">
        <v>4</v>
      </c>
      <c r="C2620" t="n">
        <v>19</v>
      </c>
      <c r="D2620" t="n">
        <v>2</v>
      </c>
      <c r="E2620" s="10" t="n">
        <v>0</v>
      </c>
      <c r="F2620" s="10" t="n">
        <v>0.2068368976408554</v>
      </c>
      <c r="G2620" s="11">
        <f>E2620*Summary!$B$6</f>
        <v/>
      </c>
      <c r="H2620" s="11">
        <f>F2620*Summary!$B$7</f>
        <v/>
      </c>
      <c r="I2620" s="11">
        <f>MAX(0,N2620-M2620)</f>
        <v/>
      </c>
      <c r="J2620" s="11">
        <f>MAX(0,M2620-N2620)</f>
        <v/>
      </c>
      <c r="K2620" s="11">
        <f>O2620</f>
        <v/>
      </c>
      <c r="L2620" s="11">
        <f>L2619+IF(K2620&gt;0,K2620*Summary!$B$9,K2620/Summary!$B$9)</f>
        <v/>
      </c>
      <c r="M2620" s="11">
        <f>G2620+H2620</f>
        <v/>
      </c>
      <c r="N2620" s="11">
        <f>Summary!$C$16*Summary!$B$8</f>
        <v/>
      </c>
      <c r="O2620" s="11">
        <f>M2620-N2620</f>
        <v/>
      </c>
    </row>
    <row r="2621">
      <c r="A2621" s="9" t="n">
        <v>45401.125</v>
      </c>
      <c r="B2621" t="n">
        <v>4</v>
      </c>
      <c r="C2621" t="n">
        <v>19</v>
      </c>
      <c r="D2621" t="n">
        <v>3</v>
      </c>
      <c r="E2621" s="10" t="n">
        <v>0</v>
      </c>
      <c r="F2621" s="10" t="n">
        <v>0.2068632496471799</v>
      </c>
      <c r="G2621" s="11">
        <f>E2621*Summary!$B$6</f>
        <v/>
      </c>
      <c r="H2621" s="11">
        <f>F2621*Summary!$B$7</f>
        <v/>
      </c>
      <c r="I2621" s="11">
        <f>MAX(0,N2621-M2621)</f>
        <v/>
      </c>
      <c r="J2621" s="11">
        <f>MAX(0,M2621-N2621)</f>
        <v/>
      </c>
      <c r="K2621" s="11">
        <f>O2621</f>
        <v/>
      </c>
      <c r="L2621" s="11">
        <f>L2620+IF(K2621&gt;0,K2621*Summary!$B$9,K2621/Summary!$B$9)</f>
        <v/>
      </c>
      <c r="M2621" s="11">
        <f>G2621+H2621</f>
        <v/>
      </c>
      <c r="N2621" s="11">
        <f>Summary!$C$16*Summary!$B$8</f>
        <v/>
      </c>
      <c r="O2621" s="11">
        <f>M2621-N2621</f>
        <v/>
      </c>
    </row>
    <row r="2622">
      <c r="A2622" s="9" t="n">
        <v>45401.16666666666</v>
      </c>
      <c r="B2622" t="n">
        <v>4</v>
      </c>
      <c r="C2622" t="n">
        <v>19</v>
      </c>
      <c r="D2622" t="n">
        <v>4</v>
      </c>
      <c r="E2622" s="10" t="n">
        <v>0</v>
      </c>
      <c r="F2622" s="10" t="n">
        <v>0.2038327689198645</v>
      </c>
      <c r="G2622" s="11">
        <f>E2622*Summary!$B$6</f>
        <v/>
      </c>
      <c r="H2622" s="11">
        <f>F2622*Summary!$B$7</f>
        <v/>
      </c>
      <c r="I2622" s="11">
        <f>MAX(0,N2622-M2622)</f>
        <v/>
      </c>
      <c r="J2622" s="11">
        <f>MAX(0,M2622-N2622)</f>
        <v/>
      </c>
      <c r="K2622" s="11">
        <f>O2622</f>
        <v/>
      </c>
      <c r="L2622" s="11">
        <f>L2621+IF(K2622&gt;0,K2622*Summary!$B$9,K2622/Summary!$B$9)</f>
        <v/>
      </c>
      <c r="M2622" s="11">
        <f>G2622+H2622</f>
        <v/>
      </c>
      <c r="N2622" s="11">
        <f>Summary!$C$16*Summary!$B$8</f>
        <v/>
      </c>
      <c r="O2622" s="11">
        <f>M2622-N2622</f>
        <v/>
      </c>
    </row>
    <row r="2623">
      <c r="A2623" s="9" t="n">
        <v>45401.20833333334</v>
      </c>
      <c r="B2623" t="n">
        <v>4</v>
      </c>
      <c r="C2623" t="n">
        <v>19</v>
      </c>
      <c r="D2623" t="n">
        <v>5</v>
      </c>
      <c r="E2623" s="10" t="n">
        <v>0.017108</v>
      </c>
      <c r="F2623" s="10" t="n">
        <v>0.1984833116359948</v>
      </c>
      <c r="G2623" s="11">
        <f>E2623*Summary!$B$6</f>
        <v/>
      </c>
      <c r="H2623" s="11">
        <f>F2623*Summary!$B$7</f>
        <v/>
      </c>
      <c r="I2623" s="11">
        <f>MAX(0,N2623-M2623)</f>
        <v/>
      </c>
      <c r="J2623" s="11">
        <f>MAX(0,M2623-N2623)</f>
        <v/>
      </c>
      <c r="K2623" s="11">
        <f>O2623</f>
        <v/>
      </c>
      <c r="L2623" s="11">
        <f>L2622+IF(K2623&gt;0,K2623*Summary!$B$9,K2623/Summary!$B$9)</f>
        <v/>
      </c>
      <c r="M2623" s="11">
        <f>G2623+H2623</f>
        <v/>
      </c>
      <c r="N2623" s="11">
        <f>Summary!$C$16*Summary!$B$8</f>
        <v/>
      </c>
      <c r="O2623" s="11">
        <f>M2623-N2623</f>
        <v/>
      </c>
    </row>
    <row r="2624">
      <c r="A2624" s="9" t="n">
        <v>45401.25</v>
      </c>
      <c r="B2624" t="n">
        <v>4</v>
      </c>
      <c r="C2624" t="n">
        <v>19</v>
      </c>
      <c r="D2624" t="n">
        <v>6</v>
      </c>
      <c r="E2624" s="10" t="n">
        <v>0.110908</v>
      </c>
      <c r="F2624" s="10" t="n">
        <v>0.185360012486403</v>
      </c>
      <c r="G2624" s="11">
        <f>E2624*Summary!$B$6</f>
        <v/>
      </c>
      <c r="H2624" s="11">
        <f>F2624*Summary!$B$7</f>
        <v/>
      </c>
      <c r="I2624" s="11">
        <f>MAX(0,N2624-M2624)</f>
        <v/>
      </c>
      <c r="J2624" s="11">
        <f>MAX(0,M2624-N2624)</f>
        <v/>
      </c>
      <c r="K2624" s="11">
        <f>O2624</f>
        <v/>
      </c>
      <c r="L2624" s="11">
        <f>L2623+IF(K2624&gt;0,K2624*Summary!$B$9,K2624/Summary!$B$9)</f>
        <v/>
      </c>
      <c r="M2624" s="11">
        <f>G2624+H2624</f>
        <v/>
      </c>
      <c r="N2624" s="11">
        <f>Summary!$C$16*Summary!$B$8</f>
        <v/>
      </c>
      <c r="O2624" s="11">
        <f>M2624-N2624</f>
        <v/>
      </c>
    </row>
    <row r="2625">
      <c r="A2625" s="9" t="n">
        <v>45401.29166666666</v>
      </c>
      <c r="B2625" t="n">
        <v>4</v>
      </c>
      <c r="C2625" t="n">
        <v>19</v>
      </c>
      <c r="D2625" t="n">
        <v>7</v>
      </c>
      <c r="E2625" s="10" t="n">
        <v>0.322586</v>
      </c>
      <c r="F2625" s="10" t="n">
        <v>0.1684947284387348</v>
      </c>
      <c r="G2625" s="11">
        <f>E2625*Summary!$B$6</f>
        <v/>
      </c>
      <c r="H2625" s="11">
        <f>F2625*Summary!$B$7</f>
        <v/>
      </c>
      <c r="I2625" s="11">
        <f>MAX(0,N2625-M2625)</f>
        <v/>
      </c>
      <c r="J2625" s="11">
        <f>MAX(0,M2625-N2625)</f>
        <v/>
      </c>
      <c r="K2625" s="11">
        <f>O2625</f>
        <v/>
      </c>
      <c r="L2625" s="11">
        <f>L2624+IF(K2625&gt;0,K2625*Summary!$B$9,K2625/Summary!$B$9)</f>
        <v/>
      </c>
      <c r="M2625" s="11">
        <f>G2625+H2625</f>
        <v/>
      </c>
      <c r="N2625" s="11">
        <f>Summary!$C$16*Summary!$B$8</f>
        <v/>
      </c>
      <c r="O2625" s="11">
        <f>M2625-N2625</f>
        <v/>
      </c>
    </row>
    <row r="2626">
      <c r="A2626" s="9" t="n">
        <v>45401.33333333334</v>
      </c>
      <c r="B2626" t="n">
        <v>4</v>
      </c>
      <c r="C2626" t="n">
        <v>19</v>
      </c>
      <c r="D2626" t="n">
        <v>8</v>
      </c>
      <c r="E2626" s="10" t="n">
        <v>0.535938</v>
      </c>
      <c r="F2626" s="10" t="n">
        <v>0.1637513673003281</v>
      </c>
      <c r="G2626" s="11">
        <f>E2626*Summary!$B$6</f>
        <v/>
      </c>
      <c r="H2626" s="11">
        <f>F2626*Summary!$B$7</f>
        <v/>
      </c>
      <c r="I2626" s="11">
        <f>MAX(0,N2626-M2626)</f>
        <v/>
      </c>
      <c r="J2626" s="11">
        <f>MAX(0,M2626-N2626)</f>
        <v/>
      </c>
      <c r="K2626" s="11">
        <f>O2626</f>
        <v/>
      </c>
      <c r="L2626" s="11">
        <f>L2625+IF(K2626&gt;0,K2626*Summary!$B$9,K2626/Summary!$B$9)</f>
        <v/>
      </c>
      <c r="M2626" s="11">
        <f>G2626+H2626</f>
        <v/>
      </c>
      <c r="N2626" s="11">
        <f>Summary!$C$16*Summary!$B$8</f>
        <v/>
      </c>
      <c r="O2626" s="11">
        <f>M2626-N2626</f>
        <v/>
      </c>
    </row>
    <row r="2627">
      <c r="A2627" s="9" t="n">
        <v>45401.375</v>
      </c>
      <c r="B2627" t="n">
        <v>4</v>
      </c>
      <c r="C2627" t="n">
        <v>19</v>
      </c>
      <c r="D2627" t="n">
        <v>9</v>
      </c>
      <c r="E2627" s="10" t="n">
        <v>0.6982930000000001</v>
      </c>
      <c r="F2627" s="10" t="n">
        <v>0.1684420244260859</v>
      </c>
      <c r="G2627" s="11">
        <f>E2627*Summary!$B$6</f>
        <v/>
      </c>
      <c r="H2627" s="11">
        <f>F2627*Summary!$B$7</f>
        <v/>
      </c>
      <c r="I2627" s="11">
        <f>MAX(0,N2627-M2627)</f>
        <v/>
      </c>
      <c r="J2627" s="11">
        <f>MAX(0,M2627-N2627)</f>
        <v/>
      </c>
      <c r="K2627" s="11">
        <f>O2627</f>
        <v/>
      </c>
      <c r="L2627" s="11">
        <f>L2626+IF(K2627&gt;0,K2627*Summary!$B$9,K2627/Summary!$B$9)</f>
        <v/>
      </c>
      <c r="M2627" s="11">
        <f>G2627+H2627</f>
        <v/>
      </c>
      <c r="N2627" s="11">
        <f>Summary!$C$16*Summary!$B$8</f>
        <v/>
      </c>
      <c r="O2627" s="11">
        <f>M2627-N2627</f>
        <v/>
      </c>
    </row>
    <row r="2628">
      <c r="A2628" s="9" t="n">
        <v>45401.41666666666</v>
      </c>
      <c r="B2628" t="n">
        <v>4</v>
      </c>
      <c r="C2628" t="n">
        <v>19</v>
      </c>
      <c r="D2628" t="n">
        <v>10</v>
      </c>
      <c r="E2628" s="10" t="n">
        <v>0.754058</v>
      </c>
      <c r="F2628" s="10" t="n">
        <v>0.1971920633260952</v>
      </c>
      <c r="G2628" s="11">
        <f>E2628*Summary!$B$6</f>
        <v/>
      </c>
      <c r="H2628" s="11">
        <f>F2628*Summary!$B$7</f>
        <v/>
      </c>
      <c r="I2628" s="11">
        <f>MAX(0,N2628-M2628)</f>
        <v/>
      </c>
      <c r="J2628" s="11">
        <f>MAX(0,M2628-N2628)</f>
        <v/>
      </c>
      <c r="K2628" s="11">
        <f>O2628</f>
        <v/>
      </c>
      <c r="L2628" s="11">
        <f>L2627+IF(K2628&gt;0,K2628*Summary!$B$9,K2628/Summary!$B$9)</f>
        <v/>
      </c>
      <c r="M2628" s="11">
        <f>G2628+H2628</f>
        <v/>
      </c>
      <c r="N2628" s="11">
        <f>Summary!$C$16*Summary!$B$8</f>
        <v/>
      </c>
      <c r="O2628" s="11">
        <f>M2628-N2628</f>
        <v/>
      </c>
    </row>
    <row r="2629">
      <c r="A2629" s="9" t="n">
        <v>45401.45833333334</v>
      </c>
      <c r="B2629" t="n">
        <v>4</v>
      </c>
      <c r="C2629" t="n">
        <v>19</v>
      </c>
      <c r="D2629" t="n">
        <v>11</v>
      </c>
      <c r="E2629" s="10" t="n">
        <v>0.754058</v>
      </c>
      <c r="F2629" s="10" t="n">
        <v>0.1926595182382844</v>
      </c>
      <c r="G2629" s="11">
        <f>E2629*Summary!$B$6</f>
        <v/>
      </c>
      <c r="H2629" s="11">
        <f>F2629*Summary!$B$7</f>
        <v/>
      </c>
      <c r="I2629" s="11">
        <f>MAX(0,N2629-M2629)</f>
        <v/>
      </c>
      <c r="J2629" s="11">
        <f>MAX(0,M2629-N2629)</f>
        <v/>
      </c>
      <c r="K2629" s="11">
        <f>O2629</f>
        <v/>
      </c>
      <c r="L2629" s="11">
        <f>L2628+IF(K2629&gt;0,K2629*Summary!$B$9,K2629/Summary!$B$9)</f>
        <v/>
      </c>
      <c r="M2629" s="11">
        <f>G2629+H2629</f>
        <v/>
      </c>
      <c r="N2629" s="11">
        <f>Summary!$C$16*Summary!$B$8</f>
        <v/>
      </c>
      <c r="O2629" s="11">
        <f>M2629-N2629</f>
        <v/>
      </c>
    </row>
    <row r="2630">
      <c r="A2630" s="9" t="n">
        <v>45401.5</v>
      </c>
      <c r="B2630" t="n">
        <v>4</v>
      </c>
      <c r="C2630" t="n">
        <v>19</v>
      </c>
      <c r="D2630" t="n">
        <v>12</v>
      </c>
      <c r="E2630" s="10" t="n">
        <v>0.754058</v>
      </c>
      <c r="F2630" s="10" t="n">
        <v>0.204623329109599</v>
      </c>
      <c r="G2630" s="11">
        <f>E2630*Summary!$B$6</f>
        <v/>
      </c>
      <c r="H2630" s="11">
        <f>F2630*Summary!$B$7</f>
        <v/>
      </c>
      <c r="I2630" s="11">
        <f>MAX(0,N2630-M2630)</f>
        <v/>
      </c>
      <c r="J2630" s="11">
        <f>MAX(0,M2630-N2630)</f>
        <v/>
      </c>
      <c r="K2630" s="11">
        <f>O2630</f>
        <v/>
      </c>
      <c r="L2630" s="11">
        <f>L2629+IF(K2630&gt;0,K2630*Summary!$B$9,K2630/Summary!$B$9)</f>
        <v/>
      </c>
      <c r="M2630" s="11">
        <f>G2630+H2630</f>
        <v/>
      </c>
      <c r="N2630" s="11">
        <f>Summary!$C$16*Summary!$B$8</f>
        <v/>
      </c>
      <c r="O2630" s="11">
        <f>M2630-N2630</f>
        <v/>
      </c>
    </row>
    <row r="2631">
      <c r="A2631" s="9" t="n">
        <v>45401.54166666666</v>
      </c>
      <c r="B2631" t="n">
        <v>4</v>
      </c>
      <c r="C2631" t="n">
        <v>19</v>
      </c>
      <c r="D2631" t="n">
        <v>13</v>
      </c>
      <c r="E2631" s="10" t="n">
        <v>0.754058</v>
      </c>
      <c r="F2631" s="10" t="n">
        <v>0.2120809468994272</v>
      </c>
      <c r="G2631" s="11">
        <f>E2631*Summary!$B$6</f>
        <v/>
      </c>
      <c r="H2631" s="11">
        <f>F2631*Summary!$B$7</f>
        <v/>
      </c>
      <c r="I2631" s="11">
        <f>MAX(0,N2631-M2631)</f>
        <v/>
      </c>
      <c r="J2631" s="11">
        <f>MAX(0,M2631-N2631)</f>
        <v/>
      </c>
      <c r="K2631" s="11">
        <f>O2631</f>
        <v/>
      </c>
      <c r="L2631" s="11">
        <f>L2630+IF(K2631&gt;0,K2631*Summary!$B$9,K2631/Summary!$B$9)</f>
        <v/>
      </c>
      <c r="M2631" s="11">
        <f>G2631+H2631</f>
        <v/>
      </c>
      <c r="N2631" s="11">
        <f>Summary!$C$16*Summary!$B$8</f>
        <v/>
      </c>
      <c r="O2631" s="11">
        <f>M2631-N2631</f>
        <v/>
      </c>
    </row>
    <row r="2632">
      <c r="A2632" s="9" t="n">
        <v>45401.58333333334</v>
      </c>
      <c r="B2632" t="n">
        <v>4</v>
      </c>
      <c r="C2632" t="n">
        <v>19</v>
      </c>
      <c r="D2632" t="n">
        <v>14</v>
      </c>
      <c r="E2632" s="10" t="n">
        <v>0.733246</v>
      </c>
      <c r="F2632" s="10" t="n">
        <v>0.2208561650054796</v>
      </c>
      <c r="G2632" s="11">
        <f>E2632*Summary!$B$6</f>
        <v/>
      </c>
      <c r="H2632" s="11">
        <f>F2632*Summary!$B$7</f>
        <v/>
      </c>
      <c r="I2632" s="11">
        <f>MAX(0,N2632-M2632)</f>
        <v/>
      </c>
      <c r="J2632" s="11">
        <f>MAX(0,M2632-N2632)</f>
        <v/>
      </c>
      <c r="K2632" s="11">
        <f>O2632</f>
        <v/>
      </c>
      <c r="L2632" s="11">
        <f>L2631+IF(K2632&gt;0,K2632*Summary!$B$9,K2632/Summary!$B$9)</f>
        <v/>
      </c>
      <c r="M2632" s="11">
        <f>G2632+H2632</f>
        <v/>
      </c>
      <c r="N2632" s="11">
        <f>Summary!$C$16*Summary!$B$8</f>
        <v/>
      </c>
      <c r="O2632" s="11">
        <f>M2632-N2632</f>
        <v/>
      </c>
    </row>
    <row r="2633">
      <c r="A2633" s="9" t="n">
        <v>45401.625</v>
      </c>
      <c r="B2633" t="n">
        <v>4</v>
      </c>
      <c r="C2633" t="n">
        <v>19</v>
      </c>
      <c r="D2633" t="n">
        <v>15</v>
      </c>
      <c r="E2633" s="10" t="n">
        <v>0.584743</v>
      </c>
      <c r="F2633" s="10" t="n">
        <v>0.2223055253533261</v>
      </c>
      <c r="G2633" s="11">
        <f>E2633*Summary!$B$6</f>
        <v/>
      </c>
      <c r="H2633" s="11">
        <f>F2633*Summary!$B$7</f>
        <v/>
      </c>
      <c r="I2633" s="11">
        <f>MAX(0,N2633-M2633)</f>
        <v/>
      </c>
      <c r="J2633" s="11">
        <f>MAX(0,M2633-N2633)</f>
        <v/>
      </c>
      <c r="K2633" s="11">
        <f>O2633</f>
        <v/>
      </c>
      <c r="L2633" s="11">
        <f>L2632+IF(K2633&gt;0,K2633*Summary!$B$9,K2633/Summary!$B$9)</f>
        <v/>
      </c>
      <c r="M2633" s="11">
        <f>G2633+H2633</f>
        <v/>
      </c>
      <c r="N2633" s="11">
        <f>Summary!$C$16*Summary!$B$8</f>
        <v/>
      </c>
      <c r="O2633" s="11">
        <f>M2633-N2633</f>
        <v/>
      </c>
    </row>
    <row r="2634">
      <c r="A2634" s="9" t="n">
        <v>45401.66666666666</v>
      </c>
      <c r="B2634" t="n">
        <v>4</v>
      </c>
      <c r="C2634" t="n">
        <v>19</v>
      </c>
      <c r="D2634" t="n">
        <v>16</v>
      </c>
      <c r="E2634" s="10" t="n">
        <v>0.376229</v>
      </c>
      <c r="F2634" s="10" t="n">
        <v>0.2216730772015385</v>
      </c>
      <c r="G2634" s="11">
        <f>E2634*Summary!$B$6</f>
        <v/>
      </c>
      <c r="H2634" s="11">
        <f>F2634*Summary!$B$7</f>
        <v/>
      </c>
      <c r="I2634" s="11">
        <f>MAX(0,N2634-M2634)</f>
        <v/>
      </c>
      <c r="J2634" s="11">
        <f>MAX(0,M2634-N2634)</f>
        <v/>
      </c>
      <c r="K2634" s="11">
        <f>O2634</f>
        <v/>
      </c>
      <c r="L2634" s="11">
        <f>L2633+IF(K2634&gt;0,K2634*Summary!$B$9,K2634/Summary!$B$9)</f>
        <v/>
      </c>
      <c r="M2634" s="11">
        <f>G2634+H2634</f>
        <v/>
      </c>
      <c r="N2634" s="11">
        <f>Summary!$C$16*Summary!$B$8</f>
        <v/>
      </c>
      <c r="O2634" s="11">
        <f>M2634-N2634</f>
        <v/>
      </c>
    </row>
    <row r="2635">
      <c r="A2635" s="9" t="n">
        <v>45401.70833333334</v>
      </c>
      <c r="B2635" t="n">
        <v>4</v>
      </c>
      <c r="C2635" t="n">
        <v>19</v>
      </c>
      <c r="D2635" t="n">
        <v>17</v>
      </c>
      <c r="E2635" s="10" t="n">
        <v>0.156078</v>
      </c>
      <c r="F2635" s="10" t="n">
        <v>0.2219629492711078</v>
      </c>
      <c r="G2635" s="11">
        <f>E2635*Summary!$B$6</f>
        <v/>
      </c>
      <c r="H2635" s="11">
        <f>F2635*Summary!$B$7</f>
        <v/>
      </c>
      <c r="I2635" s="11">
        <f>MAX(0,N2635-M2635)</f>
        <v/>
      </c>
      <c r="J2635" s="11">
        <f>MAX(0,M2635-N2635)</f>
        <v/>
      </c>
      <c r="K2635" s="11">
        <f>O2635</f>
        <v/>
      </c>
      <c r="L2635" s="11">
        <f>L2634+IF(K2635&gt;0,K2635*Summary!$B$9,K2635/Summary!$B$9)</f>
        <v/>
      </c>
      <c r="M2635" s="11">
        <f>G2635+H2635</f>
        <v/>
      </c>
      <c r="N2635" s="11">
        <f>Summary!$C$16*Summary!$B$8</f>
        <v/>
      </c>
      <c r="O2635" s="11">
        <f>M2635-N2635</f>
        <v/>
      </c>
    </row>
    <row r="2636">
      <c r="A2636" s="9" t="n">
        <v>45401.75</v>
      </c>
      <c r="B2636" t="n">
        <v>4</v>
      </c>
      <c r="C2636" t="n">
        <v>19</v>
      </c>
      <c r="D2636" t="n">
        <v>18</v>
      </c>
      <c r="E2636" s="10" t="n">
        <v>0.026269</v>
      </c>
      <c r="F2636" s="10" t="n">
        <v>0.2277603906624938</v>
      </c>
      <c r="G2636" s="11">
        <f>E2636*Summary!$B$6</f>
        <v/>
      </c>
      <c r="H2636" s="11">
        <f>F2636*Summary!$B$7</f>
        <v/>
      </c>
      <c r="I2636" s="11">
        <f>MAX(0,N2636-M2636)</f>
        <v/>
      </c>
      <c r="J2636" s="11">
        <f>MAX(0,M2636-N2636)</f>
        <v/>
      </c>
      <c r="K2636" s="11">
        <f>O2636</f>
        <v/>
      </c>
      <c r="L2636" s="11">
        <f>L2635+IF(K2636&gt;0,K2636*Summary!$B$9,K2636/Summary!$B$9)</f>
        <v/>
      </c>
      <c r="M2636" s="11">
        <f>G2636+H2636</f>
        <v/>
      </c>
      <c r="N2636" s="11">
        <f>Summary!$C$16*Summary!$B$8</f>
        <v/>
      </c>
      <c r="O2636" s="11">
        <f>M2636-N2636</f>
        <v/>
      </c>
    </row>
    <row r="2637">
      <c r="A2637" s="9" t="n">
        <v>45401.79166666666</v>
      </c>
      <c r="B2637" t="n">
        <v>4</v>
      </c>
      <c r="C2637" t="n">
        <v>19</v>
      </c>
      <c r="D2637" t="n">
        <v>19</v>
      </c>
      <c r="E2637" s="10" t="n">
        <v>0</v>
      </c>
      <c r="F2637" s="10" t="n">
        <v>0.240251241660298</v>
      </c>
      <c r="G2637" s="11">
        <f>E2637*Summary!$B$6</f>
        <v/>
      </c>
      <c r="H2637" s="11">
        <f>F2637*Summary!$B$7</f>
        <v/>
      </c>
      <c r="I2637" s="11">
        <f>MAX(0,N2637-M2637)</f>
        <v/>
      </c>
      <c r="J2637" s="11">
        <f>MAX(0,M2637-N2637)</f>
        <v/>
      </c>
      <c r="K2637" s="11">
        <f>O2637</f>
        <v/>
      </c>
      <c r="L2637" s="11">
        <f>L2636+IF(K2637&gt;0,K2637*Summary!$B$9,K2637/Summary!$B$9)</f>
        <v/>
      </c>
      <c r="M2637" s="11">
        <f>G2637+H2637</f>
        <v/>
      </c>
      <c r="N2637" s="11">
        <f>Summary!$C$16*Summary!$B$8</f>
        <v/>
      </c>
      <c r="O2637" s="11">
        <f>M2637-N2637</f>
        <v/>
      </c>
    </row>
    <row r="2638">
      <c r="A2638" s="9" t="n">
        <v>45401.83333333334</v>
      </c>
      <c r="B2638" t="n">
        <v>4</v>
      </c>
      <c r="C2638" t="n">
        <v>19</v>
      </c>
      <c r="D2638" t="n">
        <v>20</v>
      </c>
      <c r="E2638" s="10" t="n">
        <v>0</v>
      </c>
      <c r="F2638" s="10" t="n">
        <v>0.2567739496257479</v>
      </c>
      <c r="G2638" s="11">
        <f>E2638*Summary!$B$6</f>
        <v/>
      </c>
      <c r="H2638" s="11">
        <f>F2638*Summary!$B$7</f>
        <v/>
      </c>
      <c r="I2638" s="11">
        <f>MAX(0,N2638-M2638)</f>
        <v/>
      </c>
      <c r="J2638" s="11">
        <f>MAX(0,M2638-N2638)</f>
        <v/>
      </c>
      <c r="K2638" s="11">
        <f>O2638</f>
        <v/>
      </c>
      <c r="L2638" s="11">
        <f>L2637+IF(K2638&gt;0,K2638*Summary!$B$9,K2638/Summary!$B$9)</f>
        <v/>
      </c>
      <c r="M2638" s="11">
        <f>G2638+H2638</f>
        <v/>
      </c>
      <c r="N2638" s="11">
        <f>Summary!$C$16*Summary!$B$8</f>
        <v/>
      </c>
      <c r="O2638" s="11">
        <f>M2638-N2638</f>
        <v/>
      </c>
    </row>
    <row r="2639">
      <c r="A2639" s="9" t="n">
        <v>45401.875</v>
      </c>
      <c r="B2639" t="n">
        <v>4</v>
      </c>
      <c r="C2639" t="n">
        <v>19</v>
      </c>
      <c r="D2639" t="n">
        <v>21</v>
      </c>
      <c r="E2639" s="10" t="n">
        <v>0</v>
      </c>
      <c r="F2639" s="10" t="n">
        <v>0.2734547696291447</v>
      </c>
      <c r="G2639" s="11">
        <f>E2639*Summary!$B$6</f>
        <v/>
      </c>
      <c r="H2639" s="11">
        <f>F2639*Summary!$B$7</f>
        <v/>
      </c>
      <c r="I2639" s="11">
        <f>MAX(0,N2639-M2639)</f>
        <v/>
      </c>
      <c r="J2639" s="11">
        <f>MAX(0,M2639-N2639)</f>
        <v/>
      </c>
      <c r="K2639" s="11">
        <f>O2639</f>
        <v/>
      </c>
      <c r="L2639" s="11">
        <f>L2638+IF(K2639&gt;0,K2639*Summary!$B$9,K2639/Summary!$B$9)</f>
        <v/>
      </c>
      <c r="M2639" s="11">
        <f>G2639+H2639</f>
        <v/>
      </c>
      <c r="N2639" s="11">
        <f>Summary!$C$16*Summary!$B$8</f>
        <v/>
      </c>
      <c r="O2639" s="11">
        <f>M2639-N2639</f>
        <v/>
      </c>
    </row>
    <row r="2640">
      <c r="A2640" s="9" t="n">
        <v>45401.91666666666</v>
      </c>
      <c r="B2640" t="n">
        <v>4</v>
      </c>
      <c r="C2640" t="n">
        <v>19</v>
      </c>
      <c r="D2640" t="n">
        <v>22</v>
      </c>
      <c r="E2640" s="10" t="n">
        <v>0</v>
      </c>
      <c r="F2640" s="10" t="n">
        <v>0.2852868204688369</v>
      </c>
      <c r="G2640" s="11">
        <f>E2640*Summary!$B$6</f>
        <v/>
      </c>
      <c r="H2640" s="11">
        <f>F2640*Summary!$B$7</f>
        <v/>
      </c>
      <c r="I2640" s="11">
        <f>MAX(0,N2640-M2640)</f>
        <v/>
      </c>
      <c r="J2640" s="11">
        <f>MAX(0,M2640-N2640)</f>
        <v/>
      </c>
      <c r="K2640" s="11">
        <f>O2640</f>
        <v/>
      </c>
      <c r="L2640" s="11">
        <f>L2639+IF(K2640&gt;0,K2640*Summary!$B$9,K2640/Summary!$B$9)</f>
        <v/>
      </c>
      <c r="M2640" s="11">
        <f>G2640+H2640</f>
        <v/>
      </c>
      <c r="N2640" s="11">
        <f>Summary!$C$16*Summary!$B$8</f>
        <v/>
      </c>
      <c r="O2640" s="11">
        <f>M2640-N2640</f>
        <v/>
      </c>
    </row>
    <row r="2641">
      <c r="A2641" s="9" t="n">
        <v>45401.95833333334</v>
      </c>
      <c r="B2641" t="n">
        <v>4</v>
      </c>
      <c r="C2641" t="n">
        <v>19</v>
      </c>
      <c r="D2641" t="n">
        <v>23</v>
      </c>
      <c r="E2641" s="10" t="n">
        <v>0</v>
      </c>
      <c r="F2641" s="10" t="n">
        <v>0.280965091431622</v>
      </c>
      <c r="G2641" s="11">
        <f>E2641*Summary!$B$6</f>
        <v/>
      </c>
      <c r="H2641" s="11">
        <f>F2641*Summary!$B$7</f>
        <v/>
      </c>
      <c r="I2641" s="11">
        <f>MAX(0,N2641-M2641)</f>
        <v/>
      </c>
      <c r="J2641" s="11">
        <f>MAX(0,M2641-N2641)</f>
        <v/>
      </c>
      <c r="K2641" s="11">
        <f>O2641</f>
        <v/>
      </c>
      <c r="L2641" s="11">
        <f>L2640+IF(K2641&gt;0,K2641*Summary!$B$9,K2641/Summary!$B$9)</f>
        <v/>
      </c>
      <c r="M2641" s="11">
        <f>G2641+H2641</f>
        <v/>
      </c>
      <c r="N2641" s="11">
        <f>Summary!$C$16*Summary!$B$8</f>
        <v/>
      </c>
      <c r="O2641" s="11">
        <f>M2641-N2641</f>
        <v/>
      </c>
    </row>
    <row r="2642">
      <c r="A2642" s="9" t="n">
        <v>45402</v>
      </c>
      <c r="B2642" t="n">
        <v>4</v>
      </c>
      <c r="C2642" t="n">
        <v>20</v>
      </c>
      <c r="D2642" t="n">
        <v>0</v>
      </c>
      <c r="E2642" s="10" t="n">
        <v>0</v>
      </c>
      <c r="F2642" s="10" t="n">
        <v>0.2756156341477522</v>
      </c>
      <c r="G2642" s="11">
        <f>E2642*Summary!$B$6</f>
        <v/>
      </c>
      <c r="H2642" s="11">
        <f>F2642*Summary!$B$7</f>
        <v/>
      </c>
      <c r="I2642" s="11">
        <f>MAX(0,N2642-M2642)</f>
        <v/>
      </c>
      <c r="J2642" s="11">
        <f>MAX(0,M2642-N2642)</f>
        <v/>
      </c>
      <c r="K2642" s="11">
        <f>O2642</f>
        <v/>
      </c>
      <c r="L2642" s="11">
        <f>L2641+IF(K2642&gt;0,K2642*Summary!$B$9,K2642/Summary!$B$9)</f>
        <v/>
      </c>
      <c r="M2642" s="11">
        <f>G2642+H2642</f>
        <v/>
      </c>
      <c r="N2642" s="11">
        <f>Summary!$C$16*Summary!$B$8</f>
        <v/>
      </c>
      <c r="O2642" s="11">
        <f>M2642-N2642</f>
        <v/>
      </c>
    </row>
    <row r="2643">
      <c r="A2643" s="9" t="n">
        <v>45402.04166666666</v>
      </c>
      <c r="B2643" t="n">
        <v>4</v>
      </c>
      <c r="C2643" t="n">
        <v>20</v>
      </c>
      <c r="D2643" t="n">
        <v>1</v>
      </c>
      <c r="E2643" s="10" t="n">
        <v>0</v>
      </c>
      <c r="F2643" s="10" t="n">
        <v>0.2767224184133804</v>
      </c>
      <c r="G2643" s="11">
        <f>E2643*Summary!$B$6</f>
        <v/>
      </c>
      <c r="H2643" s="11">
        <f>F2643*Summary!$B$7</f>
        <v/>
      </c>
      <c r="I2643" s="11">
        <f>MAX(0,N2643-M2643)</f>
        <v/>
      </c>
      <c r="J2643" s="11">
        <f>MAX(0,M2643-N2643)</f>
        <v/>
      </c>
      <c r="K2643" s="11">
        <f>O2643</f>
        <v/>
      </c>
      <c r="L2643" s="11">
        <f>L2642+IF(K2643&gt;0,K2643*Summary!$B$9,K2643/Summary!$B$9)</f>
        <v/>
      </c>
      <c r="M2643" s="11">
        <f>G2643+H2643</f>
        <v/>
      </c>
      <c r="N2643" s="11">
        <f>Summary!$C$16*Summary!$B$8</f>
        <v/>
      </c>
      <c r="O2643" s="11">
        <f>M2643-N2643</f>
        <v/>
      </c>
    </row>
    <row r="2644">
      <c r="A2644" s="9" t="n">
        <v>45402.08333333334</v>
      </c>
      <c r="B2644" t="n">
        <v>4</v>
      </c>
      <c r="C2644" t="n">
        <v>20</v>
      </c>
      <c r="D2644" t="n">
        <v>2</v>
      </c>
      <c r="E2644" s="10" t="n">
        <v>0</v>
      </c>
      <c r="F2644" s="10" t="n">
        <v>0.27724945853987</v>
      </c>
      <c r="G2644" s="11">
        <f>E2644*Summary!$B$6</f>
        <v/>
      </c>
      <c r="H2644" s="11">
        <f>F2644*Summary!$B$7</f>
        <v/>
      </c>
      <c r="I2644" s="11">
        <f>MAX(0,N2644-M2644)</f>
        <v/>
      </c>
      <c r="J2644" s="11">
        <f>MAX(0,M2644-N2644)</f>
        <v/>
      </c>
      <c r="K2644" s="11">
        <f>O2644</f>
        <v/>
      </c>
      <c r="L2644" s="11">
        <f>L2643+IF(K2644&gt;0,K2644*Summary!$B$9,K2644/Summary!$B$9)</f>
        <v/>
      </c>
      <c r="M2644" s="11">
        <f>G2644+H2644</f>
        <v/>
      </c>
      <c r="N2644" s="11">
        <f>Summary!$C$16*Summary!$B$8</f>
        <v/>
      </c>
      <c r="O2644" s="11">
        <f>M2644-N2644</f>
        <v/>
      </c>
    </row>
    <row r="2645">
      <c r="A2645" s="9" t="n">
        <v>45402.125</v>
      </c>
      <c r="B2645" t="n">
        <v>4</v>
      </c>
      <c r="C2645" t="n">
        <v>20</v>
      </c>
      <c r="D2645" t="n">
        <v>3</v>
      </c>
      <c r="E2645" s="10" t="n">
        <v>0</v>
      </c>
      <c r="F2645" s="10" t="n">
        <v>0.2793049150331796</v>
      </c>
      <c r="G2645" s="11">
        <f>E2645*Summary!$B$6</f>
        <v/>
      </c>
      <c r="H2645" s="11">
        <f>F2645*Summary!$B$7</f>
        <v/>
      </c>
      <c r="I2645" s="11">
        <f>MAX(0,N2645-M2645)</f>
        <v/>
      </c>
      <c r="J2645" s="11">
        <f>MAX(0,M2645-N2645)</f>
        <v/>
      </c>
      <c r="K2645" s="11">
        <f>O2645</f>
        <v/>
      </c>
      <c r="L2645" s="11">
        <f>L2644+IF(K2645&gt;0,K2645*Summary!$B$9,K2645/Summary!$B$9)</f>
        <v/>
      </c>
      <c r="M2645" s="11">
        <f>G2645+H2645</f>
        <v/>
      </c>
      <c r="N2645" s="11">
        <f>Summary!$C$16*Summary!$B$8</f>
        <v/>
      </c>
      <c r="O2645" s="11">
        <f>M2645-N2645</f>
        <v/>
      </c>
    </row>
    <row r="2646">
      <c r="A2646" s="9" t="n">
        <v>45402.16666666666</v>
      </c>
      <c r="B2646" t="n">
        <v>4</v>
      </c>
      <c r="C2646" t="n">
        <v>20</v>
      </c>
      <c r="D2646" t="n">
        <v>4</v>
      </c>
      <c r="E2646" s="10" t="n">
        <v>0</v>
      </c>
      <c r="F2646" s="10" t="n">
        <v>0.2779346107043066</v>
      </c>
      <c r="G2646" s="11">
        <f>E2646*Summary!$B$6</f>
        <v/>
      </c>
      <c r="H2646" s="11">
        <f>F2646*Summary!$B$7</f>
        <v/>
      </c>
      <c r="I2646" s="11">
        <f>MAX(0,N2646-M2646)</f>
        <v/>
      </c>
      <c r="J2646" s="11">
        <f>MAX(0,M2646-N2646)</f>
        <v/>
      </c>
      <c r="K2646" s="11">
        <f>O2646</f>
        <v/>
      </c>
      <c r="L2646" s="11">
        <f>L2645+IF(K2646&gt;0,K2646*Summary!$B$9,K2646/Summary!$B$9)</f>
        <v/>
      </c>
      <c r="M2646" s="11">
        <f>G2646+H2646</f>
        <v/>
      </c>
      <c r="N2646" s="11">
        <f>Summary!$C$16*Summary!$B$8</f>
        <v/>
      </c>
      <c r="O2646" s="11">
        <f>M2646-N2646</f>
        <v/>
      </c>
    </row>
    <row r="2647">
      <c r="A2647" s="9" t="n">
        <v>45402.20833333334</v>
      </c>
      <c r="B2647" t="n">
        <v>4</v>
      </c>
      <c r="C2647" t="n">
        <v>20</v>
      </c>
      <c r="D2647" t="n">
        <v>5</v>
      </c>
      <c r="E2647" s="10" t="n">
        <v>0.01866</v>
      </c>
      <c r="F2647" s="10" t="n">
        <v>0.2711621450789148</v>
      </c>
      <c r="G2647" s="11">
        <f>E2647*Summary!$B$6</f>
        <v/>
      </c>
      <c r="H2647" s="11">
        <f>F2647*Summary!$B$7</f>
        <v/>
      </c>
      <c r="I2647" s="11">
        <f>MAX(0,N2647-M2647)</f>
        <v/>
      </c>
      <c r="J2647" s="11">
        <f>MAX(0,M2647-N2647)</f>
        <v/>
      </c>
      <c r="K2647" s="11">
        <f>O2647</f>
        <v/>
      </c>
      <c r="L2647" s="11">
        <f>L2646+IF(K2647&gt;0,K2647*Summary!$B$9,K2647/Summary!$B$9)</f>
        <v/>
      </c>
      <c r="M2647" s="11">
        <f>G2647+H2647</f>
        <v/>
      </c>
      <c r="N2647" s="11">
        <f>Summary!$C$16*Summary!$B$8</f>
        <v/>
      </c>
      <c r="O2647" s="11">
        <f>M2647-N2647</f>
        <v/>
      </c>
    </row>
    <row r="2648">
      <c r="A2648" s="9" t="n">
        <v>45402.25</v>
      </c>
      <c r="B2648" t="n">
        <v>4</v>
      </c>
      <c r="C2648" t="n">
        <v>20</v>
      </c>
      <c r="D2648" t="n">
        <v>6</v>
      </c>
      <c r="E2648" s="10" t="n">
        <v>0.111019</v>
      </c>
      <c r="F2648" s="10" t="n">
        <v>0.2490264597663503</v>
      </c>
      <c r="G2648" s="11">
        <f>E2648*Summary!$B$6</f>
        <v/>
      </c>
      <c r="H2648" s="11">
        <f>F2648*Summary!$B$7</f>
        <v/>
      </c>
      <c r="I2648" s="11">
        <f>MAX(0,N2648-M2648)</f>
        <v/>
      </c>
      <c r="J2648" s="11">
        <f>MAX(0,M2648-N2648)</f>
        <v/>
      </c>
      <c r="K2648" s="11">
        <f>O2648</f>
        <v/>
      </c>
      <c r="L2648" s="11">
        <f>L2647+IF(K2648&gt;0,K2648*Summary!$B$9,K2648/Summary!$B$9)</f>
        <v/>
      </c>
      <c r="M2648" s="11">
        <f>G2648+H2648</f>
        <v/>
      </c>
      <c r="N2648" s="11">
        <f>Summary!$C$16*Summary!$B$8</f>
        <v/>
      </c>
      <c r="O2648" s="11">
        <f>M2648-N2648</f>
        <v/>
      </c>
    </row>
    <row r="2649">
      <c r="A2649" s="9" t="n">
        <v>45402.29166666666</v>
      </c>
      <c r="B2649" t="n">
        <v>4</v>
      </c>
      <c r="C2649" t="n">
        <v>20</v>
      </c>
      <c r="D2649" t="n">
        <v>7</v>
      </c>
      <c r="E2649" s="10" t="n">
        <v>0.286322</v>
      </c>
      <c r="F2649" s="10" t="n">
        <v>0.221752133220512</v>
      </c>
      <c r="G2649" s="11">
        <f>E2649*Summary!$B$6</f>
        <v/>
      </c>
      <c r="H2649" s="11">
        <f>F2649*Summary!$B$7</f>
        <v/>
      </c>
      <c r="I2649" s="11">
        <f>MAX(0,N2649-M2649)</f>
        <v/>
      </c>
      <c r="J2649" s="11">
        <f>MAX(0,M2649-N2649)</f>
        <v/>
      </c>
      <c r="K2649" s="11">
        <f>O2649</f>
        <v/>
      </c>
      <c r="L2649" s="11">
        <f>L2648+IF(K2649&gt;0,K2649*Summary!$B$9,K2649/Summary!$B$9)</f>
        <v/>
      </c>
      <c r="M2649" s="11">
        <f>G2649+H2649</f>
        <v/>
      </c>
      <c r="N2649" s="11">
        <f>Summary!$C$16*Summary!$B$8</f>
        <v/>
      </c>
      <c r="O2649" s="11">
        <f>M2649-N2649</f>
        <v/>
      </c>
    </row>
    <row r="2650">
      <c r="A2650" s="9" t="n">
        <v>45402.33333333334</v>
      </c>
      <c r="B2650" t="n">
        <v>4</v>
      </c>
      <c r="C2650" t="n">
        <v>20</v>
      </c>
      <c r="D2650" t="n">
        <v>8</v>
      </c>
      <c r="E2650" s="10" t="n">
        <v>0.2066</v>
      </c>
      <c r="F2650" s="10" t="n">
        <v>0.2059409294258231</v>
      </c>
      <c r="G2650" s="11">
        <f>E2650*Summary!$B$6</f>
        <v/>
      </c>
      <c r="H2650" s="11">
        <f>F2650*Summary!$B$7</f>
        <v/>
      </c>
      <c r="I2650" s="11">
        <f>MAX(0,N2650-M2650)</f>
        <v/>
      </c>
      <c r="J2650" s="11">
        <f>MAX(0,M2650-N2650)</f>
        <v/>
      </c>
      <c r="K2650" s="11">
        <f>O2650</f>
        <v/>
      </c>
      <c r="L2650" s="11">
        <f>L2649+IF(K2650&gt;0,K2650*Summary!$B$9,K2650/Summary!$B$9)</f>
        <v/>
      </c>
      <c r="M2650" s="11">
        <f>G2650+H2650</f>
        <v/>
      </c>
      <c r="N2650" s="11">
        <f>Summary!$C$16*Summary!$B$8</f>
        <v/>
      </c>
      <c r="O2650" s="11">
        <f>M2650-N2650</f>
        <v/>
      </c>
    </row>
    <row r="2651">
      <c r="A2651" s="9" t="n">
        <v>45402.375</v>
      </c>
      <c r="B2651" t="n">
        <v>4</v>
      </c>
      <c r="C2651" t="n">
        <v>20</v>
      </c>
      <c r="D2651" t="n">
        <v>9</v>
      </c>
      <c r="E2651" s="10" t="n">
        <v>0.410045</v>
      </c>
      <c r="F2651" s="10" t="n">
        <v>0.2015137923633102</v>
      </c>
      <c r="G2651" s="11">
        <f>E2651*Summary!$B$6</f>
        <v/>
      </c>
      <c r="H2651" s="11">
        <f>F2651*Summary!$B$7</f>
        <v/>
      </c>
      <c r="I2651" s="11">
        <f>MAX(0,N2651-M2651)</f>
        <v/>
      </c>
      <c r="J2651" s="11">
        <f>MAX(0,M2651-N2651)</f>
        <v/>
      </c>
      <c r="K2651" s="11">
        <f>O2651</f>
        <v/>
      </c>
      <c r="L2651" s="11">
        <f>L2650+IF(K2651&gt;0,K2651*Summary!$B$9,K2651/Summary!$B$9)</f>
        <v/>
      </c>
      <c r="M2651" s="11">
        <f>G2651+H2651</f>
        <v/>
      </c>
      <c r="N2651" s="11">
        <f>Summary!$C$16*Summary!$B$8</f>
        <v/>
      </c>
      <c r="O2651" s="11">
        <f>M2651-N2651</f>
        <v/>
      </c>
    </row>
    <row r="2652">
      <c r="A2652" s="9" t="n">
        <v>45402.41666666666</v>
      </c>
      <c r="B2652" t="n">
        <v>4</v>
      </c>
      <c r="C2652" t="n">
        <v>20</v>
      </c>
      <c r="D2652" t="n">
        <v>10</v>
      </c>
      <c r="E2652" s="10" t="n">
        <v>0.745984</v>
      </c>
      <c r="F2652" s="10" t="n">
        <v>0.2022252965340712</v>
      </c>
      <c r="G2652" s="11">
        <f>E2652*Summary!$B$6</f>
        <v/>
      </c>
      <c r="H2652" s="11">
        <f>F2652*Summary!$B$7</f>
        <v/>
      </c>
      <c r="I2652" s="11">
        <f>MAX(0,N2652-M2652)</f>
        <v/>
      </c>
      <c r="J2652" s="11">
        <f>MAX(0,M2652-N2652)</f>
        <v/>
      </c>
      <c r="K2652" s="11">
        <f>O2652</f>
        <v/>
      </c>
      <c r="L2652" s="11">
        <f>L2651+IF(K2652&gt;0,K2652*Summary!$B$9,K2652/Summary!$B$9)</f>
        <v/>
      </c>
      <c r="M2652" s="11">
        <f>G2652+H2652</f>
        <v/>
      </c>
      <c r="N2652" s="11">
        <f>Summary!$C$16*Summary!$B$8</f>
        <v/>
      </c>
      <c r="O2652" s="11">
        <f>M2652-N2652</f>
        <v/>
      </c>
    </row>
    <row r="2653">
      <c r="A2653" s="9" t="n">
        <v>45402.45833333334</v>
      </c>
      <c r="B2653" t="n">
        <v>4</v>
      </c>
      <c r="C2653" t="n">
        <v>20</v>
      </c>
      <c r="D2653" t="n">
        <v>11</v>
      </c>
      <c r="E2653" s="10" t="n">
        <v>0.754058</v>
      </c>
      <c r="F2653" s="10" t="n">
        <v>0.206046337451121</v>
      </c>
      <c r="G2653" s="11">
        <f>E2653*Summary!$B$6</f>
        <v/>
      </c>
      <c r="H2653" s="11">
        <f>F2653*Summary!$B$7</f>
        <v/>
      </c>
      <c r="I2653" s="11">
        <f>MAX(0,N2653-M2653)</f>
        <v/>
      </c>
      <c r="J2653" s="11">
        <f>MAX(0,M2653-N2653)</f>
        <v/>
      </c>
      <c r="K2653" s="11">
        <f>O2653</f>
        <v/>
      </c>
      <c r="L2653" s="11">
        <f>L2652+IF(K2653&gt;0,K2653*Summary!$B$9,K2653/Summary!$B$9)</f>
        <v/>
      </c>
      <c r="M2653" s="11">
        <f>G2653+H2653</f>
        <v/>
      </c>
      <c r="N2653" s="11">
        <f>Summary!$C$16*Summary!$B$8</f>
        <v/>
      </c>
      <c r="O2653" s="11">
        <f>M2653-N2653</f>
        <v/>
      </c>
    </row>
    <row r="2654">
      <c r="A2654" s="9" t="n">
        <v>45402.5</v>
      </c>
      <c r="B2654" t="n">
        <v>4</v>
      </c>
      <c r="C2654" t="n">
        <v>20</v>
      </c>
      <c r="D2654" t="n">
        <v>12</v>
      </c>
      <c r="E2654" s="10" t="n">
        <v>0.754058</v>
      </c>
      <c r="F2654" s="10" t="n">
        <v>0.2132140831713799</v>
      </c>
      <c r="G2654" s="11">
        <f>E2654*Summary!$B$6</f>
        <v/>
      </c>
      <c r="H2654" s="11">
        <f>F2654*Summary!$B$7</f>
        <v/>
      </c>
      <c r="I2654" s="11">
        <f>MAX(0,N2654-M2654)</f>
        <v/>
      </c>
      <c r="J2654" s="11">
        <f>MAX(0,M2654-N2654)</f>
        <v/>
      </c>
      <c r="K2654" s="11">
        <f>O2654</f>
        <v/>
      </c>
      <c r="L2654" s="11">
        <f>L2653+IF(K2654&gt;0,K2654*Summary!$B$9,K2654/Summary!$B$9)</f>
        <v/>
      </c>
      <c r="M2654" s="11">
        <f>G2654+H2654</f>
        <v/>
      </c>
      <c r="N2654" s="11">
        <f>Summary!$C$16*Summary!$B$8</f>
        <v/>
      </c>
      <c r="O2654" s="11">
        <f>M2654-N2654</f>
        <v/>
      </c>
    </row>
    <row r="2655">
      <c r="A2655" s="9" t="n">
        <v>45402.54166666666</v>
      </c>
      <c r="B2655" t="n">
        <v>4</v>
      </c>
      <c r="C2655" t="n">
        <v>20</v>
      </c>
      <c r="D2655" t="n">
        <v>13</v>
      </c>
      <c r="E2655" s="10" t="n">
        <v>0.754058</v>
      </c>
      <c r="F2655" s="10" t="n">
        <v>0.2162182118923709</v>
      </c>
      <c r="G2655" s="11">
        <f>E2655*Summary!$B$6</f>
        <v/>
      </c>
      <c r="H2655" s="11">
        <f>F2655*Summary!$B$7</f>
        <v/>
      </c>
      <c r="I2655" s="11">
        <f>MAX(0,N2655-M2655)</f>
        <v/>
      </c>
      <c r="J2655" s="11">
        <f>MAX(0,M2655-N2655)</f>
        <v/>
      </c>
      <c r="K2655" s="11">
        <f>O2655</f>
        <v/>
      </c>
      <c r="L2655" s="11">
        <f>L2654+IF(K2655&gt;0,K2655*Summary!$B$9,K2655/Summary!$B$9)</f>
        <v/>
      </c>
      <c r="M2655" s="11">
        <f>G2655+H2655</f>
        <v/>
      </c>
      <c r="N2655" s="11">
        <f>Summary!$C$16*Summary!$B$8</f>
        <v/>
      </c>
      <c r="O2655" s="11">
        <f>M2655-N2655</f>
        <v/>
      </c>
    </row>
    <row r="2656">
      <c r="A2656" s="9" t="n">
        <v>45402.58333333334</v>
      </c>
      <c r="B2656" t="n">
        <v>4</v>
      </c>
      <c r="C2656" t="n">
        <v>20</v>
      </c>
      <c r="D2656" t="n">
        <v>14</v>
      </c>
      <c r="E2656" s="10" t="n">
        <v>0.734662</v>
      </c>
      <c r="F2656" s="10" t="n">
        <v>0.224492741878258</v>
      </c>
      <c r="G2656" s="11">
        <f>E2656*Summary!$B$6</f>
        <v/>
      </c>
      <c r="H2656" s="11">
        <f>F2656*Summary!$B$7</f>
        <v/>
      </c>
      <c r="I2656" s="11">
        <f>MAX(0,N2656-M2656)</f>
        <v/>
      </c>
      <c r="J2656" s="11">
        <f>MAX(0,M2656-N2656)</f>
        <v/>
      </c>
      <c r="K2656" s="11">
        <f>O2656</f>
        <v/>
      </c>
      <c r="L2656" s="11">
        <f>L2655+IF(K2656&gt;0,K2656*Summary!$B$9,K2656/Summary!$B$9)</f>
        <v/>
      </c>
      <c r="M2656" s="11">
        <f>G2656+H2656</f>
        <v/>
      </c>
      <c r="N2656" s="11">
        <f>Summary!$C$16*Summary!$B$8</f>
        <v/>
      </c>
      <c r="O2656" s="11">
        <f>M2656-N2656</f>
        <v/>
      </c>
    </row>
    <row r="2657">
      <c r="A2657" s="9" t="n">
        <v>45402.625</v>
      </c>
      <c r="B2657" t="n">
        <v>4</v>
      </c>
      <c r="C2657" t="n">
        <v>20</v>
      </c>
      <c r="D2657" t="n">
        <v>15</v>
      </c>
      <c r="E2657" s="10" t="n">
        <v>0.587469</v>
      </c>
      <c r="F2657" s="10" t="n">
        <v>0.2273651105676265</v>
      </c>
      <c r="G2657" s="11">
        <f>E2657*Summary!$B$6</f>
        <v/>
      </c>
      <c r="H2657" s="11">
        <f>F2657*Summary!$B$7</f>
        <v/>
      </c>
      <c r="I2657" s="11">
        <f>MAX(0,N2657-M2657)</f>
        <v/>
      </c>
      <c r="J2657" s="11">
        <f>MAX(0,M2657-N2657)</f>
        <v/>
      </c>
      <c r="K2657" s="11">
        <f>O2657</f>
        <v/>
      </c>
      <c r="L2657" s="11">
        <f>L2656+IF(K2657&gt;0,K2657*Summary!$B$9,K2657/Summary!$B$9)</f>
        <v/>
      </c>
      <c r="M2657" s="11">
        <f>G2657+H2657</f>
        <v/>
      </c>
      <c r="N2657" s="11">
        <f>Summary!$C$16*Summary!$B$8</f>
        <v/>
      </c>
      <c r="O2657" s="11">
        <f>M2657-N2657</f>
        <v/>
      </c>
    </row>
    <row r="2658">
      <c r="A2658" s="9" t="n">
        <v>45402.66666666666</v>
      </c>
      <c r="B2658" t="n">
        <v>4</v>
      </c>
      <c r="C2658" t="n">
        <v>20</v>
      </c>
      <c r="D2658" t="n">
        <v>16</v>
      </c>
      <c r="E2658" s="10" t="n">
        <v>0.379976</v>
      </c>
      <c r="F2658" s="10" t="n">
        <v>0.2273651105676265</v>
      </c>
      <c r="G2658" s="11">
        <f>E2658*Summary!$B$6</f>
        <v/>
      </c>
      <c r="H2658" s="11">
        <f>F2658*Summary!$B$7</f>
        <v/>
      </c>
      <c r="I2658" s="11">
        <f>MAX(0,N2658-M2658)</f>
        <v/>
      </c>
      <c r="J2658" s="11">
        <f>MAX(0,M2658-N2658)</f>
        <v/>
      </c>
      <c r="K2658" s="11">
        <f>O2658</f>
        <v/>
      </c>
      <c r="L2658" s="11">
        <f>L2657+IF(K2658&gt;0,K2658*Summary!$B$9,K2658/Summary!$B$9)</f>
        <v/>
      </c>
      <c r="M2658" s="11">
        <f>G2658+H2658</f>
        <v/>
      </c>
      <c r="N2658" s="11">
        <f>Summary!$C$16*Summary!$B$8</f>
        <v/>
      </c>
      <c r="O2658" s="11">
        <f>M2658-N2658</f>
        <v/>
      </c>
    </row>
    <row r="2659">
      <c r="A2659" s="9" t="n">
        <v>45402.70833333334</v>
      </c>
      <c r="B2659" t="n">
        <v>4</v>
      </c>
      <c r="C2659" t="n">
        <v>20</v>
      </c>
      <c r="D2659" t="n">
        <v>17</v>
      </c>
      <c r="E2659" s="10" t="n">
        <v>0.159304</v>
      </c>
      <c r="F2659" s="10" t="n">
        <v>0.2287354148964996</v>
      </c>
      <c r="G2659" s="11">
        <f>E2659*Summary!$B$6</f>
        <v/>
      </c>
      <c r="H2659" s="11">
        <f>F2659*Summary!$B$7</f>
        <v/>
      </c>
      <c r="I2659" s="11">
        <f>MAX(0,N2659-M2659)</f>
        <v/>
      </c>
      <c r="J2659" s="11">
        <f>MAX(0,M2659-N2659)</f>
        <v/>
      </c>
      <c r="K2659" s="11">
        <f>O2659</f>
        <v/>
      </c>
      <c r="L2659" s="11">
        <f>L2658+IF(K2659&gt;0,K2659*Summary!$B$9,K2659/Summary!$B$9)</f>
        <v/>
      </c>
      <c r="M2659" s="11">
        <f>G2659+H2659</f>
        <v/>
      </c>
      <c r="N2659" s="11">
        <f>Summary!$C$16*Summary!$B$8</f>
        <v/>
      </c>
      <c r="O2659" s="11">
        <f>M2659-N2659</f>
        <v/>
      </c>
    </row>
    <row r="2660">
      <c r="A2660" s="9" t="n">
        <v>45402.75</v>
      </c>
      <c r="B2660" t="n">
        <v>4</v>
      </c>
      <c r="C2660" t="n">
        <v>20</v>
      </c>
      <c r="D2660" t="n">
        <v>18</v>
      </c>
      <c r="E2660" s="10" t="n">
        <v>0.027228</v>
      </c>
      <c r="F2660" s="10" t="n">
        <v>0.2321348237123577</v>
      </c>
      <c r="G2660" s="11">
        <f>E2660*Summary!$B$6</f>
        <v/>
      </c>
      <c r="H2660" s="11">
        <f>F2660*Summary!$B$7</f>
        <v/>
      </c>
      <c r="I2660" s="11">
        <f>MAX(0,N2660-M2660)</f>
        <v/>
      </c>
      <c r="J2660" s="11">
        <f>MAX(0,M2660-N2660)</f>
        <v/>
      </c>
      <c r="K2660" s="11">
        <f>O2660</f>
        <v/>
      </c>
      <c r="L2660" s="11">
        <f>L2659+IF(K2660&gt;0,K2660*Summary!$B$9,K2660/Summary!$B$9)</f>
        <v/>
      </c>
      <c r="M2660" s="11">
        <f>G2660+H2660</f>
        <v/>
      </c>
      <c r="N2660" s="11">
        <f>Summary!$C$16*Summary!$B$8</f>
        <v/>
      </c>
      <c r="O2660" s="11">
        <f>M2660-N2660</f>
        <v/>
      </c>
    </row>
    <row r="2661">
      <c r="A2661" s="9" t="n">
        <v>45402.79166666666</v>
      </c>
      <c r="B2661" t="n">
        <v>4</v>
      </c>
      <c r="C2661" t="n">
        <v>20</v>
      </c>
      <c r="D2661" t="n">
        <v>19</v>
      </c>
      <c r="E2661" s="10" t="n">
        <v>0</v>
      </c>
      <c r="F2661" s="10" t="n">
        <v>0.2435188904445337</v>
      </c>
      <c r="G2661" s="11">
        <f>E2661*Summary!$B$6</f>
        <v/>
      </c>
      <c r="H2661" s="11">
        <f>F2661*Summary!$B$7</f>
        <v/>
      </c>
      <c r="I2661" s="11">
        <f>MAX(0,N2661-M2661)</f>
        <v/>
      </c>
      <c r="J2661" s="11">
        <f>MAX(0,M2661-N2661)</f>
        <v/>
      </c>
      <c r="K2661" s="11">
        <f>O2661</f>
        <v/>
      </c>
      <c r="L2661" s="11">
        <f>L2660+IF(K2661&gt;0,K2661*Summary!$B$9,K2661/Summary!$B$9)</f>
        <v/>
      </c>
      <c r="M2661" s="11">
        <f>G2661+H2661</f>
        <v/>
      </c>
      <c r="N2661" s="11">
        <f>Summary!$C$16*Summary!$B$8</f>
        <v/>
      </c>
      <c r="O2661" s="11">
        <f>M2661-N2661</f>
        <v/>
      </c>
    </row>
    <row r="2662">
      <c r="A2662" s="9" t="n">
        <v>45402.83333333334</v>
      </c>
      <c r="B2662" t="n">
        <v>4</v>
      </c>
      <c r="C2662" t="n">
        <v>20</v>
      </c>
      <c r="D2662" t="n">
        <v>20</v>
      </c>
      <c r="E2662" s="10" t="n">
        <v>0</v>
      </c>
      <c r="F2662" s="10" t="n">
        <v>0.2576699178407803</v>
      </c>
      <c r="G2662" s="11">
        <f>E2662*Summary!$B$6</f>
        <v/>
      </c>
      <c r="H2662" s="11">
        <f>F2662*Summary!$B$7</f>
        <v/>
      </c>
      <c r="I2662" s="11">
        <f>MAX(0,N2662-M2662)</f>
        <v/>
      </c>
      <c r="J2662" s="11">
        <f>MAX(0,M2662-N2662)</f>
        <v/>
      </c>
      <c r="K2662" s="11">
        <f>O2662</f>
        <v/>
      </c>
      <c r="L2662" s="11">
        <f>L2661+IF(K2662&gt;0,K2662*Summary!$B$9,K2662/Summary!$B$9)</f>
        <v/>
      </c>
      <c r="M2662" s="11">
        <f>G2662+H2662</f>
        <v/>
      </c>
      <c r="N2662" s="11">
        <f>Summary!$C$16*Summary!$B$8</f>
        <v/>
      </c>
      <c r="O2662" s="11">
        <f>M2662-N2662</f>
        <v/>
      </c>
    </row>
    <row r="2663">
      <c r="A2663" s="9" t="n">
        <v>45402.875</v>
      </c>
      <c r="B2663" t="n">
        <v>4</v>
      </c>
      <c r="C2663" t="n">
        <v>20</v>
      </c>
      <c r="D2663" t="n">
        <v>21</v>
      </c>
      <c r="E2663" s="10" t="n">
        <v>0</v>
      </c>
      <c r="F2663" s="10" t="n">
        <v>0.2636254712701131</v>
      </c>
      <c r="G2663" s="11">
        <f>E2663*Summary!$B$6</f>
        <v/>
      </c>
      <c r="H2663" s="11">
        <f>F2663*Summary!$B$7</f>
        <v/>
      </c>
      <c r="I2663" s="11">
        <f>MAX(0,N2663-M2663)</f>
        <v/>
      </c>
      <c r="J2663" s="11">
        <f>MAX(0,M2663-N2663)</f>
        <v/>
      </c>
      <c r="K2663" s="11">
        <f>O2663</f>
        <v/>
      </c>
      <c r="L2663" s="11">
        <f>L2662+IF(K2663&gt;0,K2663*Summary!$B$9,K2663/Summary!$B$9)</f>
        <v/>
      </c>
      <c r="M2663" s="11">
        <f>G2663+H2663</f>
        <v/>
      </c>
      <c r="N2663" s="11">
        <f>Summary!$C$16*Summary!$B$8</f>
        <v/>
      </c>
      <c r="O2663" s="11">
        <f>M2663-N2663</f>
        <v/>
      </c>
    </row>
    <row r="2664">
      <c r="A2664" s="9" t="n">
        <v>45402.91666666666</v>
      </c>
      <c r="B2664" t="n">
        <v>4</v>
      </c>
      <c r="C2664" t="n">
        <v>20</v>
      </c>
      <c r="D2664" t="n">
        <v>22</v>
      </c>
      <c r="E2664" s="10" t="n">
        <v>0</v>
      </c>
      <c r="F2664" s="10" t="n">
        <v>0.2696337287120949</v>
      </c>
      <c r="G2664" s="11">
        <f>E2664*Summary!$B$6</f>
        <v/>
      </c>
      <c r="H2664" s="11">
        <f>F2664*Summary!$B$7</f>
        <v/>
      </c>
      <c r="I2664" s="11">
        <f>MAX(0,N2664-M2664)</f>
        <v/>
      </c>
      <c r="J2664" s="11">
        <f>MAX(0,M2664-N2664)</f>
        <v/>
      </c>
      <c r="K2664" s="11">
        <f>O2664</f>
        <v/>
      </c>
      <c r="L2664" s="11">
        <f>L2663+IF(K2664&gt;0,K2664*Summary!$B$9,K2664/Summary!$B$9)</f>
        <v/>
      </c>
      <c r="M2664" s="11">
        <f>G2664+H2664</f>
        <v/>
      </c>
      <c r="N2664" s="11">
        <f>Summary!$C$16*Summary!$B$8</f>
        <v/>
      </c>
      <c r="O2664" s="11">
        <f>M2664-N2664</f>
        <v/>
      </c>
    </row>
    <row r="2665">
      <c r="A2665" s="9" t="n">
        <v>45402.95833333334</v>
      </c>
      <c r="B2665" t="n">
        <v>4</v>
      </c>
      <c r="C2665" t="n">
        <v>20</v>
      </c>
      <c r="D2665" t="n">
        <v>23</v>
      </c>
      <c r="E2665" s="10" t="n">
        <v>0</v>
      </c>
      <c r="F2665" s="10" t="n">
        <v>0.2738500497240119</v>
      </c>
      <c r="G2665" s="11">
        <f>E2665*Summary!$B$6</f>
        <v/>
      </c>
      <c r="H2665" s="11">
        <f>F2665*Summary!$B$7</f>
        <v/>
      </c>
      <c r="I2665" s="11">
        <f>MAX(0,N2665-M2665)</f>
        <v/>
      </c>
      <c r="J2665" s="11">
        <f>MAX(0,M2665-N2665)</f>
        <v/>
      </c>
      <c r="K2665" s="11">
        <f>O2665</f>
        <v/>
      </c>
      <c r="L2665" s="11">
        <f>L2664+IF(K2665&gt;0,K2665*Summary!$B$9,K2665/Summary!$B$9)</f>
        <v/>
      </c>
      <c r="M2665" s="11">
        <f>G2665+H2665</f>
        <v/>
      </c>
      <c r="N2665" s="11">
        <f>Summary!$C$16*Summary!$B$8</f>
        <v/>
      </c>
      <c r="O2665" s="11">
        <f>M2665-N2665</f>
        <v/>
      </c>
    </row>
    <row r="2666">
      <c r="A2666" s="9" t="n">
        <v>45403</v>
      </c>
      <c r="B2666" t="n">
        <v>4</v>
      </c>
      <c r="C2666" t="n">
        <v>21</v>
      </c>
      <c r="D2666" t="n">
        <v>0</v>
      </c>
      <c r="E2666" s="10" t="n">
        <v>0</v>
      </c>
      <c r="F2666" s="10" t="n">
        <v>0.2905308697274087</v>
      </c>
      <c r="G2666" s="11">
        <f>E2666*Summary!$B$6</f>
        <v/>
      </c>
      <c r="H2666" s="11">
        <f>F2666*Summary!$B$7</f>
        <v/>
      </c>
      <c r="I2666" s="11">
        <f>MAX(0,N2666-M2666)</f>
        <v/>
      </c>
      <c r="J2666" s="11">
        <f>MAX(0,M2666-N2666)</f>
        <v/>
      </c>
      <c r="K2666" s="11">
        <f>O2666</f>
        <v/>
      </c>
      <c r="L2666" s="11">
        <f>L2665+IF(K2666&gt;0,K2666*Summary!$B$9,K2666/Summary!$B$9)</f>
        <v/>
      </c>
      <c r="M2666" s="11">
        <f>G2666+H2666</f>
        <v/>
      </c>
      <c r="N2666" s="11">
        <f>Summary!$C$16*Summary!$B$8</f>
        <v/>
      </c>
      <c r="O2666" s="11">
        <f>M2666-N2666</f>
        <v/>
      </c>
    </row>
    <row r="2667">
      <c r="A2667" s="9" t="n">
        <v>45403.04166666666</v>
      </c>
      <c r="B2667" t="n">
        <v>4</v>
      </c>
      <c r="C2667" t="n">
        <v>21</v>
      </c>
      <c r="D2667" t="n">
        <v>1</v>
      </c>
      <c r="E2667" s="10" t="n">
        <v>0</v>
      </c>
      <c r="F2667" s="10" t="n">
        <v>0.2831786599628784</v>
      </c>
      <c r="G2667" s="11">
        <f>E2667*Summary!$B$6</f>
        <v/>
      </c>
      <c r="H2667" s="11">
        <f>F2667*Summary!$B$7</f>
        <v/>
      </c>
      <c r="I2667" s="11">
        <f>MAX(0,N2667-M2667)</f>
        <v/>
      </c>
      <c r="J2667" s="11">
        <f>MAX(0,M2667-N2667)</f>
        <v/>
      </c>
      <c r="K2667" s="11">
        <f>O2667</f>
        <v/>
      </c>
      <c r="L2667" s="11">
        <f>L2666+IF(K2667&gt;0,K2667*Summary!$B$9,K2667/Summary!$B$9)</f>
        <v/>
      </c>
      <c r="M2667" s="11">
        <f>G2667+H2667</f>
        <v/>
      </c>
      <c r="N2667" s="11">
        <f>Summary!$C$16*Summary!$B$8</f>
        <v/>
      </c>
      <c r="O2667" s="11">
        <f>M2667-N2667</f>
        <v/>
      </c>
    </row>
    <row r="2668">
      <c r="A2668" s="9" t="n">
        <v>45403.08333333334</v>
      </c>
      <c r="B2668" t="n">
        <v>4</v>
      </c>
      <c r="C2668" t="n">
        <v>21</v>
      </c>
      <c r="D2668" t="n">
        <v>2</v>
      </c>
      <c r="E2668" s="10" t="n">
        <v>0</v>
      </c>
      <c r="F2668" s="10" t="n">
        <v>0.2854976365194328</v>
      </c>
      <c r="G2668" s="11">
        <f>E2668*Summary!$B$6</f>
        <v/>
      </c>
      <c r="H2668" s="11">
        <f>F2668*Summary!$B$7</f>
        <v/>
      </c>
      <c r="I2668" s="11">
        <f>MAX(0,N2668-M2668)</f>
        <v/>
      </c>
      <c r="J2668" s="11">
        <f>MAX(0,M2668-N2668)</f>
        <v/>
      </c>
      <c r="K2668" s="11">
        <f>O2668</f>
        <v/>
      </c>
      <c r="L2668" s="11">
        <f>L2667+IF(K2668&gt;0,K2668*Summary!$B$9,K2668/Summary!$B$9)</f>
        <v/>
      </c>
      <c r="M2668" s="11">
        <f>G2668+H2668</f>
        <v/>
      </c>
      <c r="N2668" s="11">
        <f>Summary!$C$16*Summary!$B$8</f>
        <v/>
      </c>
      <c r="O2668" s="11">
        <f>M2668-N2668</f>
        <v/>
      </c>
    </row>
    <row r="2669">
      <c r="A2669" s="9" t="n">
        <v>45403.125</v>
      </c>
      <c r="B2669" t="n">
        <v>4</v>
      </c>
      <c r="C2669" t="n">
        <v>21</v>
      </c>
      <c r="D2669" t="n">
        <v>3</v>
      </c>
      <c r="E2669" s="10" t="n">
        <v>0</v>
      </c>
      <c r="F2669" s="10" t="n">
        <v>0.2883963572151257</v>
      </c>
      <c r="G2669" s="11">
        <f>E2669*Summary!$B$6</f>
        <v/>
      </c>
      <c r="H2669" s="11">
        <f>F2669*Summary!$B$7</f>
        <v/>
      </c>
      <c r="I2669" s="11">
        <f>MAX(0,N2669-M2669)</f>
        <v/>
      </c>
      <c r="J2669" s="11">
        <f>MAX(0,M2669-N2669)</f>
        <v/>
      </c>
      <c r="K2669" s="11">
        <f>O2669</f>
        <v/>
      </c>
      <c r="L2669" s="11">
        <f>L2668+IF(K2669&gt;0,K2669*Summary!$B$9,K2669/Summary!$B$9)</f>
        <v/>
      </c>
      <c r="M2669" s="11">
        <f>G2669+H2669</f>
        <v/>
      </c>
      <c r="N2669" s="11">
        <f>Summary!$C$16*Summary!$B$8</f>
        <v/>
      </c>
      <c r="O2669" s="11">
        <f>M2669-N2669</f>
        <v/>
      </c>
    </row>
    <row r="2670">
      <c r="A2670" s="9" t="n">
        <v>45403.16666666666</v>
      </c>
      <c r="B2670" t="n">
        <v>4</v>
      </c>
      <c r="C2670" t="n">
        <v>21</v>
      </c>
      <c r="D2670" t="n">
        <v>4</v>
      </c>
      <c r="E2670" s="10" t="n">
        <v>0</v>
      </c>
      <c r="F2670" s="10" t="n">
        <v>0.2901355896325415</v>
      </c>
      <c r="G2670" s="11">
        <f>E2670*Summary!$B$6</f>
        <v/>
      </c>
      <c r="H2670" s="11">
        <f>F2670*Summary!$B$7</f>
        <v/>
      </c>
      <c r="I2670" s="11">
        <f>MAX(0,N2670-M2670)</f>
        <v/>
      </c>
      <c r="J2670" s="11">
        <f>MAX(0,M2670-N2670)</f>
        <v/>
      </c>
      <c r="K2670" s="11">
        <f>O2670</f>
        <v/>
      </c>
      <c r="L2670" s="11">
        <f>L2669+IF(K2670&gt;0,K2670*Summary!$B$9,K2670/Summary!$B$9)</f>
        <v/>
      </c>
      <c r="M2670" s="11">
        <f>G2670+H2670</f>
        <v/>
      </c>
      <c r="N2670" s="11">
        <f>Summary!$C$16*Summary!$B$8</f>
        <v/>
      </c>
      <c r="O2670" s="11">
        <f>M2670-N2670</f>
        <v/>
      </c>
    </row>
    <row r="2671">
      <c r="A2671" s="9" t="n">
        <v>45403.20833333334</v>
      </c>
      <c r="B2671" t="n">
        <v>4</v>
      </c>
      <c r="C2671" t="n">
        <v>21</v>
      </c>
      <c r="D2671" t="n">
        <v>5</v>
      </c>
      <c r="E2671" s="10" t="n">
        <v>0.021233</v>
      </c>
      <c r="F2671" s="10" t="n">
        <v>0.2805698113367547</v>
      </c>
      <c r="G2671" s="11">
        <f>E2671*Summary!$B$6</f>
        <v/>
      </c>
      <c r="H2671" s="11">
        <f>F2671*Summary!$B$7</f>
        <v/>
      </c>
      <c r="I2671" s="11">
        <f>MAX(0,N2671-M2671)</f>
        <v/>
      </c>
      <c r="J2671" s="11">
        <f>MAX(0,M2671-N2671)</f>
        <v/>
      </c>
      <c r="K2671" s="11">
        <f>O2671</f>
        <v/>
      </c>
      <c r="L2671" s="11">
        <f>L2670+IF(K2671&gt;0,K2671*Summary!$B$9,K2671/Summary!$B$9)</f>
        <v/>
      </c>
      <c r="M2671" s="11">
        <f>G2671+H2671</f>
        <v/>
      </c>
      <c r="N2671" s="11">
        <f>Summary!$C$16*Summary!$B$8</f>
        <v/>
      </c>
      <c r="O2671" s="11">
        <f>M2671-N2671</f>
        <v/>
      </c>
    </row>
    <row r="2672">
      <c r="A2672" s="9" t="n">
        <v>45403.25</v>
      </c>
      <c r="B2672" t="n">
        <v>4</v>
      </c>
      <c r="C2672" t="n">
        <v>21</v>
      </c>
      <c r="D2672" t="n">
        <v>6</v>
      </c>
      <c r="E2672" s="10" t="n">
        <v>0.107838</v>
      </c>
      <c r="F2672" s="10" t="n">
        <v>0.2573009897522375</v>
      </c>
      <c r="G2672" s="11">
        <f>E2672*Summary!$B$6</f>
        <v/>
      </c>
      <c r="H2672" s="11">
        <f>F2672*Summary!$B$7</f>
        <v/>
      </c>
      <c r="I2672" s="11">
        <f>MAX(0,N2672-M2672)</f>
        <v/>
      </c>
      <c r="J2672" s="11">
        <f>MAX(0,M2672-N2672)</f>
        <v/>
      </c>
      <c r="K2672" s="11">
        <f>O2672</f>
        <v/>
      </c>
      <c r="L2672" s="11">
        <f>L2671+IF(K2672&gt;0,K2672*Summary!$B$9,K2672/Summary!$B$9)</f>
        <v/>
      </c>
      <c r="M2672" s="11">
        <f>G2672+H2672</f>
        <v/>
      </c>
      <c r="N2672" s="11">
        <f>Summary!$C$16*Summary!$B$8</f>
        <v/>
      </c>
      <c r="O2672" s="11">
        <f>M2672-N2672</f>
        <v/>
      </c>
    </row>
    <row r="2673">
      <c r="A2673" s="9" t="n">
        <v>45403.29166666666</v>
      </c>
      <c r="B2673" t="n">
        <v>4</v>
      </c>
      <c r="C2673" t="n">
        <v>21</v>
      </c>
      <c r="D2673" t="n">
        <v>7</v>
      </c>
      <c r="E2673" s="10" t="n">
        <v>0.327841</v>
      </c>
      <c r="F2673" s="10" t="n">
        <v>0.2304219433012664</v>
      </c>
      <c r="G2673" s="11">
        <f>E2673*Summary!$B$6</f>
        <v/>
      </c>
      <c r="H2673" s="11">
        <f>F2673*Summary!$B$7</f>
        <v/>
      </c>
      <c r="I2673" s="11">
        <f>MAX(0,N2673-M2673)</f>
        <v/>
      </c>
      <c r="J2673" s="11">
        <f>MAX(0,M2673-N2673)</f>
        <v/>
      </c>
      <c r="K2673" s="11">
        <f>O2673</f>
        <v/>
      </c>
      <c r="L2673" s="11">
        <f>L2672+IF(K2673&gt;0,K2673*Summary!$B$9,K2673/Summary!$B$9)</f>
        <v/>
      </c>
      <c r="M2673" s="11">
        <f>G2673+H2673</f>
        <v/>
      </c>
      <c r="N2673" s="11">
        <f>Summary!$C$16*Summary!$B$8</f>
        <v/>
      </c>
      <c r="O2673" s="11">
        <f>M2673-N2673</f>
        <v/>
      </c>
    </row>
    <row r="2674">
      <c r="A2674" s="9" t="n">
        <v>45403.33333333334</v>
      </c>
      <c r="B2674" t="n">
        <v>4</v>
      </c>
      <c r="C2674" t="n">
        <v>21</v>
      </c>
      <c r="D2674" t="n">
        <v>8</v>
      </c>
      <c r="E2674" s="10" t="n">
        <v>0.540567</v>
      </c>
      <c r="F2674" s="10" t="n">
        <v>0.2176148682275684</v>
      </c>
      <c r="G2674" s="11">
        <f>E2674*Summary!$B$6</f>
        <v/>
      </c>
      <c r="H2674" s="11">
        <f>F2674*Summary!$B$7</f>
        <v/>
      </c>
      <c r="I2674" s="11">
        <f>MAX(0,N2674-M2674)</f>
        <v/>
      </c>
      <c r="J2674" s="11">
        <f>MAX(0,M2674-N2674)</f>
        <v/>
      </c>
      <c r="K2674" s="11">
        <f>O2674</f>
        <v/>
      </c>
      <c r="L2674" s="11">
        <f>L2673+IF(K2674&gt;0,K2674*Summary!$B$9,K2674/Summary!$B$9)</f>
        <v/>
      </c>
      <c r="M2674" s="11">
        <f>G2674+H2674</f>
        <v/>
      </c>
      <c r="N2674" s="11">
        <f>Summary!$C$16*Summary!$B$8</f>
        <v/>
      </c>
      <c r="O2674" s="11">
        <f>M2674-N2674</f>
        <v/>
      </c>
    </row>
    <row r="2675">
      <c r="A2675" s="9" t="n">
        <v>45403.375</v>
      </c>
      <c r="B2675" t="n">
        <v>4</v>
      </c>
      <c r="C2675" t="n">
        <v>21</v>
      </c>
      <c r="D2675" t="n">
        <v>9</v>
      </c>
      <c r="E2675" s="10" t="n">
        <v>0.699998</v>
      </c>
      <c r="F2675" s="10" t="n">
        <v>0.2166925480062115</v>
      </c>
      <c r="G2675" s="11">
        <f>E2675*Summary!$B$6</f>
        <v/>
      </c>
      <c r="H2675" s="11">
        <f>F2675*Summary!$B$7</f>
        <v/>
      </c>
      <c r="I2675" s="11">
        <f>MAX(0,N2675-M2675)</f>
        <v/>
      </c>
      <c r="J2675" s="11">
        <f>MAX(0,M2675-N2675)</f>
        <v/>
      </c>
      <c r="K2675" s="11">
        <f>O2675</f>
        <v/>
      </c>
      <c r="L2675" s="11">
        <f>L2674+IF(K2675&gt;0,K2675*Summary!$B$9,K2675/Summary!$B$9)</f>
        <v/>
      </c>
      <c r="M2675" s="11">
        <f>G2675+H2675</f>
        <v/>
      </c>
      <c r="N2675" s="11">
        <f>Summary!$C$16*Summary!$B$8</f>
        <v/>
      </c>
      <c r="O2675" s="11">
        <f>M2675-N2675</f>
        <v/>
      </c>
    </row>
    <row r="2676">
      <c r="A2676" s="9" t="n">
        <v>45403.41666666666</v>
      </c>
      <c r="B2676" t="n">
        <v>4</v>
      </c>
      <c r="C2676" t="n">
        <v>21</v>
      </c>
      <c r="D2676" t="n">
        <v>10</v>
      </c>
      <c r="E2676" s="10" t="n">
        <v>0.754058</v>
      </c>
      <c r="F2676" s="10" t="n">
        <v>0.227391462573951</v>
      </c>
      <c r="G2676" s="11">
        <f>E2676*Summary!$B$6</f>
        <v/>
      </c>
      <c r="H2676" s="11">
        <f>F2676*Summary!$B$7</f>
        <v/>
      </c>
      <c r="I2676" s="11">
        <f>MAX(0,N2676-M2676)</f>
        <v/>
      </c>
      <c r="J2676" s="11">
        <f>MAX(0,M2676-N2676)</f>
        <v/>
      </c>
      <c r="K2676" s="11">
        <f>O2676</f>
        <v/>
      </c>
      <c r="L2676" s="11">
        <f>L2675+IF(K2676&gt;0,K2676*Summary!$B$9,K2676/Summary!$B$9)</f>
        <v/>
      </c>
      <c r="M2676" s="11">
        <f>G2676+H2676</f>
        <v/>
      </c>
      <c r="N2676" s="11">
        <f>Summary!$C$16*Summary!$B$8</f>
        <v/>
      </c>
      <c r="O2676" s="11">
        <f>M2676-N2676</f>
        <v/>
      </c>
    </row>
    <row r="2677">
      <c r="A2677" s="9" t="n">
        <v>45403.45833333334</v>
      </c>
      <c r="B2677" t="n">
        <v>4</v>
      </c>
      <c r="C2677" t="n">
        <v>21</v>
      </c>
      <c r="D2677" t="n">
        <v>11</v>
      </c>
      <c r="E2677" s="10" t="n">
        <v>0.754058</v>
      </c>
      <c r="F2677" s="10" t="n">
        <v>0.243149962355991</v>
      </c>
      <c r="G2677" s="11">
        <f>E2677*Summary!$B$6</f>
        <v/>
      </c>
      <c r="H2677" s="11">
        <f>F2677*Summary!$B$7</f>
        <v/>
      </c>
      <c r="I2677" s="11">
        <f>MAX(0,N2677-M2677)</f>
        <v/>
      </c>
      <c r="J2677" s="11">
        <f>MAX(0,M2677-N2677)</f>
        <v/>
      </c>
      <c r="K2677" s="11">
        <f>O2677</f>
        <v/>
      </c>
      <c r="L2677" s="11">
        <f>L2676+IF(K2677&gt;0,K2677*Summary!$B$9,K2677/Summary!$B$9)</f>
        <v/>
      </c>
      <c r="M2677" s="11">
        <f>G2677+H2677</f>
        <v/>
      </c>
      <c r="N2677" s="11">
        <f>Summary!$C$16*Summary!$B$8</f>
        <v/>
      </c>
      <c r="O2677" s="11">
        <f>M2677-N2677</f>
        <v/>
      </c>
    </row>
    <row r="2678">
      <c r="A2678" s="9" t="n">
        <v>45403.5</v>
      </c>
      <c r="B2678" t="n">
        <v>4</v>
      </c>
      <c r="C2678" t="n">
        <v>21</v>
      </c>
      <c r="D2678" t="n">
        <v>12</v>
      </c>
      <c r="E2678" s="10" t="n">
        <v>0.754058</v>
      </c>
      <c r="F2678" s="10" t="n">
        <v>0.275879154210997</v>
      </c>
      <c r="G2678" s="11">
        <f>E2678*Summary!$B$6</f>
        <v/>
      </c>
      <c r="H2678" s="11">
        <f>F2678*Summary!$B$7</f>
        <v/>
      </c>
      <c r="I2678" s="11">
        <f>MAX(0,N2678-M2678)</f>
        <v/>
      </c>
      <c r="J2678" s="11">
        <f>MAX(0,M2678-N2678)</f>
        <v/>
      </c>
      <c r="K2678" s="11">
        <f>O2678</f>
        <v/>
      </c>
      <c r="L2678" s="11">
        <f>L2677+IF(K2678&gt;0,K2678*Summary!$B$9,K2678/Summary!$B$9)</f>
        <v/>
      </c>
      <c r="M2678" s="11">
        <f>G2678+H2678</f>
        <v/>
      </c>
      <c r="N2678" s="11">
        <f>Summary!$C$16*Summary!$B$8</f>
        <v/>
      </c>
      <c r="O2678" s="11">
        <f>M2678-N2678</f>
        <v/>
      </c>
    </row>
    <row r="2679">
      <c r="A2679" s="9" t="n">
        <v>45403.54166666666</v>
      </c>
      <c r="B2679" t="n">
        <v>4</v>
      </c>
      <c r="C2679" t="n">
        <v>21</v>
      </c>
      <c r="D2679" t="n">
        <v>13</v>
      </c>
      <c r="E2679" s="10" t="n">
        <v>0.754058</v>
      </c>
      <c r="F2679" s="10" t="n">
        <v>0.2627558550614053</v>
      </c>
      <c r="G2679" s="11">
        <f>E2679*Summary!$B$6</f>
        <v/>
      </c>
      <c r="H2679" s="11">
        <f>F2679*Summary!$B$7</f>
        <v/>
      </c>
      <c r="I2679" s="11">
        <f>MAX(0,N2679-M2679)</f>
        <v/>
      </c>
      <c r="J2679" s="11">
        <f>MAX(0,M2679-N2679)</f>
        <v/>
      </c>
      <c r="K2679" s="11">
        <f>O2679</f>
        <v/>
      </c>
      <c r="L2679" s="11">
        <f>L2678+IF(K2679&gt;0,K2679*Summary!$B$9,K2679/Summary!$B$9)</f>
        <v/>
      </c>
      <c r="M2679" s="11">
        <f>G2679+H2679</f>
        <v/>
      </c>
      <c r="N2679" s="11">
        <f>Summary!$C$16*Summary!$B$8</f>
        <v/>
      </c>
      <c r="O2679" s="11">
        <f>M2679-N2679</f>
        <v/>
      </c>
    </row>
    <row r="2680">
      <c r="A2680" s="9" t="n">
        <v>45403.58333333334</v>
      </c>
      <c r="B2680" t="n">
        <v>4</v>
      </c>
      <c r="C2680" t="n">
        <v>21</v>
      </c>
      <c r="D2680" t="n">
        <v>14</v>
      </c>
      <c r="E2680" s="10" t="n">
        <v>0.7375969999999999</v>
      </c>
      <c r="F2680" s="10" t="n">
        <v>0.2656282237507737</v>
      </c>
      <c r="G2680" s="11">
        <f>E2680*Summary!$B$6</f>
        <v/>
      </c>
      <c r="H2680" s="11">
        <f>F2680*Summary!$B$7</f>
        <v/>
      </c>
      <c r="I2680" s="11">
        <f>MAX(0,N2680-M2680)</f>
        <v/>
      </c>
      <c r="J2680" s="11">
        <f>MAX(0,M2680-N2680)</f>
        <v/>
      </c>
      <c r="K2680" s="11">
        <f>O2680</f>
        <v/>
      </c>
      <c r="L2680" s="11">
        <f>L2679+IF(K2680&gt;0,K2680*Summary!$B$9,K2680/Summary!$B$9)</f>
        <v/>
      </c>
      <c r="M2680" s="11">
        <f>G2680+H2680</f>
        <v/>
      </c>
      <c r="N2680" s="11">
        <f>Summary!$C$16*Summary!$B$8</f>
        <v/>
      </c>
      <c r="O2680" s="11">
        <f>M2680-N2680</f>
        <v/>
      </c>
    </row>
    <row r="2681">
      <c r="A2681" s="9" t="n">
        <v>45403.625</v>
      </c>
      <c r="B2681" t="n">
        <v>4</v>
      </c>
      <c r="C2681" t="n">
        <v>21</v>
      </c>
      <c r="D2681" t="n">
        <v>15</v>
      </c>
      <c r="E2681" s="10" t="n">
        <v>0.589047</v>
      </c>
      <c r="F2681" s="10" t="n">
        <v>0.2633883032131928</v>
      </c>
      <c r="G2681" s="11">
        <f>E2681*Summary!$B$6</f>
        <v/>
      </c>
      <c r="H2681" s="11">
        <f>F2681*Summary!$B$7</f>
        <v/>
      </c>
      <c r="I2681" s="11">
        <f>MAX(0,N2681-M2681)</f>
        <v/>
      </c>
      <c r="J2681" s="11">
        <f>MAX(0,M2681-N2681)</f>
        <v/>
      </c>
      <c r="K2681" s="11">
        <f>O2681</f>
        <v/>
      </c>
      <c r="L2681" s="11">
        <f>L2680+IF(K2681&gt;0,K2681*Summary!$B$9,K2681/Summary!$B$9)</f>
        <v/>
      </c>
      <c r="M2681" s="11">
        <f>G2681+H2681</f>
        <v/>
      </c>
      <c r="N2681" s="11">
        <f>Summary!$C$16*Summary!$B$8</f>
        <v/>
      </c>
      <c r="O2681" s="11">
        <f>M2681-N2681</f>
        <v/>
      </c>
    </row>
    <row r="2682">
      <c r="A2682" s="9" t="n">
        <v>45403.66666666666</v>
      </c>
      <c r="B2682" t="n">
        <v>4</v>
      </c>
      <c r="C2682" t="n">
        <v>21</v>
      </c>
      <c r="D2682" t="n">
        <v>16</v>
      </c>
      <c r="E2682" s="10" t="n">
        <v>0.382574</v>
      </c>
      <c r="F2682" s="10" t="n">
        <v>0.2599888943973346</v>
      </c>
      <c r="G2682" s="11">
        <f>E2682*Summary!$B$6</f>
        <v/>
      </c>
      <c r="H2682" s="11">
        <f>F2682*Summary!$B$7</f>
        <v/>
      </c>
      <c r="I2682" s="11">
        <f>MAX(0,N2682-M2682)</f>
        <v/>
      </c>
      <c r="J2682" s="11">
        <f>MAX(0,M2682-N2682)</f>
        <v/>
      </c>
      <c r="K2682" s="11">
        <f>O2682</f>
        <v/>
      </c>
      <c r="L2682" s="11">
        <f>L2681+IF(K2682&gt;0,K2682*Summary!$B$9,K2682/Summary!$B$9)</f>
        <v/>
      </c>
      <c r="M2682" s="11">
        <f>G2682+H2682</f>
        <v/>
      </c>
      <c r="N2682" s="11">
        <f>Summary!$C$16*Summary!$B$8</f>
        <v/>
      </c>
      <c r="O2682" s="11">
        <f>M2682-N2682</f>
        <v/>
      </c>
    </row>
    <row r="2683">
      <c r="A2683" s="9" t="n">
        <v>45403.70833333334</v>
      </c>
      <c r="B2683" t="n">
        <v>4</v>
      </c>
      <c r="C2683" t="n">
        <v>21</v>
      </c>
      <c r="D2683" t="n">
        <v>17</v>
      </c>
      <c r="E2683" s="10" t="n">
        <v>0.162888</v>
      </c>
      <c r="F2683" s="10" t="n">
        <v>0.2537171168921081</v>
      </c>
      <c r="G2683" s="11">
        <f>E2683*Summary!$B$6</f>
        <v/>
      </c>
      <c r="H2683" s="11">
        <f>F2683*Summary!$B$7</f>
        <v/>
      </c>
      <c r="I2683" s="11">
        <f>MAX(0,N2683-M2683)</f>
        <v/>
      </c>
      <c r="J2683" s="11">
        <f>MAX(0,M2683-N2683)</f>
        <v/>
      </c>
      <c r="K2683" s="11">
        <f>O2683</f>
        <v/>
      </c>
      <c r="L2683" s="11">
        <f>L2682+IF(K2683&gt;0,K2683*Summary!$B$9,K2683/Summary!$B$9)</f>
        <v/>
      </c>
      <c r="M2683" s="11">
        <f>G2683+H2683</f>
        <v/>
      </c>
      <c r="N2683" s="11">
        <f>Summary!$C$16*Summary!$B$8</f>
        <v/>
      </c>
      <c r="O2683" s="11">
        <f>M2683-N2683</f>
        <v/>
      </c>
    </row>
    <row r="2684">
      <c r="A2684" s="9" t="n">
        <v>45403.75</v>
      </c>
      <c r="B2684" t="n">
        <v>4</v>
      </c>
      <c r="C2684" t="n">
        <v>21</v>
      </c>
      <c r="D2684" t="n">
        <v>18</v>
      </c>
      <c r="E2684" s="10" t="n">
        <v>0.028271</v>
      </c>
      <c r="F2684" s="10" t="n">
        <v>0.2471027633046632</v>
      </c>
      <c r="G2684" s="11">
        <f>E2684*Summary!$B$6</f>
        <v/>
      </c>
      <c r="H2684" s="11">
        <f>F2684*Summary!$B$7</f>
        <v/>
      </c>
      <c r="I2684" s="11">
        <f>MAX(0,N2684-M2684)</f>
        <v/>
      </c>
      <c r="J2684" s="11">
        <f>MAX(0,M2684-N2684)</f>
        <v/>
      </c>
      <c r="K2684" s="11">
        <f>O2684</f>
        <v/>
      </c>
      <c r="L2684" s="11">
        <f>L2683+IF(K2684&gt;0,K2684*Summary!$B$9,K2684/Summary!$B$9)</f>
        <v/>
      </c>
      <c r="M2684" s="11">
        <f>G2684+H2684</f>
        <v/>
      </c>
      <c r="N2684" s="11">
        <f>Summary!$C$16*Summary!$B$8</f>
        <v/>
      </c>
      <c r="O2684" s="11">
        <f>M2684-N2684</f>
        <v/>
      </c>
    </row>
    <row r="2685">
      <c r="A2685" s="9" t="n">
        <v>45403.79166666666</v>
      </c>
      <c r="B2685" t="n">
        <v>4</v>
      </c>
      <c r="C2685" t="n">
        <v>21</v>
      </c>
      <c r="D2685" t="n">
        <v>19</v>
      </c>
      <c r="E2685" s="10" t="n">
        <v>0</v>
      </c>
      <c r="F2685" s="10" t="n">
        <v>0.2482358995766159</v>
      </c>
      <c r="G2685" s="11">
        <f>E2685*Summary!$B$6</f>
        <v/>
      </c>
      <c r="H2685" s="11">
        <f>F2685*Summary!$B$7</f>
        <v/>
      </c>
      <c r="I2685" s="11">
        <f>MAX(0,N2685-M2685)</f>
        <v/>
      </c>
      <c r="J2685" s="11">
        <f>MAX(0,M2685-N2685)</f>
        <v/>
      </c>
      <c r="K2685" s="11">
        <f>O2685</f>
        <v/>
      </c>
      <c r="L2685" s="11">
        <f>L2684+IF(K2685&gt;0,K2685*Summary!$B$9,K2685/Summary!$B$9)</f>
        <v/>
      </c>
      <c r="M2685" s="11">
        <f>G2685+H2685</f>
        <v/>
      </c>
      <c r="N2685" s="11">
        <f>Summary!$C$16*Summary!$B$8</f>
        <v/>
      </c>
      <c r="O2685" s="11">
        <f>M2685-N2685</f>
        <v/>
      </c>
    </row>
    <row r="2686">
      <c r="A2686" s="9" t="n">
        <v>45403.83333333334</v>
      </c>
      <c r="B2686" t="n">
        <v>4</v>
      </c>
      <c r="C2686" t="n">
        <v>21</v>
      </c>
      <c r="D2686" t="n">
        <v>20</v>
      </c>
      <c r="E2686" s="10" t="n">
        <v>0</v>
      </c>
      <c r="F2686" s="10" t="n">
        <v>0.2657072797697471</v>
      </c>
      <c r="G2686" s="11">
        <f>E2686*Summary!$B$6</f>
        <v/>
      </c>
      <c r="H2686" s="11">
        <f>F2686*Summary!$B$7</f>
        <v/>
      </c>
      <c r="I2686" s="11">
        <f>MAX(0,N2686-M2686)</f>
        <v/>
      </c>
      <c r="J2686" s="11">
        <f>MAX(0,M2686-N2686)</f>
        <v/>
      </c>
      <c r="K2686" s="11">
        <f>O2686</f>
        <v/>
      </c>
      <c r="L2686" s="11">
        <f>L2685+IF(K2686&gt;0,K2686*Summary!$B$9,K2686/Summary!$B$9)</f>
        <v/>
      </c>
      <c r="M2686" s="11">
        <f>G2686+H2686</f>
        <v/>
      </c>
      <c r="N2686" s="11">
        <f>Summary!$C$16*Summary!$B$8</f>
        <v/>
      </c>
      <c r="O2686" s="11">
        <f>M2686-N2686</f>
        <v/>
      </c>
    </row>
    <row r="2687">
      <c r="A2687" s="9" t="n">
        <v>45403.875</v>
      </c>
      <c r="B2687" t="n">
        <v>4</v>
      </c>
      <c r="C2687" t="n">
        <v>21</v>
      </c>
      <c r="D2687" t="n">
        <v>21</v>
      </c>
      <c r="E2687" s="10" t="n">
        <v>0</v>
      </c>
      <c r="F2687" s="10" t="n">
        <v>0.2754311701034808</v>
      </c>
      <c r="G2687" s="11">
        <f>E2687*Summary!$B$6</f>
        <v/>
      </c>
      <c r="H2687" s="11">
        <f>F2687*Summary!$B$7</f>
        <v/>
      </c>
      <c r="I2687" s="11">
        <f>MAX(0,N2687-M2687)</f>
        <v/>
      </c>
      <c r="J2687" s="11">
        <f>MAX(0,M2687-N2687)</f>
        <v/>
      </c>
      <c r="K2687" s="11">
        <f>O2687</f>
        <v/>
      </c>
      <c r="L2687" s="11">
        <f>L2686+IF(K2687&gt;0,K2687*Summary!$B$9,K2687/Summary!$B$9)</f>
        <v/>
      </c>
      <c r="M2687" s="11">
        <f>G2687+H2687</f>
        <v/>
      </c>
      <c r="N2687" s="11">
        <f>Summary!$C$16*Summary!$B$8</f>
        <v/>
      </c>
      <c r="O2687" s="11">
        <f>M2687-N2687</f>
        <v/>
      </c>
    </row>
    <row r="2688">
      <c r="A2688" s="9" t="n">
        <v>45403.91666666666</v>
      </c>
      <c r="B2688" t="n">
        <v>4</v>
      </c>
      <c r="C2688" t="n">
        <v>21</v>
      </c>
      <c r="D2688" t="n">
        <v>22</v>
      </c>
      <c r="E2688" s="10" t="n">
        <v>0</v>
      </c>
      <c r="F2688" s="10" t="n">
        <v>0.2883436532024768</v>
      </c>
      <c r="G2688" s="11">
        <f>E2688*Summary!$B$6</f>
        <v/>
      </c>
      <c r="H2688" s="11">
        <f>F2688*Summary!$B$7</f>
        <v/>
      </c>
      <c r="I2688" s="11">
        <f>MAX(0,N2688-M2688)</f>
        <v/>
      </c>
      <c r="J2688" s="11">
        <f>MAX(0,M2688-N2688)</f>
        <v/>
      </c>
      <c r="K2688" s="11">
        <f>O2688</f>
        <v/>
      </c>
      <c r="L2688" s="11">
        <f>L2687+IF(K2688&gt;0,K2688*Summary!$B$9,K2688/Summary!$B$9)</f>
        <v/>
      </c>
      <c r="M2688" s="11">
        <f>G2688+H2688</f>
        <v/>
      </c>
      <c r="N2688" s="11">
        <f>Summary!$C$16*Summary!$B$8</f>
        <v/>
      </c>
      <c r="O2688" s="11">
        <f>M2688-N2688</f>
        <v/>
      </c>
    </row>
    <row r="2689">
      <c r="A2689" s="9" t="n">
        <v>45403.95833333334</v>
      </c>
      <c r="B2689" t="n">
        <v>4</v>
      </c>
      <c r="C2689" t="n">
        <v>21</v>
      </c>
      <c r="D2689" t="n">
        <v>23</v>
      </c>
      <c r="E2689" s="10" t="n">
        <v>0</v>
      </c>
      <c r="F2689" s="10" t="n">
        <v>0.2921646941195266</v>
      </c>
      <c r="G2689" s="11">
        <f>E2689*Summary!$B$6</f>
        <v/>
      </c>
      <c r="H2689" s="11">
        <f>F2689*Summary!$B$7</f>
        <v/>
      </c>
      <c r="I2689" s="11">
        <f>MAX(0,N2689-M2689)</f>
        <v/>
      </c>
      <c r="J2689" s="11">
        <f>MAX(0,M2689-N2689)</f>
        <v/>
      </c>
      <c r="K2689" s="11">
        <f>O2689</f>
        <v/>
      </c>
      <c r="L2689" s="11">
        <f>L2688+IF(K2689&gt;0,K2689*Summary!$B$9,K2689/Summary!$B$9)</f>
        <v/>
      </c>
      <c r="M2689" s="11">
        <f>G2689+H2689</f>
        <v/>
      </c>
      <c r="N2689" s="11">
        <f>Summary!$C$16*Summary!$B$8</f>
        <v/>
      </c>
      <c r="O2689" s="11">
        <f>M2689-N2689</f>
        <v/>
      </c>
    </row>
    <row r="2690">
      <c r="A2690" s="9" t="n">
        <v>45404</v>
      </c>
      <c r="B2690" t="n">
        <v>4</v>
      </c>
      <c r="C2690" t="n">
        <v>22</v>
      </c>
      <c r="D2690" t="n">
        <v>0</v>
      </c>
      <c r="E2690" s="10" t="n">
        <v>0</v>
      </c>
      <c r="F2690" s="10" t="n">
        <v>0.3174362681847043</v>
      </c>
      <c r="G2690" s="11">
        <f>E2690*Summary!$B$6</f>
        <v/>
      </c>
      <c r="H2690" s="11">
        <f>F2690*Summary!$B$7</f>
        <v/>
      </c>
      <c r="I2690" s="11">
        <f>MAX(0,N2690-M2690)</f>
        <v/>
      </c>
      <c r="J2690" s="11">
        <f>MAX(0,M2690-N2690)</f>
        <v/>
      </c>
      <c r="K2690" s="11">
        <f>O2690</f>
        <v/>
      </c>
      <c r="L2690" s="11">
        <f>L2689+IF(K2690&gt;0,K2690*Summary!$B$9,K2690/Summary!$B$9)</f>
        <v/>
      </c>
      <c r="M2690" s="11">
        <f>G2690+H2690</f>
        <v/>
      </c>
      <c r="N2690" s="11">
        <f>Summary!$C$16*Summary!$B$8</f>
        <v/>
      </c>
      <c r="O2690" s="11">
        <f>M2690-N2690</f>
        <v/>
      </c>
    </row>
    <row r="2691">
      <c r="A2691" s="9" t="n">
        <v>45404.04166666666</v>
      </c>
      <c r="B2691" t="n">
        <v>4</v>
      </c>
      <c r="C2691" t="n">
        <v>22</v>
      </c>
      <c r="D2691" t="n">
        <v>1</v>
      </c>
      <c r="E2691" s="10" t="n">
        <v>0</v>
      </c>
      <c r="F2691" s="10" t="n">
        <v>0.2946417827140279</v>
      </c>
      <c r="G2691" s="11">
        <f>E2691*Summary!$B$6</f>
        <v/>
      </c>
      <c r="H2691" s="11">
        <f>F2691*Summary!$B$7</f>
        <v/>
      </c>
      <c r="I2691" s="11">
        <f>MAX(0,N2691-M2691)</f>
        <v/>
      </c>
      <c r="J2691" s="11">
        <f>MAX(0,M2691-N2691)</f>
        <v/>
      </c>
      <c r="K2691" s="11">
        <f>O2691</f>
        <v/>
      </c>
      <c r="L2691" s="11">
        <f>L2690+IF(K2691&gt;0,K2691*Summary!$B$9,K2691/Summary!$B$9)</f>
        <v/>
      </c>
      <c r="M2691" s="11">
        <f>G2691+H2691</f>
        <v/>
      </c>
      <c r="N2691" s="11">
        <f>Summary!$C$16*Summary!$B$8</f>
        <v/>
      </c>
      <c r="O2691" s="11">
        <f>M2691-N2691</f>
        <v/>
      </c>
    </row>
    <row r="2692">
      <c r="A2692" s="9" t="n">
        <v>45404.08333333334</v>
      </c>
      <c r="B2692" t="n">
        <v>4</v>
      </c>
      <c r="C2692" t="n">
        <v>22</v>
      </c>
      <c r="D2692" t="n">
        <v>2</v>
      </c>
      <c r="E2692" s="10" t="n">
        <v>0</v>
      </c>
      <c r="F2692" s="10" t="n">
        <v>0.2971715753211781</v>
      </c>
      <c r="G2692" s="11">
        <f>E2692*Summary!$B$6</f>
        <v/>
      </c>
      <c r="H2692" s="11">
        <f>F2692*Summary!$B$7</f>
        <v/>
      </c>
      <c r="I2692" s="11">
        <f>MAX(0,N2692-M2692)</f>
        <v/>
      </c>
      <c r="J2692" s="11">
        <f>MAX(0,M2692-N2692)</f>
        <v/>
      </c>
      <c r="K2692" s="11">
        <f>O2692</f>
        <v/>
      </c>
      <c r="L2692" s="11">
        <f>L2691+IF(K2692&gt;0,K2692*Summary!$B$9,K2692/Summary!$B$9)</f>
        <v/>
      </c>
      <c r="M2692" s="11">
        <f>G2692+H2692</f>
        <v/>
      </c>
      <c r="N2692" s="11">
        <f>Summary!$C$16*Summary!$B$8</f>
        <v/>
      </c>
      <c r="O2692" s="11">
        <f>M2692-N2692</f>
        <v/>
      </c>
    </row>
    <row r="2693">
      <c r="A2693" s="9" t="n">
        <v>45404.125</v>
      </c>
      <c r="B2693" t="n">
        <v>4</v>
      </c>
      <c r="C2693" t="n">
        <v>22</v>
      </c>
      <c r="D2693" t="n">
        <v>3</v>
      </c>
      <c r="E2693" s="10" t="n">
        <v>0</v>
      </c>
      <c r="F2693" s="10" t="n">
        <v>0.3013878963330952</v>
      </c>
      <c r="G2693" s="11">
        <f>E2693*Summary!$B$6</f>
        <v/>
      </c>
      <c r="H2693" s="11">
        <f>F2693*Summary!$B$7</f>
        <v/>
      </c>
      <c r="I2693" s="11">
        <f>MAX(0,N2693-M2693)</f>
        <v/>
      </c>
      <c r="J2693" s="11">
        <f>MAX(0,M2693-N2693)</f>
        <v/>
      </c>
      <c r="K2693" s="11">
        <f>O2693</f>
        <v/>
      </c>
      <c r="L2693" s="11">
        <f>L2692+IF(K2693&gt;0,K2693*Summary!$B$9,K2693/Summary!$B$9)</f>
        <v/>
      </c>
      <c r="M2693" s="11">
        <f>G2693+H2693</f>
        <v/>
      </c>
      <c r="N2693" s="11">
        <f>Summary!$C$16*Summary!$B$8</f>
        <v/>
      </c>
      <c r="O2693" s="11">
        <f>M2693-N2693</f>
        <v/>
      </c>
    </row>
    <row r="2694">
      <c r="A2694" s="9" t="n">
        <v>45404.16666666666</v>
      </c>
      <c r="B2694" t="n">
        <v>4</v>
      </c>
      <c r="C2694" t="n">
        <v>22</v>
      </c>
      <c r="D2694" t="n">
        <v>4</v>
      </c>
      <c r="E2694" s="10" t="n">
        <v>0</v>
      </c>
      <c r="F2694" s="10" t="n">
        <v>0.2982783595868063</v>
      </c>
      <c r="G2694" s="11">
        <f>E2694*Summary!$B$6</f>
        <v/>
      </c>
      <c r="H2694" s="11">
        <f>F2694*Summary!$B$7</f>
        <v/>
      </c>
      <c r="I2694" s="11">
        <f>MAX(0,N2694-M2694)</f>
        <v/>
      </c>
      <c r="J2694" s="11">
        <f>MAX(0,M2694-N2694)</f>
        <v/>
      </c>
      <c r="K2694" s="11">
        <f>O2694</f>
        <v/>
      </c>
      <c r="L2694" s="11">
        <f>L2693+IF(K2694&gt;0,K2694*Summary!$B$9,K2694/Summary!$B$9)</f>
        <v/>
      </c>
      <c r="M2694" s="11">
        <f>G2694+H2694</f>
        <v/>
      </c>
      <c r="N2694" s="11">
        <f>Summary!$C$16*Summary!$B$8</f>
        <v/>
      </c>
      <c r="O2694" s="11">
        <f>M2694-N2694</f>
        <v/>
      </c>
    </row>
    <row r="2695">
      <c r="A2695" s="9" t="n">
        <v>45404.20833333334</v>
      </c>
      <c r="B2695" t="n">
        <v>4</v>
      </c>
      <c r="C2695" t="n">
        <v>22</v>
      </c>
      <c r="D2695" t="n">
        <v>5</v>
      </c>
      <c r="E2695" s="10" t="n">
        <v>0.022363</v>
      </c>
      <c r="F2695" s="10" t="n">
        <v>0.2879483731076096</v>
      </c>
      <c r="G2695" s="11">
        <f>E2695*Summary!$B$6</f>
        <v/>
      </c>
      <c r="H2695" s="11">
        <f>F2695*Summary!$B$7</f>
        <v/>
      </c>
      <c r="I2695" s="11">
        <f>MAX(0,N2695-M2695)</f>
        <v/>
      </c>
      <c r="J2695" s="11">
        <f>MAX(0,M2695-N2695)</f>
        <v/>
      </c>
      <c r="K2695" s="11">
        <f>O2695</f>
        <v/>
      </c>
      <c r="L2695" s="11">
        <f>L2694+IF(K2695&gt;0,K2695*Summary!$B$9,K2695/Summary!$B$9)</f>
        <v/>
      </c>
      <c r="M2695" s="11">
        <f>G2695+H2695</f>
        <v/>
      </c>
      <c r="N2695" s="11">
        <f>Summary!$C$16*Summary!$B$8</f>
        <v/>
      </c>
      <c r="O2695" s="11">
        <f>M2695-N2695</f>
        <v/>
      </c>
    </row>
    <row r="2696">
      <c r="A2696" s="9" t="n">
        <v>45404.25</v>
      </c>
      <c r="B2696" t="n">
        <v>4</v>
      </c>
      <c r="C2696" t="n">
        <v>22</v>
      </c>
      <c r="D2696" t="n">
        <v>6</v>
      </c>
      <c r="E2696" s="10" t="n">
        <v>0.121693</v>
      </c>
      <c r="F2696" s="10" t="n">
        <v>0.2690276325666318</v>
      </c>
      <c r="G2696" s="11">
        <f>E2696*Summary!$B$6</f>
        <v/>
      </c>
      <c r="H2696" s="11">
        <f>F2696*Summary!$B$7</f>
        <v/>
      </c>
      <c r="I2696" s="11">
        <f>MAX(0,N2696-M2696)</f>
        <v/>
      </c>
      <c r="J2696" s="11">
        <f>MAX(0,M2696-N2696)</f>
        <v/>
      </c>
      <c r="K2696" s="11">
        <f>O2696</f>
        <v/>
      </c>
      <c r="L2696" s="11">
        <f>L2695+IF(K2696&gt;0,K2696*Summary!$B$9,K2696/Summary!$B$9)</f>
        <v/>
      </c>
      <c r="M2696" s="11">
        <f>G2696+H2696</f>
        <v/>
      </c>
      <c r="N2696" s="11">
        <f>Summary!$C$16*Summary!$B$8</f>
        <v/>
      </c>
      <c r="O2696" s="11">
        <f>M2696-N2696</f>
        <v/>
      </c>
    </row>
    <row r="2697">
      <c r="A2697" s="9" t="n">
        <v>45404.29166666666</v>
      </c>
      <c r="B2697" t="n">
        <v>4</v>
      </c>
      <c r="C2697" t="n">
        <v>22</v>
      </c>
      <c r="D2697" t="n">
        <v>7</v>
      </c>
      <c r="E2697" s="10" t="n">
        <v>0.335138</v>
      </c>
      <c r="F2697" s="10" t="n">
        <v>0.2494744438738665</v>
      </c>
      <c r="G2697" s="11">
        <f>E2697*Summary!$B$6</f>
        <v/>
      </c>
      <c r="H2697" s="11">
        <f>F2697*Summary!$B$7</f>
        <v/>
      </c>
      <c r="I2697" s="11">
        <f>MAX(0,N2697-M2697)</f>
        <v/>
      </c>
      <c r="J2697" s="11">
        <f>MAX(0,M2697-N2697)</f>
        <v/>
      </c>
      <c r="K2697" s="11">
        <f>O2697</f>
        <v/>
      </c>
      <c r="L2697" s="11">
        <f>L2696+IF(K2697&gt;0,K2697*Summary!$B$9,K2697/Summary!$B$9)</f>
        <v/>
      </c>
      <c r="M2697" s="11">
        <f>G2697+H2697</f>
        <v/>
      </c>
      <c r="N2697" s="11">
        <f>Summary!$C$16*Summary!$B$8</f>
        <v/>
      </c>
      <c r="O2697" s="11">
        <f>M2697-N2697</f>
        <v/>
      </c>
    </row>
    <row r="2698">
      <c r="A2698" s="9" t="n">
        <v>45404.33333333334</v>
      </c>
      <c r="B2698" t="n">
        <v>4</v>
      </c>
      <c r="C2698" t="n">
        <v>22</v>
      </c>
      <c r="D2698" t="n">
        <v>8</v>
      </c>
      <c r="E2698" s="10" t="n">
        <v>0.549198</v>
      </c>
      <c r="F2698" s="10" t="n">
        <v>0.2379849691163926</v>
      </c>
      <c r="G2698" s="11">
        <f>E2698*Summary!$B$6</f>
        <v/>
      </c>
      <c r="H2698" s="11">
        <f>F2698*Summary!$B$7</f>
        <v/>
      </c>
      <c r="I2698" s="11">
        <f>MAX(0,N2698-M2698)</f>
        <v/>
      </c>
      <c r="J2698" s="11">
        <f>MAX(0,M2698-N2698)</f>
        <v/>
      </c>
      <c r="K2698" s="11">
        <f>O2698</f>
        <v/>
      </c>
      <c r="L2698" s="11">
        <f>L2697+IF(K2698&gt;0,K2698*Summary!$B$9,K2698/Summary!$B$9)</f>
        <v/>
      </c>
      <c r="M2698" s="11">
        <f>G2698+H2698</f>
        <v/>
      </c>
      <c r="N2698" s="11">
        <f>Summary!$C$16*Summary!$B$8</f>
        <v/>
      </c>
      <c r="O2698" s="11">
        <f>M2698-N2698</f>
        <v/>
      </c>
    </row>
    <row r="2699">
      <c r="A2699" s="9" t="n">
        <v>45404.375</v>
      </c>
      <c r="B2699" t="n">
        <v>4</v>
      </c>
      <c r="C2699" t="n">
        <v>22</v>
      </c>
      <c r="D2699" t="n">
        <v>9</v>
      </c>
      <c r="E2699" s="10" t="n">
        <v>0.709337</v>
      </c>
      <c r="F2699" s="10" t="n">
        <v>0.229525975086234</v>
      </c>
      <c r="G2699" s="11">
        <f>E2699*Summary!$B$6</f>
        <v/>
      </c>
      <c r="H2699" s="11">
        <f>F2699*Summary!$B$7</f>
        <v/>
      </c>
      <c r="I2699" s="11">
        <f>MAX(0,N2699-M2699)</f>
        <v/>
      </c>
      <c r="J2699" s="11">
        <f>MAX(0,M2699-N2699)</f>
        <v/>
      </c>
      <c r="K2699" s="11">
        <f>O2699</f>
        <v/>
      </c>
      <c r="L2699" s="11">
        <f>L2698+IF(K2699&gt;0,K2699*Summary!$B$9,K2699/Summary!$B$9)</f>
        <v/>
      </c>
      <c r="M2699" s="11">
        <f>G2699+H2699</f>
        <v/>
      </c>
      <c r="N2699" s="11">
        <f>Summary!$C$16*Summary!$B$8</f>
        <v/>
      </c>
      <c r="O2699" s="11">
        <f>M2699-N2699</f>
        <v/>
      </c>
    </row>
    <row r="2700">
      <c r="A2700" s="9" t="n">
        <v>45404.41666666666</v>
      </c>
      <c r="B2700" t="n">
        <v>4</v>
      </c>
      <c r="C2700" t="n">
        <v>22</v>
      </c>
      <c r="D2700" t="n">
        <v>10</v>
      </c>
      <c r="E2700" s="10" t="n">
        <v>0.754058</v>
      </c>
      <c r="F2700" s="10" t="n">
        <v>0.2283664868079568</v>
      </c>
      <c r="G2700" s="11">
        <f>E2700*Summary!$B$6</f>
        <v/>
      </c>
      <c r="H2700" s="11">
        <f>F2700*Summary!$B$7</f>
        <v/>
      </c>
      <c r="I2700" s="11">
        <f>MAX(0,N2700-M2700)</f>
        <v/>
      </c>
      <c r="J2700" s="11">
        <f>MAX(0,M2700-N2700)</f>
        <v/>
      </c>
      <c r="K2700" s="11">
        <f>O2700</f>
        <v/>
      </c>
      <c r="L2700" s="11">
        <f>L2699+IF(K2700&gt;0,K2700*Summary!$B$9,K2700/Summary!$B$9)</f>
        <v/>
      </c>
      <c r="M2700" s="11">
        <f>G2700+H2700</f>
        <v/>
      </c>
      <c r="N2700" s="11">
        <f>Summary!$C$16*Summary!$B$8</f>
        <v/>
      </c>
      <c r="O2700" s="11">
        <f>M2700-N2700</f>
        <v/>
      </c>
    </row>
    <row r="2701">
      <c r="A2701" s="9" t="n">
        <v>45404.45833333334</v>
      </c>
      <c r="B2701" t="n">
        <v>4</v>
      </c>
      <c r="C2701" t="n">
        <v>22</v>
      </c>
      <c r="D2701" t="n">
        <v>11</v>
      </c>
      <c r="E2701" s="10" t="n">
        <v>0.754058</v>
      </c>
      <c r="F2701" s="10" t="n">
        <v>0.2287354148964996</v>
      </c>
      <c r="G2701" s="11">
        <f>E2701*Summary!$B$6</f>
        <v/>
      </c>
      <c r="H2701" s="11">
        <f>F2701*Summary!$B$7</f>
        <v/>
      </c>
      <c r="I2701" s="11">
        <f>MAX(0,N2701-M2701)</f>
        <v/>
      </c>
      <c r="J2701" s="11">
        <f>MAX(0,M2701-N2701)</f>
        <v/>
      </c>
      <c r="K2701" s="11">
        <f>O2701</f>
        <v/>
      </c>
      <c r="L2701" s="11">
        <f>L2700+IF(K2701&gt;0,K2701*Summary!$B$9,K2701/Summary!$B$9)</f>
        <v/>
      </c>
      <c r="M2701" s="11">
        <f>G2701+H2701</f>
        <v/>
      </c>
      <c r="N2701" s="11">
        <f>Summary!$C$16*Summary!$B$8</f>
        <v/>
      </c>
      <c r="O2701" s="11">
        <f>M2701-N2701</f>
        <v/>
      </c>
    </row>
    <row r="2702">
      <c r="A2702" s="9" t="n">
        <v>45404.5</v>
      </c>
      <c r="B2702" t="n">
        <v>4</v>
      </c>
      <c r="C2702" t="n">
        <v>22</v>
      </c>
      <c r="D2702" t="n">
        <v>12</v>
      </c>
      <c r="E2702" s="10" t="n">
        <v>0.754058</v>
      </c>
      <c r="F2702" s="10" t="n">
        <v>0.2308435754024581</v>
      </c>
      <c r="G2702" s="11">
        <f>E2702*Summary!$B$6</f>
        <v/>
      </c>
      <c r="H2702" s="11">
        <f>F2702*Summary!$B$7</f>
        <v/>
      </c>
      <c r="I2702" s="11">
        <f>MAX(0,N2702-M2702)</f>
        <v/>
      </c>
      <c r="J2702" s="11">
        <f>MAX(0,M2702-N2702)</f>
        <v/>
      </c>
      <c r="K2702" s="11">
        <f>O2702</f>
        <v/>
      </c>
      <c r="L2702" s="11">
        <f>L2701+IF(K2702&gt;0,K2702*Summary!$B$9,K2702/Summary!$B$9)</f>
        <v/>
      </c>
      <c r="M2702" s="11">
        <f>G2702+H2702</f>
        <v/>
      </c>
      <c r="N2702" s="11">
        <f>Summary!$C$16*Summary!$B$8</f>
        <v/>
      </c>
      <c r="O2702" s="11">
        <f>M2702-N2702</f>
        <v/>
      </c>
    </row>
    <row r="2703">
      <c r="A2703" s="9" t="n">
        <v>45404.54166666666</v>
      </c>
      <c r="B2703" t="n">
        <v>4</v>
      </c>
      <c r="C2703" t="n">
        <v>22</v>
      </c>
      <c r="D2703" t="n">
        <v>13</v>
      </c>
      <c r="E2703" s="10" t="n">
        <v>0.754058</v>
      </c>
      <c r="F2703" s="10" t="n">
        <v>0.2566421895941255</v>
      </c>
      <c r="G2703" s="11">
        <f>E2703*Summary!$B$6</f>
        <v/>
      </c>
      <c r="H2703" s="11">
        <f>F2703*Summary!$B$7</f>
        <v/>
      </c>
      <c r="I2703" s="11">
        <f>MAX(0,N2703-M2703)</f>
        <v/>
      </c>
      <c r="J2703" s="11">
        <f>MAX(0,M2703-N2703)</f>
        <v/>
      </c>
      <c r="K2703" s="11">
        <f>O2703</f>
        <v/>
      </c>
      <c r="L2703" s="11">
        <f>L2702+IF(K2703&gt;0,K2703*Summary!$B$9,K2703/Summary!$B$9)</f>
        <v/>
      </c>
      <c r="M2703" s="11">
        <f>G2703+H2703</f>
        <v/>
      </c>
      <c r="N2703" s="11">
        <f>Summary!$C$16*Summary!$B$8</f>
        <v/>
      </c>
      <c r="O2703" s="11">
        <f>M2703-N2703</f>
        <v/>
      </c>
    </row>
    <row r="2704">
      <c r="A2704" s="9" t="n">
        <v>45404.58333333334</v>
      </c>
      <c r="B2704" t="n">
        <v>4</v>
      </c>
      <c r="C2704" t="n">
        <v>22</v>
      </c>
      <c r="D2704" t="n">
        <v>14</v>
      </c>
      <c r="E2704" s="10" t="n">
        <v>0.742075</v>
      </c>
      <c r="F2704" s="10" t="n">
        <v>0.2329780879147411</v>
      </c>
      <c r="G2704" s="11">
        <f>E2704*Summary!$B$6</f>
        <v/>
      </c>
      <c r="H2704" s="11">
        <f>F2704*Summary!$B$7</f>
        <v/>
      </c>
      <c r="I2704" s="11">
        <f>MAX(0,N2704-M2704)</f>
        <v/>
      </c>
      <c r="J2704" s="11">
        <f>MAX(0,M2704-N2704)</f>
        <v/>
      </c>
      <c r="K2704" s="11">
        <f>O2704</f>
        <v/>
      </c>
      <c r="L2704" s="11">
        <f>L2703+IF(K2704&gt;0,K2704*Summary!$B$9,K2704/Summary!$B$9)</f>
        <v/>
      </c>
      <c r="M2704" s="11">
        <f>G2704+H2704</f>
        <v/>
      </c>
      <c r="N2704" s="11">
        <f>Summary!$C$16*Summary!$B$8</f>
        <v/>
      </c>
      <c r="O2704" s="11">
        <f>M2704-N2704</f>
        <v/>
      </c>
    </row>
    <row r="2705">
      <c r="A2705" s="9" t="n">
        <v>45404.625</v>
      </c>
      <c r="B2705" t="n">
        <v>4</v>
      </c>
      <c r="C2705" t="n">
        <v>22</v>
      </c>
      <c r="D2705" t="n">
        <v>15</v>
      </c>
      <c r="E2705" s="10" t="n">
        <v>0.594917</v>
      </c>
      <c r="F2705" s="10" t="n">
        <v>0.2265481983715676</v>
      </c>
      <c r="G2705" s="11">
        <f>E2705*Summary!$B$6</f>
        <v/>
      </c>
      <c r="H2705" s="11">
        <f>F2705*Summary!$B$7</f>
        <v/>
      </c>
      <c r="I2705" s="11">
        <f>MAX(0,N2705-M2705)</f>
        <v/>
      </c>
      <c r="J2705" s="11">
        <f>MAX(0,M2705-N2705)</f>
        <v/>
      </c>
      <c r="K2705" s="11">
        <f>O2705</f>
        <v/>
      </c>
      <c r="L2705" s="11">
        <f>L2704+IF(K2705&gt;0,K2705*Summary!$B$9,K2705/Summary!$B$9)</f>
        <v/>
      </c>
      <c r="M2705" s="11">
        <f>G2705+H2705</f>
        <v/>
      </c>
      <c r="N2705" s="11">
        <f>Summary!$C$16*Summary!$B$8</f>
        <v/>
      </c>
      <c r="O2705" s="11">
        <f>M2705-N2705</f>
        <v/>
      </c>
    </row>
    <row r="2706">
      <c r="A2706" s="9" t="n">
        <v>45404.66666666666</v>
      </c>
      <c r="B2706" t="n">
        <v>4</v>
      </c>
      <c r="C2706" t="n">
        <v>22</v>
      </c>
      <c r="D2706" t="n">
        <v>16</v>
      </c>
      <c r="E2706" s="10" t="n">
        <v>0.387946</v>
      </c>
      <c r="F2706" s="10" t="n">
        <v>0.2217257812141875</v>
      </c>
      <c r="G2706" s="11">
        <f>E2706*Summary!$B$6</f>
        <v/>
      </c>
      <c r="H2706" s="11">
        <f>F2706*Summary!$B$7</f>
        <v/>
      </c>
      <c r="I2706" s="11">
        <f>MAX(0,N2706-M2706)</f>
        <v/>
      </c>
      <c r="J2706" s="11">
        <f>MAX(0,M2706-N2706)</f>
        <v/>
      </c>
      <c r="K2706" s="11">
        <f>O2706</f>
        <v/>
      </c>
      <c r="L2706" s="11">
        <f>L2705+IF(K2706&gt;0,K2706*Summary!$B$9,K2706/Summary!$B$9)</f>
        <v/>
      </c>
      <c r="M2706" s="11">
        <f>G2706+H2706</f>
        <v/>
      </c>
      <c r="N2706" s="11">
        <f>Summary!$C$16*Summary!$B$8</f>
        <v/>
      </c>
      <c r="O2706" s="11">
        <f>M2706-N2706</f>
        <v/>
      </c>
    </row>
    <row r="2707">
      <c r="A2707" s="9" t="n">
        <v>45404.70833333334</v>
      </c>
      <c r="B2707" t="n">
        <v>4</v>
      </c>
      <c r="C2707" t="n">
        <v>22</v>
      </c>
      <c r="D2707" t="n">
        <v>17</v>
      </c>
      <c r="E2707" s="10" t="n">
        <v>0.166879</v>
      </c>
      <c r="F2707" s="10" t="n">
        <v>0.2104998265199584</v>
      </c>
      <c r="G2707" s="11">
        <f>E2707*Summary!$B$6</f>
        <v/>
      </c>
      <c r="H2707" s="11">
        <f>F2707*Summary!$B$7</f>
        <v/>
      </c>
      <c r="I2707" s="11">
        <f>MAX(0,N2707-M2707)</f>
        <v/>
      </c>
      <c r="J2707" s="11">
        <f>MAX(0,M2707-N2707)</f>
        <v/>
      </c>
      <c r="K2707" s="11">
        <f>O2707</f>
        <v/>
      </c>
      <c r="L2707" s="11">
        <f>L2706+IF(K2707&gt;0,K2707*Summary!$B$9,K2707/Summary!$B$9)</f>
        <v/>
      </c>
      <c r="M2707" s="11">
        <f>G2707+H2707</f>
        <v/>
      </c>
      <c r="N2707" s="11">
        <f>Summary!$C$16*Summary!$B$8</f>
        <v/>
      </c>
      <c r="O2707" s="11">
        <f>M2707-N2707</f>
        <v/>
      </c>
    </row>
    <row r="2708">
      <c r="A2708" s="9" t="n">
        <v>45404.75</v>
      </c>
      <c r="B2708" t="n">
        <v>4</v>
      </c>
      <c r="C2708" t="n">
        <v>22</v>
      </c>
      <c r="D2708" t="n">
        <v>18</v>
      </c>
      <c r="E2708" s="10" t="n">
        <v>0.031063</v>
      </c>
      <c r="F2708" s="10" t="n">
        <v>0.208892354134165</v>
      </c>
      <c r="G2708" s="11">
        <f>E2708*Summary!$B$6</f>
        <v/>
      </c>
      <c r="H2708" s="11">
        <f>F2708*Summary!$B$7</f>
        <v/>
      </c>
      <c r="I2708" s="11">
        <f>MAX(0,N2708-M2708)</f>
        <v/>
      </c>
      <c r="J2708" s="11">
        <f>MAX(0,M2708-N2708)</f>
        <v/>
      </c>
      <c r="K2708" s="11">
        <f>O2708</f>
        <v/>
      </c>
      <c r="L2708" s="11">
        <f>L2707+IF(K2708&gt;0,K2708*Summary!$B$9,K2708/Summary!$B$9)</f>
        <v/>
      </c>
      <c r="M2708" s="11">
        <f>G2708+H2708</f>
        <v/>
      </c>
      <c r="N2708" s="11">
        <f>Summary!$C$16*Summary!$B$8</f>
        <v/>
      </c>
      <c r="O2708" s="11">
        <f>M2708-N2708</f>
        <v/>
      </c>
    </row>
    <row r="2709">
      <c r="A2709" s="9" t="n">
        <v>45404.79166666666</v>
      </c>
      <c r="B2709" t="n">
        <v>4</v>
      </c>
      <c r="C2709" t="n">
        <v>22</v>
      </c>
      <c r="D2709" t="n">
        <v>19</v>
      </c>
      <c r="E2709" s="10" t="n">
        <v>0</v>
      </c>
      <c r="F2709" s="10" t="n">
        <v>0.2126079870259169</v>
      </c>
      <c r="G2709" s="11">
        <f>E2709*Summary!$B$6</f>
        <v/>
      </c>
      <c r="H2709" s="11">
        <f>F2709*Summary!$B$7</f>
        <v/>
      </c>
      <c r="I2709" s="11">
        <f>MAX(0,N2709-M2709)</f>
        <v/>
      </c>
      <c r="J2709" s="11">
        <f>MAX(0,M2709-N2709)</f>
        <v/>
      </c>
      <c r="K2709" s="11">
        <f>O2709</f>
        <v/>
      </c>
      <c r="L2709" s="11">
        <f>L2708+IF(K2709&gt;0,K2709*Summary!$B$9,K2709/Summary!$B$9)</f>
        <v/>
      </c>
      <c r="M2709" s="11">
        <f>G2709+H2709</f>
        <v/>
      </c>
      <c r="N2709" s="11">
        <f>Summary!$C$16*Summary!$B$8</f>
        <v/>
      </c>
      <c r="O2709" s="11">
        <f>M2709-N2709</f>
        <v/>
      </c>
    </row>
    <row r="2710">
      <c r="A2710" s="9" t="n">
        <v>45404.83333333334</v>
      </c>
      <c r="B2710" t="n">
        <v>4</v>
      </c>
      <c r="C2710" t="n">
        <v>22</v>
      </c>
      <c r="D2710" t="n">
        <v>20</v>
      </c>
      <c r="E2710" s="10" t="n">
        <v>0</v>
      </c>
      <c r="F2710" s="10" t="n">
        <v>0.2336105360665287</v>
      </c>
      <c r="G2710" s="11">
        <f>E2710*Summary!$B$6</f>
        <v/>
      </c>
      <c r="H2710" s="11">
        <f>F2710*Summary!$B$7</f>
        <v/>
      </c>
      <c r="I2710" s="11">
        <f>MAX(0,N2710-M2710)</f>
        <v/>
      </c>
      <c r="J2710" s="11">
        <f>MAX(0,M2710-N2710)</f>
        <v/>
      </c>
      <c r="K2710" s="11">
        <f>O2710</f>
        <v/>
      </c>
      <c r="L2710" s="11">
        <f>L2709+IF(K2710&gt;0,K2710*Summary!$B$9,K2710/Summary!$B$9)</f>
        <v/>
      </c>
      <c r="M2710" s="11">
        <f>G2710+H2710</f>
        <v/>
      </c>
      <c r="N2710" s="11">
        <f>Summary!$C$16*Summary!$B$8</f>
        <v/>
      </c>
      <c r="O2710" s="11">
        <f>M2710-N2710</f>
        <v/>
      </c>
    </row>
    <row r="2711">
      <c r="A2711" s="9" t="n">
        <v>45404.875</v>
      </c>
      <c r="B2711" t="n">
        <v>4</v>
      </c>
      <c r="C2711" t="n">
        <v>22</v>
      </c>
      <c r="D2711" t="n">
        <v>21</v>
      </c>
      <c r="E2711" s="10" t="n">
        <v>0</v>
      </c>
      <c r="F2711" s="10" t="n">
        <v>0.2599098383783612</v>
      </c>
      <c r="G2711" s="11">
        <f>E2711*Summary!$B$6</f>
        <v/>
      </c>
      <c r="H2711" s="11">
        <f>F2711*Summary!$B$7</f>
        <v/>
      </c>
      <c r="I2711" s="11">
        <f>MAX(0,N2711-M2711)</f>
        <v/>
      </c>
      <c r="J2711" s="11">
        <f>MAX(0,M2711-N2711)</f>
        <v/>
      </c>
      <c r="K2711" s="11">
        <f>O2711</f>
        <v/>
      </c>
      <c r="L2711" s="11">
        <f>L2710+IF(K2711&gt;0,K2711*Summary!$B$9,K2711/Summary!$B$9)</f>
        <v/>
      </c>
      <c r="M2711" s="11">
        <f>G2711+H2711</f>
        <v/>
      </c>
      <c r="N2711" s="11">
        <f>Summary!$C$16*Summary!$B$8</f>
        <v/>
      </c>
      <c r="O2711" s="11">
        <f>M2711-N2711</f>
        <v/>
      </c>
    </row>
    <row r="2712">
      <c r="A2712" s="9" t="n">
        <v>45404.91666666666</v>
      </c>
      <c r="B2712" t="n">
        <v>4</v>
      </c>
      <c r="C2712" t="n">
        <v>22</v>
      </c>
      <c r="D2712" t="n">
        <v>22</v>
      </c>
      <c r="E2712" s="10" t="n">
        <v>0</v>
      </c>
      <c r="F2712" s="10" t="n">
        <v>0.2854449325067838</v>
      </c>
      <c r="G2712" s="11">
        <f>E2712*Summary!$B$6</f>
        <v/>
      </c>
      <c r="H2712" s="11">
        <f>F2712*Summary!$B$7</f>
        <v/>
      </c>
      <c r="I2712" s="11">
        <f>MAX(0,N2712-M2712)</f>
        <v/>
      </c>
      <c r="J2712" s="11">
        <f>MAX(0,M2712-N2712)</f>
        <v/>
      </c>
      <c r="K2712" s="11">
        <f>O2712</f>
        <v/>
      </c>
      <c r="L2712" s="11">
        <f>L2711+IF(K2712&gt;0,K2712*Summary!$B$9,K2712/Summary!$B$9)</f>
        <v/>
      </c>
      <c r="M2712" s="11">
        <f>G2712+H2712</f>
        <v/>
      </c>
      <c r="N2712" s="11">
        <f>Summary!$C$16*Summary!$B$8</f>
        <v/>
      </c>
      <c r="O2712" s="11">
        <f>M2712-N2712</f>
        <v/>
      </c>
    </row>
    <row r="2713">
      <c r="A2713" s="9" t="n">
        <v>45404.95833333334</v>
      </c>
      <c r="B2713" t="n">
        <v>4</v>
      </c>
      <c r="C2713" t="n">
        <v>22</v>
      </c>
      <c r="D2713" t="n">
        <v>23</v>
      </c>
      <c r="E2713" s="10" t="n">
        <v>0</v>
      </c>
      <c r="F2713" s="10" t="n">
        <v>0.3125084430020263</v>
      </c>
      <c r="G2713" s="11">
        <f>E2713*Summary!$B$6</f>
        <v/>
      </c>
      <c r="H2713" s="11">
        <f>F2713*Summary!$B$7</f>
        <v/>
      </c>
      <c r="I2713" s="11">
        <f>MAX(0,N2713-M2713)</f>
        <v/>
      </c>
      <c r="J2713" s="11">
        <f>MAX(0,M2713-N2713)</f>
        <v/>
      </c>
      <c r="K2713" s="11">
        <f>O2713</f>
        <v/>
      </c>
      <c r="L2713" s="11">
        <f>L2712+IF(K2713&gt;0,K2713*Summary!$B$9,K2713/Summary!$B$9)</f>
        <v/>
      </c>
      <c r="M2713" s="11">
        <f>G2713+H2713</f>
        <v/>
      </c>
      <c r="N2713" s="11">
        <f>Summary!$C$16*Summary!$B$8</f>
        <v/>
      </c>
      <c r="O2713" s="11">
        <f>M2713-N2713</f>
        <v/>
      </c>
    </row>
    <row r="2714">
      <c r="A2714" s="9" t="n">
        <v>45405</v>
      </c>
      <c r="B2714" t="n">
        <v>4</v>
      </c>
      <c r="C2714" t="n">
        <v>23</v>
      </c>
      <c r="D2714" t="n">
        <v>0</v>
      </c>
      <c r="E2714" s="10" t="n">
        <v>0</v>
      </c>
      <c r="F2714" s="10" t="n">
        <v>0.3073434497624279</v>
      </c>
      <c r="G2714" s="11">
        <f>E2714*Summary!$B$6</f>
        <v/>
      </c>
      <c r="H2714" s="11">
        <f>F2714*Summary!$B$7</f>
        <v/>
      </c>
      <c r="I2714" s="11">
        <f>MAX(0,N2714-M2714)</f>
        <v/>
      </c>
      <c r="J2714" s="11">
        <f>MAX(0,M2714-N2714)</f>
        <v/>
      </c>
      <c r="K2714" s="11">
        <f>O2714</f>
        <v/>
      </c>
      <c r="L2714" s="11">
        <f>L2713+IF(K2714&gt;0,K2714*Summary!$B$9,K2714/Summary!$B$9)</f>
        <v/>
      </c>
      <c r="M2714" s="11">
        <f>G2714+H2714</f>
        <v/>
      </c>
      <c r="N2714" s="11">
        <f>Summary!$C$16*Summary!$B$8</f>
        <v/>
      </c>
      <c r="O2714" s="11">
        <f>M2714-N2714</f>
        <v/>
      </c>
    </row>
    <row r="2715">
      <c r="A2715" s="9" t="n">
        <v>45405.04166666666</v>
      </c>
      <c r="B2715" t="n">
        <v>4</v>
      </c>
      <c r="C2715" t="n">
        <v>23</v>
      </c>
      <c r="D2715" t="n">
        <v>1</v>
      </c>
      <c r="E2715" s="10" t="n">
        <v>0</v>
      </c>
      <c r="F2715" s="10" t="n">
        <v>0.320756620981589</v>
      </c>
      <c r="G2715" s="11">
        <f>E2715*Summary!$B$6</f>
        <v/>
      </c>
      <c r="H2715" s="11">
        <f>F2715*Summary!$B$7</f>
        <v/>
      </c>
      <c r="I2715" s="11">
        <f>MAX(0,N2715-M2715)</f>
        <v/>
      </c>
      <c r="J2715" s="11">
        <f>MAX(0,M2715-N2715)</f>
        <v/>
      </c>
      <c r="K2715" s="11">
        <f>O2715</f>
        <v/>
      </c>
      <c r="L2715" s="11">
        <f>L2714+IF(K2715&gt;0,K2715*Summary!$B$9,K2715/Summary!$B$9)</f>
        <v/>
      </c>
      <c r="M2715" s="11">
        <f>G2715+H2715</f>
        <v/>
      </c>
      <c r="N2715" s="11">
        <f>Summary!$C$16*Summary!$B$8</f>
        <v/>
      </c>
      <c r="O2715" s="11">
        <f>M2715-N2715</f>
        <v/>
      </c>
    </row>
    <row r="2716">
      <c r="A2716" s="9" t="n">
        <v>45405.08333333334</v>
      </c>
      <c r="B2716" t="n">
        <v>4</v>
      </c>
      <c r="C2716" t="n">
        <v>23</v>
      </c>
      <c r="D2716" t="n">
        <v>2</v>
      </c>
      <c r="E2716" s="10" t="n">
        <v>0</v>
      </c>
      <c r="F2716" s="10" t="n">
        <v>0.3223113893547335</v>
      </c>
      <c r="G2716" s="11">
        <f>E2716*Summary!$B$6</f>
        <v/>
      </c>
      <c r="H2716" s="11">
        <f>F2716*Summary!$B$7</f>
        <v/>
      </c>
      <c r="I2716" s="11">
        <f>MAX(0,N2716-M2716)</f>
        <v/>
      </c>
      <c r="J2716" s="11">
        <f>MAX(0,M2716-N2716)</f>
        <v/>
      </c>
      <c r="K2716" s="11">
        <f>O2716</f>
        <v/>
      </c>
      <c r="L2716" s="11">
        <f>L2715+IF(K2716&gt;0,K2716*Summary!$B$9,K2716/Summary!$B$9)</f>
        <v/>
      </c>
      <c r="M2716" s="11">
        <f>G2716+H2716</f>
        <v/>
      </c>
      <c r="N2716" s="11">
        <f>Summary!$C$16*Summary!$B$8</f>
        <v/>
      </c>
      <c r="O2716" s="11">
        <f>M2716-N2716</f>
        <v/>
      </c>
    </row>
    <row r="2717">
      <c r="A2717" s="9" t="n">
        <v>45405.125</v>
      </c>
      <c r="B2717" t="n">
        <v>4</v>
      </c>
      <c r="C2717" t="n">
        <v>23</v>
      </c>
      <c r="D2717" t="n">
        <v>3</v>
      </c>
      <c r="E2717" s="10" t="n">
        <v>0</v>
      </c>
      <c r="F2717" s="10" t="n">
        <v>0.3240769737784737</v>
      </c>
      <c r="G2717" s="11">
        <f>E2717*Summary!$B$6</f>
        <v/>
      </c>
      <c r="H2717" s="11">
        <f>F2717*Summary!$B$7</f>
        <v/>
      </c>
      <c r="I2717" s="11">
        <f>MAX(0,N2717-M2717)</f>
        <v/>
      </c>
      <c r="J2717" s="11">
        <f>MAX(0,M2717-N2717)</f>
        <v/>
      </c>
      <c r="K2717" s="11">
        <f>O2717</f>
        <v/>
      </c>
      <c r="L2717" s="11">
        <f>L2716+IF(K2717&gt;0,K2717*Summary!$B$9,K2717/Summary!$B$9)</f>
        <v/>
      </c>
      <c r="M2717" s="11">
        <f>G2717+H2717</f>
        <v/>
      </c>
      <c r="N2717" s="11">
        <f>Summary!$C$16*Summary!$B$8</f>
        <v/>
      </c>
      <c r="O2717" s="11">
        <f>M2717-N2717</f>
        <v/>
      </c>
    </row>
    <row r="2718">
      <c r="A2718" s="9" t="n">
        <v>45405.16666666666</v>
      </c>
      <c r="B2718" t="n">
        <v>4</v>
      </c>
      <c r="C2718" t="n">
        <v>23</v>
      </c>
      <c r="D2718" t="n">
        <v>4</v>
      </c>
      <c r="E2718" s="10" t="n">
        <v>0</v>
      </c>
      <c r="F2718" s="10" t="n">
        <v>0.3232337095760903</v>
      </c>
      <c r="G2718" s="11">
        <f>E2718*Summary!$B$6</f>
        <v/>
      </c>
      <c r="H2718" s="11">
        <f>F2718*Summary!$B$7</f>
        <v/>
      </c>
      <c r="I2718" s="11">
        <f>MAX(0,N2718-M2718)</f>
        <v/>
      </c>
      <c r="J2718" s="11">
        <f>MAX(0,M2718-N2718)</f>
        <v/>
      </c>
      <c r="K2718" s="11">
        <f>O2718</f>
        <v/>
      </c>
      <c r="L2718" s="11">
        <f>L2717+IF(K2718&gt;0,K2718*Summary!$B$9,K2718/Summary!$B$9)</f>
        <v/>
      </c>
      <c r="M2718" s="11">
        <f>G2718+H2718</f>
        <v/>
      </c>
      <c r="N2718" s="11">
        <f>Summary!$C$16*Summary!$B$8</f>
        <v/>
      </c>
      <c r="O2718" s="11">
        <f>M2718-N2718</f>
        <v/>
      </c>
    </row>
    <row r="2719">
      <c r="A2719" s="9" t="n">
        <v>45405.20833333334</v>
      </c>
      <c r="B2719" t="n">
        <v>4</v>
      </c>
      <c r="C2719" t="n">
        <v>23</v>
      </c>
      <c r="D2719" t="n">
        <v>5</v>
      </c>
      <c r="E2719" s="10" t="n">
        <v>0.025036</v>
      </c>
      <c r="F2719" s="10" t="n">
        <v>0.3089245701418968</v>
      </c>
      <c r="G2719" s="11">
        <f>E2719*Summary!$B$6</f>
        <v/>
      </c>
      <c r="H2719" s="11">
        <f>F2719*Summary!$B$7</f>
        <v/>
      </c>
      <c r="I2719" s="11">
        <f>MAX(0,N2719-M2719)</f>
        <v/>
      </c>
      <c r="J2719" s="11">
        <f>MAX(0,M2719-N2719)</f>
        <v/>
      </c>
      <c r="K2719" s="11">
        <f>O2719</f>
        <v/>
      </c>
      <c r="L2719" s="11">
        <f>L2718+IF(K2719&gt;0,K2719*Summary!$B$9,K2719/Summary!$B$9)</f>
        <v/>
      </c>
      <c r="M2719" s="11">
        <f>G2719+H2719</f>
        <v/>
      </c>
      <c r="N2719" s="11">
        <f>Summary!$C$16*Summary!$B$8</f>
        <v/>
      </c>
      <c r="O2719" s="11">
        <f>M2719-N2719</f>
        <v/>
      </c>
    </row>
    <row r="2720">
      <c r="A2720" s="9" t="n">
        <v>45405.25</v>
      </c>
      <c r="B2720" t="n">
        <v>4</v>
      </c>
      <c r="C2720" t="n">
        <v>23</v>
      </c>
      <c r="D2720" t="n">
        <v>6</v>
      </c>
      <c r="E2720" s="10" t="n">
        <v>0.1308</v>
      </c>
      <c r="F2720" s="10" t="n">
        <v>0.2856821005637041</v>
      </c>
      <c r="G2720" s="11">
        <f>E2720*Summary!$B$6</f>
        <v/>
      </c>
      <c r="H2720" s="11">
        <f>F2720*Summary!$B$7</f>
        <v/>
      </c>
      <c r="I2720" s="11">
        <f>MAX(0,N2720-M2720)</f>
        <v/>
      </c>
      <c r="J2720" s="11">
        <f>MAX(0,M2720-N2720)</f>
        <v/>
      </c>
      <c r="K2720" s="11">
        <f>O2720</f>
        <v/>
      </c>
      <c r="L2720" s="11">
        <f>L2719+IF(K2720&gt;0,K2720*Summary!$B$9,K2720/Summary!$B$9)</f>
        <v/>
      </c>
      <c r="M2720" s="11">
        <f>G2720+H2720</f>
        <v/>
      </c>
      <c r="N2720" s="11">
        <f>Summary!$C$16*Summary!$B$8</f>
        <v/>
      </c>
      <c r="O2720" s="11">
        <f>M2720-N2720</f>
        <v/>
      </c>
    </row>
    <row r="2721">
      <c r="A2721" s="9" t="n">
        <v>45405.29166666666</v>
      </c>
      <c r="B2721" t="n">
        <v>4</v>
      </c>
      <c r="C2721" t="n">
        <v>23</v>
      </c>
      <c r="D2721" t="n">
        <v>7</v>
      </c>
      <c r="E2721" s="10" t="n">
        <v>0.349407</v>
      </c>
      <c r="F2721" s="10" t="n">
        <v>0.267341104161865</v>
      </c>
      <c r="G2721" s="11">
        <f>E2721*Summary!$B$6</f>
        <v/>
      </c>
      <c r="H2721" s="11">
        <f>F2721*Summary!$B$7</f>
        <v/>
      </c>
      <c r="I2721" s="11">
        <f>MAX(0,N2721-M2721)</f>
        <v/>
      </c>
      <c r="J2721" s="11">
        <f>MAX(0,M2721-N2721)</f>
        <v/>
      </c>
      <c r="K2721" s="11">
        <f>O2721</f>
        <v/>
      </c>
      <c r="L2721" s="11">
        <f>L2720+IF(K2721&gt;0,K2721*Summary!$B$9,K2721/Summary!$B$9)</f>
        <v/>
      </c>
      <c r="M2721" s="11">
        <f>G2721+H2721</f>
        <v/>
      </c>
      <c r="N2721" s="11">
        <f>Summary!$C$16*Summary!$B$8</f>
        <v/>
      </c>
      <c r="O2721" s="11">
        <f>M2721-N2721</f>
        <v/>
      </c>
    </row>
    <row r="2722">
      <c r="A2722" s="9" t="n">
        <v>45405.33333333334</v>
      </c>
      <c r="B2722" t="n">
        <v>4</v>
      </c>
      <c r="C2722" t="n">
        <v>23</v>
      </c>
      <c r="D2722" t="n">
        <v>8</v>
      </c>
      <c r="E2722" s="10" t="n">
        <v>0.56523</v>
      </c>
      <c r="F2722" s="10" t="n">
        <v>0.2645214394851454</v>
      </c>
      <c r="G2722" s="11">
        <f>E2722*Summary!$B$6</f>
        <v/>
      </c>
      <c r="H2722" s="11">
        <f>F2722*Summary!$B$7</f>
        <v/>
      </c>
      <c r="I2722" s="11">
        <f>MAX(0,N2722-M2722)</f>
        <v/>
      </c>
      <c r="J2722" s="11">
        <f>MAX(0,M2722-N2722)</f>
        <v/>
      </c>
      <c r="K2722" s="11">
        <f>O2722</f>
        <v/>
      </c>
      <c r="L2722" s="11">
        <f>L2721+IF(K2722&gt;0,K2722*Summary!$B$9,K2722/Summary!$B$9)</f>
        <v/>
      </c>
      <c r="M2722" s="11">
        <f>G2722+H2722</f>
        <v/>
      </c>
      <c r="N2722" s="11">
        <f>Summary!$C$16*Summary!$B$8</f>
        <v/>
      </c>
      <c r="O2722" s="11">
        <f>M2722-N2722</f>
        <v/>
      </c>
    </row>
    <row r="2723">
      <c r="A2723" s="9" t="n">
        <v>45405.375</v>
      </c>
      <c r="B2723" t="n">
        <v>4</v>
      </c>
      <c r="C2723" t="n">
        <v>23</v>
      </c>
      <c r="D2723" t="n">
        <v>9</v>
      </c>
      <c r="E2723" s="10" t="n">
        <v>0.725311</v>
      </c>
      <c r="F2723" s="10" t="n">
        <v>0.2674992161998119</v>
      </c>
      <c r="G2723" s="11">
        <f>E2723*Summary!$B$6</f>
        <v/>
      </c>
      <c r="H2723" s="11">
        <f>F2723*Summary!$B$7</f>
        <v/>
      </c>
      <c r="I2723" s="11">
        <f>MAX(0,N2723-M2723)</f>
        <v/>
      </c>
      <c r="J2723" s="11">
        <f>MAX(0,M2723-N2723)</f>
        <v/>
      </c>
      <c r="K2723" s="11">
        <f>O2723</f>
        <v/>
      </c>
      <c r="L2723" s="11">
        <f>L2722+IF(K2723&gt;0,K2723*Summary!$B$9,K2723/Summary!$B$9)</f>
        <v/>
      </c>
      <c r="M2723" s="11">
        <f>G2723+H2723</f>
        <v/>
      </c>
      <c r="N2723" s="11">
        <f>Summary!$C$16*Summary!$B$8</f>
        <v/>
      </c>
      <c r="O2723" s="11">
        <f>M2723-N2723</f>
        <v/>
      </c>
    </row>
    <row r="2724">
      <c r="A2724" s="9" t="n">
        <v>45405.41666666666</v>
      </c>
      <c r="B2724" t="n">
        <v>4</v>
      </c>
      <c r="C2724" t="n">
        <v>23</v>
      </c>
      <c r="D2724" t="n">
        <v>10</v>
      </c>
      <c r="E2724" s="10" t="n">
        <v>0.754058</v>
      </c>
      <c r="F2724" s="10" t="n">
        <v>0.274456145869475</v>
      </c>
      <c r="G2724" s="11">
        <f>E2724*Summary!$B$6</f>
        <v/>
      </c>
      <c r="H2724" s="11">
        <f>F2724*Summary!$B$7</f>
        <v/>
      </c>
      <c r="I2724" s="11">
        <f>MAX(0,N2724-M2724)</f>
        <v/>
      </c>
      <c r="J2724" s="11">
        <f>MAX(0,M2724-N2724)</f>
        <v/>
      </c>
      <c r="K2724" s="11">
        <f>O2724</f>
        <v/>
      </c>
      <c r="L2724" s="11">
        <f>L2723+IF(K2724&gt;0,K2724*Summary!$B$9,K2724/Summary!$B$9)</f>
        <v/>
      </c>
      <c r="M2724" s="11">
        <f>G2724+H2724</f>
        <v/>
      </c>
      <c r="N2724" s="11">
        <f>Summary!$C$16*Summary!$B$8</f>
        <v/>
      </c>
      <c r="O2724" s="11">
        <f>M2724-N2724</f>
        <v/>
      </c>
    </row>
    <row r="2725">
      <c r="A2725" s="9" t="n">
        <v>45405.45833333334</v>
      </c>
      <c r="B2725" t="n">
        <v>4</v>
      </c>
      <c r="C2725" t="n">
        <v>23</v>
      </c>
      <c r="D2725" t="n">
        <v>11</v>
      </c>
      <c r="E2725" s="10" t="n">
        <v>0.754058</v>
      </c>
      <c r="F2725" s="10" t="n">
        <v>0.2824935077984419</v>
      </c>
      <c r="G2725" s="11">
        <f>E2725*Summary!$B$6</f>
        <v/>
      </c>
      <c r="H2725" s="11">
        <f>F2725*Summary!$B$7</f>
        <v/>
      </c>
      <c r="I2725" s="11">
        <f>MAX(0,N2725-M2725)</f>
        <v/>
      </c>
      <c r="J2725" s="11">
        <f>MAX(0,M2725-N2725)</f>
        <v/>
      </c>
      <c r="K2725" s="11">
        <f>O2725</f>
        <v/>
      </c>
      <c r="L2725" s="11">
        <f>L2724+IF(K2725&gt;0,K2725*Summary!$B$9,K2725/Summary!$B$9)</f>
        <v/>
      </c>
      <c r="M2725" s="11">
        <f>G2725+H2725</f>
        <v/>
      </c>
      <c r="N2725" s="11">
        <f>Summary!$C$16*Summary!$B$8</f>
        <v/>
      </c>
      <c r="O2725" s="11">
        <f>M2725-N2725</f>
        <v/>
      </c>
    </row>
    <row r="2726">
      <c r="A2726" s="9" t="n">
        <v>45405.5</v>
      </c>
      <c r="B2726" t="n">
        <v>4</v>
      </c>
      <c r="C2726" t="n">
        <v>23</v>
      </c>
      <c r="D2726" t="n">
        <v>12</v>
      </c>
      <c r="E2726" s="10" t="n">
        <v>0.754058</v>
      </c>
      <c r="F2726" s="10" t="n">
        <v>0.2910052058412494</v>
      </c>
      <c r="G2726" s="11">
        <f>E2726*Summary!$B$6</f>
        <v/>
      </c>
      <c r="H2726" s="11">
        <f>F2726*Summary!$B$7</f>
        <v/>
      </c>
      <c r="I2726" s="11">
        <f>MAX(0,N2726-M2726)</f>
        <v/>
      </c>
      <c r="J2726" s="11">
        <f>MAX(0,M2726-N2726)</f>
        <v/>
      </c>
      <c r="K2726" s="11">
        <f>O2726</f>
        <v/>
      </c>
      <c r="L2726" s="11">
        <f>L2725+IF(K2726&gt;0,K2726*Summary!$B$9,K2726/Summary!$B$9)</f>
        <v/>
      </c>
      <c r="M2726" s="11">
        <f>G2726+H2726</f>
        <v/>
      </c>
      <c r="N2726" s="11">
        <f>Summary!$C$16*Summary!$B$8</f>
        <v/>
      </c>
      <c r="O2726" s="11">
        <f>M2726-N2726</f>
        <v/>
      </c>
    </row>
    <row r="2727">
      <c r="A2727" s="9" t="n">
        <v>45405.54166666666</v>
      </c>
      <c r="B2727" t="n">
        <v>4</v>
      </c>
      <c r="C2727" t="n">
        <v>23</v>
      </c>
      <c r="D2727" t="n">
        <v>13</v>
      </c>
      <c r="E2727" s="10" t="n">
        <v>0.754058</v>
      </c>
      <c r="F2727" s="10" t="n">
        <v>0.3010453202508769</v>
      </c>
      <c r="G2727" s="11">
        <f>E2727*Summary!$B$6</f>
        <v/>
      </c>
      <c r="H2727" s="11">
        <f>F2727*Summary!$B$7</f>
        <v/>
      </c>
      <c r="I2727" s="11">
        <f>MAX(0,N2727-M2727)</f>
        <v/>
      </c>
      <c r="J2727" s="11">
        <f>MAX(0,M2727-N2727)</f>
        <v/>
      </c>
      <c r="K2727" s="11">
        <f>O2727</f>
        <v/>
      </c>
      <c r="L2727" s="11">
        <f>L2726+IF(K2727&gt;0,K2727*Summary!$B$9,K2727/Summary!$B$9)</f>
        <v/>
      </c>
      <c r="M2727" s="11">
        <f>G2727+H2727</f>
        <v/>
      </c>
      <c r="N2727" s="11">
        <f>Summary!$C$16*Summary!$B$8</f>
        <v/>
      </c>
      <c r="O2727" s="11">
        <f>M2727-N2727</f>
        <v/>
      </c>
    </row>
    <row r="2728">
      <c r="A2728" s="9" t="n">
        <v>45405.58333333334</v>
      </c>
      <c r="B2728" t="n">
        <v>4</v>
      </c>
      <c r="C2728" t="n">
        <v>23</v>
      </c>
      <c r="D2728" t="n">
        <v>14</v>
      </c>
      <c r="E2728" s="10" t="n">
        <v>0.754058</v>
      </c>
      <c r="F2728" s="10" t="n">
        <v>0.3025737366176968</v>
      </c>
      <c r="G2728" s="11">
        <f>E2728*Summary!$B$6</f>
        <v/>
      </c>
      <c r="H2728" s="11">
        <f>F2728*Summary!$B$7</f>
        <v/>
      </c>
      <c r="I2728" s="11">
        <f>MAX(0,N2728-M2728)</f>
        <v/>
      </c>
      <c r="J2728" s="11">
        <f>MAX(0,M2728-N2728)</f>
        <v/>
      </c>
      <c r="K2728" s="11">
        <f>O2728</f>
        <v/>
      </c>
      <c r="L2728" s="11">
        <f>L2727+IF(K2728&gt;0,K2728*Summary!$B$9,K2728/Summary!$B$9)</f>
        <v/>
      </c>
      <c r="M2728" s="11">
        <f>G2728+H2728</f>
        <v/>
      </c>
      <c r="N2728" s="11">
        <f>Summary!$C$16*Summary!$B$8</f>
        <v/>
      </c>
      <c r="O2728" s="11">
        <f>M2728-N2728</f>
        <v/>
      </c>
    </row>
    <row r="2729">
      <c r="A2729" s="9" t="n">
        <v>45405.625</v>
      </c>
      <c r="B2729" t="n">
        <v>4</v>
      </c>
      <c r="C2729" t="n">
        <v>23</v>
      </c>
      <c r="D2729" t="n">
        <v>15</v>
      </c>
      <c r="E2729" s="10" t="n">
        <v>0.603328</v>
      </c>
      <c r="F2729" s="10" t="n">
        <v>0.3030217207252129</v>
      </c>
      <c r="G2729" s="11">
        <f>E2729*Summary!$B$6</f>
        <v/>
      </c>
      <c r="H2729" s="11">
        <f>F2729*Summary!$B$7</f>
        <v/>
      </c>
      <c r="I2729" s="11">
        <f>MAX(0,N2729-M2729)</f>
        <v/>
      </c>
      <c r="J2729" s="11">
        <f>MAX(0,M2729-N2729)</f>
        <v/>
      </c>
      <c r="K2729" s="11">
        <f>O2729</f>
        <v/>
      </c>
      <c r="L2729" s="11">
        <f>L2728+IF(K2729&gt;0,K2729*Summary!$B$9,K2729/Summary!$B$9)</f>
        <v/>
      </c>
      <c r="M2729" s="11">
        <f>G2729+H2729</f>
        <v/>
      </c>
      <c r="N2729" s="11">
        <f>Summary!$C$16*Summary!$B$8</f>
        <v/>
      </c>
      <c r="O2729" s="11">
        <f>M2729-N2729</f>
        <v/>
      </c>
    </row>
    <row r="2730">
      <c r="A2730" s="9" t="n">
        <v>45405.66666666666</v>
      </c>
      <c r="B2730" t="n">
        <v>4</v>
      </c>
      <c r="C2730" t="n">
        <v>23</v>
      </c>
      <c r="D2730" t="n">
        <v>16</v>
      </c>
      <c r="E2730" s="10" t="n">
        <v>0.394662</v>
      </c>
      <c r="F2730" s="10" t="n">
        <v>0.3009135602192545</v>
      </c>
      <c r="G2730" s="11">
        <f>E2730*Summary!$B$6</f>
        <v/>
      </c>
      <c r="H2730" s="11">
        <f>F2730*Summary!$B$7</f>
        <v/>
      </c>
      <c r="I2730" s="11">
        <f>MAX(0,N2730-M2730)</f>
        <v/>
      </c>
      <c r="J2730" s="11">
        <f>MAX(0,M2730-N2730)</f>
        <v/>
      </c>
      <c r="K2730" s="11">
        <f>O2730</f>
        <v/>
      </c>
      <c r="L2730" s="11">
        <f>L2729+IF(K2730&gt;0,K2730*Summary!$B$9,K2730/Summary!$B$9)</f>
        <v/>
      </c>
      <c r="M2730" s="11">
        <f>G2730+H2730</f>
        <v/>
      </c>
      <c r="N2730" s="11">
        <f>Summary!$C$16*Summary!$B$8</f>
        <v/>
      </c>
      <c r="O2730" s="11">
        <f>M2730-N2730</f>
        <v/>
      </c>
    </row>
    <row r="2731">
      <c r="A2731" s="9" t="n">
        <v>45405.70833333334</v>
      </c>
      <c r="B2731" t="n">
        <v>4</v>
      </c>
      <c r="C2731" t="n">
        <v>23</v>
      </c>
      <c r="D2731" t="n">
        <v>17</v>
      </c>
      <c r="E2731" s="10" t="n">
        <v>0.170452</v>
      </c>
      <c r="F2731" s="10" t="n">
        <v>0.2936931104863465</v>
      </c>
      <c r="G2731" s="11">
        <f>E2731*Summary!$B$6</f>
        <v/>
      </c>
      <c r="H2731" s="11">
        <f>F2731*Summary!$B$7</f>
        <v/>
      </c>
      <c r="I2731" s="11">
        <f>MAX(0,N2731-M2731)</f>
        <v/>
      </c>
      <c r="J2731" s="11">
        <f>MAX(0,M2731-N2731)</f>
        <v/>
      </c>
      <c r="K2731" s="11">
        <f>O2731</f>
        <v/>
      </c>
      <c r="L2731" s="11">
        <f>L2730+IF(K2731&gt;0,K2731*Summary!$B$9,K2731/Summary!$B$9)</f>
        <v/>
      </c>
      <c r="M2731" s="11">
        <f>G2731+H2731</f>
        <v/>
      </c>
      <c r="N2731" s="11">
        <f>Summary!$C$16*Summary!$B$8</f>
        <v/>
      </c>
      <c r="O2731" s="11">
        <f>M2731-N2731</f>
        <v/>
      </c>
    </row>
    <row r="2732">
      <c r="A2732" s="9" t="n">
        <v>45405.75</v>
      </c>
      <c r="B2732" t="n">
        <v>4</v>
      </c>
      <c r="C2732" t="n">
        <v>23</v>
      </c>
      <c r="D2732" t="n">
        <v>18</v>
      </c>
      <c r="E2732" s="10" t="n">
        <v>0.032632</v>
      </c>
      <c r="F2732" s="10" t="n">
        <v>0.2794630270711265</v>
      </c>
      <c r="G2732" s="11">
        <f>E2732*Summary!$B$6</f>
        <v/>
      </c>
      <c r="H2732" s="11">
        <f>F2732*Summary!$B$7</f>
        <v/>
      </c>
      <c r="I2732" s="11">
        <f>MAX(0,N2732-M2732)</f>
        <v/>
      </c>
      <c r="J2732" s="11">
        <f>MAX(0,M2732-N2732)</f>
        <v/>
      </c>
      <c r="K2732" s="11">
        <f>O2732</f>
        <v/>
      </c>
      <c r="L2732" s="11">
        <f>L2731+IF(K2732&gt;0,K2732*Summary!$B$9,K2732/Summary!$B$9)</f>
        <v/>
      </c>
      <c r="M2732" s="11">
        <f>G2732+H2732</f>
        <v/>
      </c>
      <c r="N2732" s="11">
        <f>Summary!$C$16*Summary!$B$8</f>
        <v/>
      </c>
      <c r="O2732" s="11">
        <f>M2732-N2732</f>
        <v/>
      </c>
    </row>
    <row r="2733">
      <c r="A2733" s="9" t="n">
        <v>45405.79166666666</v>
      </c>
      <c r="B2733" t="n">
        <v>4</v>
      </c>
      <c r="C2733" t="n">
        <v>23</v>
      </c>
      <c r="D2733" t="n">
        <v>19</v>
      </c>
      <c r="E2733" s="10" t="n">
        <v>0</v>
      </c>
      <c r="F2733" s="10" t="n">
        <v>0.2816502435960585</v>
      </c>
      <c r="G2733" s="11">
        <f>E2733*Summary!$B$6</f>
        <v/>
      </c>
      <c r="H2733" s="11">
        <f>F2733*Summary!$B$7</f>
        <v/>
      </c>
      <c r="I2733" s="11">
        <f>MAX(0,N2733-M2733)</f>
        <v/>
      </c>
      <c r="J2733" s="11">
        <f>MAX(0,M2733-N2733)</f>
        <v/>
      </c>
      <c r="K2733" s="11">
        <f>O2733</f>
        <v/>
      </c>
      <c r="L2733" s="11">
        <f>L2732+IF(K2733&gt;0,K2733*Summary!$B$9,K2733/Summary!$B$9)</f>
        <v/>
      </c>
      <c r="M2733" s="11">
        <f>G2733+H2733</f>
        <v/>
      </c>
      <c r="N2733" s="11">
        <f>Summary!$C$16*Summary!$B$8</f>
        <v/>
      </c>
      <c r="O2733" s="11">
        <f>M2733-N2733</f>
        <v/>
      </c>
    </row>
    <row r="2734">
      <c r="A2734" s="9" t="n">
        <v>45405.83333333334</v>
      </c>
      <c r="B2734" t="n">
        <v>4</v>
      </c>
      <c r="C2734" t="n">
        <v>23</v>
      </c>
      <c r="D2734" t="n">
        <v>20</v>
      </c>
      <c r="E2734" s="10" t="n">
        <v>0</v>
      </c>
      <c r="F2734" s="10" t="n">
        <v>0.2942992066318096</v>
      </c>
      <c r="G2734" s="11">
        <f>E2734*Summary!$B$6</f>
        <v/>
      </c>
      <c r="H2734" s="11">
        <f>F2734*Summary!$B$7</f>
        <v/>
      </c>
      <c r="I2734" s="11">
        <f>MAX(0,N2734-M2734)</f>
        <v/>
      </c>
      <c r="J2734" s="11">
        <f>MAX(0,M2734-N2734)</f>
        <v/>
      </c>
      <c r="K2734" s="11">
        <f>O2734</f>
        <v/>
      </c>
      <c r="L2734" s="11">
        <f>L2733+IF(K2734&gt;0,K2734*Summary!$B$9,K2734/Summary!$B$9)</f>
        <v/>
      </c>
      <c r="M2734" s="11">
        <f>G2734+H2734</f>
        <v/>
      </c>
      <c r="N2734" s="11">
        <f>Summary!$C$16*Summary!$B$8</f>
        <v/>
      </c>
      <c r="O2734" s="11">
        <f>M2734-N2734</f>
        <v/>
      </c>
    </row>
    <row r="2735">
      <c r="A2735" s="9" t="n">
        <v>45405.875</v>
      </c>
      <c r="B2735" t="n">
        <v>4</v>
      </c>
      <c r="C2735" t="n">
        <v>23</v>
      </c>
      <c r="D2735" t="n">
        <v>21</v>
      </c>
      <c r="E2735" s="10" t="n">
        <v>0</v>
      </c>
      <c r="F2735" s="10" t="n">
        <v>0.310742858578286</v>
      </c>
      <c r="G2735" s="11">
        <f>E2735*Summary!$B$6</f>
        <v/>
      </c>
      <c r="H2735" s="11">
        <f>F2735*Summary!$B$7</f>
        <v/>
      </c>
      <c r="I2735" s="11">
        <f>MAX(0,N2735-M2735)</f>
        <v/>
      </c>
      <c r="J2735" s="11">
        <f>MAX(0,M2735-N2735)</f>
        <v/>
      </c>
      <c r="K2735" s="11">
        <f>O2735</f>
        <v/>
      </c>
      <c r="L2735" s="11">
        <f>L2734+IF(K2735&gt;0,K2735*Summary!$B$9,K2735/Summary!$B$9)</f>
        <v/>
      </c>
      <c r="M2735" s="11">
        <f>G2735+H2735</f>
        <v/>
      </c>
      <c r="N2735" s="11">
        <f>Summary!$C$16*Summary!$B$8</f>
        <v/>
      </c>
      <c r="O2735" s="11">
        <f>M2735-N2735</f>
        <v/>
      </c>
    </row>
    <row r="2736">
      <c r="A2736" s="9" t="n">
        <v>45405.91666666666</v>
      </c>
      <c r="B2736" t="n">
        <v>4</v>
      </c>
      <c r="C2736" t="n">
        <v>23</v>
      </c>
      <c r="D2736" t="n">
        <v>22</v>
      </c>
      <c r="E2736" s="10" t="n">
        <v>0</v>
      </c>
      <c r="F2736" s="10" t="n">
        <v>0.3119286988628877</v>
      </c>
      <c r="G2736" s="11">
        <f>E2736*Summary!$B$6</f>
        <v/>
      </c>
      <c r="H2736" s="11">
        <f>F2736*Summary!$B$7</f>
        <v/>
      </c>
      <c r="I2736" s="11">
        <f>MAX(0,N2736-M2736)</f>
        <v/>
      </c>
      <c r="J2736" s="11">
        <f>MAX(0,M2736-N2736)</f>
        <v/>
      </c>
      <c r="K2736" s="11">
        <f>O2736</f>
        <v/>
      </c>
      <c r="L2736" s="11">
        <f>L2735+IF(K2736&gt;0,K2736*Summary!$B$9,K2736/Summary!$B$9)</f>
        <v/>
      </c>
      <c r="M2736" s="11">
        <f>G2736+H2736</f>
        <v/>
      </c>
      <c r="N2736" s="11">
        <f>Summary!$C$16*Summary!$B$8</f>
        <v/>
      </c>
      <c r="O2736" s="11">
        <f>M2736-N2736</f>
        <v/>
      </c>
    </row>
    <row r="2737">
      <c r="A2737" s="9" t="n">
        <v>45405.95833333334</v>
      </c>
      <c r="B2737" t="n">
        <v>4</v>
      </c>
      <c r="C2737" t="n">
        <v>23</v>
      </c>
      <c r="D2737" t="n">
        <v>23</v>
      </c>
      <c r="E2737" s="10" t="n">
        <v>0</v>
      </c>
      <c r="F2737" s="10" t="n">
        <v>0.3097678343442802</v>
      </c>
      <c r="G2737" s="11">
        <f>E2737*Summary!$B$6</f>
        <v/>
      </c>
      <c r="H2737" s="11">
        <f>F2737*Summary!$B$7</f>
        <v/>
      </c>
      <c r="I2737" s="11">
        <f>MAX(0,N2737-M2737)</f>
        <v/>
      </c>
      <c r="J2737" s="11">
        <f>MAX(0,M2737-N2737)</f>
        <v/>
      </c>
      <c r="K2737" s="11">
        <f>O2737</f>
        <v/>
      </c>
      <c r="L2737" s="11">
        <f>L2736+IF(K2737&gt;0,K2737*Summary!$B$9,K2737/Summary!$B$9)</f>
        <v/>
      </c>
      <c r="M2737" s="11">
        <f>G2737+H2737</f>
        <v/>
      </c>
      <c r="N2737" s="11">
        <f>Summary!$C$16*Summary!$B$8</f>
        <v/>
      </c>
      <c r="O2737" s="11">
        <f>M2737-N2737</f>
        <v/>
      </c>
    </row>
    <row r="2738">
      <c r="A2738" s="9" t="n">
        <v>45406</v>
      </c>
      <c r="B2738" t="n">
        <v>4</v>
      </c>
      <c r="C2738" t="n">
        <v>24</v>
      </c>
      <c r="D2738" t="n">
        <v>0</v>
      </c>
      <c r="E2738" s="10" t="n">
        <v>0</v>
      </c>
      <c r="F2738" s="10" t="n">
        <v>0.293719462492671</v>
      </c>
      <c r="G2738" s="11">
        <f>E2738*Summary!$B$6</f>
        <v/>
      </c>
      <c r="H2738" s="11">
        <f>F2738*Summary!$B$7</f>
        <v/>
      </c>
      <c r="I2738" s="11">
        <f>MAX(0,N2738-M2738)</f>
        <v/>
      </c>
      <c r="J2738" s="11">
        <f>MAX(0,M2738-N2738)</f>
        <v/>
      </c>
      <c r="K2738" s="11">
        <f>O2738</f>
        <v/>
      </c>
      <c r="L2738" s="11">
        <f>L2737+IF(K2738&gt;0,K2738*Summary!$B$9,K2738/Summary!$B$9)</f>
        <v/>
      </c>
      <c r="M2738" s="11">
        <f>G2738+H2738</f>
        <v/>
      </c>
      <c r="N2738" s="11">
        <f>Summary!$C$16*Summary!$B$8</f>
        <v/>
      </c>
      <c r="O2738" s="11">
        <f>M2738-N2738</f>
        <v/>
      </c>
    </row>
    <row r="2739">
      <c r="A2739" s="9" t="n">
        <v>45406.04166666666</v>
      </c>
      <c r="B2739" t="n">
        <v>4</v>
      </c>
      <c r="C2739" t="n">
        <v>24</v>
      </c>
      <c r="D2739" t="n">
        <v>1</v>
      </c>
      <c r="E2739" s="10" t="n">
        <v>0</v>
      </c>
      <c r="F2739" s="10" t="n">
        <v>0.3020994005038561</v>
      </c>
      <c r="G2739" s="11">
        <f>E2739*Summary!$B$6</f>
        <v/>
      </c>
      <c r="H2739" s="11">
        <f>F2739*Summary!$B$7</f>
        <v/>
      </c>
      <c r="I2739" s="11">
        <f>MAX(0,N2739-M2739)</f>
        <v/>
      </c>
      <c r="J2739" s="11">
        <f>MAX(0,M2739-N2739)</f>
        <v/>
      </c>
      <c r="K2739" s="11">
        <f>O2739</f>
        <v/>
      </c>
      <c r="L2739" s="11">
        <f>L2738+IF(K2739&gt;0,K2739*Summary!$B$9,K2739/Summary!$B$9)</f>
        <v/>
      </c>
      <c r="M2739" s="11">
        <f>G2739+H2739</f>
        <v/>
      </c>
      <c r="N2739" s="11">
        <f>Summary!$C$16*Summary!$B$8</f>
        <v/>
      </c>
      <c r="O2739" s="11">
        <f>M2739-N2739</f>
        <v/>
      </c>
    </row>
    <row r="2740">
      <c r="A2740" s="9" t="n">
        <v>45406.08333333334</v>
      </c>
      <c r="B2740" t="n">
        <v>4</v>
      </c>
      <c r="C2740" t="n">
        <v>24</v>
      </c>
      <c r="D2740" t="n">
        <v>2</v>
      </c>
      <c r="E2740" s="10" t="n">
        <v>0</v>
      </c>
      <c r="F2740" s="10" t="n">
        <v>0.2984364716247532</v>
      </c>
      <c r="G2740" s="11">
        <f>E2740*Summary!$B$6</f>
        <v/>
      </c>
      <c r="H2740" s="11">
        <f>F2740*Summary!$B$7</f>
        <v/>
      </c>
      <c r="I2740" s="11">
        <f>MAX(0,N2740-M2740)</f>
        <v/>
      </c>
      <c r="J2740" s="11">
        <f>MAX(0,M2740-N2740)</f>
        <v/>
      </c>
      <c r="K2740" s="11">
        <f>O2740</f>
        <v/>
      </c>
      <c r="L2740" s="11">
        <f>L2739+IF(K2740&gt;0,K2740*Summary!$B$9,K2740/Summary!$B$9)</f>
        <v/>
      </c>
      <c r="M2740" s="11">
        <f>G2740+H2740</f>
        <v/>
      </c>
      <c r="N2740" s="11">
        <f>Summary!$C$16*Summary!$B$8</f>
        <v/>
      </c>
      <c r="O2740" s="11">
        <f>M2740-N2740</f>
        <v/>
      </c>
    </row>
    <row r="2741">
      <c r="A2741" s="9" t="n">
        <v>45406.125</v>
      </c>
      <c r="B2741" t="n">
        <v>4</v>
      </c>
      <c r="C2741" t="n">
        <v>24</v>
      </c>
      <c r="D2741" t="n">
        <v>3</v>
      </c>
      <c r="E2741" s="10" t="n">
        <v>0</v>
      </c>
      <c r="F2741" s="10" t="n">
        <v>0.2953532868847888</v>
      </c>
      <c r="G2741" s="11">
        <f>E2741*Summary!$B$6</f>
        <v/>
      </c>
      <c r="H2741" s="11">
        <f>F2741*Summary!$B$7</f>
        <v/>
      </c>
      <c r="I2741" s="11">
        <f>MAX(0,N2741-M2741)</f>
        <v/>
      </c>
      <c r="J2741" s="11">
        <f>MAX(0,M2741-N2741)</f>
        <v/>
      </c>
      <c r="K2741" s="11">
        <f>O2741</f>
        <v/>
      </c>
      <c r="L2741" s="11">
        <f>L2740+IF(K2741&gt;0,K2741*Summary!$B$9,K2741/Summary!$B$9)</f>
        <v/>
      </c>
      <c r="M2741" s="11">
        <f>G2741+H2741</f>
        <v/>
      </c>
      <c r="N2741" s="11">
        <f>Summary!$C$16*Summary!$B$8</f>
        <v/>
      </c>
      <c r="O2741" s="11">
        <f>M2741-N2741</f>
        <v/>
      </c>
    </row>
    <row r="2742">
      <c r="A2742" s="9" t="n">
        <v>45406.16666666666</v>
      </c>
      <c r="B2742" t="n">
        <v>4</v>
      </c>
      <c r="C2742" t="n">
        <v>24</v>
      </c>
      <c r="D2742" t="n">
        <v>4</v>
      </c>
      <c r="E2742" s="10" t="n">
        <v>0</v>
      </c>
      <c r="F2742" s="10" t="n">
        <v>0.2897403095376743</v>
      </c>
      <c r="G2742" s="11">
        <f>E2742*Summary!$B$6</f>
        <v/>
      </c>
      <c r="H2742" s="11">
        <f>F2742*Summary!$B$7</f>
        <v/>
      </c>
      <c r="I2742" s="11">
        <f>MAX(0,N2742-M2742)</f>
        <v/>
      </c>
      <c r="J2742" s="11">
        <f>MAX(0,M2742-N2742)</f>
        <v/>
      </c>
      <c r="K2742" s="11">
        <f>O2742</f>
        <v/>
      </c>
      <c r="L2742" s="11">
        <f>L2741+IF(K2742&gt;0,K2742*Summary!$B$9,K2742/Summary!$B$9)</f>
        <v/>
      </c>
      <c r="M2742" s="11">
        <f>G2742+H2742</f>
        <v/>
      </c>
      <c r="N2742" s="11">
        <f>Summary!$C$16*Summary!$B$8</f>
        <v/>
      </c>
      <c r="O2742" s="11">
        <f>M2742-N2742</f>
        <v/>
      </c>
    </row>
    <row r="2743">
      <c r="A2743" s="9" t="n">
        <v>45406.20833333334</v>
      </c>
      <c r="B2743" t="n">
        <v>4</v>
      </c>
      <c r="C2743" t="n">
        <v>24</v>
      </c>
      <c r="D2743" t="n">
        <v>5</v>
      </c>
      <c r="E2743" s="10" t="n">
        <v>0.025793</v>
      </c>
      <c r="F2743" s="10" t="n">
        <v>0.2824935077984419</v>
      </c>
      <c r="G2743" s="11">
        <f>E2743*Summary!$B$6</f>
        <v/>
      </c>
      <c r="H2743" s="11">
        <f>F2743*Summary!$B$7</f>
        <v/>
      </c>
      <c r="I2743" s="11">
        <f>MAX(0,N2743-M2743)</f>
        <v/>
      </c>
      <c r="J2743" s="11">
        <f>MAX(0,M2743-N2743)</f>
        <v/>
      </c>
      <c r="K2743" s="11">
        <f>O2743</f>
        <v/>
      </c>
      <c r="L2743" s="11">
        <f>L2742+IF(K2743&gt;0,K2743*Summary!$B$9,K2743/Summary!$B$9)</f>
        <v/>
      </c>
      <c r="M2743" s="11">
        <f>G2743+H2743</f>
        <v/>
      </c>
      <c r="N2743" s="11">
        <f>Summary!$C$16*Summary!$B$8</f>
        <v/>
      </c>
      <c r="O2743" s="11">
        <f>M2743-N2743</f>
        <v/>
      </c>
    </row>
    <row r="2744">
      <c r="A2744" s="9" t="n">
        <v>45406.25</v>
      </c>
      <c r="B2744" t="n">
        <v>4</v>
      </c>
      <c r="C2744" t="n">
        <v>24</v>
      </c>
      <c r="D2744" t="n">
        <v>6</v>
      </c>
      <c r="E2744" s="10" t="n">
        <v>0.114367</v>
      </c>
      <c r="F2744" s="10" t="n">
        <v>0.2679999043199771</v>
      </c>
      <c r="G2744" s="11">
        <f>E2744*Summary!$B$6</f>
        <v/>
      </c>
      <c r="H2744" s="11">
        <f>F2744*Summary!$B$7</f>
        <v/>
      </c>
      <c r="I2744" s="11">
        <f>MAX(0,N2744-M2744)</f>
        <v/>
      </c>
      <c r="J2744" s="11">
        <f>MAX(0,M2744-N2744)</f>
        <v/>
      </c>
      <c r="K2744" s="11">
        <f>O2744</f>
        <v/>
      </c>
      <c r="L2744" s="11">
        <f>L2743+IF(K2744&gt;0,K2744*Summary!$B$9,K2744/Summary!$B$9)</f>
        <v/>
      </c>
      <c r="M2744" s="11">
        <f>G2744+H2744</f>
        <v/>
      </c>
      <c r="N2744" s="11">
        <f>Summary!$C$16*Summary!$B$8</f>
        <v/>
      </c>
      <c r="O2744" s="11">
        <f>M2744-N2744</f>
        <v/>
      </c>
    </row>
    <row r="2745">
      <c r="A2745" s="9" t="n">
        <v>45406.29166666666</v>
      </c>
      <c r="B2745" t="n">
        <v>4</v>
      </c>
      <c r="C2745" t="n">
        <v>24</v>
      </c>
      <c r="D2745" t="n">
        <v>7</v>
      </c>
      <c r="E2745" s="10" t="n">
        <v>0.287633</v>
      </c>
      <c r="F2745" s="10" t="n">
        <v>0.2577226218534293</v>
      </c>
      <c r="G2745" s="11">
        <f>E2745*Summary!$B$6</f>
        <v/>
      </c>
      <c r="H2745" s="11">
        <f>F2745*Summary!$B$7</f>
        <v/>
      </c>
      <c r="I2745" s="11">
        <f>MAX(0,N2745-M2745)</f>
        <v/>
      </c>
      <c r="J2745" s="11">
        <f>MAX(0,M2745-N2745)</f>
        <v/>
      </c>
      <c r="K2745" s="11">
        <f>O2745</f>
        <v/>
      </c>
      <c r="L2745" s="11">
        <f>L2744+IF(K2745&gt;0,K2745*Summary!$B$9,K2745/Summary!$B$9)</f>
        <v/>
      </c>
      <c r="M2745" s="11">
        <f>G2745+H2745</f>
        <v/>
      </c>
      <c r="N2745" s="11">
        <f>Summary!$C$16*Summary!$B$8</f>
        <v/>
      </c>
      <c r="O2745" s="11">
        <f>M2745-N2745</f>
        <v/>
      </c>
    </row>
    <row r="2746">
      <c r="A2746" s="9" t="n">
        <v>45406.33333333334</v>
      </c>
      <c r="B2746" t="n">
        <v>4</v>
      </c>
      <c r="C2746" t="n">
        <v>24</v>
      </c>
      <c r="D2746" t="n">
        <v>8</v>
      </c>
      <c r="E2746" s="10" t="n">
        <v>0.484801</v>
      </c>
      <c r="F2746" s="10" t="n">
        <v>0.2619916468779953</v>
      </c>
      <c r="G2746" s="11">
        <f>E2746*Summary!$B$6</f>
        <v/>
      </c>
      <c r="H2746" s="11">
        <f>F2746*Summary!$B$7</f>
        <v/>
      </c>
      <c r="I2746" s="11">
        <f>MAX(0,N2746-M2746)</f>
        <v/>
      </c>
      <c r="J2746" s="11">
        <f>MAX(0,M2746-N2746)</f>
        <v/>
      </c>
      <c r="K2746" s="11">
        <f>O2746</f>
        <v/>
      </c>
      <c r="L2746" s="11">
        <f>L2745+IF(K2746&gt;0,K2746*Summary!$B$9,K2746/Summary!$B$9)</f>
        <v/>
      </c>
      <c r="M2746" s="11">
        <f>G2746+H2746</f>
        <v/>
      </c>
      <c r="N2746" s="11">
        <f>Summary!$C$16*Summary!$B$8</f>
        <v/>
      </c>
      <c r="O2746" s="11">
        <f>M2746-N2746</f>
        <v/>
      </c>
    </row>
    <row r="2747">
      <c r="A2747" s="9" t="n">
        <v>45406.375</v>
      </c>
      <c r="B2747" t="n">
        <v>4</v>
      </c>
      <c r="C2747" t="n">
        <v>24</v>
      </c>
      <c r="D2747" t="n">
        <v>9</v>
      </c>
      <c r="E2747" s="10" t="n">
        <v>0.710555</v>
      </c>
      <c r="F2747" s="10" t="n">
        <v>0.2687377604970625</v>
      </c>
      <c r="G2747" s="11">
        <f>E2747*Summary!$B$6</f>
        <v/>
      </c>
      <c r="H2747" s="11">
        <f>F2747*Summary!$B$7</f>
        <v/>
      </c>
      <c r="I2747" s="11">
        <f>MAX(0,N2747-M2747)</f>
        <v/>
      </c>
      <c r="J2747" s="11">
        <f>MAX(0,M2747-N2747)</f>
        <v/>
      </c>
      <c r="K2747" s="11">
        <f>O2747</f>
        <v/>
      </c>
      <c r="L2747" s="11">
        <f>L2746+IF(K2747&gt;0,K2747*Summary!$B$9,K2747/Summary!$B$9)</f>
        <v/>
      </c>
      <c r="M2747" s="11">
        <f>G2747+H2747</f>
        <v/>
      </c>
      <c r="N2747" s="11">
        <f>Summary!$C$16*Summary!$B$8</f>
        <v/>
      </c>
      <c r="O2747" s="11">
        <f>M2747-N2747</f>
        <v/>
      </c>
    </row>
    <row r="2748">
      <c r="A2748" s="9" t="n">
        <v>45406.41666666666</v>
      </c>
      <c r="B2748" t="n">
        <v>4</v>
      </c>
      <c r="C2748" t="n">
        <v>24</v>
      </c>
      <c r="D2748" t="n">
        <v>10</v>
      </c>
      <c r="E2748" s="10" t="n">
        <v>0.754058</v>
      </c>
      <c r="F2748" s="10" t="n">
        <v>0.2818610596466543</v>
      </c>
      <c r="G2748" s="11">
        <f>E2748*Summary!$B$6</f>
        <v/>
      </c>
      <c r="H2748" s="11">
        <f>F2748*Summary!$B$7</f>
        <v/>
      </c>
      <c r="I2748" s="11">
        <f>MAX(0,N2748-M2748)</f>
        <v/>
      </c>
      <c r="J2748" s="11">
        <f>MAX(0,M2748-N2748)</f>
        <v/>
      </c>
      <c r="K2748" s="11">
        <f>O2748</f>
        <v/>
      </c>
      <c r="L2748" s="11">
        <f>L2747+IF(K2748&gt;0,K2748*Summary!$B$9,K2748/Summary!$B$9)</f>
        <v/>
      </c>
      <c r="M2748" s="11">
        <f>G2748+H2748</f>
        <v/>
      </c>
      <c r="N2748" s="11">
        <f>Summary!$C$16*Summary!$B$8</f>
        <v/>
      </c>
      <c r="O2748" s="11">
        <f>M2748-N2748</f>
        <v/>
      </c>
    </row>
    <row r="2749">
      <c r="A2749" s="9" t="n">
        <v>45406.45833333334</v>
      </c>
      <c r="B2749" t="n">
        <v>4</v>
      </c>
      <c r="C2749" t="n">
        <v>24</v>
      </c>
      <c r="D2749" t="n">
        <v>11</v>
      </c>
      <c r="E2749" s="10" t="n">
        <v>0.754058</v>
      </c>
      <c r="F2749" s="10" t="n">
        <v>0.2919802300752552</v>
      </c>
      <c r="G2749" s="11">
        <f>E2749*Summary!$B$6</f>
        <v/>
      </c>
      <c r="H2749" s="11">
        <f>F2749*Summary!$B$7</f>
        <v/>
      </c>
      <c r="I2749" s="11">
        <f>MAX(0,N2749-M2749)</f>
        <v/>
      </c>
      <c r="J2749" s="11">
        <f>MAX(0,M2749-N2749)</f>
        <v/>
      </c>
      <c r="K2749" s="11">
        <f>O2749</f>
        <v/>
      </c>
      <c r="L2749" s="11">
        <f>L2748+IF(K2749&gt;0,K2749*Summary!$B$9,K2749/Summary!$B$9)</f>
        <v/>
      </c>
      <c r="M2749" s="11">
        <f>G2749+H2749</f>
        <v/>
      </c>
      <c r="N2749" s="11">
        <f>Summary!$C$16*Summary!$B$8</f>
        <v/>
      </c>
      <c r="O2749" s="11">
        <f>M2749-N2749</f>
        <v/>
      </c>
    </row>
    <row r="2750">
      <c r="A2750" s="9" t="n">
        <v>45406.5</v>
      </c>
      <c r="B2750" t="n">
        <v>4</v>
      </c>
      <c r="C2750" t="n">
        <v>24</v>
      </c>
      <c r="D2750" t="n">
        <v>12</v>
      </c>
      <c r="E2750" s="10" t="n">
        <v>0.754058</v>
      </c>
      <c r="F2750" s="10" t="n">
        <v>0.2678681442883546</v>
      </c>
      <c r="G2750" s="11">
        <f>E2750*Summary!$B$6</f>
        <v/>
      </c>
      <c r="H2750" s="11">
        <f>F2750*Summary!$B$7</f>
        <v/>
      </c>
      <c r="I2750" s="11">
        <f>MAX(0,N2750-M2750)</f>
        <v/>
      </c>
      <c r="J2750" s="11">
        <f>MAX(0,M2750-N2750)</f>
        <v/>
      </c>
      <c r="K2750" s="11">
        <f>O2750</f>
        <v/>
      </c>
      <c r="L2750" s="11">
        <f>L2749+IF(K2750&gt;0,K2750*Summary!$B$9,K2750/Summary!$B$9)</f>
        <v/>
      </c>
      <c r="M2750" s="11">
        <f>G2750+H2750</f>
        <v/>
      </c>
      <c r="N2750" s="11">
        <f>Summary!$C$16*Summary!$B$8</f>
        <v/>
      </c>
      <c r="O2750" s="11">
        <f>M2750-N2750</f>
        <v/>
      </c>
    </row>
    <row r="2751">
      <c r="A2751" s="9" t="n">
        <v>45406.54166666666</v>
      </c>
      <c r="B2751" t="n">
        <v>4</v>
      </c>
      <c r="C2751" t="n">
        <v>24</v>
      </c>
      <c r="D2751" t="n">
        <v>13</v>
      </c>
      <c r="E2751" s="10" t="n">
        <v>0.754058</v>
      </c>
      <c r="F2751" s="10" t="n">
        <v>0.3101631144391475</v>
      </c>
      <c r="G2751" s="11">
        <f>E2751*Summary!$B$6</f>
        <v/>
      </c>
      <c r="H2751" s="11">
        <f>F2751*Summary!$B$7</f>
        <v/>
      </c>
      <c r="I2751" s="11">
        <f>MAX(0,N2751-M2751)</f>
        <v/>
      </c>
      <c r="J2751" s="11">
        <f>MAX(0,M2751-N2751)</f>
        <v/>
      </c>
      <c r="K2751" s="11">
        <f>O2751</f>
        <v/>
      </c>
      <c r="L2751" s="11">
        <f>L2750+IF(K2751&gt;0,K2751*Summary!$B$9,K2751/Summary!$B$9)</f>
        <v/>
      </c>
      <c r="M2751" s="11">
        <f>G2751+H2751</f>
        <v/>
      </c>
      <c r="N2751" s="11">
        <f>Summary!$C$16*Summary!$B$8</f>
        <v/>
      </c>
      <c r="O2751" s="11">
        <f>M2751-N2751</f>
        <v/>
      </c>
    </row>
    <row r="2752">
      <c r="A2752" s="9" t="n">
        <v>45406.58333333334</v>
      </c>
      <c r="B2752" t="n">
        <v>4</v>
      </c>
      <c r="C2752" t="n">
        <v>24</v>
      </c>
      <c r="D2752" t="n">
        <v>14</v>
      </c>
      <c r="E2752" s="10" t="n">
        <v>0.747109</v>
      </c>
      <c r="F2752" s="10" t="n">
        <v>0.3171200441088106</v>
      </c>
      <c r="G2752" s="11">
        <f>E2752*Summary!$B$6</f>
        <v/>
      </c>
      <c r="H2752" s="11">
        <f>F2752*Summary!$B$7</f>
        <v/>
      </c>
      <c r="I2752" s="11">
        <f>MAX(0,N2752-M2752)</f>
        <v/>
      </c>
      <c r="J2752" s="11">
        <f>MAX(0,M2752-N2752)</f>
        <v/>
      </c>
      <c r="K2752" s="11">
        <f>O2752</f>
        <v/>
      </c>
      <c r="L2752" s="11">
        <f>L2751+IF(K2752&gt;0,K2752*Summary!$B$9,K2752/Summary!$B$9)</f>
        <v/>
      </c>
      <c r="M2752" s="11">
        <f>G2752+H2752</f>
        <v/>
      </c>
      <c r="N2752" s="11">
        <f>Summary!$C$16*Summary!$B$8</f>
        <v/>
      </c>
      <c r="O2752" s="11">
        <f>M2752-N2752</f>
        <v/>
      </c>
    </row>
    <row r="2753">
      <c r="A2753" s="9" t="n">
        <v>45406.625</v>
      </c>
      <c r="B2753" t="n">
        <v>4</v>
      </c>
      <c r="C2753" t="n">
        <v>24</v>
      </c>
      <c r="D2753" t="n">
        <v>15</v>
      </c>
      <c r="E2753" s="10" t="n">
        <v>0.59849</v>
      </c>
      <c r="F2753" s="10" t="n">
        <v>0.3045764890983574</v>
      </c>
      <c r="G2753" s="11">
        <f>E2753*Summary!$B$6</f>
        <v/>
      </c>
      <c r="H2753" s="11">
        <f>F2753*Summary!$B$7</f>
        <v/>
      </c>
      <c r="I2753" s="11">
        <f>MAX(0,N2753-M2753)</f>
        <v/>
      </c>
      <c r="J2753" s="11">
        <f>MAX(0,M2753-N2753)</f>
        <v/>
      </c>
      <c r="K2753" s="11">
        <f>O2753</f>
        <v/>
      </c>
      <c r="L2753" s="11">
        <f>L2752+IF(K2753&gt;0,K2753*Summary!$B$9,K2753/Summary!$B$9)</f>
        <v/>
      </c>
      <c r="M2753" s="11">
        <f>G2753+H2753</f>
        <v/>
      </c>
      <c r="N2753" s="11">
        <f>Summary!$C$16*Summary!$B$8</f>
        <v/>
      </c>
      <c r="O2753" s="11">
        <f>M2753-N2753</f>
        <v/>
      </c>
    </row>
    <row r="2754">
      <c r="A2754" s="9" t="n">
        <v>45406.66666666666</v>
      </c>
      <c r="B2754" t="n">
        <v>4</v>
      </c>
      <c r="C2754" t="n">
        <v>24</v>
      </c>
      <c r="D2754" t="n">
        <v>16</v>
      </c>
      <c r="E2754" s="10" t="n">
        <v>0.392563</v>
      </c>
      <c r="F2754" s="10" t="n">
        <v>0.297224279333827</v>
      </c>
      <c r="G2754" s="11">
        <f>E2754*Summary!$B$6</f>
        <v/>
      </c>
      <c r="H2754" s="11">
        <f>F2754*Summary!$B$7</f>
        <v/>
      </c>
      <c r="I2754" s="11">
        <f>MAX(0,N2754-M2754)</f>
        <v/>
      </c>
      <c r="J2754" s="11">
        <f>MAX(0,M2754-N2754)</f>
        <v/>
      </c>
      <c r="K2754" s="11">
        <f>O2754</f>
        <v/>
      </c>
      <c r="L2754" s="11">
        <f>L2753+IF(K2754&gt;0,K2754*Summary!$B$9,K2754/Summary!$B$9)</f>
        <v/>
      </c>
      <c r="M2754" s="11">
        <f>G2754+H2754</f>
        <v/>
      </c>
      <c r="N2754" s="11">
        <f>Summary!$C$16*Summary!$B$8</f>
        <v/>
      </c>
      <c r="O2754" s="11">
        <f>M2754-N2754</f>
        <v/>
      </c>
    </row>
    <row r="2755">
      <c r="A2755" s="9" t="n">
        <v>45406.70833333334</v>
      </c>
      <c r="B2755" t="n">
        <v>4</v>
      </c>
      <c r="C2755" t="n">
        <v>24</v>
      </c>
      <c r="D2755" t="n">
        <v>17</v>
      </c>
      <c r="E2755" s="10" t="n">
        <v>0.174651</v>
      </c>
      <c r="F2755" s="10" t="n">
        <v>0.2868152368356568</v>
      </c>
      <c r="G2755" s="11">
        <f>E2755*Summary!$B$6</f>
        <v/>
      </c>
      <c r="H2755" s="11">
        <f>F2755*Summary!$B$7</f>
        <v/>
      </c>
      <c r="I2755" s="11">
        <f>MAX(0,N2755-M2755)</f>
        <v/>
      </c>
      <c r="J2755" s="11">
        <f>MAX(0,M2755-N2755)</f>
        <v/>
      </c>
      <c r="K2755" s="11">
        <f>O2755</f>
        <v/>
      </c>
      <c r="L2755" s="11">
        <f>L2754+IF(K2755&gt;0,K2755*Summary!$B$9,K2755/Summary!$B$9)</f>
        <v/>
      </c>
      <c r="M2755" s="11">
        <f>G2755+H2755</f>
        <v/>
      </c>
      <c r="N2755" s="11">
        <f>Summary!$C$16*Summary!$B$8</f>
        <v/>
      </c>
      <c r="O2755" s="11">
        <f>M2755-N2755</f>
        <v/>
      </c>
    </row>
    <row r="2756">
      <c r="A2756" s="9" t="n">
        <v>45406.75</v>
      </c>
      <c r="B2756" t="n">
        <v>4</v>
      </c>
      <c r="C2756" t="n">
        <v>24</v>
      </c>
      <c r="D2756" t="n">
        <v>18</v>
      </c>
      <c r="E2756" s="10" t="n">
        <v>0.037202</v>
      </c>
      <c r="F2756" s="10" t="n">
        <v>0.2716891852054044</v>
      </c>
      <c r="G2756" s="11">
        <f>E2756*Summary!$B$6</f>
        <v/>
      </c>
      <c r="H2756" s="11">
        <f>F2756*Summary!$B$7</f>
        <v/>
      </c>
      <c r="I2756" s="11">
        <f>MAX(0,N2756-M2756)</f>
        <v/>
      </c>
      <c r="J2756" s="11">
        <f>MAX(0,M2756-N2756)</f>
        <v/>
      </c>
      <c r="K2756" s="11">
        <f>O2756</f>
        <v/>
      </c>
      <c r="L2756" s="11">
        <f>L2755+IF(K2756&gt;0,K2756*Summary!$B$9,K2756/Summary!$B$9)</f>
        <v/>
      </c>
      <c r="M2756" s="11">
        <f>G2756+H2756</f>
        <v/>
      </c>
      <c r="N2756" s="11">
        <f>Summary!$C$16*Summary!$B$8</f>
        <v/>
      </c>
      <c r="O2756" s="11">
        <f>M2756-N2756</f>
        <v/>
      </c>
    </row>
    <row r="2757">
      <c r="A2757" s="9" t="n">
        <v>45406.79166666666</v>
      </c>
      <c r="B2757" t="n">
        <v>4</v>
      </c>
      <c r="C2757" t="n">
        <v>24</v>
      </c>
      <c r="D2757" t="n">
        <v>19</v>
      </c>
      <c r="E2757" s="10" t="n">
        <v>0</v>
      </c>
      <c r="F2757" s="10" t="n">
        <v>0.2677363842567322</v>
      </c>
      <c r="G2757" s="11">
        <f>E2757*Summary!$B$6</f>
        <v/>
      </c>
      <c r="H2757" s="11">
        <f>F2757*Summary!$B$7</f>
        <v/>
      </c>
      <c r="I2757" s="11">
        <f>MAX(0,N2757-M2757)</f>
        <v/>
      </c>
      <c r="J2757" s="11">
        <f>MAX(0,M2757-N2757)</f>
        <v/>
      </c>
      <c r="K2757" s="11">
        <f>O2757</f>
        <v/>
      </c>
      <c r="L2757" s="11">
        <f>L2756+IF(K2757&gt;0,K2757*Summary!$B$9,K2757/Summary!$B$9)</f>
        <v/>
      </c>
      <c r="M2757" s="11">
        <f>G2757+H2757</f>
        <v/>
      </c>
      <c r="N2757" s="11">
        <f>Summary!$C$16*Summary!$B$8</f>
        <v/>
      </c>
      <c r="O2757" s="11">
        <f>M2757-N2757</f>
        <v/>
      </c>
    </row>
    <row r="2758">
      <c r="A2758" s="9" t="n">
        <v>45406.83333333334</v>
      </c>
      <c r="B2758" t="n">
        <v>4</v>
      </c>
      <c r="C2758" t="n">
        <v>24</v>
      </c>
      <c r="D2758" t="n">
        <v>20</v>
      </c>
      <c r="E2758" s="10" t="n">
        <v>0</v>
      </c>
      <c r="F2758" s="10" t="n">
        <v>0.2759055062173215</v>
      </c>
      <c r="G2758" s="11">
        <f>E2758*Summary!$B$6</f>
        <v/>
      </c>
      <c r="H2758" s="11">
        <f>F2758*Summary!$B$7</f>
        <v/>
      </c>
      <c r="I2758" s="11">
        <f>MAX(0,N2758-M2758)</f>
        <v/>
      </c>
      <c r="J2758" s="11">
        <f>MAX(0,M2758-N2758)</f>
        <v/>
      </c>
      <c r="K2758" s="11">
        <f>O2758</f>
        <v/>
      </c>
      <c r="L2758" s="11">
        <f>L2757+IF(K2758&gt;0,K2758*Summary!$B$9,K2758/Summary!$B$9)</f>
        <v/>
      </c>
      <c r="M2758" s="11">
        <f>G2758+H2758</f>
        <v/>
      </c>
      <c r="N2758" s="11">
        <f>Summary!$C$16*Summary!$B$8</f>
        <v/>
      </c>
      <c r="O2758" s="11">
        <f>M2758-N2758</f>
        <v/>
      </c>
    </row>
    <row r="2759">
      <c r="A2759" s="9" t="n">
        <v>45406.875</v>
      </c>
      <c r="B2759" t="n">
        <v>4</v>
      </c>
      <c r="C2759" t="n">
        <v>24</v>
      </c>
      <c r="D2759" t="n">
        <v>21</v>
      </c>
      <c r="E2759" s="10" t="n">
        <v>0</v>
      </c>
      <c r="F2759" s="10" t="n">
        <v>0.2813076675138402</v>
      </c>
      <c r="G2759" s="11">
        <f>E2759*Summary!$B$6</f>
        <v/>
      </c>
      <c r="H2759" s="11">
        <f>F2759*Summary!$B$7</f>
        <v/>
      </c>
      <c r="I2759" s="11">
        <f>MAX(0,N2759-M2759)</f>
        <v/>
      </c>
      <c r="J2759" s="11">
        <f>MAX(0,M2759-N2759)</f>
        <v/>
      </c>
      <c r="K2759" s="11">
        <f>O2759</f>
        <v/>
      </c>
      <c r="L2759" s="11">
        <f>L2758+IF(K2759&gt;0,K2759*Summary!$B$9,K2759/Summary!$B$9)</f>
        <v/>
      </c>
      <c r="M2759" s="11">
        <f>G2759+H2759</f>
        <v/>
      </c>
      <c r="N2759" s="11">
        <f>Summary!$C$16*Summary!$B$8</f>
        <v/>
      </c>
      <c r="O2759" s="11">
        <f>M2759-N2759</f>
        <v/>
      </c>
    </row>
    <row r="2760">
      <c r="A2760" s="9" t="n">
        <v>45406.91666666666</v>
      </c>
      <c r="B2760" t="n">
        <v>4</v>
      </c>
      <c r="C2760" t="n">
        <v>24</v>
      </c>
      <c r="D2760" t="n">
        <v>22</v>
      </c>
      <c r="E2760" s="10" t="n">
        <v>0</v>
      </c>
      <c r="F2760" s="10" t="n">
        <v>0.2906626297590311</v>
      </c>
      <c r="G2760" s="11">
        <f>E2760*Summary!$B$6</f>
        <v/>
      </c>
      <c r="H2760" s="11">
        <f>F2760*Summary!$B$7</f>
        <v/>
      </c>
      <c r="I2760" s="11">
        <f>MAX(0,N2760-M2760)</f>
        <v/>
      </c>
      <c r="J2760" s="11">
        <f>MAX(0,M2760-N2760)</f>
        <v/>
      </c>
      <c r="K2760" s="11">
        <f>O2760</f>
        <v/>
      </c>
      <c r="L2760" s="11">
        <f>L2759+IF(K2760&gt;0,K2760*Summary!$B$9,K2760/Summary!$B$9)</f>
        <v/>
      </c>
      <c r="M2760" s="11">
        <f>G2760+H2760</f>
        <v/>
      </c>
      <c r="N2760" s="11">
        <f>Summary!$C$16*Summary!$B$8</f>
        <v/>
      </c>
      <c r="O2760" s="11">
        <f>M2760-N2760</f>
        <v/>
      </c>
    </row>
    <row r="2761">
      <c r="A2761" s="9" t="n">
        <v>45406.95833333334</v>
      </c>
      <c r="B2761" t="n">
        <v>4</v>
      </c>
      <c r="C2761" t="n">
        <v>24</v>
      </c>
      <c r="D2761" t="n">
        <v>23</v>
      </c>
      <c r="E2761" s="10" t="n">
        <v>0</v>
      </c>
      <c r="F2761" s="10" t="n">
        <v>0.2921383421132021</v>
      </c>
      <c r="G2761" s="11">
        <f>E2761*Summary!$B$6</f>
        <v/>
      </c>
      <c r="H2761" s="11">
        <f>F2761*Summary!$B$7</f>
        <v/>
      </c>
      <c r="I2761" s="11">
        <f>MAX(0,N2761-M2761)</f>
        <v/>
      </c>
      <c r="J2761" s="11">
        <f>MAX(0,M2761-N2761)</f>
        <v/>
      </c>
      <c r="K2761" s="11">
        <f>O2761</f>
        <v/>
      </c>
      <c r="L2761" s="11">
        <f>L2760+IF(K2761&gt;0,K2761*Summary!$B$9,K2761/Summary!$B$9)</f>
        <v/>
      </c>
      <c r="M2761" s="11">
        <f>G2761+H2761</f>
        <v/>
      </c>
      <c r="N2761" s="11">
        <f>Summary!$C$16*Summary!$B$8</f>
        <v/>
      </c>
      <c r="O2761" s="11">
        <f>M2761-N2761</f>
        <v/>
      </c>
    </row>
    <row r="2762">
      <c r="A2762" s="9" t="n">
        <v>45407</v>
      </c>
      <c r="B2762" t="n">
        <v>4</v>
      </c>
      <c r="C2762" t="n">
        <v>25</v>
      </c>
      <c r="D2762" t="n">
        <v>0</v>
      </c>
      <c r="E2762" s="10" t="n">
        <v>0</v>
      </c>
      <c r="F2762" s="10" t="n">
        <v>0.2483149555955893</v>
      </c>
      <c r="G2762" s="11">
        <f>E2762*Summary!$B$6</f>
        <v/>
      </c>
      <c r="H2762" s="11">
        <f>F2762*Summary!$B$7</f>
        <v/>
      </c>
      <c r="I2762" s="11">
        <f>MAX(0,N2762-M2762)</f>
        <v/>
      </c>
      <c r="J2762" s="11">
        <f>MAX(0,M2762-N2762)</f>
        <v/>
      </c>
      <c r="K2762" s="11">
        <f>O2762</f>
        <v/>
      </c>
      <c r="L2762" s="11">
        <f>L2761+IF(K2762&gt;0,K2762*Summary!$B$9,K2762/Summary!$B$9)</f>
        <v/>
      </c>
      <c r="M2762" s="11">
        <f>G2762+H2762</f>
        <v/>
      </c>
      <c r="N2762" s="11">
        <f>Summary!$C$16*Summary!$B$8</f>
        <v/>
      </c>
      <c r="O2762" s="11">
        <f>M2762-N2762</f>
        <v/>
      </c>
    </row>
    <row r="2763">
      <c r="A2763" s="9" t="n">
        <v>45407.04166666666</v>
      </c>
      <c r="B2763" t="n">
        <v>4</v>
      </c>
      <c r="C2763" t="n">
        <v>25</v>
      </c>
      <c r="D2763" t="n">
        <v>1</v>
      </c>
      <c r="E2763" s="10" t="n">
        <v>0</v>
      </c>
      <c r="F2763" s="10" t="n">
        <v>0.2953796388911133</v>
      </c>
      <c r="G2763" s="11">
        <f>E2763*Summary!$B$6</f>
        <v/>
      </c>
      <c r="H2763" s="11">
        <f>F2763*Summary!$B$7</f>
        <v/>
      </c>
      <c r="I2763" s="11">
        <f>MAX(0,N2763-M2763)</f>
        <v/>
      </c>
      <c r="J2763" s="11">
        <f>MAX(0,M2763-N2763)</f>
        <v/>
      </c>
      <c r="K2763" s="11">
        <f>O2763</f>
        <v/>
      </c>
      <c r="L2763" s="11">
        <f>L2762+IF(K2763&gt;0,K2763*Summary!$B$9,K2763/Summary!$B$9)</f>
        <v/>
      </c>
      <c r="M2763" s="11">
        <f>G2763+H2763</f>
        <v/>
      </c>
      <c r="N2763" s="11">
        <f>Summary!$C$16*Summary!$B$8</f>
        <v/>
      </c>
      <c r="O2763" s="11">
        <f>M2763-N2763</f>
        <v/>
      </c>
    </row>
    <row r="2764">
      <c r="A2764" s="9" t="n">
        <v>45407.08333333334</v>
      </c>
      <c r="B2764" t="n">
        <v>4</v>
      </c>
      <c r="C2764" t="n">
        <v>25</v>
      </c>
      <c r="D2764" t="n">
        <v>2</v>
      </c>
      <c r="E2764" s="10" t="n">
        <v>0</v>
      </c>
      <c r="F2764" s="10" t="n">
        <v>0.2937458144989955</v>
      </c>
      <c r="G2764" s="11">
        <f>E2764*Summary!$B$6</f>
        <v/>
      </c>
      <c r="H2764" s="11">
        <f>F2764*Summary!$B$7</f>
        <v/>
      </c>
      <c r="I2764" s="11">
        <f>MAX(0,N2764-M2764)</f>
        <v/>
      </c>
      <c r="J2764" s="11">
        <f>MAX(0,M2764-N2764)</f>
        <v/>
      </c>
      <c r="K2764" s="11">
        <f>O2764</f>
        <v/>
      </c>
      <c r="L2764" s="11">
        <f>L2763+IF(K2764&gt;0,K2764*Summary!$B$9,K2764/Summary!$B$9)</f>
        <v/>
      </c>
      <c r="M2764" s="11">
        <f>G2764+H2764</f>
        <v/>
      </c>
      <c r="N2764" s="11">
        <f>Summary!$C$16*Summary!$B$8</f>
        <v/>
      </c>
      <c r="O2764" s="11">
        <f>M2764-N2764</f>
        <v/>
      </c>
    </row>
    <row r="2765">
      <c r="A2765" s="9" t="n">
        <v>45407.125</v>
      </c>
      <c r="B2765" t="n">
        <v>4</v>
      </c>
      <c r="C2765" t="n">
        <v>25</v>
      </c>
      <c r="D2765" t="n">
        <v>3</v>
      </c>
      <c r="E2765" s="10" t="n">
        <v>0</v>
      </c>
      <c r="F2765" s="10" t="n">
        <v>0.2884227092214502</v>
      </c>
      <c r="G2765" s="11">
        <f>E2765*Summary!$B$6</f>
        <v/>
      </c>
      <c r="H2765" s="11">
        <f>F2765*Summary!$B$7</f>
        <v/>
      </c>
      <c r="I2765" s="11">
        <f>MAX(0,N2765-M2765)</f>
        <v/>
      </c>
      <c r="J2765" s="11">
        <f>MAX(0,M2765-N2765)</f>
        <v/>
      </c>
      <c r="K2765" s="11">
        <f>O2765</f>
        <v/>
      </c>
      <c r="L2765" s="11">
        <f>L2764+IF(K2765&gt;0,K2765*Summary!$B$9,K2765/Summary!$B$9)</f>
        <v/>
      </c>
      <c r="M2765" s="11">
        <f>G2765+H2765</f>
        <v/>
      </c>
      <c r="N2765" s="11">
        <f>Summary!$C$16*Summary!$B$8</f>
        <v/>
      </c>
      <c r="O2765" s="11">
        <f>M2765-N2765</f>
        <v/>
      </c>
    </row>
    <row r="2766">
      <c r="A2766" s="9" t="n">
        <v>45407.16666666666</v>
      </c>
      <c r="B2766" t="n">
        <v>4</v>
      </c>
      <c r="C2766" t="n">
        <v>25</v>
      </c>
      <c r="D2766" t="n">
        <v>4</v>
      </c>
      <c r="E2766" s="10" t="n">
        <v>0</v>
      </c>
      <c r="F2766" s="10" t="n">
        <v>0.2803853472924833</v>
      </c>
      <c r="G2766" s="11">
        <f>E2766*Summary!$B$6</f>
        <v/>
      </c>
      <c r="H2766" s="11">
        <f>F2766*Summary!$B$7</f>
        <v/>
      </c>
      <c r="I2766" s="11">
        <f>MAX(0,N2766-M2766)</f>
        <v/>
      </c>
      <c r="J2766" s="11">
        <f>MAX(0,M2766-N2766)</f>
        <v/>
      </c>
      <c r="K2766" s="11">
        <f>O2766</f>
        <v/>
      </c>
      <c r="L2766" s="11">
        <f>L2765+IF(K2766&gt;0,K2766*Summary!$B$9,K2766/Summary!$B$9)</f>
        <v/>
      </c>
      <c r="M2766" s="11">
        <f>G2766+H2766</f>
        <v/>
      </c>
      <c r="N2766" s="11">
        <f>Summary!$C$16*Summary!$B$8</f>
        <v/>
      </c>
      <c r="O2766" s="11">
        <f>M2766-N2766</f>
        <v/>
      </c>
    </row>
    <row r="2767">
      <c r="A2767" s="9" t="n">
        <v>45407.20833333334</v>
      </c>
      <c r="B2767" t="n">
        <v>4</v>
      </c>
      <c r="C2767" t="n">
        <v>25</v>
      </c>
      <c r="D2767" t="n">
        <v>5</v>
      </c>
      <c r="E2767" s="10" t="n">
        <v>0.007896</v>
      </c>
      <c r="F2767" s="10" t="n">
        <v>0.2631511351562724</v>
      </c>
      <c r="G2767" s="11">
        <f>E2767*Summary!$B$6</f>
        <v/>
      </c>
      <c r="H2767" s="11">
        <f>F2767*Summary!$B$7</f>
        <v/>
      </c>
      <c r="I2767" s="11">
        <f>MAX(0,N2767-M2767)</f>
        <v/>
      </c>
      <c r="J2767" s="11">
        <f>MAX(0,M2767-N2767)</f>
        <v/>
      </c>
      <c r="K2767" s="11">
        <f>O2767</f>
        <v/>
      </c>
      <c r="L2767" s="11">
        <f>L2766+IF(K2767&gt;0,K2767*Summary!$B$9,K2767/Summary!$B$9)</f>
        <v/>
      </c>
      <c r="M2767" s="11">
        <f>G2767+H2767</f>
        <v/>
      </c>
      <c r="N2767" s="11">
        <f>Summary!$C$16*Summary!$B$8</f>
        <v/>
      </c>
      <c r="O2767" s="11">
        <f>M2767-N2767</f>
        <v/>
      </c>
    </row>
    <row r="2768">
      <c r="A2768" s="9" t="n">
        <v>45407.25</v>
      </c>
      <c r="B2768" t="n">
        <v>4</v>
      </c>
      <c r="C2768" t="n">
        <v>25</v>
      </c>
      <c r="D2768" t="n">
        <v>6</v>
      </c>
      <c r="E2768" s="10" t="n">
        <v>0.037072</v>
      </c>
      <c r="F2768" s="10" t="n">
        <v>0.2376160410278498</v>
      </c>
      <c r="G2768" s="11">
        <f>E2768*Summary!$B$6</f>
        <v/>
      </c>
      <c r="H2768" s="11">
        <f>F2768*Summary!$B$7</f>
        <v/>
      </c>
      <c r="I2768" s="11">
        <f>MAX(0,N2768-M2768)</f>
        <v/>
      </c>
      <c r="J2768" s="11">
        <f>MAX(0,M2768-N2768)</f>
        <v/>
      </c>
      <c r="K2768" s="11">
        <f>O2768</f>
        <v/>
      </c>
      <c r="L2768" s="11">
        <f>L2767+IF(K2768&gt;0,K2768*Summary!$B$9,K2768/Summary!$B$9)</f>
        <v/>
      </c>
      <c r="M2768" s="11">
        <f>G2768+H2768</f>
        <v/>
      </c>
      <c r="N2768" s="11">
        <f>Summary!$C$16*Summary!$B$8</f>
        <v/>
      </c>
      <c r="O2768" s="11">
        <f>M2768-N2768</f>
        <v/>
      </c>
    </row>
    <row r="2769">
      <c r="A2769" s="9" t="n">
        <v>45407.29166666666</v>
      </c>
      <c r="B2769" t="n">
        <v>4</v>
      </c>
      <c r="C2769" t="n">
        <v>25</v>
      </c>
      <c r="D2769" t="n">
        <v>7</v>
      </c>
      <c r="E2769" s="10" t="n">
        <v>0.065941</v>
      </c>
      <c r="F2769" s="10" t="n">
        <v>0.2121863549247252</v>
      </c>
      <c r="G2769" s="11">
        <f>E2769*Summary!$B$6</f>
        <v/>
      </c>
      <c r="H2769" s="11">
        <f>F2769*Summary!$B$7</f>
        <v/>
      </c>
      <c r="I2769" s="11">
        <f>MAX(0,N2769-M2769)</f>
        <v/>
      </c>
      <c r="J2769" s="11">
        <f>MAX(0,M2769-N2769)</f>
        <v/>
      </c>
      <c r="K2769" s="11">
        <f>O2769</f>
        <v/>
      </c>
      <c r="L2769" s="11">
        <f>L2768+IF(K2769&gt;0,K2769*Summary!$B$9,K2769/Summary!$B$9)</f>
        <v/>
      </c>
      <c r="M2769" s="11">
        <f>G2769+H2769</f>
        <v/>
      </c>
      <c r="N2769" s="11">
        <f>Summary!$C$16*Summary!$B$8</f>
        <v/>
      </c>
      <c r="O2769" s="11">
        <f>M2769-N2769</f>
        <v/>
      </c>
    </row>
    <row r="2770">
      <c r="A2770" s="9" t="n">
        <v>45407.33333333334</v>
      </c>
      <c r="B2770" t="n">
        <v>4</v>
      </c>
      <c r="C2770" t="n">
        <v>25</v>
      </c>
      <c r="D2770" t="n">
        <v>8</v>
      </c>
      <c r="E2770" s="10" t="n">
        <v>0.140371</v>
      </c>
      <c r="F2770" s="10" t="n">
        <v>0.199590095901623</v>
      </c>
      <c r="G2770" s="11">
        <f>E2770*Summary!$B$6</f>
        <v/>
      </c>
      <c r="H2770" s="11">
        <f>F2770*Summary!$B$7</f>
        <v/>
      </c>
      <c r="I2770" s="11">
        <f>MAX(0,N2770-M2770)</f>
        <v/>
      </c>
      <c r="J2770" s="11">
        <f>MAX(0,M2770-N2770)</f>
        <v/>
      </c>
      <c r="K2770" s="11">
        <f>O2770</f>
        <v/>
      </c>
      <c r="L2770" s="11">
        <f>L2769+IF(K2770&gt;0,K2770*Summary!$B$9,K2770/Summary!$B$9)</f>
        <v/>
      </c>
      <c r="M2770" s="11">
        <f>G2770+H2770</f>
        <v/>
      </c>
      <c r="N2770" s="11">
        <f>Summary!$C$16*Summary!$B$8</f>
        <v/>
      </c>
      <c r="O2770" s="11">
        <f>M2770-N2770</f>
        <v/>
      </c>
    </row>
    <row r="2771">
      <c r="A2771" s="9" t="n">
        <v>45407.375</v>
      </c>
      <c r="B2771" t="n">
        <v>4</v>
      </c>
      <c r="C2771" t="n">
        <v>25</v>
      </c>
      <c r="D2771" t="n">
        <v>9</v>
      </c>
      <c r="E2771" s="10" t="n">
        <v>0.123515</v>
      </c>
      <c r="F2771" s="10" t="n">
        <v>0.1895499814919955</v>
      </c>
      <c r="G2771" s="11">
        <f>E2771*Summary!$B$6</f>
        <v/>
      </c>
      <c r="H2771" s="11">
        <f>F2771*Summary!$B$7</f>
        <v/>
      </c>
      <c r="I2771" s="11">
        <f>MAX(0,N2771-M2771)</f>
        <v/>
      </c>
      <c r="J2771" s="11">
        <f>MAX(0,M2771-N2771)</f>
        <v/>
      </c>
      <c r="K2771" s="11">
        <f>O2771</f>
        <v/>
      </c>
      <c r="L2771" s="11">
        <f>L2770+IF(K2771&gt;0,K2771*Summary!$B$9,K2771/Summary!$B$9)</f>
        <v/>
      </c>
      <c r="M2771" s="11">
        <f>G2771+H2771</f>
        <v/>
      </c>
      <c r="N2771" s="11">
        <f>Summary!$C$16*Summary!$B$8</f>
        <v/>
      </c>
      <c r="O2771" s="11">
        <f>M2771-N2771</f>
        <v/>
      </c>
    </row>
    <row r="2772">
      <c r="A2772" s="9" t="n">
        <v>45407.41666666666</v>
      </c>
      <c r="B2772" t="n">
        <v>4</v>
      </c>
      <c r="C2772" t="n">
        <v>25</v>
      </c>
      <c r="D2772" t="n">
        <v>10</v>
      </c>
      <c r="E2772" s="10" t="n">
        <v>0.221043</v>
      </c>
      <c r="F2772" s="10" t="n">
        <v>0.192475054194013</v>
      </c>
      <c r="G2772" s="11">
        <f>E2772*Summary!$B$6</f>
        <v/>
      </c>
      <c r="H2772" s="11">
        <f>F2772*Summary!$B$7</f>
        <v/>
      </c>
      <c r="I2772" s="11">
        <f>MAX(0,N2772-M2772)</f>
        <v/>
      </c>
      <c r="J2772" s="11">
        <f>MAX(0,M2772-N2772)</f>
        <v/>
      </c>
      <c r="K2772" s="11">
        <f>O2772</f>
        <v/>
      </c>
      <c r="L2772" s="11">
        <f>L2771+IF(K2772&gt;0,K2772*Summary!$B$9,K2772/Summary!$B$9)</f>
        <v/>
      </c>
      <c r="M2772" s="11">
        <f>G2772+H2772</f>
        <v/>
      </c>
      <c r="N2772" s="11">
        <f>Summary!$C$16*Summary!$B$8</f>
        <v/>
      </c>
      <c r="O2772" s="11">
        <f>M2772-N2772</f>
        <v/>
      </c>
    </row>
    <row r="2773">
      <c r="A2773" s="9" t="n">
        <v>45407.45833333334</v>
      </c>
      <c r="B2773" t="n">
        <v>4</v>
      </c>
      <c r="C2773" t="n">
        <v>25</v>
      </c>
      <c r="D2773" t="n">
        <v>11</v>
      </c>
      <c r="E2773" s="10" t="n">
        <v>0.288294</v>
      </c>
      <c r="F2773" s="10" t="n">
        <v>0.1978508634842072</v>
      </c>
      <c r="G2773" s="11">
        <f>E2773*Summary!$B$6</f>
        <v/>
      </c>
      <c r="H2773" s="11">
        <f>F2773*Summary!$B$7</f>
        <v/>
      </c>
      <c r="I2773" s="11">
        <f>MAX(0,N2773-M2773)</f>
        <v/>
      </c>
      <c r="J2773" s="11">
        <f>MAX(0,M2773-N2773)</f>
        <v/>
      </c>
      <c r="K2773" s="11">
        <f>O2773</f>
        <v/>
      </c>
      <c r="L2773" s="11">
        <f>L2772+IF(K2773&gt;0,K2773*Summary!$B$9,K2773/Summary!$B$9)</f>
        <v/>
      </c>
      <c r="M2773" s="11">
        <f>G2773+H2773</f>
        <v/>
      </c>
      <c r="N2773" s="11">
        <f>Summary!$C$16*Summary!$B$8</f>
        <v/>
      </c>
      <c r="O2773" s="11">
        <f>M2773-N2773</f>
        <v/>
      </c>
    </row>
    <row r="2774">
      <c r="A2774" s="9" t="n">
        <v>45407.5</v>
      </c>
      <c r="B2774" t="n">
        <v>4</v>
      </c>
      <c r="C2774" t="n">
        <v>25</v>
      </c>
      <c r="D2774" t="n">
        <v>12</v>
      </c>
      <c r="E2774" s="10" t="n">
        <v>0.350463</v>
      </c>
      <c r="F2774" s="10" t="n">
        <v>0.2107369945768787</v>
      </c>
      <c r="G2774" s="11">
        <f>E2774*Summary!$B$6</f>
        <v/>
      </c>
      <c r="H2774" s="11">
        <f>F2774*Summary!$B$7</f>
        <v/>
      </c>
      <c r="I2774" s="11">
        <f>MAX(0,N2774-M2774)</f>
        <v/>
      </c>
      <c r="J2774" s="11">
        <f>MAX(0,M2774-N2774)</f>
        <v/>
      </c>
      <c r="K2774" s="11">
        <f>O2774</f>
        <v/>
      </c>
      <c r="L2774" s="11">
        <f>L2773+IF(K2774&gt;0,K2774*Summary!$B$9,K2774/Summary!$B$9)</f>
        <v/>
      </c>
      <c r="M2774" s="11">
        <f>G2774+H2774</f>
        <v/>
      </c>
      <c r="N2774" s="11">
        <f>Summary!$C$16*Summary!$B$8</f>
        <v/>
      </c>
      <c r="O2774" s="11">
        <f>M2774-N2774</f>
        <v/>
      </c>
    </row>
    <row r="2775">
      <c r="A2775" s="9" t="n">
        <v>45407.54166666666</v>
      </c>
      <c r="B2775" t="n">
        <v>4</v>
      </c>
      <c r="C2775" t="n">
        <v>25</v>
      </c>
      <c r="D2775" t="n">
        <v>13</v>
      </c>
      <c r="E2775" s="10" t="n">
        <v>0.633444</v>
      </c>
      <c r="F2775" s="10" t="n">
        <v>0.2183000203920049</v>
      </c>
      <c r="G2775" s="11">
        <f>E2775*Summary!$B$6</f>
        <v/>
      </c>
      <c r="H2775" s="11">
        <f>F2775*Summary!$B$7</f>
        <v/>
      </c>
      <c r="I2775" s="11">
        <f>MAX(0,N2775-M2775)</f>
        <v/>
      </c>
      <c r="J2775" s="11">
        <f>MAX(0,M2775-N2775)</f>
        <v/>
      </c>
      <c r="K2775" s="11">
        <f>O2775</f>
        <v/>
      </c>
      <c r="L2775" s="11">
        <f>L2774+IF(K2775&gt;0,K2775*Summary!$B$9,K2775/Summary!$B$9)</f>
        <v/>
      </c>
      <c r="M2775" s="11">
        <f>G2775+H2775</f>
        <v/>
      </c>
      <c r="N2775" s="11">
        <f>Summary!$C$16*Summary!$B$8</f>
        <v/>
      </c>
      <c r="O2775" s="11">
        <f>M2775-N2775</f>
        <v/>
      </c>
    </row>
    <row r="2776">
      <c r="A2776" s="9" t="n">
        <v>45407.58333333334</v>
      </c>
      <c r="B2776" t="n">
        <v>4</v>
      </c>
      <c r="C2776" t="n">
        <v>25</v>
      </c>
      <c r="D2776" t="n">
        <v>14</v>
      </c>
      <c r="E2776" s="10" t="n">
        <v>0.634511</v>
      </c>
      <c r="F2776" s="10" t="n">
        <v>0.2207244049738572</v>
      </c>
      <c r="G2776" s="11">
        <f>E2776*Summary!$B$6</f>
        <v/>
      </c>
      <c r="H2776" s="11">
        <f>F2776*Summary!$B$7</f>
        <v/>
      </c>
      <c r="I2776" s="11">
        <f>MAX(0,N2776-M2776)</f>
        <v/>
      </c>
      <c r="J2776" s="11">
        <f>MAX(0,M2776-N2776)</f>
        <v/>
      </c>
      <c r="K2776" s="11">
        <f>O2776</f>
        <v/>
      </c>
      <c r="L2776" s="11">
        <f>L2775+IF(K2776&gt;0,K2776*Summary!$B$9,K2776/Summary!$B$9)</f>
        <v/>
      </c>
      <c r="M2776" s="11">
        <f>G2776+H2776</f>
        <v/>
      </c>
      <c r="N2776" s="11">
        <f>Summary!$C$16*Summary!$B$8</f>
        <v/>
      </c>
      <c r="O2776" s="11">
        <f>M2776-N2776</f>
        <v/>
      </c>
    </row>
    <row r="2777">
      <c r="A2777" s="9" t="n">
        <v>45407.625</v>
      </c>
      <c r="B2777" t="n">
        <v>4</v>
      </c>
      <c r="C2777" t="n">
        <v>25</v>
      </c>
      <c r="D2777" t="n">
        <v>15</v>
      </c>
      <c r="E2777" s="10" t="n">
        <v>0.495033</v>
      </c>
      <c r="F2777" s="10" t="n">
        <v>0.2181155563477335</v>
      </c>
      <c r="G2777" s="11">
        <f>E2777*Summary!$B$6</f>
        <v/>
      </c>
      <c r="H2777" s="11">
        <f>F2777*Summary!$B$7</f>
        <v/>
      </c>
      <c r="I2777" s="11">
        <f>MAX(0,N2777-M2777)</f>
        <v/>
      </c>
      <c r="J2777" s="11">
        <f>MAX(0,M2777-N2777)</f>
        <v/>
      </c>
      <c r="K2777" s="11">
        <f>O2777</f>
        <v/>
      </c>
      <c r="L2777" s="11">
        <f>L2776+IF(K2777&gt;0,K2777*Summary!$B$9,K2777/Summary!$B$9)</f>
        <v/>
      </c>
      <c r="M2777" s="11">
        <f>G2777+H2777</f>
        <v/>
      </c>
      <c r="N2777" s="11">
        <f>Summary!$C$16*Summary!$B$8</f>
        <v/>
      </c>
      <c r="O2777" s="11">
        <f>M2777-N2777</f>
        <v/>
      </c>
    </row>
    <row r="2778">
      <c r="A2778" s="9" t="n">
        <v>45407.66666666666</v>
      </c>
      <c r="B2778" t="n">
        <v>4</v>
      </c>
      <c r="C2778" t="n">
        <v>25</v>
      </c>
      <c r="D2778" t="n">
        <v>16</v>
      </c>
      <c r="E2778" s="10" t="n">
        <v>0.315011</v>
      </c>
      <c r="F2778" s="10" t="n">
        <v>0.2107896985895276</v>
      </c>
      <c r="G2778" s="11">
        <f>E2778*Summary!$B$6</f>
        <v/>
      </c>
      <c r="H2778" s="11">
        <f>F2778*Summary!$B$7</f>
        <v/>
      </c>
      <c r="I2778" s="11">
        <f>MAX(0,N2778-M2778)</f>
        <v/>
      </c>
      <c r="J2778" s="11">
        <f>MAX(0,M2778-N2778)</f>
        <v/>
      </c>
      <c r="K2778" s="11">
        <f>O2778</f>
        <v/>
      </c>
      <c r="L2778" s="11">
        <f>L2777+IF(K2778&gt;0,K2778*Summary!$B$9,K2778/Summary!$B$9)</f>
        <v/>
      </c>
      <c r="M2778" s="11">
        <f>G2778+H2778</f>
        <v/>
      </c>
      <c r="N2778" s="11">
        <f>Summary!$C$16*Summary!$B$8</f>
        <v/>
      </c>
      <c r="O2778" s="11">
        <f>M2778-N2778</f>
        <v/>
      </c>
    </row>
    <row r="2779">
      <c r="A2779" s="9" t="n">
        <v>45407.70833333334</v>
      </c>
      <c r="B2779" t="n">
        <v>4</v>
      </c>
      <c r="C2779" t="n">
        <v>25</v>
      </c>
      <c r="D2779" t="n">
        <v>17</v>
      </c>
      <c r="E2779" s="10" t="n">
        <v>0.12399</v>
      </c>
      <c r="F2779" s="10" t="n">
        <v>0.2026205766289384</v>
      </c>
      <c r="G2779" s="11">
        <f>E2779*Summary!$B$6</f>
        <v/>
      </c>
      <c r="H2779" s="11">
        <f>F2779*Summary!$B$7</f>
        <v/>
      </c>
      <c r="I2779" s="11">
        <f>MAX(0,N2779-M2779)</f>
        <v/>
      </c>
      <c r="J2779" s="11">
        <f>MAX(0,M2779-N2779)</f>
        <v/>
      </c>
      <c r="K2779" s="11">
        <f>O2779</f>
        <v/>
      </c>
      <c r="L2779" s="11">
        <f>L2778+IF(K2779&gt;0,K2779*Summary!$B$9,K2779/Summary!$B$9)</f>
        <v/>
      </c>
      <c r="M2779" s="11">
        <f>G2779+H2779</f>
        <v/>
      </c>
      <c r="N2779" s="11">
        <f>Summary!$C$16*Summary!$B$8</f>
        <v/>
      </c>
      <c r="O2779" s="11">
        <f>M2779-N2779</f>
        <v/>
      </c>
    </row>
    <row r="2780">
      <c r="A2780" s="9" t="n">
        <v>45407.75</v>
      </c>
      <c r="B2780" t="n">
        <v>4</v>
      </c>
      <c r="C2780" t="n">
        <v>25</v>
      </c>
      <c r="D2780" t="n">
        <v>18</v>
      </c>
      <c r="E2780" s="10" t="n">
        <v>0.041313</v>
      </c>
      <c r="F2780" s="10" t="n">
        <v>0.1942669906240778</v>
      </c>
      <c r="G2780" s="11">
        <f>E2780*Summary!$B$6</f>
        <v/>
      </c>
      <c r="H2780" s="11">
        <f>F2780*Summary!$B$7</f>
        <v/>
      </c>
      <c r="I2780" s="11">
        <f>MAX(0,N2780-M2780)</f>
        <v/>
      </c>
      <c r="J2780" s="11">
        <f>MAX(0,M2780-N2780)</f>
        <v/>
      </c>
      <c r="K2780" s="11">
        <f>O2780</f>
        <v/>
      </c>
      <c r="L2780" s="11">
        <f>L2779+IF(K2780&gt;0,K2780*Summary!$B$9,K2780/Summary!$B$9)</f>
        <v/>
      </c>
      <c r="M2780" s="11">
        <f>G2780+H2780</f>
        <v/>
      </c>
      <c r="N2780" s="11">
        <f>Summary!$C$16*Summary!$B$8</f>
        <v/>
      </c>
      <c r="O2780" s="11">
        <f>M2780-N2780</f>
        <v/>
      </c>
    </row>
    <row r="2781">
      <c r="A2781" s="9" t="n">
        <v>45407.79166666666</v>
      </c>
      <c r="B2781" t="n">
        <v>4</v>
      </c>
      <c r="C2781" t="n">
        <v>25</v>
      </c>
      <c r="D2781" t="n">
        <v>19</v>
      </c>
      <c r="E2781" s="10" t="n">
        <v>0</v>
      </c>
      <c r="F2781" s="10" t="n">
        <v>0.1977718074652338</v>
      </c>
      <c r="G2781" s="11">
        <f>E2781*Summary!$B$6</f>
        <v/>
      </c>
      <c r="H2781" s="11">
        <f>F2781*Summary!$B$7</f>
        <v/>
      </c>
      <c r="I2781" s="11">
        <f>MAX(0,N2781-M2781)</f>
        <v/>
      </c>
      <c r="J2781" s="11">
        <f>MAX(0,M2781-N2781)</f>
        <v/>
      </c>
      <c r="K2781" s="11">
        <f>O2781</f>
        <v/>
      </c>
      <c r="L2781" s="11">
        <f>L2780+IF(K2781&gt;0,K2781*Summary!$B$9,K2781/Summary!$B$9)</f>
        <v/>
      </c>
      <c r="M2781" s="11">
        <f>G2781+H2781</f>
        <v/>
      </c>
      <c r="N2781" s="11">
        <f>Summary!$C$16*Summary!$B$8</f>
        <v/>
      </c>
      <c r="O2781" s="11">
        <f>M2781-N2781</f>
        <v/>
      </c>
    </row>
    <row r="2782">
      <c r="A2782" s="9" t="n">
        <v>45407.83333333334</v>
      </c>
      <c r="B2782" t="n">
        <v>4</v>
      </c>
      <c r="C2782" t="n">
        <v>25</v>
      </c>
      <c r="D2782" t="n">
        <v>20</v>
      </c>
      <c r="E2782" s="10" t="n">
        <v>0</v>
      </c>
      <c r="F2782" s="10" t="n">
        <v>0.2118964828551559</v>
      </c>
      <c r="G2782" s="11">
        <f>E2782*Summary!$B$6</f>
        <v/>
      </c>
      <c r="H2782" s="11">
        <f>F2782*Summary!$B$7</f>
        <v/>
      </c>
      <c r="I2782" s="11">
        <f>MAX(0,N2782-M2782)</f>
        <v/>
      </c>
      <c r="J2782" s="11">
        <f>MAX(0,M2782-N2782)</f>
        <v/>
      </c>
      <c r="K2782" s="11">
        <f>O2782</f>
        <v/>
      </c>
      <c r="L2782" s="11">
        <f>L2781+IF(K2782&gt;0,K2782*Summary!$B$9,K2782/Summary!$B$9)</f>
        <v/>
      </c>
      <c r="M2782" s="11">
        <f>G2782+H2782</f>
        <v/>
      </c>
      <c r="N2782" s="11">
        <f>Summary!$C$16*Summary!$B$8</f>
        <v/>
      </c>
      <c r="O2782" s="11">
        <f>M2782-N2782</f>
        <v/>
      </c>
    </row>
    <row r="2783">
      <c r="A2783" s="9" t="n">
        <v>45407.875</v>
      </c>
      <c r="B2783" t="n">
        <v>4</v>
      </c>
      <c r="C2783" t="n">
        <v>25</v>
      </c>
      <c r="D2783" t="n">
        <v>21</v>
      </c>
      <c r="E2783" s="10" t="n">
        <v>0</v>
      </c>
      <c r="F2783" s="10" t="n">
        <v>0.2291833990040158</v>
      </c>
      <c r="G2783" s="11">
        <f>E2783*Summary!$B$6</f>
        <v/>
      </c>
      <c r="H2783" s="11">
        <f>F2783*Summary!$B$7</f>
        <v/>
      </c>
      <c r="I2783" s="11">
        <f>MAX(0,N2783-M2783)</f>
        <v/>
      </c>
      <c r="J2783" s="11">
        <f>MAX(0,M2783-N2783)</f>
        <v/>
      </c>
      <c r="K2783" s="11">
        <f>O2783</f>
        <v/>
      </c>
      <c r="L2783" s="11">
        <f>L2782+IF(K2783&gt;0,K2783*Summary!$B$9,K2783/Summary!$B$9)</f>
        <v/>
      </c>
      <c r="M2783" s="11">
        <f>G2783+H2783</f>
        <v/>
      </c>
      <c r="N2783" s="11">
        <f>Summary!$C$16*Summary!$B$8</f>
        <v/>
      </c>
      <c r="O2783" s="11">
        <f>M2783-N2783</f>
        <v/>
      </c>
    </row>
    <row r="2784">
      <c r="A2784" s="9" t="n">
        <v>45407.91666666666</v>
      </c>
      <c r="B2784" t="n">
        <v>4</v>
      </c>
      <c r="C2784" t="n">
        <v>25</v>
      </c>
      <c r="D2784" t="n">
        <v>22</v>
      </c>
      <c r="E2784" s="10" t="n">
        <v>0</v>
      </c>
      <c r="F2784" s="10" t="n">
        <v>0.2396451455148349</v>
      </c>
      <c r="G2784" s="11">
        <f>E2784*Summary!$B$6</f>
        <v/>
      </c>
      <c r="H2784" s="11">
        <f>F2784*Summary!$B$7</f>
        <v/>
      </c>
      <c r="I2784" s="11">
        <f>MAX(0,N2784-M2784)</f>
        <v/>
      </c>
      <c r="J2784" s="11">
        <f>MAX(0,M2784-N2784)</f>
        <v/>
      </c>
      <c r="K2784" s="11">
        <f>O2784</f>
        <v/>
      </c>
      <c r="L2784" s="11">
        <f>L2783+IF(K2784&gt;0,K2784*Summary!$B$9,K2784/Summary!$B$9)</f>
        <v/>
      </c>
      <c r="M2784" s="11">
        <f>G2784+H2784</f>
        <v/>
      </c>
      <c r="N2784" s="11">
        <f>Summary!$C$16*Summary!$B$8</f>
        <v/>
      </c>
      <c r="O2784" s="11">
        <f>M2784-N2784</f>
        <v/>
      </c>
    </row>
    <row r="2785">
      <c r="A2785" s="9" t="n">
        <v>45407.95833333334</v>
      </c>
      <c r="B2785" t="n">
        <v>4</v>
      </c>
      <c r="C2785" t="n">
        <v>25</v>
      </c>
      <c r="D2785" t="n">
        <v>23</v>
      </c>
      <c r="E2785" s="10" t="n">
        <v>0</v>
      </c>
      <c r="F2785" s="10" t="n">
        <v>0.2457851629884391</v>
      </c>
      <c r="G2785" s="11">
        <f>E2785*Summary!$B$6</f>
        <v/>
      </c>
      <c r="H2785" s="11">
        <f>F2785*Summary!$B$7</f>
        <v/>
      </c>
      <c r="I2785" s="11">
        <f>MAX(0,N2785-M2785)</f>
        <v/>
      </c>
      <c r="J2785" s="11">
        <f>MAX(0,M2785-N2785)</f>
        <v/>
      </c>
      <c r="K2785" s="11">
        <f>O2785</f>
        <v/>
      </c>
      <c r="L2785" s="11">
        <f>L2784+IF(K2785&gt;0,K2785*Summary!$B$9,K2785/Summary!$B$9)</f>
        <v/>
      </c>
      <c r="M2785" s="11">
        <f>G2785+H2785</f>
        <v/>
      </c>
      <c r="N2785" s="11">
        <f>Summary!$C$16*Summary!$B$8</f>
        <v/>
      </c>
      <c r="O2785" s="11">
        <f>M2785-N2785</f>
        <v/>
      </c>
    </row>
    <row r="2786">
      <c r="A2786" s="9" t="n">
        <v>45408</v>
      </c>
      <c r="B2786" t="n">
        <v>4</v>
      </c>
      <c r="C2786" t="n">
        <v>26</v>
      </c>
      <c r="D2786" t="n">
        <v>0</v>
      </c>
      <c r="E2786" s="10" t="n">
        <v>0</v>
      </c>
      <c r="F2786" s="10" t="n">
        <v>0.2270488864917328</v>
      </c>
      <c r="G2786" s="11">
        <f>E2786*Summary!$B$6</f>
        <v/>
      </c>
      <c r="H2786" s="11">
        <f>F2786*Summary!$B$7</f>
        <v/>
      </c>
      <c r="I2786" s="11">
        <f>MAX(0,N2786-M2786)</f>
        <v/>
      </c>
      <c r="J2786" s="11">
        <f>MAX(0,M2786-N2786)</f>
        <v/>
      </c>
      <c r="K2786" s="11">
        <f>O2786</f>
        <v/>
      </c>
      <c r="L2786" s="11">
        <f>L2785+IF(K2786&gt;0,K2786*Summary!$B$9,K2786/Summary!$B$9)</f>
        <v/>
      </c>
      <c r="M2786" s="11">
        <f>G2786+H2786</f>
        <v/>
      </c>
      <c r="N2786" s="11">
        <f>Summary!$C$16*Summary!$B$8</f>
        <v/>
      </c>
      <c r="O2786" s="11">
        <f>M2786-N2786</f>
        <v/>
      </c>
    </row>
    <row r="2787">
      <c r="A2787" s="9" t="n">
        <v>45408.04166666666</v>
      </c>
      <c r="B2787" t="n">
        <v>4</v>
      </c>
      <c r="C2787" t="n">
        <v>26</v>
      </c>
      <c r="D2787" t="n">
        <v>1</v>
      </c>
      <c r="E2787" s="10" t="n">
        <v>0</v>
      </c>
      <c r="F2787" s="10" t="n">
        <v>0.2511082682659844</v>
      </c>
      <c r="G2787" s="11">
        <f>E2787*Summary!$B$6</f>
        <v/>
      </c>
      <c r="H2787" s="11">
        <f>F2787*Summary!$B$7</f>
        <v/>
      </c>
      <c r="I2787" s="11">
        <f>MAX(0,N2787-M2787)</f>
        <v/>
      </c>
      <c r="J2787" s="11">
        <f>MAX(0,M2787-N2787)</f>
        <v/>
      </c>
      <c r="K2787" s="11">
        <f>O2787</f>
        <v/>
      </c>
      <c r="L2787" s="11">
        <f>L2786+IF(K2787&gt;0,K2787*Summary!$B$9,K2787/Summary!$B$9)</f>
        <v/>
      </c>
      <c r="M2787" s="11">
        <f>G2787+H2787</f>
        <v/>
      </c>
      <c r="N2787" s="11">
        <f>Summary!$C$16*Summary!$B$8</f>
        <v/>
      </c>
      <c r="O2787" s="11">
        <f>M2787-N2787</f>
        <v/>
      </c>
    </row>
    <row r="2788">
      <c r="A2788" s="9" t="n">
        <v>45408.08333333334</v>
      </c>
      <c r="B2788" t="n">
        <v>4</v>
      </c>
      <c r="C2788" t="n">
        <v>26</v>
      </c>
      <c r="D2788" t="n">
        <v>2</v>
      </c>
      <c r="E2788" s="10" t="n">
        <v>0</v>
      </c>
      <c r="F2788" s="10" t="n">
        <v>0.253769820904757</v>
      </c>
      <c r="G2788" s="11">
        <f>E2788*Summary!$B$6</f>
        <v/>
      </c>
      <c r="H2788" s="11">
        <f>F2788*Summary!$B$7</f>
        <v/>
      </c>
      <c r="I2788" s="11">
        <f>MAX(0,N2788-M2788)</f>
        <v/>
      </c>
      <c r="J2788" s="11">
        <f>MAX(0,M2788-N2788)</f>
        <v/>
      </c>
      <c r="K2788" s="11">
        <f>O2788</f>
        <v/>
      </c>
      <c r="L2788" s="11">
        <f>L2787+IF(K2788&gt;0,K2788*Summary!$B$9,K2788/Summary!$B$9)</f>
        <v/>
      </c>
      <c r="M2788" s="11">
        <f>G2788+H2788</f>
        <v/>
      </c>
      <c r="N2788" s="11">
        <f>Summary!$C$16*Summary!$B$8</f>
        <v/>
      </c>
      <c r="O2788" s="11">
        <f>M2788-N2788</f>
        <v/>
      </c>
    </row>
    <row r="2789">
      <c r="A2789" s="9" t="n">
        <v>45408.125</v>
      </c>
      <c r="B2789" t="n">
        <v>4</v>
      </c>
      <c r="C2789" t="n">
        <v>26</v>
      </c>
      <c r="D2789" t="n">
        <v>3</v>
      </c>
      <c r="E2789" s="10" t="n">
        <v>0</v>
      </c>
      <c r="F2789" s="10" t="n">
        <v>0.253769820904757</v>
      </c>
      <c r="G2789" s="11">
        <f>E2789*Summary!$B$6</f>
        <v/>
      </c>
      <c r="H2789" s="11">
        <f>F2789*Summary!$B$7</f>
        <v/>
      </c>
      <c r="I2789" s="11">
        <f>MAX(0,N2789-M2789)</f>
        <v/>
      </c>
      <c r="J2789" s="11">
        <f>MAX(0,M2789-N2789)</f>
        <v/>
      </c>
      <c r="K2789" s="11">
        <f>O2789</f>
        <v/>
      </c>
      <c r="L2789" s="11">
        <f>L2788+IF(K2789&gt;0,K2789*Summary!$B$9,K2789/Summary!$B$9)</f>
        <v/>
      </c>
      <c r="M2789" s="11">
        <f>G2789+H2789</f>
        <v/>
      </c>
      <c r="N2789" s="11">
        <f>Summary!$C$16*Summary!$B$8</f>
        <v/>
      </c>
      <c r="O2789" s="11">
        <f>M2789-N2789</f>
        <v/>
      </c>
    </row>
    <row r="2790">
      <c r="A2790" s="9" t="n">
        <v>45408.16666666666</v>
      </c>
      <c r="B2790" t="n">
        <v>4</v>
      </c>
      <c r="C2790" t="n">
        <v>26</v>
      </c>
      <c r="D2790" t="n">
        <v>4</v>
      </c>
      <c r="E2790" s="10" t="n">
        <v>0</v>
      </c>
      <c r="F2790" s="10" t="n">
        <v>0.245995979039035</v>
      </c>
      <c r="G2790" s="11">
        <f>E2790*Summary!$B$6</f>
        <v/>
      </c>
      <c r="H2790" s="11">
        <f>F2790*Summary!$B$7</f>
        <v/>
      </c>
      <c r="I2790" s="11">
        <f>MAX(0,N2790-M2790)</f>
        <v/>
      </c>
      <c r="J2790" s="11">
        <f>MAX(0,M2790-N2790)</f>
        <v/>
      </c>
      <c r="K2790" s="11">
        <f>O2790</f>
        <v/>
      </c>
      <c r="L2790" s="11">
        <f>L2789+IF(K2790&gt;0,K2790*Summary!$B$9,K2790/Summary!$B$9)</f>
        <v/>
      </c>
      <c r="M2790" s="11">
        <f>G2790+H2790</f>
        <v/>
      </c>
      <c r="N2790" s="11">
        <f>Summary!$C$16*Summary!$B$8</f>
        <v/>
      </c>
      <c r="O2790" s="11">
        <f>M2790-N2790</f>
        <v/>
      </c>
    </row>
    <row r="2791">
      <c r="A2791" s="9" t="n">
        <v>45408.20833333334</v>
      </c>
      <c r="B2791" t="n">
        <v>4</v>
      </c>
      <c r="C2791" t="n">
        <v>26</v>
      </c>
      <c r="D2791" t="n">
        <v>5</v>
      </c>
      <c r="E2791" s="10" t="n">
        <v>0.013066</v>
      </c>
      <c r="F2791" s="10" t="n">
        <v>0.2276549826371958</v>
      </c>
      <c r="G2791" s="11">
        <f>E2791*Summary!$B$6</f>
        <v/>
      </c>
      <c r="H2791" s="11">
        <f>F2791*Summary!$B$7</f>
        <v/>
      </c>
      <c r="I2791" s="11">
        <f>MAX(0,N2791-M2791)</f>
        <v/>
      </c>
      <c r="J2791" s="11">
        <f>MAX(0,M2791-N2791)</f>
        <v/>
      </c>
      <c r="K2791" s="11">
        <f>O2791</f>
        <v/>
      </c>
      <c r="L2791" s="11">
        <f>L2790+IF(K2791&gt;0,K2791*Summary!$B$9,K2791/Summary!$B$9)</f>
        <v/>
      </c>
      <c r="M2791" s="11">
        <f>G2791+H2791</f>
        <v/>
      </c>
      <c r="N2791" s="11">
        <f>Summary!$C$16*Summary!$B$8</f>
        <v/>
      </c>
      <c r="O2791" s="11">
        <f>M2791-N2791</f>
        <v/>
      </c>
    </row>
    <row r="2792">
      <c r="A2792" s="9" t="n">
        <v>45408.25</v>
      </c>
      <c r="B2792" t="n">
        <v>4</v>
      </c>
      <c r="C2792" t="n">
        <v>26</v>
      </c>
      <c r="D2792" t="n">
        <v>6</v>
      </c>
      <c r="E2792" s="10" t="n">
        <v>0.040281</v>
      </c>
      <c r="F2792" s="10" t="n">
        <v>0.1960589270541425</v>
      </c>
      <c r="G2792" s="11">
        <f>E2792*Summary!$B$6</f>
        <v/>
      </c>
      <c r="H2792" s="11">
        <f>F2792*Summary!$B$7</f>
        <v/>
      </c>
      <c r="I2792" s="11">
        <f>MAX(0,N2792-M2792)</f>
        <v/>
      </c>
      <c r="J2792" s="11">
        <f>MAX(0,M2792-N2792)</f>
        <v/>
      </c>
      <c r="K2792" s="11">
        <f>O2792</f>
        <v/>
      </c>
      <c r="L2792" s="11">
        <f>L2791+IF(K2792&gt;0,K2792*Summary!$B$9,K2792/Summary!$B$9)</f>
        <v/>
      </c>
      <c r="M2792" s="11">
        <f>G2792+H2792</f>
        <v/>
      </c>
      <c r="N2792" s="11">
        <f>Summary!$C$16*Summary!$B$8</f>
        <v/>
      </c>
      <c r="O2792" s="11">
        <f>M2792-N2792</f>
        <v/>
      </c>
    </row>
    <row r="2793">
      <c r="A2793" s="9" t="n">
        <v>45408.29166666666</v>
      </c>
      <c r="B2793" t="n">
        <v>4</v>
      </c>
      <c r="C2793" t="n">
        <v>26</v>
      </c>
      <c r="D2793" t="n">
        <v>7</v>
      </c>
      <c r="E2793" s="10" t="n">
        <v>0.079134</v>
      </c>
      <c r="F2793" s="10" t="n">
        <v>0.1786929548863092</v>
      </c>
      <c r="G2793" s="11">
        <f>E2793*Summary!$B$6</f>
        <v/>
      </c>
      <c r="H2793" s="11">
        <f>F2793*Summary!$B$7</f>
        <v/>
      </c>
      <c r="I2793" s="11">
        <f>MAX(0,N2793-M2793)</f>
        <v/>
      </c>
      <c r="J2793" s="11">
        <f>MAX(0,M2793-N2793)</f>
        <v/>
      </c>
      <c r="K2793" s="11">
        <f>O2793</f>
        <v/>
      </c>
      <c r="L2793" s="11">
        <f>L2792+IF(K2793&gt;0,K2793*Summary!$B$9,K2793/Summary!$B$9)</f>
        <v/>
      </c>
      <c r="M2793" s="11">
        <f>G2793+H2793</f>
        <v/>
      </c>
      <c r="N2793" s="11">
        <f>Summary!$C$16*Summary!$B$8</f>
        <v/>
      </c>
      <c r="O2793" s="11">
        <f>M2793-N2793</f>
        <v/>
      </c>
    </row>
    <row r="2794">
      <c r="A2794" s="9" t="n">
        <v>45408.33333333334</v>
      </c>
      <c r="B2794" t="n">
        <v>4</v>
      </c>
      <c r="C2794" t="n">
        <v>26</v>
      </c>
      <c r="D2794" t="n">
        <v>8</v>
      </c>
      <c r="E2794" s="10" t="n">
        <v>0.142308</v>
      </c>
      <c r="F2794" s="10" t="n">
        <v>0.1681521523565166</v>
      </c>
      <c r="G2794" s="11">
        <f>E2794*Summary!$B$6</f>
        <v/>
      </c>
      <c r="H2794" s="11">
        <f>F2794*Summary!$B$7</f>
        <v/>
      </c>
      <c r="I2794" s="11">
        <f>MAX(0,N2794-M2794)</f>
        <v/>
      </c>
      <c r="J2794" s="11">
        <f>MAX(0,M2794-N2794)</f>
        <v/>
      </c>
      <c r="K2794" s="11">
        <f>O2794</f>
        <v/>
      </c>
      <c r="L2794" s="11">
        <f>L2793+IF(K2794&gt;0,K2794*Summary!$B$9,K2794/Summary!$B$9)</f>
        <v/>
      </c>
      <c r="M2794" s="11">
        <f>G2794+H2794</f>
        <v/>
      </c>
      <c r="N2794" s="11">
        <f>Summary!$C$16*Summary!$B$8</f>
        <v/>
      </c>
      <c r="O2794" s="11">
        <f>M2794-N2794</f>
        <v/>
      </c>
    </row>
    <row r="2795">
      <c r="A2795" s="9" t="n">
        <v>45408.375</v>
      </c>
      <c r="B2795" t="n">
        <v>4</v>
      </c>
      <c r="C2795" t="n">
        <v>26</v>
      </c>
      <c r="D2795" t="n">
        <v>9</v>
      </c>
      <c r="E2795" s="10" t="n">
        <v>0.203886</v>
      </c>
      <c r="F2795" s="10" t="n">
        <v>0.1644101674584402</v>
      </c>
      <c r="G2795" s="11">
        <f>E2795*Summary!$B$6</f>
        <v/>
      </c>
      <c r="H2795" s="11">
        <f>F2795*Summary!$B$7</f>
        <v/>
      </c>
      <c r="I2795" s="11">
        <f>MAX(0,N2795-M2795)</f>
        <v/>
      </c>
      <c r="J2795" s="11">
        <f>MAX(0,M2795-N2795)</f>
        <v/>
      </c>
      <c r="K2795" s="11">
        <f>O2795</f>
        <v/>
      </c>
      <c r="L2795" s="11">
        <f>L2794+IF(K2795&gt;0,K2795*Summary!$B$9,K2795/Summary!$B$9)</f>
        <v/>
      </c>
      <c r="M2795" s="11">
        <f>G2795+H2795</f>
        <v/>
      </c>
      <c r="N2795" s="11">
        <f>Summary!$C$16*Summary!$B$8</f>
        <v/>
      </c>
      <c r="O2795" s="11">
        <f>M2795-N2795</f>
        <v/>
      </c>
    </row>
    <row r="2796">
      <c r="A2796" s="9" t="n">
        <v>45408.41666666666</v>
      </c>
      <c r="B2796" t="n">
        <v>4</v>
      </c>
      <c r="C2796" t="n">
        <v>26</v>
      </c>
      <c r="D2796" t="n">
        <v>10</v>
      </c>
      <c r="E2796" s="10" t="n">
        <v>0.175301</v>
      </c>
      <c r="F2796" s="10" t="n">
        <v>0.1642784074268178</v>
      </c>
      <c r="G2796" s="11">
        <f>E2796*Summary!$B$6</f>
        <v/>
      </c>
      <c r="H2796" s="11">
        <f>F2796*Summary!$B$7</f>
        <v/>
      </c>
      <c r="I2796" s="11">
        <f>MAX(0,N2796-M2796)</f>
        <v/>
      </c>
      <c r="J2796" s="11">
        <f>MAX(0,M2796-N2796)</f>
        <v/>
      </c>
      <c r="K2796" s="11">
        <f>O2796</f>
        <v/>
      </c>
      <c r="L2796" s="11">
        <f>L2795+IF(K2796&gt;0,K2796*Summary!$B$9,K2796/Summary!$B$9)</f>
        <v/>
      </c>
      <c r="M2796" s="11">
        <f>G2796+H2796</f>
        <v/>
      </c>
      <c r="N2796" s="11">
        <f>Summary!$C$16*Summary!$B$8</f>
        <v/>
      </c>
      <c r="O2796" s="11">
        <f>M2796-N2796</f>
        <v/>
      </c>
    </row>
    <row r="2797">
      <c r="A2797" s="9" t="n">
        <v>45408.45833333334</v>
      </c>
      <c r="B2797" t="n">
        <v>4</v>
      </c>
      <c r="C2797" t="n">
        <v>26</v>
      </c>
      <c r="D2797" t="n">
        <v>11</v>
      </c>
      <c r="E2797" s="10" t="n">
        <v>0.283561</v>
      </c>
      <c r="F2797" s="10" t="n">
        <v>0.1691535285968468</v>
      </c>
      <c r="G2797" s="11">
        <f>E2797*Summary!$B$6</f>
        <v/>
      </c>
      <c r="H2797" s="11">
        <f>F2797*Summary!$B$7</f>
        <v/>
      </c>
      <c r="I2797" s="11">
        <f>MAX(0,N2797-M2797)</f>
        <v/>
      </c>
      <c r="J2797" s="11">
        <f>MAX(0,M2797-N2797)</f>
        <v/>
      </c>
      <c r="K2797" s="11">
        <f>O2797</f>
        <v/>
      </c>
      <c r="L2797" s="11">
        <f>L2796+IF(K2797&gt;0,K2797*Summary!$B$9,K2797/Summary!$B$9)</f>
        <v/>
      </c>
      <c r="M2797" s="11">
        <f>G2797+H2797</f>
        <v/>
      </c>
      <c r="N2797" s="11">
        <f>Summary!$C$16*Summary!$B$8</f>
        <v/>
      </c>
      <c r="O2797" s="11">
        <f>M2797-N2797</f>
        <v/>
      </c>
    </row>
    <row r="2798">
      <c r="A2798" s="9" t="n">
        <v>45408.5</v>
      </c>
      <c r="B2798" t="n">
        <v>4</v>
      </c>
      <c r="C2798" t="n">
        <v>26</v>
      </c>
      <c r="D2798" t="n">
        <v>12</v>
      </c>
      <c r="E2798" s="10" t="n">
        <v>0.25718</v>
      </c>
      <c r="F2798" s="10" t="n">
        <v>0.172552937412705</v>
      </c>
      <c r="G2798" s="11">
        <f>E2798*Summary!$B$6</f>
        <v/>
      </c>
      <c r="H2798" s="11">
        <f>F2798*Summary!$B$7</f>
        <v/>
      </c>
      <c r="I2798" s="11">
        <f>MAX(0,N2798-M2798)</f>
        <v/>
      </c>
      <c r="J2798" s="11">
        <f>MAX(0,M2798-N2798)</f>
        <v/>
      </c>
      <c r="K2798" s="11">
        <f>O2798</f>
        <v/>
      </c>
      <c r="L2798" s="11">
        <f>L2797+IF(K2798&gt;0,K2798*Summary!$B$9,K2798/Summary!$B$9)</f>
        <v/>
      </c>
      <c r="M2798" s="11">
        <f>G2798+H2798</f>
        <v/>
      </c>
      <c r="N2798" s="11">
        <f>Summary!$C$16*Summary!$B$8</f>
        <v/>
      </c>
      <c r="O2798" s="11">
        <f>M2798-N2798</f>
        <v/>
      </c>
    </row>
    <row r="2799">
      <c r="A2799" s="9" t="n">
        <v>45408.54166666666</v>
      </c>
      <c r="B2799" t="n">
        <v>4</v>
      </c>
      <c r="C2799" t="n">
        <v>26</v>
      </c>
      <c r="D2799" t="n">
        <v>13</v>
      </c>
      <c r="E2799" s="10" t="n">
        <v>0.378305</v>
      </c>
      <c r="F2799" s="10" t="n">
        <v>0.1777179306523034</v>
      </c>
      <c r="G2799" s="11">
        <f>E2799*Summary!$B$6</f>
        <v/>
      </c>
      <c r="H2799" s="11">
        <f>F2799*Summary!$B$7</f>
        <v/>
      </c>
      <c r="I2799" s="11">
        <f>MAX(0,N2799-M2799)</f>
        <v/>
      </c>
      <c r="J2799" s="11">
        <f>MAX(0,M2799-N2799)</f>
        <v/>
      </c>
      <c r="K2799" s="11">
        <f>O2799</f>
        <v/>
      </c>
      <c r="L2799" s="11">
        <f>L2798+IF(K2799&gt;0,K2799*Summary!$B$9,K2799/Summary!$B$9)</f>
        <v/>
      </c>
      <c r="M2799" s="11">
        <f>G2799+H2799</f>
        <v/>
      </c>
      <c r="N2799" s="11">
        <f>Summary!$C$16*Summary!$B$8</f>
        <v/>
      </c>
      <c r="O2799" s="11">
        <f>M2799-N2799</f>
        <v/>
      </c>
    </row>
    <row r="2800">
      <c r="A2800" s="9" t="n">
        <v>45408.58333333334</v>
      </c>
      <c r="B2800" t="n">
        <v>4</v>
      </c>
      <c r="C2800" t="n">
        <v>26</v>
      </c>
      <c r="D2800" t="n">
        <v>14</v>
      </c>
      <c r="E2800" s="10" t="n">
        <v>0.448061</v>
      </c>
      <c r="F2800" s="10" t="n">
        <v>0.1778760426902503</v>
      </c>
      <c r="G2800" s="11">
        <f>E2800*Summary!$B$6</f>
        <v/>
      </c>
      <c r="H2800" s="11">
        <f>F2800*Summary!$B$7</f>
        <v/>
      </c>
      <c r="I2800" s="11">
        <f>MAX(0,N2800-M2800)</f>
        <v/>
      </c>
      <c r="J2800" s="11">
        <f>MAX(0,M2800-N2800)</f>
        <v/>
      </c>
      <c r="K2800" s="11">
        <f>O2800</f>
        <v/>
      </c>
      <c r="L2800" s="11">
        <f>L2799+IF(K2800&gt;0,K2800*Summary!$B$9,K2800/Summary!$B$9)</f>
        <v/>
      </c>
      <c r="M2800" s="11">
        <f>G2800+H2800</f>
        <v/>
      </c>
      <c r="N2800" s="11">
        <f>Summary!$C$16*Summary!$B$8</f>
        <v/>
      </c>
      <c r="O2800" s="11">
        <f>M2800-N2800</f>
        <v/>
      </c>
    </row>
    <row r="2801">
      <c r="A2801" s="9" t="n">
        <v>45408.625</v>
      </c>
      <c r="B2801" t="n">
        <v>4</v>
      </c>
      <c r="C2801" t="n">
        <v>26</v>
      </c>
      <c r="D2801" t="n">
        <v>15</v>
      </c>
      <c r="E2801" s="10" t="n">
        <v>0.451867</v>
      </c>
      <c r="F2801" s="10" t="n">
        <v>0.177533466608032</v>
      </c>
      <c r="G2801" s="11">
        <f>E2801*Summary!$B$6</f>
        <v/>
      </c>
      <c r="H2801" s="11">
        <f>F2801*Summary!$B$7</f>
        <v/>
      </c>
      <c r="I2801" s="11">
        <f>MAX(0,N2801-M2801)</f>
        <v/>
      </c>
      <c r="J2801" s="11">
        <f>MAX(0,M2801-N2801)</f>
        <v/>
      </c>
      <c r="K2801" s="11">
        <f>O2801</f>
        <v/>
      </c>
      <c r="L2801" s="11">
        <f>L2800+IF(K2801&gt;0,K2801*Summary!$B$9,K2801/Summary!$B$9)</f>
        <v/>
      </c>
      <c r="M2801" s="11">
        <f>G2801+H2801</f>
        <v/>
      </c>
      <c r="N2801" s="11">
        <f>Summary!$C$16*Summary!$B$8</f>
        <v/>
      </c>
      <c r="O2801" s="11">
        <f>M2801-N2801</f>
        <v/>
      </c>
    </row>
    <row r="2802">
      <c r="A2802" s="9" t="n">
        <v>45408.66666666666</v>
      </c>
      <c r="B2802" t="n">
        <v>4</v>
      </c>
      <c r="C2802" t="n">
        <v>26</v>
      </c>
      <c r="D2802" t="n">
        <v>16</v>
      </c>
      <c r="E2802" s="10" t="n">
        <v>0.300162</v>
      </c>
      <c r="F2802" s="10" t="n">
        <v>0.1734489056277373</v>
      </c>
      <c r="G2802" s="11">
        <f>E2802*Summary!$B$6</f>
        <v/>
      </c>
      <c r="H2802" s="11">
        <f>F2802*Summary!$B$7</f>
        <v/>
      </c>
      <c r="I2802" s="11">
        <f>MAX(0,N2802-M2802)</f>
        <v/>
      </c>
      <c r="J2802" s="11">
        <f>MAX(0,M2802-N2802)</f>
        <v/>
      </c>
      <c r="K2802" s="11">
        <f>O2802</f>
        <v/>
      </c>
      <c r="L2802" s="11">
        <f>L2801+IF(K2802&gt;0,K2802*Summary!$B$9,K2802/Summary!$B$9)</f>
        <v/>
      </c>
      <c r="M2802" s="11">
        <f>G2802+H2802</f>
        <v/>
      </c>
      <c r="N2802" s="11">
        <f>Summary!$C$16*Summary!$B$8</f>
        <v/>
      </c>
      <c r="O2802" s="11">
        <f>M2802-N2802</f>
        <v/>
      </c>
    </row>
    <row r="2803">
      <c r="A2803" s="9" t="n">
        <v>45408.70833333334</v>
      </c>
      <c r="B2803" t="n">
        <v>4</v>
      </c>
      <c r="C2803" t="n">
        <v>26</v>
      </c>
      <c r="D2803" t="n">
        <v>17</v>
      </c>
      <c r="E2803" s="10" t="n">
        <v>0.108786</v>
      </c>
      <c r="F2803" s="10" t="n">
        <v>0.1621965989271837</v>
      </c>
      <c r="G2803" s="11">
        <f>E2803*Summary!$B$6</f>
        <v/>
      </c>
      <c r="H2803" s="11">
        <f>F2803*Summary!$B$7</f>
        <v/>
      </c>
      <c r="I2803" s="11">
        <f>MAX(0,N2803-M2803)</f>
        <v/>
      </c>
      <c r="J2803" s="11">
        <f>MAX(0,M2803-N2803)</f>
        <v/>
      </c>
      <c r="K2803" s="11">
        <f>O2803</f>
        <v/>
      </c>
      <c r="L2803" s="11">
        <f>L2802+IF(K2803&gt;0,K2803*Summary!$B$9,K2803/Summary!$B$9)</f>
        <v/>
      </c>
      <c r="M2803" s="11">
        <f>G2803+H2803</f>
        <v/>
      </c>
      <c r="N2803" s="11">
        <f>Summary!$C$16*Summary!$B$8</f>
        <v/>
      </c>
      <c r="O2803" s="11">
        <f>M2803-N2803</f>
        <v/>
      </c>
    </row>
    <row r="2804">
      <c r="A2804" s="9" t="n">
        <v>45408.75</v>
      </c>
      <c r="B2804" t="n">
        <v>4</v>
      </c>
      <c r="C2804" t="n">
        <v>26</v>
      </c>
      <c r="D2804" t="n">
        <v>18</v>
      </c>
      <c r="E2804" s="10" t="n">
        <v>0.035705</v>
      </c>
      <c r="F2804" s="10" t="n">
        <v>0.154659925118382</v>
      </c>
      <c r="G2804" s="11">
        <f>E2804*Summary!$B$6</f>
        <v/>
      </c>
      <c r="H2804" s="11">
        <f>F2804*Summary!$B$7</f>
        <v/>
      </c>
      <c r="I2804" s="11">
        <f>MAX(0,N2804-M2804)</f>
        <v/>
      </c>
      <c r="J2804" s="11">
        <f>MAX(0,M2804-N2804)</f>
        <v/>
      </c>
      <c r="K2804" s="11">
        <f>O2804</f>
        <v/>
      </c>
      <c r="L2804" s="11">
        <f>L2803+IF(K2804&gt;0,K2804*Summary!$B$9,K2804/Summary!$B$9)</f>
        <v/>
      </c>
      <c r="M2804" s="11">
        <f>G2804+H2804</f>
        <v/>
      </c>
      <c r="N2804" s="11">
        <f>Summary!$C$16*Summary!$B$8</f>
        <v/>
      </c>
      <c r="O2804" s="11">
        <f>M2804-N2804</f>
        <v/>
      </c>
    </row>
    <row r="2805">
      <c r="A2805" s="9" t="n">
        <v>45408.79166666666</v>
      </c>
      <c r="B2805" t="n">
        <v>4</v>
      </c>
      <c r="C2805" t="n">
        <v>26</v>
      </c>
      <c r="D2805" t="n">
        <v>19</v>
      </c>
      <c r="E2805" s="10" t="n">
        <v>0</v>
      </c>
      <c r="F2805" s="10" t="n">
        <v>0.1586390780733787</v>
      </c>
      <c r="G2805" s="11">
        <f>E2805*Summary!$B$6</f>
        <v/>
      </c>
      <c r="H2805" s="11">
        <f>F2805*Summary!$B$7</f>
        <v/>
      </c>
      <c r="I2805" s="11">
        <f>MAX(0,N2805-M2805)</f>
        <v/>
      </c>
      <c r="J2805" s="11">
        <f>MAX(0,M2805-N2805)</f>
        <v/>
      </c>
      <c r="K2805" s="11">
        <f>O2805</f>
        <v/>
      </c>
      <c r="L2805" s="11">
        <f>L2804+IF(K2805&gt;0,K2805*Summary!$B$9,K2805/Summary!$B$9)</f>
        <v/>
      </c>
      <c r="M2805" s="11">
        <f>G2805+H2805</f>
        <v/>
      </c>
      <c r="N2805" s="11">
        <f>Summary!$C$16*Summary!$B$8</f>
        <v/>
      </c>
      <c r="O2805" s="11">
        <f>M2805-N2805</f>
        <v/>
      </c>
    </row>
    <row r="2806">
      <c r="A2806" s="9" t="n">
        <v>45408.83333333334</v>
      </c>
      <c r="B2806" t="n">
        <v>4</v>
      </c>
      <c r="C2806" t="n">
        <v>26</v>
      </c>
      <c r="D2806" t="n">
        <v>20</v>
      </c>
      <c r="E2806" s="10" t="n">
        <v>0</v>
      </c>
      <c r="F2806" s="10" t="n">
        <v>0.1767429064182976</v>
      </c>
      <c r="G2806" s="11">
        <f>E2806*Summary!$B$6</f>
        <v/>
      </c>
      <c r="H2806" s="11">
        <f>F2806*Summary!$B$7</f>
        <v/>
      </c>
      <c r="I2806" s="11">
        <f>MAX(0,N2806-M2806)</f>
        <v/>
      </c>
      <c r="J2806" s="11">
        <f>MAX(0,M2806-N2806)</f>
        <v/>
      </c>
      <c r="K2806" s="11">
        <f>O2806</f>
        <v/>
      </c>
      <c r="L2806" s="11">
        <f>L2805+IF(K2806&gt;0,K2806*Summary!$B$9,K2806/Summary!$B$9)</f>
        <v/>
      </c>
      <c r="M2806" s="11">
        <f>G2806+H2806</f>
        <v/>
      </c>
      <c r="N2806" s="11">
        <f>Summary!$C$16*Summary!$B$8</f>
        <v/>
      </c>
      <c r="O2806" s="11">
        <f>M2806-N2806</f>
        <v/>
      </c>
    </row>
    <row r="2807">
      <c r="A2807" s="9" t="n">
        <v>45408.875</v>
      </c>
      <c r="B2807" t="n">
        <v>4</v>
      </c>
      <c r="C2807" t="n">
        <v>26</v>
      </c>
      <c r="D2807" t="n">
        <v>21</v>
      </c>
      <c r="E2807" s="10" t="n">
        <v>0</v>
      </c>
      <c r="F2807" s="10" t="n">
        <v>0.1972447673387442</v>
      </c>
      <c r="G2807" s="11">
        <f>E2807*Summary!$B$6</f>
        <v/>
      </c>
      <c r="H2807" s="11">
        <f>F2807*Summary!$B$7</f>
        <v/>
      </c>
      <c r="I2807" s="11">
        <f>MAX(0,N2807-M2807)</f>
        <v/>
      </c>
      <c r="J2807" s="11">
        <f>MAX(0,M2807-N2807)</f>
        <v/>
      </c>
      <c r="K2807" s="11">
        <f>O2807</f>
        <v/>
      </c>
      <c r="L2807" s="11">
        <f>L2806+IF(K2807&gt;0,K2807*Summary!$B$9,K2807/Summary!$B$9)</f>
        <v/>
      </c>
      <c r="M2807" s="11">
        <f>G2807+H2807</f>
        <v/>
      </c>
      <c r="N2807" s="11">
        <f>Summary!$C$16*Summary!$B$8</f>
        <v/>
      </c>
      <c r="O2807" s="11">
        <f>M2807-N2807</f>
        <v/>
      </c>
    </row>
    <row r="2808">
      <c r="A2808" s="9" t="n">
        <v>45408.91666666666</v>
      </c>
      <c r="B2808" t="n">
        <v>4</v>
      </c>
      <c r="C2808" t="n">
        <v>26</v>
      </c>
      <c r="D2808" t="n">
        <v>22</v>
      </c>
      <c r="E2808" s="10" t="n">
        <v>0</v>
      </c>
      <c r="F2808" s="10" t="n">
        <v>0.2087078900898936</v>
      </c>
      <c r="G2808" s="11">
        <f>E2808*Summary!$B$6</f>
        <v/>
      </c>
      <c r="H2808" s="11">
        <f>F2808*Summary!$B$7</f>
        <v/>
      </c>
      <c r="I2808" s="11">
        <f>MAX(0,N2808-M2808)</f>
        <v/>
      </c>
      <c r="J2808" s="11">
        <f>MAX(0,M2808-N2808)</f>
        <v/>
      </c>
      <c r="K2808" s="11">
        <f>O2808</f>
        <v/>
      </c>
      <c r="L2808" s="11">
        <f>L2807+IF(K2808&gt;0,K2808*Summary!$B$9,K2808/Summary!$B$9)</f>
        <v/>
      </c>
      <c r="M2808" s="11">
        <f>G2808+H2808</f>
        <v/>
      </c>
      <c r="N2808" s="11">
        <f>Summary!$C$16*Summary!$B$8</f>
        <v/>
      </c>
      <c r="O2808" s="11">
        <f>M2808-N2808</f>
        <v/>
      </c>
    </row>
    <row r="2809">
      <c r="A2809" s="9" t="n">
        <v>45408.95833333334</v>
      </c>
      <c r="B2809" t="n">
        <v>4</v>
      </c>
      <c r="C2809" t="n">
        <v>26</v>
      </c>
      <c r="D2809" t="n">
        <v>23</v>
      </c>
      <c r="E2809" s="10" t="n">
        <v>0</v>
      </c>
      <c r="F2809" s="10" t="n">
        <v>0.2113430907223418</v>
      </c>
      <c r="G2809" s="11">
        <f>E2809*Summary!$B$6</f>
        <v/>
      </c>
      <c r="H2809" s="11">
        <f>F2809*Summary!$B$7</f>
        <v/>
      </c>
      <c r="I2809" s="11">
        <f>MAX(0,N2809-M2809)</f>
        <v/>
      </c>
      <c r="J2809" s="11">
        <f>MAX(0,M2809-N2809)</f>
        <v/>
      </c>
      <c r="K2809" s="11">
        <f>O2809</f>
        <v/>
      </c>
      <c r="L2809" s="11">
        <f>L2808+IF(K2809&gt;0,K2809*Summary!$B$9,K2809/Summary!$B$9)</f>
        <v/>
      </c>
      <c r="M2809" s="11">
        <f>G2809+H2809</f>
        <v/>
      </c>
      <c r="N2809" s="11">
        <f>Summary!$C$16*Summary!$B$8</f>
        <v/>
      </c>
      <c r="O2809" s="11">
        <f>M2809-N2809</f>
        <v/>
      </c>
    </row>
    <row r="2810">
      <c r="A2810" s="9" t="n">
        <v>45409</v>
      </c>
      <c r="B2810" t="n">
        <v>4</v>
      </c>
      <c r="C2810" t="n">
        <v>27</v>
      </c>
      <c r="D2810" t="n">
        <v>0</v>
      </c>
      <c r="E2810" s="10" t="n">
        <v>0</v>
      </c>
      <c r="F2810" s="10" t="n">
        <v>0.2476298034311528</v>
      </c>
      <c r="G2810" s="11">
        <f>E2810*Summary!$B$6</f>
        <v/>
      </c>
      <c r="H2810" s="11">
        <f>F2810*Summary!$B$7</f>
        <v/>
      </c>
      <c r="I2810" s="11">
        <f>MAX(0,N2810-M2810)</f>
        <v/>
      </c>
      <c r="J2810" s="11">
        <f>MAX(0,M2810-N2810)</f>
        <v/>
      </c>
      <c r="K2810" s="11">
        <f>O2810</f>
        <v/>
      </c>
      <c r="L2810" s="11">
        <f>L2809+IF(K2810&gt;0,K2810*Summary!$B$9,K2810/Summary!$B$9)</f>
        <v/>
      </c>
      <c r="M2810" s="11">
        <f>G2810+H2810</f>
        <v/>
      </c>
      <c r="N2810" s="11">
        <f>Summary!$C$16*Summary!$B$8</f>
        <v/>
      </c>
      <c r="O2810" s="11">
        <f>M2810-N2810</f>
        <v/>
      </c>
    </row>
    <row r="2811">
      <c r="A2811" s="9" t="n">
        <v>45409.04166666666</v>
      </c>
      <c r="B2811" t="n">
        <v>4</v>
      </c>
      <c r="C2811" t="n">
        <v>27</v>
      </c>
      <c r="D2811" t="n">
        <v>1</v>
      </c>
      <c r="E2811" s="10" t="n">
        <v>0</v>
      </c>
      <c r="F2811" s="10" t="n">
        <v>0.2118174268361824</v>
      </c>
      <c r="G2811" s="11">
        <f>E2811*Summary!$B$6</f>
        <v/>
      </c>
      <c r="H2811" s="11">
        <f>F2811*Summary!$B$7</f>
        <v/>
      </c>
      <c r="I2811" s="11">
        <f>MAX(0,N2811-M2811)</f>
        <v/>
      </c>
      <c r="J2811" s="11">
        <f>MAX(0,M2811-N2811)</f>
        <v/>
      </c>
      <c r="K2811" s="11">
        <f>O2811</f>
        <v/>
      </c>
      <c r="L2811" s="11">
        <f>L2810+IF(K2811&gt;0,K2811*Summary!$B$9,K2811/Summary!$B$9)</f>
        <v/>
      </c>
      <c r="M2811" s="11">
        <f>G2811+H2811</f>
        <v/>
      </c>
      <c r="N2811" s="11">
        <f>Summary!$C$16*Summary!$B$8</f>
        <v/>
      </c>
      <c r="O2811" s="11">
        <f>M2811-N2811</f>
        <v/>
      </c>
    </row>
    <row r="2812">
      <c r="A2812" s="9" t="n">
        <v>45409.08333333334</v>
      </c>
      <c r="B2812" t="n">
        <v>4</v>
      </c>
      <c r="C2812" t="n">
        <v>27</v>
      </c>
      <c r="D2812" t="n">
        <v>2</v>
      </c>
      <c r="E2812" s="10" t="n">
        <v>0</v>
      </c>
      <c r="F2812" s="10" t="n">
        <v>0.2233596056063053</v>
      </c>
      <c r="G2812" s="11">
        <f>E2812*Summary!$B$6</f>
        <v/>
      </c>
      <c r="H2812" s="11">
        <f>F2812*Summary!$B$7</f>
        <v/>
      </c>
      <c r="I2812" s="11">
        <f>MAX(0,N2812-M2812)</f>
        <v/>
      </c>
      <c r="J2812" s="11">
        <f>MAX(0,M2812-N2812)</f>
        <v/>
      </c>
      <c r="K2812" s="11">
        <f>O2812</f>
        <v/>
      </c>
      <c r="L2812" s="11">
        <f>L2811+IF(K2812&gt;0,K2812*Summary!$B$9,K2812/Summary!$B$9)</f>
        <v/>
      </c>
      <c r="M2812" s="11">
        <f>G2812+H2812</f>
        <v/>
      </c>
      <c r="N2812" s="11">
        <f>Summary!$C$16*Summary!$B$8</f>
        <v/>
      </c>
      <c r="O2812" s="11">
        <f>M2812-N2812</f>
        <v/>
      </c>
    </row>
    <row r="2813">
      <c r="A2813" s="9" t="n">
        <v>45409.125</v>
      </c>
      <c r="B2813" t="n">
        <v>4</v>
      </c>
      <c r="C2813" t="n">
        <v>27</v>
      </c>
      <c r="D2813" t="n">
        <v>3</v>
      </c>
      <c r="E2813" s="10" t="n">
        <v>0</v>
      </c>
      <c r="F2813" s="10" t="n">
        <v>0.2236758296821991</v>
      </c>
      <c r="G2813" s="11">
        <f>E2813*Summary!$B$6</f>
        <v/>
      </c>
      <c r="H2813" s="11">
        <f>F2813*Summary!$B$7</f>
        <v/>
      </c>
      <c r="I2813" s="11">
        <f>MAX(0,N2813-M2813)</f>
        <v/>
      </c>
      <c r="J2813" s="11">
        <f>MAX(0,M2813-N2813)</f>
        <v/>
      </c>
      <c r="K2813" s="11">
        <f>O2813</f>
        <v/>
      </c>
      <c r="L2813" s="11">
        <f>L2812+IF(K2813&gt;0,K2813*Summary!$B$9,K2813/Summary!$B$9)</f>
        <v/>
      </c>
      <c r="M2813" s="11">
        <f>G2813+H2813</f>
        <v/>
      </c>
      <c r="N2813" s="11">
        <f>Summary!$C$16*Summary!$B$8</f>
        <v/>
      </c>
      <c r="O2813" s="11">
        <f>M2813-N2813</f>
        <v/>
      </c>
    </row>
    <row r="2814">
      <c r="A2814" s="9" t="n">
        <v>45409.16666666666</v>
      </c>
      <c r="B2814" t="n">
        <v>4</v>
      </c>
      <c r="C2814" t="n">
        <v>27</v>
      </c>
      <c r="D2814" t="n">
        <v>4</v>
      </c>
      <c r="E2814" s="10" t="n">
        <v>0</v>
      </c>
      <c r="F2814" s="10" t="n">
        <v>0.2062308014953924</v>
      </c>
      <c r="G2814" s="11">
        <f>E2814*Summary!$B$6</f>
        <v/>
      </c>
      <c r="H2814" s="11">
        <f>F2814*Summary!$B$7</f>
        <v/>
      </c>
      <c r="I2814" s="11">
        <f>MAX(0,N2814-M2814)</f>
        <v/>
      </c>
      <c r="J2814" s="11">
        <f>MAX(0,M2814-N2814)</f>
        <v/>
      </c>
      <c r="K2814" s="11">
        <f>O2814</f>
        <v/>
      </c>
      <c r="L2814" s="11">
        <f>L2813+IF(K2814&gt;0,K2814*Summary!$B$9,K2814/Summary!$B$9)</f>
        <v/>
      </c>
      <c r="M2814" s="11">
        <f>G2814+H2814</f>
        <v/>
      </c>
      <c r="N2814" s="11">
        <f>Summary!$C$16*Summary!$B$8</f>
        <v/>
      </c>
      <c r="O2814" s="11">
        <f>M2814-N2814</f>
        <v/>
      </c>
    </row>
    <row r="2815">
      <c r="A2815" s="9" t="n">
        <v>45409.20833333334</v>
      </c>
      <c r="B2815" t="n">
        <v>4</v>
      </c>
      <c r="C2815" t="n">
        <v>27</v>
      </c>
      <c r="D2815" t="n">
        <v>5</v>
      </c>
      <c r="E2815" s="10" t="n">
        <v>0.005006</v>
      </c>
      <c r="F2815" s="10" t="n">
        <v>0.1940298225671574</v>
      </c>
      <c r="G2815" s="11">
        <f>E2815*Summary!$B$6</f>
        <v/>
      </c>
      <c r="H2815" s="11">
        <f>F2815*Summary!$B$7</f>
        <v/>
      </c>
      <c r="I2815" s="11">
        <f>MAX(0,N2815-M2815)</f>
        <v/>
      </c>
      <c r="J2815" s="11">
        <f>MAX(0,M2815-N2815)</f>
        <v/>
      </c>
      <c r="K2815" s="11">
        <f>O2815</f>
        <v/>
      </c>
      <c r="L2815" s="11">
        <f>L2814+IF(K2815&gt;0,K2815*Summary!$B$9,K2815/Summary!$B$9)</f>
        <v/>
      </c>
      <c r="M2815" s="11">
        <f>G2815+H2815</f>
        <v/>
      </c>
      <c r="N2815" s="11">
        <f>Summary!$C$16*Summary!$B$8</f>
        <v/>
      </c>
      <c r="O2815" s="11">
        <f>M2815-N2815</f>
        <v/>
      </c>
    </row>
    <row r="2816">
      <c r="A2816" s="9" t="n">
        <v>45409.25</v>
      </c>
      <c r="B2816" t="n">
        <v>4</v>
      </c>
      <c r="C2816" t="n">
        <v>27</v>
      </c>
      <c r="D2816" t="n">
        <v>6</v>
      </c>
      <c r="E2816" s="10" t="n">
        <v>0.013711</v>
      </c>
      <c r="F2816" s="10" t="n">
        <v>0.1654905997177439</v>
      </c>
      <c r="G2816" s="11">
        <f>E2816*Summary!$B$6</f>
        <v/>
      </c>
      <c r="H2816" s="11">
        <f>F2816*Summary!$B$7</f>
        <v/>
      </c>
      <c r="I2816" s="11">
        <f>MAX(0,N2816-M2816)</f>
        <v/>
      </c>
      <c r="J2816" s="11">
        <f>MAX(0,M2816-N2816)</f>
        <v/>
      </c>
      <c r="K2816" s="11">
        <f>O2816</f>
        <v/>
      </c>
      <c r="L2816" s="11">
        <f>L2815+IF(K2816&gt;0,K2816*Summary!$B$9,K2816/Summary!$B$9)</f>
        <v/>
      </c>
      <c r="M2816" s="11">
        <f>G2816+H2816</f>
        <v/>
      </c>
      <c r="N2816" s="11">
        <f>Summary!$C$16*Summary!$B$8</f>
        <v/>
      </c>
      <c r="O2816" s="11">
        <f>M2816-N2816</f>
        <v/>
      </c>
    </row>
    <row r="2817">
      <c r="A2817" s="9" t="n">
        <v>45409.29166666666</v>
      </c>
      <c r="B2817" t="n">
        <v>4</v>
      </c>
      <c r="C2817" t="n">
        <v>27</v>
      </c>
      <c r="D2817" t="n">
        <v>7</v>
      </c>
      <c r="E2817" s="10" t="n">
        <v>0.106668</v>
      </c>
      <c r="F2817" s="10" t="n">
        <v>0.1426697622407429</v>
      </c>
      <c r="G2817" s="11">
        <f>E2817*Summary!$B$6</f>
        <v/>
      </c>
      <c r="H2817" s="11">
        <f>F2817*Summary!$B$7</f>
        <v/>
      </c>
      <c r="I2817" s="11">
        <f>MAX(0,N2817-M2817)</f>
        <v/>
      </c>
      <c r="J2817" s="11">
        <f>MAX(0,M2817-N2817)</f>
        <v/>
      </c>
      <c r="K2817" s="11">
        <f>O2817</f>
        <v/>
      </c>
      <c r="L2817" s="11">
        <f>L2816+IF(K2817&gt;0,K2817*Summary!$B$9,K2817/Summary!$B$9)</f>
        <v/>
      </c>
      <c r="M2817" s="11">
        <f>G2817+H2817</f>
        <v/>
      </c>
      <c r="N2817" s="11">
        <f>Summary!$C$16*Summary!$B$8</f>
        <v/>
      </c>
      <c r="O2817" s="11">
        <f>M2817-N2817</f>
        <v/>
      </c>
    </row>
    <row r="2818">
      <c r="A2818" s="9" t="n">
        <v>45409.33333333334</v>
      </c>
      <c r="B2818" t="n">
        <v>4</v>
      </c>
      <c r="C2818" t="n">
        <v>27</v>
      </c>
      <c r="D2818" t="n">
        <v>8</v>
      </c>
      <c r="E2818" s="10" t="n">
        <v>0.125452</v>
      </c>
      <c r="F2818" s="10" t="n">
        <v>0.1377946410707139</v>
      </c>
      <c r="G2818" s="11">
        <f>E2818*Summary!$B$6</f>
        <v/>
      </c>
      <c r="H2818" s="11">
        <f>F2818*Summary!$B$7</f>
        <v/>
      </c>
      <c r="I2818" s="11">
        <f>MAX(0,N2818-M2818)</f>
        <v/>
      </c>
      <c r="J2818" s="11">
        <f>MAX(0,M2818-N2818)</f>
        <v/>
      </c>
      <c r="K2818" s="11">
        <f>O2818</f>
        <v/>
      </c>
      <c r="L2818" s="11">
        <f>L2817+IF(K2818&gt;0,K2818*Summary!$B$9,K2818/Summary!$B$9)</f>
        <v/>
      </c>
      <c r="M2818" s="11">
        <f>G2818+H2818</f>
        <v/>
      </c>
      <c r="N2818" s="11">
        <f>Summary!$C$16*Summary!$B$8</f>
        <v/>
      </c>
      <c r="O2818" s="11">
        <f>M2818-N2818</f>
        <v/>
      </c>
    </row>
    <row r="2819">
      <c r="A2819" s="9" t="n">
        <v>45409.375</v>
      </c>
      <c r="B2819" t="n">
        <v>4</v>
      </c>
      <c r="C2819" t="n">
        <v>27</v>
      </c>
      <c r="D2819" t="n">
        <v>9</v>
      </c>
      <c r="E2819" s="10" t="n">
        <v>0.174361</v>
      </c>
      <c r="F2819" s="10" t="n">
        <v>0.1428805782913388</v>
      </c>
      <c r="G2819" s="11">
        <f>E2819*Summary!$B$6</f>
        <v/>
      </c>
      <c r="H2819" s="11">
        <f>F2819*Summary!$B$7</f>
        <v/>
      </c>
      <c r="I2819" s="11">
        <f>MAX(0,N2819-M2819)</f>
        <v/>
      </c>
      <c r="J2819" s="11">
        <f>MAX(0,M2819-N2819)</f>
        <v/>
      </c>
      <c r="K2819" s="11">
        <f>O2819</f>
        <v/>
      </c>
      <c r="L2819" s="11">
        <f>L2818+IF(K2819&gt;0,K2819*Summary!$B$9,K2819/Summary!$B$9)</f>
        <v/>
      </c>
      <c r="M2819" s="11">
        <f>G2819+H2819</f>
        <v/>
      </c>
      <c r="N2819" s="11">
        <f>Summary!$C$16*Summary!$B$8</f>
        <v/>
      </c>
      <c r="O2819" s="11">
        <f>M2819-N2819</f>
        <v/>
      </c>
    </row>
    <row r="2820">
      <c r="A2820" s="9" t="n">
        <v>45409.41666666666</v>
      </c>
      <c r="B2820" t="n">
        <v>4</v>
      </c>
      <c r="C2820" t="n">
        <v>27</v>
      </c>
      <c r="D2820" t="n">
        <v>10</v>
      </c>
      <c r="E2820" s="10" t="n">
        <v>0.143573</v>
      </c>
      <c r="F2820" s="10" t="n">
        <v>0.1557667093840102</v>
      </c>
      <c r="G2820" s="11">
        <f>E2820*Summary!$B$6</f>
        <v/>
      </c>
      <c r="H2820" s="11">
        <f>F2820*Summary!$B$7</f>
        <v/>
      </c>
      <c r="I2820" s="11">
        <f>MAX(0,N2820-M2820)</f>
        <v/>
      </c>
      <c r="J2820" s="11">
        <f>MAX(0,M2820-N2820)</f>
        <v/>
      </c>
      <c r="K2820" s="11">
        <f>O2820</f>
        <v/>
      </c>
      <c r="L2820" s="11">
        <f>L2819+IF(K2820&gt;0,K2820*Summary!$B$9,K2820/Summary!$B$9)</f>
        <v/>
      </c>
      <c r="M2820" s="11">
        <f>G2820+H2820</f>
        <v/>
      </c>
      <c r="N2820" s="11">
        <f>Summary!$C$16*Summary!$B$8</f>
        <v/>
      </c>
      <c r="O2820" s="11">
        <f>M2820-N2820</f>
        <v/>
      </c>
    </row>
    <row r="2821">
      <c r="A2821" s="9" t="n">
        <v>45409.45833333334</v>
      </c>
      <c r="B2821" t="n">
        <v>4</v>
      </c>
      <c r="C2821" t="n">
        <v>27</v>
      </c>
      <c r="D2821" t="n">
        <v>11</v>
      </c>
      <c r="E2821" s="10" t="n">
        <v>0.165139</v>
      </c>
      <c r="F2821" s="10" t="n">
        <v>0.1598512703643049</v>
      </c>
      <c r="G2821" s="11">
        <f>E2821*Summary!$B$6</f>
        <v/>
      </c>
      <c r="H2821" s="11">
        <f>F2821*Summary!$B$7</f>
        <v/>
      </c>
      <c r="I2821" s="11">
        <f>MAX(0,N2821-M2821)</f>
        <v/>
      </c>
      <c r="J2821" s="11">
        <f>MAX(0,M2821-N2821)</f>
        <v/>
      </c>
      <c r="K2821" s="11">
        <f>O2821</f>
        <v/>
      </c>
      <c r="L2821" s="11">
        <f>L2820+IF(K2821&gt;0,K2821*Summary!$B$9,K2821/Summary!$B$9)</f>
        <v/>
      </c>
      <c r="M2821" s="11">
        <f>G2821+H2821</f>
        <v/>
      </c>
      <c r="N2821" s="11">
        <f>Summary!$C$16*Summary!$B$8</f>
        <v/>
      </c>
      <c r="O2821" s="11">
        <f>M2821-N2821</f>
        <v/>
      </c>
    </row>
    <row r="2822">
      <c r="A2822" s="9" t="n">
        <v>45409.5</v>
      </c>
      <c r="B2822" t="n">
        <v>4</v>
      </c>
      <c r="C2822" t="n">
        <v>27</v>
      </c>
      <c r="D2822" t="n">
        <v>12</v>
      </c>
      <c r="E2822" s="10" t="n">
        <v>0.218979</v>
      </c>
      <c r="F2822" s="10" t="n">
        <v>0.1743448738427697</v>
      </c>
      <c r="G2822" s="11">
        <f>E2822*Summary!$B$6</f>
        <v/>
      </c>
      <c r="H2822" s="11">
        <f>F2822*Summary!$B$7</f>
        <v/>
      </c>
      <c r="I2822" s="11">
        <f>MAX(0,N2822-M2822)</f>
        <v/>
      </c>
      <c r="J2822" s="11">
        <f>MAX(0,M2822-N2822)</f>
        <v/>
      </c>
      <c r="K2822" s="11">
        <f>O2822</f>
        <v/>
      </c>
      <c r="L2822" s="11">
        <f>L2821+IF(K2822&gt;0,K2822*Summary!$B$9,K2822/Summary!$B$9)</f>
        <v/>
      </c>
      <c r="M2822" s="11">
        <f>G2822+H2822</f>
        <v/>
      </c>
      <c r="N2822" s="11">
        <f>Summary!$C$16*Summary!$B$8</f>
        <v/>
      </c>
      <c r="O2822" s="11">
        <f>M2822-N2822</f>
        <v/>
      </c>
    </row>
    <row r="2823">
      <c r="A2823" s="9" t="n">
        <v>45409.54166666666</v>
      </c>
      <c r="B2823" t="n">
        <v>4</v>
      </c>
      <c r="C2823" t="n">
        <v>27</v>
      </c>
      <c r="D2823" t="n">
        <v>13</v>
      </c>
      <c r="E2823" s="10" t="n">
        <v>0.296275</v>
      </c>
      <c r="F2823" s="10" t="n">
        <v>0.183172795961471</v>
      </c>
      <c r="G2823" s="11">
        <f>E2823*Summary!$B$6</f>
        <v/>
      </c>
      <c r="H2823" s="11">
        <f>F2823*Summary!$B$7</f>
        <v/>
      </c>
      <c r="I2823" s="11">
        <f>MAX(0,N2823-M2823)</f>
        <v/>
      </c>
      <c r="J2823" s="11">
        <f>MAX(0,M2823-N2823)</f>
        <v/>
      </c>
      <c r="K2823" s="11">
        <f>O2823</f>
        <v/>
      </c>
      <c r="L2823" s="11">
        <f>L2822+IF(K2823&gt;0,K2823*Summary!$B$9,K2823/Summary!$B$9)</f>
        <v/>
      </c>
      <c r="M2823" s="11">
        <f>G2823+H2823</f>
        <v/>
      </c>
      <c r="N2823" s="11">
        <f>Summary!$C$16*Summary!$B$8</f>
        <v/>
      </c>
      <c r="O2823" s="11">
        <f>M2823-N2823</f>
        <v/>
      </c>
    </row>
    <row r="2824">
      <c r="A2824" s="9" t="n">
        <v>45409.58333333334</v>
      </c>
      <c r="B2824" t="n">
        <v>4</v>
      </c>
      <c r="C2824" t="n">
        <v>27</v>
      </c>
      <c r="D2824" t="n">
        <v>14</v>
      </c>
      <c r="E2824" s="10" t="n">
        <v>0.389488</v>
      </c>
      <c r="F2824" s="10" t="n">
        <v>0.1849647323915358</v>
      </c>
      <c r="G2824" s="11">
        <f>E2824*Summary!$B$6</f>
        <v/>
      </c>
      <c r="H2824" s="11">
        <f>F2824*Summary!$B$7</f>
        <v/>
      </c>
      <c r="I2824" s="11">
        <f>MAX(0,N2824-M2824)</f>
        <v/>
      </c>
      <c r="J2824" s="11">
        <f>MAX(0,M2824-N2824)</f>
        <v/>
      </c>
      <c r="K2824" s="11">
        <f>O2824</f>
        <v/>
      </c>
      <c r="L2824" s="11">
        <f>L2823+IF(K2824&gt;0,K2824*Summary!$B$9,K2824/Summary!$B$9)</f>
        <v/>
      </c>
      <c r="M2824" s="11">
        <f>G2824+H2824</f>
        <v/>
      </c>
      <c r="N2824" s="11">
        <f>Summary!$C$16*Summary!$B$8</f>
        <v/>
      </c>
      <c r="O2824" s="11">
        <f>M2824-N2824</f>
        <v/>
      </c>
    </row>
    <row r="2825">
      <c r="A2825" s="9" t="n">
        <v>45409.625</v>
      </c>
      <c r="B2825" t="n">
        <v>4</v>
      </c>
      <c r="C2825" t="n">
        <v>27</v>
      </c>
      <c r="D2825" t="n">
        <v>15</v>
      </c>
      <c r="E2825" s="10" t="n">
        <v>0.318723</v>
      </c>
      <c r="F2825" s="10" t="n">
        <v>0.1976663994399359</v>
      </c>
      <c r="G2825" s="11">
        <f>E2825*Summary!$B$6</f>
        <v/>
      </c>
      <c r="H2825" s="11">
        <f>F2825*Summary!$B$7</f>
        <v/>
      </c>
      <c r="I2825" s="11">
        <f>MAX(0,N2825-M2825)</f>
        <v/>
      </c>
      <c r="J2825" s="11">
        <f>MAX(0,M2825-N2825)</f>
        <v/>
      </c>
      <c r="K2825" s="11">
        <f>O2825</f>
        <v/>
      </c>
      <c r="L2825" s="11">
        <f>L2824+IF(K2825&gt;0,K2825*Summary!$B$9,K2825/Summary!$B$9)</f>
        <v/>
      </c>
      <c r="M2825" s="11">
        <f>G2825+H2825</f>
        <v/>
      </c>
      <c r="N2825" s="11">
        <f>Summary!$C$16*Summary!$B$8</f>
        <v/>
      </c>
      <c r="O2825" s="11">
        <f>M2825-N2825</f>
        <v/>
      </c>
    </row>
    <row r="2826">
      <c r="A2826" s="9" t="n">
        <v>45409.66666666666</v>
      </c>
      <c r="B2826" t="n">
        <v>4</v>
      </c>
      <c r="C2826" t="n">
        <v>27</v>
      </c>
      <c r="D2826" t="n">
        <v>16</v>
      </c>
      <c r="E2826" s="10" t="n">
        <v>0.304094</v>
      </c>
      <c r="F2826" s="10" t="n">
        <v>0.1982461435790744</v>
      </c>
      <c r="G2826" s="11">
        <f>E2826*Summary!$B$6</f>
        <v/>
      </c>
      <c r="H2826" s="11">
        <f>F2826*Summary!$B$7</f>
        <v/>
      </c>
      <c r="I2826" s="11">
        <f>MAX(0,N2826-M2826)</f>
        <v/>
      </c>
      <c r="J2826" s="11">
        <f>MAX(0,M2826-N2826)</f>
        <v/>
      </c>
      <c r="K2826" s="11">
        <f>O2826</f>
        <v/>
      </c>
      <c r="L2826" s="11">
        <f>L2825+IF(K2826&gt;0,K2826*Summary!$B$9,K2826/Summary!$B$9)</f>
        <v/>
      </c>
      <c r="M2826" s="11">
        <f>G2826+H2826</f>
        <v/>
      </c>
      <c r="N2826" s="11">
        <f>Summary!$C$16*Summary!$B$8</f>
        <v/>
      </c>
      <c r="O2826" s="11">
        <f>M2826-N2826</f>
        <v/>
      </c>
    </row>
    <row r="2827">
      <c r="A2827" s="9" t="n">
        <v>45409.70833333334</v>
      </c>
      <c r="B2827" t="n">
        <v>4</v>
      </c>
      <c r="C2827" t="n">
        <v>27</v>
      </c>
      <c r="D2827" t="n">
        <v>17</v>
      </c>
      <c r="E2827" s="10" t="n">
        <v>0.114461</v>
      </c>
      <c r="F2827" s="10" t="n">
        <v>0.193186558364774</v>
      </c>
      <c r="G2827" s="11">
        <f>E2827*Summary!$B$6</f>
        <v/>
      </c>
      <c r="H2827" s="11">
        <f>F2827*Summary!$B$7</f>
        <v/>
      </c>
      <c r="I2827" s="11">
        <f>MAX(0,N2827-M2827)</f>
        <v/>
      </c>
      <c r="J2827" s="11">
        <f>MAX(0,M2827-N2827)</f>
        <v/>
      </c>
      <c r="K2827" s="11">
        <f>O2827</f>
        <v/>
      </c>
      <c r="L2827" s="11">
        <f>L2826+IF(K2827&gt;0,K2827*Summary!$B$9,K2827/Summary!$B$9)</f>
        <v/>
      </c>
      <c r="M2827" s="11">
        <f>G2827+H2827</f>
        <v/>
      </c>
      <c r="N2827" s="11">
        <f>Summary!$C$16*Summary!$B$8</f>
        <v/>
      </c>
      <c r="O2827" s="11">
        <f>M2827-N2827</f>
        <v/>
      </c>
    </row>
    <row r="2828">
      <c r="A2828" s="9" t="n">
        <v>45409.75</v>
      </c>
      <c r="B2828" t="n">
        <v>4</v>
      </c>
      <c r="C2828" t="n">
        <v>27</v>
      </c>
      <c r="D2828" t="n">
        <v>18</v>
      </c>
      <c r="E2828" s="10" t="n">
        <v>0.035406</v>
      </c>
      <c r="F2828" s="10" t="n">
        <v>0.1908939338145441</v>
      </c>
      <c r="G2828" s="11">
        <f>E2828*Summary!$B$6</f>
        <v/>
      </c>
      <c r="H2828" s="11">
        <f>F2828*Summary!$B$7</f>
        <v/>
      </c>
      <c r="I2828" s="11">
        <f>MAX(0,N2828-M2828)</f>
        <v/>
      </c>
      <c r="J2828" s="11">
        <f>MAX(0,M2828-N2828)</f>
        <v/>
      </c>
      <c r="K2828" s="11">
        <f>O2828</f>
        <v/>
      </c>
      <c r="L2828" s="11">
        <f>L2827+IF(K2828&gt;0,K2828*Summary!$B$9,K2828/Summary!$B$9)</f>
        <v/>
      </c>
      <c r="M2828" s="11">
        <f>G2828+H2828</f>
        <v/>
      </c>
      <c r="N2828" s="11">
        <f>Summary!$C$16*Summary!$B$8</f>
        <v/>
      </c>
      <c r="O2828" s="11">
        <f>M2828-N2828</f>
        <v/>
      </c>
    </row>
    <row r="2829">
      <c r="A2829" s="9" t="n">
        <v>45409.79166666666</v>
      </c>
      <c r="B2829" t="n">
        <v>4</v>
      </c>
      <c r="C2829" t="n">
        <v>27</v>
      </c>
      <c r="D2829" t="n">
        <v>19</v>
      </c>
      <c r="E2829" s="10" t="n">
        <v>0</v>
      </c>
      <c r="F2829" s="10" t="n">
        <v>0.1986414236739417</v>
      </c>
      <c r="G2829" s="11">
        <f>E2829*Summary!$B$6</f>
        <v/>
      </c>
      <c r="H2829" s="11">
        <f>F2829*Summary!$B$7</f>
        <v/>
      </c>
      <c r="I2829" s="11">
        <f>MAX(0,N2829-M2829)</f>
        <v/>
      </c>
      <c r="J2829" s="11">
        <f>MAX(0,M2829-N2829)</f>
        <v/>
      </c>
      <c r="K2829" s="11">
        <f>O2829</f>
        <v/>
      </c>
      <c r="L2829" s="11">
        <f>L2828+IF(K2829&gt;0,K2829*Summary!$B$9,K2829/Summary!$B$9)</f>
        <v/>
      </c>
      <c r="M2829" s="11">
        <f>G2829+H2829</f>
        <v/>
      </c>
      <c r="N2829" s="11">
        <f>Summary!$C$16*Summary!$B$8</f>
        <v/>
      </c>
      <c r="O2829" s="11">
        <f>M2829-N2829</f>
        <v/>
      </c>
    </row>
    <row r="2830">
      <c r="A2830" s="9" t="n">
        <v>45409.83333333334</v>
      </c>
      <c r="B2830" t="n">
        <v>4</v>
      </c>
      <c r="C2830" t="n">
        <v>27</v>
      </c>
      <c r="D2830" t="n">
        <v>20</v>
      </c>
      <c r="E2830" s="10" t="n">
        <v>0</v>
      </c>
      <c r="F2830" s="10" t="n">
        <v>0.2160864518607485</v>
      </c>
      <c r="G2830" s="11">
        <f>E2830*Summary!$B$6</f>
        <v/>
      </c>
      <c r="H2830" s="11">
        <f>F2830*Summary!$B$7</f>
        <v/>
      </c>
      <c r="I2830" s="11">
        <f>MAX(0,N2830-M2830)</f>
        <v/>
      </c>
      <c r="J2830" s="11">
        <f>MAX(0,M2830-N2830)</f>
        <v/>
      </c>
      <c r="K2830" s="11">
        <f>O2830</f>
        <v/>
      </c>
      <c r="L2830" s="11">
        <f>L2829+IF(K2830&gt;0,K2830*Summary!$B$9,K2830/Summary!$B$9)</f>
        <v/>
      </c>
      <c r="M2830" s="11">
        <f>G2830+H2830</f>
        <v/>
      </c>
      <c r="N2830" s="11">
        <f>Summary!$C$16*Summary!$B$8</f>
        <v/>
      </c>
      <c r="O2830" s="11">
        <f>M2830-N2830</f>
        <v/>
      </c>
    </row>
    <row r="2831">
      <c r="A2831" s="9" t="n">
        <v>45409.875</v>
      </c>
      <c r="B2831" t="n">
        <v>4</v>
      </c>
      <c r="C2831" t="n">
        <v>27</v>
      </c>
      <c r="D2831" t="n">
        <v>21</v>
      </c>
      <c r="E2831" s="10" t="n">
        <v>0</v>
      </c>
      <c r="F2831" s="10" t="n">
        <v>0.2302111272506706</v>
      </c>
      <c r="G2831" s="11">
        <f>E2831*Summary!$B$6</f>
        <v/>
      </c>
      <c r="H2831" s="11">
        <f>F2831*Summary!$B$7</f>
        <v/>
      </c>
      <c r="I2831" s="11">
        <f>MAX(0,N2831-M2831)</f>
        <v/>
      </c>
      <c r="J2831" s="11">
        <f>MAX(0,M2831-N2831)</f>
        <v/>
      </c>
      <c r="K2831" s="11">
        <f>O2831</f>
        <v/>
      </c>
      <c r="L2831" s="11">
        <f>L2830+IF(K2831&gt;0,K2831*Summary!$B$9,K2831/Summary!$B$9)</f>
        <v/>
      </c>
      <c r="M2831" s="11">
        <f>G2831+H2831</f>
        <v/>
      </c>
      <c r="N2831" s="11">
        <f>Summary!$C$16*Summary!$B$8</f>
        <v/>
      </c>
      <c r="O2831" s="11">
        <f>M2831-N2831</f>
        <v/>
      </c>
    </row>
    <row r="2832">
      <c r="A2832" s="9" t="n">
        <v>45409.91666666666</v>
      </c>
      <c r="B2832" t="n">
        <v>4</v>
      </c>
      <c r="C2832" t="n">
        <v>27</v>
      </c>
      <c r="D2832" t="n">
        <v>22</v>
      </c>
      <c r="E2832" s="10" t="n">
        <v>0</v>
      </c>
      <c r="F2832" s="10" t="n">
        <v>0.248841995722079</v>
      </c>
      <c r="G2832" s="11">
        <f>E2832*Summary!$B$6</f>
        <v/>
      </c>
      <c r="H2832" s="11">
        <f>F2832*Summary!$B$7</f>
        <v/>
      </c>
      <c r="I2832" s="11">
        <f>MAX(0,N2832-M2832)</f>
        <v/>
      </c>
      <c r="J2832" s="11">
        <f>MAX(0,M2832-N2832)</f>
        <v/>
      </c>
      <c r="K2832" s="11">
        <f>O2832</f>
        <v/>
      </c>
      <c r="L2832" s="11">
        <f>L2831+IF(K2832&gt;0,K2832*Summary!$B$9,K2832/Summary!$B$9)</f>
        <v/>
      </c>
      <c r="M2832" s="11">
        <f>G2832+H2832</f>
        <v/>
      </c>
      <c r="N2832" s="11">
        <f>Summary!$C$16*Summary!$B$8</f>
        <v/>
      </c>
      <c r="O2832" s="11">
        <f>M2832-N2832</f>
        <v/>
      </c>
    </row>
    <row r="2833">
      <c r="A2833" s="9" t="n">
        <v>45409.95833333334</v>
      </c>
      <c r="B2833" t="n">
        <v>4</v>
      </c>
      <c r="C2833" t="n">
        <v>27</v>
      </c>
      <c r="D2833" t="n">
        <v>23</v>
      </c>
      <c r="E2833" s="10" t="n">
        <v>0</v>
      </c>
      <c r="F2833" s="10" t="n">
        <v>0.2433607784065868</v>
      </c>
      <c r="G2833" s="11">
        <f>E2833*Summary!$B$6</f>
        <v/>
      </c>
      <c r="H2833" s="11">
        <f>F2833*Summary!$B$7</f>
        <v/>
      </c>
      <c r="I2833" s="11">
        <f>MAX(0,N2833-M2833)</f>
        <v/>
      </c>
      <c r="J2833" s="11">
        <f>MAX(0,M2833-N2833)</f>
        <v/>
      </c>
      <c r="K2833" s="11">
        <f>O2833</f>
        <v/>
      </c>
      <c r="L2833" s="11">
        <f>L2832+IF(K2833&gt;0,K2833*Summary!$B$9,K2833/Summary!$B$9)</f>
        <v/>
      </c>
      <c r="M2833" s="11">
        <f>G2833+H2833</f>
        <v/>
      </c>
      <c r="N2833" s="11">
        <f>Summary!$C$16*Summary!$B$8</f>
        <v/>
      </c>
      <c r="O2833" s="11">
        <f>M2833-N2833</f>
        <v/>
      </c>
    </row>
    <row r="2834">
      <c r="A2834" s="9" t="n">
        <v>45410</v>
      </c>
      <c r="B2834" t="n">
        <v>4</v>
      </c>
      <c r="C2834" t="n">
        <v>28</v>
      </c>
      <c r="D2834" t="n">
        <v>0</v>
      </c>
      <c r="E2834" s="10" t="n">
        <v>0</v>
      </c>
      <c r="F2834" s="10" t="n">
        <v>0.2498697239687337</v>
      </c>
      <c r="G2834" s="11">
        <f>E2834*Summary!$B$6</f>
        <v/>
      </c>
      <c r="H2834" s="11">
        <f>F2834*Summary!$B$7</f>
        <v/>
      </c>
      <c r="I2834" s="11">
        <f>MAX(0,N2834-M2834)</f>
        <v/>
      </c>
      <c r="J2834" s="11">
        <f>MAX(0,M2834-N2834)</f>
        <v/>
      </c>
      <c r="K2834" s="11">
        <f>O2834</f>
        <v/>
      </c>
      <c r="L2834" s="11">
        <f>L2833+IF(K2834&gt;0,K2834*Summary!$B$9,K2834/Summary!$B$9)</f>
        <v/>
      </c>
      <c r="M2834" s="11">
        <f>G2834+H2834</f>
        <v/>
      </c>
      <c r="N2834" s="11">
        <f>Summary!$C$16*Summary!$B$8</f>
        <v/>
      </c>
      <c r="O2834" s="11">
        <f>M2834-N2834</f>
        <v/>
      </c>
    </row>
    <row r="2835">
      <c r="A2835" s="9" t="n">
        <v>45410.04166666666</v>
      </c>
      <c r="B2835" t="n">
        <v>4</v>
      </c>
      <c r="C2835" t="n">
        <v>28</v>
      </c>
      <c r="D2835" t="n">
        <v>1</v>
      </c>
      <c r="E2835" s="10" t="n">
        <v>0</v>
      </c>
      <c r="F2835" s="10" t="n">
        <v>0.2535853568604857</v>
      </c>
      <c r="G2835" s="11">
        <f>E2835*Summary!$B$6</f>
        <v/>
      </c>
      <c r="H2835" s="11">
        <f>F2835*Summary!$B$7</f>
        <v/>
      </c>
      <c r="I2835" s="11">
        <f>MAX(0,N2835-M2835)</f>
        <v/>
      </c>
      <c r="J2835" s="11">
        <f>MAX(0,M2835-N2835)</f>
        <v/>
      </c>
      <c r="K2835" s="11">
        <f>O2835</f>
        <v/>
      </c>
      <c r="L2835" s="11">
        <f>L2834+IF(K2835&gt;0,K2835*Summary!$B$9,K2835/Summary!$B$9)</f>
        <v/>
      </c>
      <c r="M2835" s="11">
        <f>G2835+H2835</f>
        <v/>
      </c>
      <c r="N2835" s="11">
        <f>Summary!$C$16*Summary!$B$8</f>
        <v/>
      </c>
      <c r="O2835" s="11">
        <f>M2835-N2835</f>
        <v/>
      </c>
    </row>
    <row r="2836">
      <c r="A2836" s="9" t="n">
        <v>45410.08333333334</v>
      </c>
      <c r="B2836" t="n">
        <v>4</v>
      </c>
      <c r="C2836" t="n">
        <v>28</v>
      </c>
      <c r="D2836" t="n">
        <v>2</v>
      </c>
      <c r="E2836" s="10" t="n">
        <v>0</v>
      </c>
      <c r="F2836" s="10" t="n">
        <v>0.261596366783128</v>
      </c>
      <c r="G2836" s="11">
        <f>E2836*Summary!$B$6</f>
        <v/>
      </c>
      <c r="H2836" s="11">
        <f>F2836*Summary!$B$7</f>
        <v/>
      </c>
      <c r="I2836" s="11">
        <f>MAX(0,N2836-M2836)</f>
        <v/>
      </c>
      <c r="J2836" s="11">
        <f>MAX(0,M2836-N2836)</f>
        <v/>
      </c>
      <c r="K2836" s="11">
        <f>O2836</f>
        <v/>
      </c>
      <c r="L2836" s="11">
        <f>L2835+IF(K2836&gt;0,K2836*Summary!$B$9,K2836/Summary!$B$9)</f>
        <v/>
      </c>
      <c r="M2836" s="11">
        <f>G2836+H2836</f>
        <v/>
      </c>
      <c r="N2836" s="11">
        <f>Summary!$C$16*Summary!$B$8</f>
        <v/>
      </c>
      <c r="O2836" s="11">
        <f>M2836-N2836</f>
        <v/>
      </c>
    </row>
    <row r="2837">
      <c r="A2837" s="9" t="n">
        <v>45410.125</v>
      </c>
      <c r="B2837" t="n">
        <v>4</v>
      </c>
      <c r="C2837" t="n">
        <v>28</v>
      </c>
      <c r="D2837" t="n">
        <v>3</v>
      </c>
      <c r="E2837" s="10" t="n">
        <v>0</v>
      </c>
      <c r="F2837" s="10" t="n">
        <v>0.2688958725350094</v>
      </c>
      <c r="G2837" s="11">
        <f>E2837*Summary!$B$6</f>
        <v/>
      </c>
      <c r="H2837" s="11">
        <f>F2837*Summary!$B$7</f>
        <v/>
      </c>
      <c r="I2837" s="11">
        <f>MAX(0,N2837-M2837)</f>
        <v/>
      </c>
      <c r="J2837" s="11">
        <f>MAX(0,M2837-N2837)</f>
        <v/>
      </c>
      <c r="K2837" s="11">
        <f>O2837</f>
        <v/>
      </c>
      <c r="L2837" s="11">
        <f>L2836+IF(K2837&gt;0,K2837*Summary!$B$9,K2837/Summary!$B$9)</f>
        <v/>
      </c>
      <c r="M2837" s="11">
        <f>G2837+H2837</f>
        <v/>
      </c>
      <c r="N2837" s="11">
        <f>Summary!$C$16*Summary!$B$8</f>
        <v/>
      </c>
      <c r="O2837" s="11">
        <f>M2837-N2837</f>
        <v/>
      </c>
    </row>
    <row r="2838">
      <c r="A2838" s="9" t="n">
        <v>45410.16666666666</v>
      </c>
      <c r="B2838" t="n">
        <v>4</v>
      </c>
      <c r="C2838" t="n">
        <v>28</v>
      </c>
      <c r="D2838" t="n">
        <v>4</v>
      </c>
      <c r="E2838" s="10" t="n">
        <v>0</v>
      </c>
      <c r="F2838" s="10" t="n">
        <v>0.2880537811329075</v>
      </c>
      <c r="G2838" s="11">
        <f>E2838*Summary!$B$6</f>
        <v/>
      </c>
      <c r="H2838" s="11">
        <f>F2838*Summary!$B$7</f>
        <v/>
      </c>
      <c r="I2838" s="11">
        <f>MAX(0,N2838-M2838)</f>
        <v/>
      </c>
      <c r="J2838" s="11">
        <f>MAX(0,M2838-N2838)</f>
        <v/>
      </c>
      <c r="K2838" s="11">
        <f>O2838</f>
        <v/>
      </c>
      <c r="L2838" s="11">
        <f>L2837+IF(K2838&gt;0,K2838*Summary!$B$9,K2838/Summary!$B$9)</f>
        <v/>
      </c>
      <c r="M2838" s="11">
        <f>G2838+H2838</f>
        <v/>
      </c>
      <c r="N2838" s="11">
        <f>Summary!$C$16*Summary!$B$8</f>
        <v/>
      </c>
      <c r="O2838" s="11">
        <f>M2838-N2838</f>
        <v/>
      </c>
    </row>
    <row r="2839">
      <c r="A2839" s="9" t="n">
        <v>45410.20833333334</v>
      </c>
      <c r="B2839" t="n">
        <v>4</v>
      </c>
      <c r="C2839" t="n">
        <v>28</v>
      </c>
      <c r="D2839" t="n">
        <v>5</v>
      </c>
      <c r="E2839" s="10" t="n">
        <v>0.013803</v>
      </c>
      <c r="F2839" s="10" t="n">
        <v>0.2634410072258417</v>
      </c>
      <c r="G2839" s="11">
        <f>E2839*Summary!$B$6</f>
        <v/>
      </c>
      <c r="H2839" s="11">
        <f>F2839*Summary!$B$7</f>
        <v/>
      </c>
      <c r="I2839" s="11">
        <f>MAX(0,N2839-M2839)</f>
        <v/>
      </c>
      <c r="J2839" s="11">
        <f>MAX(0,M2839-N2839)</f>
        <v/>
      </c>
      <c r="K2839" s="11">
        <f>O2839</f>
        <v/>
      </c>
      <c r="L2839" s="11">
        <f>L2838+IF(K2839&gt;0,K2839*Summary!$B$9,K2839/Summary!$B$9)</f>
        <v/>
      </c>
      <c r="M2839" s="11">
        <f>G2839+H2839</f>
        <v/>
      </c>
      <c r="N2839" s="11">
        <f>Summary!$C$16*Summary!$B$8</f>
        <v/>
      </c>
      <c r="O2839" s="11">
        <f>M2839-N2839</f>
        <v/>
      </c>
    </row>
    <row r="2840">
      <c r="A2840" s="9" t="n">
        <v>45410.25</v>
      </c>
      <c r="B2840" t="n">
        <v>4</v>
      </c>
      <c r="C2840" t="n">
        <v>28</v>
      </c>
      <c r="D2840" t="n">
        <v>6</v>
      </c>
      <c r="E2840" s="10" t="n">
        <v>0.06737899999999999</v>
      </c>
      <c r="F2840" s="10" t="n">
        <v>0.2477879154690997</v>
      </c>
      <c r="G2840" s="11">
        <f>E2840*Summary!$B$6</f>
        <v/>
      </c>
      <c r="H2840" s="11">
        <f>F2840*Summary!$B$7</f>
        <v/>
      </c>
      <c r="I2840" s="11">
        <f>MAX(0,N2840-M2840)</f>
        <v/>
      </c>
      <c r="J2840" s="11">
        <f>MAX(0,M2840-N2840)</f>
        <v/>
      </c>
      <c r="K2840" s="11">
        <f>O2840</f>
        <v/>
      </c>
      <c r="L2840" s="11">
        <f>L2839+IF(K2840&gt;0,K2840*Summary!$B$9,K2840/Summary!$B$9)</f>
        <v/>
      </c>
      <c r="M2840" s="11">
        <f>G2840+H2840</f>
        <v/>
      </c>
      <c r="N2840" s="11">
        <f>Summary!$C$16*Summary!$B$8</f>
        <v/>
      </c>
      <c r="O2840" s="11">
        <f>M2840-N2840</f>
        <v/>
      </c>
    </row>
    <row r="2841">
      <c r="A2841" s="9" t="n">
        <v>45410.29166666666</v>
      </c>
      <c r="B2841" t="n">
        <v>4</v>
      </c>
      <c r="C2841" t="n">
        <v>28</v>
      </c>
      <c r="D2841" t="n">
        <v>7</v>
      </c>
      <c r="E2841" s="10" t="n">
        <v>0.110515</v>
      </c>
      <c r="F2841" s="10" t="n">
        <v>0.2330307919273901</v>
      </c>
      <c r="G2841" s="11">
        <f>E2841*Summary!$B$6</f>
        <v/>
      </c>
      <c r="H2841" s="11">
        <f>F2841*Summary!$B$7</f>
        <v/>
      </c>
      <c r="I2841" s="11">
        <f>MAX(0,N2841-M2841)</f>
        <v/>
      </c>
      <c r="J2841" s="11">
        <f>MAX(0,M2841-N2841)</f>
        <v/>
      </c>
      <c r="K2841" s="11">
        <f>O2841</f>
        <v/>
      </c>
      <c r="L2841" s="11">
        <f>L2840+IF(K2841&gt;0,K2841*Summary!$B$9,K2841/Summary!$B$9)</f>
        <v/>
      </c>
      <c r="M2841" s="11">
        <f>G2841+H2841</f>
        <v/>
      </c>
      <c r="N2841" s="11">
        <f>Summary!$C$16*Summary!$B$8</f>
        <v/>
      </c>
      <c r="O2841" s="11">
        <f>M2841-N2841</f>
        <v/>
      </c>
    </row>
    <row r="2842">
      <c r="A2842" s="9" t="n">
        <v>45410.33333333334</v>
      </c>
      <c r="B2842" t="n">
        <v>4</v>
      </c>
      <c r="C2842" t="n">
        <v>28</v>
      </c>
      <c r="D2842" t="n">
        <v>8</v>
      </c>
      <c r="E2842" s="10" t="n">
        <v>0.50718</v>
      </c>
      <c r="F2842" s="10" t="n">
        <v>0.237352520964605</v>
      </c>
      <c r="G2842" s="11">
        <f>E2842*Summary!$B$6</f>
        <v/>
      </c>
      <c r="H2842" s="11">
        <f>F2842*Summary!$B$7</f>
        <v/>
      </c>
      <c r="I2842" s="11">
        <f>MAX(0,N2842-M2842)</f>
        <v/>
      </c>
      <c r="J2842" s="11">
        <f>MAX(0,M2842-N2842)</f>
        <v/>
      </c>
      <c r="K2842" s="11">
        <f>O2842</f>
        <v/>
      </c>
      <c r="L2842" s="11">
        <f>L2841+IF(K2842&gt;0,K2842*Summary!$B$9,K2842/Summary!$B$9)</f>
        <v/>
      </c>
      <c r="M2842" s="11">
        <f>G2842+H2842</f>
        <v/>
      </c>
      <c r="N2842" s="11">
        <f>Summary!$C$16*Summary!$B$8</f>
        <v/>
      </c>
      <c r="O2842" s="11">
        <f>M2842-N2842</f>
        <v/>
      </c>
    </row>
    <row r="2843">
      <c r="A2843" s="9" t="n">
        <v>45410.375</v>
      </c>
      <c r="B2843" t="n">
        <v>4</v>
      </c>
      <c r="C2843" t="n">
        <v>28</v>
      </c>
      <c r="D2843" t="n">
        <v>9</v>
      </c>
      <c r="E2843" s="10" t="n">
        <v>0.658316</v>
      </c>
      <c r="F2843" s="10" t="n">
        <v>0.2440722825773478</v>
      </c>
      <c r="G2843" s="11">
        <f>E2843*Summary!$B$6</f>
        <v/>
      </c>
      <c r="H2843" s="11">
        <f>F2843*Summary!$B$7</f>
        <v/>
      </c>
      <c r="I2843" s="11">
        <f>MAX(0,N2843-M2843)</f>
        <v/>
      </c>
      <c r="J2843" s="11">
        <f>MAX(0,M2843-N2843)</f>
        <v/>
      </c>
      <c r="K2843" s="11">
        <f>O2843</f>
        <v/>
      </c>
      <c r="L2843" s="11">
        <f>L2842+IF(K2843&gt;0,K2843*Summary!$B$9,K2843/Summary!$B$9)</f>
        <v/>
      </c>
      <c r="M2843" s="11">
        <f>G2843+H2843</f>
        <v/>
      </c>
      <c r="N2843" s="11">
        <f>Summary!$C$16*Summary!$B$8</f>
        <v/>
      </c>
      <c r="O2843" s="11">
        <f>M2843-N2843</f>
        <v/>
      </c>
    </row>
    <row r="2844">
      <c r="A2844" s="9" t="n">
        <v>45410.41666666666</v>
      </c>
      <c r="B2844" t="n">
        <v>4</v>
      </c>
      <c r="C2844" t="n">
        <v>28</v>
      </c>
      <c r="D2844" t="n">
        <v>10</v>
      </c>
      <c r="E2844" s="10" t="n">
        <v>0.754058</v>
      </c>
      <c r="F2844" s="10" t="n">
        <v>0.2542705090249222</v>
      </c>
      <c r="G2844" s="11">
        <f>E2844*Summary!$B$6</f>
        <v/>
      </c>
      <c r="H2844" s="11">
        <f>F2844*Summary!$B$7</f>
        <v/>
      </c>
      <c r="I2844" s="11">
        <f>MAX(0,N2844-M2844)</f>
        <v/>
      </c>
      <c r="J2844" s="11">
        <f>MAX(0,M2844-N2844)</f>
        <v/>
      </c>
      <c r="K2844" s="11">
        <f>O2844</f>
        <v/>
      </c>
      <c r="L2844" s="11">
        <f>L2843+IF(K2844&gt;0,K2844*Summary!$B$9,K2844/Summary!$B$9)</f>
        <v/>
      </c>
      <c r="M2844" s="11">
        <f>G2844+H2844</f>
        <v/>
      </c>
      <c r="N2844" s="11">
        <f>Summary!$C$16*Summary!$B$8</f>
        <v/>
      </c>
      <c r="O2844" s="11">
        <f>M2844-N2844</f>
        <v/>
      </c>
    </row>
    <row r="2845">
      <c r="A2845" s="9" t="n">
        <v>45410.45833333334</v>
      </c>
      <c r="B2845" t="n">
        <v>4</v>
      </c>
      <c r="C2845" t="n">
        <v>28</v>
      </c>
      <c r="D2845" t="n">
        <v>11</v>
      </c>
      <c r="E2845" s="10" t="n">
        <v>0.754058</v>
      </c>
      <c r="F2845" s="10" t="n">
        <v>0.2639416953460069</v>
      </c>
      <c r="G2845" s="11">
        <f>E2845*Summary!$B$6</f>
        <v/>
      </c>
      <c r="H2845" s="11">
        <f>F2845*Summary!$B$7</f>
        <v/>
      </c>
      <c r="I2845" s="11">
        <f>MAX(0,N2845-M2845)</f>
        <v/>
      </c>
      <c r="J2845" s="11">
        <f>MAX(0,M2845-N2845)</f>
        <v/>
      </c>
      <c r="K2845" s="11">
        <f>O2845</f>
        <v/>
      </c>
      <c r="L2845" s="11">
        <f>L2844+IF(K2845&gt;0,K2845*Summary!$B$9,K2845/Summary!$B$9)</f>
        <v/>
      </c>
      <c r="M2845" s="11">
        <f>G2845+H2845</f>
        <v/>
      </c>
      <c r="N2845" s="11">
        <f>Summary!$C$16*Summary!$B$8</f>
        <v/>
      </c>
      <c r="O2845" s="11">
        <f>M2845-N2845</f>
        <v/>
      </c>
    </row>
    <row r="2846">
      <c r="A2846" s="9" t="n">
        <v>45410.5</v>
      </c>
      <c r="B2846" t="n">
        <v>4</v>
      </c>
      <c r="C2846" t="n">
        <v>28</v>
      </c>
      <c r="D2846" t="n">
        <v>12</v>
      </c>
      <c r="E2846" s="10" t="n">
        <v>0.754058</v>
      </c>
      <c r="F2846" s="10" t="n">
        <v>0.2776710906410618</v>
      </c>
      <c r="G2846" s="11">
        <f>E2846*Summary!$B$6</f>
        <v/>
      </c>
      <c r="H2846" s="11">
        <f>F2846*Summary!$B$7</f>
        <v/>
      </c>
      <c r="I2846" s="11">
        <f>MAX(0,N2846-M2846)</f>
        <v/>
      </c>
      <c r="J2846" s="11">
        <f>MAX(0,M2846-N2846)</f>
        <v/>
      </c>
      <c r="K2846" s="11">
        <f>O2846</f>
        <v/>
      </c>
      <c r="L2846" s="11">
        <f>L2845+IF(K2846&gt;0,K2846*Summary!$B$9,K2846/Summary!$B$9)</f>
        <v/>
      </c>
      <c r="M2846" s="11">
        <f>G2846+H2846</f>
        <v/>
      </c>
      <c r="N2846" s="11">
        <f>Summary!$C$16*Summary!$B$8</f>
        <v/>
      </c>
      <c r="O2846" s="11">
        <f>M2846-N2846</f>
        <v/>
      </c>
    </row>
    <row r="2847">
      <c r="A2847" s="9" t="n">
        <v>45410.54166666666</v>
      </c>
      <c r="B2847" t="n">
        <v>4</v>
      </c>
      <c r="C2847" t="n">
        <v>28</v>
      </c>
      <c r="D2847" t="n">
        <v>13</v>
      </c>
      <c r="E2847" s="10" t="n">
        <v>0.754058</v>
      </c>
      <c r="F2847" s="10" t="n">
        <v>0.285076004418241</v>
      </c>
      <c r="G2847" s="11">
        <f>E2847*Summary!$B$6</f>
        <v/>
      </c>
      <c r="H2847" s="11">
        <f>F2847*Summary!$B$7</f>
        <v/>
      </c>
      <c r="I2847" s="11">
        <f>MAX(0,N2847-M2847)</f>
        <v/>
      </c>
      <c r="J2847" s="11">
        <f>MAX(0,M2847-N2847)</f>
        <v/>
      </c>
      <c r="K2847" s="11">
        <f>O2847</f>
        <v/>
      </c>
      <c r="L2847" s="11">
        <f>L2846+IF(K2847&gt;0,K2847*Summary!$B$9,K2847/Summary!$B$9)</f>
        <v/>
      </c>
      <c r="M2847" s="11">
        <f>G2847+H2847</f>
        <v/>
      </c>
      <c r="N2847" s="11">
        <f>Summary!$C$16*Summary!$B$8</f>
        <v/>
      </c>
      <c r="O2847" s="11">
        <f>M2847-N2847</f>
        <v/>
      </c>
    </row>
    <row r="2848">
      <c r="A2848" s="9" t="n">
        <v>45410.58333333334</v>
      </c>
      <c r="B2848" t="n">
        <v>4</v>
      </c>
      <c r="C2848" t="n">
        <v>28</v>
      </c>
      <c r="D2848" t="n">
        <v>14</v>
      </c>
      <c r="E2848" s="10" t="n">
        <v>0.688107</v>
      </c>
      <c r="F2848" s="10" t="n">
        <v>0.2918221180373083</v>
      </c>
      <c r="G2848" s="11">
        <f>E2848*Summary!$B$6</f>
        <v/>
      </c>
      <c r="H2848" s="11">
        <f>F2848*Summary!$B$7</f>
        <v/>
      </c>
      <c r="I2848" s="11">
        <f>MAX(0,N2848-M2848)</f>
        <v/>
      </c>
      <c r="J2848" s="11">
        <f>MAX(0,M2848-N2848)</f>
        <v/>
      </c>
      <c r="K2848" s="11">
        <f>O2848</f>
        <v/>
      </c>
      <c r="L2848" s="11">
        <f>L2847+IF(K2848&gt;0,K2848*Summary!$B$9,K2848/Summary!$B$9)</f>
        <v/>
      </c>
      <c r="M2848" s="11">
        <f>G2848+H2848</f>
        <v/>
      </c>
      <c r="N2848" s="11">
        <f>Summary!$C$16*Summary!$B$8</f>
        <v/>
      </c>
      <c r="O2848" s="11">
        <f>M2848-N2848</f>
        <v/>
      </c>
    </row>
    <row r="2849">
      <c r="A2849" s="9" t="n">
        <v>45410.625</v>
      </c>
      <c r="B2849" t="n">
        <v>4</v>
      </c>
      <c r="C2849" t="n">
        <v>28</v>
      </c>
      <c r="D2849" t="n">
        <v>15</v>
      </c>
      <c r="E2849" s="10" t="n">
        <v>0.539639</v>
      </c>
      <c r="F2849" s="10" t="n">
        <v>0.2855766925384062</v>
      </c>
      <c r="G2849" s="11">
        <f>E2849*Summary!$B$6</f>
        <v/>
      </c>
      <c r="H2849" s="11">
        <f>F2849*Summary!$B$7</f>
        <v/>
      </c>
      <c r="I2849" s="11">
        <f>MAX(0,N2849-M2849)</f>
        <v/>
      </c>
      <c r="J2849" s="11">
        <f>MAX(0,M2849-N2849)</f>
        <v/>
      </c>
      <c r="K2849" s="11">
        <f>O2849</f>
        <v/>
      </c>
      <c r="L2849" s="11">
        <f>L2848+IF(K2849&gt;0,K2849*Summary!$B$9,K2849/Summary!$B$9)</f>
        <v/>
      </c>
      <c r="M2849" s="11">
        <f>G2849+H2849</f>
        <v/>
      </c>
      <c r="N2849" s="11">
        <f>Summary!$C$16*Summary!$B$8</f>
        <v/>
      </c>
      <c r="O2849" s="11">
        <f>M2849-N2849</f>
        <v/>
      </c>
    </row>
    <row r="2850">
      <c r="A2850" s="9" t="n">
        <v>45410.66666666666</v>
      </c>
      <c r="B2850" t="n">
        <v>4</v>
      </c>
      <c r="C2850" t="n">
        <v>28</v>
      </c>
      <c r="D2850" t="n">
        <v>16</v>
      </c>
      <c r="E2850" s="10" t="n">
        <v>0.270382</v>
      </c>
      <c r="F2850" s="10" t="n">
        <v>0.3155389237293417</v>
      </c>
      <c r="G2850" s="11">
        <f>E2850*Summary!$B$6</f>
        <v/>
      </c>
      <c r="H2850" s="11">
        <f>F2850*Summary!$B$7</f>
        <v/>
      </c>
      <c r="I2850" s="11">
        <f>MAX(0,N2850-M2850)</f>
        <v/>
      </c>
      <c r="J2850" s="11">
        <f>MAX(0,M2850-N2850)</f>
        <v/>
      </c>
      <c r="K2850" s="11">
        <f>O2850</f>
        <v/>
      </c>
      <c r="L2850" s="11">
        <f>L2849+IF(K2850&gt;0,K2850*Summary!$B$9,K2850/Summary!$B$9)</f>
        <v/>
      </c>
      <c r="M2850" s="11">
        <f>G2850+H2850</f>
        <v/>
      </c>
      <c r="N2850" s="11">
        <f>Summary!$C$16*Summary!$B$8</f>
        <v/>
      </c>
      <c r="O2850" s="11">
        <f>M2850-N2850</f>
        <v/>
      </c>
    </row>
    <row r="2851">
      <c r="A2851" s="9" t="n">
        <v>45410.70833333334</v>
      </c>
      <c r="B2851" t="n">
        <v>4</v>
      </c>
      <c r="C2851" t="n">
        <v>28</v>
      </c>
      <c r="D2851" t="n">
        <v>17</v>
      </c>
      <c r="E2851" s="10" t="n">
        <v>0.123422</v>
      </c>
      <c r="F2851" s="10" t="n">
        <v>0.2737182896923895</v>
      </c>
      <c r="G2851" s="11">
        <f>E2851*Summary!$B$6</f>
        <v/>
      </c>
      <c r="H2851" s="11">
        <f>F2851*Summary!$B$7</f>
        <v/>
      </c>
      <c r="I2851" s="11">
        <f>MAX(0,N2851-M2851)</f>
        <v/>
      </c>
      <c r="J2851" s="11">
        <f>MAX(0,M2851-N2851)</f>
        <v/>
      </c>
      <c r="K2851" s="11">
        <f>O2851</f>
        <v/>
      </c>
      <c r="L2851" s="11">
        <f>L2850+IF(K2851&gt;0,K2851*Summary!$B$9,K2851/Summary!$B$9)</f>
        <v/>
      </c>
      <c r="M2851" s="11">
        <f>G2851+H2851</f>
        <v/>
      </c>
      <c r="N2851" s="11">
        <f>Summary!$C$16*Summary!$B$8</f>
        <v/>
      </c>
      <c r="O2851" s="11">
        <f>M2851-N2851</f>
        <v/>
      </c>
    </row>
    <row r="2852">
      <c r="A2852" s="9" t="n">
        <v>45410.75</v>
      </c>
      <c r="B2852" t="n">
        <v>4</v>
      </c>
      <c r="C2852" t="n">
        <v>28</v>
      </c>
      <c r="D2852" t="n">
        <v>18</v>
      </c>
      <c r="E2852" s="10" t="n">
        <v>0.049038</v>
      </c>
      <c r="F2852" s="10" t="n">
        <v>0.2966972392073374</v>
      </c>
      <c r="G2852" s="11">
        <f>E2852*Summary!$B$6</f>
        <v/>
      </c>
      <c r="H2852" s="11">
        <f>F2852*Summary!$B$7</f>
        <v/>
      </c>
      <c r="I2852" s="11">
        <f>MAX(0,N2852-M2852)</f>
        <v/>
      </c>
      <c r="J2852" s="11">
        <f>MAX(0,M2852-N2852)</f>
        <v/>
      </c>
      <c r="K2852" s="11">
        <f>O2852</f>
        <v/>
      </c>
      <c r="L2852" s="11">
        <f>L2851+IF(K2852&gt;0,K2852*Summary!$B$9,K2852/Summary!$B$9)</f>
        <v/>
      </c>
      <c r="M2852" s="11">
        <f>G2852+H2852</f>
        <v/>
      </c>
      <c r="N2852" s="11">
        <f>Summary!$C$16*Summary!$B$8</f>
        <v/>
      </c>
      <c r="O2852" s="11">
        <f>M2852-N2852</f>
        <v/>
      </c>
    </row>
    <row r="2853">
      <c r="A2853" s="9" t="n">
        <v>45410.79166666666</v>
      </c>
      <c r="B2853" t="n">
        <v>4</v>
      </c>
      <c r="C2853" t="n">
        <v>28</v>
      </c>
      <c r="D2853" t="n">
        <v>19</v>
      </c>
      <c r="E2853" s="10" t="n">
        <v>0</v>
      </c>
      <c r="F2853" s="10" t="n">
        <v>0.2615436627704791</v>
      </c>
      <c r="G2853" s="11">
        <f>E2853*Summary!$B$6</f>
        <v/>
      </c>
      <c r="H2853" s="11">
        <f>F2853*Summary!$B$7</f>
        <v/>
      </c>
      <c r="I2853" s="11">
        <f>MAX(0,N2853-M2853)</f>
        <v/>
      </c>
      <c r="J2853" s="11">
        <f>MAX(0,M2853-N2853)</f>
        <v/>
      </c>
      <c r="K2853" s="11">
        <f>O2853</f>
        <v/>
      </c>
      <c r="L2853" s="11">
        <f>L2852+IF(K2853&gt;0,K2853*Summary!$B$9,K2853/Summary!$B$9)</f>
        <v/>
      </c>
      <c r="M2853" s="11">
        <f>G2853+H2853</f>
        <v/>
      </c>
      <c r="N2853" s="11">
        <f>Summary!$C$16*Summary!$B$8</f>
        <v/>
      </c>
      <c r="O2853" s="11">
        <f>M2853-N2853</f>
        <v/>
      </c>
    </row>
    <row r="2854">
      <c r="A2854" s="9" t="n">
        <v>45410.83333333334</v>
      </c>
      <c r="B2854" t="n">
        <v>4</v>
      </c>
      <c r="C2854" t="n">
        <v>28</v>
      </c>
      <c r="D2854" t="n">
        <v>20</v>
      </c>
      <c r="E2854" s="10" t="n">
        <v>0</v>
      </c>
      <c r="F2854" s="10" t="n">
        <v>0.2610429746503139</v>
      </c>
      <c r="G2854" s="11">
        <f>E2854*Summary!$B$6</f>
        <v/>
      </c>
      <c r="H2854" s="11">
        <f>F2854*Summary!$B$7</f>
        <v/>
      </c>
      <c r="I2854" s="11">
        <f>MAX(0,N2854-M2854)</f>
        <v/>
      </c>
      <c r="J2854" s="11">
        <f>MAX(0,M2854-N2854)</f>
        <v/>
      </c>
      <c r="K2854" s="11">
        <f>O2854</f>
        <v/>
      </c>
      <c r="L2854" s="11">
        <f>L2853+IF(K2854&gt;0,K2854*Summary!$B$9,K2854/Summary!$B$9)</f>
        <v/>
      </c>
      <c r="M2854" s="11">
        <f>G2854+H2854</f>
        <v/>
      </c>
      <c r="N2854" s="11">
        <f>Summary!$C$16*Summary!$B$8</f>
        <v/>
      </c>
      <c r="O2854" s="11">
        <f>M2854-N2854</f>
        <v/>
      </c>
    </row>
    <row r="2855">
      <c r="A2855" s="9" t="n">
        <v>45410.875</v>
      </c>
      <c r="B2855" t="n">
        <v>4</v>
      </c>
      <c r="C2855" t="n">
        <v>28</v>
      </c>
      <c r="D2855" t="n">
        <v>21</v>
      </c>
      <c r="E2855" s="10" t="n">
        <v>0</v>
      </c>
      <c r="F2855" s="10" t="n">
        <v>0.2594091502581961</v>
      </c>
      <c r="G2855" s="11">
        <f>E2855*Summary!$B$6</f>
        <v/>
      </c>
      <c r="H2855" s="11">
        <f>F2855*Summary!$B$7</f>
        <v/>
      </c>
      <c r="I2855" s="11">
        <f>MAX(0,N2855-M2855)</f>
        <v/>
      </c>
      <c r="J2855" s="11">
        <f>MAX(0,M2855-N2855)</f>
        <v/>
      </c>
      <c r="K2855" s="11">
        <f>O2855</f>
        <v/>
      </c>
      <c r="L2855" s="11">
        <f>L2854+IF(K2855&gt;0,K2855*Summary!$B$9,K2855/Summary!$B$9)</f>
        <v/>
      </c>
      <c r="M2855" s="11">
        <f>G2855+H2855</f>
        <v/>
      </c>
      <c r="N2855" s="11">
        <f>Summary!$C$16*Summary!$B$8</f>
        <v/>
      </c>
      <c r="O2855" s="11">
        <f>M2855-N2855</f>
        <v/>
      </c>
    </row>
    <row r="2856">
      <c r="A2856" s="9" t="n">
        <v>45410.91666666666</v>
      </c>
      <c r="B2856" t="n">
        <v>4</v>
      </c>
      <c r="C2856" t="n">
        <v>28</v>
      </c>
      <c r="D2856" t="n">
        <v>22</v>
      </c>
      <c r="E2856" s="10" t="n">
        <v>0</v>
      </c>
      <c r="F2856" s="10" t="n">
        <v>0.2688431685223605</v>
      </c>
      <c r="G2856" s="11">
        <f>E2856*Summary!$B$6</f>
        <v/>
      </c>
      <c r="H2856" s="11">
        <f>F2856*Summary!$B$7</f>
        <v/>
      </c>
      <c r="I2856" s="11">
        <f>MAX(0,N2856-M2856)</f>
        <v/>
      </c>
      <c r="J2856" s="11">
        <f>MAX(0,M2856-N2856)</f>
        <v/>
      </c>
      <c r="K2856" s="11">
        <f>O2856</f>
        <v/>
      </c>
      <c r="L2856" s="11">
        <f>L2855+IF(K2856&gt;0,K2856*Summary!$B$9,K2856/Summary!$B$9)</f>
        <v/>
      </c>
      <c r="M2856" s="11">
        <f>G2856+H2856</f>
        <v/>
      </c>
      <c r="N2856" s="11">
        <f>Summary!$C$16*Summary!$B$8</f>
        <v/>
      </c>
      <c r="O2856" s="11">
        <f>M2856-N2856</f>
        <v/>
      </c>
    </row>
    <row r="2857">
      <c r="A2857" s="9" t="n">
        <v>45410.95833333334</v>
      </c>
      <c r="B2857" t="n">
        <v>4</v>
      </c>
      <c r="C2857" t="n">
        <v>28</v>
      </c>
      <c r="D2857" t="n">
        <v>23</v>
      </c>
      <c r="E2857" s="10" t="n">
        <v>0</v>
      </c>
      <c r="F2857" s="10" t="n">
        <v>0.2580124939229985</v>
      </c>
      <c r="G2857" s="11">
        <f>E2857*Summary!$B$6</f>
        <v/>
      </c>
      <c r="H2857" s="11">
        <f>F2857*Summary!$B$7</f>
        <v/>
      </c>
      <c r="I2857" s="11">
        <f>MAX(0,N2857-M2857)</f>
        <v/>
      </c>
      <c r="J2857" s="11">
        <f>MAX(0,M2857-N2857)</f>
        <v/>
      </c>
      <c r="K2857" s="11">
        <f>O2857</f>
        <v/>
      </c>
      <c r="L2857" s="11">
        <f>L2856+IF(K2857&gt;0,K2857*Summary!$B$9,K2857/Summary!$B$9)</f>
        <v/>
      </c>
      <c r="M2857" s="11">
        <f>G2857+H2857</f>
        <v/>
      </c>
      <c r="N2857" s="11">
        <f>Summary!$C$16*Summary!$B$8</f>
        <v/>
      </c>
      <c r="O2857" s="11">
        <f>M2857-N2857</f>
        <v/>
      </c>
    </row>
    <row r="2858">
      <c r="A2858" s="9" t="n">
        <v>45411</v>
      </c>
      <c r="B2858" t="n">
        <v>4</v>
      </c>
      <c r="C2858" t="n">
        <v>29</v>
      </c>
      <c r="D2858" t="n">
        <v>0</v>
      </c>
      <c r="E2858" s="10" t="n">
        <v>0</v>
      </c>
      <c r="F2858" s="10" t="n">
        <v>0.2621761109222666</v>
      </c>
      <c r="G2858" s="11">
        <f>E2858*Summary!$B$6</f>
        <v/>
      </c>
      <c r="H2858" s="11">
        <f>F2858*Summary!$B$7</f>
        <v/>
      </c>
      <c r="I2858" s="11">
        <f>MAX(0,N2858-M2858)</f>
        <v/>
      </c>
      <c r="J2858" s="11">
        <f>MAX(0,M2858-N2858)</f>
        <v/>
      </c>
      <c r="K2858" s="11">
        <f>O2858</f>
        <v/>
      </c>
      <c r="L2858" s="11">
        <f>L2857+IF(K2858&gt;0,K2858*Summary!$B$9,K2858/Summary!$B$9)</f>
        <v/>
      </c>
      <c r="M2858" s="11">
        <f>G2858+H2858</f>
        <v/>
      </c>
      <c r="N2858" s="11">
        <f>Summary!$C$16*Summary!$B$8</f>
        <v/>
      </c>
      <c r="O2858" s="11">
        <f>M2858-N2858</f>
        <v/>
      </c>
    </row>
    <row r="2859">
      <c r="A2859" s="9" t="n">
        <v>45411.04166666666</v>
      </c>
      <c r="B2859" t="n">
        <v>4</v>
      </c>
      <c r="C2859" t="n">
        <v>29</v>
      </c>
      <c r="D2859" t="n">
        <v>1</v>
      </c>
      <c r="E2859" s="10" t="n">
        <v>0</v>
      </c>
      <c r="F2859" s="10" t="n">
        <v>0.2585922380621371</v>
      </c>
      <c r="G2859" s="11">
        <f>E2859*Summary!$B$6</f>
        <v/>
      </c>
      <c r="H2859" s="11">
        <f>F2859*Summary!$B$7</f>
        <v/>
      </c>
      <c r="I2859" s="11">
        <f>MAX(0,N2859-M2859)</f>
        <v/>
      </c>
      <c r="J2859" s="11">
        <f>MAX(0,M2859-N2859)</f>
        <v/>
      </c>
      <c r="K2859" s="11">
        <f>O2859</f>
        <v/>
      </c>
      <c r="L2859" s="11">
        <f>L2858+IF(K2859&gt;0,K2859*Summary!$B$9,K2859/Summary!$B$9)</f>
        <v/>
      </c>
      <c r="M2859" s="11">
        <f>G2859+H2859</f>
        <v/>
      </c>
      <c r="N2859" s="11">
        <f>Summary!$C$16*Summary!$B$8</f>
        <v/>
      </c>
      <c r="O2859" s="11">
        <f>M2859-N2859</f>
        <v/>
      </c>
    </row>
    <row r="2860">
      <c r="A2860" s="9" t="n">
        <v>45411.08333333334</v>
      </c>
      <c r="B2860" t="n">
        <v>4</v>
      </c>
      <c r="C2860" t="n">
        <v>29</v>
      </c>
      <c r="D2860" t="n">
        <v>2</v>
      </c>
      <c r="E2860" s="10" t="n">
        <v>0</v>
      </c>
      <c r="F2860" s="10" t="n">
        <v>0.251740716417772</v>
      </c>
      <c r="G2860" s="11">
        <f>E2860*Summary!$B$6</f>
        <v/>
      </c>
      <c r="H2860" s="11">
        <f>F2860*Summary!$B$7</f>
        <v/>
      </c>
      <c r="I2860" s="11">
        <f>MAX(0,N2860-M2860)</f>
        <v/>
      </c>
      <c r="J2860" s="11">
        <f>MAX(0,M2860-N2860)</f>
        <v/>
      </c>
      <c r="K2860" s="11">
        <f>O2860</f>
        <v/>
      </c>
      <c r="L2860" s="11">
        <f>L2859+IF(K2860&gt;0,K2860*Summary!$B$9,K2860/Summary!$B$9)</f>
        <v/>
      </c>
      <c r="M2860" s="11">
        <f>G2860+H2860</f>
        <v/>
      </c>
      <c r="N2860" s="11">
        <f>Summary!$C$16*Summary!$B$8</f>
        <v/>
      </c>
      <c r="O2860" s="11">
        <f>M2860-N2860</f>
        <v/>
      </c>
    </row>
    <row r="2861">
      <c r="A2861" s="9" t="n">
        <v>45411.125</v>
      </c>
      <c r="B2861" t="n">
        <v>4</v>
      </c>
      <c r="C2861" t="n">
        <v>29</v>
      </c>
      <c r="D2861" t="n">
        <v>3</v>
      </c>
      <c r="E2861" s="10" t="n">
        <v>0</v>
      </c>
      <c r="F2861" s="10" t="n">
        <v>0.2596463183151164</v>
      </c>
      <c r="G2861" s="11">
        <f>E2861*Summary!$B$6</f>
        <v/>
      </c>
      <c r="H2861" s="11">
        <f>F2861*Summary!$B$7</f>
        <v/>
      </c>
      <c r="I2861" s="11">
        <f>MAX(0,N2861-M2861)</f>
        <v/>
      </c>
      <c r="J2861" s="11">
        <f>MAX(0,M2861-N2861)</f>
        <v/>
      </c>
      <c r="K2861" s="11">
        <f>O2861</f>
        <v/>
      </c>
      <c r="L2861" s="11">
        <f>L2860+IF(K2861&gt;0,K2861*Summary!$B$9,K2861/Summary!$B$9)</f>
        <v/>
      </c>
      <c r="M2861" s="11">
        <f>G2861+H2861</f>
        <v/>
      </c>
      <c r="N2861" s="11">
        <f>Summary!$C$16*Summary!$B$8</f>
        <v/>
      </c>
      <c r="O2861" s="11">
        <f>M2861-N2861</f>
        <v/>
      </c>
    </row>
    <row r="2862">
      <c r="A2862" s="9" t="n">
        <v>45411.16666666666</v>
      </c>
      <c r="B2862" t="n">
        <v>4</v>
      </c>
      <c r="C2862" t="n">
        <v>29</v>
      </c>
      <c r="D2862" t="n">
        <v>4</v>
      </c>
      <c r="E2862" s="10" t="n">
        <v>0</v>
      </c>
      <c r="F2862" s="10" t="n">
        <v>0.2409363938247345</v>
      </c>
      <c r="G2862" s="11">
        <f>E2862*Summary!$B$6</f>
        <v/>
      </c>
      <c r="H2862" s="11">
        <f>F2862*Summary!$B$7</f>
        <v/>
      </c>
      <c r="I2862" s="11">
        <f>MAX(0,N2862-M2862)</f>
        <v/>
      </c>
      <c r="J2862" s="11">
        <f>MAX(0,M2862-N2862)</f>
        <v/>
      </c>
      <c r="K2862" s="11">
        <f>O2862</f>
        <v/>
      </c>
      <c r="L2862" s="11">
        <f>L2861+IF(K2862&gt;0,K2862*Summary!$B$9,K2862/Summary!$B$9)</f>
        <v/>
      </c>
      <c r="M2862" s="11">
        <f>G2862+H2862</f>
        <v/>
      </c>
      <c r="N2862" s="11">
        <f>Summary!$C$16*Summary!$B$8</f>
        <v/>
      </c>
      <c r="O2862" s="11">
        <f>M2862-N2862</f>
        <v/>
      </c>
    </row>
    <row r="2863">
      <c r="A2863" s="9" t="n">
        <v>45411.20833333334</v>
      </c>
      <c r="B2863" t="n">
        <v>4</v>
      </c>
      <c r="C2863" t="n">
        <v>29</v>
      </c>
      <c r="D2863" t="n">
        <v>5</v>
      </c>
      <c r="E2863" s="10" t="n">
        <v>0.033748</v>
      </c>
      <c r="F2863" s="10" t="n">
        <v>0.2316868396048415</v>
      </c>
      <c r="G2863" s="11">
        <f>E2863*Summary!$B$6</f>
        <v/>
      </c>
      <c r="H2863" s="11">
        <f>F2863*Summary!$B$7</f>
        <v/>
      </c>
      <c r="I2863" s="11">
        <f>MAX(0,N2863-M2863)</f>
        <v/>
      </c>
      <c r="J2863" s="11">
        <f>MAX(0,M2863-N2863)</f>
        <v/>
      </c>
      <c r="K2863" s="11">
        <f>O2863</f>
        <v/>
      </c>
      <c r="L2863" s="11">
        <f>L2862+IF(K2863&gt;0,K2863*Summary!$B$9,K2863/Summary!$B$9)</f>
        <v/>
      </c>
      <c r="M2863" s="11">
        <f>G2863+H2863</f>
        <v/>
      </c>
      <c r="N2863" s="11">
        <f>Summary!$C$16*Summary!$B$8</f>
        <v/>
      </c>
      <c r="O2863" s="11">
        <f>M2863-N2863</f>
        <v/>
      </c>
    </row>
    <row r="2864">
      <c r="A2864" s="9" t="n">
        <v>45411.25</v>
      </c>
      <c r="B2864" t="n">
        <v>4</v>
      </c>
      <c r="C2864" t="n">
        <v>29</v>
      </c>
      <c r="D2864" t="n">
        <v>6</v>
      </c>
      <c r="E2864" s="10" t="n">
        <v>0.114973</v>
      </c>
      <c r="F2864" s="10" t="n">
        <v>0.2095775062986015</v>
      </c>
      <c r="G2864" s="11">
        <f>E2864*Summary!$B$6</f>
        <v/>
      </c>
      <c r="H2864" s="11">
        <f>F2864*Summary!$B$7</f>
        <v/>
      </c>
      <c r="I2864" s="11">
        <f>MAX(0,N2864-M2864)</f>
        <v/>
      </c>
      <c r="J2864" s="11">
        <f>MAX(0,M2864-N2864)</f>
        <v/>
      </c>
      <c r="K2864" s="11">
        <f>O2864</f>
        <v/>
      </c>
      <c r="L2864" s="11">
        <f>L2863+IF(K2864&gt;0,K2864*Summary!$B$9,K2864/Summary!$B$9)</f>
        <v/>
      </c>
      <c r="M2864" s="11">
        <f>G2864+H2864</f>
        <v/>
      </c>
      <c r="N2864" s="11">
        <f>Summary!$C$16*Summary!$B$8</f>
        <v/>
      </c>
      <c r="O2864" s="11">
        <f>M2864-N2864</f>
        <v/>
      </c>
    </row>
    <row r="2865">
      <c r="A2865" s="9" t="n">
        <v>45411.29166666666</v>
      </c>
      <c r="B2865" t="n">
        <v>4</v>
      </c>
      <c r="C2865" t="n">
        <v>29</v>
      </c>
      <c r="D2865" t="n">
        <v>7</v>
      </c>
      <c r="E2865" s="10" t="n">
        <v>0.306264</v>
      </c>
      <c r="F2865" s="10" t="n">
        <v>0.1934764304343433</v>
      </c>
      <c r="G2865" s="11">
        <f>E2865*Summary!$B$6</f>
        <v/>
      </c>
      <c r="H2865" s="11">
        <f>F2865*Summary!$B$7</f>
        <v/>
      </c>
      <c r="I2865" s="11">
        <f>MAX(0,N2865-M2865)</f>
        <v/>
      </c>
      <c r="J2865" s="11">
        <f>MAX(0,M2865-N2865)</f>
        <v/>
      </c>
      <c r="K2865" s="11">
        <f>O2865</f>
        <v/>
      </c>
      <c r="L2865" s="11">
        <f>L2864+IF(K2865&gt;0,K2865*Summary!$B$9,K2865/Summary!$B$9)</f>
        <v/>
      </c>
      <c r="M2865" s="11">
        <f>G2865+H2865</f>
        <v/>
      </c>
      <c r="N2865" s="11">
        <f>Summary!$C$16*Summary!$B$8</f>
        <v/>
      </c>
      <c r="O2865" s="11">
        <f>M2865-N2865</f>
        <v/>
      </c>
    </row>
    <row r="2866">
      <c r="A2866" s="9" t="n">
        <v>45411.33333333334</v>
      </c>
      <c r="B2866" t="n">
        <v>4</v>
      </c>
      <c r="C2866" t="n">
        <v>29</v>
      </c>
      <c r="D2866" t="n">
        <v>8</v>
      </c>
      <c r="E2866" s="10" t="n">
        <v>0.5324</v>
      </c>
      <c r="F2866" s="10" t="n">
        <v>0.2022780005467201</v>
      </c>
      <c r="G2866" s="11">
        <f>E2866*Summary!$B$6</f>
        <v/>
      </c>
      <c r="H2866" s="11">
        <f>F2866*Summary!$B$7</f>
        <v/>
      </c>
      <c r="I2866" s="11">
        <f>MAX(0,N2866-M2866)</f>
        <v/>
      </c>
      <c r="J2866" s="11">
        <f>MAX(0,M2866-N2866)</f>
        <v/>
      </c>
      <c r="K2866" s="11">
        <f>O2866</f>
        <v/>
      </c>
      <c r="L2866" s="11">
        <f>L2865+IF(K2866&gt;0,K2866*Summary!$B$9,K2866/Summary!$B$9)</f>
        <v/>
      </c>
      <c r="M2866" s="11">
        <f>G2866+H2866</f>
        <v/>
      </c>
      <c r="N2866" s="11">
        <f>Summary!$C$16*Summary!$B$8</f>
        <v/>
      </c>
      <c r="O2866" s="11">
        <f>M2866-N2866</f>
        <v/>
      </c>
    </row>
    <row r="2867">
      <c r="A2867" s="9" t="n">
        <v>45411.375</v>
      </c>
      <c r="B2867" t="n">
        <v>4</v>
      </c>
      <c r="C2867" t="n">
        <v>29</v>
      </c>
      <c r="D2867" t="n">
        <v>9</v>
      </c>
      <c r="E2867" s="10" t="n">
        <v>0.689256</v>
      </c>
      <c r="F2867" s="10" t="n">
        <v>0.2084443700266488</v>
      </c>
      <c r="G2867" s="11">
        <f>E2867*Summary!$B$6</f>
        <v/>
      </c>
      <c r="H2867" s="11">
        <f>F2867*Summary!$B$7</f>
        <v/>
      </c>
      <c r="I2867" s="11">
        <f>MAX(0,N2867-M2867)</f>
        <v/>
      </c>
      <c r="J2867" s="11">
        <f>MAX(0,M2867-N2867)</f>
        <v/>
      </c>
      <c r="K2867" s="11">
        <f>O2867</f>
        <v/>
      </c>
      <c r="L2867" s="11">
        <f>L2866+IF(K2867&gt;0,K2867*Summary!$B$9,K2867/Summary!$B$9)</f>
        <v/>
      </c>
      <c r="M2867" s="11">
        <f>G2867+H2867</f>
        <v/>
      </c>
      <c r="N2867" s="11">
        <f>Summary!$C$16*Summary!$B$8</f>
        <v/>
      </c>
      <c r="O2867" s="11">
        <f>M2867-N2867</f>
        <v/>
      </c>
    </row>
    <row r="2868">
      <c r="A2868" s="9" t="n">
        <v>45411.41666666666</v>
      </c>
      <c r="B2868" t="n">
        <v>4</v>
      </c>
      <c r="C2868" t="n">
        <v>29</v>
      </c>
      <c r="D2868" t="n">
        <v>10</v>
      </c>
      <c r="E2868" s="10" t="n">
        <v>0.754058</v>
      </c>
      <c r="F2868" s="10" t="n">
        <v>0.2383011931922863</v>
      </c>
      <c r="G2868" s="11">
        <f>E2868*Summary!$B$6</f>
        <v/>
      </c>
      <c r="H2868" s="11">
        <f>F2868*Summary!$B$7</f>
        <v/>
      </c>
      <c r="I2868" s="11">
        <f>MAX(0,N2868-M2868)</f>
        <v/>
      </c>
      <c r="J2868" s="11">
        <f>MAX(0,M2868-N2868)</f>
        <v/>
      </c>
      <c r="K2868" s="11">
        <f>O2868</f>
        <v/>
      </c>
      <c r="L2868" s="11">
        <f>L2867+IF(K2868&gt;0,K2868*Summary!$B$9,K2868/Summary!$B$9)</f>
        <v/>
      </c>
      <c r="M2868" s="11">
        <f>G2868+H2868</f>
        <v/>
      </c>
      <c r="N2868" s="11">
        <f>Summary!$C$16*Summary!$B$8</f>
        <v/>
      </c>
      <c r="O2868" s="11">
        <f>M2868-N2868</f>
        <v/>
      </c>
    </row>
    <row r="2869">
      <c r="A2869" s="9" t="n">
        <v>45411.45833333334</v>
      </c>
      <c r="B2869" t="n">
        <v>4</v>
      </c>
      <c r="C2869" t="n">
        <v>29</v>
      </c>
      <c r="D2869" t="n">
        <v>11</v>
      </c>
      <c r="E2869" s="10" t="n">
        <v>0.754058</v>
      </c>
      <c r="F2869" s="10" t="n">
        <v>0.2297367911368299</v>
      </c>
      <c r="G2869" s="11">
        <f>E2869*Summary!$B$6</f>
        <v/>
      </c>
      <c r="H2869" s="11">
        <f>F2869*Summary!$B$7</f>
        <v/>
      </c>
      <c r="I2869" s="11">
        <f>MAX(0,N2869-M2869)</f>
        <v/>
      </c>
      <c r="J2869" s="11">
        <f>MAX(0,M2869-N2869)</f>
        <v/>
      </c>
      <c r="K2869" s="11">
        <f>O2869</f>
        <v/>
      </c>
      <c r="L2869" s="11">
        <f>L2868+IF(K2869&gt;0,K2869*Summary!$B$9,K2869/Summary!$B$9)</f>
        <v/>
      </c>
      <c r="M2869" s="11">
        <f>G2869+H2869</f>
        <v/>
      </c>
      <c r="N2869" s="11">
        <f>Summary!$C$16*Summary!$B$8</f>
        <v/>
      </c>
      <c r="O2869" s="11">
        <f>M2869-N2869</f>
        <v/>
      </c>
    </row>
    <row r="2870">
      <c r="A2870" s="9" t="n">
        <v>45411.5</v>
      </c>
      <c r="B2870" t="n">
        <v>4</v>
      </c>
      <c r="C2870" t="n">
        <v>29</v>
      </c>
      <c r="D2870" t="n">
        <v>12</v>
      </c>
      <c r="E2870" s="10" t="n">
        <v>0.754058</v>
      </c>
      <c r="F2870" s="10" t="n">
        <v>0.2354024724965934</v>
      </c>
      <c r="G2870" s="11">
        <f>E2870*Summary!$B$6</f>
        <v/>
      </c>
      <c r="H2870" s="11">
        <f>F2870*Summary!$B$7</f>
        <v/>
      </c>
      <c r="I2870" s="11">
        <f>MAX(0,N2870-M2870)</f>
        <v/>
      </c>
      <c r="J2870" s="11">
        <f>MAX(0,M2870-N2870)</f>
        <v/>
      </c>
      <c r="K2870" s="11">
        <f>O2870</f>
        <v/>
      </c>
      <c r="L2870" s="11">
        <f>L2869+IF(K2870&gt;0,K2870*Summary!$B$9,K2870/Summary!$B$9)</f>
        <v/>
      </c>
      <c r="M2870" s="11">
        <f>G2870+H2870</f>
        <v/>
      </c>
      <c r="N2870" s="11">
        <f>Summary!$C$16*Summary!$B$8</f>
        <v/>
      </c>
      <c r="O2870" s="11">
        <f>M2870-N2870</f>
        <v/>
      </c>
    </row>
    <row r="2871">
      <c r="A2871" s="9" t="n">
        <v>45411.54166666666</v>
      </c>
      <c r="B2871" t="n">
        <v>4</v>
      </c>
      <c r="C2871" t="n">
        <v>29</v>
      </c>
      <c r="D2871" t="n">
        <v>13</v>
      </c>
      <c r="E2871" s="10" t="n">
        <v>0.367377</v>
      </c>
      <c r="F2871" s="10" t="n">
        <v>0.2422803461472831</v>
      </c>
      <c r="G2871" s="11">
        <f>E2871*Summary!$B$6</f>
        <v/>
      </c>
      <c r="H2871" s="11">
        <f>F2871*Summary!$B$7</f>
        <v/>
      </c>
      <c r="I2871" s="11">
        <f>MAX(0,N2871-M2871)</f>
        <v/>
      </c>
      <c r="J2871" s="11">
        <f>MAX(0,M2871-N2871)</f>
        <v/>
      </c>
      <c r="K2871" s="11">
        <f>O2871</f>
        <v/>
      </c>
      <c r="L2871" s="11">
        <f>L2870+IF(K2871&gt;0,K2871*Summary!$B$9,K2871/Summary!$B$9)</f>
        <v/>
      </c>
      <c r="M2871" s="11">
        <f>G2871+H2871</f>
        <v/>
      </c>
      <c r="N2871" s="11">
        <f>Summary!$C$16*Summary!$B$8</f>
        <v/>
      </c>
      <c r="O2871" s="11">
        <f>M2871-N2871</f>
        <v/>
      </c>
    </row>
    <row r="2872">
      <c r="A2872" s="9" t="n">
        <v>45411.58333333334</v>
      </c>
      <c r="B2872" t="n">
        <v>4</v>
      </c>
      <c r="C2872" t="n">
        <v>29</v>
      </c>
      <c r="D2872" t="n">
        <v>14</v>
      </c>
      <c r="E2872" s="10" t="n">
        <v>0.620694</v>
      </c>
      <c r="F2872" s="10" t="n">
        <v>0.250265004063601</v>
      </c>
      <c r="G2872" s="11">
        <f>E2872*Summary!$B$6</f>
        <v/>
      </c>
      <c r="H2872" s="11">
        <f>F2872*Summary!$B$7</f>
        <v/>
      </c>
      <c r="I2872" s="11">
        <f>MAX(0,N2872-M2872)</f>
        <v/>
      </c>
      <c r="J2872" s="11">
        <f>MAX(0,M2872-N2872)</f>
        <v/>
      </c>
      <c r="K2872" s="11">
        <f>O2872</f>
        <v/>
      </c>
      <c r="L2872" s="11">
        <f>L2871+IF(K2872&gt;0,K2872*Summary!$B$9,K2872/Summary!$B$9)</f>
        <v/>
      </c>
      <c r="M2872" s="11">
        <f>G2872+H2872</f>
        <v/>
      </c>
      <c r="N2872" s="11">
        <f>Summary!$C$16*Summary!$B$8</f>
        <v/>
      </c>
      <c r="O2872" s="11">
        <f>M2872-N2872</f>
        <v/>
      </c>
    </row>
    <row r="2873">
      <c r="A2873" s="9" t="n">
        <v>45411.625</v>
      </c>
      <c r="B2873" t="n">
        <v>4</v>
      </c>
      <c r="C2873" t="n">
        <v>29</v>
      </c>
      <c r="D2873" t="n">
        <v>15</v>
      </c>
      <c r="E2873" s="10" t="n">
        <v>0.524244</v>
      </c>
      <c r="F2873" s="10" t="n">
        <v>0.2516089563861496</v>
      </c>
      <c r="G2873" s="11">
        <f>E2873*Summary!$B$6</f>
        <v/>
      </c>
      <c r="H2873" s="11">
        <f>F2873*Summary!$B$7</f>
        <v/>
      </c>
      <c r="I2873" s="11">
        <f>MAX(0,N2873-M2873)</f>
        <v/>
      </c>
      <c r="J2873" s="11">
        <f>MAX(0,M2873-N2873)</f>
        <v/>
      </c>
      <c r="K2873" s="11">
        <f>O2873</f>
        <v/>
      </c>
      <c r="L2873" s="11">
        <f>L2872+IF(K2873&gt;0,K2873*Summary!$B$9,K2873/Summary!$B$9)</f>
        <v/>
      </c>
      <c r="M2873" s="11">
        <f>G2873+H2873</f>
        <v/>
      </c>
      <c r="N2873" s="11">
        <f>Summary!$C$16*Summary!$B$8</f>
        <v/>
      </c>
      <c r="O2873" s="11">
        <f>M2873-N2873</f>
        <v/>
      </c>
    </row>
    <row r="2874">
      <c r="A2874" s="9" t="n">
        <v>45411.66666666666</v>
      </c>
      <c r="B2874" t="n">
        <v>4</v>
      </c>
      <c r="C2874" t="n">
        <v>29</v>
      </c>
      <c r="D2874" t="n">
        <v>16</v>
      </c>
      <c r="E2874" s="10" t="n">
        <v>0.38979</v>
      </c>
      <c r="F2874" s="10" t="n">
        <v>0.2617544788210749</v>
      </c>
      <c r="G2874" s="11">
        <f>E2874*Summary!$B$6</f>
        <v/>
      </c>
      <c r="H2874" s="11">
        <f>F2874*Summary!$B$7</f>
        <v/>
      </c>
      <c r="I2874" s="11">
        <f>MAX(0,N2874-M2874)</f>
        <v/>
      </c>
      <c r="J2874" s="11">
        <f>MAX(0,M2874-N2874)</f>
        <v/>
      </c>
      <c r="K2874" s="11">
        <f>O2874</f>
        <v/>
      </c>
      <c r="L2874" s="11">
        <f>L2873+IF(K2874&gt;0,K2874*Summary!$B$9,K2874/Summary!$B$9)</f>
        <v/>
      </c>
      <c r="M2874" s="11">
        <f>G2874+H2874</f>
        <v/>
      </c>
      <c r="N2874" s="11">
        <f>Summary!$C$16*Summary!$B$8</f>
        <v/>
      </c>
      <c r="O2874" s="11">
        <f>M2874-N2874</f>
        <v/>
      </c>
    </row>
    <row r="2875">
      <c r="A2875" s="9" t="n">
        <v>45411.70833333334</v>
      </c>
      <c r="B2875" t="n">
        <v>4</v>
      </c>
      <c r="C2875" t="n">
        <v>29</v>
      </c>
      <c r="D2875" t="n">
        <v>17</v>
      </c>
      <c r="E2875" s="10" t="n">
        <v>0.151206</v>
      </c>
      <c r="F2875" s="10" t="n">
        <v>0.2262319742956738</v>
      </c>
      <c r="G2875" s="11">
        <f>E2875*Summary!$B$6</f>
        <v/>
      </c>
      <c r="H2875" s="11">
        <f>F2875*Summary!$B$7</f>
        <v/>
      </c>
      <c r="I2875" s="11">
        <f>MAX(0,N2875-M2875)</f>
        <v/>
      </c>
      <c r="J2875" s="11">
        <f>MAX(0,M2875-N2875)</f>
        <v/>
      </c>
      <c r="K2875" s="11">
        <f>O2875</f>
        <v/>
      </c>
      <c r="L2875" s="11">
        <f>L2874+IF(K2875&gt;0,K2875*Summary!$B$9,K2875/Summary!$B$9)</f>
        <v/>
      </c>
      <c r="M2875" s="11">
        <f>G2875+H2875</f>
        <v/>
      </c>
      <c r="N2875" s="11">
        <f>Summary!$C$16*Summary!$B$8</f>
        <v/>
      </c>
      <c r="O2875" s="11">
        <f>M2875-N2875</f>
        <v/>
      </c>
    </row>
    <row r="2876">
      <c r="A2876" s="9" t="n">
        <v>45411.75</v>
      </c>
      <c r="B2876" t="n">
        <v>4</v>
      </c>
      <c r="C2876" t="n">
        <v>29</v>
      </c>
      <c r="D2876" t="n">
        <v>18</v>
      </c>
      <c r="E2876" s="10" t="n">
        <v>0.047941</v>
      </c>
      <c r="F2876" s="10" t="n">
        <v>0.2122127069310497</v>
      </c>
      <c r="G2876" s="11">
        <f>E2876*Summary!$B$6</f>
        <v/>
      </c>
      <c r="H2876" s="11">
        <f>F2876*Summary!$B$7</f>
        <v/>
      </c>
      <c r="I2876" s="11">
        <f>MAX(0,N2876-M2876)</f>
        <v/>
      </c>
      <c r="J2876" s="11">
        <f>MAX(0,M2876-N2876)</f>
        <v/>
      </c>
      <c r="K2876" s="11">
        <f>O2876</f>
        <v/>
      </c>
      <c r="L2876" s="11">
        <f>L2875+IF(K2876&gt;0,K2876*Summary!$B$9,K2876/Summary!$B$9)</f>
        <v/>
      </c>
      <c r="M2876" s="11">
        <f>G2876+H2876</f>
        <v/>
      </c>
      <c r="N2876" s="11">
        <f>Summary!$C$16*Summary!$B$8</f>
        <v/>
      </c>
      <c r="O2876" s="11">
        <f>M2876-N2876</f>
        <v/>
      </c>
    </row>
    <row r="2877">
      <c r="A2877" s="9" t="n">
        <v>45411.79166666666</v>
      </c>
      <c r="B2877" t="n">
        <v>4</v>
      </c>
      <c r="C2877" t="n">
        <v>29</v>
      </c>
      <c r="D2877" t="n">
        <v>19</v>
      </c>
      <c r="E2877" s="10" t="n">
        <v>0.008188000000000001</v>
      </c>
      <c r="F2877" s="10" t="n">
        <v>0.2183000203920049</v>
      </c>
      <c r="G2877" s="11">
        <f>E2877*Summary!$B$6</f>
        <v/>
      </c>
      <c r="H2877" s="11">
        <f>F2877*Summary!$B$7</f>
        <v/>
      </c>
      <c r="I2877" s="11">
        <f>MAX(0,N2877-M2877)</f>
        <v/>
      </c>
      <c r="J2877" s="11">
        <f>MAX(0,M2877-N2877)</f>
        <v/>
      </c>
      <c r="K2877" s="11">
        <f>O2877</f>
        <v/>
      </c>
      <c r="L2877" s="11">
        <f>L2876+IF(K2877&gt;0,K2877*Summary!$B$9,K2877/Summary!$B$9)</f>
        <v/>
      </c>
      <c r="M2877" s="11">
        <f>G2877+H2877</f>
        <v/>
      </c>
      <c r="N2877" s="11">
        <f>Summary!$C$16*Summary!$B$8</f>
        <v/>
      </c>
      <c r="O2877" s="11">
        <f>M2877-N2877</f>
        <v/>
      </c>
    </row>
    <row r="2878">
      <c r="A2878" s="9" t="n">
        <v>45411.83333333334</v>
      </c>
      <c r="B2878" t="n">
        <v>4</v>
      </c>
      <c r="C2878" t="n">
        <v>29</v>
      </c>
      <c r="D2878" t="n">
        <v>20</v>
      </c>
      <c r="E2878" s="10" t="n">
        <v>0</v>
      </c>
      <c r="F2878" s="10" t="n">
        <v>0.2353497684839444</v>
      </c>
      <c r="G2878" s="11">
        <f>E2878*Summary!$B$6</f>
        <v/>
      </c>
      <c r="H2878" s="11">
        <f>F2878*Summary!$B$7</f>
        <v/>
      </c>
      <c r="I2878" s="11">
        <f>MAX(0,N2878-M2878)</f>
        <v/>
      </c>
      <c r="J2878" s="11">
        <f>MAX(0,M2878-N2878)</f>
        <v/>
      </c>
      <c r="K2878" s="11">
        <f>O2878</f>
        <v/>
      </c>
      <c r="L2878" s="11">
        <f>L2877+IF(K2878&gt;0,K2878*Summary!$B$9,K2878/Summary!$B$9)</f>
        <v/>
      </c>
      <c r="M2878" s="11">
        <f>G2878+H2878</f>
        <v/>
      </c>
      <c r="N2878" s="11">
        <f>Summary!$C$16*Summary!$B$8</f>
        <v/>
      </c>
      <c r="O2878" s="11">
        <f>M2878-N2878</f>
        <v/>
      </c>
    </row>
    <row r="2879">
      <c r="A2879" s="9" t="n">
        <v>45411.875</v>
      </c>
      <c r="B2879" t="n">
        <v>4</v>
      </c>
      <c r="C2879" t="n">
        <v>29</v>
      </c>
      <c r="D2879" t="n">
        <v>21</v>
      </c>
      <c r="E2879" s="10" t="n">
        <v>0</v>
      </c>
      <c r="F2879" s="10" t="n">
        <v>0.2491318677916483</v>
      </c>
      <c r="G2879" s="11">
        <f>E2879*Summary!$B$6</f>
        <v/>
      </c>
      <c r="H2879" s="11">
        <f>F2879*Summary!$B$7</f>
        <v/>
      </c>
      <c r="I2879" s="11">
        <f>MAX(0,N2879-M2879)</f>
        <v/>
      </c>
      <c r="J2879" s="11">
        <f>MAX(0,M2879-N2879)</f>
        <v/>
      </c>
      <c r="K2879" s="11">
        <f>O2879</f>
        <v/>
      </c>
      <c r="L2879" s="11">
        <f>L2878+IF(K2879&gt;0,K2879*Summary!$B$9,K2879/Summary!$B$9)</f>
        <v/>
      </c>
      <c r="M2879" s="11">
        <f>G2879+H2879</f>
        <v/>
      </c>
      <c r="N2879" s="11">
        <f>Summary!$C$16*Summary!$B$8</f>
        <v/>
      </c>
      <c r="O2879" s="11">
        <f>M2879-N2879</f>
        <v/>
      </c>
    </row>
    <row r="2880">
      <c r="A2880" s="9" t="n">
        <v>45411.91666666666</v>
      </c>
      <c r="B2880" t="n">
        <v>4</v>
      </c>
      <c r="C2880" t="n">
        <v>29</v>
      </c>
      <c r="D2880" t="n">
        <v>22</v>
      </c>
      <c r="E2880" s="10" t="n">
        <v>0</v>
      </c>
      <c r="F2880" s="10" t="n">
        <v>0.2560624454549869</v>
      </c>
      <c r="G2880" s="11">
        <f>E2880*Summary!$B$6</f>
        <v/>
      </c>
      <c r="H2880" s="11">
        <f>F2880*Summary!$B$7</f>
        <v/>
      </c>
      <c r="I2880" s="11">
        <f>MAX(0,N2880-M2880)</f>
        <v/>
      </c>
      <c r="J2880" s="11">
        <f>MAX(0,M2880-N2880)</f>
        <v/>
      </c>
      <c r="K2880" s="11">
        <f>O2880</f>
        <v/>
      </c>
      <c r="L2880" s="11">
        <f>L2879+IF(K2880&gt;0,K2880*Summary!$B$9,K2880/Summary!$B$9)</f>
        <v/>
      </c>
      <c r="M2880" s="11">
        <f>G2880+H2880</f>
        <v/>
      </c>
      <c r="N2880" s="11">
        <f>Summary!$C$16*Summary!$B$8</f>
        <v/>
      </c>
      <c r="O2880" s="11">
        <f>M2880-N2880</f>
        <v/>
      </c>
    </row>
    <row r="2881">
      <c r="A2881" s="9" t="n">
        <v>45411.95833333334</v>
      </c>
      <c r="B2881" t="n">
        <v>4</v>
      </c>
      <c r="C2881" t="n">
        <v>29</v>
      </c>
      <c r="D2881" t="n">
        <v>23</v>
      </c>
      <c r="E2881" s="10" t="n">
        <v>0</v>
      </c>
      <c r="F2881" s="10" t="n">
        <v>0.2556408133537952</v>
      </c>
      <c r="G2881" s="11">
        <f>E2881*Summary!$B$6</f>
        <v/>
      </c>
      <c r="H2881" s="11">
        <f>F2881*Summary!$B$7</f>
        <v/>
      </c>
      <c r="I2881" s="11">
        <f>MAX(0,N2881-M2881)</f>
        <v/>
      </c>
      <c r="J2881" s="11">
        <f>MAX(0,M2881-N2881)</f>
        <v/>
      </c>
      <c r="K2881" s="11">
        <f>O2881</f>
        <v/>
      </c>
      <c r="L2881" s="11">
        <f>L2880+IF(K2881&gt;0,K2881*Summary!$B$9,K2881/Summary!$B$9)</f>
        <v/>
      </c>
      <c r="M2881" s="11">
        <f>G2881+H2881</f>
        <v/>
      </c>
      <c r="N2881" s="11">
        <f>Summary!$C$16*Summary!$B$8</f>
        <v/>
      </c>
      <c r="O2881" s="11">
        <f>M2881-N2881</f>
        <v/>
      </c>
    </row>
    <row r="2882">
      <c r="A2882" s="9" t="n">
        <v>45412</v>
      </c>
      <c r="B2882" t="n">
        <v>4</v>
      </c>
      <c r="C2882" t="n">
        <v>30</v>
      </c>
      <c r="D2882" t="n">
        <v>0</v>
      </c>
      <c r="E2882" s="10" t="n">
        <v>0</v>
      </c>
      <c r="F2882" s="10" t="n">
        <v>0.2277076866498448</v>
      </c>
      <c r="G2882" s="11">
        <f>E2882*Summary!$B$6</f>
        <v/>
      </c>
      <c r="H2882" s="11">
        <f>F2882*Summary!$B$7</f>
        <v/>
      </c>
      <c r="I2882" s="11">
        <f>MAX(0,N2882-M2882)</f>
        <v/>
      </c>
      <c r="J2882" s="11">
        <f>MAX(0,M2882-N2882)</f>
        <v/>
      </c>
      <c r="K2882" s="11">
        <f>O2882</f>
        <v/>
      </c>
      <c r="L2882" s="11">
        <f>L2881+IF(K2882&gt;0,K2882*Summary!$B$9,K2882/Summary!$B$9)</f>
        <v/>
      </c>
      <c r="M2882" s="11">
        <f>G2882+H2882</f>
        <v/>
      </c>
      <c r="N2882" s="11">
        <f>Summary!$C$16*Summary!$B$8</f>
        <v/>
      </c>
      <c r="O2882" s="11">
        <f>M2882-N2882</f>
        <v/>
      </c>
    </row>
    <row r="2883">
      <c r="A2883" s="9" t="n">
        <v>45412.04166666666</v>
      </c>
      <c r="B2883" t="n">
        <v>4</v>
      </c>
      <c r="C2883" t="n">
        <v>30</v>
      </c>
      <c r="D2883" t="n">
        <v>1</v>
      </c>
      <c r="E2883" s="10" t="n">
        <v>0</v>
      </c>
      <c r="F2883" s="10" t="n">
        <v>0.2656282237507737</v>
      </c>
      <c r="G2883" s="11">
        <f>E2883*Summary!$B$6</f>
        <v/>
      </c>
      <c r="H2883" s="11">
        <f>F2883*Summary!$B$7</f>
        <v/>
      </c>
      <c r="I2883" s="11">
        <f>MAX(0,N2883-M2883)</f>
        <v/>
      </c>
      <c r="J2883" s="11">
        <f>MAX(0,M2883-N2883)</f>
        <v/>
      </c>
      <c r="K2883" s="11">
        <f>O2883</f>
        <v/>
      </c>
      <c r="L2883" s="11">
        <f>L2882+IF(K2883&gt;0,K2883*Summary!$B$9,K2883/Summary!$B$9)</f>
        <v/>
      </c>
      <c r="M2883" s="11">
        <f>G2883+H2883</f>
        <v/>
      </c>
      <c r="N2883" s="11">
        <f>Summary!$C$16*Summary!$B$8</f>
        <v/>
      </c>
      <c r="O2883" s="11">
        <f>M2883-N2883</f>
        <v/>
      </c>
    </row>
    <row r="2884">
      <c r="A2884" s="9" t="n">
        <v>45412.08333333334</v>
      </c>
      <c r="B2884" t="n">
        <v>4</v>
      </c>
      <c r="C2884" t="n">
        <v>30</v>
      </c>
      <c r="D2884" t="n">
        <v>2</v>
      </c>
      <c r="E2884" s="10" t="n">
        <v>0</v>
      </c>
      <c r="F2884" s="10" t="n">
        <v>0.2684742404338177</v>
      </c>
      <c r="G2884" s="11">
        <f>E2884*Summary!$B$6</f>
        <v/>
      </c>
      <c r="H2884" s="11">
        <f>F2884*Summary!$B$7</f>
        <v/>
      </c>
      <c r="I2884" s="11">
        <f>MAX(0,N2884-M2884)</f>
        <v/>
      </c>
      <c r="J2884" s="11">
        <f>MAX(0,M2884-N2884)</f>
        <v/>
      </c>
      <c r="K2884" s="11">
        <f>O2884</f>
        <v/>
      </c>
      <c r="L2884" s="11">
        <f>L2883+IF(K2884&gt;0,K2884*Summary!$B$9,K2884/Summary!$B$9)</f>
        <v/>
      </c>
      <c r="M2884" s="11">
        <f>G2884+H2884</f>
        <v/>
      </c>
      <c r="N2884" s="11">
        <f>Summary!$C$16*Summary!$B$8</f>
        <v/>
      </c>
      <c r="O2884" s="11">
        <f>M2884-N2884</f>
        <v/>
      </c>
    </row>
    <row r="2885">
      <c r="A2885" s="9" t="n">
        <v>45412.125</v>
      </c>
      <c r="B2885" t="n">
        <v>4</v>
      </c>
      <c r="C2885" t="n">
        <v>30</v>
      </c>
      <c r="D2885" t="n">
        <v>3</v>
      </c>
      <c r="E2885" s="10" t="n">
        <v>0</v>
      </c>
      <c r="F2885" s="10" t="n">
        <v>0.2718472972433513</v>
      </c>
      <c r="G2885" s="11">
        <f>E2885*Summary!$B$6</f>
        <v/>
      </c>
      <c r="H2885" s="11">
        <f>F2885*Summary!$B$7</f>
        <v/>
      </c>
      <c r="I2885" s="11">
        <f>MAX(0,N2885-M2885)</f>
        <v/>
      </c>
      <c r="J2885" s="11">
        <f>MAX(0,M2885-N2885)</f>
        <v/>
      </c>
      <c r="K2885" s="11">
        <f>O2885</f>
        <v/>
      </c>
      <c r="L2885" s="11">
        <f>L2884+IF(K2885&gt;0,K2885*Summary!$B$9,K2885/Summary!$B$9)</f>
        <v/>
      </c>
      <c r="M2885" s="11">
        <f>G2885+H2885</f>
        <v/>
      </c>
      <c r="N2885" s="11">
        <f>Summary!$C$16*Summary!$B$8</f>
        <v/>
      </c>
      <c r="O2885" s="11">
        <f>M2885-N2885</f>
        <v/>
      </c>
    </row>
    <row r="2886">
      <c r="A2886" s="9" t="n">
        <v>45412.16666666666</v>
      </c>
      <c r="B2886" t="n">
        <v>4</v>
      </c>
      <c r="C2886" t="n">
        <v>30</v>
      </c>
      <c r="D2886" t="n">
        <v>4</v>
      </c>
      <c r="E2886" s="10" t="n">
        <v>0</v>
      </c>
      <c r="F2886" s="10" t="n">
        <v>0.2742980338315281</v>
      </c>
      <c r="G2886" s="11">
        <f>E2886*Summary!$B$6</f>
        <v/>
      </c>
      <c r="H2886" s="11">
        <f>F2886*Summary!$B$7</f>
        <v/>
      </c>
      <c r="I2886" s="11">
        <f>MAX(0,N2886-M2886)</f>
        <v/>
      </c>
      <c r="J2886" s="11">
        <f>MAX(0,M2886-N2886)</f>
        <v/>
      </c>
      <c r="K2886" s="11">
        <f>O2886</f>
        <v/>
      </c>
      <c r="L2886" s="11">
        <f>L2885+IF(K2886&gt;0,K2886*Summary!$B$9,K2886/Summary!$B$9)</f>
        <v/>
      </c>
      <c r="M2886" s="11">
        <f>G2886+H2886</f>
        <v/>
      </c>
      <c r="N2886" s="11">
        <f>Summary!$C$16*Summary!$B$8</f>
        <v/>
      </c>
      <c r="O2886" s="11">
        <f>M2886-N2886</f>
        <v/>
      </c>
    </row>
    <row r="2887">
      <c r="A2887" s="9" t="n">
        <v>45412.20833333334</v>
      </c>
      <c r="B2887" t="n">
        <v>4</v>
      </c>
      <c r="C2887" t="n">
        <v>30</v>
      </c>
      <c r="D2887" t="n">
        <v>5</v>
      </c>
      <c r="E2887" s="10" t="n">
        <v>0.021406</v>
      </c>
      <c r="F2887" s="10" t="n">
        <v>0.2650221276053106</v>
      </c>
      <c r="G2887" s="11">
        <f>E2887*Summary!$B$6</f>
        <v/>
      </c>
      <c r="H2887" s="11">
        <f>F2887*Summary!$B$7</f>
        <v/>
      </c>
      <c r="I2887" s="11">
        <f>MAX(0,N2887-M2887)</f>
        <v/>
      </c>
      <c r="J2887" s="11">
        <f>MAX(0,M2887-N2887)</f>
        <v/>
      </c>
      <c r="K2887" s="11">
        <f>O2887</f>
        <v/>
      </c>
      <c r="L2887" s="11">
        <f>L2886+IF(K2887&gt;0,K2887*Summary!$B$9,K2887/Summary!$B$9)</f>
        <v/>
      </c>
      <c r="M2887" s="11">
        <f>G2887+H2887</f>
        <v/>
      </c>
      <c r="N2887" s="11">
        <f>Summary!$C$16*Summary!$B$8</f>
        <v/>
      </c>
      <c r="O2887" s="11">
        <f>M2887-N2887</f>
        <v/>
      </c>
    </row>
    <row r="2888">
      <c r="A2888" s="9" t="n">
        <v>45412.25</v>
      </c>
      <c r="B2888" t="n">
        <v>4</v>
      </c>
      <c r="C2888" t="n">
        <v>30</v>
      </c>
      <c r="D2888" t="n">
        <v>6</v>
      </c>
      <c r="E2888" s="10" t="n">
        <v>0.100682</v>
      </c>
      <c r="F2888" s="10" t="n">
        <v>0.2314760235542457</v>
      </c>
      <c r="G2888" s="11">
        <f>E2888*Summary!$B$6</f>
        <v/>
      </c>
      <c r="H2888" s="11">
        <f>F2888*Summary!$B$7</f>
        <v/>
      </c>
      <c r="I2888" s="11">
        <f>MAX(0,N2888-M2888)</f>
        <v/>
      </c>
      <c r="J2888" s="11">
        <f>MAX(0,M2888-N2888)</f>
        <v/>
      </c>
      <c r="K2888" s="11">
        <f>O2888</f>
        <v/>
      </c>
      <c r="L2888" s="11">
        <f>L2887+IF(K2888&gt;0,K2888*Summary!$B$9,K2888/Summary!$B$9)</f>
        <v/>
      </c>
      <c r="M2888" s="11">
        <f>G2888+H2888</f>
        <v/>
      </c>
      <c r="N2888" s="11">
        <f>Summary!$C$16*Summary!$B$8</f>
        <v/>
      </c>
      <c r="O2888" s="11">
        <f>M2888-N2888</f>
        <v/>
      </c>
    </row>
    <row r="2889">
      <c r="A2889" s="9" t="n">
        <v>45412.29166666666</v>
      </c>
      <c r="B2889" t="n">
        <v>4</v>
      </c>
      <c r="C2889" t="n">
        <v>30</v>
      </c>
      <c r="D2889" t="n">
        <v>7</v>
      </c>
      <c r="E2889" s="10" t="n">
        <v>0.094045</v>
      </c>
      <c r="F2889" s="10" t="n">
        <v>0.2103417144820115</v>
      </c>
      <c r="G2889" s="11">
        <f>E2889*Summary!$B$6</f>
        <v/>
      </c>
      <c r="H2889" s="11">
        <f>F2889*Summary!$B$7</f>
        <v/>
      </c>
      <c r="I2889" s="11">
        <f>MAX(0,N2889-M2889)</f>
        <v/>
      </c>
      <c r="J2889" s="11">
        <f>MAX(0,M2889-N2889)</f>
        <v/>
      </c>
      <c r="K2889" s="11">
        <f>O2889</f>
        <v/>
      </c>
      <c r="L2889" s="11">
        <f>L2888+IF(K2889&gt;0,K2889*Summary!$B$9,K2889/Summary!$B$9)</f>
        <v/>
      </c>
      <c r="M2889" s="11">
        <f>G2889+H2889</f>
        <v/>
      </c>
      <c r="N2889" s="11">
        <f>Summary!$C$16*Summary!$B$8</f>
        <v/>
      </c>
      <c r="O2889" s="11">
        <f>M2889-N2889</f>
        <v/>
      </c>
    </row>
    <row r="2890">
      <c r="A2890" s="9" t="n">
        <v>45412.33333333334</v>
      </c>
      <c r="B2890" t="n">
        <v>4</v>
      </c>
      <c r="C2890" t="n">
        <v>30</v>
      </c>
      <c r="D2890" t="n">
        <v>8</v>
      </c>
      <c r="E2890" s="10" t="n">
        <v>0.20225</v>
      </c>
      <c r="F2890" s="10" t="n">
        <v>0.2066787856029086</v>
      </c>
      <c r="G2890" s="11">
        <f>E2890*Summary!$B$6</f>
        <v/>
      </c>
      <c r="H2890" s="11">
        <f>F2890*Summary!$B$7</f>
        <v/>
      </c>
      <c r="I2890" s="11">
        <f>MAX(0,N2890-M2890)</f>
        <v/>
      </c>
      <c r="J2890" s="11">
        <f>MAX(0,M2890-N2890)</f>
        <v/>
      </c>
      <c r="K2890" s="11">
        <f>O2890</f>
        <v/>
      </c>
      <c r="L2890" s="11">
        <f>L2889+IF(K2890&gt;0,K2890*Summary!$B$9,K2890/Summary!$B$9)</f>
        <v/>
      </c>
      <c r="M2890" s="11">
        <f>G2890+H2890</f>
        <v/>
      </c>
      <c r="N2890" s="11">
        <f>Summary!$C$16*Summary!$B$8</f>
        <v/>
      </c>
      <c r="O2890" s="11">
        <f>M2890-N2890</f>
        <v/>
      </c>
    </row>
    <row r="2891">
      <c r="A2891" s="9" t="n">
        <v>45412.375</v>
      </c>
      <c r="B2891" t="n">
        <v>4</v>
      </c>
      <c r="C2891" t="n">
        <v>30</v>
      </c>
      <c r="D2891" t="n">
        <v>9</v>
      </c>
      <c r="E2891" s="10" t="n">
        <v>0.459732</v>
      </c>
      <c r="F2891" s="10" t="n">
        <v>0.213108675146082</v>
      </c>
      <c r="G2891" s="11">
        <f>E2891*Summary!$B$6</f>
        <v/>
      </c>
      <c r="H2891" s="11">
        <f>F2891*Summary!$B$7</f>
        <v/>
      </c>
      <c r="I2891" s="11">
        <f>MAX(0,N2891-M2891)</f>
        <v/>
      </c>
      <c r="J2891" s="11">
        <f>MAX(0,M2891-N2891)</f>
        <v/>
      </c>
      <c r="K2891" s="11">
        <f>O2891</f>
        <v/>
      </c>
      <c r="L2891" s="11">
        <f>L2890+IF(K2891&gt;0,K2891*Summary!$B$9,K2891/Summary!$B$9)</f>
        <v/>
      </c>
      <c r="M2891" s="11">
        <f>G2891+H2891</f>
        <v/>
      </c>
      <c r="N2891" s="11">
        <f>Summary!$C$16*Summary!$B$8</f>
        <v/>
      </c>
      <c r="O2891" s="11">
        <f>M2891-N2891</f>
        <v/>
      </c>
    </row>
    <row r="2892">
      <c r="A2892" s="9" t="n">
        <v>45412.41666666666</v>
      </c>
      <c r="B2892" t="n">
        <v>4</v>
      </c>
      <c r="C2892" t="n">
        <v>30</v>
      </c>
      <c r="D2892" t="n">
        <v>10</v>
      </c>
      <c r="E2892" s="10" t="n">
        <v>0.57037</v>
      </c>
      <c r="F2892" s="10" t="n">
        <v>0.2223845813722995</v>
      </c>
      <c r="G2892" s="11">
        <f>E2892*Summary!$B$6</f>
        <v/>
      </c>
      <c r="H2892" s="11">
        <f>F2892*Summary!$B$7</f>
        <v/>
      </c>
      <c r="I2892" s="11">
        <f>MAX(0,N2892-M2892)</f>
        <v/>
      </c>
      <c r="J2892" s="11">
        <f>MAX(0,M2892-N2892)</f>
        <v/>
      </c>
      <c r="K2892" s="11">
        <f>O2892</f>
        <v/>
      </c>
      <c r="L2892" s="11">
        <f>L2891+IF(K2892&gt;0,K2892*Summary!$B$9,K2892/Summary!$B$9)</f>
        <v/>
      </c>
      <c r="M2892" s="11">
        <f>G2892+H2892</f>
        <v/>
      </c>
      <c r="N2892" s="11">
        <f>Summary!$C$16*Summary!$B$8</f>
        <v/>
      </c>
      <c r="O2892" s="11">
        <f>M2892-N2892</f>
        <v/>
      </c>
    </row>
    <row r="2893">
      <c r="A2893" s="9" t="n">
        <v>45412.45833333334</v>
      </c>
      <c r="B2893" t="n">
        <v>4</v>
      </c>
      <c r="C2893" t="n">
        <v>30</v>
      </c>
      <c r="D2893" t="n">
        <v>11</v>
      </c>
      <c r="E2893" s="10" t="n">
        <v>0.535776</v>
      </c>
      <c r="F2893" s="10" t="n">
        <v>0.2313706155289477</v>
      </c>
      <c r="G2893" s="11">
        <f>E2893*Summary!$B$6</f>
        <v/>
      </c>
      <c r="H2893" s="11">
        <f>F2893*Summary!$B$7</f>
        <v/>
      </c>
      <c r="I2893" s="11">
        <f>MAX(0,N2893-M2893)</f>
        <v/>
      </c>
      <c r="J2893" s="11">
        <f>MAX(0,M2893-N2893)</f>
        <v/>
      </c>
      <c r="K2893" s="11">
        <f>O2893</f>
        <v/>
      </c>
      <c r="L2893" s="11">
        <f>L2892+IF(K2893&gt;0,K2893*Summary!$B$9,K2893/Summary!$B$9)</f>
        <v/>
      </c>
      <c r="M2893" s="11">
        <f>G2893+H2893</f>
        <v/>
      </c>
      <c r="N2893" s="11">
        <f>Summary!$C$16*Summary!$B$8</f>
        <v/>
      </c>
      <c r="O2893" s="11">
        <f>M2893-N2893</f>
        <v/>
      </c>
    </row>
    <row r="2894">
      <c r="A2894" s="9" t="n">
        <v>45412.5</v>
      </c>
      <c r="B2894" t="n">
        <v>4</v>
      </c>
      <c r="C2894" t="n">
        <v>30</v>
      </c>
      <c r="D2894" t="n">
        <v>12</v>
      </c>
      <c r="E2894" s="10" t="n">
        <v>0.293769</v>
      </c>
      <c r="F2894" s="10" t="n">
        <v>0.2410945058626814</v>
      </c>
      <c r="G2894" s="11">
        <f>E2894*Summary!$B$6</f>
        <v/>
      </c>
      <c r="H2894" s="11">
        <f>F2894*Summary!$B$7</f>
        <v/>
      </c>
      <c r="I2894" s="11">
        <f>MAX(0,N2894-M2894)</f>
        <v/>
      </c>
      <c r="J2894" s="11">
        <f>MAX(0,M2894-N2894)</f>
        <v/>
      </c>
      <c r="K2894" s="11">
        <f>O2894</f>
        <v/>
      </c>
      <c r="L2894" s="11">
        <f>L2893+IF(K2894&gt;0,K2894*Summary!$B$9,K2894/Summary!$B$9)</f>
        <v/>
      </c>
      <c r="M2894" s="11">
        <f>G2894+H2894</f>
        <v/>
      </c>
      <c r="N2894" s="11">
        <f>Summary!$C$16*Summary!$B$8</f>
        <v/>
      </c>
      <c r="O2894" s="11">
        <f>M2894-N2894</f>
        <v/>
      </c>
    </row>
    <row r="2895">
      <c r="A2895" s="9" t="n">
        <v>45412.54166666666</v>
      </c>
      <c r="B2895" t="n">
        <v>4</v>
      </c>
      <c r="C2895" t="n">
        <v>30</v>
      </c>
      <c r="D2895" t="n">
        <v>13</v>
      </c>
      <c r="E2895" s="10" t="n">
        <v>0.173816</v>
      </c>
      <c r="F2895" s="10" t="n">
        <v>0.251029212247011</v>
      </c>
      <c r="G2895" s="11">
        <f>E2895*Summary!$B$6</f>
        <v/>
      </c>
      <c r="H2895" s="11">
        <f>F2895*Summary!$B$7</f>
        <v/>
      </c>
      <c r="I2895" s="11">
        <f>MAX(0,N2895-M2895)</f>
        <v/>
      </c>
      <c r="J2895" s="11">
        <f>MAX(0,M2895-N2895)</f>
        <v/>
      </c>
      <c r="K2895" s="11">
        <f>O2895</f>
        <v/>
      </c>
      <c r="L2895" s="11">
        <f>L2894+IF(K2895&gt;0,K2895*Summary!$B$9,K2895/Summary!$B$9)</f>
        <v/>
      </c>
      <c r="M2895" s="11">
        <f>G2895+H2895</f>
        <v/>
      </c>
      <c r="N2895" s="11">
        <f>Summary!$C$16*Summary!$B$8</f>
        <v/>
      </c>
      <c r="O2895" s="11">
        <f>M2895-N2895</f>
        <v/>
      </c>
    </row>
    <row r="2896">
      <c r="A2896" s="9" t="n">
        <v>45412.58333333334</v>
      </c>
      <c r="B2896" t="n">
        <v>4</v>
      </c>
      <c r="C2896" t="n">
        <v>30</v>
      </c>
      <c r="D2896" t="n">
        <v>14</v>
      </c>
      <c r="E2896" s="10" t="n">
        <v>0.211473</v>
      </c>
      <c r="F2896" s="10" t="n">
        <v>0.2589611661506799</v>
      </c>
      <c r="G2896" s="11">
        <f>E2896*Summary!$B$6</f>
        <v/>
      </c>
      <c r="H2896" s="11">
        <f>F2896*Summary!$B$7</f>
        <v/>
      </c>
      <c r="I2896" s="11">
        <f>MAX(0,N2896-M2896)</f>
        <v/>
      </c>
      <c r="J2896" s="11">
        <f>MAX(0,M2896-N2896)</f>
        <v/>
      </c>
      <c r="K2896" s="11">
        <f>O2896</f>
        <v/>
      </c>
      <c r="L2896" s="11">
        <f>L2895+IF(K2896&gt;0,K2896*Summary!$B$9,K2896/Summary!$B$9)</f>
        <v/>
      </c>
      <c r="M2896" s="11">
        <f>G2896+H2896</f>
        <v/>
      </c>
      <c r="N2896" s="11">
        <f>Summary!$C$16*Summary!$B$8</f>
        <v/>
      </c>
      <c r="O2896" s="11">
        <f>M2896-N2896</f>
        <v/>
      </c>
    </row>
    <row r="2897">
      <c r="A2897" s="9" t="n">
        <v>45412.625</v>
      </c>
      <c r="B2897" t="n">
        <v>4</v>
      </c>
      <c r="C2897" t="n">
        <v>30</v>
      </c>
      <c r="D2897" t="n">
        <v>15</v>
      </c>
      <c r="E2897" s="10" t="n">
        <v>0.199628</v>
      </c>
      <c r="F2897" s="10" t="n">
        <v>0.263072079137299</v>
      </c>
      <c r="G2897" s="11">
        <f>E2897*Summary!$B$6</f>
        <v/>
      </c>
      <c r="H2897" s="11">
        <f>F2897*Summary!$B$7</f>
        <v/>
      </c>
      <c r="I2897" s="11">
        <f>MAX(0,N2897-M2897)</f>
        <v/>
      </c>
      <c r="J2897" s="11">
        <f>MAX(0,M2897-N2897)</f>
        <v/>
      </c>
      <c r="K2897" s="11">
        <f>O2897</f>
        <v/>
      </c>
      <c r="L2897" s="11">
        <f>L2896+IF(K2897&gt;0,K2897*Summary!$B$9,K2897/Summary!$B$9)</f>
        <v/>
      </c>
      <c r="M2897" s="11">
        <f>G2897+H2897</f>
        <v/>
      </c>
      <c r="N2897" s="11">
        <f>Summary!$C$16*Summary!$B$8</f>
        <v/>
      </c>
      <c r="O2897" s="11">
        <f>M2897-N2897</f>
        <v/>
      </c>
    </row>
    <row r="2898">
      <c r="A2898" s="9" t="n">
        <v>45412.66666666666</v>
      </c>
      <c r="B2898" t="n">
        <v>4</v>
      </c>
      <c r="C2898" t="n">
        <v>30</v>
      </c>
      <c r="D2898" t="n">
        <v>16</v>
      </c>
      <c r="E2898" s="10" t="n">
        <v>0.102232</v>
      </c>
      <c r="F2898" s="10" t="n">
        <v>0.2591456301949512</v>
      </c>
      <c r="G2898" s="11">
        <f>E2898*Summary!$B$6</f>
        <v/>
      </c>
      <c r="H2898" s="11">
        <f>F2898*Summary!$B$7</f>
        <v/>
      </c>
      <c r="I2898" s="11">
        <f>MAX(0,N2898-M2898)</f>
        <v/>
      </c>
      <c r="J2898" s="11">
        <f>MAX(0,M2898-N2898)</f>
        <v/>
      </c>
      <c r="K2898" s="11">
        <f>O2898</f>
        <v/>
      </c>
      <c r="L2898" s="11">
        <f>L2897+IF(K2898&gt;0,K2898*Summary!$B$9,K2898/Summary!$B$9)</f>
        <v/>
      </c>
      <c r="M2898" s="11">
        <f>G2898+H2898</f>
        <v/>
      </c>
      <c r="N2898" s="11">
        <f>Summary!$C$16*Summary!$B$8</f>
        <v/>
      </c>
      <c r="O2898" s="11">
        <f>M2898-N2898</f>
        <v/>
      </c>
    </row>
    <row r="2899">
      <c r="A2899" s="9" t="n">
        <v>45412.70833333334</v>
      </c>
      <c r="B2899" t="n">
        <v>4</v>
      </c>
      <c r="C2899" t="n">
        <v>30</v>
      </c>
      <c r="D2899" t="n">
        <v>17</v>
      </c>
      <c r="E2899" s="10" t="n">
        <v>0.082343</v>
      </c>
      <c r="F2899" s="10" t="n">
        <v>0.2464966671592001</v>
      </c>
      <c r="G2899" s="11">
        <f>E2899*Summary!$B$6</f>
        <v/>
      </c>
      <c r="H2899" s="11">
        <f>F2899*Summary!$B$7</f>
        <v/>
      </c>
      <c r="I2899" s="11">
        <f>MAX(0,N2899-M2899)</f>
        <v/>
      </c>
      <c r="J2899" s="11">
        <f>MAX(0,M2899-N2899)</f>
        <v/>
      </c>
      <c r="K2899" s="11">
        <f>O2899</f>
        <v/>
      </c>
      <c r="L2899" s="11">
        <f>L2898+IF(K2899&gt;0,K2899*Summary!$B$9,K2899/Summary!$B$9)</f>
        <v/>
      </c>
      <c r="M2899" s="11">
        <f>G2899+H2899</f>
        <v/>
      </c>
      <c r="N2899" s="11">
        <f>Summary!$C$16*Summary!$B$8</f>
        <v/>
      </c>
      <c r="O2899" s="11">
        <f>M2899-N2899</f>
        <v/>
      </c>
    </row>
    <row r="2900">
      <c r="A2900" s="9" t="n">
        <v>45412.75</v>
      </c>
      <c r="B2900" t="n">
        <v>4</v>
      </c>
      <c r="C2900" t="n">
        <v>30</v>
      </c>
      <c r="D2900" t="n">
        <v>18</v>
      </c>
      <c r="E2900" s="10" t="n">
        <v>0.045508</v>
      </c>
      <c r="F2900" s="10" t="n">
        <v>0.2404357057045694</v>
      </c>
      <c r="G2900" s="11">
        <f>E2900*Summary!$B$6</f>
        <v/>
      </c>
      <c r="H2900" s="11">
        <f>F2900*Summary!$B$7</f>
        <v/>
      </c>
      <c r="I2900" s="11">
        <f>MAX(0,N2900-M2900)</f>
        <v/>
      </c>
      <c r="J2900" s="11">
        <f>MAX(0,M2900-N2900)</f>
        <v/>
      </c>
      <c r="K2900" s="11">
        <f>O2900</f>
        <v/>
      </c>
      <c r="L2900" s="11">
        <f>L2899+IF(K2900&gt;0,K2900*Summary!$B$9,K2900/Summary!$B$9)</f>
        <v/>
      </c>
      <c r="M2900" s="11">
        <f>G2900+H2900</f>
        <v/>
      </c>
      <c r="N2900" s="11">
        <f>Summary!$C$16*Summary!$B$8</f>
        <v/>
      </c>
      <c r="O2900" s="11">
        <f>M2900-N2900</f>
        <v/>
      </c>
    </row>
    <row r="2901">
      <c r="A2901" s="9" t="n">
        <v>45412.79166666666</v>
      </c>
      <c r="B2901" t="n">
        <v>4</v>
      </c>
      <c r="C2901" t="n">
        <v>30</v>
      </c>
      <c r="D2901" t="n">
        <v>19</v>
      </c>
      <c r="E2901" s="10" t="n">
        <v>0.001838</v>
      </c>
      <c r="F2901" s="10" t="n">
        <v>0.2423594021662565</v>
      </c>
      <c r="G2901" s="11">
        <f>E2901*Summary!$B$6</f>
        <v/>
      </c>
      <c r="H2901" s="11">
        <f>F2901*Summary!$B$7</f>
        <v/>
      </c>
      <c r="I2901" s="11">
        <f>MAX(0,N2901-M2901)</f>
        <v/>
      </c>
      <c r="J2901" s="11">
        <f>MAX(0,M2901-N2901)</f>
        <v/>
      </c>
      <c r="K2901" s="11">
        <f>O2901</f>
        <v/>
      </c>
      <c r="L2901" s="11">
        <f>L2900+IF(K2901&gt;0,K2901*Summary!$B$9,K2901/Summary!$B$9)</f>
        <v/>
      </c>
      <c r="M2901" s="11">
        <f>G2901+H2901</f>
        <v/>
      </c>
      <c r="N2901" s="11">
        <f>Summary!$C$16*Summary!$B$8</f>
        <v/>
      </c>
      <c r="O2901" s="11">
        <f>M2901-N2901</f>
        <v/>
      </c>
    </row>
    <row r="2902">
      <c r="A2902" s="9" t="n">
        <v>45412.83333333334</v>
      </c>
      <c r="B2902" t="n">
        <v>4</v>
      </c>
      <c r="C2902" t="n">
        <v>30</v>
      </c>
      <c r="D2902" t="n">
        <v>20</v>
      </c>
      <c r="E2902" s="10" t="n">
        <v>0</v>
      </c>
      <c r="F2902" s="10" t="n">
        <v>0.250923804221713</v>
      </c>
      <c r="G2902" s="11">
        <f>E2902*Summary!$B$6</f>
        <v/>
      </c>
      <c r="H2902" s="11">
        <f>F2902*Summary!$B$7</f>
        <v/>
      </c>
      <c r="I2902" s="11">
        <f>MAX(0,N2902-M2902)</f>
        <v/>
      </c>
      <c r="J2902" s="11">
        <f>MAX(0,M2902-N2902)</f>
        <v/>
      </c>
      <c r="K2902" s="11">
        <f>O2902</f>
        <v/>
      </c>
      <c r="L2902" s="11">
        <f>L2901+IF(K2902&gt;0,K2902*Summary!$B$9,K2902/Summary!$B$9)</f>
        <v/>
      </c>
      <c r="M2902" s="11">
        <f>G2902+H2902</f>
        <v/>
      </c>
      <c r="N2902" s="11">
        <f>Summary!$C$16*Summary!$B$8</f>
        <v/>
      </c>
      <c r="O2902" s="11">
        <f>M2902-N2902</f>
        <v/>
      </c>
    </row>
    <row r="2903">
      <c r="A2903" s="9" t="n">
        <v>45412.875</v>
      </c>
      <c r="B2903" t="n">
        <v>4</v>
      </c>
      <c r="C2903" t="n">
        <v>30</v>
      </c>
      <c r="D2903" t="n">
        <v>21</v>
      </c>
      <c r="E2903" s="10" t="n">
        <v>0</v>
      </c>
      <c r="F2903" s="10" t="n">
        <v>0.2533481888035653</v>
      </c>
      <c r="G2903" s="11">
        <f>E2903*Summary!$B$6</f>
        <v/>
      </c>
      <c r="H2903" s="11">
        <f>F2903*Summary!$B$7</f>
        <v/>
      </c>
      <c r="I2903" s="11">
        <f>MAX(0,N2903-M2903)</f>
        <v/>
      </c>
      <c r="J2903" s="11">
        <f>MAX(0,M2903-N2903)</f>
        <v/>
      </c>
      <c r="K2903" s="11">
        <f>O2903</f>
        <v/>
      </c>
      <c r="L2903" s="11">
        <f>L2902+IF(K2903&gt;0,K2903*Summary!$B$9,K2903/Summary!$B$9)</f>
        <v/>
      </c>
      <c r="M2903" s="11">
        <f>G2903+H2903</f>
        <v/>
      </c>
      <c r="N2903" s="11">
        <f>Summary!$C$16*Summary!$B$8</f>
        <v/>
      </c>
      <c r="O2903" s="11">
        <f>M2903-N2903</f>
        <v/>
      </c>
    </row>
    <row r="2904">
      <c r="A2904" s="9" t="n">
        <v>45412.91666666666</v>
      </c>
      <c r="B2904" t="n">
        <v>4</v>
      </c>
      <c r="C2904" t="n">
        <v>30</v>
      </c>
      <c r="D2904" t="n">
        <v>22</v>
      </c>
      <c r="E2904" s="10" t="n">
        <v>0</v>
      </c>
      <c r="F2904" s="10" t="n">
        <v>0.251635308392474</v>
      </c>
      <c r="G2904" s="11">
        <f>E2904*Summary!$B$6</f>
        <v/>
      </c>
      <c r="H2904" s="11">
        <f>F2904*Summary!$B$7</f>
        <v/>
      </c>
      <c r="I2904" s="11">
        <f>MAX(0,N2904-M2904)</f>
        <v/>
      </c>
      <c r="J2904" s="11">
        <f>MAX(0,M2904-N2904)</f>
        <v/>
      </c>
      <c r="K2904" s="11">
        <f>O2904</f>
        <v/>
      </c>
      <c r="L2904" s="11">
        <f>L2903+IF(K2904&gt;0,K2904*Summary!$B$9,K2904/Summary!$B$9)</f>
        <v/>
      </c>
      <c r="M2904" s="11">
        <f>G2904+H2904</f>
        <v/>
      </c>
      <c r="N2904" s="11">
        <f>Summary!$C$16*Summary!$B$8</f>
        <v/>
      </c>
      <c r="O2904" s="11">
        <f>M2904-N2904</f>
        <v/>
      </c>
    </row>
    <row r="2905">
      <c r="A2905" s="9" t="n">
        <v>45412.95833333334</v>
      </c>
      <c r="B2905" t="n">
        <v>4</v>
      </c>
      <c r="C2905" t="n">
        <v>30</v>
      </c>
      <c r="D2905" t="n">
        <v>23</v>
      </c>
      <c r="E2905" s="10" t="n">
        <v>0</v>
      </c>
      <c r="F2905" s="10" t="n">
        <v>0.2379322651037436</v>
      </c>
      <c r="G2905" s="11">
        <f>E2905*Summary!$B$6</f>
        <v/>
      </c>
      <c r="H2905" s="11">
        <f>F2905*Summary!$B$7</f>
        <v/>
      </c>
      <c r="I2905" s="11">
        <f>MAX(0,N2905-M2905)</f>
        <v/>
      </c>
      <c r="J2905" s="11">
        <f>MAX(0,M2905-N2905)</f>
        <v/>
      </c>
      <c r="K2905" s="11">
        <f>O2905</f>
        <v/>
      </c>
      <c r="L2905" s="11">
        <f>L2904+IF(K2905&gt;0,K2905*Summary!$B$9,K2905/Summary!$B$9)</f>
        <v/>
      </c>
      <c r="M2905" s="11">
        <f>G2905+H2905</f>
        <v/>
      </c>
      <c r="N2905" s="11">
        <f>Summary!$C$16*Summary!$B$8</f>
        <v/>
      </c>
      <c r="O2905" s="11">
        <f>M2905-N2905</f>
        <v/>
      </c>
    </row>
    <row r="2906">
      <c r="A2906" s="9" t="n">
        <v>45413</v>
      </c>
      <c r="B2906" t="n">
        <v>5</v>
      </c>
      <c r="C2906" t="n">
        <v>1</v>
      </c>
      <c r="D2906" t="n">
        <v>0</v>
      </c>
      <c r="E2906" s="10" t="n">
        <v>0</v>
      </c>
      <c r="F2906" s="10" t="n">
        <v>0.3048663611679266</v>
      </c>
      <c r="G2906" s="11">
        <f>E2906*Summary!$B$6</f>
        <v/>
      </c>
      <c r="H2906" s="11">
        <f>F2906*Summary!$B$7</f>
        <v/>
      </c>
      <c r="I2906" s="11">
        <f>MAX(0,N2906-M2906)</f>
        <v/>
      </c>
      <c r="J2906" s="11">
        <f>MAX(0,M2906-N2906)</f>
        <v/>
      </c>
      <c r="K2906" s="11">
        <f>O2906</f>
        <v/>
      </c>
      <c r="L2906" s="11">
        <f>L2905+IF(K2906&gt;0,K2906*Summary!$B$9,K2906/Summary!$B$9)</f>
        <v/>
      </c>
      <c r="M2906" s="11">
        <f>G2906+H2906</f>
        <v/>
      </c>
      <c r="N2906" s="11">
        <f>Summary!$C$16*Summary!$B$8</f>
        <v/>
      </c>
      <c r="O2906" s="11">
        <f>M2906-N2906</f>
        <v/>
      </c>
    </row>
    <row r="2907">
      <c r="A2907" s="9" t="n">
        <v>45413.04166666666</v>
      </c>
      <c r="B2907" t="n">
        <v>5</v>
      </c>
      <c r="C2907" t="n">
        <v>1</v>
      </c>
      <c r="D2907" t="n">
        <v>1</v>
      </c>
      <c r="E2907" s="10" t="n">
        <v>0</v>
      </c>
      <c r="F2907" s="10" t="n">
        <v>0.2198284367588248</v>
      </c>
      <c r="G2907" s="11">
        <f>E2907*Summary!$B$6</f>
        <v/>
      </c>
      <c r="H2907" s="11">
        <f>F2907*Summary!$B$7</f>
        <v/>
      </c>
      <c r="I2907" s="11">
        <f>MAX(0,N2907-M2907)</f>
        <v/>
      </c>
      <c r="J2907" s="11">
        <f>MAX(0,M2907-N2907)</f>
        <v/>
      </c>
      <c r="K2907" s="11">
        <f>O2907</f>
        <v/>
      </c>
      <c r="L2907" s="11">
        <f>L2906+IF(K2907&gt;0,K2907*Summary!$B$9,K2907/Summary!$B$9)</f>
        <v/>
      </c>
      <c r="M2907" s="11">
        <f>G2907+H2907</f>
        <v/>
      </c>
      <c r="N2907" s="11">
        <f>Summary!$C$16*Summary!$B$8</f>
        <v/>
      </c>
      <c r="O2907" s="11">
        <f>M2907-N2907</f>
        <v/>
      </c>
    </row>
    <row r="2908">
      <c r="A2908" s="9" t="n">
        <v>45413.08333333334</v>
      </c>
      <c r="B2908" t="n">
        <v>5</v>
      </c>
      <c r="C2908" t="n">
        <v>1</v>
      </c>
      <c r="D2908" t="n">
        <v>2</v>
      </c>
      <c r="E2908" s="10" t="n">
        <v>0</v>
      </c>
      <c r="F2908" s="10" t="n">
        <v>0.2163499719239933</v>
      </c>
      <c r="G2908" s="11">
        <f>E2908*Summary!$B$6</f>
        <v/>
      </c>
      <c r="H2908" s="11">
        <f>F2908*Summary!$B$7</f>
        <v/>
      </c>
      <c r="I2908" s="11">
        <f>MAX(0,N2908-M2908)</f>
        <v/>
      </c>
      <c r="J2908" s="11">
        <f>MAX(0,M2908-N2908)</f>
        <v/>
      </c>
      <c r="K2908" s="11">
        <f>O2908</f>
        <v/>
      </c>
      <c r="L2908" s="11">
        <f>L2907+IF(K2908&gt;0,K2908*Summary!$B$9,K2908/Summary!$B$9)</f>
        <v/>
      </c>
      <c r="M2908" s="11">
        <f>G2908+H2908</f>
        <v/>
      </c>
      <c r="N2908" s="11">
        <f>Summary!$C$16*Summary!$B$8</f>
        <v/>
      </c>
      <c r="O2908" s="11">
        <f>M2908-N2908</f>
        <v/>
      </c>
    </row>
    <row r="2909">
      <c r="A2909" s="9" t="n">
        <v>45413.125</v>
      </c>
      <c r="B2909" t="n">
        <v>5</v>
      </c>
      <c r="C2909" t="n">
        <v>1</v>
      </c>
      <c r="D2909" t="n">
        <v>3</v>
      </c>
      <c r="E2909" s="10" t="n">
        <v>0</v>
      </c>
      <c r="F2909" s="10" t="n">
        <v>0.2113694427286663</v>
      </c>
      <c r="G2909" s="11">
        <f>E2909*Summary!$B$6</f>
        <v/>
      </c>
      <c r="H2909" s="11">
        <f>F2909*Summary!$B$7</f>
        <v/>
      </c>
      <c r="I2909" s="11">
        <f>MAX(0,N2909-M2909)</f>
        <v/>
      </c>
      <c r="J2909" s="11">
        <f>MAX(0,M2909-N2909)</f>
        <v/>
      </c>
      <c r="K2909" s="11">
        <f>O2909</f>
        <v/>
      </c>
      <c r="L2909" s="11">
        <f>L2908+IF(K2909&gt;0,K2909*Summary!$B$9,K2909/Summary!$B$9)</f>
        <v/>
      </c>
      <c r="M2909" s="11">
        <f>G2909+H2909</f>
        <v/>
      </c>
      <c r="N2909" s="11">
        <f>Summary!$C$16*Summary!$B$8</f>
        <v/>
      </c>
      <c r="O2909" s="11">
        <f>M2909-N2909</f>
        <v/>
      </c>
    </row>
    <row r="2910">
      <c r="A2910" s="9" t="n">
        <v>45413.16666666666</v>
      </c>
      <c r="B2910" t="n">
        <v>5</v>
      </c>
      <c r="C2910" t="n">
        <v>1</v>
      </c>
      <c r="D2910" t="n">
        <v>4</v>
      </c>
      <c r="E2910" s="10" t="n">
        <v>0</v>
      </c>
      <c r="F2910" s="10" t="n">
        <v>0.2030949127427791</v>
      </c>
      <c r="G2910" s="11">
        <f>E2910*Summary!$B$6</f>
        <v/>
      </c>
      <c r="H2910" s="11">
        <f>F2910*Summary!$B$7</f>
        <v/>
      </c>
      <c r="I2910" s="11">
        <f>MAX(0,N2910-M2910)</f>
        <v/>
      </c>
      <c r="J2910" s="11">
        <f>MAX(0,M2910-N2910)</f>
        <v/>
      </c>
      <c r="K2910" s="11">
        <f>O2910</f>
        <v/>
      </c>
      <c r="L2910" s="11">
        <f>L2909+IF(K2910&gt;0,K2910*Summary!$B$9,K2910/Summary!$B$9)</f>
        <v/>
      </c>
      <c r="M2910" s="11">
        <f>G2910+H2910</f>
        <v/>
      </c>
      <c r="N2910" s="11">
        <f>Summary!$C$16*Summary!$B$8</f>
        <v/>
      </c>
      <c r="O2910" s="11">
        <f>M2910-N2910</f>
        <v/>
      </c>
    </row>
    <row r="2911">
      <c r="A2911" s="9" t="n">
        <v>45413.20833333334</v>
      </c>
      <c r="B2911" t="n">
        <v>5</v>
      </c>
      <c r="C2911" t="n">
        <v>1</v>
      </c>
      <c r="D2911" t="n">
        <v>5</v>
      </c>
      <c r="E2911" s="10" t="n">
        <v>0.037445</v>
      </c>
      <c r="F2911" s="10" t="n">
        <v>0.1889965893591814</v>
      </c>
      <c r="G2911" s="11">
        <f>E2911*Summary!$B$6</f>
        <v/>
      </c>
      <c r="H2911" s="11">
        <f>F2911*Summary!$B$7</f>
        <v/>
      </c>
      <c r="I2911" s="11">
        <f>MAX(0,N2911-M2911)</f>
        <v/>
      </c>
      <c r="J2911" s="11">
        <f>MAX(0,M2911-N2911)</f>
        <v/>
      </c>
      <c r="K2911" s="11">
        <f>O2911</f>
        <v/>
      </c>
      <c r="L2911" s="11">
        <f>L2910+IF(K2911&gt;0,K2911*Summary!$B$9,K2911/Summary!$B$9)</f>
        <v/>
      </c>
      <c r="M2911" s="11">
        <f>G2911+H2911</f>
        <v/>
      </c>
      <c r="N2911" s="11">
        <f>Summary!$C$16*Summary!$B$8</f>
        <v/>
      </c>
      <c r="O2911" s="11">
        <f>M2911-N2911</f>
        <v/>
      </c>
    </row>
    <row r="2912">
      <c r="A2912" s="9" t="n">
        <v>45413.25</v>
      </c>
      <c r="B2912" t="n">
        <v>5</v>
      </c>
      <c r="C2912" t="n">
        <v>1</v>
      </c>
      <c r="D2912" t="n">
        <v>6</v>
      </c>
      <c r="E2912" s="10" t="n">
        <v>0.158329</v>
      </c>
      <c r="F2912" s="10" t="n">
        <v>0.1702339608561506</v>
      </c>
      <c r="G2912" s="11">
        <f>E2912*Summary!$B$6</f>
        <v/>
      </c>
      <c r="H2912" s="11">
        <f>F2912*Summary!$B$7</f>
        <v/>
      </c>
      <c r="I2912" s="11">
        <f>MAX(0,N2912-M2912)</f>
        <v/>
      </c>
      <c r="J2912" s="11">
        <f>MAX(0,M2912-N2912)</f>
        <v/>
      </c>
      <c r="K2912" s="11">
        <f>O2912</f>
        <v/>
      </c>
      <c r="L2912" s="11">
        <f>L2911+IF(K2912&gt;0,K2912*Summary!$B$9,K2912/Summary!$B$9)</f>
        <v/>
      </c>
      <c r="M2912" s="11">
        <f>G2912+H2912</f>
        <v/>
      </c>
      <c r="N2912" s="11">
        <f>Summary!$C$16*Summary!$B$8</f>
        <v/>
      </c>
      <c r="O2912" s="11">
        <f>M2912-N2912</f>
        <v/>
      </c>
    </row>
    <row r="2913">
      <c r="A2913" s="9" t="n">
        <v>45413.29166666666</v>
      </c>
      <c r="B2913" t="n">
        <v>5</v>
      </c>
      <c r="C2913" t="n">
        <v>1</v>
      </c>
      <c r="D2913" t="n">
        <v>7</v>
      </c>
      <c r="E2913" s="10" t="n">
        <v>0.378027</v>
      </c>
      <c r="F2913" s="10" t="n">
        <v>0.1480455715309372</v>
      </c>
      <c r="G2913" s="11">
        <f>E2913*Summary!$B$6</f>
        <v/>
      </c>
      <c r="H2913" s="11">
        <f>F2913*Summary!$B$7</f>
        <v/>
      </c>
      <c r="I2913" s="11">
        <f>MAX(0,N2913-M2913)</f>
        <v/>
      </c>
      <c r="J2913" s="11">
        <f>MAX(0,M2913-N2913)</f>
        <v/>
      </c>
      <c r="K2913" s="11">
        <f>O2913</f>
        <v/>
      </c>
      <c r="L2913" s="11">
        <f>L2912+IF(K2913&gt;0,K2913*Summary!$B$9,K2913/Summary!$B$9)</f>
        <v/>
      </c>
      <c r="M2913" s="11">
        <f>G2913+H2913</f>
        <v/>
      </c>
      <c r="N2913" s="11">
        <f>Summary!$C$16*Summary!$B$8</f>
        <v/>
      </c>
      <c r="O2913" s="11">
        <f>M2913-N2913</f>
        <v/>
      </c>
    </row>
    <row r="2914">
      <c r="A2914" s="9" t="n">
        <v>45413.33333333334</v>
      </c>
      <c r="B2914" t="n">
        <v>5</v>
      </c>
      <c r="C2914" t="n">
        <v>1</v>
      </c>
      <c r="D2914" t="n">
        <v>8</v>
      </c>
      <c r="E2914" s="10" t="n">
        <v>0.586112</v>
      </c>
      <c r="F2914" s="10" t="n">
        <v>0.1432495063798815</v>
      </c>
      <c r="G2914" s="11">
        <f>E2914*Summary!$B$6</f>
        <v/>
      </c>
      <c r="H2914" s="11">
        <f>F2914*Summary!$B$7</f>
        <v/>
      </c>
      <c r="I2914" s="11">
        <f>MAX(0,N2914-M2914)</f>
        <v/>
      </c>
      <c r="J2914" s="11">
        <f>MAX(0,M2914-N2914)</f>
        <v/>
      </c>
      <c r="K2914" s="11">
        <f>O2914</f>
        <v/>
      </c>
      <c r="L2914" s="11">
        <f>L2913+IF(K2914&gt;0,K2914*Summary!$B$9,K2914/Summary!$B$9)</f>
        <v/>
      </c>
      <c r="M2914" s="11">
        <f>G2914+H2914</f>
        <v/>
      </c>
      <c r="N2914" s="11">
        <f>Summary!$C$16*Summary!$B$8</f>
        <v/>
      </c>
      <c r="O2914" s="11">
        <f>M2914-N2914</f>
        <v/>
      </c>
    </row>
    <row r="2915">
      <c r="A2915" s="9" t="n">
        <v>45413.375</v>
      </c>
      <c r="B2915" t="n">
        <v>5</v>
      </c>
      <c r="C2915" t="n">
        <v>1</v>
      </c>
      <c r="D2915" t="n">
        <v>9</v>
      </c>
      <c r="E2915" s="10" t="n">
        <v>0.743861</v>
      </c>
      <c r="F2915" s="10" t="n">
        <v>0.1482300355752085</v>
      </c>
      <c r="G2915" s="11">
        <f>E2915*Summary!$B$6</f>
        <v/>
      </c>
      <c r="H2915" s="11">
        <f>F2915*Summary!$B$7</f>
        <v/>
      </c>
      <c r="I2915" s="11">
        <f>MAX(0,N2915-M2915)</f>
        <v/>
      </c>
      <c r="J2915" s="11">
        <f>MAX(0,M2915-N2915)</f>
        <v/>
      </c>
      <c r="K2915" s="11">
        <f>O2915</f>
        <v/>
      </c>
      <c r="L2915" s="11">
        <f>L2914+IF(K2915&gt;0,K2915*Summary!$B$9,K2915/Summary!$B$9)</f>
        <v/>
      </c>
      <c r="M2915" s="11">
        <f>G2915+H2915</f>
        <v/>
      </c>
      <c r="N2915" s="11">
        <f>Summary!$C$16*Summary!$B$8</f>
        <v/>
      </c>
      <c r="O2915" s="11">
        <f>M2915-N2915</f>
        <v/>
      </c>
    </row>
    <row r="2916">
      <c r="A2916" s="9" t="n">
        <v>45413.41666666666</v>
      </c>
      <c r="B2916" t="n">
        <v>5</v>
      </c>
      <c r="C2916" t="n">
        <v>1</v>
      </c>
      <c r="D2916" t="n">
        <v>10</v>
      </c>
      <c r="E2916" s="10" t="n">
        <v>0.754058</v>
      </c>
      <c r="F2916" s="10" t="n">
        <v>0.1593769342504642</v>
      </c>
      <c r="G2916" s="11">
        <f>E2916*Summary!$B$6</f>
        <v/>
      </c>
      <c r="H2916" s="11">
        <f>F2916*Summary!$B$7</f>
        <v/>
      </c>
      <c r="I2916" s="11">
        <f>MAX(0,N2916-M2916)</f>
        <v/>
      </c>
      <c r="J2916" s="11">
        <f>MAX(0,M2916-N2916)</f>
        <v/>
      </c>
      <c r="K2916" s="11">
        <f>O2916</f>
        <v/>
      </c>
      <c r="L2916" s="11">
        <f>L2915+IF(K2916&gt;0,K2916*Summary!$B$9,K2916/Summary!$B$9)</f>
        <v/>
      </c>
      <c r="M2916" s="11">
        <f>G2916+H2916</f>
        <v/>
      </c>
      <c r="N2916" s="11">
        <f>Summary!$C$16*Summary!$B$8</f>
        <v/>
      </c>
      <c r="O2916" s="11">
        <f>M2916-N2916</f>
        <v/>
      </c>
    </row>
    <row r="2917">
      <c r="A2917" s="9" t="n">
        <v>45413.45833333334</v>
      </c>
      <c r="B2917" t="n">
        <v>5</v>
      </c>
      <c r="C2917" t="n">
        <v>1</v>
      </c>
      <c r="D2917" t="n">
        <v>11</v>
      </c>
      <c r="E2917" s="10" t="n">
        <v>0.754058</v>
      </c>
      <c r="F2917" s="10" t="n">
        <v>0.1760314022475365</v>
      </c>
      <c r="G2917" s="11">
        <f>E2917*Summary!$B$6</f>
        <v/>
      </c>
      <c r="H2917" s="11">
        <f>F2917*Summary!$B$7</f>
        <v/>
      </c>
      <c r="I2917" s="11">
        <f>MAX(0,N2917-M2917)</f>
        <v/>
      </c>
      <c r="J2917" s="11">
        <f>MAX(0,M2917-N2917)</f>
        <v/>
      </c>
      <c r="K2917" s="11">
        <f>O2917</f>
        <v/>
      </c>
      <c r="L2917" s="11">
        <f>L2916+IF(K2917&gt;0,K2917*Summary!$B$9,K2917/Summary!$B$9)</f>
        <v/>
      </c>
      <c r="M2917" s="11">
        <f>G2917+H2917</f>
        <v/>
      </c>
      <c r="N2917" s="11">
        <f>Summary!$C$16*Summary!$B$8</f>
        <v/>
      </c>
      <c r="O2917" s="11">
        <f>M2917-N2917</f>
        <v/>
      </c>
    </row>
    <row r="2918">
      <c r="A2918" s="9" t="n">
        <v>45413.5</v>
      </c>
      <c r="B2918" t="n">
        <v>5</v>
      </c>
      <c r="C2918" t="n">
        <v>1</v>
      </c>
      <c r="D2918" t="n">
        <v>12</v>
      </c>
      <c r="E2918" s="10" t="n">
        <v>0.754058</v>
      </c>
      <c r="F2918" s="10" t="n">
        <v>0.2018827204518529</v>
      </c>
      <c r="G2918" s="11">
        <f>E2918*Summary!$B$6</f>
        <v/>
      </c>
      <c r="H2918" s="11">
        <f>F2918*Summary!$B$7</f>
        <v/>
      </c>
      <c r="I2918" s="11">
        <f>MAX(0,N2918-M2918)</f>
        <v/>
      </c>
      <c r="J2918" s="11">
        <f>MAX(0,M2918-N2918)</f>
        <v/>
      </c>
      <c r="K2918" s="11">
        <f>O2918</f>
        <v/>
      </c>
      <c r="L2918" s="11">
        <f>L2917+IF(K2918&gt;0,K2918*Summary!$B$9,K2918/Summary!$B$9)</f>
        <v/>
      </c>
      <c r="M2918" s="11">
        <f>G2918+H2918</f>
        <v/>
      </c>
      <c r="N2918" s="11">
        <f>Summary!$C$16*Summary!$B$8</f>
        <v/>
      </c>
      <c r="O2918" s="11">
        <f>M2918-N2918</f>
        <v/>
      </c>
    </row>
    <row r="2919">
      <c r="A2919" s="9" t="n">
        <v>45413.54166666666</v>
      </c>
      <c r="B2919" t="n">
        <v>5</v>
      </c>
      <c r="C2919" t="n">
        <v>1</v>
      </c>
      <c r="D2919" t="n">
        <v>13</v>
      </c>
      <c r="E2919" s="10" t="n">
        <v>0.754058</v>
      </c>
      <c r="F2919" s="10" t="n">
        <v>0.2024624645909915</v>
      </c>
      <c r="G2919" s="11">
        <f>E2919*Summary!$B$6</f>
        <v/>
      </c>
      <c r="H2919" s="11">
        <f>F2919*Summary!$B$7</f>
        <v/>
      </c>
      <c r="I2919" s="11">
        <f>MAX(0,N2919-M2919)</f>
        <v/>
      </c>
      <c r="J2919" s="11">
        <f>MAX(0,M2919-N2919)</f>
        <v/>
      </c>
      <c r="K2919" s="11">
        <f>O2919</f>
        <v/>
      </c>
      <c r="L2919" s="11">
        <f>L2918+IF(K2919&gt;0,K2919*Summary!$B$9,K2919/Summary!$B$9)</f>
        <v/>
      </c>
      <c r="M2919" s="11">
        <f>G2919+H2919</f>
        <v/>
      </c>
      <c r="N2919" s="11">
        <f>Summary!$C$16*Summary!$B$8</f>
        <v/>
      </c>
      <c r="O2919" s="11">
        <f>M2919-N2919</f>
        <v/>
      </c>
    </row>
    <row r="2920">
      <c r="A2920" s="9" t="n">
        <v>45413.58333333334</v>
      </c>
      <c r="B2920" t="n">
        <v>5</v>
      </c>
      <c r="C2920" t="n">
        <v>1</v>
      </c>
      <c r="D2920" t="n">
        <v>14</v>
      </c>
      <c r="E2920" s="10" t="n">
        <v>0.754058</v>
      </c>
      <c r="F2920" s="10" t="n">
        <v>0.2132404351777044</v>
      </c>
      <c r="G2920" s="11">
        <f>E2920*Summary!$B$6</f>
        <v/>
      </c>
      <c r="H2920" s="11">
        <f>F2920*Summary!$B$7</f>
        <v/>
      </c>
      <c r="I2920" s="11">
        <f>MAX(0,N2920-M2920)</f>
        <v/>
      </c>
      <c r="J2920" s="11">
        <f>MAX(0,M2920-N2920)</f>
        <v/>
      </c>
      <c r="K2920" s="11">
        <f>O2920</f>
        <v/>
      </c>
      <c r="L2920" s="11">
        <f>L2919+IF(K2920&gt;0,K2920*Summary!$B$9,K2920/Summary!$B$9)</f>
        <v/>
      </c>
      <c r="M2920" s="11">
        <f>G2920+H2920</f>
        <v/>
      </c>
      <c r="N2920" s="11">
        <f>Summary!$C$16*Summary!$B$8</f>
        <v/>
      </c>
      <c r="O2920" s="11">
        <f>M2920-N2920</f>
        <v/>
      </c>
    </row>
    <row r="2921">
      <c r="A2921" s="9" t="n">
        <v>45413.625</v>
      </c>
      <c r="B2921" t="n">
        <v>5</v>
      </c>
      <c r="C2921" t="n">
        <v>1</v>
      </c>
      <c r="D2921" t="n">
        <v>15</v>
      </c>
      <c r="E2921" s="10" t="n">
        <v>0.6211</v>
      </c>
      <c r="F2921" s="10" t="n">
        <v>0.2224372853849485</v>
      </c>
      <c r="G2921" s="11">
        <f>E2921*Summary!$B$6</f>
        <v/>
      </c>
      <c r="H2921" s="11">
        <f>F2921*Summary!$B$7</f>
        <v/>
      </c>
      <c r="I2921" s="11">
        <f>MAX(0,N2921-M2921)</f>
        <v/>
      </c>
      <c r="J2921" s="11">
        <f>MAX(0,M2921-N2921)</f>
        <v/>
      </c>
      <c r="K2921" s="11">
        <f>O2921</f>
        <v/>
      </c>
      <c r="L2921" s="11">
        <f>L2920+IF(K2921&gt;0,K2921*Summary!$B$9,K2921/Summary!$B$9)</f>
        <v/>
      </c>
      <c r="M2921" s="11">
        <f>G2921+H2921</f>
        <v/>
      </c>
      <c r="N2921" s="11">
        <f>Summary!$C$16*Summary!$B$8</f>
        <v/>
      </c>
      <c r="O2921" s="11">
        <f>M2921-N2921</f>
        <v/>
      </c>
    </row>
    <row r="2922">
      <c r="A2922" s="9" t="n">
        <v>45413.66666666666</v>
      </c>
      <c r="B2922" t="n">
        <v>5</v>
      </c>
      <c r="C2922" t="n">
        <v>1</v>
      </c>
      <c r="D2922" t="n">
        <v>16</v>
      </c>
      <c r="E2922" s="10" t="n">
        <v>0.416623</v>
      </c>
      <c r="F2922" s="10" t="n">
        <v>0.222358229365975</v>
      </c>
      <c r="G2922" s="11">
        <f>E2922*Summary!$B$6</f>
        <v/>
      </c>
      <c r="H2922" s="11">
        <f>F2922*Summary!$B$7</f>
        <v/>
      </c>
      <c r="I2922" s="11">
        <f>MAX(0,N2922-M2922)</f>
        <v/>
      </c>
      <c r="J2922" s="11">
        <f>MAX(0,M2922-N2922)</f>
        <v/>
      </c>
      <c r="K2922" s="11">
        <f>O2922</f>
        <v/>
      </c>
      <c r="L2922" s="11">
        <f>L2921+IF(K2922&gt;0,K2922*Summary!$B$9,K2922/Summary!$B$9)</f>
        <v/>
      </c>
      <c r="M2922" s="11">
        <f>G2922+H2922</f>
        <v/>
      </c>
      <c r="N2922" s="11">
        <f>Summary!$C$16*Summary!$B$8</f>
        <v/>
      </c>
      <c r="O2922" s="11">
        <f>M2922-N2922</f>
        <v/>
      </c>
    </row>
    <row r="2923">
      <c r="A2923" s="9" t="n">
        <v>45413.70833333334</v>
      </c>
      <c r="B2923" t="n">
        <v>5</v>
      </c>
      <c r="C2923" t="n">
        <v>1</v>
      </c>
      <c r="D2923" t="n">
        <v>17</v>
      </c>
      <c r="E2923" s="10" t="n">
        <v>0.194002</v>
      </c>
      <c r="F2923" s="10" t="n">
        <v>0.216824308037834</v>
      </c>
      <c r="G2923" s="11">
        <f>E2923*Summary!$B$6</f>
        <v/>
      </c>
      <c r="H2923" s="11">
        <f>F2923*Summary!$B$7</f>
        <v/>
      </c>
      <c r="I2923" s="11">
        <f>MAX(0,N2923-M2923)</f>
        <v/>
      </c>
      <c r="J2923" s="11">
        <f>MAX(0,M2923-N2923)</f>
        <v/>
      </c>
      <c r="K2923" s="11">
        <f>O2923</f>
        <v/>
      </c>
      <c r="L2923" s="11">
        <f>L2922+IF(K2923&gt;0,K2923*Summary!$B$9,K2923/Summary!$B$9)</f>
        <v/>
      </c>
      <c r="M2923" s="11">
        <f>G2923+H2923</f>
        <v/>
      </c>
      <c r="N2923" s="11">
        <f>Summary!$C$16*Summary!$B$8</f>
        <v/>
      </c>
      <c r="O2923" s="11">
        <f>M2923-N2923</f>
        <v/>
      </c>
    </row>
    <row r="2924">
      <c r="A2924" s="9" t="n">
        <v>45413.75</v>
      </c>
      <c r="B2924" t="n">
        <v>5</v>
      </c>
      <c r="C2924" t="n">
        <v>1</v>
      </c>
      <c r="D2924" t="n">
        <v>18</v>
      </c>
      <c r="E2924" s="10" t="n">
        <v>0.041897</v>
      </c>
      <c r="F2924" s="10" t="n">
        <v>0.2361930326863278</v>
      </c>
      <c r="G2924" s="11">
        <f>E2924*Summary!$B$6</f>
        <v/>
      </c>
      <c r="H2924" s="11">
        <f>F2924*Summary!$B$7</f>
        <v/>
      </c>
      <c r="I2924" s="11">
        <f>MAX(0,N2924-M2924)</f>
        <v/>
      </c>
      <c r="J2924" s="11">
        <f>MAX(0,M2924-N2924)</f>
        <v/>
      </c>
      <c r="K2924" s="11">
        <f>O2924</f>
        <v/>
      </c>
      <c r="L2924" s="11">
        <f>L2923+IF(K2924&gt;0,K2924*Summary!$B$9,K2924/Summary!$B$9)</f>
        <v/>
      </c>
      <c r="M2924" s="11">
        <f>G2924+H2924</f>
        <v/>
      </c>
      <c r="N2924" s="11">
        <f>Summary!$C$16*Summary!$B$8</f>
        <v/>
      </c>
      <c r="O2924" s="11">
        <f>M2924-N2924</f>
        <v/>
      </c>
    </row>
    <row r="2925">
      <c r="A2925" s="9" t="n">
        <v>45413.79166666666</v>
      </c>
      <c r="B2925" t="n">
        <v>5</v>
      </c>
      <c r="C2925" t="n">
        <v>1</v>
      </c>
      <c r="D2925" t="n">
        <v>19</v>
      </c>
      <c r="E2925" s="10" t="n">
        <v>0.009993</v>
      </c>
      <c r="F2925" s="10" t="n">
        <v>0.2264954943589186</v>
      </c>
      <c r="G2925" s="11">
        <f>E2925*Summary!$B$6</f>
        <v/>
      </c>
      <c r="H2925" s="11">
        <f>F2925*Summary!$B$7</f>
        <v/>
      </c>
      <c r="I2925" s="11">
        <f>MAX(0,N2925-M2925)</f>
        <v/>
      </c>
      <c r="J2925" s="11">
        <f>MAX(0,M2925-N2925)</f>
        <v/>
      </c>
      <c r="K2925" s="11">
        <f>O2925</f>
        <v/>
      </c>
      <c r="L2925" s="11">
        <f>L2924+IF(K2925&gt;0,K2925*Summary!$B$9,K2925/Summary!$B$9)</f>
        <v/>
      </c>
      <c r="M2925" s="11">
        <f>G2925+H2925</f>
        <v/>
      </c>
      <c r="N2925" s="11">
        <f>Summary!$C$16*Summary!$B$8</f>
        <v/>
      </c>
      <c r="O2925" s="11">
        <f>M2925-N2925</f>
        <v/>
      </c>
    </row>
    <row r="2926">
      <c r="A2926" s="9" t="n">
        <v>45413.83333333334</v>
      </c>
      <c r="B2926" t="n">
        <v>5</v>
      </c>
      <c r="C2926" t="n">
        <v>1</v>
      </c>
      <c r="D2926" t="n">
        <v>20</v>
      </c>
      <c r="E2926" s="10" t="n">
        <v>0</v>
      </c>
      <c r="F2926" s="10" t="n">
        <v>0.2433080743939379</v>
      </c>
      <c r="G2926" s="11">
        <f>E2926*Summary!$B$6</f>
        <v/>
      </c>
      <c r="H2926" s="11">
        <f>F2926*Summary!$B$7</f>
        <v/>
      </c>
      <c r="I2926" s="11">
        <f>MAX(0,N2926-M2926)</f>
        <v/>
      </c>
      <c r="J2926" s="11">
        <f>MAX(0,M2926-N2926)</f>
        <v/>
      </c>
      <c r="K2926" s="11">
        <f>O2926</f>
        <v/>
      </c>
      <c r="L2926" s="11">
        <f>L2925+IF(K2926&gt;0,K2926*Summary!$B$9,K2926/Summary!$B$9)</f>
        <v/>
      </c>
      <c r="M2926" s="11">
        <f>G2926+H2926</f>
        <v/>
      </c>
      <c r="N2926" s="11">
        <f>Summary!$C$16*Summary!$B$8</f>
        <v/>
      </c>
      <c r="O2926" s="11">
        <f>M2926-N2926</f>
        <v/>
      </c>
    </row>
    <row r="2927">
      <c r="A2927" s="9" t="n">
        <v>45413.875</v>
      </c>
      <c r="B2927" t="n">
        <v>5</v>
      </c>
      <c r="C2927" t="n">
        <v>1</v>
      </c>
      <c r="D2927" t="n">
        <v>21</v>
      </c>
      <c r="E2927" s="10" t="n">
        <v>0</v>
      </c>
      <c r="F2927" s="10" t="n">
        <v>0.264442383466172</v>
      </c>
      <c r="G2927" s="11">
        <f>E2927*Summary!$B$6</f>
        <v/>
      </c>
      <c r="H2927" s="11">
        <f>F2927*Summary!$B$7</f>
        <v/>
      </c>
      <c r="I2927" s="11">
        <f>MAX(0,N2927-M2927)</f>
        <v/>
      </c>
      <c r="J2927" s="11">
        <f>MAX(0,M2927-N2927)</f>
        <v/>
      </c>
      <c r="K2927" s="11">
        <f>O2927</f>
        <v/>
      </c>
      <c r="L2927" s="11">
        <f>L2926+IF(K2927&gt;0,K2927*Summary!$B$9,K2927/Summary!$B$9)</f>
        <v/>
      </c>
      <c r="M2927" s="11">
        <f>G2927+H2927</f>
        <v/>
      </c>
      <c r="N2927" s="11">
        <f>Summary!$C$16*Summary!$B$8</f>
        <v/>
      </c>
      <c r="O2927" s="11">
        <f>M2927-N2927</f>
        <v/>
      </c>
    </row>
    <row r="2928">
      <c r="A2928" s="9" t="n">
        <v>45413.91666666666</v>
      </c>
      <c r="B2928" t="n">
        <v>5</v>
      </c>
      <c r="C2928" t="n">
        <v>1</v>
      </c>
      <c r="D2928" t="n">
        <v>22</v>
      </c>
      <c r="E2928" s="10" t="n">
        <v>0</v>
      </c>
      <c r="F2928" s="10" t="n">
        <v>0.2799637151912917</v>
      </c>
      <c r="G2928" s="11">
        <f>E2928*Summary!$B$6</f>
        <v/>
      </c>
      <c r="H2928" s="11">
        <f>F2928*Summary!$B$7</f>
        <v/>
      </c>
      <c r="I2928" s="11">
        <f>MAX(0,N2928-M2928)</f>
        <v/>
      </c>
      <c r="J2928" s="11">
        <f>MAX(0,M2928-N2928)</f>
        <v/>
      </c>
      <c r="K2928" s="11">
        <f>O2928</f>
        <v/>
      </c>
      <c r="L2928" s="11">
        <f>L2927+IF(K2928&gt;0,K2928*Summary!$B$9,K2928/Summary!$B$9)</f>
        <v/>
      </c>
      <c r="M2928" s="11">
        <f>G2928+H2928</f>
        <v/>
      </c>
      <c r="N2928" s="11">
        <f>Summary!$C$16*Summary!$B$8</f>
        <v/>
      </c>
      <c r="O2928" s="11">
        <f>M2928-N2928</f>
        <v/>
      </c>
    </row>
    <row r="2929">
      <c r="A2929" s="9" t="n">
        <v>45413.95833333334</v>
      </c>
      <c r="B2929" t="n">
        <v>5</v>
      </c>
      <c r="C2929" t="n">
        <v>1</v>
      </c>
      <c r="D2929" t="n">
        <v>23</v>
      </c>
      <c r="E2929" s="10" t="n">
        <v>0</v>
      </c>
      <c r="F2929" s="10" t="n">
        <v>0.2923228061574735</v>
      </c>
      <c r="G2929" s="11">
        <f>E2929*Summary!$B$6</f>
        <v/>
      </c>
      <c r="H2929" s="11">
        <f>F2929*Summary!$B$7</f>
        <v/>
      </c>
      <c r="I2929" s="11">
        <f>MAX(0,N2929-M2929)</f>
        <v/>
      </c>
      <c r="J2929" s="11">
        <f>MAX(0,M2929-N2929)</f>
        <v/>
      </c>
      <c r="K2929" s="11">
        <f>O2929</f>
        <v/>
      </c>
      <c r="L2929" s="11">
        <f>L2928+IF(K2929&gt;0,K2929*Summary!$B$9,K2929/Summary!$B$9)</f>
        <v/>
      </c>
      <c r="M2929" s="11">
        <f>G2929+H2929</f>
        <v/>
      </c>
      <c r="N2929" s="11">
        <f>Summary!$C$16*Summary!$B$8</f>
        <v/>
      </c>
      <c r="O2929" s="11">
        <f>M2929-N2929</f>
        <v/>
      </c>
    </row>
    <row r="2930">
      <c r="A2930" s="9" t="n">
        <v>45414</v>
      </c>
      <c r="B2930" t="n">
        <v>5</v>
      </c>
      <c r="C2930" t="n">
        <v>2</v>
      </c>
      <c r="D2930" t="n">
        <v>0</v>
      </c>
      <c r="E2930" s="10" t="n">
        <v>0</v>
      </c>
      <c r="F2930" s="10" t="n">
        <v>0.2767224184133804</v>
      </c>
      <c r="G2930" s="11">
        <f>E2930*Summary!$B$6</f>
        <v/>
      </c>
      <c r="H2930" s="11">
        <f>F2930*Summary!$B$7</f>
        <v/>
      </c>
      <c r="I2930" s="11">
        <f>MAX(0,N2930-M2930)</f>
        <v/>
      </c>
      <c r="J2930" s="11">
        <f>MAX(0,M2930-N2930)</f>
        <v/>
      </c>
      <c r="K2930" s="11">
        <f>O2930</f>
        <v/>
      </c>
      <c r="L2930" s="11">
        <f>L2929+IF(K2930&gt;0,K2930*Summary!$B$9,K2930/Summary!$B$9)</f>
        <v/>
      </c>
      <c r="M2930" s="11">
        <f>G2930+H2930</f>
        <v/>
      </c>
      <c r="N2930" s="11">
        <f>Summary!$C$16*Summary!$B$8</f>
        <v/>
      </c>
      <c r="O2930" s="11">
        <f>M2930-N2930</f>
        <v/>
      </c>
    </row>
    <row r="2931">
      <c r="A2931" s="9" t="n">
        <v>45414.04166666666</v>
      </c>
      <c r="B2931" t="n">
        <v>5</v>
      </c>
      <c r="C2931" t="n">
        <v>2</v>
      </c>
      <c r="D2931" t="n">
        <v>1</v>
      </c>
      <c r="E2931" s="10" t="n">
        <v>0</v>
      </c>
      <c r="F2931" s="10" t="n">
        <v>0.311507066761696</v>
      </c>
      <c r="G2931" s="11">
        <f>E2931*Summary!$B$6</f>
        <v/>
      </c>
      <c r="H2931" s="11">
        <f>F2931*Summary!$B$7</f>
        <v/>
      </c>
      <c r="I2931" s="11">
        <f>MAX(0,N2931-M2931)</f>
        <v/>
      </c>
      <c r="J2931" s="11">
        <f>MAX(0,M2931-N2931)</f>
        <v/>
      </c>
      <c r="K2931" s="11">
        <f>O2931</f>
        <v/>
      </c>
      <c r="L2931" s="11">
        <f>L2930+IF(K2931&gt;0,K2931*Summary!$B$9,K2931/Summary!$B$9)</f>
        <v/>
      </c>
      <c r="M2931" s="11">
        <f>G2931+H2931</f>
        <v/>
      </c>
      <c r="N2931" s="11">
        <f>Summary!$C$16*Summary!$B$8</f>
        <v/>
      </c>
      <c r="O2931" s="11">
        <f>M2931-N2931</f>
        <v/>
      </c>
    </row>
    <row r="2932">
      <c r="A2932" s="9" t="n">
        <v>45414.08333333334</v>
      </c>
      <c r="B2932" t="n">
        <v>5</v>
      </c>
      <c r="C2932" t="n">
        <v>2</v>
      </c>
      <c r="D2932" t="n">
        <v>2</v>
      </c>
      <c r="E2932" s="10" t="n">
        <v>0</v>
      </c>
      <c r="F2932" s="10" t="n">
        <v>0.3187538685009284</v>
      </c>
      <c r="G2932" s="11">
        <f>E2932*Summary!$B$6</f>
        <v/>
      </c>
      <c r="H2932" s="11">
        <f>F2932*Summary!$B$7</f>
        <v/>
      </c>
      <c r="I2932" s="11">
        <f>MAX(0,N2932-M2932)</f>
        <v/>
      </c>
      <c r="J2932" s="11">
        <f>MAX(0,M2932-N2932)</f>
        <v/>
      </c>
      <c r="K2932" s="11">
        <f>O2932</f>
        <v/>
      </c>
      <c r="L2932" s="11">
        <f>L2931+IF(K2932&gt;0,K2932*Summary!$B$9,K2932/Summary!$B$9)</f>
        <v/>
      </c>
      <c r="M2932" s="11">
        <f>G2932+H2932</f>
        <v/>
      </c>
      <c r="N2932" s="11">
        <f>Summary!$C$16*Summary!$B$8</f>
        <v/>
      </c>
      <c r="O2932" s="11">
        <f>M2932-N2932</f>
        <v/>
      </c>
    </row>
    <row r="2933">
      <c r="A2933" s="9" t="n">
        <v>45414.125</v>
      </c>
      <c r="B2933" t="n">
        <v>5</v>
      </c>
      <c r="C2933" t="n">
        <v>2</v>
      </c>
      <c r="D2933" t="n">
        <v>3</v>
      </c>
      <c r="E2933" s="10" t="n">
        <v>0</v>
      </c>
      <c r="F2933" s="10" t="n">
        <v>0.3239715657531758</v>
      </c>
      <c r="G2933" s="11">
        <f>E2933*Summary!$B$6</f>
        <v/>
      </c>
      <c r="H2933" s="11">
        <f>F2933*Summary!$B$7</f>
        <v/>
      </c>
      <c r="I2933" s="11">
        <f>MAX(0,N2933-M2933)</f>
        <v/>
      </c>
      <c r="J2933" s="11">
        <f>MAX(0,M2933-N2933)</f>
        <v/>
      </c>
      <c r="K2933" s="11">
        <f>O2933</f>
        <v/>
      </c>
      <c r="L2933" s="11">
        <f>L2932+IF(K2933&gt;0,K2933*Summary!$B$9,K2933/Summary!$B$9)</f>
        <v/>
      </c>
      <c r="M2933" s="11">
        <f>G2933+H2933</f>
        <v/>
      </c>
      <c r="N2933" s="11">
        <f>Summary!$C$16*Summary!$B$8</f>
        <v/>
      </c>
      <c r="O2933" s="11">
        <f>M2933-N2933</f>
        <v/>
      </c>
    </row>
    <row r="2934">
      <c r="A2934" s="9" t="n">
        <v>45414.16666666666</v>
      </c>
      <c r="B2934" t="n">
        <v>5</v>
      </c>
      <c r="C2934" t="n">
        <v>2</v>
      </c>
      <c r="D2934" t="n">
        <v>4</v>
      </c>
      <c r="E2934" s="10" t="n">
        <v>0</v>
      </c>
      <c r="F2934" s="10" t="n">
        <v>0.3262114862907567</v>
      </c>
      <c r="G2934" s="11">
        <f>E2934*Summary!$B$6</f>
        <v/>
      </c>
      <c r="H2934" s="11">
        <f>F2934*Summary!$B$7</f>
        <v/>
      </c>
      <c r="I2934" s="11">
        <f>MAX(0,N2934-M2934)</f>
        <v/>
      </c>
      <c r="J2934" s="11">
        <f>MAX(0,M2934-N2934)</f>
        <v/>
      </c>
      <c r="K2934" s="11">
        <f>O2934</f>
        <v/>
      </c>
      <c r="L2934" s="11">
        <f>L2933+IF(K2934&gt;0,K2934*Summary!$B$9,K2934/Summary!$B$9)</f>
        <v/>
      </c>
      <c r="M2934" s="11">
        <f>G2934+H2934</f>
        <v/>
      </c>
      <c r="N2934" s="11">
        <f>Summary!$C$16*Summary!$B$8</f>
        <v/>
      </c>
      <c r="O2934" s="11">
        <f>M2934-N2934</f>
        <v/>
      </c>
    </row>
    <row r="2935">
      <c r="A2935" s="9" t="n">
        <v>45414.20833333334</v>
      </c>
      <c r="B2935" t="n">
        <v>5</v>
      </c>
      <c r="C2935" t="n">
        <v>2</v>
      </c>
      <c r="D2935" t="n">
        <v>5</v>
      </c>
      <c r="E2935" s="10" t="n">
        <v>0.041663</v>
      </c>
      <c r="F2935" s="10" t="n">
        <v>0.3203613408867218</v>
      </c>
      <c r="G2935" s="11">
        <f>E2935*Summary!$B$6</f>
        <v/>
      </c>
      <c r="H2935" s="11">
        <f>F2935*Summary!$B$7</f>
        <v/>
      </c>
      <c r="I2935" s="11">
        <f>MAX(0,N2935-M2935)</f>
        <v/>
      </c>
      <c r="J2935" s="11">
        <f>MAX(0,M2935-N2935)</f>
        <v/>
      </c>
      <c r="K2935" s="11">
        <f>O2935</f>
        <v/>
      </c>
      <c r="L2935" s="11">
        <f>L2934+IF(K2935&gt;0,K2935*Summary!$B$9,K2935/Summary!$B$9)</f>
        <v/>
      </c>
      <c r="M2935" s="11">
        <f>G2935+H2935</f>
        <v/>
      </c>
      <c r="N2935" s="11">
        <f>Summary!$C$16*Summary!$B$8</f>
        <v/>
      </c>
      <c r="O2935" s="11">
        <f>M2935-N2935</f>
        <v/>
      </c>
    </row>
    <row r="2936">
      <c r="A2936" s="9" t="n">
        <v>45414.25</v>
      </c>
      <c r="B2936" t="n">
        <v>5</v>
      </c>
      <c r="C2936" t="n">
        <v>2</v>
      </c>
      <c r="D2936" t="n">
        <v>6</v>
      </c>
      <c r="E2936" s="10" t="n">
        <v>0.152099</v>
      </c>
      <c r="F2936" s="10" t="n">
        <v>0.297276983346476</v>
      </c>
      <c r="G2936" s="11">
        <f>E2936*Summary!$B$6</f>
        <v/>
      </c>
      <c r="H2936" s="11">
        <f>F2936*Summary!$B$7</f>
        <v/>
      </c>
      <c r="I2936" s="11">
        <f>MAX(0,N2936-M2936)</f>
        <v/>
      </c>
      <c r="J2936" s="11">
        <f>MAX(0,M2936-N2936)</f>
        <v/>
      </c>
      <c r="K2936" s="11">
        <f>O2936</f>
        <v/>
      </c>
      <c r="L2936" s="11">
        <f>L2935+IF(K2936&gt;0,K2936*Summary!$B$9,K2936/Summary!$B$9)</f>
        <v/>
      </c>
      <c r="M2936" s="11">
        <f>G2936+H2936</f>
        <v/>
      </c>
      <c r="N2936" s="11">
        <f>Summary!$C$16*Summary!$B$8</f>
        <v/>
      </c>
      <c r="O2936" s="11">
        <f>M2936-N2936</f>
        <v/>
      </c>
    </row>
    <row r="2937">
      <c r="A2937" s="9" t="n">
        <v>45414.29166666666</v>
      </c>
      <c r="B2937" t="n">
        <v>5</v>
      </c>
      <c r="C2937" t="n">
        <v>2</v>
      </c>
      <c r="D2937" t="n">
        <v>7</v>
      </c>
      <c r="E2937" s="10" t="n">
        <v>0.379918</v>
      </c>
      <c r="F2937" s="10" t="n">
        <v>0.2723479853635165</v>
      </c>
      <c r="G2937" s="11">
        <f>E2937*Summary!$B$6</f>
        <v/>
      </c>
      <c r="H2937" s="11">
        <f>F2937*Summary!$B$7</f>
        <v/>
      </c>
      <c r="I2937" s="11">
        <f>MAX(0,N2937-M2937)</f>
        <v/>
      </c>
      <c r="J2937" s="11">
        <f>MAX(0,M2937-N2937)</f>
        <v/>
      </c>
      <c r="K2937" s="11">
        <f>O2937</f>
        <v/>
      </c>
      <c r="L2937" s="11">
        <f>L2936+IF(K2937&gt;0,K2937*Summary!$B$9,K2937/Summary!$B$9)</f>
        <v/>
      </c>
      <c r="M2937" s="11">
        <f>G2937+H2937</f>
        <v/>
      </c>
      <c r="N2937" s="11">
        <f>Summary!$C$16*Summary!$B$8</f>
        <v/>
      </c>
      <c r="O2937" s="11">
        <f>M2937-N2937</f>
        <v/>
      </c>
    </row>
    <row r="2938">
      <c r="A2938" s="9" t="n">
        <v>45414.33333333334</v>
      </c>
      <c r="B2938" t="n">
        <v>5</v>
      </c>
      <c r="C2938" t="n">
        <v>2</v>
      </c>
      <c r="D2938" t="n">
        <v>8</v>
      </c>
      <c r="E2938" s="10" t="n">
        <v>0.583537</v>
      </c>
      <c r="F2938" s="10" t="n">
        <v>0.2734020656164958</v>
      </c>
      <c r="G2938" s="11">
        <f>E2938*Summary!$B$6</f>
        <v/>
      </c>
      <c r="H2938" s="11">
        <f>F2938*Summary!$B$7</f>
        <v/>
      </c>
      <c r="I2938" s="11">
        <f>MAX(0,N2938-M2938)</f>
        <v/>
      </c>
      <c r="J2938" s="11">
        <f>MAX(0,M2938-N2938)</f>
        <v/>
      </c>
      <c r="K2938" s="11">
        <f>O2938</f>
        <v/>
      </c>
      <c r="L2938" s="11">
        <f>L2937+IF(K2938&gt;0,K2938*Summary!$B$9,K2938/Summary!$B$9)</f>
        <v/>
      </c>
      <c r="M2938" s="11">
        <f>G2938+H2938</f>
        <v/>
      </c>
      <c r="N2938" s="11">
        <f>Summary!$C$16*Summary!$B$8</f>
        <v/>
      </c>
      <c r="O2938" s="11">
        <f>M2938-N2938</f>
        <v/>
      </c>
    </row>
    <row r="2939">
      <c r="A2939" s="9" t="n">
        <v>45414.375</v>
      </c>
      <c r="B2939" t="n">
        <v>5</v>
      </c>
      <c r="C2939" t="n">
        <v>2</v>
      </c>
      <c r="D2939" t="n">
        <v>9</v>
      </c>
      <c r="E2939" s="10" t="n">
        <v>0.73755</v>
      </c>
      <c r="F2939" s="10" t="n">
        <v>0.2776710906410618</v>
      </c>
      <c r="G2939" s="11">
        <f>E2939*Summary!$B$6</f>
        <v/>
      </c>
      <c r="H2939" s="11">
        <f>F2939*Summary!$B$7</f>
        <v/>
      </c>
      <c r="I2939" s="11">
        <f>MAX(0,N2939-M2939)</f>
        <v/>
      </c>
      <c r="J2939" s="11">
        <f>MAX(0,M2939-N2939)</f>
        <v/>
      </c>
      <c r="K2939" s="11">
        <f>O2939</f>
        <v/>
      </c>
      <c r="L2939" s="11">
        <f>L2938+IF(K2939&gt;0,K2939*Summary!$B$9,K2939/Summary!$B$9)</f>
        <v/>
      </c>
      <c r="M2939" s="11">
        <f>G2939+H2939</f>
        <v/>
      </c>
      <c r="N2939" s="11">
        <f>Summary!$C$16*Summary!$B$8</f>
        <v/>
      </c>
      <c r="O2939" s="11">
        <f>M2939-N2939</f>
        <v/>
      </c>
    </row>
    <row r="2940">
      <c r="A2940" s="9" t="n">
        <v>45414.41666666666</v>
      </c>
      <c r="B2940" t="n">
        <v>5</v>
      </c>
      <c r="C2940" t="n">
        <v>2</v>
      </c>
      <c r="D2940" t="n">
        <v>10</v>
      </c>
      <c r="E2940" s="10" t="n">
        <v>0.754058</v>
      </c>
      <c r="F2940" s="10" t="n">
        <v>0.2927971422713141</v>
      </c>
      <c r="G2940" s="11">
        <f>E2940*Summary!$B$6</f>
        <v/>
      </c>
      <c r="H2940" s="11">
        <f>F2940*Summary!$B$7</f>
        <v/>
      </c>
      <c r="I2940" s="11">
        <f>MAX(0,N2940-M2940)</f>
        <v/>
      </c>
      <c r="J2940" s="11">
        <f>MAX(0,M2940-N2940)</f>
        <v/>
      </c>
      <c r="K2940" s="11">
        <f>O2940</f>
        <v/>
      </c>
      <c r="L2940" s="11">
        <f>L2939+IF(K2940&gt;0,K2940*Summary!$B$9,K2940/Summary!$B$9)</f>
        <v/>
      </c>
      <c r="M2940" s="11">
        <f>G2940+H2940</f>
        <v/>
      </c>
      <c r="N2940" s="11">
        <f>Summary!$C$16*Summary!$B$8</f>
        <v/>
      </c>
      <c r="O2940" s="11">
        <f>M2940-N2940</f>
        <v/>
      </c>
    </row>
    <row r="2941">
      <c r="A2941" s="9" t="n">
        <v>45414.45833333334</v>
      </c>
      <c r="B2941" t="n">
        <v>5</v>
      </c>
      <c r="C2941" t="n">
        <v>2</v>
      </c>
      <c r="D2941" t="n">
        <v>11</v>
      </c>
      <c r="E2941" s="10" t="n">
        <v>0.754058</v>
      </c>
      <c r="F2941" s="10" t="n">
        <v>0.3086874020849765</v>
      </c>
      <c r="G2941" s="11">
        <f>E2941*Summary!$B$6</f>
        <v/>
      </c>
      <c r="H2941" s="11">
        <f>F2941*Summary!$B$7</f>
        <v/>
      </c>
      <c r="I2941" s="11">
        <f>MAX(0,N2941-M2941)</f>
        <v/>
      </c>
      <c r="J2941" s="11">
        <f>MAX(0,M2941-N2941)</f>
        <v/>
      </c>
      <c r="K2941" s="11">
        <f>O2941</f>
        <v/>
      </c>
      <c r="L2941" s="11">
        <f>L2940+IF(K2941&gt;0,K2941*Summary!$B$9,K2941/Summary!$B$9)</f>
        <v/>
      </c>
      <c r="M2941" s="11">
        <f>G2941+H2941</f>
        <v/>
      </c>
      <c r="N2941" s="11">
        <f>Summary!$C$16*Summary!$B$8</f>
        <v/>
      </c>
      <c r="O2941" s="11">
        <f>M2941-N2941</f>
        <v/>
      </c>
    </row>
    <row r="2942">
      <c r="A2942" s="9" t="n">
        <v>45414.5</v>
      </c>
      <c r="B2942" t="n">
        <v>5</v>
      </c>
      <c r="C2942" t="n">
        <v>2</v>
      </c>
      <c r="D2942" t="n">
        <v>12</v>
      </c>
      <c r="E2942" s="10" t="n">
        <v>0.754058</v>
      </c>
      <c r="F2942" s="10" t="n">
        <v>0.3237871017089044</v>
      </c>
      <c r="G2942" s="11">
        <f>E2942*Summary!$B$6</f>
        <v/>
      </c>
      <c r="H2942" s="11">
        <f>F2942*Summary!$B$7</f>
        <v/>
      </c>
      <c r="I2942" s="11">
        <f>MAX(0,N2942-M2942)</f>
        <v/>
      </c>
      <c r="J2942" s="11">
        <f>MAX(0,M2942-N2942)</f>
        <v/>
      </c>
      <c r="K2942" s="11">
        <f>O2942</f>
        <v/>
      </c>
      <c r="L2942" s="11">
        <f>L2941+IF(K2942&gt;0,K2942*Summary!$B$9,K2942/Summary!$B$9)</f>
        <v/>
      </c>
      <c r="M2942" s="11">
        <f>G2942+H2942</f>
        <v/>
      </c>
      <c r="N2942" s="11">
        <f>Summary!$C$16*Summary!$B$8</f>
        <v/>
      </c>
      <c r="O2942" s="11">
        <f>M2942-N2942</f>
        <v/>
      </c>
    </row>
    <row r="2943">
      <c r="A2943" s="9" t="n">
        <v>45414.54166666666</v>
      </c>
      <c r="B2943" t="n">
        <v>5</v>
      </c>
      <c r="C2943" t="n">
        <v>2</v>
      </c>
      <c r="D2943" t="n">
        <v>13</v>
      </c>
      <c r="E2943" s="10" t="n">
        <v>0.754058</v>
      </c>
      <c r="F2943" s="10" t="n">
        <v>0.332852191884526</v>
      </c>
      <c r="G2943" s="11">
        <f>E2943*Summary!$B$6</f>
        <v/>
      </c>
      <c r="H2943" s="11">
        <f>F2943*Summary!$B$7</f>
        <v/>
      </c>
      <c r="I2943" s="11">
        <f>MAX(0,N2943-M2943)</f>
        <v/>
      </c>
      <c r="J2943" s="11">
        <f>MAX(0,M2943-N2943)</f>
        <v/>
      </c>
      <c r="K2943" s="11">
        <f>O2943</f>
        <v/>
      </c>
      <c r="L2943" s="11">
        <f>L2942+IF(K2943&gt;0,K2943*Summary!$B$9,K2943/Summary!$B$9)</f>
        <v/>
      </c>
      <c r="M2943" s="11">
        <f>G2943+H2943</f>
        <v/>
      </c>
      <c r="N2943" s="11">
        <f>Summary!$C$16*Summary!$B$8</f>
        <v/>
      </c>
      <c r="O2943" s="11">
        <f>M2943-N2943</f>
        <v/>
      </c>
    </row>
    <row r="2944">
      <c r="A2944" s="9" t="n">
        <v>45414.58333333334</v>
      </c>
      <c r="B2944" t="n">
        <v>5</v>
      </c>
      <c r="C2944" t="n">
        <v>2</v>
      </c>
      <c r="D2944" t="n">
        <v>14</v>
      </c>
      <c r="E2944" s="10" t="n">
        <v>0.754058</v>
      </c>
      <c r="F2944" s="10" t="n">
        <v>0.3502445160586838</v>
      </c>
      <c r="G2944" s="11">
        <f>E2944*Summary!$B$6</f>
        <v/>
      </c>
      <c r="H2944" s="11">
        <f>F2944*Summary!$B$7</f>
        <v/>
      </c>
      <c r="I2944" s="11">
        <f>MAX(0,N2944-M2944)</f>
        <v/>
      </c>
      <c r="J2944" s="11">
        <f>MAX(0,M2944-N2944)</f>
        <v/>
      </c>
      <c r="K2944" s="11">
        <f>O2944</f>
        <v/>
      </c>
      <c r="L2944" s="11">
        <f>L2943+IF(K2944&gt;0,K2944*Summary!$B$9,K2944/Summary!$B$9)</f>
        <v/>
      </c>
      <c r="M2944" s="11">
        <f>G2944+H2944</f>
        <v/>
      </c>
      <c r="N2944" s="11">
        <f>Summary!$C$16*Summary!$B$8</f>
        <v/>
      </c>
      <c r="O2944" s="11">
        <f>M2944-N2944</f>
        <v/>
      </c>
    </row>
    <row r="2945">
      <c r="A2945" s="9" t="n">
        <v>45414.625</v>
      </c>
      <c r="B2945" t="n">
        <v>5</v>
      </c>
      <c r="C2945" t="n">
        <v>2</v>
      </c>
      <c r="D2945" t="n">
        <v>15</v>
      </c>
      <c r="E2945" s="10" t="n">
        <v>0.609824</v>
      </c>
      <c r="F2945" s="10" t="n">
        <v>0.3420226900854456</v>
      </c>
      <c r="G2945" s="11">
        <f>E2945*Summary!$B$6</f>
        <v/>
      </c>
      <c r="H2945" s="11">
        <f>F2945*Summary!$B$7</f>
        <v/>
      </c>
      <c r="I2945" s="11">
        <f>MAX(0,N2945-M2945)</f>
        <v/>
      </c>
      <c r="J2945" s="11">
        <f>MAX(0,M2945-N2945)</f>
        <v/>
      </c>
      <c r="K2945" s="11">
        <f>O2945</f>
        <v/>
      </c>
      <c r="L2945" s="11">
        <f>L2944+IF(K2945&gt;0,K2945*Summary!$B$9,K2945/Summary!$B$9)</f>
        <v/>
      </c>
      <c r="M2945" s="11">
        <f>G2945+H2945</f>
        <v/>
      </c>
      <c r="N2945" s="11">
        <f>Summary!$C$16*Summary!$B$8</f>
        <v/>
      </c>
      <c r="O2945" s="11">
        <f>M2945-N2945</f>
        <v/>
      </c>
    </row>
    <row r="2946">
      <c r="A2946" s="9" t="n">
        <v>45414.66666666666</v>
      </c>
      <c r="B2946" t="n">
        <v>5</v>
      </c>
      <c r="C2946" t="n">
        <v>2</v>
      </c>
      <c r="D2946" t="n">
        <v>16</v>
      </c>
      <c r="E2946" s="10" t="n">
        <v>0.41015</v>
      </c>
      <c r="F2946" s="10" t="n">
        <v>0.3347495363398887</v>
      </c>
      <c r="G2946" s="11">
        <f>E2946*Summary!$B$6</f>
        <v/>
      </c>
      <c r="H2946" s="11">
        <f>F2946*Summary!$B$7</f>
        <v/>
      </c>
      <c r="I2946" s="11">
        <f>MAX(0,N2946-M2946)</f>
        <v/>
      </c>
      <c r="J2946" s="11">
        <f>MAX(0,M2946-N2946)</f>
        <v/>
      </c>
      <c r="K2946" s="11">
        <f>O2946</f>
        <v/>
      </c>
      <c r="L2946" s="11">
        <f>L2945+IF(K2946&gt;0,K2946*Summary!$B$9,K2946/Summary!$B$9)</f>
        <v/>
      </c>
      <c r="M2946" s="11">
        <f>G2946+H2946</f>
        <v/>
      </c>
      <c r="N2946" s="11">
        <f>Summary!$C$16*Summary!$B$8</f>
        <v/>
      </c>
      <c r="O2946" s="11">
        <f>M2946-N2946</f>
        <v/>
      </c>
    </row>
    <row r="2947">
      <c r="A2947" s="9" t="n">
        <v>45414.70833333334</v>
      </c>
      <c r="B2947" t="n">
        <v>5</v>
      </c>
      <c r="C2947" t="n">
        <v>2</v>
      </c>
      <c r="D2947" t="n">
        <v>17</v>
      </c>
      <c r="E2947" s="10" t="n">
        <v>0.192656</v>
      </c>
      <c r="F2947" s="10" t="n">
        <v>0.3151436436344744</v>
      </c>
      <c r="G2947" s="11">
        <f>E2947*Summary!$B$6</f>
        <v/>
      </c>
      <c r="H2947" s="11">
        <f>F2947*Summary!$B$7</f>
        <v/>
      </c>
      <c r="I2947" s="11">
        <f>MAX(0,N2947-M2947)</f>
        <v/>
      </c>
      <c r="J2947" s="11">
        <f>MAX(0,M2947-N2947)</f>
        <v/>
      </c>
      <c r="K2947" s="11">
        <f>O2947</f>
        <v/>
      </c>
      <c r="L2947" s="11">
        <f>L2946+IF(K2947&gt;0,K2947*Summary!$B$9,K2947/Summary!$B$9)</f>
        <v/>
      </c>
      <c r="M2947" s="11">
        <f>G2947+H2947</f>
        <v/>
      </c>
      <c r="N2947" s="11">
        <f>Summary!$C$16*Summary!$B$8</f>
        <v/>
      </c>
      <c r="O2947" s="11">
        <f>M2947-N2947</f>
        <v/>
      </c>
    </row>
    <row r="2948">
      <c r="A2948" s="9" t="n">
        <v>45414.75</v>
      </c>
      <c r="B2948" t="n">
        <v>5</v>
      </c>
      <c r="C2948" t="n">
        <v>2</v>
      </c>
      <c r="D2948" t="n">
        <v>18</v>
      </c>
      <c r="E2948" s="10" t="n">
        <v>0.042456</v>
      </c>
      <c r="F2948" s="10" t="n">
        <v>0.3088982181355724</v>
      </c>
      <c r="G2948" s="11">
        <f>E2948*Summary!$B$6</f>
        <v/>
      </c>
      <c r="H2948" s="11">
        <f>F2948*Summary!$B$7</f>
        <v/>
      </c>
      <c r="I2948" s="11">
        <f>MAX(0,N2948-M2948)</f>
        <v/>
      </c>
      <c r="J2948" s="11">
        <f>MAX(0,M2948-N2948)</f>
        <v/>
      </c>
      <c r="K2948" s="11">
        <f>O2948</f>
        <v/>
      </c>
      <c r="L2948" s="11">
        <f>L2947+IF(K2948&gt;0,K2948*Summary!$B$9,K2948/Summary!$B$9)</f>
        <v/>
      </c>
      <c r="M2948" s="11">
        <f>G2948+H2948</f>
        <v/>
      </c>
      <c r="N2948" s="11">
        <f>Summary!$C$16*Summary!$B$8</f>
        <v/>
      </c>
      <c r="O2948" s="11">
        <f>M2948-N2948</f>
        <v/>
      </c>
    </row>
    <row r="2949">
      <c r="A2949" s="9" t="n">
        <v>45414.79166666666</v>
      </c>
      <c r="B2949" t="n">
        <v>5</v>
      </c>
      <c r="C2949" t="n">
        <v>2</v>
      </c>
      <c r="D2949" t="n">
        <v>19</v>
      </c>
      <c r="E2949" s="10" t="n">
        <v>0.013633</v>
      </c>
      <c r="F2949" s="10" t="n">
        <v>0.2789359869446368</v>
      </c>
      <c r="G2949" s="11">
        <f>E2949*Summary!$B$6</f>
        <v/>
      </c>
      <c r="H2949" s="11">
        <f>F2949*Summary!$B$7</f>
        <v/>
      </c>
      <c r="I2949" s="11">
        <f>MAX(0,N2949-M2949)</f>
        <v/>
      </c>
      <c r="J2949" s="11">
        <f>MAX(0,M2949-N2949)</f>
        <v/>
      </c>
      <c r="K2949" s="11">
        <f>O2949</f>
        <v/>
      </c>
      <c r="L2949" s="11">
        <f>L2948+IF(K2949&gt;0,K2949*Summary!$B$9,K2949/Summary!$B$9)</f>
        <v/>
      </c>
      <c r="M2949" s="11">
        <f>G2949+H2949</f>
        <v/>
      </c>
      <c r="N2949" s="11">
        <f>Summary!$C$16*Summary!$B$8</f>
        <v/>
      </c>
      <c r="O2949" s="11">
        <f>M2949-N2949</f>
        <v/>
      </c>
    </row>
    <row r="2950">
      <c r="A2950" s="9" t="n">
        <v>45414.83333333334</v>
      </c>
      <c r="B2950" t="n">
        <v>5</v>
      </c>
      <c r="C2950" t="n">
        <v>2</v>
      </c>
      <c r="D2950" t="n">
        <v>20</v>
      </c>
      <c r="E2950" s="10" t="n">
        <v>0</v>
      </c>
      <c r="F2950" s="10" t="n">
        <v>0.2777237946537107</v>
      </c>
      <c r="G2950" s="11">
        <f>E2950*Summary!$B$6</f>
        <v/>
      </c>
      <c r="H2950" s="11">
        <f>F2950*Summary!$B$7</f>
        <v/>
      </c>
      <c r="I2950" s="11">
        <f>MAX(0,N2950-M2950)</f>
        <v/>
      </c>
      <c r="J2950" s="11">
        <f>MAX(0,M2950-N2950)</f>
        <v/>
      </c>
      <c r="K2950" s="11">
        <f>O2950</f>
        <v/>
      </c>
      <c r="L2950" s="11">
        <f>L2949+IF(K2950&gt;0,K2950*Summary!$B$9,K2950/Summary!$B$9)</f>
        <v/>
      </c>
      <c r="M2950" s="11">
        <f>G2950+H2950</f>
        <v/>
      </c>
      <c r="N2950" s="11">
        <f>Summary!$C$16*Summary!$B$8</f>
        <v/>
      </c>
      <c r="O2950" s="11">
        <f>M2950-N2950</f>
        <v/>
      </c>
    </row>
    <row r="2951">
      <c r="A2951" s="9" t="n">
        <v>45414.875</v>
      </c>
      <c r="B2951" t="n">
        <v>5</v>
      </c>
      <c r="C2951" t="n">
        <v>2</v>
      </c>
      <c r="D2951" t="n">
        <v>21</v>
      </c>
      <c r="E2951" s="10" t="n">
        <v>0</v>
      </c>
      <c r="F2951" s="10" t="n">
        <v>0.2802535872608609</v>
      </c>
      <c r="G2951" s="11">
        <f>E2951*Summary!$B$6</f>
        <v/>
      </c>
      <c r="H2951" s="11">
        <f>F2951*Summary!$B$7</f>
        <v/>
      </c>
      <c r="I2951" s="11">
        <f>MAX(0,N2951-M2951)</f>
        <v/>
      </c>
      <c r="J2951" s="11">
        <f>MAX(0,M2951-N2951)</f>
        <v/>
      </c>
      <c r="K2951" s="11">
        <f>O2951</f>
        <v/>
      </c>
      <c r="L2951" s="11">
        <f>L2950+IF(K2951&gt;0,K2951*Summary!$B$9,K2951/Summary!$B$9)</f>
        <v/>
      </c>
      <c r="M2951" s="11">
        <f>G2951+H2951</f>
        <v/>
      </c>
      <c r="N2951" s="11">
        <f>Summary!$C$16*Summary!$B$8</f>
        <v/>
      </c>
      <c r="O2951" s="11">
        <f>M2951-N2951</f>
        <v/>
      </c>
    </row>
    <row r="2952">
      <c r="A2952" s="9" t="n">
        <v>45414.91666666666</v>
      </c>
      <c r="B2952" t="n">
        <v>5</v>
      </c>
      <c r="C2952" t="n">
        <v>2</v>
      </c>
      <c r="D2952" t="n">
        <v>22</v>
      </c>
      <c r="E2952" s="10" t="n">
        <v>0</v>
      </c>
      <c r="F2952" s="10" t="n">
        <v>0.2824671557921174</v>
      </c>
      <c r="G2952" s="11">
        <f>E2952*Summary!$B$6</f>
        <v/>
      </c>
      <c r="H2952" s="11">
        <f>F2952*Summary!$B$7</f>
        <v/>
      </c>
      <c r="I2952" s="11">
        <f>MAX(0,N2952-M2952)</f>
        <v/>
      </c>
      <c r="J2952" s="11">
        <f>MAX(0,M2952-N2952)</f>
        <v/>
      </c>
      <c r="K2952" s="11">
        <f>O2952</f>
        <v/>
      </c>
      <c r="L2952" s="11">
        <f>L2951+IF(K2952&gt;0,K2952*Summary!$B$9,K2952/Summary!$B$9)</f>
        <v/>
      </c>
      <c r="M2952" s="11">
        <f>G2952+H2952</f>
        <v/>
      </c>
      <c r="N2952" s="11">
        <f>Summary!$C$16*Summary!$B$8</f>
        <v/>
      </c>
      <c r="O2952" s="11">
        <f>M2952-N2952</f>
        <v/>
      </c>
    </row>
    <row r="2953">
      <c r="A2953" s="9" t="n">
        <v>45414.95833333334</v>
      </c>
      <c r="B2953" t="n">
        <v>5</v>
      </c>
      <c r="C2953" t="n">
        <v>2</v>
      </c>
      <c r="D2953" t="n">
        <v>23</v>
      </c>
      <c r="E2953" s="10" t="n">
        <v>0</v>
      </c>
      <c r="F2953" s="10" t="n">
        <v>0.2829678439122825</v>
      </c>
      <c r="G2953" s="11">
        <f>E2953*Summary!$B$6</f>
        <v/>
      </c>
      <c r="H2953" s="11">
        <f>F2953*Summary!$B$7</f>
        <v/>
      </c>
      <c r="I2953" s="11">
        <f>MAX(0,N2953-M2953)</f>
        <v/>
      </c>
      <c r="J2953" s="11">
        <f>MAX(0,M2953-N2953)</f>
        <v/>
      </c>
      <c r="K2953" s="11">
        <f>O2953</f>
        <v/>
      </c>
      <c r="L2953" s="11">
        <f>L2952+IF(K2953&gt;0,K2953*Summary!$B$9,K2953/Summary!$B$9)</f>
        <v/>
      </c>
      <c r="M2953" s="11">
        <f>G2953+H2953</f>
        <v/>
      </c>
      <c r="N2953" s="11">
        <f>Summary!$C$16*Summary!$B$8</f>
        <v/>
      </c>
      <c r="O2953" s="11">
        <f>M2953-N2953</f>
        <v/>
      </c>
    </row>
    <row r="2954">
      <c r="A2954" s="9" t="n">
        <v>45415</v>
      </c>
      <c r="B2954" t="n">
        <v>5</v>
      </c>
      <c r="C2954" t="n">
        <v>3</v>
      </c>
      <c r="D2954" t="n">
        <v>0</v>
      </c>
      <c r="E2954" s="10" t="n">
        <v>0</v>
      </c>
      <c r="F2954" s="10" t="n">
        <v>0.2556671653601197</v>
      </c>
      <c r="G2954" s="11">
        <f>E2954*Summary!$B$6</f>
        <v/>
      </c>
      <c r="H2954" s="11">
        <f>F2954*Summary!$B$7</f>
        <v/>
      </c>
      <c r="I2954" s="11">
        <f>MAX(0,N2954-M2954)</f>
        <v/>
      </c>
      <c r="J2954" s="11">
        <f>MAX(0,M2954-N2954)</f>
        <v/>
      </c>
      <c r="K2954" s="11">
        <f>O2954</f>
        <v/>
      </c>
      <c r="L2954" s="11">
        <f>L2953+IF(K2954&gt;0,K2954*Summary!$B$9,K2954/Summary!$B$9)</f>
        <v/>
      </c>
      <c r="M2954" s="11">
        <f>G2954+H2954</f>
        <v/>
      </c>
      <c r="N2954" s="11">
        <f>Summary!$C$16*Summary!$B$8</f>
        <v/>
      </c>
      <c r="O2954" s="11">
        <f>M2954-N2954</f>
        <v/>
      </c>
    </row>
    <row r="2955">
      <c r="A2955" s="9" t="n">
        <v>45415.04166666666</v>
      </c>
      <c r="B2955" t="n">
        <v>5</v>
      </c>
      <c r="C2955" t="n">
        <v>3</v>
      </c>
      <c r="D2955" t="n">
        <v>1</v>
      </c>
      <c r="E2955" s="10" t="n">
        <v>0</v>
      </c>
      <c r="F2955" s="10" t="n">
        <v>0.2663924319341837</v>
      </c>
      <c r="G2955" s="11">
        <f>E2955*Summary!$B$6</f>
        <v/>
      </c>
      <c r="H2955" s="11">
        <f>F2955*Summary!$B$7</f>
        <v/>
      </c>
      <c r="I2955" s="11">
        <f>MAX(0,N2955-M2955)</f>
        <v/>
      </c>
      <c r="J2955" s="11">
        <f>MAX(0,M2955-N2955)</f>
        <v/>
      </c>
      <c r="K2955" s="11">
        <f>O2955</f>
        <v/>
      </c>
      <c r="L2955" s="11">
        <f>L2954+IF(K2955&gt;0,K2955*Summary!$B$9,K2955/Summary!$B$9)</f>
        <v/>
      </c>
      <c r="M2955" s="11">
        <f>G2955+H2955</f>
        <v/>
      </c>
      <c r="N2955" s="11">
        <f>Summary!$C$16*Summary!$B$8</f>
        <v/>
      </c>
      <c r="O2955" s="11">
        <f>M2955-N2955</f>
        <v/>
      </c>
    </row>
    <row r="2956">
      <c r="A2956" s="9" t="n">
        <v>45415.08333333334</v>
      </c>
      <c r="B2956" t="n">
        <v>5</v>
      </c>
      <c r="C2956" t="n">
        <v>3</v>
      </c>
      <c r="D2956" t="n">
        <v>2</v>
      </c>
      <c r="E2956" s="10" t="n">
        <v>0</v>
      </c>
      <c r="F2956" s="10" t="n">
        <v>0.2579070858977006</v>
      </c>
      <c r="G2956" s="11">
        <f>E2956*Summary!$B$6</f>
        <v/>
      </c>
      <c r="H2956" s="11">
        <f>F2956*Summary!$B$7</f>
        <v/>
      </c>
      <c r="I2956" s="11">
        <f>MAX(0,N2956-M2956)</f>
        <v/>
      </c>
      <c r="J2956" s="11">
        <f>MAX(0,M2956-N2956)</f>
        <v/>
      </c>
      <c r="K2956" s="11">
        <f>O2956</f>
        <v/>
      </c>
      <c r="L2956" s="11">
        <f>L2955+IF(K2956&gt;0,K2956*Summary!$B$9,K2956/Summary!$B$9)</f>
        <v/>
      </c>
      <c r="M2956" s="11">
        <f>G2956+H2956</f>
        <v/>
      </c>
      <c r="N2956" s="11">
        <f>Summary!$C$16*Summary!$B$8</f>
        <v/>
      </c>
      <c r="O2956" s="11">
        <f>M2956-N2956</f>
        <v/>
      </c>
    </row>
    <row r="2957">
      <c r="A2957" s="9" t="n">
        <v>45415.125</v>
      </c>
      <c r="B2957" t="n">
        <v>5</v>
      </c>
      <c r="C2957" t="n">
        <v>3</v>
      </c>
      <c r="D2957" t="n">
        <v>3</v>
      </c>
      <c r="E2957" s="10" t="n">
        <v>0</v>
      </c>
      <c r="F2957" s="10" t="n">
        <v>0.2507129881711171</v>
      </c>
      <c r="G2957" s="11">
        <f>E2957*Summary!$B$6</f>
        <v/>
      </c>
      <c r="H2957" s="11">
        <f>F2957*Summary!$B$7</f>
        <v/>
      </c>
      <c r="I2957" s="11">
        <f>MAX(0,N2957-M2957)</f>
        <v/>
      </c>
      <c r="J2957" s="11">
        <f>MAX(0,M2957-N2957)</f>
        <v/>
      </c>
      <c r="K2957" s="11">
        <f>O2957</f>
        <v/>
      </c>
      <c r="L2957" s="11">
        <f>L2956+IF(K2957&gt;0,K2957*Summary!$B$9,K2957/Summary!$B$9)</f>
        <v/>
      </c>
      <c r="M2957" s="11">
        <f>G2957+H2957</f>
        <v/>
      </c>
      <c r="N2957" s="11">
        <f>Summary!$C$16*Summary!$B$8</f>
        <v/>
      </c>
      <c r="O2957" s="11">
        <f>M2957-N2957</f>
        <v/>
      </c>
    </row>
    <row r="2958">
      <c r="A2958" s="9" t="n">
        <v>45415.16666666666</v>
      </c>
      <c r="B2958" t="n">
        <v>5</v>
      </c>
      <c r="C2958" t="n">
        <v>3</v>
      </c>
      <c r="D2958" t="n">
        <v>4</v>
      </c>
      <c r="E2958" s="10" t="n">
        <v>0</v>
      </c>
      <c r="F2958" s="10" t="n">
        <v>0.2408309857994366</v>
      </c>
      <c r="G2958" s="11">
        <f>E2958*Summary!$B$6</f>
        <v/>
      </c>
      <c r="H2958" s="11">
        <f>F2958*Summary!$B$7</f>
        <v/>
      </c>
      <c r="I2958" s="11">
        <f>MAX(0,N2958-M2958)</f>
        <v/>
      </c>
      <c r="J2958" s="11">
        <f>MAX(0,M2958-N2958)</f>
        <v/>
      </c>
      <c r="K2958" s="11">
        <f>O2958</f>
        <v/>
      </c>
      <c r="L2958" s="11">
        <f>L2957+IF(K2958&gt;0,K2958*Summary!$B$9,K2958/Summary!$B$9)</f>
        <v/>
      </c>
      <c r="M2958" s="11">
        <f>G2958+H2958</f>
        <v/>
      </c>
      <c r="N2958" s="11">
        <f>Summary!$C$16*Summary!$B$8</f>
        <v/>
      </c>
      <c r="O2958" s="11">
        <f>M2958-N2958</f>
        <v/>
      </c>
    </row>
    <row r="2959">
      <c r="A2959" s="9" t="n">
        <v>45415.20833333334</v>
      </c>
      <c r="B2959" t="n">
        <v>5</v>
      </c>
      <c r="C2959" t="n">
        <v>3</v>
      </c>
      <c r="D2959" t="n">
        <v>5</v>
      </c>
      <c r="E2959" s="10" t="n">
        <v>0.040473</v>
      </c>
      <c r="F2959" s="10" t="n">
        <v>0.2163499719239933</v>
      </c>
      <c r="G2959" s="11">
        <f>E2959*Summary!$B$6</f>
        <v/>
      </c>
      <c r="H2959" s="11">
        <f>F2959*Summary!$B$7</f>
        <v/>
      </c>
      <c r="I2959" s="11">
        <f>MAX(0,N2959-M2959)</f>
        <v/>
      </c>
      <c r="J2959" s="11">
        <f>MAX(0,M2959-N2959)</f>
        <v/>
      </c>
      <c r="K2959" s="11">
        <f>O2959</f>
        <v/>
      </c>
      <c r="L2959" s="11">
        <f>L2958+IF(K2959&gt;0,K2959*Summary!$B$9,K2959/Summary!$B$9)</f>
        <v/>
      </c>
      <c r="M2959" s="11">
        <f>G2959+H2959</f>
        <v/>
      </c>
      <c r="N2959" s="11">
        <f>Summary!$C$16*Summary!$B$8</f>
        <v/>
      </c>
      <c r="O2959" s="11">
        <f>M2959-N2959</f>
        <v/>
      </c>
    </row>
    <row r="2960">
      <c r="A2960" s="9" t="n">
        <v>45415.25</v>
      </c>
      <c r="B2960" t="n">
        <v>5</v>
      </c>
      <c r="C2960" t="n">
        <v>3</v>
      </c>
      <c r="D2960" t="n">
        <v>6</v>
      </c>
      <c r="E2960" s="10" t="n">
        <v>0.117784</v>
      </c>
      <c r="F2960" s="10" t="n">
        <v>0.1805902993416718</v>
      </c>
      <c r="G2960" s="11">
        <f>E2960*Summary!$B$6</f>
        <v/>
      </c>
      <c r="H2960" s="11">
        <f>F2960*Summary!$B$7</f>
        <v/>
      </c>
      <c r="I2960" s="11">
        <f>MAX(0,N2960-M2960)</f>
        <v/>
      </c>
      <c r="J2960" s="11">
        <f>MAX(0,M2960-N2960)</f>
        <v/>
      </c>
      <c r="K2960" s="11">
        <f>O2960</f>
        <v/>
      </c>
      <c r="L2960" s="11">
        <f>L2959+IF(K2960&gt;0,K2960*Summary!$B$9,K2960/Summary!$B$9)</f>
        <v/>
      </c>
      <c r="M2960" s="11">
        <f>G2960+H2960</f>
        <v/>
      </c>
      <c r="N2960" s="11">
        <f>Summary!$C$16*Summary!$B$8</f>
        <v/>
      </c>
      <c r="O2960" s="11">
        <f>M2960-N2960</f>
        <v/>
      </c>
    </row>
    <row r="2961">
      <c r="A2961" s="9" t="n">
        <v>45415.29166666666</v>
      </c>
      <c r="B2961" t="n">
        <v>5</v>
      </c>
      <c r="C2961" t="n">
        <v>3</v>
      </c>
      <c r="D2961" t="n">
        <v>7</v>
      </c>
      <c r="E2961" s="10" t="n">
        <v>0.295104</v>
      </c>
      <c r="F2961" s="10" t="n">
        <v>0.1489415397459695</v>
      </c>
      <c r="G2961" s="11">
        <f>E2961*Summary!$B$6</f>
        <v/>
      </c>
      <c r="H2961" s="11">
        <f>F2961*Summary!$B$7</f>
        <v/>
      </c>
      <c r="I2961" s="11">
        <f>MAX(0,N2961-M2961)</f>
        <v/>
      </c>
      <c r="J2961" s="11">
        <f>MAX(0,M2961-N2961)</f>
        <v/>
      </c>
      <c r="K2961" s="11">
        <f>O2961</f>
        <v/>
      </c>
      <c r="L2961" s="11">
        <f>L2960+IF(K2961&gt;0,K2961*Summary!$B$9,K2961/Summary!$B$9)</f>
        <v/>
      </c>
      <c r="M2961" s="11">
        <f>G2961+H2961</f>
        <v/>
      </c>
      <c r="N2961" s="11">
        <f>Summary!$C$16*Summary!$B$8</f>
        <v/>
      </c>
      <c r="O2961" s="11">
        <f>M2961-N2961</f>
        <v/>
      </c>
    </row>
    <row r="2962">
      <c r="A2962" s="9" t="n">
        <v>45415.33333333334</v>
      </c>
      <c r="B2962" t="n">
        <v>5</v>
      </c>
      <c r="C2962" t="n">
        <v>3</v>
      </c>
      <c r="D2962" t="n">
        <v>8</v>
      </c>
      <c r="E2962" s="10" t="n">
        <v>0.49537</v>
      </c>
      <c r="F2962" s="10" t="n">
        <v>0.1337100800904192</v>
      </c>
      <c r="G2962" s="11">
        <f>E2962*Summary!$B$6</f>
        <v/>
      </c>
      <c r="H2962" s="11">
        <f>F2962*Summary!$B$7</f>
        <v/>
      </c>
      <c r="I2962" s="11">
        <f>MAX(0,N2962-M2962)</f>
        <v/>
      </c>
      <c r="J2962" s="11">
        <f>MAX(0,M2962-N2962)</f>
        <v/>
      </c>
      <c r="K2962" s="11">
        <f>O2962</f>
        <v/>
      </c>
      <c r="L2962" s="11">
        <f>L2961+IF(K2962&gt;0,K2962*Summary!$B$9,K2962/Summary!$B$9)</f>
        <v/>
      </c>
      <c r="M2962" s="11">
        <f>G2962+H2962</f>
        <v/>
      </c>
      <c r="N2962" s="11">
        <f>Summary!$C$16*Summary!$B$8</f>
        <v/>
      </c>
      <c r="O2962" s="11">
        <f>M2962-N2962</f>
        <v/>
      </c>
    </row>
    <row r="2963">
      <c r="A2963" s="9" t="n">
        <v>45415.375</v>
      </c>
      <c r="B2963" t="n">
        <v>5</v>
      </c>
      <c r="C2963" t="n">
        <v>3</v>
      </c>
      <c r="D2963" t="n">
        <v>9</v>
      </c>
      <c r="E2963" s="10" t="n">
        <v>0.615984</v>
      </c>
      <c r="F2963" s="10" t="n">
        <v>0.1340526561726375</v>
      </c>
      <c r="G2963" s="11">
        <f>E2963*Summary!$B$6</f>
        <v/>
      </c>
      <c r="H2963" s="11">
        <f>F2963*Summary!$B$7</f>
        <v/>
      </c>
      <c r="I2963" s="11">
        <f>MAX(0,N2963-M2963)</f>
        <v/>
      </c>
      <c r="J2963" s="11">
        <f>MAX(0,M2963-N2963)</f>
        <v/>
      </c>
      <c r="K2963" s="11">
        <f>O2963</f>
        <v/>
      </c>
      <c r="L2963" s="11">
        <f>L2962+IF(K2963&gt;0,K2963*Summary!$B$9,K2963/Summary!$B$9)</f>
        <v/>
      </c>
      <c r="M2963" s="11">
        <f>G2963+H2963</f>
        <v/>
      </c>
      <c r="N2963" s="11">
        <f>Summary!$C$16*Summary!$B$8</f>
        <v/>
      </c>
      <c r="O2963" s="11">
        <f>M2963-N2963</f>
        <v/>
      </c>
    </row>
    <row r="2964">
      <c r="A2964" s="9" t="n">
        <v>45415.41666666666</v>
      </c>
      <c r="B2964" t="n">
        <v>5</v>
      </c>
      <c r="C2964" t="n">
        <v>3</v>
      </c>
      <c r="D2964" t="n">
        <v>10</v>
      </c>
      <c r="E2964" s="10" t="n">
        <v>0.754058</v>
      </c>
      <c r="F2964" s="10" t="n">
        <v>0.1386115532667728</v>
      </c>
      <c r="G2964" s="11">
        <f>E2964*Summary!$B$6</f>
        <v/>
      </c>
      <c r="H2964" s="11">
        <f>F2964*Summary!$B$7</f>
        <v/>
      </c>
      <c r="I2964" s="11">
        <f>MAX(0,N2964-M2964)</f>
        <v/>
      </c>
      <c r="J2964" s="11">
        <f>MAX(0,M2964-N2964)</f>
        <v/>
      </c>
      <c r="K2964" s="11">
        <f>O2964</f>
        <v/>
      </c>
      <c r="L2964" s="11">
        <f>L2963+IF(K2964&gt;0,K2964*Summary!$B$9,K2964/Summary!$B$9)</f>
        <v/>
      </c>
      <c r="M2964" s="11">
        <f>G2964+H2964</f>
        <v/>
      </c>
      <c r="N2964" s="11">
        <f>Summary!$C$16*Summary!$B$8</f>
        <v/>
      </c>
      <c r="O2964" s="11">
        <f>M2964-N2964</f>
        <v/>
      </c>
    </row>
    <row r="2965">
      <c r="A2965" s="9" t="n">
        <v>45415.45833333334</v>
      </c>
      <c r="B2965" t="n">
        <v>5</v>
      </c>
      <c r="C2965" t="n">
        <v>3</v>
      </c>
      <c r="D2965" t="n">
        <v>11</v>
      </c>
      <c r="E2965" s="10" t="n">
        <v>0.709024</v>
      </c>
      <c r="F2965" s="10" t="n">
        <v>0.1465962111830907</v>
      </c>
      <c r="G2965" s="11">
        <f>E2965*Summary!$B$6</f>
        <v/>
      </c>
      <c r="H2965" s="11">
        <f>F2965*Summary!$B$7</f>
        <v/>
      </c>
      <c r="I2965" s="11">
        <f>MAX(0,N2965-M2965)</f>
        <v/>
      </c>
      <c r="J2965" s="11">
        <f>MAX(0,M2965-N2965)</f>
        <v/>
      </c>
      <c r="K2965" s="11">
        <f>O2965</f>
        <v/>
      </c>
      <c r="L2965" s="11">
        <f>L2964+IF(K2965&gt;0,K2965*Summary!$B$9,K2965/Summary!$B$9)</f>
        <v/>
      </c>
      <c r="M2965" s="11">
        <f>G2965+H2965</f>
        <v/>
      </c>
      <c r="N2965" s="11">
        <f>Summary!$C$16*Summary!$B$8</f>
        <v/>
      </c>
      <c r="O2965" s="11">
        <f>M2965-N2965</f>
        <v/>
      </c>
    </row>
    <row r="2966">
      <c r="A2966" s="9" t="n">
        <v>45415.5</v>
      </c>
      <c r="B2966" t="n">
        <v>5</v>
      </c>
      <c r="C2966" t="n">
        <v>3</v>
      </c>
      <c r="D2966" t="n">
        <v>12</v>
      </c>
      <c r="E2966" s="10" t="n">
        <v>0.729592</v>
      </c>
      <c r="F2966" s="10" t="n">
        <v>0.1565045655610957</v>
      </c>
      <c r="G2966" s="11">
        <f>E2966*Summary!$B$6</f>
        <v/>
      </c>
      <c r="H2966" s="11">
        <f>F2966*Summary!$B$7</f>
        <v/>
      </c>
      <c r="I2966" s="11">
        <f>MAX(0,N2966-M2966)</f>
        <v/>
      </c>
      <c r="J2966" s="11">
        <f>MAX(0,M2966-N2966)</f>
        <v/>
      </c>
      <c r="K2966" s="11">
        <f>O2966</f>
        <v/>
      </c>
      <c r="L2966" s="11">
        <f>L2965+IF(K2966&gt;0,K2966*Summary!$B$9,K2966/Summary!$B$9)</f>
        <v/>
      </c>
      <c r="M2966" s="11">
        <f>G2966+H2966</f>
        <v/>
      </c>
      <c r="N2966" s="11">
        <f>Summary!$C$16*Summary!$B$8</f>
        <v/>
      </c>
      <c r="O2966" s="11">
        <f>M2966-N2966</f>
        <v/>
      </c>
    </row>
    <row r="2967">
      <c r="A2967" s="9" t="n">
        <v>45415.54166666666</v>
      </c>
      <c r="B2967" t="n">
        <v>5</v>
      </c>
      <c r="C2967" t="n">
        <v>3</v>
      </c>
      <c r="D2967" t="n">
        <v>13</v>
      </c>
      <c r="E2967" s="10" t="n">
        <v>0.754058</v>
      </c>
      <c r="F2967" s="10" t="n">
        <v>0.1606681825603638</v>
      </c>
      <c r="G2967" s="11">
        <f>E2967*Summary!$B$6</f>
        <v/>
      </c>
      <c r="H2967" s="11">
        <f>F2967*Summary!$B$7</f>
        <v/>
      </c>
      <c r="I2967" s="11">
        <f>MAX(0,N2967-M2967)</f>
        <v/>
      </c>
      <c r="J2967" s="11">
        <f>MAX(0,M2967-N2967)</f>
        <v/>
      </c>
      <c r="K2967" s="11">
        <f>O2967</f>
        <v/>
      </c>
      <c r="L2967" s="11">
        <f>L2966+IF(K2967&gt;0,K2967*Summary!$B$9,K2967/Summary!$B$9)</f>
        <v/>
      </c>
      <c r="M2967" s="11">
        <f>G2967+H2967</f>
        <v/>
      </c>
      <c r="N2967" s="11">
        <f>Summary!$C$16*Summary!$B$8</f>
        <v/>
      </c>
      <c r="O2967" s="11">
        <f>M2967-N2967</f>
        <v/>
      </c>
    </row>
    <row r="2968">
      <c r="A2968" s="9" t="n">
        <v>45415.58333333334</v>
      </c>
      <c r="B2968" t="n">
        <v>5</v>
      </c>
      <c r="C2968" t="n">
        <v>3</v>
      </c>
      <c r="D2968" t="n">
        <v>14</v>
      </c>
      <c r="E2968" s="10" t="n">
        <v>0.734986</v>
      </c>
      <c r="F2968" s="10" t="n">
        <v>0.1758996422159141</v>
      </c>
      <c r="G2968" s="11">
        <f>E2968*Summary!$B$6</f>
        <v/>
      </c>
      <c r="H2968" s="11">
        <f>F2968*Summary!$B$7</f>
        <v/>
      </c>
      <c r="I2968" s="11">
        <f>MAX(0,N2968-M2968)</f>
        <v/>
      </c>
      <c r="J2968" s="11">
        <f>MAX(0,M2968-N2968)</f>
        <v/>
      </c>
      <c r="K2968" s="11">
        <f>O2968</f>
        <v/>
      </c>
      <c r="L2968" s="11">
        <f>L2967+IF(K2968&gt;0,K2968*Summary!$B$9,K2968/Summary!$B$9)</f>
        <v/>
      </c>
      <c r="M2968" s="11">
        <f>G2968+H2968</f>
        <v/>
      </c>
      <c r="N2968" s="11">
        <f>Summary!$C$16*Summary!$B$8</f>
        <v/>
      </c>
      <c r="O2968" s="11">
        <f>M2968-N2968</f>
        <v/>
      </c>
    </row>
    <row r="2969">
      <c r="A2969" s="9" t="n">
        <v>45415.625</v>
      </c>
      <c r="B2969" t="n">
        <v>5</v>
      </c>
      <c r="C2969" t="n">
        <v>3</v>
      </c>
      <c r="D2969" t="n">
        <v>15</v>
      </c>
      <c r="E2969" s="10" t="n">
        <v>0.49762</v>
      </c>
      <c r="F2969" s="10" t="n">
        <v>0.1644628714710891</v>
      </c>
      <c r="G2969" s="11">
        <f>E2969*Summary!$B$6</f>
        <v/>
      </c>
      <c r="H2969" s="11">
        <f>F2969*Summary!$B$7</f>
        <v/>
      </c>
      <c r="I2969" s="11">
        <f>MAX(0,N2969-M2969)</f>
        <v/>
      </c>
      <c r="J2969" s="11">
        <f>MAX(0,M2969-N2969)</f>
        <v/>
      </c>
      <c r="K2969" s="11">
        <f>O2969</f>
        <v/>
      </c>
      <c r="L2969" s="11">
        <f>L2968+IF(K2969&gt;0,K2969*Summary!$B$9,K2969/Summary!$B$9)</f>
        <v/>
      </c>
      <c r="M2969" s="11">
        <f>G2969+H2969</f>
        <v/>
      </c>
      <c r="N2969" s="11">
        <f>Summary!$C$16*Summary!$B$8</f>
        <v/>
      </c>
      <c r="O2969" s="11">
        <f>M2969-N2969</f>
        <v/>
      </c>
    </row>
    <row r="2970">
      <c r="A2970" s="9" t="n">
        <v>45415.66666666666</v>
      </c>
      <c r="B2970" t="n">
        <v>5</v>
      </c>
      <c r="C2970" t="n">
        <v>3</v>
      </c>
      <c r="D2970" t="n">
        <v>16</v>
      </c>
      <c r="E2970" s="10" t="n">
        <v>0.400799</v>
      </c>
      <c r="F2970" s="10" t="n">
        <v>0.1623547109651306</v>
      </c>
      <c r="G2970" s="11">
        <f>E2970*Summary!$B$6</f>
        <v/>
      </c>
      <c r="H2970" s="11">
        <f>F2970*Summary!$B$7</f>
        <v/>
      </c>
      <c r="I2970" s="11">
        <f>MAX(0,N2970-M2970)</f>
        <v/>
      </c>
      <c r="J2970" s="11">
        <f>MAX(0,M2970-N2970)</f>
        <v/>
      </c>
      <c r="K2970" s="11">
        <f>O2970</f>
        <v/>
      </c>
      <c r="L2970" s="11">
        <f>L2969+IF(K2970&gt;0,K2970*Summary!$B$9,K2970/Summary!$B$9)</f>
        <v/>
      </c>
      <c r="M2970" s="11">
        <f>G2970+H2970</f>
        <v/>
      </c>
      <c r="N2970" s="11">
        <f>Summary!$C$16*Summary!$B$8</f>
        <v/>
      </c>
      <c r="O2970" s="11">
        <f>M2970-N2970</f>
        <v/>
      </c>
    </row>
    <row r="2971">
      <c r="A2971" s="9" t="n">
        <v>45415.70833333334</v>
      </c>
      <c r="B2971" t="n">
        <v>5</v>
      </c>
      <c r="C2971" t="n">
        <v>3</v>
      </c>
      <c r="D2971" t="n">
        <v>17</v>
      </c>
      <c r="E2971" s="10" t="n">
        <v>0.168132</v>
      </c>
      <c r="F2971" s="10" t="n">
        <v>0.1536321968717272</v>
      </c>
      <c r="G2971" s="11">
        <f>E2971*Summary!$B$6</f>
        <v/>
      </c>
      <c r="H2971" s="11">
        <f>F2971*Summary!$B$7</f>
        <v/>
      </c>
      <c r="I2971" s="11">
        <f>MAX(0,N2971-M2971)</f>
        <v/>
      </c>
      <c r="J2971" s="11">
        <f>MAX(0,M2971-N2971)</f>
        <v/>
      </c>
      <c r="K2971" s="11">
        <f>O2971</f>
        <v/>
      </c>
      <c r="L2971" s="11">
        <f>L2970+IF(K2971&gt;0,K2971*Summary!$B$9,K2971/Summary!$B$9)</f>
        <v/>
      </c>
      <c r="M2971" s="11">
        <f>G2971+H2971</f>
        <v/>
      </c>
      <c r="N2971" s="11">
        <f>Summary!$C$16*Summary!$B$8</f>
        <v/>
      </c>
      <c r="O2971" s="11">
        <f>M2971-N2971</f>
        <v/>
      </c>
    </row>
    <row r="2972">
      <c r="A2972" s="9" t="n">
        <v>45415.75</v>
      </c>
      <c r="B2972" t="n">
        <v>5</v>
      </c>
      <c r="C2972" t="n">
        <v>3</v>
      </c>
      <c r="D2972" t="n">
        <v>18</v>
      </c>
      <c r="E2972" s="10" t="n">
        <v>0.046846</v>
      </c>
      <c r="F2972" s="10" t="n">
        <v>0.1492314118155388</v>
      </c>
      <c r="G2972" s="11">
        <f>E2972*Summary!$B$6</f>
        <v/>
      </c>
      <c r="H2972" s="11">
        <f>F2972*Summary!$B$7</f>
        <v/>
      </c>
      <c r="I2972" s="11">
        <f>MAX(0,N2972-M2972)</f>
        <v/>
      </c>
      <c r="J2972" s="11">
        <f>MAX(0,M2972-N2972)</f>
        <v/>
      </c>
      <c r="K2972" s="11">
        <f>O2972</f>
        <v/>
      </c>
      <c r="L2972" s="11">
        <f>L2971+IF(K2972&gt;0,K2972*Summary!$B$9,K2972/Summary!$B$9)</f>
        <v/>
      </c>
      <c r="M2972" s="11">
        <f>G2972+H2972</f>
        <v/>
      </c>
      <c r="N2972" s="11">
        <f>Summary!$C$16*Summary!$B$8</f>
        <v/>
      </c>
      <c r="O2972" s="11">
        <f>M2972-N2972</f>
        <v/>
      </c>
    </row>
    <row r="2973">
      <c r="A2973" s="9" t="n">
        <v>45415.79166666666</v>
      </c>
      <c r="B2973" t="n">
        <v>5</v>
      </c>
      <c r="C2973" t="n">
        <v>3</v>
      </c>
      <c r="D2973" t="n">
        <v>19</v>
      </c>
      <c r="E2973" s="10" t="n">
        <v>0.010569</v>
      </c>
      <c r="F2973" s="10" t="n">
        <v>0.1605364225287414</v>
      </c>
      <c r="G2973" s="11">
        <f>E2973*Summary!$B$6</f>
        <v/>
      </c>
      <c r="H2973" s="11">
        <f>F2973*Summary!$B$7</f>
        <v/>
      </c>
      <c r="I2973" s="11">
        <f>MAX(0,N2973-M2973)</f>
        <v/>
      </c>
      <c r="J2973" s="11">
        <f>MAX(0,M2973-N2973)</f>
        <v/>
      </c>
      <c r="K2973" s="11">
        <f>O2973</f>
        <v/>
      </c>
      <c r="L2973" s="11">
        <f>L2972+IF(K2973&gt;0,K2973*Summary!$B$9,K2973/Summary!$B$9)</f>
        <v/>
      </c>
      <c r="M2973" s="11">
        <f>G2973+H2973</f>
        <v/>
      </c>
      <c r="N2973" s="11">
        <f>Summary!$C$16*Summary!$B$8</f>
        <v/>
      </c>
      <c r="O2973" s="11">
        <f>M2973-N2973</f>
        <v/>
      </c>
    </row>
    <row r="2974">
      <c r="A2974" s="9" t="n">
        <v>45415.83333333334</v>
      </c>
      <c r="B2974" t="n">
        <v>5</v>
      </c>
      <c r="C2974" t="n">
        <v>3</v>
      </c>
      <c r="D2974" t="n">
        <v>20</v>
      </c>
      <c r="E2974" s="10" t="n">
        <v>0</v>
      </c>
      <c r="F2974" s="10" t="n">
        <v>0.1829356279045507</v>
      </c>
      <c r="G2974" s="11">
        <f>E2974*Summary!$B$6</f>
        <v/>
      </c>
      <c r="H2974" s="11">
        <f>F2974*Summary!$B$7</f>
        <v/>
      </c>
      <c r="I2974" s="11">
        <f>MAX(0,N2974-M2974)</f>
        <v/>
      </c>
      <c r="J2974" s="11">
        <f>MAX(0,M2974-N2974)</f>
        <v/>
      </c>
      <c r="K2974" s="11">
        <f>O2974</f>
        <v/>
      </c>
      <c r="L2974" s="11">
        <f>L2973+IF(K2974&gt;0,K2974*Summary!$B$9,K2974/Summary!$B$9)</f>
        <v/>
      </c>
      <c r="M2974" s="11">
        <f>G2974+H2974</f>
        <v/>
      </c>
      <c r="N2974" s="11">
        <f>Summary!$C$16*Summary!$B$8</f>
        <v/>
      </c>
      <c r="O2974" s="11">
        <f>M2974-N2974</f>
        <v/>
      </c>
    </row>
    <row r="2975">
      <c r="A2975" s="9" t="n">
        <v>45415.875</v>
      </c>
      <c r="B2975" t="n">
        <v>5</v>
      </c>
      <c r="C2975" t="n">
        <v>3</v>
      </c>
      <c r="D2975" t="n">
        <v>21</v>
      </c>
      <c r="E2975" s="10" t="n">
        <v>0</v>
      </c>
      <c r="F2975" s="10" t="n">
        <v>0.2037010088882421</v>
      </c>
      <c r="G2975" s="11">
        <f>E2975*Summary!$B$6</f>
        <v/>
      </c>
      <c r="H2975" s="11">
        <f>F2975*Summary!$B$7</f>
        <v/>
      </c>
      <c r="I2975" s="11">
        <f>MAX(0,N2975-M2975)</f>
        <v/>
      </c>
      <c r="J2975" s="11">
        <f>MAX(0,M2975-N2975)</f>
        <v/>
      </c>
      <c r="K2975" s="11">
        <f>O2975</f>
        <v/>
      </c>
      <c r="L2975" s="11">
        <f>L2974+IF(K2975&gt;0,K2975*Summary!$B$9,K2975/Summary!$B$9)</f>
        <v/>
      </c>
      <c r="M2975" s="11">
        <f>G2975+H2975</f>
        <v/>
      </c>
      <c r="N2975" s="11">
        <f>Summary!$C$16*Summary!$B$8</f>
        <v/>
      </c>
      <c r="O2975" s="11">
        <f>M2975-N2975</f>
        <v/>
      </c>
    </row>
    <row r="2976">
      <c r="A2976" s="9" t="n">
        <v>45415.91666666666</v>
      </c>
      <c r="B2976" t="n">
        <v>5</v>
      </c>
      <c r="C2976" t="n">
        <v>3</v>
      </c>
      <c r="D2976" t="n">
        <v>22</v>
      </c>
      <c r="E2976" s="10" t="n">
        <v>0</v>
      </c>
      <c r="F2976" s="10" t="n">
        <v>0.22591575021978</v>
      </c>
      <c r="G2976" s="11">
        <f>E2976*Summary!$B$6</f>
        <v/>
      </c>
      <c r="H2976" s="11">
        <f>F2976*Summary!$B$7</f>
        <v/>
      </c>
      <c r="I2976" s="11">
        <f>MAX(0,N2976-M2976)</f>
        <v/>
      </c>
      <c r="J2976" s="11">
        <f>MAX(0,M2976-N2976)</f>
        <v/>
      </c>
      <c r="K2976" s="11">
        <f>O2976</f>
        <v/>
      </c>
      <c r="L2976" s="11">
        <f>L2975+IF(K2976&gt;0,K2976*Summary!$B$9,K2976/Summary!$B$9)</f>
        <v/>
      </c>
      <c r="M2976" s="11">
        <f>G2976+H2976</f>
        <v/>
      </c>
      <c r="N2976" s="11">
        <f>Summary!$C$16*Summary!$B$8</f>
        <v/>
      </c>
      <c r="O2976" s="11">
        <f>M2976-N2976</f>
        <v/>
      </c>
    </row>
    <row r="2977">
      <c r="A2977" s="9" t="n">
        <v>45415.95833333334</v>
      </c>
      <c r="B2977" t="n">
        <v>5</v>
      </c>
      <c r="C2977" t="n">
        <v>3</v>
      </c>
      <c r="D2977" t="n">
        <v>23</v>
      </c>
      <c r="E2977" s="10" t="n">
        <v>0</v>
      </c>
      <c r="F2977" s="10" t="n">
        <v>0.2443621546469171</v>
      </c>
      <c r="G2977" s="11">
        <f>E2977*Summary!$B$6</f>
        <v/>
      </c>
      <c r="H2977" s="11">
        <f>F2977*Summary!$B$7</f>
        <v/>
      </c>
      <c r="I2977" s="11">
        <f>MAX(0,N2977-M2977)</f>
        <v/>
      </c>
      <c r="J2977" s="11">
        <f>MAX(0,M2977-N2977)</f>
        <v/>
      </c>
      <c r="K2977" s="11">
        <f>O2977</f>
        <v/>
      </c>
      <c r="L2977" s="11">
        <f>L2976+IF(K2977&gt;0,K2977*Summary!$B$9,K2977/Summary!$B$9)</f>
        <v/>
      </c>
      <c r="M2977" s="11">
        <f>G2977+H2977</f>
        <v/>
      </c>
      <c r="N2977" s="11">
        <f>Summary!$C$16*Summary!$B$8</f>
        <v/>
      </c>
      <c r="O2977" s="11">
        <f>M2977-N2977</f>
        <v/>
      </c>
    </row>
    <row r="2978">
      <c r="A2978" s="9" t="n">
        <v>45416</v>
      </c>
      <c r="B2978" t="n">
        <v>5</v>
      </c>
      <c r="C2978" t="n">
        <v>4</v>
      </c>
      <c r="D2978" t="n">
        <v>0</v>
      </c>
      <c r="E2978" s="10" t="n">
        <v>0</v>
      </c>
      <c r="F2978" s="10" t="n">
        <v>0.2607267505744201</v>
      </c>
      <c r="G2978" s="11">
        <f>E2978*Summary!$B$6</f>
        <v/>
      </c>
      <c r="H2978" s="11">
        <f>F2978*Summary!$B$7</f>
        <v/>
      </c>
      <c r="I2978" s="11">
        <f>MAX(0,N2978-M2978)</f>
        <v/>
      </c>
      <c r="J2978" s="11">
        <f>MAX(0,M2978-N2978)</f>
        <v/>
      </c>
      <c r="K2978" s="11">
        <f>O2978</f>
        <v/>
      </c>
      <c r="L2978" s="11">
        <f>L2977+IF(K2978&gt;0,K2978*Summary!$B$9,K2978/Summary!$B$9)</f>
        <v/>
      </c>
      <c r="M2978" s="11">
        <f>G2978+H2978</f>
        <v/>
      </c>
      <c r="N2978" s="11">
        <f>Summary!$C$16*Summary!$B$8</f>
        <v/>
      </c>
      <c r="O2978" s="11">
        <f>M2978-N2978</f>
        <v/>
      </c>
    </row>
    <row r="2979">
      <c r="A2979" s="9" t="n">
        <v>45416.04166666666</v>
      </c>
      <c r="B2979" t="n">
        <v>5</v>
      </c>
      <c r="C2979" t="n">
        <v>4</v>
      </c>
      <c r="D2979" t="n">
        <v>1</v>
      </c>
      <c r="E2979" s="10" t="n">
        <v>0</v>
      </c>
      <c r="F2979" s="10" t="n">
        <v>0.2663924319341837</v>
      </c>
      <c r="G2979" s="11">
        <f>E2979*Summary!$B$6</f>
        <v/>
      </c>
      <c r="H2979" s="11">
        <f>F2979*Summary!$B$7</f>
        <v/>
      </c>
      <c r="I2979" s="11">
        <f>MAX(0,N2979-M2979)</f>
        <v/>
      </c>
      <c r="J2979" s="11">
        <f>MAX(0,M2979-N2979)</f>
        <v/>
      </c>
      <c r="K2979" s="11">
        <f>O2979</f>
        <v/>
      </c>
      <c r="L2979" s="11">
        <f>L2978+IF(K2979&gt;0,K2979*Summary!$B$9,K2979/Summary!$B$9)</f>
        <v/>
      </c>
      <c r="M2979" s="11">
        <f>G2979+H2979</f>
        <v/>
      </c>
      <c r="N2979" s="11">
        <f>Summary!$C$16*Summary!$B$8</f>
        <v/>
      </c>
      <c r="O2979" s="11">
        <f>M2979-N2979</f>
        <v/>
      </c>
    </row>
    <row r="2980">
      <c r="A2980" s="9" t="n">
        <v>45416.08333333334</v>
      </c>
      <c r="B2980" t="n">
        <v>5</v>
      </c>
      <c r="C2980" t="n">
        <v>4</v>
      </c>
      <c r="D2980" t="n">
        <v>2</v>
      </c>
      <c r="E2980" s="10" t="n">
        <v>0</v>
      </c>
      <c r="F2980" s="10" t="n">
        <v>0.2720317612876227</v>
      </c>
      <c r="G2980" s="11">
        <f>E2980*Summary!$B$6</f>
        <v/>
      </c>
      <c r="H2980" s="11">
        <f>F2980*Summary!$B$7</f>
        <v/>
      </c>
      <c r="I2980" s="11">
        <f>MAX(0,N2980-M2980)</f>
        <v/>
      </c>
      <c r="J2980" s="11">
        <f>MAX(0,M2980-N2980)</f>
        <v/>
      </c>
      <c r="K2980" s="11">
        <f>O2980</f>
        <v/>
      </c>
      <c r="L2980" s="11">
        <f>L2979+IF(K2980&gt;0,K2980*Summary!$B$9,K2980/Summary!$B$9)</f>
        <v/>
      </c>
      <c r="M2980" s="11">
        <f>G2980+H2980</f>
        <v/>
      </c>
      <c r="N2980" s="11">
        <f>Summary!$C$16*Summary!$B$8</f>
        <v/>
      </c>
      <c r="O2980" s="11">
        <f>M2980-N2980</f>
        <v/>
      </c>
    </row>
    <row r="2981">
      <c r="A2981" s="9" t="n">
        <v>45416.125</v>
      </c>
      <c r="B2981" t="n">
        <v>5</v>
      </c>
      <c r="C2981" t="n">
        <v>4</v>
      </c>
      <c r="D2981" t="n">
        <v>3</v>
      </c>
      <c r="E2981" s="10" t="n">
        <v>0</v>
      </c>
      <c r="F2981" s="10" t="n">
        <v>0.2781454267549024</v>
      </c>
      <c r="G2981" s="11">
        <f>E2981*Summary!$B$6</f>
        <v/>
      </c>
      <c r="H2981" s="11">
        <f>F2981*Summary!$B$7</f>
        <v/>
      </c>
      <c r="I2981" s="11">
        <f>MAX(0,N2981-M2981)</f>
        <v/>
      </c>
      <c r="J2981" s="11">
        <f>MAX(0,M2981-N2981)</f>
        <v/>
      </c>
      <c r="K2981" s="11">
        <f>O2981</f>
        <v/>
      </c>
      <c r="L2981" s="11">
        <f>L2980+IF(K2981&gt;0,K2981*Summary!$B$9,K2981/Summary!$B$9)</f>
        <v/>
      </c>
      <c r="M2981" s="11">
        <f>G2981+H2981</f>
        <v/>
      </c>
      <c r="N2981" s="11">
        <f>Summary!$C$16*Summary!$B$8</f>
        <v/>
      </c>
      <c r="O2981" s="11">
        <f>M2981-N2981</f>
        <v/>
      </c>
    </row>
    <row r="2982">
      <c r="A2982" s="9" t="n">
        <v>45416.16666666666</v>
      </c>
      <c r="B2982" t="n">
        <v>5</v>
      </c>
      <c r="C2982" t="n">
        <v>4</v>
      </c>
      <c r="D2982" t="n">
        <v>4</v>
      </c>
      <c r="E2982" s="10" t="n">
        <v>0</v>
      </c>
      <c r="F2982" s="10" t="n">
        <v>0.2788305789193389</v>
      </c>
      <c r="G2982" s="11">
        <f>E2982*Summary!$B$6</f>
        <v/>
      </c>
      <c r="H2982" s="11">
        <f>F2982*Summary!$B$7</f>
        <v/>
      </c>
      <c r="I2982" s="11">
        <f>MAX(0,N2982-M2982)</f>
        <v/>
      </c>
      <c r="J2982" s="11">
        <f>MAX(0,M2982-N2982)</f>
        <v/>
      </c>
      <c r="K2982" s="11">
        <f>O2982</f>
        <v/>
      </c>
      <c r="L2982" s="11">
        <f>L2981+IF(K2982&gt;0,K2982*Summary!$B$9,K2982/Summary!$B$9)</f>
        <v/>
      </c>
      <c r="M2982" s="11">
        <f>G2982+H2982</f>
        <v/>
      </c>
      <c r="N2982" s="11">
        <f>Summary!$C$16*Summary!$B$8</f>
        <v/>
      </c>
      <c r="O2982" s="11">
        <f>M2982-N2982</f>
        <v/>
      </c>
    </row>
    <row r="2983">
      <c r="A2983" s="9" t="n">
        <v>45416.20833333334</v>
      </c>
      <c r="B2983" t="n">
        <v>5</v>
      </c>
      <c r="C2983" t="n">
        <v>4</v>
      </c>
      <c r="D2983" t="n">
        <v>5</v>
      </c>
      <c r="E2983" s="10" t="n">
        <v>0.041002</v>
      </c>
      <c r="F2983" s="10" t="n">
        <v>0.2635727672574641</v>
      </c>
      <c r="G2983" s="11">
        <f>E2983*Summary!$B$6</f>
        <v/>
      </c>
      <c r="H2983" s="11">
        <f>F2983*Summary!$B$7</f>
        <v/>
      </c>
      <c r="I2983" s="11">
        <f>MAX(0,N2983-M2983)</f>
        <v/>
      </c>
      <c r="J2983" s="11">
        <f>MAX(0,M2983-N2983)</f>
        <v/>
      </c>
      <c r="K2983" s="11">
        <f>O2983</f>
        <v/>
      </c>
      <c r="L2983" s="11">
        <f>L2982+IF(K2983&gt;0,K2983*Summary!$B$9,K2983/Summary!$B$9)</f>
        <v/>
      </c>
      <c r="M2983" s="11">
        <f>G2983+H2983</f>
        <v/>
      </c>
      <c r="N2983" s="11">
        <f>Summary!$C$16*Summary!$B$8</f>
        <v/>
      </c>
      <c r="O2983" s="11">
        <f>M2983-N2983</f>
        <v/>
      </c>
    </row>
    <row r="2984">
      <c r="A2984" s="9" t="n">
        <v>45416.25</v>
      </c>
      <c r="B2984" t="n">
        <v>5</v>
      </c>
      <c r="C2984" t="n">
        <v>4</v>
      </c>
      <c r="D2984" t="n">
        <v>6</v>
      </c>
      <c r="E2984" s="10" t="n">
        <v>0.16486</v>
      </c>
      <c r="F2984" s="10" t="n">
        <v>0.2413316739196017</v>
      </c>
      <c r="G2984" s="11">
        <f>E2984*Summary!$B$6</f>
        <v/>
      </c>
      <c r="H2984" s="11">
        <f>F2984*Summary!$B$7</f>
        <v/>
      </c>
      <c r="I2984" s="11">
        <f>MAX(0,N2984-M2984)</f>
        <v/>
      </c>
      <c r="J2984" s="11">
        <f>MAX(0,M2984-N2984)</f>
        <v/>
      </c>
      <c r="K2984" s="11">
        <f>O2984</f>
        <v/>
      </c>
      <c r="L2984" s="11">
        <f>L2983+IF(K2984&gt;0,K2984*Summary!$B$9,K2984/Summary!$B$9)</f>
        <v/>
      </c>
      <c r="M2984" s="11">
        <f>G2984+H2984</f>
        <v/>
      </c>
      <c r="N2984" s="11">
        <f>Summary!$C$16*Summary!$B$8</f>
        <v/>
      </c>
      <c r="O2984" s="11">
        <f>M2984-N2984</f>
        <v/>
      </c>
    </row>
    <row r="2985">
      <c r="A2985" s="9" t="n">
        <v>45416.29166666666</v>
      </c>
      <c r="B2985" t="n">
        <v>5</v>
      </c>
      <c r="C2985" t="n">
        <v>4</v>
      </c>
      <c r="D2985" t="n">
        <v>7</v>
      </c>
      <c r="E2985" s="10" t="n">
        <v>0.380811</v>
      </c>
      <c r="F2985" s="10" t="n">
        <v>0.2224372853849485</v>
      </c>
      <c r="G2985" s="11">
        <f>E2985*Summary!$B$6</f>
        <v/>
      </c>
      <c r="H2985" s="11">
        <f>F2985*Summary!$B$7</f>
        <v/>
      </c>
      <c r="I2985" s="11">
        <f>MAX(0,N2985-M2985)</f>
        <v/>
      </c>
      <c r="J2985" s="11">
        <f>MAX(0,M2985-N2985)</f>
        <v/>
      </c>
      <c r="K2985" s="11">
        <f>O2985</f>
        <v/>
      </c>
      <c r="L2985" s="11">
        <f>L2984+IF(K2985&gt;0,K2985*Summary!$B$9,K2985/Summary!$B$9)</f>
        <v/>
      </c>
      <c r="M2985" s="11">
        <f>G2985+H2985</f>
        <v/>
      </c>
      <c r="N2985" s="11">
        <f>Summary!$C$16*Summary!$B$8</f>
        <v/>
      </c>
      <c r="O2985" s="11">
        <f>M2985-N2985</f>
        <v/>
      </c>
    </row>
    <row r="2986">
      <c r="A2986" s="9" t="n">
        <v>45416.33333333334</v>
      </c>
      <c r="B2986" t="n">
        <v>5</v>
      </c>
      <c r="C2986" t="n">
        <v>4</v>
      </c>
      <c r="D2986" t="n">
        <v>8</v>
      </c>
      <c r="E2986" s="10" t="n">
        <v>0.584012</v>
      </c>
      <c r="F2986" s="10" t="n">
        <v>0.2148742595698223</v>
      </c>
      <c r="G2986" s="11">
        <f>E2986*Summary!$B$6</f>
        <v/>
      </c>
      <c r="H2986" s="11">
        <f>F2986*Summary!$B$7</f>
        <v/>
      </c>
      <c r="I2986" s="11">
        <f>MAX(0,N2986-M2986)</f>
        <v/>
      </c>
      <c r="J2986" s="11">
        <f>MAX(0,M2986-N2986)</f>
        <v/>
      </c>
      <c r="K2986" s="11">
        <f>O2986</f>
        <v/>
      </c>
      <c r="L2986" s="11">
        <f>L2985+IF(K2986&gt;0,K2986*Summary!$B$9,K2986/Summary!$B$9)</f>
        <v/>
      </c>
      <c r="M2986" s="11">
        <f>G2986+H2986</f>
        <v/>
      </c>
      <c r="N2986" s="11">
        <f>Summary!$C$16*Summary!$B$8</f>
        <v/>
      </c>
      <c r="O2986" s="11">
        <f>M2986-N2986</f>
        <v/>
      </c>
    </row>
    <row r="2987">
      <c r="A2987" s="9" t="n">
        <v>45416.375</v>
      </c>
      <c r="B2987" t="n">
        <v>5</v>
      </c>
      <c r="C2987" t="n">
        <v>4</v>
      </c>
      <c r="D2987" t="n">
        <v>9</v>
      </c>
      <c r="E2987" s="10" t="n">
        <v>0.738965</v>
      </c>
      <c r="F2987" s="10" t="n">
        <v>0.2176675722402173</v>
      </c>
      <c r="G2987" s="11">
        <f>E2987*Summary!$B$6</f>
        <v/>
      </c>
      <c r="H2987" s="11">
        <f>F2987*Summary!$B$7</f>
        <v/>
      </c>
      <c r="I2987" s="11">
        <f>MAX(0,N2987-M2987)</f>
        <v/>
      </c>
      <c r="J2987" s="11">
        <f>MAX(0,M2987-N2987)</f>
        <v/>
      </c>
      <c r="K2987" s="11">
        <f>O2987</f>
        <v/>
      </c>
      <c r="L2987" s="11">
        <f>L2986+IF(K2987&gt;0,K2987*Summary!$B$9,K2987/Summary!$B$9)</f>
        <v/>
      </c>
      <c r="M2987" s="11">
        <f>G2987+H2987</f>
        <v/>
      </c>
      <c r="N2987" s="11">
        <f>Summary!$C$16*Summary!$B$8</f>
        <v/>
      </c>
      <c r="O2987" s="11">
        <f>M2987-N2987</f>
        <v/>
      </c>
    </row>
    <row r="2988">
      <c r="A2988" s="9" t="n">
        <v>45416.41666666666</v>
      </c>
      <c r="B2988" t="n">
        <v>5</v>
      </c>
      <c r="C2988" t="n">
        <v>4</v>
      </c>
      <c r="D2988" t="n">
        <v>10</v>
      </c>
      <c r="E2988" s="10" t="n">
        <v>0.754058</v>
      </c>
      <c r="F2988" s="10" t="n">
        <v>0.2226481014355443</v>
      </c>
      <c r="G2988" s="11">
        <f>E2988*Summary!$B$6</f>
        <v/>
      </c>
      <c r="H2988" s="11">
        <f>F2988*Summary!$B$7</f>
        <v/>
      </c>
      <c r="I2988" s="11">
        <f>MAX(0,N2988-M2988)</f>
        <v/>
      </c>
      <c r="J2988" s="11">
        <f>MAX(0,M2988-N2988)</f>
        <v/>
      </c>
      <c r="K2988" s="11">
        <f>O2988</f>
        <v/>
      </c>
      <c r="L2988" s="11">
        <f>L2987+IF(K2988&gt;0,K2988*Summary!$B$9,K2988/Summary!$B$9)</f>
        <v/>
      </c>
      <c r="M2988" s="11">
        <f>G2988+H2988</f>
        <v/>
      </c>
      <c r="N2988" s="11">
        <f>Summary!$C$16*Summary!$B$8</f>
        <v/>
      </c>
      <c r="O2988" s="11">
        <f>M2988-N2988</f>
        <v/>
      </c>
    </row>
    <row r="2989">
      <c r="A2989" s="9" t="n">
        <v>45416.45833333334</v>
      </c>
      <c r="B2989" t="n">
        <v>5</v>
      </c>
      <c r="C2989" t="n">
        <v>4</v>
      </c>
      <c r="D2989" t="n">
        <v>11</v>
      </c>
      <c r="E2989" s="10" t="n">
        <v>0.754058</v>
      </c>
      <c r="F2989" s="10" t="n">
        <v>0.2286827108838506</v>
      </c>
      <c r="G2989" s="11">
        <f>E2989*Summary!$B$6</f>
        <v/>
      </c>
      <c r="H2989" s="11">
        <f>F2989*Summary!$B$7</f>
        <v/>
      </c>
      <c r="I2989" s="11">
        <f>MAX(0,N2989-M2989)</f>
        <v/>
      </c>
      <c r="J2989" s="11">
        <f>MAX(0,M2989-N2989)</f>
        <v/>
      </c>
      <c r="K2989" s="11">
        <f>O2989</f>
        <v/>
      </c>
      <c r="L2989" s="11">
        <f>L2988+IF(K2989&gt;0,K2989*Summary!$B$9,K2989/Summary!$B$9)</f>
        <v/>
      </c>
      <c r="M2989" s="11">
        <f>G2989+H2989</f>
        <v/>
      </c>
      <c r="N2989" s="11">
        <f>Summary!$C$16*Summary!$B$8</f>
        <v/>
      </c>
      <c r="O2989" s="11">
        <f>M2989-N2989</f>
        <v/>
      </c>
    </row>
    <row r="2990">
      <c r="A2990" s="9" t="n">
        <v>45416.5</v>
      </c>
      <c r="B2990" t="n">
        <v>5</v>
      </c>
      <c r="C2990" t="n">
        <v>4</v>
      </c>
      <c r="D2990" t="n">
        <v>12</v>
      </c>
      <c r="E2990" s="10" t="n">
        <v>0.754058</v>
      </c>
      <c r="F2990" s="10" t="n">
        <v>0.2329517359084166</v>
      </c>
      <c r="G2990" s="11">
        <f>E2990*Summary!$B$6</f>
        <v/>
      </c>
      <c r="H2990" s="11">
        <f>F2990*Summary!$B$7</f>
        <v/>
      </c>
      <c r="I2990" s="11">
        <f>MAX(0,N2990-M2990)</f>
        <v/>
      </c>
      <c r="J2990" s="11">
        <f>MAX(0,M2990-N2990)</f>
        <v/>
      </c>
      <c r="K2990" s="11">
        <f>O2990</f>
        <v/>
      </c>
      <c r="L2990" s="11">
        <f>L2989+IF(K2990&gt;0,K2990*Summary!$B$9,K2990/Summary!$B$9)</f>
        <v/>
      </c>
      <c r="M2990" s="11">
        <f>G2990+H2990</f>
        <v/>
      </c>
      <c r="N2990" s="11">
        <f>Summary!$C$16*Summary!$B$8</f>
        <v/>
      </c>
      <c r="O2990" s="11">
        <f>M2990-N2990</f>
        <v/>
      </c>
    </row>
    <row r="2991">
      <c r="A2991" s="9" t="n">
        <v>45416.54166666666</v>
      </c>
      <c r="B2991" t="n">
        <v>5</v>
      </c>
      <c r="C2991" t="n">
        <v>4</v>
      </c>
      <c r="D2991" t="n">
        <v>13</v>
      </c>
      <c r="E2991" s="10" t="n">
        <v>0.754058</v>
      </c>
      <c r="F2991" s="10" t="n">
        <v>0.2316077835858681</v>
      </c>
      <c r="G2991" s="11">
        <f>E2991*Summary!$B$6</f>
        <v/>
      </c>
      <c r="H2991" s="11">
        <f>F2991*Summary!$B$7</f>
        <v/>
      </c>
      <c r="I2991" s="11">
        <f>MAX(0,N2991-M2991)</f>
        <v/>
      </c>
      <c r="J2991" s="11">
        <f>MAX(0,M2991-N2991)</f>
        <v/>
      </c>
      <c r="K2991" s="11">
        <f>O2991</f>
        <v/>
      </c>
      <c r="L2991" s="11">
        <f>L2990+IF(K2991&gt;0,K2991*Summary!$B$9,K2991/Summary!$B$9)</f>
        <v/>
      </c>
      <c r="M2991" s="11">
        <f>G2991+H2991</f>
        <v/>
      </c>
      <c r="N2991" s="11">
        <f>Summary!$C$16*Summary!$B$8</f>
        <v/>
      </c>
      <c r="O2991" s="11">
        <f>M2991-N2991</f>
        <v/>
      </c>
    </row>
    <row r="2992">
      <c r="A2992" s="9" t="n">
        <v>45416.58333333334</v>
      </c>
      <c r="B2992" t="n">
        <v>5</v>
      </c>
      <c r="C2992" t="n">
        <v>4</v>
      </c>
      <c r="D2992" t="n">
        <v>14</v>
      </c>
      <c r="E2992" s="10" t="n">
        <v>0.754058</v>
      </c>
      <c r="F2992" s="10" t="n">
        <v>0.2491318677916483</v>
      </c>
      <c r="G2992" s="11">
        <f>E2992*Summary!$B$6</f>
        <v/>
      </c>
      <c r="H2992" s="11">
        <f>F2992*Summary!$B$7</f>
        <v/>
      </c>
      <c r="I2992" s="11">
        <f>MAX(0,N2992-M2992)</f>
        <v/>
      </c>
      <c r="J2992" s="11">
        <f>MAX(0,M2992-N2992)</f>
        <v/>
      </c>
      <c r="K2992" s="11">
        <f>O2992</f>
        <v/>
      </c>
      <c r="L2992" s="11">
        <f>L2991+IF(K2992&gt;0,K2992*Summary!$B$9,K2992/Summary!$B$9)</f>
        <v/>
      </c>
      <c r="M2992" s="11">
        <f>G2992+H2992</f>
        <v/>
      </c>
      <c r="N2992" s="11">
        <f>Summary!$C$16*Summary!$B$8</f>
        <v/>
      </c>
      <c r="O2992" s="11">
        <f>M2992-N2992</f>
        <v/>
      </c>
    </row>
    <row r="2993">
      <c r="A2993" s="9" t="n">
        <v>45416.625</v>
      </c>
      <c r="B2993" t="n">
        <v>5</v>
      </c>
      <c r="C2993" t="n">
        <v>4</v>
      </c>
      <c r="D2993" t="n">
        <v>15</v>
      </c>
      <c r="E2993" s="10" t="n">
        <v>0.614001</v>
      </c>
      <c r="F2993" s="10" t="n">
        <v>0.2545867331008159</v>
      </c>
      <c r="G2993" s="11">
        <f>E2993*Summary!$B$6</f>
        <v/>
      </c>
      <c r="H2993" s="11">
        <f>F2993*Summary!$B$7</f>
        <v/>
      </c>
      <c r="I2993" s="11">
        <f>MAX(0,N2993-M2993)</f>
        <v/>
      </c>
      <c r="J2993" s="11">
        <f>MAX(0,M2993-N2993)</f>
        <v/>
      </c>
      <c r="K2993" s="11">
        <f>O2993</f>
        <v/>
      </c>
      <c r="L2993" s="11">
        <f>L2992+IF(K2993&gt;0,K2993*Summary!$B$9,K2993/Summary!$B$9)</f>
        <v/>
      </c>
      <c r="M2993" s="11">
        <f>G2993+H2993</f>
        <v/>
      </c>
      <c r="N2993" s="11">
        <f>Summary!$C$16*Summary!$B$8</f>
        <v/>
      </c>
      <c r="O2993" s="11">
        <f>M2993-N2993</f>
        <v/>
      </c>
    </row>
    <row r="2994">
      <c r="A2994" s="9" t="n">
        <v>45416.66666666666</v>
      </c>
      <c r="B2994" t="n">
        <v>5</v>
      </c>
      <c r="C2994" t="n">
        <v>4</v>
      </c>
      <c r="D2994" t="n">
        <v>16</v>
      </c>
      <c r="E2994" s="10" t="n">
        <v>0.416577</v>
      </c>
      <c r="F2994" s="10" t="n">
        <v>0.2370099448823867</v>
      </c>
      <c r="G2994" s="11">
        <f>E2994*Summary!$B$6</f>
        <v/>
      </c>
      <c r="H2994" s="11">
        <f>F2994*Summary!$B$7</f>
        <v/>
      </c>
      <c r="I2994" s="11">
        <f>MAX(0,N2994-M2994)</f>
        <v/>
      </c>
      <c r="J2994" s="11">
        <f>MAX(0,M2994-N2994)</f>
        <v/>
      </c>
      <c r="K2994" s="11">
        <f>O2994</f>
        <v/>
      </c>
      <c r="L2994" s="11">
        <f>L2993+IF(K2994&gt;0,K2994*Summary!$B$9,K2994/Summary!$B$9)</f>
        <v/>
      </c>
      <c r="M2994" s="11">
        <f>G2994+H2994</f>
        <v/>
      </c>
      <c r="N2994" s="11">
        <f>Summary!$C$16*Summary!$B$8</f>
        <v/>
      </c>
      <c r="O2994" s="11">
        <f>M2994-N2994</f>
        <v/>
      </c>
    </row>
    <row r="2995">
      <c r="A2995" s="9" t="n">
        <v>45416.70833333334</v>
      </c>
      <c r="B2995" t="n">
        <v>5</v>
      </c>
      <c r="C2995" t="n">
        <v>4</v>
      </c>
      <c r="D2995" t="n">
        <v>17</v>
      </c>
      <c r="E2995" s="10" t="n">
        <v>0.198236</v>
      </c>
      <c r="F2995" s="10" t="n">
        <v>0.2266272543905411</v>
      </c>
      <c r="G2995" s="11">
        <f>E2995*Summary!$B$6</f>
        <v/>
      </c>
      <c r="H2995" s="11">
        <f>F2995*Summary!$B$7</f>
        <v/>
      </c>
      <c r="I2995" s="11">
        <f>MAX(0,N2995-M2995)</f>
        <v/>
      </c>
      <c r="J2995" s="11">
        <f>MAX(0,M2995-N2995)</f>
        <v/>
      </c>
      <c r="K2995" s="11">
        <f>O2995</f>
        <v/>
      </c>
      <c r="L2995" s="11">
        <f>L2994+IF(K2995&gt;0,K2995*Summary!$B$9,K2995/Summary!$B$9)</f>
        <v/>
      </c>
      <c r="M2995" s="11">
        <f>G2995+H2995</f>
        <v/>
      </c>
      <c r="N2995" s="11">
        <f>Summary!$C$16*Summary!$B$8</f>
        <v/>
      </c>
      <c r="O2995" s="11">
        <f>M2995-N2995</f>
        <v/>
      </c>
    </row>
    <row r="2996">
      <c r="A2996" s="9" t="n">
        <v>45416.75</v>
      </c>
      <c r="B2996" t="n">
        <v>5</v>
      </c>
      <c r="C2996" t="n">
        <v>4</v>
      </c>
      <c r="D2996" t="n">
        <v>18</v>
      </c>
      <c r="E2996" s="10" t="n">
        <v>0.045769</v>
      </c>
      <c r="F2996" s="10" t="n">
        <v>0.2139782913547899</v>
      </c>
      <c r="G2996" s="11">
        <f>E2996*Summary!$B$6</f>
        <v/>
      </c>
      <c r="H2996" s="11">
        <f>F2996*Summary!$B$7</f>
        <v/>
      </c>
      <c r="I2996" s="11">
        <f>MAX(0,N2996-M2996)</f>
        <v/>
      </c>
      <c r="J2996" s="11">
        <f>MAX(0,M2996-N2996)</f>
        <v/>
      </c>
      <c r="K2996" s="11">
        <f>O2996</f>
        <v/>
      </c>
      <c r="L2996" s="11">
        <f>L2995+IF(K2996&gt;0,K2996*Summary!$B$9,K2996/Summary!$B$9)</f>
        <v/>
      </c>
      <c r="M2996" s="11">
        <f>G2996+H2996</f>
        <v/>
      </c>
      <c r="N2996" s="11">
        <f>Summary!$C$16*Summary!$B$8</f>
        <v/>
      </c>
      <c r="O2996" s="11">
        <f>M2996-N2996</f>
        <v/>
      </c>
    </row>
    <row r="2997">
      <c r="A2997" s="9" t="n">
        <v>45416.79166666666</v>
      </c>
      <c r="B2997" t="n">
        <v>5</v>
      </c>
      <c r="C2997" t="n">
        <v>4</v>
      </c>
      <c r="D2997" t="n">
        <v>19</v>
      </c>
      <c r="E2997" s="10" t="n">
        <v>0.018075</v>
      </c>
      <c r="F2997" s="10" t="n">
        <v>0.2102890104693625</v>
      </c>
      <c r="G2997" s="11">
        <f>E2997*Summary!$B$6</f>
        <v/>
      </c>
      <c r="H2997" s="11">
        <f>F2997*Summary!$B$7</f>
        <v/>
      </c>
      <c r="I2997" s="11">
        <f>MAX(0,N2997-M2997)</f>
        <v/>
      </c>
      <c r="J2997" s="11">
        <f>MAX(0,M2997-N2997)</f>
        <v/>
      </c>
      <c r="K2997" s="11">
        <f>O2997</f>
        <v/>
      </c>
      <c r="L2997" s="11">
        <f>L2996+IF(K2997&gt;0,K2997*Summary!$B$9,K2997/Summary!$B$9)</f>
        <v/>
      </c>
      <c r="M2997" s="11">
        <f>G2997+H2997</f>
        <v/>
      </c>
      <c r="N2997" s="11">
        <f>Summary!$C$16*Summary!$B$8</f>
        <v/>
      </c>
      <c r="O2997" s="11">
        <f>M2997-N2997</f>
        <v/>
      </c>
    </row>
    <row r="2998">
      <c r="A2998" s="9" t="n">
        <v>45416.83333333334</v>
      </c>
      <c r="B2998" t="n">
        <v>5</v>
      </c>
      <c r="C2998" t="n">
        <v>4</v>
      </c>
      <c r="D2998" t="n">
        <v>20</v>
      </c>
      <c r="E2998" s="10" t="n">
        <v>0</v>
      </c>
      <c r="F2998" s="10" t="n">
        <v>0.2229379735051136</v>
      </c>
      <c r="G2998" s="11">
        <f>E2998*Summary!$B$6</f>
        <v/>
      </c>
      <c r="H2998" s="11">
        <f>F2998*Summary!$B$7</f>
        <v/>
      </c>
      <c r="I2998" s="11">
        <f>MAX(0,N2998-M2998)</f>
        <v/>
      </c>
      <c r="J2998" s="11">
        <f>MAX(0,M2998-N2998)</f>
        <v/>
      </c>
      <c r="K2998" s="11">
        <f>O2998</f>
        <v/>
      </c>
      <c r="L2998" s="11">
        <f>L2997+IF(K2998&gt;0,K2998*Summary!$B$9,K2998/Summary!$B$9)</f>
        <v/>
      </c>
      <c r="M2998" s="11">
        <f>G2998+H2998</f>
        <v/>
      </c>
      <c r="N2998" s="11">
        <f>Summary!$C$16*Summary!$B$8</f>
        <v/>
      </c>
      <c r="O2998" s="11">
        <f>M2998-N2998</f>
        <v/>
      </c>
    </row>
    <row r="2999">
      <c r="A2999" s="9" t="n">
        <v>45416.875</v>
      </c>
      <c r="B2999" t="n">
        <v>5</v>
      </c>
      <c r="C2999" t="n">
        <v>4</v>
      </c>
      <c r="D2999" t="n">
        <v>21</v>
      </c>
      <c r="E2999" s="10" t="n">
        <v>0</v>
      </c>
      <c r="F2999" s="10" t="n">
        <v>0.2340585201740448</v>
      </c>
      <c r="G2999" s="11">
        <f>E2999*Summary!$B$6</f>
        <v/>
      </c>
      <c r="H2999" s="11">
        <f>F2999*Summary!$B$7</f>
        <v/>
      </c>
      <c r="I2999" s="11">
        <f>MAX(0,N2999-M2999)</f>
        <v/>
      </c>
      <c r="J2999" s="11">
        <f>MAX(0,M2999-N2999)</f>
        <v/>
      </c>
      <c r="K2999" s="11">
        <f>O2999</f>
        <v/>
      </c>
      <c r="L2999" s="11">
        <f>L2998+IF(K2999&gt;0,K2999*Summary!$B$9,K2999/Summary!$B$9)</f>
        <v/>
      </c>
      <c r="M2999" s="11">
        <f>G2999+H2999</f>
        <v/>
      </c>
      <c r="N2999" s="11">
        <f>Summary!$C$16*Summary!$B$8</f>
        <v/>
      </c>
      <c r="O2999" s="11">
        <f>M2999-N2999</f>
        <v/>
      </c>
    </row>
    <row r="3000">
      <c r="A3000" s="9" t="n">
        <v>45416.91666666666</v>
      </c>
      <c r="B3000" t="n">
        <v>5</v>
      </c>
      <c r="C3000" t="n">
        <v>4</v>
      </c>
      <c r="D3000" t="n">
        <v>22</v>
      </c>
      <c r="E3000" s="10" t="n">
        <v>0</v>
      </c>
      <c r="F3000" s="10" t="n">
        <v>0.2463122031149287</v>
      </c>
      <c r="G3000" s="11">
        <f>E3000*Summary!$B$6</f>
        <v/>
      </c>
      <c r="H3000" s="11">
        <f>F3000*Summary!$B$7</f>
        <v/>
      </c>
      <c r="I3000" s="11">
        <f>MAX(0,N3000-M3000)</f>
        <v/>
      </c>
      <c r="J3000" s="11">
        <f>MAX(0,M3000-N3000)</f>
        <v/>
      </c>
      <c r="K3000" s="11">
        <f>O3000</f>
        <v/>
      </c>
      <c r="L3000" s="11">
        <f>L2999+IF(K3000&gt;0,K3000*Summary!$B$9,K3000/Summary!$B$9)</f>
        <v/>
      </c>
      <c r="M3000" s="11">
        <f>G3000+H3000</f>
        <v/>
      </c>
      <c r="N3000" s="11">
        <f>Summary!$C$16*Summary!$B$8</f>
        <v/>
      </c>
      <c r="O3000" s="11">
        <f>M3000-N3000</f>
        <v/>
      </c>
    </row>
    <row r="3001">
      <c r="A3001" s="9" t="n">
        <v>45416.95833333334</v>
      </c>
      <c r="B3001" t="n">
        <v>5</v>
      </c>
      <c r="C3001" t="n">
        <v>4</v>
      </c>
      <c r="D3001" t="n">
        <v>23</v>
      </c>
      <c r="E3001" s="10" t="n">
        <v>0</v>
      </c>
      <c r="F3001" s="10" t="n">
        <v>0.2567212456130989</v>
      </c>
      <c r="G3001" s="11">
        <f>E3001*Summary!$B$6</f>
        <v/>
      </c>
      <c r="H3001" s="11">
        <f>F3001*Summary!$B$7</f>
        <v/>
      </c>
      <c r="I3001" s="11">
        <f>MAX(0,N3001-M3001)</f>
        <v/>
      </c>
      <c r="J3001" s="11">
        <f>MAX(0,M3001-N3001)</f>
        <v/>
      </c>
      <c r="K3001" s="11">
        <f>O3001</f>
        <v/>
      </c>
      <c r="L3001" s="11">
        <f>L3000+IF(K3001&gt;0,K3001*Summary!$B$9,K3001/Summary!$B$9)</f>
        <v/>
      </c>
      <c r="M3001" s="11">
        <f>G3001+H3001</f>
        <v/>
      </c>
      <c r="N3001" s="11">
        <f>Summary!$C$16*Summary!$B$8</f>
        <v/>
      </c>
      <c r="O3001" s="11">
        <f>M3001-N3001</f>
        <v/>
      </c>
    </row>
    <row r="3002">
      <c r="A3002" s="9" t="n">
        <v>45417</v>
      </c>
      <c r="B3002" t="n">
        <v>5</v>
      </c>
      <c r="C3002" t="n">
        <v>5</v>
      </c>
      <c r="D3002" t="n">
        <v>0</v>
      </c>
      <c r="E3002" s="10" t="n">
        <v>0</v>
      </c>
      <c r="F3002" s="10" t="n">
        <v>0.3603373344809603</v>
      </c>
      <c r="G3002" s="11">
        <f>E3002*Summary!$B$6</f>
        <v/>
      </c>
      <c r="H3002" s="11">
        <f>F3002*Summary!$B$7</f>
        <v/>
      </c>
      <c r="I3002" s="11">
        <f>MAX(0,N3002-M3002)</f>
        <v/>
      </c>
      <c r="J3002" s="11">
        <f>MAX(0,M3002-N3002)</f>
        <v/>
      </c>
      <c r="K3002" s="11">
        <f>O3002</f>
        <v/>
      </c>
      <c r="L3002" s="11">
        <f>L3001+IF(K3002&gt;0,K3002*Summary!$B$9,K3002/Summary!$B$9)</f>
        <v/>
      </c>
      <c r="M3002" s="11">
        <f>G3002+H3002</f>
        <v/>
      </c>
      <c r="N3002" s="11">
        <f>Summary!$C$16*Summary!$B$8</f>
        <v/>
      </c>
      <c r="O3002" s="11">
        <f>M3002-N3002</f>
        <v/>
      </c>
    </row>
    <row r="3003">
      <c r="A3003" s="9" t="n">
        <v>45417.04166666666</v>
      </c>
      <c r="B3003" t="n">
        <v>5</v>
      </c>
      <c r="C3003" t="n">
        <v>5</v>
      </c>
      <c r="D3003" t="n">
        <v>1</v>
      </c>
      <c r="E3003" s="10" t="n">
        <v>0</v>
      </c>
      <c r="F3003" s="10" t="n">
        <v>0.2616227187894525</v>
      </c>
      <c r="G3003" s="11">
        <f>E3003*Summary!$B$6</f>
        <v/>
      </c>
      <c r="H3003" s="11">
        <f>F3003*Summary!$B$7</f>
        <v/>
      </c>
      <c r="I3003" s="11">
        <f>MAX(0,N3003-M3003)</f>
        <v/>
      </c>
      <c r="J3003" s="11">
        <f>MAX(0,M3003-N3003)</f>
        <v/>
      </c>
      <c r="K3003" s="11">
        <f>O3003</f>
        <v/>
      </c>
      <c r="L3003" s="11">
        <f>L3002+IF(K3003&gt;0,K3003*Summary!$B$9,K3003/Summary!$B$9)</f>
        <v/>
      </c>
      <c r="M3003" s="11">
        <f>G3003+H3003</f>
        <v/>
      </c>
      <c r="N3003" s="11">
        <f>Summary!$C$16*Summary!$B$8</f>
        <v/>
      </c>
      <c r="O3003" s="11">
        <f>M3003-N3003</f>
        <v/>
      </c>
    </row>
    <row r="3004">
      <c r="A3004" s="9" t="n">
        <v>45417.08333333334</v>
      </c>
      <c r="B3004" t="n">
        <v>5</v>
      </c>
      <c r="C3004" t="n">
        <v>5</v>
      </c>
      <c r="D3004" t="n">
        <v>2</v>
      </c>
      <c r="E3004" s="10" t="n">
        <v>0</v>
      </c>
      <c r="F3004" s="10" t="n">
        <v>0.2570901737016417</v>
      </c>
      <c r="G3004" s="11">
        <f>E3004*Summary!$B$6</f>
        <v/>
      </c>
      <c r="H3004" s="11">
        <f>F3004*Summary!$B$7</f>
        <v/>
      </c>
      <c r="I3004" s="11">
        <f>MAX(0,N3004-M3004)</f>
        <v/>
      </c>
      <c r="J3004" s="11">
        <f>MAX(0,M3004-N3004)</f>
        <v/>
      </c>
      <c r="K3004" s="11">
        <f>O3004</f>
        <v/>
      </c>
      <c r="L3004" s="11">
        <f>L3003+IF(K3004&gt;0,K3004*Summary!$B$9,K3004/Summary!$B$9)</f>
        <v/>
      </c>
      <c r="M3004" s="11">
        <f>G3004+H3004</f>
        <v/>
      </c>
      <c r="N3004" s="11">
        <f>Summary!$C$16*Summary!$B$8</f>
        <v/>
      </c>
      <c r="O3004" s="11">
        <f>M3004-N3004</f>
        <v/>
      </c>
    </row>
    <row r="3005">
      <c r="A3005" s="9" t="n">
        <v>45417.125</v>
      </c>
      <c r="B3005" t="n">
        <v>5</v>
      </c>
      <c r="C3005" t="n">
        <v>5</v>
      </c>
      <c r="D3005" t="n">
        <v>3</v>
      </c>
      <c r="E3005" s="10" t="n">
        <v>0</v>
      </c>
      <c r="F3005" s="10" t="n">
        <v>0.2498697239687337</v>
      </c>
      <c r="G3005" s="11">
        <f>E3005*Summary!$B$6</f>
        <v/>
      </c>
      <c r="H3005" s="11">
        <f>F3005*Summary!$B$7</f>
        <v/>
      </c>
      <c r="I3005" s="11">
        <f>MAX(0,N3005-M3005)</f>
        <v/>
      </c>
      <c r="J3005" s="11">
        <f>MAX(0,M3005-N3005)</f>
        <v/>
      </c>
      <c r="K3005" s="11">
        <f>O3005</f>
        <v/>
      </c>
      <c r="L3005" s="11">
        <f>L3004+IF(K3005&gt;0,K3005*Summary!$B$9,K3005/Summary!$B$9)</f>
        <v/>
      </c>
      <c r="M3005" s="11">
        <f>G3005+H3005</f>
        <v/>
      </c>
      <c r="N3005" s="11">
        <f>Summary!$C$16*Summary!$B$8</f>
        <v/>
      </c>
      <c r="O3005" s="11">
        <f>M3005-N3005</f>
        <v/>
      </c>
    </row>
    <row r="3006">
      <c r="A3006" s="9" t="n">
        <v>45417.16666666666</v>
      </c>
      <c r="B3006" t="n">
        <v>5</v>
      </c>
      <c r="C3006" t="n">
        <v>5</v>
      </c>
      <c r="D3006" t="n">
        <v>4</v>
      </c>
      <c r="E3006" s="10" t="n">
        <v>0</v>
      </c>
      <c r="F3006" s="10" t="n">
        <v>0.2340321681677204</v>
      </c>
      <c r="G3006" s="11">
        <f>E3006*Summary!$B$6</f>
        <v/>
      </c>
      <c r="H3006" s="11">
        <f>F3006*Summary!$B$7</f>
        <v/>
      </c>
      <c r="I3006" s="11">
        <f>MAX(0,N3006-M3006)</f>
        <v/>
      </c>
      <c r="J3006" s="11">
        <f>MAX(0,M3006-N3006)</f>
        <v/>
      </c>
      <c r="K3006" s="11">
        <f>O3006</f>
        <v/>
      </c>
      <c r="L3006" s="11">
        <f>L3005+IF(K3006&gt;0,K3006*Summary!$B$9,K3006/Summary!$B$9)</f>
        <v/>
      </c>
      <c r="M3006" s="11">
        <f>G3006+H3006</f>
        <v/>
      </c>
      <c r="N3006" s="11">
        <f>Summary!$C$16*Summary!$B$8</f>
        <v/>
      </c>
      <c r="O3006" s="11">
        <f>M3006-N3006</f>
        <v/>
      </c>
    </row>
    <row r="3007">
      <c r="A3007" s="9" t="n">
        <v>45417.20833333334</v>
      </c>
      <c r="B3007" t="n">
        <v>5</v>
      </c>
      <c r="C3007" t="n">
        <v>5</v>
      </c>
      <c r="D3007" t="n">
        <v>5</v>
      </c>
      <c r="E3007" s="10" t="n">
        <v>0.047623</v>
      </c>
      <c r="F3007" s="10" t="n">
        <v>0.2085234260456222</v>
      </c>
      <c r="G3007" s="11">
        <f>E3007*Summary!$B$6</f>
        <v/>
      </c>
      <c r="H3007" s="11">
        <f>F3007*Summary!$B$7</f>
        <v/>
      </c>
      <c r="I3007" s="11">
        <f>MAX(0,N3007-M3007)</f>
        <v/>
      </c>
      <c r="J3007" s="11">
        <f>MAX(0,M3007-N3007)</f>
        <v/>
      </c>
      <c r="K3007" s="11">
        <f>O3007</f>
        <v/>
      </c>
      <c r="L3007" s="11">
        <f>L3006+IF(K3007&gt;0,K3007*Summary!$B$9,K3007/Summary!$B$9)</f>
        <v/>
      </c>
      <c r="M3007" s="11">
        <f>G3007+H3007</f>
        <v/>
      </c>
      <c r="N3007" s="11">
        <f>Summary!$C$16*Summary!$B$8</f>
        <v/>
      </c>
      <c r="O3007" s="11">
        <f>M3007-N3007</f>
        <v/>
      </c>
    </row>
    <row r="3008">
      <c r="A3008" s="9" t="n">
        <v>45417.25</v>
      </c>
      <c r="B3008" t="n">
        <v>5</v>
      </c>
      <c r="C3008" t="n">
        <v>5</v>
      </c>
      <c r="D3008" t="n">
        <v>6</v>
      </c>
      <c r="E3008" s="10" t="n">
        <v>0.168317</v>
      </c>
      <c r="F3008" s="10" t="n">
        <v>0.1759786982348876</v>
      </c>
      <c r="G3008" s="11">
        <f>E3008*Summary!$B$6</f>
        <v/>
      </c>
      <c r="H3008" s="11">
        <f>F3008*Summary!$B$7</f>
        <v/>
      </c>
      <c r="I3008" s="11">
        <f>MAX(0,N3008-M3008)</f>
        <v/>
      </c>
      <c r="J3008" s="11">
        <f>MAX(0,M3008-N3008)</f>
        <v/>
      </c>
      <c r="K3008" s="11">
        <f>O3008</f>
        <v/>
      </c>
      <c r="L3008" s="11">
        <f>L3007+IF(K3008&gt;0,K3008*Summary!$B$9,K3008/Summary!$B$9)</f>
        <v/>
      </c>
      <c r="M3008" s="11">
        <f>G3008+H3008</f>
        <v/>
      </c>
      <c r="N3008" s="11">
        <f>Summary!$C$16*Summary!$B$8</f>
        <v/>
      </c>
      <c r="O3008" s="11">
        <f>M3008-N3008</f>
        <v/>
      </c>
    </row>
    <row r="3009">
      <c r="A3009" s="9" t="n">
        <v>45417.29166666666</v>
      </c>
      <c r="B3009" t="n">
        <v>5</v>
      </c>
      <c r="C3009" t="n">
        <v>5</v>
      </c>
      <c r="D3009" t="n">
        <v>7</v>
      </c>
      <c r="E3009" s="10" t="n">
        <v>0.382783</v>
      </c>
      <c r="F3009" s="10" t="n">
        <v>0.1543173490361638</v>
      </c>
      <c r="G3009" s="11">
        <f>E3009*Summary!$B$6</f>
        <v/>
      </c>
      <c r="H3009" s="11">
        <f>F3009*Summary!$B$7</f>
        <v/>
      </c>
      <c r="I3009" s="11">
        <f>MAX(0,N3009-M3009)</f>
        <v/>
      </c>
      <c r="J3009" s="11">
        <f>MAX(0,M3009-N3009)</f>
        <v/>
      </c>
      <c r="K3009" s="11">
        <f>O3009</f>
        <v/>
      </c>
      <c r="L3009" s="11">
        <f>L3008+IF(K3009&gt;0,K3009*Summary!$B$9,K3009/Summary!$B$9)</f>
        <v/>
      </c>
      <c r="M3009" s="11">
        <f>G3009+H3009</f>
        <v/>
      </c>
      <c r="N3009" s="11">
        <f>Summary!$C$16*Summary!$B$8</f>
        <v/>
      </c>
      <c r="O3009" s="11">
        <f>M3009-N3009</f>
        <v/>
      </c>
    </row>
    <row r="3010">
      <c r="A3010" s="9" t="n">
        <v>45417.33333333334</v>
      </c>
      <c r="B3010" t="n">
        <v>5</v>
      </c>
      <c r="C3010" t="n">
        <v>5</v>
      </c>
      <c r="D3010" t="n">
        <v>8</v>
      </c>
      <c r="E3010" s="10" t="n">
        <v>0.58378</v>
      </c>
      <c r="F3010" s="10" t="n">
        <v>0.1561092854662285</v>
      </c>
      <c r="G3010" s="11">
        <f>E3010*Summary!$B$6</f>
        <v/>
      </c>
      <c r="H3010" s="11">
        <f>F3010*Summary!$B$7</f>
        <v/>
      </c>
      <c r="I3010" s="11">
        <f>MAX(0,N3010-M3010)</f>
        <v/>
      </c>
      <c r="J3010" s="11">
        <f>MAX(0,M3010-N3010)</f>
        <v/>
      </c>
      <c r="K3010" s="11">
        <f>O3010</f>
        <v/>
      </c>
      <c r="L3010" s="11">
        <f>L3009+IF(K3010&gt;0,K3010*Summary!$B$9,K3010/Summary!$B$9)</f>
        <v/>
      </c>
      <c r="M3010" s="11">
        <f>G3010+H3010</f>
        <v/>
      </c>
      <c r="N3010" s="11">
        <f>Summary!$C$16*Summary!$B$8</f>
        <v/>
      </c>
      <c r="O3010" s="11">
        <f>M3010-N3010</f>
        <v/>
      </c>
    </row>
    <row r="3011">
      <c r="A3011" s="9" t="n">
        <v>45417.375</v>
      </c>
      <c r="B3011" t="n">
        <v>5</v>
      </c>
      <c r="C3011" t="n">
        <v>5</v>
      </c>
      <c r="D3011" t="n">
        <v>9</v>
      </c>
      <c r="E3011" s="10" t="n">
        <v>0.73465</v>
      </c>
      <c r="F3011" s="10" t="n">
        <v>0.1719731932735664</v>
      </c>
      <c r="G3011" s="11">
        <f>E3011*Summary!$B$6</f>
        <v/>
      </c>
      <c r="H3011" s="11">
        <f>F3011*Summary!$B$7</f>
        <v/>
      </c>
      <c r="I3011" s="11">
        <f>MAX(0,N3011-M3011)</f>
        <v/>
      </c>
      <c r="J3011" s="11">
        <f>MAX(0,M3011-N3011)</f>
        <v/>
      </c>
      <c r="K3011" s="11">
        <f>O3011</f>
        <v/>
      </c>
      <c r="L3011" s="11">
        <f>L3010+IF(K3011&gt;0,K3011*Summary!$B$9,K3011/Summary!$B$9)</f>
        <v/>
      </c>
      <c r="M3011" s="11">
        <f>G3011+H3011</f>
        <v/>
      </c>
      <c r="N3011" s="11">
        <f>Summary!$C$16*Summary!$B$8</f>
        <v/>
      </c>
      <c r="O3011" s="11">
        <f>M3011-N3011</f>
        <v/>
      </c>
    </row>
    <row r="3012">
      <c r="A3012" s="9" t="n">
        <v>45417.41666666666</v>
      </c>
      <c r="B3012" t="n">
        <v>5</v>
      </c>
      <c r="C3012" t="n">
        <v>5</v>
      </c>
      <c r="D3012" t="n">
        <v>10</v>
      </c>
      <c r="E3012" s="10" t="n">
        <v>0.754058</v>
      </c>
      <c r="F3012" s="10" t="n">
        <v>0.1915790859789807</v>
      </c>
      <c r="G3012" s="11">
        <f>E3012*Summary!$B$6</f>
        <v/>
      </c>
      <c r="H3012" s="11">
        <f>F3012*Summary!$B$7</f>
        <v/>
      </c>
      <c r="I3012" s="11">
        <f>MAX(0,N3012-M3012)</f>
        <v/>
      </c>
      <c r="J3012" s="11">
        <f>MAX(0,M3012-N3012)</f>
        <v/>
      </c>
      <c r="K3012" s="11">
        <f>O3012</f>
        <v/>
      </c>
      <c r="L3012" s="11">
        <f>L3011+IF(K3012&gt;0,K3012*Summary!$B$9,K3012/Summary!$B$9)</f>
        <v/>
      </c>
      <c r="M3012" s="11">
        <f>G3012+H3012</f>
        <v/>
      </c>
      <c r="N3012" s="11">
        <f>Summary!$C$16*Summary!$B$8</f>
        <v/>
      </c>
      <c r="O3012" s="11">
        <f>M3012-N3012</f>
        <v/>
      </c>
    </row>
    <row r="3013">
      <c r="A3013" s="9" t="n">
        <v>45417.45833333334</v>
      </c>
      <c r="B3013" t="n">
        <v>5</v>
      </c>
      <c r="C3013" t="n">
        <v>5</v>
      </c>
      <c r="D3013" t="n">
        <v>11</v>
      </c>
      <c r="E3013" s="10" t="n">
        <v>0.754058</v>
      </c>
      <c r="F3013" s="10" t="n">
        <v>0.2135566592535982</v>
      </c>
      <c r="G3013" s="11">
        <f>E3013*Summary!$B$6</f>
        <v/>
      </c>
      <c r="H3013" s="11">
        <f>F3013*Summary!$B$7</f>
        <v/>
      </c>
      <c r="I3013" s="11">
        <f>MAX(0,N3013-M3013)</f>
        <v/>
      </c>
      <c r="J3013" s="11">
        <f>MAX(0,M3013-N3013)</f>
        <v/>
      </c>
      <c r="K3013" s="11">
        <f>O3013</f>
        <v/>
      </c>
      <c r="L3013" s="11">
        <f>L3012+IF(K3013&gt;0,K3013*Summary!$B$9,K3013/Summary!$B$9)</f>
        <v/>
      </c>
      <c r="M3013" s="11">
        <f>G3013+H3013</f>
        <v/>
      </c>
      <c r="N3013" s="11">
        <f>Summary!$C$16*Summary!$B$8</f>
        <v/>
      </c>
      <c r="O3013" s="11">
        <f>M3013-N3013</f>
        <v/>
      </c>
    </row>
    <row r="3014">
      <c r="A3014" s="9" t="n">
        <v>45417.5</v>
      </c>
      <c r="B3014" t="n">
        <v>5</v>
      </c>
      <c r="C3014" t="n">
        <v>5</v>
      </c>
      <c r="D3014" t="n">
        <v>12</v>
      </c>
      <c r="E3014" s="10" t="n">
        <v>0.754058</v>
      </c>
      <c r="F3014" s="10" t="n">
        <v>0.2354551765092424</v>
      </c>
      <c r="G3014" s="11">
        <f>E3014*Summary!$B$6</f>
        <v/>
      </c>
      <c r="H3014" s="11">
        <f>F3014*Summary!$B$7</f>
        <v/>
      </c>
      <c r="I3014" s="11">
        <f>MAX(0,N3014-M3014)</f>
        <v/>
      </c>
      <c r="J3014" s="11">
        <f>MAX(0,M3014-N3014)</f>
        <v/>
      </c>
      <c r="K3014" s="11">
        <f>O3014</f>
        <v/>
      </c>
      <c r="L3014" s="11">
        <f>L3013+IF(K3014&gt;0,K3014*Summary!$B$9,K3014/Summary!$B$9)</f>
        <v/>
      </c>
      <c r="M3014" s="11">
        <f>G3014+H3014</f>
        <v/>
      </c>
      <c r="N3014" s="11">
        <f>Summary!$C$16*Summary!$B$8</f>
        <v/>
      </c>
      <c r="O3014" s="11">
        <f>M3014-N3014</f>
        <v/>
      </c>
    </row>
    <row r="3015">
      <c r="A3015" s="9" t="n">
        <v>45417.54166666666</v>
      </c>
      <c r="B3015" t="n">
        <v>5</v>
      </c>
      <c r="C3015" t="n">
        <v>5</v>
      </c>
      <c r="D3015" t="n">
        <v>13</v>
      </c>
      <c r="E3015" s="10" t="n">
        <v>0.754058</v>
      </c>
      <c r="F3015" s="10" t="n">
        <v>0.2551401252336301</v>
      </c>
      <c r="G3015" s="11">
        <f>E3015*Summary!$B$6</f>
        <v/>
      </c>
      <c r="H3015" s="11">
        <f>F3015*Summary!$B$7</f>
        <v/>
      </c>
      <c r="I3015" s="11">
        <f>MAX(0,N3015-M3015)</f>
        <v/>
      </c>
      <c r="J3015" s="11">
        <f>MAX(0,M3015-N3015)</f>
        <v/>
      </c>
      <c r="K3015" s="11">
        <f>O3015</f>
        <v/>
      </c>
      <c r="L3015" s="11">
        <f>L3014+IF(K3015&gt;0,K3015*Summary!$B$9,K3015/Summary!$B$9)</f>
        <v/>
      </c>
      <c r="M3015" s="11">
        <f>G3015+H3015</f>
        <v/>
      </c>
      <c r="N3015" s="11">
        <f>Summary!$C$16*Summary!$B$8</f>
        <v/>
      </c>
      <c r="O3015" s="11">
        <f>M3015-N3015</f>
        <v/>
      </c>
    </row>
    <row r="3016">
      <c r="A3016" s="9" t="n">
        <v>45417.58333333334</v>
      </c>
      <c r="B3016" t="n">
        <v>5</v>
      </c>
      <c r="C3016" t="n">
        <v>5</v>
      </c>
      <c r="D3016" t="n">
        <v>14</v>
      </c>
      <c r="E3016" s="10" t="n">
        <v>0.7472490000000001</v>
      </c>
      <c r="F3016" s="10" t="n">
        <v>0.2711884970852393</v>
      </c>
      <c r="G3016" s="11">
        <f>E3016*Summary!$B$6</f>
        <v/>
      </c>
      <c r="H3016" s="11">
        <f>F3016*Summary!$B$7</f>
        <v/>
      </c>
      <c r="I3016" s="11">
        <f>MAX(0,N3016-M3016)</f>
        <v/>
      </c>
      <c r="J3016" s="11">
        <f>MAX(0,M3016-N3016)</f>
        <v/>
      </c>
      <c r="K3016" s="11">
        <f>O3016</f>
        <v/>
      </c>
      <c r="L3016" s="11">
        <f>L3015+IF(K3016&gt;0,K3016*Summary!$B$9,K3016/Summary!$B$9)</f>
        <v/>
      </c>
      <c r="M3016" s="11">
        <f>G3016+H3016</f>
        <v/>
      </c>
      <c r="N3016" s="11">
        <f>Summary!$C$16*Summary!$B$8</f>
        <v/>
      </c>
      <c r="O3016" s="11">
        <f>M3016-N3016</f>
        <v/>
      </c>
    </row>
    <row r="3017">
      <c r="A3017" s="9" t="n">
        <v>45417.625</v>
      </c>
      <c r="B3017" t="n">
        <v>5</v>
      </c>
      <c r="C3017" t="n">
        <v>5</v>
      </c>
      <c r="D3017" t="n">
        <v>15</v>
      </c>
      <c r="E3017" s="10" t="n">
        <v>0.603838</v>
      </c>
      <c r="F3017" s="10" t="n">
        <v>0.3039967449592187</v>
      </c>
      <c r="G3017" s="11">
        <f>E3017*Summary!$B$6</f>
        <v/>
      </c>
      <c r="H3017" s="11">
        <f>F3017*Summary!$B$7</f>
        <v/>
      </c>
      <c r="I3017" s="11">
        <f>MAX(0,N3017-M3017)</f>
        <v/>
      </c>
      <c r="J3017" s="11">
        <f>MAX(0,M3017-N3017)</f>
        <v/>
      </c>
      <c r="K3017" s="11">
        <f>O3017</f>
        <v/>
      </c>
      <c r="L3017" s="11">
        <f>L3016+IF(K3017&gt;0,K3017*Summary!$B$9,K3017/Summary!$B$9)</f>
        <v/>
      </c>
      <c r="M3017" s="11">
        <f>G3017+H3017</f>
        <v/>
      </c>
      <c r="N3017" s="11">
        <f>Summary!$C$16*Summary!$B$8</f>
        <v/>
      </c>
      <c r="O3017" s="11">
        <f>M3017-N3017</f>
        <v/>
      </c>
    </row>
    <row r="3018">
      <c r="A3018" s="9" t="n">
        <v>45417.66666666666</v>
      </c>
      <c r="B3018" t="n">
        <v>5</v>
      </c>
      <c r="C3018" t="n">
        <v>5</v>
      </c>
      <c r="D3018" t="n">
        <v>16</v>
      </c>
      <c r="E3018" s="10" t="n">
        <v>0.409662</v>
      </c>
      <c r="F3018" s="10" t="n">
        <v>0.2945890787013789</v>
      </c>
      <c r="G3018" s="11">
        <f>E3018*Summary!$B$6</f>
        <v/>
      </c>
      <c r="H3018" s="11">
        <f>F3018*Summary!$B$7</f>
        <v/>
      </c>
      <c r="I3018" s="11">
        <f>MAX(0,N3018-M3018)</f>
        <v/>
      </c>
      <c r="J3018" s="11">
        <f>MAX(0,M3018-N3018)</f>
        <v/>
      </c>
      <c r="K3018" s="11">
        <f>O3018</f>
        <v/>
      </c>
      <c r="L3018" s="11">
        <f>L3017+IF(K3018&gt;0,K3018*Summary!$B$9,K3018/Summary!$B$9)</f>
        <v/>
      </c>
      <c r="M3018" s="11">
        <f>G3018+H3018</f>
        <v/>
      </c>
      <c r="N3018" s="11">
        <f>Summary!$C$16*Summary!$B$8</f>
        <v/>
      </c>
      <c r="O3018" s="11">
        <f>M3018-N3018</f>
        <v/>
      </c>
    </row>
    <row r="3019">
      <c r="A3019" s="9" t="n">
        <v>45417.70833333334</v>
      </c>
      <c r="B3019" t="n">
        <v>5</v>
      </c>
      <c r="C3019" t="n">
        <v>5</v>
      </c>
      <c r="D3019" t="n">
        <v>17</v>
      </c>
      <c r="E3019" s="10" t="n">
        <v>0.196995</v>
      </c>
      <c r="F3019" s="10" t="n">
        <v>0.2961701990808478</v>
      </c>
      <c r="G3019" s="11">
        <f>E3019*Summary!$B$6</f>
        <v/>
      </c>
      <c r="H3019" s="11">
        <f>F3019*Summary!$B$7</f>
        <v/>
      </c>
      <c r="I3019" s="11">
        <f>MAX(0,N3019-M3019)</f>
        <v/>
      </c>
      <c r="J3019" s="11">
        <f>MAX(0,M3019-N3019)</f>
        <v/>
      </c>
      <c r="K3019" s="11">
        <f>O3019</f>
        <v/>
      </c>
      <c r="L3019" s="11">
        <f>L3018+IF(K3019&gt;0,K3019*Summary!$B$9,K3019/Summary!$B$9)</f>
        <v/>
      </c>
      <c r="M3019" s="11">
        <f>G3019+H3019</f>
        <v/>
      </c>
      <c r="N3019" s="11">
        <f>Summary!$C$16*Summary!$B$8</f>
        <v/>
      </c>
      <c r="O3019" s="11">
        <f>M3019-N3019</f>
        <v/>
      </c>
    </row>
    <row r="3020">
      <c r="A3020" s="9" t="n">
        <v>45417.75</v>
      </c>
      <c r="B3020" t="n">
        <v>5</v>
      </c>
      <c r="C3020" t="n">
        <v>5</v>
      </c>
      <c r="D3020" t="n">
        <v>18</v>
      </c>
      <c r="E3020" s="10" t="n">
        <v>0.043631</v>
      </c>
      <c r="F3020" s="10" t="n">
        <v>0.2971452233148536</v>
      </c>
      <c r="G3020" s="11">
        <f>E3020*Summary!$B$6</f>
        <v/>
      </c>
      <c r="H3020" s="11">
        <f>F3020*Summary!$B$7</f>
        <v/>
      </c>
      <c r="I3020" s="11">
        <f>MAX(0,N3020-M3020)</f>
        <v/>
      </c>
      <c r="J3020" s="11">
        <f>MAX(0,M3020-N3020)</f>
        <v/>
      </c>
      <c r="K3020" s="11">
        <f>O3020</f>
        <v/>
      </c>
      <c r="L3020" s="11">
        <f>L3019+IF(K3020&gt;0,K3020*Summary!$B$9,K3020/Summary!$B$9)</f>
        <v/>
      </c>
      <c r="M3020" s="11">
        <f>G3020+H3020</f>
        <v/>
      </c>
      <c r="N3020" s="11">
        <f>Summary!$C$16*Summary!$B$8</f>
        <v/>
      </c>
      <c r="O3020" s="11">
        <f>M3020-N3020</f>
        <v/>
      </c>
    </row>
    <row r="3021">
      <c r="A3021" s="9" t="n">
        <v>45417.79166666666</v>
      </c>
      <c r="B3021" t="n">
        <v>5</v>
      </c>
      <c r="C3021" t="n">
        <v>5</v>
      </c>
      <c r="D3021" t="n">
        <v>19</v>
      </c>
      <c r="E3021" s="10" t="n">
        <v>0.016116</v>
      </c>
      <c r="F3021" s="10" t="n">
        <v>0.3102158184517964</v>
      </c>
      <c r="G3021" s="11">
        <f>E3021*Summary!$B$6</f>
        <v/>
      </c>
      <c r="H3021" s="11">
        <f>F3021*Summary!$B$7</f>
        <v/>
      </c>
      <c r="I3021" s="11">
        <f>MAX(0,N3021-M3021)</f>
        <v/>
      </c>
      <c r="J3021" s="11">
        <f>MAX(0,M3021-N3021)</f>
        <v/>
      </c>
      <c r="K3021" s="11">
        <f>O3021</f>
        <v/>
      </c>
      <c r="L3021" s="11">
        <f>L3020+IF(K3021&gt;0,K3021*Summary!$B$9,K3021/Summary!$B$9)</f>
        <v/>
      </c>
      <c r="M3021" s="11">
        <f>G3021+H3021</f>
        <v/>
      </c>
      <c r="N3021" s="11">
        <f>Summary!$C$16*Summary!$B$8</f>
        <v/>
      </c>
      <c r="O3021" s="11">
        <f>M3021-N3021</f>
        <v/>
      </c>
    </row>
    <row r="3022">
      <c r="A3022" s="9" t="n">
        <v>45417.83333333334</v>
      </c>
      <c r="B3022" t="n">
        <v>5</v>
      </c>
      <c r="C3022" t="n">
        <v>5</v>
      </c>
      <c r="D3022" t="n">
        <v>20</v>
      </c>
      <c r="E3022" s="10" t="n">
        <v>0</v>
      </c>
      <c r="F3022" s="10" t="n">
        <v>0.3302433432584024</v>
      </c>
      <c r="G3022" s="11">
        <f>E3022*Summary!$B$6</f>
        <v/>
      </c>
      <c r="H3022" s="11">
        <f>F3022*Summary!$B$7</f>
        <v/>
      </c>
      <c r="I3022" s="11">
        <f>MAX(0,N3022-M3022)</f>
        <v/>
      </c>
      <c r="J3022" s="11">
        <f>MAX(0,M3022-N3022)</f>
        <v/>
      </c>
      <c r="K3022" s="11">
        <f>O3022</f>
        <v/>
      </c>
      <c r="L3022" s="11">
        <f>L3021+IF(K3022&gt;0,K3022*Summary!$B$9,K3022/Summary!$B$9)</f>
        <v/>
      </c>
      <c r="M3022" s="11">
        <f>G3022+H3022</f>
        <v/>
      </c>
      <c r="N3022" s="11">
        <f>Summary!$C$16*Summary!$B$8</f>
        <v/>
      </c>
      <c r="O3022" s="11">
        <f>M3022-N3022</f>
        <v/>
      </c>
    </row>
    <row r="3023">
      <c r="A3023" s="9" t="n">
        <v>45417.875</v>
      </c>
      <c r="B3023" t="n">
        <v>5</v>
      </c>
      <c r="C3023" t="n">
        <v>5</v>
      </c>
      <c r="D3023" t="n">
        <v>21</v>
      </c>
      <c r="E3023" s="10" t="n">
        <v>0</v>
      </c>
      <c r="F3023" s="10" t="n">
        <v>0.3539601489504358</v>
      </c>
      <c r="G3023" s="11">
        <f>E3023*Summary!$B$6</f>
        <v/>
      </c>
      <c r="H3023" s="11">
        <f>F3023*Summary!$B$7</f>
        <v/>
      </c>
      <c r="I3023" s="11">
        <f>MAX(0,N3023-M3023)</f>
        <v/>
      </c>
      <c r="J3023" s="11">
        <f>MAX(0,M3023-N3023)</f>
        <v/>
      </c>
      <c r="K3023" s="11">
        <f>O3023</f>
        <v/>
      </c>
      <c r="L3023" s="11">
        <f>L3022+IF(K3023&gt;0,K3023*Summary!$B$9,K3023/Summary!$B$9)</f>
        <v/>
      </c>
      <c r="M3023" s="11">
        <f>G3023+H3023</f>
        <v/>
      </c>
      <c r="N3023" s="11">
        <f>Summary!$C$16*Summary!$B$8</f>
        <v/>
      </c>
      <c r="O3023" s="11">
        <f>M3023-N3023</f>
        <v/>
      </c>
    </row>
    <row r="3024">
      <c r="A3024" s="9" t="n">
        <v>45417.91666666666</v>
      </c>
      <c r="B3024" t="n">
        <v>5</v>
      </c>
      <c r="C3024" t="n">
        <v>5</v>
      </c>
      <c r="D3024" t="n">
        <v>22</v>
      </c>
      <c r="E3024" s="10" t="n">
        <v>0</v>
      </c>
      <c r="F3024" s="10" t="n">
        <v>0.3596785343228482</v>
      </c>
      <c r="G3024" s="11">
        <f>E3024*Summary!$B$6</f>
        <v/>
      </c>
      <c r="H3024" s="11">
        <f>F3024*Summary!$B$7</f>
        <v/>
      </c>
      <c r="I3024" s="11">
        <f>MAX(0,N3024-M3024)</f>
        <v/>
      </c>
      <c r="J3024" s="11">
        <f>MAX(0,M3024-N3024)</f>
        <v/>
      </c>
      <c r="K3024" s="11">
        <f>O3024</f>
        <v/>
      </c>
      <c r="L3024" s="11">
        <f>L3023+IF(K3024&gt;0,K3024*Summary!$B$9,K3024/Summary!$B$9)</f>
        <v/>
      </c>
      <c r="M3024" s="11">
        <f>G3024+H3024</f>
        <v/>
      </c>
      <c r="N3024" s="11">
        <f>Summary!$C$16*Summary!$B$8</f>
        <v/>
      </c>
      <c r="O3024" s="11">
        <f>M3024-N3024</f>
        <v/>
      </c>
    </row>
    <row r="3025">
      <c r="A3025" s="9" t="n">
        <v>45417.95833333334</v>
      </c>
      <c r="B3025" t="n">
        <v>5</v>
      </c>
      <c r="C3025" t="n">
        <v>5</v>
      </c>
      <c r="D3025" t="n">
        <v>23</v>
      </c>
      <c r="E3025" s="10" t="n">
        <v>0</v>
      </c>
      <c r="F3025" s="10" t="n">
        <v>0.3576757818421876</v>
      </c>
      <c r="G3025" s="11">
        <f>E3025*Summary!$B$6</f>
        <v/>
      </c>
      <c r="H3025" s="11">
        <f>F3025*Summary!$B$7</f>
        <v/>
      </c>
      <c r="I3025" s="11">
        <f>MAX(0,N3025-M3025)</f>
        <v/>
      </c>
      <c r="J3025" s="11">
        <f>MAX(0,M3025-N3025)</f>
        <v/>
      </c>
      <c r="K3025" s="11">
        <f>O3025</f>
        <v/>
      </c>
      <c r="L3025" s="11">
        <f>L3024+IF(K3025&gt;0,K3025*Summary!$B$9,K3025/Summary!$B$9)</f>
        <v/>
      </c>
      <c r="M3025" s="11">
        <f>G3025+H3025</f>
        <v/>
      </c>
      <c r="N3025" s="11">
        <f>Summary!$C$16*Summary!$B$8</f>
        <v/>
      </c>
      <c r="O3025" s="11">
        <f>M3025-N3025</f>
        <v/>
      </c>
    </row>
    <row r="3026">
      <c r="A3026" s="9" t="n">
        <v>45418</v>
      </c>
      <c r="B3026" t="n">
        <v>5</v>
      </c>
      <c r="C3026" t="n">
        <v>6</v>
      </c>
      <c r="D3026" t="n">
        <v>0</v>
      </c>
      <c r="E3026" s="10" t="n">
        <v>0</v>
      </c>
      <c r="F3026" s="10" t="n">
        <v>0.2496325559118134</v>
      </c>
      <c r="G3026" s="11">
        <f>E3026*Summary!$B$6</f>
        <v/>
      </c>
      <c r="H3026" s="11">
        <f>F3026*Summary!$B$7</f>
        <v/>
      </c>
      <c r="I3026" s="11">
        <f>MAX(0,N3026-M3026)</f>
        <v/>
      </c>
      <c r="J3026" s="11">
        <f>MAX(0,M3026-N3026)</f>
        <v/>
      </c>
      <c r="K3026" s="11">
        <f>O3026</f>
        <v/>
      </c>
      <c r="L3026" s="11">
        <f>L3025+IF(K3026&gt;0,K3026*Summary!$B$9,K3026/Summary!$B$9)</f>
        <v/>
      </c>
      <c r="M3026" s="11">
        <f>G3026+H3026</f>
        <v/>
      </c>
      <c r="N3026" s="11">
        <f>Summary!$C$16*Summary!$B$8</f>
        <v/>
      </c>
      <c r="O3026" s="11">
        <f>M3026-N3026</f>
        <v/>
      </c>
    </row>
    <row r="3027">
      <c r="A3027" s="9" t="n">
        <v>45418.04166666666</v>
      </c>
      <c r="B3027" t="n">
        <v>5</v>
      </c>
      <c r="C3027" t="n">
        <v>6</v>
      </c>
      <c r="D3027" t="n">
        <v>1</v>
      </c>
      <c r="E3027" s="10" t="n">
        <v>0</v>
      </c>
      <c r="F3027" s="10" t="n">
        <v>0.3624454949869187</v>
      </c>
      <c r="G3027" s="11">
        <f>E3027*Summary!$B$6</f>
        <v/>
      </c>
      <c r="H3027" s="11">
        <f>F3027*Summary!$B$7</f>
        <v/>
      </c>
      <c r="I3027" s="11">
        <f>MAX(0,N3027-M3027)</f>
        <v/>
      </c>
      <c r="J3027" s="11">
        <f>MAX(0,M3027-N3027)</f>
        <v/>
      </c>
      <c r="K3027" s="11">
        <f>O3027</f>
        <v/>
      </c>
      <c r="L3027" s="11">
        <f>L3026+IF(K3027&gt;0,K3027*Summary!$B$9,K3027/Summary!$B$9)</f>
        <v/>
      </c>
      <c r="M3027" s="11">
        <f>G3027+H3027</f>
        <v/>
      </c>
      <c r="N3027" s="11">
        <f>Summary!$C$16*Summary!$B$8</f>
        <v/>
      </c>
      <c r="O3027" s="11">
        <f>M3027-N3027</f>
        <v/>
      </c>
    </row>
    <row r="3028">
      <c r="A3028" s="9" t="n">
        <v>45418.08333333334</v>
      </c>
      <c r="B3028" t="n">
        <v>5</v>
      </c>
      <c r="C3028" t="n">
        <v>6</v>
      </c>
      <c r="D3028" t="n">
        <v>2</v>
      </c>
      <c r="E3028" s="10" t="n">
        <v>0</v>
      </c>
      <c r="F3028" s="10" t="n">
        <v>0.3577284858548366</v>
      </c>
      <c r="G3028" s="11">
        <f>E3028*Summary!$B$6</f>
        <v/>
      </c>
      <c r="H3028" s="11">
        <f>F3028*Summary!$B$7</f>
        <v/>
      </c>
      <c r="I3028" s="11">
        <f>MAX(0,N3028-M3028)</f>
        <v/>
      </c>
      <c r="J3028" s="11">
        <f>MAX(0,M3028-N3028)</f>
        <v/>
      </c>
      <c r="K3028" s="11">
        <f>O3028</f>
        <v/>
      </c>
      <c r="L3028" s="11">
        <f>L3027+IF(K3028&gt;0,K3028*Summary!$B$9,K3028/Summary!$B$9)</f>
        <v/>
      </c>
      <c r="M3028" s="11">
        <f>G3028+H3028</f>
        <v/>
      </c>
      <c r="N3028" s="11">
        <f>Summary!$C$16*Summary!$B$8</f>
        <v/>
      </c>
      <c r="O3028" s="11">
        <f>M3028-N3028</f>
        <v/>
      </c>
    </row>
    <row r="3029">
      <c r="A3029" s="9" t="n">
        <v>45418.125</v>
      </c>
      <c r="B3029" t="n">
        <v>5</v>
      </c>
      <c r="C3029" t="n">
        <v>6</v>
      </c>
      <c r="D3029" t="n">
        <v>3</v>
      </c>
      <c r="E3029" s="10" t="n">
        <v>0</v>
      </c>
      <c r="F3029" s="10" t="n">
        <v>0.3575176698042408</v>
      </c>
      <c r="G3029" s="11">
        <f>E3029*Summary!$B$6</f>
        <v/>
      </c>
      <c r="H3029" s="11">
        <f>F3029*Summary!$B$7</f>
        <v/>
      </c>
      <c r="I3029" s="11">
        <f>MAX(0,N3029-M3029)</f>
        <v/>
      </c>
      <c r="J3029" s="11">
        <f>MAX(0,M3029-N3029)</f>
        <v/>
      </c>
      <c r="K3029" s="11">
        <f>O3029</f>
        <v/>
      </c>
      <c r="L3029" s="11">
        <f>L3028+IF(K3029&gt;0,K3029*Summary!$B$9,K3029/Summary!$B$9)</f>
        <v/>
      </c>
      <c r="M3029" s="11">
        <f>G3029+H3029</f>
        <v/>
      </c>
      <c r="N3029" s="11">
        <f>Summary!$C$16*Summary!$B$8</f>
        <v/>
      </c>
      <c r="O3029" s="11">
        <f>M3029-N3029</f>
        <v/>
      </c>
    </row>
    <row r="3030">
      <c r="A3030" s="9" t="n">
        <v>45418.16666666666</v>
      </c>
      <c r="B3030" t="n">
        <v>5</v>
      </c>
      <c r="C3030" t="n">
        <v>6</v>
      </c>
      <c r="D3030" t="n">
        <v>4</v>
      </c>
      <c r="E3030" s="10" t="n">
        <v>0</v>
      </c>
      <c r="F3030" s="10" t="n">
        <v>0.3517729324255038</v>
      </c>
      <c r="G3030" s="11">
        <f>E3030*Summary!$B$6</f>
        <v/>
      </c>
      <c r="H3030" s="11">
        <f>F3030*Summary!$B$7</f>
        <v/>
      </c>
      <c r="I3030" s="11">
        <f>MAX(0,N3030-M3030)</f>
        <v/>
      </c>
      <c r="J3030" s="11">
        <f>MAX(0,M3030-N3030)</f>
        <v/>
      </c>
      <c r="K3030" s="11">
        <f>O3030</f>
        <v/>
      </c>
      <c r="L3030" s="11">
        <f>L3029+IF(K3030&gt;0,K3030*Summary!$B$9,K3030/Summary!$B$9)</f>
        <v/>
      </c>
      <c r="M3030" s="11">
        <f>G3030+H3030</f>
        <v/>
      </c>
      <c r="N3030" s="11">
        <f>Summary!$C$16*Summary!$B$8</f>
        <v/>
      </c>
      <c r="O3030" s="11">
        <f>M3030-N3030</f>
        <v/>
      </c>
    </row>
    <row r="3031">
      <c r="A3031" s="9" t="n">
        <v>45418.20833333334</v>
      </c>
      <c r="B3031" t="n">
        <v>5</v>
      </c>
      <c r="C3031" t="n">
        <v>6</v>
      </c>
      <c r="D3031" t="n">
        <v>5</v>
      </c>
      <c r="E3031" s="10" t="n">
        <v>0.045547</v>
      </c>
      <c r="F3031" s="10" t="n">
        <v>0.329400079056019</v>
      </c>
      <c r="G3031" s="11">
        <f>E3031*Summary!$B$6</f>
        <v/>
      </c>
      <c r="H3031" s="11">
        <f>F3031*Summary!$B$7</f>
        <v/>
      </c>
      <c r="I3031" s="11">
        <f>MAX(0,N3031-M3031)</f>
        <v/>
      </c>
      <c r="J3031" s="11">
        <f>MAX(0,M3031-N3031)</f>
        <v/>
      </c>
      <c r="K3031" s="11">
        <f>O3031</f>
        <v/>
      </c>
      <c r="L3031" s="11">
        <f>L3030+IF(K3031&gt;0,K3031*Summary!$B$9,K3031/Summary!$B$9)</f>
        <v/>
      </c>
      <c r="M3031" s="11">
        <f>G3031+H3031</f>
        <v/>
      </c>
      <c r="N3031" s="11">
        <f>Summary!$C$16*Summary!$B$8</f>
        <v/>
      </c>
      <c r="O3031" s="11">
        <f>M3031-N3031</f>
        <v/>
      </c>
    </row>
    <row r="3032">
      <c r="A3032" s="9" t="n">
        <v>45418.25</v>
      </c>
      <c r="B3032" t="n">
        <v>5</v>
      </c>
      <c r="C3032" t="n">
        <v>6</v>
      </c>
      <c r="D3032" t="n">
        <v>6</v>
      </c>
      <c r="E3032" s="10" t="n">
        <v>0.168723</v>
      </c>
      <c r="F3032" s="10" t="n">
        <v>0.2986209356690246</v>
      </c>
      <c r="G3032" s="11">
        <f>E3032*Summary!$B$6</f>
        <v/>
      </c>
      <c r="H3032" s="11">
        <f>F3032*Summary!$B$7</f>
        <v/>
      </c>
      <c r="I3032" s="11">
        <f>MAX(0,N3032-M3032)</f>
        <v/>
      </c>
      <c r="J3032" s="11">
        <f>MAX(0,M3032-N3032)</f>
        <v/>
      </c>
      <c r="K3032" s="11">
        <f>O3032</f>
        <v/>
      </c>
      <c r="L3032" s="11">
        <f>L3031+IF(K3032&gt;0,K3032*Summary!$B$9,K3032/Summary!$B$9)</f>
        <v/>
      </c>
      <c r="M3032" s="11">
        <f>G3032+H3032</f>
        <v/>
      </c>
      <c r="N3032" s="11">
        <f>Summary!$C$16*Summary!$B$8</f>
        <v/>
      </c>
      <c r="O3032" s="11">
        <f>M3032-N3032</f>
        <v/>
      </c>
    </row>
    <row r="3033">
      <c r="A3033" s="9" t="n">
        <v>45418.29166666666</v>
      </c>
      <c r="B3033" t="n">
        <v>5</v>
      </c>
      <c r="C3033" t="n">
        <v>6</v>
      </c>
      <c r="D3033" t="n">
        <v>7</v>
      </c>
      <c r="E3033" s="10" t="n">
        <v>0.379987</v>
      </c>
      <c r="F3033" s="10" t="n">
        <v>0.2746669619200708</v>
      </c>
      <c r="G3033" s="11">
        <f>E3033*Summary!$B$6</f>
        <v/>
      </c>
      <c r="H3033" s="11">
        <f>F3033*Summary!$B$7</f>
        <v/>
      </c>
      <c r="I3033" s="11">
        <f>MAX(0,N3033-M3033)</f>
        <v/>
      </c>
      <c r="J3033" s="11">
        <f>MAX(0,M3033-N3033)</f>
        <v/>
      </c>
      <c r="K3033" s="11">
        <f>O3033</f>
        <v/>
      </c>
      <c r="L3033" s="11">
        <f>L3032+IF(K3033&gt;0,K3033*Summary!$B$9,K3033/Summary!$B$9)</f>
        <v/>
      </c>
      <c r="M3033" s="11">
        <f>G3033+H3033</f>
        <v/>
      </c>
      <c r="N3033" s="11">
        <f>Summary!$C$16*Summary!$B$8</f>
        <v/>
      </c>
      <c r="O3033" s="11">
        <f>M3033-N3033</f>
        <v/>
      </c>
    </row>
    <row r="3034">
      <c r="A3034" s="9" t="n">
        <v>45418.33333333334</v>
      </c>
      <c r="B3034" t="n">
        <v>5</v>
      </c>
      <c r="C3034" t="n">
        <v>6</v>
      </c>
      <c r="D3034" t="n">
        <v>8</v>
      </c>
      <c r="E3034" s="10" t="n">
        <v>0.569882</v>
      </c>
      <c r="F3034" s="10" t="n">
        <v>0.2454425869062209</v>
      </c>
      <c r="G3034" s="11">
        <f>E3034*Summary!$B$6</f>
        <v/>
      </c>
      <c r="H3034" s="11">
        <f>F3034*Summary!$B$7</f>
        <v/>
      </c>
      <c r="I3034" s="11">
        <f>MAX(0,N3034-M3034)</f>
        <v/>
      </c>
      <c r="J3034" s="11">
        <f>MAX(0,M3034-N3034)</f>
        <v/>
      </c>
      <c r="K3034" s="11">
        <f>O3034</f>
        <v/>
      </c>
      <c r="L3034" s="11">
        <f>L3033+IF(K3034&gt;0,K3034*Summary!$B$9,K3034/Summary!$B$9)</f>
        <v/>
      </c>
      <c r="M3034" s="11">
        <f>G3034+H3034</f>
        <v/>
      </c>
      <c r="N3034" s="11">
        <f>Summary!$C$16*Summary!$B$8</f>
        <v/>
      </c>
      <c r="O3034" s="11">
        <f>M3034-N3034</f>
        <v/>
      </c>
    </row>
    <row r="3035">
      <c r="A3035" s="9" t="n">
        <v>45418.375</v>
      </c>
      <c r="B3035" t="n">
        <v>5</v>
      </c>
      <c r="C3035" t="n">
        <v>6</v>
      </c>
      <c r="D3035" t="n">
        <v>9</v>
      </c>
      <c r="E3035" s="10" t="n">
        <v>0.718699</v>
      </c>
      <c r="F3035" s="10" t="n">
        <v>0.2654174077001779</v>
      </c>
      <c r="G3035" s="11">
        <f>E3035*Summary!$B$6</f>
        <v/>
      </c>
      <c r="H3035" s="11">
        <f>F3035*Summary!$B$7</f>
        <v/>
      </c>
      <c r="I3035" s="11">
        <f>MAX(0,N3035-M3035)</f>
        <v/>
      </c>
      <c r="J3035" s="11">
        <f>MAX(0,M3035-N3035)</f>
        <v/>
      </c>
      <c r="K3035" s="11">
        <f>O3035</f>
        <v/>
      </c>
      <c r="L3035" s="11">
        <f>L3034+IF(K3035&gt;0,K3035*Summary!$B$9,K3035/Summary!$B$9)</f>
        <v/>
      </c>
      <c r="M3035" s="11">
        <f>G3035+H3035</f>
        <v/>
      </c>
      <c r="N3035" s="11">
        <f>Summary!$C$16*Summary!$B$8</f>
        <v/>
      </c>
      <c r="O3035" s="11">
        <f>M3035-N3035</f>
        <v/>
      </c>
    </row>
    <row r="3036">
      <c r="A3036" s="9" t="n">
        <v>45418.41666666666</v>
      </c>
      <c r="B3036" t="n">
        <v>5</v>
      </c>
      <c r="C3036" t="n">
        <v>6</v>
      </c>
      <c r="D3036" t="n">
        <v>10</v>
      </c>
      <c r="E3036" s="10" t="n">
        <v>0.754058</v>
      </c>
      <c r="F3036" s="10" t="n">
        <v>0.2611220306692874</v>
      </c>
      <c r="G3036" s="11">
        <f>E3036*Summary!$B$6</f>
        <v/>
      </c>
      <c r="H3036" s="11">
        <f>F3036*Summary!$B$7</f>
        <v/>
      </c>
      <c r="I3036" s="11">
        <f>MAX(0,N3036-M3036)</f>
        <v/>
      </c>
      <c r="J3036" s="11">
        <f>MAX(0,M3036-N3036)</f>
        <v/>
      </c>
      <c r="K3036" s="11">
        <f>O3036</f>
        <v/>
      </c>
      <c r="L3036" s="11">
        <f>L3035+IF(K3036&gt;0,K3036*Summary!$B$9,K3036/Summary!$B$9)</f>
        <v/>
      </c>
      <c r="M3036" s="11">
        <f>G3036+H3036</f>
        <v/>
      </c>
      <c r="N3036" s="11">
        <f>Summary!$C$16*Summary!$B$8</f>
        <v/>
      </c>
      <c r="O3036" s="11">
        <f>M3036-N3036</f>
        <v/>
      </c>
    </row>
    <row r="3037">
      <c r="A3037" s="9" t="n">
        <v>45418.45833333334</v>
      </c>
      <c r="B3037" t="n">
        <v>5</v>
      </c>
      <c r="C3037" t="n">
        <v>6</v>
      </c>
      <c r="D3037" t="n">
        <v>11</v>
      </c>
      <c r="E3037" s="10" t="n">
        <v>0.754058</v>
      </c>
      <c r="F3037" s="10" t="n">
        <v>0.2637045272890866</v>
      </c>
      <c r="G3037" s="11">
        <f>E3037*Summary!$B$6</f>
        <v/>
      </c>
      <c r="H3037" s="11">
        <f>F3037*Summary!$B$7</f>
        <v/>
      </c>
      <c r="I3037" s="11">
        <f>MAX(0,N3037-M3037)</f>
        <v/>
      </c>
      <c r="J3037" s="11">
        <f>MAX(0,M3037-N3037)</f>
        <v/>
      </c>
      <c r="K3037" s="11">
        <f>O3037</f>
        <v/>
      </c>
      <c r="L3037" s="11">
        <f>L3036+IF(K3037&gt;0,K3037*Summary!$B$9,K3037/Summary!$B$9)</f>
        <v/>
      </c>
      <c r="M3037" s="11">
        <f>G3037+H3037</f>
        <v/>
      </c>
      <c r="N3037" s="11">
        <f>Summary!$C$16*Summary!$B$8</f>
        <v/>
      </c>
      <c r="O3037" s="11">
        <f>M3037-N3037</f>
        <v/>
      </c>
    </row>
    <row r="3038">
      <c r="A3038" s="9" t="n">
        <v>45418.5</v>
      </c>
      <c r="B3038" t="n">
        <v>5</v>
      </c>
      <c r="C3038" t="n">
        <v>6</v>
      </c>
      <c r="D3038" t="n">
        <v>12</v>
      </c>
      <c r="E3038" s="10" t="n">
        <v>0.754058</v>
      </c>
      <c r="F3038" s="10" t="n">
        <v>0.2608058065933936</v>
      </c>
      <c r="G3038" s="11">
        <f>E3038*Summary!$B$6</f>
        <v/>
      </c>
      <c r="H3038" s="11">
        <f>F3038*Summary!$B$7</f>
        <v/>
      </c>
      <c r="I3038" s="11">
        <f>MAX(0,N3038-M3038)</f>
        <v/>
      </c>
      <c r="J3038" s="11">
        <f>MAX(0,M3038-N3038)</f>
        <v/>
      </c>
      <c r="K3038" s="11">
        <f>O3038</f>
        <v/>
      </c>
      <c r="L3038" s="11">
        <f>L3037+IF(K3038&gt;0,K3038*Summary!$B$9,K3038/Summary!$B$9)</f>
        <v/>
      </c>
      <c r="M3038" s="11">
        <f>G3038+H3038</f>
        <v/>
      </c>
      <c r="N3038" s="11">
        <f>Summary!$C$16*Summary!$B$8</f>
        <v/>
      </c>
      <c r="O3038" s="11">
        <f>M3038-N3038</f>
        <v/>
      </c>
    </row>
    <row r="3039">
      <c r="A3039" s="9" t="n">
        <v>45418.54166666666</v>
      </c>
      <c r="B3039" t="n">
        <v>5</v>
      </c>
      <c r="C3039" t="n">
        <v>6</v>
      </c>
      <c r="D3039" t="n">
        <v>13</v>
      </c>
      <c r="E3039" s="10" t="n">
        <v>0.754058</v>
      </c>
      <c r="F3039" s="10" t="n">
        <v>0.2612801427072343</v>
      </c>
      <c r="G3039" s="11">
        <f>E3039*Summary!$B$6</f>
        <v/>
      </c>
      <c r="H3039" s="11">
        <f>F3039*Summary!$B$7</f>
        <v/>
      </c>
      <c r="I3039" s="11">
        <f>MAX(0,N3039-M3039)</f>
        <v/>
      </c>
      <c r="J3039" s="11">
        <f>MAX(0,M3039-N3039)</f>
        <v/>
      </c>
      <c r="K3039" s="11">
        <f>O3039</f>
        <v/>
      </c>
      <c r="L3039" s="11">
        <f>L3038+IF(K3039&gt;0,K3039*Summary!$B$9,K3039/Summary!$B$9)</f>
        <v/>
      </c>
      <c r="M3039" s="11">
        <f>G3039+H3039</f>
        <v/>
      </c>
      <c r="N3039" s="11">
        <f>Summary!$C$16*Summary!$B$8</f>
        <v/>
      </c>
      <c r="O3039" s="11">
        <f>M3039-N3039</f>
        <v/>
      </c>
    </row>
    <row r="3040">
      <c r="A3040" s="9" t="n">
        <v>45418.58333333334</v>
      </c>
      <c r="B3040" t="n">
        <v>5</v>
      </c>
      <c r="C3040" t="n">
        <v>6</v>
      </c>
      <c r="D3040" t="n">
        <v>14</v>
      </c>
      <c r="E3040" s="10" t="n">
        <v>0.740764</v>
      </c>
      <c r="F3040" s="10" t="n">
        <v>0.2805698113367547</v>
      </c>
      <c r="G3040" s="11">
        <f>E3040*Summary!$B$6</f>
        <v/>
      </c>
      <c r="H3040" s="11">
        <f>F3040*Summary!$B$7</f>
        <v/>
      </c>
      <c r="I3040" s="11">
        <f>MAX(0,N3040-M3040)</f>
        <v/>
      </c>
      <c r="J3040" s="11">
        <f>MAX(0,M3040-N3040)</f>
        <v/>
      </c>
      <c r="K3040" s="11">
        <f>O3040</f>
        <v/>
      </c>
      <c r="L3040" s="11">
        <f>L3039+IF(K3040&gt;0,K3040*Summary!$B$9,K3040/Summary!$B$9)</f>
        <v/>
      </c>
      <c r="M3040" s="11">
        <f>G3040+H3040</f>
        <v/>
      </c>
      <c r="N3040" s="11">
        <f>Summary!$C$16*Summary!$B$8</f>
        <v/>
      </c>
      <c r="O3040" s="11">
        <f>M3040-N3040</f>
        <v/>
      </c>
    </row>
    <row r="3041">
      <c r="A3041" s="9" t="n">
        <v>45418.625</v>
      </c>
      <c r="B3041" t="n">
        <v>5</v>
      </c>
      <c r="C3041" t="n">
        <v>6</v>
      </c>
      <c r="D3041" t="n">
        <v>15</v>
      </c>
      <c r="E3041" s="10" t="n">
        <v>0.599732</v>
      </c>
      <c r="F3041" s="10" t="n">
        <v>0.2535853568604857</v>
      </c>
      <c r="G3041" s="11">
        <f>E3041*Summary!$B$6</f>
        <v/>
      </c>
      <c r="H3041" s="11">
        <f>F3041*Summary!$B$7</f>
        <v/>
      </c>
      <c r="I3041" s="11">
        <f>MAX(0,N3041-M3041)</f>
        <v/>
      </c>
      <c r="J3041" s="11">
        <f>MAX(0,M3041-N3041)</f>
        <v/>
      </c>
      <c r="K3041" s="11">
        <f>O3041</f>
        <v/>
      </c>
      <c r="L3041" s="11">
        <f>L3040+IF(K3041&gt;0,K3041*Summary!$B$9,K3041/Summary!$B$9)</f>
        <v/>
      </c>
      <c r="M3041" s="11">
        <f>G3041+H3041</f>
        <v/>
      </c>
      <c r="N3041" s="11">
        <f>Summary!$C$16*Summary!$B$8</f>
        <v/>
      </c>
      <c r="O3041" s="11">
        <f>M3041-N3041</f>
        <v/>
      </c>
    </row>
    <row r="3042">
      <c r="A3042" s="9" t="n">
        <v>45418.66666666666</v>
      </c>
      <c r="B3042" t="n">
        <v>5</v>
      </c>
      <c r="C3042" t="n">
        <v>6</v>
      </c>
      <c r="D3042" t="n">
        <v>16</v>
      </c>
      <c r="E3042" s="10" t="n">
        <v>0.407528</v>
      </c>
      <c r="F3042" s="10" t="n">
        <v>0.2428864422927461</v>
      </c>
      <c r="G3042" s="11">
        <f>E3042*Summary!$B$6</f>
        <v/>
      </c>
      <c r="H3042" s="11">
        <f>F3042*Summary!$B$7</f>
        <v/>
      </c>
      <c r="I3042" s="11">
        <f>MAX(0,N3042-M3042)</f>
        <v/>
      </c>
      <c r="J3042" s="11">
        <f>MAX(0,M3042-N3042)</f>
        <v/>
      </c>
      <c r="K3042" s="11">
        <f>O3042</f>
        <v/>
      </c>
      <c r="L3042" s="11">
        <f>L3041+IF(K3042&gt;0,K3042*Summary!$B$9,K3042/Summary!$B$9)</f>
        <v/>
      </c>
      <c r="M3042" s="11">
        <f>G3042+H3042</f>
        <v/>
      </c>
      <c r="N3042" s="11">
        <f>Summary!$C$16*Summary!$B$8</f>
        <v/>
      </c>
      <c r="O3042" s="11">
        <f>M3042-N3042</f>
        <v/>
      </c>
    </row>
    <row r="3043">
      <c r="A3043" s="9" t="n">
        <v>45418.70833333334</v>
      </c>
      <c r="B3043" t="n">
        <v>5</v>
      </c>
      <c r="C3043" t="n">
        <v>6</v>
      </c>
      <c r="D3043" t="n">
        <v>17</v>
      </c>
      <c r="E3043" s="10" t="n">
        <v>0.196055</v>
      </c>
      <c r="F3043" s="10" t="n">
        <v>0.2253887100932904</v>
      </c>
      <c r="G3043" s="11">
        <f>E3043*Summary!$B$6</f>
        <v/>
      </c>
      <c r="H3043" s="11">
        <f>F3043*Summary!$B$7</f>
        <v/>
      </c>
      <c r="I3043" s="11">
        <f>MAX(0,N3043-M3043)</f>
        <v/>
      </c>
      <c r="J3043" s="11">
        <f>MAX(0,M3043-N3043)</f>
        <v/>
      </c>
      <c r="K3043" s="11">
        <f>O3043</f>
        <v/>
      </c>
      <c r="L3043" s="11">
        <f>L3042+IF(K3043&gt;0,K3043*Summary!$B$9,K3043/Summary!$B$9)</f>
        <v/>
      </c>
      <c r="M3043" s="11">
        <f>G3043+H3043</f>
        <v/>
      </c>
      <c r="N3043" s="11">
        <f>Summary!$C$16*Summary!$B$8</f>
        <v/>
      </c>
      <c r="O3043" s="11">
        <f>M3043-N3043</f>
        <v/>
      </c>
    </row>
    <row r="3044">
      <c r="A3044" s="9" t="n">
        <v>45418.75</v>
      </c>
      <c r="B3044" t="n">
        <v>5</v>
      </c>
      <c r="C3044" t="n">
        <v>6</v>
      </c>
      <c r="D3044" t="n">
        <v>18</v>
      </c>
      <c r="E3044" s="10" t="n">
        <v>0.045762</v>
      </c>
      <c r="F3044" s="10" t="n">
        <v>0.2119755388741293</v>
      </c>
      <c r="G3044" s="11">
        <f>E3044*Summary!$B$6</f>
        <v/>
      </c>
      <c r="H3044" s="11">
        <f>F3044*Summary!$B$7</f>
        <v/>
      </c>
      <c r="I3044" s="11">
        <f>MAX(0,N3044-M3044)</f>
        <v/>
      </c>
      <c r="J3044" s="11">
        <f>MAX(0,M3044-N3044)</f>
        <v/>
      </c>
      <c r="K3044" s="11">
        <f>O3044</f>
        <v/>
      </c>
      <c r="L3044" s="11">
        <f>L3043+IF(K3044&gt;0,K3044*Summary!$B$9,K3044/Summary!$B$9)</f>
        <v/>
      </c>
      <c r="M3044" s="11">
        <f>G3044+H3044</f>
        <v/>
      </c>
      <c r="N3044" s="11">
        <f>Summary!$C$16*Summary!$B$8</f>
        <v/>
      </c>
      <c r="O3044" s="11">
        <f>M3044-N3044</f>
        <v/>
      </c>
    </row>
    <row r="3045">
      <c r="A3045" s="9" t="n">
        <v>45418.79166666666</v>
      </c>
      <c r="B3045" t="n">
        <v>5</v>
      </c>
      <c r="C3045" t="n">
        <v>6</v>
      </c>
      <c r="D3045" t="n">
        <v>19</v>
      </c>
      <c r="E3045" s="10" t="n">
        <v>0.019919</v>
      </c>
      <c r="F3045" s="10" t="n">
        <v>0.2143999234559816</v>
      </c>
      <c r="G3045" s="11">
        <f>E3045*Summary!$B$6</f>
        <v/>
      </c>
      <c r="H3045" s="11">
        <f>F3045*Summary!$B$7</f>
        <v/>
      </c>
      <c r="I3045" s="11">
        <f>MAX(0,N3045-M3045)</f>
        <v/>
      </c>
      <c r="J3045" s="11">
        <f>MAX(0,M3045-N3045)</f>
        <v/>
      </c>
      <c r="K3045" s="11">
        <f>O3045</f>
        <v/>
      </c>
      <c r="L3045" s="11">
        <f>L3044+IF(K3045&gt;0,K3045*Summary!$B$9,K3045/Summary!$B$9)</f>
        <v/>
      </c>
      <c r="M3045" s="11">
        <f>G3045+H3045</f>
        <v/>
      </c>
      <c r="N3045" s="11">
        <f>Summary!$C$16*Summary!$B$8</f>
        <v/>
      </c>
      <c r="O3045" s="11">
        <f>M3045-N3045</f>
        <v/>
      </c>
    </row>
    <row r="3046">
      <c r="A3046" s="9" t="n">
        <v>45418.83333333334</v>
      </c>
      <c r="B3046" t="n">
        <v>5</v>
      </c>
      <c r="C3046" t="n">
        <v>6</v>
      </c>
      <c r="D3046" t="n">
        <v>20</v>
      </c>
      <c r="E3046" s="10" t="n">
        <v>0</v>
      </c>
      <c r="F3046" s="10" t="n">
        <v>0.2310280394467295</v>
      </c>
      <c r="G3046" s="11">
        <f>E3046*Summary!$B$6</f>
        <v/>
      </c>
      <c r="H3046" s="11">
        <f>F3046*Summary!$B$7</f>
        <v/>
      </c>
      <c r="I3046" s="11">
        <f>MAX(0,N3046-M3046)</f>
        <v/>
      </c>
      <c r="J3046" s="11">
        <f>MAX(0,M3046-N3046)</f>
        <v/>
      </c>
      <c r="K3046" s="11">
        <f>O3046</f>
        <v/>
      </c>
      <c r="L3046" s="11">
        <f>L3045+IF(K3046&gt;0,K3046*Summary!$B$9,K3046/Summary!$B$9)</f>
        <v/>
      </c>
      <c r="M3046" s="11">
        <f>G3046+H3046</f>
        <v/>
      </c>
      <c r="N3046" s="11">
        <f>Summary!$C$16*Summary!$B$8</f>
        <v/>
      </c>
      <c r="O3046" s="11">
        <f>M3046-N3046</f>
        <v/>
      </c>
    </row>
    <row r="3047">
      <c r="A3047" s="9" t="n">
        <v>45418.875</v>
      </c>
      <c r="B3047" t="n">
        <v>5</v>
      </c>
      <c r="C3047" t="n">
        <v>6</v>
      </c>
      <c r="D3047" t="n">
        <v>21</v>
      </c>
      <c r="E3047" s="10" t="n">
        <v>0</v>
      </c>
      <c r="F3047" s="10" t="n">
        <v>0.2483676596082383</v>
      </c>
      <c r="G3047" s="11">
        <f>E3047*Summary!$B$6</f>
        <v/>
      </c>
      <c r="H3047" s="11">
        <f>F3047*Summary!$B$7</f>
        <v/>
      </c>
      <c r="I3047" s="11">
        <f>MAX(0,N3047-M3047)</f>
        <v/>
      </c>
      <c r="J3047" s="11">
        <f>MAX(0,M3047-N3047)</f>
        <v/>
      </c>
      <c r="K3047" s="11">
        <f>O3047</f>
        <v/>
      </c>
      <c r="L3047" s="11">
        <f>L3046+IF(K3047&gt;0,K3047*Summary!$B$9,K3047/Summary!$B$9)</f>
        <v/>
      </c>
      <c r="M3047" s="11">
        <f>G3047+H3047</f>
        <v/>
      </c>
      <c r="N3047" s="11">
        <f>Summary!$C$16*Summary!$B$8</f>
        <v/>
      </c>
      <c r="O3047" s="11">
        <f>M3047-N3047</f>
        <v/>
      </c>
    </row>
    <row r="3048">
      <c r="A3048" s="9" t="n">
        <v>45418.91666666666</v>
      </c>
      <c r="B3048" t="n">
        <v>5</v>
      </c>
      <c r="C3048" t="n">
        <v>6</v>
      </c>
      <c r="D3048" t="n">
        <v>22</v>
      </c>
      <c r="E3048" s="10" t="n">
        <v>0</v>
      </c>
      <c r="F3048" s="10" t="n">
        <v>0.2505021721205213</v>
      </c>
      <c r="G3048" s="11">
        <f>E3048*Summary!$B$6</f>
        <v/>
      </c>
      <c r="H3048" s="11">
        <f>F3048*Summary!$B$7</f>
        <v/>
      </c>
      <c r="I3048" s="11">
        <f>MAX(0,N3048-M3048)</f>
        <v/>
      </c>
      <c r="J3048" s="11">
        <f>MAX(0,M3048-N3048)</f>
        <v/>
      </c>
      <c r="K3048" s="11">
        <f>O3048</f>
        <v/>
      </c>
      <c r="L3048" s="11">
        <f>L3047+IF(K3048&gt;0,K3048*Summary!$B$9,K3048/Summary!$B$9)</f>
        <v/>
      </c>
      <c r="M3048" s="11">
        <f>G3048+H3048</f>
        <v/>
      </c>
      <c r="N3048" s="11">
        <f>Summary!$C$16*Summary!$B$8</f>
        <v/>
      </c>
      <c r="O3048" s="11">
        <f>M3048-N3048</f>
        <v/>
      </c>
    </row>
    <row r="3049">
      <c r="A3049" s="9" t="n">
        <v>45418.95833333334</v>
      </c>
      <c r="B3049" t="n">
        <v>5</v>
      </c>
      <c r="C3049" t="n">
        <v>6</v>
      </c>
      <c r="D3049" t="n">
        <v>23</v>
      </c>
      <c r="E3049" s="10" t="n">
        <v>0</v>
      </c>
      <c r="F3049" s="10" t="n">
        <v>0.2505812281394947</v>
      </c>
      <c r="G3049" s="11">
        <f>E3049*Summary!$B$6</f>
        <v/>
      </c>
      <c r="H3049" s="11">
        <f>F3049*Summary!$B$7</f>
        <v/>
      </c>
      <c r="I3049" s="11">
        <f>MAX(0,N3049-M3049)</f>
        <v/>
      </c>
      <c r="J3049" s="11">
        <f>MAX(0,M3049-N3049)</f>
        <v/>
      </c>
      <c r="K3049" s="11">
        <f>O3049</f>
        <v/>
      </c>
      <c r="L3049" s="11">
        <f>L3048+IF(K3049&gt;0,K3049*Summary!$B$9,K3049/Summary!$B$9)</f>
        <v/>
      </c>
      <c r="M3049" s="11">
        <f>G3049+H3049</f>
        <v/>
      </c>
      <c r="N3049" s="11">
        <f>Summary!$C$16*Summary!$B$8</f>
        <v/>
      </c>
      <c r="O3049" s="11">
        <f>M3049-N3049</f>
        <v/>
      </c>
    </row>
    <row r="3050">
      <c r="A3050" s="9" t="n">
        <v>45419</v>
      </c>
      <c r="B3050" t="n">
        <v>5</v>
      </c>
      <c r="C3050" t="n">
        <v>7</v>
      </c>
      <c r="D3050" t="n">
        <v>0</v>
      </c>
      <c r="E3050" s="10" t="n">
        <v>0</v>
      </c>
      <c r="F3050" s="10" t="n">
        <v>0.2451790668429761</v>
      </c>
      <c r="G3050" s="11">
        <f>E3050*Summary!$B$6</f>
        <v/>
      </c>
      <c r="H3050" s="11">
        <f>F3050*Summary!$B$7</f>
        <v/>
      </c>
      <c r="I3050" s="11">
        <f>MAX(0,N3050-M3050)</f>
        <v/>
      </c>
      <c r="J3050" s="11">
        <f>MAX(0,M3050-N3050)</f>
        <v/>
      </c>
      <c r="K3050" s="11">
        <f>O3050</f>
        <v/>
      </c>
      <c r="L3050" s="11">
        <f>L3049+IF(K3050&gt;0,K3050*Summary!$B$9,K3050/Summary!$B$9)</f>
        <v/>
      </c>
      <c r="M3050" s="11">
        <f>G3050+H3050</f>
        <v/>
      </c>
      <c r="N3050" s="11">
        <f>Summary!$C$16*Summary!$B$8</f>
        <v/>
      </c>
      <c r="O3050" s="11">
        <f>M3050-N3050</f>
        <v/>
      </c>
    </row>
    <row r="3051">
      <c r="A3051" s="9" t="n">
        <v>45419.04166666666</v>
      </c>
      <c r="B3051" t="n">
        <v>5</v>
      </c>
      <c r="C3051" t="n">
        <v>7</v>
      </c>
      <c r="D3051" t="n">
        <v>1</v>
      </c>
      <c r="E3051" s="10" t="n">
        <v>0</v>
      </c>
      <c r="F3051" s="10" t="n">
        <v>0.2451000108240026</v>
      </c>
      <c r="G3051" s="11">
        <f>E3051*Summary!$B$6</f>
        <v/>
      </c>
      <c r="H3051" s="11">
        <f>F3051*Summary!$B$7</f>
        <v/>
      </c>
      <c r="I3051" s="11">
        <f>MAX(0,N3051-M3051)</f>
        <v/>
      </c>
      <c r="J3051" s="11">
        <f>MAX(0,M3051-N3051)</f>
        <v/>
      </c>
      <c r="K3051" s="11">
        <f>O3051</f>
        <v/>
      </c>
      <c r="L3051" s="11">
        <f>L3050+IF(K3051&gt;0,K3051*Summary!$B$9,K3051/Summary!$B$9)</f>
        <v/>
      </c>
      <c r="M3051" s="11">
        <f>G3051+H3051</f>
        <v/>
      </c>
      <c r="N3051" s="11">
        <f>Summary!$C$16*Summary!$B$8</f>
        <v/>
      </c>
      <c r="O3051" s="11">
        <f>M3051-N3051</f>
        <v/>
      </c>
    </row>
    <row r="3052">
      <c r="A3052" s="9" t="n">
        <v>45419.08333333334</v>
      </c>
      <c r="B3052" t="n">
        <v>5</v>
      </c>
      <c r="C3052" t="n">
        <v>7</v>
      </c>
      <c r="D3052" t="n">
        <v>2</v>
      </c>
      <c r="E3052" s="10" t="n">
        <v>0</v>
      </c>
      <c r="F3052" s="10" t="n">
        <v>0.2427283302547993</v>
      </c>
      <c r="G3052" s="11">
        <f>E3052*Summary!$B$6</f>
        <v/>
      </c>
      <c r="H3052" s="11">
        <f>F3052*Summary!$B$7</f>
        <v/>
      </c>
      <c r="I3052" s="11">
        <f>MAX(0,N3052-M3052)</f>
        <v/>
      </c>
      <c r="J3052" s="11">
        <f>MAX(0,M3052-N3052)</f>
        <v/>
      </c>
      <c r="K3052" s="11">
        <f>O3052</f>
        <v/>
      </c>
      <c r="L3052" s="11">
        <f>L3051+IF(K3052&gt;0,K3052*Summary!$B$9,K3052/Summary!$B$9)</f>
        <v/>
      </c>
      <c r="M3052" s="11">
        <f>G3052+H3052</f>
        <v/>
      </c>
      <c r="N3052" s="11">
        <f>Summary!$C$16*Summary!$B$8</f>
        <v/>
      </c>
      <c r="O3052" s="11">
        <f>M3052-N3052</f>
        <v/>
      </c>
    </row>
    <row r="3053">
      <c r="A3053" s="9" t="n">
        <v>45419.125</v>
      </c>
      <c r="B3053" t="n">
        <v>5</v>
      </c>
      <c r="C3053" t="n">
        <v>7</v>
      </c>
      <c r="D3053" t="n">
        <v>3</v>
      </c>
      <c r="E3053" s="10" t="n">
        <v>0</v>
      </c>
      <c r="F3053" s="10" t="n">
        <v>0.2385120092428822</v>
      </c>
      <c r="G3053" s="11">
        <f>E3053*Summary!$B$6</f>
        <v/>
      </c>
      <c r="H3053" s="11">
        <f>F3053*Summary!$B$7</f>
        <v/>
      </c>
      <c r="I3053" s="11">
        <f>MAX(0,N3053-M3053)</f>
        <v/>
      </c>
      <c r="J3053" s="11">
        <f>MAX(0,M3053-N3053)</f>
        <v/>
      </c>
      <c r="K3053" s="11">
        <f>O3053</f>
        <v/>
      </c>
      <c r="L3053" s="11">
        <f>L3052+IF(K3053&gt;0,K3053*Summary!$B$9,K3053/Summary!$B$9)</f>
        <v/>
      </c>
      <c r="M3053" s="11">
        <f>G3053+H3053</f>
        <v/>
      </c>
      <c r="N3053" s="11">
        <f>Summary!$C$16*Summary!$B$8</f>
        <v/>
      </c>
      <c r="O3053" s="11">
        <f>M3053-N3053</f>
        <v/>
      </c>
    </row>
    <row r="3054">
      <c r="A3054" s="9" t="n">
        <v>45419.16666666666</v>
      </c>
      <c r="B3054" t="n">
        <v>5</v>
      </c>
      <c r="C3054" t="n">
        <v>7</v>
      </c>
      <c r="D3054" t="n">
        <v>4</v>
      </c>
      <c r="E3054" s="10" t="n">
        <v>0.003594</v>
      </c>
      <c r="F3054" s="10" t="n">
        <v>0.2267853664284879</v>
      </c>
      <c r="G3054" s="11">
        <f>E3054*Summary!$B$6</f>
        <v/>
      </c>
      <c r="H3054" s="11">
        <f>F3054*Summary!$B$7</f>
        <v/>
      </c>
      <c r="I3054" s="11">
        <f>MAX(0,N3054-M3054)</f>
        <v/>
      </c>
      <c r="J3054" s="11">
        <f>MAX(0,M3054-N3054)</f>
        <v/>
      </c>
      <c r="K3054" s="11">
        <f>O3054</f>
        <v/>
      </c>
      <c r="L3054" s="11">
        <f>L3053+IF(K3054&gt;0,K3054*Summary!$B$9,K3054/Summary!$B$9)</f>
        <v/>
      </c>
      <c r="M3054" s="11">
        <f>G3054+H3054</f>
        <v/>
      </c>
      <c r="N3054" s="11">
        <f>Summary!$C$16*Summary!$B$8</f>
        <v/>
      </c>
      <c r="O3054" s="11">
        <f>M3054-N3054</f>
        <v/>
      </c>
    </row>
    <row r="3055">
      <c r="A3055" s="9" t="n">
        <v>45419.20833333334</v>
      </c>
      <c r="B3055" t="n">
        <v>5</v>
      </c>
      <c r="C3055" t="n">
        <v>7</v>
      </c>
      <c r="D3055" t="n">
        <v>5</v>
      </c>
      <c r="E3055" s="10" t="n">
        <v>0.010586</v>
      </c>
      <c r="F3055" s="10" t="n">
        <v>0.1989576477498355</v>
      </c>
      <c r="G3055" s="11">
        <f>E3055*Summary!$B$6</f>
        <v/>
      </c>
      <c r="H3055" s="11">
        <f>F3055*Summary!$B$7</f>
        <v/>
      </c>
      <c r="I3055" s="11">
        <f>MAX(0,N3055-M3055)</f>
        <v/>
      </c>
      <c r="J3055" s="11">
        <f>MAX(0,M3055-N3055)</f>
        <v/>
      </c>
      <c r="K3055" s="11">
        <f>O3055</f>
        <v/>
      </c>
      <c r="L3055" s="11">
        <f>L3054+IF(K3055&gt;0,K3055*Summary!$B$9,K3055/Summary!$B$9)</f>
        <v/>
      </c>
      <c r="M3055" s="11">
        <f>G3055+H3055</f>
        <v/>
      </c>
      <c r="N3055" s="11">
        <f>Summary!$C$16*Summary!$B$8</f>
        <v/>
      </c>
      <c r="O3055" s="11">
        <f>M3055-N3055</f>
        <v/>
      </c>
    </row>
    <row r="3056">
      <c r="A3056" s="9" t="n">
        <v>45419.25</v>
      </c>
      <c r="B3056" t="n">
        <v>5</v>
      </c>
      <c r="C3056" t="n">
        <v>7</v>
      </c>
      <c r="D3056" t="n">
        <v>6</v>
      </c>
      <c r="E3056" s="10" t="n">
        <v>0.058834</v>
      </c>
      <c r="F3056" s="10" t="n">
        <v>0.1690217685652245</v>
      </c>
      <c r="G3056" s="11">
        <f>E3056*Summary!$B$6</f>
        <v/>
      </c>
      <c r="H3056" s="11">
        <f>F3056*Summary!$B$7</f>
        <v/>
      </c>
      <c r="I3056" s="11">
        <f>MAX(0,N3056-M3056)</f>
        <v/>
      </c>
      <c r="J3056" s="11">
        <f>MAX(0,M3056-N3056)</f>
        <v/>
      </c>
      <c r="K3056" s="11">
        <f>O3056</f>
        <v/>
      </c>
      <c r="L3056" s="11">
        <f>L3055+IF(K3056&gt;0,K3056*Summary!$B$9,K3056/Summary!$B$9)</f>
        <v/>
      </c>
      <c r="M3056" s="11">
        <f>G3056+H3056</f>
        <v/>
      </c>
      <c r="N3056" s="11">
        <f>Summary!$C$16*Summary!$B$8</f>
        <v/>
      </c>
      <c r="O3056" s="11">
        <f>M3056-N3056</f>
        <v/>
      </c>
    </row>
    <row r="3057">
      <c r="A3057" s="9" t="n">
        <v>45419.29166666666</v>
      </c>
      <c r="B3057" t="n">
        <v>5</v>
      </c>
      <c r="C3057" t="n">
        <v>7</v>
      </c>
      <c r="D3057" t="n">
        <v>7</v>
      </c>
      <c r="E3057" s="10" t="n">
        <v>0.246264</v>
      </c>
      <c r="F3057" s="10" t="n">
        <v>0.1475185314044475</v>
      </c>
      <c r="G3057" s="11">
        <f>E3057*Summary!$B$6</f>
        <v/>
      </c>
      <c r="H3057" s="11">
        <f>F3057*Summary!$B$7</f>
        <v/>
      </c>
      <c r="I3057" s="11">
        <f>MAX(0,N3057-M3057)</f>
        <v/>
      </c>
      <c r="J3057" s="11">
        <f>MAX(0,M3057-N3057)</f>
        <v/>
      </c>
      <c r="K3057" s="11">
        <f>O3057</f>
        <v/>
      </c>
      <c r="L3057" s="11">
        <f>L3056+IF(K3057&gt;0,K3057*Summary!$B$9,K3057/Summary!$B$9)</f>
        <v/>
      </c>
      <c r="M3057" s="11">
        <f>G3057+H3057</f>
        <v/>
      </c>
      <c r="N3057" s="11">
        <f>Summary!$C$16*Summary!$B$8</f>
        <v/>
      </c>
      <c r="O3057" s="11">
        <f>M3057-N3057</f>
        <v/>
      </c>
    </row>
    <row r="3058">
      <c r="A3058" s="9" t="n">
        <v>45419.33333333334</v>
      </c>
      <c r="B3058" t="n">
        <v>5</v>
      </c>
      <c r="C3058" t="n">
        <v>7</v>
      </c>
      <c r="D3058" t="n">
        <v>8</v>
      </c>
      <c r="E3058" s="10" t="n">
        <v>0.410184</v>
      </c>
      <c r="F3058" s="10" t="n">
        <v>0.1395865775007786</v>
      </c>
      <c r="G3058" s="11">
        <f>E3058*Summary!$B$6</f>
        <v/>
      </c>
      <c r="H3058" s="11">
        <f>F3058*Summary!$B$7</f>
        <v/>
      </c>
      <c r="I3058" s="11">
        <f>MAX(0,N3058-M3058)</f>
        <v/>
      </c>
      <c r="J3058" s="11">
        <f>MAX(0,M3058-N3058)</f>
        <v/>
      </c>
      <c r="K3058" s="11">
        <f>O3058</f>
        <v/>
      </c>
      <c r="L3058" s="11">
        <f>L3057+IF(K3058&gt;0,K3058*Summary!$B$9,K3058/Summary!$B$9)</f>
        <v/>
      </c>
      <c r="M3058" s="11">
        <f>G3058+H3058</f>
        <v/>
      </c>
      <c r="N3058" s="11">
        <f>Summary!$C$16*Summary!$B$8</f>
        <v/>
      </c>
      <c r="O3058" s="11">
        <f>M3058-N3058</f>
        <v/>
      </c>
    </row>
    <row r="3059">
      <c r="A3059" s="9" t="n">
        <v>45419.375</v>
      </c>
      <c r="B3059" t="n">
        <v>5</v>
      </c>
      <c r="C3059" t="n">
        <v>7</v>
      </c>
      <c r="D3059" t="n">
        <v>9</v>
      </c>
      <c r="E3059" s="10" t="n">
        <v>0.606657</v>
      </c>
      <c r="F3059" s="10" t="n">
        <v>0.134737808337074</v>
      </c>
      <c r="G3059" s="11">
        <f>E3059*Summary!$B$6</f>
        <v/>
      </c>
      <c r="H3059" s="11">
        <f>F3059*Summary!$B$7</f>
        <v/>
      </c>
      <c r="I3059" s="11">
        <f>MAX(0,N3059-M3059)</f>
        <v/>
      </c>
      <c r="J3059" s="11">
        <f>MAX(0,M3059-N3059)</f>
        <v/>
      </c>
      <c r="K3059" s="11">
        <f>O3059</f>
        <v/>
      </c>
      <c r="L3059" s="11">
        <f>L3058+IF(K3059&gt;0,K3059*Summary!$B$9,K3059/Summary!$B$9)</f>
        <v/>
      </c>
      <c r="M3059" s="11">
        <f>G3059+H3059</f>
        <v/>
      </c>
      <c r="N3059" s="11">
        <f>Summary!$C$16*Summary!$B$8</f>
        <v/>
      </c>
      <c r="O3059" s="11">
        <f>M3059-N3059</f>
        <v/>
      </c>
    </row>
    <row r="3060">
      <c r="A3060" s="9" t="n">
        <v>45419.41666666666</v>
      </c>
      <c r="B3060" t="n">
        <v>5</v>
      </c>
      <c r="C3060" t="n">
        <v>7</v>
      </c>
      <c r="D3060" t="n">
        <v>10</v>
      </c>
      <c r="E3060" s="10" t="n">
        <v>0.435405</v>
      </c>
      <c r="F3060" s="10" t="n">
        <v>0.1315492155718117</v>
      </c>
      <c r="G3060" s="11">
        <f>E3060*Summary!$B$6</f>
        <v/>
      </c>
      <c r="H3060" s="11">
        <f>F3060*Summary!$B$7</f>
        <v/>
      </c>
      <c r="I3060" s="11">
        <f>MAX(0,N3060-M3060)</f>
        <v/>
      </c>
      <c r="J3060" s="11">
        <f>MAX(0,M3060-N3060)</f>
        <v/>
      </c>
      <c r="K3060" s="11">
        <f>O3060</f>
        <v/>
      </c>
      <c r="L3060" s="11">
        <f>L3059+IF(K3060&gt;0,K3060*Summary!$B$9,K3060/Summary!$B$9)</f>
        <v/>
      </c>
      <c r="M3060" s="11">
        <f>G3060+H3060</f>
        <v/>
      </c>
      <c r="N3060" s="11">
        <f>Summary!$C$16*Summary!$B$8</f>
        <v/>
      </c>
      <c r="O3060" s="11">
        <f>M3060-N3060</f>
        <v/>
      </c>
    </row>
    <row r="3061">
      <c r="A3061" s="9" t="n">
        <v>45419.45833333334</v>
      </c>
      <c r="B3061" t="n">
        <v>5</v>
      </c>
      <c r="C3061" t="n">
        <v>7</v>
      </c>
      <c r="D3061" t="n">
        <v>11</v>
      </c>
      <c r="E3061" s="10" t="n">
        <v>0.373027</v>
      </c>
      <c r="F3061" s="10" t="n">
        <v>0.1349486243876699</v>
      </c>
      <c r="G3061" s="11">
        <f>E3061*Summary!$B$6</f>
        <v/>
      </c>
      <c r="H3061" s="11">
        <f>F3061*Summary!$B$7</f>
        <v/>
      </c>
      <c r="I3061" s="11">
        <f>MAX(0,N3061-M3061)</f>
        <v/>
      </c>
      <c r="J3061" s="11">
        <f>MAX(0,M3061-N3061)</f>
        <v/>
      </c>
      <c r="K3061" s="11">
        <f>O3061</f>
        <v/>
      </c>
      <c r="L3061" s="11">
        <f>L3060+IF(K3061&gt;0,K3061*Summary!$B$9,K3061/Summary!$B$9)</f>
        <v/>
      </c>
      <c r="M3061" s="11">
        <f>G3061+H3061</f>
        <v/>
      </c>
      <c r="N3061" s="11">
        <f>Summary!$C$16*Summary!$B$8</f>
        <v/>
      </c>
      <c r="O3061" s="11">
        <f>M3061-N3061</f>
        <v/>
      </c>
    </row>
    <row r="3062">
      <c r="A3062" s="9" t="n">
        <v>45419.5</v>
      </c>
      <c r="B3062" t="n">
        <v>5</v>
      </c>
      <c r="C3062" t="n">
        <v>7</v>
      </c>
      <c r="D3062" t="n">
        <v>12</v>
      </c>
      <c r="E3062" s="10" t="n">
        <v>0.460161</v>
      </c>
      <c r="F3062" s="10" t="n">
        <v>0.1417737940257106</v>
      </c>
      <c r="G3062" s="11">
        <f>E3062*Summary!$B$6</f>
        <v/>
      </c>
      <c r="H3062" s="11">
        <f>F3062*Summary!$B$7</f>
        <v/>
      </c>
      <c r="I3062" s="11">
        <f>MAX(0,N3062-M3062)</f>
        <v/>
      </c>
      <c r="J3062" s="11">
        <f>MAX(0,M3062-N3062)</f>
        <v/>
      </c>
      <c r="K3062" s="11">
        <f>O3062</f>
        <v/>
      </c>
      <c r="L3062" s="11">
        <f>L3061+IF(K3062&gt;0,K3062*Summary!$B$9,K3062/Summary!$B$9)</f>
        <v/>
      </c>
      <c r="M3062" s="11">
        <f>G3062+H3062</f>
        <v/>
      </c>
      <c r="N3062" s="11">
        <f>Summary!$C$16*Summary!$B$8</f>
        <v/>
      </c>
      <c r="O3062" s="11">
        <f>M3062-N3062</f>
        <v/>
      </c>
    </row>
    <row r="3063">
      <c r="A3063" s="9" t="n">
        <v>45419.54166666666</v>
      </c>
      <c r="B3063" t="n">
        <v>5</v>
      </c>
      <c r="C3063" t="n">
        <v>7</v>
      </c>
      <c r="D3063" t="n">
        <v>13</v>
      </c>
      <c r="E3063" s="10" t="n">
        <v>0.358421</v>
      </c>
      <c r="F3063" s="10" t="n">
        <v>0.1492841158281878</v>
      </c>
      <c r="G3063" s="11">
        <f>E3063*Summary!$B$6</f>
        <v/>
      </c>
      <c r="H3063" s="11">
        <f>F3063*Summary!$B$7</f>
        <v/>
      </c>
      <c r="I3063" s="11">
        <f>MAX(0,N3063-M3063)</f>
        <v/>
      </c>
      <c r="J3063" s="11">
        <f>MAX(0,M3063-N3063)</f>
        <v/>
      </c>
      <c r="K3063" s="11">
        <f>O3063</f>
        <v/>
      </c>
      <c r="L3063" s="11">
        <f>L3062+IF(K3063&gt;0,K3063*Summary!$B$9,K3063/Summary!$B$9)</f>
        <v/>
      </c>
      <c r="M3063" s="11">
        <f>G3063+H3063</f>
        <v/>
      </c>
      <c r="N3063" s="11">
        <f>Summary!$C$16*Summary!$B$8</f>
        <v/>
      </c>
      <c r="O3063" s="11">
        <f>M3063-N3063</f>
        <v/>
      </c>
    </row>
    <row r="3064">
      <c r="A3064" s="9" t="n">
        <v>45419.58333333334</v>
      </c>
      <c r="B3064" t="n">
        <v>5</v>
      </c>
      <c r="C3064" t="n">
        <v>7</v>
      </c>
      <c r="D3064" t="n">
        <v>14</v>
      </c>
      <c r="E3064" s="10" t="n">
        <v>0.329303</v>
      </c>
      <c r="F3064" s="10" t="n">
        <v>0.1526835246440459</v>
      </c>
      <c r="G3064" s="11">
        <f>E3064*Summary!$B$6</f>
        <v/>
      </c>
      <c r="H3064" s="11">
        <f>F3064*Summary!$B$7</f>
        <v/>
      </c>
      <c r="I3064" s="11">
        <f>MAX(0,N3064-M3064)</f>
        <v/>
      </c>
      <c r="J3064" s="11">
        <f>MAX(0,M3064-N3064)</f>
        <v/>
      </c>
      <c r="K3064" s="11">
        <f>O3064</f>
        <v/>
      </c>
      <c r="L3064" s="11">
        <f>L3063+IF(K3064&gt;0,K3064*Summary!$B$9,K3064/Summary!$B$9)</f>
        <v/>
      </c>
      <c r="M3064" s="11">
        <f>G3064+H3064</f>
        <v/>
      </c>
      <c r="N3064" s="11">
        <f>Summary!$C$16*Summary!$B$8</f>
        <v/>
      </c>
      <c r="O3064" s="11">
        <f>M3064-N3064</f>
        <v/>
      </c>
    </row>
    <row r="3065">
      <c r="A3065" s="9" t="n">
        <v>45419.625</v>
      </c>
      <c r="B3065" t="n">
        <v>5</v>
      </c>
      <c r="C3065" t="n">
        <v>7</v>
      </c>
      <c r="D3065" t="n">
        <v>15</v>
      </c>
      <c r="E3065" s="10" t="n">
        <v>0.305544</v>
      </c>
      <c r="F3065" s="10" t="n">
        <v>0.1511287562709015</v>
      </c>
      <c r="G3065" s="11">
        <f>E3065*Summary!$B$6</f>
        <v/>
      </c>
      <c r="H3065" s="11">
        <f>F3065*Summary!$B$7</f>
        <v/>
      </c>
      <c r="I3065" s="11">
        <f>MAX(0,N3065-M3065)</f>
        <v/>
      </c>
      <c r="J3065" s="11">
        <f>MAX(0,M3065-N3065)</f>
        <v/>
      </c>
      <c r="K3065" s="11">
        <f>O3065</f>
        <v/>
      </c>
      <c r="L3065" s="11">
        <f>L3064+IF(K3065&gt;0,K3065*Summary!$B$9,K3065/Summary!$B$9)</f>
        <v/>
      </c>
      <c r="M3065" s="11">
        <f>G3065+H3065</f>
        <v/>
      </c>
      <c r="N3065" s="11">
        <f>Summary!$C$16*Summary!$B$8</f>
        <v/>
      </c>
      <c r="O3065" s="11">
        <f>M3065-N3065</f>
        <v/>
      </c>
    </row>
    <row r="3066">
      <c r="A3066" s="9" t="n">
        <v>45419.66666666666</v>
      </c>
      <c r="B3066" t="n">
        <v>5</v>
      </c>
      <c r="C3066" t="n">
        <v>7</v>
      </c>
      <c r="D3066" t="n">
        <v>16</v>
      </c>
      <c r="E3066" s="10" t="n">
        <v>0.157598</v>
      </c>
      <c r="F3066" s="10" t="n">
        <v>0.1492050598092143</v>
      </c>
      <c r="G3066" s="11">
        <f>E3066*Summary!$B$6</f>
        <v/>
      </c>
      <c r="H3066" s="11">
        <f>F3066*Summary!$B$7</f>
        <v/>
      </c>
      <c r="I3066" s="11">
        <f>MAX(0,N3066-M3066)</f>
        <v/>
      </c>
      <c r="J3066" s="11">
        <f>MAX(0,M3066-N3066)</f>
        <v/>
      </c>
      <c r="K3066" s="11">
        <f>O3066</f>
        <v/>
      </c>
      <c r="L3066" s="11">
        <f>L3065+IF(K3066&gt;0,K3066*Summary!$B$9,K3066/Summary!$B$9)</f>
        <v/>
      </c>
      <c r="M3066" s="11">
        <f>G3066+H3066</f>
        <v/>
      </c>
      <c r="N3066" s="11">
        <f>Summary!$C$16*Summary!$B$8</f>
        <v/>
      </c>
      <c r="O3066" s="11">
        <f>M3066-N3066</f>
        <v/>
      </c>
    </row>
    <row r="3067">
      <c r="A3067" s="9" t="n">
        <v>45419.70833333334</v>
      </c>
      <c r="B3067" t="n">
        <v>5</v>
      </c>
      <c r="C3067" t="n">
        <v>7</v>
      </c>
      <c r="D3067" t="n">
        <v>17</v>
      </c>
      <c r="E3067" s="10" t="n">
        <v>0.085922</v>
      </c>
      <c r="F3067" s="10" t="n">
        <v>0.1454894269174625</v>
      </c>
      <c r="G3067" s="11">
        <f>E3067*Summary!$B$6</f>
        <v/>
      </c>
      <c r="H3067" s="11">
        <f>F3067*Summary!$B$7</f>
        <v/>
      </c>
      <c r="I3067" s="11">
        <f>MAX(0,N3067-M3067)</f>
        <v/>
      </c>
      <c r="J3067" s="11">
        <f>MAX(0,M3067-N3067)</f>
        <v/>
      </c>
      <c r="K3067" s="11">
        <f>O3067</f>
        <v/>
      </c>
      <c r="L3067" s="11">
        <f>L3066+IF(K3067&gt;0,K3067*Summary!$B$9,K3067/Summary!$B$9)</f>
        <v/>
      </c>
      <c r="M3067" s="11">
        <f>G3067+H3067</f>
        <v/>
      </c>
      <c r="N3067" s="11">
        <f>Summary!$C$16*Summary!$B$8</f>
        <v/>
      </c>
      <c r="O3067" s="11">
        <f>M3067-N3067</f>
        <v/>
      </c>
    </row>
    <row r="3068">
      <c r="A3068" s="9" t="n">
        <v>45419.75</v>
      </c>
      <c r="B3068" t="n">
        <v>5</v>
      </c>
      <c r="C3068" t="n">
        <v>7</v>
      </c>
      <c r="D3068" t="n">
        <v>18</v>
      </c>
      <c r="E3068" s="10" t="n">
        <v>0.043589</v>
      </c>
      <c r="F3068" s="10" t="n">
        <v>0.1470178432842824</v>
      </c>
      <c r="G3068" s="11">
        <f>E3068*Summary!$B$6</f>
        <v/>
      </c>
      <c r="H3068" s="11">
        <f>F3068*Summary!$B$7</f>
        <v/>
      </c>
      <c r="I3068" s="11">
        <f>MAX(0,N3068-M3068)</f>
        <v/>
      </c>
      <c r="J3068" s="11">
        <f>MAX(0,M3068-N3068)</f>
        <v/>
      </c>
      <c r="K3068" s="11">
        <f>O3068</f>
        <v/>
      </c>
      <c r="L3068" s="11">
        <f>L3067+IF(K3068&gt;0,K3068*Summary!$B$9,K3068/Summary!$B$9)</f>
        <v/>
      </c>
      <c r="M3068" s="11">
        <f>G3068+H3068</f>
        <v/>
      </c>
      <c r="N3068" s="11">
        <f>Summary!$C$16*Summary!$B$8</f>
        <v/>
      </c>
      <c r="O3068" s="11">
        <f>M3068-N3068</f>
        <v/>
      </c>
    </row>
    <row r="3069">
      <c r="A3069" s="9" t="n">
        <v>45419.79166666666</v>
      </c>
      <c r="B3069" t="n">
        <v>5</v>
      </c>
      <c r="C3069" t="n">
        <v>7</v>
      </c>
      <c r="D3069" t="n">
        <v>19</v>
      </c>
      <c r="E3069" s="10" t="n">
        <v>0.01058</v>
      </c>
      <c r="F3069" s="10" t="n">
        <v>0.1566890296053671</v>
      </c>
      <c r="G3069" s="11">
        <f>E3069*Summary!$B$6</f>
        <v/>
      </c>
      <c r="H3069" s="11">
        <f>F3069*Summary!$B$7</f>
        <v/>
      </c>
      <c r="I3069" s="11">
        <f>MAX(0,N3069-M3069)</f>
        <v/>
      </c>
      <c r="J3069" s="11">
        <f>MAX(0,M3069-N3069)</f>
        <v/>
      </c>
      <c r="K3069" s="11">
        <f>O3069</f>
        <v/>
      </c>
      <c r="L3069" s="11">
        <f>L3068+IF(K3069&gt;0,K3069*Summary!$B$9,K3069/Summary!$B$9)</f>
        <v/>
      </c>
      <c r="M3069" s="11">
        <f>G3069+H3069</f>
        <v/>
      </c>
      <c r="N3069" s="11">
        <f>Summary!$C$16*Summary!$B$8</f>
        <v/>
      </c>
      <c r="O3069" s="11">
        <f>M3069-N3069</f>
        <v/>
      </c>
    </row>
    <row r="3070">
      <c r="A3070" s="9" t="n">
        <v>45419.83333333334</v>
      </c>
      <c r="B3070" t="n">
        <v>5</v>
      </c>
      <c r="C3070" t="n">
        <v>7</v>
      </c>
      <c r="D3070" t="n">
        <v>20</v>
      </c>
      <c r="E3070" s="10" t="n">
        <v>0</v>
      </c>
      <c r="F3070" s="10" t="n">
        <v>0.1800369072088577</v>
      </c>
      <c r="G3070" s="11">
        <f>E3070*Summary!$B$6</f>
        <v/>
      </c>
      <c r="H3070" s="11">
        <f>F3070*Summary!$B$7</f>
        <v/>
      </c>
      <c r="I3070" s="11">
        <f>MAX(0,N3070-M3070)</f>
        <v/>
      </c>
      <c r="J3070" s="11">
        <f>MAX(0,M3070-N3070)</f>
        <v/>
      </c>
      <c r="K3070" s="11">
        <f>O3070</f>
        <v/>
      </c>
      <c r="L3070" s="11">
        <f>L3069+IF(K3070&gt;0,K3070*Summary!$B$9,K3070/Summary!$B$9)</f>
        <v/>
      </c>
      <c r="M3070" s="11">
        <f>G3070+H3070</f>
        <v/>
      </c>
      <c r="N3070" s="11">
        <f>Summary!$C$16*Summary!$B$8</f>
        <v/>
      </c>
      <c r="O3070" s="11">
        <f>M3070-N3070</f>
        <v/>
      </c>
    </row>
    <row r="3071">
      <c r="A3071" s="9" t="n">
        <v>45419.875</v>
      </c>
      <c r="B3071" t="n">
        <v>5</v>
      </c>
      <c r="C3071" t="n">
        <v>7</v>
      </c>
      <c r="D3071" t="n">
        <v>21</v>
      </c>
      <c r="E3071" s="10" t="n">
        <v>0</v>
      </c>
      <c r="F3071" s="10" t="n">
        <v>0.2003806560913574</v>
      </c>
      <c r="G3071" s="11">
        <f>E3071*Summary!$B$6</f>
        <v/>
      </c>
      <c r="H3071" s="11">
        <f>F3071*Summary!$B$7</f>
        <v/>
      </c>
      <c r="I3071" s="11">
        <f>MAX(0,N3071-M3071)</f>
        <v/>
      </c>
      <c r="J3071" s="11">
        <f>MAX(0,M3071-N3071)</f>
        <v/>
      </c>
      <c r="K3071" s="11">
        <f>O3071</f>
        <v/>
      </c>
      <c r="L3071" s="11">
        <f>L3070+IF(K3071&gt;0,K3071*Summary!$B$9,K3071/Summary!$B$9)</f>
        <v/>
      </c>
      <c r="M3071" s="11">
        <f>G3071+H3071</f>
        <v/>
      </c>
      <c r="N3071" s="11">
        <f>Summary!$C$16*Summary!$B$8</f>
        <v/>
      </c>
      <c r="O3071" s="11">
        <f>M3071-N3071</f>
        <v/>
      </c>
    </row>
    <row r="3072">
      <c r="A3072" s="9" t="n">
        <v>45419.91666666666</v>
      </c>
      <c r="B3072" t="n">
        <v>5</v>
      </c>
      <c r="C3072" t="n">
        <v>7</v>
      </c>
      <c r="D3072" t="n">
        <v>22</v>
      </c>
      <c r="E3072" s="10" t="n">
        <v>0</v>
      </c>
      <c r="F3072" s="10" t="n">
        <v>0.220987925037102</v>
      </c>
      <c r="G3072" s="11">
        <f>E3072*Summary!$B$6</f>
        <v/>
      </c>
      <c r="H3072" s="11">
        <f>F3072*Summary!$B$7</f>
        <v/>
      </c>
      <c r="I3072" s="11">
        <f>MAX(0,N3072-M3072)</f>
        <v/>
      </c>
      <c r="J3072" s="11">
        <f>MAX(0,M3072-N3072)</f>
        <v/>
      </c>
      <c r="K3072" s="11">
        <f>O3072</f>
        <v/>
      </c>
      <c r="L3072" s="11">
        <f>L3071+IF(K3072&gt;0,K3072*Summary!$B$9,K3072/Summary!$B$9)</f>
        <v/>
      </c>
      <c r="M3072" s="11">
        <f>G3072+H3072</f>
        <v/>
      </c>
      <c r="N3072" s="11">
        <f>Summary!$C$16*Summary!$B$8</f>
        <v/>
      </c>
      <c r="O3072" s="11">
        <f>M3072-N3072</f>
        <v/>
      </c>
    </row>
    <row r="3073">
      <c r="A3073" s="9" t="n">
        <v>45419.95833333334</v>
      </c>
      <c r="B3073" t="n">
        <v>5</v>
      </c>
      <c r="C3073" t="n">
        <v>7</v>
      </c>
      <c r="D3073" t="n">
        <v>23</v>
      </c>
      <c r="E3073" s="10" t="n">
        <v>0</v>
      </c>
      <c r="F3073" s="10" t="n">
        <v>0.2351126004270241</v>
      </c>
      <c r="G3073" s="11">
        <f>E3073*Summary!$B$6</f>
        <v/>
      </c>
      <c r="H3073" s="11">
        <f>F3073*Summary!$B$7</f>
        <v/>
      </c>
      <c r="I3073" s="11">
        <f>MAX(0,N3073-M3073)</f>
        <v/>
      </c>
      <c r="J3073" s="11">
        <f>MAX(0,M3073-N3073)</f>
        <v/>
      </c>
      <c r="K3073" s="11">
        <f>O3073</f>
        <v/>
      </c>
      <c r="L3073" s="11">
        <f>L3072+IF(K3073&gt;0,K3073*Summary!$B$9,K3073/Summary!$B$9)</f>
        <v/>
      </c>
      <c r="M3073" s="11">
        <f>G3073+H3073</f>
        <v/>
      </c>
      <c r="N3073" s="11">
        <f>Summary!$C$16*Summary!$B$8</f>
        <v/>
      </c>
      <c r="O3073" s="11">
        <f>M3073-N3073</f>
        <v/>
      </c>
    </row>
    <row r="3074">
      <c r="A3074" s="9" t="n">
        <v>45420</v>
      </c>
      <c r="B3074" t="n">
        <v>5</v>
      </c>
      <c r="C3074" t="n">
        <v>8</v>
      </c>
      <c r="D3074" t="n">
        <v>0</v>
      </c>
      <c r="E3074" s="10" t="n">
        <v>0</v>
      </c>
      <c r="F3074" s="10" t="n">
        <v>0.2210669810560754</v>
      </c>
      <c r="G3074" s="11">
        <f>E3074*Summary!$B$6</f>
        <v/>
      </c>
      <c r="H3074" s="11">
        <f>F3074*Summary!$B$7</f>
        <v/>
      </c>
      <c r="I3074" s="11">
        <f>MAX(0,N3074-M3074)</f>
        <v/>
      </c>
      <c r="J3074" s="11">
        <f>MAX(0,M3074-N3074)</f>
        <v/>
      </c>
      <c r="K3074" s="11">
        <f>O3074</f>
        <v/>
      </c>
      <c r="L3074" s="11">
        <f>L3073+IF(K3074&gt;0,K3074*Summary!$B$9,K3074/Summary!$B$9)</f>
        <v/>
      </c>
      <c r="M3074" s="11">
        <f>G3074+H3074</f>
        <v/>
      </c>
      <c r="N3074" s="11">
        <f>Summary!$C$16*Summary!$B$8</f>
        <v/>
      </c>
      <c r="O3074" s="11">
        <f>M3074-N3074</f>
        <v/>
      </c>
    </row>
    <row r="3075">
      <c r="A3075" s="9" t="n">
        <v>45420.04166666666</v>
      </c>
      <c r="B3075" t="n">
        <v>5</v>
      </c>
      <c r="C3075" t="n">
        <v>8</v>
      </c>
      <c r="D3075" t="n">
        <v>1</v>
      </c>
      <c r="E3075" s="10" t="n">
        <v>0</v>
      </c>
      <c r="F3075" s="10" t="n">
        <v>0.2469446512667163</v>
      </c>
      <c r="G3075" s="11">
        <f>E3075*Summary!$B$6</f>
        <v/>
      </c>
      <c r="H3075" s="11">
        <f>F3075*Summary!$B$7</f>
        <v/>
      </c>
      <c r="I3075" s="11">
        <f>MAX(0,N3075-M3075)</f>
        <v/>
      </c>
      <c r="J3075" s="11">
        <f>MAX(0,M3075-N3075)</f>
        <v/>
      </c>
      <c r="K3075" s="11">
        <f>O3075</f>
        <v/>
      </c>
      <c r="L3075" s="11">
        <f>L3074+IF(K3075&gt;0,K3075*Summary!$B$9,K3075/Summary!$B$9)</f>
        <v/>
      </c>
      <c r="M3075" s="11">
        <f>G3075+H3075</f>
        <v/>
      </c>
      <c r="N3075" s="11">
        <f>Summary!$C$16*Summary!$B$8</f>
        <v/>
      </c>
      <c r="O3075" s="11">
        <f>M3075-N3075</f>
        <v/>
      </c>
    </row>
    <row r="3076">
      <c r="A3076" s="9" t="n">
        <v>45420.08333333334</v>
      </c>
      <c r="B3076" t="n">
        <v>5</v>
      </c>
      <c r="C3076" t="n">
        <v>8</v>
      </c>
      <c r="D3076" t="n">
        <v>2</v>
      </c>
      <c r="E3076" s="10" t="n">
        <v>0</v>
      </c>
      <c r="F3076" s="10" t="n">
        <v>0.2503177080762499</v>
      </c>
      <c r="G3076" s="11">
        <f>E3076*Summary!$B$6</f>
        <v/>
      </c>
      <c r="H3076" s="11">
        <f>F3076*Summary!$B$7</f>
        <v/>
      </c>
      <c r="I3076" s="11">
        <f>MAX(0,N3076-M3076)</f>
        <v/>
      </c>
      <c r="J3076" s="11">
        <f>MAX(0,M3076-N3076)</f>
        <v/>
      </c>
      <c r="K3076" s="11">
        <f>O3076</f>
        <v/>
      </c>
      <c r="L3076" s="11">
        <f>L3075+IF(K3076&gt;0,K3076*Summary!$B$9,K3076/Summary!$B$9)</f>
        <v/>
      </c>
      <c r="M3076" s="11">
        <f>G3076+H3076</f>
        <v/>
      </c>
      <c r="N3076" s="11">
        <f>Summary!$C$16*Summary!$B$8</f>
        <v/>
      </c>
      <c r="O3076" s="11">
        <f>M3076-N3076</f>
        <v/>
      </c>
    </row>
    <row r="3077">
      <c r="A3077" s="9" t="n">
        <v>45420.125</v>
      </c>
      <c r="B3077" t="n">
        <v>5</v>
      </c>
      <c r="C3077" t="n">
        <v>8</v>
      </c>
      <c r="D3077" t="n">
        <v>3</v>
      </c>
      <c r="E3077" s="10" t="n">
        <v>0</v>
      </c>
      <c r="F3077" s="10" t="n">
        <v>0.2505812281394947</v>
      </c>
      <c r="G3077" s="11">
        <f>E3077*Summary!$B$6</f>
        <v/>
      </c>
      <c r="H3077" s="11">
        <f>F3077*Summary!$B$7</f>
        <v/>
      </c>
      <c r="I3077" s="11">
        <f>MAX(0,N3077-M3077)</f>
        <v/>
      </c>
      <c r="J3077" s="11">
        <f>MAX(0,M3077-N3077)</f>
        <v/>
      </c>
      <c r="K3077" s="11">
        <f>O3077</f>
        <v/>
      </c>
      <c r="L3077" s="11">
        <f>L3076+IF(K3077&gt;0,K3077*Summary!$B$9,K3077/Summary!$B$9)</f>
        <v/>
      </c>
      <c r="M3077" s="11">
        <f>G3077+H3077</f>
        <v/>
      </c>
      <c r="N3077" s="11">
        <f>Summary!$C$16*Summary!$B$8</f>
        <v/>
      </c>
      <c r="O3077" s="11">
        <f>M3077-N3077</f>
        <v/>
      </c>
    </row>
    <row r="3078">
      <c r="A3078" s="9" t="n">
        <v>45420.16666666666</v>
      </c>
      <c r="B3078" t="n">
        <v>5</v>
      </c>
      <c r="C3078" t="n">
        <v>8</v>
      </c>
      <c r="D3078" t="n">
        <v>4</v>
      </c>
      <c r="E3078" s="10" t="n">
        <v>0.009797999999999999</v>
      </c>
      <c r="F3078" s="10" t="n">
        <v>0.2429654983117196</v>
      </c>
      <c r="G3078" s="11">
        <f>E3078*Summary!$B$6</f>
        <v/>
      </c>
      <c r="H3078" s="11">
        <f>F3078*Summary!$B$7</f>
        <v/>
      </c>
      <c r="I3078" s="11">
        <f>MAX(0,N3078-M3078)</f>
        <v/>
      </c>
      <c r="J3078" s="11">
        <f>MAX(0,M3078-N3078)</f>
        <v/>
      </c>
      <c r="K3078" s="11">
        <f>O3078</f>
        <v/>
      </c>
      <c r="L3078" s="11">
        <f>L3077+IF(K3078&gt;0,K3078*Summary!$B$9,K3078/Summary!$B$9)</f>
        <v/>
      </c>
      <c r="M3078" s="11">
        <f>G3078+H3078</f>
        <v/>
      </c>
      <c r="N3078" s="11">
        <f>Summary!$C$16*Summary!$B$8</f>
        <v/>
      </c>
      <c r="O3078" s="11">
        <f>M3078-N3078</f>
        <v/>
      </c>
    </row>
    <row r="3079">
      <c r="A3079" s="9" t="n">
        <v>45420.20833333334</v>
      </c>
      <c r="B3079" t="n">
        <v>5</v>
      </c>
      <c r="C3079" t="n">
        <v>8</v>
      </c>
      <c r="D3079" t="n">
        <v>5</v>
      </c>
      <c r="E3079" s="10" t="n">
        <v>0.043111</v>
      </c>
      <c r="F3079" s="10" t="n">
        <v>0.2268117184348124</v>
      </c>
      <c r="G3079" s="11">
        <f>E3079*Summary!$B$6</f>
        <v/>
      </c>
      <c r="H3079" s="11">
        <f>F3079*Summary!$B$7</f>
        <v/>
      </c>
      <c r="I3079" s="11">
        <f>MAX(0,N3079-M3079)</f>
        <v/>
      </c>
      <c r="J3079" s="11">
        <f>MAX(0,M3079-N3079)</f>
        <v/>
      </c>
      <c r="K3079" s="11">
        <f>O3079</f>
        <v/>
      </c>
      <c r="L3079" s="11">
        <f>L3078+IF(K3079&gt;0,K3079*Summary!$B$9,K3079/Summary!$B$9)</f>
        <v/>
      </c>
      <c r="M3079" s="11">
        <f>G3079+H3079</f>
        <v/>
      </c>
      <c r="N3079" s="11">
        <f>Summary!$C$16*Summary!$B$8</f>
        <v/>
      </c>
      <c r="O3079" s="11">
        <f>M3079-N3079</f>
        <v/>
      </c>
    </row>
    <row r="3080">
      <c r="A3080" s="9" t="n">
        <v>45420.25</v>
      </c>
      <c r="B3080" t="n">
        <v>5</v>
      </c>
      <c r="C3080" t="n">
        <v>8</v>
      </c>
      <c r="D3080" t="n">
        <v>6</v>
      </c>
      <c r="E3080" s="10" t="n">
        <v>0.178886</v>
      </c>
      <c r="F3080" s="10" t="n">
        <v>0.2123181149563476</v>
      </c>
      <c r="G3080" s="11">
        <f>E3080*Summary!$B$6</f>
        <v/>
      </c>
      <c r="H3080" s="11">
        <f>F3080*Summary!$B$7</f>
        <v/>
      </c>
      <c r="I3080" s="11">
        <f>MAX(0,N3080-M3080)</f>
        <v/>
      </c>
      <c r="J3080" s="11">
        <f>MAX(0,M3080-N3080)</f>
        <v/>
      </c>
      <c r="K3080" s="11">
        <f>O3080</f>
        <v/>
      </c>
      <c r="L3080" s="11">
        <f>L3079+IF(K3080&gt;0,K3080*Summary!$B$9,K3080/Summary!$B$9)</f>
        <v/>
      </c>
      <c r="M3080" s="11">
        <f>G3080+H3080</f>
        <v/>
      </c>
      <c r="N3080" s="11">
        <f>Summary!$C$16*Summary!$B$8</f>
        <v/>
      </c>
      <c r="O3080" s="11">
        <f>M3080-N3080</f>
        <v/>
      </c>
    </row>
    <row r="3081">
      <c r="A3081" s="9" t="n">
        <v>45420.29166666666</v>
      </c>
      <c r="B3081" t="n">
        <v>5</v>
      </c>
      <c r="C3081" t="n">
        <v>8</v>
      </c>
      <c r="D3081" t="n">
        <v>7</v>
      </c>
      <c r="E3081" s="10" t="n">
        <v>0.402273</v>
      </c>
      <c r="F3081" s="10" t="n">
        <v>0.1961379830731159</v>
      </c>
      <c r="G3081" s="11">
        <f>E3081*Summary!$B$6</f>
        <v/>
      </c>
      <c r="H3081" s="11">
        <f>F3081*Summary!$B$7</f>
        <v/>
      </c>
      <c r="I3081" s="11">
        <f>MAX(0,N3081-M3081)</f>
        <v/>
      </c>
      <c r="J3081" s="11">
        <f>MAX(0,M3081-N3081)</f>
        <v/>
      </c>
      <c r="K3081" s="11">
        <f>O3081</f>
        <v/>
      </c>
      <c r="L3081" s="11">
        <f>L3080+IF(K3081&gt;0,K3081*Summary!$B$9,K3081/Summary!$B$9)</f>
        <v/>
      </c>
      <c r="M3081" s="11">
        <f>G3081+H3081</f>
        <v/>
      </c>
      <c r="N3081" s="11">
        <f>Summary!$C$16*Summary!$B$8</f>
        <v/>
      </c>
      <c r="O3081" s="11">
        <f>M3081-N3081</f>
        <v/>
      </c>
    </row>
    <row r="3082">
      <c r="A3082" s="9" t="n">
        <v>45420.33333333334</v>
      </c>
      <c r="B3082" t="n">
        <v>5</v>
      </c>
      <c r="C3082" t="n">
        <v>8</v>
      </c>
      <c r="D3082" t="n">
        <v>8</v>
      </c>
      <c r="E3082" s="10" t="n">
        <v>0.48124</v>
      </c>
      <c r="F3082" s="10" t="n">
        <v>0.1926331662319599</v>
      </c>
      <c r="G3082" s="11">
        <f>E3082*Summary!$B$6</f>
        <v/>
      </c>
      <c r="H3082" s="11">
        <f>F3082*Summary!$B$7</f>
        <v/>
      </c>
      <c r="I3082" s="11">
        <f>MAX(0,N3082-M3082)</f>
        <v/>
      </c>
      <c r="J3082" s="11">
        <f>MAX(0,M3082-N3082)</f>
        <v/>
      </c>
      <c r="K3082" s="11">
        <f>O3082</f>
        <v/>
      </c>
      <c r="L3082" s="11">
        <f>L3081+IF(K3082&gt;0,K3082*Summary!$B$9,K3082/Summary!$B$9)</f>
        <v/>
      </c>
      <c r="M3082" s="11">
        <f>G3082+H3082</f>
        <v/>
      </c>
      <c r="N3082" s="11">
        <f>Summary!$C$16*Summary!$B$8</f>
        <v/>
      </c>
      <c r="O3082" s="11">
        <f>M3082-N3082</f>
        <v/>
      </c>
    </row>
    <row r="3083">
      <c r="A3083" s="9" t="n">
        <v>45420.375</v>
      </c>
      <c r="B3083" t="n">
        <v>5</v>
      </c>
      <c r="C3083" t="n">
        <v>8</v>
      </c>
      <c r="D3083" t="n">
        <v>9</v>
      </c>
      <c r="E3083" s="10" t="n">
        <v>0.68958</v>
      </c>
      <c r="F3083" s="10" t="n">
        <v>0.1901297256311342</v>
      </c>
      <c r="G3083" s="11">
        <f>E3083*Summary!$B$6</f>
        <v/>
      </c>
      <c r="H3083" s="11">
        <f>F3083*Summary!$B$7</f>
        <v/>
      </c>
      <c r="I3083" s="11">
        <f>MAX(0,N3083-M3083)</f>
        <v/>
      </c>
      <c r="J3083" s="11">
        <f>MAX(0,M3083-N3083)</f>
        <v/>
      </c>
      <c r="K3083" s="11">
        <f>O3083</f>
        <v/>
      </c>
      <c r="L3083" s="11">
        <f>L3082+IF(K3083&gt;0,K3083*Summary!$B$9,K3083/Summary!$B$9)</f>
        <v/>
      </c>
      <c r="M3083" s="11">
        <f>G3083+H3083</f>
        <v/>
      </c>
      <c r="N3083" s="11">
        <f>Summary!$C$16*Summary!$B$8</f>
        <v/>
      </c>
      <c r="O3083" s="11">
        <f>M3083-N3083</f>
        <v/>
      </c>
    </row>
    <row r="3084">
      <c r="A3084" s="9" t="n">
        <v>45420.41666666666</v>
      </c>
      <c r="B3084" t="n">
        <v>5</v>
      </c>
      <c r="C3084" t="n">
        <v>8</v>
      </c>
      <c r="D3084" t="n">
        <v>10</v>
      </c>
      <c r="E3084" s="10" t="n">
        <v>0.432586</v>
      </c>
      <c r="F3084" s="10" t="n">
        <v>0.1899979655995118</v>
      </c>
      <c r="G3084" s="11">
        <f>E3084*Summary!$B$6</f>
        <v/>
      </c>
      <c r="H3084" s="11">
        <f>F3084*Summary!$B$7</f>
        <v/>
      </c>
      <c r="I3084" s="11">
        <f>MAX(0,N3084-M3084)</f>
        <v/>
      </c>
      <c r="J3084" s="11">
        <f>MAX(0,M3084-N3084)</f>
        <v/>
      </c>
      <c r="K3084" s="11">
        <f>O3084</f>
        <v/>
      </c>
      <c r="L3084" s="11">
        <f>L3083+IF(K3084&gt;0,K3084*Summary!$B$9,K3084/Summary!$B$9)</f>
        <v/>
      </c>
      <c r="M3084" s="11">
        <f>G3084+H3084</f>
        <v/>
      </c>
      <c r="N3084" s="11">
        <f>Summary!$C$16*Summary!$B$8</f>
        <v/>
      </c>
      <c r="O3084" s="11">
        <f>M3084-N3084</f>
        <v/>
      </c>
    </row>
    <row r="3085">
      <c r="A3085" s="9" t="n">
        <v>45420.45833333334</v>
      </c>
      <c r="B3085" t="n">
        <v>5</v>
      </c>
      <c r="C3085" t="n">
        <v>8</v>
      </c>
      <c r="D3085" t="n">
        <v>11</v>
      </c>
      <c r="E3085" s="10" t="n">
        <v>0.337482</v>
      </c>
      <c r="F3085" s="10" t="n">
        <v>0.1930811503394761</v>
      </c>
      <c r="G3085" s="11">
        <f>E3085*Summary!$B$6</f>
        <v/>
      </c>
      <c r="H3085" s="11">
        <f>F3085*Summary!$B$7</f>
        <v/>
      </c>
      <c r="I3085" s="11">
        <f>MAX(0,N3085-M3085)</f>
        <v/>
      </c>
      <c r="J3085" s="11">
        <f>MAX(0,M3085-N3085)</f>
        <v/>
      </c>
      <c r="K3085" s="11">
        <f>O3085</f>
        <v/>
      </c>
      <c r="L3085" s="11">
        <f>L3084+IF(K3085&gt;0,K3085*Summary!$B$9,K3085/Summary!$B$9)</f>
        <v/>
      </c>
      <c r="M3085" s="11">
        <f>G3085+H3085</f>
        <v/>
      </c>
      <c r="N3085" s="11">
        <f>Summary!$C$16*Summary!$B$8</f>
        <v/>
      </c>
      <c r="O3085" s="11">
        <f>M3085-N3085</f>
        <v/>
      </c>
    </row>
    <row r="3086">
      <c r="A3086" s="9" t="n">
        <v>45420.5</v>
      </c>
      <c r="B3086" t="n">
        <v>5</v>
      </c>
      <c r="C3086" t="n">
        <v>8</v>
      </c>
      <c r="D3086" t="n">
        <v>12</v>
      </c>
      <c r="E3086" s="10" t="n">
        <v>0.560288</v>
      </c>
      <c r="F3086" s="10" t="n">
        <v>0.1954001268960305</v>
      </c>
      <c r="G3086" s="11">
        <f>E3086*Summary!$B$6</f>
        <v/>
      </c>
      <c r="H3086" s="11">
        <f>F3086*Summary!$B$7</f>
        <v/>
      </c>
      <c r="I3086" s="11">
        <f>MAX(0,N3086-M3086)</f>
        <v/>
      </c>
      <c r="J3086" s="11">
        <f>MAX(0,M3086-N3086)</f>
        <v/>
      </c>
      <c r="K3086" s="11">
        <f>O3086</f>
        <v/>
      </c>
      <c r="L3086" s="11">
        <f>L3085+IF(K3086&gt;0,K3086*Summary!$B$9,K3086/Summary!$B$9)</f>
        <v/>
      </c>
      <c r="M3086" s="11">
        <f>G3086+H3086</f>
        <v/>
      </c>
      <c r="N3086" s="11">
        <f>Summary!$C$16*Summary!$B$8</f>
        <v/>
      </c>
      <c r="O3086" s="11">
        <f>M3086-N3086</f>
        <v/>
      </c>
    </row>
    <row r="3087">
      <c r="A3087" s="9" t="n">
        <v>45420.54166666666</v>
      </c>
      <c r="B3087" t="n">
        <v>5</v>
      </c>
      <c r="C3087" t="n">
        <v>8</v>
      </c>
      <c r="D3087" t="n">
        <v>13</v>
      </c>
      <c r="E3087" s="10" t="n">
        <v>0.513316</v>
      </c>
      <c r="F3087" s="10" t="n">
        <v>0.1959271670225201</v>
      </c>
      <c r="G3087" s="11">
        <f>E3087*Summary!$B$6</f>
        <v/>
      </c>
      <c r="H3087" s="11">
        <f>F3087*Summary!$B$7</f>
        <v/>
      </c>
      <c r="I3087" s="11">
        <f>MAX(0,N3087-M3087)</f>
        <v/>
      </c>
      <c r="J3087" s="11">
        <f>MAX(0,M3087-N3087)</f>
        <v/>
      </c>
      <c r="K3087" s="11">
        <f>O3087</f>
        <v/>
      </c>
      <c r="L3087" s="11">
        <f>L3086+IF(K3087&gt;0,K3087*Summary!$B$9,K3087/Summary!$B$9)</f>
        <v/>
      </c>
      <c r="M3087" s="11">
        <f>G3087+H3087</f>
        <v/>
      </c>
      <c r="N3087" s="11">
        <f>Summary!$C$16*Summary!$B$8</f>
        <v/>
      </c>
      <c r="O3087" s="11">
        <f>M3087-N3087</f>
        <v/>
      </c>
    </row>
    <row r="3088">
      <c r="A3088" s="9" t="n">
        <v>45420.58333333334</v>
      </c>
      <c r="B3088" t="n">
        <v>5</v>
      </c>
      <c r="C3088" t="n">
        <v>8</v>
      </c>
      <c r="D3088" t="n">
        <v>14</v>
      </c>
      <c r="E3088" s="10" t="n">
        <v>0.338363</v>
      </c>
      <c r="F3088" s="10" t="n">
        <v>0.1982724955853989</v>
      </c>
      <c r="G3088" s="11">
        <f>E3088*Summary!$B$6</f>
        <v/>
      </c>
      <c r="H3088" s="11">
        <f>F3088*Summary!$B$7</f>
        <v/>
      </c>
      <c r="I3088" s="11">
        <f>MAX(0,N3088-M3088)</f>
        <v/>
      </c>
      <c r="J3088" s="11">
        <f>MAX(0,M3088-N3088)</f>
        <v/>
      </c>
      <c r="K3088" s="11">
        <f>O3088</f>
        <v/>
      </c>
      <c r="L3088" s="11">
        <f>L3087+IF(K3088&gt;0,K3088*Summary!$B$9,K3088/Summary!$B$9)</f>
        <v/>
      </c>
      <c r="M3088" s="11">
        <f>G3088+H3088</f>
        <v/>
      </c>
      <c r="N3088" s="11">
        <f>Summary!$C$16*Summary!$B$8</f>
        <v/>
      </c>
      <c r="O3088" s="11">
        <f>M3088-N3088</f>
        <v/>
      </c>
    </row>
    <row r="3089">
      <c r="A3089" s="9" t="n">
        <v>45420.625</v>
      </c>
      <c r="B3089" t="n">
        <v>5</v>
      </c>
      <c r="C3089" t="n">
        <v>8</v>
      </c>
      <c r="D3089" t="n">
        <v>15</v>
      </c>
      <c r="E3089" s="10" t="n">
        <v>0.370115</v>
      </c>
      <c r="F3089" s="10" t="n">
        <v>0.1964278551426852</v>
      </c>
      <c r="G3089" s="11">
        <f>E3089*Summary!$B$6</f>
        <v/>
      </c>
      <c r="H3089" s="11">
        <f>F3089*Summary!$B$7</f>
        <v/>
      </c>
      <c r="I3089" s="11">
        <f>MAX(0,N3089-M3089)</f>
        <v/>
      </c>
      <c r="J3089" s="11">
        <f>MAX(0,M3089-N3089)</f>
        <v/>
      </c>
      <c r="K3089" s="11">
        <f>O3089</f>
        <v/>
      </c>
      <c r="L3089" s="11">
        <f>L3088+IF(K3089&gt;0,K3089*Summary!$B$9,K3089/Summary!$B$9)</f>
        <v/>
      </c>
      <c r="M3089" s="11">
        <f>G3089+H3089</f>
        <v/>
      </c>
      <c r="N3089" s="11">
        <f>Summary!$C$16*Summary!$B$8</f>
        <v/>
      </c>
      <c r="O3089" s="11">
        <f>M3089-N3089</f>
        <v/>
      </c>
    </row>
    <row r="3090">
      <c r="A3090" s="9" t="n">
        <v>45420.66666666666</v>
      </c>
      <c r="B3090" t="n">
        <v>5</v>
      </c>
      <c r="C3090" t="n">
        <v>8</v>
      </c>
      <c r="D3090" t="n">
        <v>16</v>
      </c>
      <c r="E3090" s="10" t="n">
        <v>0.38414</v>
      </c>
      <c r="F3090" s="10" t="n">
        <v>0.1869411328658719</v>
      </c>
      <c r="G3090" s="11">
        <f>E3090*Summary!$B$6</f>
        <v/>
      </c>
      <c r="H3090" s="11">
        <f>F3090*Summary!$B$7</f>
        <v/>
      </c>
      <c r="I3090" s="11">
        <f>MAX(0,N3090-M3090)</f>
        <v/>
      </c>
      <c r="J3090" s="11">
        <f>MAX(0,M3090-N3090)</f>
        <v/>
      </c>
      <c r="K3090" s="11">
        <f>O3090</f>
        <v/>
      </c>
      <c r="L3090" s="11">
        <f>L3089+IF(K3090&gt;0,K3090*Summary!$B$9,K3090/Summary!$B$9)</f>
        <v/>
      </c>
      <c r="M3090" s="11">
        <f>G3090+H3090</f>
        <v/>
      </c>
      <c r="N3090" s="11">
        <f>Summary!$C$16*Summary!$B$8</f>
        <v/>
      </c>
      <c r="O3090" s="11">
        <f>M3090-N3090</f>
        <v/>
      </c>
    </row>
    <row r="3091">
      <c r="A3091" s="9" t="n">
        <v>45420.70833333334</v>
      </c>
      <c r="B3091" t="n">
        <v>5</v>
      </c>
      <c r="C3091" t="n">
        <v>8</v>
      </c>
      <c r="D3091" t="n">
        <v>17</v>
      </c>
      <c r="E3091" s="10" t="n">
        <v>0.214303</v>
      </c>
      <c r="F3091" s="10" t="n">
        <v>0.1741340577921739</v>
      </c>
      <c r="G3091" s="11">
        <f>E3091*Summary!$B$6</f>
        <v/>
      </c>
      <c r="H3091" s="11">
        <f>F3091*Summary!$B$7</f>
        <v/>
      </c>
      <c r="I3091" s="11">
        <f>MAX(0,N3091-M3091)</f>
        <v/>
      </c>
      <c r="J3091" s="11">
        <f>MAX(0,M3091-N3091)</f>
        <v/>
      </c>
      <c r="K3091" s="11">
        <f>O3091</f>
        <v/>
      </c>
      <c r="L3091" s="11">
        <f>L3090+IF(K3091&gt;0,K3091*Summary!$B$9,K3091/Summary!$B$9)</f>
        <v/>
      </c>
      <c r="M3091" s="11">
        <f>G3091+H3091</f>
        <v/>
      </c>
      <c r="N3091" s="11">
        <f>Summary!$C$16*Summary!$B$8</f>
        <v/>
      </c>
      <c r="O3091" s="11">
        <f>M3091-N3091</f>
        <v/>
      </c>
    </row>
    <row r="3092">
      <c r="A3092" s="9" t="n">
        <v>45420.75</v>
      </c>
      <c r="B3092" t="n">
        <v>5</v>
      </c>
      <c r="C3092" t="n">
        <v>8</v>
      </c>
      <c r="D3092" t="n">
        <v>18</v>
      </c>
      <c r="E3092" s="10" t="n">
        <v>0.051039</v>
      </c>
      <c r="F3092" s="10" t="n">
        <v>0.1603256064781456</v>
      </c>
      <c r="G3092" s="11">
        <f>E3092*Summary!$B$6</f>
        <v/>
      </c>
      <c r="H3092" s="11">
        <f>F3092*Summary!$B$7</f>
        <v/>
      </c>
      <c r="I3092" s="11">
        <f>MAX(0,N3092-M3092)</f>
        <v/>
      </c>
      <c r="J3092" s="11">
        <f>MAX(0,M3092-N3092)</f>
        <v/>
      </c>
      <c r="K3092" s="11">
        <f>O3092</f>
        <v/>
      </c>
      <c r="L3092" s="11">
        <f>L3091+IF(K3092&gt;0,K3092*Summary!$B$9,K3092/Summary!$B$9)</f>
        <v/>
      </c>
      <c r="M3092" s="11">
        <f>G3092+H3092</f>
        <v/>
      </c>
      <c r="N3092" s="11">
        <f>Summary!$C$16*Summary!$B$8</f>
        <v/>
      </c>
      <c r="O3092" s="11">
        <f>M3092-N3092</f>
        <v/>
      </c>
    </row>
    <row r="3093">
      <c r="A3093" s="9" t="n">
        <v>45420.79166666666</v>
      </c>
      <c r="B3093" t="n">
        <v>5</v>
      </c>
      <c r="C3093" t="n">
        <v>8</v>
      </c>
      <c r="D3093" t="n">
        <v>19</v>
      </c>
      <c r="E3093" s="10" t="n">
        <v>0.026564</v>
      </c>
      <c r="F3093" s="10" t="n">
        <v>0.1599566783896028</v>
      </c>
      <c r="G3093" s="11">
        <f>E3093*Summary!$B$6</f>
        <v/>
      </c>
      <c r="H3093" s="11">
        <f>F3093*Summary!$B$7</f>
        <v/>
      </c>
      <c r="I3093" s="11">
        <f>MAX(0,N3093-M3093)</f>
        <v/>
      </c>
      <c r="J3093" s="11">
        <f>MAX(0,M3093-N3093)</f>
        <v/>
      </c>
      <c r="K3093" s="11">
        <f>O3093</f>
        <v/>
      </c>
      <c r="L3093" s="11">
        <f>L3092+IF(K3093&gt;0,K3093*Summary!$B$9,K3093/Summary!$B$9)</f>
        <v/>
      </c>
      <c r="M3093" s="11">
        <f>G3093+H3093</f>
        <v/>
      </c>
      <c r="N3093" s="11">
        <f>Summary!$C$16*Summary!$B$8</f>
        <v/>
      </c>
      <c r="O3093" s="11">
        <f>M3093-N3093</f>
        <v/>
      </c>
    </row>
    <row r="3094">
      <c r="A3094" s="9" t="n">
        <v>45420.83333333334</v>
      </c>
      <c r="B3094" t="n">
        <v>5</v>
      </c>
      <c r="C3094" t="n">
        <v>8</v>
      </c>
      <c r="D3094" t="n">
        <v>20</v>
      </c>
      <c r="E3094" s="10" t="n">
        <v>0</v>
      </c>
      <c r="F3094" s="10" t="n">
        <v>0.1749246179819083</v>
      </c>
      <c r="G3094" s="11">
        <f>E3094*Summary!$B$6</f>
        <v/>
      </c>
      <c r="H3094" s="11">
        <f>F3094*Summary!$B$7</f>
        <v/>
      </c>
      <c r="I3094" s="11">
        <f>MAX(0,N3094-M3094)</f>
        <v/>
      </c>
      <c r="J3094" s="11">
        <f>MAX(0,M3094-N3094)</f>
        <v/>
      </c>
      <c r="K3094" s="11">
        <f>O3094</f>
        <v/>
      </c>
      <c r="L3094" s="11">
        <f>L3093+IF(K3094&gt;0,K3094*Summary!$B$9,K3094/Summary!$B$9)</f>
        <v/>
      </c>
      <c r="M3094" s="11">
        <f>G3094+H3094</f>
        <v/>
      </c>
      <c r="N3094" s="11">
        <f>Summary!$C$16*Summary!$B$8</f>
        <v/>
      </c>
      <c r="O3094" s="11">
        <f>M3094-N3094</f>
        <v/>
      </c>
    </row>
    <row r="3095">
      <c r="A3095" s="9" t="n">
        <v>45420.875</v>
      </c>
      <c r="B3095" t="n">
        <v>5</v>
      </c>
      <c r="C3095" t="n">
        <v>8</v>
      </c>
      <c r="D3095" t="n">
        <v>21</v>
      </c>
      <c r="E3095" s="10" t="n">
        <v>0</v>
      </c>
      <c r="F3095" s="10" t="n">
        <v>0.1950575508138122</v>
      </c>
      <c r="G3095" s="11">
        <f>E3095*Summary!$B$6</f>
        <v/>
      </c>
      <c r="H3095" s="11">
        <f>F3095*Summary!$B$7</f>
        <v/>
      </c>
      <c r="I3095" s="11">
        <f>MAX(0,N3095-M3095)</f>
        <v/>
      </c>
      <c r="J3095" s="11">
        <f>MAX(0,M3095-N3095)</f>
        <v/>
      </c>
      <c r="K3095" s="11">
        <f>O3095</f>
        <v/>
      </c>
      <c r="L3095" s="11">
        <f>L3094+IF(K3095&gt;0,K3095*Summary!$B$9,K3095/Summary!$B$9)</f>
        <v/>
      </c>
      <c r="M3095" s="11">
        <f>G3095+H3095</f>
        <v/>
      </c>
      <c r="N3095" s="11">
        <f>Summary!$C$16*Summary!$B$8</f>
        <v/>
      </c>
      <c r="O3095" s="11">
        <f>M3095-N3095</f>
        <v/>
      </c>
    </row>
    <row r="3096">
      <c r="A3096" s="9" t="n">
        <v>45420.91666666666</v>
      </c>
      <c r="B3096" t="n">
        <v>5</v>
      </c>
      <c r="C3096" t="n">
        <v>8</v>
      </c>
      <c r="D3096" t="n">
        <v>22</v>
      </c>
      <c r="E3096" s="10" t="n">
        <v>0</v>
      </c>
      <c r="F3096" s="10" t="n">
        <v>0.2083389620013509</v>
      </c>
      <c r="G3096" s="11">
        <f>E3096*Summary!$B$6</f>
        <v/>
      </c>
      <c r="H3096" s="11">
        <f>F3096*Summary!$B$7</f>
        <v/>
      </c>
      <c r="I3096" s="11">
        <f>MAX(0,N3096-M3096)</f>
        <v/>
      </c>
      <c r="J3096" s="11">
        <f>MAX(0,M3096-N3096)</f>
        <v/>
      </c>
      <c r="K3096" s="11">
        <f>O3096</f>
        <v/>
      </c>
      <c r="L3096" s="11">
        <f>L3095+IF(K3096&gt;0,K3096*Summary!$B$9,K3096/Summary!$B$9)</f>
        <v/>
      </c>
      <c r="M3096" s="11">
        <f>G3096+H3096</f>
        <v/>
      </c>
      <c r="N3096" s="11">
        <f>Summary!$C$16*Summary!$B$8</f>
        <v/>
      </c>
      <c r="O3096" s="11">
        <f>M3096-N3096</f>
        <v/>
      </c>
    </row>
    <row r="3097">
      <c r="A3097" s="9" t="n">
        <v>45420.95833333334</v>
      </c>
      <c r="B3097" t="n">
        <v>5</v>
      </c>
      <c r="C3097" t="n">
        <v>8</v>
      </c>
      <c r="D3097" t="n">
        <v>23</v>
      </c>
      <c r="E3097" s="10" t="n">
        <v>0</v>
      </c>
      <c r="F3097" s="10" t="n">
        <v>0.2137411232978696</v>
      </c>
      <c r="G3097" s="11">
        <f>E3097*Summary!$B$6</f>
        <v/>
      </c>
      <c r="H3097" s="11">
        <f>F3097*Summary!$B$7</f>
        <v/>
      </c>
      <c r="I3097" s="11">
        <f>MAX(0,N3097-M3097)</f>
        <v/>
      </c>
      <c r="J3097" s="11">
        <f>MAX(0,M3097-N3097)</f>
        <v/>
      </c>
      <c r="K3097" s="11">
        <f>O3097</f>
        <v/>
      </c>
      <c r="L3097" s="11">
        <f>L3096+IF(K3097&gt;0,K3097*Summary!$B$9,K3097/Summary!$B$9)</f>
        <v/>
      </c>
      <c r="M3097" s="11">
        <f>G3097+H3097</f>
        <v/>
      </c>
      <c r="N3097" s="11">
        <f>Summary!$C$16*Summary!$B$8</f>
        <v/>
      </c>
      <c r="O3097" s="11">
        <f>M3097-N3097</f>
        <v/>
      </c>
    </row>
    <row r="3098">
      <c r="A3098" s="9" t="n">
        <v>45421</v>
      </c>
      <c r="B3098" t="n">
        <v>5</v>
      </c>
      <c r="C3098" t="n">
        <v>9</v>
      </c>
      <c r="D3098" t="n">
        <v>0</v>
      </c>
      <c r="E3098" s="10" t="n">
        <v>0</v>
      </c>
      <c r="F3098" s="10" t="n">
        <v>0.2946154307077034</v>
      </c>
      <c r="G3098" s="11">
        <f>E3098*Summary!$B$6</f>
        <v/>
      </c>
      <c r="H3098" s="11">
        <f>F3098*Summary!$B$7</f>
        <v/>
      </c>
      <c r="I3098" s="11">
        <f>MAX(0,N3098-M3098)</f>
        <v/>
      </c>
      <c r="J3098" s="11">
        <f>MAX(0,M3098-N3098)</f>
        <v/>
      </c>
      <c r="K3098" s="11">
        <f>O3098</f>
        <v/>
      </c>
      <c r="L3098" s="11">
        <f>L3097+IF(K3098&gt;0,K3098*Summary!$B$9,K3098/Summary!$B$9)</f>
        <v/>
      </c>
      <c r="M3098" s="11">
        <f>G3098+H3098</f>
        <v/>
      </c>
      <c r="N3098" s="11">
        <f>Summary!$C$16*Summary!$B$8</f>
        <v/>
      </c>
      <c r="O3098" s="11">
        <f>M3098-N3098</f>
        <v/>
      </c>
    </row>
    <row r="3099">
      <c r="A3099" s="9" t="n">
        <v>45421.04166666666</v>
      </c>
      <c r="B3099" t="n">
        <v>5</v>
      </c>
      <c r="C3099" t="n">
        <v>9</v>
      </c>
      <c r="D3099" t="n">
        <v>1</v>
      </c>
      <c r="E3099" s="10" t="n">
        <v>0</v>
      </c>
      <c r="F3099" s="10" t="n">
        <v>0.2298421991621278</v>
      </c>
      <c r="G3099" s="11">
        <f>E3099*Summary!$B$6</f>
        <v/>
      </c>
      <c r="H3099" s="11">
        <f>F3099*Summary!$B$7</f>
        <v/>
      </c>
      <c r="I3099" s="11">
        <f>MAX(0,N3099-M3099)</f>
        <v/>
      </c>
      <c r="J3099" s="11">
        <f>MAX(0,M3099-N3099)</f>
        <v/>
      </c>
      <c r="K3099" s="11">
        <f>O3099</f>
        <v/>
      </c>
      <c r="L3099" s="11">
        <f>L3098+IF(K3099&gt;0,K3099*Summary!$B$9,K3099/Summary!$B$9)</f>
        <v/>
      </c>
      <c r="M3099" s="11">
        <f>G3099+H3099</f>
        <v/>
      </c>
      <c r="N3099" s="11">
        <f>Summary!$C$16*Summary!$B$8</f>
        <v/>
      </c>
      <c r="O3099" s="11">
        <f>M3099-N3099</f>
        <v/>
      </c>
    </row>
    <row r="3100">
      <c r="A3100" s="9" t="n">
        <v>45421.08333333334</v>
      </c>
      <c r="B3100" t="n">
        <v>5</v>
      </c>
      <c r="C3100" t="n">
        <v>9</v>
      </c>
      <c r="D3100" t="n">
        <v>2</v>
      </c>
      <c r="E3100" s="10" t="n">
        <v>0</v>
      </c>
      <c r="F3100" s="10" t="n">
        <v>0.2341375761930183</v>
      </c>
      <c r="G3100" s="11">
        <f>E3100*Summary!$B$6</f>
        <v/>
      </c>
      <c r="H3100" s="11">
        <f>F3100*Summary!$B$7</f>
        <v/>
      </c>
      <c r="I3100" s="11">
        <f>MAX(0,N3100-M3100)</f>
        <v/>
      </c>
      <c r="J3100" s="11">
        <f>MAX(0,M3100-N3100)</f>
        <v/>
      </c>
      <c r="K3100" s="11">
        <f>O3100</f>
        <v/>
      </c>
      <c r="L3100" s="11">
        <f>L3099+IF(K3100&gt;0,K3100*Summary!$B$9,K3100/Summary!$B$9)</f>
        <v/>
      </c>
      <c r="M3100" s="11">
        <f>G3100+H3100</f>
        <v/>
      </c>
      <c r="N3100" s="11">
        <f>Summary!$C$16*Summary!$B$8</f>
        <v/>
      </c>
      <c r="O3100" s="11">
        <f>M3100-N3100</f>
        <v/>
      </c>
    </row>
    <row r="3101">
      <c r="A3101" s="9" t="n">
        <v>45421.125</v>
      </c>
      <c r="B3101" t="n">
        <v>5</v>
      </c>
      <c r="C3101" t="n">
        <v>9</v>
      </c>
      <c r="D3101" t="n">
        <v>3</v>
      </c>
      <c r="E3101" s="10" t="n">
        <v>0</v>
      </c>
      <c r="F3101" s="10" t="n">
        <v>0.2393552734452656</v>
      </c>
      <c r="G3101" s="11">
        <f>E3101*Summary!$B$6</f>
        <v/>
      </c>
      <c r="H3101" s="11">
        <f>F3101*Summary!$B$7</f>
        <v/>
      </c>
      <c r="I3101" s="11">
        <f>MAX(0,N3101-M3101)</f>
        <v/>
      </c>
      <c r="J3101" s="11">
        <f>MAX(0,M3101-N3101)</f>
        <v/>
      </c>
      <c r="K3101" s="11">
        <f>O3101</f>
        <v/>
      </c>
      <c r="L3101" s="11">
        <f>L3100+IF(K3101&gt;0,K3101*Summary!$B$9,K3101/Summary!$B$9)</f>
        <v/>
      </c>
      <c r="M3101" s="11">
        <f>G3101+H3101</f>
        <v/>
      </c>
      <c r="N3101" s="11">
        <f>Summary!$C$16*Summary!$B$8</f>
        <v/>
      </c>
      <c r="O3101" s="11">
        <f>M3101-N3101</f>
        <v/>
      </c>
    </row>
    <row r="3102">
      <c r="A3102" s="9" t="n">
        <v>45421.16666666666</v>
      </c>
      <c r="B3102" t="n">
        <v>5</v>
      </c>
      <c r="C3102" t="n">
        <v>9</v>
      </c>
      <c r="D3102" t="n">
        <v>4</v>
      </c>
      <c r="E3102" s="10" t="n">
        <v>0.011731</v>
      </c>
      <c r="F3102" s="10" t="n">
        <v>0.2354288245029179</v>
      </c>
      <c r="G3102" s="11">
        <f>E3102*Summary!$B$6</f>
        <v/>
      </c>
      <c r="H3102" s="11">
        <f>F3102*Summary!$B$7</f>
        <v/>
      </c>
      <c r="I3102" s="11">
        <f>MAX(0,N3102-M3102)</f>
        <v/>
      </c>
      <c r="J3102" s="11">
        <f>MAX(0,M3102-N3102)</f>
        <v/>
      </c>
      <c r="K3102" s="11">
        <f>O3102</f>
        <v/>
      </c>
      <c r="L3102" s="11">
        <f>L3101+IF(K3102&gt;0,K3102*Summary!$B$9,K3102/Summary!$B$9)</f>
        <v/>
      </c>
      <c r="M3102" s="11">
        <f>G3102+H3102</f>
        <v/>
      </c>
      <c r="N3102" s="11">
        <f>Summary!$C$16*Summary!$B$8</f>
        <v/>
      </c>
      <c r="O3102" s="11">
        <f>M3102-N3102</f>
        <v/>
      </c>
    </row>
    <row r="3103">
      <c r="A3103" s="9" t="n">
        <v>45421.20833333334</v>
      </c>
      <c r="B3103" t="n">
        <v>5</v>
      </c>
      <c r="C3103" t="n">
        <v>9</v>
      </c>
      <c r="D3103" t="n">
        <v>5</v>
      </c>
      <c r="E3103" s="10" t="n">
        <v>0.052477</v>
      </c>
      <c r="F3103" s="10" t="n">
        <v>0.2190115245627659</v>
      </c>
      <c r="G3103" s="11">
        <f>E3103*Summary!$B$6</f>
        <v/>
      </c>
      <c r="H3103" s="11">
        <f>F3103*Summary!$B$7</f>
        <v/>
      </c>
      <c r="I3103" s="11">
        <f>MAX(0,N3103-M3103)</f>
        <v/>
      </c>
      <c r="J3103" s="11">
        <f>MAX(0,M3103-N3103)</f>
        <v/>
      </c>
      <c r="K3103" s="11">
        <f>O3103</f>
        <v/>
      </c>
      <c r="L3103" s="11">
        <f>L3102+IF(K3103&gt;0,K3103*Summary!$B$9,K3103/Summary!$B$9)</f>
        <v/>
      </c>
      <c r="M3103" s="11">
        <f>G3103+H3103</f>
        <v/>
      </c>
      <c r="N3103" s="11">
        <f>Summary!$C$16*Summary!$B$8</f>
        <v/>
      </c>
      <c r="O3103" s="11">
        <f>M3103-N3103</f>
        <v/>
      </c>
    </row>
    <row r="3104">
      <c r="A3104" s="9" t="n">
        <v>45421.25</v>
      </c>
      <c r="B3104" t="n">
        <v>5</v>
      </c>
      <c r="C3104" t="n">
        <v>9</v>
      </c>
      <c r="D3104" t="n">
        <v>6</v>
      </c>
      <c r="E3104" s="10" t="n">
        <v>0.118294</v>
      </c>
      <c r="F3104" s="10" t="n">
        <v>0.1950575508138122</v>
      </c>
      <c r="G3104" s="11">
        <f>E3104*Summary!$B$6</f>
        <v/>
      </c>
      <c r="H3104" s="11">
        <f>F3104*Summary!$B$7</f>
        <v/>
      </c>
      <c r="I3104" s="11">
        <f>MAX(0,N3104-M3104)</f>
        <v/>
      </c>
      <c r="J3104" s="11">
        <f>MAX(0,M3104-N3104)</f>
        <v/>
      </c>
      <c r="K3104" s="11">
        <f>O3104</f>
        <v/>
      </c>
      <c r="L3104" s="11">
        <f>L3103+IF(K3104&gt;0,K3104*Summary!$B$9,K3104/Summary!$B$9)</f>
        <v/>
      </c>
      <c r="M3104" s="11">
        <f>G3104+H3104</f>
        <v/>
      </c>
      <c r="N3104" s="11">
        <f>Summary!$C$16*Summary!$B$8</f>
        <v/>
      </c>
      <c r="O3104" s="11">
        <f>M3104-N3104</f>
        <v/>
      </c>
    </row>
    <row r="3105">
      <c r="A3105" s="9" t="n">
        <v>45421.29166666666</v>
      </c>
      <c r="B3105" t="n">
        <v>5</v>
      </c>
      <c r="C3105" t="n">
        <v>9</v>
      </c>
      <c r="D3105" t="n">
        <v>7</v>
      </c>
      <c r="E3105" s="10" t="n">
        <v>0.24225</v>
      </c>
      <c r="F3105" s="10" t="n">
        <v>0.1787193068926337</v>
      </c>
      <c r="G3105" s="11">
        <f>E3105*Summary!$B$6</f>
        <v/>
      </c>
      <c r="H3105" s="11">
        <f>F3105*Summary!$B$7</f>
        <v/>
      </c>
      <c r="I3105" s="11">
        <f>MAX(0,N3105-M3105)</f>
        <v/>
      </c>
      <c r="J3105" s="11">
        <f>MAX(0,M3105-N3105)</f>
        <v/>
      </c>
      <c r="K3105" s="11">
        <f>O3105</f>
        <v/>
      </c>
      <c r="L3105" s="11">
        <f>L3104+IF(K3105&gt;0,K3105*Summary!$B$9,K3105/Summary!$B$9)</f>
        <v/>
      </c>
      <c r="M3105" s="11">
        <f>G3105+H3105</f>
        <v/>
      </c>
      <c r="N3105" s="11">
        <f>Summary!$C$16*Summary!$B$8</f>
        <v/>
      </c>
      <c r="O3105" s="11">
        <f>M3105-N3105</f>
        <v/>
      </c>
    </row>
    <row r="3106">
      <c r="A3106" s="9" t="n">
        <v>45421.33333333334</v>
      </c>
      <c r="B3106" t="n">
        <v>5</v>
      </c>
      <c r="C3106" t="n">
        <v>9</v>
      </c>
      <c r="D3106" t="n">
        <v>8</v>
      </c>
      <c r="E3106" s="10" t="n">
        <v>0.465695</v>
      </c>
      <c r="F3106" s="10" t="n">
        <v>0.1853863644927275</v>
      </c>
      <c r="G3106" s="11">
        <f>E3106*Summary!$B$6</f>
        <v/>
      </c>
      <c r="H3106" s="11">
        <f>F3106*Summary!$B$7</f>
        <v/>
      </c>
      <c r="I3106" s="11">
        <f>MAX(0,N3106-M3106)</f>
        <v/>
      </c>
      <c r="J3106" s="11">
        <f>MAX(0,M3106-N3106)</f>
        <v/>
      </c>
      <c r="K3106" s="11">
        <f>O3106</f>
        <v/>
      </c>
      <c r="L3106" s="11">
        <f>L3105+IF(K3106&gt;0,K3106*Summary!$B$9,K3106/Summary!$B$9)</f>
        <v/>
      </c>
      <c r="M3106" s="11">
        <f>G3106+H3106</f>
        <v/>
      </c>
      <c r="N3106" s="11">
        <f>Summary!$C$16*Summary!$B$8</f>
        <v/>
      </c>
      <c r="O3106" s="11">
        <f>M3106-N3106</f>
        <v/>
      </c>
    </row>
    <row r="3107">
      <c r="A3107" s="9" t="n">
        <v>45421.375</v>
      </c>
      <c r="B3107" t="n">
        <v>5</v>
      </c>
      <c r="C3107" t="n">
        <v>9</v>
      </c>
      <c r="D3107" t="n">
        <v>9</v>
      </c>
      <c r="E3107" s="10" t="n">
        <v>0.509105</v>
      </c>
      <c r="F3107" s="10" t="n">
        <v>0.2030422087301301</v>
      </c>
      <c r="G3107" s="11">
        <f>E3107*Summary!$B$6</f>
        <v/>
      </c>
      <c r="H3107" s="11">
        <f>F3107*Summary!$B$7</f>
        <v/>
      </c>
      <c r="I3107" s="11">
        <f>MAX(0,N3107-M3107)</f>
        <v/>
      </c>
      <c r="J3107" s="11">
        <f>MAX(0,M3107-N3107)</f>
        <v/>
      </c>
      <c r="K3107" s="11">
        <f>O3107</f>
        <v/>
      </c>
      <c r="L3107" s="11">
        <f>L3106+IF(K3107&gt;0,K3107*Summary!$B$9,K3107/Summary!$B$9)</f>
        <v/>
      </c>
      <c r="M3107" s="11">
        <f>G3107+H3107</f>
        <v/>
      </c>
      <c r="N3107" s="11">
        <f>Summary!$C$16*Summary!$B$8</f>
        <v/>
      </c>
      <c r="O3107" s="11">
        <f>M3107-N3107</f>
        <v/>
      </c>
    </row>
    <row r="3108">
      <c r="A3108" s="9" t="n">
        <v>45421.41666666666</v>
      </c>
      <c r="B3108" t="n">
        <v>5</v>
      </c>
      <c r="C3108" t="n">
        <v>9</v>
      </c>
      <c r="D3108" t="n">
        <v>10</v>
      </c>
      <c r="E3108" s="10" t="n">
        <v>0.754058</v>
      </c>
      <c r="F3108" s="10" t="n">
        <v>0.2240711097770663</v>
      </c>
      <c r="G3108" s="11">
        <f>E3108*Summary!$B$6</f>
        <v/>
      </c>
      <c r="H3108" s="11">
        <f>F3108*Summary!$B$7</f>
        <v/>
      </c>
      <c r="I3108" s="11">
        <f>MAX(0,N3108-M3108)</f>
        <v/>
      </c>
      <c r="J3108" s="11">
        <f>MAX(0,M3108-N3108)</f>
        <v/>
      </c>
      <c r="K3108" s="11">
        <f>O3108</f>
        <v/>
      </c>
      <c r="L3108" s="11">
        <f>L3107+IF(K3108&gt;0,K3108*Summary!$B$9,K3108/Summary!$B$9)</f>
        <v/>
      </c>
      <c r="M3108" s="11">
        <f>G3108+H3108</f>
        <v/>
      </c>
      <c r="N3108" s="11">
        <f>Summary!$C$16*Summary!$B$8</f>
        <v/>
      </c>
      <c r="O3108" s="11">
        <f>M3108-N3108</f>
        <v/>
      </c>
    </row>
    <row r="3109">
      <c r="A3109" s="9" t="n">
        <v>45421.45833333334</v>
      </c>
      <c r="B3109" t="n">
        <v>5</v>
      </c>
      <c r="C3109" t="n">
        <v>9</v>
      </c>
      <c r="D3109" t="n">
        <v>11</v>
      </c>
      <c r="E3109" s="10" t="n">
        <v>0.449883</v>
      </c>
      <c r="F3109" s="10" t="n">
        <v>0.239592441502186</v>
      </c>
      <c r="G3109" s="11">
        <f>E3109*Summary!$B$6</f>
        <v/>
      </c>
      <c r="H3109" s="11">
        <f>F3109*Summary!$B$7</f>
        <v/>
      </c>
      <c r="I3109" s="11">
        <f>MAX(0,N3109-M3109)</f>
        <v/>
      </c>
      <c r="J3109" s="11">
        <f>MAX(0,M3109-N3109)</f>
        <v/>
      </c>
      <c r="K3109" s="11">
        <f>O3109</f>
        <v/>
      </c>
      <c r="L3109" s="11">
        <f>L3108+IF(K3109&gt;0,K3109*Summary!$B$9,K3109/Summary!$B$9)</f>
        <v/>
      </c>
      <c r="M3109" s="11">
        <f>G3109+H3109</f>
        <v/>
      </c>
      <c r="N3109" s="11">
        <f>Summary!$C$16*Summary!$B$8</f>
        <v/>
      </c>
      <c r="O3109" s="11">
        <f>M3109-N3109</f>
        <v/>
      </c>
    </row>
    <row r="3110">
      <c r="A3110" s="9" t="n">
        <v>45421.5</v>
      </c>
      <c r="B3110" t="n">
        <v>5</v>
      </c>
      <c r="C3110" t="n">
        <v>9</v>
      </c>
      <c r="D3110" t="n">
        <v>12</v>
      </c>
      <c r="E3110" s="10" t="n">
        <v>0.719801</v>
      </c>
      <c r="F3110" s="10" t="n">
        <v>0.2508711002090641</v>
      </c>
      <c r="G3110" s="11">
        <f>E3110*Summary!$B$6</f>
        <v/>
      </c>
      <c r="H3110" s="11">
        <f>F3110*Summary!$B$7</f>
        <v/>
      </c>
      <c r="I3110" s="11">
        <f>MAX(0,N3110-M3110)</f>
        <v/>
      </c>
      <c r="J3110" s="11">
        <f>MAX(0,M3110-N3110)</f>
        <v/>
      </c>
      <c r="K3110" s="11">
        <f>O3110</f>
        <v/>
      </c>
      <c r="L3110" s="11">
        <f>L3109+IF(K3110&gt;0,K3110*Summary!$B$9,K3110/Summary!$B$9)</f>
        <v/>
      </c>
      <c r="M3110" s="11">
        <f>G3110+H3110</f>
        <v/>
      </c>
      <c r="N3110" s="11">
        <f>Summary!$C$16*Summary!$B$8</f>
        <v/>
      </c>
      <c r="O3110" s="11">
        <f>M3110-N3110</f>
        <v/>
      </c>
    </row>
    <row r="3111">
      <c r="A3111" s="9" t="n">
        <v>45421.54166666666</v>
      </c>
      <c r="B3111" t="n">
        <v>5</v>
      </c>
      <c r="C3111" t="n">
        <v>9</v>
      </c>
      <c r="D3111" t="n">
        <v>13</v>
      </c>
      <c r="E3111" s="10" t="n">
        <v>0.754058</v>
      </c>
      <c r="F3111" s="10" t="n">
        <v>0.2629139670993521</v>
      </c>
      <c r="G3111" s="11">
        <f>E3111*Summary!$B$6</f>
        <v/>
      </c>
      <c r="H3111" s="11">
        <f>F3111*Summary!$B$7</f>
        <v/>
      </c>
      <c r="I3111" s="11">
        <f>MAX(0,N3111-M3111)</f>
        <v/>
      </c>
      <c r="J3111" s="11">
        <f>MAX(0,M3111-N3111)</f>
        <v/>
      </c>
      <c r="K3111" s="11">
        <f>O3111</f>
        <v/>
      </c>
      <c r="L3111" s="11">
        <f>L3110+IF(K3111&gt;0,K3111*Summary!$B$9,K3111/Summary!$B$9)</f>
        <v/>
      </c>
      <c r="M3111" s="11">
        <f>G3111+H3111</f>
        <v/>
      </c>
      <c r="N3111" s="11">
        <f>Summary!$C$16*Summary!$B$8</f>
        <v/>
      </c>
      <c r="O3111" s="11">
        <f>M3111-N3111</f>
        <v/>
      </c>
    </row>
    <row r="3112">
      <c r="A3112" s="9" t="n">
        <v>45421.58333333334</v>
      </c>
      <c r="B3112" t="n">
        <v>5</v>
      </c>
      <c r="C3112" t="n">
        <v>9</v>
      </c>
      <c r="D3112" t="n">
        <v>14</v>
      </c>
      <c r="E3112" s="10" t="n">
        <v>0.613815</v>
      </c>
      <c r="F3112" s="10" t="n">
        <v>0.2705033449208028</v>
      </c>
      <c r="G3112" s="11">
        <f>E3112*Summary!$B$6</f>
        <v/>
      </c>
      <c r="H3112" s="11">
        <f>F3112*Summary!$B$7</f>
        <v/>
      </c>
      <c r="I3112" s="11">
        <f>MAX(0,N3112-M3112)</f>
        <v/>
      </c>
      <c r="J3112" s="11">
        <f>MAX(0,M3112-N3112)</f>
        <v/>
      </c>
      <c r="K3112" s="11">
        <f>O3112</f>
        <v/>
      </c>
      <c r="L3112" s="11">
        <f>L3111+IF(K3112&gt;0,K3112*Summary!$B$9,K3112/Summary!$B$9)</f>
        <v/>
      </c>
      <c r="M3112" s="11">
        <f>G3112+H3112</f>
        <v/>
      </c>
      <c r="N3112" s="11">
        <f>Summary!$C$16*Summary!$B$8</f>
        <v/>
      </c>
      <c r="O3112" s="11">
        <f>M3112-N3112</f>
        <v/>
      </c>
    </row>
    <row r="3113">
      <c r="A3113" s="9" t="n">
        <v>45421.625</v>
      </c>
      <c r="B3113" t="n">
        <v>5</v>
      </c>
      <c r="C3113" t="n">
        <v>9</v>
      </c>
      <c r="D3113" t="n">
        <v>15</v>
      </c>
      <c r="E3113" s="10" t="n">
        <v>0.57175</v>
      </c>
      <c r="F3113" s="10" t="n">
        <v>0.3001493520358445</v>
      </c>
      <c r="G3113" s="11">
        <f>E3113*Summary!$B$6</f>
        <v/>
      </c>
      <c r="H3113" s="11">
        <f>F3113*Summary!$B$7</f>
        <v/>
      </c>
      <c r="I3113" s="11">
        <f>MAX(0,N3113-M3113)</f>
        <v/>
      </c>
      <c r="J3113" s="11">
        <f>MAX(0,M3113-N3113)</f>
        <v/>
      </c>
      <c r="K3113" s="11">
        <f>O3113</f>
        <v/>
      </c>
      <c r="L3113" s="11">
        <f>L3112+IF(K3113&gt;0,K3113*Summary!$B$9,K3113/Summary!$B$9)</f>
        <v/>
      </c>
      <c r="M3113" s="11">
        <f>G3113+H3113</f>
        <v/>
      </c>
      <c r="N3113" s="11">
        <f>Summary!$C$16*Summary!$B$8</f>
        <v/>
      </c>
      <c r="O3113" s="11">
        <f>M3113-N3113</f>
        <v/>
      </c>
    </row>
    <row r="3114">
      <c r="A3114" s="9" t="n">
        <v>45421.66666666666</v>
      </c>
      <c r="B3114" t="n">
        <v>5</v>
      </c>
      <c r="C3114" t="n">
        <v>9</v>
      </c>
      <c r="D3114" t="n">
        <v>16</v>
      </c>
      <c r="E3114" s="10" t="n">
        <v>0.311275</v>
      </c>
      <c r="F3114" s="10" t="n">
        <v>0.2731912495658999</v>
      </c>
      <c r="G3114" s="11">
        <f>E3114*Summary!$B$6</f>
        <v/>
      </c>
      <c r="H3114" s="11">
        <f>F3114*Summary!$B$7</f>
        <v/>
      </c>
      <c r="I3114" s="11">
        <f>MAX(0,N3114-M3114)</f>
        <v/>
      </c>
      <c r="J3114" s="11">
        <f>MAX(0,M3114-N3114)</f>
        <v/>
      </c>
      <c r="K3114" s="11">
        <f>O3114</f>
        <v/>
      </c>
      <c r="L3114" s="11">
        <f>L3113+IF(K3114&gt;0,K3114*Summary!$B$9,K3114/Summary!$B$9)</f>
        <v/>
      </c>
      <c r="M3114" s="11">
        <f>G3114+H3114</f>
        <v/>
      </c>
      <c r="N3114" s="11">
        <f>Summary!$C$16*Summary!$B$8</f>
        <v/>
      </c>
      <c r="O3114" s="11">
        <f>M3114-N3114</f>
        <v/>
      </c>
    </row>
    <row r="3115">
      <c r="A3115" s="9" t="n">
        <v>45421.70833333334</v>
      </c>
      <c r="B3115" t="n">
        <v>5</v>
      </c>
      <c r="C3115" t="n">
        <v>9</v>
      </c>
      <c r="D3115" t="n">
        <v>17</v>
      </c>
      <c r="E3115" s="10" t="n">
        <v>0.13935</v>
      </c>
      <c r="F3115" s="10" t="n">
        <v>0.2700026568006376</v>
      </c>
      <c r="G3115" s="11">
        <f>E3115*Summary!$B$6</f>
        <v/>
      </c>
      <c r="H3115" s="11">
        <f>F3115*Summary!$B$7</f>
        <v/>
      </c>
      <c r="I3115" s="11">
        <f>MAX(0,N3115-M3115)</f>
        <v/>
      </c>
      <c r="J3115" s="11">
        <f>MAX(0,M3115-N3115)</f>
        <v/>
      </c>
      <c r="K3115" s="11">
        <f>O3115</f>
        <v/>
      </c>
      <c r="L3115" s="11">
        <f>L3114+IF(K3115&gt;0,K3115*Summary!$B$9,K3115/Summary!$B$9)</f>
        <v/>
      </c>
      <c r="M3115" s="11">
        <f>G3115+H3115</f>
        <v/>
      </c>
      <c r="N3115" s="11">
        <f>Summary!$C$16*Summary!$B$8</f>
        <v/>
      </c>
      <c r="O3115" s="11">
        <f>M3115-N3115</f>
        <v/>
      </c>
    </row>
    <row r="3116">
      <c r="A3116" s="9" t="n">
        <v>45421.75</v>
      </c>
      <c r="B3116" t="n">
        <v>5</v>
      </c>
      <c r="C3116" t="n">
        <v>9</v>
      </c>
      <c r="D3116" t="n">
        <v>18</v>
      </c>
      <c r="E3116" s="10" t="n">
        <v>0.045255</v>
      </c>
      <c r="F3116" s="10" t="n">
        <v>0.2700553608132866</v>
      </c>
      <c r="G3116" s="11">
        <f>E3116*Summary!$B$6</f>
        <v/>
      </c>
      <c r="H3116" s="11">
        <f>F3116*Summary!$B$7</f>
        <v/>
      </c>
      <c r="I3116" s="11">
        <f>MAX(0,N3116-M3116)</f>
        <v/>
      </c>
      <c r="J3116" s="11">
        <f>MAX(0,M3116-N3116)</f>
        <v/>
      </c>
      <c r="K3116" s="11">
        <f>O3116</f>
        <v/>
      </c>
      <c r="L3116" s="11">
        <f>L3115+IF(K3116&gt;0,K3116*Summary!$B$9,K3116/Summary!$B$9)</f>
        <v/>
      </c>
      <c r="M3116" s="11">
        <f>G3116+H3116</f>
        <v/>
      </c>
      <c r="N3116" s="11">
        <f>Summary!$C$16*Summary!$B$8</f>
        <v/>
      </c>
      <c r="O3116" s="11">
        <f>M3116-N3116</f>
        <v/>
      </c>
    </row>
    <row r="3117">
      <c r="A3117" s="9" t="n">
        <v>45421.79166666666</v>
      </c>
      <c r="B3117" t="n">
        <v>5</v>
      </c>
      <c r="C3117" t="n">
        <v>9</v>
      </c>
      <c r="D3117" t="n">
        <v>19</v>
      </c>
      <c r="E3117" s="10" t="n">
        <v>0.007332</v>
      </c>
      <c r="F3117" s="10" t="n">
        <v>0.2776974426473862</v>
      </c>
      <c r="G3117" s="11">
        <f>E3117*Summary!$B$6</f>
        <v/>
      </c>
      <c r="H3117" s="11">
        <f>F3117*Summary!$B$7</f>
        <v/>
      </c>
      <c r="I3117" s="11">
        <f>MAX(0,N3117-M3117)</f>
        <v/>
      </c>
      <c r="J3117" s="11">
        <f>MAX(0,M3117-N3117)</f>
        <v/>
      </c>
      <c r="K3117" s="11">
        <f>O3117</f>
        <v/>
      </c>
      <c r="L3117" s="11">
        <f>L3116+IF(K3117&gt;0,K3117*Summary!$B$9,K3117/Summary!$B$9)</f>
        <v/>
      </c>
      <c r="M3117" s="11">
        <f>G3117+H3117</f>
        <v/>
      </c>
      <c r="N3117" s="11">
        <f>Summary!$C$16*Summary!$B$8</f>
        <v/>
      </c>
      <c r="O3117" s="11">
        <f>M3117-N3117</f>
        <v/>
      </c>
    </row>
    <row r="3118">
      <c r="A3118" s="9" t="n">
        <v>45421.83333333334</v>
      </c>
      <c r="B3118" t="n">
        <v>5</v>
      </c>
      <c r="C3118" t="n">
        <v>9</v>
      </c>
      <c r="D3118" t="n">
        <v>20</v>
      </c>
      <c r="E3118" s="10" t="n">
        <v>0</v>
      </c>
      <c r="F3118" s="10" t="n">
        <v>0.2926126782270427</v>
      </c>
      <c r="G3118" s="11">
        <f>E3118*Summary!$B$6</f>
        <v/>
      </c>
      <c r="H3118" s="11">
        <f>F3118*Summary!$B$7</f>
        <v/>
      </c>
      <c r="I3118" s="11">
        <f>MAX(0,N3118-M3118)</f>
        <v/>
      </c>
      <c r="J3118" s="11">
        <f>MAX(0,M3118-N3118)</f>
        <v/>
      </c>
      <c r="K3118" s="11">
        <f>O3118</f>
        <v/>
      </c>
      <c r="L3118" s="11">
        <f>L3117+IF(K3118&gt;0,K3118*Summary!$B$9,K3118/Summary!$B$9)</f>
        <v/>
      </c>
      <c r="M3118" s="11">
        <f>G3118+H3118</f>
        <v/>
      </c>
      <c r="N3118" s="11">
        <f>Summary!$C$16*Summary!$B$8</f>
        <v/>
      </c>
      <c r="O3118" s="11">
        <f>M3118-N3118</f>
        <v/>
      </c>
    </row>
    <row r="3119">
      <c r="A3119" s="9" t="n">
        <v>45421.875</v>
      </c>
      <c r="B3119" t="n">
        <v>5</v>
      </c>
      <c r="C3119" t="n">
        <v>9</v>
      </c>
      <c r="D3119" t="n">
        <v>21</v>
      </c>
      <c r="E3119" s="10" t="n">
        <v>0</v>
      </c>
      <c r="F3119" s="10" t="n">
        <v>0.302916312699915</v>
      </c>
      <c r="G3119" s="11">
        <f>E3119*Summary!$B$6</f>
        <v/>
      </c>
      <c r="H3119" s="11">
        <f>F3119*Summary!$B$7</f>
        <v/>
      </c>
      <c r="I3119" s="11">
        <f>MAX(0,N3119-M3119)</f>
        <v/>
      </c>
      <c r="J3119" s="11">
        <f>MAX(0,M3119-N3119)</f>
        <v/>
      </c>
      <c r="K3119" s="11">
        <f>O3119</f>
        <v/>
      </c>
      <c r="L3119" s="11">
        <f>L3118+IF(K3119&gt;0,K3119*Summary!$B$9,K3119/Summary!$B$9)</f>
        <v/>
      </c>
      <c r="M3119" s="11">
        <f>G3119+H3119</f>
        <v/>
      </c>
      <c r="N3119" s="11">
        <f>Summary!$C$16*Summary!$B$8</f>
        <v/>
      </c>
      <c r="O3119" s="11">
        <f>M3119-N3119</f>
        <v/>
      </c>
    </row>
    <row r="3120">
      <c r="A3120" s="9" t="n">
        <v>45421.91666666666</v>
      </c>
      <c r="B3120" t="n">
        <v>5</v>
      </c>
      <c r="C3120" t="n">
        <v>9</v>
      </c>
      <c r="D3120" t="n">
        <v>22</v>
      </c>
      <c r="E3120" s="10" t="n">
        <v>0</v>
      </c>
      <c r="F3120" s="10" t="n">
        <v>0.3083975300154072</v>
      </c>
      <c r="G3120" s="11">
        <f>E3120*Summary!$B$6</f>
        <v/>
      </c>
      <c r="H3120" s="11">
        <f>F3120*Summary!$B$7</f>
        <v/>
      </c>
      <c r="I3120" s="11">
        <f>MAX(0,N3120-M3120)</f>
        <v/>
      </c>
      <c r="J3120" s="11">
        <f>MAX(0,M3120-N3120)</f>
        <v/>
      </c>
      <c r="K3120" s="11">
        <f>O3120</f>
        <v/>
      </c>
      <c r="L3120" s="11">
        <f>L3119+IF(K3120&gt;0,K3120*Summary!$B$9,K3120/Summary!$B$9)</f>
        <v/>
      </c>
      <c r="M3120" s="11">
        <f>G3120+H3120</f>
        <v/>
      </c>
      <c r="N3120" s="11">
        <f>Summary!$C$16*Summary!$B$8</f>
        <v/>
      </c>
      <c r="O3120" s="11">
        <f>M3120-N3120</f>
        <v/>
      </c>
    </row>
    <row r="3121">
      <c r="A3121" s="9" t="n">
        <v>45421.95833333334</v>
      </c>
      <c r="B3121" t="n">
        <v>5</v>
      </c>
      <c r="C3121" t="n">
        <v>9</v>
      </c>
      <c r="D3121" t="n">
        <v>23</v>
      </c>
      <c r="E3121" s="10" t="n">
        <v>0</v>
      </c>
      <c r="F3121" s="10" t="n">
        <v>0.3212836611080787</v>
      </c>
      <c r="G3121" s="11">
        <f>E3121*Summary!$B$6</f>
        <v/>
      </c>
      <c r="H3121" s="11">
        <f>F3121*Summary!$B$7</f>
        <v/>
      </c>
      <c r="I3121" s="11">
        <f>MAX(0,N3121-M3121)</f>
        <v/>
      </c>
      <c r="J3121" s="11">
        <f>MAX(0,M3121-N3121)</f>
        <v/>
      </c>
      <c r="K3121" s="11">
        <f>O3121</f>
        <v/>
      </c>
      <c r="L3121" s="11">
        <f>L3120+IF(K3121&gt;0,K3121*Summary!$B$9,K3121/Summary!$B$9)</f>
        <v/>
      </c>
      <c r="M3121" s="11">
        <f>G3121+H3121</f>
        <v/>
      </c>
      <c r="N3121" s="11">
        <f>Summary!$C$16*Summary!$B$8</f>
        <v/>
      </c>
      <c r="O3121" s="11">
        <f>M3121-N3121</f>
        <v/>
      </c>
    </row>
    <row r="3122">
      <c r="A3122" s="9" t="n">
        <v>45422</v>
      </c>
      <c r="B3122" t="n">
        <v>5</v>
      </c>
      <c r="C3122" t="n">
        <v>10</v>
      </c>
      <c r="D3122" t="n">
        <v>0</v>
      </c>
      <c r="E3122" s="10" t="n">
        <v>0</v>
      </c>
      <c r="F3122" s="10" t="n">
        <v>0.3034697048327292</v>
      </c>
      <c r="G3122" s="11">
        <f>E3122*Summary!$B$6</f>
        <v/>
      </c>
      <c r="H3122" s="11">
        <f>F3122*Summary!$B$7</f>
        <v/>
      </c>
      <c r="I3122" s="11">
        <f>MAX(0,N3122-M3122)</f>
        <v/>
      </c>
      <c r="J3122" s="11">
        <f>MAX(0,M3122-N3122)</f>
        <v/>
      </c>
      <c r="K3122" s="11">
        <f>O3122</f>
        <v/>
      </c>
      <c r="L3122" s="11">
        <f>L3121+IF(K3122&gt;0,K3122*Summary!$B$9,K3122/Summary!$B$9)</f>
        <v/>
      </c>
      <c r="M3122" s="11">
        <f>G3122+H3122</f>
        <v/>
      </c>
      <c r="N3122" s="11">
        <f>Summary!$C$16*Summary!$B$8</f>
        <v/>
      </c>
      <c r="O3122" s="11">
        <f>M3122-N3122</f>
        <v/>
      </c>
    </row>
    <row r="3123">
      <c r="A3123" s="9" t="n">
        <v>45422.04166666666</v>
      </c>
      <c r="B3123" t="n">
        <v>5</v>
      </c>
      <c r="C3123" t="n">
        <v>10</v>
      </c>
      <c r="D3123" t="n">
        <v>1</v>
      </c>
      <c r="E3123" s="10" t="n">
        <v>0</v>
      </c>
      <c r="F3123" s="10" t="n">
        <v>0.2890288053669133</v>
      </c>
      <c r="G3123" s="11">
        <f>E3123*Summary!$B$6</f>
        <v/>
      </c>
      <c r="H3123" s="11">
        <f>F3123*Summary!$B$7</f>
        <v/>
      </c>
      <c r="I3123" s="11">
        <f>MAX(0,N3123-M3123)</f>
        <v/>
      </c>
      <c r="J3123" s="11">
        <f>MAX(0,M3123-N3123)</f>
        <v/>
      </c>
      <c r="K3123" s="11">
        <f>O3123</f>
        <v/>
      </c>
      <c r="L3123" s="11">
        <f>L3122+IF(K3123&gt;0,K3123*Summary!$B$9,K3123/Summary!$B$9)</f>
        <v/>
      </c>
      <c r="M3123" s="11">
        <f>G3123+H3123</f>
        <v/>
      </c>
      <c r="N3123" s="11">
        <f>Summary!$C$16*Summary!$B$8</f>
        <v/>
      </c>
      <c r="O3123" s="11">
        <f>M3123-N3123</f>
        <v/>
      </c>
    </row>
    <row r="3124">
      <c r="A3124" s="9" t="n">
        <v>45422.08333333334</v>
      </c>
      <c r="B3124" t="n">
        <v>5</v>
      </c>
      <c r="C3124" t="n">
        <v>10</v>
      </c>
      <c r="D3124" t="n">
        <v>2</v>
      </c>
      <c r="E3124" s="10" t="n">
        <v>0</v>
      </c>
      <c r="F3124" s="10" t="n">
        <v>0.2851550604372145</v>
      </c>
      <c r="G3124" s="11">
        <f>E3124*Summary!$B$6</f>
        <v/>
      </c>
      <c r="H3124" s="11">
        <f>F3124*Summary!$B$7</f>
        <v/>
      </c>
      <c r="I3124" s="11">
        <f>MAX(0,N3124-M3124)</f>
        <v/>
      </c>
      <c r="J3124" s="11">
        <f>MAX(0,M3124-N3124)</f>
        <v/>
      </c>
      <c r="K3124" s="11">
        <f>O3124</f>
        <v/>
      </c>
      <c r="L3124" s="11">
        <f>L3123+IF(K3124&gt;0,K3124*Summary!$B$9,K3124/Summary!$B$9)</f>
        <v/>
      </c>
      <c r="M3124" s="11">
        <f>G3124+H3124</f>
        <v/>
      </c>
      <c r="N3124" s="11">
        <f>Summary!$C$16*Summary!$B$8</f>
        <v/>
      </c>
      <c r="O3124" s="11">
        <f>M3124-N3124</f>
        <v/>
      </c>
    </row>
    <row r="3125">
      <c r="A3125" s="9" t="n">
        <v>45422.125</v>
      </c>
      <c r="B3125" t="n">
        <v>5</v>
      </c>
      <c r="C3125" t="n">
        <v>10</v>
      </c>
      <c r="D3125" t="n">
        <v>3</v>
      </c>
      <c r="E3125" s="10" t="n">
        <v>0</v>
      </c>
      <c r="F3125" s="10" t="n">
        <v>0.2828624358869846</v>
      </c>
      <c r="G3125" s="11">
        <f>E3125*Summary!$B$6</f>
        <v/>
      </c>
      <c r="H3125" s="11">
        <f>F3125*Summary!$B$7</f>
        <v/>
      </c>
      <c r="I3125" s="11">
        <f>MAX(0,N3125-M3125)</f>
        <v/>
      </c>
      <c r="J3125" s="11">
        <f>MAX(0,M3125-N3125)</f>
        <v/>
      </c>
      <c r="K3125" s="11">
        <f>O3125</f>
        <v/>
      </c>
      <c r="L3125" s="11">
        <f>L3124+IF(K3125&gt;0,K3125*Summary!$B$9,K3125/Summary!$B$9)</f>
        <v/>
      </c>
      <c r="M3125" s="11">
        <f>G3125+H3125</f>
        <v/>
      </c>
      <c r="N3125" s="11">
        <f>Summary!$C$16*Summary!$B$8</f>
        <v/>
      </c>
      <c r="O3125" s="11">
        <f>M3125-N3125</f>
        <v/>
      </c>
    </row>
    <row r="3126">
      <c r="A3126" s="9" t="n">
        <v>45422.16666666666</v>
      </c>
      <c r="B3126" t="n">
        <v>5</v>
      </c>
      <c r="C3126" t="n">
        <v>10</v>
      </c>
      <c r="D3126" t="n">
        <v>4</v>
      </c>
      <c r="E3126" s="10" t="n">
        <v>0.005608</v>
      </c>
      <c r="F3126" s="10" t="n">
        <v>0.2690539845729563</v>
      </c>
      <c r="G3126" s="11">
        <f>E3126*Summary!$B$6</f>
        <v/>
      </c>
      <c r="H3126" s="11">
        <f>F3126*Summary!$B$7</f>
        <v/>
      </c>
      <c r="I3126" s="11">
        <f>MAX(0,N3126-M3126)</f>
        <v/>
      </c>
      <c r="J3126" s="11">
        <f>MAX(0,M3126-N3126)</f>
        <v/>
      </c>
      <c r="K3126" s="11">
        <f>O3126</f>
        <v/>
      </c>
      <c r="L3126" s="11">
        <f>L3125+IF(K3126&gt;0,K3126*Summary!$B$9,K3126/Summary!$B$9)</f>
        <v/>
      </c>
      <c r="M3126" s="11">
        <f>G3126+H3126</f>
        <v/>
      </c>
      <c r="N3126" s="11">
        <f>Summary!$C$16*Summary!$B$8</f>
        <v/>
      </c>
      <c r="O3126" s="11">
        <f>M3126-N3126</f>
        <v/>
      </c>
    </row>
    <row r="3127">
      <c r="A3127" s="9" t="n">
        <v>45422.20833333334</v>
      </c>
      <c r="B3127" t="n">
        <v>5</v>
      </c>
      <c r="C3127" t="n">
        <v>10</v>
      </c>
      <c r="D3127" t="n">
        <v>5</v>
      </c>
      <c r="E3127" s="10" t="n">
        <v>0.01738</v>
      </c>
      <c r="F3127" s="10" t="n">
        <v>0.2490001077600258</v>
      </c>
      <c r="G3127" s="11">
        <f>E3127*Summary!$B$6</f>
        <v/>
      </c>
      <c r="H3127" s="11">
        <f>F3127*Summary!$B$7</f>
        <v/>
      </c>
      <c r="I3127" s="11">
        <f>MAX(0,N3127-M3127)</f>
        <v/>
      </c>
      <c r="J3127" s="11">
        <f>MAX(0,M3127-N3127)</f>
        <v/>
      </c>
      <c r="K3127" s="11">
        <f>O3127</f>
        <v/>
      </c>
      <c r="L3127" s="11">
        <f>L3126+IF(K3127&gt;0,K3127*Summary!$B$9,K3127/Summary!$B$9)</f>
        <v/>
      </c>
      <c r="M3127" s="11">
        <f>G3127+H3127</f>
        <v/>
      </c>
      <c r="N3127" s="11">
        <f>Summary!$C$16*Summary!$B$8</f>
        <v/>
      </c>
      <c r="O3127" s="11">
        <f>M3127-N3127</f>
        <v/>
      </c>
    </row>
    <row r="3128">
      <c r="A3128" s="9" t="n">
        <v>45422.25</v>
      </c>
      <c r="B3128" t="n">
        <v>5</v>
      </c>
      <c r="C3128" t="n">
        <v>10</v>
      </c>
      <c r="D3128" t="n">
        <v>6</v>
      </c>
      <c r="E3128" s="10" t="n">
        <v>0.06950099999999999</v>
      </c>
      <c r="F3128" s="10" t="n">
        <v>0.2178520362844887</v>
      </c>
      <c r="G3128" s="11">
        <f>E3128*Summary!$B$6</f>
        <v/>
      </c>
      <c r="H3128" s="11">
        <f>F3128*Summary!$B$7</f>
        <v/>
      </c>
      <c r="I3128" s="11">
        <f>MAX(0,N3128-M3128)</f>
        <v/>
      </c>
      <c r="J3128" s="11">
        <f>MAX(0,M3128-N3128)</f>
        <v/>
      </c>
      <c r="K3128" s="11">
        <f>O3128</f>
        <v/>
      </c>
      <c r="L3128" s="11">
        <f>L3127+IF(K3128&gt;0,K3128*Summary!$B$9,K3128/Summary!$B$9)</f>
        <v/>
      </c>
      <c r="M3128" s="11">
        <f>G3128+H3128</f>
        <v/>
      </c>
      <c r="N3128" s="11">
        <f>Summary!$C$16*Summary!$B$8</f>
        <v/>
      </c>
      <c r="O3128" s="11">
        <f>M3128-N3128</f>
        <v/>
      </c>
    </row>
    <row r="3129">
      <c r="A3129" s="9" t="n">
        <v>45422.29166666666</v>
      </c>
      <c r="B3129" t="n">
        <v>5</v>
      </c>
      <c r="C3129" t="n">
        <v>10</v>
      </c>
      <c r="D3129" t="n">
        <v>7</v>
      </c>
      <c r="E3129" s="10" t="n">
        <v>0.226647</v>
      </c>
      <c r="F3129" s="10" t="n">
        <v>0.1901824296437831</v>
      </c>
      <c r="G3129" s="11">
        <f>E3129*Summary!$B$6</f>
        <v/>
      </c>
      <c r="H3129" s="11">
        <f>F3129*Summary!$B$7</f>
        <v/>
      </c>
      <c r="I3129" s="11">
        <f>MAX(0,N3129-M3129)</f>
        <v/>
      </c>
      <c r="J3129" s="11">
        <f>MAX(0,M3129-N3129)</f>
        <v/>
      </c>
      <c r="K3129" s="11">
        <f>O3129</f>
        <v/>
      </c>
      <c r="L3129" s="11">
        <f>L3128+IF(K3129&gt;0,K3129*Summary!$B$9,K3129/Summary!$B$9)</f>
        <v/>
      </c>
      <c r="M3129" s="11">
        <f>G3129+H3129</f>
        <v/>
      </c>
      <c r="N3129" s="11">
        <f>Summary!$C$16*Summary!$B$8</f>
        <v/>
      </c>
      <c r="O3129" s="11">
        <f>M3129-N3129</f>
        <v/>
      </c>
    </row>
    <row r="3130">
      <c r="A3130" s="9" t="n">
        <v>45422.33333333334</v>
      </c>
      <c r="B3130" t="n">
        <v>5</v>
      </c>
      <c r="C3130" t="n">
        <v>10</v>
      </c>
      <c r="D3130" t="n">
        <v>8</v>
      </c>
      <c r="E3130" s="10" t="n">
        <v>0.213642</v>
      </c>
      <c r="F3130" s="10" t="n">
        <v>0.1801950192468046</v>
      </c>
      <c r="G3130" s="11">
        <f>E3130*Summary!$B$6</f>
        <v/>
      </c>
      <c r="H3130" s="11">
        <f>F3130*Summary!$B$7</f>
        <v/>
      </c>
      <c r="I3130" s="11">
        <f>MAX(0,N3130-M3130)</f>
        <v/>
      </c>
      <c r="J3130" s="11">
        <f>MAX(0,M3130-N3130)</f>
        <v/>
      </c>
      <c r="K3130" s="11">
        <f>O3130</f>
        <v/>
      </c>
      <c r="L3130" s="11">
        <f>L3129+IF(K3130&gt;0,K3130*Summary!$B$9,K3130/Summary!$B$9)</f>
        <v/>
      </c>
      <c r="M3130" s="11">
        <f>G3130+H3130</f>
        <v/>
      </c>
      <c r="N3130" s="11">
        <f>Summary!$C$16*Summary!$B$8</f>
        <v/>
      </c>
      <c r="O3130" s="11">
        <f>M3130-N3130</f>
        <v/>
      </c>
    </row>
    <row r="3131">
      <c r="A3131" s="9" t="n">
        <v>45422.375</v>
      </c>
      <c r="B3131" t="n">
        <v>5</v>
      </c>
      <c r="C3131" t="n">
        <v>10</v>
      </c>
      <c r="D3131" t="n">
        <v>9</v>
      </c>
      <c r="E3131" s="10" t="n">
        <v>0.281415</v>
      </c>
      <c r="F3131" s="10" t="n">
        <v>0.1802477232594536</v>
      </c>
      <c r="G3131" s="11">
        <f>E3131*Summary!$B$6</f>
        <v/>
      </c>
      <c r="H3131" s="11">
        <f>F3131*Summary!$B$7</f>
        <v/>
      </c>
      <c r="I3131" s="11">
        <f>MAX(0,N3131-M3131)</f>
        <v/>
      </c>
      <c r="J3131" s="11">
        <f>MAX(0,M3131-N3131)</f>
        <v/>
      </c>
      <c r="K3131" s="11">
        <f>O3131</f>
        <v/>
      </c>
      <c r="L3131" s="11">
        <f>L3130+IF(K3131&gt;0,K3131*Summary!$B$9,K3131/Summary!$B$9)</f>
        <v/>
      </c>
      <c r="M3131" s="11">
        <f>G3131+H3131</f>
        <v/>
      </c>
      <c r="N3131" s="11">
        <f>Summary!$C$16*Summary!$B$8</f>
        <v/>
      </c>
      <c r="O3131" s="11">
        <f>M3131-N3131</f>
        <v/>
      </c>
    </row>
    <row r="3132">
      <c r="A3132" s="9" t="n">
        <v>45422.41666666666</v>
      </c>
      <c r="B3132" t="n">
        <v>5</v>
      </c>
      <c r="C3132" t="n">
        <v>10</v>
      </c>
      <c r="D3132" t="n">
        <v>10</v>
      </c>
      <c r="E3132" s="10" t="n">
        <v>0.360335</v>
      </c>
      <c r="F3132" s="10" t="n">
        <v>0.1879688611125266</v>
      </c>
      <c r="G3132" s="11">
        <f>E3132*Summary!$B$6</f>
        <v/>
      </c>
      <c r="H3132" s="11">
        <f>F3132*Summary!$B$7</f>
        <v/>
      </c>
      <c r="I3132" s="11">
        <f>MAX(0,N3132-M3132)</f>
        <v/>
      </c>
      <c r="J3132" s="11">
        <f>MAX(0,M3132-N3132)</f>
        <v/>
      </c>
      <c r="K3132" s="11">
        <f>O3132</f>
        <v/>
      </c>
      <c r="L3132" s="11">
        <f>L3131+IF(K3132&gt;0,K3132*Summary!$B$9,K3132/Summary!$B$9)</f>
        <v/>
      </c>
      <c r="M3132" s="11">
        <f>G3132+H3132</f>
        <v/>
      </c>
      <c r="N3132" s="11">
        <f>Summary!$C$16*Summary!$B$8</f>
        <v/>
      </c>
      <c r="O3132" s="11">
        <f>M3132-N3132</f>
        <v/>
      </c>
    </row>
    <row r="3133">
      <c r="A3133" s="9" t="n">
        <v>45422.45833333334</v>
      </c>
      <c r="B3133" t="n">
        <v>5</v>
      </c>
      <c r="C3133" t="n">
        <v>10</v>
      </c>
      <c r="D3133" t="n">
        <v>11</v>
      </c>
      <c r="E3133" s="10" t="n">
        <v>0.320684</v>
      </c>
      <c r="F3133" s="10" t="n">
        <v>0.1995110398826496</v>
      </c>
      <c r="G3133" s="11">
        <f>E3133*Summary!$B$6</f>
        <v/>
      </c>
      <c r="H3133" s="11">
        <f>F3133*Summary!$B$7</f>
        <v/>
      </c>
      <c r="I3133" s="11">
        <f>MAX(0,N3133-M3133)</f>
        <v/>
      </c>
      <c r="J3133" s="11">
        <f>MAX(0,M3133-N3133)</f>
        <v/>
      </c>
      <c r="K3133" s="11">
        <f>O3133</f>
        <v/>
      </c>
      <c r="L3133" s="11">
        <f>L3132+IF(K3133&gt;0,K3133*Summary!$B$9,K3133/Summary!$B$9)</f>
        <v/>
      </c>
      <c r="M3133" s="11">
        <f>G3133+H3133</f>
        <v/>
      </c>
      <c r="N3133" s="11">
        <f>Summary!$C$16*Summary!$B$8</f>
        <v/>
      </c>
      <c r="O3133" s="11">
        <f>M3133-N3133</f>
        <v/>
      </c>
    </row>
    <row r="3134">
      <c r="A3134" s="9" t="n">
        <v>45422.5</v>
      </c>
      <c r="B3134" t="n">
        <v>5</v>
      </c>
      <c r="C3134" t="n">
        <v>10</v>
      </c>
      <c r="D3134" t="n">
        <v>12</v>
      </c>
      <c r="E3134" s="10" t="n">
        <v>0.362725</v>
      </c>
      <c r="F3134" s="10" t="n">
        <v>0.2309753354340805</v>
      </c>
      <c r="G3134" s="11">
        <f>E3134*Summary!$B$6</f>
        <v/>
      </c>
      <c r="H3134" s="11">
        <f>F3134*Summary!$B$7</f>
        <v/>
      </c>
      <c r="I3134" s="11">
        <f>MAX(0,N3134-M3134)</f>
        <v/>
      </c>
      <c r="J3134" s="11">
        <f>MAX(0,M3134-N3134)</f>
        <v/>
      </c>
      <c r="K3134" s="11">
        <f>O3134</f>
        <v/>
      </c>
      <c r="L3134" s="11">
        <f>L3133+IF(K3134&gt;0,K3134*Summary!$B$9,K3134/Summary!$B$9)</f>
        <v/>
      </c>
      <c r="M3134" s="11">
        <f>G3134+H3134</f>
        <v/>
      </c>
      <c r="N3134" s="11">
        <f>Summary!$C$16*Summary!$B$8</f>
        <v/>
      </c>
      <c r="O3134" s="11">
        <f>M3134-N3134</f>
        <v/>
      </c>
    </row>
    <row r="3135">
      <c r="A3135" s="9" t="n">
        <v>45422.54166666666</v>
      </c>
      <c r="B3135" t="n">
        <v>5</v>
      </c>
      <c r="C3135" t="n">
        <v>10</v>
      </c>
      <c r="D3135" t="n">
        <v>13</v>
      </c>
      <c r="E3135" s="10" t="n">
        <v>0.3395</v>
      </c>
      <c r="F3135" s="10" t="n">
        <v>0.2254150620996149</v>
      </c>
      <c r="G3135" s="11">
        <f>E3135*Summary!$B$6</f>
        <v/>
      </c>
      <c r="H3135" s="11">
        <f>F3135*Summary!$B$7</f>
        <v/>
      </c>
      <c r="I3135" s="11">
        <f>MAX(0,N3135-M3135)</f>
        <v/>
      </c>
      <c r="J3135" s="11">
        <f>MAX(0,M3135-N3135)</f>
        <v/>
      </c>
      <c r="K3135" s="11">
        <f>O3135</f>
        <v/>
      </c>
      <c r="L3135" s="11">
        <f>L3134+IF(K3135&gt;0,K3135*Summary!$B$9,K3135/Summary!$B$9)</f>
        <v/>
      </c>
      <c r="M3135" s="11">
        <f>G3135+H3135</f>
        <v/>
      </c>
      <c r="N3135" s="11">
        <f>Summary!$C$16*Summary!$B$8</f>
        <v/>
      </c>
      <c r="O3135" s="11">
        <f>M3135-N3135</f>
        <v/>
      </c>
    </row>
    <row r="3136">
      <c r="A3136" s="9" t="n">
        <v>45422.58333333334</v>
      </c>
      <c r="B3136" t="n">
        <v>5</v>
      </c>
      <c r="C3136" t="n">
        <v>10</v>
      </c>
      <c r="D3136" t="n">
        <v>14</v>
      </c>
      <c r="E3136" s="10" t="n">
        <v>0.282331</v>
      </c>
      <c r="F3136" s="10" t="n">
        <v>0.2354288245029179</v>
      </c>
      <c r="G3136" s="11">
        <f>E3136*Summary!$B$6</f>
        <v/>
      </c>
      <c r="H3136" s="11">
        <f>F3136*Summary!$B$7</f>
        <v/>
      </c>
      <c r="I3136" s="11">
        <f>MAX(0,N3136-M3136)</f>
        <v/>
      </c>
      <c r="J3136" s="11">
        <f>MAX(0,M3136-N3136)</f>
        <v/>
      </c>
      <c r="K3136" s="11">
        <f>O3136</f>
        <v/>
      </c>
      <c r="L3136" s="11">
        <f>L3135+IF(K3136&gt;0,K3136*Summary!$B$9,K3136/Summary!$B$9)</f>
        <v/>
      </c>
      <c r="M3136" s="11">
        <f>G3136+H3136</f>
        <v/>
      </c>
      <c r="N3136" s="11">
        <f>Summary!$C$16*Summary!$B$8</f>
        <v/>
      </c>
      <c r="O3136" s="11">
        <f>M3136-N3136</f>
        <v/>
      </c>
    </row>
    <row r="3137">
      <c r="A3137" s="9" t="n">
        <v>45422.625</v>
      </c>
      <c r="B3137" t="n">
        <v>5</v>
      </c>
      <c r="C3137" t="n">
        <v>10</v>
      </c>
      <c r="D3137" t="n">
        <v>15</v>
      </c>
      <c r="E3137" s="10" t="n">
        <v>0.244628</v>
      </c>
      <c r="F3137" s="10" t="n">
        <v>0.2387491772998026</v>
      </c>
      <c r="G3137" s="11">
        <f>E3137*Summary!$B$6</f>
        <v/>
      </c>
      <c r="H3137" s="11">
        <f>F3137*Summary!$B$7</f>
        <v/>
      </c>
      <c r="I3137" s="11">
        <f>MAX(0,N3137-M3137)</f>
        <v/>
      </c>
      <c r="J3137" s="11">
        <f>MAX(0,M3137-N3137)</f>
        <v/>
      </c>
      <c r="K3137" s="11">
        <f>O3137</f>
        <v/>
      </c>
      <c r="L3137" s="11">
        <f>L3136+IF(K3137&gt;0,K3137*Summary!$B$9,K3137/Summary!$B$9)</f>
        <v/>
      </c>
      <c r="M3137" s="11">
        <f>G3137+H3137</f>
        <v/>
      </c>
      <c r="N3137" s="11">
        <f>Summary!$C$16*Summary!$B$8</f>
        <v/>
      </c>
      <c r="O3137" s="11">
        <f>M3137-N3137</f>
        <v/>
      </c>
    </row>
    <row r="3138">
      <c r="A3138" s="9" t="n">
        <v>45422.66666666666</v>
      </c>
      <c r="B3138" t="n">
        <v>5</v>
      </c>
      <c r="C3138" t="n">
        <v>10</v>
      </c>
      <c r="D3138" t="n">
        <v>16</v>
      </c>
      <c r="E3138" s="10" t="n">
        <v>0.161136</v>
      </c>
      <c r="F3138" s="10" t="n">
        <v>0.2443621546469171</v>
      </c>
      <c r="G3138" s="11">
        <f>E3138*Summary!$B$6</f>
        <v/>
      </c>
      <c r="H3138" s="11">
        <f>F3138*Summary!$B$7</f>
        <v/>
      </c>
      <c r="I3138" s="11">
        <f>MAX(0,N3138-M3138)</f>
        <v/>
      </c>
      <c r="J3138" s="11">
        <f>MAX(0,M3138-N3138)</f>
        <v/>
      </c>
      <c r="K3138" s="11">
        <f>O3138</f>
        <v/>
      </c>
      <c r="L3138" s="11">
        <f>L3137+IF(K3138&gt;0,K3138*Summary!$B$9,K3138/Summary!$B$9)</f>
        <v/>
      </c>
      <c r="M3138" s="11">
        <f>G3138+H3138</f>
        <v/>
      </c>
      <c r="N3138" s="11">
        <f>Summary!$C$16*Summary!$B$8</f>
        <v/>
      </c>
      <c r="O3138" s="11">
        <f>M3138-N3138</f>
        <v/>
      </c>
    </row>
    <row r="3139">
      <c r="A3139" s="9" t="n">
        <v>45422.70833333334</v>
      </c>
      <c r="B3139" t="n">
        <v>5</v>
      </c>
      <c r="C3139" t="n">
        <v>10</v>
      </c>
      <c r="D3139" t="n">
        <v>17</v>
      </c>
      <c r="E3139" s="10" t="n">
        <v>0.103184</v>
      </c>
      <c r="F3139" s="10" t="n">
        <v>0.2428073862737727</v>
      </c>
      <c r="G3139" s="11">
        <f>E3139*Summary!$B$6</f>
        <v/>
      </c>
      <c r="H3139" s="11">
        <f>F3139*Summary!$B$7</f>
        <v/>
      </c>
      <c r="I3139" s="11">
        <f>MAX(0,N3139-M3139)</f>
        <v/>
      </c>
      <c r="J3139" s="11">
        <f>MAX(0,M3139-N3139)</f>
        <v/>
      </c>
      <c r="K3139" s="11">
        <f>O3139</f>
        <v/>
      </c>
      <c r="L3139" s="11">
        <f>L3138+IF(K3139&gt;0,K3139*Summary!$B$9,K3139/Summary!$B$9)</f>
        <v/>
      </c>
      <c r="M3139" s="11">
        <f>G3139+H3139</f>
        <v/>
      </c>
      <c r="N3139" s="11">
        <f>Summary!$C$16*Summary!$B$8</f>
        <v/>
      </c>
      <c r="O3139" s="11">
        <f>M3139-N3139</f>
        <v/>
      </c>
    </row>
    <row r="3140">
      <c r="A3140" s="9" t="n">
        <v>45422.75</v>
      </c>
      <c r="B3140" t="n">
        <v>5</v>
      </c>
      <c r="C3140" t="n">
        <v>10</v>
      </c>
      <c r="D3140" t="n">
        <v>18</v>
      </c>
      <c r="E3140" s="10" t="n">
        <v>0.055362</v>
      </c>
      <c r="F3140" s="10" t="n">
        <v>0.2461540910769819</v>
      </c>
      <c r="G3140" s="11">
        <f>E3140*Summary!$B$6</f>
        <v/>
      </c>
      <c r="H3140" s="11">
        <f>F3140*Summary!$B$7</f>
        <v/>
      </c>
      <c r="I3140" s="11">
        <f>MAX(0,N3140-M3140)</f>
        <v/>
      </c>
      <c r="J3140" s="11">
        <f>MAX(0,M3140-N3140)</f>
        <v/>
      </c>
      <c r="K3140" s="11">
        <f>O3140</f>
        <v/>
      </c>
      <c r="L3140" s="11">
        <f>L3139+IF(K3140&gt;0,K3140*Summary!$B$9,K3140/Summary!$B$9)</f>
        <v/>
      </c>
      <c r="M3140" s="11">
        <f>G3140+H3140</f>
        <v/>
      </c>
      <c r="N3140" s="11">
        <f>Summary!$C$16*Summary!$B$8</f>
        <v/>
      </c>
      <c r="O3140" s="11">
        <f>M3140-N3140</f>
        <v/>
      </c>
    </row>
    <row r="3141">
      <c r="A3141" s="9" t="n">
        <v>45422.79166666666</v>
      </c>
      <c r="B3141" t="n">
        <v>5</v>
      </c>
      <c r="C3141" t="n">
        <v>10</v>
      </c>
      <c r="D3141" t="n">
        <v>19</v>
      </c>
      <c r="E3141" s="10" t="n">
        <v>0.010952</v>
      </c>
      <c r="F3141" s="10" t="n">
        <v>0.2536907648857836</v>
      </c>
      <c r="G3141" s="11">
        <f>E3141*Summary!$B$6</f>
        <v/>
      </c>
      <c r="H3141" s="11">
        <f>F3141*Summary!$B$7</f>
        <v/>
      </c>
      <c r="I3141" s="11">
        <f>MAX(0,N3141-M3141)</f>
        <v/>
      </c>
      <c r="J3141" s="11">
        <f>MAX(0,M3141-N3141)</f>
        <v/>
      </c>
      <c r="K3141" s="11">
        <f>O3141</f>
        <v/>
      </c>
      <c r="L3141" s="11">
        <f>L3140+IF(K3141&gt;0,K3141*Summary!$B$9,K3141/Summary!$B$9)</f>
        <v/>
      </c>
      <c r="M3141" s="11">
        <f>G3141+H3141</f>
        <v/>
      </c>
      <c r="N3141" s="11">
        <f>Summary!$C$16*Summary!$B$8</f>
        <v/>
      </c>
      <c r="O3141" s="11">
        <f>M3141-N3141</f>
        <v/>
      </c>
    </row>
    <row r="3142">
      <c r="A3142" s="9" t="n">
        <v>45422.83333333334</v>
      </c>
      <c r="B3142" t="n">
        <v>5</v>
      </c>
      <c r="C3142" t="n">
        <v>10</v>
      </c>
      <c r="D3142" t="n">
        <v>20</v>
      </c>
      <c r="E3142" s="10" t="n">
        <v>0</v>
      </c>
      <c r="F3142" s="10" t="n">
        <v>0.2742189778125547</v>
      </c>
      <c r="G3142" s="11">
        <f>E3142*Summary!$B$6</f>
        <v/>
      </c>
      <c r="H3142" s="11">
        <f>F3142*Summary!$B$7</f>
        <v/>
      </c>
      <c r="I3142" s="11">
        <f>MAX(0,N3142-M3142)</f>
        <v/>
      </c>
      <c r="J3142" s="11">
        <f>MAX(0,M3142-N3142)</f>
        <v/>
      </c>
      <c r="K3142" s="11">
        <f>O3142</f>
        <v/>
      </c>
      <c r="L3142" s="11">
        <f>L3141+IF(K3142&gt;0,K3142*Summary!$B$9,K3142/Summary!$B$9)</f>
        <v/>
      </c>
      <c r="M3142" s="11">
        <f>G3142+H3142</f>
        <v/>
      </c>
      <c r="N3142" s="11">
        <f>Summary!$C$16*Summary!$B$8</f>
        <v/>
      </c>
      <c r="O3142" s="11">
        <f>M3142-N3142</f>
        <v/>
      </c>
    </row>
    <row r="3143">
      <c r="A3143" s="9" t="n">
        <v>45422.875</v>
      </c>
      <c r="B3143" t="n">
        <v>5</v>
      </c>
      <c r="C3143" t="n">
        <v>10</v>
      </c>
      <c r="D3143" t="n">
        <v>21</v>
      </c>
      <c r="E3143" s="10" t="n">
        <v>0</v>
      </c>
      <c r="F3143" s="10" t="n">
        <v>0.2894240854617805</v>
      </c>
      <c r="G3143" s="11">
        <f>E3143*Summary!$B$6</f>
        <v/>
      </c>
      <c r="H3143" s="11">
        <f>F3143*Summary!$B$7</f>
        <v/>
      </c>
      <c r="I3143" s="11">
        <f>MAX(0,N3143-M3143)</f>
        <v/>
      </c>
      <c r="J3143" s="11">
        <f>MAX(0,M3143-N3143)</f>
        <v/>
      </c>
      <c r="K3143" s="11">
        <f>O3143</f>
        <v/>
      </c>
      <c r="L3143" s="11">
        <f>L3142+IF(K3143&gt;0,K3143*Summary!$B$9,K3143/Summary!$B$9)</f>
        <v/>
      </c>
      <c r="M3143" s="11">
        <f>G3143+H3143</f>
        <v/>
      </c>
      <c r="N3143" s="11">
        <f>Summary!$C$16*Summary!$B$8</f>
        <v/>
      </c>
      <c r="O3143" s="11">
        <f>M3143-N3143</f>
        <v/>
      </c>
    </row>
    <row r="3144">
      <c r="A3144" s="9" t="n">
        <v>45422.91666666666</v>
      </c>
      <c r="B3144" t="n">
        <v>5</v>
      </c>
      <c r="C3144" t="n">
        <v>10</v>
      </c>
      <c r="D3144" t="n">
        <v>22</v>
      </c>
      <c r="E3144" s="10" t="n">
        <v>0</v>
      </c>
      <c r="F3144" s="10" t="n">
        <v>0.2976195594286943</v>
      </c>
      <c r="G3144" s="11">
        <f>E3144*Summary!$B$6</f>
        <v/>
      </c>
      <c r="H3144" s="11">
        <f>F3144*Summary!$B$7</f>
        <v/>
      </c>
      <c r="I3144" s="11">
        <f>MAX(0,N3144-M3144)</f>
        <v/>
      </c>
      <c r="J3144" s="11">
        <f>MAX(0,M3144-N3144)</f>
        <v/>
      </c>
      <c r="K3144" s="11">
        <f>O3144</f>
        <v/>
      </c>
      <c r="L3144" s="11">
        <f>L3143+IF(K3144&gt;0,K3144*Summary!$B$9,K3144/Summary!$B$9)</f>
        <v/>
      </c>
      <c r="M3144" s="11">
        <f>G3144+H3144</f>
        <v/>
      </c>
      <c r="N3144" s="11">
        <f>Summary!$C$16*Summary!$B$8</f>
        <v/>
      </c>
      <c r="O3144" s="11">
        <f>M3144-N3144</f>
        <v/>
      </c>
    </row>
    <row r="3145">
      <c r="A3145" s="9" t="n">
        <v>45422.95833333334</v>
      </c>
      <c r="B3145" t="n">
        <v>5</v>
      </c>
      <c r="C3145" t="n">
        <v>10</v>
      </c>
      <c r="D3145" t="n">
        <v>23</v>
      </c>
      <c r="E3145" s="10" t="n">
        <v>0</v>
      </c>
      <c r="F3145" s="10" t="n">
        <v>0.3033906488137557</v>
      </c>
      <c r="G3145" s="11">
        <f>E3145*Summary!$B$6</f>
        <v/>
      </c>
      <c r="H3145" s="11">
        <f>F3145*Summary!$B$7</f>
        <v/>
      </c>
      <c r="I3145" s="11">
        <f>MAX(0,N3145-M3145)</f>
        <v/>
      </c>
      <c r="J3145" s="11">
        <f>MAX(0,M3145-N3145)</f>
        <v/>
      </c>
      <c r="K3145" s="11">
        <f>O3145</f>
        <v/>
      </c>
      <c r="L3145" s="11">
        <f>L3144+IF(K3145&gt;0,K3145*Summary!$B$9,K3145/Summary!$B$9)</f>
        <v/>
      </c>
      <c r="M3145" s="11">
        <f>G3145+H3145</f>
        <v/>
      </c>
      <c r="N3145" s="11">
        <f>Summary!$C$16*Summary!$B$8</f>
        <v/>
      </c>
      <c r="O3145" s="11">
        <f>M3145-N3145</f>
        <v/>
      </c>
    </row>
    <row r="3146">
      <c r="A3146" s="9" t="n">
        <v>45423</v>
      </c>
      <c r="B3146" t="n">
        <v>5</v>
      </c>
      <c r="C3146" t="n">
        <v>11</v>
      </c>
      <c r="D3146" t="n">
        <v>0</v>
      </c>
      <c r="E3146" s="10" t="n">
        <v>0</v>
      </c>
      <c r="F3146" s="10" t="n">
        <v>0.2655755197381247</v>
      </c>
      <c r="G3146" s="11">
        <f>E3146*Summary!$B$6</f>
        <v/>
      </c>
      <c r="H3146" s="11">
        <f>F3146*Summary!$B$7</f>
        <v/>
      </c>
      <c r="I3146" s="11">
        <f>MAX(0,N3146-M3146)</f>
        <v/>
      </c>
      <c r="J3146" s="11">
        <f>MAX(0,M3146-N3146)</f>
        <v/>
      </c>
      <c r="K3146" s="11">
        <f>O3146</f>
        <v/>
      </c>
      <c r="L3146" s="11">
        <f>L3145+IF(K3146&gt;0,K3146*Summary!$B$9,K3146/Summary!$B$9)</f>
        <v/>
      </c>
      <c r="M3146" s="11">
        <f>G3146+H3146</f>
        <v/>
      </c>
      <c r="N3146" s="11">
        <f>Summary!$C$16*Summary!$B$8</f>
        <v/>
      </c>
      <c r="O3146" s="11">
        <f>M3146-N3146</f>
        <v/>
      </c>
    </row>
    <row r="3147">
      <c r="A3147" s="9" t="n">
        <v>45423.04166666666</v>
      </c>
      <c r="B3147" t="n">
        <v>5</v>
      </c>
      <c r="C3147" t="n">
        <v>11</v>
      </c>
      <c r="D3147" t="n">
        <v>1</v>
      </c>
      <c r="E3147" s="10" t="n">
        <v>0</v>
      </c>
      <c r="F3147" s="10" t="n">
        <v>0.2947998947519747</v>
      </c>
      <c r="G3147" s="11">
        <f>E3147*Summary!$B$6</f>
        <v/>
      </c>
      <c r="H3147" s="11">
        <f>F3147*Summary!$B$7</f>
        <v/>
      </c>
      <c r="I3147" s="11">
        <f>MAX(0,N3147-M3147)</f>
        <v/>
      </c>
      <c r="J3147" s="11">
        <f>MAX(0,M3147-N3147)</f>
        <v/>
      </c>
      <c r="K3147" s="11">
        <f>O3147</f>
        <v/>
      </c>
      <c r="L3147" s="11">
        <f>L3146+IF(K3147&gt;0,K3147*Summary!$B$9,K3147/Summary!$B$9)</f>
        <v/>
      </c>
      <c r="M3147" s="11">
        <f>G3147+H3147</f>
        <v/>
      </c>
      <c r="N3147" s="11">
        <f>Summary!$C$16*Summary!$B$8</f>
        <v/>
      </c>
      <c r="O3147" s="11">
        <f>M3147-N3147</f>
        <v/>
      </c>
    </row>
    <row r="3148">
      <c r="A3148" s="9" t="n">
        <v>45423.08333333334</v>
      </c>
      <c r="B3148" t="n">
        <v>5</v>
      </c>
      <c r="C3148" t="n">
        <v>11</v>
      </c>
      <c r="D3148" t="n">
        <v>2</v>
      </c>
      <c r="E3148" s="10" t="n">
        <v>0</v>
      </c>
      <c r="F3148" s="10" t="n">
        <v>0.2825725638174153</v>
      </c>
      <c r="G3148" s="11">
        <f>E3148*Summary!$B$6</f>
        <v/>
      </c>
      <c r="H3148" s="11">
        <f>F3148*Summary!$B$7</f>
        <v/>
      </c>
      <c r="I3148" s="11">
        <f>MAX(0,N3148-M3148)</f>
        <v/>
      </c>
      <c r="J3148" s="11">
        <f>MAX(0,M3148-N3148)</f>
        <v/>
      </c>
      <c r="K3148" s="11">
        <f>O3148</f>
        <v/>
      </c>
      <c r="L3148" s="11">
        <f>L3147+IF(K3148&gt;0,K3148*Summary!$B$9,K3148/Summary!$B$9)</f>
        <v/>
      </c>
      <c r="M3148" s="11">
        <f>G3148+H3148</f>
        <v/>
      </c>
      <c r="N3148" s="11">
        <f>Summary!$C$16*Summary!$B$8</f>
        <v/>
      </c>
      <c r="O3148" s="11">
        <f>M3148-N3148</f>
        <v/>
      </c>
    </row>
    <row r="3149">
      <c r="A3149" s="9" t="n">
        <v>45423.125</v>
      </c>
      <c r="B3149" t="n">
        <v>5</v>
      </c>
      <c r="C3149" t="n">
        <v>11</v>
      </c>
      <c r="D3149" t="n">
        <v>3</v>
      </c>
      <c r="E3149" s="10" t="n">
        <v>0</v>
      </c>
      <c r="F3149" s="10" t="n">
        <v>0.2622551669412401</v>
      </c>
      <c r="G3149" s="11">
        <f>E3149*Summary!$B$6</f>
        <v/>
      </c>
      <c r="H3149" s="11">
        <f>F3149*Summary!$B$7</f>
        <v/>
      </c>
      <c r="I3149" s="11">
        <f>MAX(0,N3149-M3149)</f>
        <v/>
      </c>
      <c r="J3149" s="11">
        <f>MAX(0,M3149-N3149)</f>
        <v/>
      </c>
      <c r="K3149" s="11">
        <f>O3149</f>
        <v/>
      </c>
      <c r="L3149" s="11">
        <f>L3148+IF(K3149&gt;0,K3149*Summary!$B$9,K3149/Summary!$B$9)</f>
        <v/>
      </c>
      <c r="M3149" s="11">
        <f>G3149+H3149</f>
        <v/>
      </c>
      <c r="N3149" s="11">
        <f>Summary!$C$16*Summary!$B$8</f>
        <v/>
      </c>
      <c r="O3149" s="11">
        <f>M3149-N3149</f>
        <v/>
      </c>
    </row>
    <row r="3150">
      <c r="A3150" s="9" t="n">
        <v>45423.16666666666</v>
      </c>
      <c r="B3150" t="n">
        <v>5</v>
      </c>
      <c r="C3150" t="n">
        <v>11</v>
      </c>
      <c r="D3150" t="n">
        <v>4</v>
      </c>
      <c r="E3150" s="10" t="n">
        <v>0</v>
      </c>
      <c r="F3150" s="10" t="n">
        <v>0.2437297064951296</v>
      </c>
      <c r="G3150" s="11">
        <f>E3150*Summary!$B$6</f>
        <v/>
      </c>
      <c r="H3150" s="11">
        <f>F3150*Summary!$B$7</f>
        <v/>
      </c>
      <c r="I3150" s="11">
        <f>MAX(0,N3150-M3150)</f>
        <v/>
      </c>
      <c r="J3150" s="11">
        <f>MAX(0,M3150-N3150)</f>
        <v/>
      </c>
      <c r="K3150" s="11">
        <f>O3150</f>
        <v/>
      </c>
      <c r="L3150" s="11">
        <f>L3149+IF(K3150&gt;0,K3150*Summary!$B$9,K3150/Summary!$B$9)</f>
        <v/>
      </c>
      <c r="M3150" s="11">
        <f>G3150+H3150</f>
        <v/>
      </c>
      <c r="N3150" s="11">
        <f>Summary!$C$16*Summary!$B$8</f>
        <v/>
      </c>
      <c r="O3150" s="11">
        <f>M3150-N3150</f>
        <v/>
      </c>
    </row>
    <row r="3151">
      <c r="A3151" s="9" t="n">
        <v>45423.20833333334</v>
      </c>
      <c r="B3151" t="n">
        <v>5</v>
      </c>
      <c r="C3151" t="n">
        <v>11</v>
      </c>
      <c r="D3151" t="n">
        <v>5</v>
      </c>
      <c r="E3151" s="10" t="n">
        <v>0.008170999999999999</v>
      </c>
      <c r="F3151" s="10" t="n">
        <v>0.2172986441516746</v>
      </c>
      <c r="G3151" s="11">
        <f>E3151*Summary!$B$6</f>
        <v/>
      </c>
      <c r="H3151" s="11">
        <f>F3151*Summary!$B$7</f>
        <v/>
      </c>
      <c r="I3151" s="11">
        <f>MAX(0,N3151-M3151)</f>
        <v/>
      </c>
      <c r="J3151" s="11">
        <f>MAX(0,M3151-N3151)</f>
        <v/>
      </c>
      <c r="K3151" s="11">
        <f>O3151</f>
        <v/>
      </c>
      <c r="L3151" s="11">
        <f>L3150+IF(K3151&gt;0,K3151*Summary!$B$9,K3151/Summary!$B$9)</f>
        <v/>
      </c>
      <c r="M3151" s="11">
        <f>G3151+H3151</f>
        <v/>
      </c>
      <c r="N3151" s="11">
        <f>Summary!$C$16*Summary!$B$8</f>
        <v/>
      </c>
      <c r="O3151" s="11">
        <f>M3151-N3151</f>
        <v/>
      </c>
    </row>
    <row r="3152">
      <c r="A3152" s="9" t="n">
        <v>45423.25</v>
      </c>
      <c r="B3152" t="n">
        <v>5</v>
      </c>
      <c r="C3152" t="n">
        <v>11</v>
      </c>
      <c r="D3152" t="n">
        <v>6</v>
      </c>
      <c r="E3152" s="10" t="n">
        <v>0.041198</v>
      </c>
      <c r="F3152" s="10" t="n">
        <v>0.190287837669081</v>
      </c>
      <c r="G3152" s="11">
        <f>E3152*Summary!$B$6</f>
        <v/>
      </c>
      <c r="H3152" s="11">
        <f>F3152*Summary!$B$7</f>
        <v/>
      </c>
      <c r="I3152" s="11">
        <f>MAX(0,N3152-M3152)</f>
        <v/>
      </c>
      <c r="J3152" s="11">
        <f>MAX(0,M3152-N3152)</f>
        <v/>
      </c>
      <c r="K3152" s="11">
        <f>O3152</f>
        <v/>
      </c>
      <c r="L3152" s="11">
        <f>L3151+IF(K3152&gt;0,K3152*Summary!$B$9,K3152/Summary!$B$9)</f>
        <v/>
      </c>
      <c r="M3152" s="11">
        <f>G3152+H3152</f>
        <v/>
      </c>
      <c r="N3152" s="11">
        <f>Summary!$C$16*Summary!$B$8</f>
        <v/>
      </c>
      <c r="O3152" s="11">
        <f>M3152-N3152</f>
        <v/>
      </c>
    </row>
    <row r="3153">
      <c r="A3153" s="9" t="n">
        <v>45423.29166666666</v>
      </c>
      <c r="B3153" t="n">
        <v>5</v>
      </c>
      <c r="C3153" t="n">
        <v>11</v>
      </c>
      <c r="D3153" t="n">
        <v>7</v>
      </c>
      <c r="E3153" s="10" t="n">
        <v>0.087557</v>
      </c>
      <c r="F3153" s="10" t="n">
        <v>0.1683629684071124</v>
      </c>
      <c r="G3153" s="11">
        <f>E3153*Summary!$B$6</f>
        <v/>
      </c>
      <c r="H3153" s="11">
        <f>F3153*Summary!$B$7</f>
        <v/>
      </c>
      <c r="I3153" s="11">
        <f>MAX(0,N3153-M3153)</f>
        <v/>
      </c>
      <c r="J3153" s="11">
        <f>MAX(0,M3153-N3153)</f>
        <v/>
      </c>
      <c r="K3153" s="11">
        <f>O3153</f>
        <v/>
      </c>
      <c r="L3153" s="11">
        <f>L3152+IF(K3153&gt;0,K3153*Summary!$B$9,K3153/Summary!$B$9)</f>
        <v/>
      </c>
      <c r="M3153" s="11">
        <f>G3153+H3153</f>
        <v/>
      </c>
      <c r="N3153" s="11">
        <f>Summary!$C$16*Summary!$B$8</f>
        <v/>
      </c>
      <c r="O3153" s="11">
        <f>M3153-N3153</f>
        <v/>
      </c>
    </row>
    <row r="3154">
      <c r="A3154" s="9" t="n">
        <v>45423.33333333334</v>
      </c>
      <c r="B3154" t="n">
        <v>5</v>
      </c>
      <c r="C3154" t="n">
        <v>11</v>
      </c>
      <c r="D3154" t="n">
        <v>8</v>
      </c>
      <c r="E3154" s="10" t="n">
        <v>0.12841</v>
      </c>
      <c r="F3154" s="10" t="n">
        <v>0.1612479266995024</v>
      </c>
      <c r="G3154" s="11">
        <f>E3154*Summary!$B$6</f>
        <v/>
      </c>
      <c r="H3154" s="11">
        <f>F3154*Summary!$B$7</f>
        <v/>
      </c>
      <c r="I3154" s="11">
        <f>MAX(0,N3154-M3154)</f>
        <v/>
      </c>
      <c r="J3154" s="11">
        <f>MAX(0,M3154-N3154)</f>
        <v/>
      </c>
      <c r="K3154" s="11">
        <f>O3154</f>
        <v/>
      </c>
      <c r="L3154" s="11">
        <f>L3153+IF(K3154&gt;0,K3154*Summary!$B$9,K3154/Summary!$B$9)</f>
        <v/>
      </c>
      <c r="M3154" s="11">
        <f>G3154+H3154</f>
        <v/>
      </c>
      <c r="N3154" s="11">
        <f>Summary!$C$16*Summary!$B$8</f>
        <v/>
      </c>
      <c r="O3154" s="11">
        <f>M3154-N3154</f>
        <v/>
      </c>
    </row>
    <row r="3155">
      <c r="A3155" s="9" t="n">
        <v>45423.375</v>
      </c>
      <c r="B3155" t="n">
        <v>5</v>
      </c>
      <c r="C3155" t="n">
        <v>11</v>
      </c>
      <c r="D3155" t="n">
        <v>9</v>
      </c>
      <c r="E3155" s="10" t="n">
        <v>0.171867</v>
      </c>
      <c r="F3155" s="10" t="n">
        <v>0.1637513673003281</v>
      </c>
      <c r="G3155" s="11">
        <f>E3155*Summary!$B$6</f>
        <v/>
      </c>
      <c r="H3155" s="11">
        <f>F3155*Summary!$B$7</f>
        <v/>
      </c>
      <c r="I3155" s="11">
        <f>MAX(0,N3155-M3155)</f>
        <v/>
      </c>
      <c r="J3155" s="11">
        <f>MAX(0,M3155-N3155)</f>
        <v/>
      </c>
      <c r="K3155" s="11">
        <f>O3155</f>
        <v/>
      </c>
      <c r="L3155" s="11">
        <f>L3154+IF(K3155&gt;0,K3155*Summary!$B$9,K3155/Summary!$B$9)</f>
        <v/>
      </c>
      <c r="M3155" s="11">
        <f>G3155+H3155</f>
        <v/>
      </c>
      <c r="N3155" s="11">
        <f>Summary!$C$16*Summary!$B$8</f>
        <v/>
      </c>
      <c r="O3155" s="11">
        <f>M3155-N3155</f>
        <v/>
      </c>
    </row>
    <row r="3156">
      <c r="A3156" s="9" t="n">
        <v>45423.41666666666</v>
      </c>
      <c r="B3156" t="n">
        <v>5</v>
      </c>
      <c r="C3156" t="n">
        <v>11</v>
      </c>
      <c r="D3156" t="n">
        <v>10</v>
      </c>
      <c r="E3156" s="10" t="n">
        <v>0.173654</v>
      </c>
      <c r="F3156" s="10" t="n">
        <v>0.1846748603219665</v>
      </c>
      <c r="G3156" s="11">
        <f>E3156*Summary!$B$6</f>
        <v/>
      </c>
      <c r="H3156" s="11">
        <f>F3156*Summary!$B$7</f>
        <v/>
      </c>
      <c r="I3156" s="11">
        <f>MAX(0,N3156-M3156)</f>
        <v/>
      </c>
      <c r="J3156" s="11">
        <f>MAX(0,M3156-N3156)</f>
        <v/>
      </c>
      <c r="K3156" s="11">
        <f>O3156</f>
        <v/>
      </c>
      <c r="L3156" s="11">
        <f>L3155+IF(K3156&gt;0,K3156*Summary!$B$9,K3156/Summary!$B$9)</f>
        <v/>
      </c>
      <c r="M3156" s="11">
        <f>G3156+H3156</f>
        <v/>
      </c>
      <c r="N3156" s="11">
        <f>Summary!$C$16*Summary!$B$8</f>
        <v/>
      </c>
      <c r="O3156" s="11">
        <f>M3156-N3156</f>
        <v/>
      </c>
    </row>
    <row r="3157">
      <c r="A3157" s="9" t="n">
        <v>45423.45833333334</v>
      </c>
      <c r="B3157" t="n">
        <v>5</v>
      </c>
      <c r="C3157" t="n">
        <v>11</v>
      </c>
      <c r="D3157" t="n">
        <v>11</v>
      </c>
      <c r="E3157" s="10" t="n">
        <v>0.201496</v>
      </c>
      <c r="F3157" s="10" t="n">
        <v>0.1877053410492818</v>
      </c>
      <c r="G3157" s="11">
        <f>E3157*Summary!$B$6</f>
        <v/>
      </c>
      <c r="H3157" s="11">
        <f>F3157*Summary!$B$7</f>
        <v/>
      </c>
      <c r="I3157" s="11">
        <f>MAX(0,N3157-M3157)</f>
        <v/>
      </c>
      <c r="J3157" s="11">
        <f>MAX(0,M3157-N3157)</f>
        <v/>
      </c>
      <c r="K3157" s="11">
        <f>O3157</f>
        <v/>
      </c>
      <c r="L3157" s="11">
        <f>L3156+IF(K3157&gt;0,K3157*Summary!$B$9,K3157/Summary!$B$9)</f>
        <v/>
      </c>
      <c r="M3157" s="11">
        <f>G3157+H3157</f>
        <v/>
      </c>
      <c r="N3157" s="11">
        <f>Summary!$C$16*Summary!$B$8</f>
        <v/>
      </c>
      <c r="O3157" s="11">
        <f>M3157-N3157</f>
        <v/>
      </c>
    </row>
    <row r="3158">
      <c r="A3158" s="9" t="n">
        <v>45423.5</v>
      </c>
      <c r="B3158" t="n">
        <v>5</v>
      </c>
      <c r="C3158" t="n">
        <v>11</v>
      </c>
      <c r="D3158" t="n">
        <v>12</v>
      </c>
      <c r="E3158" s="10" t="n">
        <v>0.237006</v>
      </c>
      <c r="F3158" s="10" t="n">
        <v>0.1904195977007035</v>
      </c>
      <c r="G3158" s="11">
        <f>E3158*Summary!$B$6</f>
        <v/>
      </c>
      <c r="H3158" s="11">
        <f>F3158*Summary!$B$7</f>
        <v/>
      </c>
      <c r="I3158" s="11">
        <f>MAX(0,N3158-M3158)</f>
        <v/>
      </c>
      <c r="J3158" s="11">
        <f>MAX(0,M3158-N3158)</f>
        <v/>
      </c>
      <c r="K3158" s="11">
        <f>O3158</f>
        <v/>
      </c>
      <c r="L3158" s="11">
        <f>L3157+IF(K3158&gt;0,K3158*Summary!$B$9,K3158/Summary!$B$9)</f>
        <v/>
      </c>
      <c r="M3158" s="11">
        <f>G3158+H3158</f>
        <v/>
      </c>
      <c r="N3158" s="11">
        <f>Summary!$C$16*Summary!$B$8</f>
        <v/>
      </c>
      <c r="O3158" s="11">
        <f>M3158-N3158</f>
        <v/>
      </c>
    </row>
    <row r="3159">
      <c r="A3159" s="9" t="n">
        <v>45423.54166666666</v>
      </c>
      <c r="B3159" t="n">
        <v>5</v>
      </c>
      <c r="C3159" t="n">
        <v>11</v>
      </c>
      <c r="D3159" t="n">
        <v>13</v>
      </c>
      <c r="E3159" s="10" t="n">
        <v>0.23928</v>
      </c>
      <c r="F3159" s="10" t="n">
        <v>0.1903668936880545</v>
      </c>
      <c r="G3159" s="11">
        <f>E3159*Summary!$B$6</f>
        <v/>
      </c>
      <c r="H3159" s="11">
        <f>F3159*Summary!$B$7</f>
        <v/>
      </c>
      <c r="I3159" s="11">
        <f>MAX(0,N3159-M3159)</f>
        <v/>
      </c>
      <c r="J3159" s="11">
        <f>MAX(0,M3159-N3159)</f>
        <v/>
      </c>
      <c r="K3159" s="11">
        <f>O3159</f>
        <v/>
      </c>
      <c r="L3159" s="11">
        <f>L3158+IF(K3159&gt;0,K3159*Summary!$B$9,K3159/Summary!$B$9)</f>
        <v/>
      </c>
      <c r="M3159" s="11">
        <f>G3159+H3159</f>
        <v/>
      </c>
      <c r="N3159" s="11">
        <f>Summary!$C$16*Summary!$B$8</f>
        <v/>
      </c>
      <c r="O3159" s="11">
        <f>M3159-N3159</f>
        <v/>
      </c>
    </row>
    <row r="3160">
      <c r="A3160" s="9" t="n">
        <v>45423.58333333334</v>
      </c>
      <c r="B3160" t="n">
        <v>5</v>
      </c>
      <c r="C3160" t="n">
        <v>11</v>
      </c>
      <c r="D3160" t="n">
        <v>14</v>
      </c>
      <c r="E3160" s="10" t="n">
        <v>0.217215</v>
      </c>
      <c r="F3160" s="10" t="n">
        <v>0.1891547013971283</v>
      </c>
      <c r="G3160" s="11">
        <f>E3160*Summary!$B$6</f>
        <v/>
      </c>
      <c r="H3160" s="11">
        <f>F3160*Summary!$B$7</f>
        <v/>
      </c>
      <c r="I3160" s="11">
        <f>MAX(0,N3160-M3160)</f>
        <v/>
      </c>
      <c r="J3160" s="11">
        <f>MAX(0,M3160-N3160)</f>
        <v/>
      </c>
      <c r="K3160" s="11">
        <f>O3160</f>
        <v/>
      </c>
      <c r="L3160" s="11">
        <f>L3159+IF(K3160&gt;0,K3160*Summary!$B$9,K3160/Summary!$B$9)</f>
        <v/>
      </c>
      <c r="M3160" s="11">
        <f>G3160+H3160</f>
        <v/>
      </c>
      <c r="N3160" s="11">
        <f>Summary!$C$16*Summary!$B$8</f>
        <v/>
      </c>
      <c r="O3160" s="11">
        <f>M3160-N3160</f>
        <v/>
      </c>
    </row>
    <row r="3161">
      <c r="A3161" s="9" t="n">
        <v>45423.625</v>
      </c>
      <c r="B3161" t="n">
        <v>5</v>
      </c>
      <c r="C3161" t="n">
        <v>11</v>
      </c>
      <c r="D3161" t="n">
        <v>15</v>
      </c>
      <c r="E3161" s="10" t="n">
        <v>0.204234</v>
      </c>
      <c r="F3161" s="10" t="n">
        <v>0.190393245694379</v>
      </c>
      <c r="G3161" s="11">
        <f>E3161*Summary!$B$6</f>
        <v/>
      </c>
      <c r="H3161" s="11">
        <f>F3161*Summary!$B$7</f>
        <v/>
      </c>
      <c r="I3161" s="11">
        <f>MAX(0,N3161-M3161)</f>
        <v/>
      </c>
      <c r="J3161" s="11">
        <f>MAX(0,M3161-N3161)</f>
        <v/>
      </c>
      <c r="K3161" s="11">
        <f>O3161</f>
        <v/>
      </c>
      <c r="L3161" s="11">
        <f>L3160+IF(K3161&gt;0,K3161*Summary!$B$9,K3161/Summary!$B$9)</f>
        <v/>
      </c>
      <c r="M3161" s="11">
        <f>G3161+H3161</f>
        <v/>
      </c>
      <c r="N3161" s="11">
        <f>Summary!$C$16*Summary!$B$8</f>
        <v/>
      </c>
      <c r="O3161" s="11">
        <f>M3161-N3161</f>
        <v/>
      </c>
    </row>
    <row r="3162">
      <c r="A3162" s="9" t="n">
        <v>45423.66666666666</v>
      </c>
      <c r="B3162" t="n">
        <v>5</v>
      </c>
      <c r="C3162" t="n">
        <v>11</v>
      </c>
      <c r="D3162" t="n">
        <v>16</v>
      </c>
      <c r="E3162" s="10" t="n">
        <v>0.163259</v>
      </c>
      <c r="F3162" s="10" t="n">
        <v>0.1884431972263673</v>
      </c>
      <c r="G3162" s="11">
        <f>E3162*Summary!$B$6</f>
        <v/>
      </c>
      <c r="H3162" s="11">
        <f>F3162*Summary!$B$7</f>
        <v/>
      </c>
      <c r="I3162" s="11">
        <f>MAX(0,N3162-M3162)</f>
        <v/>
      </c>
      <c r="J3162" s="11">
        <f>MAX(0,M3162-N3162)</f>
        <v/>
      </c>
      <c r="K3162" s="11">
        <f>O3162</f>
        <v/>
      </c>
      <c r="L3162" s="11">
        <f>L3161+IF(K3162&gt;0,K3162*Summary!$B$9,K3162/Summary!$B$9)</f>
        <v/>
      </c>
      <c r="M3162" s="11">
        <f>G3162+H3162</f>
        <v/>
      </c>
      <c r="N3162" s="11">
        <f>Summary!$C$16*Summary!$B$8</f>
        <v/>
      </c>
      <c r="O3162" s="11">
        <f>M3162-N3162</f>
        <v/>
      </c>
    </row>
    <row r="3163">
      <c r="A3163" s="9" t="n">
        <v>45423.70833333334</v>
      </c>
      <c r="B3163" t="n">
        <v>5</v>
      </c>
      <c r="C3163" t="n">
        <v>11</v>
      </c>
      <c r="D3163" t="n">
        <v>17</v>
      </c>
      <c r="E3163" s="10" t="n">
        <v>0.113074</v>
      </c>
      <c r="F3163" s="10" t="n">
        <v>0.1879425091062022</v>
      </c>
      <c r="G3163" s="11">
        <f>E3163*Summary!$B$6</f>
        <v/>
      </c>
      <c r="H3163" s="11">
        <f>F3163*Summary!$B$7</f>
        <v/>
      </c>
      <c r="I3163" s="11">
        <f>MAX(0,N3163-M3163)</f>
        <v/>
      </c>
      <c r="J3163" s="11">
        <f>MAX(0,M3163-N3163)</f>
        <v/>
      </c>
      <c r="K3163" s="11">
        <f>O3163</f>
        <v/>
      </c>
      <c r="L3163" s="11">
        <f>L3162+IF(K3163&gt;0,K3163*Summary!$B$9,K3163/Summary!$B$9)</f>
        <v/>
      </c>
      <c r="M3163" s="11">
        <f>G3163+H3163</f>
        <v/>
      </c>
      <c r="N3163" s="11">
        <f>Summary!$C$16*Summary!$B$8</f>
        <v/>
      </c>
      <c r="O3163" s="11">
        <f>M3163-N3163</f>
        <v/>
      </c>
    </row>
    <row r="3164">
      <c r="A3164" s="9" t="n">
        <v>45423.75</v>
      </c>
      <c r="B3164" t="n">
        <v>5</v>
      </c>
      <c r="C3164" t="n">
        <v>11</v>
      </c>
      <c r="D3164" t="n">
        <v>18</v>
      </c>
      <c r="E3164" s="10" t="n">
        <v>0.055271</v>
      </c>
      <c r="F3164" s="10" t="n">
        <v>0.1932129103710985</v>
      </c>
      <c r="G3164" s="11">
        <f>E3164*Summary!$B$6</f>
        <v/>
      </c>
      <c r="H3164" s="11">
        <f>F3164*Summary!$B$7</f>
        <v/>
      </c>
      <c r="I3164" s="11">
        <f>MAX(0,N3164-M3164)</f>
        <v/>
      </c>
      <c r="J3164" s="11">
        <f>MAX(0,M3164-N3164)</f>
        <v/>
      </c>
      <c r="K3164" s="11">
        <f>O3164</f>
        <v/>
      </c>
      <c r="L3164" s="11">
        <f>L3163+IF(K3164&gt;0,K3164*Summary!$B$9,K3164/Summary!$B$9)</f>
        <v/>
      </c>
      <c r="M3164" s="11">
        <f>G3164+H3164</f>
        <v/>
      </c>
      <c r="N3164" s="11">
        <f>Summary!$C$16*Summary!$B$8</f>
        <v/>
      </c>
      <c r="O3164" s="11">
        <f>M3164-N3164</f>
        <v/>
      </c>
    </row>
    <row r="3165">
      <c r="A3165" s="9" t="n">
        <v>45423.79166666666</v>
      </c>
      <c r="B3165" t="n">
        <v>5</v>
      </c>
      <c r="C3165" t="n">
        <v>11</v>
      </c>
      <c r="D3165" t="n">
        <v>19</v>
      </c>
      <c r="E3165" s="10" t="n">
        <v>0.017944</v>
      </c>
      <c r="F3165" s="10" t="n">
        <v>0.2074956977989675</v>
      </c>
      <c r="G3165" s="11">
        <f>E3165*Summary!$B$6</f>
        <v/>
      </c>
      <c r="H3165" s="11">
        <f>F3165*Summary!$B$7</f>
        <v/>
      </c>
      <c r="I3165" s="11">
        <f>MAX(0,N3165-M3165)</f>
        <v/>
      </c>
      <c r="J3165" s="11">
        <f>MAX(0,M3165-N3165)</f>
        <v/>
      </c>
      <c r="K3165" s="11">
        <f>O3165</f>
        <v/>
      </c>
      <c r="L3165" s="11">
        <f>L3164+IF(K3165&gt;0,K3165*Summary!$B$9,K3165/Summary!$B$9)</f>
        <v/>
      </c>
      <c r="M3165" s="11">
        <f>G3165+H3165</f>
        <v/>
      </c>
      <c r="N3165" s="11">
        <f>Summary!$C$16*Summary!$B$8</f>
        <v/>
      </c>
      <c r="O3165" s="11">
        <f>M3165-N3165</f>
        <v/>
      </c>
    </row>
    <row r="3166">
      <c r="A3166" s="9" t="n">
        <v>45423.83333333334</v>
      </c>
      <c r="B3166" t="n">
        <v>5</v>
      </c>
      <c r="C3166" t="n">
        <v>11</v>
      </c>
      <c r="D3166" t="n">
        <v>20</v>
      </c>
      <c r="E3166" s="10" t="n">
        <v>0</v>
      </c>
      <c r="F3166" s="10" t="n">
        <v>0.2320294156870598</v>
      </c>
      <c r="G3166" s="11">
        <f>E3166*Summary!$B$6</f>
        <v/>
      </c>
      <c r="H3166" s="11">
        <f>F3166*Summary!$B$7</f>
        <v/>
      </c>
      <c r="I3166" s="11">
        <f>MAX(0,N3166-M3166)</f>
        <v/>
      </c>
      <c r="J3166" s="11">
        <f>MAX(0,M3166-N3166)</f>
        <v/>
      </c>
      <c r="K3166" s="11">
        <f>O3166</f>
        <v/>
      </c>
      <c r="L3166" s="11">
        <f>L3165+IF(K3166&gt;0,K3166*Summary!$B$9,K3166/Summary!$B$9)</f>
        <v/>
      </c>
      <c r="M3166" s="11">
        <f>G3166+H3166</f>
        <v/>
      </c>
      <c r="N3166" s="11">
        <f>Summary!$C$16*Summary!$B$8</f>
        <v/>
      </c>
      <c r="O3166" s="11">
        <f>M3166-N3166</f>
        <v/>
      </c>
    </row>
    <row r="3167">
      <c r="A3167" s="9" t="n">
        <v>45423.875</v>
      </c>
      <c r="B3167" t="n">
        <v>5</v>
      </c>
      <c r="C3167" t="n">
        <v>11</v>
      </c>
      <c r="D3167" t="n">
        <v>21</v>
      </c>
      <c r="E3167" s="10" t="n">
        <v>0</v>
      </c>
      <c r="F3167" s="10" t="n">
        <v>0.2569320616636948</v>
      </c>
      <c r="G3167" s="11">
        <f>E3167*Summary!$B$6</f>
        <v/>
      </c>
      <c r="H3167" s="11">
        <f>F3167*Summary!$B$7</f>
        <v/>
      </c>
      <c r="I3167" s="11">
        <f>MAX(0,N3167-M3167)</f>
        <v/>
      </c>
      <c r="J3167" s="11">
        <f>MAX(0,M3167-N3167)</f>
        <v/>
      </c>
      <c r="K3167" s="11">
        <f>O3167</f>
        <v/>
      </c>
      <c r="L3167" s="11">
        <f>L3166+IF(K3167&gt;0,K3167*Summary!$B$9,K3167/Summary!$B$9)</f>
        <v/>
      </c>
      <c r="M3167" s="11">
        <f>G3167+H3167</f>
        <v/>
      </c>
      <c r="N3167" s="11">
        <f>Summary!$C$16*Summary!$B$8</f>
        <v/>
      </c>
      <c r="O3167" s="11">
        <f>M3167-N3167</f>
        <v/>
      </c>
    </row>
    <row r="3168">
      <c r="A3168" s="9" t="n">
        <v>45423.91666666666</v>
      </c>
      <c r="B3168" t="n">
        <v>5</v>
      </c>
      <c r="C3168" t="n">
        <v>11</v>
      </c>
      <c r="D3168" t="n">
        <v>22</v>
      </c>
      <c r="E3168" s="10" t="n">
        <v>0</v>
      </c>
      <c r="F3168" s="10" t="n">
        <v>0.2694492646678235</v>
      </c>
      <c r="G3168" s="11">
        <f>E3168*Summary!$B$6</f>
        <v/>
      </c>
      <c r="H3168" s="11">
        <f>F3168*Summary!$B$7</f>
        <v/>
      </c>
      <c r="I3168" s="11">
        <f>MAX(0,N3168-M3168)</f>
        <v/>
      </c>
      <c r="J3168" s="11">
        <f>MAX(0,M3168-N3168)</f>
        <v/>
      </c>
      <c r="K3168" s="11">
        <f>O3168</f>
        <v/>
      </c>
      <c r="L3168" s="11">
        <f>L3167+IF(K3168&gt;0,K3168*Summary!$B$9,K3168/Summary!$B$9)</f>
        <v/>
      </c>
      <c r="M3168" s="11">
        <f>G3168+H3168</f>
        <v/>
      </c>
      <c r="N3168" s="11">
        <f>Summary!$C$16*Summary!$B$8</f>
        <v/>
      </c>
      <c r="O3168" s="11">
        <f>M3168-N3168</f>
        <v/>
      </c>
    </row>
    <row r="3169">
      <c r="A3169" s="9" t="n">
        <v>45423.95833333334</v>
      </c>
      <c r="B3169" t="n">
        <v>5</v>
      </c>
      <c r="C3169" t="n">
        <v>11</v>
      </c>
      <c r="D3169" t="n">
        <v>23</v>
      </c>
      <c r="E3169" s="10" t="n">
        <v>0</v>
      </c>
      <c r="F3169" s="10" t="n">
        <v>0.2700553608132866</v>
      </c>
      <c r="G3169" s="11">
        <f>E3169*Summary!$B$6</f>
        <v/>
      </c>
      <c r="H3169" s="11">
        <f>F3169*Summary!$B$7</f>
        <v/>
      </c>
      <c r="I3169" s="11">
        <f>MAX(0,N3169-M3169)</f>
        <v/>
      </c>
      <c r="J3169" s="11">
        <f>MAX(0,M3169-N3169)</f>
        <v/>
      </c>
      <c r="K3169" s="11">
        <f>O3169</f>
        <v/>
      </c>
      <c r="L3169" s="11">
        <f>L3168+IF(K3169&gt;0,K3169*Summary!$B$9,K3169/Summary!$B$9)</f>
        <v/>
      </c>
      <c r="M3169" s="11">
        <f>G3169+H3169</f>
        <v/>
      </c>
      <c r="N3169" s="11">
        <f>Summary!$C$16*Summary!$B$8</f>
        <v/>
      </c>
      <c r="O3169" s="11">
        <f>M3169-N3169</f>
        <v/>
      </c>
    </row>
    <row r="3170">
      <c r="A3170" s="9" t="n">
        <v>45424</v>
      </c>
      <c r="B3170" t="n">
        <v>5</v>
      </c>
      <c r="C3170" t="n">
        <v>12</v>
      </c>
      <c r="D3170" t="n">
        <v>0</v>
      </c>
      <c r="E3170" s="10" t="n">
        <v>0</v>
      </c>
      <c r="F3170" s="10" t="n">
        <v>0.2615173107641546</v>
      </c>
      <c r="G3170" s="11">
        <f>E3170*Summary!$B$6</f>
        <v/>
      </c>
      <c r="H3170" s="11">
        <f>F3170*Summary!$B$7</f>
        <v/>
      </c>
      <c r="I3170" s="11">
        <f>MAX(0,N3170-M3170)</f>
        <v/>
      </c>
      <c r="J3170" s="11">
        <f>MAX(0,M3170-N3170)</f>
        <v/>
      </c>
      <c r="K3170" s="11">
        <f>O3170</f>
        <v/>
      </c>
      <c r="L3170" s="11">
        <f>L3169+IF(K3170&gt;0,K3170*Summary!$B$9,K3170/Summary!$B$9)</f>
        <v/>
      </c>
      <c r="M3170" s="11">
        <f>G3170+H3170</f>
        <v/>
      </c>
      <c r="N3170" s="11">
        <f>Summary!$C$16*Summary!$B$8</f>
        <v/>
      </c>
      <c r="O3170" s="11">
        <f>M3170-N3170</f>
        <v/>
      </c>
    </row>
    <row r="3171">
      <c r="A3171" s="9" t="n">
        <v>45424.04166666666</v>
      </c>
      <c r="B3171" t="n">
        <v>5</v>
      </c>
      <c r="C3171" t="n">
        <v>12</v>
      </c>
      <c r="D3171" t="n">
        <v>1</v>
      </c>
      <c r="E3171" s="10" t="n">
        <v>0</v>
      </c>
      <c r="F3171" s="10" t="n">
        <v>0.2839428681462884</v>
      </c>
      <c r="G3171" s="11">
        <f>E3171*Summary!$B$6</f>
        <v/>
      </c>
      <c r="H3171" s="11">
        <f>F3171*Summary!$B$7</f>
        <v/>
      </c>
      <c r="I3171" s="11">
        <f>MAX(0,N3171-M3171)</f>
        <v/>
      </c>
      <c r="J3171" s="11">
        <f>MAX(0,M3171-N3171)</f>
        <v/>
      </c>
      <c r="K3171" s="11">
        <f>O3171</f>
        <v/>
      </c>
      <c r="L3171" s="11">
        <f>L3170+IF(K3171&gt;0,K3171*Summary!$B$9,K3171/Summary!$B$9)</f>
        <v/>
      </c>
      <c r="M3171" s="11">
        <f>G3171+H3171</f>
        <v/>
      </c>
      <c r="N3171" s="11">
        <f>Summary!$C$16*Summary!$B$8</f>
        <v/>
      </c>
      <c r="O3171" s="11">
        <f>M3171-N3171</f>
        <v/>
      </c>
    </row>
    <row r="3172">
      <c r="A3172" s="9" t="n">
        <v>45424.08333333334</v>
      </c>
      <c r="B3172" t="n">
        <v>5</v>
      </c>
      <c r="C3172" t="n">
        <v>12</v>
      </c>
      <c r="D3172" t="n">
        <v>2</v>
      </c>
      <c r="E3172" s="10" t="n">
        <v>0</v>
      </c>
      <c r="F3172" s="10" t="n">
        <v>0.2582233099735944</v>
      </c>
      <c r="G3172" s="11">
        <f>E3172*Summary!$B$6</f>
        <v/>
      </c>
      <c r="H3172" s="11">
        <f>F3172*Summary!$B$7</f>
        <v/>
      </c>
      <c r="I3172" s="11">
        <f>MAX(0,N3172-M3172)</f>
        <v/>
      </c>
      <c r="J3172" s="11">
        <f>MAX(0,M3172-N3172)</f>
        <v/>
      </c>
      <c r="K3172" s="11">
        <f>O3172</f>
        <v/>
      </c>
      <c r="L3172" s="11">
        <f>L3171+IF(K3172&gt;0,K3172*Summary!$B$9,K3172/Summary!$B$9)</f>
        <v/>
      </c>
      <c r="M3172" s="11">
        <f>G3172+H3172</f>
        <v/>
      </c>
      <c r="N3172" s="11">
        <f>Summary!$C$16*Summary!$B$8</f>
        <v/>
      </c>
      <c r="O3172" s="11">
        <f>M3172-N3172</f>
        <v/>
      </c>
    </row>
    <row r="3173">
      <c r="A3173" s="9" t="n">
        <v>45424.125</v>
      </c>
      <c r="B3173" t="n">
        <v>5</v>
      </c>
      <c r="C3173" t="n">
        <v>12</v>
      </c>
      <c r="D3173" t="n">
        <v>3</v>
      </c>
      <c r="E3173" s="10" t="n">
        <v>0</v>
      </c>
      <c r="F3173" s="10" t="n">
        <v>0.2503440600825744</v>
      </c>
      <c r="G3173" s="11">
        <f>E3173*Summary!$B$6</f>
        <v/>
      </c>
      <c r="H3173" s="11">
        <f>F3173*Summary!$B$7</f>
        <v/>
      </c>
      <c r="I3173" s="11">
        <f>MAX(0,N3173-M3173)</f>
        <v/>
      </c>
      <c r="J3173" s="11">
        <f>MAX(0,M3173-N3173)</f>
        <v/>
      </c>
      <c r="K3173" s="11">
        <f>O3173</f>
        <v/>
      </c>
      <c r="L3173" s="11">
        <f>L3172+IF(K3173&gt;0,K3173*Summary!$B$9,K3173/Summary!$B$9)</f>
        <v/>
      </c>
      <c r="M3173" s="11">
        <f>G3173+H3173</f>
        <v/>
      </c>
      <c r="N3173" s="11">
        <f>Summary!$C$16*Summary!$B$8</f>
        <v/>
      </c>
      <c r="O3173" s="11">
        <f>M3173-N3173</f>
        <v/>
      </c>
    </row>
    <row r="3174">
      <c r="A3174" s="9" t="n">
        <v>45424.16666666666</v>
      </c>
      <c r="B3174" t="n">
        <v>5</v>
      </c>
      <c r="C3174" t="n">
        <v>12</v>
      </c>
      <c r="D3174" t="n">
        <v>4</v>
      </c>
      <c r="E3174" s="10" t="n">
        <v>0.007837</v>
      </c>
      <c r="F3174" s="10" t="n">
        <v>0.2402248896539735</v>
      </c>
      <c r="G3174" s="11">
        <f>E3174*Summary!$B$6</f>
        <v/>
      </c>
      <c r="H3174" s="11">
        <f>F3174*Summary!$B$7</f>
        <v/>
      </c>
      <c r="I3174" s="11">
        <f>MAX(0,N3174-M3174)</f>
        <v/>
      </c>
      <c r="J3174" s="11">
        <f>MAX(0,M3174-N3174)</f>
        <v/>
      </c>
      <c r="K3174" s="11">
        <f>O3174</f>
        <v/>
      </c>
      <c r="L3174" s="11">
        <f>L3173+IF(K3174&gt;0,K3174*Summary!$B$9,K3174/Summary!$B$9)</f>
        <v/>
      </c>
      <c r="M3174" s="11">
        <f>G3174+H3174</f>
        <v/>
      </c>
      <c r="N3174" s="11">
        <f>Summary!$C$16*Summary!$B$8</f>
        <v/>
      </c>
      <c r="O3174" s="11">
        <f>M3174-N3174</f>
        <v/>
      </c>
    </row>
    <row r="3175">
      <c r="A3175" s="9" t="n">
        <v>45424.20833333334</v>
      </c>
      <c r="B3175" t="n">
        <v>5</v>
      </c>
      <c r="C3175" t="n">
        <v>12</v>
      </c>
      <c r="D3175" t="n">
        <v>5</v>
      </c>
      <c r="E3175" s="10" t="n">
        <v>0.019063</v>
      </c>
      <c r="F3175" s="10" t="n">
        <v>0.2256785821628597</v>
      </c>
      <c r="G3175" s="11">
        <f>E3175*Summary!$B$6</f>
        <v/>
      </c>
      <c r="H3175" s="11">
        <f>F3175*Summary!$B$7</f>
        <v/>
      </c>
      <c r="I3175" s="11">
        <f>MAX(0,N3175-M3175)</f>
        <v/>
      </c>
      <c r="J3175" s="11">
        <f>MAX(0,M3175-N3175)</f>
        <v/>
      </c>
      <c r="K3175" s="11">
        <f>O3175</f>
        <v/>
      </c>
      <c r="L3175" s="11">
        <f>L3174+IF(K3175&gt;0,K3175*Summary!$B$9,K3175/Summary!$B$9)</f>
        <v/>
      </c>
      <c r="M3175" s="11">
        <f>G3175+H3175</f>
        <v/>
      </c>
      <c r="N3175" s="11">
        <f>Summary!$C$16*Summary!$B$8</f>
        <v/>
      </c>
      <c r="O3175" s="11">
        <f>M3175-N3175</f>
        <v/>
      </c>
    </row>
    <row r="3176">
      <c r="A3176" s="9" t="n">
        <v>45424.25</v>
      </c>
      <c r="B3176" t="n">
        <v>5</v>
      </c>
      <c r="C3176" t="n">
        <v>12</v>
      </c>
      <c r="D3176" t="n">
        <v>6</v>
      </c>
      <c r="E3176" s="10" t="n">
        <v>0.117668</v>
      </c>
      <c r="F3176" s="10" t="n">
        <v>0.203964528951487</v>
      </c>
      <c r="G3176" s="11">
        <f>E3176*Summary!$B$6</f>
        <v/>
      </c>
      <c r="H3176" s="11">
        <f>F3176*Summary!$B$7</f>
        <v/>
      </c>
      <c r="I3176" s="11">
        <f>MAX(0,N3176-M3176)</f>
        <v/>
      </c>
      <c r="J3176" s="11">
        <f>MAX(0,M3176-N3176)</f>
        <v/>
      </c>
      <c r="K3176" s="11">
        <f>O3176</f>
        <v/>
      </c>
      <c r="L3176" s="11">
        <f>L3175+IF(K3176&gt;0,K3176*Summary!$B$9,K3176/Summary!$B$9)</f>
        <v/>
      </c>
      <c r="M3176" s="11">
        <f>G3176+H3176</f>
        <v/>
      </c>
      <c r="N3176" s="11">
        <f>Summary!$C$16*Summary!$B$8</f>
        <v/>
      </c>
      <c r="O3176" s="11">
        <f>M3176-N3176</f>
        <v/>
      </c>
    </row>
    <row r="3177">
      <c r="A3177" s="9" t="n">
        <v>45424.29166666666</v>
      </c>
      <c r="B3177" t="n">
        <v>5</v>
      </c>
      <c r="C3177" t="n">
        <v>12</v>
      </c>
      <c r="D3177" t="n">
        <v>7</v>
      </c>
      <c r="E3177" s="10" t="n">
        <v>0.334489</v>
      </c>
      <c r="F3177" s="10" t="n">
        <v>0.1879952131188511</v>
      </c>
      <c r="G3177" s="11">
        <f>E3177*Summary!$B$6</f>
        <v/>
      </c>
      <c r="H3177" s="11">
        <f>F3177*Summary!$B$7</f>
        <v/>
      </c>
      <c r="I3177" s="11">
        <f>MAX(0,N3177-M3177)</f>
        <v/>
      </c>
      <c r="J3177" s="11">
        <f>MAX(0,M3177-N3177)</f>
        <v/>
      </c>
      <c r="K3177" s="11">
        <f>O3177</f>
        <v/>
      </c>
      <c r="L3177" s="11">
        <f>L3176+IF(K3177&gt;0,K3177*Summary!$B$9,K3177/Summary!$B$9)</f>
        <v/>
      </c>
      <c r="M3177" s="11">
        <f>G3177+H3177</f>
        <v/>
      </c>
      <c r="N3177" s="11">
        <f>Summary!$C$16*Summary!$B$8</f>
        <v/>
      </c>
      <c r="O3177" s="11">
        <f>M3177-N3177</f>
        <v/>
      </c>
    </row>
    <row r="3178">
      <c r="A3178" s="9" t="n">
        <v>45424.33333333334</v>
      </c>
      <c r="B3178" t="n">
        <v>5</v>
      </c>
      <c r="C3178" t="n">
        <v>12</v>
      </c>
      <c r="D3178" t="n">
        <v>8</v>
      </c>
      <c r="E3178" s="10" t="n">
        <v>0.589708</v>
      </c>
      <c r="F3178" s="10" t="n">
        <v>0.1852019004484561</v>
      </c>
      <c r="G3178" s="11">
        <f>E3178*Summary!$B$6</f>
        <v/>
      </c>
      <c r="H3178" s="11">
        <f>F3178*Summary!$B$7</f>
        <v/>
      </c>
      <c r="I3178" s="11">
        <f>MAX(0,N3178-M3178)</f>
        <v/>
      </c>
      <c r="J3178" s="11">
        <f>MAX(0,M3178-N3178)</f>
        <v/>
      </c>
      <c r="K3178" s="11">
        <f>O3178</f>
        <v/>
      </c>
      <c r="L3178" s="11">
        <f>L3177+IF(K3178&gt;0,K3178*Summary!$B$9,K3178/Summary!$B$9)</f>
        <v/>
      </c>
      <c r="M3178" s="11">
        <f>G3178+H3178</f>
        <v/>
      </c>
      <c r="N3178" s="11">
        <f>Summary!$C$16*Summary!$B$8</f>
        <v/>
      </c>
      <c r="O3178" s="11">
        <f>M3178-N3178</f>
        <v/>
      </c>
    </row>
    <row r="3179">
      <c r="A3179" s="9" t="n">
        <v>45424.375</v>
      </c>
      <c r="B3179" t="n">
        <v>5</v>
      </c>
      <c r="C3179" t="n">
        <v>12</v>
      </c>
      <c r="D3179" t="n">
        <v>9</v>
      </c>
      <c r="E3179" s="10" t="n">
        <v>0.739789</v>
      </c>
      <c r="F3179" s="10" t="n">
        <v>0.1915000299600072</v>
      </c>
      <c r="G3179" s="11">
        <f>E3179*Summary!$B$6</f>
        <v/>
      </c>
      <c r="H3179" s="11">
        <f>F3179*Summary!$B$7</f>
        <v/>
      </c>
      <c r="I3179" s="11">
        <f>MAX(0,N3179-M3179)</f>
        <v/>
      </c>
      <c r="J3179" s="11">
        <f>MAX(0,M3179-N3179)</f>
        <v/>
      </c>
      <c r="K3179" s="11">
        <f>O3179</f>
        <v/>
      </c>
      <c r="L3179" s="11">
        <f>L3178+IF(K3179&gt;0,K3179*Summary!$B$9,K3179/Summary!$B$9)</f>
        <v/>
      </c>
      <c r="M3179" s="11">
        <f>G3179+H3179</f>
        <v/>
      </c>
      <c r="N3179" s="11">
        <f>Summary!$C$16*Summary!$B$8</f>
        <v/>
      </c>
      <c r="O3179" s="11">
        <f>M3179-N3179</f>
        <v/>
      </c>
    </row>
    <row r="3180">
      <c r="A3180" s="9" t="n">
        <v>45424.41666666666</v>
      </c>
      <c r="B3180" t="n">
        <v>5</v>
      </c>
      <c r="C3180" t="n">
        <v>12</v>
      </c>
      <c r="D3180" t="n">
        <v>10</v>
      </c>
      <c r="E3180" s="10" t="n">
        <v>0.754058</v>
      </c>
      <c r="F3180" s="10" t="n">
        <v>0.1975873434209624</v>
      </c>
      <c r="G3180" s="11">
        <f>E3180*Summary!$B$6</f>
        <v/>
      </c>
      <c r="H3180" s="11">
        <f>F3180*Summary!$B$7</f>
        <v/>
      </c>
      <c r="I3180" s="11">
        <f>MAX(0,N3180-M3180)</f>
        <v/>
      </c>
      <c r="J3180" s="11">
        <f>MAX(0,M3180-N3180)</f>
        <v/>
      </c>
      <c r="K3180" s="11">
        <f>O3180</f>
        <v/>
      </c>
      <c r="L3180" s="11">
        <f>L3179+IF(K3180&gt;0,K3180*Summary!$B$9,K3180/Summary!$B$9)</f>
        <v/>
      </c>
      <c r="M3180" s="11">
        <f>G3180+H3180</f>
        <v/>
      </c>
      <c r="N3180" s="11">
        <f>Summary!$C$16*Summary!$B$8</f>
        <v/>
      </c>
      <c r="O3180" s="11">
        <f>M3180-N3180</f>
        <v/>
      </c>
    </row>
    <row r="3181">
      <c r="A3181" s="9" t="n">
        <v>45424.45833333334</v>
      </c>
      <c r="B3181" t="n">
        <v>5</v>
      </c>
      <c r="C3181" t="n">
        <v>12</v>
      </c>
      <c r="D3181" t="n">
        <v>11</v>
      </c>
      <c r="E3181" s="10" t="n">
        <v>0.754058</v>
      </c>
      <c r="F3181" s="10" t="n">
        <v>0.2014347363443367</v>
      </c>
      <c r="G3181" s="11">
        <f>E3181*Summary!$B$6</f>
        <v/>
      </c>
      <c r="H3181" s="11">
        <f>F3181*Summary!$B$7</f>
        <v/>
      </c>
      <c r="I3181" s="11">
        <f>MAX(0,N3181-M3181)</f>
        <v/>
      </c>
      <c r="J3181" s="11">
        <f>MAX(0,M3181-N3181)</f>
        <v/>
      </c>
      <c r="K3181" s="11">
        <f>O3181</f>
        <v/>
      </c>
      <c r="L3181" s="11">
        <f>L3180+IF(K3181&gt;0,K3181*Summary!$B$9,K3181/Summary!$B$9)</f>
        <v/>
      </c>
      <c r="M3181" s="11">
        <f>G3181+H3181</f>
        <v/>
      </c>
      <c r="N3181" s="11">
        <f>Summary!$C$16*Summary!$B$8</f>
        <v/>
      </c>
      <c r="O3181" s="11">
        <f>M3181-N3181</f>
        <v/>
      </c>
    </row>
    <row r="3182">
      <c r="A3182" s="9" t="n">
        <v>45424.5</v>
      </c>
      <c r="B3182" t="n">
        <v>5</v>
      </c>
      <c r="C3182" t="n">
        <v>12</v>
      </c>
      <c r="D3182" t="n">
        <v>12</v>
      </c>
      <c r="E3182" s="10" t="n">
        <v>0.754058</v>
      </c>
      <c r="F3182" s="10" t="n">
        <v>0.2049922571981417</v>
      </c>
      <c r="G3182" s="11">
        <f>E3182*Summary!$B$6</f>
        <v/>
      </c>
      <c r="H3182" s="11">
        <f>F3182*Summary!$B$7</f>
        <v/>
      </c>
      <c r="I3182" s="11">
        <f>MAX(0,N3182-M3182)</f>
        <v/>
      </c>
      <c r="J3182" s="11">
        <f>MAX(0,M3182-N3182)</f>
        <v/>
      </c>
      <c r="K3182" s="11">
        <f>O3182</f>
        <v/>
      </c>
      <c r="L3182" s="11">
        <f>L3181+IF(K3182&gt;0,K3182*Summary!$B$9,K3182/Summary!$B$9)</f>
        <v/>
      </c>
      <c r="M3182" s="11">
        <f>G3182+H3182</f>
        <v/>
      </c>
      <c r="N3182" s="11">
        <f>Summary!$C$16*Summary!$B$8</f>
        <v/>
      </c>
      <c r="O3182" s="11">
        <f>M3182-N3182</f>
        <v/>
      </c>
    </row>
    <row r="3183">
      <c r="A3183" s="9" t="n">
        <v>45424.54166666666</v>
      </c>
      <c r="B3183" t="n">
        <v>5</v>
      </c>
      <c r="C3183" t="n">
        <v>12</v>
      </c>
      <c r="D3183" t="n">
        <v>13</v>
      </c>
      <c r="E3183" s="10" t="n">
        <v>0.754058</v>
      </c>
      <c r="F3183" s="10" t="n">
        <v>0.2052557772613866</v>
      </c>
      <c r="G3183" s="11">
        <f>E3183*Summary!$B$6</f>
        <v/>
      </c>
      <c r="H3183" s="11">
        <f>F3183*Summary!$B$7</f>
        <v/>
      </c>
      <c r="I3183" s="11">
        <f>MAX(0,N3183-M3183)</f>
        <v/>
      </c>
      <c r="J3183" s="11">
        <f>MAX(0,M3183-N3183)</f>
        <v/>
      </c>
      <c r="K3183" s="11">
        <f>O3183</f>
        <v/>
      </c>
      <c r="L3183" s="11">
        <f>L3182+IF(K3183&gt;0,K3183*Summary!$B$9,K3183/Summary!$B$9)</f>
        <v/>
      </c>
      <c r="M3183" s="11">
        <f>G3183+H3183</f>
        <v/>
      </c>
      <c r="N3183" s="11">
        <f>Summary!$C$16*Summary!$B$8</f>
        <v/>
      </c>
      <c r="O3183" s="11">
        <f>M3183-N3183</f>
        <v/>
      </c>
    </row>
    <row r="3184">
      <c r="A3184" s="9" t="n">
        <v>45424.58333333334</v>
      </c>
      <c r="B3184" t="n">
        <v>5</v>
      </c>
      <c r="C3184" t="n">
        <v>12</v>
      </c>
      <c r="D3184" t="n">
        <v>14</v>
      </c>
      <c r="E3184" s="10" t="n">
        <v>0.754058</v>
      </c>
      <c r="F3184" s="10" t="n">
        <v>0.1956372949529508</v>
      </c>
      <c r="G3184" s="11">
        <f>E3184*Summary!$B$6</f>
        <v/>
      </c>
      <c r="H3184" s="11">
        <f>F3184*Summary!$B$7</f>
        <v/>
      </c>
      <c r="I3184" s="11">
        <f>MAX(0,N3184-M3184)</f>
        <v/>
      </c>
      <c r="J3184" s="11">
        <f>MAX(0,M3184-N3184)</f>
        <v/>
      </c>
      <c r="K3184" s="11">
        <f>O3184</f>
        <v/>
      </c>
      <c r="L3184" s="11">
        <f>L3183+IF(K3184&gt;0,K3184*Summary!$B$9,K3184/Summary!$B$9)</f>
        <v/>
      </c>
      <c r="M3184" s="11">
        <f>G3184+H3184</f>
        <v/>
      </c>
      <c r="N3184" s="11">
        <f>Summary!$C$16*Summary!$B$8</f>
        <v/>
      </c>
      <c r="O3184" s="11">
        <f>M3184-N3184</f>
        <v/>
      </c>
    </row>
    <row r="3185">
      <c r="A3185" s="9" t="n">
        <v>45424.625</v>
      </c>
      <c r="B3185" t="n">
        <v>5</v>
      </c>
      <c r="C3185" t="n">
        <v>12</v>
      </c>
      <c r="D3185" t="n">
        <v>15</v>
      </c>
      <c r="E3185" s="10" t="n">
        <v>0.623583</v>
      </c>
      <c r="F3185" s="10" t="n">
        <v>0.2047287371348969</v>
      </c>
      <c r="G3185" s="11">
        <f>E3185*Summary!$B$6</f>
        <v/>
      </c>
      <c r="H3185" s="11">
        <f>F3185*Summary!$B$7</f>
        <v/>
      </c>
      <c r="I3185" s="11">
        <f>MAX(0,N3185-M3185)</f>
        <v/>
      </c>
      <c r="J3185" s="11">
        <f>MAX(0,M3185-N3185)</f>
        <v/>
      </c>
      <c r="K3185" s="11">
        <f>O3185</f>
        <v/>
      </c>
      <c r="L3185" s="11">
        <f>L3184+IF(K3185&gt;0,K3185*Summary!$B$9,K3185/Summary!$B$9)</f>
        <v/>
      </c>
      <c r="M3185" s="11">
        <f>G3185+H3185</f>
        <v/>
      </c>
      <c r="N3185" s="11">
        <f>Summary!$C$16*Summary!$B$8</f>
        <v/>
      </c>
      <c r="O3185" s="11">
        <f>M3185-N3185</f>
        <v/>
      </c>
    </row>
    <row r="3186">
      <c r="A3186" s="9" t="n">
        <v>45424.66666666666</v>
      </c>
      <c r="B3186" t="n">
        <v>5</v>
      </c>
      <c r="C3186" t="n">
        <v>12</v>
      </c>
      <c r="D3186" t="n">
        <v>16</v>
      </c>
      <c r="E3186" s="10" t="n">
        <v>0.430764</v>
      </c>
      <c r="F3186" s="10" t="n">
        <v>0.2026996326479118</v>
      </c>
      <c r="G3186" s="11">
        <f>E3186*Summary!$B$6</f>
        <v/>
      </c>
      <c r="H3186" s="11">
        <f>F3186*Summary!$B$7</f>
        <v/>
      </c>
      <c r="I3186" s="11">
        <f>MAX(0,N3186-M3186)</f>
        <v/>
      </c>
      <c r="J3186" s="11">
        <f>MAX(0,M3186-N3186)</f>
        <v/>
      </c>
      <c r="K3186" s="11">
        <f>O3186</f>
        <v/>
      </c>
      <c r="L3186" s="11">
        <f>L3185+IF(K3186&gt;0,K3186*Summary!$B$9,K3186/Summary!$B$9)</f>
        <v/>
      </c>
      <c r="M3186" s="11">
        <f>G3186+H3186</f>
        <v/>
      </c>
      <c r="N3186" s="11">
        <f>Summary!$C$16*Summary!$B$8</f>
        <v/>
      </c>
      <c r="O3186" s="11">
        <f>M3186-N3186</f>
        <v/>
      </c>
    </row>
    <row r="3187">
      <c r="A3187" s="9" t="n">
        <v>45424.70833333334</v>
      </c>
      <c r="B3187" t="n">
        <v>5</v>
      </c>
      <c r="C3187" t="n">
        <v>12</v>
      </c>
      <c r="D3187" t="n">
        <v>17</v>
      </c>
      <c r="E3187" s="10" t="n">
        <v>0.217378</v>
      </c>
      <c r="F3187" s="10" t="n">
        <v>0.189629037510969</v>
      </c>
      <c r="G3187" s="11">
        <f>E3187*Summary!$B$6</f>
        <v/>
      </c>
      <c r="H3187" s="11">
        <f>F3187*Summary!$B$7</f>
        <v/>
      </c>
      <c r="I3187" s="11">
        <f>MAX(0,N3187-M3187)</f>
        <v/>
      </c>
      <c r="J3187" s="11">
        <f>MAX(0,M3187-N3187)</f>
        <v/>
      </c>
      <c r="K3187" s="11">
        <f>O3187</f>
        <v/>
      </c>
      <c r="L3187" s="11">
        <f>L3186+IF(K3187&gt;0,K3187*Summary!$B$9,K3187/Summary!$B$9)</f>
        <v/>
      </c>
      <c r="M3187" s="11">
        <f>G3187+H3187</f>
        <v/>
      </c>
      <c r="N3187" s="11">
        <f>Summary!$C$16*Summary!$B$8</f>
        <v/>
      </c>
      <c r="O3187" s="11">
        <f>M3187-N3187</f>
        <v/>
      </c>
    </row>
    <row r="3188">
      <c r="A3188" s="9" t="n">
        <v>45424.75</v>
      </c>
      <c r="B3188" t="n">
        <v>5</v>
      </c>
      <c r="C3188" t="n">
        <v>12</v>
      </c>
      <c r="D3188" t="n">
        <v>18</v>
      </c>
      <c r="E3188" s="10" t="n">
        <v>0.053177</v>
      </c>
      <c r="F3188" s="10" t="n">
        <v>0.2005914721419533</v>
      </c>
      <c r="G3188" s="11">
        <f>E3188*Summary!$B$6</f>
        <v/>
      </c>
      <c r="H3188" s="11">
        <f>F3188*Summary!$B$7</f>
        <v/>
      </c>
      <c r="I3188" s="11">
        <f>MAX(0,N3188-M3188)</f>
        <v/>
      </c>
      <c r="J3188" s="11">
        <f>MAX(0,M3188-N3188)</f>
        <v/>
      </c>
      <c r="K3188" s="11">
        <f>O3188</f>
        <v/>
      </c>
      <c r="L3188" s="11">
        <f>L3187+IF(K3188&gt;0,K3188*Summary!$B$9,K3188/Summary!$B$9)</f>
        <v/>
      </c>
      <c r="M3188" s="11">
        <f>G3188+H3188</f>
        <v/>
      </c>
      <c r="N3188" s="11">
        <f>Summary!$C$16*Summary!$B$8</f>
        <v/>
      </c>
      <c r="O3188" s="11">
        <f>M3188-N3188</f>
        <v/>
      </c>
    </row>
    <row r="3189">
      <c r="A3189" s="9" t="n">
        <v>45424.79166666666</v>
      </c>
      <c r="B3189" t="n">
        <v>5</v>
      </c>
      <c r="C3189" t="n">
        <v>12</v>
      </c>
      <c r="D3189" t="n">
        <v>19</v>
      </c>
      <c r="E3189" s="10" t="n">
        <v>0.028652</v>
      </c>
      <c r="F3189" s="10" t="n">
        <v>0.2190905805817393</v>
      </c>
      <c r="G3189" s="11">
        <f>E3189*Summary!$B$6</f>
        <v/>
      </c>
      <c r="H3189" s="11">
        <f>F3189*Summary!$B$7</f>
        <v/>
      </c>
      <c r="I3189" s="11">
        <f>MAX(0,N3189-M3189)</f>
        <v/>
      </c>
      <c r="J3189" s="11">
        <f>MAX(0,M3189-N3189)</f>
        <v/>
      </c>
      <c r="K3189" s="11">
        <f>O3189</f>
        <v/>
      </c>
      <c r="L3189" s="11">
        <f>L3188+IF(K3189&gt;0,K3189*Summary!$B$9,K3189/Summary!$B$9)</f>
        <v/>
      </c>
      <c r="M3189" s="11">
        <f>G3189+H3189</f>
        <v/>
      </c>
      <c r="N3189" s="11">
        <f>Summary!$C$16*Summary!$B$8</f>
        <v/>
      </c>
      <c r="O3189" s="11">
        <f>M3189-N3189</f>
        <v/>
      </c>
    </row>
    <row r="3190">
      <c r="A3190" s="9" t="n">
        <v>45424.83333333334</v>
      </c>
      <c r="B3190" t="n">
        <v>5</v>
      </c>
      <c r="C3190" t="n">
        <v>12</v>
      </c>
      <c r="D3190" t="n">
        <v>20</v>
      </c>
      <c r="E3190" s="10" t="n">
        <v>0</v>
      </c>
      <c r="F3190" s="10" t="n">
        <v>0.2417796580271179</v>
      </c>
      <c r="G3190" s="11">
        <f>E3190*Summary!$B$6</f>
        <v/>
      </c>
      <c r="H3190" s="11">
        <f>F3190*Summary!$B$7</f>
        <v/>
      </c>
      <c r="I3190" s="11">
        <f>MAX(0,N3190-M3190)</f>
        <v/>
      </c>
      <c r="J3190" s="11">
        <f>MAX(0,M3190-N3190)</f>
        <v/>
      </c>
      <c r="K3190" s="11">
        <f>O3190</f>
        <v/>
      </c>
      <c r="L3190" s="11">
        <f>L3189+IF(K3190&gt;0,K3190*Summary!$B$9,K3190/Summary!$B$9)</f>
        <v/>
      </c>
      <c r="M3190" s="11">
        <f>G3190+H3190</f>
        <v/>
      </c>
      <c r="N3190" s="11">
        <f>Summary!$C$16*Summary!$B$8</f>
        <v/>
      </c>
      <c r="O3190" s="11">
        <f>M3190-N3190</f>
        <v/>
      </c>
    </row>
    <row r="3191">
      <c r="A3191" s="9" t="n">
        <v>45424.875</v>
      </c>
      <c r="B3191" t="n">
        <v>5</v>
      </c>
      <c r="C3191" t="n">
        <v>12</v>
      </c>
      <c r="D3191" t="n">
        <v>21</v>
      </c>
      <c r="E3191" s="10" t="n">
        <v>0</v>
      </c>
      <c r="F3191" s="10" t="n">
        <v>0.2590402221696533</v>
      </c>
      <c r="G3191" s="11">
        <f>E3191*Summary!$B$6</f>
        <v/>
      </c>
      <c r="H3191" s="11">
        <f>F3191*Summary!$B$7</f>
        <v/>
      </c>
      <c r="I3191" s="11">
        <f>MAX(0,N3191-M3191)</f>
        <v/>
      </c>
      <c r="J3191" s="11">
        <f>MAX(0,M3191-N3191)</f>
        <v/>
      </c>
      <c r="K3191" s="11">
        <f>O3191</f>
        <v/>
      </c>
      <c r="L3191" s="11">
        <f>L3190+IF(K3191&gt;0,K3191*Summary!$B$9,K3191/Summary!$B$9)</f>
        <v/>
      </c>
      <c r="M3191" s="11">
        <f>G3191+H3191</f>
        <v/>
      </c>
      <c r="N3191" s="11">
        <f>Summary!$C$16*Summary!$B$8</f>
        <v/>
      </c>
      <c r="O3191" s="11">
        <f>M3191-N3191</f>
        <v/>
      </c>
    </row>
    <row r="3192">
      <c r="A3192" s="9" t="n">
        <v>45424.91666666666</v>
      </c>
      <c r="B3192" t="n">
        <v>5</v>
      </c>
      <c r="C3192" t="n">
        <v>12</v>
      </c>
      <c r="D3192" t="n">
        <v>22</v>
      </c>
      <c r="E3192" s="10" t="n">
        <v>0</v>
      </c>
      <c r="F3192" s="10" t="n">
        <v>0.267947200307328</v>
      </c>
      <c r="G3192" s="11">
        <f>E3192*Summary!$B$6</f>
        <v/>
      </c>
      <c r="H3192" s="11">
        <f>F3192*Summary!$B$7</f>
        <v/>
      </c>
      <c r="I3192" s="11">
        <f>MAX(0,N3192-M3192)</f>
        <v/>
      </c>
      <c r="J3192" s="11">
        <f>MAX(0,M3192-N3192)</f>
        <v/>
      </c>
      <c r="K3192" s="11">
        <f>O3192</f>
        <v/>
      </c>
      <c r="L3192" s="11">
        <f>L3191+IF(K3192&gt;0,K3192*Summary!$B$9,K3192/Summary!$B$9)</f>
        <v/>
      </c>
      <c r="M3192" s="11">
        <f>G3192+H3192</f>
        <v/>
      </c>
      <c r="N3192" s="11">
        <f>Summary!$C$16*Summary!$B$8</f>
        <v/>
      </c>
      <c r="O3192" s="11">
        <f>M3192-N3192</f>
        <v/>
      </c>
    </row>
    <row r="3193">
      <c r="A3193" s="9" t="n">
        <v>45424.95833333334</v>
      </c>
      <c r="B3193" t="n">
        <v>5</v>
      </c>
      <c r="C3193" t="n">
        <v>12</v>
      </c>
      <c r="D3193" t="n">
        <v>23</v>
      </c>
      <c r="E3193" s="10" t="n">
        <v>0</v>
      </c>
      <c r="F3193" s="10" t="n">
        <v>0.280859683406324</v>
      </c>
      <c r="G3193" s="11">
        <f>E3193*Summary!$B$6</f>
        <v/>
      </c>
      <c r="H3193" s="11">
        <f>F3193*Summary!$B$7</f>
        <v/>
      </c>
      <c r="I3193" s="11">
        <f>MAX(0,N3193-M3193)</f>
        <v/>
      </c>
      <c r="J3193" s="11">
        <f>MAX(0,M3193-N3193)</f>
        <v/>
      </c>
      <c r="K3193" s="11">
        <f>O3193</f>
        <v/>
      </c>
      <c r="L3193" s="11">
        <f>L3192+IF(K3193&gt;0,K3193*Summary!$B$9,K3193/Summary!$B$9)</f>
        <v/>
      </c>
      <c r="M3193" s="11">
        <f>G3193+H3193</f>
        <v/>
      </c>
      <c r="N3193" s="11">
        <f>Summary!$C$16*Summary!$B$8</f>
        <v/>
      </c>
      <c r="O3193" s="11">
        <f>M3193-N3193</f>
        <v/>
      </c>
    </row>
    <row r="3194">
      <c r="A3194" s="9" t="n">
        <v>45425</v>
      </c>
      <c r="B3194" t="n">
        <v>5</v>
      </c>
      <c r="C3194" t="n">
        <v>13</v>
      </c>
      <c r="D3194" t="n">
        <v>0</v>
      </c>
      <c r="E3194" s="10" t="n">
        <v>0</v>
      </c>
      <c r="F3194" s="10" t="n">
        <v>0.251635308392474</v>
      </c>
      <c r="G3194" s="11">
        <f>E3194*Summary!$B$6</f>
        <v/>
      </c>
      <c r="H3194" s="11">
        <f>F3194*Summary!$B$7</f>
        <v/>
      </c>
      <c r="I3194" s="11">
        <f>MAX(0,N3194-M3194)</f>
        <v/>
      </c>
      <c r="J3194" s="11">
        <f>MAX(0,M3194-N3194)</f>
        <v/>
      </c>
      <c r="K3194" s="11">
        <f>O3194</f>
        <v/>
      </c>
      <c r="L3194" s="11">
        <f>L3193+IF(K3194&gt;0,K3194*Summary!$B$9,K3194/Summary!$B$9)</f>
        <v/>
      </c>
      <c r="M3194" s="11">
        <f>G3194+H3194</f>
        <v/>
      </c>
      <c r="N3194" s="11">
        <f>Summary!$C$16*Summary!$B$8</f>
        <v/>
      </c>
      <c r="O3194" s="11">
        <f>M3194-N3194</f>
        <v/>
      </c>
    </row>
    <row r="3195">
      <c r="A3195" s="9" t="n">
        <v>45425.04166666666</v>
      </c>
      <c r="B3195" t="n">
        <v>5</v>
      </c>
      <c r="C3195" t="n">
        <v>13</v>
      </c>
      <c r="D3195" t="n">
        <v>1</v>
      </c>
      <c r="E3195" s="10" t="n">
        <v>0</v>
      </c>
      <c r="F3195" s="10" t="n">
        <v>0.235929512623083</v>
      </c>
      <c r="G3195" s="11">
        <f>E3195*Summary!$B$6</f>
        <v/>
      </c>
      <c r="H3195" s="11">
        <f>F3195*Summary!$B$7</f>
        <v/>
      </c>
      <c r="I3195" s="11">
        <f>MAX(0,N3195-M3195)</f>
        <v/>
      </c>
      <c r="J3195" s="11">
        <f>MAX(0,M3195-N3195)</f>
        <v/>
      </c>
      <c r="K3195" s="11">
        <f>O3195</f>
        <v/>
      </c>
      <c r="L3195" s="11">
        <f>L3194+IF(K3195&gt;0,K3195*Summary!$B$9,K3195/Summary!$B$9)</f>
        <v/>
      </c>
      <c r="M3195" s="11">
        <f>G3195+H3195</f>
        <v/>
      </c>
      <c r="N3195" s="11">
        <f>Summary!$C$16*Summary!$B$8</f>
        <v/>
      </c>
      <c r="O3195" s="11">
        <f>M3195-N3195</f>
        <v/>
      </c>
    </row>
    <row r="3196">
      <c r="A3196" s="9" t="n">
        <v>45425.08333333334</v>
      </c>
      <c r="B3196" t="n">
        <v>5</v>
      </c>
      <c r="C3196" t="n">
        <v>13</v>
      </c>
      <c r="D3196" t="n">
        <v>2</v>
      </c>
      <c r="E3196" s="10" t="n">
        <v>0</v>
      </c>
      <c r="F3196" s="10" t="n">
        <v>0.244467562672215</v>
      </c>
      <c r="G3196" s="11">
        <f>E3196*Summary!$B$6</f>
        <v/>
      </c>
      <c r="H3196" s="11">
        <f>F3196*Summary!$B$7</f>
        <v/>
      </c>
      <c r="I3196" s="11">
        <f>MAX(0,N3196-M3196)</f>
        <v/>
      </c>
      <c r="J3196" s="11">
        <f>MAX(0,M3196-N3196)</f>
        <v/>
      </c>
      <c r="K3196" s="11">
        <f>O3196</f>
        <v/>
      </c>
      <c r="L3196" s="11">
        <f>L3195+IF(K3196&gt;0,K3196*Summary!$B$9,K3196/Summary!$B$9)</f>
        <v/>
      </c>
      <c r="M3196" s="11">
        <f>G3196+H3196</f>
        <v/>
      </c>
      <c r="N3196" s="11">
        <f>Summary!$C$16*Summary!$B$8</f>
        <v/>
      </c>
      <c r="O3196" s="11">
        <f>M3196-N3196</f>
        <v/>
      </c>
    </row>
    <row r="3197">
      <c r="A3197" s="9" t="n">
        <v>45425.125</v>
      </c>
      <c r="B3197" t="n">
        <v>5</v>
      </c>
      <c r="C3197" t="n">
        <v>13</v>
      </c>
      <c r="D3197" t="n">
        <v>3</v>
      </c>
      <c r="E3197" s="10" t="n">
        <v>0</v>
      </c>
      <c r="F3197" s="10" t="n">
        <v>0.2379322651037436</v>
      </c>
      <c r="G3197" s="11">
        <f>E3197*Summary!$B$6</f>
        <v/>
      </c>
      <c r="H3197" s="11">
        <f>F3197*Summary!$B$7</f>
        <v/>
      </c>
      <c r="I3197" s="11">
        <f>MAX(0,N3197-M3197)</f>
        <v/>
      </c>
      <c r="J3197" s="11">
        <f>MAX(0,M3197-N3197)</f>
        <v/>
      </c>
      <c r="K3197" s="11">
        <f>O3197</f>
        <v/>
      </c>
      <c r="L3197" s="11">
        <f>L3196+IF(K3197&gt;0,K3197*Summary!$B$9,K3197/Summary!$B$9)</f>
        <v/>
      </c>
      <c r="M3197" s="11">
        <f>G3197+H3197</f>
        <v/>
      </c>
      <c r="N3197" s="11">
        <f>Summary!$C$16*Summary!$B$8</f>
        <v/>
      </c>
      <c r="O3197" s="11">
        <f>M3197-N3197</f>
        <v/>
      </c>
    </row>
    <row r="3198">
      <c r="A3198" s="9" t="n">
        <v>45425.16666666666</v>
      </c>
      <c r="B3198" t="n">
        <v>5</v>
      </c>
      <c r="C3198" t="n">
        <v>13</v>
      </c>
      <c r="D3198" t="n">
        <v>4</v>
      </c>
      <c r="E3198" s="10" t="n">
        <v>0.004611</v>
      </c>
      <c r="F3198" s="10" t="n">
        <v>0.2248616699668008</v>
      </c>
      <c r="G3198" s="11">
        <f>E3198*Summary!$B$6</f>
        <v/>
      </c>
      <c r="H3198" s="11">
        <f>F3198*Summary!$B$7</f>
        <v/>
      </c>
      <c r="I3198" s="11">
        <f>MAX(0,N3198-M3198)</f>
        <v/>
      </c>
      <c r="J3198" s="11">
        <f>MAX(0,M3198-N3198)</f>
        <v/>
      </c>
      <c r="K3198" s="11">
        <f>O3198</f>
        <v/>
      </c>
      <c r="L3198" s="11">
        <f>L3197+IF(K3198&gt;0,K3198*Summary!$B$9,K3198/Summary!$B$9)</f>
        <v/>
      </c>
      <c r="M3198" s="11">
        <f>G3198+H3198</f>
        <v/>
      </c>
      <c r="N3198" s="11">
        <f>Summary!$C$16*Summary!$B$8</f>
        <v/>
      </c>
      <c r="O3198" s="11">
        <f>M3198-N3198</f>
        <v/>
      </c>
    </row>
    <row r="3199">
      <c r="A3199" s="9" t="n">
        <v>45425.20833333334</v>
      </c>
      <c r="B3199" t="n">
        <v>5</v>
      </c>
      <c r="C3199" t="n">
        <v>13</v>
      </c>
      <c r="D3199" t="n">
        <v>5</v>
      </c>
      <c r="E3199" s="10" t="n">
        <v>0.024334</v>
      </c>
      <c r="F3199" s="10" t="n">
        <v>0.203911824938838</v>
      </c>
      <c r="G3199" s="11">
        <f>E3199*Summary!$B$6</f>
        <v/>
      </c>
      <c r="H3199" s="11">
        <f>F3199*Summary!$B$7</f>
        <v/>
      </c>
      <c r="I3199" s="11">
        <f>MAX(0,N3199-M3199)</f>
        <v/>
      </c>
      <c r="J3199" s="11">
        <f>MAX(0,M3199-N3199)</f>
        <v/>
      </c>
      <c r="K3199" s="11">
        <f>O3199</f>
        <v/>
      </c>
      <c r="L3199" s="11">
        <f>L3198+IF(K3199&gt;0,K3199*Summary!$B$9,K3199/Summary!$B$9)</f>
        <v/>
      </c>
      <c r="M3199" s="11">
        <f>G3199+H3199</f>
        <v/>
      </c>
      <c r="N3199" s="11">
        <f>Summary!$C$16*Summary!$B$8</f>
        <v/>
      </c>
      <c r="O3199" s="11">
        <f>M3199-N3199</f>
        <v/>
      </c>
    </row>
    <row r="3200">
      <c r="A3200" s="9" t="n">
        <v>45425.25</v>
      </c>
      <c r="B3200" t="n">
        <v>5</v>
      </c>
      <c r="C3200" t="n">
        <v>13</v>
      </c>
      <c r="D3200" t="n">
        <v>6</v>
      </c>
      <c r="E3200" s="10" t="n">
        <v>0.022252</v>
      </c>
      <c r="F3200" s="10" t="n">
        <v>0.1811700434808104</v>
      </c>
      <c r="G3200" s="11">
        <f>E3200*Summary!$B$6</f>
        <v/>
      </c>
      <c r="H3200" s="11">
        <f>F3200*Summary!$B$7</f>
        <v/>
      </c>
      <c r="I3200" s="11">
        <f>MAX(0,N3200-M3200)</f>
        <v/>
      </c>
      <c r="J3200" s="11">
        <f>MAX(0,M3200-N3200)</f>
        <v/>
      </c>
      <c r="K3200" s="11">
        <f>O3200</f>
        <v/>
      </c>
      <c r="L3200" s="11">
        <f>L3199+IF(K3200&gt;0,K3200*Summary!$B$9,K3200/Summary!$B$9)</f>
        <v/>
      </c>
      <c r="M3200" s="11">
        <f>G3200+H3200</f>
        <v/>
      </c>
      <c r="N3200" s="11">
        <f>Summary!$C$16*Summary!$B$8</f>
        <v/>
      </c>
      <c r="O3200" s="11">
        <f>M3200-N3200</f>
        <v/>
      </c>
    </row>
    <row r="3201">
      <c r="A3201" s="9" t="n">
        <v>45425.29166666666</v>
      </c>
      <c r="B3201" t="n">
        <v>5</v>
      </c>
      <c r="C3201" t="n">
        <v>13</v>
      </c>
      <c r="D3201" t="n">
        <v>7</v>
      </c>
      <c r="E3201" s="10" t="n">
        <v>0.056074</v>
      </c>
      <c r="F3201" s="10" t="n">
        <v>0.1634614952307588</v>
      </c>
      <c r="G3201" s="11">
        <f>E3201*Summary!$B$6</f>
        <v/>
      </c>
      <c r="H3201" s="11">
        <f>F3201*Summary!$B$7</f>
        <v/>
      </c>
      <c r="I3201" s="11">
        <f>MAX(0,N3201-M3201)</f>
        <v/>
      </c>
      <c r="J3201" s="11">
        <f>MAX(0,M3201-N3201)</f>
        <v/>
      </c>
      <c r="K3201" s="11">
        <f>O3201</f>
        <v/>
      </c>
      <c r="L3201" s="11">
        <f>L3200+IF(K3201&gt;0,K3201*Summary!$B$9,K3201/Summary!$B$9)</f>
        <v/>
      </c>
      <c r="M3201" s="11">
        <f>G3201+H3201</f>
        <v/>
      </c>
      <c r="N3201" s="11">
        <f>Summary!$C$16*Summary!$B$8</f>
        <v/>
      </c>
      <c r="O3201" s="11">
        <f>M3201-N3201</f>
        <v/>
      </c>
    </row>
    <row r="3202">
      <c r="A3202" s="9" t="n">
        <v>45425.33333333334</v>
      </c>
      <c r="B3202" t="n">
        <v>5</v>
      </c>
      <c r="C3202" t="n">
        <v>13</v>
      </c>
      <c r="D3202" t="n">
        <v>8</v>
      </c>
      <c r="E3202" s="10" t="n">
        <v>0.157204</v>
      </c>
      <c r="F3202" s="10" t="n">
        <v>0.1556876533650368</v>
      </c>
      <c r="G3202" s="11">
        <f>E3202*Summary!$B$6</f>
        <v/>
      </c>
      <c r="H3202" s="11">
        <f>F3202*Summary!$B$7</f>
        <v/>
      </c>
      <c r="I3202" s="11">
        <f>MAX(0,N3202-M3202)</f>
        <v/>
      </c>
      <c r="J3202" s="11">
        <f>MAX(0,M3202-N3202)</f>
        <v/>
      </c>
      <c r="K3202" s="11">
        <f>O3202</f>
        <v/>
      </c>
      <c r="L3202" s="11">
        <f>L3201+IF(K3202&gt;0,K3202*Summary!$B$9,K3202/Summary!$B$9)</f>
        <v/>
      </c>
      <c r="M3202" s="11">
        <f>G3202+H3202</f>
        <v/>
      </c>
      <c r="N3202" s="11">
        <f>Summary!$C$16*Summary!$B$8</f>
        <v/>
      </c>
      <c r="O3202" s="11">
        <f>M3202-N3202</f>
        <v/>
      </c>
    </row>
    <row r="3203">
      <c r="A3203" s="9" t="n">
        <v>45425.375</v>
      </c>
      <c r="B3203" t="n">
        <v>5</v>
      </c>
      <c r="C3203" t="n">
        <v>13</v>
      </c>
      <c r="D3203" t="n">
        <v>9</v>
      </c>
      <c r="E3203" s="10" t="n">
        <v>0.193955</v>
      </c>
      <c r="F3203" s="10" t="n">
        <v>0.1585336700480808</v>
      </c>
      <c r="G3203" s="11">
        <f>E3203*Summary!$B$6</f>
        <v/>
      </c>
      <c r="H3203" s="11">
        <f>F3203*Summary!$B$7</f>
        <v/>
      </c>
      <c r="I3203" s="11">
        <f>MAX(0,N3203-M3203)</f>
        <v/>
      </c>
      <c r="J3203" s="11">
        <f>MAX(0,M3203-N3203)</f>
        <v/>
      </c>
      <c r="K3203" s="11">
        <f>O3203</f>
        <v/>
      </c>
      <c r="L3203" s="11">
        <f>L3202+IF(K3203&gt;0,K3203*Summary!$B$9,K3203/Summary!$B$9)</f>
        <v/>
      </c>
      <c r="M3203" s="11">
        <f>G3203+H3203</f>
        <v/>
      </c>
      <c r="N3203" s="11">
        <f>Summary!$C$16*Summary!$B$8</f>
        <v/>
      </c>
      <c r="O3203" s="11">
        <f>M3203-N3203</f>
        <v/>
      </c>
    </row>
    <row r="3204">
      <c r="A3204" s="9" t="n">
        <v>45425.41666666666</v>
      </c>
      <c r="B3204" t="n">
        <v>5</v>
      </c>
      <c r="C3204" t="n">
        <v>13</v>
      </c>
      <c r="D3204" t="n">
        <v>10</v>
      </c>
      <c r="E3204" s="10" t="n">
        <v>0.191635</v>
      </c>
      <c r="F3204" s="10" t="n">
        <v>0.1598249183579804</v>
      </c>
      <c r="G3204" s="11">
        <f>E3204*Summary!$B$6</f>
        <v/>
      </c>
      <c r="H3204" s="11">
        <f>F3204*Summary!$B$7</f>
        <v/>
      </c>
      <c r="I3204" s="11">
        <f>MAX(0,N3204-M3204)</f>
        <v/>
      </c>
      <c r="J3204" s="11">
        <f>MAX(0,M3204-N3204)</f>
        <v/>
      </c>
      <c r="K3204" s="11">
        <f>O3204</f>
        <v/>
      </c>
      <c r="L3204" s="11">
        <f>L3203+IF(K3204&gt;0,K3204*Summary!$B$9,K3204/Summary!$B$9)</f>
        <v/>
      </c>
      <c r="M3204" s="11">
        <f>G3204+H3204</f>
        <v/>
      </c>
      <c r="N3204" s="11">
        <f>Summary!$C$16*Summary!$B$8</f>
        <v/>
      </c>
      <c r="O3204" s="11">
        <f>M3204-N3204</f>
        <v/>
      </c>
    </row>
    <row r="3205">
      <c r="A3205" s="9" t="n">
        <v>45425.45833333334</v>
      </c>
      <c r="B3205" t="n">
        <v>5</v>
      </c>
      <c r="C3205" t="n">
        <v>13</v>
      </c>
      <c r="D3205" t="n">
        <v>11</v>
      </c>
      <c r="E3205" s="10" t="n">
        <v>0.14145</v>
      </c>
      <c r="F3205" s="10" t="n">
        <v>0.163197975167514</v>
      </c>
      <c r="G3205" s="11">
        <f>E3205*Summary!$B$6</f>
        <v/>
      </c>
      <c r="H3205" s="11">
        <f>F3205*Summary!$B$7</f>
        <v/>
      </c>
      <c r="I3205" s="11">
        <f>MAX(0,N3205-M3205)</f>
        <v/>
      </c>
      <c r="J3205" s="11">
        <f>MAX(0,M3205-N3205)</f>
        <v/>
      </c>
      <c r="K3205" s="11">
        <f>O3205</f>
        <v/>
      </c>
      <c r="L3205" s="11">
        <f>L3204+IF(K3205&gt;0,K3205*Summary!$B$9,K3205/Summary!$B$9)</f>
        <v/>
      </c>
      <c r="M3205" s="11">
        <f>G3205+H3205</f>
        <v/>
      </c>
      <c r="N3205" s="11">
        <f>Summary!$C$16*Summary!$B$8</f>
        <v/>
      </c>
      <c r="O3205" s="11">
        <f>M3205-N3205</f>
        <v/>
      </c>
    </row>
    <row r="3206">
      <c r="A3206" s="9" t="n">
        <v>45425.5</v>
      </c>
      <c r="B3206" t="n">
        <v>5</v>
      </c>
      <c r="C3206" t="n">
        <v>13</v>
      </c>
      <c r="D3206" t="n">
        <v>12</v>
      </c>
      <c r="E3206" s="10" t="n">
        <v>0.109869</v>
      </c>
      <c r="F3206" s="10" t="n">
        <v>0.1687318964956551</v>
      </c>
      <c r="G3206" s="11">
        <f>E3206*Summary!$B$6</f>
        <v/>
      </c>
      <c r="H3206" s="11">
        <f>F3206*Summary!$B$7</f>
        <v/>
      </c>
      <c r="I3206" s="11">
        <f>MAX(0,N3206-M3206)</f>
        <v/>
      </c>
      <c r="J3206" s="11">
        <f>MAX(0,M3206-N3206)</f>
        <v/>
      </c>
      <c r="K3206" s="11">
        <f>O3206</f>
        <v/>
      </c>
      <c r="L3206" s="11">
        <f>L3205+IF(K3206&gt;0,K3206*Summary!$B$9,K3206/Summary!$B$9)</f>
        <v/>
      </c>
      <c r="M3206" s="11">
        <f>G3206+H3206</f>
        <v/>
      </c>
      <c r="N3206" s="11">
        <f>Summary!$C$16*Summary!$B$8</f>
        <v/>
      </c>
      <c r="O3206" s="11">
        <f>M3206-N3206</f>
        <v/>
      </c>
    </row>
    <row r="3207">
      <c r="A3207" s="9" t="n">
        <v>45425.54166666666</v>
      </c>
      <c r="B3207" t="n">
        <v>5</v>
      </c>
      <c r="C3207" t="n">
        <v>13</v>
      </c>
      <c r="D3207" t="n">
        <v>13</v>
      </c>
      <c r="E3207" s="10" t="n">
        <v>0.107786</v>
      </c>
      <c r="F3207" s="10" t="n">
        <v>0.1716306171913481</v>
      </c>
      <c r="G3207" s="11">
        <f>E3207*Summary!$B$6</f>
        <v/>
      </c>
      <c r="H3207" s="11">
        <f>F3207*Summary!$B$7</f>
        <v/>
      </c>
      <c r="I3207" s="11">
        <f>MAX(0,N3207-M3207)</f>
        <v/>
      </c>
      <c r="J3207" s="11">
        <f>MAX(0,M3207-N3207)</f>
        <v/>
      </c>
      <c r="K3207" s="11">
        <f>O3207</f>
        <v/>
      </c>
      <c r="L3207" s="11">
        <f>L3206+IF(K3207&gt;0,K3207*Summary!$B$9,K3207/Summary!$B$9)</f>
        <v/>
      </c>
      <c r="M3207" s="11">
        <f>G3207+H3207</f>
        <v/>
      </c>
      <c r="N3207" s="11">
        <f>Summary!$C$16*Summary!$B$8</f>
        <v/>
      </c>
      <c r="O3207" s="11">
        <f>M3207-N3207</f>
        <v/>
      </c>
    </row>
    <row r="3208">
      <c r="A3208" s="9" t="n">
        <v>45425.58333333334</v>
      </c>
      <c r="B3208" t="n">
        <v>5</v>
      </c>
      <c r="C3208" t="n">
        <v>13</v>
      </c>
      <c r="D3208" t="n">
        <v>14</v>
      </c>
      <c r="E3208" s="10" t="n">
        <v>0.095704</v>
      </c>
      <c r="F3208" s="10" t="n">
        <v>0.1719204892609174</v>
      </c>
      <c r="G3208" s="11">
        <f>E3208*Summary!$B$6</f>
        <v/>
      </c>
      <c r="H3208" s="11">
        <f>F3208*Summary!$B$7</f>
        <v/>
      </c>
      <c r="I3208" s="11">
        <f>MAX(0,N3208-M3208)</f>
        <v/>
      </c>
      <c r="J3208" s="11">
        <f>MAX(0,M3208-N3208)</f>
        <v/>
      </c>
      <c r="K3208" s="11">
        <f>O3208</f>
        <v/>
      </c>
      <c r="L3208" s="11">
        <f>L3207+IF(K3208&gt;0,K3208*Summary!$B$9,K3208/Summary!$B$9)</f>
        <v/>
      </c>
      <c r="M3208" s="11">
        <f>G3208+H3208</f>
        <v/>
      </c>
      <c r="N3208" s="11">
        <f>Summary!$C$16*Summary!$B$8</f>
        <v/>
      </c>
      <c r="O3208" s="11">
        <f>M3208-N3208</f>
        <v/>
      </c>
    </row>
    <row r="3209">
      <c r="A3209" s="9" t="n">
        <v>45425.625</v>
      </c>
      <c r="B3209" t="n">
        <v>5</v>
      </c>
      <c r="C3209" t="n">
        <v>13</v>
      </c>
      <c r="D3209" t="n">
        <v>15</v>
      </c>
      <c r="E3209" s="10" t="n">
        <v>0.134512</v>
      </c>
      <c r="F3209" s="10" t="n">
        <v>0.1727110494506519</v>
      </c>
      <c r="G3209" s="11">
        <f>E3209*Summary!$B$6</f>
        <v/>
      </c>
      <c r="H3209" s="11">
        <f>F3209*Summary!$B$7</f>
        <v/>
      </c>
      <c r="I3209" s="11">
        <f>MAX(0,N3209-M3209)</f>
        <v/>
      </c>
      <c r="J3209" s="11">
        <f>MAX(0,M3209-N3209)</f>
        <v/>
      </c>
      <c r="K3209" s="11">
        <f>O3209</f>
        <v/>
      </c>
      <c r="L3209" s="11">
        <f>L3208+IF(K3209&gt;0,K3209*Summary!$B$9,K3209/Summary!$B$9)</f>
        <v/>
      </c>
      <c r="M3209" s="11">
        <f>G3209+H3209</f>
        <v/>
      </c>
      <c r="N3209" s="11">
        <f>Summary!$C$16*Summary!$B$8</f>
        <v/>
      </c>
      <c r="O3209" s="11">
        <f>M3209-N3209</f>
        <v/>
      </c>
    </row>
    <row r="3210">
      <c r="A3210" s="9" t="n">
        <v>45425.66666666666</v>
      </c>
      <c r="B3210" t="n">
        <v>5</v>
      </c>
      <c r="C3210" t="n">
        <v>13</v>
      </c>
      <c r="D3210" t="n">
        <v>16</v>
      </c>
      <c r="E3210" s="10" t="n">
        <v>0.173457</v>
      </c>
      <c r="F3210" s="10" t="n">
        <v>0.1757678821842917</v>
      </c>
      <c r="G3210" s="11">
        <f>E3210*Summary!$B$6</f>
        <v/>
      </c>
      <c r="H3210" s="11">
        <f>F3210*Summary!$B$7</f>
        <v/>
      </c>
      <c r="I3210" s="11">
        <f>MAX(0,N3210-M3210)</f>
        <v/>
      </c>
      <c r="J3210" s="11">
        <f>MAX(0,M3210-N3210)</f>
        <v/>
      </c>
      <c r="K3210" s="11">
        <f>O3210</f>
        <v/>
      </c>
      <c r="L3210" s="11">
        <f>L3209+IF(K3210&gt;0,K3210*Summary!$B$9,K3210/Summary!$B$9)</f>
        <v/>
      </c>
      <c r="M3210" s="11">
        <f>G3210+H3210</f>
        <v/>
      </c>
      <c r="N3210" s="11">
        <f>Summary!$C$16*Summary!$B$8</f>
        <v/>
      </c>
      <c r="O3210" s="11">
        <f>M3210-N3210</f>
        <v/>
      </c>
    </row>
    <row r="3211">
      <c r="A3211" s="9" t="n">
        <v>45425.70833333334</v>
      </c>
      <c r="B3211" t="n">
        <v>5</v>
      </c>
      <c r="C3211" t="n">
        <v>13</v>
      </c>
      <c r="D3211" t="n">
        <v>17</v>
      </c>
      <c r="E3211" s="10" t="n">
        <v>0.109666</v>
      </c>
      <c r="F3211" s="10" t="n">
        <v>0.1714725051534012</v>
      </c>
      <c r="G3211" s="11">
        <f>E3211*Summary!$B$6</f>
        <v/>
      </c>
      <c r="H3211" s="11">
        <f>F3211*Summary!$B$7</f>
        <v/>
      </c>
      <c r="I3211" s="11">
        <f>MAX(0,N3211-M3211)</f>
        <v/>
      </c>
      <c r="J3211" s="11">
        <f>MAX(0,M3211-N3211)</f>
        <v/>
      </c>
      <c r="K3211" s="11">
        <f>O3211</f>
        <v/>
      </c>
      <c r="L3211" s="11">
        <f>L3210+IF(K3211&gt;0,K3211*Summary!$B$9,K3211/Summary!$B$9)</f>
        <v/>
      </c>
      <c r="M3211" s="11">
        <f>G3211+H3211</f>
        <v/>
      </c>
      <c r="N3211" s="11">
        <f>Summary!$C$16*Summary!$B$8</f>
        <v/>
      </c>
      <c r="O3211" s="11">
        <f>M3211-N3211</f>
        <v/>
      </c>
    </row>
    <row r="3212">
      <c r="A3212" s="9" t="n">
        <v>45425.75</v>
      </c>
      <c r="B3212" t="n">
        <v>5</v>
      </c>
      <c r="C3212" t="n">
        <v>13</v>
      </c>
      <c r="D3212" t="n">
        <v>18</v>
      </c>
      <c r="E3212" s="10" t="n">
        <v>0.05963</v>
      </c>
      <c r="F3212" s="10" t="n">
        <v>0.1734489056277373</v>
      </c>
      <c r="G3212" s="11">
        <f>E3212*Summary!$B$6</f>
        <v/>
      </c>
      <c r="H3212" s="11">
        <f>F3212*Summary!$B$7</f>
        <v/>
      </c>
      <c r="I3212" s="11">
        <f>MAX(0,N3212-M3212)</f>
        <v/>
      </c>
      <c r="J3212" s="11">
        <f>MAX(0,M3212-N3212)</f>
        <v/>
      </c>
      <c r="K3212" s="11">
        <f>O3212</f>
        <v/>
      </c>
      <c r="L3212" s="11">
        <f>L3211+IF(K3212&gt;0,K3212*Summary!$B$9,K3212/Summary!$B$9)</f>
        <v/>
      </c>
      <c r="M3212" s="11">
        <f>G3212+H3212</f>
        <v/>
      </c>
      <c r="N3212" s="11">
        <f>Summary!$C$16*Summary!$B$8</f>
        <v/>
      </c>
      <c r="O3212" s="11">
        <f>M3212-N3212</f>
        <v/>
      </c>
    </row>
    <row r="3213">
      <c r="A3213" s="9" t="n">
        <v>45425.79166666666</v>
      </c>
      <c r="B3213" t="n">
        <v>5</v>
      </c>
      <c r="C3213" t="n">
        <v>13</v>
      </c>
      <c r="D3213" t="n">
        <v>19</v>
      </c>
      <c r="E3213" s="10" t="n">
        <v>0.012285</v>
      </c>
      <c r="F3213" s="10" t="n">
        <v>0.1854390685053764</v>
      </c>
      <c r="G3213" s="11">
        <f>E3213*Summary!$B$6</f>
        <v/>
      </c>
      <c r="H3213" s="11">
        <f>F3213*Summary!$B$7</f>
        <v/>
      </c>
      <c r="I3213" s="11">
        <f>MAX(0,N3213-M3213)</f>
        <v/>
      </c>
      <c r="J3213" s="11">
        <f>MAX(0,M3213-N3213)</f>
        <v/>
      </c>
      <c r="K3213" s="11">
        <f>O3213</f>
        <v/>
      </c>
      <c r="L3213" s="11">
        <f>L3212+IF(K3213&gt;0,K3213*Summary!$B$9,K3213/Summary!$B$9)</f>
        <v/>
      </c>
      <c r="M3213" s="11">
        <f>G3213+H3213</f>
        <v/>
      </c>
      <c r="N3213" s="11">
        <f>Summary!$C$16*Summary!$B$8</f>
        <v/>
      </c>
      <c r="O3213" s="11">
        <f>M3213-N3213</f>
        <v/>
      </c>
    </row>
    <row r="3214">
      <c r="A3214" s="9" t="n">
        <v>45425.83333333334</v>
      </c>
      <c r="B3214" t="n">
        <v>5</v>
      </c>
      <c r="C3214" t="n">
        <v>13</v>
      </c>
      <c r="D3214" t="n">
        <v>20</v>
      </c>
      <c r="E3214" s="10" t="n">
        <v>0</v>
      </c>
      <c r="F3214" s="10" t="n">
        <v>0.2187480044995211</v>
      </c>
      <c r="G3214" s="11">
        <f>E3214*Summary!$B$6</f>
        <v/>
      </c>
      <c r="H3214" s="11">
        <f>F3214*Summary!$B$7</f>
        <v/>
      </c>
      <c r="I3214" s="11">
        <f>MAX(0,N3214-M3214)</f>
        <v/>
      </c>
      <c r="J3214" s="11">
        <f>MAX(0,M3214-N3214)</f>
        <v/>
      </c>
      <c r="K3214" s="11">
        <f>O3214</f>
        <v/>
      </c>
      <c r="L3214" s="11">
        <f>L3213+IF(K3214&gt;0,K3214*Summary!$B$9,K3214/Summary!$B$9)</f>
        <v/>
      </c>
      <c r="M3214" s="11">
        <f>G3214+H3214</f>
        <v/>
      </c>
      <c r="N3214" s="11">
        <f>Summary!$C$16*Summary!$B$8</f>
        <v/>
      </c>
      <c r="O3214" s="11">
        <f>M3214-N3214</f>
        <v/>
      </c>
    </row>
    <row r="3215">
      <c r="A3215" s="9" t="n">
        <v>45425.875</v>
      </c>
      <c r="B3215" t="n">
        <v>5</v>
      </c>
      <c r="C3215" t="n">
        <v>13</v>
      </c>
      <c r="D3215" t="n">
        <v>21</v>
      </c>
      <c r="E3215" s="10" t="n">
        <v>0</v>
      </c>
      <c r="F3215" s="10" t="n">
        <v>0.2281820227636855</v>
      </c>
      <c r="G3215" s="11">
        <f>E3215*Summary!$B$6</f>
        <v/>
      </c>
      <c r="H3215" s="11">
        <f>F3215*Summary!$B$7</f>
        <v/>
      </c>
      <c r="I3215" s="11">
        <f>MAX(0,N3215-M3215)</f>
        <v/>
      </c>
      <c r="J3215" s="11">
        <f>MAX(0,M3215-N3215)</f>
        <v/>
      </c>
      <c r="K3215" s="11">
        <f>O3215</f>
        <v/>
      </c>
      <c r="L3215" s="11">
        <f>L3214+IF(K3215&gt;0,K3215*Summary!$B$9,K3215/Summary!$B$9)</f>
        <v/>
      </c>
      <c r="M3215" s="11">
        <f>G3215+H3215</f>
        <v/>
      </c>
      <c r="N3215" s="11">
        <f>Summary!$C$16*Summary!$B$8</f>
        <v/>
      </c>
      <c r="O3215" s="11">
        <f>M3215-N3215</f>
        <v/>
      </c>
    </row>
    <row r="3216">
      <c r="A3216" s="9" t="n">
        <v>45425.91666666666</v>
      </c>
      <c r="B3216" t="n">
        <v>5</v>
      </c>
      <c r="C3216" t="n">
        <v>13</v>
      </c>
      <c r="D3216" t="n">
        <v>22</v>
      </c>
      <c r="E3216" s="10" t="n">
        <v>0</v>
      </c>
      <c r="F3216" s="10" t="n">
        <v>0.2361930326863278</v>
      </c>
      <c r="G3216" s="11">
        <f>E3216*Summary!$B$6</f>
        <v/>
      </c>
      <c r="H3216" s="11">
        <f>F3216*Summary!$B$7</f>
        <v/>
      </c>
      <c r="I3216" s="11">
        <f>MAX(0,N3216-M3216)</f>
        <v/>
      </c>
      <c r="J3216" s="11">
        <f>MAX(0,M3216-N3216)</f>
        <v/>
      </c>
      <c r="K3216" s="11">
        <f>O3216</f>
        <v/>
      </c>
      <c r="L3216" s="11">
        <f>L3215+IF(K3216&gt;0,K3216*Summary!$B$9,K3216/Summary!$B$9)</f>
        <v/>
      </c>
      <c r="M3216" s="11">
        <f>G3216+H3216</f>
        <v/>
      </c>
      <c r="N3216" s="11">
        <f>Summary!$C$16*Summary!$B$8</f>
        <v/>
      </c>
      <c r="O3216" s="11">
        <f>M3216-N3216</f>
        <v/>
      </c>
    </row>
    <row r="3217">
      <c r="A3217" s="9" t="n">
        <v>45425.95833333334</v>
      </c>
      <c r="B3217" t="n">
        <v>5</v>
      </c>
      <c r="C3217" t="n">
        <v>13</v>
      </c>
      <c r="D3217" t="n">
        <v>23</v>
      </c>
      <c r="E3217" s="10" t="n">
        <v>0</v>
      </c>
      <c r="F3217" s="10" t="n">
        <v>0.2436242984698316</v>
      </c>
      <c r="G3217" s="11">
        <f>E3217*Summary!$B$6</f>
        <v/>
      </c>
      <c r="H3217" s="11">
        <f>F3217*Summary!$B$7</f>
        <v/>
      </c>
      <c r="I3217" s="11">
        <f>MAX(0,N3217-M3217)</f>
        <v/>
      </c>
      <c r="J3217" s="11">
        <f>MAX(0,M3217-N3217)</f>
        <v/>
      </c>
      <c r="K3217" s="11">
        <f>O3217</f>
        <v/>
      </c>
      <c r="L3217" s="11">
        <f>L3216+IF(K3217&gt;0,K3217*Summary!$B$9,K3217/Summary!$B$9)</f>
        <v/>
      </c>
      <c r="M3217" s="11">
        <f>G3217+H3217</f>
        <v/>
      </c>
      <c r="N3217" s="11">
        <f>Summary!$C$16*Summary!$B$8</f>
        <v/>
      </c>
      <c r="O3217" s="11">
        <f>M3217-N3217</f>
        <v/>
      </c>
    </row>
    <row r="3218">
      <c r="A3218" s="9" t="n">
        <v>45426</v>
      </c>
      <c r="B3218" t="n">
        <v>5</v>
      </c>
      <c r="C3218" t="n">
        <v>14</v>
      </c>
      <c r="D3218" t="n">
        <v>0</v>
      </c>
      <c r="E3218" s="10" t="n">
        <v>0</v>
      </c>
      <c r="F3218" s="10" t="n">
        <v>0.2730067855216285</v>
      </c>
      <c r="G3218" s="11">
        <f>E3218*Summary!$B$6</f>
        <v/>
      </c>
      <c r="H3218" s="11">
        <f>F3218*Summary!$B$7</f>
        <v/>
      </c>
      <c r="I3218" s="11">
        <f>MAX(0,N3218-M3218)</f>
        <v/>
      </c>
      <c r="J3218" s="11">
        <f>MAX(0,M3218-N3218)</f>
        <v/>
      </c>
      <c r="K3218" s="11">
        <f>O3218</f>
        <v/>
      </c>
      <c r="L3218" s="11">
        <f>L3217+IF(K3218&gt;0,K3218*Summary!$B$9,K3218/Summary!$B$9)</f>
        <v/>
      </c>
      <c r="M3218" s="11">
        <f>G3218+H3218</f>
        <v/>
      </c>
      <c r="N3218" s="11">
        <f>Summary!$C$16*Summary!$B$8</f>
        <v/>
      </c>
      <c r="O3218" s="11">
        <f>M3218-N3218</f>
        <v/>
      </c>
    </row>
    <row r="3219">
      <c r="A3219" s="9" t="n">
        <v>45426.04166666666</v>
      </c>
      <c r="B3219" t="n">
        <v>5</v>
      </c>
      <c r="C3219" t="n">
        <v>14</v>
      </c>
      <c r="D3219" t="n">
        <v>1</v>
      </c>
      <c r="E3219" s="10" t="n">
        <v>0</v>
      </c>
      <c r="F3219" s="10" t="n">
        <v>0.2483940116145628</v>
      </c>
      <c r="G3219" s="11">
        <f>E3219*Summary!$B$6</f>
        <v/>
      </c>
      <c r="H3219" s="11">
        <f>F3219*Summary!$B$7</f>
        <v/>
      </c>
      <c r="I3219" s="11">
        <f>MAX(0,N3219-M3219)</f>
        <v/>
      </c>
      <c r="J3219" s="11">
        <f>MAX(0,M3219-N3219)</f>
        <v/>
      </c>
      <c r="K3219" s="11">
        <f>O3219</f>
        <v/>
      </c>
      <c r="L3219" s="11">
        <f>L3218+IF(K3219&gt;0,K3219*Summary!$B$9,K3219/Summary!$B$9)</f>
        <v/>
      </c>
      <c r="M3219" s="11">
        <f>G3219+H3219</f>
        <v/>
      </c>
      <c r="N3219" s="11">
        <f>Summary!$C$16*Summary!$B$8</f>
        <v/>
      </c>
      <c r="O3219" s="11">
        <f>M3219-N3219</f>
        <v/>
      </c>
    </row>
    <row r="3220">
      <c r="A3220" s="9" t="n">
        <v>45426.08333333334</v>
      </c>
      <c r="B3220" t="n">
        <v>5</v>
      </c>
      <c r="C3220" t="n">
        <v>14</v>
      </c>
      <c r="D3220" t="n">
        <v>2</v>
      </c>
      <c r="E3220" s="10" t="n">
        <v>0</v>
      </c>
      <c r="F3220" s="10" t="n">
        <v>0.2435452424508582</v>
      </c>
      <c r="G3220" s="11">
        <f>E3220*Summary!$B$6</f>
        <v/>
      </c>
      <c r="H3220" s="11">
        <f>F3220*Summary!$B$7</f>
        <v/>
      </c>
      <c r="I3220" s="11">
        <f>MAX(0,N3220-M3220)</f>
        <v/>
      </c>
      <c r="J3220" s="11">
        <f>MAX(0,M3220-N3220)</f>
        <v/>
      </c>
      <c r="K3220" s="11">
        <f>O3220</f>
        <v/>
      </c>
      <c r="L3220" s="11">
        <f>L3219+IF(K3220&gt;0,K3220*Summary!$B$9,K3220/Summary!$B$9)</f>
        <v/>
      </c>
      <c r="M3220" s="11">
        <f>G3220+H3220</f>
        <v/>
      </c>
      <c r="N3220" s="11">
        <f>Summary!$C$16*Summary!$B$8</f>
        <v/>
      </c>
      <c r="O3220" s="11">
        <f>M3220-N3220</f>
        <v/>
      </c>
    </row>
    <row r="3221">
      <c r="A3221" s="9" t="n">
        <v>45426.125</v>
      </c>
      <c r="B3221" t="n">
        <v>5</v>
      </c>
      <c r="C3221" t="n">
        <v>14</v>
      </c>
      <c r="D3221" t="n">
        <v>3</v>
      </c>
      <c r="E3221" s="10" t="n">
        <v>0</v>
      </c>
      <c r="F3221" s="10" t="n">
        <v>0.2422012901283097</v>
      </c>
      <c r="G3221" s="11">
        <f>E3221*Summary!$B$6</f>
        <v/>
      </c>
      <c r="H3221" s="11">
        <f>F3221*Summary!$B$7</f>
        <v/>
      </c>
      <c r="I3221" s="11">
        <f>MAX(0,N3221-M3221)</f>
        <v/>
      </c>
      <c r="J3221" s="11">
        <f>MAX(0,M3221-N3221)</f>
        <v/>
      </c>
      <c r="K3221" s="11">
        <f>O3221</f>
        <v/>
      </c>
      <c r="L3221" s="11">
        <f>L3220+IF(K3221&gt;0,K3221*Summary!$B$9,K3221/Summary!$B$9)</f>
        <v/>
      </c>
      <c r="M3221" s="11">
        <f>G3221+H3221</f>
        <v/>
      </c>
      <c r="N3221" s="11">
        <f>Summary!$C$16*Summary!$B$8</f>
        <v/>
      </c>
      <c r="O3221" s="11">
        <f>M3221-N3221</f>
        <v/>
      </c>
    </row>
    <row r="3222">
      <c r="A3222" s="9" t="n">
        <v>45426.16666666666</v>
      </c>
      <c r="B3222" t="n">
        <v>5</v>
      </c>
      <c r="C3222" t="n">
        <v>14</v>
      </c>
      <c r="D3222" t="n">
        <v>4</v>
      </c>
      <c r="E3222" s="10" t="n">
        <v>0.001878</v>
      </c>
      <c r="F3222" s="10" t="n">
        <v>0.2330044399210656</v>
      </c>
      <c r="G3222" s="11">
        <f>E3222*Summary!$B$6</f>
        <v/>
      </c>
      <c r="H3222" s="11">
        <f>F3222*Summary!$B$7</f>
        <v/>
      </c>
      <c r="I3222" s="11">
        <f>MAX(0,N3222-M3222)</f>
        <v/>
      </c>
      <c r="J3222" s="11">
        <f>MAX(0,M3222-N3222)</f>
        <v/>
      </c>
      <c r="K3222" s="11">
        <f>O3222</f>
        <v/>
      </c>
      <c r="L3222" s="11">
        <f>L3221+IF(K3222&gt;0,K3222*Summary!$B$9,K3222/Summary!$B$9)</f>
        <v/>
      </c>
      <c r="M3222" s="11">
        <f>G3222+H3222</f>
        <v/>
      </c>
      <c r="N3222" s="11">
        <f>Summary!$C$16*Summary!$B$8</f>
        <v/>
      </c>
      <c r="O3222" s="11">
        <f>M3222-N3222</f>
        <v/>
      </c>
    </row>
    <row r="3223">
      <c r="A3223" s="9" t="n">
        <v>45426.20833333334</v>
      </c>
      <c r="B3223" t="n">
        <v>5</v>
      </c>
      <c r="C3223" t="n">
        <v>14</v>
      </c>
      <c r="D3223" t="n">
        <v>5</v>
      </c>
      <c r="E3223" s="10" t="n">
        <v>0.006041</v>
      </c>
      <c r="F3223" s="10" t="n">
        <v>0.2206453489548837</v>
      </c>
      <c r="G3223" s="11">
        <f>E3223*Summary!$B$6</f>
        <v/>
      </c>
      <c r="H3223" s="11">
        <f>F3223*Summary!$B$7</f>
        <v/>
      </c>
      <c r="I3223" s="11">
        <f>MAX(0,N3223-M3223)</f>
        <v/>
      </c>
      <c r="J3223" s="11">
        <f>MAX(0,M3223-N3223)</f>
        <v/>
      </c>
      <c r="K3223" s="11">
        <f>O3223</f>
        <v/>
      </c>
      <c r="L3223" s="11">
        <f>L3222+IF(K3223&gt;0,K3223*Summary!$B$9,K3223/Summary!$B$9)</f>
        <v/>
      </c>
      <c r="M3223" s="11">
        <f>G3223+H3223</f>
        <v/>
      </c>
      <c r="N3223" s="11">
        <f>Summary!$C$16*Summary!$B$8</f>
        <v/>
      </c>
      <c r="O3223" s="11">
        <f>M3223-N3223</f>
        <v/>
      </c>
    </row>
    <row r="3224">
      <c r="A3224" s="9" t="n">
        <v>45426.25</v>
      </c>
      <c r="B3224" t="n">
        <v>5</v>
      </c>
      <c r="C3224" t="n">
        <v>14</v>
      </c>
      <c r="D3224" t="n">
        <v>6</v>
      </c>
      <c r="E3224" s="10" t="n">
        <v>0.043815</v>
      </c>
      <c r="F3224" s="10" t="n">
        <v>0.2022780005467201</v>
      </c>
      <c r="G3224" s="11">
        <f>E3224*Summary!$B$6</f>
        <v/>
      </c>
      <c r="H3224" s="11">
        <f>F3224*Summary!$B$7</f>
        <v/>
      </c>
      <c r="I3224" s="11">
        <f>MAX(0,N3224-M3224)</f>
        <v/>
      </c>
      <c r="J3224" s="11">
        <f>MAX(0,M3224-N3224)</f>
        <v/>
      </c>
      <c r="K3224" s="11">
        <f>O3224</f>
        <v/>
      </c>
      <c r="L3224" s="11">
        <f>L3223+IF(K3224&gt;0,K3224*Summary!$B$9,K3224/Summary!$B$9)</f>
        <v/>
      </c>
      <c r="M3224" s="11">
        <f>G3224+H3224</f>
        <v/>
      </c>
      <c r="N3224" s="11">
        <f>Summary!$C$16*Summary!$B$8</f>
        <v/>
      </c>
      <c r="O3224" s="11">
        <f>M3224-N3224</f>
        <v/>
      </c>
    </row>
    <row r="3225">
      <c r="A3225" s="9" t="n">
        <v>45426.29166666666</v>
      </c>
      <c r="B3225" t="n">
        <v>5</v>
      </c>
      <c r="C3225" t="n">
        <v>14</v>
      </c>
      <c r="D3225" t="n">
        <v>7</v>
      </c>
      <c r="E3225" s="10" t="n">
        <v>0.066426</v>
      </c>
      <c r="F3225" s="10" t="n">
        <v>0.1833045559930934</v>
      </c>
      <c r="G3225" s="11">
        <f>E3225*Summary!$B$6</f>
        <v/>
      </c>
      <c r="H3225" s="11">
        <f>F3225*Summary!$B$7</f>
        <v/>
      </c>
      <c r="I3225" s="11">
        <f>MAX(0,N3225-M3225)</f>
        <v/>
      </c>
      <c r="J3225" s="11">
        <f>MAX(0,M3225-N3225)</f>
        <v/>
      </c>
      <c r="K3225" s="11">
        <f>O3225</f>
        <v/>
      </c>
      <c r="L3225" s="11">
        <f>L3224+IF(K3225&gt;0,K3225*Summary!$B$9,K3225/Summary!$B$9)</f>
        <v/>
      </c>
      <c r="M3225" s="11">
        <f>G3225+H3225</f>
        <v/>
      </c>
      <c r="N3225" s="11">
        <f>Summary!$C$16*Summary!$B$8</f>
        <v/>
      </c>
      <c r="O3225" s="11">
        <f>M3225-N3225</f>
        <v/>
      </c>
    </row>
    <row r="3226">
      <c r="A3226" s="9" t="n">
        <v>45426.33333333334</v>
      </c>
      <c r="B3226" t="n">
        <v>5</v>
      </c>
      <c r="C3226" t="n">
        <v>14</v>
      </c>
      <c r="D3226" t="n">
        <v>8</v>
      </c>
      <c r="E3226" s="10" t="n">
        <v>0.111451</v>
      </c>
      <c r="F3226" s="10" t="n">
        <v>0.172605641425354</v>
      </c>
      <c r="G3226" s="11">
        <f>E3226*Summary!$B$6</f>
        <v/>
      </c>
      <c r="H3226" s="11">
        <f>F3226*Summary!$B$7</f>
        <v/>
      </c>
      <c r="I3226" s="11">
        <f>MAX(0,N3226-M3226)</f>
        <v/>
      </c>
      <c r="J3226" s="11">
        <f>MAX(0,M3226-N3226)</f>
        <v/>
      </c>
      <c r="K3226" s="11">
        <f>O3226</f>
        <v/>
      </c>
      <c r="L3226" s="11">
        <f>L3225+IF(K3226&gt;0,K3226*Summary!$B$9,K3226/Summary!$B$9)</f>
        <v/>
      </c>
      <c r="M3226" s="11">
        <f>G3226+H3226</f>
        <v/>
      </c>
      <c r="N3226" s="11">
        <f>Summary!$C$16*Summary!$B$8</f>
        <v/>
      </c>
      <c r="O3226" s="11">
        <f>M3226-N3226</f>
        <v/>
      </c>
    </row>
    <row r="3227">
      <c r="A3227" s="9" t="n">
        <v>45426.375</v>
      </c>
      <c r="B3227" t="n">
        <v>5</v>
      </c>
      <c r="C3227" t="n">
        <v>14</v>
      </c>
      <c r="D3227" t="n">
        <v>9</v>
      </c>
      <c r="E3227" s="10" t="n">
        <v>0.227041</v>
      </c>
      <c r="F3227" s="10" t="n">
        <v>0.1679676883122452</v>
      </c>
      <c r="G3227" s="11">
        <f>E3227*Summary!$B$6</f>
        <v/>
      </c>
      <c r="H3227" s="11">
        <f>F3227*Summary!$B$7</f>
        <v/>
      </c>
      <c r="I3227" s="11">
        <f>MAX(0,N3227-M3227)</f>
        <v/>
      </c>
      <c r="J3227" s="11">
        <f>MAX(0,M3227-N3227)</f>
        <v/>
      </c>
      <c r="K3227" s="11">
        <f>O3227</f>
        <v/>
      </c>
      <c r="L3227" s="11">
        <f>L3226+IF(K3227&gt;0,K3227*Summary!$B$9,K3227/Summary!$B$9)</f>
        <v/>
      </c>
      <c r="M3227" s="11">
        <f>G3227+H3227</f>
        <v/>
      </c>
      <c r="N3227" s="11">
        <f>Summary!$C$16*Summary!$B$8</f>
        <v/>
      </c>
      <c r="O3227" s="11">
        <f>M3227-N3227</f>
        <v/>
      </c>
    </row>
    <row r="3228">
      <c r="A3228" s="9" t="n">
        <v>45426.41666666666</v>
      </c>
      <c r="B3228" t="n">
        <v>5</v>
      </c>
      <c r="C3228" t="n">
        <v>14</v>
      </c>
      <c r="D3228" t="n">
        <v>10</v>
      </c>
      <c r="E3228" s="10" t="n">
        <v>0.523119</v>
      </c>
      <c r="F3228" s="10" t="n">
        <v>0.1638304233193016</v>
      </c>
      <c r="G3228" s="11">
        <f>E3228*Summary!$B$6</f>
        <v/>
      </c>
      <c r="H3228" s="11">
        <f>F3228*Summary!$B$7</f>
        <v/>
      </c>
      <c r="I3228" s="11">
        <f>MAX(0,N3228-M3228)</f>
        <v/>
      </c>
      <c r="J3228" s="11">
        <f>MAX(0,M3228-N3228)</f>
        <v/>
      </c>
      <c r="K3228" s="11">
        <f>O3228</f>
        <v/>
      </c>
      <c r="L3228" s="11">
        <f>L3227+IF(K3228&gt;0,K3228*Summary!$B$9,K3228/Summary!$B$9)</f>
        <v/>
      </c>
      <c r="M3228" s="11">
        <f>G3228+H3228</f>
        <v/>
      </c>
      <c r="N3228" s="11">
        <f>Summary!$C$16*Summary!$B$8</f>
        <v/>
      </c>
      <c r="O3228" s="11">
        <f>M3228-N3228</f>
        <v/>
      </c>
    </row>
    <row r="3229">
      <c r="A3229" s="9" t="n">
        <v>45426.45833333334</v>
      </c>
      <c r="B3229" t="n">
        <v>5</v>
      </c>
      <c r="C3229" t="n">
        <v>14</v>
      </c>
      <c r="D3229" t="n">
        <v>11</v>
      </c>
      <c r="E3229" s="10" t="n">
        <v>0.754058</v>
      </c>
      <c r="F3229" s="10" t="n">
        <v>0.1766638503993241</v>
      </c>
      <c r="G3229" s="11">
        <f>E3229*Summary!$B$6</f>
        <v/>
      </c>
      <c r="H3229" s="11">
        <f>F3229*Summary!$B$7</f>
        <v/>
      </c>
      <c r="I3229" s="11">
        <f>MAX(0,N3229-M3229)</f>
        <v/>
      </c>
      <c r="J3229" s="11">
        <f>MAX(0,M3229-N3229)</f>
        <v/>
      </c>
      <c r="K3229" s="11">
        <f>O3229</f>
        <v/>
      </c>
      <c r="L3229" s="11">
        <f>L3228+IF(K3229&gt;0,K3229*Summary!$B$9,K3229/Summary!$B$9)</f>
        <v/>
      </c>
      <c r="M3229" s="11">
        <f>G3229+H3229</f>
        <v/>
      </c>
      <c r="N3229" s="11">
        <f>Summary!$C$16*Summary!$B$8</f>
        <v/>
      </c>
      <c r="O3229" s="11">
        <f>M3229-N3229</f>
        <v/>
      </c>
    </row>
    <row r="3230">
      <c r="A3230" s="9" t="n">
        <v>45426.5</v>
      </c>
      <c r="B3230" t="n">
        <v>5</v>
      </c>
      <c r="C3230" t="n">
        <v>14</v>
      </c>
      <c r="D3230" t="n">
        <v>12</v>
      </c>
      <c r="E3230" s="10" t="n">
        <v>0.682284</v>
      </c>
      <c r="F3230" s="10" t="n">
        <v>0.1894709254730221</v>
      </c>
      <c r="G3230" s="11">
        <f>E3230*Summary!$B$6</f>
        <v/>
      </c>
      <c r="H3230" s="11">
        <f>F3230*Summary!$B$7</f>
        <v/>
      </c>
      <c r="I3230" s="11">
        <f>MAX(0,N3230-M3230)</f>
        <v/>
      </c>
      <c r="J3230" s="11">
        <f>MAX(0,M3230-N3230)</f>
        <v/>
      </c>
      <c r="K3230" s="11">
        <f>O3230</f>
        <v/>
      </c>
      <c r="L3230" s="11">
        <f>L3229+IF(K3230&gt;0,K3230*Summary!$B$9,K3230/Summary!$B$9)</f>
        <v/>
      </c>
      <c r="M3230" s="11">
        <f>G3230+H3230</f>
        <v/>
      </c>
      <c r="N3230" s="11">
        <f>Summary!$C$16*Summary!$B$8</f>
        <v/>
      </c>
      <c r="O3230" s="11">
        <f>M3230-N3230</f>
        <v/>
      </c>
    </row>
    <row r="3231">
      <c r="A3231" s="9" t="n">
        <v>45426.54166666666</v>
      </c>
      <c r="B3231" t="n">
        <v>5</v>
      </c>
      <c r="C3231" t="n">
        <v>14</v>
      </c>
      <c r="D3231" t="n">
        <v>13</v>
      </c>
      <c r="E3231" s="10" t="n">
        <v>0.260278</v>
      </c>
      <c r="F3231" s="10" t="n">
        <v>0.1990367037688089</v>
      </c>
      <c r="G3231" s="11">
        <f>E3231*Summary!$B$6</f>
        <v/>
      </c>
      <c r="H3231" s="11">
        <f>F3231*Summary!$B$7</f>
        <v/>
      </c>
      <c r="I3231" s="11">
        <f>MAX(0,N3231-M3231)</f>
        <v/>
      </c>
      <c r="J3231" s="11">
        <f>MAX(0,M3231-N3231)</f>
        <v/>
      </c>
      <c r="K3231" s="11">
        <f>O3231</f>
        <v/>
      </c>
      <c r="L3231" s="11">
        <f>L3230+IF(K3231&gt;0,K3231*Summary!$B$9,K3231/Summary!$B$9)</f>
        <v/>
      </c>
      <c r="M3231" s="11">
        <f>G3231+H3231</f>
        <v/>
      </c>
      <c r="N3231" s="11">
        <f>Summary!$C$16*Summary!$B$8</f>
        <v/>
      </c>
      <c r="O3231" s="11">
        <f>M3231-N3231</f>
        <v/>
      </c>
    </row>
    <row r="3232">
      <c r="A3232" s="9" t="n">
        <v>45426.58333333334</v>
      </c>
      <c r="B3232" t="n">
        <v>5</v>
      </c>
      <c r="C3232" t="n">
        <v>14</v>
      </c>
      <c r="D3232" t="n">
        <v>14</v>
      </c>
      <c r="E3232" s="10" t="n">
        <v>0.405683</v>
      </c>
      <c r="F3232" s="10" t="n">
        <v>0.207522049805292</v>
      </c>
      <c r="G3232" s="11">
        <f>E3232*Summary!$B$6</f>
        <v/>
      </c>
      <c r="H3232" s="11">
        <f>F3232*Summary!$B$7</f>
        <v/>
      </c>
      <c r="I3232" s="11">
        <f>MAX(0,N3232-M3232)</f>
        <v/>
      </c>
      <c r="J3232" s="11">
        <f>MAX(0,M3232-N3232)</f>
        <v/>
      </c>
      <c r="K3232" s="11">
        <f>O3232</f>
        <v/>
      </c>
      <c r="L3232" s="11">
        <f>L3231+IF(K3232&gt;0,K3232*Summary!$B$9,K3232/Summary!$B$9)</f>
        <v/>
      </c>
      <c r="M3232" s="11">
        <f>G3232+H3232</f>
        <v/>
      </c>
      <c r="N3232" s="11">
        <f>Summary!$C$16*Summary!$B$8</f>
        <v/>
      </c>
      <c r="O3232" s="11">
        <f>M3232-N3232</f>
        <v/>
      </c>
    </row>
    <row r="3233">
      <c r="A3233" s="9" t="n">
        <v>45426.625</v>
      </c>
      <c r="B3233" t="n">
        <v>5</v>
      </c>
      <c r="C3233" t="n">
        <v>14</v>
      </c>
      <c r="D3233" t="n">
        <v>15</v>
      </c>
      <c r="E3233" s="10" t="n">
        <v>0.321391</v>
      </c>
      <c r="F3233" s="10" t="n">
        <v>0.2227008054481933</v>
      </c>
      <c r="G3233" s="11">
        <f>E3233*Summary!$B$6</f>
        <v/>
      </c>
      <c r="H3233" s="11">
        <f>F3233*Summary!$B$7</f>
        <v/>
      </c>
      <c r="I3233" s="11">
        <f>MAX(0,N3233-M3233)</f>
        <v/>
      </c>
      <c r="J3233" s="11">
        <f>MAX(0,M3233-N3233)</f>
        <v/>
      </c>
      <c r="K3233" s="11">
        <f>O3233</f>
        <v/>
      </c>
      <c r="L3233" s="11">
        <f>L3232+IF(K3233&gt;0,K3233*Summary!$B$9,K3233/Summary!$B$9)</f>
        <v/>
      </c>
      <c r="M3233" s="11">
        <f>G3233+H3233</f>
        <v/>
      </c>
      <c r="N3233" s="11">
        <f>Summary!$C$16*Summary!$B$8</f>
        <v/>
      </c>
      <c r="O3233" s="11">
        <f>M3233-N3233</f>
        <v/>
      </c>
    </row>
    <row r="3234">
      <c r="A3234" s="9" t="n">
        <v>45426.66666666666</v>
      </c>
      <c r="B3234" t="n">
        <v>5</v>
      </c>
      <c r="C3234" t="n">
        <v>14</v>
      </c>
      <c r="D3234" t="n">
        <v>16</v>
      </c>
      <c r="E3234" s="10" t="n">
        <v>0.307308</v>
      </c>
      <c r="F3234" s="10" t="n">
        <v>0.2220683572964058</v>
      </c>
      <c r="G3234" s="11">
        <f>E3234*Summary!$B$6</f>
        <v/>
      </c>
      <c r="H3234" s="11">
        <f>F3234*Summary!$B$7</f>
        <v/>
      </c>
      <c r="I3234" s="11">
        <f>MAX(0,N3234-M3234)</f>
        <v/>
      </c>
      <c r="J3234" s="11">
        <f>MAX(0,M3234-N3234)</f>
        <v/>
      </c>
      <c r="K3234" s="11">
        <f>O3234</f>
        <v/>
      </c>
      <c r="L3234" s="11">
        <f>L3233+IF(K3234&gt;0,K3234*Summary!$B$9,K3234/Summary!$B$9)</f>
        <v/>
      </c>
      <c r="M3234" s="11">
        <f>G3234+H3234</f>
        <v/>
      </c>
      <c r="N3234" s="11">
        <f>Summary!$C$16*Summary!$B$8</f>
        <v/>
      </c>
      <c r="O3234" s="11">
        <f>M3234-N3234</f>
        <v/>
      </c>
    </row>
    <row r="3235">
      <c r="A3235" s="9" t="n">
        <v>45426.70833333334</v>
      </c>
      <c r="B3235" t="n">
        <v>5</v>
      </c>
      <c r="C3235" t="n">
        <v>14</v>
      </c>
      <c r="D3235" t="n">
        <v>17</v>
      </c>
      <c r="E3235" s="10" t="n">
        <v>0.123793</v>
      </c>
      <c r="F3235" s="10" t="n">
        <v>0.2148742595698223</v>
      </c>
      <c r="G3235" s="11">
        <f>E3235*Summary!$B$6</f>
        <v/>
      </c>
      <c r="H3235" s="11">
        <f>F3235*Summary!$B$7</f>
        <v/>
      </c>
      <c r="I3235" s="11">
        <f>MAX(0,N3235-M3235)</f>
        <v/>
      </c>
      <c r="J3235" s="11">
        <f>MAX(0,M3235-N3235)</f>
        <v/>
      </c>
      <c r="K3235" s="11">
        <f>O3235</f>
        <v/>
      </c>
      <c r="L3235" s="11">
        <f>L3234+IF(K3235&gt;0,K3235*Summary!$B$9,K3235/Summary!$B$9)</f>
        <v/>
      </c>
      <c r="M3235" s="11">
        <f>G3235+H3235</f>
        <v/>
      </c>
      <c r="N3235" s="11">
        <f>Summary!$C$16*Summary!$B$8</f>
        <v/>
      </c>
      <c r="O3235" s="11">
        <f>M3235-N3235</f>
        <v/>
      </c>
    </row>
    <row r="3236">
      <c r="A3236" s="9" t="n">
        <v>45426.75</v>
      </c>
      <c r="B3236" t="n">
        <v>5</v>
      </c>
      <c r="C3236" t="n">
        <v>14</v>
      </c>
      <c r="D3236" t="n">
        <v>18</v>
      </c>
      <c r="E3236" s="10" t="n">
        <v>0.061682</v>
      </c>
      <c r="F3236" s="10" t="n">
        <v>0.214584387500253</v>
      </c>
      <c r="G3236" s="11">
        <f>E3236*Summary!$B$6</f>
        <v/>
      </c>
      <c r="H3236" s="11">
        <f>F3236*Summary!$B$7</f>
        <v/>
      </c>
      <c r="I3236" s="11">
        <f>MAX(0,N3236-M3236)</f>
        <v/>
      </c>
      <c r="J3236" s="11">
        <f>MAX(0,M3236-N3236)</f>
        <v/>
      </c>
      <c r="K3236" s="11">
        <f>O3236</f>
        <v/>
      </c>
      <c r="L3236" s="11">
        <f>L3235+IF(K3236&gt;0,K3236*Summary!$B$9,K3236/Summary!$B$9)</f>
        <v/>
      </c>
      <c r="M3236" s="11">
        <f>G3236+H3236</f>
        <v/>
      </c>
      <c r="N3236" s="11">
        <f>Summary!$C$16*Summary!$B$8</f>
        <v/>
      </c>
      <c r="O3236" s="11">
        <f>M3236-N3236</f>
        <v/>
      </c>
    </row>
    <row r="3237">
      <c r="A3237" s="9" t="n">
        <v>45426.79166666666</v>
      </c>
      <c r="B3237" t="n">
        <v>5</v>
      </c>
      <c r="C3237" t="n">
        <v>14</v>
      </c>
      <c r="D3237" t="n">
        <v>19</v>
      </c>
      <c r="E3237" s="10" t="n">
        <v>0.023976</v>
      </c>
      <c r="F3237" s="10" t="n">
        <v>0.2157965797911792</v>
      </c>
      <c r="G3237" s="11">
        <f>E3237*Summary!$B$6</f>
        <v/>
      </c>
      <c r="H3237" s="11">
        <f>F3237*Summary!$B$7</f>
        <v/>
      </c>
      <c r="I3237" s="11">
        <f>MAX(0,N3237-M3237)</f>
        <v/>
      </c>
      <c r="J3237" s="11">
        <f>MAX(0,M3237-N3237)</f>
        <v/>
      </c>
      <c r="K3237" s="11">
        <f>O3237</f>
        <v/>
      </c>
      <c r="L3237" s="11">
        <f>L3236+IF(K3237&gt;0,K3237*Summary!$B$9,K3237/Summary!$B$9)</f>
        <v/>
      </c>
      <c r="M3237" s="11">
        <f>G3237+H3237</f>
        <v/>
      </c>
      <c r="N3237" s="11">
        <f>Summary!$C$16*Summary!$B$8</f>
        <v/>
      </c>
      <c r="O3237" s="11">
        <f>M3237-N3237</f>
        <v/>
      </c>
    </row>
    <row r="3238">
      <c r="A3238" s="9" t="n">
        <v>45426.83333333334</v>
      </c>
      <c r="B3238" t="n">
        <v>5</v>
      </c>
      <c r="C3238" t="n">
        <v>14</v>
      </c>
      <c r="D3238" t="n">
        <v>20</v>
      </c>
      <c r="E3238" s="10" t="n">
        <v>0</v>
      </c>
      <c r="F3238" s="10" t="n">
        <v>0.2278657986877917</v>
      </c>
      <c r="G3238" s="11">
        <f>E3238*Summary!$B$6</f>
        <v/>
      </c>
      <c r="H3238" s="11">
        <f>F3238*Summary!$B$7</f>
        <v/>
      </c>
      <c r="I3238" s="11">
        <f>MAX(0,N3238-M3238)</f>
        <v/>
      </c>
      <c r="J3238" s="11">
        <f>MAX(0,M3238-N3238)</f>
        <v/>
      </c>
      <c r="K3238" s="11">
        <f>O3238</f>
        <v/>
      </c>
      <c r="L3238" s="11">
        <f>L3237+IF(K3238&gt;0,K3238*Summary!$B$9,K3238/Summary!$B$9)</f>
        <v/>
      </c>
      <c r="M3238" s="11">
        <f>G3238+H3238</f>
        <v/>
      </c>
      <c r="N3238" s="11">
        <f>Summary!$C$16*Summary!$B$8</f>
        <v/>
      </c>
      <c r="O3238" s="11">
        <f>M3238-N3238</f>
        <v/>
      </c>
    </row>
    <row r="3239">
      <c r="A3239" s="9" t="n">
        <v>45426.875</v>
      </c>
      <c r="B3239" t="n">
        <v>5</v>
      </c>
      <c r="C3239" t="n">
        <v>14</v>
      </c>
      <c r="D3239" t="n">
        <v>21</v>
      </c>
      <c r="E3239" s="10" t="n">
        <v>0</v>
      </c>
      <c r="F3239" s="10" t="n">
        <v>0.243149962355991</v>
      </c>
      <c r="G3239" s="11">
        <f>E3239*Summary!$B$6</f>
        <v/>
      </c>
      <c r="H3239" s="11">
        <f>F3239*Summary!$B$7</f>
        <v/>
      </c>
      <c r="I3239" s="11">
        <f>MAX(0,N3239-M3239)</f>
        <v/>
      </c>
      <c r="J3239" s="11">
        <f>MAX(0,M3239-N3239)</f>
        <v/>
      </c>
      <c r="K3239" s="11">
        <f>O3239</f>
        <v/>
      </c>
      <c r="L3239" s="11">
        <f>L3238+IF(K3239&gt;0,K3239*Summary!$B$9,K3239/Summary!$B$9)</f>
        <v/>
      </c>
      <c r="M3239" s="11">
        <f>G3239+H3239</f>
        <v/>
      </c>
      <c r="N3239" s="11">
        <f>Summary!$C$16*Summary!$B$8</f>
        <v/>
      </c>
      <c r="O3239" s="11">
        <f>M3239-N3239</f>
        <v/>
      </c>
    </row>
    <row r="3240">
      <c r="A3240" s="9" t="n">
        <v>45426.91666666666</v>
      </c>
      <c r="B3240" t="n">
        <v>5</v>
      </c>
      <c r="C3240" t="n">
        <v>14</v>
      </c>
      <c r="D3240" t="n">
        <v>22</v>
      </c>
      <c r="E3240" s="10" t="n">
        <v>0</v>
      </c>
      <c r="F3240" s="10" t="n">
        <v>0.2628349110803787</v>
      </c>
      <c r="G3240" s="11">
        <f>E3240*Summary!$B$6</f>
        <v/>
      </c>
      <c r="H3240" s="11">
        <f>F3240*Summary!$B$7</f>
        <v/>
      </c>
      <c r="I3240" s="11">
        <f>MAX(0,N3240-M3240)</f>
        <v/>
      </c>
      <c r="J3240" s="11">
        <f>MAX(0,M3240-N3240)</f>
        <v/>
      </c>
      <c r="K3240" s="11">
        <f>O3240</f>
        <v/>
      </c>
      <c r="L3240" s="11">
        <f>L3239+IF(K3240&gt;0,K3240*Summary!$B$9,K3240/Summary!$B$9)</f>
        <v/>
      </c>
      <c r="M3240" s="11">
        <f>G3240+H3240</f>
        <v/>
      </c>
      <c r="N3240" s="11">
        <f>Summary!$C$16*Summary!$B$8</f>
        <v/>
      </c>
      <c r="O3240" s="11">
        <f>M3240-N3240</f>
        <v/>
      </c>
    </row>
    <row r="3241">
      <c r="A3241" s="9" t="n">
        <v>45426.95833333334</v>
      </c>
      <c r="B3241" t="n">
        <v>5</v>
      </c>
      <c r="C3241" t="n">
        <v>14</v>
      </c>
      <c r="D3241" t="n">
        <v>23</v>
      </c>
      <c r="E3241" s="10" t="n">
        <v>0</v>
      </c>
      <c r="F3241" s="10" t="n">
        <v>0.2664451359468326</v>
      </c>
      <c r="G3241" s="11">
        <f>E3241*Summary!$B$6</f>
        <v/>
      </c>
      <c r="H3241" s="11">
        <f>F3241*Summary!$B$7</f>
        <v/>
      </c>
      <c r="I3241" s="11">
        <f>MAX(0,N3241-M3241)</f>
        <v/>
      </c>
      <c r="J3241" s="11">
        <f>MAX(0,M3241-N3241)</f>
        <v/>
      </c>
      <c r="K3241" s="11">
        <f>O3241</f>
        <v/>
      </c>
      <c r="L3241" s="11">
        <f>L3240+IF(K3241&gt;0,K3241*Summary!$B$9,K3241/Summary!$B$9)</f>
        <v/>
      </c>
      <c r="M3241" s="11">
        <f>G3241+H3241</f>
        <v/>
      </c>
      <c r="N3241" s="11">
        <f>Summary!$C$16*Summary!$B$8</f>
        <v/>
      </c>
      <c r="O3241" s="11">
        <f>M3241-N3241</f>
        <v/>
      </c>
    </row>
    <row r="3242">
      <c r="A3242" s="9" t="n">
        <v>45427</v>
      </c>
      <c r="B3242" t="n">
        <v>5</v>
      </c>
      <c r="C3242" t="n">
        <v>15</v>
      </c>
      <c r="D3242" t="n">
        <v>0</v>
      </c>
      <c r="E3242" s="10" t="n">
        <v>0</v>
      </c>
      <c r="F3242" s="10" t="n">
        <v>0.2606213425491222</v>
      </c>
      <c r="G3242" s="11">
        <f>E3242*Summary!$B$6</f>
        <v/>
      </c>
      <c r="H3242" s="11">
        <f>F3242*Summary!$B$7</f>
        <v/>
      </c>
      <c r="I3242" s="11">
        <f>MAX(0,N3242-M3242)</f>
        <v/>
      </c>
      <c r="J3242" s="11">
        <f>MAX(0,M3242-N3242)</f>
        <v/>
      </c>
      <c r="K3242" s="11">
        <f>O3242</f>
        <v/>
      </c>
      <c r="L3242" s="11">
        <f>L3241+IF(K3242&gt;0,K3242*Summary!$B$9,K3242/Summary!$B$9)</f>
        <v/>
      </c>
      <c r="M3242" s="11">
        <f>G3242+H3242</f>
        <v/>
      </c>
      <c r="N3242" s="11">
        <f>Summary!$C$16*Summary!$B$8</f>
        <v/>
      </c>
      <c r="O3242" s="11">
        <f>M3242-N3242</f>
        <v/>
      </c>
    </row>
    <row r="3243">
      <c r="A3243" s="9" t="n">
        <v>45427.04166666666</v>
      </c>
      <c r="B3243" t="n">
        <v>5</v>
      </c>
      <c r="C3243" t="n">
        <v>15</v>
      </c>
      <c r="D3243" t="n">
        <v>1</v>
      </c>
      <c r="E3243" s="10" t="n">
        <v>0</v>
      </c>
      <c r="F3243" s="10" t="n">
        <v>0.272374337369841</v>
      </c>
      <c r="G3243" s="11">
        <f>E3243*Summary!$B$6</f>
        <v/>
      </c>
      <c r="H3243" s="11">
        <f>F3243*Summary!$B$7</f>
        <v/>
      </c>
      <c r="I3243" s="11">
        <f>MAX(0,N3243-M3243)</f>
        <v/>
      </c>
      <c r="J3243" s="11">
        <f>MAX(0,M3243-N3243)</f>
        <v/>
      </c>
      <c r="K3243" s="11">
        <f>O3243</f>
        <v/>
      </c>
      <c r="L3243" s="11">
        <f>L3242+IF(K3243&gt;0,K3243*Summary!$B$9,K3243/Summary!$B$9)</f>
        <v/>
      </c>
      <c r="M3243" s="11">
        <f>G3243+H3243</f>
        <v/>
      </c>
      <c r="N3243" s="11">
        <f>Summary!$C$16*Summary!$B$8</f>
        <v/>
      </c>
      <c r="O3243" s="11">
        <f>M3243-N3243</f>
        <v/>
      </c>
    </row>
    <row r="3244">
      <c r="A3244" s="9" t="n">
        <v>45427.08333333334</v>
      </c>
      <c r="B3244" t="n">
        <v>5</v>
      </c>
      <c r="C3244" t="n">
        <v>15</v>
      </c>
      <c r="D3244" t="n">
        <v>2</v>
      </c>
      <c r="E3244" s="10" t="n">
        <v>0</v>
      </c>
      <c r="F3244" s="10" t="n">
        <v>0.2690276325666318</v>
      </c>
      <c r="G3244" s="11">
        <f>E3244*Summary!$B$6</f>
        <v/>
      </c>
      <c r="H3244" s="11">
        <f>F3244*Summary!$B$7</f>
        <v/>
      </c>
      <c r="I3244" s="11">
        <f>MAX(0,N3244-M3244)</f>
        <v/>
      </c>
      <c r="J3244" s="11">
        <f>MAX(0,M3244-N3244)</f>
        <v/>
      </c>
      <c r="K3244" s="11">
        <f>O3244</f>
        <v/>
      </c>
      <c r="L3244" s="11">
        <f>L3243+IF(K3244&gt;0,K3244*Summary!$B$9,K3244/Summary!$B$9)</f>
        <v/>
      </c>
      <c r="M3244" s="11">
        <f>G3244+H3244</f>
        <v/>
      </c>
      <c r="N3244" s="11">
        <f>Summary!$C$16*Summary!$B$8</f>
        <v/>
      </c>
      <c r="O3244" s="11">
        <f>M3244-N3244</f>
        <v/>
      </c>
    </row>
    <row r="3245">
      <c r="A3245" s="9" t="n">
        <v>45427.125</v>
      </c>
      <c r="B3245" t="n">
        <v>5</v>
      </c>
      <c r="C3245" t="n">
        <v>15</v>
      </c>
      <c r="D3245" t="n">
        <v>3</v>
      </c>
      <c r="E3245" s="10" t="n">
        <v>0</v>
      </c>
      <c r="F3245" s="10" t="n">
        <v>0.260120654428957</v>
      </c>
      <c r="G3245" s="11">
        <f>E3245*Summary!$B$6</f>
        <v/>
      </c>
      <c r="H3245" s="11">
        <f>F3245*Summary!$B$7</f>
        <v/>
      </c>
      <c r="I3245" s="11">
        <f>MAX(0,N3245-M3245)</f>
        <v/>
      </c>
      <c r="J3245" s="11">
        <f>MAX(0,M3245-N3245)</f>
        <v/>
      </c>
      <c r="K3245" s="11">
        <f>O3245</f>
        <v/>
      </c>
      <c r="L3245" s="11">
        <f>L3244+IF(K3245&gt;0,K3245*Summary!$B$9,K3245/Summary!$B$9)</f>
        <v/>
      </c>
      <c r="M3245" s="11">
        <f>G3245+H3245</f>
        <v/>
      </c>
      <c r="N3245" s="11">
        <f>Summary!$C$16*Summary!$B$8</f>
        <v/>
      </c>
      <c r="O3245" s="11">
        <f>M3245-N3245</f>
        <v/>
      </c>
    </row>
    <row r="3246">
      <c r="A3246" s="9" t="n">
        <v>45427.16666666666</v>
      </c>
      <c r="B3246" t="n">
        <v>5</v>
      </c>
      <c r="C3246" t="n">
        <v>15</v>
      </c>
      <c r="D3246" t="n">
        <v>4</v>
      </c>
      <c r="E3246" s="10" t="n">
        <v>0.008041</v>
      </c>
      <c r="F3246" s="10" t="n">
        <v>0.2514508443482026</v>
      </c>
      <c r="G3246" s="11">
        <f>E3246*Summary!$B$6</f>
        <v/>
      </c>
      <c r="H3246" s="11">
        <f>F3246*Summary!$B$7</f>
        <v/>
      </c>
      <c r="I3246" s="11">
        <f>MAX(0,N3246-M3246)</f>
        <v/>
      </c>
      <c r="J3246" s="11">
        <f>MAX(0,M3246-N3246)</f>
        <v/>
      </c>
      <c r="K3246" s="11">
        <f>O3246</f>
        <v/>
      </c>
      <c r="L3246" s="11">
        <f>L3245+IF(K3246&gt;0,K3246*Summary!$B$9,K3246/Summary!$B$9)</f>
        <v/>
      </c>
      <c r="M3246" s="11">
        <f>G3246+H3246</f>
        <v/>
      </c>
      <c r="N3246" s="11">
        <f>Summary!$C$16*Summary!$B$8</f>
        <v/>
      </c>
      <c r="O3246" s="11">
        <f>M3246-N3246</f>
        <v/>
      </c>
    </row>
    <row r="3247">
      <c r="A3247" s="9" t="n">
        <v>45427.20833333334</v>
      </c>
      <c r="B3247" t="n">
        <v>5</v>
      </c>
      <c r="C3247" t="n">
        <v>15</v>
      </c>
      <c r="D3247" t="n">
        <v>5</v>
      </c>
      <c r="E3247" s="10" t="n">
        <v>0.034319</v>
      </c>
      <c r="F3247" s="10" t="n">
        <v>0.2481041395449935</v>
      </c>
      <c r="G3247" s="11">
        <f>E3247*Summary!$B$6</f>
        <v/>
      </c>
      <c r="H3247" s="11">
        <f>F3247*Summary!$B$7</f>
        <v/>
      </c>
      <c r="I3247" s="11">
        <f>MAX(0,N3247-M3247)</f>
        <v/>
      </c>
      <c r="J3247" s="11">
        <f>MAX(0,M3247-N3247)</f>
        <v/>
      </c>
      <c r="K3247" s="11">
        <f>O3247</f>
        <v/>
      </c>
      <c r="L3247" s="11">
        <f>L3246+IF(K3247&gt;0,K3247*Summary!$B$9,K3247/Summary!$B$9)</f>
        <v/>
      </c>
      <c r="M3247" s="11">
        <f>G3247+H3247</f>
        <v/>
      </c>
      <c r="N3247" s="11">
        <f>Summary!$C$16*Summary!$B$8</f>
        <v/>
      </c>
      <c r="O3247" s="11">
        <f>M3247-N3247</f>
        <v/>
      </c>
    </row>
    <row r="3248">
      <c r="A3248" s="9" t="n">
        <v>45427.25</v>
      </c>
      <c r="B3248" t="n">
        <v>5</v>
      </c>
      <c r="C3248" t="n">
        <v>15</v>
      </c>
      <c r="D3248" t="n">
        <v>6</v>
      </c>
      <c r="E3248" s="10" t="n">
        <v>0.062181</v>
      </c>
      <c r="F3248" s="10" t="n">
        <v>0.2118964828551559</v>
      </c>
      <c r="G3248" s="11">
        <f>E3248*Summary!$B$6</f>
        <v/>
      </c>
      <c r="H3248" s="11">
        <f>F3248*Summary!$B$7</f>
        <v/>
      </c>
      <c r="I3248" s="11">
        <f>MAX(0,N3248-M3248)</f>
        <v/>
      </c>
      <c r="J3248" s="11">
        <f>MAX(0,M3248-N3248)</f>
        <v/>
      </c>
      <c r="K3248" s="11">
        <f>O3248</f>
        <v/>
      </c>
      <c r="L3248" s="11">
        <f>L3247+IF(K3248&gt;0,K3248*Summary!$B$9,K3248/Summary!$B$9)</f>
        <v/>
      </c>
      <c r="M3248" s="11">
        <f>G3248+H3248</f>
        <v/>
      </c>
      <c r="N3248" s="11">
        <f>Summary!$C$16*Summary!$B$8</f>
        <v/>
      </c>
      <c r="O3248" s="11">
        <f>M3248-N3248</f>
        <v/>
      </c>
    </row>
    <row r="3249">
      <c r="A3249" s="9" t="n">
        <v>45427.29166666666</v>
      </c>
      <c r="B3249" t="n">
        <v>5</v>
      </c>
      <c r="C3249" t="n">
        <v>15</v>
      </c>
      <c r="D3249" t="n">
        <v>7</v>
      </c>
      <c r="E3249" s="10" t="n">
        <v>0.173584</v>
      </c>
      <c r="F3249" s="10" t="n">
        <v>0.193239262377423</v>
      </c>
      <c r="G3249" s="11">
        <f>E3249*Summary!$B$6</f>
        <v/>
      </c>
      <c r="H3249" s="11">
        <f>F3249*Summary!$B$7</f>
        <v/>
      </c>
      <c r="I3249" s="11">
        <f>MAX(0,N3249-M3249)</f>
        <v/>
      </c>
      <c r="J3249" s="11">
        <f>MAX(0,M3249-N3249)</f>
        <v/>
      </c>
      <c r="K3249" s="11">
        <f>O3249</f>
        <v/>
      </c>
      <c r="L3249" s="11">
        <f>L3248+IF(K3249&gt;0,K3249*Summary!$B$9,K3249/Summary!$B$9)</f>
        <v/>
      </c>
      <c r="M3249" s="11">
        <f>G3249+H3249</f>
        <v/>
      </c>
      <c r="N3249" s="11">
        <f>Summary!$C$16*Summary!$B$8</f>
        <v/>
      </c>
      <c r="O3249" s="11">
        <f>M3249-N3249</f>
        <v/>
      </c>
    </row>
    <row r="3250">
      <c r="A3250" s="9" t="n">
        <v>45427.33333333334</v>
      </c>
      <c r="B3250" t="n">
        <v>5</v>
      </c>
      <c r="C3250" t="n">
        <v>15</v>
      </c>
      <c r="D3250" t="n">
        <v>8</v>
      </c>
      <c r="E3250" s="10" t="n">
        <v>0.258259</v>
      </c>
      <c r="F3250" s="10" t="n">
        <v>0.1879161570998777</v>
      </c>
      <c r="G3250" s="11">
        <f>E3250*Summary!$B$6</f>
        <v/>
      </c>
      <c r="H3250" s="11">
        <f>F3250*Summary!$B$7</f>
        <v/>
      </c>
      <c r="I3250" s="11">
        <f>MAX(0,N3250-M3250)</f>
        <v/>
      </c>
      <c r="J3250" s="11">
        <f>MAX(0,M3250-N3250)</f>
        <v/>
      </c>
      <c r="K3250" s="11">
        <f>O3250</f>
        <v/>
      </c>
      <c r="L3250" s="11">
        <f>L3249+IF(K3250&gt;0,K3250*Summary!$B$9,K3250/Summary!$B$9)</f>
        <v/>
      </c>
      <c r="M3250" s="11">
        <f>G3250+H3250</f>
        <v/>
      </c>
      <c r="N3250" s="11">
        <f>Summary!$C$16*Summary!$B$8</f>
        <v/>
      </c>
      <c r="O3250" s="11">
        <f>M3250-N3250</f>
        <v/>
      </c>
    </row>
    <row r="3251">
      <c r="A3251" s="9" t="n">
        <v>45427.375</v>
      </c>
      <c r="B3251" t="n">
        <v>5</v>
      </c>
      <c r="C3251" t="n">
        <v>15</v>
      </c>
      <c r="D3251" t="n">
        <v>9</v>
      </c>
      <c r="E3251" s="10" t="n">
        <v>0.358073</v>
      </c>
      <c r="F3251" s="10" t="n">
        <v>0.1848593243662378</v>
      </c>
      <c r="G3251" s="11">
        <f>E3251*Summary!$B$6</f>
        <v/>
      </c>
      <c r="H3251" s="11">
        <f>F3251*Summary!$B$7</f>
        <v/>
      </c>
      <c r="I3251" s="11">
        <f>MAX(0,N3251-M3251)</f>
        <v/>
      </c>
      <c r="J3251" s="11">
        <f>MAX(0,M3251-N3251)</f>
        <v/>
      </c>
      <c r="K3251" s="11">
        <f>O3251</f>
        <v/>
      </c>
      <c r="L3251" s="11">
        <f>L3250+IF(K3251&gt;0,K3251*Summary!$B$9,K3251/Summary!$B$9)</f>
        <v/>
      </c>
      <c r="M3251" s="11">
        <f>G3251+H3251</f>
        <v/>
      </c>
      <c r="N3251" s="11">
        <f>Summary!$C$16*Summary!$B$8</f>
        <v/>
      </c>
      <c r="O3251" s="11">
        <f>M3251-N3251</f>
        <v/>
      </c>
    </row>
    <row r="3252">
      <c r="A3252" s="9" t="n">
        <v>45427.41666666666</v>
      </c>
      <c r="B3252" t="n">
        <v>5</v>
      </c>
      <c r="C3252" t="n">
        <v>15</v>
      </c>
      <c r="D3252" t="n">
        <v>10</v>
      </c>
      <c r="E3252" s="10" t="n">
        <v>0.191983</v>
      </c>
      <c r="F3252" s="10" t="n">
        <v>0.1840160601638544</v>
      </c>
      <c r="G3252" s="11">
        <f>E3252*Summary!$B$6</f>
        <v/>
      </c>
      <c r="H3252" s="11">
        <f>F3252*Summary!$B$7</f>
        <v/>
      </c>
      <c r="I3252" s="11">
        <f>MAX(0,N3252-M3252)</f>
        <v/>
      </c>
      <c r="J3252" s="11">
        <f>MAX(0,M3252-N3252)</f>
        <v/>
      </c>
      <c r="K3252" s="11">
        <f>O3252</f>
        <v/>
      </c>
      <c r="L3252" s="11">
        <f>L3251+IF(K3252&gt;0,K3252*Summary!$B$9,K3252/Summary!$B$9)</f>
        <v/>
      </c>
      <c r="M3252" s="11">
        <f>G3252+H3252</f>
        <v/>
      </c>
      <c r="N3252" s="11">
        <f>Summary!$C$16*Summary!$B$8</f>
        <v/>
      </c>
      <c r="O3252" s="11">
        <f>M3252-N3252</f>
        <v/>
      </c>
    </row>
    <row r="3253">
      <c r="A3253" s="9" t="n">
        <v>45427.45833333334</v>
      </c>
      <c r="B3253" t="n">
        <v>5</v>
      </c>
      <c r="C3253" t="n">
        <v>15</v>
      </c>
      <c r="D3253" t="n">
        <v>11</v>
      </c>
      <c r="E3253" s="10" t="n">
        <v>0.337748</v>
      </c>
      <c r="F3253" s="10" t="n">
        <v>0.1842005242081258</v>
      </c>
      <c r="G3253" s="11">
        <f>E3253*Summary!$B$6</f>
        <v/>
      </c>
      <c r="H3253" s="11">
        <f>F3253*Summary!$B$7</f>
        <v/>
      </c>
      <c r="I3253" s="11">
        <f>MAX(0,N3253-M3253)</f>
        <v/>
      </c>
      <c r="J3253" s="11">
        <f>MAX(0,M3253-N3253)</f>
        <v/>
      </c>
      <c r="K3253" s="11">
        <f>O3253</f>
        <v/>
      </c>
      <c r="L3253" s="11">
        <f>L3252+IF(K3253&gt;0,K3253*Summary!$B$9,K3253/Summary!$B$9)</f>
        <v/>
      </c>
      <c r="M3253" s="11">
        <f>G3253+H3253</f>
        <v/>
      </c>
      <c r="N3253" s="11">
        <f>Summary!$C$16*Summary!$B$8</f>
        <v/>
      </c>
      <c r="O3253" s="11">
        <f>M3253-N3253</f>
        <v/>
      </c>
    </row>
    <row r="3254">
      <c r="A3254" s="9" t="n">
        <v>45427.5</v>
      </c>
      <c r="B3254" t="n">
        <v>5</v>
      </c>
      <c r="C3254" t="n">
        <v>15</v>
      </c>
      <c r="D3254" t="n">
        <v>12</v>
      </c>
      <c r="E3254" s="10" t="n">
        <v>0.326612</v>
      </c>
      <c r="F3254" s="10" t="n">
        <v>0.1840687641765034</v>
      </c>
      <c r="G3254" s="11">
        <f>E3254*Summary!$B$6</f>
        <v/>
      </c>
      <c r="H3254" s="11">
        <f>F3254*Summary!$B$7</f>
        <v/>
      </c>
      <c r="I3254" s="11">
        <f>MAX(0,N3254-M3254)</f>
        <v/>
      </c>
      <c r="J3254" s="11">
        <f>MAX(0,M3254-N3254)</f>
        <v/>
      </c>
      <c r="K3254" s="11">
        <f>O3254</f>
        <v/>
      </c>
      <c r="L3254" s="11">
        <f>L3253+IF(K3254&gt;0,K3254*Summary!$B$9,K3254/Summary!$B$9)</f>
        <v/>
      </c>
      <c r="M3254" s="11">
        <f>G3254+H3254</f>
        <v/>
      </c>
      <c r="N3254" s="11">
        <f>Summary!$C$16*Summary!$B$8</f>
        <v/>
      </c>
      <c r="O3254" s="11">
        <f>M3254-N3254</f>
        <v/>
      </c>
    </row>
    <row r="3255">
      <c r="A3255" s="9" t="n">
        <v>45427.54166666666</v>
      </c>
      <c r="B3255" t="n">
        <v>5</v>
      </c>
      <c r="C3255" t="n">
        <v>15</v>
      </c>
      <c r="D3255" t="n">
        <v>13</v>
      </c>
      <c r="E3255" s="10" t="n">
        <v>0.255081</v>
      </c>
      <c r="F3255" s="10" t="n">
        <v>0.186071516657164</v>
      </c>
      <c r="G3255" s="11">
        <f>E3255*Summary!$B$6</f>
        <v/>
      </c>
      <c r="H3255" s="11">
        <f>F3255*Summary!$B$7</f>
        <v/>
      </c>
      <c r="I3255" s="11">
        <f>MAX(0,N3255-M3255)</f>
        <v/>
      </c>
      <c r="J3255" s="11">
        <f>MAX(0,M3255-N3255)</f>
        <v/>
      </c>
      <c r="K3255" s="11">
        <f>O3255</f>
        <v/>
      </c>
      <c r="L3255" s="11">
        <f>L3254+IF(K3255&gt;0,K3255*Summary!$B$9,K3255/Summary!$B$9)</f>
        <v/>
      </c>
      <c r="M3255" s="11">
        <f>G3255+H3255</f>
        <v/>
      </c>
      <c r="N3255" s="11">
        <f>Summary!$C$16*Summary!$B$8</f>
        <v/>
      </c>
      <c r="O3255" s="11">
        <f>M3255-N3255</f>
        <v/>
      </c>
    </row>
    <row r="3256">
      <c r="A3256" s="9" t="n">
        <v>45427.58333333334</v>
      </c>
      <c r="B3256" t="n">
        <v>5</v>
      </c>
      <c r="C3256" t="n">
        <v>15</v>
      </c>
      <c r="D3256" t="n">
        <v>14</v>
      </c>
      <c r="E3256" s="10" t="n">
        <v>0.256531</v>
      </c>
      <c r="F3256" s="10" t="n">
        <v>0.1881006211441491</v>
      </c>
      <c r="G3256" s="11">
        <f>E3256*Summary!$B$6</f>
        <v/>
      </c>
      <c r="H3256" s="11">
        <f>F3256*Summary!$B$7</f>
        <v/>
      </c>
      <c r="I3256" s="11">
        <f>MAX(0,N3256-M3256)</f>
        <v/>
      </c>
      <c r="J3256" s="11">
        <f>MAX(0,M3256-N3256)</f>
        <v/>
      </c>
      <c r="K3256" s="11">
        <f>O3256</f>
        <v/>
      </c>
      <c r="L3256" s="11">
        <f>L3255+IF(K3256&gt;0,K3256*Summary!$B$9,K3256/Summary!$B$9)</f>
        <v/>
      </c>
      <c r="M3256" s="11">
        <f>G3256+H3256</f>
        <v/>
      </c>
      <c r="N3256" s="11">
        <f>Summary!$C$16*Summary!$B$8</f>
        <v/>
      </c>
      <c r="O3256" s="11">
        <f>M3256-N3256</f>
        <v/>
      </c>
    </row>
    <row r="3257">
      <c r="A3257" s="9" t="n">
        <v>45427.625</v>
      </c>
      <c r="B3257" t="n">
        <v>5</v>
      </c>
      <c r="C3257" t="n">
        <v>15</v>
      </c>
      <c r="D3257" t="n">
        <v>15</v>
      </c>
      <c r="E3257" s="10" t="n">
        <v>0.507516</v>
      </c>
      <c r="F3257" s="10" t="n">
        <v>0.1935554864533167</v>
      </c>
      <c r="G3257" s="11">
        <f>E3257*Summary!$B$6</f>
        <v/>
      </c>
      <c r="H3257" s="11">
        <f>F3257*Summary!$B$7</f>
        <v/>
      </c>
      <c r="I3257" s="11">
        <f>MAX(0,N3257-M3257)</f>
        <v/>
      </c>
      <c r="J3257" s="11">
        <f>MAX(0,M3257-N3257)</f>
        <v/>
      </c>
      <c r="K3257" s="11">
        <f>O3257</f>
        <v/>
      </c>
      <c r="L3257" s="11">
        <f>L3256+IF(K3257&gt;0,K3257*Summary!$B$9,K3257/Summary!$B$9)</f>
        <v/>
      </c>
      <c r="M3257" s="11">
        <f>G3257+H3257</f>
        <v/>
      </c>
      <c r="N3257" s="11">
        <f>Summary!$C$16*Summary!$B$8</f>
        <v/>
      </c>
      <c r="O3257" s="11">
        <f>M3257-N3257</f>
        <v/>
      </c>
    </row>
    <row r="3258">
      <c r="A3258" s="9" t="n">
        <v>45427.66666666666</v>
      </c>
      <c r="B3258" t="n">
        <v>5</v>
      </c>
      <c r="C3258" t="n">
        <v>15</v>
      </c>
      <c r="D3258" t="n">
        <v>16</v>
      </c>
      <c r="E3258" s="10" t="n">
        <v>0.428444</v>
      </c>
      <c r="F3258" s="10" t="n">
        <v>0.1853863644927275</v>
      </c>
      <c r="G3258" s="11">
        <f>E3258*Summary!$B$6</f>
        <v/>
      </c>
      <c r="H3258" s="11">
        <f>F3258*Summary!$B$7</f>
        <v/>
      </c>
      <c r="I3258" s="11">
        <f>MAX(0,N3258-M3258)</f>
        <v/>
      </c>
      <c r="J3258" s="11">
        <f>MAX(0,M3258-N3258)</f>
        <v/>
      </c>
      <c r="K3258" s="11">
        <f>O3258</f>
        <v/>
      </c>
      <c r="L3258" s="11">
        <f>L3257+IF(K3258&gt;0,K3258*Summary!$B$9,K3258/Summary!$B$9)</f>
        <v/>
      </c>
      <c r="M3258" s="11">
        <f>G3258+H3258</f>
        <v/>
      </c>
      <c r="N3258" s="11">
        <f>Summary!$C$16*Summary!$B$8</f>
        <v/>
      </c>
      <c r="O3258" s="11">
        <f>M3258-N3258</f>
        <v/>
      </c>
    </row>
    <row r="3259">
      <c r="A3259" s="9" t="n">
        <v>45427.70833333334</v>
      </c>
      <c r="B3259" t="n">
        <v>5</v>
      </c>
      <c r="C3259" t="n">
        <v>15</v>
      </c>
      <c r="D3259" t="n">
        <v>17</v>
      </c>
      <c r="E3259" s="10" t="n">
        <v>0.221403</v>
      </c>
      <c r="F3259" s="10" t="n">
        <v>0.1872046529291167</v>
      </c>
      <c r="G3259" s="11">
        <f>E3259*Summary!$B$6</f>
        <v/>
      </c>
      <c r="H3259" s="11">
        <f>F3259*Summary!$B$7</f>
        <v/>
      </c>
      <c r="I3259" s="11">
        <f>MAX(0,N3259-M3259)</f>
        <v/>
      </c>
      <c r="J3259" s="11">
        <f>MAX(0,M3259-N3259)</f>
        <v/>
      </c>
      <c r="K3259" s="11">
        <f>O3259</f>
        <v/>
      </c>
      <c r="L3259" s="11">
        <f>L3258+IF(K3259&gt;0,K3259*Summary!$B$9,K3259/Summary!$B$9)</f>
        <v/>
      </c>
      <c r="M3259" s="11">
        <f>G3259+H3259</f>
        <v/>
      </c>
      <c r="N3259" s="11">
        <f>Summary!$C$16*Summary!$B$8</f>
        <v/>
      </c>
      <c r="O3259" s="11">
        <f>M3259-N3259</f>
        <v/>
      </c>
    </row>
    <row r="3260">
      <c r="A3260" s="9" t="n">
        <v>45427.75</v>
      </c>
      <c r="B3260" t="n">
        <v>5</v>
      </c>
      <c r="C3260" t="n">
        <v>15</v>
      </c>
      <c r="D3260" t="n">
        <v>18</v>
      </c>
      <c r="E3260" s="10" t="n">
        <v>0.0615</v>
      </c>
      <c r="F3260" s="10" t="n">
        <v>0.171736025216646</v>
      </c>
      <c r="G3260" s="11">
        <f>E3260*Summary!$B$6</f>
        <v/>
      </c>
      <c r="H3260" s="11">
        <f>F3260*Summary!$B$7</f>
        <v/>
      </c>
      <c r="I3260" s="11">
        <f>MAX(0,N3260-M3260)</f>
        <v/>
      </c>
      <c r="J3260" s="11">
        <f>MAX(0,M3260-N3260)</f>
        <v/>
      </c>
      <c r="K3260" s="11">
        <f>O3260</f>
        <v/>
      </c>
      <c r="L3260" s="11">
        <f>L3259+IF(K3260&gt;0,K3260*Summary!$B$9,K3260/Summary!$B$9)</f>
        <v/>
      </c>
      <c r="M3260" s="11">
        <f>G3260+H3260</f>
        <v/>
      </c>
      <c r="N3260" s="11">
        <f>Summary!$C$16*Summary!$B$8</f>
        <v/>
      </c>
      <c r="O3260" s="11">
        <f>M3260-N3260</f>
        <v/>
      </c>
    </row>
    <row r="3261">
      <c r="A3261" s="9" t="n">
        <v>45427.79166666666</v>
      </c>
      <c r="B3261" t="n">
        <v>5</v>
      </c>
      <c r="C3261" t="n">
        <v>15</v>
      </c>
      <c r="D3261" t="n">
        <v>19</v>
      </c>
      <c r="E3261" s="10" t="n">
        <v>0.022938</v>
      </c>
      <c r="F3261" s="10" t="n">
        <v>0.1890756453781549</v>
      </c>
      <c r="G3261" s="11">
        <f>E3261*Summary!$B$6</f>
        <v/>
      </c>
      <c r="H3261" s="11">
        <f>F3261*Summary!$B$7</f>
        <v/>
      </c>
      <c r="I3261" s="11">
        <f>MAX(0,N3261-M3261)</f>
        <v/>
      </c>
      <c r="J3261" s="11">
        <f>MAX(0,M3261-N3261)</f>
        <v/>
      </c>
      <c r="K3261" s="11">
        <f>O3261</f>
        <v/>
      </c>
      <c r="L3261" s="11">
        <f>L3260+IF(K3261&gt;0,K3261*Summary!$B$9,K3261/Summary!$B$9)</f>
        <v/>
      </c>
      <c r="M3261" s="11">
        <f>G3261+H3261</f>
        <v/>
      </c>
      <c r="N3261" s="11">
        <f>Summary!$C$16*Summary!$B$8</f>
        <v/>
      </c>
      <c r="O3261" s="11">
        <f>M3261-N3261</f>
        <v/>
      </c>
    </row>
    <row r="3262">
      <c r="A3262" s="9" t="n">
        <v>45427.83333333334</v>
      </c>
      <c r="B3262" t="n">
        <v>5</v>
      </c>
      <c r="C3262" t="n">
        <v>15</v>
      </c>
      <c r="D3262" t="n">
        <v>20</v>
      </c>
      <c r="E3262" s="10" t="n">
        <v>0</v>
      </c>
      <c r="F3262" s="10" t="n">
        <v>0.2058618734068496</v>
      </c>
      <c r="G3262" s="11">
        <f>E3262*Summary!$B$6</f>
        <v/>
      </c>
      <c r="H3262" s="11">
        <f>F3262*Summary!$B$7</f>
        <v/>
      </c>
      <c r="I3262" s="11">
        <f>MAX(0,N3262-M3262)</f>
        <v/>
      </c>
      <c r="J3262" s="11">
        <f>MAX(0,M3262-N3262)</f>
        <v/>
      </c>
      <c r="K3262" s="11">
        <f>O3262</f>
        <v/>
      </c>
      <c r="L3262" s="11">
        <f>L3261+IF(K3262&gt;0,K3262*Summary!$B$9,K3262/Summary!$B$9)</f>
        <v/>
      </c>
      <c r="M3262" s="11">
        <f>G3262+H3262</f>
        <v/>
      </c>
      <c r="N3262" s="11">
        <f>Summary!$C$16*Summary!$B$8</f>
        <v/>
      </c>
      <c r="O3262" s="11">
        <f>M3262-N3262</f>
        <v/>
      </c>
    </row>
    <row r="3263">
      <c r="A3263" s="9" t="n">
        <v>45427.875</v>
      </c>
      <c r="B3263" t="n">
        <v>5</v>
      </c>
      <c r="C3263" t="n">
        <v>15</v>
      </c>
      <c r="D3263" t="n">
        <v>21</v>
      </c>
      <c r="E3263" s="10" t="n">
        <v>0</v>
      </c>
      <c r="F3263" s="10" t="n">
        <v>0.2277076866498448</v>
      </c>
      <c r="G3263" s="11">
        <f>E3263*Summary!$B$6</f>
        <v/>
      </c>
      <c r="H3263" s="11">
        <f>F3263*Summary!$B$7</f>
        <v/>
      </c>
      <c r="I3263" s="11">
        <f>MAX(0,N3263-M3263)</f>
        <v/>
      </c>
      <c r="J3263" s="11">
        <f>MAX(0,M3263-N3263)</f>
        <v/>
      </c>
      <c r="K3263" s="11">
        <f>O3263</f>
        <v/>
      </c>
      <c r="L3263" s="11">
        <f>L3262+IF(K3263&gt;0,K3263*Summary!$B$9,K3263/Summary!$B$9)</f>
        <v/>
      </c>
      <c r="M3263" s="11">
        <f>G3263+H3263</f>
        <v/>
      </c>
      <c r="N3263" s="11">
        <f>Summary!$C$16*Summary!$B$8</f>
        <v/>
      </c>
      <c r="O3263" s="11">
        <f>M3263-N3263</f>
        <v/>
      </c>
    </row>
    <row r="3264">
      <c r="A3264" s="9" t="n">
        <v>45427.91666666666</v>
      </c>
      <c r="B3264" t="n">
        <v>5</v>
      </c>
      <c r="C3264" t="n">
        <v>15</v>
      </c>
      <c r="D3264" t="n">
        <v>22</v>
      </c>
      <c r="E3264" s="10" t="n">
        <v>0</v>
      </c>
      <c r="F3264" s="10" t="n">
        <v>0.2479723795133711</v>
      </c>
      <c r="G3264" s="11">
        <f>E3264*Summary!$B$6</f>
        <v/>
      </c>
      <c r="H3264" s="11">
        <f>F3264*Summary!$B$7</f>
        <v/>
      </c>
      <c r="I3264" s="11">
        <f>MAX(0,N3264-M3264)</f>
        <v/>
      </c>
      <c r="J3264" s="11">
        <f>MAX(0,M3264-N3264)</f>
        <v/>
      </c>
      <c r="K3264" s="11">
        <f>O3264</f>
        <v/>
      </c>
      <c r="L3264" s="11">
        <f>L3263+IF(K3264&gt;0,K3264*Summary!$B$9,K3264/Summary!$B$9)</f>
        <v/>
      </c>
      <c r="M3264" s="11">
        <f>G3264+H3264</f>
        <v/>
      </c>
      <c r="N3264" s="11">
        <f>Summary!$C$16*Summary!$B$8</f>
        <v/>
      </c>
      <c r="O3264" s="11">
        <f>M3264-N3264</f>
        <v/>
      </c>
    </row>
    <row r="3265">
      <c r="A3265" s="9" t="n">
        <v>45427.95833333334</v>
      </c>
      <c r="B3265" t="n">
        <v>5</v>
      </c>
      <c r="C3265" t="n">
        <v>15</v>
      </c>
      <c r="D3265" t="n">
        <v>23</v>
      </c>
      <c r="E3265" s="10" t="n">
        <v>0</v>
      </c>
      <c r="F3265" s="10" t="n">
        <v>0.2589084621380309</v>
      </c>
      <c r="G3265" s="11">
        <f>E3265*Summary!$B$6</f>
        <v/>
      </c>
      <c r="H3265" s="11">
        <f>F3265*Summary!$B$7</f>
        <v/>
      </c>
      <c r="I3265" s="11">
        <f>MAX(0,N3265-M3265)</f>
        <v/>
      </c>
      <c r="J3265" s="11">
        <f>MAX(0,M3265-N3265)</f>
        <v/>
      </c>
      <c r="K3265" s="11">
        <f>O3265</f>
        <v/>
      </c>
      <c r="L3265" s="11">
        <f>L3264+IF(K3265&gt;0,K3265*Summary!$B$9,K3265/Summary!$B$9)</f>
        <v/>
      </c>
      <c r="M3265" s="11">
        <f>G3265+H3265</f>
        <v/>
      </c>
      <c r="N3265" s="11">
        <f>Summary!$C$16*Summary!$B$8</f>
        <v/>
      </c>
      <c r="O3265" s="11">
        <f>M3265-N3265</f>
        <v/>
      </c>
    </row>
    <row r="3266">
      <c r="A3266" s="9" t="n">
        <v>45428</v>
      </c>
      <c r="B3266" t="n">
        <v>5</v>
      </c>
      <c r="C3266" t="n">
        <v>16</v>
      </c>
      <c r="D3266" t="n">
        <v>0</v>
      </c>
      <c r="E3266" s="10" t="n">
        <v>0</v>
      </c>
      <c r="F3266" s="10" t="n">
        <v>0.3317190556125734</v>
      </c>
      <c r="G3266" s="11">
        <f>E3266*Summary!$B$6</f>
        <v/>
      </c>
      <c r="H3266" s="11">
        <f>F3266*Summary!$B$7</f>
        <v/>
      </c>
      <c r="I3266" s="11">
        <f>MAX(0,N3266-M3266)</f>
        <v/>
      </c>
      <c r="J3266" s="11">
        <f>MAX(0,M3266-N3266)</f>
        <v/>
      </c>
      <c r="K3266" s="11">
        <f>O3266</f>
        <v/>
      </c>
      <c r="L3266" s="11">
        <f>L3265+IF(K3266&gt;0,K3266*Summary!$B$9,K3266/Summary!$B$9)</f>
        <v/>
      </c>
      <c r="M3266" s="11">
        <f>G3266+H3266</f>
        <v/>
      </c>
      <c r="N3266" s="11">
        <f>Summary!$C$16*Summary!$B$8</f>
        <v/>
      </c>
      <c r="O3266" s="11">
        <f>M3266-N3266</f>
        <v/>
      </c>
    </row>
    <row r="3267">
      <c r="A3267" s="9" t="n">
        <v>45428.04166666666</v>
      </c>
      <c r="B3267" t="n">
        <v>5</v>
      </c>
      <c r="C3267" t="n">
        <v>16</v>
      </c>
      <c r="D3267" t="n">
        <v>1</v>
      </c>
      <c r="E3267" s="10" t="n">
        <v>0</v>
      </c>
      <c r="F3267" s="10" t="n">
        <v>0.2661816158835878</v>
      </c>
      <c r="G3267" s="11">
        <f>E3267*Summary!$B$6</f>
        <v/>
      </c>
      <c r="H3267" s="11">
        <f>F3267*Summary!$B$7</f>
        <v/>
      </c>
      <c r="I3267" s="11">
        <f>MAX(0,N3267-M3267)</f>
        <v/>
      </c>
      <c r="J3267" s="11">
        <f>MAX(0,M3267-N3267)</f>
        <v/>
      </c>
      <c r="K3267" s="11">
        <f>O3267</f>
        <v/>
      </c>
      <c r="L3267" s="11">
        <f>L3266+IF(K3267&gt;0,K3267*Summary!$B$9,K3267/Summary!$B$9)</f>
        <v/>
      </c>
      <c r="M3267" s="11">
        <f>G3267+H3267</f>
        <v/>
      </c>
      <c r="N3267" s="11">
        <f>Summary!$C$16*Summary!$B$8</f>
        <v/>
      </c>
      <c r="O3267" s="11">
        <f>M3267-N3267</f>
        <v/>
      </c>
    </row>
    <row r="3268">
      <c r="A3268" s="9" t="n">
        <v>45428.08333333334</v>
      </c>
      <c r="B3268" t="n">
        <v>5</v>
      </c>
      <c r="C3268" t="n">
        <v>16</v>
      </c>
      <c r="D3268" t="n">
        <v>2</v>
      </c>
      <c r="E3268" s="10" t="n">
        <v>0</v>
      </c>
      <c r="F3268" s="10" t="n">
        <v>0.2684742404338177</v>
      </c>
      <c r="G3268" s="11">
        <f>E3268*Summary!$B$6</f>
        <v/>
      </c>
      <c r="H3268" s="11">
        <f>F3268*Summary!$B$7</f>
        <v/>
      </c>
      <c r="I3268" s="11">
        <f>MAX(0,N3268-M3268)</f>
        <v/>
      </c>
      <c r="J3268" s="11">
        <f>MAX(0,M3268-N3268)</f>
        <v/>
      </c>
      <c r="K3268" s="11">
        <f>O3268</f>
        <v/>
      </c>
      <c r="L3268" s="11">
        <f>L3267+IF(K3268&gt;0,K3268*Summary!$B$9,K3268/Summary!$B$9)</f>
        <v/>
      </c>
      <c r="M3268" s="11">
        <f>G3268+H3268</f>
        <v/>
      </c>
      <c r="N3268" s="11">
        <f>Summary!$C$16*Summary!$B$8</f>
        <v/>
      </c>
      <c r="O3268" s="11">
        <f>M3268-N3268</f>
        <v/>
      </c>
    </row>
    <row r="3269">
      <c r="A3269" s="9" t="n">
        <v>45428.125</v>
      </c>
      <c r="B3269" t="n">
        <v>5</v>
      </c>
      <c r="C3269" t="n">
        <v>16</v>
      </c>
      <c r="D3269" t="n">
        <v>3</v>
      </c>
      <c r="E3269" s="10" t="n">
        <v>0</v>
      </c>
      <c r="F3269" s="10" t="n">
        <v>0.2656545757570982</v>
      </c>
      <c r="G3269" s="11">
        <f>E3269*Summary!$B$6</f>
        <v/>
      </c>
      <c r="H3269" s="11">
        <f>F3269*Summary!$B$7</f>
        <v/>
      </c>
      <c r="I3269" s="11">
        <f>MAX(0,N3269-M3269)</f>
        <v/>
      </c>
      <c r="J3269" s="11">
        <f>MAX(0,M3269-N3269)</f>
        <v/>
      </c>
      <c r="K3269" s="11">
        <f>O3269</f>
        <v/>
      </c>
      <c r="L3269" s="11">
        <f>L3268+IF(K3269&gt;0,K3269*Summary!$B$9,K3269/Summary!$B$9)</f>
        <v/>
      </c>
      <c r="M3269" s="11">
        <f>G3269+H3269</f>
        <v/>
      </c>
      <c r="N3269" s="11">
        <f>Summary!$C$16*Summary!$B$8</f>
        <v/>
      </c>
      <c r="O3269" s="11">
        <f>M3269-N3269</f>
        <v/>
      </c>
    </row>
    <row r="3270">
      <c r="A3270" s="9" t="n">
        <v>45428.16666666666</v>
      </c>
      <c r="B3270" t="n">
        <v>5</v>
      </c>
      <c r="C3270" t="n">
        <v>16</v>
      </c>
      <c r="D3270" t="n">
        <v>4</v>
      </c>
      <c r="E3270" s="10" t="n">
        <v>0.007169</v>
      </c>
      <c r="F3270" s="10" t="n">
        <v>0.2635200632448152</v>
      </c>
      <c r="G3270" s="11">
        <f>E3270*Summary!$B$6</f>
        <v/>
      </c>
      <c r="H3270" s="11">
        <f>F3270*Summary!$B$7</f>
        <v/>
      </c>
      <c r="I3270" s="11">
        <f>MAX(0,N3270-M3270)</f>
        <v/>
      </c>
      <c r="J3270" s="11">
        <f>MAX(0,M3270-N3270)</f>
        <v/>
      </c>
      <c r="K3270" s="11">
        <f>O3270</f>
        <v/>
      </c>
      <c r="L3270" s="11">
        <f>L3269+IF(K3270&gt;0,K3270*Summary!$B$9,K3270/Summary!$B$9)</f>
        <v/>
      </c>
      <c r="M3270" s="11">
        <f>G3270+H3270</f>
        <v/>
      </c>
      <c r="N3270" s="11">
        <f>Summary!$C$16*Summary!$B$8</f>
        <v/>
      </c>
      <c r="O3270" s="11">
        <f>M3270-N3270</f>
        <v/>
      </c>
    </row>
    <row r="3271">
      <c r="A3271" s="9" t="n">
        <v>45428.20833333334</v>
      </c>
      <c r="B3271" t="n">
        <v>5</v>
      </c>
      <c r="C3271" t="n">
        <v>16</v>
      </c>
      <c r="D3271" t="n">
        <v>5</v>
      </c>
      <c r="E3271" s="10" t="n">
        <v>0.026675</v>
      </c>
      <c r="F3271" s="10" t="n">
        <v>0.2448891947734068</v>
      </c>
      <c r="G3271" s="11">
        <f>E3271*Summary!$B$6</f>
        <v/>
      </c>
      <c r="H3271" s="11">
        <f>F3271*Summary!$B$7</f>
        <v/>
      </c>
      <c r="I3271" s="11">
        <f>MAX(0,N3271-M3271)</f>
        <v/>
      </c>
      <c r="J3271" s="11">
        <f>MAX(0,M3271-N3271)</f>
        <v/>
      </c>
      <c r="K3271" s="11">
        <f>O3271</f>
        <v/>
      </c>
      <c r="L3271" s="11">
        <f>L3270+IF(K3271&gt;0,K3271*Summary!$B$9,K3271/Summary!$B$9)</f>
        <v/>
      </c>
      <c r="M3271" s="11">
        <f>G3271+H3271</f>
        <v/>
      </c>
      <c r="N3271" s="11">
        <f>Summary!$C$16*Summary!$B$8</f>
        <v/>
      </c>
      <c r="O3271" s="11">
        <f>M3271-N3271</f>
        <v/>
      </c>
    </row>
    <row r="3272">
      <c r="A3272" s="9" t="n">
        <v>45428.25</v>
      </c>
      <c r="B3272" t="n">
        <v>5</v>
      </c>
      <c r="C3272" t="n">
        <v>16</v>
      </c>
      <c r="D3272" t="n">
        <v>6</v>
      </c>
      <c r="E3272" s="10" t="n">
        <v>0.102405</v>
      </c>
      <c r="F3272" s="10" t="n">
        <v>0.224492741878258</v>
      </c>
      <c r="G3272" s="11">
        <f>E3272*Summary!$B$6</f>
        <v/>
      </c>
      <c r="H3272" s="11">
        <f>F3272*Summary!$B$7</f>
        <v/>
      </c>
      <c r="I3272" s="11">
        <f>MAX(0,N3272-M3272)</f>
        <v/>
      </c>
      <c r="J3272" s="11">
        <f>MAX(0,M3272-N3272)</f>
        <v/>
      </c>
      <c r="K3272" s="11">
        <f>O3272</f>
        <v/>
      </c>
      <c r="L3272" s="11">
        <f>L3271+IF(K3272&gt;0,K3272*Summary!$B$9,K3272/Summary!$B$9)</f>
        <v/>
      </c>
      <c r="M3272" s="11">
        <f>G3272+H3272</f>
        <v/>
      </c>
      <c r="N3272" s="11">
        <f>Summary!$C$16*Summary!$B$8</f>
        <v/>
      </c>
      <c r="O3272" s="11">
        <f>M3272-N3272</f>
        <v/>
      </c>
    </row>
    <row r="3273">
      <c r="A3273" s="9" t="n">
        <v>45428.29166666666</v>
      </c>
      <c r="B3273" t="n">
        <v>5</v>
      </c>
      <c r="C3273" t="n">
        <v>16</v>
      </c>
      <c r="D3273" t="n">
        <v>7</v>
      </c>
      <c r="E3273" s="10" t="n">
        <v>0.113199</v>
      </c>
      <c r="F3273" s="10" t="n">
        <v>0.2173513481643236</v>
      </c>
      <c r="G3273" s="11">
        <f>E3273*Summary!$B$6</f>
        <v/>
      </c>
      <c r="H3273" s="11">
        <f>F3273*Summary!$B$7</f>
        <v/>
      </c>
      <c r="I3273" s="11">
        <f>MAX(0,N3273-M3273)</f>
        <v/>
      </c>
      <c r="J3273" s="11">
        <f>MAX(0,M3273-N3273)</f>
        <v/>
      </c>
      <c r="K3273" s="11">
        <f>O3273</f>
        <v/>
      </c>
      <c r="L3273" s="11">
        <f>L3272+IF(K3273&gt;0,K3273*Summary!$B$9,K3273/Summary!$B$9)</f>
        <v/>
      </c>
      <c r="M3273" s="11">
        <f>G3273+H3273</f>
        <v/>
      </c>
      <c r="N3273" s="11">
        <f>Summary!$C$16*Summary!$B$8</f>
        <v/>
      </c>
      <c r="O3273" s="11">
        <f>M3273-N3273</f>
        <v/>
      </c>
    </row>
    <row r="3274">
      <c r="A3274" s="9" t="n">
        <v>45428.33333333334</v>
      </c>
      <c r="B3274" t="n">
        <v>5</v>
      </c>
      <c r="C3274" t="n">
        <v>16</v>
      </c>
      <c r="D3274" t="n">
        <v>8</v>
      </c>
      <c r="E3274" s="10" t="n">
        <v>0.153538</v>
      </c>
      <c r="F3274" s="10" t="n">
        <v>0.2033847848123484</v>
      </c>
      <c r="G3274" s="11">
        <f>E3274*Summary!$B$6</f>
        <v/>
      </c>
      <c r="H3274" s="11">
        <f>F3274*Summary!$B$7</f>
        <v/>
      </c>
      <c r="I3274" s="11">
        <f>MAX(0,N3274-M3274)</f>
        <v/>
      </c>
      <c r="J3274" s="11">
        <f>MAX(0,M3274-N3274)</f>
        <v/>
      </c>
      <c r="K3274" s="11">
        <f>O3274</f>
        <v/>
      </c>
      <c r="L3274" s="11">
        <f>L3273+IF(K3274&gt;0,K3274*Summary!$B$9,K3274/Summary!$B$9)</f>
        <v/>
      </c>
      <c r="M3274" s="11">
        <f>G3274+H3274</f>
        <v/>
      </c>
      <c r="N3274" s="11">
        <f>Summary!$C$16*Summary!$B$8</f>
        <v/>
      </c>
      <c r="O3274" s="11">
        <f>M3274-N3274</f>
        <v/>
      </c>
    </row>
    <row r="3275">
      <c r="A3275" s="9" t="n">
        <v>45428.375</v>
      </c>
      <c r="B3275" t="n">
        <v>5</v>
      </c>
      <c r="C3275" t="n">
        <v>16</v>
      </c>
      <c r="D3275" t="n">
        <v>9</v>
      </c>
      <c r="E3275" s="10" t="n">
        <v>0.296647</v>
      </c>
      <c r="F3275" s="10" t="n">
        <v>0.2068632496471799</v>
      </c>
      <c r="G3275" s="11">
        <f>E3275*Summary!$B$6</f>
        <v/>
      </c>
      <c r="H3275" s="11">
        <f>F3275*Summary!$B$7</f>
        <v/>
      </c>
      <c r="I3275" s="11">
        <f>MAX(0,N3275-M3275)</f>
        <v/>
      </c>
      <c r="J3275" s="11">
        <f>MAX(0,M3275-N3275)</f>
        <v/>
      </c>
      <c r="K3275" s="11">
        <f>O3275</f>
        <v/>
      </c>
      <c r="L3275" s="11">
        <f>L3274+IF(K3275&gt;0,K3275*Summary!$B$9,K3275/Summary!$B$9)</f>
        <v/>
      </c>
      <c r="M3275" s="11">
        <f>G3275+H3275</f>
        <v/>
      </c>
      <c r="N3275" s="11">
        <f>Summary!$C$16*Summary!$B$8</f>
        <v/>
      </c>
      <c r="O3275" s="11">
        <f>M3275-N3275</f>
        <v/>
      </c>
    </row>
    <row r="3276">
      <c r="A3276" s="9" t="n">
        <v>45428.41666666666</v>
      </c>
      <c r="B3276" t="n">
        <v>5</v>
      </c>
      <c r="C3276" t="n">
        <v>16</v>
      </c>
      <c r="D3276" t="n">
        <v>10</v>
      </c>
      <c r="E3276" s="10" t="n">
        <v>0.239454</v>
      </c>
      <c r="F3276" s="10" t="n">
        <v>0.2167979560315094</v>
      </c>
      <c r="G3276" s="11">
        <f>E3276*Summary!$B$6</f>
        <v/>
      </c>
      <c r="H3276" s="11">
        <f>F3276*Summary!$B$7</f>
        <v/>
      </c>
      <c r="I3276" s="11">
        <f>MAX(0,N3276-M3276)</f>
        <v/>
      </c>
      <c r="J3276" s="11">
        <f>MAX(0,M3276-N3276)</f>
        <v/>
      </c>
      <c r="K3276" s="11">
        <f>O3276</f>
        <v/>
      </c>
      <c r="L3276" s="11">
        <f>L3275+IF(K3276&gt;0,K3276*Summary!$B$9,K3276/Summary!$B$9)</f>
        <v/>
      </c>
      <c r="M3276" s="11">
        <f>G3276+H3276</f>
        <v/>
      </c>
      <c r="N3276" s="11">
        <f>Summary!$C$16*Summary!$B$8</f>
        <v/>
      </c>
      <c r="O3276" s="11">
        <f>M3276-N3276</f>
        <v/>
      </c>
    </row>
    <row r="3277">
      <c r="A3277" s="9" t="n">
        <v>45428.45833333334</v>
      </c>
      <c r="B3277" t="n">
        <v>5</v>
      </c>
      <c r="C3277" t="n">
        <v>16</v>
      </c>
      <c r="D3277" t="n">
        <v>11</v>
      </c>
      <c r="E3277" s="10" t="n">
        <v>0.28435</v>
      </c>
      <c r="F3277" s="10" t="n">
        <v>0.2267590144221635</v>
      </c>
      <c r="G3277" s="11">
        <f>E3277*Summary!$B$6</f>
        <v/>
      </c>
      <c r="H3277" s="11">
        <f>F3277*Summary!$B$7</f>
        <v/>
      </c>
      <c r="I3277" s="11">
        <f>MAX(0,N3277-M3277)</f>
        <v/>
      </c>
      <c r="J3277" s="11">
        <f>MAX(0,M3277-N3277)</f>
        <v/>
      </c>
      <c r="K3277" s="11">
        <f>O3277</f>
        <v/>
      </c>
      <c r="L3277" s="11">
        <f>L3276+IF(K3277&gt;0,K3277*Summary!$B$9,K3277/Summary!$B$9)</f>
        <v/>
      </c>
      <c r="M3277" s="11">
        <f>G3277+H3277</f>
        <v/>
      </c>
      <c r="N3277" s="11">
        <f>Summary!$C$16*Summary!$B$8</f>
        <v/>
      </c>
      <c r="O3277" s="11">
        <f>M3277-N3277</f>
        <v/>
      </c>
    </row>
    <row r="3278">
      <c r="A3278" s="9" t="n">
        <v>45428.5</v>
      </c>
      <c r="B3278" t="n">
        <v>5</v>
      </c>
      <c r="C3278" t="n">
        <v>16</v>
      </c>
      <c r="D3278" t="n">
        <v>12</v>
      </c>
      <c r="E3278" s="10" t="n">
        <v>0.283131</v>
      </c>
      <c r="F3278" s="10" t="n">
        <v>0.2321875277250066</v>
      </c>
      <c r="G3278" s="11">
        <f>E3278*Summary!$B$6</f>
        <v/>
      </c>
      <c r="H3278" s="11">
        <f>F3278*Summary!$B$7</f>
        <v/>
      </c>
      <c r="I3278" s="11">
        <f>MAX(0,N3278-M3278)</f>
        <v/>
      </c>
      <c r="J3278" s="11">
        <f>MAX(0,M3278-N3278)</f>
        <v/>
      </c>
      <c r="K3278" s="11">
        <f>O3278</f>
        <v/>
      </c>
      <c r="L3278" s="11">
        <f>L3277+IF(K3278&gt;0,K3278*Summary!$B$9,K3278/Summary!$B$9)</f>
        <v/>
      </c>
      <c r="M3278" s="11">
        <f>G3278+H3278</f>
        <v/>
      </c>
      <c r="N3278" s="11">
        <f>Summary!$C$16*Summary!$B$8</f>
        <v/>
      </c>
      <c r="O3278" s="11">
        <f>M3278-N3278</f>
        <v/>
      </c>
    </row>
    <row r="3279">
      <c r="A3279" s="9" t="n">
        <v>45428.54166666666</v>
      </c>
      <c r="B3279" t="n">
        <v>5</v>
      </c>
      <c r="C3279" t="n">
        <v>16</v>
      </c>
      <c r="D3279" t="n">
        <v>13</v>
      </c>
      <c r="E3279" s="10" t="n">
        <v>0.288804</v>
      </c>
      <c r="F3279" s="10" t="n">
        <v>0.2367200728128175</v>
      </c>
      <c r="G3279" s="11">
        <f>E3279*Summary!$B$6</f>
        <v/>
      </c>
      <c r="H3279" s="11">
        <f>F3279*Summary!$B$7</f>
        <v/>
      </c>
      <c r="I3279" s="11">
        <f>MAX(0,N3279-M3279)</f>
        <v/>
      </c>
      <c r="J3279" s="11">
        <f>MAX(0,M3279-N3279)</f>
        <v/>
      </c>
      <c r="K3279" s="11">
        <f>O3279</f>
        <v/>
      </c>
      <c r="L3279" s="11">
        <f>L3278+IF(K3279&gt;0,K3279*Summary!$B$9,K3279/Summary!$B$9)</f>
        <v/>
      </c>
      <c r="M3279" s="11">
        <f>G3279+H3279</f>
        <v/>
      </c>
      <c r="N3279" s="11">
        <f>Summary!$C$16*Summary!$B$8</f>
        <v/>
      </c>
      <c r="O3279" s="11">
        <f>M3279-N3279</f>
        <v/>
      </c>
    </row>
    <row r="3280">
      <c r="A3280" s="9" t="n">
        <v>45428.58333333334</v>
      </c>
      <c r="B3280" t="n">
        <v>5</v>
      </c>
      <c r="C3280" t="n">
        <v>16</v>
      </c>
      <c r="D3280" t="n">
        <v>14</v>
      </c>
      <c r="E3280" s="10" t="n">
        <v>0.18377</v>
      </c>
      <c r="F3280" s="10" t="n">
        <v>0.236588312781195</v>
      </c>
      <c r="G3280" s="11">
        <f>E3280*Summary!$B$6</f>
        <v/>
      </c>
      <c r="H3280" s="11">
        <f>F3280*Summary!$B$7</f>
        <v/>
      </c>
      <c r="I3280" s="11">
        <f>MAX(0,N3280-M3280)</f>
        <v/>
      </c>
      <c r="J3280" s="11">
        <f>MAX(0,M3280-N3280)</f>
        <v/>
      </c>
      <c r="K3280" s="11">
        <f>O3280</f>
        <v/>
      </c>
      <c r="L3280" s="11">
        <f>L3279+IF(K3280&gt;0,K3280*Summary!$B$9,K3280/Summary!$B$9)</f>
        <v/>
      </c>
      <c r="M3280" s="11">
        <f>G3280+H3280</f>
        <v/>
      </c>
      <c r="N3280" s="11">
        <f>Summary!$C$16*Summary!$B$8</f>
        <v/>
      </c>
      <c r="O3280" s="11">
        <f>M3280-N3280</f>
        <v/>
      </c>
    </row>
    <row r="3281">
      <c r="A3281" s="9" t="n">
        <v>45428.625</v>
      </c>
      <c r="B3281" t="n">
        <v>5</v>
      </c>
      <c r="C3281" t="n">
        <v>16</v>
      </c>
      <c r="D3281" t="n">
        <v>15</v>
      </c>
      <c r="E3281" s="10" t="n">
        <v>0.1308</v>
      </c>
      <c r="F3281" s="10" t="n">
        <v>0.2424911621978789</v>
      </c>
      <c r="G3281" s="11">
        <f>E3281*Summary!$B$6</f>
        <v/>
      </c>
      <c r="H3281" s="11">
        <f>F3281*Summary!$B$7</f>
        <v/>
      </c>
      <c r="I3281" s="11">
        <f>MAX(0,N3281-M3281)</f>
        <v/>
      </c>
      <c r="J3281" s="11">
        <f>MAX(0,M3281-N3281)</f>
        <v/>
      </c>
      <c r="K3281" s="11">
        <f>O3281</f>
        <v/>
      </c>
      <c r="L3281" s="11">
        <f>L3280+IF(K3281&gt;0,K3281*Summary!$B$9,K3281/Summary!$B$9)</f>
        <v/>
      </c>
      <c r="M3281" s="11">
        <f>G3281+H3281</f>
        <v/>
      </c>
      <c r="N3281" s="11">
        <f>Summary!$C$16*Summary!$B$8</f>
        <v/>
      </c>
      <c r="O3281" s="11">
        <f>M3281-N3281</f>
        <v/>
      </c>
    </row>
    <row r="3282">
      <c r="A3282" s="9" t="n">
        <v>45428.66666666666</v>
      </c>
      <c r="B3282" t="n">
        <v>5</v>
      </c>
      <c r="C3282" t="n">
        <v>16</v>
      </c>
      <c r="D3282" t="n">
        <v>16</v>
      </c>
      <c r="E3282" s="10" t="n">
        <v>0.090138</v>
      </c>
      <c r="F3282" s="10" t="n">
        <v>0.2523995165758839</v>
      </c>
      <c r="G3282" s="11">
        <f>E3282*Summary!$B$6</f>
        <v/>
      </c>
      <c r="H3282" s="11">
        <f>F3282*Summary!$B$7</f>
        <v/>
      </c>
      <c r="I3282" s="11">
        <f>MAX(0,N3282-M3282)</f>
        <v/>
      </c>
      <c r="J3282" s="11">
        <f>MAX(0,M3282-N3282)</f>
        <v/>
      </c>
      <c r="K3282" s="11">
        <f>O3282</f>
        <v/>
      </c>
      <c r="L3282" s="11">
        <f>L3281+IF(K3282&gt;0,K3282*Summary!$B$9,K3282/Summary!$B$9)</f>
        <v/>
      </c>
      <c r="M3282" s="11">
        <f>G3282+H3282</f>
        <v/>
      </c>
      <c r="N3282" s="11">
        <f>Summary!$C$16*Summary!$B$8</f>
        <v/>
      </c>
      <c r="O3282" s="11">
        <f>M3282-N3282</f>
        <v/>
      </c>
    </row>
    <row r="3283">
      <c r="A3283" s="9" t="n">
        <v>45428.70833333334</v>
      </c>
      <c r="B3283" t="n">
        <v>5</v>
      </c>
      <c r="C3283" t="n">
        <v>16</v>
      </c>
      <c r="D3283" t="n">
        <v>17</v>
      </c>
      <c r="E3283" s="10" t="n">
        <v>0.094406</v>
      </c>
      <c r="F3283" s="10" t="n">
        <v>0.2446256747101619</v>
      </c>
      <c r="G3283" s="11">
        <f>E3283*Summary!$B$6</f>
        <v/>
      </c>
      <c r="H3283" s="11">
        <f>F3283*Summary!$B$7</f>
        <v/>
      </c>
      <c r="I3283" s="11">
        <f>MAX(0,N3283-M3283)</f>
        <v/>
      </c>
      <c r="J3283" s="11">
        <f>MAX(0,M3283-N3283)</f>
        <v/>
      </c>
      <c r="K3283" s="11">
        <f>O3283</f>
        <v/>
      </c>
      <c r="L3283" s="11">
        <f>L3282+IF(K3283&gt;0,K3283*Summary!$B$9,K3283/Summary!$B$9)</f>
        <v/>
      </c>
      <c r="M3283" s="11">
        <f>G3283+H3283</f>
        <v/>
      </c>
      <c r="N3283" s="11">
        <f>Summary!$C$16*Summary!$B$8</f>
        <v/>
      </c>
      <c r="O3283" s="11">
        <f>M3283-N3283</f>
        <v/>
      </c>
    </row>
    <row r="3284">
      <c r="A3284" s="9" t="n">
        <v>45428.75</v>
      </c>
      <c r="B3284" t="n">
        <v>5</v>
      </c>
      <c r="C3284" t="n">
        <v>16</v>
      </c>
      <c r="D3284" t="n">
        <v>18</v>
      </c>
      <c r="E3284" s="10" t="n">
        <v>0.0434</v>
      </c>
      <c r="F3284" s="10" t="n">
        <v>0.2445466186911885</v>
      </c>
      <c r="G3284" s="11">
        <f>E3284*Summary!$B$6</f>
        <v/>
      </c>
      <c r="H3284" s="11">
        <f>F3284*Summary!$B$7</f>
        <v/>
      </c>
      <c r="I3284" s="11">
        <f>MAX(0,N3284-M3284)</f>
        <v/>
      </c>
      <c r="J3284" s="11">
        <f>MAX(0,M3284-N3284)</f>
        <v/>
      </c>
      <c r="K3284" s="11">
        <f>O3284</f>
        <v/>
      </c>
      <c r="L3284" s="11">
        <f>L3283+IF(K3284&gt;0,K3284*Summary!$B$9,K3284/Summary!$B$9)</f>
        <v/>
      </c>
      <c r="M3284" s="11">
        <f>G3284+H3284</f>
        <v/>
      </c>
      <c r="N3284" s="11">
        <f>Summary!$C$16*Summary!$B$8</f>
        <v/>
      </c>
      <c r="O3284" s="11">
        <f>M3284-N3284</f>
        <v/>
      </c>
    </row>
    <row r="3285">
      <c r="A3285" s="9" t="n">
        <v>45428.79166666666</v>
      </c>
      <c r="B3285" t="n">
        <v>5</v>
      </c>
      <c r="C3285" t="n">
        <v>16</v>
      </c>
      <c r="D3285" t="n">
        <v>19</v>
      </c>
      <c r="E3285" s="10" t="n">
        <v>0.013348</v>
      </c>
      <c r="F3285" s="10" t="n">
        <v>0.260937566625016</v>
      </c>
      <c r="G3285" s="11">
        <f>E3285*Summary!$B$6</f>
        <v/>
      </c>
      <c r="H3285" s="11">
        <f>F3285*Summary!$B$7</f>
        <v/>
      </c>
      <c r="I3285" s="11">
        <f>MAX(0,N3285-M3285)</f>
        <v/>
      </c>
      <c r="J3285" s="11">
        <f>MAX(0,M3285-N3285)</f>
        <v/>
      </c>
      <c r="K3285" s="11">
        <f>O3285</f>
        <v/>
      </c>
      <c r="L3285" s="11">
        <f>L3284+IF(K3285&gt;0,K3285*Summary!$B$9,K3285/Summary!$B$9)</f>
        <v/>
      </c>
      <c r="M3285" s="11">
        <f>G3285+H3285</f>
        <v/>
      </c>
      <c r="N3285" s="11">
        <f>Summary!$C$16*Summary!$B$8</f>
        <v/>
      </c>
      <c r="O3285" s="11">
        <f>M3285-N3285</f>
        <v/>
      </c>
    </row>
    <row r="3286">
      <c r="A3286" s="9" t="n">
        <v>45428.83333333334</v>
      </c>
      <c r="B3286" t="n">
        <v>5</v>
      </c>
      <c r="C3286" t="n">
        <v>16</v>
      </c>
      <c r="D3286" t="n">
        <v>20</v>
      </c>
      <c r="E3286" s="10" t="n">
        <v>0</v>
      </c>
      <c r="F3286" s="10" t="n">
        <v>0.2829151398996336</v>
      </c>
      <c r="G3286" s="11">
        <f>E3286*Summary!$B$6</f>
        <v/>
      </c>
      <c r="H3286" s="11">
        <f>F3286*Summary!$B$7</f>
        <v/>
      </c>
      <c r="I3286" s="11">
        <f>MAX(0,N3286-M3286)</f>
        <v/>
      </c>
      <c r="J3286" s="11">
        <f>MAX(0,M3286-N3286)</f>
        <v/>
      </c>
      <c r="K3286" s="11">
        <f>O3286</f>
        <v/>
      </c>
      <c r="L3286" s="11">
        <f>L3285+IF(K3286&gt;0,K3286*Summary!$B$9,K3286/Summary!$B$9)</f>
        <v/>
      </c>
      <c r="M3286" s="11">
        <f>G3286+H3286</f>
        <v/>
      </c>
      <c r="N3286" s="11">
        <f>Summary!$C$16*Summary!$B$8</f>
        <v/>
      </c>
      <c r="O3286" s="11">
        <f>M3286-N3286</f>
        <v/>
      </c>
    </row>
    <row r="3287">
      <c r="A3287" s="9" t="n">
        <v>45428.875</v>
      </c>
      <c r="B3287" t="n">
        <v>5</v>
      </c>
      <c r="C3287" t="n">
        <v>16</v>
      </c>
      <c r="D3287" t="n">
        <v>21</v>
      </c>
      <c r="E3287" s="10" t="n">
        <v>0</v>
      </c>
      <c r="F3287" s="10" t="n">
        <v>0.2969607592705822</v>
      </c>
      <c r="G3287" s="11">
        <f>E3287*Summary!$B$6</f>
        <v/>
      </c>
      <c r="H3287" s="11">
        <f>F3287*Summary!$B$7</f>
        <v/>
      </c>
      <c r="I3287" s="11">
        <f>MAX(0,N3287-M3287)</f>
        <v/>
      </c>
      <c r="J3287" s="11">
        <f>MAX(0,M3287-N3287)</f>
        <v/>
      </c>
      <c r="K3287" s="11">
        <f>O3287</f>
        <v/>
      </c>
      <c r="L3287" s="11">
        <f>L3286+IF(K3287&gt;0,K3287*Summary!$B$9,K3287/Summary!$B$9)</f>
        <v/>
      </c>
      <c r="M3287" s="11">
        <f>G3287+H3287</f>
        <v/>
      </c>
      <c r="N3287" s="11">
        <f>Summary!$C$16*Summary!$B$8</f>
        <v/>
      </c>
      <c r="O3287" s="11">
        <f>M3287-N3287</f>
        <v/>
      </c>
    </row>
    <row r="3288">
      <c r="A3288" s="9" t="n">
        <v>45428.91666666666</v>
      </c>
      <c r="B3288" t="n">
        <v>5</v>
      </c>
      <c r="C3288" t="n">
        <v>16</v>
      </c>
      <c r="D3288" t="n">
        <v>22</v>
      </c>
      <c r="E3288" s="10" t="n">
        <v>0</v>
      </c>
      <c r="F3288" s="10" t="n">
        <v>0.3099522983885516</v>
      </c>
      <c r="G3288" s="11">
        <f>E3288*Summary!$B$6</f>
        <v/>
      </c>
      <c r="H3288" s="11">
        <f>F3288*Summary!$B$7</f>
        <v/>
      </c>
      <c r="I3288" s="11">
        <f>MAX(0,N3288-M3288)</f>
        <v/>
      </c>
      <c r="J3288" s="11">
        <f>MAX(0,M3288-N3288)</f>
        <v/>
      </c>
      <c r="K3288" s="11">
        <f>O3288</f>
        <v/>
      </c>
      <c r="L3288" s="11">
        <f>L3287+IF(K3288&gt;0,K3288*Summary!$B$9,K3288/Summary!$B$9)</f>
        <v/>
      </c>
      <c r="M3288" s="11">
        <f>G3288+H3288</f>
        <v/>
      </c>
      <c r="N3288" s="11">
        <f>Summary!$C$16*Summary!$B$8</f>
        <v/>
      </c>
      <c r="O3288" s="11">
        <f>M3288-N3288</f>
        <v/>
      </c>
    </row>
    <row r="3289">
      <c r="A3289" s="9" t="n">
        <v>45428.95833333334</v>
      </c>
      <c r="B3289" t="n">
        <v>5</v>
      </c>
      <c r="C3289" t="n">
        <v>16</v>
      </c>
      <c r="D3289" t="n">
        <v>23</v>
      </c>
      <c r="E3289" s="10" t="n">
        <v>0</v>
      </c>
      <c r="F3289" s="10" t="n">
        <v>0.3231283015507923</v>
      </c>
      <c r="G3289" s="11">
        <f>E3289*Summary!$B$6</f>
        <v/>
      </c>
      <c r="H3289" s="11">
        <f>F3289*Summary!$B$7</f>
        <v/>
      </c>
      <c r="I3289" s="11">
        <f>MAX(0,N3289-M3289)</f>
        <v/>
      </c>
      <c r="J3289" s="11">
        <f>MAX(0,M3289-N3289)</f>
        <v/>
      </c>
      <c r="K3289" s="11">
        <f>O3289</f>
        <v/>
      </c>
      <c r="L3289" s="11">
        <f>L3288+IF(K3289&gt;0,K3289*Summary!$B$9,K3289/Summary!$B$9)</f>
        <v/>
      </c>
      <c r="M3289" s="11">
        <f>G3289+H3289</f>
        <v/>
      </c>
      <c r="N3289" s="11">
        <f>Summary!$C$16*Summary!$B$8</f>
        <v/>
      </c>
      <c r="O3289" s="11">
        <f>M3289-N3289</f>
        <v/>
      </c>
    </row>
    <row r="3290">
      <c r="A3290" s="9" t="n">
        <v>45429</v>
      </c>
      <c r="B3290" t="n">
        <v>5</v>
      </c>
      <c r="C3290" t="n">
        <v>17</v>
      </c>
      <c r="D3290" t="n">
        <v>0</v>
      </c>
      <c r="E3290" s="10" t="n">
        <v>0</v>
      </c>
      <c r="F3290" s="10" t="n">
        <v>0.30647383355372</v>
      </c>
      <c r="G3290" s="11">
        <f>E3290*Summary!$B$6</f>
        <v/>
      </c>
      <c r="H3290" s="11">
        <f>F3290*Summary!$B$7</f>
        <v/>
      </c>
      <c r="I3290" s="11">
        <f>MAX(0,N3290-M3290)</f>
        <v/>
      </c>
      <c r="J3290" s="11">
        <f>MAX(0,M3290-N3290)</f>
        <v/>
      </c>
      <c r="K3290" s="11">
        <f>O3290</f>
        <v/>
      </c>
      <c r="L3290" s="11">
        <f>L3289+IF(K3290&gt;0,K3290*Summary!$B$9,K3290/Summary!$B$9)</f>
        <v/>
      </c>
      <c r="M3290" s="11">
        <f>G3290+H3290</f>
        <v/>
      </c>
      <c r="N3290" s="11">
        <f>Summary!$C$16*Summary!$B$8</f>
        <v/>
      </c>
      <c r="O3290" s="11">
        <f>M3290-N3290</f>
        <v/>
      </c>
    </row>
    <row r="3291">
      <c r="A3291" s="9" t="n">
        <v>45429.04166666666</v>
      </c>
      <c r="B3291" t="n">
        <v>5</v>
      </c>
      <c r="C3291" t="n">
        <v>17</v>
      </c>
      <c r="D3291" t="n">
        <v>1</v>
      </c>
      <c r="E3291" s="10" t="n">
        <v>0</v>
      </c>
      <c r="F3291" s="10" t="n">
        <v>0.3425760822182597</v>
      </c>
      <c r="G3291" s="11">
        <f>E3291*Summary!$B$6</f>
        <v/>
      </c>
      <c r="H3291" s="11">
        <f>F3291*Summary!$B$7</f>
        <v/>
      </c>
      <c r="I3291" s="11">
        <f>MAX(0,N3291-M3291)</f>
        <v/>
      </c>
      <c r="J3291" s="11">
        <f>MAX(0,M3291-N3291)</f>
        <v/>
      </c>
      <c r="K3291" s="11">
        <f>O3291</f>
        <v/>
      </c>
      <c r="L3291" s="11">
        <f>L3290+IF(K3291&gt;0,K3291*Summary!$B$9,K3291/Summary!$B$9)</f>
        <v/>
      </c>
      <c r="M3291" s="11">
        <f>G3291+H3291</f>
        <v/>
      </c>
      <c r="N3291" s="11">
        <f>Summary!$C$16*Summary!$B$8</f>
        <v/>
      </c>
      <c r="O3291" s="11">
        <f>M3291-N3291</f>
        <v/>
      </c>
    </row>
    <row r="3292">
      <c r="A3292" s="9" t="n">
        <v>45429.08333333334</v>
      </c>
      <c r="B3292" t="n">
        <v>5</v>
      </c>
      <c r="C3292" t="n">
        <v>17</v>
      </c>
      <c r="D3292" t="n">
        <v>2</v>
      </c>
      <c r="E3292" s="10" t="n">
        <v>0</v>
      </c>
      <c r="F3292" s="10" t="n">
        <v>0.3541182609883826</v>
      </c>
      <c r="G3292" s="11">
        <f>E3292*Summary!$B$6</f>
        <v/>
      </c>
      <c r="H3292" s="11">
        <f>F3292*Summary!$B$7</f>
        <v/>
      </c>
      <c r="I3292" s="11">
        <f>MAX(0,N3292-M3292)</f>
        <v/>
      </c>
      <c r="J3292" s="11">
        <f>MAX(0,M3292-N3292)</f>
        <v/>
      </c>
      <c r="K3292" s="11">
        <f>O3292</f>
        <v/>
      </c>
      <c r="L3292" s="11">
        <f>L3291+IF(K3292&gt;0,K3292*Summary!$B$9,K3292/Summary!$B$9)</f>
        <v/>
      </c>
      <c r="M3292" s="11">
        <f>G3292+H3292</f>
        <v/>
      </c>
      <c r="N3292" s="11">
        <f>Summary!$C$16*Summary!$B$8</f>
        <v/>
      </c>
      <c r="O3292" s="11">
        <f>M3292-N3292</f>
        <v/>
      </c>
    </row>
    <row r="3293">
      <c r="A3293" s="9" t="n">
        <v>45429.125</v>
      </c>
      <c r="B3293" t="n">
        <v>5</v>
      </c>
      <c r="C3293" t="n">
        <v>17</v>
      </c>
      <c r="D3293" t="n">
        <v>3</v>
      </c>
      <c r="E3293" s="10" t="n">
        <v>0</v>
      </c>
      <c r="F3293" s="10" t="n">
        <v>0.3682429363783047</v>
      </c>
      <c r="G3293" s="11">
        <f>E3293*Summary!$B$6</f>
        <v/>
      </c>
      <c r="H3293" s="11">
        <f>F3293*Summary!$B$7</f>
        <v/>
      </c>
      <c r="I3293" s="11">
        <f>MAX(0,N3293-M3293)</f>
        <v/>
      </c>
      <c r="J3293" s="11">
        <f>MAX(0,M3293-N3293)</f>
        <v/>
      </c>
      <c r="K3293" s="11">
        <f>O3293</f>
        <v/>
      </c>
      <c r="L3293" s="11">
        <f>L3292+IF(K3293&gt;0,K3293*Summary!$B$9,K3293/Summary!$B$9)</f>
        <v/>
      </c>
      <c r="M3293" s="11">
        <f>G3293+H3293</f>
        <v/>
      </c>
      <c r="N3293" s="11">
        <f>Summary!$C$16*Summary!$B$8</f>
        <v/>
      </c>
      <c r="O3293" s="11">
        <f>M3293-N3293</f>
        <v/>
      </c>
    </row>
    <row r="3294">
      <c r="A3294" s="9" t="n">
        <v>45429.16666666666</v>
      </c>
      <c r="B3294" t="n">
        <v>5</v>
      </c>
      <c r="C3294" t="n">
        <v>17</v>
      </c>
      <c r="D3294" t="n">
        <v>4</v>
      </c>
      <c r="E3294" s="10" t="n">
        <v>0</v>
      </c>
      <c r="F3294" s="10" t="n">
        <v>0.3787837389080974</v>
      </c>
      <c r="G3294" s="11">
        <f>E3294*Summary!$B$6</f>
        <v/>
      </c>
      <c r="H3294" s="11">
        <f>F3294*Summary!$B$7</f>
        <v/>
      </c>
      <c r="I3294" s="11">
        <f>MAX(0,N3294-M3294)</f>
        <v/>
      </c>
      <c r="J3294" s="11">
        <f>MAX(0,M3294-N3294)</f>
        <v/>
      </c>
      <c r="K3294" s="11">
        <f>O3294</f>
        <v/>
      </c>
      <c r="L3294" s="11">
        <f>L3293+IF(K3294&gt;0,K3294*Summary!$B$9,K3294/Summary!$B$9)</f>
        <v/>
      </c>
      <c r="M3294" s="11">
        <f>G3294+H3294</f>
        <v/>
      </c>
      <c r="N3294" s="11">
        <f>Summary!$C$16*Summary!$B$8</f>
        <v/>
      </c>
      <c r="O3294" s="11">
        <f>M3294-N3294</f>
        <v/>
      </c>
    </row>
    <row r="3295">
      <c r="A3295" s="9" t="n">
        <v>45429.20833333334</v>
      </c>
      <c r="B3295" t="n">
        <v>5</v>
      </c>
      <c r="C3295" t="n">
        <v>17</v>
      </c>
      <c r="D3295" t="n">
        <v>5</v>
      </c>
      <c r="E3295" s="10" t="n">
        <v>0</v>
      </c>
      <c r="F3295" s="10" t="n">
        <v>0.3613387107212905</v>
      </c>
      <c r="G3295" s="11">
        <f>E3295*Summary!$B$6</f>
        <v/>
      </c>
      <c r="H3295" s="11">
        <f>F3295*Summary!$B$7</f>
        <v/>
      </c>
      <c r="I3295" s="11">
        <f>MAX(0,N3295-M3295)</f>
        <v/>
      </c>
      <c r="J3295" s="11">
        <f>MAX(0,M3295-N3295)</f>
        <v/>
      </c>
      <c r="K3295" s="11">
        <f>O3295</f>
        <v/>
      </c>
      <c r="L3295" s="11">
        <f>L3294+IF(K3295&gt;0,K3295*Summary!$B$9,K3295/Summary!$B$9)</f>
        <v/>
      </c>
      <c r="M3295" s="11">
        <f>G3295+H3295</f>
        <v/>
      </c>
      <c r="N3295" s="11">
        <f>Summary!$C$16*Summary!$B$8</f>
        <v/>
      </c>
      <c r="O3295" s="11">
        <f>M3295-N3295</f>
        <v/>
      </c>
    </row>
    <row r="3296">
      <c r="A3296" s="9" t="n">
        <v>45429.25</v>
      </c>
      <c r="B3296" t="n">
        <v>5</v>
      </c>
      <c r="C3296" t="n">
        <v>17</v>
      </c>
      <c r="D3296" t="n">
        <v>6</v>
      </c>
      <c r="E3296" s="10" t="n">
        <v>0.005491</v>
      </c>
      <c r="F3296" s="10" t="n">
        <v>0.3413111859146846</v>
      </c>
      <c r="G3296" s="11">
        <f>E3296*Summary!$B$6</f>
        <v/>
      </c>
      <c r="H3296" s="11">
        <f>F3296*Summary!$B$7</f>
        <v/>
      </c>
      <c r="I3296" s="11">
        <f>MAX(0,N3296-M3296)</f>
        <v/>
      </c>
      <c r="J3296" s="11">
        <f>MAX(0,M3296-N3296)</f>
        <v/>
      </c>
      <c r="K3296" s="11">
        <f>O3296</f>
        <v/>
      </c>
      <c r="L3296" s="11">
        <f>L3295+IF(K3296&gt;0,K3296*Summary!$B$9,K3296/Summary!$B$9)</f>
        <v/>
      </c>
      <c r="M3296" s="11">
        <f>G3296+H3296</f>
        <v/>
      </c>
      <c r="N3296" s="11">
        <f>Summary!$C$16*Summary!$B$8</f>
        <v/>
      </c>
      <c r="O3296" s="11">
        <f>M3296-N3296</f>
        <v/>
      </c>
    </row>
    <row r="3297">
      <c r="A3297" s="9" t="n">
        <v>45429.29166666666</v>
      </c>
      <c r="B3297" t="n">
        <v>5</v>
      </c>
      <c r="C3297" t="n">
        <v>17</v>
      </c>
      <c r="D3297" t="n">
        <v>7</v>
      </c>
      <c r="E3297" s="10" t="n">
        <v>0.050014</v>
      </c>
      <c r="F3297" s="10" t="n">
        <v>0.3176734362416247</v>
      </c>
      <c r="G3297" s="11">
        <f>E3297*Summary!$B$6</f>
        <v/>
      </c>
      <c r="H3297" s="11">
        <f>F3297*Summary!$B$7</f>
        <v/>
      </c>
      <c r="I3297" s="11">
        <f>MAX(0,N3297-M3297)</f>
        <v/>
      </c>
      <c r="J3297" s="11">
        <f>MAX(0,M3297-N3297)</f>
        <v/>
      </c>
      <c r="K3297" s="11">
        <f>O3297</f>
        <v/>
      </c>
      <c r="L3297" s="11">
        <f>L3296+IF(K3297&gt;0,K3297*Summary!$B$9,K3297/Summary!$B$9)</f>
        <v/>
      </c>
      <c r="M3297" s="11">
        <f>G3297+H3297</f>
        <v/>
      </c>
      <c r="N3297" s="11">
        <f>Summary!$C$16*Summary!$B$8</f>
        <v/>
      </c>
      <c r="O3297" s="11">
        <f>M3297-N3297</f>
        <v/>
      </c>
    </row>
    <row r="3298">
      <c r="A3298" s="9" t="n">
        <v>45429.33333333334</v>
      </c>
      <c r="B3298" t="n">
        <v>5</v>
      </c>
      <c r="C3298" t="n">
        <v>17</v>
      </c>
      <c r="D3298" t="n">
        <v>8</v>
      </c>
      <c r="E3298" s="10" t="n">
        <v>0.11667</v>
      </c>
      <c r="F3298" s="10" t="n">
        <v>0.3085029380407051</v>
      </c>
      <c r="G3298" s="11">
        <f>E3298*Summary!$B$6</f>
        <v/>
      </c>
      <c r="H3298" s="11">
        <f>F3298*Summary!$B$7</f>
        <v/>
      </c>
      <c r="I3298" s="11">
        <f>MAX(0,N3298-M3298)</f>
        <v/>
      </c>
      <c r="J3298" s="11">
        <f>MAX(0,M3298-N3298)</f>
        <v/>
      </c>
      <c r="K3298" s="11">
        <f>O3298</f>
        <v/>
      </c>
      <c r="L3298" s="11">
        <f>L3297+IF(K3298&gt;0,K3298*Summary!$B$9,K3298/Summary!$B$9)</f>
        <v/>
      </c>
      <c r="M3298" s="11">
        <f>G3298+H3298</f>
        <v/>
      </c>
      <c r="N3298" s="11">
        <f>Summary!$C$16*Summary!$B$8</f>
        <v/>
      </c>
      <c r="O3298" s="11">
        <f>M3298-N3298</f>
        <v/>
      </c>
    </row>
    <row r="3299">
      <c r="A3299" s="9" t="n">
        <v>45429.375</v>
      </c>
      <c r="B3299" t="n">
        <v>5</v>
      </c>
      <c r="C3299" t="n">
        <v>17</v>
      </c>
      <c r="D3299" t="n">
        <v>9</v>
      </c>
      <c r="E3299" s="10" t="n">
        <v>0.217389</v>
      </c>
      <c r="F3299" s="10" t="n">
        <v>0.3111381386731533</v>
      </c>
      <c r="G3299" s="11">
        <f>E3299*Summary!$B$6</f>
        <v/>
      </c>
      <c r="H3299" s="11">
        <f>F3299*Summary!$B$7</f>
        <v/>
      </c>
      <c r="I3299" s="11">
        <f>MAX(0,N3299-M3299)</f>
        <v/>
      </c>
      <c r="J3299" s="11">
        <f>MAX(0,M3299-N3299)</f>
        <v/>
      </c>
      <c r="K3299" s="11">
        <f>O3299</f>
        <v/>
      </c>
      <c r="L3299" s="11">
        <f>L3298+IF(K3299&gt;0,K3299*Summary!$B$9,K3299/Summary!$B$9)</f>
        <v/>
      </c>
      <c r="M3299" s="11">
        <f>G3299+H3299</f>
        <v/>
      </c>
      <c r="N3299" s="11">
        <f>Summary!$C$16*Summary!$B$8</f>
        <v/>
      </c>
      <c r="O3299" s="11">
        <f>M3299-N3299</f>
        <v/>
      </c>
    </row>
    <row r="3300">
      <c r="A3300" s="9" t="n">
        <v>45429.41666666666</v>
      </c>
      <c r="B3300" t="n">
        <v>5</v>
      </c>
      <c r="C3300" t="n">
        <v>17</v>
      </c>
      <c r="D3300" t="n">
        <v>10</v>
      </c>
      <c r="E3300" s="10" t="n">
        <v>0.240985</v>
      </c>
      <c r="F3300" s="10" t="n">
        <v>0.3009662642319034</v>
      </c>
      <c r="G3300" s="11">
        <f>E3300*Summary!$B$6</f>
        <v/>
      </c>
      <c r="H3300" s="11">
        <f>F3300*Summary!$B$7</f>
        <v/>
      </c>
      <c r="I3300" s="11">
        <f>MAX(0,N3300-M3300)</f>
        <v/>
      </c>
      <c r="J3300" s="11">
        <f>MAX(0,M3300-N3300)</f>
        <v/>
      </c>
      <c r="K3300" s="11">
        <f>O3300</f>
        <v/>
      </c>
      <c r="L3300" s="11">
        <f>L3299+IF(K3300&gt;0,K3300*Summary!$B$9,K3300/Summary!$B$9)</f>
        <v/>
      </c>
      <c r="M3300" s="11">
        <f>G3300+H3300</f>
        <v/>
      </c>
      <c r="N3300" s="11">
        <f>Summary!$C$16*Summary!$B$8</f>
        <v/>
      </c>
      <c r="O3300" s="11">
        <f>M3300-N3300</f>
        <v/>
      </c>
    </row>
    <row r="3301">
      <c r="A3301" s="9" t="n">
        <v>45429.45833333334</v>
      </c>
      <c r="B3301" t="n">
        <v>5</v>
      </c>
      <c r="C3301" t="n">
        <v>17</v>
      </c>
      <c r="D3301" t="n">
        <v>11</v>
      </c>
      <c r="E3301" s="10" t="n">
        <v>0.207134</v>
      </c>
      <c r="F3301" s="10" t="n">
        <v>0.2969344072642577</v>
      </c>
      <c r="G3301" s="11">
        <f>E3301*Summary!$B$6</f>
        <v/>
      </c>
      <c r="H3301" s="11">
        <f>F3301*Summary!$B$7</f>
        <v/>
      </c>
      <c r="I3301" s="11">
        <f>MAX(0,N3301-M3301)</f>
        <v/>
      </c>
      <c r="J3301" s="11">
        <f>MAX(0,M3301-N3301)</f>
        <v/>
      </c>
      <c r="K3301" s="11">
        <f>O3301</f>
        <v/>
      </c>
      <c r="L3301" s="11">
        <f>L3300+IF(K3301&gt;0,K3301*Summary!$B$9,K3301/Summary!$B$9)</f>
        <v/>
      </c>
      <c r="M3301" s="11">
        <f>G3301+H3301</f>
        <v/>
      </c>
      <c r="N3301" s="11">
        <f>Summary!$C$16*Summary!$B$8</f>
        <v/>
      </c>
      <c r="O3301" s="11">
        <f>M3301-N3301</f>
        <v/>
      </c>
    </row>
    <row r="3302">
      <c r="A3302" s="9" t="n">
        <v>45429.5</v>
      </c>
      <c r="B3302" t="n">
        <v>5</v>
      </c>
      <c r="C3302" t="n">
        <v>17</v>
      </c>
      <c r="D3302" t="n">
        <v>12</v>
      </c>
      <c r="E3302" s="10" t="n">
        <v>0.210684</v>
      </c>
      <c r="F3302" s="10" t="n">
        <v>0.3126138510273243</v>
      </c>
      <c r="G3302" s="11">
        <f>E3302*Summary!$B$6</f>
        <v/>
      </c>
      <c r="H3302" s="11">
        <f>F3302*Summary!$B$7</f>
        <v/>
      </c>
      <c r="I3302" s="11">
        <f>MAX(0,N3302-M3302)</f>
        <v/>
      </c>
      <c r="J3302" s="11">
        <f>MAX(0,M3302-N3302)</f>
        <v/>
      </c>
      <c r="K3302" s="11">
        <f>O3302</f>
        <v/>
      </c>
      <c r="L3302" s="11">
        <f>L3301+IF(K3302&gt;0,K3302*Summary!$B$9,K3302/Summary!$B$9)</f>
        <v/>
      </c>
      <c r="M3302" s="11">
        <f>G3302+H3302</f>
        <v/>
      </c>
      <c r="N3302" s="11">
        <f>Summary!$C$16*Summary!$B$8</f>
        <v/>
      </c>
      <c r="O3302" s="11">
        <f>M3302-N3302</f>
        <v/>
      </c>
    </row>
    <row r="3303">
      <c r="A3303" s="9" t="n">
        <v>45429.54166666666</v>
      </c>
      <c r="B3303" t="n">
        <v>5</v>
      </c>
      <c r="C3303" t="n">
        <v>17</v>
      </c>
      <c r="D3303" t="n">
        <v>13</v>
      </c>
      <c r="E3303" s="10" t="n">
        <v>0.225661</v>
      </c>
      <c r="F3303" s="10" t="n">
        <v>0.2875003890000933</v>
      </c>
      <c r="G3303" s="11">
        <f>E3303*Summary!$B$6</f>
        <v/>
      </c>
      <c r="H3303" s="11">
        <f>F3303*Summary!$B$7</f>
        <v/>
      </c>
      <c r="I3303" s="11">
        <f>MAX(0,N3303-M3303)</f>
        <v/>
      </c>
      <c r="J3303" s="11">
        <f>MAX(0,M3303-N3303)</f>
        <v/>
      </c>
      <c r="K3303" s="11">
        <f>O3303</f>
        <v/>
      </c>
      <c r="L3303" s="11">
        <f>L3302+IF(K3303&gt;0,K3303*Summary!$B$9,K3303/Summary!$B$9)</f>
        <v/>
      </c>
      <c r="M3303" s="11">
        <f>G3303+H3303</f>
        <v/>
      </c>
      <c r="N3303" s="11">
        <f>Summary!$C$16*Summary!$B$8</f>
        <v/>
      </c>
      <c r="O3303" s="11">
        <f>M3303-N3303</f>
        <v/>
      </c>
    </row>
    <row r="3304">
      <c r="A3304" s="9" t="n">
        <v>45429.58333333334</v>
      </c>
      <c r="B3304" t="n">
        <v>5</v>
      </c>
      <c r="C3304" t="n">
        <v>17</v>
      </c>
      <c r="D3304" t="n">
        <v>14</v>
      </c>
      <c r="E3304" s="10" t="n">
        <v>0.194141</v>
      </c>
      <c r="F3304" s="10" t="n">
        <v>0.2742716818252037</v>
      </c>
      <c r="G3304" s="11">
        <f>E3304*Summary!$B$6</f>
        <v/>
      </c>
      <c r="H3304" s="11">
        <f>F3304*Summary!$B$7</f>
        <v/>
      </c>
      <c r="I3304" s="11">
        <f>MAX(0,N3304-M3304)</f>
        <v/>
      </c>
      <c r="J3304" s="11">
        <f>MAX(0,M3304-N3304)</f>
        <v/>
      </c>
      <c r="K3304" s="11">
        <f>O3304</f>
        <v/>
      </c>
      <c r="L3304" s="11">
        <f>L3303+IF(K3304&gt;0,K3304*Summary!$B$9,K3304/Summary!$B$9)</f>
        <v/>
      </c>
      <c r="M3304" s="11">
        <f>G3304+H3304</f>
        <v/>
      </c>
      <c r="N3304" s="11">
        <f>Summary!$C$16*Summary!$B$8</f>
        <v/>
      </c>
      <c r="O3304" s="11">
        <f>M3304-N3304</f>
        <v/>
      </c>
    </row>
    <row r="3305">
      <c r="A3305" s="9" t="n">
        <v>45429.625</v>
      </c>
      <c r="B3305" t="n">
        <v>5</v>
      </c>
      <c r="C3305" t="n">
        <v>17</v>
      </c>
      <c r="D3305" t="n">
        <v>15</v>
      </c>
      <c r="E3305" s="10" t="n">
        <v>0.152076</v>
      </c>
      <c r="F3305" s="10" t="n">
        <v>0.2718209452370269</v>
      </c>
      <c r="G3305" s="11">
        <f>E3305*Summary!$B$6</f>
        <v/>
      </c>
      <c r="H3305" s="11">
        <f>F3305*Summary!$B$7</f>
        <v/>
      </c>
      <c r="I3305" s="11">
        <f>MAX(0,N3305-M3305)</f>
        <v/>
      </c>
      <c r="J3305" s="11">
        <f>MAX(0,M3305-N3305)</f>
        <v/>
      </c>
      <c r="K3305" s="11">
        <f>O3305</f>
        <v/>
      </c>
      <c r="L3305" s="11">
        <f>L3304+IF(K3305&gt;0,K3305*Summary!$B$9,K3305/Summary!$B$9)</f>
        <v/>
      </c>
      <c r="M3305" s="11">
        <f>G3305+H3305</f>
        <v/>
      </c>
      <c r="N3305" s="11">
        <f>Summary!$C$16*Summary!$B$8</f>
        <v/>
      </c>
      <c r="O3305" s="11">
        <f>M3305-N3305</f>
        <v/>
      </c>
    </row>
    <row r="3306">
      <c r="A3306" s="9" t="n">
        <v>45429.66666666666</v>
      </c>
      <c r="B3306" t="n">
        <v>5</v>
      </c>
      <c r="C3306" t="n">
        <v>17</v>
      </c>
      <c r="D3306" t="n">
        <v>16</v>
      </c>
      <c r="E3306" s="10" t="n">
        <v>0.101972</v>
      </c>
      <c r="F3306" s="10" t="n">
        <v>0.2675519202124608</v>
      </c>
      <c r="G3306" s="11">
        <f>E3306*Summary!$B$6</f>
        <v/>
      </c>
      <c r="H3306" s="11">
        <f>F3306*Summary!$B$7</f>
        <v/>
      </c>
      <c r="I3306" s="11">
        <f>MAX(0,N3306-M3306)</f>
        <v/>
      </c>
      <c r="J3306" s="11">
        <f>MAX(0,M3306-N3306)</f>
        <v/>
      </c>
      <c r="K3306" s="11">
        <f>O3306</f>
        <v/>
      </c>
      <c r="L3306" s="11">
        <f>L3305+IF(K3306&gt;0,K3306*Summary!$B$9,K3306/Summary!$B$9)</f>
        <v/>
      </c>
      <c r="M3306" s="11">
        <f>G3306+H3306</f>
        <v/>
      </c>
      <c r="N3306" s="11">
        <f>Summary!$C$16*Summary!$B$8</f>
        <v/>
      </c>
      <c r="O3306" s="11">
        <f>M3306-N3306</f>
        <v/>
      </c>
    </row>
    <row r="3307">
      <c r="A3307" s="9" t="n">
        <v>45429.70833333334</v>
      </c>
      <c r="B3307" t="n">
        <v>5</v>
      </c>
      <c r="C3307" t="n">
        <v>17</v>
      </c>
      <c r="D3307" t="n">
        <v>17</v>
      </c>
      <c r="E3307" s="10" t="n">
        <v>0.092004</v>
      </c>
      <c r="F3307" s="10" t="n">
        <v>0.2603314704795529</v>
      </c>
      <c r="G3307" s="11">
        <f>E3307*Summary!$B$6</f>
        <v/>
      </c>
      <c r="H3307" s="11">
        <f>F3307*Summary!$B$7</f>
        <v/>
      </c>
      <c r="I3307" s="11">
        <f>MAX(0,N3307-M3307)</f>
        <v/>
      </c>
      <c r="J3307" s="11">
        <f>MAX(0,M3307-N3307)</f>
        <v/>
      </c>
      <c r="K3307" s="11">
        <f>O3307</f>
        <v/>
      </c>
      <c r="L3307" s="11">
        <f>L3306+IF(K3307&gt;0,K3307*Summary!$B$9,K3307/Summary!$B$9)</f>
        <v/>
      </c>
      <c r="M3307" s="11">
        <f>G3307+H3307</f>
        <v/>
      </c>
      <c r="N3307" s="11">
        <f>Summary!$C$16*Summary!$B$8</f>
        <v/>
      </c>
      <c r="O3307" s="11">
        <f>M3307-N3307</f>
        <v/>
      </c>
    </row>
    <row r="3308">
      <c r="A3308" s="9" t="n">
        <v>45429.75</v>
      </c>
      <c r="B3308" t="n">
        <v>5</v>
      </c>
      <c r="C3308" t="n">
        <v>17</v>
      </c>
      <c r="D3308" t="n">
        <v>18</v>
      </c>
      <c r="E3308" s="10" t="n">
        <v>0.067319</v>
      </c>
      <c r="F3308" s="10" t="n">
        <v>0.2414897859575486</v>
      </c>
      <c r="G3308" s="11">
        <f>E3308*Summary!$B$6</f>
        <v/>
      </c>
      <c r="H3308" s="11">
        <f>F3308*Summary!$B$7</f>
        <v/>
      </c>
      <c r="I3308" s="11">
        <f>MAX(0,N3308-M3308)</f>
        <v/>
      </c>
      <c r="J3308" s="11">
        <f>MAX(0,M3308-N3308)</f>
        <v/>
      </c>
      <c r="K3308" s="11">
        <f>O3308</f>
        <v/>
      </c>
      <c r="L3308" s="11">
        <f>L3307+IF(K3308&gt;0,K3308*Summary!$B$9,K3308/Summary!$B$9)</f>
        <v/>
      </c>
      <c r="M3308" s="11">
        <f>G3308+H3308</f>
        <v/>
      </c>
      <c r="N3308" s="11">
        <f>Summary!$C$16*Summary!$B$8</f>
        <v/>
      </c>
      <c r="O3308" s="11">
        <f>M3308-N3308</f>
        <v/>
      </c>
    </row>
    <row r="3309">
      <c r="A3309" s="9" t="n">
        <v>45429.79166666666</v>
      </c>
      <c r="B3309" t="n">
        <v>5</v>
      </c>
      <c r="C3309" t="n">
        <v>17</v>
      </c>
      <c r="D3309" t="n">
        <v>19</v>
      </c>
      <c r="E3309" s="10" t="n">
        <v>0.023226</v>
      </c>
      <c r="F3309" s="10" t="n">
        <v>0.2367727768254664</v>
      </c>
      <c r="G3309" s="11">
        <f>E3309*Summary!$B$6</f>
        <v/>
      </c>
      <c r="H3309" s="11">
        <f>F3309*Summary!$B$7</f>
        <v/>
      </c>
      <c r="I3309" s="11">
        <f>MAX(0,N3309-M3309)</f>
        <v/>
      </c>
      <c r="J3309" s="11">
        <f>MAX(0,M3309-N3309)</f>
        <v/>
      </c>
      <c r="K3309" s="11">
        <f>O3309</f>
        <v/>
      </c>
      <c r="L3309" s="11">
        <f>L3308+IF(K3309&gt;0,K3309*Summary!$B$9,K3309/Summary!$B$9)</f>
        <v/>
      </c>
      <c r="M3309" s="11">
        <f>G3309+H3309</f>
        <v/>
      </c>
      <c r="N3309" s="11">
        <f>Summary!$C$16*Summary!$B$8</f>
        <v/>
      </c>
      <c r="O3309" s="11">
        <f>M3309-N3309</f>
        <v/>
      </c>
    </row>
    <row r="3310">
      <c r="A3310" s="9" t="n">
        <v>45429.83333333334</v>
      </c>
      <c r="B3310" t="n">
        <v>5</v>
      </c>
      <c r="C3310" t="n">
        <v>17</v>
      </c>
      <c r="D3310" t="n">
        <v>20</v>
      </c>
      <c r="E3310" s="10" t="n">
        <v>0</v>
      </c>
      <c r="F3310" s="10" t="n">
        <v>0.2528475006834002</v>
      </c>
      <c r="G3310" s="11">
        <f>E3310*Summary!$B$6</f>
        <v/>
      </c>
      <c r="H3310" s="11">
        <f>F3310*Summary!$B$7</f>
        <v/>
      </c>
      <c r="I3310" s="11">
        <f>MAX(0,N3310-M3310)</f>
        <v/>
      </c>
      <c r="J3310" s="11">
        <f>MAX(0,M3310-N3310)</f>
        <v/>
      </c>
      <c r="K3310" s="11">
        <f>O3310</f>
        <v/>
      </c>
      <c r="L3310" s="11">
        <f>L3309+IF(K3310&gt;0,K3310*Summary!$B$9,K3310/Summary!$B$9)</f>
        <v/>
      </c>
      <c r="M3310" s="11">
        <f>G3310+H3310</f>
        <v/>
      </c>
      <c r="N3310" s="11">
        <f>Summary!$C$16*Summary!$B$8</f>
        <v/>
      </c>
      <c r="O3310" s="11">
        <f>M3310-N3310</f>
        <v/>
      </c>
    </row>
    <row r="3311">
      <c r="A3311" s="9" t="n">
        <v>45429.875</v>
      </c>
      <c r="B3311" t="n">
        <v>5</v>
      </c>
      <c r="C3311" t="n">
        <v>17</v>
      </c>
      <c r="D3311" t="n">
        <v>21</v>
      </c>
      <c r="E3311" s="10" t="n">
        <v>0</v>
      </c>
      <c r="F3311" s="10" t="n">
        <v>0.268658704478089</v>
      </c>
      <c r="G3311" s="11">
        <f>E3311*Summary!$B$6</f>
        <v/>
      </c>
      <c r="H3311" s="11">
        <f>F3311*Summary!$B$7</f>
        <v/>
      </c>
      <c r="I3311" s="11">
        <f>MAX(0,N3311-M3311)</f>
        <v/>
      </c>
      <c r="J3311" s="11">
        <f>MAX(0,M3311-N3311)</f>
        <v/>
      </c>
      <c r="K3311" s="11">
        <f>O3311</f>
        <v/>
      </c>
      <c r="L3311" s="11">
        <f>L3310+IF(K3311&gt;0,K3311*Summary!$B$9,K3311/Summary!$B$9)</f>
        <v/>
      </c>
      <c r="M3311" s="11">
        <f>G3311+H3311</f>
        <v/>
      </c>
      <c r="N3311" s="11">
        <f>Summary!$C$16*Summary!$B$8</f>
        <v/>
      </c>
      <c r="O3311" s="11">
        <f>M3311-N3311</f>
        <v/>
      </c>
    </row>
    <row r="3312">
      <c r="A3312" s="9" t="n">
        <v>45429.91666666666</v>
      </c>
      <c r="B3312" t="n">
        <v>5</v>
      </c>
      <c r="C3312" t="n">
        <v>17</v>
      </c>
      <c r="D3312" t="n">
        <v>22</v>
      </c>
      <c r="E3312" s="10" t="n">
        <v>0</v>
      </c>
      <c r="F3312" s="10" t="n">
        <v>0.2831786599628784</v>
      </c>
      <c r="G3312" s="11">
        <f>E3312*Summary!$B$6</f>
        <v/>
      </c>
      <c r="H3312" s="11">
        <f>F3312*Summary!$B$7</f>
        <v/>
      </c>
      <c r="I3312" s="11">
        <f>MAX(0,N3312-M3312)</f>
        <v/>
      </c>
      <c r="J3312" s="11">
        <f>MAX(0,M3312-N3312)</f>
        <v/>
      </c>
      <c r="K3312" s="11">
        <f>O3312</f>
        <v/>
      </c>
      <c r="L3312" s="11">
        <f>L3311+IF(K3312&gt;0,K3312*Summary!$B$9,K3312/Summary!$B$9)</f>
        <v/>
      </c>
      <c r="M3312" s="11">
        <f>G3312+H3312</f>
        <v/>
      </c>
      <c r="N3312" s="11">
        <f>Summary!$C$16*Summary!$B$8</f>
        <v/>
      </c>
      <c r="O3312" s="11">
        <f>M3312-N3312</f>
        <v/>
      </c>
    </row>
    <row r="3313">
      <c r="A3313" s="9" t="n">
        <v>45429.95833333334</v>
      </c>
      <c r="B3313" t="n">
        <v>5</v>
      </c>
      <c r="C3313" t="n">
        <v>17</v>
      </c>
      <c r="D3313" t="n">
        <v>23</v>
      </c>
      <c r="E3313" s="10" t="n">
        <v>0</v>
      </c>
      <c r="F3313" s="10" t="n">
        <v>0.2941674466001872</v>
      </c>
      <c r="G3313" s="11">
        <f>E3313*Summary!$B$6</f>
        <v/>
      </c>
      <c r="H3313" s="11">
        <f>F3313*Summary!$B$7</f>
        <v/>
      </c>
      <c r="I3313" s="11">
        <f>MAX(0,N3313-M3313)</f>
        <v/>
      </c>
      <c r="J3313" s="11">
        <f>MAX(0,M3313-N3313)</f>
        <v/>
      </c>
      <c r="K3313" s="11">
        <f>O3313</f>
        <v/>
      </c>
      <c r="L3313" s="11">
        <f>L3312+IF(K3313&gt;0,K3313*Summary!$B$9,K3313/Summary!$B$9)</f>
        <v/>
      </c>
      <c r="M3313" s="11">
        <f>G3313+H3313</f>
        <v/>
      </c>
      <c r="N3313" s="11">
        <f>Summary!$C$16*Summary!$B$8</f>
        <v/>
      </c>
      <c r="O3313" s="11">
        <f>M3313-N3313</f>
        <v/>
      </c>
    </row>
    <row r="3314">
      <c r="A3314" s="9" t="n">
        <v>45430</v>
      </c>
      <c r="B3314" t="n">
        <v>5</v>
      </c>
      <c r="C3314" t="n">
        <v>18</v>
      </c>
      <c r="D3314" t="n">
        <v>0</v>
      </c>
      <c r="E3314" s="10" t="n">
        <v>0</v>
      </c>
      <c r="F3314" s="10" t="n">
        <v>0.2195912687019045</v>
      </c>
      <c r="G3314" s="11">
        <f>E3314*Summary!$B$6</f>
        <v/>
      </c>
      <c r="H3314" s="11">
        <f>F3314*Summary!$B$7</f>
        <v/>
      </c>
      <c r="I3314" s="11">
        <f>MAX(0,N3314-M3314)</f>
        <v/>
      </c>
      <c r="J3314" s="11">
        <f>MAX(0,M3314-N3314)</f>
        <v/>
      </c>
      <c r="K3314" s="11">
        <f>O3314</f>
        <v/>
      </c>
      <c r="L3314" s="11">
        <f>L3313+IF(K3314&gt;0,K3314*Summary!$B$9,K3314/Summary!$B$9)</f>
        <v/>
      </c>
      <c r="M3314" s="11">
        <f>G3314+H3314</f>
        <v/>
      </c>
      <c r="N3314" s="11">
        <f>Summary!$C$16*Summary!$B$8</f>
        <v/>
      </c>
      <c r="O3314" s="11">
        <f>M3314-N3314</f>
        <v/>
      </c>
    </row>
    <row r="3315">
      <c r="A3315" s="9" t="n">
        <v>45430.04166666666</v>
      </c>
      <c r="B3315" t="n">
        <v>5</v>
      </c>
      <c r="C3315" t="n">
        <v>18</v>
      </c>
      <c r="D3315" t="n">
        <v>1</v>
      </c>
      <c r="E3315" s="10" t="n">
        <v>0</v>
      </c>
      <c r="F3315" s="10" t="n">
        <v>0.3081076579458379</v>
      </c>
      <c r="G3315" s="11">
        <f>E3315*Summary!$B$6</f>
        <v/>
      </c>
      <c r="H3315" s="11">
        <f>F3315*Summary!$B$7</f>
        <v/>
      </c>
      <c r="I3315" s="11">
        <f>MAX(0,N3315-M3315)</f>
        <v/>
      </c>
      <c r="J3315" s="11">
        <f>MAX(0,M3315-N3315)</f>
        <v/>
      </c>
      <c r="K3315" s="11">
        <f>O3315</f>
        <v/>
      </c>
      <c r="L3315" s="11">
        <f>L3314+IF(K3315&gt;0,K3315*Summary!$B$9,K3315/Summary!$B$9)</f>
        <v/>
      </c>
      <c r="M3315" s="11">
        <f>G3315+H3315</f>
        <v/>
      </c>
      <c r="N3315" s="11">
        <f>Summary!$C$16*Summary!$B$8</f>
        <v/>
      </c>
      <c r="O3315" s="11">
        <f>M3315-N3315</f>
        <v/>
      </c>
    </row>
    <row r="3316">
      <c r="A3316" s="9" t="n">
        <v>45430.08333333334</v>
      </c>
      <c r="B3316" t="n">
        <v>5</v>
      </c>
      <c r="C3316" t="n">
        <v>18</v>
      </c>
      <c r="D3316" t="n">
        <v>2</v>
      </c>
      <c r="E3316" s="10" t="n">
        <v>0</v>
      </c>
      <c r="F3316" s="10" t="n">
        <v>0.3041021529845167</v>
      </c>
      <c r="G3316" s="11">
        <f>E3316*Summary!$B$6</f>
        <v/>
      </c>
      <c r="H3316" s="11">
        <f>F3316*Summary!$B$7</f>
        <v/>
      </c>
      <c r="I3316" s="11">
        <f>MAX(0,N3316-M3316)</f>
        <v/>
      </c>
      <c r="J3316" s="11">
        <f>MAX(0,M3316-N3316)</f>
        <v/>
      </c>
      <c r="K3316" s="11">
        <f>O3316</f>
        <v/>
      </c>
      <c r="L3316" s="11">
        <f>L3315+IF(K3316&gt;0,K3316*Summary!$B$9,K3316/Summary!$B$9)</f>
        <v/>
      </c>
      <c r="M3316" s="11">
        <f>G3316+H3316</f>
        <v/>
      </c>
      <c r="N3316" s="11">
        <f>Summary!$C$16*Summary!$B$8</f>
        <v/>
      </c>
      <c r="O3316" s="11">
        <f>M3316-N3316</f>
        <v/>
      </c>
    </row>
    <row r="3317">
      <c r="A3317" s="9" t="n">
        <v>45430.125</v>
      </c>
      <c r="B3317" t="n">
        <v>5</v>
      </c>
      <c r="C3317" t="n">
        <v>18</v>
      </c>
      <c r="D3317" t="n">
        <v>3</v>
      </c>
      <c r="E3317" s="10" t="n">
        <v>0</v>
      </c>
      <c r="F3317" s="10" t="n">
        <v>0.3018885844532603</v>
      </c>
      <c r="G3317" s="11">
        <f>E3317*Summary!$B$6</f>
        <v/>
      </c>
      <c r="H3317" s="11">
        <f>F3317*Summary!$B$7</f>
        <v/>
      </c>
      <c r="I3317" s="11">
        <f>MAX(0,N3317-M3317)</f>
        <v/>
      </c>
      <c r="J3317" s="11">
        <f>MAX(0,M3317-N3317)</f>
        <v/>
      </c>
      <c r="K3317" s="11">
        <f>O3317</f>
        <v/>
      </c>
      <c r="L3317" s="11">
        <f>L3316+IF(K3317&gt;0,K3317*Summary!$B$9,K3317/Summary!$B$9)</f>
        <v/>
      </c>
      <c r="M3317" s="11">
        <f>G3317+H3317</f>
        <v/>
      </c>
      <c r="N3317" s="11">
        <f>Summary!$C$16*Summary!$B$8</f>
        <v/>
      </c>
      <c r="O3317" s="11">
        <f>M3317-N3317</f>
        <v/>
      </c>
    </row>
    <row r="3318">
      <c r="A3318" s="9" t="n">
        <v>45430.16666666666</v>
      </c>
      <c r="B3318" t="n">
        <v>5</v>
      </c>
      <c r="C3318" t="n">
        <v>18</v>
      </c>
      <c r="D3318" t="n">
        <v>4</v>
      </c>
      <c r="E3318" s="10" t="n">
        <v>0.01761</v>
      </c>
      <c r="F3318" s="10" t="n">
        <v>0.2901882936451904</v>
      </c>
      <c r="G3318" s="11">
        <f>E3318*Summary!$B$6</f>
        <v/>
      </c>
      <c r="H3318" s="11">
        <f>F3318*Summary!$B$7</f>
        <v/>
      </c>
      <c r="I3318" s="11">
        <f>MAX(0,N3318-M3318)</f>
        <v/>
      </c>
      <c r="J3318" s="11">
        <f>MAX(0,M3318-N3318)</f>
        <v/>
      </c>
      <c r="K3318" s="11">
        <f>O3318</f>
        <v/>
      </c>
      <c r="L3318" s="11">
        <f>L3317+IF(K3318&gt;0,K3318*Summary!$B$9,K3318/Summary!$B$9)</f>
        <v/>
      </c>
      <c r="M3318" s="11">
        <f>G3318+H3318</f>
        <v/>
      </c>
      <c r="N3318" s="11">
        <f>Summary!$C$16*Summary!$B$8</f>
        <v/>
      </c>
      <c r="O3318" s="11">
        <f>M3318-N3318</f>
        <v/>
      </c>
    </row>
    <row r="3319">
      <c r="A3319" s="9" t="n">
        <v>45430.20833333334</v>
      </c>
      <c r="B3319" t="n">
        <v>5</v>
      </c>
      <c r="C3319" t="n">
        <v>18</v>
      </c>
      <c r="D3319" t="n">
        <v>5</v>
      </c>
      <c r="E3319" s="10" t="n">
        <v>0.06270199999999999</v>
      </c>
      <c r="F3319" s="10" t="n">
        <v>0.259461854270845</v>
      </c>
      <c r="G3319" s="11">
        <f>E3319*Summary!$B$6</f>
        <v/>
      </c>
      <c r="H3319" s="11">
        <f>F3319*Summary!$B$7</f>
        <v/>
      </c>
      <c r="I3319" s="11">
        <f>MAX(0,N3319-M3319)</f>
        <v/>
      </c>
      <c r="J3319" s="11">
        <f>MAX(0,M3319-N3319)</f>
        <v/>
      </c>
      <c r="K3319" s="11">
        <f>O3319</f>
        <v/>
      </c>
      <c r="L3319" s="11">
        <f>L3318+IF(K3319&gt;0,K3319*Summary!$B$9,K3319/Summary!$B$9)</f>
        <v/>
      </c>
      <c r="M3319" s="11">
        <f>G3319+H3319</f>
        <v/>
      </c>
      <c r="N3319" s="11">
        <f>Summary!$C$16*Summary!$B$8</f>
        <v/>
      </c>
      <c r="O3319" s="11">
        <f>M3319-N3319</f>
        <v/>
      </c>
    </row>
    <row r="3320">
      <c r="A3320" s="9" t="n">
        <v>45430.25</v>
      </c>
      <c r="B3320" t="n">
        <v>5</v>
      </c>
      <c r="C3320" t="n">
        <v>18</v>
      </c>
      <c r="D3320" t="n">
        <v>6</v>
      </c>
      <c r="E3320" s="10" t="n">
        <v>0.161403</v>
      </c>
      <c r="F3320" s="10" t="n">
        <v>0.2257576381818331</v>
      </c>
      <c r="G3320" s="11">
        <f>E3320*Summary!$B$6</f>
        <v/>
      </c>
      <c r="H3320" s="11">
        <f>F3320*Summary!$B$7</f>
        <v/>
      </c>
      <c r="I3320" s="11">
        <f>MAX(0,N3320-M3320)</f>
        <v/>
      </c>
      <c r="J3320" s="11">
        <f>MAX(0,M3320-N3320)</f>
        <v/>
      </c>
      <c r="K3320" s="11">
        <f>O3320</f>
        <v/>
      </c>
      <c r="L3320" s="11">
        <f>L3319+IF(K3320&gt;0,K3320*Summary!$B$9,K3320/Summary!$B$9)</f>
        <v/>
      </c>
      <c r="M3320" s="11">
        <f>G3320+H3320</f>
        <v/>
      </c>
      <c r="N3320" s="11">
        <f>Summary!$C$16*Summary!$B$8</f>
        <v/>
      </c>
      <c r="O3320" s="11">
        <f>M3320-N3320</f>
        <v/>
      </c>
    </row>
    <row r="3321">
      <c r="A3321" s="9" t="n">
        <v>45430.29166666666</v>
      </c>
      <c r="B3321" t="n">
        <v>5</v>
      </c>
      <c r="C3321" t="n">
        <v>18</v>
      </c>
      <c r="D3321" t="n">
        <v>7</v>
      </c>
      <c r="E3321" s="10" t="n">
        <v>0.377203</v>
      </c>
      <c r="F3321" s="10" t="n">
        <v>0.1990367037688089</v>
      </c>
      <c r="G3321" s="11">
        <f>E3321*Summary!$B$6</f>
        <v/>
      </c>
      <c r="H3321" s="11">
        <f>F3321*Summary!$B$7</f>
        <v/>
      </c>
      <c r="I3321" s="11">
        <f>MAX(0,N3321-M3321)</f>
        <v/>
      </c>
      <c r="J3321" s="11">
        <f>MAX(0,M3321-N3321)</f>
        <v/>
      </c>
      <c r="K3321" s="11">
        <f>O3321</f>
        <v/>
      </c>
      <c r="L3321" s="11">
        <f>L3320+IF(K3321&gt;0,K3321*Summary!$B$9,K3321/Summary!$B$9)</f>
        <v/>
      </c>
      <c r="M3321" s="11">
        <f>G3321+H3321</f>
        <v/>
      </c>
      <c r="N3321" s="11">
        <f>Summary!$C$16*Summary!$B$8</f>
        <v/>
      </c>
      <c r="O3321" s="11">
        <f>M3321-N3321</f>
        <v/>
      </c>
    </row>
    <row r="3322">
      <c r="A3322" s="9" t="n">
        <v>45430.33333333334</v>
      </c>
      <c r="B3322" t="n">
        <v>5</v>
      </c>
      <c r="C3322" t="n">
        <v>18</v>
      </c>
      <c r="D3322" t="n">
        <v>8</v>
      </c>
      <c r="E3322" s="10" t="n">
        <v>0.555254</v>
      </c>
      <c r="F3322" s="10" t="n">
        <v>0.1932129103710985</v>
      </c>
      <c r="G3322" s="11">
        <f>E3322*Summary!$B$6</f>
        <v/>
      </c>
      <c r="H3322" s="11">
        <f>F3322*Summary!$B$7</f>
        <v/>
      </c>
      <c r="I3322" s="11">
        <f>MAX(0,N3322-M3322)</f>
        <v/>
      </c>
      <c r="J3322" s="11">
        <f>MAX(0,M3322-N3322)</f>
        <v/>
      </c>
      <c r="K3322" s="11">
        <f>O3322</f>
        <v/>
      </c>
      <c r="L3322" s="11">
        <f>L3321+IF(K3322&gt;0,K3322*Summary!$B$9,K3322/Summary!$B$9)</f>
        <v/>
      </c>
      <c r="M3322" s="11">
        <f>G3322+H3322</f>
        <v/>
      </c>
      <c r="N3322" s="11">
        <f>Summary!$C$16*Summary!$B$8</f>
        <v/>
      </c>
      <c r="O3322" s="11">
        <f>M3322-N3322</f>
        <v/>
      </c>
    </row>
    <row r="3323">
      <c r="A3323" s="9" t="n">
        <v>45430.375</v>
      </c>
      <c r="B3323" t="n">
        <v>5</v>
      </c>
      <c r="C3323" t="n">
        <v>18</v>
      </c>
      <c r="D3323" t="n">
        <v>9</v>
      </c>
      <c r="E3323" s="10" t="n">
        <v>0.696564</v>
      </c>
      <c r="F3323" s="10" t="n">
        <v>0.186071516657164</v>
      </c>
      <c r="G3323" s="11">
        <f>E3323*Summary!$B$6</f>
        <v/>
      </c>
      <c r="H3323" s="11">
        <f>F3323*Summary!$B$7</f>
        <v/>
      </c>
      <c r="I3323" s="11">
        <f>MAX(0,N3323-M3323)</f>
        <v/>
      </c>
      <c r="J3323" s="11">
        <f>MAX(0,M3323-N3323)</f>
        <v/>
      </c>
      <c r="K3323" s="11">
        <f>O3323</f>
        <v/>
      </c>
      <c r="L3323" s="11">
        <f>L3322+IF(K3323&gt;0,K3323*Summary!$B$9,K3323/Summary!$B$9)</f>
        <v/>
      </c>
      <c r="M3323" s="11">
        <f>G3323+H3323</f>
        <v/>
      </c>
      <c r="N3323" s="11">
        <f>Summary!$C$16*Summary!$B$8</f>
        <v/>
      </c>
      <c r="O3323" s="11">
        <f>M3323-N3323</f>
        <v/>
      </c>
    </row>
    <row r="3324">
      <c r="A3324" s="9" t="n">
        <v>45430.41666666666</v>
      </c>
      <c r="B3324" t="n">
        <v>5</v>
      </c>
      <c r="C3324" t="n">
        <v>18</v>
      </c>
      <c r="D3324" t="n">
        <v>10</v>
      </c>
      <c r="E3324" s="10" t="n">
        <v>0.754058</v>
      </c>
      <c r="F3324" s="10" t="n">
        <v>0.1886803652832877</v>
      </c>
      <c r="G3324" s="11">
        <f>E3324*Summary!$B$6</f>
        <v/>
      </c>
      <c r="H3324" s="11">
        <f>F3324*Summary!$B$7</f>
        <v/>
      </c>
      <c r="I3324" s="11">
        <f>MAX(0,N3324-M3324)</f>
        <v/>
      </c>
      <c r="J3324" s="11">
        <f>MAX(0,M3324-N3324)</f>
        <v/>
      </c>
      <c r="K3324" s="11">
        <f>O3324</f>
        <v/>
      </c>
      <c r="L3324" s="11">
        <f>L3323+IF(K3324&gt;0,K3324*Summary!$B$9,K3324/Summary!$B$9)</f>
        <v/>
      </c>
      <c r="M3324" s="11">
        <f>G3324+H3324</f>
        <v/>
      </c>
      <c r="N3324" s="11">
        <f>Summary!$C$16*Summary!$B$8</f>
        <v/>
      </c>
      <c r="O3324" s="11">
        <f>M3324-N3324</f>
        <v/>
      </c>
    </row>
    <row r="3325">
      <c r="A3325" s="9" t="n">
        <v>45430.45833333334</v>
      </c>
      <c r="B3325" t="n">
        <v>5</v>
      </c>
      <c r="C3325" t="n">
        <v>18</v>
      </c>
      <c r="D3325" t="n">
        <v>11</v>
      </c>
      <c r="E3325" s="10" t="n">
        <v>0.754058</v>
      </c>
      <c r="F3325" s="10" t="n">
        <v>0.1914209739410337</v>
      </c>
      <c r="G3325" s="11">
        <f>E3325*Summary!$B$6</f>
        <v/>
      </c>
      <c r="H3325" s="11">
        <f>F3325*Summary!$B$7</f>
        <v/>
      </c>
      <c r="I3325" s="11">
        <f>MAX(0,N3325-M3325)</f>
        <v/>
      </c>
      <c r="J3325" s="11">
        <f>MAX(0,M3325-N3325)</f>
        <v/>
      </c>
      <c r="K3325" s="11">
        <f>O3325</f>
        <v/>
      </c>
      <c r="L3325" s="11">
        <f>L3324+IF(K3325&gt;0,K3325*Summary!$B$9,K3325/Summary!$B$9)</f>
        <v/>
      </c>
      <c r="M3325" s="11">
        <f>G3325+H3325</f>
        <v/>
      </c>
      <c r="N3325" s="11">
        <f>Summary!$C$16*Summary!$B$8</f>
        <v/>
      </c>
      <c r="O3325" s="11">
        <f>M3325-N3325</f>
        <v/>
      </c>
    </row>
    <row r="3326">
      <c r="A3326" s="9" t="n">
        <v>45430.5</v>
      </c>
      <c r="B3326" t="n">
        <v>5</v>
      </c>
      <c r="C3326" t="n">
        <v>18</v>
      </c>
      <c r="D3326" t="n">
        <v>12</v>
      </c>
      <c r="E3326" s="10" t="n">
        <v>0.754058</v>
      </c>
      <c r="F3326" s="10" t="n">
        <v>0.1884431972263673</v>
      </c>
      <c r="G3326" s="11">
        <f>E3326*Summary!$B$6</f>
        <v/>
      </c>
      <c r="H3326" s="11">
        <f>F3326*Summary!$B$7</f>
        <v/>
      </c>
      <c r="I3326" s="11">
        <f>MAX(0,N3326-M3326)</f>
        <v/>
      </c>
      <c r="J3326" s="11">
        <f>MAX(0,M3326-N3326)</f>
        <v/>
      </c>
      <c r="K3326" s="11">
        <f>O3326</f>
        <v/>
      </c>
      <c r="L3326" s="11">
        <f>L3325+IF(K3326&gt;0,K3326*Summary!$B$9,K3326/Summary!$B$9)</f>
        <v/>
      </c>
      <c r="M3326" s="11">
        <f>G3326+H3326</f>
        <v/>
      </c>
      <c r="N3326" s="11">
        <f>Summary!$C$16*Summary!$B$8</f>
        <v/>
      </c>
      <c r="O3326" s="11">
        <f>M3326-N3326</f>
        <v/>
      </c>
    </row>
    <row r="3327">
      <c r="A3327" s="9" t="n">
        <v>45430.54166666666</v>
      </c>
      <c r="B3327" t="n">
        <v>5</v>
      </c>
      <c r="C3327" t="n">
        <v>18</v>
      </c>
      <c r="D3327" t="n">
        <v>13</v>
      </c>
      <c r="E3327" s="10" t="n">
        <v>0.754058</v>
      </c>
      <c r="F3327" s="10" t="n">
        <v>0.1911838058841134</v>
      </c>
      <c r="G3327" s="11">
        <f>E3327*Summary!$B$6</f>
        <v/>
      </c>
      <c r="H3327" s="11">
        <f>F3327*Summary!$B$7</f>
        <v/>
      </c>
      <c r="I3327" s="11">
        <f>MAX(0,N3327-M3327)</f>
        <v/>
      </c>
      <c r="J3327" s="11">
        <f>MAX(0,M3327-N3327)</f>
        <v/>
      </c>
      <c r="K3327" s="11">
        <f>O3327</f>
        <v/>
      </c>
      <c r="L3327" s="11">
        <f>L3326+IF(K3327&gt;0,K3327*Summary!$B$9,K3327/Summary!$B$9)</f>
        <v/>
      </c>
      <c r="M3327" s="11">
        <f>G3327+H3327</f>
        <v/>
      </c>
      <c r="N3327" s="11">
        <f>Summary!$C$16*Summary!$B$8</f>
        <v/>
      </c>
      <c r="O3327" s="11">
        <f>M3327-N3327</f>
        <v/>
      </c>
    </row>
    <row r="3328">
      <c r="A3328" s="9" t="n">
        <v>45430.58333333334</v>
      </c>
      <c r="B3328" t="n">
        <v>5</v>
      </c>
      <c r="C3328" t="n">
        <v>18</v>
      </c>
      <c r="D3328" t="n">
        <v>14</v>
      </c>
      <c r="E3328" s="10" t="n">
        <v>0.714615</v>
      </c>
      <c r="F3328" s="10" t="n">
        <v>0.2087605941025426</v>
      </c>
      <c r="G3328" s="11">
        <f>E3328*Summary!$B$6</f>
        <v/>
      </c>
      <c r="H3328" s="11">
        <f>F3328*Summary!$B$7</f>
        <v/>
      </c>
      <c r="I3328" s="11">
        <f>MAX(0,N3328-M3328)</f>
        <v/>
      </c>
      <c r="J3328" s="11">
        <f>MAX(0,M3328-N3328)</f>
        <v/>
      </c>
      <c r="K3328" s="11">
        <f>O3328</f>
        <v/>
      </c>
      <c r="L3328" s="11">
        <f>L3327+IF(K3328&gt;0,K3328*Summary!$B$9,K3328/Summary!$B$9)</f>
        <v/>
      </c>
      <c r="M3328" s="11">
        <f>G3328+H3328</f>
        <v/>
      </c>
      <c r="N3328" s="11">
        <f>Summary!$C$16*Summary!$B$8</f>
        <v/>
      </c>
      <c r="O3328" s="11">
        <f>M3328-N3328</f>
        <v/>
      </c>
    </row>
    <row r="3329">
      <c r="A3329" s="9" t="n">
        <v>45430.625</v>
      </c>
      <c r="B3329" t="n">
        <v>5</v>
      </c>
      <c r="C3329" t="n">
        <v>18</v>
      </c>
      <c r="D3329" t="n">
        <v>15</v>
      </c>
      <c r="E3329" s="10" t="n">
        <v>0.580254</v>
      </c>
      <c r="F3329" s="10" t="n">
        <v>0.2096302103112505</v>
      </c>
      <c r="G3329" s="11">
        <f>E3329*Summary!$B$6</f>
        <v/>
      </c>
      <c r="H3329" s="11">
        <f>F3329*Summary!$B$7</f>
        <v/>
      </c>
      <c r="I3329" s="11">
        <f>MAX(0,N3329-M3329)</f>
        <v/>
      </c>
      <c r="J3329" s="11">
        <f>MAX(0,M3329-N3329)</f>
        <v/>
      </c>
      <c r="K3329" s="11">
        <f>O3329</f>
        <v/>
      </c>
      <c r="L3329" s="11">
        <f>L3328+IF(K3329&gt;0,K3329*Summary!$B$9,K3329/Summary!$B$9)</f>
        <v/>
      </c>
      <c r="M3329" s="11">
        <f>G3329+H3329</f>
        <v/>
      </c>
      <c r="N3329" s="11">
        <f>Summary!$C$16*Summary!$B$8</f>
        <v/>
      </c>
      <c r="O3329" s="11">
        <f>M3329-N3329</f>
        <v/>
      </c>
    </row>
    <row r="3330">
      <c r="A3330" s="9" t="n">
        <v>45430.66666666666</v>
      </c>
      <c r="B3330" t="n">
        <v>5</v>
      </c>
      <c r="C3330" t="n">
        <v>18</v>
      </c>
      <c r="D3330" t="n">
        <v>16</v>
      </c>
      <c r="E3330" s="10" t="n">
        <v>0.372482</v>
      </c>
      <c r="F3330" s="10" t="n">
        <v>0.2119228348614804</v>
      </c>
      <c r="G3330" s="11">
        <f>E3330*Summary!$B$6</f>
        <v/>
      </c>
      <c r="H3330" s="11">
        <f>F3330*Summary!$B$7</f>
        <v/>
      </c>
      <c r="I3330" s="11">
        <f>MAX(0,N3330-M3330)</f>
        <v/>
      </c>
      <c r="J3330" s="11">
        <f>MAX(0,M3330-N3330)</f>
        <v/>
      </c>
      <c r="K3330" s="11">
        <f>O3330</f>
        <v/>
      </c>
      <c r="L3330" s="11">
        <f>L3329+IF(K3330&gt;0,K3330*Summary!$B$9,K3330/Summary!$B$9)</f>
        <v/>
      </c>
      <c r="M3330" s="11">
        <f>G3330+H3330</f>
        <v/>
      </c>
      <c r="N3330" s="11">
        <f>Summary!$C$16*Summary!$B$8</f>
        <v/>
      </c>
      <c r="O3330" s="11">
        <f>M3330-N3330</f>
        <v/>
      </c>
    </row>
    <row r="3331">
      <c r="A3331" s="9" t="n">
        <v>45430.70833333334</v>
      </c>
      <c r="B3331" t="n">
        <v>5</v>
      </c>
      <c r="C3331" t="n">
        <v>18</v>
      </c>
      <c r="D3331" t="n">
        <v>17</v>
      </c>
      <c r="E3331" s="10" t="n">
        <v>0.172761</v>
      </c>
      <c r="F3331" s="10" t="n">
        <v>0.2118437788425069</v>
      </c>
      <c r="G3331" s="11">
        <f>E3331*Summary!$B$6</f>
        <v/>
      </c>
      <c r="H3331" s="11">
        <f>F3331*Summary!$B$7</f>
        <v/>
      </c>
      <c r="I3331" s="11">
        <f>MAX(0,N3331-M3331)</f>
        <v/>
      </c>
      <c r="J3331" s="11">
        <f>MAX(0,M3331-N3331)</f>
        <v/>
      </c>
      <c r="K3331" s="11">
        <f>O3331</f>
        <v/>
      </c>
      <c r="L3331" s="11">
        <f>L3330+IF(K3331&gt;0,K3331*Summary!$B$9,K3331/Summary!$B$9)</f>
        <v/>
      </c>
      <c r="M3331" s="11">
        <f>G3331+H3331</f>
        <v/>
      </c>
      <c r="N3331" s="11">
        <f>Summary!$C$16*Summary!$B$8</f>
        <v/>
      </c>
      <c r="O3331" s="11">
        <f>M3331-N3331</f>
        <v/>
      </c>
    </row>
    <row r="3332">
      <c r="A3332" s="9" t="n">
        <v>45430.75</v>
      </c>
      <c r="B3332" t="n">
        <v>5</v>
      </c>
      <c r="C3332" t="n">
        <v>18</v>
      </c>
      <c r="D3332" t="n">
        <v>18</v>
      </c>
      <c r="E3332" s="10" t="n">
        <v>0.069789</v>
      </c>
      <c r="F3332" s="10" t="n">
        <v>0.1961379830731159</v>
      </c>
      <c r="G3332" s="11">
        <f>E3332*Summary!$B$6</f>
        <v/>
      </c>
      <c r="H3332" s="11">
        <f>F3332*Summary!$B$7</f>
        <v/>
      </c>
      <c r="I3332" s="11">
        <f>MAX(0,N3332-M3332)</f>
        <v/>
      </c>
      <c r="J3332" s="11">
        <f>MAX(0,M3332-N3332)</f>
        <v/>
      </c>
      <c r="K3332" s="11">
        <f>O3332</f>
        <v/>
      </c>
      <c r="L3332" s="11">
        <f>L3331+IF(K3332&gt;0,K3332*Summary!$B$9,K3332/Summary!$B$9)</f>
        <v/>
      </c>
      <c r="M3332" s="11">
        <f>G3332+H3332</f>
        <v/>
      </c>
      <c r="N3332" s="11">
        <f>Summary!$C$16*Summary!$B$8</f>
        <v/>
      </c>
      <c r="O3332" s="11">
        <f>M3332-N3332</f>
        <v/>
      </c>
    </row>
    <row r="3333">
      <c r="A3333" s="9" t="n">
        <v>45430.79166666666</v>
      </c>
      <c r="B3333" t="n">
        <v>5</v>
      </c>
      <c r="C3333" t="n">
        <v>18</v>
      </c>
      <c r="D3333" t="n">
        <v>19</v>
      </c>
      <c r="E3333" s="10" t="n">
        <v>0.015462</v>
      </c>
      <c r="F3333" s="10" t="n">
        <v>0.1980089755221541</v>
      </c>
      <c r="G3333" s="11">
        <f>E3333*Summary!$B$6</f>
        <v/>
      </c>
      <c r="H3333" s="11">
        <f>F3333*Summary!$B$7</f>
        <v/>
      </c>
      <c r="I3333" s="11">
        <f>MAX(0,N3333-M3333)</f>
        <v/>
      </c>
      <c r="J3333" s="11">
        <f>MAX(0,M3333-N3333)</f>
        <v/>
      </c>
      <c r="K3333" s="11">
        <f>O3333</f>
        <v/>
      </c>
      <c r="L3333" s="11">
        <f>L3332+IF(K3333&gt;0,K3333*Summary!$B$9,K3333/Summary!$B$9)</f>
        <v/>
      </c>
      <c r="M3333" s="11">
        <f>G3333+H3333</f>
        <v/>
      </c>
      <c r="N3333" s="11">
        <f>Summary!$C$16*Summary!$B$8</f>
        <v/>
      </c>
      <c r="O3333" s="11">
        <f>M3333-N3333</f>
        <v/>
      </c>
    </row>
    <row r="3334">
      <c r="A3334" s="9" t="n">
        <v>45430.83333333334</v>
      </c>
      <c r="B3334" t="n">
        <v>5</v>
      </c>
      <c r="C3334" t="n">
        <v>18</v>
      </c>
      <c r="D3334" t="n">
        <v>20</v>
      </c>
      <c r="E3334" s="10" t="n">
        <v>0</v>
      </c>
      <c r="F3334" s="10" t="n">
        <v>0.209656562317575</v>
      </c>
      <c r="G3334" s="11">
        <f>E3334*Summary!$B$6</f>
        <v/>
      </c>
      <c r="H3334" s="11">
        <f>F3334*Summary!$B$7</f>
        <v/>
      </c>
      <c r="I3334" s="11">
        <f>MAX(0,N3334-M3334)</f>
        <v/>
      </c>
      <c r="J3334" s="11">
        <f>MAX(0,M3334-N3334)</f>
        <v/>
      </c>
      <c r="K3334" s="11">
        <f>O3334</f>
        <v/>
      </c>
      <c r="L3334" s="11">
        <f>L3333+IF(K3334&gt;0,K3334*Summary!$B$9,K3334/Summary!$B$9)</f>
        <v/>
      </c>
      <c r="M3334" s="11">
        <f>G3334+H3334</f>
        <v/>
      </c>
      <c r="N3334" s="11">
        <f>Summary!$C$16*Summary!$B$8</f>
        <v/>
      </c>
      <c r="O3334" s="11">
        <f>M3334-N3334</f>
        <v/>
      </c>
    </row>
    <row r="3335">
      <c r="A3335" s="9" t="n">
        <v>45430.875</v>
      </c>
      <c r="B3335" t="n">
        <v>5</v>
      </c>
      <c r="C3335" t="n">
        <v>18</v>
      </c>
      <c r="D3335" t="n">
        <v>21</v>
      </c>
      <c r="E3335" s="10" t="n">
        <v>0</v>
      </c>
      <c r="F3335" s="10" t="n">
        <v>0.2218838932521344</v>
      </c>
      <c r="G3335" s="11">
        <f>E3335*Summary!$B$6</f>
        <v/>
      </c>
      <c r="H3335" s="11">
        <f>F3335*Summary!$B$7</f>
        <v/>
      </c>
      <c r="I3335" s="11">
        <f>MAX(0,N3335-M3335)</f>
        <v/>
      </c>
      <c r="J3335" s="11">
        <f>MAX(0,M3335-N3335)</f>
        <v/>
      </c>
      <c r="K3335" s="11">
        <f>O3335</f>
        <v/>
      </c>
      <c r="L3335" s="11">
        <f>L3334+IF(K3335&gt;0,K3335*Summary!$B$9,K3335/Summary!$B$9)</f>
        <v/>
      </c>
      <c r="M3335" s="11">
        <f>G3335+H3335</f>
        <v/>
      </c>
      <c r="N3335" s="11">
        <f>Summary!$C$16*Summary!$B$8</f>
        <v/>
      </c>
      <c r="O3335" s="11">
        <f>M3335-N3335</f>
        <v/>
      </c>
    </row>
    <row r="3336">
      <c r="A3336" s="9" t="n">
        <v>45430.91666666666</v>
      </c>
      <c r="B3336" t="n">
        <v>5</v>
      </c>
      <c r="C3336" t="n">
        <v>18</v>
      </c>
      <c r="D3336" t="n">
        <v>22</v>
      </c>
      <c r="E3336" s="10" t="n">
        <v>0</v>
      </c>
      <c r="F3336" s="10" t="n">
        <v>0.2284982468395792</v>
      </c>
      <c r="G3336" s="11">
        <f>E3336*Summary!$B$6</f>
        <v/>
      </c>
      <c r="H3336" s="11">
        <f>F3336*Summary!$B$7</f>
        <v/>
      </c>
      <c r="I3336" s="11">
        <f>MAX(0,N3336-M3336)</f>
        <v/>
      </c>
      <c r="J3336" s="11">
        <f>MAX(0,M3336-N3336)</f>
        <v/>
      </c>
      <c r="K3336" s="11">
        <f>O3336</f>
        <v/>
      </c>
      <c r="L3336" s="11">
        <f>L3335+IF(K3336&gt;0,K3336*Summary!$B$9,K3336/Summary!$B$9)</f>
        <v/>
      </c>
      <c r="M3336" s="11">
        <f>G3336+H3336</f>
        <v/>
      </c>
      <c r="N3336" s="11">
        <f>Summary!$C$16*Summary!$B$8</f>
        <v/>
      </c>
      <c r="O3336" s="11">
        <f>M3336-N3336</f>
        <v/>
      </c>
    </row>
    <row r="3337">
      <c r="A3337" s="9" t="n">
        <v>45430.95833333334</v>
      </c>
      <c r="B3337" t="n">
        <v>5</v>
      </c>
      <c r="C3337" t="n">
        <v>18</v>
      </c>
      <c r="D3337" t="n">
        <v>23</v>
      </c>
      <c r="E3337" s="10" t="n">
        <v>0</v>
      </c>
      <c r="F3337" s="10" t="n">
        <v>0.2226744534418688</v>
      </c>
      <c r="G3337" s="11">
        <f>E3337*Summary!$B$6</f>
        <v/>
      </c>
      <c r="H3337" s="11">
        <f>F3337*Summary!$B$7</f>
        <v/>
      </c>
      <c r="I3337" s="11">
        <f>MAX(0,N3337-M3337)</f>
        <v/>
      </c>
      <c r="J3337" s="11">
        <f>MAX(0,M3337-N3337)</f>
        <v/>
      </c>
      <c r="K3337" s="11">
        <f>O3337</f>
        <v/>
      </c>
      <c r="L3337" s="11">
        <f>L3336+IF(K3337&gt;0,K3337*Summary!$B$9,K3337/Summary!$B$9)</f>
        <v/>
      </c>
      <c r="M3337" s="11">
        <f>G3337+H3337</f>
        <v/>
      </c>
      <c r="N3337" s="11">
        <f>Summary!$C$16*Summary!$B$8</f>
        <v/>
      </c>
      <c r="O3337" s="11">
        <f>M3337-N3337</f>
        <v/>
      </c>
    </row>
    <row r="3338">
      <c r="A3338" s="9" t="n">
        <v>45431</v>
      </c>
      <c r="B3338" t="n">
        <v>5</v>
      </c>
      <c r="C3338" t="n">
        <v>19</v>
      </c>
      <c r="D3338" t="n">
        <v>0</v>
      </c>
      <c r="E3338" s="10" t="n">
        <v>0</v>
      </c>
      <c r="F3338" s="10" t="n">
        <v>0.2277603906624938</v>
      </c>
      <c r="G3338" s="11">
        <f>E3338*Summary!$B$6</f>
        <v/>
      </c>
      <c r="H3338" s="11">
        <f>F3338*Summary!$B$7</f>
        <v/>
      </c>
      <c r="I3338" s="11">
        <f>MAX(0,N3338-M3338)</f>
        <v/>
      </c>
      <c r="J3338" s="11">
        <f>MAX(0,M3338-N3338)</f>
        <v/>
      </c>
      <c r="K3338" s="11">
        <f>O3338</f>
        <v/>
      </c>
      <c r="L3338" s="11">
        <f>L3337+IF(K3338&gt;0,K3338*Summary!$B$9,K3338/Summary!$B$9)</f>
        <v/>
      </c>
      <c r="M3338" s="11">
        <f>G3338+H3338</f>
        <v/>
      </c>
      <c r="N3338" s="11">
        <f>Summary!$C$16*Summary!$B$8</f>
        <v/>
      </c>
      <c r="O3338" s="11">
        <f>M3338-N3338</f>
        <v/>
      </c>
    </row>
    <row r="3339">
      <c r="A3339" s="9" t="n">
        <v>45431.04166666666</v>
      </c>
      <c r="B3339" t="n">
        <v>5</v>
      </c>
      <c r="C3339" t="n">
        <v>19</v>
      </c>
      <c r="D3339" t="n">
        <v>1</v>
      </c>
      <c r="E3339" s="10" t="n">
        <v>0</v>
      </c>
      <c r="F3339" s="10" t="n">
        <v>0.2183527244046539</v>
      </c>
      <c r="G3339" s="11">
        <f>E3339*Summary!$B$6</f>
        <v/>
      </c>
      <c r="H3339" s="11">
        <f>F3339*Summary!$B$7</f>
        <v/>
      </c>
      <c r="I3339" s="11">
        <f>MAX(0,N3339-M3339)</f>
        <v/>
      </c>
      <c r="J3339" s="11">
        <f>MAX(0,M3339-N3339)</f>
        <v/>
      </c>
      <c r="K3339" s="11">
        <f>O3339</f>
        <v/>
      </c>
      <c r="L3339" s="11">
        <f>L3338+IF(K3339&gt;0,K3339*Summary!$B$9,K3339/Summary!$B$9)</f>
        <v/>
      </c>
      <c r="M3339" s="11">
        <f>G3339+H3339</f>
        <v/>
      </c>
      <c r="N3339" s="11">
        <f>Summary!$C$16*Summary!$B$8</f>
        <v/>
      </c>
      <c r="O3339" s="11">
        <f>M3339-N3339</f>
        <v/>
      </c>
    </row>
    <row r="3340">
      <c r="A3340" s="9" t="n">
        <v>45431.08333333334</v>
      </c>
      <c r="B3340" t="n">
        <v>5</v>
      </c>
      <c r="C3340" t="n">
        <v>19</v>
      </c>
      <c r="D3340" t="n">
        <v>2</v>
      </c>
      <c r="E3340" s="10" t="n">
        <v>0</v>
      </c>
      <c r="F3340" s="10" t="n">
        <v>0.2099464343871442</v>
      </c>
      <c r="G3340" s="11">
        <f>E3340*Summary!$B$6</f>
        <v/>
      </c>
      <c r="H3340" s="11">
        <f>F3340*Summary!$B$7</f>
        <v/>
      </c>
      <c r="I3340" s="11">
        <f>MAX(0,N3340-M3340)</f>
        <v/>
      </c>
      <c r="J3340" s="11">
        <f>MAX(0,M3340-N3340)</f>
        <v/>
      </c>
      <c r="K3340" s="11">
        <f>O3340</f>
        <v/>
      </c>
      <c r="L3340" s="11">
        <f>L3339+IF(K3340&gt;0,K3340*Summary!$B$9,K3340/Summary!$B$9)</f>
        <v/>
      </c>
      <c r="M3340" s="11">
        <f>G3340+H3340</f>
        <v/>
      </c>
      <c r="N3340" s="11">
        <f>Summary!$C$16*Summary!$B$8</f>
        <v/>
      </c>
      <c r="O3340" s="11">
        <f>M3340-N3340</f>
        <v/>
      </c>
    </row>
    <row r="3341">
      <c r="A3341" s="9" t="n">
        <v>45431.125</v>
      </c>
      <c r="B3341" t="n">
        <v>5</v>
      </c>
      <c r="C3341" t="n">
        <v>19</v>
      </c>
      <c r="D3341" t="n">
        <v>3</v>
      </c>
      <c r="E3341" s="10" t="n">
        <v>0</v>
      </c>
      <c r="F3341" s="10" t="n">
        <v>0.2009867522368205</v>
      </c>
      <c r="G3341" s="11">
        <f>E3341*Summary!$B$6</f>
        <v/>
      </c>
      <c r="H3341" s="11">
        <f>F3341*Summary!$B$7</f>
        <v/>
      </c>
      <c r="I3341" s="11">
        <f>MAX(0,N3341-M3341)</f>
        <v/>
      </c>
      <c r="J3341" s="11">
        <f>MAX(0,M3341-N3341)</f>
        <v/>
      </c>
      <c r="K3341" s="11">
        <f>O3341</f>
        <v/>
      </c>
      <c r="L3341" s="11">
        <f>L3340+IF(K3341&gt;0,K3341*Summary!$B$9,K3341/Summary!$B$9)</f>
        <v/>
      </c>
      <c r="M3341" s="11">
        <f>G3341+H3341</f>
        <v/>
      </c>
      <c r="N3341" s="11">
        <f>Summary!$C$16*Summary!$B$8</f>
        <v/>
      </c>
      <c r="O3341" s="11">
        <f>M3341-N3341</f>
        <v/>
      </c>
    </row>
    <row r="3342">
      <c r="A3342" s="9" t="n">
        <v>45431.16666666666</v>
      </c>
      <c r="B3342" t="n">
        <v>5</v>
      </c>
      <c r="C3342" t="n">
        <v>19</v>
      </c>
      <c r="D3342" t="n">
        <v>4</v>
      </c>
      <c r="E3342" s="10" t="n">
        <v>0.001868</v>
      </c>
      <c r="F3342" s="10" t="n">
        <v>0.1863086847140843</v>
      </c>
      <c r="G3342" s="11">
        <f>E3342*Summary!$B$6</f>
        <v/>
      </c>
      <c r="H3342" s="11">
        <f>F3342*Summary!$B$7</f>
        <v/>
      </c>
      <c r="I3342" s="11">
        <f>MAX(0,N3342-M3342)</f>
        <v/>
      </c>
      <c r="J3342" s="11">
        <f>MAX(0,M3342-N3342)</f>
        <v/>
      </c>
      <c r="K3342" s="11">
        <f>O3342</f>
        <v/>
      </c>
      <c r="L3342" s="11">
        <f>L3341+IF(K3342&gt;0,K3342*Summary!$B$9,K3342/Summary!$B$9)</f>
        <v/>
      </c>
      <c r="M3342" s="11">
        <f>G3342+H3342</f>
        <v/>
      </c>
      <c r="N3342" s="11">
        <f>Summary!$C$16*Summary!$B$8</f>
        <v/>
      </c>
      <c r="O3342" s="11">
        <f>M3342-N3342</f>
        <v/>
      </c>
    </row>
    <row r="3343">
      <c r="A3343" s="9" t="n">
        <v>45431.20833333334</v>
      </c>
      <c r="B3343" t="n">
        <v>5</v>
      </c>
      <c r="C3343" t="n">
        <v>19</v>
      </c>
      <c r="D3343" t="n">
        <v>5</v>
      </c>
      <c r="E3343" s="10" t="n">
        <v>0.038254</v>
      </c>
      <c r="F3343" s="10" t="n">
        <v>0.1578748698899688</v>
      </c>
      <c r="G3343" s="11">
        <f>E3343*Summary!$B$6</f>
        <v/>
      </c>
      <c r="H3343" s="11">
        <f>F3343*Summary!$B$7</f>
        <v/>
      </c>
      <c r="I3343" s="11">
        <f>MAX(0,N3343-M3343)</f>
        <v/>
      </c>
      <c r="J3343" s="11">
        <f>MAX(0,M3343-N3343)</f>
        <v/>
      </c>
      <c r="K3343" s="11">
        <f>O3343</f>
        <v/>
      </c>
      <c r="L3343" s="11">
        <f>L3342+IF(K3343&gt;0,K3343*Summary!$B$9,K3343/Summary!$B$9)</f>
        <v/>
      </c>
      <c r="M3343" s="11">
        <f>G3343+H3343</f>
        <v/>
      </c>
      <c r="N3343" s="11">
        <f>Summary!$C$16*Summary!$B$8</f>
        <v/>
      </c>
      <c r="O3343" s="11">
        <f>M3343-N3343</f>
        <v/>
      </c>
    </row>
    <row r="3344">
      <c r="A3344" s="9" t="n">
        <v>45431.25</v>
      </c>
      <c r="B3344" t="n">
        <v>5</v>
      </c>
      <c r="C3344" t="n">
        <v>19</v>
      </c>
      <c r="D3344" t="n">
        <v>6</v>
      </c>
      <c r="E3344" s="10" t="n">
        <v>0.152007</v>
      </c>
      <c r="F3344" s="10" t="n">
        <v>0.1181887483652996</v>
      </c>
      <c r="G3344" s="11">
        <f>E3344*Summary!$B$6</f>
        <v/>
      </c>
      <c r="H3344" s="11">
        <f>F3344*Summary!$B$7</f>
        <v/>
      </c>
      <c r="I3344" s="11">
        <f>MAX(0,N3344-M3344)</f>
        <v/>
      </c>
      <c r="J3344" s="11">
        <f>MAX(0,M3344-N3344)</f>
        <v/>
      </c>
      <c r="K3344" s="11">
        <f>O3344</f>
        <v/>
      </c>
      <c r="L3344" s="11">
        <f>L3343+IF(K3344&gt;0,K3344*Summary!$B$9,K3344/Summary!$B$9)</f>
        <v/>
      </c>
      <c r="M3344" s="11">
        <f>G3344+H3344</f>
        <v/>
      </c>
      <c r="N3344" s="11">
        <f>Summary!$C$16*Summary!$B$8</f>
        <v/>
      </c>
      <c r="O3344" s="11">
        <f>M3344-N3344</f>
        <v/>
      </c>
    </row>
    <row r="3345">
      <c r="A3345" s="9" t="n">
        <v>45431.29166666666</v>
      </c>
      <c r="B3345" t="n">
        <v>5</v>
      </c>
      <c r="C3345" t="n">
        <v>19</v>
      </c>
      <c r="D3345" t="n">
        <v>7</v>
      </c>
      <c r="E3345" s="10" t="n">
        <v>0.338653</v>
      </c>
      <c r="F3345" s="10" t="n">
        <v>0.0928117662748239</v>
      </c>
      <c r="G3345" s="11">
        <f>E3345*Summary!$B$6</f>
        <v/>
      </c>
      <c r="H3345" s="11">
        <f>F3345*Summary!$B$7</f>
        <v/>
      </c>
      <c r="I3345" s="11">
        <f>MAX(0,N3345-M3345)</f>
        <v/>
      </c>
      <c r="J3345" s="11">
        <f>MAX(0,M3345-N3345)</f>
        <v/>
      </c>
      <c r="K3345" s="11">
        <f>O3345</f>
        <v/>
      </c>
      <c r="L3345" s="11">
        <f>L3344+IF(K3345&gt;0,K3345*Summary!$B$9,K3345/Summary!$B$9)</f>
        <v/>
      </c>
      <c r="M3345" s="11">
        <f>G3345+H3345</f>
        <v/>
      </c>
      <c r="N3345" s="11">
        <f>Summary!$C$16*Summary!$B$8</f>
        <v/>
      </c>
      <c r="O3345" s="11">
        <f>M3345-N3345</f>
        <v/>
      </c>
    </row>
    <row r="3346">
      <c r="A3346" s="9" t="n">
        <v>45431.33333333334</v>
      </c>
      <c r="B3346" t="n">
        <v>5</v>
      </c>
      <c r="C3346" t="n">
        <v>19</v>
      </c>
      <c r="D3346" t="n">
        <v>8</v>
      </c>
      <c r="E3346" s="10" t="n">
        <v>0.494221</v>
      </c>
      <c r="F3346" s="10" t="n">
        <v>0.07908237097976903</v>
      </c>
      <c r="G3346" s="11">
        <f>E3346*Summary!$B$6</f>
        <v/>
      </c>
      <c r="H3346" s="11">
        <f>F3346*Summary!$B$7</f>
        <v/>
      </c>
      <c r="I3346" s="11">
        <f>MAX(0,N3346-M3346)</f>
        <v/>
      </c>
      <c r="J3346" s="11">
        <f>MAX(0,M3346-N3346)</f>
        <v/>
      </c>
      <c r="K3346" s="11">
        <f>O3346</f>
        <v/>
      </c>
      <c r="L3346" s="11">
        <f>L3345+IF(K3346&gt;0,K3346*Summary!$B$9,K3346/Summary!$B$9)</f>
        <v/>
      </c>
      <c r="M3346" s="11">
        <f>G3346+H3346</f>
        <v/>
      </c>
      <c r="N3346" s="11">
        <f>Summary!$C$16*Summary!$B$8</f>
        <v/>
      </c>
      <c r="O3346" s="11">
        <f>M3346-N3346</f>
        <v/>
      </c>
    </row>
    <row r="3347">
      <c r="A3347" s="9" t="n">
        <v>45431.375</v>
      </c>
      <c r="B3347" t="n">
        <v>5</v>
      </c>
      <c r="C3347" t="n">
        <v>19</v>
      </c>
      <c r="D3347" t="n">
        <v>9</v>
      </c>
      <c r="E3347" s="10" t="n">
        <v>0.567087</v>
      </c>
      <c r="F3347" s="10" t="n">
        <v>0.07816005075841219</v>
      </c>
      <c r="G3347" s="11">
        <f>E3347*Summary!$B$6</f>
        <v/>
      </c>
      <c r="H3347" s="11">
        <f>F3347*Summary!$B$7</f>
        <v/>
      </c>
      <c r="I3347" s="11">
        <f>MAX(0,N3347-M3347)</f>
        <v/>
      </c>
      <c r="J3347" s="11">
        <f>MAX(0,M3347-N3347)</f>
        <v/>
      </c>
      <c r="K3347" s="11">
        <f>O3347</f>
        <v/>
      </c>
      <c r="L3347" s="11">
        <f>L3346+IF(K3347&gt;0,K3347*Summary!$B$9,K3347/Summary!$B$9)</f>
        <v/>
      </c>
      <c r="M3347" s="11">
        <f>G3347+H3347</f>
        <v/>
      </c>
      <c r="N3347" s="11">
        <f>Summary!$C$16*Summary!$B$8</f>
        <v/>
      </c>
      <c r="O3347" s="11">
        <f>M3347-N3347</f>
        <v/>
      </c>
    </row>
    <row r="3348">
      <c r="A3348" s="9" t="n">
        <v>45431.41666666666</v>
      </c>
      <c r="B3348" t="n">
        <v>5</v>
      </c>
      <c r="C3348" t="n">
        <v>19</v>
      </c>
      <c r="D3348" t="n">
        <v>10</v>
      </c>
      <c r="E3348" s="10" t="n">
        <v>0.5828410000000001</v>
      </c>
      <c r="F3348" s="10" t="n">
        <v>0.08532779647867116</v>
      </c>
      <c r="G3348" s="11">
        <f>E3348*Summary!$B$6</f>
        <v/>
      </c>
      <c r="H3348" s="11">
        <f>F3348*Summary!$B$7</f>
        <v/>
      </c>
      <c r="I3348" s="11">
        <f>MAX(0,N3348-M3348)</f>
        <v/>
      </c>
      <c r="J3348" s="11">
        <f>MAX(0,M3348-N3348)</f>
        <v/>
      </c>
      <c r="K3348" s="11">
        <f>O3348</f>
        <v/>
      </c>
      <c r="L3348" s="11">
        <f>L3347+IF(K3348&gt;0,K3348*Summary!$B$9,K3348/Summary!$B$9)</f>
        <v/>
      </c>
      <c r="M3348" s="11">
        <f>G3348+H3348</f>
        <v/>
      </c>
      <c r="N3348" s="11">
        <f>Summary!$C$16*Summary!$B$8</f>
        <v/>
      </c>
      <c r="O3348" s="11">
        <f>M3348-N3348</f>
        <v/>
      </c>
    </row>
    <row r="3349">
      <c r="A3349" s="9" t="n">
        <v>45431.45833333334</v>
      </c>
      <c r="B3349" t="n">
        <v>5</v>
      </c>
      <c r="C3349" t="n">
        <v>19</v>
      </c>
      <c r="D3349" t="n">
        <v>11</v>
      </c>
      <c r="E3349" s="10" t="n">
        <v>0.754058</v>
      </c>
      <c r="F3349" s="10" t="n">
        <v>0.08574942857986285</v>
      </c>
      <c r="G3349" s="11">
        <f>E3349*Summary!$B$6</f>
        <v/>
      </c>
      <c r="H3349" s="11">
        <f>F3349*Summary!$B$7</f>
        <v/>
      </c>
      <c r="I3349" s="11">
        <f>MAX(0,N3349-M3349)</f>
        <v/>
      </c>
      <c r="J3349" s="11">
        <f>MAX(0,M3349-N3349)</f>
        <v/>
      </c>
      <c r="K3349" s="11">
        <f>O3349</f>
        <v/>
      </c>
      <c r="L3349" s="11">
        <f>L3348+IF(K3349&gt;0,K3349*Summary!$B$9,K3349/Summary!$B$9)</f>
        <v/>
      </c>
      <c r="M3349" s="11">
        <f>G3349+H3349</f>
        <v/>
      </c>
      <c r="N3349" s="11">
        <f>Summary!$C$16*Summary!$B$8</f>
        <v/>
      </c>
      <c r="O3349" s="11">
        <f>M3349-N3349</f>
        <v/>
      </c>
    </row>
    <row r="3350">
      <c r="A3350" s="9" t="n">
        <v>45431.5</v>
      </c>
      <c r="B3350" t="n">
        <v>5</v>
      </c>
      <c r="C3350" t="n">
        <v>19</v>
      </c>
      <c r="D3350" t="n">
        <v>12</v>
      </c>
      <c r="E3350" s="10" t="n">
        <v>0.677898</v>
      </c>
      <c r="F3350" s="10" t="n">
        <v>0.09331245439498906</v>
      </c>
      <c r="G3350" s="11">
        <f>E3350*Summary!$B$6</f>
        <v/>
      </c>
      <c r="H3350" s="11">
        <f>F3350*Summary!$B$7</f>
        <v/>
      </c>
      <c r="I3350" s="11">
        <f>MAX(0,N3350-M3350)</f>
        <v/>
      </c>
      <c r="J3350" s="11">
        <f>MAX(0,M3350-N3350)</f>
        <v/>
      </c>
      <c r="K3350" s="11">
        <f>O3350</f>
        <v/>
      </c>
      <c r="L3350" s="11">
        <f>L3349+IF(K3350&gt;0,K3350*Summary!$B$9,K3350/Summary!$B$9)</f>
        <v/>
      </c>
      <c r="M3350" s="11">
        <f>G3350+H3350</f>
        <v/>
      </c>
      <c r="N3350" s="11">
        <f>Summary!$C$16*Summary!$B$8</f>
        <v/>
      </c>
      <c r="O3350" s="11">
        <f>M3350-N3350</f>
        <v/>
      </c>
    </row>
    <row r="3351">
      <c r="A3351" s="9" t="n">
        <v>45431.54166666666</v>
      </c>
      <c r="B3351" t="n">
        <v>5</v>
      </c>
      <c r="C3351" t="n">
        <v>19</v>
      </c>
      <c r="D3351" t="n">
        <v>13</v>
      </c>
      <c r="E3351" s="10" t="n">
        <v>0.46066</v>
      </c>
      <c r="F3351" s="10" t="n">
        <v>0.1027991766718024</v>
      </c>
      <c r="G3351" s="11">
        <f>E3351*Summary!$B$6</f>
        <v/>
      </c>
      <c r="H3351" s="11">
        <f>F3351*Summary!$B$7</f>
        <v/>
      </c>
      <c r="I3351" s="11">
        <f>MAX(0,N3351-M3351)</f>
        <v/>
      </c>
      <c r="J3351" s="11">
        <f>MAX(0,M3351-N3351)</f>
        <v/>
      </c>
      <c r="K3351" s="11">
        <f>O3351</f>
        <v/>
      </c>
      <c r="L3351" s="11">
        <f>L3350+IF(K3351&gt;0,K3351*Summary!$B$9,K3351/Summary!$B$9)</f>
        <v/>
      </c>
      <c r="M3351" s="11">
        <f>G3351+H3351</f>
        <v/>
      </c>
      <c r="N3351" s="11">
        <f>Summary!$C$16*Summary!$B$8</f>
        <v/>
      </c>
      <c r="O3351" s="11">
        <f>M3351-N3351</f>
        <v/>
      </c>
    </row>
    <row r="3352">
      <c r="A3352" s="9" t="n">
        <v>45431.58333333334</v>
      </c>
      <c r="B3352" t="n">
        <v>5</v>
      </c>
      <c r="C3352" t="n">
        <v>19</v>
      </c>
      <c r="D3352" t="n">
        <v>14</v>
      </c>
      <c r="E3352" s="10" t="n">
        <v>0.508073</v>
      </c>
      <c r="F3352" s="10" t="n">
        <v>0.1105203145248755</v>
      </c>
      <c r="G3352" s="11">
        <f>E3352*Summary!$B$6</f>
        <v/>
      </c>
      <c r="H3352" s="11">
        <f>F3352*Summary!$B$7</f>
        <v/>
      </c>
      <c r="I3352" s="11">
        <f>MAX(0,N3352-M3352)</f>
        <v/>
      </c>
      <c r="J3352" s="11">
        <f>MAX(0,M3352-N3352)</f>
        <v/>
      </c>
      <c r="K3352" s="11">
        <f>O3352</f>
        <v/>
      </c>
      <c r="L3352" s="11">
        <f>L3351+IF(K3352&gt;0,K3352*Summary!$B$9,K3352/Summary!$B$9)</f>
        <v/>
      </c>
      <c r="M3352" s="11">
        <f>G3352+H3352</f>
        <v/>
      </c>
      <c r="N3352" s="11">
        <f>Summary!$C$16*Summary!$B$8</f>
        <v/>
      </c>
      <c r="O3352" s="11">
        <f>M3352-N3352</f>
        <v/>
      </c>
    </row>
    <row r="3353">
      <c r="A3353" s="9" t="n">
        <v>45431.625</v>
      </c>
      <c r="B3353" t="n">
        <v>5</v>
      </c>
      <c r="C3353" t="n">
        <v>19</v>
      </c>
      <c r="D3353" t="n">
        <v>15</v>
      </c>
      <c r="E3353" s="10" t="n">
        <v>0.452122</v>
      </c>
      <c r="F3353" s="10" t="n">
        <v>0.1206131329471519</v>
      </c>
      <c r="G3353" s="11">
        <f>E3353*Summary!$B$6</f>
        <v/>
      </c>
      <c r="H3353" s="11">
        <f>F3353*Summary!$B$7</f>
        <v/>
      </c>
      <c r="I3353" s="11">
        <f>MAX(0,N3353-M3353)</f>
        <v/>
      </c>
      <c r="J3353" s="11">
        <f>MAX(0,M3353-N3353)</f>
        <v/>
      </c>
      <c r="K3353" s="11">
        <f>O3353</f>
        <v/>
      </c>
      <c r="L3353" s="11">
        <f>L3352+IF(K3353&gt;0,K3353*Summary!$B$9,K3353/Summary!$B$9)</f>
        <v/>
      </c>
      <c r="M3353" s="11">
        <f>G3353+H3353</f>
        <v/>
      </c>
      <c r="N3353" s="11">
        <f>Summary!$C$16*Summary!$B$8</f>
        <v/>
      </c>
      <c r="O3353" s="11">
        <f>M3353-N3353</f>
        <v/>
      </c>
    </row>
    <row r="3354">
      <c r="A3354" s="9" t="n">
        <v>45431.66666666666</v>
      </c>
      <c r="B3354" t="n">
        <v>5</v>
      </c>
      <c r="C3354" t="n">
        <v>19</v>
      </c>
      <c r="D3354" t="n">
        <v>16</v>
      </c>
      <c r="E3354" s="10" t="n">
        <v>0.191519</v>
      </c>
      <c r="F3354" s="10" t="n">
        <v>0.1277018226484374</v>
      </c>
      <c r="G3354" s="11">
        <f>E3354*Summary!$B$6</f>
        <v/>
      </c>
      <c r="H3354" s="11">
        <f>F3354*Summary!$B$7</f>
        <v/>
      </c>
      <c r="I3354" s="11">
        <f>MAX(0,N3354-M3354)</f>
        <v/>
      </c>
      <c r="J3354" s="11">
        <f>MAX(0,M3354-N3354)</f>
        <v/>
      </c>
      <c r="K3354" s="11">
        <f>O3354</f>
        <v/>
      </c>
      <c r="L3354" s="11">
        <f>L3353+IF(K3354&gt;0,K3354*Summary!$B$9,K3354/Summary!$B$9)</f>
        <v/>
      </c>
      <c r="M3354" s="11">
        <f>G3354+H3354</f>
        <v/>
      </c>
      <c r="N3354" s="11">
        <f>Summary!$C$16*Summary!$B$8</f>
        <v/>
      </c>
      <c r="O3354" s="11">
        <f>M3354-N3354</f>
        <v/>
      </c>
    </row>
    <row r="3355">
      <c r="A3355" s="9" t="n">
        <v>45431.70833333334</v>
      </c>
      <c r="B3355" t="n">
        <v>5</v>
      </c>
      <c r="C3355" t="n">
        <v>19</v>
      </c>
      <c r="D3355" t="n">
        <v>17</v>
      </c>
      <c r="E3355" s="10" t="n">
        <v>0.158897</v>
      </c>
      <c r="F3355" s="10" t="n">
        <v>0.1265950383828092</v>
      </c>
      <c r="G3355" s="11">
        <f>E3355*Summary!$B$6</f>
        <v/>
      </c>
      <c r="H3355" s="11">
        <f>F3355*Summary!$B$7</f>
        <v/>
      </c>
      <c r="I3355" s="11">
        <f>MAX(0,N3355-M3355)</f>
        <v/>
      </c>
      <c r="J3355" s="11">
        <f>MAX(0,M3355-N3355)</f>
        <v/>
      </c>
      <c r="K3355" s="11">
        <f>O3355</f>
        <v/>
      </c>
      <c r="L3355" s="11">
        <f>L3354+IF(K3355&gt;0,K3355*Summary!$B$9,K3355/Summary!$B$9)</f>
        <v/>
      </c>
      <c r="M3355" s="11">
        <f>G3355+H3355</f>
        <v/>
      </c>
      <c r="N3355" s="11">
        <f>Summary!$C$16*Summary!$B$8</f>
        <v/>
      </c>
      <c r="O3355" s="11">
        <f>M3355-N3355</f>
        <v/>
      </c>
    </row>
    <row r="3356">
      <c r="A3356" s="9" t="n">
        <v>45431.75</v>
      </c>
      <c r="B3356" t="n">
        <v>5</v>
      </c>
      <c r="C3356" t="n">
        <v>19</v>
      </c>
      <c r="D3356" t="n">
        <v>18</v>
      </c>
      <c r="E3356" s="10" t="n">
        <v>0.064119</v>
      </c>
      <c r="F3356" s="10" t="n">
        <v>0.1284660308318474</v>
      </c>
      <c r="G3356" s="11">
        <f>E3356*Summary!$B$6</f>
        <v/>
      </c>
      <c r="H3356" s="11">
        <f>F3356*Summary!$B$7</f>
        <v/>
      </c>
      <c r="I3356" s="11">
        <f>MAX(0,N3356-M3356)</f>
        <v/>
      </c>
      <c r="J3356" s="11">
        <f>MAX(0,M3356-N3356)</f>
        <v/>
      </c>
      <c r="K3356" s="11">
        <f>O3356</f>
        <v/>
      </c>
      <c r="L3356" s="11">
        <f>L3355+IF(K3356&gt;0,K3356*Summary!$B$9,K3356/Summary!$B$9)</f>
        <v/>
      </c>
      <c r="M3356" s="11">
        <f>G3356+H3356</f>
        <v/>
      </c>
      <c r="N3356" s="11">
        <f>Summary!$C$16*Summary!$B$8</f>
        <v/>
      </c>
      <c r="O3356" s="11">
        <f>M3356-N3356</f>
        <v/>
      </c>
    </row>
    <row r="3357">
      <c r="A3357" s="9" t="n">
        <v>45431.79166666666</v>
      </c>
      <c r="B3357" t="n">
        <v>5</v>
      </c>
      <c r="C3357" t="n">
        <v>19</v>
      </c>
      <c r="D3357" t="n">
        <v>19</v>
      </c>
      <c r="E3357" s="10" t="n">
        <v>0.027682</v>
      </c>
      <c r="F3357" s="10" t="n">
        <v>0.143223154373557</v>
      </c>
      <c r="G3357" s="11">
        <f>E3357*Summary!$B$6</f>
        <v/>
      </c>
      <c r="H3357" s="11">
        <f>F3357*Summary!$B$7</f>
        <v/>
      </c>
      <c r="I3357" s="11">
        <f>MAX(0,N3357-M3357)</f>
        <v/>
      </c>
      <c r="J3357" s="11">
        <f>MAX(0,M3357-N3357)</f>
        <v/>
      </c>
      <c r="K3357" s="11">
        <f>O3357</f>
        <v/>
      </c>
      <c r="L3357" s="11">
        <f>L3356+IF(K3357&gt;0,K3357*Summary!$B$9,K3357/Summary!$B$9)</f>
        <v/>
      </c>
      <c r="M3357" s="11">
        <f>G3357+H3357</f>
        <v/>
      </c>
      <c r="N3357" s="11">
        <f>Summary!$C$16*Summary!$B$8</f>
        <v/>
      </c>
      <c r="O3357" s="11">
        <f>M3357-N3357</f>
        <v/>
      </c>
    </row>
    <row r="3358">
      <c r="A3358" s="9" t="n">
        <v>45431.83333333334</v>
      </c>
      <c r="B3358" t="n">
        <v>5</v>
      </c>
      <c r="C3358" t="n">
        <v>19</v>
      </c>
      <c r="D3358" t="n">
        <v>20</v>
      </c>
      <c r="E3358" s="10" t="n">
        <v>0</v>
      </c>
      <c r="F3358" s="10" t="n">
        <v>0.1687846005083041</v>
      </c>
      <c r="G3358" s="11">
        <f>E3358*Summary!$B$6</f>
        <v/>
      </c>
      <c r="H3358" s="11">
        <f>F3358*Summary!$B$7</f>
        <v/>
      </c>
      <c r="I3358" s="11">
        <f>MAX(0,N3358-M3358)</f>
        <v/>
      </c>
      <c r="J3358" s="11">
        <f>MAX(0,M3358-N3358)</f>
        <v/>
      </c>
      <c r="K3358" s="11">
        <f>O3358</f>
        <v/>
      </c>
      <c r="L3358" s="11">
        <f>L3357+IF(K3358&gt;0,K3358*Summary!$B$9,K3358/Summary!$B$9)</f>
        <v/>
      </c>
      <c r="M3358" s="11">
        <f>G3358+H3358</f>
        <v/>
      </c>
      <c r="N3358" s="11">
        <f>Summary!$C$16*Summary!$B$8</f>
        <v/>
      </c>
      <c r="O3358" s="11">
        <f>M3358-N3358</f>
        <v/>
      </c>
    </row>
    <row r="3359">
      <c r="A3359" s="9" t="n">
        <v>45431.875</v>
      </c>
      <c r="B3359" t="n">
        <v>5</v>
      </c>
      <c r="C3359" t="n">
        <v>19</v>
      </c>
      <c r="D3359" t="n">
        <v>21</v>
      </c>
      <c r="E3359" s="10" t="n">
        <v>0</v>
      </c>
      <c r="F3359" s="10" t="n">
        <v>0.1901824296437831</v>
      </c>
      <c r="G3359" s="11">
        <f>E3359*Summary!$B$6</f>
        <v/>
      </c>
      <c r="H3359" s="11">
        <f>F3359*Summary!$B$7</f>
        <v/>
      </c>
      <c r="I3359" s="11">
        <f>MAX(0,N3359-M3359)</f>
        <v/>
      </c>
      <c r="J3359" s="11">
        <f>MAX(0,M3359-N3359)</f>
        <v/>
      </c>
      <c r="K3359" s="11">
        <f>O3359</f>
        <v/>
      </c>
      <c r="L3359" s="11">
        <f>L3358+IF(K3359&gt;0,K3359*Summary!$B$9,K3359/Summary!$B$9)</f>
        <v/>
      </c>
      <c r="M3359" s="11">
        <f>G3359+H3359</f>
        <v/>
      </c>
      <c r="N3359" s="11">
        <f>Summary!$C$16*Summary!$B$8</f>
        <v/>
      </c>
      <c r="O3359" s="11">
        <f>M3359-N3359</f>
        <v/>
      </c>
    </row>
    <row r="3360">
      <c r="A3360" s="9" t="n">
        <v>45431.91666666666</v>
      </c>
      <c r="B3360" t="n">
        <v>5</v>
      </c>
      <c r="C3360" t="n">
        <v>19</v>
      </c>
      <c r="D3360" t="n">
        <v>22</v>
      </c>
      <c r="E3360" s="10" t="n">
        <v>0</v>
      </c>
      <c r="F3360" s="10" t="n">
        <v>0.208892354134165</v>
      </c>
      <c r="G3360" s="11">
        <f>E3360*Summary!$B$6</f>
        <v/>
      </c>
      <c r="H3360" s="11">
        <f>F3360*Summary!$B$7</f>
        <v/>
      </c>
      <c r="I3360" s="11">
        <f>MAX(0,N3360-M3360)</f>
        <v/>
      </c>
      <c r="J3360" s="11">
        <f>MAX(0,M3360-N3360)</f>
        <v/>
      </c>
      <c r="K3360" s="11">
        <f>O3360</f>
        <v/>
      </c>
      <c r="L3360" s="11">
        <f>L3359+IF(K3360&gt;0,K3360*Summary!$B$9,K3360/Summary!$B$9)</f>
        <v/>
      </c>
      <c r="M3360" s="11">
        <f>G3360+H3360</f>
        <v/>
      </c>
      <c r="N3360" s="11">
        <f>Summary!$C$16*Summary!$B$8</f>
        <v/>
      </c>
      <c r="O3360" s="11">
        <f>M3360-N3360</f>
        <v/>
      </c>
    </row>
    <row r="3361">
      <c r="A3361" s="9" t="n">
        <v>45431.95833333334</v>
      </c>
      <c r="B3361" t="n">
        <v>5</v>
      </c>
      <c r="C3361" t="n">
        <v>19</v>
      </c>
      <c r="D3361" t="n">
        <v>23</v>
      </c>
      <c r="E3361" s="10" t="n">
        <v>0</v>
      </c>
      <c r="F3361" s="10" t="n">
        <v>0.2216203731888896</v>
      </c>
      <c r="G3361" s="11">
        <f>E3361*Summary!$B$6</f>
        <v/>
      </c>
      <c r="H3361" s="11">
        <f>F3361*Summary!$B$7</f>
        <v/>
      </c>
      <c r="I3361" s="11">
        <f>MAX(0,N3361-M3361)</f>
        <v/>
      </c>
      <c r="J3361" s="11">
        <f>MAX(0,M3361-N3361)</f>
        <v/>
      </c>
      <c r="K3361" s="11">
        <f>O3361</f>
        <v/>
      </c>
      <c r="L3361" s="11">
        <f>L3360+IF(K3361&gt;0,K3361*Summary!$B$9,K3361/Summary!$B$9)</f>
        <v/>
      </c>
      <c r="M3361" s="11">
        <f>G3361+H3361</f>
        <v/>
      </c>
      <c r="N3361" s="11">
        <f>Summary!$C$16*Summary!$B$8</f>
        <v/>
      </c>
      <c r="O3361" s="11">
        <f>M3361-N3361</f>
        <v/>
      </c>
    </row>
    <row r="3362">
      <c r="A3362" s="9" t="n">
        <v>45432</v>
      </c>
      <c r="B3362" t="n">
        <v>5</v>
      </c>
      <c r="C3362" t="n">
        <v>20</v>
      </c>
      <c r="D3362" t="n">
        <v>0</v>
      </c>
      <c r="E3362" s="10" t="n">
        <v>0</v>
      </c>
      <c r="F3362" s="10" t="n">
        <v>0.2095775062986015</v>
      </c>
      <c r="G3362" s="11">
        <f>E3362*Summary!$B$6</f>
        <v/>
      </c>
      <c r="H3362" s="11">
        <f>F3362*Summary!$B$7</f>
        <v/>
      </c>
      <c r="I3362" s="11">
        <f>MAX(0,N3362-M3362)</f>
        <v/>
      </c>
      <c r="J3362" s="11">
        <f>MAX(0,M3362-N3362)</f>
        <v/>
      </c>
      <c r="K3362" s="11">
        <f>O3362</f>
        <v/>
      </c>
      <c r="L3362" s="11">
        <f>L3361+IF(K3362&gt;0,K3362*Summary!$B$9,K3362/Summary!$B$9)</f>
        <v/>
      </c>
      <c r="M3362" s="11">
        <f>G3362+H3362</f>
        <v/>
      </c>
      <c r="N3362" s="11">
        <f>Summary!$C$16*Summary!$B$8</f>
        <v/>
      </c>
      <c r="O3362" s="11">
        <f>M3362-N3362</f>
        <v/>
      </c>
    </row>
    <row r="3363">
      <c r="A3363" s="9" t="n">
        <v>45432.04166666666</v>
      </c>
      <c r="B3363" t="n">
        <v>5</v>
      </c>
      <c r="C3363" t="n">
        <v>20</v>
      </c>
      <c r="D3363" t="n">
        <v>1</v>
      </c>
      <c r="E3363" s="10" t="n">
        <v>0</v>
      </c>
      <c r="F3363" s="10" t="n">
        <v>0.2310280394467295</v>
      </c>
      <c r="G3363" s="11">
        <f>E3363*Summary!$B$6</f>
        <v/>
      </c>
      <c r="H3363" s="11">
        <f>F3363*Summary!$B$7</f>
        <v/>
      </c>
      <c r="I3363" s="11">
        <f>MAX(0,N3363-M3363)</f>
        <v/>
      </c>
      <c r="J3363" s="11">
        <f>MAX(0,M3363-N3363)</f>
        <v/>
      </c>
      <c r="K3363" s="11">
        <f>O3363</f>
        <v/>
      </c>
      <c r="L3363" s="11">
        <f>L3362+IF(K3363&gt;0,K3363*Summary!$B$9,K3363/Summary!$B$9)</f>
        <v/>
      </c>
      <c r="M3363" s="11">
        <f>G3363+H3363</f>
        <v/>
      </c>
      <c r="N3363" s="11">
        <f>Summary!$C$16*Summary!$B$8</f>
        <v/>
      </c>
      <c r="O3363" s="11">
        <f>M3363-N3363</f>
        <v/>
      </c>
    </row>
    <row r="3364">
      <c r="A3364" s="9" t="n">
        <v>45432.08333333334</v>
      </c>
      <c r="B3364" t="n">
        <v>5</v>
      </c>
      <c r="C3364" t="n">
        <v>20</v>
      </c>
      <c r="D3364" t="n">
        <v>2</v>
      </c>
      <c r="E3364" s="10" t="n">
        <v>0</v>
      </c>
      <c r="F3364" s="10" t="n">
        <v>0.2360876246610299</v>
      </c>
      <c r="G3364" s="11">
        <f>E3364*Summary!$B$6</f>
        <v/>
      </c>
      <c r="H3364" s="11">
        <f>F3364*Summary!$B$7</f>
        <v/>
      </c>
      <c r="I3364" s="11">
        <f>MAX(0,N3364-M3364)</f>
        <v/>
      </c>
      <c r="J3364" s="11">
        <f>MAX(0,M3364-N3364)</f>
        <v/>
      </c>
      <c r="K3364" s="11">
        <f>O3364</f>
        <v/>
      </c>
      <c r="L3364" s="11">
        <f>L3363+IF(K3364&gt;0,K3364*Summary!$B$9,K3364/Summary!$B$9)</f>
        <v/>
      </c>
      <c r="M3364" s="11">
        <f>G3364+H3364</f>
        <v/>
      </c>
      <c r="N3364" s="11">
        <f>Summary!$C$16*Summary!$B$8</f>
        <v/>
      </c>
      <c r="O3364" s="11">
        <f>M3364-N3364</f>
        <v/>
      </c>
    </row>
    <row r="3365">
      <c r="A3365" s="9" t="n">
        <v>45432.125</v>
      </c>
      <c r="B3365" t="n">
        <v>5</v>
      </c>
      <c r="C3365" t="n">
        <v>20</v>
      </c>
      <c r="D3365" t="n">
        <v>3</v>
      </c>
      <c r="E3365" s="10" t="n">
        <v>0</v>
      </c>
      <c r="F3365" s="10" t="n">
        <v>0.2386437692745046</v>
      </c>
      <c r="G3365" s="11">
        <f>E3365*Summary!$B$6</f>
        <v/>
      </c>
      <c r="H3365" s="11">
        <f>F3365*Summary!$B$7</f>
        <v/>
      </c>
      <c r="I3365" s="11">
        <f>MAX(0,N3365-M3365)</f>
        <v/>
      </c>
      <c r="J3365" s="11">
        <f>MAX(0,M3365-N3365)</f>
        <v/>
      </c>
      <c r="K3365" s="11">
        <f>O3365</f>
        <v/>
      </c>
      <c r="L3365" s="11">
        <f>L3364+IF(K3365&gt;0,K3365*Summary!$B$9,K3365/Summary!$B$9)</f>
        <v/>
      </c>
      <c r="M3365" s="11">
        <f>G3365+H3365</f>
        <v/>
      </c>
      <c r="N3365" s="11">
        <f>Summary!$C$16*Summary!$B$8</f>
        <v/>
      </c>
      <c r="O3365" s="11">
        <f>M3365-N3365</f>
        <v/>
      </c>
    </row>
    <row r="3366">
      <c r="A3366" s="9" t="n">
        <v>45432.16666666666</v>
      </c>
      <c r="B3366" t="n">
        <v>5</v>
      </c>
      <c r="C3366" t="n">
        <v>20</v>
      </c>
      <c r="D3366" t="n">
        <v>4</v>
      </c>
      <c r="E3366" s="10" t="n">
        <v>0.017741</v>
      </c>
      <c r="F3366" s="10" t="n">
        <v>0.2351653044396731</v>
      </c>
      <c r="G3366" s="11">
        <f>E3366*Summary!$B$6</f>
        <v/>
      </c>
      <c r="H3366" s="11">
        <f>F3366*Summary!$B$7</f>
        <v/>
      </c>
      <c r="I3366" s="11">
        <f>MAX(0,N3366-M3366)</f>
        <v/>
      </c>
      <c r="J3366" s="11">
        <f>MAX(0,M3366-N3366)</f>
        <v/>
      </c>
      <c r="K3366" s="11">
        <f>O3366</f>
        <v/>
      </c>
      <c r="L3366" s="11">
        <f>L3365+IF(K3366&gt;0,K3366*Summary!$B$9,K3366/Summary!$B$9)</f>
        <v/>
      </c>
      <c r="M3366" s="11">
        <f>G3366+H3366</f>
        <v/>
      </c>
      <c r="N3366" s="11">
        <f>Summary!$C$16*Summary!$B$8</f>
        <v/>
      </c>
      <c r="O3366" s="11">
        <f>M3366-N3366</f>
        <v/>
      </c>
    </row>
    <row r="3367">
      <c r="A3367" s="9" t="n">
        <v>45432.20833333334</v>
      </c>
      <c r="B3367" t="n">
        <v>5</v>
      </c>
      <c r="C3367" t="n">
        <v>20</v>
      </c>
      <c r="D3367" t="n">
        <v>5</v>
      </c>
      <c r="E3367" s="10" t="n">
        <v>0.065183</v>
      </c>
      <c r="F3367" s="10" t="n">
        <v>0.2109214586211501</v>
      </c>
      <c r="G3367" s="11">
        <f>E3367*Summary!$B$6</f>
        <v/>
      </c>
      <c r="H3367" s="11">
        <f>F3367*Summary!$B$7</f>
        <v/>
      </c>
      <c r="I3367" s="11">
        <f>MAX(0,N3367-M3367)</f>
        <v/>
      </c>
      <c r="J3367" s="11">
        <f>MAX(0,M3367-N3367)</f>
        <v/>
      </c>
      <c r="K3367" s="11">
        <f>O3367</f>
        <v/>
      </c>
      <c r="L3367" s="11">
        <f>L3366+IF(K3367&gt;0,K3367*Summary!$B$9,K3367/Summary!$B$9)</f>
        <v/>
      </c>
      <c r="M3367" s="11">
        <f>G3367+H3367</f>
        <v/>
      </c>
      <c r="N3367" s="11">
        <f>Summary!$C$16*Summary!$B$8</f>
        <v/>
      </c>
      <c r="O3367" s="11">
        <f>M3367-N3367</f>
        <v/>
      </c>
    </row>
    <row r="3368">
      <c r="A3368" s="9" t="n">
        <v>45432.25</v>
      </c>
      <c r="B3368" t="n">
        <v>5</v>
      </c>
      <c r="C3368" t="n">
        <v>20</v>
      </c>
      <c r="D3368" t="n">
        <v>6</v>
      </c>
      <c r="E3368" s="10" t="n">
        <v>0.167552</v>
      </c>
      <c r="F3368" s="10" t="n">
        <v>0.1840160601638544</v>
      </c>
      <c r="G3368" s="11">
        <f>E3368*Summary!$B$6</f>
        <v/>
      </c>
      <c r="H3368" s="11">
        <f>F3368*Summary!$B$7</f>
        <v/>
      </c>
      <c r="I3368" s="11">
        <f>MAX(0,N3368-M3368)</f>
        <v/>
      </c>
      <c r="J3368" s="11">
        <f>MAX(0,M3368-N3368)</f>
        <v/>
      </c>
      <c r="K3368" s="11">
        <f>O3368</f>
        <v/>
      </c>
      <c r="L3368" s="11">
        <f>L3367+IF(K3368&gt;0,K3368*Summary!$B$9,K3368/Summary!$B$9)</f>
        <v/>
      </c>
      <c r="M3368" s="11">
        <f>G3368+H3368</f>
        <v/>
      </c>
      <c r="N3368" s="11">
        <f>Summary!$C$16*Summary!$B$8</f>
        <v/>
      </c>
      <c r="O3368" s="11">
        <f>M3368-N3368</f>
        <v/>
      </c>
    </row>
    <row r="3369">
      <c r="A3369" s="9" t="n">
        <v>45432.29166666666</v>
      </c>
      <c r="B3369" t="n">
        <v>5</v>
      </c>
      <c r="C3369" t="n">
        <v>20</v>
      </c>
      <c r="D3369" t="n">
        <v>7</v>
      </c>
      <c r="E3369" s="10" t="n">
        <v>0.359291</v>
      </c>
      <c r="F3369" s="10" t="n">
        <v>0.1648054475533074</v>
      </c>
      <c r="G3369" s="11">
        <f>E3369*Summary!$B$6</f>
        <v/>
      </c>
      <c r="H3369" s="11">
        <f>F3369*Summary!$B$7</f>
        <v/>
      </c>
      <c r="I3369" s="11">
        <f>MAX(0,N3369-M3369)</f>
        <v/>
      </c>
      <c r="J3369" s="11">
        <f>MAX(0,M3369-N3369)</f>
        <v/>
      </c>
      <c r="K3369" s="11">
        <f>O3369</f>
        <v/>
      </c>
      <c r="L3369" s="11">
        <f>L3368+IF(K3369&gt;0,K3369*Summary!$B$9,K3369/Summary!$B$9)</f>
        <v/>
      </c>
      <c r="M3369" s="11">
        <f>G3369+H3369</f>
        <v/>
      </c>
      <c r="N3369" s="11">
        <f>Summary!$C$16*Summary!$B$8</f>
        <v/>
      </c>
      <c r="O3369" s="11">
        <f>M3369-N3369</f>
        <v/>
      </c>
    </row>
    <row r="3370">
      <c r="A3370" s="9" t="n">
        <v>45432.33333333334</v>
      </c>
      <c r="B3370" t="n">
        <v>5</v>
      </c>
      <c r="C3370" t="n">
        <v>20</v>
      </c>
      <c r="D3370" t="n">
        <v>8</v>
      </c>
      <c r="E3370" s="10" t="n">
        <v>0.520323</v>
      </c>
      <c r="F3370" s="10" t="n">
        <v>0.1502591400621936</v>
      </c>
      <c r="G3370" s="11">
        <f>E3370*Summary!$B$6</f>
        <v/>
      </c>
      <c r="H3370" s="11">
        <f>F3370*Summary!$B$7</f>
        <v/>
      </c>
      <c r="I3370" s="11">
        <f>MAX(0,N3370-M3370)</f>
        <v/>
      </c>
      <c r="J3370" s="11">
        <f>MAX(0,M3370-N3370)</f>
        <v/>
      </c>
      <c r="K3370" s="11">
        <f>O3370</f>
        <v/>
      </c>
      <c r="L3370" s="11">
        <f>L3369+IF(K3370&gt;0,K3370*Summary!$B$9,K3370/Summary!$B$9)</f>
        <v/>
      </c>
      <c r="M3370" s="11">
        <f>G3370+H3370</f>
        <v/>
      </c>
      <c r="N3370" s="11">
        <f>Summary!$C$16*Summary!$B$8</f>
        <v/>
      </c>
      <c r="O3370" s="11">
        <f>M3370-N3370</f>
        <v/>
      </c>
    </row>
    <row r="3371">
      <c r="A3371" s="9" t="n">
        <v>45432.375</v>
      </c>
      <c r="B3371" t="n">
        <v>5</v>
      </c>
      <c r="C3371" t="n">
        <v>20</v>
      </c>
      <c r="D3371" t="n">
        <v>9</v>
      </c>
      <c r="E3371" s="10" t="n">
        <v>0.6348819999999999</v>
      </c>
      <c r="F3371" s="10" t="n">
        <v>0.1423271861585247</v>
      </c>
      <c r="G3371" s="11">
        <f>E3371*Summary!$B$6</f>
        <v/>
      </c>
      <c r="H3371" s="11">
        <f>F3371*Summary!$B$7</f>
        <v/>
      </c>
      <c r="I3371" s="11">
        <f>MAX(0,N3371-M3371)</f>
        <v/>
      </c>
      <c r="J3371" s="11">
        <f>MAX(0,M3371-N3371)</f>
        <v/>
      </c>
      <c r="K3371" s="11">
        <f>O3371</f>
        <v/>
      </c>
      <c r="L3371" s="11">
        <f>L3370+IF(K3371&gt;0,K3371*Summary!$B$9,K3371/Summary!$B$9)</f>
        <v/>
      </c>
      <c r="M3371" s="11">
        <f>G3371+H3371</f>
        <v/>
      </c>
      <c r="N3371" s="11">
        <f>Summary!$C$16*Summary!$B$8</f>
        <v/>
      </c>
      <c r="O3371" s="11">
        <f>M3371-N3371</f>
        <v/>
      </c>
    </row>
    <row r="3372">
      <c r="A3372" s="9" t="n">
        <v>45432.41666666666</v>
      </c>
      <c r="B3372" t="n">
        <v>5</v>
      </c>
      <c r="C3372" t="n">
        <v>20</v>
      </c>
      <c r="D3372" t="n">
        <v>10</v>
      </c>
      <c r="E3372" s="10" t="n">
        <v>0.754058</v>
      </c>
      <c r="F3372" s="10" t="n">
        <v>0.1399555055893213</v>
      </c>
      <c r="G3372" s="11">
        <f>E3372*Summary!$B$6</f>
        <v/>
      </c>
      <c r="H3372" s="11">
        <f>F3372*Summary!$B$7</f>
        <v/>
      </c>
      <c r="I3372" s="11">
        <f>MAX(0,N3372-M3372)</f>
        <v/>
      </c>
      <c r="J3372" s="11">
        <f>MAX(0,M3372-N3372)</f>
        <v/>
      </c>
      <c r="K3372" s="11">
        <f>O3372</f>
        <v/>
      </c>
      <c r="L3372" s="11">
        <f>L3371+IF(K3372&gt;0,K3372*Summary!$B$9,K3372/Summary!$B$9)</f>
        <v/>
      </c>
      <c r="M3372" s="11">
        <f>G3372+H3372</f>
        <v/>
      </c>
      <c r="N3372" s="11">
        <f>Summary!$C$16*Summary!$B$8</f>
        <v/>
      </c>
      <c r="O3372" s="11">
        <f>M3372-N3372</f>
        <v/>
      </c>
    </row>
    <row r="3373">
      <c r="A3373" s="9" t="n">
        <v>45432.45833333334</v>
      </c>
      <c r="B3373" t="n">
        <v>5</v>
      </c>
      <c r="C3373" t="n">
        <v>20</v>
      </c>
      <c r="D3373" t="n">
        <v>11</v>
      </c>
      <c r="E3373" s="10" t="n">
        <v>0.737434</v>
      </c>
      <c r="F3373" s="10" t="n">
        <v>0.1408778258106782</v>
      </c>
      <c r="G3373" s="11">
        <f>E3373*Summary!$B$6</f>
        <v/>
      </c>
      <c r="H3373" s="11">
        <f>F3373*Summary!$B$7</f>
        <v/>
      </c>
      <c r="I3373" s="11">
        <f>MAX(0,N3373-M3373)</f>
        <v/>
      </c>
      <c r="J3373" s="11">
        <f>MAX(0,M3373-N3373)</f>
        <v/>
      </c>
      <c r="K3373" s="11">
        <f>O3373</f>
        <v/>
      </c>
      <c r="L3373" s="11">
        <f>L3372+IF(K3373&gt;0,K3373*Summary!$B$9,K3373/Summary!$B$9)</f>
        <v/>
      </c>
      <c r="M3373" s="11">
        <f>G3373+H3373</f>
        <v/>
      </c>
      <c r="N3373" s="11">
        <f>Summary!$C$16*Summary!$B$8</f>
        <v/>
      </c>
      <c r="O3373" s="11">
        <f>M3373-N3373</f>
        <v/>
      </c>
    </row>
    <row r="3374">
      <c r="A3374" s="9" t="n">
        <v>45432.5</v>
      </c>
      <c r="B3374" t="n">
        <v>5</v>
      </c>
      <c r="C3374" t="n">
        <v>20</v>
      </c>
      <c r="D3374" t="n">
        <v>12</v>
      </c>
      <c r="E3374" s="10" t="n">
        <v>0.442133</v>
      </c>
      <c r="F3374" s="10" t="n">
        <v>0.1440137145632915</v>
      </c>
      <c r="G3374" s="11">
        <f>E3374*Summary!$B$6</f>
        <v/>
      </c>
      <c r="H3374" s="11">
        <f>F3374*Summary!$B$7</f>
        <v/>
      </c>
      <c r="I3374" s="11">
        <f>MAX(0,N3374-M3374)</f>
        <v/>
      </c>
      <c r="J3374" s="11">
        <f>MAX(0,M3374-N3374)</f>
        <v/>
      </c>
      <c r="K3374" s="11">
        <f>O3374</f>
        <v/>
      </c>
      <c r="L3374" s="11">
        <f>L3373+IF(K3374&gt;0,K3374*Summary!$B$9,K3374/Summary!$B$9)</f>
        <v/>
      </c>
      <c r="M3374" s="11">
        <f>G3374+H3374</f>
        <v/>
      </c>
      <c r="N3374" s="11">
        <f>Summary!$C$16*Summary!$B$8</f>
        <v/>
      </c>
      <c r="O3374" s="11">
        <f>M3374-N3374</f>
        <v/>
      </c>
    </row>
    <row r="3375">
      <c r="A3375" s="9" t="n">
        <v>45432.54166666666</v>
      </c>
      <c r="B3375" t="n">
        <v>5</v>
      </c>
      <c r="C3375" t="n">
        <v>20</v>
      </c>
      <c r="D3375" t="n">
        <v>13</v>
      </c>
      <c r="E3375" s="10" t="n">
        <v>0.289187</v>
      </c>
      <c r="F3375" s="10" t="n">
        <v>0.1441981786075628</v>
      </c>
      <c r="G3375" s="11">
        <f>E3375*Summary!$B$6</f>
        <v/>
      </c>
      <c r="H3375" s="11">
        <f>F3375*Summary!$B$7</f>
        <v/>
      </c>
      <c r="I3375" s="11">
        <f>MAX(0,N3375-M3375)</f>
        <v/>
      </c>
      <c r="J3375" s="11">
        <f>MAX(0,M3375-N3375)</f>
        <v/>
      </c>
      <c r="K3375" s="11">
        <f>O3375</f>
        <v/>
      </c>
      <c r="L3375" s="11">
        <f>L3374+IF(K3375&gt;0,K3375*Summary!$B$9,K3375/Summary!$B$9)</f>
        <v/>
      </c>
      <c r="M3375" s="11">
        <f>G3375+H3375</f>
        <v/>
      </c>
      <c r="N3375" s="11">
        <f>Summary!$C$16*Summary!$B$8</f>
        <v/>
      </c>
      <c r="O3375" s="11">
        <f>M3375-N3375</f>
        <v/>
      </c>
    </row>
    <row r="3376">
      <c r="A3376" s="9" t="n">
        <v>45432.58333333334</v>
      </c>
      <c r="B3376" t="n">
        <v>5</v>
      </c>
      <c r="C3376" t="n">
        <v>20</v>
      </c>
      <c r="D3376" t="n">
        <v>14</v>
      </c>
      <c r="E3376" s="10" t="n">
        <v>0.236589</v>
      </c>
      <c r="F3376" s="10" t="n">
        <v>0.147597587423421</v>
      </c>
      <c r="G3376" s="11">
        <f>E3376*Summary!$B$6</f>
        <v/>
      </c>
      <c r="H3376" s="11">
        <f>F3376*Summary!$B$7</f>
        <v/>
      </c>
      <c r="I3376" s="11">
        <f>MAX(0,N3376-M3376)</f>
        <v/>
      </c>
      <c r="J3376" s="11">
        <f>MAX(0,M3376-N3376)</f>
        <v/>
      </c>
      <c r="K3376" s="11">
        <f>O3376</f>
        <v/>
      </c>
      <c r="L3376" s="11">
        <f>L3375+IF(K3376&gt;0,K3376*Summary!$B$9,K3376/Summary!$B$9)</f>
        <v/>
      </c>
      <c r="M3376" s="11">
        <f>G3376+H3376</f>
        <v/>
      </c>
      <c r="N3376" s="11">
        <f>Summary!$C$16*Summary!$B$8</f>
        <v/>
      </c>
      <c r="O3376" s="11">
        <f>M3376-N3376</f>
        <v/>
      </c>
    </row>
    <row r="3377">
      <c r="A3377" s="9" t="n">
        <v>45432.625</v>
      </c>
      <c r="B3377" t="n">
        <v>5</v>
      </c>
      <c r="C3377" t="n">
        <v>20</v>
      </c>
      <c r="D3377" t="n">
        <v>15</v>
      </c>
      <c r="E3377" s="10" t="n">
        <v>0.192935</v>
      </c>
      <c r="F3377" s="10" t="n">
        <v>0.1483881476131554</v>
      </c>
      <c r="G3377" s="11">
        <f>E3377*Summary!$B$6</f>
        <v/>
      </c>
      <c r="H3377" s="11">
        <f>F3377*Summary!$B$7</f>
        <v/>
      </c>
      <c r="I3377" s="11">
        <f>MAX(0,N3377-M3377)</f>
        <v/>
      </c>
      <c r="J3377" s="11">
        <f>MAX(0,M3377-N3377)</f>
        <v/>
      </c>
      <c r="K3377" s="11">
        <f>O3377</f>
        <v/>
      </c>
      <c r="L3377" s="11">
        <f>L3376+IF(K3377&gt;0,K3377*Summary!$B$9,K3377/Summary!$B$9)</f>
        <v/>
      </c>
      <c r="M3377" s="11">
        <f>G3377+H3377</f>
        <v/>
      </c>
      <c r="N3377" s="11">
        <f>Summary!$C$16*Summary!$B$8</f>
        <v/>
      </c>
      <c r="O3377" s="11">
        <f>M3377-N3377</f>
        <v/>
      </c>
    </row>
    <row r="3378">
      <c r="A3378" s="9" t="n">
        <v>45432.66666666666</v>
      </c>
      <c r="B3378" t="n">
        <v>5</v>
      </c>
      <c r="C3378" t="n">
        <v>20</v>
      </c>
      <c r="D3378" t="n">
        <v>16</v>
      </c>
      <c r="E3378" s="10" t="n">
        <v>0.106736</v>
      </c>
      <c r="F3378" s="10" t="n">
        <v>0.1490469477712675</v>
      </c>
      <c r="G3378" s="11">
        <f>E3378*Summary!$B$6</f>
        <v/>
      </c>
      <c r="H3378" s="11">
        <f>F3378*Summary!$B$7</f>
        <v/>
      </c>
      <c r="I3378" s="11">
        <f>MAX(0,N3378-M3378)</f>
        <v/>
      </c>
      <c r="J3378" s="11">
        <f>MAX(0,M3378-N3378)</f>
        <v/>
      </c>
      <c r="K3378" s="11">
        <f>O3378</f>
        <v/>
      </c>
      <c r="L3378" s="11">
        <f>L3377+IF(K3378&gt;0,K3378*Summary!$B$9,K3378/Summary!$B$9)</f>
        <v/>
      </c>
      <c r="M3378" s="11">
        <f>G3378+H3378</f>
        <v/>
      </c>
      <c r="N3378" s="11">
        <f>Summary!$C$16*Summary!$B$8</f>
        <v/>
      </c>
      <c r="O3378" s="11">
        <f>M3378-N3378</f>
        <v/>
      </c>
    </row>
    <row r="3379">
      <c r="A3379" s="9" t="n">
        <v>45432.70833333334</v>
      </c>
      <c r="B3379" t="n">
        <v>5</v>
      </c>
      <c r="C3379" t="n">
        <v>20</v>
      </c>
      <c r="D3379" t="n">
        <v>17</v>
      </c>
      <c r="E3379" s="10" t="n">
        <v>0.101767</v>
      </c>
      <c r="F3379" s="10" t="n">
        <v>0.1467016192083886</v>
      </c>
      <c r="G3379" s="11">
        <f>E3379*Summary!$B$6</f>
        <v/>
      </c>
      <c r="H3379" s="11">
        <f>F3379*Summary!$B$7</f>
        <v/>
      </c>
      <c r="I3379" s="11">
        <f>MAX(0,N3379-M3379)</f>
        <v/>
      </c>
      <c r="J3379" s="11">
        <f>MAX(0,M3379-N3379)</f>
        <v/>
      </c>
      <c r="K3379" s="11">
        <f>O3379</f>
        <v/>
      </c>
      <c r="L3379" s="11">
        <f>L3378+IF(K3379&gt;0,K3379*Summary!$B$9,K3379/Summary!$B$9)</f>
        <v/>
      </c>
      <c r="M3379" s="11">
        <f>G3379+H3379</f>
        <v/>
      </c>
      <c r="N3379" s="11">
        <f>Summary!$C$16*Summary!$B$8</f>
        <v/>
      </c>
      <c r="O3379" s="11">
        <f>M3379-N3379</f>
        <v/>
      </c>
    </row>
    <row r="3380">
      <c r="A3380" s="9" t="n">
        <v>45432.75</v>
      </c>
      <c r="B3380" t="n">
        <v>5</v>
      </c>
      <c r="C3380" t="n">
        <v>20</v>
      </c>
      <c r="D3380" t="n">
        <v>18</v>
      </c>
      <c r="E3380" s="10" t="n">
        <v>0.064433</v>
      </c>
      <c r="F3380" s="10" t="n">
        <v>0.1449360347846483</v>
      </c>
      <c r="G3380" s="11">
        <f>E3380*Summary!$B$6</f>
        <v/>
      </c>
      <c r="H3380" s="11">
        <f>F3380*Summary!$B$7</f>
        <v/>
      </c>
      <c r="I3380" s="11">
        <f>MAX(0,N3380-M3380)</f>
        <v/>
      </c>
      <c r="J3380" s="11">
        <f>MAX(0,M3380-N3380)</f>
        <v/>
      </c>
      <c r="K3380" s="11">
        <f>O3380</f>
        <v/>
      </c>
      <c r="L3380" s="11">
        <f>L3379+IF(K3380&gt;0,K3380*Summary!$B$9,K3380/Summary!$B$9)</f>
        <v/>
      </c>
      <c r="M3380" s="11">
        <f>G3380+H3380</f>
        <v/>
      </c>
      <c r="N3380" s="11">
        <f>Summary!$C$16*Summary!$B$8</f>
        <v/>
      </c>
      <c r="O3380" s="11">
        <f>M3380-N3380</f>
        <v/>
      </c>
    </row>
    <row r="3381">
      <c r="A3381" s="9" t="n">
        <v>45432.79166666666</v>
      </c>
      <c r="B3381" t="n">
        <v>5</v>
      </c>
      <c r="C3381" t="n">
        <v>20</v>
      </c>
      <c r="D3381" t="n">
        <v>19</v>
      </c>
      <c r="E3381" s="10" t="n">
        <v>0.022764</v>
      </c>
      <c r="F3381" s="10" t="n">
        <v>0.1554504853081165</v>
      </c>
      <c r="G3381" s="11">
        <f>E3381*Summary!$B$6</f>
        <v/>
      </c>
      <c r="H3381" s="11">
        <f>F3381*Summary!$B$7</f>
        <v/>
      </c>
      <c r="I3381" s="11">
        <f>MAX(0,N3381-M3381)</f>
        <v/>
      </c>
      <c r="J3381" s="11">
        <f>MAX(0,M3381-N3381)</f>
        <v/>
      </c>
      <c r="K3381" s="11">
        <f>O3381</f>
        <v/>
      </c>
      <c r="L3381" s="11">
        <f>L3380+IF(K3381&gt;0,K3381*Summary!$B$9,K3381/Summary!$B$9)</f>
        <v/>
      </c>
      <c r="M3381" s="11">
        <f>G3381+H3381</f>
        <v/>
      </c>
      <c r="N3381" s="11">
        <f>Summary!$C$16*Summary!$B$8</f>
        <v/>
      </c>
      <c r="O3381" s="11">
        <f>M3381-N3381</f>
        <v/>
      </c>
    </row>
    <row r="3382">
      <c r="A3382" s="9" t="n">
        <v>45432.83333333334</v>
      </c>
      <c r="B3382" t="n">
        <v>5</v>
      </c>
      <c r="C3382" t="n">
        <v>20</v>
      </c>
      <c r="D3382" t="n">
        <v>20</v>
      </c>
      <c r="E3382" s="10" t="n">
        <v>0</v>
      </c>
      <c r="F3382" s="10" t="n">
        <v>0.1812490994997839</v>
      </c>
      <c r="G3382" s="11">
        <f>E3382*Summary!$B$6</f>
        <v/>
      </c>
      <c r="H3382" s="11">
        <f>F3382*Summary!$B$7</f>
        <v/>
      </c>
      <c r="I3382" s="11">
        <f>MAX(0,N3382-M3382)</f>
        <v/>
      </c>
      <c r="J3382" s="11">
        <f>MAX(0,M3382-N3382)</f>
        <v/>
      </c>
      <c r="K3382" s="11">
        <f>O3382</f>
        <v/>
      </c>
      <c r="L3382" s="11">
        <f>L3381+IF(K3382&gt;0,K3382*Summary!$B$9,K3382/Summary!$B$9)</f>
        <v/>
      </c>
      <c r="M3382" s="11">
        <f>G3382+H3382</f>
        <v/>
      </c>
      <c r="N3382" s="11">
        <f>Summary!$C$16*Summary!$B$8</f>
        <v/>
      </c>
      <c r="O3382" s="11">
        <f>M3382-N3382</f>
        <v/>
      </c>
    </row>
    <row r="3383">
      <c r="A3383" s="9" t="n">
        <v>45432.875</v>
      </c>
      <c r="B3383" t="n">
        <v>5</v>
      </c>
      <c r="C3383" t="n">
        <v>20</v>
      </c>
      <c r="D3383" t="n">
        <v>21</v>
      </c>
      <c r="E3383" s="10" t="n">
        <v>0</v>
      </c>
      <c r="F3383" s="10" t="n">
        <v>0.200354304085033</v>
      </c>
      <c r="G3383" s="11">
        <f>E3383*Summary!$B$6</f>
        <v/>
      </c>
      <c r="H3383" s="11">
        <f>F3383*Summary!$B$7</f>
        <v/>
      </c>
      <c r="I3383" s="11">
        <f>MAX(0,N3383-M3383)</f>
        <v/>
      </c>
      <c r="J3383" s="11">
        <f>MAX(0,M3383-N3383)</f>
        <v/>
      </c>
      <c r="K3383" s="11">
        <f>O3383</f>
        <v/>
      </c>
      <c r="L3383" s="11">
        <f>L3382+IF(K3383&gt;0,K3383*Summary!$B$9,K3383/Summary!$B$9)</f>
        <v/>
      </c>
      <c r="M3383" s="11">
        <f>G3383+H3383</f>
        <v/>
      </c>
      <c r="N3383" s="11">
        <f>Summary!$C$16*Summary!$B$8</f>
        <v/>
      </c>
      <c r="O3383" s="11">
        <f>M3383-N3383</f>
        <v/>
      </c>
    </row>
    <row r="3384">
      <c r="A3384" s="9" t="n">
        <v>45432.91666666666</v>
      </c>
      <c r="B3384" t="n">
        <v>5</v>
      </c>
      <c r="C3384" t="n">
        <v>20</v>
      </c>
      <c r="D3384" t="n">
        <v>22</v>
      </c>
      <c r="E3384" s="10" t="n">
        <v>0</v>
      </c>
      <c r="F3384" s="10" t="n">
        <v>0.2093403382416812</v>
      </c>
      <c r="G3384" s="11">
        <f>E3384*Summary!$B$6</f>
        <v/>
      </c>
      <c r="H3384" s="11">
        <f>F3384*Summary!$B$7</f>
        <v/>
      </c>
      <c r="I3384" s="11">
        <f>MAX(0,N3384-M3384)</f>
        <v/>
      </c>
      <c r="J3384" s="11">
        <f>MAX(0,M3384-N3384)</f>
        <v/>
      </c>
      <c r="K3384" s="11">
        <f>O3384</f>
        <v/>
      </c>
      <c r="L3384" s="11">
        <f>L3383+IF(K3384&gt;0,K3384*Summary!$B$9,K3384/Summary!$B$9)</f>
        <v/>
      </c>
      <c r="M3384" s="11">
        <f>G3384+H3384</f>
        <v/>
      </c>
      <c r="N3384" s="11">
        <f>Summary!$C$16*Summary!$B$8</f>
        <v/>
      </c>
      <c r="O3384" s="11">
        <f>M3384-N3384</f>
        <v/>
      </c>
    </row>
    <row r="3385">
      <c r="A3385" s="9" t="n">
        <v>45432.95833333334</v>
      </c>
      <c r="B3385" t="n">
        <v>5</v>
      </c>
      <c r="C3385" t="n">
        <v>20</v>
      </c>
      <c r="D3385" t="n">
        <v>23</v>
      </c>
      <c r="E3385" s="10" t="n">
        <v>0</v>
      </c>
      <c r="F3385" s="10" t="n">
        <v>0.2128978590954862</v>
      </c>
      <c r="G3385" s="11">
        <f>E3385*Summary!$B$6</f>
        <v/>
      </c>
      <c r="H3385" s="11">
        <f>F3385*Summary!$B$7</f>
        <v/>
      </c>
      <c r="I3385" s="11">
        <f>MAX(0,N3385-M3385)</f>
        <v/>
      </c>
      <c r="J3385" s="11">
        <f>MAX(0,M3385-N3385)</f>
        <v/>
      </c>
      <c r="K3385" s="11">
        <f>O3385</f>
        <v/>
      </c>
      <c r="L3385" s="11">
        <f>L3384+IF(K3385&gt;0,K3385*Summary!$B$9,K3385/Summary!$B$9)</f>
        <v/>
      </c>
      <c r="M3385" s="11">
        <f>G3385+H3385</f>
        <v/>
      </c>
      <c r="N3385" s="11">
        <f>Summary!$C$16*Summary!$B$8</f>
        <v/>
      </c>
      <c r="O3385" s="11">
        <f>M3385-N3385</f>
        <v/>
      </c>
    </row>
    <row r="3386">
      <c r="A3386" s="9" t="n">
        <v>45433</v>
      </c>
      <c r="B3386" t="n">
        <v>5</v>
      </c>
      <c r="C3386" t="n">
        <v>21</v>
      </c>
      <c r="D3386" t="n">
        <v>0</v>
      </c>
      <c r="E3386" s="10" t="n">
        <v>0</v>
      </c>
      <c r="F3386" s="10" t="n">
        <v>0.2353497684839444</v>
      </c>
      <c r="G3386" s="11">
        <f>E3386*Summary!$B$6</f>
        <v/>
      </c>
      <c r="H3386" s="11">
        <f>F3386*Summary!$B$7</f>
        <v/>
      </c>
      <c r="I3386" s="11">
        <f>MAX(0,N3386-M3386)</f>
        <v/>
      </c>
      <c r="J3386" s="11">
        <f>MAX(0,M3386-N3386)</f>
        <v/>
      </c>
      <c r="K3386" s="11">
        <f>O3386</f>
        <v/>
      </c>
      <c r="L3386" s="11">
        <f>L3385+IF(K3386&gt;0,K3386*Summary!$B$9,K3386/Summary!$B$9)</f>
        <v/>
      </c>
      <c r="M3386" s="11">
        <f>G3386+H3386</f>
        <v/>
      </c>
      <c r="N3386" s="11">
        <f>Summary!$C$16*Summary!$B$8</f>
        <v/>
      </c>
      <c r="O3386" s="11">
        <f>M3386-N3386</f>
        <v/>
      </c>
    </row>
    <row r="3387">
      <c r="A3387" s="9" t="n">
        <v>45433.04166666666</v>
      </c>
      <c r="B3387" t="n">
        <v>5</v>
      </c>
      <c r="C3387" t="n">
        <v>21</v>
      </c>
      <c r="D3387" t="n">
        <v>1</v>
      </c>
      <c r="E3387" s="10" t="n">
        <v>0</v>
      </c>
      <c r="F3387" s="10" t="n">
        <v>0.2034374888249973</v>
      </c>
      <c r="G3387" s="11">
        <f>E3387*Summary!$B$6</f>
        <v/>
      </c>
      <c r="H3387" s="11">
        <f>F3387*Summary!$B$7</f>
        <v/>
      </c>
      <c r="I3387" s="11">
        <f>MAX(0,N3387-M3387)</f>
        <v/>
      </c>
      <c r="J3387" s="11">
        <f>MAX(0,M3387-N3387)</f>
        <v/>
      </c>
      <c r="K3387" s="11">
        <f>O3387</f>
        <v/>
      </c>
      <c r="L3387" s="11">
        <f>L3386+IF(K3387&gt;0,K3387*Summary!$B$9,K3387/Summary!$B$9)</f>
        <v/>
      </c>
      <c r="M3387" s="11">
        <f>G3387+H3387</f>
        <v/>
      </c>
      <c r="N3387" s="11">
        <f>Summary!$C$16*Summary!$B$8</f>
        <v/>
      </c>
      <c r="O3387" s="11">
        <f>M3387-N3387</f>
        <v/>
      </c>
    </row>
    <row r="3388">
      <c r="A3388" s="9" t="n">
        <v>45433.08333333334</v>
      </c>
      <c r="B3388" t="n">
        <v>5</v>
      </c>
      <c r="C3388" t="n">
        <v>21</v>
      </c>
      <c r="D3388" t="n">
        <v>2</v>
      </c>
      <c r="E3388" s="10" t="n">
        <v>0</v>
      </c>
      <c r="F3388" s="10" t="n">
        <v>0.1995637438952985</v>
      </c>
      <c r="G3388" s="11">
        <f>E3388*Summary!$B$6</f>
        <v/>
      </c>
      <c r="H3388" s="11">
        <f>F3388*Summary!$B$7</f>
        <v/>
      </c>
      <c r="I3388" s="11">
        <f>MAX(0,N3388-M3388)</f>
        <v/>
      </c>
      <c r="J3388" s="11">
        <f>MAX(0,M3388-N3388)</f>
        <v/>
      </c>
      <c r="K3388" s="11">
        <f>O3388</f>
        <v/>
      </c>
      <c r="L3388" s="11">
        <f>L3387+IF(K3388&gt;0,K3388*Summary!$B$9,K3388/Summary!$B$9)</f>
        <v/>
      </c>
      <c r="M3388" s="11">
        <f>G3388+H3388</f>
        <v/>
      </c>
      <c r="N3388" s="11">
        <f>Summary!$C$16*Summary!$B$8</f>
        <v/>
      </c>
      <c r="O3388" s="11">
        <f>M3388-N3388</f>
        <v/>
      </c>
    </row>
    <row r="3389">
      <c r="A3389" s="9" t="n">
        <v>45433.125</v>
      </c>
      <c r="B3389" t="n">
        <v>5</v>
      </c>
      <c r="C3389" t="n">
        <v>21</v>
      </c>
      <c r="D3389" t="n">
        <v>3</v>
      </c>
      <c r="E3389" s="10" t="n">
        <v>0</v>
      </c>
      <c r="F3389" s="10" t="n">
        <v>0.1931602063584495</v>
      </c>
      <c r="G3389" s="11">
        <f>E3389*Summary!$B$6</f>
        <v/>
      </c>
      <c r="H3389" s="11">
        <f>F3389*Summary!$B$7</f>
        <v/>
      </c>
      <c r="I3389" s="11">
        <f>MAX(0,N3389-M3389)</f>
        <v/>
      </c>
      <c r="J3389" s="11">
        <f>MAX(0,M3389-N3389)</f>
        <v/>
      </c>
      <c r="K3389" s="11">
        <f>O3389</f>
        <v/>
      </c>
      <c r="L3389" s="11">
        <f>L3388+IF(K3389&gt;0,K3389*Summary!$B$9,K3389/Summary!$B$9)</f>
        <v/>
      </c>
      <c r="M3389" s="11">
        <f>G3389+H3389</f>
        <v/>
      </c>
      <c r="N3389" s="11">
        <f>Summary!$C$16*Summary!$B$8</f>
        <v/>
      </c>
      <c r="O3389" s="11">
        <f>M3389-N3389</f>
        <v/>
      </c>
    </row>
    <row r="3390">
      <c r="A3390" s="9" t="n">
        <v>45433.16666666666</v>
      </c>
      <c r="B3390" t="n">
        <v>5</v>
      </c>
      <c r="C3390" t="n">
        <v>21</v>
      </c>
      <c r="D3390" t="n">
        <v>4</v>
      </c>
      <c r="E3390" s="10" t="n">
        <v>0.02222</v>
      </c>
      <c r="F3390" s="10" t="n">
        <v>0.1821977717274652</v>
      </c>
      <c r="G3390" s="11">
        <f>E3390*Summary!$B$6</f>
        <v/>
      </c>
      <c r="H3390" s="11">
        <f>F3390*Summary!$B$7</f>
        <v/>
      </c>
      <c r="I3390" s="11">
        <f>MAX(0,N3390-M3390)</f>
        <v/>
      </c>
      <c r="J3390" s="11">
        <f>MAX(0,M3390-N3390)</f>
        <v/>
      </c>
      <c r="K3390" s="11">
        <f>O3390</f>
        <v/>
      </c>
      <c r="L3390" s="11">
        <f>L3389+IF(K3390&gt;0,K3390*Summary!$B$9,K3390/Summary!$B$9)</f>
        <v/>
      </c>
      <c r="M3390" s="11">
        <f>G3390+H3390</f>
        <v/>
      </c>
      <c r="N3390" s="11">
        <f>Summary!$C$16*Summary!$B$8</f>
        <v/>
      </c>
      <c r="O3390" s="11">
        <f>M3390-N3390</f>
        <v/>
      </c>
    </row>
    <row r="3391">
      <c r="A3391" s="9" t="n">
        <v>45433.20833333334</v>
      </c>
      <c r="B3391" t="n">
        <v>5</v>
      </c>
      <c r="C3391" t="n">
        <v>21</v>
      </c>
      <c r="D3391" t="n">
        <v>5</v>
      </c>
      <c r="E3391" s="10" t="n">
        <v>0.066638</v>
      </c>
      <c r="F3391" s="10" t="n">
        <v>0.1597458623390069</v>
      </c>
      <c r="G3391" s="11">
        <f>E3391*Summary!$B$6</f>
        <v/>
      </c>
      <c r="H3391" s="11">
        <f>F3391*Summary!$B$7</f>
        <v/>
      </c>
      <c r="I3391" s="11">
        <f>MAX(0,N3391-M3391)</f>
        <v/>
      </c>
      <c r="J3391" s="11">
        <f>MAX(0,M3391-N3391)</f>
        <v/>
      </c>
      <c r="K3391" s="11">
        <f>O3391</f>
        <v/>
      </c>
      <c r="L3391" s="11">
        <f>L3390+IF(K3391&gt;0,K3391*Summary!$B$9,K3391/Summary!$B$9)</f>
        <v/>
      </c>
      <c r="M3391" s="11">
        <f>G3391+H3391</f>
        <v/>
      </c>
      <c r="N3391" s="11">
        <f>Summary!$C$16*Summary!$B$8</f>
        <v/>
      </c>
      <c r="O3391" s="11">
        <f>M3391-N3391</f>
        <v/>
      </c>
    </row>
    <row r="3392">
      <c r="A3392" s="9" t="n">
        <v>45433.25</v>
      </c>
      <c r="B3392" t="n">
        <v>5</v>
      </c>
      <c r="C3392" t="n">
        <v>21</v>
      </c>
      <c r="D3392" t="n">
        <v>6</v>
      </c>
      <c r="E3392" s="10" t="n">
        <v>0.17457</v>
      </c>
      <c r="F3392" s="10" t="n">
        <v>0.1374784169948201</v>
      </c>
      <c r="G3392" s="11">
        <f>E3392*Summary!$B$6</f>
        <v/>
      </c>
      <c r="H3392" s="11">
        <f>F3392*Summary!$B$7</f>
        <v/>
      </c>
      <c r="I3392" s="11">
        <f>MAX(0,N3392-M3392)</f>
        <v/>
      </c>
      <c r="J3392" s="11">
        <f>MAX(0,M3392-N3392)</f>
        <v/>
      </c>
      <c r="K3392" s="11">
        <f>O3392</f>
        <v/>
      </c>
      <c r="L3392" s="11">
        <f>L3391+IF(K3392&gt;0,K3392*Summary!$B$9,K3392/Summary!$B$9)</f>
        <v/>
      </c>
      <c r="M3392" s="11">
        <f>G3392+H3392</f>
        <v/>
      </c>
      <c r="N3392" s="11">
        <f>Summary!$C$16*Summary!$B$8</f>
        <v/>
      </c>
      <c r="O3392" s="11">
        <f>M3392-N3392</f>
        <v/>
      </c>
    </row>
    <row r="3393">
      <c r="A3393" s="9" t="n">
        <v>45433.29166666666</v>
      </c>
      <c r="B3393" t="n">
        <v>5</v>
      </c>
      <c r="C3393" t="n">
        <v>21</v>
      </c>
      <c r="D3393" t="n">
        <v>7</v>
      </c>
      <c r="E3393" s="10" t="n">
        <v>0.335173</v>
      </c>
      <c r="F3393" s="10" t="n">
        <v>0.1225104774025146</v>
      </c>
      <c r="G3393" s="11">
        <f>E3393*Summary!$B$6</f>
        <v/>
      </c>
      <c r="H3393" s="11">
        <f>F3393*Summary!$B$7</f>
        <v/>
      </c>
      <c r="I3393" s="11">
        <f>MAX(0,N3393-M3393)</f>
        <v/>
      </c>
      <c r="J3393" s="11">
        <f>MAX(0,M3393-N3393)</f>
        <v/>
      </c>
      <c r="K3393" s="11">
        <f>O3393</f>
        <v/>
      </c>
      <c r="L3393" s="11">
        <f>L3392+IF(K3393&gt;0,K3393*Summary!$B$9,K3393/Summary!$B$9)</f>
        <v/>
      </c>
      <c r="M3393" s="11">
        <f>G3393+H3393</f>
        <v/>
      </c>
      <c r="N3393" s="11">
        <f>Summary!$C$16*Summary!$B$8</f>
        <v/>
      </c>
      <c r="O3393" s="11">
        <f>M3393-N3393</f>
        <v/>
      </c>
    </row>
    <row r="3394">
      <c r="A3394" s="9" t="n">
        <v>45433.33333333334</v>
      </c>
      <c r="B3394" t="n">
        <v>5</v>
      </c>
      <c r="C3394" t="n">
        <v>21</v>
      </c>
      <c r="D3394" t="n">
        <v>8</v>
      </c>
      <c r="E3394" s="10" t="n">
        <v>0.397493</v>
      </c>
      <c r="F3394" s="10" t="n">
        <v>0.118267804384273</v>
      </c>
      <c r="G3394" s="11">
        <f>E3394*Summary!$B$6</f>
        <v/>
      </c>
      <c r="H3394" s="11">
        <f>F3394*Summary!$B$7</f>
        <v/>
      </c>
      <c r="I3394" s="11">
        <f>MAX(0,N3394-M3394)</f>
        <v/>
      </c>
      <c r="J3394" s="11">
        <f>MAX(0,M3394-N3394)</f>
        <v/>
      </c>
      <c r="K3394" s="11">
        <f>O3394</f>
        <v/>
      </c>
      <c r="L3394" s="11">
        <f>L3393+IF(K3394&gt;0,K3394*Summary!$B$9,K3394/Summary!$B$9)</f>
        <v/>
      </c>
      <c r="M3394" s="11">
        <f>G3394+H3394</f>
        <v/>
      </c>
      <c r="N3394" s="11">
        <f>Summary!$C$16*Summary!$B$8</f>
        <v/>
      </c>
      <c r="O3394" s="11">
        <f>M3394-N3394</f>
        <v/>
      </c>
    </row>
    <row r="3395">
      <c r="A3395" s="9" t="n">
        <v>45433.375</v>
      </c>
      <c r="B3395" t="n">
        <v>5</v>
      </c>
      <c r="C3395" t="n">
        <v>21</v>
      </c>
      <c r="D3395" t="n">
        <v>9</v>
      </c>
      <c r="E3395" s="10" t="n">
        <v>0.696843</v>
      </c>
      <c r="F3395" s="10" t="n">
        <v>0.1199543327890399</v>
      </c>
      <c r="G3395" s="11">
        <f>E3395*Summary!$B$6</f>
        <v/>
      </c>
      <c r="H3395" s="11">
        <f>F3395*Summary!$B$7</f>
        <v/>
      </c>
      <c r="I3395" s="11">
        <f>MAX(0,N3395-M3395)</f>
        <v/>
      </c>
      <c r="J3395" s="11">
        <f>MAX(0,M3395-N3395)</f>
        <v/>
      </c>
      <c r="K3395" s="11">
        <f>O3395</f>
        <v/>
      </c>
      <c r="L3395" s="11">
        <f>L3394+IF(K3395&gt;0,K3395*Summary!$B$9,K3395/Summary!$B$9)</f>
        <v/>
      </c>
      <c r="M3395" s="11">
        <f>G3395+H3395</f>
        <v/>
      </c>
      <c r="N3395" s="11">
        <f>Summary!$C$16*Summary!$B$8</f>
        <v/>
      </c>
      <c r="O3395" s="11">
        <f>M3395-N3395</f>
        <v/>
      </c>
    </row>
    <row r="3396">
      <c r="A3396" s="9" t="n">
        <v>45433.41666666666</v>
      </c>
      <c r="B3396" t="n">
        <v>5</v>
      </c>
      <c r="C3396" t="n">
        <v>21</v>
      </c>
      <c r="D3396" t="n">
        <v>10</v>
      </c>
      <c r="E3396" s="10" t="n">
        <v>0.754058</v>
      </c>
      <c r="F3396" s="10" t="n">
        <v>0.1240915977819835</v>
      </c>
      <c r="G3396" s="11">
        <f>E3396*Summary!$B$6</f>
        <v/>
      </c>
      <c r="H3396" s="11">
        <f>F3396*Summary!$B$7</f>
        <v/>
      </c>
      <c r="I3396" s="11">
        <f>MAX(0,N3396-M3396)</f>
        <v/>
      </c>
      <c r="J3396" s="11">
        <f>MAX(0,M3396-N3396)</f>
        <v/>
      </c>
      <c r="K3396" s="11">
        <f>O3396</f>
        <v/>
      </c>
      <c r="L3396" s="11">
        <f>L3395+IF(K3396&gt;0,K3396*Summary!$B$9,K3396/Summary!$B$9)</f>
        <v/>
      </c>
      <c r="M3396" s="11">
        <f>G3396+H3396</f>
        <v/>
      </c>
      <c r="N3396" s="11">
        <f>Summary!$C$16*Summary!$B$8</f>
        <v/>
      </c>
      <c r="O3396" s="11">
        <f>M3396-N3396</f>
        <v/>
      </c>
    </row>
    <row r="3397">
      <c r="A3397" s="9" t="n">
        <v>45433.45833333334</v>
      </c>
      <c r="B3397" t="n">
        <v>5</v>
      </c>
      <c r="C3397" t="n">
        <v>21</v>
      </c>
      <c r="D3397" t="n">
        <v>11</v>
      </c>
      <c r="E3397" s="10" t="n">
        <v>0.754058</v>
      </c>
      <c r="F3397" s="10" t="n">
        <v>0.1330776319386317</v>
      </c>
      <c r="G3397" s="11">
        <f>E3397*Summary!$B$6</f>
        <v/>
      </c>
      <c r="H3397" s="11">
        <f>F3397*Summary!$B$7</f>
        <v/>
      </c>
      <c r="I3397" s="11">
        <f>MAX(0,N3397-M3397)</f>
        <v/>
      </c>
      <c r="J3397" s="11">
        <f>MAX(0,M3397-N3397)</f>
        <v/>
      </c>
      <c r="K3397" s="11">
        <f>O3397</f>
        <v/>
      </c>
      <c r="L3397" s="11">
        <f>L3396+IF(K3397&gt;0,K3397*Summary!$B$9,K3397/Summary!$B$9)</f>
        <v/>
      </c>
      <c r="M3397" s="11">
        <f>G3397+H3397</f>
        <v/>
      </c>
      <c r="N3397" s="11">
        <f>Summary!$C$16*Summary!$B$8</f>
        <v/>
      </c>
      <c r="O3397" s="11">
        <f>M3397-N3397</f>
        <v/>
      </c>
    </row>
    <row r="3398">
      <c r="A3398" s="9" t="n">
        <v>45433.5</v>
      </c>
      <c r="B3398" t="n">
        <v>5</v>
      </c>
      <c r="C3398" t="n">
        <v>21</v>
      </c>
      <c r="D3398" t="n">
        <v>12</v>
      </c>
      <c r="E3398" s="10" t="n">
        <v>0.754058</v>
      </c>
      <c r="F3398" s="10" t="n">
        <v>0.13900683336164</v>
      </c>
      <c r="G3398" s="11">
        <f>E3398*Summary!$B$6</f>
        <v/>
      </c>
      <c r="H3398" s="11">
        <f>F3398*Summary!$B$7</f>
        <v/>
      </c>
      <c r="I3398" s="11">
        <f>MAX(0,N3398-M3398)</f>
        <v/>
      </c>
      <c r="J3398" s="11">
        <f>MAX(0,M3398-N3398)</f>
        <v/>
      </c>
      <c r="K3398" s="11">
        <f>O3398</f>
        <v/>
      </c>
      <c r="L3398" s="11">
        <f>L3397+IF(K3398&gt;0,K3398*Summary!$B$9,K3398/Summary!$B$9)</f>
        <v/>
      </c>
      <c r="M3398" s="11">
        <f>G3398+H3398</f>
        <v/>
      </c>
      <c r="N3398" s="11">
        <f>Summary!$C$16*Summary!$B$8</f>
        <v/>
      </c>
      <c r="O3398" s="11">
        <f>M3398-N3398</f>
        <v/>
      </c>
    </row>
    <row r="3399">
      <c r="A3399" s="9" t="n">
        <v>45433.54166666666</v>
      </c>
      <c r="B3399" t="n">
        <v>5</v>
      </c>
      <c r="C3399" t="n">
        <v>21</v>
      </c>
      <c r="D3399" t="n">
        <v>13</v>
      </c>
      <c r="E3399" s="10" t="n">
        <v>0.754058</v>
      </c>
      <c r="F3399" s="10" t="n">
        <v>0.1435393784494508</v>
      </c>
      <c r="G3399" s="11">
        <f>E3399*Summary!$B$6</f>
        <v/>
      </c>
      <c r="H3399" s="11">
        <f>F3399*Summary!$B$7</f>
        <v/>
      </c>
      <c r="I3399" s="11">
        <f>MAX(0,N3399-M3399)</f>
        <v/>
      </c>
      <c r="J3399" s="11">
        <f>MAX(0,M3399-N3399)</f>
        <v/>
      </c>
      <c r="K3399" s="11">
        <f>O3399</f>
        <v/>
      </c>
      <c r="L3399" s="11">
        <f>L3398+IF(K3399&gt;0,K3399*Summary!$B$9,K3399/Summary!$B$9)</f>
        <v/>
      </c>
      <c r="M3399" s="11">
        <f>G3399+H3399</f>
        <v/>
      </c>
      <c r="N3399" s="11">
        <f>Summary!$C$16*Summary!$B$8</f>
        <v/>
      </c>
      <c r="O3399" s="11">
        <f>M3399-N3399</f>
        <v/>
      </c>
    </row>
    <row r="3400">
      <c r="A3400" s="9" t="n">
        <v>45433.58333333334</v>
      </c>
      <c r="B3400" t="n">
        <v>5</v>
      </c>
      <c r="C3400" t="n">
        <v>21</v>
      </c>
      <c r="D3400" t="n">
        <v>14</v>
      </c>
      <c r="E3400" s="10" t="n">
        <v>0.754058</v>
      </c>
      <c r="F3400" s="10" t="n">
        <v>0.1503118440748426</v>
      </c>
      <c r="G3400" s="11">
        <f>E3400*Summary!$B$6</f>
        <v/>
      </c>
      <c r="H3400" s="11">
        <f>F3400*Summary!$B$7</f>
        <v/>
      </c>
      <c r="I3400" s="11">
        <f>MAX(0,N3400-M3400)</f>
        <v/>
      </c>
      <c r="J3400" s="11">
        <f>MAX(0,M3400-N3400)</f>
        <v/>
      </c>
      <c r="K3400" s="11">
        <f>O3400</f>
        <v/>
      </c>
      <c r="L3400" s="11">
        <f>L3399+IF(K3400&gt;0,K3400*Summary!$B$9,K3400/Summary!$B$9)</f>
        <v/>
      </c>
      <c r="M3400" s="11">
        <f>G3400+H3400</f>
        <v/>
      </c>
      <c r="N3400" s="11">
        <f>Summary!$C$16*Summary!$B$8</f>
        <v/>
      </c>
      <c r="O3400" s="11">
        <f>M3400-N3400</f>
        <v/>
      </c>
    </row>
    <row r="3401">
      <c r="A3401" s="9" t="n">
        <v>45433.625</v>
      </c>
      <c r="B3401" t="n">
        <v>5</v>
      </c>
      <c r="C3401" t="n">
        <v>21</v>
      </c>
      <c r="D3401" t="n">
        <v>15</v>
      </c>
      <c r="E3401" s="10" t="n">
        <v>0.622841</v>
      </c>
      <c r="F3401" s="10" t="n">
        <v>0.158928950142948</v>
      </c>
      <c r="G3401" s="11">
        <f>E3401*Summary!$B$6</f>
        <v/>
      </c>
      <c r="H3401" s="11">
        <f>F3401*Summary!$B$7</f>
        <v/>
      </c>
      <c r="I3401" s="11">
        <f>MAX(0,N3401-M3401)</f>
        <v/>
      </c>
      <c r="J3401" s="11">
        <f>MAX(0,M3401-N3401)</f>
        <v/>
      </c>
      <c r="K3401" s="11">
        <f>O3401</f>
        <v/>
      </c>
      <c r="L3401" s="11">
        <f>L3400+IF(K3401&gt;0,K3401*Summary!$B$9,K3401/Summary!$B$9)</f>
        <v/>
      </c>
      <c r="M3401" s="11">
        <f>G3401+H3401</f>
        <v/>
      </c>
      <c r="N3401" s="11">
        <f>Summary!$C$16*Summary!$B$8</f>
        <v/>
      </c>
      <c r="O3401" s="11">
        <f>M3401-N3401</f>
        <v/>
      </c>
    </row>
    <row r="3402">
      <c r="A3402" s="9" t="n">
        <v>45433.66666666666</v>
      </c>
      <c r="B3402" t="n">
        <v>5</v>
      </c>
      <c r="C3402" t="n">
        <v>21</v>
      </c>
      <c r="D3402" t="n">
        <v>16</v>
      </c>
      <c r="E3402" s="10" t="n">
        <v>0.438166</v>
      </c>
      <c r="F3402" s="10" t="n">
        <v>0.1673352401604576</v>
      </c>
      <c r="G3402" s="11">
        <f>E3402*Summary!$B$6</f>
        <v/>
      </c>
      <c r="H3402" s="11">
        <f>F3402*Summary!$B$7</f>
        <v/>
      </c>
      <c r="I3402" s="11">
        <f>MAX(0,N3402-M3402)</f>
        <v/>
      </c>
      <c r="J3402" s="11">
        <f>MAX(0,M3402-N3402)</f>
        <v/>
      </c>
      <c r="K3402" s="11">
        <f>O3402</f>
        <v/>
      </c>
      <c r="L3402" s="11">
        <f>L3401+IF(K3402&gt;0,K3402*Summary!$B$9,K3402/Summary!$B$9)</f>
        <v/>
      </c>
      <c r="M3402" s="11">
        <f>G3402+H3402</f>
        <v/>
      </c>
      <c r="N3402" s="11">
        <f>Summary!$C$16*Summary!$B$8</f>
        <v/>
      </c>
      <c r="O3402" s="11">
        <f>M3402-N3402</f>
        <v/>
      </c>
    </row>
    <row r="3403">
      <c r="A3403" s="9" t="n">
        <v>45433.70833333334</v>
      </c>
      <c r="B3403" t="n">
        <v>5</v>
      </c>
      <c r="C3403" t="n">
        <v>21</v>
      </c>
      <c r="D3403" t="n">
        <v>17</v>
      </c>
      <c r="E3403" s="10" t="n">
        <v>0.233607</v>
      </c>
      <c r="F3403" s="10" t="n">
        <v>0.1674933521984045</v>
      </c>
      <c r="G3403" s="11">
        <f>E3403*Summary!$B$6</f>
        <v/>
      </c>
      <c r="H3403" s="11">
        <f>F3403*Summary!$B$7</f>
        <v/>
      </c>
      <c r="I3403" s="11">
        <f>MAX(0,N3403-M3403)</f>
        <v/>
      </c>
      <c r="J3403" s="11">
        <f>MAX(0,M3403-N3403)</f>
        <v/>
      </c>
      <c r="K3403" s="11">
        <f>O3403</f>
        <v/>
      </c>
      <c r="L3403" s="11">
        <f>L3402+IF(K3403&gt;0,K3403*Summary!$B$9,K3403/Summary!$B$9)</f>
        <v/>
      </c>
      <c r="M3403" s="11">
        <f>G3403+H3403</f>
        <v/>
      </c>
      <c r="N3403" s="11">
        <f>Summary!$C$16*Summary!$B$8</f>
        <v/>
      </c>
      <c r="O3403" s="11">
        <f>M3403-N3403</f>
        <v/>
      </c>
    </row>
    <row r="3404">
      <c r="A3404" s="9" t="n">
        <v>45433.75</v>
      </c>
      <c r="B3404" t="n">
        <v>5</v>
      </c>
      <c r="C3404" t="n">
        <v>21</v>
      </c>
      <c r="D3404" t="n">
        <v>18</v>
      </c>
      <c r="E3404" s="10" t="n">
        <v>0.067982</v>
      </c>
      <c r="F3404" s="10" t="n">
        <v>0.1693906966537672</v>
      </c>
      <c r="G3404" s="11">
        <f>E3404*Summary!$B$6</f>
        <v/>
      </c>
      <c r="H3404" s="11">
        <f>F3404*Summary!$B$7</f>
        <v/>
      </c>
      <c r="I3404" s="11">
        <f>MAX(0,N3404-M3404)</f>
        <v/>
      </c>
      <c r="J3404" s="11">
        <f>MAX(0,M3404-N3404)</f>
        <v/>
      </c>
      <c r="K3404" s="11">
        <f>O3404</f>
        <v/>
      </c>
      <c r="L3404" s="11">
        <f>L3403+IF(K3404&gt;0,K3404*Summary!$B$9,K3404/Summary!$B$9)</f>
        <v/>
      </c>
      <c r="M3404" s="11">
        <f>G3404+H3404</f>
        <v/>
      </c>
      <c r="N3404" s="11">
        <f>Summary!$C$16*Summary!$B$8</f>
        <v/>
      </c>
      <c r="O3404" s="11">
        <f>M3404-N3404</f>
        <v/>
      </c>
    </row>
    <row r="3405">
      <c r="A3405" s="9" t="n">
        <v>45433.79166666666</v>
      </c>
      <c r="B3405" t="n">
        <v>5</v>
      </c>
      <c r="C3405" t="n">
        <v>21</v>
      </c>
      <c r="D3405" t="n">
        <v>19</v>
      </c>
      <c r="E3405" s="10" t="n">
        <v>0.033891</v>
      </c>
      <c r="F3405" s="10" t="n">
        <v>0.1747928579502859</v>
      </c>
      <c r="G3405" s="11">
        <f>E3405*Summary!$B$6</f>
        <v/>
      </c>
      <c r="H3405" s="11">
        <f>F3405*Summary!$B$7</f>
        <v/>
      </c>
      <c r="I3405" s="11">
        <f>MAX(0,N3405-M3405)</f>
        <v/>
      </c>
      <c r="J3405" s="11">
        <f>MAX(0,M3405-N3405)</f>
        <v/>
      </c>
      <c r="K3405" s="11">
        <f>O3405</f>
        <v/>
      </c>
      <c r="L3405" s="11">
        <f>L3404+IF(K3405&gt;0,K3405*Summary!$B$9,K3405/Summary!$B$9)</f>
        <v/>
      </c>
      <c r="M3405" s="11">
        <f>G3405+H3405</f>
        <v/>
      </c>
      <c r="N3405" s="11">
        <f>Summary!$C$16*Summary!$B$8</f>
        <v/>
      </c>
      <c r="O3405" s="11">
        <f>M3405-N3405</f>
        <v/>
      </c>
    </row>
    <row r="3406">
      <c r="A3406" s="9" t="n">
        <v>45433.83333333334</v>
      </c>
      <c r="B3406" t="n">
        <v>5</v>
      </c>
      <c r="C3406" t="n">
        <v>21</v>
      </c>
      <c r="D3406" t="n">
        <v>20</v>
      </c>
      <c r="E3406" s="10" t="n">
        <v>0</v>
      </c>
      <c r="F3406" s="10" t="n">
        <v>0.1921851821244437</v>
      </c>
      <c r="G3406" s="11">
        <f>E3406*Summary!$B$6</f>
        <v/>
      </c>
      <c r="H3406" s="11">
        <f>F3406*Summary!$B$7</f>
        <v/>
      </c>
      <c r="I3406" s="11">
        <f>MAX(0,N3406-M3406)</f>
        <v/>
      </c>
      <c r="J3406" s="11">
        <f>MAX(0,M3406-N3406)</f>
        <v/>
      </c>
      <c r="K3406" s="11">
        <f>O3406</f>
        <v/>
      </c>
      <c r="L3406" s="11">
        <f>L3405+IF(K3406&gt;0,K3406*Summary!$B$9,K3406/Summary!$B$9)</f>
        <v/>
      </c>
      <c r="M3406" s="11">
        <f>G3406+H3406</f>
        <v/>
      </c>
      <c r="N3406" s="11">
        <f>Summary!$C$16*Summary!$B$8</f>
        <v/>
      </c>
      <c r="O3406" s="11">
        <f>M3406-N3406</f>
        <v/>
      </c>
    </row>
    <row r="3407">
      <c r="A3407" s="9" t="n">
        <v>45433.875</v>
      </c>
      <c r="B3407" t="n">
        <v>5</v>
      </c>
      <c r="C3407" t="n">
        <v>21</v>
      </c>
      <c r="D3407" t="n">
        <v>21</v>
      </c>
      <c r="E3407" s="10" t="n">
        <v>0</v>
      </c>
      <c r="F3407" s="10" t="n">
        <v>0.2124235229816455</v>
      </c>
      <c r="G3407" s="11">
        <f>E3407*Summary!$B$6</f>
        <v/>
      </c>
      <c r="H3407" s="11">
        <f>F3407*Summary!$B$7</f>
        <v/>
      </c>
      <c r="I3407" s="11">
        <f>MAX(0,N3407-M3407)</f>
        <v/>
      </c>
      <c r="J3407" s="11">
        <f>MAX(0,M3407-N3407)</f>
        <v/>
      </c>
      <c r="K3407" s="11">
        <f>O3407</f>
        <v/>
      </c>
      <c r="L3407" s="11">
        <f>L3406+IF(K3407&gt;0,K3407*Summary!$B$9,K3407/Summary!$B$9)</f>
        <v/>
      </c>
      <c r="M3407" s="11">
        <f>G3407+H3407</f>
        <v/>
      </c>
      <c r="N3407" s="11">
        <f>Summary!$C$16*Summary!$B$8</f>
        <v/>
      </c>
      <c r="O3407" s="11">
        <f>M3407-N3407</f>
        <v/>
      </c>
    </row>
    <row r="3408">
      <c r="A3408" s="9" t="n">
        <v>45433.91666666666</v>
      </c>
      <c r="B3408" t="n">
        <v>5</v>
      </c>
      <c r="C3408" t="n">
        <v>21</v>
      </c>
      <c r="D3408" t="n">
        <v>22</v>
      </c>
      <c r="E3408" s="10" t="n">
        <v>0</v>
      </c>
      <c r="F3408" s="10" t="n">
        <v>0.2271542945170307</v>
      </c>
      <c r="G3408" s="11">
        <f>E3408*Summary!$B$6</f>
        <v/>
      </c>
      <c r="H3408" s="11">
        <f>F3408*Summary!$B$7</f>
        <v/>
      </c>
      <c r="I3408" s="11">
        <f>MAX(0,N3408-M3408)</f>
        <v/>
      </c>
      <c r="J3408" s="11">
        <f>MAX(0,M3408-N3408)</f>
        <v/>
      </c>
      <c r="K3408" s="11">
        <f>O3408</f>
        <v/>
      </c>
      <c r="L3408" s="11">
        <f>L3407+IF(K3408&gt;0,K3408*Summary!$B$9,K3408/Summary!$B$9)</f>
        <v/>
      </c>
      <c r="M3408" s="11">
        <f>G3408+H3408</f>
        <v/>
      </c>
      <c r="N3408" s="11">
        <f>Summary!$C$16*Summary!$B$8</f>
        <v/>
      </c>
      <c r="O3408" s="11">
        <f>M3408-N3408</f>
        <v/>
      </c>
    </row>
    <row r="3409">
      <c r="A3409" s="9" t="n">
        <v>45433.95833333334</v>
      </c>
      <c r="B3409" t="n">
        <v>5</v>
      </c>
      <c r="C3409" t="n">
        <v>21</v>
      </c>
      <c r="D3409" t="n">
        <v>23</v>
      </c>
      <c r="E3409" s="10" t="n">
        <v>0</v>
      </c>
      <c r="F3409" s="10" t="n">
        <v>0.2342956882309652</v>
      </c>
      <c r="G3409" s="11">
        <f>E3409*Summary!$B$6</f>
        <v/>
      </c>
      <c r="H3409" s="11">
        <f>F3409*Summary!$B$7</f>
        <v/>
      </c>
      <c r="I3409" s="11">
        <f>MAX(0,N3409-M3409)</f>
        <v/>
      </c>
      <c r="J3409" s="11">
        <f>MAX(0,M3409-N3409)</f>
        <v/>
      </c>
      <c r="K3409" s="11">
        <f>O3409</f>
        <v/>
      </c>
      <c r="L3409" s="11">
        <f>L3408+IF(K3409&gt;0,K3409*Summary!$B$9,K3409/Summary!$B$9)</f>
        <v/>
      </c>
      <c r="M3409" s="11">
        <f>G3409+H3409</f>
        <v/>
      </c>
      <c r="N3409" s="11">
        <f>Summary!$C$16*Summary!$B$8</f>
        <v/>
      </c>
      <c r="O3409" s="11">
        <f>M3409-N3409</f>
        <v/>
      </c>
    </row>
    <row r="3410">
      <c r="A3410" s="9" t="n">
        <v>45434</v>
      </c>
      <c r="B3410" t="n">
        <v>5</v>
      </c>
      <c r="C3410" t="n">
        <v>22</v>
      </c>
      <c r="D3410" t="n">
        <v>0</v>
      </c>
      <c r="E3410" s="10" t="n">
        <v>0</v>
      </c>
      <c r="F3410" s="10" t="n">
        <v>0.3281615347587684</v>
      </c>
      <c r="G3410" s="11">
        <f>E3410*Summary!$B$6</f>
        <v/>
      </c>
      <c r="H3410" s="11">
        <f>F3410*Summary!$B$7</f>
        <v/>
      </c>
      <c r="I3410" s="11">
        <f>MAX(0,N3410-M3410)</f>
        <v/>
      </c>
      <c r="J3410" s="11">
        <f>MAX(0,M3410-N3410)</f>
        <v/>
      </c>
      <c r="K3410" s="11">
        <f>O3410</f>
        <v/>
      </c>
      <c r="L3410" s="11">
        <f>L3409+IF(K3410&gt;0,K3410*Summary!$B$9,K3410/Summary!$B$9)</f>
        <v/>
      </c>
      <c r="M3410" s="11">
        <f>G3410+H3410</f>
        <v/>
      </c>
      <c r="N3410" s="11">
        <f>Summary!$C$16*Summary!$B$8</f>
        <v/>
      </c>
      <c r="O3410" s="11">
        <f>M3410-N3410</f>
        <v/>
      </c>
    </row>
    <row r="3411">
      <c r="A3411" s="9" t="n">
        <v>45434.04166666666</v>
      </c>
      <c r="B3411" t="n">
        <v>5</v>
      </c>
      <c r="C3411" t="n">
        <v>22</v>
      </c>
      <c r="D3411" t="n">
        <v>1</v>
      </c>
      <c r="E3411" s="10" t="n">
        <v>0</v>
      </c>
      <c r="F3411" s="10" t="n">
        <v>0.2349281363827527</v>
      </c>
      <c r="G3411" s="11">
        <f>E3411*Summary!$B$6</f>
        <v/>
      </c>
      <c r="H3411" s="11">
        <f>F3411*Summary!$B$7</f>
        <v/>
      </c>
      <c r="I3411" s="11">
        <f>MAX(0,N3411-M3411)</f>
        <v/>
      </c>
      <c r="J3411" s="11">
        <f>MAX(0,M3411-N3411)</f>
        <v/>
      </c>
      <c r="K3411" s="11">
        <f>O3411</f>
        <v/>
      </c>
      <c r="L3411" s="11">
        <f>L3410+IF(K3411&gt;0,K3411*Summary!$B$9,K3411/Summary!$B$9)</f>
        <v/>
      </c>
      <c r="M3411" s="11">
        <f>G3411+H3411</f>
        <v/>
      </c>
      <c r="N3411" s="11">
        <f>Summary!$C$16*Summary!$B$8</f>
        <v/>
      </c>
      <c r="O3411" s="11">
        <f>M3411-N3411</f>
        <v/>
      </c>
    </row>
    <row r="3412">
      <c r="A3412" s="9" t="n">
        <v>45434.08333333334</v>
      </c>
      <c r="B3412" t="n">
        <v>5</v>
      </c>
      <c r="C3412" t="n">
        <v>22</v>
      </c>
      <c r="D3412" t="n">
        <v>2</v>
      </c>
      <c r="E3412" s="10" t="n">
        <v>0</v>
      </c>
      <c r="F3412" s="10" t="n">
        <v>0.2332416079779859</v>
      </c>
      <c r="G3412" s="11">
        <f>E3412*Summary!$B$6</f>
        <v/>
      </c>
      <c r="H3412" s="11">
        <f>F3412*Summary!$B$7</f>
        <v/>
      </c>
      <c r="I3412" s="11">
        <f>MAX(0,N3412-M3412)</f>
        <v/>
      </c>
      <c r="J3412" s="11">
        <f>MAX(0,M3412-N3412)</f>
        <v/>
      </c>
      <c r="K3412" s="11">
        <f>O3412</f>
        <v/>
      </c>
      <c r="L3412" s="11">
        <f>L3411+IF(K3412&gt;0,K3412*Summary!$B$9,K3412/Summary!$B$9)</f>
        <v/>
      </c>
      <c r="M3412" s="11">
        <f>G3412+H3412</f>
        <v/>
      </c>
      <c r="N3412" s="11">
        <f>Summary!$C$16*Summary!$B$8</f>
        <v/>
      </c>
      <c r="O3412" s="11">
        <f>M3412-N3412</f>
        <v/>
      </c>
    </row>
    <row r="3413">
      <c r="A3413" s="9" t="n">
        <v>45434.125</v>
      </c>
      <c r="B3413" t="n">
        <v>5</v>
      </c>
      <c r="C3413" t="n">
        <v>22</v>
      </c>
      <c r="D3413" t="n">
        <v>3</v>
      </c>
      <c r="E3413" s="10" t="n">
        <v>0</v>
      </c>
      <c r="F3413" s="10" t="n">
        <v>0.2304219433012664</v>
      </c>
      <c r="G3413" s="11">
        <f>E3413*Summary!$B$6</f>
        <v/>
      </c>
      <c r="H3413" s="11">
        <f>F3413*Summary!$B$7</f>
        <v/>
      </c>
      <c r="I3413" s="11">
        <f>MAX(0,N3413-M3413)</f>
        <v/>
      </c>
      <c r="J3413" s="11">
        <f>MAX(0,M3413-N3413)</f>
        <v/>
      </c>
      <c r="K3413" s="11">
        <f>O3413</f>
        <v/>
      </c>
      <c r="L3413" s="11">
        <f>L3412+IF(K3413&gt;0,K3413*Summary!$B$9,K3413/Summary!$B$9)</f>
        <v/>
      </c>
      <c r="M3413" s="11">
        <f>G3413+H3413</f>
        <v/>
      </c>
      <c r="N3413" s="11">
        <f>Summary!$C$16*Summary!$B$8</f>
        <v/>
      </c>
      <c r="O3413" s="11">
        <f>M3413-N3413</f>
        <v/>
      </c>
    </row>
    <row r="3414">
      <c r="A3414" s="9" t="n">
        <v>45434.16666666666</v>
      </c>
      <c r="B3414" t="n">
        <v>5</v>
      </c>
      <c r="C3414" t="n">
        <v>22</v>
      </c>
      <c r="D3414" t="n">
        <v>4</v>
      </c>
      <c r="E3414" s="10" t="n">
        <v>0.015208</v>
      </c>
      <c r="F3414" s="10" t="n">
        <v>0.2238602937264705</v>
      </c>
      <c r="G3414" s="11">
        <f>E3414*Summary!$B$6</f>
        <v/>
      </c>
      <c r="H3414" s="11">
        <f>F3414*Summary!$B$7</f>
        <v/>
      </c>
      <c r="I3414" s="11">
        <f>MAX(0,N3414-M3414)</f>
        <v/>
      </c>
      <c r="J3414" s="11">
        <f>MAX(0,M3414-N3414)</f>
        <v/>
      </c>
      <c r="K3414" s="11">
        <f>O3414</f>
        <v/>
      </c>
      <c r="L3414" s="11">
        <f>L3413+IF(K3414&gt;0,K3414*Summary!$B$9,K3414/Summary!$B$9)</f>
        <v/>
      </c>
      <c r="M3414" s="11">
        <f>G3414+H3414</f>
        <v/>
      </c>
      <c r="N3414" s="11">
        <f>Summary!$C$16*Summary!$B$8</f>
        <v/>
      </c>
      <c r="O3414" s="11">
        <f>M3414-N3414</f>
        <v/>
      </c>
    </row>
    <row r="3415">
      <c r="A3415" s="9" t="n">
        <v>45434.20833333334</v>
      </c>
      <c r="B3415" t="n">
        <v>5</v>
      </c>
      <c r="C3415" t="n">
        <v>22</v>
      </c>
      <c r="D3415" t="n">
        <v>5</v>
      </c>
      <c r="E3415" s="10" t="n">
        <v>0.073394</v>
      </c>
      <c r="F3415" s="10" t="n">
        <v>0.208180849963404</v>
      </c>
      <c r="G3415" s="11">
        <f>E3415*Summary!$B$6</f>
        <v/>
      </c>
      <c r="H3415" s="11">
        <f>F3415*Summary!$B$7</f>
        <v/>
      </c>
      <c r="I3415" s="11">
        <f>MAX(0,N3415-M3415)</f>
        <v/>
      </c>
      <c r="J3415" s="11">
        <f>MAX(0,M3415-N3415)</f>
        <v/>
      </c>
      <c r="K3415" s="11">
        <f>O3415</f>
        <v/>
      </c>
      <c r="L3415" s="11">
        <f>L3414+IF(K3415&gt;0,K3415*Summary!$B$9,K3415/Summary!$B$9)</f>
        <v/>
      </c>
      <c r="M3415" s="11">
        <f>G3415+H3415</f>
        <v/>
      </c>
      <c r="N3415" s="11">
        <f>Summary!$C$16*Summary!$B$8</f>
        <v/>
      </c>
      <c r="O3415" s="11">
        <f>M3415-N3415</f>
        <v/>
      </c>
    </row>
    <row r="3416">
      <c r="A3416" s="9" t="n">
        <v>45434.25</v>
      </c>
      <c r="B3416" t="n">
        <v>5</v>
      </c>
      <c r="C3416" t="n">
        <v>22</v>
      </c>
      <c r="D3416" t="n">
        <v>6</v>
      </c>
      <c r="E3416" s="10" t="n">
        <v>0.157656</v>
      </c>
      <c r="F3416" s="10" t="n">
        <v>0.1899452615868628</v>
      </c>
      <c r="G3416" s="11">
        <f>E3416*Summary!$B$6</f>
        <v/>
      </c>
      <c r="H3416" s="11">
        <f>F3416*Summary!$B$7</f>
        <v/>
      </c>
      <c r="I3416" s="11">
        <f>MAX(0,N3416-M3416)</f>
        <v/>
      </c>
      <c r="J3416" s="11">
        <f>MAX(0,M3416-N3416)</f>
        <v/>
      </c>
      <c r="K3416" s="11">
        <f>O3416</f>
        <v/>
      </c>
      <c r="L3416" s="11">
        <f>L3415+IF(K3416&gt;0,K3416*Summary!$B$9,K3416/Summary!$B$9)</f>
        <v/>
      </c>
      <c r="M3416" s="11">
        <f>G3416+H3416</f>
        <v/>
      </c>
      <c r="N3416" s="11">
        <f>Summary!$C$16*Summary!$B$8</f>
        <v/>
      </c>
      <c r="O3416" s="11">
        <f>M3416-N3416</f>
        <v/>
      </c>
    </row>
    <row r="3417">
      <c r="A3417" s="9" t="n">
        <v>45434.29166666666</v>
      </c>
      <c r="B3417" t="n">
        <v>5</v>
      </c>
      <c r="C3417" t="n">
        <v>22</v>
      </c>
      <c r="D3417" t="n">
        <v>7</v>
      </c>
      <c r="E3417" s="10" t="n">
        <v>0.219419</v>
      </c>
      <c r="F3417" s="10" t="n">
        <v>0.1830146839235241</v>
      </c>
      <c r="G3417" s="11">
        <f>E3417*Summary!$B$6</f>
        <v/>
      </c>
      <c r="H3417" s="11">
        <f>F3417*Summary!$B$7</f>
        <v/>
      </c>
      <c r="I3417" s="11">
        <f>MAX(0,N3417-M3417)</f>
        <v/>
      </c>
      <c r="J3417" s="11">
        <f>MAX(0,M3417-N3417)</f>
        <v/>
      </c>
      <c r="K3417" s="11">
        <f>O3417</f>
        <v/>
      </c>
      <c r="L3417" s="11">
        <f>L3416+IF(K3417&gt;0,K3417*Summary!$B$9,K3417/Summary!$B$9)</f>
        <v/>
      </c>
      <c r="M3417" s="11">
        <f>G3417+H3417</f>
        <v/>
      </c>
      <c r="N3417" s="11">
        <f>Summary!$C$16*Summary!$B$8</f>
        <v/>
      </c>
      <c r="O3417" s="11">
        <f>M3417-N3417</f>
        <v/>
      </c>
    </row>
    <row r="3418">
      <c r="A3418" s="9" t="n">
        <v>45434.33333333334</v>
      </c>
      <c r="B3418" t="n">
        <v>5</v>
      </c>
      <c r="C3418" t="n">
        <v>22</v>
      </c>
      <c r="D3418" t="n">
        <v>8</v>
      </c>
      <c r="E3418" s="10" t="n">
        <v>0.320579</v>
      </c>
      <c r="F3418" s="10" t="n">
        <v>0.1836471320753117</v>
      </c>
      <c r="G3418" s="11">
        <f>E3418*Summary!$B$6</f>
        <v/>
      </c>
      <c r="H3418" s="11">
        <f>F3418*Summary!$B$7</f>
        <v/>
      </c>
      <c r="I3418" s="11">
        <f>MAX(0,N3418-M3418)</f>
        <v/>
      </c>
      <c r="J3418" s="11">
        <f>MAX(0,M3418-N3418)</f>
        <v/>
      </c>
      <c r="K3418" s="11">
        <f>O3418</f>
        <v/>
      </c>
      <c r="L3418" s="11">
        <f>L3417+IF(K3418&gt;0,K3418*Summary!$B$9,K3418/Summary!$B$9)</f>
        <v/>
      </c>
      <c r="M3418" s="11">
        <f>G3418+H3418</f>
        <v/>
      </c>
      <c r="N3418" s="11">
        <f>Summary!$C$16*Summary!$B$8</f>
        <v/>
      </c>
      <c r="O3418" s="11">
        <f>M3418-N3418</f>
        <v/>
      </c>
    </row>
    <row r="3419">
      <c r="A3419" s="9" t="n">
        <v>45434.375</v>
      </c>
      <c r="B3419" t="n">
        <v>5</v>
      </c>
      <c r="C3419" t="n">
        <v>22</v>
      </c>
      <c r="D3419" t="n">
        <v>9</v>
      </c>
      <c r="E3419" s="10" t="n">
        <v>0.508989</v>
      </c>
      <c r="F3419" s="10" t="n">
        <v>0.1895499814919955</v>
      </c>
      <c r="G3419" s="11">
        <f>E3419*Summary!$B$6</f>
        <v/>
      </c>
      <c r="H3419" s="11">
        <f>F3419*Summary!$B$7</f>
        <v/>
      </c>
      <c r="I3419" s="11">
        <f>MAX(0,N3419-M3419)</f>
        <v/>
      </c>
      <c r="J3419" s="11">
        <f>MAX(0,M3419-N3419)</f>
        <v/>
      </c>
      <c r="K3419" s="11">
        <f>O3419</f>
        <v/>
      </c>
      <c r="L3419" s="11">
        <f>L3418+IF(K3419&gt;0,K3419*Summary!$B$9,K3419/Summary!$B$9)</f>
        <v/>
      </c>
      <c r="M3419" s="11">
        <f>G3419+H3419</f>
        <v/>
      </c>
      <c r="N3419" s="11">
        <f>Summary!$C$16*Summary!$B$8</f>
        <v/>
      </c>
      <c r="O3419" s="11">
        <f>M3419-N3419</f>
        <v/>
      </c>
    </row>
    <row r="3420">
      <c r="A3420" s="9" t="n">
        <v>45434.41666666666</v>
      </c>
      <c r="B3420" t="n">
        <v>5</v>
      </c>
      <c r="C3420" t="n">
        <v>22</v>
      </c>
      <c r="D3420" t="n">
        <v>10</v>
      </c>
      <c r="E3420" s="10" t="n">
        <v>0.6103</v>
      </c>
      <c r="F3420" s="10" t="n">
        <v>0.1964278551426852</v>
      </c>
      <c r="G3420" s="11">
        <f>E3420*Summary!$B$6</f>
        <v/>
      </c>
      <c r="H3420" s="11">
        <f>F3420*Summary!$B$7</f>
        <v/>
      </c>
      <c r="I3420" s="11">
        <f>MAX(0,N3420-M3420)</f>
        <v/>
      </c>
      <c r="J3420" s="11">
        <f>MAX(0,M3420-N3420)</f>
        <v/>
      </c>
      <c r="K3420" s="11">
        <f>O3420</f>
        <v/>
      </c>
      <c r="L3420" s="11">
        <f>L3419+IF(K3420&gt;0,K3420*Summary!$B$9,K3420/Summary!$B$9)</f>
        <v/>
      </c>
      <c r="M3420" s="11">
        <f>G3420+H3420</f>
        <v/>
      </c>
      <c r="N3420" s="11">
        <f>Summary!$C$16*Summary!$B$8</f>
        <v/>
      </c>
      <c r="O3420" s="11">
        <f>M3420-N3420</f>
        <v/>
      </c>
    </row>
    <row r="3421">
      <c r="A3421" s="9" t="n">
        <v>45434.45833333334</v>
      </c>
      <c r="B3421" t="n">
        <v>5</v>
      </c>
      <c r="C3421" t="n">
        <v>22</v>
      </c>
      <c r="D3421" t="n">
        <v>11</v>
      </c>
      <c r="E3421" s="10" t="n">
        <v>0.754058</v>
      </c>
      <c r="F3421" s="10" t="n">
        <v>0.2086288340709202</v>
      </c>
      <c r="G3421" s="11">
        <f>E3421*Summary!$B$6</f>
        <v/>
      </c>
      <c r="H3421" s="11">
        <f>F3421*Summary!$B$7</f>
        <v/>
      </c>
      <c r="I3421" s="11">
        <f>MAX(0,N3421-M3421)</f>
        <v/>
      </c>
      <c r="J3421" s="11">
        <f>MAX(0,M3421-N3421)</f>
        <v/>
      </c>
      <c r="K3421" s="11">
        <f>O3421</f>
        <v/>
      </c>
      <c r="L3421" s="11">
        <f>L3420+IF(K3421&gt;0,K3421*Summary!$B$9,K3421/Summary!$B$9)</f>
        <v/>
      </c>
      <c r="M3421" s="11">
        <f>G3421+H3421</f>
        <v/>
      </c>
      <c r="N3421" s="11">
        <f>Summary!$C$16*Summary!$B$8</f>
        <v/>
      </c>
      <c r="O3421" s="11">
        <f>M3421-N3421</f>
        <v/>
      </c>
    </row>
    <row r="3422">
      <c r="A3422" s="9" t="n">
        <v>45434.5</v>
      </c>
      <c r="B3422" t="n">
        <v>5</v>
      </c>
      <c r="C3422" t="n">
        <v>22</v>
      </c>
      <c r="D3422" t="n">
        <v>12</v>
      </c>
      <c r="E3422" s="10" t="n">
        <v>0.754058</v>
      </c>
      <c r="F3422" s="10" t="n">
        <v>0.2169297160631319</v>
      </c>
      <c r="G3422" s="11">
        <f>E3422*Summary!$B$6</f>
        <v/>
      </c>
      <c r="H3422" s="11">
        <f>F3422*Summary!$B$7</f>
        <v/>
      </c>
      <c r="I3422" s="11">
        <f>MAX(0,N3422-M3422)</f>
        <v/>
      </c>
      <c r="J3422" s="11">
        <f>MAX(0,M3422-N3422)</f>
        <v/>
      </c>
      <c r="K3422" s="11">
        <f>O3422</f>
        <v/>
      </c>
      <c r="L3422" s="11">
        <f>L3421+IF(K3422&gt;0,K3422*Summary!$B$9,K3422/Summary!$B$9)</f>
        <v/>
      </c>
      <c r="M3422" s="11">
        <f>G3422+H3422</f>
        <v/>
      </c>
      <c r="N3422" s="11">
        <f>Summary!$C$16*Summary!$B$8</f>
        <v/>
      </c>
      <c r="O3422" s="11">
        <f>M3422-N3422</f>
        <v/>
      </c>
    </row>
    <row r="3423">
      <c r="A3423" s="9" t="n">
        <v>45434.54166666666</v>
      </c>
      <c r="B3423" t="n">
        <v>5</v>
      </c>
      <c r="C3423" t="n">
        <v>22</v>
      </c>
      <c r="D3423" t="n">
        <v>13</v>
      </c>
      <c r="E3423" s="10" t="n">
        <v>0.754058</v>
      </c>
      <c r="F3423" s="10" t="n">
        <v>0.2279975587194141</v>
      </c>
      <c r="G3423" s="11">
        <f>E3423*Summary!$B$6</f>
        <v/>
      </c>
      <c r="H3423" s="11">
        <f>F3423*Summary!$B$7</f>
        <v/>
      </c>
      <c r="I3423" s="11">
        <f>MAX(0,N3423-M3423)</f>
        <v/>
      </c>
      <c r="J3423" s="11">
        <f>MAX(0,M3423-N3423)</f>
        <v/>
      </c>
      <c r="K3423" s="11">
        <f>O3423</f>
        <v/>
      </c>
      <c r="L3423" s="11">
        <f>L3422+IF(K3423&gt;0,K3423*Summary!$B$9,K3423/Summary!$B$9)</f>
        <v/>
      </c>
      <c r="M3423" s="11">
        <f>G3423+H3423</f>
        <v/>
      </c>
      <c r="N3423" s="11">
        <f>Summary!$C$16*Summary!$B$8</f>
        <v/>
      </c>
      <c r="O3423" s="11">
        <f>M3423-N3423</f>
        <v/>
      </c>
    </row>
    <row r="3424">
      <c r="A3424" s="9" t="n">
        <v>45434.58333333334</v>
      </c>
      <c r="B3424" t="n">
        <v>5</v>
      </c>
      <c r="C3424" t="n">
        <v>22</v>
      </c>
      <c r="D3424" t="n">
        <v>14</v>
      </c>
      <c r="E3424" s="10" t="n">
        <v>0.7180029999999999</v>
      </c>
      <c r="F3424" s="10" t="n">
        <v>0.2362984407116258</v>
      </c>
      <c r="G3424" s="11">
        <f>E3424*Summary!$B$6</f>
        <v/>
      </c>
      <c r="H3424" s="11">
        <f>F3424*Summary!$B$7</f>
        <v/>
      </c>
      <c r="I3424" s="11">
        <f>MAX(0,N3424-M3424)</f>
        <v/>
      </c>
      <c r="J3424" s="11">
        <f>MAX(0,M3424-N3424)</f>
        <v/>
      </c>
      <c r="K3424" s="11">
        <f>O3424</f>
        <v/>
      </c>
      <c r="L3424" s="11">
        <f>L3423+IF(K3424&gt;0,K3424*Summary!$B$9,K3424/Summary!$B$9)</f>
        <v/>
      </c>
      <c r="M3424" s="11">
        <f>G3424+H3424</f>
        <v/>
      </c>
      <c r="N3424" s="11">
        <f>Summary!$C$16*Summary!$B$8</f>
        <v/>
      </c>
      <c r="O3424" s="11">
        <f>M3424-N3424</f>
        <v/>
      </c>
    </row>
    <row r="3425">
      <c r="A3425" s="9" t="n">
        <v>45434.625</v>
      </c>
      <c r="B3425" t="n">
        <v>5</v>
      </c>
      <c r="C3425" t="n">
        <v>22</v>
      </c>
      <c r="D3425" t="n">
        <v>15</v>
      </c>
      <c r="E3425" s="10" t="n">
        <v>0.56711</v>
      </c>
      <c r="F3425" s="10" t="n">
        <v>0.2419904740777138</v>
      </c>
      <c r="G3425" s="11">
        <f>E3425*Summary!$B$6</f>
        <v/>
      </c>
      <c r="H3425" s="11">
        <f>F3425*Summary!$B$7</f>
        <v/>
      </c>
      <c r="I3425" s="11">
        <f>MAX(0,N3425-M3425)</f>
        <v/>
      </c>
      <c r="J3425" s="11">
        <f>MAX(0,M3425-N3425)</f>
        <v/>
      </c>
      <c r="K3425" s="11">
        <f>O3425</f>
        <v/>
      </c>
      <c r="L3425" s="11">
        <f>L3424+IF(K3425&gt;0,K3425*Summary!$B$9,K3425/Summary!$B$9)</f>
        <v/>
      </c>
      <c r="M3425" s="11">
        <f>G3425+H3425</f>
        <v/>
      </c>
      <c r="N3425" s="11">
        <f>Summary!$C$16*Summary!$B$8</f>
        <v/>
      </c>
      <c r="O3425" s="11">
        <f>M3425-N3425</f>
        <v/>
      </c>
    </row>
    <row r="3426">
      <c r="A3426" s="9" t="n">
        <v>45434.66666666666</v>
      </c>
      <c r="B3426" t="n">
        <v>5</v>
      </c>
      <c r="C3426" t="n">
        <v>22</v>
      </c>
      <c r="D3426" t="n">
        <v>16</v>
      </c>
      <c r="E3426" s="10" t="n">
        <v>0.440266</v>
      </c>
      <c r="F3426" s="10" t="n">
        <v>0.251635308392474</v>
      </c>
      <c r="G3426" s="11">
        <f>E3426*Summary!$B$6</f>
        <v/>
      </c>
      <c r="H3426" s="11">
        <f>F3426*Summary!$B$7</f>
        <v/>
      </c>
      <c r="I3426" s="11">
        <f>MAX(0,N3426-M3426)</f>
        <v/>
      </c>
      <c r="J3426" s="11">
        <f>MAX(0,M3426-N3426)</f>
        <v/>
      </c>
      <c r="K3426" s="11">
        <f>O3426</f>
        <v/>
      </c>
      <c r="L3426" s="11">
        <f>L3425+IF(K3426&gt;0,K3426*Summary!$B$9,K3426/Summary!$B$9)</f>
        <v/>
      </c>
      <c r="M3426" s="11">
        <f>G3426+H3426</f>
        <v/>
      </c>
      <c r="N3426" s="11">
        <f>Summary!$C$16*Summary!$B$8</f>
        <v/>
      </c>
      <c r="O3426" s="11">
        <f>M3426-N3426</f>
        <v/>
      </c>
    </row>
    <row r="3427">
      <c r="A3427" s="9" t="n">
        <v>45434.70833333334</v>
      </c>
      <c r="B3427" t="n">
        <v>5</v>
      </c>
      <c r="C3427" t="n">
        <v>22</v>
      </c>
      <c r="D3427" t="n">
        <v>17</v>
      </c>
      <c r="E3427" s="10" t="n">
        <v>0.175742</v>
      </c>
      <c r="F3427" s="10" t="n">
        <v>0.253005612721347</v>
      </c>
      <c r="G3427" s="11">
        <f>E3427*Summary!$B$6</f>
        <v/>
      </c>
      <c r="H3427" s="11">
        <f>F3427*Summary!$B$7</f>
        <v/>
      </c>
      <c r="I3427" s="11">
        <f>MAX(0,N3427-M3427)</f>
        <v/>
      </c>
      <c r="J3427" s="11">
        <f>MAX(0,M3427-N3427)</f>
        <v/>
      </c>
      <c r="K3427" s="11">
        <f>O3427</f>
        <v/>
      </c>
      <c r="L3427" s="11">
        <f>L3426+IF(K3427&gt;0,K3427*Summary!$B$9,K3427/Summary!$B$9)</f>
        <v/>
      </c>
      <c r="M3427" s="11">
        <f>G3427+H3427</f>
        <v/>
      </c>
      <c r="N3427" s="11">
        <f>Summary!$C$16*Summary!$B$8</f>
        <v/>
      </c>
      <c r="O3427" s="11">
        <f>M3427-N3427</f>
        <v/>
      </c>
    </row>
    <row r="3428">
      <c r="A3428" s="9" t="n">
        <v>45434.75</v>
      </c>
      <c r="B3428" t="n">
        <v>5</v>
      </c>
      <c r="C3428" t="n">
        <v>22</v>
      </c>
      <c r="D3428" t="n">
        <v>18</v>
      </c>
      <c r="E3428" s="10" t="n">
        <v>0.086808</v>
      </c>
      <c r="F3428" s="10" t="n">
        <v>0.2585131820431637</v>
      </c>
      <c r="G3428" s="11">
        <f>E3428*Summary!$B$6</f>
        <v/>
      </c>
      <c r="H3428" s="11">
        <f>F3428*Summary!$B$7</f>
        <v/>
      </c>
      <c r="I3428" s="11">
        <f>MAX(0,N3428-M3428)</f>
        <v/>
      </c>
      <c r="J3428" s="11">
        <f>MAX(0,M3428-N3428)</f>
        <v/>
      </c>
      <c r="K3428" s="11">
        <f>O3428</f>
        <v/>
      </c>
      <c r="L3428" s="11">
        <f>L3427+IF(K3428&gt;0,K3428*Summary!$B$9,K3428/Summary!$B$9)</f>
        <v/>
      </c>
      <c r="M3428" s="11">
        <f>G3428+H3428</f>
        <v/>
      </c>
      <c r="N3428" s="11">
        <f>Summary!$C$16*Summary!$B$8</f>
        <v/>
      </c>
      <c r="O3428" s="11">
        <f>M3428-N3428</f>
        <v/>
      </c>
    </row>
    <row r="3429">
      <c r="A3429" s="9" t="n">
        <v>45434.79166666666</v>
      </c>
      <c r="B3429" t="n">
        <v>5</v>
      </c>
      <c r="C3429" t="n">
        <v>22</v>
      </c>
      <c r="D3429" t="n">
        <v>19</v>
      </c>
      <c r="E3429" s="10" t="n">
        <v>0.035065</v>
      </c>
      <c r="F3429" s="10" t="n">
        <v>0.2697391367373928</v>
      </c>
      <c r="G3429" s="11">
        <f>E3429*Summary!$B$6</f>
        <v/>
      </c>
      <c r="H3429" s="11">
        <f>F3429*Summary!$B$7</f>
        <v/>
      </c>
      <c r="I3429" s="11">
        <f>MAX(0,N3429-M3429)</f>
        <v/>
      </c>
      <c r="J3429" s="11">
        <f>MAX(0,M3429-N3429)</f>
        <v/>
      </c>
      <c r="K3429" s="11">
        <f>O3429</f>
        <v/>
      </c>
      <c r="L3429" s="11">
        <f>L3428+IF(K3429&gt;0,K3429*Summary!$B$9,K3429/Summary!$B$9)</f>
        <v/>
      </c>
      <c r="M3429" s="11">
        <f>G3429+H3429</f>
        <v/>
      </c>
      <c r="N3429" s="11">
        <f>Summary!$C$16*Summary!$B$8</f>
        <v/>
      </c>
      <c r="O3429" s="11">
        <f>M3429-N3429</f>
        <v/>
      </c>
    </row>
    <row r="3430">
      <c r="A3430" s="9" t="n">
        <v>45434.83333333334</v>
      </c>
      <c r="B3430" t="n">
        <v>5</v>
      </c>
      <c r="C3430" t="n">
        <v>22</v>
      </c>
      <c r="D3430" t="n">
        <v>20</v>
      </c>
      <c r="E3430" s="10" t="n">
        <v>0</v>
      </c>
      <c r="F3430" s="10" t="n">
        <v>0.2820718756972502</v>
      </c>
      <c r="G3430" s="11">
        <f>E3430*Summary!$B$6</f>
        <v/>
      </c>
      <c r="H3430" s="11">
        <f>F3430*Summary!$B$7</f>
        <v/>
      </c>
      <c r="I3430" s="11">
        <f>MAX(0,N3430-M3430)</f>
        <v/>
      </c>
      <c r="J3430" s="11">
        <f>MAX(0,M3430-N3430)</f>
        <v/>
      </c>
      <c r="K3430" s="11">
        <f>O3430</f>
        <v/>
      </c>
      <c r="L3430" s="11">
        <f>L3429+IF(K3430&gt;0,K3430*Summary!$B$9,K3430/Summary!$B$9)</f>
        <v/>
      </c>
      <c r="M3430" s="11">
        <f>G3430+H3430</f>
        <v/>
      </c>
      <c r="N3430" s="11">
        <f>Summary!$C$16*Summary!$B$8</f>
        <v/>
      </c>
      <c r="O3430" s="11">
        <f>M3430-N3430</f>
        <v/>
      </c>
    </row>
    <row r="3431">
      <c r="A3431" s="9" t="n">
        <v>45434.875</v>
      </c>
      <c r="B3431" t="n">
        <v>5</v>
      </c>
      <c r="C3431" t="n">
        <v>22</v>
      </c>
      <c r="D3431" t="n">
        <v>21</v>
      </c>
      <c r="E3431" s="10" t="n">
        <v>0</v>
      </c>
      <c r="F3431" s="10" t="n">
        <v>0.2985682316563756</v>
      </c>
      <c r="G3431" s="11">
        <f>E3431*Summary!$B$6</f>
        <v/>
      </c>
      <c r="H3431" s="11">
        <f>F3431*Summary!$B$7</f>
        <v/>
      </c>
      <c r="I3431" s="11">
        <f>MAX(0,N3431-M3431)</f>
        <v/>
      </c>
      <c r="J3431" s="11">
        <f>MAX(0,M3431-N3431)</f>
        <v/>
      </c>
      <c r="K3431" s="11">
        <f>O3431</f>
        <v/>
      </c>
      <c r="L3431" s="11">
        <f>L3430+IF(K3431&gt;0,K3431*Summary!$B$9,K3431/Summary!$B$9)</f>
        <v/>
      </c>
      <c r="M3431" s="11">
        <f>G3431+H3431</f>
        <v/>
      </c>
      <c r="N3431" s="11">
        <f>Summary!$C$16*Summary!$B$8</f>
        <v/>
      </c>
      <c r="O3431" s="11">
        <f>M3431-N3431</f>
        <v/>
      </c>
    </row>
    <row r="3432">
      <c r="A3432" s="9" t="n">
        <v>45434.91666666666</v>
      </c>
      <c r="B3432" t="n">
        <v>5</v>
      </c>
      <c r="C3432" t="n">
        <v>22</v>
      </c>
      <c r="D3432" t="n">
        <v>22</v>
      </c>
      <c r="E3432" s="10" t="n">
        <v>0</v>
      </c>
      <c r="F3432" s="10" t="n">
        <v>0.3117178828122918</v>
      </c>
      <c r="G3432" s="11">
        <f>E3432*Summary!$B$6</f>
        <v/>
      </c>
      <c r="H3432" s="11">
        <f>F3432*Summary!$B$7</f>
        <v/>
      </c>
      <c r="I3432" s="11">
        <f>MAX(0,N3432-M3432)</f>
        <v/>
      </c>
      <c r="J3432" s="11">
        <f>MAX(0,M3432-N3432)</f>
        <v/>
      </c>
      <c r="K3432" s="11">
        <f>O3432</f>
        <v/>
      </c>
      <c r="L3432" s="11">
        <f>L3431+IF(K3432&gt;0,K3432*Summary!$B$9,K3432/Summary!$B$9)</f>
        <v/>
      </c>
      <c r="M3432" s="11">
        <f>G3432+H3432</f>
        <v/>
      </c>
      <c r="N3432" s="11">
        <f>Summary!$C$16*Summary!$B$8</f>
        <v/>
      </c>
      <c r="O3432" s="11">
        <f>M3432-N3432</f>
        <v/>
      </c>
    </row>
    <row r="3433">
      <c r="A3433" s="9" t="n">
        <v>45434.95833333334</v>
      </c>
      <c r="B3433" t="n">
        <v>5</v>
      </c>
      <c r="C3433" t="n">
        <v>22</v>
      </c>
      <c r="D3433" t="n">
        <v>23</v>
      </c>
      <c r="E3433" s="10" t="n">
        <v>0</v>
      </c>
      <c r="F3433" s="10" t="n">
        <v>0.3117178828122918</v>
      </c>
      <c r="G3433" s="11">
        <f>E3433*Summary!$B$6</f>
        <v/>
      </c>
      <c r="H3433" s="11">
        <f>F3433*Summary!$B$7</f>
        <v/>
      </c>
      <c r="I3433" s="11">
        <f>MAX(0,N3433-M3433)</f>
        <v/>
      </c>
      <c r="J3433" s="11">
        <f>MAX(0,M3433-N3433)</f>
        <v/>
      </c>
      <c r="K3433" s="11">
        <f>O3433</f>
        <v/>
      </c>
      <c r="L3433" s="11">
        <f>L3432+IF(K3433&gt;0,K3433*Summary!$B$9,K3433/Summary!$B$9)</f>
        <v/>
      </c>
      <c r="M3433" s="11">
        <f>G3433+H3433</f>
        <v/>
      </c>
      <c r="N3433" s="11">
        <f>Summary!$C$16*Summary!$B$8</f>
        <v/>
      </c>
      <c r="O3433" s="11">
        <f>M3433-N3433</f>
        <v/>
      </c>
    </row>
    <row r="3434">
      <c r="A3434" s="9" t="n">
        <v>45435</v>
      </c>
      <c r="B3434" t="n">
        <v>5</v>
      </c>
      <c r="C3434" t="n">
        <v>23</v>
      </c>
      <c r="D3434" t="n">
        <v>0</v>
      </c>
      <c r="E3434" s="10" t="n">
        <v>0</v>
      </c>
      <c r="F3434" s="10" t="n">
        <v>0.217430404183297</v>
      </c>
      <c r="G3434" s="11">
        <f>E3434*Summary!$B$6</f>
        <v/>
      </c>
      <c r="H3434" s="11">
        <f>F3434*Summary!$B$7</f>
        <v/>
      </c>
      <c r="I3434" s="11">
        <f>MAX(0,N3434-M3434)</f>
        <v/>
      </c>
      <c r="J3434" s="11">
        <f>MAX(0,M3434-N3434)</f>
        <v/>
      </c>
      <c r="K3434" s="11">
        <f>O3434</f>
        <v/>
      </c>
      <c r="L3434" s="11">
        <f>L3433+IF(K3434&gt;0,K3434*Summary!$B$9,K3434/Summary!$B$9)</f>
        <v/>
      </c>
      <c r="M3434" s="11">
        <f>G3434+H3434</f>
        <v/>
      </c>
      <c r="N3434" s="11">
        <f>Summary!$C$16*Summary!$B$8</f>
        <v/>
      </c>
      <c r="O3434" s="11">
        <f>M3434-N3434</f>
        <v/>
      </c>
    </row>
    <row r="3435">
      <c r="A3435" s="9" t="n">
        <v>45435.04166666666</v>
      </c>
      <c r="B3435" t="n">
        <v>5</v>
      </c>
      <c r="C3435" t="n">
        <v>23</v>
      </c>
      <c r="D3435" t="n">
        <v>1</v>
      </c>
      <c r="E3435" s="10" t="n">
        <v>0</v>
      </c>
      <c r="F3435" s="10" t="n">
        <v>0.3068691136485873</v>
      </c>
      <c r="G3435" s="11">
        <f>E3435*Summary!$B$6</f>
        <v/>
      </c>
      <c r="H3435" s="11">
        <f>F3435*Summary!$B$7</f>
        <v/>
      </c>
      <c r="I3435" s="11">
        <f>MAX(0,N3435-M3435)</f>
        <v/>
      </c>
      <c r="J3435" s="11">
        <f>MAX(0,M3435-N3435)</f>
        <v/>
      </c>
      <c r="K3435" s="11">
        <f>O3435</f>
        <v/>
      </c>
      <c r="L3435" s="11">
        <f>L3434+IF(K3435&gt;0,K3435*Summary!$B$9,K3435/Summary!$B$9)</f>
        <v/>
      </c>
      <c r="M3435" s="11">
        <f>G3435+H3435</f>
        <v/>
      </c>
      <c r="N3435" s="11">
        <f>Summary!$C$16*Summary!$B$8</f>
        <v/>
      </c>
      <c r="O3435" s="11">
        <f>M3435-N3435</f>
        <v/>
      </c>
    </row>
    <row r="3436">
      <c r="A3436" s="9" t="n">
        <v>45435.08333333334</v>
      </c>
      <c r="B3436" t="n">
        <v>5</v>
      </c>
      <c r="C3436" t="n">
        <v>23</v>
      </c>
      <c r="D3436" t="n">
        <v>2</v>
      </c>
      <c r="E3436" s="10" t="n">
        <v>0</v>
      </c>
      <c r="F3436" s="10" t="n">
        <v>0.3040230969655432</v>
      </c>
      <c r="G3436" s="11">
        <f>E3436*Summary!$B$6</f>
        <v/>
      </c>
      <c r="H3436" s="11">
        <f>F3436*Summary!$B$7</f>
        <v/>
      </c>
      <c r="I3436" s="11">
        <f>MAX(0,N3436-M3436)</f>
        <v/>
      </c>
      <c r="J3436" s="11">
        <f>MAX(0,M3436-N3436)</f>
        <v/>
      </c>
      <c r="K3436" s="11">
        <f>O3436</f>
        <v/>
      </c>
      <c r="L3436" s="11">
        <f>L3435+IF(K3436&gt;0,K3436*Summary!$B$9,K3436/Summary!$B$9)</f>
        <v/>
      </c>
      <c r="M3436" s="11">
        <f>G3436+H3436</f>
        <v/>
      </c>
      <c r="N3436" s="11">
        <f>Summary!$C$16*Summary!$B$8</f>
        <v/>
      </c>
      <c r="O3436" s="11">
        <f>M3436-N3436</f>
        <v/>
      </c>
    </row>
    <row r="3437">
      <c r="A3437" s="9" t="n">
        <v>45435.125</v>
      </c>
      <c r="B3437" t="n">
        <v>5</v>
      </c>
      <c r="C3437" t="n">
        <v>23</v>
      </c>
      <c r="D3437" t="n">
        <v>3</v>
      </c>
      <c r="E3437" s="10" t="n">
        <v>0</v>
      </c>
      <c r="F3437" s="10" t="n">
        <v>0.2981993035678328</v>
      </c>
      <c r="G3437" s="11">
        <f>E3437*Summary!$B$6</f>
        <v/>
      </c>
      <c r="H3437" s="11">
        <f>F3437*Summary!$B$7</f>
        <v/>
      </c>
      <c r="I3437" s="11">
        <f>MAX(0,N3437-M3437)</f>
        <v/>
      </c>
      <c r="J3437" s="11">
        <f>MAX(0,M3437-N3437)</f>
        <v/>
      </c>
      <c r="K3437" s="11">
        <f>O3437</f>
        <v/>
      </c>
      <c r="L3437" s="11">
        <f>L3436+IF(K3437&gt;0,K3437*Summary!$B$9,K3437/Summary!$B$9)</f>
        <v/>
      </c>
      <c r="M3437" s="11">
        <f>G3437+H3437</f>
        <v/>
      </c>
      <c r="N3437" s="11">
        <f>Summary!$C$16*Summary!$B$8</f>
        <v/>
      </c>
      <c r="O3437" s="11">
        <f>M3437-N3437</f>
        <v/>
      </c>
    </row>
    <row r="3438">
      <c r="A3438" s="9" t="n">
        <v>45435.16666666666</v>
      </c>
      <c r="B3438" t="n">
        <v>5</v>
      </c>
      <c r="C3438" t="n">
        <v>23</v>
      </c>
      <c r="D3438" t="n">
        <v>4</v>
      </c>
      <c r="E3438" s="10" t="n">
        <v>0.016199</v>
      </c>
      <c r="F3438" s="10" t="n">
        <v>0.285840212601651</v>
      </c>
      <c r="G3438" s="11">
        <f>E3438*Summary!$B$6</f>
        <v/>
      </c>
      <c r="H3438" s="11">
        <f>F3438*Summary!$B$7</f>
        <v/>
      </c>
      <c r="I3438" s="11">
        <f>MAX(0,N3438-M3438)</f>
        <v/>
      </c>
      <c r="J3438" s="11">
        <f>MAX(0,M3438-N3438)</f>
        <v/>
      </c>
      <c r="K3438" s="11">
        <f>O3438</f>
        <v/>
      </c>
      <c r="L3438" s="11">
        <f>L3437+IF(K3438&gt;0,K3438*Summary!$B$9,K3438/Summary!$B$9)</f>
        <v/>
      </c>
      <c r="M3438" s="11">
        <f>G3438+H3438</f>
        <v/>
      </c>
      <c r="N3438" s="11">
        <f>Summary!$C$16*Summary!$B$8</f>
        <v/>
      </c>
      <c r="O3438" s="11">
        <f>M3438-N3438</f>
        <v/>
      </c>
    </row>
    <row r="3439">
      <c r="A3439" s="9" t="n">
        <v>45435.20833333334</v>
      </c>
      <c r="B3439" t="n">
        <v>5</v>
      </c>
      <c r="C3439" t="n">
        <v>23</v>
      </c>
      <c r="D3439" t="n">
        <v>5</v>
      </c>
      <c r="E3439" s="10" t="n">
        <v>0.06317200000000001</v>
      </c>
      <c r="F3439" s="10" t="n">
        <v>0.2587239980937595</v>
      </c>
      <c r="G3439" s="11">
        <f>E3439*Summary!$B$6</f>
        <v/>
      </c>
      <c r="H3439" s="11">
        <f>F3439*Summary!$B$7</f>
        <v/>
      </c>
      <c r="I3439" s="11">
        <f>MAX(0,N3439-M3439)</f>
        <v/>
      </c>
      <c r="J3439" s="11">
        <f>MAX(0,M3439-N3439)</f>
        <v/>
      </c>
      <c r="K3439" s="11">
        <f>O3439</f>
        <v/>
      </c>
      <c r="L3439" s="11">
        <f>L3438+IF(K3439&gt;0,K3439*Summary!$B$9,K3439/Summary!$B$9)</f>
        <v/>
      </c>
      <c r="M3439" s="11">
        <f>G3439+H3439</f>
        <v/>
      </c>
      <c r="N3439" s="11">
        <f>Summary!$C$16*Summary!$B$8</f>
        <v/>
      </c>
      <c r="O3439" s="11">
        <f>M3439-N3439</f>
        <v/>
      </c>
    </row>
    <row r="3440">
      <c r="A3440" s="9" t="n">
        <v>45435.25</v>
      </c>
      <c r="B3440" t="n">
        <v>5</v>
      </c>
      <c r="C3440" t="n">
        <v>23</v>
      </c>
      <c r="D3440" t="n">
        <v>6</v>
      </c>
      <c r="E3440" s="10" t="n">
        <v>0.182192</v>
      </c>
      <c r="F3440" s="10" t="n">
        <v>0.2268644224474614</v>
      </c>
      <c r="G3440" s="11">
        <f>E3440*Summary!$B$6</f>
        <v/>
      </c>
      <c r="H3440" s="11">
        <f>F3440*Summary!$B$7</f>
        <v/>
      </c>
      <c r="I3440" s="11">
        <f>MAX(0,N3440-M3440)</f>
        <v/>
      </c>
      <c r="J3440" s="11">
        <f>MAX(0,M3440-N3440)</f>
        <v/>
      </c>
      <c r="K3440" s="11">
        <f>O3440</f>
        <v/>
      </c>
      <c r="L3440" s="11">
        <f>L3439+IF(K3440&gt;0,K3440*Summary!$B$9,K3440/Summary!$B$9)</f>
        <v/>
      </c>
      <c r="M3440" s="11">
        <f>G3440+H3440</f>
        <v/>
      </c>
      <c r="N3440" s="11">
        <f>Summary!$C$16*Summary!$B$8</f>
        <v/>
      </c>
      <c r="O3440" s="11">
        <f>M3440-N3440</f>
        <v/>
      </c>
    </row>
    <row r="3441">
      <c r="A3441" s="9" t="n">
        <v>45435.29166666666</v>
      </c>
      <c r="B3441" t="n">
        <v>5</v>
      </c>
      <c r="C3441" t="n">
        <v>23</v>
      </c>
      <c r="D3441" t="n">
        <v>7</v>
      </c>
      <c r="E3441" s="10" t="n">
        <v>0.408526</v>
      </c>
      <c r="F3441" s="10" t="n">
        <v>0.20457062509695</v>
      </c>
      <c r="G3441" s="11">
        <f>E3441*Summary!$B$6</f>
        <v/>
      </c>
      <c r="H3441" s="11">
        <f>F3441*Summary!$B$7</f>
        <v/>
      </c>
      <c r="I3441" s="11">
        <f>MAX(0,N3441-M3441)</f>
        <v/>
      </c>
      <c r="J3441" s="11">
        <f>MAX(0,M3441-N3441)</f>
        <v/>
      </c>
      <c r="K3441" s="11">
        <f>O3441</f>
        <v/>
      </c>
      <c r="L3441" s="11">
        <f>L3440+IF(K3441&gt;0,K3441*Summary!$B$9,K3441/Summary!$B$9)</f>
        <v/>
      </c>
      <c r="M3441" s="11">
        <f>G3441+H3441</f>
        <v/>
      </c>
      <c r="N3441" s="11">
        <f>Summary!$C$16*Summary!$B$8</f>
        <v/>
      </c>
      <c r="O3441" s="11">
        <f>M3441-N3441</f>
        <v/>
      </c>
    </row>
    <row r="3442">
      <c r="A3442" s="9" t="n">
        <v>45435.33333333334</v>
      </c>
      <c r="B3442" t="n">
        <v>5</v>
      </c>
      <c r="C3442" t="n">
        <v>23</v>
      </c>
      <c r="D3442" t="n">
        <v>8</v>
      </c>
      <c r="E3442" s="10" t="n">
        <v>0.5907289999999999</v>
      </c>
      <c r="F3442" s="10" t="n">
        <v>0.1946359187126205</v>
      </c>
      <c r="G3442" s="11">
        <f>E3442*Summary!$B$6</f>
        <v/>
      </c>
      <c r="H3442" s="11">
        <f>F3442*Summary!$B$7</f>
        <v/>
      </c>
      <c r="I3442" s="11">
        <f>MAX(0,N3442-M3442)</f>
        <v/>
      </c>
      <c r="J3442" s="11">
        <f>MAX(0,M3442-N3442)</f>
        <v/>
      </c>
      <c r="K3442" s="11">
        <f>O3442</f>
        <v/>
      </c>
      <c r="L3442" s="11">
        <f>L3441+IF(K3442&gt;0,K3442*Summary!$B$9,K3442/Summary!$B$9)</f>
        <v/>
      </c>
      <c r="M3442" s="11">
        <f>G3442+H3442</f>
        <v/>
      </c>
      <c r="N3442" s="11">
        <f>Summary!$C$16*Summary!$B$8</f>
        <v/>
      </c>
      <c r="O3442" s="11">
        <f>M3442-N3442</f>
        <v/>
      </c>
    </row>
    <row r="3443">
      <c r="A3443" s="9" t="n">
        <v>45435.375</v>
      </c>
      <c r="B3443" t="n">
        <v>5</v>
      </c>
      <c r="C3443" t="n">
        <v>23</v>
      </c>
      <c r="D3443" t="n">
        <v>9</v>
      </c>
      <c r="E3443" s="10" t="n">
        <v>0.733362</v>
      </c>
      <c r="F3443" s="10" t="n">
        <v>0.1904986537196769</v>
      </c>
      <c r="G3443" s="11">
        <f>E3443*Summary!$B$6</f>
        <v/>
      </c>
      <c r="H3443" s="11">
        <f>F3443*Summary!$B$7</f>
        <v/>
      </c>
      <c r="I3443" s="11">
        <f>MAX(0,N3443-M3443)</f>
        <v/>
      </c>
      <c r="J3443" s="11">
        <f>MAX(0,M3443-N3443)</f>
        <v/>
      </c>
      <c r="K3443" s="11">
        <f>O3443</f>
        <v/>
      </c>
      <c r="L3443" s="11">
        <f>L3442+IF(K3443&gt;0,K3443*Summary!$B$9,K3443/Summary!$B$9)</f>
        <v/>
      </c>
      <c r="M3443" s="11">
        <f>G3443+H3443</f>
        <v/>
      </c>
      <c r="N3443" s="11">
        <f>Summary!$C$16*Summary!$B$8</f>
        <v/>
      </c>
      <c r="O3443" s="11">
        <f>M3443-N3443</f>
        <v/>
      </c>
    </row>
    <row r="3444">
      <c r="A3444" s="9" t="n">
        <v>45435.41666666666</v>
      </c>
      <c r="B3444" t="n">
        <v>5</v>
      </c>
      <c r="C3444" t="n">
        <v>23</v>
      </c>
      <c r="D3444" t="n">
        <v>10</v>
      </c>
      <c r="E3444" s="10" t="n">
        <v>0.754058</v>
      </c>
      <c r="F3444" s="10" t="n">
        <v>0.1943987506557001</v>
      </c>
      <c r="G3444" s="11">
        <f>E3444*Summary!$B$6</f>
        <v/>
      </c>
      <c r="H3444" s="11">
        <f>F3444*Summary!$B$7</f>
        <v/>
      </c>
      <c r="I3444" s="11">
        <f>MAX(0,N3444-M3444)</f>
        <v/>
      </c>
      <c r="J3444" s="11">
        <f>MAX(0,M3444-N3444)</f>
        <v/>
      </c>
      <c r="K3444" s="11">
        <f>O3444</f>
        <v/>
      </c>
      <c r="L3444" s="11">
        <f>L3443+IF(K3444&gt;0,K3444*Summary!$B$9,K3444/Summary!$B$9)</f>
        <v/>
      </c>
      <c r="M3444" s="11">
        <f>G3444+H3444</f>
        <v/>
      </c>
      <c r="N3444" s="11">
        <f>Summary!$C$16*Summary!$B$8</f>
        <v/>
      </c>
      <c r="O3444" s="11">
        <f>M3444-N3444</f>
        <v/>
      </c>
    </row>
    <row r="3445">
      <c r="A3445" s="9" t="n">
        <v>45435.45833333334</v>
      </c>
      <c r="B3445" t="n">
        <v>5</v>
      </c>
      <c r="C3445" t="n">
        <v>23</v>
      </c>
      <c r="D3445" t="n">
        <v>11</v>
      </c>
      <c r="E3445" s="10" t="n">
        <v>0.754058</v>
      </c>
      <c r="F3445" s="10" t="n">
        <v>0.2013029763127143</v>
      </c>
      <c r="G3445" s="11">
        <f>E3445*Summary!$B$6</f>
        <v/>
      </c>
      <c r="H3445" s="11">
        <f>F3445*Summary!$B$7</f>
        <v/>
      </c>
      <c r="I3445" s="11">
        <f>MAX(0,N3445-M3445)</f>
        <v/>
      </c>
      <c r="J3445" s="11">
        <f>MAX(0,M3445-N3445)</f>
        <v/>
      </c>
      <c r="K3445" s="11">
        <f>O3445</f>
        <v/>
      </c>
      <c r="L3445" s="11">
        <f>L3444+IF(K3445&gt;0,K3445*Summary!$B$9,K3445/Summary!$B$9)</f>
        <v/>
      </c>
      <c r="M3445" s="11">
        <f>G3445+H3445</f>
        <v/>
      </c>
      <c r="N3445" s="11">
        <f>Summary!$C$16*Summary!$B$8</f>
        <v/>
      </c>
      <c r="O3445" s="11">
        <f>M3445-N3445</f>
        <v/>
      </c>
    </row>
    <row r="3446">
      <c r="A3446" s="9" t="n">
        <v>45435.5</v>
      </c>
      <c r="B3446" t="n">
        <v>5</v>
      </c>
      <c r="C3446" t="n">
        <v>23</v>
      </c>
      <c r="D3446" t="n">
        <v>12</v>
      </c>
      <c r="E3446" s="10" t="n">
        <v>0.754058</v>
      </c>
      <c r="F3446" s="10" t="n">
        <v>0.202541520609965</v>
      </c>
      <c r="G3446" s="11">
        <f>E3446*Summary!$B$6</f>
        <v/>
      </c>
      <c r="H3446" s="11">
        <f>F3446*Summary!$B$7</f>
        <v/>
      </c>
      <c r="I3446" s="11">
        <f>MAX(0,N3446-M3446)</f>
        <v/>
      </c>
      <c r="J3446" s="11">
        <f>MAX(0,M3446-N3446)</f>
        <v/>
      </c>
      <c r="K3446" s="11">
        <f>O3446</f>
        <v/>
      </c>
      <c r="L3446" s="11">
        <f>L3445+IF(K3446&gt;0,K3446*Summary!$B$9,K3446/Summary!$B$9)</f>
        <v/>
      </c>
      <c r="M3446" s="11">
        <f>G3446+H3446</f>
        <v/>
      </c>
      <c r="N3446" s="11">
        <f>Summary!$C$16*Summary!$B$8</f>
        <v/>
      </c>
      <c r="O3446" s="11">
        <f>M3446-N3446</f>
        <v/>
      </c>
    </row>
    <row r="3447">
      <c r="A3447" s="9" t="n">
        <v>45435.54166666666</v>
      </c>
      <c r="B3447" t="n">
        <v>5</v>
      </c>
      <c r="C3447" t="n">
        <v>23</v>
      </c>
      <c r="D3447" t="n">
        <v>13</v>
      </c>
      <c r="E3447" s="10" t="n">
        <v>0.754058</v>
      </c>
      <c r="F3447" s="10" t="n">
        <v>0.2144526274686306</v>
      </c>
      <c r="G3447" s="11">
        <f>E3447*Summary!$B$6</f>
        <v/>
      </c>
      <c r="H3447" s="11">
        <f>F3447*Summary!$B$7</f>
        <v/>
      </c>
      <c r="I3447" s="11">
        <f>MAX(0,N3447-M3447)</f>
        <v/>
      </c>
      <c r="J3447" s="11">
        <f>MAX(0,M3447-N3447)</f>
        <v/>
      </c>
      <c r="K3447" s="11">
        <f>O3447</f>
        <v/>
      </c>
      <c r="L3447" s="11">
        <f>L3446+IF(K3447&gt;0,K3447*Summary!$B$9,K3447/Summary!$B$9)</f>
        <v/>
      </c>
      <c r="M3447" s="11">
        <f>G3447+H3447</f>
        <v/>
      </c>
      <c r="N3447" s="11">
        <f>Summary!$C$16*Summary!$B$8</f>
        <v/>
      </c>
      <c r="O3447" s="11">
        <f>M3447-N3447</f>
        <v/>
      </c>
    </row>
    <row r="3448">
      <c r="A3448" s="9" t="n">
        <v>45435.58333333334</v>
      </c>
      <c r="B3448" t="n">
        <v>5</v>
      </c>
      <c r="C3448" t="n">
        <v>23</v>
      </c>
      <c r="D3448" t="n">
        <v>14</v>
      </c>
      <c r="E3448" s="10" t="n">
        <v>0.749302</v>
      </c>
      <c r="F3448" s="10" t="n">
        <v>0.1945305106873225</v>
      </c>
      <c r="G3448" s="11">
        <f>E3448*Summary!$B$6</f>
        <v/>
      </c>
      <c r="H3448" s="11">
        <f>F3448*Summary!$B$7</f>
        <v/>
      </c>
      <c r="I3448" s="11">
        <f>MAX(0,N3448-M3448)</f>
        <v/>
      </c>
      <c r="J3448" s="11">
        <f>MAX(0,M3448-N3448)</f>
        <v/>
      </c>
      <c r="K3448" s="11">
        <f>O3448</f>
        <v/>
      </c>
      <c r="L3448" s="11">
        <f>L3447+IF(K3448&gt;0,K3448*Summary!$B$9,K3448/Summary!$B$9)</f>
        <v/>
      </c>
      <c r="M3448" s="11">
        <f>G3448+H3448</f>
        <v/>
      </c>
      <c r="N3448" s="11">
        <f>Summary!$C$16*Summary!$B$8</f>
        <v/>
      </c>
      <c r="O3448" s="11">
        <f>M3448-N3448</f>
        <v/>
      </c>
    </row>
    <row r="3449">
      <c r="A3449" s="9" t="n">
        <v>45435.625</v>
      </c>
      <c r="B3449" t="n">
        <v>5</v>
      </c>
      <c r="C3449" t="n">
        <v>23</v>
      </c>
      <c r="D3449" t="n">
        <v>15</v>
      </c>
      <c r="E3449" s="10" t="n">
        <v>0.615822</v>
      </c>
      <c r="F3449" s="10" t="n">
        <v>0.1870992449038188</v>
      </c>
      <c r="G3449" s="11">
        <f>E3449*Summary!$B$6</f>
        <v/>
      </c>
      <c r="H3449" s="11">
        <f>F3449*Summary!$B$7</f>
        <v/>
      </c>
      <c r="I3449" s="11">
        <f>MAX(0,N3449-M3449)</f>
        <v/>
      </c>
      <c r="J3449" s="11">
        <f>MAX(0,M3449-N3449)</f>
        <v/>
      </c>
      <c r="K3449" s="11">
        <f>O3449</f>
        <v/>
      </c>
      <c r="L3449" s="11">
        <f>L3448+IF(K3449&gt;0,K3449*Summary!$B$9,K3449/Summary!$B$9)</f>
        <v/>
      </c>
      <c r="M3449" s="11">
        <f>G3449+H3449</f>
        <v/>
      </c>
      <c r="N3449" s="11">
        <f>Summary!$C$16*Summary!$B$8</f>
        <v/>
      </c>
      <c r="O3449" s="11">
        <f>M3449-N3449</f>
        <v/>
      </c>
    </row>
    <row r="3450">
      <c r="A3450" s="9" t="n">
        <v>45435.66666666666</v>
      </c>
      <c r="B3450" t="n">
        <v>5</v>
      </c>
      <c r="C3450" t="n">
        <v>23</v>
      </c>
      <c r="D3450" t="n">
        <v>16</v>
      </c>
      <c r="E3450" s="10" t="n">
        <v>0.401113</v>
      </c>
      <c r="F3450" s="10" t="n">
        <v>0.1888911813338835</v>
      </c>
      <c r="G3450" s="11">
        <f>E3450*Summary!$B$6</f>
        <v/>
      </c>
      <c r="H3450" s="11">
        <f>F3450*Summary!$B$7</f>
        <v/>
      </c>
      <c r="I3450" s="11">
        <f>MAX(0,N3450-M3450)</f>
        <v/>
      </c>
      <c r="J3450" s="11">
        <f>MAX(0,M3450-N3450)</f>
        <v/>
      </c>
      <c r="K3450" s="11">
        <f>O3450</f>
        <v/>
      </c>
      <c r="L3450" s="11">
        <f>L3449+IF(K3450&gt;0,K3450*Summary!$B$9,K3450/Summary!$B$9)</f>
        <v/>
      </c>
      <c r="M3450" s="11">
        <f>G3450+H3450</f>
        <v/>
      </c>
      <c r="N3450" s="11">
        <f>Summary!$C$16*Summary!$B$8</f>
        <v/>
      </c>
      <c r="O3450" s="11">
        <f>M3450-N3450</f>
        <v/>
      </c>
    </row>
    <row r="3451">
      <c r="A3451" s="9" t="n">
        <v>45435.70833333334</v>
      </c>
      <c r="B3451" t="n">
        <v>5</v>
      </c>
      <c r="C3451" t="n">
        <v>23</v>
      </c>
      <c r="D3451" t="n">
        <v>17</v>
      </c>
      <c r="E3451" s="10" t="n">
        <v>0.187528</v>
      </c>
      <c r="F3451" s="10" t="n">
        <v>0.1788510669242561</v>
      </c>
      <c r="G3451" s="11">
        <f>E3451*Summary!$B$6</f>
        <v/>
      </c>
      <c r="H3451" s="11">
        <f>F3451*Summary!$B$7</f>
        <v/>
      </c>
      <c r="I3451" s="11">
        <f>MAX(0,N3451-M3451)</f>
        <v/>
      </c>
      <c r="J3451" s="11">
        <f>MAX(0,M3451-N3451)</f>
        <v/>
      </c>
      <c r="K3451" s="11">
        <f>O3451</f>
        <v/>
      </c>
      <c r="L3451" s="11">
        <f>L3450+IF(K3451&gt;0,K3451*Summary!$B$9,K3451/Summary!$B$9)</f>
        <v/>
      </c>
      <c r="M3451" s="11">
        <f>G3451+H3451</f>
        <v/>
      </c>
      <c r="N3451" s="11">
        <f>Summary!$C$16*Summary!$B$8</f>
        <v/>
      </c>
      <c r="O3451" s="11">
        <f>M3451-N3451</f>
        <v/>
      </c>
    </row>
    <row r="3452">
      <c r="A3452" s="9" t="n">
        <v>45435.75</v>
      </c>
      <c r="B3452" t="n">
        <v>5</v>
      </c>
      <c r="C3452" t="n">
        <v>23</v>
      </c>
      <c r="D3452" t="n">
        <v>18</v>
      </c>
      <c r="E3452" s="10" t="n">
        <v>0.08327</v>
      </c>
      <c r="F3452" s="10" t="n">
        <v>0.1709191130205871</v>
      </c>
      <c r="G3452" s="11">
        <f>E3452*Summary!$B$6</f>
        <v/>
      </c>
      <c r="H3452" s="11">
        <f>F3452*Summary!$B$7</f>
        <v/>
      </c>
      <c r="I3452" s="11">
        <f>MAX(0,N3452-M3452)</f>
        <v/>
      </c>
      <c r="J3452" s="11">
        <f>MAX(0,M3452-N3452)</f>
        <v/>
      </c>
      <c r="K3452" s="11">
        <f>O3452</f>
        <v/>
      </c>
      <c r="L3452" s="11">
        <f>L3451+IF(K3452&gt;0,K3452*Summary!$B$9,K3452/Summary!$B$9)</f>
        <v/>
      </c>
      <c r="M3452" s="11">
        <f>G3452+H3452</f>
        <v/>
      </c>
      <c r="N3452" s="11">
        <f>Summary!$C$16*Summary!$B$8</f>
        <v/>
      </c>
      <c r="O3452" s="11">
        <f>M3452-N3452</f>
        <v/>
      </c>
    </row>
    <row r="3453">
      <c r="A3453" s="9" t="n">
        <v>45435.79166666666</v>
      </c>
      <c r="B3453" t="n">
        <v>5</v>
      </c>
      <c r="C3453" t="n">
        <v>23</v>
      </c>
      <c r="D3453" t="n">
        <v>19</v>
      </c>
      <c r="E3453" s="10" t="n">
        <v>0.032523</v>
      </c>
      <c r="F3453" s="10" t="n">
        <v>0.1721049533051888</v>
      </c>
      <c r="G3453" s="11">
        <f>E3453*Summary!$B$6</f>
        <v/>
      </c>
      <c r="H3453" s="11">
        <f>F3453*Summary!$B$7</f>
        <v/>
      </c>
      <c r="I3453" s="11">
        <f>MAX(0,N3453-M3453)</f>
        <v/>
      </c>
      <c r="J3453" s="11">
        <f>MAX(0,M3453-N3453)</f>
        <v/>
      </c>
      <c r="K3453" s="11">
        <f>O3453</f>
        <v/>
      </c>
      <c r="L3453" s="11">
        <f>L3452+IF(K3453&gt;0,K3453*Summary!$B$9,K3453/Summary!$B$9)</f>
        <v/>
      </c>
      <c r="M3453" s="11">
        <f>G3453+H3453</f>
        <v/>
      </c>
      <c r="N3453" s="11">
        <f>Summary!$C$16*Summary!$B$8</f>
        <v/>
      </c>
      <c r="O3453" s="11">
        <f>M3453-N3453</f>
        <v/>
      </c>
    </row>
    <row r="3454">
      <c r="A3454" s="9" t="n">
        <v>45435.83333333334</v>
      </c>
      <c r="B3454" t="n">
        <v>5</v>
      </c>
      <c r="C3454" t="n">
        <v>23</v>
      </c>
      <c r="D3454" t="n">
        <v>20</v>
      </c>
      <c r="E3454" s="10" t="n">
        <v>0</v>
      </c>
      <c r="F3454" s="10" t="n">
        <v>0.1866776128026271</v>
      </c>
      <c r="G3454" s="11">
        <f>E3454*Summary!$B$6</f>
        <v/>
      </c>
      <c r="H3454" s="11">
        <f>F3454*Summary!$B$7</f>
        <v/>
      </c>
      <c r="I3454" s="11">
        <f>MAX(0,N3454-M3454)</f>
        <v/>
      </c>
      <c r="J3454" s="11">
        <f>MAX(0,M3454-N3454)</f>
        <v/>
      </c>
      <c r="K3454" s="11">
        <f>O3454</f>
        <v/>
      </c>
      <c r="L3454" s="11">
        <f>L3453+IF(K3454&gt;0,K3454*Summary!$B$9,K3454/Summary!$B$9)</f>
        <v/>
      </c>
      <c r="M3454" s="11">
        <f>G3454+H3454</f>
        <v/>
      </c>
      <c r="N3454" s="11">
        <f>Summary!$C$16*Summary!$B$8</f>
        <v/>
      </c>
      <c r="O3454" s="11">
        <f>M3454-N3454</f>
        <v/>
      </c>
    </row>
    <row r="3455">
      <c r="A3455" s="9" t="n">
        <v>45435.875</v>
      </c>
      <c r="B3455" t="n">
        <v>5</v>
      </c>
      <c r="C3455" t="n">
        <v>23</v>
      </c>
      <c r="D3455" t="n">
        <v>21</v>
      </c>
      <c r="E3455" s="10" t="n">
        <v>0</v>
      </c>
      <c r="F3455" s="10" t="n">
        <v>0.20457062509695</v>
      </c>
      <c r="G3455" s="11">
        <f>E3455*Summary!$B$6</f>
        <v/>
      </c>
      <c r="H3455" s="11">
        <f>F3455*Summary!$B$7</f>
        <v/>
      </c>
      <c r="I3455" s="11">
        <f>MAX(0,N3455-M3455)</f>
        <v/>
      </c>
      <c r="J3455" s="11">
        <f>MAX(0,M3455-N3455)</f>
        <v/>
      </c>
      <c r="K3455" s="11">
        <f>O3455</f>
        <v/>
      </c>
      <c r="L3455" s="11">
        <f>L3454+IF(K3455&gt;0,K3455*Summary!$B$9,K3455/Summary!$B$9)</f>
        <v/>
      </c>
      <c r="M3455" s="11">
        <f>G3455+H3455</f>
        <v/>
      </c>
      <c r="N3455" s="11">
        <f>Summary!$C$16*Summary!$B$8</f>
        <v/>
      </c>
      <c r="O3455" s="11">
        <f>M3455-N3455</f>
        <v/>
      </c>
    </row>
    <row r="3456">
      <c r="A3456" s="9" t="n">
        <v>45435.91666666666</v>
      </c>
      <c r="B3456" t="n">
        <v>5</v>
      </c>
      <c r="C3456" t="n">
        <v>23</v>
      </c>
      <c r="D3456" t="n">
        <v>22</v>
      </c>
      <c r="E3456" s="10" t="n">
        <v>0</v>
      </c>
      <c r="F3456" s="10" t="n">
        <v>0.2150060196014447</v>
      </c>
      <c r="G3456" s="11">
        <f>E3456*Summary!$B$6</f>
        <v/>
      </c>
      <c r="H3456" s="11">
        <f>F3456*Summary!$B$7</f>
        <v/>
      </c>
      <c r="I3456" s="11">
        <f>MAX(0,N3456-M3456)</f>
        <v/>
      </c>
      <c r="J3456" s="11">
        <f>MAX(0,M3456-N3456)</f>
        <v/>
      </c>
      <c r="K3456" s="11">
        <f>O3456</f>
        <v/>
      </c>
      <c r="L3456" s="11">
        <f>L3455+IF(K3456&gt;0,K3456*Summary!$B$9,K3456/Summary!$B$9)</f>
        <v/>
      </c>
      <c r="M3456" s="11">
        <f>G3456+H3456</f>
        <v/>
      </c>
      <c r="N3456" s="11">
        <f>Summary!$C$16*Summary!$B$8</f>
        <v/>
      </c>
      <c r="O3456" s="11">
        <f>M3456-N3456</f>
        <v/>
      </c>
    </row>
    <row r="3457">
      <c r="A3457" s="9" t="n">
        <v>45435.95833333334</v>
      </c>
      <c r="B3457" t="n">
        <v>5</v>
      </c>
      <c r="C3457" t="n">
        <v>23</v>
      </c>
      <c r="D3457" t="n">
        <v>23</v>
      </c>
      <c r="E3457" s="10" t="n">
        <v>0</v>
      </c>
      <c r="F3457" s="10" t="n">
        <v>0.2210933330623999</v>
      </c>
      <c r="G3457" s="11">
        <f>E3457*Summary!$B$6</f>
        <v/>
      </c>
      <c r="H3457" s="11">
        <f>F3457*Summary!$B$7</f>
        <v/>
      </c>
      <c r="I3457" s="11">
        <f>MAX(0,N3457-M3457)</f>
        <v/>
      </c>
      <c r="J3457" s="11">
        <f>MAX(0,M3457-N3457)</f>
        <v/>
      </c>
      <c r="K3457" s="11">
        <f>O3457</f>
        <v/>
      </c>
      <c r="L3457" s="11">
        <f>L3456+IF(K3457&gt;0,K3457*Summary!$B$9,K3457/Summary!$B$9)</f>
        <v/>
      </c>
      <c r="M3457" s="11">
        <f>G3457+H3457</f>
        <v/>
      </c>
      <c r="N3457" s="11">
        <f>Summary!$C$16*Summary!$B$8</f>
        <v/>
      </c>
      <c r="O3457" s="11">
        <f>M3457-N3457</f>
        <v/>
      </c>
    </row>
    <row r="3458">
      <c r="A3458" s="9" t="n">
        <v>45436</v>
      </c>
      <c r="B3458" t="n">
        <v>5</v>
      </c>
      <c r="C3458" t="n">
        <v>24</v>
      </c>
      <c r="D3458" t="n">
        <v>0</v>
      </c>
      <c r="E3458" s="10" t="n">
        <v>0</v>
      </c>
      <c r="F3458" s="10" t="n">
        <v>0.2403302976792714</v>
      </c>
      <c r="G3458" s="11">
        <f>E3458*Summary!$B$6</f>
        <v/>
      </c>
      <c r="H3458" s="11">
        <f>F3458*Summary!$B$7</f>
        <v/>
      </c>
      <c r="I3458" s="11">
        <f>MAX(0,N3458-M3458)</f>
        <v/>
      </c>
      <c r="J3458" s="11">
        <f>MAX(0,M3458-N3458)</f>
        <v/>
      </c>
      <c r="K3458" s="11">
        <f>O3458</f>
        <v/>
      </c>
      <c r="L3458" s="11">
        <f>L3457+IF(K3458&gt;0,K3458*Summary!$B$9,K3458/Summary!$B$9)</f>
        <v/>
      </c>
      <c r="M3458" s="11">
        <f>G3458+H3458</f>
        <v/>
      </c>
      <c r="N3458" s="11">
        <f>Summary!$C$16*Summary!$B$8</f>
        <v/>
      </c>
      <c r="O3458" s="11">
        <f>M3458-N3458</f>
        <v/>
      </c>
    </row>
    <row r="3459">
      <c r="A3459" s="9" t="n">
        <v>45436.04166666666</v>
      </c>
      <c r="B3459" t="n">
        <v>5</v>
      </c>
      <c r="C3459" t="n">
        <v>24</v>
      </c>
      <c r="D3459" t="n">
        <v>1</v>
      </c>
      <c r="E3459" s="10" t="n">
        <v>0</v>
      </c>
      <c r="F3459" s="10" t="n">
        <v>0.2144526274686306</v>
      </c>
      <c r="G3459" s="11">
        <f>E3459*Summary!$B$6</f>
        <v/>
      </c>
      <c r="H3459" s="11">
        <f>F3459*Summary!$B$7</f>
        <v/>
      </c>
      <c r="I3459" s="11">
        <f>MAX(0,N3459-M3459)</f>
        <v/>
      </c>
      <c r="J3459" s="11">
        <f>MAX(0,M3459-N3459)</f>
        <v/>
      </c>
      <c r="K3459" s="11">
        <f>O3459</f>
        <v/>
      </c>
      <c r="L3459" s="11">
        <f>L3458+IF(K3459&gt;0,K3459*Summary!$B$9,K3459/Summary!$B$9)</f>
        <v/>
      </c>
      <c r="M3459" s="11">
        <f>G3459+H3459</f>
        <v/>
      </c>
      <c r="N3459" s="11">
        <f>Summary!$C$16*Summary!$B$8</f>
        <v/>
      </c>
      <c r="O3459" s="11">
        <f>M3459-N3459</f>
        <v/>
      </c>
    </row>
    <row r="3460">
      <c r="A3460" s="9" t="n">
        <v>45436.08333333334</v>
      </c>
      <c r="B3460" t="n">
        <v>5</v>
      </c>
      <c r="C3460" t="n">
        <v>24</v>
      </c>
      <c r="D3460" t="n">
        <v>2</v>
      </c>
      <c r="E3460" s="10" t="n">
        <v>0</v>
      </c>
      <c r="F3460" s="10" t="n">
        <v>0.2114748507539642</v>
      </c>
      <c r="G3460" s="11">
        <f>E3460*Summary!$B$6</f>
        <v/>
      </c>
      <c r="H3460" s="11">
        <f>F3460*Summary!$B$7</f>
        <v/>
      </c>
      <c r="I3460" s="11">
        <f>MAX(0,N3460-M3460)</f>
        <v/>
      </c>
      <c r="J3460" s="11">
        <f>MAX(0,M3460-N3460)</f>
        <v/>
      </c>
      <c r="K3460" s="11">
        <f>O3460</f>
        <v/>
      </c>
      <c r="L3460" s="11">
        <f>L3459+IF(K3460&gt;0,K3460*Summary!$B$9,K3460/Summary!$B$9)</f>
        <v/>
      </c>
      <c r="M3460" s="11">
        <f>G3460+H3460</f>
        <v/>
      </c>
      <c r="N3460" s="11">
        <f>Summary!$C$16*Summary!$B$8</f>
        <v/>
      </c>
      <c r="O3460" s="11">
        <f>M3460-N3460</f>
        <v/>
      </c>
    </row>
    <row r="3461">
      <c r="A3461" s="9" t="n">
        <v>45436.125</v>
      </c>
      <c r="B3461" t="n">
        <v>5</v>
      </c>
      <c r="C3461" t="n">
        <v>24</v>
      </c>
      <c r="D3461" t="n">
        <v>3</v>
      </c>
      <c r="E3461" s="10" t="n">
        <v>0</v>
      </c>
      <c r="F3461" s="10" t="n">
        <v>0.2229906775177626</v>
      </c>
      <c r="G3461" s="11">
        <f>E3461*Summary!$B$6</f>
        <v/>
      </c>
      <c r="H3461" s="11">
        <f>F3461*Summary!$B$7</f>
        <v/>
      </c>
      <c r="I3461" s="11">
        <f>MAX(0,N3461-M3461)</f>
        <v/>
      </c>
      <c r="J3461" s="11">
        <f>MAX(0,M3461-N3461)</f>
        <v/>
      </c>
      <c r="K3461" s="11">
        <f>O3461</f>
        <v/>
      </c>
      <c r="L3461" s="11">
        <f>L3460+IF(K3461&gt;0,K3461*Summary!$B$9,K3461/Summary!$B$9)</f>
        <v/>
      </c>
      <c r="M3461" s="11">
        <f>G3461+H3461</f>
        <v/>
      </c>
      <c r="N3461" s="11">
        <f>Summary!$C$16*Summary!$B$8</f>
        <v/>
      </c>
      <c r="O3461" s="11">
        <f>M3461-N3461</f>
        <v/>
      </c>
    </row>
    <row r="3462">
      <c r="A3462" s="9" t="n">
        <v>45436.16666666666</v>
      </c>
      <c r="B3462" t="n">
        <v>5</v>
      </c>
      <c r="C3462" t="n">
        <v>24</v>
      </c>
      <c r="D3462" t="n">
        <v>4</v>
      </c>
      <c r="E3462" s="10" t="n">
        <v>0.006335</v>
      </c>
      <c r="F3462" s="10" t="n">
        <v>0.1970339512881483</v>
      </c>
      <c r="G3462" s="11">
        <f>E3462*Summary!$B$6</f>
        <v/>
      </c>
      <c r="H3462" s="11">
        <f>F3462*Summary!$B$7</f>
        <v/>
      </c>
      <c r="I3462" s="11">
        <f>MAX(0,N3462-M3462)</f>
        <v/>
      </c>
      <c r="J3462" s="11">
        <f>MAX(0,M3462-N3462)</f>
        <v/>
      </c>
      <c r="K3462" s="11">
        <f>O3462</f>
        <v/>
      </c>
      <c r="L3462" s="11">
        <f>L3461+IF(K3462&gt;0,K3462*Summary!$B$9,K3462/Summary!$B$9)</f>
        <v/>
      </c>
      <c r="M3462" s="11">
        <f>G3462+H3462</f>
        <v/>
      </c>
      <c r="N3462" s="11">
        <f>Summary!$C$16*Summary!$B$8</f>
        <v/>
      </c>
      <c r="O3462" s="11">
        <f>M3462-N3462</f>
        <v/>
      </c>
    </row>
    <row r="3463">
      <c r="A3463" s="9" t="n">
        <v>45436.20833333334</v>
      </c>
      <c r="B3463" t="n">
        <v>5</v>
      </c>
      <c r="C3463" t="n">
        <v>24</v>
      </c>
      <c r="D3463" t="n">
        <v>5</v>
      </c>
      <c r="E3463" s="10" t="n">
        <v>0.005961</v>
      </c>
      <c r="F3463" s="10" t="n">
        <v>0.1804848913163739</v>
      </c>
      <c r="G3463" s="11">
        <f>E3463*Summary!$B$6</f>
        <v/>
      </c>
      <c r="H3463" s="11">
        <f>F3463*Summary!$B$7</f>
        <v/>
      </c>
      <c r="I3463" s="11">
        <f>MAX(0,N3463-M3463)</f>
        <v/>
      </c>
      <c r="J3463" s="11">
        <f>MAX(0,M3463-N3463)</f>
        <v/>
      </c>
      <c r="K3463" s="11">
        <f>O3463</f>
        <v/>
      </c>
      <c r="L3463" s="11">
        <f>L3462+IF(K3463&gt;0,K3463*Summary!$B$9,K3463/Summary!$B$9)</f>
        <v/>
      </c>
      <c r="M3463" s="11">
        <f>G3463+H3463</f>
        <v/>
      </c>
      <c r="N3463" s="11">
        <f>Summary!$C$16*Summary!$B$8</f>
        <v/>
      </c>
      <c r="O3463" s="11">
        <f>M3463-N3463</f>
        <v/>
      </c>
    </row>
    <row r="3464">
      <c r="A3464" s="9" t="n">
        <v>45436.25</v>
      </c>
      <c r="B3464" t="n">
        <v>5</v>
      </c>
      <c r="C3464" t="n">
        <v>24</v>
      </c>
      <c r="D3464" t="n">
        <v>6</v>
      </c>
      <c r="E3464" s="10" t="n">
        <v>0.023681</v>
      </c>
      <c r="F3464" s="10" t="n">
        <v>0.1681258003501921</v>
      </c>
      <c r="G3464" s="11">
        <f>E3464*Summary!$B$6</f>
        <v/>
      </c>
      <c r="H3464" s="11">
        <f>F3464*Summary!$B$7</f>
        <v/>
      </c>
      <c r="I3464" s="11">
        <f>MAX(0,N3464-M3464)</f>
        <v/>
      </c>
      <c r="J3464" s="11">
        <f>MAX(0,M3464-N3464)</f>
        <v/>
      </c>
      <c r="K3464" s="11">
        <f>O3464</f>
        <v/>
      </c>
      <c r="L3464" s="11">
        <f>L3463+IF(K3464&gt;0,K3464*Summary!$B$9,K3464/Summary!$B$9)</f>
        <v/>
      </c>
      <c r="M3464" s="11">
        <f>G3464+H3464</f>
        <v/>
      </c>
      <c r="N3464" s="11">
        <f>Summary!$C$16*Summary!$B$8</f>
        <v/>
      </c>
      <c r="O3464" s="11">
        <f>M3464-N3464</f>
        <v/>
      </c>
    </row>
    <row r="3465">
      <c r="A3465" s="9" t="n">
        <v>45436.29166666666</v>
      </c>
      <c r="B3465" t="n">
        <v>5</v>
      </c>
      <c r="C3465" t="n">
        <v>24</v>
      </c>
      <c r="D3465" t="n">
        <v>7</v>
      </c>
      <c r="E3465" s="10" t="n">
        <v>0.037025</v>
      </c>
      <c r="F3465" s="10" t="n">
        <v>0.1665973839833721</v>
      </c>
      <c r="G3465" s="11">
        <f>E3465*Summary!$B$6</f>
        <v/>
      </c>
      <c r="H3465" s="11">
        <f>F3465*Summary!$B$7</f>
        <v/>
      </c>
      <c r="I3465" s="11">
        <f>MAX(0,N3465-M3465)</f>
        <v/>
      </c>
      <c r="J3465" s="11">
        <f>MAX(0,M3465-N3465)</f>
        <v/>
      </c>
      <c r="K3465" s="11">
        <f>O3465</f>
        <v/>
      </c>
      <c r="L3465" s="11">
        <f>L3464+IF(K3465&gt;0,K3465*Summary!$B$9,K3465/Summary!$B$9)</f>
        <v/>
      </c>
      <c r="M3465" s="11">
        <f>G3465+H3465</f>
        <v/>
      </c>
      <c r="N3465" s="11">
        <f>Summary!$C$16*Summary!$B$8</f>
        <v/>
      </c>
      <c r="O3465" s="11">
        <f>M3465-N3465</f>
        <v/>
      </c>
    </row>
    <row r="3466">
      <c r="A3466" s="9" t="n">
        <v>45436.33333333334</v>
      </c>
      <c r="B3466" t="n">
        <v>5</v>
      </c>
      <c r="C3466" t="n">
        <v>24</v>
      </c>
      <c r="D3466" t="n">
        <v>8</v>
      </c>
      <c r="E3466" s="10" t="n">
        <v>0.133816</v>
      </c>
      <c r="F3466" s="10" t="n">
        <v>0.1787193068926337</v>
      </c>
      <c r="G3466" s="11">
        <f>E3466*Summary!$B$6</f>
        <v/>
      </c>
      <c r="H3466" s="11">
        <f>F3466*Summary!$B$7</f>
        <v/>
      </c>
      <c r="I3466" s="11">
        <f>MAX(0,N3466-M3466)</f>
        <v/>
      </c>
      <c r="J3466" s="11">
        <f>MAX(0,M3466-N3466)</f>
        <v/>
      </c>
      <c r="K3466" s="11">
        <f>O3466</f>
        <v/>
      </c>
      <c r="L3466" s="11">
        <f>L3465+IF(K3466&gt;0,K3466*Summary!$B$9,K3466/Summary!$B$9)</f>
        <v/>
      </c>
      <c r="M3466" s="11">
        <f>G3466+H3466</f>
        <v/>
      </c>
      <c r="N3466" s="11">
        <f>Summary!$C$16*Summary!$B$8</f>
        <v/>
      </c>
      <c r="O3466" s="11">
        <f>M3466-N3466</f>
        <v/>
      </c>
    </row>
    <row r="3467">
      <c r="A3467" s="9" t="n">
        <v>45436.375</v>
      </c>
      <c r="B3467" t="n">
        <v>5</v>
      </c>
      <c r="C3467" t="n">
        <v>24</v>
      </c>
      <c r="D3467" t="n">
        <v>9</v>
      </c>
      <c r="E3467" s="10" t="n">
        <v>0.328885</v>
      </c>
      <c r="F3467" s="10" t="n">
        <v>0.1929493903078537</v>
      </c>
      <c r="G3467" s="11">
        <f>E3467*Summary!$B$6</f>
        <v/>
      </c>
      <c r="H3467" s="11">
        <f>F3467*Summary!$B$7</f>
        <v/>
      </c>
      <c r="I3467" s="11">
        <f>MAX(0,N3467-M3467)</f>
        <v/>
      </c>
      <c r="J3467" s="11">
        <f>MAX(0,M3467-N3467)</f>
        <v/>
      </c>
      <c r="K3467" s="11">
        <f>O3467</f>
        <v/>
      </c>
      <c r="L3467" s="11">
        <f>L3466+IF(K3467&gt;0,K3467*Summary!$B$9,K3467/Summary!$B$9)</f>
        <v/>
      </c>
      <c r="M3467" s="11">
        <f>G3467+H3467</f>
        <v/>
      </c>
      <c r="N3467" s="11">
        <f>Summary!$C$16*Summary!$B$8</f>
        <v/>
      </c>
      <c r="O3467" s="11">
        <f>M3467-N3467</f>
        <v/>
      </c>
    </row>
    <row r="3468">
      <c r="A3468" s="9" t="n">
        <v>45436.41666666666</v>
      </c>
      <c r="B3468" t="n">
        <v>5</v>
      </c>
      <c r="C3468" t="n">
        <v>24</v>
      </c>
      <c r="D3468" t="n">
        <v>10</v>
      </c>
      <c r="E3468" s="10" t="n">
        <v>0.589476</v>
      </c>
      <c r="F3468" s="10" t="n">
        <v>0.2103680664883359</v>
      </c>
      <c r="G3468" s="11">
        <f>E3468*Summary!$B$6</f>
        <v/>
      </c>
      <c r="H3468" s="11">
        <f>F3468*Summary!$B$7</f>
        <v/>
      </c>
      <c r="I3468" s="11">
        <f>MAX(0,N3468-M3468)</f>
        <v/>
      </c>
      <c r="J3468" s="11">
        <f>MAX(0,M3468-N3468)</f>
        <v/>
      </c>
      <c r="K3468" s="11">
        <f>O3468</f>
        <v/>
      </c>
      <c r="L3468" s="11">
        <f>L3467+IF(K3468&gt;0,K3468*Summary!$B$9,K3468/Summary!$B$9)</f>
        <v/>
      </c>
      <c r="M3468" s="11">
        <f>G3468+H3468</f>
        <v/>
      </c>
      <c r="N3468" s="11">
        <f>Summary!$C$16*Summary!$B$8</f>
        <v/>
      </c>
      <c r="O3468" s="11">
        <f>M3468-N3468</f>
        <v/>
      </c>
    </row>
    <row r="3469">
      <c r="A3469" s="9" t="n">
        <v>45436.45833333334</v>
      </c>
      <c r="B3469" t="n">
        <v>5</v>
      </c>
      <c r="C3469" t="n">
        <v>24</v>
      </c>
      <c r="D3469" t="n">
        <v>11</v>
      </c>
      <c r="E3469" s="10" t="n">
        <v>0.754058</v>
      </c>
      <c r="F3469" s="10" t="n">
        <v>0.2253887100932904</v>
      </c>
      <c r="G3469" s="11">
        <f>E3469*Summary!$B$6</f>
        <v/>
      </c>
      <c r="H3469" s="11">
        <f>F3469*Summary!$B$7</f>
        <v/>
      </c>
      <c r="I3469" s="11">
        <f>MAX(0,N3469-M3469)</f>
        <v/>
      </c>
      <c r="J3469" s="11">
        <f>MAX(0,M3469-N3469)</f>
        <v/>
      </c>
      <c r="K3469" s="11">
        <f>O3469</f>
        <v/>
      </c>
      <c r="L3469" s="11">
        <f>L3468+IF(K3469&gt;0,K3469*Summary!$B$9,K3469/Summary!$B$9)</f>
        <v/>
      </c>
      <c r="M3469" s="11">
        <f>G3469+H3469</f>
        <v/>
      </c>
      <c r="N3469" s="11">
        <f>Summary!$C$16*Summary!$B$8</f>
        <v/>
      </c>
      <c r="O3469" s="11">
        <f>M3469-N3469</f>
        <v/>
      </c>
    </row>
    <row r="3470">
      <c r="A3470" s="9" t="n">
        <v>45436.5</v>
      </c>
      <c r="B3470" t="n">
        <v>5</v>
      </c>
      <c r="C3470" t="n">
        <v>24</v>
      </c>
      <c r="D3470" t="n">
        <v>12</v>
      </c>
      <c r="E3470" s="10" t="n">
        <v>0.754058</v>
      </c>
      <c r="F3470" s="10" t="n">
        <v>0.2354288245029179</v>
      </c>
      <c r="G3470" s="11">
        <f>E3470*Summary!$B$6</f>
        <v/>
      </c>
      <c r="H3470" s="11">
        <f>F3470*Summary!$B$7</f>
        <v/>
      </c>
      <c r="I3470" s="11">
        <f>MAX(0,N3470-M3470)</f>
        <v/>
      </c>
      <c r="J3470" s="11">
        <f>MAX(0,M3470-N3470)</f>
        <v/>
      </c>
      <c r="K3470" s="11">
        <f>O3470</f>
        <v/>
      </c>
      <c r="L3470" s="11">
        <f>L3469+IF(K3470&gt;0,K3470*Summary!$B$9,K3470/Summary!$B$9)</f>
        <v/>
      </c>
      <c r="M3470" s="11">
        <f>G3470+H3470</f>
        <v/>
      </c>
      <c r="N3470" s="11">
        <f>Summary!$C$16*Summary!$B$8</f>
        <v/>
      </c>
      <c r="O3470" s="11">
        <f>M3470-N3470</f>
        <v/>
      </c>
    </row>
    <row r="3471">
      <c r="A3471" s="9" t="n">
        <v>45436.54166666666</v>
      </c>
      <c r="B3471" t="n">
        <v>5</v>
      </c>
      <c r="C3471" t="n">
        <v>24</v>
      </c>
      <c r="D3471" t="n">
        <v>13</v>
      </c>
      <c r="E3471" s="10" t="n">
        <v>0.754058</v>
      </c>
      <c r="F3471" s="10" t="n">
        <v>0.2375896890215254</v>
      </c>
      <c r="G3471" s="11">
        <f>E3471*Summary!$B$6</f>
        <v/>
      </c>
      <c r="H3471" s="11">
        <f>F3471*Summary!$B$7</f>
        <v/>
      </c>
      <c r="I3471" s="11">
        <f>MAX(0,N3471-M3471)</f>
        <v/>
      </c>
      <c r="J3471" s="11">
        <f>MAX(0,M3471-N3471)</f>
        <v/>
      </c>
      <c r="K3471" s="11">
        <f>O3471</f>
        <v/>
      </c>
      <c r="L3471" s="11">
        <f>L3470+IF(K3471&gt;0,K3471*Summary!$B$9,K3471/Summary!$B$9)</f>
        <v/>
      </c>
      <c r="M3471" s="11">
        <f>G3471+H3471</f>
        <v/>
      </c>
      <c r="N3471" s="11">
        <f>Summary!$C$16*Summary!$B$8</f>
        <v/>
      </c>
      <c r="O3471" s="11">
        <f>M3471-N3471</f>
        <v/>
      </c>
    </row>
    <row r="3472">
      <c r="A3472" s="9" t="n">
        <v>45436.58333333334</v>
      </c>
      <c r="B3472" t="n">
        <v>5</v>
      </c>
      <c r="C3472" t="n">
        <v>24</v>
      </c>
      <c r="D3472" t="n">
        <v>14</v>
      </c>
      <c r="E3472" s="10" t="n">
        <v>0.750126</v>
      </c>
      <c r="F3472" s="10" t="n">
        <v>0.25590433341704</v>
      </c>
      <c r="G3472" s="11">
        <f>E3472*Summary!$B$6</f>
        <v/>
      </c>
      <c r="H3472" s="11">
        <f>F3472*Summary!$B$7</f>
        <v/>
      </c>
      <c r="I3472" s="11">
        <f>MAX(0,N3472-M3472)</f>
        <v/>
      </c>
      <c r="J3472" s="11">
        <f>MAX(0,M3472-N3472)</f>
        <v/>
      </c>
      <c r="K3472" s="11">
        <f>O3472</f>
        <v/>
      </c>
      <c r="L3472" s="11">
        <f>L3471+IF(K3472&gt;0,K3472*Summary!$B$9,K3472/Summary!$B$9)</f>
        <v/>
      </c>
      <c r="M3472" s="11">
        <f>G3472+H3472</f>
        <v/>
      </c>
      <c r="N3472" s="11">
        <f>Summary!$C$16*Summary!$B$8</f>
        <v/>
      </c>
      <c r="O3472" s="11">
        <f>M3472-N3472</f>
        <v/>
      </c>
    </row>
    <row r="3473">
      <c r="A3473" s="9" t="n">
        <v>45436.625</v>
      </c>
      <c r="B3473" t="n">
        <v>5</v>
      </c>
      <c r="C3473" t="n">
        <v>24</v>
      </c>
      <c r="D3473" t="n">
        <v>15</v>
      </c>
      <c r="E3473" s="10" t="n">
        <v>0.616367</v>
      </c>
      <c r="F3473" s="10" t="n">
        <v>0.2370890009013602</v>
      </c>
      <c r="G3473" s="11">
        <f>E3473*Summary!$B$6</f>
        <v/>
      </c>
      <c r="H3473" s="11">
        <f>F3473*Summary!$B$7</f>
        <v/>
      </c>
      <c r="I3473" s="11">
        <f>MAX(0,N3473-M3473)</f>
        <v/>
      </c>
      <c r="J3473" s="11">
        <f>MAX(0,M3473-N3473)</f>
        <v/>
      </c>
      <c r="K3473" s="11">
        <f>O3473</f>
        <v/>
      </c>
      <c r="L3473" s="11">
        <f>L3472+IF(K3473&gt;0,K3473*Summary!$B$9,K3473/Summary!$B$9)</f>
        <v/>
      </c>
      <c r="M3473" s="11">
        <f>G3473+H3473</f>
        <v/>
      </c>
      <c r="N3473" s="11">
        <f>Summary!$C$16*Summary!$B$8</f>
        <v/>
      </c>
      <c r="O3473" s="11">
        <f>M3473-N3473</f>
        <v/>
      </c>
    </row>
    <row r="3474">
      <c r="A3474" s="9" t="n">
        <v>45436.66666666666</v>
      </c>
      <c r="B3474" t="n">
        <v>5</v>
      </c>
      <c r="C3474" t="n">
        <v>24</v>
      </c>
      <c r="D3474" t="n">
        <v>16</v>
      </c>
      <c r="E3474" s="10" t="n">
        <v>0.435973</v>
      </c>
      <c r="F3474" s="10" t="n">
        <v>0.2335314800475552</v>
      </c>
      <c r="G3474" s="11">
        <f>E3474*Summary!$B$6</f>
        <v/>
      </c>
      <c r="H3474" s="11">
        <f>F3474*Summary!$B$7</f>
        <v/>
      </c>
      <c r="I3474" s="11">
        <f>MAX(0,N3474-M3474)</f>
        <v/>
      </c>
      <c r="J3474" s="11">
        <f>MAX(0,M3474-N3474)</f>
        <v/>
      </c>
      <c r="K3474" s="11">
        <f>O3474</f>
        <v/>
      </c>
      <c r="L3474" s="11">
        <f>L3473+IF(K3474&gt;0,K3474*Summary!$B$9,K3474/Summary!$B$9)</f>
        <v/>
      </c>
      <c r="M3474" s="11">
        <f>G3474+H3474</f>
        <v/>
      </c>
      <c r="N3474" s="11">
        <f>Summary!$C$16*Summary!$B$8</f>
        <v/>
      </c>
      <c r="O3474" s="11">
        <f>M3474-N3474</f>
        <v/>
      </c>
    </row>
    <row r="3475">
      <c r="A3475" s="9" t="n">
        <v>45436.70833333334</v>
      </c>
      <c r="B3475" t="n">
        <v>5</v>
      </c>
      <c r="C3475" t="n">
        <v>24</v>
      </c>
      <c r="D3475" t="n">
        <v>17</v>
      </c>
      <c r="E3475" s="10" t="n">
        <v>0.206206</v>
      </c>
      <c r="F3475" s="10" t="n">
        <v>0.2194331566639576</v>
      </c>
      <c r="G3475" s="11">
        <f>E3475*Summary!$B$6</f>
        <v/>
      </c>
      <c r="H3475" s="11">
        <f>F3475*Summary!$B$7</f>
        <v/>
      </c>
      <c r="I3475" s="11">
        <f>MAX(0,N3475-M3475)</f>
        <v/>
      </c>
      <c r="J3475" s="11">
        <f>MAX(0,M3475-N3475)</f>
        <v/>
      </c>
      <c r="K3475" s="11">
        <f>O3475</f>
        <v/>
      </c>
      <c r="L3475" s="11">
        <f>L3474+IF(K3475&gt;0,K3475*Summary!$B$9,K3475/Summary!$B$9)</f>
        <v/>
      </c>
      <c r="M3475" s="11">
        <f>G3475+H3475</f>
        <v/>
      </c>
      <c r="N3475" s="11">
        <f>Summary!$C$16*Summary!$B$8</f>
        <v/>
      </c>
      <c r="O3475" s="11">
        <f>M3475-N3475</f>
        <v/>
      </c>
    </row>
    <row r="3476">
      <c r="A3476" s="9" t="n">
        <v>45436.75</v>
      </c>
      <c r="B3476" t="n">
        <v>5</v>
      </c>
      <c r="C3476" t="n">
        <v>24</v>
      </c>
      <c r="D3476" t="n">
        <v>18</v>
      </c>
      <c r="E3476" s="10" t="n">
        <v>0.07924100000000001</v>
      </c>
      <c r="F3476" s="10" t="n">
        <v>0.2109478106274745</v>
      </c>
      <c r="G3476" s="11">
        <f>E3476*Summary!$B$6</f>
        <v/>
      </c>
      <c r="H3476" s="11">
        <f>F3476*Summary!$B$7</f>
        <v/>
      </c>
      <c r="I3476" s="11">
        <f>MAX(0,N3476-M3476)</f>
        <v/>
      </c>
      <c r="J3476" s="11">
        <f>MAX(0,M3476-N3476)</f>
        <v/>
      </c>
      <c r="K3476" s="11">
        <f>O3476</f>
        <v/>
      </c>
      <c r="L3476" s="11">
        <f>L3475+IF(K3476&gt;0,K3476*Summary!$B$9,K3476/Summary!$B$9)</f>
        <v/>
      </c>
      <c r="M3476" s="11">
        <f>G3476+H3476</f>
        <v/>
      </c>
      <c r="N3476" s="11">
        <f>Summary!$C$16*Summary!$B$8</f>
        <v/>
      </c>
      <c r="O3476" s="11">
        <f>M3476-N3476</f>
        <v/>
      </c>
    </row>
    <row r="3477">
      <c r="A3477" s="9" t="n">
        <v>45436.79166666666</v>
      </c>
      <c r="B3477" t="n">
        <v>5</v>
      </c>
      <c r="C3477" t="n">
        <v>24</v>
      </c>
      <c r="D3477" t="n">
        <v>19</v>
      </c>
      <c r="E3477" s="10" t="n">
        <v>0.0324</v>
      </c>
      <c r="F3477" s="10" t="n">
        <v>0.2072058257293982</v>
      </c>
      <c r="G3477" s="11">
        <f>E3477*Summary!$B$6</f>
        <v/>
      </c>
      <c r="H3477" s="11">
        <f>F3477*Summary!$B$7</f>
        <v/>
      </c>
      <c r="I3477" s="11">
        <f>MAX(0,N3477-M3477)</f>
        <v/>
      </c>
      <c r="J3477" s="11">
        <f>MAX(0,M3477-N3477)</f>
        <v/>
      </c>
      <c r="K3477" s="11">
        <f>O3477</f>
        <v/>
      </c>
      <c r="L3477" s="11">
        <f>L3476+IF(K3477&gt;0,K3477*Summary!$B$9,K3477/Summary!$B$9)</f>
        <v/>
      </c>
      <c r="M3477" s="11">
        <f>G3477+H3477</f>
        <v/>
      </c>
      <c r="N3477" s="11">
        <f>Summary!$C$16*Summary!$B$8</f>
        <v/>
      </c>
      <c r="O3477" s="11">
        <f>M3477-N3477</f>
        <v/>
      </c>
    </row>
    <row r="3478">
      <c r="A3478" s="9" t="n">
        <v>45436.83333333334</v>
      </c>
      <c r="B3478" t="n">
        <v>5</v>
      </c>
      <c r="C3478" t="n">
        <v>24</v>
      </c>
      <c r="D3478" t="n">
        <v>20</v>
      </c>
      <c r="E3478" s="10" t="n">
        <v>0</v>
      </c>
      <c r="F3478" s="10" t="n">
        <v>0.2162445638986953</v>
      </c>
      <c r="G3478" s="11">
        <f>E3478*Summary!$B$6</f>
        <v/>
      </c>
      <c r="H3478" s="11">
        <f>F3478*Summary!$B$7</f>
        <v/>
      </c>
      <c r="I3478" s="11">
        <f>MAX(0,N3478-M3478)</f>
        <v/>
      </c>
      <c r="J3478" s="11">
        <f>MAX(0,M3478-N3478)</f>
        <v/>
      </c>
      <c r="K3478" s="11">
        <f>O3478</f>
        <v/>
      </c>
      <c r="L3478" s="11">
        <f>L3477+IF(K3478&gt;0,K3478*Summary!$B$9,K3478/Summary!$B$9)</f>
        <v/>
      </c>
      <c r="M3478" s="11">
        <f>G3478+H3478</f>
        <v/>
      </c>
      <c r="N3478" s="11">
        <f>Summary!$C$16*Summary!$B$8</f>
        <v/>
      </c>
      <c r="O3478" s="11">
        <f>M3478-N3478</f>
        <v/>
      </c>
    </row>
    <row r="3479">
      <c r="A3479" s="9" t="n">
        <v>45436.875</v>
      </c>
      <c r="B3479" t="n">
        <v>5</v>
      </c>
      <c r="C3479" t="n">
        <v>24</v>
      </c>
      <c r="D3479" t="n">
        <v>21</v>
      </c>
      <c r="E3479" s="10" t="n">
        <v>0</v>
      </c>
      <c r="F3479" s="10" t="n">
        <v>0.2318713036491129</v>
      </c>
      <c r="G3479" s="11">
        <f>E3479*Summary!$B$6</f>
        <v/>
      </c>
      <c r="H3479" s="11">
        <f>F3479*Summary!$B$7</f>
        <v/>
      </c>
      <c r="I3479" s="11">
        <f>MAX(0,N3479-M3479)</f>
        <v/>
      </c>
      <c r="J3479" s="11">
        <f>MAX(0,M3479-N3479)</f>
        <v/>
      </c>
      <c r="K3479" s="11">
        <f>O3479</f>
        <v/>
      </c>
      <c r="L3479" s="11">
        <f>L3478+IF(K3479&gt;0,K3479*Summary!$B$9,K3479/Summary!$B$9)</f>
        <v/>
      </c>
      <c r="M3479" s="11">
        <f>G3479+H3479</f>
        <v/>
      </c>
      <c r="N3479" s="11">
        <f>Summary!$C$16*Summary!$B$8</f>
        <v/>
      </c>
      <c r="O3479" s="11">
        <f>M3479-N3479</f>
        <v/>
      </c>
    </row>
    <row r="3480">
      <c r="A3480" s="9" t="n">
        <v>45436.91666666666</v>
      </c>
      <c r="B3480" t="n">
        <v>5</v>
      </c>
      <c r="C3480" t="n">
        <v>24</v>
      </c>
      <c r="D3480" t="n">
        <v>22</v>
      </c>
      <c r="E3480" s="10" t="n">
        <v>0</v>
      </c>
      <c r="F3480" s="10" t="n">
        <v>0.2387491772998026</v>
      </c>
      <c r="G3480" s="11">
        <f>E3480*Summary!$B$6</f>
        <v/>
      </c>
      <c r="H3480" s="11">
        <f>F3480*Summary!$B$7</f>
        <v/>
      </c>
      <c r="I3480" s="11">
        <f>MAX(0,N3480-M3480)</f>
        <v/>
      </c>
      <c r="J3480" s="11">
        <f>MAX(0,M3480-N3480)</f>
        <v/>
      </c>
      <c r="K3480" s="11">
        <f>O3480</f>
        <v/>
      </c>
      <c r="L3480" s="11">
        <f>L3479+IF(K3480&gt;0,K3480*Summary!$B$9,K3480/Summary!$B$9)</f>
        <v/>
      </c>
      <c r="M3480" s="11">
        <f>G3480+H3480</f>
        <v/>
      </c>
      <c r="N3480" s="11">
        <f>Summary!$C$16*Summary!$B$8</f>
        <v/>
      </c>
      <c r="O3480" s="11">
        <f>M3480-N3480</f>
        <v/>
      </c>
    </row>
    <row r="3481">
      <c r="A3481" s="9" t="n">
        <v>45436.95833333334</v>
      </c>
      <c r="B3481" t="n">
        <v>5</v>
      </c>
      <c r="C3481" t="n">
        <v>24</v>
      </c>
      <c r="D3481" t="n">
        <v>23</v>
      </c>
      <c r="E3481" s="10" t="n">
        <v>0</v>
      </c>
      <c r="F3481" s="10" t="n">
        <v>0.2423066981536076</v>
      </c>
      <c r="G3481" s="11">
        <f>E3481*Summary!$B$6</f>
        <v/>
      </c>
      <c r="H3481" s="11">
        <f>F3481*Summary!$B$7</f>
        <v/>
      </c>
      <c r="I3481" s="11">
        <f>MAX(0,N3481-M3481)</f>
        <v/>
      </c>
      <c r="J3481" s="11">
        <f>MAX(0,M3481-N3481)</f>
        <v/>
      </c>
      <c r="K3481" s="11">
        <f>O3481</f>
        <v/>
      </c>
      <c r="L3481" s="11">
        <f>L3480+IF(K3481&gt;0,K3481*Summary!$B$9,K3481/Summary!$B$9)</f>
        <v/>
      </c>
      <c r="M3481" s="11">
        <f>G3481+H3481</f>
        <v/>
      </c>
      <c r="N3481" s="11">
        <f>Summary!$C$16*Summary!$B$8</f>
        <v/>
      </c>
      <c r="O3481" s="11">
        <f>M3481-N3481</f>
        <v/>
      </c>
    </row>
    <row r="3482">
      <c r="A3482" s="9" t="n">
        <v>45437</v>
      </c>
      <c r="B3482" t="n">
        <v>5</v>
      </c>
      <c r="C3482" t="n">
        <v>25</v>
      </c>
      <c r="D3482" t="n">
        <v>0</v>
      </c>
      <c r="E3482" s="10" t="n">
        <v>0</v>
      </c>
      <c r="F3482" s="10" t="n">
        <v>0.3226012614243028</v>
      </c>
      <c r="G3482" s="11">
        <f>E3482*Summary!$B$6</f>
        <v/>
      </c>
      <c r="H3482" s="11">
        <f>F3482*Summary!$B$7</f>
        <v/>
      </c>
      <c r="I3482" s="11">
        <f>MAX(0,N3482-M3482)</f>
        <v/>
      </c>
      <c r="J3482" s="11">
        <f>MAX(0,M3482-N3482)</f>
        <v/>
      </c>
      <c r="K3482" s="11">
        <f>O3482</f>
        <v/>
      </c>
      <c r="L3482" s="11">
        <f>L3481+IF(K3482&gt;0,K3482*Summary!$B$9,K3482/Summary!$B$9)</f>
        <v/>
      </c>
      <c r="M3482" s="11">
        <f>G3482+H3482</f>
        <v/>
      </c>
      <c r="N3482" s="11">
        <f>Summary!$C$16*Summary!$B$8</f>
        <v/>
      </c>
      <c r="O3482" s="11">
        <f>M3482-N3482</f>
        <v/>
      </c>
    </row>
    <row r="3483">
      <c r="A3483" s="9" t="n">
        <v>45437.04166666666</v>
      </c>
      <c r="B3483" t="n">
        <v>5</v>
      </c>
      <c r="C3483" t="n">
        <v>25</v>
      </c>
      <c r="D3483" t="n">
        <v>1</v>
      </c>
      <c r="E3483" s="10" t="n">
        <v>0</v>
      </c>
      <c r="F3483" s="10" t="n">
        <v>0.2336368880728531</v>
      </c>
      <c r="G3483" s="11">
        <f>E3483*Summary!$B$6</f>
        <v/>
      </c>
      <c r="H3483" s="11">
        <f>F3483*Summary!$B$7</f>
        <v/>
      </c>
      <c r="I3483" s="11">
        <f>MAX(0,N3483-M3483)</f>
        <v/>
      </c>
      <c r="J3483" s="11">
        <f>MAX(0,M3483-N3483)</f>
        <v/>
      </c>
      <c r="K3483" s="11">
        <f>O3483</f>
        <v/>
      </c>
      <c r="L3483" s="11">
        <f>L3482+IF(K3483&gt;0,K3483*Summary!$B$9,K3483/Summary!$B$9)</f>
        <v/>
      </c>
      <c r="M3483" s="11">
        <f>G3483+H3483</f>
        <v/>
      </c>
      <c r="N3483" s="11">
        <f>Summary!$C$16*Summary!$B$8</f>
        <v/>
      </c>
      <c r="O3483" s="11">
        <f>M3483-N3483</f>
        <v/>
      </c>
    </row>
    <row r="3484">
      <c r="A3484" s="9" t="n">
        <v>45437.08333333334</v>
      </c>
      <c r="B3484" t="n">
        <v>5</v>
      </c>
      <c r="C3484" t="n">
        <v>25</v>
      </c>
      <c r="D3484" t="n">
        <v>2</v>
      </c>
      <c r="E3484" s="10" t="n">
        <v>0</v>
      </c>
      <c r="F3484" s="10" t="n">
        <v>0.2299212551811013</v>
      </c>
      <c r="G3484" s="11">
        <f>E3484*Summary!$B$6</f>
        <v/>
      </c>
      <c r="H3484" s="11">
        <f>F3484*Summary!$B$7</f>
        <v/>
      </c>
      <c r="I3484" s="11">
        <f>MAX(0,N3484-M3484)</f>
        <v/>
      </c>
      <c r="J3484" s="11">
        <f>MAX(0,M3484-N3484)</f>
        <v/>
      </c>
      <c r="K3484" s="11">
        <f>O3484</f>
        <v/>
      </c>
      <c r="L3484" s="11">
        <f>L3483+IF(K3484&gt;0,K3484*Summary!$B$9,K3484/Summary!$B$9)</f>
        <v/>
      </c>
      <c r="M3484" s="11">
        <f>G3484+H3484</f>
        <v/>
      </c>
      <c r="N3484" s="11">
        <f>Summary!$C$16*Summary!$B$8</f>
        <v/>
      </c>
      <c r="O3484" s="11">
        <f>M3484-N3484</f>
        <v/>
      </c>
    </row>
    <row r="3485">
      <c r="A3485" s="9" t="n">
        <v>45437.125</v>
      </c>
      <c r="B3485" t="n">
        <v>5</v>
      </c>
      <c r="C3485" t="n">
        <v>25</v>
      </c>
      <c r="D3485" t="n">
        <v>3</v>
      </c>
      <c r="E3485" s="10" t="n">
        <v>0</v>
      </c>
      <c r="F3485" s="10" t="n">
        <v>0.2261792702830248</v>
      </c>
      <c r="G3485" s="11">
        <f>E3485*Summary!$B$6</f>
        <v/>
      </c>
      <c r="H3485" s="11">
        <f>F3485*Summary!$B$7</f>
        <v/>
      </c>
      <c r="I3485" s="11">
        <f>MAX(0,N3485-M3485)</f>
        <v/>
      </c>
      <c r="J3485" s="11">
        <f>MAX(0,M3485-N3485)</f>
        <v/>
      </c>
      <c r="K3485" s="11">
        <f>O3485</f>
        <v/>
      </c>
      <c r="L3485" s="11">
        <f>L3484+IF(K3485&gt;0,K3485*Summary!$B$9,K3485/Summary!$B$9)</f>
        <v/>
      </c>
      <c r="M3485" s="11">
        <f>G3485+H3485</f>
        <v/>
      </c>
      <c r="N3485" s="11">
        <f>Summary!$C$16*Summary!$B$8</f>
        <v/>
      </c>
      <c r="O3485" s="11">
        <f>M3485-N3485</f>
        <v/>
      </c>
    </row>
    <row r="3486">
      <c r="A3486" s="9" t="n">
        <v>45437.16666666666</v>
      </c>
      <c r="B3486" t="n">
        <v>5</v>
      </c>
      <c r="C3486" t="n">
        <v>25</v>
      </c>
      <c r="D3486" t="n">
        <v>4</v>
      </c>
      <c r="E3486" s="10" t="n">
        <v>0.02734</v>
      </c>
      <c r="F3486" s="10" t="n">
        <v>0.2103680664883359</v>
      </c>
      <c r="G3486" s="11">
        <f>E3486*Summary!$B$6</f>
        <v/>
      </c>
      <c r="H3486" s="11">
        <f>F3486*Summary!$B$7</f>
        <v/>
      </c>
      <c r="I3486" s="11">
        <f>MAX(0,N3486-M3486)</f>
        <v/>
      </c>
      <c r="J3486" s="11">
        <f>MAX(0,M3486-N3486)</f>
        <v/>
      </c>
      <c r="K3486" s="11">
        <f>O3486</f>
        <v/>
      </c>
      <c r="L3486" s="11">
        <f>L3485+IF(K3486&gt;0,K3486*Summary!$B$9,K3486/Summary!$B$9)</f>
        <v/>
      </c>
      <c r="M3486" s="11">
        <f>G3486+H3486</f>
        <v/>
      </c>
      <c r="N3486" s="11">
        <f>Summary!$C$16*Summary!$B$8</f>
        <v/>
      </c>
      <c r="O3486" s="11">
        <f>M3486-N3486</f>
        <v/>
      </c>
    </row>
    <row r="3487">
      <c r="A3487" s="9" t="n">
        <v>45437.20833333334</v>
      </c>
      <c r="B3487" t="n">
        <v>5</v>
      </c>
      <c r="C3487" t="n">
        <v>25</v>
      </c>
      <c r="D3487" t="n">
        <v>5</v>
      </c>
      <c r="E3487" s="10" t="n">
        <v>0.065988</v>
      </c>
      <c r="F3487" s="10" t="n">
        <v>0.1897344455362669</v>
      </c>
      <c r="G3487" s="11">
        <f>E3487*Summary!$B$6</f>
        <v/>
      </c>
      <c r="H3487" s="11">
        <f>F3487*Summary!$B$7</f>
        <v/>
      </c>
      <c r="I3487" s="11">
        <f>MAX(0,N3487-M3487)</f>
        <v/>
      </c>
      <c r="J3487" s="11">
        <f>MAX(0,M3487-N3487)</f>
        <v/>
      </c>
      <c r="K3487" s="11">
        <f>O3487</f>
        <v/>
      </c>
      <c r="L3487" s="11">
        <f>L3486+IF(K3487&gt;0,K3487*Summary!$B$9,K3487/Summary!$B$9)</f>
        <v/>
      </c>
      <c r="M3487" s="11">
        <f>G3487+H3487</f>
        <v/>
      </c>
      <c r="N3487" s="11">
        <f>Summary!$C$16*Summary!$B$8</f>
        <v/>
      </c>
      <c r="O3487" s="11">
        <f>M3487-N3487</f>
        <v/>
      </c>
    </row>
    <row r="3488">
      <c r="A3488" s="9" t="n">
        <v>45437.25</v>
      </c>
      <c r="B3488" t="n">
        <v>5</v>
      </c>
      <c r="C3488" t="n">
        <v>25</v>
      </c>
      <c r="D3488" t="n">
        <v>6</v>
      </c>
      <c r="E3488" s="10" t="n">
        <v>0.188619</v>
      </c>
      <c r="F3488" s="10" t="n">
        <v>0.1752408420578021</v>
      </c>
      <c r="G3488" s="11">
        <f>E3488*Summary!$B$6</f>
        <v/>
      </c>
      <c r="H3488" s="11">
        <f>F3488*Summary!$B$7</f>
        <v/>
      </c>
      <c r="I3488" s="11">
        <f>MAX(0,N3488-M3488)</f>
        <v/>
      </c>
      <c r="J3488" s="11">
        <f>MAX(0,M3488-N3488)</f>
        <v/>
      </c>
      <c r="K3488" s="11">
        <f>O3488</f>
        <v/>
      </c>
      <c r="L3488" s="11">
        <f>L3487+IF(K3488&gt;0,K3488*Summary!$B$9,K3488/Summary!$B$9)</f>
        <v/>
      </c>
      <c r="M3488" s="11">
        <f>G3488+H3488</f>
        <v/>
      </c>
      <c r="N3488" s="11">
        <f>Summary!$C$16*Summary!$B$8</f>
        <v/>
      </c>
      <c r="O3488" s="11">
        <f>M3488-N3488</f>
        <v/>
      </c>
    </row>
    <row r="3489">
      <c r="A3489" s="9" t="n">
        <v>45437.29166666666</v>
      </c>
      <c r="B3489" t="n">
        <v>5</v>
      </c>
      <c r="C3489" t="n">
        <v>25</v>
      </c>
      <c r="D3489" t="n">
        <v>7</v>
      </c>
      <c r="E3489" s="10" t="n">
        <v>0.376553</v>
      </c>
      <c r="F3489" s="10" t="n">
        <v>0.168336616400788</v>
      </c>
      <c r="G3489" s="11">
        <f>E3489*Summary!$B$6</f>
        <v/>
      </c>
      <c r="H3489" s="11">
        <f>F3489*Summary!$B$7</f>
        <v/>
      </c>
      <c r="I3489" s="11">
        <f>MAX(0,N3489-M3489)</f>
        <v/>
      </c>
      <c r="J3489" s="11">
        <f>MAX(0,M3489-N3489)</f>
        <v/>
      </c>
      <c r="K3489" s="11">
        <f>O3489</f>
        <v/>
      </c>
      <c r="L3489" s="11">
        <f>L3488+IF(K3489&gt;0,K3489*Summary!$B$9,K3489/Summary!$B$9)</f>
        <v/>
      </c>
      <c r="M3489" s="11">
        <f>G3489+H3489</f>
        <v/>
      </c>
      <c r="N3489" s="11">
        <f>Summary!$C$16*Summary!$B$8</f>
        <v/>
      </c>
      <c r="O3489" s="11">
        <f>M3489-N3489</f>
        <v/>
      </c>
    </row>
    <row r="3490">
      <c r="A3490" s="9" t="n">
        <v>45437.33333333334</v>
      </c>
      <c r="B3490" t="n">
        <v>5</v>
      </c>
      <c r="C3490" t="n">
        <v>25</v>
      </c>
      <c r="D3490" t="n">
        <v>8</v>
      </c>
      <c r="E3490" s="10" t="n">
        <v>0.5882230000000001</v>
      </c>
      <c r="F3490" s="10" t="n">
        <v>0.1709718170332361</v>
      </c>
      <c r="G3490" s="11">
        <f>E3490*Summary!$B$6</f>
        <v/>
      </c>
      <c r="H3490" s="11">
        <f>F3490*Summary!$B$7</f>
        <v/>
      </c>
      <c r="I3490" s="11">
        <f>MAX(0,N3490-M3490)</f>
        <v/>
      </c>
      <c r="J3490" s="11">
        <f>MAX(0,M3490-N3490)</f>
        <v/>
      </c>
      <c r="K3490" s="11">
        <f>O3490</f>
        <v/>
      </c>
      <c r="L3490" s="11">
        <f>L3489+IF(K3490&gt;0,K3490*Summary!$B$9,K3490/Summary!$B$9)</f>
        <v/>
      </c>
      <c r="M3490" s="11">
        <f>G3490+H3490</f>
        <v/>
      </c>
      <c r="N3490" s="11">
        <f>Summary!$C$16*Summary!$B$8</f>
        <v/>
      </c>
      <c r="O3490" s="11">
        <f>M3490-N3490</f>
        <v/>
      </c>
    </row>
    <row r="3491">
      <c r="A3491" s="9" t="n">
        <v>45437.375</v>
      </c>
      <c r="B3491" t="n">
        <v>5</v>
      </c>
      <c r="C3491" t="n">
        <v>25</v>
      </c>
      <c r="D3491" t="n">
        <v>9</v>
      </c>
      <c r="E3491" s="10" t="n">
        <v>0.727202</v>
      </c>
      <c r="F3491" s="10" t="n">
        <v>0.1805639473353474</v>
      </c>
      <c r="G3491" s="11">
        <f>E3491*Summary!$B$6</f>
        <v/>
      </c>
      <c r="H3491" s="11">
        <f>F3491*Summary!$B$7</f>
        <v/>
      </c>
      <c r="I3491" s="11">
        <f>MAX(0,N3491-M3491)</f>
        <v/>
      </c>
      <c r="J3491" s="11">
        <f>MAX(0,M3491-N3491)</f>
        <v/>
      </c>
      <c r="K3491" s="11">
        <f>O3491</f>
        <v/>
      </c>
      <c r="L3491" s="11">
        <f>L3490+IF(K3491&gt;0,K3491*Summary!$B$9,K3491/Summary!$B$9)</f>
        <v/>
      </c>
      <c r="M3491" s="11">
        <f>G3491+H3491</f>
        <v/>
      </c>
      <c r="N3491" s="11">
        <f>Summary!$C$16*Summary!$B$8</f>
        <v/>
      </c>
      <c r="O3491" s="11">
        <f>M3491-N3491</f>
        <v/>
      </c>
    </row>
    <row r="3492">
      <c r="A3492" s="9" t="n">
        <v>45437.41666666666</v>
      </c>
      <c r="B3492" t="n">
        <v>5</v>
      </c>
      <c r="C3492" t="n">
        <v>25</v>
      </c>
      <c r="D3492" t="n">
        <v>10</v>
      </c>
      <c r="E3492" s="10" t="n">
        <v>0.754058</v>
      </c>
      <c r="F3492" s="10" t="n">
        <v>0.1948203827568919</v>
      </c>
      <c r="G3492" s="11">
        <f>E3492*Summary!$B$6</f>
        <v/>
      </c>
      <c r="H3492" s="11">
        <f>F3492*Summary!$B$7</f>
        <v/>
      </c>
      <c r="I3492" s="11">
        <f>MAX(0,N3492-M3492)</f>
        <v/>
      </c>
      <c r="J3492" s="11">
        <f>MAX(0,M3492-N3492)</f>
        <v/>
      </c>
      <c r="K3492" s="11">
        <f>O3492</f>
        <v/>
      </c>
      <c r="L3492" s="11">
        <f>L3491+IF(K3492&gt;0,K3492*Summary!$B$9,K3492/Summary!$B$9)</f>
        <v/>
      </c>
      <c r="M3492" s="11">
        <f>G3492+H3492</f>
        <v/>
      </c>
      <c r="N3492" s="11">
        <f>Summary!$C$16*Summary!$B$8</f>
        <v/>
      </c>
      <c r="O3492" s="11">
        <f>M3492-N3492</f>
        <v/>
      </c>
    </row>
    <row r="3493">
      <c r="A3493" s="9" t="n">
        <v>45437.45833333334</v>
      </c>
      <c r="B3493" t="n">
        <v>5</v>
      </c>
      <c r="C3493" t="n">
        <v>25</v>
      </c>
      <c r="D3493" t="n">
        <v>11</v>
      </c>
      <c r="E3493" s="10" t="n">
        <v>0.754058</v>
      </c>
      <c r="F3493" s="10" t="n">
        <v>0.2157175237722057</v>
      </c>
      <c r="G3493" s="11">
        <f>E3493*Summary!$B$6</f>
        <v/>
      </c>
      <c r="H3493" s="11">
        <f>F3493*Summary!$B$7</f>
        <v/>
      </c>
      <c r="I3493" s="11">
        <f>MAX(0,N3493-M3493)</f>
        <v/>
      </c>
      <c r="J3493" s="11">
        <f>MAX(0,M3493-N3493)</f>
        <v/>
      </c>
      <c r="K3493" s="11">
        <f>O3493</f>
        <v/>
      </c>
      <c r="L3493" s="11">
        <f>L3492+IF(K3493&gt;0,K3493*Summary!$B$9,K3493/Summary!$B$9)</f>
        <v/>
      </c>
      <c r="M3493" s="11">
        <f>G3493+H3493</f>
        <v/>
      </c>
      <c r="N3493" s="11">
        <f>Summary!$C$16*Summary!$B$8</f>
        <v/>
      </c>
      <c r="O3493" s="11">
        <f>M3493-N3493</f>
        <v/>
      </c>
    </row>
    <row r="3494">
      <c r="A3494" s="9" t="n">
        <v>45437.5</v>
      </c>
      <c r="B3494" t="n">
        <v>5</v>
      </c>
      <c r="C3494" t="n">
        <v>25</v>
      </c>
      <c r="D3494" t="n">
        <v>12</v>
      </c>
      <c r="E3494" s="10" t="n">
        <v>0.754058</v>
      </c>
      <c r="F3494" s="10" t="n">
        <v>0.2256258781502107</v>
      </c>
      <c r="G3494" s="11">
        <f>E3494*Summary!$B$6</f>
        <v/>
      </c>
      <c r="H3494" s="11">
        <f>F3494*Summary!$B$7</f>
        <v/>
      </c>
      <c r="I3494" s="11">
        <f>MAX(0,N3494-M3494)</f>
        <v/>
      </c>
      <c r="J3494" s="11">
        <f>MAX(0,M3494-N3494)</f>
        <v/>
      </c>
      <c r="K3494" s="11">
        <f>O3494</f>
        <v/>
      </c>
      <c r="L3494" s="11">
        <f>L3493+IF(K3494&gt;0,K3494*Summary!$B$9,K3494/Summary!$B$9)</f>
        <v/>
      </c>
      <c r="M3494" s="11">
        <f>G3494+H3494</f>
        <v/>
      </c>
      <c r="N3494" s="11">
        <f>Summary!$C$16*Summary!$B$8</f>
        <v/>
      </c>
      <c r="O3494" s="11">
        <f>M3494-N3494</f>
        <v/>
      </c>
    </row>
    <row r="3495">
      <c r="A3495" s="9" t="n">
        <v>45437.54166666666</v>
      </c>
      <c r="B3495" t="n">
        <v>5</v>
      </c>
      <c r="C3495" t="n">
        <v>25</v>
      </c>
      <c r="D3495" t="n">
        <v>13</v>
      </c>
      <c r="E3495" s="10" t="n">
        <v>0.754058</v>
      </c>
      <c r="F3495" s="10" t="n">
        <v>0.2397769055464573</v>
      </c>
      <c r="G3495" s="11">
        <f>E3495*Summary!$B$6</f>
        <v/>
      </c>
      <c r="H3495" s="11">
        <f>F3495*Summary!$B$7</f>
        <v/>
      </c>
      <c r="I3495" s="11">
        <f>MAX(0,N3495-M3495)</f>
        <v/>
      </c>
      <c r="J3495" s="11">
        <f>MAX(0,M3495-N3495)</f>
        <v/>
      </c>
      <c r="K3495" s="11">
        <f>O3495</f>
        <v/>
      </c>
      <c r="L3495" s="11">
        <f>L3494+IF(K3495&gt;0,K3495*Summary!$B$9,K3495/Summary!$B$9)</f>
        <v/>
      </c>
      <c r="M3495" s="11">
        <f>G3495+H3495</f>
        <v/>
      </c>
      <c r="N3495" s="11">
        <f>Summary!$C$16*Summary!$B$8</f>
        <v/>
      </c>
      <c r="O3495" s="11">
        <f>M3495-N3495</f>
        <v/>
      </c>
    </row>
    <row r="3496">
      <c r="A3496" s="9" t="n">
        <v>45437.58333333334</v>
      </c>
      <c r="B3496" t="n">
        <v>5</v>
      </c>
      <c r="C3496" t="n">
        <v>25</v>
      </c>
      <c r="D3496" t="n">
        <v>14</v>
      </c>
      <c r="E3496" s="10" t="n">
        <v>0.743664</v>
      </c>
      <c r="F3496" s="10" t="n">
        <v>0.2535063008415122</v>
      </c>
      <c r="G3496" s="11">
        <f>E3496*Summary!$B$6</f>
        <v/>
      </c>
      <c r="H3496" s="11">
        <f>F3496*Summary!$B$7</f>
        <v/>
      </c>
      <c r="I3496" s="11">
        <f>MAX(0,N3496-M3496)</f>
        <v/>
      </c>
      <c r="J3496" s="11">
        <f>MAX(0,M3496-N3496)</f>
        <v/>
      </c>
      <c r="K3496" s="11">
        <f>O3496</f>
        <v/>
      </c>
      <c r="L3496" s="11">
        <f>L3495+IF(K3496&gt;0,K3496*Summary!$B$9,K3496/Summary!$B$9)</f>
        <v/>
      </c>
      <c r="M3496" s="11">
        <f>G3496+H3496</f>
        <v/>
      </c>
      <c r="N3496" s="11">
        <f>Summary!$C$16*Summary!$B$8</f>
        <v/>
      </c>
      <c r="O3496" s="11">
        <f>M3496-N3496</f>
        <v/>
      </c>
    </row>
    <row r="3497">
      <c r="A3497" s="9" t="n">
        <v>45437.625</v>
      </c>
      <c r="B3497" t="n">
        <v>5</v>
      </c>
      <c r="C3497" t="n">
        <v>25</v>
      </c>
      <c r="D3497" t="n">
        <v>15</v>
      </c>
      <c r="E3497" s="10" t="n">
        <v>0.616669</v>
      </c>
      <c r="F3497" s="10" t="n">
        <v>0.2655228157254758</v>
      </c>
      <c r="G3497" s="11">
        <f>E3497*Summary!$B$6</f>
        <v/>
      </c>
      <c r="H3497" s="11">
        <f>F3497*Summary!$B$7</f>
        <v/>
      </c>
      <c r="I3497" s="11">
        <f>MAX(0,N3497-M3497)</f>
        <v/>
      </c>
      <c r="J3497" s="11">
        <f>MAX(0,M3497-N3497)</f>
        <v/>
      </c>
      <c r="K3497" s="11">
        <f>O3497</f>
        <v/>
      </c>
      <c r="L3497" s="11">
        <f>L3496+IF(K3497&gt;0,K3497*Summary!$B$9,K3497/Summary!$B$9)</f>
        <v/>
      </c>
      <c r="M3497" s="11">
        <f>G3497+H3497</f>
        <v/>
      </c>
      <c r="N3497" s="11">
        <f>Summary!$C$16*Summary!$B$8</f>
        <v/>
      </c>
      <c r="O3497" s="11">
        <f>M3497-N3497</f>
        <v/>
      </c>
    </row>
    <row r="3498">
      <c r="A3498" s="9" t="n">
        <v>45437.66666666666</v>
      </c>
      <c r="B3498" t="n">
        <v>5</v>
      </c>
      <c r="C3498" t="n">
        <v>25</v>
      </c>
      <c r="D3498" t="n">
        <v>16</v>
      </c>
      <c r="E3498" s="10" t="n">
        <v>0.436275</v>
      </c>
      <c r="F3498" s="10" t="n">
        <v>0.272980433515304</v>
      </c>
      <c r="G3498" s="11">
        <f>E3498*Summary!$B$6</f>
        <v/>
      </c>
      <c r="H3498" s="11">
        <f>F3498*Summary!$B$7</f>
        <v/>
      </c>
      <c r="I3498" s="11">
        <f>MAX(0,N3498-M3498)</f>
        <v/>
      </c>
      <c r="J3498" s="11">
        <f>MAX(0,M3498-N3498)</f>
        <v/>
      </c>
      <c r="K3498" s="11">
        <f>O3498</f>
        <v/>
      </c>
      <c r="L3498" s="11">
        <f>L3497+IF(K3498&gt;0,K3498*Summary!$B$9,K3498/Summary!$B$9)</f>
        <v/>
      </c>
      <c r="M3498" s="11">
        <f>G3498+H3498</f>
        <v/>
      </c>
      <c r="N3498" s="11">
        <f>Summary!$C$16*Summary!$B$8</f>
        <v/>
      </c>
      <c r="O3498" s="11">
        <f>M3498-N3498</f>
        <v/>
      </c>
    </row>
    <row r="3499">
      <c r="A3499" s="9" t="n">
        <v>45437.70833333334</v>
      </c>
      <c r="B3499" t="n">
        <v>5</v>
      </c>
      <c r="C3499" t="n">
        <v>25</v>
      </c>
      <c r="D3499" t="n">
        <v>17</v>
      </c>
      <c r="E3499" s="10" t="n">
        <v>0.235324</v>
      </c>
      <c r="F3499" s="10" t="n">
        <v>0.2703452328828559</v>
      </c>
      <c r="G3499" s="11">
        <f>E3499*Summary!$B$6</f>
        <v/>
      </c>
      <c r="H3499" s="11">
        <f>F3499*Summary!$B$7</f>
        <v/>
      </c>
      <c r="I3499" s="11">
        <f>MAX(0,N3499-M3499)</f>
        <v/>
      </c>
      <c r="J3499" s="11">
        <f>MAX(0,M3499-N3499)</f>
        <v/>
      </c>
      <c r="K3499" s="11">
        <f>O3499</f>
        <v/>
      </c>
      <c r="L3499" s="11">
        <f>L3498+IF(K3499&gt;0,K3499*Summary!$B$9,K3499/Summary!$B$9)</f>
        <v/>
      </c>
      <c r="M3499" s="11">
        <f>G3499+H3499</f>
        <v/>
      </c>
      <c r="N3499" s="11">
        <f>Summary!$C$16*Summary!$B$8</f>
        <v/>
      </c>
      <c r="O3499" s="11">
        <f>M3499-N3499</f>
        <v/>
      </c>
    </row>
    <row r="3500">
      <c r="A3500" s="9" t="n">
        <v>45437.75</v>
      </c>
      <c r="B3500" t="n">
        <v>5</v>
      </c>
      <c r="C3500" t="n">
        <v>25</v>
      </c>
      <c r="D3500" t="n">
        <v>18</v>
      </c>
      <c r="E3500" s="10" t="n">
        <v>0.074422</v>
      </c>
      <c r="F3500" s="10" t="n">
        <v>0.2952478788594909</v>
      </c>
      <c r="G3500" s="11">
        <f>E3500*Summary!$B$6</f>
        <v/>
      </c>
      <c r="H3500" s="11">
        <f>F3500*Summary!$B$7</f>
        <v/>
      </c>
      <c r="I3500" s="11">
        <f>MAX(0,N3500-M3500)</f>
        <v/>
      </c>
      <c r="J3500" s="11">
        <f>MAX(0,M3500-N3500)</f>
        <v/>
      </c>
      <c r="K3500" s="11">
        <f>O3500</f>
        <v/>
      </c>
      <c r="L3500" s="11">
        <f>L3499+IF(K3500&gt;0,K3500*Summary!$B$9,K3500/Summary!$B$9)</f>
        <v/>
      </c>
      <c r="M3500" s="11">
        <f>G3500+H3500</f>
        <v/>
      </c>
      <c r="N3500" s="11">
        <f>Summary!$C$16*Summary!$B$8</f>
        <v/>
      </c>
      <c r="O3500" s="11">
        <f>M3500-N3500</f>
        <v/>
      </c>
    </row>
    <row r="3501">
      <c r="A3501" s="9" t="n">
        <v>45437.79166666666</v>
      </c>
      <c r="B3501" t="n">
        <v>5</v>
      </c>
      <c r="C3501" t="n">
        <v>25</v>
      </c>
      <c r="D3501" t="n">
        <v>19</v>
      </c>
      <c r="E3501" s="10" t="n">
        <v>0.036268</v>
      </c>
      <c r="F3501" s="10" t="n">
        <v>0.2739818097556343</v>
      </c>
      <c r="G3501" s="11">
        <f>E3501*Summary!$B$6</f>
        <v/>
      </c>
      <c r="H3501" s="11">
        <f>F3501*Summary!$B$7</f>
        <v/>
      </c>
      <c r="I3501" s="11">
        <f>MAX(0,N3501-M3501)</f>
        <v/>
      </c>
      <c r="J3501" s="11">
        <f>MAX(0,M3501-N3501)</f>
        <v/>
      </c>
      <c r="K3501" s="11">
        <f>O3501</f>
        <v/>
      </c>
      <c r="L3501" s="11">
        <f>L3500+IF(K3501&gt;0,K3501*Summary!$B$9,K3501/Summary!$B$9)</f>
        <v/>
      </c>
      <c r="M3501" s="11">
        <f>G3501+H3501</f>
        <v/>
      </c>
      <c r="N3501" s="11">
        <f>Summary!$C$16*Summary!$B$8</f>
        <v/>
      </c>
      <c r="O3501" s="11">
        <f>M3501-N3501</f>
        <v/>
      </c>
    </row>
    <row r="3502">
      <c r="A3502" s="9" t="n">
        <v>45437.83333333334</v>
      </c>
      <c r="B3502" t="n">
        <v>5</v>
      </c>
      <c r="C3502" t="n">
        <v>25</v>
      </c>
      <c r="D3502" t="n">
        <v>20</v>
      </c>
      <c r="E3502" s="10" t="n">
        <v>0</v>
      </c>
      <c r="F3502" s="10" t="n">
        <v>0.2919011740562817</v>
      </c>
      <c r="G3502" s="11">
        <f>E3502*Summary!$B$6</f>
        <v/>
      </c>
      <c r="H3502" s="11">
        <f>F3502*Summary!$B$7</f>
        <v/>
      </c>
      <c r="I3502" s="11">
        <f>MAX(0,N3502-M3502)</f>
        <v/>
      </c>
      <c r="J3502" s="11">
        <f>MAX(0,M3502-N3502)</f>
        <v/>
      </c>
      <c r="K3502" s="11">
        <f>O3502</f>
        <v/>
      </c>
      <c r="L3502" s="11">
        <f>L3501+IF(K3502&gt;0,K3502*Summary!$B$9,K3502/Summary!$B$9)</f>
        <v/>
      </c>
      <c r="M3502" s="11">
        <f>G3502+H3502</f>
        <v/>
      </c>
      <c r="N3502" s="11">
        <f>Summary!$C$16*Summary!$B$8</f>
        <v/>
      </c>
      <c r="O3502" s="11">
        <f>M3502-N3502</f>
        <v/>
      </c>
    </row>
    <row r="3503">
      <c r="A3503" s="9" t="n">
        <v>45437.875</v>
      </c>
      <c r="B3503" t="n">
        <v>5</v>
      </c>
      <c r="C3503" t="n">
        <v>25</v>
      </c>
      <c r="D3503" t="n">
        <v>21</v>
      </c>
      <c r="E3503" s="10" t="n">
        <v>0</v>
      </c>
      <c r="F3503" s="10" t="n">
        <v>0.3088191621165989</v>
      </c>
      <c r="G3503" s="11">
        <f>E3503*Summary!$B$6</f>
        <v/>
      </c>
      <c r="H3503" s="11">
        <f>F3503*Summary!$B$7</f>
        <v/>
      </c>
      <c r="I3503" s="11">
        <f>MAX(0,N3503-M3503)</f>
        <v/>
      </c>
      <c r="J3503" s="11">
        <f>MAX(0,M3503-N3503)</f>
        <v/>
      </c>
      <c r="K3503" s="11">
        <f>O3503</f>
        <v/>
      </c>
      <c r="L3503" s="11">
        <f>L3502+IF(K3503&gt;0,K3503*Summary!$B$9,K3503/Summary!$B$9)</f>
        <v/>
      </c>
      <c r="M3503" s="11">
        <f>G3503+H3503</f>
        <v/>
      </c>
      <c r="N3503" s="11">
        <f>Summary!$C$16*Summary!$B$8</f>
        <v/>
      </c>
      <c r="O3503" s="11">
        <f>M3503-N3503</f>
        <v/>
      </c>
    </row>
    <row r="3504">
      <c r="A3504" s="9" t="n">
        <v>45437.91666666666</v>
      </c>
      <c r="B3504" t="n">
        <v>5</v>
      </c>
      <c r="C3504" t="n">
        <v>25</v>
      </c>
      <c r="D3504" t="n">
        <v>22</v>
      </c>
      <c r="E3504" s="10" t="n">
        <v>0</v>
      </c>
      <c r="F3504" s="10" t="n">
        <v>0.3204403969056953</v>
      </c>
      <c r="G3504" s="11">
        <f>E3504*Summary!$B$6</f>
        <v/>
      </c>
      <c r="H3504" s="11">
        <f>F3504*Summary!$B$7</f>
        <v/>
      </c>
      <c r="I3504" s="11">
        <f>MAX(0,N3504-M3504)</f>
        <v/>
      </c>
      <c r="J3504" s="11">
        <f>MAX(0,M3504-N3504)</f>
        <v/>
      </c>
      <c r="K3504" s="11">
        <f>O3504</f>
        <v/>
      </c>
      <c r="L3504" s="11">
        <f>L3503+IF(K3504&gt;0,K3504*Summary!$B$9,K3504/Summary!$B$9)</f>
        <v/>
      </c>
      <c r="M3504" s="11">
        <f>G3504+H3504</f>
        <v/>
      </c>
      <c r="N3504" s="11">
        <f>Summary!$C$16*Summary!$B$8</f>
        <v/>
      </c>
      <c r="O3504" s="11">
        <f>M3504-N3504</f>
        <v/>
      </c>
    </row>
    <row r="3505">
      <c r="A3505" s="9" t="n">
        <v>45437.95833333334</v>
      </c>
      <c r="B3505" t="n">
        <v>5</v>
      </c>
      <c r="C3505" t="n">
        <v>25</v>
      </c>
      <c r="D3505" t="n">
        <v>23</v>
      </c>
      <c r="E3505" s="10" t="n">
        <v>0</v>
      </c>
      <c r="F3505" s="10" t="n">
        <v>0.3221796293231111</v>
      </c>
      <c r="G3505" s="11">
        <f>E3505*Summary!$B$6</f>
        <v/>
      </c>
      <c r="H3505" s="11">
        <f>F3505*Summary!$B$7</f>
        <v/>
      </c>
      <c r="I3505" s="11">
        <f>MAX(0,N3505-M3505)</f>
        <v/>
      </c>
      <c r="J3505" s="11">
        <f>MAX(0,M3505-N3505)</f>
        <v/>
      </c>
      <c r="K3505" s="11">
        <f>O3505</f>
        <v/>
      </c>
      <c r="L3505" s="11">
        <f>L3504+IF(K3505&gt;0,K3505*Summary!$B$9,K3505/Summary!$B$9)</f>
        <v/>
      </c>
      <c r="M3505" s="11">
        <f>G3505+H3505</f>
        <v/>
      </c>
      <c r="N3505" s="11">
        <f>Summary!$C$16*Summary!$B$8</f>
        <v/>
      </c>
      <c r="O3505" s="11">
        <f>M3505-N3505</f>
        <v/>
      </c>
    </row>
    <row r="3506">
      <c r="A3506" s="9" t="n">
        <v>45438</v>
      </c>
      <c r="B3506" t="n">
        <v>5</v>
      </c>
      <c r="C3506" t="n">
        <v>26</v>
      </c>
      <c r="D3506" t="n">
        <v>0</v>
      </c>
      <c r="E3506" s="10" t="n">
        <v>0</v>
      </c>
      <c r="F3506" s="10" t="n">
        <v>0.2956168069480337</v>
      </c>
      <c r="G3506" s="11">
        <f>E3506*Summary!$B$6</f>
        <v/>
      </c>
      <c r="H3506" s="11">
        <f>F3506*Summary!$B$7</f>
        <v/>
      </c>
      <c r="I3506" s="11">
        <f>MAX(0,N3506-M3506)</f>
        <v/>
      </c>
      <c r="J3506" s="11">
        <f>MAX(0,M3506-N3506)</f>
        <v/>
      </c>
      <c r="K3506" s="11">
        <f>O3506</f>
        <v/>
      </c>
      <c r="L3506" s="11">
        <f>L3505+IF(K3506&gt;0,K3506*Summary!$B$9,K3506/Summary!$B$9)</f>
        <v/>
      </c>
      <c r="M3506" s="11">
        <f>G3506+H3506</f>
        <v/>
      </c>
      <c r="N3506" s="11">
        <f>Summary!$C$16*Summary!$B$8</f>
        <v/>
      </c>
      <c r="O3506" s="11">
        <f>M3506-N3506</f>
        <v/>
      </c>
    </row>
    <row r="3507">
      <c r="A3507" s="9" t="n">
        <v>45438.04166666666</v>
      </c>
      <c r="B3507" t="n">
        <v>5</v>
      </c>
      <c r="C3507" t="n">
        <v>26</v>
      </c>
      <c r="D3507" t="n">
        <v>1</v>
      </c>
      <c r="E3507" s="10" t="n">
        <v>0</v>
      </c>
      <c r="F3507" s="10" t="n">
        <v>0.3200714688171525</v>
      </c>
      <c r="G3507" s="11">
        <f>E3507*Summary!$B$6</f>
        <v/>
      </c>
      <c r="H3507" s="11">
        <f>F3507*Summary!$B$7</f>
        <v/>
      </c>
      <c r="I3507" s="11">
        <f>MAX(0,N3507-M3507)</f>
        <v/>
      </c>
      <c r="J3507" s="11">
        <f>MAX(0,M3507-N3507)</f>
        <v/>
      </c>
      <c r="K3507" s="11">
        <f>O3507</f>
        <v/>
      </c>
      <c r="L3507" s="11">
        <f>L3506+IF(K3507&gt;0,K3507*Summary!$B$9,K3507/Summary!$B$9)</f>
        <v/>
      </c>
      <c r="M3507" s="11">
        <f>G3507+H3507</f>
        <v/>
      </c>
      <c r="N3507" s="11">
        <f>Summary!$C$16*Summary!$B$8</f>
        <v/>
      </c>
      <c r="O3507" s="11">
        <f>M3507-N3507</f>
        <v/>
      </c>
    </row>
    <row r="3508">
      <c r="A3508" s="9" t="n">
        <v>45438.08333333334</v>
      </c>
      <c r="B3508" t="n">
        <v>5</v>
      </c>
      <c r="C3508" t="n">
        <v>26</v>
      </c>
      <c r="D3508" t="n">
        <v>2</v>
      </c>
      <c r="E3508" s="10" t="n">
        <v>0</v>
      </c>
      <c r="F3508" s="10" t="n">
        <v>0.3194653726716895</v>
      </c>
      <c r="G3508" s="11">
        <f>E3508*Summary!$B$6</f>
        <v/>
      </c>
      <c r="H3508" s="11">
        <f>F3508*Summary!$B$7</f>
        <v/>
      </c>
      <c r="I3508" s="11">
        <f>MAX(0,N3508-M3508)</f>
        <v/>
      </c>
      <c r="J3508" s="11">
        <f>MAX(0,M3508-N3508)</f>
        <v/>
      </c>
      <c r="K3508" s="11">
        <f>O3508</f>
        <v/>
      </c>
      <c r="L3508" s="11">
        <f>L3507+IF(K3508&gt;0,K3508*Summary!$B$9,K3508/Summary!$B$9)</f>
        <v/>
      </c>
      <c r="M3508" s="11">
        <f>G3508+H3508</f>
        <v/>
      </c>
      <c r="N3508" s="11">
        <f>Summary!$C$16*Summary!$B$8</f>
        <v/>
      </c>
      <c r="O3508" s="11">
        <f>M3508-N3508</f>
        <v/>
      </c>
    </row>
    <row r="3509">
      <c r="A3509" s="9" t="n">
        <v>45438.125</v>
      </c>
      <c r="B3509" t="n">
        <v>5</v>
      </c>
      <c r="C3509" t="n">
        <v>26</v>
      </c>
      <c r="D3509" t="n">
        <v>3</v>
      </c>
      <c r="E3509" s="10" t="n">
        <v>0</v>
      </c>
      <c r="F3509" s="10" t="n">
        <v>0.3150382356091765</v>
      </c>
      <c r="G3509" s="11">
        <f>E3509*Summary!$B$6</f>
        <v/>
      </c>
      <c r="H3509" s="11">
        <f>F3509*Summary!$B$7</f>
        <v/>
      </c>
      <c r="I3509" s="11">
        <f>MAX(0,N3509-M3509)</f>
        <v/>
      </c>
      <c r="J3509" s="11">
        <f>MAX(0,M3509-N3509)</f>
        <v/>
      </c>
      <c r="K3509" s="11">
        <f>O3509</f>
        <v/>
      </c>
      <c r="L3509" s="11">
        <f>L3508+IF(K3509&gt;0,K3509*Summary!$B$9,K3509/Summary!$B$9)</f>
        <v/>
      </c>
      <c r="M3509" s="11">
        <f>G3509+H3509</f>
        <v/>
      </c>
      <c r="N3509" s="11">
        <f>Summary!$C$16*Summary!$B$8</f>
        <v/>
      </c>
      <c r="O3509" s="11">
        <f>M3509-N3509</f>
        <v/>
      </c>
    </row>
    <row r="3510">
      <c r="A3510" s="9" t="n">
        <v>45438.16666666666</v>
      </c>
      <c r="B3510" t="n">
        <v>5</v>
      </c>
      <c r="C3510" t="n">
        <v>26</v>
      </c>
      <c r="D3510" t="n">
        <v>4</v>
      </c>
      <c r="E3510" s="10" t="n">
        <v>0.029513</v>
      </c>
      <c r="F3510" s="10" t="n">
        <v>0.3048136571552777</v>
      </c>
      <c r="G3510" s="11">
        <f>E3510*Summary!$B$6</f>
        <v/>
      </c>
      <c r="H3510" s="11">
        <f>F3510*Summary!$B$7</f>
        <v/>
      </c>
      <c r="I3510" s="11">
        <f>MAX(0,N3510-M3510)</f>
        <v/>
      </c>
      <c r="J3510" s="11">
        <f>MAX(0,M3510-N3510)</f>
        <v/>
      </c>
      <c r="K3510" s="11">
        <f>O3510</f>
        <v/>
      </c>
      <c r="L3510" s="11">
        <f>L3509+IF(K3510&gt;0,K3510*Summary!$B$9,K3510/Summary!$B$9)</f>
        <v/>
      </c>
      <c r="M3510" s="11">
        <f>G3510+H3510</f>
        <v/>
      </c>
      <c r="N3510" s="11">
        <f>Summary!$C$16*Summary!$B$8</f>
        <v/>
      </c>
      <c r="O3510" s="11">
        <f>M3510-N3510</f>
        <v/>
      </c>
    </row>
    <row r="3511">
      <c r="A3511" s="9" t="n">
        <v>45438.20833333334</v>
      </c>
      <c r="B3511" t="n">
        <v>5</v>
      </c>
      <c r="C3511" t="n">
        <v>26</v>
      </c>
      <c r="D3511" t="n">
        <v>5</v>
      </c>
      <c r="E3511" s="10" t="n">
        <v>0.061866</v>
      </c>
      <c r="F3511" s="10" t="n">
        <v>0.2848651883676452</v>
      </c>
      <c r="G3511" s="11">
        <f>E3511*Summary!$B$6</f>
        <v/>
      </c>
      <c r="H3511" s="11">
        <f>F3511*Summary!$B$7</f>
        <v/>
      </c>
      <c r="I3511" s="11">
        <f>MAX(0,N3511-M3511)</f>
        <v/>
      </c>
      <c r="J3511" s="11">
        <f>MAX(0,M3511-N3511)</f>
        <v/>
      </c>
      <c r="K3511" s="11">
        <f>O3511</f>
        <v/>
      </c>
      <c r="L3511" s="11">
        <f>L3510+IF(K3511&gt;0,K3511*Summary!$B$9,K3511/Summary!$B$9)</f>
        <v/>
      </c>
      <c r="M3511" s="11">
        <f>G3511+H3511</f>
        <v/>
      </c>
      <c r="N3511" s="11">
        <f>Summary!$C$16*Summary!$B$8</f>
        <v/>
      </c>
      <c r="O3511" s="11">
        <f>M3511-N3511</f>
        <v/>
      </c>
    </row>
    <row r="3512">
      <c r="A3512" s="9" t="n">
        <v>45438.25</v>
      </c>
      <c r="B3512" t="n">
        <v>5</v>
      </c>
      <c r="C3512" t="n">
        <v>26</v>
      </c>
      <c r="D3512" t="n">
        <v>6</v>
      </c>
      <c r="E3512" s="10" t="n">
        <v>0.190696</v>
      </c>
      <c r="F3512" s="10" t="n">
        <v>0.2655755197381247</v>
      </c>
      <c r="G3512" s="11">
        <f>E3512*Summary!$B$6</f>
        <v/>
      </c>
      <c r="H3512" s="11">
        <f>F3512*Summary!$B$7</f>
        <v/>
      </c>
      <c r="I3512" s="11">
        <f>MAX(0,N3512-M3512)</f>
        <v/>
      </c>
      <c r="J3512" s="11">
        <f>MAX(0,M3512-N3512)</f>
        <v/>
      </c>
      <c r="K3512" s="11">
        <f>O3512</f>
        <v/>
      </c>
      <c r="L3512" s="11">
        <f>L3511+IF(K3512&gt;0,K3512*Summary!$B$9,K3512/Summary!$B$9)</f>
        <v/>
      </c>
      <c r="M3512" s="11">
        <f>G3512+H3512</f>
        <v/>
      </c>
      <c r="N3512" s="11">
        <f>Summary!$C$16*Summary!$B$8</f>
        <v/>
      </c>
      <c r="O3512" s="11">
        <f>M3512-N3512</f>
        <v/>
      </c>
    </row>
    <row r="3513">
      <c r="A3513" s="9" t="n">
        <v>45438.29166666666</v>
      </c>
      <c r="B3513" t="n">
        <v>5</v>
      </c>
      <c r="C3513" t="n">
        <v>26</v>
      </c>
      <c r="D3513" t="n">
        <v>7</v>
      </c>
      <c r="E3513" s="10" t="n">
        <v>0.404419</v>
      </c>
      <c r="F3513" s="10" t="n">
        <v>0.2533218367972409</v>
      </c>
      <c r="G3513" s="11">
        <f>E3513*Summary!$B$6</f>
        <v/>
      </c>
      <c r="H3513" s="11">
        <f>F3513*Summary!$B$7</f>
        <v/>
      </c>
      <c r="I3513" s="11">
        <f>MAX(0,N3513-M3513)</f>
        <v/>
      </c>
      <c r="J3513" s="11">
        <f>MAX(0,M3513-N3513)</f>
        <v/>
      </c>
      <c r="K3513" s="11">
        <f>O3513</f>
        <v/>
      </c>
      <c r="L3513" s="11">
        <f>L3512+IF(K3513&gt;0,K3513*Summary!$B$9,K3513/Summary!$B$9)</f>
        <v/>
      </c>
      <c r="M3513" s="11">
        <f>G3513+H3513</f>
        <v/>
      </c>
      <c r="N3513" s="11">
        <f>Summary!$C$16*Summary!$B$8</f>
        <v/>
      </c>
      <c r="O3513" s="11">
        <f>M3513-N3513</f>
        <v/>
      </c>
    </row>
    <row r="3514">
      <c r="A3514" s="9" t="n">
        <v>45438.33333333334</v>
      </c>
      <c r="B3514" t="n">
        <v>5</v>
      </c>
      <c r="C3514" t="n">
        <v>26</v>
      </c>
      <c r="D3514" t="n">
        <v>8</v>
      </c>
      <c r="E3514" s="10" t="n">
        <v>0.582063</v>
      </c>
      <c r="F3514" s="10" t="n">
        <v>0.2532427807782674</v>
      </c>
      <c r="G3514" s="11">
        <f>E3514*Summary!$B$6</f>
        <v/>
      </c>
      <c r="H3514" s="11">
        <f>F3514*Summary!$B$7</f>
        <v/>
      </c>
      <c r="I3514" s="11">
        <f>MAX(0,N3514-M3514)</f>
        <v/>
      </c>
      <c r="J3514" s="11">
        <f>MAX(0,M3514-N3514)</f>
        <v/>
      </c>
      <c r="K3514" s="11">
        <f>O3514</f>
        <v/>
      </c>
      <c r="L3514" s="11">
        <f>L3513+IF(K3514&gt;0,K3514*Summary!$B$9,K3514/Summary!$B$9)</f>
        <v/>
      </c>
      <c r="M3514" s="11">
        <f>G3514+H3514</f>
        <v/>
      </c>
      <c r="N3514" s="11">
        <f>Summary!$C$16*Summary!$B$8</f>
        <v/>
      </c>
      <c r="O3514" s="11">
        <f>M3514-N3514</f>
        <v/>
      </c>
    </row>
    <row r="3515">
      <c r="A3515" s="9" t="n">
        <v>45438.375</v>
      </c>
      <c r="B3515" t="n">
        <v>5</v>
      </c>
      <c r="C3515" t="n">
        <v>26</v>
      </c>
      <c r="D3515" t="n">
        <v>9</v>
      </c>
      <c r="E3515" s="10" t="n">
        <v>0.722109</v>
      </c>
      <c r="F3515" s="10" t="n">
        <v>0.2644160314598475</v>
      </c>
      <c r="G3515" s="11">
        <f>E3515*Summary!$B$6</f>
        <v/>
      </c>
      <c r="H3515" s="11">
        <f>F3515*Summary!$B$7</f>
        <v/>
      </c>
      <c r="I3515" s="11">
        <f>MAX(0,N3515-M3515)</f>
        <v/>
      </c>
      <c r="J3515" s="11">
        <f>MAX(0,M3515-N3515)</f>
        <v/>
      </c>
      <c r="K3515" s="11">
        <f>O3515</f>
        <v/>
      </c>
      <c r="L3515" s="11">
        <f>L3514+IF(K3515&gt;0,K3515*Summary!$B$9,K3515/Summary!$B$9)</f>
        <v/>
      </c>
      <c r="M3515" s="11">
        <f>G3515+H3515</f>
        <v/>
      </c>
      <c r="N3515" s="11">
        <f>Summary!$C$16*Summary!$B$8</f>
        <v/>
      </c>
      <c r="O3515" s="11">
        <f>M3515-N3515</f>
        <v/>
      </c>
    </row>
    <row r="3516">
      <c r="A3516" s="9" t="n">
        <v>45438.41666666666</v>
      </c>
      <c r="B3516" t="n">
        <v>5</v>
      </c>
      <c r="C3516" t="n">
        <v>26</v>
      </c>
      <c r="D3516" t="n">
        <v>10</v>
      </c>
      <c r="E3516" s="10" t="n">
        <v>0.754058</v>
      </c>
      <c r="F3516" s="10" t="n">
        <v>0.2764061943374866</v>
      </c>
      <c r="G3516" s="11">
        <f>E3516*Summary!$B$6</f>
        <v/>
      </c>
      <c r="H3516" s="11">
        <f>F3516*Summary!$B$7</f>
        <v/>
      </c>
      <c r="I3516" s="11">
        <f>MAX(0,N3516-M3516)</f>
        <v/>
      </c>
      <c r="J3516" s="11">
        <f>MAX(0,M3516-N3516)</f>
        <v/>
      </c>
      <c r="K3516" s="11">
        <f>O3516</f>
        <v/>
      </c>
      <c r="L3516" s="11">
        <f>L3515+IF(K3516&gt;0,K3516*Summary!$B$9,K3516/Summary!$B$9)</f>
        <v/>
      </c>
      <c r="M3516" s="11">
        <f>G3516+H3516</f>
        <v/>
      </c>
      <c r="N3516" s="11">
        <f>Summary!$C$16*Summary!$B$8</f>
        <v/>
      </c>
      <c r="O3516" s="11">
        <f>M3516-N3516</f>
        <v/>
      </c>
    </row>
    <row r="3517">
      <c r="A3517" s="9" t="n">
        <v>45438.45833333334</v>
      </c>
      <c r="B3517" t="n">
        <v>5</v>
      </c>
      <c r="C3517" t="n">
        <v>26</v>
      </c>
      <c r="D3517" t="n">
        <v>11</v>
      </c>
      <c r="E3517" s="10" t="n">
        <v>0.754058</v>
      </c>
      <c r="F3517" s="10" t="n">
        <v>0.2960384390492254</v>
      </c>
      <c r="G3517" s="11">
        <f>E3517*Summary!$B$6</f>
        <v/>
      </c>
      <c r="H3517" s="11">
        <f>F3517*Summary!$B$7</f>
        <v/>
      </c>
      <c r="I3517" s="11">
        <f>MAX(0,N3517-M3517)</f>
        <v/>
      </c>
      <c r="J3517" s="11">
        <f>MAX(0,M3517-N3517)</f>
        <v/>
      </c>
      <c r="K3517" s="11">
        <f>O3517</f>
        <v/>
      </c>
      <c r="L3517" s="11">
        <f>L3516+IF(K3517&gt;0,K3517*Summary!$B$9,K3517/Summary!$B$9)</f>
        <v/>
      </c>
      <c r="M3517" s="11">
        <f>G3517+H3517</f>
        <v/>
      </c>
      <c r="N3517" s="11">
        <f>Summary!$C$16*Summary!$B$8</f>
        <v/>
      </c>
      <c r="O3517" s="11">
        <f>M3517-N3517</f>
        <v/>
      </c>
    </row>
    <row r="3518">
      <c r="A3518" s="9" t="n">
        <v>45438.5</v>
      </c>
      <c r="B3518" t="n">
        <v>5</v>
      </c>
      <c r="C3518" t="n">
        <v>26</v>
      </c>
      <c r="D3518" t="n">
        <v>12</v>
      </c>
      <c r="E3518" s="10" t="n">
        <v>0.754058</v>
      </c>
      <c r="F3518" s="10" t="n">
        <v>0.3115334187680205</v>
      </c>
      <c r="G3518" s="11">
        <f>E3518*Summary!$B$6</f>
        <v/>
      </c>
      <c r="H3518" s="11">
        <f>F3518*Summary!$B$7</f>
        <v/>
      </c>
      <c r="I3518" s="11">
        <f>MAX(0,N3518-M3518)</f>
        <v/>
      </c>
      <c r="J3518" s="11">
        <f>MAX(0,M3518-N3518)</f>
        <v/>
      </c>
      <c r="K3518" s="11">
        <f>O3518</f>
        <v/>
      </c>
      <c r="L3518" s="11">
        <f>L3517+IF(K3518&gt;0,K3518*Summary!$B$9,K3518/Summary!$B$9)</f>
        <v/>
      </c>
      <c r="M3518" s="11">
        <f>G3518+H3518</f>
        <v/>
      </c>
      <c r="N3518" s="11">
        <f>Summary!$C$16*Summary!$B$8</f>
        <v/>
      </c>
      <c r="O3518" s="11">
        <f>M3518-N3518</f>
        <v/>
      </c>
    </row>
    <row r="3519">
      <c r="A3519" s="9" t="n">
        <v>45438.54166666666</v>
      </c>
      <c r="B3519" t="n">
        <v>5</v>
      </c>
      <c r="C3519" t="n">
        <v>26</v>
      </c>
      <c r="D3519" t="n">
        <v>13</v>
      </c>
      <c r="E3519" s="10" t="n">
        <v>0.754058</v>
      </c>
      <c r="F3519" s="10" t="n">
        <v>0.3199133567792056</v>
      </c>
      <c r="G3519" s="11">
        <f>E3519*Summary!$B$6</f>
        <v/>
      </c>
      <c r="H3519" s="11">
        <f>F3519*Summary!$B$7</f>
        <v/>
      </c>
      <c r="I3519" s="11">
        <f>MAX(0,N3519-M3519)</f>
        <v/>
      </c>
      <c r="J3519" s="11">
        <f>MAX(0,M3519-N3519)</f>
        <v/>
      </c>
      <c r="K3519" s="11">
        <f>O3519</f>
        <v/>
      </c>
      <c r="L3519" s="11">
        <f>L3518+IF(K3519&gt;0,K3519*Summary!$B$9,K3519/Summary!$B$9)</f>
        <v/>
      </c>
      <c r="M3519" s="11">
        <f>G3519+H3519</f>
        <v/>
      </c>
      <c r="N3519" s="11">
        <f>Summary!$C$16*Summary!$B$8</f>
        <v/>
      </c>
      <c r="O3519" s="11">
        <f>M3519-N3519</f>
        <v/>
      </c>
    </row>
    <row r="3520">
      <c r="A3520" s="9" t="n">
        <v>45438.58333333334</v>
      </c>
      <c r="B3520" t="n">
        <v>5</v>
      </c>
      <c r="C3520" t="n">
        <v>26</v>
      </c>
      <c r="D3520" t="n">
        <v>14</v>
      </c>
      <c r="E3520" s="10" t="n">
        <v>0.747817</v>
      </c>
      <c r="F3520" s="10" t="n">
        <v>0.3238398057215534</v>
      </c>
      <c r="G3520" s="11">
        <f>E3520*Summary!$B$6</f>
        <v/>
      </c>
      <c r="H3520" s="11">
        <f>F3520*Summary!$B$7</f>
        <v/>
      </c>
      <c r="I3520" s="11">
        <f>MAX(0,N3520-M3520)</f>
        <v/>
      </c>
      <c r="J3520" s="11">
        <f>MAX(0,M3520-N3520)</f>
        <v/>
      </c>
      <c r="K3520" s="11">
        <f>O3520</f>
        <v/>
      </c>
      <c r="L3520" s="11">
        <f>L3519+IF(K3520&gt;0,K3520*Summary!$B$9,K3520/Summary!$B$9)</f>
        <v/>
      </c>
      <c r="M3520" s="11">
        <f>G3520+H3520</f>
        <v/>
      </c>
      <c r="N3520" s="11">
        <f>Summary!$C$16*Summary!$B$8</f>
        <v/>
      </c>
      <c r="O3520" s="11">
        <f>M3520-N3520</f>
        <v/>
      </c>
    </row>
    <row r="3521">
      <c r="A3521" s="9" t="n">
        <v>45438.625</v>
      </c>
      <c r="B3521" t="n">
        <v>5</v>
      </c>
      <c r="C3521" t="n">
        <v>26</v>
      </c>
      <c r="D3521" t="n">
        <v>15</v>
      </c>
      <c r="E3521" s="10" t="n">
        <v>0.616344</v>
      </c>
      <c r="F3521" s="10" t="n">
        <v>0.3292683190243966</v>
      </c>
      <c r="G3521" s="11">
        <f>E3521*Summary!$B$6</f>
        <v/>
      </c>
      <c r="H3521" s="11">
        <f>F3521*Summary!$B$7</f>
        <v/>
      </c>
      <c r="I3521" s="11">
        <f>MAX(0,N3521-M3521)</f>
        <v/>
      </c>
      <c r="J3521" s="11">
        <f>MAX(0,M3521-N3521)</f>
        <v/>
      </c>
      <c r="K3521" s="11">
        <f>O3521</f>
        <v/>
      </c>
      <c r="L3521" s="11">
        <f>L3520+IF(K3521&gt;0,K3521*Summary!$B$9,K3521/Summary!$B$9)</f>
        <v/>
      </c>
      <c r="M3521" s="11">
        <f>G3521+H3521</f>
        <v/>
      </c>
      <c r="N3521" s="11">
        <f>Summary!$C$16*Summary!$B$8</f>
        <v/>
      </c>
      <c r="O3521" s="11">
        <f>M3521-N3521</f>
        <v/>
      </c>
    </row>
    <row r="3522">
      <c r="A3522" s="9" t="n">
        <v>45438.66666666666</v>
      </c>
      <c r="B3522" t="n">
        <v>5</v>
      </c>
      <c r="C3522" t="n">
        <v>26</v>
      </c>
      <c r="D3522" t="n">
        <v>16</v>
      </c>
      <c r="E3522" s="10" t="n">
        <v>0.43979</v>
      </c>
      <c r="F3522" s="10" t="n">
        <v>0.3261324302717832</v>
      </c>
      <c r="G3522" s="11">
        <f>E3522*Summary!$B$6</f>
        <v/>
      </c>
      <c r="H3522" s="11">
        <f>F3522*Summary!$B$7</f>
        <v/>
      </c>
      <c r="I3522" s="11">
        <f>MAX(0,N3522-M3522)</f>
        <v/>
      </c>
      <c r="J3522" s="11">
        <f>MAX(0,M3522-N3522)</f>
        <v/>
      </c>
      <c r="K3522" s="11">
        <f>O3522</f>
        <v/>
      </c>
      <c r="L3522" s="11">
        <f>L3521+IF(K3522&gt;0,K3522*Summary!$B$9,K3522/Summary!$B$9)</f>
        <v/>
      </c>
      <c r="M3522" s="11">
        <f>G3522+H3522</f>
        <v/>
      </c>
      <c r="N3522" s="11">
        <f>Summary!$C$16*Summary!$B$8</f>
        <v/>
      </c>
      <c r="O3522" s="11">
        <f>M3522-N3522</f>
        <v/>
      </c>
    </row>
    <row r="3523">
      <c r="A3523" s="9" t="n">
        <v>45438.70833333334</v>
      </c>
      <c r="B3523" t="n">
        <v>5</v>
      </c>
      <c r="C3523" t="n">
        <v>26</v>
      </c>
      <c r="D3523" t="n">
        <v>17</v>
      </c>
      <c r="E3523" s="10" t="n">
        <v>0.239999</v>
      </c>
      <c r="F3523" s="10" t="n">
        <v>0.3111908426858023</v>
      </c>
      <c r="G3523" s="11">
        <f>E3523*Summary!$B$6</f>
        <v/>
      </c>
      <c r="H3523" s="11">
        <f>F3523*Summary!$B$7</f>
        <v/>
      </c>
      <c r="I3523" s="11">
        <f>MAX(0,N3523-M3523)</f>
        <v/>
      </c>
      <c r="J3523" s="11">
        <f>MAX(0,M3523-N3523)</f>
        <v/>
      </c>
      <c r="K3523" s="11">
        <f>O3523</f>
        <v/>
      </c>
      <c r="L3523" s="11">
        <f>L3522+IF(K3523&gt;0,K3523*Summary!$B$9,K3523/Summary!$B$9)</f>
        <v/>
      </c>
      <c r="M3523" s="11">
        <f>G3523+H3523</f>
        <v/>
      </c>
      <c r="N3523" s="11">
        <f>Summary!$C$16*Summary!$B$8</f>
        <v/>
      </c>
      <c r="O3523" s="11">
        <f>M3523-N3523</f>
        <v/>
      </c>
    </row>
    <row r="3524">
      <c r="A3524" s="9" t="n">
        <v>45438.75</v>
      </c>
      <c r="B3524" t="n">
        <v>5</v>
      </c>
      <c r="C3524" t="n">
        <v>26</v>
      </c>
      <c r="D3524" t="n">
        <v>18</v>
      </c>
      <c r="E3524" s="10" t="n">
        <v>0.07246</v>
      </c>
      <c r="F3524" s="10" t="n">
        <v>0.2942728546254851</v>
      </c>
      <c r="G3524" s="11">
        <f>E3524*Summary!$B$6</f>
        <v/>
      </c>
      <c r="H3524" s="11">
        <f>F3524*Summary!$B$7</f>
        <v/>
      </c>
      <c r="I3524" s="11">
        <f>MAX(0,N3524-M3524)</f>
        <v/>
      </c>
      <c r="J3524" s="11">
        <f>MAX(0,M3524-N3524)</f>
        <v/>
      </c>
      <c r="K3524" s="11">
        <f>O3524</f>
        <v/>
      </c>
      <c r="L3524" s="11">
        <f>L3523+IF(K3524&gt;0,K3524*Summary!$B$9,K3524/Summary!$B$9)</f>
        <v/>
      </c>
      <c r="M3524" s="11">
        <f>G3524+H3524</f>
        <v/>
      </c>
      <c r="N3524" s="11">
        <f>Summary!$C$16*Summary!$B$8</f>
        <v/>
      </c>
      <c r="O3524" s="11">
        <f>M3524-N3524</f>
        <v/>
      </c>
    </row>
    <row r="3525">
      <c r="A3525" s="9" t="n">
        <v>45438.79166666666</v>
      </c>
      <c r="B3525" t="n">
        <v>5</v>
      </c>
      <c r="C3525" t="n">
        <v>26</v>
      </c>
      <c r="D3525" t="n">
        <v>19</v>
      </c>
      <c r="E3525" s="10" t="n">
        <v>0.035564</v>
      </c>
      <c r="F3525" s="10" t="n">
        <v>0.286604420785061</v>
      </c>
      <c r="G3525" s="11">
        <f>E3525*Summary!$B$6</f>
        <v/>
      </c>
      <c r="H3525" s="11">
        <f>F3525*Summary!$B$7</f>
        <v/>
      </c>
      <c r="I3525" s="11">
        <f>MAX(0,N3525-M3525)</f>
        <v/>
      </c>
      <c r="J3525" s="11">
        <f>MAX(0,M3525-N3525)</f>
        <v/>
      </c>
      <c r="K3525" s="11">
        <f>O3525</f>
        <v/>
      </c>
      <c r="L3525" s="11">
        <f>L3524+IF(K3525&gt;0,K3525*Summary!$B$9,K3525/Summary!$B$9)</f>
        <v/>
      </c>
      <c r="M3525" s="11">
        <f>G3525+H3525</f>
        <v/>
      </c>
      <c r="N3525" s="11">
        <f>Summary!$C$16*Summary!$B$8</f>
        <v/>
      </c>
      <c r="O3525" s="11">
        <f>M3525-N3525</f>
        <v/>
      </c>
    </row>
    <row r="3526">
      <c r="A3526" s="9" t="n">
        <v>45438.83333333334</v>
      </c>
      <c r="B3526" t="n">
        <v>5</v>
      </c>
      <c r="C3526" t="n">
        <v>26</v>
      </c>
      <c r="D3526" t="n">
        <v>20</v>
      </c>
      <c r="E3526" s="10" t="n">
        <v>0</v>
      </c>
      <c r="F3526" s="10" t="n">
        <v>0.2917167100120104</v>
      </c>
      <c r="G3526" s="11">
        <f>E3526*Summary!$B$6</f>
        <v/>
      </c>
      <c r="H3526" s="11">
        <f>F3526*Summary!$B$7</f>
        <v/>
      </c>
      <c r="I3526" s="11">
        <f>MAX(0,N3526-M3526)</f>
        <v/>
      </c>
      <c r="J3526" s="11">
        <f>MAX(0,M3526-N3526)</f>
        <v/>
      </c>
      <c r="K3526" s="11">
        <f>O3526</f>
        <v/>
      </c>
      <c r="L3526" s="11">
        <f>L3525+IF(K3526&gt;0,K3526*Summary!$B$9,K3526/Summary!$B$9)</f>
        <v/>
      </c>
      <c r="M3526" s="11">
        <f>G3526+H3526</f>
        <v/>
      </c>
      <c r="N3526" s="11">
        <f>Summary!$C$16*Summary!$B$8</f>
        <v/>
      </c>
      <c r="O3526" s="11">
        <f>M3526-N3526</f>
        <v/>
      </c>
    </row>
    <row r="3527">
      <c r="A3527" s="9" t="n">
        <v>45438.875</v>
      </c>
      <c r="B3527" t="n">
        <v>5</v>
      </c>
      <c r="C3527" t="n">
        <v>26</v>
      </c>
      <c r="D3527" t="n">
        <v>21</v>
      </c>
      <c r="E3527" s="10" t="n">
        <v>0</v>
      </c>
      <c r="F3527" s="10" t="n">
        <v>0.3003865200927648</v>
      </c>
      <c r="G3527" s="11">
        <f>E3527*Summary!$B$6</f>
        <v/>
      </c>
      <c r="H3527" s="11">
        <f>F3527*Summary!$B$7</f>
        <v/>
      </c>
      <c r="I3527" s="11">
        <f>MAX(0,N3527-M3527)</f>
        <v/>
      </c>
      <c r="J3527" s="11">
        <f>MAX(0,M3527-N3527)</f>
        <v/>
      </c>
      <c r="K3527" s="11">
        <f>O3527</f>
        <v/>
      </c>
      <c r="L3527" s="11">
        <f>L3526+IF(K3527&gt;0,K3527*Summary!$B$9,K3527/Summary!$B$9)</f>
        <v/>
      </c>
      <c r="M3527" s="11">
        <f>G3527+H3527</f>
        <v/>
      </c>
      <c r="N3527" s="11">
        <f>Summary!$C$16*Summary!$B$8</f>
        <v/>
      </c>
      <c r="O3527" s="11">
        <f>M3527-N3527</f>
        <v/>
      </c>
    </row>
    <row r="3528">
      <c r="A3528" s="9" t="n">
        <v>45438.91666666666</v>
      </c>
      <c r="B3528" t="n">
        <v>5</v>
      </c>
      <c r="C3528" t="n">
        <v>26</v>
      </c>
      <c r="D3528" t="n">
        <v>22</v>
      </c>
      <c r="E3528" s="10" t="n">
        <v>0</v>
      </c>
      <c r="F3528" s="10" t="n">
        <v>0.3057359773766345</v>
      </c>
      <c r="G3528" s="11">
        <f>E3528*Summary!$B$6</f>
        <v/>
      </c>
      <c r="H3528" s="11">
        <f>F3528*Summary!$B$7</f>
        <v/>
      </c>
      <c r="I3528" s="11">
        <f>MAX(0,N3528-M3528)</f>
        <v/>
      </c>
      <c r="J3528" s="11">
        <f>MAX(0,M3528-N3528)</f>
        <v/>
      </c>
      <c r="K3528" s="11">
        <f>O3528</f>
        <v/>
      </c>
      <c r="L3528" s="11">
        <f>L3527+IF(K3528&gt;0,K3528*Summary!$B$9,K3528/Summary!$B$9)</f>
        <v/>
      </c>
      <c r="M3528" s="11">
        <f>G3528+H3528</f>
        <v/>
      </c>
      <c r="N3528" s="11">
        <f>Summary!$C$16*Summary!$B$8</f>
        <v/>
      </c>
      <c r="O3528" s="11">
        <f>M3528-N3528</f>
        <v/>
      </c>
    </row>
    <row r="3529">
      <c r="A3529" s="9" t="n">
        <v>45438.95833333334</v>
      </c>
      <c r="B3529" t="n">
        <v>5</v>
      </c>
      <c r="C3529" t="n">
        <v>26</v>
      </c>
      <c r="D3529" t="n">
        <v>23</v>
      </c>
      <c r="E3529" s="10" t="n">
        <v>0</v>
      </c>
      <c r="F3529" s="10" t="n">
        <v>0.3033115927947823</v>
      </c>
      <c r="G3529" s="11">
        <f>E3529*Summary!$B$6</f>
        <v/>
      </c>
      <c r="H3529" s="11">
        <f>F3529*Summary!$B$7</f>
        <v/>
      </c>
      <c r="I3529" s="11">
        <f>MAX(0,N3529-M3529)</f>
        <v/>
      </c>
      <c r="J3529" s="11">
        <f>MAX(0,M3529-N3529)</f>
        <v/>
      </c>
      <c r="K3529" s="11">
        <f>O3529</f>
        <v/>
      </c>
      <c r="L3529" s="11">
        <f>L3528+IF(K3529&gt;0,K3529*Summary!$B$9,K3529/Summary!$B$9)</f>
        <v/>
      </c>
      <c r="M3529" s="11">
        <f>G3529+H3529</f>
        <v/>
      </c>
      <c r="N3529" s="11">
        <f>Summary!$C$16*Summary!$B$8</f>
        <v/>
      </c>
      <c r="O3529" s="11">
        <f>M3529-N3529</f>
        <v/>
      </c>
    </row>
    <row r="3530">
      <c r="A3530" s="9" t="n">
        <v>45439</v>
      </c>
      <c r="B3530" t="n">
        <v>5</v>
      </c>
      <c r="C3530" t="n">
        <v>27</v>
      </c>
      <c r="D3530" t="n">
        <v>0</v>
      </c>
      <c r="E3530" s="10" t="n">
        <v>0</v>
      </c>
      <c r="F3530" s="10" t="n">
        <v>0.3163294839190761</v>
      </c>
      <c r="G3530" s="11">
        <f>E3530*Summary!$B$6</f>
        <v/>
      </c>
      <c r="H3530" s="11">
        <f>F3530*Summary!$B$7</f>
        <v/>
      </c>
      <c r="I3530" s="11">
        <f>MAX(0,N3530-M3530)</f>
        <v/>
      </c>
      <c r="J3530" s="11">
        <f>MAX(0,M3530-N3530)</f>
        <v/>
      </c>
      <c r="K3530" s="11">
        <f>O3530</f>
        <v/>
      </c>
      <c r="L3530" s="11">
        <f>L3529+IF(K3530&gt;0,K3530*Summary!$B$9,K3530/Summary!$B$9)</f>
        <v/>
      </c>
      <c r="M3530" s="11">
        <f>G3530+H3530</f>
        <v/>
      </c>
      <c r="N3530" s="11">
        <f>Summary!$C$16*Summary!$B$8</f>
        <v/>
      </c>
      <c r="O3530" s="11">
        <f>M3530-N3530</f>
        <v/>
      </c>
    </row>
    <row r="3531">
      <c r="A3531" s="9" t="n">
        <v>45439.04166666666</v>
      </c>
      <c r="B3531" t="n">
        <v>5</v>
      </c>
      <c r="C3531" t="n">
        <v>27</v>
      </c>
      <c r="D3531" t="n">
        <v>1</v>
      </c>
      <c r="E3531" s="10" t="n">
        <v>0</v>
      </c>
      <c r="F3531" s="10" t="n">
        <v>0.2825725638174153</v>
      </c>
      <c r="G3531" s="11">
        <f>E3531*Summary!$B$6</f>
        <v/>
      </c>
      <c r="H3531" s="11">
        <f>F3531*Summary!$B$7</f>
        <v/>
      </c>
      <c r="I3531" s="11">
        <f>MAX(0,N3531-M3531)</f>
        <v/>
      </c>
      <c r="J3531" s="11">
        <f>MAX(0,M3531-N3531)</f>
        <v/>
      </c>
      <c r="K3531" s="11">
        <f>O3531</f>
        <v/>
      </c>
      <c r="L3531" s="11">
        <f>L3530+IF(K3531&gt;0,K3531*Summary!$B$9,K3531/Summary!$B$9)</f>
        <v/>
      </c>
      <c r="M3531" s="11">
        <f>G3531+H3531</f>
        <v/>
      </c>
      <c r="N3531" s="11">
        <f>Summary!$C$16*Summary!$B$8</f>
        <v/>
      </c>
      <c r="O3531" s="11">
        <f>M3531-N3531</f>
        <v/>
      </c>
    </row>
    <row r="3532">
      <c r="A3532" s="9" t="n">
        <v>45439.08333333334</v>
      </c>
      <c r="B3532" t="n">
        <v>5</v>
      </c>
      <c r="C3532" t="n">
        <v>27</v>
      </c>
      <c r="D3532" t="n">
        <v>2</v>
      </c>
      <c r="E3532" s="10" t="n">
        <v>0</v>
      </c>
      <c r="F3532" s="10" t="n">
        <v>0.27089862501567</v>
      </c>
      <c r="G3532" s="11">
        <f>E3532*Summary!$B$6</f>
        <v/>
      </c>
      <c r="H3532" s="11">
        <f>F3532*Summary!$B$7</f>
        <v/>
      </c>
      <c r="I3532" s="11">
        <f>MAX(0,N3532-M3532)</f>
        <v/>
      </c>
      <c r="J3532" s="11">
        <f>MAX(0,M3532-N3532)</f>
        <v/>
      </c>
      <c r="K3532" s="11">
        <f>O3532</f>
        <v/>
      </c>
      <c r="L3532" s="11">
        <f>L3531+IF(K3532&gt;0,K3532*Summary!$B$9,K3532/Summary!$B$9)</f>
        <v/>
      </c>
      <c r="M3532" s="11">
        <f>G3532+H3532</f>
        <v/>
      </c>
      <c r="N3532" s="11">
        <f>Summary!$C$16*Summary!$B$8</f>
        <v/>
      </c>
      <c r="O3532" s="11">
        <f>M3532-N3532</f>
        <v/>
      </c>
    </row>
    <row r="3533">
      <c r="A3533" s="9" t="n">
        <v>45439.125</v>
      </c>
      <c r="B3533" t="n">
        <v>5</v>
      </c>
      <c r="C3533" t="n">
        <v>27</v>
      </c>
      <c r="D3533" t="n">
        <v>3</v>
      </c>
      <c r="E3533" s="10" t="n">
        <v>0</v>
      </c>
      <c r="F3533" s="10" t="n">
        <v>0.25666854160045</v>
      </c>
      <c r="G3533" s="11">
        <f>E3533*Summary!$B$6</f>
        <v/>
      </c>
      <c r="H3533" s="11">
        <f>F3533*Summary!$B$7</f>
        <v/>
      </c>
      <c r="I3533" s="11">
        <f>MAX(0,N3533-M3533)</f>
        <v/>
      </c>
      <c r="J3533" s="11">
        <f>MAX(0,M3533-N3533)</f>
        <v/>
      </c>
      <c r="K3533" s="11">
        <f>O3533</f>
        <v/>
      </c>
      <c r="L3533" s="11">
        <f>L3532+IF(K3533&gt;0,K3533*Summary!$B$9,K3533/Summary!$B$9)</f>
        <v/>
      </c>
      <c r="M3533" s="11">
        <f>G3533+H3533</f>
        <v/>
      </c>
      <c r="N3533" s="11">
        <f>Summary!$C$16*Summary!$B$8</f>
        <v/>
      </c>
      <c r="O3533" s="11">
        <f>M3533-N3533</f>
        <v/>
      </c>
    </row>
    <row r="3534">
      <c r="A3534" s="9" t="n">
        <v>45439.16666666666</v>
      </c>
      <c r="B3534" t="n">
        <v>5</v>
      </c>
      <c r="C3534" t="n">
        <v>27</v>
      </c>
      <c r="D3534" t="n">
        <v>4</v>
      </c>
      <c r="E3534" s="10" t="n">
        <v>0.029563</v>
      </c>
      <c r="F3534" s="10" t="n">
        <v>0.2403302976792714</v>
      </c>
      <c r="G3534" s="11">
        <f>E3534*Summary!$B$6</f>
        <v/>
      </c>
      <c r="H3534" s="11">
        <f>F3534*Summary!$B$7</f>
        <v/>
      </c>
      <c r="I3534" s="11">
        <f>MAX(0,N3534-M3534)</f>
        <v/>
      </c>
      <c r="J3534" s="11">
        <f>MAX(0,M3534-N3534)</f>
        <v/>
      </c>
      <c r="K3534" s="11">
        <f>O3534</f>
        <v/>
      </c>
      <c r="L3534" s="11">
        <f>L3533+IF(K3534&gt;0,K3534*Summary!$B$9,K3534/Summary!$B$9)</f>
        <v/>
      </c>
      <c r="M3534" s="11">
        <f>G3534+H3534</f>
        <v/>
      </c>
      <c r="N3534" s="11">
        <f>Summary!$C$16*Summary!$B$8</f>
        <v/>
      </c>
      <c r="O3534" s="11">
        <f>M3534-N3534</f>
        <v/>
      </c>
    </row>
    <row r="3535">
      <c r="A3535" s="9" t="n">
        <v>45439.20833333334</v>
      </c>
      <c r="B3535" t="n">
        <v>5</v>
      </c>
      <c r="C3535" t="n">
        <v>27</v>
      </c>
      <c r="D3535" t="n">
        <v>5</v>
      </c>
      <c r="E3535" s="10" t="n">
        <v>0.070921</v>
      </c>
      <c r="F3535" s="10" t="n">
        <v>0.2192750446260107</v>
      </c>
      <c r="G3535" s="11">
        <f>E3535*Summary!$B$6</f>
        <v/>
      </c>
      <c r="H3535" s="11">
        <f>F3535*Summary!$B$7</f>
        <v/>
      </c>
      <c r="I3535" s="11">
        <f>MAX(0,N3535-M3535)</f>
        <v/>
      </c>
      <c r="J3535" s="11">
        <f>MAX(0,M3535-N3535)</f>
        <v/>
      </c>
      <c r="K3535" s="11">
        <f>O3535</f>
        <v/>
      </c>
      <c r="L3535" s="11">
        <f>L3534+IF(K3535&gt;0,K3535*Summary!$B$9,K3535/Summary!$B$9)</f>
        <v/>
      </c>
      <c r="M3535" s="11">
        <f>G3535+H3535</f>
        <v/>
      </c>
      <c r="N3535" s="11">
        <f>Summary!$C$16*Summary!$B$8</f>
        <v/>
      </c>
      <c r="O3535" s="11">
        <f>M3535-N3535</f>
        <v/>
      </c>
    </row>
    <row r="3536">
      <c r="A3536" s="9" t="n">
        <v>45439.25</v>
      </c>
      <c r="B3536" t="n">
        <v>5</v>
      </c>
      <c r="C3536" t="n">
        <v>27</v>
      </c>
      <c r="D3536" t="n">
        <v>6</v>
      </c>
      <c r="E3536" s="10" t="n">
        <v>0.189396</v>
      </c>
      <c r="F3536" s="10" t="n">
        <v>0.2039381769451625</v>
      </c>
      <c r="G3536" s="11">
        <f>E3536*Summary!$B$6</f>
        <v/>
      </c>
      <c r="H3536" s="11">
        <f>F3536*Summary!$B$7</f>
        <v/>
      </c>
      <c r="I3536" s="11">
        <f>MAX(0,N3536-M3536)</f>
        <v/>
      </c>
      <c r="J3536" s="11">
        <f>MAX(0,M3536-N3536)</f>
        <v/>
      </c>
      <c r="K3536" s="11">
        <f>O3536</f>
        <v/>
      </c>
      <c r="L3536" s="11">
        <f>L3535+IF(K3536&gt;0,K3536*Summary!$B$9,K3536/Summary!$B$9)</f>
        <v/>
      </c>
      <c r="M3536" s="11">
        <f>G3536+H3536</f>
        <v/>
      </c>
      <c r="N3536" s="11">
        <f>Summary!$C$16*Summary!$B$8</f>
        <v/>
      </c>
      <c r="O3536" s="11">
        <f>M3536-N3536</f>
        <v/>
      </c>
    </row>
    <row r="3537">
      <c r="A3537" s="9" t="n">
        <v>45439.29166666666</v>
      </c>
      <c r="B3537" t="n">
        <v>5</v>
      </c>
      <c r="C3537" t="n">
        <v>27</v>
      </c>
      <c r="D3537" t="n">
        <v>7</v>
      </c>
      <c r="E3537" s="10" t="n">
        <v>0.403282</v>
      </c>
      <c r="F3537" s="10" t="n">
        <v>0.2006441761546023</v>
      </c>
      <c r="G3537" s="11">
        <f>E3537*Summary!$B$6</f>
        <v/>
      </c>
      <c r="H3537" s="11">
        <f>F3537*Summary!$B$7</f>
        <v/>
      </c>
      <c r="I3537" s="11">
        <f>MAX(0,N3537-M3537)</f>
        <v/>
      </c>
      <c r="J3537" s="11">
        <f>MAX(0,M3537-N3537)</f>
        <v/>
      </c>
      <c r="K3537" s="11">
        <f>O3537</f>
        <v/>
      </c>
      <c r="L3537" s="11">
        <f>L3536+IF(K3537&gt;0,K3537*Summary!$B$9,K3537/Summary!$B$9)</f>
        <v/>
      </c>
      <c r="M3537" s="11">
        <f>G3537+H3537</f>
        <v/>
      </c>
      <c r="N3537" s="11">
        <f>Summary!$C$16*Summary!$B$8</f>
        <v/>
      </c>
      <c r="O3537" s="11">
        <f>M3537-N3537</f>
        <v/>
      </c>
    </row>
    <row r="3538">
      <c r="A3538" s="9" t="n">
        <v>45439.33333333334</v>
      </c>
      <c r="B3538" t="n">
        <v>5</v>
      </c>
      <c r="C3538" t="n">
        <v>27</v>
      </c>
      <c r="D3538" t="n">
        <v>8</v>
      </c>
      <c r="E3538" s="10" t="n">
        <v>0.580254</v>
      </c>
      <c r="F3538" s="10" t="n">
        <v>0.213925587342141</v>
      </c>
      <c r="G3538" s="11">
        <f>E3538*Summary!$B$6</f>
        <v/>
      </c>
      <c r="H3538" s="11">
        <f>F3538*Summary!$B$7</f>
        <v/>
      </c>
      <c r="I3538" s="11">
        <f>MAX(0,N3538-M3538)</f>
        <v/>
      </c>
      <c r="J3538" s="11">
        <f>MAX(0,M3538-N3538)</f>
        <v/>
      </c>
      <c r="K3538" s="11">
        <f>O3538</f>
        <v/>
      </c>
      <c r="L3538" s="11">
        <f>L3537+IF(K3538&gt;0,K3538*Summary!$B$9,K3538/Summary!$B$9)</f>
        <v/>
      </c>
      <c r="M3538" s="11">
        <f>G3538+H3538</f>
        <v/>
      </c>
      <c r="N3538" s="11">
        <f>Summary!$C$16*Summary!$B$8</f>
        <v/>
      </c>
      <c r="O3538" s="11">
        <f>M3538-N3538</f>
        <v/>
      </c>
    </row>
    <row r="3539">
      <c r="A3539" s="9" t="n">
        <v>45439.375</v>
      </c>
      <c r="B3539" t="n">
        <v>5</v>
      </c>
      <c r="C3539" t="n">
        <v>27</v>
      </c>
      <c r="D3539" t="n">
        <v>9</v>
      </c>
      <c r="E3539" s="10" t="n">
        <v>0.716703</v>
      </c>
      <c r="F3539" s="10" t="n">
        <v>0.2323456397629536</v>
      </c>
      <c r="G3539" s="11">
        <f>E3539*Summary!$B$6</f>
        <v/>
      </c>
      <c r="H3539" s="11">
        <f>F3539*Summary!$B$7</f>
        <v/>
      </c>
      <c r="I3539" s="11">
        <f>MAX(0,N3539-M3539)</f>
        <v/>
      </c>
      <c r="J3539" s="11">
        <f>MAX(0,M3539-N3539)</f>
        <v/>
      </c>
      <c r="K3539" s="11">
        <f>O3539</f>
        <v/>
      </c>
      <c r="L3539" s="11">
        <f>L3538+IF(K3539&gt;0,K3539*Summary!$B$9,K3539/Summary!$B$9)</f>
        <v/>
      </c>
      <c r="M3539" s="11">
        <f>G3539+H3539</f>
        <v/>
      </c>
      <c r="N3539" s="11">
        <f>Summary!$C$16*Summary!$B$8</f>
        <v/>
      </c>
      <c r="O3539" s="11">
        <f>M3539-N3539</f>
        <v/>
      </c>
    </row>
    <row r="3540">
      <c r="A3540" s="9" t="n">
        <v>45439.41666666666</v>
      </c>
      <c r="B3540" t="n">
        <v>5</v>
      </c>
      <c r="C3540" t="n">
        <v>27</v>
      </c>
      <c r="D3540" t="n">
        <v>10</v>
      </c>
      <c r="E3540" s="10" t="n">
        <v>0.754058</v>
      </c>
      <c r="F3540" s="10" t="n">
        <v>0.2541914530059487</v>
      </c>
      <c r="G3540" s="11">
        <f>E3540*Summary!$B$6</f>
        <v/>
      </c>
      <c r="H3540" s="11">
        <f>F3540*Summary!$B$7</f>
        <v/>
      </c>
      <c r="I3540" s="11">
        <f>MAX(0,N3540-M3540)</f>
        <v/>
      </c>
      <c r="J3540" s="11">
        <f>MAX(0,M3540-N3540)</f>
        <v/>
      </c>
      <c r="K3540" s="11">
        <f>O3540</f>
        <v/>
      </c>
      <c r="L3540" s="11">
        <f>L3539+IF(K3540&gt;0,K3540*Summary!$B$9,K3540/Summary!$B$9)</f>
        <v/>
      </c>
      <c r="M3540" s="11">
        <f>G3540+H3540</f>
        <v/>
      </c>
      <c r="N3540" s="11">
        <f>Summary!$C$16*Summary!$B$8</f>
        <v/>
      </c>
      <c r="O3540" s="11">
        <f>M3540-N3540</f>
        <v/>
      </c>
    </row>
    <row r="3541">
      <c r="A3541" s="9" t="n">
        <v>45439.45833333334</v>
      </c>
      <c r="B3541" t="n">
        <v>5</v>
      </c>
      <c r="C3541" t="n">
        <v>27</v>
      </c>
      <c r="D3541" t="n">
        <v>11</v>
      </c>
      <c r="E3541" s="10" t="n">
        <v>0.754058</v>
      </c>
      <c r="F3541" s="10" t="n">
        <v>0.2770649944955987</v>
      </c>
      <c r="G3541" s="11">
        <f>E3541*Summary!$B$6</f>
        <v/>
      </c>
      <c r="H3541" s="11">
        <f>F3541*Summary!$B$7</f>
        <v/>
      </c>
      <c r="I3541" s="11">
        <f>MAX(0,N3541-M3541)</f>
        <v/>
      </c>
      <c r="J3541" s="11">
        <f>MAX(0,M3541-N3541)</f>
        <v/>
      </c>
      <c r="K3541" s="11">
        <f>O3541</f>
        <v/>
      </c>
      <c r="L3541" s="11">
        <f>L3540+IF(K3541&gt;0,K3541*Summary!$B$9,K3541/Summary!$B$9)</f>
        <v/>
      </c>
      <c r="M3541" s="11">
        <f>G3541+H3541</f>
        <v/>
      </c>
      <c r="N3541" s="11">
        <f>Summary!$C$16*Summary!$B$8</f>
        <v/>
      </c>
      <c r="O3541" s="11">
        <f>M3541-N3541</f>
        <v/>
      </c>
    </row>
    <row r="3542">
      <c r="A3542" s="9" t="n">
        <v>45439.5</v>
      </c>
      <c r="B3542" t="n">
        <v>5</v>
      </c>
      <c r="C3542" t="n">
        <v>27</v>
      </c>
      <c r="D3542" t="n">
        <v>12</v>
      </c>
      <c r="E3542" s="10" t="n">
        <v>0.754058</v>
      </c>
      <c r="F3542" s="10" t="n">
        <v>0.3007554481813076</v>
      </c>
      <c r="G3542" s="11">
        <f>E3542*Summary!$B$6</f>
        <v/>
      </c>
      <c r="H3542" s="11">
        <f>F3542*Summary!$B$7</f>
        <v/>
      </c>
      <c r="I3542" s="11">
        <f>MAX(0,N3542-M3542)</f>
        <v/>
      </c>
      <c r="J3542" s="11">
        <f>MAX(0,M3542-N3542)</f>
        <v/>
      </c>
      <c r="K3542" s="11">
        <f>O3542</f>
        <v/>
      </c>
      <c r="L3542" s="11">
        <f>L3541+IF(K3542&gt;0,K3542*Summary!$B$9,K3542/Summary!$B$9)</f>
        <v/>
      </c>
      <c r="M3542" s="11">
        <f>G3542+H3542</f>
        <v/>
      </c>
      <c r="N3542" s="11">
        <f>Summary!$C$16*Summary!$B$8</f>
        <v/>
      </c>
      <c r="O3542" s="11">
        <f>M3542-N3542</f>
        <v/>
      </c>
    </row>
    <row r="3543">
      <c r="A3543" s="9" t="n">
        <v>45439.54166666666</v>
      </c>
      <c r="B3543" t="n">
        <v>5</v>
      </c>
      <c r="C3543" t="n">
        <v>27</v>
      </c>
      <c r="D3543" t="n">
        <v>13</v>
      </c>
      <c r="E3543" s="10" t="n">
        <v>0.754058</v>
      </c>
      <c r="F3543" s="10" t="n">
        <v>0.3136152272676546</v>
      </c>
      <c r="G3543" s="11">
        <f>E3543*Summary!$B$6</f>
        <v/>
      </c>
      <c r="H3543" s="11">
        <f>F3543*Summary!$B$7</f>
        <v/>
      </c>
      <c r="I3543" s="11">
        <f>MAX(0,N3543-M3543)</f>
        <v/>
      </c>
      <c r="J3543" s="11">
        <f>MAX(0,M3543-N3543)</f>
        <v/>
      </c>
      <c r="K3543" s="11">
        <f>O3543</f>
        <v/>
      </c>
      <c r="L3543" s="11">
        <f>L3542+IF(K3543&gt;0,K3543*Summary!$B$9,K3543/Summary!$B$9)</f>
        <v/>
      </c>
      <c r="M3543" s="11">
        <f>G3543+H3543</f>
        <v/>
      </c>
      <c r="N3543" s="11">
        <f>Summary!$C$16*Summary!$B$8</f>
        <v/>
      </c>
      <c r="O3543" s="11">
        <f>M3543-N3543</f>
        <v/>
      </c>
    </row>
    <row r="3544">
      <c r="A3544" s="9" t="n">
        <v>45439.58333333334</v>
      </c>
      <c r="B3544" t="n">
        <v>5</v>
      </c>
      <c r="C3544" t="n">
        <v>27</v>
      </c>
      <c r="D3544" t="n">
        <v>14</v>
      </c>
      <c r="E3544" s="10" t="n">
        <v>0.7453109999999999</v>
      </c>
      <c r="F3544" s="10" t="n">
        <v>0.3290047989611518</v>
      </c>
      <c r="G3544" s="11">
        <f>E3544*Summary!$B$6</f>
        <v/>
      </c>
      <c r="H3544" s="11">
        <f>F3544*Summary!$B$7</f>
        <v/>
      </c>
      <c r="I3544" s="11">
        <f>MAX(0,N3544-M3544)</f>
        <v/>
      </c>
      <c r="J3544" s="11">
        <f>MAX(0,M3544-N3544)</f>
        <v/>
      </c>
      <c r="K3544" s="11">
        <f>O3544</f>
        <v/>
      </c>
      <c r="L3544" s="11">
        <f>L3543+IF(K3544&gt;0,K3544*Summary!$B$9,K3544/Summary!$B$9)</f>
        <v/>
      </c>
      <c r="M3544" s="11">
        <f>G3544+H3544</f>
        <v/>
      </c>
      <c r="N3544" s="11">
        <f>Summary!$C$16*Summary!$B$8</f>
        <v/>
      </c>
      <c r="O3544" s="11">
        <f>M3544-N3544</f>
        <v/>
      </c>
    </row>
    <row r="3545">
      <c r="A3545" s="9" t="n">
        <v>45439.625</v>
      </c>
      <c r="B3545" t="n">
        <v>5</v>
      </c>
      <c r="C3545" t="n">
        <v>27</v>
      </c>
      <c r="D3545" t="n">
        <v>15</v>
      </c>
      <c r="E3545" s="10" t="n">
        <v>0.6149289999999999</v>
      </c>
      <c r="F3545" s="10" t="n">
        <v>0.3444997786799469</v>
      </c>
      <c r="G3545" s="11">
        <f>E3545*Summary!$B$6</f>
        <v/>
      </c>
      <c r="H3545" s="11">
        <f>F3545*Summary!$B$7</f>
        <v/>
      </c>
      <c r="I3545" s="11">
        <f>MAX(0,N3545-M3545)</f>
        <v/>
      </c>
      <c r="J3545" s="11">
        <f>MAX(0,M3545-N3545)</f>
        <v/>
      </c>
      <c r="K3545" s="11">
        <f>O3545</f>
        <v/>
      </c>
      <c r="L3545" s="11">
        <f>L3544+IF(K3545&gt;0,K3545*Summary!$B$9,K3545/Summary!$B$9)</f>
        <v/>
      </c>
      <c r="M3545" s="11">
        <f>G3545+H3545</f>
        <v/>
      </c>
      <c r="N3545" s="11">
        <f>Summary!$C$16*Summary!$B$8</f>
        <v/>
      </c>
      <c r="O3545" s="11">
        <f>M3545-N3545</f>
        <v/>
      </c>
    </row>
    <row r="3546">
      <c r="A3546" s="9" t="n">
        <v>45439.66666666666</v>
      </c>
      <c r="B3546" t="n">
        <v>5</v>
      </c>
      <c r="C3546" t="n">
        <v>27</v>
      </c>
      <c r="D3546" t="n">
        <v>16</v>
      </c>
      <c r="E3546" s="10" t="n">
        <v>0.440266</v>
      </c>
      <c r="F3546" s="10" t="n">
        <v>0.3384651692316407</v>
      </c>
      <c r="G3546" s="11">
        <f>E3546*Summary!$B$6</f>
        <v/>
      </c>
      <c r="H3546" s="11">
        <f>F3546*Summary!$B$7</f>
        <v/>
      </c>
      <c r="I3546" s="11">
        <f>MAX(0,N3546-M3546)</f>
        <v/>
      </c>
      <c r="J3546" s="11">
        <f>MAX(0,M3546-N3546)</f>
        <v/>
      </c>
      <c r="K3546" s="11">
        <f>O3546</f>
        <v/>
      </c>
      <c r="L3546" s="11">
        <f>L3545+IF(K3546&gt;0,K3546*Summary!$B$9,K3546/Summary!$B$9)</f>
        <v/>
      </c>
      <c r="M3546" s="11">
        <f>G3546+H3546</f>
        <v/>
      </c>
      <c r="N3546" s="11">
        <f>Summary!$C$16*Summary!$B$8</f>
        <v/>
      </c>
      <c r="O3546" s="11">
        <f>M3546-N3546</f>
        <v/>
      </c>
    </row>
    <row r="3547">
      <c r="A3547" s="9" t="n">
        <v>45439.70833333334</v>
      </c>
      <c r="B3547" t="n">
        <v>5</v>
      </c>
      <c r="C3547" t="n">
        <v>27</v>
      </c>
      <c r="D3547" t="n">
        <v>17</v>
      </c>
      <c r="E3547" s="10" t="n">
        <v>0.241159</v>
      </c>
      <c r="F3547" s="10" t="n">
        <v>0.3318771676505202</v>
      </c>
      <c r="G3547" s="11">
        <f>E3547*Summary!$B$6</f>
        <v/>
      </c>
      <c r="H3547" s="11">
        <f>F3547*Summary!$B$7</f>
        <v/>
      </c>
      <c r="I3547" s="11">
        <f>MAX(0,N3547-M3547)</f>
        <v/>
      </c>
      <c r="J3547" s="11">
        <f>MAX(0,M3547-N3547)</f>
        <v/>
      </c>
      <c r="K3547" s="11">
        <f>O3547</f>
        <v/>
      </c>
      <c r="L3547" s="11">
        <f>L3546+IF(K3547&gt;0,K3547*Summary!$B$9,K3547/Summary!$B$9)</f>
        <v/>
      </c>
      <c r="M3547" s="11">
        <f>G3547+H3547</f>
        <v/>
      </c>
      <c r="N3547" s="11">
        <f>Summary!$C$16*Summary!$B$8</f>
        <v/>
      </c>
      <c r="O3547" s="11">
        <f>M3547-N3547</f>
        <v/>
      </c>
    </row>
    <row r="3548">
      <c r="A3548" s="9" t="n">
        <v>45439.75</v>
      </c>
      <c r="B3548" t="n">
        <v>5</v>
      </c>
      <c r="C3548" t="n">
        <v>27</v>
      </c>
      <c r="D3548" t="n">
        <v>18</v>
      </c>
      <c r="E3548" s="10" t="n">
        <v>0.075059</v>
      </c>
      <c r="F3548" s="10" t="n">
        <v>0.3183585884060612</v>
      </c>
      <c r="G3548" s="11">
        <f>E3548*Summary!$B$6</f>
        <v/>
      </c>
      <c r="H3548" s="11">
        <f>F3548*Summary!$B$7</f>
        <v/>
      </c>
      <c r="I3548" s="11">
        <f>MAX(0,N3548-M3548)</f>
        <v/>
      </c>
      <c r="J3548" s="11">
        <f>MAX(0,M3548-N3548)</f>
        <v/>
      </c>
      <c r="K3548" s="11">
        <f>O3548</f>
        <v/>
      </c>
      <c r="L3548" s="11">
        <f>L3547+IF(K3548&gt;0,K3548*Summary!$B$9,K3548/Summary!$B$9)</f>
        <v/>
      </c>
      <c r="M3548" s="11">
        <f>G3548+H3548</f>
        <v/>
      </c>
      <c r="N3548" s="11">
        <f>Summary!$C$16*Summary!$B$8</f>
        <v/>
      </c>
      <c r="O3548" s="11">
        <f>M3548-N3548</f>
        <v/>
      </c>
    </row>
    <row r="3549">
      <c r="A3549" s="9" t="n">
        <v>45439.79166666666</v>
      </c>
      <c r="B3549" t="n">
        <v>5</v>
      </c>
      <c r="C3549" t="n">
        <v>27</v>
      </c>
      <c r="D3549" t="n">
        <v>19</v>
      </c>
      <c r="E3549" s="10" t="n">
        <v>0.036177</v>
      </c>
      <c r="F3549" s="10" t="n">
        <v>0.3106901545656371</v>
      </c>
      <c r="G3549" s="11">
        <f>E3549*Summary!$B$6</f>
        <v/>
      </c>
      <c r="H3549" s="11">
        <f>F3549*Summary!$B$7</f>
        <v/>
      </c>
      <c r="I3549" s="11">
        <f>MAX(0,N3549-M3549)</f>
        <v/>
      </c>
      <c r="J3549" s="11">
        <f>MAX(0,M3549-N3549)</f>
        <v/>
      </c>
      <c r="K3549" s="11">
        <f>O3549</f>
        <v/>
      </c>
      <c r="L3549" s="11">
        <f>L3548+IF(K3549&gt;0,K3549*Summary!$B$9,K3549/Summary!$B$9)</f>
        <v/>
      </c>
      <c r="M3549" s="11">
        <f>G3549+H3549</f>
        <v/>
      </c>
      <c r="N3549" s="11">
        <f>Summary!$C$16*Summary!$B$8</f>
        <v/>
      </c>
      <c r="O3549" s="11">
        <f>M3549-N3549</f>
        <v/>
      </c>
    </row>
    <row r="3550">
      <c r="A3550" s="9" t="n">
        <v>45439.83333333334</v>
      </c>
      <c r="B3550" t="n">
        <v>5</v>
      </c>
      <c r="C3550" t="n">
        <v>27</v>
      </c>
      <c r="D3550" t="n">
        <v>20</v>
      </c>
      <c r="E3550" s="10" t="n">
        <v>0</v>
      </c>
      <c r="F3550" s="10" t="n">
        <v>0.332852191884526</v>
      </c>
      <c r="G3550" s="11">
        <f>E3550*Summary!$B$6</f>
        <v/>
      </c>
      <c r="H3550" s="11">
        <f>F3550*Summary!$B$7</f>
        <v/>
      </c>
      <c r="I3550" s="11">
        <f>MAX(0,N3550-M3550)</f>
        <v/>
      </c>
      <c r="J3550" s="11">
        <f>MAX(0,M3550-N3550)</f>
        <v/>
      </c>
      <c r="K3550" s="11">
        <f>O3550</f>
        <v/>
      </c>
      <c r="L3550" s="11">
        <f>L3549+IF(K3550&gt;0,K3550*Summary!$B$9,K3550/Summary!$B$9)</f>
        <v/>
      </c>
      <c r="M3550" s="11">
        <f>G3550+H3550</f>
        <v/>
      </c>
      <c r="N3550" s="11">
        <f>Summary!$C$16*Summary!$B$8</f>
        <v/>
      </c>
      <c r="O3550" s="11">
        <f>M3550-N3550</f>
        <v/>
      </c>
    </row>
    <row r="3551">
      <c r="A3551" s="9" t="n">
        <v>45439.875</v>
      </c>
      <c r="B3551" t="n">
        <v>5</v>
      </c>
      <c r="C3551" t="n">
        <v>27</v>
      </c>
      <c r="D3551" t="n">
        <v>21</v>
      </c>
      <c r="E3551" s="10" t="n">
        <v>0</v>
      </c>
      <c r="F3551" s="10" t="n">
        <v>0.3242877898290696</v>
      </c>
      <c r="G3551" s="11">
        <f>E3551*Summary!$B$6</f>
        <v/>
      </c>
      <c r="H3551" s="11">
        <f>F3551*Summary!$B$7</f>
        <v/>
      </c>
      <c r="I3551" s="11">
        <f>MAX(0,N3551-M3551)</f>
        <v/>
      </c>
      <c r="J3551" s="11">
        <f>MAX(0,M3551-N3551)</f>
        <v/>
      </c>
      <c r="K3551" s="11">
        <f>O3551</f>
        <v/>
      </c>
      <c r="L3551" s="11">
        <f>L3550+IF(K3551&gt;0,K3551*Summary!$B$9,K3551/Summary!$B$9)</f>
        <v/>
      </c>
      <c r="M3551" s="11">
        <f>G3551+H3551</f>
        <v/>
      </c>
      <c r="N3551" s="11">
        <f>Summary!$C$16*Summary!$B$8</f>
        <v/>
      </c>
      <c r="O3551" s="11">
        <f>M3551-N3551</f>
        <v/>
      </c>
    </row>
    <row r="3552">
      <c r="A3552" s="9" t="n">
        <v>45439.91666666666</v>
      </c>
      <c r="B3552" t="n">
        <v>5</v>
      </c>
      <c r="C3552" t="n">
        <v>27</v>
      </c>
      <c r="D3552" t="n">
        <v>22</v>
      </c>
      <c r="E3552" s="10" t="n">
        <v>0</v>
      </c>
      <c r="F3552" s="10" t="n">
        <v>0.3309021434165144</v>
      </c>
      <c r="G3552" s="11">
        <f>E3552*Summary!$B$6</f>
        <v/>
      </c>
      <c r="H3552" s="11">
        <f>F3552*Summary!$B$7</f>
        <v/>
      </c>
      <c r="I3552" s="11">
        <f>MAX(0,N3552-M3552)</f>
        <v/>
      </c>
      <c r="J3552" s="11">
        <f>MAX(0,M3552-N3552)</f>
        <v/>
      </c>
      <c r="K3552" s="11">
        <f>O3552</f>
        <v/>
      </c>
      <c r="L3552" s="11">
        <f>L3551+IF(K3552&gt;0,K3552*Summary!$B$9,K3552/Summary!$B$9)</f>
        <v/>
      </c>
      <c r="M3552" s="11">
        <f>G3552+H3552</f>
        <v/>
      </c>
      <c r="N3552" s="11">
        <f>Summary!$C$16*Summary!$B$8</f>
        <v/>
      </c>
      <c r="O3552" s="11">
        <f>M3552-N3552</f>
        <v/>
      </c>
    </row>
    <row r="3553">
      <c r="A3553" s="9" t="n">
        <v>45439.95833333334</v>
      </c>
      <c r="B3553" t="n">
        <v>5</v>
      </c>
      <c r="C3553" t="n">
        <v>27</v>
      </c>
      <c r="D3553" t="n">
        <v>23</v>
      </c>
      <c r="E3553" s="10" t="n">
        <v>0</v>
      </c>
      <c r="F3553" s="10" t="n">
        <v>0.3218107012345683</v>
      </c>
      <c r="G3553" s="11">
        <f>E3553*Summary!$B$6</f>
        <v/>
      </c>
      <c r="H3553" s="11">
        <f>F3553*Summary!$B$7</f>
        <v/>
      </c>
      <c r="I3553" s="11">
        <f>MAX(0,N3553-M3553)</f>
        <v/>
      </c>
      <c r="J3553" s="11">
        <f>MAX(0,M3553-N3553)</f>
        <v/>
      </c>
      <c r="K3553" s="11">
        <f>O3553</f>
        <v/>
      </c>
      <c r="L3553" s="11">
        <f>L3552+IF(K3553&gt;0,K3553*Summary!$B$9,K3553/Summary!$B$9)</f>
        <v/>
      </c>
      <c r="M3553" s="11">
        <f>G3553+H3553</f>
        <v/>
      </c>
      <c r="N3553" s="11">
        <f>Summary!$C$16*Summary!$B$8</f>
        <v/>
      </c>
      <c r="O3553" s="11">
        <f>M3553-N3553</f>
        <v/>
      </c>
    </row>
    <row r="3554">
      <c r="A3554" s="9" t="n">
        <v>45440</v>
      </c>
      <c r="B3554" t="n">
        <v>5</v>
      </c>
      <c r="C3554" t="n">
        <v>28</v>
      </c>
      <c r="D3554" t="n">
        <v>0</v>
      </c>
      <c r="E3554" s="10" t="n">
        <v>0</v>
      </c>
      <c r="F3554" s="10" t="n">
        <v>0.2825725638174153</v>
      </c>
      <c r="G3554" s="11">
        <f>E3554*Summary!$B$6</f>
        <v/>
      </c>
      <c r="H3554" s="11">
        <f>F3554*Summary!$B$7</f>
        <v/>
      </c>
      <c r="I3554" s="11">
        <f>MAX(0,N3554-M3554)</f>
        <v/>
      </c>
      <c r="J3554" s="11">
        <f>MAX(0,M3554-N3554)</f>
        <v/>
      </c>
      <c r="K3554" s="11">
        <f>O3554</f>
        <v/>
      </c>
      <c r="L3554" s="11">
        <f>L3553+IF(K3554&gt;0,K3554*Summary!$B$9,K3554/Summary!$B$9)</f>
        <v/>
      </c>
      <c r="M3554" s="11">
        <f>G3554+H3554</f>
        <v/>
      </c>
      <c r="N3554" s="11">
        <f>Summary!$C$16*Summary!$B$8</f>
        <v/>
      </c>
      <c r="O3554" s="11">
        <f>M3554-N3554</f>
        <v/>
      </c>
    </row>
    <row r="3555">
      <c r="A3555" s="9" t="n">
        <v>45440.04166666666</v>
      </c>
      <c r="B3555" t="n">
        <v>5</v>
      </c>
      <c r="C3555" t="n">
        <v>28</v>
      </c>
      <c r="D3555" t="n">
        <v>1</v>
      </c>
      <c r="E3555" s="10" t="n">
        <v>0</v>
      </c>
      <c r="F3555" s="10" t="n">
        <v>0.3084238820217317</v>
      </c>
      <c r="G3555" s="11">
        <f>E3555*Summary!$B$6</f>
        <v/>
      </c>
      <c r="H3555" s="11">
        <f>F3555*Summary!$B$7</f>
        <v/>
      </c>
      <c r="I3555" s="11">
        <f>MAX(0,N3555-M3555)</f>
        <v/>
      </c>
      <c r="J3555" s="11">
        <f>MAX(0,M3555-N3555)</f>
        <v/>
      </c>
      <c r="K3555" s="11">
        <f>O3555</f>
        <v/>
      </c>
      <c r="L3555" s="11">
        <f>L3554+IF(K3555&gt;0,K3555*Summary!$B$9,K3555/Summary!$B$9)</f>
        <v/>
      </c>
      <c r="M3555" s="11">
        <f>G3555+H3555</f>
        <v/>
      </c>
      <c r="N3555" s="11">
        <f>Summary!$C$16*Summary!$B$8</f>
        <v/>
      </c>
      <c r="O3555" s="11">
        <f>M3555-N3555</f>
        <v/>
      </c>
    </row>
    <row r="3556">
      <c r="A3556" s="9" t="n">
        <v>45440.08333333334</v>
      </c>
      <c r="B3556" t="n">
        <v>5</v>
      </c>
      <c r="C3556" t="n">
        <v>28</v>
      </c>
      <c r="D3556" t="n">
        <v>2</v>
      </c>
      <c r="E3556" s="10" t="n">
        <v>0</v>
      </c>
      <c r="F3556" s="10" t="n">
        <v>0.2950107108025706</v>
      </c>
      <c r="G3556" s="11">
        <f>E3556*Summary!$B$6</f>
        <v/>
      </c>
      <c r="H3556" s="11">
        <f>F3556*Summary!$B$7</f>
        <v/>
      </c>
      <c r="I3556" s="11">
        <f>MAX(0,N3556-M3556)</f>
        <v/>
      </c>
      <c r="J3556" s="11">
        <f>MAX(0,M3556-N3556)</f>
        <v/>
      </c>
      <c r="K3556" s="11">
        <f>O3556</f>
        <v/>
      </c>
      <c r="L3556" s="11">
        <f>L3555+IF(K3556&gt;0,K3556*Summary!$B$9,K3556/Summary!$B$9)</f>
        <v/>
      </c>
      <c r="M3556" s="11">
        <f>G3556+H3556</f>
        <v/>
      </c>
      <c r="N3556" s="11">
        <f>Summary!$C$16*Summary!$B$8</f>
        <v/>
      </c>
      <c r="O3556" s="11">
        <f>M3556-N3556</f>
        <v/>
      </c>
    </row>
    <row r="3557">
      <c r="A3557" s="9" t="n">
        <v>45440.125</v>
      </c>
      <c r="B3557" t="n">
        <v>5</v>
      </c>
      <c r="C3557" t="n">
        <v>28</v>
      </c>
      <c r="D3557" t="n">
        <v>3</v>
      </c>
      <c r="E3557" s="10" t="n">
        <v>0</v>
      </c>
      <c r="F3557" s="10" t="n">
        <v>0.280200883248212</v>
      </c>
      <c r="G3557" s="11">
        <f>E3557*Summary!$B$6</f>
        <v/>
      </c>
      <c r="H3557" s="11">
        <f>F3557*Summary!$B$7</f>
        <v/>
      </c>
      <c r="I3557" s="11">
        <f>MAX(0,N3557-M3557)</f>
        <v/>
      </c>
      <c r="J3557" s="11">
        <f>MAX(0,M3557-N3557)</f>
        <v/>
      </c>
      <c r="K3557" s="11">
        <f>O3557</f>
        <v/>
      </c>
      <c r="L3557" s="11">
        <f>L3556+IF(K3557&gt;0,K3557*Summary!$B$9,K3557/Summary!$B$9)</f>
        <v/>
      </c>
      <c r="M3557" s="11">
        <f>G3557+H3557</f>
        <v/>
      </c>
      <c r="N3557" s="11">
        <f>Summary!$C$16*Summary!$B$8</f>
        <v/>
      </c>
      <c r="O3557" s="11">
        <f>M3557-N3557</f>
        <v/>
      </c>
    </row>
    <row r="3558">
      <c r="A3558" s="9" t="n">
        <v>45440.16666666666</v>
      </c>
      <c r="B3558" t="n">
        <v>5</v>
      </c>
      <c r="C3558" t="n">
        <v>28</v>
      </c>
      <c r="D3558" t="n">
        <v>4</v>
      </c>
      <c r="E3558" s="10" t="n">
        <v>0.032161</v>
      </c>
      <c r="F3558" s="10" t="n">
        <v>0.2580124939229985</v>
      </c>
      <c r="G3558" s="11">
        <f>E3558*Summary!$B$6</f>
        <v/>
      </c>
      <c r="H3558" s="11">
        <f>F3558*Summary!$B$7</f>
        <v/>
      </c>
      <c r="I3558" s="11">
        <f>MAX(0,N3558-M3558)</f>
        <v/>
      </c>
      <c r="J3558" s="11">
        <f>MAX(0,M3558-N3558)</f>
        <v/>
      </c>
      <c r="K3558" s="11">
        <f>O3558</f>
        <v/>
      </c>
      <c r="L3558" s="11">
        <f>L3557+IF(K3558&gt;0,K3558*Summary!$B$9,K3558/Summary!$B$9)</f>
        <v/>
      </c>
      <c r="M3558" s="11">
        <f>G3558+H3558</f>
        <v/>
      </c>
      <c r="N3558" s="11">
        <f>Summary!$C$16*Summary!$B$8</f>
        <v/>
      </c>
      <c r="O3558" s="11">
        <f>M3558-N3558</f>
        <v/>
      </c>
    </row>
    <row r="3559">
      <c r="A3559" s="9" t="n">
        <v>45440.20833333334</v>
      </c>
      <c r="B3559" t="n">
        <v>5</v>
      </c>
      <c r="C3559" t="n">
        <v>28</v>
      </c>
      <c r="D3559" t="n">
        <v>5</v>
      </c>
      <c r="E3559" s="10" t="n">
        <v>0.067485</v>
      </c>
      <c r="F3559" s="10" t="n">
        <v>0.2247035579288539</v>
      </c>
      <c r="G3559" s="11">
        <f>E3559*Summary!$B$6</f>
        <v/>
      </c>
      <c r="H3559" s="11">
        <f>F3559*Summary!$B$7</f>
        <v/>
      </c>
      <c r="I3559" s="11">
        <f>MAX(0,N3559-M3559)</f>
        <v/>
      </c>
      <c r="J3559" s="11">
        <f>MAX(0,M3559-N3559)</f>
        <v/>
      </c>
      <c r="K3559" s="11">
        <f>O3559</f>
        <v/>
      </c>
      <c r="L3559" s="11">
        <f>L3558+IF(K3559&gt;0,K3559*Summary!$B$9,K3559/Summary!$B$9)</f>
        <v/>
      </c>
      <c r="M3559" s="11">
        <f>G3559+H3559</f>
        <v/>
      </c>
      <c r="N3559" s="11">
        <f>Summary!$C$16*Summary!$B$8</f>
        <v/>
      </c>
      <c r="O3559" s="11">
        <f>M3559-N3559</f>
        <v/>
      </c>
    </row>
    <row r="3560">
      <c r="A3560" s="9" t="n">
        <v>45440.25</v>
      </c>
      <c r="B3560" t="n">
        <v>5</v>
      </c>
      <c r="C3560" t="n">
        <v>28</v>
      </c>
      <c r="D3560" t="n">
        <v>6</v>
      </c>
      <c r="E3560" s="10" t="n">
        <v>0.185464</v>
      </c>
      <c r="F3560" s="10" t="n">
        <v>0.1983515516043724</v>
      </c>
      <c r="G3560" s="11">
        <f>E3560*Summary!$B$6</f>
        <v/>
      </c>
      <c r="H3560" s="11">
        <f>F3560*Summary!$B$7</f>
        <v/>
      </c>
      <c r="I3560" s="11">
        <f>MAX(0,N3560-M3560)</f>
        <v/>
      </c>
      <c r="J3560" s="11">
        <f>MAX(0,M3560-N3560)</f>
        <v/>
      </c>
      <c r="K3560" s="11">
        <f>O3560</f>
        <v/>
      </c>
      <c r="L3560" s="11">
        <f>L3559+IF(K3560&gt;0,K3560*Summary!$B$9,K3560/Summary!$B$9)</f>
        <v/>
      </c>
      <c r="M3560" s="11">
        <f>G3560+H3560</f>
        <v/>
      </c>
      <c r="N3560" s="11">
        <f>Summary!$C$16*Summary!$B$8</f>
        <v/>
      </c>
      <c r="O3560" s="11">
        <f>M3560-N3560</f>
        <v/>
      </c>
    </row>
    <row r="3561">
      <c r="A3561" s="9" t="n">
        <v>45440.29166666666</v>
      </c>
      <c r="B3561" t="n">
        <v>5</v>
      </c>
      <c r="C3561" t="n">
        <v>28</v>
      </c>
      <c r="D3561" t="n">
        <v>7</v>
      </c>
      <c r="E3561" s="10" t="n">
        <v>0.404175</v>
      </c>
      <c r="F3561" s="10" t="n">
        <v>0.1828829238919017</v>
      </c>
      <c r="G3561" s="11">
        <f>E3561*Summary!$B$6</f>
        <v/>
      </c>
      <c r="H3561" s="11">
        <f>F3561*Summary!$B$7</f>
        <v/>
      </c>
      <c r="I3561" s="11">
        <f>MAX(0,N3561-M3561)</f>
        <v/>
      </c>
      <c r="J3561" s="11">
        <f>MAX(0,M3561-N3561)</f>
        <v/>
      </c>
      <c r="K3561" s="11">
        <f>O3561</f>
        <v/>
      </c>
      <c r="L3561" s="11">
        <f>L3560+IF(K3561&gt;0,K3561*Summary!$B$9,K3561/Summary!$B$9)</f>
        <v/>
      </c>
      <c r="M3561" s="11">
        <f>G3561+H3561</f>
        <v/>
      </c>
      <c r="N3561" s="11">
        <f>Summary!$C$16*Summary!$B$8</f>
        <v/>
      </c>
      <c r="O3561" s="11">
        <f>M3561-N3561</f>
        <v/>
      </c>
    </row>
    <row r="3562">
      <c r="A3562" s="9" t="n">
        <v>45440.33333333334</v>
      </c>
      <c r="B3562" t="n">
        <v>5</v>
      </c>
      <c r="C3562" t="n">
        <v>28</v>
      </c>
      <c r="D3562" t="n">
        <v>8</v>
      </c>
      <c r="E3562" s="10" t="n">
        <v>0.535207</v>
      </c>
      <c r="F3562" s="10" t="n">
        <v>0.1772962985511117</v>
      </c>
      <c r="G3562" s="11">
        <f>E3562*Summary!$B$6</f>
        <v/>
      </c>
      <c r="H3562" s="11">
        <f>F3562*Summary!$B$7</f>
        <v/>
      </c>
      <c r="I3562" s="11">
        <f>MAX(0,N3562-M3562)</f>
        <v/>
      </c>
      <c r="J3562" s="11">
        <f>MAX(0,M3562-N3562)</f>
        <v/>
      </c>
      <c r="K3562" s="11">
        <f>O3562</f>
        <v/>
      </c>
      <c r="L3562" s="11">
        <f>L3561+IF(K3562&gt;0,K3562*Summary!$B$9,K3562/Summary!$B$9)</f>
        <v/>
      </c>
      <c r="M3562" s="11">
        <f>G3562+H3562</f>
        <v/>
      </c>
      <c r="N3562" s="11">
        <f>Summary!$C$16*Summary!$B$8</f>
        <v/>
      </c>
      <c r="O3562" s="11">
        <f>M3562-N3562</f>
        <v/>
      </c>
    </row>
    <row r="3563">
      <c r="A3563" s="9" t="n">
        <v>45440.375</v>
      </c>
      <c r="B3563" t="n">
        <v>5</v>
      </c>
      <c r="C3563" t="n">
        <v>28</v>
      </c>
      <c r="D3563" t="n">
        <v>9</v>
      </c>
      <c r="E3563" s="10" t="n">
        <v>0.208248</v>
      </c>
      <c r="F3563" s="10" t="n">
        <v>0.1831200919488221</v>
      </c>
      <c r="G3563" s="11">
        <f>E3563*Summary!$B$6</f>
        <v/>
      </c>
      <c r="H3563" s="11">
        <f>F3563*Summary!$B$7</f>
        <v/>
      </c>
      <c r="I3563" s="11">
        <f>MAX(0,N3563-M3563)</f>
        <v/>
      </c>
      <c r="J3563" s="11">
        <f>MAX(0,M3563-N3563)</f>
        <v/>
      </c>
      <c r="K3563" s="11">
        <f>O3563</f>
        <v/>
      </c>
      <c r="L3563" s="11">
        <f>L3562+IF(K3563&gt;0,K3563*Summary!$B$9,K3563/Summary!$B$9)</f>
        <v/>
      </c>
      <c r="M3563" s="11">
        <f>G3563+H3563</f>
        <v/>
      </c>
      <c r="N3563" s="11">
        <f>Summary!$C$16*Summary!$B$8</f>
        <v/>
      </c>
      <c r="O3563" s="11">
        <f>M3563-N3563</f>
        <v/>
      </c>
    </row>
    <row r="3564">
      <c r="A3564" s="9" t="n">
        <v>45440.41666666666</v>
      </c>
      <c r="B3564" t="n">
        <v>5</v>
      </c>
      <c r="C3564" t="n">
        <v>28</v>
      </c>
      <c r="D3564" t="n">
        <v>10</v>
      </c>
      <c r="E3564" s="10" t="n">
        <v>0.160429</v>
      </c>
      <c r="F3564" s="10" t="n">
        <v>0.1881006211441491</v>
      </c>
      <c r="G3564" s="11">
        <f>E3564*Summary!$B$6</f>
        <v/>
      </c>
      <c r="H3564" s="11">
        <f>F3564*Summary!$B$7</f>
        <v/>
      </c>
      <c r="I3564" s="11">
        <f>MAX(0,N3564-M3564)</f>
        <v/>
      </c>
      <c r="J3564" s="11">
        <f>MAX(0,M3564-N3564)</f>
        <v/>
      </c>
      <c r="K3564" s="11">
        <f>O3564</f>
        <v/>
      </c>
      <c r="L3564" s="11">
        <f>L3563+IF(K3564&gt;0,K3564*Summary!$B$9,K3564/Summary!$B$9)</f>
        <v/>
      </c>
      <c r="M3564" s="11">
        <f>G3564+H3564</f>
        <v/>
      </c>
      <c r="N3564" s="11">
        <f>Summary!$C$16*Summary!$B$8</f>
        <v/>
      </c>
      <c r="O3564" s="11">
        <f>M3564-N3564</f>
        <v/>
      </c>
    </row>
    <row r="3565">
      <c r="A3565" s="9" t="n">
        <v>45440.45833333334</v>
      </c>
      <c r="B3565" t="n">
        <v>5</v>
      </c>
      <c r="C3565" t="n">
        <v>28</v>
      </c>
      <c r="D3565" t="n">
        <v>11</v>
      </c>
      <c r="E3565" s="10" t="n">
        <v>0.125905</v>
      </c>
      <c r="F3565" s="10" t="n">
        <v>0.1987468316992396</v>
      </c>
      <c r="G3565" s="11">
        <f>E3565*Summary!$B$6</f>
        <v/>
      </c>
      <c r="H3565" s="11">
        <f>F3565*Summary!$B$7</f>
        <v/>
      </c>
      <c r="I3565" s="11">
        <f>MAX(0,N3565-M3565)</f>
        <v/>
      </c>
      <c r="J3565" s="11">
        <f>MAX(0,M3565-N3565)</f>
        <v/>
      </c>
      <c r="K3565" s="11">
        <f>O3565</f>
        <v/>
      </c>
      <c r="L3565" s="11">
        <f>L3564+IF(K3565&gt;0,K3565*Summary!$B$9,K3565/Summary!$B$9)</f>
        <v/>
      </c>
      <c r="M3565" s="11">
        <f>G3565+H3565</f>
        <v/>
      </c>
      <c r="N3565" s="11">
        <f>Summary!$C$16*Summary!$B$8</f>
        <v/>
      </c>
      <c r="O3565" s="11">
        <f>M3565-N3565</f>
        <v/>
      </c>
    </row>
    <row r="3566">
      <c r="A3566" s="9" t="n">
        <v>45440.5</v>
      </c>
      <c r="B3566" t="n">
        <v>5</v>
      </c>
      <c r="C3566" t="n">
        <v>28</v>
      </c>
      <c r="D3566" t="n">
        <v>12</v>
      </c>
      <c r="E3566" s="10" t="n">
        <v>0.315916</v>
      </c>
      <c r="F3566" s="10" t="n">
        <v>0.2083389620013509</v>
      </c>
      <c r="G3566" s="11">
        <f>E3566*Summary!$B$6</f>
        <v/>
      </c>
      <c r="H3566" s="11">
        <f>F3566*Summary!$B$7</f>
        <v/>
      </c>
      <c r="I3566" s="11">
        <f>MAX(0,N3566-M3566)</f>
        <v/>
      </c>
      <c r="J3566" s="11">
        <f>MAX(0,M3566-N3566)</f>
        <v/>
      </c>
      <c r="K3566" s="11">
        <f>O3566</f>
        <v/>
      </c>
      <c r="L3566" s="11">
        <f>L3565+IF(K3566&gt;0,K3566*Summary!$B$9,K3566/Summary!$B$9)</f>
        <v/>
      </c>
      <c r="M3566" s="11">
        <f>G3566+H3566</f>
        <v/>
      </c>
      <c r="N3566" s="11">
        <f>Summary!$C$16*Summary!$B$8</f>
        <v/>
      </c>
      <c r="O3566" s="11">
        <f>M3566-N3566</f>
        <v/>
      </c>
    </row>
    <row r="3567">
      <c r="A3567" s="9" t="n">
        <v>45440.54166666666</v>
      </c>
      <c r="B3567" t="n">
        <v>5</v>
      </c>
      <c r="C3567" t="n">
        <v>28</v>
      </c>
      <c r="D3567" t="n">
        <v>13</v>
      </c>
      <c r="E3567" s="10" t="n">
        <v>0.754058</v>
      </c>
      <c r="F3567" s="10" t="n">
        <v>0.2092876342290322</v>
      </c>
      <c r="G3567" s="11">
        <f>E3567*Summary!$B$6</f>
        <v/>
      </c>
      <c r="H3567" s="11">
        <f>F3567*Summary!$B$7</f>
        <v/>
      </c>
      <c r="I3567" s="11">
        <f>MAX(0,N3567-M3567)</f>
        <v/>
      </c>
      <c r="J3567" s="11">
        <f>MAX(0,M3567-N3567)</f>
        <v/>
      </c>
      <c r="K3567" s="11">
        <f>O3567</f>
        <v/>
      </c>
      <c r="L3567" s="11">
        <f>L3566+IF(K3567&gt;0,K3567*Summary!$B$9,K3567/Summary!$B$9)</f>
        <v/>
      </c>
      <c r="M3567" s="11">
        <f>G3567+H3567</f>
        <v/>
      </c>
      <c r="N3567" s="11">
        <f>Summary!$C$16*Summary!$B$8</f>
        <v/>
      </c>
      <c r="O3567" s="11">
        <f>M3567-N3567</f>
        <v/>
      </c>
    </row>
    <row r="3568">
      <c r="A3568" s="9" t="n">
        <v>45440.58333333334</v>
      </c>
      <c r="B3568" t="n">
        <v>5</v>
      </c>
      <c r="C3568" t="n">
        <v>28</v>
      </c>
      <c r="D3568" t="n">
        <v>14</v>
      </c>
      <c r="E3568" s="10" t="n">
        <v>0.742805</v>
      </c>
      <c r="F3568" s="10" t="n">
        <v>0.2120018908804538</v>
      </c>
      <c r="G3568" s="11">
        <f>E3568*Summary!$B$6</f>
        <v/>
      </c>
      <c r="H3568" s="11">
        <f>F3568*Summary!$B$7</f>
        <v/>
      </c>
      <c r="I3568" s="11">
        <f>MAX(0,N3568-M3568)</f>
        <v/>
      </c>
      <c r="J3568" s="11">
        <f>MAX(0,M3568-N3568)</f>
        <v/>
      </c>
      <c r="K3568" s="11">
        <f>O3568</f>
        <v/>
      </c>
      <c r="L3568" s="11">
        <f>L3567+IF(K3568&gt;0,K3568*Summary!$B$9,K3568/Summary!$B$9)</f>
        <v/>
      </c>
      <c r="M3568" s="11">
        <f>G3568+H3568</f>
        <v/>
      </c>
      <c r="N3568" s="11">
        <f>Summary!$C$16*Summary!$B$8</f>
        <v/>
      </c>
      <c r="O3568" s="11">
        <f>M3568-N3568</f>
        <v/>
      </c>
    </row>
    <row r="3569">
      <c r="A3569" s="9" t="n">
        <v>45440.625</v>
      </c>
      <c r="B3569" t="n">
        <v>5</v>
      </c>
      <c r="C3569" t="n">
        <v>28</v>
      </c>
      <c r="D3569" t="n">
        <v>15</v>
      </c>
      <c r="E3569" s="10" t="n">
        <v>0.5536180000000001</v>
      </c>
      <c r="F3569" s="10" t="n">
        <v>0.2158756358101526</v>
      </c>
      <c r="G3569" s="11">
        <f>E3569*Summary!$B$6</f>
        <v/>
      </c>
      <c r="H3569" s="11">
        <f>F3569*Summary!$B$7</f>
        <v/>
      </c>
      <c r="I3569" s="11">
        <f>MAX(0,N3569-M3569)</f>
        <v/>
      </c>
      <c r="J3569" s="11">
        <f>MAX(0,M3569-N3569)</f>
        <v/>
      </c>
      <c r="K3569" s="11">
        <f>O3569</f>
        <v/>
      </c>
      <c r="L3569" s="11">
        <f>L3568+IF(K3569&gt;0,K3569*Summary!$B$9,K3569/Summary!$B$9)</f>
        <v/>
      </c>
      <c r="M3569" s="11">
        <f>G3569+H3569</f>
        <v/>
      </c>
      <c r="N3569" s="11">
        <f>Summary!$C$16*Summary!$B$8</f>
        <v/>
      </c>
      <c r="O3569" s="11">
        <f>M3569-N3569</f>
        <v/>
      </c>
    </row>
    <row r="3570">
      <c r="A3570" s="9" t="n">
        <v>45440.66666666666</v>
      </c>
      <c r="B3570" t="n">
        <v>5</v>
      </c>
      <c r="C3570" t="n">
        <v>28</v>
      </c>
      <c r="D3570" t="n">
        <v>16</v>
      </c>
      <c r="E3570" s="10" t="n">
        <v>0.185626</v>
      </c>
      <c r="F3570" s="10" t="n">
        <v>0.2195122126829311</v>
      </c>
      <c r="G3570" s="11">
        <f>E3570*Summary!$B$6</f>
        <v/>
      </c>
      <c r="H3570" s="11">
        <f>F3570*Summary!$B$7</f>
        <v/>
      </c>
      <c r="I3570" s="11">
        <f>MAX(0,N3570-M3570)</f>
        <v/>
      </c>
      <c r="J3570" s="11">
        <f>MAX(0,M3570-N3570)</f>
        <v/>
      </c>
      <c r="K3570" s="11">
        <f>O3570</f>
        <v/>
      </c>
      <c r="L3570" s="11">
        <f>L3569+IF(K3570&gt;0,K3570*Summary!$B$9,K3570/Summary!$B$9)</f>
        <v/>
      </c>
      <c r="M3570" s="11">
        <f>G3570+H3570</f>
        <v/>
      </c>
      <c r="N3570" s="11">
        <f>Summary!$C$16*Summary!$B$8</f>
        <v/>
      </c>
      <c r="O3570" s="11">
        <f>M3570-N3570</f>
        <v/>
      </c>
    </row>
    <row r="3571">
      <c r="A3571" s="9" t="n">
        <v>45440.70833333334</v>
      </c>
      <c r="B3571" t="n">
        <v>5</v>
      </c>
      <c r="C3571" t="n">
        <v>28</v>
      </c>
      <c r="D3571" t="n">
        <v>17</v>
      </c>
      <c r="E3571" s="10" t="n">
        <v>0.121218</v>
      </c>
      <c r="F3571" s="10" t="n">
        <v>0.2133194911966779</v>
      </c>
      <c r="G3571" s="11">
        <f>E3571*Summary!$B$6</f>
        <v/>
      </c>
      <c r="H3571" s="11">
        <f>F3571*Summary!$B$7</f>
        <v/>
      </c>
      <c r="I3571" s="11">
        <f>MAX(0,N3571-M3571)</f>
        <v/>
      </c>
      <c r="J3571" s="11">
        <f>MAX(0,M3571-N3571)</f>
        <v/>
      </c>
      <c r="K3571" s="11">
        <f>O3571</f>
        <v/>
      </c>
      <c r="L3571" s="11">
        <f>L3570+IF(K3571&gt;0,K3571*Summary!$B$9,K3571/Summary!$B$9)</f>
        <v/>
      </c>
      <c r="M3571" s="11">
        <f>G3571+H3571</f>
        <v/>
      </c>
      <c r="N3571" s="11">
        <f>Summary!$C$16*Summary!$B$8</f>
        <v/>
      </c>
      <c r="O3571" s="11">
        <f>M3571-N3571</f>
        <v/>
      </c>
    </row>
    <row r="3572">
      <c r="A3572" s="9" t="n">
        <v>45440.75</v>
      </c>
      <c r="B3572" t="n">
        <v>5</v>
      </c>
      <c r="C3572" t="n">
        <v>28</v>
      </c>
      <c r="D3572" t="n">
        <v>18</v>
      </c>
      <c r="E3572" s="10" t="n">
        <v>0.08708299999999999</v>
      </c>
      <c r="F3572" s="10" t="n">
        <v>0.2067841936282065</v>
      </c>
      <c r="G3572" s="11">
        <f>E3572*Summary!$B$6</f>
        <v/>
      </c>
      <c r="H3572" s="11">
        <f>F3572*Summary!$B$7</f>
        <v/>
      </c>
      <c r="I3572" s="11">
        <f>MAX(0,N3572-M3572)</f>
        <v/>
      </c>
      <c r="J3572" s="11">
        <f>MAX(0,M3572-N3572)</f>
        <v/>
      </c>
      <c r="K3572" s="11">
        <f>O3572</f>
        <v/>
      </c>
      <c r="L3572" s="11">
        <f>L3571+IF(K3572&gt;0,K3572*Summary!$B$9,K3572/Summary!$B$9)</f>
        <v/>
      </c>
      <c r="M3572" s="11">
        <f>G3572+H3572</f>
        <v/>
      </c>
      <c r="N3572" s="11">
        <f>Summary!$C$16*Summary!$B$8</f>
        <v/>
      </c>
      <c r="O3572" s="11">
        <f>M3572-N3572</f>
        <v/>
      </c>
    </row>
    <row r="3573">
      <c r="A3573" s="9" t="n">
        <v>45440.79166666666</v>
      </c>
      <c r="B3573" t="n">
        <v>5</v>
      </c>
      <c r="C3573" t="n">
        <v>28</v>
      </c>
      <c r="D3573" t="n">
        <v>19</v>
      </c>
      <c r="E3573" s="10" t="n">
        <v>0.02672</v>
      </c>
      <c r="F3573" s="10" t="n">
        <v>0.213872883329492</v>
      </c>
      <c r="G3573" s="11">
        <f>E3573*Summary!$B$6</f>
        <v/>
      </c>
      <c r="H3573" s="11">
        <f>F3573*Summary!$B$7</f>
        <v/>
      </c>
      <c r="I3573" s="11">
        <f>MAX(0,N3573-M3573)</f>
        <v/>
      </c>
      <c r="J3573" s="11">
        <f>MAX(0,M3573-N3573)</f>
        <v/>
      </c>
      <c r="K3573" s="11">
        <f>O3573</f>
        <v/>
      </c>
      <c r="L3573" s="11">
        <f>L3572+IF(K3573&gt;0,K3573*Summary!$B$9,K3573/Summary!$B$9)</f>
        <v/>
      </c>
      <c r="M3573" s="11">
        <f>G3573+H3573</f>
        <v/>
      </c>
      <c r="N3573" s="11">
        <f>Summary!$C$16*Summary!$B$8</f>
        <v/>
      </c>
      <c r="O3573" s="11">
        <f>M3573-N3573</f>
        <v/>
      </c>
    </row>
    <row r="3574">
      <c r="A3574" s="9" t="n">
        <v>45440.83333333334</v>
      </c>
      <c r="B3574" t="n">
        <v>5</v>
      </c>
      <c r="C3574" t="n">
        <v>28</v>
      </c>
      <c r="D3574" t="n">
        <v>20</v>
      </c>
      <c r="E3574" s="10" t="n">
        <v>0</v>
      </c>
      <c r="F3574" s="10" t="n">
        <v>0.2276549826371958</v>
      </c>
      <c r="G3574" s="11">
        <f>E3574*Summary!$B$6</f>
        <v/>
      </c>
      <c r="H3574" s="11">
        <f>F3574*Summary!$B$7</f>
        <v/>
      </c>
      <c r="I3574" s="11">
        <f>MAX(0,N3574-M3574)</f>
        <v/>
      </c>
      <c r="J3574" s="11">
        <f>MAX(0,M3574-N3574)</f>
        <v/>
      </c>
      <c r="K3574" s="11">
        <f>O3574</f>
        <v/>
      </c>
      <c r="L3574" s="11">
        <f>L3573+IF(K3574&gt;0,K3574*Summary!$B$9,K3574/Summary!$B$9)</f>
        <v/>
      </c>
      <c r="M3574" s="11">
        <f>G3574+H3574</f>
        <v/>
      </c>
      <c r="N3574" s="11">
        <f>Summary!$C$16*Summary!$B$8</f>
        <v/>
      </c>
      <c r="O3574" s="11">
        <f>M3574-N3574</f>
        <v/>
      </c>
    </row>
    <row r="3575">
      <c r="A3575" s="9" t="n">
        <v>45440.875</v>
      </c>
      <c r="B3575" t="n">
        <v>5</v>
      </c>
      <c r="C3575" t="n">
        <v>28</v>
      </c>
      <c r="D3575" t="n">
        <v>21</v>
      </c>
      <c r="E3575" s="10" t="n">
        <v>0</v>
      </c>
      <c r="F3575" s="10" t="n">
        <v>0.2479196755007221</v>
      </c>
      <c r="G3575" s="11">
        <f>E3575*Summary!$B$6</f>
        <v/>
      </c>
      <c r="H3575" s="11">
        <f>F3575*Summary!$B$7</f>
        <v/>
      </c>
      <c r="I3575" s="11">
        <f>MAX(0,N3575-M3575)</f>
        <v/>
      </c>
      <c r="J3575" s="11">
        <f>MAX(0,M3575-N3575)</f>
        <v/>
      </c>
      <c r="K3575" s="11">
        <f>O3575</f>
        <v/>
      </c>
      <c r="L3575" s="11">
        <f>L3574+IF(K3575&gt;0,K3575*Summary!$B$9,K3575/Summary!$B$9)</f>
        <v/>
      </c>
      <c r="M3575" s="11">
        <f>G3575+H3575</f>
        <v/>
      </c>
      <c r="N3575" s="11">
        <f>Summary!$C$16*Summary!$B$8</f>
        <v/>
      </c>
      <c r="O3575" s="11">
        <f>M3575-N3575</f>
        <v/>
      </c>
    </row>
    <row r="3576">
      <c r="A3576" s="9" t="n">
        <v>45440.91666666666</v>
      </c>
      <c r="B3576" t="n">
        <v>5</v>
      </c>
      <c r="C3576" t="n">
        <v>28</v>
      </c>
      <c r="D3576" t="n">
        <v>22</v>
      </c>
      <c r="E3576" s="10" t="n">
        <v>0</v>
      </c>
      <c r="F3576" s="10" t="n">
        <v>0.2588821101317064</v>
      </c>
      <c r="G3576" s="11">
        <f>E3576*Summary!$B$6</f>
        <v/>
      </c>
      <c r="H3576" s="11">
        <f>F3576*Summary!$B$7</f>
        <v/>
      </c>
      <c r="I3576" s="11">
        <f>MAX(0,N3576-M3576)</f>
        <v/>
      </c>
      <c r="J3576" s="11">
        <f>MAX(0,M3576-N3576)</f>
        <v/>
      </c>
      <c r="K3576" s="11">
        <f>O3576</f>
        <v/>
      </c>
      <c r="L3576" s="11">
        <f>L3575+IF(K3576&gt;0,K3576*Summary!$B$9,K3576/Summary!$B$9)</f>
        <v/>
      </c>
      <c r="M3576" s="11">
        <f>G3576+H3576</f>
        <v/>
      </c>
      <c r="N3576" s="11">
        <f>Summary!$C$16*Summary!$B$8</f>
        <v/>
      </c>
      <c r="O3576" s="11">
        <f>M3576-N3576</f>
        <v/>
      </c>
    </row>
    <row r="3577">
      <c r="A3577" s="9" t="n">
        <v>45440.95833333334</v>
      </c>
      <c r="B3577" t="n">
        <v>5</v>
      </c>
      <c r="C3577" t="n">
        <v>28</v>
      </c>
      <c r="D3577" t="n">
        <v>23</v>
      </c>
      <c r="E3577" s="10" t="n">
        <v>0</v>
      </c>
      <c r="F3577" s="10" t="n">
        <v>0.2739027537366609</v>
      </c>
      <c r="G3577" s="11">
        <f>E3577*Summary!$B$6</f>
        <v/>
      </c>
      <c r="H3577" s="11">
        <f>F3577*Summary!$B$7</f>
        <v/>
      </c>
      <c r="I3577" s="11">
        <f>MAX(0,N3577-M3577)</f>
        <v/>
      </c>
      <c r="J3577" s="11">
        <f>MAX(0,M3577-N3577)</f>
        <v/>
      </c>
      <c r="K3577" s="11">
        <f>O3577</f>
        <v/>
      </c>
      <c r="L3577" s="11">
        <f>L3576+IF(K3577&gt;0,K3577*Summary!$B$9,K3577/Summary!$B$9)</f>
        <v/>
      </c>
      <c r="M3577" s="11">
        <f>G3577+H3577</f>
        <v/>
      </c>
      <c r="N3577" s="11">
        <f>Summary!$C$16*Summary!$B$8</f>
        <v/>
      </c>
      <c r="O3577" s="11">
        <f>M3577-N3577</f>
        <v/>
      </c>
    </row>
    <row r="3578">
      <c r="A3578" s="9" t="n">
        <v>45441</v>
      </c>
      <c r="B3578" t="n">
        <v>5</v>
      </c>
      <c r="C3578" t="n">
        <v>29</v>
      </c>
      <c r="D3578" t="n">
        <v>0</v>
      </c>
      <c r="E3578" s="10" t="n">
        <v>0</v>
      </c>
      <c r="F3578" s="10" t="n">
        <v>0.2366673688001685</v>
      </c>
      <c r="G3578" s="11">
        <f>E3578*Summary!$B$6</f>
        <v/>
      </c>
      <c r="H3578" s="11">
        <f>F3578*Summary!$B$7</f>
        <v/>
      </c>
      <c r="I3578" s="11">
        <f>MAX(0,N3578-M3578)</f>
        <v/>
      </c>
      <c r="J3578" s="11">
        <f>MAX(0,M3578-N3578)</f>
        <v/>
      </c>
      <c r="K3578" s="11">
        <f>O3578</f>
        <v/>
      </c>
      <c r="L3578" s="11">
        <f>L3577+IF(K3578&gt;0,K3578*Summary!$B$9,K3578/Summary!$B$9)</f>
        <v/>
      </c>
      <c r="M3578" s="11">
        <f>G3578+H3578</f>
        <v/>
      </c>
      <c r="N3578" s="11">
        <f>Summary!$C$16*Summary!$B$8</f>
        <v/>
      </c>
      <c r="O3578" s="11">
        <f>M3578-N3578</f>
        <v/>
      </c>
    </row>
    <row r="3579">
      <c r="A3579" s="9" t="n">
        <v>45441.04166666666</v>
      </c>
      <c r="B3579" t="n">
        <v>5</v>
      </c>
      <c r="C3579" t="n">
        <v>29</v>
      </c>
      <c r="D3579" t="n">
        <v>1</v>
      </c>
      <c r="E3579" s="10" t="n">
        <v>0</v>
      </c>
      <c r="F3579" s="10" t="n">
        <v>0.2916113019867125</v>
      </c>
      <c r="G3579" s="11">
        <f>E3579*Summary!$B$6</f>
        <v/>
      </c>
      <c r="H3579" s="11">
        <f>F3579*Summary!$B$7</f>
        <v/>
      </c>
      <c r="I3579" s="11">
        <f>MAX(0,N3579-M3579)</f>
        <v/>
      </c>
      <c r="J3579" s="11">
        <f>MAX(0,M3579-N3579)</f>
        <v/>
      </c>
      <c r="K3579" s="11">
        <f>O3579</f>
        <v/>
      </c>
      <c r="L3579" s="11">
        <f>L3578+IF(K3579&gt;0,K3579*Summary!$B$9,K3579/Summary!$B$9)</f>
        <v/>
      </c>
      <c r="M3579" s="11">
        <f>G3579+H3579</f>
        <v/>
      </c>
      <c r="N3579" s="11">
        <f>Summary!$C$16*Summary!$B$8</f>
        <v/>
      </c>
      <c r="O3579" s="11">
        <f>M3579-N3579</f>
        <v/>
      </c>
    </row>
    <row r="3580">
      <c r="A3580" s="9" t="n">
        <v>45441.08333333334</v>
      </c>
      <c r="B3580" t="n">
        <v>5</v>
      </c>
      <c r="C3580" t="n">
        <v>29</v>
      </c>
      <c r="D3580" t="n">
        <v>2</v>
      </c>
      <c r="E3580" s="10" t="n">
        <v>0</v>
      </c>
      <c r="F3580" s="10" t="n">
        <v>0.2593827982518716</v>
      </c>
      <c r="G3580" s="11">
        <f>E3580*Summary!$B$6</f>
        <v/>
      </c>
      <c r="H3580" s="11">
        <f>F3580*Summary!$B$7</f>
        <v/>
      </c>
      <c r="I3580" s="11">
        <f>MAX(0,N3580-M3580)</f>
        <v/>
      </c>
      <c r="J3580" s="11">
        <f>MAX(0,M3580-N3580)</f>
        <v/>
      </c>
      <c r="K3580" s="11">
        <f>O3580</f>
        <v/>
      </c>
      <c r="L3580" s="11">
        <f>L3579+IF(K3580&gt;0,K3580*Summary!$B$9,K3580/Summary!$B$9)</f>
        <v/>
      </c>
      <c r="M3580" s="11">
        <f>G3580+H3580</f>
        <v/>
      </c>
      <c r="N3580" s="11">
        <f>Summary!$C$16*Summary!$B$8</f>
        <v/>
      </c>
      <c r="O3580" s="11">
        <f>M3580-N3580</f>
        <v/>
      </c>
    </row>
    <row r="3581">
      <c r="A3581" s="9" t="n">
        <v>45441.125</v>
      </c>
      <c r="B3581" t="n">
        <v>5</v>
      </c>
      <c r="C3581" t="n">
        <v>29</v>
      </c>
      <c r="D3581" t="n">
        <v>3</v>
      </c>
      <c r="E3581" s="10" t="n">
        <v>0</v>
      </c>
      <c r="F3581" s="10" t="n">
        <v>0.2467338352161204</v>
      </c>
      <c r="G3581" s="11">
        <f>E3581*Summary!$B$6</f>
        <v/>
      </c>
      <c r="H3581" s="11">
        <f>F3581*Summary!$B$7</f>
        <v/>
      </c>
      <c r="I3581" s="11">
        <f>MAX(0,N3581-M3581)</f>
        <v/>
      </c>
      <c r="J3581" s="11">
        <f>MAX(0,M3581-N3581)</f>
        <v/>
      </c>
      <c r="K3581" s="11">
        <f>O3581</f>
        <v/>
      </c>
      <c r="L3581" s="11">
        <f>L3580+IF(K3581&gt;0,K3581*Summary!$B$9,K3581/Summary!$B$9)</f>
        <v/>
      </c>
      <c r="M3581" s="11">
        <f>G3581+H3581</f>
        <v/>
      </c>
      <c r="N3581" s="11">
        <f>Summary!$C$16*Summary!$B$8</f>
        <v/>
      </c>
      <c r="O3581" s="11">
        <f>M3581-N3581</f>
        <v/>
      </c>
    </row>
    <row r="3582">
      <c r="A3582" s="9" t="n">
        <v>45441.16666666666</v>
      </c>
      <c r="B3582" t="n">
        <v>5</v>
      </c>
      <c r="C3582" t="n">
        <v>29</v>
      </c>
      <c r="D3582" t="n">
        <v>4</v>
      </c>
      <c r="E3582" s="10" t="n">
        <v>0.003683</v>
      </c>
      <c r="F3582" s="10" t="n">
        <v>0.2237548857011726</v>
      </c>
      <c r="G3582" s="11">
        <f>E3582*Summary!$B$6</f>
        <v/>
      </c>
      <c r="H3582" s="11">
        <f>F3582*Summary!$B$7</f>
        <v/>
      </c>
      <c r="I3582" s="11">
        <f>MAX(0,N3582-M3582)</f>
        <v/>
      </c>
      <c r="J3582" s="11">
        <f>MAX(0,M3582-N3582)</f>
        <v/>
      </c>
      <c r="K3582" s="11">
        <f>O3582</f>
        <v/>
      </c>
      <c r="L3582" s="11">
        <f>L3581+IF(K3582&gt;0,K3582*Summary!$B$9,K3582/Summary!$B$9)</f>
        <v/>
      </c>
      <c r="M3582" s="11">
        <f>G3582+H3582</f>
        <v/>
      </c>
      <c r="N3582" s="11">
        <f>Summary!$C$16*Summary!$B$8</f>
        <v/>
      </c>
      <c r="O3582" s="11">
        <f>M3582-N3582</f>
        <v/>
      </c>
    </row>
    <row r="3583">
      <c r="A3583" s="9" t="n">
        <v>45441.20833333334</v>
      </c>
      <c r="B3583" t="n">
        <v>5</v>
      </c>
      <c r="C3583" t="n">
        <v>29</v>
      </c>
      <c r="D3583" t="n">
        <v>5</v>
      </c>
      <c r="E3583" s="10" t="n">
        <v>0.009511</v>
      </c>
      <c r="F3583" s="10" t="n">
        <v>0.1926858702446089</v>
      </c>
      <c r="G3583" s="11">
        <f>E3583*Summary!$B$6</f>
        <v/>
      </c>
      <c r="H3583" s="11">
        <f>F3583*Summary!$B$7</f>
        <v/>
      </c>
      <c r="I3583" s="11">
        <f>MAX(0,N3583-M3583)</f>
        <v/>
      </c>
      <c r="J3583" s="11">
        <f>MAX(0,M3583-N3583)</f>
        <v/>
      </c>
      <c r="K3583" s="11">
        <f>O3583</f>
        <v/>
      </c>
      <c r="L3583" s="11">
        <f>L3582+IF(K3583&gt;0,K3583*Summary!$B$9,K3583/Summary!$B$9)</f>
        <v/>
      </c>
      <c r="M3583" s="11">
        <f>G3583+H3583</f>
        <v/>
      </c>
      <c r="N3583" s="11">
        <f>Summary!$C$16*Summary!$B$8</f>
        <v/>
      </c>
      <c r="O3583" s="11">
        <f>M3583-N3583</f>
        <v/>
      </c>
    </row>
    <row r="3584">
      <c r="A3584" s="9" t="n">
        <v>45441.25</v>
      </c>
      <c r="B3584" t="n">
        <v>5</v>
      </c>
      <c r="C3584" t="n">
        <v>29</v>
      </c>
      <c r="D3584" t="n">
        <v>6</v>
      </c>
      <c r="E3584" s="10" t="n">
        <v>0.039846</v>
      </c>
      <c r="F3584" s="10" t="n">
        <v>0.1634878472370833</v>
      </c>
      <c r="G3584" s="11">
        <f>E3584*Summary!$B$6</f>
        <v/>
      </c>
      <c r="H3584" s="11">
        <f>F3584*Summary!$B$7</f>
        <v/>
      </c>
      <c r="I3584" s="11">
        <f>MAX(0,N3584-M3584)</f>
        <v/>
      </c>
      <c r="J3584" s="11">
        <f>MAX(0,M3584-N3584)</f>
        <v/>
      </c>
      <c r="K3584" s="11">
        <f>O3584</f>
        <v/>
      </c>
      <c r="L3584" s="11">
        <f>L3583+IF(K3584&gt;0,K3584*Summary!$B$9,K3584/Summary!$B$9)</f>
        <v/>
      </c>
      <c r="M3584" s="11">
        <f>G3584+H3584</f>
        <v/>
      </c>
      <c r="N3584" s="11">
        <f>Summary!$C$16*Summary!$B$8</f>
        <v/>
      </c>
      <c r="O3584" s="11">
        <f>M3584-N3584</f>
        <v/>
      </c>
    </row>
    <row r="3585">
      <c r="A3585" s="9" t="n">
        <v>45441.29166666666</v>
      </c>
      <c r="B3585" t="n">
        <v>5</v>
      </c>
      <c r="C3585" t="n">
        <v>29</v>
      </c>
      <c r="D3585" t="n">
        <v>7</v>
      </c>
      <c r="E3585" s="10" t="n">
        <v>0.070774</v>
      </c>
      <c r="F3585" s="10" t="n">
        <v>0.1472550113412027</v>
      </c>
      <c r="G3585" s="11">
        <f>E3585*Summary!$B$6</f>
        <v/>
      </c>
      <c r="H3585" s="11">
        <f>F3585*Summary!$B$7</f>
        <v/>
      </c>
      <c r="I3585" s="11">
        <f>MAX(0,N3585-M3585)</f>
        <v/>
      </c>
      <c r="J3585" s="11">
        <f>MAX(0,M3585-N3585)</f>
        <v/>
      </c>
      <c r="K3585" s="11">
        <f>O3585</f>
        <v/>
      </c>
      <c r="L3585" s="11">
        <f>L3584+IF(K3585&gt;0,K3585*Summary!$B$9,K3585/Summary!$B$9)</f>
        <v/>
      </c>
      <c r="M3585" s="11">
        <f>G3585+H3585</f>
        <v/>
      </c>
      <c r="N3585" s="11">
        <f>Summary!$C$16*Summary!$B$8</f>
        <v/>
      </c>
      <c r="O3585" s="11">
        <f>M3585-N3585</f>
        <v/>
      </c>
    </row>
    <row r="3586">
      <c r="A3586" s="9" t="n">
        <v>45441.33333333334</v>
      </c>
      <c r="B3586" t="n">
        <v>5</v>
      </c>
      <c r="C3586" t="n">
        <v>29</v>
      </c>
      <c r="D3586" t="n">
        <v>8</v>
      </c>
      <c r="E3586" s="10" t="n">
        <v>0.107225</v>
      </c>
      <c r="F3586" s="10" t="n">
        <v>0.1374520649884956</v>
      </c>
      <c r="G3586" s="11">
        <f>E3586*Summary!$B$6</f>
        <v/>
      </c>
      <c r="H3586" s="11">
        <f>F3586*Summary!$B$7</f>
        <v/>
      </c>
      <c r="I3586" s="11">
        <f>MAX(0,N3586-M3586)</f>
        <v/>
      </c>
      <c r="J3586" s="11">
        <f>MAX(0,M3586-N3586)</f>
        <v/>
      </c>
      <c r="K3586" s="11">
        <f>O3586</f>
        <v/>
      </c>
      <c r="L3586" s="11">
        <f>L3585+IF(K3586&gt;0,K3586*Summary!$B$9,K3586/Summary!$B$9)</f>
        <v/>
      </c>
      <c r="M3586" s="11">
        <f>G3586+H3586</f>
        <v/>
      </c>
      <c r="N3586" s="11">
        <f>Summary!$C$16*Summary!$B$8</f>
        <v/>
      </c>
      <c r="O3586" s="11">
        <f>M3586-N3586</f>
        <v/>
      </c>
    </row>
    <row r="3587">
      <c r="A3587" s="9" t="n">
        <v>45441.375</v>
      </c>
      <c r="B3587" t="n">
        <v>5</v>
      </c>
      <c r="C3587" t="n">
        <v>29</v>
      </c>
      <c r="D3587" t="n">
        <v>9</v>
      </c>
      <c r="E3587" s="10" t="n">
        <v>0.16783</v>
      </c>
      <c r="F3587" s="10" t="n">
        <v>0.1396392815134276</v>
      </c>
      <c r="G3587" s="11">
        <f>E3587*Summary!$B$6</f>
        <v/>
      </c>
      <c r="H3587" s="11">
        <f>F3587*Summary!$B$7</f>
        <v/>
      </c>
      <c r="I3587" s="11">
        <f>MAX(0,N3587-M3587)</f>
        <v/>
      </c>
      <c r="J3587" s="11">
        <f>MAX(0,M3587-N3587)</f>
        <v/>
      </c>
      <c r="K3587" s="11">
        <f>O3587</f>
        <v/>
      </c>
      <c r="L3587" s="11">
        <f>L3586+IF(K3587&gt;0,K3587*Summary!$B$9,K3587/Summary!$B$9)</f>
        <v/>
      </c>
      <c r="M3587" s="11">
        <f>G3587+H3587</f>
        <v/>
      </c>
      <c r="N3587" s="11">
        <f>Summary!$C$16*Summary!$B$8</f>
        <v/>
      </c>
      <c r="O3587" s="11">
        <f>M3587-N3587</f>
        <v/>
      </c>
    </row>
    <row r="3588">
      <c r="A3588" s="9" t="n">
        <v>45441.41666666666</v>
      </c>
      <c r="B3588" t="n">
        <v>5</v>
      </c>
      <c r="C3588" t="n">
        <v>29</v>
      </c>
      <c r="D3588" t="n">
        <v>10</v>
      </c>
      <c r="E3588" s="10" t="n">
        <v>0.173016</v>
      </c>
      <c r="F3588" s="10" t="n">
        <v>0.1427751702660409</v>
      </c>
      <c r="G3588" s="11">
        <f>E3588*Summary!$B$6</f>
        <v/>
      </c>
      <c r="H3588" s="11">
        <f>F3588*Summary!$B$7</f>
        <v/>
      </c>
      <c r="I3588" s="11">
        <f>MAX(0,N3588-M3588)</f>
        <v/>
      </c>
      <c r="J3588" s="11">
        <f>MAX(0,M3588-N3588)</f>
        <v/>
      </c>
      <c r="K3588" s="11">
        <f>O3588</f>
        <v/>
      </c>
      <c r="L3588" s="11">
        <f>L3587+IF(K3588&gt;0,K3588*Summary!$B$9,K3588/Summary!$B$9)</f>
        <v/>
      </c>
      <c r="M3588" s="11">
        <f>G3588+H3588</f>
        <v/>
      </c>
      <c r="N3588" s="11">
        <f>Summary!$C$16*Summary!$B$8</f>
        <v/>
      </c>
      <c r="O3588" s="11">
        <f>M3588-N3588</f>
        <v/>
      </c>
    </row>
    <row r="3589">
      <c r="A3589" s="9" t="n">
        <v>45441.45833333334</v>
      </c>
      <c r="B3589" t="n">
        <v>5</v>
      </c>
      <c r="C3589" t="n">
        <v>29</v>
      </c>
      <c r="D3589" t="n">
        <v>11</v>
      </c>
      <c r="E3589" s="10" t="n">
        <v>0.1579</v>
      </c>
      <c r="F3589" s="10" t="n">
        <v>0.1258308301993993</v>
      </c>
      <c r="G3589" s="11">
        <f>E3589*Summary!$B$6</f>
        <v/>
      </c>
      <c r="H3589" s="11">
        <f>F3589*Summary!$B$7</f>
        <v/>
      </c>
      <c r="I3589" s="11">
        <f>MAX(0,N3589-M3589)</f>
        <v/>
      </c>
      <c r="J3589" s="11">
        <f>MAX(0,M3589-N3589)</f>
        <v/>
      </c>
      <c r="K3589" s="11">
        <f>O3589</f>
        <v/>
      </c>
      <c r="L3589" s="11">
        <f>L3588+IF(K3589&gt;0,K3589*Summary!$B$9,K3589/Summary!$B$9)</f>
        <v/>
      </c>
      <c r="M3589" s="11">
        <f>G3589+H3589</f>
        <v/>
      </c>
      <c r="N3589" s="11">
        <f>Summary!$C$16*Summary!$B$8</f>
        <v/>
      </c>
      <c r="O3589" s="11">
        <f>M3589-N3589</f>
        <v/>
      </c>
    </row>
    <row r="3590">
      <c r="A3590" s="9" t="n">
        <v>45441.5</v>
      </c>
      <c r="B3590" t="n">
        <v>5</v>
      </c>
      <c r="C3590" t="n">
        <v>29</v>
      </c>
      <c r="D3590" t="n">
        <v>12</v>
      </c>
      <c r="E3590" s="10" t="n">
        <v>0.174524</v>
      </c>
      <c r="F3590" s="10" t="n">
        <v>0.1636459592750302</v>
      </c>
      <c r="G3590" s="11">
        <f>E3590*Summary!$B$6</f>
        <v/>
      </c>
      <c r="H3590" s="11">
        <f>F3590*Summary!$B$7</f>
        <v/>
      </c>
      <c r="I3590" s="11">
        <f>MAX(0,N3590-M3590)</f>
        <v/>
      </c>
      <c r="J3590" s="11">
        <f>MAX(0,M3590-N3590)</f>
        <v/>
      </c>
      <c r="K3590" s="11">
        <f>O3590</f>
        <v/>
      </c>
      <c r="L3590" s="11">
        <f>L3589+IF(K3590&gt;0,K3590*Summary!$B$9,K3590/Summary!$B$9)</f>
        <v/>
      </c>
      <c r="M3590" s="11">
        <f>G3590+H3590</f>
        <v/>
      </c>
      <c r="N3590" s="11">
        <f>Summary!$C$16*Summary!$B$8</f>
        <v/>
      </c>
      <c r="O3590" s="11">
        <f>M3590-N3590</f>
        <v/>
      </c>
    </row>
    <row r="3591">
      <c r="A3591" s="9" t="n">
        <v>45441.54166666666</v>
      </c>
      <c r="B3591" t="n">
        <v>5</v>
      </c>
      <c r="C3591" t="n">
        <v>29</v>
      </c>
      <c r="D3591" t="n">
        <v>13</v>
      </c>
      <c r="E3591" s="10" t="n">
        <v>0.157621</v>
      </c>
      <c r="F3591" s="10" t="n">
        <v>0.1698123287549589</v>
      </c>
      <c r="G3591" s="11">
        <f>E3591*Summary!$B$6</f>
        <v/>
      </c>
      <c r="H3591" s="11">
        <f>F3591*Summary!$B$7</f>
        <v/>
      </c>
      <c r="I3591" s="11">
        <f>MAX(0,N3591-M3591)</f>
        <v/>
      </c>
      <c r="J3591" s="11">
        <f>MAX(0,M3591-N3591)</f>
        <v/>
      </c>
      <c r="K3591" s="11">
        <f>O3591</f>
        <v/>
      </c>
      <c r="L3591" s="11">
        <f>L3590+IF(K3591&gt;0,K3591*Summary!$B$9,K3591/Summary!$B$9)</f>
        <v/>
      </c>
      <c r="M3591" s="11">
        <f>G3591+H3591</f>
        <v/>
      </c>
      <c r="N3591" s="11">
        <f>Summary!$C$16*Summary!$B$8</f>
        <v/>
      </c>
      <c r="O3591" s="11">
        <f>M3591-N3591</f>
        <v/>
      </c>
    </row>
    <row r="3592">
      <c r="A3592" s="9" t="n">
        <v>45441.58333333334</v>
      </c>
      <c r="B3592" t="n">
        <v>5</v>
      </c>
      <c r="C3592" t="n">
        <v>29</v>
      </c>
      <c r="D3592" t="n">
        <v>14</v>
      </c>
      <c r="E3592" s="10" t="n">
        <v>0.139953</v>
      </c>
      <c r="F3592" s="10" t="n">
        <v>0.1709718170332361</v>
      </c>
      <c r="G3592" s="11">
        <f>E3592*Summary!$B$6</f>
        <v/>
      </c>
      <c r="H3592" s="11">
        <f>F3592*Summary!$B$7</f>
        <v/>
      </c>
      <c r="I3592" s="11">
        <f>MAX(0,N3592-M3592)</f>
        <v/>
      </c>
      <c r="J3592" s="11">
        <f>MAX(0,M3592-N3592)</f>
        <v/>
      </c>
      <c r="K3592" s="11">
        <f>O3592</f>
        <v/>
      </c>
      <c r="L3592" s="11">
        <f>L3591+IF(K3592&gt;0,K3592*Summary!$B$9,K3592/Summary!$B$9)</f>
        <v/>
      </c>
      <c r="M3592" s="11">
        <f>G3592+H3592</f>
        <v/>
      </c>
      <c r="N3592" s="11">
        <f>Summary!$C$16*Summary!$B$8</f>
        <v/>
      </c>
      <c r="O3592" s="11">
        <f>M3592-N3592</f>
        <v/>
      </c>
    </row>
    <row r="3593">
      <c r="A3593" s="9" t="n">
        <v>45441.625</v>
      </c>
      <c r="B3593" t="n">
        <v>5</v>
      </c>
      <c r="C3593" t="n">
        <v>29</v>
      </c>
      <c r="D3593" t="n">
        <v>15</v>
      </c>
      <c r="E3593" s="10" t="n">
        <v>0.157911</v>
      </c>
      <c r="F3593" s="10" t="n">
        <v>0.1859661086318661</v>
      </c>
      <c r="G3593" s="11">
        <f>E3593*Summary!$B$6</f>
        <v/>
      </c>
      <c r="H3593" s="11">
        <f>F3593*Summary!$B$7</f>
        <v/>
      </c>
      <c r="I3593" s="11">
        <f>MAX(0,N3593-M3593)</f>
        <v/>
      </c>
      <c r="J3593" s="11">
        <f>MAX(0,M3593-N3593)</f>
        <v/>
      </c>
      <c r="K3593" s="11">
        <f>O3593</f>
        <v/>
      </c>
      <c r="L3593" s="11">
        <f>L3592+IF(K3593&gt;0,K3593*Summary!$B$9,K3593/Summary!$B$9)</f>
        <v/>
      </c>
      <c r="M3593" s="11">
        <f>G3593+H3593</f>
        <v/>
      </c>
      <c r="N3593" s="11">
        <f>Summary!$C$16*Summary!$B$8</f>
        <v/>
      </c>
      <c r="O3593" s="11">
        <f>M3593-N3593</f>
        <v/>
      </c>
    </row>
    <row r="3594">
      <c r="A3594" s="9" t="n">
        <v>45441.66666666666</v>
      </c>
      <c r="B3594" t="n">
        <v>5</v>
      </c>
      <c r="C3594" t="n">
        <v>29</v>
      </c>
      <c r="D3594" t="n">
        <v>16</v>
      </c>
      <c r="E3594" s="10" t="n">
        <v>0.08813699999999999</v>
      </c>
      <c r="F3594" s="10" t="n">
        <v>0.1737651297036311</v>
      </c>
      <c r="G3594" s="11">
        <f>E3594*Summary!$B$6</f>
        <v/>
      </c>
      <c r="H3594" s="11">
        <f>F3594*Summary!$B$7</f>
        <v/>
      </c>
      <c r="I3594" s="11">
        <f>MAX(0,N3594-M3594)</f>
        <v/>
      </c>
      <c r="J3594" s="11">
        <f>MAX(0,M3594-N3594)</f>
        <v/>
      </c>
      <c r="K3594" s="11">
        <f>O3594</f>
        <v/>
      </c>
      <c r="L3594" s="11">
        <f>L3593+IF(K3594&gt;0,K3594*Summary!$B$9,K3594/Summary!$B$9)</f>
        <v/>
      </c>
      <c r="M3594" s="11">
        <f>G3594+H3594</f>
        <v/>
      </c>
      <c r="N3594" s="11">
        <f>Summary!$C$16*Summary!$B$8</f>
        <v/>
      </c>
      <c r="O3594" s="11">
        <f>M3594-N3594</f>
        <v/>
      </c>
    </row>
    <row r="3595">
      <c r="A3595" s="9" t="n">
        <v>45441.70833333334</v>
      </c>
      <c r="B3595" t="n">
        <v>5</v>
      </c>
      <c r="C3595" t="n">
        <v>29</v>
      </c>
      <c r="D3595" t="n">
        <v>17</v>
      </c>
      <c r="E3595" s="10" t="n">
        <v>0.032444</v>
      </c>
      <c r="F3595" s="10" t="n">
        <v>0.1663865679327763</v>
      </c>
      <c r="G3595" s="11">
        <f>E3595*Summary!$B$6</f>
        <v/>
      </c>
      <c r="H3595" s="11">
        <f>F3595*Summary!$B$7</f>
        <v/>
      </c>
      <c r="I3595" s="11">
        <f>MAX(0,N3595-M3595)</f>
        <v/>
      </c>
      <c r="J3595" s="11">
        <f>MAX(0,M3595-N3595)</f>
        <v/>
      </c>
      <c r="K3595" s="11">
        <f>O3595</f>
        <v/>
      </c>
      <c r="L3595" s="11">
        <f>L3594+IF(K3595&gt;0,K3595*Summary!$B$9,K3595/Summary!$B$9)</f>
        <v/>
      </c>
      <c r="M3595" s="11">
        <f>G3595+H3595</f>
        <v/>
      </c>
      <c r="N3595" s="11">
        <f>Summary!$C$16*Summary!$B$8</f>
        <v/>
      </c>
      <c r="O3595" s="11">
        <f>M3595-N3595</f>
        <v/>
      </c>
    </row>
    <row r="3596">
      <c r="A3596" s="9" t="n">
        <v>45441.75</v>
      </c>
      <c r="B3596" t="n">
        <v>5</v>
      </c>
      <c r="C3596" t="n">
        <v>29</v>
      </c>
      <c r="D3596" t="n">
        <v>18</v>
      </c>
      <c r="E3596" s="10" t="n">
        <v>0.063235</v>
      </c>
      <c r="F3596" s="10" t="n">
        <v>0.159693158326358</v>
      </c>
      <c r="G3596" s="11">
        <f>E3596*Summary!$B$6</f>
        <v/>
      </c>
      <c r="H3596" s="11">
        <f>F3596*Summary!$B$7</f>
        <v/>
      </c>
      <c r="I3596" s="11">
        <f>MAX(0,N3596-M3596)</f>
        <v/>
      </c>
      <c r="J3596" s="11">
        <f>MAX(0,M3596-N3596)</f>
        <v/>
      </c>
      <c r="K3596" s="11">
        <f>O3596</f>
        <v/>
      </c>
      <c r="L3596" s="11">
        <f>L3595+IF(K3596&gt;0,K3596*Summary!$B$9,K3596/Summary!$B$9)</f>
        <v/>
      </c>
      <c r="M3596" s="11">
        <f>G3596+H3596</f>
        <v/>
      </c>
      <c r="N3596" s="11">
        <f>Summary!$C$16*Summary!$B$8</f>
        <v/>
      </c>
      <c r="O3596" s="11">
        <f>M3596-N3596</f>
        <v/>
      </c>
    </row>
    <row r="3597">
      <c r="A3597" s="9" t="n">
        <v>45441.79166666666</v>
      </c>
      <c r="B3597" t="n">
        <v>5</v>
      </c>
      <c r="C3597" t="n">
        <v>29</v>
      </c>
      <c r="D3597" t="n">
        <v>19</v>
      </c>
      <c r="E3597" s="10" t="n">
        <v>0.024702</v>
      </c>
      <c r="F3597" s="10" t="n">
        <v>0.1585863740607298</v>
      </c>
      <c r="G3597" s="11">
        <f>E3597*Summary!$B$6</f>
        <v/>
      </c>
      <c r="H3597" s="11">
        <f>F3597*Summary!$B$7</f>
        <v/>
      </c>
      <c r="I3597" s="11">
        <f>MAX(0,N3597-M3597)</f>
        <v/>
      </c>
      <c r="J3597" s="11">
        <f>MAX(0,M3597-N3597)</f>
        <v/>
      </c>
      <c r="K3597" s="11">
        <f>O3597</f>
        <v/>
      </c>
      <c r="L3597" s="11">
        <f>L3596+IF(K3597&gt;0,K3597*Summary!$B$9,K3597/Summary!$B$9)</f>
        <v/>
      </c>
      <c r="M3597" s="11">
        <f>G3597+H3597</f>
        <v/>
      </c>
      <c r="N3597" s="11">
        <f>Summary!$C$16*Summary!$B$8</f>
        <v/>
      </c>
      <c r="O3597" s="11">
        <f>M3597-N3597</f>
        <v/>
      </c>
    </row>
    <row r="3598">
      <c r="A3598" s="9" t="n">
        <v>45441.83333333334</v>
      </c>
      <c r="B3598" t="n">
        <v>5</v>
      </c>
      <c r="C3598" t="n">
        <v>29</v>
      </c>
      <c r="D3598" t="n">
        <v>20</v>
      </c>
      <c r="E3598" s="10" t="n">
        <v>0</v>
      </c>
      <c r="F3598" s="10" t="n">
        <v>0.1727901054696253</v>
      </c>
      <c r="G3598" s="11">
        <f>E3598*Summary!$B$6</f>
        <v/>
      </c>
      <c r="H3598" s="11">
        <f>F3598*Summary!$B$7</f>
        <v/>
      </c>
      <c r="I3598" s="11">
        <f>MAX(0,N3598-M3598)</f>
        <v/>
      </c>
      <c r="J3598" s="11">
        <f>MAX(0,M3598-N3598)</f>
        <v/>
      </c>
      <c r="K3598" s="11">
        <f>O3598</f>
        <v/>
      </c>
      <c r="L3598" s="11">
        <f>L3597+IF(K3598&gt;0,K3598*Summary!$B$9,K3598/Summary!$B$9)</f>
        <v/>
      </c>
      <c r="M3598" s="11">
        <f>G3598+H3598</f>
        <v/>
      </c>
      <c r="N3598" s="11">
        <f>Summary!$C$16*Summary!$B$8</f>
        <v/>
      </c>
      <c r="O3598" s="11">
        <f>M3598-N3598</f>
        <v/>
      </c>
    </row>
    <row r="3599">
      <c r="A3599" s="9" t="n">
        <v>45441.875</v>
      </c>
      <c r="B3599" t="n">
        <v>5</v>
      </c>
      <c r="C3599" t="n">
        <v>29</v>
      </c>
      <c r="D3599" t="n">
        <v>21</v>
      </c>
      <c r="E3599" s="10" t="n">
        <v>0</v>
      </c>
      <c r="F3599" s="10" t="n">
        <v>0.2001434880344371</v>
      </c>
      <c r="G3599" s="11">
        <f>E3599*Summary!$B$6</f>
        <v/>
      </c>
      <c r="H3599" s="11">
        <f>F3599*Summary!$B$7</f>
        <v/>
      </c>
      <c r="I3599" s="11">
        <f>MAX(0,N3599-M3599)</f>
        <v/>
      </c>
      <c r="J3599" s="11">
        <f>MAX(0,M3599-N3599)</f>
        <v/>
      </c>
      <c r="K3599" s="11">
        <f>O3599</f>
        <v/>
      </c>
      <c r="L3599" s="11">
        <f>L3598+IF(K3599&gt;0,K3599*Summary!$B$9,K3599/Summary!$B$9)</f>
        <v/>
      </c>
      <c r="M3599" s="11">
        <f>G3599+H3599</f>
        <v/>
      </c>
      <c r="N3599" s="11">
        <f>Summary!$C$16*Summary!$B$8</f>
        <v/>
      </c>
      <c r="O3599" s="11">
        <f>M3599-N3599</f>
        <v/>
      </c>
    </row>
    <row r="3600">
      <c r="A3600" s="9" t="n">
        <v>45441.91666666666</v>
      </c>
      <c r="B3600" t="n">
        <v>5</v>
      </c>
      <c r="C3600" t="n">
        <v>29</v>
      </c>
      <c r="D3600" t="n">
        <v>22</v>
      </c>
      <c r="E3600" s="10" t="n">
        <v>0</v>
      </c>
      <c r="F3600" s="10" t="n">
        <v>0.2182209643730315</v>
      </c>
      <c r="G3600" s="11">
        <f>E3600*Summary!$B$6</f>
        <v/>
      </c>
      <c r="H3600" s="11">
        <f>F3600*Summary!$B$7</f>
        <v/>
      </c>
      <c r="I3600" s="11">
        <f>MAX(0,N3600-M3600)</f>
        <v/>
      </c>
      <c r="J3600" s="11">
        <f>MAX(0,M3600-N3600)</f>
        <v/>
      </c>
      <c r="K3600" s="11">
        <f>O3600</f>
        <v/>
      </c>
      <c r="L3600" s="11">
        <f>L3599+IF(K3600&gt;0,K3600*Summary!$B$9,K3600/Summary!$B$9)</f>
        <v/>
      </c>
      <c r="M3600" s="11">
        <f>G3600+H3600</f>
        <v/>
      </c>
      <c r="N3600" s="11">
        <f>Summary!$C$16*Summary!$B$8</f>
        <v/>
      </c>
      <c r="O3600" s="11">
        <f>M3600-N3600</f>
        <v/>
      </c>
    </row>
    <row r="3601">
      <c r="A3601" s="9" t="n">
        <v>45441.95833333334</v>
      </c>
      <c r="B3601" t="n">
        <v>5</v>
      </c>
      <c r="C3601" t="n">
        <v>29</v>
      </c>
      <c r="D3601" t="n">
        <v>23</v>
      </c>
      <c r="E3601" s="10" t="n">
        <v>0</v>
      </c>
      <c r="F3601" s="10" t="n">
        <v>0.2313706155289477</v>
      </c>
      <c r="G3601" s="11">
        <f>E3601*Summary!$B$6</f>
        <v/>
      </c>
      <c r="H3601" s="11">
        <f>F3601*Summary!$B$7</f>
        <v/>
      </c>
      <c r="I3601" s="11">
        <f>MAX(0,N3601-M3601)</f>
        <v/>
      </c>
      <c r="J3601" s="11">
        <f>MAX(0,M3601-N3601)</f>
        <v/>
      </c>
      <c r="K3601" s="11">
        <f>O3601</f>
        <v/>
      </c>
      <c r="L3601" s="11">
        <f>L3600+IF(K3601&gt;0,K3601*Summary!$B$9,K3601/Summary!$B$9)</f>
        <v/>
      </c>
      <c r="M3601" s="11">
        <f>G3601+H3601</f>
        <v/>
      </c>
      <c r="N3601" s="11">
        <f>Summary!$C$16*Summary!$B$8</f>
        <v/>
      </c>
      <c r="O3601" s="11">
        <f>M3601-N3601</f>
        <v/>
      </c>
    </row>
    <row r="3602">
      <c r="A3602" s="9" t="n">
        <v>45442</v>
      </c>
      <c r="B3602" t="n">
        <v>5</v>
      </c>
      <c r="C3602" t="n">
        <v>30</v>
      </c>
      <c r="D3602" t="n">
        <v>0</v>
      </c>
      <c r="E3602" s="10" t="n">
        <v>0</v>
      </c>
      <c r="F3602" s="10" t="n">
        <v>0.3382280011747203</v>
      </c>
      <c r="G3602" s="11">
        <f>E3602*Summary!$B$6</f>
        <v/>
      </c>
      <c r="H3602" s="11">
        <f>F3602*Summary!$B$7</f>
        <v/>
      </c>
      <c r="I3602" s="11">
        <f>MAX(0,N3602-M3602)</f>
        <v/>
      </c>
      <c r="J3602" s="11">
        <f>MAX(0,M3602-N3602)</f>
        <v/>
      </c>
      <c r="K3602" s="11">
        <f>O3602</f>
        <v/>
      </c>
      <c r="L3602" s="11">
        <f>L3601+IF(K3602&gt;0,K3602*Summary!$B$9,K3602/Summary!$B$9)</f>
        <v/>
      </c>
      <c r="M3602" s="11">
        <f>G3602+H3602</f>
        <v/>
      </c>
      <c r="N3602" s="11">
        <f>Summary!$C$16*Summary!$B$8</f>
        <v/>
      </c>
      <c r="O3602" s="11">
        <f>M3602-N3602</f>
        <v/>
      </c>
    </row>
    <row r="3603">
      <c r="A3603" s="9" t="n">
        <v>45442.04166666666</v>
      </c>
      <c r="B3603" t="n">
        <v>5</v>
      </c>
      <c r="C3603" t="n">
        <v>30</v>
      </c>
      <c r="D3603" t="n">
        <v>1</v>
      </c>
      <c r="E3603" s="10" t="n">
        <v>0</v>
      </c>
      <c r="F3603" s="10" t="n">
        <v>0.2393025694326167</v>
      </c>
      <c r="G3603" s="11">
        <f>E3603*Summary!$B$6</f>
        <v/>
      </c>
      <c r="H3603" s="11">
        <f>F3603*Summary!$B$7</f>
        <v/>
      </c>
      <c r="I3603" s="11">
        <f>MAX(0,N3603-M3603)</f>
        <v/>
      </c>
      <c r="J3603" s="11">
        <f>MAX(0,M3603-N3603)</f>
        <v/>
      </c>
      <c r="K3603" s="11">
        <f>O3603</f>
        <v/>
      </c>
      <c r="L3603" s="11">
        <f>L3602+IF(K3603&gt;0,K3603*Summary!$B$9,K3603/Summary!$B$9)</f>
        <v/>
      </c>
      <c r="M3603" s="11">
        <f>G3603+H3603</f>
        <v/>
      </c>
      <c r="N3603" s="11">
        <f>Summary!$C$16*Summary!$B$8</f>
        <v/>
      </c>
      <c r="O3603" s="11">
        <f>M3603-N3603</f>
        <v/>
      </c>
    </row>
    <row r="3604">
      <c r="A3604" s="9" t="n">
        <v>45442.08333333334</v>
      </c>
      <c r="B3604" t="n">
        <v>5</v>
      </c>
      <c r="C3604" t="n">
        <v>30</v>
      </c>
      <c r="D3604" t="n">
        <v>2</v>
      </c>
      <c r="E3604" s="10" t="n">
        <v>0</v>
      </c>
      <c r="F3604" s="10" t="n">
        <v>0.240251241660298</v>
      </c>
      <c r="G3604" s="11">
        <f>E3604*Summary!$B$6</f>
        <v/>
      </c>
      <c r="H3604" s="11">
        <f>F3604*Summary!$B$7</f>
        <v/>
      </c>
      <c r="I3604" s="11">
        <f>MAX(0,N3604-M3604)</f>
        <v/>
      </c>
      <c r="J3604" s="11">
        <f>MAX(0,M3604-N3604)</f>
        <v/>
      </c>
      <c r="K3604" s="11">
        <f>O3604</f>
        <v/>
      </c>
      <c r="L3604" s="11">
        <f>L3603+IF(K3604&gt;0,K3604*Summary!$B$9,K3604/Summary!$B$9)</f>
        <v/>
      </c>
      <c r="M3604" s="11">
        <f>G3604+H3604</f>
        <v/>
      </c>
      <c r="N3604" s="11">
        <f>Summary!$C$16*Summary!$B$8</f>
        <v/>
      </c>
      <c r="O3604" s="11">
        <f>M3604-N3604</f>
        <v/>
      </c>
    </row>
    <row r="3605">
      <c r="A3605" s="9" t="n">
        <v>45442.125</v>
      </c>
      <c r="B3605" t="n">
        <v>5</v>
      </c>
      <c r="C3605" t="n">
        <v>30</v>
      </c>
      <c r="D3605" t="n">
        <v>3</v>
      </c>
      <c r="E3605" s="10" t="n">
        <v>0</v>
      </c>
      <c r="F3605" s="10" t="n">
        <v>0.2377741530657967</v>
      </c>
      <c r="G3605" s="11">
        <f>E3605*Summary!$B$6</f>
        <v/>
      </c>
      <c r="H3605" s="11">
        <f>F3605*Summary!$B$7</f>
        <v/>
      </c>
      <c r="I3605" s="11">
        <f>MAX(0,N3605-M3605)</f>
        <v/>
      </c>
      <c r="J3605" s="11">
        <f>MAX(0,M3605-N3605)</f>
        <v/>
      </c>
      <c r="K3605" s="11">
        <f>O3605</f>
        <v/>
      </c>
      <c r="L3605" s="11">
        <f>L3604+IF(K3605&gt;0,K3605*Summary!$B$9,K3605/Summary!$B$9)</f>
        <v/>
      </c>
      <c r="M3605" s="11">
        <f>G3605+H3605</f>
        <v/>
      </c>
      <c r="N3605" s="11">
        <f>Summary!$C$16*Summary!$B$8</f>
        <v/>
      </c>
      <c r="O3605" s="11">
        <f>M3605-N3605</f>
        <v/>
      </c>
    </row>
    <row r="3606">
      <c r="A3606" s="9" t="n">
        <v>45442.16666666666</v>
      </c>
      <c r="B3606" t="n">
        <v>5</v>
      </c>
      <c r="C3606" t="n">
        <v>30</v>
      </c>
      <c r="D3606" t="n">
        <v>4</v>
      </c>
      <c r="E3606" s="10" t="n">
        <v>0</v>
      </c>
      <c r="F3606" s="10" t="n">
        <v>0.2320030636807353</v>
      </c>
      <c r="G3606" s="11">
        <f>E3606*Summary!$B$6</f>
        <v/>
      </c>
      <c r="H3606" s="11">
        <f>F3606*Summary!$B$7</f>
        <v/>
      </c>
      <c r="I3606" s="11">
        <f>MAX(0,N3606-M3606)</f>
        <v/>
      </c>
      <c r="J3606" s="11">
        <f>MAX(0,M3606-N3606)</f>
        <v/>
      </c>
      <c r="K3606" s="11">
        <f>O3606</f>
        <v/>
      </c>
      <c r="L3606" s="11">
        <f>L3605+IF(K3606&gt;0,K3606*Summary!$B$9,K3606/Summary!$B$9)</f>
        <v/>
      </c>
      <c r="M3606" s="11">
        <f>G3606+H3606</f>
        <v/>
      </c>
      <c r="N3606" s="11">
        <f>Summary!$C$16*Summary!$B$8</f>
        <v/>
      </c>
      <c r="O3606" s="11">
        <f>M3606-N3606</f>
        <v/>
      </c>
    </row>
    <row r="3607">
      <c r="A3607" s="9" t="n">
        <v>45442.20833333334</v>
      </c>
      <c r="B3607" t="n">
        <v>5</v>
      </c>
      <c r="C3607" t="n">
        <v>30</v>
      </c>
      <c r="D3607" t="n">
        <v>5</v>
      </c>
      <c r="E3607" s="10" t="n">
        <v>0.013144</v>
      </c>
      <c r="F3607" s="10" t="n">
        <v>0.2211460370750489</v>
      </c>
      <c r="G3607" s="11">
        <f>E3607*Summary!$B$6</f>
        <v/>
      </c>
      <c r="H3607" s="11">
        <f>F3607*Summary!$B$7</f>
        <v/>
      </c>
      <c r="I3607" s="11">
        <f>MAX(0,N3607-M3607)</f>
        <v/>
      </c>
      <c r="J3607" s="11">
        <f>MAX(0,M3607-N3607)</f>
        <v/>
      </c>
      <c r="K3607" s="11">
        <f>O3607</f>
        <v/>
      </c>
      <c r="L3607" s="11">
        <f>L3606+IF(K3607&gt;0,K3607*Summary!$B$9,K3607/Summary!$B$9)</f>
        <v/>
      </c>
      <c r="M3607" s="11">
        <f>G3607+H3607</f>
        <v/>
      </c>
      <c r="N3607" s="11">
        <f>Summary!$C$16*Summary!$B$8</f>
        <v/>
      </c>
      <c r="O3607" s="11">
        <f>M3607-N3607</f>
        <v/>
      </c>
    </row>
    <row r="3608">
      <c r="A3608" s="9" t="n">
        <v>45442.25</v>
      </c>
      <c r="B3608" t="n">
        <v>5</v>
      </c>
      <c r="C3608" t="n">
        <v>30</v>
      </c>
      <c r="D3608" t="n">
        <v>6</v>
      </c>
      <c r="E3608" s="10" t="n">
        <v>0.034437</v>
      </c>
      <c r="F3608" s="10" t="n">
        <v>0.205993633438472</v>
      </c>
      <c r="G3608" s="11">
        <f>E3608*Summary!$B$6</f>
        <v/>
      </c>
      <c r="H3608" s="11">
        <f>F3608*Summary!$B$7</f>
        <v/>
      </c>
      <c r="I3608" s="11">
        <f>MAX(0,N3608-M3608)</f>
        <v/>
      </c>
      <c r="J3608" s="11">
        <f>MAX(0,M3608-N3608)</f>
        <v/>
      </c>
      <c r="K3608" s="11">
        <f>O3608</f>
        <v/>
      </c>
      <c r="L3608" s="11">
        <f>L3607+IF(K3608&gt;0,K3608*Summary!$B$9,K3608/Summary!$B$9)</f>
        <v/>
      </c>
      <c r="M3608" s="11">
        <f>G3608+H3608</f>
        <v/>
      </c>
      <c r="N3608" s="11">
        <f>Summary!$C$16*Summary!$B$8</f>
        <v/>
      </c>
      <c r="O3608" s="11">
        <f>M3608-N3608</f>
        <v/>
      </c>
    </row>
    <row r="3609">
      <c r="A3609" s="9" t="n">
        <v>45442.29166666666</v>
      </c>
      <c r="B3609" t="n">
        <v>5</v>
      </c>
      <c r="C3609" t="n">
        <v>30</v>
      </c>
      <c r="D3609" t="n">
        <v>7</v>
      </c>
      <c r="E3609" s="10" t="n">
        <v>0.059321</v>
      </c>
      <c r="F3609" s="10" t="n">
        <v>0.2007759361862247</v>
      </c>
      <c r="G3609" s="11">
        <f>E3609*Summary!$B$6</f>
        <v/>
      </c>
      <c r="H3609" s="11">
        <f>F3609*Summary!$B$7</f>
        <v/>
      </c>
      <c r="I3609" s="11">
        <f>MAX(0,N3609-M3609)</f>
        <v/>
      </c>
      <c r="J3609" s="11">
        <f>MAX(0,M3609-N3609)</f>
        <v/>
      </c>
      <c r="K3609" s="11">
        <f>O3609</f>
        <v/>
      </c>
      <c r="L3609" s="11">
        <f>L3608+IF(K3609&gt;0,K3609*Summary!$B$9,K3609/Summary!$B$9)</f>
        <v/>
      </c>
      <c r="M3609" s="11">
        <f>G3609+H3609</f>
        <v/>
      </c>
      <c r="N3609" s="11">
        <f>Summary!$C$16*Summary!$B$8</f>
        <v/>
      </c>
      <c r="O3609" s="11">
        <f>M3609-N3609</f>
        <v/>
      </c>
    </row>
    <row r="3610">
      <c r="A3610" s="9" t="n">
        <v>45442.33333333334</v>
      </c>
      <c r="B3610" t="n">
        <v>5</v>
      </c>
      <c r="C3610" t="n">
        <v>30</v>
      </c>
      <c r="D3610" t="n">
        <v>8</v>
      </c>
      <c r="E3610" s="10" t="n">
        <v>0.142958</v>
      </c>
      <c r="F3610" s="10" t="n">
        <v>0.2098146743555218</v>
      </c>
      <c r="G3610" s="11">
        <f>E3610*Summary!$B$6</f>
        <v/>
      </c>
      <c r="H3610" s="11">
        <f>F3610*Summary!$B$7</f>
        <v/>
      </c>
      <c r="I3610" s="11">
        <f>MAX(0,N3610-M3610)</f>
        <v/>
      </c>
      <c r="J3610" s="11">
        <f>MAX(0,M3610-N3610)</f>
        <v/>
      </c>
      <c r="K3610" s="11">
        <f>O3610</f>
        <v/>
      </c>
      <c r="L3610" s="11">
        <f>L3609+IF(K3610&gt;0,K3610*Summary!$B$9,K3610/Summary!$B$9)</f>
        <v/>
      </c>
      <c r="M3610" s="11">
        <f>G3610+H3610</f>
        <v/>
      </c>
      <c r="N3610" s="11">
        <f>Summary!$C$16*Summary!$B$8</f>
        <v/>
      </c>
      <c r="O3610" s="11">
        <f>M3610-N3610</f>
        <v/>
      </c>
    </row>
    <row r="3611">
      <c r="A3611" s="9" t="n">
        <v>45442.375</v>
      </c>
      <c r="B3611" t="n">
        <v>5</v>
      </c>
      <c r="C3611" t="n">
        <v>30</v>
      </c>
      <c r="D3611" t="n">
        <v>9</v>
      </c>
      <c r="E3611" s="10" t="n">
        <v>0.140487</v>
      </c>
      <c r="F3611" s="10" t="n">
        <v>0.2454952909188698</v>
      </c>
      <c r="G3611" s="11">
        <f>E3611*Summary!$B$6</f>
        <v/>
      </c>
      <c r="H3611" s="11">
        <f>F3611*Summary!$B$7</f>
        <v/>
      </c>
      <c r="I3611" s="11">
        <f>MAX(0,N3611-M3611)</f>
        <v/>
      </c>
      <c r="J3611" s="11">
        <f>MAX(0,M3611-N3611)</f>
        <v/>
      </c>
      <c r="K3611" s="11">
        <f>O3611</f>
        <v/>
      </c>
      <c r="L3611" s="11">
        <f>L3610+IF(K3611&gt;0,K3611*Summary!$B$9,K3611/Summary!$B$9)</f>
        <v/>
      </c>
      <c r="M3611" s="11">
        <f>G3611+H3611</f>
        <v/>
      </c>
      <c r="N3611" s="11">
        <f>Summary!$C$16*Summary!$B$8</f>
        <v/>
      </c>
      <c r="O3611" s="11">
        <f>M3611-N3611</f>
        <v/>
      </c>
    </row>
    <row r="3612">
      <c r="A3612" s="9" t="n">
        <v>45442.41666666666</v>
      </c>
      <c r="B3612" t="n">
        <v>5</v>
      </c>
      <c r="C3612" t="n">
        <v>30</v>
      </c>
      <c r="D3612" t="n">
        <v>10</v>
      </c>
      <c r="E3612" s="10" t="n">
        <v>0.126287</v>
      </c>
      <c r="F3612" s="10" t="n">
        <v>0.2337422960981511</v>
      </c>
      <c r="G3612" s="11">
        <f>E3612*Summary!$B$6</f>
        <v/>
      </c>
      <c r="H3612" s="11">
        <f>F3612*Summary!$B$7</f>
        <v/>
      </c>
      <c r="I3612" s="11">
        <f>MAX(0,N3612-M3612)</f>
        <v/>
      </c>
      <c r="J3612" s="11">
        <f>MAX(0,M3612-N3612)</f>
        <v/>
      </c>
      <c r="K3612" s="11">
        <f>O3612</f>
        <v/>
      </c>
      <c r="L3612" s="11">
        <f>L3611+IF(K3612&gt;0,K3612*Summary!$B$9,K3612/Summary!$B$9)</f>
        <v/>
      </c>
      <c r="M3612" s="11">
        <f>G3612+H3612</f>
        <v/>
      </c>
      <c r="N3612" s="11">
        <f>Summary!$C$16*Summary!$B$8</f>
        <v/>
      </c>
      <c r="O3612" s="11">
        <f>M3612-N3612</f>
        <v/>
      </c>
    </row>
    <row r="3613">
      <c r="A3613" s="9" t="n">
        <v>45442.45833333334</v>
      </c>
      <c r="B3613" t="n">
        <v>5</v>
      </c>
      <c r="C3613" t="n">
        <v>30</v>
      </c>
      <c r="D3613" t="n">
        <v>11</v>
      </c>
      <c r="E3613" s="10" t="n">
        <v>0.111072</v>
      </c>
      <c r="F3613" s="10" t="n">
        <v>0.2438351145204275</v>
      </c>
      <c r="G3613" s="11">
        <f>E3613*Summary!$B$6</f>
        <v/>
      </c>
      <c r="H3613" s="11">
        <f>F3613*Summary!$B$7</f>
        <v/>
      </c>
      <c r="I3613" s="11">
        <f>MAX(0,N3613-M3613)</f>
        <v/>
      </c>
      <c r="J3613" s="11">
        <f>MAX(0,M3613-N3613)</f>
        <v/>
      </c>
      <c r="K3613" s="11">
        <f>O3613</f>
        <v/>
      </c>
      <c r="L3613" s="11">
        <f>L3612+IF(K3613&gt;0,K3613*Summary!$B$9,K3613/Summary!$B$9)</f>
        <v/>
      </c>
      <c r="M3613" s="11">
        <f>G3613+H3613</f>
        <v/>
      </c>
      <c r="N3613" s="11">
        <f>Summary!$C$16*Summary!$B$8</f>
        <v/>
      </c>
      <c r="O3613" s="11">
        <f>M3613-N3613</f>
        <v/>
      </c>
    </row>
    <row r="3614">
      <c r="A3614" s="9" t="n">
        <v>45442.5</v>
      </c>
      <c r="B3614" t="n">
        <v>5</v>
      </c>
      <c r="C3614" t="n">
        <v>30</v>
      </c>
      <c r="D3614" t="n">
        <v>12</v>
      </c>
      <c r="E3614" s="10" t="n">
        <v>0.131102</v>
      </c>
      <c r="F3614" s="10" t="n">
        <v>0.2568793576510458</v>
      </c>
      <c r="G3614" s="11">
        <f>E3614*Summary!$B$6</f>
        <v/>
      </c>
      <c r="H3614" s="11">
        <f>F3614*Summary!$B$7</f>
        <v/>
      </c>
      <c r="I3614" s="11">
        <f>MAX(0,N3614-M3614)</f>
        <v/>
      </c>
      <c r="J3614" s="11">
        <f>MAX(0,M3614-N3614)</f>
        <v/>
      </c>
      <c r="K3614" s="11">
        <f>O3614</f>
        <v/>
      </c>
      <c r="L3614" s="11">
        <f>L3613+IF(K3614&gt;0,K3614*Summary!$B$9,K3614/Summary!$B$9)</f>
        <v/>
      </c>
      <c r="M3614" s="11">
        <f>G3614+H3614</f>
        <v/>
      </c>
      <c r="N3614" s="11">
        <f>Summary!$C$16*Summary!$B$8</f>
        <v/>
      </c>
      <c r="O3614" s="11">
        <f>M3614-N3614</f>
        <v/>
      </c>
    </row>
    <row r="3615">
      <c r="A3615" s="9" t="n">
        <v>45442.54166666666</v>
      </c>
      <c r="B3615" t="n">
        <v>5</v>
      </c>
      <c r="C3615" t="n">
        <v>30</v>
      </c>
      <c r="D3615" t="n">
        <v>13</v>
      </c>
      <c r="E3615" s="10" t="n">
        <v>0.133805</v>
      </c>
      <c r="F3615" s="10" t="n">
        <v>0.254534029088167</v>
      </c>
      <c r="G3615" s="11">
        <f>E3615*Summary!$B$6</f>
        <v/>
      </c>
      <c r="H3615" s="11">
        <f>F3615*Summary!$B$7</f>
        <v/>
      </c>
      <c r="I3615" s="11">
        <f>MAX(0,N3615-M3615)</f>
        <v/>
      </c>
      <c r="J3615" s="11">
        <f>MAX(0,M3615-N3615)</f>
        <v/>
      </c>
      <c r="K3615" s="11">
        <f>O3615</f>
        <v/>
      </c>
      <c r="L3615" s="11">
        <f>L3614+IF(K3615&gt;0,K3615*Summary!$B$9,K3615/Summary!$B$9)</f>
        <v/>
      </c>
      <c r="M3615" s="11">
        <f>G3615+H3615</f>
        <v/>
      </c>
      <c r="N3615" s="11">
        <f>Summary!$C$16*Summary!$B$8</f>
        <v/>
      </c>
      <c r="O3615" s="11">
        <f>M3615-N3615</f>
        <v/>
      </c>
    </row>
    <row r="3616">
      <c r="A3616" s="9" t="n">
        <v>45442.58333333334</v>
      </c>
      <c r="B3616" t="n">
        <v>5</v>
      </c>
      <c r="C3616" t="n">
        <v>30</v>
      </c>
      <c r="D3616" t="n">
        <v>14</v>
      </c>
      <c r="E3616" s="10" t="n">
        <v>0.105448</v>
      </c>
      <c r="F3616" s="10" t="n">
        <v>0.2655491677318003</v>
      </c>
      <c r="G3616" s="11">
        <f>E3616*Summary!$B$6</f>
        <v/>
      </c>
      <c r="H3616" s="11">
        <f>F3616*Summary!$B$7</f>
        <v/>
      </c>
      <c r="I3616" s="11">
        <f>MAX(0,N3616-M3616)</f>
        <v/>
      </c>
      <c r="J3616" s="11">
        <f>MAX(0,M3616-N3616)</f>
        <v/>
      </c>
      <c r="K3616" s="11">
        <f>O3616</f>
        <v/>
      </c>
      <c r="L3616" s="11">
        <f>L3615+IF(K3616&gt;0,K3616*Summary!$B$9,K3616/Summary!$B$9)</f>
        <v/>
      </c>
      <c r="M3616" s="11">
        <f>G3616+H3616</f>
        <v/>
      </c>
      <c r="N3616" s="11">
        <f>Summary!$C$16*Summary!$B$8</f>
        <v/>
      </c>
      <c r="O3616" s="11">
        <f>M3616-N3616</f>
        <v/>
      </c>
    </row>
    <row r="3617">
      <c r="A3617" s="9" t="n">
        <v>45442.625</v>
      </c>
      <c r="B3617" t="n">
        <v>5</v>
      </c>
      <c r="C3617" t="n">
        <v>30</v>
      </c>
      <c r="D3617" t="n">
        <v>15</v>
      </c>
      <c r="E3617" s="10" t="n">
        <v>0.149744</v>
      </c>
      <c r="F3617" s="10" t="n">
        <v>0.2818874116529788</v>
      </c>
      <c r="G3617" s="11">
        <f>E3617*Summary!$B$6</f>
        <v/>
      </c>
      <c r="H3617" s="11">
        <f>F3617*Summary!$B$7</f>
        <v/>
      </c>
      <c r="I3617" s="11">
        <f>MAX(0,N3617-M3617)</f>
        <v/>
      </c>
      <c r="J3617" s="11">
        <f>MAX(0,M3617-N3617)</f>
        <v/>
      </c>
      <c r="K3617" s="11">
        <f>O3617</f>
        <v/>
      </c>
      <c r="L3617" s="11">
        <f>L3616+IF(K3617&gt;0,K3617*Summary!$B$9,K3617/Summary!$B$9)</f>
        <v/>
      </c>
      <c r="M3617" s="11">
        <f>G3617+H3617</f>
        <v/>
      </c>
      <c r="N3617" s="11">
        <f>Summary!$C$16*Summary!$B$8</f>
        <v/>
      </c>
      <c r="O3617" s="11">
        <f>M3617-N3617</f>
        <v/>
      </c>
    </row>
    <row r="3618">
      <c r="A3618" s="9" t="n">
        <v>45442.66666666666</v>
      </c>
      <c r="B3618" t="n">
        <v>5</v>
      </c>
      <c r="C3618" t="n">
        <v>30</v>
      </c>
      <c r="D3618" t="n">
        <v>16</v>
      </c>
      <c r="E3618" s="10" t="n">
        <v>0.154072</v>
      </c>
      <c r="F3618" s="10" t="n">
        <v>0.2881064851455564</v>
      </c>
      <c r="G3618" s="11">
        <f>E3618*Summary!$B$6</f>
        <v/>
      </c>
      <c r="H3618" s="11">
        <f>F3618*Summary!$B$7</f>
        <v/>
      </c>
      <c r="I3618" s="11">
        <f>MAX(0,N3618-M3618)</f>
        <v/>
      </c>
      <c r="J3618" s="11">
        <f>MAX(0,M3618-N3618)</f>
        <v/>
      </c>
      <c r="K3618" s="11">
        <f>O3618</f>
        <v/>
      </c>
      <c r="L3618" s="11">
        <f>L3617+IF(K3618&gt;0,K3618*Summary!$B$9,K3618/Summary!$B$9)</f>
        <v/>
      </c>
      <c r="M3618" s="11">
        <f>G3618+H3618</f>
        <v/>
      </c>
      <c r="N3618" s="11">
        <f>Summary!$C$16*Summary!$B$8</f>
        <v/>
      </c>
      <c r="O3618" s="11">
        <f>M3618-N3618</f>
        <v/>
      </c>
    </row>
    <row r="3619">
      <c r="A3619" s="9" t="n">
        <v>45442.70833333334</v>
      </c>
      <c r="B3619" t="n">
        <v>5</v>
      </c>
      <c r="C3619" t="n">
        <v>30</v>
      </c>
      <c r="D3619" t="n">
        <v>17</v>
      </c>
      <c r="E3619" s="10" t="n">
        <v>0.120406</v>
      </c>
      <c r="F3619" s="10" t="n">
        <v>0.2869733488736038</v>
      </c>
      <c r="G3619" s="11">
        <f>E3619*Summary!$B$6</f>
        <v/>
      </c>
      <c r="H3619" s="11">
        <f>F3619*Summary!$B$7</f>
        <v/>
      </c>
      <c r="I3619" s="11">
        <f>MAX(0,N3619-M3619)</f>
        <v/>
      </c>
      <c r="J3619" s="11">
        <f>MAX(0,M3619-N3619)</f>
        <v/>
      </c>
      <c r="K3619" s="11">
        <f>O3619</f>
        <v/>
      </c>
      <c r="L3619" s="11">
        <f>L3618+IF(K3619&gt;0,K3619*Summary!$B$9,K3619/Summary!$B$9)</f>
        <v/>
      </c>
      <c r="M3619" s="11">
        <f>G3619+H3619</f>
        <v/>
      </c>
      <c r="N3619" s="11">
        <f>Summary!$C$16*Summary!$B$8</f>
        <v/>
      </c>
      <c r="O3619" s="11">
        <f>M3619-N3619</f>
        <v/>
      </c>
    </row>
    <row r="3620">
      <c r="A3620" s="9" t="n">
        <v>45442.75</v>
      </c>
      <c r="B3620" t="n">
        <v>5</v>
      </c>
      <c r="C3620" t="n">
        <v>30</v>
      </c>
      <c r="D3620" t="n">
        <v>18</v>
      </c>
      <c r="E3620" s="10" t="n">
        <v>0.074076</v>
      </c>
      <c r="F3620" s="10" t="n">
        <v>0.2865253647660875</v>
      </c>
      <c r="G3620" s="11">
        <f>E3620*Summary!$B$6</f>
        <v/>
      </c>
      <c r="H3620" s="11">
        <f>F3620*Summary!$B$7</f>
        <v/>
      </c>
      <c r="I3620" s="11">
        <f>MAX(0,N3620-M3620)</f>
        <v/>
      </c>
      <c r="J3620" s="11">
        <f>MAX(0,M3620-N3620)</f>
        <v/>
      </c>
      <c r="K3620" s="11">
        <f>O3620</f>
        <v/>
      </c>
      <c r="L3620" s="11">
        <f>L3619+IF(K3620&gt;0,K3620*Summary!$B$9,K3620/Summary!$B$9)</f>
        <v/>
      </c>
      <c r="M3620" s="11">
        <f>G3620+H3620</f>
        <v/>
      </c>
      <c r="N3620" s="11">
        <f>Summary!$C$16*Summary!$B$8</f>
        <v/>
      </c>
      <c r="O3620" s="11">
        <f>M3620-N3620</f>
        <v/>
      </c>
    </row>
    <row r="3621">
      <c r="A3621" s="9" t="n">
        <v>45442.79166666666</v>
      </c>
      <c r="B3621" t="n">
        <v>5</v>
      </c>
      <c r="C3621" t="n">
        <v>30</v>
      </c>
      <c r="D3621" t="n">
        <v>19</v>
      </c>
      <c r="E3621" s="10" t="n">
        <v>0.037637</v>
      </c>
      <c r="F3621" s="10" t="n">
        <v>0.2964073671377681</v>
      </c>
      <c r="G3621" s="11">
        <f>E3621*Summary!$B$6</f>
        <v/>
      </c>
      <c r="H3621" s="11">
        <f>F3621*Summary!$B$7</f>
        <v/>
      </c>
      <c r="I3621" s="11">
        <f>MAX(0,N3621-M3621)</f>
        <v/>
      </c>
      <c r="J3621" s="11">
        <f>MAX(0,M3621-N3621)</f>
        <v/>
      </c>
      <c r="K3621" s="11">
        <f>O3621</f>
        <v/>
      </c>
      <c r="L3621" s="11">
        <f>L3620+IF(K3621&gt;0,K3621*Summary!$B$9,K3621/Summary!$B$9)</f>
        <v/>
      </c>
      <c r="M3621" s="11">
        <f>G3621+H3621</f>
        <v/>
      </c>
      <c r="N3621" s="11">
        <f>Summary!$C$16*Summary!$B$8</f>
        <v/>
      </c>
      <c r="O3621" s="11">
        <f>M3621-N3621</f>
        <v/>
      </c>
    </row>
    <row r="3622">
      <c r="A3622" s="9" t="n">
        <v>45442.83333333334</v>
      </c>
      <c r="B3622" t="n">
        <v>5</v>
      </c>
      <c r="C3622" t="n">
        <v>30</v>
      </c>
      <c r="D3622" t="n">
        <v>20</v>
      </c>
      <c r="E3622" s="10" t="n">
        <v>0.002426</v>
      </c>
      <c r="F3622" s="10" t="n">
        <v>0.3180423643301674</v>
      </c>
      <c r="G3622" s="11">
        <f>E3622*Summary!$B$6</f>
        <v/>
      </c>
      <c r="H3622" s="11">
        <f>F3622*Summary!$B$7</f>
        <v/>
      </c>
      <c r="I3622" s="11">
        <f>MAX(0,N3622-M3622)</f>
        <v/>
      </c>
      <c r="J3622" s="11">
        <f>MAX(0,M3622-N3622)</f>
        <v/>
      </c>
      <c r="K3622" s="11">
        <f>O3622</f>
        <v/>
      </c>
      <c r="L3622" s="11">
        <f>L3621+IF(K3622&gt;0,K3622*Summary!$B$9,K3622/Summary!$B$9)</f>
        <v/>
      </c>
      <c r="M3622" s="11">
        <f>G3622+H3622</f>
        <v/>
      </c>
      <c r="N3622" s="11">
        <f>Summary!$C$16*Summary!$B$8</f>
        <v/>
      </c>
      <c r="O3622" s="11">
        <f>M3622-N3622</f>
        <v/>
      </c>
    </row>
    <row r="3623">
      <c r="A3623" s="9" t="n">
        <v>45442.875</v>
      </c>
      <c r="B3623" t="n">
        <v>5</v>
      </c>
      <c r="C3623" t="n">
        <v>30</v>
      </c>
      <c r="D3623" t="n">
        <v>21</v>
      </c>
      <c r="E3623" s="10" t="n">
        <v>0</v>
      </c>
      <c r="F3623" s="10" t="n">
        <v>0.3339853281564787</v>
      </c>
      <c r="G3623" s="11">
        <f>E3623*Summary!$B$6</f>
        <v/>
      </c>
      <c r="H3623" s="11">
        <f>F3623*Summary!$B$7</f>
        <v/>
      </c>
      <c r="I3623" s="11">
        <f>MAX(0,N3623-M3623)</f>
        <v/>
      </c>
      <c r="J3623" s="11">
        <f>MAX(0,M3623-N3623)</f>
        <v/>
      </c>
      <c r="K3623" s="11">
        <f>O3623</f>
        <v/>
      </c>
      <c r="L3623" s="11">
        <f>L3622+IF(K3623&gt;0,K3623*Summary!$B$9,K3623/Summary!$B$9)</f>
        <v/>
      </c>
      <c r="M3623" s="11">
        <f>G3623+H3623</f>
        <v/>
      </c>
      <c r="N3623" s="11">
        <f>Summary!$C$16*Summary!$B$8</f>
        <v/>
      </c>
      <c r="O3623" s="11">
        <f>M3623-N3623</f>
        <v/>
      </c>
    </row>
    <row r="3624">
      <c r="A3624" s="9" t="n">
        <v>45442.91666666666</v>
      </c>
      <c r="B3624" t="n">
        <v>5</v>
      </c>
      <c r="C3624" t="n">
        <v>30</v>
      </c>
      <c r="D3624" t="n">
        <v>22</v>
      </c>
      <c r="E3624" s="10" t="n">
        <v>0</v>
      </c>
      <c r="F3624" s="10" t="n">
        <v>0.3373320329596879</v>
      </c>
      <c r="G3624" s="11">
        <f>E3624*Summary!$B$6</f>
        <v/>
      </c>
      <c r="H3624" s="11">
        <f>F3624*Summary!$B$7</f>
        <v/>
      </c>
      <c r="I3624" s="11">
        <f>MAX(0,N3624-M3624)</f>
        <v/>
      </c>
      <c r="J3624" s="11">
        <f>MAX(0,M3624-N3624)</f>
        <v/>
      </c>
      <c r="K3624" s="11">
        <f>O3624</f>
        <v/>
      </c>
      <c r="L3624" s="11">
        <f>L3623+IF(K3624&gt;0,K3624*Summary!$B$9,K3624/Summary!$B$9)</f>
        <v/>
      </c>
      <c r="M3624" s="11">
        <f>G3624+H3624</f>
        <v/>
      </c>
      <c r="N3624" s="11">
        <f>Summary!$C$16*Summary!$B$8</f>
        <v/>
      </c>
      <c r="O3624" s="11">
        <f>M3624-N3624</f>
        <v/>
      </c>
    </row>
    <row r="3625">
      <c r="A3625" s="9" t="n">
        <v>45442.95833333334</v>
      </c>
      <c r="B3625" t="n">
        <v>5</v>
      </c>
      <c r="C3625" t="n">
        <v>30</v>
      </c>
      <c r="D3625" t="n">
        <v>23</v>
      </c>
      <c r="E3625" s="10" t="n">
        <v>0</v>
      </c>
      <c r="F3625" s="10" t="n">
        <v>0.3506661481598756</v>
      </c>
      <c r="G3625" s="11">
        <f>E3625*Summary!$B$6</f>
        <v/>
      </c>
      <c r="H3625" s="11">
        <f>F3625*Summary!$B$7</f>
        <v/>
      </c>
      <c r="I3625" s="11">
        <f>MAX(0,N3625-M3625)</f>
        <v/>
      </c>
      <c r="J3625" s="11">
        <f>MAX(0,M3625-N3625)</f>
        <v/>
      </c>
      <c r="K3625" s="11">
        <f>O3625</f>
        <v/>
      </c>
      <c r="L3625" s="11">
        <f>L3624+IF(K3625&gt;0,K3625*Summary!$B$9,K3625/Summary!$B$9)</f>
        <v/>
      </c>
      <c r="M3625" s="11">
        <f>G3625+H3625</f>
        <v/>
      </c>
      <c r="N3625" s="11">
        <f>Summary!$C$16*Summary!$B$8</f>
        <v/>
      </c>
      <c r="O3625" s="11">
        <f>M3625-N3625</f>
        <v/>
      </c>
    </row>
    <row r="3626">
      <c r="A3626" s="9" t="n">
        <v>45443</v>
      </c>
      <c r="B3626" t="n">
        <v>5</v>
      </c>
      <c r="C3626" t="n">
        <v>31</v>
      </c>
      <c r="D3626" t="n">
        <v>0</v>
      </c>
      <c r="E3626" s="10" t="n">
        <v>0</v>
      </c>
      <c r="F3626" s="10" t="n">
        <v>0.210974162633799</v>
      </c>
      <c r="G3626" s="11">
        <f>E3626*Summary!$B$6</f>
        <v/>
      </c>
      <c r="H3626" s="11">
        <f>F3626*Summary!$B$7</f>
        <v/>
      </c>
      <c r="I3626" s="11">
        <f>MAX(0,N3626-M3626)</f>
        <v/>
      </c>
      <c r="J3626" s="11">
        <f>MAX(0,M3626-N3626)</f>
        <v/>
      </c>
      <c r="K3626" s="11">
        <f>O3626</f>
        <v/>
      </c>
      <c r="L3626" s="11">
        <f>L3625+IF(K3626&gt;0,K3626*Summary!$B$9,K3626/Summary!$B$9)</f>
        <v/>
      </c>
      <c r="M3626" s="11">
        <f>G3626+H3626</f>
        <v/>
      </c>
      <c r="N3626" s="11">
        <f>Summary!$C$16*Summary!$B$8</f>
        <v/>
      </c>
      <c r="O3626" s="11">
        <f>M3626-N3626</f>
        <v/>
      </c>
    </row>
    <row r="3627">
      <c r="A3627" s="9" t="n">
        <v>45443.04166666666</v>
      </c>
      <c r="B3627" t="n">
        <v>5</v>
      </c>
      <c r="C3627" t="n">
        <v>31</v>
      </c>
      <c r="D3627" t="n">
        <v>1</v>
      </c>
      <c r="E3627" s="10" t="n">
        <v>0</v>
      </c>
      <c r="F3627" s="10" t="n">
        <v>0.3345914243019419</v>
      </c>
      <c r="G3627" s="11">
        <f>E3627*Summary!$B$6</f>
        <v/>
      </c>
      <c r="H3627" s="11">
        <f>F3627*Summary!$B$7</f>
        <v/>
      </c>
      <c r="I3627" s="11">
        <f>MAX(0,N3627-M3627)</f>
        <v/>
      </c>
      <c r="J3627" s="11">
        <f>MAX(0,M3627-N3627)</f>
        <v/>
      </c>
      <c r="K3627" s="11">
        <f>O3627</f>
        <v/>
      </c>
      <c r="L3627" s="11">
        <f>L3626+IF(K3627&gt;0,K3627*Summary!$B$9,K3627/Summary!$B$9)</f>
        <v/>
      </c>
      <c r="M3627" s="11">
        <f>G3627+H3627</f>
        <v/>
      </c>
      <c r="N3627" s="11">
        <f>Summary!$C$16*Summary!$B$8</f>
        <v/>
      </c>
      <c r="O3627" s="11">
        <f>M3627-N3627</f>
        <v/>
      </c>
    </row>
    <row r="3628">
      <c r="A3628" s="9" t="n">
        <v>45443.08333333334</v>
      </c>
      <c r="B3628" t="n">
        <v>5</v>
      </c>
      <c r="C3628" t="n">
        <v>31</v>
      </c>
      <c r="D3628" t="n">
        <v>2</v>
      </c>
      <c r="E3628" s="10" t="n">
        <v>0</v>
      </c>
      <c r="F3628" s="10" t="n">
        <v>0.3245513098923144</v>
      </c>
      <c r="G3628" s="11">
        <f>E3628*Summary!$B$6</f>
        <v/>
      </c>
      <c r="H3628" s="11">
        <f>F3628*Summary!$B$7</f>
        <v/>
      </c>
      <c r="I3628" s="11">
        <f>MAX(0,N3628-M3628)</f>
        <v/>
      </c>
      <c r="J3628" s="11">
        <f>MAX(0,M3628-N3628)</f>
        <v/>
      </c>
      <c r="K3628" s="11">
        <f>O3628</f>
        <v/>
      </c>
      <c r="L3628" s="11">
        <f>L3627+IF(K3628&gt;0,K3628*Summary!$B$9,K3628/Summary!$B$9)</f>
        <v/>
      </c>
      <c r="M3628" s="11">
        <f>G3628+H3628</f>
        <v/>
      </c>
      <c r="N3628" s="11">
        <f>Summary!$C$16*Summary!$B$8</f>
        <v/>
      </c>
      <c r="O3628" s="11">
        <f>M3628-N3628</f>
        <v/>
      </c>
    </row>
    <row r="3629">
      <c r="A3629" s="9" t="n">
        <v>45443.125</v>
      </c>
      <c r="B3629" t="n">
        <v>5</v>
      </c>
      <c r="C3629" t="n">
        <v>31</v>
      </c>
      <c r="D3629" t="n">
        <v>3</v>
      </c>
      <c r="E3629" s="10" t="n">
        <v>0</v>
      </c>
      <c r="F3629" s="10" t="n">
        <v>0.3196761887222853</v>
      </c>
      <c r="G3629" s="11">
        <f>E3629*Summary!$B$6</f>
        <v/>
      </c>
      <c r="H3629" s="11">
        <f>F3629*Summary!$B$7</f>
        <v/>
      </c>
      <c r="I3629" s="11">
        <f>MAX(0,N3629-M3629)</f>
        <v/>
      </c>
      <c r="J3629" s="11">
        <f>MAX(0,M3629-N3629)</f>
        <v/>
      </c>
      <c r="K3629" s="11">
        <f>O3629</f>
        <v/>
      </c>
      <c r="L3629" s="11">
        <f>L3628+IF(K3629&gt;0,K3629*Summary!$B$9,K3629/Summary!$B$9)</f>
        <v/>
      </c>
      <c r="M3629" s="11">
        <f>G3629+H3629</f>
        <v/>
      </c>
      <c r="N3629" s="11">
        <f>Summary!$C$16*Summary!$B$8</f>
        <v/>
      </c>
      <c r="O3629" s="11">
        <f>M3629-N3629</f>
        <v/>
      </c>
    </row>
    <row r="3630">
      <c r="A3630" s="9" t="n">
        <v>45443.16666666666</v>
      </c>
      <c r="B3630" t="n">
        <v>5</v>
      </c>
      <c r="C3630" t="n">
        <v>31</v>
      </c>
      <c r="D3630" t="n">
        <v>4</v>
      </c>
      <c r="E3630" s="10" t="n">
        <v>0.004603</v>
      </c>
      <c r="F3630" s="10" t="n">
        <v>0.3007290961749831</v>
      </c>
      <c r="G3630" s="11">
        <f>E3630*Summary!$B$6</f>
        <v/>
      </c>
      <c r="H3630" s="11">
        <f>F3630*Summary!$B$7</f>
        <v/>
      </c>
      <c r="I3630" s="11">
        <f>MAX(0,N3630-M3630)</f>
        <v/>
      </c>
      <c r="J3630" s="11">
        <f>MAX(0,M3630-N3630)</f>
        <v/>
      </c>
      <c r="K3630" s="11">
        <f>O3630</f>
        <v/>
      </c>
      <c r="L3630" s="11">
        <f>L3629+IF(K3630&gt;0,K3630*Summary!$B$9,K3630/Summary!$B$9)</f>
        <v/>
      </c>
      <c r="M3630" s="11">
        <f>G3630+H3630</f>
        <v/>
      </c>
      <c r="N3630" s="11">
        <f>Summary!$C$16*Summary!$B$8</f>
        <v/>
      </c>
      <c r="O3630" s="11">
        <f>M3630-N3630</f>
        <v/>
      </c>
    </row>
    <row r="3631">
      <c r="A3631" s="9" t="n">
        <v>45443.20833333334</v>
      </c>
      <c r="B3631" t="n">
        <v>5</v>
      </c>
      <c r="C3631" t="n">
        <v>31</v>
      </c>
      <c r="D3631" t="n">
        <v>5</v>
      </c>
      <c r="E3631" s="10" t="n">
        <v>0.027503</v>
      </c>
      <c r="F3631" s="10" t="n">
        <v>0.2668404160416998</v>
      </c>
      <c r="G3631" s="11">
        <f>E3631*Summary!$B$6</f>
        <v/>
      </c>
      <c r="H3631" s="11">
        <f>F3631*Summary!$B$7</f>
        <v/>
      </c>
      <c r="I3631" s="11">
        <f>MAX(0,N3631-M3631)</f>
        <v/>
      </c>
      <c r="J3631" s="11">
        <f>MAX(0,M3631-N3631)</f>
        <v/>
      </c>
      <c r="K3631" s="11">
        <f>O3631</f>
        <v/>
      </c>
      <c r="L3631" s="11">
        <f>L3630+IF(K3631&gt;0,K3631*Summary!$B$9,K3631/Summary!$B$9)</f>
        <v/>
      </c>
      <c r="M3631" s="11">
        <f>G3631+H3631</f>
        <v/>
      </c>
      <c r="N3631" s="11">
        <f>Summary!$C$16*Summary!$B$8</f>
        <v/>
      </c>
      <c r="O3631" s="11">
        <f>M3631-N3631</f>
        <v/>
      </c>
    </row>
    <row r="3632">
      <c r="A3632" s="9" t="n">
        <v>45443.25</v>
      </c>
      <c r="B3632" t="n">
        <v>5</v>
      </c>
      <c r="C3632" t="n">
        <v>31</v>
      </c>
      <c r="D3632" t="n">
        <v>6</v>
      </c>
      <c r="E3632" s="10" t="n">
        <v>0.048416</v>
      </c>
      <c r="F3632" s="10" t="n">
        <v>0.2312125034910008</v>
      </c>
      <c r="G3632" s="11">
        <f>E3632*Summary!$B$6</f>
        <v/>
      </c>
      <c r="H3632" s="11">
        <f>F3632*Summary!$B$7</f>
        <v/>
      </c>
      <c r="I3632" s="11">
        <f>MAX(0,N3632-M3632)</f>
        <v/>
      </c>
      <c r="J3632" s="11">
        <f>MAX(0,M3632-N3632)</f>
        <v/>
      </c>
      <c r="K3632" s="11">
        <f>O3632</f>
        <v/>
      </c>
      <c r="L3632" s="11">
        <f>L3631+IF(K3632&gt;0,K3632*Summary!$B$9,K3632/Summary!$B$9)</f>
        <v/>
      </c>
      <c r="M3632" s="11">
        <f>G3632+H3632</f>
        <v/>
      </c>
      <c r="N3632" s="11">
        <f>Summary!$C$16*Summary!$B$8</f>
        <v/>
      </c>
      <c r="O3632" s="11">
        <f>M3632-N3632</f>
        <v/>
      </c>
    </row>
    <row r="3633">
      <c r="A3633" s="9" t="n">
        <v>45443.29166666666</v>
      </c>
      <c r="B3633" t="n">
        <v>5</v>
      </c>
      <c r="C3633" t="n">
        <v>31</v>
      </c>
      <c r="D3633" t="n">
        <v>7</v>
      </c>
      <c r="E3633" s="10" t="n">
        <v>0.080607</v>
      </c>
      <c r="F3633" s="10" t="n">
        <v>0.2044125130590032</v>
      </c>
      <c r="G3633" s="11">
        <f>E3633*Summary!$B$6</f>
        <v/>
      </c>
      <c r="H3633" s="11">
        <f>F3633*Summary!$B$7</f>
        <v/>
      </c>
      <c r="I3633" s="11">
        <f>MAX(0,N3633-M3633)</f>
        <v/>
      </c>
      <c r="J3633" s="11">
        <f>MAX(0,M3633-N3633)</f>
        <v/>
      </c>
      <c r="K3633" s="11">
        <f>O3633</f>
        <v/>
      </c>
      <c r="L3633" s="11">
        <f>L3632+IF(K3633&gt;0,K3633*Summary!$B$9,K3633/Summary!$B$9)</f>
        <v/>
      </c>
      <c r="M3633" s="11">
        <f>G3633+H3633</f>
        <v/>
      </c>
      <c r="N3633" s="11">
        <f>Summary!$C$16*Summary!$B$8</f>
        <v/>
      </c>
      <c r="O3633" s="11">
        <f>M3633-N3633</f>
        <v/>
      </c>
    </row>
    <row r="3634">
      <c r="A3634" s="9" t="n">
        <v>45443.33333333334</v>
      </c>
      <c r="B3634" t="n">
        <v>5</v>
      </c>
      <c r="C3634" t="n">
        <v>31</v>
      </c>
      <c r="D3634" t="n">
        <v>8</v>
      </c>
      <c r="E3634" s="10" t="n">
        <v>0.11561</v>
      </c>
      <c r="F3634" s="10" t="n">
        <v>0.1973765273703666</v>
      </c>
      <c r="G3634" s="11">
        <f>E3634*Summary!$B$6</f>
        <v/>
      </c>
      <c r="H3634" s="11">
        <f>F3634*Summary!$B$7</f>
        <v/>
      </c>
      <c r="I3634" s="11">
        <f>MAX(0,N3634-M3634)</f>
        <v/>
      </c>
      <c r="J3634" s="11">
        <f>MAX(0,M3634-N3634)</f>
        <v/>
      </c>
      <c r="K3634" s="11">
        <f>O3634</f>
        <v/>
      </c>
      <c r="L3634" s="11">
        <f>L3633+IF(K3634&gt;0,K3634*Summary!$B$9,K3634/Summary!$B$9)</f>
        <v/>
      </c>
      <c r="M3634" s="11">
        <f>G3634+H3634</f>
        <v/>
      </c>
      <c r="N3634" s="11">
        <f>Summary!$C$16*Summary!$B$8</f>
        <v/>
      </c>
      <c r="O3634" s="11">
        <f>M3634-N3634</f>
        <v/>
      </c>
    </row>
    <row r="3635">
      <c r="A3635" s="9" t="n">
        <v>45443.375</v>
      </c>
      <c r="B3635" t="n">
        <v>5</v>
      </c>
      <c r="C3635" t="n">
        <v>31</v>
      </c>
      <c r="D3635" t="n">
        <v>9</v>
      </c>
      <c r="E3635" s="10" t="n">
        <v>0.161357</v>
      </c>
      <c r="F3635" s="10" t="n">
        <v>0.1936345424722902</v>
      </c>
      <c r="G3635" s="11">
        <f>E3635*Summary!$B$6</f>
        <v/>
      </c>
      <c r="H3635" s="11">
        <f>F3635*Summary!$B$7</f>
        <v/>
      </c>
      <c r="I3635" s="11">
        <f>MAX(0,N3635-M3635)</f>
        <v/>
      </c>
      <c r="J3635" s="11">
        <f>MAX(0,M3635-N3635)</f>
        <v/>
      </c>
      <c r="K3635" s="11">
        <f>O3635</f>
        <v/>
      </c>
      <c r="L3635" s="11">
        <f>L3634+IF(K3635&gt;0,K3635*Summary!$B$9,K3635/Summary!$B$9)</f>
        <v/>
      </c>
      <c r="M3635" s="11">
        <f>G3635+H3635</f>
        <v/>
      </c>
      <c r="N3635" s="11">
        <f>Summary!$C$16*Summary!$B$8</f>
        <v/>
      </c>
      <c r="O3635" s="11">
        <f>M3635-N3635</f>
        <v/>
      </c>
    </row>
    <row r="3636">
      <c r="A3636" s="9" t="n">
        <v>45443.41666666666</v>
      </c>
      <c r="B3636" t="n">
        <v>5</v>
      </c>
      <c r="C3636" t="n">
        <v>31</v>
      </c>
      <c r="D3636" t="n">
        <v>10</v>
      </c>
      <c r="E3636" s="10" t="n">
        <v>0.158793</v>
      </c>
      <c r="F3636" s="10" t="n">
        <v>0.1958217589972222</v>
      </c>
      <c r="G3636" s="11">
        <f>E3636*Summary!$B$6</f>
        <v/>
      </c>
      <c r="H3636" s="11">
        <f>F3636*Summary!$B$7</f>
        <v/>
      </c>
      <c r="I3636" s="11">
        <f>MAX(0,N3636-M3636)</f>
        <v/>
      </c>
      <c r="J3636" s="11">
        <f>MAX(0,M3636-N3636)</f>
        <v/>
      </c>
      <c r="K3636" s="11">
        <f>O3636</f>
        <v/>
      </c>
      <c r="L3636" s="11">
        <f>L3635+IF(K3636&gt;0,K3636*Summary!$B$9,K3636/Summary!$B$9)</f>
        <v/>
      </c>
      <c r="M3636" s="11">
        <f>G3636+H3636</f>
        <v/>
      </c>
      <c r="N3636" s="11">
        <f>Summary!$C$16*Summary!$B$8</f>
        <v/>
      </c>
      <c r="O3636" s="11">
        <f>M3636-N3636</f>
        <v/>
      </c>
    </row>
    <row r="3637">
      <c r="A3637" s="9" t="n">
        <v>45443.45833333334</v>
      </c>
      <c r="B3637" t="n">
        <v>5</v>
      </c>
      <c r="C3637" t="n">
        <v>31</v>
      </c>
      <c r="D3637" t="n">
        <v>11</v>
      </c>
      <c r="E3637" s="10" t="n">
        <v>0.254698</v>
      </c>
      <c r="F3637" s="10" t="n">
        <v>0.202541520609965</v>
      </c>
      <c r="G3637" s="11">
        <f>E3637*Summary!$B$6</f>
        <v/>
      </c>
      <c r="H3637" s="11">
        <f>F3637*Summary!$B$7</f>
        <v/>
      </c>
      <c r="I3637" s="11">
        <f>MAX(0,N3637-M3637)</f>
        <v/>
      </c>
      <c r="J3637" s="11">
        <f>MAX(0,M3637-N3637)</f>
        <v/>
      </c>
      <c r="K3637" s="11">
        <f>O3637</f>
        <v/>
      </c>
      <c r="L3637" s="11">
        <f>L3636+IF(K3637&gt;0,K3637*Summary!$B$9,K3637/Summary!$B$9)</f>
        <v/>
      </c>
      <c r="M3637" s="11">
        <f>G3637+H3637</f>
        <v/>
      </c>
      <c r="N3637" s="11">
        <f>Summary!$C$16*Summary!$B$8</f>
        <v/>
      </c>
      <c r="O3637" s="11">
        <f>M3637-N3637</f>
        <v/>
      </c>
    </row>
    <row r="3638">
      <c r="A3638" s="9" t="n">
        <v>45443.5</v>
      </c>
      <c r="B3638" t="n">
        <v>5</v>
      </c>
      <c r="C3638" t="n">
        <v>31</v>
      </c>
      <c r="D3638" t="n">
        <v>12</v>
      </c>
      <c r="E3638" s="10" t="n">
        <v>0.287888</v>
      </c>
      <c r="F3638" s="10" t="n">
        <v>0.2059672814321475</v>
      </c>
      <c r="G3638" s="11">
        <f>E3638*Summary!$B$6</f>
        <v/>
      </c>
      <c r="H3638" s="11">
        <f>F3638*Summary!$B$7</f>
        <v/>
      </c>
      <c r="I3638" s="11">
        <f>MAX(0,N3638-M3638)</f>
        <v/>
      </c>
      <c r="J3638" s="11">
        <f>MAX(0,M3638-N3638)</f>
        <v/>
      </c>
      <c r="K3638" s="11">
        <f>O3638</f>
        <v/>
      </c>
      <c r="L3638" s="11">
        <f>L3637+IF(K3638&gt;0,K3638*Summary!$B$9,K3638/Summary!$B$9)</f>
        <v/>
      </c>
      <c r="M3638" s="11">
        <f>G3638+H3638</f>
        <v/>
      </c>
      <c r="N3638" s="11">
        <f>Summary!$C$16*Summary!$B$8</f>
        <v/>
      </c>
      <c r="O3638" s="11">
        <f>M3638-N3638</f>
        <v/>
      </c>
    </row>
    <row r="3639">
      <c r="A3639" s="9" t="n">
        <v>45443.54166666666</v>
      </c>
      <c r="B3639" t="n">
        <v>5</v>
      </c>
      <c r="C3639" t="n">
        <v>31</v>
      </c>
      <c r="D3639" t="n">
        <v>13</v>
      </c>
      <c r="E3639" s="10" t="n">
        <v>0.316368</v>
      </c>
      <c r="F3639" s="10" t="n">
        <v>0.2104998265199584</v>
      </c>
      <c r="G3639" s="11">
        <f>E3639*Summary!$B$6</f>
        <v/>
      </c>
      <c r="H3639" s="11">
        <f>F3639*Summary!$B$7</f>
        <v/>
      </c>
      <c r="I3639" s="11">
        <f>MAX(0,N3639-M3639)</f>
        <v/>
      </c>
      <c r="J3639" s="11">
        <f>MAX(0,M3639-N3639)</f>
        <v/>
      </c>
      <c r="K3639" s="11">
        <f>O3639</f>
        <v/>
      </c>
      <c r="L3639" s="11">
        <f>L3638+IF(K3639&gt;0,K3639*Summary!$B$9,K3639/Summary!$B$9)</f>
        <v/>
      </c>
      <c r="M3639" s="11">
        <f>G3639+H3639</f>
        <v/>
      </c>
      <c r="N3639" s="11">
        <f>Summary!$C$16*Summary!$B$8</f>
        <v/>
      </c>
      <c r="O3639" s="11">
        <f>M3639-N3639</f>
        <v/>
      </c>
    </row>
    <row r="3640">
      <c r="A3640" s="9" t="n">
        <v>45443.58333333334</v>
      </c>
      <c r="B3640" t="n">
        <v>5</v>
      </c>
      <c r="C3640" t="n">
        <v>31</v>
      </c>
      <c r="D3640" t="n">
        <v>14</v>
      </c>
      <c r="E3640" s="10" t="n">
        <v>0.477203</v>
      </c>
      <c r="F3640" s="10" t="n">
        <v>0.2119755388741293</v>
      </c>
      <c r="G3640" s="11">
        <f>E3640*Summary!$B$6</f>
        <v/>
      </c>
      <c r="H3640" s="11">
        <f>F3640*Summary!$B$7</f>
        <v/>
      </c>
      <c r="I3640" s="11">
        <f>MAX(0,N3640-M3640)</f>
        <v/>
      </c>
      <c r="J3640" s="11">
        <f>MAX(0,M3640-N3640)</f>
        <v/>
      </c>
      <c r="K3640" s="11">
        <f>O3640</f>
        <v/>
      </c>
      <c r="L3640" s="11">
        <f>L3639+IF(K3640&gt;0,K3640*Summary!$B$9,K3640/Summary!$B$9)</f>
        <v/>
      </c>
      <c r="M3640" s="11">
        <f>G3640+H3640</f>
        <v/>
      </c>
      <c r="N3640" s="11">
        <f>Summary!$C$16*Summary!$B$8</f>
        <v/>
      </c>
      <c r="O3640" s="11">
        <f>M3640-N3640</f>
        <v/>
      </c>
    </row>
    <row r="3641">
      <c r="A3641" s="9" t="n">
        <v>45443.625</v>
      </c>
      <c r="B3641" t="n">
        <v>5</v>
      </c>
      <c r="C3641" t="n">
        <v>31</v>
      </c>
      <c r="D3641" t="n">
        <v>15</v>
      </c>
      <c r="E3641" s="10" t="n">
        <v>0.373595</v>
      </c>
      <c r="F3641" s="10" t="n">
        <v>0.2112113306907193</v>
      </c>
      <c r="G3641" s="11">
        <f>E3641*Summary!$B$6</f>
        <v/>
      </c>
      <c r="H3641" s="11">
        <f>F3641*Summary!$B$7</f>
        <v/>
      </c>
      <c r="I3641" s="11">
        <f>MAX(0,N3641-M3641)</f>
        <v/>
      </c>
      <c r="J3641" s="11">
        <f>MAX(0,M3641-N3641)</f>
        <v/>
      </c>
      <c r="K3641" s="11">
        <f>O3641</f>
        <v/>
      </c>
      <c r="L3641" s="11">
        <f>L3640+IF(K3641&gt;0,K3641*Summary!$B$9,K3641/Summary!$B$9)</f>
        <v/>
      </c>
      <c r="M3641" s="11">
        <f>G3641+H3641</f>
        <v/>
      </c>
      <c r="N3641" s="11">
        <f>Summary!$C$16*Summary!$B$8</f>
        <v/>
      </c>
      <c r="O3641" s="11">
        <f>M3641-N3641</f>
        <v/>
      </c>
    </row>
    <row r="3642">
      <c r="A3642" s="9" t="n">
        <v>45443.66666666666</v>
      </c>
      <c r="B3642" t="n">
        <v>5</v>
      </c>
      <c r="C3642" t="n">
        <v>31</v>
      </c>
      <c r="D3642" t="n">
        <v>16</v>
      </c>
      <c r="E3642" s="10" t="n">
        <v>0.255243</v>
      </c>
      <c r="F3642" s="10" t="n">
        <v>0.2080754419381061</v>
      </c>
      <c r="G3642" s="11">
        <f>E3642*Summary!$B$6</f>
        <v/>
      </c>
      <c r="H3642" s="11">
        <f>F3642*Summary!$B$7</f>
        <v/>
      </c>
      <c r="I3642" s="11">
        <f>MAX(0,N3642-M3642)</f>
        <v/>
      </c>
      <c r="J3642" s="11">
        <f>MAX(0,M3642-N3642)</f>
        <v/>
      </c>
      <c r="K3642" s="11">
        <f>O3642</f>
        <v/>
      </c>
      <c r="L3642" s="11">
        <f>L3641+IF(K3642&gt;0,K3642*Summary!$B$9,K3642/Summary!$B$9)</f>
        <v/>
      </c>
      <c r="M3642" s="11">
        <f>G3642+H3642</f>
        <v/>
      </c>
      <c r="N3642" s="11">
        <f>Summary!$C$16*Summary!$B$8</f>
        <v/>
      </c>
      <c r="O3642" s="11">
        <f>M3642-N3642</f>
        <v/>
      </c>
    </row>
    <row r="3643">
      <c r="A3643" s="9" t="n">
        <v>45443.70833333334</v>
      </c>
      <c r="B3643" t="n">
        <v>5</v>
      </c>
      <c r="C3643" t="n">
        <v>31</v>
      </c>
      <c r="D3643" t="n">
        <v>17</v>
      </c>
      <c r="E3643" s="10" t="n">
        <v>0.155429</v>
      </c>
      <c r="F3643" s="10" t="n">
        <v>0.1948467347632163</v>
      </c>
      <c r="G3643" s="11">
        <f>E3643*Summary!$B$6</f>
        <v/>
      </c>
      <c r="H3643" s="11">
        <f>F3643*Summary!$B$7</f>
        <v/>
      </c>
      <c r="I3643" s="11">
        <f>MAX(0,N3643-M3643)</f>
        <v/>
      </c>
      <c r="J3643" s="11">
        <f>MAX(0,M3643-N3643)</f>
        <v/>
      </c>
      <c r="K3643" s="11">
        <f>O3643</f>
        <v/>
      </c>
      <c r="L3643" s="11">
        <f>L3642+IF(K3643&gt;0,K3643*Summary!$B$9,K3643/Summary!$B$9)</f>
        <v/>
      </c>
      <c r="M3643" s="11">
        <f>G3643+H3643</f>
        <v/>
      </c>
      <c r="N3643" s="11">
        <f>Summary!$C$16*Summary!$B$8</f>
        <v/>
      </c>
      <c r="O3643" s="11">
        <f>M3643-N3643</f>
        <v/>
      </c>
    </row>
    <row r="3644">
      <c r="A3644" s="9" t="n">
        <v>45443.75</v>
      </c>
      <c r="B3644" t="n">
        <v>5</v>
      </c>
      <c r="C3644" t="n">
        <v>31</v>
      </c>
      <c r="D3644" t="n">
        <v>18</v>
      </c>
      <c r="E3644" s="10" t="n">
        <v>0.08404300000000001</v>
      </c>
      <c r="F3644" s="10" t="n">
        <v>0.1914736779536827</v>
      </c>
      <c r="G3644" s="11">
        <f>E3644*Summary!$B$6</f>
        <v/>
      </c>
      <c r="H3644" s="11">
        <f>F3644*Summary!$B$7</f>
        <v/>
      </c>
      <c r="I3644" s="11">
        <f>MAX(0,N3644-M3644)</f>
        <v/>
      </c>
      <c r="J3644" s="11">
        <f>MAX(0,M3644-N3644)</f>
        <v/>
      </c>
      <c r="K3644" s="11">
        <f>O3644</f>
        <v/>
      </c>
      <c r="L3644" s="11">
        <f>L3643+IF(K3644&gt;0,K3644*Summary!$B$9,K3644/Summary!$B$9)</f>
        <v/>
      </c>
      <c r="M3644" s="11">
        <f>G3644+H3644</f>
        <v/>
      </c>
      <c r="N3644" s="11">
        <f>Summary!$C$16*Summary!$B$8</f>
        <v/>
      </c>
      <c r="O3644" s="11">
        <f>M3644-N3644</f>
        <v/>
      </c>
    </row>
    <row r="3645">
      <c r="A3645" s="9" t="n">
        <v>45443.79166666666</v>
      </c>
      <c r="B3645" t="n">
        <v>5</v>
      </c>
      <c r="C3645" t="n">
        <v>31</v>
      </c>
      <c r="D3645" t="n">
        <v>19</v>
      </c>
      <c r="E3645" s="10" t="n">
        <v>0.036117</v>
      </c>
      <c r="F3645" s="10" t="n">
        <v>0.1662548079011539</v>
      </c>
      <c r="G3645" s="11">
        <f>E3645*Summary!$B$6</f>
        <v/>
      </c>
      <c r="H3645" s="11">
        <f>F3645*Summary!$B$7</f>
        <v/>
      </c>
      <c r="I3645" s="11">
        <f>MAX(0,N3645-M3645)</f>
        <v/>
      </c>
      <c r="J3645" s="11">
        <f>MAX(0,M3645-N3645)</f>
        <v/>
      </c>
      <c r="K3645" s="11">
        <f>O3645</f>
        <v/>
      </c>
      <c r="L3645" s="11">
        <f>L3644+IF(K3645&gt;0,K3645*Summary!$B$9,K3645/Summary!$B$9)</f>
        <v/>
      </c>
      <c r="M3645" s="11">
        <f>G3645+H3645</f>
        <v/>
      </c>
      <c r="N3645" s="11">
        <f>Summary!$C$16*Summary!$B$8</f>
        <v/>
      </c>
      <c r="O3645" s="11">
        <f>M3645-N3645</f>
        <v/>
      </c>
    </row>
    <row r="3646">
      <c r="A3646" s="9" t="n">
        <v>45443.83333333334</v>
      </c>
      <c r="B3646" t="n">
        <v>5</v>
      </c>
      <c r="C3646" t="n">
        <v>31</v>
      </c>
      <c r="D3646" t="n">
        <v>20</v>
      </c>
      <c r="E3646" s="10" t="n">
        <v>0.005827</v>
      </c>
      <c r="F3646" s="10" t="n">
        <v>0.1688373045209531</v>
      </c>
      <c r="G3646" s="11">
        <f>E3646*Summary!$B$6</f>
        <v/>
      </c>
      <c r="H3646" s="11">
        <f>F3646*Summary!$B$7</f>
        <v/>
      </c>
      <c r="I3646" s="11">
        <f>MAX(0,N3646-M3646)</f>
        <v/>
      </c>
      <c r="J3646" s="11">
        <f>MAX(0,M3646-N3646)</f>
        <v/>
      </c>
      <c r="K3646" s="11">
        <f>O3646</f>
        <v/>
      </c>
      <c r="L3646" s="11">
        <f>L3645+IF(K3646&gt;0,K3646*Summary!$B$9,K3646/Summary!$B$9)</f>
        <v/>
      </c>
      <c r="M3646" s="11">
        <f>G3646+H3646</f>
        <v/>
      </c>
      <c r="N3646" s="11">
        <f>Summary!$C$16*Summary!$B$8</f>
        <v/>
      </c>
      <c r="O3646" s="11">
        <f>M3646-N3646</f>
        <v/>
      </c>
    </row>
    <row r="3647">
      <c r="A3647" s="9" t="n">
        <v>45443.875</v>
      </c>
      <c r="B3647" t="n">
        <v>5</v>
      </c>
      <c r="C3647" t="n">
        <v>31</v>
      </c>
      <c r="D3647" t="n">
        <v>21</v>
      </c>
      <c r="E3647" s="10" t="n">
        <v>0</v>
      </c>
      <c r="F3647" s="10" t="n">
        <v>0.1869938368785208</v>
      </c>
      <c r="G3647" s="11">
        <f>E3647*Summary!$B$6</f>
        <v/>
      </c>
      <c r="H3647" s="11">
        <f>F3647*Summary!$B$7</f>
        <v/>
      </c>
      <c r="I3647" s="11">
        <f>MAX(0,N3647-M3647)</f>
        <v/>
      </c>
      <c r="J3647" s="11">
        <f>MAX(0,M3647-N3647)</f>
        <v/>
      </c>
      <c r="K3647" s="11">
        <f>O3647</f>
        <v/>
      </c>
      <c r="L3647" s="11">
        <f>L3646+IF(K3647&gt;0,K3647*Summary!$B$9,K3647/Summary!$B$9)</f>
        <v/>
      </c>
      <c r="M3647" s="11">
        <f>G3647+H3647</f>
        <v/>
      </c>
      <c r="N3647" s="11">
        <f>Summary!$C$16*Summary!$B$8</f>
        <v/>
      </c>
      <c r="O3647" s="11">
        <f>M3647-N3647</f>
        <v/>
      </c>
    </row>
    <row r="3648">
      <c r="A3648" s="9" t="n">
        <v>45443.91666666666</v>
      </c>
      <c r="B3648" t="n">
        <v>5</v>
      </c>
      <c r="C3648" t="n">
        <v>31</v>
      </c>
      <c r="D3648" t="n">
        <v>22</v>
      </c>
      <c r="E3648" s="10" t="n">
        <v>0</v>
      </c>
      <c r="F3648" s="10" t="n">
        <v>0.1997218559332454</v>
      </c>
      <c r="G3648" s="11">
        <f>E3648*Summary!$B$6</f>
        <v/>
      </c>
      <c r="H3648" s="11">
        <f>F3648*Summary!$B$7</f>
        <v/>
      </c>
      <c r="I3648" s="11">
        <f>MAX(0,N3648-M3648)</f>
        <v/>
      </c>
      <c r="J3648" s="11">
        <f>MAX(0,M3648-N3648)</f>
        <v/>
      </c>
      <c r="K3648" s="11">
        <f>O3648</f>
        <v/>
      </c>
      <c r="L3648" s="11">
        <f>L3647+IF(K3648&gt;0,K3648*Summary!$B$9,K3648/Summary!$B$9)</f>
        <v/>
      </c>
      <c r="M3648" s="11">
        <f>G3648+H3648</f>
        <v/>
      </c>
      <c r="N3648" s="11">
        <f>Summary!$C$16*Summary!$B$8</f>
        <v/>
      </c>
      <c r="O3648" s="11">
        <f>M3648-N3648</f>
        <v/>
      </c>
    </row>
    <row r="3649">
      <c r="A3649" s="9" t="n">
        <v>45443.95833333334</v>
      </c>
      <c r="B3649" t="n">
        <v>5</v>
      </c>
      <c r="C3649" t="n">
        <v>31</v>
      </c>
      <c r="D3649" t="n">
        <v>23</v>
      </c>
      <c r="E3649" s="10" t="n">
        <v>0</v>
      </c>
      <c r="F3649" s="10" t="n">
        <v>0.2067314896155575</v>
      </c>
      <c r="G3649" s="11">
        <f>E3649*Summary!$B$6</f>
        <v/>
      </c>
      <c r="H3649" s="11">
        <f>F3649*Summary!$B$7</f>
        <v/>
      </c>
      <c r="I3649" s="11">
        <f>MAX(0,N3649-M3649)</f>
        <v/>
      </c>
      <c r="J3649" s="11">
        <f>MAX(0,M3649-N3649)</f>
        <v/>
      </c>
      <c r="K3649" s="11">
        <f>O3649</f>
        <v/>
      </c>
      <c r="L3649" s="11">
        <f>L3648+IF(K3649&gt;0,K3649*Summary!$B$9,K3649/Summary!$B$9)</f>
        <v/>
      </c>
      <c r="M3649" s="11">
        <f>G3649+H3649</f>
        <v/>
      </c>
      <c r="N3649" s="11">
        <f>Summary!$C$16*Summary!$B$8</f>
        <v/>
      </c>
      <c r="O3649" s="11">
        <f>M3649-N3649</f>
        <v/>
      </c>
    </row>
    <row r="3650">
      <c r="A3650" s="9" t="n">
        <v>45444</v>
      </c>
      <c r="B3650" t="n">
        <v>6</v>
      </c>
      <c r="C3650" t="n">
        <v>1</v>
      </c>
      <c r="D3650" t="n">
        <v>0</v>
      </c>
      <c r="E3650" s="10" t="n">
        <v>0</v>
      </c>
      <c r="F3650" s="10" t="n">
        <v>0.2625713910171338</v>
      </c>
      <c r="G3650" s="11">
        <f>E3650*Summary!$B$6</f>
        <v/>
      </c>
      <c r="H3650" s="11">
        <f>F3650*Summary!$B$7</f>
        <v/>
      </c>
      <c r="I3650" s="11">
        <f>MAX(0,N3650-M3650)</f>
        <v/>
      </c>
      <c r="J3650" s="11">
        <f>MAX(0,M3650-N3650)</f>
        <v/>
      </c>
      <c r="K3650" s="11">
        <f>O3650</f>
        <v/>
      </c>
      <c r="L3650" s="11">
        <f>L3649+IF(K3650&gt;0,K3650*Summary!$B$9,K3650/Summary!$B$9)</f>
        <v/>
      </c>
      <c r="M3650" s="11">
        <f>G3650+H3650</f>
        <v/>
      </c>
      <c r="N3650" s="11">
        <f>Summary!$C$16*Summary!$B$8</f>
        <v/>
      </c>
      <c r="O3650" s="11">
        <f>M3650-N3650</f>
        <v/>
      </c>
    </row>
    <row r="3651">
      <c r="A3651" s="9" t="n">
        <v>45444.04166666666</v>
      </c>
      <c r="B3651" t="n">
        <v>6</v>
      </c>
      <c r="C3651" t="n">
        <v>1</v>
      </c>
      <c r="D3651" t="n">
        <v>1</v>
      </c>
      <c r="E3651" s="10" t="n">
        <v>0</v>
      </c>
      <c r="F3651" s="10" t="n">
        <v>0.2156648197595568</v>
      </c>
      <c r="G3651" s="11">
        <f>E3651*Summary!$B$6</f>
        <v/>
      </c>
      <c r="H3651" s="11">
        <f>F3651*Summary!$B$7</f>
        <v/>
      </c>
      <c r="I3651" s="11">
        <f>MAX(0,N3651-M3651)</f>
        <v/>
      </c>
      <c r="J3651" s="11">
        <f>MAX(0,M3651-N3651)</f>
        <v/>
      </c>
      <c r="K3651" s="11">
        <f>O3651</f>
        <v/>
      </c>
      <c r="L3651" s="11">
        <f>L3650+IF(K3651&gt;0,K3651*Summary!$B$9,K3651/Summary!$B$9)</f>
        <v/>
      </c>
      <c r="M3651" s="11">
        <f>G3651+H3651</f>
        <v/>
      </c>
      <c r="N3651" s="11">
        <f>Summary!$C$16*Summary!$B$8</f>
        <v/>
      </c>
      <c r="O3651" s="11">
        <f>M3651-N3651</f>
        <v/>
      </c>
    </row>
    <row r="3652">
      <c r="A3652" s="9" t="n">
        <v>45444.08333333334</v>
      </c>
      <c r="B3652" t="n">
        <v>6</v>
      </c>
      <c r="C3652" t="n">
        <v>1</v>
      </c>
      <c r="D3652" t="n">
        <v>2</v>
      </c>
      <c r="E3652" s="10" t="n">
        <v>0</v>
      </c>
      <c r="F3652" s="10" t="n">
        <v>0.2169297160631319</v>
      </c>
      <c r="G3652" s="11">
        <f>E3652*Summary!$B$6</f>
        <v/>
      </c>
      <c r="H3652" s="11">
        <f>F3652*Summary!$B$7</f>
        <v/>
      </c>
      <c r="I3652" s="11">
        <f>MAX(0,N3652-M3652)</f>
        <v/>
      </c>
      <c r="J3652" s="11">
        <f>MAX(0,M3652-N3652)</f>
        <v/>
      </c>
      <c r="K3652" s="11">
        <f>O3652</f>
        <v/>
      </c>
      <c r="L3652" s="11">
        <f>L3651+IF(K3652&gt;0,K3652*Summary!$B$9,K3652/Summary!$B$9)</f>
        <v/>
      </c>
      <c r="M3652" s="11">
        <f>G3652+H3652</f>
        <v/>
      </c>
      <c r="N3652" s="11">
        <f>Summary!$C$16*Summary!$B$8</f>
        <v/>
      </c>
      <c r="O3652" s="11">
        <f>M3652-N3652</f>
        <v/>
      </c>
    </row>
    <row r="3653">
      <c r="A3653" s="9" t="n">
        <v>45444.125</v>
      </c>
      <c r="B3653" t="n">
        <v>6</v>
      </c>
      <c r="C3653" t="n">
        <v>1</v>
      </c>
      <c r="D3653" t="n">
        <v>3</v>
      </c>
      <c r="E3653" s="10" t="n">
        <v>0</v>
      </c>
      <c r="F3653" s="10" t="n">
        <v>0.2163499719239933</v>
      </c>
      <c r="G3653" s="11">
        <f>E3653*Summary!$B$6</f>
        <v/>
      </c>
      <c r="H3653" s="11">
        <f>F3653*Summary!$B$7</f>
        <v/>
      </c>
      <c r="I3653" s="11">
        <f>MAX(0,N3653-M3653)</f>
        <v/>
      </c>
      <c r="J3653" s="11">
        <f>MAX(0,M3653-N3653)</f>
        <v/>
      </c>
      <c r="K3653" s="11">
        <f>O3653</f>
        <v/>
      </c>
      <c r="L3653" s="11">
        <f>L3652+IF(K3653&gt;0,K3653*Summary!$B$9,K3653/Summary!$B$9)</f>
        <v/>
      </c>
      <c r="M3653" s="11">
        <f>G3653+H3653</f>
        <v/>
      </c>
      <c r="N3653" s="11">
        <f>Summary!$C$16*Summary!$B$8</f>
        <v/>
      </c>
      <c r="O3653" s="11">
        <f>M3653-N3653</f>
        <v/>
      </c>
    </row>
    <row r="3654">
      <c r="A3654" s="9" t="n">
        <v>45444.16666666666</v>
      </c>
      <c r="B3654" t="n">
        <v>6</v>
      </c>
      <c r="C3654" t="n">
        <v>1</v>
      </c>
      <c r="D3654" t="n">
        <v>4</v>
      </c>
      <c r="E3654" s="10" t="n">
        <v>0.024604</v>
      </c>
      <c r="F3654" s="10" t="n">
        <v>0.2050976652234397</v>
      </c>
      <c r="G3654" s="11">
        <f>E3654*Summary!$B$6</f>
        <v/>
      </c>
      <c r="H3654" s="11">
        <f>F3654*Summary!$B$7</f>
        <v/>
      </c>
      <c r="I3654" s="11">
        <f>MAX(0,N3654-M3654)</f>
        <v/>
      </c>
      <c r="J3654" s="11">
        <f>MAX(0,M3654-N3654)</f>
        <v/>
      </c>
      <c r="K3654" s="11">
        <f>O3654</f>
        <v/>
      </c>
      <c r="L3654" s="11">
        <f>L3653+IF(K3654&gt;0,K3654*Summary!$B$9,K3654/Summary!$B$9)</f>
        <v/>
      </c>
      <c r="M3654" s="11">
        <f>G3654+H3654</f>
        <v/>
      </c>
      <c r="N3654" s="11">
        <f>Summary!$C$16*Summary!$B$8</f>
        <v/>
      </c>
      <c r="O3654" s="11">
        <f>M3654-N3654</f>
        <v/>
      </c>
    </row>
    <row r="3655">
      <c r="A3655" s="9" t="n">
        <v>45444.20833333334</v>
      </c>
      <c r="B3655" t="n">
        <v>6</v>
      </c>
      <c r="C3655" t="n">
        <v>1</v>
      </c>
      <c r="D3655" t="n">
        <v>5</v>
      </c>
      <c r="E3655" s="10" t="n">
        <v>0.047204</v>
      </c>
      <c r="F3655" s="10" t="n">
        <v>0.1900243176058362</v>
      </c>
      <c r="G3655" s="11">
        <f>E3655*Summary!$B$6</f>
        <v/>
      </c>
      <c r="H3655" s="11">
        <f>F3655*Summary!$B$7</f>
        <v/>
      </c>
      <c r="I3655" s="11">
        <f>MAX(0,N3655-M3655)</f>
        <v/>
      </c>
      <c r="J3655" s="11">
        <f>MAX(0,M3655-N3655)</f>
        <v/>
      </c>
      <c r="K3655" s="11">
        <f>O3655</f>
        <v/>
      </c>
      <c r="L3655" s="11">
        <f>L3654+IF(K3655&gt;0,K3655*Summary!$B$9,K3655/Summary!$B$9)</f>
        <v/>
      </c>
      <c r="M3655" s="11">
        <f>G3655+H3655</f>
        <v/>
      </c>
      <c r="N3655" s="11">
        <f>Summary!$C$16*Summary!$B$8</f>
        <v/>
      </c>
      <c r="O3655" s="11">
        <f>M3655-N3655</f>
        <v/>
      </c>
    </row>
    <row r="3656">
      <c r="A3656" s="9" t="n">
        <v>45444.25</v>
      </c>
      <c r="B3656" t="n">
        <v>6</v>
      </c>
      <c r="C3656" t="n">
        <v>1</v>
      </c>
      <c r="D3656" t="n">
        <v>6</v>
      </c>
      <c r="E3656" s="10" t="n">
        <v>0.07101300000000001</v>
      </c>
      <c r="F3656" s="10" t="n">
        <v>0.1795889231013416</v>
      </c>
      <c r="G3656" s="11">
        <f>E3656*Summary!$B$6</f>
        <v/>
      </c>
      <c r="H3656" s="11">
        <f>F3656*Summary!$B$7</f>
        <v/>
      </c>
      <c r="I3656" s="11">
        <f>MAX(0,N3656-M3656)</f>
        <v/>
      </c>
      <c r="J3656" s="11">
        <f>MAX(0,M3656-N3656)</f>
        <v/>
      </c>
      <c r="K3656" s="11">
        <f>O3656</f>
        <v/>
      </c>
      <c r="L3656" s="11">
        <f>L3655+IF(K3656&gt;0,K3656*Summary!$B$9,K3656/Summary!$B$9)</f>
        <v/>
      </c>
      <c r="M3656" s="11">
        <f>G3656+H3656</f>
        <v/>
      </c>
      <c r="N3656" s="11">
        <f>Summary!$C$16*Summary!$B$8</f>
        <v/>
      </c>
      <c r="O3656" s="11">
        <f>M3656-N3656</f>
        <v/>
      </c>
    </row>
    <row r="3657">
      <c r="A3657" s="9" t="n">
        <v>45444.29166666666</v>
      </c>
      <c r="B3657" t="n">
        <v>6</v>
      </c>
      <c r="C3657" t="n">
        <v>1</v>
      </c>
      <c r="D3657" t="n">
        <v>7</v>
      </c>
      <c r="E3657" s="10" t="n">
        <v>0.09232799999999999</v>
      </c>
      <c r="F3657" s="10" t="n">
        <v>0.1780605067345216</v>
      </c>
      <c r="G3657" s="11">
        <f>E3657*Summary!$B$6</f>
        <v/>
      </c>
      <c r="H3657" s="11">
        <f>F3657*Summary!$B$7</f>
        <v/>
      </c>
      <c r="I3657" s="11">
        <f>MAX(0,N3657-M3657)</f>
        <v/>
      </c>
      <c r="J3657" s="11">
        <f>MAX(0,M3657-N3657)</f>
        <v/>
      </c>
      <c r="K3657" s="11">
        <f>O3657</f>
        <v/>
      </c>
      <c r="L3657" s="11">
        <f>L3656+IF(K3657&gt;0,K3657*Summary!$B$9,K3657/Summary!$B$9)</f>
        <v/>
      </c>
      <c r="M3657" s="11">
        <f>G3657+H3657</f>
        <v/>
      </c>
      <c r="N3657" s="11">
        <f>Summary!$C$16*Summary!$B$8</f>
        <v/>
      </c>
      <c r="O3657" s="11">
        <f>M3657-N3657</f>
        <v/>
      </c>
    </row>
    <row r="3658">
      <c r="A3658" s="9" t="n">
        <v>45444.33333333334</v>
      </c>
      <c r="B3658" t="n">
        <v>6</v>
      </c>
      <c r="C3658" t="n">
        <v>1</v>
      </c>
      <c r="D3658" t="n">
        <v>8</v>
      </c>
      <c r="E3658" s="10" t="n">
        <v>0.201009</v>
      </c>
      <c r="F3658" s="10" t="n">
        <v>0.1872310049354412</v>
      </c>
      <c r="G3658" s="11">
        <f>E3658*Summary!$B$6</f>
        <v/>
      </c>
      <c r="H3658" s="11">
        <f>F3658*Summary!$B$7</f>
        <v/>
      </c>
      <c r="I3658" s="11">
        <f>MAX(0,N3658-M3658)</f>
        <v/>
      </c>
      <c r="J3658" s="11">
        <f>MAX(0,M3658-N3658)</f>
        <v/>
      </c>
      <c r="K3658" s="11">
        <f>O3658</f>
        <v/>
      </c>
      <c r="L3658" s="11">
        <f>L3657+IF(K3658&gt;0,K3658*Summary!$B$9,K3658/Summary!$B$9)</f>
        <v/>
      </c>
      <c r="M3658" s="11">
        <f>G3658+H3658</f>
        <v/>
      </c>
      <c r="N3658" s="11">
        <f>Summary!$C$16*Summary!$B$8</f>
        <v/>
      </c>
      <c r="O3658" s="11">
        <f>M3658-N3658</f>
        <v/>
      </c>
    </row>
    <row r="3659">
      <c r="A3659" s="9" t="n">
        <v>45444.375</v>
      </c>
      <c r="B3659" t="n">
        <v>6</v>
      </c>
      <c r="C3659" t="n">
        <v>1</v>
      </c>
      <c r="D3659" t="n">
        <v>9</v>
      </c>
      <c r="E3659" s="10" t="n">
        <v>0.222053</v>
      </c>
      <c r="F3659" s="10" t="n">
        <v>0.2055983533436048</v>
      </c>
      <c r="G3659" s="11">
        <f>E3659*Summary!$B$6</f>
        <v/>
      </c>
      <c r="H3659" s="11">
        <f>F3659*Summary!$B$7</f>
        <v/>
      </c>
      <c r="I3659" s="11">
        <f>MAX(0,N3659-M3659)</f>
        <v/>
      </c>
      <c r="J3659" s="11">
        <f>MAX(0,M3659-N3659)</f>
        <v/>
      </c>
      <c r="K3659" s="11">
        <f>O3659</f>
        <v/>
      </c>
      <c r="L3659" s="11">
        <f>L3658+IF(K3659&gt;0,K3659*Summary!$B$9,K3659/Summary!$B$9)</f>
        <v/>
      </c>
      <c r="M3659" s="11">
        <f>G3659+H3659</f>
        <v/>
      </c>
      <c r="N3659" s="11">
        <f>Summary!$C$16*Summary!$B$8</f>
        <v/>
      </c>
      <c r="O3659" s="11">
        <f>M3659-N3659</f>
        <v/>
      </c>
    </row>
    <row r="3660">
      <c r="A3660" s="9" t="n">
        <v>45444.41666666666</v>
      </c>
      <c r="B3660" t="n">
        <v>6</v>
      </c>
      <c r="C3660" t="n">
        <v>1</v>
      </c>
      <c r="D3660" t="n">
        <v>10</v>
      </c>
      <c r="E3660" s="10" t="n">
        <v>0.261101</v>
      </c>
      <c r="F3660" s="10" t="n">
        <v>0.2283664868079568</v>
      </c>
      <c r="G3660" s="11">
        <f>E3660*Summary!$B$6</f>
        <v/>
      </c>
      <c r="H3660" s="11">
        <f>F3660*Summary!$B$7</f>
        <v/>
      </c>
      <c r="I3660" s="11">
        <f>MAX(0,N3660-M3660)</f>
        <v/>
      </c>
      <c r="J3660" s="11">
        <f>MAX(0,M3660-N3660)</f>
        <v/>
      </c>
      <c r="K3660" s="11">
        <f>O3660</f>
        <v/>
      </c>
      <c r="L3660" s="11">
        <f>L3659+IF(K3660&gt;0,K3660*Summary!$B$9,K3660/Summary!$B$9)</f>
        <v/>
      </c>
      <c r="M3660" s="11">
        <f>G3660+H3660</f>
        <v/>
      </c>
      <c r="N3660" s="11">
        <f>Summary!$C$16*Summary!$B$8</f>
        <v/>
      </c>
      <c r="O3660" s="11">
        <f>M3660-N3660</f>
        <v/>
      </c>
    </row>
    <row r="3661">
      <c r="A3661" s="9" t="n">
        <v>45444.45833333334</v>
      </c>
      <c r="B3661" t="n">
        <v>6</v>
      </c>
      <c r="C3661" t="n">
        <v>1</v>
      </c>
      <c r="D3661" t="n">
        <v>11</v>
      </c>
      <c r="E3661" s="10" t="n">
        <v>0.38298</v>
      </c>
      <c r="F3661" s="10" t="n">
        <v>0.241015449843708</v>
      </c>
      <c r="G3661" s="11">
        <f>E3661*Summary!$B$6</f>
        <v/>
      </c>
      <c r="H3661" s="11">
        <f>F3661*Summary!$B$7</f>
        <v/>
      </c>
      <c r="I3661" s="11">
        <f>MAX(0,N3661-M3661)</f>
        <v/>
      </c>
      <c r="J3661" s="11">
        <f>MAX(0,M3661-N3661)</f>
        <v/>
      </c>
      <c r="K3661" s="11">
        <f>O3661</f>
        <v/>
      </c>
      <c r="L3661" s="11">
        <f>L3660+IF(K3661&gt;0,K3661*Summary!$B$9,K3661/Summary!$B$9)</f>
        <v/>
      </c>
      <c r="M3661" s="11">
        <f>G3661+H3661</f>
        <v/>
      </c>
      <c r="N3661" s="11">
        <f>Summary!$C$16*Summary!$B$8</f>
        <v/>
      </c>
      <c r="O3661" s="11">
        <f>M3661-N3661</f>
        <v/>
      </c>
    </row>
    <row r="3662">
      <c r="A3662" s="9" t="n">
        <v>45444.5</v>
      </c>
      <c r="B3662" t="n">
        <v>6</v>
      </c>
      <c r="C3662" t="n">
        <v>1</v>
      </c>
      <c r="D3662" t="n">
        <v>12</v>
      </c>
      <c r="E3662" s="10" t="n">
        <v>0.754058</v>
      </c>
      <c r="F3662" s="10" t="n">
        <v>0.2755365781287787</v>
      </c>
      <c r="G3662" s="11">
        <f>E3662*Summary!$B$6</f>
        <v/>
      </c>
      <c r="H3662" s="11">
        <f>F3662*Summary!$B$7</f>
        <v/>
      </c>
      <c r="I3662" s="11">
        <f>MAX(0,N3662-M3662)</f>
        <v/>
      </c>
      <c r="J3662" s="11">
        <f>MAX(0,M3662-N3662)</f>
        <v/>
      </c>
      <c r="K3662" s="11">
        <f>O3662</f>
        <v/>
      </c>
      <c r="L3662" s="11">
        <f>L3661+IF(K3662&gt;0,K3662*Summary!$B$9,K3662/Summary!$B$9)</f>
        <v/>
      </c>
      <c r="M3662" s="11">
        <f>G3662+H3662</f>
        <v/>
      </c>
      <c r="N3662" s="11">
        <f>Summary!$C$16*Summary!$B$8</f>
        <v/>
      </c>
      <c r="O3662" s="11">
        <f>M3662-N3662</f>
        <v/>
      </c>
    </row>
    <row r="3663">
      <c r="A3663" s="9" t="n">
        <v>45444.54166666666</v>
      </c>
      <c r="B3663" t="n">
        <v>6</v>
      </c>
      <c r="C3663" t="n">
        <v>1</v>
      </c>
      <c r="D3663" t="n">
        <v>13</v>
      </c>
      <c r="E3663" s="10" t="n">
        <v>0.754058</v>
      </c>
      <c r="F3663" s="10" t="n">
        <v>0.2605159345238243</v>
      </c>
      <c r="G3663" s="11">
        <f>E3663*Summary!$B$6</f>
        <v/>
      </c>
      <c r="H3663" s="11">
        <f>F3663*Summary!$B$7</f>
        <v/>
      </c>
      <c r="I3663" s="11">
        <f>MAX(0,N3663-M3663)</f>
        <v/>
      </c>
      <c r="J3663" s="11">
        <f>MAX(0,M3663-N3663)</f>
        <v/>
      </c>
      <c r="K3663" s="11">
        <f>O3663</f>
        <v/>
      </c>
      <c r="L3663" s="11">
        <f>L3662+IF(K3663&gt;0,K3663*Summary!$B$9,K3663/Summary!$B$9)</f>
        <v/>
      </c>
      <c r="M3663" s="11">
        <f>G3663+H3663</f>
        <v/>
      </c>
      <c r="N3663" s="11">
        <f>Summary!$C$16*Summary!$B$8</f>
        <v/>
      </c>
      <c r="O3663" s="11">
        <f>M3663-N3663</f>
        <v/>
      </c>
    </row>
    <row r="3664">
      <c r="A3664" s="9" t="n">
        <v>45444.58333333334</v>
      </c>
      <c r="B3664" t="n">
        <v>6</v>
      </c>
      <c r="C3664" t="n">
        <v>1</v>
      </c>
      <c r="D3664" t="n">
        <v>14</v>
      </c>
      <c r="E3664" s="10" t="n">
        <v>0.6373180000000001</v>
      </c>
      <c r="F3664" s="10" t="n">
        <v>0.2651275356306085</v>
      </c>
      <c r="G3664" s="11">
        <f>E3664*Summary!$B$6</f>
        <v/>
      </c>
      <c r="H3664" s="11">
        <f>F3664*Summary!$B$7</f>
        <v/>
      </c>
      <c r="I3664" s="11">
        <f>MAX(0,N3664-M3664)</f>
        <v/>
      </c>
      <c r="J3664" s="11">
        <f>MAX(0,M3664-N3664)</f>
        <v/>
      </c>
      <c r="K3664" s="11">
        <f>O3664</f>
        <v/>
      </c>
      <c r="L3664" s="11">
        <f>L3663+IF(K3664&gt;0,K3664*Summary!$B$9,K3664/Summary!$B$9)</f>
        <v/>
      </c>
      <c r="M3664" s="11">
        <f>G3664+H3664</f>
        <v/>
      </c>
      <c r="N3664" s="11">
        <f>Summary!$C$16*Summary!$B$8</f>
        <v/>
      </c>
      <c r="O3664" s="11">
        <f>M3664-N3664</f>
        <v/>
      </c>
    </row>
    <row r="3665">
      <c r="A3665" s="9" t="n">
        <v>45444.625</v>
      </c>
      <c r="B3665" t="n">
        <v>6</v>
      </c>
      <c r="C3665" t="n">
        <v>1</v>
      </c>
      <c r="D3665" t="n">
        <v>15</v>
      </c>
      <c r="E3665" s="10" t="n">
        <v>0.48218</v>
      </c>
      <c r="F3665" s="10" t="n">
        <v>0.2642842714282251</v>
      </c>
      <c r="G3665" s="11">
        <f>E3665*Summary!$B$6</f>
        <v/>
      </c>
      <c r="H3665" s="11">
        <f>F3665*Summary!$B$7</f>
        <v/>
      </c>
      <c r="I3665" s="11">
        <f>MAX(0,N3665-M3665)</f>
        <v/>
      </c>
      <c r="J3665" s="11">
        <f>MAX(0,M3665-N3665)</f>
        <v/>
      </c>
      <c r="K3665" s="11">
        <f>O3665</f>
        <v/>
      </c>
      <c r="L3665" s="11">
        <f>L3664+IF(K3665&gt;0,K3665*Summary!$B$9,K3665/Summary!$B$9)</f>
        <v/>
      </c>
      <c r="M3665" s="11">
        <f>G3665+H3665</f>
        <v/>
      </c>
      <c r="N3665" s="11">
        <f>Summary!$C$16*Summary!$B$8</f>
        <v/>
      </c>
      <c r="O3665" s="11">
        <f>M3665-N3665</f>
        <v/>
      </c>
    </row>
    <row r="3666">
      <c r="A3666" s="9" t="n">
        <v>45444.66666666666</v>
      </c>
      <c r="B3666" t="n">
        <v>6</v>
      </c>
      <c r="C3666" t="n">
        <v>1</v>
      </c>
      <c r="D3666" t="n">
        <v>16</v>
      </c>
      <c r="E3666" s="10" t="n">
        <v>0.389976</v>
      </c>
      <c r="F3666" s="10" t="n">
        <v>0.2630984311436235</v>
      </c>
      <c r="G3666" s="11">
        <f>E3666*Summary!$B$6</f>
        <v/>
      </c>
      <c r="H3666" s="11">
        <f>F3666*Summary!$B$7</f>
        <v/>
      </c>
      <c r="I3666" s="11">
        <f>MAX(0,N3666-M3666)</f>
        <v/>
      </c>
      <c r="J3666" s="11">
        <f>MAX(0,M3666-N3666)</f>
        <v/>
      </c>
      <c r="K3666" s="11">
        <f>O3666</f>
        <v/>
      </c>
      <c r="L3666" s="11">
        <f>L3665+IF(K3666&gt;0,K3666*Summary!$B$9,K3666/Summary!$B$9)</f>
        <v/>
      </c>
      <c r="M3666" s="11">
        <f>G3666+H3666</f>
        <v/>
      </c>
      <c r="N3666" s="11">
        <f>Summary!$C$16*Summary!$B$8</f>
        <v/>
      </c>
      <c r="O3666" s="11">
        <f>M3666-N3666</f>
        <v/>
      </c>
    </row>
    <row r="3667">
      <c r="A3667" s="9" t="n">
        <v>45444.70833333334</v>
      </c>
      <c r="B3667" t="n">
        <v>6</v>
      </c>
      <c r="C3667" t="n">
        <v>1</v>
      </c>
      <c r="D3667" t="n">
        <v>17</v>
      </c>
      <c r="E3667" s="10" t="n">
        <v>0.254013</v>
      </c>
      <c r="F3667" s="10" t="n">
        <v>0.2578016778724027</v>
      </c>
      <c r="G3667" s="11">
        <f>E3667*Summary!$B$6</f>
        <v/>
      </c>
      <c r="H3667" s="11">
        <f>F3667*Summary!$B$7</f>
        <v/>
      </c>
      <c r="I3667" s="11">
        <f>MAX(0,N3667-M3667)</f>
        <v/>
      </c>
      <c r="J3667" s="11">
        <f>MAX(0,M3667-N3667)</f>
        <v/>
      </c>
      <c r="K3667" s="11">
        <f>O3667</f>
        <v/>
      </c>
      <c r="L3667" s="11">
        <f>L3666+IF(K3667&gt;0,K3667*Summary!$B$9,K3667/Summary!$B$9)</f>
        <v/>
      </c>
      <c r="M3667" s="11">
        <f>G3667+H3667</f>
        <v/>
      </c>
      <c r="N3667" s="11">
        <f>Summary!$C$16*Summary!$B$8</f>
        <v/>
      </c>
      <c r="O3667" s="11">
        <f>M3667-N3667</f>
        <v/>
      </c>
    </row>
    <row r="3668">
      <c r="A3668" s="9" t="n">
        <v>45444.75</v>
      </c>
      <c r="B3668" t="n">
        <v>6</v>
      </c>
      <c r="C3668" t="n">
        <v>1</v>
      </c>
      <c r="D3668" t="n">
        <v>18</v>
      </c>
      <c r="E3668" s="10" t="n">
        <v>0.074984</v>
      </c>
      <c r="F3668" s="10" t="n">
        <v>0.2434134824192358</v>
      </c>
      <c r="G3668" s="11">
        <f>E3668*Summary!$B$6</f>
        <v/>
      </c>
      <c r="H3668" s="11">
        <f>F3668*Summary!$B$7</f>
        <v/>
      </c>
      <c r="I3668" s="11">
        <f>MAX(0,N3668-M3668)</f>
        <v/>
      </c>
      <c r="J3668" s="11">
        <f>MAX(0,M3668-N3668)</f>
        <v/>
      </c>
      <c r="K3668" s="11">
        <f>O3668</f>
        <v/>
      </c>
      <c r="L3668" s="11">
        <f>L3667+IF(K3668&gt;0,K3668*Summary!$B$9,K3668/Summary!$B$9)</f>
        <v/>
      </c>
      <c r="M3668" s="11">
        <f>G3668+H3668</f>
        <v/>
      </c>
      <c r="N3668" s="11">
        <f>Summary!$C$16*Summary!$B$8</f>
        <v/>
      </c>
      <c r="O3668" s="11">
        <f>M3668-N3668</f>
        <v/>
      </c>
    </row>
    <row r="3669">
      <c r="A3669" s="9" t="n">
        <v>45444.79166666666</v>
      </c>
      <c r="B3669" t="n">
        <v>6</v>
      </c>
      <c r="C3669" t="n">
        <v>1</v>
      </c>
      <c r="D3669" t="n">
        <v>19</v>
      </c>
      <c r="E3669" s="10" t="n">
        <v>0.03817</v>
      </c>
      <c r="F3669" s="10" t="n">
        <v>0.2389863453567229</v>
      </c>
      <c r="G3669" s="11">
        <f>E3669*Summary!$B$6</f>
        <v/>
      </c>
      <c r="H3669" s="11">
        <f>F3669*Summary!$B$7</f>
        <v/>
      </c>
      <c r="I3669" s="11">
        <f>MAX(0,N3669-M3669)</f>
        <v/>
      </c>
      <c r="J3669" s="11">
        <f>MAX(0,M3669-N3669)</f>
        <v/>
      </c>
      <c r="K3669" s="11">
        <f>O3669</f>
        <v/>
      </c>
      <c r="L3669" s="11">
        <f>L3668+IF(K3669&gt;0,K3669*Summary!$B$9,K3669/Summary!$B$9)</f>
        <v/>
      </c>
      <c r="M3669" s="11">
        <f>G3669+H3669</f>
        <v/>
      </c>
      <c r="N3669" s="11">
        <f>Summary!$C$16*Summary!$B$8</f>
        <v/>
      </c>
      <c r="O3669" s="11">
        <f>M3669-N3669</f>
        <v/>
      </c>
    </row>
    <row r="3670">
      <c r="A3670" s="9" t="n">
        <v>45444.83333333334</v>
      </c>
      <c r="B3670" t="n">
        <v>6</v>
      </c>
      <c r="C3670" t="n">
        <v>1</v>
      </c>
      <c r="D3670" t="n">
        <v>20</v>
      </c>
      <c r="E3670" s="10" t="n">
        <v>0.008566000000000001</v>
      </c>
      <c r="F3670" s="10" t="n">
        <v>0.241621545989171</v>
      </c>
      <c r="G3670" s="11">
        <f>E3670*Summary!$B$6</f>
        <v/>
      </c>
      <c r="H3670" s="11">
        <f>F3670*Summary!$B$7</f>
        <v/>
      </c>
      <c r="I3670" s="11">
        <f>MAX(0,N3670-M3670)</f>
        <v/>
      </c>
      <c r="J3670" s="11">
        <f>MAX(0,M3670-N3670)</f>
        <v/>
      </c>
      <c r="K3670" s="11">
        <f>O3670</f>
        <v/>
      </c>
      <c r="L3670" s="11">
        <f>L3669+IF(K3670&gt;0,K3670*Summary!$B$9,K3670/Summary!$B$9)</f>
        <v/>
      </c>
      <c r="M3670" s="11">
        <f>G3670+H3670</f>
        <v/>
      </c>
      <c r="N3670" s="11">
        <f>Summary!$C$16*Summary!$B$8</f>
        <v/>
      </c>
      <c r="O3670" s="11">
        <f>M3670-N3670</f>
        <v/>
      </c>
    </row>
    <row r="3671">
      <c r="A3671" s="9" t="n">
        <v>45444.875</v>
      </c>
      <c r="B3671" t="n">
        <v>6</v>
      </c>
      <c r="C3671" t="n">
        <v>1</v>
      </c>
      <c r="D3671" t="n">
        <v>21</v>
      </c>
      <c r="E3671" s="10" t="n">
        <v>0</v>
      </c>
      <c r="F3671" s="10" t="n">
        <v>0.2502386520572765</v>
      </c>
      <c r="G3671" s="11">
        <f>E3671*Summary!$B$6</f>
        <v/>
      </c>
      <c r="H3671" s="11">
        <f>F3671*Summary!$B$7</f>
        <v/>
      </c>
      <c r="I3671" s="11">
        <f>MAX(0,N3671-M3671)</f>
        <v/>
      </c>
      <c r="J3671" s="11">
        <f>MAX(0,M3671-N3671)</f>
        <v/>
      </c>
      <c r="K3671" s="11">
        <f>O3671</f>
        <v/>
      </c>
      <c r="L3671" s="11">
        <f>L3670+IF(K3671&gt;0,K3671*Summary!$B$9,K3671/Summary!$B$9)</f>
        <v/>
      </c>
      <c r="M3671" s="11">
        <f>G3671+H3671</f>
        <v/>
      </c>
      <c r="N3671" s="11">
        <f>Summary!$C$16*Summary!$B$8</f>
        <v/>
      </c>
      <c r="O3671" s="11">
        <f>M3671-N3671</f>
        <v/>
      </c>
    </row>
    <row r="3672">
      <c r="A3672" s="9" t="n">
        <v>45444.91666666666</v>
      </c>
      <c r="B3672" t="n">
        <v>6</v>
      </c>
      <c r="C3672" t="n">
        <v>1</v>
      </c>
      <c r="D3672" t="n">
        <v>22</v>
      </c>
      <c r="E3672" s="10" t="n">
        <v>0</v>
      </c>
      <c r="F3672" s="10" t="n">
        <v>0.2519778844746923</v>
      </c>
      <c r="G3672" s="11">
        <f>E3672*Summary!$B$6</f>
        <v/>
      </c>
      <c r="H3672" s="11">
        <f>F3672*Summary!$B$7</f>
        <v/>
      </c>
      <c r="I3672" s="11">
        <f>MAX(0,N3672-M3672)</f>
        <v/>
      </c>
      <c r="J3672" s="11">
        <f>MAX(0,M3672-N3672)</f>
        <v/>
      </c>
      <c r="K3672" s="11">
        <f>O3672</f>
        <v/>
      </c>
      <c r="L3672" s="11">
        <f>L3671+IF(K3672&gt;0,K3672*Summary!$B$9,K3672/Summary!$B$9)</f>
        <v/>
      </c>
      <c r="M3672" s="11">
        <f>G3672+H3672</f>
        <v/>
      </c>
      <c r="N3672" s="11">
        <f>Summary!$C$16*Summary!$B$8</f>
        <v/>
      </c>
      <c r="O3672" s="11">
        <f>M3672-N3672</f>
        <v/>
      </c>
    </row>
    <row r="3673">
      <c r="A3673" s="9" t="n">
        <v>45444.95833333334</v>
      </c>
      <c r="B3673" t="n">
        <v>6</v>
      </c>
      <c r="C3673" t="n">
        <v>1</v>
      </c>
      <c r="D3673" t="n">
        <v>23</v>
      </c>
      <c r="E3673" s="10" t="n">
        <v>0</v>
      </c>
      <c r="F3673" s="10" t="n">
        <v>0.2740081617619588</v>
      </c>
      <c r="G3673" s="11">
        <f>E3673*Summary!$B$6</f>
        <v/>
      </c>
      <c r="H3673" s="11">
        <f>F3673*Summary!$B$7</f>
        <v/>
      </c>
      <c r="I3673" s="11">
        <f>MAX(0,N3673-M3673)</f>
        <v/>
      </c>
      <c r="J3673" s="11">
        <f>MAX(0,M3673-N3673)</f>
        <v/>
      </c>
      <c r="K3673" s="11">
        <f>O3673</f>
        <v/>
      </c>
      <c r="L3673" s="11">
        <f>L3672+IF(K3673&gt;0,K3673*Summary!$B$9,K3673/Summary!$B$9)</f>
        <v/>
      </c>
      <c r="M3673" s="11">
        <f>G3673+H3673</f>
        <v/>
      </c>
      <c r="N3673" s="11">
        <f>Summary!$C$16*Summary!$B$8</f>
        <v/>
      </c>
      <c r="O3673" s="11">
        <f>M3673-N3673</f>
        <v/>
      </c>
    </row>
    <row r="3674">
      <c r="A3674" s="9" t="n">
        <v>45445</v>
      </c>
      <c r="B3674" t="n">
        <v>6</v>
      </c>
      <c r="C3674" t="n">
        <v>2</v>
      </c>
      <c r="D3674" t="n">
        <v>0</v>
      </c>
      <c r="E3674" s="10" t="n">
        <v>0</v>
      </c>
      <c r="F3674" s="10" t="n">
        <v>0.2342693362246407</v>
      </c>
      <c r="G3674" s="11">
        <f>E3674*Summary!$B$6</f>
        <v/>
      </c>
      <c r="H3674" s="11">
        <f>F3674*Summary!$B$7</f>
        <v/>
      </c>
      <c r="I3674" s="11">
        <f>MAX(0,N3674-M3674)</f>
        <v/>
      </c>
      <c r="J3674" s="11">
        <f>MAX(0,M3674-N3674)</f>
        <v/>
      </c>
      <c r="K3674" s="11">
        <f>O3674</f>
        <v/>
      </c>
      <c r="L3674" s="11">
        <f>L3673+IF(K3674&gt;0,K3674*Summary!$B$9,K3674/Summary!$B$9)</f>
        <v/>
      </c>
      <c r="M3674" s="11">
        <f>G3674+H3674</f>
        <v/>
      </c>
      <c r="N3674" s="11">
        <f>Summary!$C$16*Summary!$B$8</f>
        <v/>
      </c>
      <c r="O3674" s="11">
        <f>M3674-N3674</f>
        <v/>
      </c>
    </row>
    <row r="3675">
      <c r="A3675" s="9" t="n">
        <v>45445.04166666666</v>
      </c>
      <c r="B3675" t="n">
        <v>6</v>
      </c>
      <c r="C3675" t="n">
        <v>2</v>
      </c>
      <c r="D3675" t="n">
        <v>1</v>
      </c>
      <c r="E3675" s="10" t="n">
        <v>0</v>
      </c>
      <c r="F3675" s="10" t="n">
        <v>0.2666559519974285</v>
      </c>
      <c r="G3675" s="11">
        <f>E3675*Summary!$B$6</f>
        <v/>
      </c>
      <c r="H3675" s="11">
        <f>F3675*Summary!$B$7</f>
        <v/>
      </c>
      <c r="I3675" s="11">
        <f>MAX(0,N3675-M3675)</f>
        <v/>
      </c>
      <c r="J3675" s="11">
        <f>MAX(0,M3675-N3675)</f>
        <v/>
      </c>
      <c r="K3675" s="11">
        <f>O3675</f>
        <v/>
      </c>
      <c r="L3675" s="11">
        <f>L3674+IF(K3675&gt;0,K3675*Summary!$B$9,K3675/Summary!$B$9)</f>
        <v/>
      </c>
      <c r="M3675" s="11">
        <f>G3675+H3675</f>
        <v/>
      </c>
      <c r="N3675" s="11">
        <f>Summary!$C$16*Summary!$B$8</f>
        <v/>
      </c>
      <c r="O3675" s="11">
        <f>M3675-N3675</f>
        <v/>
      </c>
    </row>
    <row r="3676">
      <c r="A3676" s="9" t="n">
        <v>45445.08333333334</v>
      </c>
      <c r="B3676" t="n">
        <v>6</v>
      </c>
      <c r="C3676" t="n">
        <v>2</v>
      </c>
      <c r="D3676" t="n">
        <v>2</v>
      </c>
      <c r="E3676" s="10" t="n">
        <v>0</v>
      </c>
      <c r="F3676" s="10" t="n">
        <v>0.26937020864885</v>
      </c>
      <c r="G3676" s="11">
        <f>E3676*Summary!$B$6</f>
        <v/>
      </c>
      <c r="H3676" s="11">
        <f>F3676*Summary!$B$7</f>
        <v/>
      </c>
      <c r="I3676" s="11">
        <f>MAX(0,N3676-M3676)</f>
        <v/>
      </c>
      <c r="J3676" s="11">
        <f>MAX(0,M3676-N3676)</f>
        <v/>
      </c>
      <c r="K3676" s="11">
        <f>O3676</f>
        <v/>
      </c>
      <c r="L3676" s="11">
        <f>L3675+IF(K3676&gt;0,K3676*Summary!$B$9,K3676/Summary!$B$9)</f>
        <v/>
      </c>
      <c r="M3676" s="11">
        <f>G3676+H3676</f>
        <v/>
      </c>
      <c r="N3676" s="11">
        <f>Summary!$C$16*Summary!$B$8</f>
        <v/>
      </c>
      <c r="O3676" s="11">
        <f>M3676-N3676</f>
        <v/>
      </c>
    </row>
    <row r="3677">
      <c r="A3677" s="9" t="n">
        <v>45445.125</v>
      </c>
      <c r="B3677" t="n">
        <v>6</v>
      </c>
      <c r="C3677" t="n">
        <v>2</v>
      </c>
      <c r="D3677" t="n">
        <v>3</v>
      </c>
      <c r="E3677" s="10" t="n">
        <v>0</v>
      </c>
      <c r="F3677" s="10" t="n">
        <v>0.2666823040037529</v>
      </c>
      <c r="G3677" s="11">
        <f>E3677*Summary!$B$6</f>
        <v/>
      </c>
      <c r="H3677" s="11">
        <f>F3677*Summary!$B$7</f>
        <v/>
      </c>
      <c r="I3677" s="11">
        <f>MAX(0,N3677-M3677)</f>
        <v/>
      </c>
      <c r="J3677" s="11">
        <f>MAX(0,M3677-N3677)</f>
        <v/>
      </c>
      <c r="K3677" s="11">
        <f>O3677</f>
        <v/>
      </c>
      <c r="L3677" s="11">
        <f>L3676+IF(K3677&gt;0,K3677*Summary!$B$9,K3677/Summary!$B$9)</f>
        <v/>
      </c>
      <c r="M3677" s="11">
        <f>G3677+H3677</f>
        <v/>
      </c>
      <c r="N3677" s="11">
        <f>Summary!$C$16*Summary!$B$8</f>
        <v/>
      </c>
      <c r="O3677" s="11">
        <f>M3677-N3677</f>
        <v/>
      </c>
    </row>
    <row r="3678">
      <c r="A3678" s="9" t="n">
        <v>45445.16666666666</v>
      </c>
      <c r="B3678" t="n">
        <v>6</v>
      </c>
      <c r="C3678" t="n">
        <v>2</v>
      </c>
      <c r="D3678" t="n">
        <v>4</v>
      </c>
      <c r="E3678" s="10" t="n">
        <v>0.031706</v>
      </c>
      <c r="F3678" s="10" t="n">
        <v>0.2505285241268458</v>
      </c>
      <c r="G3678" s="11">
        <f>E3678*Summary!$B$6</f>
        <v/>
      </c>
      <c r="H3678" s="11">
        <f>F3678*Summary!$B$7</f>
        <v/>
      </c>
      <c r="I3678" s="11">
        <f>MAX(0,N3678-M3678)</f>
        <v/>
      </c>
      <c r="J3678" s="11">
        <f>MAX(0,M3678-N3678)</f>
        <v/>
      </c>
      <c r="K3678" s="11">
        <f>O3678</f>
        <v/>
      </c>
      <c r="L3678" s="11">
        <f>L3677+IF(K3678&gt;0,K3678*Summary!$B$9,K3678/Summary!$B$9)</f>
        <v/>
      </c>
      <c r="M3678" s="11">
        <f>G3678+H3678</f>
        <v/>
      </c>
      <c r="N3678" s="11">
        <f>Summary!$C$16*Summary!$B$8</f>
        <v/>
      </c>
      <c r="O3678" s="11">
        <f>M3678-N3678</f>
        <v/>
      </c>
    </row>
    <row r="3679">
      <c r="A3679" s="9" t="n">
        <v>45445.20833333334</v>
      </c>
      <c r="B3679" t="n">
        <v>6</v>
      </c>
      <c r="C3679" t="n">
        <v>2</v>
      </c>
      <c r="D3679" t="n">
        <v>5</v>
      </c>
      <c r="E3679" s="10" t="n">
        <v>0.059652</v>
      </c>
      <c r="F3679" s="10" t="n">
        <v>0.2221474133153792</v>
      </c>
      <c r="G3679" s="11">
        <f>E3679*Summary!$B$6</f>
        <v/>
      </c>
      <c r="H3679" s="11">
        <f>F3679*Summary!$B$7</f>
        <v/>
      </c>
      <c r="I3679" s="11">
        <f>MAX(0,N3679-M3679)</f>
        <v/>
      </c>
      <c r="J3679" s="11">
        <f>MAX(0,M3679-N3679)</f>
        <v/>
      </c>
      <c r="K3679" s="11">
        <f>O3679</f>
        <v/>
      </c>
      <c r="L3679" s="11">
        <f>L3678+IF(K3679&gt;0,K3679*Summary!$B$9,K3679/Summary!$B$9)</f>
        <v/>
      </c>
      <c r="M3679" s="11">
        <f>G3679+H3679</f>
        <v/>
      </c>
      <c r="N3679" s="11">
        <f>Summary!$C$16*Summary!$B$8</f>
        <v/>
      </c>
      <c r="O3679" s="11">
        <f>M3679-N3679</f>
        <v/>
      </c>
    </row>
    <row r="3680">
      <c r="A3680" s="9" t="n">
        <v>45445.25</v>
      </c>
      <c r="B3680" t="n">
        <v>6</v>
      </c>
      <c r="C3680" t="n">
        <v>2</v>
      </c>
      <c r="D3680" t="n">
        <v>6</v>
      </c>
      <c r="E3680" s="10" t="n">
        <v>0.178364</v>
      </c>
      <c r="F3680" s="10" t="n">
        <v>0.200248896059735</v>
      </c>
      <c r="G3680" s="11">
        <f>E3680*Summary!$B$6</f>
        <v/>
      </c>
      <c r="H3680" s="11">
        <f>F3680*Summary!$B$7</f>
        <v/>
      </c>
      <c r="I3680" s="11">
        <f>MAX(0,N3680-M3680)</f>
        <v/>
      </c>
      <c r="J3680" s="11">
        <f>MAX(0,M3680-N3680)</f>
        <v/>
      </c>
      <c r="K3680" s="11">
        <f>O3680</f>
        <v/>
      </c>
      <c r="L3680" s="11">
        <f>L3679+IF(K3680&gt;0,K3680*Summary!$B$9,K3680/Summary!$B$9)</f>
        <v/>
      </c>
      <c r="M3680" s="11">
        <f>G3680+H3680</f>
        <v/>
      </c>
      <c r="N3680" s="11">
        <f>Summary!$C$16*Summary!$B$8</f>
        <v/>
      </c>
      <c r="O3680" s="11">
        <f>M3680-N3680</f>
        <v/>
      </c>
    </row>
    <row r="3681">
      <c r="A3681" s="9" t="n">
        <v>45445.29166666666</v>
      </c>
      <c r="B3681" t="n">
        <v>6</v>
      </c>
      <c r="C3681" t="n">
        <v>2</v>
      </c>
      <c r="D3681" t="n">
        <v>7</v>
      </c>
      <c r="E3681" s="10" t="n">
        <v>0.202911</v>
      </c>
      <c r="F3681" s="10" t="n">
        <v>0.1887330692959366</v>
      </c>
      <c r="G3681" s="11">
        <f>E3681*Summary!$B$6</f>
        <v/>
      </c>
      <c r="H3681" s="11">
        <f>F3681*Summary!$B$7</f>
        <v/>
      </c>
      <c r="I3681" s="11">
        <f>MAX(0,N3681-M3681)</f>
        <v/>
      </c>
      <c r="J3681" s="11">
        <f>MAX(0,M3681-N3681)</f>
        <v/>
      </c>
      <c r="K3681" s="11">
        <f>O3681</f>
        <v/>
      </c>
      <c r="L3681" s="11">
        <f>L3680+IF(K3681&gt;0,K3681*Summary!$B$9,K3681/Summary!$B$9)</f>
        <v/>
      </c>
      <c r="M3681" s="11">
        <f>G3681+H3681</f>
        <v/>
      </c>
      <c r="N3681" s="11">
        <f>Summary!$C$16*Summary!$B$8</f>
        <v/>
      </c>
      <c r="O3681" s="11">
        <f>M3681-N3681</f>
        <v/>
      </c>
    </row>
    <row r="3682">
      <c r="A3682" s="9" t="n">
        <v>45445.33333333334</v>
      </c>
      <c r="B3682" t="n">
        <v>6</v>
      </c>
      <c r="C3682" t="n">
        <v>2</v>
      </c>
      <c r="D3682" t="n">
        <v>8</v>
      </c>
      <c r="E3682" s="10" t="n">
        <v>0.177146</v>
      </c>
      <c r="F3682" s="10" t="n">
        <v>0.1897607975425914</v>
      </c>
      <c r="G3682" s="11">
        <f>E3682*Summary!$B$6</f>
        <v/>
      </c>
      <c r="H3682" s="11">
        <f>F3682*Summary!$B$7</f>
        <v/>
      </c>
      <c r="I3682" s="11">
        <f>MAX(0,N3682-M3682)</f>
        <v/>
      </c>
      <c r="J3682" s="11">
        <f>MAX(0,M3682-N3682)</f>
        <v/>
      </c>
      <c r="K3682" s="11">
        <f>O3682</f>
        <v/>
      </c>
      <c r="L3682" s="11">
        <f>L3681+IF(K3682&gt;0,K3682*Summary!$B$9,K3682/Summary!$B$9)</f>
        <v/>
      </c>
      <c r="M3682" s="11">
        <f>G3682+H3682</f>
        <v/>
      </c>
      <c r="N3682" s="11">
        <f>Summary!$C$16*Summary!$B$8</f>
        <v/>
      </c>
      <c r="O3682" s="11">
        <f>M3682-N3682</f>
        <v/>
      </c>
    </row>
    <row r="3683">
      <c r="A3683" s="9" t="n">
        <v>45445.375</v>
      </c>
      <c r="B3683" t="n">
        <v>6</v>
      </c>
      <c r="C3683" t="n">
        <v>2</v>
      </c>
      <c r="D3683" t="n">
        <v>9</v>
      </c>
      <c r="E3683" s="10" t="n">
        <v>0.348653</v>
      </c>
      <c r="F3683" s="10" t="n">
        <v>0.1986941276865906</v>
      </c>
      <c r="G3683" s="11">
        <f>E3683*Summary!$B$6</f>
        <v/>
      </c>
      <c r="H3683" s="11">
        <f>F3683*Summary!$B$7</f>
        <v/>
      </c>
      <c r="I3683" s="11">
        <f>MAX(0,N3683-M3683)</f>
        <v/>
      </c>
      <c r="J3683" s="11">
        <f>MAX(0,M3683-N3683)</f>
        <v/>
      </c>
      <c r="K3683" s="11">
        <f>O3683</f>
        <v/>
      </c>
      <c r="L3683" s="11">
        <f>L3682+IF(K3683&gt;0,K3683*Summary!$B$9,K3683/Summary!$B$9)</f>
        <v/>
      </c>
      <c r="M3683" s="11">
        <f>G3683+H3683</f>
        <v/>
      </c>
      <c r="N3683" s="11">
        <f>Summary!$C$16*Summary!$B$8</f>
        <v/>
      </c>
      <c r="O3683" s="11">
        <f>M3683-N3683</f>
        <v/>
      </c>
    </row>
    <row r="3684">
      <c r="A3684" s="9" t="n">
        <v>45445.41666666666</v>
      </c>
      <c r="B3684" t="n">
        <v>6</v>
      </c>
      <c r="C3684" t="n">
        <v>2</v>
      </c>
      <c r="D3684" t="n">
        <v>10</v>
      </c>
      <c r="E3684" s="10" t="n">
        <v>0.221566</v>
      </c>
      <c r="F3684" s="10" t="n">
        <v>0.2067841936282065</v>
      </c>
      <c r="G3684" s="11">
        <f>E3684*Summary!$B$6</f>
        <v/>
      </c>
      <c r="H3684" s="11">
        <f>F3684*Summary!$B$7</f>
        <v/>
      </c>
      <c r="I3684" s="11">
        <f>MAX(0,N3684-M3684)</f>
        <v/>
      </c>
      <c r="J3684" s="11">
        <f>MAX(0,M3684-N3684)</f>
        <v/>
      </c>
      <c r="K3684" s="11">
        <f>O3684</f>
        <v/>
      </c>
      <c r="L3684" s="11">
        <f>L3683+IF(K3684&gt;0,K3684*Summary!$B$9,K3684/Summary!$B$9)</f>
        <v/>
      </c>
      <c r="M3684" s="11">
        <f>G3684+H3684</f>
        <v/>
      </c>
      <c r="N3684" s="11">
        <f>Summary!$C$16*Summary!$B$8</f>
        <v/>
      </c>
      <c r="O3684" s="11">
        <f>M3684-N3684</f>
        <v/>
      </c>
    </row>
    <row r="3685">
      <c r="A3685" s="9" t="n">
        <v>45445.45833333334</v>
      </c>
      <c r="B3685" t="n">
        <v>6</v>
      </c>
      <c r="C3685" t="n">
        <v>2</v>
      </c>
      <c r="D3685" t="n">
        <v>11</v>
      </c>
      <c r="E3685" s="10" t="n">
        <v>0.2158</v>
      </c>
      <c r="F3685" s="10" t="n">
        <v>0.2133194911966779</v>
      </c>
      <c r="G3685" s="11">
        <f>E3685*Summary!$B$6</f>
        <v/>
      </c>
      <c r="H3685" s="11">
        <f>F3685*Summary!$B$7</f>
        <v/>
      </c>
      <c r="I3685" s="11">
        <f>MAX(0,N3685-M3685)</f>
        <v/>
      </c>
      <c r="J3685" s="11">
        <f>MAX(0,M3685-N3685)</f>
        <v/>
      </c>
      <c r="K3685" s="11">
        <f>O3685</f>
        <v/>
      </c>
      <c r="L3685" s="11">
        <f>L3684+IF(K3685&gt;0,K3685*Summary!$B$9,K3685/Summary!$B$9)</f>
        <v/>
      </c>
      <c r="M3685" s="11">
        <f>G3685+H3685</f>
        <v/>
      </c>
      <c r="N3685" s="11">
        <f>Summary!$C$16*Summary!$B$8</f>
        <v/>
      </c>
      <c r="O3685" s="11">
        <f>M3685-N3685</f>
        <v/>
      </c>
    </row>
    <row r="3686">
      <c r="A3686" s="9" t="n">
        <v>45445.5</v>
      </c>
      <c r="B3686" t="n">
        <v>6</v>
      </c>
      <c r="C3686" t="n">
        <v>2</v>
      </c>
      <c r="D3686" t="n">
        <v>12</v>
      </c>
      <c r="E3686" s="10" t="n">
        <v>0.164617</v>
      </c>
      <c r="F3686" s="10" t="n">
        <v>0.2191432845943883</v>
      </c>
      <c r="G3686" s="11">
        <f>E3686*Summary!$B$6</f>
        <v/>
      </c>
      <c r="H3686" s="11">
        <f>F3686*Summary!$B$7</f>
        <v/>
      </c>
      <c r="I3686" s="11">
        <f>MAX(0,N3686-M3686)</f>
        <v/>
      </c>
      <c r="J3686" s="11">
        <f>MAX(0,M3686-N3686)</f>
        <v/>
      </c>
      <c r="K3686" s="11">
        <f>O3686</f>
        <v/>
      </c>
      <c r="L3686" s="11">
        <f>L3685+IF(K3686&gt;0,K3686*Summary!$B$9,K3686/Summary!$B$9)</f>
        <v/>
      </c>
      <c r="M3686" s="11">
        <f>G3686+H3686</f>
        <v/>
      </c>
      <c r="N3686" s="11">
        <f>Summary!$C$16*Summary!$B$8</f>
        <v/>
      </c>
      <c r="O3686" s="11">
        <f>M3686-N3686</f>
        <v/>
      </c>
    </row>
    <row r="3687">
      <c r="A3687" s="9" t="n">
        <v>45445.54166666666</v>
      </c>
      <c r="B3687" t="n">
        <v>6</v>
      </c>
      <c r="C3687" t="n">
        <v>2</v>
      </c>
      <c r="D3687" t="n">
        <v>13</v>
      </c>
      <c r="E3687" s="10" t="n">
        <v>0.295382</v>
      </c>
      <c r="F3687" s="10" t="n">
        <v>0.2220156532837568</v>
      </c>
      <c r="G3687" s="11">
        <f>E3687*Summary!$B$6</f>
        <v/>
      </c>
      <c r="H3687" s="11">
        <f>F3687*Summary!$B$7</f>
        <v/>
      </c>
      <c r="I3687" s="11">
        <f>MAX(0,N3687-M3687)</f>
        <v/>
      </c>
      <c r="J3687" s="11">
        <f>MAX(0,M3687-N3687)</f>
        <v/>
      </c>
      <c r="K3687" s="11">
        <f>O3687</f>
        <v/>
      </c>
      <c r="L3687" s="11">
        <f>L3686+IF(K3687&gt;0,K3687*Summary!$B$9,K3687/Summary!$B$9)</f>
        <v/>
      </c>
      <c r="M3687" s="11">
        <f>G3687+H3687</f>
        <v/>
      </c>
      <c r="N3687" s="11">
        <f>Summary!$C$16*Summary!$B$8</f>
        <v/>
      </c>
      <c r="O3687" s="11">
        <f>M3687-N3687</f>
        <v/>
      </c>
    </row>
    <row r="3688">
      <c r="A3688" s="9" t="n">
        <v>45445.58333333334</v>
      </c>
      <c r="B3688" t="n">
        <v>6</v>
      </c>
      <c r="C3688" t="n">
        <v>2</v>
      </c>
      <c r="D3688" t="n">
        <v>14</v>
      </c>
      <c r="E3688" s="10" t="n">
        <v>0.197923</v>
      </c>
      <c r="F3688" s="10" t="n">
        <v>0.2199338447841228</v>
      </c>
      <c r="G3688" s="11">
        <f>E3688*Summary!$B$6</f>
        <v/>
      </c>
      <c r="H3688" s="11">
        <f>F3688*Summary!$B$7</f>
        <v/>
      </c>
      <c r="I3688" s="11">
        <f>MAX(0,N3688-M3688)</f>
        <v/>
      </c>
      <c r="J3688" s="11">
        <f>MAX(0,M3688-N3688)</f>
        <v/>
      </c>
      <c r="K3688" s="11">
        <f>O3688</f>
        <v/>
      </c>
      <c r="L3688" s="11">
        <f>L3687+IF(K3688&gt;0,K3688*Summary!$B$9,K3688/Summary!$B$9)</f>
        <v/>
      </c>
      <c r="M3688" s="11">
        <f>G3688+H3688</f>
        <v/>
      </c>
      <c r="N3688" s="11">
        <f>Summary!$C$16*Summary!$B$8</f>
        <v/>
      </c>
      <c r="O3688" s="11">
        <f>M3688-N3688</f>
        <v/>
      </c>
    </row>
    <row r="3689">
      <c r="A3689" s="9" t="n">
        <v>45445.625</v>
      </c>
      <c r="B3689" t="n">
        <v>6</v>
      </c>
      <c r="C3689" t="n">
        <v>2</v>
      </c>
      <c r="D3689" t="n">
        <v>15</v>
      </c>
      <c r="E3689" s="10" t="n">
        <v>0.17718</v>
      </c>
      <c r="F3689" s="10" t="n">
        <v>0.2150850756204181</v>
      </c>
      <c r="G3689" s="11">
        <f>E3689*Summary!$B$6</f>
        <v/>
      </c>
      <c r="H3689" s="11">
        <f>F3689*Summary!$B$7</f>
        <v/>
      </c>
      <c r="I3689" s="11">
        <f>MAX(0,N3689-M3689)</f>
        <v/>
      </c>
      <c r="J3689" s="11">
        <f>MAX(0,M3689-N3689)</f>
        <v/>
      </c>
      <c r="K3689" s="11">
        <f>O3689</f>
        <v/>
      </c>
      <c r="L3689" s="11">
        <f>L3688+IF(K3689&gt;0,K3689*Summary!$B$9,K3689/Summary!$B$9)</f>
        <v/>
      </c>
      <c r="M3689" s="11">
        <f>G3689+H3689</f>
        <v/>
      </c>
      <c r="N3689" s="11">
        <f>Summary!$C$16*Summary!$B$8</f>
        <v/>
      </c>
      <c r="O3689" s="11">
        <f>M3689-N3689</f>
        <v/>
      </c>
    </row>
    <row r="3690">
      <c r="A3690" s="9" t="n">
        <v>45445.66666666666</v>
      </c>
      <c r="B3690" t="n">
        <v>6</v>
      </c>
      <c r="C3690" t="n">
        <v>2</v>
      </c>
      <c r="D3690" t="n">
        <v>16</v>
      </c>
      <c r="E3690" s="10" t="n">
        <v>0.138201</v>
      </c>
      <c r="F3690" s="10" t="n">
        <v>0.2122390589373741</v>
      </c>
      <c r="G3690" s="11">
        <f>E3690*Summary!$B$6</f>
        <v/>
      </c>
      <c r="H3690" s="11">
        <f>F3690*Summary!$B$7</f>
        <v/>
      </c>
      <c r="I3690" s="11">
        <f>MAX(0,N3690-M3690)</f>
        <v/>
      </c>
      <c r="J3690" s="11">
        <f>MAX(0,M3690-N3690)</f>
        <v/>
      </c>
      <c r="K3690" s="11">
        <f>O3690</f>
        <v/>
      </c>
      <c r="L3690" s="11">
        <f>L3689+IF(K3690&gt;0,K3690*Summary!$B$9,K3690/Summary!$B$9)</f>
        <v/>
      </c>
      <c r="M3690" s="11">
        <f>G3690+H3690</f>
        <v/>
      </c>
      <c r="N3690" s="11">
        <f>Summary!$C$16*Summary!$B$8</f>
        <v/>
      </c>
      <c r="O3690" s="11">
        <f>M3690-N3690</f>
        <v/>
      </c>
    </row>
    <row r="3691">
      <c r="A3691" s="9" t="n">
        <v>45445.70833333334</v>
      </c>
      <c r="B3691" t="n">
        <v>6</v>
      </c>
      <c r="C3691" t="n">
        <v>2</v>
      </c>
      <c r="D3691" t="n">
        <v>17</v>
      </c>
      <c r="E3691" s="10" t="n">
        <v>0.16442</v>
      </c>
      <c r="F3691" s="10" t="n">
        <v>0.2141627553990613</v>
      </c>
      <c r="G3691" s="11">
        <f>E3691*Summary!$B$6</f>
        <v/>
      </c>
      <c r="H3691" s="11">
        <f>F3691*Summary!$B$7</f>
        <v/>
      </c>
      <c r="I3691" s="11">
        <f>MAX(0,N3691-M3691)</f>
        <v/>
      </c>
      <c r="J3691" s="11">
        <f>MAX(0,M3691-N3691)</f>
        <v/>
      </c>
      <c r="K3691" s="11">
        <f>O3691</f>
        <v/>
      </c>
      <c r="L3691" s="11">
        <f>L3690+IF(K3691&gt;0,K3691*Summary!$B$9,K3691/Summary!$B$9)</f>
        <v/>
      </c>
      <c r="M3691" s="11">
        <f>G3691+H3691</f>
        <v/>
      </c>
      <c r="N3691" s="11">
        <f>Summary!$C$16*Summary!$B$8</f>
        <v/>
      </c>
      <c r="O3691" s="11">
        <f>M3691-N3691</f>
        <v/>
      </c>
    </row>
    <row r="3692">
      <c r="A3692" s="9" t="n">
        <v>45445.75</v>
      </c>
      <c r="B3692" t="n">
        <v>6</v>
      </c>
      <c r="C3692" t="n">
        <v>2</v>
      </c>
      <c r="D3692" t="n">
        <v>18</v>
      </c>
      <c r="E3692" s="10" t="n">
        <v>0.080986</v>
      </c>
      <c r="F3692" s="10" t="n">
        <v>0.1838315961195831</v>
      </c>
      <c r="G3692" s="11">
        <f>E3692*Summary!$B$6</f>
        <v/>
      </c>
      <c r="H3692" s="11">
        <f>F3692*Summary!$B$7</f>
        <v/>
      </c>
      <c r="I3692" s="11">
        <f>MAX(0,N3692-M3692)</f>
        <v/>
      </c>
      <c r="J3692" s="11">
        <f>MAX(0,M3692-N3692)</f>
        <v/>
      </c>
      <c r="K3692" s="11">
        <f>O3692</f>
        <v/>
      </c>
      <c r="L3692" s="11">
        <f>L3691+IF(K3692&gt;0,K3692*Summary!$B$9,K3692/Summary!$B$9)</f>
        <v/>
      </c>
      <c r="M3692" s="11">
        <f>G3692+H3692</f>
        <v/>
      </c>
      <c r="N3692" s="11">
        <f>Summary!$C$16*Summary!$B$8</f>
        <v/>
      </c>
      <c r="O3692" s="11">
        <f>M3692-N3692</f>
        <v/>
      </c>
    </row>
    <row r="3693">
      <c r="A3693" s="9" t="n">
        <v>45445.79166666666</v>
      </c>
      <c r="B3693" t="n">
        <v>6</v>
      </c>
      <c r="C3693" t="n">
        <v>2</v>
      </c>
      <c r="D3693" t="n">
        <v>19</v>
      </c>
      <c r="E3693" s="10" t="n">
        <v>0.035947</v>
      </c>
      <c r="F3693" s="10" t="n">
        <v>0.1780078027218727</v>
      </c>
      <c r="G3693" s="11">
        <f>E3693*Summary!$B$6</f>
        <v/>
      </c>
      <c r="H3693" s="11">
        <f>F3693*Summary!$B$7</f>
        <v/>
      </c>
      <c r="I3693" s="11">
        <f>MAX(0,N3693-M3693)</f>
        <v/>
      </c>
      <c r="J3693" s="11">
        <f>MAX(0,M3693-N3693)</f>
        <v/>
      </c>
      <c r="K3693" s="11">
        <f>O3693</f>
        <v/>
      </c>
      <c r="L3693" s="11">
        <f>L3692+IF(K3693&gt;0,K3693*Summary!$B$9,K3693/Summary!$B$9)</f>
        <v/>
      </c>
      <c r="M3693" s="11">
        <f>G3693+H3693</f>
        <v/>
      </c>
      <c r="N3693" s="11">
        <f>Summary!$C$16*Summary!$B$8</f>
        <v/>
      </c>
      <c r="O3693" s="11">
        <f>M3693-N3693</f>
        <v/>
      </c>
    </row>
    <row r="3694">
      <c r="A3694" s="9" t="n">
        <v>45445.83333333334</v>
      </c>
      <c r="B3694" t="n">
        <v>6</v>
      </c>
      <c r="C3694" t="n">
        <v>2</v>
      </c>
      <c r="D3694" t="n">
        <v>20</v>
      </c>
      <c r="E3694" s="10" t="n">
        <v>0.0032</v>
      </c>
      <c r="F3694" s="10" t="n">
        <v>0.1925804622193109</v>
      </c>
      <c r="G3694" s="11">
        <f>E3694*Summary!$B$6</f>
        <v/>
      </c>
      <c r="H3694" s="11">
        <f>F3694*Summary!$B$7</f>
        <v/>
      </c>
      <c r="I3694" s="11">
        <f>MAX(0,N3694-M3694)</f>
        <v/>
      </c>
      <c r="J3694" s="11">
        <f>MAX(0,M3694-N3694)</f>
        <v/>
      </c>
      <c r="K3694" s="11">
        <f>O3694</f>
        <v/>
      </c>
      <c r="L3694" s="11">
        <f>L3693+IF(K3694&gt;0,K3694*Summary!$B$9,K3694/Summary!$B$9)</f>
        <v/>
      </c>
      <c r="M3694" s="11">
        <f>G3694+H3694</f>
        <v/>
      </c>
      <c r="N3694" s="11">
        <f>Summary!$C$16*Summary!$B$8</f>
        <v/>
      </c>
      <c r="O3694" s="11">
        <f>M3694-N3694</f>
        <v/>
      </c>
    </row>
    <row r="3695">
      <c r="A3695" s="9" t="n">
        <v>45445.875</v>
      </c>
      <c r="B3695" t="n">
        <v>6</v>
      </c>
      <c r="C3695" t="n">
        <v>2</v>
      </c>
      <c r="D3695" t="n">
        <v>21</v>
      </c>
      <c r="E3695" s="10" t="n">
        <v>0</v>
      </c>
      <c r="F3695" s="10" t="n">
        <v>0.2148479075634978</v>
      </c>
      <c r="G3695" s="11">
        <f>E3695*Summary!$B$6</f>
        <v/>
      </c>
      <c r="H3695" s="11">
        <f>F3695*Summary!$B$7</f>
        <v/>
      </c>
      <c r="I3695" s="11">
        <f>MAX(0,N3695-M3695)</f>
        <v/>
      </c>
      <c r="J3695" s="11">
        <f>MAX(0,M3695-N3695)</f>
        <v/>
      </c>
      <c r="K3695" s="11">
        <f>O3695</f>
        <v/>
      </c>
      <c r="L3695" s="11">
        <f>L3694+IF(K3695&gt;0,K3695*Summary!$B$9,K3695/Summary!$B$9)</f>
        <v/>
      </c>
      <c r="M3695" s="11">
        <f>G3695+H3695</f>
        <v/>
      </c>
      <c r="N3695" s="11">
        <f>Summary!$C$16*Summary!$B$8</f>
        <v/>
      </c>
      <c r="O3695" s="11">
        <f>M3695-N3695</f>
        <v/>
      </c>
    </row>
    <row r="3696">
      <c r="A3696" s="9" t="n">
        <v>45445.91666666666</v>
      </c>
      <c r="B3696" t="n">
        <v>6</v>
      </c>
      <c r="C3696" t="n">
        <v>2</v>
      </c>
      <c r="D3696" t="n">
        <v>22</v>
      </c>
      <c r="E3696" s="10" t="n">
        <v>0</v>
      </c>
      <c r="F3696" s="10" t="n">
        <v>0.22667995840319</v>
      </c>
      <c r="G3696" s="11">
        <f>E3696*Summary!$B$6</f>
        <v/>
      </c>
      <c r="H3696" s="11">
        <f>F3696*Summary!$B$7</f>
        <v/>
      </c>
      <c r="I3696" s="11">
        <f>MAX(0,N3696-M3696)</f>
        <v/>
      </c>
      <c r="J3696" s="11">
        <f>MAX(0,M3696-N3696)</f>
        <v/>
      </c>
      <c r="K3696" s="11">
        <f>O3696</f>
        <v/>
      </c>
      <c r="L3696" s="11">
        <f>L3695+IF(K3696&gt;0,K3696*Summary!$B$9,K3696/Summary!$B$9)</f>
        <v/>
      </c>
      <c r="M3696" s="11">
        <f>G3696+H3696</f>
        <v/>
      </c>
      <c r="N3696" s="11">
        <f>Summary!$C$16*Summary!$B$8</f>
        <v/>
      </c>
      <c r="O3696" s="11">
        <f>M3696-N3696</f>
        <v/>
      </c>
    </row>
    <row r="3697">
      <c r="A3697" s="9" t="n">
        <v>45445.95833333334</v>
      </c>
      <c r="B3697" t="n">
        <v>6</v>
      </c>
      <c r="C3697" t="n">
        <v>2</v>
      </c>
      <c r="D3697" t="n">
        <v>23</v>
      </c>
      <c r="E3697" s="10" t="n">
        <v>0</v>
      </c>
      <c r="F3697" s="10" t="n">
        <v>0.2319767116744108</v>
      </c>
      <c r="G3697" s="11">
        <f>E3697*Summary!$B$6</f>
        <v/>
      </c>
      <c r="H3697" s="11">
        <f>F3697*Summary!$B$7</f>
        <v/>
      </c>
      <c r="I3697" s="11">
        <f>MAX(0,N3697-M3697)</f>
        <v/>
      </c>
      <c r="J3697" s="11">
        <f>MAX(0,M3697-N3697)</f>
        <v/>
      </c>
      <c r="K3697" s="11">
        <f>O3697</f>
        <v/>
      </c>
      <c r="L3697" s="11">
        <f>L3696+IF(K3697&gt;0,K3697*Summary!$B$9,K3697/Summary!$B$9)</f>
        <v/>
      </c>
      <c r="M3697" s="11">
        <f>G3697+H3697</f>
        <v/>
      </c>
      <c r="N3697" s="11">
        <f>Summary!$C$16*Summary!$B$8</f>
        <v/>
      </c>
      <c r="O3697" s="11">
        <f>M3697-N3697</f>
        <v/>
      </c>
    </row>
    <row r="3698">
      <c r="A3698" s="9" t="n">
        <v>45446</v>
      </c>
      <c r="B3698" t="n">
        <v>6</v>
      </c>
      <c r="C3698" t="n">
        <v>3</v>
      </c>
      <c r="D3698" t="n">
        <v>0</v>
      </c>
      <c r="E3698" s="10" t="n">
        <v>0</v>
      </c>
      <c r="F3698" s="10" t="n">
        <v>0.3610751906580458</v>
      </c>
      <c r="G3698" s="11">
        <f>E3698*Summary!$B$6</f>
        <v/>
      </c>
      <c r="H3698" s="11">
        <f>F3698*Summary!$B$7</f>
        <v/>
      </c>
      <c r="I3698" s="11">
        <f>MAX(0,N3698-M3698)</f>
        <v/>
      </c>
      <c r="J3698" s="11">
        <f>MAX(0,M3698-N3698)</f>
        <v/>
      </c>
      <c r="K3698" s="11">
        <f>O3698</f>
        <v/>
      </c>
      <c r="L3698" s="11">
        <f>L3697+IF(K3698&gt;0,K3698*Summary!$B$9,K3698/Summary!$B$9)</f>
        <v/>
      </c>
      <c r="M3698" s="11">
        <f>G3698+H3698</f>
        <v/>
      </c>
      <c r="N3698" s="11">
        <f>Summary!$C$16*Summary!$B$8</f>
        <v/>
      </c>
      <c r="O3698" s="11">
        <f>M3698-N3698</f>
        <v/>
      </c>
    </row>
    <row r="3699">
      <c r="A3699" s="9" t="n">
        <v>45446.04166666666</v>
      </c>
      <c r="B3699" t="n">
        <v>6</v>
      </c>
      <c r="C3699" t="n">
        <v>3</v>
      </c>
      <c r="D3699" t="n">
        <v>1</v>
      </c>
      <c r="E3699" s="10" t="n">
        <v>0</v>
      </c>
      <c r="F3699" s="10" t="n">
        <v>0.2354024724965934</v>
      </c>
      <c r="G3699" s="11">
        <f>E3699*Summary!$B$6</f>
        <v/>
      </c>
      <c r="H3699" s="11">
        <f>F3699*Summary!$B$7</f>
        <v/>
      </c>
      <c r="I3699" s="11">
        <f>MAX(0,N3699-M3699)</f>
        <v/>
      </c>
      <c r="J3699" s="11">
        <f>MAX(0,M3699-N3699)</f>
        <v/>
      </c>
      <c r="K3699" s="11">
        <f>O3699</f>
        <v/>
      </c>
      <c r="L3699" s="11">
        <f>L3698+IF(K3699&gt;0,K3699*Summary!$B$9,K3699/Summary!$B$9)</f>
        <v/>
      </c>
      <c r="M3699" s="11">
        <f>G3699+H3699</f>
        <v/>
      </c>
      <c r="N3699" s="11">
        <f>Summary!$C$16*Summary!$B$8</f>
        <v/>
      </c>
      <c r="O3699" s="11">
        <f>M3699-N3699</f>
        <v/>
      </c>
    </row>
    <row r="3700">
      <c r="A3700" s="9" t="n">
        <v>45446.08333333334</v>
      </c>
      <c r="B3700" t="n">
        <v>6</v>
      </c>
      <c r="C3700" t="n">
        <v>3</v>
      </c>
      <c r="D3700" t="n">
        <v>2</v>
      </c>
      <c r="E3700" s="10" t="n">
        <v>0</v>
      </c>
      <c r="F3700" s="10" t="n">
        <v>0.2408309857994366</v>
      </c>
      <c r="G3700" s="11">
        <f>E3700*Summary!$B$6</f>
        <v/>
      </c>
      <c r="H3700" s="11">
        <f>F3700*Summary!$B$7</f>
        <v/>
      </c>
      <c r="I3700" s="11">
        <f>MAX(0,N3700-M3700)</f>
        <v/>
      </c>
      <c r="J3700" s="11">
        <f>MAX(0,M3700-N3700)</f>
        <v/>
      </c>
      <c r="K3700" s="11">
        <f>O3700</f>
        <v/>
      </c>
      <c r="L3700" s="11">
        <f>L3699+IF(K3700&gt;0,K3700*Summary!$B$9,K3700/Summary!$B$9)</f>
        <v/>
      </c>
      <c r="M3700" s="11">
        <f>G3700+H3700</f>
        <v/>
      </c>
      <c r="N3700" s="11">
        <f>Summary!$C$16*Summary!$B$8</f>
        <v/>
      </c>
      <c r="O3700" s="11">
        <f>M3700-N3700</f>
        <v/>
      </c>
    </row>
    <row r="3701">
      <c r="A3701" s="9" t="n">
        <v>45446.125</v>
      </c>
      <c r="B3701" t="n">
        <v>6</v>
      </c>
      <c r="C3701" t="n">
        <v>3</v>
      </c>
      <c r="D3701" t="n">
        <v>3</v>
      </c>
      <c r="E3701" s="10" t="n">
        <v>0</v>
      </c>
      <c r="F3701" s="10" t="n">
        <v>0.2401194816286756</v>
      </c>
      <c r="G3701" s="11">
        <f>E3701*Summary!$B$6</f>
        <v/>
      </c>
      <c r="H3701" s="11">
        <f>F3701*Summary!$B$7</f>
        <v/>
      </c>
      <c r="I3701" s="11">
        <f>MAX(0,N3701-M3701)</f>
        <v/>
      </c>
      <c r="J3701" s="11">
        <f>MAX(0,M3701-N3701)</f>
        <v/>
      </c>
      <c r="K3701" s="11">
        <f>O3701</f>
        <v/>
      </c>
      <c r="L3701" s="11">
        <f>L3700+IF(K3701&gt;0,K3701*Summary!$B$9,K3701/Summary!$B$9)</f>
        <v/>
      </c>
      <c r="M3701" s="11">
        <f>G3701+H3701</f>
        <v/>
      </c>
      <c r="N3701" s="11">
        <f>Summary!$C$16*Summary!$B$8</f>
        <v/>
      </c>
      <c r="O3701" s="11">
        <f>M3701-N3701</f>
        <v/>
      </c>
    </row>
    <row r="3702">
      <c r="A3702" s="9" t="n">
        <v>45446.16666666666</v>
      </c>
      <c r="B3702" t="n">
        <v>6</v>
      </c>
      <c r="C3702" t="n">
        <v>3</v>
      </c>
      <c r="D3702" t="n">
        <v>4</v>
      </c>
      <c r="E3702" s="10" t="n">
        <v>0.034289</v>
      </c>
      <c r="F3702" s="10" t="n">
        <v>0.2261002142640514</v>
      </c>
      <c r="G3702" s="11">
        <f>E3702*Summary!$B$6</f>
        <v/>
      </c>
      <c r="H3702" s="11">
        <f>F3702*Summary!$B$7</f>
        <v/>
      </c>
      <c r="I3702" s="11">
        <f>MAX(0,N3702-M3702)</f>
        <v/>
      </c>
      <c r="J3702" s="11">
        <f>MAX(0,M3702-N3702)</f>
        <v/>
      </c>
      <c r="K3702" s="11">
        <f>O3702</f>
        <v/>
      </c>
      <c r="L3702" s="11">
        <f>L3701+IF(K3702&gt;0,K3702*Summary!$B$9,K3702/Summary!$B$9)</f>
        <v/>
      </c>
      <c r="M3702" s="11">
        <f>G3702+H3702</f>
        <v/>
      </c>
      <c r="N3702" s="11">
        <f>Summary!$C$16*Summary!$B$8</f>
        <v/>
      </c>
      <c r="O3702" s="11">
        <f>M3702-N3702</f>
        <v/>
      </c>
    </row>
    <row r="3703">
      <c r="A3703" s="9" t="n">
        <v>45446.20833333334</v>
      </c>
      <c r="B3703" t="n">
        <v>6</v>
      </c>
      <c r="C3703" t="n">
        <v>3</v>
      </c>
      <c r="D3703" t="n">
        <v>5</v>
      </c>
      <c r="E3703" s="10" t="n">
        <v>0.071719</v>
      </c>
      <c r="F3703" s="10" t="n">
        <v>0.1678359282806228</v>
      </c>
      <c r="G3703" s="11">
        <f>E3703*Summary!$B$6</f>
        <v/>
      </c>
      <c r="H3703" s="11">
        <f>F3703*Summary!$B$7</f>
        <v/>
      </c>
      <c r="I3703" s="11">
        <f>MAX(0,N3703-M3703)</f>
        <v/>
      </c>
      <c r="J3703" s="11">
        <f>MAX(0,M3703-N3703)</f>
        <v/>
      </c>
      <c r="K3703" s="11">
        <f>O3703</f>
        <v/>
      </c>
      <c r="L3703" s="11">
        <f>L3702+IF(K3703&gt;0,K3703*Summary!$B$9,K3703/Summary!$B$9)</f>
        <v/>
      </c>
      <c r="M3703" s="11">
        <f>G3703+H3703</f>
        <v/>
      </c>
      <c r="N3703" s="11">
        <f>Summary!$C$16*Summary!$B$8</f>
        <v/>
      </c>
      <c r="O3703" s="11">
        <f>M3703-N3703</f>
        <v/>
      </c>
    </row>
    <row r="3704">
      <c r="A3704" s="9" t="n">
        <v>45446.25</v>
      </c>
      <c r="B3704" t="n">
        <v>6</v>
      </c>
      <c r="C3704" t="n">
        <v>3</v>
      </c>
      <c r="D3704" t="n">
        <v>6</v>
      </c>
      <c r="E3704" s="10" t="n">
        <v>0.163062</v>
      </c>
      <c r="F3704" s="10" t="n">
        <v>0.1781659147598195</v>
      </c>
      <c r="G3704" s="11">
        <f>E3704*Summary!$B$6</f>
        <v/>
      </c>
      <c r="H3704" s="11">
        <f>F3704*Summary!$B$7</f>
        <v/>
      </c>
      <c r="I3704" s="11">
        <f>MAX(0,N3704-M3704)</f>
        <v/>
      </c>
      <c r="J3704" s="11">
        <f>MAX(0,M3704-N3704)</f>
        <v/>
      </c>
      <c r="K3704" s="11">
        <f>O3704</f>
        <v/>
      </c>
      <c r="L3704" s="11">
        <f>L3703+IF(K3704&gt;0,K3704*Summary!$B$9,K3704/Summary!$B$9)</f>
        <v/>
      </c>
      <c r="M3704" s="11">
        <f>G3704+H3704</f>
        <v/>
      </c>
      <c r="N3704" s="11">
        <f>Summary!$C$16*Summary!$B$8</f>
        <v/>
      </c>
      <c r="O3704" s="11">
        <f>M3704-N3704</f>
        <v/>
      </c>
    </row>
    <row r="3705">
      <c r="A3705" s="9" t="n">
        <v>45446.29166666666</v>
      </c>
      <c r="B3705" t="n">
        <v>6</v>
      </c>
      <c r="C3705" t="n">
        <v>3</v>
      </c>
      <c r="D3705" t="n">
        <v>7</v>
      </c>
      <c r="E3705" s="10" t="n">
        <v>0.408073</v>
      </c>
      <c r="F3705" s="10" t="n">
        <v>0.1657277677746643</v>
      </c>
      <c r="G3705" s="11">
        <f>E3705*Summary!$B$6</f>
        <v/>
      </c>
      <c r="H3705" s="11">
        <f>F3705*Summary!$B$7</f>
        <v/>
      </c>
      <c r="I3705" s="11">
        <f>MAX(0,N3705-M3705)</f>
        <v/>
      </c>
      <c r="J3705" s="11">
        <f>MAX(0,M3705-N3705)</f>
        <v/>
      </c>
      <c r="K3705" s="11">
        <f>O3705</f>
        <v/>
      </c>
      <c r="L3705" s="11">
        <f>L3704+IF(K3705&gt;0,K3705*Summary!$B$9,K3705/Summary!$B$9)</f>
        <v/>
      </c>
      <c r="M3705" s="11">
        <f>G3705+H3705</f>
        <v/>
      </c>
      <c r="N3705" s="11">
        <f>Summary!$C$16*Summary!$B$8</f>
        <v/>
      </c>
      <c r="O3705" s="11">
        <f>M3705-N3705</f>
        <v/>
      </c>
    </row>
    <row r="3706">
      <c r="A3706" s="9" t="n">
        <v>45446.33333333334</v>
      </c>
      <c r="B3706" t="n">
        <v>6</v>
      </c>
      <c r="C3706" t="n">
        <v>3</v>
      </c>
      <c r="D3706" t="n">
        <v>8</v>
      </c>
      <c r="E3706" s="10" t="n">
        <v>0.584036</v>
      </c>
      <c r="F3706" s="10" t="n">
        <v>0.166860904046617</v>
      </c>
      <c r="G3706" s="11">
        <f>E3706*Summary!$B$6</f>
        <v/>
      </c>
      <c r="H3706" s="11">
        <f>F3706*Summary!$B$7</f>
        <v/>
      </c>
      <c r="I3706" s="11">
        <f>MAX(0,N3706-M3706)</f>
        <v/>
      </c>
      <c r="J3706" s="11">
        <f>MAX(0,M3706-N3706)</f>
        <v/>
      </c>
      <c r="K3706" s="11">
        <f>O3706</f>
        <v/>
      </c>
      <c r="L3706" s="11">
        <f>L3705+IF(K3706&gt;0,K3706*Summary!$B$9,K3706/Summary!$B$9)</f>
        <v/>
      </c>
      <c r="M3706" s="11">
        <f>G3706+H3706</f>
        <v/>
      </c>
      <c r="N3706" s="11">
        <f>Summary!$C$16*Summary!$B$8</f>
        <v/>
      </c>
      <c r="O3706" s="11">
        <f>M3706-N3706</f>
        <v/>
      </c>
    </row>
    <row r="3707">
      <c r="A3707" s="9" t="n">
        <v>45446.375</v>
      </c>
      <c r="B3707" t="n">
        <v>6</v>
      </c>
      <c r="C3707" t="n">
        <v>3</v>
      </c>
      <c r="D3707" t="n">
        <v>9</v>
      </c>
      <c r="E3707" s="10" t="n">
        <v>0.722318</v>
      </c>
      <c r="F3707" s="10" t="n">
        <v>0.1731063295455191</v>
      </c>
      <c r="G3707" s="11">
        <f>E3707*Summary!$B$6</f>
        <v/>
      </c>
      <c r="H3707" s="11">
        <f>F3707*Summary!$B$7</f>
        <v/>
      </c>
      <c r="I3707" s="11">
        <f>MAX(0,N3707-M3707)</f>
        <v/>
      </c>
      <c r="J3707" s="11">
        <f>MAX(0,M3707-N3707)</f>
        <v/>
      </c>
      <c r="K3707" s="11">
        <f>O3707</f>
        <v/>
      </c>
      <c r="L3707" s="11">
        <f>L3706+IF(K3707&gt;0,K3707*Summary!$B$9,K3707/Summary!$B$9)</f>
        <v/>
      </c>
      <c r="M3707" s="11">
        <f>G3707+H3707</f>
        <v/>
      </c>
      <c r="N3707" s="11">
        <f>Summary!$C$16*Summary!$B$8</f>
        <v/>
      </c>
      <c r="O3707" s="11">
        <f>M3707-N3707</f>
        <v/>
      </c>
    </row>
    <row r="3708">
      <c r="A3708" s="9" t="n">
        <v>45446.41666666666</v>
      </c>
      <c r="B3708" t="n">
        <v>6</v>
      </c>
      <c r="C3708" t="n">
        <v>3</v>
      </c>
      <c r="D3708" t="n">
        <v>10</v>
      </c>
      <c r="E3708" s="10" t="n">
        <v>0.70704</v>
      </c>
      <c r="F3708" s="10" t="n">
        <v>0.1852019004484561</v>
      </c>
      <c r="G3708" s="11">
        <f>E3708*Summary!$B$6</f>
        <v/>
      </c>
      <c r="H3708" s="11">
        <f>F3708*Summary!$B$7</f>
        <v/>
      </c>
      <c r="I3708" s="11">
        <f>MAX(0,N3708-M3708)</f>
        <v/>
      </c>
      <c r="J3708" s="11">
        <f>MAX(0,M3708-N3708)</f>
        <v/>
      </c>
      <c r="K3708" s="11">
        <f>O3708</f>
        <v/>
      </c>
      <c r="L3708" s="11">
        <f>L3707+IF(K3708&gt;0,K3708*Summary!$B$9,K3708/Summary!$B$9)</f>
        <v/>
      </c>
      <c r="M3708" s="11">
        <f>G3708+H3708</f>
        <v/>
      </c>
      <c r="N3708" s="11">
        <f>Summary!$C$16*Summary!$B$8</f>
        <v/>
      </c>
      <c r="O3708" s="11">
        <f>M3708-N3708</f>
        <v/>
      </c>
    </row>
    <row r="3709">
      <c r="A3709" s="9" t="n">
        <v>45446.45833333334</v>
      </c>
      <c r="B3709" t="n">
        <v>6</v>
      </c>
      <c r="C3709" t="n">
        <v>3</v>
      </c>
      <c r="D3709" t="n">
        <v>11</v>
      </c>
      <c r="E3709" s="10" t="n">
        <v>0.754058</v>
      </c>
      <c r="F3709" s="10" t="n">
        <v>0.1978245114778827</v>
      </c>
      <c r="G3709" s="11">
        <f>E3709*Summary!$B$6</f>
        <v/>
      </c>
      <c r="H3709" s="11">
        <f>F3709*Summary!$B$7</f>
        <v/>
      </c>
      <c r="I3709" s="11">
        <f>MAX(0,N3709-M3709)</f>
        <v/>
      </c>
      <c r="J3709" s="11">
        <f>MAX(0,M3709-N3709)</f>
        <v/>
      </c>
      <c r="K3709" s="11">
        <f>O3709</f>
        <v/>
      </c>
      <c r="L3709" s="11">
        <f>L3708+IF(K3709&gt;0,K3709*Summary!$B$9,K3709/Summary!$B$9)</f>
        <v/>
      </c>
      <c r="M3709" s="11">
        <f>G3709+H3709</f>
        <v/>
      </c>
      <c r="N3709" s="11">
        <f>Summary!$C$16*Summary!$B$8</f>
        <v/>
      </c>
      <c r="O3709" s="11">
        <f>M3709-N3709</f>
        <v/>
      </c>
    </row>
    <row r="3710">
      <c r="A3710" s="9" t="n">
        <v>45446.5</v>
      </c>
      <c r="B3710" t="n">
        <v>6</v>
      </c>
      <c r="C3710" t="n">
        <v>3</v>
      </c>
      <c r="D3710" t="n">
        <v>12</v>
      </c>
      <c r="E3710" s="10" t="n">
        <v>0.754058</v>
      </c>
      <c r="F3710" s="10" t="n">
        <v>0.2137674753041941</v>
      </c>
      <c r="G3710" s="11">
        <f>E3710*Summary!$B$6</f>
        <v/>
      </c>
      <c r="H3710" s="11">
        <f>F3710*Summary!$B$7</f>
        <v/>
      </c>
      <c r="I3710" s="11">
        <f>MAX(0,N3710-M3710)</f>
        <v/>
      </c>
      <c r="J3710" s="11">
        <f>MAX(0,M3710-N3710)</f>
        <v/>
      </c>
      <c r="K3710" s="11">
        <f>O3710</f>
        <v/>
      </c>
      <c r="L3710" s="11">
        <f>L3709+IF(K3710&gt;0,K3710*Summary!$B$9,K3710/Summary!$B$9)</f>
        <v/>
      </c>
      <c r="M3710" s="11">
        <f>G3710+H3710</f>
        <v/>
      </c>
      <c r="N3710" s="11">
        <f>Summary!$C$16*Summary!$B$8</f>
        <v/>
      </c>
      <c r="O3710" s="11">
        <f>M3710-N3710</f>
        <v/>
      </c>
    </row>
    <row r="3711">
      <c r="A3711" s="9" t="n">
        <v>45446.54166666666</v>
      </c>
      <c r="B3711" t="n">
        <v>6</v>
      </c>
      <c r="C3711" t="n">
        <v>3</v>
      </c>
      <c r="D3711" t="n">
        <v>13</v>
      </c>
      <c r="E3711" s="10" t="n">
        <v>0.74132</v>
      </c>
      <c r="F3711" s="10" t="n">
        <v>0.2300266632063992</v>
      </c>
      <c r="G3711" s="11">
        <f>E3711*Summary!$B$6</f>
        <v/>
      </c>
      <c r="H3711" s="11">
        <f>F3711*Summary!$B$7</f>
        <v/>
      </c>
      <c r="I3711" s="11">
        <f>MAX(0,N3711-M3711)</f>
        <v/>
      </c>
      <c r="J3711" s="11">
        <f>MAX(0,M3711-N3711)</f>
        <v/>
      </c>
      <c r="K3711" s="11">
        <f>O3711</f>
        <v/>
      </c>
      <c r="L3711" s="11">
        <f>L3710+IF(K3711&gt;0,K3711*Summary!$B$9,K3711/Summary!$B$9)</f>
        <v/>
      </c>
      <c r="M3711" s="11">
        <f>G3711+H3711</f>
        <v/>
      </c>
      <c r="N3711" s="11">
        <f>Summary!$C$16*Summary!$B$8</f>
        <v/>
      </c>
      <c r="O3711" s="11">
        <f>M3711-N3711</f>
        <v/>
      </c>
    </row>
    <row r="3712">
      <c r="A3712" s="9" t="n">
        <v>45446.58333333334</v>
      </c>
      <c r="B3712" t="n">
        <v>6</v>
      </c>
      <c r="C3712" t="n">
        <v>3</v>
      </c>
      <c r="D3712" t="n">
        <v>14</v>
      </c>
      <c r="E3712" s="10" t="n">
        <v>0.746599</v>
      </c>
      <c r="F3712" s="10" t="n">
        <v>0.2343220402372896</v>
      </c>
      <c r="G3712" s="11">
        <f>E3712*Summary!$B$6</f>
        <v/>
      </c>
      <c r="H3712" s="11">
        <f>F3712*Summary!$B$7</f>
        <v/>
      </c>
      <c r="I3712" s="11">
        <f>MAX(0,N3712-M3712)</f>
        <v/>
      </c>
      <c r="J3712" s="11">
        <f>MAX(0,M3712-N3712)</f>
        <v/>
      </c>
      <c r="K3712" s="11">
        <f>O3712</f>
        <v/>
      </c>
      <c r="L3712" s="11">
        <f>L3711+IF(K3712&gt;0,K3712*Summary!$B$9,K3712/Summary!$B$9)</f>
        <v/>
      </c>
      <c r="M3712" s="11">
        <f>G3712+H3712</f>
        <v/>
      </c>
      <c r="N3712" s="11">
        <f>Summary!$C$16*Summary!$B$8</f>
        <v/>
      </c>
      <c r="O3712" s="11">
        <f>M3712-N3712</f>
        <v/>
      </c>
    </row>
    <row r="3713">
      <c r="A3713" s="9" t="n">
        <v>45446.625</v>
      </c>
      <c r="B3713" t="n">
        <v>6</v>
      </c>
      <c r="C3713" t="n">
        <v>3</v>
      </c>
      <c r="D3713" t="n">
        <v>15</v>
      </c>
      <c r="E3713" s="10" t="n">
        <v>0.49602</v>
      </c>
      <c r="F3713" s="10" t="n">
        <v>0.2590929261823023</v>
      </c>
      <c r="G3713" s="11">
        <f>E3713*Summary!$B$6</f>
        <v/>
      </c>
      <c r="H3713" s="11">
        <f>F3713*Summary!$B$7</f>
        <v/>
      </c>
      <c r="I3713" s="11">
        <f>MAX(0,N3713-M3713)</f>
        <v/>
      </c>
      <c r="J3713" s="11">
        <f>MAX(0,M3713-N3713)</f>
        <v/>
      </c>
      <c r="K3713" s="11">
        <f>O3713</f>
        <v/>
      </c>
      <c r="L3713" s="11">
        <f>L3712+IF(K3713&gt;0,K3713*Summary!$B$9,K3713/Summary!$B$9)</f>
        <v/>
      </c>
      <c r="M3713" s="11">
        <f>G3713+H3713</f>
        <v/>
      </c>
      <c r="N3713" s="11">
        <f>Summary!$C$16*Summary!$B$8</f>
        <v/>
      </c>
      <c r="O3713" s="11">
        <f>M3713-N3713</f>
        <v/>
      </c>
    </row>
    <row r="3714">
      <c r="A3714" s="9" t="n">
        <v>45446.66666666666</v>
      </c>
      <c r="B3714" t="n">
        <v>6</v>
      </c>
      <c r="C3714" t="n">
        <v>3</v>
      </c>
      <c r="D3714" t="n">
        <v>16</v>
      </c>
      <c r="E3714" s="10" t="n">
        <v>0.390092</v>
      </c>
      <c r="F3714" s="10" t="n">
        <v>0.2692648006235521</v>
      </c>
      <c r="G3714" s="11">
        <f>E3714*Summary!$B$6</f>
        <v/>
      </c>
      <c r="H3714" s="11">
        <f>F3714*Summary!$B$7</f>
        <v/>
      </c>
      <c r="I3714" s="11">
        <f>MAX(0,N3714-M3714)</f>
        <v/>
      </c>
      <c r="J3714" s="11">
        <f>MAX(0,M3714-N3714)</f>
        <v/>
      </c>
      <c r="K3714" s="11">
        <f>O3714</f>
        <v/>
      </c>
      <c r="L3714" s="11">
        <f>L3713+IF(K3714&gt;0,K3714*Summary!$B$9,K3714/Summary!$B$9)</f>
        <v/>
      </c>
      <c r="M3714" s="11">
        <f>G3714+H3714</f>
        <v/>
      </c>
      <c r="N3714" s="11">
        <f>Summary!$C$16*Summary!$B$8</f>
        <v/>
      </c>
      <c r="O3714" s="11">
        <f>M3714-N3714</f>
        <v/>
      </c>
    </row>
    <row r="3715">
      <c r="A3715" s="9" t="n">
        <v>45446.70833333334</v>
      </c>
      <c r="B3715" t="n">
        <v>6</v>
      </c>
      <c r="C3715" t="n">
        <v>3</v>
      </c>
      <c r="D3715" t="n">
        <v>17</v>
      </c>
      <c r="E3715" s="10" t="n">
        <v>0.247946</v>
      </c>
      <c r="F3715" s="10" t="n">
        <v>0.2690012805603073</v>
      </c>
      <c r="G3715" s="11">
        <f>E3715*Summary!$B$6</f>
        <v/>
      </c>
      <c r="H3715" s="11">
        <f>F3715*Summary!$B$7</f>
        <v/>
      </c>
      <c r="I3715" s="11">
        <f>MAX(0,N3715-M3715)</f>
        <v/>
      </c>
      <c r="J3715" s="11">
        <f>MAX(0,M3715-N3715)</f>
        <v/>
      </c>
      <c r="K3715" s="11">
        <f>O3715</f>
        <v/>
      </c>
      <c r="L3715" s="11">
        <f>L3714+IF(K3715&gt;0,K3715*Summary!$B$9,K3715/Summary!$B$9)</f>
        <v/>
      </c>
      <c r="M3715" s="11">
        <f>G3715+H3715</f>
        <v/>
      </c>
      <c r="N3715" s="11">
        <f>Summary!$C$16*Summary!$B$8</f>
        <v/>
      </c>
      <c r="O3715" s="11">
        <f>M3715-N3715</f>
        <v/>
      </c>
    </row>
    <row r="3716">
      <c r="A3716" s="9" t="n">
        <v>45446.75</v>
      </c>
      <c r="B3716" t="n">
        <v>6</v>
      </c>
      <c r="C3716" t="n">
        <v>3</v>
      </c>
      <c r="D3716" t="n">
        <v>18</v>
      </c>
      <c r="E3716" s="10" t="n">
        <v>0.081985</v>
      </c>
      <c r="F3716" s="10" t="n">
        <v>0.2751412980339115</v>
      </c>
      <c r="G3716" s="11">
        <f>E3716*Summary!$B$6</f>
        <v/>
      </c>
      <c r="H3716" s="11">
        <f>F3716*Summary!$B$7</f>
        <v/>
      </c>
      <c r="I3716" s="11">
        <f>MAX(0,N3716-M3716)</f>
        <v/>
      </c>
      <c r="J3716" s="11">
        <f>MAX(0,M3716-N3716)</f>
        <v/>
      </c>
      <c r="K3716" s="11">
        <f>O3716</f>
        <v/>
      </c>
      <c r="L3716" s="11">
        <f>L3715+IF(K3716&gt;0,K3716*Summary!$B$9,K3716/Summary!$B$9)</f>
        <v/>
      </c>
      <c r="M3716" s="11">
        <f>G3716+H3716</f>
        <v/>
      </c>
      <c r="N3716" s="11">
        <f>Summary!$C$16*Summary!$B$8</f>
        <v/>
      </c>
      <c r="O3716" s="11">
        <f>M3716-N3716</f>
        <v/>
      </c>
    </row>
    <row r="3717">
      <c r="A3717" s="9" t="n">
        <v>45446.79166666666</v>
      </c>
      <c r="B3717" t="n">
        <v>6</v>
      </c>
      <c r="C3717" t="n">
        <v>3</v>
      </c>
      <c r="D3717" t="n">
        <v>19</v>
      </c>
      <c r="E3717" s="10" t="n">
        <v>0.036572</v>
      </c>
      <c r="F3717" s="10" t="n">
        <v>0.28512870843089</v>
      </c>
      <c r="G3717" s="11">
        <f>E3717*Summary!$B$6</f>
        <v/>
      </c>
      <c r="H3717" s="11">
        <f>F3717*Summary!$B$7</f>
        <v/>
      </c>
      <c r="I3717" s="11">
        <f>MAX(0,N3717-M3717)</f>
        <v/>
      </c>
      <c r="J3717" s="11">
        <f>MAX(0,M3717-N3717)</f>
        <v/>
      </c>
      <c r="K3717" s="11">
        <f>O3717</f>
        <v/>
      </c>
      <c r="L3717" s="11">
        <f>L3716+IF(K3717&gt;0,K3717*Summary!$B$9,K3717/Summary!$B$9)</f>
        <v/>
      </c>
      <c r="M3717" s="11">
        <f>G3717+H3717</f>
        <v/>
      </c>
      <c r="N3717" s="11">
        <f>Summary!$C$16*Summary!$B$8</f>
        <v/>
      </c>
      <c r="O3717" s="11">
        <f>M3717-N3717</f>
        <v/>
      </c>
    </row>
    <row r="3718">
      <c r="A3718" s="9" t="n">
        <v>45446.83333333334</v>
      </c>
      <c r="B3718" t="n">
        <v>6</v>
      </c>
      <c r="C3718" t="n">
        <v>3</v>
      </c>
      <c r="D3718" t="n">
        <v>20</v>
      </c>
      <c r="E3718" s="10" t="n">
        <v>0.014785</v>
      </c>
      <c r="F3718" s="10" t="n">
        <v>0.3075806178193483</v>
      </c>
      <c r="G3718" s="11">
        <f>E3718*Summary!$B$6</f>
        <v/>
      </c>
      <c r="H3718" s="11">
        <f>F3718*Summary!$B$7</f>
        <v/>
      </c>
      <c r="I3718" s="11">
        <f>MAX(0,N3718-M3718)</f>
        <v/>
      </c>
      <c r="J3718" s="11">
        <f>MAX(0,M3718-N3718)</f>
        <v/>
      </c>
      <c r="K3718" s="11">
        <f>O3718</f>
        <v/>
      </c>
      <c r="L3718" s="11">
        <f>L3717+IF(K3718&gt;0,K3718*Summary!$B$9,K3718/Summary!$B$9)</f>
        <v/>
      </c>
      <c r="M3718" s="11">
        <f>G3718+H3718</f>
        <v/>
      </c>
      <c r="N3718" s="11">
        <f>Summary!$C$16*Summary!$B$8</f>
        <v/>
      </c>
      <c r="O3718" s="11">
        <f>M3718-N3718</f>
        <v/>
      </c>
    </row>
    <row r="3719">
      <c r="A3719" s="9" t="n">
        <v>45446.875</v>
      </c>
      <c r="B3719" t="n">
        <v>6</v>
      </c>
      <c r="C3719" t="n">
        <v>3</v>
      </c>
      <c r="D3719" t="n">
        <v>21</v>
      </c>
      <c r="E3719" s="10" t="n">
        <v>0</v>
      </c>
      <c r="F3719" s="10" t="n">
        <v>0.3338535681248563</v>
      </c>
      <c r="G3719" s="11">
        <f>E3719*Summary!$B$6</f>
        <v/>
      </c>
      <c r="H3719" s="11">
        <f>F3719*Summary!$B$7</f>
        <v/>
      </c>
      <c r="I3719" s="11">
        <f>MAX(0,N3719-M3719)</f>
        <v/>
      </c>
      <c r="J3719" s="11">
        <f>MAX(0,M3719-N3719)</f>
        <v/>
      </c>
      <c r="K3719" s="11">
        <f>O3719</f>
        <v/>
      </c>
      <c r="L3719" s="11">
        <f>L3718+IF(K3719&gt;0,K3719*Summary!$B$9,K3719/Summary!$B$9)</f>
        <v/>
      </c>
      <c r="M3719" s="11">
        <f>G3719+H3719</f>
        <v/>
      </c>
      <c r="N3719" s="11">
        <f>Summary!$C$16*Summary!$B$8</f>
        <v/>
      </c>
      <c r="O3719" s="11">
        <f>M3719-N3719</f>
        <v/>
      </c>
    </row>
    <row r="3720">
      <c r="A3720" s="9" t="n">
        <v>45446.91666666666</v>
      </c>
      <c r="B3720" t="n">
        <v>6</v>
      </c>
      <c r="C3720" t="n">
        <v>3</v>
      </c>
      <c r="D3720" t="n">
        <v>22</v>
      </c>
      <c r="E3720" s="10" t="n">
        <v>0</v>
      </c>
      <c r="F3720" s="10" t="n">
        <v>0.3531695887607013</v>
      </c>
      <c r="G3720" s="11">
        <f>E3720*Summary!$B$6</f>
        <v/>
      </c>
      <c r="H3720" s="11">
        <f>F3720*Summary!$B$7</f>
        <v/>
      </c>
      <c r="I3720" s="11">
        <f>MAX(0,N3720-M3720)</f>
        <v/>
      </c>
      <c r="J3720" s="11">
        <f>MAX(0,M3720-N3720)</f>
        <v/>
      </c>
      <c r="K3720" s="11">
        <f>O3720</f>
        <v/>
      </c>
      <c r="L3720" s="11">
        <f>L3719+IF(K3720&gt;0,K3720*Summary!$B$9,K3720/Summary!$B$9)</f>
        <v/>
      </c>
      <c r="M3720" s="11">
        <f>G3720+H3720</f>
        <v/>
      </c>
      <c r="N3720" s="11">
        <f>Summary!$C$16*Summary!$B$8</f>
        <v/>
      </c>
      <c r="O3720" s="11">
        <f>M3720-N3720</f>
        <v/>
      </c>
    </row>
    <row r="3721">
      <c r="A3721" s="9" t="n">
        <v>45446.95833333334</v>
      </c>
      <c r="B3721" t="n">
        <v>6</v>
      </c>
      <c r="C3721" t="n">
        <v>3</v>
      </c>
      <c r="D3721" t="n">
        <v>23</v>
      </c>
      <c r="E3721" s="10" t="n">
        <v>0</v>
      </c>
      <c r="F3721" s="10" t="n">
        <v>0.3633414632019512</v>
      </c>
      <c r="G3721" s="11">
        <f>E3721*Summary!$B$6</f>
        <v/>
      </c>
      <c r="H3721" s="11">
        <f>F3721*Summary!$B$7</f>
        <v/>
      </c>
      <c r="I3721" s="11">
        <f>MAX(0,N3721-M3721)</f>
        <v/>
      </c>
      <c r="J3721" s="11">
        <f>MAX(0,M3721-N3721)</f>
        <v/>
      </c>
      <c r="K3721" s="11">
        <f>O3721</f>
        <v/>
      </c>
      <c r="L3721" s="11">
        <f>L3720+IF(K3721&gt;0,K3721*Summary!$B$9,K3721/Summary!$B$9)</f>
        <v/>
      </c>
      <c r="M3721" s="11">
        <f>G3721+H3721</f>
        <v/>
      </c>
      <c r="N3721" s="11">
        <f>Summary!$C$16*Summary!$B$8</f>
        <v/>
      </c>
      <c r="O3721" s="11">
        <f>M3721-N3721</f>
        <v/>
      </c>
    </row>
    <row r="3722">
      <c r="A3722" s="9" t="n">
        <v>45447</v>
      </c>
      <c r="B3722" t="n">
        <v>6</v>
      </c>
      <c r="C3722" t="n">
        <v>4</v>
      </c>
      <c r="D3722" t="n">
        <v>0</v>
      </c>
      <c r="E3722" s="10" t="n">
        <v>0</v>
      </c>
      <c r="F3722" s="10" t="n">
        <v>0.2740872177809323</v>
      </c>
      <c r="G3722" s="11">
        <f>E3722*Summary!$B$6</f>
        <v/>
      </c>
      <c r="H3722" s="11">
        <f>F3722*Summary!$B$7</f>
        <v/>
      </c>
      <c r="I3722" s="11">
        <f>MAX(0,N3722-M3722)</f>
        <v/>
      </c>
      <c r="J3722" s="11">
        <f>MAX(0,M3722-N3722)</f>
        <v/>
      </c>
      <c r="K3722" s="11">
        <f>O3722</f>
        <v/>
      </c>
      <c r="L3722" s="11">
        <f>L3721+IF(K3722&gt;0,K3722*Summary!$B$9,K3722/Summary!$B$9)</f>
        <v/>
      </c>
      <c r="M3722" s="11">
        <f>G3722+H3722</f>
        <v/>
      </c>
      <c r="N3722" s="11">
        <f>Summary!$C$16*Summary!$B$8</f>
        <v/>
      </c>
      <c r="O3722" s="11">
        <f>M3722-N3722</f>
        <v/>
      </c>
    </row>
    <row r="3723">
      <c r="A3723" s="9" t="n">
        <v>45447.04166666666</v>
      </c>
      <c r="B3723" t="n">
        <v>6</v>
      </c>
      <c r="C3723" t="n">
        <v>4</v>
      </c>
      <c r="D3723" t="n">
        <v>1</v>
      </c>
      <c r="E3723" s="10" t="n">
        <v>0</v>
      </c>
      <c r="F3723" s="10" t="n">
        <v>0.3540392049694092</v>
      </c>
      <c r="G3723" s="11">
        <f>E3723*Summary!$B$6</f>
        <v/>
      </c>
      <c r="H3723" s="11">
        <f>F3723*Summary!$B$7</f>
        <v/>
      </c>
      <c r="I3723" s="11">
        <f>MAX(0,N3723-M3723)</f>
        <v/>
      </c>
      <c r="J3723" s="11">
        <f>MAX(0,M3723-N3723)</f>
        <v/>
      </c>
      <c r="K3723" s="11">
        <f>O3723</f>
        <v/>
      </c>
      <c r="L3723" s="11">
        <f>L3722+IF(K3723&gt;0,K3723*Summary!$B$9,K3723/Summary!$B$9)</f>
        <v/>
      </c>
      <c r="M3723" s="11">
        <f>G3723+H3723</f>
        <v/>
      </c>
      <c r="N3723" s="11">
        <f>Summary!$C$16*Summary!$B$8</f>
        <v/>
      </c>
      <c r="O3723" s="11">
        <f>M3723-N3723</f>
        <v/>
      </c>
    </row>
    <row r="3724">
      <c r="A3724" s="9" t="n">
        <v>45447.08333333334</v>
      </c>
      <c r="B3724" t="n">
        <v>6</v>
      </c>
      <c r="C3724" t="n">
        <v>4</v>
      </c>
      <c r="D3724" t="n">
        <v>2</v>
      </c>
      <c r="E3724" s="10" t="n">
        <v>0</v>
      </c>
      <c r="F3724" s="10" t="n">
        <v>0.3389658573518057</v>
      </c>
      <c r="G3724" s="11">
        <f>E3724*Summary!$B$6</f>
        <v/>
      </c>
      <c r="H3724" s="11">
        <f>F3724*Summary!$B$7</f>
        <v/>
      </c>
      <c r="I3724" s="11">
        <f>MAX(0,N3724-M3724)</f>
        <v/>
      </c>
      <c r="J3724" s="11">
        <f>MAX(0,M3724-N3724)</f>
        <v/>
      </c>
      <c r="K3724" s="11">
        <f>O3724</f>
        <v/>
      </c>
      <c r="L3724" s="11">
        <f>L3723+IF(K3724&gt;0,K3724*Summary!$B$9,K3724/Summary!$B$9)</f>
        <v/>
      </c>
      <c r="M3724" s="11">
        <f>G3724+H3724</f>
        <v/>
      </c>
      <c r="N3724" s="11">
        <f>Summary!$C$16*Summary!$B$8</f>
        <v/>
      </c>
      <c r="O3724" s="11">
        <f>M3724-N3724</f>
        <v/>
      </c>
    </row>
    <row r="3725">
      <c r="A3725" s="9" t="n">
        <v>45447.125</v>
      </c>
      <c r="B3725" t="n">
        <v>6</v>
      </c>
      <c r="C3725" t="n">
        <v>4</v>
      </c>
      <c r="D3725" t="n">
        <v>3</v>
      </c>
      <c r="E3725" s="10" t="n">
        <v>0</v>
      </c>
      <c r="F3725" s="10" t="n">
        <v>0.3232337095760903</v>
      </c>
      <c r="G3725" s="11">
        <f>E3725*Summary!$B$6</f>
        <v/>
      </c>
      <c r="H3725" s="11">
        <f>F3725*Summary!$B$7</f>
        <v/>
      </c>
      <c r="I3725" s="11">
        <f>MAX(0,N3725-M3725)</f>
        <v/>
      </c>
      <c r="J3725" s="11">
        <f>MAX(0,M3725-N3725)</f>
        <v/>
      </c>
      <c r="K3725" s="11">
        <f>O3725</f>
        <v/>
      </c>
      <c r="L3725" s="11">
        <f>L3724+IF(K3725&gt;0,K3725*Summary!$B$9,K3725/Summary!$B$9)</f>
        <v/>
      </c>
      <c r="M3725" s="11">
        <f>G3725+H3725</f>
        <v/>
      </c>
      <c r="N3725" s="11">
        <f>Summary!$C$16*Summary!$B$8</f>
        <v/>
      </c>
      <c r="O3725" s="11">
        <f>M3725-N3725</f>
        <v/>
      </c>
    </row>
    <row r="3726">
      <c r="A3726" s="9" t="n">
        <v>45447.16666666666</v>
      </c>
      <c r="B3726" t="n">
        <v>6</v>
      </c>
      <c r="C3726" t="n">
        <v>4</v>
      </c>
      <c r="D3726" t="n">
        <v>4</v>
      </c>
      <c r="E3726" s="10" t="n">
        <v>0.041847</v>
      </c>
      <c r="F3726" s="10" t="n">
        <v>0.297329687359125</v>
      </c>
      <c r="G3726" s="11">
        <f>E3726*Summary!$B$6</f>
        <v/>
      </c>
      <c r="H3726" s="11">
        <f>F3726*Summary!$B$7</f>
        <v/>
      </c>
      <c r="I3726" s="11">
        <f>MAX(0,N3726-M3726)</f>
        <v/>
      </c>
      <c r="J3726" s="11">
        <f>MAX(0,M3726-N3726)</f>
        <v/>
      </c>
      <c r="K3726" s="11">
        <f>O3726</f>
        <v/>
      </c>
      <c r="L3726" s="11">
        <f>L3725+IF(K3726&gt;0,K3726*Summary!$B$9,K3726/Summary!$B$9)</f>
        <v/>
      </c>
      <c r="M3726" s="11">
        <f>G3726+H3726</f>
        <v/>
      </c>
      <c r="N3726" s="11">
        <f>Summary!$C$16*Summary!$B$8</f>
        <v/>
      </c>
      <c r="O3726" s="11">
        <f>M3726-N3726</f>
        <v/>
      </c>
    </row>
    <row r="3727">
      <c r="A3727" s="9" t="n">
        <v>45447.20833333334</v>
      </c>
      <c r="B3727" t="n">
        <v>6</v>
      </c>
      <c r="C3727" t="n">
        <v>4</v>
      </c>
      <c r="D3727" t="n">
        <v>5</v>
      </c>
      <c r="E3727" s="10" t="n">
        <v>0.058948</v>
      </c>
      <c r="F3727" s="10" t="n">
        <v>0.2629403191056766</v>
      </c>
      <c r="G3727" s="11">
        <f>E3727*Summary!$B$6</f>
        <v/>
      </c>
      <c r="H3727" s="11">
        <f>F3727*Summary!$B$7</f>
        <v/>
      </c>
      <c r="I3727" s="11">
        <f>MAX(0,N3727-M3727)</f>
        <v/>
      </c>
      <c r="J3727" s="11">
        <f>MAX(0,M3727-N3727)</f>
        <v/>
      </c>
      <c r="K3727" s="11">
        <f>O3727</f>
        <v/>
      </c>
      <c r="L3727" s="11">
        <f>L3726+IF(K3727&gt;0,K3727*Summary!$B$9,K3727/Summary!$B$9)</f>
        <v/>
      </c>
      <c r="M3727" s="11">
        <f>G3727+H3727</f>
        <v/>
      </c>
      <c r="N3727" s="11">
        <f>Summary!$C$16*Summary!$B$8</f>
        <v/>
      </c>
      <c r="O3727" s="11">
        <f>M3727-N3727</f>
        <v/>
      </c>
    </row>
    <row r="3728">
      <c r="A3728" s="9" t="n">
        <v>45447.25</v>
      </c>
      <c r="B3728" t="n">
        <v>6</v>
      </c>
      <c r="C3728" t="n">
        <v>4</v>
      </c>
      <c r="D3728" t="n">
        <v>6</v>
      </c>
      <c r="E3728" s="10" t="n">
        <v>0.21573</v>
      </c>
      <c r="F3728" s="10" t="n">
        <v>0.231054391453054</v>
      </c>
      <c r="G3728" s="11">
        <f>E3728*Summary!$B$6</f>
        <v/>
      </c>
      <c r="H3728" s="11">
        <f>F3728*Summary!$B$7</f>
        <v/>
      </c>
      <c r="I3728" s="11">
        <f>MAX(0,N3728-M3728)</f>
        <v/>
      </c>
      <c r="J3728" s="11">
        <f>MAX(0,M3728-N3728)</f>
        <v/>
      </c>
      <c r="K3728" s="11">
        <f>O3728</f>
        <v/>
      </c>
      <c r="L3728" s="11">
        <f>L3727+IF(K3728&gt;0,K3728*Summary!$B$9,K3728/Summary!$B$9)</f>
        <v/>
      </c>
      <c r="M3728" s="11">
        <f>G3728+H3728</f>
        <v/>
      </c>
      <c r="N3728" s="11">
        <f>Summary!$C$16*Summary!$B$8</f>
        <v/>
      </c>
      <c r="O3728" s="11">
        <f>M3728-N3728</f>
        <v/>
      </c>
    </row>
    <row r="3729">
      <c r="A3729" s="9" t="n">
        <v>45447.29166666666</v>
      </c>
      <c r="B3729" t="n">
        <v>6</v>
      </c>
      <c r="C3729" t="n">
        <v>4</v>
      </c>
      <c r="D3729" t="n">
        <v>7</v>
      </c>
      <c r="E3729" s="10" t="n">
        <v>0.416043</v>
      </c>
      <c r="F3729" s="10" t="n">
        <v>0.2039381769451625</v>
      </c>
      <c r="G3729" s="11">
        <f>E3729*Summary!$B$6</f>
        <v/>
      </c>
      <c r="H3729" s="11">
        <f>F3729*Summary!$B$7</f>
        <v/>
      </c>
      <c r="I3729" s="11">
        <f>MAX(0,N3729-M3729)</f>
        <v/>
      </c>
      <c r="J3729" s="11">
        <f>MAX(0,M3729-N3729)</f>
        <v/>
      </c>
      <c r="K3729" s="11">
        <f>O3729</f>
        <v/>
      </c>
      <c r="L3729" s="11">
        <f>L3728+IF(K3729&gt;0,K3729*Summary!$B$9,K3729/Summary!$B$9)</f>
        <v/>
      </c>
      <c r="M3729" s="11">
        <f>G3729+H3729</f>
        <v/>
      </c>
      <c r="N3729" s="11">
        <f>Summary!$C$16*Summary!$B$8</f>
        <v/>
      </c>
      <c r="O3729" s="11">
        <f>M3729-N3729</f>
        <v/>
      </c>
    </row>
    <row r="3730">
      <c r="A3730" s="9" t="n">
        <v>45447.33333333334</v>
      </c>
      <c r="B3730" t="n">
        <v>6</v>
      </c>
      <c r="C3730" t="n">
        <v>4</v>
      </c>
      <c r="D3730" t="n">
        <v>8</v>
      </c>
      <c r="E3730" s="10" t="n">
        <v>0.591309</v>
      </c>
      <c r="F3730" s="10" t="n">
        <v>0.191816254035901</v>
      </c>
      <c r="G3730" s="11">
        <f>E3730*Summary!$B$6</f>
        <v/>
      </c>
      <c r="H3730" s="11">
        <f>F3730*Summary!$B$7</f>
        <v/>
      </c>
      <c r="I3730" s="11">
        <f>MAX(0,N3730-M3730)</f>
        <v/>
      </c>
      <c r="J3730" s="11">
        <f>MAX(0,M3730-N3730)</f>
        <v/>
      </c>
      <c r="K3730" s="11">
        <f>O3730</f>
        <v/>
      </c>
      <c r="L3730" s="11">
        <f>L3729+IF(K3730&gt;0,K3730*Summary!$B$9,K3730/Summary!$B$9)</f>
        <v/>
      </c>
      <c r="M3730" s="11">
        <f>G3730+H3730</f>
        <v/>
      </c>
      <c r="N3730" s="11">
        <f>Summary!$C$16*Summary!$B$8</f>
        <v/>
      </c>
      <c r="O3730" s="11">
        <f>M3730-N3730</f>
        <v/>
      </c>
    </row>
    <row r="3731">
      <c r="A3731" s="9" t="n">
        <v>45447.375</v>
      </c>
      <c r="B3731" t="n">
        <v>6</v>
      </c>
      <c r="C3731" t="n">
        <v>4</v>
      </c>
      <c r="D3731" t="n">
        <v>9</v>
      </c>
      <c r="E3731" s="10" t="n">
        <v>0.727678</v>
      </c>
      <c r="F3731" s="10" t="n">
        <v>0.1933973744153699</v>
      </c>
      <c r="G3731" s="11">
        <f>E3731*Summary!$B$6</f>
        <v/>
      </c>
      <c r="H3731" s="11">
        <f>F3731*Summary!$B$7</f>
        <v/>
      </c>
      <c r="I3731" s="11">
        <f>MAX(0,N3731-M3731)</f>
        <v/>
      </c>
      <c r="J3731" s="11">
        <f>MAX(0,M3731-N3731)</f>
        <v/>
      </c>
      <c r="K3731" s="11">
        <f>O3731</f>
        <v/>
      </c>
      <c r="L3731" s="11">
        <f>L3730+IF(K3731&gt;0,K3731*Summary!$B$9,K3731/Summary!$B$9)</f>
        <v/>
      </c>
      <c r="M3731" s="11">
        <f>G3731+H3731</f>
        <v/>
      </c>
      <c r="N3731" s="11">
        <f>Summary!$C$16*Summary!$B$8</f>
        <v/>
      </c>
      <c r="O3731" s="11">
        <f>M3731-N3731</f>
        <v/>
      </c>
    </row>
    <row r="3732">
      <c r="A3732" s="9" t="n">
        <v>45447.41666666666</v>
      </c>
      <c r="B3732" t="n">
        <v>6</v>
      </c>
      <c r="C3732" t="n">
        <v>4</v>
      </c>
      <c r="D3732" t="n">
        <v>10</v>
      </c>
      <c r="E3732" s="10" t="n">
        <v>0.754058</v>
      </c>
      <c r="F3732" s="10" t="n">
        <v>0.201013104243145</v>
      </c>
      <c r="G3732" s="11">
        <f>E3732*Summary!$B$6</f>
        <v/>
      </c>
      <c r="H3732" s="11">
        <f>F3732*Summary!$B$7</f>
        <v/>
      </c>
      <c r="I3732" s="11">
        <f>MAX(0,N3732-M3732)</f>
        <v/>
      </c>
      <c r="J3732" s="11">
        <f>MAX(0,M3732-N3732)</f>
        <v/>
      </c>
      <c r="K3732" s="11">
        <f>O3732</f>
        <v/>
      </c>
      <c r="L3732" s="11">
        <f>L3731+IF(K3732&gt;0,K3732*Summary!$B$9,K3732/Summary!$B$9)</f>
        <v/>
      </c>
      <c r="M3732" s="11">
        <f>G3732+H3732</f>
        <v/>
      </c>
      <c r="N3732" s="11">
        <f>Summary!$C$16*Summary!$B$8</f>
        <v/>
      </c>
      <c r="O3732" s="11">
        <f>M3732-N3732</f>
        <v/>
      </c>
    </row>
    <row r="3733">
      <c r="A3733" s="9" t="n">
        <v>45447.45833333334</v>
      </c>
      <c r="B3733" t="n">
        <v>6</v>
      </c>
      <c r="C3733" t="n">
        <v>4</v>
      </c>
      <c r="D3733" t="n">
        <v>11</v>
      </c>
      <c r="E3733" s="10" t="n">
        <v>0.754058</v>
      </c>
      <c r="F3733" s="10" t="n">
        <v>0.2092876342290322</v>
      </c>
      <c r="G3733" s="11">
        <f>E3733*Summary!$B$6</f>
        <v/>
      </c>
      <c r="H3733" s="11">
        <f>F3733*Summary!$B$7</f>
        <v/>
      </c>
      <c r="I3733" s="11">
        <f>MAX(0,N3733-M3733)</f>
        <v/>
      </c>
      <c r="J3733" s="11">
        <f>MAX(0,M3733-N3733)</f>
        <v/>
      </c>
      <c r="K3733" s="11">
        <f>O3733</f>
        <v/>
      </c>
      <c r="L3733" s="11">
        <f>L3732+IF(K3733&gt;0,K3733*Summary!$B$9,K3733/Summary!$B$9)</f>
        <v/>
      </c>
      <c r="M3733" s="11">
        <f>G3733+H3733</f>
        <v/>
      </c>
      <c r="N3733" s="11">
        <f>Summary!$C$16*Summary!$B$8</f>
        <v/>
      </c>
      <c r="O3733" s="11">
        <f>M3733-N3733</f>
        <v/>
      </c>
    </row>
    <row r="3734">
      <c r="A3734" s="9" t="n">
        <v>45447.5</v>
      </c>
      <c r="B3734" t="n">
        <v>6</v>
      </c>
      <c r="C3734" t="n">
        <v>4</v>
      </c>
      <c r="D3734" t="n">
        <v>12</v>
      </c>
      <c r="E3734" s="10" t="n">
        <v>0.754058</v>
      </c>
      <c r="F3734" s="10" t="n">
        <v>0.2115539067729376</v>
      </c>
      <c r="G3734" s="11">
        <f>E3734*Summary!$B$6</f>
        <v/>
      </c>
      <c r="H3734" s="11">
        <f>F3734*Summary!$B$7</f>
        <v/>
      </c>
      <c r="I3734" s="11">
        <f>MAX(0,N3734-M3734)</f>
        <v/>
      </c>
      <c r="J3734" s="11">
        <f>MAX(0,M3734-N3734)</f>
        <v/>
      </c>
      <c r="K3734" s="11">
        <f>O3734</f>
        <v/>
      </c>
      <c r="L3734" s="11">
        <f>L3733+IF(K3734&gt;0,K3734*Summary!$B$9,K3734/Summary!$B$9)</f>
        <v/>
      </c>
      <c r="M3734" s="11">
        <f>G3734+H3734</f>
        <v/>
      </c>
      <c r="N3734" s="11">
        <f>Summary!$C$16*Summary!$B$8</f>
        <v/>
      </c>
      <c r="O3734" s="11">
        <f>M3734-N3734</f>
        <v/>
      </c>
    </row>
    <row r="3735">
      <c r="A3735" s="9" t="n">
        <v>45447.54166666666</v>
      </c>
      <c r="B3735" t="n">
        <v>6</v>
      </c>
      <c r="C3735" t="n">
        <v>4</v>
      </c>
      <c r="D3735" t="n">
        <v>13</v>
      </c>
      <c r="E3735" s="10" t="n">
        <v>0.754058</v>
      </c>
      <c r="F3735" s="10" t="n">
        <v>0.2133194911966779</v>
      </c>
      <c r="G3735" s="11">
        <f>E3735*Summary!$B$6</f>
        <v/>
      </c>
      <c r="H3735" s="11">
        <f>F3735*Summary!$B$7</f>
        <v/>
      </c>
      <c r="I3735" s="11">
        <f>MAX(0,N3735-M3735)</f>
        <v/>
      </c>
      <c r="J3735" s="11">
        <f>MAX(0,M3735-N3735)</f>
        <v/>
      </c>
      <c r="K3735" s="11">
        <f>O3735</f>
        <v/>
      </c>
      <c r="L3735" s="11">
        <f>L3734+IF(K3735&gt;0,K3735*Summary!$B$9,K3735/Summary!$B$9)</f>
        <v/>
      </c>
      <c r="M3735" s="11">
        <f>G3735+H3735</f>
        <v/>
      </c>
      <c r="N3735" s="11">
        <f>Summary!$C$16*Summary!$B$8</f>
        <v/>
      </c>
      <c r="O3735" s="11">
        <f>M3735-N3735</f>
        <v/>
      </c>
    </row>
    <row r="3736">
      <c r="A3736" s="9" t="n">
        <v>45447.58333333334</v>
      </c>
      <c r="B3736" t="n">
        <v>6</v>
      </c>
      <c r="C3736" t="n">
        <v>4</v>
      </c>
      <c r="D3736" t="n">
        <v>14</v>
      </c>
      <c r="E3736" s="10" t="n">
        <v>0.746912</v>
      </c>
      <c r="F3736" s="10" t="n">
        <v>0.216824308037834</v>
      </c>
      <c r="G3736" s="11">
        <f>E3736*Summary!$B$6</f>
        <v/>
      </c>
      <c r="H3736" s="11">
        <f>F3736*Summary!$B$7</f>
        <v/>
      </c>
      <c r="I3736" s="11">
        <f>MAX(0,N3736-M3736)</f>
        <v/>
      </c>
      <c r="J3736" s="11">
        <f>MAX(0,M3736-N3736)</f>
        <v/>
      </c>
      <c r="K3736" s="11">
        <f>O3736</f>
        <v/>
      </c>
      <c r="L3736" s="11">
        <f>L3735+IF(K3736&gt;0,K3736*Summary!$B$9,K3736/Summary!$B$9)</f>
        <v/>
      </c>
      <c r="M3736" s="11">
        <f>G3736+H3736</f>
        <v/>
      </c>
      <c r="N3736" s="11">
        <f>Summary!$C$16*Summary!$B$8</f>
        <v/>
      </c>
      <c r="O3736" s="11">
        <f>M3736-N3736</f>
        <v/>
      </c>
    </row>
    <row r="3737">
      <c r="A3737" s="9" t="n">
        <v>45447.625</v>
      </c>
      <c r="B3737" t="n">
        <v>6</v>
      </c>
      <c r="C3737" t="n">
        <v>4</v>
      </c>
      <c r="D3737" t="n">
        <v>15</v>
      </c>
      <c r="E3737" s="10" t="n">
        <v>0.614186</v>
      </c>
      <c r="F3737" s="10" t="n">
        <v>0.2128715070891617</v>
      </c>
      <c r="G3737" s="11">
        <f>E3737*Summary!$B$6</f>
        <v/>
      </c>
      <c r="H3737" s="11">
        <f>F3737*Summary!$B$7</f>
        <v/>
      </c>
      <c r="I3737" s="11">
        <f>MAX(0,N3737-M3737)</f>
        <v/>
      </c>
      <c r="J3737" s="11">
        <f>MAX(0,M3737-N3737)</f>
        <v/>
      </c>
      <c r="K3737" s="11">
        <f>O3737</f>
        <v/>
      </c>
      <c r="L3737" s="11">
        <f>L3736+IF(K3737&gt;0,K3737*Summary!$B$9,K3737/Summary!$B$9)</f>
        <v/>
      </c>
      <c r="M3737" s="11">
        <f>G3737+H3737</f>
        <v/>
      </c>
      <c r="N3737" s="11">
        <f>Summary!$C$16*Summary!$B$8</f>
        <v/>
      </c>
      <c r="O3737" s="11">
        <f>M3737-N3737</f>
        <v/>
      </c>
    </row>
    <row r="3738">
      <c r="A3738" s="9" t="n">
        <v>45447.66666666666</v>
      </c>
      <c r="B3738" t="n">
        <v>6</v>
      </c>
      <c r="C3738" t="n">
        <v>4</v>
      </c>
      <c r="D3738" t="n">
        <v>16</v>
      </c>
      <c r="E3738" s="10" t="n">
        <v>0.440962</v>
      </c>
      <c r="F3738" s="10" t="n">
        <v>0.2098937303744953</v>
      </c>
      <c r="G3738" s="11">
        <f>E3738*Summary!$B$6</f>
        <v/>
      </c>
      <c r="H3738" s="11">
        <f>F3738*Summary!$B$7</f>
        <v/>
      </c>
      <c r="I3738" s="11">
        <f>MAX(0,N3738-M3738)</f>
        <v/>
      </c>
      <c r="J3738" s="11">
        <f>MAX(0,M3738-N3738)</f>
        <v/>
      </c>
      <c r="K3738" s="11">
        <f>O3738</f>
        <v/>
      </c>
      <c r="L3738" s="11">
        <f>L3737+IF(K3738&gt;0,K3738*Summary!$B$9,K3738/Summary!$B$9)</f>
        <v/>
      </c>
      <c r="M3738" s="11">
        <f>G3738+H3738</f>
        <v/>
      </c>
      <c r="N3738" s="11">
        <f>Summary!$C$16*Summary!$B$8</f>
        <v/>
      </c>
      <c r="O3738" s="11">
        <f>M3738-N3738</f>
        <v/>
      </c>
    </row>
    <row r="3739">
      <c r="A3739" s="9" t="n">
        <v>45447.70833333334</v>
      </c>
      <c r="B3739" t="n">
        <v>6</v>
      </c>
      <c r="C3739" t="n">
        <v>4</v>
      </c>
      <c r="D3739" t="n">
        <v>17</v>
      </c>
      <c r="E3739" s="10" t="n">
        <v>0.24819</v>
      </c>
      <c r="F3739" s="10" t="n">
        <v>0.215295891671014</v>
      </c>
      <c r="G3739" s="11">
        <f>E3739*Summary!$B$6</f>
        <v/>
      </c>
      <c r="H3739" s="11">
        <f>F3739*Summary!$B$7</f>
        <v/>
      </c>
      <c r="I3739" s="11">
        <f>MAX(0,N3739-M3739)</f>
        <v/>
      </c>
      <c r="J3739" s="11">
        <f>MAX(0,M3739-N3739)</f>
        <v/>
      </c>
      <c r="K3739" s="11">
        <f>O3739</f>
        <v/>
      </c>
      <c r="L3739" s="11">
        <f>L3738+IF(K3739&gt;0,K3739*Summary!$B$9,K3739/Summary!$B$9)</f>
        <v/>
      </c>
      <c r="M3739" s="11">
        <f>G3739+H3739</f>
        <v/>
      </c>
      <c r="N3739" s="11">
        <f>Summary!$C$16*Summary!$B$8</f>
        <v/>
      </c>
      <c r="O3739" s="11">
        <f>M3739-N3739</f>
        <v/>
      </c>
    </row>
    <row r="3740">
      <c r="A3740" s="9" t="n">
        <v>45447.75</v>
      </c>
      <c r="B3740" t="n">
        <v>6</v>
      </c>
      <c r="C3740" t="n">
        <v>4</v>
      </c>
      <c r="D3740" t="n">
        <v>18</v>
      </c>
      <c r="E3740" s="10" t="n">
        <v>0.082438</v>
      </c>
      <c r="F3740" s="10" t="n">
        <v>0.1898398535615648</v>
      </c>
      <c r="G3740" s="11">
        <f>E3740*Summary!$B$6</f>
        <v/>
      </c>
      <c r="H3740" s="11">
        <f>F3740*Summary!$B$7</f>
        <v/>
      </c>
      <c r="I3740" s="11">
        <f>MAX(0,N3740-M3740)</f>
        <v/>
      </c>
      <c r="J3740" s="11">
        <f>MAX(0,M3740-N3740)</f>
        <v/>
      </c>
      <c r="K3740" s="11">
        <f>O3740</f>
        <v/>
      </c>
      <c r="L3740" s="11">
        <f>L3739+IF(K3740&gt;0,K3740*Summary!$B$9,K3740/Summary!$B$9)</f>
        <v/>
      </c>
      <c r="M3740" s="11">
        <f>G3740+H3740</f>
        <v/>
      </c>
      <c r="N3740" s="11">
        <f>Summary!$C$16*Summary!$B$8</f>
        <v/>
      </c>
      <c r="O3740" s="11">
        <f>M3740-N3740</f>
        <v/>
      </c>
    </row>
    <row r="3741">
      <c r="A3741" s="9" t="n">
        <v>45447.79166666666</v>
      </c>
      <c r="B3741" t="n">
        <v>6</v>
      </c>
      <c r="C3741" t="n">
        <v>4</v>
      </c>
      <c r="D3741" t="n">
        <v>19</v>
      </c>
      <c r="E3741" s="10" t="n">
        <v>0.043959</v>
      </c>
      <c r="F3741" s="10" t="n">
        <v>0.1869674848721964</v>
      </c>
      <c r="G3741" s="11">
        <f>E3741*Summary!$B$6</f>
        <v/>
      </c>
      <c r="H3741" s="11">
        <f>F3741*Summary!$B$7</f>
        <v/>
      </c>
      <c r="I3741" s="11">
        <f>MAX(0,N3741-M3741)</f>
        <v/>
      </c>
      <c r="J3741" s="11">
        <f>MAX(0,M3741-N3741)</f>
        <v/>
      </c>
      <c r="K3741" s="11">
        <f>O3741</f>
        <v/>
      </c>
      <c r="L3741" s="11">
        <f>L3740+IF(K3741&gt;0,K3741*Summary!$B$9,K3741/Summary!$B$9)</f>
        <v/>
      </c>
      <c r="M3741" s="11">
        <f>G3741+H3741</f>
        <v/>
      </c>
      <c r="N3741" s="11">
        <f>Summary!$C$16*Summary!$B$8</f>
        <v/>
      </c>
      <c r="O3741" s="11">
        <f>M3741-N3741</f>
        <v/>
      </c>
    </row>
    <row r="3742">
      <c r="A3742" s="9" t="n">
        <v>45447.83333333334</v>
      </c>
      <c r="B3742" t="n">
        <v>6</v>
      </c>
      <c r="C3742" t="n">
        <v>4</v>
      </c>
      <c r="D3742" t="n">
        <v>20</v>
      </c>
      <c r="E3742" s="10" t="n">
        <v>0.006633</v>
      </c>
      <c r="F3742" s="10" t="n">
        <v>0.2000380800091392</v>
      </c>
      <c r="G3742" s="11">
        <f>E3742*Summary!$B$6</f>
        <v/>
      </c>
      <c r="H3742" s="11">
        <f>F3742*Summary!$B$7</f>
        <v/>
      </c>
      <c r="I3742" s="11">
        <f>MAX(0,N3742-M3742)</f>
        <v/>
      </c>
      <c r="J3742" s="11">
        <f>MAX(0,M3742-N3742)</f>
        <v/>
      </c>
      <c r="K3742" s="11">
        <f>O3742</f>
        <v/>
      </c>
      <c r="L3742" s="11">
        <f>L3741+IF(K3742&gt;0,K3742*Summary!$B$9,K3742/Summary!$B$9)</f>
        <v/>
      </c>
      <c r="M3742" s="11">
        <f>G3742+H3742</f>
        <v/>
      </c>
      <c r="N3742" s="11">
        <f>Summary!$C$16*Summary!$B$8</f>
        <v/>
      </c>
      <c r="O3742" s="11">
        <f>M3742-N3742</f>
        <v/>
      </c>
    </row>
    <row r="3743">
      <c r="A3743" s="9" t="n">
        <v>45447.875</v>
      </c>
      <c r="B3743" t="n">
        <v>6</v>
      </c>
      <c r="C3743" t="n">
        <v>4</v>
      </c>
      <c r="D3743" t="n">
        <v>21</v>
      </c>
      <c r="E3743" s="10" t="n">
        <v>0</v>
      </c>
      <c r="F3743" s="10" t="n">
        <v>0.2225953974228954</v>
      </c>
      <c r="G3743" s="11">
        <f>E3743*Summary!$B$6</f>
        <v/>
      </c>
      <c r="H3743" s="11">
        <f>F3743*Summary!$B$7</f>
        <v/>
      </c>
      <c r="I3743" s="11">
        <f>MAX(0,N3743-M3743)</f>
        <v/>
      </c>
      <c r="J3743" s="11">
        <f>MAX(0,M3743-N3743)</f>
        <v/>
      </c>
      <c r="K3743" s="11">
        <f>O3743</f>
        <v/>
      </c>
      <c r="L3743" s="11">
        <f>L3742+IF(K3743&gt;0,K3743*Summary!$B$9,K3743/Summary!$B$9)</f>
        <v/>
      </c>
      <c r="M3743" s="11">
        <f>G3743+H3743</f>
        <v/>
      </c>
      <c r="N3743" s="11">
        <f>Summary!$C$16*Summary!$B$8</f>
        <v/>
      </c>
      <c r="O3743" s="11">
        <f>M3743-N3743</f>
        <v/>
      </c>
    </row>
    <row r="3744">
      <c r="A3744" s="9" t="n">
        <v>45447.91666666666</v>
      </c>
      <c r="B3744" t="n">
        <v>6</v>
      </c>
      <c r="C3744" t="n">
        <v>4</v>
      </c>
      <c r="D3744" t="n">
        <v>22</v>
      </c>
      <c r="E3744" s="10" t="n">
        <v>0</v>
      </c>
      <c r="F3744" s="10" t="n">
        <v>0.2406465217551652</v>
      </c>
      <c r="G3744" s="11">
        <f>E3744*Summary!$B$6</f>
        <v/>
      </c>
      <c r="H3744" s="11">
        <f>F3744*Summary!$B$7</f>
        <v/>
      </c>
      <c r="I3744" s="11">
        <f>MAX(0,N3744-M3744)</f>
        <v/>
      </c>
      <c r="J3744" s="11">
        <f>MAX(0,M3744-N3744)</f>
        <v/>
      </c>
      <c r="K3744" s="11">
        <f>O3744</f>
        <v/>
      </c>
      <c r="L3744" s="11">
        <f>L3743+IF(K3744&gt;0,K3744*Summary!$B$9,K3744/Summary!$B$9)</f>
        <v/>
      </c>
      <c r="M3744" s="11">
        <f>G3744+H3744</f>
        <v/>
      </c>
      <c r="N3744" s="11">
        <f>Summary!$C$16*Summary!$B$8</f>
        <v/>
      </c>
      <c r="O3744" s="11">
        <f>M3744-N3744</f>
        <v/>
      </c>
    </row>
    <row r="3745">
      <c r="A3745" s="9" t="n">
        <v>45447.95833333334</v>
      </c>
      <c r="B3745" t="n">
        <v>6</v>
      </c>
      <c r="C3745" t="n">
        <v>4</v>
      </c>
      <c r="D3745" t="n">
        <v>23</v>
      </c>
      <c r="E3745" s="10" t="n">
        <v>0</v>
      </c>
      <c r="F3745" s="10" t="n">
        <v>0.2600679504163081</v>
      </c>
      <c r="G3745" s="11">
        <f>E3745*Summary!$B$6</f>
        <v/>
      </c>
      <c r="H3745" s="11">
        <f>F3745*Summary!$B$7</f>
        <v/>
      </c>
      <c r="I3745" s="11">
        <f>MAX(0,N3745-M3745)</f>
        <v/>
      </c>
      <c r="J3745" s="11">
        <f>MAX(0,M3745-N3745)</f>
        <v/>
      </c>
      <c r="K3745" s="11">
        <f>O3745</f>
        <v/>
      </c>
      <c r="L3745" s="11">
        <f>L3744+IF(K3745&gt;0,K3745*Summary!$B$9,K3745/Summary!$B$9)</f>
        <v/>
      </c>
      <c r="M3745" s="11">
        <f>G3745+H3745</f>
        <v/>
      </c>
      <c r="N3745" s="11">
        <f>Summary!$C$16*Summary!$B$8</f>
        <v/>
      </c>
      <c r="O3745" s="11">
        <f>M3745-N3745</f>
        <v/>
      </c>
    </row>
    <row r="3746">
      <c r="A3746" s="9" t="n">
        <v>45448</v>
      </c>
      <c r="B3746" t="n">
        <v>6</v>
      </c>
      <c r="C3746" t="n">
        <v>5</v>
      </c>
      <c r="D3746" t="n">
        <v>0</v>
      </c>
      <c r="E3746" s="10" t="n">
        <v>0</v>
      </c>
      <c r="F3746" s="10" t="n">
        <v>0.2380903771416905</v>
      </c>
      <c r="G3746" s="11">
        <f>E3746*Summary!$B$6</f>
        <v/>
      </c>
      <c r="H3746" s="11">
        <f>F3746*Summary!$B$7</f>
        <v/>
      </c>
      <c r="I3746" s="11">
        <f>MAX(0,N3746-M3746)</f>
        <v/>
      </c>
      <c r="J3746" s="11">
        <f>MAX(0,M3746-N3746)</f>
        <v/>
      </c>
      <c r="K3746" s="11">
        <f>O3746</f>
        <v/>
      </c>
      <c r="L3746" s="11">
        <f>L3745+IF(K3746&gt;0,K3746*Summary!$B$9,K3746/Summary!$B$9)</f>
        <v/>
      </c>
      <c r="M3746" s="11">
        <f>G3746+H3746</f>
        <v/>
      </c>
      <c r="N3746" s="11">
        <f>Summary!$C$16*Summary!$B$8</f>
        <v/>
      </c>
      <c r="O3746" s="11">
        <f>M3746-N3746</f>
        <v/>
      </c>
    </row>
    <row r="3747">
      <c r="A3747" s="9" t="n">
        <v>45448.04166666666</v>
      </c>
      <c r="B3747" t="n">
        <v>6</v>
      </c>
      <c r="C3747" t="n">
        <v>5</v>
      </c>
      <c r="D3747" t="n">
        <v>1</v>
      </c>
      <c r="E3747" s="10" t="n">
        <v>0</v>
      </c>
      <c r="F3747" s="10" t="n">
        <v>0.2836529960767191</v>
      </c>
      <c r="G3747" s="11">
        <f>E3747*Summary!$B$6</f>
        <v/>
      </c>
      <c r="H3747" s="11">
        <f>F3747*Summary!$B$7</f>
        <v/>
      </c>
      <c r="I3747" s="11">
        <f>MAX(0,N3747-M3747)</f>
        <v/>
      </c>
      <c r="J3747" s="11">
        <f>MAX(0,M3747-N3747)</f>
        <v/>
      </c>
      <c r="K3747" s="11">
        <f>O3747</f>
        <v/>
      </c>
      <c r="L3747" s="11">
        <f>L3746+IF(K3747&gt;0,K3747*Summary!$B$9,K3747/Summary!$B$9)</f>
        <v/>
      </c>
      <c r="M3747" s="11">
        <f>G3747+H3747</f>
        <v/>
      </c>
      <c r="N3747" s="11">
        <f>Summary!$C$16*Summary!$B$8</f>
        <v/>
      </c>
      <c r="O3747" s="11">
        <f>M3747-N3747</f>
        <v/>
      </c>
    </row>
    <row r="3748">
      <c r="A3748" s="9" t="n">
        <v>45448.08333333334</v>
      </c>
      <c r="B3748" t="n">
        <v>6</v>
      </c>
      <c r="C3748" t="n">
        <v>5</v>
      </c>
      <c r="D3748" t="n">
        <v>2</v>
      </c>
      <c r="E3748" s="10" t="n">
        <v>0</v>
      </c>
      <c r="F3748" s="10" t="n">
        <v>0.2881591891582054</v>
      </c>
      <c r="G3748" s="11">
        <f>E3748*Summary!$B$6</f>
        <v/>
      </c>
      <c r="H3748" s="11">
        <f>F3748*Summary!$B$7</f>
        <v/>
      </c>
      <c r="I3748" s="11">
        <f>MAX(0,N3748-M3748)</f>
        <v/>
      </c>
      <c r="J3748" s="11">
        <f>MAX(0,M3748-N3748)</f>
        <v/>
      </c>
      <c r="K3748" s="11">
        <f>O3748</f>
        <v/>
      </c>
      <c r="L3748" s="11">
        <f>L3747+IF(K3748&gt;0,K3748*Summary!$B$9,K3748/Summary!$B$9)</f>
        <v/>
      </c>
      <c r="M3748" s="11">
        <f>G3748+H3748</f>
        <v/>
      </c>
      <c r="N3748" s="11">
        <f>Summary!$C$16*Summary!$B$8</f>
        <v/>
      </c>
      <c r="O3748" s="11">
        <f>M3748-N3748</f>
        <v/>
      </c>
    </row>
    <row r="3749">
      <c r="A3749" s="9" t="n">
        <v>45448.125</v>
      </c>
      <c r="B3749" t="n">
        <v>6</v>
      </c>
      <c r="C3749" t="n">
        <v>5</v>
      </c>
      <c r="D3749" t="n">
        <v>3</v>
      </c>
      <c r="E3749" s="10" t="n">
        <v>0</v>
      </c>
      <c r="F3749" s="10" t="n">
        <v>0.2869733488736038</v>
      </c>
      <c r="G3749" s="11">
        <f>E3749*Summary!$B$6</f>
        <v/>
      </c>
      <c r="H3749" s="11">
        <f>F3749*Summary!$B$7</f>
        <v/>
      </c>
      <c r="I3749" s="11">
        <f>MAX(0,N3749-M3749)</f>
        <v/>
      </c>
      <c r="J3749" s="11">
        <f>MAX(0,M3749-N3749)</f>
        <v/>
      </c>
      <c r="K3749" s="11">
        <f>O3749</f>
        <v/>
      </c>
      <c r="L3749" s="11">
        <f>L3748+IF(K3749&gt;0,K3749*Summary!$B$9,K3749/Summary!$B$9)</f>
        <v/>
      </c>
      <c r="M3749" s="11">
        <f>G3749+H3749</f>
        <v/>
      </c>
      <c r="N3749" s="11">
        <f>Summary!$C$16*Summary!$B$8</f>
        <v/>
      </c>
      <c r="O3749" s="11">
        <f>M3749-N3749</f>
        <v/>
      </c>
    </row>
    <row r="3750">
      <c r="A3750" s="9" t="n">
        <v>45448.16666666666</v>
      </c>
      <c r="B3750" t="n">
        <v>6</v>
      </c>
      <c r="C3750" t="n">
        <v>5</v>
      </c>
      <c r="D3750" t="n">
        <v>4</v>
      </c>
      <c r="E3750" s="10" t="n">
        <v>0.041875</v>
      </c>
      <c r="F3750" s="10" t="n">
        <v>0.2822036357288726</v>
      </c>
      <c r="G3750" s="11">
        <f>E3750*Summary!$B$6</f>
        <v/>
      </c>
      <c r="H3750" s="11">
        <f>F3750*Summary!$B$7</f>
        <v/>
      </c>
      <c r="I3750" s="11">
        <f>MAX(0,N3750-M3750)</f>
        <v/>
      </c>
      <c r="J3750" s="11">
        <f>MAX(0,M3750-N3750)</f>
        <v/>
      </c>
      <c r="K3750" s="11">
        <f>O3750</f>
        <v/>
      </c>
      <c r="L3750" s="11">
        <f>L3749+IF(K3750&gt;0,K3750*Summary!$B$9,K3750/Summary!$B$9)</f>
        <v/>
      </c>
      <c r="M3750" s="11">
        <f>G3750+H3750</f>
        <v/>
      </c>
      <c r="N3750" s="11">
        <f>Summary!$C$16*Summary!$B$8</f>
        <v/>
      </c>
      <c r="O3750" s="11">
        <f>M3750-N3750</f>
        <v/>
      </c>
    </row>
    <row r="3751">
      <c r="A3751" s="9" t="n">
        <v>45448.20833333334</v>
      </c>
      <c r="B3751" t="n">
        <v>6</v>
      </c>
      <c r="C3751" t="n">
        <v>5</v>
      </c>
      <c r="D3751" t="n">
        <v>5</v>
      </c>
      <c r="E3751" s="10" t="n">
        <v>0.064612</v>
      </c>
      <c r="F3751" s="10" t="n">
        <v>0.2692384486172277</v>
      </c>
      <c r="G3751" s="11">
        <f>E3751*Summary!$B$6</f>
        <v/>
      </c>
      <c r="H3751" s="11">
        <f>F3751*Summary!$B$7</f>
        <v/>
      </c>
      <c r="I3751" s="11">
        <f>MAX(0,N3751-M3751)</f>
        <v/>
      </c>
      <c r="J3751" s="11">
        <f>MAX(0,M3751-N3751)</f>
        <v/>
      </c>
      <c r="K3751" s="11">
        <f>O3751</f>
        <v/>
      </c>
      <c r="L3751" s="11">
        <f>L3750+IF(K3751&gt;0,K3751*Summary!$B$9,K3751/Summary!$B$9)</f>
        <v/>
      </c>
      <c r="M3751" s="11">
        <f>G3751+H3751</f>
        <v/>
      </c>
      <c r="N3751" s="11">
        <f>Summary!$C$16*Summary!$B$8</f>
        <v/>
      </c>
      <c r="O3751" s="11">
        <f>M3751-N3751</f>
        <v/>
      </c>
    </row>
    <row r="3752">
      <c r="A3752" s="9" t="n">
        <v>45448.25</v>
      </c>
      <c r="B3752" t="n">
        <v>6</v>
      </c>
      <c r="C3752" t="n">
        <v>5</v>
      </c>
      <c r="D3752" t="n">
        <v>6</v>
      </c>
      <c r="E3752" s="10" t="n">
        <v>0.213306</v>
      </c>
      <c r="F3752" s="10" t="n">
        <v>0.257986141916674</v>
      </c>
      <c r="G3752" s="11">
        <f>E3752*Summary!$B$6</f>
        <v/>
      </c>
      <c r="H3752" s="11">
        <f>F3752*Summary!$B$7</f>
        <v/>
      </c>
      <c r="I3752" s="11">
        <f>MAX(0,N3752-M3752)</f>
        <v/>
      </c>
      <c r="J3752" s="11">
        <f>MAX(0,M3752-N3752)</f>
        <v/>
      </c>
      <c r="K3752" s="11">
        <f>O3752</f>
        <v/>
      </c>
      <c r="L3752" s="11">
        <f>L3751+IF(K3752&gt;0,K3752*Summary!$B$9,K3752/Summary!$B$9)</f>
        <v/>
      </c>
      <c r="M3752" s="11">
        <f>G3752+H3752</f>
        <v/>
      </c>
      <c r="N3752" s="11">
        <f>Summary!$C$16*Summary!$B$8</f>
        <v/>
      </c>
      <c r="O3752" s="11">
        <f>M3752-N3752</f>
        <v/>
      </c>
    </row>
    <row r="3753">
      <c r="A3753" s="9" t="n">
        <v>45448.29166666666</v>
      </c>
      <c r="B3753" t="n">
        <v>6</v>
      </c>
      <c r="C3753" t="n">
        <v>5</v>
      </c>
      <c r="D3753" t="n">
        <v>7</v>
      </c>
      <c r="E3753" s="10" t="n">
        <v>0.410161</v>
      </c>
      <c r="F3753" s="10" t="n">
        <v>0.253822524917406</v>
      </c>
      <c r="G3753" s="11">
        <f>E3753*Summary!$B$6</f>
        <v/>
      </c>
      <c r="H3753" s="11">
        <f>F3753*Summary!$B$7</f>
        <v/>
      </c>
      <c r="I3753" s="11">
        <f>MAX(0,N3753-M3753)</f>
        <v/>
      </c>
      <c r="J3753" s="11">
        <f>MAX(0,M3753-N3753)</f>
        <v/>
      </c>
      <c r="K3753" s="11">
        <f>O3753</f>
        <v/>
      </c>
      <c r="L3753" s="11">
        <f>L3752+IF(K3753&gt;0,K3753*Summary!$B$9,K3753/Summary!$B$9)</f>
        <v/>
      </c>
      <c r="M3753" s="11">
        <f>G3753+H3753</f>
        <v/>
      </c>
      <c r="N3753" s="11">
        <f>Summary!$C$16*Summary!$B$8</f>
        <v/>
      </c>
      <c r="O3753" s="11">
        <f>M3753-N3753</f>
        <v/>
      </c>
    </row>
    <row r="3754">
      <c r="A3754" s="9" t="n">
        <v>45448.33333333334</v>
      </c>
      <c r="B3754" t="n">
        <v>6</v>
      </c>
      <c r="C3754" t="n">
        <v>5</v>
      </c>
      <c r="D3754" t="n">
        <v>8</v>
      </c>
      <c r="E3754" s="10" t="n">
        <v>0.58414</v>
      </c>
      <c r="F3754" s="10" t="n">
        <v>0.258803054112733</v>
      </c>
      <c r="G3754" s="11">
        <f>E3754*Summary!$B$6</f>
        <v/>
      </c>
      <c r="H3754" s="11">
        <f>F3754*Summary!$B$7</f>
        <v/>
      </c>
      <c r="I3754" s="11">
        <f>MAX(0,N3754-M3754)</f>
        <v/>
      </c>
      <c r="J3754" s="11">
        <f>MAX(0,M3754-N3754)</f>
        <v/>
      </c>
      <c r="K3754" s="11">
        <f>O3754</f>
        <v/>
      </c>
      <c r="L3754" s="11">
        <f>L3753+IF(K3754&gt;0,K3754*Summary!$B$9,K3754/Summary!$B$9)</f>
        <v/>
      </c>
      <c r="M3754" s="11">
        <f>G3754+H3754</f>
        <v/>
      </c>
      <c r="N3754" s="11">
        <f>Summary!$C$16*Summary!$B$8</f>
        <v/>
      </c>
      <c r="O3754" s="11">
        <f>M3754-N3754</f>
        <v/>
      </c>
    </row>
    <row r="3755">
      <c r="A3755" s="9" t="n">
        <v>45448.375</v>
      </c>
      <c r="B3755" t="n">
        <v>6</v>
      </c>
      <c r="C3755" t="n">
        <v>5</v>
      </c>
      <c r="D3755" t="n">
        <v>9</v>
      </c>
      <c r="E3755" s="10" t="n">
        <v>0.723014</v>
      </c>
      <c r="F3755" s="10" t="n">
        <v>0.2695019686804725</v>
      </c>
      <c r="G3755" s="11">
        <f>E3755*Summary!$B$6</f>
        <v/>
      </c>
      <c r="H3755" s="11">
        <f>F3755*Summary!$B$7</f>
        <v/>
      </c>
      <c r="I3755" s="11">
        <f>MAX(0,N3755-M3755)</f>
        <v/>
      </c>
      <c r="J3755" s="11">
        <f>MAX(0,M3755-N3755)</f>
        <v/>
      </c>
      <c r="K3755" s="11">
        <f>O3755</f>
        <v/>
      </c>
      <c r="L3755" s="11">
        <f>L3754+IF(K3755&gt;0,K3755*Summary!$B$9,K3755/Summary!$B$9)</f>
        <v/>
      </c>
      <c r="M3755" s="11">
        <f>G3755+H3755</f>
        <v/>
      </c>
      <c r="N3755" s="11">
        <f>Summary!$C$16*Summary!$B$8</f>
        <v/>
      </c>
      <c r="O3755" s="11">
        <f>M3755-N3755</f>
        <v/>
      </c>
    </row>
    <row r="3756">
      <c r="A3756" s="9" t="n">
        <v>45448.41666666666</v>
      </c>
      <c r="B3756" t="n">
        <v>6</v>
      </c>
      <c r="C3756" t="n">
        <v>5</v>
      </c>
      <c r="D3756" t="n">
        <v>10</v>
      </c>
      <c r="E3756" s="10" t="n">
        <v>0.754058</v>
      </c>
      <c r="F3756" s="10" t="n">
        <v>0.2836529960767191</v>
      </c>
      <c r="G3756" s="11">
        <f>E3756*Summary!$B$6</f>
        <v/>
      </c>
      <c r="H3756" s="11">
        <f>F3756*Summary!$B$7</f>
        <v/>
      </c>
      <c r="I3756" s="11">
        <f>MAX(0,N3756-M3756)</f>
        <v/>
      </c>
      <c r="J3756" s="11">
        <f>MAX(0,M3756-N3756)</f>
        <v/>
      </c>
      <c r="K3756" s="11">
        <f>O3756</f>
        <v/>
      </c>
      <c r="L3756" s="11">
        <f>L3755+IF(K3756&gt;0,K3756*Summary!$B$9,K3756/Summary!$B$9)</f>
        <v/>
      </c>
      <c r="M3756" s="11">
        <f>G3756+H3756</f>
        <v/>
      </c>
      <c r="N3756" s="11">
        <f>Summary!$C$16*Summary!$B$8</f>
        <v/>
      </c>
      <c r="O3756" s="11">
        <f>M3756-N3756</f>
        <v/>
      </c>
    </row>
    <row r="3757">
      <c r="A3757" s="9" t="n">
        <v>45448.45833333334</v>
      </c>
      <c r="B3757" t="n">
        <v>6</v>
      </c>
      <c r="C3757" t="n">
        <v>5</v>
      </c>
      <c r="D3757" t="n">
        <v>11</v>
      </c>
      <c r="E3757" s="10" t="n">
        <v>0.754058</v>
      </c>
      <c r="F3757" s="10" t="n">
        <v>0.2914531899487656</v>
      </c>
      <c r="G3757" s="11">
        <f>E3757*Summary!$B$6</f>
        <v/>
      </c>
      <c r="H3757" s="11">
        <f>F3757*Summary!$B$7</f>
        <v/>
      </c>
      <c r="I3757" s="11">
        <f>MAX(0,N3757-M3757)</f>
        <v/>
      </c>
      <c r="J3757" s="11">
        <f>MAX(0,M3757-N3757)</f>
        <v/>
      </c>
      <c r="K3757" s="11">
        <f>O3757</f>
        <v/>
      </c>
      <c r="L3757" s="11">
        <f>L3756+IF(K3757&gt;0,K3757*Summary!$B$9,K3757/Summary!$B$9)</f>
        <v/>
      </c>
      <c r="M3757" s="11">
        <f>G3757+H3757</f>
        <v/>
      </c>
      <c r="N3757" s="11">
        <f>Summary!$C$16*Summary!$B$8</f>
        <v/>
      </c>
      <c r="O3757" s="11">
        <f>M3757-N3757</f>
        <v/>
      </c>
    </row>
    <row r="3758">
      <c r="A3758" s="9" t="n">
        <v>45448.5</v>
      </c>
      <c r="B3758" t="n">
        <v>6</v>
      </c>
      <c r="C3758" t="n">
        <v>5</v>
      </c>
      <c r="D3758" t="n">
        <v>12</v>
      </c>
      <c r="E3758" s="10" t="n">
        <v>0.754058</v>
      </c>
      <c r="F3758" s="10" t="n">
        <v>0.295142470834193</v>
      </c>
      <c r="G3758" s="11">
        <f>E3758*Summary!$B$6</f>
        <v/>
      </c>
      <c r="H3758" s="11">
        <f>F3758*Summary!$B$7</f>
        <v/>
      </c>
      <c r="I3758" s="11">
        <f>MAX(0,N3758-M3758)</f>
        <v/>
      </c>
      <c r="J3758" s="11">
        <f>MAX(0,M3758-N3758)</f>
        <v/>
      </c>
      <c r="K3758" s="11">
        <f>O3758</f>
        <v/>
      </c>
      <c r="L3758" s="11">
        <f>L3757+IF(K3758&gt;0,K3758*Summary!$B$9,K3758/Summary!$B$9)</f>
        <v/>
      </c>
      <c r="M3758" s="11">
        <f>G3758+H3758</f>
        <v/>
      </c>
      <c r="N3758" s="11">
        <f>Summary!$C$16*Summary!$B$8</f>
        <v/>
      </c>
      <c r="O3758" s="11">
        <f>M3758-N3758</f>
        <v/>
      </c>
    </row>
    <row r="3759">
      <c r="A3759" s="9" t="n">
        <v>45448.54166666666</v>
      </c>
      <c r="B3759" t="n">
        <v>6</v>
      </c>
      <c r="C3759" t="n">
        <v>5</v>
      </c>
      <c r="D3759" t="n">
        <v>13</v>
      </c>
      <c r="E3759" s="10" t="n">
        <v>0.754058</v>
      </c>
      <c r="F3759" s="10" t="n">
        <v>0.2940093345622403</v>
      </c>
      <c r="G3759" s="11">
        <f>E3759*Summary!$B$6</f>
        <v/>
      </c>
      <c r="H3759" s="11">
        <f>F3759*Summary!$B$7</f>
        <v/>
      </c>
      <c r="I3759" s="11">
        <f>MAX(0,N3759-M3759)</f>
        <v/>
      </c>
      <c r="J3759" s="11">
        <f>MAX(0,M3759-N3759)</f>
        <v/>
      </c>
      <c r="K3759" s="11">
        <f>O3759</f>
        <v/>
      </c>
      <c r="L3759" s="11">
        <f>L3758+IF(K3759&gt;0,K3759*Summary!$B$9,K3759/Summary!$B$9)</f>
        <v/>
      </c>
      <c r="M3759" s="11">
        <f>G3759+H3759</f>
        <v/>
      </c>
      <c r="N3759" s="11">
        <f>Summary!$C$16*Summary!$B$8</f>
        <v/>
      </c>
      <c r="O3759" s="11">
        <f>M3759-N3759</f>
        <v/>
      </c>
    </row>
    <row r="3760">
      <c r="A3760" s="9" t="n">
        <v>45448.58333333334</v>
      </c>
      <c r="B3760" t="n">
        <v>6</v>
      </c>
      <c r="C3760" t="n">
        <v>5</v>
      </c>
      <c r="D3760" t="n">
        <v>14</v>
      </c>
      <c r="E3760" s="10" t="n">
        <v>0.751181</v>
      </c>
      <c r="F3760" s="10" t="n">
        <v>0.3064474815473955</v>
      </c>
      <c r="G3760" s="11">
        <f>E3760*Summary!$B$6</f>
        <v/>
      </c>
      <c r="H3760" s="11">
        <f>F3760*Summary!$B$7</f>
        <v/>
      </c>
      <c r="I3760" s="11">
        <f>MAX(0,N3760-M3760)</f>
        <v/>
      </c>
      <c r="J3760" s="11">
        <f>MAX(0,M3760-N3760)</f>
        <v/>
      </c>
      <c r="K3760" s="11">
        <f>O3760</f>
        <v/>
      </c>
      <c r="L3760" s="11">
        <f>L3759+IF(K3760&gt;0,K3760*Summary!$B$9,K3760/Summary!$B$9)</f>
        <v/>
      </c>
      <c r="M3760" s="11">
        <f>G3760+H3760</f>
        <v/>
      </c>
      <c r="N3760" s="11">
        <f>Summary!$C$16*Summary!$B$8</f>
        <v/>
      </c>
      <c r="O3760" s="11">
        <f>M3760-N3760</f>
        <v/>
      </c>
    </row>
    <row r="3761">
      <c r="A3761" s="9" t="n">
        <v>45448.625</v>
      </c>
      <c r="B3761" t="n">
        <v>6</v>
      </c>
      <c r="C3761" t="n">
        <v>5</v>
      </c>
      <c r="D3761" t="n">
        <v>15</v>
      </c>
      <c r="E3761" s="10" t="n">
        <v>0.622841</v>
      </c>
      <c r="F3761" s="10" t="n">
        <v>0.2764061943374866</v>
      </c>
      <c r="G3761" s="11">
        <f>E3761*Summary!$B$6</f>
        <v/>
      </c>
      <c r="H3761" s="11">
        <f>F3761*Summary!$B$7</f>
        <v/>
      </c>
      <c r="I3761" s="11">
        <f>MAX(0,N3761-M3761)</f>
        <v/>
      </c>
      <c r="J3761" s="11">
        <f>MAX(0,M3761-N3761)</f>
        <v/>
      </c>
      <c r="K3761" s="11">
        <f>O3761</f>
        <v/>
      </c>
      <c r="L3761" s="11">
        <f>L3760+IF(K3761&gt;0,K3761*Summary!$B$9,K3761/Summary!$B$9)</f>
        <v/>
      </c>
      <c r="M3761" s="11">
        <f>G3761+H3761</f>
        <v/>
      </c>
      <c r="N3761" s="11">
        <f>Summary!$C$16*Summary!$B$8</f>
        <v/>
      </c>
      <c r="O3761" s="11">
        <f>M3761-N3761</f>
        <v/>
      </c>
    </row>
    <row r="3762">
      <c r="A3762" s="9" t="n">
        <v>45448.66666666666</v>
      </c>
      <c r="B3762" t="n">
        <v>6</v>
      </c>
      <c r="C3762" t="n">
        <v>5</v>
      </c>
      <c r="D3762" t="n">
        <v>16</v>
      </c>
      <c r="E3762" s="10" t="n">
        <v>0.450741</v>
      </c>
      <c r="F3762" s="10" t="n">
        <v>0.2544549730691935</v>
      </c>
      <c r="G3762" s="11">
        <f>E3762*Summary!$B$6</f>
        <v/>
      </c>
      <c r="H3762" s="11">
        <f>F3762*Summary!$B$7</f>
        <v/>
      </c>
      <c r="I3762" s="11">
        <f>MAX(0,N3762-M3762)</f>
        <v/>
      </c>
      <c r="J3762" s="11">
        <f>MAX(0,M3762-N3762)</f>
        <v/>
      </c>
      <c r="K3762" s="11">
        <f>O3762</f>
        <v/>
      </c>
      <c r="L3762" s="11">
        <f>L3761+IF(K3762&gt;0,K3762*Summary!$B$9,K3762/Summary!$B$9)</f>
        <v/>
      </c>
      <c r="M3762" s="11">
        <f>G3762+H3762</f>
        <v/>
      </c>
      <c r="N3762" s="11">
        <f>Summary!$C$16*Summary!$B$8</f>
        <v/>
      </c>
      <c r="O3762" s="11">
        <f>M3762-N3762</f>
        <v/>
      </c>
    </row>
    <row r="3763">
      <c r="A3763" s="9" t="n">
        <v>45448.70833333334</v>
      </c>
      <c r="B3763" t="n">
        <v>6</v>
      </c>
      <c r="C3763" t="n">
        <v>5</v>
      </c>
      <c r="D3763" t="n">
        <v>17</v>
      </c>
      <c r="E3763" s="10" t="n">
        <v>0.21573</v>
      </c>
      <c r="F3763" s="10" t="n">
        <v>0.2321875277250066</v>
      </c>
      <c r="G3763" s="11">
        <f>E3763*Summary!$B$6</f>
        <v/>
      </c>
      <c r="H3763" s="11">
        <f>F3763*Summary!$B$7</f>
        <v/>
      </c>
      <c r="I3763" s="11">
        <f>MAX(0,N3763-M3763)</f>
        <v/>
      </c>
      <c r="J3763" s="11">
        <f>MAX(0,M3763-N3763)</f>
        <v/>
      </c>
      <c r="K3763" s="11">
        <f>O3763</f>
        <v/>
      </c>
      <c r="L3763" s="11">
        <f>L3762+IF(K3763&gt;0,K3763*Summary!$B$9,K3763/Summary!$B$9)</f>
        <v/>
      </c>
      <c r="M3763" s="11">
        <f>G3763+H3763</f>
        <v/>
      </c>
      <c r="N3763" s="11">
        <f>Summary!$C$16*Summary!$B$8</f>
        <v/>
      </c>
      <c r="O3763" s="11">
        <f>M3763-N3763</f>
        <v/>
      </c>
    </row>
    <row r="3764">
      <c r="A3764" s="9" t="n">
        <v>45448.75</v>
      </c>
      <c r="B3764" t="n">
        <v>6</v>
      </c>
      <c r="C3764" t="n">
        <v>5</v>
      </c>
      <c r="D3764" t="n">
        <v>18</v>
      </c>
      <c r="E3764" s="10" t="n">
        <v>0.066959</v>
      </c>
      <c r="F3764" s="10" t="n">
        <v>0.2092085782100588</v>
      </c>
      <c r="G3764" s="11">
        <f>E3764*Summary!$B$6</f>
        <v/>
      </c>
      <c r="H3764" s="11">
        <f>F3764*Summary!$B$7</f>
        <v/>
      </c>
      <c r="I3764" s="11">
        <f>MAX(0,N3764-M3764)</f>
        <v/>
      </c>
      <c r="J3764" s="11">
        <f>MAX(0,M3764-N3764)</f>
        <v/>
      </c>
      <c r="K3764" s="11">
        <f>O3764</f>
        <v/>
      </c>
      <c r="L3764" s="11">
        <f>L3763+IF(K3764&gt;0,K3764*Summary!$B$9,K3764/Summary!$B$9)</f>
        <v/>
      </c>
      <c r="M3764" s="11">
        <f>G3764+H3764</f>
        <v/>
      </c>
      <c r="N3764" s="11">
        <f>Summary!$C$16*Summary!$B$8</f>
        <v/>
      </c>
      <c r="O3764" s="11">
        <f>M3764-N3764</f>
        <v/>
      </c>
    </row>
    <row r="3765">
      <c r="A3765" s="9" t="n">
        <v>45448.79166666666</v>
      </c>
      <c r="B3765" t="n">
        <v>6</v>
      </c>
      <c r="C3765" t="n">
        <v>5</v>
      </c>
      <c r="D3765" t="n">
        <v>19</v>
      </c>
      <c r="E3765" s="10" t="n">
        <v>0.040021</v>
      </c>
      <c r="F3765" s="10" t="n">
        <v>0.1933446704027209</v>
      </c>
      <c r="G3765" s="11">
        <f>E3765*Summary!$B$6</f>
        <v/>
      </c>
      <c r="H3765" s="11">
        <f>F3765*Summary!$B$7</f>
        <v/>
      </c>
      <c r="I3765" s="11">
        <f>MAX(0,N3765-M3765)</f>
        <v/>
      </c>
      <c r="J3765" s="11">
        <f>MAX(0,M3765-N3765)</f>
        <v/>
      </c>
      <c r="K3765" s="11">
        <f>O3765</f>
        <v/>
      </c>
      <c r="L3765" s="11">
        <f>L3764+IF(K3765&gt;0,K3765*Summary!$B$9,K3765/Summary!$B$9)</f>
        <v/>
      </c>
      <c r="M3765" s="11">
        <f>G3765+H3765</f>
        <v/>
      </c>
      <c r="N3765" s="11">
        <f>Summary!$C$16*Summary!$B$8</f>
        <v/>
      </c>
      <c r="O3765" s="11">
        <f>M3765-N3765</f>
        <v/>
      </c>
    </row>
    <row r="3766">
      <c r="A3766" s="9" t="n">
        <v>45448.83333333334</v>
      </c>
      <c r="B3766" t="n">
        <v>6</v>
      </c>
      <c r="C3766" t="n">
        <v>5</v>
      </c>
      <c r="D3766" t="n">
        <v>20</v>
      </c>
      <c r="E3766" s="10" t="n">
        <v>0</v>
      </c>
      <c r="F3766" s="10" t="n">
        <v>0.1942142866114288</v>
      </c>
      <c r="G3766" s="11">
        <f>E3766*Summary!$B$6</f>
        <v/>
      </c>
      <c r="H3766" s="11">
        <f>F3766*Summary!$B$7</f>
        <v/>
      </c>
      <c r="I3766" s="11">
        <f>MAX(0,N3766-M3766)</f>
        <v/>
      </c>
      <c r="J3766" s="11">
        <f>MAX(0,M3766-N3766)</f>
        <v/>
      </c>
      <c r="K3766" s="11">
        <f>O3766</f>
        <v/>
      </c>
      <c r="L3766" s="11">
        <f>L3765+IF(K3766&gt;0,K3766*Summary!$B$9,K3766/Summary!$B$9)</f>
        <v/>
      </c>
      <c r="M3766" s="11">
        <f>G3766+H3766</f>
        <v/>
      </c>
      <c r="N3766" s="11">
        <f>Summary!$C$16*Summary!$B$8</f>
        <v/>
      </c>
      <c r="O3766" s="11">
        <f>M3766-N3766</f>
        <v/>
      </c>
    </row>
    <row r="3767">
      <c r="A3767" s="9" t="n">
        <v>45448.875</v>
      </c>
      <c r="B3767" t="n">
        <v>6</v>
      </c>
      <c r="C3767" t="n">
        <v>5</v>
      </c>
      <c r="D3767" t="n">
        <v>21</v>
      </c>
      <c r="E3767" s="10" t="n">
        <v>0</v>
      </c>
      <c r="F3767" s="10" t="n">
        <v>0.2032793767870504</v>
      </c>
      <c r="G3767" s="11">
        <f>E3767*Summary!$B$6</f>
        <v/>
      </c>
      <c r="H3767" s="11">
        <f>F3767*Summary!$B$7</f>
        <v/>
      </c>
      <c r="I3767" s="11">
        <f>MAX(0,N3767-M3767)</f>
        <v/>
      </c>
      <c r="J3767" s="11">
        <f>MAX(0,M3767-N3767)</f>
        <v/>
      </c>
      <c r="K3767" s="11">
        <f>O3767</f>
        <v/>
      </c>
      <c r="L3767" s="11">
        <f>L3766+IF(K3767&gt;0,K3767*Summary!$B$9,K3767/Summary!$B$9)</f>
        <v/>
      </c>
      <c r="M3767" s="11">
        <f>G3767+H3767</f>
        <v/>
      </c>
      <c r="N3767" s="11">
        <f>Summary!$C$16*Summary!$B$8</f>
        <v/>
      </c>
      <c r="O3767" s="11">
        <f>M3767-N3767</f>
        <v/>
      </c>
    </row>
    <row r="3768">
      <c r="A3768" s="9" t="n">
        <v>45448.91666666666</v>
      </c>
      <c r="B3768" t="n">
        <v>6</v>
      </c>
      <c r="C3768" t="n">
        <v>5</v>
      </c>
      <c r="D3768" t="n">
        <v>22</v>
      </c>
      <c r="E3768" s="10" t="n">
        <v>0</v>
      </c>
      <c r="F3768" s="10" t="n">
        <v>0.218906116537468</v>
      </c>
      <c r="G3768" s="11">
        <f>E3768*Summary!$B$6</f>
        <v/>
      </c>
      <c r="H3768" s="11">
        <f>F3768*Summary!$B$7</f>
        <v/>
      </c>
      <c r="I3768" s="11">
        <f>MAX(0,N3768-M3768)</f>
        <v/>
      </c>
      <c r="J3768" s="11">
        <f>MAX(0,M3768-N3768)</f>
        <v/>
      </c>
      <c r="K3768" s="11">
        <f>O3768</f>
        <v/>
      </c>
      <c r="L3768" s="11">
        <f>L3767+IF(K3768&gt;0,K3768*Summary!$B$9,K3768/Summary!$B$9)</f>
        <v/>
      </c>
      <c r="M3768" s="11">
        <f>G3768+H3768</f>
        <v/>
      </c>
      <c r="N3768" s="11">
        <f>Summary!$C$16*Summary!$B$8</f>
        <v/>
      </c>
      <c r="O3768" s="11">
        <f>M3768-N3768</f>
        <v/>
      </c>
    </row>
    <row r="3769">
      <c r="A3769" s="9" t="n">
        <v>45448.95833333334</v>
      </c>
      <c r="B3769" t="n">
        <v>6</v>
      </c>
      <c r="C3769" t="n">
        <v>5</v>
      </c>
      <c r="D3769" t="n">
        <v>23</v>
      </c>
      <c r="E3769" s="10" t="n">
        <v>0</v>
      </c>
      <c r="F3769" s="10" t="n">
        <v>0.2328199758767942</v>
      </c>
      <c r="G3769" s="11">
        <f>E3769*Summary!$B$6</f>
        <v/>
      </c>
      <c r="H3769" s="11">
        <f>F3769*Summary!$B$7</f>
        <v/>
      </c>
      <c r="I3769" s="11">
        <f>MAX(0,N3769-M3769)</f>
        <v/>
      </c>
      <c r="J3769" s="11">
        <f>MAX(0,M3769-N3769)</f>
        <v/>
      </c>
      <c r="K3769" s="11">
        <f>O3769</f>
        <v/>
      </c>
      <c r="L3769" s="11">
        <f>L3768+IF(K3769&gt;0,K3769*Summary!$B$9,K3769/Summary!$B$9)</f>
        <v/>
      </c>
      <c r="M3769" s="11">
        <f>G3769+H3769</f>
        <v/>
      </c>
      <c r="N3769" s="11">
        <f>Summary!$C$16*Summary!$B$8</f>
        <v/>
      </c>
      <c r="O3769" s="11">
        <f>M3769-N3769</f>
        <v/>
      </c>
    </row>
    <row r="3770">
      <c r="A3770" s="9" t="n">
        <v>45449</v>
      </c>
      <c r="B3770" t="n">
        <v>6</v>
      </c>
      <c r="C3770" t="n">
        <v>6</v>
      </c>
      <c r="D3770" t="n">
        <v>0</v>
      </c>
      <c r="E3770" s="10" t="n">
        <v>0</v>
      </c>
      <c r="F3770" s="10" t="n">
        <v>0.3712997691119446</v>
      </c>
      <c r="G3770" s="11">
        <f>E3770*Summary!$B$6</f>
        <v/>
      </c>
      <c r="H3770" s="11">
        <f>F3770*Summary!$B$7</f>
        <v/>
      </c>
      <c r="I3770" s="11">
        <f>MAX(0,N3770-M3770)</f>
        <v/>
      </c>
      <c r="J3770" s="11">
        <f>MAX(0,M3770-N3770)</f>
        <v/>
      </c>
      <c r="K3770" s="11">
        <f>O3770</f>
        <v/>
      </c>
      <c r="L3770" s="11">
        <f>L3769+IF(K3770&gt;0,K3770*Summary!$B$9,K3770/Summary!$B$9)</f>
        <v/>
      </c>
      <c r="M3770" s="11">
        <f>G3770+H3770</f>
        <v/>
      </c>
      <c r="N3770" s="11">
        <f>Summary!$C$16*Summary!$B$8</f>
        <v/>
      </c>
      <c r="O3770" s="11">
        <f>M3770-N3770</f>
        <v/>
      </c>
    </row>
    <row r="3771">
      <c r="A3771" s="9" t="n">
        <v>45449.04166666666</v>
      </c>
      <c r="B3771" t="n">
        <v>6</v>
      </c>
      <c r="C3771" t="n">
        <v>6</v>
      </c>
      <c r="D3771" t="n">
        <v>1</v>
      </c>
      <c r="E3771" s="10" t="n">
        <v>0</v>
      </c>
      <c r="F3771" s="10" t="n">
        <v>0.2379059130974191</v>
      </c>
      <c r="G3771" s="11">
        <f>E3771*Summary!$B$6</f>
        <v/>
      </c>
      <c r="H3771" s="11">
        <f>F3771*Summary!$B$7</f>
        <v/>
      </c>
      <c r="I3771" s="11">
        <f>MAX(0,N3771-M3771)</f>
        <v/>
      </c>
      <c r="J3771" s="11">
        <f>MAX(0,M3771-N3771)</f>
        <v/>
      </c>
      <c r="K3771" s="11">
        <f>O3771</f>
        <v/>
      </c>
      <c r="L3771" s="11">
        <f>L3770+IF(K3771&gt;0,K3771*Summary!$B$9,K3771/Summary!$B$9)</f>
        <v/>
      </c>
      <c r="M3771" s="11">
        <f>G3771+H3771</f>
        <v/>
      </c>
      <c r="N3771" s="11">
        <f>Summary!$C$16*Summary!$B$8</f>
        <v/>
      </c>
      <c r="O3771" s="11">
        <f>M3771-N3771</f>
        <v/>
      </c>
    </row>
    <row r="3772">
      <c r="A3772" s="9" t="n">
        <v>45449.08333333334</v>
      </c>
      <c r="B3772" t="n">
        <v>6</v>
      </c>
      <c r="C3772" t="n">
        <v>6</v>
      </c>
      <c r="D3772" t="n">
        <v>2</v>
      </c>
      <c r="E3772" s="10" t="n">
        <v>0</v>
      </c>
      <c r="F3772" s="10" t="n">
        <v>0.2357450485788117</v>
      </c>
      <c r="G3772" s="11">
        <f>E3772*Summary!$B$6</f>
        <v/>
      </c>
      <c r="H3772" s="11">
        <f>F3772*Summary!$B$7</f>
        <v/>
      </c>
      <c r="I3772" s="11">
        <f>MAX(0,N3772-M3772)</f>
        <v/>
      </c>
      <c r="J3772" s="11">
        <f>MAX(0,M3772-N3772)</f>
        <v/>
      </c>
      <c r="K3772" s="11">
        <f>O3772</f>
        <v/>
      </c>
      <c r="L3772" s="11">
        <f>L3771+IF(K3772&gt;0,K3772*Summary!$B$9,K3772/Summary!$B$9)</f>
        <v/>
      </c>
      <c r="M3772" s="11">
        <f>G3772+H3772</f>
        <v/>
      </c>
      <c r="N3772" s="11">
        <f>Summary!$C$16*Summary!$B$8</f>
        <v/>
      </c>
      <c r="O3772" s="11">
        <f>M3772-N3772</f>
        <v/>
      </c>
    </row>
    <row r="3773">
      <c r="A3773" s="9" t="n">
        <v>45449.125</v>
      </c>
      <c r="B3773" t="n">
        <v>6</v>
      </c>
      <c r="C3773" t="n">
        <v>6</v>
      </c>
      <c r="D3773" t="n">
        <v>3</v>
      </c>
      <c r="E3773" s="10" t="n">
        <v>0</v>
      </c>
      <c r="F3773" s="10" t="n">
        <v>0.228155670757361</v>
      </c>
      <c r="G3773" s="11">
        <f>E3773*Summary!$B$6</f>
        <v/>
      </c>
      <c r="H3773" s="11">
        <f>F3773*Summary!$B$7</f>
        <v/>
      </c>
      <c r="I3773" s="11">
        <f>MAX(0,N3773-M3773)</f>
        <v/>
      </c>
      <c r="J3773" s="11">
        <f>MAX(0,M3773-N3773)</f>
        <v/>
      </c>
      <c r="K3773" s="11">
        <f>O3773</f>
        <v/>
      </c>
      <c r="L3773" s="11">
        <f>L3772+IF(K3773&gt;0,K3773*Summary!$B$9,K3773/Summary!$B$9)</f>
        <v/>
      </c>
      <c r="M3773" s="11">
        <f>G3773+H3773</f>
        <v/>
      </c>
      <c r="N3773" s="11">
        <f>Summary!$C$16*Summary!$B$8</f>
        <v/>
      </c>
      <c r="O3773" s="11">
        <f>M3773-N3773</f>
        <v/>
      </c>
    </row>
    <row r="3774">
      <c r="A3774" s="9" t="n">
        <v>45449.16666666666</v>
      </c>
      <c r="B3774" t="n">
        <v>6</v>
      </c>
      <c r="C3774" t="n">
        <v>6</v>
      </c>
      <c r="D3774" t="n">
        <v>4</v>
      </c>
      <c r="E3774" s="10" t="n">
        <v>0.035365</v>
      </c>
      <c r="F3774" s="10" t="n">
        <v>0.2161918598860464</v>
      </c>
      <c r="G3774" s="11">
        <f>E3774*Summary!$B$6</f>
        <v/>
      </c>
      <c r="H3774" s="11">
        <f>F3774*Summary!$B$7</f>
        <v/>
      </c>
      <c r="I3774" s="11">
        <f>MAX(0,N3774-M3774)</f>
        <v/>
      </c>
      <c r="J3774" s="11">
        <f>MAX(0,M3774-N3774)</f>
        <v/>
      </c>
      <c r="K3774" s="11">
        <f>O3774</f>
        <v/>
      </c>
      <c r="L3774" s="11">
        <f>L3773+IF(K3774&gt;0,K3774*Summary!$B$9,K3774/Summary!$B$9)</f>
        <v/>
      </c>
      <c r="M3774" s="11">
        <f>G3774+H3774</f>
        <v/>
      </c>
      <c r="N3774" s="11">
        <f>Summary!$C$16*Summary!$B$8</f>
        <v/>
      </c>
      <c r="O3774" s="11">
        <f>M3774-N3774</f>
        <v/>
      </c>
    </row>
    <row r="3775">
      <c r="A3775" s="9" t="n">
        <v>45449.20833333334</v>
      </c>
      <c r="B3775" t="n">
        <v>6</v>
      </c>
      <c r="C3775" t="n">
        <v>6</v>
      </c>
      <c r="D3775" t="n">
        <v>5</v>
      </c>
      <c r="E3775" s="10" t="n">
        <v>0.061652</v>
      </c>
      <c r="F3775" s="10" t="n">
        <v>0.1941088785861309</v>
      </c>
      <c r="G3775" s="11">
        <f>E3775*Summary!$B$6</f>
        <v/>
      </c>
      <c r="H3775" s="11">
        <f>F3775*Summary!$B$7</f>
        <v/>
      </c>
      <c r="I3775" s="11">
        <f>MAX(0,N3775-M3775)</f>
        <v/>
      </c>
      <c r="J3775" s="11">
        <f>MAX(0,M3775-N3775)</f>
        <v/>
      </c>
      <c r="K3775" s="11">
        <f>O3775</f>
        <v/>
      </c>
      <c r="L3775" s="11">
        <f>L3774+IF(K3775&gt;0,K3775*Summary!$B$9,K3775/Summary!$B$9)</f>
        <v/>
      </c>
      <c r="M3775" s="11">
        <f>G3775+H3775</f>
        <v/>
      </c>
      <c r="N3775" s="11">
        <f>Summary!$C$16*Summary!$B$8</f>
        <v/>
      </c>
      <c r="O3775" s="11">
        <f>M3775-N3775</f>
        <v/>
      </c>
    </row>
    <row r="3776">
      <c r="A3776" s="9" t="n">
        <v>45449.25</v>
      </c>
      <c r="B3776" t="n">
        <v>6</v>
      </c>
      <c r="C3776" t="n">
        <v>6</v>
      </c>
      <c r="D3776" t="n">
        <v>6</v>
      </c>
      <c r="E3776" s="10" t="n">
        <v>0.175243</v>
      </c>
      <c r="F3776" s="10" t="n">
        <v>0.1709454650269116</v>
      </c>
      <c r="G3776" s="11">
        <f>E3776*Summary!$B$6</f>
        <v/>
      </c>
      <c r="H3776" s="11">
        <f>F3776*Summary!$B$7</f>
        <v/>
      </c>
      <c r="I3776" s="11">
        <f>MAX(0,N3776-M3776)</f>
        <v/>
      </c>
      <c r="J3776" s="11">
        <f>MAX(0,M3776-N3776)</f>
        <v/>
      </c>
      <c r="K3776" s="11">
        <f>O3776</f>
        <v/>
      </c>
      <c r="L3776" s="11">
        <f>L3775+IF(K3776&gt;0,K3776*Summary!$B$9,K3776/Summary!$B$9)</f>
        <v/>
      </c>
      <c r="M3776" s="11">
        <f>G3776+H3776</f>
        <v/>
      </c>
      <c r="N3776" s="11">
        <f>Summary!$C$16*Summary!$B$8</f>
        <v/>
      </c>
      <c r="O3776" s="11">
        <f>M3776-N3776</f>
        <v/>
      </c>
    </row>
    <row r="3777">
      <c r="A3777" s="9" t="n">
        <v>45449.29166666666</v>
      </c>
      <c r="B3777" t="n">
        <v>6</v>
      </c>
      <c r="C3777" t="n">
        <v>6</v>
      </c>
      <c r="D3777" t="n">
        <v>7</v>
      </c>
      <c r="E3777" s="10" t="n">
        <v>0.403688</v>
      </c>
      <c r="F3777" s="10" t="n">
        <v>0.160457366509768</v>
      </c>
      <c r="G3777" s="11">
        <f>E3777*Summary!$B$6</f>
        <v/>
      </c>
      <c r="H3777" s="11">
        <f>F3777*Summary!$B$7</f>
        <v/>
      </c>
      <c r="I3777" s="11">
        <f>MAX(0,N3777-M3777)</f>
        <v/>
      </c>
      <c r="J3777" s="11">
        <f>MAX(0,M3777-N3777)</f>
        <v/>
      </c>
      <c r="K3777" s="11">
        <f>O3777</f>
        <v/>
      </c>
      <c r="L3777" s="11">
        <f>L3776+IF(K3777&gt;0,K3777*Summary!$B$9,K3777/Summary!$B$9)</f>
        <v/>
      </c>
      <c r="M3777" s="11">
        <f>G3777+H3777</f>
        <v/>
      </c>
      <c r="N3777" s="11">
        <f>Summary!$C$16*Summary!$B$8</f>
        <v/>
      </c>
      <c r="O3777" s="11">
        <f>M3777-N3777</f>
        <v/>
      </c>
    </row>
    <row r="3778">
      <c r="A3778" s="9" t="n">
        <v>45449.33333333334</v>
      </c>
      <c r="B3778" t="n">
        <v>6</v>
      </c>
      <c r="C3778" t="n">
        <v>6</v>
      </c>
      <c r="D3778" t="n">
        <v>8</v>
      </c>
      <c r="E3778" s="10" t="n">
        <v>0.5782119999999999</v>
      </c>
      <c r="F3778" s="10" t="n">
        <v>0.1634351432244344</v>
      </c>
      <c r="G3778" s="11">
        <f>E3778*Summary!$B$6</f>
        <v/>
      </c>
      <c r="H3778" s="11">
        <f>F3778*Summary!$B$7</f>
        <v/>
      </c>
      <c r="I3778" s="11">
        <f>MAX(0,N3778-M3778)</f>
        <v/>
      </c>
      <c r="J3778" s="11">
        <f>MAX(0,M3778-N3778)</f>
        <v/>
      </c>
      <c r="K3778" s="11">
        <f>O3778</f>
        <v/>
      </c>
      <c r="L3778" s="11">
        <f>L3777+IF(K3778&gt;0,K3778*Summary!$B$9,K3778/Summary!$B$9)</f>
        <v/>
      </c>
      <c r="M3778" s="11">
        <f>G3778+H3778</f>
        <v/>
      </c>
      <c r="N3778" s="11">
        <f>Summary!$C$16*Summary!$B$8</f>
        <v/>
      </c>
      <c r="O3778" s="11">
        <f>M3778-N3778</f>
        <v/>
      </c>
    </row>
    <row r="3779">
      <c r="A3779" s="9" t="n">
        <v>45449.375</v>
      </c>
      <c r="B3779" t="n">
        <v>6</v>
      </c>
      <c r="C3779" t="n">
        <v>6</v>
      </c>
      <c r="D3779" t="n">
        <v>9</v>
      </c>
      <c r="E3779" s="10" t="n">
        <v>0.713235</v>
      </c>
      <c r="F3779" s="10" t="n">
        <v>0.172552937412705</v>
      </c>
      <c r="G3779" s="11">
        <f>E3779*Summary!$B$6</f>
        <v/>
      </c>
      <c r="H3779" s="11">
        <f>F3779*Summary!$B$7</f>
        <v/>
      </c>
      <c r="I3779" s="11">
        <f>MAX(0,N3779-M3779)</f>
        <v/>
      </c>
      <c r="J3779" s="11">
        <f>MAX(0,M3779-N3779)</f>
        <v/>
      </c>
      <c r="K3779" s="11">
        <f>O3779</f>
        <v/>
      </c>
      <c r="L3779" s="11">
        <f>L3778+IF(K3779&gt;0,K3779*Summary!$B$9,K3779/Summary!$B$9)</f>
        <v/>
      </c>
      <c r="M3779" s="11">
        <f>G3779+H3779</f>
        <v/>
      </c>
      <c r="N3779" s="11">
        <f>Summary!$C$16*Summary!$B$8</f>
        <v/>
      </c>
      <c r="O3779" s="11">
        <f>M3779-N3779</f>
        <v/>
      </c>
    </row>
    <row r="3780">
      <c r="A3780" s="9" t="n">
        <v>45449.41666666666</v>
      </c>
      <c r="B3780" t="n">
        <v>6</v>
      </c>
      <c r="C3780" t="n">
        <v>6</v>
      </c>
      <c r="D3780" t="n">
        <v>10</v>
      </c>
      <c r="E3780" s="10" t="n">
        <v>0.754058</v>
      </c>
      <c r="F3780" s="10" t="n">
        <v>0.1814072115377308</v>
      </c>
      <c r="G3780" s="11">
        <f>E3780*Summary!$B$6</f>
        <v/>
      </c>
      <c r="H3780" s="11">
        <f>F3780*Summary!$B$7</f>
        <v/>
      </c>
      <c r="I3780" s="11">
        <f>MAX(0,N3780-M3780)</f>
        <v/>
      </c>
      <c r="J3780" s="11">
        <f>MAX(0,M3780-N3780)</f>
        <v/>
      </c>
      <c r="K3780" s="11">
        <f>O3780</f>
        <v/>
      </c>
      <c r="L3780" s="11">
        <f>L3779+IF(K3780&gt;0,K3780*Summary!$B$9,K3780/Summary!$B$9)</f>
        <v/>
      </c>
      <c r="M3780" s="11">
        <f>G3780+H3780</f>
        <v/>
      </c>
      <c r="N3780" s="11">
        <f>Summary!$C$16*Summary!$B$8</f>
        <v/>
      </c>
      <c r="O3780" s="11">
        <f>M3780-N3780</f>
        <v/>
      </c>
    </row>
    <row r="3781">
      <c r="A3781" s="9" t="n">
        <v>45449.45833333334</v>
      </c>
      <c r="B3781" t="n">
        <v>6</v>
      </c>
      <c r="C3781" t="n">
        <v>6</v>
      </c>
      <c r="D3781" t="n">
        <v>11</v>
      </c>
      <c r="E3781" s="10" t="n">
        <v>0.754058</v>
      </c>
      <c r="F3781" s="10" t="n">
        <v>0.1926858702446089</v>
      </c>
      <c r="G3781" s="11">
        <f>E3781*Summary!$B$6</f>
        <v/>
      </c>
      <c r="H3781" s="11">
        <f>F3781*Summary!$B$7</f>
        <v/>
      </c>
      <c r="I3781" s="11">
        <f>MAX(0,N3781-M3781)</f>
        <v/>
      </c>
      <c r="J3781" s="11">
        <f>MAX(0,M3781-N3781)</f>
        <v/>
      </c>
      <c r="K3781" s="11">
        <f>O3781</f>
        <v/>
      </c>
      <c r="L3781" s="11">
        <f>L3780+IF(K3781&gt;0,K3781*Summary!$B$9,K3781/Summary!$B$9)</f>
        <v/>
      </c>
      <c r="M3781" s="11">
        <f>G3781+H3781</f>
        <v/>
      </c>
      <c r="N3781" s="11">
        <f>Summary!$C$16*Summary!$B$8</f>
        <v/>
      </c>
      <c r="O3781" s="11">
        <f>M3781-N3781</f>
        <v/>
      </c>
    </row>
    <row r="3782">
      <c r="A3782" s="9" t="n">
        <v>45449.5</v>
      </c>
      <c r="B3782" t="n">
        <v>6</v>
      </c>
      <c r="C3782" t="n">
        <v>6</v>
      </c>
      <c r="D3782" t="n">
        <v>12</v>
      </c>
      <c r="E3782" s="10" t="n">
        <v>0.754058</v>
      </c>
      <c r="F3782" s="10" t="n">
        <v>0.2077065138495633</v>
      </c>
      <c r="G3782" s="11">
        <f>E3782*Summary!$B$6</f>
        <v/>
      </c>
      <c r="H3782" s="11">
        <f>F3782*Summary!$B$7</f>
        <v/>
      </c>
      <c r="I3782" s="11">
        <f>MAX(0,N3782-M3782)</f>
        <v/>
      </c>
      <c r="J3782" s="11">
        <f>MAX(0,M3782-N3782)</f>
        <v/>
      </c>
      <c r="K3782" s="11">
        <f>O3782</f>
        <v/>
      </c>
      <c r="L3782" s="11">
        <f>L3781+IF(K3782&gt;0,K3782*Summary!$B$9,K3782/Summary!$B$9)</f>
        <v/>
      </c>
      <c r="M3782" s="11">
        <f>G3782+H3782</f>
        <v/>
      </c>
      <c r="N3782" s="11">
        <f>Summary!$C$16*Summary!$B$8</f>
        <v/>
      </c>
      <c r="O3782" s="11">
        <f>M3782-N3782</f>
        <v/>
      </c>
    </row>
    <row r="3783">
      <c r="A3783" s="9" t="n">
        <v>45449.54166666666</v>
      </c>
      <c r="B3783" t="n">
        <v>6</v>
      </c>
      <c r="C3783" t="n">
        <v>6</v>
      </c>
      <c r="D3783" t="n">
        <v>13</v>
      </c>
      <c r="E3783" s="10" t="n">
        <v>0.754058</v>
      </c>
      <c r="F3783" s="10" t="n">
        <v>0.2258366942008066</v>
      </c>
      <c r="G3783" s="11">
        <f>E3783*Summary!$B$6</f>
        <v/>
      </c>
      <c r="H3783" s="11">
        <f>F3783*Summary!$B$7</f>
        <v/>
      </c>
      <c r="I3783" s="11">
        <f>MAX(0,N3783-M3783)</f>
        <v/>
      </c>
      <c r="J3783" s="11">
        <f>MAX(0,M3783-N3783)</f>
        <v/>
      </c>
      <c r="K3783" s="11">
        <f>O3783</f>
        <v/>
      </c>
      <c r="L3783" s="11">
        <f>L3782+IF(K3783&gt;0,K3783*Summary!$B$9,K3783/Summary!$B$9)</f>
        <v/>
      </c>
      <c r="M3783" s="11">
        <f>G3783+H3783</f>
        <v/>
      </c>
      <c r="N3783" s="11">
        <f>Summary!$C$16*Summary!$B$8</f>
        <v/>
      </c>
      <c r="O3783" s="11">
        <f>M3783-N3783</f>
        <v/>
      </c>
    </row>
    <row r="3784">
      <c r="A3784" s="9" t="n">
        <v>45449.58333333334</v>
      </c>
      <c r="B3784" t="n">
        <v>6</v>
      </c>
      <c r="C3784" t="n">
        <v>6</v>
      </c>
      <c r="D3784" t="n">
        <v>14</v>
      </c>
      <c r="E3784" s="10" t="n">
        <v>0.749476</v>
      </c>
      <c r="F3784" s="10" t="n">
        <v>0.2471027633046632</v>
      </c>
      <c r="G3784" s="11">
        <f>E3784*Summary!$B$6</f>
        <v/>
      </c>
      <c r="H3784" s="11">
        <f>F3784*Summary!$B$7</f>
        <v/>
      </c>
      <c r="I3784" s="11">
        <f>MAX(0,N3784-M3784)</f>
        <v/>
      </c>
      <c r="J3784" s="11">
        <f>MAX(0,M3784-N3784)</f>
        <v/>
      </c>
      <c r="K3784" s="11">
        <f>O3784</f>
        <v/>
      </c>
      <c r="L3784" s="11">
        <f>L3783+IF(K3784&gt;0,K3784*Summary!$B$9,K3784/Summary!$B$9)</f>
        <v/>
      </c>
      <c r="M3784" s="11">
        <f>G3784+H3784</f>
        <v/>
      </c>
      <c r="N3784" s="11">
        <f>Summary!$C$16*Summary!$B$8</f>
        <v/>
      </c>
      <c r="O3784" s="11">
        <f>M3784-N3784</f>
        <v/>
      </c>
    </row>
    <row r="3785">
      <c r="A3785" s="9" t="n">
        <v>45449.625</v>
      </c>
      <c r="B3785" t="n">
        <v>6</v>
      </c>
      <c r="C3785" t="n">
        <v>6</v>
      </c>
      <c r="D3785" t="n">
        <v>15</v>
      </c>
      <c r="E3785" s="10" t="n">
        <v>0.625776</v>
      </c>
      <c r="F3785" s="10" t="n">
        <v>0.2673674561681895</v>
      </c>
      <c r="G3785" s="11">
        <f>E3785*Summary!$B$6</f>
        <v/>
      </c>
      <c r="H3785" s="11">
        <f>F3785*Summary!$B$7</f>
        <v/>
      </c>
      <c r="I3785" s="11">
        <f>MAX(0,N3785-M3785)</f>
        <v/>
      </c>
      <c r="J3785" s="11">
        <f>MAX(0,M3785-N3785)</f>
        <v/>
      </c>
      <c r="K3785" s="11">
        <f>O3785</f>
        <v/>
      </c>
      <c r="L3785" s="11">
        <f>L3784+IF(K3785&gt;0,K3785*Summary!$B$9,K3785/Summary!$B$9)</f>
        <v/>
      </c>
      <c r="M3785" s="11">
        <f>G3785+H3785</f>
        <v/>
      </c>
      <c r="N3785" s="11">
        <f>Summary!$C$16*Summary!$B$8</f>
        <v/>
      </c>
      <c r="O3785" s="11">
        <f>M3785-N3785</f>
        <v/>
      </c>
    </row>
    <row r="3786">
      <c r="A3786" s="9" t="n">
        <v>45449.66666666666</v>
      </c>
      <c r="B3786" t="n">
        <v>6</v>
      </c>
      <c r="C3786" t="n">
        <v>6</v>
      </c>
      <c r="D3786" t="n">
        <v>16</v>
      </c>
      <c r="E3786" s="10" t="n">
        <v>0.452191</v>
      </c>
      <c r="F3786" s="10" t="n">
        <v>0.2809387394252975</v>
      </c>
      <c r="G3786" s="11">
        <f>E3786*Summary!$B$6</f>
        <v/>
      </c>
      <c r="H3786" s="11">
        <f>F3786*Summary!$B$7</f>
        <v/>
      </c>
      <c r="I3786" s="11">
        <f>MAX(0,N3786-M3786)</f>
        <v/>
      </c>
      <c r="J3786" s="11">
        <f>MAX(0,M3786-N3786)</f>
        <v/>
      </c>
      <c r="K3786" s="11">
        <f>O3786</f>
        <v/>
      </c>
      <c r="L3786" s="11">
        <f>L3785+IF(K3786&gt;0,K3786*Summary!$B$9,K3786/Summary!$B$9)</f>
        <v/>
      </c>
      <c r="M3786" s="11">
        <f>G3786+H3786</f>
        <v/>
      </c>
      <c r="N3786" s="11">
        <f>Summary!$C$16*Summary!$B$8</f>
        <v/>
      </c>
      <c r="O3786" s="11">
        <f>M3786-N3786</f>
        <v/>
      </c>
    </row>
    <row r="3787">
      <c r="A3787" s="9" t="n">
        <v>45449.70833333334</v>
      </c>
      <c r="B3787" t="n">
        <v>6</v>
      </c>
      <c r="C3787" t="n">
        <v>6</v>
      </c>
      <c r="D3787" t="n">
        <v>17</v>
      </c>
      <c r="E3787" s="10" t="n">
        <v>0.257041</v>
      </c>
      <c r="F3787" s="10" t="n">
        <v>0.2912950779108187</v>
      </c>
      <c r="G3787" s="11">
        <f>E3787*Summary!$B$6</f>
        <v/>
      </c>
      <c r="H3787" s="11">
        <f>F3787*Summary!$B$7</f>
        <v/>
      </c>
      <c r="I3787" s="11">
        <f>MAX(0,N3787-M3787)</f>
        <v/>
      </c>
      <c r="J3787" s="11">
        <f>MAX(0,M3787-N3787)</f>
        <v/>
      </c>
      <c r="K3787" s="11">
        <f>O3787</f>
        <v/>
      </c>
      <c r="L3787" s="11">
        <f>L3786+IF(K3787&gt;0,K3787*Summary!$B$9,K3787/Summary!$B$9)</f>
        <v/>
      </c>
      <c r="M3787" s="11">
        <f>G3787+H3787</f>
        <v/>
      </c>
      <c r="N3787" s="11">
        <f>Summary!$C$16*Summary!$B$8</f>
        <v/>
      </c>
      <c r="O3787" s="11">
        <f>M3787-N3787</f>
        <v/>
      </c>
    </row>
    <row r="3788">
      <c r="A3788" s="9" t="n">
        <v>45449.75</v>
      </c>
      <c r="B3788" t="n">
        <v>6</v>
      </c>
      <c r="C3788" t="n">
        <v>6</v>
      </c>
      <c r="D3788" t="n">
        <v>18</v>
      </c>
      <c r="E3788" s="10" t="n">
        <v>0.088199</v>
      </c>
      <c r="F3788" s="10" t="n">
        <v>0.2988317517196204</v>
      </c>
      <c r="G3788" s="11">
        <f>E3788*Summary!$B$6</f>
        <v/>
      </c>
      <c r="H3788" s="11">
        <f>F3788*Summary!$B$7</f>
        <v/>
      </c>
      <c r="I3788" s="11">
        <f>MAX(0,N3788-M3788)</f>
        <v/>
      </c>
      <c r="J3788" s="11">
        <f>MAX(0,M3788-N3788)</f>
        <v/>
      </c>
      <c r="K3788" s="11">
        <f>O3788</f>
        <v/>
      </c>
      <c r="L3788" s="11">
        <f>L3787+IF(K3788&gt;0,K3788*Summary!$B$9,K3788/Summary!$B$9)</f>
        <v/>
      </c>
      <c r="M3788" s="11">
        <f>G3788+H3788</f>
        <v/>
      </c>
      <c r="N3788" s="11">
        <f>Summary!$C$16*Summary!$B$8</f>
        <v/>
      </c>
      <c r="O3788" s="11">
        <f>M3788-N3788</f>
        <v/>
      </c>
    </row>
    <row r="3789">
      <c r="A3789" s="9" t="n">
        <v>45449.79166666666</v>
      </c>
      <c r="B3789" t="n">
        <v>6</v>
      </c>
      <c r="C3789" t="n">
        <v>6</v>
      </c>
      <c r="D3789" t="n">
        <v>19</v>
      </c>
      <c r="E3789" s="10" t="n">
        <v>0.039158</v>
      </c>
      <c r="F3789" s="10" t="n">
        <v>0.3123239789577549</v>
      </c>
      <c r="G3789" s="11">
        <f>E3789*Summary!$B$6</f>
        <v/>
      </c>
      <c r="H3789" s="11">
        <f>F3789*Summary!$B$7</f>
        <v/>
      </c>
      <c r="I3789" s="11">
        <f>MAX(0,N3789-M3789)</f>
        <v/>
      </c>
      <c r="J3789" s="11">
        <f>MAX(0,M3789-N3789)</f>
        <v/>
      </c>
      <c r="K3789" s="11">
        <f>O3789</f>
        <v/>
      </c>
      <c r="L3789" s="11">
        <f>L3788+IF(K3789&gt;0,K3789*Summary!$B$9,K3789/Summary!$B$9)</f>
        <v/>
      </c>
      <c r="M3789" s="11">
        <f>G3789+H3789</f>
        <v/>
      </c>
      <c r="N3789" s="11">
        <f>Summary!$C$16*Summary!$B$8</f>
        <v/>
      </c>
      <c r="O3789" s="11">
        <f>M3789-N3789</f>
        <v/>
      </c>
    </row>
    <row r="3790">
      <c r="A3790" s="9" t="n">
        <v>45449.83333333334</v>
      </c>
      <c r="B3790" t="n">
        <v>6</v>
      </c>
      <c r="C3790" t="n">
        <v>6</v>
      </c>
      <c r="D3790" t="n">
        <v>20</v>
      </c>
      <c r="E3790" s="10" t="n">
        <v>0.011589</v>
      </c>
      <c r="F3790" s="10" t="n">
        <v>0.3331420639540953</v>
      </c>
      <c r="G3790" s="11">
        <f>E3790*Summary!$B$6</f>
        <v/>
      </c>
      <c r="H3790" s="11">
        <f>F3790*Summary!$B$7</f>
        <v/>
      </c>
      <c r="I3790" s="11">
        <f>MAX(0,N3790-M3790)</f>
        <v/>
      </c>
      <c r="J3790" s="11">
        <f>MAX(0,M3790-N3790)</f>
        <v/>
      </c>
      <c r="K3790" s="11">
        <f>O3790</f>
        <v/>
      </c>
      <c r="L3790" s="11">
        <f>L3789+IF(K3790&gt;0,K3790*Summary!$B$9,K3790/Summary!$B$9)</f>
        <v/>
      </c>
      <c r="M3790" s="11">
        <f>G3790+H3790</f>
        <v/>
      </c>
      <c r="N3790" s="11">
        <f>Summary!$C$16*Summary!$B$8</f>
        <v/>
      </c>
      <c r="O3790" s="11">
        <f>M3790-N3790</f>
        <v/>
      </c>
    </row>
    <row r="3791">
      <c r="A3791" s="9" t="n">
        <v>45449.875</v>
      </c>
      <c r="B3791" t="n">
        <v>6</v>
      </c>
      <c r="C3791" t="n">
        <v>6</v>
      </c>
      <c r="D3791" t="n">
        <v>21</v>
      </c>
      <c r="E3791" s="10" t="n">
        <v>0</v>
      </c>
      <c r="F3791" s="10" t="n">
        <v>0.3502708680650083</v>
      </c>
      <c r="G3791" s="11">
        <f>E3791*Summary!$B$6</f>
        <v/>
      </c>
      <c r="H3791" s="11">
        <f>F3791*Summary!$B$7</f>
        <v/>
      </c>
      <c r="I3791" s="11">
        <f>MAX(0,N3791-M3791)</f>
        <v/>
      </c>
      <c r="J3791" s="11">
        <f>MAX(0,M3791-N3791)</f>
        <v/>
      </c>
      <c r="K3791" s="11">
        <f>O3791</f>
        <v/>
      </c>
      <c r="L3791" s="11">
        <f>L3790+IF(K3791&gt;0,K3791*Summary!$B$9,K3791/Summary!$B$9)</f>
        <v/>
      </c>
      <c r="M3791" s="11">
        <f>G3791+H3791</f>
        <v/>
      </c>
      <c r="N3791" s="11">
        <f>Summary!$C$16*Summary!$B$8</f>
        <v/>
      </c>
      <c r="O3791" s="11">
        <f>M3791-N3791</f>
        <v/>
      </c>
    </row>
    <row r="3792">
      <c r="A3792" s="9" t="n">
        <v>45449.91666666666</v>
      </c>
      <c r="B3792" t="n">
        <v>6</v>
      </c>
      <c r="C3792" t="n">
        <v>6</v>
      </c>
      <c r="D3792" t="n">
        <v>22</v>
      </c>
      <c r="E3792" s="10" t="n">
        <v>0</v>
      </c>
      <c r="F3792" s="10" t="n">
        <v>0.3637894473094673</v>
      </c>
      <c r="G3792" s="11">
        <f>E3792*Summary!$B$6</f>
        <v/>
      </c>
      <c r="H3792" s="11">
        <f>F3792*Summary!$B$7</f>
        <v/>
      </c>
      <c r="I3792" s="11">
        <f>MAX(0,N3792-M3792)</f>
        <v/>
      </c>
      <c r="J3792" s="11">
        <f>MAX(0,M3792-N3792)</f>
        <v/>
      </c>
      <c r="K3792" s="11">
        <f>O3792</f>
        <v/>
      </c>
      <c r="L3792" s="11">
        <f>L3791+IF(K3792&gt;0,K3792*Summary!$B$9,K3792/Summary!$B$9)</f>
        <v/>
      </c>
      <c r="M3792" s="11">
        <f>G3792+H3792</f>
        <v/>
      </c>
      <c r="N3792" s="11">
        <f>Summary!$C$16*Summary!$B$8</f>
        <v/>
      </c>
      <c r="O3792" s="11">
        <f>M3792-N3792</f>
        <v/>
      </c>
    </row>
    <row r="3793">
      <c r="A3793" s="9" t="n">
        <v>45449.95833333334</v>
      </c>
      <c r="B3793" t="n">
        <v>6</v>
      </c>
      <c r="C3793" t="n">
        <v>6</v>
      </c>
      <c r="D3793" t="n">
        <v>23</v>
      </c>
      <c r="E3793" s="10" t="n">
        <v>0</v>
      </c>
      <c r="F3793" s="10" t="n">
        <v>0.3598893503734441</v>
      </c>
      <c r="G3793" s="11">
        <f>E3793*Summary!$B$6</f>
        <v/>
      </c>
      <c r="H3793" s="11">
        <f>F3793*Summary!$B$7</f>
        <v/>
      </c>
      <c r="I3793" s="11">
        <f>MAX(0,N3793-M3793)</f>
        <v/>
      </c>
      <c r="J3793" s="11">
        <f>MAX(0,M3793-N3793)</f>
        <v/>
      </c>
      <c r="K3793" s="11">
        <f>O3793</f>
        <v/>
      </c>
      <c r="L3793" s="11">
        <f>L3792+IF(K3793&gt;0,K3793*Summary!$B$9,K3793/Summary!$B$9)</f>
        <v/>
      </c>
      <c r="M3793" s="11">
        <f>G3793+H3793</f>
        <v/>
      </c>
      <c r="N3793" s="11">
        <f>Summary!$C$16*Summary!$B$8</f>
        <v/>
      </c>
      <c r="O3793" s="11">
        <f>M3793-N3793</f>
        <v/>
      </c>
    </row>
    <row r="3794">
      <c r="A3794" s="9" t="n">
        <v>45450</v>
      </c>
      <c r="B3794" t="n">
        <v>6</v>
      </c>
      <c r="C3794" t="n">
        <v>7</v>
      </c>
      <c r="D3794" t="n">
        <v>0</v>
      </c>
      <c r="E3794" s="10" t="n">
        <v>0</v>
      </c>
      <c r="F3794" s="10" t="n">
        <v>0.2174567561896215</v>
      </c>
      <c r="G3794" s="11">
        <f>E3794*Summary!$B$6</f>
        <v/>
      </c>
      <c r="H3794" s="11">
        <f>F3794*Summary!$B$7</f>
        <v/>
      </c>
      <c r="I3794" s="11">
        <f>MAX(0,N3794-M3794)</f>
        <v/>
      </c>
      <c r="J3794" s="11">
        <f>MAX(0,M3794-N3794)</f>
        <v/>
      </c>
      <c r="K3794" s="11">
        <f>O3794</f>
        <v/>
      </c>
      <c r="L3794" s="11">
        <f>L3793+IF(K3794&gt;0,K3794*Summary!$B$9,K3794/Summary!$B$9)</f>
        <v/>
      </c>
      <c r="M3794" s="11">
        <f>G3794+H3794</f>
        <v/>
      </c>
      <c r="N3794" s="11">
        <f>Summary!$C$16*Summary!$B$8</f>
        <v/>
      </c>
      <c r="O3794" s="11">
        <f>M3794-N3794</f>
        <v/>
      </c>
    </row>
    <row r="3795">
      <c r="A3795" s="9" t="n">
        <v>45450.04166666666</v>
      </c>
      <c r="B3795" t="n">
        <v>6</v>
      </c>
      <c r="C3795" t="n">
        <v>7</v>
      </c>
      <c r="D3795" t="n">
        <v>1</v>
      </c>
      <c r="E3795" s="10" t="n">
        <v>0</v>
      </c>
      <c r="F3795" s="10" t="n">
        <v>0.365080695619367</v>
      </c>
      <c r="G3795" s="11">
        <f>E3795*Summary!$B$6</f>
        <v/>
      </c>
      <c r="H3795" s="11">
        <f>F3795*Summary!$B$7</f>
        <v/>
      </c>
      <c r="I3795" s="11">
        <f>MAX(0,N3795-M3795)</f>
        <v/>
      </c>
      <c r="J3795" s="11">
        <f>MAX(0,M3795-N3795)</f>
        <v/>
      </c>
      <c r="K3795" s="11">
        <f>O3795</f>
        <v/>
      </c>
      <c r="L3795" s="11">
        <f>L3794+IF(K3795&gt;0,K3795*Summary!$B$9,K3795/Summary!$B$9)</f>
        <v/>
      </c>
      <c r="M3795" s="11">
        <f>G3795+H3795</f>
        <v/>
      </c>
      <c r="N3795" s="11">
        <f>Summary!$C$16*Summary!$B$8</f>
        <v/>
      </c>
      <c r="O3795" s="11">
        <f>M3795-N3795</f>
        <v/>
      </c>
    </row>
    <row r="3796">
      <c r="A3796" s="9" t="n">
        <v>45450.08333333334</v>
      </c>
      <c r="B3796" t="n">
        <v>6</v>
      </c>
      <c r="C3796" t="n">
        <v>7</v>
      </c>
      <c r="D3796" t="n">
        <v>2</v>
      </c>
      <c r="E3796" s="10" t="n">
        <v>0</v>
      </c>
      <c r="F3796" s="10" t="n">
        <v>0.3632097031703287</v>
      </c>
      <c r="G3796" s="11">
        <f>E3796*Summary!$B$6</f>
        <v/>
      </c>
      <c r="H3796" s="11">
        <f>F3796*Summary!$B$7</f>
        <v/>
      </c>
      <c r="I3796" s="11">
        <f>MAX(0,N3796-M3796)</f>
        <v/>
      </c>
      <c r="J3796" s="11">
        <f>MAX(0,M3796-N3796)</f>
        <v/>
      </c>
      <c r="K3796" s="11">
        <f>O3796</f>
        <v/>
      </c>
      <c r="L3796" s="11">
        <f>L3795+IF(K3796&gt;0,K3796*Summary!$B$9,K3796/Summary!$B$9)</f>
        <v/>
      </c>
      <c r="M3796" s="11">
        <f>G3796+H3796</f>
        <v/>
      </c>
      <c r="N3796" s="11">
        <f>Summary!$C$16*Summary!$B$8</f>
        <v/>
      </c>
      <c r="O3796" s="11">
        <f>M3796-N3796</f>
        <v/>
      </c>
    </row>
    <row r="3797">
      <c r="A3797" s="9" t="n">
        <v>45450.125</v>
      </c>
      <c r="B3797" t="n">
        <v>6</v>
      </c>
      <c r="C3797" t="n">
        <v>7</v>
      </c>
      <c r="D3797" t="n">
        <v>3</v>
      </c>
      <c r="E3797" s="10" t="n">
        <v>0</v>
      </c>
      <c r="F3797" s="10" t="n">
        <v>0.3547770611464947</v>
      </c>
      <c r="G3797" s="11">
        <f>E3797*Summary!$B$6</f>
        <v/>
      </c>
      <c r="H3797" s="11">
        <f>F3797*Summary!$B$7</f>
        <v/>
      </c>
      <c r="I3797" s="11">
        <f>MAX(0,N3797-M3797)</f>
        <v/>
      </c>
      <c r="J3797" s="11">
        <f>MAX(0,M3797-N3797)</f>
        <v/>
      </c>
      <c r="K3797" s="11">
        <f>O3797</f>
        <v/>
      </c>
      <c r="L3797" s="11">
        <f>L3796+IF(K3797&gt;0,K3797*Summary!$B$9,K3797/Summary!$B$9)</f>
        <v/>
      </c>
      <c r="M3797" s="11">
        <f>G3797+H3797</f>
        <v/>
      </c>
      <c r="N3797" s="11">
        <f>Summary!$C$16*Summary!$B$8</f>
        <v/>
      </c>
      <c r="O3797" s="11">
        <f>M3797-N3797</f>
        <v/>
      </c>
    </row>
    <row r="3798">
      <c r="A3798" s="9" t="n">
        <v>45450.16666666666</v>
      </c>
      <c r="B3798" t="n">
        <v>6</v>
      </c>
      <c r="C3798" t="n">
        <v>7</v>
      </c>
      <c r="D3798" t="n">
        <v>4</v>
      </c>
      <c r="E3798" s="10" t="n">
        <v>0.025311</v>
      </c>
      <c r="F3798" s="10" t="n">
        <v>0.3427868982688556</v>
      </c>
      <c r="G3798" s="11">
        <f>E3798*Summary!$B$6</f>
        <v/>
      </c>
      <c r="H3798" s="11">
        <f>F3798*Summary!$B$7</f>
        <v/>
      </c>
      <c r="I3798" s="11">
        <f>MAX(0,N3798-M3798)</f>
        <v/>
      </c>
      <c r="J3798" s="11">
        <f>MAX(0,M3798-N3798)</f>
        <v/>
      </c>
      <c r="K3798" s="11">
        <f>O3798</f>
        <v/>
      </c>
      <c r="L3798" s="11">
        <f>L3797+IF(K3798&gt;0,K3798*Summary!$B$9,K3798/Summary!$B$9)</f>
        <v/>
      </c>
      <c r="M3798" s="11">
        <f>G3798+H3798</f>
        <v/>
      </c>
      <c r="N3798" s="11">
        <f>Summary!$C$16*Summary!$B$8</f>
        <v/>
      </c>
      <c r="O3798" s="11">
        <f>M3798-N3798</f>
        <v/>
      </c>
    </row>
    <row r="3799">
      <c r="A3799" s="9" t="n">
        <v>45450.20833333334</v>
      </c>
      <c r="B3799" t="n">
        <v>6</v>
      </c>
      <c r="C3799" t="n">
        <v>7</v>
      </c>
      <c r="D3799" t="n">
        <v>5</v>
      </c>
      <c r="E3799" s="10" t="n">
        <v>0.043914</v>
      </c>
      <c r="F3799" s="10" t="n">
        <v>0.3209674370321849</v>
      </c>
      <c r="G3799" s="11">
        <f>E3799*Summary!$B$6</f>
        <v/>
      </c>
      <c r="H3799" s="11">
        <f>F3799*Summary!$B$7</f>
        <v/>
      </c>
      <c r="I3799" s="11">
        <f>MAX(0,N3799-M3799)</f>
        <v/>
      </c>
      <c r="J3799" s="11">
        <f>MAX(0,M3799-N3799)</f>
        <v/>
      </c>
      <c r="K3799" s="11">
        <f>O3799</f>
        <v/>
      </c>
      <c r="L3799" s="11">
        <f>L3798+IF(K3799&gt;0,K3799*Summary!$B$9,K3799/Summary!$B$9)</f>
        <v/>
      </c>
      <c r="M3799" s="11">
        <f>G3799+H3799</f>
        <v/>
      </c>
      <c r="N3799" s="11">
        <f>Summary!$C$16*Summary!$B$8</f>
        <v/>
      </c>
      <c r="O3799" s="11">
        <f>M3799-N3799</f>
        <v/>
      </c>
    </row>
    <row r="3800">
      <c r="A3800" s="9" t="n">
        <v>45450.25</v>
      </c>
      <c r="B3800" t="n">
        <v>6</v>
      </c>
      <c r="C3800" t="n">
        <v>7</v>
      </c>
      <c r="D3800" t="n">
        <v>6</v>
      </c>
      <c r="E3800" s="10" t="n">
        <v>0.072908</v>
      </c>
      <c r="F3800" s="10" t="n">
        <v>0.3061576094778263</v>
      </c>
      <c r="G3800" s="11">
        <f>E3800*Summary!$B$6</f>
        <v/>
      </c>
      <c r="H3800" s="11">
        <f>F3800*Summary!$B$7</f>
        <v/>
      </c>
      <c r="I3800" s="11">
        <f>MAX(0,N3800-M3800)</f>
        <v/>
      </c>
      <c r="J3800" s="11">
        <f>MAX(0,M3800-N3800)</f>
        <v/>
      </c>
      <c r="K3800" s="11">
        <f>O3800</f>
        <v/>
      </c>
      <c r="L3800" s="11">
        <f>L3799+IF(K3800&gt;0,K3800*Summary!$B$9,K3800/Summary!$B$9)</f>
        <v/>
      </c>
      <c r="M3800" s="11">
        <f>G3800+H3800</f>
        <v/>
      </c>
      <c r="N3800" s="11">
        <f>Summary!$C$16*Summary!$B$8</f>
        <v/>
      </c>
      <c r="O3800" s="11">
        <f>M3800-N3800</f>
        <v/>
      </c>
    </row>
    <row r="3801">
      <c r="A3801" s="9" t="n">
        <v>45450.29166666666</v>
      </c>
      <c r="B3801" t="n">
        <v>6</v>
      </c>
      <c r="C3801" t="n">
        <v>7</v>
      </c>
      <c r="D3801" t="n">
        <v>7</v>
      </c>
      <c r="E3801" s="10" t="n">
        <v>0.06561</v>
      </c>
      <c r="F3801" s="10" t="n">
        <v>0.2984628236310777</v>
      </c>
      <c r="G3801" s="11">
        <f>E3801*Summary!$B$6</f>
        <v/>
      </c>
      <c r="H3801" s="11">
        <f>F3801*Summary!$B$7</f>
        <v/>
      </c>
      <c r="I3801" s="11">
        <f>MAX(0,N3801-M3801)</f>
        <v/>
      </c>
      <c r="J3801" s="11">
        <f>MAX(0,M3801-N3801)</f>
        <v/>
      </c>
      <c r="K3801" s="11">
        <f>O3801</f>
        <v/>
      </c>
      <c r="L3801" s="11">
        <f>L3800+IF(K3801&gt;0,K3801*Summary!$B$9,K3801/Summary!$B$9)</f>
        <v/>
      </c>
      <c r="M3801" s="11">
        <f>G3801+H3801</f>
        <v/>
      </c>
      <c r="N3801" s="11">
        <f>Summary!$C$16*Summary!$B$8</f>
        <v/>
      </c>
      <c r="O3801" s="11">
        <f>M3801-N3801</f>
        <v/>
      </c>
    </row>
    <row r="3802">
      <c r="A3802" s="9" t="n">
        <v>45450.33333333334</v>
      </c>
      <c r="B3802" t="n">
        <v>6</v>
      </c>
      <c r="C3802" t="n">
        <v>7</v>
      </c>
      <c r="D3802" t="n">
        <v>8</v>
      </c>
      <c r="E3802" s="10" t="n">
        <v>0.104923</v>
      </c>
      <c r="F3802" s="10" t="n">
        <v>0.2970398152895557</v>
      </c>
      <c r="G3802" s="11">
        <f>E3802*Summary!$B$6</f>
        <v/>
      </c>
      <c r="H3802" s="11">
        <f>F3802*Summary!$B$7</f>
        <v/>
      </c>
      <c r="I3802" s="11">
        <f>MAX(0,N3802-M3802)</f>
        <v/>
      </c>
      <c r="J3802" s="11">
        <f>MAX(0,M3802-N3802)</f>
        <v/>
      </c>
      <c r="K3802" s="11">
        <f>O3802</f>
        <v/>
      </c>
      <c r="L3802" s="11">
        <f>L3801+IF(K3802&gt;0,K3802*Summary!$B$9,K3802/Summary!$B$9)</f>
        <v/>
      </c>
      <c r="M3802" s="11">
        <f>G3802+H3802</f>
        <v/>
      </c>
      <c r="N3802" s="11">
        <f>Summary!$C$16*Summary!$B$8</f>
        <v/>
      </c>
      <c r="O3802" s="11">
        <f>M3802-N3802</f>
        <v/>
      </c>
    </row>
    <row r="3803">
      <c r="A3803" s="9" t="n">
        <v>45450.375</v>
      </c>
      <c r="B3803" t="n">
        <v>6</v>
      </c>
      <c r="C3803" t="n">
        <v>7</v>
      </c>
      <c r="D3803" t="n">
        <v>9</v>
      </c>
      <c r="E3803" s="10" t="n">
        <v>0.107782</v>
      </c>
      <c r="F3803" s="10" t="n">
        <v>0.2971452233148536</v>
      </c>
      <c r="G3803" s="11">
        <f>E3803*Summary!$B$6</f>
        <v/>
      </c>
      <c r="H3803" s="11">
        <f>F3803*Summary!$B$7</f>
        <v/>
      </c>
      <c r="I3803" s="11">
        <f>MAX(0,N3803-M3803)</f>
        <v/>
      </c>
      <c r="J3803" s="11">
        <f>MAX(0,M3803-N3803)</f>
        <v/>
      </c>
      <c r="K3803" s="11">
        <f>O3803</f>
        <v/>
      </c>
      <c r="L3803" s="11">
        <f>L3802+IF(K3803&gt;0,K3803*Summary!$B$9,K3803/Summary!$B$9)</f>
        <v/>
      </c>
      <c r="M3803" s="11">
        <f>G3803+H3803</f>
        <v/>
      </c>
      <c r="N3803" s="11">
        <f>Summary!$C$16*Summary!$B$8</f>
        <v/>
      </c>
      <c r="O3803" s="11">
        <f>M3803-N3803</f>
        <v/>
      </c>
    </row>
    <row r="3804">
      <c r="A3804" s="9" t="n">
        <v>45450.41666666666</v>
      </c>
      <c r="B3804" t="n">
        <v>6</v>
      </c>
      <c r="C3804" t="n">
        <v>7</v>
      </c>
      <c r="D3804" t="n">
        <v>10</v>
      </c>
      <c r="E3804" s="10" t="n">
        <v>0.149408</v>
      </c>
      <c r="F3804" s="10" t="n">
        <v>0.3018095284342868</v>
      </c>
      <c r="G3804" s="11">
        <f>E3804*Summary!$B$6</f>
        <v/>
      </c>
      <c r="H3804" s="11">
        <f>F3804*Summary!$B$7</f>
        <v/>
      </c>
      <c r="I3804" s="11">
        <f>MAX(0,N3804-M3804)</f>
        <v/>
      </c>
      <c r="J3804" s="11">
        <f>MAX(0,M3804-N3804)</f>
        <v/>
      </c>
      <c r="K3804" s="11">
        <f>O3804</f>
        <v/>
      </c>
      <c r="L3804" s="11">
        <f>L3803+IF(K3804&gt;0,K3804*Summary!$B$9,K3804/Summary!$B$9)</f>
        <v/>
      </c>
      <c r="M3804" s="11">
        <f>G3804+H3804</f>
        <v/>
      </c>
      <c r="N3804" s="11">
        <f>Summary!$C$16*Summary!$B$8</f>
        <v/>
      </c>
      <c r="O3804" s="11">
        <f>M3804-N3804</f>
        <v/>
      </c>
    </row>
    <row r="3805">
      <c r="A3805" s="9" t="n">
        <v>45450.45833333334</v>
      </c>
      <c r="B3805" t="n">
        <v>6</v>
      </c>
      <c r="C3805" t="n">
        <v>7</v>
      </c>
      <c r="D3805" t="n">
        <v>11</v>
      </c>
      <c r="E3805" s="10" t="n">
        <v>0.234524</v>
      </c>
      <c r="F3805" s="10" t="n">
        <v>0.3005709841370362</v>
      </c>
      <c r="G3805" s="11">
        <f>E3805*Summary!$B$6</f>
        <v/>
      </c>
      <c r="H3805" s="11">
        <f>F3805*Summary!$B$7</f>
        <v/>
      </c>
      <c r="I3805" s="11">
        <f>MAX(0,N3805-M3805)</f>
        <v/>
      </c>
      <c r="J3805" s="11">
        <f>MAX(0,M3805-N3805)</f>
        <v/>
      </c>
      <c r="K3805" s="11">
        <f>O3805</f>
        <v/>
      </c>
      <c r="L3805" s="11">
        <f>L3804+IF(K3805&gt;0,K3805*Summary!$B$9,K3805/Summary!$B$9)</f>
        <v/>
      </c>
      <c r="M3805" s="11">
        <f>G3805+H3805</f>
        <v/>
      </c>
      <c r="N3805" s="11">
        <f>Summary!$C$16*Summary!$B$8</f>
        <v/>
      </c>
      <c r="O3805" s="11">
        <f>M3805-N3805</f>
        <v/>
      </c>
    </row>
    <row r="3806">
      <c r="A3806" s="9" t="n">
        <v>45450.5</v>
      </c>
      <c r="B3806" t="n">
        <v>6</v>
      </c>
      <c r="C3806" t="n">
        <v>7</v>
      </c>
      <c r="D3806" t="n">
        <v>12</v>
      </c>
      <c r="E3806" s="10" t="n">
        <v>0.139547</v>
      </c>
      <c r="F3806" s="10" t="n">
        <v>0.3025737366176968</v>
      </c>
      <c r="G3806" s="11">
        <f>E3806*Summary!$B$6</f>
        <v/>
      </c>
      <c r="H3806" s="11">
        <f>F3806*Summary!$B$7</f>
        <v/>
      </c>
      <c r="I3806" s="11">
        <f>MAX(0,N3806-M3806)</f>
        <v/>
      </c>
      <c r="J3806" s="11">
        <f>MAX(0,M3806-N3806)</f>
        <v/>
      </c>
      <c r="K3806" s="11">
        <f>O3806</f>
        <v/>
      </c>
      <c r="L3806" s="11">
        <f>L3805+IF(K3806&gt;0,K3806*Summary!$B$9,K3806/Summary!$B$9)</f>
        <v/>
      </c>
      <c r="M3806" s="11">
        <f>G3806+H3806</f>
        <v/>
      </c>
      <c r="N3806" s="11">
        <f>Summary!$C$16*Summary!$B$8</f>
        <v/>
      </c>
      <c r="O3806" s="11">
        <f>M3806-N3806</f>
        <v/>
      </c>
    </row>
    <row r="3807">
      <c r="A3807" s="9" t="n">
        <v>45450.54166666666</v>
      </c>
      <c r="B3807" t="n">
        <v>6</v>
      </c>
      <c r="C3807" t="n">
        <v>7</v>
      </c>
      <c r="D3807" t="n">
        <v>13</v>
      </c>
      <c r="E3807" s="10" t="n">
        <v>0.172273</v>
      </c>
      <c r="F3807" s="10" t="n">
        <v>0.3000175920042221</v>
      </c>
      <c r="G3807" s="11">
        <f>E3807*Summary!$B$6</f>
        <v/>
      </c>
      <c r="H3807" s="11">
        <f>F3807*Summary!$B$7</f>
        <v/>
      </c>
      <c r="I3807" s="11">
        <f>MAX(0,N3807-M3807)</f>
        <v/>
      </c>
      <c r="J3807" s="11">
        <f>MAX(0,M3807-N3807)</f>
        <v/>
      </c>
      <c r="K3807" s="11">
        <f>O3807</f>
        <v/>
      </c>
      <c r="L3807" s="11">
        <f>L3806+IF(K3807&gt;0,K3807*Summary!$B$9,K3807/Summary!$B$9)</f>
        <v/>
      </c>
      <c r="M3807" s="11">
        <f>G3807+H3807</f>
        <v/>
      </c>
      <c r="N3807" s="11">
        <f>Summary!$C$16*Summary!$B$8</f>
        <v/>
      </c>
      <c r="O3807" s="11">
        <f>M3807-N3807</f>
        <v/>
      </c>
    </row>
    <row r="3808">
      <c r="A3808" s="9" t="n">
        <v>45450.58333333334</v>
      </c>
      <c r="B3808" t="n">
        <v>6</v>
      </c>
      <c r="C3808" t="n">
        <v>7</v>
      </c>
      <c r="D3808" t="n">
        <v>14</v>
      </c>
      <c r="E3808" s="10" t="n">
        <v>0.110478</v>
      </c>
      <c r="F3808" s="10" t="n">
        <v>0.2924018621764469</v>
      </c>
      <c r="G3808" s="11">
        <f>E3808*Summary!$B$6</f>
        <v/>
      </c>
      <c r="H3808" s="11">
        <f>F3808*Summary!$B$7</f>
        <v/>
      </c>
      <c r="I3808" s="11">
        <f>MAX(0,N3808-M3808)</f>
        <v/>
      </c>
      <c r="J3808" s="11">
        <f>MAX(0,M3808-N3808)</f>
        <v/>
      </c>
      <c r="K3808" s="11">
        <f>O3808</f>
        <v/>
      </c>
      <c r="L3808" s="11">
        <f>L3807+IF(K3808&gt;0,K3808*Summary!$B$9,K3808/Summary!$B$9)</f>
        <v/>
      </c>
      <c r="M3808" s="11">
        <f>G3808+H3808</f>
        <v/>
      </c>
      <c r="N3808" s="11">
        <f>Summary!$C$16*Summary!$B$8</f>
        <v/>
      </c>
      <c r="O3808" s="11">
        <f>M3808-N3808</f>
        <v/>
      </c>
    </row>
    <row r="3809">
      <c r="A3809" s="9" t="n">
        <v>45450.625</v>
      </c>
      <c r="B3809" t="n">
        <v>6</v>
      </c>
      <c r="C3809" t="n">
        <v>7</v>
      </c>
      <c r="D3809" t="n">
        <v>15</v>
      </c>
      <c r="E3809" s="10" t="n">
        <v>0.188016</v>
      </c>
      <c r="F3809" s="10" t="n">
        <v>0.2868415888419813</v>
      </c>
      <c r="G3809" s="11">
        <f>E3809*Summary!$B$6</f>
        <v/>
      </c>
      <c r="H3809" s="11">
        <f>F3809*Summary!$B$7</f>
        <v/>
      </c>
      <c r="I3809" s="11">
        <f>MAX(0,N3809-M3809)</f>
        <v/>
      </c>
      <c r="J3809" s="11">
        <f>MAX(0,M3809-N3809)</f>
        <v/>
      </c>
      <c r="K3809" s="11">
        <f>O3809</f>
        <v/>
      </c>
      <c r="L3809" s="11">
        <f>L3808+IF(K3809&gt;0,K3809*Summary!$B$9,K3809/Summary!$B$9)</f>
        <v/>
      </c>
      <c r="M3809" s="11">
        <f>G3809+H3809</f>
        <v/>
      </c>
      <c r="N3809" s="11">
        <f>Summary!$C$16*Summary!$B$8</f>
        <v/>
      </c>
      <c r="O3809" s="11">
        <f>M3809-N3809</f>
        <v/>
      </c>
    </row>
    <row r="3810">
      <c r="A3810" s="9" t="n">
        <v>45450.66666666666</v>
      </c>
      <c r="B3810" t="n">
        <v>6</v>
      </c>
      <c r="C3810" t="n">
        <v>7</v>
      </c>
      <c r="D3810" t="n">
        <v>16</v>
      </c>
      <c r="E3810" s="10" t="n">
        <v>0.185603</v>
      </c>
      <c r="F3810" s="10" t="n">
        <v>0.2805434593304302</v>
      </c>
      <c r="G3810" s="11">
        <f>E3810*Summary!$B$6</f>
        <v/>
      </c>
      <c r="H3810" s="11">
        <f>F3810*Summary!$B$7</f>
        <v/>
      </c>
      <c r="I3810" s="11">
        <f>MAX(0,N3810-M3810)</f>
        <v/>
      </c>
      <c r="J3810" s="11">
        <f>MAX(0,M3810-N3810)</f>
        <v/>
      </c>
      <c r="K3810" s="11">
        <f>O3810</f>
        <v/>
      </c>
      <c r="L3810" s="11">
        <f>L3809+IF(K3810&gt;0,K3810*Summary!$B$9,K3810/Summary!$B$9)</f>
        <v/>
      </c>
      <c r="M3810" s="11">
        <f>G3810+H3810</f>
        <v/>
      </c>
      <c r="N3810" s="11">
        <f>Summary!$C$16*Summary!$B$8</f>
        <v/>
      </c>
      <c r="O3810" s="11">
        <f>M3810-N3810</f>
        <v/>
      </c>
    </row>
    <row r="3811">
      <c r="A3811" s="9" t="n">
        <v>45450.70833333334</v>
      </c>
      <c r="B3811" t="n">
        <v>6</v>
      </c>
      <c r="C3811" t="n">
        <v>7</v>
      </c>
      <c r="D3811" t="n">
        <v>17</v>
      </c>
      <c r="E3811" s="10" t="n">
        <v>0.197528</v>
      </c>
      <c r="F3811" s="10" t="n">
        <v>0.2701080648259355</v>
      </c>
      <c r="G3811" s="11">
        <f>E3811*Summary!$B$6</f>
        <v/>
      </c>
      <c r="H3811" s="11">
        <f>F3811*Summary!$B$7</f>
        <v/>
      </c>
      <c r="I3811" s="11">
        <f>MAX(0,N3811-M3811)</f>
        <v/>
      </c>
      <c r="J3811" s="11">
        <f>MAX(0,M3811-N3811)</f>
        <v/>
      </c>
      <c r="K3811" s="11">
        <f>O3811</f>
        <v/>
      </c>
      <c r="L3811" s="11">
        <f>L3810+IF(K3811&gt;0,K3811*Summary!$B$9,K3811/Summary!$B$9)</f>
        <v/>
      </c>
      <c r="M3811" s="11">
        <f>G3811+H3811</f>
        <v/>
      </c>
      <c r="N3811" s="11">
        <f>Summary!$C$16*Summary!$B$8</f>
        <v/>
      </c>
      <c r="O3811" s="11">
        <f>M3811-N3811</f>
        <v/>
      </c>
    </row>
    <row r="3812">
      <c r="A3812" s="9" t="n">
        <v>45450.75</v>
      </c>
      <c r="B3812" t="n">
        <v>6</v>
      </c>
      <c r="C3812" t="n">
        <v>7</v>
      </c>
      <c r="D3812" t="n">
        <v>18</v>
      </c>
      <c r="E3812" s="10" t="n">
        <v>0.095748</v>
      </c>
      <c r="F3812" s="10" t="n">
        <v>0.2336368880728531</v>
      </c>
      <c r="G3812" s="11">
        <f>E3812*Summary!$B$6</f>
        <v/>
      </c>
      <c r="H3812" s="11">
        <f>F3812*Summary!$B$7</f>
        <v/>
      </c>
      <c r="I3812" s="11">
        <f>MAX(0,N3812-M3812)</f>
        <v/>
      </c>
      <c r="J3812" s="11">
        <f>MAX(0,M3812-N3812)</f>
        <v/>
      </c>
      <c r="K3812" s="11">
        <f>O3812</f>
        <v/>
      </c>
      <c r="L3812" s="11">
        <f>L3811+IF(K3812&gt;0,K3812*Summary!$B$9,K3812/Summary!$B$9)</f>
        <v/>
      </c>
      <c r="M3812" s="11">
        <f>G3812+H3812</f>
        <v/>
      </c>
      <c r="N3812" s="11">
        <f>Summary!$C$16*Summary!$B$8</f>
        <v/>
      </c>
      <c r="O3812" s="11">
        <f>M3812-N3812</f>
        <v/>
      </c>
    </row>
    <row r="3813">
      <c r="A3813" s="9" t="n">
        <v>45450.79166666666</v>
      </c>
      <c r="B3813" t="n">
        <v>6</v>
      </c>
      <c r="C3813" t="n">
        <v>7</v>
      </c>
      <c r="D3813" t="n">
        <v>19</v>
      </c>
      <c r="E3813" s="10" t="n">
        <v>0.041457</v>
      </c>
      <c r="F3813" s="10" t="n">
        <v>0.2214886131572671</v>
      </c>
      <c r="G3813" s="11">
        <f>E3813*Summary!$B$6</f>
        <v/>
      </c>
      <c r="H3813" s="11">
        <f>F3813*Summary!$B$7</f>
        <v/>
      </c>
      <c r="I3813" s="11">
        <f>MAX(0,N3813-M3813)</f>
        <v/>
      </c>
      <c r="J3813" s="11">
        <f>MAX(0,M3813-N3813)</f>
        <v/>
      </c>
      <c r="K3813" s="11">
        <f>O3813</f>
        <v/>
      </c>
      <c r="L3813" s="11">
        <f>L3812+IF(K3813&gt;0,K3813*Summary!$B$9,K3813/Summary!$B$9)</f>
        <v/>
      </c>
      <c r="M3813" s="11">
        <f>G3813+H3813</f>
        <v/>
      </c>
      <c r="N3813" s="11">
        <f>Summary!$C$16*Summary!$B$8</f>
        <v/>
      </c>
      <c r="O3813" s="11">
        <f>M3813-N3813</f>
        <v/>
      </c>
    </row>
    <row r="3814">
      <c r="A3814" s="9" t="n">
        <v>45450.83333333334</v>
      </c>
      <c r="B3814" t="n">
        <v>6</v>
      </c>
      <c r="C3814" t="n">
        <v>7</v>
      </c>
      <c r="D3814" t="n">
        <v>20</v>
      </c>
      <c r="E3814" s="10" t="n">
        <v>0.019351</v>
      </c>
      <c r="F3814" s="10" t="n">
        <v>0.2229116214987892</v>
      </c>
      <c r="G3814" s="11">
        <f>E3814*Summary!$B$6</f>
        <v/>
      </c>
      <c r="H3814" s="11">
        <f>F3814*Summary!$B$7</f>
        <v/>
      </c>
      <c r="I3814" s="11">
        <f>MAX(0,N3814-M3814)</f>
        <v/>
      </c>
      <c r="J3814" s="11">
        <f>MAX(0,M3814-N3814)</f>
        <v/>
      </c>
      <c r="K3814" s="11">
        <f>O3814</f>
        <v/>
      </c>
      <c r="L3814" s="11">
        <f>L3813+IF(K3814&gt;0,K3814*Summary!$B$9,K3814/Summary!$B$9)</f>
        <v/>
      </c>
      <c r="M3814" s="11">
        <f>G3814+H3814</f>
        <v/>
      </c>
      <c r="N3814" s="11">
        <f>Summary!$C$16*Summary!$B$8</f>
        <v/>
      </c>
      <c r="O3814" s="11">
        <f>M3814-N3814</f>
        <v/>
      </c>
    </row>
    <row r="3815">
      <c r="A3815" s="9" t="n">
        <v>45450.875</v>
      </c>
      <c r="B3815" t="n">
        <v>6</v>
      </c>
      <c r="C3815" t="n">
        <v>7</v>
      </c>
      <c r="D3815" t="n">
        <v>21</v>
      </c>
      <c r="E3815" s="10" t="n">
        <v>0</v>
      </c>
      <c r="F3815" s="10" t="n">
        <v>0.231713191611166</v>
      </c>
      <c r="G3815" s="11">
        <f>E3815*Summary!$B$6</f>
        <v/>
      </c>
      <c r="H3815" s="11">
        <f>F3815*Summary!$B$7</f>
        <v/>
      </c>
      <c r="I3815" s="11">
        <f>MAX(0,N3815-M3815)</f>
        <v/>
      </c>
      <c r="J3815" s="11">
        <f>MAX(0,M3815-N3815)</f>
        <v/>
      </c>
      <c r="K3815" s="11">
        <f>O3815</f>
        <v/>
      </c>
      <c r="L3815" s="11">
        <f>L3814+IF(K3815&gt;0,K3815*Summary!$B$9,K3815/Summary!$B$9)</f>
        <v/>
      </c>
      <c r="M3815" s="11">
        <f>G3815+H3815</f>
        <v/>
      </c>
      <c r="N3815" s="11">
        <f>Summary!$C$16*Summary!$B$8</f>
        <v/>
      </c>
      <c r="O3815" s="11">
        <f>M3815-N3815</f>
        <v/>
      </c>
    </row>
    <row r="3816">
      <c r="A3816" s="9" t="n">
        <v>45450.91666666666</v>
      </c>
      <c r="B3816" t="n">
        <v>6</v>
      </c>
      <c r="C3816" t="n">
        <v>7</v>
      </c>
      <c r="D3816" t="n">
        <v>22</v>
      </c>
      <c r="E3816" s="10" t="n">
        <v>0</v>
      </c>
      <c r="F3816" s="10" t="n">
        <v>0.248841995722079</v>
      </c>
      <c r="G3816" s="11">
        <f>E3816*Summary!$B$6</f>
        <v/>
      </c>
      <c r="H3816" s="11">
        <f>F3816*Summary!$B$7</f>
        <v/>
      </c>
      <c r="I3816" s="11">
        <f>MAX(0,N3816-M3816)</f>
        <v/>
      </c>
      <c r="J3816" s="11">
        <f>MAX(0,M3816-N3816)</f>
        <v/>
      </c>
      <c r="K3816" s="11">
        <f>O3816</f>
        <v/>
      </c>
      <c r="L3816" s="11">
        <f>L3815+IF(K3816&gt;0,K3816*Summary!$B$9,K3816/Summary!$B$9)</f>
        <v/>
      </c>
      <c r="M3816" s="11">
        <f>G3816+H3816</f>
        <v/>
      </c>
      <c r="N3816" s="11">
        <f>Summary!$C$16*Summary!$B$8</f>
        <v/>
      </c>
      <c r="O3816" s="11">
        <f>M3816-N3816</f>
        <v/>
      </c>
    </row>
    <row r="3817">
      <c r="A3817" s="9" t="n">
        <v>45450.95833333334</v>
      </c>
      <c r="B3817" t="n">
        <v>6</v>
      </c>
      <c r="C3817" t="n">
        <v>7</v>
      </c>
      <c r="D3817" t="n">
        <v>23</v>
      </c>
      <c r="E3817" s="10" t="n">
        <v>0</v>
      </c>
      <c r="F3817" s="10" t="n">
        <v>0.2457324589757902</v>
      </c>
      <c r="G3817" s="11">
        <f>E3817*Summary!$B$6</f>
        <v/>
      </c>
      <c r="H3817" s="11">
        <f>F3817*Summary!$B$7</f>
        <v/>
      </c>
      <c r="I3817" s="11">
        <f>MAX(0,N3817-M3817)</f>
        <v/>
      </c>
      <c r="J3817" s="11">
        <f>MAX(0,M3817-N3817)</f>
        <v/>
      </c>
      <c r="K3817" s="11">
        <f>O3817</f>
        <v/>
      </c>
      <c r="L3817" s="11">
        <f>L3816+IF(K3817&gt;0,K3817*Summary!$B$9,K3817/Summary!$B$9)</f>
        <v/>
      </c>
      <c r="M3817" s="11">
        <f>G3817+H3817</f>
        <v/>
      </c>
      <c r="N3817" s="11">
        <f>Summary!$C$16*Summary!$B$8</f>
        <v/>
      </c>
      <c r="O3817" s="11">
        <f>M3817-N3817</f>
        <v/>
      </c>
    </row>
    <row r="3818">
      <c r="A3818" s="9" t="n">
        <v>45451</v>
      </c>
      <c r="B3818" t="n">
        <v>6</v>
      </c>
      <c r="C3818" t="n">
        <v>8</v>
      </c>
      <c r="D3818" t="n">
        <v>0</v>
      </c>
      <c r="E3818" s="10" t="n">
        <v>0</v>
      </c>
      <c r="F3818" s="10" t="n">
        <v>0.253769820904757</v>
      </c>
      <c r="G3818" s="11">
        <f>E3818*Summary!$B$6</f>
        <v/>
      </c>
      <c r="H3818" s="11">
        <f>F3818*Summary!$B$7</f>
        <v/>
      </c>
      <c r="I3818" s="11">
        <f>MAX(0,N3818-M3818)</f>
        <v/>
      </c>
      <c r="J3818" s="11">
        <f>MAX(0,M3818-N3818)</f>
        <v/>
      </c>
      <c r="K3818" s="11">
        <f>O3818</f>
        <v/>
      </c>
      <c r="L3818" s="11">
        <f>L3817+IF(K3818&gt;0,K3818*Summary!$B$9,K3818/Summary!$B$9)</f>
        <v/>
      </c>
      <c r="M3818" s="11">
        <f>G3818+H3818</f>
        <v/>
      </c>
      <c r="N3818" s="11">
        <f>Summary!$C$16*Summary!$B$8</f>
        <v/>
      </c>
      <c r="O3818" s="11">
        <f>M3818-N3818</f>
        <v/>
      </c>
    </row>
    <row r="3819">
      <c r="A3819" s="9" t="n">
        <v>45451.04166666666</v>
      </c>
      <c r="B3819" t="n">
        <v>6</v>
      </c>
      <c r="C3819" t="n">
        <v>8</v>
      </c>
      <c r="D3819" t="n">
        <v>1</v>
      </c>
      <c r="E3819" s="10" t="n">
        <v>0</v>
      </c>
      <c r="F3819" s="10" t="n">
        <v>0.2029895047174811</v>
      </c>
      <c r="G3819" s="11">
        <f>E3819*Summary!$B$6</f>
        <v/>
      </c>
      <c r="H3819" s="11">
        <f>F3819*Summary!$B$7</f>
        <v/>
      </c>
      <c r="I3819" s="11">
        <f>MAX(0,N3819-M3819)</f>
        <v/>
      </c>
      <c r="J3819" s="11">
        <f>MAX(0,M3819-N3819)</f>
        <v/>
      </c>
      <c r="K3819" s="11">
        <f>O3819</f>
        <v/>
      </c>
      <c r="L3819" s="11">
        <f>L3818+IF(K3819&gt;0,K3819*Summary!$B$9,K3819/Summary!$B$9)</f>
        <v/>
      </c>
      <c r="M3819" s="11">
        <f>G3819+H3819</f>
        <v/>
      </c>
      <c r="N3819" s="11">
        <f>Summary!$C$16*Summary!$B$8</f>
        <v/>
      </c>
      <c r="O3819" s="11">
        <f>M3819-N3819</f>
        <v/>
      </c>
    </row>
    <row r="3820">
      <c r="A3820" s="9" t="n">
        <v>45451.08333333334</v>
      </c>
      <c r="B3820" t="n">
        <v>6</v>
      </c>
      <c r="C3820" t="n">
        <v>8</v>
      </c>
      <c r="D3820" t="n">
        <v>2</v>
      </c>
      <c r="E3820" s="10" t="n">
        <v>0</v>
      </c>
      <c r="F3820" s="10" t="n">
        <v>0.188153325156798</v>
      </c>
      <c r="G3820" s="11">
        <f>E3820*Summary!$B$6</f>
        <v/>
      </c>
      <c r="H3820" s="11">
        <f>F3820*Summary!$B$7</f>
        <v/>
      </c>
      <c r="I3820" s="11">
        <f>MAX(0,N3820-M3820)</f>
        <v/>
      </c>
      <c r="J3820" s="11">
        <f>MAX(0,M3820-N3820)</f>
        <v/>
      </c>
      <c r="K3820" s="11">
        <f>O3820</f>
        <v/>
      </c>
      <c r="L3820" s="11">
        <f>L3819+IF(K3820&gt;0,K3820*Summary!$B$9,K3820/Summary!$B$9)</f>
        <v/>
      </c>
      <c r="M3820" s="11">
        <f>G3820+H3820</f>
        <v/>
      </c>
      <c r="N3820" s="11">
        <f>Summary!$C$16*Summary!$B$8</f>
        <v/>
      </c>
      <c r="O3820" s="11">
        <f>M3820-N3820</f>
        <v/>
      </c>
    </row>
    <row r="3821">
      <c r="A3821" s="9" t="n">
        <v>45451.125</v>
      </c>
      <c r="B3821" t="n">
        <v>6</v>
      </c>
      <c r="C3821" t="n">
        <v>8</v>
      </c>
      <c r="D3821" t="n">
        <v>3</v>
      </c>
      <c r="E3821" s="10" t="n">
        <v>0</v>
      </c>
      <c r="F3821" s="10" t="n">
        <v>0.1750036740008817</v>
      </c>
      <c r="G3821" s="11">
        <f>E3821*Summary!$B$6</f>
        <v/>
      </c>
      <c r="H3821" s="11">
        <f>F3821*Summary!$B$7</f>
        <v/>
      </c>
      <c r="I3821" s="11">
        <f>MAX(0,N3821-M3821)</f>
        <v/>
      </c>
      <c r="J3821" s="11">
        <f>MAX(0,M3821-N3821)</f>
        <v/>
      </c>
      <c r="K3821" s="11">
        <f>O3821</f>
        <v/>
      </c>
      <c r="L3821" s="11">
        <f>L3820+IF(K3821&gt;0,K3821*Summary!$B$9,K3821/Summary!$B$9)</f>
        <v/>
      </c>
      <c r="M3821" s="11">
        <f>G3821+H3821</f>
        <v/>
      </c>
      <c r="N3821" s="11">
        <f>Summary!$C$16*Summary!$B$8</f>
        <v/>
      </c>
      <c r="O3821" s="11">
        <f>M3821-N3821</f>
        <v/>
      </c>
    </row>
    <row r="3822">
      <c r="A3822" s="9" t="n">
        <v>45451.16666666666</v>
      </c>
      <c r="B3822" t="n">
        <v>6</v>
      </c>
      <c r="C3822" t="n">
        <v>8</v>
      </c>
      <c r="D3822" t="n">
        <v>4</v>
      </c>
      <c r="E3822" s="10" t="n">
        <v>0.032186</v>
      </c>
      <c r="F3822" s="10" t="n">
        <v>0.1557140053713613</v>
      </c>
      <c r="G3822" s="11">
        <f>E3822*Summary!$B$6</f>
        <v/>
      </c>
      <c r="H3822" s="11">
        <f>F3822*Summary!$B$7</f>
        <v/>
      </c>
      <c r="I3822" s="11">
        <f>MAX(0,N3822-M3822)</f>
        <v/>
      </c>
      <c r="J3822" s="11">
        <f>MAX(0,M3822-N3822)</f>
        <v/>
      </c>
      <c r="K3822" s="11">
        <f>O3822</f>
        <v/>
      </c>
      <c r="L3822" s="11">
        <f>L3821+IF(K3822&gt;0,K3822*Summary!$B$9,K3822/Summary!$B$9)</f>
        <v/>
      </c>
      <c r="M3822" s="11">
        <f>G3822+H3822</f>
        <v/>
      </c>
      <c r="N3822" s="11">
        <f>Summary!$C$16*Summary!$B$8</f>
        <v/>
      </c>
      <c r="O3822" s="11">
        <f>M3822-N3822</f>
        <v/>
      </c>
    </row>
    <row r="3823">
      <c r="A3823" s="9" t="n">
        <v>45451.20833333334</v>
      </c>
      <c r="B3823" t="n">
        <v>6</v>
      </c>
      <c r="C3823" t="n">
        <v>8</v>
      </c>
      <c r="D3823" t="n">
        <v>5</v>
      </c>
      <c r="E3823" s="10" t="n">
        <v>0.067103</v>
      </c>
      <c r="F3823" s="10" t="n">
        <v>0.1390331853679645</v>
      </c>
      <c r="G3823" s="11">
        <f>E3823*Summary!$B$6</f>
        <v/>
      </c>
      <c r="H3823" s="11">
        <f>F3823*Summary!$B$7</f>
        <v/>
      </c>
      <c r="I3823" s="11">
        <f>MAX(0,N3823-M3823)</f>
        <v/>
      </c>
      <c r="J3823" s="11">
        <f>MAX(0,M3823-N3823)</f>
        <v/>
      </c>
      <c r="K3823" s="11">
        <f>O3823</f>
        <v/>
      </c>
      <c r="L3823" s="11">
        <f>L3822+IF(K3823&gt;0,K3823*Summary!$B$9,K3823/Summary!$B$9)</f>
        <v/>
      </c>
      <c r="M3823" s="11">
        <f>G3823+H3823</f>
        <v/>
      </c>
      <c r="N3823" s="11">
        <f>Summary!$C$16*Summary!$B$8</f>
        <v/>
      </c>
      <c r="O3823" s="11">
        <f>M3823-N3823</f>
        <v/>
      </c>
    </row>
    <row r="3824">
      <c r="A3824" s="9" t="n">
        <v>45451.25</v>
      </c>
      <c r="B3824" t="n">
        <v>6</v>
      </c>
      <c r="C3824" t="n">
        <v>8</v>
      </c>
      <c r="D3824" t="n">
        <v>6</v>
      </c>
      <c r="E3824" s="10" t="n">
        <v>0.074475</v>
      </c>
      <c r="F3824" s="10" t="n">
        <v>0.129045774970986</v>
      </c>
      <c r="G3824" s="11">
        <f>E3824*Summary!$B$6</f>
        <v/>
      </c>
      <c r="H3824" s="11">
        <f>F3824*Summary!$B$7</f>
        <v/>
      </c>
      <c r="I3824" s="11">
        <f>MAX(0,N3824-M3824)</f>
        <v/>
      </c>
      <c r="J3824" s="11">
        <f>MAX(0,M3824-N3824)</f>
        <v/>
      </c>
      <c r="K3824" s="11">
        <f>O3824</f>
        <v/>
      </c>
      <c r="L3824" s="11">
        <f>L3823+IF(K3824&gt;0,K3824*Summary!$B$9,K3824/Summary!$B$9)</f>
        <v/>
      </c>
      <c r="M3824" s="11">
        <f>G3824+H3824</f>
        <v/>
      </c>
      <c r="N3824" s="11">
        <f>Summary!$C$16*Summary!$B$8</f>
        <v/>
      </c>
      <c r="O3824" s="11">
        <f>M3824-N3824</f>
        <v/>
      </c>
    </row>
    <row r="3825">
      <c r="A3825" s="9" t="n">
        <v>45451.29166666666</v>
      </c>
      <c r="B3825" t="n">
        <v>6</v>
      </c>
      <c r="C3825" t="n">
        <v>8</v>
      </c>
      <c r="D3825" t="n">
        <v>7</v>
      </c>
      <c r="E3825" s="10" t="n">
        <v>0.093474</v>
      </c>
      <c r="F3825" s="10" t="n">
        <v>0.1251983820476117</v>
      </c>
      <c r="G3825" s="11">
        <f>E3825*Summary!$B$6</f>
        <v/>
      </c>
      <c r="H3825" s="11">
        <f>F3825*Summary!$B$7</f>
        <v/>
      </c>
      <c r="I3825" s="11">
        <f>MAX(0,N3825-M3825)</f>
        <v/>
      </c>
      <c r="J3825" s="11">
        <f>MAX(0,M3825-N3825)</f>
        <v/>
      </c>
      <c r="K3825" s="11">
        <f>O3825</f>
        <v/>
      </c>
      <c r="L3825" s="11">
        <f>L3824+IF(K3825&gt;0,K3825*Summary!$B$9,K3825/Summary!$B$9)</f>
        <v/>
      </c>
      <c r="M3825" s="11">
        <f>G3825+H3825</f>
        <v/>
      </c>
      <c r="N3825" s="11">
        <f>Summary!$C$16*Summary!$B$8</f>
        <v/>
      </c>
      <c r="O3825" s="11">
        <f>M3825-N3825</f>
        <v/>
      </c>
    </row>
    <row r="3826">
      <c r="A3826" s="9" t="n">
        <v>45451.33333333334</v>
      </c>
      <c r="B3826" t="n">
        <v>6</v>
      </c>
      <c r="C3826" t="n">
        <v>8</v>
      </c>
      <c r="D3826" t="n">
        <v>8</v>
      </c>
      <c r="E3826" s="10" t="n">
        <v>0.151252</v>
      </c>
      <c r="F3826" s="10" t="n">
        <v>0.1272801905472457</v>
      </c>
      <c r="G3826" s="11">
        <f>E3826*Summary!$B$6</f>
        <v/>
      </c>
      <c r="H3826" s="11">
        <f>F3826*Summary!$B$7</f>
        <v/>
      </c>
      <c r="I3826" s="11">
        <f>MAX(0,N3826-M3826)</f>
        <v/>
      </c>
      <c r="J3826" s="11">
        <f>MAX(0,M3826-N3826)</f>
        <v/>
      </c>
      <c r="K3826" s="11">
        <f>O3826</f>
        <v/>
      </c>
      <c r="L3826" s="11">
        <f>L3825+IF(K3826&gt;0,K3826*Summary!$B$9,K3826/Summary!$B$9)</f>
        <v/>
      </c>
      <c r="M3826" s="11">
        <f>G3826+H3826</f>
        <v/>
      </c>
      <c r="N3826" s="11">
        <f>Summary!$C$16*Summary!$B$8</f>
        <v/>
      </c>
      <c r="O3826" s="11">
        <f>M3826-N3826</f>
        <v/>
      </c>
    </row>
    <row r="3827">
      <c r="A3827" s="9" t="n">
        <v>45451.375</v>
      </c>
      <c r="B3827" t="n">
        <v>6</v>
      </c>
      <c r="C3827" t="n">
        <v>8</v>
      </c>
      <c r="D3827" t="n">
        <v>9</v>
      </c>
      <c r="E3827" s="10" t="n">
        <v>0.199431</v>
      </c>
      <c r="F3827" s="10" t="n">
        <v>0.1295201110848267</v>
      </c>
      <c r="G3827" s="11">
        <f>E3827*Summary!$B$6</f>
        <v/>
      </c>
      <c r="H3827" s="11">
        <f>F3827*Summary!$B$7</f>
        <v/>
      </c>
      <c r="I3827" s="11">
        <f>MAX(0,N3827-M3827)</f>
        <v/>
      </c>
      <c r="J3827" s="11">
        <f>MAX(0,M3827-N3827)</f>
        <v/>
      </c>
      <c r="K3827" s="11">
        <f>O3827</f>
        <v/>
      </c>
      <c r="L3827" s="11">
        <f>L3826+IF(K3827&gt;0,K3827*Summary!$B$9,K3827/Summary!$B$9)</f>
        <v/>
      </c>
      <c r="M3827" s="11">
        <f>G3827+H3827</f>
        <v/>
      </c>
      <c r="N3827" s="11">
        <f>Summary!$C$16*Summary!$B$8</f>
        <v/>
      </c>
      <c r="O3827" s="11">
        <f>M3827-N3827</f>
        <v/>
      </c>
    </row>
    <row r="3828">
      <c r="A3828" s="9" t="n">
        <v>45451.41666666666</v>
      </c>
      <c r="B3828" t="n">
        <v>6</v>
      </c>
      <c r="C3828" t="n">
        <v>8</v>
      </c>
      <c r="D3828" t="n">
        <v>10</v>
      </c>
      <c r="E3828" s="10" t="n">
        <v>0.164454</v>
      </c>
      <c r="F3828" s="10" t="n">
        <v>0.1341580641979354</v>
      </c>
      <c r="G3828" s="11">
        <f>E3828*Summary!$B$6</f>
        <v/>
      </c>
      <c r="H3828" s="11">
        <f>F3828*Summary!$B$7</f>
        <v/>
      </c>
      <c r="I3828" s="11">
        <f>MAX(0,N3828-M3828)</f>
        <v/>
      </c>
      <c r="J3828" s="11">
        <f>MAX(0,M3828-N3828)</f>
        <v/>
      </c>
      <c r="K3828" s="11">
        <f>O3828</f>
        <v/>
      </c>
      <c r="L3828" s="11">
        <f>L3827+IF(K3828&gt;0,K3828*Summary!$B$9,K3828/Summary!$B$9)</f>
        <v/>
      </c>
      <c r="M3828" s="11">
        <f>G3828+H3828</f>
        <v/>
      </c>
      <c r="N3828" s="11">
        <f>Summary!$C$16*Summary!$B$8</f>
        <v/>
      </c>
      <c r="O3828" s="11">
        <f>M3828-N3828</f>
        <v/>
      </c>
    </row>
    <row r="3829">
      <c r="A3829" s="9" t="n">
        <v>45451.45833333334</v>
      </c>
      <c r="B3829" t="n">
        <v>6</v>
      </c>
      <c r="C3829" t="n">
        <v>8</v>
      </c>
      <c r="D3829" t="n">
        <v>11</v>
      </c>
      <c r="E3829" s="10" t="n">
        <v>0.20145</v>
      </c>
      <c r="F3829" s="10" t="n">
        <v>0.1504699561127895</v>
      </c>
      <c r="G3829" s="11">
        <f>E3829*Summary!$B$6</f>
        <v/>
      </c>
      <c r="H3829" s="11">
        <f>F3829*Summary!$B$7</f>
        <v/>
      </c>
      <c r="I3829" s="11">
        <f>MAX(0,N3829-M3829)</f>
        <v/>
      </c>
      <c r="J3829" s="11">
        <f>MAX(0,M3829-N3829)</f>
        <v/>
      </c>
      <c r="K3829" s="11">
        <f>O3829</f>
        <v/>
      </c>
      <c r="L3829" s="11">
        <f>L3828+IF(K3829&gt;0,K3829*Summary!$B$9,K3829/Summary!$B$9)</f>
        <v/>
      </c>
      <c r="M3829" s="11">
        <f>G3829+H3829</f>
        <v/>
      </c>
      <c r="N3829" s="11">
        <f>Summary!$C$16*Summary!$B$8</f>
        <v/>
      </c>
      <c r="O3829" s="11">
        <f>M3829-N3829</f>
        <v/>
      </c>
    </row>
    <row r="3830">
      <c r="A3830" s="9" t="n">
        <v>45451.5</v>
      </c>
      <c r="B3830" t="n">
        <v>6</v>
      </c>
      <c r="C3830" t="n">
        <v>8</v>
      </c>
      <c r="D3830" t="n">
        <v>12</v>
      </c>
      <c r="E3830" s="10" t="n">
        <v>0.364164</v>
      </c>
      <c r="F3830" s="10" t="n">
        <v>0.1574268857824526</v>
      </c>
      <c r="G3830" s="11">
        <f>E3830*Summary!$B$6</f>
        <v/>
      </c>
      <c r="H3830" s="11">
        <f>F3830*Summary!$B$7</f>
        <v/>
      </c>
      <c r="I3830" s="11">
        <f>MAX(0,N3830-M3830)</f>
        <v/>
      </c>
      <c r="J3830" s="11">
        <f>MAX(0,M3830-N3830)</f>
        <v/>
      </c>
      <c r="K3830" s="11">
        <f>O3830</f>
        <v/>
      </c>
      <c r="L3830" s="11">
        <f>L3829+IF(K3830&gt;0,K3830*Summary!$B$9,K3830/Summary!$B$9)</f>
        <v/>
      </c>
      <c r="M3830" s="11">
        <f>G3830+H3830</f>
        <v/>
      </c>
      <c r="N3830" s="11">
        <f>Summary!$C$16*Summary!$B$8</f>
        <v/>
      </c>
      <c r="O3830" s="11">
        <f>M3830-N3830</f>
        <v/>
      </c>
    </row>
    <row r="3831">
      <c r="A3831" s="9" t="n">
        <v>45451.54166666666</v>
      </c>
      <c r="B3831" t="n">
        <v>6</v>
      </c>
      <c r="C3831" t="n">
        <v>8</v>
      </c>
      <c r="D3831" t="n">
        <v>13</v>
      </c>
      <c r="E3831" s="10" t="n">
        <v>0.567562</v>
      </c>
      <c r="F3831" s="10" t="n">
        <v>0.1531578607578866</v>
      </c>
      <c r="G3831" s="11">
        <f>E3831*Summary!$B$6</f>
        <v/>
      </c>
      <c r="H3831" s="11">
        <f>F3831*Summary!$B$7</f>
        <v/>
      </c>
      <c r="I3831" s="11">
        <f>MAX(0,N3831-M3831)</f>
        <v/>
      </c>
      <c r="J3831" s="11">
        <f>MAX(0,M3831-N3831)</f>
        <v/>
      </c>
      <c r="K3831" s="11">
        <f>O3831</f>
        <v/>
      </c>
      <c r="L3831" s="11">
        <f>L3830+IF(K3831&gt;0,K3831*Summary!$B$9,K3831/Summary!$B$9)</f>
        <v/>
      </c>
      <c r="M3831" s="11">
        <f>G3831+H3831</f>
        <v/>
      </c>
      <c r="N3831" s="11">
        <f>Summary!$C$16*Summary!$B$8</f>
        <v/>
      </c>
      <c r="O3831" s="11">
        <f>M3831-N3831</f>
        <v/>
      </c>
    </row>
    <row r="3832">
      <c r="A3832" s="9" t="n">
        <v>45451.58333333334</v>
      </c>
      <c r="B3832" t="n">
        <v>6</v>
      </c>
      <c r="C3832" t="n">
        <v>8</v>
      </c>
      <c r="D3832" t="n">
        <v>14</v>
      </c>
      <c r="E3832" s="10" t="n">
        <v>0.665485</v>
      </c>
      <c r="F3832" s="10" t="n">
        <v>0.1603256064781456</v>
      </c>
      <c r="G3832" s="11">
        <f>E3832*Summary!$B$6</f>
        <v/>
      </c>
      <c r="H3832" s="11">
        <f>F3832*Summary!$B$7</f>
        <v/>
      </c>
      <c r="I3832" s="11">
        <f>MAX(0,N3832-M3832)</f>
        <v/>
      </c>
      <c r="J3832" s="11">
        <f>MAX(0,M3832-N3832)</f>
        <v/>
      </c>
      <c r="K3832" s="11">
        <f>O3832</f>
        <v/>
      </c>
      <c r="L3832" s="11">
        <f>L3831+IF(K3832&gt;0,K3832*Summary!$B$9,K3832/Summary!$B$9)</f>
        <v/>
      </c>
      <c r="M3832" s="11">
        <f>G3832+H3832</f>
        <v/>
      </c>
      <c r="N3832" s="11">
        <f>Summary!$C$16*Summary!$B$8</f>
        <v/>
      </c>
      <c r="O3832" s="11">
        <f>M3832-N3832</f>
        <v/>
      </c>
    </row>
    <row r="3833">
      <c r="A3833" s="9" t="n">
        <v>45451.625</v>
      </c>
      <c r="B3833" t="n">
        <v>6</v>
      </c>
      <c r="C3833" t="n">
        <v>8</v>
      </c>
      <c r="D3833" t="n">
        <v>15</v>
      </c>
      <c r="E3833" s="10" t="n">
        <v>0.540138</v>
      </c>
      <c r="F3833" s="10" t="n">
        <v>0.1652270796544991</v>
      </c>
      <c r="G3833" s="11">
        <f>E3833*Summary!$B$6</f>
        <v/>
      </c>
      <c r="H3833" s="11">
        <f>F3833*Summary!$B$7</f>
        <v/>
      </c>
      <c r="I3833" s="11">
        <f>MAX(0,N3833-M3833)</f>
        <v/>
      </c>
      <c r="J3833" s="11">
        <f>MAX(0,M3833-N3833)</f>
        <v/>
      </c>
      <c r="K3833" s="11">
        <f>O3833</f>
        <v/>
      </c>
      <c r="L3833" s="11">
        <f>L3832+IF(K3833&gt;0,K3833*Summary!$B$9,K3833/Summary!$B$9)</f>
        <v/>
      </c>
      <c r="M3833" s="11">
        <f>G3833+H3833</f>
        <v/>
      </c>
      <c r="N3833" s="11">
        <f>Summary!$C$16*Summary!$B$8</f>
        <v/>
      </c>
      <c r="O3833" s="11">
        <f>M3833-N3833</f>
        <v/>
      </c>
    </row>
    <row r="3834">
      <c r="A3834" s="9" t="n">
        <v>45451.66666666666</v>
      </c>
      <c r="B3834" t="n">
        <v>6</v>
      </c>
      <c r="C3834" t="n">
        <v>8</v>
      </c>
      <c r="D3834" t="n">
        <v>16</v>
      </c>
      <c r="E3834" s="10" t="n">
        <v>0.460857</v>
      </c>
      <c r="F3834" s="10" t="n">
        <v>0.1789301229432295</v>
      </c>
      <c r="G3834" s="11">
        <f>E3834*Summary!$B$6</f>
        <v/>
      </c>
      <c r="H3834" s="11">
        <f>F3834*Summary!$B$7</f>
        <v/>
      </c>
      <c r="I3834" s="11">
        <f>MAX(0,N3834-M3834)</f>
        <v/>
      </c>
      <c r="J3834" s="11">
        <f>MAX(0,M3834-N3834)</f>
        <v/>
      </c>
      <c r="K3834" s="11">
        <f>O3834</f>
        <v/>
      </c>
      <c r="L3834" s="11">
        <f>L3833+IF(K3834&gt;0,K3834*Summary!$B$9,K3834/Summary!$B$9)</f>
        <v/>
      </c>
      <c r="M3834" s="11">
        <f>G3834+H3834</f>
        <v/>
      </c>
      <c r="N3834" s="11">
        <f>Summary!$C$16*Summary!$B$8</f>
        <v/>
      </c>
      <c r="O3834" s="11">
        <f>M3834-N3834</f>
        <v/>
      </c>
    </row>
    <row r="3835">
      <c r="A3835" s="9" t="n">
        <v>45451.70833333334</v>
      </c>
      <c r="B3835" t="n">
        <v>6</v>
      </c>
      <c r="C3835" t="n">
        <v>8</v>
      </c>
      <c r="D3835" t="n">
        <v>17</v>
      </c>
      <c r="E3835" s="10" t="n">
        <v>0.262865</v>
      </c>
      <c r="F3835" s="10" t="n">
        <v>0.1781132107471706</v>
      </c>
      <c r="G3835" s="11">
        <f>E3835*Summary!$B$6</f>
        <v/>
      </c>
      <c r="H3835" s="11">
        <f>F3835*Summary!$B$7</f>
        <v/>
      </c>
      <c r="I3835" s="11">
        <f>MAX(0,N3835-M3835)</f>
        <v/>
      </c>
      <c r="J3835" s="11">
        <f>MAX(0,M3835-N3835)</f>
        <v/>
      </c>
      <c r="K3835" s="11">
        <f>O3835</f>
        <v/>
      </c>
      <c r="L3835" s="11">
        <f>L3834+IF(K3835&gt;0,K3835*Summary!$B$9,K3835/Summary!$B$9)</f>
        <v/>
      </c>
      <c r="M3835" s="11">
        <f>G3835+H3835</f>
        <v/>
      </c>
      <c r="N3835" s="11">
        <f>Summary!$C$16*Summary!$B$8</f>
        <v/>
      </c>
      <c r="O3835" s="11">
        <f>M3835-N3835</f>
        <v/>
      </c>
    </row>
    <row r="3836">
      <c r="A3836" s="9" t="n">
        <v>45451.75</v>
      </c>
      <c r="B3836" t="n">
        <v>6</v>
      </c>
      <c r="C3836" t="n">
        <v>8</v>
      </c>
      <c r="D3836" t="n">
        <v>18</v>
      </c>
      <c r="E3836" s="10" t="n">
        <v>0.09175999999999999</v>
      </c>
      <c r="F3836" s="10" t="n">
        <v>0.1790091789622029</v>
      </c>
      <c r="G3836" s="11">
        <f>E3836*Summary!$B$6</f>
        <v/>
      </c>
      <c r="H3836" s="11">
        <f>F3836*Summary!$B$7</f>
        <v/>
      </c>
      <c r="I3836" s="11">
        <f>MAX(0,N3836-M3836)</f>
        <v/>
      </c>
      <c r="J3836" s="11">
        <f>MAX(0,M3836-N3836)</f>
        <v/>
      </c>
      <c r="K3836" s="11">
        <f>O3836</f>
        <v/>
      </c>
      <c r="L3836" s="11">
        <f>L3835+IF(K3836&gt;0,K3836*Summary!$B$9,K3836/Summary!$B$9)</f>
        <v/>
      </c>
      <c r="M3836" s="11">
        <f>G3836+H3836</f>
        <v/>
      </c>
      <c r="N3836" s="11">
        <f>Summary!$C$16*Summary!$B$8</f>
        <v/>
      </c>
      <c r="O3836" s="11">
        <f>M3836-N3836</f>
        <v/>
      </c>
    </row>
    <row r="3837">
      <c r="A3837" s="9" t="n">
        <v>45451.79166666666</v>
      </c>
      <c r="B3837" t="n">
        <v>6</v>
      </c>
      <c r="C3837" t="n">
        <v>8</v>
      </c>
      <c r="D3837" t="n">
        <v>19</v>
      </c>
      <c r="E3837" s="10" t="n">
        <v>0.041288</v>
      </c>
      <c r="F3837" s="10" t="n">
        <v>0.1816443795946511</v>
      </c>
      <c r="G3837" s="11">
        <f>E3837*Summary!$B$6</f>
        <v/>
      </c>
      <c r="H3837" s="11">
        <f>F3837*Summary!$B$7</f>
        <v/>
      </c>
      <c r="I3837" s="11">
        <f>MAX(0,N3837-M3837)</f>
        <v/>
      </c>
      <c r="J3837" s="11">
        <f>MAX(0,M3837-N3837)</f>
        <v/>
      </c>
      <c r="K3837" s="11">
        <f>O3837</f>
        <v/>
      </c>
      <c r="L3837" s="11">
        <f>L3836+IF(K3837&gt;0,K3837*Summary!$B$9,K3837/Summary!$B$9)</f>
        <v/>
      </c>
      <c r="M3837" s="11">
        <f>G3837+H3837</f>
        <v/>
      </c>
      <c r="N3837" s="11">
        <f>Summary!$C$16*Summary!$B$8</f>
        <v/>
      </c>
      <c r="O3837" s="11">
        <f>M3837-N3837</f>
        <v/>
      </c>
    </row>
    <row r="3838">
      <c r="A3838" s="9" t="n">
        <v>45451.83333333334</v>
      </c>
      <c r="B3838" t="n">
        <v>6</v>
      </c>
      <c r="C3838" t="n">
        <v>8</v>
      </c>
      <c r="D3838" t="n">
        <v>20</v>
      </c>
      <c r="E3838" s="10" t="n">
        <v>0.014043</v>
      </c>
      <c r="F3838" s="10" t="n">
        <v>0.1928439822825558</v>
      </c>
      <c r="G3838" s="11">
        <f>E3838*Summary!$B$6</f>
        <v/>
      </c>
      <c r="H3838" s="11">
        <f>F3838*Summary!$B$7</f>
        <v/>
      </c>
      <c r="I3838" s="11">
        <f>MAX(0,N3838-M3838)</f>
        <v/>
      </c>
      <c r="J3838" s="11">
        <f>MAX(0,M3838-N3838)</f>
        <v/>
      </c>
      <c r="K3838" s="11">
        <f>O3838</f>
        <v/>
      </c>
      <c r="L3838" s="11">
        <f>L3837+IF(K3838&gt;0,K3838*Summary!$B$9,K3838/Summary!$B$9)</f>
        <v/>
      </c>
      <c r="M3838" s="11">
        <f>G3838+H3838</f>
        <v/>
      </c>
      <c r="N3838" s="11">
        <f>Summary!$C$16*Summary!$B$8</f>
        <v/>
      </c>
      <c r="O3838" s="11">
        <f>M3838-N3838</f>
        <v/>
      </c>
    </row>
    <row r="3839">
      <c r="A3839" s="9" t="n">
        <v>45451.875</v>
      </c>
      <c r="B3839" t="n">
        <v>6</v>
      </c>
      <c r="C3839" t="n">
        <v>8</v>
      </c>
      <c r="D3839" t="n">
        <v>21</v>
      </c>
      <c r="E3839" s="10" t="n">
        <v>0</v>
      </c>
      <c r="F3839" s="10" t="n">
        <v>0.2071004177041003</v>
      </c>
      <c r="G3839" s="11">
        <f>E3839*Summary!$B$6</f>
        <v/>
      </c>
      <c r="H3839" s="11">
        <f>F3839*Summary!$B$7</f>
        <v/>
      </c>
      <c r="I3839" s="11">
        <f>MAX(0,N3839-M3839)</f>
        <v/>
      </c>
      <c r="J3839" s="11">
        <f>MAX(0,M3839-N3839)</f>
        <v/>
      </c>
      <c r="K3839" s="11">
        <f>O3839</f>
        <v/>
      </c>
      <c r="L3839" s="11">
        <f>L3838+IF(K3839&gt;0,K3839*Summary!$B$9,K3839/Summary!$B$9)</f>
        <v/>
      </c>
      <c r="M3839" s="11">
        <f>G3839+H3839</f>
        <v/>
      </c>
      <c r="N3839" s="11">
        <f>Summary!$C$16*Summary!$B$8</f>
        <v/>
      </c>
      <c r="O3839" s="11">
        <f>M3839-N3839</f>
        <v/>
      </c>
    </row>
    <row r="3840">
      <c r="A3840" s="9" t="n">
        <v>45451.91666666666</v>
      </c>
      <c r="B3840" t="n">
        <v>6</v>
      </c>
      <c r="C3840" t="n">
        <v>8</v>
      </c>
      <c r="D3840" t="n">
        <v>22</v>
      </c>
      <c r="E3840" s="10" t="n">
        <v>0</v>
      </c>
      <c r="F3840" s="10" t="n">
        <v>0.2225953974228954</v>
      </c>
      <c r="G3840" s="11">
        <f>E3840*Summary!$B$6</f>
        <v/>
      </c>
      <c r="H3840" s="11">
        <f>F3840*Summary!$B$7</f>
        <v/>
      </c>
      <c r="I3840" s="11">
        <f>MAX(0,N3840-M3840)</f>
        <v/>
      </c>
      <c r="J3840" s="11">
        <f>MAX(0,M3840-N3840)</f>
        <v/>
      </c>
      <c r="K3840" s="11">
        <f>O3840</f>
        <v/>
      </c>
      <c r="L3840" s="11">
        <f>L3839+IF(K3840&gt;0,K3840*Summary!$B$9,K3840/Summary!$B$9)</f>
        <v/>
      </c>
      <c r="M3840" s="11">
        <f>G3840+H3840</f>
        <v/>
      </c>
      <c r="N3840" s="11">
        <f>Summary!$C$16*Summary!$B$8</f>
        <v/>
      </c>
      <c r="O3840" s="11">
        <f>M3840-N3840</f>
        <v/>
      </c>
    </row>
    <row r="3841">
      <c r="A3841" s="9" t="n">
        <v>45451.95833333334</v>
      </c>
      <c r="B3841" t="n">
        <v>6</v>
      </c>
      <c r="C3841" t="n">
        <v>8</v>
      </c>
      <c r="D3841" t="n">
        <v>23</v>
      </c>
      <c r="E3841" s="10" t="n">
        <v>0</v>
      </c>
      <c r="F3841" s="10" t="n">
        <v>0.2298685511684523</v>
      </c>
      <c r="G3841" s="11">
        <f>E3841*Summary!$B$6</f>
        <v/>
      </c>
      <c r="H3841" s="11">
        <f>F3841*Summary!$B$7</f>
        <v/>
      </c>
      <c r="I3841" s="11">
        <f>MAX(0,N3841-M3841)</f>
        <v/>
      </c>
      <c r="J3841" s="11">
        <f>MAX(0,M3841-N3841)</f>
        <v/>
      </c>
      <c r="K3841" s="11">
        <f>O3841</f>
        <v/>
      </c>
      <c r="L3841" s="11">
        <f>L3840+IF(K3841&gt;0,K3841*Summary!$B$9,K3841/Summary!$B$9)</f>
        <v/>
      </c>
      <c r="M3841" s="11">
        <f>G3841+H3841</f>
        <v/>
      </c>
      <c r="N3841" s="11">
        <f>Summary!$C$16*Summary!$B$8</f>
        <v/>
      </c>
      <c r="O3841" s="11">
        <f>M3841-N3841</f>
        <v/>
      </c>
    </row>
    <row r="3842">
      <c r="A3842" s="9" t="n">
        <v>45452</v>
      </c>
      <c r="B3842" t="n">
        <v>6</v>
      </c>
      <c r="C3842" t="n">
        <v>9</v>
      </c>
      <c r="D3842" t="n">
        <v>0</v>
      </c>
      <c r="E3842" s="10" t="n">
        <v>0</v>
      </c>
      <c r="F3842" s="10" t="n">
        <v>0.2832050119692029</v>
      </c>
      <c r="G3842" s="11">
        <f>E3842*Summary!$B$6</f>
        <v/>
      </c>
      <c r="H3842" s="11">
        <f>F3842*Summary!$B$7</f>
        <v/>
      </c>
      <c r="I3842" s="11">
        <f>MAX(0,N3842-M3842)</f>
        <v/>
      </c>
      <c r="J3842" s="11">
        <f>MAX(0,M3842-N3842)</f>
        <v/>
      </c>
      <c r="K3842" s="11">
        <f>O3842</f>
        <v/>
      </c>
      <c r="L3842" s="11">
        <f>L3841+IF(K3842&gt;0,K3842*Summary!$B$9,K3842/Summary!$B$9)</f>
        <v/>
      </c>
      <c r="M3842" s="11">
        <f>G3842+H3842</f>
        <v/>
      </c>
      <c r="N3842" s="11">
        <f>Summary!$C$16*Summary!$B$8</f>
        <v/>
      </c>
      <c r="O3842" s="11">
        <f>M3842-N3842</f>
        <v/>
      </c>
    </row>
    <row r="3843">
      <c r="A3843" s="9" t="n">
        <v>45452.04166666666</v>
      </c>
      <c r="B3843" t="n">
        <v>6</v>
      </c>
      <c r="C3843" t="n">
        <v>9</v>
      </c>
      <c r="D3843" t="n">
        <v>1</v>
      </c>
      <c r="E3843" s="10" t="n">
        <v>0</v>
      </c>
      <c r="F3843" s="10" t="n">
        <v>0.2376687450404988</v>
      </c>
      <c r="G3843" s="11">
        <f>E3843*Summary!$B$6</f>
        <v/>
      </c>
      <c r="H3843" s="11">
        <f>F3843*Summary!$B$7</f>
        <v/>
      </c>
      <c r="I3843" s="11">
        <f>MAX(0,N3843-M3843)</f>
        <v/>
      </c>
      <c r="J3843" s="11">
        <f>MAX(0,M3843-N3843)</f>
        <v/>
      </c>
      <c r="K3843" s="11">
        <f>O3843</f>
        <v/>
      </c>
      <c r="L3843" s="11">
        <f>L3842+IF(K3843&gt;0,K3843*Summary!$B$9,K3843/Summary!$B$9)</f>
        <v/>
      </c>
      <c r="M3843" s="11">
        <f>G3843+H3843</f>
        <v/>
      </c>
      <c r="N3843" s="11">
        <f>Summary!$C$16*Summary!$B$8</f>
        <v/>
      </c>
      <c r="O3843" s="11">
        <f>M3843-N3843</f>
        <v/>
      </c>
    </row>
    <row r="3844">
      <c r="A3844" s="9" t="n">
        <v>45452.08333333334</v>
      </c>
      <c r="B3844" t="n">
        <v>6</v>
      </c>
      <c r="C3844" t="n">
        <v>9</v>
      </c>
      <c r="D3844" t="n">
        <v>2</v>
      </c>
      <c r="E3844" s="10" t="n">
        <v>0</v>
      </c>
      <c r="F3844" s="10" t="n">
        <v>0.2352970644712954</v>
      </c>
      <c r="G3844" s="11">
        <f>E3844*Summary!$B$6</f>
        <v/>
      </c>
      <c r="H3844" s="11">
        <f>F3844*Summary!$B$7</f>
        <v/>
      </c>
      <c r="I3844" s="11">
        <f>MAX(0,N3844-M3844)</f>
        <v/>
      </c>
      <c r="J3844" s="11">
        <f>MAX(0,M3844-N3844)</f>
        <v/>
      </c>
      <c r="K3844" s="11">
        <f>O3844</f>
        <v/>
      </c>
      <c r="L3844" s="11">
        <f>L3843+IF(K3844&gt;0,K3844*Summary!$B$9,K3844/Summary!$B$9)</f>
        <v/>
      </c>
      <c r="M3844" s="11">
        <f>G3844+H3844</f>
        <v/>
      </c>
      <c r="N3844" s="11">
        <f>Summary!$C$16*Summary!$B$8</f>
        <v/>
      </c>
      <c r="O3844" s="11">
        <f>M3844-N3844</f>
        <v/>
      </c>
    </row>
    <row r="3845">
      <c r="A3845" s="9" t="n">
        <v>45452.125</v>
      </c>
      <c r="B3845" t="n">
        <v>6</v>
      </c>
      <c r="C3845" t="n">
        <v>9</v>
      </c>
      <c r="D3845" t="n">
        <v>3</v>
      </c>
      <c r="E3845" s="10" t="n">
        <v>0</v>
      </c>
      <c r="F3845" s="10" t="n">
        <v>0.230948983427756</v>
      </c>
      <c r="G3845" s="11">
        <f>E3845*Summary!$B$6</f>
        <v/>
      </c>
      <c r="H3845" s="11">
        <f>F3845*Summary!$B$7</f>
        <v/>
      </c>
      <c r="I3845" s="11">
        <f>MAX(0,N3845-M3845)</f>
        <v/>
      </c>
      <c r="J3845" s="11">
        <f>MAX(0,M3845-N3845)</f>
        <v/>
      </c>
      <c r="K3845" s="11">
        <f>O3845</f>
        <v/>
      </c>
      <c r="L3845" s="11">
        <f>L3844+IF(K3845&gt;0,K3845*Summary!$B$9,K3845/Summary!$B$9)</f>
        <v/>
      </c>
      <c r="M3845" s="11">
        <f>G3845+H3845</f>
        <v/>
      </c>
      <c r="N3845" s="11">
        <f>Summary!$C$16*Summary!$B$8</f>
        <v/>
      </c>
      <c r="O3845" s="11">
        <f>M3845-N3845</f>
        <v/>
      </c>
    </row>
    <row r="3846">
      <c r="A3846" s="9" t="n">
        <v>45452.16666666666</v>
      </c>
      <c r="B3846" t="n">
        <v>6</v>
      </c>
      <c r="C3846" t="n">
        <v>9</v>
      </c>
      <c r="D3846" t="n">
        <v>4</v>
      </c>
      <c r="E3846" s="10" t="n">
        <v>0.024521</v>
      </c>
      <c r="F3846" s="10" t="n">
        <v>0.2195385646892555</v>
      </c>
      <c r="G3846" s="11">
        <f>E3846*Summary!$B$6</f>
        <v/>
      </c>
      <c r="H3846" s="11">
        <f>F3846*Summary!$B$7</f>
        <v/>
      </c>
      <c r="I3846" s="11">
        <f>MAX(0,N3846-M3846)</f>
        <v/>
      </c>
      <c r="J3846" s="11">
        <f>MAX(0,M3846-N3846)</f>
        <v/>
      </c>
      <c r="K3846" s="11">
        <f>O3846</f>
        <v/>
      </c>
      <c r="L3846" s="11">
        <f>L3845+IF(K3846&gt;0,K3846*Summary!$B$9,K3846/Summary!$B$9)</f>
        <v/>
      </c>
      <c r="M3846" s="11">
        <f>G3846+H3846</f>
        <v/>
      </c>
      <c r="N3846" s="11">
        <f>Summary!$C$16*Summary!$B$8</f>
        <v/>
      </c>
      <c r="O3846" s="11">
        <f>M3846-N3846</f>
        <v/>
      </c>
    </row>
    <row r="3847">
      <c r="A3847" s="9" t="n">
        <v>45452.20833333334</v>
      </c>
      <c r="B3847" t="n">
        <v>6</v>
      </c>
      <c r="C3847" t="n">
        <v>9</v>
      </c>
      <c r="D3847" t="n">
        <v>5</v>
      </c>
      <c r="E3847" s="10" t="n">
        <v>0.053929</v>
      </c>
      <c r="F3847" s="10" t="n">
        <v>0.2063889135333392</v>
      </c>
      <c r="G3847" s="11">
        <f>E3847*Summary!$B$6</f>
        <v/>
      </c>
      <c r="H3847" s="11">
        <f>F3847*Summary!$B$7</f>
        <v/>
      </c>
      <c r="I3847" s="11">
        <f>MAX(0,N3847-M3847)</f>
        <v/>
      </c>
      <c r="J3847" s="11">
        <f>MAX(0,M3847-N3847)</f>
        <v/>
      </c>
      <c r="K3847" s="11">
        <f>O3847</f>
        <v/>
      </c>
      <c r="L3847" s="11">
        <f>L3846+IF(K3847&gt;0,K3847*Summary!$B$9,K3847/Summary!$B$9)</f>
        <v/>
      </c>
      <c r="M3847" s="11">
        <f>G3847+H3847</f>
        <v/>
      </c>
      <c r="N3847" s="11">
        <f>Summary!$C$16*Summary!$B$8</f>
        <v/>
      </c>
      <c r="O3847" s="11">
        <f>M3847-N3847</f>
        <v/>
      </c>
    </row>
    <row r="3848">
      <c r="A3848" s="9" t="n">
        <v>45452.25</v>
      </c>
      <c r="B3848" t="n">
        <v>6</v>
      </c>
      <c r="C3848" t="n">
        <v>9</v>
      </c>
      <c r="D3848" t="n">
        <v>6</v>
      </c>
      <c r="E3848" s="10" t="n">
        <v>0.111343</v>
      </c>
      <c r="F3848" s="10" t="n">
        <v>0.1960062230414935</v>
      </c>
      <c r="G3848" s="11">
        <f>E3848*Summary!$B$6</f>
        <v/>
      </c>
      <c r="H3848" s="11">
        <f>F3848*Summary!$B$7</f>
        <v/>
      </c>
      <c r="I3848" s="11">
        <f>MAX(0,N3848-M3848)</f>
        <v/>
      </c>
      <c r="J3848" s="11">
        <f>MAX(0,M3848-N3848)</f>
        <v/>
      </c>
      <c r="K3848" s="11">
        <f>O3848</f>
        <v/>
      </c>
      <c r="L3848" s="11">
        <f>L3847+IF(K3848&gt;0,K3848*Summary!$B$9,K3848/Summary!$B$9)</f>
        <v/>
      </c>
      <c r="M3848" s="11">
        <f>G3848+H3848</f>
        <v/>
      </c>
      <c r="N3848" s="11">
        <f>Summary!$C$16*Summary!$B$8</f>
        <v/>
      </c>
      <c r="O3848" s="11">
        <f>M3848-N3848</f>
        <v/>
      </c>
    </row>
    <row r="3849">
      <c r="A3849" s="9" t="n">
        <v>45452.29166666666</v>
      </c>
      <c r="B3849" t="n">
        <v>6</v>
      </c>
      <c r="C3849" t="n">
        <v>9</v>
      </c>
      <c r="D3849" t="n">
        <v>7</v>
      </c>
      <c r="E3849" s="10" t="n">
        <v>0.306484</v>
      </c>
      <c r="F3849" s="10" t="n">
        <v>0.1886276612706387</v>
      </c>
      <c r="G3849" s="11">
        <f>E3849*Summary!$B$6</f>
        <v/>
      </c>
      <c r="H3849" s="11">
        <f>F3849*Summary!$B$7</f>
        <v/>
      </c>
      <c r="I3849" s="11">
        <f>MAX(0,N3849-M3849)</f>
        <v/>
      </c>
      <c r="J3849" s="11">
        <f>MAX(0,M3849-N3849)</f>
        <v/>
      </c>
      <c r="K3849" s="11">
        <f>O3849</f>
        <v/>
      </c>
      <c r="L3849" s="11">
        <f>L3848+IF(K3849&gt;0,K3849*Summary!$B$9,K3849/Summary!$B$9)</f>
        <v/>
      </c>
      <c r="M3849" s="11">
        <f>G3849+H3849</f>
        <v/>
      </c>
      <c r="N3849" s="11">
        <f>Summary!$C$16*Summary!$B$8</f>
        <v/>
      </c>
      <c r="O3849" s="11">
        <f>M3849-N3849</f>
        <v/>
      </c>
    </row>
    <row r="3850">
      <c r="A3850" s="9" t="n">
        <v>45452.33333333334</v>
      </c>
      <c r="B3850" t="n">
        <v>6</v>
      </c>
      <c r="C3850" t="n">
        <v>9</v>
      </c>
      <c r="D3850" t="n">
        <v>8</v>
      </c>
      <c r="E3850" s="10" t="n">
        <v>0.586425</v>
      </c>
      <c r="F3850" s="10" t="n">
        <v>0.1871783009227922</v>
      </c>
      <c r="G3850" s="11">
        <f>E3850*Summary!$B$6</f>
        <v/>
      </c>
      <c r="H3850" s="11">
        <f>F3850*Summary!$B$7</f>
        <v/>
      </c>
      <c r="I3850" s="11">
        <f>MAX(0,N3850-M3850)</f>
        <v/>
      </c>
      <c r="J3850" s="11">
        <f>MAX(0,M3850-N3850)</f>
        <v/>
      </c>
      <c r="K3850" s="11">
        <f>O3850</f>
        <v/>
      </c>
      <c r="L3850" s="11">
        <f>L3849+IF(K3850&gt;0,K3850*Summary!$B$9,K3850/Summary!$B$9)</f>
        <v/>
      </c>
      <c r="M3850" s="11">
        <f>G3850+H3850</f>
        <v/>
      </c>
      <c r="N3850" s="11">
        <f>Summary!$C$16*Summary!$B$8</f>
        <v/>
      </c>
      <c r="O3850" s="11">
        <f>M3850-N3850</f>
        <v/>
      </c>
    </row>
    <row r="3851">
      <c r="A3851" s="9" t="n">
        <v>45452.375</v>
      </c>
      <c r="B3851" t="n">
        <v>6</v>
      </c>
      <c r="C3851" t="n">
        <v>9</v>
      </c>
      <c r="D3851" t="n">
        <v>9</v>
      </c>
      <c r="E3851" s="10" t="n">
        <v>0.727701</v>
      </c>
      <c r="F3851" s="10" t="n">
        <v>0.1895236294856711</v>
      </c>
      <c r="G3851" s="11">
        <f>E3851*Summary!$B$6</f>
        <v/>
      </c>
      <c r="H3851" s="11">
        <f>F3851*Summary!$B$7</f>
        <v/>
      </c>
      <c r="I3851" s="11">
        <f>MAX(0,N3851-M3851)</f>
        <v/>
      </c>
      <c r="J3851" s="11">
        <f>MAX(0,M3851-N3851)</f>
        <v/>
      </c>
      <c r="K3851" s="11">
        <f>O3851</f>
        <v/>
      </c>
      <c r="L3851" s="11">
        <f>L3850+IF(K3851&gt;0,K3851*Summary!$B$9,K3851/Summary!$B$9)</f>
        <v/>
      </c>
      <c r="M3851" s="11">
        <f>G3851+H3851</f>
        <v/>
      </c>
      <c r="N3851" s="11">
        <f>Summary!$C$16*Summary!$B$8</f>
        <v/>
      </c>
      <c r="O3851" s="11">
        <f>M3851-N3851</f>
        <v/>
      </c>
    </row>
    <row r="3852">
      <c r="A3852" s="9" t="n">
        <v>45452.41666666666</v>
      </c>
      <c r="B3852" t="n">
        <v>6</v>
      </c>
      <c r="C3852" t="n">
        <v>9</v>
      </c>
      <c r="D3852" t="n">
        <v>10</v>
      </c>
      <c r="E3852" s="10" t="n">
        <v>0.754058</v>
      </c>
      <c r="F3852" s="10" t="n">
        <v>0.1999853759964902</v>
      </c>
      <c r="G3852" s="11">
        <f>E3852*Summary!$B$6</f>
        <v/>
      </c>
      <c r="H3852" s="11">
        <f>F3852*Summary!$B$7</f>
        <v/>
      </c>
      <c r="I3852" s="11">
        <f>MAX(0,N3852-M3852)</f>
        <v/>
      </c>
      <c r="J3852" s="11">
        <f>MAX(0,M3852-N3852)</f>
        <v/>
      </c>
      <c r="K3852" s="11">
        <f>O3852</f>
        <v/>
      </c>
      <c r="L3852" s="11">
        <f>L3851+IF(K3852&gt;0,K3852*Summary!$B$9,K3852/Summary!$B$9)</f>
        <v/>
      </c>
      <c r="M3852" s="11">
        <f>G3852+H3852</f>
        <v/>
      </c>
      <c r="N3852" s="11">
        <f>Summary!$C$16*Summary!$B$8</f>
        <v/>
      </c>
      <c r="O3852" s="11">
        <f>M3852-N3852</f>
        <v/>
      </c>
    </row>
    <row r="3853">
      <c r="A3853" s="9" t="n">
        <v>45452.45833333334</v>
      </c>
      <c r="B3853" t="n">
        <v>6</v>
      </c>
      <c r="C3853" t="n">
        <v>9</v>
      </c>
      <c r="D3853" t="n">
        <v>11</v>
      </c>
      <c r="E3853" s="10" t="n">
        <v>0.754058</v>
      </c>
      <c r="F3853" s="10" t="n">
        <v>0.2084707220329733</v>
      </c>
      <c r="G3853" s="11">
        <f>E3853*Summary!$B$6</f>
        <v/>
      </c>
      <c r="H3853" s="11">
        <f>F3853*Summary!$B$7</f>
        <v/>
      </c>
      <c r="I3853" s="11">
        <f>MAX(0,N3853-M3853)</f>
        <v/>
      </c>
      <c r="J3853" s="11">
        <f>MAX(0,M3853-N3853)</f>
        <v/>
      </c>
      <c r="K3853" s="11">
        <f>O3853</f>
        <v/>
      </c>
      <c r="L3853" s="11">
        <f>L3852+IF(K3853&gt;0,K3853*Summary!$B$9,K3853/Summary!$B$9)</f>
        <v/>
      </c>
      <c r="M3853" s="11">
        <f>G3853+H3853</f>
        <v/>
      </c>
      <c r="N3853" s="11">
        <f>Summary!$C$16*Summary!$B$8</f>
        <v/>
      </c>
      <c r="O3853" s="11">
        <f>M3853-N3853</f>
        <v/>
      </c>
    </row>
    <row r="3854">
      <c r="A3854" s="9" t="n">
        <v>45452.5</v>
      </c>
      <c r="B3854" t="n">
        <v>6</v>
      </c>
      <c r="C3854" t="n">
        <v>9</v>
      </c>
      <c r="D3854" t="n">
        <v>12</v>
      </c>
      <c r="E3854" s="10" t="n">
        <v>0.754058</v>
      </c>
      <c r="F3854" s="10" t="n">
        <v>0.2065733775776106</v>
      </c>
      <c r="G3854" s="11">
        <f>E3854*Summary!$B$6</f>
        <v/>
      </c>
      <c r="H3854" s="11">
        <f>F3854*Summary!$B$7</f>
        <v/>
      </c>
      <c r="I3854" s="11">
        <f>MAX(0,N3854-M3854)</f>
        <v/>
      </c>
      <c r="J3854" s="11">
        <f>MAX(0,M3854-N3854)</f>
        <v/>
      </c>
      <c r="K3854" s="11">
        <f>O3854</f>
        <v/>
      </c>
      <c r="L3854" s="11">
        <f>L3853+IF(K3854&gt;0,K3854*Summary!$B$9,K3854/Summary!$B$9)</f>
        <v/>
      </c>
      <c r="M3854" s="11">
        <f>G3854+H3854</f>
        <v/>
      </c>
      <c r="N3854" s="11">
        <f>Summary!$C$16*Summary!$B$8</f>
        <v/>
      </c>
      <c r="O3854" s="11">
        <f>M3854-N3854</f>
        <v/>
      </c>
    </row>
    <row r="3855">
      <c r="A3855" s="9" t="n">
        <v>45452.54166666666</v>
      </c>
      <c r="B3855" t="n">
        <v>6</v>
      </c>
      <c r="C3855" t="n">
        <v>9</v>
      </c>
      <c r="D3855" t="n">
        <v>13</v>
      </c>
      <c r="E3855" s="10" t="n">
        <v>0.754058</v>
      </c>
      <c r="F3855" s="10" t="n">
        <v>0.2156911717658812</v>
      </c>
      <c r="G3855" s="11">
        <f>E3855*Summary!$B$6</f>
        <v/>
      </c>
      <c r="H3855" s="11">
        <f>F3855*Summary!$B$7</f>
        <v/>
      </c>
      <c r="I3855" s="11">
        <f>MAX(0,N3855-M3855)</f>
        <v/>
      </c>
      <c r="J3855" s="11">
        <f>MAX(0,M3855-N3855)</f>
        <v/>
      </c>
      <c r="K3855" s="11">
        <f>O3855</f>
        <v/>
      </c>
      <c r="L3855" s="11">
        <f>L3854+IF(K3855&gt;0,K3855*Summary!$B$9,K3855/Summary!$B$9)</f>
        <v/>
      </c>
      <c r="M3855" s="11">
        <f>G3855+H3855</f>
        <v/>
      </c>
      <c r="N3855" s="11">
        <f>Summary!$C$16*Summary!$B$8</f>
        <v/>
      </c>
      <c r="O3855" s="11">
        <f>M3855-N3855</f>
        <v/>
      </c>
    </row>
    <row r="3856">
      <c r="A3856" s="9" t="n">
        <v>45452.58333333334</v>
      </c>
      <c r="B3856" t="n">
        <v>6</v>
      </c>
      <c r="C3856" t="n">
        <v>9</v>
      </c>
      <c r="D3856" t="n">
        <v>14</v>
      </c>
      <c r="E3856" s="10" t="n">
        <v>0.754058</v>
      </c>
      <c r="F3856" s="10" t="n">
        <v>0.2236758296821991</v>
      </c>
      <c r="G3856" s="11">
        <f>E3856*Summary!$B$6</f>
        <v/>
      </c>
      <c r="H3856" s="11">
        <f>F3856*Summary!$B$7</f>
        <v/>
      </c>
      <c r="I3856" s="11">
        <f>MAX(0,N3856-M3856)</f>
        <v/>
      </c>
      <c r="J3856" s="11">
        <f>MAX(0,M3856-N3856)</f>
        <v/>
      </c>
      <c r="K3856" s="11">
        <f>O3856</f>
        <v/>
      </c>
      <c r="L3856" s="11">
        <f>L3855+IF(K3856&gt;0,K3856*Summary!$B$9,K3856/Summary!$B$9)</f>
        <v/>
      </c>
      <c r="M3856" s="11">
        <f>G3856+H3856</f>
        <v/>
      </c>
      <c r="N3856" s="11">
        <f>Summary!$C$16*Summary!$B$8</f>
        <v/>
      </c>
      <c r="O3856" s="11">
        <f>M3856-N3856</f>
        <v/>
      </c>
    </row>
    <row r="3857">
      <c r="A3857" s="9" t="n">
        <v>45452.625</v>
      </c>
      <c r="B3857" t="n">
        <v>6</v>
      </c>
      <c r="C3857" t="n">
        <v>9</v>
      </c>
      <c r="D3857" t="n">
        <v>15</v>
      </c>
      <c r="E3857" s="10" t="n">
        <v>0.488723</v>
      </c>
      <c r="F3857" s="10" t="n">
        <v>0.2409890978373835</v>
      </c>
      <c r="G3857" s="11">
        <f>E3857*Summary!$B$6</f>
        <v/>
      </c>
      <c r="H3857" s="11">
        <f>F3857*Summary!$B$7</f>
        <v/>
      </c>
      <c r="I3857" s="11">
        <f>MAX(0,N3857-M3857)</f>
        <v/>
      </c>
      <c r="J3857" s="11">
        <f>MAX(0,M3857-N3857)</f>
        <v/>
      </c>
      <c r="K3857" s="11">
        <f>O3857</f>
        <v/>
      </c>
      <c r="L3857" s="11">
        <f>L3856+IF(K3857&gt;0,K3857*Summary!$B$9,K3857/Summary!$B$9)</f>
        <v/>
      </c>
      <c r="M3857" s="11">
        <f>G3857+H3857</f>
        <v/>
      </c>
      <c r="N3857" s="11">
        <f>Summary!$C$16*Summary!$B$8</f>
        <v/>
      </c>
      <c r="O3857" s="11">
        <f>M3857-N3857</f>
        <v/>
      </c>
    </row>
    <row r="3858">
      <c r="A3858" s="9" t="n">
        <v>45452.66666666666</v>
      </c>
      <c r="B3858" t="n">
        <v>6</v>
      </c>
      <c r="C3858" t="n">
        <v>9</v>
      </c>
      <c r="D3858" t="n">
        <v>16</v>
      </c>
      <c r="E3858" s="10" t="n">
        <v>0.396727</v>
      </c>
      <c r="F3858" s="10" t="n">
        <v>0.2476561554374773</v>
      </c>
      <c r="G3858" s="11">
        <f>E3858*Summary!$B$6</f>
        <v/>
      </c>
      <c r="H3858" s="11">
        <f>F3858*Summary!$B$7</f>
        <v/>
      </c>
      <c r="I3858" s="11">
        <f>MAX(0,N3858-M3858)</f>
        <v/>
      </c>
      <c r="J3858" s="11">
        <f>MAX(0,M3858-N3858)</f>
        <v/>
      </c>
      <c r="K3858" s="11">
        <f>O3858</f>
        <v/>
      </c>
      <c r="L3858" s="11">
        <f>L3857+IF(K3858&gt;0,K3858*Summary!$B$9,K3858/Summary!$B$9)</f>
        <v/>
      </c>
      <c r="M3858" s="11">
        <f>G3858+H3858</f>
        <v/>
      </c>
      <c r="N3858" s="11">
        <f>Summary!$C$16*Summary!$B$8</f>
        <v/>
      </c>
      <c r="O3858" s="11">
        <f>M3858-N3858</f>
        <v/>
      </c>
    </row>
    <row r="3859">
      <c r="A3859" s="9" t="n">
        <v>45452.70833333334</v>
      </c>
      <c r="B3859" t="n">
        <v>6</v>
      </c>
      <c r="C3859" t="n">
        <v>9</v>
      </c>
      <c r="D3859" t="n">
        <v>17</v>
      </c>
      <c r="E3859" s="10" t="n">
        <v>0.265951</v>
      </c>
      <c r="F3859" s="10" t="n">
        <v>0.2439668745520499</v>
      </c>
      <c r="G3859" s="11">
        <f>E3859*Summary!$B$6</f>
        <v/>
      </c>
      <c r="H3859" s="11">
        <f>F3859*Summary!$B$7</f>
        <v/>
      </c>
      <c r="I3859" s="11">
        <f>MAX(0,N3859-M3859)</f>
        <v/>
      </c>
      <c r="J3859" s="11">
        <f>MAX(0,M3859-N3859)</f>
        <v/>
      </c>
      <c r="K3859" s="11">
        <f>O3859</f>
        <v/>
      </c>
      <c r="L3859" s="11">
        <f>L3858+IF(K3859&gt;0,K3859*Summary!$B$9,K3859/Summary!$B$9)</f>
        <v/>
      </c>
      <c r="M3859" s="11">
        <f>G3859+H3859</f>
        <v/>
      </c>
      <c r="N3859" s="11">
        <f>Summary!$C$16*Summary!$B$8</f>
        <v/>
      </c>
      <c r="O3859" s="11">
        <f>M3859-N3859</f>
        <v/>
      </c>
    </row>
    <row r="3860">
      <c r="A3860" s="9" t="n">
        <v>45452.75</v>
      </c>
      <c r="B3860" t="n">
        <v>6</v>
      </c>
      <c r="C3860" t="n">
        <v>9</v>
      </c>
      <c r="D3860" t="n">
        <v>18</v>
      </c>
      <c r="E3860" s="10" t="n">
        <v>0.09038300000000001</v>
      </c>
      <c r="F3860" s="10" t="n">
        <v>0.2425702182168524</v>
      </c>
      <c r="G3860" s="11">
        <f>E3860*Summary!$B$6</f>
        <v/>
      </c>
      <c r="H3860" s="11">
        <f>F3860*Summary!$B$7</f>
        <v/>
      </c>
      <c r="I3860" s="11">
        <f>MAX(0,N3860-M3860)</f>
        <v/>
      </c>
      <c r="J3860" s="11">
        <f>MAX(0,M3860-N3860)</f>
        <v/>
      </c>
      <c r="K3860" s="11">
        <f>O3860</f>
        <v/>
      </c>
      <c r="L3860" s="11">
        <f>L3859+IF(K3860&gt;0,K3860*Summary!$B$9,K3860/Summary!$B$9)</f>
        <v/>
      </c>
      <c r="M3860" s="11">
        <f>G3860+H3860</f>
        <v/>
      </c>
      <c r="N3860" s="11">
        <f>Summary!$C$16*Summary!$B$8</f>
        <v/>
      </c>
      <c r="O3860" s="11">
        <f>M3860-N3860</f>
        <v/>
      </c>
    </row>
    <row r="3861">
      <c r="A3861" s="9" t="n">
        <v>45452.79166666666</v>
      </c>
      <c r="B3861" t="n">
        <v>6</v>
      </c>
      <c r="C3861" t="n">
        <v>9</v>
      </c>
      <c r="D3861" t="n">
        <v>19</v>
      </c>
      <c r="E3861" s="10" t="n">
        <v>0.038844</v>
      </c>
      <c r="F3861" s="10" t="n">
        <v>0.2398296095591063</v>
      </c>
      <c r="G3861" s="11">
        <f>E3861*Summary!$B$6</f>
        <v/>
      </c>
      <c r="H3861" s="11">
        <f>F3861*Summary!$B$7</f>
        <v/>
      </c>
      <c r="I3861" s="11">
        <f>MAX(0,N3861-M3861)</f>
        <v/>
      </c>
      <c r="J3861" s="11">
        <f>MAX(0,M3861-N3861)</f>
        <v/>
      </c>
      <c r="K3861" s="11">
        <f>O3861</f>
        <v/>
      </c>
      <c r="L3861" s="11">
        <f>L3860+IF(K3861&gt;0,K3861*Summary!$B$9,K3861/Summary!$B$9)</f>
        <v/>
      </c>
      <c r="M3861" s="11">
        <f>G3861+H3861</f>
        <v/>
      </c>
      <c r="N3861" s="11">
        <f>Summary!$C$16*Summary!$B$8</f>
        <v/>
      </c>
      <c r="O3861" s="11">
        <f>M3861-N3861</f>
        <v/>
      </c>
    </row>
    <row r="3862">
      <c r="A3862" s="9" t="n">
        <v>45452.83333333334</v>
      </c>
      <c r="B3862" t="n">
        <v>6</v>
      </c>
      <c r="C3862" t="n">
        <v>9</v>
      </c>
      <c r="D3862" t="n">
        <v>20</v>
      </c>
      <c r="E3862" s="10" t="n">
        <v>0.023291</v>
      </c>
      <c r="F3862" s="10" t="n">
        <v>0.2560360934486624</v>
      </c>
      <c r="G3862" s="11">
        <f>E3862*Summary!$B$6</f>
        <v/>
      </c>
      <c r="H3862" s="11">
        <f>F3862*Summary!$B$7</f>
        <v/>
      </c>
      <c r="I3862" s="11">
        <f>MAX(0,N3862-M3862)</f>
        <v/>
      </c>
      <c r="J3862" s="11">
        <f>MAX(0,M3862-N3862)</f>
        <v/>
      </c>
      <c r="K3862" s="11">
        <f>O3862</f>
        <v/>
      </c>
      <c r="L3862" s="11">
        <f>L3861+IF(K3862&gt;0,K3862*Summary!$B$9,K3862/Summary!$B$9)</f>
        <v/>
      </c>
      <c r="M3862" s="11">
        <f>G3862+H3862</f>
        <v/>
      </c>
      <c r="N3862" s="11">
        <f>Summary!$C$16*Summary!$B$8</f>
        <v/>
      </c>
      <c r="O3862" s="11">
        <f>M3862-N3862</f>
        <v/>
      </c>
    </row>
    <row r="3863">
      <c r="A3863" s="9" t="n">
        <v>45452.875</v>
      </c>
      <c r="B3863" t="n">
        <v>6</v>
      </c>
      <c r="C3863" t="n">
        <v>9</v>
      </c>
      <c r="D3863" t="n">
        <v>21</v>
      </c>
      <c r="E3863" s="10" t="n">
        <v>0</v>
      </c>
      <c r="F3863" s="10" t="n">
        <v>0.2760109142426194</v>
      </c>
      <c r="G3863" s="11">
        <f>E3863*Summary!$B$6</f>
        <v/>
      </c>
      <c r="H3863" s="11">
        <f>F3863*Summary!$B$7</f>
        <v/>
      </c>
      <c r="I3863" s="11">
        <f>MAX(0,N3863-M3863)</f>
        <v/>
      </c>
      <c r="J3863" s="11">
        <f>MAX(0,M3863-N3863)</f>
        <v/>
      </c>
      <c r="K3863" s="11">
        <f>O3863</f>
        <v/>
      </c>
      <c r="L3863" s="11">
        <f>L3862+IF(K3863&gt;0,K3863*Summary!$B$9,K3863/Summary!$B$9)</f>
        <v/>
      </c>
      <c r="M3863" s="11">
        <f>G3863+H3863</f>
        <v/>
      </c>
      <c r="N3863" s="11">
        <f>Summary!$C$16*Summary!$B$8</f>
        <v/>
      </c>
      <c r="O3863" s="11">
        <f>M3863-N3863</f>
        <v/>
      </c>
    </row>
    <row r="3864">
      <c r="A3864" s="9" t="n">
        <v>45452.91666666666</v>
      </c>
      <c r="B3864" t="n">
        <v>6</v>
      </c>
      <c r="C3864" t="n">
        <v>9</v>
      </c>
      <c r="D3864" t="n">
        <v>22</v>
      </c>
      <c r="E3864" s="10" t="n">
        <v>0</v>
      </c>
      <c r="F3864" s="10" t="n">
        <v>0.2812549635011912</v>
      </c>
      <c r="G3864" s="11">
        <f>E3864*Summary!$B$6</f>
        <v/>
      </c>
      <c r="H3864" s="11">
        <f>F3864*Summary!$B$7</f>
        <v/>
      </c>
      <c r="I3864" s="11">
        <f>MAX(0,N3864-M3864)</f>
        <v/>
      </c>
      <c r="J3864" s="11">
        <f>MAX(0,M3864-N3864)</f>
        <v/>
      </c>
      <c r="K3864" s="11">
        <f>O3864</f>
        <v/>
      </c>
      <c r="L3864" s="11">
        <f>L3863+IF(K3864&gt;0,K3864*Summary!$B$9,K3864/Summary!$B$9)</f>
        <v/>
      </c>
      <c r="M3864" s="11">
        <f>G3864+H3864</f>
        <v/>
      </c>
      <c r="N3864" s="11">
        <f>Summary!$C$16*Summary!$B$8</f>
        <v/>
      </c>
      <c r="O3864" s="11">
        <f>M3864-N3864</f>
        <v/>
      </c>
    </row>
    <row r="3865">
      <c r="A3865" s="9" t="n">
        <v>45452.95833333334</v>
      </c>
      <c r="B3865" t="n">
        <v>6</v>
      </c>
      <c r="C3865" t="n">
        <v>9</v>
      </c>
      <c r="D3865" t="n">
        <v>23</v>
      </c>
      <c r="E3865" s="10" t="n">
        <v>0</v>
      </c>
      <c r="F3865" s="10" t="n">
        <v>0.2817820036276809</v>
      </c>
      <c r="G3865" s="11">
        <f>E3865*Summary!$B$6</f>
        <v/>
      </c>
      <c r="H3865" s="11">
        <f>F3865*Summary!$B$7</f>
        <v/>
      </c>
      <c r="I3865" s="11">
        <f>MAX(0,N3865-M3865)</f>
        <v/>
      </c>
      <c r="J3865" s="11">
        <f>MAX(0,M3865-N3865)</f>
        <v/>
      </c>
      <c r="K3865" s="11">
        <f>O3865</f>
        <v/>
      </c>
      <c r="L3865" s="11">
        <f>L3864+IF(K3865&gt;0,K3865*Summary!$B$9,K3865/Summary!$B$9)</f>
        <v/>
      </c>
      <c r="M3865" s="11">
        <f>G3865+H3865</f>
        <v/>
      </c>
      <c r="N3865" s="11">
        <f>Summary!$C$16*Summary!$B$8</f>
        <v/>
      </c>
      <c r="O3865" s="11">
        <f>M3865-N3865</f>
        <v/>
      </c>
    </row>
    <row r="3866">
      <c r="A3866" s="9" t="n">
        <v>45453</v>
      </c>
      <c r="B3866" t="n">
        <v>6</v>
      </c>
      <c r="C3866" t="n">
        <v>10</v>
      </c>
      <c r="D3866" t="n">
        <v>0</v>
      </c>
      <c r="E3866" s="10" t="n">
        <v>0</v>
      </c>
      <c r="F3866" s="10" t="n">
        <v>0.241621545989171</v>
      </c>
      <c r="G3866" s="11">
        <f>E3866*Summary!$B$6</f>
        <v/>
      </c>
      <c r="H3866" s="11">
        <f>F3866*Summary!$B$7</f>
        <v/>
      </c>
      <c r="I3866" s="11">
        <f>MAX(0,N3866-M3866)</f>
        <v/>
      </c>
      <c r="J3866" s="11">
        <f>MAX(0,M3866-N3866)</f>
        <v/>
      </c>
      <c r="K3866" s="11">
        <f>O3866</f>
        <v/>
      </c>
      <c r="L3866" s="11">
        <f>L3865+IF(K3866&gt;0,K3866*Summary!$B$9,K3866/Summary!$B$9)</f>
        <v/>
      </c>
      <c r="M3866" s="11">
        <f>G3866+H3866</f>
        <v/>
      </c>
      <c r="N3866" s="11">
        <f>Summary!$C$16*Summary!$B$8</f>
        <v/>
      </c>
      <c r="O3866" s="11">
        <f>M3866-N3866</f>
        <v/>
      </c>
    </row>
    <row r="3867">
      <c r="A3867" s="9" t="n">
        <v>45453.04166666666</v>
      </c>
      <c r="B3867" t="n">
        <v>6</v>
      </c>
      <c r="C3867" t="n">
        <v>10</v>
      </c>
      <c r="D3867" t="n">
        <v>1</v>
      </c>
      <c r="E3867" s="10" t="n">
        <v>0</v>
      </c>
      <c r="F3867" s="10" t="n">
        <v>0.2798846591723182</v>
      </c>
      <c r="G3867" s="11">
        <f>E3867*Summary!$B$6</f>
        <v/>
      </c>
      <c r="H3867" s="11">
        <f>F3867*Summary!$B$7</f>
        <v/>
      </c>
      <c r="I3867" s="11">
        <f>MAX(0,N3867-M3867)</f>
        <v/>
      </c>
      <c r="J3867" s="11">
        <f>MAX(0,M3867-N3867)</f>
        <v/>
      </c>
      <c r="K3867" s="11">
        <f>O3867</f>
        <v/>
      </c>
      <c r="L3867" s="11">
        <f>L3866+IF(K3867&gt;0,K3867*Summary!$B$9,K3867/Summary!$B$9)</f>
        <v/>
      </c>
      <c r="M3867" s="11">
        <f>G3867+H3867</f>
        <v/>
      </c>
      <c r="N3867" s="11">
        <f>Summary!$C$16*Summary!$B$8</f>
        <v/>
      </c>
      <c r="O3867" s="11">
        <f>M3867-N3867</f>
        <v/>
      </c>
    </row>
    <row r="3868">
      <c r="A3868" s="9" t="n">
        <v>45453.08333333334</v>
      </c>
      <c r="B3868" t="n">
        <v>6</v>
      </c>
      <c r="C3868" t="n">
        <v>10</v>
      </c>
      <c r="D3868" t="n">
        <v>2</v>
      </c>
      <c r="E3868" s="10" t="n">
        <v>0</v>
      </c>
      <c r="F3868" s="10" t="n">
        <v>0.2685796484591156</v>
      </c>
      <c r="G3868" s="11">
        <f>E3868*Summary!$B$6</f>
        <v/>
      </c>
      <c r="H3868" s="11">
        <f>F3868*Summary!$B$7</f>
        <v/>
      </c>
      <c r="I3868" s="11">
        <f>MAX(0,N3868-M3868)</f>
        <v/>
      </c>
      <c r="J3868" s="11">
        <f>MAX(0,M3868-N3868)</f>
        <v/>
      </c>
      <c r="K3868" s="11">
        <f>O3868</f>
        <v/>
      </c>
      <c r="L3868" s="11">
        <f>L3867+IF(K3868&gt;0,K3868*Summary!$B$9,K3868/Summary!$B$9)</f>
        <v/>
      </c>
      <c r="M3868" s="11">
        <f>G3868+H3868</f>
        <v/>
      </c>
      <c r="N3868" s="11">
        <f>Summary!$C$16*Summary!$B$8</f>
        <v/>
      </c>
      <c r="O3868" s="11">
        <f>M3868-N3868</f>
        <v/>
      </c>
    </row>
    <row r="3869">
      <c r="A3869" s="9" t="n">
        <v>45453.125</v>
      </c>
      <c r="B3869" t="n">
        <v>6</v>
      </c>
      <c r="C3869" t="n">
        <v>10</v>
      </c>
      <c r="D3869" t="n">
        <v>3</v>
      </c>
      <c r="E3869" s="10" t="n">
        <v>0</v>
      </c>
      <c r="F3869" s="10" t="n">
        <v>0.2529265567023736</v>
      </c>
      <c r="G3869" s="11">
        <f>E3869*Summary!$B$6</f>
        <v/>
      </c>
      <c r="H3869" s="11">
        <f>F3869*Summary!$B$7</f>
        <v/>
      </c>
      <c r="I3869" s="11">
        <f>MAX(0,N3869-M3869)</f>
        <v/>
      </c>
      <c r="J3869" s="11">
        <f>MAX(0,M3869-N3869)</f>
        <v/>
      </c>
      <c r="K3869" s="11">
        <f>O3869</f>
        <v/>
      </c>
      <c r="L3869" s="11">
        <f>L3868+IF(K3869&gt;0,K3869*Summary!$B$9,K3869/Summary!$B$9)</f>
        <v/>
      </c>
      <c r="M3869" s="11">
        <f>G3869+H3869</f>
        <v/>
      </c>
      <c r="N3869" s="11">
        <f>Summary!$C$16*Summary!$B$8</f>
        <v/>
      </c>
      <c r="O3869" s="11">
        <f>M3869-N3869</f>
        <v/>
      </c>
    </row>
    <row r="3870">
      <c r="A3870" s="9" t="n">
        <v>45453.16666666666</v>
      </c>
      <c r="B3870" t="n">
        <v>6</v>
      </c>
      <c r="C3870" t="n">
        <v>10</v>
      </c>
      <c r="D3870" t="n">
        <v>4</v>
      </c>
      <c r="E3870" s="10" t="n">
        <v>0.03718</v>
      </c>
      <c r="F3870" s="10" t="n">
        <v>0.2305537033328888</v>
      </c>
      <c r="G3870" s="11">
        <f>E3870*Summary!$B$6</f>
        <v/>
      </c>
      <c r="H3870" s="11">
        <f>F3870*Summary!$B$7</f>
        <v/>
      </c>
      <c r="I3870" s="11">
        <f>MAX(0,N3870-M3870)</f>
        <v/>
      </c>
      <c r="J3870" s="11">
        <f>MAX(0,M3870-N3870)</f>
        <v/>
      </c>
      <c r="K3870" s="11">
        <f>O3870</f>
        <v/>
      </c>
      <c r="L3870" s="11">
        <f>L3869+IF(K3870&gt;0,K3870*Summary!$B$9,K3870/Summary!$B$9)</f>
        <v/>
      </c>
      <c r="M3870" s="11">
        <f>G3870+H3870</f>
        <v/>
      </c>
      <c r="N3870" s="11">
        <f>Summary!$C$16*Summary!$B$8</f>
        <v/>
      </c>
      <c r="O3870" s="11">
        <f>M3870-N3870</f>
        <v/>
      </c>
    </row>
    <row r="3871">
      <c r="A3871" s="9" t="n">
        <v>45453.20833333334</v>
      </c>
      <c r="B3871" t="n">
        <v>6</v>
      </c>
      <c r="C3871" t="n">
        <v>10</v>
      </c>
      <c r="D3871" t="n">
        <v>5</v>
      </c>
      <c r="E3871" s="10" t="n">
        <v>0.060941</v>
      </c>
      <c r="F3871" s="10" t="n">
        <v>0.2053084812740355</v>
      </c>
      <c r="G3871" s="11">
        <f>E3871*Summary!$B$6</f>
        <v/>
      </c>
      <c r="H3871" s="11">
        <f>F3871*Summary!$B$7</f>
        <v/>
      </c>
      <c r="I3871" s="11">
        <f>MAX(0,N3871-M3871)</f>
        <v/>
      </c>
      <c r="J3871" s="11">
        <f>MAX(0,M3871-N3871)</f>
        <v/>
      </c>
      <c r="K3871" s="11">
        <f>O3871</f>
        <v/>
      </c>
      <c r="L3871" s="11">
        <f>L3870+IF(K3871&gt;0,K3871*Summary!$B$9,K3871/Summary!$B$9)</f>
        <v/>
      </c>
      <c r="M3871" s="11">
        <f>G3871+H3871</f>
        <v/>
      </c>
      <c r="N3871" s="11">
        <f>Summary!$C$16*Summary!$B$8</f>
        <v/>
      </c>
      <c r="O3871" s="11">
        <f>M3871-N3871</f>
        <v/>
      </c>
    </row>
    <row r="3872">
      <c r="A3872" s="9" t="n">
        <v>45453.25</v>
      </c>
      <c r="B3872" t="n">
        <v>6</v>
      </c>
      <c r="C3872" t="n">
        <v>10</v>
      </c>
      <c r="D3872" t="n">
        <v>6</v>
      </c>
      <c r="E3872" s="10" t="n">
        <v>0.177691</v>
      </c>
      <c r="F3872" s="10" t="n">
        <v>0.1823558837654121</v>
      </c>
      <c r="G3872" s="11">
        <f>E3872*Summary!$B$6</f>
        <v/>
      </c>
      <c r="H3872" s="11">
        <f>F3872*Summary!$B$7</f>
        <v/>
      </c>
      <c r="I3872" s="11">
        <f>MAX(0,N3872-M3872)</f>
        <v/>
      </c>
      <c r="J3872" s="11">
        <f>MAX(0,M3872-N3872)</f>
        <v/>
      </c>
      <c r="K3872" s="11">
        <f>O3872</f>
        <v/>
      </c>
      <c r="L3872" s="11">
        <f>L3871+IF(K3872&gt;0,K3872*Summary!$B$9,K3872/Summary!$B$9)</f>
        <v/>
      </c>
      <c r="M3872" s="11">
        <f>G3872+H3872</f>
        <v/>
      </c>
      <c r="N3872" s="11">
        <f>Summary!$C$16*Summary!$B$8</f>
        <v/>
      </c>
      <c r="O3872" s="11">
        <f>M3872-N3872</f>
        <v/>
      </c>
    </row>
    <row r="3873">
      <c r="A3873" s="9" t="n">
        <v>45453.29166666666</v>
      </c>
      <c r="B3873" t="n">
        <v>6</v>
      </c>
      <c r="C3873" t="n">
        <v>10</v>
      </c>
      <c r="D3873" t="n">
        <v>7</v>
      </c>
      <c r="E3873" s="10" t="n">
        <v>0.258039</v>
      </c>
      <c r="F3873" s="10" t="n">
        <v>0.1741867618048228</v>
      </c>
      <c r="G3873" s="11">
        <f>E3873*Summary!$B$6</f>
        <v/>
      </c>
      <c r="H3873" s="11">
        <f>F3873*Summary!$B$7</f>
        <v/>
      </c>
      <c r="I3873" s="11">
        <f>MAX(0,N3873-M3873)</f>
        <v/>
      </c>
      <c r="J3873" s="11">
        <f>MAX(0,M3873-N3873)</f>
        <v/>
      </c>
      <c r="K3873" s="11">
        <f>O3873</f>
        <v/>
      </c>
      <c r="L3873" s="11">
        <f>L3872+IF(K3873&gt;0,K3873*Summary!$B$9,K3873/Summary!$B$9)</f>
        <v/>
      </c>
      <c r="M3873" s="11">
        <f>G3873+H3873</f>
        <v/>
      </c>
      <c r="N3873" s="11">
        <f>Summary!$C$16*Summary!$B$8</f>
        <v/>
      </c>
      <c r="O3873" s="11">
        <f>M3873-N3873</f>
        <v/>
      </c>
    </row>
    <row r="3874">
      <c r="A3874" s="9" t="n">
        <v>45453.33333333334</v>
      </c>
      <c r="B3874" t="n">
        <v>6</v>
      </c>
      <c r="C3874" t="n">
        <v>10</v>
      </c>
      <c r="D3874" t="n">
        <v>8</v>
      </c>
      <c r="E3874" s="10" t="n">
        <v>0.454639</v>
      </c>
      <c r="F3874" s="10" t="n">
        <v>0.1737651297036311</v>
      </c>
      <c r="G3874" s="11">
        <f>E3874*Summary!$B$6</f>
        <v/>
      </c>
      <c r="H3874" s="11">
        <f>F3874*Summary!$B$7</f>
        <v/>
      </c>
      <c r="I3874" s="11">
        <f>MAX(0,N3874-M3874)</f>
        <v/>
      </c>
      <c r="J3874" s="11">
        <f>MAX(0,M3874-N3874)</f>
        <v/>
      </c>
      <c r="K3874" s="11">
        <f>O3874</f>
        <v/>
      </c>
      <c r="L3874" s="11">
        <f>L3873+IF(K3874&gt;0,K3874*Summary!$B$9,K3874/Summary!$B$9)</f>
        <v/>
      </c>
      <c r="M3874" s="11">
        <f>G3874+H3874</f>
        <v/>
      </c>
      <c r="N3874" s="11">
        <f>Summary!$C$16*Summary!$B$8</f>
        <v/>
      </c>
      <c r="O3874" s="11">
        <f>M3874-N3874</f>
        <v/>
      </c>
    </row>
    <row r="3875">
      <c r="A3875" s="9" t="n">
        <v>45453.375</v>
      </c>
      <c r="B3875" t="n">
        <v>6</v>
      </c>
      <c r="C3875" t="n">
        <v>10</v>
      </c>
      <c r="D3875" t="n">
        <v>9</v>
      </c>
      <c r="E3875" s="10" t="n">
        <v>0.600973</v>
      </c>
      <c r="F3875" s="10" t="n">
        <v>0.1740813537795249</v>
      </c>
      <c r="G3875" s="11">
        <f>E3875*Summary!$B$6</f>
        <v/>
      </c>
      <c r="H3875" s="11">
        <f>F3875*Summary!$B$7</f>
        <v/>
      </c>
      <c r="I3875" s="11">
        <f>MAX(0,N3875-M3875)</f>
        <v/>
      </c>
      <c r="J3875" s="11">
        <f>MAX(0,M3875-N3875)</f>
        <v/>
      </c>
      <c r="K3875" s="11">
        <f>O3875</f>
        <v/>
      </c>
      <c r="L3875" s="11">
        <f>L3874+IF(K3875&gt;0,K3875*Summary!$B$9,K3875/Summary!$B$9)</f>
        <v/>
      </c>
      <c r="M3875" s="11">
        <f>G3875+H3875</f>
        <v/>
      </c>
      <c r="N3875" s="11">
        <f>Summary!$C$16*Summary!$B$8</f>
        <v/>
      </c>
      <c r="O3875" s="11">
        <f>M3875-N3875</f>
        <v/>
      </c>
    </row>
    <row r="3876">
      <c r="A3876" s="9" t="n">
        <v>45453.41666666666</v>
      </c>
      <c r="B3876" t="n">
        <v>6</v>
      </c>
      <c r="C3876" t="n">
        <v>10</v>
      </c>
      <c r="D3876" t="n">
        <v>10</v>
      </c>
      <c r="E3876" s="10" t="n">
        <v>0.754058</v>
      </c>
      <c r="F3876" s="10" t="n">
        <v>0.1755043621210469</v>
      </c>
      <c r="G3876" s="11">
        <f>E3876*Summary!$B$6</f>
        <v/>
      </c>
      <c r="H3876" s="11">
        <f>F3876*Summary!$B$7</f>
        <v/>
      </c>
      <c r="I3876" s="11">
        <f>MAX(0,N3876-M3876)</f>
        <v/>
      </c>
      <c r="J3876" s="11">
        <f>MAX(0,M3876-N3876)</f>
        <v/>
      </c>
      <c r="K3876" s="11">
        <f>O3876</f>
        <v/>
      </c>
      <c r="L3876" s="11">
        <f>L3875+IF(K3876&gt;0,K3876*Summary!$B$9,K3876/Summary!$B$9)</f>
        <v/>
      </c>
      <c r="M3876" s="11">
        <f>G3876+H3876</f>
        <v/>
      </c>
      <c r="N3876" s="11">
        <f>Summary!$C$16*Summary!$B$8</f>
        <v/>
      </c>
      <c r="O3876" s="11">
        <f>M3876-N3876</f>
        <v/>
      </c>
    </row>
    <row r="3877">
      <c r="A3877" s="9" t="n">
        <v>45453.45833333334</v>
      </c>
      <c r="B3877" t="n">
        <v>6</v>
      </c>
      <c r="C3877" t="n">
        <v>10</v>
      </c>
      <c r="D3877" t="n">
        <v>11</v>
      </c>
      <c r="E3877" s="10" t="n">
        <v>0.626309</v>
      </c>
      <c r="F3877" s="10" t="n">
        <v>0.1836734840816362</v>
      </c>
      <c r="G3877" s="11">
        <f>E3877*Summary!$B$6</f>
        <v/>
      </c>
      <c r="H3877" s="11">
        <f>F3877*Summary!$B$7</f>
        <v/>
      </c>
      <c r="I3877" s="11">
        <f>MAX(0,N3877-M3877)</f>
        <v/>
      </c>
      <c r="J3877" s="11">
        <f>MAX(0,M3877-N3877)</f>
        <v/>
      </c>
      <c r="K3877" s="11">
        <f>O3877</f>
        <v/>
      </c>
      <c r="L3877" s="11">
        <f>L3876+IF(K3877&gt;0,K3877*Summary!$B$9,K3877/Summary!$B$9)</f>
        <v/>
      </c>
      <c r="M3877" s="11">
        <f>G3877+H3877</f>
        <v/>
      </c>
      <c r="N3877" s="11">
        <f>Summary!$C$16*Summary!$B$8</f>
        <v/>
      </c>
      <c r="O3877" s="11">
        <f>M3877-N3877</f>
        <v/>
      </c>
    </row>
    <row r="3878">
      <c r="A3878" s="9" t="n">
        <v>45453.5</v>
      </c>
      <c r="B3878" t="n">
        <v>6</v>
      </c>
      <c r="C3878" t="n">
        <v>10</v>
      </c>
      <c r="D3878" t="n">
        <v>12</v>
      </c>
      <c r="E3878" s="10" t="n">
        <v>0.5386879999999999</v>
      </c>
      <c r="F3878" s="10" t="n">
        <v>0.1897344455362669</v>
      </c>
      <c r="G3878" s="11">
        <f>E3878*Summary!$B$6</f>
        <v/>
      </c>
      <c r="H3878" s="11">
        <f>F3878*Summary!$B$7</f>
        <v/>
      </c>
      <c r="I3878" s="11">
        <f>MAX(0,N3878-M3878)</f>
        <v/>
      </c>
      <c r="J3878" s="11">
        <f>MAX(0,M3878-N3878)</f>
        <v/>
      </c>
      <c r="K3878" s="11">
        <f>O3878</f>
        <v/>
      </c>
      <c r="L3878" s="11">
        <f>L3877+IF(K3878&gt;0,K3878*Summary!$B$9,K3878/Summary!$B$9)</f>
        <v/>
      </c>
      <c r="M3878" s="11">
        <f>G3878+H3878</f>
        <v/>
      </c>
      <c r="N3878" s="11">
        <f>Summary!$C$16*Summary!$B$8</f>
        <v/>
      </c>
      <c r="O3878" s="11">
        <f>M3878-N3878</f>
        <v/>
      </c>
    </row>
    <row r="3879">
      <c r="A3879" s="9" t="n">
        <v>45453.54166666666</v>
      </c>
      <c r="B3879" t="n">
        <v>6</v>
      </c>
      <c r="C3879" t="n">
        <v>10</v>
      </c>
      <c r="D3879" t="n">
        <v>13</v>
      </c>
      <c r="E3879" s="10" t="n">
        <v>0.63059</v>
      </c>
      <c r="F3879" s="10" t="n">
        <v>0.1991684638004313</v>
      </c>
      <c r="G3879" s="11">
        <f>E3879*Summary!$B$6</f>
        <v/>
      </c>
      <c r="H3879" s="11">
        <f>F3879*Summary!$B$7</f>
        <v/>
      </c>
      <c r="I3879" s="11">
        <f>MAX(0,N3879-M3879)</f>
        <v/>
      </c>
      <c r="J3879" s="11">
        <f>MAX(0,M3879-N3879)</f>
        <v/>
      </c>
      <c r="K3879" s="11">
        <f>O3879</f>
        <v/>
      </c>
      <c r="L3879" s="11">
        <f>L3878+IF(K3879&gt;0,K3879*Summary!$B$9,K3879/Summary!$B$9)</f>
        <v/>
      </c>
      <c r="M3879" s="11">
        <f>G3879+H3879</f>
        <v/>
      </c>
      <c r="N3879" s="11">
        <f>Summary!$C$16*Summary!$B$8</f>
        <v/>
      </c>
      <c r="O3879" s="11">
        <f>M3879-N3879</f>
        <v/>
      </c>
    </row>
    <row r="3880">
      <c r="A3880" s="9" t="n">
        <v>45453.58333333334</v>
      </c>
      <c r="B3880" t="n">
        <v>6</v>
      </c>
      <c r="C3880" t="n">
        <v>10</v>
      </c>
      <c r="D3880" t="n">
        <v>14</v>
      </c>
      <c r="E3880" s="10" t="n">
        <v>0.435335</v>
      </c>
      <c r="F3880" s="10" t="n">
        <v>0.2031739687617525</v>
      </c>
      <c r="G3880" s="11">
        <f>E3880*Summary!$B$6</f>
        <v/>
      </c>
      <c r="H3880" s="11">
        <f>F3880*Summary!$B$7</f>
        <v/>
      </c>
      <c r="I3880" s="11">
        <f>MAX(0,N3880-M3880)</f>
        <v/>
      </c>
      <c r="J3880" s="11">
        <f>MAX(0,M3880-N3880)</f>
        <v/>
      </c>
      <c r="K3880" s="11">
        <f>O3880</f>
        <v/>
      </c>
      <c r="L3880" s="11">
        <f>L3879+IF(K3880&gt;0,K3880*Summary!$B$9,K3880/Summary!$B$9)</f>
        <v/>
      </c>
      <c r="M3880" s="11">
        <f>G3880+H3880</f>
        <v/>
      </c>
      <c r="N3880" s="11">
        <f>Summary!$C$16*Summary!$B$8</f>
        <v/>
      </c>
      <c r="O3880" s="11">
        <f>M3880-N3880</f>
        <v/>
      </c>
    </row>
    <row r="3881">
      <c r="A3881" s="9" t="n">
        <v>45453.625</v>
      </c>
      <c r="B3881" t="n">
        <v>6</v>
      </c>
      <c r="C3881" t="n">
        <v>10</v>
      </c>
      <c r="D3881" t="n">
        <v>15</v>
      </c>
      <c r="E3881" s="10" t="n">
        <v>0.475277</v>
      </c>
      <c r="F3881" s="10" t="n">
        <v>0.2041753450020828</v>
      </c>
      <c r="G3881" s="11">
        <f>E3881*Summary!$B$6</f>
        <v/>
      </c>
      <c r="H3881" s="11">
        <f>F3881*Summary!$B$7</f>
        <v/>
      </c>
      <c r="I3881" s="11">
        <f>MAX(0,N3881-M3881)</f>
        <v/>
      </c>
      <c r="J3881" s="11">
        <f>MAX(0,M3881-N3881)</f>
        <v/>
      </c>
      <c r="K3881" s="11">
        <f>O3881</f>
        <v/>
      </c>
      <c r="L3881" s="11">
        <f>L3880+IF(K3881&gt;0,K3881*Summary!$B$9,K3881/Summary!$B$9)</f>
        <v/>
      </c>
      <c r="M3881" s="11">
        <f>G3881+H3881</f>
        <v/>
      </c>
      <c r="N3881" s="11">
        <f>Summary!$C$16*Summary!$B$8</f>
        <v/>
      </c>
      <c r="O3881" s="11">
        <f>M3881-N3881</f>
        <v/>
      </c>
    </row>
    <row r="3882">
      <c r="A3882" s="9" t="n">
        <v>45453.66666666666</v>
      </c>
      <c r="B3882" t="n">
        <v>6</v>
      </c>
      <c r="C3882" t="n">
        <v>10</v>
      </c>
      <c r="D3882" t="n">
        <v>16</v>
      </c>
      <c r="E3882" s="10" t="n">
        <v>0.36928</v>
      </c>
      <c r="F3882" s="10" t="n">
        <v>0.2033847848123484</v>
      </c>
      <c r="G3882" s="11">
        <f>E3882*Summary!$B$6</f>
        <v/>
      </c>
      <c r="H3882" s="11">
        <f>F3882*Summary!$B$7</f>
        <v/>
      </c>
      <c r="I3882" s="11">
        <f>MAX(0,N3882-M3882)</f>
        <v/>
      </c>
      <c r="J3882" s="11">
        <f>MAX(0,M3882-N3882)</f>
        <v/>
      </c>
      <c r="K3882" s="11">
        <f>O3882</f>
        <v/>
      </c>
      <c r="L3882" s="11">
        <f>L3881+IF(K3882&gt;0,K3882*Summary!$B$9,K3882/Summary!$B$9)</f>
        <v/>
      </c>
      <c r="M3882" s="11">
        <f>G3882+H3882</f>
        <v/>
      </c>
      <c r="N3882" s="11">
        <f>Summary!$C$16*Summary!$B$8</f>
        <v/>
      </c>
      <c r="O3882" s="11">
        <f>M3882-N3882</f>
        <v/>
      </c>
    </row>
    <row r="3883">
      <c r="A3883" s="9" t="n">
        <v>45453.70833333334</v>
      </c>
      <c r="B3883" t="n">
        <v>6</v>
      </c>
      <c r="C3883" t="n">
        <v>10</v>
      </c>
      <c r="D3883" t="n">
        <v>17</v>
      </c>
      <c r="E3883" s="10" t="n">
        <v>0.231078</v>
      </c>
      <c r="F3883" s="10" t="n">
        <v>0.191052045852491</v>
      </c>
      <c r="G3883" s="11">
        <f>E3883*Summary!$B$6</f>
        <v/>
      </c>
      <c r="H3883" s="11">
        <f>F3883*Summary!$B$7</f>
        <v/>
      </c>
      <c r="I3883" s="11">
        <f>MAX(0,N3883-M3883)</f>
        <v/>
      </c>
      <c r="J3883" s="11">
        <f>MAX(0,M3883-N3883)</f>
        <v/>
      </c>
      <c r="K3883" s="11">
        <f>O3883</f>
        <v/>
      </c>
      <c r="L3883" s="11">
        <f>L3882+IF(K3883&gt;0,K3883*Summary!$B$9,K3883/Summary!$B$9)</f>
        <v/>
      </c>
      <c r="M3883" s="11">
        <f>G3883+H3883</f>
        <v/>
      </c>
      <c r="N3883" s="11">
        <f>Summary!$C$16*Summary!$B$8</f>
        <v/>
      </c>
      <c r="O3883" s="11">
        <f>M3883-N3883</f>
        <v/>
      </c>
    </row>
    <row r="3884">
      <c r="A3884" s="9" t="n">
        <v>45453.75</v>
      </c>
      <c r="B3884" t="n">
        <v>6</v>
      </c>
      <c r="C3884" t="n">
        <v>10</v>
      </c>
      <c r="D3884" t="n">
        <v>18</v>
      </c>
      <c r="E3884" s="10" t="n">
        <v>0.08885800000000001</v>
      </c>
      <c r="F3884" s="10" t="n">
        <v>0.1817761396262735</v>
      </c>
      <c r="G3884" s="11">
        <f>E3884*Summary!$B$6</f>
        <v/>
      </c>
      <c r="H3884" s="11">
        <f>F3884*Summary!$B$7</f>
        <v/>
      </c>
      <c r="I3884" s="11">
        <f>MAX(0,N3884-M3884)</f>
        <v/>
      </c>
      <c r="J3884" s="11">
        <f>MAX(0,M3884-N3884)</f>
        <v/>
      </c>
      <c r="K3884" s="11">
        <f>O3884</f>
        <v/>
      </c>
      <c r="L3884" s="11">
        <f>L3883+IF(K3884&gt;0,K3884*Summary!$B$9,K3884/Summary!$B$9)</f>
        <v/>
      </c>
      <c r="M3884" s="11">
        <f>G3884+H3884</f>
        <v/>
      </c>
      <c r="N3884" s="11">
        <f>Summary!$C$16*Summary!$B$8</f>
        <v/>
      </c>
      <c r="O3884" s="11">
        <f>M3884-N3884</f>
        <v/>
      </c>
    </row>
    <row r="3885">
      <c r="A3885" s="9" t="n">
        <v>45453.79166666666</v>
      </c>
      <c r="B3885" t="n">
        <v>6</v>
      </c>
      <c r="C3885" t="n">
        <v>10</v>
      </c>
      <c r="D3885" t="n">
        <v>19</v>
      </c>
      <c r="E3885" s="10" t="n">
        <v>0.038718</v>
      </c>
      <c r="F3885" s="10" t="n">
        <v>0.1726583454380029</v>
      </c>
      <c r="G3885" s="11">
        <f>E3885*Summary!$B$6</f>
        <v/>
      </c>
      <c r="H3885" s="11">
        <f>F3885*Summary!$B$7</f>
        <v/>
      </c>
      <c r="I3885" s="11">
        <f>MAX(0,N3885-M3885)</f>
        <v/>
      </c>
      <c r="J3885" s="11">
        <f>MAX(0,M3885-N3885)</f>
        <v/>
      </c>
      <c r="K3885" s="11">
        <f>O3885</f>
        <v/>
      </c>
      <c r="L3885" s="11">
        <f>L3884+IF(K3885&gt;0,K3885*Summary!$B$9,K3885/Summary!$B$9)</f>
        <v/>
      </c>
      <c r="M3885" s="11">
        <f>G3885+H3885</f>
        <v/>
      </c>
      <c r="N3885" s="11">
        <f>Summary!$C$16*Summary!$B$8</f>
        <v/>
      </c>
      <c r="O3885" s="11">
        <f>M3885-N3885</f>
        <v/>
      </c>
    </row>
    <row r="3886">
      <c r="A3886" s="9" t="n">
        <v>45453.83333333334</v>
      </c>
      <c r="B3886" t="n">
        <v>6</v>
      </c>
      <c r="C3886" t="n">
        <v>10</v>
      </c>
      <c r="D3886" t="n">
        <v>20</v>
      </c>
      <c r="E3886" s="10" t="n">
        <v>0.011641</v>
      </c>
      <c r="F3886" s="10" t="n">
        <v>0.1872573569417657</v>
      </c>
      <c r="G3886" s="11">
        <f>E3886*Summary!$B$6</f>
        <v/>
      </c>
      <c r="H3886" s="11">
        <f>F3886*Summary!$B$7</f>
        <v/>
      </c>
      <c r="I3886" s="11">
        <f>MAX(0,N3886-M3886)</f>
        <v/>
      </c>
      <c r="J3886" s="11">
        <f>MAX(0,M3886-N3886)</f>
        <v/>
      </c>
      <c r="K3886" s="11">
        <f>O3886</f>
        <v/>
      </c>
      <c r="L3886" s="11">
        <f>L3885+IF(K3886&gt;0,K3886*Summary!$B$9,K3886/Summary!$B$9)</f>
        <v/>
      </c>
      <c r="M3886" s="11">
        <f>G3886+H3886</f>
        <v/>
      </c>
      <c r="N3886" s="11">
        <f>Summary!$C$16*Summary!$B$8</f>
        <v/>
      </c>
      <c r="O3886" s="11">
        <f>M3886-N3886</f>
        <v/>
      </c>
    </row>
    <row r="3887">
      <c r="A3887" s="9" t="n">
        <v>45453.875</v>
      </c>
      <c r="B3887" t="n">
        <v>6</v>
      </c>
      <c r="C3887" t="n">
        <v>10</v>
      </c>
      <c r="D3887" t="n">
        <v>21</v>
      </c>
      <c r="E3887" s="10" t="n">
        <v>0</v>
      </c>
      <c r="F3887" s="10" t="n">
        <v>0.2171405321137277</v>
      </c>
      <c r="G3887" s="11">
        <f>E3887*Summary!$B$6</f>
        <v/>
      </c>
      <c r="H3887" s="11">
        <f>F3887*Summary!$B$7</f>
        <v/>
      </c>
      <c r="I3887" s="11">
        <f>MAX(0,N3887-M3887)</f>
        <v/>
      </c>
      <c r="J3887" s="11">
        <f>MAX(0,M3887-N3887)</f>
        <v/>
      </c>
      <c r="K3887" s="11">
        <f>O3887</f>
        <v/>
      </c>
      <c r="L3887" s="11">
        <f>L3886+IF(K3887&gt;0,K3887*Summary!$B$9,K3887/Summary!$B$9)</f>
        <v/>
      </c>
      <c r="M3887" s="11">
        <f>G3887+H3887</f>
        <v/>
      </c>
      <c r="N3887" s="11">
        <f>Summary!$C$16*Summary!$B$8</f>
        <v/>
      </c>
      <c r="O3887" s="11">
        <f>M3887-N3887</f>
        <v/>
      </c>
    </row>
    <row r="3888">
      <c r="A3888" s="9" t="n">
        <v>45453.91666666666</v>
      </c>
      <c r="B3888" t="n">
        <v>6</v>
      </c>
      <c r="C3888" t="n">
        <v>10</v>
      </c>
      <c r="D3888" t="n">
        <v>22</v>
      </c>
      <c r="E3888" s="10" t="n">
        <v>0</v>
      </c>
      <c r="F3888" s="10" t="n">
        <v>0.2320557676933842</v>
      </c>
      <c r="G3888" s="11">
        <f>E3888*Summary!$B$6</f>
        <v/>
      </c>
      <c r="H3888" s="11">
        <f>F3888*Summary!$B$7</f>
        <v/>
      </c>
      <c r="I3888" s="11">
        <f>MAX(0,N3888-M3888)</f>
        <v/>
      </c>
      <c r="J3888" s="11">
        <f>MAX(0,M3888-N3888)</f>
        <v/>
      </c>
      <c r="K3888" s="11">
        <f>O3888</f>
        <v/>
      </c>
      <c r="L3888" s="11">
        <f>L3887+IF(K3888&gt;0,K3888*Summary!$B$9,K3888/Summary!$B$9)</f>
        <v/>
      </c>
      <c r="M3888" s="11">
        <f>G3888+H3888</f>
        <v/>
      </c>
      <c r="N3888" s="11">
        <f>Summary!$C$16*Summary!$B$8</f>
        <v/>
      </c>
      <c r="O3888" s="11">
        <f>M3888-N3888</f>
        <v/>
      </c>
    </row>
    <row r="3889">
      <c r="A3889" s="9" t="n">
        <v>45453.95833333334</v>
      </c>
      <c r="B3889" t="n">
        <v>6</v>
      </c>
      <c r="C3889" t="n">
        <v>10</v>
      </c>
      <c r="D3889" t="n">
        <v>23</v>
      </c>
      <c r="E3889" s="10" t="n">
        <v>0</v>
      </c>
      <c r="F3889" s="10" t="n">
        <v>0.2406465217551652</v>
      </c>
      <c r="G3889" s="11">
        <f>E3889*Summary!$B$6</f>
        <v/>
      </c>
      <c r="H3889" s="11">
        <f>F3889*Summary!$B$7</f>
        <v/>
      </c>
      <c r="I3889" s="11">
        <f>MAX(0,N3889-M3889)</f>
        <v/>
      </c>
      <c r="J3889" s="11">
        <f>MAX(0,M3889-N3889)</f>
        <v/>
      </c>
      <c r="K3889" s="11">
        <f>O3889</f>
        <v/>
      </c>
      <c r="L3889" s="11">
        <f>L3888+IF(K3889&gt;0,K3889*Summary!$B$9,K3889/Summary!$B$9)</f>
        <v/>
      </c>
      <c r="M3889" s="11">
        <f>G3889+H3889</f>
        <v/>
      </c>
      <c r="N3889" s="11">
        <f>Summary!$C$16*Summary!$B$8</f>
        <v/>
      </c>
      <c r="O3889" s="11">
        <f>M3889-N3889</f>
        <v/>
      </c>
    </row>
    <row r="3890">
      <c r="A3890" s="9" t="n">
        <v>45454</v>
      </c>
      <c r="B3890" t="n">
        <v>6</v>
      </c>
      <c r="C3890" t="n">
        <v>11</v>
      </c>
      <c r="D3890" t="n">
        <v>0</v>
      </c>
      <c r="E3890" s="10" t="n">
        <v>0</v>
      </c>
      <c r="F3890" s="10" t="n">
        <v>0.3484525796286191</v>
      </c>
      <c r="G3890" s="11">
        <f>E3890*Summary!$B$6</f>
        <v/>
      </c>
      <c r="H3890" s="11">
        <f>F3890*Summary!$B$7</f>
        <v/>
      </c>
      <c r="I3890" s="11">
        <f>MAX(0,N3890-M3890)</f>
        <v/>
      </c>
      <c r="J3890" s="11">
        <f>MAX(0,M3890-N3890)</f>
        <v/>
      </c>
      <c r="K3890" s="11">
        <f>O3890</f>
        <v/>
      </c>
      <c r="L3890" s="11">
        <f>L3889+IF(K3890&gt;0,K3890*Summary!$B$9,K3890/Summary!$B$9)</f>
        <v/>
      </c>
      <c r="M3890" s="11">
        <f>G3890+H3890</f>
        <v/>
      </c>
      <c r="N3890" s="11">
        <f>Summary!$C$16*Summary!$B$8</f>
        <v/>
      </c>
      <c r="O3890" s="11">
        <f>M3890-N3890</f>
        <v/>
      </c>
    </row>
    <row r="3891">
      <c r="A3891" s="9" t="n">
        <v>45454.04166666666</v>
      </c>
      <c r="B3891" t="n">
        <v>6</v>
      </c>
      <c r="C3891" t="n">
        <v>11</v>
      </c>
      <c r="D3891" t="n">
        <v>1</v>
      </c>
      <c r="E3891" s="10" t="n">
        <v>0</v>
      </c>
      <c r="F3891" s="10" t="n">
        <v>0.2365356087685461</v>
      </c>
      <c r="G3891" s="11">
        <f>E3891*Summary!$B$6</f>
        <v/>
      </c>
      <c r="H3891" s="11">
        <f>F3891*Summary!$B$7</f>
        <v/>
      </c>
      <c r="I3891" s="11">
        <f>MAX(0,N3891-M3891)</f>
        <v/>
      </c>
      <c r="J3891" s="11">
        <f>MAX(0,M3891-N3891)</f>
        <v/>
      </c>
      <c r="K3891" s="11">
        <f>O3891</f>
        <v/>
      </c>
      <c r="L3891" s="11">
        <f>L3890+IF(K3891&gt;0,K3891*Summary!$B$9,K3891/Summary!$B$9)</f>
        <v/>
      </c>
      <c r="M3891" s="11">
        <f>G3891+H3891</f>
        <v/>
      </c>
      <c r="N3891" s="11">
        <f>Summary!$C$16*Summary!$B$8</f>
        <v/>
      </c>
      <c r="O3891" s="11">
        <f>M3891-N3891</f>
        <v/>
      </c>
    </row>
    <row r="3892">
      <c r="A3892" s="9" t="n">
        <v>45454.08333333334</v>
      </c>
      <c r="B3892" t="n">
        <v>6</v>
      </c>
      <c r="C3892" t="n">
        <v>11</v>
      </c>
      <c r="D3892" t="n">
        <v>2</v>
      </c>
      <c r="E3892" s="10" t="n">
        <v>0</v>
      </c>
      <c r="F3892" s="10" t="n">
        <v>0.2446520267164864</v>
      </c>
      <c r="G3892" s="11">
        <f>E3892*Summary!$B$6</f>
        <v/>
      </c>
      <c r="H3892" s="11">
        <f>F3892*Summary!$B$7</f>
        <v/>
      </c>
      <c r="I3892" s="11">
        <f>MAX(0,N3892-M3892)</f>
        <v/>
      </c>
      <c r="J3892" s="11">
        <f>MAX(0,M3892-N3892)</f>
        <v/>
      </c>
      <c r="K3892" s="11">
        <f>O3892</f>
        <v/>
      </c>
      <c r="L3892" s="11">
        <f>L3891+IF(K3892&gt;0,K3892*Summary!$B$9,K3892/Summary!$B$9)</f>
        <v/>
      </c>
      <c r="M3892" s="11">
        <f>G3892+H3892</f>
        <v/>
      </c>
      <c r="N3892" s="11">
        <f>Summary!$C$16*Summary!$B$8</f>
        <v/>
      </c>
      <c r="O3892" s="11">
        <f>M3892-N3892</f>
        <v/>
      </c>
    </row>
    <row r="3893">
      <c r="A3893" s="9" t="n">
        <v>45454.125</v>
      </c>
      <c r="B3893" t="n">
        <v>6</v>
      </c>
      <c r="C3893" t="n">
        <v>11</v>
      </c>
      <c r="D3893" t="n">
        <v>3</v>
      </c>
      <c r="E3893" s="10" t="n">
        <v>0</v>
      </c>
      <c r="F3893" s="10" t="n">
        <v>0.2265218463652431</v>
      </c>
      <c r="G3893" s="11">
        <f>E3893*Summary!$B$6</f>
        <v/>
      </c>
      <c r="H3893" s="11">
        <f>F3893*Summary!$B$7</f>
        <v/>
      </c>
      <c r="I3893" s="11">
        <f>MAX(0,N3893-M3893)</f>
        <v/>
      </c>
      <c r="J3893" s="11">
        <f>MAX(0,M3893-N3893)</f>
        <v/>
      </c>
      <c r="K3893" s="11">
        <f>O3893</f>
        <v/>
      </c>
      <c r="L3893" s="11">
        <f>L3892+IF(K3893&gt;0,K3893*Summary!$B$9,K3893/Summary!$B$9)</f>
        <v/>
      </c>
      <c r="M3893" s="11">
        <f>G3893+H3893</f>
        <v/>
      </c>
      <c r="N3893" s="11">
        <f>Summary!$C$16*Summary!$B$8</f>
        <v/>
      </c>
      <c r="O3893" s="11">
        <f>M3893-N3893</f>
        <v/>
      </c>
    </row>
    <row r="3894">
      <c r="A3894" s="9" t="n">
        <v>45454.16666666666</v>
      </c>
      <c r="B3894" t="n">
        <v>6</v>
      </c>
      <c r="C3894" t="n">
        <v>11</v>
      </c>
      <c r="D3894" t="n">
        <v>4</v>
      </c>
      <c r="E3894" s="10" t="n">
        <v>0.031806</v>
      </c>
      <c r="F3894" s="10" t="n">
        <v>0.209551154292277</v>
      </c>
      <c r="G3894" s="11">
        <f>E3894*Summary!$B$6</f>
        <v/>
      </c>
      <c r="H3894" s="11">
        <f>F3894*Summary!$B$7</f>
        <v/>
      </c>
      <c r="I3894" s="11">
        <f>MAX(0,N3894-M3894)</f>
        <v/>
      </c>
      <c r="J3894" s="11">
        <f>MAX(0,M3894-N3894)</f>
        <v/>
      </c>
      <c r="K3894" s="11">
        <f>O3894</f>
        <v/>
      </c>
      <c r="L3894" s="11">
        <f>L3893+IF(K3894&gt;0,K3894*Summary!$B$9,K3894/Summary!$B$9)</f>
        <v/>
      </c>
      <c r="M3894" s="11">
        <f>G3894+H3894</f>
        <v/>
      </c>
      <c r="N3894" s="11">
        <f>Summary!$C$16*Summary!$B$8</f>
        <v/>
      </c>
      <c r="O3894" s="11">
        <f>M3894-N3894</f>
        <v/>
      </c>
    </row>
    <row r="3895">
      <c r="A3895" s="9" t="n">
        <v>45454.20833333334</v>
      </c>
      <c r="B3895" t="n">
        <v>6</v>
      </c>
      <c r="C3895" t="n">
        <v>11</v>
      </c>
      <c r="D3895" t="n">
        <v>5</v>
      </c>
      <c r="E3895" s="10" t="n">
        <v>0.057252</v>
      </c>
      <c r="F3895" s="10" t="n">
        <v>0.1808274673985922</v>
      </c>
      <c r="G3895" s="11">
        <f>E3895*Summary!$B$6</f>
        <v/>
      </c>
      <c r="H3895" s="11">
        <f>F3895*Summary!$B$7</f>
        <v/>
      </c>
      <c r="I3895" s="11">
        <f>MAX(0,N3895-M3895)</f>
        <v/>
      </c>
      <c r="J3895" s="11">
        <f>MAX(0,M3895-N3895)</f>
        <v/>
      </c>
      <c r="K3895" s="11">
        <f>O3895</f>
        <v/>
      </c>
      <c r="L3895" s="11">
        <f>L3894+IF(K3895&gt;0,K3895*Summary!$B$9,K3895/Summary!$B$9)</f>
        <v/>
      </c>
      <c r="M3895" s="11">
        <f>G3895+H3895</f>
        <v/>
      </c>
      <c r="N3895" s="11">
        <f>Summary!$C$16*Summary!$B$8</f>
        <v/>
      </c>
      <c r="O3895" s="11">
        <f>M3895-N3895</f>
        <v/>
      </c>
    </row>
    <row r="3896">
      <c r="A3896" s="9" t="n">
        <v>45454.25</v>
      </c>
      <c r="B3896" t="n">
        <v>6</v>
      </c>
      <c r="C3896" t="n">
        <v>11</v>
      </c>
      <c r="D3896" t="n">
        <v>6</v>
      </c>
      <c r="E3896" s="10" t="n">
        <v>0.07514899999999999</v>
      </c>
      <c r="F3896" s="10" t="n">
        <v>0.1611425186742045</v>
      </c>
      <c r="G3896" s="11">
        <f>E3896*Summary!$B$6</f>
        <v/>
      </c>
      <c r="H3896" s="11">
        <f>F3896*Summary!$B$7</f>
        <v/>
      </c>
      <c r="I3896" s="11">
        <f>MAX(0,N3896-M3896)</f>
        <v/>
      </c>
      <c r="J3896" s="11">
        <f>MAX(0,M3896-N3896)</f>
        <v/>
      </c>
      <c r="K3896" s="11">
        <f>O3896</f>
        <v/>
      </c>
      <c r="L3896" s="11">
        <f>L3895+IF(K3896&gt;0,K3896*Summary!$B$9,K3896/Summary!$B$9)</f>
        <v/>
      </c>
      <c r="M3896" s="11">
        <f>G3896+H3896</f>
        <v/>
      </c>
      <c r="N3896" s="11">
        <f>Summary!$C$16*Summary!$B$8</f>
        <v/>
      </c>
      <c r="O3896" s="11">
        <f>M3896-N3896</f>
        <v/>
      </c>
    </row>
    <row r="3897">
      <c r="A3897" s="9" t="n">
        <v>45454.29166666666</v>
      </c>
      <c r="B3897" t="n">
        <v>6</v>
      </c>
      <c r="C3897" t="n">
        <v>11</v>
      </c>
      <c r="D3897" t="n">
        <v>7</v>
      </c>
      <c r="E3897" s="10" t="n">
        <v>0.121693</v>
      </c>
      <c r="F3897" s="10" t="n">
        <v>0.1612479266995024</v>
      </c>
      <c r="G3897" s="11">
        <f>E3897*Summary!$B$6</f>
        <v/>
      </c>
      <c r="H3897" s="11">
        <f>F3897*Summary!$B$7</f>
        <v/>
      </c>
      <c r="I3897" s="11">
        <f>MAX(0,N3897-M3897)</f>
        <v/>
      </c>
      <c r="J3897" s="11">
        <f>MAX(0,M3897-N3897)</f>
        <v/>
      </c>
      <c r="K3897" s="11">
        <f>O3897</f>
        <v/>
      </c>
      <c r="L3897" s="11">
        <f>L3896+IF(K3897&gt;0,K3897*Summary!$B$9,K3897/Summary!$B$9)</f>
        <v/>
      </c>
      <c r="M3897" s="11">
        <f>G3897+H3897</f>
        <v/>
      </c>
      <c r="N3897" s="11">
        <f>Summary!$C$16*Summary!$B$8</f>
        <v/>
      </c>
      <c r="O3897" s="11">
        <f>M3897-N3897</f>
        <v/>
      </c>
    </row>
    <row r="3898">
      <c r="A3898" s="9" t="n">
        <v>45454.33333333334</v>
      </c>
      <c r="B3898" t="n">
        <v>6</v>
      </c>
      <c r="C3898" t="n">
        <v>11</v>
      </c>
      <c r="D3898" t="n">
        <v>8</v>
      </c>
      <c r="E3898" s="10" t="n">
        <v>0.230649</v>
      </c>
      <c r="F3898" s="10" t="n">
        <v>0.175398954095749</v>
      </c>
      <c r="G3898" s="11">
        <f>E3898*Summary!$B$6</f>
        <v/>
      </c>
      <c r="H3898" s="11">
        <f>F3898*Summary!$B$7</f>
        <v/>
      </c>
      <c r="I3898" s="11">
        <f>MAX(0,N3898-M3898)</f>
        <v/>
      </c>
      <c r="J3898" s="11">
        <f>MAX(0,M3898-N3898)</f>
        <v/>
      </c>
      <c r="K3898" s="11">
        <f>O3898</f>
        <v/>
      </c>
      <c r="L3898" s="11">
        <f>L3897+IF(K3898&gt;0,K3898*Summary!$B$9,K3898/Summary!$B$9)</f>
        <v/>
      </c>
      <c r="M3898" s="11">
        <f>G3898+H3898</f>
        <v/>
      </c>
      <c r="N3898" s="11">
        <f>Summary!$C$16*Summary!$B$8</f>
        <v/>
      </c>
      <c r="O3898" s="11">
        <f>M3898-N3898</f>
        <v/>
      </c>
    </row>
    <row r="3899">
      <c r="A3899" s="9" t="n">
        <v>45454.375</v>
      </c>
      <c r="B3899" t="n">
        <v>6</v>
      </c>
      <c r="C3899" t="n">
        <v>11</v>
      </c>
      <c r="D3899" t="n">
        <v>9</v>
      </c>
      <c r="E3899" s="10" t="n">
        <v>0.194965</v>
      </c>
      <c r="F3899" s="10" t="n">
        <v>0.1957163509719242</v>
      </c>
      <c r="G3899" s="11">
        <f>E3899*Summary!$B$6</f>
        <v/>
      </c>
      <c r="H3899" s="11">
        <f>F3899*Summary!$B$7</f>
        <v/>
      </c>
      <c r="I3899" s="11">
        <f>MAX(0,N3899-M3899)</f>
        <v/>
      </c>
      <c r="J3899" s="11">
        <f>MAX(0,M3899-N3899)</f>
        <v/>
      </c>
      <c r="K3899" s="11">
        <f>O3899</f>
        <v/>
      </c>
      <c r="L3899" s="11">
        <f>L3898+IF(K3899&gt;0,K3899*Summary!$B$9,K3899/Summary!$B$9)</f>
        <v/>
      </c>
      <c r="M3899" s="11">
        <f>G3899+H3899</f>
        <v/>
      </c>
      <c r="N3899" s="11">
        <f>Summary!$C$16*Summary!$B$8</f>
        <v/>
      </c>
      <c r="O3899" s="11">
        <f>M3899-N3899</f>
        <v/>
      </c>
    </row>
    <row r="3900">
      <c r="A3900" s="9" t="n">
        <v>45454.41666666666</v>
      </c>
      <c r="B3900" t="n">
        <v>6</v>
      </c>
      <c r="C3900" t="n">
        <v>11</v>
      </c>
      <c r="D3900" t="n">
        <v>10</v>
      </c>
      <c r="E3900" s="10" t="n">
        <v>0.187981</v>
      </c>
      <c r="F3900" s="10" t="n">
        <v>0.2191169325880638</v>
      </c>
      <c r="G3900" s="11">
        <f>E3900*Summary!$B$6</f>
        <v/>
      </c>
      <c r="H3900" s="11">
        <f>F3900*Summary!$B$7</f>
        <v/>
      </c>
      <c r="I3900" s="11">
        <f>MAX(0,N3900-M3900)</f>
        <v/>
      </c>
      <c r="J3900" s="11">
        <f>MAX(0,M3900-N3900)</f>
        <v/>
      </c>
      <c r="K3900" s="11">
        <f>O3900</f>
        <v/>
      </c>
      <c r="L3900" s="11">
        <f>L3899+IF(K3900&gt;0,K3900*Summary!$B$9,K3900/Summary!$B$9)</f>
        <v/>
      </c>
      <c r="M3900" s="11">
        <f>G3900+H3900</f>
        <v/>
      </c>
      <c r="N3900" s="11">
        <f>Summary!$C$16*Summary!$B$8</f>
        <v/>
      </c>
      <c r="O3900" s="11">
        <f>M3900-N3900</f>
        <v/>
      </c>
    </row>
    <row r="3901">
      <c r="A3901" s="9" t="n">
        <v>45454.45833333334</v>
      </c>
      <c r="B3901" t="n">
        <v>6</v>
      </c>
      <c r="C3901" t="n">
        <v>11</v>
      </c>
      <c r="D3901" t="n">
        <v>11</v>
      </c>
      <c r="E3901" s="10" t="n">
        <v>0.190754</v>
      </c>
      <c r="F3901" s="10" t="n">
        <v>0.2425438662105279</v>
      </c>
      <c r="G3901" s="11">
        <f>E3901*Summary!$B$6</f>
        <v/>
      </c>
      <c r="H3901" s="11">
        <f>F3901*Summary!$B$7</f>
        <v/>
      </c>
      <c r="I3901" s="11">
        <f>MAX(0,N3901-M3901)</f>
        <v/>
      </c>
      <c r="J3901" s="11">
        <f>MAX(0,M3901-N3901)</f>
        <v/>
      </c>
      <c r="K3901" s="11">
        <f>O3901</f>
        <v/>
      </c>
      <c r="L3901" s="11">
        <f>L3900+IF(K3901&gt;0,K3901*Summary!$B$9,K3901/Summary!$B$9)</f>
        <v/>
      </c>
      <c r="M3901" s="11">
        <f>G3901+H3901</f>
        <v/>
      </c>
      <c r="N3901" s="11">
        <f>Summary!$C$16*Summary!$B$8</f>
        <v/>
      </c>
      <c r="O3901" s="11">
        <f>M3901-N3901</f>
        <v/>
      </c>
    </row>
    <row r="3902">
      <c r="A3902" s="9" t="n">
        <v>45454.5</v>
      </c>
      <c r="B3902" t="n">
        <v>6</v>
      </c>
      <c r="C3902" t="n">
        <v>11</v>
      </c>
      <c r="D3902" t="n">
        <v>12</v>
      </c>
      <c r="E3902" s="10" t="n">
        <v>0.364512</v>
      </c>
      <c r="F3902" s="10" t="n">
        <v>0.260278766466904</v>
      </c>
      <c r="G3902" s="11">
        <f>E3902*Summary!$B$6</f>
        <v/>
      </c>
      <c r="H3902" s="11">
        <f>F3902*Summary!$B$7</f>
        <v/>
      </c>
      <c r="I3902" s="11">
        <f>MAX(0,N3902-M3902)</f>
        <v/>
      </c>
      <c r="J3902" s="11">
        <f>MAX(0,M3902-N3902)</f>
        <v/>
      </c>
      <c r="K3902" s="11">
        <f>O3902</f>
        <v/>
      </c>
      <c r="L3902" s="11">
        <f>L3901+IF(K3902&gt;0,K3902*Summary!$B$9,K3902/Summary!$B$9)</f>
        <v/>
      </c>
      <c r="M3902" s="11">
        <f>G3902+H3902</f>
        <v/>
      </c>
      <c r="N3902" s="11">
        <f>Summary!$C$16*Summary!$B$8</f>
        <v/>
      </c>
      <c r="O3902" s="11">
        <f>M3902-N3902</f>
        <v/>
      </c>
    </row>
    <row r="3903">
      <c r="A3903" s="9" t="n">
        <v>45454.54166666666</v>
      </c>
      <c r="B3903" t="n">
        <v>6</v>
      </c>
      <c r="C3903" t="n">
        <v>11</v>
      </c>
      <c r="D3903" t="n">
        <v>13</v>
      </c>
      <c r="E3903" s="10" t="n">
        <v>0.577655</v>
      </c>
      <c r="F3903" s="10" t="n">
        <v>0.2963546631251192</v>
      </c>
      <c r="G3903" s="11">
        <f>E3903*Summary!$B$6</f>
        <v/>
      </c>
      <c r="H3903" s="11">
        <f>F3903*Summary!$B$7</f>
        <v/>
      </c>
      <c r="I3903" s="11">
        <f>MAX(0,N3903-M3903)</f>
        <v/>
      </c>
      <c r="J3903" s="11">
        <f>MAX(0,M3903-N3903)</f>
        <v/>
      </c>
      <c r="K3903" s="11">
        <f>O3903</f>
        <v/>
      </c>
      <c r="L3903" s="11">
        <f>L3902+IF(K3903&gt;0,K3903*Summary!$B$9,K3903/Summary!$B$9)</f>
        <v/>
      </c>
      <c r="M3903" s="11">
        <f>G3903+H3903</f>
        <v/>
      </c>
      <c r="N3903" s="11">
        <f>Summary!$C$16*Summary!$B$8</f>
        <v/>
      </c>
      <c r="O3903" s="11">
        <f>M3903-N3903</f>
        <v/>
      </c>
    </row>
    <row r="3904">
      <c r="A3904" s="9" t="n">
        <v>45454.58333333334</v>
      </c>
      <c r="B3904" t="n">
        <v>6</v>
      </c>
      <c r="C3904" t="n">
        <v>11</v>
      </c>
      <c r="D3904" t="n">
        <v>14</v>
      </c>
      <c r="E3904" s="10" t="n">
        <v>0.615625</v>
      </c>
      <c r="F3904" s="10" t="n">
        <v>0.2940093345622403</v>
      </c>
      <c r="G3904" s="11">
        <f>E3904*Summary!$B$6</f>
        <v/>
      </c>
      <c r="H3904" s="11">
        <f>F3904*Summary!$B$7</f>
        <v/>
      </c>
      <c r="I3904" s="11">
        <f>MAX(0,N3904-M3904)</f>
        <v/>
      </c>
      <c r="J3904" s="11">
        <f>MAX(0,M3904-N3904)</f>
        <v/>
      </c>
      <c r="K3904" s="11">
        <f>O3904</f>
        <v/>
      </c>
      <c r="L3904" s="11">
        <f>L3903+IF(K3904&gt;0,K3904*Summary!$B$9,K3904/Summary!$B$9)</f>
        <v/>
      </c>
      <c r="M3904" s="11">
        <f>G3904+H3904</f>
        <v/>
      </c>
      <c r="N3904" s="11">
        <f>Summary!$C$16*Summary!$B$8</f>
        <v/>
      </c>
      <c r="O3904" s="11">
        <f>M3904-N3904</f>
        <v/>
      </c>
    </row>
    <row r="3905">
      <c r="A3905" s="9" t="n">
        <v>45454.625</v>
      </c>
      <c r="B3905" t="n">
        <v>6</v>
      </c>
      <c r="C3905" t="n">
        <v>11</v>
      </c>
      <c r="D3905" t="n">
        <v>15</v>
      </c>
      <c r="E3905" s="10" t="n">
        <v>0.397516</v>
      </c>
      <c r="F3905" s="10" t="n">
        <v>0.307896841895242</v>
      </c>
      <c r="G3905" s="11">
        <f>E3905*Summary!$B$6</f>
        <v/>
      </c>
      <c r="H3905" s="11">
        <f>F3905*Summary!$B$7</f>
        <v/>
      </c>
      <c r="I3905" s="11">
        <f>MAX(0,N3905-M3905)</f>
        <v/>
      </c>
      <c r="J3905" s="11">
        <f>MAX(0,M3905-N3905)</f>
        <v/>
      </c>
      <c r="K3905" s="11">
        <f>O3905</f>
        <v/>
      </c>
      <c r="L3905" s="11">
        <f>L3904+IF(K3905&gt;0,K3905*Summary!$B$9,K3905/Summary!$B$9)</f>
        <v/>
      </c>
      <c r="M3905" s="11">
        <f>G3905+H3905</f>
        <v/>
      </c>
      <c r="N3905" s="11">
        <f>Summary!$C$16*Summary!$B$8</f>
        <v/>
      </c>
      <c r="O3905" s="11">
        <f>M3905-N3905</f>
        <v/>
      </c>
    </row>
    <row r="3906">
      <c r="A3906" s="9" t="n">
        <v>45454.66666666666</v>
      </c>
      <c r="B3906" t="n">
        <v>6</v>
      </c>
      <c r="C3906" t="n">
        <v>11</v>
      </c>
      <c r="D3906" t="n">
        <v>16</v>
      </c>
      <c r="E3906" s="10" t="n">
        <v>0.376263</v>
      </c>
      <c r="F3906" s="10" t="n">
        <v>0.3155389237293417</v>
      </c>
      <c r="G3906" s="11">
        <f>E3906*Summary!$B$6</f>
        <v/>
      </c>
      <c r="H3906" s="11">
        <f>F3906*Summary!$B$7</f>
        <v/>
      </c>
      <c r="I3906" s="11">
        <f>MAX(0,N3906-M3906)</f>
        <v/>
      </c>
      <c r="J3906" s="11">
        <f>MAX(0,M3906-N3906)</f>
        <v/>
      </c>
      <c r="K3906" s="11">
        <f>O3906</f>
        <v/>
      </c>
      <c r="L3906" s="11">
        <f>L3905+IF(K3906&gt;0,K3906*Summary!$B$9,K3906/Summary!$B$9)</f>
        <v/>
      </c>
      <c r="M3906" s="11">
        <f>G3906+H3906</f>
        <v/>
      </c>
      <c r="N3906" s="11">
        <f>Summary!$C$16*Summary!$B$8</f>
        <v/>
      </c>
      <c r="O3906" s="11">
        <f>M3906-N3906</f>
        <v/>
      </c>
    </row>
    <row r="3907">
      <c r="A3907" s="9" t="n">
        <v>45454.70833333334</v>
      </c>
      <c r="B3907" t="n">
        <v>6</v>
      </c>
      <c r="C3907" t="n">
        <v>11</v>
      </c>
      <c r="D3907" t="n">
        <v>17</v>
      </c>
      <c r="E3907" s="10" t="n">
        <v>0.160324</v>
      </c>
      <c r="F3907" s="10" t="n">
        <v>0.3062893695094487</v>
      </c>
      <c r="G3907" s="11">
        <f>E3907*Summary!$B$6</f>
        <v/>
      </c>
      <c r="H3907" s="11">
        <f>F3907*Summary!$B$7</f>
        <v/>
      </c>
      <c r="I3907" s="11">
        <f>MAX(0,N3907-M3907)</f>
        <v/>
      </c>
      <c r="J3907" s="11">
        <f>MAX(0,M3907-N3907)</f>
        <v/>
      </c>
      <c r="K3907" s="11">
        <f>O3907</f>
        <v/>
      </c>
      <c r="L3907" s="11">
        <f>L3906+IF(K3907&gt;0,K3907*Summary!$B$9,K3907/Summary!$B$9)</f>
        <v/>
      </c>
      <c r="M3907" s="11">
        <f>G3907+H3907</f>
        <v/>
      </c>
      <c r="N3907" s="11">
        <f>Summary!$C$16*Summary!$B$8</f>
        <v/>
      </c>
      <c r="O3907" s="11">
        <f>M3907-N3907</f>
        <v/>
      </c>
    </row>
    <row r="3908">
      <c r="A3908" s="9" t="n">
        <v>45454.75</v>
      </c>
      <c r="B3908" t="n">
        <v>6</v>
      </c>
      <c r="C3908" t="n">
        <v>11</v>
      </c>
      <c r="D3908" t="n">
        <v>18</v>
      </c>
      <c r="E3908" s="10" t="n">
        <v>0.072116</v>
      </c>
      <c r="F3908" s="10" t="n">
        <v>0.2753521140845074</v>
      </c>
      <c r="G3908" s="11">
        <f>E3908*Summary!$B$6</f>
        <v/>
      </c>
      <c r="H3908" s="11">
        <f>F3908*Summary!$B$7</f>
        <v/>
      </c>
      <c r="I3908" s="11">
        <f>MAX(0,N3908-M3908)</f>
        <v/>
      </c>
      <c r="J3908" s="11">
        <f>MAX(0,M3908-N3908)</f>
        <v/>
      </c>
      <c r="K3908" s="11">
        <f>O3908</f>
        <v/>
      </c>
      <c r="L3908" s="11">
        <f>L3907+IF(K3908&gt;0,K3908*Summary!$B$9,K3908/Summary!$B$9)</f>
        <v/>
      </c>
      <c r="M3908" s="11">
        <f>G3908+H3908</f>
        <v/>
      </c>
      <c r="N3908" s="11">
        <f>Summary!$C$16*Summary!$B$8</f>
        <v/>
      </c>
      <c r="O3908" s="11">
        <f>M3908-N3908</f>
        <v/>
      </c>
    </row>
    <row r="3909">
      <c r="A3909" s="9" t="n">
        <v>45454.79166666666</v>
      </c>
      <c r="B3909" t="n">
        <v>6</v>
      </c>
      <c r="C3909" t="n">
        <v>11</v>
      </c>
      <c r="D3909" t="n">
        <v>19</v>
      </c>
      <c r="E3909" s="10" t="n">
        <v>0.025331</v>
      </c>
      <c r="F3909" s="10" t="n">
        <v>0.3049981211995491</v>
      </c>
      <c r="G3909" s="11">
        <f>E3909*Summary!$B$6</f>
        <v/>
      </c>
      <c r="H3909" s="11">
        <f>F3909*Summary!$B$7</f>
        <v/>
      </c>
      <c r="I3909" s="11">
        <f>MAX(0,N3909-M3909)</f>
        <v/>
      </c>
      <c r="J3909" s="11">
        <f>MAX(0,M3909-N3909)</f>
        <v/>
      </c>
      <c r="K3909" s="11">
        <f>O3909</f>
        <v/>
      </c>
      <c r="L3909" s="11">
        <f>L3908+IF(K3909&gt;0,K3909*Summary!$B$9,K3909/Summary!$B$9)</f>
        <v/>
      </c>
      <c r="M3909" s="11">
        <f>G3909+H3909</f>
        <v/>
      </c>
      <c r="N3909" s="11">
        <f>Summary!$C$16*Summary!$B$8</f>
        <v/>
      </c>
      <c r="O3909" s="11">
        <f>M3909-N3909</f>
        <v/>
      </c>
    </row>
    <row r="3910">
      <c r="A3910" s="9" t="n">
        <v>45454.83333333334</v>
      </c>
      <c r="B3910" t="n">
        <v>6</v>
      </c>
      <c r="C3910" t="n">
        <v>11</v>
      </c>
      <c r="D3910" t="n">
        <v>20</v>
      </c>
      <c r="E3910" s="10" t="n">
        <v>0.003184</v>
      </c>
      <c r="F3910" s="10" t="n">
        <v>0.2954059908974378</v>
      </c>
      <c r="G3910" s="11">
        <f>E3910*Summary!$B$6</f>
        <v/>
      </c>
      <c r="H3910" s="11">
        <f>F3910*Summary!$B$7</f>
        <v/>
      </c>
      <c r="I3910" s="11">
        <f>MAX(0,N3910-M3910)</f>
        <v/>
      </c>
      <c r="J3910" s="11">
        <f>MAX(0,M3910-N3910)</f>
        <v/>
      </c>
      <c r="K3910" s="11">
        <f>O3910</f>
        <v/>
      </c>
      <c r="L3910" s="11">
        <f>L3909+IF(K3910&gt;0,K3910*Summary!$B$9,K3910/Summary!$B$9)</f>
        <v/>
      </c>
      <c r="M3910" s="11">
        <f>G3910+H3910</f>
        <v/>
      </c>
      <c r="N3910" s="11">
        <f>Summary!$C$16*Summary!$B$8</f>
        <v/>
      </c>
      <c r="O3910" s="11">
        <f>M3910-N3910</f>
        <v/>
      </c>
    </row>
    <row r="3911">
      <c r="A3911" s="9" t="n">
        <v>45454.875</v>
      </c>
      <c r="B3911" t="n">
        <v>6</v>
      </c>
      <c r="C3911" t="n">
        <v>11</v>
      </c>
      <c r="D3911" t="n">
        <v>21</v>
      </c>
      <c r="E3911" s="10" t="n">
        <v>0</v>
      </c>
      <c r="F3911" s="10" t="n">
        <v>0.3139314513435483</v>
      </c>
      <c r="G3911" s="11">
        <f>E3911*Summary!$B$6</f>
        <v/>
      </c>
      <c r="H3911" s="11">
        <f>F3911*Summary!$B$7</f>
        <v/>
      </c>
      <c r="I3911" s="11">
        <f>MAX(0,N3911-M3911)</f>
        <v/>
      </c>
      <c r="J3911" s="11">
        <f>MAX(0,M3911-N3911)</f>
        <v/>
      </c>
      <c r="K3911" s="11">
        <f>O3911</f>
        <v/>
      </c>
      <c r="L3911" s="11">
        <f>L3910+IF(K3911&gt;0,K3911*Summary!$B$9,K3911/Summary!$B$9)</f>
        <v/>
      </c>
      <c r="M3911" s="11">
        <f>G3911+H3911</f>
        <v/>
      </c>
      <c r="N3911" s="11">
        <f>Summary!$C$16*Summary!$B$8</f>
        <v/>
      </c>
      <c r="O3911" s="11">
        <f>M3911-N3911</f>
        <v/>
      </c>
    </row>
    <row r="3912">
      <c r="A3912" s="9" t="n">
        <v>45454.91666666666</v>
      </c>
      <c r="B3912" t="n">
        <v>6</v>
      </c>
      <c r="C3912" t="n">
        <v>11</v>
      </c>
      <c r="D3912" t="n">
        <v>22</v>
      </c>
      <c r="E3912" s="10" t="n">
        <v>0</v>
      </c>
      <c r="F3912" s="10" t="n">
        <v>0.3289784469548273</v>
      </c>
      <c r="G3912" s="11">
        <f>E3912*Summary!$B$6</f>
        <v/>
      </c>
      <c r="H3912" s="11">
        <f>F3912*Summary!$B$7</f>
        <v/>
      </c>
      <c r="I3912" s="11">
        <f>MAX(0,N3912-M3912)</f>
        <v/>
      </c>
      <c r="J3912" s="11">
        <f>MAX(0,M3912-N3912)</f>
        <v/>
      </c>
      <c r="K3912" s="11">
        <f>O3912</f>
        <v/>
      </c>
      <c r="L3912" s="11">
        <f>L3911+IF(K3912&gt;0,K3912*Summary!$B$9,K3912/Summary!$B$9)</f>
        <v/>
      </c>
      <c r="M3912" s="11">
        <f>G3912+H3912</f>
        <v/>
      </c>
      <c r="N3912" s="11">
        <f>Summary!$C$16*Summary!$B$8</f>
        <v/>
      </c>
      <c r="O3912" s="11">
        <f>M3912-N3912</f>
        <v/>
      </c>
    </row>
    <row r="3913">
      <c r="A3913" s="9" t="n">
        <v>45454.95833333334</v>
      </c>
      <c r="B3913" t="n">
        <v>6</v>
      </c>
      <c r="C3913" t="n">
        <v>11</v>
      </c>
      <c r="D3913" t="n">
        <v>23</v>
      </c>
      <c r="E3913" s="10" t="n">
        <v>0</v>
      </c>
      <c r="F3913" s="10" t="n">
        <v>0.3429977143194514</v>
      </c>
      <c r="G3913" s="11">
        <f>E3913*Summary!$B$6</f>
        <v/>
      </c>
      <c r="H3913" s="11">
        <f>F3913*Summary!$B$7</f>
        <v/>
      </c>
      <c r="I3913" s="11">
        <f>MAX(0,N3913-M3913)</f>
        <v/>
      </c>
      <c r="J3913" s="11">
        <f>MAX(0,M3913-N3913)</f>
        <v/>
      </c>
      <c r="K3913" s="11">
        <f>O3913</f>
        <v/>
      </c>
      <c r="L3913" s="11">
        <f>L3912+IF(K3913&gt;0,K3913*Summary!$B$9,K3913/Summary!$B$9)</f>
        <v/>
      </c>
      <c r="M3913" s="11">
        <f>G3913+H3913</f>
        <v/>
      </c>
      <c r="N3913" s="11">
        <f>Summary!$C$16*Summary!$B$8</f>
        <v/>
      </c>
      <c r="O3913" s="11">
        <f>M3913-N3913</f>
        <v/>
      </c>
    </row>
    <row r="3914">
      <c r="A3914" s="9" t="n">
        <v>45455</v>
      </c>
      <c r="B3914" t="n">
        <v>6</v>
      </c>
      <c r="C3914" t="n">
        <v>12</v>
      </c>
      <c r="D3914" t="n">
        <v>0</v>
      </c>
      <c r="E3914" s="10" t="n">
        <v>0</v>
      </c>
      <c r="F3914" s="10" t="n">
        <v>0.3010189682445524</v>
      </c>
      <c r="G3914" s="11">
        <f>E3914*Summary!$B$6</f>
        <v/>
      </c>
      <c r="H3914" s="11">
        <f>F3914*Summary!$B$7</f>
        <v/>
      </c>
      <c r="I3914" s="11">
        <f>MAX(0,N3914-M3914)</f>
        <v/>
      </c>
      <c r="J3914" s="11">
        <f>MAX(0,M3914-N3914)</f>
        <v/>
      </c>
      <c r="K3914" s="11">
        <f>O3914</f>
        <v/>
      </c>
      <c r="L3914" s="11">
        <f>L3913+IF(K3914&gt;0,K3914*Summary!$B$9,K3914/Summary!$B$9)</f>
        <v/>
      </c>
      <c r="M3914" s="11">
        <f>G3914+H3914</f>
        <v/>
      </c>
      <c r="N3914" s="11">
        <f>Summary!$C$16*Summary!$B$8</f>
        <v/>
      </c>
      <c r="O3914" s="11">
        <f>M3914-N3914</f>
        <v/>
      </c>
    </row>
    <row r="3915">
      <c r="A3915" s="9" t="n">
        <v>45455.04166666666</v>
      </c>
      <c r="B3915" t="n">
        <v>6</v>
      </c>
      <c r="C3915" t="n">
        <v>12</v>
      </c>
      <c r="D3915" t="n">
        <v>1</v>
      </c>
      <c r="E3915" s="10" t="n">
        <v>0</v>
      </c>
      <c r="F3915" s="10" t="n">
        <v>0.3481363555527253</v>
      </c>
      <c r="G3915" s="11">
        <f>E3915*Summary!$B$6</f>
        <v/>
      </c>
      <c r="H3915" s="11">
        <f>F3915*Summary!$B$7</f>
        <v/>
      </c>
      <c r="I3915" s="11">
        <f>MAX(0,N3915-M3915)</f>
        <v/>
      </c>
      <c r="J3915" s="11">
        <f>MAX(0,M3915-N3915)</f>
        <v/>
      </c>
      <c r="K3915" s="11">
        <f>O3915</f>
        <v/>
      </c>
      <c r="L3915" s="11">
        <f>L3914+IF(K3915&gt;0,K3915*Summary!$B$9,K3915/Summary!$B$9)</f>
        <v/>
      </c>
      <c r="M3915" s="11">
        <f>G3915+H3915</f>
        <v/>
      </c>
      <c r="N3915" s="11">
        <f>Summary!$C$16*Summary!$B$8</f>
        <v/>
      </c>
      <c r="O3915" s="11">
        <f>M3915-N3915</f>
        <v/>
      </c>
    </row>
    <row r="3916">
      <c r="A3916" s="9" t="n">
        <v>45455.08333333334</v>
      </c>
      <c r="B3916" t="n">
        <v>6</v>
      </c>
      <c r="C3916" t="n">
        <v>12</v>
      </c>
      <c r="D3916" t="n">
        <v>2</v>
      </c>
      <c r="E3916" s="10" t="n">
        <v>0</v>
      </c>
      <c r="F3916" s="10" t="n">
        <v>0.3456329149518996</v>
      </c>
      <c r="G3916" s="11">
        <f>E3916*Summary!$B$6</f>
        <v/>
      </c>
      <c r="H3916" s="11">
        <f>F3916*Summary!$B$7</f>
        <v/>
      </c>
      <c r="I3916" s="11">
        <f>MAX(0,N3916-M3916)</f>
        <v/>
      </c>
      <c r="J3916" s="11">
        <f>MAX(0,M3916-N3916)</f>
        <v/>
      </c>
      <c r="K3916" s="11">
        <f>O3916</f>
        <v/>
      </c>
      <c r="L3916" s="11">
        <f>L3915+IF(K3916&gt;0,K3916*Summary!$B$9,K3916/Summary!$B$9)</f>
        <v/>
      </c>
      <c r="M3916" s="11">
        <f>G3916+H3916</f>
        <v/>
      </c>
      <c r="N3916" s="11">
        <f>Summary!$C$16*Summary!$B$8</f>
        <v/>
      </c>
      <c r="O3916" s="11">
        <f>M3916-N3916</f>
        <v/>
      </c>
    </row>
    <row r="3917">
      <c r="A3917" s="9" t="n">
        <v>45455.125</v>
      </c>
      <c r="B3917" t="n">
        <v>6</v>
      </c>
      <c r="C3917" t="n">
        <v>12</v>
      </c>
      <c r="D3917" t="n">
        <v>3</v>
      </c>
      <c r="E3917" s="10" t="n">
        <v>0</v>
      </c>
      <c r="F3917" s="10" t="n">
        <v>0.3417064660095518</v>
      </c>
      <c r="G3917" s="11">
        <f>E3917*Summary!$B$6</f>
        <v/>
      </c>
      <c r="H3917" s="11">
        <f>F3917*Summary!$B$7</f>
        <v/>
      </c>
      <c r="I3917" s="11">
        <f>MAX(0,N3917-M3917)</f>
        <v/>
      </c>
      <c r="J3917" s="11">
        <f>MAX(0,M3917-N3917)</f>
        <v/>
      </c>
      <c r="K3917" s="11">
        <f>O3917</f>
        <v/>
      </c>
      <c r="L3917" s="11">
        <f>L3916+IF(K3917&gt;0,K3917*Summary!$B$9,K3917/Summary!$B$9)</f>
        <v/>
      </c>
      <c r="M3917" s="11">
        <f>G3917+H3917</f>
        <v/>
      </c>
      <c r="N3917" s="11">
        <f>Summary!$C$16*Summary!$B$8</f>
        <v/>
      </c>
      <c r="O3917" s="11">
        <f>M3917-N3917</f>
        <v/>
      </c>
    </row>
    <row r="3918">
      <c r="A3918" s="9" t="n">
        <v>45455.16666666666</v>
      </c>
      <c r="B3918" t="n">
        <v>6</v>
      </c>
      <c r="C3918" t="n">
        <v>12</v>
      </c>
      <c r="D3918" t="n">
        <v>4</v>
      </c>
      <c r="E3918" s="10" t="n">
        <v>0.036015</v>
      </c>
      <c r="F3918" s="10" t="n">
        <v>0.3294527830686679</v>
      </c>
      <c r="G3918" s="11">
        <f>E3918*Summary!$B$6</f>
        <v/>
      </c>
      <c r="H3918" s="11">
        <f>F3918*Summary!$B$7</f>
        <v/>
      </c>
      <c r="I3918" s="11">
        <f>MAX(0,N3918-M3918)</f>
        <v/>
      </c>
      <c r="J3918" s="11">
        <f>MAX(0,M3918-N3918)</f>
        <v/>
      </c>
      <c r="K3918" s="11">
        <f>O3918</f>
        <v/>
      </c>
      <c r="L3918" s="11">
        <f>L3917+IF(K3918&gt;0,K3918*Summary!$B$9,K3918/Summary!$B$9)</f>
        <v/>
      </c>
      <c r="M3918" s="11">
        <f>G3918+H3918</f>
        <v/>
      </c>
      <c r="N3918" s="11">
        <f>Summary!$C$16*Summary!$B$8</f>
        <v/>
      </c>
      <c r="O3918" s="11">
        <f>M3918-N3918</f>
        <v/>
      </c>
    </row>
    <row r="3919">
      <c r="A3919" s="9" t="n">
        <v>45455.20833333334</v>
      </c>
      <c r="B3919" t="n">
        <v>6</v>
      </c>
      <c r="C3919" t="n">
        <v>12</v>
      </c>
      <c r="D3919" t="n">
        <v>5</v>
      </c>
      <c r="E3919" s="10" t="n">
        <v>0.08193599999999999</v>
      </c>
      <c r="F3919" s="10" t="n">
        <v>0.3056832733639856</v>
      </c>
      <c r="G3919" s="11">
        <f>E3919*Summary!$B$6</f>
        <v/>
      </c>
      <c r="H3919" s="11">
        <f>F3919*Summary!$B$7</f>
        <v/>
      </c>
      <c r="I3919" s="11">
        <f>MAX(0,N3919-M3919)</f>
        <v/>
      </c>
      <c r="J3919" s="11">
        <f>MAX(0,M3919-N3919)</f>
        <v/>
      </c>
      <c r="K3919" s="11">
        <f>O3919</f>
        <v/>
      </c>
      <c r="L3919" s="11">
        <f>L3918+IF(K3919&gt;0,K3919*Summary!$B$9,K3919/Summary!$B$9)</f>
        <v/>
      </c>
      <c r="M3919" s="11">
        <f>G3919+H3919</f>
        <v/>
      </c>
      <c r="N3919" s="11">
        <f>Summary!$C$16*Summary!$B$8</f>
        <v/>
      </c>
      <c r="O3919" s="11">
        <f>M3919-N3919</f>
        <v/>
      </c>
    </row>
    <row r="3920">
      <c r="A3920" s="9" t="n">
        <v>45455.25</v>
      </c>
      <c r="B3920" t="n">
        <v>6</v>
      </c>
      <c r="C3920" t="n">
        <v>12</v>
      </c>
      <c r="D3920" t="n">
        <v>6</v>
      </c>
      <c r="E3920" s="10" t="n">
        <v>0.168051</v>
      </c>
      <c r="F3920" s="10" t="n">
        <v>0.2797792511470202</v>
      </c>
      <c r="G3920" s="11">
        <f>E3920*Summary!$B$6</f>
        <v/>
      </c>
      <c r="H3920" s="11">
        <f>F3920*Summary!$B$7</f>
        <v/>
      </c>
      <c r="I3920" s="11">
        <f>MAX(0,N3920-M3920)</f>
        <v/>
      </c>
      <c r="J3920" s="11">
        <f>MAX(0,M3920-N3920)</f>
        <v/>
      </c>
      <c r="K3920" s="11">
        <f>O3920</f>
        <v/>
      </c>
      <c r="L3920" s="11">
        <f>L3919+IF(K3920&gt;0,K3920*Summary!$B$9,K3920/Summary!$B$9)</f>
        <v/>
      </c>
      <c r="M3920" s="11">
        <f>G3920+H3920</f>
        <v/>
      </c>
      <c r="N3920" s="11">
        <f>Summary!$C$16*Summary!$B$8</f>
        <v/>
      </c>
      <c r="O3920" s="11">
        <f>M3920-N3920</f>
        <v/>
      </c>
    </row>
    <row r="3921">
      <c r="A3921" s="9" t="n">
        <v>45455.29166666666</v>
      </c>
      <c r="B3921" t="n">
        <v>6</v>
      </c>
      <c r="C3921" t="n">
        <v>12</v>
      </c>
      <c r="D3921" t="n">
        <v>7</v>
      </c>
      <c r="E3921" s="10" t="n">
        <v>0.309349</v>
      </c>
      <c r="F3921" s="10" t="n">
        <v>0.2628349110803787</v>
      </c>
      <c r="G3921" s="11">
        <f>E3921*Summary!$B$6</f>
        <v/>
      </c>
      <c r="H3921" s="11">
        <f>F3921*Summary!$B$7</f>
        <v/>
      </c>
      <c r="I3921" s="11">
        <f>MAX(0,N3921-M3921)</f>
        <v/>
      </c>
      <c r="J3921" s="11">
        <f>MAX(0,M3921-N3921)</f>
        <v/>
      </c>
      <c r="K3921" s="11">
        <f>O3921</f>
        <v/>
      </c>
      <c r="L3921" s="11">
        <f>L3920+IF(K3921&gt;0,K3921*Summary!$B$9,K3921/Summary!$B$9)</f>
        <v/>
      </c>
      <c r="M3921" s="11">
        <f>G3921+H3921</f>
        <v/>
      </c>
      <c r="N3921" s="11">
        <f>Summary!$C$16*Summary!$B$8</f>
        <v/>
      </c>
      <c r="O3921" s="11">
        <f>M3921-N3921</f>
        <v/>
      </c>
    </row>
    <row r="3922">
      <c r="A3922" s="9" t="n">
        <v>45455.33333333334</v>
      </c>
      <c r="B3922" t="n">
        <v>6</v>
      </c>
      <c r="C3922" t="n">
        <v>12</v>
      </c>
      <c r="D3922" t="n">
        <v>8</v>
      </c>
      <c r="E3922" s="10" t="n">
        <v>0.405034</v>
      </c>
      <c r="F3922" s="10" t="n">
        <v>0.2624923349981604</v>
      </c>
      <c r="G3922" s="11">
        <f>E3922*Summary!$B$6</f>
        <v/>
      </c>
      <c r="H3922" s="11">
        <f>F3922*Summary!$B$7</f>
        <v/>
      </c>
      <c r="I3922" s="11">
        <f>MAX(0,N3922-M3922)</f>
        <v/>
      </c>
      <c r="J3922" s="11">
        <f>MAX(0,M3922-N3922)</f>
        <v/>
      </c>
      <c r="K3922" s="11">
        <f>O3922</f>
        <v/>
      </c>
      <c r="L3922" s="11">
        <f>L3921+IF(K3922&gt;0,K3922*Summary!$B$9,K3922/Summary!$B$9)</f>
        <v/>
      </c>
      <c r="M3922" s="11">
        <f>G3922+H3922</f>
        <v/>
      </c>
      <c r="N3922" s="11">
        <f>Summary!$C$16*Summary!$B$8</f>
        <v/>
      </c>
      <c r="O3922" s="11">
        <f>M3922-N3922</f>
        <v/>
      </c>
    </row>
    <row r="3923">
      <c r="A3923" s="9" t="n">
        <v>45455.375</v>
      </c>
      <c r="B3923" t="n">
        <v>6</v>
      </c>
      <c r="C3923" t="n">
        <v>12</v>
      </c>
      <c r="D3923" t="n">
        <v>9</v>
      </c>
      <c r="E3923" s="10" t="n">
        <v>0.359941</v>
      </c>
      <c r="F3923" s="10" t="n">
        <v>0.2712148490915638</v>
      </c>
      <c r="G3923" s="11">
        <f>E3923*Summary!$B$6</f>
        <v/>
      </c>
      <c r="H3923" s="11">
        <f>F3923*Summary!$B$7</f>
        <v/>
      </c>
      <c r="I3923" s="11">
        <f>MAX(0,N3923-M3923)</f>
        <v/>
      </c>
      <c r="J3923" s="11">
        <f>MAX(0,M3923-N3923)</f>
        <v/>
      </c>
      <c r="K3923" s="11">
        <f>O3923</f>
        <v/>
      </c>
      <c r="L3923" s="11">
        <f>L3922+IF(K3923&gt;0,K3923*Summary!$B$9,K3923/Summary!$B$9)</f>
        <v/>
      </c>
      <c r="M3923" s="11">
        <f>G3923+H3923</f>
        <v/>
      </c>
      <c r="N3923" s="11">
        <f>Summary!$C$16*Summary!$B$8</f>
        <v/>
      </c>
      <c r="O3923" s="11">
        <f>M3923-N3923</f>
        <v/>
      </c>
    </row>
    <row r="3924">
      <c r="A3924" s="9" t="n">
        <v>45455.41666666666</v>
      </c>
      <c r="B3924" t="n">
        <v>6</v>
      </c>
      <c r="C3924" t="n">
        <v>12</v>
      </c>
      <c r="D3924" t="n">
        <v>10</v>
      </c>
      <c r="E3924" s="10" t="n">
        <v>0.599035</v>
      </c>
      <c r="F3924" s="10" t="n">
        <v>0.2796474911153978</v>
      </c>
      <c r="G3924" s="11">
        <f>E3924*Summary!$B$6</f>
        <v/>
      </c>
      <c r="H3924" s="11">
        <f>F3924*Summary!$B$7</f>
        <v/>
      </c>
      <c r="I3924" s="11">
        <f>MAX(0,N3924-M3924)</f>
        <v/>
      </c>
      <c r="J3924" s="11">
        <f>MAX(0,M3924-N3924)</f>
        <v/>
      </c>
      <c r="K3924" s="11">
        <f>O3924</f>
        <v/>
      </c>
      <c r="L3924" s="11">
        <f>L3923+IF(K3924&gt;0,K3924*Summary!$B$9,K3924/Summary!$B$9)</f>
        <v/>
      </c>
      <c r="M3924" s="11">
        <f>G3924+H3924</f>
        <v/>
      </c>
      <c r="N3924" s="11">
        <f>Summary!$C$16*Summary!$B$8</f>
        <v/>
      </c>
      <c r="O3924" s="11">
        <f>M3924-N3924</f>
        <v/>
      </c>
    </row>
    <row r="3925">
      <c r="A3925" s="9" t="n">
        <v>45455.45833333334</v>
      </c>
      <c r="B3925" t="n">
        <v>6</v>
      </c>
      <c r="C3925" t="n">
        <v>12</v>
      </c>
      <c r="D3925" t="n">
        <v>11</v>
      </c>
      <c r="E3925" s="10" t="n">
        <v>0.754058</v>
      </c>
      <c r="F3925" s="10" t="n">
        <v>0.2895821974997274</v>
      </c>
      <c r="G3925" s="11">
        <f>E3925*Summary!$B$6</f>
        <v/>
      </c>
      <c r="H3925" s="11">
        <f>F3925*Summary!$B$7</f>
        <v/>
      </c>
      <c r="I3925" s="11">
        <f>MAX(0,N3925-M3925)</f>
        <v/>
      </c>
      <c r="J3925" s="11">
        <f>MAX(0,M3925-N3925)</f>
        <v/>
      </c>
      <c r="K3925" s="11">
        <f>O3925</f>
        <v/>
      </c>
      <c r="L3925" s="11">
        <f>L3924+IF(K3925&gt;0,K3925*Summary!$B$9,K3925/Summary!$B$9)</f>
        <v/>
      </c>
      <c r="M3925" s="11">
        <f>G3925+H3925</f>
        <v/>
      </c>
      <c r="N3925" s="11">
        <f>Summary!$C$16*Summary!$B$8</f>
        <v/>
      </c>
      <c r="O3925" s="11">
        <f>M3925-N3925</f>
        <v/>
      </c>
    </row>
    <row r="3926">
      <c r="A3926" s="9" t="n">
        <v>45455.5</v>
      </c>
      <c r="B3926" t="n">
        <v>6</v>
      </c>
      <c r="C3926" t="n">
        <v>12</v>
      </c>
      <c r="D3926" t="n">
        <v>12</v>
      </c>
      <c r="E3926" s="10" t="n">
        <v>0.754058</v>
      </c>
      <c r="F3926" s="10" t="n">
        <v>0.2964073671377681</v>
      </c>
      <c r="G3926" s="11">
        <f>E3926*Summary!$B$6</f>
        <v/>
      </c>
      <c r="H3926" s="11">
        <f>F3926*Summary!$B$7</f>
        <v/>
      </c>
      <c r="I3926" s="11">
        <f>MAX(0,N3926-M3926)</f>
        <v/>
      </c>
      <c r="J3926" s="11">
        <f>MAX(0,M3926-N3926)</f>
        <v/>
      </c>
      <c r="K3926" s="11">
        <f>O3926</f>
        <v/>
      </c>
      <c r="L3926" s="11">
        <f>L3925+IF(K3926&gt;0,K3926*Summary!$B$9,K3926/Summary!$B$9)</f>
        <v/>
      </c>
      <c r="M3926" s="11">
        <f>G3926+H3926</f>
        <v/>
      </c>
      <c r="N3926" s="11">
        <f>Summary!$C$16*Summary!$B$8</f>
        <v/>
      </c>
      <c r="O3926" s="11">
        <f>M3926-N3926</f>
        <v/>
      </c>
    </row>
    <row r="3927">
      <c r="A3927" s="9" t="n">
        <v>45455.54166666666</v>
      </c>
      <c r="B3927" t="n">
        <v>6</v>
      </c>
      <c r="C3927" t="n">
        <v>12</v>
      </c>
      <c r="D3927" t="n">
        <v>13</v>
      </c>
      <c r="E3927" s="10" t="n">
        <v>0.754058</v>
      </c>
      <c r="F3927" s="10" t="n">
        <v>0.3004919281180627</v>
      </c>
      <c r="G3927" s="11">
        <f>E3927*Summary!$B$6</f>
        <v/>
      </c>
      <c r="H3927" s="11">
        <f>F3927*Summary!$B$7</f>
        <v/>
      </c>
      <c r="I3927" s="11">
        <f>MAX(0,N3927-M3927)</f>
        <v/>
      </c>
      <c r="J3927" s="11">
        <f>MAX(0,M3927-N3927)</f>
        <v/>
      </c>
      <c r="K3927" s="11">
        <f>O3927</f>
        <v/>
      </c>
      <c r="L3927" s="11">
        <f>L3926+IF(K3927&gt;0,K3927*Summary!$B$9,K3927/Summary!$B$9)</f>
        <v/>
      </c>
      <c r="M3927" s="11">
        <f>G3927+H3927</f>
        <v/>
      </c>
      <c r="N3927" s="11">
        <f>Summary!$C$16*Summary!$B$8</f>
        <v/>
      </c>
      <c r="O3927" s="11">
        <f>M3927-N3927</f>
        <v/>
      </c>
    </row>
    <row r="3928">
      <c r="A3928" s="9" t="n">
        <v>45455.58333333334</v>
      </c>
      <c r="B3928" t="n">
        <v>6</v>
      </c>
      <c r="C3928" t="n">
        <v>12</v>
      </c>
      <c r="D3928" t="n">
        <v>14</v>
      </c>
      <c r="E3928" s="10" t="n">
        <v>0.754058</v>
      </c>
      <c r="F3928" s="10" t="n">
        <v>0.3001493520358445</v>
      </c>
      <c r="G3928" s="11">
        <f>E3928*Summary!$B$6</f>
        <v/>
      </c>
      <c r="H3928" s="11">
        <f>F3928*Summary!$B$7</f>
        <v/>
      </c>
      <c r="I3928" s="11">
        <f>MAX(0,N3928-M3928)</f>
        <v/>
      </c>
      <c r="J3928" s="11">
        <f>MAX(0,M3928-N3928)</f>
        <v/>
      </c>
      <c r="K3928" s="11">
        <f>O3928</f>
        <v/>
      </c>
      <c r="L3928" s="11">
        <f>L3927+IF(K3928&gt;0,K3928*Summary!$B$9,K3928/Summary!$B$9)</f>
        <v/>
      </c>
      <c r="M3928" s="11">
        <f>G3928+H3928</f>
        <v/>
      </c>
      <c r="N3928" s="11">
        <f>Summary!$C$16*Summary!$B$8</f>
        <v/>
      </c>
      <c r="O3928" s="11">
        <f>M3928-N3928</f>
        <v/>
      </c>
    </row>
    <row r="3929">
      <c r="A3929" s="9" t="n">
        <v>45455.625</v>
      </c>
      <c r="B3929" t="n">
        <v>6</v>
      </c>
      <c r="C3929" t="n">
        <v>12</v>
      </c>
      <c r="D3929" t="n">
        <v>15</v>
      </c>
      <c r="E3929" s="10" t="n">
        <v>0.651007</v>
      </c>
      <c r="F3929" s="10" t="n">
        <v>0.3008081521939565</v>
      </c>
      <c r="G3929" s="11">
        <f>E3929*Summary!$B$6</f>
        <v/>
      </c>
      <c r="H3929" s="11">
        <f>F3929*Summary!$B$7</f>
        <v/>
      </c>
      <c r="I3929" s="11">
        <f>MAX(0,N3929-M3929)</f>
        <v/>
      </c>
      <c r="J3929" s="11">
        <f>MAX(0,M3929-N3929)</f>
        <v/>
      </c>
      <c r="K3929" s="11">
        <f>O3929</f>
        <v/>
      </c>
      <c r="L3929" s="11">
        <f>L3928+IF(K3929&gt;0,K3929*Summary!$B$9,K3929/Summary!$B$9)</f>
        <v/>
      </c>
      <c r="M3929" s="11">
        <f>G3929+H3929</f>
        <v/>
      </c>
      <c r="N3929" s="11">
        <f>Summary!$C$16*Summary!$B$8</f>
        <v/>
      </c>
      <c r="O3929" s="11">
        <f>M3929-N3929</f>
        <v/>
      </c>
    </row>
    <row r="3930">
      <c r="A3930" s="9" t="n">
        <v>45455.66666666666</v>
      </c>
      <c r="B3930" t="n">
        <v>6</v>
      </c>
      <c r="C3930" t="n">
        <v>12</v>
      </c>
      <c r="D3930" t="n">
        <v>16</v>
      </c>
      <c r="E3930" s="10" t="n">
        <v>0.474477</v>
      </c>
      <c r="F3930" s="10" t="n">
        <v>0.2957222149733316</v>
      </c>
      <c r="G3930" s="11">
        <f>E3930*Summary!$B$6</f>
        <v/>
      </c>
      <c r="H3930" s="11">
        <f>F3930*Summary!$B$7</f>
        <v/>
      </c>
      <c r="I3930" s="11">
        <f>MAX(0,N3930-M3930)</f>
        <v/>
      </c>
      <c r="J3930" s="11">
        <f>MAX(0,M3930-N3930)</f>
        <v/>
      </c>
      <c r="K3930" s="11">
        <f>O3930</f>
        <v/>
      </c>
      <c r="L3930" s="11">
        <f>L3929+IF(K3930&gt;0,K3930*Summary!$B$9,K3930/Summary!$B$9)</f>
        <v/>
      </c>
      <c r="M3930" s="11">
        <f>G3930+H3930</f>
        <v/>
      </c>
      <c r="N3930" s="11">
        <f>Summary!$C$16*Summary!$B$8</f>
        <v/>
      </c>
      <c r="O3930" s="11">
        <f>M3930-N3930</f>
        <v/>
      </c>
    </row>
    <row r="3931">
      <c r="A3931" s="9" t="n">
        <v>45455.70833333334</v>
      </c>
      <c r="B3931" t="n">
        <v>6</v>
      </c>
      <c r="C3931" t="n">
        <v>12</v>
      </c>
      <c r="D3931" t="n">
        <v>17</v>
      </c>
      <c r="E3931" s="10" t="n">
        <v>0.275243</v>
      </c>
      <c r="F3931" s="10" t="n">
        <v>0.2877375570570137</v>
      </c>
      <c r="G3931" s="11">
        <f>E3931*Summary!$B$6</f>
        <v/>
      </c>
      <c r="H3931" s="11">
        <f>F3931*Summary!$B$7</f>
        <v/>
      </c>
      <c r="I3931" s="11">
        <f>MAX(0,N3931-M3931)</f>
        <v/>
      </c>
      <c r="J3931" s="11">
        <f>MAX(0,M3931-N3931)</f>
        <v/>
      </c>
      <c r="K3931" s="11">
        <f>O3931</f>
        <v/>
      </c>
      <c r="L3931" s="11">
        <f>L3930+IF(K3931&gt;0,K3931*Summary!$B$9,K3931/Summary!$B$9)</f>
        <v/>
      </c>
      <c r="M3931" s="11">
        <f>G3931+H3931</f>
        <v/>
      </c>
      <c r="N3931" s="11">
        <f>Summary!$C$16*Summary!$B$8</f>
        <v/>
      </c>
      <c r="O3931" s="11">
        <f>M3931-N3931</f>
        <v/>
      </c>
    </row>
    <row r="3932">
      <c r="A3932" s="9" t="n">
        <v>45455.75</v>
      </c>
      <c r="B3932" t="n">
        <v>6</v>
      </c>
      <c r="C3932" t="n">
        <v>12</v>
      </c>
      <c r="D3932" t="n">
        <v>18</v>
      </c>
      <c r="E3932" s="10" t="n">
        <v>0.097593</v>
      </c>
      <c r="F3932" s="10" t="n">
        <v>0.3000439440105466</v>
      </c>
      <c r="G3932" s="11">
        <f>E3932*Summary!$B$6</f>
        <v/>
      </c>
      <c r="H3932" s="11">
        <f>F3932*Summary!$B$7</f>
        <v/>
      </c>
      <c r="I3932" s="11">
        <f>MAX(0,N3932-M3932)</f>
        <v/>
      </c>
      <c r="J3932" s="11">
        <f>MAX(0,M3932-N3932)</f>
        <v/>
      </c>
      <c r="K3932" s="11">
        <f>O3932</f>
        <v/>
      </c>
      <c r="L3932" s="11">
        <f>L3931+IF(K3932&gt;0,K3932*Summary!$B$9,K3932/Summary!$B$9)</f>
        <v/>
      </c>
      <c r="M3932" s="11">
        <f>G3932+H3932</f>
        <v/>
      </c>
      <c r="N3932" s="11">
        <f>Summary!$C$16*Summary!$B$8</f>
        <v/>
      </c>
      <c r="O3932" s="11">
        <f>M3932-N3932</f>
        <v/>
      </c>
    </row>
    <row r="3933">
      <c r="A3933" s="9" t="n">
        <v>45455.79166666666</v>
      </c>
      <c r="B3933" t="n">
        <v>6</v>
      </c>
      <c r="C3933" t="n">
        <v>12</v>
      </c>
      <c r="D3933" t="n">
        <v>19</v>
      </c>
      <c r="E3933" s="10" t="n">
        <v>0.042887</v>
      </c>
      <c r="F3933" s="10" t="n">
        <v>0.2671039361049447</v>
      </c>
      <c r="G3933" s="11">
        <f>E3933*Summary!$B$6</f>
        <v/>
      </c>
      <c r="H3933" s="11">
        <f>F3933*Summary!$B$7</f>
        <v/>
      </c>
      <c r="I3933" s="11">
        <f>MAX(0,N3933-M3933)</f>
        <v/>
      </c>
      <c r="J3933" s="11">
        <f>MAX(0,M3933-N3933)</f>
        <v/>
      </c>
      <c r="K3933" s="11">
        <f>O3933</f>
        <v/>
      </c>
      <c r="L3933" s="11">
        <f>L3932+IF(K3933&gt;0,K3933*Summary!$B$9,K3933/Summary!$B$9)</f>
        <v/>
      </c>
      <c r="M3933" s="11">
        <f>G3933+H3933</f>
        <v/>
      </c>
      <c r="N3933" s="11">
        <f>Summary!$C$16*Summary!$B$8</f>
        <v/>
      </c>
      <c r="O3933" s="11">
        <f>M3933-N3933</f>
        <v/>
      </c>
    </row>
    <row r="3934">
      <c r="A3934" s="9" t="n">
        <v>45455.83333333334</v>
      </c>
      <c r="B3934" t="n">
        <v>6</v>
      </c>
      <c r="C3934" t="n">
        <v>12</v>
      </c>
      <c r="D3934" t="n">
        <v>20</v>
      </c>
      <c r="E3934" s="10" t="n">
        <v>0.023676</v>
      </c>
      <c r="F3934" s="10" t="n">
        <v>0.2744824978757995</v>
      </c>
      <c r="G3934" s="11">
        <f>E3934*Summary!$B$6</f>
        <v/>
      </c>
      <c r="H3934" s="11">
        <f>F3934*Summary!$B$7</f>
        <v/>
      </c>
      <c r="I3934" s="11">
        <f>MAX(0,N3934-M3934)</f>
        <v/>
      </c>
      <c r="J3934" s="11">
        <f>MAX(0,M3934-N3934)</f>
        <v/>
      </c>
      <c r="K3934" s="11">
        <f>O3934</f>
        <v/>
      </c>
      <c r="L3934" s="11">
        <f>L3933+IF(K3934&gt;0,K3934*Summary!$B$9,K3934/Summary!$B$9)</f>
        <v/>
      </c>
      <c r="M3934" s="11">
        <f>G3934+H3934</f>
        <v/>
      </c>
      <c r="N3934" s="11">
        <f>Summary!$C$16*Summary!$B$8</f>
        <v/>
      </c>
      <c r="O3934" s="11">
        <f>M3934-N3934</f>
        <v/>
      </c>
    </row>
    <row r="3935">
      <c r="A3935" s="9" t="n">
        <v>45455.875</v>
      </c>
      <c r="B3935" t="n">
        <v>6</v>
      </c>
      <c r="C3935" t="n">
        <v>12</v>
      </c>
      <c r="D3935" t="n">
        <v>21</v>
      </c>
      <c r="E3935" s="10" t="n">
        <v>0</v>
      </c>
      <c r="F3935" s="10" t="n">
        <v>0.288738933297344</v>
      </c>
      <c r="G3935" s="11">
        <f>E3935*Summary!$B$6</f>
        <v/>
      </c>
      <c r="H3935" s="11">
        <f>F3935*Summary!$B$7</f>
        <v/>
      </c>
      <c r="I3935" s="11">
        <f>MAX(0,N3935-M3935)</f>
        <v/>
      </c>
      <c r="J3935" s="11">
        <f>MAX(0,M3935-N3935)</f>
        <v/>
      </c>
      <c r="K3935" s="11">
        <f>O3935</f>
        <v/>
      </c>
      <c r="L3935" s="11">
        <f>L3934+IF(K3935&gt;0,K3935*Summary!$B$9,K3935/Summary!$B$9)</f>
        <v/>
      </c>
      <c r="M3935" s="11">
        <f>G3935+H3935</f>
        <v/>
      </c>
      <c r="N3935" s="11">
        <f>Summary!$C$16*Summary!$B$8</f>
        <v/>
      </c>
      <c r="O3935" s="11">
        <f>M3935-N3935</f>
        <v/>
      </c>
    </row>
    <row r="3936">
      <c r="A3936" s="9" t="n">
        <v>45455.91666666666</v>
      </c>
      <c r="B3936" t="n">
        <v>6</v>
      </c>
      <c r="C3936" t="n">
        <v>12</v>
      </c>
      <c r="D3936" t="n">
        <v>22</v>
      </c>
      <c r="E3936" s="10" t="n">
        <v>0</v>
      </c>
      <c r="F3936" s="10" t="n">
        <v>0.3009926162382279</v>
      </c>
      <c r="G3936" s="11">
        <f>E3936*Summary!$B$6</f>
        <v/>
      </c>
      <c r="H3936" s="11">
        <f>F3936*Summary!$B$7</f>
        <v/>
      </c>
      <c r="I3936" s="11">
        <f>MAX(0,N3936-M3936)</f>
        <v/>
      </c>
      <c r="J3936" s="11">
        <f>MAX(0,M3936-N3936)</f>
        <v/>
      </c>
      <c r="K3936" s="11">
        <f>O3936</f>
        <v/>
      </c>
      <c r="L3936" s="11">
        <f>L3935+IF(K3936&gt;0,K3936*Summary!$B$9,K3936/Summary!$B$9)</f>
        <v/>
      </c>
      <c r="M3936" s="11">
        <f>G3936+H3936</f>
        <v/>
      </c>
      <c r="N3936" s="11">
        <f>Summary!$C$16*Summary!$B$8</f>
        <v/>
      </c>
      <c r="O3936" s="11">
        <f>M3936-N3936</f>
        <v/>
      </c>
    </row>
    <row r="3937">
      <c r="A3937" s="9" t="n">
        <v>45455.95833333334</v>
      </c>
      <c r="B3937" t="n">
        <v>6</v>
      </c>
      <c r="C3937" t="n">
        <v>12</v>
      </c>
      <c r="D3937" t="n">
        <v>23</v>
      </c>
      <c r="E3937" s="10" t="n">
        <v>0</v>
      </c>
      <c r="F3937" s="10" t="n">
        <v>0.3047609531426287</v>
      </c>
      <c r="G3937" s="11">
        <f>E3937*Summary!$B$6</f>
        <v/>
      </c>
      <c r="H3937" s="11">
        <f>F3937*Summary!$B$7</f>
        <v/>
      </c>
      <c r="I3937" s="11">
        <f>MAX(0,N3937-M3937)</f>
        <v/>
      </c>
      <c r="J3937" s="11">
        <f>MAX(0,M3937-N3937)</f>
        <v/>
      </c>
      <c r="K3937" s="11">
        <f>O3937</f>
        <v/>
      </c>
      <c r="L3937" s="11">
        <f>L3936+IF(K3937&gt;0,K3937*Summary!$B$9,K3937/Summary!$B$9)</f>
        <v/>
      </c>
      <c r="M3937" s="11">
        <f>G3937+H3937</f>
        <v/>
      </c>
      <c r="N3937" s="11">
        <f>Summary!$C$16*Summary!$B$8</f>
        <v/>
      </c>
      <c r="O3937" s="11">
        <f>M3937-N3937</f>
        <v/>
      </c>
    </row>
    <row r="3938">
      <c r="A3938" s="9" t="n">
        <v>45456</v>
      </c>
      <c r="B3938" t="n">
        <v>6</v>
      </c>
      <c r="C3938" t="n">
        <v>13</v>
      </c>
      <c r="D3938" t="n">
        <v>0</v>
      </c>
      <c r="E3938" s="10" t="n">
        <v>0</v>
      </c>
      <c r="F3938" s="10" t="n">
        <v>0.1994846878763251</v>
      </c>
      <c r="G3938" s="11">
        <f>E3938*Summary!$B$6</f>
        <v/>
      </c>
      <c r="H3938" s="11">
        <f>F3938*Summary!$B$7</f>
        <v/>
      </c>
      <c r="I3938" s="11">
        <f>MAX(0,N3938-M3938)</f>
        <v/>
      </c>
      <c r="J3938" s="11">
        <f>MAX(0,M3938-N3938)</f>
        <v/>
      </c>
      <c r="K3938" s="11">
        <f>O3938</f>
        <v/>
      </c>
      <c r="L3938" s="11">
        <f>L3937+IF(K3938&gt;0,K3938*Summary!$B$9,K3938/Summary!$B$9)</f>
        <v/>
      </c>
      <c r="M3938" s="11">
        <f>G3938+H3938</f>
        <v/>
      </c>
      <c r="N3938" s="11">
        <f>Summary!$C$16*Summary!$B$8</f>
        <v/>
      </c>
      <c r="O3938" s="11">
        <f>M3938-N3938</f>
        <v/>
      </c>
    </row>
    <row r="3939">
      <c r="A3939" s="9" t="n">
        <v>45456.04166666666</v>
      </c>
      <c r="B3939" t="n">
        <v>6</v>
      </c>
      <c r="C3939" t="n">
        <v>13</v>
      </c>
      <c r="D3939" t="n">
        <v>1</v>
      </c>
      <c r="E3939" s="10" t="n">
        <v>0</v>
      </c>
      <c r="F3939" s="10" t="n">
        <v>0.2953269348784644</v>
      </c>
      <c r="G3939" s="11">
        <f>E3939*Summary!$B$6</f>
        <v/>
      </c>
      <c r="H3939" s="11">
        <f>F3939*Summary!$B$7</f>
        <v/>
      </c>
      <c r="I3939" s="11">
        <f>MAX(0,N3939-M3939)</f>
        <v/>
      </c>
      <c r="J3939" s="11">
        <f>MAX(0,M3939-N3939)</f>
        <v/>
      </c>
      <c r="K3939" s="11">
        <f>O3939</f>
        <v/>
      </c>
      <c r="L3939" s="11">
        <f>L3938+IF(K3939&gt;0,K3939*Summary!$B$9,K3939/Summary!$B$9)</f>
        <v/>
      </c>
      <c r="M3939" s="11">
        <f>G3939+H3939</f>
        <v/>
      </c>
      <c r="N3939" s="11">
        <f>Summary!$C$16*Summary!$B$8</f>
        <v/>
      </c>
      <c r="O3939" s="11">
        <f>M3939-N3939</f>
        <v/>
      </c>
    </row>
    <row r="3940">
      <c r="A3940" s="9" t="n">
        <v>45456.08333333334</v>
      </c>
      <c r="B3940" t="n">
        <v>6</v>
      </c>
      <c r="C3940" t="n">
        <v>13</v>
      </c>
      <c r="D3940" t="n">
        <v>2</v>
      </c>
      <c r="E3940" s="10" t="n">
        <v>0</v>
      </c>
      <c r="F3940" s="10" t="n">
        <v>0.2828360838806601</v>
      </c>
      <c r="G3940" s="11">
        <f>E3940*Summary!$B$6</f>
        <v/>
      </c>
      <c r="H3940" s="11">
        <f>F3940*Summary!$B$7</f>
        <v/>
      </c>
      <c r="I3940" s="11">
        <f>MAX(0,N3940-M3940)</f>
        <v/>
      </c>
      <c r="J3940" s="11">
        <f>MAX(0,M3940-N3940)</f>
        <v/>
      </c>
      <c r="K3940" s="11">
        <f>O3940</f>
        <v/>
      </c>
      <c r="L3940" s="11">
        <f>L3939+IF(K3940&gt;0,K3940*Summary!$B$9,K3940/Summary!$B$9)</f>
        <v/>
      </c>
      <c r="M3940" s="11">
        <f>G3940+H3940</f>
        <v/>
      </c>
      <c r="N3940" s="11">
        <f>Summary!$C$16*Summary!$B$8</f>
        <v/>
      </c>
      <c r="O3940" s="11">
        <f>M3940-N3940</f>
        <v/>
      </c>
    </row>
    <row r="3941">
      <c r="A3941" s="9" t="n">
        <v>45456.125</v>
      </c>
      <c r="B3941" t="n">
        <v>6</v>
      </c>
      <c r="C3941" t="n">
        <v>13</v>
      </c>
      <c r="D3941" t="n">
        <v>3</v>
      </c>
      <c r="E3941" s="10" t="n">
        <v>0</v>
      </c>
      <c r="F3941" s="10" t="n">
        <v>0.2678944962946791</v>
      </c>
      <c r="G3941" s="11">
        <f>E3941*Summary!$B$6</f>
        <v/>
      </c>
      <c r="H3941" s="11">
        <f>F3941*Summary!$B$7</f>
        <v/>
      </c>
      <c r="I3941" s="11">
        <f>MAX(0,N3941-M3941)</f>
        <v/>
      </c>
      <c r="J3941" s="11">
        <f>MAX(0,M3941-N3941)</f>
        <v/>
      </c>
      <c r="K3941" s="11">
        <f>O3941</f>
        <v/>
      </c>
      <c r="L3941" s="11">
        <f>L3940+IF(K3941&gt;0,K3941*Summary!$B$9,K3941/Summary!$B$9)</f>
        <v/>
      </c>
      <c r="M3941" s="11">
        <f>G3941+H3941</f>
        <v/>
      </c>
      <c r="N3941" s="11">
        <f>Summary!$C$16*Summary!$B$8</f>
        <v/>
      </c>
      <c r="O3941" s="11">
        <f>M3941-N3941</f>
        <v/>
      </c>
    </row>
    <row r="3942">
      <c r="A3942" s="9" t="n">
        <v>45456.16666666666</v>
      </c>
      <c r="B3942" t="n">
        <v>6</v>
      </c>
      <c r="C3942" t="n">
        <v>13</v>
      </c>
      <c r="D3942" t="n">
        <v>4</v>
      </c>
      <c r="E3942" s="10" t="n">
        <v>0.044743</v>
      </c>
      <c r="F3942" s="10" t="n">
        <v>0.2403302976792714</v>
      </c>
      <c r="G3942" s="11">
        <f>E3942*Summary!$B$6</f>
        <v/>
      </c>
      <c r="H3942" s="11">
        <f>F3942*Summary!$B$7</f>
        <v/>
      </c>
      <c r="I3942" s="11">
        <f>MAX(0,N3942-M3942)</f>
        <v/>
      </c>
      <c r="J3942" s="11">
        <f>MAX(0,M3942-N3942)</f>
        <v/>
      </c>
      <c r="K3942" s="11">
        <f>O3942</f>
        <v/>
      </c>
      <c r="L3942" s="11">
        <f>L3941+IF(K3942&gt;0,K3942*Summary!$B$9,K3942/Summary!$B$9)</f>
        <v/>
      </c>
      <c r="M3942" s="11">
        <f>G3942+H3942</f>
        <v/>
      </c>
      <c r="N3942" s="11">
        <f>Summary!$C$16*Summary!$B$8</f>
        <v/>
      </c>
      <c r="O3942" s="11">
        <f>M3942-N3942</f>
        <v/>
      </c>
    </row>
    <row r="3943">
      <c r="A3943" s="9" t="n">
        <v>45456.20833333334</v>
      </c>
      <c r="B3943" t="n">
        <v>6</v>
      </c>
      <c r="C3943" t="n">
        <v>13</v>
      </c>
      <c r="D3943" t="n">
        <v>5</v>
      </c>
      <c r="E3943" s="10" t="n">
        <v>0.062891</v>
      </c>
      <c r="F3943" s="10" t="n">
        <v>0.2089450581468139</v>
      </c>
      <c r="G3943" s="11">
        <f>E3943*Summary!$B$6</f>
        <v/>
      </c>
      <c r="H3943" s="11">
        <f>F3943*Summary!$B$7</f>
        <v/>
      </c>
      <c r="I3943" s="11">
        <f>MAX(0,N3943-M3943)</f>
        <v/>
      </c>
      <c r="J3943" s="11">
        <f>MAX(0,M3943-N3943)</f>
        <v/>
      </c>
      <c r="K3943" s="11">
        <f>O3943</f>
        <v/>
      </c>
      <c r="L3943" s="11">
        <f>L3942+IF(K3943&gt;0,K3943*Summary!$B$9,K3943/Summary!$B$9)</f>
        <v/>
      </c>
      <c r="M3943" s="11">
        <f>G3943+H3943</f>
        <v/>
      </c>
      <c r="N3943" s="11">
        <f>Summary!$C$16*Summary!$B$8</f>
        <v/>
      </c>
      <c r="O3943" s="11">
        <f>M3943-N3943</f>
        <v/>
      </c>
    </row>
    <row r="3944">
      <c r="A3944" s="9" t="n">
        <v>45456.25</v>
      </c>
      <c r="B3944" t="n">
        <v>6</v>
      </c>
      <c r="C3944" t="n">
        <v>13</v>
      </c>
      <c r="D3944" t="n">
        <v>6</v>
      </c>
      <c r="E3944" s="10" t="n">
        <v>0.221055</v>
      </c>
      <c r="F3944" s="10" t="n">
        <v>0.1818288436389225</v>
      </c>
      <c r="G3944" s="11">
        <f>E3944*Summary!$B$6</f>
        <v/>
      </c>
      <c r="H3944" s="11">
        <f>F3944*Summary!$B$7</f>
        <v/>
      </c>
      <c r="I3944" s="11">
        <f>MAX(0,N3944-M3944)</f>
        <v/>
      </c>
      <c r="J3944" s="11">
        <f>MAX(0,M3944-N3944)</f>
        <v/>
      </c>
      <c r="K3944" s="11">
        <f>O3944</f>
        <v/>
      </c>
      <c r="L3944" s="11">
        <f>L3943+IF(K3944&gt;0,K3944*Summary!$B$9,K3944/Summary!$B$9)</f>
        <v/>
      </c>
      <c r="M3944" s="11">
        <f>G3944+H3944</f>
        <v/>
      </c>
      <c r="N3944" s="11">
        <f>Summary!$C$16*Summary!$B$8</f>
        <v/>
      </c>
      <c r="O3944" s="11">
        <f>M3944-N3944</f>
        <v/>
      </c>
    </row>
    <row r="3945">
      <c r="A3945" s="9" t="n">
        <v>45456.29166666666</v>
      </c>
      <c r="B3945" t="n">
        <v>6</v>
      </c>
      <c r="C3945" t="n">
        <v>13</v>
      </c>
      <c r="D3945" t="n">
        <v>7</v>
      </c>
      <c r="E3945" s="10" t="n">
        <v>0.424767</v>
      </c>
      <c r="F3945" s="10" t="n">
        <v>0.1664656239517498</v>
      </c>
      <c r="G3945" s="11">
        <f>E3945*Summary!$B$6</f>
        <v/>
      </c>
      <c r="H3945" s="11">
        <f>F3945*Summary!$B$7</f>
        <v/>
      </c>
      <c r="I3945" s="11">
        <f>MAX(0,N3945-M3945)</f>
        <v/>
      </c>
      <c r="J3945" s="11">
        <f>MAX(0,M3945-N3945)</f>
        <v/>
      </c>
      <c r="K3945" s="11">
        <f>O3945</f>
        <v/>
      </c>
      <c r="L3945" s="11">
        <f>L3944+IF(K3945&gt;0,K3945*Summary!$B$9,K3945/Summary!$B$9)</f>
        <v/>
      </c>
      <c r="M3945" s="11">
        <f>G3945+H3945</f>
        <v/>
      </c>
      <c r="N3945" s="11">
        <f>Summary!$C$16*Summary!$B$8</f>
        <v/>
      </c>
      <c r="O3945" s="11">
        <f>M3945-N3945</f>
        <v/>
      </c>
    </row>
    <row r="3946">
      <c r="A3946" s="9" t="n">
        <v>45456.33333333334</v>
      </c>
      <c r="B3946" t="n">
        <v>6</v>
      </c>
      <c r="C3946" t="n">
        <v>13</v>
      </c>
      <c r="D3946" t="n">
        <v>8</v>
      </c>
      <c r="E3946" s="10" t="n">
        <v>0.604557</v>
      </c>
      <c r="F3946" s="10" t="n">
        <v>0.1602992544718211</v>
      </c>
      <c r="G3946" s="11">
        <f>E3946*Summary!$B$6</f>
        <v/>
      </c>
      <c r="H3946" s="11">
        <f>F3946*Summary!$B$7</f>
        <v/>
      </c>
      <c r="I3946" s="11">
        <f>MAX(0,N3946-M3946)</f>
        <v/>
      </c>
      <c r="J3946" s="11">
        <f>MAX(0,M3946-N3946)</f>
        <v/>
      </c>
      <c r="K3946" s="11">
        <f>O3946</f>
        <v/>
      </c>
      <c r="L3946" s="11">
        <f>L3945+IF(K3946&gt;0,K3946*Summary!$B$9,K3946/Summary!$B$9)</f>
        <v/>
      </c>
      <c r="M3946" s="11">
        <f>G3946+H3946</f>
        <v/>
      </c>
      <c r="N3946" s="11">
        <f>Summary!$C$16*Summary!$B$8</f>
        <v/>
      </c>
      <c r="O3946" s="11">
        <f>M3946-N3946</f>
        <v/>
      </c>
    </row>
    <row r="3947">
      <c r="A3947" s="9" t="n">
        <v>45456.375</v>
      </c>
      <c r="B3947" t="n">
        <v>6</v>
      </c>
      <c r="C3947" t="n">
        <v>13</v>
      </c>
      <c r="D3947" t="n">
        <v>9</v>
      </c>
      <c r="E3947" s="10" t="n">
        <v>0.748235</v>
      </c>
      <c r="F3947" s="10" t="n">
        <v>0.1627236390536734</v>
      </c>
      <c r="G3947" s="11">
        <f>E3947*Summary!$B$6</f>
        <v/>
      </c>
      <c r="H3947" s="11">
        <f>F3947*Summary!$B$7</f>
        <v/>
      </c>
      <c r="I3947" s="11">
        <f>MAX(0,N3947-M3947)</f>
        <v/>
      </c>
      <c r="J3947" s="11">
        <f>MAX(0,M3947-N3947)</f>
        <v/>
      </c>
      <c r="K3947" s="11">
        <f>O3947</f>
        <v/>
      </c>
      <c r="L3947" s="11">
        <f>L3946+IF(K3947&gt;0,K3947*Summary!$B$9,K3947/Summary!$B$9)</f>
        <v/>
      </c>
      <c r="M3947" s="11">
        <f>G3947+H3947</f>
        <v/>
      </c>
      <c r="N3947" s="11">
        <f>Summary!$C$16*Summary!$B$8</f>
        <v/>
      </c>
      <c r="O3947" s="11">
        <f>M3947-N3947</f>
        <v/>
      </c>
    </row>
    <row r="3948">
      <c r="A3948" s="9" t="n">
        <v>45456.41666666666</v>
      </c>
      <c r="B3948" t="n">
        <v>6</v>
      </c>
      <c r="C3948" t="n">
        <v>13</v>
      </c>
      <c r="D3948" t="n">
        <v>10</v>
      </c>
      <c r="E3948" s="10" t="n">
        <v>0.754058</v>
      </c>
      <c r="F3948" s="10" t="n">
        <v>0.1643047594331423</v>
      </c>
      <c r="G3948" s="11">
        <f>E3948*Summary!$B$6</f>
        <v/>
      </c>
      <c r="H3948" s="11">
        <f>F3948*Summary!$B$7</f>
        <v/>
      </c>
      <c r="I3948" s="11">
        <f>MAX(0,N3948-M3948)</f>
        <v/>
      </c>
      <c r="J3948" s="11">
        <f>MAX(0,M3948-N3948)</f>
        <v/>
      </c>
      <c r="K3948" s="11">
        <f>O3948</f>
        <v/>
      </c>
      <c r="L3948" s="11">
        <f>L3947+IF(K3948&gt;0,K3948*Summary!$B$9,K3948/Summary!$B$9)</f>
        <v/>
      </c>
      <c r="M3948" s="11">
        <f>G3948+H3948</f>
        <v/>
      </c>
      <c r="N3948" s="11">
        <f>Summary!$C$16*Summary!$B$8</f>
        <v/>
      </c>
      <c r="O3948" s="11">
        <f>M3948-N3948</f>
        <v/>
      </c>
    </row>
    <row r="3949">
      <c r="A3949" s="9" t="n">
        <v>45456.45833333334</v>
      </c>
      <c r="B3949" t="n">
        <v>6</v>
      </c>
      <c r="C3949" t="n">
        <v>13</v>
      </c>
      <c r="D3949" t="n">
        <v>11</v>
      </c>
      <c r="E3949" s="10" t="n">
        <v>0.754058</v>
      </c>
      <c r="F3949" s="10" t="n">
        <v>0.1665710319770477</v>
      </c>
      <c r="G3949" s="11">
        <f>E3949*Summary!$B$6</f>
        <v/>
      </c>
      <c r="H3949" s="11">
        <f>F3949*Summary!$B$7</f>
        <v/>
      </c>
      <c r="I3949" s="11">
        <f>MAX(0,N3949-M3949)</f>
        <v/>
      </c>
      <c r="J3949" s="11">
        <f>MAX(0,M3949-N3949)</f>
        <v/>
      </c>
      <c r="K3949" s="11">
        <f>O3949</f>
        <v/>
      </c>
      <c r="L3949" s="11">
        <f>L3948+IF(K3949&gt;0,K3949*Summary!$B$9,K3949/Summary!$B$9)</f>
        <v/>
      </c>
      <c r="M3949" s="11">
        <f>G3949+H3949</f>
        <v/>
      </c>
      <c r="N3949" s="11">
        <f>Summary!$C$16*Summary!$B$8</f>
        <v/>
      </c>
      <c r="O3949" s="11">
        <f>M3949-N3949</f>
        <v/>
      </c>
    </row>
    <row r="3950">
      <c r="A3950" s="9" t="n">
        <v>45456.5</v>
      </c>
      <c r="B3950" t="n">
        <v>6</v>
      </c>
      <c r="C3950" t="n">
        <v>13</v>
      </c>
      <c r="D3950" t="n">
        <v>12</v>
      </c>
      <c r="E3950" s="10" t="n">
        <v>0.754058</v>
      </c>
      <c r="F3950" s="10" t="n">
        <v>0.1674670001920801</v>
      </c>
      <c r="G3950" s="11">
        <f>E3950*Summary!$B$6</f>
        <v/>
      </c>
      <c r="H3950" s="11">
        <f>F3950*Summary!$B$7</f>
        <v/>
      </c>
      <c r="I3950" s="11">
        <f>MAX(0,N3950-M3950)</f>
        <v/>
      </c>
      <c r="J3950" s="11">
        <f>MAX(0,M3950-N3950)</f>
        <v/>
      </c>
      <c r="K3950" s="11">
        <f>O3950</f>
        <v/>
      </c>
      <c r="L3950" s="11">
        <f>L3949+IF(K3950&gt;0,K3950*Summary!$B$9,K3950/Summary!$B$9)</f>
        <v/>
      </c>
      <c r="M3950" s="11">
        <f>G3950+H3950</f>
        <v/>
      </c>
      <c r="N3950" s="11">
        <f>Summary!$C$16*Summary!$B$8</f>
        <v/>
      </c>
      <c r="O3950" s="11">
        <f>M3950-N3950</f>
        <v/>
      </c>
    </row>
    <row r="3951">
      <c r="A3951" s="9" t="n">
        <v>45456.54166666666</v>
      </c>
      <c r="B3951" t="n">
        <v>6</v>
      </c>
      <c r="C3951" t="n">
        <v>13</v>
      </c>
      <c r="D3951" t="n">
        <v>13</v>
      </c>
      <c r="E3951" s="10" t="n">
        <v>0.754058</v>
      </c>
      <c r="F3951" s="10" t="n">
        <v>0.1795625710950171</v>
      </c>
      <c r="G3951" s="11">
        <f>E3951*Summary!$B$6</f>
        <v/>
      </c>
      <c r="H3951" s="11">
        <f>F3951*Summary!$B$7</f>
        <v/>
      </c>
      <c r="I3951" s="11">
        <f>MAX(0,N3951-M3951)</f>
        <v/>
      </c>
      <c r="J3951" s="11">
        <f>MAX(0,M3951-N3951)</f>
        <v/>
      </c>
      <c r="K3951" s="11">
        <f>O3951</f>
        <v/>
      </c>
      <c r="L3951" s="11">
        <f>L3950+IF(K3951&gt;0,K3951*Summary!$B$9,K3951/Summary!$B$9)</f>
        <v/>
      </c>
      <c r="M3951" s="11">
        <f>G3951+H3951</f>
        <v/>
      </c>
      <c r="N3951" s="11">
        <f>Summary!$C$16*Summary!$B$8</f>
        <v/>
      </c>
      <c r="O3951" s="11">
        <f>M3951-N3951</f>
        <v/>
      </c>
    </row>
    <row r="3952">
      <c r="A3952" s="9" t="n">
        <v>45456.58333333334</v>
      </c>
      <c r="B3952" t="n">
        <v>6</v>
      </c>
      <c r="C3952" t="n">
        <v>13</v>
      </c>
      <c r="D3952" t="n">
        <v>14</v>
      </c>
      <c r="E3952" s="10" t="n">
        <v>0.754058</v>
      </c>
      <c r="F3952" s="10" t="n">
        <v>0.166202103888505</v>
      </c>
      <c r="G3952" s="11">
        <f>E3952*Summary!$B$6</f>
        <v/>
      </c>
      <c r="H3952" s="11">
        <f>F3952*Summary!$B$7</f>
        <v/>
      </c>
      <c r="I3952" s="11">
        <f>MAX(0,N3952-M3952)</f>
        <v/>
      </c>
      <c r="J3952" s="11">
        <f>MAX(0,M3952-N3952)</f>
        <v/>
      </c>
      <c r="K3952" s="11">
        <f>O3952</f>
        <v/>
      </c>
      <c r="L3952" s="11">
        <f>L3951+IF(K3952&gt;0,K3952*Summary!$B$9,K3952/Summary!$B$9)</f>
        <v/>
      </c>
      <c r="M3952" s="11">
        <f>G3952+H3952</f>
        <v/>
      </c>
      <c r="N3952" s="11">
        <f>Summary!$C$16*Summary!$B$8</f>
        <v/>
      </c>
      <c r="O3952" s="11">
        <f>M3952-N3952</f>
        <v/>
      </c>
    </row>
    <row r="3953">
      <c r="A3953" s="9" t="n">
        <v>45456.625</v>
      </c>
      <c r="B3953" t="n">
        <v>6</v>
      </c>
      <c r="C3953" t="n">
        <v>13</v>
      </c>
      <c r="D3953" t="n">
        <v>15</v>
      </c>
      <c r="E3953" s="10" t="n">
        <v>0.584743</v>
      </c>
      <c r="F3953" s="10" t="n">
        <v>0.1742131138111473</v>
      </c>
      <c r="G3953" s="11">
        <f>E3953*Summary!$B$6</f>
        <v/>
      </c>
      <c r="H3953" s="11">
        <f>F3953*Summary!$B$7</f>
        <v/>
      </c>
      <c r="I3953" s="11">
        <f>MAX(0,N3953-M3953)</f>
        <v/>
      </c>
      <c r="J3953" s="11">
        <f>MAX(0,M3953-N3953)</f>
        <v/>
      </c>
      <c r="K3953" s="11">
        <f>O3953</f>
        <v/>
      </c>
      <c r="L3953" s="11">
        <f>L3952+IF(K3953&gt;0,K3953*Summary!$B$9,K3953/Summary!$B$9)</f>
        <v/>
      </c>
      <c r="M3953" s="11">
        <f>G3953+H3953</f>
        <v/>
      </c>
      <c r="N3953" s="11">
        <f>Summary!$C$16*Summary!$B$8</f>
        <v/>
      </c>
      <c r="O3953" s="11">
        <f>M3953-N3953</f>
        <v/>
      </c>
    </row>
    <row r="3954">
      <c r="A3954" s="9" t="n">
        <v>45456.66666666666</v>
      </c>
      <c r="B3954" t="n">
        <v>6</v>
      </c>
      <c r="C3954" t="n">
        <v>13</v>
      </c>
      <c r="D3954" t="n">
        <v>16</v>
      </c>
      <c r="E3954" s="10" t="n">
        <v>0.469233</v>
      </c>
      <c r="F3954" s="10" t="n">
        <v>0.1560565814535795</v>
      </c>
      <c r="G3954" s="11">
        <f>E3954*Summary!$B$6</f>
        <v/>
      </c>
      <c r="H3954" s="11">
        <f>F3954*Summary!$B$7</f>
        <v/>
      </c>
      <c r="I3954" s="11">
        <f>MAX(0,N3954-M3954)</f>
        <v/>
      </c>
      <c r="J3954" s="11">
        <f>MAX(0,M3954-N3954)</f>
        <v/>
      </c>
      <c r="K3954" s="11">
        <f>O3954</f>
        <v/>
      </c>
      <c r="L3954" s="11">
        <f>L3953+IF(K3954&gt;0,K3954*Summary!$B$9,K3954/Summary!$B$9)</f>
        <v/>
      </c>
      <c r="M3954" s="11">
        <f>G3954+H3954</f>
        <v/>
      </c>
      <c r="N3954" s="11">
        <f>Summary!$C$16*Summary!$B$8</f>
        <v/>
      </c>
      <c r="O3954" s="11">
        <f>M3954-N3954</f>
        <v/>
      </c>
    </row>
    <row r="3955">
      <c r="A3955" s="9" t="n">
        <v>45456.70833333334</v>
      </c>
      <c r="B3955" t="n">
        <v>6</v>
      </c>
      <c r="C3955" t="n">
        <v>13</v>
      </c>
      <c r="D3955" t="n">
        <v>17</v>
      </c>
      <c r="E3955" s="10" t="n">
        <v>0.270069</v>
      </c>
      <c r="F3955" s="10" t="n">
        <v>0.1486780196827247</v>
      </c>
      <c r="G3955" s="11">
        <f>E3955*Summary!$B$6</f>
        <v/>
      </c>
      <c r="H3955" s="11">
        <f>F3955*Summary!$B$7</f>
        <v/>
      </c>
      <c r="I3955" s="11">
        <f>MAX(0,N3955-M3955)</f>
        <v/>
      </c>
      <c r="J3955" s="11">
        <f>MAX(0,M3955-N3955)</f>
        <v/>
      </c>
      <c r="K3955" s="11">
        <f>O3955</f>
        <v/>
      </c>
      <c r="L3955" s="11">
        <f>L3954+IF(K3955&gt;0,K3955*Summary!$B$9,K3955/Summary!$B$9)</f>
        <v/>
      </c>
      <c r="M3955" s="11">
        <f>G3955+H3955</f>
        <v/>
      </c>
      <c r="N3955" s="11">
        <f>Summary!$C$16*Summary!$B$8</f>
        <v/>
      </c>
      <c r="O3955" s="11">
        <f>M3955-N3955</f>
        <v/>
      </c>
    </row>
    <row r="3956">
      <c r="A3956" s="9" t="n">
        <v>45456.75</v>
      </c>
      <c r="B3956" t="n">
        <v>6</v>
      </c>
      <c r="C3956" t="n">
        <v>13</v>
      </c>
      <c r="D3956" t="n">
        <v>18</v>
      </c>
      <c r="E3956" s="10" t="n">
        <v>0.094929</v>
      </c>
      <c r="F3956" s="10" t="n">
        <v>0.1387169612920707</v>
      </c>
      <c r="G3956" s="11">
        <f>E3956*Summary!$B$6</f>
        <v/>
      </c>
      <c r="H3956" s="11">
        <f>F3956*Summary!$B$7</f>
        <v/>
      </c>
      <c r="I3956" s="11">
        <f>MAX(0,N3956-M3956)</f>
        <v/>
      </c>
      <c r="J3956" s="11">
        <f>MAX(0,M3956-N3956)</f>
        <v/>
      </c>
      <c r="K3956" s="11">
        <f>O3956</f>
        <v/>
      </c>
      <c r="L3956" s="11">
        <f>L3955+IF(K3956&gt;0,K3956*Summary!$B$9,K3956/Summary!$B$9)</f>
        <v/>
      </c>
      <c r="M3956" s="11">
        <f>G3956+H3956</f>
        <v/>
      </c>
      <c r="N3956" s="11">
        <f>Summary!$C$16*Summary!$B$8</f>
        <v/>
      </c>
      <c r="O3956" s="11">
        <f>M3956-N3956</f>
        <v/>
      </c>
    </row>
    <row r="3957">
      <c r="A3957" s="9" t="n">
        <v>45456.79166666666</v>
      </c>
      <c r="B3957" t="n">
        <v>6</v>
      </c>
      <c r="C3957" t="n">
        <v>13</v>
      </c>
      <c r="D3957" t="n">
        <v>19</v>
      </c>
      <c r="E3957" s="10" t="n">
        <v>0.040539</v>
      </c>
      <c r="F3957" s="10" t="n">
        <v>0.1474394753854741</v>
      </c>
      <c r="G3957" s="11">
        <f>E3957*Summary!$B$6</f>
        <v/>
      </c>
      <c r="H3957" s="11">
        <f>F3957*Summary!$B$7</f>
        <v/>
      </c>
      <c r="I3957" s="11">
        <f>MAX(0,N3957-M3957)</f>
        <v/>
      </c>
      <c r="J3957" s="11">
        <f>MAX(0,M3957-N3957)</f>
        <v/>
      </c>
      <c r="K3957" s="11">
        <f>O3957</f>
        <v/>
      </c>
      <c r="L3957" s="11">
        <f>L3956+IF(K3957&gt;0,K3957*Summary!$B$9,K3957/Summary!$B$9)</f>
        <v/>
      </c>
      <c r="M3957" s="11">
        <f>G3957+H3957</f>
        <v/>
      </c>
      <c r="N3957" s="11">
        <f>Summary!$C$16*Summary!$B$8</f>
        <v/>
      </c>
      <c r="O3957" s="11">
        <f>M3957-N3957</f>
        <v/>
      </c>
    </row>
    <row r="3958">
      <c r="A3958" s="9" t="n">
        <v>45456.83333333334</v>
      </c>
      <c r="B3958" t="n">
        <v>6</v>
      </c>
      <c r="C3958" t="n">
        <v>13</v>
      </c>
      <c r="D3958" t="n">
        <v>20</v>
      </c>
      <c r="E3958" s="10" t="n">
        <v>0.025154</v>
      </c>
      <c r="F3958" s="10" t="n">
        <v>0.1469124352589845</v>
      </c>
      <c r="G3958" s="11">
        <f>E3958*Summary!$B$6</f>
        <v/>
      </c>
      <c r="H3958" s="11">
        <f>F3958*Summary!$B$7</f>
        <v/>
      </c>
      <c r="I3958" s="11">
        <f>MAX(0,N3958-M3958)</f>
        <v/>
      </c>
      <c r="J3958" s="11">
        <f>MAX(0,M3958-N3958)</f>
        <v/>
      </c>
      <c r="K3958" s="11">
        <f>O3958</f>
        <v/>
      </c>
      <c r="L3958" s="11">
        <f>L3957+IF(K3958&gt;0,K3958*Summary!$B$9,K3958/Summary!$B$9)</f>
        <v/>
      </c>
      <c r="M3958" s="11">
        <f>G3958+H3958</f>
        <v/>
      </c>
      <c r="N3958" s="11">
        <f>Summary!$C$16*Summary!$B$8</f>
        <v/>
      </c>
      <c r="O3958" s="11">
        <f>M3958-N3958</f>
        <v/>
      </c>
    </row>
    <row r="3959">
      <c r="A3959" s="9" t="n">
        <v>45456.875</v>
      </c>
      <c r="B3959" t="n">
        <v>6</v>
      </c>
      <c r="C3959" t="n">
        <v>13</v>
      </c>
      <c r="D3959" t="n">
        <v>21</v>
      </c>
      <c r="E3959" s="10" t="n">
        <v>0</v>
      </c>
      <c r="F3959" s="10" t="n">
        <v>0.1684156724197614</v>
      </c>
      <c r="G3959" s="11">
        <f>E3959*Summary!$B$6</f>
        <v/>
      </c>
      <c r="H3959" s="11">
        <f>F3959*Summary!$B$7</f>
        <v/>
      </c>
      <c r="I3959" s="11">
        <f>MAX(0,N3959-M3959)</f>
        <v/>
      </c>
      <c r="J3959" s="11">
        <f>MAX(0,M3959-N3959)</f>
        <v/>
      </c>
      <c r="K3959" s="11">
        <f>O3959</f>
        <v/>
      </c>
      <c r="L3959" s="11">
        <f>L3958+IF(K3959&gt;0,K3959*Summary!$B$9,K3959/Summary!$B$9)</f>
        <v/>
      </c>
      <c r="M3959" s="11">
        <f>G3959+H3959</f>
        <v/>
      </c>
      <c r="N3959" s="11">
        <f>Summary!$C$16*Summary!$B$8</f>
        <v/>
      </c>
      <c r="O3959" s="11">
        <f>M3959-N3959</f>
        <v/>
      </c>
    </row>
    <row r="3960">
      <c r="A3960" s="9" t="n">
        <v>45456.91666666666</v>
      </c>
      <c r="B3960" t="n">
        <v>6</v>
      </c>
      <c r="C3960" t="n">
        <v>13</v>
      </c>
      <c r="D3960" t="n">
        <v>22</v>
      </c>
      <c r="E3960" s="10" t="n">
        <v>0</v>
      </c>
      <c r="F3960" s="10" t="n">
        <v>0.1798787951709108</v>
      </c>
      <c r="G3960" s="11">
        <f>E3960*Summary!$B$6</f>
        <v/>
      </c>
      <c r="H3960" s="11">
        <f>F3960*Summary!$B$7</f>
        <v/>
      </c>
      <c r="I3960" s="11">
        <f>MAX(0,N3960-M3960)</f>
        <v/>
      </c>
      <c r="J3960" s="11">
        <f>MAX(0,M3960-N3960)</f>
        <v/>
      </c>
      <c r="K3960" s="11">
        <f>O3960</f>
        <v/>
      </c>
      <c r="L3960" s="11">
        <f>L3959+IF(K3960&gt;0,K3960*Summary!$B$9,K3960/Summary!$B$9)</f>
        <v/>
      </c>
      <c r="M3960" s="11">
        <f>G3960+H3960</f>
        <v/>
      </c>
      <c r="N3960" s="11">
        <f>Summary!$C$16*Summary!$B$8</f>
        <v/>
      </c>
      <c r="O3960" s="11">
        <f>M3960-N3960</f>
        <v/>
      </c>
    </row>
    <row r="3961">
      <c r="A3961" s="9" t="n">
        <v>45456.95833333334</v>
      </c>
      <c r="B3961" t="n">
        <v>6</v>
      </c>
      <c r="C3961" t="n">
        <v>13</v>
      </c>
      <c r="D3961" t="n">
        <v>23</v>
      </c>
      <c r="E3961" s="10" t="n">
        <v>0</v>
      </c>
      <c r="F3961" s="10" t="n">
        <v>0.1903141896754055</v>
      </c>
      <c r="G3961" s="11">
        <f>E3961*Summary!$B$6</f>
        <v/>
      </c>
      <c r="H3961" s="11">
        <f>F3961*Summary!$B$7</f>
        <v/>
      </c>
      <c r="I3961" s="11">
        <f>MAX(0,N3961-M3961)</f>
        <v/>
      </c>
      <c r="J3961" s="11">
        <f>MAX(0,M3961-N3961)</f>
        <v/>
      </c>
      <c r="K3961" s="11">
        <f>O3961</f>
        <v/>
      </c>
      <c r="L3961" s="11">
        <f>L3960+IF(K3961&gt;0,K3961*Summary!$B$9,K3961/Summary!$B$9)</f>
        <v/>
      </c>
      <c r="M3961" s="11">
        <f>G3961+H3961</f>
        <v/>
      </c>
      <c r="N3961" s="11">
        <f>Summary!$C$16*Summary!$B$8</f>
        <v/>
      </c>
      <c r="O3961" s="11">
        <f>M3961-N3961</f>
        <v/>
      </c>
    </row>
    <row r="3962">
      <c r="A3962" s="9" t="n">
        <v>45457</v>
      </c>
      <c r="B3962" t="n">
        <v>6</v>
      </c>
      <c r="C3962" t="n">
        <v>14</v>
      </c>
      <c r="D3962" t="n">
        <v>0</v>
      </c>
      <c r="E3962" s="10" t="n">
        <v>0</v>
      </c>
      <c r="F3962" s="10" t="n">
        <v>0.2715837771801065</v>
      </c>
      <c r="G3962" s="11">
        <f>E3962*Summary!$B$6</f>
        <v/>
      </c>
      <c r="H3962" s="11">
        <f>F3962*Summary!$B$7</f>
        <v/>
      </c>
      <c r="I3962" s="11">
        <f>MAX(0,N3962-M3962)</f>
        <v/>
      </c>
      <c r="J3962" s="11">
        <f>MAX(0,M3962-N3962)</f>
        <v/>
      </c>
      <c r="K3962" s="11">
        <f>O3962</f>
        <v/>
      </c>
      <c r="L3962" s="11">
        <f>L3961+IF(K3962&gt;0,K3962*Summary!$B$9,K3962/Summary!$B$9)</f>
        <v/>
      </c>
      <c r="M3962" s="11">
        <f>G3962+H3962</f>
        <v/>
      </c>
      <c r="N3962" s="11">
        <f>Summary!$C$16*Summary!$B$8</f>
        <v/>
      </c>
      <c r="O3962" s="11">
        <f>M3962-N3962</f>
        <v/>
      </c>
    </row>
    <row r="3963">
      <c r="A3963" s="9" t="n">
        <v>45457.04166666666</v>
      </c>
      <c r="B3963" t="n">
        <v>6</v>
      </c>
      <c r="C3963" t="n">
        <v>14</v>
      </c>
      <c r="D3963" t="n">
        <v>1</v>
      </c>
      <c r="E3963" s="10" t="n">
        <v>0</v>
      </c>
      <c r="F3963" s="10" t="n">
        <v>0.203147616755428</v>
      </c>
      <c r="G3963" s="11">
        <f>E3963*Summary!$B$6</f>
        <v/>
      </c>
      <c r="H3963" s="11">
        <f>F3963*Summary!$B$7</f>
        <v/>
      </c>
      <c r="I3963" s="11">
        <f>MAX(0,N3963-M3963)</f>
        <v/>
      </c>
      <c r="J3963" s="11">
        <f>MAX(0,M3963-N3963)</f>
        <v/>
      </c>
      <c r="K3963" s="11">
        <f>O3963</f>
        <v/>
      </c>
      <c r="L3963" s="11">
        <f>L3962+IF(K3963&gt;0,K3963*Summary!$B$9,K3963/Summary!$B$9)</f>
        <v/>
      </c>
      <c r="M3963" s="11">
        <f>G3963+H3963</f>
        <v/>
      </c>
      <c r="N3963" s="11">
        <f>Summary!$C$16*Summary!$B$8</f>
        <v/>
      </c>
      <c r="O3963" s="11">
        <f>M3963-N3963</f>
        <v/>
      </c>
    </row>
    <row r="3964">
      <c r="A3964" s="9" t="n">
        <v>45457.08333333334</v>
      </c>
      <c r="B3964" t="n">
        <v>6</v>
      </c>
      <c r="C3964" t="n">
        <v>14</v>
      </c>
      <c r="D3964" t="n">
        <v>2</v>
      </c>
      <c r="E3964" s="10" t="n">
        <v>0</v>
      </c>
      <c r="F3964" s="10" t="n">
        <v>0.2025942246226139</v>
      </c>
      <c r="G3964" s="11">
        <f>E3964*Summary!$B$6</f>
        <v/>
      </c>
      <c r="H3964" s="11">
        <f>F3964*Summary!$B$7</f>
        <v/>
      </c>
      <c r="I3964" s="11">
        <f>MAX(0,N3964-M3964)</f>
        <v/>
      </c>
      <c r="J3964" s="11">
        <f>MAX(0,M3964-N3964)</f>
        <v/>
      </c>
      <c r="K3964" s="11">
        <f>O3964</f>
        <v/>
      </c>
      <c r="L3964" s="11">
        <f>L3963+IF(K3964&gt;0,K3964*Summary!$B$9,K3964/Summary!$B$9)</f>
        <v/>
      </c>
      <c r="M3964" s="11">
        <f>G3964+H3964</f>
        <v/>
      </c>
      <c r="N3964" s="11">
        <f>Summary!$C$16*Summary!$B$8</f>
        <v/>
      </c>
      <c r="O3964" s="11">
        <f>M3964-N3964</f>
        <v/>
      </c>
    </row>
    <row r="3965">
      <c r="A3965" s="9" t="n">
        <v>45457.125</v>
      </c>
      <c r="B3965" t="n">
        <v>6</v>
      </c>
      <c r="C3965" t="n">
        <v>14</v>
      </c>
      <c r="D3965" t="n">
        <v>3</v>
      </c>
      <c r="E3965" s="10" t="n">
        <v>0</v>
      </c>
      <c r="F3965" s="10" t="n">
        <v>0.1961116310667914</v>
      </c>
      <c r="G3965" s="11">
        <f>E3965*Summary!$B$6</f>
        <v/>
      </c>
      <c r="H3965" s="11">
        <f>F3965*Summary!$B$7</f>
        <v/>
      </c>
      <c r="I3965" s="11">
        <f>MAX(0,N3965-M3965)</f>
        <v/>
      </c>
      <c r="J3965" s="11">
        <f>MAX(0,M3965-N3965)</f>
        <v/>
      </c>
      <c r="K3965" s="11">
        <f>O3965</f>
        <v/>
      </c>
      <c r="L3965" s="11">
        <f>L3964+IF(K3965&gt;0,K3965*Summary!$B$9,K3965/Summary!$B$9)</f>
        <v/>
      </c>
      <c r="M3965" s="11">
        <f>G3965+H3965</f>
        <v/>
      </c>
      <c r="N3965" s="11">
        <f>Summary!$C$16*Summary!$B$8</f>
        <v/>
      </c>
      <c r="O3965" s="11">
        <f>M3965-N3965</f>
        <v/>
      </c>
    </row>
    <row r="3966">
      <c r="A3966" s="9" t="n">
        <v>45457.16666666666</v>
      </c>
      <c r="B3966" t="n">
        <v>6</v>
      </c>
      <c r="C3966" t="n">
        <v>14</v>
      </c>
      <c r="D3966" t="n">
        <v>4</v>
      </c>
      <c r="E3966" s="10" t="n">
        <v>0.028619</v>
      </c>
      <c r="F3966" s="10" t="n">
        <v>0.1794308110633946</v>
      </c>
      <c r="G3966" s="11">
        <f>E3966*Summary!$B$6</f>
        <v/>
      </c>
      <c r="H3966" s="11">
        <f>F3966*Summary!$B$7</f>
        <v/>
      </c>
      <c r="I3966" s="11">
        <f>MAX(0,N3966-M3966)</f>
        <v/>
      </c>
      <c r="J3966" s="11">
        <f>MAX(0,M3966-N3966)</f>
        <v/>
      </c>
      <c r="K3966" s="11">
        <f>O3966</f>
        <v/>
      </c>
      <c r="L3966" s="11">
        <f>L3965+IF(K3966&gt;0,K3966*Summary!$B$9,K3966/Summary!$B$9)</f>
        <v/>
      </c>
      <c r="M3966" s="11">
        <f>G3966+H3966</f>
        <v/>
      </c>
      <c r="N3966" s="11">
        <f>Summary!$C$16*Summary!$B$8</f>
        <v/>
      </c>
      <c r="O3966" s="11">
        <f>M3966-N3966</f>
        <v/>
      </c>
    </row>
    <row r="3967">
      <c r="A3967" s="9" t="n">
        <v>45457.20833333334</v>
      </c>
      <c r="B3967" t="n">
        <v>6</v>
      </c>
      <c r="C3967" t="n">
        <v>14</v>
      </c>
      <c r="D3967" t="n">
        <v>5</v>
      </c>
      <c r="E3967" s="10" t="n">
        <v>0.051662</v>
      </c>
      <c r="F3967" s="10" t="n">
        <v>0.1547916851500044</v>
      </c>
      <c r="G3967" s="11">
        <f>E3967*Summary!$B$6</f>
        <v/>
      </c>
      <c r="H3967" s="11">
        <f>F3967*Summary!$B$7</f>
        <v/>
      </c>
      <c r="I3967" s="11">
        <f>MAX(0,N3967-M3967)</f>
        <v/>
      </c>
      <c r="J3967" s="11">
        <f>MAX(0,M3967-N3967)</f>
        <v/>
      </c>
      <c r="K3967" s="11">
        <f>O3967</f>
        <v/>
      </c>
      <c r="L3967" s="11">
        <f>L3966+IF(K3967&gt;0,K3967*Summary!$B$9,K3967/Summary!$B$9)</f>
        <v/>
      </c>
      <c r="M3967" s="11">
        <f>G3967+H3967</f>
        <v/>
      </c>
      <c r="N3967" s="11">
        <f>Summary!$C$16*Summary!$B$8</f>
        <v/>
      </c>
      <c r="O3967" s="11">
        <f>M3967-N3967</f>
        <v/>
      </c>
    </row>
    <row r="3968">
      <c r="A3968" s="9" t="n">
        <v>45457.25</v>
      </c>
      <c r="B3968" t="n">
        <v>6</v>
      </c>
      <c r="C3968" t="n">
        <v>14</v>
      </c>
      <c r="D3968" t="n">
        <v>6</v>
      </c>
      <c r="E3968" s="10" t="n">
        <v>0.07901</v>
      </c>
      <c r="F3968" s="10" t="n">
        <v>0.1331303359512806</v>
      </c>
      <c r="G3968" s="11">
        <f>E3968*Summary!$B$6</f>
        <v/>
      </c>
      <c r="H3968" s="11">
        <f>F3968*Summary!$B$7</f>
        <v/>
      </c>
      <c r="I3968" s="11">
        <f>MAX(0,N3968-M3968)</f>
        <v/>
      </c>
      <c r="J3968" s="11">
        <f>MAX(0,M3968-N3968)</f>
        <v/>
      </c>
      <c r="K3968" s="11">
        <f>O3968</f>
        <v/>
      </c>
      <c r="L3968" s="11">
        <f>L3967+IF(K3968&gt;0,K3968*Summary!$B$9,K3968/Summary!$B$9)</f>
        <v/>
      </c>
      <c r="M3968" s="11">
        <f>G3968+H3968</f>
        <v/>
      </c>
      <c r="N3968" s="11">
        <f>Summary!$C$16*Summary!$B$8</f>
        <v/>
      </c>
      <c r="O3968" s="11">
        <f>M3968-N3968</f>
        <v/>
      </c>
    </row>
    <row r="3969">
      <c r="A3969" s="9" t="n">
        <v>45457.29166666666</v>
      </c>
      <c r="B3969" t="n">
        <v>6</v>
      </c>
      <c r="C3969" t="n">
        <v>14</v>
      </c>
      <c r="D3969" t="n">
        <v>7</v>
      </c>
      <c r="E3969" s="10" t="n">
        <v>0.119246</v>
      </c>
      <c r="F3969" s="10" t="n">
        <v>0.1221942533266208</v>
      </c>
      <c r="G3969" s="11">
        <f>E3969*Summary!$B$6</f>
        <v/>
      </c>
      <c r="H3969" s="11">
        <f>F3969*Summary!$B$7</f>
        <v/>
      </c>
      <c r="I3969" s="11">
        <f>MAX(0,N3969-M3969)</f>
        <v/>
      </c>
      <c r="J3969" s="11">
        <f>MAX(0,M3969-N3969)</f>
        <v/>
      </c>
      <c r="K3969" s="11">
        <f>O3969</f>
        <v/>
      </c>
      <c r="L3969" s="11">
        <f>L3968+IF(K3969&gt;0,K3969*Summary!$B$9,K3969/Summary!$B$9)</f>
        <v/>
      </c>
      <c r="M3969" s="11">
        <f>G3969+H3969</f>
        <v/>
      </c>
      <c r="N3969" s="11">
        <f>Summary!$C$16*Summary!$B$8</f>
        <v/>
      </c>
      <c r="O3969" s="11">
        <f>M3969-N3969</f>
        <v/>
      </c>
    </row>
    <row r="3970">
      <c r="A3970" s="9" t="n">
        <v>45457.33333333334</v>
      </c>
      <c r="B3970" t="n">
        <v>6</v>
      </c>
      <c r="C3970" t="n">
        <v>14</v>
      </c>
      <c r="D3970" t="n">
        <v>8</v>
      </c>
      <c r="E3970" s="10" t="n">
        <v>0.184907</v>
      </c>
      <c r="F3970" s="10" t="n">
        <v>0.122589533421488</v>
      </c>
      <c r="G3970" s="11">
        <f>E3970*Summary!$B$6</f>
        <v/>
      </c>
      <c r="H3970" s="11">
        <f>F3970*Summary!$B$7</f>
        <v/>
      </c>
      <c r="I3970" s="11">
        <f>MAX(0,N3970-M3970)</f>
        <v/>
      </c>
      <c r="J3970" s="11">
        <f>MAX(0,M3970-N3970)</f>
        <v/>
      </c>
      <c r="K3970" s="11">
        <f>O3970</f>
        <v/>
      </c>
      <c r="L3970" s="11">
        <f>L3969+IF(K3970&gt;0,K3970*Summary!$B$9,K3970/Summary!$B$9)</f>
        <v/>
      </c>
      <c r="M3970" s="11">
        <f>G3970+H3970</f>
        <v/>
      </c>
      <c r="N3970" s="11">
        <f>Summary!$C$16*Summary!$B$8</f>
        <v/>
      </c>
      <c r="O3970" s="11">
        <f>M3970-N3970</f>
        <v/>
      </c>
    </row>
    <row r="3971">
      <c r="A3971" s="9" t="n">
        <v>45457.375</v>
      </c>
      <c r="B3971" t="n">
        <v>6</v>
      </c>
      <c r="C3971" t="n">
        <v>14</v>
      </c>
      <c r="D3971" t="n">
        <v>9</v>
      </c>
      <c r="E3971" s="10" t="n">
        <v>0.258712</v>
      </c>
      <c r="F3971" s="10" t="n">
        <v>0.1326823518437644</v>
      </c>
      <c r="G3971" s="11">
        <f>E3971*Summary!$B$6</f>
        <v/>
      </c>
      <c r="H3971" s="11">
        <f>F3971*Summary!$B$7</f>
        <v/>
      </c>
      <c r="I3971" s="11">
        <f>MAX(0,N3971-M3971)</f>
        <v/>
      </c>
      <c r="J3971" s="11">
        <f>MAX(0,M3971-N3971)</f>
        <v/>
      </c>
      <c r="K3971" s="11">
        <f>O3971</f>
        <v/>
      </c>
      <c r="L3971" s="11">
        <f>L3970+IF(K3971&gt;0,K3971*Summary!$B$9,K3971/Summary!$B$9)</f>
        <v/>
      </c>
      <c r="M3971" s="11">
        <f>G3971+H3971</f>
        <v/>
      </c>
      <c r="N3971" s="11">
        <f>Summary!$C$16*Summary!$B$8</f>
        <v/>
      </c>
      <c r="O3971" s="11">
        <f>M3971-N3971</f>
        <v/>
      </c>
    </row>
    <row r="3972">
      <c r="A3972" s="9" t="n">
        <v>45457.41666666666</v>
      </c>
      <c r="B3972" t="n">
        <v>6</v>
      </c>
      <c r="C3972" t="n">
        <v>14</v>
      </c>
      <c r="D3972" t="n">
        <v>10</v>
      </c>
      <c r="E3972" s="10" t="n">
        <v>0.42928</v>
      </c>
      <c r="F3972" s="10" t="n">
        <v>0.1480192195246127</v>
      </c>
      <c r="G3972" s="11">
        <f>E3972*Summary!$B$6</f>
        <v/>
      </c>
      <c r="H3972" s="11">
        <f>F3972*Summary!$B$7</f>
        <v/>
      </c>
      <c r="I3972" s="11">
        <f>MAX(0,N3972-M3972)</f>
        <v/>
      </c>
      <c r="J3972" s="11">
        <f>MAX(0,M3972-N3972)</f>
        <v/>
      </c>
      <c r="K3972" s="11">
        <f>O3972</f>
        <v/>
      </c>
      <c r="L3972" s="11">
        <f>L3971+IF(K3972&gt;0,K3972*Summary!$B$9,K3972/Summary!$B$9)</f>
        <v/>
      </c>
      <c r="M3972" s="11">
        <f>G3972+H3972</f>
        <v/>
      </c>
      <c r="N3972" s="11">
        <f>Summary!$C$16*Summary!$B$8</f>
        <v/>
      </c>
      <c r="O3972" s="11">
        <f>M3972-N3972</f>
        <v/>
      </c>
    </row>
    <row r="3973">
      <c r="A3973" s="9" t="n">
        <v>45457.45833333334</v>
      </c>
      <c r="B3973" t="n">
        <v>6</v>
      </c>
      <c r="C3973" t="n">
        <v>14</v>
      </c>
      <c r="D3973" t="n">
        <v>11</v>
      </c>
      <c r="E3973" s="10" t="n">
        <v>0.564186</v>
      </c>
      <c r="F3973" s="10" t="n">
        <v>0.1601411424338742</v>
      </c>
      <c r="G3973" s="11">
        <f>E3973*Summary!$B$6</f>
        <v/>
      </c>
      <c r="H3973" s="11">
        <f>F3973*Summary!$B$7</f>
        <v/>
      </c>
      <c r="I3973" s="11">
        <f>MAX(0,N3973-M3973)</f>
        <v/>
      </c>
      <c r="J3973" s="11">
        <f>MAX(0,M3973-N3973)</f>
        <v/>
      </c>
      <c r="K3973" s="11">
        <f>O3973</f>
        <v/>
      </c>
      <c r="L3973" s="11">
        <f>L3972+IF(K3973&gt;0,K3973*Summary!$B$9,K3973/Summary!$B$9)</f>
        <v/>
      </c>
      <c r="M3973" s="11">
        <f>G3973+H3973</f>
        <v/>
      </c>
      <c r="N3973" s="11">
        <f>Summary!$C$16*Summary!$B$8</f>
        <v/>
      </c>
      <c r="O3973" s="11">
        <f>M3973-N3973</f>
        <v/>
      </c>
    </row>
    <row r="3974">
      <c r="A3974" s="9" t="n">
        <v>45457.5</v>
      </c>
      <c r="B3974" t="n">
        <v>6</v>
      </c>
      <c r="C3974" t="n">
        <v>14</v>
      </c>
      <c r="D3974" t="n">
        <v>12</v>
      </c>
      <c r="E3974" s="10" t="n">
        <v>0.541251</v>
      </c>
      <c r="F3974" s="10" t="n">
        <v>0.1737387776973066</v>
      </c>
      <c r="G3974" s="11">
        <f>E3974*Summary!$B$6</f>
        <v/>
      </c>
      <c r="H3974" s="11">
        <f>F3974*Summary!$B$7</f>
        <v/>
      </c>
      <c r="I3974" s="11">
        <f>MAX(0,N3974-M3974)</f>
        <v/>
      </c>
      <c r="J3974" s="11">
        <f>MAX(0,M3974-N3974)</f>
        <v/>
      </c>
      <c r="K3974" s="11">
        <f>O3974</f>
        <v/>
      </c>
      <c r="L3974" s="11">
        <f>L3973+IF(K3974&gt;0,K3974*Summary!$B$9,K3974/Summary!$B$9)</f>
        <v/>
      </c>
      <c r="M3974" s="11">
        <f>G3974+H3974</f>
        <v/>
      </c>
      <c r="N3974" s="11">
        <f>Summary!$C$16*Summary!$B$8</f>
        <v/>
      </c>
      <c r="O3974" s="11">
        <f>M3974-N3974</f>
        <v/>
      </c>
    </row>
    <row r="3975">
      <c r="A3975" s="9" t="n">
        <v>45457.54166666666</v>
      </c>
      <c r="B3975" t="n">
        <v>6</v>
      </c>
      <c r="C3975" t="n">
        <v>14</v>
      </c>
      <c r="D3975" t="n">
        <v>13</v>
      </c>
      <c r="E3975" s="10" t="n">
        <v>0.504767</v>
      </c>
      <c r="F3975" s="10" t="n">
        <v>0.188970237352857</v>
      </c>
      <c r="G3975" s="11">
        <f>E3975*Summary!$B$6</f>
        <v/>
      </c>
      <c r="H3975" s="11">
        <f>F3975*Summary!$B$7</f>
        <v/>
      </c>
      <c r="I3975" s="11">
        <f>MAX(0,N3975-M3975)</f>
        <v/>
      </c>
      <c r="J3975" s="11">
        <f>MAX(0,M3975-N3975)</f>
        <v/>
      </c>
      <c r="K3975" s="11">
        <f>O3975</f>
        <v/>
      </c>
      <c r="L3975" s="11">
        <f>L3974+IF(K3975&gt;0,K3975*Summary!$B$9,K3975/Summary!$B$9)</f>
        <v/>
      </c>
      <c r="M3975" s="11">
        <f>G3975+H3975</f>
        <v/>
      </c>
      <c r="N3975" s="11">
        <f>Summary!$C$16*Summary!$B$8</f>
        <v/>
      </c>
      <c r="O3975" s="11">
        <f>M3975-N3975</f>
        <v/>
      </c>
    </row>
    <row r="3976">
      <c r="A3976" s="9" t="n">
        <v>45457.58333333334</v>
      </c>
      <c r="B3976" t="n">
        <v>6</v>
      </c>
      <c r="C3976" t="n">
        <v>14</v>
      </c>
      <c r="D3976" t="n">
        <v>14</v>
      </c>
      <c r="E3976" s="10" t="n">
        <v>0.258143</v>
      </c>
      <c r="F3976" s="10" t="n">
        <v>0.2015401443696346</v>
      </c>
      <c r="G3976" s="11">
        <f>E3976*Summary!$B$6</f>
        <v/>
      </c>
      <c r="H3976" s="11">
        <f>F3976*Summary!$B$7</f>
        <v/>
      </c>
      <c r="I3976" s="11">
        <f>MAX(0,N3976-M3976)</f>
        <v/>
      </c>
      <c r="J3976" s="11">
        <f>MAX(0,M3976-N3976)</f>
        <v/>
      </c>
      <c r="K3976" s="11">
        <f>O3976</f>
        <v/>
      </c>
      <c r="L3976" s="11">
        <f>L3975+IF(K3976&gt;0,K3976*Summary!$B$9,K3976/Summary!$B$9)</f>
        <v/>
      </c>
      <c r="M3976" s="11">
        <f>G3976+H3976</f>
        <v/>
      </c>
      <c r="N3976" s="11">
        <f>Summary!$C$16*Summary!$B$8</f>
        <v/>
      </c>
      <c r="O3976" s="11">
        <f>M3976-N3976</f>
        <v/>
      </c>
    </row>
    <row r="3977">
      <c r="A3977" s="9" t="n">
        <v>45457.625</v>
      </c>
      <c r="B3977" t="n">
        <v>6</v>
      </c>
      <c r="C3977" t="n">
        <v>14</v>
      </c>
      <c r="D3977" t="n">
        <v>15</v>
      </c>
      <c r="E3977" s="10" t="n">
        <v>0.09585</v>
      </c>
      <c r="F3977" s="10" t="n">
        <v>0.210262658463038</v>
      </c>
      <c r="G3977" s="11">
        <f>E3977*Summary!$B$6</f>
        <v/>
      </c>
      <c r="H3977" s="11">
        <f>F3977*Summary!$B$7</f>
        <v/>
      </c>
      <c r="I3977" s="11">
        <f>MAX(0,N3977-M3977)</f>
        <v/>
      </c>
      <c r="J3977" s="11">
        <f>MAX(0,M3977-N3977)</f>
        <v/>
      </c>
      <c r="K3977" s="11">
        <f>O3977</f>
        <v/>
      </c>
      <c r="L3977" s="11">
        <f>L3976+IF(K3977&gt;0,K3977*Summary!$B$9,K3977/Summary!$B$9)</f>
        <v/>
      </c>
      <c r="M3977" s="11">
        <f>G3977+H3977</f>
        <v/>
      </c>
      <c r="N3977" s="11">
        <f>Summary!$C$16*Summary!$B$8</f>
        <v/>
      </c>
      <c r="O3977" s="11">
        <f>M3977-N3977</f>
        <v/>
      </c>
    </row>
    <row r="3978">
      <c r="A3978" s="9" t="n">
        <v>45457.66666666666</v>
      </c>
      <c r="B3978" t="n">
        <v>6</v>
      </c>
      <c r="C3978" t="n">
        <v>14</v>
      </c>
      <c r="D3978" t="n">
        <v>16</v>
      </c>
      <c r="E3978" s="10" t="n">
        <v>0.058665</v>
      </c>
      <c r="F3978" s="10" t="n">
        <v>0.2213832051319692</v>
      </c>
      <c r="G3978" s="11">
        <f>E3978*Summary!$B$6</f>
        <v/>
      </c>
      <c r="H3978" s="11">
        <f>F3978*Summary!$B$7</f>
        <v/>
      </c>
      <c r="I3978" s="11">
        <f>MAX(0,N3978-M3978)</f>
        <v/>
      </c>
      <c r="J3978" s="11">
        <f>MAX(0,M3978-N3978)</f>
        <v/>
      </c>
      <c r="K3978" s="11">
        <f>O3978</f>
        <v/>
      </c>
      <c r="L3978" s="11">
        <f>L3977+IF(K3978&gt;0,K3978*Summary!$B$9,K3978/Summary!$B$9)</f>
        <v/>
      </c>
      <c r="M3978" s="11">
        <f>G3978+H3978</f>
        <v/>
      </c>
      <c r="N3978" s="11">
        <f>Summary!$C$16*Summary!$B$8</f>
        <v/>
      </c>
      <c r="O3978" s="11">
        <f>M3978-N3978</f>
        <v/>
      </c>
    </row>
    <row r="3979">
      <c r="A3979" s="9" t="n">
        <v>45457.70833333334</v>
      </c>
      <c r="B3979" t="n">
        <v>6</v>
      </c>
      <c r="C3979" t="n">
        <v>14</v>
      </c>
      <c r="D3979" t="n">
        <v>17</v>
      </c>
      <c r="E3979" s="10" t="n">
        <v>0.036739</v>
      </c>
      <c r="F3979" s="10" t="n">
        <v>0.2232014935683584</v>
      </c>
      <c r="G3979" s="11">
        <f>E3979*Summary!$B$6</f>
        <v/>
      </c>
      <c r="H3979" s="11">
        <f>F3979*Summary!$B$7</f>
        <v/>
      </c>
      <c r="I3979" s="11">
        <f>MAX(0,N3979-M3979)</f>
        <v/>
      </c>
      <c r="J3979" s="11">
        <f>MAX(0,M3979-N3979)</f>
        <v/>
      </c>
      <c r="K3979" s="11">
        <f>O3979</f>
        <v/>
      </c>
      <c r="L3979" s="11">
        <f>L3978+IF(K3979&gt;0,K3979*Summary!$B$9,K3979/Summary!$B$9)</f>
        <v/>
      </c>
      <c r="M3979" s="11">
        <f>G3979+H3979</f>
        <v/>
      </c>
      <c r="N3979" s="11">
        <f>Summary!$C$16*Summary!$B$8</f>
        <v/>
      </c>
      <c r="O3979" s="11">
        <f>M3979-N3979</f>
        <v/>
      </c>
    </row>
    <row r="3980">
      <c r="A3980" s="9" t="n">
        <v>45457.75</v>
      </c>
      <c r="B3980" t="n">
        <v>6</v>
      </c>
      <c r="C3980" t="n">
        <v>14</v>
      </c>
      <c r="D3980" t="n">
        <v>18</v>
      </c>
      <c r="E3980" s="10" t="n">
        <v>0.065051</v>
      </c>
      <c r="F3980" s="10" t="n">
        <v>0.2240447577707418</v>
      </c>
      <c r="G3980" s="11">
        <f>E3980*Summary!$B$6</f>
        <v/>
      </c>
      <c r="H3980" s="11">
        <f>F3980*Summary!$B$7</f>
        <v/>
      </c>
      <c r="I3980" s="11">
        <f>MAX(0,N3980-M3980)</f>
        <v/>
      </c>
      <c r="J3980" s="11">
        <f>MAX(0,M3980-N3980)</f>
        <v/>
      </c>
      <c r="K3980" s="11">
        <f>O3980</f>
        <v/>
      </c>
      <c r="L3980" s="11">
        <f>L3979+IF(K3980&gt;0,K3980*Summary!$B$9,K3980/Summary!$B$9)</f>
        <v/>
      </c>
      <c r="M3980" s="11">
        <f>G3980+H3980</f>
        <v/>
      </c>
      <c r="N3980" s="11">
        <f>Summary!$C$16*Summary!$B$8</f>
        <v/>
      </c>
      <c r="O3980" s="11">
        <f>M3980-N3980</f>
        <v/>
      </c>
    </row>
    <row r="3981">
      <c r="A3981" s="9" t="n">
        <v>45457.79166666666</v>
      </c>
      <c r="B3981" t="n">
        <v>6</v>
      </c>
      <c r="C3981" t="n">
        <v>14</v>
      </c>
      <c r="D3981" t="n">
        <v>19</v>
      </c>
      <c r="E3981" s="10" t="n">
        <v>0.041834</v>
      </c>
      <c r="F3981" s="10" t="n">
        <v>0.2321084717060332</v>
      </c>
      <c r="G3981" s="11">
        <f>E3981*Summary!$B$6</f>
        <v/>
      </c>
      <c r="H3981" s="11">
        <f>F3981*Summary!$B$7</f>
        <v/>
      </c>
      <c r="I3981" s="11">
        <f>MAX(0,N3981-M3981)</f>
        <v/>
      </c>
      <c r="J3981" s="11">
        <f>MAX(0,M3981-N3981)</f>
        <v/>
      </c>
      <c r="K3981" s="11">
        <f>O3981</f>
        <v/>
      </c>
      <c r="L3981" s="11">
        <f>L3980+IF(K3981&gt;0,K3981*Summary!$B$9,K3981/Summary!$B$9)</f>
        <v/>
      </c>
      <c r="M3981" s="11">
        <f>G3981+H3981</f>
        <v/>
      </c>
      <c r="N3981" s="11">
        <f>Summary!$C$16*Summary!$B$8</f>
        <v/>
      </c>
      <c r="O3981" s="11">
        <f>M3981-N3981</f>
        <v/>
      </c>
    </row>
    <row r="3982">
      <c r="A3982" s="9" t="n">
        <v>45457.83333333334</v>
      </c>
      <c r="B3982" t="n">
        <v>6</v>
      </c>
      <c r="C3982" t="n">
        <v>14</v>
      </c>
      <c r="D3982" t="n">
        <v>20</v>
      </c>
      <c r="E3982" s="10" t="n">
        <v>0.00418</v>
      </c>
      <c r="F3982" s="10" t="n">
        <v>0.2459696270327105</v>
      </c>
      <c r="G3982" s="11">
        <f>E3982*Summary!$B$6</f>
        <v/>
      </c>
      <c r="H3982" s="11">
        <f>F3982*Summary!$B$7</f>
        <v/>
      </c>
      <c r="I3982" s="11">
        <f>MAX(0,N3982-M3982)</f>
        <v/>
      </c>
      <c r="J3982" s="11">
        <f>MAX(0,M3982-N3982)</f>
        <v/>
      </c>
      <c r="K3982" s="11">
        <f>O3982</f>
        <v/>
      </c>
      <c r="L3982" s="11">
        <f>L3981+IF(K3982&gt;0,K3982*Summary!$B$9,K3982/Summary!$B$9)</f>
        <v/>
      </c>
      <c r="M3982" s="11">
        <f>G3982+H3982</f>
        <v/>
      </c>
      <c r="N3982" s="11">
        <f>Summary!$C$16*Summary!$B$8</f>
        <v/>
      </c>
      <c r="O3982" s="11">
        <f>M3982-N3982</f>
        <v/>
      </c>
    </row>
    <row r="3983">
      <c r="A3983" s="9" t="n">
        <v>45457.875</v>
      </c>
      <c r="B3983" t="n">
        <v>6</v>
      </c>
      <c r="C3983" t="n">
        <v>14</v>
      </c>
      <c r="D3983" t="n">
        <v>21</v>
      </c>
      <c r="E3983" s="10" t="n">
        <v>0</v>
      </c>
      <c r="F3983" s="10" t="n">
        <v>0.2628876150930276</v>
      </c>
      <c r="G3983" s="11">
        <f>E3983*Summary!$B$6</f>
        <v/>
      </c>
      <c r="H3983" s="11">
        <f>F3983*Summary!$B$7</f>
        <v/>
      </c>
      <c r="I3983" s="11">
        <f>MAX(0,N3983-M3983)</f>
        <v/>
      </c>
      <c r="J3983" s="11">
        <f>MAX(0,M3983-N3983)</f>
        <v/>
      </c>
      <c r="K3983" s="11">
        <f>O3983</f>
        <v/>
      </c>
      <c r="L3983" s="11">
        <f>L3982+IF(K3983&gt;0,K3983*Summary!$B$9,K3983/Summary!$B$9)</f>
        <v/>
      </c>
      <c r="M3983" s="11">
        <f>G3983+H3983</f>
        <v/>
      </c>
      <c r="N3983" s="11">
        <f>Summary!$C$16*Summary!$B$8</f>
        <v/>
      </c>
      <c r="O3983" s="11">
        <f>M3983-N3983</f>
        <v/>
      </c>
    </row>
    <row r="3984">
      <c r="A3984" s="9" t="n">
        <v>45457.91666666666</v>
      </c>
      <c r="B3984" t="n">
        <v>6</v>
      </c>
      <c r="C3984" t="n">
        <v>14</v>
      </c>
      <c r="D3984" t="n">
        <v>22</v>
      </c>
      <c r="E3984" s="10" t="n">
        <v>0</v>
      </c>
      <c r="F3984" s="10" t="n">
        <v>0.274403441856826</v>
      </c>
      <c r="G3984" s="11">
        <f>E3984*Summary!$B$6</f>
        <v/>
      </c>
      <c r="H3984" s="11">
        <f>F3984*Summary!$B$7</f>
        <v/>
      </c>
      <c r="I3984" s="11">
        <f>MAX(0,N3984-M3984)</f>
        <v/>
      </c>
      <c r="J3984" s="11">
        <f>MAX(0,M3984-N3984)</f>
        <v/>
      </c>
      <c r="K3984" s="11">
        <f>O3984</f>
        <v/>
      </c>
      <c r="L3984" s="11">
        <f>L3983+IF(K3984&gt;0,K3984*Summary!$B$9,K3984/Summary!$B$9)</f>
        <v/>
      </c>
      <c r="M3984" s="11">
        <f>G3984+H3984</f>
        <v/>
      </c>
      <c r="N3984" s="11">
        <f>Summary!$C$16*Summary!$B$8</f>
        <v/>
      </c>
      <c r="O3984" s="11">
        <f>M3984-N3984</f>
        <v/>
      </c>
    </row>
    <row r="3985">
      <c r="A3985" s="9" t="n">
        <v>45457.95833333334</v>
      </c>
      <c r="B3985" t="n">
        <v>6</v>
      </c>
      <c r="C3985" t="n">
        <v>14</v>
      </c>
      <c r="D3985" t="n">
        <v>23</v>
      </c>
      <c r="E3985" s="10" t="n">
        <v>0</v>
      </c>
      <c r="F3985" s="10" t="n">
        <v>0.2774866265967904</v>
      </c>
      <c r="G3985" s="11">
        <f>E3985*Summary!$B$6</f>
        <v/>
      </c>
      <c r="H3985" s="11">
        <f>F3985*Summary!$B$7</f>
        <v/>
      </c>
      <c r="I3985" s="11">
        <f>MAX(0,N3985-M3985)</f>
        <v/>
      </c>
      <c r="J3985" s="11">
        <f>MAX(0,M3985-N3985)</f>
        <v/>
      </c>
      <c r="K3985" s="11">
        <f>O3985</f>
        <v/>
      </c>
      <c r="L3985" s="11">
        <f>L3984+IF(K3985&gt;0,K3985*Summary!$B$9,K3985/Summary!$B$9)</f>
        <v/>
      </c>
      <c r="M3985" s="11">
        <f>G3985+H3985</f>
        <v/>
      </c>
      <c r="N3985" s="11">
        <f>Summary!$C$16*Summary!$B$8</f>
        <v/>
      </c>
      <c r="O3985" s="11">
        <f>M3985-N3985</f>
        <v/>
      </c>
    </row>
    <row r="3986">
      <c r="A3986" s="9" t="n">
        <v>45458</v>
      </c>
      <c r="B3986" t="n">
        <v>6</v>
      </c>
      <c r="C3986" t="n">
        <v>15</v>
      </c>
      <c r="D3986" t="n">
        <v>0</v>
      </c>
      <c r="E3986" s="10" t="n">
        <v>0</v>
      </c>
      <c r="F3986" s="10" t="n">
        <v>0.1723684733684336</v>
      </c>
      <c r="G3986" s="11">
        <f>E3986*Summary!$B$6</f>
        <v/>
      </c>
      <c r="H3986" s="11">
        <f>F3986*Summary!$B$7</f>
        <v/>
      </c>
      <c r="I3986" s="11">
        <f>MAX(0,N3986-M3986)</f>
        <v/>
      </c>
      <c r="J3986" s="11">
        <f>MAX(0,M3986-N3986)</f>
        <v/>
      </c>
      <c r="K3986" s="11">
        <f>O3986</f>
        <v/>
      </c>
      <c r="L3986" s="11">
        <f>L3985+IF(K3986&gt;0,K3986*Summary!$B$9,K3986/Summary!$B$9)</f>
        <v/>
      </c>
      <c r="M3986" s="11">
        <f>G3986+H3986</f>
        <v/>
      </c>
      <c r="N3986" s="11">
        <f>Summary!$C$16*Summary!$B$8</f>
        <v/>
      </c>
      <c r="O3986" s="11">
        <f>M3986-N3986</f>
        <v/>
      </c>
    </row>
    <row r="3987">
      <c r="A3987" s="9" t="n">
        <v>45458.04166666666</v>
      </c>
      <c r="B3987" t="n">
        <v>6</v>
      </c>
      <c r="C3987" t="n">
        <v>15</v>
      </c>
      <c r="D3987" t="n">
        <v>1</v>
      </c>
      <c r="E3987" s="10" t="n">
        <v>0</v>
      </c>
      <c r="F3987" s="10" t="n">
        <v>0.2614646067515056</v>
      </c>
      <c r="G3987" s="11">
        <f>E3987*Summary!$B$6</f>
        <v/>
      </c>
      <c r="H3987" s="11">
        <f>F3987*Summary!$B$7</f>
        <v/>
      </c>
      <c r="I3987" s="11">
        <f>MAX(0,N3987-M3987)</f>
        <v/>
      </c>
      <c r="J3987" s="11">
        <f>MAX(0,M3987-N3987)</f>
        <v/>
      </c>
      <c r="K3987" s="11">
        <f>O3987</f>
        <v/>
      </c>
      <c r="L3987" s="11">
        <f>L3986+IF(K3987&gt;0,K3987*Summary!$B$9,K3987/Summary!$B$9)</f>
        <v/>
      </c>
      <c r="M3987" s="11">
        <f>G3987+H3987</f>
        <v/>
      </c>
      <c r="N3987" s="11">
        <f>Summary!$C$16*Summary!$B$8</f>
        <v/>
      </c>
      <c r="O3987" s="11">
        <f>M3987-N3987</f>
        <v/>
      </c>
    </row>
    <row r="3988">
      <c r="A3988" s="9" t="n">
        <v>45458.08333333334</v>
      </c>
      <c r="B3988" t="n">
        <v>6</v>
      </c>
      <c r="C3988" t="n">
        <v>15</v>
      </c>
      <c r="D3988" t="n">
        <v>2</v>
      </c>
      <c r="E3988" s="10" t="n">
        <v>0</v>
      </c>
      <c r="F3988" s="10" t="n">
        <v>0.2524258685822084</v>
      </c>
      <c r="G3988" s="11">
        <f>E3988*Summary!$B$6</f>
        <v/>
      </c>
      <c r="H3988" s="11">
        <f>F3988*Summary!$B$7</f>
        <v/>
      </c>
      <c r="I3988" s="11">
        <f>MAX(0,N3988-M3988)</f>
        <v/>
      </c>
      <c r="J3988" s="11">
        <f>MAX(0,M3988-N3988)</f>
        <v/>
      </c>
      <c r="K3988" s="11">
        <f>O3988</f>
        <v/>
      </c>
      <c r="L3988" s="11">
        <f>L3987+IF(K3988&gt;0,K3988*Summary!$B$9,K3988/Summary!$B$9)</f>
        <v/>
      </c>
      <c r="M3988" s="11">
        <f>G3988+H3988</f>
        <v/>
      </c>
      <c r="N3988" s="11">
        <f>Summary!$C$16*Summary!$B$8</f>
        <v/>
      </c>
      <c r="O3988" s="11">
        <f>M3988-N3988</f>
        <v/>
      </c>
    </row>
    <row r="3989">
      <c r="A3989" s="9" t="n">
        <v>45458.125</v>
      </c>
      <c r="B3989" t="n">
        <v>6</v>
      </c>
      <c r="C3989" t="n">
        <v>15</v>
      </c>
      <c r="D3989" t="n">
        <v>3</v>
      </c>
      <c r="E3989" s="10" t="n">
        <v>0</v>
      </c>
      <c r="F3989" s="10" t="n">
        <v>0.2397769055464573</v>
      </c>
      <c r="G3989" s="11">
        <f>E3989*Summary!$B$6</f>
        <v/>
      </c>
      <c r="H3989" s="11">
        <f>F3989*Summary!$B$7</f>
        <v/>
      </c>
      <c r="I3989" s="11">
        <f>MAX(0,N3989-M3989)</f>
        <v/>
      </c>
      <c r="J3989" s="11">
        <f>MAX(0,M3989-N3989)</f>
        <v/>
      </c>
      <c r="K3989" s="11">
        <f>O3989</f>
        <v/>
      </c>
      <c r="L3989" s="11">
        <f>L3988+IF(K3989&gt;0,K3989*Summary!$B$9,K3989/Summary!$B$9)</f>
        <v/>
      </c>
      <c r="M3989" s="11">
        <f>G3989+H3989</f>
        <v/>
      </c>
      <c r="N3989" s="11">
        <f>Summary!$C$16*Summary!$B$8</f>
        <v/>
      </c>
      <c r="O3989" s="11">
        <f>M3989-N3989</f>
        <v/>
      </c>
    </row>
    <row r="3990">
      <c r="A3990" s="9" t="n">
        <v>45458.16666666666</v>
      </c>
      <c r="B3990" t="n">
        <v>6</v>
      </c>
      <c r="C3990" t="n">
        <v>15</v>
      </c>
      <c r="D3990" t="n">
        <v>4</v>
      </c>
      <c r="E3990" s="10" t="n">
        <v>0.038556</v>
      </c>
      <c r="F3990" s="10" t="n">
        <v>0.2175358122085949</v>
      </c>
      <c r="G3990" s="11">
        <f>E3990*Summary!$B$6</f>
        <v/>
      </c>
      <c r="H3990" s="11">
        <f>F3990*Summary!$B$7</f>
        <v/>
      </c>
      <c r="I3990" s="11">
        <f>MAX(0,N3990-M3990)</f>
        <v/>
      </c>
      <c r="J3990" s="11">
        <f>MAX(0,M3990-N3990)</f>
        <v/>
      </c>
      <c r="K3990" s="11">
        <f>O3990</f>
        <v/>
      </c>
      <c r="L3990" s="11">
        <f>L3989+IF(K3990&gt;0,K3990*Summary!$B$9,K3990/Summary!$B$9)</f>
        <v/>
      </c>
      <c r="M3990" s="11">
        <f>G3990+H3990</f>
        <v/>
      </c>
      <c r="N3990" s="11">
        <f>Summary!$C$16*Summary!$B$8</f>
        <v/>
      </c>
      <c r="O3990" s="11">
        <f>M3990-N3990</f>
        <v/>
      </c>
    </row>
    <row r="3991">
      <c r="A3991" s="9" t="n">
        <v>45458.20833333334</v>
      </c>
      <c r="B3991" t="n">
        <v>6</v>
      </c>
      <c r="C3991" t="n">
        <v>15</v>
      </c>
      <c r="D3991" t="n">
        <v>5</v>
      </c>
      <c r="E3991" s="10" t="n">
        <v>0.070743</v>
      </c>
      <c r="F3991" s="10" t="n">
        <v>0.1886803652832877</v>
      </c>
      <c r="G3991" s="11">
        <f>E3991*Summary!$B$6</f>
        <v/>
      </c>
      <c r="H3991" s="11">
        <f>F3991*Summary!$B$7</f>
        <v/>
      </c>
      <c r="I3991" s="11">
        <f>MAX(0,N3991-M3991)</f>
        <v/>
      </c>
      <c r="J3991" s="11">
        <f>MAX(0,M3991-N3991)</f>
        <v/>
      </c>
      <c r="K3991" s="11">
        <f>O3991</f>
        <v/>
      </c>
      <c r="L3991" s="11">
        <f>L3990+IF(K3991&gt;0,K3991*Summary!$B$9,K3991/Summary!$B$9)</f>
        <v/>
      </c>
      <c r="M3991" s="11">
        <f>G3991+H3991</f>
        <v/>
      </c>
      <c r="N3991" s="11">
        <f>Summary!$C$16*Summary!$B$8</f>
        <v/>
      </c>
      <c r="O3991" s="11">
        <f>M3991-N3991</f>
        <v/>
      </c>
    </row>
    <row r="3992">
      <c r="A3992" s="9" t="n">
        <v>45458.25</v>
      </c>
      <c r="B3992" t="n">
        <v>6</v>
      </c>
      <c r="C3992" t="n">
        <v>15</v>
      </c>
      <c r="D3992" t="n">
        <v>6</v>
      </c>
      <c r="E3992" s="10" t="n">
        <v>0.177587</v>
      </c>
      <c r="F3992" s="10" t="n">
        <v>0.1684420244260859</v>
      </c>
      <c r="G3992" s="11">
        <f>E3992*Summary!$B$6</f>
        <v/>
      </c>
      <c r="H3992" s="11">
        <f>F3992*Summary!$B$7</f>
        <v/>
      </c>
      <c r="I3992" s="11">
        <f>MAX(0,N3992-M3992)</f>
        <v/>
      </c>
      <c r="J3992" s="11">
        <f>MAX(0,M3992-N3992)</f>
        <v/>
      </c>
      <c r="K3992" s="11">
        <f>O3992</f>
        <v/>
      </c>
      <c r="L3992" s="11">
        <f>L3991+IF(K3992&gt;0,K3992*Summary!$B$9,K3992/Summary!$B$9)</f>
        <v/>
      </c>
      <c r="M3992" s="11">
        <f>G3992+H3992</f>
        <v/>
      </c>
      <c r="N3992" s="11">
        <f>Summary!$C$16*Summary!$B$8</f>
        <v/>
      </c>
      <c r="O3992" s="11">
        <f>M3992-N3992</f>
        <v/>
      </c>
    </row>
    <row r="3993">
      <c r="A3993" s="9" t="n">
        <v>45458.29166666666</v>
      </c>
      <c r="B3993" t="n">
        <v>6</v>
      </c>
      <c r="C3993" t="n">
        <v>15</v>
      </c>
      <c r="D3993" t="n">
        <v>7</v>
      </c>
      <c r="E3993" s="10" t="n">
        <v>0.421774</v>
      </c>
      <c r="F3993" s="10" t="n">
        <v>0.1545545170930841</v>
      </c>
      <c r="G3993" s="11">
        <f>E3993*Summary!$B$6</f>
        <v/>
      </c>
      <c r="H3993" s="11">
        <f>F3993*Summary!$B$7</f>
        <v/>
      </c>
      <c r="I3993" s="11">
        <f>MAX(0,N3993-M3993)</f>
        <v/>
      </c>
      <c r="J3993" s="11">
        <f>MAX(0,M3993-N3993)</f>
        <v/>
      </c>
      <c r="K3993" s="11">
        <f>O3993</f>
        <v/>
      </c>
      <c r="L3993" s="11">
        <f>L3992+IF(K3993&gt;0,K3993*Summary!$B$9,K3993/Summary!$B$9)</f>
        <v/>
      </c>
      <c r="M3993" s="11">
        <f>G3993+H3993</f>
        <v/>
      </c>
      <c r="N3993" s="11">
        <f>Summary!$C$16*Summary!$B$8</f>
        <v/>
      </c>
      <c r="O3993" s="11">
        <f>M3993-N3993</f>
        <v/>
      </c>
    </row>
    <row r="3994">
      <c r="A3994" s="9" t="n">
        <v>45458.33333333334</v>
      </c>
      <c r="B3994" t="n">
        <v>6</v>
      </c>
      <c r="C3994" t="n">
        <v>15</v>
      </c>
      <c r="D3994" t="n">
        <v>8</v>
      </c>
      <c r="E3994" s="10" t="n">
        <v>0.601274</v>
      </c>
      <c r="F3994" s="10" t="n">
        <v>0.1543700530488127</v>
      </c>
      <c r="G3994" s="11">
        <f>E3994*Summary!$B$6</f>
        <v/>
      </c>
      <c r="H3994" s="11">
        <f>F3994*Summary!$B$7</f>
        <v/>
      </c>
      <c r="I3994" s="11">
        <f>MAX(0,N3994-M3994)</f>
        <v/>
      </c>
      <c r="J3994" s="11">
        <f>MAX(0,M3994-N3994)</f>
        <v/>
      </c>
      <c r="K3994" s="11">
        <f>O3994</f>
        <v/>
      </c>
      <c r="L3994" s="11">
        <f>L3993+IF(K3994&gt;0,K3994*Summary!$B$9,K3994/Summary!$B$9)</f>
        <v/>
      </c>
      <c r="M3994" s="11">
        <f>G3994+H3994</f>
        <v/>
      </c>
      <c r="N3994" s="11">
        <f>Summary!$C$16*Summary!$B$8</f>
        <v/>
      </c>
      <c r="O3994" s="11">
        <f>M3994-N3994</f>
        <v/>
      </c>
    </row>
    <row r="3995">
      <c r="A3995" s="9" t="n">
        <v>45458.375</v>
      </c>
      <c r="B3995" t="n">
        <v>6</v>
      </c>
      <c r="C3995" t="n">
        <v>15</v>
      </c>
      <c r="D3995" t="n">
        <v>9</v>
      </c>
      <c r="E3995" s="10" t="n">
        <v>0.615799</v>
      </c>
      <c r="F3995" s="10" t="n">
        <v>0.1731063295455191</v>
      </c>
      <c r="G3995" s="11">
        <f>E3995*Summary!$B$6</f>
        <v/>
      </c>
      <c r="H3995" s="11">
        <f>F3995*Summary!$B$7</f>
        <v/>
      </c>
      <c r="I3995" s="11">
        <f>MAX(0,N3995-M3995)</f>
        <v/>
      </c>
      <c r="J3995" s="11">
        <f>MAX(0,M3995-N3995)</f>
        <v/>
      </c>
      <c r="K3995" s="11">
        <f>O3995</f>
        <v/>
      </c>
      <c r="L3995" s="11">
        <f>L3994+IF(K3995&gt;0,K3995*Summary!$B$9,K3995/Summary!$B$9)</f>
        <v/>
      </c>
      <c r="M3995" s="11">
        <f>G3995+H3995</f>
        <v/>
      </c>
      <c r="N3995" s="11">
        <f>Summary!$C$16*Summary!$B$8</f>
        <v/>
      </c>
      <c r="O3995" s="11">
        <f>M3995-N3995</f>
        <v/>
      </c>
    </row>
    <row r="3996">
      <c r="A3996" s="9" t="n">
        <v>45458.41666666666</v>
      </c>
      <c r="B3996" t="n">
        <v>6</v>
      </c>
      <c r="C3996" t="n">
        <v>15</v>
      </c>
      <c r="D3996" t="n">
        <v>10</v>
      </c>
      <c r="E3996" s="10" t="n">
        <v>0.526843</v>
      </c>
      <c r="F3996" s="10" t="n">
        <v>0.1698123287549589</v>
      </c>
      <c r="G3996" s="11">
        <f>E3996*Summary!$B$6</f>
        <v/>
      </c>
      <c r="H3996" s="11">
        <f>F3996*Summary!$B$7</f>
        <v/>
      </c>
      <c r="I3996" s="11">
        <f>MAX(0,N3996-M3996)</f>
        <v/>
      </c>
      <c r="J3996" s="11">
        <f>MAX(0,M3996-N3996)</f>
        <v/>
      </c>
      <c r="K3996" s="11">
        <f>O3996</f>
        <v/>
      </c>
      <c r="L3996" s="11">
        <f>L3995+IF(K3996&gt;0,K3996*Summary!$B$9,K3996/Summary!$B$9)</f>
        <v/>
      </c>
      <c r="M3996" s="11">
        <f>G3996+H3996</f>
        <v/>
      </c>
      <c r="N3996" s="11">
        <f>Summary!$C$16*Summary!$B$8</f>
        <v/>
      </c>
      <c r="O3996" s="11">
        <f>M3996-N3996</f>
        <v/>
      </c>
    </row>
    <row r="3997">
      <c r="A3997" s="9" t="n">
        <v>45458.45833333334</v>
      </c>
      <c r="B3997" t="n">
        <v>6</v>
      </c>
      <c r="C3997" t="n">
        <v>15</v>
      </c>
      <c r="D3997" t="n">
        <v>11</v>
      </c>
      <c r="E3997" s="10" t="n">
        <v>0.7156130000000001</v>
      </c>
      <c r="F3997" s="10" t="n">
        <v>0.1815916755820021</v>
      </c>
      <c r="G3997" s="11">
        <f>E3997*Summary!$B$6</f>
        <v/>
      </c>
      <c r="H3997" s="11">
        <f>F3997*Summary!$B$7</f>
        <v/>
      </c>
      <c r="I3997" s="11">
        <f>MAX(0,N3997-M3997)</f>
        <v/>
      </c>
      <c r="J3997" s="11">
        <f>MAX(0,M3997-N3997)</f>
        <v/>
      </c>
      <c r="K3997" s="11">
        <f>O3997</f>
        <v/>
      </c>
      <c r="L3997" s="11">
        <f>L3996+IF(K3997&gt;0,K3997*Summary!$B$9,K3997/Summary!$B$9)</f>
        <v/>
      </c>
      <c r="M3997" s="11">
        <f>G3997+H3997</f>
        <v/>
      </c>
      <c r="N3997" s="11">
        <f>Summary!$C$16*Summary!$B$8</f>
        <v/>
      </c>
      <c r="O3997" s="11">
        <f>M3997-N3997</f>
        <v/>
      </c>
    </row>
    <row r="3998">
      <c r="A3998" s="9" t="n">
        <v>45458.5</v>
      </c>
      <c r="B3998" t="n">
        <v>6</v>
      </c>
      <c r="C3998" t="n">
        <v>15</v>
      </c>
      <c r="D3998" t="n">
        <v>12</v>
      </c>
      <c r="E3998" s="10" t="n">
        <v>0.754058</v>
      </c>
      <c r="F3998" s="10" t="n">
        <v>0.1900243176058362</v>
      </c>
      <c r="G3998" s="11">
        <f>E3998*Summary!$B$6</f>
        <v/>
      </c>
      <c r="H3998" s="11">
        <f>F3998*Summary!$B$7</f>
        <v/>
      </c>
      <c r="I3998" s="11">
        <f>MAX(0,N3998-M3998)</f>
        <v/>
      </c>
      <c r="J3998" s="11">
        <f>MAX(0,M3998-N3998)</f>
        <v/>
      </c>
      <c r="K3998" s="11">
        <f>O3998</f>
        <v/>
      </c>
      <c r="L3998" s="11">
        <f>L3997+IF(K3998&gt;0,K3998*Summary!$B$9,K3998/Summary!$B$9)</f>
        <v/>
      </c>
      <c r="M3998" s="11">
        <f>G3998+H3998</f>
        <v/>
      </c>
      <c r="N3998" s="11">
        <f>Summary!$C$16*Summary!$B$8</f>
        <v/>
      </c>
      <c r="O3998" s="11">
        <f>M3998-N3998</f>
        <v/>
      </c>
    </row>
    <row r="3999">
      <c r="A3999" s="9" t="n">
        <v>45458.54166666666</v>
      </c>
      <c r="B3999" t="n">
        <v>6</v>
      </c>
      <c r="C3999" t="n">
        <v>15</v>
      </c>
      <c r="D3999" t="n">
        <v>13</v>
      </c>
      <c r="E3999" s="10" t="n">
        <v>0.754058</v>
      </c>
      <c r="F3999" s="10" t="n">
        <v>0.1770064264815423</v>
      </c>
      <c r="G3999" s="11">
        <f>E3999*Summary!$B$6</f>
        <v/>
      </c>
      <c r="H3999" s="11">
        <f>F3999*Summary!$B$7</f>
        <v/>
      </c>
      <c r="I3999" s="11">
        <f>MAX(0,N3999-M3999)</f>
        <v/>
      </c>
      <c r="J3999" s="11">
        <f>MAX(0,M3999-N3999)</f>
        <v/>
      </c>
      <c r="K3999" s="11">
        <f>O3999</f>
        <v/>
      </c>
      <c r="L3999" s="11">
        <f>L3998+IF(K3999&gt;0,K3999*Summary!$B$9,K3999/Summary!$B$9)</f>
        <v/>
      </c>
      <c r="M3999" s="11">
        <f>G3999+H3999</f>
        <v/>
      </c>
      <c r="N3999" s="11">
        <f>Summary!$C$16*Summary!$B$8</f>
        <v/>
      </c>
      <c r="O3999" s="11">
        <f>M3999-N3999</f>
        <v/>
      </c>
    </row>
    <row r="4000">
      <c r="A4000" s="9" t="n">
        <v>45458.58333333334</v>
      </c>
      <c r="B4000" t="n">
        <v>6</v>
      </c>
      <c r="C4000" t="n">
        <v>15</v>
      </c>
      <c r="D4000" t="n">
        <v>14</v>
      </c>
      <c r="E4000" s="10" t="n">
        <v>0.694488</v>
      </c>
      <c r="F4000" s="10" t="n">
        <v>0.2066260815902596</v>
      </c>
      <c r="G4000" s="11">
        <f>E4000*Summary!$B$6</f>
        <v/>
      </c>
      <c r="H4000" s="11">
        <f>F4000*Summary!$B$7</f>
        <v/>
      </c>
      <c r="I4000" s="11">
        <f>MAX(0,N4000-M4000)</f>
        <v/>
      </c>
      <c r="J4000" s="11">
        <f>MAX(0,M4000-N4000)</f>
        <v/>
      </c>
      <c r="K4000" s="11">
        <f>O4000</f>
        <v/>
      </c>
      <c r="L4000" s="11">
        <f>L3999+IF(K4000&gt;0,K4000*Summary!$B$9,K4000/Summary!$B$9)</f>
        <v/>
      </c>
      <c r="M4000" s="11">
        <f>G4000+H4000</f>
        <v/>
      </c>
      <c r="N4000" s="11">
        <f>Summary!$C$16*Summary!$B$8</f>
        <v/>
      </c>
      <c r="O4000" s="11">
        <f>M4000-N4000</f>
        <v/>
      </c>
    </row>
    <row r="4001">
      <c r="A4001" s="9" t="n">
        <v>45458.625</v>
      </c>
      <c r="B4001" t="n">
        <v>6</v>
      </c>
      <c r="C4001" t="n">
        <v>15</v>
      </c>
      <c r="D4001" t="n">
        <v>15</v>
      </c>
      <c r="E4001" s="10" t="n">
        <v>0.546843</v>
      </c>
      <c r="F4001" s="10" t="n">
        <v>0.2091558741974098</v>
      </c>
      <c r="G4001" s="11">
        <f>E4001*Summary!$B$6</f>
        <v/>
      </c>
      <c r="H4001" s="11">
        <f>F4001*Summary!$B$7</f>
        <v/>
      </c>
      <c r="I4001" s="11">
        <f>MAX(0,N4001-M4001)</f>
        <v/>
      </c>
      <c r="J4001" s="11">
        <f>MAX(0,M4001-N4001)</f>
        <v/>
      </c>
      <c r="K4001" s="11">
        <f>O4001</f>
        <v/>
      </c>
      <c r="L4001" s="11">
        <f>L4000+IF(K4001&gt;0,K4001*Summary!$B$9,K4001/Summary!$B$9)</f>
        <v/>
      </c>
      <c r="M4001" s="11">
        <f>G4001+H4001</f>
        <v/>
      </c>
      <c r="N4001" s="11">
        <f>Summary!$C$16*Summary!$B$8</f>
        <v/>
      </c>
      <c r="O4001" s="11">
        <f>M4001-N4001</f>
        <v/>
      </c>
    </row>
    <row r="4002">
      <c r="A4002" s="9" t="n">
        <v>45458.66666666666</v>
      </c>
      <c r="B4002" t="n">
        <v>6</v>
      </c>
      <c r="C4002" t="n">
        <v>15</v>
      </c>
      <c r="D4002" t="n">
        <v>16</v>
      </c>
      <c r="E4002" s="10" t="n">
        <v>0.354396</v>
      </c>
      <c r="F4002" s="10" t="n">
        <v>0.2084707220329733</v>
      </c>
      <c r="G4002" s="11">
        <f>E4002*Summary!$B$6</f>
        <v/>
      </c>
      <c r="H4002" s="11">
        <f>F4002*Summary!$B$7</f>
        <v/>
      </c>
      <c r="I4002" s="11">
        <f>MAX(0,N4002-M4002)</f>
        <v/>
      </c>
      <c r="J4002" s="11">
        <f>MAX(0,M4002-N4002)</f>
        <v/>
      </c>
      <c r="K4002" s="11">
        <f>O4002</f>
        <v/>
      </c>
      <c r="L4002" s="11">
        <f>L4001+IF(K4002&gt;0,K4002*Summary!$B$9,K4002/Summary!$B$9)</f>
        <v/>
      </c>
      <c r="M4002" s="11">
        <f>G4002+H4002</f>
        <v/>
      </c>
      <c r="N4002" s="11">
        <f>Summary!$C$16*Summary!$B$8</f>
        <v/>
      </c>
      <c r="O4002" s="11">
        <f>M4002-N4002</f>
        <v/>
      </c>
    </row>
    <row r="4003">
      <c r="A4003" s="9" t="n">
        <v>45458.70833333334</v>
      </c>
      <c r="B4003" t="n">
        <v>6</v>
      </c>
      <c r="C4003" t="n">
        <v>15</v>
      </c>
      <c r="D4003" t="n">
        <v>17</v>
      </c>
      <c r="E4003" s="10" t="n">
        <v>0.205591</v>
      </c>
      <c r="F4003" s="10" t="n">
        <v>0.2061253934700945</v>
      </c>
      <c r="G4003" s="11">
        <f>E4003*Summary!$B$6</f>
        <v/>
      </c>
      <c r="H4003" s="11">
        <f>F4003*Summary!$B$7</f>
        <v/>
      </c>
      <c r="I4003" s="11">
        <f>MAX(0,N4003-M4003)</f>
        <v/>
      </c>
      <c r="J4003" s="11">
        <f>MAX(0,M4003-N4003)</f>
        <v/>
      </c>
      <c r="K4003" s="11">
        <f>O4003</f>
        <v/>
      </c>
      <c r="L4003" s="11">
        <f>L4002+IF(K4003&gt;0,K4003*Summary!$B$9,K4003/Summary!$B$9)</f>
        <v/>
      </c>
      <c r="M4003" s="11">
        <f>G4003+H4003</f>
        <v/>
      </c>
      <c r="N4003" s="11">
        <f>Summary!$C$16*Summary!$B$8</f>
        <v/>
      </c>
      <c r="O4003" s="11">
        <f>M4003-N4003</f>
        <v/>
      </c>
    </row>
    <row r="4004">
      <c r="A4004" s="9" t="n">
        <v>45458.75</v>
      </c>
      <c r="B4004" t="n">
        <v>6</v>
      </c>
      <c r="C4004" t="n">
        <v>15</v>
      </c>
      <c r="D4004" t="n">
        <v>18</v>
      </c>
      <c r="E4004" s="10" t="n">
        <v>0.100914</v>
      </c>
      <c r="F4004" s="10" t="n">
        <v>0.1960589270541425</v>
      </c>
      <c r="G4004" s="11">
        <f>E4004*Summary!$B$6</f>
        <v/>
      </c>
      <c r="H4004" s="11">
        <f>F4004*Summary!$B$7</f>
        <v/>
      </c>
      <c r="I4004" s="11">
        <f>MAX(0,N4004-M4004)</f>
        <v/>
      </c>
      <c r="J4004" s="11">
        <f>MAX(0,M4004-N4004)</f>
        <v/>
      </c>
      <c r="K4004" s="11">
        <f>O4004</f>
        <v/>
      </c>
      <c r="L4004" s="11">
        <f>L4003+IF(K4004&gt;0,K4004*Summary!$B$9,K4004/Summary!$B$9)</f>
        <v/>
      </c>
      <c r="M4004" s="11">
        <f>G4004+H4004</f>
        <v/>
      </c>
      <c r="N4004" s="11">
        <f>Summary!$C$16*Summary!$B$8</f>
        <v/>
      </c>
      <c r="O4004" s="11">
        <f>M4004-N4004</f>
        <v/>
      </c>
    </row>
    <row r="4005">
      <c r="A4005" s="9" t="n">
        <v>45458.79166666666</v>
      </c>
      <c r="B4005" t="n">
        <v>6</v>
      </c>
      <c r="C4005" t="n">
        <v>15</v>
      </c>
      <c r="D4005" t="n">
        <v>19</v>
      </c>
      <c r="E4005" s="10" t="n">
        <v>0.04424</v>
      </c>
      <c r="F4005" s="10" t="n">
        <v>0.1923959981750396</v>
      </c>
      <c r="G4005" s="11">
        <f>E4005*Summary!$B$6</f>
        <v/>
      </c>
      <c r="H4005" s="11">
        <f>F4005*Summary!$B$7</f>
        <v/>
      </c>
      <c r="I4005" s="11">
        <f>MAX(0,N4005-M4005)</f>
        <v/>
      </c>
      <c r="J4005" s="11">
        <f>MAX(0,M4005-N4005)</f>
        <v/>
      </c>
      <c r="K4005" s="11">
        <f>O4005</f>
        <v/>
      </c>
      <c r="L4005" s="11">
        <f>L4004+IF(K4005&gt;0,K4005*Summary!$B$9,K4005/Summary!$B$9)</f>
        <v/>
      </c>
      <c r="M4005" s="11">
        <f>G4005+H4005</f>
        <v/>
      </c>
      <c r="N4005" s="11">
        <f>Summary!$C$16*Summary!$B$8</f>
        <v/>
      </c>
      <c r="O4005" s="11">
        <f>M4005-N4005</f>
        <v/>
      </c>
    </row>
    <row r="4006">
      <c r="A4006" s="9" t="n">
        <v>45458.83333333334</v>
      </c>
      <c r="B4006" t="n">
        <v>6</v>
      </c>
      <c r="C4006" t="n">
        <v>15</v>
      </c>
      <c r="D4006" t="n">
        <v>20</v>
      </c>
      <c r="E4006" s="10" t="n">
        <v>0.027295</v>
      </c>
      <c r="F4006" s="10" t="n">
        <v>0.1883641412073939</v>
      </c>
      <c r="G4006" s="11">
        <f>E4006*Summary!$B$6</f>
        <v/>
      </c>
      <c r="H4006" s="11">
        <f>F4006*Summary!$B$7</f>
        <v/>
      </c>
      <c r="I4006" s="11">
        <f>MAX(0,N4006-M4006)</f>
        <v/>
      </c>
      <c r="J4006" s="11">
        <f>MAX(0,M4006-N4006)</f>
        <v/>
      </c>
      <c r="K4006" s="11">
        <f>O4006</f>
        <v/>
      </c>
      <c r="L4006" s="11">
        <f>L4005+IF(K4006&gt;0,K4006*Summary!$B$9,K4006/Summary!$B$9)</f>
        <v/>
      </c>
      <c r="M4006" s="11">
        <f>G4006+H4006</f>
        <v/>
      </c>
      <c r="N4006" s="11">
        <f>Summary!$C$16*Summary!$B$8</f>
        <v/>
      </c>
      <c r="O4006" s="11">
        <f>M4006-N4006</f>
        <v/>
      </c>
    </row>
    <row r="4007">
      <c r="A4007" s="9" t="n">
        <v>45458.875</v>
      </c>
      <c r="B4007" t="n">
        <v>6</v>
      </c>
      <c r="C4007" t="n">
        <v>15</v>
      </c>
      <c r="D4007" t="n">
        <v>21</v>
      </c>
      <c r="E4007" s="10" t="n">
        <v>0</v>
      </c>
      <c r="F4007" s="10" t="n">
        <v>0.191052045852491</v>
      </c>
      <c r="G4007" s="11">
        <f>E4007*Summary!$B$6</f>
        <v/>
      </c>
      <c r="H4007" s="11">
        <f>F4007*Summary!$B$7</f>
        <v/>
      </c>
      <c r="I4007" s="11">
        <f>MAX(0,N4007-M4007)</f>
        <v/>
      </c>
      <c r="J4007" s="11">
        <f>MAX(0,M4007-N4007)</f>
        <v/>
      </c>
      <c r="K4007" s="11">
        <f>O4007</f>
        <v/>
      </c>
      <c r="L4007" s="11">
        <f>L4006+IF(K4007&gt;0,K4007*Summary!$B$9,K4007/Summary!$B$9)</f>
        <v/>
      </c>
      <c r="M4007" s="11">
        <f>G4007+H4007</f>
        <v/>
      </c>
      <c r="N4007" s="11">
        <f>Summary!$C$16*Summary!$B$8</f>
        <v/>
      </c>
      <c r="O4007" s="11">
        <f>M4007-N4007</f>
        <v/>
      </c>
    </row>
    <row r="4008">
      <c r="A4008" s="9" t="n">
        <v>45458.91666666666</v>
      </c>
      <c r="B4008" t="n">
        <v>6</v>
      </c>
      <c r="C4008" t="n">
        <v>15</v>
      </c>
      <c r="D4008" t="n">
        <v>22</v>
      </c>
      <c r="E4008" s="10" t="n">
        <v>0</v>
      </c>
      <c r="F4008" s="10" t="n">
        <v>0.1923169421560661</v>
      </c>
      <c r="G4008" s="11">
        <f>E4008*Summary!$B$6</f>
        <v/>
      </c>
      <c r="H4008" s="11">
        <f>F4008*Summary!$B$7</f>
        <v/>
      </c>
      <c r="I4008" s="11">
        <f>MAX(0,N4008-M4008)</f>
        <v/>
      </c>
      <c r="J4008" s="11">
        <f>MAX(0,M4008-N4008)</f>
        <v/>
      </c>
      <c r="K4008" s="11">
        <f>O4008</f>
        <v/>
      </c>
      <c r="L4008" s="11">
        <f>L4007+IF(K4008&gt;0,K4008*Summary!$B$9,K4008/Summary!$B$9)</f>
        <v/>
      </c>
      <c r="M4008" s="11">
        <f>G4008+H4008</f>
        <v/>
      </c>
      <c r="N4008" s="11">
        <f>Summary!$C$16*Summary!$B$8</f>
        <v/>
      </c>
      <c r="O4008" s="11">
        <f>M4008-N4008</f>
        <v/>
      </c>
    </row>
    <row r="4009">
      <c r="A4009" s="9" t="n">
        <v>45458.95833333334</v>
      </c>
      <c r="B4009" t="n">
        <v>6</v>
      </c>
      <c r="C4009" t="n">
        <v>15</v>
      </c>
      <c r="D4009" t="n">
        <v>23</v>
      </c>
      <c r="E4009" s="10" t="n">
        <v>0</v>
      </c>
      <c r="F4009" s="10" t="n">
        <v>0.1872046529291167</v>
      </c>
      <c r="G4009" s="11">
        <f>E4009*Summary!$B$6</f>
        <v/>
      </c>
      <c r="H4009" s="11">
        <f>F4009*Summary!$B$7</f>
        <v/>
      </c>
      <c r="I4009" s="11">
        <f>MAX(0,N4009-M4009)</f>
        <v/>
      </c>
      <c r="J4009" s="11">
        <f>MAX(0,M4009-N4009)</f>
        <v/>
      </c>
      <c r="K4009" s="11">
        <f>O4009</f>
        <v/>
      </c>
      <c r="L4009" s="11">
        <f>L4008+IF(K4009&gt;0,K4009*Summary!$B$9,K4009/Summary!$B$9)</f>
        <v/>
      </c>
      <c r="M4009" s="11">
        <f>G4009+H4009</f>
        <v/>
      </c>
      <c r="N4009" s="11">
        <f>Summary!$C$16*Summary!$B$8</f>
        <v/>
      </c>
      <c r="O4009" s="11">
        <f>M4009-N4009</f>
        <v/>
      </c>
    </row>
    <row r="4010">
      <c r="A4010" s="9" t="n">
        <v>45459</v>
      </c>
      <c r="B4010" t="n">
        <v>6</v>
      </c>
      <c r="C4010" t="n">
        <v>16</v>
      </c>
      <c r="D4010" t="n">
        <v>0</v>
      </c>
      <c r="E4010" s="10" t="n">
        <v>0</v>
      </c>
      <c r="F4010" s="10" t="n">
        <v>0.1984042556170214</v>
      </c>
      <c r="G4010" s="11">
        <f>E4010*Summary!$B$6</f>
        <v/>
      </c>
      <c r="H4010" s="11">
        <f>F4010*Summary!$B$7</f>
        <v/>
      </c>
      <c r="I4010" s="11">
        <f>MAX(0,N4010-M4010)</f>
        <v/>
      </c>
      <c r="J4010" s="11">
        <f>MAX(0,M4010-N4010)</f>
        <v/>
      </c>
      <c r="K4010" s="11">
        <f>O4010</f>
        <v/>
      </c>
      <c r="L4010" s="11">
        <f>L4009+IF(K4010&gt;0,K4010*Summary!$B$9,K4010/Summary!$B$9)</f>
        <v/>
      </c>
      <c r="M4010" s="11">
        <f>G4010+H4010</f>
        <v/>
      </c>
      <c r="N4010" s="11">
        <f>Summary!$C$16*Summary!$B$8</f>
        <v/>
      </c>
      <c r="O4010" s="11">
        <f>M4010-N4010</f>
        <v/>
      </c>
    </row>
    <row r="4011">
      <c r="A4011" s="9" t="n">
        <v>45459.04166666666</v>
      </c>
      <c r="B4011" t="n">
        <v>6</v>
      </c>
      <c r="C4011" t="n">
        <v>16</v>
      </c>
      <c r="D4011" t="n">
        <v>1</v>
      </c>
      <c r="E4011" s="10" t="n">
        <v>0</v>
      </c>
      <c r="F4011" s="10" t="n">
        <v>0.1737651297036311</v>
      </c>
      <c r="G4011" s="11">
        <f>E4011*Summary!$B$6</f>
        <v/>
      </c>
      <c r="H4011" s="11">
        <f>F4011*Summary!$B$7</f>
        <v/>
      </c>
      <c r="I4011" s="11">
        <f>MAX(0,N4011-M4011)</f>
        <v/>
      </c>
      <c r="J4011" s="11">
        <f>MAX(0,M4011-N4011)</f>
        <v/>
      </c>
      <c r="K4011" s="11">
        <f>O4011</f>
        <v/>
      </c>
      <c r="L4011" s="11">
        <f>L4010+IF(K4011&gt;0,K4011*Summary!$B$9,K4011/Summary!$B$9)</f>
        <v/>
      </c>
      <c r="M4011" s="11">
        <f>G4011+H4011</f>
        <v/>
      </c>
      <c r="N4011" s="11">
        <f>Summary!$C$16*Summary!$B$8</f>
        <v/>
      </c>
      <c r="O4011" s="11">
        <f>M4011-N4011</f>
        <v/>
      </c>
    </row>
    <row r="4012">
      <c r="A4012" s="9" t="n">
        <v>45459.08333333334</v>
      </c>
      <c r="B4012" t="n">
        <v>6</v>
      </c>
      <c r="C4012" t="n">
        <v>16</v>
      </c>
      <c r="D4012" t="n">
        <v>2</v>
      </c>
      <c r="E4012" s="10" t="n">
        <v>0</v>
      </c>
      <c r="F4012" s="10" t="n">
        <v>0.1745029858807166</v>
      </c>
      <c r="G4012" s="11">
        <f>E4012*Summary!$B$6</f>
        <v/>
      </c>
      <c r="H4012" s="11">
        <f>F4012*Summary!$B$7</f>
        <v/>
      </c>
      <c r="I4012" s="11">
        <f>MAX(0,N4012-M4012)</f>
        <v/>
      </c>
      <c r="J4012" s="11">
        <f>MAX(0,M4012-N4012)</f>
        <v/>
      </c>
      <c r="K4012" s="11">
        <f>O4012</f>
        <v/>
      </c>
      <c r="L4012" s="11">
        <f>L4011+IF(K4012&gt;0,K4012*Summary!$B$9,K4012/Summary!$B$9)</f>
        <v/>
      </c>
      <c r="M4012" s="11">
        <f>G4012+H4012</f>
        <v/>
      </c>
      <c r="N4012" s="11">
        <f>Summary!$C$16*Summary!$B$8</f>
        <v/>
      </c>
      <c r="O4012" s="11">
        <f>M4012-N4012</f>
        <v/>
      </c>
    </row>
    <row r="4013">
      <c r="A4013" s="9" t="n">
        <v>45459.125</v>
      </c>
      <c r="B4013" t="n">
        <v>6</v>
      </c>
      <c r="C4013" t="n">
        <v>16</v>
      </c>
      <c r="D4013" t="n">
        <v>3</v>
      </c>
      <c r="E4013" s="10" t="n">
        <v>0</v>
      </c>
      <c r="F4013" s="10" t="n">
        <v>0.1707082969699913</v>
      </c>
      <c r="G4013" s="11">
        <f>E4013*Summary!$B$6</f>
        <v/>
      </c>
      <c r="H4013" s="11">
        <f>F4013*Summary!$B$7</f>
        <v/>
      </c>
      <c r="I4013" s="11">
        <f>MAX(0,N4013-M4013)</f>
        <v/>
      </c>
      <c r="J4013" s="11">
        <f>MAX(0,M4013-N4013)</f>
        <v/>
      </c>
      <c r="K4013" s="11">
        <f>O4013</f>
        <v/>
      </c>
      <c r="L4013" s="11">
        <f>L4012+IF(K4013&gt;0,K4013*Summary!$B$9,K4013/Summary!$B$9)</f>
        <v/>
      </c>
      <c r="M4013" s="11">
        <f>G4013+H4013</f>
        <v/>
      </c>
      <c r="N4013" s="11">
        <f>Summary!$C$16*Summary!$B$8</f>
        <v/>
      </c>
      <c r="O4013" s="11">
        <f>M4013-N4013</f>
        <v/>
      </c>
    </row>
    <row r="4014">
      <c r="A4014" s="9" t="n">
        <v>45459.16666666666</v>
      </c>
      <c r="B4014" t="n">
        <v>6</v>
      </c>
      <c r="C4014" t="n">
        <v>16</v>
      </c>
      <c r="D4014" t="n">
        <v>4</v>
      </c>
      <c r="E4014" s="10" t="n">
        <v>0.040492</v>
      </c>
      <c r="F4014" s="10" t="n">
        <v>0.1603783104907945</v>
      </c>
      <c r="G4014" s="11">
        <f>E4014*Summary!$B$6</f>
        <v/>
      </c>
      <c r="H4014" s="11">
        <f>F4014*Summary!$B$7</f>
        <v/>
      </c>
      <c r="I4014" s="11">
        <f>MAX(0,N4014-M4014)</f>
        <v/>
      </c>
      <c r="J4014" s="11">
        <f>MAX(0,M4014-N4014)</f>
        <v/>
      </c>
      <c r="K4014" s="11">
        <f>O4014</f>
        <v/>
      </c>
      <c r="L4014" s="11">
        <f>L4013+IF(K4014&gt;0,K4014*Summary!$B$9,K4014/Summary!$B$9)</f>
        <v/>
      </c>
      <c r="M4014" s="11">
        <f>G4014+H4014</f>
        <v/>
      </c>
      <c r="N4014" s="11">
        <f>Summary!$C$16*Summary!$B$8</f>
        <v/>
      </c>
      <c r="O4014" s="11">
        <f>M4014-N4014</f>
        <v/>
      </c>
    </row>
    <row r="4015">
      <c r="A4015" s="9" t="n">
        <v>45459.20833333334</v>
      </c>
      <c r="B4015" t="n">
        <v>6</v>
      </c>
      <c r="C4015" t="n">
        <v>16</v>
      </c>
      <c r="D4015" t="n">
        <v>5</v>
      </c>
      <c r="E4015" s="10" t="n">
        <v>0.077016</v>
      </c>
      <c r="F4015" s="10" t="n">
        <v>0.1441454745949139</v>
      </c>
      <c r="G4015" s="11">
        <f>E4015*Summary!$B$6</f>
        <v/>
      </c>
      <c r="H4015" s="11">
        <f>F4015*Summary!$B$7</f>
        <v/>
      </c>
      <c r="I4015" s="11">
        <f>MAX(0,N4015-M4015)</f>
        <v/>
      </c>
      <c r="J4015" s="11">
        <f>MAX(0,M4015-N4015)</f>
        <v/>
      </c>
      <c r="K4015" s="11">
        <f>O4015</f>
        <v/>
      </c>
      <c r="L4015" s="11">
        <f>L4014+IF(K4015&gt;0,K4015*Summary!$B$9,K4015/Summary!$B$9)</f>
        <v/>
      </c>
      <c r="M4015" s="11">
        <f>G4015+H4015</f>
        <v/>
      </c>
      <c r="N4015" s="11">
        <f>Summary!$C$16*Summary!$B$8</f>
        <v/>
      </c>
      <c r="O4015" s="11">
        <f>M4015-N4015</f>
        <v/>
      </c>
    </row>
    <row r="4016">
      <c r="A4016" s="9" t="n">
        <v>45459.25</v>
      </c>
      <c r="B4016" t="n">
        <v>6</v>
      </c>
      <c r="C4016" t="n">
        <v>16</v>
      </c>
      <c r="D4016" t="n">
        <v>6</v>
      </c>
      <c r="E4016" s="10" t="n">
        <v>0.18232</v>
      </c>
      <c r="F4016" s="10" t="n">
        <v>0.1286504948761188</v>
      </c>
      <c r="G4016" s="11">
        <f>E4016*Summary!$B$6</f>
        <v/>
      </c>
      <c r="H4016" s="11">
        <f>F4016*Summary!$B$7</f>
        <v/>
      </c>
      <c r="I4016" s="11">
        <f>MAX(0,N4016-M4016)</f>
        <v/>
      </c>
      <c r="J4016" s="11">
        <f>MAX(0,M4016-N4016)</f>
        <v/>
      </c>
      <c r="K4016" s="11">
        <f>O4016</f>
        <v/>
      </c>
      <c r="L4016" s="11">
        <f>L4015+IF(K4016&gt;0,K4016*Summary!$B$9,K4016/Summary!$B$9)</f>
        <v/>
      </c>
      <c r="M4016" s="11">
        <f>G4016+H4016</f>
        <v/>
      </c>
      <c r="N4016" s="11">
        <f>Summary!$C$16*Summary!$B$8</f>
        <v/>
      </c>
      <c r="O4016" s="11">
        <f>M4016-N4016</f>
        <v/>
      </c>
    </row>
    <row r="4017">
      <c r="A4017" s="9" t="n">
        <v>45459.29166666666</v>
      </c>
      <c r="B4017" t="n">
        <v>6</v>
      </c>
      <c r="C4017" t="n">
        <v>16</v>
      </c>
      <c r="D4017" t="n">
        <v>7</v>
      </c>
      <c r="E4017" s="10" t="n">
        <v>0.339883</v>
      </c>
      <c r="F4017" s="10" t="n">
        <v>0.1201124448269868</v>
      </c>
      <c r="G4017" s="11">
        <f>E4017*Summary!$B$6</f>
        <v/>
      </c>
      <c r="H4017" s="11">
        <f>F4017*Summary!$B$7</f>
        <v/>
      </c>
      <c r="I4017" s="11">
        <f>MAX(0,N4017-M4017)</f>
        <v/>
      </c>
      <c r="J4017" s="11">
        <f>MAX(0,M4017-N4017)</f>
        <v/>
      </c>
      <c r="K4017" s="11">
        <f>O4017</f>
        <v/>
      </c>
      <c r="L4017" s="11">
        <f>L4016+IF(K4017&gt;0,K4017*Summary!$B$9,K4017/Summary!$B$9)</f>
        <v/>
      </c>
      <c r="M4017" s="11">
        <f>G4017+H4017</f>
        <v/>
      </c>
      <c r="N4017" s="11">
        <f>Summary!$C$16*Summary!$B$8</f>
        <v/>
      </c>
      <c r="O4017" s="11">
        <f>M4017-N4017</f>
        <v/>
      </c>
    </row>
    <row r="4018">
      <c r="A4018" s="9" t="n">
        <v>45459.33333333334</v>
      </c>
      <c r="B4018" t="n">
        <v>6</v>
      </c>
      <c r="C4018" t="n">
        <v>16</v>
      </c>
      <c r="D4018" t="n">
        <v>8</v>
      </c>
      <c r="E4018" s="10" t="n">
        <v>0.599674</v>
      </c>
      <c r="F4018" s="10" t="n">
        <v>0.123301037592249</v>
      </c>
      <c r="G4018" s="11">
        <f>E4018*Summary!$B$6</f>
        <v/>
      </c>
      <c r="H4018" s="11">
        <f>F4018*Summary!$B$7</f>
        <v/>
      </c>
      <c r="I4018" s="11">
        <f>MAX(0,N4018-M4018)</f>
        <v/>
      </c>
      <c r="J4018" s="11">
        <f>MAX(0,M4018-N4018)</f>
        <v/>
      </c>
      <c r="K4018" s="11">
        <f>O4018</f>
        <v/>
      </c>
      <c r="L4018" s="11">
        <f>L4017+IF(K4018&gt;0,K4018*Summary!$B$9,K4018/Summary!$B$9)</f>
        <v/>
      </c>
      <c r="M4018" s="11">
        <f>G4018+H4018</f>
        <v/>
      </c>
      <c r="N4018" s="11">
        <f>Summary!$C$16*Summary!$B$8</f>
        <v/>
      </c>
      <c r="O4018" s="11">
        <f>M4018-N4018</f>
        <v/>
      </c>
    </row>
    <row r="4019">
      <c r="A4019" s="9" t="n">
        <v>45459.375</v>
      </c>
      <c r="B4019" t="n">
        <v>6</v>
      </c>
      <c r="C4019" t="n">
        <v>16</v>
      </c>
      <c r="D4019" t="n">
        <v>9</v>
      </c>
      <c r="E4019" s="10" t="n">
        <v>0.740265</v>
      </c>
      <c r="F4019" s="10" t="n">
        <v>0.1302052632492632</v>
      </c>
      <c r="G4019" s="11">
        <f>E4019*Summary!$B$6</f>
        <v/>
      </c>
      <c r="H4019" s="11">
        <f>F4019*Summary!$B$7</f>
        <v/>
      </c>
      <c r="I4019" s="11">
        <f>MAX(0,N4019-M4019)</f>
        <v/>
      </c>
      <c r="J4019" s="11">
        <f>MAX(0,M4019-N4019)</f>
        <v/>
      </c>
      <c r="K4019" s="11">
        <f>O4019</f>
        <v/>
      </c>
      <c r="L4019" s="11">
        <f>L4018+IF(K4019&gt;0,K4019*Summary!$B$9,K4019/Summary!$B$9)</f>
        <v/>
      </c>
      <c r="M4019" s="11">
        <f>G4019+H4019</f>
        <v/>
      </c>
      <c r="N4019" s="11">
        <f>Summary!$C$16*Summary!$B$8</f>
        <v/>
      </c>
      <c r="O4019" s="11">
        <f>M4019-N4019</f>
        <v/>
      </c>
    </row>
    <row r="4020">
      <c r="A4020" s="9" t="n">
        <v>45459.41666666666</v>
      </c>
      <c r="B4020" t="n">
        <v>6</v>
      </c>
      <c r="C4020" t="n">
        <v>16</v>
      </c>
      <c r="D4020" t="n">
        <v>10</v>
      </c>
      <c r="E4020" s="10" t="n">
        <v>0.754058</v>
      </c>
      <c r="F4020" s="10" t="n">
        <v>0.1423798901711736</v>
      </c>
      <c r="G4020" s="11">
        <f>E4020*Summary!$B$6</f>
        <v/>
      </c>
      <c r="H4020" s="11">
        <f>F4020*Summary!$B$7</f>
        <v/>
      </c>
      <c r="I4020" s="11">
        <f>MAX(0,N4020-M4020)</f>
        <v/>
      </c>
      <c r="J4020" s="11">
        <f>MAX(0,M4020-N4020)</f>
        <v/>
      </c>
      <c r="K4020" s="11">
        <f>O4020</f>
        <v/>
      </c>
      <c r="L4020" s="11">
        <f>L4019+IF(K4020&gt;0,K4020*Summary!$B$9,K4020/Summary!$B$9)</f>
        <v/>
      </c>
      <c r="M4020" s="11">
        <f>G4020+H4020</f>
        <v/>
      </c>
      <c r="N4020" s="11">
        <f>Summary!$C$16*Summary!$B$8</f>
        <v/>
      </c>
      <c r="O4020" s="11">
        <f>M4020-N4020</f>
        <v/>
      </c>
    </row>
    <row r="4021">
      <c r="A4021" s="9" t="n">
        <v>45459.45833333334</v>
      </c>
      <c r="B4021" t="n">
        <v>6</v>
      </c>
      <c r="C4021" t="n">
        <v>16</v>
      </c>
      <c r="D4021" t="n">
        <v>11</v>
      </c>
      <c r="E4021" s="10" t="n">
        <v>0.754058</v>
      </c>
      <c r="F4021" s="10" t="n">
        <v>0.1532105647705355</v>
      </c>
      <c r="G4021" s="11">
        <f>E4021*Summary!$B$6</f>
        <v/>
      </c>
      <c r="H4021" s="11">
        <f>F4021*Summary!$B$7</f>
        <v/>
      </c>
      <c r="I4021" s="11">
        <f>MAX(0,N4021-M4021)</f>
        <v/>
      </c>
      <c r="J4021" s="11">
        <f>MAX(0,M4021-N4021)</f>
        <v/>
      </c>
      <c r="K4021" s="11">
        <f>O4021</f>
        <v/>
      </c>
      <c r="L4021" s="11">
        <f>L4020+IF(K4021&gt;0,K4021*Summary!$B$9,K4021/Summary!$B$9)</f>
        <v/>
      </c>
      <c r="M4021" s="11">
        <f>G4021+H4021</f>
        <v/>
      </c>
      <c r="N4021" s="11">
        <f>Summary!$C$16*Summary!$B$8</f>
        <v/>
      </c>
      <c r="O4021" s="11">
        <f>M4021-N4021</f>
        <v/>
      </c>
    </row>
    <row r="4022">
      <c r="A4022" s="9" t="n">
        <v>45459.5</v>
      </c>
      <c r="B4022" t="n">
        <v>6</v>
      </c>
      <c r="C4022" t="n">
        <v>16</v>
      </c>
      <c r="D4022" t="n">
        <v>12</v>
      </c>
      <c r="E4022" s="10" t="n">
        <v>0.754058</v>
      </c>
      <c r="F4022" s="10" t="n">
        <v>0.1649899115975788</v>
      </c>
      <c r="G4022" s="11">
        <f>E4022*Summary!$B$6</f>
        <v/>
      </c>
      <c r="H4022" s="11">
        <f>F4022*Summary!$B$7</f>
        <v/>
      </c>
      <c r="I4022" s="11">
        <f>MAX(0,N4022-M4022)</f>
        <v/>
      </c>
      <c r="J4022" s="11">
        <f>MAX(0,M4022-N4022)</f>
        <v/>
      </c>
      <c r="K4022" s="11">
        <f>O4022</f>
        <v/>
      </c>
      <c r="L4022" s="11">
        <f>L4021+IF(K4022&gt;0,K4022*Summary!$B$9,K4022/Summary!$B$9)</f>
        <v/>
      </c>
      <c r="M4022" s="11">
        <f>G4022+H4022</f>
        <v/>
      </c>
      <c r="N4022" s="11">
        <f>Summary!$C$16*Summary!$B$8</f>
        <v/>
      </c>
      <c r="O4022" s="11">
        <f>M4022-N4022</f>
        <v/>
      </c>
    </row>
    <row r="4023">
      <c r="A4023" s="9" t="n">
        <v>45459.54166666666</v>
      </c>
      <c r="B4023" t="n">
        <v>6</v>
      </c>
      <c r="C4023" t="n">
        <v>16</v>
      </c>
      <c r="D4023" t="n">
        <v>13</v>
      </c>
      <c r="E4023" s="10" t="n">
        <v>0.754058</v>
      </c>
      <c r="F4023" s="10" t="n">
        <v>0.1753726020894245</v>
      </c>
      <c r="G4023" s="11">
        <f>E4023*Summary!$B$6</f>
        <v/>
      </c>
      <c r="H4023" s="11">
        <f>F4023*Summary!$B$7</f>
        <v/>
      </c>
      <c r="I4023" s="11">
        <f>MAX(0,N4023-M4023)</f>
        <v/>
      </c>
      <c r="J4023" s="11">
        <f>MAX(0,M4023-N4023)</f>
        <v/>
      </c>
      <c r="K4023" s="11">
        <f>O4023</f>
        <v/>
      </c>
      <c r="L4023" s="11">
        <f>L4022+IF(K4023&gt;0,K4023*Summary!$B$9,K4023/Summary!$B$9)</f>
        <v/>
      </c>
      <c r="M4023" s="11">
        <f>G4023+H4023</f>
        <v/>
      </c>
      <c r="N4023" s="11">
        <f>Summary!$C$16*Summary!$B$8</f>
        <v/>
      </c>
      <c r="O4023" s="11">
        <f>M4023-N4023</f>
        <v/>
      </c>
    </row>
    <row r="4024">
      <c r="A4024" s="9" t="n">
        <v>45459.58333333334</v>
      </c>
      <c r="B4024" t="n">
        <v>6</v>
      </c>
      <c r="C4024" t="n">
        <v>16</v>
      </c>
      <c r="D4024" t="n">
        <v>14</v>
      </c>
      <c r="E4024" s="10" t="n">
        <v>0.754058</v>
      </c>
      <c r="F4024" s="10" t="n">
        <v>0.1819078996578959</v>
      </c>
      <c r="G4024" s="11">
        <f>E4024*Summary!$B$6</f>
        <v/>
      </c>
      <c r="H4024" s="11">
        <f>F4024*Summary!$B$7</f>
        <v/>
      </c>
      <c r="I4024" s="11">
        <f>MAX(0,N4024-M4024)</f>
        <v/>
      </c>
      <c r="J4024" s="11">
        <f>MAX(0,M4024-N4024)</f>
        <v/>
      </c>
      <c r="K4024" s="11">
        <f>O4024</f>
        <v/>
      </c>
      <c r="L4024" s="11">
        <f>L4023+IF(K4024&gt;0,K4024*Summary!$B$9,K4024/Summary!$B$9)</f>
        <v/>
      </c>
      <c r="M4024" s="11">
        <f>G4024+H4024</f>
        <v/>
      </c>
      <c r="N4024" s="11">
        <f>Summary!$C$16*Summary!$B$8</f>
        <v/>
      </c>
      <c r="O4024" s="11">
        <f>M4024-N4024</f>
        <v/>
      </c>
    </row>
    <row r="4025">
      <c r="A4025" s="9" t="n">
        <v>45459.625</v>
      </c>
      <c r="B4025" t="n">
        <v>6</v>
      </c>
      <c r="C4025" t="n">
        <v>16</v>
      </c>
      <c r="D4025" t="n">
        <v>15</v>
      </c>
      <c r="E4025" s="10" t="n">
        <v>0.64581</v>
      </c>
      <c r="F4025" s="10" t="n">
        <v>0.1813545075250818</v>
      </c>
      <c r="G4025" s="11">
        <f>E4025*Summary!$B$6</f>
        <v/>
      </c>
      <c r="H4025" s="11">
        <f>F4025*Summary!$B$7</f>
        <v/>
      </c>
      <c r="I4025" s="11">
        <f>MAX(0,N4025-M4025)</f>
        <v/>
      </c>
      <c r="J4025" s="11">
        <f>MAX(0,M4025-N4025)</f>
        <v/>
      </c>
      <c r="K4025" s="11">
        <f>O4025</f>
        <v/>
      </c>
      <c r="L4025" s="11">
        <f>L4024+IF(K4025&gt;0,K4025*Summary!$B$9,K4025/Summary!$B$9)</f>
        <v/>
      </c>
      <c r="M4025" s="11">
        <f>G4025+H4025</f>
        <v/>
      </c>
      <c r="N4025" s="11">
        <f>Summary!$C$16*Summary!$B$8</f>
        <v/>
      </c>
      <c r="O4025" s="11">
        <f>M4025-N4025</f>
        <v/>
      </c>
    </row>
    <row r="4026">
      <c r="A4026" s="9" t="n">
        <v>45459.66666666666</v>
      </c>
      <c r="B4026" t="n">
        <v>6</v>
      </c>
      <c r="C4026" t="n">
        <v>16</v>
      </c>
      <c r="D4026" t="n">
        <v>16</v>
      </c>
      <c r="E4026" s="10" t="n">
        <v>0.47008</v>
      </c>
      <c r="F4026" s="10" t="n">
        <v>0.1818815476515714</v>
      </c>
      <c r="G4026" s="11">
        <f>E4026*Summary!$B$6</f>
        <v/>
      </c>
      <c r="H4026" s="11">
        <f>F4026*Summary!$B$7</f>
        <v/>
      </c>
      <c r="I4026" s="11">
        <f>MAX(0,N4026-M4026)</f>
        <v/>
      </c>
      <c r="J4026" s="11">
        <f>MAX(0,M4026-N4026)</f>
        <v/>
      </c>
      <c r="K4026" s="11">
        <f>O4026</f>
        <v/>
      </c>
      <c r="L4026" s="11">
        <f>L4025+IF(K4026&gt;0,K4026*Summary!$B$9,K4026/Summary!$B$9)</f>
        <v/>
      </c>
      <c r="M4026" s="11">
        <f>G4026+H4026</f>
        <v/>
      </c>
      <c r="N4026" s="11">
        <f>Summary!$C$16*Summary!$B$8</f>
        <v/>
      </c>
      <c r="O4026" s="11">
        <f>M4026-N4026</f>
        <v/>
      </c>
    </row>
    <row r="4027">
      <c r="A4027" s="9" t="n">
        <v>45459.70833333334</v>
      </c>
      <c r="B4027" t="n">
        <v>6</v>
      </c>
      <c r="C4027" t="n">
        <v>16</v>
      </c>
      <c r="D4027" t="n">
        <v>17</v>
      </c>
      <c r="E4027" s="10" t="n">
        <v>0.271183</v>
      </c>
      <c r="F4027" s="10" t="n">
        <v>0.1778233386776013</v>
      </c>
      <c r="G4027" s="11">
        <f>E4027*Summary!$B$6</f>
        <v/>
      </c>
      <c r="H4027" s="11">
        <f>F4027*Summary!$B$7</f>
        <v/>
      </c>
      <c r="I4027" s="11">
        <f>MAX(0,N4027-M4027)</f>
        <v/>
      </c>
      <c r="J4027" s="11">
        <f>MAX(0,M4027-N4027)</f>
        <v/>
      </c>
      <c r="K4027" s="11">
        <f>O4027</f>
        <v/>
      </c>
      <c r="L4027" s="11">
        <f>L4026+IF(K4027&gt;0,K4027*Summary!$B$9,K4027/Summary!$B$9)</f>
        <v/>
      </c>
      <c r="M4027" s="11">
        <f>G4027+H4027</f>
        <v/>
      </c>
      <c r="N4027" s="11">
        <f>Summary!$C$16*Summary!$B$8</f>
        <v/>
      </c>
      <c r="O4027" s="11">
        <f>M4027-N4027</f>
        <v/>
      </c>
    </row>
    <row r="4028">
      <c r="A4028" s="9" t="n">
        <v>45459.75</v>
      </c>
      <c r="B4028" t="n">
        <v>6</v>
      </c>
      <c r="C4028" t="n">
        <v>16</v>
      </c>
      <c r="D4028" t="n">
        <v>18</v>
      </c>
      <c r="E4028" s="10" t="n">
        <v>0.087869</v>
      </c>
      <c r="F4028" s="10" t="n">
        <v>0.1666237359896967</v>
      </c>
      <c r="G4028" s="11">
        <f>E4028*Summary!$B$6</f>
        <v/>
      </c>
      <c r="H4028" s="11">
        <f>F4028*Summary!$B$7</f>
        <v/>
      </c>
      <c r="I4028" s="11">
        <f>MAX(0,N4028-M4028)</f>
        <v/>
      </c>
      <c r="J4028" s="11">
        <f>MAX(0,M4028-N4028)</f>
        <v/>
      </c>
      <c r="K4028" s="11">
        <f>O4028</f>
        <v/>
      </c>
      <c r="L4028" s="11">
        <f>L4027+IF(K4028&gt;0,K4028*Summary!$B$9,K4028/Summary!$B$9)</f>
        <v/>
      </c>
      <c r="M4028" s="11">
        <f>G4028+H4028</f>
        <v/>
      </c>
      <c r="N4028" s="11">
        <f>Summary!$C$16*Summary!$B$8</f>
        <v/>
      </c>
      <c r="O4028" s="11">
        <f>M4028-N4028</f>
        <v/>
      </c>
    </row>
    <row r="4029">
      <c r="A4029" s="9" t="n">
        <v>45459.79166666666</v>
      </c>
      <c r="B4029" t="n">
        <v>6</v>
      </c>
      <c r="C4029" t="n">
        <v>16</v>
      </c>
      <c r="D4029" t="n">
        <v>19</v>
      </c>
      <c r="E4029" s="10" t="n">
        <v>0.04954</v>
      </c>
      <c r="F4029" s="10" t="n">
        <v>0.1651480236355257</v>
      </c>
      <c r="G4029" s="11">
        <f>E4029*Summary!$B$6</f>
        <v/>
      </c>
      <c r="H4029" s="11">
        <f>F4029*Summary!$B$7</f>
        <v/>
      </c>
      <c r="I4029" s="11">
        <f>MAX(0,N4029-M4029)</f>
        <v/>
      </c>
      <c r="J4029" s="11">
        <f>MAX(0,M4029-N4029)</f>
        <v/>
      </c>
      <c r="K4029" s="11">
        <f>O4029</f>
        <v/>
      </c>
      <c r="L4029" s="11">
        <f>L4028+IF(K4029&gt;0,K4029*Summary!$B$9,K4029/Summary!$B$9)</f>
        <v/>
      </c>
      <c r="M4029" s="11">
        <f>G4029+H4029</f>
        <v/>
      </c>
      <c r="N4029" s="11">
        <f>Summary!$C$16*Summary!$B$8</f>
        <v/>
      </c>
      <c r="O4029" s="11">
        <f>M4029-N4029</f>
        <v/>
      </c>
    </row>
    <row r="4030">
      <c r="A4030" s="9" t="n">
        <v>45459.83333333334</v>
      </c>
      <c r="B4030" t="n">
        <v>6</v>
      </c>
      <c r="C4030" t="n">
        <v>16</v>
      </c>
      <c r="D4030" t="n">
        <v>20</v>
      </c>
      <c r="E4030" s="10" t="n">
        <v>0.009216999999999999</v>
      </c>
      <c r="F4030" s="10" t="n">
        <v>0.1706819449636668</v>
      </c>
      <c r="G4030" s="11">
        <f>E4030*Summary!$B$6</f>
        <v/>
      </c>
      <c r="H4030" s="11">
        <f>F4030*Summary!$B$7</f>
        <v/>
      </c>
      <c r="I4030" s="11">
        <f>MAX(0,N4030-M4030)</f>
        <v/>
      </c>
      <c r="J4030" s="11">
        <f>MAX(0,M4030-N4030)</f>
        <v/>
      </c>
      <c r="K4030" s="11">
        <f>O4030</f>
        <v/>
      </c>
      <c r="L4030" s="11">
        <f>L4029+IF(K4030&gt;0,K4030*Summary!$B$9,K4030/Summary!$B$9)</f>
        <v/>
      </c>
      <c r="M4030" s="11">
        <f>G4030+H4030</f>
        <v/>
      </c>
      <c r="N4030" s="11">
        <f>Summary!$C$16*Summary!$B$8</f>
        <v/>
      </c>
      <c r="O4030" s="11">
        <f>M4030-N4030</f>
        <v/>
      </c>
    </row>
    <row r="4031">
      <c r="A4031" s="9" t="n">
        <v>45459.875</v>
      </c>
      <c r="B4031" t="n">
        <v>6</v>
      </c>
      <c r="C4031" t="n">
        <v>16</v>
      </c>
      <c r="D4031" t="n">
        <v>21</v>
      </c>
      <c r="E4031" s="10" t="n">
        <v>0</v>
      </c>
      <c r="F4031" s="10" t="n">
        <v>0.1805902993416718</v>
      </c>
      <c r="G4031" s="11">
        <f>E4031*Summary!$B$6</f>
        <v/>
      </c>
      <c r="H4031" s="11">
        <f>F4031*Summary!$B$7</f>
        <v/>
      </c>
      <c r="I4031" s="11">
        <f>MAX(0,N4031-M4031)</f>
        <v/>
      </c>
      <c r="J4031" s="11">
        <f>MAX(0,M4031-N4031)</f>
        <v/>
      </c>
      <c r="K4031" s="11">
        <f>O4031</f>
        <v/>
      </c>
      <c r="L4031" s="11">
        <f>L4030+IF(K4031&gt;0,K4031*Summary!$B$9,K4031/Summary!$B$9)</f>
        <v/>
      </c>
      <c r="M4031" s="11">
        <f>G4031+H4031</f>
        <v/>
      </c>
      <c r="N4031" s="11">
        <f>Summary!$C$16*Summary!$B$8</f>
        <v/>
      </c>
      <c r="O4031" s="11">
        <f>M4031-N4031</f>
        <v/>
      </c>
    </row>
    <row r="4032">
      <c r="A4032" s="9" t="n">
        <v>45459.91666666666</v>
      </c>
      <c r="B4032" t="n">
        <v>6</v>
      </c>
      <c r="C4032" t="n">
        <v>16</v>
      </c>
      <c r="D4032" t="n">
        <v>22</v>
      </c>
      <c r="E4032" s="10" t="n">
        <v>0</v>
      </c>
      <c r="F4032" s="10" t="n">
        <v>0.1951893108454346</v>
      </c>
      <c r="G4032" s="11">
        <f>E4032*Summary!$B$6</f>
        <v/>
      </c>
      <c r="H4032" s="11">
        <f>F4032*Summary!$B$7</f>
        <v/>
      </c>
      <c r="I4032" s="11">
        <f>MAX(0,N4032-M4032)</f>
        <v/>
      </c>
      <c r="J4032" s="11">
        <f>MAX(0,M4032-N4032)</f>
        <v/>
      </c>
      <c r="K4032" s="11">
        <f>O4032</f>
        <v/>
      </c>
      <c r="L4032" s="11">
        <f>L4031+IF(K4032&gt;0,K4032*Summary!$B$9,K4032/Summary!$B$9)</f>
        <v/>
      </c>
      <c r="M4032" s="11">
        <f>G4032+H4032</f>
        <v/>
      </c>
      <c r="N4032" s="11">
        <f>Summary!$C$16*Summary!$B$8</f>
        <v/>
      </c>
      <c r="O4032" s="11">
        <f>M4032-N4032</f>
        <v/>
      </c>
    </row>
    <row r="4033">
      <c r="A4033" s="9" t="n">
        <v>45459.95833333334</v>
      </c>
      <c r="B4033" t="n">
        <v>6</v>
      </c>
      <c r="C4033" t="n">
        <v>16</v>
      </c>
      <c r="D4033" t="n">
        <v>23</v>
      </c>
      <c r="E4033" s="10" t="n">
        <v>0</v>
      </c>
      <c r="F4033" s="10" t="n">
        <v>0.1987995357118885</v>
      </c>
      <c r="G4033" s="11">
        <f>E4033*Summary!$B$6</f>
        <v/>
      </c>
      <c r="H4033" s="11">
        <f>F4033*Summary!$B$7</f>
        <v/>
      </c>
      <c r="I4033" s="11">
        <f>MAX(0,N4033-M4033)</f>
        <v/>
      </c>
      <c r="J4033" s="11">
        <f>MAX(0,M4033-N4033)</f>
        <v/>
      </c>
      <c r="K4033" s="11">
        <f>O4033</f>
        <v/>
      </c>
      <c r="L4033" s="11">
        <f>L4032+IF(K4033&gt;0,K4033*Summary!$B$9,K4033/Summary!$B$9)</f>
        <v/>
      </c>
      <c r="M4033" s="11">
        <f>G4033+H4033</f>
        <v/>
      </c>
      <c r="N4033" s="11">
        <f>Summary!$C$16*Summary!$B$8</f>
        <v/>
      </c>
      <c r="O4033" s="11">
        <f>M4033-N4033</f>
        <v/>
      </c>
    </row>
    <row r="4034">
      <c r="A4034" s="9" t="n">
        <v>45460</v>
      </c>
      <c r="B4034" t="n">
        <v>6</v>
      </c>
      <c r="C4034" t="n">
        <v>17</v>
      </c>
      <c r="D4034" t="n">
        <v>0</v>
      </c>
      <c r="E4034" s="10" t="n">
        <v>0</v>
      </c>
      <c r="F4034" s="10" t="n">
        <v>0.3241823818037716</v>
      </c>
      <c r="G4034" s="11">
        <f>E4034*Summary!$B$6</f>
        <v/>
      </c>
      <c r="H4034" s="11">
        <f>F4034*Summary!$B$7</f>
        <v/>
      </c>
      <c r="I4034" s="11">
        <f>MAX(0,N4034-M4034)</f>
        <v/>
      </c>
      <c r="J4034" s="11">
        <f>MAX(0,M4034-N4034)</f>
        <v/>
      </c>
      <c r="K4034" s="11">
        <f>O4034</f>
        <v/>
      </c>
      <c r="L4034" s="11">
        <f>L4033+IF(K4034&gt;0,K4034*Summary!$B$9,K4034/Summary!$B$9)</f>
        <v/>
      </c>
      <c r="M4034" s="11">
        <f>G4034+H4034</f>
        <v/>
      </c>
      <c r="N4034" s="11">
        <f>Summary!$C$16*Summary!$B$8</f>
        <v/>
      </c>
      <c r="O4034" s="11">
        <f>M4034-N4034</f>
        <v/>
      </c>
    </row>
    <row r="4035">
      <c r="A4035" s="9" t="n">
        <v>45460.04166666666</v>
      </c>
      <c r="B4035" t="n">
        <v>6</v>
      </c>
      <c r="C4035" t="n">
        <v>17</v>
      </c>
      <c r="D4035" t="n">
        <v>1</v>
      </c>
      <c r="E4035" s="10" t="n">
        <v>0</v>
      </c>
      <c r="F4035" s="10" t="n">
        <v>0.1948467347632163</v>
      </c>
      <c r="G4035" s="11">
        <f>E4035*Summary!$B$6</f>
        <v/>
      </c>
      <c r="H4035" s="11">
        <f>F4035*Summary!$B$7</f>
        <v/>
      </c>
      <c r="I4035" s="11">
        <f>MAX(0,N4035-M4035)</f>
        <v/>
      </c>
      <c r="J4035" s="11">
        <f>MAX(0,M4035-N4035)</f>
        <v/>
      </c>
      <c r="K4035" s="11">
        <f>O4035</f>
        <v/>
      </c>
      <c r="L4035" s="11">
        <f>L4034+IF(K4035&gt;0,K4035*Summary!$B$9,K4035/Summary!$B$9)</f>
        <v/>
      </c>
      <c r="M4035" s="11">
        <f>G4035+H4035</f>
        <v/>
      </c>
      <c r="N4035" s="11">
        <f>Summary!$C$16*Summary!$B$8</f>
        <v/>
      </c>
      <c r="O4035" s="11">
        <f>M4035-N4035</f>
        <v/>
      </c>
    </row>
    <row r="4036">
      <c r="A4036" s="9" t="n">
        <v>45460.08333333334</v>
      </c>
      <c r="B4036" t="n">
        <v>6</v>
      </c>
      <c r="C4036" t="n">
        <v>17</v>
      </c>
      <c r="D4036" t="n">
        <v>2</v>
      </c>
      <c r="E4036" s="10" t="n">
        <v>0</v>
      </c>
      <c r="F4036" s="10" t="n">
        <v>0.1907358217765972</v>
      </c>
      <c r="G4036" s="11">
        <f>E4036*Summary!$B$6</f>
        <v/>
      </c>
      <c r="H4036" s="11">
        <f>F4036*Summary!$B$7</f>
        <v/>
      </c>
      <c r="I4036" s="11">
        <f>MAX(0,N4036-M4036)</f>
        <v/>
      </c>
      <c r="J4036" s="11">
        <f>MAX(0,M4036-N4036)</f>
        <v/>
      </c>
      <c r="K4036" s="11">
        <f>O4036</f>
        <v/>
      </c>
      <c r="L4036" s="11">
        <f>L4035+IF(K4036&gt;0,K4036*Summary!$B$9,K4036/Summary!$B$9)</f>
        <v/>
      </c>
      <c r="M4036" s="11">
        <f>G4036+H4036</f>
        <v/>
      </c>
      <c r="N4036" s="11">
        <f>Summary!$C$16*Summary!$B$8</f>
        <v/>
      </c>
      <c r="O4036" s="11">
        <f>M4036-N4036</f>
        <v/>
      </c>
    </row>
    <row r="4037">
      <c r="A4037" s="9" t="n">
        <v>45460.125</v>
      </c>
      <c r="B4037" t="n">
        <v>6</v>
      </c>
      <c r="C4037" t="n">
        <v>17</v>
      </c>
      <c r="D4037" t="n">
        <v>3</v>
      </c>
      <c r="E4037" s="10" t="n">
        <v>0</v>
      </c>
      <c r="F4037" s="10" t="n">
        <v>0.1821977717274652</v>
      </c>
      <c r="G4037" s="11">
        <f>E4037*Summary!$B$6</f>
        <v/>
      </c>
      <c r="H4037" s="11">
        <f>F4037*Summary!$B$7</f>
        <v/>
      </c>
      <c r="I4037" s="11">
        <f>MAX(0,N4037-M4037)</f>
        <v/>
      </c>
      <c r="J4037" s="11">
        <f>MAX(0,M4037-N4037)</f>
        <v/>
      </c>
      <c r="K4037" s="11">
        <f>O4037</f>
        <v/>
      </c>
      <c r="L4037" s="11">
        <f>L4036+IF(K4037&gt;0,K4037*Summary!$B$9,K4037/Summary!$B$9)</f>
        <v/>
      </c>
      <c r="M4037" s="11">
        <f>G4037+H4037</f>
        <v/>
      </c>
      <c r="N4037" s="11">
        <f>Summary!$C$16*Summary!$B$8</f>
        <v/>
      </c>
      <c r="O4037" s="11">
        <f>M4037-N4037</f>
        <v/>
      </c>
    </row>
    <row r="4038">
      <c r="A4038" s="9" t="n">
        <v>45460.16666666666</v>
      </c>
      <c r="B4038" t="n">
        <v>6</v>
      </c>
      <c r="C4038" t="n">
        <v>17</v>
      </c>
      <c r="D4038" t="n">
        <v>4</v>
      </c>
      <c r="E4038" s="10" t="n">
        <v>0.039748</v>
      </c>
      <c r="F4038" s="10" t="n">
        <v>0.1685210804450593</v>
      </c>
      <c r="G4038" s="11">
        <f>E4038*Summary!$B$6</f>
        <v/>
      </c>
      <c r="H4038" s="11">
        <f>F4038*Summary!$B$7</f>
        <v/>
      </c>
      <c r="I4038" s="11">
        <f>MAX(0,N4038-M4038)</f>
        <v/>
      </c>
      <c r="J4038" s="11">
        <f>MAX(0,M4038-N4038)</f>
        <v/>
      </c>
      <c r="K4038" s="11">
        <f>O4038</f>
        <v/>
      </c>
      <c r="L4038" s="11">
        <f>L4037+IF(K4038&gt;0,K4038*Summary!$B$9,K4038/Summary!$B$9)</f>
        <v/>
      </c>
      <c r="M4038" s="11">
        <f>G4038+H4038</f>
        <v/>
      </c>
      <c r="N4038" s="11">
        <f>Summary!$C$16*Summary!$B$8</f>
        <v/>
      </c>
      <c r="O4038" s="11">
        <f>M4038-N4038</f>
        <v/>
      </c>
    </row>
    <row r="4039">
      <c r="A4039" s="9" t="n">
        <v>45460.20833333334</v>
      </c>
      <c r="B4039" t="n">
        <v>6</v>
      </c>
      <c r="C4039" t="n">
        <v>17</v>
      </c>
      <c r="D4039" t="n">
        <v>5</v>
      </c>
      <c r="E4039" s="10" t="n">
        <v>0.067067</v>
      </c>
      <c r="F4039" s="10" t="n">
        <v>0.1470441952906069</v>
      </c>
      <c r="G4039" s="11">
        <f>E4039*Summary!$B$6</f>
        <v/>
      </c>
      <c r="H4039" s="11">
        <f>F4039*Summary!$B$7</f>
        <v/>
      </c>
      <c r="I4039" s="11">
        <f>MAX(0,N4039-M4039)</f>
        <v/>
      </c>
      <c r="J4039" s="11">
        <f>MAX(0,M4039-N4039)</f>
        <v/>
      </c>
      <c r="K4039" s="11">
        <f>O4039</f>
        <v/>
      </c>
      <c r="L4039" s="11">
        <f>L4038+IF(K4039&gt;0,K4039*Summary!$B$9,K4039/Summary!$B$9)</f>
        <v/>
      </c>
      <c r="M4039" s="11">
        <f>G4039+H4039</f>
        <v/>
      </c>
      <c r="N4039" s="11">
        <f>Summary!$C$16*Summary!$B$8</f>
        <v/>
      </c>
      <c r="O4039" s="11">
        <f>M4039-N4039</f>
        <v/>
      </c>
    </row>
    <row r="4040">
      <c r="A4040" s="9" t="n">
        <v>45460.25</v>
      </c>
      <c r="B4040" t="n">
        <v>6</v>
      </c>
      <c r="C4040" t="n">
        <v>17</v>
      </c>
      <c r="D4040" t="n">
        <v>6</v>
      </c>
      <c r="E4040" s="10" t="n">
        <v>0.170684</v>
      </c>
      <c r="F4040" s="10" t="n">
        <v>0.1274910065978416</v>
      </c>
      <c r="G4040" s="11">
        <f>E4040*Summary!$B$6</f>
        <v/>
      </c>
      <c r="H4040" s="11">
        <f>F4040*Summary!$B$7</f>
        <v/>
      </c>
      <c r="I4040" s="11">
        <f>MAX(0,N4040-M4040)</f>
        <v/>
      </c>
      <c r="J4040" s="11">
        <f>MAX(0,M4040-N4040)</f>
        <v/>
      </c>
      <c r="K4040" s="11">
        <f>O4040</f>
        <v/>
      </c>
      <c r="L4040" s="11">
        <f>L4039+IF(K4040&gt;0,K4040*Summary!$B$9,K4040/Summary!$B$9)</f>
        <v/>
      </c>
      <c r="M4040" s="11">
        <f>G4040+H4040</f>
        <v/>
      </c>
      <c r="N4040" s="11">
        <f>Summary!$C$16*Summary!$B$8</f>
        <v/>
      </c>
      <c r="O4040" s="11">
        <f>M4040-N4040</f>
        <v/>
      </c>
    </row>
    <row r="4041">
      <c r="A4041" s="9" t="n">
        <v>45460.29166666666</v>
      </c>
      <c r="B4041" t="n">
        <v>6</v>
      </c>
      <c r="C4041" t="n">
        <v>17</v>
      </c>
      <c r="D4041" t="n">
        <v>7</v>
      </c>
      <c r="E4041" s="10" t="n">
        <v>0.3524</v>
      </c>
      <c r="F4041" s="10" t="n">
        <v>0.1184522684285444</v>
      </c>
      <c r="G4041" s="11">
        <f>E4041*Summary!$B$6</f>
        <v/>
      </c>
      <c r="H4041" s="11">
        <f>F4041*Summary!$B$7</f>
        <v/>
      </c>
      <c r="I4041" s="11">
        <f>MAX(0,N4041-M4041)</f>
        <v/>
      </c>
      <c r="J4041" s="11">
        <f>MAX(0,M4041-N4041)</f>
        <v/>
      </c>
      <c r="K4041" s="11">
        <f>O4041</f>
        <v/>
      </c>
      <c r="L4041" s="11">
        <f>L4040+IF(K4041&gt;0,K4041*Summary!$B$9,K4041/Summary!$B$9)</f>
        <v/>
      </c>
      <c r="M4041" s="11">
        <f>G4041+H4041</f>
        <v/>
      </c>
      <c r="N4041" s="11">
        <f>Summary!$C$16*Summary!$B$8</f>
        <v/>
      </c>
      <c r="O4041" s="11">
        <f>M4041-N4041</f>
        <v/>
      </c>
    </row>
    <row r="4042">
      <c r="A4042" s="9" t="n">
        <v>45460.33333333334</v>
      </c>
      <c r="B4042" t="n">
        <v>6</v>
      </c>
      <c r="C4042" t="n">
        <v>17</v>
      </c>
      <c r="D4042" t="n">
        <v>8</v>
      </c>
      <c r="E4042" s="10" t="n">
        <v>0.480289</v>
      </c>
      <c r="F4042" s="10" t="n">
        <v>0.1234064456175469</v>
      </c>
      <c r="G4042" s="11">
        <f>E4042*Summary!$B$6</f>
        <v/>
      </c>
      <c r="H4042" s="11">
        <f>F4042*Summary!$B$7</f>
        <v/>
      </c>
      <c r="I4042" s="11">
        <f>MAX(0,N4042-M4042)</f>
        <v/>
      </c>
      <c r="J4042" s="11">
        <f>MAX(0,M4042-N4042)</f>
        <v/>
      </c>
      <c r="K4042" s="11">
        <f>O4042</f>
        <v/>
      </c>
      <c r="L4042" s="11">
        <f>L4041+IF(K4042&gt;0,K4042*Summary!$B$9,K4042/Summary!$B$9)</f>
        <v/>
      </c>
      <c r="M4042" s="11">
        <f>G4042+H4042</f>
        <v/>
      </c>
      <c r="N4042" s="11">
        <f>Summary!$C$16*Summary!$B$8</f>
        <v/>
      </c>
      <c r="O4042" s="11">
        <f>M4042-N4042</f>
        <v/>
      </c>
    </row>
    <row r="4043">
      <c r="A4043" s="9" t="n">
        <v>45460.375</v>
      </c>
      <c r="B4043" t="n">
        <v>6</v>
      </c>
      <c r="C4043" t="n">
        <v>17</v>
      </c>
      <c r="D4043" t="n">
        <v>9</v>
      </c>
      <c r="E4043" s="10" t="n">
        <v>0.69726</v>
      </c>
      <c r="F4043" s="10" t="n">
        <v>0.137636529032767</v>
      </c>
      <c r="G4043" s="11">
        <f>E4043*Summary!$B$6</f>
        <v/>
      </c>
      <c r="H4043" s="11">
        <f>F4043*Summary!$B$7</f>
        <v/>
      </c>
      <c r="I4043" s="11">
        <f>MAX(0,N4043-M4043)</f>
        <v/>
      </c>
      <c r="J4043" s="11">
        <f>MAX(0,M4043-N4043)</f>
        <v/>
      </c>
      <c r="K4043" s="11">
        <f>O4043</f>
        <v/>
      </c>
      <c r="L4043" s="11">
        <f>L4042+IF(K4043&gt;0,K4043*Summary!$B$9,K4043/Summary!$B$9)</f>
        <v/>
      </c>
      <c r="M4043" s="11">
        <f>G4043+H4043</f>
        <v/>
      </c>
      <c r="N4043" s="11">
        <f>Summary!$C$16*Summary!$B$8</f>
        <v/>
      </c>
      <c r="O4043" s="11">
        <f>M4043-N4043</f>
        <v/>
      </c>
    </row>
    <row r="4044">
      <c r="A4044" s="9" t="n">
        <v>45460.41666666666</v>
      </c>
      <c r="B4044" t="n">
        <v>6</v>
      </c>
      <c r="C4044" t="n">
        <v>17</v>
      </c>
      <c r="D4044" t="n">
        <v>10</v>
      </c>
      <c r="E4044" s="10" t="n">
        <v>0.754058</v>
      </c>
      <c r="F4044" s="10" t="n">
        <v>0.1529470447072907</v>
      </c>
      <c r="G4044" s="11">
        <f>E4044*Summary!$B$6</f>
        <v/>
      </c>
      <c r="H4044" s="11">
        <f>F4044*Summary!$B$7</f>
        <v/>
      </c>
      <c r="I4044" s="11">
        <f>MAX(0,N4044-M4044)</f>
        <v/>
      </c>
      <c r="J4044" s="11">
        <f>MAX(0,M4044-N4044)</f>
        <v/>
      </c>
      <c r="K4044" s="11">
        <f>O4044</f>
        <v/>
      </c>
      <c r="L4044" s="11">
        <f>L4043+IF(K4044&gt;0,K4044*Summary!$B$9,K4044/Summary!$B$9)</f>
        <v/>
      </c>
      <c r="M4044" s="11">
        <f>G4044+H4044</f>
        <v/>
      </c>
      <c r="N4044" s="11">
        <f>Summary!$C$16*Summary!$B$8</f>
        <v/>
      </c>
      <c r="O4044" s="11">
        <f>M4044-N4044</f>
        <v/>
      </c>
    </row>
    <row r="4045">
      <c r="A4045" s="9" t="n">
        <v>45460.45833333334</v>
      </c>
      <c r="B4045" t="n">
        <v>6</v>
      </c>
      <c r="C4045" t="n">
        <v>17</v>
      </c>
      <c r="D4045" t="n">
        <v>11</v>
      </c>
      <c r="E4045" s="10" t="n">
        <v>0.754058</v>
      </c>
      <c r="F4045" s="10" t="n">
        <v>0.172552937412705</v>
      </c>
      <c r="G4045" s="11">
        <f>E4045*Summary!$B$6</f>
        <v/>
      </c>
      <c r="H4045" s="11">
        <f>F4045*Summary!$B$7</f>
        <v/>
      </c>
      <c r="I4045" s="11">
        <f>MAX(0,N4045-M4045)</f>
        <v/>
      </c>
      <c r="J4045" s="11">
        <f>MAX(0,M4045-N4045)</f>
        <v/>
      </c>
      <c r="K4045" s="11">
        <f>O4045</f>
        <v/>
      </c>
      <c r="L4045" s="11">
        <f>L4044+IF(K4045&gt;0,K4045*Summary!$B$9,K4045/Summary!$B$9)</f>
        <v/>
      </c>
      <c r="M4045" s="11">
        <f>G4045+H4045</f>
        <v/>
      </c>
      <c r="N4045" s="11">
        <f>Summary!$C$16*Summary!$B$8</f>
        <v/>
      </c>
      <c r="O4045" s="11">
        <f>M4045-N4045</f>
        <v/>
      </c>
    </row>
    <row r="4046">
      <c r="A4046" s="9" t="n">
        <v>45460.5</v>
      </c>
      <c r="B4046" t="n">
        <v>6</v>
      </c>
      <c r="C4046" t="n">
        <v>17</v>
      </c>
      <c r="D4046" t="n">
        <v>12</v>
      </c>
      <c r="E4046" s="10" t="n">
        <v>0.754058</v>
      </c>
      <c r="F4046" s="10" t="n">
        <v>0.1870201888848453</v>
      </c>
      <c r="G4046" s="11">
        <f>E4046*Summary!$B$6</f>
        <v/>
      </c>
      <c r="H4046" s="11">
        <f>F4046*Summary!$B$7</f>
        <v/>
      </c>
      <c r="I4046" s="11">
        <f>MAX(0,N4046-M4046)</f>
        <v/>
      </c>
      <c r="J4046" s="11">
        <f>MAX(0,M4046-N4046)</f>
        <v/>
      </c>
      <c r="K4046" s="11">
        <f>O4046</f>
        <v/>
      </c>
      <c r="L4046" s="11">
        <f>L4045+IF(K4046&gt;0,K4046*Summary!$B$9,K4046/Summary!$B$9)</f>
        <v/>
      </c>
      <c r="M4046" s="11">
        <f>G4046+H4046</f>
        <v/>
      </c>
      <c r="N4046" s="11">
        <f>Summary!$C$16*Summary!$B$8</f>
        <v/>
      </c>
      <c r="O4046" s="11">
        <f>M4046-N4046</f>
        <v/>
      </c>
    </row>
    <row r="4047">
      <c r="A4047" s="9" t="n">
        <v>45460.54166666666</v>
      </c>
      <c r="B4047" t="n">
        <v>6</v>
      </c>
      <c r="C4047" t="n">
        <v>17</v>
      </c>
      <c r="D4047" t="n">
        <v>13</v>
      </c>
      <c r="E4047" s="10" t="n">
        <v>0.754058</v>
      </c>
      <c r="F4047" s="10" t="n">
        <v>0.2099727863934687</v>
      </c>
      <c r="G4047" s="11">
        <f>E4047*Summary!$B$6</f>
        <v/>
      </c>
      <c r="H4047" s="11">
        <f>F4047*Summary!$B$7</f>
        <v/>
      </c>
      <c r="I4047" s="11">
        <f>MAX(0,N4047-M4047)</f>
        <v/>
      </c>
      <c r="J4047" s="11">
        <f>MAX(0,M4047-N4047)</f>
        <v/>
      </c>
      <c r="K4047" s="11">
        <f>O4047</f>
        <v/>
      </c>
      <c r="L4047" s="11">
        <f>L4046+IF(K4047&gt;0,K4047*Summary!$B$9,K4047/Summary!$B$9)</f>
        <v/>
      </c>
      <c r="M4047" s="11">
        <f>G4047+H4047</f>
        <v/>
      </c>
      <c r="N4047" s="11">
        <f>Summary!$C$16*Summary!$B$8</f>
        <v/>
      </c>
      <c r="O4047" s="11">
        <f>M4047-N4047</f>
        <v/>
      </c>
    </row>
    <row r="4048">
      <c r="A4048" s="9" t="n">
        <v>45460.58333333334</v>
      </c>
      <c r="B4048" t="n">
        <v>6</v>
      </c>
      <c r="C4048" t="n">
        <v>17</v>
      </c>
      <c r="D4048" t="n">
        <v>14</v>
      </c>
      <c r="E4048" s="10" t="n">
        <v>0.723374</v>
      </c>
      <c r="F4048" s="10" t="n">
        <v>0.2279448547067651</v>
      </c>
      <c r="G4048" s="11">
        <f>E4048*Summary!$B$6</f>
        <v/>
      </c>
      <c r="H4048" s="11">
        <f>F4048*Summary!$B$7</f>
        <v/>
      </c>
      <c r="I4048" s="11">
        <f>MAX(0,N4048-M4048)</f>
        <v/>
      </c>
      <c r="J4048" s="11">
        <f>MAX(0,M4048-N4048)</f>
        <v/>
      </c>
      <c r="K4048" s="11">
        <f>O4048</f>
        <v/>
      </c>
      <c r="L4048" s="11">
        <f>L4047+IF(K4048&gt;0,K4048*Summary!$B$9,K4048/Summary!$B$9)</f>
        <v/>
      </c>
      <c r="M4048" s="11">
        <f>G4048+H4048</f>
        <v/>
      </c>
      <c r="N4048" s="11">
        <f>Summary!$C$16*Summary!$B$8</f>
        <v/>
      </c>
      <c r="O4048" s="11">
        <f>M4048-N4048</f>
        <v/>
      </c>
    </row>
    <row r="4049">
      <c r="A4049" s="9" t="n">
        <v>45460.625</v>
      </c>
      <c r="B4049" t="n">
        <v>6</v>
      </c>
      <c r="C4049" t="n">
        <v>17</v>
      </c>
      <c r="D4049" t="n">
        <v>15</v>
      </c>
      <c r="E4049" s="10" t="n">
        <v>0.603339</v>
      </c>
      <c r="F4049" s="10" t="n">
        <v>0.2447574347417844</v>
      </c>
      <c r="G4049" s="11">
        <f>E4049*Summary!$B$6</f>
        <v/>
      </c>
      <c r="H4049" s="11">
        <f>F4049*Summary!$B$7</f>
        <v/>
      </c>
      <c r="I4049" s="11">
        <f>MAX(0,N4049-M4049)</f>
        <v/>
      </c>
      <c r="J4049" s="11">
        <f>MAX(0,M4049-N4049)</f>
        <v/>
      </c>
      <c r="K4049" s="11">
        <f>O4049</f>
        <v/>
      </c>
      <c r="L4049" s="11">
        <f>L4048+IF(K4049&gt;0,K4049*Summary!$B$9,K4049/Summary!$B$9)</f>
        <v/>
      </c>
      <c r="M4049" s="11">
        <f>G4049+H4049</f>
        <v/>
      </c>
      <c r="N4049" s="11">
        <f>Summary!$C$16*Summary!$B$8</f>
        <v/>
      </c>
      <c r="O4049" s="11">
        <f>M4049-N4049</f>
        <v/>
      </c>
    </row>
    <row r="4050">
      <c r="A4050" s="9" t="n">
        <v>45460.66666666666</v>
      </c>
      <c r="B4050" t="n">
        <v>6</v>
      </c>
      <c r="C4050" t="n">
        <v>17</v>
      </c>
      <c r="D4050" t="n">
        <v>16</v>
      </c>
      <c r="E4050" s="10" t="n">
        <v>0.386542</v>
      </c>
      <c r="F4050" s="10" t="n">
        <v>0.2549029571767097</v>
      </c>
      <c r="G4050" s="11">
        <f>E4050*Summary!$B$6</f>
        <v/>
      </c>
      <c r="H4050" s="11">
        <f>F4050*Summary!$B$7</f>
        <v/>
      </c>
      <c r="I4050" s="11">
        <f>MAX(0,N4050-M4050)</f>
        <v/>
      </c>
      <c r="J4050" s="11">
        <f>MAX(0,M4050-N4050)</f>
        <v/>
      </c>
      <c r="K4050" s="11">
        <f>O4050</f>
        <v/>
      </c>
      <c r="L4050" s="11">
        <f>L4049+IF(K4050&gt;0,K4050*Summary!$B$9,K4050/Summary!$B$9)</f>
        <v/>
      </c>
      <c r="M4050" s="11">
        <f>G4050+H4050</f>
        <v/>
      </c>
      <c r="N4050" s="11">
        <f>Summary!$C$16*Summary!$B$8</f>
        <v/>
      </c>
      <c r="O4050" s="11">
        <f>M4050-N4050</f>
        <v/>
      </c>
    </row>
    <row r="4051">
      <c r="A4051" s="9" t="n">
        <v>45460.70833333334</v>
      </c>
      <c r="B4051" t="n">
        <v>6</v>
      </c>
      <c r="C4051" t="n">
        <v>17</v>
      </c>
      <c r="D4051" t="n">
        <v>17</v>
      </c>
      <c r="E4051" s="10" t="n">
        <v>0.232528</v>
      </c>
      <c r="F4051" s="10" t="n">
        <v>0.2534535968288633</v>
      </c>
      <c r="G4051" s="11">
        <f>E4051*Summary!$B$6</f>
        <v/>
      </c>
      <c r="H4051" s="11">
        <f>F4051*Summary!$B$7</f>
        <v/>
      </c>
      <c r="I4051" s="11">
        <f>MAX(0,N4051-M4051)</f>
        <v/>
      </c>
      <c r="J4051" s="11">
        <f>MAX(0,M4051-N4051)</f>
        <v/>
      </c>
      <c r="K4051" s="11">
        <f>O4051</f>
        <v/>
      </c>
      <c r="L4051" s="11">
        <f>L4050+IF(K4051&gt;0,K4051*Summary!$B$9,K4051/Summary!$B$9)</f>
        <v/>
      </c>
      <c r="M4051" s="11">
        <f>G4051+H4051</f>
        <v/>
      </c>
      <c r="N4051" s="11">
        <f>Summary!$C$16*Summary!$B$8</f>
        <v/>
      </c>
      <c r="O4051" s="11">
        <f>M4051-N4051</f>
        <v/>
      </c>
    </row>
    <row r="4052">
      <c r="A4052" s="9" t="n">
        <v>45460.75</v>
      </c>
      <c r="B4052" t="n">
        <v>6</v>
      </c>
      <c r="C4052" t="n">
        <v>17</v>
      </c>
      <c r="D4052" t="n">
        <v>18</v>
      </c>
      <c r="E4052" s="10" t="n">
        <v>0.098764</v>
      </c>
      <c r="F4052" s="10" t="n">
        <v>0.2504231161015479</v>
      </c>
      <c r="G4052" s="11">
        <f>E4052*Summary!$B$6</f>
        <v/>
      </c>
      <c r="H4052" s="11">
        <f>F4052*Summary!$B$7</f>
        <v/>
      </c>
      <c r="I4052" s="11">
        <f>MAX(0,N4052-M4052)</f>
        <v/>
      </c>
      <c r="J4052" s="11">
        <f>MAX(0,M4052-N4052)</f>
        <v/>
      </c>
      <c r="K4052" s="11">
        <f>O4052</f>
        <v/>
      </c>
      <c r="L4052" s="11">
        <f>L4051+IF(K4052&gt;0,K4052*Summary!$B$9,K4052/Summary!$B$9)</f>
        <v/>
      </c>
      <c r="M4052" s="11">
        <f>G4052+H4052</f>
        <v/>
      </c>
      <c r="N4052" s="11">
        <f>Summary!$C$16*Summary!$B$8</f>
        <v/>
      </c>
      <c r="O4052" s="11">
        <f>M4052-N4052</f>
        <v/>
      </c>
    </row>
    <row r="4053">
      <c r="A4053" s="9" t="n">
        <v>45460.79166666666</v>
      </c>
      <c r="B4053" t="n">
        <v>6</v>
      </c>
      <c r="C4053" t="n">
        <v>17</v>
      </c>
      <c r="D4053" t="n">
        <v>19</v>
      </c>
      <c r="E4053" s="10" t="n">
        <v>0.040827</v>
      </c>
      <c r="F4053" s="10" t="n">
        <v>0.2542968610312467</v>
      </c>
      <c r="G4053" s="11">
        <f>E4053*Summary!$B$6</f>
        <v/>
      </c>
      <c r="H4053" s="11">
        <f>F4053*Summary!$B$7</f>
        <v/>
      </c>
      <c r="I4053" s="11">
        <f>MAX(0,N4053-M4053)</f>
        <v/>
      </c>
      <c r="J4053" s="11">
        <f>MAX(0,M4053-N4053)</f>
        <v/>
      </c>
      <c r="K4053" s="11">
        <f>O4053</f>
        <v/>
      </c>
      <c r="L4053" s="11">
        <f>L4052+IF(K4053&gt;0,K4053*Summary!$B$9,K4053/Summary!$B$9)</f>
        <v/>
      </c>
      <c r="M4053" s="11">
        <f>G4053+H4053</f>
        <v/>
      </c>
      <c r="N4053" s="11">
        <f>Summary!$C$16*Summary!$B$8</f>
        <v/>
      </c>
      <c r="O4053" s="11">
        <f>M4053-N4053</f>
        <v/>
      </c>
    </row>
    <row r="4054">
      <c r="A4054" s="9" t="n">
        <v>45460.83333333334</v>
      </c>
      <c r="B4054" t="n">
        <v>6</v>
      </c>
      <c r="C4054" t="n">
        <v>17</v>
      </c>
      <c r="D4054" t="n">
        <v>20</v>
      </c>
      <c r="E4054" s="10" t="n">
        <v>0.020566</v>
      </c>
      <c r="F4054" s="10" t="n">
        <v>0.2721635213192451</v>
      </c>
      <c r="G4054" s="11">
        <f>E4054*Summary!$B$6</f>
        <v/>
      </c>
      <c r="H4054" s="11">
        <f>F4054*Summary!$B$7</f>
        <v/>
      </c>
      <c r="I4054" s="11">
        <f>MAX(0,N4054-M4054)</f>
        <v/>
      </c>
      <c r="J4054" s="11">
        <f>MAX(0,M4054-N4054)</f>
        <v/>
      </c>
      <c r="K4054" s="11">
        <f>O4054</f>
        <v/>
      </c>
      <c r="L4054" s="11">
        <f>L4053+IF(K4054&gt;0,K4054*Summary!$B$9,K4054/Summary!$B$9)</f>
        <v/>
      </c>
      <c r="M4054" s="11">
        <f>G4054+H4054</f>
        <v/>
      </c>
      <c r="N4054" s="11">
        <f>Summary!$C$16*Summary!$B$8</f>
        <v/>
      </c>
      <c r="O4054" s="11">
        <f>M4054-N4054</f>
        <v/>
      </c>
    </row>
    <row r="4055">
      <c r="A4055" s="9" t="n">
        <v>45460.875</v>
      </c>
      <c r="B4055" t="n">
        <v>6</v>
      </c>
      <c r="C4055" t="n">
        <v>17</v>
      </c>
      <c r="D4055" t="n">
        <v>21</v>
      </c>
      <c r="E4055" s="10" t="n">
        <v>0</v>
      </c>
      <c r="F4055" s="10" t="n">
        <v>0.2955113989227357</v>
      </c>
      <c r="G4055" s="11">
        <f>E4055*Summary!$B$6</f>
        <v/>
      </c>
      <c r="H4055" s="11">
        <f>F4055*Summary!$B$7</f>
        <v/>
      </c>
      <c r="I4055" s="11">
        <f>MAX(0,N4055-M4055)</f>
        <v/>
      </c>
      <c r="J4055" s="11">
        <f>MAX(0,M4055-N4055)</f>
        <v/>
      </c>
      <c r="K4055" s="11">
        <f>O4055</f>
        <v/>
      </c>
      <c r="L4055" s="11">
        <f>L4054+IF(K4055&gt;0,K4055*Summary!$B$9,K4055/Summary!$B$9)</f>
        <v/>
      </c>
      <c r="M4055" s="11">
        <f>G4055+H4055</f>
        <v/>
      </c>
      <c r="N4055" s="11">
        <f>Summary!$C$16*Summary!$B$8</f>
        <v/>
      </c>
      <c r="O4055" s="11">
        <f>M4055-N4055</f>
        <v/>
      </c>
    </row>
    <row r="4056">
      <c r="A4056" s="9" t="n">
        <v>45460.91666666666</v>
      </c>
      <c r="B4056" t="n">
        <v>6</v>
      </c>
      <c r="C4056" t="n">
        <v>17</v>
      </c>
      <c r="D4056" t="n">
        <v>22</v>
      </c>
      <c r="E4056" s="10" t="n">
        <v>0</v>
      </c>
      <c r="F4056" s="10" t="n">
        <v>0.3105320425276902</v>
      </c>
      <c r="G4056" s="11">
        <f>E4056*Summary!$B$6</f>
        <v/>
      </c>
      <c r="H4056" s="11">
        <f>F4056*Summary!$B$7</f>
        <v/>
      </c>
      <c r="I4056" s="11">
        <f>MAX(0,N4056-M4056)</f>
        <v/>
      </c>
      <c r="J4056" s="11">
        <f>MAX(0,M4056-N4056)</f>
        <v/>
      </c>
      <c r="K4056" s="11">
        <f>O4056</f>
        <v/>
      </c>
      <c r="L4056" s="11">
        <f>L4055+IF(K4056&gt;0,K4056*Summary!$B$9,K4056/Summary!$B$9)</f>
        <v/>
      </c>
      <c r="M4056" s="11">
        <f>G4056+H4056</f>
        <v/>
      </c>
      <c r="N4056" s="11">
        <f>Summary!$C$16*Summary!$B$8</f>
        <v/>
      </c>
      <c r="O4056" s="11">
        <f>M4056-N4056</f>
        <v/>
      </c>
    </row>
    <row r="4057">
      <c r="A4057" s="9" t="n">
        <v>45460.95833333334</v>
      </c>
      <c r="B4057" t="n">
        <v>6</v>
      </c>
      <c r="C4057" t="n">
        <v>17</v>
      </c>
      <c r="D4057" t="n">
        <v>23</v>
      </c>
      <c r="E4057" s="10" t="n">
        <v>0</v>
      </c>
      <c r="F4057" s="10" t="n">
        <v>0.3467133472112033</v>
      </c>
      <c r="G4057" s="11">
        <f>E4057*Summary!$B$6</f>
        <v/>
      </c>
      <c r="H4057" s="11">
        <f>F4057*Summary!$B$7</f>
        <v/>
      </c>
      <c r="I4057" s="11">
        <f>MAX(0,N4057-M4057)</f>
        <v/>
      </c>
      <c r="J4057" s="11">
        <f>MAX(0,M4057-N4057)</f>
        <v/>
      </c>
      <c r="K4057" s="11">
        <f>O4057</f>
        <v/>
      </c>
      <c r="L4057" s="11">
        <f>L4056+IF(K4057&gt;0,K4057*Summary!$B$9,K4057/Summary!$B$9)</f>
        <v/>
      </c>
      <c r="M4057" s="11">
        <f>G4057+H4057</f>
        <v/>
      </c>
      <c r="N4057" s="11">
        <f>Summary!$C$16*Summary!$B$8</f>
        <v/>
      </c>
      <c r="O4057" s="11">
        <f>M4057-N4057</f>
        <v/>
      </c>
    </row>
    <row r="4058">
      <c r="A4058" s="9" t="n">
        <v>45461</v>
      </c>
      <c r="B4058" t="n">
        <v>6</v>
      </c>
      <c r="C4058" t="n">
        <v>18</v>
      </c>
      <c r="D4058" t="n">
        <v>0</v>
      </c>
      <c r="E4058" s="10" t="n">
        <v>0</v>
      </c>
      <c r="F4058" s="10" t="n">
        <v>0.3088191621165989</v>
      </c>
      <c r="G4058" s="11">
        <f>E4058*Summary!$B$6</f>
        <v/>
      </c>
      <c r="H4058" s="11">
        <f>F4058*Summary!$B$7</f>
        <v/>
      </c>
      <c r="I4058" s="11">
        <f>MAX(0,N4058-M4058)</f>
        <v/>
      </c>
      <c r="J4058" s="11">
        <f>MAX(0,M4058-N4058)</f>
        <v/>
      </c>
      <c r="K4058" s="11">
        <f>O4058</f>
        <v/>
      </c>
      <c r="L4058" s="11">
        <f>L4057+IF(K4058&gt;0,K4058*Summary!$B$9,K4058/Summary!$B$9)</f>
        <v/>
      </c>
      <c r="M4058" s="11">
        <f>G4058+H4058</f>
        <v/>
      </c>
      <c r="N4058" s="11">
        <f>Summary!$C$16*Summary!$B$8</f>
        <v/>
      </c>
      <c r="O4058" s="11">
        <f>M4058-N4058</f>
        <v/>
      </c>
    </row>
    <row r="4059">
      <c r="A4059" s="9" t="n">
        <v>45461.04166666666</v>
      </c>
      <c r="B4059" t="n">
        <v>6</v>
      </c>
      <c r="C4059" t="n">
        <v>18</v>
      </c>
      <c r="D4059" t="n">
        <v>1</v>
      </c>
      <c r="E4059" s="10" t="n">
        <v>0</v>
      </c>
      <c r="F4059" s="10" t="n">
        <v>0.3230755975381434</v>
      </c>
      <c r="G4059" s="11">
        <f>E4059*Summary!$B$6</f>
        <v/>
      </c>
      <c r="H4059" s="11">
        <f>F4059*Summary!$B$7</f>
        <v/>
      </c>
      <c r="I4059" s="11">
        <f>MAX(0,N4059-M4059)</f>
        <v/>
      </c>
      <c r="J4059" s="11">
        <f>MAX(0,M4059-N4059)</f>
        <v/>
      </c>
      <c r="K4059" s="11">
        <f>O4059</f>
        <v/>
      </c>
      <c r="L4059" s="11">
        <f>L4058+IF(K4059&gt;0,K4059*Summary!$B$9,K4059/Summary!$B$9)</f>
        <v/>
      </c>
      <c r="M4059" s="11">
        <f>G4059+H4059</f>
        <v/>
      </c>
      <c r="N4059" s="11">
        <f>Summary!$C$16*Summary!$B$8</f>
        <v/>
      </c>
      <c r="O4059" s="11">
        <f>M4059-N4059</f>
        <v/>
      </c>
    </row>
    <row r="4060">
      <c r="A4060" s="9" t="n">
        <v>45461.08333333334</v>
      </c>
      <c r="B4060" t="n">
        <v>6</v>
      </c>
      <c r="C4060" t="n">
        <v>18</v>
      </c>
      <c r="D4060" t="n">
        <v>2</v>
      </c>
      <c r="E4060" s="10" t="n">
        <v>0</v>
      </c>
      <c r="F4060" s="10" t="n">
        <v>0.3227593734622496</v>
      </c>
      <c r="G4060" s="11">
        <f>E4060*Summary!$B$6</f>
        <v/>
      </c>
      <c r="H4060" s="11">
        <f>F4060*Summary!$B$7</f>
        <v/>
      </c>
      <c r="I4060" s="11">
        <f>MAX(0,N4060-M4060)</f>
        <v/>
      </c>
      <c r="J4060" s="11">
        <f>MAX(0,M4060-N4060)</f>
        <v/>
      </c>
      <c r="K4060" s="11">
        <f>O4060</f>
        <v/>
      </c>
      <c r="L4060" s="11">
        <f>L4059+IF(K4060&gt;0,K4060*Summary!$B$9,K4060/Summary!$B$9)</f>
        <v/>
      </c>
      <c r="M4060" s="11">
        <f>G4060+H4060</f>
        <v/>
      </c>
      <c r="N4060" s="11">
        <f>Summary!$C$16*Summary!$B$8</f>
        <v/>
      </c>
      <c r="O4060" s="11">
        <f>M4060-N4060</f>
        <v/>
      </c>
    </row>
    <row r="4061">
      <c r="A4061" s="9" t="n">
        <v>45461.125</v>
      </c>
      <c r="B4061" t="n">
        <v>6</v>
      </c>
      <c r="C4061" t="n">
        <v>18</v>
      </c>
      <c r="D4061" t="n">
        <v>3</v>
      </c>
      <c r="E4061" s="10" t="n">
        <v>0</v>
      </c>
      <c r="F4061" s="10" t="n">
        <v>0.3142213234131176</v>
      </c>
      <c r="G4061" s="11">
        <f>E4061*Summary!$B$6</f>
        <v/>
      </c>
      <c r="H4061" s="11">
        <f>F4061*Summary!$B$7</f>
        <v/>
      </c>
      <c r="I4061" s="11">
        <f>MAX(0,N4061-M4061)</f>
        <v/>
      </c>
      <c r="J4061" s="11">
        <f>MAX(0,M4061-N4061)</f>
        <v/>
      </c>
      <c r="K4061" s="11">
        <f>O4061</f>
        <v/>
      </c>
      <c r="L4061" s="11">
        <f>L4060+IF(K4061&gt;0,K4061*Summary!$B$9,K4061/Summary!$B$9)</f>
        <v/>
      </c>
      <c r="M4061" s="11">
        <f>G4061+H4061</f>
        <v/>
      </c>
      <c r="N4061" s="11">
        <f>Summary!$C$16*Summary!$B$8</f>
        <v/>
      </c>
      <c r="O4061" s="11">
        <f>M4061-N4061</f>
        <v/>
      </c>
    </row>
    <row r="4062">
      <c r="A4062" s="9" t="n">
        <v>45461.16666666666</v>
      </c>
      <c r="B4062" t="n">
        <v>6</v>
      </c>
      <c r="C4062" t="n">
        <v>18</v>
      </c>
      <c r="D4062" t="n">
        <v>4</v>
      </c>
      <c r="E4062" s="10" t="n">
        <v>0.033623</v>
      </c>
      <c r="F4062" s="10" t="n">
        <v>0.3015196563647176</v>
      </c>
      <c r="G4062" s="11">
        <f>E4062*Summary!$B$6</f>
        <v/>
      </c>
      <c r="H4062" s="11">
        <f>F4062*Summary!$B$7</f>
        <v/>
      </c>
      <c r="I4062" s="11">
        <f>MAX(0,N4062-M4062)</f>
        <v/>
      </c>
      <c r="J4062" s="11">
        <f>MAX(0,M4062-N4062)</f>
        <v/>
      </c>
      <c r="K4062" s="11">
        <f>O4062</f>
        <v/>
      </c>
      <c r="L4062" s="11">
        <f>L4061+IF(K4062&gt;0,K4062*Summary!$B$9,K4062/Summary!$B$9)</f>
        <v/>
      </c>
      <c r="M4062" s="11">
        <f>G4062+H4062</f>
        <v/>
      </c>
      <c r="N4062" s="11">
        <f>Summary!$C$16*Summary!$B$8</f>
        <v/>
      </c>
      <c r="O4062" s="11">
        <f>M4062-N4062</f>
        <v/>
      </c>
    </row>
    <row r="4063">
      <c r="A4063" s="9" t="n">
        <v>45461.20833333334</v>
      </c>
      <c r="B4063" t="n">
        <v>6</v>
      </c>
      <c r="C4063" t="n">
        <v>18</v>
      </c>
      <c r="D4063" t="n">
        <v>5</v>
      </c>
      <c r="E4063" s="10" t="n">
        <v>0.077836</v>
      </c>
      <c r="F4063" s="10" t="n">
        <v>0.2754048180971563</v>
      </c>
      <c r="G4063" s="11">
        <f>E4063*Summary!$B$6</f>
        <v/>
      </c>
      <c r="H4063" s="11">
        <f>F4063*Summary!$B$7</f>
        <v/>
      </c>
      <c r="I4063" s="11">
        <f>MAX(0,N4063-M4063)</f>
        <v/>
      </c>
      <c r="J4063" s="11">
        <f>MAX(0,M4063-N4063)</f>
        <v/>
      </c>
      <c r="K4063" s="11">
        <f>O4063</f>
        <v/>
      </c>
      <c r="L4063" s="11">
        <f>L4062+IF(K4063&gt;0,K4063*Summary!$B$9,K4063/Summary!$B$9)</f>
        <v/>
      </c>
      <c r="M4063" s="11">
        <f>G4063+H4063</f>
        <v/>
      </c>
      <c r="N4063" s="11">
        <f>Summary!$C$16*Summary!$B$8</f>
        <v/>
      </c>
      <c r="O4063" s="11">
        <f>M4063-N4063</f>
        <v/>
      </c>
    </row>
    <row r="4064">
      <c r="A4064" s="9" t="n">
        <v>45461.25</v>
      </c>
      <c r="B4064" t="n">
        <v>6</v>
      </c>
      <c r="C4064" t="n">
        <v>18</v>
      </c>
      <c r="D4064" t="n">
        <v>6</v>
      </c>
      <c r="E4064" s="10" t="n">
        <v>0.159304</v>
      </c>
      <c r="F4064" s="10" t="n">
        <v>0.2594091502581961</v>
      </c>
      <c r="G4064" s="11">
        <f>E4064*Summary!$B$6</f>
        <v/>
      </c>
      <c r="H4064" s="11">
        <f>F4064*Summary!$B$7</f>
        <v/>
      </c>
      <c r="I4064" s="11">
        <f>MAX(0,N4064-M4064)</f>
        <v/>
      </c>
      <c r="J4064" s="11">
        <f>MAX(0,M4064-N4064)</f>
        <v/>
      </c>
      <c r="K4064" s="11">
        <f>O4064</f>
        <v/>
      </c>
      <c r="L4064" s="11">
        <f>L4063+IF(K4064&gt;0,K4064*Summary!$B$9,K4064/Summary!$B$9)</f>
        <v/>
      </c>
      <c r="M4064" s="11">
        <f>G4064+H4064</f>
        <v/>
      </c>
      <c r="N4064" s="11">
        <f>Summary!$C$16*Summary!$B$8</f>
        <v/>
      </c>
      <c r="O4064" s="11">
        <f>M4064-N4064</f>
        <v/>
      </c>
    </row>
    <row r="4065">
      <c r="A4065" s="9" t="n">
        <v>45461.29166666666</v>
      </c>
      <c r="B4065" t="n">
        <v>6</v>
      </c>
      <c r="C4065" t="n">
        <v>18</v>
      </c>
      <c r="D4065" t="n">
        <v>7</v>
      </c>
      <c r="E4065" s="10" t="n">
        <v>0.329906</v>
      </c>
      <c r="F4065" s="10" t="n">
        <v>0.2474453393868815</v>
      </c>
      <c r="G4065" s="11">
        <f>E4065*Summary!$B$6</f>
        <v/>
      </c>
      <c r="H4065" s="11">
        <f>F4065*Summary!$B$7</f>
        <v/>
      </c>
      <c r="I4065" s="11">
        <f>MAX(0,N4065-M4065)</f>
        <v/>
      </c>
      <c r="J4065" s="11">
        <f>MAX(0,M4065-N4065)</f>
        <v/>
      </c>
      <c r="K4065" s="11">
        <f>O4065</f>
        <v/>
      </c>
      <c r="L4065" s="11">
        <f>L4064+IF(K4065&gt;0,K4065*Summary!$B$9,K4065/Summary!$B$9)</f>
        <v/>
      </c>
      <c r="M4065" s="11">
        <f>G4065+H4065</f>
        <v/>
      </c>
      <c r="N4065" s="11">
        <f>Summary!$C$16*Summary!$B$8</f>
        <v/>
      </c>
      <c r="O4065" s="11">
        <f>M4065-N4065</f>
        <v/>
      </c>
    </row>
    <row r="4066">
      <c r="A4066" s="9" t="n">
        <v>45461.33333333334</v>
      </c>
      <c r="B4066" t="n">
        <v>6</v>
      </c>
      <c r="C4066" t="n">
        <v>18</v>
      </c>
      <c r="D4066" t="n">
        <v>8</v>
      </c>
      <c r="E4066" s="10" t="n">
        <v>0.479894</v>
      </c>
      <c r="F4066" s="10" t="n">
        <v>0.2813340195201647</v>
      </c>
      <c r="G4066" s="11">
        <f>E4066*Summary!$B$6</f>
        <v/>
      </c>
      <c r="H4066" s="11">
        <f>F4066*Summary!$B$7</f>
        <v/>
      </c>
      <c r="I4066" s="11">
        <f>MAX(0,N4066-M4066)</f>
        <v/>
      </c>
      <c r="J4066" s="11">
        <f>MAX(0,M4066-N4066)</f>
        <v/>
      </c>
      <c r="K4066" s="11">
        <f>O4066</f>
        <v/>
      </c>
      <c r="L4066" s="11">
        <f>L4065+IF(K4066&gt;0,K4066*Summary!$B$9,K4066/Summary!$B$9)</f>
        <v/>
      </c>
      <c r="M4066" s="11">
        <f>G4066+H4066</f>
        <v/>
      </c>
      <c r="N4066" s="11">
        <f>Summary!$C$16*Summary!$B$8</f>
        <v/>
      </c>
      <c r="O4066" s="11">
        <f>M4066-N4066</f>
        <v/>
      </c>
    </row>
    <row r="4067">
      <c r="A4067" s="9" t="n">
        <v>45461.375</v>
      </c>
      <c r="B4067" t="n">
        <v>6</v>
      </c>
      <c r="C4067" t="n">
        <v>18</v>
      </c>
      <c r="D4067" t="n">
        <v>9</v>
      </c>
      <c r="E4067" s="10" t="n">
        <v>0.670404</v>
      </c>
      <c r="F4067" s="10" t="n">
        <v>0.2804644033114568</v>
      </c>
      <c r="G4067" s="11">
        <f>E4067*Summary!$B$6</f>
        <v/>
      </c>
      <c r="H4067" s="11">
        <f>F4067*Summary!$B$7</f>
        <v/>
      </c>
      <c r="I4067" s="11">
        <f>MAX(0,N4067-M4067)</f>
        <v/>
      </c>
      <c r="J4067" s="11">
        <f>MAX(0,M4067-N4067)</f>
        <v/>
      </c>
      <c r="K4067" s="11">
        <f>O4067</f>
        <v/>
      </c>
      <c r="L4067" s="11">
        <f>L4066+IF(K4067&gt;0,K4067*Summary!$B$9,K4067/Summary!$B$9)</f>
        <v/>
      </c>
      <c r="M4067" s="11">
        <f>G4067+H4067</f>
        <v/>
      </c>
      <c r="N4067" s="11">
        <f>Summary!$C$16*Summary!$B$8</f>
        <v/>
      </c>
      <c r="O4067" s="11">
        <f>M4067-N4067</f>
        <v/>
      </c>
    </row>
    <row r="4068">
      <c r="A4068" s="9" t="n">
        <v>45461.41666666666</v>
      </c>
      <c r="B4068" t="n">
        <v>6</v>
      </c>
      <c r="C4068" t="n">
        <v>18</v>
      </c>
      <c r="D4068" t="n">
        <v>10</v>
      </c>
      <c r="E4068" s="10" t="n">
        <v>0.545776</v>
      </c>
      <c r="F4068" s="10" t="n">
        <v>0.2956168069480337</v>
      </c>
      <c r="G4068" s="11">
        <f>E4068*Summary!$B$6</f>
        <v/>
      </c>
      <c r="H4068" s="11">
        <f>F4068*Summary!$B$7</f>
        <v/>
      </c>
      <c r="I4068" s="11">
        <f>MAX(0,N4068-M4068)</f>
        <v/>
      </c>
      <c r="J4068" s="11">
        <f>MAX(0,M4068-N4068)</f>
        <v/>
      </c>
      <c r="K4068" s="11">
        <f>O4068</f>
        <v/>
      </c>
      <c r="L4068" s="11">
        <f>L4067+IF(K4068&gt;0,K4068*Summary!$B$9,K4068/Summary!$B$9)</f>
        <v/>
      </c>
      <c r="M4068" s="11">
        <f>G4068+H4068</f>
        <v/>
      </c>
      <c r="N4068" s="11">
        <f>Summary!$C$16*Summary!$B$8</f>
        <v/>
      </c>
      <c r="O4068" s="11">
        <f>M4068-N4068</f>
        <v/>
      </c>
    </row>
    <row r="4069">
      <c r="A4069" s="9" t="n">
        <v>45461.45833333334</v>
      </c>
      <c r="B4069" t="n">
        <v>6</v>
      </c>
      <c r="C4069" t="n">
        <v>18</v>
      </c>
      <c r="D4069" t="n">
        <v>11</v>
      </c>
      <c r="E4069" s="10" t="n">
        <v>0.09139600000000001</v>
      </c>
      <c r="F4069" s="10" t="n">
        <v>0.3162240758937782</v>
      </c>
      <c r="G4069" s="11">
        <f>E4069*Summary!$B$6</f>
        <v/>
      </c>
      <c r="H4069" s="11">
        <f>F4069*Summary!$B$7</f>
        <v/>
      </c>
      <c r="I4069" s="11">
        <f>MAX(0,N4069-M4069)</f>
        <v/>
      </c>
      <c r="J4069" s="11">
        <f>MAX(0,M4069-N4069)</f>
        <v/>
      </c>
      <c r="K4069" s="11">
        <f>O4069</f>
        <v/>
      </c>
      <c r="L4069" s="11">
        <f>L4068+IF(K4069&gt;0,K4069*Summary!$B$9,K4069/Summary!$B$9)</f>
        <v/>
      </c>
      <c r="M4069" s="11">
        <f>G4069+H4069</f>
        <v/>
      </c>
      <c r="N4069" s="11">
        <f>Summary!$C$16*Summary!$B$8</f>
        <v/>
      </c>
      <c r="O4069" s="11">
        <f>M4069-N4069</f>
        <v/>
      </c>
    </row>
    <row r="4070">
      <c r="A4070" s="9" t="n">
        <v>45461.5</v>
      </c>
      <c r="B4070" t="n">
        <v>6</v>
      </c>
      <c r="C4070" t="n">
        <v>18</v>
      </c>
      <c r="D4070" t="n">
        <v>12</v>
      </c>
      <c r="E4070" s="10" t="n">
        <v>0.22609</v>
      </c>
      <c r="F4070" s="10" t="n">
        <v>0.3406260337502481</v>
      </c>
      <c r="G4070" s="11">
        <f>E4070*Summary!$B$6</f>
        <v/>
      </c>
      <c r="H4070" s="11">
        <f>F4070*Summary!$B$7</f>
        <v/>
      </c>
      <c r="I4070" s="11">
        <f>MAX(0,N4070-M4070)</f>
        <v/>
      </c>
      <c r="J4070" s="11">
        <f>MAX(0,M4070-N4070)</f>
        <v/>
      </c>
      <c r="K4070" s="11">
        <f>O4070</f>
        <v/>
      </c>
      <c r="L4070" s="11">
        <f>L4069+IF(K4070&gt;0,K4070*Summary!$B$9,K4070/Summary!$B$9)</f>
        <v/>
      </c>
      <c r="M4070" s="11">
        <f>G4070+H4070</f>
        <v/>
      </c>
      <c r="N4070" s="11">
        <f>Summary!$C$16*Summary!$B$8</f>
        <v/>
      </c>
      <c r="O4070" s="11">
        <f>M4070-N4070</f>
        <v/>
      </c>
    </row>
    <row r="4071">
      <c r="A4071" s="9" t="n">
        <v>45461.54166666666</v>
      </c>
      <c r="B4071" t="n">
        <v>6</v>
      </c>
      <c r="C4071" t="n">
        <v>18</v>
      </c>
      <c r="D4071" t="n">
        <v>13</v>
      </c>
      <c r="E4071" s="10" t="n">
        <v>0.331936</v>
      </c>
      <c r="F4071" s="10" t="n">
        <v>0.3623400869616209</v>
      </c>
      <c r="G4071" s="11">
        <f>E4071*Summary!$B$6</f>
        <v/>
      </c>
      <c r="H4071" s="11">
        <f>F4071*Summary!$B$7</f>
        <v/>
      </c>
      <c r="I4071" s="11">
        <f>MAX(0,N4071-M4071)</f>
        <v/>
      </c>
      <c r="J4071" s="11">
        <f>MAX(0,M4071-N4071)</f>
        <v/>
      </c>
      <c r="K4071" s="11">
        <f>O4071</f>
        <v/>
      </c>
      <c r="L4071" s="11">
        <f>L4070+IF(K4071&gt;0,K4071*Summary!$B$9,K4071/Summary!$B$9)</f>
        <v/>
      </c>
      <c r="M4071" s="11">
        <f>G4071+H4071</f>
        <v/>
      </c>
      <c r="N4071" s="11">
        <f>Summary!$C$16*Summary!$B$8</f>
        <v/>
      </c>
      <c r="O4071" s="11">
        <f>M4071-N4071</f>
        <v/>
      </c>
    </row>
    <row r="4072">
      <c r="A4072" s="9" t="n">
        <v>45461.58333333334</v>
      </c>
      <c r="B4072" t="n">
        <v>6</v>
      </c>
      <c r="C4072" t="n">
        <v>18</v>
      </c>
      <c r="D4072" t="n">
        <v>14</v>
      </c>
      <c r="E4072" s="10" t="n">
        <v>0.699859</v>
      </c>
      <c r="F4072" s="10" t="n">
        <v>0.3712997691119446</v>
      </c>
      <c r="G4072" s="11">
        <f>E4072*Summary!$B$6</f>
        <v/>
      </c>
      <c r="H4072" s="11">
        <f>F4072*Summary!$B$7</f>
        <v/>
      </c>
      <c r="I4072" s="11">
        <f>MAX(0,N4072-M4072)</f>
        <v/>
      </c>
      <c r="J4072" s="11">
        <f>MAX(0,M4072-N4072)</f>
        <v/>
      </c>
      <c r="K4072" s="11">
        <f>O4072</f>
        <v/>
      </c>
      <c r="L4072" s="11">
        <f>L4071+IF(K4072&gt;0,K4072*Summary!$B$9,K4072/Summary!$B$9)</f>
        <v/>
      </c>
      <c r="M4072" s="11">
        <f>G4072+H4072</f>
        <v/>
      </c>
      <c r="N4072" s="11">
        <f>Summary!$C$16*Summary!$B$8</f>
        <v/>
      </c>
      <c r="O4072" s="11">
        <f>M4072-N4072</f>
        <v/>
      </c>
    </row>
    <row r="4073">
      <c r="A4073" s="9" t="n">
        <v>45461.625</v>
      </c>
      <c r="B4073" t="n">
        <v>6</v>
      </c>
      <c r="C4073" t="n">
        <v>18</v>
      </c>
      <c r="D4073" t="n">
        <v>15</v>
      </c>
      <c r="E4073" s="10" t="n">
        <v>0.581286</v>
      </c>
      <c r="F4073" s="10" t="n">
        <v>0.4107750745860179</v>
      </c>
      <c r="G4073" s="11">
        <f>E4073*Summary!$B$6</f>
        <v/>
      </c>
      <c r="H4073" s="11">
        <f>F4073*Summary!$B$7</f>
        <v/>
      </c>
      <c r="I4073" s="11">
        <f>MAX(0,N4073-M4073)</f>
        <v/>
      </c>
      <c r="J4073" s="11">
        <f>MAX(0,M4073-N4073)</f>
        <v/>
      </c>
      <c r="K4073" s="11">
        <f>O4073</f>
        <v/>
      </c>
      <c r="L4073" s="11">
        <f>L4072+IF(K4073&gt;0,K4073*Summary!$B$9,K4073/Summary!$B$9)</f>
        <v/>
      </c>
      <c r="M4073" s="11">
        <f>G4073+H4073</f>
        <v/>
      </c>
      <c r="N4073" s="11">
        <f>Summary!$C$16*Summary!$B$8</f>
        <v/>
      </c>
      <c r="O4073" s="11">
        <f>M4073-N4073</f>
        <v/>
      </c>
    </row>
    <row r="4074">
      <c r="A4074" s="9" t="n">
        <v>45461.66666666666</v>
      </c>
      <c r="B4074" t="n">
        <v>6</v>
      </c>
      <c r="C4074" t="n">
        <v>18</v>
      </c>
      <c r="D4074" t="n">
        <v>16</v>
      </c>
      <c r="E4074" s="10" t="n">
        <v>0.42341</v>
      </c>
      <c r="F4074" s="10" t="n">
        <v>0.3714842331562159</v>
      </c>
      <c r="G4074" s="11">
        <f>E4074*Summary!$B$6</f>
        <v/>
      </c>
      <c r="H4074" s="11">
        <f>F4074*Summary!$B$7</f>
        <v/>
      </c>
      <c r="I4074" s="11">
        <f>MAX(0,N4074-M4074)</f>
        <v/>
      </c>
      <c r="J4074" s="11">
        <f>MAX(0,M4074-N4074)</f>
        <v/>
      </c>
      <c r="K4074" s="11">
        <f>O4074</f>
        <v/>
      </c>
      <c r="L4074" s="11">
        <f>L4073+IF(K4074&gt;0,K4074*Summary!$B$9,K4074/Summary!$B$9)</f>
        <v/>
      </c>
      <c r="M4074" s="11">
        <f>G4074+H4074</f>
        <v/>
      </c>
      <c r="N4074" s="11">
        <f>Summary!$C$16*Summary!$B$8</f>
        <v/>
      </c>
      <c r="O4074" s="11">
        <f>M4074-N4074</f>
        <v/>
      </c>
    </row>
    <row r="4075">
      <c r="A4075" s="9" t="n">
        <v>45461.70833333334</v>
      </c>
      <c r="B4075" t="n">
        <v>6</v>
      </c>
      <c r="C4075" t="n">
        <v>18</v>
      </c>
      <c r="D4075" t="n">
        <v>17</v>
      </c>
      <c r="E4075" s="10" t="n">
        <v>0.247795</v>
      </c>
      <c r="F4075" s="10" t="n">
        <v>0.3517202284128548</v>
      </c>
      <c r="G4075" s="11">
        <f>E4075*Summary!$B$6</f>
        <v/>
      </c>
      <c r="H4075" s="11">
        <f>F4075*Summary!$B$7</f>
        <v/>
      </c>
      <c r="I4075" s="11">
        <f>MAX(0,N4075-M4075)</f>
        <v/>
      </c>
      <c r="J4075" s="11">
        <f>MAX(0,M4075-N4075)</f>
        <v/>
      </c>
      <c r="K4075" s="11">
        <f>O4075</f>
        <v/>
      </c>
      <c r="L4075" s="11">
        <f>L4074+IF(K4075&gt;0,K4075*Summary!$B$9,K4075/Summary!$B$9)</f>
        <v/>
      </c>
      <c r="M4075" s="11">
        <f>G4075+H4075</f>
        <v/>
      </c>
      <c r="N4075" s="11">
        <f>Summary!$C$16*Summary!$B$8</f>
        <v/>
      </c>
      <c r="O4075" s="11">
        <f>M4075-N4075</f>
        <v/>
      </c>
    </row>
    <row r="4076">
      <c r="A4076" s="9" t="n">
        <v>45461.75</v>
      </c>
      <c r="B4076" t="n">
        <v>6</v>
      </c>
      <c r="C4076" t="n">
        <v>18</v>
      </c>
      <c r="D4076" t="n">
        <v>18</v>
      </c>
      <c r="E4076" s="10" t="n">
        <v>0.09293899999999999</v>
      </c>
      <c r="F4076" s="10" t="n">
        <v>0.3336954560869094</v>
      </c>
      <c r="G4076" s="11">
        <f>E4076*Summary!$B$6</f>
        <v/>
      </c>
      <c r="H4076" s="11">
        <f>F4076*Summary!$B$7</f>
        <v/>
      </c>
      <c r="I4076" s="11">
        <f>MAX(0,N4076-M4076)</f>
        <v/>
      </c>
      <c r="J4076" s="11">
        <f>MAX(0,M4076-N4076)</f>
        <v/>
      </c>
      <c r="K4076" s="11">
        <f>O4076</f>
        <v/>
      </c>
      <c r="L4076" s="11">
        <f>L4075+IF(K4076&gt;0,K4076*Summary!$B$9,K4076/Summary!$B$9)</f>
        <v/>
      </c>
      <c r="M4076" s="11">
        <f>G4076+H4076</f>
        <v/>
      </c>
      <c r="N4076" s="11">
        <f>Summary!$C$16*Summary!$B$8</f>
        <v/>
      </c>
      <c r="O4076" s="11">
        <f>M4076-N4076</f>
        <v/>
      </c>
    </row>
    <row r="4077">
      <c r="A4077" s="9" t="n">
        <v>45461.79166666666</v>
      </c>
      <c r="B4077" t="n">
        <v>6</v>
      </c>
      <c r="C4077" t="n">
        <v>18</v>
      </c>
      <c r="D4077" t="n">
        <v>19</v>
      </c>
      <c r="E4077" s="10" t="n">
        <v>0.036212</v>
      </c>
      <c r="F4077" s="10" t="n">
        <v>0.3141422673941442</v>
      </c>
      <c r="G4077" s="11">
        <f>E4077*Summary!$B$6</f>
        <v/>
      </c>
      <c r="H4077" s="11">
        <f>F4077*Summary!$B$7</f>
        <v/>
      </c>
      <c r="I4077" s="11">
        <f>MAX(0,N4077-M4077)</f>
        <v/>
      </c>
      <c r="J4077" s="11">
        <f>MAX(0,M4077-N4077)</f>
        <v/>
      </c>
      <c r="K4077" s="11">
        <f>O4077</f>
        <v/>
      </c>
      <c r="L4077" s="11">
        <f>L4076+IF(K4077&gt;0,K4077*Summary!$B$9,K4077/Summary!$B$9)</f>
        <v/>
      </c>
      <c r="M4077" s="11">
        <f>G4077+H4077</f>
        <v/>
      </c>
      <c r="N4077" s="11">
        <f>Summary!$C$16*Summary!$B$8</f>
        <v/>
      </c>
      <c r="O4077" s="11">
        <f>M4077-N4077</f>
        <v/>
      </c>
    </row>
    <row r="4078">
      <c r="A4078" s="9" t="n">
        <v>45461.83333333334</v>
      </c>
      <c r="B4078" t="n">
        <v>6</v>
      </c>
      <c r="C4078" t="n">
        <v>18</v>
      </c>
      <c r="D4078" t="n">
        <v>20</v>
      </c>
      <c r="E4078" s="10" t="n">
        <v>0.003959</v>
      </c>
      <c r="F4078" s="10" t="n">
        <v>0.3145902515016604</v>
      </c>
      <c r="G4078" s="11">
        <f>E4078*Summary!$B$6</f>
        <v/>
      </c>
      <c r="H4078" s="11">
        <f>F4078*Summary!$B$7</f>
        <v/>
      </c>
      <c r="I4078" s="11">
        <f>MAX(0,N4078-M4078)</f>
        <v/>
      </c>
      <c r="J4078" s="11">
        <f>MAX(0,M4078-N4078)</f>
        <v/>
      </c>
      <c r="K4078" s="11">
        <f>O4078</f>
        <v/>
      </c>
      <c r="L4078" s="11">
        <f>L4077+IF(K4078&gt;0,K4078*Summary!$B$9,K4078/Summary!$B$9)</f>
        <v/>
      </c>
      <c r="M4078" s="11">
        <f>G4078+H4078</f>
        <v/>
      </c>
      <c r="N4078" s="11">
        <f>Summary!$C$16*Summary!$B$8</f>
        <v/>
      </c>
      <c r="O4078" s="11">
        <f>M4078-N4078</f>
        <v/>
      </c>
    </row>
    <row r="4079">
      <c r="A4079" s="9" t="n">
        <v>45461.875</v>
      </c>
      <c r="B4079" t="n">
        <v>6</v>
      </c>
      <c r="C4079" t="n">
        <v>18</v>
      </c>
      <c r="D4079" t="n">
        <v>21</v>
      </c>
      <c r="E4079" s="10" t="n">
        <v>0</v>
      </c>
      <c r="F4079" s="10" t="n">
        <v>0.3053934012944163</v>
      </c>
      <c r="G4079" s="11">
        <f>E4079*Summary!$B$6</f>
        <v/>
      </c>
      <c r="H4079" s="11">
        <f>F4079*Summary!$B$7</f>
        <v/>
      </c>
      <c r="I4079" s="11">
        <f>MAX(0,N4079-M4079)</f>
        <v/>
      </c>
      <c r="J4079" s="11">
        <f>MAX(0,M4079-N4079)</f>
        <v/>
      </c>
      <c r="K4079" s="11">
        <f>O4079</f>
        <v/>
      </c>
      <c r="L4079" s="11">
        <f>L4078+IF(K4079&gt;0,K4079*Summary!$B$9,K4079/Summary!$B$9)</f>
        <v/>
      </c>
      <c r="M4079" s="11">
        <f>G4079+H4079</f>
        <v/>
      </c>
      <c r="N4079" s="11">
        <f>Summary!$C$16*Summary!$B$8</f>
        <v/>
      </c>
      <c r="O4079" s="11">
        <f>M4079-N4079</f>
        <v/>
      </c>
    </row>
    <row r="4080">
      <c r="A4080" s="9" t="n">
        <v>45461.91666666666</v>
      </c>
      <c r="B4080" t="n">
        <v>6</v>
      </c>
      <c r="C4080" t="n">
        <v>18</v>
      </c>
      <c r="D4080" t="n">
        <v>22</v>
      </c>
      <c r="E4080" s="10" t="n">
        <v>0</v>
      </c>
      <c r="F4080" s="10" t="n">
        <v>0.3061049054651773</v>
      </c>
      <c r="G4080" s="11">
        <f>E4080*Summary!$B$6</f>
        <v/>
      </c>
      <c r="H4080" s="11">
        <f>F4080*Summary!$B$7</f>
        <v/>
      </c>
      <c r="I4080" s="11">
        <f>MAX(0,N4080-M4080)</f>
        <v/>
      </c>
      <c r="J4080" s="11">
        <f>MAX(0,M4080-N4080)</f>
        <v/>
      </c>
      <c r="K4080" s="11">
        <f>O4080</f>
        <v/>
      </c>
      <c r="L4080" s="11">
        <f>L4079+IF(K4080&gt;0,K4080*Summary!$B$9,K4080/Summary!$B$9)</f>
        <v/>
      </c>
      <c r="M4080" s="11">
        <f>G4080+H4080</f>
        <v/>
      </c>
      <c r="N4080" s="11">
        <f>Summary!$C$16*Summary!$B$8</f>
        <v/>
      </c>
      <c r="O4080" s="11">
        <f>M4080-N4080</f>
        <v/>
      </c>
    </row>
    <row r="4081">
      <c r="A4081" s="9" t="n">
        <v>45461.95833333334</v>
      </c>
      <c r="B4081" t="n">
        <v>6</v>
      </c>
      <c r="C4081" t="n">
        <v>18</v>
      </c>
      <c r="D4081" t="n">
        <v>23</v>
      </c>
      <c r="E4081" s="10" t="n">
        <v>0</v>
      </c>
      <c r="F4081" s="10" t="n">
        <v>0.3102421704581209</v>
      </c>
      <c r="G4081" s="11">
        <f>E4081*Summary!$B$6</f>
        <v/>
      </c>
      <c r="H4081" s="11">
        <f>F4081*Summary!$B$7</f>
        <v/>
      </c>
      <c r="I4081" s="11">
        <f>MAX(0,N4081-M4081)</f>
        <v/>
      </c>
      <c r="J4081" s="11">
        <f>MAX(0,M4081-N4081)</f>
        <v/>
      </c>
      <c r="K4081" s="11">
        <f>O4081</f>
        <v/>
      </c>
      <c r="L4081" s="11">
        <f>L4080+IF(K4081&gt;0,K4081*Summary!$B$9,K4081/Summary!$B$9)</f>
        <v/>
      </c>
      <c r="M4081" s="11">
        <f>G4081+H4081</f>
        <v/>
      </c>
      <c r="N4081" s="11">
        <f>Summary!$C$16*Summary!$B$8</f>
        <v/>
      </c>
      <c r="O4081" s="11">
        <f>M4081-N4081</f>
        <v/>
      </c>
    </row>
    <row r="4082">
      <c r="A4082" s="9" t="n">
        <v>45462</v>
      </c>
      <c r="B4082" t="n">
        <v>6</v>
      </c>
      <c r="C4082" t="n">
        <v>19</v>
      </c>
      <c r="D4082" t="n">
        <v>0</v>
      </c>
      <c r="E4082" s="10" t="n">
        <v>0</v>
      </c>
      <c r="F4082" s="10" t="n">
        <v>0.2735338256481182</v>
      </c>
      <c r="G4082" s="11">
        <f>E4082*Summary!$B$6</f>
        <v/>
      </c>
      <c r="H4082" s="11">
        <f>F4082*Summary!$B$7</f>
        <v/>
      </c>
      <c r="I4082" s="11">
        <f>MAX(0,N4082-M4082)</f>
        <v/>
      </c>
      <c r="J4082" s="11">
        <f>MAX(0,M4082-N4082)</f>
        <v/>
      </c>
      <c r="K4082" s="11">
        <f>O4082</f>
        <v/>
      </c>
      <c r="L4082" s="11">
        <f>L4081+IF(K4082&gt;0,K4082*Summary!$B$9,K4082/Summary!$B$9)</f>
        <v/>
      </c>
      <c r="M4082" s="11">
        <f>G4082+H4082</f>
        <v/>
      </c>
      <c r="N4082" s="11">
        <f>Summary!$C$16*Summary!$B$8</f>
        <v/>
      </c>
      <c r="O4082" s="11">
        <f>M4082-N4082</f>
        <v/>
      </c>
    </row>
    <row r="4083">
      <c r="A4083" s="9" t="n">
        <v>45462.04166666666</v>
      </c>
      <c r="B4083" t="n">
        <v>6</v>
      </c>
      <c r="C4083" t="n">
        <v>19</v>
      </c>
      <c r="D4083" t="n">
        <v>1</v>
      </c>
      <c r="E4083" s="10" t="n">
        <v>0</v>
      </c>
      <c r="F4083" s="10" t="n">
        <v>0.3053406972817673</v>
      </c>
      <c r="G4083" s="11">
        <f>E4083*Summary!$B$6</f>
        <v/>
      </c>
      <c r="H4083" s="11">
        <f>F4083*Summary!$B$7</f>
        <v/>
      </c>
      <c r="I4083" s="11">
        <f>MAX(0,N4083-M4083)</f>
        <v/>
      </c>
      <c r="J4083" s="11">
        <f>MAX(0,M4083-N4083)</f>
        <v/>
      </c>
      <c r="K4083" s="11">
        <f>O4083</f>
        <v/>
      </c>
      <c r="L4083" s="11">
        <f>L4082+IF(K4083&gt;0,K4083*Summary!$B$9,K4083/Summary!$B$9)</f>
        <v/>
      </c>
      <c r="M4083" s="11">
        <f>G4083+H4083</f>
        <v/>
      </c>
      <c r="N4083" s="11">
        <f>Summary!$C$16*Summary!$B$8</f>
        <v/>
      </c>
      <c r="O4083" s="11">
        <f>M4083-N4083</f>
        <v/>
      </c>
    </row>
    <row r="4084">
      <c r="A4084" s="9" t="n">
        <v>45462.08333333334</v>
      </c>
      <c r="B4084" t="n">
        <v>6</v>
      </c>
      <c r="C4084" t="n">
        <v>19</v>
      </c>
      <c r="D4084" t="n">
        <v>2</v>
      </c>
      <c r="E4084" s="10" t="n">
        <v>0</v>
      </c>
      <c r="F4084" s="10" t="n">
        <v>0.2992270318144876</v>
      </c>
      <c r="G4084" s="11">
        <f>E4084*Summary!$B$6</f>
        <v/>
      </c>
      <c r="H4084" s="11">
        <f>F4084*Summary!$B$7</f>
        <v/>
      </c>
      <c r="I4084" s="11">
        <f>MAX(0,N4084-M4084)</f>
        <v/>
      </c>
      <c r="J4084" s="11">
        <f>MAX(0,M4084-N4084)</f>
        <v/>
      </c>
      <c r="K4084" s="11">
        <f>O4084</f>
        <v/>
      </c>
      <c r="L4084" s="11">
        <f>L4083+IF(K4084&gt;0,K4084*Summary!$B$9,K4084/Summary!$B$9)</f>
        <v/>
      </c>
      <c r="M4084" s="11">
        <f>G4084+H4084</f>
        <v/>
      </c>
      <c r="N4084" s="11">
        <f>Summary!$C$16*Summary!$B$8</f>
        <v/>
      </c>
      <c r="O4084" s="11">
        <f>M4084-N4084</f>
        <v/>
      </c>
    </row>
    <row r="4085">
      <c r="A4085" s="9" t="n">
        <v>45462.125</v>
      </c>
      <c r="B4085" t="n">
        <v>6</v>
      </c>
      <c r="C4085" t="n">
        <v>19</v>
      </c>
      <c r="D4085" t="n">
        <v>3</v>
      </c>
      <c r="E4085" s="10" t="n">
        <v>0</v>
      </c>
      <c r="F4085" s="10" t="n">
        <v>0.2920065820815797</v>
      </c>
      <c r="G4085" s="11">
        <f>E4085*Summary!$B$6</f>
        <v/>
      </c>
      <c r="H4085" s="11">
        <f>F4085*Summary!$B$7</f>
        <v/>
      </c>
      <c r="I4085" s="11">
        <f>MAX(0,N4085-M4085)</f>
        <v/>
      </c>
      <c r="J4085" s="11">
        <f>MAX(0,M4085-N4085)</f>
        <v/>
      </c>
      <c r="K4085" s="11">
        <f>O4085</f>
        <v/>
      </c>
      <c r="L4085" s="11">
        <f>L4084+IF(K4085&gt;0,K4085*Summary!$B$9,K4085/Summary!$B$9)</f>
        <v/>
      </c>
      <c r="M4085" s="11">
        <f>G4085+H4085</f>
        <v/>
      </c>
      <c r="N4085" s="11">
        <f>Summary!$C$16*Summary!$B$8</f>
        <v/>
      </c>
      <c r="O4085" s="11">
        <f>M4085-N4085</f>
        <v/>
      </c>
    </row>
    <row r="4086">
      <c r="A4086" s="9" t="n">
        <v>45462.16666666666</v>
      </c>
      <c r="B4086" t="n">
        <v>6</v>
      </c>
      <c r="C4086" t="n">
        <v>19</v>
      </c>
      <c r="D4086" t="n">
        <v>4</v>
      </c>
      <c r="E4086" s="10" t="n">
        <v>0.032992</v>
      </c>
      <c r="F4086" s="10" t="n">
        <v>0.2768278264386784</v>
      </c>
      <c r="G4086" s="11">
        <f>E4086*Summary!$B$6</f>
        <v/>
      </c>
      <c r="H4086" s="11">
        <f>F4086*Summary!$B$7</f>
        <v/>
      </c>
      <c r="I4086" s="11">
        <f>MAX(0,N4086-M4086)</f>
        <v/>
      </c>
      <c r="J4086" s="11">
        <f>MAX(0,M4086-N4086)</f>
        <v/>
      </c>
      <c r="K4086" s="11">
        <f>O4086</f>
        <v/>
      </c>
      <c r="L4086" s="11">
        <f>L4085+IF(K4086&gt;0,K4086*Summary!$B$9,K4086/Summary!$B$9)</f>
        <v/>
      </c>
      <c r="M4086" s="11">
        <f>G4086+H4086</f>
        <v/>
      </c>
      <c r="N4086" s="11">
        <f>Summary!$C$16*Summary!$B$8</f>
        <v/>
      </c>
      <c r="O4086" s="11">
        <f>M4086-N4086</f>
        <v/>
      </c>
    </row>
    <row r="4087">
      <c r="A4087" s="9" t="n">
        <v>45462.20833333334</v>
      </c>
      <c r="B4087" t="n">
        <v>6</v>
      </c>
      <c r="C4087" t="n">
        <v>19</v>
      </c>
      <c r="D4087" t="n">
        <v>5</v>
      </c>
      <c r="E4087" s="10" t="n">
        <v>0.07514700000000001</v>
      </c>
      <c r="F4087" s="10" t="n">
        <v>0.2556144613474707</v>
      </c>
      <c r="G4087" s="11">
        <f>E4087*Summary!$B$6</f>
        <v/>
      </c>
      <c r="H4087" s="11">
        <f>F4087*Summary!$B$7</f>
        <v/>
      </c>
      <c r="I4087" s="11">
        <f>MAX(0,N4087-M4087)</f>
        <v/>
      </c>
      <c r="J4087" s="11">
        <f>MAX(0,M4087-N4087)</f>
        <v/>
      </c>
      <c r="K4087" s="11">
        <f>O4087</f>
        <v/>
      </c>
      <c r="L4087" s="11">
        <f>L4086+IF(K4087&gt;0,K4087*Summary!$B$9,K4087/Summary!$B$9)</f>
        <v/>
      </c>
      <c r="M4087" s="11">
        <f>G4087+H4087</f>
        <v/>
      </c>
      <c r="N4087" s="11">
        <f>Summary!$C$16*Summary!$B$8</f>
        <v/>
      </c>
      <c r="O4087" s="11">
        <f>M4087-N4087</f>
        <v/>
      </c>
    </row>
    <row r="4088">
      <c r="A4088" s="9" t="n">
        <v>45462.25</v>
      </c>
      <c r="B4088" t="n">
        <v>6</v>
      </c>
      <c r="C4088" t="n">
        <v>19</v>
      </c>
      <c r="D4088" t="n">
        <v>6</v>
      </c>
      <c r="E4088" s="10" t="n">
        <v>0.167598</v>
      </c>
      <c r="F4088" s="10" t="n">
        <v>0.2421749381219852</v>
      </c>
      <c r="G4088" s="11">
        <f>E4088*Summary!$B$6</f>
        <v/>
      </c>
      <c r="H4088" s="11">
        <f>F4088*Summary!$B$7</f>
        <v/>
      </c>
      <c r="I4088" s="11">
        <f>MAX(0,N4088-M4088)</f>
        <v/>
      </c>
      <c r="J4088" s="11">
        <f>MAX(0,M4088-N4088)</f>
        <v/>
      </c>
      <c r="K4088" s="11">
        <f>O4088</f>
        <v/>
      </c>
      <c r="L4088" s="11">
        <f>L4087+IF(K4088&gt;0,K4088*Summary!$B$9,K4088/Summary!$B$9)</f>
        <v/>
      </c>
      <c r="M4088" s="11">
        <f>G4088+H4088</f>
        <v/>
      </c>
      <c r="N4088" s="11">
        <f>Summary!$C$16*Summary!$B$8</f>
        <v/>
      </c>
      <c r="O4088" s="11">
        <f>M4088-N4088</f>
        <v/>
      </c>
    </row>
    <row r="4089">
      <c r="A4089" s="9" t="n">
        <v>45462.29166666666</v>
      </c>
      <c r="B4089" t="n">
        <v>6</v>
      </c>
      <c r="C4089" t="n">
        <v>19</v>
      </c>
      <c r="D4089" t="n">
        <v>7</v>
      </c>
      <c r="E4089" s="10" t="n">
        <v>0.297563</v>
      </c>
      <c r="F4089" s="10" t="n">
        <v>0.2269698304727593</v>
      </c>
      <c r="G4089" s="11">
        <f>E4089*Summary!$B$6</f>
        <v/>
      </c>
      <c r="H4089" s="11">
        <f>F4089*Summary!$B$7</f>
        <v/>
      </c>
      <c r="I4089" s="11">
        <f>MAX(0,N4089-M4089)</f>
        <v/>
      </c>
      <c r="J4089" s="11">
        <f>MAX(0,M4089-N4089)</f>
        <v/>
      </c>
      <c r="K4089" s="11">
        <f>O4089</f>
        <v/>
      </c>
      <c r="L4089" s="11">
        <f>L4088+IF(K4089&gt;0,K4089*Summary!$B$9,K4089/Summary!$B$9)</f>
        <v/>
      </c>
      <c r="M4089" s="11">
        <f>G4089+H4089</f>
        <v/>
      </c>
      <c r="N4089" s="11">
        <f>Summary!$C$16*Summary!$B$8</f>
        <v/>
      </c>
      <c r="O4089" s="11">
        <f>M4089-N4089</f>
        <v/>
      </c>
    </row>
    <row r="4090">
      <c r="A4090" s="9" t="n">
        <v>45462.33333333334</v>
      </c>
      <c r="B4090" t="n">
        <v>6</v>
      </c>
      <c r="C4090" t="n">
        <v>19</v>
      </c>
      <c r="D4090" t="n">
        <v>8</v>
      </c>
      <c r="E4090" s="10" t="n">
        <v>0.431333</v>
      </c>
      <c r="F4090" s="10" t="n">
        <v>0.1957163509719242</v>
      </c>
      <c r="G4090" s="11">
        <f>E4090*Summary!$B$6</f>
        <v/>
      </c>
      <c r="H4090" s="11">
        <f>F4090*Summary!$B$7</f>
        <v/>
      </c>
      <c r="I4090" s="11">
        <f>MAX(0,N4090-M4090)</f>
        <v/>
      </c>
      <c r="J4090" s="11">
        <f>MAX(0,M4090-N4090)</f>
        <v/>
      </c>
      <c r="K4090" s="11">
        <f>O4090</f>
        <v/>
      </c>
      <c r="L4090" s="11">
        <f>L4089+IF(K4090&gt;0,K4090*Summary!$B$9,K4090/Summary!$B$9)</f>
        <v/>
      </c>
      <c r="M4090" s="11">
        <f>G4090+H4090</f>
        <v/>
      </c>
      <c r="N4090" s="11">
        <f>Summary!$C$16*Summary!$B$8</f>
        <v/>
      </c>
      <c r="O4090" s="11">
        <f>M4090-N4090</f>
        <v/>
      </c>
    </row>
    <row r="4091">
      <c r="A4091" s="9" t="n">
        <v>45462.375</v>
      </c>
      <c r="B4091" t="n">
        <v>6</v>
      </c>
      <c r="C4091" t="n">
        <v>19</v>
      </c>
      <c r="D4091" t="n">
        <v>9</v>
      </c>
      <c r="E4091" s="10" t="n">
        <v>0.519442</v>
      </c>
      <c r="F4091" s="10" t="n">
        <v>0.2282874307889834</v>
      </c>
      <c r="G4091" s="11">
        <f>E4091*Summary!$B$6</f>
        <v/>
      </c>
      <c r="H4091" s="11">
        <f>F4091*Summary!$B$7</f>
        <v/>
      </c>
      <c r="I4091" s="11">
        <f>MAX(0,N4091-M4091)</f>
        <v/>
      </c>
      <c r="J4091" s="11">
        <f>MAX(0,M4091-N4091)</f>
        <v/>
      </c>
      <c r="K4091" s="11">
        <f>O4091</f>
        <v/>
      </c>
      <c r="L4091" s="11">
        <f>L4090+IF(K4091&gt;0,K4091*Summary!$B$9,K4091/Summary!$B$9)</f>
        <v/>
      </c>
      <c r="M4091" s="11">
        <f>G4091+H4091</f>
        <v/>
      </c>
      <c r="N4091" s="11">
        <f>Summary!$C$16*Summary!$B$8</f>
        <v/>
      </c>
      <c r="O4091" s="11">
        <f>M4091-N4091</f>
        <v/>
      </c>
    </row>
    <row r="4092">
      <c r="A4092" s="9" t="n">
        <v>45462.41666666666</v>
      </c>
      <c r="B4092" t="n">
        <v>6</v>
      </c>
      <c r="C4092" t="n">
        <v>19</v>
      </c>
      <c r="D4092" t="n">
        <v>10</v>
      </c>
      <c r="E4092" s="10" t="n">
        <v>0.632701</v>
      </c>
      <c r="F4092" s="10" t="n">
        <v>0.2343483922436141</v>
      </c>
      <c r="G4092" s="11">
        <f>E4092*Summary!$B$6</f>
        <v/>
      </c>
      <c r="H4092" s="11">
        <f>F4092*Summary!$B$7</f>
        <v/>
      </c>
      <c r="I4092" s="11">
        <f>MAX(0,N4092-M4092)</f>
        <v/>
      </c>
      <c r="J4092" s="11">
        <f>MAX(0,M4092-N4092)</f>
        <v/>
      </c>
      <c r="K4092" s="11">
        <f>O4092</f>
        <v/>
      </c>
      <c r="L4092" s="11">
        <f>L4091+IF(K4092&gt;0,K4092*Summary!$B$9,K4092/Summary!$B$9)</f>
        <v/>
      </c>
      <c r="M4092" s="11">
        <f>G4092+H4092</f>
        <v/>
      </c>
      <c r="N4092" s="11">
        <f>Summary!$C$16*Summary!$B$8</f>
        <v/>
      </c>
      <c r="O4092" s="11">
        <f>M4092-N4092</f>
        <v/>
      </c>
    </row>
    <row r="4093">
      <c r="A4093" s="9" t="n">
        <v>45462.45833333334</v>
      </c>
      <c r="B4093" t="n">
        <v>6</v>
      </c>
      <c r="C4093" t="n">
        <v>19</v>
      </c>
      <c r="D4093" t="n">
        <v>11</v>
      </c>
      <c r="E4093" s="10" t="n">
        <v>0.674372</v>
      </c>
      <c r="F4093" s="10" t="n">
        <v>0.2420431780903627</v>
      </c>
      <c r="G4093" s="11">
        <f>E4093*Summary!$B$6</f>
        <v/>
      </c>
      <c r="H4093" s="11">
        <f>F4093*Summary!$B$7</f>
        <v/>
      </c>
      <c r="I4093" s="11">
        <f>MAX(0,N4093-M4093)</f>
        <v/>
      </c>
      <c r="J4093" s="11">
        <f>MAX(0,M4093-N4093)</f>
        <v/>
      </c>
      <c r="K4093" s="11">
        <f>O4093</f>
        <v/>
      </c>
      <c r="L4093" s="11">
        <f>L4092+IF(K4093&gt;0,K4093*Summary!$B$9,K4093/Summary!$B$9)</f>
        <v/>
      </c>
      <c r="M4093" s="11">
        <f>G4093+H4093</f>
        <v/>
      </c>
      <c r="N4093" s="11">
        <f>Summary!$C$16*Summary!$B$8</f>
        <v/>
      </c>
      <c r="O4093" s="11">
        <f>M4093-N4093</f>
        <v/>
      </c>
    </row>
    <row r="4094">
      <c r="A4094" s="9" t="n">
        <v>45462.5</v>
      </c>
      <c r="B4094" t="n">
        <v>6</v>
      </c>
      <c r="C4094" t="n">
        <v>19</v>
      </c>
      <c r="D4094" t="n">
        <v>12</v>
      </c>
      <c r="E4094" s="10" t="n">
        <v>0.703699</v>
      </c>
      <c r="F4094" s="10" t="n">
        <v>0.2468655952477428</v>
      </c>
      <c r="G4094" s="11">
        <f>E4094*Summary!$B$6</f>
        <v/>
      </c>
      <c r="H4094" s="11">
        <f>F4094*Summary!$B$7</f>
        <v/>
      </c>
      <c r="I4094" s="11">
        <f>MAX(0,N4094-M4094)</f>
        <v/>
      </c>
      <c r="J4094" s="11">
        <f>MAX(0,M4094-N4094)</f>
        <v/>
      </c>
      <c r="K4094" s="11">
        <f>O4094</f>
        <v/>
      </c>
      <c r="L4094" s="11">
        <f>L4093+IF(K4094&gt;0,K4094*Summary!$B$9,K4094/Summary!$B$9)</f>
        <v/>
      </c>
      <c r="M4094" s="11">
        <f>G4094+H4094</f>
        <v/>
      </c>
      <c r="N4094" s="11">
        <f>Summary!$C$16*Summary!$B$8</f>
        <v/>
      </c>
      <c r="O4094" s="11">
        <f>M4094-N4094</f>
        <v/>
      </c>
    </row>
    <row r="4095">
      <c r="A4095" s="9" t="n">
        <v>45462.54166666666</v>
      </c>
      <c r="B4095" t="n">
        <v>6</v>
      </c>
      <c r="C4095" t="n">
        <v>19</v>
      </c>
      <c r="D4095" t="n">
        <v>13</v>
      </c>
      <c r="E4095" s="10" t="n">
        <v>0.444512</v>
      </c>
      <c r="F4095" s="10" t="n">
        <v>0.250212300050952</v>
      </c>
      <c r="G4095" s="11">
        <f>E4095*Summary!$B$6</f>
        <v/>
      </c>
      <c r="H4095" s="11">
        <f>F4095*Summary!$B$7</f>
        <v/>
      </c>
      <c r="I4095" s="11">
        <f>MAX(0,N4095-M4095)</f>
        <v/>
      </c>
      <c r="J4095" s="11">
        <f>MAX(0,M4095-N4095)</f>
        <v/>
      </c>
      <c r="K4095" s="11">
        <f>O4095</f>
        <v/>
      </c>
      <c r="L4095" s="11">
        <f>L4094+IF(K4095&gt;0,K4095*Summary!$B$9,K4095/Summary!$B$9)</f>
        <v/>
      </c>
      <c r="M4095" s="11">
        <f>G4095+H4095</f>
        <v/>
      </c>
      <c r="N4095" s="11">
        <f>Summary!$C$16*Summary!$B$8</f>
        <v/>
      </c>
      <c r="O4095" s="11">
        <f>M4095-N4095</f>
        <v/>
      </c>
    </row>
    <row r="4096">
      <c r="A4096" s="9" t="n">
        <v>45462.58333333334</v>
      </c>
      <c r="B4096" t="n">
        <v>6</v>
      </c>
      <c r="C4096" t="n">
        <v>19</v>
      </c>
      <c r="D4096" t="n">
        <v>14</v>
      </c>
      <c r="E4096" s="10" t="n">
        <v>0.55711</v>
      </c>
      <c r="F4096" s="10" t="n">
        <v>0.2562469094992583</v>
      </c>
      <c r="G4096" s="11">
        <f>E4096*Summary!$B$6</f>
        <v/>
      </c>
      <c r="H4096" s="11">
        <f>F4096*Summary!$B$7</f>
        <v/>
      </c>
      <c r="I4096" s="11">
        <f>MAX(0,N4096-M4096)</f>
        <v/>
      </c>
      <c r="J4096" s="11">
        <f>MAX(0,M4096-N4096)</f>
        <v/>
      </c>
      <c r="K4096" s="11">
        <f>O4096</f>
        <v/>
      </c>
      <c r="L4096" s="11">
        <f>L4095+IF(K4096&gt;0,K4096*Summary!$B$9,K4096/Summary!$B$9)</f>
        <v/>
      </c>
      <c r="M4096" s="11">
        <f>G4096+H4096</f>
        <v/>
      </c>
      <c r="N4096" s="11">
        <f>Summary!$C$16*Summary!$B$8</f>
        <v/>
      </c>
      <c r="O4096" s="11">
        <f>M4096-N4096</f>
        <v/>
      </c>
    </row>
    <row r="4097">
      <c r="A4097" s="9" t="n">
        <v>45462.625</v>
      </c>
      <c r="B4097" t="n">
        <v>6</v>
      </c>
      <c r="C4097" t="n">
        <v>19</v>
      </c>
      <c r="D4097" t="n">
        <v>15</v>
      </c>
      <c r="E4097" s="10" t="n">
        <v>0.407655</v>
      </c>
      <c r="F4097" s="10" t="n">
        <v>0.2567739496257479</v>
      </c>
      <c r="G4097" s="11">
        <f>E4097*Summary!$B$6</f>
        <v/>
      </c>
      <c r="H4097" s="11">
        <f>F4097*Summary!$B$7</f>
        <v/>
      </c>
      <c r="I4097" s="11">
        <f>MAX(0,N4097-M4097)</f>
        <v/>
      </c>
      <c r="J4097" s="11">
        <f>MAX(0,M4097-N4097)</f>
        <v/>
      </c>
      <c r="K4097" s="11">
        <f>O4097</f>
        <v/>
      </c>
      <c r="L4097" s="11">
        <f>L4096+IF(K4097&gt;0,K4097*Summary!$B$9,K4097/Summary!$B$9)</f>
        <v/>
      </c>
      <c r="M4097" s="11">
        <f>G4097+H4097</f>
        <v/>
      </c>
      <c r="N4097" s="11">
        <f>Summary!$C$16*Summary!$B$8</f>
        <v/>
      </c>
      <c r="O4097" s="11">
        <f>M4097-N4097</f>
        <v/>
      </c>
    </row>
    <row r="4098">
      <c r="A4098" s="9" t="n">
        <v>45462.66666666666</v>
      </c>
      <c r="B4098" t="n">
        <v>6</v>
      </c>
      <c r="C4098" t="n">
        <v>19</v>
      </c>
      <c r="D4098" t="n">
        <v>16</v>
      </c>
      <c r="E4098" s="10" t="n">
        <v>0.264988</v>
      </c>
      <c r="F4098" s="10" t="n">
        <v>0.2570111176826682</v>
      </c>
      <c r="G4098" s="11">
        <f>E4098*Summary!$B$6</f>
        <v/>
      </c>
      <c r="H4098" s="11">
        <f>F4098*Summary!$B$7</f>
        <v/>
      </c>
      <c r="I4098" s="11">
        <f>MAX(0,N4098-M4098)</f>
        <v/>
      </c>
      <c r="J4098" s="11">
        <f>MAX(0,M4098-N4098)</f>
        <v/>
      </c>
      <c r="K4098" s="11">
        <f>O4098</f>
        <v/>
      </c>
      <c r="L4098" s="11">
        <f>L4097+IF(K4098&gt;0,K4098*Summary!$B$9,K4098/Summary!$B$9)</f>
        <v/>
      </c>
      <c r="M4098" s="11">
        <f>G4098+H4098</f>
        <v/>
      </c>
      <c r="N4098" s="11">
        <f>Summary!$C$16*Summary!$B$8</f>
        <v/>
      </c>
      <c r="O4098" s="11">
        <f>M4098-N4098</f>
        <v/>
      </c>
    </row>
    <row r="4099">
      <c r="A4099" s="9" t="n">
        <v>45462.70833333334</v>
      </c>
      <c r="B4099" t="n">
        <v>6</v>
      </c>
      <c r="C4099" t="n">
        <v>19</v>
      </c>
      <c r="D4099" t="n">
        <v>17</v>
      </c>
      <c r="E4099" s="10" t="n">
        <v>0.173747</v>
      </c>
      <c r="F4099" s="10" t="n">
        <v>0.2569320616636948</v>
      </c>
      <c r="G4099" s="11">
        <f>E4099*Summary!$B$6</f>
        <v/>
      </c>
      <c r="H4099" s="11">
        <f>F4099*Summary!$B$7</f>
        <v/>
      </c>
      <c r="I4099" s="11">
        <f>MAX(0,N4099-M4099)</f>
        <v/>
      </c>
      <c r="J4099" s="11">
        <f>MAX(0,M4099-N4099)</f>
        <v/>
      </c>
      <c r="K4099" s="11">
        <f>O4099</f>
        <v/>
      </c>
      <c r="L4099" s="11">
        <f>L4098+IF(K4099&gt;0,K4099*Summary!$B$9,K4099/Summary!$B$9)</f>
        <v/>
      </c>
      <c r="M4099" s="11">
        <f>G4099+H4099</f>
        <v/>
      </c>
      <c r="N4099" s="11">
        <f>Summary!$C$16*Summary!$B$8</f>
        <v/>
      </c>
      <c r="O4099" s="11">
        <f>M4099-N4099</f>
        <v/>
      </c>
    </row>
    <row r="4100">
      <c r="A4100" s="9" t="n">
        <v>45462.75</v>
      </c>
      <c r="B4100" t="n">
        <v>6</v>
      </c>
      <c r="C4100" t="n">
        <v>19</v>
      </c>
      <c r="D4100" t="n">
        <v>18</v>
      </c>
      <c r="E4100" s="10" t="n">
        <v>0.100682</v>
      </c>
      <c r="F4100" s="10" t="n">
        <v>0.2440459305710233</v>
      </c>
      <c r="G4100" s="11">
        <f>E4100*Summary!$B$6</f>
        <v/>
      </c>
      <c r="H4100" s="11">
        <f>F4100*Summary!$B$7</f>
        <v/>
      </c>
      <c r="I4100" s="11">
        <f>MAX(0,N4100-M4100)</f>
        <v/>
      </c>
      <c r="J4100" s="11">
        <f>MAX(0,M4100-N4100)</f>
        <v/>
      </c>
      <c r="K4100" s="11">
        <f>O4100</f>
        <v/>
      </c>
      <c r="L4100" s="11">
        <f>L4099+IF(K4100&gt;0,K4100*Summary!$B$9,K4100/Summary!$B$9)</f>
        <v/>
      </c>
      <c r="M4100" s="11">
        <f>G4100+H4100</f>
        <v/>
      </c>
      <c r="N4100" s="11">
        <f>Summary!$C$16*Summary!$B$8</f>
        <v/>
      </c>
      <c r="O4100" s="11">
        <f>M4100-N4100</f>
        <v/>
      </c>
    </row>
    <row r="4101">
      <c r="A4101" s="9" t="n">
        <v>45462.79166666666</v>
      </c>
      <c r="B4101" t="n">
        <v>6</v>
      </c>
      <c r="C4101" t="n">
        <v>19</v>
      </c>
      <c r="D4101" t="n">
        <v>19</v>
      </c>
      <c r="E4101" s="10" t="n">
        <v>0.042556</v>
      </c>
      <c r="F4101" s="10" t="n">
        <v>0.2374315769835784</v>
      </c>
      <c r="G4101" s="11">
        <f>E4101*Summary!$B$6</f>
        <v/>
      </c>
      <c r="H4101" s="11">
        <f>F4101*Summary!$B$7</f>
        <v/>
      </c>
      <c r="I4101" s="11">
        <f>MAX(0,N4101-M4101)</f>
        <v/>
      </c>
      <c r="J4101" s="11">
        <f>MAX(0,M4101-N4101)</f>
        <v/>
      </c>
      <c r="K4101" s="11">
        <f>O4101</f>
        <v/>
      </c>
      <c r="L4101" s="11">
        <f>L4100+IF(K4101&gt;0,K4101*Summary!$B$9,K4101/Summary!$B$9)</f>
        <v/>
      </c>
      <c r="M4101" s="11">
        <f>G4101+H4101</f>
        <v/>
      </c>
      <c r="N4101" s="11">
        <f>Summary!$C$16*Summary!$B$8</f>
        <v/>
      </c>
      <c r="O4101" s="11">
        <f>M4101-N4101</f>
        <v/>
      </c>
    </row>
    <row r="4102">
      <c r="A4102" s="9" t="n">
        <v>45462.83333333334</v>
      </c>
      <c r="B4102" t="n">
        <v>6</v>
      </c>
      <c r="C4102" t="n">
        <v>19</v>
      </c>
      <c r="D4102" t="n">
        <v>20</v>
      </c>
      <c r="E4102" s="10" t="n">
        <v>0.010215</v>
      </c>
      <c r="F4102" s="10" t="n">
        <v>0.2488156437157545</v>
      </c>
      <c r="G4102" s="11">
        <f>E4102*Summary!$B$6</f>
        <v/>
      </c>
      <c r="H4102" s="11">
        <f>F4102*Summary!$B$7</f>
        <v/>
      </c>
      <c r="I4102" s="11">
        <f>MAX(0,N4102-M4102)</f>
        <v/>
      </c>
      <c r="J4102" s="11">
        <f>MAX(0,M4102-N4102)</f>
        <v/>
      </c>
      <c r="K4102" s="11">
        <f>O4102</f>
        <v/>
      </c>
      <c r="L4102" s="11">
        <f>L4101+IF(K4102&gt;0,K4102*Summary!$B$9,K4102/Summary!$B$9)</f>
        <v/>
      </c>
      <c r="M4102" s="11">
        <f>G4102+H4102</f>
        <v/>
      </c>
      <c r="N4102" s="11">
        <f>Summary!$C$16*Summary!$B$8</f>
        <v/>
      </c>
      <c r="O4102" s="11">
        <f>M4102-N4102</f>
        <v/>
      </c>
    </row>
    <row r="4103">
      <c r="A4103" s="9" t="n">
        <v>45462.875</v>
      </c>
      <c r="B4103" t="n">
        <v>6</v>
      </c>
      <c r="C4103" t="n">
        <v>19</v>
      </c>
      <c r="D4103" t="n">
        <v>21</v>
      </c>
      <c r="E4103" s="10" t="n">
        <v>0</v>
      </c>
      <c r="F4103" s="10" t="n">
        <v>0.2652856476685554</v>
      </c>
      <c r="G4103" s="11">
        <f>E4103*Summary!$B$6</f>
        <v/>
      </c>
      <c r="H4103" s="11">
        <f>F4103*Summary!$B$7</f>
        <v/>
      </c>
      <c r="I4103" s="11">
        <f>MAX(0,N4103-M4103)</f>
        <v/>
      </c>
      <c r="J4103" s="11">
        <f>MAX(0,M4103-N4103)</f>
        <v/>
      </c>
      <c r="K4103" s="11">
        <f>O4103</f>
        <v/>
      </c>
      <c r="L4103" s="11">
        <f>L4102+IF(K4103&gt;0,K4103*Summary!$B$9,K4103/Summary!$B$9)</f>
        <v/>
      </c>
      <c r="M4103" s="11">
        <f>G4103+H4103</f>
        <v/>
      </c>
      <c r="N4103" s="11">
        <f>Summary!$C$16*Summary!$B$8</f>
        <v/>
      </c>
      <c r="O4103" s="11">
        <f>M4103-N4103</f>
        <v/>
      </c>
    </row>
    <row r="4104">
      <c r="A4104" s="9" t="n">
        <v>45462.91666666666</v>
      </c>
      <c r="B4104" t="n">
        <v>6</v>
      </c>
      <c r="C4104" t="n">
        <v>19</v>
      </c>
      <c r="D4104" t="n">
        <v>22</v>
      </c>
      <c r="E4104" s="10" t="n">
        <v>0</v>
      </c>
      <c r="F4104" s="10" t="n">
        <v>0.2818083556340054</v>
      </c>
      <c r="G4104" s="11">
        <f>E4104*Summary!$B$6</f>
        <v/>
      </c>
      <c r="H4104" s="11">
        <f>F4104*Summary!$B$7</f>
        <v/>
      </c>
      <c r="I4104" s="11">
        <f>MAX(0,N4104-M4104)</f>
        <v/>
      </c>
      <c r="J4104" s="11">
        <f>MAX(0,M4104-N4104)</f>
        <v/>
      </c>
      <c r="K4104" s="11">
        <f>O4104</f>
        <v/>
      </c>
      <c r="L4104" s="11">
        <f>L4103+IF(K4104&gt;0,K4104*Summary!$B$9,K4104/Summary!$B$9)</f>
        <v/>
      </c>
      <c r="M4104" s="11">
        <f>G4104+H4104</f>
        <v/>
      </c>
      <c r="N4104" s="11">
        <f>Summary!$C$16*Summary!$B$8</f>
        <v/>
      </c>
      <c r="O4104" s="11">
        <f>M4104-N4104</f>
        <v/>
      </c>
    </row>
    <row r="4105">
      <c r="A4105" s="9" t="n">
        <v>45462.95833333334</v>
      </c>
      <c r="B4105" t="n">
        <v>6</v>
      </c>
      <c r="C4105" t="n">
        <v>19</v>
      </c>
      <c r="D4105" t="n">
        <v>23</v>
      </c>
      <c r="E4105" s="10" t="n">
        <v>0</v>
      </c>
      <c r="F4105" s="10" t="n">
        <v>0.2800954752229141</v>
      </c>
      <c r="G4105" s="11">
        <f>E4105*Summary!$B$6</f>
        <v/>
      </c>
      <c r="H4105" s="11">
        <f>F4105*Summary!$B$7</f>
        <v/>
      </c>
      <c r="I4105" s="11">
        <f>MAX(0,N4105-M4105)</f>
        <v/>
      </c>
      <c r="J4105" s="11">
        <f>MAX(0,M4105-N4105)</f>
        <v/>
      </c>
      <c r="K4105" s="11">
        <f>O4105</f>
        <v/>
      </c>
      <c r="L4105" s="11">
        <f>L4104+IF(K4105&gt;0,K4105*Summary!$B$9,K4105/Summary!$B$9)</f>
        <v/>
      </c>
      <c r="M4105" s="11">
        <f>G4105+H4105</f>
        <v/>
      </c>
      <c r="N4105" s="11">
        <f>Summary!$C$16*Summary!$B$8</f>
        <v/>
      </c>
      <c r="O4105" s="11">
        <f>M4105-N4105</f>
        <v/>
      </c>
    </row>
    <row r="4106">
      <c r="A4106" s="9" t="n">
        <v>45463</v>
      </c>
      <c r="B4106" t="n">
        <v>6</v>
      </c>
      <c r="C4106" t="n">
        <v>20</v>
      </c>
      <c r="D4106" t="n">
        <v>0</v>
      </c>
      <c r="E4106" s="10" t="n">
        <v>0</v>
      </c>
      <c r="F4106" s="10" t="n">
        <v>0.2986209356690246</v>
      </c>
      <c r="G4106" s="11">
        <f>E4106*Summary!$B$6</f>
        <v/>
      </c>
      <c r="H4106" s="11">
        <f>F4106*Summary!$B$7</f>
        <v/>
      </c>
      <c r="I4106" s="11">
        <f>MAX(0,N4106-M4106)</f>
        <v/>
      </c>
      <c r="J4106" s="11">
        <f>MAX(0,M4106-N4106)</f>
        <v/>
      </c>
      <c r="K4106" s="11">
        <f>O4106</f>
        <v/>
      </c>
      <c r="L4106" s="11">
        <f>L4105+IF(K4106&gt;0,K4106*Summary!$B$9,K4106/Summary!$B$9)</f>
        <v/>
      </c>
      <c r="M4106" s="11">
        <f>G4106+H4106</f>
        <v/>
      </c>
      <c r="N4106" s="11">
        <f>Summary!$C$16*Summary!$B$8</f>
        <v/>
      </c>
      <c r="O4106" s="11">
        <f>M4106-N4106</f>
        <v/>
      </c>
    </row>
    <row r="4107">
      <c r="A4107" s="9" t="n">
        <v>45463.04166666666</v>
      </c>
      <c r="B4107" t="n">
        <v>6</v>
      </c>
      <c r="C4107" t="n">
        <v>20</v>
      </c>
      <c r="D4107" t="n">
        <v>1</v>
      </c>
      <c r="E4107" s="10" t="n">
        <v>0</v>
      </c>
      <c r="F4107" s="10" t="n">
        <v>0.2658126877950451</v>
      </c>
      <c r="G4107" s="11">
        <f>E4107*Summary!$B$6</f>
        <v/>
      </c>
      <c r="H4107" s="11">
        <f>F4107*Summary!$B$7</f>
        <v/>
      </c>
      <c r="I4107" s="11">
        <f>MAX(0,N4107-M4107)</f>
        <v/>
      </c>
      <c r="J4107" s="11">
        <f>MAX(0,M4107-N4107)</f>
        <v/>
      </c>
      <c r="K4107" s="11">
        <f>O4107</f>
        <v/>
      </c>
      <c r="L4107" s="11">
        <f>L4106+IF(K4107&gt;0,K4107*Summary!$B$9,K4107/Summary!$B$9)</f>
        <v/>
      </c>
      <c r="M4107" s="11">
        <f>G4107+H4107</f>
        <v/>
      </c>
      <c r="N4107" s="11">
        <f>Summary!$C$16*Summary!$B$8</f>
        <v/>
      </c>
      <c r="O4107" s="11">
        <f>M4107-N4107</f>
        <v/>
      </c>
    </row>
    <row r="4108">
      <c r="A4108" s="9" t="n">
        <v>45463.08333333334</v>
      </c>
      <c r="B4108" t="n">
        <v>6</v>
      </c>
      <c r="C4108" t="n">
        <v>20</v>
      </c>
      <c r="D4108" t="n">
        <v>2</v>
      </c>
      <c r="E4108" s="10" t="n">
        <v>0</v>
      </c>
      <c r="F4108" s="10" t="n">
        <v>0.2545603810944915</v>
      </c>
      <c r="G4108" s="11">
        <f>E4108*Summary!$B$6</f>
        <v/>
      </c>
      <c r="H4108" s="11">
        <f>F4108*Summary!$B$7</f>
        <v/>
      </c>
      <c r="I4108" s="11">
        <f>MAX(0,N4108-M4108)</f>
        <v/>
      </c>
      <c r="J4108" s="11">
        <f>MAX(0,M4108-N4108)</f>
        <v/>
      </c>
      <c r="K4108" s="11">
        <f>O4108</f>
        <v/>
      </c>
      <c r="L4108" s="11">
        <f>L4107+IF(K4108&gt;0,K4108*Summary!$B$9,K4108/Summary!$B$9)</f>
        <v/>
      </c>
      <c r="M4108" s="11">
        <f>G4108+H4108</f>
        <v/>
      </c>
      <c r="N4108" s="11">
        <f>Summary!$C$16*Summary!$B$8</f>
        <v/>
      </c>
      <c r="O4108" s="11">
        <f>M4108-N4108</f>
        <v/>
      </c>
    </row>
    <row r="4109">
      <c r="A4109" s="9" t="n">
        <v>45463.125</v>
      </c>
      <c r="B4109" t="n">
        <v>6</v>
      </c>
      <c r="C4109" t="n">
        <v>20</v>
      </c>
      <c r="D4109" t="n">
        <v>3</v>
      </c>
      <c r="E4109" s="10" t="n">
        <v>0</v>
      </c>
      <c r="F4109" s="10" t="n">
        <v>0.2447574347417844</v>
      </c>
      <c r="G4109" s="11">
        <f>E4109*Summary!$B$6</f>
        <v/>
      </c>
      <c r="H4109" s="11">
        <f>F4109*Summary!$B$7</f>
        <v/>
      </c>
      <c r="I4109" s="11">
        <f>MAX(0,N4109-M4109)</f>
        <v/>
      </c>
      <c r="J4109" s="11">
        <f>MAX(0,M4109-N4109)</f>
        <v/>
      </c>
      <c r="K4109" s="11">
        <f>O4109</f>
        <v/>
      </c>
      <c r="L4109" s="11">
        <f>L4108+IF(K4109&gt;0,K4109*Summary!$B$9,K4109/Summary!$B$9)</f>
        <v/>
      </c>
      <c r="M4109" s="11">
        <f>G4109+H4109</f>
        <v/>
      </c>
      <c r="N4109" s="11">
        <f>Summary!$C$16*Summary!$B$8</f>
        <v/>
      </c>
      <c r="O4109" s="11">
        <f>M4109-N4109</f>
        <v/>
      </c>
    </row>
    <row r="4110">
      <c r="A4110" s="9" t="n">
        <v>45463.16666666666</v>
      </c>
      <c r="B4110" t="n">
        <v>6</v>
      </c>
      <c r="C4110" t="n">
        <v>20</v>
      </c>
      <c r="D4110" t="n">
        <v>4</v>
      </c>
      <c r="E4110" s="10" t="n">
        <v>0.028551</v>
      </c>
      <c r="F4110" s="10" t="n">
        <v>0.2260738622577269</v>
      </c>
      <c r="G4110" s="11">
        <f>E4110*Summary!$B$6</f>
        <v/>
      </c>
      <c r="H4110" s="11">
        <f>F4110*Summary!$B$7</f>
        <v/>
      </c>
      <c r="I4110" s="11">
        <f>MAX(0,N4110-M4110)</f>
        <v/>
      </c>
      <c r="J4110" s="11">
        <f>MAX(0,M4110-N4110)</f>
        <v/>
      </c>
      <c r="K4110" s="11">
        <f>O4110</f>
        <v/>
      </c>
      <c r="L4110" s="11">
        <f>L4109+IF(K4110&gt;0,K4110*Summary!$B$9,K4110/Summary!$B$9)</f>
        <v/>
      </c>
      <c r="M4110" s="11">
        <f>G4110+H4110</f>
        <v/>
      </c>
      <c r="N4110" s="11">
        <f>Summary!$C$16*Summary!$B$8</f>
        <v/>
      </c>
      <c r="O4110" s="11">
        <f>M4110-N4110</f>
        <v/>
      </c>
    </row>
    <row r="4111">
      <c r="A4111" s="9" t="n">
        <v>45463.20833333334</v>
      </c>
      <c r="B4111" t="n">
        <v>6</v>
      </c>
      <c r="C4111" t="n">
        <v>20</v>
      </c>
      <c r="D4111" t="n">
        <v>5</v>
      </c>
      <c r="E4111" s="10" t="n">
        <v>0.0566</v>
      </c>
      <c r="F4111" s="10" t="n">
        <v>0.1990894077814578</v>
      </c>
      <c r="G4111" s="11">
        <f>E4111*Summary!$B$6</f>
        <v/>
      </c>
      <c r="H4111" s="11">
        <f>F4111*Summary!$B$7</f>
        <v/>
      </c>
      <c r="I4111" s="11">
        <f>MAX(0,N4111-M4111)</f>
        <v/>
      </c>
      <c r="J4111" s="11">
        <f>MAX(0,M4111-N4111)</f>
        <v/>
      </c>
      <c r="K4111" s="11">
        <f>O4111</f>
        <v/>
      </c>
      <c r="L4111" s="11">
        <f>L4110+IF(K4111&gt;0,K4111*Summary!$B$9,K4111/Summary!$B$9)</f>
        <v/>
      </c>
      <c r="M4111" s="11">
        <f>G4111+H4111</f>
        <v/>
      </c>
      <c r="N4111" s="11">
        <f>Summary!$C$16*Summary!$B$8</f>
        <v/>
      </c>
      <c r="O4111" s="11">
        <f>M4111-N4111</f>
        <v/>
      </c>
    </row>
    <row r="4112">
      <c r="A4112" s="9" t="n">
        <v>45463.25</v>
      </c>
      <c r="B4112" t="n">
        <v>6</v>
      </c>
      <c r="C4112" t="n">
        <v>20</v>
      </c>
      <c r="D4112" t="n">
        <v>6</v>
      </c>
      <c r="E4112" s="10" t="n">
        <v>0.099124</v>
      </c>
      <c r="F4112" s="10" t="n">
        <v>0.1763212743171058</v>
      </c>
      <c r="G4112" s="11">
        <f>E4112*Summary!$B$6</f>
        <v/>
      </c>
      <c r="H4112" s="11">
        <f>F4112*Summary!$B$7</f>
        <v/>
      </c>
      <c r="I4112" s="11">
        <f>MAX(0,N4112-M4112)</f>
        <v/>
      </c>
      <c r="J4112" s="11">
        <f>MAX(0,M4112-N4112)</f>
        <v/>
      </c>
      <c r="K4112" s="11">
        <f>O4112</f>
        <v/>
      </c>
      <c r="L4112" s="11">
        <f>L4111+IF(K4112&gt;0,K4112*Summary!$B$9,K4112/Summary!$B$9)</f>
        <v/>
      </c>
      <c r="M4112" s="11">
        <f>G4112+H4112</f>
        <v/>
      </c>
      <c r="N4112" s="11">
        <f>Summary!$C$16*Summary!$B$8</f>
        <v/>
      </c>
      <c r="O4112" s="11">
        <f>M4112-N4112</f>
        <v/>
      </c>
    </row>
    <row r="4113">
      <c r="A4113" s="9" t="n">
        <v>45463.29166666666</v>
      </c>
      <c r="B4113" t="n">
        <v>6</v>
      </c>
      <c r="C4113" t="n">
        <v>20</v>
      </c>
      <c r="D4113" t="n">
        <v>7</v>
      </c>
      <c r="E4113" s="10" t="n">
        <v>0.254419</v>
      </c>
      <c r="F4113" s="10" t="n">
        <v>0.1690217685652245</v>
      </c>
      <c r="G4113" s="11">
        <f>E4113*Summary!$B$6</f>
        <v/>
      </c>
      <c r="H4113" s="11">
        <f>F4113*Summary!$B$7</f>
        <v/>
      </c>
      <c r="I4113" s="11">
        <f>MAX(0,N4113-M4113)</f>
        <v/>
      </c>
      <c r="J4113" s="11">
        <f>MAX(0,M4113-N4113)</f>
        <v/>
      </c>
      <c r="K4113" s="11">
        <f>O4113</f>
        <v/>
      </c>
      <c r="L4113" s="11">
        <f>L4112+IF(K4113&gt;0,K4113*Summary!$B$9,K4113/Summary!$B$9)</f>
        <v/>
      </c>
      <c r="M4113" s="11">
        <f>G4113+H4113</f>
        <v/>
      </c>
      <c r="N4113" s="11">
        <f>Summary!$C$16*Summary!$B$8</f>
        <v/>
      </c>
      <c r="O4113" s="11">
        <f>M4113-N4113</f>
        <v/>
      </c>
    </row>
    <row r="4114">
      <c r="A4114" s="9" t="n">
        <v>45463.33333333334</v>
      </c>
      <c r="B4114" t="n">
        <v>6</v>
      </c>
      <c r="C4114" t="n">
        <v>20</v>
      </c>
      <c r="D4114" t="n">
        <v>8</v>
      </c>
      <c r="E4114" s="10" t="n">
        <v>0.494523</v>
      </c>
      <c r="F4114" s="10" t="n">
        <v>0.1697332727359855</v>
      </c>
      <c r="G4114" s="11">
        <f>E4114*Summary!$B$6</f>
        <v/>
      </c>
      <c r="H4114" s="11">
        <f>F4114*Summary!$B$7</f>
        <v/>
      </c>
      <c r="I4114" s="11">
        <f>MAX(0,N4114-M4114)</f>
        <v/>
      </c>
      <c r="J4114" s="11">
        <f>MAX(0,M4114-N4114)</f>
        <v/>
      </c>
      <c r="K4114" s="11">
        <f>O4114</f>
        <v/>
      </c>
      <c r="L4114" s="11">
        <f>L4113+IF(K4114&gt;0,K4114*Summary!$B$9,K4114/Summary!$B$9)</f>
        <v/>
      </c>
      <c r="M4114" s="11">
        <f>G4114+H4114</f>
        <v/>
      </c>
      <c r="N4114" s="11">
        <f>Summary!$C$16*Summary!$B$8</f>
        <v/>
      </c>
      <c r="O4114" s="11">
        <f>M4114-N4114</f>
        <v/>
      </c>
    </row>
    <row r="4115">
      <c r="A4115" s="9" t="n">
        <v>45463.375</v>
      </c>
      <c r="B4115" t="n">
        <v>6</v>
      </c>
      <c r="C4115" t="n">
        <v>20</v>
      </c>
      <c r="D4115" t="n">
        <v>9</v>
      </c>
      <c r="E4115" s="10" t="n">
        <v>0.592272</v>
      </c>
      <c r="F4115" s="10" t="n">
        <v>0.1748192099566104</v>
      </c>
      <c r="G4115" s="11">
        <f>E4115*Summary!$B$6</f>
        <v/>
      </c>
      <c r="H4115" s="11">
        <f>F4115*Summary!$B$7</f>
        <v/>
      </c>
      <c r="I4115" s="11">
        <f>MAX(0,N4115-M4115)</f>
        <v/>
      </c>
      <c r="J4115" s="11">
        <f>MAX(0,M4115-N4115)</f>
        <v/>
      </c>
      <c r="K4115" s="11">
        <f>O4115</f>
        <v/>
      </c>
      <c r="L4115" s="11">
        <f>L4114+IF(K4115&gt;0,K4115*Summary!$B$9,K4115/Summary!$B$9)</f>
        <v/>
      </c>
      <c r="M4115" s="11">
        <f>G4115+H4115</f>
        <v/>
      </c>
      <c r="N4115" s="11">
        <f>Summary!$C$16*Summary!$B$8</f>
        <v/>
      </c>
      <c r="O4115" s="11">
        <f>M4115-N4115</f>
        <v/>
      </c>
    </row>
    <row r="4116">
      <c r="A4116" s="9" t="n">
        <v>45463.41666666666</v>
      </c>
      <c r="B4116" t="n">
        <v>6</v>
      </c>
      <c r="C4116" t="n">
        <v>20</v>
      </c>
      <c r="D4116" t="n">
        <v>10</v>
      </c>
      <c r="E4116" s="10" t="n">
        <v>0.487748</v>
      </c>
      <c r="F4116" s="10" t="n">
        <v>0.1858607006065681</v>
      </c>
      <c r="G4116" s="11">
        <f>E4116*Summary!$B$6</f>
        <v/>
      </c>
      <c r="H4116" s="11">
        <f>F4116*Summary!$B$7</f>
        <v/>
      </c>
      <c r="I4116" s="11">
        <f>MAX(0,N4116-M4116)</f>
        <v/>
      </c>
      <c r="J4116" s="11">
        <f>MAX(0,M4116-N4116)</f>
        <v/>
      </c>
      <c r="K4116" s="11">
        <f>O4116</f>
        <v/>
      </c>
      <c r="L4116" s="11">
        <f>L4115+IF(K4116&gt;0,K4116*Summary!$B$9,K4116/Summary!$B$9)</f>
        <v/>
      </c>
      <c r="M4116" s="11">
        <f>G4116+H4116</f>
        <v/>
      </c>
      <c r="N4116" s="11">
        <f>Summary!$C$16*Summary!$B$8</f>
        <v/>
      </c>
      <c r="O4116" s="11">
        <f>M4116-N4116</f>
        <v/>
      </c>
    </row>
    <row r="4117">
      <c r="A4117" s="9" t="n">
        <v>45463.45833333334</v>
      </c>
      <c r="B4117" t="n">
        <v>6</v>
      </c>
      <c r="C4117" t="n">
        <v>20</v>
      </c>
      <c r="D4117" t="n">
        <v>11</v>
      </c>
      <c r="E4117" s="10" t="n">
        <v>0.460126</v>
      </c>
      <c r="F4117" s="10" t="n">
        <v>0.1986677756802661</v>
      </c>
      <c r="G4117" s="11">
        <f>E4117*Summary!$B$6</f>
        <v/>
      </c>
      <c r="H4117" s="11">
        <f>F4117*Summary!$B$7</f>
        <v/>
      </c>
      <c r="I4117" s="11">
        <f>MAX(0,N4117-M4117)</f>
        <v/>
      </c>
      <c r="J4117" s="11">
        <f>MAX(0,M4117-N4117)</f>
        <v/>
      </c>
      <c r="K4117" s="11">
        <f>O4117</f>
        <v/>
      </c>
      <c r="L4117" s="11">
        <f>L4116+IF(K4117&gt;0,K4117*Summary!$B$9,K4117/Summary!$B$9)</f>
        <v/>
      </c>
      <c r="M4117" s="11">
        <f>G4117+H4117</f>
        <v/>
      </c>
      <c r="N4117" s="11">
        <f>Summary!$C$16*Summary!$B$8</f>
        <v/>
      </c>
      <c r="O4117" s="11">
        <f>M4117-N4117</f>
        <v/>
      </c>
    </row>
    <row r="4118">
      <c r="A4118" s="9" t="n">
        <v>45463.5</v>
      </c>
      <c r="B4118" t="n">
        <v>6</v>
      </c>
      <c r="C4118" t="n">
        <v>20</v>
      </c>
      <c r="D4118" t="n">
        <v>12</v>
      </c>
      <c r="E4118" s="10" t="n">
        <v>0.131705</v>
      </c>
      <c r="F4118" s="10" t="n">
        <v>0.2122917629500231</v>
      </c>
      <c r="G4118" s="11">
        <f>E4118*Summary!$B$6</f>
        <v/>
      </c>
      <c r="H4118" s="11">
        <f>F4118*Summary!$B$7</f>
        <v/>
      </c>
      <c r="I4118" s="11">
        <f>MAX(0,N4118-M4118)</f>
        <v/>
      </c>
      <c r="J4118" s="11">
        <f>MAX(0,M4118-N4118)</f>
        <v/>
      </c>
      <c r="K4118" s="11">
        <f>O4118</f>
        <v/>
      </c>
      <c r="L4118" s="11">
        <f>L4117+IF(K4118&gt;0,K4118*Summary!$B$9,K4118/Summary!$B$9)</f>
        <v/>
      </c>
      <c r="M4118" s="11">
        <f>G4118+H4118</f>
        <v/>
      </c>
      <c r="N4118" s="11">
        <f>Summary!$C$16*Summary!$B$8</f>
        <v/>
      </c>
      <c r="O4118" s="11">
        <f>M4118-N4118</f>
        <v/>
      </c>
    </row>
    <row r="4119">
      <c r="A4119" s="9" t="n">
        <v>45463.54166666666</v>
      </c>
      <c r="B4119" t="n">
        <v>6</v>
      </c>
      <c r="C4119" t="n">
        <v>20</v>
      </c>
      <c r="D4119" t="n">
        <v>13</v>
      </c>
      <c r="E4119" s="10" t="n">
        <v>0.084645</v>
      </c>
      <c r="F4119" s="10" t="n">
        <v>0.2190115245627659</v>
      </c>
      <c r="G4119" s="11">
        <f>E4119*Summary!$B$6</f>
        <v/>
      </c>
      <c r="H4119" s="11">
        <f>F4119*Summary!$B$7</f>
        <v/>
      </c>
      <c r="I4119" s="11">
        <f>MAX(0,N4119-M4119)</f>
        <v/>
      </c>
      <c r="J4119" s="11">
        <f>MAX(0,M4119-N4119)</f>
        <v/>
      </c>
      <c r="K4119" s="11">
        <f>O4119</f>
        <v/>
      </c>
      <c r="L4119" s="11">
        <f>L4118+IF(K4119&gt;0,K4119*Summary!$B$9,K4119/Summary!$B$9)</f>
        <v/>
      </c>
      <c r="M4119" s="11">
        <f>G4119+H4119</f>
        <v/>
      </c>
      <c r="N4119" s="11">
        <f>Summary!$C$16*Summary!$B$8</f>
        <v/>
      </c>
      <c r="O4119" s="11">
        <f>M4119-N4119</f>
        <v/>
      </c>
    </row>
    <row r="4120">
      <c r="A4120" s="9" t="n">
        <v>45463.58333333334</v>
      </c>
      <c r="B4120" t="n">
        <v>6</v>
      </c>
      <c r="C4120" t="n">
        <v>20</v>
      </c>
      <c r="D4120" t="n">
        <v>14</v>
      </c>
      <c r="E4120" s="10" t="n">
        <v>0.201995</v>
      </c>
      <c r="F4120" s="10" t="n">
        <v>0.2318713036491129</v>
      </c>
      <c r="G4120" s="11">
        <f>E4120*Summary!$B$6</f>
        <v/>
      </c>
      <c r="H4120" s="11">
        <f>F4120*Summary!$B$7</f>
        <v/>
      </c>
      <c r="I4120" s="11">
        <f>MAX(0,N4120-M4120)</f>
        <v/>
      </c>
      <c r="J4120" s="11">
        <f>MAX(0,M4120-N4120)</f>
        <v/>
      </c>
      <c r="K4120" s="11">
        <f>O4120</f>
        <v/>
      </c>
      <c r="L4120" s="11">
        <f>L4119+IF(K4120&gt;0,K4120*Summary!$B$9,K4120/Summary!$B$9)</f>
        <v/>
      </c>
      <c r="M4120" s="11">
        <f>G4120+H4120</f>
        <v/>
      </c>
      <c r="N4120" s="11">
        <f>Summary!$C$16*Summary!$B$8</f>
        <v/>
      </c>
      <c r="O4120" s="11">
        <f>M4120-N4120</f>
        <v/>
      </c>
    </row>
    <row r="4121">
      <c r="A4121" s="9" t="n">
        <v>45463.625</v>
      </c>
      <c r="B4121" t="n">
        <v>6</v>
      </c>
      <c r="C4121" t="n">
        <v>20</v>
      </c>
      <c r="D4121" t="n">
        <v>15</v>
      </c>
      <c r="E4121" s="10" t="n">
        <v>0.363827</v>
      </c>
      <c r="F4121" s="10" t="n">
        <v>0.2383011931922863</v>
      </c>
      <c r="G4121" s="11">
        <f>E4121*Summary!$B$6</f>
        <v/>
      </c>
      <c r="H4121" s="11">
        <f>F4121*Summary!$B$7</f>
        <v/>
      </c>
      <c r="I4121" s="11">
        <f>MAX(0,N4121-M4121)</f>
        <v/>
      </c>
      <c r="J4121" s="11">
        <f>MAX(0,M4121-N4121)</f>
        <v/>
      </c>
      <c r="K4121" s="11">
        <f>O4121</f>
        <v/>
      </c>
      <c r="L4121" s="11">
        <f>L4120+IF(K4121&gt;0,K4121*Summary!$B$9,K4121/Summary!$B$9)</f>
        <v/>
      </c>
      <c r="M4121" s="11">
        <f>G4121+H4121</f>
        <v/>
      </c>
      <c r="N4121" s="11">
        <f>Summary!$C$16*Summary!$B$8</f>
        <v/>
      </c>
      <c r="O4121" s="11">
        <f>M4121-N4121</f>
        <v/>
      </c>
    </row>
    <row r="4122">
      <c r="A4122" s="9" t="n">
        <v>45463.66666666666</v>
      </c>
      <c r="B4122" t="n">
        <v>6</v>
      </c>
      <c r="C4122" t="n">
        <v>20</v>
      </c>
      <c r="D4122" t="n">
        <v>16</v>
      </c>
      <c r="E4122" s="10" t="n">
        <v>0.354535</v>
      </c>
      <c r="F4122" s="10" t="n">
        <v>0.2427019782484748</v>
      </c>
      <c r="G4122" s="11">
        <f>E4122*Summary!$B$6</f>
        <v/>
      </c>
      <c r="H4122" s="11">
        <f>F4122*Summary!$B$7</f>
        <v/>
      </c>
      <c r="I4122" s="11">
        <f>MAX(0,N4122-M4122)</f>
        <v/>
      </c>
      <c r="J4122" s="11">
        <f>MAX(0,M4122-N4122)</f>
        <v/>
      </c>
      <c r="K4122" s="11">
        <f>O4122</f>
        <v/>
      </c>
      <c r="L4122" s="11">
        <f>L4121+IF(K4122&gt;0,K4122*Summary!$B$9,K4122/Summary!$B$9)</f>
        <v/>
      </c>
      <c r="M4122" s="11">
        <f>G4122+H4122</f>
        <v/>
      </c>
      <c r="N4122" s="11">
        <f>Summary!$C$16*Summary!$B$8</f>
        <v/>
      </c>
      <c r="O4122" s="11">
        <f>M4122-N4122</f>
        <v/>
      </c>
    </row>
    <row r="4123">
      <c r="A4123" s="9" t="n">
        <v>45463.70833333334</v>
      </c>
      <c r="B4123" t="n">
        <v>6</v>
      </c>
      <c r="C4123" t="n">
        <v>20</v>
      </c>
      <c r="D4123" t="n">
        <v>17</v>
      </c>
      <c r="E4123" s="10" t="n">
        <v>0.2087</v>
      </c>
      <c r="F4123" s="10" t="n">
        <v>0.240303945672947</v>
      </c>
      <c r="G4123" s="11">
        <f>E4123*Summary!$B$6</f>
        <v/>
      </c>
      <c r="H4123" s="11">
        <f>F4123*Summary!$B$7</f>
        <v/>
      </c>
      <c r="I4123" s="11">
        <f>MAX(0,N4123-M4123)</f>
        <v/>
      </c>
      <c r="J4123" s="11">
        <f>MAX(0,M4123-N4123)</f>
        <v/>
      </c>
      <c r="K4123" s="11">
        <f>O4123</f>
        <v/>
      </c>
      <c r="L4123" s="11">
        <f>L4122+IF(K4123&gt;0,K4123*Summary!$B$9,K4123/Summary!$B$9)</f>
        <v/>
      </c>
      <c r="M4123" s="11">
        <f>G4123+H4123</f>
        <v/>
      </c>
      <c r="N4123" s="11">
        <f>Summary!$C$16*Summary!$B$8</f>
        <v/>
      </c>
      <c r="O4123" s="11">
        <f>M4123-N4123</f>
        <v/>
      </c>
    </row>
    <row r="4124">
      <c r="A4124" s="9" t="n">
        <v>45463.75</v>
      </c>
      <c r="B4124" t="n">
        <v>6</v>
      </c>
      <c r="C4124" t="n">
        <v>20</v>
      </c>
      <c r="D4124" t="n">
        <v>18</v>
      </c>
      <c r="E4124" s="10" t="n">
        <v>0.089478</v>
      </c>
      <c r="F4124" s="10" t="n">
        <v>0.237352520964605</v>
      </c>
      <c r="G4124" s="11">
        <f>E4124*Summary!$B$6</f>
        <v/>
      </c>
      <c r="H4124" s="11">
        <f>F4124*Summary!$B$7</f>
        <v/>
      </c>
      <c r="I4124" s="11">
        <f>MAX(0,N4124-M4124)</f>
        <v/>
      </c>
      <c r="J4124" s="11">
        <f>MAX(0,M4124-N4124)</f>
        <v/>
      </c>
      <c r="K4124" s="11">
        <f>O4124</f>
        <v/>
      </c>
      <c r="L4124" s="11">
        <f>L4123+IF(K4124&gt;0,K4124*Summary!$B$9,K4124/Summary!$B$9)</f>
        <v/>
      </c>
      <c r="M4124" s="11">
        <f>G4124+H4124</f>
        <v/>
      </c>
      <c r="N4124" s="11">
        <f>Summary!$C$16*Summary!$B$8</f>
        <v/>
      </c>
      <c r="O4124" s="11">
        <f>M4124-N4124</f>
        <v/>
      </c>
    </row>
    <row r="4125">
      <c r="A4125" s="9" t="n">
        <v>45463.79166666666</v>
      </c>
      <c r="B4125" t="n">
        <v>6</v>
      </c>
      <c r="C4125" t="n">
        <v>20</v>
      </c>
      <c r="D4125" t="n">
        <v>19</v>
      </c>
      <c r="E4125" s="10" t="n">
        <v>0.039665</v>
      </c>
      <c r="F4125" s="10" t="n">
        <v>0.2361403286736789</v>
      </c>
      <c r="G4125" s="11">
        <f>E4125*Summary!$B$6</f>
        <v/>
      </c>
      <c r="H4125" s="11">
        <f>F4125*Summary!$B$7</f>
        <v/>
      </c>
      <c r="I4125" s="11">
        <f>MAX(0,N4125-M4125)</f>
        <v/>
      </c>
      <c r="J4125" s="11">
        <f>MAX(0,M4125-N4125)</f>
        <v/>
      </c>
      <c r="K4125" s="11">
        <f>O4125</f>
        <v/>
      </c>
      <c r="L4125" s="11">
        <f>L4124+IF(K4125&gt;0,K4125*Summary!$B$9,K4125/Summary!$B$9)</f>
        <v/>
      </c>
      <c r="M4125" s="11">
        <f>G4125+H4125</f>
        <v/>
      </c>
      <c r="N4125" s="11">
        <f>Summary!$C$16*Summary!$B$8</f>
        <v/>
      </c>
      <c r="O4125" s="11">
        <f>M4125-N4125</f>
        <v/>
      </c>
    </row>
    <row r="4126">
      <c r="A4126" s="9" t="n">
        <v>45463.83333333334</v>
      </c>
      <c r="B4126" t="n">
        <v>6</v>
      </c>
      <c r="C4126" t="n">
        <v>20</v>
      </c>
      <c r="D4126" t="n">
        <v>20</v>
      </c>
      <c r="E4126" s="10" t="n">
        <v>0.00754</v>
      </c>
      <c r="F4126" s="10" t="n">
        <v>0.2510028602406865</v>
      </c>
      <c r="G4126" s="11">
        <f>E4126*Summary!$B$6</f>
        <v/>
      </c>
      <c r="H4126" s="11">
        <f>F4126*Summary!$B$7</f>
        <v/>
      </c>
      <c r="I4126" s="11">
        <f>MAX(0,N4126-M4126)</f>
        <v/>
      </c>
      <c r="J4126" s="11">
        <f>MAX(0,M4126-N4126)</f>
        <v/>
      </c>
      <c r="K4126" s="11">
        <f>O4126</f>
        <v/>
      </c>
      <c r="L4126" s="11">
        <f>L4125+IF(K4126&gt;0,K4126*Summary!$B$9,K4126/Summary!$B$9)</f>
        <v/>
      </c>
      <c r="M4126" s="11">
        <f>G4126+H4126</f>
        <v/>
      </c>
      <c r="N4126" s="11">
        <f>Summary!$C$16*Summary!$B$8</f>
        <v/>
      </c>
      <c r="O4126" s="11">
        <f>M4126-N4126</f>
        <v/>
      </c>
    </row>
    <row r="4127">
      <c r="A4127" s="9" t="n">
        <v>45463.875</v>
      </c>
      <c r="B4127" t="n">
        <v>6</v>
      </c>
      <c r="C4127" t="n">
        <v>20</v>
      </c>
      <c r="D4127" t="n">
        <v>21</v>
      </c>
      <c r="E4127" s="10" t="n">
        <v>0</v>
      </c>
      <c r="F4127" s="10" t="n">
        <v>0.2669985280796467</v>
      </c>
      <c r="G4127" s="11">
        <f>E4127*Summary!$B$6</f>
        <v/>
      </c>
      <c r="H4127" s="11">
        <f>F4127*Summary!$B$7</f>
        <v/>
      </c>
      <c r="I4127" s="11">
        <f>MAX(0,N4127-M4127)</f>
        <v/>
      </c>
      <c r="J4127" s="11">
        <f>MAX(0,M4127-N4127)</f>
        <v/>
      </c>
      <c r="K4127" s="11">
        <f>O4127</f>
        <v/>
      </c>
      <c r="L4127" s="11">
        <f>L4126+IF(K4127&gt;0,K4127*Summary!$B$9,K4127/Summary!$B$9)</f>
        <v/>
      </c>
      <c r="M4127" s="11">
        <f>G4127+H4127</f>
        <v/>
      </c>
      <c r="N4127" s="11">
        <f>Summary!$C$16*Summary!$B$8</f>
        <v/>
      </c>
      <c r="O4127" s="11">
        <f>M4127-N4127</f>
        <v/>
      </c>
    </row>
    <row r="4128">
      <c r="A4128" s="9" t="n">
        <v>45463.91666666666</v>
      </c>
      <c r="B4128" t="n">
        <v>6</v>
      </c>
      <c r="C4128" t="n">
        <v>20</v>
      </c>
      <c r="D4128" t="n">
        <v>22</v>
      </c>
      <c r="E4128" s="10" t="n">
        <v>0</v>
      </c>
      <c r="F4128" s="10" t="n">
        <v>0.2831786599628784</v>
      </c>
      <c r="G4128" s="11">
        <f>E4128*Summary!$B$6</f>
        <v/>
      </c>
      <c r="H4128" s="11">
        <f>F4128*Summary!$B$7</f>
        <v/>
      </c>
      <c r="I4128" s="11">
        <f>MAX(0,N4128-M4128)</f>
        <v/>
      </c>
      <c r="J4128" s="11">
        <f>MAX(0,M4128-N4128)</f>
        <v/>
      </c>
      <c r="K4128" s="11">
        <f>O4128</f>
        <v/>
      </c>
      <c r="L4128" s="11">
        <f>L4127+IF(K4128&gt;0,K4128*Summary!$B$9,K4128/Summary!$B$9)</f>
        <v/>
      </c>
      <c r="M4128" s="11">
        <f>G4128+H4128</f>
        <v/>
      </c>
      <c r="N4128" s="11">
        <f>Summary!$C$16*Summary!$B$8</f>
        <v/>
      </c>
      <c r="O4128" s="11">
        <f>M4128-N4128</f>
        <v/>
      </c>
    </row>
    <row r="4129">
      <c r="A4129" s="9" t="n">
        <v>45463.95833333334</v>
      </c>
      <c r="B4129" t="n">
        <v>6</v>
      </c>
      <c r="C4129" t="n">
        <v>20</v>
      </c>
      <c r="D4129" t="n">
        <v>23</v>
      </c>
      <c r="E4129" s="10" t="n">
        <v>0</v>
      </c>
      <c r="F4129" s="10" t="n">
        <v>0.2911369658728718</v>
      </c>
      <c r="G4129" s="11">
        <f>E4129*Summary!$B$6</f>
        <v/>
      </c>
      <c r="H4129" s="11">
        <f>F4129*Summary!$B$7</f>
        <v/>
      </c>
      <c r="I4129" s="11">
        <f>MAX(0,N4129-M4129)</f>
        <v/>
      </c>
      <c r="J4129" s="11">
        <f>MAX(0,M4129-N4129)</f>
        <v/>
      </c>
      <c r="K4129" s="11">
        <f>O4129</f>
        <v/>
      </c>
      <c r="L4129" s="11">
        <f>L4128+IF(K4129&gt;0,K4129*Summary!$B$9,K4129/Summary!$B$9)</f>
        <v/>
      </c>
      <c r="M4129" s="11">
        <f>G4129+H4129</f>
        <v/>
      </c>
      <c r="N4129" s="11">
        <f>Summary!$C$16*Summary!$B$8</f>
        <v/>
      </c>
      <c r="O4129" s="11">
        <f>M4129-N4129</f>
        <v/>
      </c>
    </row>
    <row r="4130">
      <c r="A4130" s="9" t="n">
        <v>45464</v>
      </c>
      <c r="B4130" t="n">
        <v>6</v>
      </c>
      <c r="C4130" t="n">
        <v>21</v>
      </c>
      <c r="D4130" t="n">
        <v>0</v>
      </c>
      <c r="E4130" s="10" t="n">
        <v>0</v>
      </c>
      <c r="F4130" s="10" t="n">
        <v>0.2528475006834002</v>
      </c>
      <c r="G4130" s="11">
        <f>E4130*Summary!$B$6</f>
        <v/>
      </c>
      <c r="H4130" s="11">
        <f>F4130*Summary!$B$7</f>
        <v/>
      </c>
      <c r="I4130" s="11">
        <f>MAX(0,N4130-M4130)</f>
        <v/>
      </c>
      <c r="J4130" s="11">
        <f>MAX(0,M4130-N4130)</f>
        <v/>
      </c>
      <c r="K4130" s="11">
        <f>O4130</f>
        <v/>
      </c>
      <c r="L4130" s="11">
        <f>L4129+IF(K4130&gt;0,K4130*Summary!$B$9,K4130/Summary!$B$9)</f>
        <v/>
      </c>
      <c r="M4130" s="11">
        <f>G4130+H4130</f>
        <v/>
      </c>
      <c r="N4130" s="11">
        <f>Summary!$C$16*Summary!$B$8</f>
        <v/>
      </c>
      <c r="O4130" s="11">
        <f>M4130-N4130</f>
        <v/>
      </c>
    </row>
    <row r="4131">
      <c r="A4131" s="9" t="n">
        <v>45464.04166666666</v>
      </c>
      <c r="B4131" t="n">
        <v>6</v>
      </c>
      <c r="C4131" t="n">
        <v>21</v>
      </c>
      <c r="D4131" t="n">
        <v>1</v>
      </c>
      <c r="E4131" s="10" t="n">
        <v>0</v>
      </c>
      <c r="F4131" s="10" t="n">
        <v>0.2940883905812137</v>
      </c>
      <c r="G4131" s="11">
        <f>E4131*Summary!$B$6</f>
        <v/>
      </c>
      <c r="H4131" s="11">
        <f>F4131*Summary!$B$7</f>
        <v/>
      </c>
      <c r="I4131" s="11">
        <f>MAX(0,N4131-M4131)</f>
        <v/>
      </c>
      <c r="J4131" s="11">
        <f>MAX(0,M4131-N4131)</f>
        <v/>
      </c>
      <c r="K4131" s="11">
        <f>O4131</f>
        <v/>
      </c>
      <c r="L4131" s="11">
        <f>L4130+IF(K4131&gt;0,K4131*Summary!$B$9,K4131/Summary!$B$9)</f>
        <v/>
      </c>
      <c r="M4131" s="11">
        <f>G4131+H4131</f>
        <v/>
      </c>
      <c r="N4131" s="11">
        <f>Summary!$C$16*Summary!$B$8</f>
        <v/>
      </c>
      <c r="O4131" s="11">
        <f>M4131-N4131</f>
        <v/>
      </c>
    </row>
    <row r="4132">
      <c r="A4132" s="9" t="n">
        <v>45464.08333333334</v>
      </c>
      <c r="B4132" t="n">
        <v>6</v>
      </c>
      <c r="C4132" t="n">
        <v>21</v>
      </c>
      <c r="D4132" t="n">
        <v>2</v>
      </c>
      <c r="E4132" s="10" t="n">
        <v>0</v>
      </c>
      <c r="F4132" s="10" t="n">
        <v>0.2828097318743356</v>
      </c>
      <c r="G4132" s="11">
        <f>E4132*Summary!$B$6</f>
        <v/>
      </c>
      <c r="H4132" s="11">
        <f>F4132*Summary!$B$7</f>
        <v/>
      </c>
      <c r="I4132" s="11">
        <f>MAX(0,N4132-M4132)</f>
        <v/>
      </c>
      <c r="J4132" s="11">
        <f>MAX(0,M4132-N4132)</f>
        <v/>
      </c>
      <c r="K4132" s="11">
        <f>O4132</f>
        <v/>
      </c>
      <c r="L4132" s="11">
        <f>L4131+IF(K4132&gt;0,K4132*Summary!$B$9,K4132/Summary!$B$9)</f>
        <v/>
      </c>
      <c r="M4132" s="11">
        <f>G4132+H4132</f>
        <v/>
      </c>
      <c r="N4132" s="11">
        <f>Summary!$C$16*Summary!$B$8</f>
        <v/>
      </c>
      <c r="O4132" s="11">
        <f>M4132-N4132</f>
        <v/>
      </c>
    </row>
    <row r="4133">
      <c r="A4133" s="9" t="n">
        <v>45464.125</v>
      </c>
      <c r="B4133" t="n">
        <v>6</v>
      </c>
      <c r="C4133" t="n">
        <v>21</v>
      </c>
      <c r="D4133" t="n">
        <v>3</v>
      </c>
      <c r="E4133" s="10" t="n">
        <v>0</v>
      </c>
      <c r="F4133" s="10" t="n">
        <v>0.2589611661506799</v>
      </c>
      <c r="G4133" s="11">
        <f>E4133*Summary!$B$6</f>
        <v/>
      </c>
      <c r="H4133" s="11">
        <f>F4133*Summary!$B$7</f>
        <v/>
      </c>
      <c r="I4133" s="11">
        <f>MAX(0,N4133-M4133)</f>
        <v/>
      </c>
      <c r="J4133" s="11">
        <f>MAX(0,M4133-N4133)</f>
        <v/>
      </c>
      <c r="K4133" s="11">
        <f>O4133</f>
        <v/>
      </c>
      <c r="L4133" s="11">
        <f>L4132+IF(K4133&gt;0,K4133*Summary!$B$9,K4133/Summary!$B$9)</f>
        <v/>
      </c>
      <c r="M4133" s="11">
        <f>G4133+H4133</f>
        <v/>
      </c>
      <c r="N4133" s="11">
        <f>Summary!$C$16*Summary!$B$8</f>
        <v/>
      </c>
      <c r="O4133" s="11">
        <f>M4133-N4133</f>
        <v/>
      </c>
    </row>
    <row r="4134">
      <c r="A4134" s="9" t="n">
        <v>45464.16666666666</v>
      </c>
      <c r="B4134" t="n">
        <v>6</v>
      </c>
      <c r="C4134" t="n">
        <v>21</v>
      </c>
      <c r="D4134" t="n">
        <v>4</v>
      </c>
      <c r="E4134" s="10" t="n">
        <v>0.02953</v>
      </c>
      <c r="F4134" s="10" t="n">
        <v>0.2356132885471892</v>
      </c>
      <c r="G4134" s="11">
        <f>E4134*Summary!$B$6</f>
        <v/>
      </c>
      <c r="H4134" s="11">
        <f>F4134*Summary!$B$7</f>
        <v/>
      </c>
      <c r="I4134" s="11">
        <f>MAX(0,N4134-M4134)</f>
        <v/>
      </c>
      <c r="J4134" s="11">
        <f>MAX(0,M4134-N4134)</f>
        <v/>
      </c>
      <c r="K4134" s="11">
        <f>O4134</f>
        <v/>
      </c>
      <c r="L4134" s="11">
        <f>L4133+IF(K4134&gt;0,K4134*Summary!$B$9,K4134/Summary!$B$9)</f>
        <v/>
      </c>
      <c r="M4134" s="11">
        <f>G4134+H4134</f>
        <v/>
      </c>
      <c r="N4134" s="11">
        <f>Summary!$C$16*Summary!$B$8</f>
        <v/>
      </c>
      <c r="O4134" s="11">
        <f>M4134-N4134</f>
        <v/>
      </c>
    </row>
    <row r="4135">
      <c r="A4135" s="9" t="n">
        <v>45464.20833333334</v>
      </c>
      <c r="B4135" t="n">
        <v>6</v>
      </c>
      <c r="C4135" t="n">
        <v>21</v>
      </c>
      <c r="D4135" t="n">
        <v>5</v>
      </c>
      <c r="E4135" s="10" t="n">
        <v>0.046372</v>
      </c>
      <c r="F4135" s="10" t="n">
        <v>0.209498450279628</v>
      </c>
      <c r="G4135" s="11">
        <f>E4135*Summary!$B$6</f>
        <v/>
      </c>
      <c r="H4135" s="11">
        <f>F4135*Summary!$B$7</f>
        <v/>
      </c>
      <c r="I4135" s="11">
        <f>MAX(0,N4135-M4135)</f>
        <v/>
      </c>
      <c r="J4135" s="11">
        <f>MAX(0,M4135-N4135)</f>
        <v/>
      </c>
      <c r="K4135" s="11">
        <f>O4135</f>
        <v/>
      </c>
      <c r="L4135" s="11">
        <f>L4134+IF(K4135&gt;0,K4135*Summary!$B$9,K4135/Summary!$B$9)</f>
        <v/>
      </c>
      <c r="M4135" s="11">
        <f>G4135+H4135</f>
        <v/>
      </c>
      <c r="N4135" s="11">
        <f>Summary!$C$16*Summary!$B$8</f>
        <v/>
      </c>
      <c r="O4135" s="11">
        <f>M4135-N4135</f>
        <v/>
      </c>
    </row>
    <row r="4136">
      <c r="A4136" s="9" t="n">
        <v>45464.25</v>
      </c>
      <c r="B4136" t="n">
        <v>6</v>
      </c>
      <c r="C4136" t="n">
        <v>21</v>
      </c>
      <c r="D4136" t="n">
        <v>6</v>
      </c>
      <c r="E4136" s="10" t="n">
        <v>0.052328</v>
      </c>
      <c r="F4136" s="10" t="n">
        <v>0.1868093728342494</v>
      </c>
      <c r="G4136" s="11">
        <f>E4136*Summary!$B$6</f>
        <v/>
      </c>
      <c r="H4136" s="11">
        <f>F4136*Summary!$B$7</f>
        <v/>
      </c>
      <c r="I4136" s="11">
        <f>MAX(0,N4136-M4136)</f>
        <v/>
      </c>
      <c r="J4136" s="11">
        <f>MAX(0,M4136-N4136)</f>
        <v/>
      </c>
      <c r="K4136" s="11">
        <f>O4136</f>
        <v/>
      </c>
      <c r="L4136" s="11">
        <f>L4135+IF(K4136&gt;0,K4136*Summary!$B$9,K4136/Summary!$B$9)</f>
        <v/>
      </c>
      <c r="M4136" s="11">
        <f>G4136+H4136</f>
        <v/>
      </c>
      <c r="N4136" s="11">
        <f>Summary!$C$16*Summary!$B$8</f>
        <v/>
      </c>
      <c r="O4136" s="11">
        <f>M4136-N4136</f>
        <v/>
      </c>
    </row>
    <row r="4137">
      <c r="A4137" s="9" t="n">
        <v>45464.29166666666</v>
      </c>
      <c r="B4137" t="n">
        <v>6</v>
      </c>
      <c r="C4137" t="n">
        <v>21</v>
      </c>
      <c r="D4137" t="n">
        <v>7</v>
      </c>
      <c r="E4137" s="10" t="n">
        <v>0.101837</v>
      </c>
      <c r="F4137" s="10" t="n">
        <v>0.1739495937479025</v>
      </c>
      <c r="G4137" s="11">
        <f>E4137*Summary!$B$6</f>
        <v/>
      </c>
      <c r="H4137" s="11">
        <f>F4137*Summary!$B$7</f>
        <v/>
      </c>
      <c r="I4137" s="11">
        <f>MAX(0,N4137-M4137)</f>
        <v/>
      </c>
      <c r="J4137" s="11">
        <f>MAX(0,M4137-N4137)</f>
        <v/>
      </c>
      <c r="K4137" s="11">
        <f>O4137</f>
        <v/>
      </c>
      <c r="L4137" s="11">
        <f>L4136+IF(K4137&gt;0,K4137*Summary!$B$9,K4137/Summary!$B$9)</f>
        <v/>
      </c>
      <c r="M4137" s="11">
        <f>G4137+H4137</f>
        <v/>
      </c>
      <c r="N4137" s="11">
        <f>Summary!$C$16*Summary!$B$8</f>
        <v/>
      </c>
      <c r="O4137" s="11">
        <f>M4137-N4137</f>
        <v/>
      </c>
    </row>
    <row r="4138">
      <c r="A4138" s="9" t="n">
        <v>45464.33333333334</v>
      </c>
      <c r="B4138" t="n">
        <v>6</v>
      </c>
      <c r="C4138" t="n">
        <v>21</v>
      </c>
      <c r="D4138" t="n">
        <v>8</v>
      </c>
      <c r="E4138" s="10" t="n">
        <v>0.09862</v>
      </c>
      <c r="F4138" s="10" t="n">
        <v>0.1831991479677955</v>
      </c>
      <c r="G4138" s="11">
        <f>E4138*Summary!$B$6</f>
        <v/>
      </c>
      <c r="H4138" s="11">
        <f>F4138*Summary!$B$7</f>
        <v/>
      </c>
      <c r="I4138" s="11">
        <f>MAX(0,N4138-M4138)</f>
        <v/>
      </c>
      <c r="J4138" s="11">
        <f>MAX(0,M4138-N4138)</f>
        <v/>
      </c>
      <c r="K4138" s="11">
        <f>O4138</f>
        <v/>
      </c>
      <c r="L4138" s="11">
        <f>L4137+IF(K4138&gt;0,K4138*Summary!$B$9,K4138/Summary!$B$9)</f>
        <v/>
      </c>
      <c r="M4138" s="11">
        <f>G4138+H4138</f>
        <v/>
      </c>
      <c r="N4138" s="11">
        <f>Summary!$C$16*Summary!$B$8</f>
        <v/>
      </c>
      <c r="O4138" s="11">
        <f>M4138-N4138</f>
        <v/>
      </c>
    </row>
    <row r="4139">
      <c r="A4139" s="9" t="n">
        <v>45464.375</v>
      </c>
      <c r="B4139" t="n">
        <v>6</v>
      </c>
      <c r="C4139" t="n">
        <v>21</v>
      </c>
      <c r="D4139" t="n">
        <v>9</v>
      </c>
      <c r="E4139" s="10" t="n">
        <v>0.08987000000000001</v>
      </c>
      <c r="F4139" s="10" t="n">
        <v>0.1698913847739323</v>
      </c>
      <c r="G4139" s="11">
        <f>E4139*Summary!$B$6</f>
        <v/>
      </c>
      <c r="H4139" s="11">
        <f>F4139*Summary!$B$7</f>
        <v/>
      </c>
      <c r="I4139" s="11">
        <f>MAX(0,N4139-M4139)</f>
        <v/>
      </c>
      <c r="J4139" s="11">
        <f>MAX(0,M4139-N4139)</f>
        <v/>
      </c>
      <c r="K4139" s="11">
        <f>O4139</f>
        <v/>
      </c>
      <c r="L4139" s="11">
        <f>L4138+IF(K4139&gt;0,K4139*Summary!$B$9,K4139/Summary!$B$9)</f>
        <v/>
      </c>
      <c r="M4139" s="11">
        <f>G4139+H4139</f>
        <v/>
      </c>
      <c r="N4139" s="11">
        <f>Summary!$C$16*Summary!$B$8</f>
        <v/>
      </c>
      <c r="O4139" s="11">
        <f>M4139-N4139</f>
        <v/>
      </c>
    </row>
    <row r="4140">
      <c r="A4140" s="9" t="n">
        <v>45464.41666666666</v>
      </c>
      <c r="B4140" t="n">
        <v>6</v>
      </c>
      <c r="C4140" t="n">
        <v>21</v>
      </c>
      <c r="D4140" t="n">
        <v>10</v>
      </c>
      <c r="E4140" s="10" t="n">
        <v>0.150719</v>
      </c>
      <c r="F4140" s="10" t="n">
        <v>0.1816970836073001</v>
      </c>
      <c r="G4140" s="11">
        <f>E4140*Summary!$B$6</f>
        <v/>
      </c>
      <c r="H4140" s="11">
        <f>F4140*Summary!$B$7</f>
        <v/>
      </c>
      <c r="I4140" s="11">
        <f>MAX(0,N4140-M4140)</f>
        <v/>
      </c>
      <c r="J4140" s="11">
        <f>MAX(0,M4140-N4140)</f>
        <v/>
      </c>
      <c r="K4140" s="11">
        <f>O4140</f>
        <v/>
      </c>
      <c r="L4140" s="11">
        <f>L4139+IF(K4140&gt;0,K4140*Summary!$B$9,K4140/Summary!$B$9)</f>
        <v/>
      </c>
      <c r="M4140" s="11">
        <f>G4140+H4140</f>
        <v/>
      </c>
      <c r="N4140" s="11">
        <f>Summary!$C$16*Summary!$B$8</f>
        <v/>
      </c>
      <c r="O4140" s="11">
        <f>M4140-N4140</f>
        <v/>
      </c>
    </row>
    <row r="4141">
      <c r="A4141" s="9" t="n">
        <v>45464.45833333334</v>
      </c>
      <c r="B4141" t="n">
        <v>6</v>
      </c>
      <c r="C4141" t="n">
        <v>21</v>
      </c>
      <c r="D4141" t="n">
        <v>11</v>
      </c>
      <c r="E4141" s="10" t="n">
        <v>0.376751</v>
      </c>
      <c r="F4141" s="10" t="n">
        <v>0.1828302198792528</v>
      </c>
      <c r="G4141" s="11">
        <f>E4141*Summary!$B$6</f>
        <v/>
      </c>
      <c r="H4141" s="11">
        <f>F4141*Summary!$B$7</f>
        <v/>
      </c>
      <c r="I4141" s="11">
        <f>MAX(0,N4141-M4141)</f>
        <v/>
      </c>
      <c r="J4141" s="11">
        <f>MAX(0,M4141-N4141)</f>
        <v/>
      </c>
      <c r="K4141" s="11">
        <f>O4141</f>
        <v/>
      </c>
      <c r="L4141" s="11">
        <f>L4140+IF(K4141&gt;0,K4141*Summary!$B$9,K4141/Summary!$B$9)</f>
        <v/>
      </c>
      <c r="M4141" s="11">
        <f>G4141+H4141</f>
        <v/>
      </c>
      <c r="N4141" s="11">
        <f>Summary!$C$16*Summary!$B$8</f>
        <v/>
      </c>
      <c r="O4141" s="11">
        <f>M4141-N4141</f>
        <v/>
      </c>
    </row>
    <row r="4142">
      <c r="A4142" s="9" t="n">
        <v>45464.5</v>
      </c>
      <c r="B4142" t="n">
        <v>6</v>
      </c>
      <c r="C4142" t="n">
        <v>21</v>
      </c>
      <c r="D4142" t="n">
        <v>12</v>
      </c>
      <c r="E4142" s="10" t="n">
        <v>0.559384</v>
      </c>
      <c r="F4142" s="10" t="n">
        <v>0.1865458527710047</v>
      </c>
      <c r="G4142" s="11">
        <f>E4142*Summary!$B$6</f>
        <v/>
      </c>
      <c r="H4142" s="11">
        <f>F4142*Summary!$B$7</f>
        <v/>
      </c>
      <c r="I4142" s="11">
        <f>MAX(0,N4142-M4142)</f>
        <v/>
      </c>
      <c r="J4142" s="11">
        <f>MAX(0,M4142-N4142)</f>
        <v/>
      </c>
      <c r="K4142" s="11">
        <f>O4142</f>
        <v/>
      </c>
      <c r="L4142" s="11">
        <f>L4141+IF(K4142&gt;0,K4142*Summary!$B$9,K4142/Summary!$B$9)</f>
        <v/>
      </c>
      <c r="M4142" s="11">
        <f>G4142+H4142</f>
        <v/>
      </c>
      <c r="N4142" s="11">
        <f>Summary!$C$16*Summary!$B$8</f>
        <v/>
      </c>
      <c r="O4142" s="11">
        <f>M4142-N4142</f>
        <v/>
      </c>
    </row>
    <row r="4143">
      <c r="A4143" s="9" t="n">
        <v>45464.54166666666</v>
      </c>
      <c r="B4143" t="n">
        <v>6</v>
      </c>
      <c r="C4143" t="n">
        <v>21</v>
      </c>
      <c r="D4143" t="n">
        <v>13</v>
      </c>
      <c r="E4143" s="10" t="n">
        <v>0.304941</v>
      </c>
      <c r="F4143" s="10" t="n">
        <v>0.1892074054097773</v>
      </c>
      <c r="G4143" s="11">
        <f>E4143*Summary!$B$6</f>
        <v/>
      </c>
      <c r="H4143" s="11">
        <f>F4143*Summary!$B$7</f>
        <v/>
      </c>
      <c r="I4143" s="11">
        <f>MAX(0,N4143-M4143)</f>
        <v/>
      </c>
      <c r="J4143" s="11">
        <f>MAX(0,M4143-N4143)</f>
        <v/>
      </c>
      <c r="K4143" s="11">
        <f>O4143</f>
        <v/>
      </c>
      <c r="L4143" s="11">
        <f>L4142+IF(K4143&gt;0,K4143*Summary!$B$9,K4143/Summary!$B$9)</f>
        <v/>
      </c>
      <c r="M4143" s="11">
        <f>G4143+H4143</f>
        <v/>
      </c>
      <c r="N4143" s="11">
        <f>Summary!$C$16*Summary!$B$8</f>
        <v/>
      </c>
      <c r="O4143" s="11">
        <f>M4143-N4143</f>
        <v/>
      </c>
    </row>
    <row r="4144">
      <c r="A4144" s="9" t="n">
        <v>45464.58333333334</v>
      </c>
      <c r="B4144" t="n">
        <v>6</v>
      </c>
      <c r="C4144" t="n">
        <v>21</v>
      </c>
      <c r="D4144" t="n">
        <v>14</v>
      </c>
      <c r="E4144" s="10" t="n">
        <v>0.326704</v>
      </c>
      <c r="F4144" s="10" t="n">
        <v>0.1926595182382844</v>
      </c>
      <c r="G4144" s="11">
        <f>E4144*Summary!$B$6</f>
        <v/>
      </c>
      <c r="H4144" s="11">
        <f>F4144*Summary!$B$7</f>
        <v/>
      </c>
      <c r="I4144" s="11">
        <f>MAX(0,N4144-M4144)</f>
        <v/>
      </c>
      <c r="J4144" s="11">
        <f>MAX(0,M4144-N4144)</f>
        <v/>
      </c>
      <c r="K4144" s="11">
        <f>O4144</f>
        <v/>
      </c>
      <c r="L4144" s="11">
        <f>L4143+IF(K4144&gt;0,K4144*Summary!$B$9,K4144/Summary!$B$9)</f>
        <v/>
      </c>
      <c r="M4144" s="11">
        <f>G4144+H4144</f>
        <v/>
      </c>
      <c r="N4144" s="11">
        <f>Summary!$C$16*Summary!$B$8</f>
        <v/>
      </c>
      <c r="O4144" s="11">
        <f>M4144-N4144</f>
        <v/>
      </c>
    </row>
    <row r="4145">
      <c r="A4145" s="9" t="n">
        <v>45464.625</v>
      </c>
      <c r="B4145" t="n">
        <v>6</v>
      </c>
      <c r="C4145" t="n">
        <v>21</v>
      </c>
      <c r="D4145" t="n">
        <v>15</v>
      </c>
      <c r="E4145" s="10" t="n">
        <v>0.139524</v>
      </c>
      <c r="F4145" s="10" t="n">
        <v>0.1962960951110628</v>
      </c>
      <c r="G4145" s="11">
        <f>E4145*Summary!$B$6</f>
        <v/>
      </c>
      <c r="H4145" s="11">
        <f>F4145*Summary!$B$7</f>
        <v/>
      </c>
      <c r="I4145" s="11">
        <f>MAX(0,N4145-M4145)</f>
        <v/>
      </c>
      <c r="J4145" s="11">
        <f>MAX(0,M4145-N4145)</f>
        <v/>
      </c>
      <c r="K4145" s="11">
        <f>O4145</f>
        <v/>
      </c>
      <c r="L4145" s="11">
        <f>L4144+IF(K4145&gt;0,K4145*Summary!$B$9,K4145/Summary!$B$9)</f>
        <v/>
      </c>
      <c r="M4145" s="11">
        <f>G4145+H4145</f>
        <v/>
      </c>
      <c r="N4145" s="11">
        <f>Summary!$C$16*Summary!$B$8</f>
        <v/>
      </c>
      <c r="O4145" s="11">
        <f>M4145-N4145</f>
        <v/>
      </c>
    </row>
    <row r="4146">
      <c r="A4146" s="9" t="n">
        <v>45464.66666666666</v>
      </c>
      <c r="B4146" t="n">
        <v>6</v>
      </c>
      <c r="C4146" t="n">
        <v>21</v>
      </c>
      <c r="D4146" t="n">
        <v>16</v>
      </c>
      <c r="E4146" s="10" t="n">
        <v>0.175313</v>
      </c>
      <c r="F4146" s="10" t="n">
        <v>0.1929757423141782</v>
      </c>
      <c r="G4146" s="11">
        <f>E4146*Summary!$B$6</f>
        <v/>
      </c>
      <c r="H4146" s="11">
        <f>F4146*Summary!$B$7</f>
        <v/>
      </c>
      <c r="I4146" s="11">
        <f>MAX(0,N4146-M4146)</f>
        <v/>
      </c>
      <c r="J4146" s="11">
        <f>MAX(0,M4146-N4146)</f>
        <v/>
      </c>
      <c r="K4146" s="11">
        <f>O4146</f>
        <v/>
      </c>
      <c r="L4146" s="11">
        <f>L4145+IF(K4146&gt;0,K4146*Summary!$B$9,K4146/Summary!$B$9)</f>
        <v/>
      </c>
      <c r="M4146" s="11">
        <f>G4146+H4146</f>
        <v/>
      </c>
      <c r="N4146" s="11">
        <f>Summary!$C$16*Summary!$B$8</f>
        <v/>
      </c>
      <c r="O4146" s="11">
        <f>M4146-N4146</f>
        <v/>
      </c>
    </row>
    <row r="4147">
      <c r="A4147" s="9" t="n">
        <v>45464.70833333334</v>
      </c>
      <c r="B4147" t="n">
        <v>6</v>
      </c>
      <c r="C4147" t="n">
        <v>21</v>
      </c>
      <c r="D4147" t="n">
        <v>17</v>
      </c>
      <c r="E4147" s="10" t="n">
        <v>0.070865</v>
      </c>
      <c r="F4147" s="10" t="n">
        <v>0.1978508634842072</v>
      </c>
      <c r="G4147" s="11">
        <f>E4147*Summary!$B$6</f>
        <v/>
      </c>
      <c r="H4147" s="11">
        <f>F4147*Summary!$B$7</f>
        <v/>
      </c>
      <c r="I4147" s="11">
        <f>MAX(0,N4147-M4147)</f>
        <v/>
      </c>
      <c r="J4147" s="11">
        <f>MAX(0,M4147-N4147)</f>
        <v/>
      </c>
      <c r="K4147" s="11">
        <f>O4147</f>
        <v/>
      </c>
      <c r="L4147" s="11">
        <f>L4146+IF(K4147&gt;0,K4147*Summary!$B$9,K4147/Summary!$B$9)</f>
        <v/>
      </c>
      <c r="M4147" s="11">
        <f>G4147+H4147</f>
        <v/>
      </c>
      <c r="N4147" s="11">
        <f>Summary!$C$16*Summary!$B$8</f>
        <v/>
      </c>
      <c r="O4147" s="11">
        <f>M4147-N4147</f>
        <v/>
      </c>
    </row>
    <row r="4148">
      <c r="A4148" s="9" t="n">
        <v>45464.75</v>
      </c>
      <c r="B4148" t="n">
        <v>6</v>
      </c>
      <c r="C4148" t="n">
        <v>21</v>
      </c>
      <c r="D4148" t="n">
        <v>18</v>
      </c>
      <c r="E4148" s="10" t="n">
        <v>0.050901</v>
      </c>
      <c r="F4148" s="10" t="n">
        <v>0.1949784947948388</v>
      </c>
      <c r="G4148" s="11">
        <f>E4148*Summary!$B$6</f>
        <v/>
      </c>
      <c r="H4148" s="11">
        <f>F4148*Summary!$B$7</f>
        <v/>
      </c>
      <c r="I4148" s="11">
        <f>MAX(0,N4148-M4148)</f>
        <v/>
      </c>
      <c r="J4148" s="11">
        <f>MAX(0,M4148-N4148)</f>
        <v/>
      </c>
      <c r="K4148" s="11">
        <f>O4148</f>
        <v/>
      </c>
      <c r="L4148" s="11">
        <f>L4147+IF(K4148&gt;0,K4148*Summary!$B$9,K4148/Summary!$B$9)</f>
        <v/>
      </c>
      <c r="M4148" s="11">
        <f>G4148+H4148</f>
        <v/>
      </c>
      <c r="N4148" s="11">
        <f>Summary!$C$16*Summary!$B$8</f>
        <v/>
      </c>
      <c r="O4148" s="11">
        <f>M4148-N4148</f>
        <v/>
      </c>
    </row>
    <row r="4149">
      <c r="A4149" s="9" t="n">
        <v>45464.79166666666</v>
      </c>
      <c r="B4149" t="n">
        <v>6</v>
      </c>
      <c r="C4149" t="n">
        <v>21</v>
      </c>
      <c r="D4149" t="n">
        <v>19</v>
      </c>
      <c r="E4149" s="10" t="n">
        <v>0.021568</v>
      </c>
      <c r="F4149" s="10" t="n">
        <v>0.1962697431047384</v>
      </c>
      <c r="G4149" s="11">
        <f>E4149*Summary!$B$6</f>
        <v/>
      </c>
      <c r="H4149" s="11">
        <f>F4149*Summary!$B$7</f>
        <v/>
      </c>
      <c r="I4149" s="11">
        <f>MAX(0,N4149-M4149)</f>
        <v/>
      </c>
      <c r="J4149" s="11">
        <f>MAX(0,M4149-N4149)</f>
        <v/>
      </c>
      <c r="K4149" s="11">
        <f>O4149</f>
        <v/>
      </c>
      <c r="L4149" s="11">
        <f>L4148+IF(K4149&gt;0,K4149*Summary!$B$9,K4149/Summary!$B$9)</f>
        <v/>
      </c>
      <c r="M4149" s="11">
        <f>G4149+H4149</f>
        <v/>
      </c>
      <c r="N4149" s="11">
        <f>Summary!$C$16*Summary!$B$8</f>
        <v/>
      </c>
      <c r="O4149" s="11">
        <f>M4149-N4149</f>
        <v/>
      </c>
    </row>
    <row r="4150">
      <c r="A4150" s="9" t="n">
        <v>45464.83333333334</v>
      </c>
      <c r="B4150" t="n">
        <v>6</v>
      </c>
      <c r="C4150" t="n">
        <v>21</v>
      </c>
      <c r="D4150" t="n">
        <v>20</v>
      </c>
      <c r="E4150" s="10" t="n">
        <v>0</v>
      </c>
      <c r="F4150" s="10" t="n">
        <v>0.1998272639585433</v>
      </c>
      <c r="G4150" s="11">
        <f>E4150*Summary!$B$6</f>
        <v/>
      </c>
      <c r="H4150" s="11">
        <f>F4150*Summary!$B$7</f>
        <v/>
      </c>
      <c r="I4150" s="11">
        <f>MAX(0,N4150-M4150)</f>
        <v/>
      </c>
      <c r="J4150" s="11">
        <f>MAX(0,M4150-N4150)</f>
        <v/>
      </c>
      <c r="K4150" s="11">
        <f>O4150</f>
        <v/>
      </c>
      <c r="L4150" s="11">
        <f>L4149+IF(K4150&gt;0,K4150*Summary!$B$9,K4150/Summary!$B$9)</f>
        <v/>
      </c>
      <c r="M4150" s="11">
        <f>G4150+H4150</f>
        <v/>
      </c>
      <c r="N4150" s="11">
        <f>Summary!$C$16*Summary!$B$8</f>
        <v/>
      </c>
      <c r="O4150" s="11">
        <f>M4150-N4150</f>
        <v/>
      </c>
    </row>
    <row r="4151">
      <c r="A4151" s="9" t="n">
        <v>45464.875</v>
      </c>
      <c r="B4151" t="n">
        <v>6</v>
      </c>
      <c r="C4151" t="n">
        <v>21</v>
      </c>
      <c r="D4151" t="n">
        <v>21</v>
      </c>
      <c r="E4151" s="10" t="n">
        <v>0</v>
      </c>
      <c r="F4151" s="10" t="n">
        <v>0.2123444669626721</v>
      </c>
      <c r="G4151" s="11">
        <f>E4151*Summary!$B$6</f>
        <v/>
      </c>
      <c r="H4151" s="11">
        <f>F4151*Summary!$B$7</f>
        <v/>
      </c>
      <c r="I4151" s="11">
        <f>MAX(0,N4151-M4151)</f>
        <v/>
      </c>
      <c r="J4151" s="11">
        <f>MAX(0,M4151-N4151)</f>
        <v/>
      </c>
      <c r="K4151" s="11">
        <f>O4151</f>
        <v/>
      </c>
      <c r="L4151" s="11">
        <f>L4150+IF(K4151&gt;0,K4151*Summary!$B$9,K4151/Summary!$B$9)</f>
        <v/>
      </c>
      <c r="M4151" s="11">
        <f>G4151+H4151</f>
        <v/>
      </c>
      <c r="N4151" s="11">
        <f>Summary!$C$16*Summary!$B$8</f>
        <v/>
      </c>
      <c r="O4151" s="11">
        <f>M4151-N4151</f>
        <v/>
      </c>
    </row>
    <row r="4152">
      <c r="A4152" s="9" t="n">
        <v>45464.91666666666</v>
      </c>
      <c r="B4152" t="n">
        <v>6</v>
      </c>
      <c r="C4152" t="n">
        <v>21</v>
      </c>
      <c r="D4152" t="n">
        <v>22</v>
      </c>
      <c r="E4152" s="10" t="n">
        <v>0</v>
      </c>
      <c r="F4152" s="10" t="n">
        <v>0.2245981499035559</v>
      </c>
      <c r="G4152" s="11">
        <f>E4152*Summary!$B$6</f>
        <v/>
      </c>
      <c r="H4152" s="11">
        <f>F4152*Summary!$B$7</f>
        <v/>
      </c>
      <c r="I4152" s="11">
        <f>MAX(0,N4152-M4152)</f>
        <v/>
      </c>
      <c r="J4152" s="11">
        <f>MAX(0,M4152-N4152)</f>
        <v/>
      </c>
      <c r="K4152" s="11">
        <f>O4152</f>
        <v/>
      </c>
      <c r="L4152" s="11">
        <f>L4151+IF(K4152&gt;0,K4152*Summary!$B$9,K4152/Summary!$B$9)</f>
        <v/>
      </c>
      <c r="M4152" s="11">
        <f>G4152+H4152</f>
        <v/>
      </c>
      <c r="N4152" s="11">
        <f>Summary!$C$16*Summary!$B$8</f>
        <v/>
      </c>
      <c r="O4152" s="11">
        <f>M4152-N4152</f>
        <v/>
      </c>
    </row>
    <row r="4153">
      <c r="A4153" s="9" t="n">
        <v>45464.95833333334</v>
      </c>
      <c r="B4153" t="n">
        <v>6</v>
      </c>
      <c r="C4153" t="n">
        <v>21</v>
      </c>
      <c r="D4153" t="n">
        <v>23</v>
      </c>
      <c r="E4153" s="10" t="n">
        <v>0</v>
      </c>
      <c r="F4153" s="10" t="n">
        <v>0.2409363938247345</v>
      </c>
      <c r="G4153" s="11">
        <f>E4153*Summary!$B$6</f>
        <v/>
      </c>
      <c r="H4153" s="11">
        <f>F4153*Summary!$B$7</f>
        <v/>
      </c>
      <c r="I4153" s="11">
        <f>MAX(0,N4153-M4153)</f>
        <v/>
      </c>
      <c r="J4153" s="11">
        <f>MAX(0,M4153-N4153)</f>
        <v/>
      </c>
      <c r="K4153" s="11">
        <f>O4153</f>
        <v/>
      </c>
      <c r="L4153" s="11">
        <f>L4152+IF(K4153&gt;0,K4153*Summary!$B$9,K4153/Summary!$B$9)</f>
        <v/>
      </c>
      <c r="M4153" s="11">
        <f>G4153+H4153</f>
        <v/>
      </c>
      <c r="N4153" s="11">
        <f>Summary!$C$16*Summary!$B$8</f>
        <v/>
      </c>
      <c r="O4153" s="11">
        <f>M4153-N4153</f>
        <v/>
      </c>
    </row>
    <row r="4154">
      <c r="A4154" s="9" t="n">
        <v>45465</v>
      </c>
      <c r="B4154" t="n">
        <v>6</v>
      </c>
      <c r="C4154" t="n">
        <v>22</v>
      </c>
      <c r="D4154" t="n">
        <v>0</v>
      </c>
      <c r="E4154" s="10" t="n">
        <v>0</v>
      </c>
      <c r="F4154" s="10" t="n">
        <v>0.216060099854424</v>
      </c>
      <c r="G4154" s="11">
        <f>E4154*Summary!$B$6</f>
        <v/>
      </c>
      <c r="H4154" s="11">
        <f>F4154*Summary!$B$7</f>
        <v/>
      </c>
      <c r="I4154" s="11">
        <f>MAX(0,N4154-M4154)</f>
        <v/>
      </c>
      <c r="J4154" s="11">
        <f>MAX(0,M4154-N4154)</f>
        <v/>
      </c>
      <c r="K4154" s="11">
        <f>O4154</f>
        <v/>
      </c>
      <c r="L4154" s="11">
        <f>L4153+IF(K4154&gt;0,K4154*Summary!$B$9,K4154/Summary!$B$9)</f>
        <v/>
      </c>
      <c r="M4154" s="11">
        <f>G4154+H4154</f>
        <v/>
      </c>
      <c r="N4154" s="11">
        <f>Summary!$C$16*Summary!$B$8</f>
        <v/>
      </c>
      <c r="O4154" s="11">
        <f>M4154-N4154</f>
        <v/>
      </c>
    </row>
    <row r="4155">
      <c r="A4155" s="9" t="n">
        <v>45465.04166666666</v>
      </c>
      <c r="B4155" t="n">
        <v>6</v>
      </c>
      <c r="C4155" t="n">
        <v>22</v>
      </c>
      <c r="D4155" t="n">
        <v>1</v>
      </c>
      <c r="E4155" s="10" t="n">
        <v>0</v>
      </c>
      <c r="F4155" s="10" t="n">
        <v>0.2620707028969687</v>
      </c>
      <c r="G4155" s="11">
        <f>E4155*Summary!$B$6</f>
        <v/>
      </c>
      <c r="H4155" s="11">
        <f>F4155*Summary!$B$7</f>
        <v/>
      </c>
      <c r="I4155" s="11">
        <f>MAX(0,N4155-M4155)</f>
        <v/>
      </c>
      <c r="J4155" s="11">
        <f>MAX(0,M4155-N4155)</f>
        <v/>
      </c>
      <c r="K4155" s="11">
        <f>O4155</f>
        <v/>
      </c>
      <c r="L4155" s="11">
        <f>L4154+IF(K4155&gt;0,K4155*Summary!$B$9,K4155/Summary!$B$9)</f>
        <v/>
      </c>
      <c r="M4155" s="11">
        <f>G4155+H4155</f>
        <v/>
      </c>
      <c r="N4155" s="11">
        <f>Summary!$C$16*Summary!$B$8</f>
        <v/>
      </c>
      <c r="O4155" s="11">
        <f>M4155-N4155</f>
        <v/>
      </c>
    </row>
    <row r="4156">
      <c r="A4156" s="9" t="n">
        <v>45465.08333333334</v>
      </c>
      <c r="B4156" t="n">
        <v>6</v>
      </c>
      <c r="C4156" t="n">
        <v>22</v>
      </c>
      <c r="D4156" t="n">
        <v>2</v>
      </c>
      <c r="E4156" s="10" t="n">
        <v>0</v>
      </c>
      <c r="F4156" s="10" t="n">
        <v>0.2643633274471986</v>
      </c>
      <c r="G4156" s="11">
        <f>E4156*Summary!$B$6</f>
        <v/>
      </c>
      <c r="H4156" s="11">
        <f>F4156*Summary!$B$7</f>
        <v/>
      </c>
      <c r="I4156" s="11">
        <f>MAX(0,N4156-M4156)</f>
        <v/>
      </c>
      <c r="J4156" s="11">
        <f>MAX(0,M4156-N4156)</f>
        <v/>
      </c>
      <c r="K4156" s="11">
        <f>O4156</f>
        <v/>
      </c>
      <c r="L4156" s="11">
        <f>L4155+IF(K4156&gt;0,K4156*Summary!$B$9,K4156/Summary!$B$9)</f>
        <v/>
      </c>
      <c r="M4156" s="11">
        <f>G4156+H4156</f>
        <v/>
      </c>
      <c r="N4156" s="11">
        <f>Summary!$C$16*Summary!$B$8</f>
        <v/>
      </c>
      <c r="O4156" s="11">
        <f>M4156-N4156</f>
        <v/>
      </c>
    </row>
    <row r="4157">
      <c r="A4157" s="9" t="n">
        <v>45465.125</v>
      </c>
      <c r="B4157" t="n">
        <v>6</v>
      </c>
      <c r="C4157" t="n">
        <v>22</v>
      </c>
      <c r="D4157" t="n">
        <v>3</v>
      </c>
      <c r="E4157" s="10" t="n">
        <v>0</v>
      </c>
      <c r="F4157" s="10" t="n">
        <v>0.2603314704795529</v>
      </c>
      <c r="G4157" s="11">
        <f>E4157*Summary!$B$6</f>
        <v/>
      </c>
      <c r="H4157" s="11">
        <f>F4157*Summary!$B$7</f>
        <v/>
      </c>
      <c r="I4157" s="11">
        <f>MAX(0,N4157-M4157)</f>
        <v/>
      </c>
      <c r="J4157" s="11">
        <f>MAX(0,M4157-N4157)</f>
        <v/>
      </c>
      <c r="K4157" s="11">
        <f>O4157</f>
        <v/>
      </c>
      <c r="L4157" s="11">
        <f>L4156+IF(K4157&gt;0,K4157*Summary!$B$9,K4157/Summary!$B$9)</f>
        <v/>
      </c>
      <c r="M4157" s="11">
        <f>G4157+H4157</f>
        <v/>
      </c>
      <c r="N4157" s="11">
        <f>Summary!$C$16*Summary!$B$8</f>
        <v/>
      </c>
      <c r="O4157" s="11">
        <f>M4157-N4157</f>
        <v/>
      </c>
    </row>
    <row r="4158">
      <c r="A4158" s="9" t="n">
        <v>45465.16666666666</v>
      </c>
      <c r="B4158" t="n">
        <v>6</v>
      </c>
      <c r="C4158" t="n">
        <v>22</v>
      </c>
      <c r="D4158" t="n">
        <v>4</v>
      </c>
      <c r="E4158" s="10" t="n">
        <v>0.034573</v>
      </c>
      <c r="F4158" s="10" t="n">
        <v>0.2503967640952234</v>
      </c>
      <c r="G4158" s="11">
        <f>E4158*Summary!$B$6</f>
        <v/>
      </c>
      <c r="H4158" s="11">
        <f>F4158*Summary!$B$7</f>
        <v/>
      </c>
      <c r="I4158" s="11">
        <f>MAX(0,N4158-M4158)</f>
        <v/>
      </c>
      <c r="J4158" s="11">
        <f>MAX(0,M4158-N4158)</f>
        <v/>
      </c>
      <c r="K4158" s="11">
        <f>O4158</f>
        <v/>
      </c>
      <c r="L4158" s="11">
        <f>L4157+IF(K4158&gt;0,K4158*Summary!$B$9,K4158/Summary!$B$9)</f>
        <v/>
      </c>
      <c r="M4158" s="11">
        <f>G4158+H4158</f>
        <v/>
      </c>
      <c r="N4158" s="11">
        <f>Summary!$C$16*Summary!$B$8</f>
        <v/>
      </c>
      <c r="O4158" s="11">
        <f>M4158-N4158</f>
        <v/>
      </c>
    </row>
    <row r="4159">
      <c r="A4159" s="9" t="n">
        <v>45465.20833333334</v>
      </c>
      <c r="B4159" t="n">
        <v>6</v>
      </c>
      <c r="C4159" t="n">
        <v>22</v>
      </c>
      <c r="D4159" t="n">
        <v>5</v>
      </c>
      <c r="E4159" s="10" t="n">
        <v>0.076071</v>
      </c>
      <c r="F4159" s="10" t="n">
        <v>0.2321611757186822</v>
      </c>
      <c r="G4159" s="11">
        <f>E4159*Summary!$B$6</f>
        <v/>
      </c>
      <c r="H4159" s="11">
        <f>F4159*Summary!$B$7</f>
        <v/>
      </c>
      <c r="I4159" s="11">
        <f>MAX(0,N4159-M4159)</f>
        <v/>
      </c>
      <c r="J4159" s="11">
        <f>MAX(0,M4159-N4159)</f>
        <v/>
      </c>
      <c r="K4159" s="11">
        <f>O4159</f>
        <v/>
      </c>
      <c r="L4159" s="11">
        <f>L4158+IF(K4159&gt;0,K4159*Summary!$B$9,K4159/Summary!$B$9)</f>
        <v/>
      </c>
      <c r="M4159" s="11">
        <f>G4159+H4159</f>
        <v/>
      </c>
      <c r="N4159" s="11">
        <f>Summary!$C$16*Summary!$B$8</f>
        <v/>
      </c>
      <c r="O4159" s="11">
        <f>M4159-N4159</f>
        <v/>
      </c>
    </row>
    <row r="4160">
      <c r="A4160" s="9" t="n">
        <v>45465.25</v>
      </c>
      <c r="B4160" t="n">
        <v>6</v>
      </c>
      <c r="C4160" t="n">
        <v>22</v>
      </c>
      <c r="D4160" t="n">
        <v>6</v>
      </c>
      <c r="E4160" s="10" t="n">
        <v>0.109406</v>
      </c>
      <c r="F4160" s="10" t="n">
        <v>0.2161391558733974</v>
      </c>
      <c r="G4160" s="11">
        <f>E4160*Summary!$B$6</f>
        <v/>
      </c>
      <c r="H4160" s="11">
        <f>F4160*Summary!$B$7</f>
        <v/>
      </c>
      <c r="I4160" s="11">
        <f>MAX(0,N4160-M4160)</f>
        <v/>
      </c>
      <c r="J4160" s="11">
        <f>MAX(0,M4160-N4160)</f>
        <v/>
      </c>
      <c r="K4160" s="11">
        <f>O4160</f>
        <v/>
      </c>
      <c r="L4160" s="11">
        <f>L4159+IF(K4160&gt;0,K4160*Summary!$B$9,K4160/Summary!$B$9)</f>
        <v/>
      </c>
      <c r="M4160" s="11">
        <f>G4160+H4160</f>
        <v/>
      </c>
      <c r="N4160" s="11">
        <f>Summary!$C$16*Summary!$B$8</f>
        <v/>
      </c>
      <c r="O4160" s="11">
        <f>M4160-N4160</f>
        <v/>
      </c>
    </row>
    <row r="4161">
      <c r="A4161" s="9" t="n">
        <v>45465.29166666666</v>
      </c>
      <c r="B4161" t="n">
        <v>6</v>
      </c>
      <c r="C4161" t="n">
        <v>22</v>
      </c>
      <c r="D4161" t="n">
        <v>7</v>
      </c>
      <c r="E4161" s="10" t="n">
        <v>0.157517</v>
      </c>
      <c r="F4161" s="10" t="n">
        <v>0.2035692488566197</v>
      </c>
      <c r="G4161" s="11">
        <f>E4161*Summary!$B$6</f>
        <v/>
      </c>
      <c r="H4161" s="11">
        <f>F4161*Summary!$B$7</f>
        <v/>
      </c>
      <c r="I4161" s="11">
        <f>MAX(0,N4161-M4161)</f>
        <v/>
      </c>
      <c r="J4161" s="11">
        <f>MAX(0,M4161-N4161)</f>
        <v/>
      </c>
      <c r="K4161" s="11">
        <f>O4161</f>
        <v/>
      </c>
      <c r="L4161" s="11">
        <f>L4160+IF(K4161&gt;0,K4161*Summary!$B$9,K4161/Summary!$B$9)</f>
        <v/>
      </c>
      <c r="M4161" s="11">
        <f>G4161+H4161</f>
        <v/>
      </c>
      <c r="N4161" s="11">
        <f>Summary!$C$16*Summary!$B$8</f>
        <v/>
      </c>
      <c r="O4161" s="11">
        <f>M4161-N4161</f>
        <v/>
      </c>
    </row>
    <row r="4162">
      <c r="A4162" s="9" t="n">
        <v>45465.33333333334</v>
      </c>
      <c r="B4162" t="n">
        <v>6</v>
      </c>
      <c r="C4162" t="n">
        <v>22</v>
      </c>
      <c r="D4162" t="n">
        <v>8</v>
      </c>
      <c r="E4162" s="10" t="n">
        <v>0.252737</v>
      </c>
      <c r="F4162" s="10" t="n">
        <v>0.1966386711932811</v>
      </c>
      <c r="G4162" s="11">
        <f>E4162*Summary!$B$6</f>
        <v/>
      </c>
      <c r="H4162" s="11">
        <f>F4162*Summary!$B$7</f>
        <v/>
      </c>
      <c r="I4162" s="11">
        <f>MAX(0,N4162-M4162)</f>
        <v/>
      </c>
      <c r="J4162" s="11">
        <f>MAX(0,M4162-N4162)</f>
        <v/>
      </c>
      <c r="K4162" s="11">
        <f>O4162</f>
        <v/>
      </c>
      <c r="L4162" s="11">
        <f>L4161+IF(K4162&gt;0,K4162*Summary!$B$9,K4162/Summary!$B$9)</f>
        <v/>
      </c>
      <c r="M4162" s="11">
        <f>G4162+H4162</f>
        <v/>
      </c>
      <c r="N4162" s="11">
        <f>Summary!$C$16*Summary!$B$8</f>
        <v/>
      </c>
      <c r="O4162" s="11">
        <f>M4162-N4162</f>
        <v/>
      </c>
    </row>
    <row r="4163">
      <c r="A4163" s="9" t="n">
        <v>45465.375</v>
      </c>
      <c r="B4163" t="n">
        <v>6</v>
      </c>
      <c r="C4163" t="n">
        <v>22</v>
      </c>
      <c r="D4163" t="n">
        <v>9</v>
      </c>
      <c r="E4163" s="10" t="n">
        <v>0.430892</v>
      </c>
      <c r="F4163" s="10" t="n">
        <v>0.1947940307505674</v>
      </c>
      <c r="G4163" s="11">
        <f>E4163*Summary!$B$6</f>
        <v/>
      </c>
      <c r="H4163" s="11">
        <f>F4163*Summary!$B$7</f>
        <v/>
      </c>
      <c r="I4163" s="11">
        <f>MAX(0,N4163-M4163)</f>
        <v/>
      </c>
      <c r="J4163" s="11">
        <f>MAX(0,M4163-N4163)</f>
        <v/>
      </c>
      <c r="K4163" s="11">
        <f>O4163</f>
        <v/>
      </c>
      <c r="L4163" s="11">
        <f>L4162+IF(K4163&gt;0,K4163*Summary!$B$9,K4163/Summary!$B$9)</f>
        <v/>
      </c>
      <c r="M4163" s="11">
        <f>G4163+H4163</f>
        <v/>
      </c>
      <c r="N4163" s="11">
        <f>Summary!$C$16*Summary!$B$8</f>
        <v/>
      </c>
      <c r="O4163" s="11">
        <f>M4163-N4163</f>
        <v/>
      </c>
    </row>
    <row r="4164">
      <c r="A4164" s="9" t="n">
        <v>45465.41666666666</v>
      </c>
      <c r="B4164" t="n">
        <v>6</v>
      </c>
      <c r="C4164" t="n">
        <v>22</v>
      </c>
      <c r="D4164" t="n">
        <v>10</v>
      </c>
      <c r="E4164" s="10" t="n">
        <v>0.369558</v>
      </c>
      <c r="F4164" s="10" t="n">
        <v>0.1972974713513931</v>
      </c>
      <c r="G4164" s="11">
        <f>E4164*Summary!$B$6</f>
        <v/>
      </c>
      <c r="H4164" s="11">
        <f>F4164*Summary!$B$7</f>
        <v/>
      </c>
      <c r="I4164" s="11">
        <f>MAX(0,N4164-M4164)</f>
        <v/>
      </c>
      <c r="J4164" s="11">
        <f>MAX(0,M4164-N4164)</f>
        <v/>
      </c>
      <c r="K4164" s="11">
        <f>O4164</f>
        <v/>
      </c>
      <c r="L4164" s="11">
        <f>L4163+IF(K4164&gt;0,K4164*Summary!$B$9,K4164/Summary!$B$9)</f>
        <v/>
      </c>
      <c r="M4164" s="11">
        <f>G4164+H4164</f>
        <v/>
      </c>
      <c r="N4164" s="11">
        <f>Summary!$C$16*Summary!$B$8</f>
        <v/>
      </c>
      <c r="O4164" s="11">
        <f>M4164-N4164</f>
        <v/>
      </c>
    </row>
    <row r="4165">
      <c r="A4165" s="9" t="n">
        <v>45465.45833333334</v>
      </c>
      <c r="B4165" t="n">
        <v>6</v>
      </c>
      <c r="C4165" t="n">
        <v>22</v>
      </c>
      <c r="D4165" t="n">
        <v>11</v>
      </c>
      <c r="E4165" s="10" t="n">
        <v>0.497516</v>
      </c>
      <c r="F4165" s="10" t="n">
        <v>0.2101572504377401</v>
      </c>
      <c r="G4165" s="11">
        <f>E4165*Summary!$B$6</f>
        <v/>
      </c>
      <c r="H4165" s="11">
        <f>F4165*Summary!$B$7</f>
        <v/>
      </c>
      <c r="I4165" s="11">
        <f>MAX(0,N4165-M4165)</f>
        <v/>
      </c>
      <c r="J4165" s="11">
        <f>MAX(0,M4165-N4165)</f>
        <v/>
      </c>
      <c r="K4165" s="11">
        <f>O4165</f>
        <v/>
      </c>
      <c r="L4165" s="11">
        <f>L4164+IF(K4165&gt;0,K4165*Summary!$B$9,K4165/Summary!$B$9)</f>
        <v/>
      </c>
      <c r="M4165" s="11">
        <f>G4165+H4165</f>
        <v/>
      </c>
      <c r="N4165" s="11">
        <f>Summary!$C$16*Summary!$B$8</f>
        <v/>
      </c>
      <c r="O4165" s="11">
        <f>M4165-N4165</f>
        <v/>
      </c>
    </row>
    <row r="4166">
      <c r="A4166" s="9" t="n">
        <v>45465.5</v>
      </c>
      <c r="B4166" t="n">
        <v>6</v>
      </c>
      <c r="C4166" t="n">
        <v>22</v>
      </c>
      <c r="D4166" t="n">
        <v>12</v>
      </c>
      <c r="E4166" s="10" t="n">
        <v>0.673768</v>
      </c>
      <c r="F4166" s="10" t="n">
        <v>0.2175358122085949</v>
      </c>
      <c r="G4166" s="11">
        <f>E4166*Summary!$B$6</f>
        <v/>
      </c>
      <c r="H4166" s="11">
        <f>F4166*Summary!$B$7</f>
        <v/>
      </c>
      <c r="I4166" s="11">
        <f>MAX(0,N4166-M4166)</f>
        <v/>
      </c>
      <c r="J4166" s="11">
        <f>MAX(0,M4166-N4166)</f>
        <v/>
      </c>
      <c r="K4166" s="11">
        <f>O4166</f>
        <v/>
      </c>
      <c r="L4166" s="11">
        <f>L4165+IF(K4166&gt;0,K4166*Summary!$B$9,K4166/Summary!$B$9)</f>
        <v/>
      </c>
      <c r="M4166" s="11">
        <f>G4166+H4166</f>
        <v/>
      </c>
      <c r="N4166" s="11">
        <f>Summary!$C$16*Summary!$B$8</f>
        <v/>
      </c>
      <c r="O4166" s="11">
        <f>M4166-N4166</f>
        <v/>
      </c>
    </row>
    <row r="4167">
      <c r="A4167" s="9" t="n">
        <v>45465.54166666666</v>
      </c>
      <c r="B4167" t="n">
        <v>6</v>
      </c>
      <c r="C4167" t="n">
        <v>22</v>
      </c>
      <c r="D4167" t="n">
        <v>13</v>
      </c>
      <c r="E4167" s="10" t="n">
        <v>0.664337</v>
      </c>
      <c r="F4167" s="10" t="n">
        <v>0.2223318773596505</v>
      </c>
      <c r="G4167" s="11">
        <f>E4167*Summary!$B$6</f>
        <v/>
      </c>
      <c r="H4167" s="11">
        <f>F4167*Summary!$B$7</f>
        <v/>
      </c>
      <c r="I4167" s="11">
        <f>MAX(0,N4167-M4167)</f>
        <v/>
      </c>
      <c r="J4167" s="11">
        <f>MAX(0,M4167-N4167)</f>
        <v/>
      </c>
      <c r="K4167" s="11">
        <f>O4167</f>
        <v/>
      </c>
      <c r="L4167" s="11">
        <f>L4166+IF(K4167&gt;0,K4167*Summary!$B$9,K4167/Summary!$B$9)</f>
        <v/>
      </c>
      <c r="M4167" s="11">
        <f>G4167+H4167</f>
        <v/>
      </c>
      <c r="N4167" s="11">
        <f>Summary!$C$16*Summary!$B$8</f>
        <v/>
      </c>
      <c r="O4167" s="11">
        <f>M4167-N4167</f>
        <v/>
      </c>
    </row>
    <row r="4168">
      <c r="A4168" s="9" t="n">
        <v>45465.58333333334</v>
      </c>
      <c r="B4168" t="n">
        <v>6</v>
      </c>
      <c r="C4168" t="n">
        <v>22</v>
      </c>
      <c r="D4168" t="n">
        <v>14</v>
      </c>
      <c r="E4168" s="10" t="n">
        <v>0.675822</v>
      </c>
      <c r="F4168" s="10" t="n">
        <v>0.222410933378624</v>
      </c>
      <c r="G4168" s="11">
        <f>E4168*Summary!$B$6</f>
        <v/>
      </c>
      <c r="H4168" s="11">
        <f>F4168*Summary!$B$7</f>
        <v/>
      </c>
      <c r="I4168" s="11">
        <f>MAX(0,N4168-M4168)</f>
        <v/>
      </c>
      <c r="J4168" s="11">
        <f>MAX(0,M4168-N4168)</f>
        <v/>
      </c>
      <c r="K4168" s="11">
        <f>O4168</f>
        <v/>
      </c>
      <c r="L4168" s="11">
        <f>L4167+IF(K4168&gt;0,K4168*Summary!$B$9,K4168/Summary!$B$9)</f>
        <v/>
      </c>
      <c r="M4168" s="11">
        <f>G4168+H4168</f>
        <v/>
      </c>
      <c r="N4168" s="11">
        <f>Summary!$C$16*Summary!$B$8</f>
        <v/>
      </c>
      <c r="O4168" s="11">
        <f>M4168-N4168</f>
        <v/>
      </c>
    </row>
    <row r="4169">
      <c r="A4169" s="9" t="n">
        <v>45465.625</v>
      </c>
      <c r="B4169" t="n">
        <v>6</v>
      </c>
      <c r="C4169" t="n">
        <v>22</v>
      </c>
      <c r="D4169" t="n">
        <v>15</v>
      </c>
      <c r="E4169" s="10" t="n">
        <v>0.628096</v>
      </c>
      <c r="F4169" s="10" t="n">
        <v>0.2254150620996149</v>
      </c>
      <c r="G4169" s="11">
        <f>E4169*Summary!$B$6</f>
        <v/>
      </c>
      <c r="H4169" s="11">
        <f>F4169*Summary!$B$7</f>
        <v/>
      </c>
      <c r="I4169" s="11">
        <f>MAX(0,N4169-M4169)</f>
        <v/>
      </c>
      <c r="J4169" s="11">
        <f>MAX(0,M4169-N4169)</f>
        <v/>
      </c>
      <c r="K4169" s="11">
        <f>O4169</f>
        <v/>
      </c>
      <c r="L4169" s="11">
        <f>L4168+IF(K4169&gt;0,K4169*Summary!$B$9,K4169/Summary!$B$9)</f>
        <v/>
      </c>
      <c r="M4169" s="11">
        <f>G4169+H4169</f>
        <v/>
      </c>
      <c r="N4169" s="11">
        <f>Summary!$C$16*Summary!$B$8</f>
        <v/>
      </c>
      <c r="O4169" s="11">
        <f>M4169-N4169</f>
        <v/>
      </c>
    </row>
    <row r="4170">
      <c r="A4170" s="9" t="n">
        <v>45465.66666666666</v>
      </c>
      <c r="B4170" t="n">
        <v>6</v>
      </c>
      <c r="C4170" t="n">
        <v>22</v>
      </c>
      <c r="D4170" t="n">
        <v>16</v>
      </c>
      <c r="E4170" s="10" t="n">
        <v>0.463792</v>
      </c>
      <c r="F4170" s="10" t="n">
        <v>0.2188797645311435</v>
      </c>
      <c r="G4170" s="11">
        <f>E4170*Summary!$B$6</f>
        <v/>
      </c>
      <c r="H4170" s="11">
        <f>F4170*Summary!$B$7</f>
        <v/>
      </c>
      <c r="I4170" s="11">
        <f>MAX(0,N4170-M4170)</f>
        <v/>
      </c>
      <c r="J4170" s="11">
        <f>MAX(0,M4170-N4170)</f>
        <v/>
      </c>
      <c r="K4170" s="11">
        <f>O4170</f>
        <v/>
      </c>
      <c r="L4170" s="11">
        <f>L4169+IF(K4170&gt;0,K4170*Summary!$B$9,K4170/Summary!$B$9)</f>
        <v/>
      </c>
      <c r="M4170" s="11">
        <f>G4170+H4170</f>
        <v/>
      </c>
      <c r="N4170" s="11">
        <f>Summary!$C$16*Summary!$B$8</f>
        <v/>
      </c>
      <c r="O4170" s="11">
        <f>M4170-N4170</f>
        <v/>
      </c>
    </row>
    <row r="4171">
      <c r="A4171" s="9" t="n">
        <v>45465.70833333334</v>
      </c>
      <c r="B4171" t="n">
        <v>6</v>
      </c>
      <c r="C4171" t="n">
        <v>22</v>
      </c>
      <c r="D4171" t="n">
        <v>17</v>
      </c>
      <c r="E4171" s="10" t="n">
        <v>0.270974</v>
      </c>
      <c r="F4171" s="10" t="n">
        <v>0.2087869461088671</v>
      </c>
      <c r="G4171" s="11">
        <f>E4171*Summary!$B$6</f>
        <v/>
      </c>
      <c r="H4171" s="11">
        <f>F4171*Summary!$B$7</f>
        <v/>
      </c>
      <c r="I4171" s="11">
        <f>MAX(0,N4171-M4171)</f>
        <v/>
      </c>
      <c r="J4171" s="11">
        <f>MAX(0,M4171-N4171)</f>
        <v/>
      </c>
      <c r="K4171" s="11">
        <f>O4171</f>
        <v/>
      </c>
      <c r="L4171" s="11">
        <f>L4170+IF(K4171&gt;0,K4171*Summary!$B$9,K4171/Summary!$B$9)</f>
        <v/>
      </c>
      <c r="M4171" s="11">
        <f>G4171+H4171</f>
        <v/>
      </c>
      <c r="N4171" s="11">
        <f>Summary!$C$16*Summary!$B$8</f>
        <v/>
      </c>
      <c r="O4171" s="11">
        <f>M4171-N4171</f>
        <v/>
      </c>
    </row>
    <row r="4172">
      <c r="A4172" s="9" t="n">
        <v>45465.75</v>
      </c>
      <c r="B4172" t="n">
        <v>6</v>
      </c>
      <c r="C4172" t="n">
        <v>22</v>
      </c>
      <c r="D4172" t="n">
        <v>18</v>
      </c>
      <c r="E4172" s="10" t="n">
        <v>0.09335400000000001</v>
      </c>
      <c r="F4172" s="10" t="n">
        <v>0.2026732806415873</v>
      </c>
      <c r="G4172" s="11">
        <f>E4172*Summary!$B$6</f>
        <v/>
      </c>
      <c r="H4172" s="11">
        <f>F4172*Summary!$B$7</f>
        <v/>
      </c>
      <c r="I4172" s="11">
        <f>MAX(0,N4172-M4172)</f>
        <v/>
      </c>
      <c r="J4172" s="11">
        <f>MAX(0,M4172-N4172)</f>
        <v/>
      </c>
      <c r="K4172" s="11">
        <f>O4172</f>
        <v/>
      </c>
      <c r="L4172" s="11">
        <f>L4171+IF(K4172&gt;0,K4172*Summary!$B$9,K4172/Summary!$B$9)</f>
        <v/>
      </c>
      <c r="M4172" s="11">
        <f>G4172+H4172</f>
        <v/>
      </c>
      <c r="N4172" s="11">
        <f>Summary!$C$16*Summary!$B$8</f>
        <v/>
      </c>
      <c r="O4172" s="11">
        <f>M4172-N4172</f>
        <v/>
      </c>
    </row>
    <row r="4173">
      <c r="A4173" s="9" t="n">
        <v>45465.79166666666</v>
      </c>
      <c r="B4173" t="n">
        <v>6</v>
      </c>
      <c r="C4173" t="n">
        <v>22</v>
      </c>
      <c r="D4173" t="n">
        <v>19</v>
      </c>
      <c r="E4173" s="10" t="n">
        <v>0.048293</v>
      </c>
      <c r="F4173" s="10" t="n">
        <v>0.1951102548264612</v>
      </c>
      <c r="G4173" s="11">
        <f>E4173*Summary!$B$6</f>
        <v/>
      </c>
      <c r="H4173" s="11">
        <f>F4173*Summary!$B$7</f>
        <v/>
      </c>
      <c r="I4173" s="11">
        <f>MAX(0,N4173-M4173)</f>
        <v/>
      </c>
      <c r="J4173" s="11">
        <f>MAX(0,M4173-N4173)</f>
        <v/>
      </c>
      <c r="K4173" s="11">
        <f>O4173</f>
        <v/>
      </c>
      <c r="L4173" s="11">
        <f>L4172+IF(K4173&gt;0,K4173*Summary!$B$9,K4173/Summary!$B$9)</f>
        <v/>
      </c>
      <c r="M4173" s="11">
        <f>G4173+H4173</f>
        <v/>
      </c>
      <c r="N4173" s="11">
        <f>Summary!$C$16*Summary!$B$8</f>
        <v/>
      </c>
      <c r="O4173" s="11">
        <f>M4173-N4173</f>
        <v/>
      </c>
    </row>
    <row r="4174">
      <c r="A4174" s="9" t="n">
        <v>45465.83333333334</v>
      </c>
      <c r="B4174" t="n">
        <v>6</v>
      </c>
      <c r="C4174" t="n">
        <v>22</v>
      </c>
      <c r="D4174" t="n">
        <v>20</v>
      </c>
      <c r="E4174" s="10" t="n">
        <v>0.015416</v>
      </c>
      <c r="F4174" s="10" t="n">
        <v>0.1986150716676172</v>
      </c>
      <c r="G4174" s="11">
        <f>E4174*Summary!$B$6</f>
        <v/>
      </c>
      <c r="H4174" s="11">
        <f>F4174*Summary!$B$7</f>
        <v/>
      </c>
      <c r="I4174" s="11">
        <f>MAX(0,N4174-M4174)</f>
        <v/>
      </c>
      <c r="J4174" s="11">
        <f>MAX(0,M4174-N4174)</f>
        <v/>
      </c>
      <c r="K4174" s="11">
        <f>O4174</f>
        <v/>
      </c>
      <c r="L4174" s="11">
        <f>L4173+IF(K4174&gt;0,K4174*Summary!$B$9,K4174/Summary!$B$9)</f>
        <v/>
      </c>
      <c r="M4174" s="11">
        <f>G4174+H4174</f>
        <v/>
      </c>
      <c r="N4174" s="11">
        <f>Summary!$C$16*Summary!$B$8</f>
        <v/>
      </c>
      <c r="O4174" s="11">
        <f>M4174-N4174</f>
        <v/>
      </c>
    </row>
    <row r="4175">
      <c r="A4175" s="9" t="n">
        <v>45465.875</v>
      </c>
      <c r="B4175" t="n">
        <v>6</v>
      </c>
      <c r="C4175" t="n">
        <v>22</v>
      </c>
      <c r="D4175" t="n">
        <v>21</v>
      </c>
      <c r="E4175" s="10" t="n">
        <v>0</v>
      </c>
      <c r="F4175" s="10" t="n">
        <v>0.207469345792643</v>
      </c>
      <c r="G4175" s="11">
        <f>E4175*Summary!$B$6</f>
        <v/>
      </c>
      <c r="H4175" s="11">
        <f>F4175*Summary!$B$7</f>
        <v/>
      </c>
      <c r="I4175" s="11">
        <f>MAX(0,N4175-M4175)</f>
        <v/>
      </c>
      <c r="J4175" s="11">
        <f>MAX(0,M4175-N4175)</f>
        <v/>
      </c>
      <c r="K4175" s="11">
        <f>O4175</f>
        <v/>
      </c>
      <c r="L4175" s="11">
        <f>L4174+IF(K4175&gt;0,K4175*Summary!$B$9,K4175/Summary!$B$9)</f>
        <v/>
      </c>
      <c r="M4175" s="11">
        <f>G4175+H4175</f>
        <v/>
      </c>
      <c r="N4175" s="11">
        <f>Summary!$C$16*Summary!$B$8</f>
        <v/>
      </c>
      <c r="O4175" s="11">
        <f>M4175-N4175</f>
        <v/>
      </c>
    </row>
    <row r="4176">
      <c r="A4176" s="9" t="n">
        <v>45465.91666666666</v>
      </c>
      <c r="B4176" t="n">
        <v>6</v>
      </c>
      <c r="C4176" t="n">
        <v>22</v>
      </c>
      <c r="D4176" t="n">
        <v>22</v>
      </c>
      <c r="E4176" s="10" t="n">
        <v>0</v>
      </c>
      <c r="F4176" s="10" t="n">
        <v>0.2155330597279343</v>
      </c>
      <c r="G4176" s="11">
        <f>E4176*Summary!$B$6</f>
        <v/>
      </c>
      <c r="H4176" s="11">
        <f>F4176*Summary!$B$7</f>
        <v/>
      </c>
      <c r="I4176" s="11">
        <f>MAX(0,N4176-M4176)</f>
        <v/>
      </c>
      <c r="J4176" s="11">
        <f>MAX(0,M4176-N4176)</f>
        <v/>
      </c>
      <c r="K4176" s="11">
        <f>O4176</f>
        <v/>
      </c>
      <c r="L4176" s="11">
        <f>L4175+IF(K4176&gt;0,K4176*Summary!$B$9,K4176/Summary!$B$9)</f>
        <v/>
      </c>
      <c r="M4176" s="11">
        <f>G4176+H4176</f>
        <v/>
      </c>
      <c r="N4176" s="11">
        <f>Summary!$C$16*Summary!$B$8</f>
        <v/>
      </c>
      <c r="O4176" s="11">
        <f>M4176-N4176</f>
        <v/>
      </c>
    </row>
    <row r="4177">
      <c r="A4177" s="9" t="n">
        <v>45465.95833333334</v>
      </c>
      <c r="B4177" t="n">
        <v>6</v>
      </c>
      <c r="C4177" t="n">
        <v>22</v>
      </c>
      <c r="D4177" t="n">
        <v>23</v>
      </c>
      <c r="E4177" s="10" t="n">
        <v>0</v>
      </c>
      <c r="F4177" s="10" t="n">
        <v>0.2223055253533261</v>
      </c>
      <c r="G4177" s="11">
        <f>E4177*Summary!$B$6</f>
        <v/>
      </c>
      <c r="H4177" s="11">
        <f>F4177*Summary!$B$7</f>
        <v/>
      </c>
      <c r="I4177" s="11">
        <f>MAX(0,N4177-M4177)</f>
        <v/>
      </c>
      <c r="J4177" s="11">
        <f>MAX(0,M4177-N4177)</f>
        <v/>
      </c>
      <c r="K4177" s="11">
        <f>O4177</f>
        <v/>
      </c>
      <c r="L4177" s="11">
        <f>L4176+IF(K4177&gt;0,K4177*Summary!$B$9,K4177/Summary!$B$9)</f>
        <v/>
      </c>
      <c r="M4177" s="11">
        <f>G4177+H4177</f>
        <v/>
      </c>
      <c r="N4177" s="11">
        <f>Summary!$C$16*Summary!$B$8</f>
        <v/>
      </c>
      <c r="O4177" s="11">
        <f>M4177-N4177</f>
        <v/>
      </c>
    </row>
    <row r="4178">
      <c r="A4178" s="9" t="n">
        <v>45466</v>
      </c>
      <c r="B4178" t="n">
        <v>6</v>
      </c>
      <c r="C4178" t="n">
        <v>23</v>
      </c>
      <c r="D4178" t="n">
        <v>0</v>
      </c>
      <c r="E4178" s="10" t="n">
        <v>0</v>
      </c>
      <c r="F4178" s="10" t="n">
        <v>0.203147616755428</v>
      </c>
      <c r="G4178" s="11">
        <f>E4178*Summary!$B$6</f>
        <v/>
      </c>
      <c r="H4178" s="11">
        <f>F4178*Summary!$B$7</f>
        <v/>
      </c>
      <c r="I4178" s="11">
        <f>MAX(0,N4178-M4178)</f>
        <v/>
      </c>
      <c r="J4178" s="11">
        <f>MAX(0,M4178-N4178)</f>
        <v/>
      </c>
      <c r="K4178" s="11">
        <f>O4178</f>
        <v/>
      </c>
      <c r="L4178" s="11">
        <f>L4177+IF(K4178&gt;0,K4178*Summary!$B$9,K4178/Summary!$B$9)</f>
        <v/>
      </c>
      <c r="M4178" s="11">
        <f>G4178+H4178</f>
        <v/>
      </c>
      <c r="N4178" s="11">
        <f>Summary!$C$16*Summary!$B$8</f>
        <v/>
      </c>
      <c r="O4178" s="11">
        <f>M4178-N4178</f>
        <v/>
      </c>
    </row>
    <row r="4179">
      <c r="A4179" s="9" t="n">
        <v>45466.04166666666</v>
      </c>
      <c r="B4179" t="n">
        <v>6</v>
      </c>
      <c r="C4179" t="n">
        <v>23</v>
      </c>
      <c r="D4179" t="n">
        <v>1</v>
      </c>
      <c r="E4179" s="10" t="n">
        <v>0</v>
      </c>
      <c r="F4179" s="10" t="n">
        <v>0.2129769151144596</v>
      </c>
      <c r="G4179" s="11">
        <f>E4179*Summary!$B$6</f>
        <v/>
      </c>
      <c r="H4179" s="11">
        <f>F4179*Summary!$B$7</f>
        <v/>
      </c>
      <c r="I4179" s="11">
        <f>MAX(0,N4179-M4179)</f>
        <v/>
      </c>
      <c r="J4179" s="11">
        <f>MAX(0,M4179-N4179)</f>
        <v/>
      </c>
      <c r="K4179" s="11">
        <f>O4179</f>
        <v/>
      </c>
      <c r="L4179" s="11">
        <f>L4178+IF(K4179&gt;0,K4179*Summary!$B$9,K4179/Summary!$B$9)</f>
        <v/>
      </c>
      <c r="M4179" s="11">
        <f>G4179+H4179</f>
        <v/>
      </c>
      <c r="N4179" s="11">
        <f>Summary!$C$16*Summary!$B$8</f>
        <v/>
      </c>
      <c r="O4179" s="11">
        <f>M4179-N4179</f>
        <v/>
      </c>
    </row>
    <row r="4180">
      <c r="A4180" s="9" t="n">
        <v>45466.08333333334</v>
      </c>
      <c r="B4180" t="n">
        <v>6</v>
      </c>
      <c r="C4180" t="n">
        <v>23</v>
      </c>
      <c r="D4180" t="n">
        <v>2</v>
      </c>
      <c r="E4180" s="10" t="n">
        <v>0</v>
      </c>
      <c r="F4180" s="10" t="n">
        <v>0.1961906870857649</v>
      </c>
      <c r="G4180" s="11">
        <f>E4180*Summary!$B$6</f>
        <v/>
      </c>
      <c r="H4180" s="11">
        <f>F4180*Summary!$B$7</f>
        <v/>
      </c>
      <c r="I4180" s="11">
        <f>MAX(0,N4180-M4180)</f>
        <v/>
      </c>
      <c r="J4180" s="11">
        <f>MAX(0,M4180-N4180)</f>
        <v/>
      </c>
      <c r="K4180" s="11">
        <f>O4180</f>
        <v/>
      </c>
      <c r="L4180" s="11">
        <f>L4179+IF(K4180&gt;0,K4180*Summary!$B$9,K4180/Summary!$B$9)</f>
        <v/>
      </c>
      <c r="M4180" s="11">
        <f>G4180+H4180</f>
        <v/>
      </c>
      <c r="N4180" s="11">
        <f>Summary!$C$16*Summary!$B$8</f>
        <v/>
      </c>
      <c r="O4180" s="11">
        <f>M4180-N4180</f>
        <v/>
      </c>
    </row>
    <row r="4181">
      <c r="A4181" s="9" t="n">
        <v>45466.125</v>
      </c>
      <c r="B4181" t="n">
        <v>6</v>
      </c>
      <c r="C4181" t="n">
        <v>23</v>
      </c>
      <c r="D4181" t="n">
        <v>3</v>
      </c>
      <c r="E4181" s="10" t="n">
        <v>0</v>
      </c>
      <c r="F4181" s="10" t="n">
        <v>0.1811436914744859</v>
      </c>
      <c r="G4181" s="11">
        <f>E4181*Summary!$B$6</f>
        <v/>
      </c>
      <c r="H4181" s="11">
        <f>F4181*Summary!$B$7</f>
        <v/>
      </c>
      <c r="I4181" s="11">
        <f>MAX(0,N4181-M4181)</f>
        <v/>
      </c>
      <c r="J4181" s="11">
        <f>MAX(0,M4181-N4181)</f>
        <v/>
      </c>
      <c r="K4181" s="11">
        <f>O4181</f>
        <v/>
      </c>
      <c r="L4181" s="11">
        <f>L4180+IF(K4181&gt;0,K4181*Summary!$B$9,K4181/Summary!$B$9)</f>
        <v/>
      </c>
      <c r="M4181" s="11">
        <f>G4181+H4181</f>
        <v/>
      </c>
      <c r="N4181" s="11">
        <f>Summary!$C$16*Summary!$B$8</f>
        <v/>
      </c>
      <c r="O4181" s="11">
        <f>M4181-N4181</f>
        <v/>
      </c>
    </row>
    <row r="4182">
      <c r="A4182" s="9" t="n">
        <v>45466.16666666666</v>
      </c>
      <c r="B4182" t="n">
        <v>6</v>
      </c>
      <c r="C4182" t="n">
        <v>23</v>
      </c>
      <c r="D4182" t="n">
        <v>4</v>
      </c>
      <c r="E4182" s="10" t="n">
        <v>0.034122</v>
      </c>
      <c r="F4182" s="10" t="n">
        <v>0.1645682794963871</v>
      </c>
      <c r="G4182" s="11">
        <f>E4182*Summary!$B$6</f>
        <v/>
      </c>
      <c r="H4182" s="11">
        <f>F4182*Summary!$B$7</f>
        <v/>
      </c>
      <c r="I4182" s="11">
        <f>MAX(0,N4182-M4182)</f>
        <v/>
      </c>
      <c r="J4182" s="11">
        <f>MAX(0,M4182-N4182)</f>
        <v/>
      </c>
      <c r="K4182" s="11">
        <f>O4182</f>
        <v/>
      </c>
      <c r="L4182" s="11">
        <f>L4181+IF(K4182&gt;0,K4182*Summary!$B$9,K4182/Summary!$B$9)</f>
        <v/>
      </c>
      <c r="M4182" s="11">
        <f>G4182+H4182</f>
        <v/>
      </c>
      <c r="N4182" s="11">
        <f>Summary!$C$16*Summary!$B$8</f>
        <v/>
      </c>
      <c r="O4182" s="11">
        <f>M4182-N4182</f>
        <v/>
      </c>
    </row>
    <row r="4183">
      <c r="A4183" s="9" t="n">
        <v>45466.20833333334</v>
      </c>
      <c r="B4183" t="n">
        <v>6</v>
      </c>
      <c r="C4183" t="n">
        <v>23</v>
      </c>
      <c r="D4183" t="n">
        <v>5</v>
      </c>
      <c r="E4183" s="10" t="n">
        <v>0.061354</v>
      </c>
      <c r="F4183" s="10" t="n">
        <v>0.1443035866328608</v>
      </c>
      <c r="G4183" s="11">
        <f>E4183*Summary!$B$6</f>
        <v/>
      </c>
      <c r="H4183" s="11">
        <f>F4183*Summary!$B$7</f>
        <v/>
      </c>
      <c r="I4183" s="11">
        <f>MAX(0,N4183-M4183)</f>
        <v/>
      </c>
      <c r="J4183" s="11">
        <f>MAX(0,M4183-N4183)</f>
        <v/>
      </c>
      <c r="K4183" s="11">
        <f>O4183</f>
        <v/>
      </c>
      <c r="L4183" s="11">
        <f>L4182+IF(K4183&gt;0,K4183*Summary!$B$9,K4183/Summary!$B$9)</f>
        <v/>
      </c>
      <c r="M4183" s="11">
        <f>G4183+H4183</f>
        <v/>
      </c>
      <c r="N4183" s="11">
        <f>Summary!$C$16*Summary!$B$8</f>
        <v/>
      </c>
      <c r="O4183" s="11">
        <f>M4183-N4183</f>
        <v/>
      </c>
    </row>
    <row r="4184">
      <c r="A4184" s="9" t="n">
        <v>45466.25</v>
      </c>
      <c r="B4184" t="n">
        <v>6</v>
      </c>
      <c r="C4184" t="n">
        <v>23</v>
      </c>
      <c r="D4184" t="n">
        <v>6</v>
      </c>
      <c r="E4184" s="10" t="n">
        <v>0.173109</v>
      </c>
      <c r="F4184" s="10" t="n">
        <v>0.1250402700096648</v>
      </c>
      <c r="G4184" s="11">
        <f>E4184*Summary!$B$6</f>
        <v/>
      </c>
      <c r="H4184" s="11">
        <f>F4184*Summary!$B$7</f>
        <v/>
      </c>
      <c r="I4184" s="11">
        <f>MAX(0,N4184-M4184)</f>
        <v/>
      </c>
      <c r="J4184" s="11">
        <f>MAX(0,M4184-N4184)</f>
        <v/>
      </c>
      <c r="K4184" s="11">
        <f>O4184</f>
        <v/>
      </c>
      <c r="L4184" s="11">
        <f>L4183+IF(K4184&gt;0,K4184*Summary!$B$9,K4184/Summary!$B$9)</f>
        <v/>
      </c>
      <c r="M4184" s="11">
        <f>G4184+H4184</f>
        <v/>
      </c>
      <c r="N4184" s="11">
        <f>Summary!$C$16*Summary!$B$8</f>
        <v/>
      </c>
      <c r="O4184" s="11">
        <f>M4184-N4184</f>
        <v/>
      </c>
    </row>
    <row r="4185">
      <c r="A4185" s="9" t="n">
        <v>45466.29166666666</v>
      </c>
      <c r="B4185" t="n">
        <v>6</v>
      </c>
      <c r="C4185" t="n">
        <v>23</v>
      </c>
      <c r="D4185" t="n">
        <v>7</v>
      </c>
      <c r="E4185" s="10" t="n">
        <v>0.283085</v>
      </c>
      <c r="F4185" s="10" t="n">
        <v>0.1144731154735477</v>
      </c>
      <c r="G4185" s="11">
        <f>E4185*Summary!$B$6</f>
        <v/>
      </c>
      <c r="H4185" s="11">
        <f>F4185*Summary!$B$7</f>
        <v/>
      </c>
      <c r="I4185" s="11">
        <f>MAX(0,N4185-M4185)</f>
        <v/>
      </c>
      <c r="J4185" s="11">
        <f>MAX(0,M4185-N4185)</f>
        <v/>
      </c>
      <c r="K4185" s="11">
        <f>O4185</f>
        <v/>
      </c>
      <c r="L4185" s="11">
        <f>L4184+IF(K4185&gt;0,K4185*Summary!$B$9,K4185/Summary!$B$9)</f>
        <v/>
      </c>
      <c r="M4185" s="11">
        <f>G4185+H4185</f>
        <v/>
      </c>
      <c r="N4185" s="11">
        <f>Summary!$C$16*Summary!$B$8</f>
        <v/>
      </c>
      <c r="O4185" s="11">
        <f>M4185-N4185</f>
        <v/>
      </c>
    </row>
    <row r="4186">
      <c r="A4186" s="9" t="n">
        <v>45466.33333333334</v>
      </c>
      <c r="B4186" t="n">
        <v>6</v>
      </c>
      <c r="C4186" t="n">
        <v>23</v>
      </c>
      <c r="D4186" t="n">
        <v>8</v>
      </c>
      <c r="E4186" s="10" t="n">
        <v>0.570312</v>
      </c>
      <c r="F4186" s="10" t="n">
        <v>0.1107838345881203</v>
      </c>
      <c r="G4186" s="11">
        <f>E4186*Summary!$B$6</f>
        <v/>
      </c>
      <c r="H4186" s="11">
        <f>F4186*Summary!$B$7</f>
        <v/>
      </c>
      <c r="I4186" s="11">
        <f>MAX(0,N4186-M4186)</f>
        <v/>
      </c>
      <c r="J4186" s="11">
        <f>MAX(0,M4186-N4186)</f>
        <v/>
      </c>
      <c r="K4186" s="11">
        <f>O4186</f>
        <v/>
      </c>
      <c r="L4186" s="11">
        <f>L4185+IF(K4186&gt;0,K4186*Summary!$B$9,K4186/Summary!$B$9)</f>
        <v/>
      </c>
      <c r="M4186" s="11">
        <f>G4186+H4186</f>
        <v/>
      </c>
      <c r="N4186" s="11">
        <f>Summary!$C$16*Summary!$B$8</f>
        <v/>
      </c>
      <c r="O4186" s="11">
        <f>M4186-N4186</f>
        <v/>
      </c>
    </row>
    <row r="4187">
      <c r="A4187" s="9" t="n">
        <v>45466.375</v>
      </c>
      <c r="B4187" t="n">
        <v>6</v>
      </c>
      <c r="C4187" t="n">
        <v>23</v>
      </c>
      <c r="D4187" t="n">
        <v>9</v>
      </c>
      <c r="E4187" s="10" t="n">
        <v>0.6468429999999999</v>
      </c>
      <c r="F4187" s="10" t="n">
        <v>0.1149210995810639</v>
      </c>
      <c r="G4187" s="11">
        <f>E4187*Summary!$B$6</f>
        <v/>
      </c>
      <c r="H4187" s="11">
        <f>F4187*Summary!$B$7</f>
        <v/>
      </c>
      <c r="I4187" s="11">
        <f>MAX(0,N4187-M4187)</f>
        <v/>
      </c>
      <c r="J4187" s="11">
        <f>MAX(0,M4187-N4187)</f>
        <v/>
      </c>
      <c r="K4187" s="11">
        <f>O4187</f>
        <v/>
      </c>
      <c r="L4187" s="11">
        <f>L4186+IF(K4187&gt;0,K4187*Summary!$B$9,K4187/Summary!$B$9)</f>
        <v/>
      </c>
      <c r="M4187" s="11">
        <f>G4187+H4187</f>
        <v/>
      </c>
      <c r="N4187" s="11">
        <f>Summary!$C$16*Summary!$B$8</f>
        <v/>
      </c>
      <c r="O4187" s="11">
        <f>M4187-N4187</f>
        <v/>
      </c>
    </row>
    <row r="4188">
      <c r="A4188" s="9" t="n">
        <v>45466.41666666666</v>
      </c>
      <c r="B4188" t="n">
        <v>6</v>
      </c>
      <c r="C4188" t="n">
        <v>23</v>
      </c>
      <c r="D4188" t="n">
        <v>10</v>
      </c>
      <c r="E4188" s="10" t="n">
        <v>0.754058</v>
      </c>
      <c r="F4188" s="10" t="n">
        <v>0.1167657400237776</v>
      </c>
      <c r="G4188" s="11">
        <f>E4188*Summary!$B$6</f>
        <v/>
      </c>
      <c r="H4188" s="11">
        <f>F4188*Summary!$B$7</f>
        <v/>
      </c>
      <c r="I4188" s="11">
        <f>MAX(0,N4188-M4188)</f>
        <v/>
      </c>
      <c r="J4188" s="11">
        <f>MAX(0,M4188-N4188)</f>
        <v/>
      </c>
      <c r="K4188" s="11">
        <f>O4188</f>
        <v/>
      </c>
      <c r="L4188" s="11">
        <f>L4187+IF(K4188&gt;0,K4188*Summary!$B$9,K4188/Summary!$B$9)</f>
        <v/>
      </c>
      <c r="M4188" s="11">
        <f>G4188+H4188</f>
        <v/>
      </c>
      <c r="N4188" s="11">
        <f>Summary!$C$16*Summary!$B$8</f>
        <v/>
      </c>
      <c r="O4188" s="11">
        <f>M4188-N4188</f>
        <v/>
      </c>
    </row>
    <row r="4189">
      <c r="A4189" s="9" t="n">
        <v>45466.45833333334</v>
      </c>
      <c r="B4189" t="n">
        <v>6</v>
      </c>
      <c r="C4189" t="n">
        <v>23</v>
      </c>
      <c r="D4189" t="n">
        <v>11</v>
      </c>
      <c r="E4189" s="10" t="n">
        <v>0.754058</v>
      </c>
      <c r="F4189" s="10" t="n">
        <v>0.1308113593947262</v>
      </c>
      <c r="G4189" s="11">
        <f>E4189*Summary!$B$6</f>
        <v/>
      </c>
      <c r="H4189" s="11">
        <f>F4189*Summary!$B$7</f>
        <v/>
      </c>
      <c r="I4189" s="11">
        <f>MAX(0,N4189-M4189)</f>
        <v/>
      </c>
      <c r="J4189" s="11">
        <f>MAX(0,M4189-N4189)</f>
        <v/>
      </c>
      <c r="K4189" s="11">
        <f>O4189</f>
        <v/>
      </c>
      <c r="L4189" s="11">
        <f>L4188+IF(K4189&gt;0,K4189*Summary!$B$9,K4189/Summary!$B$9)</f>
        <v/>
      </c>
      <c r="M4189" s="11">
        <f>G4189+H4189</f>
        <v/>
      </c>
      <c r="N4189" s="11">
        <f>Summary!$C$16*Summary!$B$8</f>
        <v/>
      </c>
      <c r="O4189" s="11">
        <f>M4189-N4189</f>
        <v/>
      </c>
    </row>
    <row r="4190">
      <c r="A4190" s="9" t="n">
        <v>45466.5</v>
      </c>
      <c r="B4190" t="n">
        <v>6</v>
      </c>
      <c r="C4190" t="n">
        <v>23</v>
      </c>
      <c r="D4190" t="n">
        <v>12</v>
      </c>
      <c r="E4190" s="10" t="n">
        <v>0.754058</v>
      </c>
      <c r="F4190" s="10" t="n">
        <v>0.123353741604898</v>
      </c>
      <c r="G4190" s="11">
        <f>E4190*Summary!$B$6</f>
        <v/>
      </c>
      <c r="H4190" s="11">
        <f>F4190*Summary!$B$7</f>
        <v/>
      </c>
      <c r="I4190" s="11">
        <f>MAX(0,N4190-M4190)</f>
        <v/>
      </c>
      <c r="J4190" s="11">
        <f>MAX(0,M4190-N4190)</f>
        <v/>
      </c>
      <c r="K4190" s="11">
        <f>O4190</f>
        <v/>
      </c>
      <c r="L4190" s="11">
        <f>L4189+IF(K4190&gt;0,K4190*Summary!$B$9,K4190/Summary!$B$9)</f>
        <v/>
      </c>
      <c r="M4190" s="11">
        <f>G4190+H4190</f>
        <v/>
      </c>
      <c r="N4190" s="11">
        <f>Summary!$C$16*Summary!$B$8</f>
        <v/>
      </c>
      <c r="O4190" s="11">
        <f>M4190-N4190</f>
        <v/>
      </c>
    </row>
    <row r="4191">
      <c r="A4191" s="9" t="n">
        <v>45466.54166666666</v>
      </c>
      <c r="B4191" t="n">
        <v>6</v>
      </c>
      <c r="C4191" t="n">
        <v>23</v>
      </c>
      <c r="D4191" t="n">
        <v>13</v>
      </c>
      <c r="E4191" s="10" t="n">
        <v>0.754058</v>
      </c>
      <c r="F4191" s="10" t="n">
        <v>0.1267531504207561</v>
      </c>
      <c r="G4191" s="11">
        <f>E4191*Summary!$B$6</f>
        <v/>
      </c>
      <c r="H4191" s="11">
        <f>F4191*Summary!$B$7</f>
        <v/>
      </c>
      <c r="I4191" s="11">
        <f>MAX(0,N4191-M4191)</f>
        <v/>
      </c>
      <c r="J4191" s="11">
        <f>MAX(0,M4191-N4191)</f>
        <v/>
      </c>
      <c r="K4191" s="11">
        <f>O4191</f>
        <v/>
      </c>
      <c r="L4191" s="11">
        <f>L4190+IF(K4191&gt;0,K4191*Summary!$B$9,K4191/Summary!$B$9)</f>
        <v/>
      </c>
      <c r="M4191" s="11">
        <f>G4191+H4191</f>
        <v/>
      </c>
      <c r="N4191" s="11">
        <f>Summary!$C$16*Summary!$B$8</f>
        <v/>
      </c>
      <c r="O4191" s="11">
        <f>M4191-N4191</f>
        <v/>
      </c>
    </row>
    <row r="4192">
      <c r="A4192" s="9" t="n">
        <v>45466.58333333334</v>
      </c>
      <c r="B4192" t="n">
        <v>6</v>
      </c>
      <c r="C4192" t="n">
        <v>23</v>
      </c>
      <c r="D4192" t="n">
        <v>14</v>
      </c>
      <c r="E4192" s="10" t="n">
        <v>0.754058</v>
      </c>
      <c r="F4192" s="10" t="n">
        <v>0.137583825020118</v>
      </c>
      <c r="G4192" s="11">
        <f>E4192*Summary!$B$6</f>
        <v/>
      </c>
      <c r="H4192" s="11">
        <f>F4192*Summary!$B$7</f>
        <v/>
      </c>
      <c r="I4192" s="11">
        <f>MAX(0,N4192-M4192)</f>
        <v/>
      </c>
      <c r="J4192" s="11">
        <f>MAX(0,M4192-N4192)</f>
        <v/>
      </c>
      <c r="K4192" s="11">
        <f>O4192</f>
        <v/>
      </c>
      <c r="L4192" s="11">
        <f>L4191+IF(K4192&gt;0,K4192*Summary!$B$9,K4192/Summary!$B$9)</f>
        <v/>
      </c>
      <c r="M4192" s="11">
        <f>G4192+H4192</f>
        <v/>
      </c>
      <c r="N4192" s="11">
        <f>Summary!$C$16*Summary!$B$8</f>
        <v/>
      </c>
      <c r="O4192" s="11">
        <f>M4192-N4192</f>
        <v/>
      </c>
    </row>
    <row r="4193">
      <c r="A4193" s="9" t="n">
        <v>45466.625</v>
      </c>
      <c r="B4193" t="n">
        <v>6</v>
      </c>
      <c r="C4193" t="n">
        <v>23</v>
      </c>
      <c r="D4193" t="n">
        <v>15</v>
      </c>
      <c r="E4193" s="10" t="n">
        <v>0.633931</v>
      </c>
      <c r="F4193" s="10" t="n">
        <v>0.1327350558564134</v>
      </c>
      <c r="G4193" s="11">
        <f>E4193*Summary!$B$6</f>
        <v/>
      </c>
      <c r="H4193" s="11">
        <f>F4193*Summary!$B$7</f>
        <v/>
      </c>
      <c r="I4193" s="11">
        <f>MAX(0,N4193-M4193)</f>
        <v/>
      </c>
      <c r="J4193" s="11">
        <f>MAX(0,M4193-N4193)</f>
        <v/>
      </c>
      <c r="K4193" s="11">
        <f>O4193</f>
        <v/>
      </c>
      <c r="L4193" s="11">
        <f>L4192+IF(K4193&gt;0,K4193*Summary!$B$9,K4193/Summary!$B$9)</f>
        <v/>
      </c>
      <c r="M4193" s="11">
        <f>G4193+H4193</f>
        <v/>
      </c>
      <c r="N4193" s="11">
        <f>Summary!$C$16*Summary!$B$8</f>
        <v/>
      </c>
      <c r="O4193" s="11">
        <f>M4193-N4193</f>
        <v/>
      </c>
    </row>
    <row r="4194">
      <c r="A4194" s="9" t="n">
        <v>45466.66666666666</v>
      </c>
      <c r="B4194" t="n">
        <v>6</v>
      </c>
      <c r="C4194" t="n">
        <v>23</v>
      </c>
      <c r="D4194" t="n">
        <v>16</v>
      </c>
      <c r="E4194" s="10" t="n">
        <v>0.34015</v>
      </c>
      <c r="F4194" s="10" t="n">
        <v>0.1451732028415687</v>
      </c>
      <c r="G4194" s="11">
        <f>E4194*Summary!$B$6</f>
        <v/>
      </c>
      <c r="H4194" s="11">
        <f>F4194*Summary!$B$7</f>
        <v/>
      </c>
      <c r="I4194" s="11">
        <f>MAX(0,N4194-M4194)</f>
        <v/>
      </c>
      <c r="J4194" s="11">
        <f>MAX(0,M4194-N4194)</f>
        <v/>
      </c>
      <c r="K4194" s="11">
        <f>O4194</f>
        <v/>
      </c>
      <c r="L4194" s="11">
        <f>L4193+IF(K4194&gt;0,K4194*Summary!$B$9,K4194/Summary!$B$9)</f>
        <v/>
      </c>
      <c r="M4194" s="11">
        <f>G4194+H4194</f>
        <v/>
      </c>
      <c r="N4194" s="11">
        <f>Summary!$C$16*Summary!$B$8</f>
        <v/>
      </c>
      <c r="O4194" s="11">
        <f>M4194-N4194</f>
        <v/>
      </c>
    </row>
    <row r="4195">
      <c r="A4195" s="9" t="n">
        <v>45466.70833333334</v>
      </c>
      <c r="B4195" t="n">
        <v>6</v>
      </c>
      <c r="C4195" t="n">
        <v>23</v>
      </c>
      <c r="D4195" t="n">
        <v>17</v>
      </c>
      <c r="E4195" s="10" t="n">
        <v>0.193665</v>
      </c>
      <c r="F4195" s="10" t="n">
        <v>0.1407987697917047</v>
      </c>
      <c r="G4195" s="11">
        <f>E4195*Summary!$B$6</f>
        <v/>
      </c>
      <c r="H4195" s="11">
        <f>F4195*Summary!$B$7</f>
        <v/>
      </c>
      <c r="I4195" s="11">
        <f>MAX(0,N4195-M4195)</f>
        <v/>
      </c>
      <c r="J4195" s="11">
        <f>MAX(0,M4195-N4195)</f>
        <v/>
      </c>
      <c r="K4195" s="11">
        <f>O4195</f>
        <v/>
      </c>
      <c r="L4195" s="11">
        <f>L4194+IF(K4195&gt;0,K4195*Summary!$B$9,K4195/Summary!$B$9)</f>
        <v/>
      </c>
      <c r="M4195" s="11">
        <f>G4195+H4195</f>
        <v/>
      </c>
      <c r="N4195" s="11">
        <f>Summary!$C$16*Summary!$B$8</f>
        <v/>
      </c>
      <c r="O4195" s="11">
        <f>M4195-N4195</f>
        <v/>
      </c>
    </row>
    <row r="4196">
      <c r="A4196" s="9" t="n">
        <v>45466.75</v>
      </c>
      <c r="B4196" t="n">
        <v>6</v>
      </c>
      <c r="C4196" t="n">
        <v>23</v>
      </c>
      <c r="D4196" t="n">
        <v>18</v>
      </c>
      <c r="E4196" s="10" t="n">
        <v>0.104336</v>
      </c>
      <c r="F4196" s="10" t="n">
        <v>0.1466752672020641</v>
      </c>
      <c r="G4196" s="11">
        <f>E4196*Summary!$B$6</f>
        <v/>
      </c>
      <c r="H4196" s="11">
        <f>F4196*Summary!$B$7</f>
        <v/>
      </c>
      <c r="I4196" s="11">
        <f>MAX(0,N4196-M4196)</f>
        <v/>
      </c>
      <c r="J4196" s="11">
        <f>MAX(0,M4196-N4196)</f>
        <v/>
      </c>
      <c r="K4196" s="11">
        <f>O4196</f>
        <v/>
      </c>
      <c r="L4196" s="11">
        <f>L4195+IF(K4196&gt;0,K4196*Summary!$B$9,K4196/Summary!$B$9)</f>
        <v/>
      </c>
      <c r="M4196" s="11">
        <f>G4196+H4196</f>
        <v/>
      </c>
      <c r="N4196" s="11">
        <f>Summary!$C$16*Summary!$B$8</f>
        <v/>
      </c>
      <c r="O4196" s="11">
        <f>M4196-N4196</f>
        <v/>
      </c>
    </row>
    <row r="4197">
      <c r="A4197" s="9" t="n">
        <v>45466.79166666666</v>
      </c>
      <c r="B4197" t="n">
        <v>6</v>
      </c>
      <c r="C4197" t="n">
        <v>23</v>
      </c>
      <c r="D4197" t="n">
        <v>19</v>
      </c>
      <c r="E4197" s="10" t="n">
        <v>0.052124</v>
      </c>
      <c r="F4197" s="10" t="n">
        <v>0.1606154785477149</v>
      </c>
      <c r="G4197" s="11">
        <f>E4197*Summary!$B$6</f>
        <v/>
      </c>
      <c r="H4197" s="11">
        <f>F4197*Summary!$B$7</f>
        <v/>
      </c>
      <c r="I4197" s="11">
        <f>MAX(0,N4197-M4197)</f>
        <v/>
      </c>
      <c r="J4197" s="11">
        <f>MAX(0,M4197-N4197)</f>
        <v/>
      </c>
      <c r="K4197" s="11">
        <f>O4197</f>
        <v/>
      </c>
      <c r="L4197" s="11">
        <f>L4196+IF(K4197&gt;0,K4197*Summary!$B$9,K4197/Summary!$B$9)</f>
        <v/>
      </c>
      <c r="M4197" s="11">
        <f>G4197+H4197</f>
        <v/>
      </c>
      <c r="N4197" s="11">
        <f>Summary!$C$16*Summary!$B$8</f>
        <v/>
      </c>
      <c r="O4197" s="11">
        <f>M4197-N4197</f>
        <v/>
      </c>
    </row>
    <row r="4198">
      <c r="A4198" s="9" t="n">
        <v>45466.83333333334</v>
      </c>
      <c r="B4198" t="n">
        <v>6</v>
      </c>
      <c r="C4198" t="n">
        <v>23</v>
      </c>
      <c r="D4198" t="n">
        <v>20</v>
      </c>
      <c r="E4198" s="10" t="n">
        <v>0.01415</v>
      </c>
      <c r="F4198" s="10" t="n">
        <v>0.1796943311266395</v>
      </c>
      <c r="G4198" s="11">
        <f>E4198*Summary!$B$6</f>
        <v/>
      </c>
      <c r="H4198" s="11">
        <f>F4198*Summary!$B$7</f>
        <v/>
      </c>
      <c r="I4198" s="11">
        <f>MAX(0,N4198-M4198)</f>
        <v/>
      </c>
      <c r="J4198" s="11">
        <f>MAX(0,M4198-N4198)</f>
        <v/>
      </c>
      <c r="K4198" s="11">
        <f>O4198</f>
        <v/>
      </c>
      <c r="L4198" s="11">
        <f>L4197+IF(K4198&gt;0,K4198*Summary!$B$9,K4198/Summary!$B$9)</f>
        <v/>
      </c>
      <c r="M4198" s="11">
        <f>G4198+H4198</f>
        <v/>
      </c>
      <c r="N4198" s="11">
        <f>Summary!$C$16*Summary!$B$8</f>
        <v/>
      </c>
      <c r="O4198" s="11">
        <f>M4198-N4198</f>
        <v/>
      </c>
    </row>
    <row r="4199">
      <c r="A4199" s="9" t="n">
        <v>45466.875</v>
      </c>
      <c r="B4199" t="n">
        <v>6</v>
      </c>
      <c r="C4199" t="n">
        <v>23</v>
      </c>
      <c r="D4199" t="n">
        <v>21</v>
      </c>
      <c r="E4199" s="10" t="n">
        <v>0</v>
      </c>
      <c r="F4199" s="10" t="n">
        <v>0.1965859671806321</v>
      </c>
      <c r="G4199" s="11">
        <f>E4199*Summary!$B$6</f>
        <v/>
      </c>
      <c r="H4199" s="11">
        <f>F4199*Summary!$B$7</f>
        <v/>
      </c>
      <c r="I4199" s="11">
        <f>MAX(0,N4199-M4199)</f>
        <v/>
      </c>
      <c r="J4199" s="11">
        <f>MAX(0,M4199-N4199)</f>
        <v/>
      </c>
      <c r="K4199" s="11">
        <f>O4199</f>
        <v/>
      </c>
      <c r="L4199" s="11">
        <f>L4198+IF(K4199&gt;0,K4199*Summary!$B$9,K4199/Summary!$B$9)</f>
        <v/>
      </c>
      <c r="M4199" s="11">
        <f>G4199+H4199</f>
        <v/>
      </c>
      <c r="N4199" s="11">
        <f>Summary!$C$16*Summary!$B$8</f>
        <v/>
      </c>
      <c r="O4199" s="11">
        <f>M4199-N4199</f>
        <v/>
      </c>
    </row>
    <row r="4200">
      <c r="A4200" s="9" t="n">
        <v>45466.91666666666</v>
      </c>
      <c r="B4200" t="n">
        <v>6</v>
      </c>
      <c r="C4200" t="n">
        <v>23</v>
      </c>
      <c r="D4200" t="n">
        <v>22</v>
      </c>
      <c r="E4200" s="10" t="n">
        <v>0</v>
      </c>
      <c r="F4200" s="10" t="n">
        <v>0.2065733775776106</v>
      </c>
      <c r="G4200" s="11">
        <f>E4200*Summary!$B$6</f>
        <v/>
      </c>
      <c r="H4200" s="11">
        <f>F4200*Summary!$B$7</f>
        <v/>
      </c>
      <c r="I4200" s="11">
        <f>MAX(0,N4200-M4200)</f>
        <v/>
      </c>
      <c r="J4200" s="11">
        <f>MAX(0,M4200-N4200)</f>
        <v/>
      </c>
      <c r="K4200" s="11">
        <f>O4200</f>
        <v/>
      </c>
      <c r="L4200" s="11">
        <f>L4199+IF(K4200&gt;0,K4200*Summary!$B$9,K4200/Summary!$B$9)</f>
        <v/>
      </c>
      <c r="M4200" s="11">
        <f>G4200+H4200</f>
        <v/>
      </c>
      <c r="N4200" s="11">
        <f>Summary!$C$16*Summary!$B$8</f>
        <v/>
      </c>
      <c r="O4200" s="11">
        <f>M4200-N4200</f>
        <v/>
      </c>
    </row>
    <row r="4201">
      <c r="A4201" s="9" t="n">
        <v>45466.95833333334</v>
      </c>
      <c r="B4201" t="n">
        <v>6</v>
      </c>
      <c r="C4201" t="n">
        <v>23</v>
      </c>
      <c r="D4201" t="n">
        <v>23</v>
      </c>
      <c r="E4201" s="10" t="n">
        <v>0</v>
      </c>
      <c r="F4201" s="10" t="n">
        <v>0.208892354134165</v>
      </c>
      <c r="G4201" s="11">
        <f>E4201*Summary!$B$6</f>
        <v/>
      </c>
      <c r="H4201" s="11">
        <f>F4201*Summary!$B$7</f>
        <v/>
      </c>
      <c r="I4201" s="11">
        <f>MAX(0,N4201-M4201)</f>
        <v/>
      </c>
      <c r="J4201" s="11">
        <f>MAX(0,M4201-N4201)</f>
        <v/>
      </c>
      <c r="K4201" s="11">
        <f>O4201</f>
        <v/>
      </c>
      <c r="L4201" s="11">
        <f>L4200+IF(K4201&gt;0,K4201*Summary!$B$9,K4201/Summary!$B$9)</f>
        <v/>
      </c>
      <c r="M4201" s="11">
        <f>G4201+H4201</f>
        <v/>
      </c>
      <c r="N4201" s="11">
        <f>Summary!$C$16*Summary!$B$8</f>
        <v/>
      </c>
      <c r="O4201" s="11">
        <f>M4201-N4201</f>
        <v/>
      </c>
    </row>
    <row r="4202">
      <c r="A4202" s="9" t="n">
        <v>45467</v>
      </c>
      <c r="B4202" t="n">
        <v>6</v>
      </c>
      <c r="C4202" t="n">
        <v>24</v>
      </c>
      <c r="D4202" t="n">
        <v>0</v>
      </c>
      <c r="E4202" s="10" t="n">
        <v>0</v>
      </c>
      <c r="F4202" s="10" t="n">
        <v>0.2149269635824713</v>
      </c>
      <c r="G4202" s="11">
        <f>E4202*Summary!$B$6</f>
        <v/>
      </c>
      <c r="H4202" s="11">
        <f>F4202*Summary!$B$7</f>
        <v/>
      </c>
      <c r="I4202" s="11">
        <f>MAX(0,N4202-M4202)</f>
        <v/>
      </c>
      <c r="J4202" s="11">
        <f>MAX(0,M4202-N4202)</f>
        <v/>
      </c>
      <c r="K4202" s="11">
        <f>O4202</f>
        <v/>
      </c>
      <c r="L4202" s="11">
        <f>L4201+IF(K4202&gt;0,K4202*Summary!$B$9,K4202/Summary!$B$9)</f>
        <v/>
      </c>
      <c r="M4202" s="11">
        <f>G4202+H4202</f>
        <v/>
      </c>
      <c r="N4202" s="11">
        <f>Summary!$C$16*Summary!$B$8</f>
        <v/>
      </c>
      <c r="O4202" s="11">
        <f>M4202-N4202</f>
        <v/>
      </c>
    </row>
    <row r="4203">
      <c r="A4203" s="9" t="n">
        <v>45467.04166666666</v>
      </c>
      <c r="B4203" t="n">
        <v>6</v>
      </c>
      <c r="C4203" t="n">
        <v>24</v>
      </c>
      <c r="D4203" t="n">
        <v>1</v>
      </c>
      <c r="E4203" s="10" t="n">
        <v>0</v>
      </c>
      <c r="F4203" s="10" t="n">
        <v>0.1912101578904379</v>
      </c>
      <c r="G4203" s="11">
        <f>E4203*Summary!$B$6</f>
        <v/>
      </c>
      <c r="H4203" s="11">
        <f>F4203*Summary!$B$7</f>
        <v/>
      </c>
      <c r="I4203" s="11">
        <f>MAX(0,N4203-M4203)</f>
        <v/>
      </c>
      <c r="J4203" s="11">
        <f>MAX(0,M4203-N4203)</f>
        <v/>
      </c>
      <c r="K4203" s="11">
        <f>O4203</f>
        <v/>
      </c>
      <c r="L4203" s="11">
        <f>L4202+IF(K4203&gt;0,K4203*Summary!$B$9,K4203/Summary!$B$9)</f>
        <v/>
      </c>
      <c r="M4203" s="11">
        <f>G4203+H4203</f>
        <v/>
      </c>
      <c r="N4203" s="11">
        <f>Summary!$C$16*Summary!$B$8</f>
        <v/>
      </c>
      <c r="O4203" s="11">
        <f>M4203-N4203</f>
        <v/>
      </c>
    </row>
    <row r="4204">
      <c r="A4204" s="9" t="n">
        <v>45467.08333333334</v>
      </c>
      <c r="B4204" t="n">
        <v>6</v>
      </c>
      <c r="C4204" t="n">
        <v>24</v>
      </c>
      <c r="D4204" t="n">
        <v>2</v>
      </c>
      <c r="E4204" s="10" t="n">
        <v>0</v>
      </c>
      <c r="F4204" s="10" t="n">
        <v>0.193950766548184</v>
      </c>
      <c r="G4204" s="11">
        <f>E4204*Summary!$B$6</f>
        <v/>
      </c>
      <c r="H4204" s="11">
        <f>F4204*Summary!$B$7</f>
        <v/>
      </c>
      <c r="I4204" s="11">
        <f>MAX(0,N4204-M4204)</f>
        <v/>
      </c>
      <c r="J4204" s="11">
        <f>MAX(0,M4204-N4204)</f>
        <v/>
      </c>
      <c r="K4204" s="11">
        <f>O4204</f>
        <v/>
      </c>
      <c r="L4204" s="11">
        <f>L4203+IF(K4204&gt;0,K4204*Summary!$B$9,K4204/Summary!$B$9)</f>
        <v/>
      </c>
      <c r="M4204" s="11">
        <f>G4204+H4204</f>
        <v/>
      </c>
      <c r="N4204" s="11">
        <f>Summary!$C$16*Summary!$B$8</f>
        <v/>
      </c>
      <c r="O4204" s="11">
        <f>M4204-N4204</f>
        <v/>
      </c>
    </row>
    <row r="4205">
      <c r="A4205" s="9" t="n">
        <v>45467.125</v>
      </c>
      <c r="B4205" t="n">
        <v>6</v>
      </c>
      <c r="C4205" t="n">
        <v>24</v>
      </c>
      <c r="D4205" t="n">
        <v>3</v>
      </c>
      <c r="E4205" s="10" t="n">
        <v>0</v>
      </c>
      <c r="F4205" s="10" t="n">
        <v>0.1769800744752179</v>
      </c>
      <c r="G4205" s="11">
        <f>E4205*Summary!$B$6</f>
        <v/>
      </c>
      <c r="H4205" s="11">
        <f>F4205*Summary!$B$7</f>
        <v/>
      </c>
      <c r="I4205" s="11">
        <f>MAX(0,N4205-M4205)</f>
        <v/>
      </c>
      <c r="J4205" s="11">
        <f>MAX(0,M4205-N4205)</f>
        <v/>
      </c>
      <c r="K4205" s="11">
        <f>O4205</f>
        <v/>
      </c>
      <c r="L4205" s="11">
        <f>L4204+IF(K4205&gt;0,K4205*Summary!$B$9,K4205/Summary!$B$9)</f>
        <v/>
      </c>
      <c r="M4205" s="11">
        <f>G4205+H4205</f>
        <v/>
      </c>
      <c r="N4205" s="11">
        <f>Summary!$C$16*Summary!$B$8</f>
        <v/>
      </c>
      <c r="O4205" s="11">
        <f>M4205-N4205</f>
        <v/>
      </c>
    </row>
    <row r="4206">
      <c r="A4206" s="9" t="n">
        <v>45467.16666666666</v>
      </c>
      <c r="B4206" t="n">
        <v>6</v>
      </c>
      <c r="C4206" t="n">
        <v>24</v>
      </c>
      <c r="D4206" t="n">
        <v>4</v>
      </c>
      <c r="E4206" s="10" t="n">
        <v>0.039422</v>
      </c>
      <c r="F4206" s="10" t="n">
        <v>0.1672561841414842</v>
      </c>
      <c r="G4206" s="11">
        <f>E4206*Summary!$B$6</f>
        <v/>
      </c>
      <c r="H4206" s="11">
        <f>F4206*Summary!$B$7</f>
        <v/>
      </c>
      <c r="I4206" s="11">
        <f>MAX(0,N4206-M4206)</f>
        <v/>
      </c>
      <c r="J4206" s="11">
        <f>MAX(0,M4206-N4206)</f>
        <v/>
      </c>
      <c r="K4206" s="11">
        <f>O4206</f>
        <v/>
      </c>
      <c r="L4206" s="11">
        <f>L4205+IF(K4206&gt;0,K4206*Summary!$B$9,K4206/Summary!$B$9)</f>
        <v/>
      </c>
      <c r="M4206" s="11">
        <f>G4206+H4206</f>
        <v/>
      </c>
      <c r="N4206" s="11">
        <f>Summary!$C$16*Summary!$B$8</f>
        <v/>
      </c>
      <c r="O4206" s="11">
        <f>M4206-N4206</f>
        <v/>
      </c>
    </row>
    <row r="4207">
      <c r="A4207" s="9" t="n">
        <v>45467.20833333334</v>
      </c>
      <c r="B4207" t="n">
        <v>6</v>
      </c>
      <c r="C4207" t="n">
        <v>24</v>
      </c>
      <c r="D4207" t="n">
        <v>5</v>
      </c>
      <c r="E4207" s="10" t="n">
        <v>0.061407</v>
      </c>
      <c r="F4207" s="10" t="n">
        <v>0.1503118440748426</v>
      </c>
      <c r="G4207" s="11">
        <f>E4207*Summary!$B$6</f>
        <v/>
      </c>
      <c r="H4207" s="11">
        <f>F4207*Summary!$B$7</f>
        <v/>
      </c>
      <c r="I4207" s="11">
        <f>MAX(0,N4207-M4207)</f>
        <v/>
      </c>
      <c r="J4207" s="11">
        <f>MAX(0,M4207-N4207)</f>
        <v/>
      </c>
      <c r="K4207" s="11">
        <f>O4207</f>
        <v/>
      </c>
      <c r="L4207" s="11">
        <f>L4206+IF(K4207&gt;0,K4207*Summary!$B$9,K4207/Summary!$B$9)</f>
        <v/>
      </c>
      <c r="M4207" s="11">
        <f>G4207+H4207</f>
        <v/>
      </c>
      <c r="N4207" s="11">
        <f>Summary!$C$16*Summary!$B$8</f>
        <v/>
      </c>
      <c r="O4207" s="11">
        <f>M4207-N4207</f>
        <v/>
      </c>
    </row>
    <row r="4208">
      <c r="A4208" s="9" t="n">
        <v>45467.25</v>
      </c>
      <c r="B4208" t="n">
        <v>6</v>
      </c>
      <c r="C4208" t="n">
        <v>24</v>
      </c>
      <c r="D4208" t="n">
        <v>6</v>
      </c>
      <c r="E4208" s="10" t="n">
        <v>0.207343</v>
      </c>
      <c r="F4208" s="10" t="n">
        <v>0.1377682890643894</v>
      </c>
      <c r="G4208" s="11">
        <f>E4208*Summary!$B$6</f>
        <v/>
      </c>
      <c r="H4208" s="11">
        <f>F4208*Summary!$B$7</f>
        <v/>
      </c>
      <c r="I4208" s="11">
        <f>MAX(0,N4208-M4208)</f>
        <v/>
      </c>
      <c r="J4208" s="11">
        <f>MAX(0,M4208-N4208)</f>
        <v/>
      </c>
      <c r="K4208" s="11">
        <f>O4208</f>
        <v/>
      </c>
      <c r="L4208" s="11">
        <f>L4207+IF(K4208&gt;0,K4208*Summary!$B$9,K4208/Summary!$B$9)</f>
        <v/>
      </c>
      <c r="M4208" s="11">
        <f>G4208+H4208</f>
        <v/>
      </c>
      <c r="N4208" s="11">
        <f>Summary!$C$16*Summary!$B$8</f>
        <v/>
      </c>
      <c r="O4208" s="11">
        <f>M4208-N4208</f>
        <v/>
      </c>
    </row>
    <row r="4209">
      <c r="A4209" s="9" t="n">
        <v>45467.29166666666</v>
      </c>
      <c r="B4209" t="n">
        <v>6</v>
      </c>
      <c r="C4209" t="n">
        <v>24</v>
      </c>
      <c r="D4209" t="n">
        <v>7</v>
      </c>
      <c r="E4209" s="10" t="n">
        <v>0.403769</v>
      </c>
      <c r="F4209" s="10" t="n">
        <v>0.1351067364256167</v>
      </c>
      <c r="G4209" s="11">
        <f>E4209*Summary!$B$6</f>
        <v/>
      </c>
      <c r="H4209" s="11">
        <f>F4209*Summary!$B$7</f>
        <v/>
      </c>
      <c r="I4209" s="11">
        <f>MAX(0,N4209-M4209)</f>
        <v/>
      </c>
      <c r="J4209" s="11">
        <f>MAX(0,M4209-N4209)</f>
        <v/>
      </c>
      <c r="K4209" s="11">
        <f>O4209</f>
        <v/>
      </c>
      <c r="L4209" s="11">
        <f>L4208+IF(K4209&gt;0,K4209*Summary!$B$9,K4209/Summary!$B$9)</f>
        <v/>
      </c>
      <c r="M4209" s="11">
        <f>G4209+H4209</f>
        <v/>
      </c>
      <c r="N4209" s="11">
        <f>Summary!$C$16*Summary!$B$8</f>
        <v/>
      </c>
      <c r="O4209" s="11">
        <f>M4209-N4209</f>
        <v/>
      </c>
    </row>
    <row r="4210">
      <c r="A4210" s="9" t="n">
        <v>45467.33333333334</v>
      </c>
      <c r="B4210" t="n">
        <v>6</v>
      </c>
      <c r="C4210" t="n">
        <v>24</v>
      </c>
      <c r="D4210" t="n">
        <v>8</v>
      </c>
      <c r="E4210" s="10" t="n">
        <v>0.580973</v>
      </c>
      <c r="F4210" s="10" t="n">
        <v>0.1314701595528383</v>
      </c>
      <c r="G4210" s="11">
        <f>E4210*Summary!$B$6</f>
        <v/>
      </c>
      <c r="H4210" s="11">
        <f>F4210*Summary!$B$7</f>
        <v/>
      </c>
      <c r="I4210" s="11">
        <f>MAX(0,N4210-M4210)</f>
        <v/>
      </c>
      <c r="J4210" s="11">
        <f>MAX(0,M4210-N4210)</f>
        <v/>
      </c>
      <c r="K4210" s="11">
        <f>O4210</f>
        <v/>
      </c>
      <c r="L4210" s="11">
        <f>L4209+IF(K4210&gt;0,K4210*Summary!$B$9,K4210/Summary!$B$9)</f>
        <v/>
      </c>
      <c r="M4210" s="11">
        <f>G4210+H4210</f>
        <v/>
      </c>
      <c r="N4210" s="11">
        <f>Summary!$C$16*Summary!$B$8</f>
        <v/>
      </c>
      <c r="O4210" s="11">
        <f>M4210-N4210</f>
        <v/>
      </c>
    </row>
    <row r="4211">
      <c r="A4211" s="9" t="n">
        <v>45467.375</v>
      </c>
      <c r="B4211" t="n">
        <v>6</v>
      </c>
      <c r="C4211" t="n">
        <v>24</v>
      </c>
      <c r="D4211" t="n">
        <v>9</v>
      </c>
      <c r="E4211" s="10" t="n">
        <v>0.71907</v>
      </c>
      <c r="F4211" s="10" t="n">
        <v>0.13112758347062</v>
      </c>
      <c r="G4211" s="11">
        <f>E4211*Summary!$B$6</f>
        <v/>
      </c>
      <c r="H4211" s="11">
        <f>F4211*Summary!$B$7</f>
        <v/>
      </c>
      <c r="I4211" s="11">
        <f>MAX(0,N4211-M4211)</f>
        <v/>
      </c>
      <c r="J4211" s="11">
        <f>MAX(0,M4211-N4211)</f>
        <v/>
      </c>
      <c r="K4211" s="11">
        <f>O4211</f>
        <v/>
      </c>
      <c r="L4211" s="11">
        <f>L4210+IF(K4211&gt;0,K4211*Summary!$B$9,K4211/Summary!$B$9)</f>
        <v/>
      </c>
      <c r="M4211" s="11">
        <f>G4211+H4211</f>
        <v/>
      </c>
      <c r="N4211" s="11">
        <f>Summary!$C$16*Summary!$B$8</f>
        <v/>
      </c>
      <c r="O4211" s="11">
        <f>M4211-N4211</f>
        <v/>
      </c>
    </row>
    <row r="4212">
      <c r="A4212" s="9" t="n">
        <v>45467.41666666666</v>
      </c>
      <c r="B4212" t="n">
        <v>6</v>
      </c>
      <c r="C4212" t="n">
        <v>24</v>
      </c>
      <c r="D4212" t="n">
        <v>10</v>
      </c>
      <c r="E4212" s="10" t="n">
        <v>0.754058</v>
      </c>
      <c r="F4212" s="10" t="n">
        <v>0.1313383995212159</v>
      </c>
      <c r="G4212" s="11">
        <f>E4212*Summary!$B$6</f>
        <v/>
      </c>
      <c r="H4212" s="11">
        <f>F4212*Summary!$B$7</f>
        <v/>
      </c>
      <c r="I4212" s="11">
        <f>MAX(0,N4212-M4212)</f>
        <v/>
      </c>
      <c r="J4212" s="11">
        <f>MAX(0,M4212-N4212)</f>
        <v/>
      </c>
      <c r="K4212" s="11">
        <f>O4212</f>
        <v/>
      </c>
      <c r="L4212" s="11">
        <f>L4211+IF(K4212&gt;0,K4212*Summary!$B$9,K4212/Summary!$B$9)</f>
        <v/>
      </c>
      <c r="M4212" s="11">
        <f>G4212+H4212</f>
        <v/>
      </c>
      <c r="N4212" s="11">
        <f>Summary!$C$16*Summary!$B$8</f>
        <v/>
      </c>
      <c r="O4212" s="11">
        <f>M4212-N4212</f>
        <v/>
      </c>
    </row>
    <row r="4213">
      <c r="A4213" s="9" t="n">
        <v>45467.45833333334</v>
      </c>
      <c r="B4213" t="n">
        <v>6</v>
      </c>
      <c r="C4213" t="n">
        <v>24</v>
      </c>
      <c r="D4213" t="n">
        <v>11</v>
      </c>
      <c r="E4213" s="10" t="n">
        <v>0.754058</v>
      </c>
      <c r="F4213" s="10" t="n">
        <v>0.151813908435338</v>
      </c>
      <c r="G4213" s="11">
        <f>E4213*Summary!$B$6</f>
        <v/>
      </c>
      <c r="H4213" s="11">
        <f>F4213*Summary!$B$7</f>
        <v/>
      </c>
      <c r="I4213" s="11">
        <f>MAX(0,N4213-M4213)</f>
        <v/>
      </c>
      <c r="J4213" s="11">
        <f>MAX(0,M4213-N4213)</f>
        <v/>
      </c>
      <c r="K4213" s="11">
        <f>O4213</f>
        <v/>
      </c>
      <c r="L4213" s="11">
        <f>L4212+IF(K4213&gt;0,K4213*Summary!$B$9,K4213/Summary!$B$9)</f>
        <v/>
      </c>
      <c r="M4213" s="11">
        <f>G4213+H4213</f>
        <v/>
      </c>
      <c r="N4213" s="11">
        <f>Summary!$C$16*Summary!$B$8</f>
        <v/>
      </c>
      <c r="O4213" s="11">
        <f>M4213-N4213</f>
        <v/>
      </c>
    </row>
    <row r="4214">
      <c r="A4214" s="9" t="n">
        <v>45467.5</v>
      </c>
      <c r="B4214" t="n">
        <v>6</v>
      </c>
      <c r="C4214" t="n">
        <v>24</v>
      </c>
      <c r="D4214" t="n">
        <v>12</v>
      </c>
      <c r="E4214" s="10" t="n">
        <v>0.754058</v>
      </c>
      <c r="F4214" s="10" t="n">
        <v>0.1467016192083886</v>
      </c>
      <c r="G4214" s="11">
        <f>E4214*Summary!$B$6</f>
        <v/>
      </c>
      <c r="H4214" s="11">
        <f>F4214*Summary!$B$7</f>
        <v/>
      </c>
      <c r="I4214" s="11">
        <f>MAX(0,N4214-M4214)</f>
        <v/>
      </c>
      <c r="J4214" s="11">
        <f>MAX(0,M4214-N4214)</f>
        <v/>
      </c>
      <c r="K4214" s="11">
        <f>O4214</f>
        <v/>
      </c>
      <c r="L4214" s="11">
        <f>L4213+IF(K4214&gt;0,K4214*Summary!$B$9,K4214/Summary!$B$9)</f>
        <v/>
      </c>
      <c r="M4214" s="11">
        <f>G4214+H4214</f>
        <v/>
      </c>
      <c r="N4214" s="11">
        <f>Summary!$C$16*Summary!$B$8</f>
        <v/>
      </c>
      <c r="O4214" s="11">
        <f>M4214-N4214</f>
        <v/>
      </c>
    </row>
    <row r="4215">
      <c r="A4215" s="9" t="n">
        <v>45467.54166666666</v>
      </c>
      <c r="B4215" t="n">
        <v>6</v>
      </c>
      <c r="C4215" t="n">
        <v>24</v>
      </c>
      <c r="D4215" t="n">
        <v>13</v>
      </c>
      <c r="E4215" s="10" t="n">
        <v>0.754058</v>
      </c>
      <c r="F4215" s="10" t="n">
        <v>0.1666764400023456</v>
      </c>
      <c r="G4215" s="11">
        <f>E4215*Summary!$B$6</f>
        <v/>
      </c>
      <c r="H4215" s="11">
        <f>F4215*Summary!$B$7</f>
        <v/>
      </c>
      <c r="I4215" s="11">
        <f>MAX(0,N4215-M4215)</f>
        <v/>
      </c>
      <c r="J4215" s="11">
        <f>MAX(0,M4215-N4215)</f>
        <v/>
      </c>
      <c r="K4215" s="11">
        <f>O4215</f>
        <v/>
      </c>
      <c r="L4215" s="11">
        <f>L4214+IF(K4215&gt;0,K4215*Summary!$B$9,K4215/Summary!$B$9)</f>
        <v/>
      </c>
      <c r="M4215" s="11">
        <f>G4215+H4215</f>
        <v/>
      </c>
      <c r="N4215" s="11">
        <f>Summary!$C$16*Summary!$B$8</f>
        <v/>
      </c>
      <c r="O4215" s="11">
        <f>M4215-N4215</f>
        <v/>
      </c>
    </row>
    <row r="4216">
      <c r="A4216" s="9" t="n">
        <v>45467.58333333334</v>
      </c>
      <c r="B4216" t="n">
        <v>6</v>
      </c>
      <c r="C4216" t="n">
        <v>24</v>
      </c>
      <c r="D4216" t="n">
        <v>14</v>
      </c>
      <c r="E4216" s="10" t="n">
        <v>0.6911119999999999</v>
      </c>
      <c r="F4216" s="10" t="n">
        <v>0.1597722143453315</v>
      </c>
      <c r="G4216" s="11">
        <f>E4216*Summary!$B$6</f>
        <v/>
      </c>
      <c r="H4216" s="11">
        <f>F4216*Summary!$B$7</f>
        <v/>
      </c>
      <c r="I4216" s="11">
        <f>MAX(0,N4216-M4216)</f>
        <v/>
      </c>
      <c r="J4216" s="11">
        <f>MAX(0,M4216-N4216)</f>
        <v/>
      </c>
      <c r="K4216" s="11">
        <f>O4216</f>
        <v/>
      </c>
      <c r="L4216" s="11">
        <f>L4215+IF(K4216&gt;0,K4216*Summary!$B$9,K4216/Summary!$B$9)</f>
        <v/>
      </c>
      <c r="M4216" s="11">
        <f>G4216+H4216</f>
        <v/>
      </c>
      <c r="N4216" s="11">
        <f>Summary!$C$16*Summary!$B$8</f>
        <v/>
      </c>
      <c r="O4216" s="11">
        <f>M4216-N4216</f>
        <v/>
      </c>
    </row>
    <row r="4217">
      <c r="A4217" s="9" t="n">
        <v>45467.625</v>
      </c>
      <c r="B4217" t="n">
        <v>6</v>
      </c>
      <c r="C4217" t="n">
        <v>24</v>
      </c>
      <c r="D4217" t="n">
        <v>15</v>
      </c>
      <c r="E4217" s="10" t="n">
        <v>0.561773</v>
      </c>
      <c r="F4217" s="10" t="n">
        <v>0.1698123287549589</v>
      </c>
      <c r="G4217" s="11">
        <f>E4217*Summary!$B$6</f>
        <v/>
      </c>
      <c r="H4217" s="11">
        <f>F4217*Summary!$B$7</f>
        <v/>
      </c>
      <c r="I4217" s="11">
        <f>MAX(0,N4217-M4217)</f>
        <v/>
      </c>
      <c r="J4217" s="11">
        <f>MAX(0,M4217-N4217)</f>
        <v/>
      </c>
      <c r="K4217" s="11">
        <f>O4217</f>
        <v/>
      </c>
      <c r="L4217" s="11">
        <f>L4216+IF(K4217&gt;0,K4217*Summary!$B$9,K4217/Summary!$B$9)</f>
        <v/>
      </c>
      <c r="M4217" s="11">
        <f>G4217+H4217</f>
        <v/>
      </c>
      <c r="N4217" s="11">
        <f>Summary!$C$16*Summary!$B$8</f>
        <v/>
      </c>
      <c r="O4217" s="11">
        <f>M4217-N4217</f>
        <v/>
      </c>
    </row>
    <row r="4218">
      <c r="A4218" s="9" t="n">
        <v>45467.66666666666</v>
      </c>
      <c r="B4218" t="n">
        <v>6</v>
      </c>
      <c r="C4218" t="n">
        <v>24</v>
      </c>
      <c r="D4218" t="n">
        <v>16</v>
      </c>
      <c r="E4218" s="10" t="n">
        <v>0.29624</v>
      </c>
      <c r="F4218" s="10" t="n">
        <v>0.1917371980169275</v>
      </c>
      <c r="G4218" s="11">
        <f>E4218*Summary!$B$6</f>
        <v/>
      </c>
      <c r="H4218" s="11">
        <f>F4218*Summary!$B$7</f>
        <v/>
      </c>
      <c r="I4218" s="11">
        <f>MAX(0,N4218-M4218)</f>
        <v/>
      </c>
      <c r="J4218" s="11">
        <f>MAX(0,M4218-N4218)</f>
        <v/>
      </c>
      <c r="K4218" s="11">
        <f>O4218</f>
        <v/>
      </c>
      <c r="L4218" s="11">
        <f>L4217+IF(K4218&gt;0,K4218*Summary!$B$9,K4218/Summary!$B$9)</f>
        <v/>
      </c>
      <c r="M4218" s="11">
        <f>G4218+H4218</f>
        <v/>
      </c>
      <c r="N4218" s="11">
        <f>Summary!$C$16*Summary!$B$8</f>
        <v/>
      </c>
      <c r="O4218" s="11">
        <f>M4218-N4218</f>
        <v/>
      </c>
    </row>
    <row r="4219">
      <c r="A4219" s="9" t="n">
        <v>45467.70833333334</v>
      </c>
      <c r="B4219" t="n">
        <v>6</v>
      </c>
      <c r="C4219" t="n">
        <v>24</v>
      </c>
      <c r="D4219" t="n">
        <v>17</v>
      </c>
      <c r="E4219" s="10" t="n">
        <v>0.194617</v>
      </c>
      <c r="F4219" s="10" t="n">
        <v>0.1802213712531291</v>
      </c>
      <c r="G4219" s="11">
        <f>E4219*Summary!$B$6</f>
        <v/>
      </c>
      <c r="H4219" s="11">
        <f>F4219*Summary!$B$7</f>
        <v/>
      </c>
      <c r="I4219" s="11">
        <f>MAX(0,N4219-M4219)</f>
        <v/>
      </c>
      <c r="J4219" s="11">
        <f>MAX(0,M4219-N4219)</f>
        <v/>
      </c>
      <c r="K4219" s="11">
        <f>O4219</f>
        <v/>
      </c>
      <c r="L4219" s="11">
        <f>L4218+IF(K4219&gt;0,K4219*Summary!$B$9,K4219/Summary!$B$9)</f>
        <v/>
      </c>
      <c r="M4219" s="11">
        <f>G4219+H4219</f>
        <v/>
      </c>
      <c r="N4219" s="11">
        <f>Summary!$C$16*Summary!$B$8</f>
        <v/>
      </c>
      <c r="O4219" s="11">
        <f>M4219-N4219</f>
        <v/>
      </c>
    </row>
    <row r="4220">
      <c r="A4220" s="9" t="n">
        <v>45467.75</v>
      </c>
      <c r="B4220" t="n">
        <v>6</v>
      </c>
      <c r="C4220" t="n">
        <v>24</v>
      </c>
      <c r="D4220" t="n">
        <v>18</v>
      </c>
      <c r="E4220" s="10" t="n">
        <v>0.099762</v>
      </c>
      <c r="F4220" s="10" t="n">
        <v>0.1771118345068403</v>
      </c>
      <c r="G4220" s="11">
        <f>E4220*Summary!$B$6</f>
        <v/>
      </c>
      <c r="H4220" s="11">
        <f>F4220*Summary!$B$7</f>
        <v/>
      </c>
      <c r="I4220" s="11">
        <f>MAX(0,N4220-M4220)</f>
        <v/>
      </c>
      <c r="J4220" s="11">
        <f>MAX(0,M4220-N4220)</f>
        <v/>
      </c>
      <c r="K4220" s="11">
        <f>O4220</f>
        <v/>
      </c>
      <c r="L4220" s="11">
        <f>L4219+IF(K4220&gt;0,K4220*Summary!$B$9,K4220/Summary!$B$9)</f>
        <v/>
      </c>
      <c r="M4220" s="11">
        <f>G4220+H4220</f>
        <v/>
      </c>
      <c r="N4220" s="11">
        <f>Summary!$C$16*Summary!$B$8</f>
        <v/>
      </c>
      <c r="O4220" s="11">
        <f>M4220-N4220</f>
        <v/>
      </c>
    </row>
    <row r="4221">
      <c r="A4221" s="9" t="n">
        <v>45467.79166666666</v>
      </c>
      <c r="B4221" t="n">
        <v>6</v>
      </c>
      <c r="C4221" t="n">
        <v>24</v>
      </c>
      <c r="D4221" t="n">
        <v>19</v>
      </c>
      <c r="E4221" s="10" t="n">
        <v>0.049298</v>
      </c>
      <c r="F4221" s="10" t="n">
        <v>0.1812754515061084</v>
      </c>
      <c r="G4221" s="11">
        <f>E4221*Summary!$B$6</f>
        <v/>
      </c>
      <c r="H4221" s="11">
        <f>F4221*Summary!$B$7</f>
        <v/>
      </c>
      <c r="I4221" s="11">
        <f>MAX(0,N4221-M4221)</f>
        <v/>
      </c>
      <c r="J4221" s="11">
        <f>MAX(0,M4221-N4221)</f>
        <v/>
      </c>
      <c r="K4221" s="11">
        <f>O4221</f>
        <v/>
      </c>
      <c r="L4221" s="11">
        <f>L4220+IF(K4221&gt;0,K4221*Summary!$B$9,K4221/Summary!$B$9)</f>
        <v/>
      </c>
      <c r="M4221" s="11">
        <f>G4221+H4221</f>
        <v/>
      </c>
      <c r="N4221" s="11">
        <f>Summary!$C$16*Summary!$B$8</f>
        <v/>
      </c>
      <c r="O4221" s="11">
        <f>M4221-N4221</f>
        <v/>
      </c>
    </row>
    <row r="4222">
      <c r="A4222" s="9" t="n">
        <v>45467.83333333334</v>
      </c>
      <c r="B4222" t="n">
        <v>6</v>
      </c>
      <c r="C4222" t="n">
        <v>24</v>
      </c>
      <c r="D4222" t="n">
        <v>20</v>
      </c>
      <c r="E4222" s="10" t="n">
        <v>0.008616</v>
      </c>
      <c r="F4222" s="10" t="n">
        <v>0.1910783978588155</v>
      </c>
      <c r="G4222" s="11">
        <f>E4222*Summary!$B$6</f>
        <v/>
      </c>
      <c r="H4222" s="11">
        <f>F4222*Summary!$B$7</f>
        <v/>
      </c>
      <c r="I4222" s="11">
        <f>MAX(0,N4222-M4222)</f>
        <v/>
      </c>
      <c r="J4222" s="11">
        <f>MAX(0,M4222-N4222)</f>
        <v/>
      </c>
      <c r="K4222" s="11">
        <f>O4222</f>
        <v/>
      </c>
      <c r="L4222" s="11">
        <f>L4221+IF(K4222&gt;0,K4222*Summary!$B$9,K4222/Summary!$B$9)</f>
        <v/>
      </c>
      <c r="M4222" s="11">
        <f>G4222+H4222</f>
        <v/>
      </c>
      <c r="N4222" s="11">
        <f>Summary!$C$16*Summary!$B$8</f>
        <v/>
      </c>
      <c r="O4222" s="11">
        <f>M4222-N4222</f>
        <v/>
      </c>
    </row>
    <row r="4223">
      <c r="A4223" s="9" t="n">
        <v>45467.875</v>
      </c>
      <c r="B4223" t="n">
        <v>6</v>
      </c>
      <c r="C4223" t="n">
        <v>24</v>
      </c>
      <c r="D4223" t="n">
        <v>21</v>
      </c>
      <c r="E4223" s="10" t="n">
        <v>0</v>
      </c>
      <c r="F4223" s="10" t="n">
        <v>0.2092612822227077</v>
      </c>
      <c r="G4223" s="11">
        <f>E4223*Summary!$B$6</f>
        <v/>
      </c>
      <c r="H4223" s="11">
        <f>F4223*Summary!$B$7</f>
        <v/>
      </c>
      <c r="I4223" s="11">
        <f>MAX(0,N4223-M4223)</f>
        <v/>
      </c>
      <c r="J4223" s="11">
        <f>MAX(0,M4223-N4223)</f>
        <v/>
      </c>
      <c r="K4223" s="11">
        <f>O4223</f>
        <v/>
      </c>
      <c r="L4223" s="11">
        <f>L4222+IF(K4223&gt;0,K4223*Summary!$B$9,K4223/Summary!$B$9)</f>
        <v/>
      </c>
      <c r="M4223" s="11">
        <f>G4223+H4223</f>
        <v/>
      </c>
      <c r="N4223" s="11">
        <f>Summary!$C$16*Summary!$B$8</f>
        <v/>
      </c>
      <c r="O4223" s="11">
        <f>M4223-N4223</f>
        <v/>
      </c>
    </row>
    <row r="4224">
      <c r="A4224" s="9" t="n">
        <v>45467.91666666666</v>
      </c>
      <c r="B4224" t="n">
        <v>6</v>
      </c>
      <c r="C4224" t="n">
        <v>24</v>
      </c>
      <c r="D4224" t="n">
        <v>22</v>
      </c>
      <c r="E4224" s="10" t="n">
        <v>0</v>
      </c>
      <c r="F4224" s="10" t="n">
        <v>0.2200392528094207</v>
      </c>
      <c r="G4224" s="11">
        <f>E4224*Summary!$B$6</f>
        <v/>
      </c>
      <c r="H4224" s="11">
        <f>F4224*Summary!$B$7</f>
        <v/>
      </c>
      <c r="I4224" s="11">
        <f>MAX(0,N4224-M4224)</f>
        <v/>
      </c>
      <c r="J4224" s="11">
        <f>MAX(0,M4224-N4224)</f>
        <v/>
      </c>
      <c r="K4224" s="11">
        <f>O4224</f>
        <v/>
      </c>
      <c r="L4224" s="11">
        <f>L4223+IF(K4224&gt;0,K4224*Summary!$B$9,K4224/Summary!$B$9)</f>
        <v/>
      </c>
      <c r="M4224" s="11">
        <f>G4224+H4224</f>
        <v/>
      </c>
      <c r="N4224" s="11">
        <f>Summary!$C$16*Summary!$B$8</f>
        <v/>
      </c>
      <c r="O4224" s="11">
        <f>M4224-N4224</f>
        <v/>
      </c>
    </row>
    <row r="4225">
      <c r="A4225" s="9" t="n">
        <v>45467.95833333334</v>
      </c>
      <c r="B4225" t="n">
        <v>6</v>
      </c>
      <c r="C4225" t="n">
        <v>24</v>
      </c>
      <c r="D4225" t="n">
        <v>23</v>
      </c>
      <c r="E4225" s="10" t="n">
        <v>0</v>
      </c>
      <c r="F4225" s="10" t="n">
        <v>0.220987925037102</v>
      </c>
      <c r="G4225" s="11">
        <f>E4225*Summary!$B$6</f>
        <v/>
      </c>
      <c r="H4225" s="11">
        <f>F4225*Summary!$B$7</f>
        <v/>
      </c>
      <c r="I4225" s="11">
        <f>MAX(0,N4225-M4225)</f>
        <v/>
      </c>
      <c r="J4225" s="11">
        <f>MAX(0,M4225-N4225)</f>
        <v/>
      </c>
      <c r="K4225" s="11">
        <f>O4225</f>
        <v/>
      </c>
      <c r="L4225" s="11">
        <f>L4224+IF(K4225&gt;0,K4225*Summary!$B$9,K4225/Summary!$B$9)</f>
        <v/>
      </c>
      <c r="M4225" s="11">
        <f>G4225+H4225</f>
        <v/>
      </c>
      <c r="N4225" s="11">
        <f>Summary!$C$16*Summary!$B$8</f>
        <v/>
      </c>
      <c r="O4225" s="11">
        <f>M4225-N4225</f>
        <v/>
      </c>
    </row>
    <row r="4226">
      <c r="A4226" s="9" t="n">
        <v>45468</v>
      </c>
      <c r="B4226" t="n">
        <v>6</v>
      </c>
      <c r="C4226" t="n">
        <v>25</v>
      </c>
      <c r="D4226" t="n">
        <v>0</v>
      </c>
      <c r="E4226" s="10" t="n">
        <v>0</v>
      </c>
      <c r="F4226" s="10" t="n">
        <v>0.1950575508138122</v>
      </c>
      <c r="G4226" s="11">
        <f>E4226*Summary!$B$6</f>
        <v/>
      </c>
      <c r="H4226" s="11">
        <f>F4226*Summary!$B$7</f>
        <v/>
      </c>
      <c r="I4226" s="11">
        <f>MAX(0,N4226-M4226)</f>
        <v/>
      </c>
      <c r="J4226" s="11">
        <f>MAX(0,M4226-N4226)</f>
        <v/>
      </c>
      <c r="K4226" s="11">
        <f>O4226</f>
        <v/>
      </c>
      <c r="L4226" s="11">
        <f>L4225+IF(K4226&gt;0,K4226*Summary!$B$9,K4226/Summary!$B$9)</f>
        <v/>
      </c>
      <c r="M4226" s="11">
        <f>G4226+H4226</f>
        <v/>
      </c>
      <c r="N4226" s="11">
        <f>Summary!$C$16*Summary!$B$8</f>
        <v/>
      </c>
      <c r="O4226" s="11">
        <f>M4226-N4226</f>
        <v/>
      </c>
    </row>
    <row r="4227">
      <c r="A4227" s="9" t="n">
        <v>45468.04166666666</v>
      </c>
      <c r="B4227" t="n">
        <v>6</v>
      </c>
      <c r="C4227" t="n">
        <v>25</v>
      </c>
      <c r="D4227" t="n">
        <v>1</v>
      </c>
      <c r="E4227" s="10" t="n">
        <v>0</v>
      </c>
      <c r="F4227" s="10" t="n">
        <v>0.208180849963404</v>
      </c>
      <c r="G4227" s="11">
        <f>E4227*Summary!$B$6</f>
        <v/>
      </c>
      <c r="H4227" s="11">
        <f>F4227*Summary!$B$7</f>
        <v/>
      </c>
      <c r="I4227" s="11">
        <f>MAX(0,N4227-M4227)</f>
        <v/>
      </c>
      <c r="J4227" s="11">
        <f>MAX(0,M4227-N4227)</f>
        <v/>
      </c>
      <c r="K4227" s="11">
        <f>O4227</f>
        <v/>
      </c>
      <c r="L4227" s="11">
        <f>L4226+IF(K4227&gt;0,K4227*Summary!$B$9,K4227/Summary!$B$9)</f>
        <v/>
      </c>
      <c r="M4227" s="11">
        <f>G4227+H4227</f>
        <v/>
      </c>
      <c r="N4227" s="11">
        <f>Summary!$C$16*Summary!$B$8</f>
        <v/>
      </c>
      <c r="O4227" s="11">
        <f>M4227-N4227</f>
        <v/>
      </c>
    </row>
    <row r="4228">
      <c r="A4228" s="9" t="n">
        <v>45468.08333333334</v>
      </c>
      <c r="B4228" t="n">
        <v>6</v>
      </c>
      <c r="C4228" t="n">
        <v>25</v>
      </c>
      <c r="D4228" t="n">
        <v>2</v>
      </c>
      <c r="E4228" s="10" t="n">
        <v>0</v>
      </c>
      <c r="F4228" s="10" t="n">
        <v>0.1957954069908977</v>
      </c>
      <c r="G4228" s="11">
        <f>E4228*Summary!$B$6</f>
        <v/>
      </c>
      <c r="H4228" s="11">
        <f>F4228*Summary!$B$7</f>
        <v/>
      </c>
      <c r="I4228" s="11">
        <f>MAX(0,N4228-M4228)</f>
        <v/>
      </c>
      <c r="J4228" s="11">
        <f>MAX(0,M4228-N4228)</f>
        <v/>
      </c>
      <c r="K4228" s="11">
        <f>O4228</f>
        <v/>
      </c>
      <c r="L4228" s="11">
        <f>L4227+IF(K4228&gt;0,K4228*Summary!$B$9,K4228/Summary!$B$9)</f>
        <v/>
      </c>
      <c r="M4228" s="11">
        <f>G4228+H4228</f>
        <v/>
      </c>
      <c r="N4228" s="11">
        <f>Summary!$C$16*Summary!$B$8</f>
        <v/>
      </c>
      <c r="O4228" s="11">
        <f>M4228-N4228</f>
        <v/>
      </c>
    </row>
    <row r="4229">
      <c r="A4229" s="9" t="n">
        <v>45468.125</v>
      </c>
      <c r="B4229" t="n">
        <v>6</v>
      </c>
      <c r="C4229" t="n">
        <v>25</v>
      </c>
      <c r="D4229" t="n">
        <v>3</v>
      </c>
      <c r="E4229" s="10" t="n">
        <v>0</v>
      </c>
      <c r="F4229" s="10" t="n">
        <v>0.1843586362460727</v>
      </c>
      <c r="G4229" s="11">
        <f>E4229*Summary!$B$6</f>
        <v/>
      </c>
      <c r="H4229" s="11">
        <f>F4229*Summary!$B$7</f>
        <v/>
      </c>
      <c r="I4229" s="11">
        <f>MAX(0,N4229-M4229)</f>
        <v/>
      </c>
      <c r="J4229" s="11">
        <f>MAX(0,M4229-N4229)</f>
        <v/>
      </c>
      <c r="K4229" s="11">
        <f>O4229</f>
        <v/>
      </c>
      <c r="L4229" s="11">
        <f>L4228+IF(K4229&gt;0,K4229*Summary!$B$9,K4229/Summary!$B$9)</f>
        <v/>
      </c>
      <c r="M4229" s="11">
        <f>G4229+H4229</f>
        <v/>
      </c>
      <c r="N4229" s="11">
        <f>Summary!$C$16*Summary!$B$8</f>
        <v/>
      </c>
      <c r="O4229" s="11">
        <f>M4229-N4229</f>
        <v/>
      </c>
    </row>
    <row r="4230">
      <c r="A4230" s="9" t="n">
        <v>45468.16666666666</v>
      </c>
      <c r="B4230" t="n">
        <v>6</v>
      </c>
      <c r="C4230" t="n">
        <v>25</v>
      </c>
      <c r="D4230" t="n">
        <v>4</v>
      </c>
      <c r="E4230" s="10" t="n">
        <v>0.039465</v>
      </c>
      <c r="F4230" s="10" t="n">
        <v>0.165332487679797</v>
      </c>
      <c r="G4230" s="11">
        <f>E4230*Summary!$B$6</f>
        <v/>
      </c>
      <c r="H4230" s="11">
        <f>F4230*Summary!$B$7</f>
        <v/>
      </c>
      <c r="I4230" s="11">
        <f>MAX(0,N4230-M4230)</f>
        <v/>
      </c>
      <c r="J4230" s="11">
        <f>MAX(0,M4230-N4230)</f>
        <v/>
      </c>
      <c r="K4230" s="11">
        <f>O4230</f>
        <v/>
      </c>
      <c r="L4230" s="11">
        <f>L4229+IF(K4230&gt;0,K4230*Summary!$B$9,K4230/Summary!$B$9)</f>
        <v/>
      </c>
      <c r="M4230" s="11">
        <f>G4230+H4230</f>
        <v/>
      </c>
      <c r="N4230" s="11">
        <f>Summary!$C$16*Summary!$B$8</f>
        <v/>
      </c>
      <c r="O4230" s="11">
        <f>M4230-N4230</f>
        <v/>
      </c>
    </row>
    <row r="4231">
      <c r="A4231" s="9" t="n">
        <v>45468.20833333334</v>
      </c>
      <c r="B4231" t="n">
        <v>6</v>
      </c>
      <c r="C4231" t="n">
        <v>25</v>
      </c>
      <c r="D4231" t="n">
        <v>5</v>
      </c>
      <c r="E4231" s="10" t="n">
        <v>0.060674</v>
      </c>
      <c r="F4231" s="10" t="n">
        <v>0.1441718266012384</v>
      </c>
      <c r="G4231" s="11">
        <f>E4231*Summary!$B$6</f>
        <v/>
      </c>
      <c r="H4231" s="11">
        <f>F4231*Summary!$B$7</f>
        <v/>
      </c>
      <c r="I4231" s="11">
        <f>MAX(0,N4231-M4231)</f>
        <v/>
      </c>
      <c r="J4231" s="11">
        <f>MAX(0,M4231-N4231)</f>
        <v/>
      </c>
      <c r="K4231" s="11">
        <f>O4231</f>
        <v/>
      </c>
      <c r="L4231" s="11">
        <f>L4230+IF(K4231&gt;0,K4231*Summary!$B$9,K4231/Summary!$B$9)</f>
        <v/>
      </c>
      <c r="M4231" s="11">
        <f>G4231+H4231</f>
        <v/>
      </c>
      <c r="N4231" s="11">
        <f>Summary!$C$16*Summary!$B$8</f>
        <v/>
      </c>
      <c r="O4231" s="11">
        <f>M4231-N4231</f>
        <v/>
      </c>
    </row>
    <row r="4232">
      <c r="A4232" s="9" t="n">
        <v>45468.25</v>
      </c>
      <c r="B4232" t="n">
        <v>6</v>
      </c>
      <c r="C4232" t="n">
        <v>25</v>
      </c>
      <c r="D4232" t="n">
        <v>6</v>
      </c>
      <c r="E4232" s="10" t="n">
        <v>0.188932</v>
      </c>
      <c r="F4232" s="10" t="n">
        <v>0.1239598377503611</v>
      </c>
      <c r="G4232" s="11">
        <f>E4232*Summary!$B$6</f>
        <v/>
      </c>
      <c r="H4232" s="11">
        <f>F4232*Summary!$B$7</f>
        <v/>
      </c>
      <c r="I4232" s="11">
        <f>MAX(0,N4232-M4232)</f>
        <v/>
      </c>
      <c r="J4232" s="11">
        <f>MAX(0,M4232-N4232)</f>
        <v/>
      </c>
      <c r="K4232" s="11">
        <f>O4232</f>
        <v/>
      </c>
      <c r="L4232" s="11">
        <f>L4231+IF(K4232&gt;0,K4232*Summary!$B$9,K4232/Summary!$B$9)</f>
        <v/>
      </c>
      <c r="M4232" s="11">
        <f>G4232+H4232</f>
        <v/>
      </c>
      <c r="N4232" s="11">
        <f>Summary!$C$16*Summary!$B$8</f>
        <v/>
      </c>
      <c r="O4232" s="11">
        <f>M4232-N4232</f>
        <v/>
      </c>
    </row>
    <row r="4233">
      <c r="A4233" s="9" t="n">
        <v>45468.29166666666</v>
      </c>
      <c r="B4233" t="n">
        <v>6</v>
      </c>
      <c r="C4233" t="n">
        <v>25</v>
      </c>
      <c r="D4233" t="n">
        <v>7</v>
      </c>
      <c r="E4233" s="10" t="n">
        <v>0.235463</v>
      </c>
      <c r="F4233" s="10" t="n">
        <v>0.1113899307335834</v>
      </c>
      <c r="G4233" s="11">
        <f>E4233*Summary!$B$6</f>
        <v/>
      </c>
      <c r="H4233" s="11">
        <f>F4233*Summary!$B$7</f>
        <v/>
      </c>
      <c r="I4233" s="11">
        <f>MAX(0,N4233-M4233)</f>
        <v/>
      </c>
      <c r="J4233" s="11">
        <f>MAX(0,M4233-N4233)</f>
        <v/>
      </c>
      <c r="K4233" s="11">
        <f>O4233</f>
        <v/>
      </c>
      <c r="L4233" s="11">
        <f>L4232+IF(K4233&gt;0,K4233*Summary!$B$9,K4233/Summary!$B$9)</f>
        <v/>
      </c>
      <c r="M4233" s="11">
        <f>G4233+H4233</f>
        <v/>
      </c>
      <c r="N4233" s="11">
        <f>Summary!$C$16*Summary!$B$8</f>
        <v/>
      </c>
      <c r="O4233" s="11">
        <f>M4233-N4233</f>
        <v/>
      </c>
    </row>
    <row r="4234">
      <c r="A4234" s="9" t="n">
        <v>45468.33333333334</v>
      </c>
      <c r="B4234" t="n">
        <v>6</v>
      </c>
      <c r="C4234" t="n">
        <v>25</v>
      </c>
      <c r="D4234" t="n">
        <v>8</v>
      </c>
      <c r="E4234" s="10" t="n">
        <v>0.354999</v>
      </c>
      <c r="F4234" s="10" t="n">
        <v>0.1195063486815237</v>
      </c>
      <c r="G4234" s="11">
        <f>E4234*Summary!$B$6</f>
        <v/>
      </c>
      <c r="H4234" s="11">
        <f>F4234*Summary!$B$7</f>
        <v/>
      </c>
      <c r="I4234" s="11">
        <f>MAX(0,N4234-M4234)</f>
        <v/>
      </c>
      <c r="J4234" s="11">
        <f>MAX(0,M4234-N4234)</f>
        <v/>
      </c>
      <c r="K4234" s="11">
        <f>O4234</f>
        <v/>
      </c>
      <c r="L4234" s="11">
        <f>L4233+IF(K4234&gt;0,K4234*Summary!$B$9,K4234/Summary!$B$9)</f>
        <v/>
      </c>
      <c r="M4234" s="11">
        <f>G4234+H4234</f>
        <v/>
      </c>
      <c r="N4234" s="11">
        <f>Summary!$C$16*Summary!$B$8</f>
        <v/>
      </c>
      <c r="O4234" s="11">
        <f>M4234-N4234</f>
        <v/>
      </c>
    </row>
    <row r="4235">
      <c r="A4235" s="9" t="n">
        <v>45468.375</v>
      </c>
      <c r="B4235" t="n">
        <v>6</v>
      </c>
      <c r="C4235" t="n">
        <v>25</v>
      </c>
      <c r="D4235" t="n">
        <v>9</v>
      </c>
      <c r="E4235" s="10" t="n">
        <v>0.509036</v>
      </c>
      <c r="F4235" s="10" t="n">
        <v>0.1152373236569577</v>
      </c>
      <c r="G4235" s="11">
        <f>E4235*Summary!$B$6</f>
        <v/>
      </c>
      <c r="H4235" s="11">
        <f>F4235*Summary!$B$7</f>
        <v/>
      </c>
      <c r="I4235" s="11">
        <f>MAX(0,N4235-M4235)</f>
        <v/>
      </c>
      <c r="J4235" s="11">
        <f>MAX(0,M4235-N4235)</f>
        <v/>
      </c>
      <c r="K4235" s="11">
        <f>O4235</f>
        <v/>
      </c>
      <c r="L4235" s="11">
        <f>L4234+IF(K4235&gt;0,K4235*Summary!$B$9,K4235/Summary!$B$9)</f>
        <v/>
      </c>
      <c r="M4235" s="11">
        <f>G4235+H4235</f>
        <v/>
      </c>
      <c r="N4235" s="11">
        <f>Summary!$C$16*Summary!$B$8</f>
        <v/>
      </c>
      <c r="O4235" s="11">
        <f>M4235-N4235</f>
        <v/>
      </c>
    </row>
    <row r="4236">
      <c r="A4236" s="9" t="n">
        <v>45468.41666666666</v>
      </c>
      <c r="B4236" t="n">
        <v>6</v>
      </c>
      <c r="C4236" t="n">
        <v>25</v>
      </c>
      <c r="D4236" t="n">
        <v>10</v>
      </c>
      <c r="E4236" s="10" t="n">
        <v>0.672574</v>
      </c>
      <c r="F4236" s="10" t="n">
        <v>0.1332357439765786</v>
      </c>
      <c r="G4236" s="11">
        <f>E4236*Summary!$B$6</f>
        <v/>
      </c>
      <c r="H4236" s="11">
        <f>F4236*Summary!$B$7</f>
        <v/>
      </c>
      <c r="I4236" s="11">
        <f>MAX(0,N4236-M4236)</f>
        <v/>
      </c>
      <c r="J4236" s="11">
        <f>MAX(0,M4236-N4236)</f>
        <v/>
      </c>
      <c r="K4236" s="11">
        <f>O4236</f>
        <v/>
      </c>
      <c r="L4236" s="11">
        <f>L4235+IF(K4236&gt;0,K4236*Summary!$B$9,K4236/Summary!$B$9)</f>
        <v/>
      </c>
      <c r="M4236" s="11">
        <f>G4236+H4236</f>
        <v/>
      </c>
      <c r="N4236" s="11">
        <f>Summary!$C$16*Summary!$B$8</f>
        <v/>
      </c>
      <c r="O4236" s="11">
        <f>M4236-N4236</f>
        <v/>
      </c>
    </row>
    <row r="4237">
      <c r="A4237" s="9" t="n">
        <v>45468.45833333334</v>
      </c>
      <c r="B4237" t="n">
        <v>6</v>
      </c>
      <c r="C4237" t="n">
        <v>25</v>
      </c>
      <c r="D4237" t="n">
        <v>11</v>
      </c>
      <c r="E4237" s="10" t="n">
        <v>0.612585</v>
      </c>
      <c r="F4237" s="10" t="n">
        <v>0.1271484305156233</v>
      </c>
      <c r="G4237" s="11">
        <f>E4237*Summary!$B$6</f>
        <v/>
      </c>
      <c r="H4237" s="11">
        <f>F4237*Summary!$B$7</f>
        <v/>
      </c>
      <c r="I4237" s="11">
        <f>MAX(0,N4237-M4237)</f>
        <v/>
      </c>
      <c r="J4237" s="11">
        <f>MAX(0,M4237-N4237)</f>
        <v/>
      </c>
      <c r="K4237" s="11">
        <f>O4237</f>
        <v/>
      </c>
      <c r="L4237" s="11">
        <f>L4236+IF(K4237&gt;0,K4237*Summary!$B$9,K4237/Summary!$B$9)</f>
        <v/>
      </c>
      <c r="M4237" s="11">
        <f>G4237+H4237</f>
        <v/>
      </c>
      <c r="N4237" s="11">
        <f>Summary!$C$16*Summary!$B$8</f>
        <v/>
      </c>
      <c r="O4237" s="11">
        <f>M4237-N4237</f>
        <v/>
      </c>
    </row>
    <row r="4238">
      <c r="A4238" s="9" t="n">
        <v>45468.5</v>
      </c>
      <c r="B4238" t="n">
        <v>6</v>
      </c>
      <c r="C4238" t="n">
        <v>25</v>
      </c>
      <c r="D4238" t="n">
        <v>12</v>
      </c>
      <c r="E4238" s="10" t="n">
        <v>0.593618</v>
      </c>
      <c r="F4238" s="10" t="n">
        <v>0.1289667189520126</v>
      </c>
      <c r="G4238" s="11">
        <f>E4238*Summary!$B$6</f>
        <v/>
      </c>
      <c r="H4238" s="11">
        <f>F4238*Summary!$B$7</f>
        <v/>
      </c>
      <c r="I4238" s="11">
        <f>MAX(0,N4238-M4238)</f>
        <v/>
      </c>
      <c r="J4238" s="11">
        <f>MAX(0,M4238-N4238)</f>
        <v/>
      </c>
      <c r="K4238" s="11">
        <f>O4238</f>
        <v/>
      </c>
      <c r="L4238" s="11">
        <f>L4237+IF(K4238&gt;0,K4238*Summary!$B$9,K4238/Summary!$B$9)</f>
        <v/>
      </c>
      <c r="M4238" s="11">
        <f>G4238+H4238</f>
        <v/>
      </c>
      <c r="N4238" s="11">
        <f>Summary!$C$16*Summary!$B$8</f>
        <v/>
      </c>
      <c r="O4238" s="11">
        <f>M4238-N4238</f>
        <v/>
      </c>
    </row>
    <row r="4239">
      <c r="A4239" s="9" t="n">
        <v>45468.54166666666</v>
      </c>
      <c r="B4239" t="n">
        <v>6</v>
      </c>
      <c r="C4239" t="n">
        <v>25</v>
      </c>
      <c r="D4239" t="n">
        <v>13</v>
      </c>
      <c r="E4239" s="10" t="n">
        <v>0.604093</v>
      </c>
      <c r="F4239" s="10" t="n">
        <v>0.1282552147812515</v>
      </c>
      <c r="G4239" s="11">
        <f>E4239*Summary!$B$6</f>
        <v/>
      </c>
      <c r="H4239" s="11">
        <f>F4239*Summary!$B$7</f>
        <v/>
      </c>
      <c r="I4239" s="11">
        <f>MAX(0,N4239-M4239)</f>
        <v/>
      </c>
      <c r="J4239" s="11">
        <f>MAX(0,M4239-N4239)</f>
        <v/>
      </c>
      <c r="K4239" s="11">
        <f>O4239</f>
        <v/>
      </c>
      <c r="L4239" s="11">
        <f>L4238+IF(K4239&gt;0,K4239*Summary!$B$9,K4239/Summary!$B$9)</f>
        <v/>
      </c>
      <c r="M4239" s="11">
        <f>G4239+H4239</f>
        <v/>
      </c>
      <c r="N4239" s="11">
        <f>Summary!$C$16*Summary!$B$8</f>
        <v/>
      </c>
      <c r="O4239" s="11">
        <f>M4239-N4239</f>
        <v/>
      </c>
    </row>
    <row r="4240">
      <c r="A4240" s="9" t="n">
        <v>45468.58333333334</v>
      </c>
      <c r="B4240" t="n">
        <v>6</v>
      </c>
      <c r="C4240" t="n">
        <v>25</v>
      </c>
      <c r="D4240" t="n">
        <v>14</v>
      </c>
      <c r="E4240" s="10" t="n">
        <v>0.5318889999999999</v>
      </c>
      <c r="F4240" s="10" t="n">
        <v>0.1311539354769445</v>
      </c>
      <c r="G4240" s="11">
        <f>E4240*Summary!$B$6</f>
        <v/>
      </c>
      <c r="H4240" s="11">
        <f>F4240*Summary!$B$7</f>
        <v/>
      </c>
      <c r="I4240" s="11">
        <f>MAX(0,N4240-M4240)</f>
        <v/>
      </c>
      <c r="J4240" s="11">
        <f>MAX(0,M4240-N4240)</f>
        <v/>
      </c>
      <c r="K4240" s="11">
        <f>O4240</f>
        <v/>
      </c>
      <c r="L4240" s="11">
        <f>L4239+IF(K4240&gt;0,K4240*Summary!$B$9,K4240/Summary!$B$9)</f>
        <v/>
      </c>
      <c r="M4240" s="11">
        <f>G4240+H4240</f>
        <v/>
      </c>
      <c r="N4240" s="11">
        <f>Summary!$C$16*Summary!$B$8</f>
        <v/>
      </c>
      <c r="O4240" s="11">
        <f>M4240-N4240</f>
        <v/>
      </c>
    </row>
    <row r="4241">
      <c r="A4241" s="9" t="n">
        <v>45468.625</v>
      </c>
      <c r="B4241" t="n">
        <v>6</v>
      </c>
      <c r="C4241" t="n">
        <v>25</v>
      </c>
      <c r="D4241" t="n">
        <v>15</v>
      </c>
      <c r="E4241" s="10" t="n">
        <v>0.371101</v>
      </c>
      <c r="F4241" s="10" t="n">
        <v>0.1384270892225014</v>
      </c>
      <c r="G4241" s="11">
        <f>E4241*Summary!$B$6</f>
        <v/>
      </c>
      <c r="H4241" s="11">
        <f>F4241*Summary!$B$7</f>
        <v/>
      </c>
      <c r="I4241" s="11">
        <f>MAX(0,N4241-M4241)</f>
        <v/>
      </c>
      <c r="J4241" s="11">
        <f>MAX(0,M4241-N4241)</f>
        <v/>
      </c>
      <c r="K4241" s="11">
        <f>O4241</f>
        <v/>
      </c>
      <c r="L4241" s="11">
        <f>L4240+IF(K4241&gt;0,K4241*Summary!$B$9,K4241/Summary!$B$9)</f>
        <v/>
      </c>
      <c r="M4241" s="11">
        <f>G4241+H4241</f>
        <v/>
      </c>
      <c r="N4241" s="11">
        <f>Summary!$C$16*Summary!$B$8</f>
        <v/>
      </c>
      <c r="O4241" s="11">
        <f>M4241-N4241</f>
        <v/>
      </c>
    </row>
    <row r="4242">
      <c r="A4242" s="9" t="n">
        <v>45468.66666666666</v>
      </c>
      <c r="B4242" t="n">
        <v>6</v>
      </c>
      <c r="C4242" t="n">
        <v>25</v>
      </c>
      <c r="D4242" t="n">
        <v>16</v>
      </c>
      <c r="E4242" s="10" t="n">
        <v>0.229837</v>
      </c>
      <c r="F4242" s="10" t="n">
        <v>0.1399818575956458</v>
      </c>
      <c r="G4242" s="11">
        <f>E4242*Summary!$B$6</f>
        <v/>
      </c>
      <c r="H4242" s="11">
        <f>F4242*Summary!$B$7</f>
        <v/>
      </c>
      <c r="I4242" s="11">
        <f>MAX(0,N4242-M4242)</f>
        <v/>
      </c>
      <c r="J4242" s="11">
        <f>MAX(0,M4242-N4242)</f>
        <v/>
      </c>
      <c r="K4242" s="11">
        <f>O4242</f>
        <v/>
      </c>
      <c r="L4242" s="11">
        <f>L4241+IF(K4242&gt;0,K4242*Summary!$B$9,K4242/Summary!$B$9)</f>
        <v/>
      </c>
      <c r="M4242" s="11">
        <f>G4242+H4242</f>
        <v/>
      </c>
      <c r="N4242" s="11">
        <f>Summary!$C$16*Summary!$B$8</f>
        <v/>
      </c>
      <c r="O4242" s="11">
        <f>M4242-N4242</f>
        <v/>
      </c>
    </row>
    <row r="4243">
      <c r="A4243" s="9" t="n">
        <v>45468.70833333334</v>
      </c>
      <c r="B4243" t="n">
        <v>6</v>
      </c>
      <c r="C4243" t="n">
        <v>25</v>
      </c>
      <c r="D4243" t="n">
        <v>17</v>
      </c>
      <c r="E4243" s="10" t="n">
        <v>0.17573</v>
      </c>
      <c r="F4243" s="10" t="n">
        <v>0.1390858893806134</v>
      </c>
      <c r="G4243" s="11">
        <f>E4243*Summary!$B$6</f>
        <v/>
      </c>
      <c r="H4243" s="11">
        <f>F4243*Summary!$B$7</f>
        <v/>
      </c>
      <c r="I4243" s="11">
        <f>MAX(0,N4243-M4243)</f>
        <v/>
      </c>
      <c r="J4243" s="11">
        <f>MAX(0,M4243-N4243)</f>
        <v/>
      </c>
      <c r="K4243" s="11">
        <f>O4243</f>
        <v/>
      </c>
      <c r="L4243" s="11">
        <f>L4242+IF(K4243&gt;0,K4243*Summary!$B$9,K4243/Summary!$B$9)</f>
        <v/>
      </c>
      <c r="M4243" s="11">
        <f>G4243+H4243</f>
        <v/>
      </c>
      <c r="N4243" s="11">
        <f>Summary!$C$16*Summary!$B$8</f>
        <v/>
      </c>
      <c r="O4243" s="11">
        <f>M4243-N4243</f>
        <v/>
      </c>
    </row>
    <row r="4244">
      <c r="A4244" s="9" t="n">
        <v>45468.75</v>
      </c>
      <c r="B4244" t="n">
        <v>6</v>
      </c>
      <c r="C4244" t="n">
        <v>25</v>
      </c>
      <c r="D4244" t="n">
        <v>18</v>
      </c>
      <c r="E4244" s="10" t="n">
        <v>0.108008</v>
      </c>
      <c r="F4244" s="10" t="n">
        <v>0.1361081126659471</v>
      </c>
      <c r="G4244" s="11">
        <f>E4244*Summary!$B$6</f>
        <v/>
      </c>
      <c r="H4244" s="11">
        <f>F4244*Summary!$B$7</f>
        <v/>
      </c>
      <c r="I4244" s="11">
        <f>MAX(0,N4244-M4244)</f>
        <v/>
      </c>
      <c r="J4244" s="11">
        <f>MAX(0,M4244-N4244)</f>
        <v/>
      </c>
      <c r="K4244" s="11">
        <f>O4244</f>
        <v/>
      </c>
      <c r="L4244" s="11">
        <f>L4243+IF(K4244&gt;0,K4244*Summary!$B$9,K4244/Summary!$B$9)</f>
        <v/>
      </c>
      <c r="M4244" s="11">
        <f>G4244+H4244</f>
        <v/>
      </c>
      <c r="N4244" s="11">
        <f>Summary!$C$16*Summary!$B$8</f>
        <v/>
      </c>
      <c r="O4244" s="11">
        <f>M4244-N4244</f>
        <v/>
      </c>
    </row>
    <row r="4245">
      <c r="A4245" s="9" t="n">
        <v>45468.79166666666</v>
      </c>
      <c r="B4245" t="n">
        <v>6</v>
      </c>
      <c r="C4245" t="n">
        <v>25</v>
      </c>
      <c r="D4245" t="n">
        <v>19</v>
      </c>
      <c r="E4245" s="10" t="n">
        <v>0.048009</v>
      </c>
      <c r="F4245" s="10" t="n">
        <v>0.1412204018928964</v>
      </c>
      <c r="G4245" s="11">
        <f>E4245*Summary!$B$6</f>
        <v/>
      </c>
      <c r="H4245" s="11">
        <f>F4245*Summary!$B$7</f>
        <v/>
      </c>
      <c r="I4245" s="11">
        <f>MAX(0,N4245-M4245)</f>
        <v/>
      </c>
      <c r="J4245" s="11">
        <f>MAX(0,M4245-N4245)</f>
        <v/>
      </c>
      <c r="K4245" s="11">
        <f>O4245</f>
        <v/>
      </c>
      <c r="L4245" s="11">
        <f>L4244+IF(K4245&gt;0,K4245*Summary!$B$9,K4245/Summary!$B$9)</f>
        <v/>
      </c>
      <c r="M4245" s="11">
        <f>G4245+H4245</f>
        <v/>
      </c>
      <c r="N4245" s="11">
        <f>Summary!$C$16*Summary!$B$8</f>
        <v/>
      </c>
      <c r="O4245" s="11">
        <f>M4245-N4245</f>
        <v/>
      </c>
    </row>
    <row r="4246">
      <c r="A4246" s="9" t="n">
        <v>45468.83333333334</v>
      </c>
      <c r="B4246" t="n">
        <v>6</v>
      </c>
      <c r="C4246" t="n">
        <v>25</v>
      </c>
      <c r="D4246" t="n">
        <v>20</v>
      </c>
      <c r="E4246" s="10" t="n">
        <v>0.004126</v>
      </c>
      <c r="F4246" s="10" t="n">
        <v>0.1567680856243406</v>
      </c>
      <c r="G4246" s="11">
        <f>E4246*Summary!$B$6</f>
        <v/>
      </c>
      <c r="H4246" s="11">
        <f>F4246*Summary!$B$7</f>
        <v/>
      </c>
      <c r="I4246" s="11">
        <f>MAX(0,N4246-M4246)</f>
        <v/>
      </c>
      <c r="J4246" s="11">
        <f>MAX(0,M4246-N4246)</f>
        <v/>
      </c>
      <c r="K4246" s="11">
        <f>O4246</f>
        <v/>
      </c>
      <c r="L4246" s="11">
        <f>L4245+IF(K4246&gt;0,K4246*Summary!$B$9,K4246/Summary!$B$9)</f>
        <v/>
      </c>
      <c r="M4246" s="11">
        <f>G4246+H4246</f>
        <v/>
      </c>
      <c r="N4246" s="11">
        <f>Summary!$C$16*Summary!$B$8</f>
        <v/>
      </c>
      <c r="O4246" s="11">
        <f>M4246-N4246</f>
        <v/>
      </c>
    </row>
    <row r="4247">
      <c r="A4247" s="9" t="n">
        <v>45468.875</v>
      </c>
      <c r="B4247" t="n">
        <v>6</v>
      </c>
      <c r="C4247" t="n">
        <v>25</v>
      </c>
      <c r="D4247" t="n">
        <v>21</v>
      </c>
      <c r="E4247" s="10" t="n">
        <v>0</v>
      </c>
      <c r="F4247" s="10" t="n">
        <v>0.1726846974443274</v>
      </c>
      <c r="G4247" s="11">
        <f>E4247*Summary!$B$6</f>
        <v/>
      </c>
      <c r="H4247" s="11">
        <f>F4247*Summary!$B$7</f>
        <v/>
      </c>
      <c r="I4247" s="11">
        <f>MAX(0,N4247-M4247)</f>
        <v/>
      </c>
      <c r="J4247" s="11">
        <f>MAX(0,M4247-N4247)</f>
        <v/>
      </c>
      <c r="K4247" s="11">
        <f>O4247</f>
        <v/>
      </c>
      <c r="L4247" s="11">
        <f>L4246+IF(K4247&gt;0,K4247*Summary!$B$9,K4247/Summary!$B$9)</f>
        <v/>
      </c>
      <c r="M4247" s="11">
        <f>G4247+H4247</f>
        <v/>
      </c>
      <c r="N4247" s="11">
        <f>Summary!$C$16*Summary!$B$8</f>
        <v/>
      </c>
      <c r="O4247" s="11">
        <f>M4247-N4247</f>
        <v/>
      </c>
    </row>
    <row r="4248">
      <c r="A4248" s="9" t="n">
        <v>45468.91666666666</v>
      </c>
      <c r="B4248" t="n">
        <v>6</v>
      </c>
      <c r="C4248" t="n">
        <v>25</v>
      </c>
      <c r="D4248" t="n">
        <v>22</v>
      </c>
      <c r="E4248" s="10" t="n">
        <v>0</v>
      </c>
      <c r="F4248" s="10" t="n">
        <v>0.185360012486403</v>
      </c>
      <c r="G4248" s="11">
        <f>E4248*Summary!$B$6</f>
        <v/>
      </c>
      <c r="H4248" s="11">
        <f>F4248*Summary!$B$7</f>
        <v/>
      </c>
      <c r="I4248" s="11">
        <f>MAX(0,N4248-M4248)</f>
        <v/>
      </c>
      <c r="J4248" s="11">
        <f>MAX(0,M4248-N4248)</f>
        <v/>
      </c>
      <c r="K4248" s="11">
        <f>O4248</f>
        <v/>
      </c>
      <c r="L4248" s="11">
        <f>L4247+IF(K4248&gt;0,K4248*Summary!$B$9,K4248/Summary!$B$9)</f>
        <v/>
      </c>
      <c r="M4248" s="11">
        <f>G4248+H4248</f>
        <v/>
      </c>
      <c r="N4248" s="11">
        <f>Summary!$C$16*Summary!$B$8</f>
        <v/>
      </c>
      <c r="O4248" s="11">
        <f>M4248-N4248</f>
        <v/>
      </c>
    </row>
    <row r="4249">
      <c r="A4249" s="9" t="n">
        <v>45468.95833333334</v>
      </c>
      <c r="B4249" t="n">
        <v>6</v>
      </c>
      <c r="C4249" t="n">
        <v>25</v>
      </c>
      <c r="D4249" t="n">
        <v>23</v>
      </c>
      <c r="E4249" s="10" t="n">
        <v>0</v>
      </c>
      <c r="F4249" s="10" t="n">
        <v>0.1951629588391101</v>
      </c>
      <c r="G4249" s="11">
        <f>E4249*Summary!$B$6</f>
        <v/>
      </c>
      <c r="H4249" s="11">
        <f>F4249*Summary!$B$7</f>
        <v/>
      </c>
      <c r="I4249" s="11">
        <f>MAX(0,N4249-M4249)</f>
        <v/>
      </c>
      <c r="J4249" s="11">
        <f>MAX(0,M4249-N4249)</f>
        <v/>
      </c>
      <c r="K4249" s="11">
        <f>O4249</f>
        <v/>
      </c>
      <c r="L4249" s="11">
        <f>L4248+IF(K4249&gt;0,K4249*Summary!$B$9,K4249/Summary!$B$9)</f>
        <v/>
      </c>
      <c r="M4249" s="11">
        <f>G4249+H4249</f>
        <v/>
      </c>
      <c r="N4249" s="11">
        <f>Summary!$C$16*Summary!$B$8</f>
        <v/>
      </c>
      <c r="O4249" s="11">
        <f>M4249-N4249</f>
        <v/>
      </c>
    </row>
    <row r="4250">
      <c r="A4250" s="9" t="n">
        <v>45469</v>
      </c>
      <c r="B4250" t="n">
        <v>6</v>
      </c>
      <c r="C4250" t="n">
        <v>26</v>
      </c>
      <c r="D4250" t="n">
        <v>0</v>
      </c>
      <c r="E4250" s="10" t="n">
        <v>0</v>
      </c>
      <c r="F4250" s="10" t="n">
        <v>0.1722103613304867</v>
      </c>
      <c r="G4250" s="11">
        <f>E4250*Summary!$B$6</f>
        <v/>
      </c>
      <c r="H4250" s="11">
        <f>F4250*Summary!$B$7</f>
        <v/>
      </c>
      <c r="I4250" s="11">
        <f>MAX(0,N4250-M4250)</f>
        <v/>
      </c>
      <c r="J4250" s="11">
        <f>MAX(0,M4250-N4250)</f>
        <v/>
      </c>
      <c r="K4250" s="11">
        <f>O4250</f>
        <v/>
      </c>
      <c r="L4250" s="11">
        <f>L4249+IF(K4250&gt;0,K4250*Summary!$B$9,K4250/Summary!$B$9)</f>
        <v/>
      </c>
      <c r="M4250" s="11">
        <f>G4250+H4250</f>
        <v/>
      </c>
      <c r="N4250" s="11">
        <f>Summary!$C$16*Summary!$B$8</f>
        <v/>
      </c>
      <c r="O4250" s="11">
        <f>M4250-N4250</f>
        <v/>
      </c>
    </row>
    <row r="4251">
      <c r="A4251" s="9" t="n">
        <v>45469.04166666666</v>
      </c>
      <c r="B4251" t="n">
        <v>6</v>
      </c>
      <c r="C4251" t="n">
        <v>26</v>
      </c>
      <c r="D4251" t="n">
        <v>1</v>
      </c>
      <c r="E4251" s="10" t="n">
        <v>0</v>
      </c>
      <c r="F4251" s="10" t="n">
        <v>0.1918426060422254</v>
      </c>
      <c r="G4251" s="11">
        <f>E4251*Summary!$B$6</f>
        <v/>
      </c>
      <c r="H4251" s="11">
        <f>F4251*Summary!$B$7</f>
        <v/>
      </c>
      <c r="I4251" s="11">
        <f>MAX(0,N4251-M4251)</f>
        <v/>
      </c>
      <c r="J4251" s="11">
        <f>MAX(0,M4251-N4251)</f>
        <v/>
      </c>
      <c r="K4251" s="11">
        <f>O4251</f>
        <v/>
      </c>
      <c r="L4251" s="11">
        <f>L4250+IF(K4251&gt;0,K4251*Summary!$B$9,K4251/Summary!$B$9)</f>
        <v/>
      </c>
      <c r="M4251" s="11">
        <f>G4251+H4251</f>
        <v/>
      </c>
      <c r="N4251" s="11">
        <f>Summary!$C$16*Summary!$B$8</f>
        <v/>
      </c>
      <c r="O4251" s="11">
        <f>M4251-N4251</f>
        <v/>
      </c>
    </row>
    <row r="4252">
      <c r="A4252" s="9" t="n">
        <v>45469.08333333334</v>
      </c>
      <c r="B4252" t="n">
        <v>6</v>
      </c>
      <c r="C4252" t="n">
        <v>26</v>
      </c>
      <c r="D4252" t="n">
        <v>2</v>
      </c>
      <c r="E4252" s="10" t="n">
        <v>0</v>
      </c>
      <c r="F4252" s="10" t="n">
        <v>0.1848066203535889</v>
      </c>
      <c r="G4252" s="11">
        <f>E4252*Summary!$B$6</f>
        <v/>
      </c>
      <c r="H4252" s="11">
        <f>F4252*Summary!$B$7</f>
        <v/>
      </c>
      <c r="I4252" s="11">
        <f>MAX(0,N4252-M4252)</f>
        <v/>
      </c>
      <c r="J4252" s="11">
        <f>MAX(0,M4252-N4252)</f>
        <v/>
      </c>
      <c r="K4252" s="11">
        <f>O4252</f>
        <v/>
      </c>
      <c r="L4252" s="11">
        <f>L4251+IF(K4252&gt;0,K4252*Summary!$B$9,K4252/Summary!$B$9)</f>
        <v/>
      </c>
      <c r="M4252" s="11">
        <f>G4252+H4252</f>
        <v/>
      </c>
      <c r="N4252" s="11">
        <f>Summary!$C$16*Summary!$B$8</f>
        <v/>
      </c>
      <c r="O4252" s="11">
        <f>M4252-N4252</f>
        <v/>
      </c>
    </row>
    <row r="4253">
      <c r="A4253" s="9" t="n">
        <v>45469.125</v>
      </c>
      <c r="B4253" t="n">
        <v>6</v>
      </c>
      <c r="C4253" t="n">
        <v>26</v>
      </c>
      <c r="D4253" t="n">
        <v>3</v>
      </c>
      <c r="E4253" s="10" t="n">
        <v>0</v>
      </c>
      <c r="F4253" s="10" t="n">
        <v>0.1745029858807166</v>
      </c>
      <c r="G4253" s="11">
        <f>E4253*Summary!$B$6</f>
        <v/>
      </c>
      <c r="H4253" s="11">
        <f>F4253*Summary!$B$7</f>
        <v/>
      </c>
      <c r="I4253" s="11">
        <f>MAX(0,N4253-M4253)</f>
        <v/>
      </c>
      <c r="J4253" s="11">
        <f>MAX(0,M4253-N4253)</f>
        <v/>
      </c>
      <c r="K4253" s="11">
        <f>O4253</f>
        <v/>
      </c>
      <c r="L4253" s="11">
        <f>L4252+IF(K4253&gt;0,K4253*Summary!$B$9,K4253/Summary!$B$9)</f>
        <v/>
      </c>
      <c r="M4253" s="11">
        <f>G4253+H4253</f>
        <v/>
      </c>
      <c r="N4253" s="11">
        <f>Summary!$C$16*Summary!$B$8</f>
        <v/>
      </c>
      <c r="O4253" s="11">
        <f>M4253-N4253</f>
        <v/>
      </c>
    </row>
    <row r="4254">
      <c r="A4254" s="9" t="n">
        <v>45469.16666666666</v>
      </c>
      <c r="B4254" t="n">
        <v>6</v>
      </c>
      <c r="C4254" t="n">
        <v>26</v>
      </c>
      <c r="D4254" t="n">
        <v>4</v>
      </c>
      <c r="E4254" s="10" t="n">
        <v>0.030397</v>
      </c>
      <c r="F4254" s="10" t="n">
        <v>0.1569525496686119</v>
      </c>
      <c r="G4254" s="11">
        <f>E4254*Summary!$B$6</f>
        <v/>
      </c>
      <c r="H4254" s="11">
        <f>F4254*Summary!$B$7</f>
        <v/>
      </c>
      <c r="I4254" s="11">
        <f>MAX(0,N4254-M4254)</f>
        <v/>
      </c>
      <c r="J4254" s="11">
        <f>MAX(0,M4254-N4254)</f>
        <v/>
      </c>
      <c r="K4254" s="11">
        <f>O4254</f>
        <v/>
      </c>
      <c r="L4254" s="11">
        <f>L4253+IF(K4254&gt;0,K4254*Summary!$B$9,K4254/Summary!$B$9)</f>
        <v/>
      </c>
      <c r="M4254" s="11">
        <f>G4254+H4254</f>
        <v/>
      </c>
      <c r="N4254" s="11">
        <f>Summary!$C$16*Summary!$B$8</f>
        <v/>
      </c>
      <c r="O4254" s="11">
        <f>M4254-N4254</f>
        <v/>
      </c>
    </row>
    <row r="4255">
      <c r="A4255" s="9" t="n">
        <v>45469.20833333334</v>
      </c>
      <c r="B4255" t="n">
        <v>6</v>
      </c>
      <c r="C4255" t="n">
        <v>26</v>
      </c>
      <c r="D4255" t="n">
        <v>5</v>
      </c>
      <c r="E4255" s="10" t="n">
        <v>0.069439</v>
      </c>
      <c r="F4255" s="10" t="n">
        <v>0.1246976939274465</v>
      </c>
      <c r="G4255" s="11">
        <f>E4255*Summary!$B$6</f>
        <v/>
      </c>
      <c r="H4255" s="11">
        <f>F4255*Summary!$B$7</f>
        <v/>
      </c>
      <c r="I4255" s="11">
        <f>MAX(0,N4255-M4255)</f>
        <v/>
      </c>
      <c r="J4255" s="11">
        <f>MAX(0,M4255-N4255)</f>
        <v/>
      </c>
      <c r="K4255" s="11">
        <f>O4255</f>
        <v/>
      </c>
      <c r="L4255" s="11">
        <f>L4254+IF(K4255&gt;0,K4255*Summary!$B$9,K4255/Summary!$B$9)</f>
        <v/>
      </c>
      <c r="M4255" s="11">
        <f>G4255+H4255</f>
        <v/>
      </c>
      <c r="N4255" s="11">
        <f>Summary!$C$16*Summary!$B$8</f>
        <v/>
      </c>
      <c r="O4255" s="11">
        <f>M4255-N4255</f>
        <v/>
      </c>
    </row>
    <row r="4256">
      <c r="A4256" s="9" t="n">
        <v>45469.25</v>
      </c>
      <c r="B4256" t="n">
        <v>6</v>
      </c>
      <c r="C4256" t="n">
        <v>26</v>
      </c>
      <c r="D4256" t="n">
        <v>6</v>
      </c>
      <c r="E4256" s="10" t="n">
        <v>0.114096</v>
      </c>
      <c r="F4256" s="10" t="n">
        <v>0.09853015164723639</v>
      </c>
      <c r="G4256" s="11">
        <f>E4256*Summary!$B$6</f>
        <v/>
      </c>
      <c r="H4256" s="11">
        <f>F4256*Summary!$B$7</f>
        <v/>
      </c>
      <c r="I4256" s="11">
        <f>MAX(0,N4256-M4256)</f>
        <v/>
      </c>
      <c r="J4256" s="11">
        <f>MAX(0,M4256-N4256)</f>
        <v/>
      </c>
      <c r="K4256" s="11">
        <f>O4256</f>
        <v/>
      </c>
      <c r="L4256" s="11">
        <f>L4255+IF(K4256&gt;0,K4256*Summary!$B$9,K4256/Summary!$B$9)</f>
        <v/>
      </c>
      <c r="M4256" s="11">
        <f>G4256+H4256</f>
        <v/>
      </c>
      <c r="N4256" s="11">
        <f>Summary!$C$16*Summary!$B$8</f>
        <v/>
      </c>
      <c r="O4256" s="11">
        <f>M4256-N4256</f>
        <v/>
      </c>
    </row>
    <row r="4257">
      <c r="A4257" s="9" t="n">
        <v>45469.29166666666</v>
      </c>
      <c r="B4257" t="n">
        <v>6</v>
      </c>
      <c r="C4257" t="n">
        <v>26</v>
      </c>
      <c r="D4257" t="n">
        <v>7</v>
      </c>
      <c r="E4257" s="10" t="n">
        <v>0.172122</v>
      </c>
      <c r="F4257" s="10" t="n">
        <v>0.08617106068105457</v>
      </c>
      <c r="G4257" s="11">
        <f>E4257*Summary!$B$6</f>
        <v/>
      </c>
      <c r="H4257" s="11">
        <f>F4257*Summary!$B$7</f>
        <v/>
      </c>
      <c r="I4257" s="11">
        <f>MAX(0,N4257-M4257)</f>
        <v/>
      </c>
      <c r="J4257" s="11">
        <f>MAX(0,M4257-N4257)</f>
        <v/>
      </c>
      <c r="K4257" s="11">
        <f>O4257</f>
        <v/>
      </c>
      <c r="L4257" s="11">
        <f>L4256+IF(K4257&gt;0,K4257*Summary!$B$9,K4257/Summary!$B$9)</f>
        <v/>
      </c>
      <c r="M4257" s="11">
        <f>G4257+H4257</f>
        <v/>
      </c>
      <c r="N4257" s="11">
        <f>Summary!$C$16*Summary!$B$8</f>
        <v/>
      </c>
      <c r="O4257" s="11">
        <f>M4257-N4257</f>
        <v/>
      </c>
    </row>
    <row r="4258">
      <c r="A4258" s="9" t="n">
        <v>45469.33333333334</v>
      </c>
      <c r="B4258" t="n">
        <v>6</v>
      </c>
      <c r="C4258" t="n">
        <v>26</v>
      </c>
      <c r="D4258" t="n">
        <v>8</v>
      </c>
      <c r="E4258" s="10" t="n">
        <v>0.299234</v>
      </c>
      <c r="F4258" s="10" t="n">
        <v>0.08696162087078901</v>
      </c>
      <c r="G4258" s="11">
        <f>E4258*Summary!$B$6</f>
        <v/>
      </c>
      <c r="H4258" s="11">
        <f>F4258*Summary!$B$7</f>
        <v/>
      </c>
      <c r="I4258" s="11">
        <f>MAX(0,N4258-M4258)</f>
        <v/>
      </c>
      <c r="J4258" s="11">
        <f>MAX(0,M4258-N4258)</f>
        <v/>
      </c>
      <c r="K4258" s="11">
        <f>O4258</f>
        <v/>
      </c>
      <c r="L4258" s="11">
        <f>L4257+IF(K4258&gt;0,K4258*Summary!$B$9,K4258/Summary!$B$9)</f>
        <v/>
      </c>
      <c r="M4258" s="11">
        <f>G4258+H4258</f>
        <v/>
      </c>
      <c r="N4258" s="11">
        <f>Summary!$C$16*Summary!$B$8</f>
        <v/>
      </c>
      <c r="O4258" s="11">
        <f>M4258-N4258</f>
        <v/>
      </c>
    </row>
    <row r="4259">
      <c r="A4259" s="9" t="n">
        <v>45469.375</v>
      </c>
      <c r="B4259" t="n">
        <v>6</v>
      </c>
      <c r="C4259" t="n">
        <v>26</v>
      </c>
      <c r="D4259" t="n">
        <v>9</v>
      </c>
      <c r="E4259" s="10" t="n">
        <v>0.413224</v>
      </c>
      <c r="F4259" s="10" t="n">
        <v>0.0928117662748239</v>
      </c>
      <c r="G4259" s="11">
        <f>E4259*Summary!$B$6</f>
        <v/>
      </c>
      <c r="H4259" s="11">
        <f>F4259*Summary!$B$7</f>
        <v/>
      </c>
      <c r="I4259" s="11">
        <f>MAX(0,N4259-M4259)</f>
        <v/>
      </c>
      <c r="J4259" s="11">
        <f>MAX(0,M4259-N4259)</f>
        <v/>
      </c>
      <c r="K4259" s="11">
        <f>O4259</f>
        <v/>
      </c>
      <c r="L4259" s="11">
        <f>L4258+IF(K4259&gt;0,K4259*Summary!$B$9,K4259/Summary!$B$9)</f>
        <v/>
      </c>
      <c r="M4259" s="11">
        <f>G4259+H4259</f>
        <v/>
      </c>
      <c r="N4259" s="11">
        <f>Summary!$C$16*Summary!$B$8</f>
        <v/>
      </c>
      <c r="O4259" s="11">
        <f>M4259-N4259</f>
        <v/>
      </c>
    </row>
    <row r="4260">
      <c r="A4260" s="9" t="n">
        <v>45469.41666666666</v>
      </c>
      <c r="B4260" t="n">
        <v>6</v>
      </c>
      <c r="C4260" t="n">
        <v>26</v>
      </c>
      <c r="D4260" t="n">
        <v>10</v>
      </c>
      <c r="E4260" s="10" t="n">
        <v>0.383352</v>
      </c>
      <c r="F4260" s="10" t="n">
        <v>0.1017714484251476</v>
      </c>
      <c r="G4260" s="11">
        <f>E4260*Summary!$B$6</f>
        <v/>
      </c>
      <c r="H4260" s="11">
        <f>F4260*Summary!$B$7</f>
        <v/>
      </c>
      <c r="I4260" s="11">
        <f>MAX(0,N4260-M4260)</f>
        <v/>
      </c>
      <c r="J4260" s="11">
        <f>MAX(0,M4260-N4260)</f>
        <v/>
      </c>
      <c r="K4260" s="11">
        <f>O4260</f>
        <v/>
      </c>
      <c r="L4260" s="11">
        <f>L4259+IF(K4260&gt;0,K4260*Summary!$B$9,K4260/Summary!$B$9)</f>
        <v/>
      </c>
      <c r="M4260" s="11">
        <f>G4260+H4260</f>
        <v/>
      </c>
      <c r="N4260" s="11">
        <f>Summary!$C$16*Summary!$B$8</f>
        <v/>
      </c>
      <c r="O4260" s="11">
        <f>M4260-N4260</f>
        <v/>
      </c>
    </row>
    <row r="4261">
      <c r="A4261" s="9" t="n">
        <v>45469.45833333334</v>
      </c>
      <c r="B4261" t="n">
        <v>6</v>
      </c>
      <c r="C4261" t="n">
        <v>26</v>
      </c>
      <c r="D4261" t="n">
        <v>11</v>
      </c>
      <c r="E4261" s="10" t="n">
        <v>0.447655</v>
      </c>
      <c r="F4261" s="10" t="n">
        <v>0.1172137241312938</v>
      </c>
      <c r="G4261" s="11">
        <f>E4261*Summary!$B$6</f>
        <v/>
      </c>
      <c r="H4261" s="11">
        <f>F4261*Summary!$B$7</f>
        <v/>
      </c>
      <c r="I4261" s="11">
        <f>MAX(0,N4261-M4261)</f>
        <v/>
      </c>
      <c r="J4261" s="11">
        <f>MAX(0,M4261-N4261)</f>
        <v/>
      </c>
      <c r="K4261" s="11">
        <f>O4261</f>
        <v/>
      </c>
      <c r="L4261" s="11">
        <f>L4260+IF(K4261&gt;0,K4261*Summary!$B$9,K4261/Summary!$B$9)</f>
        <v/>
      </c>
      <c r="M4261" s="11">
        <f>G4261+H4261</f>
        <v/>
      </c>
      <c r="N4261" s="11">
        <f>Summary!$C$16*Summary!$B$8</f>
        <v/>
      </c>
      <c r="O4261" s="11">
        <f>M4261-N4261</f>
        <v/>
      </c>
    </row>
    <row r="4262">
      <c r="A4262" s="9" t="n">
        <v>45469.5</v>
      </c>
      <c r="B4262" t="n">
        <v>6</v>
      </c>
      <c r="C4262" t="n">
        <v>26</v>
      </c>
      <c r="D4262" t="n">
        <v>12</v>
      </c>
      <c r="E4262" s="10" t="n">
        <v>0.503467</v>
      </c>
      <c r="F4262" s="10" t="n">
        <v>0.1344742882738292</v>
      </c>
      <c r="G4262" s="11">
        <f>E4262*Summary!$B$6</f>
        <v/>
      </c>
      <c r="H4262" s="11">
        <f>F4262*Summary!$B$7</f>
        <v/>
      </c>
      <c r="I4262" s="11">
        <f>MAX(0,N4262-M4262)</f>
        <v/>
      </c>
      <c r="J4262" s="11">
        <f>MAX(0,M4262-N4262)</f>
        <v/>
      </c>
      <c r="K4262" s="11">
        <f>O4262</f>
        <v/>
      </c>
      <c r="L4262" s="11">
        <f>L4261+IF(K4262&gt;0,K4262*Summary!$B$9,K4262/Summary!$B$9)</f>
        <v/>
      </c>
      <c r="M4262" s="11">
        <f>G4262+H4262</f>
        <v/>
      </c>
      <c r="N4262" s="11">
        <f>Summary!$C$16*Summary!$B$8</f>
        <v/>
      </c>
      <c r="O4262" s="11">
        <f>M4262-N4262</f>
        <v/>
      </c>
    </row>
    <row r="4263">
      <c r="A4263" s="9" t="n">
        <v>45469.54166666666</v>
      </c>
      <c r="B4263" t="n">
        <v>6</v>
      </c>
      <c r="C4263" t="n">
        <v>26</v>
      </c>
      <c r="D4263" t="n">
        <v>13</v>
      </c>
      <c r="E4263" s="10" t="n">
        <v>0.235835</v>
      </c>
      <c r="F4263" s="10" t="n">
        <v>0.1586390780733787</v>
      </c>
      <c r="G4263" s="11">
        <f>E4263*Summary!$B$6</f>
        <v/>
      </c>
      <c r="H4263" s="11">
        <f>F4263*Summary!$B$7</f>
        <v/>
      </c>
      <c r="I4263" s="11">
        <f>MAX(0,N4263-M4263)</f>
        <v/>
      </c>
      <c r="J4263" s="11">
        <f>MAX(0,M4263-N4263)</f>
        <v/>
      </c>
      <c r="K4263" s="11">
        <f>O4263</f>
        <v/>
      </c>
      <c r="L4263" s="11">
        <f>L4262+IF(K4263&gt;0,K4263*Summary!$B$9,K4263/Summary!$B$9)</f>
        <v/>
      </c>
      <c r="M4263" s="11">
        <f>G4263+H4263</f>
        <v/>
      </c>
      <c r="N4263" s="11">
        <f>Summary!$C$16*Summary!$B$8</f>
        <v/>
      </c>
      <c r="O4263" s="11">
        <f>M4263-N4263</f>
        <v/>
      </c>
    </row>
    <row r="4264">
      <c r="A4264" s="9" t="n">
        <v>45469.58333333334</v>
      </c>
      <c r="B4264" t="n">
        <v>6</v>
      </c>
      <c r="C4264" t="n">
        <v>26</v>
      </c>
      <c r="D4264" t="n">
        <v>14</v>
      </c>
      <c r="E4264" s="10" t="n">
        <v>0.154652</v>
      </c>
      <c r="F4264" s="10" t="n">
        <v>0.1485462596511023</v>
      </c>
      <c r="G4264" s="11">
        <f>E4264*Summary!$B$6</f>
        <v/>
      </c>
      <c r="H4264" s="11">
        <f>F4264*Summary!$B$7</f>
        <v/>
      </c>
      <c r="I4264" s="11">
        <f>MAX(0,N4264-M4264)</f>
        <v/>
      </c>
      <c r="J4264" s="11">
        <f>MAX(0,M4264-N4264)</f>
        <v/>
      </c>
      <c r="K4264" s="11">
        <f>O4264</f>
        <v/>
      </c>
      <c r="L4264" s="11">
        <f>L4263+IF(K4264&gt;0,K4264*Summary!$B$9,K4264/Summary!$B$9)</f>
        <v/>
      </c>
      <c r="M4264" s="11">
        <f>G4264+H4264</f>
        <v/>
      </c>
      <c r="N4264" s="11">
        <f>Summary!$C$16*Summary!$B$8</f>
        <v/>
      </c>
      <c r="O4264" s="11">
        <f>M4264-N4264</f>
        <v/>
      </c>
    </row>
    <row r="4265">
      <c r="A4265" s="9" t="n">
        <v>45469.625</v>
      </c>
      <c r="B4265" t="n">
        <v>6</v>
      </c>
      <c r="C4265" t="n">
        <v>26</v>
      </c>
      <c r="D4265" t="n">
        <v>15</v>
      </c>
      <c r="E4265" s="10" t="n">
        <v>0.111403</v>
      </c>
      <c r="F4265" s="10" t="n">
        <v>0.1510497002519281</v>
      </c>
      <c r="G4265" s="11">
        <f>E4265*Summary!$B$6</f>
        <v/>
      </c>
      <c r="H4265" s="11">
        <f>F4265*Summary!$B$7</f>
        <v/>
      </c>
      <c r="I4265" s="11">
        <f>MAX(0,N4265-M4265)</f>
        <v/>
      </c>
      <c r="J4265" s="11">
        <f>MAX(0,M4265-N4265)</f>
        <v/>
      </c>
      <c r="K4265" s="11">
        <f>O4265</f>
        <v/>
      </c>
      <c r="L4265" s="11">
        <f>L4264+IF(K4265&gt;0,K4265*Summary!$B$9,K4265/Summary!$B$9)</f>
        <v/>
      </c>
      <c r="M4265" s="11">
        <f>G4265+H4265</f>
        <v/>
      </c>
      <c r="N4265" s="11">
        <f>Summary!$C$16*Summary!$B$8</f>
        <v/>
      </c>
      <c r="O4265" s="11">
        <f>M4265-N4265</f>
        <v/>
      </c>
    </row>
    <row r="4266">
      <c r="A4266" s="9" t="n">
        <v>45469.66666666666</v>
      </c>
      <c r="B4266" t="n">
        <v>6</v>
      </c>
      <c r="C4266" t="n">
        <v>26</v>
      </c>
      <c r="D4266" t="n">
        <v>16</v>
      </c>
      <c r="E4266" s="10" t="n">
        <v>0.090253</v>
      </c>
      <c r="F4266" s="10" t="n">
        <v>0.1515503883720932</v>
      </c>
      <c r="G4266" s="11">
        <f>E4266*Summary!$B$6</f>
        <v/>
      </c>
      <c r="H4266" s="11">
        <f>F4266*Summary!$B$7</f>
        <v/>
      </c>
      <c r="I4266" s="11">
        <f>MAX(0,N4266-M4266)</f>
        <v/>
      </c>
      <c r="J4266" s="11">
        <f>MAX(0,M4266-N4266)</f>
        <v/>
      </c>
      <c r="K4266" s="11">
        <f>O4266</f>
        <v/>
      </c>
      <c r="L4266" s="11">
        <f>L4265+IF(K4266&gt;0,K4266*Summary!$B$9,K4266/Summary!$B$9)</f>
        <v/>
      </c>
      <c r="M4266" s="11">
        <f>G4266+H4266</f>
        <v/>
      </c>
      <c r="N4266" s="11">
        <f>Summary!$C$16*Summary!$B$8</f>
        <v/>
      </c>
      <c r="O4266" s="11">
        <f>M4266-N4266</f>
        <v/>
      </c>
    </row>
    <row r="4267">
      <c r="A4267" s="9" t="n">
        <v>45469.70833333334</v>
      </c>
      <c r="B4267" t="n">
        <v>6</v>
      </c>
      <c r="C4267" t="n">
        <v>26</v>
      </c>
      <c r="D4267" t="n">
        <v>17</v>
      </c>
      <c r="E4267" s="10" t="n">
        <v>0.104086</v>
      </c>
      <c r="F4267" s="10" t="n">
        <v>0.1456475389554093</v>
      </c>
      <c r="G4267" s="11">
        <f>E4267*Summary!$B$6</f>
        <v/>
      </c>
      <c r="H4267" s="11">
        <f>F4267*Summary!$B$7</f>
        <v/>
      </c>
      <c r="I4267" s="11">
        <f>MAX(0,N4267-M4267)</f>
        <v/>
      </c>
      <c r="J4267" s="11">
        <f>MAX(0,M4267-N4267)</f>
        <v/>
      </c>
      <c r="K4267" s="11">
        <f>O4267</f>
        <v/>
      </c>
      <c r="L4267" s="11">
        <f>L4266+IF(K4267&gt;0,K4267*Summary!$B$9,K4267/Summary!$B$9)</f>
        <v/>
      </c>
      <c r="M4267" s="11">
        <f>G4267+H4267</f>
        <v/>
      </c>
      <c r="N4267" s="11">
        <f>Summary!$C$16*Summary!$B$8</f>
        <v/>
      </c>
      <c r="O4267" s="11">
        <f>M4267-N4267</f>
        <v/>
      </c>
    </row>
    <row r="4268">
      <c r="A4268" s="9" t="n">
        <v>45469.75</v>
      </c>
      <c r="B4268" t="n">
        <v>6</v>
      </c>
      <c r="C4268" t="n">
        <v>26</v>
      </c>
      <c r="D4268" t="n">
        <v>18</v>
      </c>
      <c r="E4268" s="10" t="n">
        <v>0.074146</v>
      </c>
      <c r="F4268" s="10" t="n">
        <v>0.143223154373557</v>
      </c>
      <c r="G4268" s="11">
        <f>E4268*Summary!$B$6</f>
        <v/>
      </c>
      <c r="H4268" s="11">
        <f>F4268*Summary!$B$7</f>
        <v/>
      </c>
      <c r="I4268" s="11">
        <f>MAX(0,N4268-M4268)</f>
        <v/>
      </c>
      <c r="J4268" s="11">
        <f>MAX(0,M4268-N4268)</f>
        <v/>
      </c>
      <c r="K4268" s="11">
        <f>O4268</f>
        <v/>
      </c>
      <c r="L4268" s="11">
        <f>L4267+IF(K4268&gt;0,K4268*Summary!$B$9,K4268/Summary!$B$9)</f>
        <v/>
      </c>
      <c r="M4268" s="11">
        <f>G4268+H4268</f>
        <v/>
      </c>
      <c r="N4268" s="11">
        <f>Summary!$C$16*Summary!$B$8</f>
        <v/>
      </c>
      <c r="O4268" s="11">
        <f>M4268-N4268</f>
        <v/>
      </c>
    </row>
    <row r="4269">
      <c r="A4269" s="9" t="n">
        <v>45469.79166666666</v>
      </c>
      <c r="B4269" t="n">
        <v>6</v>
      </c>
      <c r="C4269" t="n">
        <v>26</v>
      </c>
      <c r="D4269" t="n">
        <v>19</v>
      </c>
      <c r="E4269" s="10" t="n">
        <v>0.035296</v>
      </c>
      <c r="F4269" s="10" t="n">
        <v>0.1431440983545836</v>
      </c>
      <c r="G4269" s="11">
        <f>E4269*Summary!$B$6</f>
        <v/>
      </c>
      <c r="H4269" s="11">
        <f>F4269*Summary!$B$7</f>
        <v/>
      </c>
      <c r="I4269" s="11">
        <f>MAX(0,N4269-M4269)</f>
        <v/>
      </c>
      <c r="J4269" s="11">
        <f>MAX(0,M4269-N4269)</f>
        <v/>
      </c>
      <c r="K4269" s="11">
        <f>O4269</f>
        <v/>
      </c>
      <c r="L4269" s="11">
        <f>L4268+IF(K4269&gt;0,K4269*Summary!$B$9,K4269/Summary!$B$9)</f>
        <v/>
      </c>
      <c r="M4269" s="11">
        <f>G4269+H4269</f>
        <v/>
      </c>
      <c r="N4269" s="11">
        <f>Summary!$C$16*Summary!$B$8</f>
        <v/>
      </c>
      <c r="O4269" s="11">
        <f>M4269-N4269</f>
        <v/>
      </c>
    </row>
    <row r="4270">
      <c r="A4270" s="9" t="n">
        <v>45469.83333333334</v>
      </c>
      <c r="B4270" t="n">
        <v>6</v>
      </c>
      <c r="C4270" t="n">
        <v>26</v>
      </c>
      <c r="D4270" t="n">
        <v>20</v>
      </c>
      <c r="E4270" s="10" t="n">
        <v>0.005866</v>
      </c>
      <c r="F4270" s="10" t="n">
        <v>0.1505753641380874</v>
      </c>
      <c r="G4270" s="11">
        <f>E4270*Summary!$B$6</f>
        <v/>
      </c>
      <c r="H4270" s="11">
        <f>F4270*Summary!$B$7</f>
        <v/>
      </c>
      <c r="I4270" s="11">
        <f>MAX(0,N4270-M4270)</f>
        <v/>
      </c>
      <c r="J4270" s="11">
        <f>MAX(0,M4270-N4270)</f>
        <v/>
      </c>
      <c r="K4270" s="11">
        <f>O4270</f>
        <v/>
      </c>
      <c r="L4270" s="11">
        <f>L4269+IF(K4270&gt;0,K4270*Summary!$B$9,K4270/Summary!$B$9)</f>
        <v/>
      </c>
      <c r="M4270" s="11">
        <f>G4270+H4270</f>
        <v/>
      </c>
      <c r="N4270" s="11">
        <f>Summary!$C$16*Summary!$B$8</f>
        <v/>
      </c>
      <c r="O4270" s="11">
        <f>M4270-N4270</f>
        <v/>
      </c>
    </row>
    <row r="4271">
      <c r="A4271" s="9" t="n">
        <v>45469.875</v>
      </c>
      <c r="B4271" t="n">
        <v>6</v>
      </c>
      <c r="C4271" t="n">
        <v>26</v>
      </c>
      <c r="D4271" t="n">
        <v>21</v>
      </c>
      <c r="E4271" s="10" t="n">
        <v>0</v>
      </c>
      <c r="F4271" s="10" t="n">
        <v>0.1640675913762219</v>
      </c>
      <c r="G4271" s="11">
        <f>E4271*Summary!$B$6</f>
        <v/>
      </c>
      <c r="H4271" s="11">
        <f>F4271*Summary!$B$7</f>
        <v/>
      </c>
      <c r="I4271" s="11">
        <f>MAX(0,N4271-M4271)</f>
        <v/>
      </c>
      <c r="J4271" s="11">
        <f>MAX(0,M4271-N4271)</f>
        <v/>
      </c>
      <c r="K4271" s="11">
        <f>O4271</f>
        <v/>
      </c>
      <c r="L4271" s="11">
        <f>L4270+IF(K4271&gt;0,K4271*Summary!$B$9,K4271/Summary!$B$9)</f>
        <v/>
      </c>
      <c r="M4271" s="11">
        <f>G4271+H4271</f>
        <v/>
      </c>
      <c r="N4271" s="11">
        <f>Summary!$C$16*Summary!$B$8</f>
        <v/>
      </c>
      <c r="O4271" s="11">
        <f>M4271-N4271</f>
        <v/>
      </c>
    </row>
    <row r="4272">
      <c r="A4272" s="9" t="n">
        <v>45469.91666666666</v>
      </c>
      <c r="B4272" t="n">
        <v>6</v>
      </c>
      <c r="C4272" t="n">
        <v>26</v>
      </c>
      <c r="D4272" t="n">
        <v>22</v>
      </c>
      <c r="E4272" s="10" t="n">
        <v>0</v>
      </c>
      <c r="F4272" s="10" t="n">
        <v>0.17458204189969</v>
      </c>
      <c r="G4272" s="11">
        <f>E4272*Summary!$B$6</f>
        <v/>
      </c>
      <c r="H4272" s="11">
        <f>F4272*Summary!$B$7</f>
        <v/>
      </c>
      <c r="I4272" s="11">
        <f>MAX(0,N4272-M4272)</f>
        <v/>
      </c>
      <c r="J4272" s="11">
        <f>MAX(0,M4272-N4272)</f>
        <v/>
      </c>
      <c r="K4272" s="11">
        <f>O4272</f>
        <v/>
      </c>
      <c r="L4272" s="11">
        <f>L4271+IF(K4272&gt;0,K4272*Summary!$B$9,K4272/Summary!$B$9)</f>
        <v/>
      </c>
      <c r="M4272" s="11">
        <f>G4272+H4272</f>
        <v/>
      </c>
      <c r="N4272" s="11">
        <f>Summary!$C$16*Summary!$B$8</f>
        <v/>
      </c>
      <c r="O4272" s="11">
        <f>M4272-N4272</f>
        <v/>
      </c>
    </row>
    <row r="4273">
      <c r="A4273" s="9" t="n">
        <v>45469.95833333334</v>
      </c>
      <c r="B4273" t="n">
        <v>6</v>
      </c>
      <c r="C4273" t="n">
        <v>26</v>
      </c>
      <c r="D4273" t="n">
        <v>23</v>
      </c>
      <c r="E4273" s="10" t="n">
        <v>0</v>
      </c>
      <c r="F4273" s="10" t="n">
        <v>0.1737651297036311</v>
      </c>
      <c r="G4273" s="11">
        <f>E4273*Summary!$B$6</f>
        <v/>
      </c>
      <c r="H4273" s="11">
        <f>F4273*Summary!$B$7</f>
        <v/>
      </c>
      <c r="I4273" s="11">
        <f>MAX(0,N4273-M4273)</f>
        <v/>
      </c>
      <c r="J4273" s="11">
        <f>MAX(0,M4273-N4273)</f>
        <v/>
      </c>
      <c r="K4273" s="11">
        <f>O4273</f>
        <v/>
      </c>
      <c r="L4273" s="11">
        <f>L4272+IF(K4273&gt;0,K4273*Summary!$B$9,K4273/Summary!$B$9)</f>
        <v/>
      </c>
      <c r="M4273" s="11">
        <f>G4273+H4273</f>
        <v/>
      </c>
      <c r="N4273" s="11">
        <f>Summary!$C$16*Summary!$B$8</f>
        <v/>
      </c>
      <c r="O4273" s="11">
        <f>M4273-N4273</f>
        <v/>
      </c>
    </row>
    <row r="4274">
      <c r="A4274" s="9" t="n">
        <v>45470</v>
      </c>
      <c r="B4274" t="n">
        <v>6</v>
      </c>
      <c r="C4274" t="n">
        <v>27</v>
      </c>
      <c r="D4274" t="n">
        <v>0</v>
      </c>
      <c r="E4274" s="10" t="n">
        <v>0</v>
      </c>
      <c r="F4274" s="10" t="n">
        <v>0.2168506600441584</v>
      </c>
      <c r="G4274" s="11">
        <f>E4274*Summary!$B$6</f>
        <v/>
      </c>
      <c r="H4274" s="11">
        <f>F4274*Summary!$B$7</f>
        <v/>
      </c>
      <c r="I4274" s="11">
        <f>MAX(0,N4274-M4274)</f>
        <v/>
      </c>
      <c r="J4274" s="11">
        <f>MAX(0,M4274-N4274)</f>
        <v/>
      </c>
      <c r="K4274" s="11">
        <f>O4274</f>
        <v/>
      </c>
      <c r="L4274" s="11">
        <f>L4273+IF(K4274&gt;0,K4274*Summary!$B$9,K4274/Summary!$B$9)</f>
        <v/>
      </c>
      <c r="M4274" s="11">
        <f>G4274+H4274</f>
        <v/>
      </c>
      <c r="N4274" s="11">
        <f>Summary!$C$16*Summary!$B$8</f>
        <v/>
      </c>
      <c r="O4274" s="11">
        <f>M4274-N4274</f>
        <v/>
      </c>
    </row>
    <row r="4275">
      <c r="A4275" s="9" t="n">
        <v>45470.04166666666</v>
      </c>
      <c r="B4275" t="n">
        <v>6</v>
      </c>
      <c r="C4275" t="n">
        <v>27</v>
      </c>
      <c r="D4275" t="n">
        <v>1</v>
      </c>
      <c r="E4275" s="10" t="n">
        <v>0</v>
      </c>
      <c r="F4275" s="10" t="n">
        <v>0.1680467443312186</v>
      </c>
      <c r="G4275" s="11">
        <f>E4275*Summary!$B$6</f>
        <v/>
      </c>
      <c r="H4275" s="11">
        <f>F4275*Summary!$B$7</f>
        <v/>
      </c>
      <c r="I4275" s="11">
        <f>MAX(0,N4275-M4275)</f>
        <v/>
      </c>
      <c r="J4275" s="11">
        <f>MAX(0,M4275-N4275)</f>
        <v/>
      </c>
      <c r="K4275" s="11">
        <f>O4275</f>
        <v/>
      </c>
      <c r="L4275" s="11">
        <f>L4274+IF(K4275&gt;0,K4275*Summary!$B$9,K4275/Summary!$B$9)</f>
        <v/>
      </c>
      <c r="M4275" s="11">
        <f>G4275+H4275</f>
        <v/>
      </c>
      <c r="N4275" s="11">
        <f>Summary!$C$16*Summary!$B$8</f>
        <v/>
      </c>
      <c r="O4275" s="11">
        <f>M4275-N4275</f>
        <v/>
      </c>
    </row>
    <row r="4276">
      <c r="A4276" s="9" t="n">
        <v>45470.08333333334</v>
      </c>
      <c r="B4276" t="n">
        <v>6</v>
      </c>
      <c r="C4276" t="n">
        <v>27</v>
      </c>
      <c r="D4276" t="n">
        <v>2</v>
      </c>
      <c r="E4276" s="10" t="n">
        <v>0</v>
      </c>
      <c r="F4276" s="10" t="n">
        <v>0.1585863740607298</v>
      </c>
      <c r="G4276" s="11">
        <f>E4276*Summary!$B$6</f>
        <v/>
      </c>
      <c r="H4276" s="11">
        <f>F4276*Summary!$B$7</f>
        <v/>
      </c>
      <c r="I4276" s="11">
        <f>MAX(0,N4276-M4276)</f>
        <v/>
      </c>
      <c r="J4276" s="11">
        <f>MAX(0,M4276-N4276)</f>
        <v/>
      </c>
      <c r="K4276" s="11">
        <f>O4276</f>
        <v/>
      </c>
      <c r="L4276" s="11">
        <f>L4275+IF(K4276&gt;0,K4276*Summary!$B$9,K4276/Summary!$B$9)</f>
        <v/>
      </c>
      <c r="M4276" s="11">
        <f>G4276+H4276</f>
        <v/>
      </c>
      <c r="N4276" s="11">
        <f>Summary!$C$16*Summary!$B$8</f>
        <v/>
      </c>
      <c r="O4276" s="11">
        <f>M4276-N4276</f>
        <v/>
      </c>
    </row>
    <row r="4277">
      <c r="A4277" s="9" t="n">
        <v>45470.125</v>
      </c>
      <c r="B4277" t="n">
        <v>6</v>
      </c>
      <c r="C4277" t="n">
        <v>27</v>
      </c>
      <c r="D4277" t="n">
        <v>3</v>
      </c>
      <c r="E4277" s="10" t="n">
        <v>0</v>
      </c>
      <c r="F4277" s="10" t="n">
        <v>0.151207812289875</v>
      </c>
      <c r="G4277" s="11">
        <f>E4277*Summary!$B$6</f>
        <v/>
      </c>
      <c r="H4277" s="11">
        <f>F4277*Summary!$B$7</f>
        <v/>
      </c>
      <c r="I4277" s="11">
        <f>MAX(0,N4277-M4277)</f>
        <v/>
      </c>
      <c r="J4277" s="11">
        <f>MAX(0,M4277-N4277)</f>
        <v/>
      </c>
      <c r="K4277" s="11">
        <f>O4277</f>
        <v/>
      </c>
      <c r="L4277" s="11">
        <f>L4276+IF(K4277&gt;0,K4277*Summary!$B$9,K4277/Summary!$B$9)</f>
        <v/>
      </c>
      <c r="M4277" s="11">
        <f>G4277+H4277</f>
        <v/>
      </c>
      <c r="N4277" s="11">
        <f>Summary!$C$16*Summary!$B$8</f>
        <v/>
      </c>
      <c r="O4277" s="11">
        <f>M4277-N4277</f>
        <v/>
      </c>
    </row>
    <row r="4278">
      <c r="A4278" s="9" t="n">
        <v>45470.16666666666</v>
      </c>
      <c r="B4278" t="n">
        <v>6</v>
      </c>
      <c r="C4278" t="n">
        <v>27</v>
      </c>
      <c r="D4278" t="n">
        <v>4</v>
      </c>
      <c r="E4278" s="10" t="n">
        <v>0.02527</v>
      </c>
      <c r="F4278" s="10" t="n">
        <v>0.1399028015766724</v>
      </c>
      <c r="G4278" s="11">
        <f>E4278*Summary!$B$6</f>
        <v/>
      </c>
      <c r="H4278" s="11">
        <f>F4278*Summary!$B$7</f>
        <v/>
      </c>
      <c r="I4278" s="11">
        <f>MAX(0,N4278-M4278)</f>
        <v/>
      </c>
      <c r="J4278" s="11">
        <f>MAX(0,M4278-N4278)</f>
        <v/>
      </c>
      <c r="K4278" s="11">
        <f>O4278</f>
        <v/>
      </c>
      <c r="L4278" s="11">
        <f>L4277+IF(K4278&gt;0,K4278*Summary!$B$9,K4278/Summary!$B$9)</f>
        <v/>
      </c>
      <c r="M4278" s="11">
        <f>G4278+H4278</f>
        <v/>
      </c>
      <c r="N4278" s="11">
        <f>Summary!$C$16*Summary!$B$8</f>
        <v/>
      </c>
      <c r="O4278" s="11">
        <f>M4278-N4278</f>
        <v/>
      </c>
    </row>
    <row r="4279">
      <c r="A4279" s="9" t="n">
        <v>45470.20833333334</v>
      </c>
      <c r="B4279" t="n">
        <v>6</v>
      </c>
      <c r="C4279" t="n">
        <v>27</v>
      </c>
      <c r="D4279" t="n">
        <v>5</v>
      </c>
      <c r="E4279" s="10" t="n">
        <v>0.043168</v>
      </c>
      <c r="F4279" s="10" t="n">
        <v>0.1204286689028805</v>
      </c>
      <c r="G4279" s="11">
        <f>E4279*Summary!$B$6</f>
        <v/>
      </c>
      <c r="H4279" s="11">
        <f>F4279*Summary!$B$7</f>
        <v/>
      </c>
      <c r="I4279" s="11">
        <f>MAX(0,N4279-M4279)</f>
        <v/>
      </c>
      <c r="J4279" s="11">
        <f>MAX(0,M4279-N4279)</f>
        <v/>
      </c>
      <c r="K4279" s="11">
        <f>O4279</f>
        <v/>
      </c>
      <c r="L4279" s="11">
        <f>L4278+IF(K4279&gt;0,K4279*Summary!$B$9,K4279/Summary!$B$9)</f>
        <v/>
      </c>
      <c r="M4279" s="11">
        <f>G4279+H4279</f>
        <v/>
      </c>
      <c r="N4279" s="11">
        <f>Summary!$C$16*Summary!$B$8</f>
        <v/>
      </c>
      <c r="O4279" s="11">
        <f>M4279-N4279</f>
        <v/>
      </c>
    </row>
    <row r="4280">
      <c r="A4280" s="9" t="n">
        <v>45470.25</v>
      </c>
      <c r="B4280" t="n">
        <v>6</v>
      </c>
      <c r="C4280" t="n">
        <v>27</v>
      </c>
      <c r="D4280" t="n">
        <v>6</v>
      </c>
      <c r="E4280" s="10" t="n">
        <v>0.045569</v>
      </c>
      <c r="F4280" s="10" t="n">
        <v>0.1091763622023269</v>
      </c>
      <c r="G4280" s="11">
        <f>E4280*Summary!$B$6</f>
        <v/>
      </c>
      <c r="H4280" s="11">
        <f>F4280*Summary!$B$7</f>
        <v/>
      </c>
      <c r="I4280" s="11">
        <f>MAX(0,N4280-M4280)</f>
        <v/>
      </c>
      <c r="J4280" s="11">
        <f>MAX(0,M4280-N4280)</f>
        <v/>
      </c>
      <c r="K4280" s="11">
        <f>O4280</f>
        <v/>
      </c>
      <c r="L4280" s="11">
        <f>L4279+IF(K4280&gt;0,K4280*Summary!$B$9,K4280/Summary!$B$9)</f>
        <v/>
      </c>
      <c r="M4280" s="11">
        <f>G4280+H4280</f>
        <v/>
      </c>
      <c r="N4280" s="11">
        <f>Summary!$C$16*Summary!$B$8</f>
        <v/>
      </c>
      <c r="O4280" s="11">
        <f>M4280-N4280</f>
        <v/>
      </c>
    </row>
    <row r="4281">
      <c r="A4281" s="9" t="n">
        <v>45470.29166666666</v>
      </c>
      <c r="B4281" t="n">
        <v>6</v>
      </c>
      <c r="C4281" t="n">
        <v>27</v>
      </c>
      <c r="D4281" t="n">
        <v>7</v>
      </c>
      <c r="E4281" s="10" t="n">
        <v>0.059161</v>
      </c>
      <c r="F4281" s="10" t="n">
        <v>0.1099669223920614</v>
      </c>
      <c r="G4281" s="11">
        <f>E4281*Summary!$B$6</f>
        <v/>
      </c>
      <c r="H4281" s="11">
        <f>F4281*Summary!$B$7</f>
        <v/>
      </c>
      <c r="I4281" s="11">
        <f>MAX(0,N4281-M4281)</f>
        <v/>
      </c>
      <c r="J4281" s="11">
        <f>MAX(0,M4281-N4281)</f>
        <v/>
      </c>
      <c r="K4281" s="11">
        <f>O4281</f>
        <v/>
      </c>
      <c r="L4281" s="11">
        <f>L4280+IF(K4281&gt;0,K4281*Summary!$B$9,K4281/Summary!$B$9)</f>
        <v/>
      </c>
      <c r="M4281" s="11">
        <f>G4281+H4281</f>
        <v/>
      </c>
      <c r="N4281" s="11">
        <f>Summary!$C$16*Summary!$B$8</f>
        <v/>
      </c>
      <c r="O4281" s="11">
        <f>M4281-N4281</f>
        <v/>
      </c>
    </row>
    <row r="4282">
      <c r="A4282" s="9" t="n">
        <v>45470.33333333334</v>
      </c>
      <c r="B4282" t="n">
        <v>6</v>
      </c>
      <c r="C4282" t="n">
        <v>27</v>
      </c>
      <c r="D4282" t="n">
        <v>8</v>
      </c>
      <c r="E4282" s="10" t="n">
        <v>0.110146</v>
      </c>
      <c r="F4282" s="10" t="n">
        <v>0.1206131329471519</v>
      </c>
      <c r="G4282" s="11">
        <f>E4282*Summary!$B$6</f>
        <v/>
      </c>
      <c r="H4282" s="11">
        <f>F4282*Summary!$B$7</f>
        <v/>
      </c>
      <c r="I4282" s="11">
        <f>MAX(0,N4282-M4282)</f>
        <v/>
      </c>
      <c r="J4282" s="11">
        <f>MAX(0,M4282-N4282)</f>
        <v/>
      </c>
      <c r="K4282" s="11">
        <f>O4282</f>
        <v/>
      </c>
      <c r="L4282" s="11">
        <f>L4281+IF(K4282&gt;0,K4282*Summary!$B$9,K4282/Summary!$B$9)</f>
        <v/>
      </c>
      <c r="M4282" s="11">
        <f>G4282+H4282</f>
        <v/>
      </c>
      <c r="N4282" s="11">
        <f>Summary!$C$16*Summary!$B$8</f>
        <v/>
      </c>
      <c r="O4282" s="11">
        <f>M4282-N4282</f>
        <v/>
      </c>
    </row>
    <row r="4283">
      <c r="A4283" s="9" t="n">
        <v>45470.375</v>
      </c>
      <c r="B4283" t="n">
        <v>6</v>
      </c>
      <c r="C4283" t="n">
        <v>27</v>
      </c>
      <c r="D4283" t="n">
        <v>9</v>
      </c>
      <c r="E4283" s="10" t="n">
        <v>0.118434</v>
      </c>
      <c r="F4283" s="10" t="n">
        <v>0.133314799995552</v>
      </c>
      <c r="G4283" s="11">
        <f>E4283*Summary!$B$6</f>
        <v/>
      </c>
      <c r="H4283" s="11">
        <f>F4283*Summary!$B$7</f>
        <v/>
      </c>
      <c r="I4283" s="11">
        <f>MAX(0,N4283-M4283)</f>
        <v/>
      </c>
      <c r="J4283" s="11">
        <f>MAX(0,M4283-N4283)</f>
        <v/>
      </c>
      <c r="K4283" s="11">
        <f>O4283</f>
        <v/>
      </c>
      <c r="L4283" s="11">
        <f>L4282+IF(K4283&gt;0,K4283*Summary!$B$9,K4283/Summary!$B$9)</f>
        <v/>
      </c>
      <c r="M4283" s="11">
        <f>G4283+H4283</f>
        <v/>
      </c>
      <c r="N4283" s="11">
        <f>Summary!$C$16*Summary!$B$8</f>
        <v/>
      </c>
      <c r="O4283" s="11">
        <f>M4283-N4283</f>
        <v/>
      </c>
    </row>
    <row r="4284">
      <c r="A4284" s="9" t="n">
        <v>45470.41666666666</v>
      </c>
      <c r="B4284" t="n">
        <v>6</v>
      </c>
      <c r="C4284" t="n">
        <v>27</v>
      </c>
      <c r="D4284" t="n">
        <v>10</v>
      </c>
      <c r="E4284" s="10" t="n">
        <v>0.15935</v>
      </c>
      <c r="F4284" s="10" t="n">
        <v>0.149020595764943</v>
      </c>
      <c r="G4284" s="11">
        <f>E4284*Summary!$B$6</f>
        <v/>
      </c>
      <c r="H4284" s="11">
        <f>F4284*Summary!$B$7</f>
        <v/>
      </c>
      <c r="I4284" s="11">
        <f>MAX(0,N4284-M4284)</f>
        <v/>
      </c>
      <c r="J4284" s="11">
        <f>MAX(0,M4284-N4284)</f>
        <v/>
      </c>
      <c r="K4284" s="11">
        <f>O4284</f>
        <v/>
      </c>
      <c r="L4284" s="11">
        <f>L4283+IF(K4284&gt;0,K4284*Summary!$B$9,K4284/Summary!$B$9)</f>
        <v/>
      </c>
      <c r="M4284" s="11">
        <f>G4284+H4284</f>
        <v/>
      </c>
      <c r="N4284" s="11">
        <f>Summary!$C$16*Summary!$B$8</f>
        <v/>
      </c>
      <c r="O4284" s="11">
        <f>M4284-N4284</f>
        <v/>
      </c>
    </row>
    <row r="4285">
      <c r="A4285" s="9" t="n">
        <v>45470.45833333334</v>
      </c>
      <c r="B4285" t="n">
        <v>6</v>
      </c>
      <c r="C4285" t="n">
        <v>27</v>
      </c>
      <c r="D4285" t="n">
        <v>11</v>
      </c>
      <c r="E4285" s="10" t="n">
        <v>0.212934</v>
      </c>
      <c r="F4285" s="10" t="n">
        <v>0.1656487117556908</v>
      </c>
      <c r="G4285" s="11">
        <f>E4285*Summary!$B$6</f>
        <v/>
      </c>
      <c r="H4285" s="11">
        <f>F4285*Summary!$B$7</f>
        <v/>
      </c>
      <c r="I4285" s="11">
        <f>MAX(0,N4285-M4285)</f>
        <v/>
      </c>
      <c r="J4285" s="11">
        <f>MAX(0,M4285-N4285)</f>
        <v/>
      </c>
      <c r="K4285" s="11">
        <f>O4285</f>
        <v/>
      </c>
      <c r="L4285" s="11">
        <f>L4284+IF(K4285&gt;0,K4285*Summary!$B$9,K4285/Summary!$B$9)</f>
        <v/>
      </c>
      <c r="M4285" s="11">
        <f>G4285+H4285</f>
        <v/>
      </c>
      <c r="N4285" s="11">
        <f>Summary!$C$16*Summary!$B$8</f>
        <v/>
      </c>
      <c r="O4285" s="11">
        <f>M4285-N4285</f>
        <v/>
      </c>
    </row>
    <row r="4286">
      <c r="A4286" s="9" t="n">
        <v>45470.5</v>
      </c>
      <c r="B4286" t="n">
        <v>6</v>
      </c>
      <c r="C4286" t="n">
        <v>27</v>
      </c>
      <c r="D4286" t="n">
        <v>12</v>
      </c>
      <c r="E4286" s="10" t="n">
        <v>0.204419</v>
      </c>
      <c r="F4286" s="10" t="n">
        <v>0.1802740752657781</v>
      </c>
      <c r="G4286" s="11">
        <f>E4286*Summary!$B$6</f>
        <v/>
      </c>
      <c r="H4286" s="11">
        <f>F4286*Summary!$B$7</f>
        <v/>
      </c>
      <c r="I4286" s="11">
        <f>MAX(0,N4286-M4286)</f>
        <v/>
      </c>
      <c r="J4286" s="11">
        <f>MAX(0,M4286-N4286)</f>
        <v/>
      </c>
      <c r="K4286" s="11">
        <f>O4286</f>
        <v/>
      </c>
      <c r="L4286" s="11">
        <f>L4285+IF(K4286&gt;0,K4286*Summary!$B$9,K4286/Summary!$B$9)</f>
        <v/>
      </c>
      <c r="M4286" s="11">
        <f>G4286+H4286</f>
        <v/>
      </c>
      <c r="N4286" s="11">
        <f>Summary!$C$16*Summary!$B$8</f>
        <v/>
      </c>
      <c r="O4286" s="11">
        <f>M4286-N4286</f>
        <v/>
      </c>
    </row>
    <row r="4287">
      <c r="A4287" s="9" t="n">
        <v>45470.54166666666</v>
      </c>
      <c r="B4287" t="n">
        <v>6</v>
      </c>
      <c r="C4287" t="n">
        <v>27</v>
      </c>
      <c r="D4287" t="n">
        <v>13</v>
      </c>
      <c r="E4287" s="10" t="n">
        <v>0.199385</v>
      </c>
      <c r="F4287" s="10" t="n">
        <v>0.1882587331820959</v>
      </c>
      <c r="G4287" s="11">
        <f>E4287*Summary!$B$6</f>
        <v/>
      </c>
      <c r="H4287" s="11">
        <f>F4287*Summary!$B$7</f>
        <v/>
      </c>
      <c r="I4287" s="11">
        <f>MAX(0,N4287-M4287)</f>
        <v/>
      </c>
      <c r="J4287" s="11">
        <f>MAX(0,M4287-N4287)</f>
        <v/>
      </c>
      <c r="K4287" s="11">
        <f>O4287</f>
        <v/>
      </c>
      <c r="L4287" s="11">
        <f>L4286+IF(K4287&gt;0,K4287*Summary!$B$9,K4287/Summary!$B$9)</f>
        <v/>
      </c>
      <c r="M4287" s="11">
        <f>G4287+H4287</f>
        <v/>
      </c>
      <c r="N4287" s="11">
        <f>Summary!$C$16*Summary!$B$8</f>
        <v/>
      </c>
      <c r="O4287" s="11">
        <f>M4287-N4287</f>
        <v/>
      </c>
    </row>
    <row r="4288">
      <c r="A4288" s="9" t="n">
        <v>45470.58333333334</v>
      </c>
      <c r="B4288" t="n">
        <v>6</v>
      </c>
      <c r="C4288" t="n">
        <v>27</v>
      </c>
      <c r="D4288" t="n">
        <v>14</v>
      </c>
      <c r="E4288" s="10" t="n">
        <v>0.165661</v>
      </c>
      <c r="F4288" s="10" t="n">
        <v>0.1891019973844794</v>
      </c>
      <c r="G4288" s="11">
        <f>E4288*Summary!$B$6</f>
        <v/>
      </c>
      <c r="H4288" s="11">
        <f>F4288*Summary!$B$7</f>
        <v/>
      </c>
      <c r="I4288" s="11">
        <f>MAX(0,N4288-M4288)</f>
        <v/>
      </c>
      <c r="J4288" s="11">
        <f>MAX(0,M4288-N4288)</f>
        <v/>
      </c>
      <c r="K4288" s="11">
        <f>O4288</f>
        <v/>
      </c>
      <c r="L4288" s="11">
        <f>L4287+IF(K4288&gt;0,K4288*Summary!$B$9,K4288/Summary!$B$9)</f>
        <v/>
      </c>
      <c r="M4288" s="11">
        <f>G4288+H4288</f>
        <v/>
      </c>
      <c r="N4288" s="11">
        <f>Summary!$C$16*Summary!$B$8</f>
        <v/>
      </c>
      <c r="O4288" s="11">
        <f>M4288-N4288</f>
        <v/>
      </c>
    </row>
    <row r="4289">
      <c r="A4289" s="9" t="n">
        <v>45470.625</v>
      </c>
      <c r="B4289" t="n">
        <v>6</v>
      </c>
      <c r="C4289" t="n">
        <v>27</v>
      </c>
      <c r="D4289" t="n">
        <v>15</v>
      </c>
      <c r="E4289" s="10" t="n">
        <v>0.233596</v>
      </c>
      <c r="F4289" s="10" t="n">
        <v>0.1928439822825558</v>
      </c>
      <c r="G4289" s="11">
        <f>E4289*Summary!$B$6</f>
        <v/>
      </c>
      <c r="H4289" s="11">
        <f>F4289*Summary!$B$7</f>
        <v/>
      </c>
      <c r="I4289" s="11">
        <f>MAX(0,N4289-M4289)</f>
        <v/>
      </c>
      <c r="J4289" s="11">
        <f>MAX(0,M4289-N4289)</f>
        <v/>
      </c>
      <c r="K4289" s="11">
        <f>O4289</f>
        <v/>
      </c>
      <c r="L4289" s="11">
        <f>L4288+IF(K4289&gt;0,K4289*Summary!$B$9,K4289/Summary!$B$9)</f>
        <v/>
      </c>
      <c r="M4289" s="11">
        <f>G4289+H4289</f>
        <v/>
      </c>
      <c r="N4289" s="11">
        <f>Summary!$C$16*Summary!$B$8</f>
        <v/>
      </c>
      <c r="O4289" s="11">
        <f>M4289-N4289</f>
        <v/>
      </c>
    </row>
    <row r="4290">
      <c r="A4290" s="9" t="n">
        <v>45470.66666666666</v>
      </c>
      <c r="B4290" t="n">
        <v>6</v>
      </c>
      <c r="C4290" t="n">
        <v>27</v>
      </c>
      <c r="D4290" t="n">
        <v>16</v>
      </c>
      <c r="E4290" s="10" t="n">
        <v>0.238862</v>
      </c>
      <c r="F4290" s="10" t="n">
        <v>0.191052045852491</v>
      </c>
      <c r="G4290" s="11">
        <f>E4290*Summary!$B$6</f>
        <v/>
      </c>
      <c r="H4290" s="11">
        <f>F4290*Summary!$B$7</f>
        <v/>
      </c>
      <c r="I4290" s="11">
        <f>MAX(0,N4290-M4290)</f>
        <v/>
      </c>
      <c r="J4290" s="11">
        <f>MAX(0,M4290-N4290)</f>
        <v/>
      </c>
      <c r="K4290" s="11">
        <f>O4290</f>
        <v/>
      </c>
      <c r="L4290" s="11">
        <f>L4289+IF(K4290&gt;0,K4290*Summary!$B$9,K4290/Summary!$B$9)</f>
        <v/>
      </c>
      <c r="M4290" s="11">
        <f>G4290+H4290</f>
        <v/>
      </c>
      <c r="N4290" s="11">
        <f>Summary!$C$16*Summary!$B$8</f>
        <v/>
      </c>
      <c r="O4290" s="11">
        <f>M4290-N4290</f>
        <v/>
      </c>
    </row>
    <row r="4291">
      <c r="A4291" s="9" t="n">
        <v>45470.70833333334</v>
      </c>
      <c r="B4291" t="n">
        <v>6</v>
      </c>
      <c r="C4291" t="n">
        <v>27</v>
      </c>
      <c r="D4291" t="n">
        <v>17</v>
      </c>
      <c r="E4291" s="10" t="n">
        <v>0.202494</v>
      </c>
      <c r="F4291" s="10" t="n">
        <v>0.1845694522966685</v>
      </c>
      <c r="G4291" s="11">
        <f>E4291*Summary!$B$6</f>
        <v/>
      </c>
      <c r="H4291" s="11">
        <f>F4291*Summary!$B$7</f>
        <v/>
      </c>
      <c r="I4291" s="11">
        <f>MAX(0,N4291-M4291)</f>
        <v/>
      </c>
      <c r="J4291" s="11">
        <f>MAX(0,M4291-N4291)</f>
        <v/>
      </c>
      <c r="K4291" s="11">
        <f>O4291</f>
        <v/>
      </c>
      <c r="L4291" s="11">
        <f>L4290+IF(K4291&gt;0,K4291*Summary!$B$9,K4291/Summary!$B$9)</f>
        <v/>
      </c>
      <c r="M4291" s="11">
        <f>G4291+H4291</f>
        <v/>
      </c>
      <c r="N4291" s="11">
        <f>Summary!$C$16*Summary!$B$8</f>
        <v/>
      </c>
      <c r="O4291" s="11">
        <f>M4291-N4291</f>
        <v/>
      </c>
    </row>
    <row r="4292">
      <c r="A4292" s="9" t="n">
        <v>45470.75</v>
      </c>
      <c r="B4292" t="n">
        <v>6</v>
      </c>
      <c r="C4292" t="n">
        <v>27</v>
      </c>
      <c r="D4292" t="n">
        <v>18</v>
      </c>
      <c r="E4292" s="10" t="n">
        <v>0.095608</v>
      </c>
      <c r="F4292" s="10" t="n">
        <v>0.1770327784878668</v>
      </c>
      <c r="G4292" s="11">
        <f>E4292*Summary!$B$6</f>
        <v/>
      </c>
      <c r="H4292" s="11">
        <f>F4292*Summary!$B$7</f>
        <v/>
      </c>
      <c r="I4292" s="11">
        <f>MAX(0,N4292-M4292)</f>
        <v/>
      </c>
      <c r="J4292" s="11">
        <f>MAX(0,M4292-N4292)</f>
        <v/>
      </c>
      <c r="K4292" s="11">
        <f>O4292</f>
        <v/>
      </c>
      <c r="L4292" s="11">
        <f>L4291+IF(K4292&gt;0,K4292*Summary!$B$9,K4292/Summary!$B$9)</f>
        <v/>
      </c>
      <c r="M4292" s="11">
        <f>G4292+H4292</f>
        <v/>
      </c>
      <c r="N4292" s="11">
        <f>Summary!$C$16*Summary!$B$8</f>
        <v/>
      </c>
      <c r="O4292" s="11">
        <f>M4292-N4292</f>
        <v/>
      </c>
    </row>
    <row r="4293">
      <c r="A4293" s="9" t="n">
        <v>45470.79166666666</v>
      </c>
      <c r="B4293" t="n">
        <v>6</v>
      </c>
      <c r="C4293" t="n">
        <v>27</v>
      </c>
      <c r="D4293" t="n">
        <v>19</v>
      </c>
      <c r="E4293" s="10" t="n">
        <v>0.045037</v>
      </c>
      <c r="F4293" s="10" t="n">
        <v>0.1800369072088577</v>
      </c>
      <c r="G4293" s="11">
        <f>E4293*Summary!$B$6</f>
        <v/>
      </c>
      <c r="H4293" s="11">
        <f>F4293*Summary!$B$7</f>
        <v/>
      </c>
      <c r="I4293" s="11">
        <f>MAX(0,N4293-M4293)</f>
        <v/>
      </c>
      <c r="J4293" s="11">
        <f>MAX(0,M4293-N4293)</f>
        <v/>
      </c>
      <c r="K4293" s="11">
        <f>O4293</f>
        <v/>
      </c>
      <c r="L4293" s="11">
        <f>L4292+IF(K4293&gt;0,K4293*Summary!$B$9,K4293/Summary!$B$9)</f>
        <v/>
      </c>
      <c r="M4293" s="11">
        <f>G4293+H4293</f>
        <v/>
      </c>
      <c r="N4293" s="11">
        <f>Summary!$C$16*Summary!$B$8</f>
        <v/>
      </c>
      <c r="O4293" s="11">
        <f>M4293-N4293</f>
        <v/>
      </c>
    </row>
    <row r="4294">
      <c r="A4294" s="9" t="n">
        <v>45470.83333333334</v>
      </c>
      <c r="B4294" t="n">
        <v>6</v>
      </c>
      <c r="C4294" t="n">
        <v>27</v>
      </c>
      <c r="D4294" t="n">
        <v>20</v>
      </c>
      <c r="E4294" s="10" t="n">
        <v>0.009545</v>
      </c>
      <c r="F4294" s="10" t="n">
        <v>0.1919480140675234</v>
      </c>
      <c r="G4294" s="11">
        <f>E4294*Summary!$B$6</f>
        <v/>
      </c>
      <c r="H4294" s="11">
        <f>F4294*Summary!$B$7</f>
        <v/>
      </c>
      <c r="I4294" s="11">
        <f>MAX(0,N4294-M4294)</f>
        <v/>
      </c>
      <c r="J4294" s="11">
        <f>MAX(0,M4294-N4294)</f>
        <v/>
      </c>
      <c r="K4294" s="11">
        <f>O4294</f>
        <v/>
      </c>
      <c r="L4294" s="11">
        <f>L4293+IF(K4294&gt;0,K4294*Summary!$B$9,K4294/Summary!$B$9)</f>
        <v/>
      </c>
      <c r="M4294" s="11">
        <f>G4294+H4294</f>
        <v/>
      </c>
      <c r="N4294" s="11">
        <f>Summary!$C$16*Summary!$B$8</f>
        <v/>
      </c>
      <c r="O4294" s="11">
        <f>M4294-N4294</f>
        <v/>
      </c>
    </row>
    <row r="4295">
      <c r="A4295" s="9" t="n">
        <v>45470.875</v>
      </c>
      <c r="B4295" t="n">
        <v>6</v>
      </c>
      <c r="C4295" t="n">
        <v>27</v>
      </c>
      <c r="D4295" t="n">
        <v>21</v>
      </c>
      <c r="E4295" s="10" t="n">
        <v>0</v>
      </c>
      <c r="F4295" s="10" t="n">
        <v>0.2065470255712862</v>
      </c>
      <c r="G4295" s="11">
        <f>E4295*Summary!$B$6</f>
        <v/>
      </c>
      <c r="H4295" s="11">
        <f>F4295*Summary!$B$7</f>
        <v/>
      </c>
      <c r="I4295" s="11">
        <f>MAX(0,N4295-M4295)</f>
        <v/>
      </c>
      <c r="J4295" s="11">
        <f>MAX(0,M4295-N4295)</f>
        <v/>
      </c>
      <c r="K4295" s="11">
        <f>O4295</f>
        <v/>
      </c>
      <c r="L4295" s="11">
        <f>L4294+IF(K4295&gt;0,K4295*Summary!$B$9,K4295/Summary!$B$9)</f>
        <v/>
      </c>
      <c r="M4295" s="11">
        <f>G4295+H4295</f>
        <v/>
      </c>
      <c r="N4295" s="11">
        <f>Summary!$C$16*Summary!$B$8</f>
        <v/>
      </c>
      <c r="O4295" s="11">
        <f>M4295-N4295</f>
        <v/>
      </c>
    </row>
    <row r="4296">
      <c r="A4296" s="9" t="n">
        <v>45470.91666666666</v>
      </c>
      <c r="B4296" t="n">
        <v>6</v>
      </c>
      <c r="C4296" t="n">
        <v>27</v>
      </c>
      <c r="D4296" t="n">
        <v>22</v>
      </c>
      <c r="E4296" s="10" t="n">
        <v>0</v>
      </c>
      <c r="F4296" s="10" t="n">
        <v>0.2183000203920049</v>
      </c>
      <c r="G4296" s="11">
        <f>E4296*Summary!$B$6</f>
        <v/>
      </c>
      <c r="H4296" s="11">
        <f>F4296*Summary!$B$7</f>
        <v/>
      </c>
      <c r="I4296" s="11">
        <f>MAX(0,N4296-M4296)</f>
        <v/>
      </c>
      <c r="J4296" s="11">
        <f>MAX(0,M4296-N4296)</f>
        <v/>
      </c>
      <c r="K4296" s="11">
        <f>O4296</f>
        <v/>
      </c>
      <c r="L4296" s="11">
        <f>L4295+IF(K4296&gt;0,K4296*Summary!$B$9,K4296/Summary!$B$9)</f>
        <v/>
      </c>
      <c r="M4296" s="11">
        <f>G4296+H4296</f>
        <v/>
      </c>
      <c r="N4296" s="11">
        <f>Summary!$C$16*Summary!$B$8</f>
        <v/>
      </c>
      <c r="O4296" s="11">
        <f>M4296-N4296</f>
        <v/>
      </c>
    </row>
    <row r="4297">
      <c r="A4297" s="9" t="n">
        <v>45470.95833333334</v>
      </c>
      <c r="B4297" t="n">
        <v>6</v>
      </c>
      <c r="C4297" t="n">
        <v>27</v>
      </c>
      <c r="D4297" t="n">
        <v>23</v>
      </c>
      <c r="E4297" s="10" t="n">
        <v>0</v>
      </c>
      <c r="F4297" s="10" t="n">
        <v>0.2181155563477335</v>
      </c>
      <c r="G4297" s="11">
        <f>E4297*Summary!$B$6</f>
        <v/>
      </c>
      <c r="H4297" s="11">
        <f>F4297*Summary!$B$7</f>
        <v/>
      </c>
      <c r="I4297" s="11">
        <f>MAX(0,N4297-M4297)</f>
        <v/>
      </c>
      <c r="J4297" s="11">
        <f>MAX(0,M4297-N4297)</f>
        <v/>
      </c>
      <c r="K4297" s="11">
        <f>O4297</f>
        <v/>
      </c>
      <c r="L4297" s="11">
        <f>L4296+IF(K4297&gt;0,K4297*Summary!$B$9,K4297/Summary!$B$9)</f>
        <v/>
      </c>
      <c r="M4297" s="11">
        <f>G4297+H4297</f>
        <v/>
      </c>
      <c r="N4297" s="11">
        <f>Summary!$C$16*Summary!$B$8</f>
        <v/>
      </c>
      <c r="O4297" s="11">
        <f>M4297-N4297</f>
        <v/>
      </c>
    </row>
    <row r="4298">
      <c r="A4298" s="9" t="n">
        <v>45471</v>
      </c>
      <c r="B4298" t="n">
        <v>6</v>
      </c>
      <c r="C4298" t="n">
        <v>28</v>
      </c>
      <c r="D4298" t="n">
        <v>0</v>
      </c>
      <c r="E4298" s="10" t="n">
        <v>0</v>
      </c>
      <c r="F4298" s="10" t="n">
        <v>0.3258689102085384</v>
      </c>
      <c r="G4298" s="11">
        <f>E4298*Summary!$B$6</f>
        <v/>
      </c>
      <c r="H4298" s="11">
        <f>F4298*Summary!$B$7</f>
        <v/>
      </c>
      <c r="I4298" s="11">
        <f>MAX(0,N4298-M4298)</f>
        <v/>
      </c>
      <c r="J4298" s="11">
        <f>MAX(0,M4298-N4298)</f>
        <v/>
      </c>
      <c r="K4298" s="11">
        <f>O4298</f>
        <v/>
      </c>
      <c r="L4298" s="11">
        <f>L4297+IF(K4298&gt;0,K4298*Summary!$B$9,K4298/Summary!$B$9)</f>
        <v/>
      </c>
      <c r="M4298" s="11">
        <f>G4298+H4298</f>
        <v/>
      </c>
      <c r="N4298" s="11">
        <f>Summary!$C$16*Summary!$B$8</f>
        <v/>
      </c>
      <c r="O4298" s="11">
        <f>M4298-N4298</f>
        <v/>
      </c>
    </row>
    <row r="4299">
      <c r="A4299" s="9" t="n">
        <v>45471.04166666666</v>
      </c>
      <c r="B4299" t="n">
        <v>6</v>
      </c>
      <c r="C4299" t="n">
        <v>28</v>
      </c>
      <c r="D4299" t="n">
        <v>1</v>
      </c>
      <c r="E4299" s="10" t="n">
        <v>0</v>
      </c>
      <c r="F4299" s="10" t="n">
        <v>0.2094720982733036</v>
      </c>
      <c r="G4299" s="11">
        <f>E4299*Summary!$B$6</f>
        <v/>
      </c>
      <c r="H4299" s="11">
        <f>F4299*Summary!$B$7</f>
        <v/>
      </c>
      <c r="I4299" s="11">
        <f>MAX(0,N4299-M4299)</f>
        <v/>
      </c>
      <c r="J4299" s="11">
        <f>MAX(0,M4299-N4299)</f>
        <v/>
      </c>
      <c r="K4299" s="11">
        <f>O4299</f>
        <v/>
      </c>
      <c r="L4299" s="11">
        <f>L4298+IF(K4299&gt;0,K4299*Summary!$B$9,K4299/Summary!$B$9)</f>
        <v/>
      </c>
      <c r="M4299" s="11">
        <f>G4299+H4299</f>
        <v/>
      </c>
      <c r="N4299" s="11">
        <f>Summary!$C$16*Summary!$B$8</f>
        <v/>
      </c>
      <c r="O4299" s="11">
        <f>M4299-N4299</f>
        <v/>
      </c>
    </row>
    <row r="4300">
      <c r="A4300" s="9" t="n">
        <v>45471.08333333334</v>
      </c>
      <c r="B4300" t="n">
        <v>6</v>
      </c>
      <c r="C4300" t="n">
        <v>28</v>
      </c>
      <c r="D4300" t="n">
        <v>2</v>
      </c>
      <c r="E4300" s="10" t="n">
        <v>0</v>
      </c>
      <c r="F4300" s="10" t="n">
        <v>0.1974819353956645</v>
      </c>
      <c r="G4300" s="11">
        <f>E4300*Summary!$B$6</f>
        <v/>
      </c>
      <c r="H4300" s="11">
        <f>F4300*Summary!$B$7</f>
        <v/>
      </c>
      <c r="I4300" s="11">
        <f>MAX(0,N4300-M4300)</f>
        <v/>
      </c>
      <c r="J4300" s="11">
        <f>MAX(0,M4300-N4300)</f>
        <v/>
      </c>
      <c r="K4300" s="11">
        <f>O4300</f>
        <v/>
      </c>
      <c r="L4300" s="11">
        <f>L4299+IF(K4300&gt;0,K4300*Summary!$B$9,K4300/Summary!$B$9)</f>
        <v/>
      </c>
      <c r="M4300" s="11">
        <f>G4300+H4300</f>
        <v/>
      </c>
      <c r="N4300" s="11">
        <f>Summary!$C$16*Summary!$B$8</f>
        <v/>
      </c>
      <c r="O4300" s="11">
        <f>M4300-N4300</f>
        <v/>
      </c>
    </row>
    <row r="4301">
      <c r="A4301" s="9" t="n">
        <v>45471.125</v>
      </c>
      <c r="B4301" t="n">
        <v>6</v>
      </c>
      <c r="C4301" t="n">
        <v>28</v>
      </c>
      <c r="D4301" t="n">
        <v>3</v>
      </c>
      <c r="E4301" s="10" t="n">
        <v>0</v>
      </c>
      <c r="F4301" s="10" t="n">
        <v>0.1862032766887864</v>
      </c>
      <c r="G4301" s="11">
        <f>E4301*Summary!$B$6</f>
        <v/>
      </c>
      <c r="H4301" s="11">
        <f>F4301*Summary!$B$7</f>
        <v/>
      </c>
      <c r="I4301" s="11">
        <f>MAX(0,N4301-M4301)</f>
        <v/>
      </c>
      <c r="J4301" s="11">
        <f>MAX(0,M4301-N4301)</f>
        <v/>
      </c>
      <c r="K4301" s="11">
        <f>O4301</f>
        <v/>
      </c>
      <c r="L4301" s="11">
        <f>L4300+IF(K4301&gt;0,K4301*Summary!$B$9,K4301/Summary!$B$9)</f>
        <v/>
      </c>
      <c r="M4301" s="11">
        <f>G4301+H4301</f>
        <v/>
      </c>
      <c r="N4301" s="11">
        <f>Summary!$C$16*Summary!$B$8</f>
        <v/>
      </c>
      <c r="O4301" s="11">
        <f>M4301-N4301</f>
        <v/>
      </c>
    </row>
    <row r="4302">
      <c r="A4302" s="9" t="n">
        <v>45471.16666666666</v>
      </c>
      <c r="B4302" t="n">
        <v>6</v>
      </c>
      <c r="C4302" t="n">
        <v>28</v>
      </c>
      <c r="D4302" t="n">
        <v>4</v>
      </c>
      <c r="E4302" s="10" t="n">
        <v>0.04515</v>
      </c>
      <c r="F4302" s="10" t="n">
        <v>0.1681521523565166</v>
      </c>
      <c r="G4302" s="11">
        <f>E4302*Summary!$B$6</f>
        <v/>
      </c>
      <c r="H4302" s="11">
        <f>F4302*Summary!$B$7</f>
        <v/>
      </c>
      <c r="I4302" s="11">
        <f>MAX(0,N4302-M4302)</f>
        <v/>
      </c>
      <c r="J4302" s="11">
        <f>MAX(0,M4302-N4302)</f>
        <v/>
      </c>
      <c r="K4302" s="11">
        <f>O4302</f>
        <v/>
      </c>
      <c r="L4302" s="11">
        <f>L4301+IF(K4302&gt;0,K4302*Summary!$B$9,K4302/Summary!$B$9)</f>
        <v/>
      </c>
      <c r="M4302" s="11">
        <f>G4302+H4302</f>
        <v/>
      </c>
      <c r="N4302" s="11">
        <f>Summary!$C$16*Summary!$B$8</f>
        <v/>
      </c>
      <c r="O4302" s="11">
        <f>M4302-N4302</f>
        <v/>
      </c>
    </row>
    <row r="4303">
      <c r="A4303" s="9" t="n">
        <v>45471.20833333334</v>
      </c>
      <c r="B4303" t="n">
        <v>6</v>
      </c>
      <c r="C4303" t="n">
        <v>28</v>
      </c>
      <c r="D4303" t="n">
        <v>5</v>
      </c>
      <c r="E4303" s="10" t="n">
        <v>0.056436</v>
      </c>
      <c r="F4303" s="10" t="n">
        <v>0.1428278742786898</v>
      </c>
      <c r="G4303" s="11">
        <f>E4303*Summary!$B$6</f>
        <v/>
      </c>
      <c r="H4303" s="11">
        <f>F4303*Summary!$B$7</f>
        <v/>
      </c>
      <c r="I4303" s="11">
        <f>MAX(0,N4303-M4303)</f>
        <v/>
      </c>
      <c r="J4303" s="11">
        <f>MAX(0,M4303-N4303)</f>
        <v/>
      </c>
      <c r="K4303" s="11">
        <f>O4303</f>
        <v/>
      </c>
      <c r="L4303" s="11">
        <f>L4302+IF(K4303&gt;0,K4303*Summary!$B$9,K4303/Summary!$B$9)</f>
        <v/>
      </c>
      <c r="M4303" s="11">
        <f>G4303+H4303</f>
        <v/>
      </c>
      <c r="N4303" s="11">
        <f>Summary!$C$16*Summary!$B$8</f>
        <v/>
      </c>
      <c r="O4303" s="11">
        <f>M4303-N4303</f>
        <v/>
      </c>
    </row>
    <row r="4304">
      <c r="A4304" s="9" t="n">
        <v>45471.25</v>
      </c>
      <c r="B4304" t="n">
        <v>6</v>
      </c>
      <c r="C4304" t="n">
        <v>28</v>
      </c>
      <c r="D4304" t="n">
        <v>6</v>
      </c>
      <c r="E4304" s="10" t="n">
        <v>0.184269</v>
      </c>
      <c r="F4304" s="10" t="n">
        <v>0.1202969088712581</v>
      </c>
      <c r="G4304" s="11">
        <f>E4304*Summary!$B$6</f>
        <v/>
      </c>
      <c r="H4304" s="11">
        <f>F4304*Summary!$B$7</f>
        <v/>
      </c>
      <c r="I4304" s="11">
        <f>MAX(0,N4304-M4304)</f>
        <v/>
      </c>
      <c r="J4304" s="11">
        <f>MAX(0,M4304-N4304)</f>
        <v/>
      </c>
      <c r="K4304" s="11">
        <f>O4304</f>
        <v/>
      </c>
      <c r="L4304" s="11">
        <f>L4303+IF(K4304&gt;0,K4304*Summary!$B$9,K4304/Summary!$B$9)</f>
        <v/>
      </c>
      <c r="M4304" s="11">
        <f>G4304+H4304</f>
        <v/>
      </c>
      <c r="N4304" s="11">
        <f>Summary!$C$16*Summary!$B$8</f>
        <v/>
      </c>
      <c r="O4304" s="11">
        <f>M4304-N4304</f>
        <v/>
      </c>
    </row>
    <row r="4305">
      <c r="A4305" s="9" t="n">
        <v>45471.29166666666</v>
      </c>
      <c r="B4305" t="n">
        <v>6</v>
      </c>
      <c r="C4305" t="n">
        <v>28</v>
      </c>
      <c r="D4305" t="n">
        <v>7</v>
      </c>
      <c r="E4305" s="10" t="n">
        <v>0.357841</v>
      </c>
      <c r="F4305" s="10" t="n">
        <v>0.1139460753470581</v>
      </c>
      <c r="G4305" s="11">
        <f>E4305*Summary!$B$6</f>
        <v/>
      </c>
      <c r="H4305" s="11">
        <f>F4305*Summary!$B$7</f>
        <v/>
      </c>
      <c r="I4305" s="11">
        <f>MAX(0,N4305-M4305)</f>
        <v/>
      </c>
      <c r="J4305" s="11">
        <f>MAX(0,M4305-N4305)</f>
        <v/>
      </c>
      <c r="K4305" s="11">
        <f>O4305</f>
        <v/>
      </c>
      <c r="L4305" s="11">
        <f>L4304+IF(K4305&gt;0,K4305*Summary!$B$9,K4305/Summary!$B$9)</f>
        <v/>
      </c>
      <c r="M4305" s="11">
        <f>G4305+H4305</f>
        <v/>
      </c>
      <c r="N4305" s="11">
        <f>Summary!$C$16*Summary!$B$8</f>
        <v/>
      </c>
      <c r="O4305" s="11">
        <f>M4305-N4305</f>
        <v/>
      </c>
    </row>
    <row r="4306">
      <c r="A4306" s="9" t="n">
        <v>45471.33333333334</v>
      </c>
      <c r="B4306" t="n">
        <v>6</v>
      </c>
      <c r="C4306" t="n">
        <v>28</v>
      </c>
      <c r="D4306" t="n">
        <v>8</v>
      </c>
      <c r="E4306" s="10" t="n">
        <v>0.58088</v>
      </c>
      <c r="F4306" s="10" t="n">
        <v>0.1232746855859245</v>
      </c>
      <c r="G4306" s="11">
        <f>E4306*Summary!$B$6</f>
        <v/>
      </c>
      <c r="H4306" s="11">
        <f>F4306*Summary!$B$7</f>
        <v/>
      </c>
      <c r="I4306" s="11">
        <f>MAX(0,N4306-M4306)</f>
        <v/>
      </c>
      <c r="J4306" s="11">
        <f>MAX(0,M4306-N4306)</f>
        <v/>
      </c>
      <c r="K4306" s="11">
        <f>O4306</f>
        <v/>
      </c>
      <c r="L4306" s="11">
        <f>L4305+IF(K4306&gt;0,K4306*Summary!$B$9,K4306/Summary!$B$9)</f>
        <v/>
      </c>
      <c r="M4306" s="11">
        <f>G4306+H4306</f>
        <v/>
      </c>
      <c r="N4306" s="11">
        <f>Summary!$C$16*Summary!$B$8</f>
        <v/>
      </c>
      <c r="O4306" s="11">
        <f>M4306-N4306</f>
        <v/>
      </c>
    </row>
    <row r="4307">
      <c r="A4307" s="9" t="n">
        <v>45471.375</v>
      </c>
      <c r="B4307" t="n">
        <v>6</v>
      </c>
      <c r="C4307" t="n">
        <v>28</v>
      </c>
      <c r="D4307" t="n">
        <v>9</v>
      </c>
      <c r="E4307" s="10" t="n">
        <v>0.721181</v>
      </c>
      <c r="F4307" s="10" t="n">
        <v>0.1401399696335927</v>
      </c>
      <c r="G4307" s="11">
        <f>E4307*Summary!$B$6</f>
        <v/>
      </c>
      <c r="H4307" s="11">
        <f>F4307*Summary!$B$7</f>
        <v/>
      </c>
      <c r="I4307" s="11">
        <f>MAX(0,N4307-M4307)</f>
        <v/>
      </c>
      <c r="J4307" s="11">
        <f>MAX(0,M4307-N4307)</f>
        <v/>
      </c>
      <c r="K4307" s="11">
        <f>O4307</f>
        <v/>
      </c>
      <c r="L4307" s="11">
        <f>L4306+IF(K4307&gt;0,K4307*Summary!$B$9,K4307/Summary!$B$9)</f>
        <v/>
      </c>
      <c r="M4307" s="11">
        <f>G4307+H4307</f>
        <v/>
      </c>
      <c r="N4307" s="11">
        <f>Summary!$C$16*Summary!$B$8</f>
        <v/>
      </c>
      <c r="O4307" s="11">
        <f>M4307-N4307</f>
        <v/>
      </c>
    </row>
    <row r="4308">
      <c r="A4308" s="9" t="n">
        <v>45471.41666666666</v>
      </c>
      <c r="B4308" t="n">
        <v>6</v>
      </c>
      <c r="C4308" t="n">
        <v>28</v>
      </c>
      <c r="D4308" t="n">
        <v>10</v>
      </c>
      <c r="E4308" s="10" t="n">
        <v>0.754058</v>
      </c>
      <c r="F4308" s="10" t="n">
        <v>0.1626972870473489</v>
      </c>
      <c r="G4308" s="11">
        <f>E4308*Summary!$B$6</f>
        <v/>
      </c>
      <c r="H4308" s="11">
        <f>F4308*Summary!$B$7</f>
        <v/>
      </c>
      <c r="I4308" s="11">
        <f>MAX(0,N4308-M4308)</f>
        <v/>
      </c>
      <c r="J4308" s="11">
        <f>MAX(0,M4308-N4308)</f>
        <v/>
      </c>
      <c r="K4308" s="11">
        <f>O4308</f>
        <v/>
      </c>
      <c r="L4308" s="11">
        <f>L4307+IF(K4308&gt;0,K4308*Summary!$B$9,K4308/Summary!$B$9)</f>
        <v/>
      </c>
      <c r="M4308" s="11">
        <f>G4308+H4308</f>
        <v/>
      </c>
      <c r="N4308" s="11">
        <f>Summary!$C$16*Summary!$B$8</f>
        <v/>
      </c>
      <c r="O4308" s="11">
        <f>M4308-N4308</f>
        <v/>
      </c>
    </row>
    <row r="4309">
      <c r="A4309" s="9" t="n">
        <v>45471.45833333334</v>
      </c>
      <c r="B4309" t="n">
        <v>6</v>
      </c>
      <c r="C4309" t="n">
        <v>28</v>
      </c>
      <c r="D4309" t="n">
        <v>11</v>
      </c>
      <c r="E4309" s="10" t="n">
        <v>0.754058</v>
      </c>
      <c r="F4309" s="10" t="n">
        <v>0.1820133076831938</v>
      </c>
      <c r="G4309" s="11">
        <f>E4309*Summary!$B$6</f>
        <v/>
      </c>
      <c r="H4309" s="11">
        <f>F4309*Summary!$B$7</f>
        <v/>
      </c>
      <c r="I4309" s="11">
        <f>MAX(0,N4309-M4309)</f>
        <v/>
      </c>
      <c r="J4309" s="11">
        <f>MAX(0,M4309-N4309)</f>
        <v/>
      </c>
      <c r="K4309" s="11">
        <f>O4309</f>
        <v/>
      </c>
      <c r="L4309" s="11">
        <f>L4308+IF(K4309&gt;0,K4309*Summary!$B$9,K4309/Summary!$B$9)</f>
        <v/>
      </c>
      <c r="M4309" s="11">
        <f>G4309+H4309</f>
        <v/>
      </c>
      <c r="N4309" s="11">
        <f>Summary!$C$16*Summary!$B$8</f>
        <v/>
      </c>
      <c r="O4309" s="11">
        <f>M4309-N4309</f>
        <v/>
      </c>
    </row>
    <row r="4310">
      <c r="A4310" s="9" t="n">
        <v>45471.5</v>
      </c>
      <c r="B4310" t="n">
        <v>6</v>
      </c>
      <c r="C4310" t="n">
        <v>28</v>
      </c>
      <c r="D4310" t="n">
        <v>12</v>
      </c>
      <c r="E4310" s="10" t="n">
        <v>0.754058</v>
      </c>
      <c r="F4310" s="10" t="n">
        <v>0.2019090724581774</v>
      </c>
      <c r="G4310" s="11">
        <f>E4310*Summary!$B$6</f>
        <v/>
      </c>
      <c r="H4310" s="11">
        <f>F4310*Summary!$B$7</f>
        <v/>
      </c>
      <c r="I4310" s="11">
        <f>MAX(0,N4310-M4310)</f>
        <v/>
      </c>
      <c r="J4310" s="11">
        <f>MAX(0,M4310-N4310)</f>
        <v/>
      </c>
      <c r="K4310" s="11">
        <f>O4310</f>
        <v/>
      </c>
      <c r="L4310" s="11">
        <f>L4309+IF(K4310&gt;0,K4310*Summary!$B$9,K4310/Summary!$B$9)</f>
        <v/>
      </c>
      <c r="M4310" s="11">
        <f>G4310+H4310</f>
        <v/>
      </c>
      <c r="N4310" s="11">
        <f>Summary!$C$16*Summary!$B$8</f>
        <v/>
      </c>
      <c r="O4310" s="11">
        <f>M4310-N4310</f>
        <v/>
      </c>
    </row>
    <row r="4311">
      <c r="A4311" s="9" t="n">
        <v>45471.54166666666</v>
      </c>
      <c r="B4311" t="n">
        <v>6</v>
      </c>
      <c r="C4311" t="n">
        <v>28</v>
      </c>
      <c r="D4311" t="n">
        <v>13</v>
      </c>
      <c r="E4311" s="10" t="n">
        <v>0.754058</v>
      </c>
      <c r="F4311" s="10" t="n">
        <v>0.2124762269942945</v>
      </c>
      <c r="G4311" s="11">
        <f>E4311*Summary!$B$6</f>
        <v/>
      </c>
      <c r="H4311" s="11">
        <f>F4311*Summary!$B$7</f>
        <v/>
      </c>
      <c r="I4311" s="11">
        <f>MAX(0,N4311-M4311)</f>
        <v/>
      </c>
      <c r="J4311" s="11">
        <f>MAX(0,M4311-N4311)</f>
        <v/>
      </c>
      <c r="K4311" s="11">
        <f>O4311</f>
        <v/>
      </c>
      <c r="L4311" s="11">
        <f>L4310+IF(K4311&gt;0,K4311*Summary!$B$9,K4311/Summary!$B$9)</f>
        <v/>
      </c>
      <c r="M4311" s="11">
        <f>G4311+H4311</f>
        <v/>
      </c>
      <c r="N4311" s="11">
        <f>Summary!$C$16*Summary!$B$8</f>
        <v/>
      </c>
      <c r="O4311" s="11">
        <f>M4311-N4311</f>
        <v/>
      </c>
    </row>
    <row r="4312">
      <c r="A4312" s="9" t="n">
        <v>45471.58333333334</v>
      </c>
      <c r="B4312" t="n">
        <v>6</v>
      </c>
      <c r="C4312" t="n">
        <v>28</v>
      </c>
      <c r="D4312" t="n">
        <v>14</v>
      </c>
      <c r="E4312" s="10" t="n">
        <v>0.754058</v>
      </c>
      <c r="F4312" s="10" t="n">
        <v>0.2282347267763344</v>
      </c>
      <c r="G4312" s="11">
        <f>E4312*Summary!$B$6</f>
        <v/>
      </c>
      <c r="H4312" s="11">
        <f>F4312*Summary!$B$7</f>
        <v/>
      </c>
      <c r="I4312" s="11">
        <f>MAX(0,N4312-M4312)</f>
        <v/>
      </c>
      <c r="J4312" s="11">
        <f>MAX(0,M4312-N4312)</f>
        <v/>
      </c>
      <c r="K4312" s="11">
        <f>O4312</f>
        <v/>
      </c>
      <c r="L4312" s="11">
        <f>L4311+IF(K4312&gt;0,K4312*Summary!$B$9,K4312/Summary!$B$9)</f>
        <v/>
      </c>
      <c r="M4312" s="11">
        <f>G4312+H4312</f>
        <v/>
      </c>
      <c r="N4312" s="11">
        <f>Summary!$C$16*Summary!$B$8</f>
        <v/>
      </c>
      <c r="O4312" s="11">
        <f>M4312-N4312</f>
        <v/>
      </c>
    </row>
    <row r="4313">
      <c r="A4313" s="9" t="n">
        <v>45471.625</v>
      </c>
      <c r="B4313" t="n">
        <v>6</v>
      </c>
      <c r="C4313" t="n">
        <v>28</v>
      </c>
      <c r="D4313" t="n">
        <v>15</v>
      </c>
      <c r="E4313" s="10" t="n">
        <v>0.652574</v>
      </c>
      <c r="F4313" s="10" t="n">
        <v>0.2384066012175843</v>
      </c>
      <c r="G4313" s="11">
        <f>E4313*Summary!$B$6</f>
        <v/>
      </c>
      <c r="H4313" s="11">
        <f>F4313*Summary!$B$7</f>
        <v/>
      </c>
      <c r="I4313" s="11">
        <f>MAX(0,N4313-M4313)</f>
        <v/>
      </c>
      <c r="J4313" s="11">
        <f>MAX(0,M4313-N4313)</f>
        <v/>
      </c>
      <c r="K4313" s="11">
        <f>O4313</f>
        <v/>
      </c>
      <c r="L4313" s="11">
        <f>L4312+IF(K4313&gt;0,K4313*Summary!$B$9,K4313/Summary!$B$9)</f>
        <v/>
      </c>
      <c r="M4313" s="11">
        <f>G4313+H4313</f>
        <v/>
      </c>
      <c r="N4313" s="11">
        <f>Summary!$C$16*Summary!$B$8</f>
        <v/>
      </c>
      <c r="O4313" s="11">
        <f>M4313-N4313</f>
        <v/>
      </c>
    </row>
    <row r="4314">
      <c r="A4314" s="9" t="n">
        <v>45471.66666666666</v>
      </c>
      <c r="B4314" t="n">
        <v>6</v>
      </c>
      <c r="C4314" t="n">
        <v>28</v>
      </c>
      <c r="D4314" t="n">
        <v>16</v>
      </c>
      <c r="E4314" s="10" t="n">
        <v>0.481623</v>
      </c>
      <c r="F4314" s="10" t="n">
        <v>0.2561415014739604</v>
      </c>
      <c r="G4314" s="11">
        <f>E4314*Summary!$B$6</f>
        <v/>
      </c>
      <c r="H4314" s="11">
        <f>F4314*Summary!$B$7</f>
        <v/>
      </c>
      <c r="I4314" s="11">
        <f>MAX(0,N4314-M4314)</f>
        <v/>
      </c>
      <c r="J4314" s="11">
        <f>MAX(0,M4314-N4314)</f>
        <v/>
      </c>
      <c r="K4314" s="11">
        <f>O4314</f>
        <v/>
      </c>
      <c r="L4314" s="11">
        <f>L4313+IF(K4314&gt;0,K4314*Summary!$B$9,K4314/Summary!$B$9)</f>
        <v/>
      </c>
      <c r="M4314" s="11">
        <f>G4314+H4314</f>
        <v/>
      </c>
      <c r="N4314" s="11">
        <f>Summary!$C$16*Summary!$B$8</f>
        <v/>
      </c>
      <c r="O4314" s="11">
        <f>M4314-N4314</f>
        <v/>
      </c>
    </row>
    <row r="4315">
      <c r="A4315" s="9" t="n">
        <v>45471.70833333334</v>
      </c>
      <c r="B4315" t="n">
        <v>6</v>
      </c>
      <c r="C4315" t="n">
        <v>28</v>
      </c>
      <c r="D4315" t="n">
        <v>17</v>
      </c>
      <c r="E4315" s="10" t="n">
        <v>0.251043</v>
      </c>
      <c r="F4315" s="10" t="n">
        <v>0.2500014840003562</v>
      </c>
      <c r="G4315" s="11">
        <f>E4315*Summary!$B$6</f>
        <v/>
      </c>
      <c r="H4315" s="11">
        <f>F4315*Summary!$B$7</f>
        <v/>
      </c>
      <c r="I4315" s="11">
        <f>MAX(0,N4315-M4315)</f>
        <v/>
      </c>
      <c r="J4315" s="11">
        <f>MAX(0,M4315-N4315)</f>
        <v/>
      </c>
      <c r="K4315" s="11">
        <f>O4315</f>
        <v/>
      </c>
      <c r="L4315" s="11">
        <f>L4314+IF(K4315&gt;0,K4315*Summary!$B$9,K4315/Summary!$B$9)</f>
        <v/>
      </c>
      <c r="M4315" s="11">
        <f>G4315+H4315</f>
        <v/>
      </c>
      <c r="N4315" s="11">
        <f>Summary!$C$16*Summary!$B$8</f>
        <v/>
      </c>
      <c r="O4315" s="11">
        <f>M4315-N4315</f>
        <v/>
      </c>
    </row>
    <row r="4316">
      <c r="A4316" s="9" t="n">
        <v>45471.75</v>
      </c>
      <c r="B4316" t="n">
        <v>6</v>
      </c>
      <c r="C4316" t="n">
        <v>28</v>
      </c>
      <c r="D4316" t="n">
        <v>18</v>
      </c>
      <c r="E4316" s="10" t="n">
        <v>0.10188</v>
      </c>
      <c r="F4316" s="10" t="n">
        <v>0.2649430715863372</v>
      </c>
      <c r="G4316" s="11">
        <f>E4316*Summary!$B$6</f>
        <v/>
      </c>
      <c r="H4316" s="11">
        <f>F4316*Summary!$B$7</f>
        <v/>
      </c>
      <c r="I4316" s="11">
        <f>MAX(0,N4316-M4316)</f>
        <v/>
      </c>
      <c r="J4316" s="11">
        <f>MAX(0,M4316-N4316)</f>
        <v/>
      </c>
      <c r="K4316" s="11">
        <f>O4316</f>
        <v/>
      </c>
      <c r="L4316" s="11">
        <f>L4315+IF(K4316&gt;0,K4316*Summary!$B$9,K4316/Summary!$B$9)</f>
        <v/>
      </c>
      <c r="M4316" s="11">
        <f>G4316+H4316</f>
        <v/>
      </c>
      <c r="N4316" s="11">
        <f>Summary!$C$16*Summary!$B$8</f>
        <v/>
      </c>
      <c r="O4316" s="11">
        <f>M4316-N4316</f>
        <v/>
      </c>
    </row>
    <row r="4317">
      <c r="A4317" s="9" t="n">
        <v>45471.79166666666</v>
      </c>
      <c r="B4317" t="n">
        <v>6</v>
      </c>
      <c r="C4317" t="n">
        <v>28</v>
      </c>
      <c r="D4317" t="n">
        <v>19</v>
      </c>
      <c r="E4317" s="10" t="n">
        <v>0.049029</v>
      </c>
      <c r="F4317" s="10" t="n">
        <v>0.2588557581253819</v>
      </c>
      <c r="G4317" s="11">
        <f>E4317*Summary!$B$6</f>
        <v/>
      </c>
      <c r="H4317" s="11">
        <f>F4317*Summary!$B$7</f>
        <v/>
      </c>
      <c r="I4317" s="11">
        <f>MAX(0,N4317-M4317)</f>
        <v/>
      </c>
      <c r="J4317" s="11">
        <f>MAX(0,M4317-N4317)</f>
        <v/>
      </c>
      <c r="K4317" s="11">
        <f>O4317</f>
        <v/>
      </c>
      <c r="L4317" s="11">
        <f>L4316+IF(K4317&gt;0,K4317*Summary!$B$9,K4317/Summary!$B$9)</f>
        <v/>
      </c>
      <c r="M4317" s="11">
        <f>G4317+H4317</f>
        <v/>
      </c>
      <c r="N4317" s="11">
        <f>Summary!$C$16*Summary!$B$8</f>
        <v/>
      </c>
      <c r="O4317" s="11">
        <f>M4317-N4317</f>
        <v/>
      </c>
    </row>
    <row r="4318">
      <c r="A4318" s="9" t="n">
        <v>45471.83333333334</v>
      </c>
      <c r="B4318" t="n">
        <v>6</v>
      </c>
      <c r="C4318" t="n">
        <v>28</v>
      </c>
      <c r="D4318" t="n">
        <v>20</v>
      </c>
      <c r="E4318" s="10" t="n">
        <v>0.016328</v>
      </c>
      <c r="F4318" s="10" t="n">
        <v>0.2763007863121887</v>
      </c>
      <c r="G4318" s="11">
        <f>E4318*Summary!$B$6</f>
        <v/>
      </c>
      <c r="H4318" s="11">
        <f>F4318*Summary!$B$7</f>
        <v/>
      </c>
      <c r="I4318" s="11">
        <f>MAX(0,N4318-M4318)</f>
        <v/>
      </c>
      <c r="J4318" s="11">
        <f>MAX(0,M4318-N4318)</f>
        <v/>
      </c>
      <c r="K4318" s="11">
        <f>O4318</f>
        <v/>
      </c>
      <c r="L4318" s="11">
        <f>L4317+IF(K4318&gt;0,K4318*Summary!$B$9,K4318/Summary!$B$9)</f>
        <v/>
      </c>
      <c r="M4318" s="11">
        <f>G4318+H4318</f>
        <v/>
      </c>
      <c r="N4318" s="11">
        <f>Summary!$C$16*Summary!$B$8</f>
        <v/>
      </c>
      <c r="O4318" s="11">
        <f>M4318-N4318</f>
        <v/>
      </c>
    </row>
    <row r="4319">
      <c r="A4319" s="9" t="n">
        <v>45471.875</v>
      </c>
      <c r="B4319" t="n">
        <v>6</v>
      </c>
      <c r="C4319" t="n">
        <v>28</v>
      </c>
      <c r="D4319" t="n">
        <v>21</v>
      </c>
      <c r="E4319" s="10" t="n">
        <v>0</v>
      </c>
      <c r="F4319" s="10" t="n">
        <v>0.3024419765860744</v>
      </c>
      <c r="G4319" s="11">
        <f>E4319*Summary!$B$6</f>
        <v/>
      </c>
      <c r="H4319" s="11">
        <f>F4319*Summary!$B$7</f>
        <v/>
      </c>
      <c r="I4319" s="11">
        <f>MAX(0,N4319-M4319)</f>
        <v/>
      </c>
      <c r="J4319" s="11">
        <f>MAX(0,M4319-N4319)</f>
        <v/>
      </c>
      <c r="K4319" s="11">
        <f>O4319</f>
        <v/>
      </c>
      <c r="L4319" s="11">
        <f>L4318+IF(K4319&gt;0,K4319*Summary!$B$9,K4319/Summary!$B$9)</f>
        <v/>
      </c>
      <c r="M4319" s="11">
        <f>G4319+H4319</f>
        <v/>
      </c>
      <c r="N4319" s="11">
        <f>Summary!$C$16*Summary!$B$8</f>
        <v/>
      </c>
      <c r="O4319" s="11">
        <f>M4319-N4319</f>
        <v/>
      </c>
    </row>
    <row r="4320">
      <c r="A4320" s="9" t="n">
        <v>45471.91666666666</v>
      </c>
      <c r="B4320" t="n">
        <v>6</v>
      </c>
      <c r="C4320" t="n">
        <v>28</v>
      </c>
      <c r="D4320" t="n">
        <v>22</v>
      </c>
      <c r="E4320" s="10" t="n">
        <v>0</v>
      </c>
      <c r="F4320" s="10" t="n">
        <v>0.3191755006021201</v>
      </c>
      <c r="G4320" s="11">
        <f>E4320*Summary!$B$6</f>
        <v/>
      </c>
      <c r="H4320" s="11">
        <f>F4320*Summary!$B$7</f>
        <v/>
      </c>
      <c r="I4320" s="11">
        <f>MAX(0,N4320-M4320)</f>
        <v/>
      </c>
      <c r="J4320" s="11">
        <f>MAX(0,M4320-N4320)</f>
        <v/>
      </c>
      <c r="K4320" s="11">
        <f>O4320</f>
        <v/>
      </c>
      <c r="L4320" s="11">
        <f>L4319+IF(K4320&gt;0,K4320*Summary!$B$9,K4320/Summary!$B$9)</f>
        <v/>
      </c>
      <c r="M4320" s="11">
        <f>G4320+H4320</f>
        <v/>
      </c>
      <c r="N4320" s="11">
        <f>Summary!$C$16*Summary!$B$8</f>
        <v/>
      </c>
      <c r="O4320" s="11">
        <f>M4320-N4320</f>
        <v/>
      </c>
    </row>
    <row r="4321">
      <c r="A4321" s="9" t="n">
        <v>45471.95833333334</v>
      </c>
      <c r="B4321" t="n">
        <v>6</v>
      </c>
      <c r="C4321" t="n">
        <v>28</v>
      </c>
      <c r="D4321" t="n">
        <v>23</v>
      </c>
      <c r="E4321" s="10" t="n">
        <v>0</v>
      </c>
      <c r="F4321" s="10" t="n">
        <v>0.330058879214131</v>
      </c>
      <c r="G4321" s="11">
        <f>E4321*Summary!$B$6</f>
        <v/>
      </c>
      <c r="H4321" s="11">
        <f>F4321*Summary!$B$7</f>
        <v/>
      </c>
      <c r="I4321" s="11">
        <f>MAX(0,N4321-M4321)</f>
        <v/>
      </c>
      <c r="J4321" s="11">
        <f>MAX(0,M4321-N4321)</f>
        <v/>
      </c>
      <c r="K4321" s="11">
        <f>O4321</f>
        <v/>
      </c>
      <c r="L4321" s="11">
        <f>L4320+IF(K4321&gt;0,K4321*Summary!$B$9,K4321/Summary!$B$9)</f>
        <v/>
      </c>
      <c r="M4321" s="11">
        <f>G4321+H4321</f>
        <v/>
      </c>
      <c r="N4321" s="11">
        <f>Summary!$C$16*Summary!$B$8</f>
        <v/>
      </c>
      <c r="O4321" s="11">
        <f>M4321-N4321</f>
        <v/>
      </c>
    </row>
    <row r="4322">
      <c r="A4322" s="9" t="n">
        <v>45472</v>
      </c>
      <c r="B4322" t="n">
        <v>6</v>
      </c>
      <c r="C4322" t="n">
        <v>29</v>
      </c>
      <c r="D4322" t="n">
        <v>0</v>
      </c>
      <c r="E4322" s="10" t="n">
        <v>0</v>
      </c>
      <c r="F4322" s="10" t="n">
        <v>0.2737709937050385</v>
      </c>
      <c r="G4322" s="11">
        <f>E4322*Summary!$B$6</f>
        <v/>
      </c>
      <c r="H4322" s="11">
        <f>F4322*Summary!$B$7</f>
        <v/>
      </c>
      <c r="I4322" s="11">
        <f>MAX(0,N4322-M4322)</f>
        <v/>
      </c>
      <c r="J4322" s="11">
        <f>MAX(0,M4322-N4322)</f>
        <v/>
      </c>
      <c r="K4322" s="11">
        <f>O4322</f>
        <v/>
      </c>
      <c r="L4322" s="11">
        <f>L4321+IF(K4322&gt;0,K4322*Summary!$B$9,K4322/Summary!$B$9)</f>
        <v/>
      </c>
      <c r="M4322" s="11">
        <f>G4322+H4322</f>
        <v/>
      </c>
      <c r="N4322" s="11">
        <f>Summary!$C$16*Summary!$B$8</f>
        <v/>
      </c>
      <c r="O4322" s="11">
        <f>M4322-N4322</f>
        <v/>
      </c>
    </row>
    <row r="4323">
      <c r="A4323" s="9" t="n">
        <v>45472.04166666666</v>
      </c>
      <c r="B4323" t="n">
        <v>6</v>
      </c>
      <c r="C4323" t="n">
        <v>29</v>
      </c>
      <c r="D4323" t="n">
        <v>1</v>
      </c>
      <c r="E4323" s="10" t="n">
        <v>0</v>
      </c>
      <c r="F4323" s="10" t="n">
        <v>0.3202822848677484</v>
      </c>
      <c r="G4323" s="11">
        <f>E4323*Summary!$B$6</f>
        <v/>
      </c>
      <c r="H4323" s="11">
        <f>F4323*Summary!$B$7</f>
        <v/>
      </c>
      <c r="I4323" s="11">
        <f>MAX(0,N4323-M4323)</f>
        <v/>
      </c>
      <c r="J4323" s="11">
        <f>MAX(0,M4323-N4323)</f>
        <v/>
      </c>
      <c r="K4323" s="11">
        <f>O4323</f>
        <v/>
      </c>
      <c r="L4323" s="11">
        <f>L4322+IF(K4323&gt;0,K4323*Summary!$B$9,K4323/Summary!$B$9)</f>
        <v/>
      </c>
      <c r="M4323" s="11">
        <f>G4323+H4323</f>
        <v/>
      </c>
      <c r="N4323" s="11">
        <f>Summary!$C$16*Summary!$B$8</f>
        <v/>
      </c>
      <c r="O4323" s="11">
        <f>M4323-N4323</f>
        <v/>
      </c>
    </row>
    <row r="4324">
      <c r="A4324" s="9" t="n">
        <v>45472.08333333334</v>
      </c>
      <c r="B4324" t="n">
        <v>6</v>
      </c>
      <c r="C4324" t="n">
        <v>29</v>
      </c>
      <c r="D4324" t="n">
        <v>2</v>
      </c>
      <c r="E4324" s="10" t="n">
        <v>0</v>
      </c>
      <c r="F4324" s="10" t="n">
        <v>0.3157497397799375</v>
      </c>
      <c r="G4324" s="11">
        <f>E4324*Summary!$B$6</f>
        <v/>
      </c>
      <c r="H4324" s="11">
        <f>F4324*Summary!$B$7</f>
        <v/>
      </c>
      <c r="I4324" s="11">
        <f>MAX(0,N4324-M4324)</f>
        <v/>
      </c>
      <c r="J4324" s="11">
        <f>MAX(0,M4324-N4324)</f>
        <v/>
      </c>
      <c r="K4324" s="11">
        <f>O4324</f>
        <v/>
      </c>
      <c r="L4324" s="11">
        <f>L4323+IF(K4324&gt;0,K4324*Summary!$B$9,K4324/Summary!$B$9)</f>
        <v/>
      </c>
      <c r="M4324" s="11">
        <f>G4324+H4324</f>
        <v/>
      </c>
      <c r="N4324" s="11">
        <f>Summary!$C$16*Summary!$B$8</f>
        <v/>
      </c>
      <c r="O4324" s="11">
        <f>M4324-N4324</f>
        <v/>
      </c>
    </row>
    <row r="4325">
      <c r="A4325" s="9" t="n">
        <v>45472.125</v>
      </c>
      <c r="B4325" t="n">
        <v>6</v>
      </c>
      <c r="C4325" t="n">
        <v>29</v>
      </c>
      <c r="D4325" t="n">
        <v>3</v>
      </c>
      <c r="E4325" s="10" t="n">
        <v>0</v>
      </c>
      <c r="F4325" s="10" t="n">
        <v>0.3038122809149474</v>
      </c>
      <c r="G4325" s="11">
        <f>E4325*Summary!$B$6</f>
        <v/>
      </c>
      <c r="H4325" s="11">
        <f>F4325*Summary!$B$7</f>
        <v/>
      </c>
      <c r="I4325" s="11">
        <f>MAX(0,N4325-M4325)</f>
        <v/>
      </c>
      <c r="J4325" s="11">
        <f>MAX(0,M4325-N4325)</f>
        <v/>
      </c>
      <c r="K4325" s="11">
        <f>O4325</f>
        <v/>
      </c>
      <c r="L4325" s="11">
        <f>L4324+IF(K4325&gt;0,K4325*Summary!$B$9,K4325/Summary!$B$9)</f>
        <v/>
      </c>
      <c r="M4325" s="11">
        <f>G4325+H4325</f>
        <v/>
      </c>
      <c r="N4325" s="11">
        <f>Summary!$C$16*Summary!$B$8</f>
        <v/>
      </c>
      <c r="O4325" s="11">
        <f>M4325-N4325</f>
        <v/>
      </c>
    </row>
    <row r="4326">
      <c r="A4326" s="9" t="n">
        <v>45472.16666666666</v>
      </c>
      <c r="B4326" t="n">
        <v>6</v>
      </c>
      <c r="C4326" t="n">
        <v>29</v>
      </c>
      <c r="D4326" t="n">
        <v>4</v>
      </c>
      <c r="E4326" s="10" t="n">
        <v>0.034641</v>
      </c>
      <c r="F4326" s="10" t="n">
        <v>0.2867361808166834</v>
      </c>
      <c r="G4326" s="11">
        <f>E4326*Summary!$B$6</f>
        <v/>
      </c>
      <c r="H4326" s="11">
        <f>F4326*Summary!$B$7</f>
        <v/>
      </c>
      <c r="I4326" s="11">
        <f>MAX(0,N4326-M4326)</f>
        <v/>
      </c>
      <c r="J4326" s="11">
        <f>MAX(0,M4326-N4326)</f>
        <v/>
      </c>
      <c r="K4326" s="11">
        <f>O4326</f>
        <v/>
      </c>
      <c r="L4326" s="11">
        <f>L4325+IF(K4326&gt;0,K4326*Summary!$B$9,K4326/Summary!$B$9)</f>
        <v/>
      </c>
      <c r="M4326" s="11">
        <f>G4326+H4326</f>
        <v/>
      </c>
      <c r="N4326" s="11">
        <f>Summary!$C$16*Summary!$B$8</f>
        <v/>
      </c>
      <c r="O4326" s="11">
        <f>M4326-N4326</f>
        <v/>
      </c>
    </row>
    <row r="4327">
      <c r="A4327" s="9" t="n">
        <v>45472.20833333334</v>
      </c>
      <c r="B4327" t="n">
        <v>6</v>
      </c>
      <c r="C4327" t="n">
        <v>29</v>
      </c>
      <c r="D4327" t="n">
        <v>5</v>
      </c>
      <c r="E4327" s="10" t="n">
        <v>0.08228199999999999</v>
      </c>
      <c r="F4327" s="10" t="n">
        <v>0.2791204509889083</v>
      </c>
      <c r="G4327" s="11">
        <f>E4327*Summary!$B$6</f>
        <v/>
      </c>
      <c r="H4327" s="11">
        <f>F4327*Summary!$B$7</f>
        <v/>
      </c>
      <c r="I4327" s="11">
        <f>MAX(0,N4327-M4327)</f>
        <v/>
      </c>
      <c r="J4327" s="11">
        <f>MAX(0,M4327-N4327)</f>
        <v/>
      </c>
      <c r="K4327" s="11">
        <f>O4327</f>
        <v/>
      </c>
      <c r="L4327" s="11">
        <f>L4326+IF(K4327&gt;0,K4327*Summary!$B$9,K4327/Summary!$B$9)</f>
        <v/>
      </c>
      <c r="M4327" s="11">
        <f>G4327+H4327</f>
        <v/>
      </c>
      <c r="N4327" s="11">
        <f>Summary!$C$16*Summary!$B$8</f>
        <v/>
      </c>
      <c r="O4327" s="11">
        <f>M4327-N4327</f>
        <v/>
      </c>
    </row>
    <row r="4328">
      <c r="A4328" s="9" t="n">
        <v>45472.25</v>
      </c>
      <c r="B4328" t="n">
        <v>6</v>
      </c>
      <c r="C4328" t="n">
        <v>29</v>
      </c>
      <c r="D4328" t="n">
        <v>6</v>
      </c>
      <c r="E4328" s="10" t="n">
        <v>0.138584</v>
      </c>
      <c r="F4328" s="10" t="n">
        <v>0.2619125908590218</v>
      </c>
      <c r="G4328" s="11">
        <f>E4328*Summary!$B$6</f>
        <v/>
      </c>
      <c r="H4328" s="11">
        <f>F4328*Summary!$B$7</f>
        <v/>
      </c>
      <c r="I4328" s="11">
        <f>MAX(0,N4328-M4328)</f>
        <v/>
      </c>
      <c r="J4328" s="11">
        <f>MAX(0,M4328-N4328)</f>
        <v/>
      </c>
      <c r="K4328" s="11">
        <f>O4328</f>
        <v/>
      </c>
      <c r="L4328" s="11">
        <f>L4327+IF(K4328&gt;0,K4328*Summary!$B$9,K4328/Summary!$B$9)</f>
        <v/>
      </c>
      <c r="M4328" s="11">
        <f>G4328+H4328</f>
        <v/>
      </c>
      <c r="N4328" s="11">
        <f>Summary!$C$16*Summary!$B$8</f>
        <v/>
      </c>
      <c r="O4328" s="11">
        <f>M4328-N4328</f>
        <v/>
      </c>
    </row>
    <row r="4329">
      <c r="A4329" s="9" t="n">
        <v>45472.29166666666</v>
      </c>
      <c r="B4329" t="n">
        <v>6</v>
      </c>
      <c r="C4329" t="n">
        <v>29</v>
      </c>
      <c r="D4329" t="n">
        <v>7</v>
      </c>
      <c r="E4329" s="10" t="n">
        <v>0.214187</v>
      </c>
      <c r="F4329" s="10" t="n">
        <v>0.2604368785048508</v>
      </c>
      <c r="G4329" s="11">
        <f>E4329*Summary!$B$6</f>
        <v/>
      </c>
      <c r="H4329" s="11">
        <f>F4329*Summary!$B$7</f>
        <v/>
      </c>
      <c r="I4329" s="11">
        <f>MAX(0,N4329-M4329)</f>
        <v/>
      </c>
      <c r="J4329" s="11">
        <f>MAX(0,M4329-N4329)</f>
        <v/>
      </c>
      <c r="K4329" s="11">
        <f>O4329</f>
        <v/>
      </c>
      <c r="L4329" s="11">
        <f>L4328+IF(K4329&gt;0,K4329*Summary!$B$9,K4329/Summary!$B$9)</f>
        <v/>
      </c>
      <c r="M4329" s="11">
        <f>G4329+H4329</f>
        <v/>
      </c>
      <c r="N4329" s="11">
        <f>Summary!$C$16*Summary!$B$8</f>
        <v/>
      </c>
      <c r="O4329" s="11">
        <f>M4329-N4329</f>
        <v/>
      </c>
    </row>
    <row r="4330">
      <c r="A4330" s="9" t="n">
        <v>45472.33333333334</v>
      </c>
      <c r="B4330" t="n">
        <v>6</v>
      </c>
      <c r="C4330" t="n">
        <v>29</v>
      </c>
      <c r="D4330" t="n">
        <v>8</v>
      </c>
      <c r="E4330" s="10" t="n">
        <v>0.524604</v>
      </c>
      <c r="F4330" s="10" t="n">
        <v>0.2614909587578301</v>
      </c>
      <c r="G4330" s="11">
        <f>E4330*Summary!$B$6</f>
        <v/>
      </c>
      <c r="H4330" s="11">
        <f>F4330*Summary!$B$7</f>
        <v/>
      </c>
      <c r="I4330" s="11">
        <f>MAX(0,N4330-M4330)</f>
        <v/>
      </c>
      <c r="J4330" s="11">
        <f>MAX(0,M4330-N4330)</f>
        <v/>
      </c>
      <c r="K4330" s="11">
        <f>O4330</f>
        <v/>
      </c>
      <c r="L4330" s="11">
        <f>L4329+IF(K4330&gt;0,K4330*Summary!$B$9,K4330/Summary!$B$9)</f>
        <v/>
      </c>
      <c r="M4330" s="11">
        <f>G4330+H4330</f>
        <v/>
      </c>
      <c r="N4330" s="11">
        <f>Summary!$C$16*Summary!$B$8</f>
        <v/>
      </c>
      <c r="O4330" s="11">
        <f>M4330-N4330</f>
        <v/>
      </c>
    </row>
    <row r="4331">
      <c r="A4331" s="9" t="n">
        <v>45472.375</v>
      </c>
      <c r="B4331" t="n">
        <v>6</v>
      </c>
      <c r="C4331" t="n">
        <v>29</v>
      </c>
      <c r="D4331" t="n">
        <v>9</v>
      </c>
      <c r="E4331" s="10" t="n">
        <v>0.723061</v>
      </c>
      <c r="F4331" s="10" t="n">
        <v>0.2784616508307962</v>
      </c>
      <c r="G4331" s="11">
        <f>E4331*Summary!$B$6</f>
        <v/>
      </c>
      <c r="H4331" s="11">
        <f>F4331*Summary!$B$7</f>
        <v/>
      </c>
      <c r="I4331" s="11">
        <f>MAX(0,N4331-M4331)</f>
        <v/>
      </c>
      <c r="J4331" s="11">
        <f>MAX(0,M4331-N4331)</f>
        <v/>
      </c>
      <c r="K4331" s="11">
        <f>O4331</f>
        <v/>
      </c>
      <c r="L4331" s="11">
        <f>L4330+IF(K4331&gt;0,K4331*Summary!$B$9,K4331/Summary!$B$9)</f>
        <v/>
      </c>
      <c r="M4331" s="11">
        <f>G4331+H4331</f>
        <v/>
      </c>
      <c r="N4331" s="11">
        <f>Summary!$C$16*Summary!$B$8</f>
        <v/>
      </c>
      <c r="O4331" s="11">
        <f>M4331-N4331</f>
        <v/>
      </c>
    </row>
    <row r="4332">
      <c r="A4332" s="9" t="n">
        <v>45472.41666666666</v>
      </c>
      <c r="B4332" t="n">
        <v>6</v>
      </c>
      <c r="C4332" t="n">
        <v>29</v>
      </c>
      <c r="D4332" t="n">
        <v>10</v>
      </c>
      <c r="E4332" s="10" t="n">
        <v>0.754058</v>
      </c>
      <c r="F4332" s="10" t="n">
        <v>0.2750358900086136</v>
      </c>
      <c r="G4332" s="11">
        <f>E4332*Summary!$B$6</f>
        <v/>
      </c>
      <c r="H4332" s="11">
        <f>F4332*Summary!$B$7</f>
        <v/>
      </c>
      <c r="I4332" s="11">
        <f>MAX(0,N4332-M4332)</f>
        <v/>
      </c>
      <c r="J4332" s="11">
        <f>MAX(0,M4332-N4332)</f>
        <v/>
      </c>
      <c r="K4332" s="11">
        <f>O4332</f>
        <v/>
      </c>
      <c r="L4332" s="11">
        <f>L4331+IF(K4332&gt;0,K4332*Summary!$B$9,K4332/Summary!$B$9)</f>
        <v/>
      </c>
      <c r="M4332" s="11">
        <f>G4332+H4332</f>
        <v/>
      </c>
      <c r="N4332" s="11">
        <f>Summary!$C$16*Summary!$B$8</f>
        <v/>
      </c>
      <c r="O4332" s="11">
        <f>M4332-N4332</f>
        <v/>
      </c>
    </row>
    <row r="4333">
      <c r="A4333" s="9" t="n">
        <v>45472.45833333334</v>
      </c>
      <c r="B4333" t="n">
        <v>6</v>
      </c>
      <c r="C4333" t="n">
        <v>29</v>
      </c>
      <c r="D4333" t="n">
        <v>11</v>
      </c>
      <c r="E4333" s="10" t="n">
        <v>0.754058</v>
      </c>
      <c r="F4333" s="10" t="n">
        <v>0.2698708967690152</v>
      </c>
      <c r="G4333" s="11">
        <f>E4333*Summary!$B$6</f>
        <v/>
      </c>
      <c r="H4333" s="11">
        <f>F4333*Summary!$B$7</f>
        <v/>
      </c>
      <c r="I4333" s="11">
        <f>MAX(0,N4333-M4333)</f>
        <v/>
      </c>
      <c r="J4333" s="11">
        <f>MAX(0,M4333-N4333)</f>
        <v/>
      </c>
      <c r="K4333" s="11">
        <f>O4333</f>
        <v/>
      </c>
      <c r="L4333" s="11">
        <f>L4332+IF(K4333&gt;0,K4333*Summary!$B$9,K4333/Summary!$B$9)</f>
        <v/>
      </c>
      <c r="M4333" s="11">
        <f>G4333+H4333</f>
        <v/>
      </c>
      <c r="N4333" s="11">
        <f>Summary!$C$16*Summary!$B$8</f>
        <v/>
      </c>
      <c r="O4333" s="11">
        <f>M4333-N4333</f>
        <v/>
      </c>
    </row>
    <row r="4334">
      <c r="A4334" s="9" t="n">
        <v>45472.5</v>
      </c>
      <c r="B4334" t="n">
        <v>6</v>
      </c>
      <c r="C4334" t="n">
        <v>29</v>
      </c>
      <c r="D4334" t="n">
        <v>12</v>
      </c>
      <c r="E4334" s="10" t="n">
        <v>0.754058</v>
      </c>
      <c r="F4334" s="10" t="n">
        <v>0.2756156341477522</v>
      </c>
      <c r="G4334" s="11">
        <f>E4334*Summary!$B$6</f>
        <v/>
      </c>
      <c r="H4334" s="11">
        <f>F4334*Summary!$B$7</f>
        <v/>
      </c>
      <c r="I4334" s="11">
        <f>MAX(0,N4334-M4334)</f>
        <v/>
      </c>
      <c r="J4334" s="11">
        <f>MAX(0,M4334-N4334)</f>
        <v/>
      </c>
      <c r="K4334" s="11">
        <f>O4334</f>
        <v/>
      </c>
      <c r="L4334" s="11">
        <f>L4333+IF(K4334&gt;0,K4334*Summary!$B$9,K4334/Summary!$B$9)</f>
        <v/>
      </c>
      <c r="M4334" s="11">
        <f>G4334+H4334</f>
        <v/>
      </c>
      <c r="N4334" s="11">
        <f>Summary!$C$16*Summary!$B$8</f>
        <v/>
      </c>
      <c r="O4334" s="11">
        <f>M4334-N4334</f>
        <v/>
      </c>
    </row>
    <row r="4335">
      <c r="A4335" s="9" t="n">
        <v>45472.54166666666</v>
      </c>
      <c r="B4335" t="n">
        <v>6</v>
      </c>
      <c r="C4335" t="n">
        <v>29</v>
      </c>
      <c r="D4335" t="n">
        <v>13</v>
      </c>
      <c r="E4335" s="10" t="n">
        <v>0.754058</v>
      </c>
      <c r="F4335" s="10" t="n">
        <v>0.2737182896923895</v>
      </c>
      <c r="G4335" s="11">
        <f>E4335*Summary!$B$6</f>
        <v/>
      </c>
      <c r="H4335" s="11">
        <f>F4335*Summary!$B$7</f>
        <v/>
      </c>
      <c r="I4335" s="11">
        <f>MAX(0,N4335-M4335)</f>
        <v/>
      </c>
      <c r="J4335" s="11">
        <f>MAX(0,M4335-N4335)</f>
        <v/>
      </c>
      <c r="K4335" s="11">
        <f>O4335</f>
        <v/>
      </c>
      <c r="L4335" s="11">
        <f>L4334+IF(K4335&gt;0,K4335*Summary!$B$9,K4335/Summary!$B$9)</f>
        <v/>
      </c>
      <c r="M4335" s="11">
        <f>G4335+H4335</f>
        <v/>
      </c>
      <c r="N4335" s="11">
        <f>Summary!$C$16*Summary!$B$8</f>
        <v/>
      </c>
      <c r="O4335" s="11">
        <f>M4335-N4335</f>
        <v/>
      </c>
    </row>
    <row r="4336">
      <c r="A4336" s="9" t="n">
        <v>45472.58333333334</v>
      </c>
      <c r="B4336" t="n">
        <v>6</v>
      </c>
      <c r="C4336" t="n">
        <v>29</v>
      </c>
      <c r="D4336" t="n">
        <v>14</v>
      </c>
      <c r="E4336" s="10" t="n">
        <v>0.677144</v>
      </c>
      <c r="F4336" s="10" t="n">
        <v>0.2754048180971563</v>
      </c>
      <c r="G4336" s="11">
        <f>E4336*Summary!$B$6</f>
        <v/>
      </c>
      <c r="H4336" s="11">
        <f>F4336*Summary!$B$7</f>
        <v/>
      </c>
      <c r="I4336" s="11">
        <f>MAX(0,N4336-M4336)</f>
        <v/>
      </c>
      <c r="J4336" s="11">
        <f>MAX(0,M4336-N4336)</f>
        <v/>
      </c>
      <c r="K4336" s="11">
        <f>O4336</f>
        <v/>
      </c>
      <c r="L4336" s="11">
        <f>L4335+IF(K4336&gt;0,K4336*Summary!$B$9,K4336/Summary!$B$9)</f>
        <v/>
      </c>
      <c r="M4336" s="11">
        <f>G4336+H4336</f>
        <v/>
      </c>
      <c r="N4336" s="11">
        <f>Summary!$C$16*Summary!$B$8</f>
        <v/>
      </c>
      <c r="O4336" s="11">
        <f>M4336-N4336</f>
        <v/>
      </c>
    </row>
    <row r="4337">
      <c r="A4337" s="9" t="n">
        <v>45472.625</v>
      </c>
      <c r="B4337" t="n">
        <v>6</v>
      </c>
      <c r="C4337" t="n">
        <v>29</v>
      </c>
      <c r="D4337" t="n">
        <v>15</v>
      </c>
      <c r="E4337" s="10" t="n">
        <v>0.569848</v>
      </c>
      <c r="F4337" s="10" t="n">
        <v>0.292296454151149</v>
      </c>
      <c r="G4337" s="11">
        <f>E4337*Summary!$B$6</f>
        <v/>
      </c>
      <c r="H4337" s="11">
        <f>F4337*Summary!$B$7</f>
        <v/>
      </c>
      <c r="I4337" s="11">
        <f>MAX(0,N4337-M4337)</f>
        <v/>
      </c>
      <c r="J4337" s="11">
        <f>MAX(0,M4337-N4337)</f>
        <v/>
      </c>
      <c r="K4337" s="11">
        <f>O4337</f>
        <v/>
      </c>
      <c r="L4337" s="11">
        <f>L4336+IF(K4337&gt;0,K4337*Summary!$B$9,K4337/Summary!$B$9)</f>
        <v/>
      </c>
      <c r="M4337" s="11">
        <f>G4337+H4337</f>
        <v/>
      </c>
      <c r="N4337" s="11">
        <f>Summary!$C$16*Summary!$B$8</f>
        <v/>
      </c>
      <c r="O4337" s="11">
        <f>M4337-N4337</f>
        <v/>
      </c>
    </row>
    <row r="4338">
      <c r="A4338" s="9" t="n">
        <v>45472.66666666666</v>
      </c>
      <c r="B4338" t="n">
        <v>6</v>
      </c>
      <c r="C4338" t="n">
        <v>29</v>
      </c>
      <c r="D4338" t="n">
        <v>16</v>
      </c>
      <c r="E4338" s="10" t="n">
        <v>0.45776</v>
      </c>
      <c r="F4338" s="10" t="n">
        <v>0.2819928196782767</v>
      </c>
      <c r="G4338" s="11">
        <f>E4338*Summary!$B$6</f>
        <v/>
      </c>
      <c r="H4338" s="11">
        <f>F4338*Summary!$B$7</f>
        <v/>
      </c>
      <c r="I4338" s="11">
        <f>MAX(0,N4338-M4338)</f>
        <v/>
      </c>
      <c r="J4338" s="11">
        <f>MAX(0,M4338-N4338)</f>
        <v/>
      </c>
      <c r="K4338" s="11">
        <f>O4338</f>
        <v/>
      </c>
      <c r="L4338" s="11">
        <f>L4337+IF(K4338&gt;0,K4338*Summary!$B$9,K4338/Summary!$B$9)</f>
        <v/>
      </c>
      <c r="M4338" s="11">
        <f>G4338+H4338</f>
        <v/>
      </c>
      <c r="N4338" s="11">
        <f>Summary!$C$16*Summary!$B$8</f>
        <v/>
      </c>
      <c r="O4338" s="11">
        <f>M4338-N4338</f>
        <v/>
      </c>
    </row>
    <row r="4339">
      <c r="A4339" s="9" t="n">
        <v>45472.70833333334</v>
      </c>
      <c r="B4339" t="n">
        <v>6</v>
      </c>
      <c r="C4339" t="n">
        <v>29</v>
      </c>
      <c r="D4339" t="n">
        <v>17</v>
      </c>
      <c r="E4339" s="10" t="n">
        <v>0.242401</v>
      </c>
      <c r="F4339" s="10" t="n">
        <v>0.2756156341477522</v>
      </c>
      <c r="G4339" s="11">
        <f>E4339*Summary!$B$6</f>
        <v/>
      </c>
      <c r="H4339" s="11">
        <f>F4339*Summary!$B$7</f>
        <v/>
      </c>
      <c r="I4339" s="11">
        <f>MAX(0,N4339-M4339)</f>
        <v/>
      </c>
      <c r="J4339" s="11">
        <f>MAX(0,M4339-N4339)</f>
        <v/>
      </c>
      <c r="K4339" s="11">
        <f>O4339</f>
        <v/>
      </c>
      <c r="L4339" s="11">
        <f>L4338+IF(K4339&gt;0,K4339*Summary!$B$9,K4339/Summary!$B$9)</f>
        <v/>
      </c>
      <c r="M4339" s="11">
        <f>G4339+H4339</f>
        <v/>
      </c>
      <c r="N4339" s="11">
        <f>Summary!$C$16*Summary!$B$8</f>
        <v/>
      </c>
      <c r="O4339" s="11">
        <f>M4339-N4339</f>
        <v/>
      </c>
    </row>
    <row r="4340">
      <c r="A4340" s="9" t="n">
        <v>45472.75</v>
      </c>
      <c r="B4340" t="n">
        <v>6</v>
      </c>
      <c r="C4340" t="n">
        <v>29</v>
      </c>
      <c r="D4340" t="n">
        <v>18</v>
      </c>
      <c r="E4340" s="10" t="n">
        <v>0.093011</v>
      </c>
      <c r="F4340" s="10" t="n">
        <v>0.2703715848891804</v>
      </c>
      <c r="G4340" s="11">
        <f>E4340*Summary!$B$6</f>
        <v/>
      </c>
      <c r="H4340" s="11">
        <f>F4340*Summary!$B$7</f>
        <v/>
      </c>
      <c r="I4340" s="11">
        <f>MAX(0,N4340-M4340)</f>
        <v/>
      </c>
      <c r="J4340" s="11">
        <f>MAX(0,M4340-N4340)</f>
        <v/>
      </c>
      <c r="K4340" s="11">
        <f>O4340</f>
        <v/>
      </c>
      <c r="L4340" s="11">
        <f>L4339+IF(K4340&gt;0,K4340*Summary!$B$9,K4340/Summary!$B$9)</f>
        <v/>
      </c>
      <c r="M4340" s="11">
        <f>G4340+H4340</f>
        <v/>
      </c>
      <c r="N4340" s="11">
        <f>Summary!$C$16*Summary!$B$8</f>
        <v/>
      </c>
      <c r="O4340" s="11">
        <f>M4340-N4340</f>
        <v/>
      </c>
    </row>
    <row r="4341">
      <c r="A4341" s="9" t="n">
        <v>45472.79166666666</v>
      </c>
      <c r="B4341" t="n">
        <v>6</v>
      </c>
      <c r="C4341" t="n">
        <v>29</v>
      </c>
      <c r="D4341" t="n">
        <v>19</v>
      </c>
      <c r="E4341" s="10" t="n">
        <v>0.02993</v>
      </c>
      <c r="F4341" s="10" t="n">
        <v>0.2612010866882608</v>
      </c>
      <c r="G4341" s="11">
        <f>E4341*Summary!$B$6</f>
        <v/>
      </c>
      <c r="H4341" s="11">
        <f>F4341*Summary!$B$7</f>
        <v/>
      </c>
      <c r="I4341" s="11">
        <f>MAX(0,N4341-M4341)</f>
        <v/>
      </c>
      <c r="J4341" s="11">
        <f>MAX(0,M4341-N4341)</f>
        <v/>
      </c>
      <c r="K4341" s="11">
        <f>O4341</f>
        <v/>
      </c>
      <c r="L4341" s="11">
        <f>L4340+IF(K4341&gt;0,K4341*Summary!$B$9,K4341/Summary!$B$9)</f>
        <v/>
      </c>
      <c r="M4341" s="11">
        <f>G4341+H4341</f>
        <v/>
      </c>
      <c r="N4341" s="11">
        <f>Summary!$C$16*Summary!$B$8</f>
        <v/>
      </c>
      <c r="O4341" s="11">
        <f>M4341-N4341</f>
        <v/>
      </c>
    </row>
    <row r="4342">
      <c r="A4342" s="9" t="n">
        <v>45472.83333333334</v>
      </c>
      <c r="B4342" t="n">
        <v>6</v>
      </c>
      <c r="C4342" t="n">
        <v>29</v>
      </c>
      <c r="D4342" t="n">
        <v>20</v>
      </c>
      <c r="E4342" s="10" t="n">
        <v>0.005808</v>
      </c>
      <c r="F4342" s="10" t="n">
        <v>0.2640734553776293</v>
      </c>
      <c r="G4342" s="11">
        <f>E4342*Summary!$B$6</f>
        <v/>
      </c>
      <c r="H4342" s="11">
        <f>F4342*Summary!$B$7</f>
        <v/>
      </c>
      <c r="I4342" s="11">
        <f>MAX(0,N4342-M4342)</f>
        <v/>
      </c>
      <c r="J4342" s="11">
        <f>MAX(0,M4342-N4342)</f>
        <v/>
      </c>
      <c r="K4342" s="11">
        <f>O4342</f>
        <v/>
      </c>
      <c r="L4342" s="11">
        <f>L4341+IF(K4342&gt;0,K4342*Summary!$B$9,K4342/Summary!$B$9)</f>
        <v/>
      </c>
      <c r="M4342" s="11">
        <f>G4342+H4342</f>
        <v/>
      </c>
      <c r="N4342" s="11">
        <f>Summary!$C$16*Summary!$B$8</f>
        <v/>
      </c>
      <c r="O4342" s="11">
        <f>M4342-N4342</f>
        <v/>
      </c>
    </row>
    <row r="4343">
      <c r="A4343" s="9" t="n">
        <v>45472.875</v>
      </c>
      <c r="B4343" t="n">
        <v>6</v>
      </c>
      <c r="C4343" t="n">
        <v>29</v>
      </c>
      <c r="D4343" t="n">
        <v>21</v>
      </c>
      <c r="E4343" s="10" t="n">
        <v>0</v>
      </c>
      <c r="F4343" s="10" t="n">
        <v>0.2691066885856053</v>
      </c>
      <c r="G4343" s="11">
        <f>E4343*Summary!$B$6</f>
        <v/>
      </c>
      <c r="H4343" s="11">
        <f>F4343*Summary!$B$7</f>
        <v/>
      </c>
      <c r="I4343" s="11">
        <f>MAX(0,N4343-M4343)</f>
        <v/>
      </c>
      <c r="J4343" s="11">
        <f>MAX(0,M4343-N4343)</f>
        <v/>
      </c>
      <c r="K4343" s="11">
        <f>O4343</f>
        <v/>
      </c>
      <c r="L4343" s="11">
        <f>L4342+IF(K4343&gt;0,K4343*Summary!$B$9,K4343/Summary!$B$9)</f>
        <v/>
      </c>
      <c r="M4343" s="11">
        <f>G4343+H4343</f>
        <v/>
      </c>
      <c r="N4343" s="11">
        <f>Summary!$C$16*Summary!$B$8</f>
        <v/>
      </c>
      <c r="O4343" s="11">
        <f>M4343-N4343</f>
        <v/>
      </c>
    </row>
    <row r="4344">
      <c r="A4344" s="9" t="n">
        <v>45472.91666666666</v>
      </c>
      <c r="B4344" t="n">
        <v>6</v>
      </c>
      <c r="C4344" t="n">
        <v>29</v>
      </c>
      <c r="D4344" t="n">
        <v>22</v>
      </c>
      <c r="E4344" s="10" t="n">
        <v>0</v>
      </c>
      <c r="F4344" s="10" t="n">
        <v>0.2788832829319879</v>
      </c>
      <c r="G4344" s="11">
        <f>E4344*Summary!$B$6</f>
        <v/>
      </c>
      <c r="H4344" s="11">
        <f>F4344*Summary!$B$7</f>
        <v/>
      </c>
      <c r="I4344" s="11">
        <f>MAX(0,N4344-M4344)</f>
        <v/>
      </c>
      <c r="J4344" s="11">
        <f>MAX(0,M4344-N4344)</f>
        <v/>
      </c>
      <c r="K4344" s="11">
        <f>O4344</f>
        <v/>
      </c>
      <c r="L4344" s="11">
        <f>L4343+IF(K4344&gt;0,K4344*Summary!$B$9,K4344/Summary!$B$9)</f>
        <v/>
      </c>
      <c r="M4344" s="11">
        <f>G4344+H4344</f>
        <v/>
      </c>
      <c r="N4344" s="11">
        <f>Summary!$C$16*Summary!$B$8</f>
        <v/>
      </c>
      <c r="O4344" s="11">
        <f>M4344-N4344</f>
        <v/>
      </c>
    </row>
    <row r="4345">
      <c r="A4345" s="9" t="n">
        <v>45472.95833333334</v>
      </c>
      <c r="B4345" t="n">
        <v>6</v>
      </c>
      <c r="C4345" t="n">
        <v>29</v>
      </c>
      <c r="D4345" t="n">
        <v>23</v>
      </c>
      <c r="E4345" s="10" t="n">
        <v>0</v>
      </c>
      <c r="F4345" s="10" t="n">
        <v>0.274403441856826</v>
      </c>
      <c r="G4345" s="11">
        <f>E4345*Summary!$B$6</f>
        <v/>
      </c>
      <c r="H4345" s="11">
        <f>F4345*Summary!$B$7</f>
        <v/>
      </c>
      <c r="I4345" s="11">
        <f>MAX(0,N4345-M4345)</f>
        <v/>
      </c>
      <c r="J4345" s="11">
        <f>MAX(0,M4345-N4345)</f>
        <v/>
      </c>
      <c r="K4345" s="11">
        <f>O4345</f>
        <v/>
      </c>
      <c r="L4345" s="11">
        <f>L4344+IF(K4345&gt;0,K4345*Summary!$B$9,K4345/Summary!$B$9)</f>
        <v/>
      </c>
      <c r="M4345" s="11">
        <f>G4345+H4345</f>
        <v/>
      </c>
      <c r="N4345" s="11">
        <f>Summary!$C$16*Summary!$B$8</f>
        <v/>
      </c>
      <c r="O4345" s="11">
        <f>M4345-N4345</f>
        <v/>
      </c>
    </row>
    <row r="4346">
      <c r="A4346" s="9" t="n">
        <v>45473</v>
      </c>
      <c r="B4346" t="n">
        <v>6</v>
      </c>
      <c r="C4346" t="n">
        <v>30</v>
      </c>
      <c r="D4346" t="n">
        <v>0</v>
      </c>
      <c r="E4346" s="10" t="n">
        <v>0</v>
      </c>
      <c r="F4346" s="10" t="n">
        <v>0.295142470834193</v>
      </c>
      <c r="G4346" s="11">
        <f>E4346*Summary!$B$6</f>
        <v/>
      </c>
      <c r="H4346" s="11">
        <f>F4346*Summary!$B$7</f>
        <v/>
      </c>
      <c r="I4346" s="11">
        <f>MAX(0,N4346-M4346)</f>
        <v/>
      </c>
      <c r="J4346" s="11">
        <f>MAX(0,M4346-N4346)</f>
        <v/>
      </c>
      <c r="K4346" s="11">
        <f>O4346</f>
        <v/>
      </c>
      <c r="L4346" s="11">
        <f>L4345+IF(K4346&gt;0,K4346*Summary!$B$9,K4346/Summary!$B$9)</f>
        <v/>
      </c>
      <c r="M4346" s="11">
        <f>G4346+H4346</f>
        <v/>
      </c>
      <c r="N4346" s="11">
        <f>Summary!$C$16*Summary!$B$8</f>
        <v/>
      </c>
      <c r="O4346" s="11">
        <f>M4346-N4346</f>
        <v/>
      </c>
    </row>
    <row r="4347">
      <c r="A4347" s="9" t="n">
        <v>45473.04166666666</v>
      </c>
      <c r="B4347" t="n">
        <v>6</v>
      </c>
      <c r="C4347" t="n">
        <v>30</v>
      </c>
      <c r="D4347" t="n">
        <v>1</v>
      </c>
      <c r="E4347" s="10" t="n">
        <v>0</v>
      </c>
      <c r="F4347" s="10" t="n">
        <v>0.2762480822995397</v>
      </c>
      <c r="G4347" s="11">
        <f>E4347*Summary!$B$6</f>
        <v/>
      </c>
      <c r="H4347" s="11">
        <f>F4347*Summary!$B$7</f>
        <v/>
      </c>
      <c r="I4347" s="11">
        <f>MAX(0,N4347-M4347)</f>
        <v/>
      </c>
      <c r="J4347" s="11">
        <f>MAX(0,M4347-N4347)</f>
        <v/>
      </c>
      <c r="K4347" s="11">
        <f>O4347</f>
        <v/>
      </c>
      <c r="L4347" s="11">
        <f>L4346+IF(K4347&gt;0,K4347*Summary!$B$9,K4347/Summary!$B$9)</f>
        <v/>
      </c>
      <c r="M4347" s="11">
        <f>G4347+H4347</f>
        <v/>
      </c>
      <c r="N4347" s="11">
        <f>Summary!$C$16*Summary!$B$8</f>
        <v/>
      </c>
      <c r="O4347" s="11">
        <f>M4347-N4347</f>
        <v/>
      </c>
    </row>
    <row r="4348">
      <c r="A4348" s="9" t="n">
        <v>45473.08333333334</v>
      </c>
      <c r="B4348" t="n">
        <v>6</v>
      </c>
      <c r="C4348" t="n">
        <v>30</v>
      </c>
      <c r="D4348" t="n">
        <v>2</v>
      </c>
      <c r="E4348" s="10" t="n">
        <v>0</v>
      </c>
      <c r="F4348" s="10" t="n">
        <v>0.2721635213192451</v>
      </c>
      <c r="G4348" s="11">
        <f>E4348*Summary!$B$6</f>
        <v/>
      </c>
      <c r="H4348" s="11">
        <f>F4348*Summary!$B$7</f>
        <v/>
      </c>
      <c r="I4348" s="11">
        <f>MAX(0,N4348-M4348)</f>
        <v/>
      </c>
      <c r="J4348" s="11">
        <f>MAX(0,M4348-N4348)</f>
        <v/>
      </c>
      <c r="K4348" s="11">
        <f>O4348</f>
        <v/>
      </c>
      <c r="L4348" s="11">
        <f>L4347+IF(K4348&gt;0,K4348*Summary!$B$9,K4348/Summary!$B$9)</f>
        <v/>
      </c>
      <c r="M4348" s="11">
        <f>G4348+H4348</f>
        <v/>
      </c>
      <c r="N4348" s="11">
        <f>Summary!$C$16*Summary!$B$8</f>
        <v/>
      </c>
      <c r="O4348" s="11">
        <f>M4348-N4348</f>
        <v/>
      </c>
    </row>
    <row r="4349">
      <c r="A4349" s="9" t="n">
        <v>45473.125</v>
      </c>
      <c r="B4349" t="n">
        <v>6</v>
      </c>
      <c r="C4349" t="n">
        <v>30</v>
      </c>
      <c r="D4349" t="n">
        <v>3</v>
      </c>
      <c r="E4349" s="10" t="n">
        <v>0</v>
      </c>
      <c r="F4349" s="10" t="n">
        <v>0.2606740465617712</v>
      </c>
      <c r="G4349" s="11">
        <f>E4349*Summary!$B$6</f>
        <v/>
      </c>
      <c r="H4349" s="11">
        <f>F4349*Summary!$B$7</f>
        <v/>
      </c>
      <c r="I4349" s="11">
        <f>MAX(0,N4349-M4349)</f>
        <v/>
      </c>
      <c r="J4349" s="11">
        <f>MAX(0,M4349-N4349)</f>
        <v/>
      </c>
      <c r="K4349" s="11">
        <f>O4349</f>
        <v/>
      </c>
      <c r="L4349" s="11">
        <f>L4348+IF(K4349&gt;0,K4349*Summary!$B$9,K4349/Summary!$B$9)</f>
        <v/>
      </c>
      <c r="M4349" s="11">
        <f>G4349+H4349</f>
        <v/>
      </c>
      <c r="N4349" s="11">
        <f>Summary!$C$16*Summary!$B$8</f>
        <v/>
      </c>
      <c r="O4349" s="11">
        <f>M4349-N4349</f>
        <v/>
      </c>
    </row>
    <row r="4350">
      <c r="A4350" s="9" t="n">
        <v>45473.16666666666</v>
      </c>
      <c r="B4350" t="n">
        <v>6</v>
      </c>
      <c r="C4350" t="n">
        <v>30</v>
      </c>
      <c r="D4350" t="n">
        <v>4</v>
      </c>
      <c r="E4350" s="10" t="n">
        <v>0.012393</v>
      </c>
      <c r="F4350" s="10" t="n">
        <v>0.245284474868274</v>
      </c>
      <c r="G4350" s="11">
        <f>E4350*Summary!$B$6</f>
        <v/>
      </c>
      <c r="H4350" s="11">
        <f>F4350*Summary!$B$7</f>
        <v/>
      </c>
      <c r="I4350" s="11">
        <f>MAX(0,N4350-M4350)</f>
        <v/>
      </c>
      <c r="J4350" s="11">
        <f>MAX(0,M4350-N4350)</f>
        <v/>
      </c>
      <c r="K4350" s="11">
        <f>O4350</f>
        <v/>
      </c>
      <c r="L4350" s="11">
        <f>L4349+IF(K4350&gt;0,K4350*Summary!$B$9,K4350/Summary!$B$9)</f>
        <v/>
      </c>
      <c r="M4350" s="11">
        <f>G4350+H4350</f>
        <v/>
      </c>
      <c r="N4350" s="11">
        <f>Summary!$C$16*Summary!$B$8</f>
        <v/>
      </c>
      <c r="O4350" s="11">
        <f>M4350-N4350</f>
        <v/>
      </c>
    </row>
    <row r="4351">
      <c r="A4351" s="9" t="n">
        <v>45473.20833333334</v>
      </c>
      <c r="B4351" t="n">
        <v>6</v>
      </c>
      <c r="C4351" t="n">
        <v>30</v>
      </c>
      <c r="D4351" t="n">
        <v>5</v>
      </c>
      <c r="E4351" s="10" t="n">
        <v>0.03509</v>
      </c>
      <c r="F4351" s="10" t="n">
        <v>0.2262056222893493</v>
      </c>
      <c r="G4351" s="11">
        <f>E4351*Summary!$B$6</f>
        <v/>
      </c>
      <c r="H4351" s="11">
        <f>F4351*Summary!$B$7</f>
        <v/>
      </c>
      <c r="I4351" s="11">
        <f>MAX(0,N4351-M4351)</f>
        <v/>
      </c>
      <c r="J4351" s="11">
        <f>MAX(0,M4351-N4351)</f>
        <v/>
      </c>
      <c r="K4351" s="11">
        <f>O4351</f>
        <v/>
      </c>
      <c r="L4351" s="11">
        <f>L4350+IF(K4351&gt;0,K4351*Summary!$B$9,K4351/Summary!$B$9)</f>
        <v/>
      </c>
      <c r="M4351" s="11">
        <f>G4351+H4351</f>
        <v/>
      </c>
      <c r="N4351" s="11">
        <f>Summary!$C$16*Summary!$B$8</f>
        <v/>
      </c>
      <c r="O4351" s="11">
        <f>M4351-N4351</f>
        <v/>
      </c>
    </row>
    <row r="4352">
      <c r="A4352" s="9" t="n">
        <v>45473.25</v>
      </c>
      <c r="B4352" t="n">
        <v>6</v>
      </c>
      <c r="C4352" t="n">
        <v>30</v>
      </c>
      <c r="D4352" t="n">
        <v>6</v>
      </c>
      <c r="E4352" s="10" t="n">
        <v>0.037087</v>
      </c>
      <c r="F4352" s="10" t="n">
        <v>0.2130823231397575</v>
      </c>
      <c r="G4352" s="11">
        <f>E4352*Summary!$B$6</f>
        <v/>
      </c>
      <c r="H4352" s="11">
        <f>F4352*Summary!$B$7</f>
        <v/>
      </c>
      <c r="I4352" s="11">
        <f>MAX(0,N4352-M4352)</f>
        <v/>
      </c>
      <c r="J4352" s="11">
        <f>MAX(0,M4352-N4352)</f>
        <v/>
      </c>
      <c r="K4352" s="11">
        <f>O4352</f>
        <v/>
      </c>
      <c r="L4352" s="11">
        <f>L4351+IF(K4352&gt;0,K4352*Summary!$B$9,K4352/Summary!$B$9)</f>
        <v/>
      </c>
      <c r="M4352" s="11">
        <f>G4352+H4352</f>
        <v/>
      </c>
      <c r="N4352" s="11">
        <f>Summary!$C$16*Summary!$B$8</f>
        <v/>
      </c>
      <c r="O4352" s="11">
        <f>M4352-N4352</f>
        <v/>
      </c>
    </row>
    <row r="4353">
      <c r="A4353" s="9" t="n">
        <v>45473.29166666666</v>
      </c>
      <c r="B4353" t="n">
        <v>6</v>
      </c>
      <c r="C4353" t="n">
        <v>30</v>
      </c>
      <c r="D4353" t="n">
        <v>7</v>
      </c>
      <c r="E4353" s="10" t="n">
        <v>0.039438</v>
      </c>
      <c r="F4353" s="10" t="n">
        <v>0.206705137609233</v>
      </c>
      <c r="G4353" s="11">
        <f>E4353*Summary!$B$6</f>
        <v/>
      </c>
      <c r="H4353" s="11">
        <f>F4353*Summary!$B$7</f>
        <v/>
      </c>
      <c r="I4353" s="11">
        <f>MAX(0,N4353-M4353)</f>
        <v/>
      </c>
      <c r="J4353" s="11">
        <f>MAX(0,M4353-N4353)</f>
        <v/>
      </c>
      <c r="K4353" s="11">
        <f>O4353</f>
        <v/>
      </c>
      <c r="L4353" s="11">
        <f>L4352+IF(K4353&gt;0,K4353*Summary!$B$9,K4353/Summary!$B$9)</f>
        <v/>
      </c>
      <c r="M4353" s="11">
        <f>G4353+H4353</f>
        <v/>
      </c>
      <c r="N4353" s="11">
        <f>Summary!$C$16*Summary!$B$8</f>
        <v/>
      </c>
      <c r="O4353" s="11">
        <f>M4353-N4353</f>
        <v/>
      </c>
    </row>
    <row r="4354">
      <c r="A4354" s="9" t="n">
        <v>45473.33333333334</v>
      </c>
      <c r="B4354" t="n">
        <v>6</v>
      </c>
      <c r="C4354" t="n">
        <v>30</v>
      </c>
      <c r="D4354" t="n">
        <v>8</v>
      </c>
      <c r="E4354" s="10" t="n">
        <v>0.113109</v>
      </c>
      <c r="F4354" s="10" t="n">
        <v>0.2091558741974098</v>
      </c>
      <c r="G4354" s="11">
        <f>E4354*Summary!$B$6</f>
        <v/>
      </c>
      <c r="H4354" s="11">
        <f>F4354*Summary!$B$7</f>
        <v/>
      </c>
      <c r="I4354" s="11">
        <f>MAX(0,N4354-M4354)</f>
        <v/>
      </c>
      <c r="J4354" s="11">
        <f>MAX(0,M4354-N4354)</f>
        <v/>
      </c>
      <c r="K4354" s="11">
        <f>O4354</f>
        <v/>
      </c>
      <c r="L4354" s="11">
        <f>L4353+IF(K4354&gt;0,K4354*Summary!$B$9,K4354/Summary!$B$9)</f>
        <v/>
      </c>
      <c r="M4354" s="11">
        <f>G4354+H4354</f>
        <v/>
      </c>
      <c r="N4354" s="11">
        <f>Summary!$C$16*Summary!$B$8</f>
        <v/>
      </c>
      <c r="O4354" s="11">
        <f>M4354-N4354</f>
        <v/>
      </c>
    </row>
    <row r="4355">
      <c r="A4355" s="9" t="n">
        <v>45473.375</v>
      </c>
      <c r="B4355" t="n">
        <v>6</v>
      </c>
      <c r="C4355" t="n">
        <v>30</v>
      </c>
      <c r="D4355" t="n">
        <v>9</v>
      </c>
      <c r="E4355" s="10" t="n">
        <v>0.168689</v>
      </c>
      <c r="F4355" s="10" t="n">
        <v>0.2166398439935626</v>
      </c>
      <c r="G4355" s="11">
        <f>E4355*Summary!$B$6</f>
        <v/>
      </c>
      <c r="H4355" s="11">
        <f>F4355*Summary!$B$7</f>
        <v/>
      </c>
      <c r="I4355" s="11">
        <f>MAX(0,N4355-M4355)</f>
        <v/>
      </c>
      <c r="J4355" s="11">
        <f>MAX(0,M4355-N4355)</f>
        <v/>
      </c>
      <c r="K4355" s="11">
        <f>O4355</f>
        <v/>
      </c>
      <c r="L4355" s="11">
        <f>L4354+IF(K4355&gt;0,K4355*Summary!$B$9,K4355/Summary!$B$9)</f>
        <v/>
      </c>
      <c r="M4355" s="11">
        <f>G4355+H4355</f>
        <v/>
      </c>
      <c r="N4355" s="11">
        <f>Summary!$C$16*Summary!$B$8</f>
        <v/>
      </c>
      <c r="O4355" s="11">
        <f>M4355-N4355</f>
        <v/>
      </c>
    </row>
    <row r="4356">
      <c r="A4356" s="9" t="n">
        <v>45473.41666666666</v>
      </c>
      <c r="B4356" t="n">
        <v>6</v>
      </c>
      <c r="C4356" t="n">
        <v>30</v>
      </c>
      <c r="D4356" t="n">
        <v>10</v>
      </c>
      <c r="E4356" s="10" t="n">
        <v>0.185614</v>
      </c>
      <c r="F4356" s="10" t="n">
        <v>0.2247299099351784</v>
      </c>
      <c r="G4356" s="11">
        <f>E4356*Summary!$B$6</f>
        <v/>
      </c>
      <c r="H4356" s="11">
        <f>F4356*Summary!$B$7</f>
        <v/>
      </c>
      <c r="I4356" s="11">
        <f>MAX(0,N4356-M4356)</f>
        <v/>
      </c>
      <c r="J4356" s="11">
        <f>MAX(0,M4356-N4356)</f>
        <v/>
      </c>
      <c r="K4356" s="11">
        <f>O4356</f>
        <v/>
      </c>
      <c r="L4356" s="11">
        <f>L4355+IF(K4356&gt;0,K4356*Summary!$B$9,K4356/Summary!$B$9)</f>
        <v/>
      </c>
      <c r="M4356" s="11">
        <f>G4356+H4356</f>
        <v/>
      </c>
      <c r="N4356" s="11">
        <f>Summary!$C$16*Summary!$B$8</f>
        <v/>
      </c>
      <c r="O4356" s="11">
        <f>M4356-N4356</f>
        <v/>
      </c>
    </row>
    <row r="4357">
      <c r="A4357" s="9" t="n">
        <v>45473.45833333334</v>
      </c>
      <c r="B4357" t="n">
        <v>6</v>
      </c>
      <c r="C4357" t="n">
        <v>30</v>
      </c>
      <c r="D4357" t="n">
        <v>11</v>
      </c>
      <c r="E4357" s="10" t="n">
        <v>0.230904</v>
      </c>
      <c r="F4357" s="10" t="n">
        <v>0.2355605845345403</v>
      </c>
      <c r="G4357" s="11">
        <f>E4357*Summary!$B$6</f>
        <v/>
      </c>
      <c r="H4357" s="11">
        <f>F4357*Summary!$B$7</f>
        <v/>
      </c>
      <c r="I4357" s="11">
        <f>MAX(0,N4357-M4357)</f>
        <v/>
      </c>
      <c r="J4357" s="11">
        <f>MAX(0,M4357-N4357)</f>
        <v/>
      </c>
      <c r="K4357" s="11">
        <f>O4357</f>
        <v/>
      </c>
      <c r="L4357" s="11">
        <f>L4356+IF(K4357&gt;0,K4357*Summary!$B$9,K4357/Summary!$B$9)</f>
        <v/>
      </c>
      <c r="M4357" s="11">
        <f>G4357+H4357</f>
        <v/>
      </c>
      <c r="N4357" s="11">
        <f>Summary!$C$16*Summary!$B$8</f>
        <v/>
      </c>
      <c r="O4357" s="11">
        <f>M4357-N4357</f>
        <v/>
      </c>
    </row>
    <row r="4358">
      <c r="A4358" s="9" t="n">
        <v>45473.5</v>
      </c>
      <c r="B4358" t="n">
        <v>6</v>
      </c>
      <c r="C4358" t="n">
        <v>30</v>
      </c>
      <c r="D4358" t="n">
        <v>12</v>
      </c>
      <c r="E4358" s="10" t="n">
        <v>0.348619</v>
      </c>
      <c r="F4358" s="10" t="n">
        <v>0.2707932169903721</v>
      </c>
      <c r="G4358" s="11">
        <f>E4358*Summary!$B$6</f>
        <v/>
      </c>
      <c r="H4358" s="11">
        <f>F4358*Summary!$B$7</f>
        <v/>
      </c>
      <c r="I4358" s="11">
        <f>MAX(0,N4358-M4358)</f>
        <v/>
      </c>
      <c r="J4358" s="11">
        <f>MAX(0,M4358-N4358)</f>
        <v/>
      </c>
      <c r="K4358" s="11">
        <f>O4358</f>
        <v/>
      </c>
      <c r="L4358" s="11">
        <f>L4357+IF(K4358&gt;0,K4358*Summary!$B$9,K4358/Summary!$B$9)</f>
        <v/>
      </c>
      <c r="M4358" s="11">
        <f>G4358+H4358</f>
        <v/>
      </c>
      <c r="N4358" s="11">
        <f>Summary!$C$16*Summary!$B$8</f>
        <v/>
      </c>
      <c r="O4358" s="11">
        <f>M4358-N4358</f>
        <v/>
      </c>
    </row>
    <row r="4359">
      <c r="A4359" s="9" t="n">
        <v>45473.54166666666</v>
      </c>
      <c r="B4359" t="n">
        <v>6</v>
      </c>
      <c r="C4359" t="n">
        <v>30</v>
      </c>
      <c r="D4359" t="n">
        <v>13</v>
      </c>
      <c r="E4359" s="10" t="n">
        <v>0.383792</v>
      </c>
      <c r="F4359" s="10" t="n">
        <v>0.2713993131358352</v>
      </c>
      <c r="G4359" s="11">
        <f>E4359*Summary!$B$6</f>
        <v/>
      </c>
      <c r="H4359" s="11">
        <f>F4359*Summary!$B$7</f>
        <v/>
      </c>
      <c r="I4359" s="11">
        <f>MAX(0,N4359-M4359)</f>
        <v/>
      </c>
      <c r="J4359" s="11">
        <f>MAX(0,M4359-N4359)</f>
        <v/>
      </c>
      <c r="K4359" s="11">
        <f>O4359</f>
        <v/>
      </c>
      <c r="L4359" s="11">
        <f>L4358+IF(K4359&gt;0,K4359*Summary!$B$9,K4359/Summary!$B$9)</f>
        <v/>
      </c>
      <c r="M4359" s="11">
        <f>G4359+H4359</f>
        <v/>
      </c>
      <c r="N4359" s="11">
        <f>Summary!$C$16*Summary!$B$8</f>
        <v/>
      </c>
      <c r="O4359" s="11">
        <f>M4359-N4359</f>
        <v/>
      </c>
    </row>
    <row r="4360">
      <c r="A4360" s="9" t="n">
        <v>45473.58333333334</v>
      </c>
      <c r="B4360" t="n">
        <v>6</v>
      </c>
      <c r="C4360" t="n">
        <v>30</v>
      </c>
      <c r="D4360" t="n">
        <v>14</v>
      </c>
      <c r="E4360" s="10" t="n">
        <v>0.585207</v>
      </c>
      <c r="F4360" s="10" t="n">
        <v>0.2802535872608609</v>
      </c>
      <c r="G4360" s="11">
        <f>E4360*Summary!$B$6</f>
        <v/>
      </c>
      <c r="H4360" s="11">
        <f>F4360*Summary!$B$7</f>
        <v/>
      </c>
      <c r="I4360" s="11">
        <f>MAX(0,N4360-M4360)</f>
        <v/>
      </c>
      <c r="J4360" s="11">
        <f>MAX(0,M4360-N4360)</f>
        <v/>
      </c>
      <c r="K4360" s="11">
        <f>O4360</f>
        <v/>
      </c>
      <c r="L4360" s="11">
        <f>L4359+IF(K4360&gt;0,K4360*Summary!$B$9,K4360/Summary!$B$9)</f>
        <v/>
      </c>
      <c r="M4360" s="11">
        <f>G4360+H4360</f>
        <v/>
      </c>
      <c r="N4360" s="11">
        <f>Summary!$C$16*Summary!$B$8</f>
        <v/>
      </c>
      <c r="O4360" s="11">
        <f>M4360-N4360</f>
        <v/>
      </c>
    </row>
    <row r="4361">
      <c r="A4361" s="9" t="n">
        <v>45473.625</v>
      </c>
      <c r="B4361" t="n">
        <v>6</v>
      </c>
      <c r="C4361" t="n">
        <v>30</v>
      </c>
      <c r="D4361" t="n">
        <v>15</v>
      </c>
      <c r="E4361" s="10" t="n">
        <v>0.381646</v>
      </c>
      <c r="F4361" s="10" t="n">
        <v>0.3111644906794778</v>
      </c>
      <c r="G4361" s="11">
        <f>E4361*Summary!$B$6</f>
        <v/>
      </c>
      <c r="H4361" s="11">
        <f>F4361*Summary!$B$7</f>
        <v/>
      </c>
      <c r="I4361" s="11">
        <f>MAX(0,N4361-M4361)</f>
        <v/>
      </c>
      <c r="J4361" s="11">
        <f>MAX(0,M4361-N4361)</f>
        <v/>
      </c>
      <c r="K4361" s="11">
        <f>O4361</f>
        <v/>
      </c>
      <c r="L4361" s="11">
        <f>L4360+IF(K4361&gt;0,K4361*Summary!$B$9,K4361/Summary!$B$9)</f>
        <v/>
      </c>
      <c r="M4361" s="11">
        <f>G4361+H4361</f>
        <v/>
      </c>
      <c r="N4361" s="11">
        <f>Summary!$C$16*Summary!$B$8</f>
        <v/>
      </c>
      <c r="O4361" s="11">
        <f>M4361-N4361</f>
        <v/>
      </c>
    </row>
    <row r="4362">
      <c r="A4362" s="9" t="n">
        <v>45473.66666666666</v>
      </c>
      <c r="B4362" t="n">
        <v>6</v>
      </c>
      <c r="C4362" t="n">
        <v>30</v>
      </c>
      <c r="D4362" t="n">
        <v>16</v>
      </c>
      <c r="E4362" s="10" t="n">
        <v>0.175266</v>
      </c>
      <c r="F4362" s="10" t="n">
        <v>0.3125084430020263</v>
      </c>
      <c r="G4362" s="11">
        <f>E4362*Summary!$B$6</f>
        <v/>
      </c>
      <c r="H4362" s="11">
        <f>F4362*Summary!$B$7</f>
        <v/>
      </c>
      <c r="I4362" s="11">
        <f>MAX(0,N4362-M4362)</f>
        <v/>
      </c>
      <c r="J4362" s="11">
        <f>MAX(0,M4362-N4362)</f>
        <v/>
      </c>
      <c r="K4362" s="11">
        <f>O4362</f>
        <v/>
      </c>
      <c r="L4362" s="11">
        <f>L4361+IF(K4362&gt;0,K4362*Summary!$B$9,K4362/Summary!$B$9)</f>
        <v/>
      </c>
      <c r="M4362" s="11">
        <f>G4362+H4362</f>
        <v/>
      </c>
      <c r="N4362" s="11">
        <f>Summary!$C$16*Summary!$B$8</f>
        <v/>
      </c>
      <c r="O4362" s="11">
        <f>M4362-N4362</f>
        <v/>
      </c>
    </row>
    <row r="4363">
      <c r="A4363" s="9" t="n">
        <v>45473.70833333334</v>
      </c>
      <c r="B4363" t="n">
        <v>6</v>
      </c>
      <c r="C4363" t="n">
        <v>30</v>
      </c>
      <c r="D4363" t="n">
        <v>17</v>
      </c>
      <c r="E4363" s="10" t="n">
        <v>0.149211</v>
      </c>
      <c r="F4363" s="10" t="n">
        <v>0.2842590922221821</v>
      </c>
      <c r="G4363" s="11">
        <f>E4363*Summary!$B$6</f>
        <v/>
      </c>
      <c r="H4363" s="11">
        <f>F4363*Summary!$B$7</f>
        <v/>
      </c>
      <c r="I4363" s="11">
        <f>MAX(0,N4363-M4363)</f>
        <v/>
      </c>
      <c r="J4363" s="11">
        <f>MAX(0,M4363-N4363)</f>
        <v/>
      </c>
      <c r="K4363" s="11">
        <f>O4363</f>
        <v/>
      </c>
      <c r="L4363" s="11">
        <f>L4362+IF(K4363&gt;0,K4363*Summary!$B$9,K4363/Summary!$B$9)</f>
        <v/>
      </c>
      <c r="M4363" s="11">
        <f>G4363+H4363</f>
        <v/>
      </c>
      <c r="N4363" s="11">
        <f>Summary!$C$16*Summary!$B$8</f>
        <v/>
      </c>
      <c r="O4363" s="11">
        <f>M4363-N4363</f>
        <v/>
      </c>
    </row>
    <row r="4364">
      <c r="A4364" s="9" t="n">
        <v>45473.75</v>
      </c>
      <c r="B4364" t="n">
        <v>6</v>
      </c>
      <c r="C4364" t="n">
        <v>30</v>
      </c>
      <c r="D4364" t="n">
        <v>18</v>
      </c>
      <c r="E4364" s="10" t="n">
        <v>0.082772</v>
      </c>
      <c r="F4364" s="10" t="n">
        <v>0.2786197628687431</v>
      </c>
      <c r="G4364" s="11">
        <f>E4364*Summary!$B$6</f>
        <v/>
      </c>
      <c r="H4364" s="11">
        <f>F4364*Summary!$B$7</f>
        <v/>
      </c>
      <c r="I4364" s="11">
        <f>MAX(0,N4364-M4364)</f>
        <v/>
      </c>
      <c r="J4364" s="11">
        <f>MAX(0,M4364-N4364)</f>
        <v/>
      </c>
      <c r="K4364" s="11">
        <f>O4364</f>
        <v/>
      </c>
      <c r="L4364" s="11">
        <f>L4363+IF(K4364&gt;0,K4364*Summary!$B$9,K4364/Summary!$B$9)</f>
        <v/>
      </c>
      <c r="M4364" s="11">
        <f>G4364+H4364</f>
        <v/>
      </c>
      <c r="N4364" s="11">
        <f>Summary!$C$16*Summary!$B$8</f>
        <v/>
      </c>
      <c r="O4364" s="11">
        <f>M4364-N4364</f>
        <v/>
      </c>
    </row>
    <row r="4365">
      <c r="A4365" s="9" t="n">
        <v>45473.79166666666</v>
      </c>
      <c r="B4365" t="n">
        <v>6</v>
      </c>
      <c r="C4365" t="n">
        <v>30</v>
      </c>
      <c r="D4365" t="n">
        <v>19</v>
      </c>
      <c r="E4365" s="10" t="n">
        <v>0.036582</v>
      </c>
      <c r="F4365" s="10" t="n">
        <v>0.2687904645097115</v>
      </c>
      <c r="G4365" s="11">
        <f>E4365*Summary!$B$6</f>
        <v/>
      </c>
      <c r="H4365" s="11">
        <f>F4365*Summary!$B$7</f>
        <v/>
      </c>
      <c r="I4365" s="11">
        <f>MAX(0,N4365-M4365)</f>
        <v/>
      </c>
      <c r="J4365" s="11">
        <f>MAX(0,M4365-N4365)</f>
        <v/>
      </c>
      <c r="K4365" s="11">
        <f>O4365</f>
        <v/>
      </c>
      <c r="L4365" s="11">
        <f>L4364+IF(K4365&gt;0,K4365*Summary!$B$9,K4365/Summary!$B$9)</f>
        <v/>
      </c>
      <c r="M4365" s="11">
        <f>G4365+H4365</f>
        <v/>
      </c>
      <c r="N4365" s="11">
        <f>Summary!$C$16*Summary!$B$8</f>
        <v/>
      </c>
      <c r="O4365" s="11">
        <f>M4365-N4365</f>
        <v/>
      </c>
    </row>
    <row r="4366">
      <c r="A4366" s="9" t="n">
        <v>45473.83333333334</v>
      </c>
      <c r="B4366" t="n">
        <v>6</v>
      </c>
      <c r="C4366" t="n">
        <v>30</v>
      </c>
      <c r="D4366" t="n">
        <v>20</v>
      </c>
      <c r="E4366" s="10" t="n">
        <v>0.004909</v>
      </c>
      <c r="F4366" s="10" t="n">
        <v>0.2686060004654401</v>
      </c>
      <c r="G4366" s="11">
        <f>E4366*Summary!$B$6</f>
        <v/>
      </c>
      <c r="H4366" s="11">
        <f>F4366*Summary!$B$7</f>
        <v/>
      </c>
      <c r="I4366" s="11">
        <f>MAX(0,N4366-M4366)</f>
        <v/>
      </c>
      <c r="J4366" s="11">
        <f>MAX(0,M4366-N4366)</f>
        <v/>
      </c>
      <c r="K4366" s="11">
        <f>O4366</f>
        <v/>
      </c>
      <c r="L4366" s="11">
        <f>L4365+IF(K4366&gt;0,K4366*Summary!$B$9,K4366/Summary!$B$9)</f>
        <v/>
      </c>
      <c r="M4366" s="11">
        <f>G4366+H4366</f>
        <v/>
      </c>
      <c r="N4366" s="11">
        <f>Summary!$C$16*Summary!$B$8</f>
        <v/>
      </c>
      <c r="O4366" s="11">
        <f>M4366-N4366</f>
        <v/>
      </c>
    </row>
    <row r="4367">
      <c r="A4367" s="9" t="n">
        <v>45473.875</v>
      </c>
      <c r="B4367" t="n">
        <v>6</v>
      </c>
      <c r="C4367" t="n">
        <v>30</v>
      </c>
      <c r="D4367" t="n">
        <v>21</v>
      </c>
      <c r="E4367" s="10" t="n">
        <v>0</v>
      </c>
      <c r="F4367" s="10" t="n">
        <v>0.2795420830900999</v>
      </c>
      <c r="G4367" s="11">
        <f>E4367*Summary!$B$6</f>
        <v/>
      </c>
      <c r="H4367" s="11">
        <f>F4367*Summary!$B$7</f>
        <v/>
      </c>
      <c r="I4367" s="11">
        <f>MAX(0,N4367-M4367)</f>
        <v/>
      </c>
      <c r="J4367" s="11">
        <f>MAX(0,M4367-N4367)</f>
        <v/>
      </c>
      <c r="K4367" s="11">
        <f>O4367</f>
        <v/>
      </c>
      <c r="L4367" s="11">
        <f>L4366+IF(K4367&gt;0,K4367*Summary!$B$9,K4367/Summary!$B$9)</f>
        <v/>
      </c>
      <c r="M4367" s="11">
        <f>G4367+H4367</f>
        <v/>
      </c>
      <c r="N4367" s="11">
        <f>Summary!$C$16*Summary!$B$8</f>
        <v/>
      </c>
      <c r="O4367" s="11">
        <f>M4367-N4367</f>
        <v/>
      </c>
    </row>
    <row r="4368">
      <c r="A4368" s="9" t="n">
        <v>45473.91666666666</v>
      </c>
      <c r="B4368" t="n">
        <v>6</v>
      </c>
      <c r="C4368" t="n">
        <v>30</v>
      </c>
      <c r="D4368" t="n">
        <v>22</v>
      </c>
      <c r="E4368" s="10" t="n">
        <v>0</v>
      </c>
      <c r="F4368" s="10" t="n">
        <v>0.2875794450190668</v>
      </c>
      <c r="G4368" s="11">
        <f>E4368*Summary!$B$6</f>
        <v/>
      </c>
      <c r="H4368" s="11">
        <f>F4368*Summary!$B$7</f>
        <v/>
      </c>
      <c r="I4368" s="11">
        <f>MAX(0,N4368-M4368)</f>
        <v/>
      </c>
      <c r="J4368" s="11">
        <f>MAX(0,M4368-N4368)</f>
        <v/>
      </c>
      <c r="K4368" s="11">
        <f>O4368</f>
        <v/>
      </c>
      <c r="L4368" s="11">
        <f>L4367+IF(K4368&gt;0,K4368*Summary!$B$9,K4368/Summary!$B$9)</f>
        <v/>
      </c>
      <c r="M4368" s="11">
        <f>G4368+H4368</f>
        <v/>
      </c>
      <c r="N4368" s="11">
        <f>Summary!$C$16*Summary!$B$8</f>
        <v/>
      </c>
      <c r="O4368" s="11">
        <f>M4368-N4368</f>
        <v/>
      </c>
    </row>
    <row r="4369">
      <c r="A4369" s="9" t="n">
        <v>45473.95833333334</v>
      </c>
      <c r="B4369" t="n">
        <v>6</v>
      </c>
      <c r="C4369" t="n">
        <v>30</v>
      </c>
      <c r="D4369" t="n">
        <v>23</v>
      </c>
      <c r="E4369" s="10" t="n">
        <v>0</v>
      </c>
      <c r="F4369" s="10" t="n">
        <v>0.2952478788594909</v>
      </c>
      <c r="G4369" s="11">
        <f>E4369*Summary!$B$6</f>
        <v/>
      </c>
      <c r="H4369" s="11">
        <f>F4369*Summary!$B$7</f>
        <v/>
      </c>
      <c r="I4369" s="11">
        <f>MAX(0,N4369-M4369)</f>
        <v/>
      </c>
      <c r="J4369" s="11">
        <f>MAX(0,M4369-N4369)</f>
        <v/>
      </c>
      <c r="K4369" s="11">
        <f>O4369</f>
        <v/>
      </c>
      <c r="L4369" s="11">
        <f>L4368+IF(K4369&gt;0,K4369*Summary!$B$9,K4369/Summary!$B$9)</f>
        <v/>
      </c>
      <c r="M4369" s="11">
        <f>G4369+H4369</f>
        <v/>
      </c>
      <c r="N4369" s="11">
        <f>Summary!$C$16*Summary!$B$8</f>
        <v/>
      </c>
      <c r="O4369" s="11">
        <f>M4369-N4369</f>
        <v/>
      </c>
    </row>
    <row r="4370">
      <c r="A4370" s="9" t="n">
        <v>45474</v>
      </c>
      <c r="B4370" t="n">
        <v>7</v>
      </c>
      <c r="C4370" t="n">
        <v>1</v>
      </c>
      <c r="D4370" t="n">
        <v>0</v>
      </c>
      <c r="E4370" s="10" t="n">
        <v>0</v>
      </c>
      <c r="F4370" s="10" t="n">
        <v>0.2595936143024674</v>
      </c>
      <c r="G4370" s="11">
        <f>E4370*Summary!$B$6</f>
        <v/>
      </c>
      <c r="H4370" s="11">
        <f>F4370*Summary!$B$7</f>
        <v/>
      </c>
      <c r="I4370" s="11">
        <f>MAX(0,N4370-M4370)</f>
        <v/>
      </c>
      <c r="J4370" s="11">
        <f>MAX(0,M4370-N4370)</f>
        <v/>
      </c>
      <c r="K4370" s="11">
        <f>O4370</f>
        <v/>
      </c>
      <c r="L4370" s="11">
        <f>L4369+IF(K4370&gt;0,K4370*Summary!$B$9,K4370/Summary!$B$9)</f>
        <v/>
      </c>
      <c r="M4370" s="11">
        <f>G4370+H4370</f>
        <v/>
      </c>
      <c r="N4370" s="11">
        <f>Summary!$C$16*Summary!$B$8</f>
        <v/>
      </c>
      <c r="O4370" s="11">
        <f>M4370-N4370</f>
        <v/>
      </c>
    </row>
    <row r="4371">
      <c r="A4371" s="9" t="n">
        <v>45474.04166666666</v>
      </c>
      <c r="B4371" t="n">
        <v>7</v>
      </c>
      <c r="C4371" t="n">
        <v>1</v>
      </c>
      <c r="D4371" t="n">
        <v>1</v>
      </c>
      <c r="E4371" s="10" t="n">
        <v>0</v>
      </c>
      <c r="F4371" s="10" t="n">
        <v>0.2909525018286004</v>
      </c>
      <c r="G4371" s="11">
        <f>E4371*Summary!$B$6</f>
        <v/>
      </c>
      <c r="H4371" s="11">
        <f>F4371*Summary!$B$7</f>
        <v/>
      </c>
      <c r="I4371" s="11">
        <f>MAX(0,N4371-M4371)</f>
        <v/>
      </c>
      <c r="J4371" s="11">
        <f>MAX(0,M4371-N4371)</f>
        <v/>
      </c>
      <c r="K4371" s="11">
        <f>O4371</f>
        <v/>
      </c>
      <c r="L4371" s="11">
        <f>L4370+IF(K4371&gt;0,K4371*Summary!$B$9,K4371/Summary!$B$9)</f>
        <v/>
      </c>
      <c r="M4371" s="11">
        <f>G4371+H4371</f>
        <v/>
      </c>
      <c r="N4371" s="11">
        <f>Summary!$C$16*Summary!$B$8</f>
        <v/>
      </c>
      <c r="O4371" s="11">
        <f>M4371-N4371</f>
        <v/>
      </c>
    </row>
    <row r="4372">
      <c r="A4372" s="9" t="n">
        <v>45474.08333333334</v>
      </c>
      <c r="B4372" t="n">
        <v>7</v>
      </c>
      <c r="C4372" t="n">
        <v>1</v>
      </c>
      <c r="D4372" t="n">
        <v>2</v>
      </c>
      <c r="E4372" s="10" t="n">
        <v>0</v>
      </c>
      <c r="F4372" s="10" t="n">
        <v>0.2856030445447307</v>
      </c>
      <c r="G4372" s="11">
        <f>E4372*Summary!$B$6</f>
        <v/>
      </c>
      <c r="H4372" s="11">
        <f>F4372*Summary!$B$7</f>
        <v/>
      </c>
      <c r="I4372" s="11">
        <f>MAX(0,N4372-M4372)</f>
        <v/>
      </c>
      <c r="J4372" s="11">
        <f>MAX(0,M4372-N4372)</f>
        <v/>
      </c>
      <c r="K4372" s="11">
        <f>O4372</f>
        <v/>
      </c>
      <c r="L4372" s="11">
        <f>L4371+IF(K4372&gt;0,K4372*Summary!$B$9,K4372/Summary!$B$9)</f>
        <v/>
      </c>
      <c r="M4372" s="11">
        <f>G4372+H4372</f>
        <v/>
      </c>
      <c r="N4372" s="11">
        <f>Summary!$C$16*Summary!$B$8</f>
        <v/>
      </c>
      <c r="O4372" s="11">
        <f>M4372-N4372</f>
        <v/>
      </c>
    </row>
    <row r="4373">
      <c r="A4373" s="9" t="n">
        <v>45474.125</v>
      </c>
      <c r="B4373" t="n">
        <v>7</v>
      </c>
      <c r="C4373" t="n">
        <v>1</v>
      </c>
      <c r="D4373" t="n">
        <v>3</v>
      </c>
      <c r="E4373" s="10" t="n">
        <v>0</v>
      </c>
      <c r="F4373" s="10" t="n">
        <v>0.2798583071659937</v>
      </c>
      <c r="G4373" s="11">
        <f>E4373*Summary!$B$6</f>
        <v/>
      </c>
      <c r="H4373" s="11">
        <f>F4373*Summary!$B$7</f>
        <v/>
      </c>
      <c r="I4373" s="11">
        <f>MAX(0,N4373-M4373)</f>
        <v/>
      </c>
      <c r="J4373" s="11">
        <f>MAX(0,M4373-N4373)</f>
        <v/>
      </c>
      <c r="K4373" s="11">
        <f>O4373</f>
        <v/>
      </c>
      <c r="L4373" s="11">
        <f>L4372+IF(K4373&gt;0,K4373*Summary!$B$9,K4373/Summary!$B$9)</f>
        <v/>
      </c>
      <c r="M4373" s="11">
        <f>G4373+H4373</f>
        <v/>
      </c>
      <c r="N4373" s="11">
        <f>Summary!$C$16*Summary!$B$8</f>
        <v/>
      </c>
      <c r="O4373" s="11">
        <f>M4373-N4373</f>
        <v/>
      </c>
    </row>
    <row r="4374">
      <c r="A4374" s="9" t="n">
        <v>45474.16666666666</v>
      </c>
      <c r="B4374" t="n">
        <v>7</v>
      </c>
      <c r="C4374" t="n">
        <v>1</v>
      </c>
      <c r="D4374" t="n">
        <v>4</v>
      </c>
      <c r="E4374" s="10" t="n">
        <v>0.013224</v>
      </c>
      <c r="F4374" s="10" t="n">
        <v>0.2654964637191513</v>
      </c>
      <c r="G4374" s="11">
        <f>E4374*Summary!$B$6</f>
        <v/>
      </c>
      <c r="H4374" s="11">
        <f>F4374*Summary!$B$7</f>
        <v/>
      </c>
      <c r="I4374" s="11">
        <f>MAX(0,N4374-M4374)</f>
        <v/>
      </c>
      <c r="J4374" s="11">
        <f>MAX(0,M4374-N4374)</f>
        <v/>
      </c>
      <c r="K4374" s="11">
        <f>O4374</f>
        <v/>
      </c>
      <c r="L4374" s="11">
        <f>L4373+IF(K4374&gt;0,K4374*Summary!$B$9,K4374/Summary!$B$9)</f>
        <v/>
      </c>
      <c r="M4374" s="11">
        <f>G4374+H4374</f>
        <v/>
      </c>
      <c r="N4374" s="11">
        <f>Summary!$C$16*Summary!$B$8</f>
        <v/>
      </c>
      <c r="O4374" s="11">
        <f>M4374-N4374</f>
        <v/>
      </c>
    </row>
    <row r="4375">
      <c r="A4375" s="9" t="n">
        <v>45474.20833333334</v>
      </c>
      <c r="B4375" t="n">
        <v>7</v>
      </c>
      <c r="C4375" t="n">
        <v>1</v>
      </c>
      <c r="D4375" t="n">
        <v>5</v>
      </c>
      <c r="E4375" s="10" t="n">
        <v>0.011227</v>
      </c>
      <c r="F4375" s="10" t="n">
        <v>0.2447310827354598</v>
      </c>
      <c r="G4375" s="11">
        <f>E4375*Summary!$B$6</f>
        <v/>
      </c>
      <c r="H4375" s="11">
        <f>F4375*Summary!$B$7</f>
        <v/>
      </c>
      <c r="I4375" s="11">
        <f>MAX(0,N4375-M4375)</f>
        <v/>
      </c>
      <c r="J4375" s="11">
        <f>MAX(0,M4375-N4375)</f>
        <v/>
      </c>
      <c r="K4375" s="11">
        <f>O4375</f>
        <v/>
      </c>
      <c r="L4375" s="11">
        <f>L4374+IF(K4375&gt;0,K4375*Summary!$B$9,K4375/Summary!$B$9)</f>
        <v/>
      </c>
      <c r="M4375" s="11">
        <f>G4375+H4375</f>
        <v/>
      </c>
      <c r="N4375" s="11">
        <f>Summary!$C$16*Summary!$B$8</f>
        <v/>
      </c>
      <c r="O4375" s="11">
        <f>M4375-N4375</f>
        <v/>
      </c>
    </row>
    <row r="4376">
      <c r="A4376" s="9" t="n">
        <v>45474.25</v>
      </c>
      <c r="B4376" t="n">
        <v>7</v>
      </c>
      <c r="C4376" t="n">
        <v>1</v>
      </c>
      <c r="D4376" t="n">
        <v>6</v>
      </c>
      <c r="E4376" s="10" t="n">
        <v>0.06791</v>
      </c>
      <c r="F4376" s="10" t="n">
        <v>0.2281820227636855</v>
      </c>
      <c r="G4376" s="11">
        <f>E4376*Summary!$B$6</f>
        <v/>
      </c>
      <c r="H4376" s="11">
        <f>F4376*Summary!$B$7</f>
        <v/>
      </c>
      <c r="I4376" s="11">
        <f>MAX(0,N4376-M4376)</f>
        <v/>
      </c>
      <c r="J4376" s="11">
        <f>MAX(0,M4376-N4376)</f>
        <v/>
      </c>
      <c r="K4376" s="11">
        <f>O4376</f>
        <v/>
      </c>
      <c r="L4376" s="11">
        <f>L4375+IF(K4376&gt;0,K4376*Summary!$B$9,K4376/Summary!$B$9)</f>
        <v/>
      </c>
      <c r="M4376" s="11">
        <f>G4376+H4376</f>
        <v/>
      </c>
      <c r="N4376" s="11">
        <f>Summary!$C$16*Summary!$B$8</f>
        <v/>
      </c>
      <c r="O4376" s="11">
        <f>M4376-N4376</f>
        <v/>
      </c>
    </row>
    <row r="4377">
      <c r="A4377" s="9" t="n">
        <v>45474.29166666666</v>
      </c>
      <c r="B4377" t="n">
        <v>7</v>
      </c>
      <c r="C4377" t="n">
        <v>1</v>
      </c>
      <c r="D4377" t="n">
        <v>7</v>
      </c>
      <c r="E4377" s="10" t="n">
        <v>0.231507</v>
      </c>
      <c r="F4377" s="10" t="n">
        <v>0.2214886131572671</v>
      </c>
      <c r="G4377" s="11">
        <f>E4377*Summary!$B$6</f>
        <v/>
      </c>
      <c r="H4377" s="11">
        <f>F4377*Summary!$B$7</f>
        <v/>
      </c>
      <c r="I4377" s="11">
        <f>MAX(0,N4377-M4377)</f>
        <v/>
      </c>
      <c r="J4377" s="11">
        <f>MAX(0,M4377-N4377)</f>
        <v/>
      </c>
      <c r="K4377" s="11">
        <f>O4377</f>
        <v/>
      </c>
      <c r="L4377" s="11">
        <f>L4376+IF(K4377&gt;0,K4377*Summary!$B$9,K4377/Summary!$B$9)</f>
        <v/>
      </c>
      <c r="M4377" s="11">
        <f>G4377+H4377</f>
        <v/>
      </c>
      <c r="N4377" s="11">
        <f>Summary!$C$16*Summary!$B$8</f>
        <v/>
      </c>
      <c r="O4377" s="11">
        <f>M4377-N4377</f>
        <v/>
      </c>
    </row>
    <row r="4378">
      <c r="A4378" s="9" t="n">
        <v>45474.33333333334</v>
      </c>
      <c r="B4378" t="n">
        <v>7</v>
      </c>
      <c r="C4378" t="n">
        <v>1</v>
      </c>
      <c r="D4378" t="n">
        <v>8</v>
      </c>
      <c r="E4378" s="10" t="n">
        <v>0.52747</v>
      </c>
      <c r="F4378" s="10" t="n">
        <v>0.2308435754024581</v>
      </c>
      <c r="G4378" s="11">
        <f>E4378*Summary!$B$6</f>
        <v/>
      </c>
      <c r="H4378" s="11">
        <f>F4378*Summary!$B$7</f>
        <v/>
      </c>
      <c r="I4378" s="11">
        <f>MAX(0,N4378-M4378)</f>
        <v/>
      </c>
      <c r="J4378" s="11">
        <f>MAX(0,M4378-N4378)</f>
        <v/>
      </c>
      <c r="K4378" s="11">
        <f>O4378</f>
        <v/>
      </c>
      <c r="L4378" s="11">
        <f>L4377+IF(K4378&gt;0,K4378*Summary!$B$9,K4378/Summary!$B$9)</f>
        <v/>
      </c>
      <c r="M4378" s="11">
        <f>G4378+H4378</f>
        <v/>
      </c>
      <c r="N4378" s="11">
        <f>Summary!$C$16*Summary!$B$8</f>
        <v/>
      </c>
      <c r="O4378" s="11">
        <f>M4378-N4378</f>
        <v/>
      </c>
    </row>
    <row r="4379">
      <c r="A4379" s="9" t="n">
        <v>45474.375</v>
      </c>
      <c r="B4379" t="n">
        <v>7</v>
      </c>
      <c r="C4379" t="n">
        <v>1</v>
      </c>
      <c r="D4379" t="n">
        <v>9</v>
      </c>
      <c r="E4379" s="10" t="n">
        <v>0.524384</v>
      </c>
      <c r="F4379" s="10" t="n">
        <v>0.2476561554374773</v>
      </c>
      <c r="G4379" s="11">
        <f>E4379*Summary!$B$6</f>
        <v/>
      </c>
      <c r="H4379" s="11">
        <f>F4379*Summary!$B$7</f>
        <v/>
      </c>
      <c r="I4379" s="11">
        <f>MAX(0,N4379-M4379)</f>
        <v/>
      </c>
      <c r="J4379" s="11">
        <f>MAX(0,M4379-N4379)</f>
        <v/>
      </c>
      <c r="K4379" s="11">
        <f>O4379</f>
        <v/>
      </c>
      <c r="L4379" s="11">
        <f>L4378+IF(K4379&gt;0,K4379*Summary!$B$9,K4379/Summary!$B$9)</f>
        <v/>
      </c>
      <c r="M4379" s="11">
        <f>G4379+H4379</f>
        <v/>
      </c>
      <c r="N4379" s="11">
        <f>Summary!$C$16*Summary!$B$8</f>
        <v/>
      </c>
      <c r="O4379" s="11">
        <f>M4379-N4379</f>
        <v/>
      </c>
    </row>
    <row r="4380">
      <c r="A4380" s="9" t="n">
        <v>45474.41666666666</v>
      </c>
      <c r="B4380" t="n">
        <v>7</v>
      </c>
      <c r="C4380" t="n">
        <v>1</v>
      </c>
      <c r="D4380" t="n">
        <v>10</v>
      </c>
      <c r="E4380" s="10" t="n">
        <v>0.47095</v>
      </c>
      <c r="F4380" s="10" t="n">
        <v>0.2611483826756118</v>
      </c>
      <c r="G4380" s="11">
        <f>E4380*Summary!$B$6</f>
        <v/>
      </c>
      <c r="H4380" s="11">
        <f>F4380*Summary!$B$7</f>
        <v/>
      </c>
      <c r="I4380" s="11">
        <f>MAX(0,N4380-M4380)</f>
        <v/>
      </c>
      <c r="J4380" s="11">
        <f>MAX(0,M4380-N4380)</f>
        <v/>
      </c>
      <c r="K4380" s="11">
        <f>O4380</f>
        <v/>
      </c>
      <c r="L4380" s="11">
        <f>L4379+IF(K4380&gt;0,K4380*Summary!$B$9,K4380/Summary!$B$9)</f>
        <v/>
      </c>
      <c r="M4380" s="11">
        <f>G4380+H4380</f>
        <v/>
      </c>
      <c r="N4380" s="11">
        <f>Summary!$C$16*Summary!$B$8</f>
        <v/>
      </c>
      <c r="O4380" s="11">
        <f>M4380-N4380</f>
        <v/>
      </c>
    </row>
    <row r="4381">
      <c r="A4381" s="9" t="n">
        <v>45474.45833333334</v>
      </c>
      <c r="B4381" t="n">
        <v>7</v>
      </c>
      <c r="C4381" t="n">
        <v>1</v>
      </c>
      <c r="D4381" t="n">
        <v>11</v>
      </c>
      <c r="E4381" s="10" t="n">
        <v>0.746228</v>
      </c>
      <c r="F4381" s="10" t="n">
        <v>0.2713466091231862</v>
      </c>
      <c r="G4381" s="11">
        <f>E4381*Summary!$B$6</f>
        <v/>
      </c>
      <c r="H4381" s="11">
        <f>F4381*Summary!$B$7</f>
        <v/>
      </c>
      <c r="I4381" s="11">
        <f>MAX(0,N4381-M4381)</f>
        <v/>
      </c>
      <c r="J4381" s="11">
        <f>MAX(0,M4381-N4381)</f>
        <v/>
      </c>
      <c r="K4381" s="11">
        <f>O4381</f>
        <v/>
      </c>
      <c r="L4381" s="11">
        <f>L4380+IF(K4381&gt;0,K4381*Summary!$B$9,K4381/Summary!$B$9)</f>
        <v/>
      </c>
      <c r="M4381" s="11">
        <f>G4381+H4381</f>
        <v/>
      </c>
      <c r="N4381" s="11">
        <f>Summary!$C$16*Summary!$B$8</f>
        <v/>
      </c>
      <c r="O4381" s="11">
        <f>M4381-N4381</f>
        <v/>
      </c>
    </row>
    <row r="4382">
      <c r="A4382" s="9" t="n">
        <v>45474.5</v>
      </c>
      <c r="B4382" t="n">
        <v>7</v>
      </c>
      <c r="C4382" t="n">
        <v>1</v>
      </c>
      <c r="D4382" t="n">
        <v>12</v>
      </c>
      <c r="E4382" s="10" t="n">
        <v>0.6497309999999999</v>
      </c>
      <c r="F4382" s="10" t="n">
        <v>0.2790677469762592</v>
      </c>
      <c r="G4382" s="11">
        <f>E4382*Summary!$B$6</f>
        <v/>
      </c>
      <c r="H4382" s="11">
        <f>F4382*Summary!$B$7</f>
        <v/>
      </c>
      <c r="I4382" s="11">
        <f>MAX(0,N4382-M4382)</f>
        <v/>
      </c>
      <c r="J4382" s="11">
        <f>MAX(0,M4382-N4382)</f>
        <v/>
      </c>
      <c r="K4382" s="11">
        <f>O4382</f>
        <v/>
      </c>
      <c r="L4382" s="11">
        <f>L4381+IF(K4382&gt;0,K4382*Summary!$B$9,K4382/Summary!$B$9)</f>
        <v/>
      </c>
      <c r="M4382" s="11">
        <f>G4382+H4382</f>
        <v/>
      </c>
      <c r="N4382" s="11">
        <f>Summary!$C$16*Summary!$B$8</f>
        <v/>
      </c>
      <c r="O4382" s="11">
        <f>M4382-N4382</f>
        <v/>
      </c>
    </row>
    <row r="4383">
      <c r="A4383" s="9" t="n">
        <v>45474.54166666666</v>
      </c>
      <c r="B4383" t="n">
        <v>7</v>
      </c>
      <c r="C4383" t="n">
        <v>1</v>
      </c>
      <c r="D4383" t="n">
        <v>13</v>
      </c>
      <c r="E4383" s="10" t="n">
        <v>0.728745</v>
      </c>
      <c r="F4383" s="10" t="n">
        <v>0.2843645002474801</v>
      </c>
      <c r="G4383" s="11">
        <f>E4383*Summary!$B$6</f>
        <v/>
      </c>
      <c r="H4383" s="11">
        <f>F4383*Summary!$B$7</f>
        <v/>
      </c>
      <c r="I4383" s="11">
        <f>MAX(0,N4383-M4383)</f>
        <v/>
      </c>
      <c r="J4383" s="11">
        <f>MAX(0,M4383-N4383)</f>
        <v/>
      </c>
      <c r="K4383" s="11">
        <f>O4383</f>
        <v/>
      </c>
      <c r="L4383" s="11">
        <f>L4382+IF(K4383&gt;0,K4383*Summary!$B$9,K4383/Summary!$B$9)</f>
        <v/>
      </c>
      <c r="M4383" s="11">
        <f>G4383+H4383</f>
        <v/>
      </c>
      <c r="N4383" s="11">
        <f>Summary!$C$16*Summary!$B$8</f>
        <v/>
      </c>
      <c r="O4383" s="11">
        <f>M4383-N4383</f>
        <v/>
      </c>
    </row>
    <row r="4384">
      <c r="A4384" s="9" t="n">
        <v>45474.58333333334</v>
      </c>
      <c r="B4384" t="n">
        <v>7</v>
      </c>
      <c r="C4384" t="n">
        <v>1</v>
      </c>
      <c r="D4384" t="n">
        <v>14</v>
      </c>
      <c r="E4384" s="10" t="n">
        <v>0.255904</v>
      </c>
      <c r="F4384" s="10" t="n">
        <v>0.2889233973416154</v>
      </c>
      <c r="G4384" s="11">
        <f>E4384*Summary!$B$6</f>
        <v/>
      </c>
      <c r="H4384" s="11">
        <f>F4384*Summary!$B$7</f>
        <v/>
      </c>
      <c r="I4384" s="11">
        <f>MAX(0,N4384-M4384)</f>
        <v/>
      </c>
      <c r="J4384" s="11">
        <f>MAX(0,M4384-N4384)</f>
        <v/>
      </c>
      <c r="K4384" s="11">
        <f>O4384</f>
        <v/>
      </c>
      <c r="L4384" s="11">
        <f>L4383+IF(K4384&gt;0,K4384*Summary!$B$9,K4384/Summary!$B$9)</f>
        <v/>
      </c>
      <c r="M4384" s="11">
        <f>G4384+H4384</f>
        <v/>
      </c>
      <c r="N4384" s="11">
        <f>Summary!$C$16*Summary!$B$8</f>
        <v/>
      </c>
      <c r="O4384" s="11">
        <f>M4384-N4384</f>
        <v/>
      </c>
    </row>
    <row r="4385">
      <c r="A4385" s="9" t="n">
        <v>45474.625</v>
      </c>
      <c r="B4385" t="n">
        <v>7</v>
      </c>
      <c r="C4385" t="n">
        <v>1</v>
      </c>
      <c r="D4385" t="n">
        <v>15</v>
      </c>
      <c r="E4385" s="10" t="n">
        <v>0.412655</v>
      </c>
      <c r="F4385" s="10" t="n">
        <v>0.29377216650532</v>
      </c>
      <c r="G4385" s="11">
        <f>E4385*Summary!$B$6</f>
        <v/>
      </c>
      <c r="H4385" s="11">
        <f>F4385*Summary!$B$7</f>
        <v/>
      </c>
      <c r="I4385" s="11">
        <f>MAX(0,N4385-M4385)</f>
        <v/>
      </c>
      <c r="J4385" s="11">
        <f>MAX(0,M4385-N4385)</f>
        <v/>
      </c>
      <c r="K4385" s="11">
        <f>O4385</f>
        <v/>
      </c>
      <c r="L4385" s="11">
        <f>L4384+IF(K4385&gt;0,K4385*Summary!$B$9,K4385/Summary!$B$9)</f>
        <v/>
      </c>
      <c r="M4385" s="11">
        <f>G4385+H4385</f>
        <v/>
      </c>
      <c r="N4385" s="11">
        <f>Summary!$C$16*Summary!$B$8</f>
        <v/>
      </c>
      <c r="O4385" s="11">
        <f>M4385-N4385</f>
        <v/>
      </c>
    </row>
    <row r="4386">
      <c r="A4386" s="9" t="n">
        <v>45474.66666666666</v>
      </c>
      <c r="B4386" t="n">
        <v>7</v>
      </c>
      <c r="C4386" t="n">
        <v>1</v>
      </c>
      <c r="D4386" t="n">
        <v>16</v>
      </c>
      <c r="E4386" s="10" t="n">
        <v>0.233781</v>
      </c>
      <c r="F4386" s="10" t="n">
        <v>0.2912160218918453</v>
      </c>
      <c r="G4386" s="11">
        <f>E4386*Summary!$B$6</f>
        <v/>
      </c>
      <c r="H4386" s="11">
        <f>F4386*Summary!$B$7</f>
        <v/>
      </c>
      <c r="I4386" s="11">
        <f>MAX(0,N4386-M4386)</f>
        <v/>
      </c>
      <c r="J4386" s="11">
        <f>MAX(0,M4386-N4386)</f>
        <v/>
      </c>
      <c r="K4386" s="11">
        <f>O4386</f>
        <v/>
      </c>
      <c r="L4386" s="11">
        <f>L4385+IF(K4386&gt;0,K4386*Summary!$B$9,K4386/Summary!$B$9)</f>
        <v/>
      </c>
      <c r="M4386" s="11">
        <f>G4386+H4386</f>
        <v/>
      </c>
      <c r="N4386" s="11">
        <f>Summary!$C$16*Summary!$B$8</f>
        <v/>
      </c>
      <c r="O4386" s="11">
        <f>M4386-N4386</f>
        <v/>
      </c>
    </row>
    <row r="4387">
      <c r="A4387" s="9" t="n">
        <v>45474.70833333334</v>
      </c>
      <c r="B4387" t="n">
        <v>7</v>
      </c>
      <c r="C4387" t="n">
        <v>1</v>
      </c>
      <c r="D4387" t="n">
        <v>17</v>
      </c>
      <c r="E4387" s="10" t="n">
        <v>0.200382</v>
      </c>
      <c r="F4387" s="10" t="n">
        <v>0.2775393306094394</v>
      </c>
      <c r="G4387" s="11">
        <f>E4387*Summary!$B$6</f>
        <v/>
      </c>
      <c r="H4387" s="11">
        <f>F4387*Summary!$B$7</f>
        <v/>
      </c>
      <c r="I4387" s="11">
        <f>MAX(0,N4387-M4387)</f>
        <v/>
      </c>
      <c r="J4387" s="11">
        <f>MAX(0,M4387-N4387)</f>
        <v/>
      </c>
      <c r="K4387" s="11">
        <f>O4387</f>
        <v/>
      </c>
      <c r="L4387" s="11">
        <f>L4386+IF(K4387&gt;0,K4387*Summary!$B$9,K4387/Summary!$B$9)</f>
        <v/>
      </c>
      <c r="M4387" s="11">
        <f>G4387+H4387</f>
        <v/>
      </c>
      <c r="N4387" s="11">
        <f>Summary!$C$16*Summary!$B$8</f>
        <v/>
      </c>
      <c r="O4387" s="11">
        <f>M4387-N4387</f>
        <v/>
      </c>
    </row>
    <row r="4388">
      <c r="A4388" s="9" t="n">
        <v>45474.75</v>
      </c>
      <c r="B4388" t="n">
        <v>7</v>
      </c>
      <c r="C4388" t="n">
        <v>1</v>
      </c>
      <c r="D4388" t="n">
        <v>18</v>
      </c>
      <c r="E4388" s="10" t="n">
        <v>0.102334</v>
      </c>
      <c r="F4388" s="10" t="n">
        <v>0.2589875181570044</v>
      </c>
      <c r="G4388" s="11">
        <f>E4388*Summary!$B$6</f>
        <v/>
      </c>
      <c r="H4388" s="11">
        <f>F4388*Summary!$B$7</f>
        <v/>
      </c>
      <c r="I4388" s="11">
        <f>MAX(0,N4388-M4388)</f>
        <v/>
      </c>
      <c r="J4388" s="11">
        <f>MAX(0,M4388-N4388)</f>
        <v/>
      </c>
      <c r="K4388" s="11">
        <f>O4388</f>
        <v/>
      </c>
      <c r="L4388" s="11">
        <f>L4387+IF(K4388&gt;0,K4388*Summary!$B$9,K4388/Summary!$B$9)</f>
        <v/>
      </c>
      <c r="M4388" s="11">
        <f>G4388+H4388</f>
        <v/>
      </c>
      <c r="N4388" s="11">
        <f>Summary!$C$16*Summary!$B$8</f>
        <v/>
      </c>
      <c r="O4388" s="11">
        <f>M4388-N4388</f>
        <v/>
      </c>
    </row>
    <row r="4389">
      <c r="A4389" s="9" t="n">
        <v>45474.79166666666</v>
      </c>
      <c r="B4389" t="n">
        <v>7</v>
      </c>
      <c r="C4389" t="n">
        <v>1</v>
      </c>
      <c r="D4389" t="n">
        <v>19</v>
      </c>
      <c r="E4389" s="10" t="n">
        <v>0.043329</v>
      </c>
      <c r="F4389" s="10" t="n">
        <v>0.2429127942990706</v>
      </c>
      <c r="G4389" s="11">
        <f>E4389*Summary!$B$6</f>
        <v/>
      </c>
      <c r="H4389" s="11">
        <f>F4389*Summary!$B$7</f>
        <v/>
      </c>
      <c r="I4389" s="11">
        <f>MAX(0,N4389-M4389)</f>
        <v/>
      </c>
      <c r="J4389" s="11">
        <f>MAX(0,M4389-N4389)</f>
        <v/>
      </c>
      <c r="K4389" s="11">
        <f>O4389</f>
        <v/>
      </c>
      <c r="L4389" s="11">
        <f>L4388+IF(K4389&gt;0,K4389*Summary!$B$9,K4389/Summary!$B$9)</f>
        <v/>
      </c>
      <c r="M4389" s="11">
        <f>G4389+H4389</f>
        <v/>
      </c>
      <c r="N4389" s="11">
        <f>Summary!$C$16*Summary!$B$8</f>
        <v/>
      </c>
      <c r="O4389" s="11">
        <f>M4389-N4389</f>
        <v/>
      </c>
    </row>
    <row r="4390">
      <c r="A4390" s="9" t="n">
        <v>45474.83333333334</v>
      </c>
      <c r="B4390" t="n">
        <v>7</v>
      </c>
      <c r="C4390" t="n">
        <v>1</v>
      </c>
      <c r="D4390" t="n">
        <v>20</v>
      </c>
      <c r="E4390" s="10" t="n">
        <v>0.023965</v>
      </c>
      <c r="F4390" s="10" t="n">
        <v>0.2419114180587403</v>
      </c>
      <c r="G4390" s="11">
        <f>E4390*Summary!$B$6</f>
        <v/>
      </c>
      <c r="H4390" s="11">
        <f>F4390*Summary!$B$7</f>
        <v/>
      </c>
      <c r="I4390" s="11">
        <f>MAX(0,N4390-M4390)</f>
        <v/>
      </c>
      <c r="J4390" s="11">
        <f>MAX(0,M4390-N4390)</f>
        <v/>
      </c>
      <c r="K4390" s="11">
        <f>O4390</f>
        <v/>
      </c>
      <c r="L4390" s="11">
        <f>L4389+IF(K4390&gt;0,K4390*Summary!$B$9,K4390/Summary!$B$9)</f>
        <v/>
      </c>
      <c r="M4390" s="11">
        <f>G4390+H4390</f>
        <v/>
      </c>
      <c r="N4390" s="11">
        <f>Summary!$C$16*Summary!$B$8</f>
        <v/>
      </c>
      <c r="O4390" s="11">
        <f>M4390-N4390</f>
        <v/>
      </c>
    </row>
    <row r="4391">
      <c r="A4391" s="9" t="n">
        <v>45474.875</v>
      </c>
      <c r="B4391" t="n">
        <v>7</v>
      </c>
      <c r="C4391" t="n">
        <v>1</v>
      </c>
      <c r="D4391" t="n">
        <v>21</v>
      </c>
      <c r="E4391" s="10" t="n">
        <v>0</v>
      </c>
      <c r="F4391" s="10" t="n">
        <v>0.2527157406517778</v>
      </c>
      <c r="G4391" s="11">
        <f>E4391*Summary!$B$6</f>
        <v/>
      </c>
      <c r="H4391" s="11">
        <f>F4391*Summary!$B$7</f>
        <v/>
      </c>
      <c r="I4391" s="11">
        <f>MAX(0,N4391-M4391)</f>
        <v/>
      </c>
      <c r="J4391" s="11">
        <f>MAX(0,M4391-N4391)</f>
        <v/>
      </c>
      <c r="K4391" s="11">
        <f>O4391</f>
        <v/>
      </c>
      <c r="L4391" s="11">
        <f>L4390+IF(K4391&gt;0,K4391*Summary!$B$9,K4391/Summary!$B$9)</f>
        <v/>
      </c>
      <c r="M4391" s="11">
        <f>G4391+H4391</f>
        <v/>
      </c>
      <c r="N4391" s="11">
        <f>Summary!$C$16*Summary!$B$8</f>
        <v/>
      </c>
      <c r="O4391" s="11">
        <f>M4391-N4391</f>
        <v/>
      </c>
    </row>
    <row r="4392">
      <c r="A4392" s="9" t="n">
        <v>45474.91666666666</v>
      </c>
      <c r="B4392" t="n">
        <v>7</v>
      </c>
      <c r="C4392" t="n">
        <v>1</v>
      </c>
      <c r="D4392" t="n">
        <v>22</v>
      </c>
      <c r="E4392" s="10" t="n">
        <v>0</v>
      </c>
      <c r="F4392" s="10" t="n">
        <v>0.260173358441606</v>
      </c>
      <c r="G4392" s="11">
        <f>E4392*Summary!$B$6</f>
        <v/>
      </c>
      <c r="H4392" s="11">
        <f>F4392*Summary!$B$7</f>
        <v/>
      </c>
      <c r="I4392" s="11">
        <f>MAX(0,N4392-M4392)</f>
        <v/>
      </c>
      <c r="J4392" s="11">
        <f>MAX(0,M4392-N4392)</f>
        <v/>
      </c>
      <c r="K4392" s="11">
        <f>O4392</f>
        <v/>
      </c>
      <c r="L4392" s="11">
        <f>L4391+IF(K4392&gt;0,K4392*Summary!$B$9,K4392/Summary!$B$9)</f>
        <v/>
      </c>
      <c r="M4392" s="11">
        <f>G4392+H4392</f>
        <v/>
      </c>
      <c r="N4392" s="11">
        <f>Summary!$C$16*Summary!$B$8</f>
        <v/>
      </c>
      <c r="O4392" s="11">
        <f>M4392-N4392</f>
        <v/>
      </c>
    </row>
    <row r="4393">
      <c r="A4393" s="9" t="n">
        <v>45474.95833333334</v>
      </c>
      <c r="B4393" t="n">
        <v>7</v>
      </c>
      <c r="C4393" t="n">
        <v>1</v>
      </c>
      <c r="D4393" t="n">
        <v>23</v>
      </c>
      <c r="E4393" s="10" t="n">
        <v>0</v>
      </c>
      <c r="F4393" s="10" t="n">
        <v>0.258750350100084</v>
      </c>
      <c r="G4393" s="11">
        <f>E4393*Summary!$B$6</f>
        <v/>
      </c>
      <c r="H4393" s="11">
        <f>F4393*Summary!$B$7</f>
        <v/>
      </c>
      <c r="I4393" s="11">
        <f>MAX(0,N4393-M4393)</f>
        <v/>
      </c>
      <c r="J4393" s="11">
        <f>MAX(0,M4393-N4393)</f>
        <v/>
      </c>
      <c r="K4393" s="11">
        <f>O4393</f>
        <v/>
      </c>
      <c r="L4393" s="11">
        <f>L4392+IF(K4393&gt;0,K4393*Summary!$B$9,K4393/Summary!$B$9)</f>
        <v/>
      </c>
      <c r="M4393" s="11">
        <f>G4393+H4393</f>
        <v/>
      </c>
      <c r="N4393" s="11">
        <f>Summary!$C$16*Summary!$B$8</f>
        <v/>
      </c>
      <c r="O4393" s="11">
        <f>M4393-N4393</f>
        <v/>
      </c>
    </row>
    <row r="4394">
      <c r="A4394" s="9" t="n">
        <v>45475</v>
      </c>
      <c r="B4394" t="n">
        <v>7</v>
      </c>
      <c r="C4394" t="n">
        <v>2</v>
      </c>
      <c r="D4394" t="n">
        <v>0</v>
      </c>
      <c r="E4394" s="10" t="n">
        <v>0</v>
      </c>
      <c r="F4394" s="10" t="n">
        <v>0.2734811216354692</v>
      </c>
      <c r="G4394" s="11">
        <f>E4394*Summary!$B$6</f>
        <v/>
      </c>
      <c r="H4394" s="11">
        <f>F4394*Summary!$B$7</f>
        <v/>
      </c>
      <c r="I4394" s="11">
        <f>MAX(0,N4394-M4394)</f>
        <v/>
      </c>
      <c r="J4394" s="11">
        <f>MAX(0,M4394-N4394)</f>
        <v/>
      </c>
      <c r="K4394" s="11">
        <f>O4394</f>
        <v/>
      </c>
      <c r="L4394" s="11">
        <f>L4393+IF(K4394&gt;0,K4394*Summary!$B$9,K4394/Summary!$B$9)</f>
        <v/>
      </c>
      <c r="M4394" s="11">
        <f>G4394+H4394</f>
        <v/>
      </c>
      <c r="N4394" s="11">
        <f>Summary!$C$16*Summary!$B$8</f>
        <v/>
      </c>
      <c r="O4394" s="11">
        <f>M4394-N4394</f>
        <v/>
      </c>
    </row>
    <row r="4395">
      <c r="A4395" s="9" t="n">
        <v>45475.04166666666</v>
      </c>
      <c r="B4395" t="n">
        <v>7</v>
      </c>
      <c r="C4395" t="n">
        <v>2</v>
      </c>
      <c r="D4395" t="n">
        <v>1</v>
      </c>
      <c r="E4395" s="10" t="n">
        <v>0</v>
      </c>
      <c r="F4395" s="10" t="n">
        <v>0.2524785725948575</v>
      </c>
      <c r="G4395" s="11">
        <f>E4395*Summary!$B$6</f>
        <v/>
      </c>
      <c r="H4395" s="11">
        <f>F4395*Summary!$B$7</f>
        <v/>
      </c>
      <c r="I4395" s="11">
        <f>MAX(0,N4395-M4395)</f>
        <v/>
      </c>
      <c r="J4395" s="11">
        <f>MAX(0,M4395-N4395)</f>
        <v/>
      </c>
      <c r="K4395" s="11">
        <f>O4395</f>
        <v/>
      </c>
      <c r="L4395" s="11">
        <f>L4394+IF(K4395&gt;0,K4395*Summary!$B$9,K4395/Summary!$B$9)</f>
        <v/>
      </c>
      <c r="M4395" s="11">
        <f>G4395+H4395</f>
        <v/>
      </c>
      <c r="N4395" s="11">
        <f>Summary!$C$16*Summary!$B$8</f>
        <v/>
      </c>
      <c r="O4395" s="11">
        <f>M4395-N4395</f>
        <v/>
      </c>
    </row>
    <row r="4396">
      <c r="A4396" s="9" t="n">
        <v>45475.08333333334</v>
      </c>
      <c r="B4396" t="n">
        <v>7</v>
      </c>
      <c r="C4396" t="n">
        <v>2</v>
      </c>
      <c r="D4396" t="n">
        <v>2</v>
      </c>
      <c r="E4396" s="10" t="n">
        <v>0</v>
      </c>
      <c r="F4396" s="10" t="n">
        <v>0.2630984311436235</v>
      </c>
      <c r="G4396" s="11">
        <f>E4396*Summary!$B$6</f>
        <v/>
      </c>
      <c r="H4396" s="11">
        <f>F4396*Summary!$B$7</f>
        <v/>
      </c>
      <c r="I4396" s="11">
        <f>MAX(0,N4396-M4396)</f>
        <v/>
      </c>
      <c r="J4396" s="11">
        <f>MAX(0,M4396-N4396)</f>
        <v/>
      </c>
      <c r="K4396" s="11">
        <f>O4396</f>
        <v/>
      </c>
      <c r="L4396" s="11">
        <f>L4395+IF(K4396&gt;0,K4396*Summary!$B$9,K4396/Summary!$B$9)</f>
        <v/>
      </c>
      <c r="M4396" s="11">
        <f>G4396+H4396</f>
        <v/>
      </c>
      <c r="N4396" s="11">
        <f>Summary!$C$16*Summary!$B$8</f>
        <v/>
      </c>
      <c r="O4396" s="11">
        <f>M4396-N4396</f>
        <v/>
      </c>
    </row>
    <row r="4397">
      <c r="A4397" s="9" t="n">
        <v>45475.125</v>
      </c>
      <c r="B4397" t="n">
        <v>7</v>
      </c>
      <c r="C4397" t="n">
        <v>2</v>
      </c>
      <c r="D4397" t="n">
        <v>3</v>
      </c>
      <c r="E4397" s="10" t="n">
        <v>0</v>
      </c>
      <c r="F4397" s="10" t="n">
        <v>0.2536380608731346</v>
      </c>
      <c r="G4397" s="11">
        <f>E4397*Summary!$B$6</f>
        <v/>
      </c>
      <c r="H4397" s="11">
        <f>F4397*Summary!$B$7</f>
        <v/>
      </c>
      <c r="I4397" s="11">
        <f>MAX(0,N4397-M4397)</f>
        <v/>
      </c>
      <c r="J4397" s="11">
        <f>MAX(0,M4397-N4397)</f>
        <v/>
      </c>
      <c r="K4397" s="11">
        <f>O4397</f>
        <v/>
      </c>
      <c r="L4397" s="11">
        <f>L4396+IF(K4397&gt;0,K4397*Summary!$B$9,K4397/Summary!$B$9)</f>
        <v/>
      </c>
      <c r="M4397" s="11">
        <f>G4397+H4397</f>
        <v/>
      </c>
      <c r="N4397" s="11">
        <f>Summary!$C$16*Summary!$B$8</f>
        <v/>
      </c>
      <c r="O4397" s="11">
        <f>M4397-N4397</f>
        <v/>
      </c>
    </row>
    <row r="4398">
      <c r="A4398" s="9" t="n">
        <v>45475.16666666666</v>
      </c>
      <c r="B4398" t="n">
        <v>7</v>
      </c>
      <c r="C4398" t="n">
        <v>2</v>
      </c>
      <c r="D4398" t="n">
        <v>4</v>
      </c>
      <c r="E4398" s="10" t="n">
        <v>0.008732</v>
      </c>
      <c r="F4398" s="10" t="n">
        <v>0.2644687354724965</v>
      </c>
      <c r="G4398" s="11">
        <f>E4398*Summary!$B$6</f>
        <v/>
      </c>
      <c r="H4398" s="11">
        <f>F4398*Summary!$B$7</f>
        <v/>
      </c>
      <c r="I4398" s="11">
        <f>MAX(0,N4398-M4398)</f>
        <v/>
      </c>
      <c r="J4398" s="11">
        <f>MAX(0,M4398-N4398)</f>
        <v/>
      </c>
      <c r="K4398" s="11">
        <f>O4398</f>
        <v/>
      </c>
      <c r="L4398" s="11">
        <f>L4397+IF(K4398&gt;0,K4398*Summary!$B$9,K4398/Summary!$B$9)</f>
        <v/>
      </c>
      <c r="M4398" s="11">
        <f>G4398+H4398</f>
        <v/>
      </c>
      <c r="N4398" s="11">
        <f>Summary!$C$16*Summary!$B$8</f>
        <v/>
      </c>
      <c r="O4398" s="11">
        <f>M4398-N4398</f>
        <v/>
      </c>
    </row>
    <row r="4399">
      <c r="A4399" s="9" t="n">
        <v>45475.20833333334</v>
      </c>
      <c r="B4399" t="n">
        <v>7</v>
      </c>
      <c r="C4399" t="n">
        <v>2</v>
      </c>
      <c r="D4399" t="n">
        <v>5</v>
      </c>
      <c r="E4399" s="10" t="n">
        <v>0.051608</v>
      </c>
      <c r="F4399" s="10" t="n">
        <v>0.235270712464971</v>
      </c>
      <c r="G4399" s="11">
        <f>E4399*Summary!$B$6</f>
        <v/>
      </c>
      <c r="H4399" s="11">
        <f>F4399*Summary!$B$7</f>
        <v/>
      </c>
      <c r="I4399" s="11">
        <f>MAX(0,N4399-M4399)</f>
        <v/>
      </c>
      <c r="J4399" s="11">
        <f>MAX(0,M4399-N4399)</f>
        <v/>
      </c>
      <c r="K4399" s="11">
        <f>O4399</f>
        <v/>
      </c>
      <c r="L4399" s="11">
        <f>L4398+IF(K4399&gt;0,K4399*Summary!$B$9,K4399/Summary!$B$9)</f>
        <v/>
      </c>
      <c r="M4399" s="11">
        <f>G4399+H4399</f>
        <v/>
      </c>
      <c r="N4399" s="11">
        <f>Summary!$C$16*Summary!$B$8</f>
        <v/>
      </c>
      <c r="O4399" s="11">
        <f>M4399-N4399</f>
        <v/>
      </c>
    </row>
    <row r="4400">
      <c r="A4400" s="9" t="n">
        <v>45475.25</v>
      </c>
      <c r="B4400" t="n">
        <v>7</v>
      </c>
      <c r="C4400" t="n">
        <v>2</v>
      </c>
      <c r="D4400" t="n">
        <v>6</v>
      </c>
      <c r="E4400" s="10" t="n">
        <v>0.08766699999999999</v>
      </c>
      <c r="F4400" s="10" t="n">
        <v>0.2277867426688183</v>
      </c>
      <c r="G4400" s="11">
        <f>E4400*Summary!$B$6</f>
        <v/>
      </c>
      <c r="H4400" s="11">
        <f>F4400*Summary!$B$7</f>
        <v/>
      </c>
      <c r="I4400" s="11">
        <f>MAX(0,N4400-M4400)</f>
        <v/>
      </c>
      <c r="J4400" s="11">
        <f>MAX(0,M4400-N4400)</f>
        <v/>
      </c>
      <c r="K4400" s="11">
        <f>O4400</f>
        <v/>
      </c>
      <c r="L4400" s="11">
        <f>L4399+IF(K4400&gt;0,K4400*Summary!$B$9,K4400/Summary!$B$9)</f>
        <v/>
      </c>
      <c r="M4400" s="11">
        <f>G4400+H4400</f>
        <v/>
      </c>
      <c r="N4400" s="11">
        <f>Summary!$C$16*Summary!$B$8</f>
        <v/>
      </c>
      <c r="O4400" s="11">
        <f>M4400-N4400</f>
        <v/>
      </c>
    </row>
    <row r="4401">
      <c r="A4401" s="9" t="n">
        <v>45475.29166666666</v>
      </c>
      <c r="B4401" t="n">
        <v>7</v>
      </c>
      <c r="C4401" t="n">
        <v>2</v>
      </c>
      <c r="D4401" t="n">
        <v>7</v>
      </c>
      <c r="E4401" s="10" t="n">
        <v>0.137007</v>
      </c>
      <c r="F4401" s="10" t="n">
        <v>0.2251251900300456</v>
      </c>
      <c r="G4401" s="11">
        <f>E4401*Summary!$B$6</f>
        <v/>
      </c>
      <c r="H4401" s="11">
        <f>F4401*Summary!$B$7</f>
        <v/>
      </c>
      <c r="I4401" s="11">
        <f>MAX(0,N4401-M4401)</f>
        <v/>
      </c>
      <c r="J4401" s="11">
        <f>MAX(0,M4401-N4401)</f>
        <v/>
      </c>
      <c r="K4401" s="11">
        <f>O4401</f>
        <v/>
      </c>
      <c r="L4401" s="11">
        <f>L4400+IF(K4401&gt;0,K4401*Summary!$B$9,K4401/Summary!$B$9)</f>
        <v/>
      </c>
      <c r="M4401" s="11">
        <f>G4401+H4401</f>
        <v/>
      </c>
      <c r="N4401" s="11">
        <f>Summary!$C$16*Summary!$B$8</f>
        <v/>
      </c>
      <c r="O4401" s="11">
        <f>M4401-N4401</f>
        <v/>
      </c>
    </row>
    <row r="4402">
      <c r="A4402" s="9" t="n">
        <v>45475.33333333334</v>
      </c>
      <c r="B4402" t="n">
        <v>7</v>
      </c>
      <c r="C4402" t="n">
        <v>2</v>
      </c>
      <c r="D4402" t="n">
        <v>8</v>
      </c>
      <c r="E4402" s="10" t="n">
        <v>0.080956</v>
      </c>
      <c r="F4402" s="10" t="n">
        <v>0.2406465217551652</v>
      </c>
      <c r="G4402" s="11">
        <f>E4402*Summary!$B$6</f>
        <v/>
      </c>
      <c r="H4402" s="11">
        <f>F4402*Summary!$B$7</f>
        <v/>
      </c>
      <c r="I4402" s="11">
        <f>MAX(0,N4402-M4402)</f>
        <v/>
      </c>
      <c r="J4402" s="11">
        <f>MAX(0,M4402-N4402)</f>
        <v/>
      </c>
      <c r="K4402" s="11">
        <f>O4402</f>
        <v/>
      </c>
      <c r="L4402" s="11">
        <f>L4401+IF(K4402&gt;0,K4402*Summary!$B$9,K4402/Summary!$B$9)</f>
        <v/>
      </c>
      <c r="M4402" s="11">
        <f>G4402+H4402</f>
        <v/>
      </c>
      <c r="N4402" s="11">
        <f>Summary!$C$16*Summary!$B$8</f>
        <v/>
      </c>
      <c r="O4402" s="11">
        <f>M4402-N4402</f>
        <v/>
      </c>
    </row>
    <row r="4403">
      <c r="A4403" s="9" t="n">
        <v>45475.375</v>
      </c>
      <c r="B4403" t="n">
        <v>7</v>
      </c>
      <c r="C4403" t="n">
        <v>2</v>
      </c>
      <c r="D4403" t="n">
        <v>9</v>
      </c>
      <c r="E4403" s="10" t="n">
        <v>0.242563</v>
      </c>
      <c r="F4403" s="10" t="n">
        <v>0.26301937512465</v>
      </c>
      <c r="G4403" s="11">
        <f>E4403*Summary!$B$6</f>
        <v/>
      </c>
      <c r="H4403" s="11">
        <f>F4403*Summary!$B$7</f>
        <v/>
      </c>
      <c r="I4403" s="11">
        <f>MAX(0,N4403-M4403)</f>
        <v/>
      </c>
      <c r="J4403" s="11">
        <f>MAX(0,M4403-N4403)</f>
        <v/>
      </c>
      <c r="K4403" s="11">
        <f>O4403</f>
        <v/>
      </c>
      <c r="L4403" s="11">
        <f>L4402+IF(K4403&gt;0,K4403*Summary!$B$9,K4403/Summary!$B$9)</f>
        <v/>
      </c>
      <c r="M4403" s="11">
        <f>G4403+H4403</f>
        <v/>
      </c>
      <c r="N4403" s="11">
        <f>Summary!$C$16*Summary!$B$8</f>
        <v/>
      </c>
      <c r="O4403" s="11">
        <f>M4403-N4403</f>
        <v/>
      </c>
    </row>
    <row r="4404">
      <c r="A4404" s="9" t="n">
        <v>45475.41666666666</v>
      </c>
      <c r="B4404" t="n">
        <v>7</v>
      </c>
      <c r="C4404" t="n">
        <v>2</v>
      </c>
      <c r="D4404" t="n">
        <v>10</v>
      </c>
      <c r="E4404" s="10" t="n">
        <v>0.55211</v>
      </c>
      <c r="F4404" s="10" t="n">
        <v>0.2799637151912917</v>
      </c>
      <c r="G4404" s="11">
        <f>E4404*Summary!$B$6</f>
        <v/>
      </c>
      <c r="H4404" s="11">
        <f>F4404*Summary!$B$7</f>
        <v/>
      </c>
      <c r="I4404" s="11">
        <f>MAX(0,N4404-M4404)</f>
        <v/>
      </c>
      <c r="J4404" s="11">
        <f>MAX(0,M4404-N4404)</f>
        <v/>
      </c>
      <c r="K4404" s="11">
        <f>O4404</f>
        <v/>
      </c>
      <c r="L4404" s="11">
        <f>L4403+IF(K4404&gt;0,K4404*Summary!$B$9,K4404/Summary!$B$9)</f>
        <v/>
      </c>
      <c r="M4404" s="11">
        <f>G4404+H4404</f>
        <v/>
      </c>
      <c r="N4404" s="11">
        <f>Summary!$C$16*Summary!$B$8</f>
        <v/>
      </c>
      <c r="O4404" s="11">
        <f>M4404-N4404</f>
        <v/>
      </c>
    </row>
    <row r="4405">
      <c r="A4405" s="9" t="n">
        <v>45475.45833333334</v>
      </c>
      <c r="B4405" t="n">
        <v>7</v>
      </c>
      <c r="C4405" t="n">
        <v>2</v>
      </c>
      <c r="D4405" t="n">
        <v>11</v>
      </c>
      <c r="E4405" s="10" t="n">
        <v>0.754058</v>
      </c>
      <c r="F4405" s="10" t="n">
        <v>0.311559770774345</v>
      </c>
      <c r="G4405" s="11">
        <f>E4405*Summary!$B$6</f>
        <v/>
      </c>
      <c r="H4405" s="11">
        <f>F4405*Summary!$B$7</f>
        <v/>
      </c>
      <c r="I4405" s="11">
        <f>MAX(0,N4405-M4405)</f>
        <v/>
      </c>
      <c r="J4405" s="11">
        <f>MAX(0,M4405-N4405)</f>
        <v/>
      </c>
      <c r="K4405" s="11">
        <f>O4405</f>
        <v/>
      </c>
      <c r="L4405" s="11">
        <f>L4404+IF(K4405&gt;0,K4405*Summary!$B$9,K4405/Summary!$B$9)</f>
        <v/>
      </c>
      <c r="M4405" s="11">
        <f>G4405+H4405</f>
        <v/>
      </c>
      <c r="N4405" s="11">
        <f>Summary!$C$16*Summary!$B$8</f>
        <v/>
      </c>
      <c r="O4405" s="11">
        <f>M4405-N4405</f>
        <v/>
      </c>
    </row>
    <row r="4406">
      <c r="A4406" s="9" t="n">
        <v>45475.5</v>
      </c>
      <c r="B4406" t="n">
        <v>7</v>
      </c>
      <c r="C4406" t="n">
        <v>2</v>
      </c>
      <c r="D4406" t="n">
        <v>12</v>
      </c>
      <c r="E4406" s="10" t="n">
        <v>0.754058</v>
      </c>
      <c r="F4406" s="10" t="n">
        <v>0.3126665550399732</v>
      </c>
      <c r="G4406" s="11">
        <f>E4406*Summary!$B$6</f>
        <v/>
      </c>
      <c r="H4406" s="11">
        <f>F4406*Summary!$B$7</f>
        <v/>
      </c>
      <c r="I4406" s="11">
        <f>MAX(0,N4406-M4406)</f>
        <v/>
      </c>
      <c r="J4406" s="11">
        <f>MAX(0,M4406-N4406)</f>
        <v/>
      </c>
      <c r="K4406" s="11">
        <f>O4406</f>
        <v/>
      </c>
      <c r="L4406" s="11">
        <f>L4405+IF(K4406&gt;0,K4406*Summary!$B$9,K4406/Summary!$B$9)</f>
        <v/>
      </c>
      <c r="M4406" s="11">
        <f>G4406+H4406</f>
        <v/>
      </c>
      <c r="N4406" s="11">
        <f>Summary!$C$16*Summary!$B$8</f>
        <v/>
      </c>
      <c r="O4406" s="11">
        <f>M4406-N4406</f>
        <v/>
      </c>
    </row>
    <row r="4407">
      <c r="A4407" s="9" t="n">
        <v>45475.54166666666</v>
      </c>
      <c r="B4407" t="n">
        <v>7</v>
      </c>
      <c r="C4407" t="n">
        <v>2</v>
      </c>
      <c r="D4407" t="n">
        <v>13</v>
      </c>
      <c r="E4407" s="10" t="n">
        <v>0.754058</v>
      </c>
      <c r="F4407" s="10" t="n">
        <v>0.3166984120076189</v>
      </c>
      <c r="G4407" s="11">
        <f>E4407*Summary!$B$6</f>
        <v/>
      </c>
      <c r="H4407" s="11">
        <f>F4407*Summary!$B$7</f>
        <v/>
      </c>
      <c r="I4407" s="11">
        <f>MAX(0,N4407-M4407)</f>
        <v/>
      </c>
      <c r="J4407" s="11">
        <f>MAX(0,M4407-N4407)</f>
        <v/>
      </c>
      <c r="K4407" s="11">
        <f>O4407</f>
        <v/>
      </c>
      <c r="L4407" s="11">
        <f>L4406+IF(K4407&gt;0,K4407*Summary!$B$9,K4407/Summary!$B$9)</f>
        <v/>
      </c>
      <c r="M4407" s="11">
        <f>G4407+H4407</f>
        <v/>
      </c>
      <c r="N4407" s="11">
        <f>Summary!$C$16*Summary!$B$8</f>
        <v/>
      </c>
      <c r="O4407" s="11">
        <f>M4407-N4407</f>
        <v/>
      </c>
    </row>
    <row r="4408">
      <c r="A4408" s="9" t="n">
        <v>45475.58333333334</v>
      </c>
      <c r="B4408" t="n">
        <v>7</v>
      </c>
      <c r="C4408" t="n">
        <v>2</v>
      </c>
      <c r="D4408" t="n">
        <v>14</v>
      </c>
      <c r="E4408" s="10" t="n">
        <v>0.324025</v>
      </c>
      <c r="F4408" s="10" t="n">
        <v>0.3143794354510645</v>
      </c>
      <c r="G4408" s="11">
        <f>E4408*Summary!$B$6</f>
        <v/>
      </c>
      <c r="H4408" s="11">
        <f>F4408*Summary!$B$7</f>
        <v/>
      </c>
      <c r="I4408" s="11">
        <f>MAX(0,N4408-M4408)</f>
        <v/>
      </c>
      <c r="J4408" s="11">
        <f>MAX(0,M4408-N4408)</f>
        <v/>
      </c>
      <c r="K4408" s="11">
        <f>O4408</f>
        <v/>
      </c>
      <c r="L4408" s="11">
        <f>L4407+IF(K4408&gt;0,K4408*Summary!$B$9,K4408/Summary!$B$9)</f>
        <v/>
      </c>
      <c r="M4408" s="11">
        <f>G4408+H4408</f>
        <v/>
      </c>
      <c r="N4408" s="11">
        <f>Summary!$C$16*Summary!$B$8</f>
        <v/>
      </c>
      <c r="O4408" s="11">
        <f>M4408-N4408</f>
        <v/>
      </c>
    </row>
    <row r="4409">
      <c r="A4409" s="9" t="n">
        <v>45475.625</v>
      </c>
      <c r="B4409" t="n">
        <v>7</v>
      </c>
      <c r="C4409" t="n">
        <v>2</v>
      </c>
      <c r="D4409" t="n">
        <v>15</v>
      </c>
      <c r="E4409" s="10" t="n">
        <v>0.347052</v>
      </c>
      <c r="F4409" s="10" t="n">
        <v>0.3136152272676546</v>
      </c>
      <c r="G4409" s="11">
        <f>E4409*Summary!$B$6</f>
        <v/>
      </c>
      <c r="H4409" s="11">
        <f>F4409*Summary!$B$7</f>
        <v/>
      </c>
      <c r="I4409" s="11">
        <f>MAX(0,N4409-M4409)</f>
        <v/>
      </c>
      <c r="J4409" s="11">
        <f>MAX(0,M4409-N4409)</f>
        <v/>
      </c>
      <c r="K4409" s="11">
        <f>O4409</f>
        <v/>
      </c>
      <c r="L4409" s="11">
        <f>L4408+IF(K4409&gt;0,K4409*Summary!$B$9,K4409/Summary!$B$9)</f>
        <v/>
      </c>
      <c r="M4409" s="11">
        <f>G4409+H4409</f>
        <v/>
      </c>
      <c r="N4409" s="11">
        <f>Summary!$C$16*Summary!$B$8</f>
        <v/>
      </c>
      <c r="O4409" s="11">
        <f>M4409-N4409</f>
        <v/>
      </c>
    </row>
    <row r="4410">
      <c r="A4410" s="9" t="n">
        <v>45475.66666666666</v>
      </c>
      <c r="B4410" t="n">
        <v>7</v>
      </c>
      <c r="C4410" t="n">
        <v>2</v>
      </c>
      <c r="D4410" t="n">
        <v>16</v>
      </c>
      <c r="E4410" s="10" t="n">
        <v>0.202656</v>
      </c>
      <c r="F4410" s="10" t="n">
        <v>0.3070535776928586</v>
      </c>
      <c r="G4410" s="11">
        <f>E4410*Summary!$B$6</f>
        <v/>
      </c>
      <c r="H4410" s="11">
        <f>F4410*Summary!$B$7</f>
        <v/>
      </c>
      <c r="I4410" s="11">
        <f>MAX(0,N4410-M4410)</f>
        <v/>
      </c>
      <c r="J4410" s="11">
        <f>MAX(0,M4410-N4410)</f>
        <v/>
      </c>
      <c r="K4410" s="11">
        <f>O4410</f>
        <v/>
      </c>
      <c r="L4410" s="11">
        <f>L4409+IF(K4410&gt;0,K4410*Summary!$B$9,K4410/Summary!$B$9)</f>
        <v/>
      </c>
      <c r="M4410" s="11">
        <f>G4410+H4410</f>
        <v/>
      </c>
      <c r="N4410" s="11">
        <f>Summary!$C$16*Summary!$B$8</f>
        <v/>
      </c>
      <c r="O4410" s="11">
        <f>M4410-N4410</f>
        <v/>
      </c>
    </row>
    <row r="4411">
      <c r="A4411" s="9" t="n">
        <v>45475.70833333334</v>
      </c>
      <c r="B4411" t="n">
        <v>7</v>
      </c>
      <c r="C4411" t="n">
        <v>2</v>
      </c>
      <c r="D4411" t="n">
        <v>17</v>
      </c>
      <c r="E4411" s="10" t="n">
        <v>0.215127</v>
      </c>
      <c r="F4411" s="10" t="n">
        <v>0.2935613504547241</v>
      </c>
      <c r="G4411" s="11">
        <f>E4411*Summary!$B$6</f>
        <v/>
      </c>
      <c r="H4411" s="11">
        <f>F4411*Summary!$B$7</f>
        <v/>
      </c>
      <c r="I4411" s="11">
        <f>MAX(0,N4411-M4411)</f>
        <v/>
      </c>
      <c r="J4411" s="11">
        <f>MAX(0,M4411-N4411)</f>
        <v/>
      </c>
      <c r="K4411" s="11">
        <f>O4411</f>
        <v/>
      </c>
      <c r="L4411" s="11">
        <f>L4410+IF(K4411&gt;0,K4411*Summary!$B$9,K4411/Summary!$B$9)</f>
        <v/>
      </c>
      <c r="M4411" s="11">
        <f>G4411+H4411</f>
        <v/>
      </c>
      <c r="N4411" s="11">
        <f>Summary!$C$16*Summary!$B$8</f>
        <v/>
      </c>
      <c r="O4411" s="11">
        <f>M4411-N4411</f>
        <v/>
      </c>
    </row>
    <row r="4412">
      <c r="A4412" s="9" t="n">
        <v>45475.75</v>
      </c>
      <c r="B4412" t="n">
        <v>7</v>
      </c>
      <c r="C4412" t="n">
        <v>2</v>
      </c>
      <c r="D4412" t="n">
        <v>18</v>
      </c>
      <c r="E4412" s="10" t="n">
        <v>0.102128</v>
      </c>
      <c r="F4412" s="10" t="n">
        <v>0.2735338256481182</v>
      </c>
      <c r="G4412" s="11">
        <f>E4412*Summary!$B$6</f>
        <v/>
      </c>
      <c r="H4412" s="11">
        <f>F4412*Summary!$B$7</f>
        <v/>
      </c>
      <c r="I4412" s="11">
        <f>MAX(0,N4412-M4412)</f>
        <v/>
      </c>
      <c r="J4412" s="11">
        <f>MAX(0,M4412-N4412)</f>
        <v/>
      </c>
      <c r="K4412" s="11">
        <f>O4412</f>
        <v/>
      </c>
      <c r="L4412" s="11">
        <f>L4411+IF(K4412&gt;0,K4412*Summary!$B$9,K4412/Summary!$B$9)</f>
        <v/>
      </c>
      <c r="M4412" s="11">
        <f>G4412+H4412</f>
        <v/>
      </c>
      <c r="N4412" s="11">
        <f>Summary!$C$16*Summary!$B$8</f>
        <v/>
      </c>
      <c r="O4412" s="11">
        <f>M4412-N4412</f>
        <v/>
      </c>
    </row>
    <row r="4413">
      <c r="A4413" s="9" t="n">
        <v>45475.79166666666</v>
      </c>
      <c r="B4413" t="n">
        <v>7</v>
      </c>
      <c r="C4413" t="n">
        <v>2</v>
      </c>
      <c r="D4413" t="n">
        <v>19</v>
      </c>
      <c r="E4413" s="10" t="n">
        <v>0.051748</v>
      </c>
      <c r="F4413" s="10" t="n">
        <v>0.2575118058028334</v>
      </c>
      <c r="G4413" s="11">
        <f>E4413*Summary!$B$6</f>
        <v/>
      </c>
      <c r="H4413" s="11">
        <f>F4413*Summary!$B$7</f>
        <v/>
      </c>
      <c r="I4413" s="11">
        <f>MAX(0,N4413-M4413)</f>
        <v/>
      </c>
      <c r="J4413" s="11">
        <f>MAX(0,M4413-N4413)</f>
        <v/>
      </c>
      <c r="K4413" s="11">
        <f>O4413</f>
        <v/>
      </c>
      <c r="L4413" s="11">
        <f>L4412+IF(K4413&gt;0,K4413*Summary!$B$9,K4413/Summary!$B$9)</f>
        <v/>
      </c>
      <c r="M4413" s="11">
        <f>G4413+H4413</f>
        <v/>
      </c>
      <c r="N4413" s="11">
        <f>Summary!$C$16*Summary!$B$8</f>
        <v/>
      </c>
      <c r="O4413" s="11">
        <f>M4413-N4413</f>
        <v/>
      </c>
    </row>
    <row r="4414">
      <c r="A4414" s="9" t="n">
        <v>45475.83333333334</v>
      </c>
      <c r="B4414" t="n">
        <v>7</v>
      </c>
      <c r="C4414" t="n">
        <v>2</v>
      </c>
      <c r="D4414" t="n">
        <v>20</v>
      </c>
      <c r="E4414" s="10" t="n">
        <v>0.012198</v>
      </c>
      <c r="F4414" s="10" t="n">
        <v>0.2530319647276715</v>
      </c>
      <c r="G4414" s="11">
        <f>E4414*Summary!$B$6</f>
        <v/>
      </c>
      <c r="H4414" s="11">
        <f>F4414*Summary!$B$7</f>
        <v/>
      </c>
      <c r="I4414" s="11">
        <f>MAX(0,N4414-M4414)</f>
        <v/>
      </c>
      <c r="J4414" s="11">
        <f>MAX(0,M4414-N4414)</f>
        <v/>
      </c>
      <c r="K4414" s="11">
        <f>O4414</f>
        <v/>
      </c>
      <c r="L4414" s="11">
        <f>L4413+IF(K4414&gt;0,K4414*Summary!$B$9,K4414/Summary!$B$9)</f>
        <v/>
      </c>
      <c r="M4414" s="11">
        <f>G4414+H4414</f>
        <v/>
      </c>
      <c r="N4414" s="11">
        <f>Summary!$C$16*Summary!$B$8</f>
        <v/>
      </c>
      <c r="O4414" s="11">
        <f>M4414-N4414</f>
        <v/>
      </c>
    </row>
    <row r="4415">
      <c r="A4415" s="9" t="n">
        <v>45475.875</v>
      </c>
      <c r="B4415" t="n">
        <v>7</v>
      </c>
      <c r="C4415" t="n">
        <v>2</v>
      </c>
      <c r="D4415" t="n">
        <v>21</v>
      </c>
      <c r="E4415" s="10" t="n">
        <v>0</v>
      </c>
      <c r="F4415" s="10" t="n">
        <v>0.2593037422328981</v>
      </c>
      <c r="G4415" s="11">
        <f>E4415*Summary!$B$6</f>
        <v/>
      </c>
      <c r="H4415" s="11">
        <f>F4415*Summary!$B$7</f>
        <v/>
      </c>
      <c r="I4415" s="11">
        <f>MAX(0,N4415-M4415)</f>
        <v/>
      </c>
      <c r="J4415" s="11">
        <f>MAX(0,M4415-N4415)</f>
        <v/>
      </c>
      <c r="K4415" s="11">
        <f>O4415</f>
        <v/>
      </c>
      <c r="L4415" s="11">
        <f>L4414+IF(K4415&gt;0,K4415*Summary!$B$9,K4415/Summary!$B$9)</f>
        <v/>
      </c>
      <c r="M4415" s="11">
        <f>G4415+H4415</f>
        <v/>
      </c>
      <c r="N4415" s="11">
        <f>Summary!$C$16*Summary!$B$8</f>
        <v/>
      </c>
      <c r="O4415" s="11">
        <f>M4415-N4415</f>
        <v/>
      </c>
    </row>
    <row r="4416">
      <c r="A4416" s="9" t="n">
        <v>45475.91666666666</v>
      </c>
      <c r="B4416" t="n">
        <v>7</v>
      </c>
      <c r="C4416" t="n">
        <v>2</v>
      </c>
      <c r="D4416" t="n">
        <v>22</v>
      </c>
      <c r="E4416" s="10" t="n">
        <v>0</v>
      </c>
      <c r="F4416" s="10" t="n">
        <v>0.2700817128196111</v>
      </c>
      <c r="G4416" s="11">
        <f>E4416*Summary!$B$6</f>
        <v/>
      </c>
      <c r="H4416" s="11">
        <f>F4416*Summary!$B$7</f>
        <v/>
      </c>
      <c r="I4416" s="11">
        <f>MAX(0,N4416-M4416)</f>
        <v/>
      </c>
      <c r="J4416" s="11">
        <f>MAX(0,M4416-N4416)</f>
        <v/>
      </c>
      <c r="K4416" s="11">
        <f>O4416</f>
        <v/>
      </c>
      <c r="L4416" s="11">
        <f>L4415+IF(K4416&gt;0,K4416*Summary!$B$9,K4416/Summary!$B$9)</f>
        <v/>
      </c>
      <c r="M4416" s="11">
        <f>G4416+H4416</f>
        <v/>
      </c>
      <c r="N4416" s="11">
        <f>Summary!$C$16*Summary!$B$8</f>
        <v/>
      </c>
      <c r="O4416" s="11">
        <f>M4416-N4416</f>
        <v/>
      </c>
    </row>
    <row r="4417">
      <c r="A4417" s="9" t="n">
        <v>45475.95833333334</v>
      </c>
      <c r="B4417" t="n">
        <v>7</v>
      </c>
      <c r="C4417" t="n">
        <v>2</v>
      </c>
      <c r="D4417" t="n">
        <v>23</v>
      </c>
      <c r="E4417" s="10" t="n">
        <v>0</v>
      </c>
      <c r="F4417" s="10" t="n">
        <v>0.2688695205286849</v>
      </c>
      <c r="G4417" s="11">
        <f>E4417*Summary!$B$6</f>
        <v/>
      </c>
      <c r="H4417" s="11">
        <f>F4417*Summary!$B$7</f>
        <v/>
      </c>
      <c r="I4417" s="11">
        <f>MAX(0,N4417-M4417)</f>
        <v/>
      </c>
      <c r="J4417" s="11">
        <f>MAX(0,M4417-N4417)</f>
        <v/>
      </c>
      <c r="K4417" s="11">
        <f>O4417</f>
        <v/>
      </c>
      <c r="L4417" s="11">
        <f>L4416+IF(K4417&gt;0,K4417*Summary!$B$9,K4417/Summary!$B$9)</f>
        <v/>
      </c>
      <c r="M4417" s="11">
        <f>G4417+H4417</f>
        <v/>
      </c>
      <c r="N4417" s="11">
        <f>Summary!$C$16*Summary!$B$8</f>
        <v/>
      </c>
      <c r="O4417" s="11">
        <f>M4417-N4417</f>
        <v/>
      </c>
    </row>
    <row r="4418">
      <c r="A4418" s="9" t="n">
        <v>45476</v>
      </c>
      <c r="B4418" t="n">
        <v>7</v>
      </c>
      <c r="C4418" t="n">
        <v>3</v>
      </c>
      <c r="D4418" t="n">
        <v>0</v>
      </c>
      <c r="E4418" s="10" t="n">
        <v>0</v>
      </c>
      <c r="F4418" s="10" t="n">
        <v>0.2890815093795622</v>
      </c>
      <c r="G4418" s="11">
        <f>E4418*Summary!$B$6</f>
        <v/>
      </c>
      <c r="H4418" s="11">
        <f>F4418*Summary!$B$7</f>
        <v/>
      </c>
      <c r="I4418" s="11">
        <f>MAX(0,N4418-M4418)</f>
        <v/>
      </c>
      <c r="J4418" s="11">
        <f>MAX(0,M4418-N4418)</f>
        <v/>
      </c>
      <c r="K4418" s="11">
        <f>O4418</f>
        <v/>
      </c>
      <c r="L4418" s="11">
        <f>L4417+IF(K4418&gt;0,K4418*Summary!$B$9,K4418/Summary!$B$9)</f>
        <v/>
      </c>
      <c r="M4418" s="11">
        <f>G4418+H4418</f>
        <v/>
      </c>
      <c r="N4418" s="11">
        <f>Summary!$C$16*Summary!$B$8</f>
        <v/>
      </c>
      <c r="O4418" s="11">
        <f>M4418-N4418</f>
        <v/>
      </c>
    </row>
    <row r="4419">
      <c r="A4419" s="9" t="n">
        <v>45476.04166666666</v>
      </c>
      <c r="B4419" t="n">
        <v>7</v>
      </c>
      <c r="C4419" t="n">
        <v>3</v>
      </c>
      <c r="D4419" t="n">
        <v>1</v>
      </c>
      <c r="E4419" s="10" t="n">
        <v>0</v>
      </c>
      <c r="F4419" s="10" t="n">
        <v>0.2790677469762592</v>
      </c>
      <c r="G4419" s="11">
        <f>E4419*Summary!$B$6</f>
        <v/>
      </c>
      <c r="H4419" s="11">
        <f>F4419*Summary!$B$7</f>
        <v/>
      </c>
      <c r="I4419" s="11">
        <f>MAX(0,N4419-M4419)</f>
        <v/>
      </c>
      <c r="J4419" s="11">
        <f>MAX(0,M4419-N4419)</f>
        <v/>
      </c>
      <c r="K4419" s="11">
        <f>O4419</f>
        <v/>
      </c>
      <c r="L4419" s="11">
        <f>L4418+IF(K4419&gt;0,K4419*Summary!$B$9,K4419/Summary!$B$9)</f>
        <v/>
      </c>
      <c r="M4419" s="11">
        <f>G4419+H4419</f>
        <v/>
      </c>
      <c r="N4419" s="11">
        <f>Summary!$C$16*Summary!$B$8</f>
        <v/>
      </c>
      <c r="O4419" s="11">
        <f>M4419-N4419</f>
        <v/>
      </c>
    </row>
    <row r="4420">
      <c r="A4420" s="9" t="n">
        <v>45476.08333333334</v>
      </c>
      <c r="B4420" t="n">
        <v>7</v>
      </c>
      <c r="C4420" t="n">
        <v>3</v>
      </c>
      <c r="D4420" t="n">
        <v>2</v>
      </c>
      <c r="E4420" s="10" t="n">
        <v>0</v>
      </c>
      <c r="F4420" s="10" t="n">
        <v>0.2825725638174153</v>
      </c>
      <c r="G4420" s="11">
        <f>E4420*Summary!$B$6</f>
        <v/>
      </c>
      <c r="H4420" s="11">
        <f>F4420*Summary!$B$7</f>
        <v/>
      </c>
      <c r="I4420" s="11">
        <f>MAX(0,N4420-M4420)</f>
        <v/>
      </c>
      <c r="J4420" s="11">
        <f>MAX(0,M4420-N4420)</f>
        <v/>
      </c>
      <c r="K4420" s="11">
        <f>O4420</f>
        <v/>
      </c>
      <c r="L4420" s="11">
        <f>L4419+IF(K4420&gt;0,K4420*Summary!$B$9,K4420/Summary!$B$9)</f>
        <v/>
      </c>
      <c r="M4420" s="11">
        <f>G4420+H4420</f>
        <v/>
      </c>
      <c r="N4420" s="11">
        <f>Summary!$C$16*Summary!$B$8</f>
        <v/>
      </c>
      <c r="O4420" s="11">
        <f>M4420-N4420</f>
        <v/>
      </c>
    </row>
    <row r="4421">
      <c r="A4421" s="9" t="n">
        <v>45476.125</v>
      </c>
      <c r="B4421" t="n">
        <v>7</v>
      </c>
      <c r="C4421" t="n">
        <v>3</v>
      </c>
      <c r="D4421" t="n">
        <v>3</v>
      </c>
      <c r="E4421" s="10" t="n">
        <v>0</v>
      </c>
      <c r="F4421" s="10" t="n">
        <v>0.287263220943173</v>
      </c>
      <c r="G4421" s="11">
        <f>E4421*Summary!$B$6</f>
        <v/>
      </c>
      <c r="H4421" s="11">
        <f>F4421*Summary!$B$7</f>
        <v/>
      </c>
      <c r="I4421" s="11">
        <f>MAX(0,N4421-M4421)</f>
        <v/>
      </c>
      <c r="J4421" s="11">
        <f>MAX(0,M4421-N4421)</f>
        <v/>
      </c>
      <c r="K4421" s="11">
        <f>O4421</f>
        <v/>
      </c>
      <c r="L4421" s="11">
        <f>L4420+IF(K4421&gt;0,K4421*Summary!$B$9,K4421/Summary!$B$9)</f>
        <v/>
      </c>
      <c r="M4421" s="11">
        <f>G4421+H4421</f>
        <v/>
      </c>
      <c r="N4421" s="11">
        <f>Summary!$C$16*Summary!$B$8</f>
        <v/>
      </c>
      <c r="O4421" s="11">
        <f>M4421-N4421</f>
        <v/>
      </c>
    </row>
    <row r="4422">
      <c r="A4422" s="9" t="n">
        <v>45476.16666666666</v>
      </c>
      <c r="B4422" t="n">
        <v>7</v>
      </c>
      <c r="C4422" t="n">
        <v>3</v>
      </c>
      <c r="D4422" t="n">
        <v>4</v>
      </c>
      <c r="E4422" s="10" t="n">
        <v>0.015959</v>
      </c>
      <c r="F4422" s="10" t="n">
        <v>0.2820455236909257</v>
      </c>
      <c r="G4422" s="11">
        <f>E4422*Summary!$B$6</f>
        <v/>
      </c>
      <c r="H4422" s="11">
        <f>F4422*Summary!$B$7</f>
        <v/>
      </c>
      <c r="I4422" s="11">
        <f>MAX(0,N4422-M4422)</f>
        <v/>
      </c>
      <c r="J4422" s="11">
        <f>MAX(0,M4422-N4422)</f>
        <v/>
      </c>
      <c r="K4422" s="11">
        <f>O4422</f>
        <v/>
      </c>
      <c r="L4422" s="11">
        <f>L4421+IF(K4422&gt;0,K4422*Summary!$B$9,K4422/Summary!$B$9)</f>
        <v/>
      </c>
      <c r="M4422" s="11">
        <f>G4422+H4422</f>
        <v/>
      </c>
      <c r="N4422" s="11">
        <f>Summary!$C$16*Summary!$B$8</f>
        <v/>
      </c>
      <c r="O4422" s="11">
        <f>M4422-N4422</f>
        <v/>
      </c>
    </row>
    <row r="4423">
      <c r="A4423" s="9" t="n">
        <v>45476.20833333334</v>
      </c>
      <c r="B4423" t="n">
        <v>7</v>
      </c>
      <c r="C4423" t="n">
        <v>3</v>
      </c>
      <c r="D4423" t="n">
        <v>5</v>
      </c>
      <c r="E4423" s="10" t="n">
        <v>0.058877</v>
      </c>
      <c r="F4423" s="10" t="n">
        <v>0.2700553608132866</v>
      </c>
      <c r="G4423" s="11">
        <f>E4423*Summary!$B$6</f>
        <v/>
      </c>
      <c r="H4423" s="11">
        <f>F4423*Summary!$B$7</f>
        <v/>
      </c>
      <c r="I4423" s="11">
        <f>MAX(0,N4423-M4423)</f>
        <v/>
      </c>
      <c r="J4423" s="11">
        <f>MAX(0,M4423-N4423)</f>
        <v/>
      </c>
      <c r="K4423" s="11">
        <f>O4423</f>
        <v/>
      </c>
      <c r="L4423" s="11">
        <f>L4422+IF(K4423&gt;0,K4423*Summary!$B$9,K4423/Summary!$B$9)</f>
        <v/>
      </c>
      <c r="M4423" s="11">
        <f>G4423+H4423</f>
        <v/>
      </c>
      <c r="N4423" s="11">
        <f>Summary!$C$16*Summary!$B$8</f>
        <v/>
      </c>
      <c r="O4423" s="11">
        <f>M4423-N4423</f>
        <v/>
      </c>
    </row>
    <row r="4424">
      <c r="A4424" s="9" t="n">
        <v>45476.25</v>
      </c>
      <c r="B4424" t="n">
        <v>7</v>
      </c>
      <c r="C4424" t="n">
        <v>3</v>
      </c>
      <c r="D4424" t="n">
        <v>6</v>
      </c>
      <c r="E4424" s="10" t="n">
        <v>0.206519</v>
      </c>
      <c r="F4424" s="10" t="n">
        <v>0.2625977430234583</v>
      </c>
      <c r="G4424" s="11">
        <f>E4424*Summary!$B$6</f>
        <v/>
      </c>
      <c r="H4424" s="11">
        <f>F4424*Summary!$B$7</f>
        <v/>
      </c>
      <c r="I4424" s="11">
        <f>MAX(0,N4424-M4424)</f>
        <v/>
      </c>
      <c r="J4424" s="11">
        <f>MAX(0,M4424-N4424)</f>
        <v/>
      </c>
      <c r="K4424" s="11">
        <f>O4424</f>
        <v/>
      </c>
      <c r="L4424" s="11">
        <f>L4423+IF(K4424&gt;0,K4424*Summary!$B$9,K4424/Summary!$B$9)</f>
        <v/>
      </c>
      <c r="M4424" s="11">
        <f>G4424+H4424</f>
        <v/>
      </c>
      <c r="N4424" s="11">
        <f>Summary!$C$16*Summary!$B$8</f>
        <v/>
      </c>
      <c r="O4424" s="11">
        <f>M4424-N4424</f>
        <v/>
      </c>
    </row>
    <row r="4425">
      <c r="A4425" s="9" t="n">
        <v>45476.29166666666</v>
      </c>
      <c r="B4425" t="n">
        <v>7</v>
      </c>
      <c r="C4425" t="n">
        <v>3</v>
      </c>
      <c r="D4425" t="n">
        <v>7</v>
      </c>
      <c r="E4425" s="10" t="n">
        <v>0.408537</v>
      </c>
      <c r="F4425" s="10" t="n">
        <v>0.2673147521555405</v>
      </c>
      <c r="G4425" s="11">
        <f>E4425*Summary!$B$6</f>
        <v/>
      </c>
      <c r="H4425" s="11">
        <f>F4425*Summary!$B$7</f>
        <v/>
      </c>
      <c r="I4425" s="11">
        <f>MAX(0,N4425-M4425)</f>
        <v/>
      </c>
      <c r="J4425" s="11">
        <f>MAX(0,M4425-N4425)</f>
        <v/>
      </c>
      <c r="K4425" s="11">
        <f>O4425</f>
        <v/>
      </c>
      <c r="L4425" s="11">
        <f>L4424+IF(K4425&gt;0,K4425*Summary!$B$9,K4425/Summary!$B$9)</f>
        <v/>
      </c>
      <c r="M4425" s="11">
        <f>G4425+H4425</f>
        <v/>
      </c>
      <c r="N4425" s="11">
        <f>Summary!$C$16*Summary!$B$8</f>
        <v/>
      </c>
      <c r="O4425" s="11">
        <f>M4425-N4425</f>
        <v/>
      </c>
    </row>
    <row r="4426">
      <c r="A4426" s="9" t="n">
        <v>45476.33333333334</v>
      </c>
      <c r="B4426" t="n">
        <v>7</v>
      </c>
      <c r="C4426" t="n">
        <v>3</v>
      </c>
      <c r="D4426" t="n">
        <v>8</v>
      </c>
      <c r="E4426" s="10" t="n">
        <v>0.590056</v>
      </c>
      <c r="F4426" s="10" t="n">
        <v>0.2776710906410618</v>
      </c>
      <c r="G4426" s="11">
        <f>E4426*Summary!$B$6</f>
        <v/>
      </c>
      <c r="H4426" s="11">
        <f>F4426*Summary!$B$7</f>
        <v/>
      </c>
      <c r="I4426" s="11">
        <f>MAX(0,N4426-M4426)</f>
        <v/>
      </c>
      <c r="J4426" s="11">
        <f>MAX(0,M4426-N4426)</f>
        <v/>
      </c>
      <c r="K4426" s="11">
        <f>O4426</f>
        <v/>
      </c>
      <c r="L4426" s="11">
        <f>L4425+IF(K4426&gt;0,K4426*Summary!$B$9,K4426/Summary!$B$9)</f>
        <v/>
      </c>
      <c r="M4426" s="11">
        <f>G4426+H4426</f>
        <v/>
      </c>
      <c r="N4426" s="11">
        <f>Summary!$C$16*Summary!$B$8</f>
        <v/>
      </c>
      <c r="O4426" s="11">
        <f>M4426-N4426</f>
        <v/>
      </c>
    </row>
    <row r="4427">
      <c r="A4427" s="9" t="n">
        <v>45476.375</v>
      </c>
      <c r="B4427" t="n">
        <v>7</v>
      </c>
      <c r="C4427" t="n">
        <v>3</v>
      </c>
      <c r="D4427" t="n">
        <v>9</v>
      </c>
      <c r="E4427" s="10" t="n">
        <v>0.734012</v>
      </c>
      <c r="F4427" s="10" t="n">
        <v>0.2862354926965183</v>
      </c>
      <c r="G4427" s="11">
        <f>E4427*Summary!$B$6</f>
        <v/>
      </c>
      <c r="H4427" s="11">
        <f>F4427*Summary!$B$7</f>
        <v/>
      </c>
      <c r="I4427" s="11">
        <f>MAX(0,N4427-M4427)</f>
        <v/>
      </c>
      <c r="J4427" s="11">
        <f>MAX(0,M4427-N4427)</f>
        <v/>
      </c>
      <c r="K4427" s="11">
        <f>O4427</f>
        <v/>
      </c>
      <c r="L4427" s="11">
        <f>L4426+IF(K4427&gt;0,K4427*Summary!$B$9,K4427/Summary!$B$9)</f>
        <v/>
      </c>
      <c r="M4427" s="11">
        <f>G4427+H4427</f>
        <v/>
      </c>
      <c r="N4427" s="11">
        <f>Summary!$C$16*Summary!$B$8</f>
        <v/>
      </c>
      <c r="O4427" s="11">
        <f>M4427-N4427</f>
        <v/>
      </c>
    </row>
    <row r="4428">
      <c r="A4428" s="9" t="n">
        <v>45476.41666666666</v>
      </c>
      <c r="B4428" t="n">
        <v>7</v>
      </c>
      <c r="C4428" t="n">
        <v>3</v>
      </c>
      <c r="D4428" t="n">
        <v>10</v>
      </c>
      <c r="E4428" s="10" t="n">
        <v>0.754058</v>
      </c>
      <c r="F4428" s="10" t="n">
        <v>0.2995696078967059</v>
      </c>
      <c r="G4428" s="11">
        <f>E4428*Summary!$B$6</f>
        <v/>
      </c>
      <c r="H4428" s="11">
        <f>F4428*Summary!$B$7</f>
        <v/>
      </c>
      <c r="I4428" s="11">
        <f>MAX(0,N4428-M4428)</f>
        <v/>
      </c>
      <c r="J4428" s="11">
        <f>MAX(0,M4428-N4428)</f>
        <v/>
      </c>
      <c r="K4428" s="11">
        <f>O4428</f>
        <v/>
      </c>
      <c r="L4428" s="11">
        <f>L4427+IF(K4428&gt;0,K4428*Summary!$B$9,K4428/Summary!$B$9)</f>
        <v/>
      </c>
      <c r="M4428" s="11">
        <f>G4428+H4428</f>
        <v/>
      </c>
      <c r="N4428" s="11">
        <f>Summary!$C$16*Summary!$B$8</f>
        <v/>
      </c>
      <c r="O4428" s="11">
        <f>M4428-N4428</f>
        <v/>
      </c>
    </row>
    <row r="4429">
      <c r="A4429" s="9" t="n">
        <v>45476.45833333334</v>
      </c>
      <c r="B4429" t="n">
        <v>7</v>
      </c>
      <c r="C4429" t="n">
        <v>3</v>
      </c>
      <c r="D4429" t="n">
        <v>11</v>
      </c>
      <c r="E4429" s="10" t="n">
        <v>0.754058</v>
      </c>
      <c r="F4429" s="10" t="n">
        <v>0.3088191621165989</v>
      </c>
      <c r="G4429" s="11">
        <f>E4429*Summary!$B$6</f>
        <v/>
      </c>
      <c r="H4429" s="11">
        <f>F4429*Summary!$B$7</f>
        <v/>
      </c>
      <c r="I4429" s="11">
        <f>MAX(0,N4429-M4429)</f>
        <v/>
      </c>
      <c r="J4429" s="11">
        <f>MAX(0,M4429-N4429)</f>
        <v/>
      </c>
      <c r="K4429" s="11">
        <f>O4429</f>
        <v/>
      </c>
      <c r="L4429" s="11">
        <f>L4428+IF(K4429&gt;0,K4429*Summary!$B$9,K4429/Summary!$B$9)</f>
        <v/>
      </c>
      <c r="M4429" s="11">
        <f>G4429+H4429</f>
        <v/>
      </c>
      <c r="N4429" s="11">
        <f>Summary!$C$16*Summary!$B$8</f>
        <v/>
      </c>
      <c r="O4429" s="11">
        <f>M4429-N4429</f>
        <v/>
      </c>
    </row>
    <row r="4430">
      <c r="A4430" s="9" t="n">
        <v>45476.5</v>
      </c>
      <c r="B4430" t="n">
        <v>7</v>
      </c>
      <c r="C4430" t="n">
        <v>3</v>
      </c>
      <c r="D4430" t="n">
        <v>12</v>
      </c>
      <c r="E4430" s="10" t="n">
        <v>0.754058</v>
      </c>
      <c r="F4430" s="10" t="n">
        <v>0.3155652757356662</v>
      </c>
      <c r="G4430" s="11">
        <f>E4430*Summary!$B$6</f>
        <v/>
      </c>
      <c r="H4430" s="11">
        <f>F4430*Summary!$B$7</f>
        <v/>
      </c>
      <c r="I4430" s="11">
        <f>MAX(0,N4430-M4430)</f>
        <v/>
      </c>
      <c r="J4430" s="11">
        <f>MAX(0,M4430-N4430)</f>
        <v/>
      </c>
      <c r="K4430" s="11">
        <f>O4430</f>
        <v/>
      </c>
      <c r="L4430" s="11">
        <f>L4429+IF(K4430&gt;0,K4430*Summary!$B$9,K4430/Summary!$B$9)</f>
        <v/>
      </c>
      <c r="M4430" s="11">
        <f>G4430+H4430</f>
        <v/>
      </c>
      <c r="N4430" s="11">
        <f>Summary!$C$16*Summary!$B$8</f>
        <v/>
      </c>
      <c r="O4430" s="11">
        <f>M4430-N4430</f>
        <v/>
      </c>
    </row>
    <row r="4431">
      <c r="A4431" s="9" t="n">
        <v>45476.54166666666</v>
      </c>
      <c r="B4431" t="n">
        <v>7</v>
      </c>
      <c r="C4431" t="n">
        <v>3</v>
      </c>
      <c r="D4431" t="n">
        <v>13</v>
      </c>
      <c r="E4431" s="10" t="n">
        <v>0.754058</v>
      </c>
      <c r="F4431" s="10" t="n">
        <v>0.32858316685996</v>
      </c>
      <c r="G4431" s="11">
        <f>E4431*Summary!$B$6</f>
        <v/>
      </c>
      <c r="H4431" s="11">
        <f>F4431*Summary!$B$7</f>
        <v/>
      </c>
      <c r="I4431" s="11">
        <f>MAX(0,N4431-M4431)</f>
        <v/>
      </c>
      <c r="J4431" s="11">
        <f>MAX(0,M4431-N4431)</f>
        <v/>
      </c>
      <c r="K4431" s="11">
        <f>O4431</f>
        <v/>
      </c>
      <c r="L4431" s="11">
        <f>L4430+IF(K4431&gt;0,K4431*Summary!$B$9,K4431/Summary!$B$9)</f>
        <v/>
      </c>
      <c r="M4431" s="11">
        <f>G4431+H4431</f>
        <v/>
      </c>
      <c r="N4431" s="11">
        <f>Summary!$C$16*Summary!$B$8</f>
        <v/>
      </c>
      <c r="O4431" s="11">
        <f>M4431-N4431</f>
        <v/>
      </c>
    </row>
    <row r="4432">
      <c r="A4432" s="9" t="n">
        <v>45476.58333333334</v>
      </c>
      <c r="B4432" t="n">
        <v>7</v>
      </c>
      <c r="C4432" t="n">
        <v>3</v>
      </c>
      <c r="D4432" t="n">
        <v>14</v>
      </c>
      <c r="E4432" s="10" t="n">
        <v>0.55682</v>
      </c>
      <c r="F4432" s="10" t="n">
        <v>0.3358299685991925</v>
      </c>
      <c r="G4432" s="11">
        <f>E4432*Summary!$B$6</f>
        <v/>
      </c>
      <c r="H4432" s="11">
        <f>F4432*Summary!$B$7</f>
        <v/>
      </c>
      <c r="I4432" s="11">
        <f>MAX(0,N4432-M4432)</f>
        <v/>
      </c>
      <c r="J4432" s="11">
        <f>MAX(0,M4432-N4432)</f>
        <v/>
      </c>
      <c r="K4432" s="11">
        <f>O4432</f>
        <v/>
      </c>
      <c r="L4432" s="11">
        <f>L4431+IF(K4432&gt;0,K4432*Summary!$B$9,K4432/Summary!$B$9)</f>
        <v/>
      </c>
      <c r="M4432" s="11">
        <f>G4432+H4432</f>
        <v/>
      </c>
      <c r="N4432" s="11">
        <f>Summary!$C$16*Summary!$B$8</f>
        <v/>
      </c>
      <c r="O4432" s="11">
        <f>M4432-N4432</f>
        <v/>
      </c>
    </row>
    <row r="4433">
      <c r="A4433" s="9" t="n">
        <v>45476.625</v>
      </c>
      <c r="B4433" t="n">
        <v>7</v>
      </c>
      <c r="C4433" t="n">
        <v>3</v>
      </c>
      <c r="D4433" t="n">
        <v>15</v>
      </c>
      <c r="E4433" s="10" t="n">
        <v>0.62269</v>
      </c>
      <c r="F4433" s="10" t="n">
        <v>0.3344069602576704</v>
      </c>
      <c r="G4433" s="11">
        <f>E4433*Summary!$B$6</f>
        <v/>
      </c>
      <c r="H4433" s="11">
        <f>F4433*Summary!$B$7</f>
        <v/>
      </c>
      <c r="I4433" s="11">
        <f>MAX(0,N4433-M4433)</f>
        <v/>
      </c>
      <c r="J4433" s="11">
        <f>MAX(0,M4433-N4433)</f>
        <v/>
      </c>
      <c r="K4433" s="11">
        <f>O4433</f>
        <v/>
      </c>
      <c r="L4433" s="11">
        <f>L4432+IF(K4433&gt;0,K4433*Summary!$B$9,K4433/Summary!$B$9)</f>
        <v/>
      </c>
      <c r="M4433" s="11">
        <f>G4433+H4433</f>
        <v/>
      </c>
      <c r="N4433" s="11">
        <f>Summary!$C$16*Summary!$B$8</f>
        <v/>
      </c>
      <c r="O4433" s="11">
        <f>M4433-N4433</f>
        <v/>
      </c>
    </row>
    <row r="4434">
      <c r="A4434" s="9" t="n">
        <v>45476.66666666666</v>
      </c>
      <c r="B4434" t="n">
        <v>7</v>
      </c>
      <c r="C4434" t="n">
        <v>3</v>
      </c>
      <c r="D4434" t="n">
        <v>16</v>
      </c>
      <c r="E4434" s="10" t="n">
        <v>0.398711</v>
      </c>
      <c r="F4434" s="10" t="n">
        <v>0.3168828760518902</v>
      </c>
      <c r="G4434" s="11">
        <f>E4434*Summary!$B$6</f>
        <v/>
      </c>
      <c r="H4434" s="11">
        <f>F4434*Summary!$B$7</f>
        <v/>
      </c>
      <c r="I4434" s="11">
        <f>MAX(0,N4434-M4434)</f>
        <v/>
      </c>
      <c r="J4434" s="11">
        <f>MAX(0,M4434-N4434)</f>
        <v/>
      </c>
      <c r="K4434" s="11">
        <f>O4434</f>
        <v/>
      </c>
      <c r="L4434" s="11">
        <f>L4433+IF(K4434&gt;0,K4434*Summary!$B$9,K4434/Summary!$B$9)</f>
        <v/>
      </c>
      <c r="M4434" s="11">
        <f>G4434+H4434</f>
        <v/>
      </c>
      <c r="N4434" s="11">
        <f>Summary!$C$16*Summary!$B$8</f>
        <v/>
      </c>
      <c r="O4434" s="11">
        <f>M4434-N4434</f>
        <v/>
      </c>
    </row>
    <row r="4435">
      <c r="A4435" s="9" t="n">
        <v>45476.70833333334</v>
      </c>
      <c r="B4435" t="n">
        <v>7</v>
      </c>
      <c r="C4435" t="n">
        <v>3</v>
      </c>
      <c r="D4435" t="n">
        <v>17</v>
      </c>
      <c r="E4435" s="10" t="n">
        <v>0.112548</v>
      </c>
      <c r="F4435" s="10" t="n">
        <v>0.3135888752613301</v>
      </c>
      <c r="G4435" s="11">
        <f>E4435*Summary!$B$6</f>
        <v/>
      </c>
      <c r="H4435" s="11">
        <f>F4435*Summary!$B$7</f>
        <v/>
      </c>
      <c r="I4435" s="11">
        <f>MAX(0,N4435-M4435)</f>
        <v/>
      </c>
      <c r="J4435" s="11">
        <f>MAX(0,M4435-N4435)</f>
        <v/>
      </c>
      <c r="K4435" s="11">
        <f>O4435</f>
        <v/>
      </c>
      <c r="L4435" s="11">
        <f>L4434+IF(K4435&gt;0,K4435*Summary!$B$9,K4435/Summary!$B$9)</f>
        <v/>
      </c>
      <c r="M4435" s="11">
        <f>G4435+H4435</f>
        <v/>
      </c>
      <c r="N4435" s="11">
        <f>Summary!$C$16*Summary!$B$8</f>
        <v/>
      </c>
      <c r="O4435" s="11">
        <f>M4435-N4435</f>
        <v/>
      </c>
    </row>
    <row r="4436">
      <c r="A4436" s="9" t="n">
        <v>45476.75</v>
      </c>
      <c r="B4436" t="n">
        <v>7</v>
      </c>
      <c r="C4436" t="n">
        <v>3</v>
      </c>
      <c r="D4436" t="n">
        <v>18</v>
      </c>
      <c r="E4436" s="10" t="n">
        <v>0.059843</v>
      </c>
      <c r="F4436" s="10" t="n">
        <v>0.2904254617021108</v>
      </c>
      <c r="G4436" s="11">
        <f>E4436*Summary!$B$6</f>
        <v/>
      </c>
      <c r="H4436" s="11">
        <f>F4436*Summary!$B$7</f>
        <v/>
      </c>
      <c r="I4436" s="11">
        <f>MAX(0,N4436-M4436)</f>
        <v/>
      </c>
      <c r="J4436" s="11">
        <f>MAX(0,M4436-N4436)</f>
        <v/>
      </c>
      <c r="K4436" s="11">
        <f>O4436</f>
        <v/>
      </c>
      <c r="L4436" s="11">
        <f>L4435+IF(K4436&gt;0,K4436*Summary!$B$9,K4436/Summary!$B$9)</f>
        <v/>
      </c>
      <c r="M4436" s="11">
        <f>G4436+H4436</f>
        <v/>
      </c>
      <c r="N4436" s="11">
        <f>Summary!$C$16*Summary!$B$8</f>
        <v/>
      </c>
      <c r="O4436" s="11">
        <f>M4436-N4436</f>
        <v/>
      </c>
    </row>
    <row r="4437">
      <c r="A4437" s="9" t="n">
        <v>45476.79166666666</v>
      </c>
      <c r="B4437" t="n">
        <v>7</v>
      </c>
      <c r="C4437" t="n">
        <v>3</v>
      </c>
      <c r="D4437" t="n">
        <v>19</v>
      </c>
      <c r="E4437" s="10" t="n">
        <v>0.039949</v>
      </c>
      <c r="F4437" s="10" t="n">
        <v>0.2728750254900061</v>
      </c>
      <c r="G4437" s="11">
        <f>E4437*Summary!$B$6</f>
        <v/>
      </c>
      <c r="H4437" s="11">
        <f>F4437*Summary!$B$7</f>
        <v/>
      </c>
      <c r="I4437" s="11">
        <f>MAX(0,N4437-M4437)</f>
        <v/>
      </c>
      <c r="J4437" s="11">
        <f>MAX(0,M4437-N4437)</f>
        <v/>
      </c>
      <c r="K4437" s="11">
        <f>O4437</f>
        <v/>
      </c>
      <c r="L4437" s="11">
        <f>L4436+IF(K4437&gt;0,K4437*Summary!$B$9,K4437/Summary!$B$9)</f>
        <v/>
      </c>
      <c r="M4437" s="11">
        <f>G4437+H4437</f>
        <v/>
      </c>
      <c r="N4437" s="11">
        <f>Summary!$C$16*Summary!$B$8</f>
        <v/>
      </c>
      <c r="O4437" s="11">
        <f>M4437-N4437</f>
        <v/>
      </c>
    </row>
    <row r="4438">
      <c r="A4438" s="9" t="n">
        <v>45476.83333333334</v>
      </c>
      <c r="B4438" t="n">
        <v>7</v>
      </c>
      <c r="C4438" t="n">
        <v>3</v>
      </c>
      <c r="D4438" t="n">
        <v>20</v>
      </c>
      <c r="E4438" s="10" t="n">
        <v>0.016963</v>
      </c>
      <c r="F4438" s="10" t="n">
        <v>0.2762744343058642</v>
      </c>
      <c r="G4438" s="11">
        <f>E4438*Summary!$B$6</f>
        <v/>
      </c>
      <c r="H4438" s="11">
        <f>F4438*Summary!$B$7</f>
        <v/>
      </c>
      <c r="I4438" s="11">
        <f>MAX(0,N4438-M4438)</f>
        <v/>
      </c>
      <c r="J4438" s="11">
        <f>MAX(0,M4438-N4438)</f>
        <v/>
      </c>
      <c r="K4438" s="11">
        <f>O4438</f>
        <v/>
      </c>
      <c r="L4438" s="11">
        <f>L4437+IF(K4438&gt;0,K4438*Summary!$B$9,K4438/Summary!$B$9)</f>
        <v/>
      </c>
      <c r="M4438" s="11">
        <f>G4438+H4438</f>
        <v/>
      </c>
      <c r="N4438" s="11">
        <f>Summary!$C$16*Summary!$B$8</f>
        <v/>
      </c>
      <c r="O4438" s="11">
        <f>M4438-N4438</f>
        <v/>
      </c>
    </row>
    <row r="4439">
      <c r="A4439" s="9" t="n">
        <v>45476.875</v>
      </c>
      <c r="B4439" t="n">
        <v>7</v>
      </c>
      <c r="C4439" t="n">
        <v>3</v>
      </c>
      <c r="D4439" t="n">
        <v>21</v>
      </c>
      <c r="E4439" s="10" t="n">
        <v>0</v>
      </c>
      <c r="F4439" s="10" t="n">
        <v>0.2891869174048602</v>
      </c>
      <c r="G4439" s="11">
        <f>E4439*Summary!$B$6</f>
        <v/>
      </c>
      <c r="H4439" s="11">
        <f>F4439*Summary!$B$7</f>
        <v/>
      </c>
      <c r="I4439" s="11">
        <f>MAX(0,N4439-M4439)</f>
        <v/>
      </c>
      <c r="J4439" s="11">
        <f>MAX(0,M4439-N4439)</f>
        <v/>
      </c>
      <c r="K4439" s="11">
        <f>O4439</f>
        <v/>
      </c>
      <c r="L4439" s="11">
        <f>L4438+IF(K4439&gt;0,K4439*Summary!$B$9,K4439/Summary!$B$9)</f>
        <v/>
      </c>
      <c r="M4439" s="11">
        <f>G4439+H4439</f>
        <v/>
      </c>
      <c r="N4439" s="11">
        <f>Summary!$C$16*Summary!$B$8</f>
        <v/>
      </c>
      <c r="O4439" s="11">
        <f>M4439-N4439</f>
        <v/>
      </c>
    </row>
    <row r="4440">
      <c r="A4440" s="9" t="n">
        <v>45476.91666666666</v>
      </c>
      <c r="B4440" t="n">
        <v>7</v>
      </c>
      <c r="C4440" t="n">
        <v>3</v>
      </c>
      <c r="D4440" t="n">
        <v>22</v>
      </c>
      <c r="E4440" s="10" t="n">
        <v>0</v>
      </c>
      <c r="F4440" s="10" t="n">
        <v>0.2967235912136619</v>
      </c>
      <c r="G4440" s="11">
        <f>E4440*Summary!$B$6</f>
        <v/>
      </c>
      <c r="H4440" s="11">
        <f>F4440*Summary!$B$7</f>
        <v/>
      </c>
      <c r="I4440" s="11">
        <f>MAX(0,N4440-M4440)</f>
        <v/>
      </c>
      <c r="J4440" s="11">
        <f>MAX(0,M4440-N4440)</f>
        <v/>
      </c>
      <c r="K4440" s="11">
        <f>O4440</f>
        <v/>
      </c>
      <c r="L4440" s="11">
        <f>L4439+IF(K4440&gt;0,K4440*Summary!$B$9,K4440/Summary!$B$9)</f>
        <v/>
      </c>
      <c r="M4440" s="11">
        <f>G4440+H4440</f>
        <v/>
      </c>
      <c r="N4440" s="11">
        <f>Summary!$C$16*Summary!$B$8</f>
        <v/>
      </c>
      <c r="O4440" s="11">
        <f>M4440-N4440</f>
        <v/>
      </c>
    </row>
    <row r="4441">
      <c r="A4441" s="9" t="n">
        <v>45476.95833333334</v>
      </c>
      <c r="B4441" t="n">
        <v>7</v>
      </c>
      <c r="C4441" t="n">
        <v>3</v>
      </c>
      <c r="D4441" t="n">
        <v>23</v>
      </c>
      <c r="E4441" s="10" t="n">
        <v>0</v>
      </c>
      <c r="F4441" s="10" t="n">
        <v>0.2926917342460162</v>
      </c>
      <c r="G4441" s="11">
        <f>E4441*Summary!$B$6</f>
        <v/>
      </c>
      <c r="H4441" s="11">
        <f>F4441*Summary!$B$7</f>
        <v/>
      </c>
      <c r="I4441" s="11">
        <f>MAX(0,N4441-M4441)</f>
        <v/>
      </c>
      <c r="J4441" s="11">
        <f>MAX(0,M4441-N4441)</f>
        <v/>
      </c>
      <c r="K4441" s="11">
        <f>O4441</f>
        <v/>
      </c>
      <c r="L4441" s="11">
        <f>L4440+IF(K4441&gt;0,K4441*Summary!$B$9,K4441/Summary!$B$9)</f>
        <v/>
      </c>
      <c r="M4441" s="11">
        <f>G4441+H4441</f>
        <v/>
      </c>
      <c r="N4441" s="11">
        <f>Summary!$C$16*Summary!$B$8</f>
        <v/>
      </c>
      <c r="O4441" s="11">
        <f>M4441-N4441</f>
        <v/>
      </c>
    </row>
    <row r="4442">
      <c r="A4442" s="9" t="n">
        <v>45477</v>
      </c>
      <c r="B4442" t="n">
        <v>7</v>
      </c>
      <c r="C4442" t="n">
        <v>4</v>
      </c>
      <c r="D4442" t="n">
        <v>0</v>
      </c>
      <c r="E4442" s="10" t="n">
        <v>0</v>
      </c>
      <c r="F4442" s="10" t="n">
        <v>0.3038122809149474</v>
      </c>
      <c r="G4442" s="11">
        <f>E4442*Summary!$B$6</f>
        <v/>
      </c>
      <c r="H4442" s="11">
        <f>F4442*Summary!$B$7</f>
        <v/>
      </c>
      <c r="I4442" s="11">
        <f>MAX(0,N4442-M4442)</f>
        <v/>
      </c>
      <c r="J4442" s="11">
        <f>MAX(0,M4442-N4442)</f>
        <v/>
      </c>
      <c r="K4442" s="11">
        <f>O4442</f>
        <v/>
      </c>
      <c r="L4442" s="11">
        <f>L4441+IF(K4442&gt;0,K4442*Summary!$B$9,K4442/Summary!$B$9)</f>
        <v/>
      </c>
      <c r="M4442" s="11">
        <f>G4442+H4442</f>
        <v/>
      </c>
      <c r="N4442" s="11">
        <f>Summary!$C$16*Summary!$B$8</f>
        <v/>
      </c>
      <c r="O4442" s="11">
        <f>M4442-N4442</f>
        <v/>
      </c>
    </row>
    <row r="4443">
      <c r="A4443" s="9" t="n">
        <v>45477.04166666666</v>
      </c>
      <c r="B4443" t="n">
        <v>7</v>
      </c>
      <c r="C4443" t="n">
        <v>4</v>
      </c>
      <c r="D4443" t="n">
        <v>1</v>
      </c>
      <c r="E4443" s="10" t="n">
        <v>0</v>
      </c>
      <c r="F4443" s="10" t="n">
        <v>0.2805961633430792</v>
      </c>
      <c r="G4443" s="11">
        <f>E4443*Summary!$B$6</f>
        <v/>
      </c>
      <c r="H4443" s="11">
        <f>F4443*Summary!$B$7</f>
        <v/>
      </c>
      <c r="I4443" s="11">
        <f>MAX(0,N4443-M4443)</f>
        <v/>
      </c>
      <c r="J4443" s="11">
        <f>MAX(0,M4443-N4443)</f>
        <v/>
      </c>
      <c r="K4443" s="11">
        <f>O4443</f>
        <v/>
      </c>
      <c r="L4443" s="11">
        <f>L4442+IF(K4443&gt;0,K4443*Summary!$B$9,K4443/Summary!$B$9)</f>
        <v/>
      </c>
      <c r="M4443" s="11">
        <f>G4443+H4443</f>
        <v/>
      </c>
      <c r="N4443" s="11">
        <f>Summary!$C$16*Summary!$B$8</f>
        <v/>
      </c>
      <c r="O4443" s="11">
        <f>M4443-N4443</f>
        <v/>
      </c>
    </row>
    <row r="4444">
      <c r="A4444" s="9" t="n">
        <v>45477.08333333334</v>
      </c>
      <c r="B4444" t="n">
        <v>7</v>
      </c>
      <c r="C4444" t="n">
        <v>4</v>
      </c>
      <c r="D4444" t="n">
        <v>2</v>
      </c>
      <c r="E4444" s="10" t="n">
        <v>0</v>
      </c>
      <c r="F4444" s="10" t="n">
        <v>0.2737709937050385</v>
      </c>
      <c r="G4444" s="11">
        <f>E4444*Summary!$B$6</f>
        <v/>
      </c>
      <c r="H4444" s="11">
        <f>F4444*Summary!$B$7</f>
        <v/>
      </c>
      <c r="I4444" s="11">
        <f>MAX(0,N4444-M4444)</f>
        <v/>
      </c>
      <c r="J4444" s="11">
        <f>MAX(0,M4444-N4444)</f>
        <v/>
      </c>
      <c r="K4444" s="11">
        <f>O4444</f>
        <v/>
      </c>
      <c r="L4444" s="11">
        <f>L4443+IF(K4444&gt;0,K4444*Summary!$B$9,K4444/Summary!$B$9)</f>
        <v/>
      </c>
      <c r="M4444" s="11">
        <f>G4444+H4444</f>
        <v/>
      </c>
      <c r="N4444" s="11">
        <f>Summary!$C$16*Summary!$B$8</f>
        <v/>
      </c>
      <c r="O4444" s="11">
        <f>M4444-N4444</f>
        <v/>
      </c>
    </row>
    <row r="4445">
      <c r="A4445" s="9" t="n">
        <v>45477.125</v>
      </c>
      <c r="B4445" t="n">
        <v>7</v>
      </c>
      <c r="C4445" t="n">
        <v>4</v>
      </c>
      <c r="D4445" t="n">
        <v>3</v>
      </c>
      <c r="E4445" s="10" t="n">
        <v>0</v>
      </c>
      <c r="F4445" s="10" t="n">
        <v>0.2678681442883546</v>
      </c>
      <c r="G4445" s="11">
        <f>E4445*Summary!$B$6</f>
        <v/>
      </c>
      <c r="H4445" s="11">
        <f>F4445*Summary!$B$7</f>
        <v/>
      </c>
      <c r="I4445" s="11">
        <f>MAX(0,N4445-M4445)</f>
        <v/>
      </c>
      <c r="J4445" s="11">
        <f>MAX(0,M4445-N4445)</f>
        <v/>
      </c>
      <c r="K4445" s="11">
        <f>O4445</f>
        <v/>
      </c>
      <c r="L4445" s="11">
        <f>L4444+IF(K4445&gt;0,K4445*Summary!$B$9,K4445/Summary!$B$9)</f>
        <v/>
      </c>
      <c r="M4445" s="11">
        <f>G4445+H4445</f>
        <v/>
      </c>
      <c r="N4445" s="11">
        <f>Summary!$C$16*Summary!$B$8</f>
        <v/>
      </c>
      <c r="O4445" s="11">
        <f>M4445-N4445</f>
        <v/>
      </c>
    </row>
    <row r="4446">
      <c r="A4446" s="9" t="n">
        <v>45477.16666666666</v>
      </c>
      <c r="B4446" t="n">
        <v>7</v>
      </c>
      <c r="C4446" t="n">
        <v>4</v>
      </c>
      <c r="D4446" t="n">
        <v>4</v>
      </c>
      <c r="E4446" s="10" t="n">
        <v>0.027466</v>
      </c>
      <c r="F4446" s="10" t="n">
        <v>0.2511082682659844</v>
      </c>
      <c r="G4446" s="11">
        <f>E4446*Summary!$B$6</f>
        <v/>
      </c>
      <c r="H4446" s="11">
        <f>F4446*Summary!$B$7</f>
        <v/>
      </c>
      <c r="I4446" s="11">
        <f>MAX(0,N4446-M4446)</f>
        <v/>
      </c>
      <c r="J4446" s="11">
        <f>MAX(0,M4446-N4446)</f>
        <v/>
      </c>
      <c r="K4446" s="11">
        <f>O4446</f>
        <v/>
      </c>
      <c r="L4446" s="11">
        <f>L4445+IF(K4446&gt;0,K4446*Summary!$B$9,K4446/Summary!$B$9)</f>
        <v/>
      </c>
      <c r="M4446" s="11">
        <f>G4446+H4446</f>
        <v/>
      </c>
      <c r="N4446" s="11">
        <f>Summary!$C$16*Summary!$B$8</f>
        <v/>
      </c>
      <c r="O4446" s="11">
        <f>M4446-N4446</f>
        <v/>
      </c>
    </row>
    <row r="4447">
      <c r="A4447" s="9" t="n">
        <v>45477.20833333334</v>
      </c>
      <c r="B4447" t="n">
        <v>7</v>
      </c>
      <c r="C4447" t="n">
        <v>4</v>
      </c>
      <c r="D4447" t="n">
        <v>5</v>
      </c>
      <c r="E4447" s="10" t="n">
        <v>0.056257</v>
      </c>
      <c r="F4447" s="10" t="n">
        <v>0.2276022786245469</v>
      </c>
      <c r="G4447" s="11">
        <f>E4447*Summary!$B$6</f>
        <v/>
      </c>
      <c r="H4447" s="11">
        <f>F4447*Summary!$B$7</f>
        <v/>
      </c>
      <c r="I4447" s="11">
        <f>MAX(0,N4447-M4447)</f>
        <v/>
      </c>
      <c r="J4447" s="11">
        <f>MAX(0,M4447-N4447)</f>
        <v/>
      </c>
      <c r="K4447" s="11">
        <f>O4447</f>
        <v/>
      </c>
      <c r="L4447" s="11">
        <f>L4446+IF(K4447&gt;0,K4447*Summary!$B$9,K4447/Summary!$B$9)</f>
        <v/>
      </c>
      <c r="M4447" s="11">
        <f>G4447+H4447</f>
        <v/>
      </c>
      <c r="N4447" s="11">
        <f>Summary!$C$16*Summary!$B$8</f>
        <v/>
      </c>
      <c r="O4447" s="11">
        <f>M4447-N4447</f>
        <v/>
      </c>
    </row>
    <row r="4448">
      <c r="A4448" s="9" t="n">
        <v>45477.25</v>
      </c>
      <c r="B4448" t="n">
        <v>7</v>
      </c>
      <c r="C4448" t="n">
        <v>4</v>
      </c>
      <c r="D4448" t="n">
        <v>6</v>
      </c>
      <c r="E4448" s="10" t="n">
        <v>0.202366</v>
      </c>
      <c r="F4448" s="10" t="n">
        <v>0.2120809468994272</v>
      </c>
      <c r="G4448" s="11">
        <f>E4448*Summary!$B$6</f>
        <v/>
      </c>
      <c r="H4448" s="11">
        <f>F4448*Summary!$B$7</f>
        <v/>
      </c>
      <c r="I4448" s="11">
        <f>MAX(0,N4448-M4448)</f>
        <v/>
      </c>
      <c r="J4448" s="11">
        <f>MAX(0,M4448-N4448)</f>
        <v/>
      </c>
      <c r="K4448" s="11">
        <f>O4448</f>
        <v/>
      </c>
      <c r="L4448" s="11">
        <f>L4447+IF(K4448&gt;0,K4448*Summary!$B$9,K4448/Summary!$B$9)</f>
        <v/>
      </c>
      <c r="M4448" s="11">
        <f>G4448+H4448</f>
        <v/>
      </c>
      <c r="N4448" s="11">
        <f>Summary!$C$16*Summary!$B$8</f>
        <v/>
      </c>
      <c r="O4448" s="11">
        <f>M4448-N4448</f>
        <v/>
      </c>
    </row>
    <row r="4449">
      <c r="A4449" s="9" t="n">
        <v>45477.29166666666</v>
      </c>
      <c r="B4449" t="n">
        <v>7</v>
      </c>
      <c r="C4449" t="n">
        <v>4</v>
      </c>
      <c r="D4449" t="n">
        <v>7</v>
      </c>
      <c r="E4449" s="10" t="n">
        <v>0.385405</v>
      </c>
      <c r="F4449" s="10" t="n">
        <v>0.2087605941025426</v>
      </c>
      <c r="G4449" s="11">
        <f>E4449*Summary!$B$6</f>
        <v/>
      </c>
      <c r="H4449" s="11">
        <f>F4449*Summary!$B$7</f>
        <v/>
      </c>
      <c r="I4449" s="11">
        <f>MAX(0,N4449-M4449)</f>
        <v/>
      </c>
      <c r="J4449" s="11">
        <f>MAX(0,M4449-N4449)</f>
        <v/>
      </c>
      <c r="K4449" s="11">
        <f>O4449</f>
        <v/>
      </c>
      <c r="L4449" s="11">
        <f>L4448+IF(K4449&gt;0,K4449*Summary!$B$9,K4449/Summary!$B$9)</f>
        <v/>
      </c>
      <c r="M4449" s="11">
        <f>G4449+H4449</f>
        <v/>
      </c>
      <c r="N4449" s="11">
        <f>Summary!$C$16*Summary!$B$8</f>
        <v/>
      </c>
      <c r="O4449" s="11">
        <f>M4449-N4449</f>
        <v/>
      </c>
    </row>
    <row r="4450">
      <c r="A4450" s="9" t="n">
        <v>45477.33333333334</v>
      </c>
      <c r="B4450" t="n">
        <v>7</v>
      </c>
      <c r="C4450" t="n">
        <v>4</v>
      </c>
      <c r="D4450" t="n">
        <v>8</v>
      </c>
      <c r="E4450" s="10" t="n">
        <v>0.43392</v>
      </c>
      <c r="F4450" s="10" t="n">
        <v>0.2128451550828372</v>
      </c>
      <c r="G4450" s="11">
        <f>E4450*Summary!$B$6</f>
        <v/>
      </c>
      <c r="H4450" s="11">
        <f>F4450*Summary!$B$7</f>
        <v/>
      </c>
      <c r="I4450" s="11">
        <f>MAX(0,N4450-M4450)</f>
        <v/>
      </c>
      <c r="J4450" s="11">
        <f>MAX(0,M4450-N4450)</f>
        <v/>
      </c>
      <c r="K4450" s="11">
        <f>O4450</f>
        <v/>
      </c>
      <c r="L4450" s="11">
        <f>L4449+IF(K4450&gt;0,K4450*Summary!$B$9,K4450/Summary!$B$9)</f>
        <v/>
      </c>
      <c r="M4450" s="11">
        <f>G4450+H4450</f>
        <v/>
      </c>
      <c r="N4450" s="11">
        <f>Summary!$C$16*Summary!$B$8</f>
        <v/>
      </c>
      <c r="O4450" s="11">
        <f>M4450-N4450</f>
        <v/>
      </c>
    </row>
    <row r="4451">
      <c r="A4451" s="9" t="n">
        <v>45477.375</v>
      </c>
      <c r="B4451" t="n">
        <v>7</v>
      </c>
      <c r="C4451" t="n">
        <v>4</v>
      </c>
      <c r="D4451" t="n">
        <v>9</v>
      </c>
      <c r="E4451" s="10" t="n">
        <v>0.630126</v>
      </c>
      <c r="F4451" s="10" t="n">
        <v>0.2274178145802755</v>
      </c>
      <c r="G4451" s="11">
        <f>E4451*Summary!$B$6</f>
        <v/>
      </c>
      <c r="H4451" s="11">
        <f>F4451*Summary!$B$7</f>
        <v/>
      </c>
      <c r="I4451" s="11">
        <f>MAX(0,N4451-M4451)</f>
        <v/>
      </c>
      <c r="J4451" s="11">
        <f>MAX(0,M4451-N4451)</f>
        <v/>
      </c>
      <c r="K4451" s="11">
        <f>O4451</f>
        <v/>
      </c>
      <c r="L4451" s="11">
        <f>L4450+IF(K4451&gt;0,K4451*Summary!$B$9,K4451/Summary!$B$9)</f>
        <v/>
      </c>
      <c r="M4451" s="11">
        <f>G4451+H4451</f>
        <v/>
      </c>
      <c r="N4451" s="11">
        <f>Summary!$C$16*Summary!$B$8</f>
        <v/>
      </c>
      <c r="O4451" s="11">
        <f>M4451-N4451</f>
        <v/>
      </c>
    </row>
    <row r="4452">
      <c r="A4452" s="9" t="n">
        <v>45477.41666666666</v>
      </c>
      <c r="B4452" t="n">
        <v>7</v>
      </c>
      <c r="C4452" t="n">
        <v>4</v>
      </c>
      <c r="D4452" t="n">
        <v>10</v>
      </c>
      <c r="E4452" s="10" t="n">
        <v>0.751924</v>
      </c>
      <c r="F4452" s="10" t="n">
        <v>0.2404884097172183</v>
      </c>
      <c r="G4452" s="11">
        <f>E4452*Summary!$B$6</f>
        <v/>
      </c>
      <c r="H4452" s="11">
        <f>F4452*Summary!$B$7</f>
        <v/>
      </c>
      <c r="I4452" s="11">
        <f>MAX(0,N4452-M4452)</f>
        <v/>
      </c>
      <c r="J4452" s="11">
        <f>MAX(0,M4452-N4452)</f>
        <v/>
      </c>
      <c r="K4452" s="11">
        <f>O4452</f>
        <v/>
      </c>
      <c r="L4452" s="11">
        <f>L4451+IF(K4452&gt;0,K4452*Summary!$B$9,K4452/Summary!$B$9)</f>
        <v/>
      </c>
      <c r="M4452" s="11">
        <f>G4452+H4452</f>
        <v/>
      </c>
      <c r="N4452" s="11">
        <f>Summary!$C$16*Summary!$B$8</f>
        <v/>
      </c>
      <c r="O4452" s="11">
        <f>M4452-N4452</f>
        <v/>
      </c>
    </row>
    <row r="4453">
      <c r="A4453" s="9" t="n">
        <v>45477.45833333334</v>
      </c>
      <c r="B4453" t="n">
        <v>7</v>
      </c>
      <c r="C4453" t="n">
        <v>4</v>
      </c>
      <c r="D4453" t="n">
        <v>11</v>
      </c>
      <c r="E4453" s="10" t="n">
        <v>0.754058</v>
      </c>
      <c r="F4453" s="10" t="n">
        <v>0.2553772932905504</v>
      </c>
      <c r="G4453" s="11">
        <f>E4453*Summary!$B$6</f>
        <v/>
      </c>
      <c r="H4453" s="11">
        <f>F4453*Summary!$B$7</f>
        <v/>
      </c>
      <c r="I4453" s="11">
        <f>MAX(0,N4453-M4453)</f>
        <v/>
      </c>
      <c r="J4453" s="11">
        <f>MAX(0,M4453-N4453)</f>
        <v/>
      </c>
      <c r="K4453" s="11">
        <f>O4453</f>
        <v/>
      </c>
      <c r="L4453" s="11">
        <f>L4452+IF(K4453&gt;0,K4453*Summary!$B$9,K4453/Summary!$B$9)</f>
        <v/>
      </c>
      <c r="M4453" s="11">
        <f>G4453+H4453</f>
        <v/>
      </c>
      <c r="N4453" s="11">
        <f>Summary!$C$16*Summary!$B$8</f>
        <v/>
      </c>
      <c r="O4453" s="11">
        <f>M4453-N4453</f>
        <v/>
      </c>
    </row>
    <row r="4454">
      <c r="A4454" s="9" t="n">
        <v>45477.5</v>
      </c>
      <c r="B4454" t="n">
        <v>7</v>
      </c>
      <c r="C4454" t="n">
        <v>4</v>
      </c>
      <c r="D4454" t="n">
        <v>12</v>
      </c>
      <c r="E4454" s="10" t="n">
        <v>0.754058</v>
      </c>
      <c r="F4454" s="10" t="n">
        <v>0.2628349110803787</v>
      </c>
      <c r="G4454" s="11">
        <f>E4454*Summary!$B$6</f>
        <v/>
      </c>
      <c r="H4454" s="11">
        <f>F4454*Summary!$B$7</f>
        <v/>
      </c>
      <c r="I4454" s="11">
        <f>MAX(0,N4454-M4454)</f>
        <v/>
      </c>
      <c r="J4454" s="11">
        <f>MAX(0,M4454-N4454)</f>
        <v/>
      </c>
      <c r="K4454" s="11">
        <f>O4454</f>
        <v/>
      </c>
      <c r="L4454" s="11">
        <f>L4453+IF(K4454&gt;0,K4454*Summary!$B$9,K4454/Summary!$B$9)</f>
        <v/>
      </c>
      <c r="M4454" s="11">
        <f>G4454+H4454</f>
        <v/>
      </c>
      <c r="N4454" s="11">
        <f>Summary!$C$16*Summary!$B$8</f>
        <v/>
      </c>
      <c r="O4454" s="11">
        <f>M4454-N4454</f>
        <v/>
      </c>
    </row>
    <row r="4455">
      <c r="A4455" s="9" t="n">
        <v>45477.54166666666</v>
      </c>
      <c r="B4455" t="n">
        <v>7</v>
      </c>
      <c r="C4455" t="n">
        <v>4</v>
      </c>
      <c r="D4455" t="n">
        <v>13</v>
      </c>
      <c r="E4455" s="10" t="n">
        <v>0.754058</v>
      </c>
      <c r="F4455" s="10" t="n">
        <v>0.2910579098538983</v>
      </c>
      <c r="G4455" s="11">
        <f>E4455*Summary!$B$6</f>
        <v/>
      </c>
      <c r="H4455" s="11">
        <f>F4455*Summary!$B$7</f>
        <v/>
      </c>
      <c r="I4455" s="11">
        <f>MAX(0,N4455-M4455)</f>
        <v/>
      </c>
      <c r="J4455" s="11">
        <f>MAX(0,M4455-N4455)</f>
        <v/>
      </c>
      <c r="K4455" s="11">
        <f>O4455</f>
        <v/>
      </c>
      <c r="L4455" s="11">
        <f>L4454+IF(K4455&gt;0,K4455*Summary!$B$9,K4455/Summary!$B$9)</f>
        <v/>
      </c>
      <c r="M4455" s="11">
        <f>G4455+H4455</f>
        <v/>
      </c>
      <c r="N4455" s="11">
        <f>Summary!$C$16*Summary!$B$8</f>
        <v/>
      </c>
      <c r="O4455" s="11">
        <f>M4455-N4455</f>
        <v/>
      </c>
    </row>
    <row r="4456">
      <c r="A4456" s="9" t="n">
        <v>45477.58333333334</v>
      </c>
      <c r="B4456" t="n">
        <v>7</v>
      </c>
      <c r="C4456" t="n">
        <v>4</v>
      </c>
      <c r="D4456" t="n">
        <v>14</v>
      </c>
      <c r="E4456" s="10" t="n">
        <v>0.754058</v>
      </c>
      <c r="F4456" s="10" t="n">
        <v>0.2776447386347373</v>
      </c>
      <c r="G4456" s="11">
        <f>E4456*Summary!$B$6</f>
        <v/>
      </c>
      <c r="H4456" s="11">
        <f>F4456*Summary!$B$7</f>
        <v/>
      </c>
      <c r="I4456" s="11">
        <f>MAX(0,N4456-M4456)</f>
        <v/>
      </c>
      <c r="J4456" s="11">
        <f>MAX(0,M4456-N4456)</f>
        <v/>
      </c>
      <c r="K4456" s="11">
        <f>O4456</f>
        <v/>
      </c>
      <c r="L4456" s="11">
        <f>L4455+IF(K4456&gt;0,K4456*Summary!$B$9,K4456/Summary!$B$9)</f>
        <v/>
      </c>
      <c r="M4456" s="11">
        <f>G4456+H4456</f>
        <v/>
      </c>
      <c r="N4456" s="11">
        <f>Summary!$C$16*Summary!$B$8</f>
        <v/>
      </c>
      <c r="O4456" s="11">
        <f>M4456-N4456</f>
        <v/>
      </c>
    </row>
    <row r="4457">
      <c r="A4457" s="9" t="n">
        <v>45477.625</v>
      </c>
      <c r="B4457" t="n">
        <v>7</v>
      </c>
      <c r="C4457" t="n">
        <v>4</v>
      </c>
      <c r="D4457" t="n">
        <v>15</v>
      </c>
      <c r="E4457" s="10" t="n">
        <v>0.6594410000000001</v>
      </c>
      <c r="F4457" s="10" t="n">
        <v>0.2824144517794684</v>
      </c>
      <c r="G4457" s="11">
        <f>E4457*Summary!$B$6</f>
        <v/>
      </c>
      <c r="H4457" s="11">
        <f>F4457*Summary!$B$7</f>
        <v/>
      </c>
      <c r="I4457" s="11">
        <f>MAX(0,N4457-M4457)</f>
        <v/>
      </c>
      <c r="J4457" s="11">
        <f>MAX(0,M4457-N4457)</f>
        <v/>
      </c>
      <c r="K4457" s="11">
        <f>O4457</f>
        <v/>
      </c>
      <c r="L4457" s="11">
        <f>L4456+IF(K4457&gt;0,K4457*Summary!$B$9,K4457/Summary!$B$9)</f>
        <v/>
      </c>
      <c r="M4457" s="11">
        <f>G4457+H4457</f>
        <v/>
      </c>
      <c r="N4457" s="11">
        <f>Summary!$C$16*Summary!$B$8</f>
        <v/>
      </c>
      <c r="O4457" s="11">
        <f>M4457-N4457</f>
        <v/>
      </c>
    </row>
    <row r="4458">
      <c r="A4458" s="9" t="n">
        <v>45477.66666666666</v>
      </c>
      <c r="B4458" t="n">
        <v>7</v>
      </c>
      <c r="C4458" t="n">
        <v>4</v>
      </c>
      <c r="D4458" t="n">
        <v>16</v>
      </c>
      <c r="E4458" s="10" t="n">
        <v>0.488201</v>
      </c>
      <c r="F4458" s="10" t="n">
        <v>0.2761690262805663</v>
      </c>
      <c r="G4458" s="11">
        <f>E4458*Summary!$B$6</f>
        <v/>
      </c>
      <c r="H4458" s="11">
        <f>F4458*Summary!$B$7</f>
        <v/>
      </c>
      <c r="I4458" s="11">
        <f>MAX(0,N4458-M4458)</f>
        <v/>
      </c>
      <c r="J4458" s="11">
        <f>MAX(0,M4458-N4458)</f>
        <v/>
      </c>
      <c r="K4458" s="11">
        <f>O4458</f>
        <v/>
      </c>
      <c r="L4458" s="11">
        <f>L4457+IF(K4458&gt;0,K4458*Summary!$B$9,K4458/Summary!$B$9)</f>
        <v/>
      </c>
      <c r="M4458" s="11">
        <f>G4458+H4458</f>
        <v/>
      </c>
      <c r="N4458" s="11">
        <f>Summary!$C$16*Summary!$B$8</f>
        <v/>
      </c>
      <c r="O4458" s="11">
        <f>M4458-N4458</f>
        <v/>
      </c>
    </row>
    <row r="4459">
      <c r="A4459" s="9" t="n">
        <v>45477.70833333334</v>
      </c>
      <c r="B4459" t="n">
        <v>7</v>
      </c>
      <c r="C4459" t="n">
        <v>4</v>
      </c>
      <c r="D4459" t="n">
        <v>17</v>
      </c>
      <c r="E4459" s="10" t="n">
        <v>0.287841</v>
      </c>
      <c r="F4459" s="10" t="n">
        <v>0.2653647036875288</v>
      </c>
      <c r="G4459" s="11">
        <f>E4459*Summary!$B$6</f>
        <v/>
      </c>
      <c r="H4459" s="11">
        <f>F4459*Summary!$B$7</f>
        <v/>
      </c>
      <c r="I4459" s="11">
        <f>MAX(0,N4459-M4459)</f>
        <v/>
      </c>
      <c r="J4459" s="11">
        <f>MAX(0,M4459-N4459)</f>
        <v/>
      </c>
      <c r="K4459" s="11">
        <f>O4459</f>
        <v/>
      </c>
      <c r="L4459" s="11">
        <f>L4458+IF(K4459&gt;0,K4459*Summary!$B$9,K4459/Summary!$B$9)</f>
        <v/>
      </c>
      <c r="M4459" s="11">
        <f>G4459+H4459</f>
        <v/>
      </c>
      <c r="N4459" s="11">
        <f>Summary!$C$16*Summary!$B$8</f>
        <v/>
      </c>
      <c r="O4459" s="11">
        <f>M4459-N4459</f>
        <v/>
      </c>
    </row>
    <row r="4460">
      <c r="A4460" s="9" t="n">
        <v>45477.75</v>
      </c>
      <c r="B4460" t="n">
        <v>7</v>
      </c>
      <c r="C4460" t="n">
        <v>4</v>
      </c>
      <c r="D4460" t="n">
        <v>18</v>
      </c>
      <c r="E4460" s="10" t="n">
        <v>0.104827</v>
      </c>
      <c r="F4460" s="10" t="n">
        <v>0.2508974522153886</v>
      </c>
      <c r="G4460" s="11">
        <f>E4460*Summary!$B$6</f>
        <v/>
      </c>
      <c r="H4460" s="11">
        <f>F4460*Summary!$B$7</f>
        <v/>
      </c>
      <c r="I4460" s="11">
        <f>MAX(0,N4460-M4460)</f>
        <v/>
      </c>
      <c r="J4460" s="11">
        <f>MAX(0,M4460-N4460)</f>
        <v/>
      </c>
      <c r="K4460" s="11">
        <f>O4460</f>
        <v/>
      </c>
      <c r="L4460" s="11">
        <f>L4459+IF(K4460&gt;0,K4460*Summary!$B$9,K4460/Summary!$B$9)</f>
        <v/>
      </c>
      <c r="M4460" s="11">
        <f>G4460+H4460</f>
        <v/>
      </c>
      <c r="N4460" s="11">
        <f>Summary!$C$16*Summary!$B$8</f>
        <v/>
      </c>
      <c r="O4460" s="11">
        <f>M4460-N4460</f>
        <v/>
      </c>
    </row>
    <row r="4461">
      <c r="A4461" s="9" t="n">
        <v>45477.79166666666</v>
      </c>
      <c r="B4461" t="n">
        <v>7</v>
      </c>
      <c r="C4461" t="n">
        <v>4</v>
      </c>
      <c r="D4461" t="n">
        <v>19</v>
      </c>
      <c r="E4461" s="10" t="n">
        <v>0.048053</v>
      </c>
      <c r="F4461" s="10" t="n">
        <v>0.2484730676335362</v>
      </c>
      <c r="G4461" s="11">
        <f>E4461*Summary!$B$6</f>
        <v/>
      </c>
      <c r="H4461" s="11">
        <f>F4461*Summary!$B$7</f>
        <v/>
      </c>
      <c r="I4461" s="11">
        <f>MAX(0,N4461-M4461)</f>
        <v/>
      </c>
      <c r="J4461" s="11">
        <f>MAX(0,M4461-N4461)</f>
        <v/>
      </c>
      <c r="K4461" s="11">
        <f>O4461</f>
        <v/>
      </c>
      <c r="L4461" s="11">
        <f>L4460+IF(K4461&gt;0,K4461*Summary!$B$9,K4461/Summary!$B$9)</f>
        <v/>
      </c>
      <c r="M4461" s="11">
        <f>G4461+H4461</f>
        <v/>
      </c>
      <c r="N4461" s="11">
        <f>Summary!$C$16*Summary!$B$8</f>
        <v/>
      </c>
      <c r="O4461" s="11">
        <f>M4461-N4461</f>
        <v/>
      </c>
    </row>
    <row r="4462">
      <c r="A4462" s="9" t="n">
        <v>45477.83333333334</v>
      </c>
      <c r="B4462" t="n">
        <v>7</v>
      </c>
      <c r="C4462" t="n">
        <v>4</v>
      </c>
      <c r="D4462" t="n">
        <v>20</v>
      </c>
      <c r="E4462" s="10" t="n">
        <v>0.024821</v>
      </c>
      <c r="F4462" s="10" t="n">
        <v>0.2528475006834002</v>
      </c>
      <c r="G4462" s="11">
        <f>E4462*Summary!$B$6</f>
        <v/>
      </c>
      <c r="H4462" s="11">
        <f>F4462*Summary!$B$7</f>
        <v/>
      </c>
      <c r="I4462" s="11">
        <f>MAX(0,N4462-M4462)</f>
        <v/>
      </c>
      <c r="J4462" s="11">
        <f>MAX(0,M4462-N4462)</f>
        <v/>
      </c>
      <c r="K4462" s="11">
        <f>O4462</f>
        <v/>
      </c>
      <c r="L4462" s="11">
        <f>L4461+IF(K4462&gt;0,K4462*Summary!$B$9,K4462/Summary!$B$9)</f>
        <v/>
      </c>
      <c r="M4462" s="11">
        <f>G4462+H4462</f>
        <v/>
      </c>
      <c r="N4462" s="11">
        <f>Summary!$C$16*Summary!$B$8</f>
        <v/>
      </c>
      <c r="O4462" s="11">
        <f>M4462-N4462</f>
        <v/>
      </c>
    </row>
    <row r="4463">
      <c r="A4463" s="9" t="n">
        <v>45477.875</v>
      </c>
      <c r="B4463" t="n">
        <v>7</v>
      </c>
      <c r="C4463" t="n">
        <v>4</v>
      </c>
      <c r="D4463" t="n">
        <v>21</v>
      </c>
      <c r="E4463" s="10" t="n">
        <v>0</v>
      </c>
      <c r="F4463" s="10" t="n">
        <v>0.2735338256481182</v>
      </c>
      <c r="G4463" s="11">
        <f>E4463*Summary!$B$6</f>
        <v/>
      </c>
      <c r="H4463" s="11">
        <f>F4463*Summary!$B$7</f>
        <v/>
      </c>
      <c r="I4463" s="11">
        <f>MAX(0,N4463-M4463)</f>
        <v/>
      </c>
      <c r="J4463" s="11">
        <f>MAX(0,M4463-N4463)</f>
        <v/>
      </c>
      <c r="K4463" s="11">
        <f>O4463</f>
        <v/>
      </c>
      <c r="L4463" s="11">
        <f>L4462+IF(K4463&gt;0,K4463*Summary!$B$9,K4463/Summary!$B$9)</f>
        <v/>
      </c>
      <c r="M4463" s="11">
        <f>G4463+H4463</f>
        <v/>
      </c>
      <c r="N4463" s="11">
        <f>Summary!$C$16*Summary!$B$8</f>
        <v/>
      </c>
      <c r="O4463" s="11">
        <f>M4463-N4463</f>
        <v/>
      </c>
    </row>
    <row r="4464">
      <c r="A4464" s="9" t="n">
        <v>45477.91666666666</v>
      </c>
      <c r="B4464" t="n">
        <v>7</v>
      </c>
      <c r="C4464" t="n">
        <v>4</v>
      </c>
      <c r="D4464" t="n">
        <v>22</v>
      </c>
      <c r="E4464" s="10" t="n">
        <v>0</v>
      </c>
      <c r="F4464" s="10" t="n">
        <v>0.2907680377843291</v>
      </c>
      <c r="G4464" s="11">
        <f>E4464*Summary!$B$6</f>
        <v/>
      </c>
      <c r="H4464" s="11">
        <f>F4464*Summary!$B$7</f>
        <v/>
      </c>
      <c r="I4464" s="11">
        <f>MAX(0,N4464-M4464)</f>
        <v/>
      </c>
      <c r="J4464" s="11">
        <f>MAX(0,M4464-N4464)</f>
        <v/>
      </c>
      <c r="K4464" s="11">
        <f>O4464</f>
        <v/>
      </c>
      <c r="L4464" s="11">
        <f>L4463+IF(K4464&gt;0,K4464*Summary!$B$9,K4464/Summary!$B$9)</f>
        <v/>
      </c>
      <c r="M4464" s="11">
        <f>G4464+H4464</f>
        <v/>
      </c>
      <c r="N4464" s="11">
        <f>Summary!$C$16*Summary!$B$8</f>
        <v/>
      </c>
      <c r="O4464" s="11">
        <f>M4464-N4464</f>
        <v/>
      </c>
    </row>
    <row r="4465">
      <c r="A4465" s="9" t="n">
        <v>45477.95833333334</v>
      </c>
      <c r="B4465" t="n">
        <v>7</v>
      </c>
      <c r="C4465" t="n">
        <v>4</v>
      </c>
      <c r="D4465" t="n">
        <v>23</v>
      </c>
      <c r="E4465" s="10" t="n">
        <v>0</v>
      </c>
      <c r="F4465" s="10" t="n">
        <v>0.3217052932092704</v>
      </c>
      <c r="G4465" s="11">
        <f>E4465*Summary!$B$6</f>
        <v/>
      </c>
      <c r="H4465" s="11">
        <f>F4465*Summary!$B$7</f>
        <v/>
      </c>
      <c r="I4465" s="11">
        <f>MAX(0,N4465-M4465)</f>
        <v/>
      </c>
      <c r="J4465" s="11">
        <f>MAX(0,M4465-N4465)</f>
        <v/>
      </c>
      <c r="K4465" s="11">
        <f>O4465</f>
        <v/>
      </c>
      <c r="L4465" s="11">
        <f>L4464+IF(K4465&gt;0,K4465*Summary!$B$9,K4465/Summary!$B$9)</f>
        <v/>
      </c>
      <c r="M4465" s="11">
        <f>G4465+H4465</f>
        <v/>
      </c>
      <c r="N4465" s="11">
        <f>Summary!$C$16*Summary!$B$8</f>
        <v/>
      </c>
      <c r="O4465" s="11">
        <f>M4465-N4465</f>
        <v/>
      </c>
    </row>
    <row r="4466">
      <c r="A4466" s="9" t="n">
        <v>45478</v>
      </c>
      <c r="B4466" t="n">
        <v>7</v>
      </c>
      <c r="C4466" t="n">
        <v>5</v>
      </c>
      <c r="D4466" t="n">
        <v>0</v>
      </c>
      <c r="E4466" s="10" t="n">
        <v>0</v>
      </c>
      <c r="F4466" s="10" t="n">
        <v>0.3244986058796654</v>
      </c>
      <c r="G4466" s="11">
        <f>E4466*Summary!$B$6</f>
        <v/>
      </c>
      <c r="H4466" s="11">
        <f>F4466*Summary!$B$7</f>
        <v/>
      </c>
      <c r="I4466" s="11">
        <f>MAX(0,N4466-M4466)</f>
        <v/>
      </c>
      <c r="J4466" s="11">
        <f>MAX(0,M4466-N4466)</f>
        <v/>
      </c>
      <c r="K4466" s="11">
        <f>O4466</f>
        <v/>
      </c>
      <c r="L4466" s="11">
        <f>L4465+IF(K4466&gt;0,K4466*Summary!$B$9,K4466/Summary!$B$9)</f>
        <v/>
      </c>
      <c r="M4466" s="11">
        <f>G4466+H4466</f>
        <v/>
      </c>
      <c r="N4466" s="11">
        <f>Summary!$C$16*Summary!$B$8</f>
        <v/>
      </c>
      <c r="O4466" s="11">
        <f>M4466-N4466</f>
        <v/>
      </c>
    </row>
    <row r="4467">
      <c r="A4467" s="9" t="n">
        <v>45478.04166666666</v>
      </c>
      <c r="B4467" t="n">
        <v>7</v>
      </c>
      <c r="C4467" t="n">
        <v>5</v>
      </c>
      <c r="D4467" t="n">
        <v>1</v>
      </c>
      <c r="E4467" s="10" t="n">
        <v>0</v>
      </c>
      <c r="F4467" s="10" t="n">
        <v>0.318569404456657</v>
      </c>
      <c r="G4467" s="11">
        <f>E4467*Summary!$B$6</f>
        <v/>
      </c>
      <c r="H4467" s="11">
        <f>F4467*Summary!$B$7</f>
        <v/>
      </c>
      <c r="I4467" s="11">
        <f>MAX(0,N4467-M4467)</f>
        <v/>
      </c>
      <c r="J4467" s="11">
        <f>MAX(0,M4467-N4467)</f>
        <v/>
      </c>
      <c r="K4467" s="11">
        <f>O4467</f>
        <v/>
      </c>
      <c r="L4467" s="11">
        <f>L4466+IF(K4467&gt;0,K4467*Summary!$B$9,K4467/Summary!$B$9)</f>
        <v/>
      </c>
      <c r="M4467" s="11">
        <f>G4467+H4467</f>
        <v/>
      </c>
      <c r="N4467" s="11">
        <f>Summary!$C$16*Summary!$B$8</f>
        <v/>
      </c>
      <c r="O4467" s="11">
        <f>M4467-N4467</f>
        <v/>
      </c>
    </row>
    <row r="4468">
      <c r="A4468" s="9" t="n">
        <v>45478.08333333334</v>
      </c>
      <c r="B4468" t="n">
        <v>7</v>
      </c>
      <c r="C4468" t="n">
        <v>5</v>
      </c>
      <c r="D4468" t="n">
        <v>2</v>
      </c>
      <c r="E4468" s="10" t="n">
        <v>0</v>
      </c>
      <c r="F4468" s="10" t="n">
        <v>0.2920329340879042</v>
      </c>
      <c r="G4468" s="11">
        <f>E4468*Summary!$B$6</f>
        <v/>
      </c>
      <c r="H4468" s="11">
        <f>F4468*Summary!$B$7</f>
        <v/>
      </c>
      <c r="I4468" s="11">
        <f>MAX(0,N4468-M4468)</f>
        <v/>
      </c>
      <c r="J4468" s="11">
        <f>MAX(0,M4468-N4468)</f>
        <v/>
      </c>
      <c r="K4468" s="11">
        <f>O4468</f>
        <v/>
      </c>
      <c r="L4468" s="11">
        <f>L4467+IF(K4468&gt;0,K4468*Summary!$B$9,K4468/Summary!$B$9)</f>
        <v/>
      </c>
      <c r="M4468" s="11">
        <f>G4468+H4468</f>
        <v/>
      </c>
      <c r="N4468" s="11">
        <f>Summary!$C$16*Summary!$B$8</f>
        <v/>
      </c>
      <c r="O4468" s="11">
        <f>M4468-N4468</f>
        <v/>
      </c>
    </row>
    <row r="4469">
      <c r="A4469" s="9" t="n">
        <v>45478.125</v>
      </c>
      <c r="B4469" t="n">
        <v>7</v>
      </c>
      <c r="C4469" t="n">
        <v>5</v>
      </c>
      <c r="D4469" t="n">
        <v>3</v>
      </c>
      <c r="E4469" s="10" t="n">
        <v>0</v>
      </c>
      <c r="F4469" s="10" t="n">
        <v>0.280200883248212</v>
      </c>
      <c r="G4469" s="11">
        <f>E4469*Summary!$B$6</f>
        <v/>
      </c>
      <c r="H4469" s="11">
        <f>F4469*Summary!$B$7</f>
        <v/>
      </c>
      <c r="I4469" s="11">
        <f>MAX(0,N4469-M4469)</f>
        <v/>
      </c>
      <c r="J4469" s="11">
        <f>MAX(0,M4469-N4469)</f>
        <v/>
      </c>
      <c r="K4469" s="11">
        <f>O4469</f>
        <v/>
      </c>
      <c r="L4469" s="11">
        <f>L4468+IF(K4469&gt;0,K4469*Summary!$B$9,K4469/Summary!$B$9)</f>
        <v/>
      </c>
      <c r="M4469" s="11">
        <f>G4469+H4469</f>
        <v/>
      </c>
      <c r="N4469" s="11">
        <f>Summary!$C$16*Summary!$B$8</f>
        <v/>
      </c>
      <c r="O4469" s="11">
        <f>M4469-N4469</f>
        <v/>
      </c>
    </row>
    <row r="4470">
      <c r="A4470" s="9" t="n">
        <v>45478.16666666666</v>
      </c>
      <c r="B4470" t="n">
        <v>7</v>
      </c>
      <c r="C4470" t="n">
        <v>5</v>
      </c>
      <c r="D4470" t="n">
        <v>4</v>
      </c>
      <c r="E4470" s="10" t="n">
        <v>0.020377</v>
      </c>
      <c r="F4470" s="10" t="n">
        <v>0.2648903675736882</v>
      </c>
      <c r="G4470" s="11">
        <f>E4470*Summary!$B$6</f>
        <v/>
      </c>
      <c r="H4470" s="11">
        <f>F4470*Summary!$B$7</f>
        <v/>
      </c>
      <c r="I4470" s="11">
        <f>MAX(0,N4470-M4470)</f>
        <v/>
      </c>
      <c r="J4470" s="11">
        <f>MAX(0,M4470-N4470)</f>
        <v/>
      </c>
      <c r="K4470" s="11">
        <f>O4470</f>
        <v/>
      </c>
      <c r="L4470" s="11">
        <f>L4469+IF(K4470&gt;0,K4470*Summary!$B$9,K4470/Summary!$B$9)</f>
        <v/>
      </c>
      <c r="M4470" s="11">
        <f>G4470+H4470</f>
        <v/>
      </c>
      <c r="N4470" s="11">
        <f>Summary!$C$16*Summary!$B$8</f>
        <v/>
      </c>
      <c r="O4470" s="11">
        <f>M4470-N4470</f>
        <v/>
      </c>
    </row>
    <row r="4471">
      <c r="A4471" s="9" t="n">
        <v>45478.20833333334</v>
      </c>
      <c r="B4471" t="n">
        <v>7</v>
      </c>
      <c r="C4471" t="n">
        <v>5</v>
      </c>
      <c r="D4471" t="n">
        <v>5</v>
      </c>
      <c r="E4471" s="10" t="n">
        <v>0.048987</v>
      </c>
      <c r="F4471" s="10" t="n">
        <v>0.2479196755007221</v>
      </c>
      <c r="G4471" s="11">
        <f>E4471*Summary!$B$6</f>
        <v/>
      </c>
      <c r="H4471" s="11">
        <f>F4471*Summary!$B$7</f>
        <v/>
      </c>
      <c r="I4471" s="11">
        <f>MAX(0,N4471-M4471)</f>
        <v/>
      </c>
      <c r="J4471" s="11">
        <f>MAX(0,M4471-N4471)</f>
        <v/>
      </c>
      <c r="K4471" s="11">
        <f>O4471</f>
        <v/>
      </c>
      <c r="L4471" s="11">
        <f>L4470+IF(K4471&gt;0,K4471*Summary!$B$9,K4471/Summary!$B$9)</f>
        <v/>
      </c>
      <c r="M4471" s="11">
        <f>G4471+H4471</f>
        <v/>
      </c>
      <c r="N4471" s="11">
        <f>Summary!$C$16*Summary!$B$8</f>
        <v/>
      </c>
      <c r="O4471" s="11">
        <f>M4471-N4471</f>
        <v/>
      </c>
    </row>
    <row r="4472">
      <c r="A4472" s="9" t="n">
        <v>45478.25</v>
      </c>
      <c r="B4472" t="n">
        <v>7</v>
      </c>
      <c r="C4472" t="n">
        <v>5</v>
      </c>
      <c r="D4472" t="n">
        <v>6</v>
      </c>
      <c r="E4472" s="10" t="n">
        <v>0.189187</v>
      </c>
      <c r="F4472" s="10" t="n">
        <v>0.2364302007432482</v>
      </c>
      <c r="G4472" s="11">
        <f>E4472*Summary!$B$6</f>
        <v/>
      </c>
      <c r="H4472" s="11">
        <f>F4472*Summary!$B$7</f>
        <v/>
      </c>
      <c r="I4472" s="11">
        <f>MAX(0,N4472-M4472)</f>
        <v/>
      </c>
      <c r="J4472" s="11">
        <f>MAX(0,M4472-N4472)</f>
        <v/>
      </c>
      <c r="K4472" s="11">
        <f>O4472</f>
        <v/>
      </c>
      <c r="L4472" s="11">
        <f>L4471+IF(K4472&gt;0,K4472*Summary!$B$9,K4472/Summary!$B$9)</f>
        <v/>
      </c>
      <c r="M4472" s="11">
        <f>G4472+H4472</f>
        <v/>
      </c>
      <c r="N4472" s="11">
        <f>Summary!$C$16*Summary!$B$8</f>
        <v/>
      </c>
      <c r="O4472" s="11">
        <f>M4472-N4472</f>
        <v/>
      </c>
    </row>
    <row r="4473">
      <c r="A4473" s="9" t="n">
        <v>45478.29166666666</v>
      </c>
      <c r="B4473" t="n">
        <v>7</v>
      </c>
      <c r="C4473" t="n">
        <v>5</v>
      </c>
      <c r="D4473" t="n">
        <v>7</v>
      </c>
      <c r="E4473" s="10" t="n">
        <v>0.270324</v>
      </c>
      <c r="F4473" s="10" t="n">
        <v>0.2301847752443461</v>
      </c>
      <c r="G4473" s="11">
        <f>E4473*Summary!$B$6</f>
        <v/>
      </c>
      <c r="H4473" s="11">
        <f>F4473*Summary!$B$7</f>
        <v/>
      </c>
      <c r="I4473" s="11">
        <f>MAX(0,N4473-M4473)</f>
        <v/>
      </c>
      <c r="J4473" s="11">
        <f>MAX(0,M4473-N4473)</f>
        <v/>
      </c>
      <c r="K4473" s="11">
        <f>O4473</f>
        <v/>
      </c>
      <c r="L4473" s="11">
        <f>L4472+IF(K4473&gt;0,K4473*Summary!$B$9,K4473/Summary!$B$9)</f>
        <v/>
      </c>
      <c r="M4473" s="11">
        <f>G4473+H4473</f>
        <v/>
      </c>
      <c r="N4473" s="11">
        <f>Summary!$C$16*Summary!$B$8</f>
        <v/>
      </c>
      <c r="O4473" s="11">
        <f>M4473-N4473</f>
        <v/>
      </c>
    </row>
    <row r="4474">
      <c r="A4474" s="9" t="n">
        <v>45478.33333333334</v>
      </c>
      <c r="B4474" t="n">
        <v>7</v>
      </c>
      <c r="C4474" t="n">
        <v>5</v>
      </c>
      <c r="D4474" t="n">
        <v>8</v>
      </c>
      <c r="E4474" s="10" t="n">
        <v>0.54994</v>
      </c>
      <c r="F4474" s="10" t="n">
        <v>0.2362457366989768</v>
      </c>
      <c r="G4474" s="11">
        <f>E4474*Summary!$B$6</f>
        <v/>
      </c>
      <c r="H4474" s="11">
        <f>F4474*Summary!$B$7</f>
        <v/>
      </c>
      <c r="I4474" s="11">
        <f>MAX(0,N4474-M4474)</f>
        <v/>
      </c>
      <c r="J4474" s="11">
        <f>MAX(0,M4474-N4474)</f>
        <v/>
      </c>
      <c r="K4474" s="11">
        <f>O4474</f>
        <v/>
      </c>
      <c r="L4474" s="11">
        <f>L4473+IF(K4474&gt;0,K4474*Summary!$B$9,K4474/Summary!$B$9)</f>
        <v/>
      </c>
      <c r="M4474" s="11">
        <f>G4474+H4474</f>
        <v/>
      </c>
      <c r="N4474" s="11">
        <f>Summary!$C$16*Summary!$B$8</f>
        <v/>
      </c>
      <c r="O4474" s="11">
        <f>M4474-N4474</f>
        <v/>
      </c>
    </row>
    <row r="4475">
      <c r="A4475" s="9" t="n">
        <v>45478.375</v>
      </c>
      <c r="B4475" t="n">
        <v>7</v>
      </c>
      <c r="C4475" t="n">
        <v>5</v>
      </c>
      <c r="D4475" t="n">
        <v>9</v>
      </c>
      <c r="E4475" s="10" t="n">
        <v>0.720566</v>
      </c>
      <c r="F4475" s="10" t="n">
        <v>0.2472872273489345</v>
      </c>
      <c r="G4475" s="11">
        <f>E4475*Summary!$B$6</f>
        <v/>
      </c>
      <c r="H4475" s="11">
        <f>F4475*Summary!$B$7</f>
        <v/>
      </c>
      <c r="I4475" s="11">
        <f>MAX(0,N4475-M4475)</f>
        <v/>
      </c>
      <c r="J4475" s="11">
        <f>MAX(0,M4475-N4475)</f>
        <v/>
      </c>
      <c r="K4475" s="11">
        <f>O4475</f>
        <v/>
      </c>
      <c r="L4475" s="11">
        <f>L4474+IF(K4475&gt;0,K4475*Summary!$B$9,K4475/Summary!$B$9)</f>
        <v/>
      </c>
      <c r="M4475" s="11">
        <f>G4475+H4475</f>
        <v/>
      </c>
      <c r="N4475" s="11">
        <f>Summary!$C$16*Summary!$B$8</f>
        <v/>
      </c>
      <c r="O4475" s="11">
        <f>M4475-N4475</f>
        <v/>
      </c>
    </row>
    <row r="4476">
      <c r="A4476" s="9" t="n">
        <v>45478.41666666666</v>
      </c>
      <c r="B4476" t="n">
        <v>7</v>
      </c>
      <c r="C4476" t="n">
        <v>5</v>
      </c>
      <c r="D4476" t="n">
        <v>10</v>
      </c>
      <c r="E4476" s="10" t="n">
        <v>0.754058</v>
      </c>
      <c r="F4476" s="10" t="n">
        <v>0.2597253743340899</v>
      </c>
      <c r="G4476" s="11">
        <f>E4476*Summary!$B$6</f>
        <v/>
      </c>
      <c r="H4476" s="11">
        <f>F4476*Summary!$B$7</f>
        <v/>
      </c>
      <c r="I4476" s="11">
        <f>MAX(0,N4476-M4476)</f>
        <v/>
      </c>
      <c r="J4476" s="11">
        <f>MAX(0,M4476-N4476)</f>
        <v/>
      </c>
      <c r="K4476" s="11">
        <f>O4476</f>
        <v/>
      </c>
      <c r="L4476" s="11">
        <f>L4475+IF(K4476&gt;0,K4476*Summary!$B$9,K4476/Summary!$B$9)</f>
        <v/>
      </c>
      <c r="M4476" s="11">
        <f>G4476+H4476</f>
        <v/>
      </c>
      <c r="N4476" s="11">
        <f>Summary!$C$16*Summary!$B$8</f>
        <v/>
      </c>
      <c r="O4476" s="11">
        <f>M4476-N4476</f>
        <v/>
      </c>
    </row>
    <row r="4477">
      <c r="A4477" s="9" t="n">
        <v>45478.45833333334</v>
      </c>
      <c r="B4477" t="n">
        <v>7</v>
      </c>
      <c r="C4477" t="n">
        <v>5</v>
      </c>
      <c r="D4477" t="n">
        <v>11</v>
      </c>
      <c r="E4477" s="10" t="n">
        <v>0.754058</v>
      </c>
      <c r="F4477" s="10" t="n">
        <v>0.2698181927563663</v>
      </c>
      <c r="G4477" s="11">
        <f>E4477*Summary!$B$6</f>
        <v/>
      </c>
      <c r="H4477" s="11">
        <f>F4477*Summary!$B$7</f>
        <v/>
      </c>
      <c r="I4477" s="11">
        <f>MAX(0,N4477-M4477)</f>
        <v/>
      </c>
      <c r="J4477" s="11">
        <f>MAX(0,M4477-N4477)</f>
        <v/>
      </c>
      <c r="K4477" s="11">
        <f>O4477</f>
        <v/>
      </c>
      <c r="L4477" s="11">
        <f>L4476+IF(K4477&gt;0,K4477*Summary!$B$9,K4477/Summary!$B$9)</f>
        <v/>
      </c>
      <c r="M4477" s="11">
        <f>G4477+H4477</f>
        <v/>
      </c>
      <c r="N4477" s="11">
        <f>Summary!$C$16*Summary!$B$8</f>
        <v/>
      </c>
      <c r="O4477" s="11">
        <f>M4477-N4477</f>
        <v/>
      </c>
    </row>
    <row r="4478">
      <c r="A4478" s="9" t="n">
        <v>45478.5</v>
      </c>
      <c r="B4478" t="n">
        <v>7</v>
      </c>
      <c r="C4478" t="n">
        <v>5</v>
      </c>
      <c r="D4478" t="n">
        <v>12</v>
      </c>
      <c r="E4478" s="10" t="n">
        <v>0.754058</v>
      </c>
      <c r="F4478" s="10" t="n">
        <v>0.2791204509889083</v>
      </c>
      <c r="G4478" s="11">
        <f>E4478*Summary!$B$6</f>
        <v/>
      </c>
      <c r="H4478" s="11">
        <f>F4478*Summary!$B$7</f>
        <v/>
      </c>
      <c r="I4478" s="11">
        <f>MAX(0,N4478-M4478)</f>
        <v/>
      </c>
      <c r="J4478" s="11">
        <f>MAX(0,M4478-N4478)</f>
        <v/>
      </c>
      <c r="K4478" s="11">
        <f>O4478</f>
        <v/>
      </c>
      <c r="L4478" s="11">
        <f>L4477+IF(K4478&gt;0,K4478*Summary!$B$9,K4478/Summary!$B$9)</f>
        <v/>
      </c>
      <c r="M4478" s="11">
        <f>G4478+H4478</f>
        <v/>
      </c>
      <c r="N4478" s="11">
        <f>Summary!$C$16*Summary!$B$8</f>
        <v/>
      </c>
      <c r="O4478" s="11">
        <f>M4478-N4478</f>
        <v/>
      </c>
    </row>
    <row r="4479">
      <c r="A4479" s="9" t="n">
        <v>45478.54166666666</v>
      </c>
      <c r="B4479" t="n">
        <v>7</v>
      </c>
      <c r="C4479" t="n">
        <v>5</v>
      </c>
      <c r="D4479" t="n">
        <v>13</v>
      </c>
      <c r="E4479" s="10" t="n">
        <v>0.754058</v>
      </c>
      <c r="F4479" s="10" t="n">
        <v>0.2891078613858867</v>
      </c>
      <c r="G4479" s="11">
        <f>E4479*Summary!$B$6</f>
        <v/>
      </c>
      <c r="H4479" s="11">
        <f>F4479*Summary!$B$7</f>
        <v/>
      </c>
      <c r="I4479" s="11">
        <f>MAX(0,N4479-M4479)</f>
        <v/>
      </c>
      <c r="J4479" s="11">
        <f>MAX(0,M4479-N4479)</f>
        <v/>
      </c>
      <c r="K4479" s="11">
        <f>O4479</f>
        <v/>
      </c>
      <c r="L4479" s="11">
        <f>L4478+IF(K4479&gt;0,K4479*Summary!$B$9,K4479/Summary!$B$9)</f>
        <v/>
      </c>
      <c r="M4479" s="11">
        <f>G4479+H4479</f>
        <v/>
      </c>
      <c r="N4479" s="11">
        <f>Summary!$C$16*Summary!$B$8</f>
        <v/>
      </c>
      <c r="O4479" s="11">
        <f>M4479-N4479</f>
        <v/>
      </c>
    </row>
    <row r="4480">
      <c r="A4480" s="9" t="n">
        <v>45478.58333333334</v>
      </c>
      <c r="B4480" t="n">
        <v>7</v>
      </c>
      <c r="C4480" t="n">
        <v>5</v>
      </c>
      <c r="D4480" t="n">
        <v>14</v>
      </c>
      <c r="E4480" s="10" t="n">
        <v>0.754058</v>
      </c>
      <c r="F4480" s="10" t="n">
        <v>0.2942465026191606</v>
      </c>
      <c r="G4480" s="11">
        <f>E4480*Summary!$B$6</f>
        <v/>
      </c>
      <c r="H4480" s="11">
        <f>F4480*Summary!$B$7</f>
        <v/>
      </c>
      <c r="I4480" s="11">
        <f>MAX(0,N4480-M4480)</f>
        <v/>
      </c>
      <c r="J4480" s="11">
        <f>MAX(0,M4480-N4480)</f>
        <v/>
      </c>
      <c r="K4480" s="11">
        <f>O4480</f>
        <v/>
      </c>
      <c r="L4480" s="11">
        <f>L4479+IF(K4480&gt;0,K4480*Summary!$B$9,K4480/Summary!$B$9)</f>
        <v/>
      </c>
      <c r="M4480" s="11">
        <f>G4480+H4480</f>
        <v/>
      </c>
      <c r="N4480" s="11">
        <f>Summary!$C$16*Summary!$B$8</f>
        <v/>
      </c>
      <c r="O4480" s="11">
        <f>M4480-N4480</f>
        <v/>
      </c>
    </row>
    <row r="4481">
      <c r="A4481" s="9" t="n">
        <v>45478.625</v>
      </c>
      <c r="B4481" t="n">
        <v>7</v>
      </c>
      <c r="C4481" t="n">
        <v>5</v>
      </c>
      <c r="D4481" t="n">
        <v>15</v>
      </c>
      <c r="E4481" s="10" t="n">
        <v>0.6593020000000001</v>
      </c>
      <c r="F4481" s="10" t="n">
        <v>0.3029426647062395</v>
      </c>
      <c r="G4481" s="11">
        <f>E4481*Summary!$B$6</f>
        <v/>
      </c>
      <c r="H4481" s="11">
        <f>F4481*Summary!$B$7</f>
        <v/>
      </c>
      <c r="I4481" s="11">
        <f>MAX(0,N4481-M4481)</f>
        <v/>
      </c>
      <c r="J4481" s="11">
        <f>MAX(0,M4481-N4481)</f>
        <v/>
      </c>
      <c r="K4481" s="11">
        <f>O4481</f>
        <v/>
      </c>
      <c r="L4481" s="11">
        <f>L4480+IF(K4481&gt;0,K4481*Summary!$B$9,K4481/Summary!$B$9)</f>
        <v/>
      </c>
      <c r="M4481" s="11">
        <f>G4481+H4481</f>
        <v/>
      </c>
      <c r="N4481" s="11">
        <f>Summary!$C$16*Summary!$B$8</f>
        <v/>
      </c>
      <c r="O4481" s="11">
        <f>M4481-N4481</f>
        <v/>
      </c>
    </row>
    <row r="4482">
      <c r="A4482" s="9" t="n">
        <v>45478.66666666666</v>
      </c>
      <c r="B4482" t="n">
        <v>7</v>
      </c>
      <c r="C4482" t="n">
        <v>5</v>
      </c>
      <c r="D4482" t="n">
        <v>16</v>
      </c>
      <c r="E4482" s="10" t="n">
        <v>0.485985</v>
      </c>
      <c r="F4482" s="10" t="n">
        <v>0.2965918311820395</v>
      </c>
      <c r="G4482" s="11">
        <f>E4482*Summary!$B$6</f>
        <v/>
      </c>
      <c r="H4482" s="11">
        <f>F4482*Summary!$B$7</f>
        <v/>
      </c>
      <c r="I4482" s="11">
        <f>MAX(0,N4482-M4482)</f>
        <v/>
      </c>
      <c r="J4482" s="11">
        <f>MAX(0,M4482-N4482)</f>
        <v/>
      </c>
      <c r="K4482" s="11">
        <f>O4482</f>
        <v/>
      </c>
      <c r="L4482" s="11">
        <f>L4481+IF(K4482&gt;0,K4482*Summary!$B$9,K4482/Summary!$B$9)</f>
        <v/>
      </c>
      <c r="M4482" s="11">
        <f>G4482+H4482</f>
        <v/>
      </c>
      <c r="N4482" s="11">
        <f>Summary!$C$16*Summary!$B$8</f>
        <v/>
      </c>
      <c r="O4482" s="11">
        <f>M4482-N4482</f>
        <v/>
      </c>
    </row>
    <row r="4483">
      <c r="A4483" s="9" t="n">
        <v>45478.70833333334</v>
      </c>
      <c r="B4483" t="n">
        <v>7</v>
      </c>
      <c r="C4483" t="n">
        <v>5</v>
      </c>
      <c r="D4483" t="n">
        <v>17</v>
      </c>
      <c r="E4483" s="10" t="n">
        <v>0.284454</v>
      </c>
      <c r="F4483" s="10" t="n">
        <v>0.2849705963929431</v>
      </c>
      <c r="G4483" s="11">
        <f>E4483*Summary!$B$6</f>
        <v/>
      </c>
      <c r="H4483" s="11">
        <f>F4483*Summary!$B$7</f>
        <v/>
      </c>
      <c r="I4483" s="11">
        <f>MAX(0,N4483-M4483)</f>
        <v/>
      </c>
      <c r="J4483" s="11">
        <f>MAX(0,M4483-N4483)</f>
        <v/>
      </c>
      <c r="K4483" s="11">
        <f>O4483</f>
        <v/>
      </c>
      <c r="L4483" s="11">
        <f>L4482+IF(K4483&gt;0,K4483*Summary!$B$9,K4483/Summary!$B$9)</f>
        <v/>
      </c>
      <c r="M4483" s="11">
        <f>G4483+H4483</f>
        <v/>
      </c>
      <c r="N4483" s="11">
        <f>Summary!$C$16*Summary!$B$8</f>
        <v/>
      </c>
      <c r="O4483" s="11">
        <f>M4483-N4483</f>
        <v/>
      </c>
    </row>
    <row r="4484">
      <c r="A4484" s="9" t="n">
        <v>45478.75</v>
      </c>
      <c r="B4484" t="n">
        <v>7</v>
      </c>
      <c r="C4484" t="n">
        <v>5</v>
      </c>
      <c r="D4484" t="n">
        <v>18</v>
      </c>
      <c r="E4484" s="10" t="n">
        <v>0.099895</v>
      </c>
      <c r="F4484" s="10" t="n">
        <v>0.2771176985082476</v>
      </c>
      <c r="G4484" s="11">
        <f>E4484*Summary!$B$6</f>
        <v/>
      </c>
      <c r="H4484" s="11">
        <f>F4484*Summary!$B$7</f>
        <v/>
      </c>
      <c r="I4484" s="11">
        <f>MAX(0,N4484-M4484)</f>
        <v/>
      </c>
      <c r="J4484" s="11">
        <f>MAX(0,M4484-N4484)</f>
        <v/>
      </c>
      <c r="K4484" s="11">
        <f>O4484</f>
        <v/>
      </c>
      <c r="L4484" s="11">
        <f>L4483+IF(K4484&gt;0,K4484*Summary!$B$9,K4484/Summary!$B$9)</f>
        <v/>
      </c>
      <c r="M4484" s="11">
        <f>G4484+H4484</f>
        <v/>
      </c>
      <c r="N4484" s="11">
        <f>Summary!$C$16*Summary!$B$8</f>
        <v/>
      </c>
      <c r="O4484" s="11">
        <f>M4484-N4484</f>
        <v/>
      </c>
    </row>
    <row r="4485">
      <c r="A4485" s="9" t="n">
        <v>45478.79166666666</v>
      </c>
      <c r="B4485" t="n">
        <v>7</v>
      </c>
      <c r="C4485" t="n">
        <v>5</v>
      </c>
      <c r="D4485" t="n">
        <v>19</v>
      </c>
      <c r="E4485" s="10" t="n">
        <v>0.047805</v>
      </c>
      <c r="F4485" s="10" t="n">
        <v>0.2778028506726842</v>
      </c>
      <c r="G4485" s="11">
        <f>E4485*Summary!$B$6</f>
        <v/>
      </c>
      <c r="H4485" s="11">
        <f>F4485*Summary!$B$7</f>
        <v/>
      </c>
      <c r="I4485" s="11">
        <f>MAX(0,N4485-M4485)</f>
        <v/>
      </c>
      <c r="J4485" s="11">
        <f>MAX(0,M4485-N4485)</f>
        <v/>
      </c>
      <c r="K4485" s="11">
        <f>O4485</f>
        <v/>
      </c>
      <c r="L4485" s="11">
        <f>L4484+IF(K4485&gt;0,K4485*Summary!$B$9,K4485/Summary!$B$9)</f>
        <v/>
      </c>
      <c r="M4485" s="11">
        <f>G4485+H4485</f>
        <v/>
      </c>
      <c r="N4485" s="11">
        <f>Summary!$C$16*Summary!$B$8</f>
        <v/>
      </c>
      <c r="O4485" s="11">
        <f>M4485-N4485</f>
        <v/>
      </c>
    </row>
    <row r="4486">
      <c r="A4486" s="9" t="n">
        <v>45478.83333333334</v>
      </c>
      <c r="B4486" t="n">
        <v>7</v>
      </c>
      <c r="C4486" t="n">
        <v>5</v>
      </c>
      <c r="D4486" t="n">
        <v>20</v>
      </c>
      <c r="E4486" s="10" t="n">
        <v>0.022376</v>
      </c>
      <c r="F4486" s="10" t="n">
        <v>0.2881591891582054</v>
      </c>
      <c r="G4486" s="11">
        <f>E4486*Summary!$B$6</f>
        <v/>
      </c>
      <c r="H4486" s="11">
        <f>F4486*Summary!$B$7</f>
        <v/>
      </c>
      <c r="I4486" s="11">
        <f>MAX(0,N4486-M4486)</f>
        <v/>
      </c>
      <c r="J4486" s="11">
        <f>MAX(0,M4486-N4486)</f>
        <v/>
      </c>
      <c r="K4486" s="11">
        <f>O4486</f>
        <v/>
      </c>
      <c r="L4486" s="11">
        <f>L4485+IF(K4486&gt;0,K4486*Summary!$B$9,K4486/Summary!$B$9)</f>
        <v/>
      </c>
      <c r="M4486" s="11">
        <f>G4486+H4486</f>
        <v/>
      </c>
      <c r="N4486" s="11">
        <f>Summary!$C$16*Summary!$B$8</f>
        <v/>
      </c>
      <c r="O4486" s="11">
        <f>M4486-N4486</f>
        <v/>
      </c>
    </row>
    <row r="4487">
      <c r="A4487" s="9" t="n">
        <v>45478.875</v>
      </c>
      <c r="B4487" t="n">
        <v>7</v>
      </c>
      <c r="C4487" t="n">
        <v>5</v>
      </c>
      <c r="D4487" t="n">
        <v>21</v>
      </c>
      <c r="E4487" s="10" t="n">
        <v>0</v>
      </c>
      <c r="F4487" s="10" t="n">
        <v>0.3020994005038561</v>
      </c>
      <c r="G4487" s="11">
        <f>E4487*Summary!$B$6</f>
        <v/>
      </c>
      <c r="H4487" s="11">
        <f>F4487*Summary!$B$7</f>
        <v/>
      </c>
      <c r="I4487" s="11">
        <f>MAX(0,N4487-M4487)</f>
        <v/>
      </c>
      <c r="J4487" s="11">
        <f>MAX(0,M4487-N4487)</f>
        <v/>
      </c>
      <c r="K4487" s="11">
        <f>O4487</f>
        <v/>
      </c>
      <c r="L4487" s="11">
        <f>L4486+IF(K4487&gt;0,K4487*Summary!$B$9,K4487/Summary!$B$9)</f>
        <v/>
      </c>
      <c r="M4487" s="11">
        <f>G4487+H4487</f>
        <v/>
      </c>
      <c r="N4487" s="11">
        <f>Summary!$C$16*Summary!$B$8</f>
        <v/>
      </c>
      <c r="O4487" s="11">
        <f>M4487-N4487</f>
        <v/>
      </c>
    </row>
    <row r="4488">
      <c r="A4488" s="9" t="n">
        <v>45478.91666666666</v>
      </c>
      <c r="B4488" t="n">
        <v>7</v>
      </c>
      <c r="C4488" t="n">
        <v>5</v>
      </c>
      <c r="D4488" t="n">
        <v>22</v>
      </c>
      <c r="E4488" s="10" t="n">
        <v>0</v>
      </c>
      <c r="F4488" s="10" t="n">
        <v>0.2634410072258417</v>
      </c>
      <c r="G4488" s="11">
        <f>E4488*Summary!$B$6</f>
        <v/>
      </c>
      <c r="H4488" s="11">
        <f>F4488*Summary!$B$7</f>
        <v/>
      </c>
      <c r="I4488" s="11">
        <f>MAX(0,N4488-M4488)</f>
        <v/>
      </c>
      <c r="J4488" s="11">
        <f>MAX(0,M4488-N4488)</f>
        <v/>
      </c>
      <c r="K4488" s="11">
        <f>O4488</f>
        <v/>
      </c>
      <c r="L4488" s="11">
        <f>L4487+IF(K4488&gt;0,K4488*Summary!$B$9,K4488/Summary!$B$9)</f>
        <v/>
      </c>
      <c r="M4488" s="11">
        <f>G4488+H4488</f>
        <v/>
      </c>
      <c r="N4488" s="11">
        <f>Summary!$C$16*Summary!$B$8</f>
        <v/>
      </c>
      <c r="O4488" s="11">
        <f>M4488-N4488</f>
        <v/>
      </c>
    </row>
    <row r="4489">
      <c r="A4489" s="9" t="n">
        <v>45478.95833333334</v>
      </c>
      <c r="B4489" t="n">
        <v>7</v>
      </c>
      <c r="C4489" t="n">
        <v>5</v>
      </c>
      <c r="D4489" t="n">
        <v>23</v>
      </c>
      <c r="E4489" s="10" t="n">
        <v>0</v>
      </c>
      <c r="F4489" s="10" t="n">
        <v>0.3246567179176123</v>
      </c>
      <c r="G4489" s="11">
        <f>E4489*Summary!$B$6</f>
        <v/>
      </c>
      <c r="H4489" s="11">
        <f>F4489*Summary!$B$7</f>
        <v/>
      </c>
      <c r="I4489" s="11">
        <f>MAX(0,N4489-M4489)</f>
        <v/>
      </c>
      <c r="J4489" s="11">
        <f>MAX(0,M4489-N4489)</f>
        <v/>
      </c>
      <c r="K4489" s="11">
        <f>O4489</f>
        <v/>
      </c>
      <c r="L4489" s="11">
        <f>L4488+IF(K4489&gt;0,K4489*Summary!$B$9,K4489/Summary!$B$9)</f>
        <v/>
      </c>
      <c r="M4489" s="11">
        <f>G4489+H4489</f>
        <v/>
      </c>
      <c r="N4489" s="11">
        <f>Summary!$C$16*Summary!$B$8</f>
        <v/>
      </c>
      <c r="O4489" s="11">
        <f>M4489-N4489</f>
        <v/>
      </c>
    </row>
    <row r="4490">
      <c r="A4490" s="9" t="n">
        <v>45479</v>
      </c>
      <c r="B4490" t="n">
        <v>7</v>
      </c>
      <c r="C4490" t="n">
        <v>6</v>
      </c>
      <c r="D4490" t="n">
        <v>0</v>
      </c>
      <c r="E4490" s="10" t="n">
        <v>0</v>
      </c>
      <c r="F4490" s="10" t="n">
        <v>0.3134307632233831</v>
      </c>
      <c r="G4490" s="11">
        <f>E4490*Summary!$B$6</f>
        <v/>
      </c>
      <c r="H4490" s="11">
        <f>F4490*Summary!$B$7</f>
        <v/>
      </c>
      <c r="I4490" s="11">
        <f>MAX(0,N4490-M4490)</f>
        <v/>
      </c>
      <c r="J4490" s="11">
        <f>MAX(0,M4490-N4490)</f>
        <v/>
      </c>
      <c r="K4490" s="11">
        <f>O4490</f>
        <v/>
      </c>
      <c r="L4490" s="11">
        <f>L4489+IF(K4490&gt;0,K4490*Summary!$B$9,K4490/Summary!$B$9)</f>
        <v/>
      </c>
      <c r="M4490" s="11">
        <f>G4490+H4490</f>
        <v/>
      </c>
      <c r="N4490" s="11">
        <f>Summary!$C$16*Summary!$B$8</f>
        <v/>
      </c>
      <c r="O4490" s="11">
        <f>M4490-N4490</f>
        <v/>
      </c>
    </row>
    <row r="4491">
      <c r="A4491" s="9" t="n">
        <v>45479.04166666666</v>
      </c>
      <c r="B4491" t="n">
        <v>7</v>
      </c>
      <c r="C4491" t="n">
        <v>6</v>
      </c>
      <c r="D4491" t="n">
        <v>1</v>
      </c>
      <c r="E4491" s="10" t="n">
        <v>0</v>
      </c>
      <c r="F4491" s="10" t="n">
        <v>0.3184376444250346</v>
      </c>
      <c r="G4491" s="11">
        <f>E4491*Summary!$B$6</f>
        <v/>
      </c>
      <c r="H4491" s="11">
        <f>F4491*Summary!$B$7</f>
        <v/>
      </c>
      <c r="I4491" s="11">
        <f>MAX(0,N4491-M4491)</f>
        <v/>
      </c>
      <c r="J4491" s="11">
        <f>MAX(0,M4491-N4491)</f>
        <v/>
      </c>
      <c r="K4491" s="11">
        <f>O4491</f>
        <v/>
      </c>
      <c r="L4491" s="11">
        <f>L4490+IF(K4491&gt;0,K4491*Summary!$B$9,K4491/Summary!$B$9)</f>
        <v/>
      </c>
      <c r="M4491" s="11">
        <f>G4491+H4491</f>
        <v/>
      </c>
      <c r="N4491" s="11">
        <f>Summary!$C$16*Summary!$B$8</f>
        <v/>
      </c>
      <c r="O4491" s="11">
        <f>M4491-N4491</f>
        <v/>
      </c>
    </row>
    <row r="4492">
      <c r="A4492" s="9" t="n">
        <v>45479.08333333334</v>
      </c>
      <c r="B4492" t="n">
        <v>7</v>
      </c>
      <c r="C4492" t="n">
        <v>6</v>
      </c>
      <c r="D4492" t="n">
        <v>2</v>
      </c>
      <c r="E4492" s="10" t="n">
        <v>0</v>
      </c>
      <c r="F4492" s="10" t="n">
        <v>0.3135361712486811</v>
      </c>
      <c r="G4492" s="11">
        <f>E4492*Summary!$B$6</f>
        <v/>
      </c>
      <c r="H4492" s="11">
        <f>F4492*Summary!$B$7</f>
        <v/>
      </c>
      <c r="I4492" s="11">
        <f>MAX(0,N4492-M4492)</f>
        <v/>
      </c>
      <c r="J4492" s="11">
        <f>MAX(0,M4492-N4492)</f>
        <v/>
      </c>
      <c r="K4492" s="11">
        <f>O4492</f>
        <v/>
      </c>
      <c r="L4492" s="11">
        <f>L4491+IF(K4492&gt;0,K4492*Summary!$B$9,K4492/Summary!$B$9)</f>
        <v/>
      </c>
      <c r="M4492" s="11">
        <f>G4492+H4492</f>
        <v/>
      </c>
      <c r="N4492" s="11">
        <f>Summary!$C$16*Summary!$B$8</f>
        <v/>
      </c>
      <c r="O4492" s="11">
        <f>M4492-N4492</f>
        <v/>
      </c>
    </row>
    <row r="4493">
      <c r="A4493" s="9" t="n">
        <v>45479.125</v>
      </c>
      <c r="B4493" t="n">
        <v>7</v>
      </c>
      <c r="C4493" t="n">
        <v>6</v>
      </c>
      <c r="D4493" t="n">
        <v>3</v>
      </c>
      <c r="E4493" s="10" t="n">
        <v>0</v>
      </c>
      <c r="F4493" s="10" t="n">
        <v>0.3075542658130238</v>
      </c>
      <c r="G4493" s="11">
        <f>E4493*Summary!$B$6</f>
        <v/>
      </c>
      <c r="H4493" s="11">
        <f>F4493*Summary!$B$7</f>
        <v/>
      </c>
      <c r="I4493" s="11">
        <f>MAX(0,N4493-M4493)</f>
        <v/>
      </c>
      <c r="J4493" s="11">
        <f>MAX(0,M4493-N4493)</f>
        <v/>
      </c>
      <c r="K4493" s="11">
        <f>O4493</f>
        <v/>
      </c>
      <c r="L4493" s="11">
        <f>L4492+IF(K4493&gt;0,K4493*Summary!$B$9,K4493/Summary!$B$9)</f>
        <v/>
      </c>
      <c r="M4493" s="11">
        <f>G4493+H4493</f>
        <v/>
      </c>
      <c r="N4493" s="11">
        <f>Summary!$C$16*Summary!$B$8</f>
        <v/>
      </c>
      <c r="O4493" s="11">
        <f>M4493-N4493</f>
        <v/>
      </c>
    </row>
    <row r="4494">
      <c r="A4494" s="9" t="n">
        <v>45479.16666666666</v>
      </c>
      <c r="B4494" t="n">
        <v>7</v>
      </c>
      <c r="C4494" t="n">
        <v>6</v>
      </c>
      <c r="D4494" t="n">
        <v>4</v>
      </c>
      <c r="E4494" s="10" t="n">
        <v>0.012234</v>
      </c>
      <c r="F4494" s="10" t="n">
        <v>0.2946681347203523</v>
      </c>
      <c r="G4494" s="11">
        <f>E4494*Summary!$B$6</f>
        <v/>
      </c>
      <c r="H4494" s="11">
        <f>F4494*Summary!$B$7</f>
        <v/>
      </c>
      <c r="I4494" s="11">
        <f>MAX(0,N4494-M4494)</f>
        <v/>
      </c>
      <c r="J4494" s="11">
        <f>MAX(0,M4494-N4494)</f>
        <v/>
      </c>
      <c r="K4494" s="11">
        <f>O4494</f>
        <v/>
      </c>
      <c r="L4494" s="11">
        <f>L4493+IF(K4494&gt;0,K4494*Summary!$B$9,K4494/Summary!$B$9)</f>
        <v/>
      </c>
      <c r="M4494" s="11">
        <f>G4494+H4494</f>
        <v/>
      </c>
      <c r="N4494" s="11">
        <f>Summary!$C$16*Summary!$B$8</f>
        <v/>
      </c>
      <c r="O4494" s="11">
        <f>M4494-N4494</f>
        <v/>
      </c>
    </row>
    <row r="4495">
      <c r="A4495" s="9" t="n">
        <v>45479.20833333334</v>
      </c>
      <c r="B4495" t="n">
        <v>7</v>
      </c>
      <c r="C4495" t="n">
        <v>6</v>
      </c>
      <c r="D4495" t="n">
        <v>5</v>
      </c>
      <c r="E4495" s="10" t="n">
        <v>0.056394</v>
      </c>
      <c r="F4495" s="10" t="n">
        <v>0.2761163222679173</v>
      </c>
      <c r="G4495" s="11">
        <f>E4495*Summary!$B$6</f>
        <v/>
      </c>
      <c r="H4495" s="11">
        <f>F4495*Summary!$B$7</f>
        <v/>
      </c>
      <c r="I4495" s="11">
        <f>MAX(0,N4495-M4495)</f>
        <v/>
      </c>
      <c r="J4495" s="11">
        <f>MAX(0,M4495-N4495)</f>
        <v/>
      </c>
      <c r="K4495" s="11">
        <f>O4495</f>
        <v/>
      </c>
      <c r="L4495" s="11">
        <f>L4494+IF(K4495&gt;0,K4495*Summary!$B$9,K4495/Summary!$B$9)</f>
        <v/>
      </c>
      <c r="M4495" s="11">
        <f>G4495+H4495</f>
        <v/>
      </c>
      <c r="N4495" s="11">
        <f>Summary!$C$16*Summary!$B$8</f>
        <v/>
      </c>
      <c r="O4495" s="11">
        <f>M4495-N4495</f>
        <v/>
      </c>
    </row>
    <row r="4496">
      <c r="A4496" s="9" t="n">
        <v>45479.25</v>
      </c>
      <c r="B4496" t="n">
        <v>7</v>
      </c>
      <c r="C4496" t="n">
        <v>6</v>
      </c>
      <c r="D4496" t="n">
        <v>6</v>
      </c>
      <c r="E4496" s="10" t="n">
        <v>0.201763</v>
      </c>
      <c r="F4496" s="10" t="n">
        <v>0.267947200307328</v>
      </c>
      <c r="G4496" s="11">
        <f>E4496*Summary!$B$6</f>
        <v/>
      </c>
      <c r="H4496" s="11">
        <f>F4496*Summary!$B$7</f>
        <v/>
      </c>
      <c r="I4496" s="11">
        <f>MAX(0,N4496-M4496)</f>
        <v/>
      </c>
      <c r="J4496" s="11">
        <f>MAX(0,M4496-N4496)</f>
        <v/>
      </c>
      <c r="K4496" s="11">
        <f>O4496</f>
        <v/>
      </c>
      <c r="L4496" s="11">
        <f>L4495+IF(K4496&gt;0,K4496*Summary!$B$9,K4496/Summary!$B$9)</f>
        <v/>
      </c>
      <c r="M4496" s="11">
        <f>G4496+H4496</f>
        <v/>
      </c>
      <c r="N4496" s="11">
        <f>Summary!$C$16*Summary!$B$8</f>
        <v/>
      </c>
      <c r="O4496" s="11">
        <f>M4496-N4496</f>
        <v/>
      </c>
    </row>
    <row r="4497">
      <c r="A4497" s="9" t="n">
        <v>45479.29166666666</v>
      </c>
      <c r="B4497" t="n">
        <v>7</v>
      </c>
      <c r="C4497" t="n">
        <v>6</v>
      </c>
      <c r="D4497" t="n">
        <v>7</v>
      </c>
      <c r="E4497" s="10" t="n">
        <v>0.386043</v>
      </c>
      <c r="F4497" s="10" t="n">
        <v>0.2581179019482964</v>
      </c>
      <c r="G4497" s="11">
        <f>E4497*Summary!$B$6</f>
        <v/>
      </c>
      <c r="H4497" s="11">
        <f>F4497*Summary!$B$7</f>
        <v/>
      </c>
      <c r="I4497" s="11">
        <f>MAX(0,N4497-M4497)</f>
        <v/>
      </c>
      <c r="J4497" s="11">
        <f>MAX(0,M4497-N4497)</f>
        <v/>
      </c>
      <c r="K4497" s="11">
        <f>O4497</f>
        <v/>
      </c>
      <c r="L4497" s="11">
        <f>L4496+IF(K4497&gt;0,K4497*Summary!$B$9,K4497/Summary!$B$9)</f>
        <v/>
      </c>
      <c r="M4497" s="11">
        <f>G4497+H4497</f>
        <v/>
      </c>
      <c r="N4497" s="11">
        <f>Summary!$C$16*Summary!$B$8</f>
        <v/>
      </c>
      <c r="O4497" s="11">
        <f>M4497-N4497</f>
        <v/>
      </c>
    </row>
    <row r="4498">
      <c r="A4498" s="9" t="n">
        <v>45479.33333333334</v>
      </c>
      <c r="B4498" t="n">
        <v>7</v>
      </c>
      <c r="C4498" t="n">
        <v>6</v>
      </c>
      <c r="D4498" t="n">
        <v>8</v>
      </c>
      <c r="E4498" s="10" t="n">
        <v>0.542029</v>
      </c>
      <c r="F4498" s="10" t="n">
        <v>0.2538752289300549</v>
      </c>
      <c r="G4498" s="11">
        <f>E4498*Summary!$B$6</f>
        <v/>
      </c>
      <c r="H4498" s="11">
        <f>F4498*Summary!$B$7</f>
        <v/>
      </c>
      <c r="I4498" s="11">
        <f>MAX(0,N4498-M4498)</f>
        <v/>
      </c>
      <c r="J4498" s="11">
        <f>MAX(0,M4498-N4498)</f>
        <v/>
      </c>
      <c r="K4498" s="11">
        <f>O4498</f>
        <v/>
      </c>
      <c r="L4498" s="11">
        <f>L4497+IF(K4498&gt;0,K4498*Summary!$B$9,K4498/Summary!$B$9)</f>
        <v/>
      </c>
      <c r="M4498" s="11">
        <f>G4498+H4498</f>
        <v/>
      </c>
      <c r="N4498" s="11">
        <f>Summary!$C$16*Summary!$B$8</f>
        <v/>
      </c>
      <c r="O4498" s="11">
        <f>M4498-N4498</f>
        <v/>
      </c>
    </row>
    <row r="4499">
      <c r="A4499" s="9" t="n">
        <v>45479.375</v>
      </c>
      <c r="B4499" t="n">
        <v>7</v>
      </c>
      <c r="C4499" t="n">
        <v>6</v>
      </c>
      <c r="D4499" t="n">
        <v>9</v>
      </c>
      <c r="E4499" s="10" t="n">
        <v>0.725648</v>
      </c>
      <c r="F4499" s="10" t="n">
        <v>0.2523995165758839</v>
      </c>
      <c r="G4499" s="11">
        <f>E4499*Summary!$B$6</f>
        <v/>
      </c>
      <c r="H4499" s="11">
        <f>F4499*Summary!$B$7</f>
        <v/>
      </c>
      <c r="I4499" s="11">
        <f>MAX(0,N4499-M4499)</f>
        <v/>
      </c>
      <c r="J4499" s="11">
        <f>MAX(0,M4499-N4499)</f>
        <v/>
      </c>
      <c r="K4499" s="11">
        <f>O4499</f>
        <v/>
      </c>
      <c r="L4499" s="11">
        <f>L4498+IF(K4499&gt;0,K4499*Summary!$B$9,K4499/Summary!$B$9)</f>
        <v/>
      </c>
      <c r="M4499" s="11">
        <f>G4499+H4499</f>
        <v/>
      </c>
      <c r="N4499" s="11">
        <f>Summary!$C$16*Summary!$B$8</f>
        <v/>
      </c>
      <c r="O4499" s="11">
        <f>M4499-N4499</f>
        <v/>
      </c>
    </row>
    <row r="4500">
      <c r="A4500" s="9" t="n">
        <v>45479.41666666666</v>
      </c>
      <c r="B4500" t="n">
        <v>7</v>
      </c>
      <c r="C4500" t="n">
        <v>6</v>
      </c>
      <c r="D4500" t="n">
        <v>10</v>
      </c>
      <c r="E4500" s="10" t="n">
        <v>0.754058</v>
      </c>
      <c r="F4500" s="10" t="n">
        <v>0.2756946901667257</v>
      </c>
      <c r="G4500" s="11">
        <f>E4500*Summary!$B$6</f>
        <v/>
      </c>
      <c r="H4500" s="11">
        <f>F4500*Summary!$B$7</f>
        <v/>
      </c>
      <c r="I4500" s="11">
        <f>MAX(0,N4500-M4500)</f>
        <v/>
      </c>
      <c r="J4500" s="11">
        <f>MAX(0,M4500-N4500)</f>
        <v/>
      </c>
      <c r="K4500" s="11">
        <f>O4500</f>
        <v/>
      </c>
      <c r="L4500" s="11">
        <f>L4499+IF(K4500&gt;0,K4500*Summary!$B$9,K4500/Summary!$B$9)</f>
        <v/>
      </c>
      <c r="M4500" s="11">
        <f>G4500+H4500</f>
        <v/>
      </c>
      <c r="N4500" s="11">
        <f>Summary!$C$16*Summary!$B$8</f>
        <v/>
      </c>
      <c r="O4500" s="11">
        <f>M4500-N4500</f>
        <v/>
      </c>
    </row>
    <row r="4501">
      <c r="A4501" s="9" t="n">
        <v>45479.45833333334</v>
      </c>
      <c r="B4501" t="n">
        <v>7</v>
      </c>
      <c r="C4501" t="n">
        <v>6</v>
      </c>
      <c r="D4501" t="n">
        <v>11</v>
      </c>
      <c r="E4501" s="10" t="n">
        <v>0.754058</v>
      </c>
      <c r="F4501" s="10" t="n">
        <v>0.2620707028969687</v>
      </c>
      <c r="G4501" s="11">
        <f>E4501*Summary!$B$6</f>
        <v/>
      </c>
      <c r="H4501" s="11">
        <f>F4501*Summary!$B$7</f>
        <v/>
      </c>
      <c r="I4501" s="11">
        <f>MAX(0,N4501-M4501)</f>
        <v/>
      </c>
      <c r="J4501" s="11">
        <f>MAX(0,M4501-N4501)</f>
        <v/>
      </c>
      <c r="K4501" s="11">
        <f>O4501</f>
        <v/>
      </c>
      <c r="L4501" s="11">
        <f>L4500+IF(K4501&gt;0,K4501*Summary!$B$9,K4501/Summary!$B$9)</f>
        <v/>
      </c>
      <c r="M4501" s="11">
        <f>G4501+H4501</f>
        <v/>
      </c>
      <c r="N4501" s="11">
        <f>Summary!$C$16*Summary!$B$8</f>
        <v/>
      </c>
      <c r="O4501" s="11">
        <f>M4501-N4501</f>
        <v/>
      </c>
    </row>
    <row r="4502">
      <c r="A4502" s="9" t="n">
        <v>45479.5</v>
      </c>
      <c r="B4502" t="n">
        <v>7</v>
      </c>
      <c r="C4502" t="n">
        <v>6</v>
      </c>
      <c r="D4502" t="n">
        <v>12</v>
      </c>
      <c r="E4502" s="10" t="n">
        <v>0.754058</v>
      </c>
      <c r="F4502" s="10" t="n">
        <v>0.2649430715863372</v>
      </c>
      <c r="G4502" s="11">
        <f>E4502*Summary!$B$6</f>
        <v/>
      </c>
      <c r="H4502" s="11">
        <f>F4502*Summary!$B$7</f>
        <v/>
      </c>
      <c r="I4502" s="11">
        <f>MAX(0,N4502-M4502)</f>
        <v/>
      </c>
      <c r="J4502" s="11">
        <f>MAX(0,M4502-N4502)</f>
        <v/>
      </c>
      <c r="K4502" s="11">
        <f>O4502</f>
        <v/>
      </c>
      <c r="L4502" s="11">
        <f>L4501+IF(K4502&gt;0,K4502*Summary!$B$9,K4502/Summary!$B$9)</f>
        <v/>
      </c>
      <c r="M4502" s="11">
        <f>G4502+H4502</f>
        <v/>
      </c>
      <c r="N4502" s="11">
        <f>Summary!$C$16*Summary!$B$8</f>
        <v/>
      </c>
      <c r="O4502" s="11">
        <f>M4502-N4502</f>
        <v/>
      </c>
    </row>
    <row r="4503">
      <c r="A4503" s="9" t="n">
        <v>45479.54166666666</v>
      </c>
      <c r="B4503" t="n">
        <v>7</v>
      </c>
      <c r="C4503" t="n">
        <v>6</v>
      </c>
      <c r="D4503" t="n">
        <v>13</v>
      </c>
      <c r="E4503" s="10" t="n">
        <v>0.754058</v>
      </c>
      <c r="F4503" s="10" t="n">
        <v>0.2769595864703007</v>
      </c>
      <c r="G4503" s="11">
        <f>E4503*Summary!$B$6</f>
        <v/>
      </c>
      <c r="H4503" s="11">
        <f>F4503*Summary!$B$7</f>
        <v/>
      </c>
      <c r="I4503" s="11">
        <f>MAX(0,N4503-M4503)</f>
        <v/>
      </c>
      <c r="J4503" s="11">
        <f>MAX(0,M4503-N4503)</f>
        <v/>
      </c>
      <c r="K4503" s="11">
        <f>O4503</f>
        <v/>
      </c>
      <c r="L4503" s="11">
        <f>L4502+IF(K4503&gt;0,K4503*Summary!$B$9,K4503/Summary!$B$9)</f>
        <v/>
      </c>
      <c r="M4503" s="11">
        <f>G4503+H4503</f>
        <v/>
      </c>
      <c r="N4503" s="11">
        <f>Summary!$C$16*Summary!$B$8</f>
        <v/>
      </c>
      <c r="O4503" s="11">
        <f>M4503-N4503</f>
        <v/>
      </c>
    </row>
    <row r="4504">
      <c r="A4504" s="9" t="n">
        <v>45479.58333333334</v>
      </c>
      <c r="B4504" t="n">
        <v>7</v>
      </c>
      <c r="C4504" t="n">
        <v>6</v>
      </c>
      <c r="D4504" t="n">
        <v>14</v>
      </c>
      <c r="E4504" s="10" t="n">
        <v>0.615973</v>
      </c>
      <c r="F4504" s="10" t="n">
        <v>0.2871841649241996</v>
      </c>
      <c r="G4504" s="11">
        <f>E4504*Summary!$B$6</f>
        <v/>
      </c>
      <c r="H4504" s="11">
        <f>F4504*Summary!$B$7</f>
        <v/>
      </c>
      <c r="I4504" s="11">
        <f>MAX(0,N4504-M4504)</f>
        <v/>
      </c>
      <c r="J4504" s="11">
        <f>MAX(0,M4504-N4504)</f>
        <v/>
      </c>
      <c r="K4504" s="11">
        <f>O4504</f>
        <v/>
      </c>
      <c r="L4504" s="11">
        <f>L4503+IF(K4504&gt;0,K4504*Summary!$B$9,K4504/Summary!$B$9)</f>
        <v/>
      </c>
      <c r="M4504" s="11">
        <f>G4504+H4504</f>
        <v/>
      </c>
      <c r="N4504" s="11">
        <f>Summary!$C$16*Summary!$B$8</f>
        <v/>
      </c>
      <c r="O4504" s="11">
        <f>M4504-N4504</f>
        <v/>
      </c>
    </row>
    <row r="4505">
      <c r="A4505" s="9" t="n">
        <v>45479.625</v>
      </c>
      <c r="B4505" t="n">
        <v>7</v>
      </c>
      <c r="C4505" t="n">
        <v>6</v>
      </c>
      <c r="D4505" t="n">
        <v>15</v>
      </c>
      <c r="E4505" s="10" t="n">
        <v>0.57979</v>
      </c>
      <c r="F4505" s="10" t="n">
        <v>0.2940620385748892</v>
      </c>
      <c r="G4505" s="11">
        <f>E4505*Summary!$B$6</f>
        <v/>
      </c>
      <c r="H4505" s="11">
        <f>F4505*Summary!$B$7</f>
        <v/>
      </c>
      <c r="I4505" s="11">
        <f>MAX(0,N4505-M4505)</f>
        <v/>
      </c>
      <c r="J4505" s="11">
        <f>MAX(0,M4505-N4505)</f>
        <v/>
      </c>
      <c r="K4505" s="11">
        <f>O4505</f>
        <v/>
      </c>
      <c r="L4505" s="11">
        <f>L4504+IF(K4505&gt;0,K4505*Summary!$B$9,K4505/Summary!$B$9)</f>
        <v/>
      </c>
      <c r="M4505" s="11">
        <f>G4505+H4505</f>
        <v/>
      </c>
      <c r="N4505" s="11">
        <f>Summary!$C$16*Summary!$B$8</f>
        <v/>
      </c>
      <c r="O4505" s="11">
        <f>M4505-N4505</f>
        <v/>
      </c>
    </row>
    <row r="4506">
      <c r="A4506" s="9" t="n">
        <v>45479.66666666666</v>
      </c>
      <c r="B4506" t="n">
        <v>7</v>
      </c>
      <c r="C4506" t="n">
        <v>6</v>
      </c>
      <c r="D4506" t="n">
        <v>16</v>
      </c>
      <c r="E4506" s="10" t="n">
        <v>0.439918</v>
      </c>
      <c r="F4506" s="10" t="n">
        <v>0.2978830794919391</v>
      </c>
      <c r="G4506" s="11">
        <f>E4506*Summary!$B$6</f>
        <v/>
      </c>
      <c r="H4506" s="11">
        <f>F4506*Summary!$B$7</f>
        <v/>
      </c>
      <c r="I4506" s="11">
        <f>MAX(0,N4506-M4506)</f>
        <v/>
      </c>
      <c r="J4506" s="11">
        <f>MAX(0,M4506-N4506)</f>
        <v/>
      </c>
      <c r="K4506" s="11">
        <f>O4506</f>
        <v/>
      </c>
      <c r="L4506" s="11">
        <f>L4505+IF(K4506&gt;0,K4506*Summary!$B$9,K4506/Summary!$B$9)</f>
        <v/>
      </c>
      <c r="M4506" s="11">
        <f>G4506+H4506</f>
        <v/>
      </c>
      <c r="N4506" s="11">
        <f>Summary!$C$16*Summary!$B$8</f>
        <v/>
      </c>
      <c r="O4506" s="11">
        <f>M4506-N4506</f>
        <v/>
      </c>
    </row>
    <row r="4507">
      <c r="A4507" s="9" t="n">
        <v>45479.70833333334</v>
      </c>
      <c r="B4507" t="n">
        <v>7</v>
      </c>
      <c r="C4507" t="n">
        <v>6</v>
      </c>
      <c r="D4507" t="n">
        <v>17</v>
      </c>
      <c r="E4507" s="10" t="n">
        <v>0.266484</v>
      </c>
      <c r="F4507" s="10" t="n">
        <v>0.2981993035678328</v>
      </c>
      <c r="G4507" s="11">
        <f>E4507*Summary!$B$6</f>
        <v/>
      </c>
      <c r="H4507" s="11">
        <f>F4507*Summary!$B$7</f>
        <v/>
      </c>
      <c r="I4507" s="11">
        <f>MAX(0,N4507-M4507)</f>
        <v/>
      </c>
      <c r="J4507" s="11">
        <f>MAX(0,M4507-N4507)</f>
        <v/>
      </c>
      <c r="K4507" s="11">
        <f>O4507</f>
        <v/>
      </c>
      <c r="L4507" s="11">
        <f>L4506+IF(K4507&gt;0,K4507*Summary!$B$9,K4507/Summary!$B$9)</f>
        <v/>
      </c>
      <c r="M4507" s="11">
        <f>G4507+H4507</f>
        <v/>
      </c>
      <c r="N4507" s="11">
        <f>Summary!$C$16*Summary!$B$8</f>
        <v/>
      </c>
      <c r="O4507" s="11">
        <f>M4507-N4507</f>
        <v/>
      </c>
    </row>
    <row r="4508">
      <c r="A4508" s="9" t="n">
        <v>45479.75</v>
      </c>
      <c r="B4508" t="n">
        <v>7</v>
      </c>
      <c r="C4508" t="n">
        <v>6</v>
      </c>
      <c r="D4508" t="n">
        <v>18</v>
      </c>
      <c r="E4508" s="10" t="n">
        <v>0.11504</v>
      </c>
      <c r="F4508" s="10" t="n">
        <v>0.2864990127597631</v>
      </c>
      <c r="G4508" s="11">
        <f>E4508*Summary!$B$6</f>
        <v/>
      </c>
      <c r="H4508" s="11">
        <f>F4508*Summary!$B$7</f>
        <v/>
      </c>
      <c r="I4508" s="11">
        <f>MAX(0,N4508-M4508)</f>
        <v/>
      </c>
      <c r="J4508" s="11">
        <f>MAX(0,M4508-N4508)</f>
        <v/>
      </c>
      <c r="K4508" s="11">
        <f>O4508</f>
        <v/>
      </c>
      <c r="L4508" s="11">
        <f>L4507+IF(K4508&gt;0,K4508*Summary!$B$9,K4508/Summary!$B$9)</f>
        <v/>
      </c>
      <c r="M4508" s="11">
        <f>G4508+H4508</f>
        <v/>
      </c>
      <c r="N4508" s="11">
        <f>Summary!$C$16*Summary!$B$8</f>
        <v/>
      </c>
      <c r="O4508" s="11">
        <f>M4508-N4508</f>
        <v/>
      </c>
    </row>
    <row r="4509">
      <c r="A4509" s="9" t="n">
        <v>45479.79166666666</v>
      </c>
      <c r="B4509" t="n">
        <v>7</v>
      </c>
      <c r="C4509" t="n">
        <v>6</v>
      </c>
      <c r="D4509" t="n">
        <v>19</v>
      </c>
      <c r="E4509" s="10" t="n">
        <v>0.03921</v>
      </c>
      <c r="F4509" s="10" t="n">
        <v>0.2815448355707605</v>
      </c>
      <c r="G4509" s="11">
        <f>E4509*Summary!$B$6</f>
        <v/>
      </c>
      <c r="H4509" s="11">
        <f>F4509*Summary!$B$7</f>
        <v/>
      </c>
      <c r="I4509" s="11">
        <f>MAX(0,N4509-M4509)</f>
        <v/>
      </c>
      <c r="J4509" s="11">
        <f>MAX(0,M4509-N4509)</f>
        <v/>
      </c>
      <c r="K4509" s="11">
        <f>O4509</f>
        <v/>
      </c>
      <c r="L4509" s="11">
        <f>L4508+IF(K4509&gt;0,K4509*Summary!$B$9,K4509/Summary!$B$9)</f>
        <v/>
      </c>
      <c r="M4509" s="11">
        <f>G4509+H4509</f>
        <v/>
      </c>
      <c r="N4509" s="11">
        <f>Summary!$C$16*Summary!$B$8</f>
        <v/>
      </c>
      <c r="O4509" s="11">
        <f>M4509-N4509</f>
        <v/>
      </c>
    </row>
    <row r="4510">
      <c r="A4510" s="9" t="n">
        <v>45479.83333333334</v>
      </c>
      <c r="B4510" t="n">
        <v>7</v>
      </c>
      <c r="C4510" t="n">
        <v>6</v>
      </c>
      <c r="D4510" t="n">
        <v>20</v>
      </c>
      <c r="E4510" s="10" t="n">
        <v>0.012235</v>
      </c>
      <c r="F4510" s="10" t="n">
        <v>0.2864726607534386</v>
      </c>
      <c r="G4510" s="11">
        <f>E4510*Summary!$B$6</f>
        <v/>
      </c>
      <c r="H4510" s="11">
        <f>F4510*Summary!$B$7</f>
        <v/>
      </c>
      <c r="I4510" s="11">
        <f>MAX(0,N4510-M4510)</f>
        <v/>
      </c>
      <c r="J4510" s="11">
        <f>MAX(0,M4510-N4510)</f>
        <v/>
      </c>
      <c r="K4510" s="11">
        <f>O4510</f>
        <v/>
      </c>
      <c r="L4510" s="11">
        <f>L4509+IF(K4510&gt;0,K4510*Summary!$B$9,K4510/Summary!$B$9)</f>
        <v/>
      </c>
      <c r="M4510" s="11">
        <f>G4510+H4510</f>
        <v/>
      </c>
      <c r="N4510" s="11">
        <f>Summary!$C$16*Summary!$B$8</f>
        <v/>
      </c>
      <c r="O4510" s="11">
        <f>M4510-N4510</f>
        <v/>
      </c>
    </row>
    <row r="4511">
      <c r="A4511" s="9" t="n">
        <v>45479.875</v>
      </c>
      <c r="B4511" t="n">
        <v>7</v>
      </c>
      <c r="C4511" t="n">
        <v>6</v>
      </c>
      <c r="D4511" t="n">
        <v>21</v>
      </c>
      <c r="E4511" s="10" t="n">
        <v>0</v>
      </c>
      <c r="F4511" s="10" t="n">
        <v>0.2954586949100868</v>
      </c>
      <c r="G4511" s="11">
        <f>E4511*Summary!$B$6</f>
        <v/>
      </c>
      <c r="H4511" s="11">
        <f>F4511*Summary!$B$7</f>
        <v/>
      </c>
      <c r="I4511" s="11">
        <f>MAX(0,N4511-M4511)</f>
        <v/>
      </c>
      <c r="J4511" s="11">
        <f>MAX(0,M4511-N4511)</f>
        <v/>
      </c>
      <c r="K4511" s="11">
        <f>O4511</f>
        <v/>
      </c>
      <c r="L4511" s="11">
        <f>L4510+IF(K4511&gt;0,K4511*Summary!$B$9,K4511/Summary!$B$9)</f>
        <v/>
      </c>
      <c r="M4511" s="11">
        <f>G4511+H4511</f>
        <v/>
      </c>
      <c r="N4511" s="11">
        <f>Summary!$C$16*Summary!$B$8</f>
        <v/>
      </c>
      <c r="O4511" s="11">
        <f>M4511-N4511</f>
        <v/>
      </c>
    </row>
    <row r="4512">
      <c r="A4512" s="9" t="n">
        <v>45479.91666666666</v>
      </c>
      <c r="B4512" t="n">
        <v>7</v>
      </c>
      <c r="C4512" t="n">
        <v>6</v>
      </c>
      <c r="D4512" t="n">
        <v>22</v>
      </c>
      <c r="E4512" s="10" t="n">
        <v>0</v>
      </c>
      <c r="F4512" s="10" t="n">
        <v>0.3081340099521624</v>
      </c>
      <c r="G4512" s="11">
        <f>E4512*Summary!$B$6</f>
        <v/>
      </c>
      <c r="H4512" s="11">
        <f>F4512*Summary!$B$7</f>
        <v/>
      </c>
      <c r="I4512" s="11">
        <f>MAX(0,N4512-M4512)</f>
        <v/>
      </c>
      <c r="J4512" s="11">
        <f>MAX(0,M4512-N4512)</f>
        <v/>
      </c>
      <c r="K4512" s="11">
        <f>O4512</f>
        <v/>
      </c>
      <c r="L4512" s="11">
        <f>L4511+IF(K4512&gt;0,K4512*Summary!$B$9,K4512/Summary!$B$9)</f>
        <v/>
      </c>
      <c r="M4512" s="11">
        <f>G4512+H4512</f>
        <v/>
      </c>
      <c r="N4512" s="11">
        <f>Summary!$C$16*Summary!$B$8</f>
        <v/>
      </c>
      <c r="O4512" s="11">
        <f>M4512-N4512</f>
        <v/>
      </c>
    </row>
    <row r="4513">
      <c r="A4513" s="9" t="n">
        <v>45479.95833333334</v>
      </c>
      <c r="B4513" t="n">
        <v>7</v>
      </c>
      <c r="C4513" t="n">
        <v>6</v>
      </c>
      <c r="D4513" t="n">
        <v>23</v>
      </c>
      <c r="E4513" s="10" t="n">
        <v>0</v>
      </c>
      <c r="F4513" s="10" t="n">
        <v>0.3090036261608703</v>
      </c>
      <c r="G4513" s="11">
        <f>E4513*Summary!$B$6</f>
        <v/>
      </c>
      <c r="H4513" s="11">
        <f>F4513*Summary!$B$7</f>
        <v/>
      </c>
      <c r="I4513" s="11">
        <f>MAX(0,N4513-M4513)</f>
        <v/>
      </c>
      <c r="J4513" s="11">
        <f>MAX(0,M4513-N4513)</f>
        <v/>
      </c>
      <c r="K4513" s="11">
        <f>O4513</f>
        <v/>
      </c>
      <c r="L4513" s="11">
        <f>L4512+IF(K4513&gt;0,K4513*Summary!$B$9,K4513/Summary!$B$9)</f>
        <v/>
      </c>
      <c r="M4513" s="11">
        <f>G4513+H4513</f>
        <v/>
      </c>
      <c r="N4513" s="11">
        <f>Summary!$C$16*Summary!$B$8</f>
        <v/>
      </c>
      <c r="O4513" s="11">
        <f>M4513-N4513</f>
        <v/>
      </c>
    </row>
    <row r="4514">
      <c r="A4514" s="9" t="n">
        <v>45480</v>
      </c>
      <c r="B4514" t="n">
        <v>7</v>
      </c>
      <c r="C4514" t="n">
        <v>7</v>
      </c>
      <c r="D4514" t="n">
        <v>0</v>
      </c>
      <c r="E4514" s="10" t="n">
        <v>0</v>
      </c>
      <c r="F4514" s="10" t="n">
        <v>0.2395660894958615</v>
      </c>
      <c r="G4514" s="11">
        <f>E4514*Summary!$B$6</f>
        <v/>
      </c>
      <c r="H4514" s="11">
        <f>F4514*Summary!$B$7</f>
        <v/>
      </c>
      <c r="I4514" s="11">
        <f>MAX(0,N4514-M4514)</f>
        <v/>
      </c>
      <c r="J4514" s="11">
        <f>MAX(0,M4514-N4514)</f>
        <v/>
      </c>
      <c r="K4514" s="11">
        <f>O4514</f>
        <v/>
      </c>
      <c r="L4514" s="11">
        <f>L4513+IF(K4514&gt;0,K4514*Summary!$B$9,K4514/Summary!$B$9)</f>
        <v/>
      </c>
      <c r="M4514" s="11">
        <f>G4514+H4514</f>
        <v/>
      </c>
      <c r="N4514" s="11">
        <f>Summary!$C$16*Summary!$B$8</f>
        <v/>
      </c>
      <c r="O4514" s="11">
        <f>M4514-N4514</f>
        <v/>
      </c>
    </row>
    <row r="4515">
      <c r="A4515" s="9" t="n">
        <v>45480.04166666666</v>
      </c>
      <c r="B4515" t="n">
        <v>7</v>
      </c>
      <c r="C4515" t="n">
        <v>7</v>
      </c>
      <c r="D4515" t="n">
        <v>1</v>
      </c>
      <c r="E4515" s="10" t="n">
        <v>0</v>
      </c>
      <c r="F4515" s="10" t="n">
        <v>0.3145375474890114</v>
      </c>
      <c r="G4515" s="11">
        <f>E4515*Summary!$B$6</f>
        <v/>
      </c>
      <c r="H4515" s="11">
        <f>F4515*Summary!$B$7</f>
        <v/>
      </c>
      <c r="I4515" s="11">
        <f>MAX(0,N4515-M4515)</f>
        <v/>
      </c>
      <c r="J4515" s="11">
        <f>MAX(0,M4515-N4515)</f>
        <v/>
      </c>
      <c r="K4515" s="11">
        <f>O4515</f>
        <v/>
      </c>
      <c r="L4515" s="11">
        <f>L4514+IF(K4515&gt;0,K4515*Summary!$B$9,K4515/Summary!$B$9)</f>
        <v/>
      </c>
      <c r="M4515" s="11">
        <f>G4515+H4515</f>
        <v/>
      </c>
      <c r="N4515" s="11">
        <f>Summary!$C$16*Summary!$B$8</f>
        <v/>
      </c>
      <c r="O4515" s="11">
        <f>M4515-N4515</f>
        <v/>
      </c>
    </row>
    <row r="4516">
      <c r="A4516" s="9" t="n">
        <v>45480.08333333334</v>
      </c>
      <c r="B4516" t="n">
        <v>7</v>
      </c>
      <c r="C4516" t="n">
        <v>7</v>
      </c>
      <c r="D4516" t="n">
        <v>2</v>
      </c>
      <c r="E4516" s="10" t="n">
        <v>0</v>
      </c>
      <c r="F4516" s="10" t="n">
        <v>0.3134571152297077</v>
      </c>
      <c r="G4516" s="11">
        <f>E4516*Summary!$B$6</f>
        <v/>
      </c>
      <c r="H4516" s="11">
        <f>F4516*Summary!$B$7</f>
        <v/>
      </c>
      <c r="I4516" s="11">
        <f>MAX(0,N4516-M4516)</f>
        <v/>
      </c>
      <c r="J4516" s="11">
        <f>MAX(0,M4516-N4516)</f>
        <v/>
      </c>
      <c r="K4516" s="11">
        <f>O4516</f>
        <v/>
      </c>
      <c r="L4516" s="11">
        <f>L4515+IF(K4516&gt;0,K4516*Summary!$B$9,K4516/Summary!$B$9)</f>
        <v/>
      </c>
      <c r="M4516" s="11">
        <f>G4516+H4516</f>
        <v/>
      </c>
      <c r="N4516" s="11">
        <f>Summary!$C$16*Summary!$B$8</f>
        <v/>
      </c>
      <c r="O4516" s="11">
        <f>M4516-N4516</f>
        <v/>
      </c>
    </row>
    <row r="4517">
      <c r="A4517" s="9" t="n">
        <v>45480.125</v>
      </c>
      <c r="B4517" t="n">
        <v>7</v>
      </c>
      <c r="C4517" t="n">
        <v>7</v>
      </c>
      <c r="D4517" t="n">
        <v>3</v>
      </c>
      <c r="E4517" s="10" t="n">
        <v>0</v>
      </c>
      <c r="F4517" s="10" t="n">
        <v>0.3105583945340147</v>
      </c>
      <c r="G4517" s="11">
        <f>E4517*Summary!$B$6</f>
        <v/>
      </c>
      <c r="H4517" s="11">
        <f>F4517*Summary!$B$7</f>
        <v/>
      </c>
      <c r="I4517" s="11">
        <f>MAX(0,N4517-M4517)</f>
        <v/>
      </c>
      <c r="J4517" s="11">
        <f>MAX(0,M4517-N4517)</f>
        <v/>
      </c>
      <c r="K4517" s="11">
        <f>O4517</f>
        <v/>
      </c>
      <c r="L4517" s="11">
        <f>L4516+IF(K4517&gt;0,K4517*Summary!$B$9,K4517/Summary!$B$9)</f>
        <v/>
      </c>
      <c r="M4517" s="11">
        <f>G4517+H4517</f>
        <v/>
      </c>
      <c r="N4517" s="11">
        <f>Summary!$C$16*Summary!$B$8</f>
        <v/>
      </c>
      <c r="O4517" s="11">
        <f>M4517-N4517</f>
        <v/>
      </c>
    </row>
    <row r="4518">
      <c r="A4518" s="9" t="n">
        <v>45480.16666666666</v>
      </c>
      <c r="B4518" t="n">
        <v>7</v>
      </c>
      <c r="C4518" t="n">
        <v>7</v>
      </c>
      <c r="D4518" t="n">
        <v>4</v>
      </c>
      <c r="E4518" s="10" t="n">
        <v>0</v>
      </c>
      <c r="F4518" s="10" t="n">
        <v>0.3039703929528943</v>
      </c>
      <c r="G4518" s="11">
        <f>E4518*Summary!$B$6</f>
        <v/>
      </c>
      <c r="H4518" s="11">
        <f>F4518*Summary!$B$7</f>
        <v/>
      </c>
      <c r="I4518" s="11">
        <f>MAX(0,N4518-M4518)</f>
        <v/>
      </c>
      <c r="J4518" s="11">
        <f>MAX(0,M4518-N4518)</f>
        <v/>
      </c>
      <c r="K4518" s="11">
        <f>O4518</f>
        <v/>
      </c>
      <c r="L4518" s="11">
        <f>L4517+IF(K4518&gt;0,K4518*Summary!$B$9,K4518/Summary!$B$9)</f>
        <v/>
      </c>
      <c r="M4518" s="11">
        <f>G4518+H4518</f>
        <v/>
      </c>
      <c r="N4518" s="11">
        <f>Summary!$C$16*Summary!$B$8</f>
        <v/>
      </c>
      <c r="O4518" s="11">
        <f>M4518-N4518</f>
        <v/>
      </c>
    </row>
    <row r="4519">
      <c r="A4519" s="9" t="n">
        <v>45480.20833333334</v>
      </c>
      <c r="B4519" t="n">
        <v>7</v>
      </c>
      <c r="C4519" t="n">
        <v>7</v>
      </c>
      <c r="D4519" t="n">
        <v>5</v>
      </c>
      <c r="E4519" s="10" t="n">
        <v>0.031668</v>
      </c>
      <c r="F4519" s="10" t="n">
        <v>0.3002811120674669</v>
      </c>
      <c r="G4519" s="11">
        <f>E4519*Summary!$B$6</f>
        <v/>
      </c>
      <c r="H4519" s="11">
        <f>F4519*Summary!$B$7</f>
        <v/>
      </c>
      <c r="I4519" s="11">
        <f>MAX(0,N4519-M4519)</f>
        <v/>
      </c>
      <c r="J4519" s="11">
        <f>MAX(0,M4519-N4519)</f>
        <v/>
      </c>
      <c r="K4519" s="11">
        <f>O4519</f>
        <v/>
      </c>
      <c r="L4519" s="11">
        <f>L4518+IF(K4519&gt;0,K4519*Summary!$B$9,K4519/Summary!$B$9)</f>
        <v/>
      </c>
      <c r="M4519" s="11">
        <f>G4519+H4519</f>
        <v/>
      </c>
      <c r="N4519" s="11">
        <f>Summary!$C$16*Summary!$B$8</f>
        <v/>
      </c>
      <c r="O4519" s="11">
        <f>M4519-N4519</f>
        <v/>
      </c>
    </row>
    <row r="4520">
      <c r="A4520" s="9" t="n">
        <v>45480.25</v>
      </c>
      <c r="B4520" t="n">
        <v>7</v>
      </c>
      <c r="C4520" t="n">
        <v>7</v>
      </c>
      <c r="D4520" t="n">
        <v>6</v>
      </c>
      <c r="E4520" s="10" t="n">
        <v>0.066439</v>
      </c>
      <c r="F4520" s="10" t="n">
        <v>0.296565479175715</v>
      </c>
      <c r="G4520" s="11">
        <f>E4520*Summary!$B$6</f>
        <v/>
      </c>
      <c r="H4520" s="11">
        <f>F4520*Summary!$B$7</f>
        <v/>
      </c>
      <c r="I4520" s="11">
        <f>MAX(0,N4520-M4520)</f>
        <v/>
      </c>
      <c r="J4520" s="11">
        <f>MAX(0,M4520-N4520)</f>
        <v/>
      </c>
      <c r="K4520" s="11">
        <f>O4520</f>
        <v/>
      </c>
      <c r="L4520" s="11">
        <f>L4519+IF(K4520&gt;0,K4520*Summary!$B$9,K4520/Summary!$B$9)</f>
        <v/>
      </c>
      <c r="M4520" s="11">
        <f>G4520+H4520</f>
        <v/>
      </c>
      <c r="N4520" s="11">
        <f>Summary!$C$16*Summary!$B$8</f>
        <v/>
      </c>
      <c r="O4520" s="11">
        <f>M4520-N4520</f>
        <v/>
      </c>
    </row>
    <row r="4521">
      <c r="A4521" s="9" t="n">
        <v>45480.29166666666</v>
      </c>
      <c r="B4521" t="n">
        <v>7</v>
      </c>
      <c r="C4521" t="n">
        <v>7</v>
      </c>
      <c r="D4521" t="n">
        <v>7</v>
      </c>
      <c r="E4521" s="10" t="n">
        <v>0.137413</v>
      </c>
      <c r="F4521" s="10" t="n">
        <v>0.2963019591124702</v>
      </c>
      <c r="G4521" s="11">
        <f>E4521*Summary!$B$6</f>
        <v/>
      </c>
      <c r="H4521" s="11">
        <f>F4521*Summary!$B$7</f>
        <v/>
      </c>
      <c r="I4521" s="11">
        <f>MAX(0,N4521-M4521)</f>
        <v/>
      </c>
      <c r="J4521" s="11">
        <f>MAX(0,M4521-N4521)</f>
        <v/>
      </c>
      <c r="K4521" s="11">
        <f>O4521</f>
        <v/>
      </c>
      <c r="L4521" s="11">
        <f>L4520+IF(K4521&gt;0,K4521*Summary!$B$9,K4521/Summary!$B$9)</f>
        <v/>
      </c>
      <c r="M4521" s="11">
        <f>G4521+H4521</f>
        <v/>
      </c>
      <c r="N4521" s="11">
        <f>Summary!$C$16*Summary!$B$8</f>
        <v/>
      </c>
      <c r="O4521" s="11">
        <f>M4521-N4521</f>
        <v/>
      </c>
    </row>
    <row r="4522">
      <c r="A4522" s="9" t="n">
        <v>45480.33333333334</v>
      </c>
      <c r="B4522" t="n">
        <v>7</v>
      </c>
      <c r="C4522" t="n">
        <v>7</v>
      </c>
      <c r="D4522" t="n">
        <v>8</v>
      </c>
      <c r="E4522" s="10" t="n">
        <v>0.214721</v>
      </c>
      <c r="F4522" s="10" t="n">
        <v>0.2859456206269489</v>
      </c>
      <c r="G4522" s="11">
        <f>E4522*Summary!$B$6</f>
        <v/>
      </c>
      <c r="H4522" s="11">
        <f>F4522*Summary!$B$7</f>
        <v/>
      </c>
      <c r="I4522" s="11">
        <f>MAX(0,N4522-M4522)</f>
        <v/>
      </c>
      <c r="J4522" s="11">
        <f>MAX(0,M4522-N4522)</f>
        <v/>
      </c>
      <c r="K4522" s="11">
        <f>O4522</f>
        <v/>
      </c>
      <c r="L4522" s="11">
        <f>L4521+IF(K4522&gt;0,K4522*Summary!$B$9,K4522/Summary!$B$9)</f>
        <v/>
      </c>
      <c r="M4522" s="11">
        <f>G4522+H4522</f>
        <v/>
      </c>
      <c r="N4522" s="11">
        <f>Summary!$C$16*Summary!$B$8</f>
        <v/>
      </c>
      <c r="O4522" s="11">
        <f>M4522-N4522</f>
        <v/>
      </c>
    </row>
    <row r="4523">
      <c r="A4523" s="9" t="n">
        <v>45480.375</v>
      </c>
      <c r="B4523" t="n">
        <v>7</v>
      </c>
      <c r="C4523" t="n">
        <v>7</v>
      </c>
      <c r="D4523" t="n">
        <v>9</v>
      </c>
      <c r="E4523" s="10" t="n">
        <v>0.493433</v>
      </c>
      <c r="F4523" s="10" t="n">
        <v>0.290820741796978</v>
      </c>
      <c r="G4523" s="11">
        <f>E4523*Summary!$B$6</f>
        <v/>
      </c>
      <c r="H4523" s="11">
        <f>F4523*Summary!$B$7</f>
        <v/>
      </c>
      <c r="I4523" s="11">
        <f>MAX(0,N4523-M4523)</f>
        <v/>
      </c>
      <c r="J4523" s="11">
        <f>MAX(0,M4523-N4523)</f>
        <v/>
      </c>
      <c r="K4523" s="11">
        <f>O4523</f>
        <v/>
      </c>
      <c r="L4523" s="11">
        <f>L4522+IF(K4523&gt;0,K4523*Summary!$B$9,K4523/Summary!$B$9)</f>
        <v/>
      </c>
      <c r="M4523" s="11">
        <f>G4523+H4523</f>
        <v/>
      </c>
      <c r="N4523" s="11">
        <f>Summary!$C$16*Summary!$B$8</f>
        <v/>
      </c>
      <c r="O4523" s="11">
        <f>M4523-N4523</f>
        <v/>
      </c>
    </row>
    <row r="4524">
      <c r="A4524" s="9" t="n">
        <v>45480.41666666666</v>
      </c>
      <c r="B4524" t="n">
        <v>7</v>
      </c>
      <c r="C4524" t="n">
        <v>7</v>
      </c>
      <c r="D4524" t="n">
        <v>10</v>
      </c>
      <c r="E4524" s="10" t="n">
        <v>0.73494</v>
      </c>
      <c r="F4524" s="10" t="n">
        <v>0.2981729515615084</v>
      </c>
      <c r="G4524" s="11">
        <f>E4524*Summary!$B$6</f>
        <v/>
      </c>
      <c r="H4524" s="11">
        <f>F4524*Summary!$B$7</f>
        <v/>
      </c>
      <c r="I4524" s="11">
        <f>MAX(0,N4524-M4524)</f>
        <v/>
      </c>
      <c r="J4524" s="11">
        <f>MAX(0,M4524-N4524)</f>
        <v/>
      </c>
      <c r="K4524" s="11">
        <f>O4524</f>
        <v/>
      </c>
      <c r="L4524" s="11">
        <f>L4523+IF(K4524&gt;0,K4524*Summary!$B$9,K4524/Summary!$B$9)</f>
        <v/>
      </c>
      <c r="M4524" s="11">
        <f>G4524+H4524</f>
        <v/>
      </c>
      <c r="N4524" s="11">
        <f>Summary!$C$16*Summary!$B$8</f>
        <v/>
      </c>
      <c r="O4524" s="11">
        <f>M4524-N4524</f>
        <v/>
      </c>
    </row>
    <row r="4525">
      <c r="A4525" s="9" t="n">
        <v>45480.45833333334</v>
      </c>
      <c r="B4525" t="n">
        <v>7</v>
      </c>
      <c r="C4525" t="n">
        <v>7</v>
      </c>
      <c r="D4525" t="n">
        <v>11</v>
      </c>
      <c r="E4525" s="10" t="n">
        <v>0.754058</v>
      </c>
      <c r="F4525" s="10" t="n">
        <v>0.304339321041437</v>
      </c>
      <c r="G4525" s="11">
        <f>E4525*Summary!$B$6</f>
        <v/>
      </c>
      <c r="H4525" s="11">
        <f>F4525*Summary!$B$7</f>
        <v/>
      </c>
      <c r="I4525" s="11">
        <f>MAX(0,N4525-M4525)</f>
        <v/>
      </c>
      <c r="J4525" s="11">
        <f>MAX(0,M4525-N4525)</f>
        <v/>
      </c>
      <c r="K4525" s="11">
        <f>O4525</f>
        <v/>
      </c>
      <c r="L4525" s="11">
        <f>L4524+IF(K4525&gt;0,K4525*Summary!$B$9,K4525/Summary!$B$9)</f>
        <v/>
      </c>
      <c r="M4525" s="11">
        <f>G4525+H4525</f>
        <v/>
      </c>
      <c r="N4525" s="11">
        <f>Summary!$C$16*Summary!$B$8</f>
        <v/>
      </c>
      <c r="O4525" s="11">
        <f>M4525-N4525</f>
        <v/>
      </c>
    </row>
    <row r="4526">
      <c r="A4526" s="9" t="n">
        <v>45480.5</v>
      </c>
      <c r="B4526" t="n">
        <v>7</v>
      </c>
      <c r="C4526" t="n">
        <v>7</v>
      </c>
      <c r="D4526" t="n">
        <v>12</v>
      </c>
      <c r="E4526" s="10" t="n">
        <v>0.7055900000000001</v>
      </c>
      <c r="F4526" s="10" t="n">
        <v>0.3055515133323632</v>
      </c>
      <c r="G4526" s="11">
        <f>E4526*Summary!$B$6</f>
        <v/>
      </c>
      <c r="H4526" s="11">
        <f>F4526*Summary!$B$7</f>
        <v/>
      </c>
      <c r="I4526" s="11">
        <f>MAX(0,N4526-M4526)</f>
        <v/>
      </c>
      <c r="J4526" s="11">
        <f>MAX(0,M4526-N4526)</f>
        <v/>
      </c>
      <c r="K4526" s="11">
        <f>O4526</f>
        <v/>
      </c>
      <c r="L4526" s="11">
        <f>L4525+IF(K4526&gt;0,K4526*Summary!$B$9,K4526/Summary!$B$9)</f>
        <v/>
      </c>
      <c r="M4526" s="11">
        <f>G4526+H4526</f>
        <v/>
      </c>
      <c r="N4526" s="11">
        <f>Summary!$C$16*Summary!$B$8</f>
        <v/>
      </c>
      <c r="O4526" s="11">
        <f>M4526-N4526</f>
        <v/>
      </c>
    </row>
    <row r="4527">
      <c r="A4527" s="9" t="n">
        <v>45480.54166666666</v>
      </c>
      <c r="B4527" t="n">
        <v>7</v>
      </c>
      <c r="C4527" t="n">
        <v>7</v>
      </c>
      <c r="D4527" t="n">
        <v>13</v>
      </c>
      <c r="E4527" s="10" t="n">
        <v>0.262064</v>
      </c>
      <c r="F4527" s="10" t="n">
        <v>0.3074488577877259</v>
      </c>
      <c r="G4527" s="11">
        <f>E4527*Summary!$B$6</f>
        <v/>
      </c>
      <c r="H4527" s="11">
        <f>F4527*Summary!$B$7</f>
        <v/>
      </c>
      <c r="I4527" s="11">
        <f>MAX(0,N4527-M4527)</f>
        <v/>
      </c>
      <c r="J4527" s="11">
        <f>MAX(0,M4527-N4527)</f>
        <v/>
      </c>
      <c r="K4527" s="11">
        <f>O4527</f>
        <v/>
      </c>
      <c r="L4527" s="11">
        <f>L4526+IF(K4527&gt;0,K4527*Summary!$B$9,K4527/Summary!$B$9)</f>
        <v/>
      </c>
      <c r="M4527" s="11">
        <f>G4527+H4527</f>
        <v/>
      </c>
      <c r="N4527" s="11">
        <f>Summary!$C$16*Summary!$B$8</f>
        <v/>
      </c>
      <c r="O4527" s="11">
        <f>M4527-N4527</f>
        <v/>
      </c>
    </row>
    <row r="4528">
      <c r="A4528" s="9" t="n">
        <v>45480.58333333334</v>
      </c>
      <c r="B4528" t="n">
        <v>7</v>
      </c>
      <c r="C4528" t="n">
        <v>7</v>
      </c>
      <c r="D4528" t="n">
        <v>14</v>
      </c>
      <c r="E4528" s="10" t="n">
        <v>0.242006</v>
      </c>
      <c r="F4528" s="10" t="n">
        <v>0.3041812090034902</v>
      </c>
      <c r="G4528" s="11">
        <f>E4528*Summary!$B$6</f>
        <v/>
      </c>
      <c r="H4528" s="11">
        <f>F4528*Summary!$B$7</f>
        <v/>
      </c>
      <c r="I4528" s="11">
        <f>MAX(0,N4528-M4528)</f>
        <v/>
      </c>
      <c r="J4528" s="11">
        <f>MAX(0,M4528-N4528)</f>
        <v/>
      </c>
      <c r="K4528" s="11">
        <f>O4528</f>
        <v/>
      </c>
      <c r="L4528" s="11">
        <f>L4527+IF(K4528&gt;0,K4528*Summary!$B$9,K4528/Summary!$B$9)</f>
        <v/>
      </c>
      <c r="M4528" s="11">
        <f>G4528+H4528</f>
        <v/>
      </c>
      <c r="N4528" s="11">
        <f>Summary!$C$16*Summary!$B$8</f>
        <v/>
      </c>
      <c r="O4528" s="11">
        <f>M4528-N4528</f>
        <v/>
      </c>
    </row>
    <row r="4529">
      <c r="A4529" s="9" t="n">
        <v>45480.625</v>
      </c>
      <c r="B4529" t="n">
        <v>7</v>
      </c>
      <c r="C4529" t="n">
        <v>7</v>
      </c>
      <c r="D4529" t="n">
        <v>15</v>
      </c>
      <c r="E4529" s="10" t="n">
        <v>0.177819</v>
      </c>
      <c r="F4529" s="10" t="n">
        <v>0.3044183770604105</v>
      </c>
      <c r="G4529" s="11">
        <f>E4529*Summary!$B$6</f>
        <v/>
      </c>
      <c r="H4529" s="11">
        <f>F4529*Summary!$B$7</f>
        <v/>
      </c>
      <c r="I4529" s="11">
        <f>MAX(0,N4529-M4529)</f>
        <v/>
      </c>
      <c r="J4529" s="11">
        <f>MAX(0,M4529-N4529)</f>
        <v/>
      </c>
      <c r="K4529" s="11">
        <f>O4529</f>
        <v/>
      </c>
      <c r="L4529" s="11">
        <f>L4528+IF(K4529&gt;0,K4529*Summary!$B$9,K4529/Summary!$B$9)</f>
        <v/>
      </c>
      <c r="M4529" s="11">
        <f>G4529+H4529</f>
        <v/>
      </c>
      <c r="N4529" s="11">
        <f>Summary!$C$16*Summary!$B$8</f>
        <v/>
      </c>
      <c r="O4529" s="11">
        <f>M4529-N4529</f>
        <v/>
      </c>
    </row>
    <row r="4530">
      <c r="A4530" s="9" t="n">
        <v>45480.66666666666</v>
      </c>
      <c r="B4530" t="n">
        <v>7</v>
      </c>
      <c r="C4530" t="n">
        <v>7</v>
      </c>
      <c r="D4530" t="n">
        <v>16</v>
      </c>
      <c r="E4530" s="10" t="n">
        <v>0.120522</v>
      </c>
      <c r="F4530" s="10" t="n">
        <v>0.3026791446429947</v>
      </c>
      <c r="G4530" s="11">
        <f>E4530*Summary!$B$6</f>
        <v/>
      </c>
      <c r="H4530" s="11">
        <f>F4530*Summary!$B$7</f>
        <v/>
      </c>
      <c r="I4530" s="11">
        <f>MAX(0,N4530-M4530)</f>
        <v/>
      </c>
      <c r="J4530" s="11">
        <f>MAX(0,M4530-N4530)</f>
        <v/>
      </c>
      <c r="K4530" s="11">
        <f>O4530</f>
        <v/>
      </c>
      <c r="L4530" s="11">
        <f>L4529+IF(K4530&gt;0,K4530*Summary!$B$9,K4530/Summary!$B$9)</f>
        <v/>
      </c>
      <c r="M4530" s="11">
        <f>G4530+H4530</f>
        <v/>
      </c>
      <c r="N4530" s="11">
        <f>Summary!$C$16*Summary!$B$8</f>
        <v/>
      </c>
      <c r="O4530" s="11">
        <f>M4530-N4530</f>
        <v/>
      </c>
    </row>
    <row r="4531">
      <c r="A4531" s="9" t="n">
        <v>45480.70833333334</v>
      </c>
      <c r="B4531" t="n">
        <v>7</v>
      </c>
      <c r="C4531" t="n">
        <v>7</v>
      </c>
      <c r="D4531" t="n">
        <v>17</v>
      </c>
      <c r="E4531" s="10" t="n">
        <v>0.08648599999999999</v>
      </c>
      <c r="F4531" s="10" t="n">
        <v>0.2859983246395979</v>
      </c>
      <c r="G4531" s="11">
        <f>E4531*Summary!$B$6</f>
        <v/>
      </c>
      <c r="H4531" s="11">
        <f>F4531*Summary!$B$7</f>
        <v/>
      </c>
      <c r="I4531" s="11">
        <f>MAX(0,N4531-M4531)</f>
        <v/>
      </c>
      <c r="J4531" s="11">
        <f>MAX(0,M4531-N4531)</f>
        <v/>
      </c>
      <c r="K4531" s="11">
        <f>O4531</f>
        <v/>
      </c>
      <c r="L4531" s="11">
        <f>L4530+IF(K4531&gt;0,K4531*Summary!$B$9,K4531/Summary!$B$9)</f>
        <v/>
      </c>
      <c r="M4531" s="11">
        <f>G4531+H4531</f>
        <v/>
      </c>
      <c r="N4531" s="11">
        <f>Summary!$C$16*Summary!$B$8</f>
        <v/>
      </c>
      <c r="O4531" s="11">
        <f>M4531-N4531</f>
        <v/>
      </c>
    </row>
    <row r="4532">
      <c r="A4532" s="9" t="n">
        <v>45480.75</v>
      </c>
      <c r="B4532" t="n">
        <v>7</v>
      </c>
      <c r="C4532" t="n">
        <v>7</v>
      </c>
      <c r="D4532" t="n">
        <v>18</v>
      </c>
      <c r="E4532" s="10" t="n">
        <v>0.090823</v>
      </c>
      <c r="F4532" s="10" t="n">
        <v>0.2644160314598475</v>
      </c>
      <c r="G4532" s="11">
        <f>E4532*Summary!$B$6</f>
        <v/>
      </c>
      <c r="H4532" s="11">
        <f>F4532*Summary!$B$7</f>
        <v/>
      </c>
      <c r="I4532" s="11">
        <f>MAX(0,N4532-M4532)</f>
        <v/>
      </c>
      <c r="J4532" s="11">
        <f>MAX(0,M4532-N4532)</f>
        <v/>
      </c>
      <c r="K4532" s="11">
        <f>O4532</f>
        <v/>
      </c>
      <c r="L4532" s="11">
        <f>L4531+IF(K4532&gt;0,K4532*Summary!$B$9,K4532/Summary!$B$9)</f>
        <v/>
      </c>
      <c r="M4532" s="11">
        <f>G4532+H4532</f>
        <v/>
      </c>
      <c r="N4532" s="11">
        <f>Summary!$C$16*Summary!$B$8</f>
        <v/>
      </c>
      <c r="O4532" s="11">
        <f>M4532-N4532</f>
        <v/>
      </c>
    </row>
    <row r="4533">
      <c r="A4533" s="9" t="n">
        <v>45480.79166666666</v>
      </c>
      <c r="B4533" t="n">
        <v>7</v>
      </c>
      <c r="C4533" t="n">
        <v>7</v>
      </c>
      <c r="D4533" t="n">
        <v>19</v>
      </c>
      <c r="E4533" s="10" t="n">
        <v>0.041861</v>
      </c>
      <c r="F4533" s="10" t="n">
        <v>0.245284474868274</v>
      </c>
      <c r="G4533" s="11">
        <f>E4533*Summary!$B$6</f>
        <v/>
      </c>
      <c r="H4533" s="11">
        <f>F4533*Summary!$B$7</f>
        <v/>
      </c>
      <c r="I4533" s="11">
        <f>MAX(0,N4533-M4533)</f>
        <v/>
      </c>
      <c r="J4533" s="11">
        <f>MAX(0,M4533-N4533)</f>
        <v/>
      </c>
      <c r="K4533" s="11">
        <f>O4533</f>
        <v/>
      </c>
      <c r="L4533" s="11">
        <f>L4532+IF(K4533&gt;0,K4533*Summary!$B$9,K4533/Summary!$B$9)</f>
        <v/>
      </c>
      <c r="M4533" s="11">
        <f>G4533+H4533</f>
        <v/>
      </c>
      <c r="N4533" s="11">
        <f>Summary!$C$16*Summary!$B$8</f>
        <v/>
      </c>
      <c r="O4533" s="11">
        <f>M4533-N4533</f>
        <v/>
      </c>
    </row>
    <row r="4534">
      <c r="A4534" s="9" t="n">
        <v>45480.83333333334</v>
      </c>
      <c r="B4534" t="n">
        <v>7</v>
      </c>
      <c r="C4534" t="n">
        <v>7</v>
      </c>
      <c r="D4534" t="n">
        <v>20</v>
      </c>
      <c r="E4534" s="10" t="n">
        <v>0.004126</v>
      </c>
      <c r="F4534" s="10" t="n">
        <v>0.2382484891796374</v>
      </c>
      <c r="G4534" s="11">
        <f>E4534*Summary!$B$6</f>
        <v/>
      </c>
      <c r="H4534" s="11">
        <f>F4534*Summary!$B$7</f>
        <v/>
      </c>
      <c r="I4534" s="11">
        <f>MAX(0,N4534-M4534)</f>
        <v/>
      </c>
      <c r="J4534" s="11">
        <f>MAX(0,M4534-N4534)</f>
        <v/>
      </c>
      <c r="K4534" s="11">
        <f>O4534</f>
        <v/>
      </c>
      <c r="L4534" s="11">
        <f>L4533+IF(K4534&gt;0,K4534*Summary!$B$9,K4534/Summary!$B$9)</f>
        <v/>
      </c>
      <c r="M4534" s="11">
        <f>G4534+H4534</f>
        <v/>
      </c>
      <c r="N4534" s="11">
        <f>Summary!$C$16*Summary!$B$8</f>
        <v/>
      </c>
      <c r="O4534" s="11">
        <f>M4534-N4534</f>
        <v/>
      </c>
    </row>
    <row r="4535">
      <c r="A4535" s="9" t="n">
        <v>45480.875</v>
      </c>
      <c r="B4535" t="n">
        <v>7</v>
      </c>
      <c r="C4535" t="n">
        <v>7</v>
      </c>
      <c r="D4535" t="n">
        <v>21</v>
      </c>
      <c r="E4535" s="10" t="n">
        <v>0</v>
      </c>
      <c r="F4535" s="10" t="n">
        <v>0.2449418987860557</v>
      </c>
      <c r="G4535" s="11">
        <f>E4535*Summary!$B$6</f>
        <v/>
      </c>
      <c r="H4535" s="11">
        <f>F4535*Summary!$B$7</f>
        <v/>
      </c>
      <c r="I4535" s="11">
        <f>MAX(0,N4535-M4535)</f>
        <v/>
      </c>
      <c r="J4535" s="11">
        <f>MAX(0,M4535-N4535)</f>
        <v/>
      </c>
      <c r="K4535" s="11">
        <f>O4535</f>
        <v/>
      </c>
      <c r="L4535" s="11">
        <f>L4534+IF(K4535&gt;0,K4535*Summary!$B$9,K4535/Summary!$B$9)</f>
        <v/>
      </c>
      <c r="M4535" s="11">
        <f>G4535+H4535</f>
        <v/>
      </c>
      <c r="N4535" s="11">
        <f>Summary!$C$16*Summary!$B$8</f>
        <v/>
      </c>
      <c r="O4535" s="11">
        <f>M4535-N4535</f>
        <v/>
      </c>
    </row>
    <row r="4536">
      <c r="A4536" s="9" t="n">
        <v>45480.91666666666</v>
      </c>
      <c r="B4536" t="n">
        <v>7</v>
      </c>
      <c r="C4536" t="n">
        <v>7</v>
      </c>
      <c r="D4536" t="n">
        <v>22</v>
      </c>
      <c r="E4536" s="10" t="n">
        <v>0</v>
      </c>
      <c r="F4536" s="10" t="n">
        <v>0.2502913560699255</v>
      </c>
      <c r="G4536" s="11">
        <f>E4536*Summary!$B$6</f>
        <v/>
      </c>
      <c r="H4536" s="11">
        <f>F4536*Summary!$B$7</f>
        <v/>
      </c>
      <c r="I4536" s="11">
        <f>MAX(0,N4536-M4536)</f>
        <v/>
      </c>
      <c r="J4536" s="11">
        <f>MAX(0,M4536-N4536)</f>
        <v/>
      </c>
      <c r="K4536" s="11">
        <f>O4536</f>
        <v/>
      </c>
      <c r="L4536" s="11">
        <f>L4535+IF(K4536&gt;0,K4536*Summary!$B$9,K4536/Summary!$B$9)</f>
        <v/>
      </c>
      <c r="M4536" s="11">
        <f>G4536+H4536</f>
        <v/>
      </c>
      <c r="N4536" s="11">
        <f>Summary!$C$16*Summary!$B$8</f>
        <v/>
      </c>
      <c r="O4536" s="11">
        <f>M4536-N4536</f>
        <v/>
      </c>
    </row>
    <row r="4537">
      <c r="A4537" s="9" t="n">
        <v>45480.95833333334</v>
      </c>
      <c r="B4537" t="n">
        <v>7</v>
      </c>
      <c r="C4537" t="n">
        <v>7</v>
      </c>
      <c r="D4537" t="n">
        <v>23</v>
      </c>
      <c r="E4537" s="10" t="n">
        <v>0</v>
      </c>
      <c r="F4537" s="10" t="n">
        <v>0.2446520267164864</v>
      </c>
      <c r="G4537" s="11">
        <f>E4537*Summary!$B$6</f>
        <v/>
      </c>
      <c r="H4537" s="11">
        <f>F4537*Summary!$B$7</f>
        <v/>
      </c>
      <c r="I4537" s="11">
        <f>MAX(0,N4537-M4537)</f>
        <v/>
      </c>
      <c r="J4537" s="11">
        <f>MAX(0,M4537-N4537)</f>
        <v/>
      </c>
      <c r="K4537" s="11">
        <f>O4537</f>
        <v/>
      </c>
      <c r="L4537" s="11">
        <f>L4536+IF(K4537&gt;0,K4537*Summary!$B$9,K4537/Summary!$B$9)</f>
        <v/>
      </c>
      <c r="M4537" s="11">
        <f>G4537+H4537</f>
        <v/>
      </c>
      <c r="N4537" s="11">
        <f>Summary!$C$16*Summary!$B$8</f>
        <v/>
      </c>
      <c r="O4537" s="11">
        <f>M4537-N4537</f>
        <v/>
      </c>
    </row>
    <row r="4538">
      <c r="A4538" s="9" t="n">
        <v>45481</v>
      </c>
      <c r="B4538" t="n">
        <v>7</v>
      </c>
      <c r="C4538" t="n">
        <v>8</v>
      </c>
      <c r="D4538" t="n">
        <v>0</v>
      </c>
      <c r="E4538" s="10" t="n">
        <v>0</v>
      </c>
      <c r="F4538" s="10" t="n">
        <v>0.176769258424622</v>
      </c>
      <c r="G4538" s="11">
        <f>E4538*Summary!$B$6</f>
        <v/>
      </c>
      <c r="H4538" s="11">
        <f>F4538*Summary!$B$7</f>
        <v/>
      </c>
      <c r="I4538" s="11">
        <f>MAX(0,N4538-M4538)</f>
        <v/>
      </c>
      <c r="J4538" s="11">
        <f>MAX(0,M4538-N4538)</f>
        <v/>
      </c>
      <c r="K4538" s="11">
        <f>O4538</f>
        <v/>
      </c>
      <c r="L4538" s="11">
        <f>L4537+IF(K4538&gt;0,K4538*Summary!$B$9,K4538/Summary!$B$9)</f>
        <v/>
      </c>
      <c r="M4538" s="11">
        <f>G4538+H4538</f>
        <v/>
      </c>
      <c r="N4538" s="11">
        <f>Summary!$C$16*Summary!$B$8</f>
        <v/>
      </c>
      <c r="O4538" s="11">
        <f>M4538-N4538</f>
        <v/>
      </c>
    </row>
    <row r="4539">
      <c r="A4539" s="9" t="n">
        <v>45481.04166666666</v>
      </c>
      <c r="B4539" t="n">
        <v>7</v>
      </c>
      <c r="C4539" t="n">
        <v>8</v>
      </c>
      <c r="D4539" t="n">
        <v>1</v>
      </c>
      <c r="E4539" s="10" t="n">
        <v>0</v>
      </c>
      <c r="F4539" s="10" t="n">
        <v>0.2338213521171245</v>
      </c>
      <c r="G4539" s="11">
        <f>E4539*Summary!$B$6</f>
        <v/>
      </c>
      <c r="H4539" s="11">
        <f>F4539*Summary!$B$7</f>
        <v/>
      </c>
      <c r="I4539" s="11">
        <f>MAX(0,N4539-M4539)</f>
        <v/>
      </c>
      <c r="J4539" s="11">
        <f>MAX(0,M4539-N4539)</f>
        <v/>
      </c>
      <c r="K4539" s="11">
        <f>O4539</f>
        <v/>
      </c>
      <c r="L4539" s="11">
        <f>L4538+IF(K4539&gt;0,K4539*Summary!$B$9,K4539/Summary!$B$9)</f>
        <v/>
      </c>
      <c r="M4539" s="11">
        <f>G4539+H4539</f>
        <v/>
      </c>
      <c r="N4539" s="11">
        <f>Summary!$C$16*Summary!$B$8</f>
        <v/>
      </c>
      <c r="O4539" s="11">
        <f>M4539-N4539</f>
        <v/>
      </c>
    </row>
    <row r="4540">
      <c r="A4540" s="9" t="n">
        <v>45481.08333333334</v>
      </c>
      <c r="B4540" t="n">
        <v>7</v>
      </c>
      <c r="C4540" t="n">
        <v>8</v>
      </c>
      <c r="D4540" t="n">
        <v>2</v>
      </c>
      <c r="E4540" s="10" t="n">
        <v>0</v>
      </c>
      <c r="F4540" s="10" t="n">
        <v>0.2217257812141875</v>
      </c>
      <c r="G4540" s="11">
        <f>E4540*Summary!$B$6</f>
        <v/>
      </c>
      <c r="H4540" s="11">
        <f>F4540*Summary!$B$7</f>
        <v/>
      </c>
      <c r="I4540" s="11">
        <f>MAX(0,N4540-M4540)</f>
        <v/>
      </c>
      <c r="J4540" s="11">
        <f>MAX(0,M4540-N4540)</f>
        <v/>
      </c>
      <c r="K4540" s="11">
        <f>O4540</f>
        <v/>
      </c>
      <c r="L4540" s="11">
        <f>L4539+IF(K4540&gt;0,K4540*Summary!$B$9,K4540/Summary!$B$9)</f>
        <v/>
      </c>
      <c r="M4540" s="11">
        <f>G4540+H4540</f>
        <v/>
      </c>
      <c r="N4540" s="11">
        <f>Summary!$C$16*Summary!$B$8</f>
        <v/>
      </c>
      <c r="O4540" s="11">
        <f>M4540-N4540</f>
        <v/>
      </c>
    </row>
    <row r="4541">
      <c r="A4541" s="9" t="n">
        <v>45481.125</v>
      </c>
      <c r="B4541" t="n">
        <v>7</v>
      </c>
      <c r="C4541" t="n">
        <v>8</v>
      </c>
      <c r="D4541" t="n">
        <v>3</v>
      </c>
      <c r="E4541" s="10" t="n">
        <v>0</v>
      </c>
      <c r="F4541" s="10" t="n">
        <v>0.2098146743555218</v>
      </c>
      <c r="G4541" s="11">
        <f>E4541*Summary!$B$6</f>
        <v/>
      </c>
      <c r="H4541" s="11">
        <f>F4541*Summary!$B$7</f>
        <v/>
      </c>
      <c r="I4541" s="11">
        <f>MAX(0,N4541-M4541)</f>
        <v/>
      </c>
      <c r="J4541" s="11">
        <f>MAX(0,M4541-N4541)</f>
        <v/>
      </c>
      <c r="K4541" s="11">
        <f>O4541</f>
        <v/>
      </c>
      <c r="L4541" s="11">
        <f>L4540+IF(K4541&gt;0,K4541*Summary!$B$9,K4541/Summary!$B$9)</f>
        <v/>
      </c>
      <c r="M4541" s="11">
        <f>G4541+H4541</f>
        <v/>
      </c>
      <c r="N4541" s="11">
        <f>Summary!$C$16*Summary!$B$8</f>
        <v/>
      </c>
      <c r="O4541" s="11">
        <f>M4541-N4541</f>
        <v/>
      </c>
    </row>
    <row r="4542">
      <c r="A4542" s="9" t="n">
        <v>45481.16666666666</v>
      </c>
      <c r="B4542" t="n">
        <v>7</v>
      </c>
      <c r="C4542" t="n">
        <v>8</v>
      </c>
      <c r="D4542" t="n">
        <v>4</v>
      </c>
      <c r="E4542" s="10" t="n">
        <v>0.006153</v>
      </c>
      <c r="F4542" s="10" t="n">
        <v>0.1925014062003375</v>
      </c>
      <c r="G4542" s="11">
        <f>E4542*Summary!$B$6</f>
        <v/>
      </c>
      <c r="H4542" s="11">
        <f>F4542*Summary!$B$7</f>
        <v/>
      </c>
      <c r="I4542" s="11">
        <f>MAX(0,N4542-M4542)</f>
        <v/>
      </c>
      <c r="J4542" s="11">
        <f>MAX(0,M4542-N4542)</f>
        <v/>
      </c>
      <c r="K4542" s="11">
        <f>O4542</f>
        <v/>
      </c>
      <c r="L4542" s="11">
        <f>L4541+IF(K4542&gt;0,K4542*Summary!$B$9,K4542/Summary!$B$9)</f>
        <v/>
      </c>
      <c r="M4542" s="11">
        <f>G4542+H4542</f>
        <v/>
      </c>
      <c r="N4542" s="11">
        <f>Summary!$C$16*Summary!$B$8</f>
        <v/>
      </c>
      <c r="O4542" s="11">
        <f>M4542-N4542</f>
        <v/>
      </c>
    </row>
    <row r="4543">
      <c r="A4543" s="9" t="n">
        <v>45481.20833333334</v>
      </c>
      <c r="B4543" t="n">
        <v>7</v>
      </c>
      <c r="C4543" t="n">
        <v>8</v>
      </c>
      <c r="D4543" t="n">
        <v>5</v>
      </c>
      <c r="E4543" s="10" t="n">
        <v>0.056144</v>
      </c>
      <c r="F4543" s="10" t="n">
        <v>0.1703393688814485</v>
      </c>
      <c r="G4543" s="11">
        <f>E4543*Summary!$B$6</f>
        <v/>
      </c>
      <c r="H4543" s="11">
        <f>F4543*Summary!$B$7</f>
        <v/>
      </c>
      <c r="I4543" s="11">
        <f>MAX(0,N4543-M4543)</f>
        <v/>
      </c>
      <c r="J4543" s="11">
        <f>MAX(0,M4543-N4543)</f>
        <v/>
      </c>
      <c r="K4543" s="11">
        <f>O4543</f>
        <v/>
      </c>
      <c r="L4543" s="11">
        <f>L4542+IF(K4543&gt;0,K4543*Summary!$B$9,K4543/Summary!$B$9)</f>
        <v/>
      </c>
      <c r="M4543" s="11">
        <f>G4543+H4543</f>
        <v/>
      </c>
      <c r="N4543" s="11">
        <f>Summary!$C$16*Summary!$B$8</f>
        <v/>
      </c>
      <c r="O4543" s="11">
        <f>M4543-N4543</f>
        <v/>
      </c>
    </row>
    <row r="4544">
      <c r="A4544" s="9" t="n">
        <v>45481.25</v>
      </c>
      <c r="B4544" t="n">
        <v>7</v>
      </c>
      <c r="C4544" t="n">
        <v>8</v>
      </c>
      <c r="D4544" t="n">
        <v>6</v>
      </c>
      <c r="E4544" s="10" t="n">
        <v>0.08509799999999999</v>
      </c>
      <c r="F4544" s="10" t="n">
        <v>0.1478874594929903</v>
      </c>
      <c r="G4544" s="11">
        <f>E4544*Summary!$B$6</f>
        <v/>
      </c>
      <c r="H4544" s="11">
        <f>F4544*Summary!$B$7</f>
        <v/>
      </c>
      <c r="I4544" s="11">
        <f>MAX(0,N4544-M4544)</f>
        <v/>
      </c>
      <c r="J4544" s="11">
        <f>MAX(0,M4544-N4544)</f>
        <v/>
      </c>
      <c r="K4544" s="11">
        <f>O4544</f>
        <v/>
      </c>
      <c r="L4544" s="11">
        <f>L4543+IF(K4544&gt;0,K4544*Summary!$B$9,K4544/Summary!$B$9)</f>
        <v/>
      </c>
      <c r="M4544" s="11">
        <f>G4544+H4544</f>
        <v/>
      </c>
      <c r="N4544" s="11">
        <f>Summary!$C$16*Summary!$B$8</f>
        <v/>
      </c>
      <c r="O4544" s="11">
        <f>M4544-N4544</f>
        <v/>
      </c>
    </row>
    <row r="4545">
      <c r="A4545" s="9" t="n">
        <v>45481.29166666666</v>
      </c>
      <c r="B4545" t="n">
        <v>7</v>
      </c>
      <c r="C4545" t="n">
        <v>8</v>
      </c>
      <c r="D4545" t="n">
        <v>7</v>
      </c>
      <c r="E4545" s="10" t="n">
        <v>0.165429</v>
      </c>
      <c r="F4545" s="10" t="n">
        <v>0.1318127356350565</v>
      </c>
      <c r="G4545" s="11">
        <f>E4545*Summary!$B$6</f>
        <v/>
      </c>
      <c r="H4545" s="11">
        <f>F4545*Summary!$B$7</f>
        <v/>
      </c>
      <c r="I4545" s="11">
        <f>MAX(0,N4545-M4545)</f>
        <v/>
      </c>
      <c r="J4545" s="11">
        <f>MAX(0,M4545-N4545)</f>
        <v/>
      </c>
      <c r="K4545" s="11">
        <f>O4545</f>
        <v/>
      </c>
      <c r="L4545" s="11">
        <f>L4544+IF(K4545&gt;0,K4545*Summary!$B$9,K4545/Summary!$B$9)</f>
        <v/>
      </c>
      <c r="M4545" s="11">
        <f>G4545+H4545</f>
        <v/>
      </c>
      <c r="N4545" s="11">
        <f>Summary!$C$16*Summary!$B$8</f>
        <v/>
      </c>
      <c r="O4545" s="11">
        <f>M4545-N4545</f>
        <v/>
      </c>
    </row>
    <row r="4546">
      <c r="A4546" s="9" t="n">
        <v>45481.33333333334</v>
      </c>
      <c r="B4546" t="n">
        <v>7</v>
      </c>
      <c r="C4546" t="n">
        <v>8</v>
      </c>
      <c r="D4546" t="n">
        <v>8</v>
      </c>
      <c r="E4546" s="10" t="n">
        <v>0.136775</v>
      </c>
      <c r="F4546" s="10" t="n">
        <v>0.1265686863764847</v>
      </c>
      <c r="G4546" s="11">
        <f>E4546*Summary!$B$6</f>
        <v/>
      </c>
      <c r="H4546" s="11">
        <f>F4546*Summary!$B$7</f>
        <v/>
      </c>
      <c r="I4546" s="11">
        <f>MAX(0,N4546-M4546)</f>
        <v/>
      </c>
      <c r="J4546" s="11">
        <f>MAX(0,M4546-N4546)</f>
        <v/>
      </c>
      <c r="K4546" s="11">
        <f>O4546</f>
        <v/>
      </c>
      <c r="L4546" s="11">
        <f>L4545+IF(K4546&gt;0,K4546*Summary!$B$9,K4546/Summary!$B$9)</f>
        <v/>
      </c>
      <c r="M4546" s="11">
        <f>G4546+H4546</f>
        <v/>
      </c>
      <c r="N4546" s="11">
        <f>Summary!$C$16*Summary!$B$8</f>
        <v/>
      </c>
      <c r="O4546" s="11">
        <f>M4546-N4546</f>
        <v/>
      </c>
    </row>
    <row r="4547">
      <c r="A4547" s="9" t="n">
        <v>45481.375</v>
      </c>
      <c r="B4547" t="n">
        <v>7</v>
      </c>
      <c r="C4547" t="n">
        <v>8</v>
      </c>
      <c r="D4547" t="n">
        <v>9</v>
      </c>
      <c r="E4547" s="10" t="n">
        <v>0.205069</v>
      </c>
      <c r="F4547" s="10" t="n">
        <v>0.128281566787576</v>
      </c>
      <c r="G4547" s="11">
        <f>E4547*Summary!$B$6</f>
        <v/>
      </c>
      <c r="H4547" s="11">
        <f>F4547*Summary!$B$7</f>
        <v/>
      </c>
      <c r="I4547" s="11">
        <f>MAX(0,N4547-M4547)</f>
        <v/>
      </c>
      <c r="J4547" s="11">
        <f>MAX(0,M4547-N4547)</f>
        <v/>
      </c>
      <c r="K4547" s="11">
        <f>O4547</f>
        <v/>
      </c>
      <c r="L4547" s="11">
        <f>L4546+IF(K4547&gt;0,K4547*Summary!$B$9,K4547/Summary!$B$9)</f>
        <v/>
      </c>
      <c r="M4547" s="11">
        <f>G4547+H4547</f>
        <v/>
      </c>
      <c r="N4547" s="11">
        <f>Summary!$C$16*Summary!$B$8</f>
        <v/>
      </c>
      <c r="O4547" s="11">
        <f>M4547-N4547</f>
        <v/>
      </c>
    </row>
    <row r="4548">
      <c r="A4548" s="9" t="n">
        <v>45481.41666666666</v>
      </c>
      <c r="B4548" t="n">
        <v>7</v>
      </c>
      <c r="C4548" t="n">
        <v>8</v>
      </c>
      <c r="D4548" t="n">
        <v>10</v>
      </c>
      <c r="E4548" s="10" t="n">
        <v>0.40711</v>
      </c>
      <c r="F4548" s="10" t="n">
        <v>0.1317073276097586</v>
      </c>
      <c r="G4548" s="11">
        <f>E4548*Summary!$B$6</f>
        <v/>
      </c>
      <c r="H4548" s="11">
        <f>F4548*Summary!$B$7</f>
        <v/>
      </c>
      <c r="I4548" s="11">
        <f>MAX(0,N4548-M4548)</f>
        <v/>
      </c>
      <c r="J4548" s="11">
        <f>MAX(0,M4548-N4548)</f>
        <v/>
      </c>
      <c r="K4548" s="11">
        <f>O4548</f>
        <v/>
      </c>
      <c r="L4548" s="11">
        <f>L4547+IF(K4548&gt;0,K4548*Summary!$B$9,K4548/Summary!$B$9)</f>
        <v/>
      </c>
      <c r="M4548" s="11">
        <f>G4548+H4548</f>
        <v/>
      </c>
      <c r="N4548" s="11">
        <f>Summary!$C$16*Summary!$B$8</f>
        <v/>
      </c>
      <c r="O4548" s="11">
        <f>M4548-N4548</f>
        <v/>
      </c>
    </row>
    <row r="4549">
      <c r="A4549" s="9" t="n">
        <v>45481.45833333334</v>
      </c>
      <c r="B4549" t="n">
        <v>7</v>
      </c>
      <c r="C4549" t="n">
        <v>8</v>
      </c>
      <c r="D4549" t="n">
        <v>11</v>
      </c>
      <c r="E4549" s="10" t="n">
        <v>0.468085</v>
      </c>
      <c r="F4549" s="10" t="n">
        <v>0.1357128325710798</v>
      </c>
      <c r="G4549" s="11">
        <f>E4549*Summary!$B$6</f>
        <v/>
      </c>
      <c r="H4549" s="11">
        <f>F4549*Summary!$B$7</f>
        <v/>
      </c>
      <c r="I4549" s="11">
        <f>MAX(0,N4549-M4549)</f>
        <v/>
      </c>
      <c r="J4549" s="11">
        <f>MAX(0,M4549-N4549)</f>
        <v/>
      </c>
      <c r="K4549" s="11">
        <f>O4549</f>
        <v/>
      </c>
      <c r="L4549" s="11">
        <f>L4548+IF(K4549&gt;0,K4549*Summary!$B$9,K4549/Summary!$B$9)</f>
        <v/>
      </c>
      <c r="M4549" s="11">
        <f>G4549+H4549</f>
        <v/>
      </c>
      <c r="N4549" s="11">
        <f>Summary!$C$16*Summary!$B$8</f>
        <v/>
      </c>
      <c r="O4549" s="11">
        <f>M4549-N4549</f>
        <v/>
      </c>
    </row>
    <row r="4550">
      <c r="A4550" s="9" t="n">
        <v>45481.5</v>
      </c>
      <c r="B4550" t="n">
        <v>7</v>
      </c>
      <c r="C4550" t="n">
        <v>8</v>
      </c>
      <c r="D4550" t="n">
        <v>12</v>
      </c>
      <c r="E4550" s="10" t="n">
        <v>0.534198</v>
      </c>
      <c r="F4550" s="10" t="n">
        <v>0.1421163701079288</v>
      </c>
      <c r="G4550" s="11">
        <f>E4550*Summary!$B$6</f>
        <v/>
      </c>
      <c r="H4550" s="11">
        <f>F4550*Summary!$B$7</f>
        <v/>
      </c>
      <c r="I4550" s="11">
        <f>MAX(0,N4550-M4550)</f>
        <v/>
      </c>
      <c r="J4550" s="11">
        <f>MAX(0,M4550-N4550)</f>
        <v/>
      </c>
      <c r="K4550" s="11">
        <f>O4550</f>
        <v/>
      </c>
      <c r="L4550" s="11">
        <f>L4549+IF(K4550&gt;0,K4550*Summary!$B$9,K4550/Summary!$B$9)</f>
        <v/>
      </c>
      <c r="M4550" s="11">
        <f>G4550+H4550</f>
        <v/>
      </c>
      <c r="N4550" s="11">
        <f>Summary!$C$16*Summary!$B$8</f>
        <v/>
      </c>
      <c r="O4550" s="11">
        <f>M4550-N4550</f>
        <v/>
      </c>
    </row>
    <row r="4551">
      <c r="A4551" s="9" t="n">
        <v>45481.54166666666</v>
      </c>
      <c r="B4551" t="n">
        <v>7</v>
      </c>
      <c r="C4551" t="n">
        <v>8</v>
      </c>
      <c r="D4551" t="n">
        <v>13</v>
      </c>
      <c r="E4551" s="10" t="n">
        <v>0.398224</v>
      </c>
      <c r="F4551" s="10" t="n">
        <v>0.1320762556983014</v>
      </c>
      <c r="G4551" s="11">
        <f>E4551*Summary!$B$6</f>
        <v/>
      </c>
      <c r="H4551" s="11">
        <f>F4551*Summary!$B$7</f>
        <v/>
      </c>
      <c r="I4551" s="11">
        <f>MAX(0,N4551-M4551)</f>
        <v/>
      </c>
      <c r="J4551" s="11">
        <f>MAX(0,M4551-N4551)</f>
        <v/>
      </c>
      <c r="K4551" s="11">
        <f>O4551</f>
        <v/>
      </c>
      <c r="L4551" s="11">
        <f>L4550+IF(K4551&gt;0,K4551*Summary!$B$9,K4551/Summary!$B$9)</f>
        <v/>
      </c>
      <c r="M4551" s="11">
        <f>G4551+H4551</f>
        <v/>
      </c>
      <c r="N4551" s="11">
        <f>Summary!$C$16*Summary!$B$8</f>
        <v/>
      </c>
      <c r="O4551" s="11">
        <f>M4551-N4551</f>
        <v/>
      </c>
    </row>
    <row r="4552">
      <c r="A4552" s="9" t="n">
        <v>45481.58333333334</v>
      </c>
      <c r="B4552" t="n">
        <v>7</v>
      </c>
      <c r="C4552" t="n">
        <v>8</v>
      </c>
      <c r="D4552" t="n">
        <v>14</v>
      </c>
      <c r="E4552" s="10" t="n">
        <v>0.202517</v>
      </c>
      <c r="F4552" s="10" t="n">
        <v>0.1391122413869379</v>
      </c>
      <c r="G4552" s="11">
        <f>E4552*Summary!$B$6</f>
        <v/>
      </c>
      <c r="H4552" s="11">
        <f>F4552*Summary!$B$7</f>
        <v/>
      </c>
      <c r="I4552" s="11">
        <f>MAX(0,N4552-M4552)</f>
        <v/>
      </c>
      <c r="J4552" s="11">
        <f>MAX(0,M4552-N4552)</f>
        <v/>
      </c>
      <c r="K4552" s="11">
        <f>O4552</f>
        <v/>
      </c>
      <c r="L4552" s="11">
        <f>L4551+IF(K4552&gt;0,K4552*Summary!$B$9,K4552/Summary!$B$9)</f>
        <v/>
      </c>
      <c r="M4552" s="11">
        <f>G4552+H4552</f>
        <v/>
      </c>
      <c r="N4552" s="11">
        <f>Summary!$C$16*Summary!$B$8</f>
        <v/>
      </c>
      <c r="O4552" s="11">
        <f>M4552-N4552</f>
        <v/>
      </c>
    </row>
    <row r="4553">
      <c r="A4553" s="9" t="n">
        <v>45481.625</v>
      </c>
      <c r="B4553" t="n">
        <v>7</v>
      </c>
      <c r="C4553" t="n">
        <v>8</v>
      </c>
      <c r="D4553" t="n">
        <v>15</v>
      </c>
      <c r="E4553" s="10" t="n">
        <v>0.410533</v>
      </c>
      <c r="F4553" s="10" t="n">
        <v>0.131180287483269</v>
      </c>
      <c r="G4553" s="11">
        <f>E4553*Summary!$B$6</f>
        <v/>
      </c>
      <c r="H4553" s="11">
        <f>F4553*Summary!$B$7</f>
        <v/>
      </c>
      <c r="I4553" s="11">
        <f>MAX(0,N4553-M4553)</f>
        <v/>
      </c>
      <c r="J4553" s="11">
        <f>MAX(0,M4553-N4553)</f>
        <v/>
      </c>
      <c r="K4553" s="11">
        <f>O4553</f>
        <v/>
      </c>
      <c r="L4553" s="11">
        <f>L4552+IF(K4553&gt;0,K4553*Summary!$B$9,K4553/Summary!$B$9)</f>
        <v/>
      </c>
      <c r="M4553" s="11">
        <f>G4553+H4553</f>
        <v/>
      </c>
      <c r="N4553" s="11">
        <f>Summary!$C$16*Summary!$B$8</f>
        <v/>
      </c>
      <c r="O4553" s="11">
        <f>M4553-N4553</f>
        <v/>
      </c>
    </row>
    <row r="4554">
      <c r="A4554" s="9" t="n">
        <v>45481.66666666666</v>
      </c>
      <c r="B4554" t="n">
        <v>7</v>
      </c>
      <c r="C4554" t="n">
        <v>8</v>
      </c>
      <c r="D4554" t="n">
        <v>16</v>
      </c>
      <c r="E4554" s="10" t="n">
        <v>0.356229</v>
      </c>
      <c r="F4554" s="10" t="n">
        <v>0.1285714388571453</v>
      </c>
      <c r="G4554" s="11">
        <f>E4554*Summary!$B$6</f>
        <v/>
      </c>
      <c r="H4554" s="11">
        <f>F4554*Summary!$B$7</f>
        <v/>
      </c>
      <c r="I4554" s="11">
        <f>MAX(0,N4554-M4554)</f>
        <v/>
      </c>
      <c r="J4554" s="11">
        <f>MAX(0,M4554-N4554)</f>
        <v/>
      </c>
      <c r="K4554" s="11">
        <f>O4554</f>
        <v/>
      </c>
      <c r="L4554" s="11">
        <f>L4553+IF(K4554&gt;0,K4554*Summary!$B$9,K4554/Summary!$B$9)</f>
        <v/>
      </c>
      <c r="M4554" s="11">
        <f>G4554+H4554</f>
        <v/>
      </c>
      <c r="N4554" s="11">
        <f>Summary!$C$16*Summary!$B$8</f>
        <v/>
      </c>
      <c r="O4554" s="11">
        <f>M4554-N4554</f>
        <v/>
      </c>
    </row>
    <row r="4555">
      <c r="A4555" s="9" t="n">
        <v>45481.70833333334</v>
      </c>
      <c r="B4555" t="n">
        <v>7</v>
      </c>
      <c r="C4555" t="n">
        <v>8</v>
      </c>
      <c r="D4555" t="n">
        <v>17</v>
      </c>
      <c r="E4555" s="10" t="n">
        <v>0.280254</v>
      </c>
      <c r="F4555" s="10" t="n">
        <v>0.1215881571811577</v>
      </c>
      <c r="G4555" s="11">
        <f>E4555*Summary!$B$6</f>
        <v/>
      </c>
      <c r="H4555" s="11">
        <f>F4555*Summary!$B$7</f>
        <v/>
      </c>
      <c r="I4555" s="11">
        <f>MAX(0,N4555-M4555)</f>
        <v/>
      </c>
      <c r="J4555" s="11">
        <f>MAX(0,M4555-N4555)</f>
        <v/>
      </c>
      <c r="K4555" s="11">
        <f>O4555</f>
        <v/>
      </c>
      <c r="L4555" s="11">
        <f>L4554+IF(K4555&gt;0,K4555*Summary!$B$9,K4555/Summary!$B$9)</f>
        <v/>
      </c>
      <c r="M4555" s="11">
        <f>G4555+H4555</f>
        <v/>
      </c>
      <c r="N4555" s="11">
        <f>Summary!$C$16*Summary!$B$8</f>
        <v/>
      </c>
      <c r="O4555" s="11">
        <f>M4555-N4555</f>
        <v/>
      </c>
    </row>
    <row r="4556">
      <c r="A4556" s="9" t="n">
        <v>45481.75</v>
      </c>
      <c r="B4556" t="n">
        <v>7</v>
      </c>
      <c r="C4556" t="n">
        <v>8</v>
      </c>
      <c r="D4556" t="n">
        <v>18</v>
      </c>
      <c r="E4556" s="10" t="n">
        <v>0.106393</v>
      </c>
      <c r="F4556" s="10" t="n">
        <v>0.1123913069739137</v>
      </c>
      <c r="G4556" s="11">
        <f>E4556*Summary!$B$6</f>
        <v/>
      </c>
      <c r="H4556" s="11">
        <f>F4556*Summary!$B$7</f>
        <v/>
      </c>
      <c r="I4556" s="11">
        <f>MAX(0,N4556-M4556)</f>
        <v/>
      </c>
      <c r="J4556" s="11">
        <f>MAX(0,M4556-N4556)</f>
        <v/>
      </c>
      <c r="K4556" s="11">
        <f>O4556</f>
        <v/>
      </c>
      <c r="L4556" s="11">
        <f>L4555+IF(K4556&gt;0,K4556*Summary!$B$9,K4556/Summary!$B$9)</f>
        <v/>
      </c>
      <c r="M4556" s="11">
        <f>G4556+H4556</f>
        <v/>
      </c>
      <c r="N4556" s="11">
        <f>Summary!$C$16*Summary!$B$8</f>
        <v/>
      </c>
      <c r="O4556" s="11">
        <f>M4556-N4556</f>
        <v/>
      </c>
    </row>
    <row r="4557">
      <c r="A4557" s="9" t="n">
        <v>45481.79166666666</v>
      </c>
      <c r="B4557" t="n">
        <v>7</v>
      </c>
      <c r="C4557" t="n">
        <v>8</v>
      </c>
      <c r="D4557" t="n">
        <v>19</v>
      </c>
      <c r="E4557" s="10" t="n">
        <v>0.049687</v>
      </c>
      <c r="F4557" s="10" t="n">
        <v>0.1145785234988456</v>
      </c>
      <c r="G4557" s="11">
        <f>E4557*Summary!$B$6</f>
        <v/>
      </c>
      <c r="H4557" s="11">
        <f>F4557*Summary!$B$7</f>
        <v/>
      </c>
      <c r="I4557" s="11">
        <f>MAX(0,N4557-M4557)</f>
        <v/>
      </c>
      <c r="J4557" s="11">
        <f>MAX(0,M4557-N4557)</f>
        <v/>
      </c>
      <c r="K4557" s="11">
        <f>O4557</f>
        <v/>
      </c>
      <c r="L4557" s="11">
        <f>L4556+IF(K4557&gt;0,K4557*Summary!$B$9,K4557/Summary!$B$9)</f>
        <v/>
      </c>
      <c r="M4557" s="11">
        <f>G4557+H4557</f>
        <v/>
      </c>
      <c r="N4557" s="11">
        <f>Summary!$C$16*Summary!$B$8</f>
        <v/>
      </c>
      <c r="O4557" s="11">
        <f>M4557-N4557</f>
        <v/>
      </c>
    </row>
    <row r="4558">
      <c r="A4558" s="9" t="n">
        <v>45481.83333333334</v>
      </c>
      <c r="B4558" t="n">
        <v>7</v>
      </c>
      <c r="C4558" t="n">
        <v>8</v>
      </c>
      <c r="D4558" t="n">
        <v>20</v>
      </c>
      <c r="E4558" s="10" t="n">
        <v>0.017572</v>
      </c>
      <c r="F4558" s="10" t="n">
        <v>0.1260679982563196</v>
      </c>
      <c r="G4558" s="11">
        <f>E4558*Summary!$B$6</f>
        <v/>
      </c>
      <c r="H4558" s="11">
        <f>F4558*Summary!$B$7</f>
        <v/>
      </c>
      <c r="I4558" s="11">
        <f>MAX(0,N4558-M4558)</f>
        <v/>
      </c>
      <c r="J4558" s="11">
        <f>MAX(0,M4558-N4558)</f>
        <v/>
      </c>
      <c r="K4558" s="11">
        <f>O4558</f>
        <v/>
      </c>
      <c r="L4558" s="11">
        <f>L4557+IF(K4558&gt;0,K4558*Summary!$B$9,K4558/Summary!$B$9)</f>
        <v/>
      </c>
      <c r="M4558" s="11">
        <f>G4558+H4558</f>
        <v/>
      </c>
      <c r="N4558" s="11">
        <f>Summary!$C$16*Summary!$B$8</f>
        <v/>
      </c>
      <c r="O4558" s="11">
        <f>M4558-N4558</f>
        <v/>
      </c>
    </row>
    <row r="4559">
      <c r="A4559" s="9" t="n">
        <v>45481.875</v>
      </c>
      <c r="B4559" t="n">
        <v>7</v>
      </c>
      <c r="C4559" t="n">
        <v>8</v>
      </c>
      <c r="D4559" t="n">
        <v>21</v>
      </c>
      <c r="E4559" s="10" t="n">
        <v>0</v>
      </c>
      <c r="F4559" s="10" t="n">
        <v>0.1477820514676924</v>
      </c>
      <c r="G4559" s="11">
        <f>E4559*Summary!$B$6</f>
        <v/>
      </c>
      <c r="H4559" s="11">
        <f>F4559*Summary!$B$7</f>
        <v/>
      </c>
      <c r="I4559" s="11">
        <f>MAX(0,N4559-M4559)</f>
        <v/>
      </c>
      <c r="J4559" s="11">
        <f>MAX(0,M4559-N4559)</f>
        <v/>
      </c>
      <c r="K4559" s="11">
        <f>O4559</f>
        <v/>
      </c>
      <c r="L4559" s="11">
        <f>L4558+IF(K4559&gt;0,K4559*Summary!$B$9,K4559/Summary!$B$9)</f>
        <v/>
      </c>
      <c r="M4559" s="11">
        <f>G4559+H4559</f>
        <v/>
      </c>
      <c r="N4559" s="11">
        <f>Summary!$C$16*Summary!$B$8</f>
        <v/>
      </c>
      <c r="O4559" s="11">
        <f>M4559-N4559</f>
        <v/>
      </c>
    </row>
    <row r="4560">
      <c r="A4560" s="9" t="n">
        <v>45481.91666666666</v>
      </c>
      <c r="B4560" t="n">
        <v>7</v>
      </c>
      <c r="C4560" t="n">
        <v>8</v>
      </c>
      <c r="D4560" t="n">
        <v>22</v>
      </c>
      <c r="E4560" s="10" t="n">
        <v>0</v>
      </c>
      <c r="F4560" s="10" t="n">
        <v>0.1635141992434078</v>
      </c>
      <c r="G4560" s="11">
        <f>E4560*Summary!$B$6</f>
        <v/>
      </c>
      <c r="H4560" s="11">
        <f>F4560*Summary!$B$7</f>
        <v/>
      </c>
      <c r="I4560" s="11">
        <f>MAX(0,N4560-M4560)</f>
        <v/>
      </c>
      <c r="J4560" s="11">
        <f>MAX(0,M4560-N4560)</f>
        <v/>
      </c>
      <c r="K4560" s="11">
        <f>O4560</f>
        <v/>
      </c>
      <c r="L4560" s="11">
        <f>L4559+IF(K4560&gt;0,K4560*Summary!$B$9,K4560/Summary!$B$9)</f>
        <v/>
      </c>
      <c r="M4560" s="11">
        <f>G4560+H4560</f>
        <v/>
      </c>
      <c r="N4560" s="11">
        <f>Summary!$C$16*Summary!$B$8</f>
        <v/>
      </c>
      <c r="O4560" s="11">
        <f>M4560-N4560</f>
        <v/>
      </c>
    </row>
    <row r="4561">
      <c r="A4561" s="9" t="n">
        <v>45481.95833333334</v>
      </c>
      <c r="B4561" t="n">
        <v>7</v>
      </c>
      <c r="C4561" t="n">
        <v>8</v>
      </c>
      <c r="D4561" t="n">
        <v>23</v>
      </c>
      <c r="E4561" s="10" t="n">
        <v>0</v>
      </c>
      <c r="F4561" s="10" t="n">
        <v>0.1692062326094958</v>
      </c>
      <c r="G4561" s="11">
        <f>E4561*Summary!$B$6</f>
        <v/>
      </c>
      <c r="H4561" s="11">
        <f>F4561*Summary!$B$7</f>
        <v/>
      </c>
      <c r="I4561" s="11">
        <f>MAX(0,N4561-M4561)</f>
        <v/>
      </c>
      <c r="J4561" s="11">
        <f>MAX(0,M4561-N4561)</f>
        <v/>
      </c>
      <c r="K4561" s="11">
        <f>O4561</f>
        <v/>
      </c>
      <c r="L4561" s="11">
        <f>L4560+IF(K4561&gt;0,K4561*Summary!$B$9,K4561/Summary!$B$9)</f>
        <v/>
      </c>
      <c r="M4561" s="11">
        <f>G4561+H4561</f>
        <v/>
      </c>
      <c r="N4561" s="11">
        <f>Summary!$C$16*Summary!$B$8</f>
        <v/>
      </c>
      <c r="O4561" s="11">
        <f>M4561-N4561</f>
        <v/>
      </c>
    </row>
    <row r="4562">
      <c r="A4562" s="9" t="n">
        <v>45482</v>
      </c>
      <c r="B4562" t="n">
        <v>7</v>
      </c>
      <c r="C4562" t="n">
        <v>9</v>
      </c>
      <c r="D4562" t="n">
        <v>0</v>
      </c>
      <c r="E4562" s="10" t="n">
        <v>0</v>
      </c>
      <c r="F4562" s="10" t="n">
        <v>0.2123444669626721</v>
      </c>
      <c r="G4562" s="11">
        <f>E4562*Summary!$B$6</f>
        <v/>
      </c>
      <c r="H4562" s="11">
        <f>F4562*Summary!$B$7</f>
        <v/>
      </c>
      <c r="I4562" s="11">
        <f>MAX(0,N4562-M4562)</f>
        <v/>
      </c>
      <c r="J4562" s="11">
        <f>MAX(0,M4562-N4562)</f>
        <v/>
      </c>
      <c r="K4562" s="11">
        <f>O4562</f>
        <v/>
      </c>
      <c r="L4562" s="11">
        <f>L4561+IF(K4562&gt;0,K4562*Summary!$B$9,K4562/Summary!$B$9)</f>
        <v/>
      </c>
      <c r="M4562" s="11">
        <f>G4562+H4562</f>
        <v/>
      </c>
      <c r="N4562" s="11">
        <f>Summary!$C$16*Summary!$B$8</f>
        <v/>
      </c>
      <c r="O4562" s="11">
        <f>M4562-N4562</f>
        <v/>
      </c>
    </row>
    <row r="4563">
      <c r="A4563" s="9" t="n">
        <v>45482.04166666666</v>
      </c>
      <c r="B4563" t="n">
        <v>7</v>
      </c>
      <c r="C4563" t="n">
        <v>9</v>
      </c>
      <c r="D4563" t="n">
        <v>1</v>
      </c>
      <c r="E4563" s="10" t="n">
        <v>0</v>
      </c>
      <c r="F4563" s="10" t="n">
        <v>0.1778233386776013</v>
      </c>
      <c r="G4563" s="11">
        <f>E4563*Summary!$B$6</f>
        <v/>
      </c>
      <c r="H4563" s="11">
        <f>F4563*Summary!$B$7</f>
        <v/>
      </c>
      <c r="I4563" s="11">
        <f>MAX(0,N4563-M4563)</f>
        <v/>
      </c>
      <c r="J4563" s="11">
        <f>MAX(0,M4563-N4563)</f>
        <v/>
      </c>
      <c r="K4563" s="11">
        <f>O4563</f>
        <v/>
      </c>
      <c r="L4563" s="11">
        <f>L4562+IF(K4563&gt;0,K4563*Summary!$B$9,K4563/Summary!$B$9)</f>
        <v/>
      </c>
      <c r="M4563" s="11">
        <f>G4563+H4563</f>
        <v/>
      </c>
      <c r="N4563" s="11">
        <f>Summary!$C$16*Summary!$B$8</f>
        <v/>
      </c>
      <c r="O4563" s="11">
        <f>M4563-N4563</f>
        <v/>
      </c>
    </row>
    <row r="4564">
      <c r="A4564" s="9" t="n">
        <v>45482.08333333334</v>
      </c>
      <c r="B4564" t="n">
        <v>7</v>
      </c>
      <c r="C4564" t="n">
        <v>9</v>
      </c>
      <c r="D4564" t="n">
        <v>2</v>
      </c>
      <c r="E4564" s="10" t="n">
        <v>0</v>
      </c>
      <c r="F4564" s="10" t="n">
        <v>0.1744239298617432</v>
      </c>
      <c r="G4564" s="11">
        <f>E4564*Summary!$B$6</f>
        <v/>
      </c>
      <c r="H4564" s="11">
        <f>F4564*Summary!$B$7</f>
        <v/>
      </c>
      <c r="I4564" s="11">
        <f>MAX(0,N4564-M4564)</f>
        <v/>
      </c>
      <c r="J4564" s="11">
        <f>MAX(0,M4564-N4564)</f>
        <v/>
      </c>
      <c r="K4564" s="11">
        <f>O4564</f>
        <v/>
      </c>
      <c r="L4564" s="11">
        <f>L4563+IF(K4564&gt;0,K4564*Summary!$B$9,K4564/Summary!$B$9)</f>
        <v/>
      </c>
      <c r="M4564" s="11">
        <f>G4564+H4564</f>
        <v/>
      </c>
      <c r="N4564" s="11">
        <f>Summary!$C$16*Summary!$B$8</f>
        <v/>
      </c>
      <c r="O4564" s="11">
        <f>M4564-N4564</f>
        <v/>
      </c>
    </row>
    <row r="4565">
      <c r="A4565" s="9" t="n">
        <v>45482.125</v>
      </c>
      <c r="B4565" t="n">
        <v>7</v>
      </c>
      <c r="C4565" t="n">
        <v>9</v>
      </c>
      <c r="D4565" t="n">
        <v>3</v>
      </c>
      <c r="E4565" s="10" t="n">
        <v>0</v>
      </c>
      <c r="F4565" s="10" t="n">
        <v>0.1701812568435016</v>
      </c>
      <c r="G4565" s="11">
        <f>E4565*Summary!$B$6</f>
        <v/>
      </c>
      <c r="H4565" s="11">
        <f>F4565*Summary!$B$7</f>
        <v/>
      </c>
      <c r="I4565" s="11">
        <f>MAX(0,N4565-M4565)</f>
        <v/>
      </c>
      <c r="J4565" s="11">
        <f>MAX(0,M4565-N4565)</f>
        <v/>
      </c>
      <c r="K4565" s="11">
        <f>O4565</f>
        <v/>
      </c>
      <c r="L4565" s="11">
        <f>L4564+IF(K4565&gt;0,K4565*Summary!$B$9,K4565/Summary!$B$9)</f>
        <v/>
      </c>
      <c r="M4565" s="11">
        <f>G4565+H4565</f>
        <v/>
      </c>
      <c r="N4565" s="11">
        <f>Summary!$C$16*Summary!$B$8</f>
        <v/>
      </c>
      <c r="O4565" s="11">
        <f>M4565-N4565</f>
        <v/>
      </c>
    </row>
    <row r="4566">
      <c r="A4566" s="9" t="n">
        <v>45482.16666666666</v>
      </c>
      <c r="B4566" t="n">
        <v>7</v>
      </c>
      <c r="C4566" t="n">
        <v>9</v>
      </c>
      <c r="D4566" t="n">
        <v>4</v>
      </c>
      <c r="E4566" s="10" t="n">
        <v>0.009756000000000001</v>
      </c>
      <c r="F4566" s="10" t="n">
        <v>0.1579539259089422</v>
      </c>
      <c r="G4566" s="11">
        <f>E4566*Summary!$B$6</f>
        <v/>
      </c>
      <c r="H4566" s="11">
        <f>F4566*Summary!$B$7</f>
        <v/>
      </c>
      <c r="I4566" s="11">
        <f>MAX(0,N4566-M4566)</f>
        <v/>
      </c>
      <c r="J4566" s="11">
        <f>MAX(0,M4566-N4566)</f>
        <v/>
      </c>
      <c r="K4566" s="11">
        <f>O4566</f>
        <v/>
      </c>
      <c r="L4566" s="11">
        <f>L4565+IF(K4566&gt;0,K4566*Summary!$B$9,K4566/Summary!$B$9)</f>
        <v/>
      </c>
      <c r="M4566" s="11">
        <f>G4566+H4566</f>
        <v/>
      </c>
      <c r="N4566" s="11">
        <f>Summary!$C$16*Summary!$B$8</f>
        <v/>
      </c>
      <c r="O4566" s="11">
        <f>M4566-N4566</f>
        <v/>
      </c>
    </row>
    <row r="4567">
      <c r="A4567" s="9" t="n">
        <v>45482.20833333334</v>
      </c>
      <c r="B4567" t="n">
        <v>7</v>
      </c>
      <c r="C4567" t="n">
        <v>9</v>
      </c>
      <c r="D4567" t="n">
        <v>5</v>
      </c>
      <c r="E4567" s="10" t="n">
        <v>0.055022</v>
      </c>
      <c r="F4567" s="10" t="n">
        <v>0.1378736970896873</v>
      </c>
      <c r="G4567" s="11">
        <f>E4567*Summary!$B$6</f>
        <v/>
      </c>
      <c r="H4567" s="11">
        <f>F4567*Summary!$B$7</f>
        <v/>
      </c>
      <c r="I4567" s="11">
        <f>MAX(0,N4567-M4567)</f>
        <v/>
      </c>
      <c r="J4567" s="11">
        <f>MAX(0,M4567-N4567)</f>
        <v/>
      </c>
      <c r="K4567" s="11">
        <f>O4567</f>
        <v/>
      </c>
      <c r="L4567" s="11">
        <f>L4566+IF(K4567&gt;0,K4567*Summary!$B$9,K4567/Summary!$B$9)</f>
        <v/>
      </c>
      <c r="M4567" s="11">
        <f>G4567+H4567</f>
        <v/>
      </c>
      <c r="N4567" s="11">
        <f>Summary!$C$16*Summary!$B$8</f>
        <v/>
      </c>
      <c r="O4567" s="11">
        <f>M4567-N4567</f>
        <v/>
      </c>
    </row>
    <row r="4568">
      <c r="A4568" s="9" t="n">
        <v>45482.25</v>
      </c>
      <c r="B4568" t="n">
        <v>7</v>
      </c>
      <c r="C4568" t="n">
        <v>9</v>
      </c>
      <c r="D4568" t="n">
        <v>6</v>
      </c>
      <c r="E4568" s="10" t="n">
        <v>0.187459</v>
      </c>
      <c r="F4568" s="10" t="n">
        <v>0.1218253252380781</v>
      </c>
      <c r="G4568" s="11">
        <f>E4568*Summary!$B$6</f>
        <v/>
      </c>
      <c r="H4568" s="11">
        <f>F4568*Summary!$B$7</f>
        <v/>
      </c>
      <c r="I4568" s="11">
        <f>MAX(0,N4568-M4568)</f>
        <v/>
      </c>
      <c r="J4568" s="11">
        <f>MAX(0,M4568-N4568)</f>
        <v/>
      </c>
      <c r="K4568" s="11">
        <f>O4568</f>
        <v/>
      </c>
      <c r="L4568" s="11">
        <f>L4567+IF(K4568&gt;0,K4568*Summary!$B$9,K4568/Summary!$B$9)</f>
        <v/>
      </c>
      <c r="M4568" s="11">
        <f>G4568+H4568</f>
        <v/>
      </c>
      <c r="N4568" s="11">
        <f>Summary!$C$16*Summary!$B$8</f>
        <v/>
      </c>
      <c r="O4568" s="11">
        <f>M4568-N4568</f>
        <v/>
      </c>
    </row>
    <row r="4569">
      <c r="A4569" s="9" t="n">
        <v>45482.29166666666</v>
      </c>
      <c r="B4569" t="n">
        <v>7</v>
      </c>
      <c r="C4569" t="n">
        <v>9</v>
      </c>
      <c r="D4569" t="n">
        <v>7</v>
      </c>
      <c r="E4569" s="10" t="n">
        <v>0.376611</v>
      </c>
      <c r="F4569" s="10" t="n">
        <v>0.1144731154735477</v>
      </c>
      <c r="G4569" s="11">
        <f>E4569*Summary!$B$6</f>
        <v/>
      </c>
      <c r="H4569" s="11">
        <f>F4569*Summary!$B$7</f>
        <v/>
      </c>
      <c r="I4569" s="11">
        <f>MAX(0,N4569-M4569)</f>
        <v/>
      </c>
      <c r="J4569" s="11">
        <f>MAX(0,M4569-N4569)</f>
        <v/>
      </c>
      <c r="K4569" s="11">
        <f>O4569</f>
        <v/>
      </c>
      <c r="L4569" s="11">
        <f>L4568+IF(K4569&gt;0,K4569*Summary!$B$9,K4569/Summary!$B$9)</f>
        <v/>
      </c>
      <c r="M4569" s="11">
        <f>G4569+H4569</f>
        <v/>
      </c>
      <c r="N4569" s="11">
        <f>Summary!$C$16*Summary!$B$8</f>
        <v/>
      </c>
      <c r="O4569" s="11">
        <f>M4569-N4569</f>
        <v/>
      </c>
    </row>
    <row r="4570">
      <c r="A4570" s="9" t="n">
        <v>45482.33333333334</v>
      </c>
      <c r="B4570" t="n">
        <v>7</v>
      </c>
      <c r="C4570" t="n">
        <v>9</v>
      </c>
      <c r="D4570" t="n">
        <v>8</v>
      </c>
      <c r="E4570" s="10" t="n">
        <v>0.576344</v>
      </c>
      <c r="F4570" s="10" t="n">
        <v>0.1153690836885801</v>
      </c>
      <c r="G4570" s="11">
        <f>E4570*Summary!$B$6</f>
        <v/>
      </c>
      <c r="H4570" s="11">
        <f>F4570*Summary!$B$7</f>
        <v/>
      </c>
      <c r="I4570" s="11">
        <f>MAX(0,N4570-M4570)</f>
        <v/>
      </c>
      <c r="J4570" s="11">
        <f>MAX(0,M4570-N4570)</f>
        <v/>
      </c>
      <c r="K4570" s="11">
        <f>O4570</f>
        <v/>
      </c>
      <c r="L4570" s="11">
        <f>L4569+IF(K4570&gt;0,K4570*Summary!$B$9,K4570/Summary!$B$9)</f>
        <v/>
      </c>
      <c r="M4570" s="11">
        <f>G4570+H4570</f>
        <v/>
      </c>
      <c r="N4570" s="11">
        <f>Summary!$C$16*Summary!$B$8</f>
        <v/>
      </c>
      <c r="O4570" s="11">
        <f>M4570-N4570</f>
        <v/>
      </c>
    </row>
    <row r="4571">
      <c r="A4571" s="9" t="n">
        <v>45482.375</v>
      </c>
      <c r="B4571" t="n">
        <v>7</v>
      </c>
      <c r="C4571" t="n">
        <v>9</v>
      </c>
      <c r="D4571" t="n">
        <v>9</v>
      </c>
      <c r="E4571" s="10" t="n">
        <v>0.61849</v>
      </c>
      <c r="F4571" s="10" t="n">
        <v>0.1176880602451345</v>
      </c>
      <c r="G4571" s="11">
        <f>E4571*Summary!$B$6</f>
        <v/>
      </c>
      <c r="H4571" s="11">
        <f>F4571*Summary!$B$7</f>
        <v/>
      </c>
      <c r="I4571" s="11">
        <f>MAX(0,N4571-M4571)</f>
        <v/>
      </c>
      <c r="J4571" s="11">
        <f>MAX(0,M4571-N4571)</f>
        <v/>
      </c>
      <c r="K4571" s="11">
        <f>O4571</f>
        <v/>
      </c>
      <c r="L4571" s="11">
        <f>L4570+IF(K4571&gt;0,K4571*Summary!$B$9,K4571/Summary!$B$9)</f>
        <v/>
      </c>
      <c r="M4571" s="11">
        <f>G4571+H4571</f>
        <v/>
      </c>
      <c r="N4571" s="11">
        <f>Summary!$C$16*Summary!$B$8</f>
        <v/>
      </c>
      <c r="O4571" s="11">
        <f>M4571-N4571</f>
        <v/>
      </c>
    </row>
    <row r="4572">
      <c r="A4572" s="9" t="n">
        <v>45482.41666666666</v>
      </c>
      <c r="B4572" t="n">
        <v>7</v>
      </c>
      <c r="C4572" t="n">
        <v>9</v>
      </c>
      <c r="D4572" t="n">
        <v>10</v>
      </c>
      <c r="E4572" s="10" t="n">
        <v>0.482296</v>
      </c>
      <c r="F4572" s="10" t="n">
        <v>0.1284396788255229</v>
      </c>
      <c r="G4572" s="11">
        <f>E4572*Summary!$B$6</f>
        <v/>
      </c>
      <c r="H4572" s="11">
        <f>F4572*Summary!$B$7</f>
        <v/>
      </c>
      <c r="I4572" s="11">
        <f>MAX(0,N4572-M4572)</f>
        <v/>
      </c>
      <c r="J4572" s="11">
        <f>MAX(0,M4572-N4572)</f>
        <v/>
      </c>
      <c r="K4572" s="11">
        <f>O4572</f>
        <v/>
      </c>
      <c r="L4572" s="11">
        <f>L4571+IF(K4572&gt;0,K4572*Summary!$B$9,K4572/Summary!$B$9)</f>
        <v/>
      </c>
      <c r="M4572" s="11">
        <f>G4572+H4572</f>
        <v/>
      </c>
      <c r="N4572" s="11">
        <f>Summary!$C$16*Summary!$B$8</f>
        <v/>
      </c>
      <c r="O4572" s="11">
        <f>M4572-N4572</f>
        <v/>
      </c>
    </row>
    <row r="4573">
      <c r="A4573" s="9" t="n">
        <v>45482.45833333334</v>
      </c>
      <c r="B4573" t="n">
        <v>7</v>
      </c>
      <c r="C4573" t="n">
        <v>9</v>
      </c>
      <c r="D4573" t="n">
        <v>11</v>
      </c>
      <c r="E4573" s="10" t="n">
        <v>0.5559269999999999</v>
      </c>
      <c r="F4573" s="10" t="n">
        <v>0.1378209930770383</v>
      </c>
      <c r="G4573" s="11">
        <f>E4573*Summary!$B$6</f>
        <v/>
      </c>
      <c r="H4573" s="11">
        <f>F4573*Summary!$B$7</f>
        <v/>
      </c>
      <c r="I4573" s="11">
        <f>MAX(0,N4573-M4573)</f>
        <v/>
      </c>
      <c r="J4573" s="11">
        <f>MAX(0,M4573-N4573)</f>
        <v/>
      </c>
      <c r="K4573" s="11">
        <f>O4573</f>
        <v/>
      </c>
      <c r="L4573" s="11">
        <f>L4572+IF(K4573&gt;0,K4573*Summary!$B$9,K4573/Summary!$B$9)</f>
        <v/>
      </c>
      <c r="M4573" s="11">
        <f>G4573+H4573</f>
        <v/>
      </c>
      <c r="N4573" s="11">
        <f>Summary!$C$16*Summary!$B$8</f>
        <v/>
      </c>
      <c r="O4573" s="11">
        <f>M4573-N4573</f>
        <v/>
      </c>
    </row>
    <row r="4574">
      <c r="A4574" s="9" t="n">
        <v>45482.5</v>
      </c>
      <c r="B4574" t="n">
        <v>7</v>
      </c>
      <c r="C4574" t="n">
        <v>9</v>
      </c>
      <c r="D4574" t="n">
        <v>12</v>
      </c>
      <c r="E4574" s="10" t="n">
        <v>0.552992</v>
      </c>
      <c r="F4574" s="10" t="n">
        <v>0.1506280681507363</v>
      </c>
      <c r="G4574" s="11">
        <f>E4574*Summary!$B$6</f>
        <v/>
      </c>
      <c r="H4574" s="11">
        <f>F4574*Summary!$B$7</f>
        <v/>
      </c>
      <c r="I4574" s="11">
        <f>MAX(0,N4574-M4574)</f>
        <v/>
      </c>
      <c r="J4574" s="11">
        <f>MAX(0,M4574-N4574)</f>
        <v/>
      </c>
      <c r="K4574" s="11">
        <f>O4574</f>
        <v/>
      </c>
      <c r="L4574" s="11">
        <f>L4573+IF(K4574&gt;0,K4574*Summary!$B$9,K4574/Summary!$B$9)</f>
        <v/>
      </c>
      <c r="M4574" s="11">
        <f>G4574+H4574</f>
        <v/>
      </c>
      <c r="N4574" s="11">
        <f>Summary!$C$16*Summary!$B$8</f>
        <v/>
      </c>
      <c r="O4574" s="11">
        <f>M4574-N4574</f>
        <v/>
      </c>
    </row>
    <row r="4575">
      <c r="A4575" s="9" t="n">
        <v>45482.54166666666</v>
      </c>
      <c r="B4575" t="n">
        <v>7</v>
      </c>
      <c r="C4575" t="n">
        <v>9</v>
      </c>
      <c r="D4575" t="n">
        <v>13</v>
      </c>
      <c r="E4575" s="10" t="n">
        <v>0.350266</v>
      </c>
      <c r="F4575" s="10" t="n">
        <v>0.1605891265413904</v>
      </c>
      <c r="G4575" s="11">
        <f>E4575*Summary!$B$6</f>
        <v/>
      </c>
      <c r="H4575" s="11">
        <f>F4575*Summary!$B$7</f>
        <v/>
      </c>
      <c r="I4575" s="11">
        <f>MAX(0,N4575-M4575)</f>
        <v/>
      </c>
      <c r="J4575" s="11">
        <f>MAX(0,M4575-N4575)</f>
        <v/>
      </c>
      <c r="K4575" s="11">
        <f>O4575</f>
        <v/>
      </c>
      <c r="L4575" s="11">
        <f>L4574+IF(K4575&gt;0,K4575*Summary!$B$9,K4575/Summary!$B$9)</f>
        <v/>
      </c>
      <c r="M4575" s="11">
        <f>G4575+H4575</f>
        <v/>
      </c>
      <c r="N4575" s="11">
        <f>Summary!$C$16*Summary!$B$8</f>
        <v/>
      </c>
      <c r="O4575" s="11">
        <f>M4575-N4575</f>
        <v/>
      </c>
    </row>
    <row r="4576">
      <c r="A4576" s="9" t="n">
        <v>45482.58333333334</v>
      </c>
      <c r="B4576" t="n">
        <v>7</v>
      </c>
      <c r="C4576" t="n">
        <v>9</v>
      </c>
      <c r="D4576" t="n">
        <v>14</v>
      </c>
      <c r="E4576" s="10" t="n">
        <v>0.5883389999999999</v>
      </c>
      <c r="F4576" s="10" t="n">
        <v>0.1737387776973066</v>
      </c>
      <c r="G4576" s="11">
        <f>E4576*Summary!$B$6</f>
        <v/>
      </c>
      <c r="H4576" s="11">
        <f>F4576*Summary!$B$7</f>
        <v/>
      </c>
      <c r="I4576" s="11">
        <f>MAX(0,N4576-M4576)</f>
        <v/>
      </c>
      <c r="J4576" s="11">
        <f>MAX(0,M4576-N4576)</f>
        <v/>
      </c>
      <c r="K4576" s="11">
        <f>O4576</f>
        <v/>
      </c>
      <c r="L4576" s="11">
        <f>L4575+IF(K4576&gt;0,K4576*Summary!$B$9,K4576/Summary!$B$9)</f>
        <v/>
      </c>
      <c r="M4576" s="11">
        <f>G4576+H4576</f>
        <v/>
      </c>
      <c r="N4576" s="11">
        <f>Summary!$C$16*Summary!$B$8</f>
        <v/>
      </c>
      <c r="O4576" s="11">
        <f>M4576-N4576</f>
        <v/>
      </c>
    </row>
    <row r="4577">
      <c r="A4577" s="9" t="n">
        <v>45482.625</v>
      </c>
      <c r="B4577" t="n">
        <v>7</v>
      </c>
      <c r="C4577" t="n">
        <v>9</v>
      </c>
      <c r="D4577" t="n">
        <v>15</v>
      </c>
      <c r="E4577" s="10" t="n">
        <v>0.643339</v>
      </c>
      <c r="F4577" s="10" t="n">
        <v>0.1795889231013416</v>
      </c>
      <c r="G4577" s="11">
        <f>E4577*Summary!$B$6</f>
        <v/>
      </c>
      <c r="H4577" s="11">
        <f>F4577*Summary!$B$7</f>
        <v/>
      </c>
      <c r="I4577" s="11">
        <f>MAX(0,N4577-M4577)</f>
        <v/>
      </c>
      <c r="J4577" s="11">
        <f>MAX(0,M4577-N4577)</f>
        <v/>
      </c>
      <c r="K4577" s="11">
        <f>O4577</f>
        <v/>
      </c>
      <c r="L4577" s="11">
        <f>L4576+IF(K4577&gt;0,K4577*Summary!$B$9,K4577/Summary!$B$9)</f>
        <v/>
      </c>
      <c r="M4577" s="11">
        <f>G4577+H4577</f>
        <v/>
      </c>
      <c r="N4577" s="11">
        <f>Summary!$C$16*Summary!$B$8</f>
        <v/>
      </c>
      <c r="O4577" s="11">
        <f>M4577-N4577</f>
        <v/>
      </c>
    </row>
    <row r="4578">
      <c r="A4578" s="9" t="n">
        <v>45482.66666666666</v>
      </c>
      <c r="B4578" t="n">
        <v>7</v>
      </c>
      <c r="C4578" t="n">
        <v>9</v>
      </c>
      <c r="D4578" t="n">
        <v>16</v>
      </c>
      <c r="E4578" s="10" t="n">
        <v>0.475811</v>
      </c>
      <c r="F4578" s="10" t="n">
        <v>0.1743185218364452</v>
      </c>
      <c r="G4578" s="11">
        <f>E4578*Summary!$B$6</f>
        <v/>
      </c>
      <c r="H4578" s="11">
        <f>F4578*Summary!$B$7</f>
        <v/>
      </c>
      <c r="I4578" s="11">
        <f>MAX(0,N4578-M4578)</f>
        <v/>
      </c>
      <c r="J4578" s="11">
        <f>MAX(0,M4578-N4578)</f>
        <v/>
      </c>
      <c r="K4578" s="11">
        <f>O4578</f>
        <v/>
      </c>
      <c r="L4578" s="11">
        <f>L4577+IF(K4578&gt;0,K4578*Summary!$B$9,K4578/Summary!$B$9)</f>
        <v/>
      </c>
      <c r="M4578" s="11">
        <f>G4578+H4578</f>
        <v/>
      </c>
      <c r="N4578" s="11">
        <f>Summary!$C$16*Summary!$B$8</f>
        <v/>
      </c>
      <c r="O4578" s="11">
        <f>M4578-N4578</f>
        <v/>
      </c>
    </row>
    <row r="4579">
      <c r="A4579" s="9" t="n">
        <v>45482.70833333334</v>
      </c>
      <c r="B4579" t="n">
        <v>7</v>
      </c>
      <c r="C4579" t="n">
        <v>9</v>
      </c>
      <c r="D4579" t="n">
        <v>17</v>
      </c>
      <c r="E4579" s="10" t="n">
        <v>0.278897</v>
      </c>
      <c r="F4579" s="10" t="n">
        <v>0.166202103888505</v>
      </c>
      <c r="G4579" s="11">
        <f>E4579*Summary!$B$6</f>
        <v/>
      </c>
      <c r="H4579" s="11">
        <f>F4579*Summary!$B$7</f>
        <v/>
      </c>
      <c r="I4579" s="11">
        <f>MAX(0,N4579-M4579)</f>
        <v/>
      </c>
      <c r="J4579" s="11">
        <f>MAX(0,M4579-N4579)</f>
        <v/>
      </c>
      <c r="K4579" s="11">
        <f>O4579</f>
        <v/>
      </c>
      <c r="L4579" s="11">
        <f>L4578+IF(K4579&gt;0,K4579*Summary!$B$9,K4579/Summary!$B$9)</f>
        <v/>
      </c>
      <c r="M4579" s="11">
        <f>G4579+H4579</f>
        <v/>
      </c>
      <c r="N4579" s="11">
        <f>Summary!$C$16*Summary!$B$8</f>
        <v/>
      </c>
      <c r="O4579" s="11">
        <f>M4579-N4579</f>
        <v/>
      </c>
    </row>
    <row r="4580">
      <c r="A4580" s="9" t="n">
        <v>45482.75</v>
      </c>
      <c r="B4580" t="n">
        <v>7</v>
      </c>
      <c r="C4580" t="n">
        <v>9</v>
      </c>
      <c r="D4580" t="n">
        <v>18</v>
      </c>
      <c r="E4580" s="10" t="n">
        <v>0.09951</v>
      </c>
      <c r="F4580" s="10" t="n">
        <v>0.1570843097002343</v>
      </c>
      <c r="G4580" s="11">
        <f>E4580*Summary!$B$6</f>
        <v/>
      </c>
      <c r="H4580" s="11">
        <f>F4580*Summary!$B$7</f>
        <v/>
      </c>
      <c r="I4580" s="11">
        <f>MAX(0,N4580-M4580)</f>
        <v/>
      </c>
      <c r="J4580" s="11">
        <f>MAX(0,M4580-N4580)</f>
        <v/>
      </c>
      <c r="K4580" s="11">
        <f>O4580</f>
        <v/>
      </c>
      <c r="L4580" s="11">
        <f>L4579+IF(K4580&gt;0,K4580*Summary!$B$9,K4580/Summary!$B$9)</f>
        <v/>
      </c>
      <c r="M4580" s="11">
        <f>G4580+H4580</f>
        <v/>
      </c>
      <c r="N4580" s="11">
        <f>Summary!$C$16*Summary!$B$8</f>
        <v/>
      </c>
      <c r="O4580" s="11">
        <f>M4580-N4580</f>
        <v/>
      </c>
    </row>
    <row r="4581">
      <c r="A4581" s="9" t="n">
        <v>45482.79166666666</v>
      </c>
      <c r="B4581" t="n">
        <v>7</v>
      </c>
      <c r="C4581" t="n">
        <v>9</v>
      </c>
      <c r="D4581" t="n">
        <v>19</v>
      </c>
      <c r="E4581" s="10" t="n">
        <v>0.038675</v>
      </c>
      <c r="F4581" s="10" t="n">
        <v>0.1508125321950077</v>
      </c>
      <c r="G4581" s="11">
        <f>E4581*Summary!$B$6</f>
        <v/>
      </c>
      <c r="H4581" s="11">
        <f>F4581*Summary!$B$7</f>
        <v/>
      </c>
      <c r="I4581" s="11">
        <f>MAX(0,N4581-M4581)</f>
        <v/>
      </c>
      <c r="J4581" s="11">
        <f>MAX(0,M4581-N4581)</f>
        <v/>
      </c>
      <c r="K4581" s="11">
        <f>O4581</f>
        <v/>
      </c>
      <c r="L4581" s="11">
        <f>L4580+IF(K4581&gt;0,K4581*Summary!$B$9,K4581/Summary!$B$9)</f>
        <v/>
      </c>
      <c r="M4581" s="11">
        <f>G4581+H4581</f>
        <v/>
      </c>
      <c r="N4581" s="11">
        <f>Summary!$C$16*Summary!$B$8</f>
        <v/>
      </c>
      <c r="O4581" s="11">
        <f>M4581-N4581</f>
        <v/>
      </c>
    </row>
    <row r="4582">
      <c r="A4582" s="9" t="n">
        <v>45482.83333333334</v>
      </c>
      <c r="B4582" t="n">
        <v>7</v>
      </c>
      <c r="C4582" t="n">
        <v>9</v>
      </c>
      <c r="D4582" t="n">
        <v>20</v>
      </c>
      <c r="E4582" s="10" t="n">
        <v>0.019093</v>
      </c>
      <c r="F4582" s="10" t="n">
        <v>0.1560565814535795</v>
      </c>
      <c r="G4582" s="11">
        <f>E4582*Summary!$B$6</f>
        <v/>
      </c>
      <c r="H4582" s="11">
        <f>F4582*Summary!$B$7</f>
        <v/>
      </c>
      <c r="I4582" s="11">
        <f>MAX(0,N4582-M4582)</f>
        <v/>
      </c>
      <c r="J4582" s="11">
        <f>MAX(0,M4582-N4582)</f>
        <v/>
      </c>
      <c r="K4582" s="11">
        <f>O4582</f>
        <v/>
      </c>
      <c r="L4582" s="11">
        <f>L4581+IF(K4582&gt;0,K4582*Summary!$B$9,K4582/Summary!$B$9)</f>
        <v/>
      </c>
      <c r="M4582" s="11">
        <f>G4582+H4582</f>
        <v/>
      </c>
      <c r="N4582" s="11">
        <f>Summary!$C$16*Summary!$B$8</f>
        <v/>
      </c>
      <c r="O4582" s="11">
        <f>M4582-N4582</f>
        <v/>
      </c>
    </row>
    <row r="4583">
      <c r="A4583" s="9" t="n">
        <v>45482.875</v>
      </c>
      <c r="B4583" t="n">
        <v>7</v>
      </c>
      <c r="C4583" t="n">
        <v>9</v>
      </c>
      <c r="D4583" t="n">
        <v>21</v>
      </c>
      <c r="E4583" s="10" t="n">
        <v>0</v>
      </c>
      <c r="F4583" s="10" t="n">
        <v>0.1677832242679738</v>
      </c>
      <c r="G4583" s="11">
        <f>E4583*Summary!$B$6</f>
        <v/>
      </c>
      <c r="H4583" s="11">
        <f>F4583*Summary!$B$7</f>
        <v/>
      </c>
      <c r="I4583" s="11">
        <f>MAX(0,N4583-M4583)</f>
        <v/>
      </c>
      <c r="J4583" s="11">
        <f>MAX(0,M4583-N4583)</f>
        <v/>
      </c>
      <c r="K4583" s="11">
        <f>O4583</f>
        <v/>
      </c>
      <c r="L4583" s="11">
        <f>L4582+IF(K4583&gt;0,K4583*Summary!$B$9,K4583/Summary!$B$9)</f>
        <v/>
      </c>
      <c r="M4583" s="11">
        <f>G4583+H4583</f>
        <v/>
      </c>
      <c r="N4583" s="11">
        <f>Summary!$C$16*Summary!$B$8</f>
        <v/>
      </c>
      <c r="O4583" s="11">
        <f>M4583-N4583</f>
        <v/>
      </c>
    </row>
    <row r="4584">
      <c r="A4584" s="9" t="n">
        <v>45482.91666666666</v>
      </c>
      <c r="B4584" t="n">
        <v>7</v>
      </c>
      <c r="C4584" t="n">
        <v>9</v>
      </c>
      <c r="D4584" t="n">
        <v>22</v>
      </c>
      <c r="E4584" s="10" t="n">
        <v>0</v>
      </c>
      <c r="F4584" s="10" t="n">
        <v>0.1814335635440553</v>
      </c>
      <c r="G4584" s="11">
        <f>E4584*Summary!$B$6</f>
        <v/>
      </c>
      <c r="H4584" s="11">
        <f>F4584*Summary!$B$7</f>
        <v/>
      </c>
      <c r="I4584" s="11">
        <f>MAX(0,N4584-M4584)</f>
        <v/>
      </c>
      <c r="J4584" s="11">
        <f>MAX(0,M4584-N4584)</f>
        <v/>
      </c>
      <c r="K4584" s="11">
        <f>O4584</f>
        <v/>
      </c>
      <c r="L4584" s="11">
        <f>L4583+IF(K4584&gt;0,K4584*Summary!$B$9,K4584/Summary!$B$9)</f>
        <v/>
      </c>
      <c r="M4584" s="11">
        <f>G4584+H4584</f>
        <v/>
      </c>
      <c r="N4584" s="11">
        <f>Summary!$C$16*Summary!$B$8</f>
        <v/>
      </c>
      <c r="O4584" s="11">
        <f>M4584-N4584</f>
        <v/>
      </c>
    </row>
    <row r="4585">
      <c r="A4585" s="9" t="n">
        <v>45482.95833333334</v>
      </c>
      <c r="B4585" t="n">
        <v>7</v>
      </c>
      <c r="C4585" t="n">
        <v>9</v>
      </c>
      <c r="D4585" t="n">
        <v>23</v>
      </c>
      <c r="E4585" s="10" t="n">
        <v>0</v>
      </c>
      <c r="F4585" s="10" t="n">
        <v>0.1980089755221541</v>
      </c>
      <c r="G4585" s="11">
        <f>E4585*Summary!$B$6</f>
        <v/>
      </c>
      <c r="H4585" s="11">
        <f>F4585*Summary!$B$7</f>
        <v/>
      </c>
      <c r="I4585" s="11">
        <f>MAX(0,N4585-M4585)</f>
        <v/>
      </c>
      <c r="J4585" s="11">
        <f>MAX(0,M4585-N4585)</f>
        <v/>
      </c>
      <c r="K4585" s="11">
        <f>O4585</f>
        <v/>
      </c>
      <c r="L4585" s="11">
        <f>L4584+IF(K4585&gt;0,K4585*Summary!$B$9,K4585/Summary!$B$9)</f>
        <v/>
      </c>
      <c r="M4585" s="11">
        <f>G4585+H4585</f>
        <v/>
      </c>
      <c r="N4585" s="11">
        <f>Summary!$C$16*Summary!$B$8</f>
        <v/>
      </c>
      <c r="O4585" s="11">
        <f>M4585-N4585</f>
        <v/>
      </c>
    </row>
    <row r="4586">
      <c r="A4586" s="9" t="n">
        <v>45483</v>
      </c>
      <c r="B4586" t="n">
        <v>7</v>
      </c>
      <c r="C4586" t="n">
        <v>10</v>
      </c>
      <c r="D4586" t="n">
        <v>0</v>
      </c>
      <c r="E4586" s="10" t="n">
        <v>0</v>
      </c>
      <c r="F4586" s="10" t="n">
        <v>0.1734489056277373</v>
      </c>
      <c r="G4586" s="11">
        <f>E4586*Summary!$B$6</f>
        <v/>
      </c>
      <c r="H4586" s="11">
        <f>F4586*Summary!$B$7</f>
        <v/>
      </c>
      <c r="I4586" s="11">
        <f>MAX(0,N4586-M4586)</f>
        <v/>
      </c>
      <c r="J4586" s="11">
        <f>MAX(0,M4586-N4586)</f>
        <v/>
      </c>
      <c r="K4586" s="11">
        <f>O4586</f>
        <v/>
      </c>
      <c r="L4586" s="11">
        <f>L4585+IF(K4586&gt;0,K4586*Summary!$B$9,K4586/Summary!$B$9)</f>
        <v/>
      </c>
      <c r="M4586" s="11">
        <f>G4586+H4586</f>
        <v/>
      </c>
      <c r="N4586" s="11">
        <f>Summary!$C$16*Summary!$B$8</f>
        <v/>
      </c>
      <c r="O4586" s="11">
        <f>M4586-N4586</f>
        <v/>
      </c>
    </row>
    <row r="4587">
      <c r="A4587" s="9" t="n">
        <v>45483.04166666666</v>
      </c>
      <c r="B4587" t="n">
        <v>7</v>
      </c>
      <c r="C4587" t="n">
        <v>10</v>
      </c>
      <c r="D4587" t="n">
        <v>1</v>
      </c>
      <c r="E4587" s="10" t="n">
        <v>0</v>
      </c>
      <c r="F4587" s="10" t="n">
        <v>0.2195912687019045</v>
      </c>
      <c r="G4587" s="11">
        <f>E4587*Summary!$B$6</f>
        <v/>
      </c>
      <c r="H4587" s="11">
        <f>F4587*Summary!$B$7</f>
        <v/>
      </c>
      <c r="I4587" s="11">
        <f>MAX(0,N4587-M4587)</f>
        <v/>
      </c>
      <c r="J4587" s="11">
        <f>MAX(0,M4587-N4587)</f>
        <v/>
      </c>
      <c r="K4587" s="11">
        <f>O4587</f>
        <v/>
      </c>
      <c r="L4587" s="11">
        <f>L4586+IF(K4587&gt;0,K4587*Summary!$B$9,K4587/Summary!$B$9)</f>
        <v/>
      </c>
      <c r="M4587" s="11">
        <f>G4587+H4587</f>
        <v/>
      </c>
      <c r="N4587" s="11">
        <f>Summary!$C$16*Summary!$B$8</f>
        <v/>
      </c>
      <c r="O4587" s="11">
        <f>M4587-N4587</f>
        <v/>
      </c>
    </row>
    <row r="4588">
      <c r="A4588" s="9" t="n">
        <v>45483.08333333334</v>
      </c>
      <c r="B4588" t="n">
        <v>7</v>
      </c>
      <c r="C4588" t="n">
        <v>10</v>
      </c>
      <c r="D4588" t="n">
        <v>2</v>
      </c>
      <c r="E4588" s="10" t="n">
        <v>0</v>
      </c>
      <c r="F4588" s="10" t="n">
        <v>0.220987925037102</v>
      </c>
      <c r="G4588" s="11">
        <f>E4588*Summary!$B$6</f>
        <v/>
      </c>
      <c r="H4588" s="11">
        <f>F4588*Summary!$B$7</f>
        <v/>
      </c>
      <c r="I4588" s="11">
        <f>MAX(0,N4588-M4588)</f>
        <v/>
      </c>
      <c r="J4588" s="11">
        <f>MAX(0,M4588-N4588)</f>
        <v/>
      </c>
      <c r="K4588" s="11">
        <f>O4588</f>
        <v/>
      </c>
      <c r="L4588" s="11">
        <f>L4587+IF(K4588&gt;0,K4588*Summary!$B$9,K4588/Summary!$B$9)</f>
        <v/>
      </c>
      <c r="M4588" s="11">
        <f>G4588+H4588</f>
        <v/>
      </c>
      <c r="N4588" s="11">
        <f>Summary!$C$16*Summary!$B$8</f>
        <v/>
      </c>
      <c r="O4588" s="11">
        <f>M4588-N4588</f>
        <v/>
      </c>
    </row>
    <row r="4589">
      <c r="A4589" s="9" t="n">
        <v>45483.125</v>
      </c>
      <c r="B4589" t="n">
        <v>7</v>
      </c>
      <c r="C4589" t="n">
        <v>10</v>
      </c>
      <c r="D4589" t="n">
        <v>3</v>
      </c>
      <c r="E4589" s="10" t="n">
        <v>0</v>
      </c>
      <c r="F4589" s="10" t="n">
        <v>0.2266536063968655</v>
      </c>
      <c r="G4589" s="11">
        <f>E4589*Summary!$B$6</f>
        <v/>
      </c>
      <c r="H4589" s="11">
        <f>F4589*Summary!$B$7</f>
        <v/>
      </c>
      <c r="I4589" s="11">
        <f>MAX(0,N4589-M4589)</f>
        <v/>
      </c>
      <c r="J4589" s="11">
        <f>MAX(0,M4589-N4589)</f>
        <v/>
      </c>
      <c r="K4589" s="11">
        <f>O4589</f>
        <v/>
      </c>
      <c r="L4589" s="11">
        <f>L4588+IF(K4589&gt;0,K4589*Summary!$B$9,K4589/Summary!$B$9)</f>
        <v/>
      </c>
      <c r="M4589" s="11">
        <f>G4589+H4589</f>
        <v/>
      </c>
      <c r="N4589" s="11">
        <f>Summary!$C$16*Summary!$B$8</f>
        <v/>
      </c>
      <c r="O4589" s="11">
        <f>M4589-N4589</f>
        <v/>
      </c>
    </row>
    <row r="4590">
      <c r="A4590" s="9" t="n">
        <v>45483.16666666666</v>
      </c>
      <c r="B4590" t="n">
        <v>7</v>
      </c>
      <c r="C4590" t="n">
        <v>10</v>
      </c>
      <c r="D4590" t="n">
        <v>4</v>
      </c>
      <c r="E4590" s="10" t="n">
        <v>0.029977</v>
      </c>
      <c r="F4590" s="10" t="n">
        <v>0.223781237707497</v>
      </c>
      <c r="G4590" s="11">
        <f>E4590*Summary!$B$6</f>
        <v/>
      </c>
      <c r="H4590" s="11">
        <f>F4590*Summary!$B$7</f>
        <v/>
      </c>
      <c r="I4590" s="11">
        <f>MAX(0,N4590-M4590)</f>
        <v/>
      </c>
      <c r="J4590" s="11">
        <f>MAX(0,M4590-N4590)</f>
        <v/>
      </c>
      <c r="K4590" s="11">
        <f>O4590</f>
        <v/>
      </c>
      <c r="L4590" s="11">
        <f>L4589+IF(K4590&gt;0,K4590*Summary!$B$9,K4590/Summary!$B$9)</f>
        <v/>
      </c>
      <c r="M4590" s="11">
        <f>G4590+H4590</f>
        <v/>
      </c>
      <c r="N4590" s="11">
        <f>Summary!$C$16*Summary!$B$8</f>
        <v/>
      </c>
      <c r="O4590" s="11">
        <f>M4590-N4590</f>
        <v/>
      </c>
    </row>
    <row r="4591">
      <c r="A4591" s="9" t="n">
        <v>45483.20833333334</v>
      </c>
      <c r="B4591" t="n">
        <v>7</v>
      </c>
      <c r="C4591" t="n">
        <v>10</v>
      </c>
      <c r="D4591" t="n">
        <v>5</v>
      </c>
      <c r="E4591" s="10" t="n">
        <v>0.064509</v>
      </c>
      <c r="F4591" s="10" t="n">
        <v>0.2144789794749551</v>
      </c>
      <c r="G4591" s="11">
        <f>E4591*Summary!$B$6</f>
        <v/>
      </c>
      <c r="H4591" s="11">
        <f>F4591*Summary!$B$7</f>
        <v/>
      </c>
      <c r="I4591" s="11">
        <f>MAX(0,N4591-M4591)</f>
        <v/>
      </c>
      <c r="J4591" s="11">
        <f>MAX(0,M4591-N4591)</f>
        <v/>
      </c>
      <c r="K4591" s="11">
        <f>O4591</f>
        <v/>
      </c>
      <c r="L4591" s="11">
        <f>L4590+IF(K4591&gt;0,K4591*Summary!$B$9,K4591/Summary!$B$9)</f>
        <v/>
      </c>
      <c r="M4591" s="11">
        <f>G4591+H4591</f>
        <v/>
      </c>
      <c r="N4591" s="11">
        <f>Summary!$C$16*Summary!$B$8</f>
        <v/>
      </c>
      <c r="O4591" s="11">
        <f>M4591-N4591</f>
        <v/>
      </c>
    </row>
    <row r="4592">
      <c r="A4592" s="9" t="n">
        <v>45483.25</v>
      </c>
      <c r="B4592" t="n">
        <v>7</v>
      </c>
      <c r="C4592" t="n">
        <v>10</v>
      </c>
      <c r="D4592" t="n">
        <v>6</v>
      </c>
      <c r="E4592" s="10" t="n">
        <v>0.192041</v>
      </c>
      <c r="F4592" s="10" t="n">
        <v>0.203147616755428</v>
      </c>
      <c r="G4592" s="11">
        <f>E4592*Summary!$B$6</f>
        <v/>
      </c>
      <c r="H4592" s="11">
        <f>F4592*Summary!$B$7</f>
        <v/>
      </c>
      <c r="I4592" s="11">
        <f>MAX(0,N4592-M4592)</f>
        <v/>
      </c>
      <c r="J4592" s="11">
        <f>MAX(0,M4592-N4592)</f>
        <v/>
      </c>
      <c r="K4592" s="11">
        <f>O4592</f>
        <v/>
      </c>
      <c r="L4592" s="11">
        <f>L4591+IF(K4592&gt;0,K4592*Summary!$B$9,K4592/Summary!$B$9)</f>
        <v/>
      </c>
      <c r="M4592" s="11">
        <f>G4592+H4592</f>
        <v/>
      </c>
      <c r="N4592" s="11">
        <f>Summary!$C$16*Summary!$B$8</f>
        <v/>
      </c>
      <c r="O4592" s="11">
        <f>M4592-N4592</f>
        <v/>
      </c>
    </row>
    <row r="4593">
      <c r="A4593" s="9" t="n">
        <v>45483.29166666666</v>
      </c>
      <c r="B4593" t="n">
        <v>7</v>
      </c>
      <c r="C4593" t="n">
        <v>10</v>
      </c>
      <c r="D4593" t="n">
        <v>7</v>
      </c>
      <c r="E4593" s="10" t="n">
        <v>0.338387</v>
      </c>
      <c r="F4593" s="10" t="n">
        <v>0.1997218559332454</v>
      </c>
      <c r="G4593" s="11">
        <f>E4593*Summary!$B$6</f>
        <v/>
      </c>
      <c r="H4593" s="11">
        <f>F4593*Summary!$B$7</f>
        <v/>
      </c>
      <c r="I4593" s="11">
        <f>MAX(0,N4593-M4593)</f>
        <v/>
      </c>
      <c r="J4593" s="11">
        <f>MAX(0,M4593-N4593)</f>
        <v/>
      </c>
      <c r="K4593" s="11">
        <f>O4593</f>
        <v/>
      </c>
      <c r="L4593" s="11">
        <f>L4592+IF(K4593&gt;0,K4593*Summary!$B$9,K4593/Summary!$B$9)</f>
        <v/>
      </c>
      <c r="M4593" s="11">
        <f>G4593+H4593</f>
        <v/>
      </c>
      <c r="N4593" s="11">
        <f>Summary!$C$16*Summary!$B$8</f>
        <v/>
      </c>
      <c r="O4593" s="11">
        <f>M4593-N4593</f>
        <v/>
      </c>
    </row>
    <row r="4594">
      <c r="A4594" s="9" t="n">
        <v>45483.33333333334</v>
      </c>
      <c r="B4594" t="n">
        <v>7</v>
      </c>
      <c r="C4594" t="n">
        <v>10</v>
      </c>
      <c r="D4594" t="n">
        <v>8</v>
      </c>
      <c r="E4594" s="10" t="n">
        <v>0.435161</v>
      </c>
      <c r="F4594" s="10" t="n">
        <v>0.1987995357118885</v>
      </c>
      <c r="G4594" s="11">
        <f>E4594*Summary!$B$6</f>
        <v/>
      </c>
      <c r="H4594" s="11">
        <f>F4594*Summary!$B$7</f>
        <v/>
      </c>
      <c r="I4594" s="11">
        <f>MAX(0,N4594-M4594)</f>
        <v/>
      </c>
      <c r="J4594" s="11">
        <f>MAX(0,M4594-N4594)</f>
        <v/>
      </c>
      <c r="K4594" s="11">
        <f>O4594</f>
        <v/>
      </c>
      <c r="L4594" s="11">
        <f>L4593+IF(K4594&gt;0,K4594*Summary!$B$9,K4594/Summary!$B$9)</f>
        <v/>
      </c>
      <c r="M4594" s="11">
        <f>G4594+H4594</f>
        <v/>
      </c>
      <c r="N4594" s="11">
        <f>Summary!$C$16*Summary!$B$8</f>
        <v/>
      </c>
      <c r="O4594" s="11">
        <f>M4594-N4594</f>
        <v/>
      </c>
    </row>
    <row r="4595">
      <c r="A4595" s="9" t="n">
        <v>45483.375</v>
      </c>
      <c r="B4595" t="n">
        <v>7</v>
      </c>
      <c r="C4595" t="n">
        <v>10</v>
      </c>
      <c r="D4595" t="n">
        <v>9</v>
      </c>
      <c r="E4595" s="10" t="n">
        <v>0.522133</v>
      </c>
      <c r="F4595" s="10" t="n">
        <v>0.2228852694924647</v>
      </c>
      <c r="G4595" s="11">
        <f>E4595*Summary!$B$6</f>
        <v/>
      </c>
      <c r="H4595" s="11">
        <f>F4595*Summary!$B$7</f>
        <v/>
      </c>
      <c r="I4595" s="11">
        <f>MAX(0,N4595-M4595)</f>
        <v/>
      </c>
      <c r="J4595" s="11">
        <f>MAX(0,M4595-N4595)</f>
        <v/>
      </c>
      <c r="K4595" s="11">
        <f>O4595</f>
        <v/>
      </c>
      <c r="L4595" s="11">
        <f>L4594+IF(K4595&gt;0,K4595*Summary!$B$9,K4595/Summary!$B$9)</f>
        <v/>
      </c>
      <c r="M4595" s="11">
        <f>G4595+H4595</f>
        <v/>
      </c>
      <c r="N4595" s="11">
        <f>Summary!$C$16*Summary!$B$8</f>
        <v/>
      </c>
      <c r="O4595" s="11">
        <f>M4595-N4595</f>
        <v/>
      </c>
    </row>
    <row r="4596">
      <c r="A4596" s="9" t="n">
        <v>45483.41666666666</v>
      </c>
      <c r="B4596" t="n">
        <v>7</v>
      </c>
      <c r="C4596" t="n">
        <v>10</v>
      </c>
      <c r="D4596" t="n">
        <v>10</v>
      </c>
      <c r="E4596" s="10" t="n">
        <v>0.604685</v>
      </c>
      <c r="F4596" s="10" t="n">
        <v>0.2042807530273807</v>
      </c>
      <c r="G4596" s="11">
        <f>E4596*Summary!$B$6</f>
        <v/>
      </c>
      <c r="H4596" s="11">
        <f>F4596*Summary!$B$7</f>
        <v/>
      </c>
      <c r="I4596" s="11">
        <f>MAX(0,N4596-M4596)</f>
        <v/>
      </c>
      <c r="J4596" s="11">
        <f>MAX(0,M4596-N4596)</f>
        <v/>
      </c>
      <c r="K4596" s="11">
        <f>O4596</f>
        <v/>
      </c>
      <c r="L4596" s="11">
        <f>L4595+IF(K4596&gt;0,K4596*Summary!$B$9,K4596/Summary!$B$9)</f>
        <v/>
      </c>
      <c r="M4596" s="11">
        <f>G4596+H4596</f>
        <v/>
      </c>
      <c r="N4596" s="11">
        <f>Summary!$C$16*Summary!$B$8</f>
        <v/>
      </c>
      <c r="O4596" s="11">
        <f>M4596-N4596</f>
        <v/>
      </c>
    </row>
    <row r="4597">
      <c r="A4597" s="9" t="n">
        <v>45483.45833333334</v>
      </c>
      <c r="B4597" t="n">
        <v>7</v>
      </c>
      <c r="C4597" t="n">
        <v>10</v>
      </c>
      <c r="D4597" t="n">
        <v>11</v>
      </c>
      <c r="E4597" s="10" t="n">
        <v>0.669465</v>
      </c>
      <c r="F4597" s="10" t="n">
        <v>0.201065808255794</v>
      </c>
      <c r="G4597" s="11">
        <f>E4597*Summary!$B$6</f>
        <v/>
      </c>
      <c r="H4597" s="11">
        <f>F4597*Summary!$B$7</f>
        <v/>
      </c>
      <c r="I4597" s="11">
        <f>MAX(0,N4597-M4597)</f>
        <v/>
      </c>
      <c r="J4597" s="11">
        <f>MAX(0,M4597-N4597)</f>
        <v/>
      </c>
      <c r="K4597" s="11">
        <f>O4597</f>
        <v/>
      </c>
      <c r="L4597" s="11">
        <f>L4596+IF(K4597&gt;0,K4597*Summary!$B$9,K4597/Summary!$B$9)</f>
        <v/>
      </c>
      <c r="M4597" s="11">
        <f>G4597+H4597</f>
        <v/>
      </c>
      <c r="N4597" s="11">
        <f>Summary!$C$16*Summary!$B$8</f>
        <v/>
      </c>
      <c r="O4597" s="11">
        <f>M4597-N4597</f>
        <v/>
      </c>
    </row>
    <row r="4598">
      <c r="A4598" s="9" t="n">
        <v>45483.5</v>
      </c>
      <c r="B4598" t="n">
        <v>7</v>
      </c>
      <c r="C4598" t="n">
        <v>10</v>
      </c>
      <c r="D4598" t="n">
        <v>12</v>
      </c>
      <c r="E4598" s="10" t="n">
        <v>0.403247</v>
      </c>
      <c r="F4598" s="10" t="n">
        <v>0.1970866553007972</v>
      </c>
      <c r="G4598" s="11">
        <f>E4598*Summary!$B$6</f>
        <v/>
      </c>
      <c r="H4598" s="11">
        <f>F4598*Summary!$B$7</f>
        <v/>
      </c>
      <c r="I4598" s="11">
        <f>MAX(0,N4598-M4598)</f>
        <v/>
      </c>
      <c r="J4598" s="11">
        <f>MAX(0,M4598-N4598)</f>
        <v/>
      </c>
      <c r="K4598" s="11">
        <f>O4598</f>
        <v/>
      </c>
      <c r="L4598" s="11">
        <f>L4597+IF(K4598&gt;0,K4598*Summary!$B$9,K4598/Summary!$B$9)</f>
        <v/>
      </c>
      <c r="M4598" s="11">
        <f>G4598+H4598</f>
        <v/>
      </c>
      <c r="N4598" s="11">
        <f>Summary!$C$16*Summary!$B$8</f>
        <v/>
      </c>
      <c r="O4598" s="11">
        <f>M4598-N4598</f>
        <v/>
      </c>
    </row>
    <row r="4599">
      <c r="A4599" s="9" t="n">
        <v>45483.54166666666</v>
      </c>
      <c r="B4599" t="n">
        <v>7</v>
      </c>
      <c r="C4599" t="n">
        <v>10</v>
      </c>
      <c r="D4599" t="n">
        <v>13</v>
      </c>
      <c r="E4599" s="10" t="n">
        <v>0.232911</v>
      </c>
      <c r="F4599" s="10" t="n">
        <v>0.193239262377423</v>
      </c>
      <c r="G4599" s="11">
        <f>E4599*Summary!$B$6</f>
        <v/>
      </c>
      <c r="H4599" s="11">
        <f>F4599*Summary!$B$7</f>
        <v/>
      </c>
      <c r="I4599" s="11">
        <f>MAX(0,N4599-M4599)</f>
        <v/>
      </c>
      <c r="J4599" s="11">
        <f>MAX(0,M4599-N4599)</f>
        <v/>
      </c>
      <c r="K4599" s="11">
        <f>O4599</f>
        <v/>
      </c>
      <c r="L4599" s="11">
        <f>L4598+IF(K4599&gt;0,K4599*Summary!$B$9,K4599/Summary!$B$9)</f>
        <v/>
      </c>
      <c r="M4599" s="11">
        <f>G4599+H4599</f>
        <v/>
      </c>
      <c r="N4599" s="11">
        <f>Summary!$C$16*Summary!$B$8</f>
        <v/>
      </c>
      <c r="O4599" s="11">
        <f>M4599-N4599</f>
        <v/>
      </c>
    </row>
    <row r="4600">
      <c r="A4600" s="9" t="n">
        <v>45483.58333333334</v>
      </c>
      <c r="B4600" t="n">
        <v>7</v>
      </c>
      <c r="C4600" t="n">
        <v>10</v>
      </c>
      <c r="D4600" t="n">
        <v>14</v>
      </c>
      <c r="E4600" s="10" t="n">
        <v>0.234477</v>
      </c>
      <c r="F4600" s="10" t="n">
        <v>0.1892074054097773</v>
      </c>
      <c r="G4600" s="11">
        <f>E4600*Summary!$B$6</f>
        <v/>
      </c>
      <c r="H4600" s="11">
        <f>F4600*Summary!$B$7</f>
        <v/>
      </c>
      <c r="I4600" s="11">
        <f>MAX(0,N4600-M4600)</f>
        <v/>
      </c>
      <c r="J4600" s="11">
        <f>MAX(0,M4600-N4600)</f>
        <v/>
      </c>
      <c r="K4600" s="11">
        <f>O4600</f>
        <v/>
      </c>
      <c r="L4600" s="11">
        <f>L4599+IF(K4600&gt;0,K4600*Summary!$B$9,K4600/Summary!$B$9)</f>
        <v/>
      </c>
      <c r="M4600" s="11">
        <f>G4600+H4600</f>
        <v/>
      </c>
      <c r="N4600" s="11">
        <f>Summary!$C$16*Summary!$B$8</f>
        <v/>
      </c>
      <c r="O4600" s="11">
        <f>M4600-N4600</f>
        <v/>
      </c>
    </row>
    <row r="4601">
      <c r="A4601" s="9" t="n">
        <v>45483.625</v>
      </c>
      <c r="B4601" t="n">
        <v>7</v>
      </c>
      <c r="C4601" t="n">
        <v>10</v>
      </c>
      <c r="D4601" t="n">
        <v>15</v>
      </c>
      <c r="E4601" s="10" t="n">
        <v>0.237668</v>
      </c>
      <c r="F4601" s="10" t="n">
        <v>0.1868884288532229</v>
      </c>
      <c r="G4601" s="11">
        <f>E4601*Summary!$B$6</f>
        <v/>
      </c>
      <c r="H4601" s="11">
        <f>F4601*Summary!$B$7</f>
        <v/>
      </c>
      <c r="I4601" s="11">
        <f>MAX(0,N4601-M4601)</f>
        <v/>
      </c>
      <c r="J4601" s="11">
        <f>MAX(0,M4601-N4601)</f>
        <v/>
      </c>
      <c r="K4601" s="11">
        <f>O4601</f>
        <v/>
      </c>
      <c r="L4601" s="11">
        <f>L4600+IF(K4601&gt;0,K4601*Summary!$B$9,K4601/Summary!$B$9)</f>
        <v/>
      </c>
      <c r="M4601" s="11">
        <f>G4601+H4601</f>
        <v/>
      </c>
      <c r="N4601" s="11">
        <f>Summary!$C$16*Summary!$B$8</f>
        <v/>
      </c>
      <c r="O4601" s="11">
        <f>M4601-N4601</f>
        <v/>
      </c>
    </row>
    <row r="4602">
      <c r="A4602" s="9" t="n">
        <v>45483.66666666666</v>
      </c>
      <c r="B4602" t="n">
        <v>7</v>
      </c>
      <c r="C4602" t="n">
        <v>10</v>
      </c>
      <c r="D4602" t="n">
        <v>16</v>
      </c>
      <c r="E4602" s="10" t="n">
        <v>0.182389</v>
      </c>
      <c r="F4602" s="10" t="n">
        <v>0.1753462500831</v>
      </c>
      <c r="G4602" s="11">
        <f>E4602*Summary!$B$6</f>
        <v/>
      </c>
      <c r="H4602" s="11">
        <f>F4602*Summary!$B$7</f>
        <v/>
      </c>
      <c r="I4602" s="11">
        <f>MAX(0,N4602-M4602)</f>
        <v/>
      </c>
      <c r="J4602" s="11">
        <f>MAX(0,M4602-N4602)</f>
        <v/>
      </c>
      <c r="K4602" s="11">
        <f>O4602</f>
        <v/>
      </c>
      <c r="L4602" s="11">
        <f>L4601+IF(K4602&gt;0,K4602*Summary!$B$9,K4602/Summary!$B$9)</f>
        <v/>
      </c>
      <c r="M4602" s="11">
        <f>G4602+H4602</f>
        <v/>
      </c>
      <c r="N4602" s="11">
        <f>Summary!$C$16*Summary!$B$8</f>
        <v/>
      </c>
      <c r="O4602" s="11">
        <f>M4602-N4602</f>
        <v/>
      </c>
    </row>
    <row r="4603">
      <c r="A4603" s="9" t="n">
        <v>45483.70833333334</v>
      </c>
      <c r="B4603" t="n">
        <v>7</v>
      </c>
      <c r="C4603" t="n">
        <v>10</v>
      </c>
      <c r="D4603" t="n">
        <v>17</v>
      </c>
      <c r="E4603" s="10" t="n">
        <v>0.077926</v>
      </c>
      <c r="F4603" s="10" t="n">
        <v>0.168942712546251</v>
      </c>
      <c r="G4603" s="11">
        <f>E4603*Summary!$B$6</f>
        <v/>
      </c>
      <c r="H4603" s="11">
        <f>F4603*Summary!$B$7</f>
        <v/>
      </c>
      <c r="I4603" s="11">
        <f>MAX(0,N4603-M4603)</f>
        <v/>
      </c>
      <c r="J4603" s="11">
        <f>MAX(0,M4603-N4603)</f>
        <v/>
      </c>
      <c r="K4603" s="11">
        <f>O4603</f>
        <v/>
      </c>
      <c r="L4603" s="11">
        <f>L4602+IF(K4603&gt;0,K4603*Summary!$B$9,K4603/Summary!$B$9)</f>
        <v/>
      </c>
      <c r="M4603" s="11">
        <f>G4603+H4603</f>
        <v/>
      </c>
      <c r="N4603" s="11">
        <f>Summary!$C$16*Summary!$B$8</f>
        <v/>
      </c>
      <c r="O4603" s="11">
        <f>M4603-N4603</f>
        <v/>
      </c>
    </row>
    <row r="4604">
      <c r="A4604" s="9" t="n">
        <v>45483.75</v>
      </c>
      <c r="B4604" t="n">
        <v>7</v>
      </c>
      <c r="C4604" t="n">
        <v>10</v>
      </c>
      <c r="D4604" t="n">
        <v>18</v>
      </c>
      <c r="E4604" s="10" t="n">
        <v>0.048043</v>
      </c>
      <c r="F4604" s="10" t="n">
        <v>0.1567153816116916</v>
      </c>
      <c r="G4604" s="11">
        <f>E4604*Summary!$B$6</f>
        <v/>
      </c>
      <c r="H4604" s="11">
        <f>F4604*Summary!$B$7</f>
        <v/>
      </c>
      <c r="I4604" s="11">
        <f>MAX(0,N4604-M4604)</f>
        <v/>
      </c>
      <c r="J4604" s="11">
        <f>MAX(0,M4604-N4604)</f>
        <v/>
      </c>
      <c r="K4604" s="11">
        <f>O4604</f>
        <v/>
      </c>
      <c r="L4604" s="11">
        <f>L4603+IF(K4604&gt;0,K4604*Summary!$B$9,K4604/Summary!$B$9)</f>
        <v/>
      </c>
      <c r="M4604" s="11">
        <f>G4604+H4604</f>
        <v/>
      </c>
      <c r="N4604" s="11">
        <f>Summary!$C$16*Summary!$B$8</f>
        <v/>
      </c>
      <c r="O4604" s="11">
        <f>M4604-N4604</f>
        <v/>
      </c>
    </row>
    <row r="4605">
      <c r="A4605" s="9" t="n">
        <v>45483.79166666666</v>
      </c>
      <c r="B4605" t="n">
        <v>7</v>
      </c>
      <c r="C4605" t="n">
        <v>10</v>
      </c>
      <c r="D4605" t="n">
        <v>19</v>
      </c>
      <c r="E4605" s="10" t="n">
        <v>0.021283</v>
      </c>
      <c r="F4605" s="10" t="n">
        <v>0.1560565814535795</v>
      </c>
      <c r="G4605" s="11">
        <f>E4605*Summary!$B$6</f>
        <v/>
      </c>
      <c r="H4605" s="11">
        <f>F4605*Summary!$B$7</f>
        <v/>
      </c>
      <c r="I4605" s="11">
        <f>MAX(0,N4605-M4605)</f>
        <v/>
      </c>
      <c r="J4605" s="11">
        <f>MAX(0,M4605-N4605)</f>
        <v/>
      </c>
      <c r="K4605" s="11">
        <f>O4605</f>
        <v/>
      </c>
      <c r="L4605" s="11">
        <f>L4604+IF(K4605&gt;0,K4605*Summary!$B$9,K4605/Summary!$B$9)</f>
        <v/>
      </c>
      <c r="M4605" s="11">
        <f>G4605+H4605</f>
        <v/>
      </c>
      <c r="N4605" s="11">
        <f>Summary!$C$16*Summary!$B$8</f>
        <v/>
      </c>
      <c r="O4605" s="11">
        <f>M4605-N4605</f>
        <v/>
      </c>
    </row>
    <row r="4606">
      <c r="A4606" s="9" t="n">
        <v>45483.83333333334</v>
      </c>
      <c r="B4606" t="n">
        <v>7</v>
      </c>
      <c r="C4606" t="n">
        <v>10</v>
      </c>
      <c r="D4606" t="n">
        <v>20</v>
      </c>
      <c r="E4606" s="10" t="n">
        <v>0.006831</v>
      </c>
      <c r="F4606" s="10" t="n">
        <v>0.1598512703643049</v>
      </c>
      <c r="G4606" s="11">
        <f>E4606*Summary!$B$6</f>
        <v/>
      </c>
      <c r="H4606" s="11">
        <f>F4606*Summary!$B$7</f>
        <v/>
      </c>
      <c r="I4606" s="11">
        <f>MAX(0,N4606-M4606)</f>
        <v/>
      </c>
      <c r="J4606" s="11">
        <f>MAX(0,M4606-N4606)</f>
        <v/>
      </c>
      <c r="K4606" s="11">
        <f>O4606</f>
        <v/>
      </c>
      <c r="L4606" s="11">
        <f>L4605+IF(K4606&gt;0,K4606*Summary!$B$9,K4606/Summary!$B$9)</f>
        <v/>
      </c>
      <c r="M4606" s="11">
        <f>G4606+H4606</f>
        <v/>
      </c>
      <c r="N4606" s="11">
        <f>Summary!$C$16*Summary!$B$8</f>
        <v/>
      </c>
      <c r="O4606" s="11">
        <f>M4606-N4606</f>
        <v/>
      </c>
    </row>
    <row r="4607">
      <c r="A4607" s="9" t="n">
        <v>45483.875</v>
      </c>
      <c r="B4607" t="n">
        <v>7</v>
      </c>
      <c r="C4607" t="n">
        <v>10</v>
      </c>
      <c r="D4607" t="n">
        <v>21</v>
      </c>
      <c r="E4607" s="10" t="n">
        <v>0</v>
      </c>
      <c r="F4607" s="10" t="n">
        <v>0.1711035770648585</v>
      </c>
      <c r="G4607" s="11">
        <f>E4607*Summary!$B$6</f>
        <v/>
      </c>
      <c r="H4607" s="11">
        <f>F4607*Summary!$B$7</f>
        <v/>
      </c>
      <c r="I4607" s="11">
        <f>MAX(0,N4607-M4607)</f>
        <v/>
      </c>
      <c r="J4607" s="11">
        <f>MAX(0,M4607-N4607)</f>
        <v/>
      </c>
      <c r="K4607" s="11">
        <f>O4607</f>
        <v/>
      </c>
      <c r="L4607" s="11">
        <f>L4606+IF(K4607&gt;0,K4607*Summary!$B$9,K4607/Summary!$B$9)</f>
        <v/>
      </c>
      <c r="M4607" s="11">
        <f>G4607+H4607</f>
        <v/>
      </c>
      <c r="N4607" s="11">
        <f>Summary!$C$16*Summary!$B$8</f>
        <v/>
      </c>
      <c r="O4607" s="11">
        <f>M4607-N4607</f>
        <v/>
      </c>
    </row>
    <row r="4608">
      <c r="A4608" s="9" t="n">
        <v>45483.91666666666</v>
      </c>
      <c r="B4608" t="n">
        <v>7</v>
      </c>
      <c r="C4608" t="n">
        <v>10</v>
      </c>
      <c r="D4608" t="n">
        <v>22</v>
      </c>
      <c r="E4608" s="10" t="n">
        <v>0</v>
      </c>
      <c r="F4608" s="10" t="n">
        <v>0.1762158662918079</v>
      </c>
      <c r="G4608" s="11">
        <f>E4608*Summary!$B$6</f>
        <v/>
      </c>
      <c r="H4608" s="11">
        <f>F4608*Summary!$B$7</f>
        <v/>
      </c>
      <c r="I4608" s="11">
        <f>MAX(0,N4608-M4608)</f>
        <v/>
      </c>
      <c r="J4608" s="11">
        <f>MAX(0,M4608-N4608)</f>
        <v/>
      </c>
      <c r="K4608" s="11">
        <f>O4608</f>
        <v/>
      </c>
      <c r="L4608" s="11">
        <f>L4607+IF(K4608&gt;0,K4608*Summary!$B$9,K4608/Summary!$B$9)</f>
        <v/>
      </c>
      <c r="M4608" s="11">
        <f>G4608+H4608</f>
        <v/>
      </c>
      <c r="N4608" s="11">
        <f>Summary!$C$16*Summary!$B$8</f>
        <v/>
      </c>
      <c r="O4608" s="11">
        <f>M4608-N4608</f>
        <v/>
      </c>
    </row>
    <row r="4609">
      <c r="A4609" s="9" t="n">
        <v>45483.95833333334</v>
      </c>
      <c r="B4609" t="n">
        <v>7</v>
      </c>
      <c r="C4609" t="n">
        <v>10</v>
      </c>
      <c r="D4609" t="n">
        <v>23</v>
      </c>
      <c r="E4609" s="10" t="n">
        <v>0</v>
      </c>
      <c r="F4609" s="10" t="n">
        <v>0.176057754253861</v>
      </c>
      <c r="G4609" s="11">
        <f>E4609*Summary!$B$6</f>
        <v/>
      </c>
      <c r="H4609" s="11">
        <f>F4609*Summary!$B$7</f>
        <v/>
      </c>
      <c r="I4609" s="11">
        <f>MAX(0,N4609-M4609)</f>
        <v/>
      </c>
      <c r="J4609" s="11">
        <f>MAX(0,M4609-N4609)</f>
        <v/>
      </c>
      <c r="K4609" s="11">
        <f>O4609</f>
        <v/>
      </c>
      <c r="L4609" s="11">
        <f>L4608+IF(K4609&gt;0,K4609*Summary!$B$9,K4609/Summary!$B$9)</f>
        <v/>
      </c>
      <c r="M4609" s="11">
        <f>G4609+H4609</f>
        <v/>
      </c>
      <c r="N4609" s="11">
        <f>Summary!$C$16*Summary!$B$8</f>
        <v/>
      </c>
      <c r="O4609" s="11">
        <f>M4609-N4609</f>
        <v/>
      </c>
    </row>
    <row r="4610">
      <c r="A4610" s="9" t="n">
        <v>45484</v>
      </c>
      <c r="B4610" t="n">
        <v>7</v>
      </c>
      <c r="C4610" t="n">
        <v>11</v>
      </c>
      <c r="D4610" t="n">
        <v>0</v>
      </c>
      <c r="E4610" s="10" t="n">
        <v>0</v>
      </c>
      <c r="F4610" s="10" t="n">
        <v>0.2263110303146473</v>
      </c>
      <c r="G4610" s="11">
        <f>E4610*Summary!$B$6</f>
        <v/>
      </c>
      <c r="H4610" s="11">
        <f>F4610*Summary!$B$7</f>
        <v/>
      </c>
      <c r="I4610" s="11">
        <f>MAX(0,N4610-M4610)</f>
        <v/>
      </c>
      <c r="J4610" s="11">
        <f>MAX(0,M4610-N4610)</f>
        <v/>
      </c>
      <c r="K4610" s="11">
        <f>O4610</f>
        <v/>
      </c>
      <c r="L4610" s="11">
        <f>L4609+IF(K4610&gt;0,K4610*Summary!$B$9,K4610/Summary!$B$9)</f>
        <v/>
      </c>
      <c r="M4610" s="11">
        <f>G4610+H4610</f>
        <v/>
      </c>
      <c r="N4610" s="11">
        <f>Summary!$C$16*Summary!$B$8</f>
        <v/>
      </c>
      <c r="O4610" s="11">
        <f>M4610-N4610</f>
        <v/>
      </c>
    </row>
    <row r="4611">
      <c r="A4611" s="9" t="n">
        <v>45484.04166666666</v>
      </c>
      <c r="B4611" t="n">
        <v>7</v>
      </c>
      <c r="C4611" t="n">
        <v>11</v>
      </c>
      <c r="D4611" t="n">
        <v>1</v>
      </c>
      <c r="E4611" s="10" t="n">
        <v>0</v>
      </c>
      <c r="F4611" s="10" t="n">
        <v>0.1724211773810826</v>
      </c>
      <c r="G4611" s="11">
        <f>E4611*Summary!$B$6</f>
        <v/>
      </c>
      <c r="H4611" s="11">
        <f>F4611*Summary!$B$7</f>
        <v/>
      </c>
      <c r="I4611" s="11">
        <f>MAX(0,N4611-M4611)</f>
        <v/>
      </c>
      <c r="J4611" s="11">
        <f>MAX(0,M4611-N4611)</f>
        <v/>
      </c>
      <c r="K4611" s="11">
        <f>O4611</f>
        <v/>
      </c>
      <c r="L4611" s="11">
        <f>L4610+IF(K4611&gt;0,K4611*Summary!$B$9,K4611/Summary!$B$9)</f>
        <v/>
      </c>
      <c r="M4611" s="11">
        <f>G4611+H4611</f>
        <v/>
      </c>
      <c r="N4611" s="11">
        <f>Summary!$C$16*Summary!$B$8</f>
        <v/>
      </c>
      <c r="O4611" s="11">
        <f>M4611-N4611</f>
        <v/>
      </c>
    </row>
    <row r="4612">
      <c r="A4612" s="9" t="n">
        <v>45484.08333333334</v>
      </c>
      <c r="B4612" t="n">
        <v>7</v>
      </c>
      <c r="C4612" t="n">
        <v>11</v>
      </c>
      <c r="D4612" t="n">
        <v>2</v>
      </c>
      <c r="E4612" s="10" t="n">
        <v>0</v>
      </c>
      <c r="F4612" s="10" t="n">
        <v>0.1679676883122452</v>
      </c>
      <c r="G4612" s="11">
        <f>E4612*Summary!$B$6</f>
        <v/>
      </c>
      <c r="H4612" s="11">
        <f>F4612*Summary!$B$7</f>
        <v/>
      </c>
      <c r="I4612" s="11">
        <f>MAX(0,N4612-M4612)</f>
        <v/>
      </c>
      <c r="J4612" s="11">
        <f>MAX(0,M4612-N4612)</f>
        <v/>
      </c>
      <c r="K4612" s="11">
        <f>O4612</f>
        <v/>
      </c>
      <c r="L4612" s="11">
        <f>L4611+IF(K4612&gt;0,K4612*Summary!$B$9,K4612/Summary!$B$9)</f>
        <v/>
      </c>
      <c r="M4612" s="11">
        <f>G4612+H4612</f>
        <v/>
      </c>
      <c r="N4612" s="11">
        <f>Summary!$C$16*Summary!$B$8</f>
        <v/>
      </c>
      <c r="O4612" s="11">
        <f>M4612-N4612</f>
        <v/>
      </c>
    </row>
    <row r="4613">
      <c r="A4613" s="9" t="n">
        <v>45484.125</v>
      </c>
      <c r="B4613" t="n">
        <v>7</v>
      </c>
      <c r="C4613" t="n">
        <v>11</v>
      </c>
      <c r="D4613" t="n">
        <v>3</v>
      </c>
      <c r="E4613" s="10" t="n">
        <v>0</v>
      </c>
      <c r="F4613" s="10" t="n">
        <v>0.1698913847739323</v>
      </c>
      <c r="G4613" s="11">
        <f>E4613*Summary!$B$6</f>
        <v/>
      </c>
      <c r="H4613" s="11">
        <f>F4613*Summary!$B$7</f>
        <v/>
      </c>
      <c r="I4613" s="11">
        <f>MAX(0,N4613-M4613)</f>
        <v/>
      </c>
      <c r="J4613" s="11">
        <f>MAX(0,M4613-N4613)</f>
        <v/>
      </c>
      <c r="K4613" s="11">
        <f>O4613</f>
        <v/>
      </c>
      <c r="L4613" s="11">
        <f>L4612+IF(K4613&gt;0,K4613*Summary!$B$9,K4613/Summary!$B$9)</f>
        <v/>
      </c>
      <c r="M4613" s="11">
        <f>G4613+H4613</f>
        <v/>
      </c>
      <c r="N4613" s="11">
        <f>Summary!$C$16*Summary!$B$8</f>
        <v/>
      </c>
      <c r="O4613" s="11">
        <f>M4613-N4613</f>
        <v/>
      </c>
    </row>
    <row r="4614">
      <c r="A4614" s="9" t="n">
        <v>45484.16666666666</v>
      </c>
      <c r="B4614" t="n">
        <v>7</v>
      </c>
      <c r="C4614" t="n">
        <v>11</v>
      </c>
      <c r="D4614" t="n">
        <v>4</v>
      </c>
      <c r="E4614" s="10" t="n">
        <v>0.029786</v>
      </c>
      <c r="F4614" s="10" t="n">
        <v>0.168942712546251</v>
      </c>
      <c r="G4614" s="11">
        <f>E4614*Summary!$B$6</f>
        <v/>
      </c>
      <c r="H4614" s="11">
        <f>F4614*Summary!$B$7</f>
        <v/>
      </c>
      <c r="I4614" s="11">
        <f>MAX(0,N4614-M4614)</f>
        <v/>
      </c>
      <c r="J4614" s="11">
        <f>MAX(0,M4614-N4614)</f>
        <v/>
      </c>
      <c r="K4614" s="11">
        <f>O4614</f>
        <v/>
      </c>
      <c r="L4614" s="11">
        <f>L4613+IF(K4614&gt;0,K4614*Summary!$B$9,K4614/Summary!$B$9)</f>
        <v/>
      </c>
      <c r="M4614" s="11">
        <f>G4614+H4614</f>
        <v/>
      </c>
      <c r="N4614" s="11">
        <f>Summary!$C$16*Summary!$B$8</f>
        <v/>
      </c>
      <c r="O4614" s="11">
        <f>M4614-N4614</f>
        <v/>
      </c>
    </row>
    <row r="4615">
      <c r="A4615" s="9" t="n">
        <v>45484.20833333334</v>
      </c>
      <c r="B4615" t="n">
        <v>7</v>
      </c>
      <c r="C4615" t="n">
        <v>11</v>
      </c>
      <c r="D4615" t="n">
        <v>5</v>
      </c>
      <c r="E4615" s="10" t="n">
        <v>0.054967</v>
      </c>
      <c r="F4615" s="10" t="n">
        <v>0.1570316056875853</v>
      </c>
      <c r="G4615" s="11">
        <f>E4615*Summary!$B$6</f>
        <v/>
      </c>
      <c r="H4615" s="11">
        <f>F4615*Summary!$B$7</f>
        <v/>
      </c>
      <c r="I4615" s="11">
        <f>MAX(0,N4615-M4615)</f>
        <v/>
      </c>
      <c r="J4615" s="11">
        <f>MAX(0,M4615-N4615)</f>
        <v/>
      </c>
      <c r="K4615" s="11">
        <f>O4615</f>
        <v/>
      </c>
      <c r="L4615" s="11">
        <f>L4614+IF(K4615&gt;0,K4615*Summary!$B$9,K4615/Summary!$B$9)</f>
        <v/>
      </c>
      <c r="M4615" s="11">
        <f>G4615+H4615</f>
        <v/>
      </c>
      <c r="N4615" s="11">
        <f>Summary!$C$16*Summary!$B$8</f>
        <v/>
      </c>
      <c r="O4615" s="11">
        <f>M4615-N4615</f>
        <v/>
      </c>
    </row>
    <row r="4616">
      <c r="A4616" s="9" t="n">
        <v>45484.25</v>
      </c>
      <c r="B4616" t="n">
        <v>7</v>
      </c>
      <c r="C4616" t="n">
        <v>11</v>
      </c>
      <c r="D4616" t="n">
        <v>6</v>
      </c>
      <c r="E4616" s="10" t="n">
        <v>0.186287</v>
      </c>
      <c r="F4616" s="10" t="n">
        <v>0.1384270892225014</v>
      </c>
      <c r="G4616" s="11">
        <f>E4616*Summary!$B$6</f>
        <v/>
      </c>
      <c r="H4616" s="11">
        <f>F4616*Summary!$B$7</f>
        <v/>
      </c>
      <c r="I4616" s="11">
        <f>MAX(0,N4616-M4616)</f>
        <v/>
      </c>
      <c r="J4616" s="11">
        <f>MAX(0,M4616-N4616)</f>
        <v/>
      </c>
      <c r="K4616" s="11">
        <f>O4616</f>
        <v/>
      </c>
      <c r="L4616" s="11">
        <f>L4615+IF(K4616&gt;0,K4616*Summary!$B$9,K4616/Summary!$B$9)</f>
        <v/>
      </c>
      <c r="M4616" s="11">
        <f>G4616+H4616</f>
        <v/>
      </c>
      <c r="N4616" s="11">
        <f>Summary!$C$16*Summary!$B$8</f>
        <v/>
      </c>
      <c r="O4616" s="11">
        <f>M4616-N4616</f>
        <v/>
      </c>
    </row>
    <row r="4617">
      <c r="A4617" s="9" t="n">
        <v>45484.29166666666</v>
      </c>
      <c r="B4617" t="n">
        <v>7</v>
      </c>
      <c r="C4617" t="n">
        <v>11</v>
      </c>
      <c r="D4617" t="n">
        <v>7</v>
      </c>
      <c r="E4617" s="10" t="n">
        <v>0.358816</v>
      </c>
      <c r="F4617" s="10" t="n">
        <v>0.1279653427116823</v>
      </c>
      <c r="G4617" s="11">
        <f>E4617*Summary!$B$6</f>
        <v/>
      </c>
      <c r="H4617" s="11">
        <f>F4617*Summary!$B$7</f>
        <v/>
      </c>
      <c r="I4617" s="11">
        <f>MAX(0,N4617-M4617)</f>
        <v/>
      </c>
      <c r="J4617" s="11">
        <f>MAX(0,M4617-N4617)</f>
        <v/>
      </c>
      <c r="K4617" s="11">
        <f>O4617</f>
        <v/>
      </c>
      <c r="L4617" s="11">
        <f>L4616+IF(K4617&gt;0,K4617*Summary!$B$9,K4617/Summary!$B$9)</f>
        <v/>
      </c>
      <c r="M4617" s="11">
        <f>G4617+H4617</f>
        <v/>
      </c>
      <c r="N4617" s="11">
        <f>Summary!$C$16*Summary!$B$8</f>
        <v/>
      </c>
      <c r="O4617" s="11">
        <f>M4617-N4617</f>
        <v/>
      </c>
    </row>
    <row r="4618">
      <c r="A4618" s="9" t="n">
        <v>45484.33333333334</v>
      </c>
      <c r="B4618" t="n">
        <v>7</v>
      </c>
      <c r="C4618" t="n">
        <v>11</v>
      </c>
      <c r="D4618" t="n">
        <v>8</v>
      </c>
      <c r="E4618" s="10" t="n">
        <v>0.526878</v>
      </c>
      <c r="F4618" s="10" t="n">
        <v>0.1300207992049918</v>
      </c>
      <c r="G4618" s="11">
        <f>E4618*Summary!$B$6</f>
        <v/>
      </c>
      <c r="H4618" s="11">
        <f>F4618*Summary!$B$7</f>
        <v/>
      </c>
      <c r="I4618" s="11">
        <f>MAX(0,N4618-M4618)</f>
        <v/>
      </c>
      <c r="J4618" s="11">
        <f>MAX(0,M4618-N4618)</f>
        <v/>
      </c>
      <c r="K4618" s="11">
        <f>O4618</f>
        <v/>
      </c>
      <c r="L4618" s="11">
        <f>L4617+IF(K4618&gt;0,K4618*Summary!$B$9,K4618/Summary!$B$9)</f>
        <v/>
      </c>
      <c r="M4618" s="11">
        <f>G4618+H4618</f>
        <v/>
      </c>
      <c r="N4618" s="11">
        <f>Summary!$C$16*Summary!$B$8</f>
        <v/>
      </c>
      <c r="O4618" s="11">
        <f>M4618-N4618</f>
        <v/>
      </c>
    </row>
    <row r="4619">
      <c r="A4619" s="9" t="n">
        <v>45484.375</v>
      </c>
      <c r="B4619" t="n">
        <v>7</v>
      </c>
      <c r="C4619" t="n">
        <v>11</v>
      </c>
      <c r="D4619" t="n">
        <v>9</v>
      </c>
      <c r="E4619" s="10" t="n">
        <v>0.45117</v>
      </c>
      <c r="F4619" s="10" t="n">
        <v>0.1423798901711736</v>
      </c>
      <c r="G4619" s="11">
        <f>E4619*Summary!$B$6</f>
        <v/>
      </c>
      <c r="H4619" s="11">
        <f>F4619*Summary!$B$7</f>
        <v/>
      </c>
      <c r="I4619" s="11">
        <f>MAX(0,N4619-M4619)</f>
        <v/>
      </c>
      <c r="J4619" s="11">
        <f>MAX(0,M4619-N4619)</f>
        <v/>
      </c>
      <c r="K4619" s="11">
        <f>O4619</f>
        <v/>
      </c>
      <c r="L4619" s="11">
        <f>L4618+IF(K4619&gt;0,K4619*Summary!$B$9,K4619/Summary!$B$9)</f>
        <v/>
      </c>
      <c r="M4619" s="11">
        <f>G4619+H4619</f>
        <v/>
      </c>
      <c r="N4619" s="11">
        <f>Summary!$C$16*Summary!$B$8</f>
        <v/>
      </c>
      <c r="O4619" s="11">
        <f>M4619-N4619</f>
        <v/>
      </c>
    </row>
    <row r="4620">
      <c r="A4620" s="9" t="n">
        <v>45484.41666666666</v>
      </c>
      <c r="B4620" t="n">
        <v>7</v>
      </c>
      <c r="C4620" t="n">
        <v>11</v>
      </c>
      <c r="D4620" t="n">
        <v>10</v>
      </c>
      <c r="E4620" s="10" t="n">
        <v>0.505242</v>
      </c>
      <c r="F4620" s="10" t="n">
        <v>0.166202103888505</v>
      </c>
      <c r="G4620" s="11">
        <f>E4620*Summary!$B$6</f>
        <v/>
      </c>
      <c r="H4620" s="11">
        <f>F4620*Summary!$B$7</f>
        <v/>
      </c>
      <c r="I4620" s="11">
        <f>MAX(0,N4620-M4620)</f>
        <v/>
      </c>
      <c r="J4620" s="11">
        <f>MAX(0,M4620-N4620)</f>
        <v/>
      </c>
      <c r="K4620" s="11">
        <f>O4620</f>
        <v/>
      </c>
      <c r="L4620" s="11">
        <f>L4619+IF(K4620&gt;0,K4620*Summary!$B$9,K4620/Summary!$B$9)</f>
        <v/>
      </c>
      <c r="M4620" s="11">
        <f>G4620+H4620</f>
        <v/>
      </c>
      <c r="N4620" s="11">
        <f>Summary!$C$16*Summary!$B$8</f>
        <v/>
      </c>
      <c r="O4620" s="11">
        <f>M4620-N4620</f>
        <v/>
      </c>
    </row>
    <row r="4621">
      <c r="A4621" s="9" t="n">
        <v>45484.45833333334</v>
      </c>
      <c r="B4621" t="n">
        <v>7</v>
      </c>
      <c r="C4621" t="n">
        <v>11</v>
      </c>
      <c r="D4621" t="n">
        <v>11</v>
      </c>
      <c r="E4621" s="10" t="n">
        <v>0.449836</v>
      </c>
      <c r="F4621" s="10" t="n">
        <v>0.1666500879960211</v>
      </c>
      <c r="G4621" s="11">
        <f>E4621*Summary!$B$6</f>
        <v/>
      </c>
      <c r="H4621" s="11">
        <f>F4621*Summary!$B$7</f>
        <v/>
      </c>
      <c r="I4621" s="11">
        <f>MAX(0,N4621-M4621)</f>
        <v/>
      </c>
      <c r="J4621" s="11">
        <f>MAX(0,M4621-N4621)</f>
        <v/>
      </c>
      <c r="K4621" s="11">
        <f>O4621</f>
        <v/>
      </c>
      <c r="L4621" s="11">
        <f>L4620+IF(K4621&gt;0,K4621*Summary!$B$9,K4621/Summary!$B$9)</f>
        <v/>
      </c>
      <c r="M4621" s="11">
        <f>G4621+H4621</f>
        <v/>
      </c>
      <c r="N4621" s="11">
        <f>Summary!$C$16*Summary!$B$8</f>
        <v/>
      </c>
      <c r="O4621" s="11">
        <f>M4621-N4621</f>
        <v/>
      </c>
    </row>
    <row r="4622">
      <c r="A4622" s="9" t="n">
        <v>45484.5</v>
      </c>
      <c r="B4622" t="n">
        <v>7</v>
      </c>
      <c r="C4622" t="n">
        <v>11</v>
      </c>
      <c r="D4622" t="n">
        <v>12</v>
      </c>
      <c r="E4622" s="10" t="n">
        <v>0.274106</v>
      </c>
      <c r="F4622" s="10" t="n">
        <v>0.1756888261653183</v>
      </c>
      <c r="G4622" s="11">
        <f>E4622*Summary!$B$6</f>
        <v/>
      </c>
      <c r="H4622" s="11">
        <f>F4622*Summary!$B$7</f>
        <v/>
      </c>
      <c r="I4622" s="11">
        <f>MAX(0,N4622-M4622)</f>
        <v/>
      </c>
      <c r="J4622" s="11">
        <f>MAX(0,M4622-N4622)</f>
        <v/>
      </c>
      <c r="K4622" s="11">
        <f>O4622</f>
        <v/>
      </c>
      <c r="L4622" s="11">
        <f>L4621+IF(K4622&gt;0,K4622*Summary!$B$9,K4622/Summary!$B$9)</f>
        <v/>
      </c>
      <c r="M4622" s="11">
        <f>G4622+H4622</f>
        <v/>
      </c>
      <c r="N4622" s="11">
        <f>Summary!$C$16*Summary!$B$8</f>
        <v/>
      </c>
      <c r="O4622" s="11">
        <f>M4622-N4622</f>
        <v/>
      </c>
    </row>
    <row r="4623">
      <c r="A4623" s="9" t="n">
        <v>45484.54166666666</v>
      </c>
      <c r="B4623" t="n">
        <v>7</v>
      </c>
      <c r="C4623" t="n">
        <v>11</v>
      </c>
      <c r="D4623" t="n">
        <v>13</v>
      </c>
      <c r="E4623" s="10" t="n">
        <v>0.214837</v>
      </c>
      <c r="F4623" s="10" t="n">
        <v>0.1858870526128926</v>
      </c>
      <c r="G4623" s="11">
        <f>E4623*Summary!$B$6</f>
        <v/>
      </c>
      <c r="H4623" s="11">
        <f>F4623*Summary!$B$7</f>
        <v/>
      </c>
      <c r="I4623" s="11">
        <f>MAX(0,N4623-M4623)</f>
        <v/>
      </c>
      <c r="J4623" s="11">
        <f>MAX(0,M4623-N4623)</f>
        <v/>
      </c>
      <c r="K4623" s="11">
        <f>O4623</f>
        <v/>
      </c>
      <c r="L4623" s="11">
        <f>L4622+IF(K4623&gt;0,K4623*Summary!$B$9,K4623/Summary!$B$9)</f>
        <v/>
      </c>
      <c r="M4623" s="11">
        <f>G4623+H4623</f>
        <v/>
      </c>
      <c r="N4623" s="11">
        <f>Summary!$C$16*Summary!$B$8</f>
        <v/>
      </c>
      <c r="O4623" s="11">
        <f>M4623-N4623</f>
        <v/>
      </c>
    </row>
    <row r="4624">
      <c r="A4624" s="9" t="n">
        <v>45484.58333333334</v>
      </c>
      <c r="B4624" t="n">
        <v>7</v>
      </c>
      <c r="C4624" t="n">
        <v>11</v>
      </c>
      <c r="D4624" t="n">
        <v>14</v>
      </c>
      <c r="E4624" s="10" t="n">
        <v>0.133225</v>
      </c>
      <c r="F4624" s="10" t="n">
        <v>0.1933710224090454</v>
      </c>
      <c r="G4624" s="11">
        <f>E4624*Summary!$B$6</f>
        <v/>
      </c>
      <c r="H4624" s="11">
        <f>F4624*Summary!$B$7</f>
        <v/>
      </c>
      <c r="I4624" s="11">
        <f>MAX(0,N4624-M4624)</f>
        <v/>
      </c>
      <c r="J4624" s="11">
        <f>MAX(0,M4624-N4624)</f>
        <v/>
      </c>
      <c r="K4624" s="11">
        <f>O4624</f>
        <v/>
      </c>
      <c r="L4624" s="11">
        <f>L4623+IF(K4624&gt;0,K4624*Summary!$B$9,K4624/Summary!$B$9)</f>
        <v/>
      </c>
      <c r="M4624" s="11">
        <f>G4624+H4624</f>
        <v/>
      </c>
      <c r="N4624" s="11">
        <f>Summary!$C$16*Summary!$B$8</f>
        <v/>
      </c>
      <c r="O4624" s="11">
        <f>M4624-N4624</f>
        <v/>
      </c>
    </row>
    <row r="4625">
      <c r="A4625" s="9" t="n">
        <v>45484.625</v>
      </c>
      <c r="B4625" t="n">
        <v>7</v>
      </c>
      <c r="C4625" t="n">
        <v>11</v>
      </c>
      <c r="D4625" t="n">
        <v>15</v>
      </c>
      <c r="E4625" s="10" t="n">
        <v>0.302087</v>
      </c>
      <c r="F4625" s="10" t="n">
        <v>0.196032575047818</v>
      </c>
      <c r="G4625" s="11">
        <f>E4625*Summary!$B$6</f>
        <v/>
      </c>
      <c r="H4625" s="11">
        <f>F4625*Summary!$B$7</f>
        <v/>
      </c>
      <c r="I4625" s="11">
        <f>MAX(0,N4625-M4625)</f>
        <v/>
      </c>
      <c r="J4625" s="11">
        <f>MAX(0,M4625-N4625)</f>
        <v/>
      </c>
      <c r="K4625" s="11">
        <f>O4625</f>
        <v/>
      </c>
      <c r="L4625" s="11">
        <f>L4624+IF(K4625&gt;0,K4625*Summary!$B$9,K4625/Summary!$B$9)</f>
        <v/>
      </c>
      <c r="M4625" s="11">
        <f>G4625+H4625</f>
        <v/>
      </c>
      <c r="N4625" s="11">
        <f>Summary!$C$16*Summary!$B$8</f>
        <v/>
      </c>
      <c r="O4625" s="11">
        <f>M4625-N4625</f>
        <v/>
      </c>
    </row>
    <row r="4626">
      <c r="A4626" s="9" t="n">
        <v>45484.66666666666</v>
      </c>
      <c r="B4626" t="n">
        <v>7</v>
      </c>
      <c r="C4626" t="n">
        <v>11</v>
      </c>
      <c r="D4626" t="n">
        <v>16</v>
      </c>
      <c r="E4626" s="10" t="n">
        <v>0.154025</v>
      </c>
      <c r="F4626" s="10" t="n">
        <v>0.1977454554589093</v>
      </c>
      <c r="G4626" s="11">
        <f>E4626*Summary!$B$6</f>
        <v/>
      </c>
      <c r="H4626" s="11">
        <f>F4626*Summary!$B$7</f>
        <v/>
      </c>
      <c r="I4626" s="11">
        <f>MAX(0,N4626-M4626)</f>
        <v/>
      </c>
      <c r="J4626" s="11">
        <f>MAX(0,M4626-N4626)</f>
        <v/>
      </c>
      <c r="K4626" s="11">
        <f>O4626</f>
        <v/>
      </c>
      <c r="L4626" s="11">
        <f>L4625+IF(K4626&gt;0,K4626*Summary!$B$9,K4626/Summary!$B$9)</f>
        <v/>
      </c>
      <c r="M4626" s="11">
        <f>G4626+H4626</f>
        <v/>
      </c>
      <c r="N4626" s="11">
        <f>Summary!$C$16*Summary!$B$8</f>
        <v/>
      </c>
      <c r="O4626" s="11">
        <f>M4626-N4626</f>
        <v/>
      </c>
    </row>
    <row r="4627">
      <c r="A4627" s="9" t="n">
        <v>45484.70833333334</v>
      </c>
      <c r="B4627" t="n">
        <v>7</v>
      </c>
      <c r="C4627" t="n">
        <v>11</v>
      </c>
      <c r="D4627" t="n">
        <v>17</v>
      </c>
      <c r="E4627" s="10" t="n">
        <v>0.177703</v>
      </c>
      <c r="F4627" s="10" t="n">
        <v>0.1909202858208686</v>
      </c>
      <c r="G4627" s="11">
        <f>E4627*Summary!$B$6</f>
        <v/>
      </c>
      <c r="H4627" s="11">
        <f>F4627*Summary!$B$7</f>
        <v/>
      </c>
      <c r="I4627" s="11">
        <f>MAX(0,N4627-M4627)</f>
        <v/>
      </c>
      <c r="J4627" s="11">
        <f>MAX(0,M4627-N4627)</f>
        <v/>
      </c>
      <c r="K4627" s="11">
        <f>O4627</f>
        <v/>
      </c>
      <c r="L4627" s="11">
        <f>L4626+IF(K4627&gt;0,K4627*Summary!$B$9,K4627/Summary!$B$9)</f>
        <v/>
      </c>
      <c r="M4627" s="11">
        <f>G4627+H4627</f>
        <v/>
      </c>
      <c r="N4627" s="11">
        <f>Summary!$C$16*Summary!$B$8</f>
        <v/>
      </c>
      <c r="O4627" s="11">
        <f>M4627-N4627</f>
        <v/>
      </c>
    </row>
    <row r="4628">
      <c r="A4628" s="9" t="n">
        <v>45484.75</v>
      </c>
      <c r="B4628" t="n">
        <v>7</v>
      </c>
      <c r="C4628" t="n">
        <v>11</v>
      </c>
      <c r="D4628" t="n">
        <v>18</v>
      </c>
      <c r="E4628" s="10" t="n">
        <v>0.088518</v>
      </c>
      <c r="F4628" s="10" t="n">
        <v>0.18322549997412</v>
      </c>
      <c r="G4628" s="11">
        <f>E4628*Summary!$B$6</f>
        <v/>
      </c>
      <c r="H4628" s="11">
        <f>F4628*Summary!$B$7</f>
        <v/>
      </c>
      <c r="I4628" s="11">
        <f>MAX(0,N4628-M4628)</f>
        <v/>
      </c>
      <c r="J4628" s="11">
        <f>MAX(0,M4628-N4628)</f>
        <v/>
      </c>
      <c r="K4628" s="11">
        <f>O4628</f>
        <v/>
      </c>
      <c r="L4628" s="11">
        <f>L4627+IF(K4628&gt;0,K4628*Summary!$B$9,K4628/Summary!$B$9)</f>
        <v/>
      </c>
      <c r="M4628" s="11">
        <f>G4628+H4628</f>
        <v/>
      </c>
      <c r="N4628" s="11">
        <f>Summary!$C$16*Summary!$B$8</f>
        <v/>
      </c>
      <c r="O4628" s="11">
        <f>M4628-N4628</f>
        <v/>
      </c>
    </row>
    <row r="4629">
      <c r="A4629" s="9" t="n">
        <v>45484.79166666666</v>
      </c>
      <c r="B4629" t="n">
        <v>7</v>
      </c>
      <c r="C4629" t="n">
        <v>11</v>
      </c>
      <c r="D4629" t="n">
        <v>19</v>
      </c>
      <c r="E4629" s="10" t="n">
        <v>0.038059</v>
      </c>
      <c r="F4629" s="10" t="n">
        <v>0.1823558837654121</v>
      </c>
      <c r="G4629" s="11">
        <f>E4629*Summary!$B$6</f>
        <v/>
      </c>
      <c r="H4629" s="11">
        <f>F4629*Summary!$B$7</f>
        <v/>
      </c>
      <c r="I4629" s="11">
        <f>MAX(0,N4629-M4629)</f>
        <v/>
      </c>
      <c r="J4629" s="11">
        <f>MAX(0,M4629-N4629)</f>
        <v/>
      </c>
      <c r="K4629" s="11">
        <f>O4629</f>
        <v/>
      </c>
      <c r="L4629" s="11">
        <f>L4628+IF(K4629&gt;0,K4629*Summary!$B$9,K4629/Summary!$B$9)</f>
        <v/>
      </c>
      <c r="M4629" s="11">
        <f>G4629+H4629</f>
        <v/>
      </c>
      <c r="N4629" s="11">
        <f>Summary!$C$16*Summary!$B$8</f>
        <v/>
      </c>
      <c r="O4629" s="11">
        <f>M4629-N4629</f>
        <v/>
      </c>
    </row>
    <row r="4630">
      <c r="A4630" s="9" t="n">
        <v>45484.83333333334</v>
      </c>
      <c r="B4630" t="n">
        <v>7</v>
      </c>
      <c r="C4630" t="n">
        <v>11</v>
      </c>
      <c r="D4630" t="n">
        <v>20</v>
      </c>
      <c r="E4630" s="10" t="n">
        <v>0.007763</v>
      </c>
      <c r="F4630" s="10" t="n">
        <v>0.1954001268960305</v>
      </c>
      <c r="G4630" s="11">
        <f>E4630*Summary!$B$6</f>
        <v/>
      </c>
      <c r="H4630" s="11">
        <f>F4630*Summary!$B$7</f>
        <v/>
      </c>
      <c r="I4630" s="11">
        <f>MAX(0,N4630-M4630)</f>
        <v/>
      </c>
      <c r="J4630" s="11">
        <f>MAX(0,M4630-N4630)</f>
        <v/>
      </c>
      <c r="K4630" s="11">
        <f>O4630</f>
        <v/>
      </c>
      <c r="L4630" s="11">
        <f>L4629+IF(K4630&gt;0,K4630*Summary!$B$9,K4630/Summary!$B$9)</f>
        <v/>
      </c>
      <c r="M4630" s="11">
        <f>G4630+H4630</f>
        <v/>
      </c>
      <c r="N4630" s="11">
        <f>Summary!$C$16*Summary!$B$8</f>
        <v/>
      </c>
      <c r="O4630" s="11">
        <f>M4630-N4630</f>
        <v/>
      </c>
    </row>
    <row r="4631">
      <c r="A4631" s="9" t="n">
        <v>45484.875</v>
      </c>
      <c r="B4631" t="n">
        <v>7</v>
      </c>
      <c r="C4631" t="n">
        <v>11</v>
      </c>
      <c r="D4631" t="n">
        <v>21</v>
      </c>
      <c r="E4631" s="10" t="n">
        <v>0</v>
      </c>
      <c r="F4631" s="10" t="n">
        <v>0.2107369945768787</v>
      </c>
      <c r="G4631" s="11">
        <f>E4631*Summary!$B$6</f>
        <v/>
      </c>
      <c r="H4631" s="11">
        <f>F4631*Summary!$B$7</f>
        <v/>
      </c>
      <c r="I4631" s="11">
        <f>MAX(0,N4631-M4631)</f>
        <v/>
      </c>
      <c r="J4631" s="11">
        <f>MAX(0,M4631-N4631)</f>
        <v/>
      </c>
      <c r="K4631" s="11">
        <f>O4631</f>
        <v/>
      </c>
      <c r="L4631" s="11">
        <f>L4630+IF(K4631&gt;0,K4631*Summary!$B$9,K4631/Summary!$B$9)</f>
        <v/>
      </c>
      <c r="M4631" s="11">
        <f>G4631+H4631</f>
        <v/>
      </c>
      <c r="N4631" s="11">
        <f>Summary!$C$16*Summary!$B$8</f>
        <v/>
      </c>
      <c r="O4631" s="11">
        <f>M4631-N4631</f>
        <v/>
      </c>
    </row>
    <row r="4632">
      <c r="A4632" s="9" t="n">
        <v>45484.91666666666</v>
      </c>
      <c r="B4632" t="n">
        <v>7</v>
      </c>
      <c r="C4632" t="n">
        <v>11</v>
      </c>
      <c r="D4632" t="n">
        <v>22</v>
      </c>
      <c r="E4632" s="10" t="n">
        <v>0</v>
      </c>
      <c r="F4632" s="10" t="n">
        <v>0.2424648101915544</v>
      </c>
      <c r="G4632" s="11">
        <f>E4632*Summary!$B$6</f>
        <v/>
      </c>
      <c r="H4632" s="11">
        <f>F4632*Summary!$B$7</f>
        <v/>
      </c>
      <c r="I4632" s="11">
        <f>MAX(0,N4632-M4632)</f>
        <v/>
      </c>
      <c r="J4632" s="11">
        <f>MAX(0,M4632-N4632)</f>
        <v/>
      </c>
      <c r="K4632" s="11">
        <f>O4632</f>
        <v/>
      </c>
      <c r="L4632" s="11">
        <f>L4631+IF(K4632&gt;0,K4632*Summary!$B$9,K4632/Summary!$B$9)</f>
        <v/>
      </c>
      <c r="M4632" s="11">
        <f>G4632+H4632</f>
        <v/>
      </c>
      <c r="N4632" s="11">
        <f>Summary!$C$16*Summary!$B$8</f>
        <v/>
      </c>
      <c r="O4632" s="11">
        <f>M4632-N4632</f>
        <v/>
      </c>
    </row>
    <row r="4633">
      <c r="A4633" s="9" t="n">
        <v>45484.95833333334</v>
      </c>
      <c r="B4633" t="n">
        <v>7</v>
      </c>
      <c r="C4633" t="n">
        <v>11</v>
      </c>
      <c r="D4633" t="n">
        <v>23</v>
      </c>
      <c r="E4633" s="10" t="n">
        <v>0</v>
      </c>
      <c r="F4633" s="10" t="n">
        <v>0.2291306949913668</v>
      </c>
      <c r="G4633" s="11">
        <f>E4633*Summary!$B$6</f>
        <v/>
      </c>
      <c r="H4633" s="11">
        <f>F4633*Summary!$B$7</f>
        <v/>
      </c>
      <c r="I4633" s="11">
        <f>MAX(0,N4633-M4633)</f>
        <v/>
      </c>
      <c r="J4633" s="11">
        <f>MAX(0,M4633-N4633)</f>
        <v/>
      </c>
      <c r="K4633" s="11">
        <f>O4633</f>
        <v/>
      </c>
      <c r="L4633" s="11">
        <f>L4632+IF(K4633&gt;0,K4633*Summary!$B$9,K4633/Summary!$B$9)</f>
        <v/>
      </c>
      <c r="M4633" s="11">
        <f>G4633+H4633</f>
        <v/>
      </c>
      <c r="N4633" s="11">
        <f>Summary!$C$16*Summary!$B$8</f>
        <v/>
      </c>
      <c r="O4633" s="11">
        <f>M4633-N4633</f>
        <v/>
      </c>
    </row>
    <row r="4634">
      <c r="A4634" s="9" t="n">
        <v>45485</v>
      </c>
      <c r="B4634" t="n">
        <v>7</v>
      </c>
      <c r="C4634" t="n">
        <v>12</v>
      </c>
      <c r="D4634" t="n">
        <v>0</v>
      </c>
      <c r="E4634" s="10" t="n">
        <v>0</v>
      </c>
      <c r="F4634" s="10" t="n">
        <v>0.2087342420962181</v>
      </c>
      <c r="G4634" s="11">
        <f>E4634*Summary!$B$6</f>
        <v/>
      </c>
      <c r="H4634" s="11">
        <f>F4634*Summary!$B$7</f>
        <v/>
      </c>
      <c r="I4634" s="11">
        <f>MAX(0,N4634-M4634)</f>
        <v/>
      </c>
      <c r="J4634" s="11">
        <f>MAX(0,M4634-N4634)</f>
        <v/>
      </c>
      <c r="K4634" s="11">
        <f>O4634</f>
        <v/>
      </c>
      <c r="L4634" s="11">
        <f>L4633+IF(K4634&gt;0,K4634*Summary!$B$9,K4634/Summary!$B$9)</f>
        <v/>
      </c>
      <c r="M4634" s="11">
        <f>G4634+H4634</f>
        <v/>
      </c>
      <c r="N4634" s="11">
        <f>Summary!$C$16*Summary!$B$8</f>
        <v/>
      </c>
      <c r="O4634" s="11">
        <f>M4634-N4634</f>
        <v/>
      </c>
    </row>
    <row r="4635">
      <c r="A4635" s="9" t="n">
        <v>45485.04166666666</v>
      </c>
      <c r="B4635" t="n">
        <v>7</v>
      </c>
      <c r="C4635" t="n">
        <v>12</v>
      </c>
      <c r="D4635" t="n">
        <v>1</v>
      </c>
      <c r="E4635" s="10" t="n">
        <v>0</v>
      </c>
      <c r="F4635" s="10" t="n">
        <v>0.2208561650054796</v>
      </c>
      <c r="G4635" s="11">
        <f>E4635*Summary!$B$6</f>
        <v/>
      </c>
      <c r="H4635" s="11">
        <f>F4635*Summary!$B$7</f>
        <v/>
      </c>
      <c r="I4635" s="11">
        <f>MAX(0,N4635-M4635)</f>
        <v/>
      </c>
      <c r="J4635" s="11">
        <f>MAX(0,M4635-N4635)</f>
        <v/>
      </c>
      <c r="K4635" s="11">
        <f>O4635</f>
        <v/>
      </c>
      <c r="L4635" s="11">
        <f>L4634+IF(K4635&gt;0,K4635*Summary!$B$9,K4635/Summary!$B$9)</f>
        <v/>
      </c>
      <c r="M4635" s="11">
        <f>G4635+H4635</f>
        <v/>
      </c>
      <c r="N4635" s="11">
        <f>Summary!$C$16*Summary!$B$8</f>
        <v/>
      </c>
      <c r="O4635" s="11">
        <f>M4635-N4635</f>
        <v/>
      </c>
    </row>
    <row r="4636">
      <c r="A4636" s="9" t="n">
        <v>45485.08333333334</v>
      </c>
      <c r="B4636" t="n">
        <v>7</v>
      </c>
      <c r="C4636" t="n">
        <v>12</v>
      </c>
      <c r="D4636" t="n">
        <v>2</v>
      </c>
      <c r="E4636" s="10" t="n">
        <v>0</v>
      </c>
      <c r="F4636" s="10" t="n">
        <v>0.2150850756204181</v>
      </c>
      <c r="G4636" s="11">
        <f>E4636*Summary!$B$6</f>
        <v/>
      </c>
      <c r="H4636" s="11">
        <f>F4636*Summary!$B$7</f>
        <v/>
      </c>
      <c r="I4636" s="11">
        <f>MAX(0,N4636-M4636)</f>
        <v/>
      </c>
      <c r="J4636" s="11">
        <f>MAX(0,M4636-N4636)</f>
        <v/>
      </c>
      <c r="K4636" s="11">
        <f>O4636</f>
        <v/>
      </c>
      <c r="L4636" s="11">
        <f>L4635+IF(K4636&gt;0,K4636*Summary!$B$9,K4636/Summary!$B$9)</f>
        <v/>
      </c>
      <c r="M4636" s="11">
        <f>G4636+H4636</f>
        <v/>
      </c>
      <c r="N4636" s="11">
        <f>Summary!$C$16*Summary!$B$8</f>
        <v/>
      </c>
      <c r="O4636" s="11">
        <f>M4636-N4636</f>
        <v/>
      </c>
    </row>
    <row r="4637">
      <c r="A4637" s="9" t="n">
        <v>45485.125</v>
      </c>
      <c r="B4637" t="n">
        <v>7</v>
      </c>
      <c r="C4637" t="n">
        <v>12</v>
      </c>
      <c r="D4637" t="n">
        <v>3</v>
      </c>
      <c r="E4637" s="10" t="n">
        <v>0</v>
      </c>
      <c r="F4637" s="10" t="n">
        <v>0.2092612822227077</v>
      </c>
      <c r="G4637" s="11">
        <f>E4637*Summary!$B$6</f>
        <v/>
      </c>
      <c r="H4637" s="11">
        <f>F4637*Summary!$B$7</f>
        <v/>
      </c>
      <c r="I4637" s="11">
        <f>MAX(0,N4637-M4637)</f>
        <v/>
      </c>
      <c r="J4637" s="11">
        <f>MAX(0,M4637-N4637)</f>
        <v/>
      </c>
      <c r="K4637" s="11">
        <f>O4637</f>
        <v/>
      </c>
      <c r="L4637" s="11">
        <f>L4636+IF(K4637&gt;0,K4637*Summary!$B$9,K4637/Summary!$B$9)</f>
        <v/>
      </c>
      <c r="M4637" s="11">
        <f>G4637+H4637</f>
        <v/>
      </c>
      <c r="N4637" s="11">
        <f>Summary!$C$16*Summary!$B$8</f>
        <v/>
      </c>
      <c r="O4637" s="11">
        <f>M4637-N4637</f>
        <v/>
      </c>
    </row>
    <row r="4638">
      <c r="A4638" s="9" t="n">
        <v>45485.16666666666</v>
      </c>
      <c r="B4638" t="n">
        <v>7</v>
      </c>
      <c r="C4638" t="n">
        <v>12</v>
      </c>
      <c r="D4638" t="n">
        <v>4</v>
      </c>
      <c r="E4638" s="10" t="n">
        <v>0.009649</v>
      </c>
      <c r="F4638" s="10" t="n">
        <v>0.1998536159648678</v>
      </c>
      <c r="G4638" s="11">
        <f>E4638*Summary!$B$6</f>
        <v/>
      </c>
      <c r="H4638" s="11">
        <f>F4638*Summary!$B$7</f>
        <v/>
      </c>
      <c r="I4638" s="11">
        <f>MAX(0,N4638-M4638)</f>
        <v/>
      </c>
      <c r="J4638" s="11">
        <f>MAX(0,M4638-N4638)</f>
        <v/>
      </c>
      <c r="K4638" s="11">
        <f>O4638</f>
        <v/>
      </c>
      <c r="L4638" s="11">
        <f>L4637+IF(K4638&gt;0,K4638*Summary!$B$9,K4638/Summary!$B$9)</f>
        <v/>
      </c>
      <c r="M4638" s="11">
        <f>G4638+H4638</f>
        <v/>
      </c>
      <c r="N4638" s="11">
        <f>Summary!$C$16*Summary!$B$8</f>
        <v/>
      </c>
      <c r="O4638" s="11">
        <f>M4638-N4638</f>
        <v/>
      </c>
    </row>
    <row r="4639">
      <c r="A4639" s="9" t="n">
        <v>45485.20833333334</v>
      </c>
      <c r="B4639" t="n">
        <v>7</v>
      </c>
      <c r="C4639" t="n">
        <v>12</v>
      </c>
      <c r="D4639" t="n">
        <v>5</v>
      </c>
      <c r="E4639" s="10" t="n">
        <v>0.02551</v>
      </c>
      <c r="F4639" s="10" t="n">
        <v>0.1898662055678893</v>
      </c>
      <c r="G4639" s="11">
        <f>E4639*Summary!$B$6</f>
        <v/>
      </c>
      <c r="H4639" s="11">
        <f>F4639*Summary!$B$7</f>
        <v/>
      </c>
      <c r="I4639" s="11">
        <f>MAX(0,N4639-M4639)</f>
        <v/>
      </c>
      <c r="J4639" s="11">
        <f>MAX(0,M4639-N4639)</f>
        <v/>
      </c>
      <c r="K4639" s="11">
        <f>O4639</f>
        <v/>
      </c>
      <c r="L4639" s="11">
        <f>L4638+IF(K4639&gt;0,K4639*Summary!$B$9,K4639/Summary!$B$9)</f>
        <v/>
      </c>
      <c r="M4639" s="11">
        <f>G4639+H4639</f>
        <v/>
      </c>
      <c r="N4639" s="11">
        <f>Summary!$C$16*Summary!$B$8</f>
        <v/>
      </c>
      <c r="O4639" s="11">
        <f>M4639-N4639</f>
        <v/>
      </c>
    </row>
    <row r="4640">
      <c r="A4640" s="9" t="n">
        <v>45485.25</v>
      </c>
      <c r="B4640" t="n">
        <v>7</v>
      </c>
      <c r="C4640" t="n">
        <v>12</v>
      </c>
      <c r="D4640" t="n">
        <v>6</v>
      </c>
      <c r="E4640" s="10" t="n">
        <v>0.146287</v>
      </c>
      <c r="F4640" s="10" t="n">
        <v>0.1803004272721025</v>
      </c>
      <c r="G4640" s="11">
        <f>E4640*Summary!$B$6</f>
        <v/>
      </c>
      <c r="H4640" s="11">
        <f>F4640*Summary!$B$7</f>
        <v/>
      </c>
      <c r="I4640" s="11">
        <f>MAX(0,N4640-M4640)</f>
        <v/>
      </c>
      <c r="J4640" s="11">
        <f>MAX(0,M4640-N4640)</f>
        <v/>
      </c>
      <c r="K4640" s="11">
        <f>O4640</f>
        <v/>
      </c>
      <c r="L4640" s="11">
        <f>L4639+IF(K4640&gt;0,K4640*Summary!$B$9,K4640/Summary!$B$9)</f>
        <v/>
      </c>
      <c r="M4640" s="11">
        <f>G4640+H4640</f>
        <v/>
      </c>
      <c r="N4640" s="11">
        <f>Summary!$C$16*Summary!$B$8</f>
        <v/>
      </c>
      <c r="O4640" s="11">
        <f>M4640-N4640</f>
        <v/>
      </c>
    </row>
    <row r="4641">
      <c r="A4641" s="9" t="n">
        <v>45485.29166666666</v>
      </c>
      <c r="B4641" t="n">
        <v>7</v>
      </c>
      <c r="C4641" t="n">
        <v>12</v>
      </c>
      <c r="D4641" t="n">
        <v>7</v>
      </c>
      <c r="E4641" s="10" t="n">
        <v>0.219176</v>
      </c>
      <c r="F4641" s="10" t="n">
        <v>0.1738968897352535</v>
      </c>
      <c r="G4641" s="11">
        <f>E4641*Summary!$B$6</f>
        <v/>
      </c>
      <c r="H4641" s="11">
        <f>F4641*Summary!$B$7</f>
        <v/>
      </c>
      <c r="I4641" s="11">
        <f>MAX(0,N4641-M4641)</f>
        <v/>
      </c>
      <c r="J4641" s="11">
        <f>MAX(0,M4641-N4641)</f>
        <v/>
      </c>
      <c r="K4641" s="11">
        <f>O4641</f>
        <v/>
      </c>
      <c r="L4641" s="11">
        <f>L4640+IF(K4641&gt;0,K4641*Summary!$B$9,K4641/Summary!$B$9)</f>
        <v/>
      </c>
      <c r="M4641" s="11">
        <f>G4641+H4641</f>
        <v/>
      </c>
      <c r="N4641" s="11">
        <f>Summary!$C$16*Summary!$B$8</f>
        <v/>
      </c>
      <c r="O4641" s="11">
        <f>M4641-N4641</f>
        <v/>
      </c>
    </row>
    <row r="4642">
      <c r="A4642" s="9" t="n">
        <v>45485.33333333334</v>
      </c>
      <c r="B4642" t="n">
        <v>7</v>
      </c>
      <c r="C4642" t="n">
        <v>12</v>
      </c>
      <c r="D4642" t="n">
        <v>8</v>
      </c>
      <c r="E4642" s="10" t="n">
        <v>0.389732</v>
      </c>
      <c r="F4642" s="10" t="n">
        <v>0.1712880411091298</v>
      </c>
      <c r="G4642" s="11">
        <f>E4642*Summary!$B$6</f>
        <v/>
      </c>
      <c r="H4642" s="11">
        <f>F4642*Summary!$B$7</f>
        <v/>
      </c>
      <c r="I4642" s="11">
        <f>MAX(0,N4642-M4642)</f>
        <v/>
      </c>
      <c r="J4642" s="11">
        <f>MAX(0,M4642-N4642)</f>
        <v/>
      </c>
      <c r="K4642" s="11">
        <f>O4642</f>
        <v/>
      </c>
      <c r="L4642" s="11">
        <f>L4641+IF(K4642&gt;0,K4642*Summary!$B$9,K4642/Summary!$B$9)</f>
        <v/>
      </c>
      <c r="M4642" s="11">
        <f>G4642+H4642</f>
        <v/>
      </c>
      <c r="N4642" s="11">
        <f>Summary!$C$16*Summary!$B$8</f>
        <v/>
      </c>
      <c r="O4642" s="11">
        <f>M4642-N4642</f>
        <v/>
      </c>
    </row>
    <row r="4643">
      <c r="A4643" s="9" t="n">
        <v>45485.375</v>
      </c>
      <c r="B4643" t="n">
        <v>7</v>
      </c>
      <c r="C4643" t="n">
        <v>12</v>
      </c>
      <c r="D4643" t="n">
        <v>9</v>
      </c>
      <c r="E4643" s="10" t="n">
        <v>0.5906130000000001</v>
      </c>
      <c r="F4643" s="10" t="n">
        <v>0.1876789890429574</v>
      </c>
      <c r="G4643" s="11">
        <f>E4643*Summary!$B$6</f>
        <v/>
      </c>
      <c r="H4643" s="11">
        <f>F4643*Summary!$B$7</f>
        <v/>
      </c>
      <c r="I4643" s="11">
        <f>MAX(0,N4643-M4643)</f>
        <v/>
      </c>
      <c r="J4643" s="11">
        <f>MAX(0,M4643-N4643)</f>
        <v/>
      </c>
      <c r="K4643" s="11">
        <f>O4643</f>
        <v/>
      </c>
      <c r="L4643" s="11">
        <f>L4642+IF(K4643&gt;0,K4643*Summary!$B$9,K4643/Summary!$B$9)</f>
        <v/>
      </c>
      <c r="M4643" s="11">
        <f>G4643+H4643</f>
        <v/>
      </c>
      <c r="N4643" s="11">
        <f>Summary!$C$16*Summary!$B$8</f>
        <v/>
      </c>
      <c r="O4643" s="11">
        <f>M4643-N4643</f>
        <v/>
      </c>
    </row>
    <row r="4644">
      <c r="A4644" s="9" t="n">
        <v>45485.41666666666</v>
      </c>
      <c r="B4644" t="n">
        <v>7</v>
      </c>
      <c r="C4644" t="n">
        <v>12</v>
      </c>
      <c r="D4644" t="n">
        <v>10</v>
      </c>
      <c r="E4644" s="10" t="n">
        <v>0.665903</v>
      </c>
      <c r="F4644" s="10" t="n">
        <v>0.1949257907821898</v>
      </c>
      <c r="G4644" s="11">
        <f>E4644*Summary!$B$6</f>
        <v/>
      </c>
      <c r="H4644" s="11">
        <f>F4644*Summary!$B$7</f>
        <v/>
      </c>
      <c r="I4644" s="11">
        <f>MAX(0,N4644-M4644)</f>
        <v/>
      </c>
      <c r="J4644" s="11">
        <f>MAX(0,M4644-N4644)</f>
        <v/>
      </c>
      <c r="K4644" s="11">
        <f>O4644</f>
        <v/>
      </c>
      <c r="L4644" s="11">
        <f>L4643+IF(K4644&gt;0,K4644*Summary!$B$9,K4644/Summary!$B$9)</f>
        <v/>
      </c>
      <c r="M4644" s="11">
        <f>G4644+H4644</f>
        <v/>
      </c>
      <c r="N4644" s="11">
        <f>Summary!$C$16*Summary!$B$8</f>
        <v/>
      </c>
      <c r="O4644" s="11">
        <f>M4644-N4644</f>
        <v/>
      </c>
    </row>
    <row r="4645">
      <c r="A4645" s="9" t="n">
        <v>45485.45833333334</v>
      </c>
      <c r="B4645" t="n">
        <v>7</v>
      </c>
      <c r="C4645" t="n">
        <v>12</v>
      </c>
      <c r="D4645" t="n">
        <v>11</v>
      </c>
      <c r="E4645" s="10" t="n">
        <v>0.601704</v>
      </c>
      <c r="F4645" s="10" t="n">
        <v>0.1961906870857649</v>
      </c>
      <c r="G4645" s="11">
        <f>E4645*Summary!$B$6</f>
        <v/>
      </c>
      <c r="H4645" s="11">
        <f>F4645*Summary!$B$7</f>
        <v/>
      </c>
      <c r="I4645" s="11">
        <f>MAX(0,N4645-M4645)</f>
        <v/>
      </c>
      <c r="J4645" s="11">
        <f>MAX(0,M4645-N4645)</f>
        <v/>
      </c>
      <c r="K4645" s="11">
        <f>O4645</f>
        <v/>
      </c>
      <c r="L4645" s="11">
        <f>L4644+IF(K4645&gt;0,K4645*Summary!$B$9,K4645/Summary!$B$9)</f>
        <v/>
      </c>
      <c r="M4645" s="11">
        <f>G4645+H4645</f>
        <v/>
      </c>
      <c r="N4645" s="11">
        <f>Summary!$C$16*Summary!$B$8</f>
        <v/>
      </c>
      <c r="O4645" s="11">
        <f>M4645-N4645</f>
        <v/>
      </c>
    </row>
    <row r="4646">
      <c r="A4646" s="9" t="n">
        <v>45485.5</v>
      </c>
      <c r="B4646" t="n">
        <v>7</v>
      </c>
      <c r="C4646" t="n">
        <v>12</v>
      </c>
      <c r="D4646" t="n">
        <v>12</v>
      </c>
      <c r="E4646" s="10" t="n">
        <v>0.565045</v>
      </c>
      <c r="F4646" s="10" t="n">
        <v>0.1802477232594536</v>
      </c>
      <c r="G4646" s="11">
        <f>E4646*Summary!$B$6</f>
        <v/>
      </c>
      <c r="H4646" s="11">
        <f>F4646*Summary!$B$7</f>
        <v/>
      </c>
      <c r="I4646" s="11">
        <f>MAX(0,N4646-M4646)</f>
        <v/>
      </c>
      <c r="J4646" s="11">
        <f>MAX(0,M4646-N4646)</f>
        <v/>
      </c>
      <c r="K4646" s="11">
        <f>O4646</f>
        <v/>
      </c>
      <c r="L4646" s="11">
        <f>L4645+IF(K4646&gt;0,K4646*Summary!$B$9,K4646/Summary!$B$9)</f>
        <v/>
      </c>
      <c r="M4646" s="11">
        <f>G4646+H4646</f>
        <v/>
      </c>
      <c r="N4646" s="11">
        <f>Summary!$C$16*Summary!$B$8</f>
        <v/>
      </c>
      <c r="O4646" s="11">
        <f>M4646-N4646</f>
        <v/>
      </c>
    </row>
    <row r="4647">
      <c r="A4647" s="9" t="n">
        <v>45485.54166666666</v>
      </c>
      <c r="B4647" t="n">
        <v>7</v>
      </c>
      <c r="C4647" t="n">
        <v>12</v>
      </c>
      <c r="D4647" t="n">
        <v>13</v>
      </c>
      <c r="E4647" s="10" t="n">
        <v>0.676854</v>
      </c>
      <c r="F4647" s="10" t="n">
        <v>0.1977981594715583</v>
      </c>
      <c r="G4647" s="11">
        <f>E4647*Summary!$B$6</f>
        <v/>
      </c>
      <c r="H4647" s="11">
        <f>F4647*Summary!$B$7</f>
        <v/>
      </c>
      <c r="I4647" s="11">
        <f>MAX(0,N4647-M4647)</f>
        <v/>
      </c>
      <c r="J4647" s="11">
        <f>MAX(0,M4647-N4647)</f>
        <v/>
      </c>
      <c r="K4647" s="11">
        <f>O4647</f>
        <v/>
      </c>
      <c r="L4647" s="11">
        <f>L4646+IF(K4647&gt;0,K4647*Summary!$B$9,K4647/Summary!$B$9)</f>
        <v/>
      </c>
      <c r="M4647" s="11">
        <f>G4647+H4647</f>
        <v/>
      </c>
      <c r="N4647" s="11">
        <f>Summary!$C$16*Summary!$B$8</f>
        <v/>
      </c>
      <c r="O4647" s="11">
        <f>M4647-N4647</f>
        <v/>
      </c>
    </row>
    <row r="4648">
      <c r="A4648" s="9" t="n">
        <v>45485.58333333334</v>
      </c>
      <c r="B4648" t="n">
        <v>7</v>
      </c>
      <c r="C4648" t="n">
        <v>12</v>
      </c>
      <c r="D4648" t="n">
        <v>14</v>
      </c>
      <c r="E4648" s="10" t="n">
        <v>0.691344</v>
      </c>
      <c r="F4648" s="10" t="n">
        <v>0.1923959981750396</v>
      </c>
      <c r="G4648" s="11">
        <f>E4648*Summary!$B$6</f>
        <v/>
      </c>
      <c r="H4648" s="11">
        <f>F4648*Summary!$B$7</f>
        <v/>
      </c>
      <c r="I4648" s="11">
        <f>MAX(0,N4648-M4648)</f>
        <v/>
      </c>
      <c r="J4648" s="11">
        <f>MAX(0,M4648-N4648)</f>
        <v/>
      </c>
      <c r="K4648" s="11">
        <f>O4648</f>
        <v/>
      </c>
      <c r="L4648" s="11">
        <f>L4647+IF(K4648&gt;0,K4648*Summary!$B$9,K4648/Summary!$B$9)</f>
        <v/>
      </c>
      <c r="M4648" s="11">
        <f>G4648+H4648</f>
        <v/>
      </c>
      <c r="N4648" s="11">
        <f>Summary!$C$16*Summary!$B$8</f>
        <v/>
      </c>
      <c r="O4648" s="11">
        <f>M4648-N4648</f>
        <v/>
      </c>
    </row>
    <row r="4649">
      <c r="A4649" s="9" t="n">
        <v>45485.625</v>
      </c>
      <c r="B4649" t="n">
        <v>7</v>
      </c>
      <c r="C4649" t="n">
        <v>12</v>
      </c>
      <c r="D4649" t="n">
        <v>15</v>
      </c>
      <c r="E4649" s="10" t="n">
        <v>0.583803</v>
      </c>
      <c r="F4649" s="10" t="n">
        <v>0.1961116310667914</v>
      </c>
      <c r="G4649" s="11">
        <f>E4649*Summary!$B$6</f>
        <v/>
      </c>
      <c r="H4649" s="11">
        <f>F4649*Summary!$B$7</f>
        <v/>
      </c>
      <c r="I4649" s="11">
        <f>MAX(0,N4649-M4649)</f>
        <v/>
      </c>
      <c r="J4649" s="11">
        <f>MAX(0,M4649-N4649)</f>
        <v/>
      </c>
      <c r="K4649" s="11">
        <f>O4649</f>
        <v/>
      </c>
      <c r="L4649" s="11">
        <f>L4648+IF(K4649&gt;0,K4649*Summary!$B$9,K4649/Summary!$B$9)</f>
        <v/>
      </c>
      <c r="M4649" s="11">
        <f>G4649+H4649</f>
        <v/>
      </c>
      <c r="N4649" s="11">
        <f>Summary!$C$16*Summary!$B$8</f>
        <v/>
      </c>
      <c r="O4649" s="11">
        <f>M4649-N4649</f>
        <v/>
      </c>
    </row>
    <row r="4650">
      <c r="A4650" s="9" t="n">
        <v>45485.66666666666</v>
      </c>
      <c r="B4650" t="n">
        <v>7</v>
      </c>
      <c r="C4650" t="n">
        <v>12</v>
      </c>
      <c r="D4650" t="n">
        <v>16</v>
      </c>
      <c r="E4650" s="10" t="n">
        <v>0.364117</v>
      </c>
      <c r="F4650" s="10" t="n">
        <v>0.1887594213022611</v>
      </c>
      <c r="G4650" s="11">
        <f>E4650*Summary!$B$6</f>
        <v/>
      </c>
      <c r="H4650" s="11">
        <f>F4650*Summary!$B$7</f>
        <v/>
      </c>
      <c r="I4650" s="11">
        <f>MAX(0,N4650-M4650)</f>
        <v/>
      </c>
      <c r="J4650" s="11">
        <f>MAX(0,M4650-N4650)</f>
        <v/>
      </c>
      <c r="K4650" s="11">
        <f>O4650</f>
        <v/>
      </c>
      <c r="L4650" s="11">
        <f>L4649+IF(K4650&gt;0,K4650*Summary!$B$9,K4650/Summary!$B$9)</f>
        <v/>
      </c>
      <c r="M4650" s="11">
        <f>G4650+H4650</f>
        <v/>
      </c>
      <c r="N4650" s="11">
        <f>Summary!$C$16*Summary!$B$8</f>
        <v/>
      </c>
      <c r="O4650" s="11">
        <f>M4650-N4650</f>
        <v/>
      </c>
    </row>
    <row r="4651">
      <c r="A4651" s="9" t="n">
        <v>45485.70833333334</v>
      </c>
      <c r="B4651" t="n">
        <v>7</v>
      </c>
      <c r="C4651" t="n">
        <v>12</v>
      </c>
      <c r="D4651" t="n">
        <v>17</v>
      </c>
      <c r="E4651" s="10" t="n">
        <v>0.223596</v>
      </c>
      <c r="F4651" s="10" t="n">
        <v>0.1847275643346154</v>
      </c>
      <c r="G4651" s="11">
        <f>E4651*Summary!$B$6</f>
        <v/>
      </c>
      <c r="H4651" s="11">
        <f>F4651*Summary!$B$7</f>
        <v/>
      </c>
      <c r="I4651" s="11">
        <f>MAX(0,N4651-M4651)</f>
        <v/>
      </c>
      <c r="J4651" s="11">
        <f>MAX(0,M4651-N4651)</f>
        <v/>
      </c>
      <c r="K4651" s="11">
        <f>O4651</f>
        <v/>
      </c>
      <c r="L4651" s="11">
        <f>L4650+IF(K4651&gt;0,K4651*Summary!$B$9,K4651/Summary!$B$9)</f>
        <v/>
      </c>
      <c r="M4651" s="11">
        <f>G4651+H4651</f>
        <v/>
      </c>
      <c r="N4651" s="11">
        <f>Summary!$C$16*Summary!$B$8</f>
        <v/>
      </c>
      <c r="O4651" s="11">
        <f>M4651-N4651</f>
        <v/>
      </c>
    </row>
    <row r="4652">
      <c r="A4652" s="9" t="n">
        <v>45485.75</v>
      </c>
      <c r="B4652" t="n">
        <v>7</v>
      </c>
      <c r="C4652" t="n">
        <v>12</v>
      </c>
      <c r="D4652" t="n">
        <v>18</v>
      </c>
      <c r="E4652" s="10" t="n">
        <v>0.097673</v>
      </c>
      <c r="F4652" s="10" t="n">
        <v>0.1931075023458006</v>
      </c>
      <c r="G4652" s="11">
        <f>E4652*Summary!$B$6</f>
        <v/>
      </c>
      <c r="H4652" s="11">
        <f>F4652*Summary!$B$7</f>
        <v/>
      </c>
      <c r="I4652" s="11">
        <f>MAX(0,N4652-M4652)</f>
        <v/>
      </c>
      <c r="J4652" s="11">
        <f>MAX(0,M4652-N4652)</f>
        <v/>
      </c>
      <c r="K4652" s="11">
        <f>O4652</f>
        <v/>
      </c>
      <c r="L4652" s="11">
        <f>L4651+IF(K4652&gt;0,K4652*Summary!$B$9,K4652/Summary!$B$9)</f>
        <v/>
      </c>
      <c r="M4652" s="11">
        <f>G4652+H4652</f>
        <v/>
      </c>
      <c r="N4652" s="11">
        <f>Summary!$C$16*Summary!$B$8</f>
        <v/>
      </c>
      <c r="O4652" s="11">
        <f>M4652-N4652</f>
        <v/>
      </c>
    </row>
    <row r="4653">
      <c r="A4653" s="9" t="n">
        <v>45485.79166666666</v>
      </c>
      <c r="B4653" t="n">
        <v>7</v>
      </c>
      <c r="C4653" t="n">
        <v>12</v>
      </c>
      <c r="D4653" t="n">
        <v>19</v>
      </c>
      <c r="E4653" s="10" t="n">
        <v>0.038335</v>
      </c>
      <c r="F4653" s="10" t="n">
        <v>0.1773490025637606</v>
      </c>
      <c r="G4653" s="11">
        <f>E4653*Summary!$B$6</f>
        <v/>
      </c>
      <c r="H4653" s="11">
        <f>F4653*Summary!$B$7</f>
        <v/>
      </c>
      <c r="I4653" s="11">
        <f>MAX(0,N4653-M4653)</f>
        <v/>
      </c>
      <c r="J4653" s="11">
        <f>MAX(0,M4653-N4653)</f>
        <v/>
      </c>
      <c r="K4653" s="11">
        <f>O4653</f>
        <v/>
      </c>
      <c r="L4653" s="11">
        <f>L4652+IF(K4653&gt;0,K4653*Summary!$B$9,K4653/Summary!$B$9)</f>
        <v/>
      </c>
      <c r="M4653" s="11">
        <f>G4653+H4653</f>
        <v/>
      </c>
      <c r="N4653" s="11">
        <f>Summary!$C$16*Summary!$B$8</f>
        <v/>
      </c>
      <c r="O4653" s="11">
        <f>M4653-N4653</f>
        <v/>
      </c>
    </row>
    <row r="4654">
      <c r="A4654" s="9" t="n">
        <v>45485.83333333334</v>
      </c>
      <c r="B4654" t="n">
        <v>7</v>
      </c>
      <c r="C4654" t="n">
        <v>12</v>
      </c>
      <c r="D4654" t="n">
        <v>20</v>
      </c>
      <c r="E4654" s="10" t="n">
        <v>0.024412</v>
      </c>
      <c r="F4654" s="10" t="n">
        <v>0.1849120283788868</v>
      </c>
      <c r="G4654" s="11">
        <f>E4654*Summary!$B$6</f>
        <v/>
      </c>
      <c r="H4654" s="11">
        <f>F4654*Summary!$B$7</f>
        <v/>
      </c>
      <c r="I4654" s="11">
        <f>MAX(0,N4654-M4654)</f>
        <v/>
      </c>
      <c r="J4654" s="11">
        <f>MAX(0,M4654-N4654)</f>
        <v/>
      </c>
      <c r="K4654" s="11">
        <f>O4654</f>
        <v/>
      </c>
      <c r="L4654" s="11">
        <f>L4653+IF(K4654&gt;0,K4654*Summary!$B$9,K4654/Summary!$B$9)</f>
        <v/>
      </c>
      <c r="M4654" s="11">
        <f>G4654+H4654</f>
        <v/>
      </c>
      <c r="N4654" s="11">
        <f>Summary!$C$16*Summary!$B$8</f>
        <v/>
      </c>
      <c r="O4654" s="11">
        <f>M4654-N4654</f>
        <v/>
      </c>
    </row>
    <row r="4655">
      <c r="A4655" s="9" t="n">
        <v>45485.875</v>
      </c>
      <c r="B4655" t="n">
        <v>7</v>
      </c>
      <c r="C4655" t="n">
        <v>12</v>
      </c>
      <c r="D4655" t="n">
        <v>21</v>
      </c>
      <c r="E4655" s="10" t="n">
        <v>0</v>
      </c>
      <c r="F4655" s="10" t="n">
        <v>0.1976400474336114</v>
      </c>
      <c r="G4655" s="11">
        <f>E4655*Summary!$B$6</f>
        <v/>
      </c>
      <c r="H4655" s="11">
        <f>F4655*Summary!$B$7</f>
        <v/>
      </c>
      <c r="I4655" s="11">
        <f>MAX(0,N4655-M4655)</f>
        <v/>
      </c>
      <c r="J4655" s="11">
        <f>MAX(0,M4655-N4655)</f>
        <v/>
      </c>
      <c r="K4655" s="11">
        <f>O4655</f>
        <v/>
      </c>
      <c r="L4655" s="11">
        <f>L4654+IF(K4655&gt;0,K4655*Summary!$B$9,K4655/Summary!$B$9)</f>
        <v/>
      </c>
      <c r="M4655" s="11">
        <f>G4655+H4655</f>
        <v/>
      </c>
      <c r="N4655" s="11">
        <f>Summary!$C$16*Summary!$B$8</f>
        <v/>
      </c>
      <c r="O4655" s="11">
        <f>M4655-N4655</f>
        <v/>
      </c>
    </row>
    <row r="4656">
      <c r="A4656" s="9" t="n">
        <v>45485.91666666666</v>
      </c>
      <c r="B4656" t="n">
        <v>7</v>
      </c>
      <c r="C4656" t="n">
        <v>12</v>
      </c>
      <c r="D4656" t="n">
        <v>22</v>
      </c>
      <c r="E4656" s="10" t="n">
        <v>0</v>
      </c>
      <c r="F4656" s="10" t="n">
        <v>0.2072058257293982</v>
      </c>
      <c r="G4656" s="11">
        <f>E4656*Summary!$B$6</f>
        <v/>
      </c>
      <c r="H4656" s="11">
        <f>F4656*Summary!$B$7</f>
        <v/>
      </c>
      <c r="I4656" s="11">
        <f>MAX(0,N4656-M4656)</f>
        <v/>
      </c>
      <c r="J4656" s="11">
        <f>MAX(0,M4656-N4656)</f>
        <v/>
      </c>
      <c r="K4656" s="11">
        <f>O4656</f>
        <v/>
      </c>
      <c r="L4656" s="11">
        <f>L4655+IF(K4656&gt;0,K4656*Summary!$B$9,K4656/Summary!$B$9)</f>
        <v/>
      </c>
      <c r="M4656" s="11">
        <f>G4656+H4656</f>
        <v/>
      </c>
      <c r="N4656" s="11">
        <f>Summary!$C$16*Summary!$B$8</f>
        <v/>
      </c>
      <c r="O4656" s="11">
        <f>M4656-N4656</f>
        <v/>
      </c>
    </row>
    <row r="4657">
      <c r="A4657" s="9" t="n">
        <v>45485.95833333334</v>
      </c>
      <c r="B4657" t="n">
        <v>7</v>
      </c>
      <c r="C4657" t="n">
        <v>12</v>
      </c>
      <c r="D4657" t="n">
        <v>23</v>
      </c>
      <c r="E4657" s="10" t="n">
        <v>0</v>
      </c>
      <c r="F4657" s="10" t="n">
        <v>0.2141891074053858</v>
      </c>
      <c r="G4657" s="11">
        <f>E4657*Summary!$B$6</f>
        <v/>
      </c>
      <c r="H4657" s="11">
        <f>F4657*Summary!$B$7</f>
        <v/>
      </c>
      <c r="I4657" s="11">
        <f>MAX(0,N4657-M4657)</f>
        <v/>
      </c>
      <c r="J4657" s="11">
        <f>MAX(0,M4657-N4657)</f>
        <v/>
      </c>
      <c r="K4657" s="11">
        <f>O4657</f>
        <v/>
      </c>
      <c r="L4657" s="11">
        <f>L4656+IF(K4657&gt;0,K4657*Summary!$B$9,K4657/Summary!$B$9)</f>
        <v/>
      </c>
      <c r="M4657" s="11">
        <f>G4657+H4657</f>
        <v/>
      </c>
      <c r="N4657" s="11">
        <f>Summary!$C$16*Summary!$B$8</f>
        <v/>
      </c>
      <c r="O4657" s="11">
        <f>M4657-N4657</f>
        <v/>
      </c>
    </row>
    <row r="4658">
      <c r="A4658" s="9" t="n">
        <v>45486</v>
      </c>
      <c r="B4658" t="n">
        <v>7</v>
      </c>
      <c r="C4658" t="n">
        <v>13</v>
      </c>
      <c r="D4658" t="n">
        <v>0</v>
      </c>
      <c r="E4658" s="10" t="n">
        <v>0</v>
      </c>
      <c r="F4658" s="10" t="n">
        <v>0.2384066012175843</v>
      </c>
      <c r="G4658" s="11">
        <f>E4658*Summary!$B$6</f>
        <v/>
      </c>
      <c r="H4658" s="11">
        <f>F4658*Summary!$B$7</f>
        <v/>
      </c>
      <c r="I4658" s="11">
        <f>MAX(0,N4658-M4658)</f>
        <v/>
      </c>
      <c r="J4658" s="11">
        <f>MAX(0,M4658-N4658)</f>
        <v/>
      </c>
      <c r="K4658" s="11">
        <f>O4658</f>
        <v/>
      </c>
      <c r="L4658" s="11">
        <f>L4657+IF(K4658&gt;0,K4658*Summary!$B$9,K4658/Summary!$B$9)</f>
        <v/>
      </c>
      <c r="M4658" s="11">
        <f>G4658+H4658</f>
        <v/>
      </c>
      <c r="N4658" s="11">
        <f>Summary!$C$16*Summary!$B$8</f>
        <v/>
      </c>
      <c r="O4658" s="11">
        <f>M4658-N4658</f>
        <v/>
      </c>
    </row>
    <row r="4659">
      <c r="A4659" s="9" t="n">
        <v>45486.04166666666</v>
      </c>
      <c r="B4659" t="n">
        <v>7</v>
      </c>
      <c r="C4659" t="n">
        <v>13</v>
      </c>
      <c r="D4659" t="n">
        <v>1</v>
      </c>
      <c r="E4659" s="10" t="n">
        <v>0</v>
      </c>
      <c r="F4659" s="10" t="n">
        <v>0.2161128038670729</v>
      </c>
      <c r="G4659" s="11">
        <f>E4659*Summary!$B$6</f>
        <v/>
      </c>
      <c r="H4659" s="11">
        <f>F4659*Summary!$B$7</f>
        <v/>
      </c>
      <c r="I4659" s="11">
        <f>MAX(0,N4659-M4659)</f>
        <v/>
      </c>
      <c r="J4659" s="11">
        <f>MAX(0,M4659-N4659)</f>
        <v/>
      </c>
      <c r="K4659" s="11">
        <f>O4659</f>
        <v/>
      </c>
      <c r="L4659" s="11">
        <f>L4658+IF(K4659&gt;0,K4659*Summary!$B$9,K4659/Summary!$B$9)</f>
        <v/>
      </c>
      <c r="M4659" s="11">
        <f>G4659+H4659</f>
        <v/>
      </c>
      <c r="N4659" s="11">
        <f>Summary!$C$16*Summary!$B$8</f>
        <v/>
      </c>
      <c r="O4659" s="11">
        <f>M4659-N4659</f>
        <v/>
      </c>
    </row>
    <row r="4660">
      <c r="A4660" s="9" t="n">
        <v>45486.08333333334</v>
      </c>
      <c r="B4660" t="n">
        <v>7</v>
      </c>
      <c r="C4660" t="n">
        <v>13</v>
      </c>
      <c r="D4660" t="n">
        <v>2</v>
      </c>
      <c r="E4660" s="10" t="n">
        <v>0</v>
      </c>
      <c r="F4660" s="10" t="n">
        <v>0.2044125130590032</v>
      </c>
      <c r="G4660" s="11">
        <f>E4660*Summary!$B$6</f>
        <v/>
      </c>
      <c r="H4660" s="11">
        <f>F4660*Summary!$B$7</f>
        <v/>
      </c>
      <c r="I4660" s="11">
        <f>MAX(0,N4660-M4660)</f>
        <v/>
      </c>
      <c r="J4660" s="11">
        <f>MAX(0,M4660-N4660)</f>
        <v/>
      </c>
      <c r="K4660" s="11">
        <f>O4660</f>
        <v/>
      </c>
      <c r="L4660" s="11">
        <f>L4659+IF(K4660&gt;0,K4660*Summary!$B$9,K4660/Summary!$B$9)</f>
        <v/>
      </c>
      <c r="M4660" s="11">
        <f>G4660+H4660</f>
        <v/>
      </c>
      <c r="N4660" s="11">
        <f>Summary!$C$16*Summary!$B$8</f>
        <v/>
      </c>
      <c r="O4660" s="11">
        <f>M4660-N4660</f>
        <v/>
      </c>
    </row>
    <row r="4661">
      <c r="A4661" s="9" t="n">
        <v>45486.125</v>
      </c>
      <c r="B4661" t="n">
        <v>7</v>
      </c>
      <c r="C4661" t="n">
        <v>13</v>
      </c>
      <c r="D4661" t="n">
        <v>3</v>
      </c>
      <c r="E4661" s="10" t="n">
        <v>0</v>
      </c>
      <c r="F4661" s="10" t="n">
        <v>0.1985096636423193</v>
      </c>
      <c r="G4661" s="11">
        <f>E4661*Summary!$B$6</f>
        <v/>
      </c>
      <c r="H4661" s="11">
        <f>F4661*Summary!$B$7</f>
        <v/>
      </c>
      <c r="I4661" s="11">
        <f>MAX(0,N4661-M4661)</f>
        <v/>
      </c>
      <c r="J4661" s="11">
        <f>MAX(0,M4661-N4661)</f>
        <v/>
      </c>
      <c r="K4661" s="11">
        <f>O4661</f>
        <v/>
      </c>
      <c r="L4661" s="11">
        <f>L4660+IF(K4661&gt;0,K4661*Summary!$B$9,K4661/Summary!$B$9)</f>
        <v/>
      </c>
      <c r="M4661" s="11">
        <f>G4661+H4661</f>
        <v/>
      </c>
      <c r="N4661" s="11">
        <f>Summary!$C$16*Summary!$B$8</f>
        <v/>
      </c>
      <c r="O4661" s="11">
        <f>M4661-N4661</f>
        <v/>
      </c>
    </row>
    <row r="4662">
      <c r="A4662" s="9" t="n">
        <v>45486.16666666666</v>
      </c>
      <c r="B4662" t="n">
        <v>7</v>
      </c>
      <c r="C4662" t="n">
        <v>13</v>
      </c>
      <c r="D4662" t="n">
        <v>4</v>
      </c>
      <c r="E4662" s="10" t="n">
        <v>0.043119</v>
      </c>
      <c r="F4662" s="10" t="n">
        <v>0.1863350367204088</v>
      </c>
      <c r="G4662" s="11">
        <f>E4662*Summary!$B$6</f>
        <v/>
      </c>
      <c r="H4662" s="11">
        <f>F4662*Summary!$B$7</f>
        <v/>
      </c>
      <c r="I4662" s="11">
        <f>MAX(0,N4662-M4662)</f>
        <v/>
      </c>
      <c r="J4662" s="11">
        <f>MAX(0,M4662-N4662)</f>
        <v/>
      </c>
      <c r="K4662" s="11">
        <f>O4662</f>
        <v/>
      </c>
      <c r="L4662" s="11">
        <f>L4661+IF(K4662&gt;0,K4662*Summary!$B$9,K4662/Summary!$B$9)</f>
        <v/>
      </c>
      <c r="M4662" s="11">
        <f>G4662+H4662</f>
        <v/>
      </c>
      <c r="N4662" s="11">
        <f>Summary!$C$16*Summary!$B$8</f>
        <v/>
      </c>
      <c r="O4662" s="11">
        <f>M4662-N4662</f>
        <v/>
      </c>
    </row>
    <row r="4663">
      <c r="A4663" s="9" t="n">
        <v>45486.20833333334</v>
      </c>
      <c r="B4663" t="n">
        <v>7</v>
      </c>
      <c r="C4663" t="n">
        <v>13</v>
      </c>
      <c r="D4663" t="n">
        <v>5</v>
      </c>
      <c r="E4663" s="10" t="n">
        <v>0.049604</v>
      </c>
      <c r="F4663" s="10" t="n">
        <v>0.1711562810775075</v>
      </c>
      <c r="G4663" s="11">
        <f>E4663*Summary!$B$6</f>
        <v/>
      </c>
      <c r="H4663" s="11">
        <f>F4663*Summary!$B$7</f>
        <v/>
      </c>
      <c r="I4663" s="11">
        <f>MAX(0,N4663-M4663)</f>
        <v/>
      </c>
      <c r="J4663" s="11">
        <f>MAX(0,M4663-N4663)</f>
        <v/>
      </c>
      <c r="K4663" s="11">
        <f>O4663</f>
        <v/>
      </c>
      <c r="L4663" s="11">
        <f>L4662+IF(K4663&gt;0,K4663*Summary!$B$9,K4663/Summary!$B$9)</f>
        <v/>
      </c>
      <c r="M4663" s="11">
        <f>G4663+H4663</f>
        <v/>
      </c>
      <c r="N4663" s="11">
        <f>Summary!$C$16*Summary!$B$8</f>
        <v/>
      </c>
      <c r="O4663" s="11">
        <f>M4663-N4663</f>
        <v/>
      </c>
    </row>
    <row r="4664">
      <c r="A4664" s="9" t="n">
        <v>45486.25</v>
      </c>
      <c r="B4664" t="n">
        <v>7</v>
      </c>
      <c r="C4664" t="n">
        <v>13</v>
      </c>
      <c r="D4664" t="n">
        <v>6</v>
      </c>
      <c r="E4664" s="10" t="n">
        <v>0.190475</v>
      </c>
      <c r="F4664" s="10" t="n">
        <v>0.1580329819279157</v>
      </c>
      <c r="G4664" s="11">
        <f>E4664*Summary!$B$6</f>
        <v/>
      </c>
      <c r="H4664" s="11">
        <f>F4664*Summary!$B$7</f>
        <v/>
      </c>
      <c r="I4664" s="11">
        <f>MAX(0,N4664-M4664)</f>
        <v/>
      </c>
      <c r="J4664" s="11">
        <f>MAX(0,M4664-N4664)</f>
        <v/>
      </c>
      <c r="K4664" s="11">
        <f>O4664</f>
        <v/>
      </c>
      <c r="L4664" s="11">
        <f>L4663+IF(K4664&gt;0,K4664*Summary!$B$9,K4664/Summary!$B$9)</f>
        <v/>
      </c>
      <c r="M4664" s="11">
        <f>G4664+H4664</f>
        <v/>
      </c>
      <c r="N4664" s="11">
        <f>Summary!$C$16*Summary!$B$8</f>
        <v/>
      </c>
      <c r="O4664" s="11">
        <f>M4664-N4664</f>
        <v/>
      </c>
    </row>
    <row r="4665">
      <c r="A4665" s="9" t="n">
        <v>45486.29166666666</v>
      </c>
      <c r="B4665" t="n">
        <v>7</v>
      </c>
      <c r="C4665" t="n">
        <v>13</v>
      </c>
      <c r="D4665" t="n">
        <v>7</v>
      </c>
      <c r="E4665" s="10" t="n">
        <v>0.39566</v>
      </c>
      <c r="F4665" s="10" t="n">
        <v>0.1523145965555032</v>
      </c>
      <c r="G4665" s="11">
        <f>E4665*Summary!$B$6</f>
        <v/>
      </c>
      <c r="H4665" s="11">
        <f>F4665*Summary!$B$7</f>
        <v/>
      </c>
      <c r="I4665" s="11">
        <f>MAX(0,N4665-M4665)</f>
        <v/>
      </c>
      <c r="J4665" s="11">
        <f>MAX(0,M4665-N4665)</f>
        <v/>
      </c>
      <c r="K4665" s="11">
        <f>O4665</f>
        <v/>
      </c>
      <c r="L4665" s="11">
        <f>L4664+IF(K4665&gt;0,K4665*Summary!$B$9,K4665/Summary!$B$9)</f>
        <v/>
      </c>
      <c r="M4665" s="11">
        <f>G4665+H4665</f>
        <v/>
      </c>
      <c r="N4665" s="11">
        <f>Summary!$C$16*Summary!$B$8</f>
        <v/>
      </c>
      <c r="O4665" s="11">
        <f>M4665-N4665</f>
        <v/>
      </c>
    </row>
    <row r="4666">
      <c r="A4666" s="9" t="n">
        <v>45486.33333333334</v>
      </c>
      <c r="B4666" t="n">
        <v>7</v>
      </c>
      <c r="C4666" t="n">
        <v>13</v>
      </c>
      <c r="D4666" t="n">
        <v>8</v>
      </c>
      <c r="E4666" s="10" t="n">
        <v>0.580045</v>
      </c>
      <c r="F4666" s="10" t="n">
        <v>0.1752408420578021</v>
      </c>
      <c r="G4666" s="11">
        <f>E4666*Summary!$B$6</f>
        <v/>
      </c>
      <c r="H4666" s="11">
        <f>F4666*Summary!$B$7</f>
        <v/>
      </c>
      <c r="I4666" s="11">
        <f>MAX(0,N4666-M4666)</f>
        <v/>
      </c>
      <c r="J4666" s="11">
        <f>MAX(0,M4666-N4666)</f>
        <v/>
      </c>
      <c r="K4666" s="11">
        <f>O4666</f>
        <v/>
      </c>
      <c r="L4666" s="11">
        <f>L4665+IF(K4666&gt;0,K4666*Summary!$B$9,K4666/Summary!$B$9)</f>
        <v/>
      </c>
      <c r="M4666" s="11">
        <f>G4666+H4666</f>
        <v/>
      </c>
      <c r="N4666" s="11">
        <f>Summary!$C$16*Summary!$B$8</f>
        <v/>
      </c>
      <c r="O4666" s="11">
        <f>M4666-N4666</f>
        <v/>
      </c>
    </row>
    <row r="4667">
      <c r="A4667" s="9" t="n">
        <v>45486.375</v>
      </c>
      <c r="B4667" t="n">
        <v>7</v>
      </c>
      <c r="C4667" t="n">
        <v>13</v>
      </c>
      <c r="D4667" t="n">
        <v>9</v>
      </c>
      <c r="E4667" s="10" t="n">
        <v>0.724708</v>
      </c>
      <c r="F4667" s="10" t="n">
        <v>0.1773490025637606</v>
      </c>
      <c r="G4667" s="11">
        <f>E4667*Summary!$B$6</f>
        <v/>
      </c>
      <c r="H4667" s="11">
        <f>F4667*Summary!$B$7</f>
        <v/>
      </c>
      <c r="I4667" s="11">
        <f>MAX(0,N4667-M4667)</f>
        <v/>
      </c>
      <c r="J4667" s="11">
        <f>MAX(0,M4667-N4667)</f>
        <v/>
      </c>
      <c r="K4667" s="11">
        <f>O4667</f>
        <v/>
      </c>
      <c r="L4667" s="11">
        <f>L4666+IF(K4667&gt;0,K4667*Summary!$B$9,K4667/Summary!$B$9)</f>
        <v/>
      </c>
      <c r="M4667" s="11">
        <f>G4667+H4667</f>
        <v/>
      </c>
      <c r="N4667" s="11">
        <f>Summary!$C$16*Summary!$B$8</f>
        <v/>
      </c>
      <c r="O4667" s="11">
        <f>M4667-N4667</f>
        <v/>
      </c>
    </row>
    <row r="4668">
      <c r="A4668" s="9" t="n">
        <v>45486.41666666666</v>
      </c>
      <c r="B4668" t="n">
        <v>7</v>
      </c>
      <c r="C4668" t="n">
        <v>13</v>
      </c>
      <c r="D4668" t="n">
        <v>10</v>
      </c>
      <c r="E4668" s="10" t="n">
        <v>0.754058</v>
      </c>
      <c r="F4668" s="10" t="n">
        <v>0.1936081904659657</v>
      </c>
      <c r="G4668" s="11">
        <f>E4668*Summary!$B$6</f>
        <v/>
      </c>
      <c r="H4668" s="11">
        <f>F4668*Summary!$B$7</f>
        <v/>
      </c>
      <c r="I4668" s="11">
        <f>MAX(0,N4668-M4668)</f>
        <v/>
      </c>
      <c r="J4668" s="11">
        <f>MAX(0,M4668-N4668)</f>
        <v/>
      </c>
      <c r="K4668" s="11">
        <f>O4668</f>
        <v/>
      </c>
      <c r="L4668" s="11">
        <f>L4667+IF(K4668&gt;0,K4668*Summary!$B$9,K4668/Summary!$B$9)</f>
        <v/>
      </c>
      <c r="M4668" s="11">
        <f>G4668+H4668</f>
        <v/>
      </c>
      <c r="N4668" s="11">
        <f>Summary!$C$16*Summary!$B$8</f>
        <v/>
      </c>
      <c r="O4668" s="11">
        <f>M4668-N4668</f>
        <v/>
      </c>
    </row>
    <row r="4669">
      <c r="A4669" s="9" t="n">
        <v>45486.45833333334</v>
      </c>
      <c r="B4669" t="n">
        <v>7</v>
      </c>
      <c r="C4669" t="n">
        <v>13</v>
      </c>
      <c r="D4669" t="n">
        <v>11</v>
      </c>
      <c r="E4669" s="10" t="n">
        <v>0.754058</v>
      </c>
      <c r="F4669" s="10" t="n">
        <v>0.2118174268361824</v>
      </c>
      <c r="G4669" s="11">
        <f>E4669*Summary!$B$6</f>
        <v/>
      </c>
      <c r="H4669" s="11">
        <f>F4669*Summary!$B$7</f>
        <v/>
      </c>
      <c r="I4669" s="11">
        <f>MAX(0,N4669-M4669)</f>
        <v/>
      </c>
      <c r="J4669" s="11">
        <f>MAX(0,M4669-N4669)</f>
        <v/>
      </c>
      <c r="K4669" s="11">
        <f>O4669</f>
        <v/>
      </c>
      <c r="L4669" s="11">
        <f>L4668+IF(K4669&gt;0,K4669*Summary!$B$9,K4669/Summary!$B$9)</f>
        <v/>
      </c>
      <c r="M4669" s="11">
        <f>G4669+H4669</f>
        <v/>
      </c>
      <c r="N4669" s="11">
        <f>Summary!$C$16*Summary!$B$8</f>
        <v/>
      </c>
      <c r="O4669" s="11">
        <f>M4669-N4669</f>
        <v/>
      </c>
    </row>
    <row r="4670">
      <c r="A4670" s="9" t="n">
        <v>45486.5</v>
      </c>
      <c r="B4670" t="n">
        <v>7</v>
      </c>
      <c r="C4670" t="n">
        <v>13</v>
      </c>
      <c r="D4670" t="n">
        <v>12</v>
      </c>
      <c r="E4670" s="10" t="n">
        <v>0.754058</v>
      </c>
      <c r="F4670" s="10" t="n">
        <v>0.2276286306308713</v>
      </c>
      <c r="G4670" s="11">
        <f>E4670*Summary!$B$6</f>
        <v/>
      </c>
      <c r="H4670" s="11">
        <f>F4670*Summary!$B$7</f>
        <v/>
      </c>
      <c r="I4670" s="11">
        <f>MAX(0,N4670-M4670)</f>
        <v/>
      </c>
      <c r="J4670" s="11">
        <f>MAX(0,M4670-N4670)</f>
        <v/>
      </c>
      <c r="K4670" s="11">
        <f>O4670</f>
        <v/>
      </c>
      <c r="L4670" s="11">
        <f>L4669+IF(K4670&gt;0,K4670*Summary!$B$9,K4670/Summary!$B$9)</f>
        <v/>
      </c>
      <c r="M4670" s="11">
        <f>G4670+H4670</f>
        <v/>
      </c>
      <c r="N4670" s="11">
        <f>Summary!$C$16*Summary!$B$8</f>
        <v/>
      </c>
      <c r="O4670" s="11">
        <f>M4670-N4670</f>
        <v/>
      </c>
    </row>
    <row r="4671">
      <c r="A4671" s="9" t="n">
        <v>45486.54166666666</v>
      </c>
      <c r="B4671" t="n">
        <v>7</v>
      </c>
      <c r="C4671" t="n">
        <v>13</v>
      </c>
      <c r="D4671" t="n">
        <v>13</v>
      </c>
      <c r="E4671" s="10" t="n">
        <v>0.754058</v>
      </c>
      <c r="F4671" s="10" t="n">
        <v>0.2374579289899029</v>
      </c>
      <c r="G4671" s="11">
        <f>E4671*Summary!$B$6</f>
        <v/>
      </c>
      <c r="H4671" s="11">
        <f>F4671*Summary!$B$7</f>
        <v/>
      </c>
      <c r="I4671" s="11">
        <f>MAX(0,N4671-M4671)</f>
        <v/>
      </c>
      <c r="J4671" s="11">
        <f>MAX(0,M4671-N4671)</f>
        <v/>
      </c>
      <c r="K4671" s="11">
        <f>O4671</f>
        <v/>
      </c>
      <c r="L4671" s="11">
        <f>L4670+IF(K4671&gt;0,K4671*Summary!$B$9,K4671/Summary!$B$9)</f>
        <v/>
      </c>
      <c r="M4671" s="11">
        <f>G4671+H4671</f>
        <v/>
      </c>
      <c r="N4671" s="11">
        <f>Summary!$C$16*Summary!$B$8</f>
        <v/>
      </c>
      <c r="O4671" s="11">
        <f>M4671-N4671</f>
        <v/>
      </c>
    </row>
    <row r="4672">
      <c r="A4672" s="9" t="n">
        <v>45486.58333333334</v>
      </c>
      <c r="B4672" t="n">
        <v>7</v>
      </c>
      <c r="C4672" t="n">
        <v>13</v>
      </c>
      <c r="D4672" t="n">
        <v>14</v>
      </c>
      <c r="E4672" s="10" t="n">
        <v>0.692562</v>
      </c>
      <c r="F4672" s="10" t="n">
        <v>0.2397769055464573</v>
      </c>
      <c r="G4672" s="11">
        <f>E4672*Summary!$B$6</f>
        <v/>
      </c>
      <c r="H4672" s="11">
        <f>F4672*Summary!$B$7</f>
        <v/>
      </c>
      <c r="I4672" s="11">
        <f>MAX(0,N4672-M4672)</f>
        <v/>
      </c>
      <c r="J4672" s="11">
        <f>MAX(0,M4672-N4672)</f>
        <v/>
      </c>
      <c r="K4672" s="11">
        <f>O4672</f>
        <v/>
      </c>
      <c r="L4672" s="11">
        <f>L4671+IF(K4672&gt;0,K4672*Summary!$B$9,K4672/Summary!$B$9)</f>
        <v/>
      </c>
      <c r="M4672" s="11">
        <f>G4672+H4672</f>
        <v/>
      </c>
      <c r="N4672" s="11">
        <f>Summary!$C$16*Summary!$B$8</f>
        <v/>
      </c>
      <c r="O4672" s="11">
        <f>M4672-N4672</f>
        <v/>
      </c>
    </row>
    <row r="4673">
      <c r="A4673" s="9" t="n">
        <v>45486.625</v>
      </c>
      <c r="B4673" t="n">
        <v>7</v>
      </c>
      <c r="C4673" t="n">
        <v>13</v>
      </c>
      <c r="D4673" t="n">
        <v>15</v>
      </c>
      <c r="E4673" s="10" t="n">
        <v>0.621959</v>
      </c>
      <c r="F4673" s="10" t="n">
        <v>0.2385120092428822</v>
      </c>
      <c r="G4673" s="11">
        <f>E4673*Summary!$B$6</f>
        <v/>
      </c>
      <c r="H4673" s="11">
        <f>F4673*Summary!$B$7</f>
        <v/>
      </c>
      <c r="I4673" s="11">
        <f>MAX(0,N4673-M4673)</f>
        <v/>
      </c>
      <c r="J4673" s="11">
        <f>MAX(0,M4673-N4673)</f>
        <v/>
      </c>
      <c r="K4673" s="11">
        <f>O4673</f>
        <v/>
      </c>
      <c r="L4673" s="11">
        <f>L4672+IF(K4673&gt;0,K4673*Summary!$B$9,K4673/Summary!$B$9)</f>
        <v/>
      </c>
      <c r="M4673" s="11">
        <f>G4673+H4673</f>
        <v/>
      </c>
      <c r="N4673" s="11">
        <f>Summary!$C$16*Summary!$B$8</f>
        <v/>
      </c>
      <c r="O4673" s="11">
        <f>M4673-N4673</f>
        <v/>
      </c>
    </row>
    <row r="4674">
      <c r="A4674" s="9" t="n">
        <v>45486.66666666666</v>
      </c>
      <c r="B4674" t="n">
        <v>7</v>
      </c>
      <c r="C4674" t="n">
        <v>13</v>
      </c>
      <c r="D4674" t="n">
        <v>16</v>
      </c>
      <c r="E4674" s="10" t="n">
        <v>0.466356</v>
      </c>
      <c r="F4674" s="10" t="n">
        <v>0.2282874307889834</v>
      </c>
      <c r="G4674" s="11">
        <f>E4674*Summary!$B$6</f>
        <v/>
      </c>
      <c r="H4674" s="11">
        <f>F4674*Summary!$B$7</f>
        <v/>
      </c>
      <c r="I4674" s="11">
        <f>MAX(0,N4674-M4674)</f>
        <v/>
      </c>
      <c r="J4674" s="11">
        <f>MAX(0,M4674-N4674)</f>
        <v/>
      </c>
      <c r="K4674" s="11">
        <f>O4674</f>
        <v/>
      </c>
      <c r="L4674" s="11">
        <f>L4673+IF(K4674&gt;0,K4674*Summary!$B$9,K4674/Summary!$B$9)</f>
        <v/>
      </c>
      <c r="M4674" s="11">
        <f>G4674+H4674</f>
        <v/>
      </c>
      <c r="N4674" s="11">
        <f>Summary!$C$16*Summary!$B$8</f>
        <v/>
      </c>
      <c r="O4674" s="11">
        <f>M4674-N4674</f>
        <v/>
      </c>
    </row>
    <row r="4675">
      <c r="A4675" s="9" t="n">
        <v>45486.70833333334</v>
      </c>
      <c r="B4675" t="n">
        <v>7</v>
      </c>
      <c r="C4675" t="n">
        <v>13</v>
      </c>
      <c r="D4675" t="n">
        <v>17</v>
      </c>
      <c r="E4675" s="10" t="n">
        <v>0.209466</v>
      </c>
      <c r="F4675" s="10" t="n">
        <v>0.2258893982134556</v>
      </c>
      <c r="G4675" s="11">
        <f>E4675*Summary!$B$6</f>
        <v/>
      </c>
      <c r="H4675" s="11">
        <f>F4675*Summary!$B$7</f>
        <v/>
      </c>
      <c r="I4675" s="11">
        <f>MAX(0,N4675-M4675)</f>
        <v/>
      </c>
      <c r="J4675" s="11">
        <f>MAX(0,M4675-N4675)</f>
        <v/>
      </c>
      <c r="K4675" s="11">
        <f>O4675</f>
        <v/>
      </c>
      <c r="L4675" s="11">
        <f>L4674+IF(K4675&gt;0,K4675*Summary!$B$9,K4675/Summary!$B$9)</f>
        <v/>
      </c>
      <c r="M4675" s="11">
        <f>G4675+H4675</f>
        <v/>
      </c>
      <c r="N4675" s="11">
        <f>Summary!$C$16*Summary!$B$8</f>
        <v/>
      </c>
      <c r="O4675" s="11">
        <f>M4675-N4675</f>
        <v/>
      </c>
    </row>
    <row r="4676">
      <c r="A4676" s="9" t="n">
        <v>45486.75</v>
      </c>
      <c r="B4676" t="n">
        <v>7</v>
      </c>
      <c r="C4676" t="n">
        <v>13</v>
      </c>
      <c r="D4676" t="n">
        <v>18</v>
      </c>
      <c r="E4676" s="10" t="n">
        <v>0.105231</v>
      </c>
      <c r="F4676" s="10" t="n">
        <v>0.2158229317975036</v>
      </c>
      <c r="G4676" s="11">
        <f>E4676*Summary!$B$6</f>
        <v/>
      </c>
      <c r="H4676" s="11">
        <f>F4676*Summary!$B$7</f>
        <v/>
      </c>
      <c r="I4676" s="11">
        <f>MAX(0,N4676-M4676)</f>
        <v/>
      </c>
      <c r="J4676" s="11">
        <f>MAX(0,M4676-N4676)</f>
        <v/>
      </c>
      <c r="K4676" s="11">
        <f>O4676</f>
        <v/>
      </c>
      <c r="L4676" s="11">
        <f>L4675+IF(K4676&gt;0,K4676*Summary!$B$9,K4676/Summary!$B$9)</f>
        <v/>
      </c>
      <c r="M4676" s="11">
        <f>G4676+H4676</f>
        <v/>
      </c>
      <c r="N4676" s="11">
        <f>Summary!$C$16*Summary!$B$8</f>
        <v/>
      </c>
      <c r="O4676" s="11">
        <f>M4676-N4676</f>
        <v/>
      </c>
    </row>
    <row r="4677">
      <c r="A4677" s="9" t="n">
        <v>45486.79166666666</v>
      </c>
      <c r="B4677" t="n">
        <v>7</v>
      </c>
      <c r="C4677" t="n">
        <v>13</v>
      </c>
      <c r="D4677" t="n">
        <v>19</v>
      </c>
      <c r="E4677" s="10" t="n">
        <v>0.042122</v>
      </c>
      <c r="F4677" s="10" t="n">
        <v>0.2130296191271086</v>
      </c>
      <c r="G4677" s="11">
        <f>E4677*Summary!$B$6</f>
        <v/>
      </c>
      <c r="H4677" s="11">
        <f>F4677*Summary!$B$7</f>
        <v/>
      </c>
      <c r="I4677" s="11">
        <f>MAX(0,N4677-M4677)</f>
        <v/>
      </c>
      <c r="J4677" s="11">
        <f>MAX(0,M4677-N4677)</f>
        <v/>
      </c>
      <c r="K4677" s="11">
        <f>O4677</f>
        <v/>
      </c>
      <c r="L4677" s="11">
        <f>L4676+IF(K4677&gt;0,K4677*Summary!$B$9,K4677/Summary!$B$9)</f>
        <v/>
      </c>
      <c r="M4677" s="11">
        <f>G4677+H4677</f>
        <v/>
      </c>
      <c r="N4677" s="11">
        <f>Summary!$C$16*Summary!$B$8</f>
        <v/>
      </c>
      <c r="O4677" s="11">
        <f>M4677-N4677</f>
        <v/>
      </c>
    </row>
    <row r="4678">
      <c r="A4678" s="9" t="n">
        <v>45486.83333333334</v>
      </c>
      <c r="B4678" t="n">
        <v>7</v>
      </c>
      <c r="C4678" t="n">
        <v>13</v>
      </c>
      <c r="D4678" t="n">
        <v>20</v>
      </c>
      <c r="E4678" s="10" t="n">
        <v>0.021492</v>
      </c>
      <c r="F4678" s="10" t="n">
        <v>0.2201973648473676</v>
      </c>
      <c r="G4678" s="11">
        <f>E4678*Summary!$B$6</f>
        <v/>
      </c>
      <c r="H4678" s="11">
        <f>F4678*Summary!$B$7</f>
        <v/>
      </c>
      <c r="I4678" s="11">
        <f>MAX(0,N4678-M4678)</f>
        <v/>
      </c>
      <c r="J4678" s="11">
        <f>MAX(0,M4678-N4678)</f>
        <v/>
      </c>
      <c r="K4678" s="11">
        <f>O4678</f>
        <v/>
      </c>
      <c r="L4678" s="11">
        <f>L4677+IF(K4678&gt;0,K4678*Summary!$B$9,K4678/Summary!$B$9)</f>
        <v/>
      </c>
      <c r="M4678" s="11">
        <f>G4678+H4678</f>
        <v/>
      </c>
      <c r="N4678" s="11">
        <f>Summary!$C$16*Summary!$B$8</f>
        <v/>
      </c>
      <c r="O4678" s="11">
        <f>M4678-N4678</f>
        <v/>
      </c>
    </row>
    <row r="4679">
      <c r="A4679" s="9" t="n">
        <v>45486.875</v>
      </c>
      <c r="B4679" t="n">
        <v>7</v>
      </c>
      <c r="C4679" t="n">
        <v>13</v>
      </c>
      <c r="D4679" t="n">
        <v>21</v>
      </c>
      <c r="E4679" s="10" t="n">
        <v>0</v>
      </c>
      <c r="F4679" s="10" t="n">
        <v>0.2386174172681801</v>
      </c>
      <c r="G4679" s="11">
        <f>E4679*Summary!$B$6</f>
        <v/>
      </c>
      <c r="H4679" s="11">
        <f>F4679*Summary!$B$7</f>
        <v/>
      </c>
      <c r="I4679" s="11">
        <f>MAX(0,N4679-M4679)</f>
        <v/>
      </c>
      <c r="J4679" s="11">
        <f>MAX(0,M4679-N4679)</f>
        <v/>
      </c>
      <c r="K4679" s="11">
        <f>O4679</f>
        <v/>
      </c>
      <c r="L4679" s="11">
        <f>L4678+IF(K4679&gt;0,K4679*Summary!$B$9,K4679/Summary!$B$9)</f>
        <v/>
      </c>
      <c r="M4679" s="11">
        <f>G4679+H4679</f>
        <v/>
      </c>
      <c r="N4679" s="11">
        <f>Summary!$C$16*Summary!$B$8</f>
        <v/>
      </c>
      <c r="O4679" s="11">
        <f>M4679-N4679</f>
        <v/>
      </c>
    </row>
    <row r="4680">
      <c r="A4680" s="9" t="n">
        <v>45486.91666666666</v>
      </c>
      <c r="B4680" t="n">
        <v>7</v>
      </c>
      <c r="C4680" t="n">
        <v>13</v>
      </c>
      <c r="D4680" t="n">
        <v>22</v>
      </c>
      <c r="E4680" s="10" t="n">
        <v>0</v>
      </c>
      <c r="F4680" s="10" t="n">
        <v>0.250212300050952</v>
      </c>
      <c r="G4680" s="11">
        <f>E4680*Summary!$B$6</f>
        <v/>
      </c>
      <c r="H4680" s="11">
        <f>F4680*Summary!$B$7</f>
        <v/>
      </c>
      <c r="I4680" s="11">
        <f>MAX(0,N4680-M4680)</f>
        <v/>
      </c>
      <c r="J4680" s="11">
        <f>MAX(0,M4680-N4680)</f>
        <v/>
      </c>
      <c r="K4680" s="11">
        <f>O4680</f>
        <v/>
      </c>
      <c r="L4680" s="11">
        <f>L4679+IF(K4680&gt;0,K4680*Summary!$B$9,K4680/Summary!$B$9)</f>
        <v/>
      </c>
      <c r="M4680" s="11">
        <f>G4680+H4680</f>
        <v/>
      </c>
      <c r="N4680" s="11">
        <f>Summary!$C$16*Summary!$B$8</f>
        <v/>
      </c>
      <c r="O4680" s="11">
        <f>M4680-N4680</f>
        <v/>
      </c>
    </row>
    <row r="4681">
      <c r="A4681" s="9" t="n">
        <v>45486.95833333334</v>
      </c>
      <c r="B4681" t="n">
        <v>7</v>
      </c>
      <c r="C4681" t="n">
        <v>13</v>
      </c>
      <c r="D4681" t="n">
        <v>23</v>
      </c>
      <c r="E4681" s="10" t="n">
        <v>0</v>
      </c>
      <c r="F4681" s="10" t="n">
        <v>0.2391444573946698</v>
      </c>
      <c r="G4681" s="11">
        <f>E4681*Summary!$B$6</f>
        <v/>
      </c>
      <c r="H4681" s="11">
        <f>F4681*Summary!$B$7</f>
        <v/>
      </c>
      <c r="I4681" s="11">
        <f>MAX(0,N4681-M4681)</f>
        <v/>
      </c>
      <c r="J4681" s="11">
        <f>MAX(0,M4681-N4681)</f>
        <v/>
      </c>
      <c r="K4681" s="11">
        <f>O4681</f>
        <v/>
      </c>
      <c r="L4681" s="11">
        <f>L4680+IF(K4681&gt;0,K4681*Summary!$B$9,K4681/Summary!$B$9)</f>
        <v/>
      </c>
      <c r="M4681" s="11">
        <f>G4681+H4681</f>
        <v/>
      </c>
      <c r="N4681" s="11">
        <f>Summary!$C$16*Summary!$B$8</f>
        <v/>
      </c>
      <c r="O4681" s="11">
        <f>M4681-N4681</f>
        <v/>
      </c>
    </row>
    <row r="4682">
      <c r="A4682" s="9" t="n">
        <v>45487</v>
      </c>
      <c r="B4682" t="n">
        <v>7</v>
      </c>
      <c r="C4682" t="n">
        <v>14</v>
      </c>
      <c r="D4682" t="n">
        <v>0</v>
      </c>
      <c r="E4682" s="10" t="n">
        <v>0</v>
      </c>
      <c r="F4682" s="10" t="n">
        <v>0.1562146934915264</v>
      </c>
      <c r="G4682" s="11">
        <f>E4682*Summary!$B$6</f>
        <v/>
      </c>
      <c r="H4682" s="11">
        <f>F4682*Summary!$B$7</f>
        <v/>
      </c>
      <c r="I4682" s="11">
        <f>MAX(0,N4682-M4682)</f>
        <v/>
      </c>
      <c r="J4682" s="11">
        <f>MAX(0,M4682-N4682)</f>
        <v/>
      </c>
      <c r="K4682" s="11">
        <f>O4682</f>
        <v/>
      </c>
      <c r="L4682" s="11">
        <f>L4681+IF(K4682&gt;0,K4682*Summary!$B$9,K4682/Summary!$B$9)</f>
        <v/>
      </c>
      <c r="M4682" s="11">
        <f>G4682+H4682</f>
        <v/>
      </c>
      <c r="N4682" s="11">
        <f>Summary!$C$16*Summary!$B$8</f>
        <v/>
      </c>
      <c r="O4682" s="11">
        <f>M4682-N4682</f>
        <v/>
      </c>
    </row>
    <row r="4683">
      <c r="A4683" s="9" t="n">
        <v>45487.04166666666</v>
      </c>
      <c r="B4683" t="n">
        <v>7</v>
      </c>
      <c r="C4683" t="n">
        <v>14</v>
      </c>
      <c r="D4683" t="n">
        <v>1</v>
      </c>
      <c r="E4683" s="10" t="n">
        <v>0</v>
      </c>
      <c r="F4683" s="10" t="n">
        <v>0.2306327593518623</v>
      </c>
      <c r="G4683" s="11">
        <f>E4683*Summary!$B$6</f>
        <v/>
      </c>
      <c r="H4683" s="11">
        <f>F4683*Summary!$B$7</f>
        <v/>
      </c>
      <c r="I4683" s="11">
        <f>MAX(0,N4683-M4683)</f>
        <v/>
      </c>
      <c r="J4683" s="11">
        <f>MAX(0,M4683-N4683)</f>
        <v/>
      </c>
      <c r="K4683" s="11">
        <f>O4683</f>
        <v/>
      </c>
      <c r="L4683" s="11">
        <f>L4682+IF(K4683&gt;0,K4683*Summary!$B$9,K4683/Summary!$B$9)</f>
        <v/>
      </c>
      <c r="M4683" s="11">
        <f>G4683+H4683</f>
        <v/>
      </c>
      <c r="N4683" s="11">
        <f>Summary!$C$16*Summary!$B$8</f>
        <v/>
      </c>
      <c r="O4683" s="11">
        <f>M4683-N4683</f>
        <v/>
      </c>
    </row>
    <row r="4684">
      <c r="A4684" s="9" t="n">
        <v>45487.08333333334</v>
      </c>
      <c r="B4684" t="n">
        <v>7</v>
      </c>
      <c r="C4684" t="n">
        <v>14</v>
      </c>
      <c r="D4684" t="n">
        <v>2</v>
      </c>
      <c r="E4684" s="10" t="n">
        <v>0</v>
      </c>
      <c r="F4684" s="10" t="n">
        <v>0.218194612366707</v>
      </c>
      <c r="G4684" s="11">
        <f>E4684*Summary!$B$6</f>
        <v/>
      </c>
      <c r="H4684" s="11">
        <f>F4684*Summary!$B$7</f>
        <v/>
      </c>
      <c r="I4684" s="11">
        <f>MAX(0,N4684-M4684)</f>
        <v/>
      </c>
      <c r="J4684" s="11">
        <f>MAX(0,M4684-N4684)</f>
        <v/>
      </c>
      <c r="K4684" s="11">
        <f>O4684</f>
        <v/>
      </c>
      <c r="L4684" s="11">
        <f>L4683+IF(K4684&gt;0,K4684*Summary!$B$9,K4684/Summary!$B$9)</f>
        <v/>
      </c>
      <c r="M4684" s="11">
        <f>G4684+H4684</f>
        <v/>
      </c>
      <c r="N4684" s="11">
        <f>Summary!$C$16*Summary!$B$8</f>
        <v/>
      </c>
      <c r="O4684" s="11">
        <f>M4684-N4684</f>
        <v/>
      </c>
    </row>
    <row r="4685">
      <c r="A4685" s="9" t="n">
        <v>45487.125</v>
      </c>
      <c r="B4685" t="n">
        <v>7</v>
      </c>
      <c r="C4685" t="n">
        <v>14</v>
      </c>
      <c r="D4685" t="n">
        <v>3</v>
      </c>
      <c r="E4685" s="10" t="n">
        <v>0</v>
      </c>
      <c r="F4685" s="10" t="n">
        <v>0.207469345792643</v>
      </c>
      <c r="G4685" s="11">
        <f>E4685*Summary!$B$6</f>
        <v/>
      </c>
      <c r="H4685" s="11">
        <f>F4685*Summary!$B$7</f>
        <v/>
      </c>
      <c r="I4685" s="11">
        <f>MAX(0,N4685-M4685)</f>
        <v/>
      </c>
      <c r="J4685" s="11">
        <f>MAX(0,M4685-N4685)</f>
        <v/>
      </c>
      <c r="K4685" s="11">
        <f>O4685</f>
        <v/>
      </c>
      <c r="L4685" s="11">
        <f>L4684+IF(K4685&gt;0,K4685*Summary!$B$9,K4685/Summary!$B$9)</f>
        <v/>
      </c>
      <c r="M4685" s="11">
        <f>G4685+H4685</f>
        <v/>
      </c>
      <c r="N4685" s="11">
        <f>Summary!$C$16*Summary!$B$8</f>
        <v/>
      </c>
      <c r="O4685" s="11">
        <f>M4685-N4685</f>
        <v/>
      </c>
    </row>
    <row r="4686">
      <c r="A4686" s="9" t="n">
        <v>45487.16666666666</v>
      </c>
      <c r="B4686" t="n">
        <v>7</v>
      </c>
      <c r="C4686" t="n">
        <v>14</v>
      </c>
      <c r="D4686" t="n">
        <v>4</v>
      </c>
      <c r="E4686" s="10" t="n">
        <v>0.007964000000000001</v>
      </c>
      <c r="F4686" s="10" t="n">
        <v>0.1935027824406678</v>
      </c>
      <c r="G4686" s="11">
        <f>E4686*Summary!$B$6</f>
        <v/>
      </c>
      <c r="H4686" s="11">
        <f>F4686*Summary!$B$7</f>
        <v/>
      </c>
      <c r="I4686" s="11">
        <f>MAX(0,N4686-M4686)</f>
        <v/>
      </c>
      <c r="J4686" s="11">
        <f>MAX(0,M4686-N4686)</f>
        <v/>
      </c>
      <c r="K4686" s="11">
        <f>O4686</f>
        <v/>
      </c>
      <c r="L4686" s="11">
        <f>L4685+IF(K4686&gt;0,K4686*Summary!$B$9,K4686/Summary!$B$9)</f>
        <v/>
      </c>
      <c r="M4686" s="11">
        <f>G4686+H4686</f>
        <v/>
      </c>
      <c r="N4686" s="11">
        <f>Summary!$C$16*Summary!$B$8</f>
        <v/>
      </c>
      <c r="O4686" s="11">
        <f>M4686-N4686</f>
        <v/>
      </c>
    </row>
    <row r="4687">
      <c r="A4687" s="9" t="n">
        <v>45487.20833333334</v>
      </c>
      <c r="B4687" t="n">
        <v>7</v>
      </c>
      <c r="C4687" t="n">
        <v>14</v>
      </c>
      <c r="D4687" t="n">
        <v>5</v>
      </c>
      <c r="E4687" s="10" t="n">
        <v>0.052283</v>
      </c>
      <c r="F4687" s="10" t="n">
        <v>0.1728428094822743</v>
      </c>
      <c r="G4687" s="11">
        <f>E4687*Summary!$B$6</f>
        <v/>
      </c>
      <c r="H4687" s="11">
        <f>F4687*Summary!$B$7</f>
        <v/>
      </c>
      <c r="I4687" s="11">
        <f>MAX(0,N4687-M4687)</f>
        <v/>
      </c>
      <c r="J4687" s="11">
        <f>MAX(0,M4687-N4687)</f>
        <v/>
      </c>
      <c r="K4687" s="11">
        <f>O4687</f>
        <v/>
      </c>
      <c r="L4687" s="11">
        <f>L4686+IF(K4687&gt;0,K4687*Summary!$B$9,K4687/Summary!$B$9)</f>
        <v/>
      </c>
      <c r="M4687" s="11">
        <f>G4687+H4687</f>
        <v/>
      </c>
      <c r="N4687" s="11">
        <f>Summary!$C$16*Summary!$B$8</f>
        <v/>
      </c>
      <c r="O4687" s="11">
        <f>M4687-N4687</f>
        <v/>
      </c>
    </row>
    <row r="4688">
      <c r="A4688" s="9" t="n">
        <v>45487.25</v>
      </c>
      <c r="B4688" t="n">
        <v>7</v>
      </c>
      <c r="C4688" t="n">
        <v>14</v>
      </c>
      <c r="D4688" t="n">
        <v>6</v>
      </c>
      <c r="E4688" s="10" t="n">
        <v>0.13341</v>
      </c>
      <c r="F4688" s="10" t="n">
        <v>0.1560565814535795</v>
      </c>
      <c r="G4688" s="11">
        <f>E4688*Summary!$B$6</f>
        <v/>
      </c>
      <c r="H4688" s="11">
        <f>F4688*Summary!$B$7</f>
        <v/>
      </c>
      <c r="I4688" s="11">
        <f>MAX(0,N4688-M4688)</f>
        <v/>
      </c>
      <c r="J4688" s="11">
        <f>MAX(0,M4688-N4688)</f>
        <v/>
      </c>
      <c r="K4688" s="11">
        <f>O4688</f>
        <v/>
      </c>
      <c r="L4688" s="11">
        <f>L4687+IF(K4688&gt;0,K4688*Summary!$B$9,K4688/Summary!$B$9)</f>
        <v/>
      </c>
      <c r="M4688" s="11">
        <f>G4688+H4688</f>
        <v/>
      </c>
      <c r="N4688" s="11">
        <f>Summary!$C$16*Summary!$B$8</f>
        <v/>
      </c>
      <c r="O4688" s="11">
        <f>M4688-N4688</f>
        <v/>
      </c>
    </row>
    <row r="4689">
      <c r="A4689" s="9" t="n">
        <v>45487.29166666666</v>
      </c>
      <c r="B4689" t="n">
        <v>7</v>
      </c>
      <c r="C4689" t="n">
        <v>14</v>
      </c>
      <c r="D4689" t="n">
        <v>7</v>
      </c>
      <c r="E4689" s="10" t="n">
        <v>0.252319</v>
      </c>
      <c r="F4689" s="10" t="n">
        <v>0.1463853951324948</v>
      </c>
      <c r="G4689" s="11">
        <f>E4689*Summary!$B$6</f>
        <v/>
      </c>
      <c r="H4689" s="11">
        <f>F4689*Summary!$B$7</f>
        <v/>
      </c>
      <c r="I4689" s="11">
        <f>MAX(0,N4689-M4689)</f>
        <v/>
      </c>
      <c r="J4689" s="11">
        <f>MAX(0,M4689-N4689)</f>
        <v/>
      </c>
      <c r="K4689" s="11">
        <f>O4689</f>
        <v/>
      </c>
      <c r="L4689" s="11">
        <f>L4688+IF(K4689&gt;0,K4689*Summary!$B$9,K4689/Summary!$B$9)</f>
        <v/>
      </c>
      <c r="M4689" s="11">
        <f>G4689+H4689</f>
        <v/>
      </c>
      <c r="N4689" s="11">
        <f>Summary!$C$16*Summary!$B$8</f>
        <v/>
      </c>
      <c r="O4689" s="11">
        <f>M4689-N4689</f>
        <v/>
      </c>
    </row>
    <row r="4690">
      <c r="A4690" s="9" t="n">
        <v>45487.33333333334</v>
      </c>
      <c r="B4690" t="n">
        <v>7</v>
      </c>
      <c r="C4690" t="n">
        <v>14</v>
      </c>
      <c r="D4690" t="n">
        <v>8</v>
      </c>
      <c r="E4690" s="10" t="n">
        <v>0.359407</v>
      </c>
      <c r="F4690" s="10" t="n">
        <v>0.1443035866328608</v>
      </c>
      <c r="G4690" s="11">
        <f>E4690*Summary!$B$6</f>
        <v/>
      </c>
      <c r="H4690" s="11">
        <f>F4690*Summary!$B$7</f>
        <v/>
      </c>
      <c r="I4690" s="11">
        <f>MAX(0,N4690-M4690)</f>
        <v/>
      </c>
      <c r="J4690" s="11">
        <f>MAX(0,M4690-N4690)</f>
        <v/>
      </c>
      <c r="K4690" s="11">
        <f>O4690</f>
        <v/>
      </c>
      <c r="L4690" s="11">
        <f>L4689+IF(K4690&gt;0,K4690*Summary!$B$9,K4690/Summary!$B$9)</f>
        <v/>
      </c>
      <c r="M4690" s="11">
        <f>G4690+H4690</f>
        <v/>
      </c>
      <c r="N4690" s="11">
        <f>Summary!$C$16*Summary!$B$8</f>
        <v/>
      </c>
      <c r="O4690" s="11">
        <f>M4690-N4690</f>
        <v/>
      </c>
    </row>
    <row r="4691">
      <c r="A4691" s="9" t="n">
        <v>45487.375</v>
      </c>
      <c r="B4691" t="n">
        <v>7</v>
      </c>
      <c r="C4691" t="n">
        <v>14</v>
      </c>
      <c r="D4691" t="n">
        <v>9</v>
      </c>
      <c r="E4691" s="10" t="n">
        <v>0.405776</v>
      </c>
      <c r="F4691" s="10" t="n">
        <v>0.1501273800305712</v>
      </c>
      <c r="G4691" s="11">
        <f>E4691*Summary!$B$6</f>
        <v/>
      </c>
      <c r="H4691" s="11">
        <f>F4691*Summary!$B$7</f>
        <v/>
      </c>
      <c r="I4691" s="11">
        <f>MAX(0,N4691-M4691)</f>
        <v/>
      </c>
      <c r="J4691" s="11">
        <f>MAX(0,M4691-N4691)</f>
        <v/>
      </c>
      <c r="K4691" s="11">
        <f>O4691</f>
        <v/>
      </c>
      <c r="L4691" s="11">
        <f>L4690+IF(K4691&gt;0,K4691*Summary!$B$9,K4691/Summary!$B$9)</f>
        <v/>
      </c>
      <c r="M4691" s="11">
        <f>G4691+H4691</f>
        <v/>
      </c>
      <c r="N4691" s="11">
        <f>Summary!$C$16*Summary!$B$8</f>
        <v/>
      </c>
      <c r="O4691" s="11">
        <f>M4691-N4691</f>
        <v/>
      </c>
    </row>
    <row r="4692">
      <c r="A4692" s="9" t="n">
        <v>45487.41666666666</v>
      </c>
      <c r="B4692" t="n">
        <v>7</v>
      </c>
      <c r="C4692" t="n">
        <v>14</v>
      </c>
      <c r="D4692" t="n">
        <v>10</v>
      </c>
      <c r="E4692" s="10" t="n">
        <v>0.493781</v>
      </c>
      <c r="F4692" s="10" t="n">
        <v>0.1523673005681521</v>
      </c>
      <c r="G4692" s="11">
        <f>E4692*Summary!$B$6</f>
        <v/>
      </c>
      <c r="H4692" s="11">
        <f>F4692*Summary!$B$7</f>
        <v/>
      </c>
      <c r="I4692" s="11">
        <f>MAX(0,N4692-M4692)</f>
        <v/>
      </c>
      <c r="J4692" s="11">
        <f>MAX(0,M4692-N4692)</f>
        <v/>
      </c>
      <c r="K4692" s="11">
        <f>O4692</f>
        <v/>
      </c>
      <c r="L4692" s="11">
        <f>L4691+IF(K4692&gt;0,K4692*Summary!$B$9,K4692/Summary!$B$9)</f>
        <v/>
      </c>
      <c r="M4692" s="11">
        <f>G4692+H4692</f>
        <v/>
      </c>
      <c r="N4692" s="11">
        <f>Summary!$C$16*Summary!$B$8</f>
        <v/>
      </c>
      <c r="O4692" s="11">
        <f>M4692-N4692</f>
        <v/>
      </c>
    </row>
    <row r="4693">
      <c r="A4693" s="9" t="n">
        <v>45487.45833333334</v>
      </c>
      <c r="B4693" t="n">
        <v>7</v>
      </c>
      <c r="C4693" t="n">
        <v>14</v>
      </c>
      <c r="D4693" t="n">
        <v>11</v>
      </c>
      <c r="E4693" s="10" t="n">
        <v>0.5759030000000001</v>
      </c>
      <c r="F4693" s="10" t="n">
        <v>0.1563991575357978</v>
      </c>
      <c r="G4693" s="11">
        <f>E4693*Summary!$B$6</f>
        <v/>
      </c>
      <c r="H4693" s="11">
        <f>F4693*Summary!$B$7</f>
        <v/>
      </c>
      <c r="I4693" s="11">
        <f>MAX(0,N4693-M4693)</f>
        <v/>
      </c>
      <c r="J4693" s="11">
        <f>MAX(0,M4693-N4693)</f>
        <v/>
      </c>
      <c r="K4693" s="11">
        <f>O4693</f>
        <v/>
      </c>
      <c r="L4693" s="11">
        <f>L4692+IF(K4693&gt;0,K4693*Summary!$B$9,K4693/Summary!$B$9)</f>
        <v/>
      </c>
      <c r="M4693" s="11">
        <f>G4693+H4693</f>
        <v/>
      </c>
      <c r="N4693" s="11">
        <f>Summary!$C$16*Summary!$B$8</f>
        <v/>
      </c>
      <c r="O4693" s="11">
        <f>M4693-N4693</f>
        <v/>
      </c>
    </row>
    <row r="4694">
      <c r="A4694" s="9" t="n">
        <v>45487.5</v>
      </c>
      <c r="B4694" t="n">
        <v>7</v>
      </c>
      <c r="C4694" t="n">
        <v>14</v>
      </c>
      <c r="D4694" t="n">
        <v>12</v>
      </c>
      <c r="E4694" s="10" t="n">
        <v>0.283804</v>
      </c>
      <c r="F4694" s="10" t="n">
        <v>0.1562673975041754</v>
      </c>
      <c r="G4694" s="11">
        <f>E4694*Summary!$B$6</f>
        <v/>
      </c>
      <c r="H4694" s="11">
        <f>F4694*Summary!$B$7</f>
        <v/>
      </c>
      <c r="I4694" s="11">
        <f>MAX(0,N4694-M4694)</f>
        <v/>
      </c>
      <c r="J4694" s="11">
        <f>MAX(0,M4694-N4694)</f>
        <v/>
      </c>
      <c r="K4694" s="11">
        <f>O4694</f>
        <v/>
      </c>
      <c r="L4694" s="11">
        <f>L4693+IF(K4694&gt;0,K4694*Summary!$B$9,K4694/Summary!$B$9)</f>
        <v/>
      </c>
      <c r="M4694" s="11">
        <f>G4694+H4694</f>
        <v/>
      </c>
      <c r="N4694" s="11">
        <f>Summary!$C$16*Summary!$B$8</f>
        <v/>
      </c>
      <c r="O4694" s="11">
        <f>M4694-N4694</f>
        <v/>
      </c>
    </row>
    <row r="4695">
      <c r="A4695" s="9" t="n">
        <v>45487.54166666666</v>
      </c>
      <c r="B4695" t="n">
        <v>7</v>
      </c>
      <c r="C4695" t="n">
        <v>14</v>
      </c>
      <c r="D4695" t="n">
        <v>13</v>
      </c>
      <c r="E4695" s="10" t="n">
        <v>0.415985</v>
      </c>
      <c r="F4695" s="10" t="n">
        <v>0.1588235421176501</v>
      </c>
      <c r="G4695" s="11">
        <f>E4695*Summary!$B$6</f>
        <v/>
      </c>
      <c r="H4695" s="11">
        <f>F4695*Summary!$B$7</f>
        <v/>
      </c>
      <c r="I4695" s="11">
        <f>MAX(0,N4695-M4695)</f>
        <v/>
      </c>
      <c r="J4695" s="11">
        <f>MAX(0,M4695-N4695)</f>
        <v/>
      </c>
      <c r="K4695" s="11">
        <f>O4695</f>
        <v/>
      </c>
      <c r="L4695" s="11">
        <f>L4694+IF(K4695&gt;0,K4695*Summary!$B$9,K4695/Summary!$B$9)</f>
        <v/>
      </c>
      <c r="M4695" s="11">
        <f>G4695+H4695</f>
        <v/>
      </c>
      <c r="N4695" s="11">
        <f>Summary!$C$16*Summary!$B$8</f>
        <v/>
      </c>
      <c r="O4695" s="11">
        <f>M4695-N4695</f>
        <v/>
      </c>
    </row>
    <row r="4696">
      <c r="A4696" s="9" t="n">
        <v>45487.58333333334</v>
      </c>
      <c r="B4696" t="n">
        <v>7</v>
      </c>
      <c r="C4696" t="n">
        <v>14</v>
      </c>
      <c r="D4696" t="n">
        <v>14</v>
      </c>
      <c r="E4696" s="10" t="n">
        <v>0.433688</v>
      </c>
      <c r="F4696" s="10" t="n">
        <v>0.1577958138709953</v>
      </c>
      <c r="G4696" s="11">
        <f>E4696*Summary!$B$6</f>
        <v/>
      </c>
      <c r="H4696" s="11">
        <f>F4696*Summary!$B$7</f>
        <v/>
      </c>
      <c r="I4696" s="11">
        <f>MAX(0,N4696-M4696)</f>
        <v/>
      </c>
      <c r="J4696" s="11">
        <f>MAX(0,M4696-N4696)</f>
        <v/>
      </c>
      <c r="K4696" s="11">
        <f>O4696</f>
        <v/>
      </c>
      <c r="L4696" s="11">
        <f>L4695+IF(K4696&gt;0,K4696*Summary!$B$9,K4696/Summary!$B$9)</f>
        <v/>
      </c>
      <c r="M4696" s="11">
        <f>G4696+H4696</f>
        <v/>
      </c>
      <c r="N4696" s="11">
        <f>Summary!$C$16*Summary!$B$8</f>
        <v/>
      </c>
      <c r="O4696" s="11">
        <f>M4696-N4696</f>
        <v/>
      </c>
    </row>
    <row r="4697">
      <c r="A4697" s="9" t="n">
        <v>45487.625</v>
      </c>
      <c r="B4697" t="n">
        <v>7</v>
      </c>
      <c r="C4697" t="n">
        <v>14</v>
      </c>
      <c r="D4697" t="n">
        <v>15</v>
      </c>
      <c r="E4697" s="10" t="n">
        <v>0.335533</v>
      </c>
      <c r="F4697" s="10" t="n">
        <v>0.1555558933334144</v>
      </c>
      <c r="G4697" s="11">
        <f>E4697*Summary!$B$6</f>
        <v/>
      </c>
      <c r="H4697" s="11">
        <f>F4697*Summary!$B$7</f>
        <v/>
      </c>
      <c r="I4697" s="11">
        <f>MAX(0,N4697-M4697)</f>
        <v/>
      </c>
      <c r="J4697" s="11">
        <f>MAX(0,M4697-N4697)</f>
        <v/>
      </c>
      <c r="K4697" s="11">
        <f>O4697</f>
        <v/>
      </c>
      <c r="L4697" s="11">
        <f>L4696+IF(K4697&gt;0,K4697*Summary!$B$9,K4697/Summary!$B$9)</f>
        <v/>
      </c>
      <c r="M4697" s="11">
        <f>G4697+H4697</f>
        <v/>
      </c>
      <c r="N4697" s="11">
        <f>Summary!$C$16*Summary!$B$8</f>
        <v/>
      </c>
      <c r="O4697" s="11">
        <f>M4697-N4697</f>
        <v/>
      </c>
    </row>
    <row r="4698">
      <c r="A4698" s="9" t="n">
        <v>45487.66666666666</v>
      </c>
      <c r="B4698" t="n">
        <v>7</v>
      </c>
      <c r="C4698" t="n">
        <v>14</v>
      </c>
      <c r="D4698" t="n">
        <v>16</v>
      </c>
      <c r="E4698" s="10" t="n">
        <v>0.222772</v>
      </c>
      <c r="F4698" s="10" t="n">
        <v>0.1480455715309372</v>
      </c>
      <c r="G4698" s="11">
        <f>E4698*Summary!$B$6</f>
        <v/>
      </c>
      <c r="H4698" s="11">
        <f>F4698*Summary!$B$7</f>
        <v/>
      </c>
      <c r="I4698" s="11">
        <f>MAX(0,N4698-M4698)</f>
        <v/>
      </c>
      <c r="J4698" s="11">
        <f>MAX(0,M4698-N4698)</f>
        <v/>
      </c>
      <c r="K4698" s="11">
        <f>O4698</f>
        <v/>
      </c>
      <c r="L4698" s="11">
        <f>L4697+IF(K4698&gt;0,K4698*Summary!$B$9,K4698/Summary!$B$9)</f>
        <v/>
      </c>
      <c r="M4698" s="11">
        <f>G4698+H4698</f>
        <v/>
      </c>
      <c r="N4698" s="11">
        <f>Summary!$C$16*Summary!$B$8</f>
        <v/>
      </c>
      <c r="O4698" s="11">
        <f>M4698-N4698</f>
        <v/>
      </c>
    </row>
    <row r="4699">
      <c r="A4699" s="9" t="n">
        <v>45487.70833333334</v>
      </c>
      <c r="B4699" t="n">
        <v>7</v>
      </c>
      <c r="C4699" t="n">
        <v>14</v>
      </c>
      <c r="D4699" t="n">
        <v>17</v>
      </c>
      <c r="E4699" s="10" t="n">
        <v>0.220788</v>
      </c>
      <c r="F4699" s="10" t="n">
        <v>0.138954129348991</v>
      </c>
      <c r="G4699" s="11">
        <f>E4699*Summary!$B$6</f>
        <v/>
      </c>
      <c r="H4699" s="11">
        <f>F4699*Summary!$B$7</f>
        <v/>
      </c>
      <c r="I4699" s="11">
        <f>MAX(0,N4699-M4699)</f>
        <v/>
      </c>
      <c r="J4699" s="11">
        <f>MAX(0,M4699-N4699)</f>
        <v/>
      </c>
      <c r="K4699" s="11">
        <f>O4699</f>
        <v/>
      </c>
      <c r="L4699" s="11">
        <f>L4698+IF(K4699&gt;0,K4699*Summary!$B$9,K4699/Summary!$B$9)</f>
        <v/>
      </c>
      <c r="M4699" s="11">
        <f>G4699+H4699</f>
        <v/>
      </c>
      <c r="N4699" s="11">
        <f>Summary!$C$16*Summary!$B$8</f>
        <v/>
      </c>
      <c r="O4699" s="11">
        <f>M4699-N4699</f>
        <v/>
      </c>
    </row>
    <row r="4700">
      <c r="A4700" s="9" t="n">
        <v>45487.75</v>
      </c>
      <c r="B4700" t="n">
        <v>7</v>
      </c>
      <c r="C4700" t="n">
        <v>14</v>
      </c>
      <c r="D4700" t="n">
        <v>18</v>
      </c>
      <c r="E4700" s="10" t="n">
        <v>0.07718899999999999</v>
      </c>
      <c r="F4700" s="10" t="n">
        <v>0.1269903184776764</v>
      </c>
      <c r="G4700" s="11">
        <f>E4700*Summary!$B$6</f>
        <v/>
      </c>
      <c r="H4700" s="11">
        <f>F4700*Summary!$B$7</f>
        <v/>
      </c>
      <c r="I4700" s="11">
        <f>MAX(0,N4700-M4700)</f>
        <v/>
      </c>
      <c r="J4700" s="11">
        <f>MAX(0,M4700-N4700)</f>
        <v/>
      </c>
      <c r="K4700" s="11">
        <f>O4700</f>
        <v/>
      </c>
      <c r="L4700" s="11">
        <f>L4699+IF(K4700&gt;0,K4700*Summary!$B$9,K4700/Summary!$B$9)</f>
        <v/>
      </c>
      <c r="M4700" s="11">
        <f>G4700+H4700</f>
        <v/>
      </c>
      <c r="N4700" s="11">
        <f>Summary!$C$16*Summary!$B$8</f>
        <v/>
      </c>
      <c r="O4700" s="11">
        <f>M4700-N4700</f>
        <v/>
      </c>
    </row>
    <row r="4701">
      <c r="A4701" s="9" t="n">
        <v>45487.79166666666</v>
      </c>
      <c r="B4701" t="n">
        <v>7</v>
      </c>
      <c r="C4701" t="n">
        <v>14</v>
      </c>
      <c r="D4701" t="n">
        <v>19</v>
      </c>
      <c r="E4701" s="10" t="n">
        <v>0.039506</v>
      </c>
      <c r="F4701" s="10" t="n">
        <v>0.1300471512113163</v>
      </c>
      <c r="G4701" s="11">
        <f>E4701*Summary!$B$6</f>
        <v/>
      </c>
      <c r="H4701" s="11">
        <f>F4701*Summary!$B$7</f>
        <v/>
      </c>
      <c r="I4701" s="11">
        <f>MAX(0,N4701-M4701)</f>
        <v/>
      </c>
      <c r="J4701" s="11">
        <f>MAX(0,M4701-N4701)</f>
        <v/>
      </c>
      <c r="K4701" s="11">
        <f>O4701</f>
        <v/>
      </c>
      <c r="L4701" s="11">
        <f>L4700+IF(K4701&gt;0,K4701*Summary!$B$9,K4701/Summary!$B$9)</f>
        <v/>
      </c>
      <c r="M4701" s="11">
        <f>G4701+H4701</f>
        <v/>
      </c>
      <c r="N4701" s="11">
        <f>Summary!$C$16*Summary!$B$8</f>
        <v/>
      </c>
      <c r="O4701" s="11">
        <f>M4701-N4701</f>
        <v/>
      </c>
    </row>
    <row r="4702">
      <c r="A4702" s="9" t="n">
        <v>45487.83333333334</v>
      </c>
      <c r="B4702" t="n">
        <v>7</v>
      </c>
      <c r="C4702" t="n">
        <v>14</v>
      </c>
      <c r="D4702" t="n">
        <v>20</v>
      </c>
      <c r="E4702" s="10" t="n">
        <v>0.009476999999999999</v>
      </c>
      <c r="F4702" s="10" t="n">
        <v>0.1248031019527445</v>
      </c>
      <c r="G4702" s="11">
        <f>E4702*Summary!$B$6</f>
        <v/>
      </c>
      <c r="H4702" s="11">
        <f>F4702*Summary!$B$7</f>
        <v/>
      </c>
      <c r="I4702" s="11">
        <f>MAX(0,N4702-M4702)</f>
        <v/>
      </c>
      <c r="J4702" s="11">
        <f>MAX(0,M4702-N4702)</f>
        <v/>
      </c>
      <c r="K4702" s="11">
        <f>O4702</f>
        <v/>
      </c>
      <c r="L4702" s="11">
        <f>L4701+IF(K4702&gt;0,K4702*Summary!$B$9,K4702/Summary!$B$9)</f>
        <v/>
      </c>
      <c r="M4702" s="11">
        <f>G4702+H4702</f>
        <v/>
      </c>
      <c r="N4702" s="11">
        <f>Summary!$C$16*Summary!$B$8</f>
        <v/>
      </c>
      <c r="O4702" s="11">
        <f>M4702-N4702</f>
        <v/>
      </c>
    </row>
    <row r="4703">
      <c r="A4703" s="9" t="n">
        <v>45487.875</v>
      </c>
      <c r="B4703" t="n">
        <v>7</v>
      </c>
      <c r="C4703" t="n">
        <v>14</v>
      </c>
      <c r="D4703" t="n">
        <v>21</v>
      </c>
      <c r="E4703" s="10" t="n">
        <v>0</v>
      </c>
      <c r="F4703" s="10" t="n">
        <v>0.1365297447671387</v>
      </c>
      <c r="G4703" s="11">
        <f>E4703*Summary!$B$6</f>
        <v/>
      </c>
      <c r="H4703" s="11">
        <f>F4703*Summary!$B$7</f>
        <v/>
      </c>
      <c r="I4703" s="11">
        <f>MAX(0,N4703-M4703)</f>
        <v/>
      </c>
      <c r="J4703" s="11">
        <f>MAX(0,M4703-N4703)</f>
        <v/>
      </c>
      <c r="K4703" s="11">
        <f>O4703</f>
        <v/>
      </c>
      <c r="L4703" s="11">
        <f>L4702+IF(K4703&gt;0,K4703*Summary!$B$9,K4703/Summary!$B$9)</f>
        <v/>
      </c>
      <c r="M4703" s="11">
        <f>G4703+H4703</f>
        <v/>
      </c>
      <c r="N4703" s="11">
        <f>Summary!$C$16*Summary!$B$8</f>
        <v/>
      </c>
      <c r="O4703" s="11">
        <f>M4703-N4703</f>
        <v/>
      </c>
    </row>
    <row r="4704">
      <c r="A4704" s="9" t="n">
        <v>45487.91666666666</v>
      </c>
      <c r="B4704" t="n">
        <v>7</v>
      </c>
      <c r="C4704" t="n">
        <v>14</v>
      </c>
      <c r="D4704" t="n">
        <v>22</v>
      </c>
      <c r="E4704" s="10" t="n">
        <v>0</v>
      </c>
      <c r="F4704" s="10" t="n">
        <v>0.1450414428099463</v>
      </c>
      <c r="G4704" s="11">
        <f>E4704*Summary!$B$6</f>
        <v/>
      </c>
      <c r="H4704" s="11">
        <f>F4704*Summary!$B$7</f>
        <v/>
      </c>
      <c r="I4704" s="11">
        <f>MAX(0,N4704-M4704)</f>
        <v/>
      </c>
      <c r="J4704" s="11">
        <f>MAX(0,M4704-N4704)</f>
        <v/>
      </c>
      <c r="K4704" s="11">
        <f>O4704</f>
        <v/>
      </c>
      <c r="L4704" s="11">
        <f>L4703+IF(K4704&gt;0,K4704*Summary!$B$9,K4704/Summary!$B$9)</f>
        <v/>
      </c>
      <c r="M4704" s="11">
        <f>G4704+H4704</f>
        <v/>
      </c>
      <c r="N4704" s="11">
        <f>Summary!$C$16*Summary!$B$8</f>
        <v/>
      </c>
      <c r="O4704" s="11">
        <f>M4704-N4704</f>
        <v/>
      </c>
    </row>
    <row r="4705">
      <c r="A4705" s="9" t="n">
        <v>45487.95833333334</v>
      </c>
      <c r="B4705" t="n">
        <v>7</v>
      </c>
      <c r="C4705" t="n">
        <v>14</v>
      </c>
      <c r="D4705" t="n">
        <v>23</v>
      </c>
      <c r="E4705" s="10" t="n">
        <v>0</v>
      </c>
      <c r="F4705" s="10" t="n">
        <v>0.153948420947621</v>
      </c>
      <c r="G4705" s="11">
        <f>E4705*Summary!$B$6</f>
        <v/>
      </c>
      <c r="H4705" s="11">
        <f>F4705*Summary!$B$7</f>
        <v/>
      </c>
      <c r="I4705" s="11">
        <f>MAX(0,N4705-M4705)</f>
        <v/>
      </c>
      <c r="J4705" s="11">
        <f>MAX(0,M4705-N4705)</f>
        <v/>
      </c>
      <c r="K4705" s="11">
        <f>O4705</f>
        <v/>
      </c>
      <c r="L4705" s="11">
        <f>L4704+IF(K4705&gt;0,K4705*Summary!$B$9,K4705/Summary!$B$9)</f>
        <v/>
      </c>
      <c r="M4705" s="11">
        <f>G4705+H4705</f>
        <v/>
      </c>
      <c r="N4705" s="11">
        <f>Summary!$C$16*Summary!$B$8</f>
        <v/>
      </c>
      <c r="O4705" s="11">
        <f>M4705-N4705</f>
        <v/>
      </c>
    </row>
    <row r="4706">
      <c r="A4706" s="9" t="n">
        <v>45488</v>
      </c>
      <c r="B4706" t="n">
        <v>7</v>
      </c>
      <c r="C4706" t="n">
        <v>15</v>
      </c>
      <c r="D4706" t="n">
        <v>0</v>
      </c>
      <c r="E4706" s="10" t="n">
        <v>0</v>
      </c>
      <c r="F4706" s="10" t="n">
        <v>0.2113430907223418</v>
      </c>
      <c r="G4706" s="11">
        <f>E4706*Summary!$B$6</f>
        <v/>
      </c>
      <c r="H4706" s="11">
        <f>F4706*Summary!$B$7</f>
        <v/>
      </c>
      <c r="I4706" s="11">
        <f>MAX(0,N4706-M4706)</f>
        <v/>
      </c>
      <c r="J4706" s="11">
        <f>MAX(0,M4706-N4706)</f>
        <v/>
      </c>
      <c r="K4706" s="11">
        <f>O4706</f>
        <v/>
      </c>
      <c r="L4706" s="11">
        <f>L4705+IF(K4706&gt;0,K4706*Summary!$B$9,K4706/Summary!$B$9)</f>
        <v/>
      </c>
      <c r="M4706" s="11">
        <f>G4706+H4706</f>
        <v/>
      </c>
      <c r="N4706" s="11">
        <f>Summary!$C$16*Summary!$B$8</f>
        <v/>
      </c>
      <c r="O4706" s="11">
        <f>M4706-N4706</f>
        <v/>
      </c>
    </row>
    <row r="4707">
      <c r="A4707" s="9" t="n">
        <v>45488.04166666666</v>
      </c>
      <c r="B4707" t="n">
        <v>7</v>
      </c>
      <c r="C4707" t="n">
        <v>15</v>
      </c>
      <c r="D4707" t="n">
        <v>1</v>
      </c>
      <c r="E4707" s="10" t="n">
        <v>0</v>
      </c>
      <c r="F4707" s="10" t="n">
        <v>0.1513132203151729</v>
      </c>
      <c r="G4707" s="11">
        <f>E4707*Summary!$B$6</f>
        <v/>
      </c>
      <c r="H4707" s="11">
        <f>F4707*Summary!$B$7</f>
        <v/>
      </c>
      <c r="I4707" s="11">
        <f>MAX(0,N4707-M4707)</f>
        <v/>
      </c>
      <c r="J4707" s="11">
        <f>MAX(0,M4707-N4707)</f>
        <v/>
      </c>
      <c r="K4707" s="11">
        <f>O4707</f>
        <v/>
      </c>
      <c r="L4707" s="11">
        <f>L4706+IF(K4707&gt;0,K4707*Summary!$B$9,K4707/Summary!$B$9)</f>
        <v/>
      </c>
      <c r="M4707" s="11">
        <f>G4707+H4707</f>
        <v/>
      </c>
      <c r="N4707" s="11">
        <f>Summary!$C$16*Summary!$B$8</f>
        <v/>
      </c>
      <c r="O4707" s="11">
        <f>M4707-N4707</f>
        <v/>
      </c>
    </row>
    <row r="4708">
      <c r="A4708" s="9" t="n">
        <v>45488.08333333334</v>
      </c>
      <c r="B4708" t="n">
        <v>7</v>
      </c>
      <c r="C4708" t="n">
        <v>15</v>
      </c>
      <c r="D4708" t="n">
        <v>2</v>
      </c>
      <c r="E4708" s="10" t="n">
        <v>0</v>
      </c>
      <c r="F4708" s="10" t="n">
        <v>0.1479401635056392</v>
      </c>
      <c r="G4708" s="11">
        <f>E4708*Summary!$B$6</f>
        <v/>
      </c>
      <c r="H4708" s="11">
        <f>F4708*Summary!$B$7</f>
        <v/>
      </c>
      <c r="I4708" s="11">
        <f>MAX(0,N4708-M4708)</f>
        <v/>
      </c>
      <c r="J4708" s="11">
        <f>MAX(0,M4708-N4708)</f>
        <v/>
      </c>
      <c r="K4708" s="11">
        <f>O4708</f>
        <v/>
      </c>
      <c r="L4708" s="11">
        <f>L4707+IF(K4708&gt;0,K4708*Summary!$B$9,K4708/Summary!$B$9)</f>
        <v/>
      </c>
      <c r="M4708" s="11">
        <f>G4708+H4708</f>
        <v/>
      </c>
      <c r="N4708" s="11">
        <f>Summary!$C$16*Summary!$B$8</f>
        <v/>
      </c>
      <c r="O4708" s="11">
        <f>M4708-N4708</f>
        <v/>
      </c>
    </row>
    <row r="4709">
      <c r="A4709" s="9" t="n">
        <v>45488.125</v>
      </c>
      <c r="B4709" t="n">
        <v>7</v>
      </c>
      <c r="C4709" t="n">
        <v>15</v>
      </c>
      <c r="D4709" t="n">
        <v>3</v>
      </c>
      <c r="E4709" s="10" t="n">
        <v>0</v>
      </c>
      <c r="F4709" s="10" t="n">
        <v>0.1456211869490849</v>
      </c>
      <c r="G4709" s="11">
        <f>E4709*Summary!$B$6</f>
        <v/>
      </c>
      <c r="H4709" s="11">
        <f>F4709*Summary!$B$7</f>
        <v/>
      </c>
      <c r="I4709" s="11">
        <f>MAX(0,N4709-M4709)</f>
        <v/>
      </c>
      <c r="J4709" s="11">
        <f>MAX(0,M4709-N4709)</f>
        <v/>
      </c>
      <c r="K4709" s="11">
        <f>O4709</f>
        <v/>
      </c>
      <c r="L4709" s="11">
        <f>L4708+IF(K4709&gt;0,K4709*Summary!$B$9,K4709/Summary!$B$9)</f>
        <v/>
      </c>
      <c r="M4709" s="11">
        <f>G4709+H4709</f>
        <v/>
      </c>
      <c r="N4709" s="11">
        <f>Summary!$C$16*Summary!$B$8</f>
        <v/>
      </c>
      <c r="O4709" s="11">
        <f>M4709-N4709</f>
        <v/>
      </c>
    </row>
    <row r="4710">
      <c r="A4710" s="9" t="n">
        <v>45488.16666666666</v>
      </c>
      <c r="B4710" t="n">
        <v>7</v>
      </c>
      <c r="C4710" t="n">
        <v>15</v>
      </c>
      <c r="D4710" t="n">
        <v>4</v>
      </c>
      <c r="E4710" s="10" t="n">
        <v>0.03318</v>
      </c>
      <c r="F4710" s="10" t="n">
        <v>0.1373730089695221</v>
      </c>
      <c r="G4710" s="11">
        <f>E4710*Summary!$B$6</f>
        <v/>
      </c>
      <c r="H4710" s="11">
        <f>F4710*Summary!$B$7</f>
        <v/>
      </c>
      <c r="I4710" s="11">
        <f>MAX(0,N4710-M4710)</f>
        <v/>
      </c>
      <c r="J4710" s="11">
        <f>MAX(0,M4710-N4710)</f>
        <v/>
      </c>
      <c r="K4710" s="11">
        <f>O4710</f>
        <v/>
      </c>
      <c r="L4710" s="11">
        <f>L4709+IF(K4710&gt;0,K4710*Summary!$B$9,K4710/Summary!$B$9)</f>
        <v/>
      </c>
      <c r="M4710" s="11">
        <f>G4710+H4710</f>
        <v/>
      </c>
      <c r="N4710" s="11">
        <f>Summary!$C$16*Summary!$B$8</f>
        <v/>
      </c>
      <c r="O4710" s="11">
        <f>M4710-N4710</f>
        <v/>
      </c>
    </row>
    <row r="4711">
      <c r="A4711" s="9" t="n">
        <v>45488.20833333334</v>
      </c>
      <c r="B4711" t="n">
        <v>7</v>
      </c>
      <c r="C4711" t="n">
        <v>15</v>
      </c>
      <c r="D4711" t="n">
        <v>5</v>
      </c>
      <c r="E4711" s="10" t="n">
        <v>0.048901</v>
      </c>
      <c r="F4711" s="10" t="n">
        <v>0.1207712449850988</v>
      </c>
      <c r="G4711" s="11">
        <f>E4711*Summary!$B$6</f>
        <v/>
      </c>
      <c r="H4711" s="11">
        <f>F4711*Summary!$B$7</f>
        <v/>
      </c>
      <c r="I4711" s="11">
        <f>MAX(0,N4711-M4711)</f>
        <v/>
      </c>
      <c r="J4711" s="11">
        <f>MAX(0,M4711-N4711)</f>
        <v/>
      </c>
      <c r="K4711" s="11">
        <f>O4711</f>
        <v/>
      </c>
      <c r="L4711" s="11">
        <f>L4710+IF(K4711&gt;0,K4711*Summary!$B$9,K4711/Summary!$B$9)</f>
        <v/>
      </c>
      <c r="M4711" s="11">
        <f>G4711+H4711</f>
        <v/>
      </c>
      <c r="N4711" s="11">
        <f>Summary!$C$16*Summary!$B$8</f>
        <v/>
      </c>
      <c r="O4711" s="11">
        <f>M4711-N4711</f>
        <v/>
      </c>
    </row>
    <row r="4712">
      <c r="A4712" s="9" t="n">
        <v>45488.25</v>
      </c>
      <c r="B4712" t="n">
        <v>7</v>
      </c>
      <c r="C4712" t="n">
        <v>15</v>
      </c>
      <c r="D4712" t="n">
        <v>6</v>
      </c>
      <c r="E4712" s="10" t="n">
        <v>0.180812</v>
      </c>
      <c r="F4712" s="10" t="n">
        <v>0.1045911131018671</v>
      </c>
      <c r="G4712" s="11">
        <f>E4712*Summary!$B$6</f>
        <v/>
      </c>
      <c r="H4712" s="11">
        <f>F4712*Summary!$B$7</f>
        <v/>
      </c>
      <c r="I4712" s="11">
        <f>MAX(0,N4712-M4712)</f>
        <v/>
      </c>
      <c r="J4712" s="11">
        <f>MAX(0,M4712-N4712)</f>
        <v/>
      </c>
      <c r="K4712" s="11">
        <f>O4712</f>
        <v/>
      </c>
      <c r="L4712" s="11">
        <f>L4711+IF(K4712&gt;0,K4712*Summary!$B$9,K4712/Summary!$B$9)</f>
        <v/>
      </c>
      <c r="M4712" s="11">
        <f>G4712+H4712</f>
        <v/>
      </c>
      <c r="N4712" s="11">
        <f>Summary!$C$16*Summary!$B$8</f>
        <v/>
      </c>
      <c r="O4712" s="11">
        <f>M4712-N4712</f>
        <v/>
      </c>
    </row>
    <row r="4713">
      <c r="A4713" s="9" t="n">
        <v>45488.29166666666</v>
      </c>
      <c r="B4713" t="n">
        <v>7</v>
      </c>
      <c r="C4713" t="n">
        <v>15</v>
      </c>
      <c r="D4713" t="n">
        <v>7</v>
      </c>
      <c r="E4713" s="10" t="n">
        <v>0.378908</v>
      </c>
      <c r="F4713" s="10" t="n">
        <v>0.09787135148912436</v>
      </c>
      <c r="G4713" s="11">
        <f>E4713*Summary!$B$6</f>
        <v/>
      </c>
      <c r="H4713" s="11">
        <f>F4713*Summary!$B$7</f>
        <v/>
      </c>
      <c r="I4713" s="11">
        <f>MAX(0,N4713-M4713)</f>
        <v/>
      </c>
      <c r="J4713" s="11">
        <f>MAX(0,M4713-N4713)</f>
        <v/>
      </c>
      <c r="K4713" s="11">
        <f>O4713</f>
        <v/>
      </c>
      <c r="L4713" s="11">
        <f>L4712+IF(K4713&gt;0,K4713*Summary!$B$9,K4713/Summary!$B$9)</f>
        <v/>
      </c>
      <c r="M4713" s="11">
        <f>G4713+H4713</f>
        <v/>
      </c>
      <c r="N4713" s="11">
        <f>Summary!$C$16*Summary!$B$8</f>
        <v/>
      </c>
      <c r="O4713" s="11">
        <f>M4713-N4713</f>
        <v/>
      </c>
    </row>
    <row r="4714">
      <c r="A4714" s="9" t="n">
        <v>45488.33333333334</v>
      </c>
      <c r="B4714" t="n">
        <v>7</v>
      </c>
      <c r="C4714" t="n">
        <v>15</v>
      </c>
      <c r="D4714" t="n">
        <v>8</v>
      </c>
      <c r="E4714" s="10" t="n">
        <v>0.559998</v>
      </c>
      <c r="F4714" s="10" t="n">
        <v>0.102720120652829</v>
      </c>
      <c r="G4714" s="11">
        <f>E4714*Summary!$B$6</f>
        <v/>
      </c>
      <c r="H4714" s="11">
        <f>F4714*Summary!$B$7</f>
        <v/>
      </c>
      <c r="I4714" s="11">
        <f>MAX(0,N4714-M4714)</f>
        <v/>
      </c>
      <c r="J4714" s="11">
        <f>MAX(0,M4714-N4714)</f>
        <v/>
      </c>
      <c r="K4714" s="11">
        <f>O4714</f>
        <v/>
      </c>
      <c r="L4714" s="11">
        <f>L4713+IF(K4714&gt;0,K4714*Summary!$B$9,K4714/Summary!$B$9)</f>
        <v/>
      </c>
      <c r="M4714" s="11">
        <f>G4714+H4714</f>
        <v/>
      </c>
      <c r="N4714" s="11">
        <f>Summary!$C$16*Summary!$B$8</f>
        <v/>
      </c>
      <c r="O4714" s="11">
        <f>M4714-N4714</f>
        <v/>
      </c>
    </row>
    <row r="4715">
      <c r="A4715" s="9" t="n">
        <v>45488.375</v>
      </c>
      <c r="B4715" t="n">
        <v>7</v>
      </c>
      <c r="C4715" t="n">
        <v>15</v>
      </c>
      <c r="D4715" t="n">
        <v>9</v>
      </c>
      <c r="E4715" s="10" t="n">
        <v>0.702005</v>
      </c>
      <c r="F4715" s="10" t="n">
        <v>0.1123122509549402</v>
      </c>
      <c r="G4715" s="11">
        <f>E4715*Summary!$B$6</f>
        <v/>
      </c>
      <c r="H4715" s="11">
        <f>F4715*Summary!$B$7</f>
        <v/>
      </c>
      <c r="I4715" s="11">
        <f>MAX(0,N4715-M4715)</f>
        <v/>
      </c>
      <c r="J4715" s="11">
        <f>MAX(0,M4715-N4715)</f>
        <v/>
      </c>
      <c r="K4715" s="11">
        <f>O4715</f>
        <v/>
      </c>
      <c r="L4715" s="11">
        <f>L4714+IF(K4715&gt;0,K4715*Summary!$B$9,K4715/Summary!$B$9)</f>
        <v/>
      </c>
      <c r="M4715" s="11">
        <f>G4715+H4715</f>
        <v/>
      </c>
      <c r="N4715" s="11">
        <f>Summary!$C$16*Summary!$B$8</f>
        <v/>
      </c>
      <c r="O4715" s="11">
        <f>M4715-N4715</f>
        <v/>
      </c>
    </row>
    <row r="4716">
      <c r="A4716" s="9" t="n">
        <v>45488.41666666666</v>
      </c>
      <c r="B4716" t="n">
        <v>7</v>
      </c>
      <c r="C4716" t="n">
        <v>15</v>
      </c>
      <c r="D4716" t="n">
        <v>10</v>
      </c>
      <c r="E4716" s="10" t="n">
        <v>0.754058</v>
      </c>
      <c r="F4716" s="10" t="n">
        <v>0.1241706538009569</v>
      </c>
      <c r="G4716" s="11">
        <f>E4716*Summary!$B$6</f>
        <v/>
      </c>
      <c r="H4716" s="11">
        <f>F4716*Summary!$B$7</f>
        <v/>
      </c>
      <c r="I4716" s="11">
        <f>MAX(0,N4716-M4716)</f>
        <v/>
      </c>
      <c r="J4716" s="11">
        <f>MAX(0,M4716-N4716)</f>
        <v/>
      </c>
      <c r="K4716" s="11">
        <f>O4716</f>
        <v/>
      </c>
      <c r="L4716" s="11">
        <f>L4715+IF(K4716&gt;0,K4716*Summary!$B$9,K4716/Summary!$B$9)</f>
        <v/>
      </c>
      <c r="M4716" s="11">
        <f>G4716+H4716</f>
        <v/>
      </c>
      <c r="N4716" s="11">
        <f>Summary!$C$16*Summary!$B$8</f>
        <v/>
      </c>
      <c r="O4716" s="11">
        <f>M4716-N4716</f>
        <v/>
      </c>
    </row>
    <row r="4717">
      <c r="A4717" s="9" t="n">
        <v>45488.45833333334</v>
      </c>
      <c r="B4717" t="n">
        <v>7</v>
      </c>
      <c r="C4717" t="n">
        <v>15</v>
      </c>
      <c r="D4717" t="n">
        <v>11</v>
      </c>
      <c r="E4717" s="10" t="n">
        <v>0.754058</v>
      </c>
      <c r="F4717" s="10" t="n">
        <v>0.1435657304557753</v>
      </c>
      <c r="G4717" s="11">
        <f>E4717*Summary!$B$6</f>
        <v/>
      </c>
      <c r="H4717" s="11">
        <f>F4717*Summary!$B$7</f>
        <v/>
      </c>
      <c r="I4717" s="11">
        <f>MAX(0,N4717-M4717)</f>
        <v/>
      </c>
      <c r="J4717" s="11">
        <f>MAX(0,M4717-N4717)</f>
        <v/>
      </c>
      <c r="K4717" s="11">
        <f>O4717</f>
        <v/>
      </c>
      <c r="L4717" s="11">
        <f>L4716+IF(K4717&gt;0,K4717*Summary!$B$9,K4717/Summary!$B$9)</f>
        <v/>
      </c>
      <c r="M4717" s="11">
        <f>G4717+H4717</f>
        <v/>
      </c>
      <c r="N4717" s="11">
        <f>Summary!$C$16*Summary!$B$8</f>
        <v/>
      </c>
      <c r="O4717" s="11">
        <f>M4717-N4717</f>
        <v/>
      </c>
    </row>
    <row r="4718">
      <c r="A4718" s="9" t="n">
        <v>45488.5</v>
      </c>
      <c r="B4718" t="n">
        <v>7</v>
      </c>
      <c r="C4718" t="n">
        <v>15</v>
      </c>
      <c r="D4718" t="n">
        <v>12</v>
      </c>
      <c r="E4718" s="10" t="n">
        <v>0.754058</v>
      </c>
      <c r="F4718" s="10" t="n">
        <v>0.1498638599673264</v>
      </c>
      <c r="G4718" s="11">
        <f>E4718*Summary!$B$6</f>
        <v/>
      </c>
      <c r="H4718" s="11">
        <f>F4718*Summary!$B$7</f>
        <v/>
      </c>
      <c r="I4718" s="11">
        <f>MAX(0,N4718-M4718)</f>
        <v/>
      </c>
      <c r="J4718" s="11">
        <f>MAX(0,M4718-N4718)</f>
        <v/>
      </c>
      <c r="K4718" s="11">
        <f>O4718</f>
        <v/>
      </c>
      <c r="L4718" s="11">
        <f>L4717+IF(K4718&gt;0,K4718*Summary!$B$9,K4718/Summary!$B$9)</f>
        <v/>
      </c>
      <c r="M4718" s="11">
        <f>G4718+H4718</f>
        <v/>
      </c>
      <c r="N4718" s="11">
        <f>Summary!$C$16*Summary!$B$8</f>
        <v/>
      </c>
      <c r="O4718" s="11">
        <f>M4718-N4718</f>
        <v/>
      </c>
    </row>
    <row r="4719">
      <c r="A4719" s="9" t="n">
        <v>45488.54166666666</v>
      </c>
      <c r="B4719" t="n">
        <v>7</v>
      </c>
      <c r="C4719" t="n">
        <v>15</v>
      </c>
      <c r="D4719" t="n">
        <v>13</v>
      </c>
      <c r="E4719" s="10" t="n">
        <v>0.754058</v>
      </c>
      <c r="F4719" s="10" t="n">
        <v>0.1597722143453315</v>
      </c>
      <c r="G4719" s="11">
        <f>E4719*Summary!$B$6</f>
        <v/>
      </c>
      <c r="H4719" s="11">
        <f>F4719*Summary!$B$7</f>
        <v/>
      </c>
      <c r="I4719" s="11">
        <f>MAX(0,N4719-M4719)</f>
        <v/>
      </c>
      <c r="J4719" s="11">
        <f>MAX(0,M4719-N4719)</f>
        <v/>
      </c>
      <c r="K4719" s="11">
        <f>O4719</f>
        <v/>
      </c>
      <c r="L4719" s="11">
        <f>L4718+IF(K4719&gt;0,K4719*Summary!$B$9,K4719/Summary!$B$9)</f>
        <v/>
      </c>
      <c r="M4719" s="11">
        <f>G4719+H4719</f>
        <v/>
      </c>
      <c r="N4719" s="11">
        <f>Summary!$C$16*Summary!$B$8</f>
        <v/>
      </c>
      <c r="O4719" s="11">
        <f>M4719-N4719</f>
        <v/>
      </c>
    </row>
    <row r="4720">
      <c r="A4720" s="9" t="n">
        <v>45488.58333333334</v>
      </c>
      <c r="B4720" t="n">
        <v>7</v>
      </c>
      <c r="C4720" t="n">
        <v>15</v>
      </c>
      <c r="D4720" t="n">
        <v>14</v>
      </c>
      <c r="E4720" s="10" t="n">
        <v>0.754058</v>
      </c>
      <c r="F4720" s="10" t="n">
        <v>0.1663865679327763</v>
      </c>
      <c r="G4720" s="11">
        <f>E4720*Summary!$B$6</f>
        <v/>
      </c>
      <c r="H4720" s="11">
        <f>F4720*Summary!$B$7</f>
        <v/>
      </c>
      <c r="I4720" s="11">
        <f>MAX(0,N4720-M4720)</f>
        <v/>
      </c>
      <c r="J4720" s="11">
        <f>MAX(0,M4720-N4720)</f>
        <v/>
      </c>
      <c r="K4720" s="11">
        <f>O4720</f>
        <v/>
      </c>
      <c r="L4720" s="11">
        <f>L4719+IF(K4720&gt;0,K4720*Summary!$B$9,K4720/Summary!$B$9)</f>
        <v/>
      </c>
      <c r="M4720" s="11">
        <f>G4720+H4720</f>
        <v/>
      </c>
      <c r="N4720" s="11">
        <f>Summary!$C$16*Summary!$B$8</f>
        <v/>
      </c>
      <c r="O4720" s="11">
        <f>M4720-N4720</f>
        <v/>
      </c>
    </row>
    <row r="4721">
      <c r="A4721" s="9" t="n">
        <v>45488.625</v>
      </c>
      <c r="B4721" t="n">
        <v>7</v>
      </c>
      <c r="C4721" t="n">
        <v>15</v>
      </c>
      <c r="D4721" t="n">
        <v>15</v>
      </c>
      <c r="E4721" s="10" t="n">
        <v>0.6444299999999999</v>
      </c>
      <c r="F4721" s="10" t="n">
        <v>0.1691535285968468</v>
      </c>
      <c r="G4721" s="11">
        <f>E4721*Summary!$B$6</f>
        <v/>
      </c>
      <c r="H4721" s="11">
        <f>F4721*Summary!$B$7</f>
        <v/>
      </c>
      <c r="I4721" s="11">
        <f>MAX(0,N4721-M4721)</f>
        <v/>
      </c>
      <c r="J4721" s="11">
        <f>MAX(0,M4721-N4721)</f>
        <v/>
      </c>
      <c r="K4721" s="11">
        <f>O4721</f>
        <v/>
      </c>
      <c r="L4721" s="11">
        <f>L4720+IF(K4721&gt;0,K4721*Summary!$B$9,K4721/Summary!$B$9)</f>
        <v/>
      </c>
      <c r="M4721" s="11">
        <f>G4721+H4721</f>
        <v/>
      </c>
      <c r="N4721" s="11">
        <f>Summary!$C$16*Summary!$B$8</f>
        <v/>
      </c>
      <c r="O4721" s="11">
        <f>M4721-N4721</f>
        <v/>
      </c>
    </row>
    <row r="4722">
      <c r="A4722" s="9" t="n">
        <v>45488.66666666666</v>
      </c>
      <c r="B4722" t="n">
        <v>7</v>
      </c>
      <c r="C4722" t="n">
        <v>15</v>
      </c>
      <c r="D4722" t="n">
        <v>16</v>
      </c>
      <c r="E4722" s="10" t="n">
        <v>0.473897</v>
      </c>
      <c r="F4722" s="10" t="n">
        <v>0.1650426156102278</v>
      </c>
      <c r="G4722" s="11">
        <f>E4722*Summary!$B$6</f>
        <v/>
      </c>
      <c r="H4722" s="11">
        <f>F4722*Summary!$B$7</f>
        <v/>
      </c>
      <c r="I4722" s="11">
        <f>MAX(0,N4722-M4722)</f>
        <v/>
      </c>
      <c r="J4722" s="11">
        <f>MAX(0,M4722-N4722)</f>
        <v/>
      </c>
      <c r="K4722" s="11">
        <f>O4722</f>
        <v/>
      </c>
      <c r="L4722" s="11">
        <f>L4721+IF(K4722&gt;0,K4722*Summary!$B$9,K4722/Summary!$B$9)</f>
        <v/>
      </c>
      <c r="M4722" s="11">
        <f>G4722+H4722</f>
        <v/>
      </c>
      <c r="N4722" s="11">
        <f>Summary!$C$16*Summary!$B$8</f>
        <v/>
      </c>
      <c r="O4722" s="11">
        <f>M4722-N4722</f>
        <v/>
      </c>
    </row>
    <row r="4723">
      <c r="A4723" s="9" t="n">
        <v>45488.70833333334</v>
      </c>
      <c r="B4723" t="n">
        <v>7</v>
      </c>
      <c r="C4723" t="n">
        <v>15</v>
      </c>
      <c r="D4723" t="n">
        <v>17</v>
      </c>
      <c r="E4723" s="10" t="n">
        <v>0.275069</v>
      </c>
      <c r="F4723" s="10" t="n">
        <v>0.1628817510916203</v>
      </c>
      <c r="G4723" s="11">
        <f>E4723*Summary!$B$6</f>
        <v/>
      </c>
      <c r="H4723" s="11">
        <f>F4723*Summary!$B$7</f>
        <v/>
      </c>
      <c r="I4723" s="11">
        <f>MAX(0,N4723-M4723)</f>
        <v/>
      </c>
      <c r="J4723" s="11">
        <f>MAX(0,M4723-N4723)</f>
        <v/>
      </c>
      <c r="K4723" s="11">
        <f>O4723</f>
        <v/>
      </c>
      <c r="L4723" s="11">
        <f>L4722+IF(K4723&gt;0,K4723*Summary!$B$9,K4723/Summary!$B$9)</f>
        <v/>
      </c>
      <c r="M4723" s="11">
        <f>G4723+H4723</f>
        <v/>
      </c>
      <c r="N4723" s="11">
        <f>Summary!$C$16*Summary!$B$8</f>
        <v/>
      </c>
      <c r="O4723" s="11">
        <f>M4723-N4723</f>
        <v/>
      </c>
    </row>
    <row r="4724">
      <c r="A4724" s="9" t="n">
        <v>45488.75</v>
      </c>
      <c r="B4724" t="n">
        <v>7</v>
      </c>
      <c r="C4724" t="n">
        <v>15</v>
      </c>
      <c r="D4724" t="n">
        <v>18</v>
      </c>
      <c r="E4724" s="10" t="n">
        <v>0.093253</v>
      </c>
      <c r="F4724" s="10" t="n">
        <v>0.1550552052132493</v>
      </c>
      <c r="G4724" s="11">
        <f>E4724*Summary!$B$6</f>
        <v/>
      </c>
      <c r="H4724" s="11">
        <f>F4724*Summary!$B$7</f>
        <v/>
      </c>
      <c r="I4724" s="11">
        <f>MAX(0,N4724-M4724)</f>
        <v/>
      </c>
      <c r="J4724" s="11">
        <f>MAX(0,M4724-N4724)</f>
        <v/>
      </c>
      <c r="K4724" s="11">
        <f>O4724</f>
        <v/>
      </c>
      <c r="L4724" s="11">
        <f>L4723+IF(K4724&gt;0,K4724*Summary!$B$9,K4724/Summary!$B$9)</f>
        <v/>
      </c>
      <c r="M4724" s="11">
        <f>G4724+H4724</f>
        <v/>
      </c>
      <c r="N4724" s="11">
        <f>Summary!$C$16*Summary!$B$8</f>
        <v/>
      </c>
      <c r="O4724" s="11">
        <f>M4724-N4724</f>
        <v/>
      </c>
    </row>
    <row r="4725">
      <c r="A4725" s="9" t="n">
        <v>45488.79166666666</v>
      </c>
      <c r="B4725" t="n">
        <v>7</v>
      </c>
      <c r="C4725" t="n">
        <v>15</v>
      </c>
      <c r="D4725" t="n">
        <v>19</v>
      </c>
      <c r="E4725" s="10" t="n">
        <v>0.040299</v>
      </c>
      <c r="F4725" s="10" t="n">
        <v>0.1524727085934501</v>
      </c>
      <c r="G4725" s="11">
        <f>E4725*Summary!$B$6</f>
        <v/>
      </c>
      <c r="H4725" s="11">
        <f>F4725*Summary!$B$7</f>
        <v/>
      </c>
      <c r="I4725" s="11">
        <f>MAX(0,N4725-M4725)</f>
        <v/>
      </c>
      <c r="J4725" s="11">
        <f>MAX(0,M4725-N4725)</f>
        <v/>
      </c>
      <c r="K4725" s="11">
        <f>O4725</f>
        <v/>
      </c>
      <c r="L4725" s="11">
        <f>L4724+IF(K4725&gt;0,K4725*Summary!$B$9,K4725/Summary!$B$9)</f>
        <v/>
      </c>
      <c r="M4725" s="11">
        <f>G4725+H4725</f>
        <v/>
      </c>
      <c r="N4725" s="11">
        <f>Summary!$C$16*Summary!$B$8</f>
        <v/>
      </c>
      <c r="O4725" s="11">
        <f>M4725-N4725</f>
        <v/>
      </c>
    </row>
    <row r="4726">
      <c r="A4726" s="9" t="n">
        <v>45488.83333333334</v>
      </c>
      <c r="B4726" t="n">
        <v>7</v>
      </c>
      <c r="C4726" t="n">
        <v>15</v>
      </c>
      <c r="D4726" t="n">
        <v>20</v>
      </c>
      <c r="E4726" s="10" t="n">
        <v>0.007416</v>
      </c>
      <c r="F4726" s="10" t="n">
        <v>0.163303383192812</v>
      </c>
      <c r="G4726" s="11">
        <f>E4726*Summary!$B$6</f>
        <v/>
      </c>
      <c r="H4726" s="11">
        <f>F4726*Summary!$B$7</f>
        <v/>
      </c>
      <c r="I4726" s="11">
        <f>MAX(0,N4726-M4726)</f>
        <v/>
      </c>
      <c r="J4726" s="11">
        <f>MAX(0,M4726-N4726)</f>
        <v/>
      </c>
      <c r="K4726" s="11">
        <f>O4726</f>
        <v/>
      </c>
      <c r="L4726" s="11">
        <f>L4725+IF(K4726&gt;0,K4726*Summary!$B$9,K4726/Summary!$B$9)</f>
        <v/>
      </c>
      <c r="M4726" s="11">
        <f>G4726+H4726</f>
        <v/>
      </c>
      <c r="N4726" s="11">
        <f>Summary!$C$16*Summary!$B$8</f>
        <v/>
      </c>
      <c r="O4726" s="11">
        <f>M4726-N4726</f>
        <v/>
      </c>
    </row>
    <row r="4727">
      <c r="A4727" s="9" t="n">
        <v>45488.875</v>
      </c>
      <c r="B4727" t="n">
        <v>7</v>
      </c>
      <c r="C4727" t="n">
        <v>15</v>
      </c>
      <c r="D4727" t="n">
        <v>21</v>
      </c>
      <c r="E4727" s="10" t="n">
        <v>0</v>
      </c>
      <c r="F4727" s="10" t="n">
        <v>0.1829356279045507</v>
      </c>
      <c r="G4727" s="11">
        <f>E4727*Summary!$B$6</f>
        <v/>
      </c>
      <c r="H4727" s="11">
        <f>F4727*Summary!$B$7</f>
        <v/>
      </c>
      <c r="I4727" s="11">
        <f>MAX(0,N4727-M4727)</f>
        <v/>
      </c>
      <c r="J4727" s="11">
        <f>MAX(0,M4727-N4727)</f>
        <v/>
      </c>
      <c r="K4727" s="11">
        <f>O4727</f>
        <v/>
      </c>
      <c r="L4727" s="11">
        <f>L4726+IF(K4727&gt;0,K4727*Summary!$B$9,K4727/Summary!$B$9)</f>
        <v/>
      </c>
      <c r="M4727" s="11">
        <f>G4727+H4727</f>
        <v/>
      </c>
      <c r="N4727" s="11">
        <f>Summary!$C$16*Summary!$B$8</f>
        <v/>
      </c>
      <c r="O4727" s="11">
        <f>M4727-N4727</f>
        <v/>
      </c>
    </row>
    <row r="4728">
      <c r="A4728" s="9" t="n">
        <v>45488.91666666666</v>
      </c>
      <c r="B4728" t="n">
        <v>7</v>
      </c>
      <c r="C4728" t="n">
        <v>15</v>
      </c>
      <c r="D4728" t="n">
        <v>22</v>
      </c>
      <c r="E4728" s="10" t="n">
        <v>0</v>
      </c>
      <c r="F4728" s="10" t="n">
        <v>0.1951366068327856</v>
      </c>
      <c r="G4728" s="11">
        <f>E4728*Summary!$B$6</f>
        <v/>
      </c>
      <c r="H4728" s="11">
        <f>F4728*Summary!$B$7</f>
        <v/>
      </c>
      <c r="I4728" s="11">
        <f>MAX(0,N4728-M4728)</f>
        <v/>
      </c>
      <c r="J4728" s="11">
        <f>MAX(0,M4728-N4728)</f>
        <v/>
      </c>
      <c r="K4728" s="11">
        <f>O4728</f>
        <v/>
      </c>
      <c r="L4728" s="11">
        <f>L4727+IF(K4728&gt;0,K4728*Summary!$B$9,K4728/Summary!$B$9)</f>
        <v/>
      </c>
      <c r="M4728" s="11">
        <f>G4728+H4728</f>
        <v/>
      </c>
      <c r="N4728" s="11">
        <f>Summary!$C$16*Summary!$B$8</f>
        <v/>
      </c>
      <c r="O4728" s="11">
        <f>M4728-N4728</f>
        <v/>
      </c>
    </row>
    <row r="4729">
      <c r="A4729" s="9" t="n">
        <v>45488.95833333334</v>
      </c>
      <c r="B4729" t="n">
        <v>7</v>
      </c>
      <c r="C4729" t="n">
        <v>15</v>
      </c>
      <c r="D4729" t="n">
        <v>23</v>
      </c>
      <c r="E4729" s="10" t="n">
        <v>0</v>
      </c>
      <c r="F4729" s="10" t="n">
        <v>0.2026469286352629</v>
      </c>
      <c r="G4729" s="11">
        <f>E4729*Summary!$B$6</f>
        <v/>
      </c>
      <c r="H4729" s="11">
        <f>F4729*Summary!$B$7</f>
        <v/>
      </c>
      <c r="I4729" s="11">
        <f>MAX(0,N4729-M4729)</f>
        <v/>
      </c>
      <c r="J4729" s="11">
        <f>MAX(0,M4729-N4729)</f>
        <v/>
      </c>
      <c r="K4729" s="11">
        <f>O4729</f>
        <v/>
      </c>
      <c r="L4729" s="11">
        <f>L4728+IF(K4729&gt;0,K4729*Summary!$B$9,K4729/Summary!$B$9)</f>
        <v/>
      </c>
      <c r="M4729" s="11">
        <f>G4729+H4729</f>
        <v/>
      </c>
      <c r="N4729" s="11">
        <f>Summary!$C$16*Summary!$B$8</f>
        <v/>
      </c>
      <c r="O4729" s="11">
        <f>M4729-N4729</f>
        <v/>
      </c>
    </row>
    <row r="4730">
      <c r="A4730" s="9" t="n">
        <v>45489</v>
      </c>
      <c r="B4730" t="n">
        <v>7</v>
      </c>
      <c r="C4730" t="n">
        <v>16</v>
      </c>
      <c r="D4730" t="n">
        <v>0</v>
      </c>
      <c r="E4730" s="10" t="n">
        <v>0</v>
      </c>
      <c r="F4730" s="10" t="n">
        <v>0.2812022594885423</v>
      </c>
      <c r="G4730" s="11">
        <f>E4730*Summary!$B$6</f>
        <v/>
      </c>
      <c r="H4730" s="11">
        <f>F4730*Summary!$B$7</f>
        <v/>
      </c>
      <c r="I4730" s="11">
        <f>MAX(0,N4730-M4730)</f>
        <v/>
      </c>
      <c r="J4730" s="11">
        <f>MAX(0,M4730-N4730)</f>
        <v/>
      </c>
      <c r="K4730" s="11">
        <f>O4730</f>
        <v/>
      </c>
      <c r="L4730" s="11">
        <f>L4729+IF(K4730&gt;0,K4730*Summary!$B$9,K4730/Summary!$B$9)</f>
        <v/>
      </c>
      <c r="M4730" s="11">
        <f>G4730+H4730</f>
        <v/>
      </c>
      <c r="N4730" s="11">
        <f>Summary!$C$16*Summary!$B$8</f>
        <v/>
      </c>
      <c r="O4730" s="11">
        <f>M4730-N4730</f>
        <v/>
      </c>
    </row>
    <row r="4731">
      <c r="A4731" s="9" t="n">
        <v>45489.04166666666</v>
      </c>
      <c r="B4731" t="n">
        <v>7</v>
      </c>
      <c r="C4731" t="n">
        <v>16</v>
      </c>
      <c r="D4731" t="n">
        <v>1</v>
      </c>
      <c r="E4731" s="10" t="n">
        <v>0</v>
      </c>
      <c r="F4731" s="10" t="n">
        <v>0.2103680664883359</v>
      </c>
      <c r="G4731" s="11">
        <f>E4731*Summary!$B$6</f>
        <v/>
      </c>
      <c r="H4731" s="11">
        <f>F4731*Summary!$B$7</f>
        <v/>
      </c>
      <c r="I4731" s="11">
        <f>MAX(0,N4731-M4731)</f>
        <v/>
      </c>
      <c r="J4731" s="11">
        <f>MAX(0,M4731-N4731)</f>
        <v/>
      </c>
      <c r="K4731" s="11">
        <f>O4731</f>
        <v/>
      </c>
      <c r="L4731" s="11">
        <f>L4730+IF(K4731&gt;0,K4731*Summary!$B$9,K4731/Summary!$B$9)</f>
        <v/>
      </c>
      <c r="M4731" s="11">
        <f>G4731+H4731</f>
        <v/>
      </c>
      <c r="N4731" s="11">
        <f>Summary!$C$16*Summary!$B$8</f>
        <v/>
      </c>
      <c r="O4731" s="11">
        <f>M4731-N4731</f>
        <v/>
      </c>
    </row>
    <row r="4732">
      <c r="A4732" s="9" t="n">
        <v>45489.08333333334</v>
      </c>
      <c r="B4732" t="n">
        <v>7</v>
      </c>
      <c r="C4732" t="n">
        <v>16</v>
      </c>
      <c r="D4732" t="n">
        <v>2</v>
      </c>
      <c r="E4732" s="10" t="n">
        <v>0</v>
      </c>
      <c r="F4732" s="10" t="n">
        <v>0.2130032671207841</v>
      </c>
      <c r="G4732" s="11">
        <f>E4732*Summary!$B$6</f>
        <v/>
      </c>
      <c r="H4732" s="11">
        <f>F4732*Summary!$B$7</f>
        <v/>
      </c>
      <c r="I4732" s="11">
        <f>MAX(0,N4732-M4732)</f>
        <v/>
      </c>
      <c r="J4732" s="11">
        <f>MAX(0,M4732-N4732)</f>
        <v/>
      </c>
      <c r="K4732" s="11">
        <f>O4732</f>
        <v/>
      </c>
      <c r="L4732" s="11">
        <f>L4731+IF(K4732&gt;0,K4732*Summary!$B$9,K4732/Summary!$B$9)</f>
        <v/>
      </c>
      <c r="M4732" s="11">
        <f>G4732+H4732</f>
        <v/>
      </c>
      <c r="N4732" s="11">
        <f>Summary!$C$16*Summary!$B$8</f>
        <v/>
      </c>
      <c r="O4732" s="11">
        <f>M4732-N4732</f>
        <v/>
      </c>
    </row>
    <row r="4733">
      <c r="A4733" s="9" t="n">
        <v>45489.125</v>
      </c>
      <c r="B4733" t="n">
        <v>7</v>
      </c>
      <c r="C4733" t="n">
        <v>16</v>
      </c>
      <c r="D4733" t="n">
        <v>3</v>
      </c>
      <c r="E4733" s="10" t="n">
        <v>0</v>
      </c>
      <c r="F4733" s="10" t="n">
        <v>0.2180101483224356</v>
      </c>
      <c r="G4733" s="11">
        <f>E4733*Summary!$B$6</f>
        <v/>
      </c>
      <c r="H4733" s="11">
        <f>F4733*Summary!$B$7</f>
        <v/>
      </c>
      <c r="I4733" s="11">
        <f>MAX(0,N4733-M4733)</f>
        <v/>
      </c>
      <c r="J4733" s="11">
        <f>MAX(0,M4733-N4733)</f>
        <v/>
      </c>
      <c r="K4733" s="11">
        <f>O4733</f>
        <v/>
      </c>
      <c r="L4733" s="11">
        <f>L4732+IF(K4733&gt;0,K4733*Summary!$B$9,K4733/Summary!$B$9)</f>
        <v/>
      </c>
      <c r="M4733" s="11">
        <f>G4733+H4733</f>
        <v/>
      </c>
      <c r="N4733" s="11">
        <f>Summary!$C$16*Summary!$B$8</f>
        <v/>
      </c>
      <c r="O4733" s="11">
        <f>M4733-N4733</f>
        <v/>
      </c>
    </row>
    <row r="4734">
      <c r="A4734" s="9" t="n">
        <v>45489.16666666666</v>
      </c>
      <c r="B4734" t="n">
        <v>7</v>
      </c>
      <c r="C4734" t="n">
        <v>16</v>
      </c>
      <c r="D4734" t="n">
        <v>4</v>
      </c>
      <c r="E4734" s="10" t="n">
        <v>0.014899</v>
      </c>
      <c r="F4734" s="10" t="n">
        <v>0.2154540037089609</v>
      </c>
      <c r="G4734" s="11">
        <f>E4734*Summary!$B$6</f>
        <v/>
      </c>
      <c r="H4734" s="11">
        <f>F4734*Summary!$B$7</f>
        <v/>
      </c>
      <c r="I4734" s="11">
        <f>MAX(0,N4734-M4734)</f>
        <v/>
      </c>
      <c r="J4734" s="11">
        <f>MAX(0,M4734-N4734)</f>
        <v/>
      </c>
      <c r="K4734" s="11">
        <f>O4734</f>
        <v/>
      </c>
      <c r="L4734" s="11">
        <f>L4733+IF(K4734&gt;0,K4734*Summary!$B$9,K4734/Summary!$B$9)</f>
        <v/>
      </c>
      <c r="M4734" s="11">
        <f>G4734+H4734</f>
        <v/>
      </c>
      <c r="N4734" s="11">
        <f>Summary!$C$16*Summary!$B$8</f>
        <v/>
      </c>
      <c r="O4734" s="11">
        <f>M4734-N4734</f>
        <v/>
      </c>
    </row>
    <row r="4735">
      <c r="A4735" s="9" t="n">
        <v>45489.20833333334</v>
      </c>
      <c r="B4735" t="n">
        <v>7</v>
      </c>
      <c r="C4735" t="n">
        <v>16</v>
      </c>
      <c r="D4735" t="n">
        <v>5</v>
      </c>
      <c r="E4735" s="10" t="n">
        <v>0.019293</v>
      </c>
      <c r="F4735" s="10" t="n">
        <v>0.1960062230414935</v>
      </c>
      <c r="G4735" s="11">
        <f>E4735*Summary!$B$6</f>
        <v/>
      </c>
      <c r="H4735" s="11">
        <f>F4735*Summary!$B$7</f>
        <v/>
      </c>
      <c r="I4735" s="11">
        <f>MAX(0,N4735-M4735)</f>
        <v/>
      </c>
      <c r="J4735" s="11">
        <f>MAX(0,M4735-N4735)</f>
        <v/>
      </c>
      <c r="K4735" s="11">
        <f>O4735</f>
        <v/>
      </c>
      <c r="L4735" s="11">
        <f>L4734+IF(K4735&gt;0,K4735*Summary!$B$9,K4735/Summary!$B$9)</f>
        <v/>
      </c>
      <c r="M4735" s="11">
        <f>G4735+H4735</f>
        <v/>
      </c>
      <c r="N4735" s="11">
        <f>Summary!$C$16*Summary!$B$8</f>
        <v/>
      </c>
      <c r="O4735" s="11">
        <f>M4735-N4735</f>
        <v/>
      </c>
    </row>
    <row r="4736">
      <c r="A4736" s="9" t="n">
        <v>45489.25</v>
      </c>
      <c r="B4736" t="n">
        <v>7</v>
      </c>
      <c r="C4736" t="n">
        <v>16</v>
      </c>
      <c r="D4736" t="n">
        <v>6</v>
      </c>
      <c r="E4736" s="10" t="n">
        <v>0.083097</v>
      </c>
      <c r="F4736" s="10" t="n">
        <v>0.1927385742572578</v>
      </c>
      <c r="G4736" s="11">
        <f>E4736*Summary!$B$6</f>
        <v/>
      </c>
      <c r="H4736" s="11">
        <f>F4736*Summary!$B$7</f>
        <v/>
      </c>
      <c r="I4736" s="11">
        <f>MAX(0,N4736-M4736)</f>
        <v/>
      </c>
      <c r="J4736" s="11">
        <f>MAX(0,M4736-N4736)</f>
        <v/>
      </c>
      <c r="K4736" s="11">
        <f>O4736</f>
        <v/>
      </c>
      <c r="L4736" s="11">
        <f>L4735+IF(K4736&gt;0,K4736*Summary!$B$9,K4736/Summary!$B$9)</f>
        <v/>
      </c>
      <c r="M4736" s="11">
        <f>G4736+H4736</f>
        <v/>
      </c>
      <c r="N4736" s="11">
        <f>Summary!$C$16*Summary!$B$8</f>
        <v/>
      </c>
      <c r="O4736" s="11">
        <f>M4736-N4736</f>
        <v/>
      </c>
    </row>
    <row r="4737">
      <c r="A4737" s="9" t="n">
        <v>45489.29166666666</v>
      </c>
      <c r="B4737" t="n">
        <v>7</v>
      </c>
      <c r="C4737" t="n">
        <v>16</v>
      </c>
      <c r="D4737" t="n">
        <v>7</v>
      </c>
      <c r="E4737" s="10" t="n">
        <v>0.118921</v>
      </c>
      <c r="F4737" s="10" t="n">
        <v>0.1925804622193109</v>
      </c>
      <c r="G4737" s="11">
        <f>E4737*Summary!$B$6</f>
        <v/>
      </c>
      <c r="H4737" s="11">
        <f>F4737*Summary!$B$7</f>
        <v/>
      </c>
      <c r="I4737" s="11">
        <f>MAX(0,N4737-M4737)</f>
        <v/>
      </c>
      <c r="J4737" s="11">
        <f>MAX(0,M4737-N4737)</f>
        <v/>
      </c>
      <c r="K4737" s="11">
        <f>O4737</f>
        <v/>
      </c>
      <c r="L4737" s="11">
        <f>L4736+IF(K4737&gt;0,K4737*Summary!$B$9,K4737/Summary!$B$9)</f>
        <v/>
      </c>
      <c r="M4737" s="11">
        <f>G4737+H4737</f>
        <v/>
      </c>
      <c r="N4737" s="11">
        <f>Summary!$C$16*Summary!$B$8</f>
        <v/>
      </c>
      <c r="O4737" s="11">
        <f>M4737-N4737</f>
        <v/>
      </c>
    </row>
    <row r="4738">
      <c r="A4738" s="9" t="n">
        <v>45489.33333333334</v>
      </c>
      <c r="B4738" t="n">
        <v>7</v>
      </c>
      <c r="C4738" t="n">
        <v>16</v>
      </c>
      <c r="D4738" t="n">
        <v>8</v>
      </c>
      <c r="E4738" s="10" t="n">
        <v>0.109018</v>
      </c>
      <c r="F4738" s="10" t="n">
        <v>0.220935221024453</v>
      </c>
      <c r="G4738" s="11">
        <f>E4738*Summary!$B$6</f>
        <v/>
      </c>
      <c r="H4738" s="11">
        <f>F4738*Summary!$B$7</f>
        <v/>
      </c>
      <c r="I4738" s="11">
        <f>MAX(0,N4738-M4738)</f>
        <v/>
      </c>
      <c r="J4738" s="11">
        <f>MAX(0,M4738-N4738)</f>
        <v/>
      </c>
      <c r="K4738" s="11">
        <f>O4738</f>
        <v/>
      </c>
      <c r="L4738" s="11">
        <f>L4737+IF(K4738&gt;0,K4738*Summary!$B$9,K4738/Summary!$B$9)</f>
        <v/>
      </c>
      <c r="M4738" s="11">
        <f>G4738+H4738</f>
        <v/>
      </c>
      <c r="N4738" s="11">
        <f>Summary!$C$16*Summary!$B$8</f>
        <v/>
      </c>
      <c r="O4738" s="11">
        <f>M4738-N4738</f>
        <v/>
      </c>
    </row>
    <row r="4739">
      <c r="A4739" s="9" t="n">
        <v>45489.375</v>
      </c>
      <c r="B4739" t="n">
        <v>7</v>
      </c>
      <c r="C4739" t="n">
        <v>16</v>
      </c>
      <c r="D4739" t="n">
        <v>9</v>
      </c>
      <c r="E4739" s="10" t="n">
        <v>0.106533</v>
      </c>
      <c r="F4739" s="10" t="n">
        <v>0.2140309953674389</v>
      </c>
      <c r="G4739" s="11">
        <f>E4739*Summary!$B$6</f>
        <v/>
      </c>
      <c r="H4739" s="11">
        <f>F4739*Summary!$B$7</f>
        <v/>
      </c>
      <c r="I4739" s="11">
        <f>MAX(0,N4739-M4739)</f>
        <v/>
      </c>
      <c r="J4739" s="11">
        <f>MAX(0,M4739-N4739)</f>
        <v/>
      </c>
      <c r="K4739" s="11">
        <f>O4739</f>
        <v/>
      </c>
      <c r="L4739" s="11">
        <f>L4738+IF(K4739&gt;0,K4739*Summary!$B$9,K4739/Summary!$B$9)</f>
        <v/>
      </c>
      <c r="M4739" s="11">
        <f>G4739+H4739</f>
        <v/>
      </c>
      <c r="N4739" s="11">
        <f>Summary!$C$16*Summary!$B$8</f>
        <v/>
      </c>
      <c r="O4739" s="11">
        <f>M4739-N4739</f>
        <v/>
      </c>
    </row>
    <row r="4740">
      <c r="A4740" s="9" t="n">
        <v>45489.41666666666</v>
      </c>
      <c r="B4740" t="n">
        <v>7</v>
      </c>
      <c r="C4740" t="n">
        <v>16</v>
      </c>
      <c r="D4740" t="n">
        <v>10</v>
      </c>
      <c r="E4740" s="10" t="n">
        <v>0.11469</v>
      </c>
      <c r="F4740" s="10" t="n">
        <v>0.230237479256995</v>
      </c>
      <c r="G4740" s="11">
        <f>E4740*Summary!$B$6</f>
        <v/>
      </c>
      <c r="H4740" s="11">
        <f>F4740*Summary!$B$7</f>
        <v/>
      </c>
      <c r="I4740" s="11">
        <f>MAX(0,N4740-M4740)</f>
        <v/>
      </c>
      <c r="J4740" s="11">
        <f>MAX(0,M4740-N4740)</f>
        <v/>
      </c>
      <c r="K4740" s="11">
        <f>O4740</f>
        <v/>
      </c>
      <c r="L4740" s="11">
        <f>L4739+IF(K4740&gt;0,K4740*Summary!$B$9,K4740/Summary!$B$9)</f>
        <v/>
      </c>
      <c r="M4740" s="11">
        <f>G4740+H4740</f>
        <v/>
      </c>
      <c r="N4740" s="11">
        <f>Summary!$C$16*Summary!$B$8</f>
        <v/>
      </c>
      <c r="O4740" s="11">
        <f>M4740-N4740</f>
        <v/>
      </c>
    </row>
    <row r="4741">
      <c r="A4741" s="9" t="n">
        <v>45489.45833333334</v>
      </c>
      <c r="B4741" t="n">
        <v>7</v>
      </c>
      <c r="C4741" t="n">
        <v>16</v>
      </c>
      <c r="D4741" t="n">
        <v>11</v>
      </c>
      <c r="E4741" s="10" t="n">
        <v>0.097758</v>
      </c>
      <c r="F4741" s="10" t="n">
        <v>0.2382748411859619</v>
      </c>
      <c r="G4741" s="11">
        <f>E4741*Summary!$B$6</f>
        <v/>
      </c>
      <c r="H4741" s="11">
        <f>F4741*Summary!$B$7</f>
        <v/>
      </c>
      <c r="I4741" s="11">
        <f>MAX(0,N4741-M4741)</f>
        <v/>
      </c>
      <c r="J4741" s="11">
        <f>MAX(0,M4741-N4741)</f>
        <v/>
      </c>
      <c r="K4741" s="11">
        <f>O4741</f>
        <v/>
      </c>
      <c r="L4741" s="11">
        <f>L4740+IF(K4741&gt;0,K4741*Summary!$B$9,K4741/Summary!$B$9)</f>
        <v/>
      </c>
      <c r="M4741" s="11">
        <f>G4741+H4741</f>
        <v/>
      </c>
      <c r="N4741" s="11">
        <f>Summary!$C$16*Summary!$B$8</f>
        <v/>
      </c>
      <c r="O4741" s="11">
        <f>M4741-N4741</f>
        <v/>
      </c>
    </row>
    <row r="4742">
      <c r="A4742" s="9" t="n">
        <v>45489.5</v>
      </c>
      <c r="B4742" t="n">
        <v>7</v>
      </c>
      <c r="C4742" t="n">
        <v>16</v>
      </c>
      <c r="D4742" t="n">
        <v>12</v>
      </c>
      <c r="E4742" s="10" t="n">
        <v>0.115805</v>
      </c>
      <c r="F4742" s="10" t="n">
        <v>0.2456270509504922</v>
      </c>
      <c r="G4742" s="11">
        <f>E4742*Summary!$B$6</f>
        <v/>
      </c>
      <c r="H4742" s="11">
        <f>F4742*Summary!$B$7</f>
        <v/>
      </c>
      <c r="I4742" s="11">
        <f>MAX(0,N4742-M4742)</f>
        <v/>
      </c>
      <c r="J4742" s="11">
        <f>MAX(0,M4742-N4742)</f>
        <v/>
      </c>
      <c r="K4742" s="11">
        <f>O4742</f>
        <v/>
      </c>
      <c r="L4742" s="11">
        <f>L4741+IF(K4742&gt;0,K4742*Summary!$B$9,K4742/Summary!$B$9)</f>
        <v/>
      </c>
      <c r="M4742" s="11">
        <f>G4742+H4742</f>
        <v/>
      </c>
      <c r="N4742" s="11">
        <f>Summary!$C$16*Summary!$B$8</f>
        <v/>
      </c>
      <c r="O4742" s="11">
        <f>M4742-N4742</f>
        <v/>
      </c>
    </row>
    <row r="4743">
      <c r="A4743" s="9" t="n">
        <v>45489.54166666666</v>
      </c>
      <c r="B4743" t="n">
        <v>7</v>
      </c>
      <c r="C4743" t="n">
        <v>16</v>
      </c>
      <c r="D4743" t="n">
        <v>13</v>
      </c>
      <c r="E4743" s="10" t="n">
        <v>0.147656</v>
      </c>
      <c r="F4743" s="10" t="n">
        <v>0.254534029088167</v>
      </c>
      <c r="G4743" s="11">
        <f>E4743*Summary!$B$6</f>
        <v/>
      </c>
      <c r="H4743" s="11">
        <f>F4743*Summary!$B$7</f>
        <v/>
      </c>
      <c r="I4743" s="11">
        <f>MAX(0,N4743-M4743)</f>
        <v/>
      </c>
      <c r="J4743" s="11">
        <f>MAX(0,M4743-N4743)</f>
        <v/>
      </c>
      <c r="K4743" s="11">
        <f>O4743</f>
        <v/>
      </c>
      <c r="L4743" s="11">
        <f>L4742+IF(K4743&gt;0,K4743*Summary!$B$9,K4743/Summary!$B$9)</f>
        <v/>
      </c>
      <c r="M4743" s="11">
        <f>G4743+H4743</f>
        <v/>
      </c>
      <c r="N4743" s="11">
        <f>Summary!$C$16*Summary!$B$8</f>
        <v/>
      </c>
      <c r="O4743" s="11">
        <f>M4743-N4743</f>
        <v/>
      </c>
    </row>
    <row r="4744">
      <c r="A4744" s="9" t="n">
        <v>45489.58333333334</v>
      </c>
      <c r="B4744" t="n">
        <v>7</v>
      </c>
      <c r="C4744" t="n">
        <v>16</v>
      </c>
      <c r="D4744" t="n">
        <v>14</v>
      </c>
      <c r="E4744" s="10" t="n">
        <v>0.164594</v>
      </c>
      <c r="F4744" s="10" t="n">
        <v>0.2610956786629628</v>
      </c>
      <c r="G4744" s="11">
        <f>E4744*Summary!$B$6</f>
        <v/>
      </c>
      <c r="H4744" s="11">
        <f>F4744*Summary!$B$7</f>
        <v/>
      </c>
      <c r="I4744" s="11">
        <f>MAX(0,N4744-M4744)</f>
        <v/>
      </c>
      <c r="J4744" s="11">
        <f>MAX(0,M4744-N4744)</f>
        <v/>
      </c>
      <c r="K4744" s="11">
        <f>O4744</f>
        <v/>
      </c>
      <c r="L4744" s="11">
        <f>L4743+IF(K4744&gt;0,K4744*Summary!$B$9,K4744/Summary!$B$9)</f>
        <v/>
      </c>
      <c r="M4744" s="11">
        <f>G4744+H4744</f>
        <v/>
      </c>
      <c r="N4744" s="11">
        <f>Summary!$C$16*Summary!$B$8</f>
        <v/>
      </c>
      <c r="O4744" s="11">
        <f>M4744-N4744</f>
        <v/>
      </c>
    </row>
    <row r="4745">
      <c r="A4745" s="9" t="n">
        <v>45489.625</v>
      </c>
      <c r="B4745" t="n">
        <v>7</v>
      </c>
      <c r="C4745" t="n">
        <v>16</v>
      </c>
      <c r="D4745" t="n">
        <v>15</v>
      </c>
      <c r="E4745" s="10" t="n">
        <v>0.181102</v>
      </c>
      <c r="F4745" s="10" t="n">
        <v>0.2700290088069621</v>
      </c>
      <c r="G4745" s="11">
        <f>E4745*Summary!$B$6</f>
        <v/>
      </c>
      <c r="H4745" s="11">
        <f>F4745*Summary!$B$7</f>
        <v/>
      </c>
      <c r="I4745" s="11">
        <f>MAX(0,N4745-M4745)</f>
        <v/>
      </c>
      <c r="J4745" s="11">
        <f>MAX(0,M4745-N4745)</f>
        <v/>
      </c>
      <c r="K4745" s="11">
        <f>O4745</f>
        <v/>
      </c>
      <c r="L4745" s="11">
        <f>L4744+IF(K4745&gt;0,K4745*Summary!$B$9,K4745/Summary!$B$9)</f>
        <v/>
      </c>
      <c r="M4745" s="11">
        <f>G4745+H4745</f>
        <v/>
      </c>
      <c r="N4745" s="11">
        <f>Summary!$C$16*Summary!$B$8</f>
        <v/>
      </c>
      <c r="O4745" s="11">
        <f>M4745-N4745</f>
        <v/>
      </c>
    </row>
    <row r="4746">
      <c r="A4746" s="9" t="n">
        <v>45489.66666666666</v>
      </c>
      <c r="B4746" t="n">
        <v>7</v>
      </c>
      <c r="C4746" t="n">
        <v>16</v>
      </c>
      <c r="D4746" t="n">
        <v>16</v>
      </c>
      <c r="E4746" s="10" t="n">
        <v>0.339419</v>
      </c>
      <c r="F4746" s="10" t="n">
        <v>0.2721635213192451</v>
      </c>
      <c r="G4746" s="11">
        <f>E4746*Summary!$B$6</f>
        <v/>
      </c>
      <c r="H4746" s="11">
        <f>F4746*Summary!$B$7</f>
        <v/>
      </c>
      <c r="I4746" s="11">
        <f>MAX(0,N4746-M4746)</f>
        <v/>
      </c>
      <c r="J4746" s="11">
        <f>MAX(0,M4746-N4746)</f>
        <v/>
      </c>
      <c r="K4746" s="11">
        <f>O4746</f>
        <v/>
      </c>
      <c r="L4746" s="11">
        <f>L4745+IF(K4746&gt;0,K4746*Summary!$B$9,K4746/Summary!$B$9)</f>
        <v/>
      </c>
      <c r="M4746" s="11">
        <f>G4746+H4746</f>
        <v/>
      </c>
      <c r="N4746" s="11">
        <f>Summary!$C$16*Summary!$B$8</f>
        <v/>
      </c>
      <c r="O4746" s="11">
        <f>M4746-N4746</f>
        <v/>
      </c>
    </row>
    <row r="4747">
      <c r="A4747" s="9" t="n">
        <v>45489.70833333334</v>
      </c>
      <c r="B4747" t="n">
        <v>7</v>
      </c>
      <c r="C4747" t="n">
        <v>16</v>
      </c>
      <c r="D4747" t="n">
        <v>17</v>
      </c>
      <c r="E4747" s="10" t="n">
        <v>0.262366</v>
      </c>
      <c r="F4747" s="10" t="n">
        <v>0.2906626297590311</v>
      </c>
      <c r="G4747" s="11">
        <f>E4747*Summary!$B$6</f>
        <v/>
      </c>
      <c r="H4747" s="11">
        <f>F4747*Summary!$B$7</f>
        <v/>
      </c>
      <c r="I4747" s="11">
        <f>MAX(0,N4747-M4747)</f>
        <v/>
      </c>
      <c r="J4747" s="11">
        <f>MAX(0,M4747-N4747)</f>
        <v/>
      </c>
      <c r="K4747" s="11">
        <f>O4747</f>
        <v/>
      </c>
      <c r="L4747" s="11">
        <f>L4746+IF(K4747&gt;0,K4747*Summary!$B$9,K4747/Summary!$B$9)</f>
        <v/>
      </c>
      <c r="M4747" s="11">
        <f>G4747+H4747</f>
        <v/>
      </c>
      <c r="N4747" s="11">
        <f>Summary!$C$16*Summary!$B$8</f>
        <v/>
      </c>
      <c r="O4747" s="11">
        <f>M4747-N4747</f>
        <v/>
      </c>
    </row>
    <row r="4748">
      <c r="A4748" s="9" t="n">
        <v>45489.75</v>
      </c>
      <c r="B4748" t="n">
        <v>7</v>
      </c>
      <c r="C4748" t="n">
        <v>16</v>
      </c>
      <c r="D4748" t="n">
        <v>18</v>
      </c>
      <c r="E4748" s="10" t="n">
        <v>0.104944</v>
      </c>
      <c r="F4748" s="10" t="n">
        <v>0.2783035387928493</v>
      </c>
      <c r="G4748" s="11">
        <f>E4748*Summary!$B$6</f>
        <v/>
      </c>
      <c r="H4748" s="11">
        <f>F4748*Summary!$B$7</f>
        <v/>
      </c>
      <c r="I4748" s="11">
        <f>MAX(0,N4748-M4748)</f>
        <v/>
      </c>
      <c r="J4748" s="11">
        <f>MAX(0,M4748-N4748)</f>
        <v/>
      </c>
      <c r="K4748" s="11">
        <f>O4748</f>
        <v/>
      </c>
      <c r="L4748" s="11">
        <f>L4747+IF(K4748&gt;0,K4748*Summary!$B$9,K4748/Summary!$B$9)</f>
        <v/>
      </c>
      <c r="M4748" s="11">
        <f>G4748+H4748</f>
        <v/>
      </c>
      <c r="N4748" s="11">
        <f>Summary!$C$16*Summary!$B$8</f>
        <v/>
      </c>
      <c r="O4748" s="11">
        <f>M4748-N4748</f>
        <v/>
      </c>
    </row>
    <row r="4749">
      <c r="A4749" s="9" t="n">
        <v>45489.79166666666</v>
      </c>
      <c r="B4749" t="n">
        <v>7</v>
      </c>
      <c r="C4749" t="n">
        <v>16</v>
      </c>
      <c r="D4749" t="n">
        <v>19</v>
      </c>
      <c r="E4749" s="10" t="n">
        <v>0.048883</v>
      </c>
      <c r="F4749" s="10" t="n">
        <v>0.2482095475702914</v>
      </c>
      <c r="G4749" s="11">
        <f>E4749*Summary!$B$6</f>
        <v/>
      </c>
      <c r="H4749" s="11">
        <f>F4749*Summary!$B$7</f>
        <v/>
      </c>
      <c r="I4749" s="11">
        <f>MAX(0,N4749-M4749)</f>
        <v/>
      </c>
      <c r="J4749" s="11">
        <f>MAX(0,M4749-N4749)</f>
        <v/>
      </c>
      <c r="K4749" s="11">
        <f>O4749</f>
        <v/>
      </c>
      <c r="L4749" s="11">
        <f>L4748+IF(K4749&gt;0,K4749*Summary!$B$9,K4749/Summary!$B$9)</f>
        <v/>
      </c>
      <c r="M4749" s="11">
        <f>G4749+H4749</f>
        <v/>
      </c>
      <c r="N4749" s="11">
        <f>Summary!$C$16*Summary!$B$8</f>
        <v/>
      </c>
      <c r="O4749" s="11">
        <f>M4749-N4749</f>
        <v/>
      </c>
    </row>
    <row r="4750">
      <c r="A4750" s="9" t="n">
        <v>45489.83333333334</v>
      </c>
      <c r="B4750" t="n">
        <v>7</v>
      </c>
      <c r="C4750" t="n">
        <v>16</v>
      </c>
      <c r="D4750" t="n">
        <v>20</v>
      </c>
      <c r="E4750" s="10" t="n">
        <v>0.010767</v>
      </c>
      <c r="F4750" s="10" t="n">
        <v>0.2567475976194234</v>
      </c>
      <c r="G4750" s="11">
        <f>E4750*Summary!$B$6</f>
        <v/>
      </c>
      <c r="H4750" s="11">
        <f>F4750*Summary!$B$7</f>
        <v/>
      </c>
      <c r="I4750" s="11">
        <f>MAX(0,N4750-M4750)</f>
        <v/>
      </c>
      <c r="J4750" s="11">
        <f>MAX(0,M4750-N4750)</f>
        <v/>
      </c>
      <c r="K4750" s="11">
        <f>O4750</f>
        <v/>
      </c>
      <c r="L4750" s="11">
        <f>L4749+IF(K4750&gt;0,K4750*Summary!$B$9,K4750/Summary!$B$9)</f>
        <v/>
      </c>
      <c r="M4750" s="11">
        <f>G4750+H4750</f>
        <v/>
      </c>
      <c r="N4750" s="11">
        <f>Summary!$C$16*Summary!$B$8</f>
        <v/>
      </c>
      <c r="O4750" s="11">
        <f>M4750-N4750</f>
        <v/>
      </c>
    </row>
    <row r="4751">
      <c r="A4751" s="9" t="n">
        <v>45489.875</v>
      </c>
      <c r="B4751" t="n">
        <v>7</v>
      </c>
      <c r="C4751" t="n">
        <v>16</v>
      </c>
      <c r="D4751" t="n">
        <v>21</v>
      </c>
      <c r="E4751" s="10" t="n">
        <v>0</v>
      </c>
      <c r="F4751" s="10" t="n">
        <v>0.2675519202124608</v>
      </c>
      <c r="G4751" s="11">
        <f>E4751*Summary!$B$6</f>
        <v/>
      </c>
      <c r="H4751" s="11">
        <f>F4751*Summary!$B$7</f>
        <v/>
      </c>
      <c r="I4751" s="11">
        <f>MAX(0,N4751-M4751)</f>
        <v/>
      </c>
      <c r="J4751" s="11">
        <f>MAX(0,M4751-N4751)</f>
        <v/>
      </c>
      <c r="K4751" s="11">
        <f>O4751</f>
        <v/>
      </c>
      <c r="L4751" s="11">
        <f>L4750+IF(K4751&gt;0,K4751*Summary!$B$9,K4751/Summary!$B$9)</f>
        <v/>
      </c>
      <c r="M4751" s="11">
        <f>G4751+H4751</f>
        <v/>
      </c>
      <c r="N4751" s="11">
        <f>Summary!$C$16*Summary!$B$8</f>
        <v/>
      </c>
      <c r="O4751" s="11">
        <f>M4751-N4751</f>
        <v/>
      </c>
    </row>
    <row r="4752">
      <c r="A4752" s="9" t="n">
        <v>45489.91666666666</v>
      </c>
      <c r="B4752" t="n">
        <v>7</v>
      </c>
      <c r="C4752" t="n">
        <v>16</v>
      </c>
      <c r="D4752" t="n">
        <v>22</v>
      </c>
      <c r="E4752" s="10" t="n">
        <v>0</v>
      </c>
      <c r="F4752" s="10" t="n">
        <v>0.2786988188877165</v>
      </c>
      <c r="G4752" s="11">
        <f>E4752*Summary!$B$6</f>
        <v/>
      </c>
      <c r="H4752" s="11">
        <f>F4752*Summary!$B$7</f>
        <v/>
      </c>
      <c r="I4752" s="11">
        <f>MAX(0,N4752-M4752)</f>
        <v/>
      </c>
      <c r="J4752" s="11">
        <f>MAX(0,M4752-N4752)</f>
        <v/>
      </c>
      <c r="K4752" s="11">
        <f>O4752</f>
        <v/>
      </c>
      <c r="L4752" s="11">
        <f>L4751+IF(K4752&gt;0,K4752*Summary!$B$9,K4752/Summary!$B$9)</f>
        <v/>
      </c>
      <c r="M4752" s="11">
        <f>G4752+H4752</f>
        <v/>
      </c>
      <c r="N4752" s="11">
        <f>Summary!$C$16*Summary!$B$8</f>
        <v/>
      </c>
      <c r="O4752" s="11">
        <f>M4752-N4752</f>
        <v/>
      </c>
    </row>
    <row r="4753">
      <c r="A4753" s="9" t="n">
        <v>45489.95833333334</v>
      </c>
      <c r="B4753" t="n">
        <v>7</v>
      </c>
      <c r="C4753" t="n">
        <v>16</v>
      </c>
      <c r="D4753" t="n">
        <v>23</v>
      </c>
      <c r="E4753" s="10" t="n">
        <v>0</v>
      </c>
      <c r="F4753" s="10" t="n">
        <v>0.2820455236909257</v>
      </c>
      <c r="G4753" s="11">
        <f>E4753*Summary!$B$6</f>
        <v/>
      </c>
      <c r="H4753" s="11">
        <f>F4753*Summary!$B$7</f>
        <v/>
      </c>
      <c r="I4753" s="11">
        <f>MAX(0,N4753-M4753)</f>
        <v/>
      </c>
      <c r="J4753" s="11">
        <f>MAX(0,M4753-N4753)</f>
        <v/>
      </c>
      <c r="K4753" s="11">
        <f>O4753</f>
        <v/>
      </c>
      <c r="L4753" s="11">
        <f>L4752+IF(K4753&gt;0,K4753*Summary!$B$9,K4753/Summary!$B$9)</f>
        <v/>
      </c>
      <c r="M4753" s="11">
        <f>G4753+H4753</f>
        <v/>
      </c>
      <c r="N4753" s="11">
        <f>Summary!$C$16*Summary!$B$8</f>
        <v/>
      </c>
      <c r="O4753" s="11">
        <f>M4753-N4753</f>
        <v/>
      </c>
    </row>
    <row r="4754">
      <c r="A4754" s="9" t="n">
        <v>45490</v>
      </c>
      <c r="B4754" t="n">
        <v>7</v>
      </c>
      <c r="C4754" t="n">
        <v>17</v>
      </c>
      <c r="D4754" t="n">
        <v>0</v>
      </c>
      <c r="E4754" s="10" t="n">
        <v>0</v>
      </c>
      <c r="F4754" s="10" t="n">
        <v>0.3263695983287036</v>
      </c>
      <c r="G4754" s="11">
        <f>E4754*Summary!$B$6</f>
        <v/>
      </c>
      <c r="H4754" s="11">
        <f>F4754*Summary!$B$7</f>
        <v/>
      </c>
      <c r="I4754" s="11">
        <f>MAX(0,N4754-M4754)</f>
        <v/>
      </c>
      <c r="J4754" s="11">
        <f>MAX(0,M4754-N4754)</f>
        <v/>
      </c>
      <c r="K4754" s="11">
        <f>O4754</f>
        <v/>
      </c>
      <c r="L4754" s="11">
        <f>L4753+IF(K4754&gt;0,K4754*Summary!$B$9,K4754/Summary!$B$9)</f>
        <v/>
      </c>
      <c r="M4754" s="11">
        <f>G4754+H4754</f>
        <v/>
      </c>
      <c r="N4754" s="11">
        <f>Summary!$C$16*Summary!$B$8</f>
        <v/>
      </c>
      <c r="O4754" s="11">
        <f>M4754-N4754</f>
        <v/>
      </c>
    </row>
    <row r="4755">
      <c r="A4755" s="9" t="n">
        <v>45490.04166666666</v>
      </c>
      <c r="B4755" t="n">
        <v>7</v>
      </c>
      <c r="C4755" t="n">
        <v>17</v>
      </c>
      <c r="D4755" t="n">
        <v>1</v>
      </c>
      <c r="E4755" s="10" t="n">
        <v>0</v>
      </c>
      <c r="F4755" s="10" t="n">
        <v>0.2976986154476677</v>
      </c>
      <c r="G4755" s="11">
        <f>E4755*Summary!$B$6</f>
        <v/>
      </c>
      <c r="H4755" s="11">
        <f>F4755*Summary!$B$7</f>
        <v/>
      </c>
      <c r="I4755" s="11">
        <f>MAX(0,N4755-M4755)</f>
        <v/>
      </c>
      <c r="J4755" s="11">
        <f>MAX(0,M4755-N4755)</f>
        <v/>
      </c>
      <c r="K4755" s="11">
        <f>O4755</f>
        <v/>
      </c>
      <c r="L4755" s="11">
        <f>L4754+IF(K4755&gt;0,K4755*Summary!$B$9,K4755/Summary!$B$9)</f>
        <v/>
      </c>
      <c r="M4755" s="11">
        <f>G4755+H4755</f>
        <v/>
      </c>
      <c r="N4755" s="11">
        <f>Summary!$C$16*Summary!$B$8</f>
        <v/>
      </c>
      <c r="O4755" s="11">
        <f>M4755-N4755</f>
        <v/>
      </c>
    </row>
    <row r="4756">
      <c r="A4756" s="9" t="n">
        <v>45490.08333333334</v>
      </c>
      <c r="B4756" t="n">
        <v>7</v>
      </c>
      <c r="C4756" t="n">
        <v>17</v>
      </c>
      <c r="D4756" t="n">
        <v>2</v>
      </c>
      <c r="E4756" s="10" t="n">
        <v>0</v>
      </c>
      <c r="F4756" s="10" t="n">
        <v>0.2796474911153978</v>
      </c>
      <c r="G4756" s="11">
        <f>E4756*Summary!$B$6</f>
        <v/>
      </c>
      <c r="H4756" s="11">
        <f>F4756*Summary!$B$7</f>
        <v/>
      </c>
      <c r="I4756" s="11">
        <f>MAX(0,N4756-M4756)</f>
        <v/>
      </c>
      <c r="J4756" s="11">
        <f>MAX(0,M4756-N4756)</f>
        <v/>
      </c>
      <c r="K4756" s="11">
        <f>O4756</f>
        <v/>
      </c>
      <c r="L4756" s="11">
        <f>L4755+IF(K4756&gt;0,K4756*Summary!$B$9,K4756/Summary!$B$9)</f>
        <v/>
      </c>
      <c r="M4756" s="11">
        <f>G4756+H4756</f>
        <v/>
      </c>
      <c r="N4756" s="11">
        <f>Summary!$C$16*Summary!$B$8</f>
        <v/>
      </c>
      <c r="O4756" s="11">
        <f>M4756-N4756</f>
        <v/>
      </c>
    </row>
    <row r="4757">
      <c r="A4757" s="9" t="n">
        <v>45490.125</v>
      </c>
      <c r="B4757" t="n">
        <v>7</v>
      </c>
      <c r="C4757" t="n">
        <v>17</v>
      </c>
      <c r="D4757" t="n">
        <v>3</v>
      </c>
      <c r="E4757" s="10" t="n">
        <v>0</v>
      </c>
      <c r="F4757" s="10" t="n">
        <v>0.2785143548434452</v>
      </c>
      <c r="G4757" s="11">
        <f>E4757*Summary!$B$6</f>
        <v/>
      </c>
      <c r="H4757" s="11">
        <f>F4757*Summary!$B$7</f>
        <v/>
      </c>
      <c r="I4757" s="11">
        <f>MAX(0,N4757-M4757)</f>
        <v/>
      </c>
      <c r="J4757" s="11">
        <f>MAX(0,M4757-N4757)</f>
        <v/>
      </c>
      <c r="K4757" s="11">
        <f>O4757</f>
        <v/>
      </c>
      <c r="L4757" s="11">
        <f>L4756+IF(K4757&gt;0,K4757*Summary!$B$9,K4757/Summary!$B$9)</f>
        <v/>
      </c>
      <c r="M4757" s="11">
        <f>G4757+H4757</f>
        <v/>
      </c>
      <c r="N4757" s="11">
        <f>Summary!$C$16*Summary!$B$8</f>
        <v/>
      </c>
      <c r="O4757" s="11">
        <f>M4757-N4757</f>
        <v/>
      </c>
    </row>
    <row r="4758">
      <c r="A4758" s="9" t="n">
        <v>45490.16666666666</v>
      </c>
      <c r="B4758" t="n">
        <v>7</v>
      </c>
      <c r="C4758" t="n">
        <v>17</v>
      </c>
      <c r="D4758" t="n">
        <v>4</v>
      </c>
      <c r="E4758" s="10" t="n">
        <v>0.035709</v>
      </c>
      <c r="F4758" s="10" t="n">
        <v>0.2700553608132866</v>
      </c>
      <c r="G4758" s="11">
        <f>E4758*Summary!$B$6</f>
        <v/>
      </c>
      <c r="H4758" s="11">
        <f>F4758*Summary!$B$7</f>
        <v/>
      </c>
      <c r="I4758" s="11">
        <f>MAX(0,N4758-M4758)</f>
        <v/>
      </c>
      <c r="J4758" s="11">
        <f>MAX(0,M4758-N4758)</f>
        <v/>
      </c>
      <c r="K4758" s="11">
        <f>O4758</f>
        <v/>
      </c>
      <c r="L4758" s="11">
        <f>L4757+IF(K4758&gt;0,K4758*Summary!$B$9,K4758/Summary!$B$9)</f>
        <v/>
      </c>
      <c r="M4758" s="11">
        <f>G4758+H4758</f>
        <v/>
      </c>
      <c r="N4758" s="11">
        <f>Summary!$C$16*Summary!$B$8</f>
        <v/>
      </c>
      <c r="O4758" s="11">
        <f>M4758-N4758</f>
        <v/>
      </c>
    </row>
    <row r="4759">
      <c r="A4759" s="9" t="n">
        <v>45490.20833333334</v>
      </c>
      <c r="B4759" t="n">
        <v>7</v>
      </c>
      <c r="C4759" t="n">
        <v>17</v>
      </c>
      <c r="D4759" t="n">
        <v>5</v>
      </c>
      <c r="E4759" s="10" t="n">
        <v>0.047022</v>
      </c>
      <c r="F4759" s="10" t="n">
        <v>0.2529792607150226</v>
      </c>
      <c r="G4759" s="11">
        <f>E4759*Summary!$B$6</f>
        <v/>
      </c>
      <c r="H4759" s="11">
        <f>F4759*Summary!$B$7</f>
        <v/>
      </c>
      <c r="I4759" s="11">
        <f>MAX(0,N4759-M4759)</f>
        <v/>
      </c>
      <c r="J4759" s="11">
        <f>MAX(0,M4759-N4759)</f>
        <v/>
      </c>
      <c r="K4759" s="11">
        <f>O4759</f>
        <v/>
      </c>
      <c r="L4759" s="11">
        <f>L4758+IF(K4759&gt;0,K4759*Summary!$B$9,K4759/Summary!$B$9)</f>
        <v/>
      </c>
      <c r="M4759" s="11">
        <f>G4759+H4759</f>
        <v/>
      </c>
      <c r="N4759" s="11">
        <f>Summary!$C$16*Summary!$B$8</f>
        <v/>
      </c>
      <c r="O4759" s="11">
        <f>M4759-N4759</f>
        <v/>
      </c>
    </row>
    <row r="4760">
      <c r="A4760" s="9" t="n">
        <v>45490.25</v>
      </c>
      <c r="B4760" t="n">
        <v>7</v>
      </c>
      <c r="C4760" t="n">
        <v>17</v>
      </c>
      <c r="D4760" t="n">
        <v>6</v>
      </c>
      <c r="E4760" s="10" t="n">
        <v>0.182726</v>
      </c>
      <c r="F4760" s="10" t="n">
        <v>0.2376687450404988</v>
      </c>
      <c r="G4760" s="11">
        <f>E4760*Summary!$B$6</f>
        <v/>
      </c>
      <c r="H4760" s="11">
        <f>F4760*Summary!$B$7</f>
        <v/>
      </c>
      <c r="I4760" s="11">
        <f>MAX(0,N4760-M4760)</f>
        <v/>
      </c>
      <c r="J4760" s="11">
        <f>MAX(0,M4760-N4760)</f>
        <v/>
      </c>
      <c r="K4760" s="11">
        <f>O4760</f>
        <v/>
      </c>
      <c r="L4760" s="11">
        <f>L4759+IF(K4760&gt;0,K4760*Summary!$B$9,K4760/Summary!$B$9)</f>
        <v/>
      </c>
      <c r="M4760" s="11">
        <f>G4760+H4760</f>
        <v/>
      </c>
      <c r="N4760" s="11">
        <f>Summary!$C$16*Summary!$B$8</f>
        <v/>
      </c>
      <c r="O4760" s="11">
        <f>M4760-N4760</f>
        <v/>
      </c>
    </row>
    <row r="4761">
      <c r="A4761" s="9" t="n">
        <v>45490.29166666666</v>
      </c>
      <c r="B4761" t="n">
        <v>7</v>
      </c>
      <c r="C4761" t="n">
        <v>17</v>
      </c>
      <c r="D4761" t="n">
        <v>7</v>
      </c>
      <c r="E4761" s="10" t="n">
        <v>0.354442</v>
      </c>
      <c r="F4761" s="10" t="n">
        <v>0.2343220402372896</v>
      </c>
      <c r="G4761" s="11">
        <f>E4761*Summary!$B$6</f>
        <v/>
      </c>
      <c r="H4761" s="11">
        <f>F4761*Summary!$B$7</f>
        <v/>
      </c>
      <c r="I4761" s="11">
        <f>MAX(0,N4761-M4761)</f>
        <v/>
      </c>
      <c r="J4761" s="11">
        <f>MAX(0,M4761-N4761)</f>
        <v/>
      </c>
      <c r="K4761" s="11">
        <f>O4761</f>
        <v/>
      </c>
      <c r="L4761" s="11">
        <f>L4760+IF(K4761&gt;0,K4761*Summary!$B$9,K4761/Summary!$B$9)</f>
        <v/>
      </c>
      <c r="M4761" s="11">
        <f>G4761+H4761</f>
        <v/>
      </c>
      <c r="N4761" s="11">
        <f>Summary!$C$16*Summary!$B$8</f>
        <v/>
      </c>
      <c r="O4761" s="11">
        <f>M4761-N4761</f>
        <v/>
      </c>
    </row>
    <row r="4762">
      <c r="A4762" s="9" t="n">
        <v>45490.33333333334</v>
      </c>
      <c r="B4762" t="n">
        <v>7</v>
      </c>
      <c r="C4762" t="n">
        <v>17</v>
      </c>
      <c r="D4762" t="n">
        <v>8</v>
      </c>
      <c r="E4762" s="10" t="n">
        <v>0.566669</v>
      </c>
      <c r="F4762" s="10" t="n">
        <v>0.2327409198578207</v>
      </c>
      <c r="G4762" s="11">
        <f>E4762*Summary!$B$6</f>
        <v/>
      </c>
      <c r="H4762" s="11">
        <f>F4762*Summary!$B$7</f>
        <v/>
      </c>
      <c r="I4762" s="11">
        <f>MAX(0,N4762-M4762)</f>
        <v/>
      </c>
      <c r="J4762" s="11">
        <f>MAX(0,M4762-N4762)</f>
        <v/>
      </c>
      <c r="K4762" s="11">
        <f>O4762</f>
        <v/>
      </c>
      <c r="L4762" s="11">
        <f>L4761+IF(K4762&gt;0,K4762*Summary!$B$9,K4762/Summary!$B$9)</f>
        <v/>
      </c>
      <c r="M4762" s="11">
        <f>G4762+H4762</f>
        <v/>
      </c>
      <c r="N4762" s="11">
        <f>Summary!$C$16*Summary!$B$8</f>
        <v/>
      </c>
      <c r="O4762" s="11">
        <f>M4762-N4762</f>
        <v/>
      </c>
    </row>
    <row r="4763">
      <c r="A4763" s="9" t="n">
        <v>45490.375</v>
      </c>
      <c r="B4763" t="n">
        <v>7</v>
      </c>
      <c r="C4763" t="n">
        <v>17</v>
      </c>
      <c r="D4763" t="n">
        <v>9</v>
      </c>
      <c r="E4763" s="10" t="n">
        <v>0.674592</v>
      </c>
      <c r="F4763" s="10" t="n">
        <v>0.2369045368570888</v>
      </c>
      <c r="G4763" s="11">
        <f>E4763*Summary!$B$6</f>
        <v/>
      </c>
      <c r="H4763" s="11">
        <f>F4763*Summary!$B$7</f>
        <v/>
      </c>
      <c r="I4763" s="11">
        <f>MAX(0,N4763-M4763)</f>
        <v/>
      </c>
      <c r="J4763" s="11">
        <f>MAX(0,M4763-N4763)</f>
        <v/>
      </c>
      <c r="K4763" s="11">
        <f>O4763</f>
        <v/>
      </c>
      <c r="L4763" s="11">
        <f>L4762+IF(K4763&gt;0,K4763*Summary!$B$9,K4763/Summary!$B$9)</f>
        <v/>
      </c>
      <c r="M4763" s="11">
        <f>G4763+H4763</f>
        <v/>
      </c>
      <c r="N4763" s="11">
        <f>Summary!$C$16*Summary!$B$8</f>
        <v/>
      </c>
      <c r="O4763" s="11">
        <f>M4763-N4763</f>
        <v/>
      </c>
    </row>
    <row r="4764">
      <c r="A4764" s="9" t="n">
        <v>45490.41666666666</v>
      </c>
      <c r="B4764" t="n">
        <v>7</v>
      </c>
      <c r="C4764" t="n">
        <v>17</v>
      </c>
      <c r="D4764" t="n">
        <v>10</v>
      </c>
      <c r="E4764" s="10" t="n">
        <v>0.754058</v>
      </c>
      <c r="F4764" s="10" t="n">
        <v>0.2456797549631412</v>
      </c>
      <c r="G4764" s="11">
        <f>E4764*Summary!$B$6</f>
        <v/>
      </c>
      <c r="H4764" s="11">
        <f>F4764*Summary!$B$7</f>
        <v/>
      </c>
      <c r="I4764" s="11">
        <f>MAX(0,N4764-M4764)</f>
        <v/>
      </c>
      <c r="J4764" s="11">
        <f>MAX(0,M4764-N4764)</f>
        <v/>
      </c>
      <c r="K4764" s="11">
        <f>O4764</f>
        <v/>
      </c>
      <c r="L4764" s="11">
        <f>L4763+IF(K4764&gt;0,K4764*Summary!$B$9,K4764/Summary!$B$9)</f>
        <v/>
      </c>
      <c r="M4764" s="11">
        <f>G4764+H4764</f>
        <v/>
      </c>
      <c r="N4764" s="11">
        <f>Summary!$C$16*Summary!$B$8</f>
        <v/>
      </c>
      <c r="O4764" s="11">
        <f>M4764-N4764</f>
        <v/>
      </c>
    </row>
    <row r="4765">
      <c r="A4765" s="9" t="n">
        <v>45490.45833333334</v>
      </c>
      <c r="B4765" t="n">
        <v>7</v>
      </c>
      <c r="C4765" t="n">
        <v>17</v>
      </c>
      <c r="D4765" t="n">
        <v>11</v>
      </c>
      <c r="E4765" s="10" t="n">
        <v>0.754058</v>
      </c>
      <c r="F4765" s="10" t="n">
        <v>0.2539806369553528</v>
      </c>
      <c r="G4765" s="11">
        <f>E4765*Summary!$B$6</f>
        <v/>
      </c>
      <c r="H4765" s="11">
        <f>F4765*Summary!$B$7</f>
        <v/>
      </c>
      <c r="I4765" s="11">
        <f>MAX(0,N4765-M4765)</f>
        <v/>
      </c>
      <c r="J4765" s="11">
        <f>MAX(0,M4765-N4765)</f>
        <v/>
      </c>
      <c r="K4765" s="11">
        <f>O4765</f>
        <v/>
      </c>
      <c r="L4765" s="11">
        <f>L4764+IF(K4765&gt;0,K4765*Summary!$B$9,K4765/Summary!$B$9)</f>
        <v/>
      </c>
      <c r="M4765" s="11">
        <f>G4765+H4765</f>
        <v/>
      </c>
      <c r="N4765" s="11">
        <f>Summary!$C$16*Summary!$B$8</f>
        <v/>
      </c>
      <c r="O4765" s="11">
        <f>M4765-N4765</f>
        <v/>
      </c>
    </row>
    <row r="4766">
      <c r="A4766" s="9" t="n">
        <v>45490.5</v>
      </c>
      <c r="B4766" t="n">
        <v>7</v>
      </c>
      <c r="C4766" t="n">
        <v>17</v>
      </c>
      <c r="D4766" t="n">
        <v>12</v>
      </c>
      <c r="E4766" s="10" t="n">
        <v>0.754058</v>
      </c>
      <c r="F4766" s="10" t="n">
        <v>0.2855503405320817</v>
      </c>
      <c r="G4766" s="11">
        <f>E4766*Summary!$B$6</f>
        <v/>
      </c>
      <c r="H4766" s="11">
        <f>F4766*Summary!$B$7</f>
        <v/>
      </c>
      <c r="I4766" s="11">
        <f>MAX(0,N4766-M4766)</f>
        <v/>
      </c>
      <c r="J4766" s="11">
        <f>MAX(0,M4766-N4766)</f>
        <v/>
      </c>
      <c r="K4766" s="11">
        <f>O4766</f>
        <v/>
      </c>
      <c r="L4766" s="11">
        <f>L4765+IF(K4766&gt;0,K4766*Summary!$B$9,K4766/Summary!$B$9)</f>
        <v/>
      </c>
      <c r="M4766" s="11">
        <f>G4766+H4766</f>
        <v/>
      </c>
      <c r="N4766" s="11">
        <f>Summary!$C$16*Summary!$B$8</f>
        <v/>
      </c>
      <c r="O4766" s="11">
        <f>M4766-N4766</f>
        <v/>
      </c>
    </row>
    <row r="4767">
      <c r="A4767" s="9" t="n">
        <v>45490.54166666666</v>
      </c>
      <c r="B4767" t="n">
        <v>7</v>
      </c>
      <c r="C4767" t="n">
        <v>17</v>
      </c>
      <c r="D4767" t="n">
        <v>13</v>
      </c>
      <c r="E4767" s="10" t="n">
        <v>0.754058</v>
      </c>
      <c r="F4767" s="10" t="n">
        <v>0.2750358900086136</v>
      </c>
      <c r="G4767" s="11">
        <f>E4767*Summary!$B$6</f>
        <v/>
      </c>
      <c r="H4767" s="11">
        <f>F4767*Summary!$B$7</f>
        <v/>
      </c>
      <c r="I4767" s="11">
        <f>MAX(0,N4767-M4767)</f>
        <v/>
      </c>
      <c r="J4767" s="11">
        <f>MAX(0,M4767-N4767)</f>
        <v/>
      </c>
      <c r="K4767" s="11">
        <f>O4767</f>
        <v/>
      </c>
      <c r="L4767" s="11">
        <f>L4766+IF(K4767&gt;0,K4767*Summary!$B$9,K4767/Summary!$B$9)</f>
        <v/>
      </c>
      <c r="M4767" s="11">
        <f>G4767+H4767</f>
        <v/>
      </c>
      <c r="N4767" s="11">
        <f>Summary!$C$16*Summary!$B$8</f>
        <v/>
      </c>
      <c r="O4767" s="11">
        <f>M4767-N4767</f>
        <v/>
      </c>
    </row>
    <row r="4768">
      <c r="A4768" s="9" t="n">
        <v>45490.58333333334</v>
      </c>
      <c r="B4768" t="n">
        <v>7</v>
      </c>
      <c r="C4768" t="n">
        <v>17</v>
      </c>
      <c r="D4768" t="n">
        <v>14</v>
      </c>
      <c r="E4768" s="10" t="n">
        <v>0.754058</v>
      </c>
      <c r="F4768" s="10" t="n">
        <v>0.2783562428054983</v>
      </c>
      <c r="G4768" s="11">
        <f>E4768*Summary!$B$6</f>
        <v/>
      </c>
      <c r="H4768" s="11">
        <f>F4768*Summary!$B$7</f>
        <v/>
      </c>
      <c r="I4768" s="11">
        <f>MAX(0,N4768-M4768)</f>
        <v/>
      </c>
      <c r="J4768" s="11">
        <f>MAX(0,M4768-N4768)</f>
        <v/>
      </c>
      <c r="K4768" s="11">
        <f>O4768</f>
        <v/>
      </c>
      <c r="L4768" s="11">
        <f>L4767+IF(K4768&gt;0,K4768*Summary!$B$9,K4768/Summary!$B$9)</f>
        <v/>
      </c>
      <c r="M4768" s="11">
        <f>G4768+H4768</f>
        <v/>
      </c>
      <c r="N4768" s="11">
        <f>Summary!$C$16*Summary!$B$8</f>
        <v/>
      </c>
      <c r="O4768" s="11">
        <f>M4768-N4768</f>
        <v/>
      </c>
    </row>
    <row r="4769">
      <c r="A4769" s="9" t="n">
        <v>45490.625</v>
      </c>
      <c r="B4769" t="n">
        <v>7</v>
      </c>
      <c r="C4769" t="n">
        <v>17</v>
      </c>
      <c r="D4769" t="n">
        <v>15</v>
      </c>
      <c r="E4769" s="10" t="n">
        <v>0.645671</v>
      </c>
      <c r="F4769" s="10" t="n">
        <v>0.2884490612277747</v>
      </c>
      <c r="G4769" s="11">
        <f>E4769*Summary!$B$6</f>
        <v/>
      </c>
      <c r="H4769" s="11">
        <f>F4769*Summary!$B$7</f>
        <v/>
      </c>
      <c r="I4769" s="11">
        <f>MAX(0,N4769-M4769)</f>
        <v/>
      </c>
      <c r="J4769" s="11">
        <f>MAX(0,M4769-N4769)</f>
        <v/>
      </c>
      <c r="K4769" s="11">
        <f>O4769</f>
        <v/>
      </c>
      <c r="L4769" s="11">
        <f>L4768+IF(K4769&gt;0,K4769*Summary!$B$9,K4769/Summary!$B$9)</f>
        <v/>
      </c>
      <c r="M4769" s="11">
        <f>G4769+H4769</f>
        <v/>
      </c>
      <c r="N4769" s="11">
        <f>Summary!$C$16*Summary!$B$8</f>
        <v/>
      </c>
      <c r="O4769" s="11">
        <f>M4769-N4769</f>
        <v/>
      </c>
    </row>
    <row r="4770">
      <c r="A4770" s="9" t="n">
        <v>45490.66666666666</v>
      </c>
      <c r="B4770" t="n">
        <v>7</v>
      </c>
      <c r="C4770" t="n">
        <v>17</v>
      </c>
      <c r="D4770" t="n">
        <v>16</v>
      </c>
      <c r="E4770" s="10" t="n">
        <v>0.472261</v>
      </c>
      <c r="F4770" s="10" t="n">
        <v>0.2925336222080693</v>
      </c>
      <c r="G4770" s="11">
        <f>E4770*Summary!$B$6</f>
        <v/>
      </c>
      <c r="H4770" s="11">
        <f>F4770*Summary!$B$7</f>
        <v/>
      </c>
      <c r="I4770" s="11">
        <f>MAX(0,N4770-M4770)</f>
        <v/>
      </c>
      <c r="J4770" s="11">
        <f>MAX(0,M4770-N4770)</f>
        <v/>
      </c>
      <c r="K4770" s="11">
        <f>O4770</f>
        <v/>
      </c>
      <c r="L4770" s="11">
        <f>L4769+IF(K4770&gt;0,K4770*Summary!$B$9,K4770/Summary!$B$9)</f>
        <v/>
      </c>
      <c r="M4770" s="11">
        <f>G4770+H4770</f>
        <v/>
      </c>
      <c r="N4770" s="11">
        <f>Summary!$C$16*Summary!$B$8</f>
        <v/>
      </c>
      <c r="O4770" s="11">
        <f>M4770-N4770</f>
        <v/>
      </c>
    </row>
    <row r="4771">
      <c r="A4771" s="9" t="n">
        <v>45490.70833333334</v>
      </c>
      <c r="B4771" t="n">
        <v>7</v>
      </c>
      <c r="C4771" t="n">
        <v>17</v>
      </c>
      <c r="D4771" t="n">
        <v>17</v>
      </c>
      <c r="E4771" s="10" t="n">
        <v>0.255011</v>
      </c>
      <c r="F4771" s="10" t="n">
        <v>0.2834685320324477</v>
      </c>
      <c r="G4771" s="11">
        <f>E4771*Summary!$B$6</f>
        <v/>
      </c>
      <c r="H4771" s="11">
        <f>F4771*Summary!$B$7</f>
        <v/>
      </c>
      <c r="I4771" s="11">
        <f>MAX(0,N4771-M4771)</f>
        <v/>
      </c>
      <c r="J4771" s="11">
        <f>MAX(0,M4771-N4771)</f>
        <v/>
      </c>
      <c r="K4771" s="11">
        <f>O4771</f>
        <v/>
      </c>
      <c r="L4771" s="11">
        <f>L4770+IF(K4771&gt;0,K4771*Summary!$B$9,K4771/Summary!$B$9)</f>
        <v/>
      </c>
      <c r="M4771" s="11">
        <f>G4771+H4771</f>
        <v/>
      </c>
      <c r="N4771" s="11">
        <f>Summary!$C$16*Summary!$B$8</f>
        <v/>
      </c>
      <c r="O4771" s="11">
        <f>M4771-N4771</f>
        <v/>
      </c>
    </row>
    <row r="4772">
      <c r="A4772" s="9" t="n">
        <v>45490.75</v>
      </c>
      <c r="B4772" t="n">
        <v>7</v>
      </c>
      <c r="C4772" t="n">
        <v>17</v>
      </c>
      <c r="D4772" t="n">
        <v>18</v>
      </c>
      <c r="E4772" s="10" t="n">
        <v>0.103169</v>
      </c>
      <c r="F4772" s="10" t="n">
        <v>0.2761690262805663</v>
      </c>
      <c r="G4772" s="11">
        <f>E4772*Summary!$B$6</f>
        <v/>
      </c>
      <c r="H4772" s="11">
        <f>F4772*Summary!$B$7</f>
        <v/>
      </c>
      <c r="I4772" s="11">
        <f>MAX(0,N4772-M4772)</f>
        <v/>
      </c>
      <c r="J4772" s="11">
        <f>MAX(0,M4772-N4772)</f>
        <v/>
      </c>
      <c r="K4772" s="11">
        <f>O4772</f>
        <v/>
      </c>
      <c r="L4772" s="11">
        <f>L4771+IF(K4772&gt;0,K4772*Summary!$B$9,K4772/Summary!$B$9)</f>
        <v/>
      </c>
      <c r="M4772" s="11">
        <f>G4772+H4772</f>
        <v/>
      </c>
      <c r="N4772" s="11">
        <f>Summary!$C$16*Summary!$B$8</f>
        <v/>
      </c>
      <c r="O4772" s="11">
        <f>M4772-N4772</f>
        <v/>
      </c>
    </row>
    <row r="4773">
      <c r="A4773" s="9" t="n">
        <v>45490.79166666666</v>
      </c>
      <c r="B4773" t="n">
        <v>7</v>
      </c>
      <c r="C4773" t="n">
        <v>17</v>
      </c>
      <c r="D4773" t="n">
        <v>19</v>
      </c>
      <c r="E4773" s="10" t="n">
        <v>0.047228</v>
      </c>
      <c r="F4773" s="10" t="n">
        <v>0.2777501466600352</v>
      </c>
      <c r="G4773" s="11">
        <f>E4773*Summary!$B$6</f>
        <v/>
      </c>
      <c r="H4773" s="11">
        <f>F4773*Summary!$B$7</f>
        <v/>
      </c>
      <c r="I4773" s="11">
        <f>MAX(0,N4773-M4773)</f>
        <v/>
      </c>
      <c r="J4773" s="11">
        <f>MAX(0,M4773-N4773)</f>
        <v/>
      </c>
      <c r="K4773" s="11">
        <f>O4773</f>
        <v/>
      </c>
      <c r="L4773" s="11">
        <f>L4772+IF(K4773&gt;0,K4773*Summary!$B$9,K4773/Summary!$B$9)</f>
        <v/>
      </c>
      <c r="M4773" s="11">
        <f>G4773+H4773</f>
        <v/>
      </c>
      <c r="N4773" s="11">
        <f>Summary!$C$16*Summary!$B$8</f>
        <v/>
      </c>
      <c r="O4773" s="11">
        <f>M4773-N4773</f>
        <v/>
      </c>
    </row>
    <row r="4774">
      <c r="A4774" s="9" t="n">
        <v>45490.83333333334</v>
      </c>
      <c r="B4774" t="n">
        <v>7</v>
      </c>
      <c r="C4774" t="n">
        <v>17</v>
      </c>
      <c r="D4774" t="n">
        <v>20</v>
      </c>
      <c r="E4774" s="10" t="n">
        <v>0.008609</v>
      </c>
      <c r="F4774" s="10" t="n">
        <v>0.2885281172467482</v>
      </c>
      <c r="G4774" s="11">
        <f>E4774*Summary!$B$6</f>
        <v/>
      </c>
      <c r="H4774" s="11">
        <f>F4774*Summary!$B$7</f>
        <v/>
      </c>
      <c r="I4774" s="11">
        <f>MAX(0,N4774-M4774)</f>
        <v/>
      </c>
      <c r="J4774" s="11">
        <f>MAX(0,M4774-N4774)</f>
        <v/>
      </c>
      <c r="K4774" s="11">
        <f>O4774</f>
        <v/>
      </c>
      <c r="L4774" s="11">
        <f>L4773+IF(K4774&gt;0,K4774*Summary!$B$9,K4774/Summary!$B$9)</f>
        <v/>
      </c>
      <c r="M4774" s="11">
        <f>G4774+H4774</f>
        <v/>
      </c>
      <c r="N4774" s="11">
        <f>Summary!$C$16*Summary!$B$8</f>
        <v/>
      </c>
      <c r="O4774" s="11">
        <f>M4774-N4774</f>
        <v/>
      </c>
    </row>
    <row r="4775">
      <c r="A4775" s="9" t="n">
        <v>45490.875</v>
      </c>
      <c r="B4775" t="n">
        <v>7</v>
      </c>
      <c r="C4775" t="n">
        <v>17</v>
      </c>
      <c r="D4775" t="n">
        <v>21</v>
      </c>
      <c r="E4775" s="10" t="n">
        <v>0</v>
      </c>
      <c r="F4775" s="10" t="n">
        <v>0.3066846496043159</v>
      </c>
      <c r="G4775" s="11">
        <f>E4775*Summary!$B$6</f>
        <v/>
      </c>
      <c r="H4775" s="11">
        <f>F4775*Summary!$B$7</f>
        <v/>
      </c>
      <c r="I4775" s="11">
        <f>MAX(0,N4775-M4775)</f>
        <v/>
      </c>
      <c r="J4775" s="11">
        <f>MAX(0,M4775-N4775)</f>
        <v/>
      </c>
      <c r="K4775" s="11">
        <f>O4775</f>
        <v/>
      </c>
      <c r="L4775" s="11">
        <f>L4774+IF(K4775&gt;0,K4775*Summary!$B$9,K4775/Summary!$B$9)</f>
        <v/>
      </c>
      <c r="M4775" s="11">
        <f>G4775+H4775</f>
        <v/>
      </c>
      <c r="N4775" s="11">
        <f>Summary!$C$16*Summary!$B$8</f>
        <v/>
      </c>
      <c r="O4775" s="11">
        <f>M4775-N4775</f>
        <v/>
      </c>
    </row>
    <row r="4776">
      <c r="A4776" s="9" t="n">
        <v>45490.91666666666</v>
      </c>
      <c r="B4776" t="n">
        <v>7</v>
      </c>
      <c r="C4776" t="n">
        <v>17</v>
      </c>
      <c r="D4776" t="n">
        <v>22</v>
      </c>
      <c r="E4776" s="10" t="n">
        <v>0</v>
      </c>
      <c r="F4776" s="10" t="n">
        <v>0.3234181736203617</v>
      </c>
      <c r="G4776" s="11">
        <f>E4776*Summary!$B$6</f>
        <v/>
      </c>
      <c r="H4776" s="11">
        <f>F4776*Summary!$B$7</f>
        <v/>
      </c>
      <c r="I4776" s="11">
        <f>MAX(0,N4776-M4776)</f>
        <v/>
      </c>
      <c r="J4776" s="11">
        <f>MAX(0,M4776-N4776)</f>
        <v/>
      </c>
      <c r="K4776" s="11">
        <f>O4776</f>
        <v/>
      </c>
      <c r="L4776" s="11">
        <f>L4775+IF(K4776&gt;0,K4776*Summary!$B$9,K4776/Summary!$B$9)</f>
        <v/>
      </c>
      <c r="M4776" s="11">
        <f>G4776+H4776</f>
        <v/>
      </c>
      <c r="N4776" s="11">
        <f>Summary!$C$16*Summary!$B$8</f>
        <v/>
      </c>
      <c r="O4776" s="11">
        <f>M4776-N4776</f>
        <v/>
      </c>
    </row>
    <row r="4777">
      <c r="A4777" s="9" t="n">
        <v>45490.95833333334</v>
      </c>
      <c r="B4777" t="n">
        <v>7</v>
      </c>
      <c r="C4777" t="n">
        <v>17</v>
      </c>
      <c r="D4777" t="n">
        <v>23</v>
      </c>
      <c r="E4777" s="10" t="n">
        <v>0</v>
      </c>
      <c r="F4777" s="10" t="n">
        <v>0.357148741715698</v>
      </c>
      <c r="G4777" s="11">
        <f>E4777*Summary!$B$6</f>
        <v/>
      </c>
      <c r="H4777" s="11">
        <f>F4777*Summary!$B$7</f>
        <v/>
      </c>
      <c r="I4777" s="11">
        <f>MAX(0,N4777-M4777)</f>
        <v/>
      </c>
      <c r="J4777" s="11">
        <f>MAX(0,M4777-N4777)</f>
        <v/>
      </c>
      <c r="K4777" s="11">
        <f>O4777</f>
        <v/>
      </c>
      <c r="L4777" s="11">
        <f>L4776+IF(K4777&gt;0,K4777*Summary!$B$9,K4777/Summary!$B$9)</f>
        <v/>
      </c>
      <c r="M4777" s="11">
        <f>G4777+H4777</f>
        <v/>
      </c>
      <c r="N4777" s="11">
        <f>Summary!$C$16*Summary!$B$8</f>
        <v/>
      </c>
      <c r="O4777" s="11">
        <f>M4777-N4777</f>
        <v/>
      </c>
    </row>
    <row r="4778">
      <c r="A4778" s="9" t="n">
        <v>45491</v>
      </c>
      <c r="B4778" t="n">
        <v>7</v>
      </c>
      <c r="C4778" t="n">
        <v>18</v>
      </c>
      <c r="D4778" t="n">
        <v>0</v>
      </c>
      <c r="E4778" s="10" t="n">
        <v>0</v>
      </c>
      <c r="F4778" s="10" t="n">
        <v>0.2337686481044755</v>
      </c>
      <c r="G4778" s="11">
        <f>E4778*Summary!$B$6</f>
        <v/>
      </c>
      <c r="H4778" s="11">
        <f>F4778*Summary!$B$7</f>
        <v/>
      </c>
      <c r="I4778" s="11">
        <f>MAX(0,N4778-M4778)</f>
        <v/>
      </c>
      <c r="J4778" s="11">
        <f>MAX(0,M4778-N4778)</f>
        <v/>
      </c>
      <c r="K4778" s="11">
        <f>O4778</f>
        <v/>
      </c>
      <c r="L4778" s="11">
        <f>L4777+IF(K4778&gt;0,K4778*Summary!$B$9,K4778/Summary!$B$9)</f>
        <v/>
      </c>
      <c r="M4778" s="11">
        <f>G4778+H4778</f>
        <v/>
      </c>
      <c r="N4778" s="11">
        <f>Summary!$C$16*Summary!$B$8</f>
        <v/>
      </c>
      <c r="O4778" s="11">
        <f>M4778-N4778</f>
        <v/>
      </c>
    </row>
    <row r="4779">
      <c r="A4779" s="9" t="n">
        <v>45491.04166666666</v>
      </c>
      <c r="B4779" t="n">
        <v>7</v>
      </c>
      <c r="C4779" t="n">
        <v>18</v>
      </c>
      <c r="D4779" t="n">
        <v>1</v>
      </c>
      <c r="E4779" s="10" t="n">
        <v>0</v>
      </c>
      <c r="F4779" s="10" t="n">
        <v>0.2995696078967059</v>
      </c>
      <c r="G4779" s="11">
        <f>E4779*Summary!$B$6</f>
        <v/>
      </c>
      <c r="H4779" s="11">
        <f>F4779*Summary!$B$7</f>
        <v/>
      </c>
      <c r="I4779" s="11">
        <f>MAX(0,N4779-M4779)</f>
        <v/>
      </c>
      <c r="J4779" s="11">
        <f>MAX(0,M4779-N4779)</f>
        <v/>
      </c>
      <c r="K4779" s="11">
        <f>O4779</f>
        <v/>
      </c>
      <c r="L4779" s="11">
        <f>L4778+IF(K4779&gt;0,K4779*Summary!$B$9,K4779/Summary!$B$9)</f>
        <v/>
      </c>
      <c r="M4779" s="11">
        <f>G4779+H4779</f>
        <v/>
      </c>
      <c r="N4779" s="11">
        <f>Summary!$C$16*Summary!$B$8</f>
        <v/>
      </c>
      <c r="O4779" s="11">
        <f>M4779-N4779</f>
        <v/>
      </c>
    </row>
    <row r="4780">
      <c r="A4780" s="9" t="n">
        <v>45491.08333333334</v>
      </c>
      <c r="B4780" t="n">
        <v>7</v>
      </c>
      <c r="C4780" t="n">
        <v>18</v>
      </c>
      <c r="D4780" t="n">
        <v>2</v>
      </c>
      <c r="E4780" s="10" t="n">
        <v>0</v>
      </c>
      <c r="F4780" s="10" t="n">
        <v>0.3217579972219194</v>
      </c>
      <c r="G4780" s="11">
        <f>E4780*Summary!$B$6</f>
        <v/>
      </c>
      <c r="H4780" s="11">
        <f>F4780*Summary!$B$7</f>
        <v/>
      </c>
      <c r="I4780" s="11">
        <f>MAX(0,N4780-M4780)</f>
        <v/>
      </c>
      <c r="J4780" s="11">
        <f>MAX(0,M4780-N4780)</f>
        <v/>
      </c>
      <c r="K4780" s="11">
        <f>O4780</f>
        <v/>
      </c>
      <c r="L4780" s="11">
        <f>L4779+IF(K4780&gt;0,K4780*Summary!$B$9,K4780/Summary!$B$9)</f>
        <v/>
      </c>
      <c r="M4780" s="11">
        <f>G4780+H4780</f>
        <v/>
      </c>
      <c r="N4780" s="11">
        <f>Summary!$C$16*Summary!$B$8</f>
        <v/>
      </c>
      <c r="O4780" s="11">
        <f>M4780-N4780</f>
        <v/>
      </c>
    </row>
    <row r="4781">
      <c r="A4781" s="9" t="n">
        <v>45491.125</v>
      </c>
      <c r="B4781" t="n">
        <v>7</v>
      </c>
      <c r="C4781" t="n">
        <v>18</v>
      </c>
      <c r="D4781" t="n">
        <v>3</v>
      </c>
      <c r="E4781" s="10" t="n">
        <v>0</v>
      </c>
      <c r="F4781" s="10" t="n">
        <v>0.3119286988628877</v>
      </c>
      <c r="G4781" s="11">
        <f>E4781*Summary!$B$6</f>
        <v/>
      </c>
      <c r="H4781" s="11">
        <f>F4781*Summary!$B$7</f>
        <v/>
      </c>
      <c r="I4781" s="11">
        <f>MAX(0,N4781-M4781)</f>
        <v/>
      </c>
      <c r="J4781" s="11">
        <f>MAX(0,M4781-N4781)</f>
        <v/>
      </c>
      <c r="K4781" s="11">
        <f>O4781</f>
        <v/>
      </c>
      <c r="L4781" s="11">
        <f>L4780+IF(K4781&gt;0,K4781*Summary!$B$9,K4781/Summary!$B$9)</f>
        <v/>
      </c>
      <c r="M4781" s="11">
        <f>G4781+H4781</f>
        <v/>
      </c>
      <c r="N4781" s="11">
        <f>Summary!$C$16*Summary!$B$8</f>
        <v/>
      </c>
      <c r="O4781" s="11">
        <f>M4781-N4781</f>
        <v/>
      </c>
    </row>
    <row r="4782">
      <c r="A4782" s="9" t="n">
        <v>45491.16666666666</v>
      </c>
      <c r="B4782" t="n">
        <v>7</v>
      </c>
      <c r="C4782" t="n">
        <v>18</v>
      </c>
      <c r="D4782" t="n">
        <v>4</v>
      </c>
      <c r="E4782" s="10" t="n">
        <v>0.013266</v>
      </c>
      <c r="F4782" s="10" t="n">
        <v>0.3005446321307117</v>
      </c>
      <c r="G4782" s="11">
        <f>E4782*Summary!$B$6</f>
        <v/>
      </c>
      <c r="H4782" s="11">
        <f>F4782*Summary!$B$7</f>
        <v/>
      </c>
      <c r="I4782" s="11">
        <f>MAX(0,N4782-M4782)</f>
        <v/>
      </c>
      <c r="J4782" s="11">
        <f>MAX(0,M4782-N4782)</f>
        <v/>
      </c>
      <c r="K4782" s="11">
        <f>O4782</f>
        <v/>
      </c>
      <c r="L4782" s="11">
        <f>L4781+IF(K4782&gt;0,K4782*Summary!$B$9,K4782/Summary!$B$9)</f>
        <v/>
      </c>
      <c r="M4782" s="11">
        <f>G4782+H4782</f>
        <v/>
      </c>
      <c r="N4782" s="11">
        <f>Summary!$C$16*Summary!$B$8</f>
        <v/>
      </c>
      <c r="O4782" s="11">
        <f>M4782-N4782</f>
        <v/>
      </c>
    </row>
    <row r="4783">
      <c r="A4783" s="9" t="n">
        <v>45491.20833333334</v>
      </c>
      <c r="B4783" t="n">
        <v>7</v>
      </c>
      <c r="C4783" t="n">
        <v>18</v>
      </c>
      <c r="D4783" t="n">
        <v>5</v>
      </c>
      <c r="E4783" s="10" t="n">
        <v>0.049247</v>
      </c>
      <c r="F4783" s="10" t="n">
        <v>0.276643362394407</v>
      </c>
      <c r="G4783" s="11">
        <f>E4783*Summary!$B$6</f>
        <v/>
      </c>
      <c r="H4783" s="11">
        <f>F4783*Summary!$B$7</f>
        <v/>
      </c>
      <c r="I4783" s="11">
        <f>MAX(0,N4783-M4783)</f>
        <v/>
      </c>
      <c r="J4783" s="11">
        <f>MAX(0,M4783-N4783)</f>
        <v/>
      </c>
      <c r="K4783" s="11">
        <f>O4783</f>
        <v/>
      </c>
      <c r="L4783" s="11">
        <f>L4782+IF(K4783&gt;0,K4783*Summary!$B$9,K4783/Summary!$B$9)</f>
        <v/>
      </c>
      <c r="M4783" s="11">
        <f>G4783+H4783</f>
        <v/>
      </c>
      <c r="N4783" s="11">
        <f>Summary!$C$16*Summary!$B$8</f>
        <v/>
      </c>
      <c r="O4783" s="11">
        <f>M4783-N4783</f>
        <v/>
      </c>
    </row>
    <row r="4784">
      <c r="A4784" s="9" t="n">
        <v>45491.25</v>
      </c>
      <c r="B4784" t="n">
        <v>7</v>
      </c>
      <c r="C4784" t="n">
        <v>18</v>
      </c>
      <c r="D4784" t="n">
        <v>6</v>
      </c>
      <c r="E4784" s="10" t="n">
        <v>0.153039</v>
      </c>
      <c r="F4784" s="10" t="n">
        <v>0.2519515324683678</v>
      </c>
      <c r="G4784" s="11">
        <f>E4784*Summary!$B$6</f>
        <v/>
      </c>
      <c r="H4784" s="11">
        <f>F4784*Summary!$B$7</f>
        <v/>
      </c>
      <c r="I4784" s="11">
        <f>MAX(0,N4784-M4784)</f>
        <v/>
      </c>
      <c r="J4784" s="11">
        <f>MAX(0,M4784-N4784)</f>
        <v/>
      </c>
      <c r="K4784" s="11">
        <f>O4784</f>
        <v/>
      </c>
      <c r="L4784" s="11">
        <f>L4783+IF(K4784&gt;0,K4784*Summary!$B$9,K4784/Summary!$B$9)</f>
        <v/>
      </c>
      <c r="M4784" s="11">
        <f>G4784+H4784</f>
        <v/>
      </c>
      <c r="N4784" s="11">
        <f>Summary!$C$16*Summary!$B$8</f>
        <v/>
      </c>
      <c r="O4784" s="11">
        <f>M4784-N4784</f>
        <v/>
      </c>
    </row>
    <row r="4785">
      <c r="A4785" s="9" t="n">
        <v>45491.29166666666</v>
      </c>
      <c r="B4785" t="n">
        <v>7</v>
      </c>
      <c r="C4785" t="n">
        <v>18</v>
      </c>
      <c r="D4785" t="n">
        <v>7</v>
      </c>
      <c r="E4785" s="10" t="n">
        <v>0.204292</v>
      </c>
      <c r="F4785" s="10" t="n">
        <v>0.2405674657361918</v>
      </c>
      <c r="G4785" s="11">
        <f>E4785*Summary!$B$6</f>
        <v/>
      </c>
      <c r="H4785" s="11">
        <f>F4785*Summary!$B$7</f>
        <v/>
      </c>
      <c r="I4785" s="11">
        <f>MAX(0,N4785-M4785)</f>
        <v/>
      </c>
      <c r="J4785" s="11">
        <f>MAX(0,M4785-N4785)</f>
        <v/>
      </c>
      <c r="K4785" s="11">
        <f>O4785</f>
        <v/>
      </c>
      <c r="L4785" s="11">
        <f>L4784+IF(K4785&gt;0,K4785*Summary!$B$9,K4785/Summary!$B$9)</f>
        <v/>
      </c>
      <c r="M4785" s="11">
        <f>G4785+H4785</f>
        <v/>
      </c>
      <c r="N4785" s="11">
        <f>Summary!$C$16*Summary!$B$8</f>
        <v/>
      </c>
      <c r="O4785" s="11">
        <f>M4785-N4785</f>
        <v/>
      </c>
    </row>
    <row r="4786">
      <c r="A4786" s="9" t="n">
        <v>45491.33333333334</v>
      </c>
      <c r="B4786" t="n">
        <v>7</v>
      </c>
      <c r="C4786" t="n">
        <v>18</v>
      </c>
      <c r="D4786" t="n">
        <v>8</v>
      </c>
      <c r="E4786" s="10" t="n">
        <v>0.259964</v>
      </c>
      <c r="F4786" s="10" t="n">
        <v>0.2544286210628691</v>
      </c>
      <c r="G4786" s="11">
        <f>E4786*Summary!$B$6</f>
        <v/>
      </c>
      <c r="H4786" s="11">
        <f>F4786*Summary!$B$7</f>
        <v/>
      </c>
      <c r="I4786" s="11">
        <f>MAX(0,N4786-M4786)</f>
        <v/>
      </c>
      <c r="J4786" s="11">
        <f>MAX(0,M4786-N4786)</f>
        <v/>
      </c>
      <c r="K4786" s="11">
        <f>O4786</f>
        <v/>
      </c>
      <c r="L4786" s="11">
        <f>L4785+IF(K4786&gt;0,K4786*Summary!$B$9,K4786/Summary!$B$9)</f>
        <v/>
      </c>
      <c r="M4786" s="11">
        <f>G4786+H4786</f>
        <v/>
      </c>
      <c r="N4786" s="11">
        <f>Summary!$C$16*Summary!$B$8</f>
        <v/>
      </c>
      <c r="O4786" s="11">
        <f>M4786-N4786</f>
        <v/>
      </c>
    </row>
    <row r="4787">
      <c r="A4787" s="9" t="n">
        <v>45491.375</v>
      </c>
      <c r="B4787" t="n">
        <v>7</v>
      </c>
      <c r="C4787" t="n">
        <v>18</v>
      </c>
      <c r="D4787" t="n">
        <v>9</v>
      </c>
      <c r="E4787" s="10" t="n">
        <v>0.373085</v>
      </c>
      <c r="F4787" s="10" t="n">
        <v>0.2342166322119917</v>
      </c>
      <c r="G4787" s="11">
        <f>E4787*Summary!$B$6</f>
        <v/>
      </c>
      <c r="H4787" s="11">
        <f>F4787*Summary!$B$7</f>
        <v/>
      </c>
      <c r="I4787" s="11">
        <f>MAX(0,N4787-M4787)</f>
        <v/>
      </c>
      <c r="J4787" s="11">
        <f>MAX(0,M4787-N4787)</f>
        <v/>
      </c>
      <c r="K4787" s="11">
        <f>O4787</f>
        <v/>
      </c>
      <c r="L4787" s="11">
        <f>L4786+IF(K4787&gt;0,K4787*Summary!$B$9,K4787/Summary!$B$9)</f>
        <v/>
      </c>
      <c r="M4787" s="11">
        <f>G4787+H4787</f>
        <v/>
      </c>
      <c r="N4787" s="11">
        <f>Summary!$C$16*Summary!$B$8</f>
        <v/>
      </c>
      <c r="O4787" s="11">
        <f>M4787-N4787</f>
        <v/>
      </c>
    </row>
    <row r="4788">
      <c r="A4788" s="9" t="n">
        <v>45491.41666666666</v>
      </c>
      <c r="B4788" t="n">
        <v>7</v>
      </c>
      <c r="C4788" t="n">
        <v>18</v>
      </c>
      <c r="D4788" t="n">
        <v>10</v>
      </c>
      <c r="E4788" s="10" t="n">
        <v>0.5803</v>
      </c>
      <c r="F4788" s="10" t="n">
        <v>0.2369835928760623</v>
      </c>
      <c r="G4788" s="11">
        <f>E4788*Summary!$B$6</f>
        <v/>
      </c>
      <c r="H4788" s="11">
        <f>F4788*Summary!$B$7</f>
        <v/>
      </c>
      <c r="I4788" s="11">
        <f>MAX(0,N4788-M4788)</f>
        <v/>
      </c>
      <c r="J4788" s="11">
        <f>MAX(0,M4788-N4788)</f>
        <v/>
      </c>
      <c r="K4788" s="11">
        <f>O4788</f>
        <v/>
      </c>
      <c r="L4788" s="11">
        <f>L4787+IF(K4788&gt;0,K4788*Summary!$B$9,K4788/Summary!$B$9)</f>
        <v/>
      </c>
      <c r="M4788" s="11">
        <f>G4788+H4788</f>
        <v/>
      </c>
      <c r="N4788" s="11">
        <f>Summary!$C$16*Summary!$B$8</f>
        <v/>
      </c>
      <c r="O4788" s="11">
        <f>M4788-N4788</f>
        <v/>
      </c>
    </row>
    <row r="4789">
      <c r="A4789" s="9" t="n">
        <v>45491.45833333334</v>
      </c>
      <c r="B4789" t="n">
        <v>7</v>
      </c>
      <c r="C4789" t="n">
        <v>18</v>
      </c>
      <c r="D4789" t="n">
        <v>11</v>
      </c>
      <c r="E4789" s="10" t="n">
        <v>0.463201</v>
      </c>
      <c r="F4789" s="10" t="n">
        <v>0.2425965702231768</v>
      </c>
      <c r="G4789" s="11">
        <f>E4789*Summary!$B$6</f>
        <v/>
      </c>
      <c r="H4789" s="11">
        <f>F4789*Summary!$B$7</f>
        <v/>
      </c>
      <c r="I4789" s="11">
        <f>MAX(0,N4789-M4789)</f>
        <v/>
      </c>
      <c r="J4789" s="11">
        <f>MAX(0,M4789-N4789)</f>
        <v/>
      </c>
      <c r="K4789" s="11">
        <f>O4789</f>
        <v/>
      </c>
      <c r="L4789" s="11">
        <f>L4788+IF(K4789&gt;0,K4789*Summary!$B$9,K4789/Summary!$B$9)</f>
        <v/>
      </c>
      <c r="M4789" s="11">
        <f>G4789+H4789</f>
        <v/>
      </c>
      <c r="N4789" s="11">
        <f>Summary!$C$16*Summary!$B$8</f>
        <v/>
      </c>
      <c r="O4789" s="11">
        <f>M4789-N4789</f>
        <v/>
      </c>
    </row>
    <row r="4790">
      <c r="A4790" s="9" t="n">
        <v>45491.5</v>
      </c>
      <c r="B4790" t="n">
        <v>7</v>
      </c>
      <c r="C4790" t="n">
        <v>18</v>
      </c>
      <c r="D4790" t="n">
        <v>12</v>
      </c>
      <c r="E4790" s="10" t="n">
        <v>0.396948</v>
      </c>
      <c r="F4790" s="10" t="n">
        <v>0.2527684446644267</v>
      </c>
      <c r="G4790" s="11">
        <f>E4790*Summary!$B$6</f>
        <v/>
      </c>
      <c r="H4790" s="11">
        <f>F4790*Summary!$B$7</f>
        <v/>
      </c>
      <c r="I4790" s="11">
        <f>MAX(0,N4790-M4790)</f>
        <v/>
      </c>
      <c r="J4790" s="11">
        <f>MAX(0,M4790-N4790)</f>
        <v/>
      </c>
      <c r="K4790" s="11">
        <f>O4790</f>
        <v/>
      </c>
      <c r="L4790" s="11">
        <f>L4789+IF(K4790&gt;0,K4790*Summary!$B$9,K4790/Summary!$B$9)</f>
        <v/>
      </c>
      <c r="M4790" s="11">
        <f>G4790+H4790</f>
        <v/>
      </c>
      <c r="N4790" s="11">
        <f>Summary!$C$16*Summary!$B$8</f>
        <v/>
      </c>
      <c r="O4790" s="11">
        <f>M4790-N4790</f>
        <v/>
      </c>
    </row>
    <row r="4791">
      <c r="A4791" s="9" t="n">
        <v>45491.54166666666</v>
      </c>
      <c r="B4791" t="n">
        <v>7</v>
      </c>
      <c r="C4791" t="n">
        <v>18</v>
      </c>
      <c r="D4791" t="n">
        <v>13</v>
      </c>
      <c r="E4791" s="10" t="n">
        <v>0.754058</v>
      </c>
      <c r="F4791" s="10" t="n">
        <v>0.2607531025807446</v>
      </c>
      <c r="G4791" s="11">
        <f>E4791*Summary!$B$6</f>
        <v/>
      </c>
      <c r="H4791" s="11">
        <f>F4791*Summary!$B$7</f>
        <v/>
      </c>
      <c r="I4791" s="11">
        <f>MAX(0,N4791-M4791)</f>
        <v/>
      </c>
      <c r="J4791" s="11">
        <f>MAX(0,M4791-N4791)</f>
        <v/>
      </c>
      <c r="K4791" s="11">
        <f>O4791</f>
        <v/>
      </c>
      <c r="L4791" s="11">
        <f>L4790+IF(K4791&gt;0,K4791*Summary!$B$9,K4791/Summary!$B$9)</f>
        <v/>
      </c>
      <c r="M4791" s="11">
        <f>G4791+H4791</f>
        <v/>
      </c>
      <c r="N4791" s="11">
        <f>Summary!$C$16*Summary!$B$8</f>
        <v/>
      </c>
      <c r="O4791" s="11">
        <f>M4791-N4791</f>
        <v/>
      </c>
    </row>
    <row r="4792">
      <c r="A4792" s="9" t="n">
        <v>45491.58333333334</v>
      </c>
      <c r="B4792" t="n">
        <v>7</v>
      </c>
      <c r="C4792" t="n">
        <v>18</v>
      </c>
      <c r="D4792" t="n">
        <v>14</v>
      </c>
      <c r="E4792" s="10" t="n">
        <v>0.365382</v>
      </c>
      <c r="F4792" s="10" t="n">
        <v>0.2661816158835878</v>
      </c>
      <c r="G4792" s="11">
        <f>E4792*Summary!$B$6</f>
        <v/>
      </c>
      <c r="H4792" s="11">
        <f>F4792*Summary!$B$7</f>
        <v/>
      </c>
      <c r="I4792" s="11">
        <f>MAX(0,N4792-M4792)</f>
        <v/>
      </c>
      <c r="J4792" s="11">
        <f>MAX(0,M4792-N4792)</f>
        <v/>
      </c>
      <c r="K4792" s="11">
        <f>O4792</f>
        <v/>
      </c>
      <c r="L4792" s="11">
        <f>L4791+IF(K4792&gt;0,K4792*Summary!$B$9,K4792/Summary!$B$9)</f>
        <v/>
      </c>
      <c r="M4792" s="11">
        <f>G4792+H4792</f>
        <v/>
      </c>
      <c r="N4792" s="11">
        <f>Summary!$C$16*Summary!$B$8</f>
        <v/>
      </c>
      <c r="O4792" s="11">
        <f>M4792-N4792</f>
        <v/>
      </c>
    </row>
    <row r="4793">
      <c r="A4793" s="9" t="n">
        <v>45491.625</v>
      </c>
      <c r="B4793" t="n">
        <v>7</v>
      </c>
      <c r="C4793" t="n">
        <v>18</v>
      </c>
      <c r="D4793" t="n">
        <v>15</v>
      </c>
      <c r="E4793" s="10" t="n">
        <v>0.355556</v>
      </c>
      <c r="F4793" s="10" t="n">
        <v>0.2644687354724965</v>
      </c>
      <c r="G4793" s="11">
        <f>E4793*Summary!$B$6</f>
        <v/>
      </c>
      <c r="H4793" s="11">
        <f>F4793*Summary!$B$7</f>
        <v/>
      </c>
      <c r="I4793" s="11">
        <f>MAX(0,N4793-M4793)</f>
        <v/>
      </c>
      <c r="J4793" s="11">
        <f>MAX(0,M4793-N4793)</f>
        <v/>
      </c>
      <c r="K4793" s="11">
        <f>O4793</f>
        <v/>
      </c>
      <c r="L4793" s="11">
        <f>L4792+IF(K4793&gt;0,K4793*Summary!$B$9,K4793/Summary!$B$9)</f>
        <v/>
      </c>
      <c r="M4793" s="11">
        <f>G4793+H4793</f>
        <v/>
      </c>
      <c r="N4793" s="11">
        <f>Summary!$C$16*Summary!$B$8</f>
        <v/>
      </c>
      <c r="O4793" s="11">
        <f>M4793-N4793</f>
        <v/>
      </c>
    </row>
    <row r="4794">
      <c r="A4794" s="9" t="n">
        <v>45491.66666666666</v>
      </c>
      <c r="B4794" t="n">
        <v>7</v>
      </c>
      <c r="C4794" t="n">
        <v>18</v>
      </c>
      <c r="D4794" t="n">
        <v>16</v>
      </c>
      <c r="E4794" s="10" t="n">
        <v>0.234048</v>
      </c>
      <c r="F4794" s="10" t="n">
        <v>0.2546657891197894</v>
      </c>
      <c r="G4794" s="11">
        <f>E4794*Summary!$B$6</f>
        <v/>
      </c>
      <c r="H4794" s="11">
        <f>F4794*Summary!$B$7</f>
        <v/>
      </c>
      <c r="I4794" s="11">
        <f>MAX(0,N4794-M4794)</f>
        <v/>
      </c>
      <c r="J4794" s="11">
        <f>MAX(0,M4794-N4794)</f>
        <v/>
      </c>
      <c r="K4794" s="11">
        <f>O4794</f>
        <v/>
      </c>
      <c r="L4794" s="11">
        <f>L4793+IF(K4794&gt;0,K4794*Summary!$B$9,K4794/Summary!$B$9)</f>
        <v/>
      </c>
      <c r="M4794" s="11">
        <f>G4794+H4794</f>
        <v/>
      </c>
      <c r="N4794" s="11">
        <f>Summary!$C$16*Summary!$B$8</f>
        <v/>
      </c>
      <c r="O4794" s="11">
        <f>M4794-N4794</f>
        <v/>
      </c>
    </row>
    <row r="4795">
      <c r="A4795" s="9" t="n">
        <v>45491.70833333334</v>
      </c>
      <c r="B4795" t="n">
        <v>7</v>
      </c>
      <c r="C4795" t="n">
        <v>18</v>
      </c>
      <c r="D4795" t="n">
        <v>17</v>
      </c>
      <c r="E4795" s="10" t="n">
        <v>0.161647</v>
      </c>
      <c r="F4795" s="10" t="n">
        <v>0.2366673688001685</v>
      </c>
      <c r="G4795" s="11">
        <f>E4795*Summary!$B$6</f>
        <v/>
      </c>
      <c r="H4795" s="11">
        <f>F4795*Summary!$B$7</f>
        <v/>
      </c>
      <c r="I4795" s="11">
        <f>MAX(0,N4795-M4795)</f>
        <v/>
      </c>
      <c r="J4795" s="11">
        <f>MAX(0,M4795-N4795)</f>
        <v/>
      </c>
      <c r="K4795" s="11">
        <f>O4795</f>
        <v/>
      </c>
      <c r="L4795" s="11">
        <f>L4794+IF(K4795&gt;0,K4795*Summary!$B$9,K4795/Summary!$B$9)</f>
        <v/>
      </c>
      <c r="M4795" s="11">
        <f>G4795+H4795</f>
        <v/>
      </c>
      <c r="N4795" s="11">
        <f>Summary!$C$16*Summary!$B$8</f>
        <v/>
      </c>
      <c r="O4795" s="11">
        <f>M4795-N4795</f>
        <v/>
      </c>
    </row>
    <row r="4796">
      <c r="A4796" s="9" t="n">
        <v>45491.75</v>
      </c>
      <c r="B4796" t="n">
        <v>7</v>
      </c>
      <c r="C4796" t="n">
        <v>18</v>
      </c>
      <c r="D4796" t="n">
        <v>18</v>
      </c>
      <c r="E4796" s="10" t="n">
        <v>0.08132</v>
      </c>
      <c r="F4796" s="10" t="n">
        <v>0.2220420052900813</v>
      </c>
      <c r="G4796" s="11">
        <f>E4796*Summary!$B$6</f>
        <v/>
      </c>
      <c r="H4796" s="11">
        <f>F4796*Summary!$B$7</f>
        <v/>
      </c>
      <c r="I4796" s="11">
        <f>MAX(0,N4796-M4796)</f>
        <v/>
      </c>
      <c r="J4796" s="11">
        <f>MAX(0,M4796-N4796)</f>
        <v/>
      </c>
      <c r="K4796" s="11">
        <f>O4796</f>
        <v/>
      </c>
      <c r="L4796" s="11">
        <f>L4795+IF(K4796&gt;0,K4796*Summary!$B$9,K4796/Summary!$B$9)</f>
        <v/>
      </c>
      <c r="M4796" s="11">
        <f>G4796+H4796</f>
        <v/>
      </c>
      <c r="N4796" s="11">
        <f>Summary!$C$16*Summary!$B$8</f>
        <v/>
      </c>
      <c r="O4796" s="11">
        <f>M4796-N4796</f>
        <v/>
      </c>
    </row>
    <row r="4797">
      <c r="A4797" s="9" t="n">
        <v>45491.79166666666</v>
      </c>
      <c r="B4797" t="n">
        <v>7</v>
      </c>
      <c r="C4797" t="n">
        <v>18</v>
      </c>
      <c r="D4797" t="n">
        <v>19</v>
      </c>
      <c r="E4797" s="10" t="n">
        <v>0.041769</v>
      </c>
      <c r="F4797" s="10" t="n">
        <v>0.2157175237722057</v>
      </c>
      <c r="G4797" s="11">
        <f>E4797*Summary!$B$6</f>
        <v/>
      </c>
      <c r="H4797" s="11">
        <f>F4797*Summary!$B$7</f>
        <v/>
      </c>
      <c r="I4797" s="11">
        <f>MAX(0,N4797-M4797)</f>
        <v/>
      </c>
      <c r="J4797" s="11">
        <f>MAX(0,M4797-N4797)</f>
        <v/>
      </c>
      <c r="K4797" s="11">
        <f>O4797</f>
        <v/>
      </c>
      <c r="L4797" s="11">
        <f>L4796+IF(K4797&gt;0,K4797*Summary!$B$9,K4797/Summary!$B$9)</f>
        <v/>
      </c>
      <c r="M4797" s="11">
        <f>G4797+H4797</f>
        <v/>
      </c>
      <c r="N4797" s="11">
        <f>Summary!$C$16*Summary!$B$8</f>
        <v/>
      </c>
      <c r="O4797" s="11">
        <f>M4797-N4797</f>
        <v/>
      </c>
    </row>
    <row r="4798">
      <c r="A4798" s="9" t="n">
        <v>45491.83333333334</v>
      </c>
      <c r="B4798" t="n">
        <v>7</v>
      </c>
      <c r="C4798" t="n">
        <v>18</v>
      </c>
      <c r="D4798" t="n">
        <v>20</v>
      </c>
      <c r="E4798" s="10" t="n">
        <v>0.011651</v>
      </c>
      <c r="F4798" s="10" t="n">
        <v>0.2164026759366422</v>
      </c>
      <c r="G4798" s="11">
        <f>E4798*Summary!$B$6</f>
        <v/>
      </c>
      <c r="H4798" s="11">
        <f>F4798*Summary!$B$7</f>
        <v/>
      </c>
      <c r="I4798" s="11">
        <f>MAX(0,N4798-M4798)</f>
        <v/>
      </c>
      <c r="J4798" s="11">
        <f>MAX(0,M4798-N4798)</f>
        <v/>
      </c>
      <c r="K4798" s="11">
        <f>O4798</f>
        <v/>
      </c>
      <c r="L4798" s="11">
        <f>L4797+IF(K4798&gt;0,K4798*Summary!$B$9,K4798/Summary!$B$9)</f>
        <v/>
      </c>
      <c r="M4798" s="11">
        <f>G4798+H4798</f>
        <v/>
      </c>
      <c r="N4798" s="11">
        <f>Summary!$C$16*Summary!$B$8</f>
        <v/>
      </c>
      <c r="O4798" s="11">
        <f>M4798-N4798</f>
        <v/>
      </c>
    </row>
    <row r="4799">
      <c r="A4799" s="9" t="n">
        <v>45491.875</v>
      </c>
      <c r="B4799" t="n">
        <v>7</v>
      </c>
      <c r="C4799" t="n">
        <v>18</v>
      </c>
      <c r="D4799" t="n">
        <v>21</v>
      </c>
      <c r="E4799" s="10" t="n">
        <v>0</v>
      </c>
      <c r="F4799" s="10" t="n">
        <v>0.2267853664284879</v>
      </c>
      <c r="G4799" s="11">
        <f>E4799*Summary!$B$6</f>
        <v/>
      </c>
      <c r="H4799" s="11">
        <f>F4799*Summary!$B$7</f>
        <v/>
      </c>
      <c r="I4799" s="11">
        <f>MAX(0,N4799-M4799)</f>
        <v/>
      </c>
      <c r="J4799" s="11">
        <f>MAX(0,M4799-N4799)</f>
        <v/>
      </c>
      <c r="K4799" s="11">
        <f>O4799</f>
        <v/>
      </c>
      <c r="L4799" s="11">
        <f>L4798+IF(K4799&gt;0,K4799*Summary!$B$9,K4799/Summary!$B$9)</f>
        <v/>
      </c>
      <c r="M4799" s="11">
        <f>G4799+H4799</f>
        <v/>
      </c>
      <c r="N4799" s="11">
        <f>Summary!$C$16*Summary!$B$8</f>
        <v/>
      </c>
      <c r="O4799" s="11">
        <f>M4799-N4799</f>
        <v/>
      </c>
    </row>
    <row r="4800">
      <c r="A4800" s="9" t="n">
        <v>45491.91666666666</v>
      </c>
      <c r="B4800" t="n">
        <v>7</v>
      </c>
      <c r="C4800" t="n">
        <v>18</v>
      </c>
      <c r="D4800" t="n">
        <v>22</v>
      </c>
      <c r="E4800" s="10" t="n">
        <v>0</v>
      </c>
      <c r="F4800" s="10" t="n">
        <v>0.2335051280412307</v>
      </c>
      <c r="G4800" s="11">
        <f>E4800*Summary!$B$6</f>
        <v/>
      </c>
      <c r="H4800" s="11">
        <f>F4800*Summary!$B$7</f>
        <v/>
      </c>
      <c r="I4800" s="11">
        <f>MAX(0,N4800-M4800)</f>
        <v/>
      </c>
      <c r="J4800" s="11">
        <f>MAX(0,M4800-N4800)</f>
        <v/>
      </c>
      <c r="K4800" s="11">
        <f>O4800</f>
        <v/>
      </c>
      <c r="L4800" s="11">
        <f>L4799+IF(K4800&gt;0,K4800*Summary!$B$9,K4800/Summary!$B$9)</f>
        <v/>
      </c>
      <c r="M4800" s="11">
        <f>G4800+H4800</f>
        <v/>
      </c>
      <c r="N4800" s="11">
        <f>Summary!$C$16*Summary!$B$8</f>
        <v/>
      </c>
      <c r="O4800" s="11">
        <f>M4800-N4800</f>
        <v/>
      </c>
    </row>
    <row r="4801">
      <c r="A4801" s="9" t="n">
        <v>45491.95833333334</v>
      </c>
      <c r="B4801" t="n">
        <v>7</v>
      </c>
      <c r="C4801" t="n">
        <v>18</v>
      </c>
      <c r="D4801" t="n">
        <v>23</v>
      </c>
      <c r="E4801" s="10" t="n">
        <v>0</v>
      </c>
      <c r="F4801" s="10" t="n">
        <v>0.2317395436174905</v>
      </c>
      <c r="G4801" s="11">
        <f>E4801*Summary!$B$6</f>
        <v/>
      </c>
      <c r="H4801" s="11">
        <f>F4801*Summary!$B$7</f>
        <v/>
      </c>
      <c r="I4801" s="11">
        <f>MAX(0,N4801-M4801)</f>
        <v/>
      </c>
      <c r="J4801" s="11">
        <f>MAX(0,M4801-N4801)</f>
        <v/>
      </c>
      <c r="K4801" s="11">
        <f>O4801</f>
        <v/>
      </c>
      <c r="L4801" s="11">
        <f>L4800+IF(K4801&gt;0,K4801*Summary!$B$9,K4801/Summary!$B$9)</f>
        <v/>
      </c>
      <c r="M4801" s="11">
        <f>G4801+H4801</f>
        <v/>
      </c>
      <c r="N4801" s="11">
        <f>Summary!$C$16*Summary!$B$8</f>
        <v/>
      </c>
      <c r="O4801" s="11">
        <f>M4801-N4801</f>
        <v/>
      </c>
    </row>
    <row r="4802">
      <c r="A4802" s="9" t="n">
        <v>45492</v>
      </c>
      <c r="B4802" t="n">
        <v>7</v>
      </c>
      <c r="C4802" t="n">
        <v>19</v>
      </c>
      <c r="D4802" t="n">
        <v>0</v>
      </c>
      <c r="E4802" s="10" t="n">
        <v>0</v>
      </c>
      <c r="F4802" s="10" t="n">
        <v>0.1508125321950077</v>
      </c>
      <c r="G4802" s="11">
        <f>E4802*Summary!$B$6</f>
        <v/>
      </c>
      <c r="H4802" s="11">
        <f>F4802*Summary!$B$7</f>
        <v/>
      </c>
      <c r="I4802" s="11">
        <f>MAX(0,N4802-M4802)</f>
        <v/>
      </c>
      <c r="J4802" s="11">
        <f>MAX(0,M4802-N4802)</f>
        <v/>
      </c>
      <c r="K4802" s="11">
        <f>O4802</f>
        <v/>
      </c>
      <c r="L4802" s="11">
        <f>L4801+IF(K4802&gt;0,K4802*Summary!$B$9,K4802/Summary!$B$9)</f>
        <v/>
      </c>
      <c r="M4802" s="11">
        <f>G4802+H4802</f>
        <v/>
      </c>
      <c r="N4802" s="11">
        <f>Summary!$C$16*Summary!$B$8</f>
        <v/>
      </c>
      <c r="O4802" s="11">
        <f>M4802-N4802</f>
        <v/>
      </c>
    </row>
    <row r="4803">
      <c r="A4803" s="9" t="n">
        <v>45492.04166666666</v>
      </c>
      <c r="B4803" t="n">
        <v>7</v>
      </c>
      <c r="C4803" t="n">
        <v>19</v>
      </c>
      <c r="D4803" t="n">
        <v>1</v>
      </c>
      <c r="E4803" s="10" t="n">
        <v>0</v>
      </c>
      <c r="F4803" s="10" t="n">
        <v>0.2268907744537859</v>
      </c>
      <c r="G4803" s="11">
        <f>E4803*Summary!$B$6</f>
        <v/>
      </c>
      <c r="H4803" s="11">
        <f>F4803*Summary!$B$7</f>
        <v/>
      </c>
      <c r="I4803" s="11">
        <f>MAX(0,N4803-M4803)</f>
        <v/>
      </c>
      <c r="J4803" s="11">
        <f>MAX(0,M4803-N4803)</f>
        <v/>
      </c>
      <c r="K4803" s="11">
        <f>O4803</f>
        <v/>
      </c>
      <c r="L4803" s="11">
        <f>L4802+IF(K4803&gt;0,K4803*Summary!$B$9,K4803/Summary!$B$9)</f>
        <v/>
      </c>
      <c r="M4803" s="11">
        <f>G4803+H4803</f>
        <v/>
      </c>
      <c r="N4803" s="11">
        <f>Summary!$C$16*Summary!$B$8</f>
        <v/>
      </c>
      <c r="O4803" s="11">
        <f>M4803-N4803</f>
        <v/>
      </c>
    </row>
    <row r="4804">
      <c r="A4804" s="9" t="n">
        <v>45492.08333333334</v>
      </c>
      <c r="B4804" t="n">
        <v>7</v>
      </c>
      <c r="C4804" t="n">
        <v>19</v>
      </c>
      <c r="D4804" t="n">
        <v>2</v>
      </c>
      <c r="E4804" s="10" t="n">
        <v>0</v>
      </c>
      <c r="F4804" s="10" t="n">
        <v>0.2150060196014447</v>
      </c>
      <c r="G4804" s="11">
        <f>E4804*Summary!$B$6</f>
        <v/>
      </c>
      <c r="H4804" s="11">
        <f>F4804*Summary!$B$7</f>
        <v/>
      </c>
      <c r="I4804" s="11">
        <f>MAX(0,N4804-M4804)</f>
        <v/>
      </c>
      <c r="J4804" s="11">
        <f>MAX(0,M4804-N4804)</f>
        <v/>
      </c>
      <c r="K4804" s="11">
        <f>O4804</f>
        <v/>
      </c>
      <c r="L4804" s="11">
        <f>L4803+IF(K4804&gt;0,K4804*Summary!$B$9,K4804/Summary!$B$9)</f>
        <v/>
      </c>
      <c r="M4804" s="11">
        <f>G4804+H4804</f>
        <v/>
      </c>
      <c r="N4804" s="11">
        <f>Summary!$C$16*Summary!$B$8</f>
        <v/>
      </c>
      <c r="O4804" s="11">
        <f>M4804-N4804</f>
        <v/>
      </c>
    </row>
    <row r="4805">
      <c r="A4805" s="9" t="n">
        <v>45492.125</v>
      </c>
      <c r="B4805" t="n">
        <v>7</v>
      </c>
      <c r="C4805" t="n">
        <v>19</v>
      </c>
      <c r="D4805" t="n">
        <v>3</v>
      </c>
      <c r="E4805" s="10" t="n">
        <v>0</v>
      </c>
      <c r="F4805" s="10" t="n">
        <v>0.2035165448439708</v>
      </c>
      <c r="G4805" s="11">
        <f>E4805*Summary!$B$6</f>
        <v/>
      </c>
      <c r="H4805" s="11">
        <f>F4805*Summary!$B$7</f>
        <v/>
      </c>
      <c r="I4805" s="11">
        <f>MAX(0,N4805-M4805)</f>
        <v/>
      </c>
      <c r="J4805" s="11">
        <f>MAX(0,M4805-N4805)</f>
        <v/>
      </c>
      <c r="K4805" s="11">
        <f>O4805</f>
        <v/>
      </c>
      <c r="L4805" s="11">
        <f>L4804+IF(K4805&gt;0,K4805*Summary!$B$9,K4805/Summary!$B$9)</f>
        <v/>
      </c>
      <c r="M4805" s="11">
        <f>G4805+H4805</f>
        <v/>
      </c>
      <c r="N4805" s="11">
        <f>Summary!$C$16*Summary!$B$8</f>
        <v/>
      </c>
      <c r="O4805" s="11">
        <f>M4805-N4805</f>
        <v/>
      </c>
    </row>
    <row r="4806">
      <c r="A4806" s="9" t="n">
        <v>45492.16666666666</v>
      </c>
      <c r="B4806" t="n">
        <v>7</v>
      </c>
      <c r="C4806" t="n">
        <v>19</v>
      </c>
      <c r="D4806" t="n">
        <v>4</v>
      </c>
      <c r="E4806" s="10" t="n">
        <v>0.018422</v>
      </c>
      <c r="F4806" s="10" t="n">
        <v>0.1844113402587217</v>
      </c>
      <c r="G4806" s="11">
        <f>E4806*Summary!$B$6</f>
        <v/>
      </c>
      <c r="H4806" s="11">
        <f>F4806*Summary!$B$7</f>
        <v/>
      </c>
      <c r="I4806" s="11">
        <f>MAX(0,N4806-M4806)</f>
        <v/>
      </c>
      <c r="J4806" s="11">
        <f>MAX(0,M4806-N4806)</f>
        <v/>
      </c>
      <c r="K4806" s="11">
        <f>O4806</f>
        <v/>
      </c>
      <c r="L4806" s="11">
        <f>L4805+IF(K4806&gt;0,K4806*Summary!$B$9,K4806/Summary!$B$9)</f>
        <v/>
      </c>
      <c r="M4806" s="11">
        <f>G4806+H4806</f>
        <v/>
      </c>
      <c r="N4806" s="11">
        <f>Summary!$C$16*Summary!$B$8</f>
        <v/>
      </c>
      <c r="O4806" s="11">
        <f>M4806-N4806</f>
        <v/>
      </c>
    </row>
    <row r="4807">
      <c r="A4807" s="9" t="n">
        <v>45492.20833333334</v>
      </c>
      <c r="B4807" t="n">
        <v>7</v>
      </c>
      <c r="C4807" t="n">
        <v>19</v>
      </c>
      <c r="D4807" t="n">
        <v>5</v>
      </c>
      <c r="E4807" s="10" t="n">
        <v>0.04735</v>
      </c>
      <c r="F4807" s="10" t="n">
        <v>0.1567153816116916</v>
      </c>
      <c r="G4807" s="11">
        <f>E4807*Summary!$B$6</f>
        <v/>
      </c>
      <c r="H4807" s="11">
        <f>F4807*Summary!$B$7</f>
        <v/>
      </c>
      <c r="I4807" s="11">
        <f>MAX(0,N4807-M4807)</f>
        <v/>
      </c>
      <c r="J4807" s="11">
        <f>MAX(0,M4807-N4807)</f>
        <v/>
      </c>
      <c r="K4807" s="11">
        <f>O4807</f>
        <v/>
      </c>
      <c r="L4807" s="11">
        <f>L4806+IF(K4807&gt;0,K4807*Summary!$B$9,K4807/Summary!$B$9)</f>
        <v/>
      </c>
      <c r="M4807" s="11">
        <f>G4807+H4807</f>
        <v/>
      </c>
      <c r="N4807" s="11">
        <f>Summary!$C$16*Summary!$B$8</f>
        <v/>
      </c>
      <c r="O4807" s="11">
        <f>M4807-N4807</f>
        <v/>
      </c>
    </row>
    <row r="4808">
      <c r="A4808" s="9" t="n">
        <v>45492.25</v>
      </c>
      <c r="B4808" t="n">
        <v>7</v>
      </c>
      <c r="C4808" t="n">
        <v>19</v>
      </c>
      <c r="D4808" t="n">
        <v>6</v>
      </c>
      <c r="E4808" s="10" t="n">
        <v>0.175777</v>
      </c>
      <c r="F4808" s="10" t="n">
        <v>0.1309431194263486</v>
      </c>
      <c r="G4808" s="11">
        <f>E4808*Summary!$B$6</f>
        <v/>
      </c>
      <c r="H4808" s="11">
        <f>F4808*Summary!$B$7</f>
        <v/>
      </c>
      <c r="I4808" s="11">
        <f>MAX(0,N4808-M4808)</f>
        <v/>
      </c>
      <c r="J4808" s="11">
        <f>MAX(0,M4808-N4808)</f>
        <v/>
      </c>
      <c r="K4808" s="11">
        <f>O4808</f>
        <v/>
      </c>
      <c r="L4808" s="11">
        <f>L4807+IF(K4808&gt;0,K4808*Summary!$B$9,K4808/Summary!$B$9)</f>
        <v/>
      </c>
      <c r="M4808" s="11">
        <f>G4808+H4808</f>
        <v/>
      </c>
      <c r="N4808" s="11">
        <f>Summary!$C$16*Summary!$B$8</f>
        <v/>
      </c>
      <c r="O4808" s="11">
        <f>M4808-N4808</f>
        <v/>
      </c>
    </row>
    <row r="4809">
      <c r="A4809" s="9" t="n">
        <v>45492.29166666666</v>
      </c>
      <c r="B4809" t="n">
        <v>7</v>
      </c>
      <c r="C4809" t="n">
        <v>19</v>
      </c>
      <c r="D4809" t="n">
        <v>7</v>
      </c>
      <c r="E4809" s="10" t="n">
        <v>0.323862</v>
      </c>
      <c r="F4809" s="10" t="n">
        <v>0.1152109716506332</v>
      </c>
      <c r="G4809" s="11">
        <f>E4809*Summary!$B$6</f>
        <v/>
      </c>
      <c r="H4809" s="11">
        <f>F4809*Summary!$B$7</f>
        <v/>
      </c>
      <c r="I4809" s="11">
        <f>MAX(0,N4809-M4809)</f>
        <v/>
      </c>
      <c r="J4809" s="11">
        <f>MAX(0,M4809-N4809)</f>
        <v/>
      </c>
      <c r="K4809" s="11">
        <f>O4809</f>
        <v/>
      </c>
      <c r="L4809" s="11">
        <f>L4808+IF(K4809&gt;0,K4809*Summary!$B$9,K4809/Summary!$B$9)</f>
        <v/>
      </c>
      <c r="M4809" s="11">
        <f>G4809+H4809</f>
        <v/>
      </c>
      <c r="N4809" s="11">
        <f>Summary!$C$16*Summary!$B$8</f>
        <v/>
      </c>
      <c r="O4809" s="11">
        <f>M4809-N4809</f>
        <v/>
      </c>
    </row>
    <row r="4810">
      <c r="A4810" s="9" t="n">
        <v>45492.33333333334</v>
      </c>
      <c r="B4810" t="n">
        <v>7</v>
      </c>
      <c r="C4810" t="n">
        <v>19</v>
      </c>
      <c r="D4810" t="n">
        <v>8</v>
      </c>
      <c r="E4810" s="10" t="n">
        <v>0.406913</v>
      </c>
      <c r="F4810" s="10" t="n">
        <v>0.1267795024270806</v>
      </c>
      <c r="G4810" s="11">
        <f>E4810*Summary!$B$6</f>
        <v/>
      </c>
      <c r="H4810" s="11">
        <f>F4810*Summary!$B$7</f>
        <v/>
      </c>
      <c r="I4810" s="11">
        <f>MAX(0,N4810-M4810)</f>
        <v/>
      </c>
      <c r="J4810" s="11">
        <f>MAX(0,M4810-N4810)</f>
        <v/>
      </c>
      <c r="K4810" s="11">
        <f>O4810</f>
        <v/>
      </c>
      <c r="L4810" s="11">
        <f>L4809+IF(K4810&gt;0,K4810*Summary!$B$9,K4810/Summary!$B$9)</f>
        <v/>
      </c>
      <c r="M4810" s="11">
        <f>G4810+H4810</f>
        <v/>
      </c>
      <c r="N4810" s="11">
        <f>Summary!$C$16*Summary!$B$8</f>
        <v/>
      </c>
      <c r="O4810" s="11">
        <f>M4810-N4810</f>
        <v/>
      </c>
    </row>
    <row r="4811">
      <c r="A4811" s="9" t="n">
        <v>45492.375</v>
      </c>
      <c r="B4811" t="n">
        <v>7</v>
      </c>
      <c r="C4811" t="n">
        <v>19</v>
      </c>
      <c r="D4811" t="n">
        <v>9</v>
      </c>
      <c r="E4811" s="10" t="n">
        <v>0.636332</v>
      </c>
      <c r="F4811" s="10" t="n">
        <v>0.1076215938291825</v>
      </c>
      <c r="G4811" s="11">
        <f>E4811*Summary!$B$6</f>
        <v/>
      </c>
      <c r="H4811" s="11">
        <f>F4811*Summary!$B$7</f>
        <v/>
      </c>
      <c r="I4811" s="11">
        <f>MAX(0,N4811-M4811)</f>
        <v/>
      </c>
      <c r="J4811" s="11">
        <f>MAX(0,M4811-N4811)</f>
        <v/>
      </c>
      <c r="K4811" s="11">
        <f>O4811</f>
        <v/>
      </c>
      <c r="L4811" s="11">
        <f>L4810+IF(K4811&gt;0,K4811*Summary!$B$9,K4811/Summary!$B$9)</f>
        <v/>
      </c>
      <c r="M4811" s="11">
        <f>G4811+H4811</f>
        <v/>
      </c>
      <c r="N4811" s="11">
        <f>Summary!$C$16*Summary!$B$8</f>
        <v/>
      </c>
      <c r="O4811" s="11">
        <f>M4811-N4811</f>
        <v/>
      </c>
    </row>
    <row r="4812">
      <c r="A4812" s="9" t="n">
        <v>45492.41666666666</v>
      </c>
      <c r="B4812" t="n">
        <v>7</v>
      </c>
      <c r="C4812" t="n">
        <v>19</v>
      </c>
      <c r="D4812" t="n">
        <v>10</v>
      </c>
      <c r="E4812" s="10" t="n">
        <v>0.735474</v>
      </c>
      <c r="F4812" s="10" t="n">
        <v>0.1092290662149759</v>
      </c>
      <c r="G4812" s="11">
        <f>E4812*Summary!$B$6</f>
        <v/>
      </c>
      <c r="H4812" s="11">
        <f>F4812*Summary!$B$7</f>
        <v/>
      </c>
      <c r="I4812" s="11">
        <f>MAX(0,N4812-M4812)</f>
        <v/>
      </c>
      <c r="J4812" s="11">
        <f>MAX(0,M4812-N4812)</f>
        <v/>
      </c>
      <c r="K4812" s="11">
        <f>O4812</f>
        <v/>
      </c>
      <c r="L4812" s="11">
        <f>L4811+IF(K4812&gt;0,K4812*Summary!$B$9,K4812/Summary!$B$9)</f>
        <v/>
      </c>
      <c r="M4812" s="11">
        <f>G4812+H4812</f>
        <v/>
      </c>
      <c r="N4812" s="11">
        <f>Summary!$C$16*Summary!$B$8</f>
        <v/>
      </c>
      <c r="O4812" s="11">
        <f>M4812-N4812</f>
        <v/>
      </c>
    </row>
    <row r="4813">
      <c r="A4813" s="9" t="n">
        <v>45492.45833333334</v>
      </c>
      <c r="B4813" t="n">
        <v>7</v>
      </c>
      <c r="C4813" t="n">
        <v>19</v>
      </c>
      <c r="D4813" t="n">
        <v>11</v>
      </c>
      <c r="E4813" s="10" t="n">
        <v>0.754058</v>
      </c>
      <c r="F4813" s="10" t="n">
        <v>0.1137616113027867</v>
      </c>
      <c r="G4813" s="11">
        <f>E4813*Summary!$B$6</f>
        <v/>
      </c>
      <c r="H4813" s="11">
        <f>F4813*Summary!$B$7</f>
        <v/>
      </c>
      <c r="I4813" s="11">
        <f>MAX(0,N4813-M4813)</f>
        <v/>
      </c>
      <c r="J4813" s="11">
        <f>MAX(0,M4813-N4813)</f>
        <v/>
      </c>
      <c r="K4813" s="11">
        <f>O4813</f>
        <v/>
      </c>
      <c r="L4813" s="11">
        <f>L4812+IF(K4813&gt;0,K4813*Summary!$B$9,K4813/Summary!$B$9)</f>
        <v/>
      </c>
      <c r="M4813" s="11">
        <f>G4813+H4813</f>
        <v/>
      </c>
      <c r="N4813" s="11">
        <f>Summary!$C$16*Summary!$B$8</f>
        <v/>
      </c>
      <c r="O4813" s="11">
        <f>M4813-N4813</f>
        <v/>
      </c>
    </row>
    <row r="4814">
      <c r="A4814" s="9" t="n">
        <v>45492.5</v>
      </c>
      <c r="B4814" t="n">
        <v>7</v>
      </c>
      <c r="C4814" t="n">
        <v>19</v>
      </c>
      <c r="D4814" t="n">
        <v>12</v>
      </c>
      <c r="E4814" s="10" t="n">
        <v>0.754058</v>
      </c>
      <c r="F4814" s="10" t="n">
        <v>0.1156589557581494</v>
      </c>
      <c r="G4814" s="11">
        <f>E4814*Summary!$B$6</f>
        <v/>
      </c>
      <c r="H4814" s="11">
        <f>F4814*Summary!$B$7</f>
        <v/>
      </c>
      <c r="I4814" s="11">
        <f>MAX(0,N4814-M4814)</f>
        <v/>
      </c>
      <c r="J4814" s="11">
        <f>MAX(0,M4814-N4814)</f>
        <v/>
      </c>
      <c r="K4814" s="11">
        <f>O4814</f>
        <v/>
      </c>
      <c r="L4814" s="11">
        <f>L4813+IF(K4814&gt;0,K4814*Summary!$B$9,K4814/Summary!$B$9)</f>
        <v/>
      </c>
      <c r="M4814" s="11">
        <f>G4814+H4814</f>
        <v/>
      </c>
      <c r="N4814" s="11">
        <f>Summary!$C$16*Summary!$B$8</f>
        <v/>
      </c>
      <c r="O4814" s="11">
        <f>M4814-N4814</f>
        <v/>
      </c>
    </row>
    <row r="4815">
      <c r="A4815" s="9" t="n">
        <v>45492.54166666666</v>
      </c>
      <c r="B4815" t="n">
        <v>7</v>
      </c>
      <c r="C4815" t="n">
        <v>19</v>
      </c>
      <c r="D4815" t="n">
        <v>13</v>
      </c>
      <c r="E4815" s="10" t="n">
        <v>0.754058</v>
      </c>
      <c r="F4815" s="10" t="n">
        <v>0.115527195726527</v>
      </c>
      <c r="G4815" s="11">
        <f>E4815*Summary!$B$6</f>
        <v/>
      </c>
      <c r="H4815" s="11">
        <f>F4815*Summary!$B$7</f>
        <v/>
      </c>
      <c r="I4815" s="11">
        <f>MAX(0,N4815-M4815)</f>
        <v/>
      </c>
      <c r="J4815" s="11">
        <f>MAX(0,M4815-N4815)</f>
        <v/>
      </c>
      <c r="K4815" s="11">
        <f>O4815</f>
        <v/>
      </c>
      <c r="L4815" s="11">
        <f>L4814+IF(K4815&gt;0,K4815*Summary!$B$9,K4815/Summary!$B$9)</f>
        <v/>
      </c>
      <c r="M4815" s="11">
        <f>G4815+H4815</f>
        <v/>
      </c>
      <c r="N4815" s="11">
        <f>Summary!$C$16*Summary!$B$8</f>
        <v/>
      </c>
      <c r="O4815" s="11">
        <f>M4815-N4815</f>
        <v/>
      </c>
    </row>
    <row r="4816">
      <c r="A4816" s="9" t="n">
        <v>45492.58333333334</v>
      </c>
      <c r="B4816" t="n">
        <v>7</v>
      </c>
      <c r="C4816" t="n">
        <v>19</v>
      </c>
      <c r="D4816" t="n">
        <v>14</v>
      </c>
      <c r="E4816" s="10" t="n">
        <v>0.754058</v>
      </c>
      <c r="F4816" s="10" t="n">
        <v>0.1231165735479776</v>
      </c>
      <c r="G4816" s="11">
        <f>E4816*Summary!$B$6</f>
        <v/>
      </c>
      <c r="H4816" s="11">
        <f>F4816*Summary!$B$7</f>
        <v/>
      </c>
      <c r="I4816" s="11">
        <f>MAX(0,N4816-M4816)</f>
        <v/>
      </c>
      <c r="J4816" s="11">
        <f>MAX(0,M4816-N4816)</f>
        <v/>
      </c>
      <c r="K4816" s="11">
        <f>O4816</f>
        <v/>
      </c>
      <c r="L4816" s="11">
        <f>L4815+IF(K4816&gt;0,K4816*Summary!$B$9,K4816/Summary!$B$9)</f>
        <v/>
      </c>
      <c r="M4816" s="11">
        <f>G4816+H4816</f>
        <v/>
      </c>
      <c r="N4816" s="11">
        <f>Summary!$C$16*Summary!$B$8</f>
        <v/>
      </c>
      <c r="O4816" s="11">
        <f>M4816-N4816</f>
        <v/>
      </c>
    </row>
    <row r="4817">
      <c r="A4817" s="9" t="n">
        <v>45492.625</v>
      </c>
      <c r="B4817" t="n">
        <v>7</v>
      </c>
      <c r="C4817" t="n">
        <v>19</v>
      </c>
      <c r="D4817" t="n">
        <v>15</v>
      </c>
      <c r="E4817" s="10" t="n">
        <v>0.636286</v>
      </c>
      <c r="F4817" s="10" t="n">
        <v>0.1227476454594349</v>
      </c>
      <c r="G4817" s="11">
        <f>E4817*Summary!$B$6</f>
        <v/>
      </c>
      <c r="H4817" s="11">
        <f>F4817*Summary!$B$7</f>
        <v/>
      </c>
      <c r="I4817" s="11">
        <f>MAX(0,N4817-M4817)</f>
        <v/>
      </c>
      <c r="J4817" s="11">
        <f>MAX(0,M4817-N4817)</f>
        <v/>
      </c>
      <c r="K4817" s="11">
        <f>O4817</f>
        <v/>
      </c>
      <c r="L4817" s="11">
        <f>L4816+IF(K4817&gt;0,K4817*Summary!$B$9,K4817/Summary!$B$9)</f>
        <v/>
      </c>
      <c r="M4817" s="11">
        <f>G4817+H4817</f>
        <v/>
      </c>
      <c r="N4817" s="11">
        <f>Summary!$C$16*Summary!$B$8</f>
        <v/>
      </c>
      <c r="O4817" s="11">
        <f>M4817-N4817</f>
        <v/>
      </c>
    </row>
    <row r="4818">
      <c r="A4818" s="9" t="n">
        <v>45492.66666666666</v>
      </c>
      <c r="B4818" t="n">
        <v>7</v>
      </c>
      <c r="C4818" t="n">
        <v>19</v>
      </c>
      <c r="D4818" t="n">
        <v>16</v>
      </c>
      <c r="E4818" s="10" t="n">
        <v>0.463966</v>
      </c>
      <c r="F4818" s="10" t="n">
        <v>0.1112318186956365</v>
      </c>
      <c r="G4818" s="11">
        <f>E4818*Summary!$B$6</f>
        <v/>
      </c>
      <c r="H4818" s="11">
        <f>F4818*Summary!$B$7</f>
        <v/>
      </c>
      <c r="I4818" s="11">
        <f>MAX(0,N4818-M4818)</f>
        <v/>
      </c>
      <c r="J4818" s="11">
        <f>MAX(0,M4818-N4818)</f>
        <v/>
      </c>
      <c r="K4818" s="11">
        <f>O4818</f>
        <v/>
      </c>
      <c r="L4818" s="11">
        <f>L4817+IF(K4818&gt;0,K4818*Summary!$B$9,K4818/Summary!$B$9)</f>
        <v/>
      </c>
      <c r="M4818" s="11">
        <f>G4818+H4818</f>
        <v/>
      </c>
      <c r="N4818" s="11">
        <f>Summary!$C$16*Summary!$B$8</f>
        <v/>
      </c>
      <c r="O4818" s="11">
        <f>M4818-N4818</f>
        <v/>
      </c>
    </row>
    <row r="4819">
      <c r="A4819" s="9" t="n">
        <v>45492.70833333334</v>
      </c>
      <c r="B4819" t="n">
        <v>7</v>
      </c>
      <c r="C4819" t="n">
        <v>19</v>
      </c>
      <c r="D4819" t="n">
        <v>17</v>
      </c>
      <c r="E4819" s="10" t="n">
        <v>0.26718</v>
      </c>
      <c r="F4819" s="10" t="n">
        <v>0.1048282811587875</v>
      </c>
      <c r="G4819" s="11">
        <f>E4819*Summary!$B$6</f>
        <v/>
      </c>
      <c r="H4819" s="11">
        <f>F4819*Summary!$B$7</f>
        <v/>
      </c>
      <c r="I4819" s="11">
        <f>MAX(0,N4819-M4819)</f>
        <v/>
      </c>
      <c r="J4819" s="11">
        <f>MAX(0,M4819-N4819)</f>
        <v/>
      </c>
      <c r="K4819" s="11">
        <f>O4819</f>
        <v/>
      </c>
      <c r="L4819" s="11">
        <f>L4818+IF(K4819&gt;0,K4819*Summary!$B$9,K4819/Summary!$B$9)</f>
        <v/>
      </c>
      <c r="M4819" s="11">
        <f>G4819+H4819</f>
        <v/>
      </c>
      <c r="N4819" s="11">
        <f>Summary!$C$16*Summary!$B$8</f>
        <v/>
      </c>
      <c r="O4819" s="11">
        <f>M4819-N4819</f>
        <v/>
      </c>
    </row>
    <row r="4820">
      <c r="A4820" s="9" t="n">
        <v>45492.75</v>
      </c>
      <c r="B4820" t="n">
        <v>7</v>
      </c>
      <c r="C4820" t="n">
        <v>19</v>
      </c>
      <c r="D4820" t="n">
        <v>18</v>
      </c>
      <c r="E4820" s="10" t="n">
        <v>0.09171899999999999</v>
      </c>
      <c r="F4820" s="10" t="n">
        <v>0.1005065521215725</v>
      </c>
      <c r="G4820" s="11">
        <f>E4820*Summary!$B$6</f>
        <v/>
      </c>
      <c r="H4820" s="11">
        <f>F4820*Summary!$B$7</f>
        <v/>
      </c>
      <c r="I4820" s="11">
        <f>MAX(0,N4820-M4820)</f>
        <v/>
      </c>
      <c r="J4820" s="11">
        <f>MAX(0,M4820-N4820)</f>
        <v/>
      </c>
      <c r="K4820" s="11">
        <f>O4820</f>
        <v/>
      </c>
      <c r="L4820" s="11">
        <f>L4819+IF(K4820&gt;0,K4820*Summary!$B$9,K4820/Summary!$B$9)</f>
        <v/>
      </c>
      <c r="M4820" s="11">
        <f>G4820+H4820</f>
        <v/>
      </c>
      <c r="N4820" s="11">
        <f>Summary!$C$16*Summary!$B$8</f>
        <v/>
      </c>
      <c r="O4820" s="11">
        <f>M4820-N4820</f>
        <v/>
      </c>
    </row>
    <row r="4821">
      <c r="A4821" s="9" t="n">
        <v>45492.79166666666</v>
      </c>
      <c r="B4821" t="n">
        <v>7</v>
      </c>
      <c r="C4821" t="n">
        <v>19</v>
      </c>
      <c r="D4821" t="n">
        <v>19</v>
      </c>
      <c r="E4821" s="10" t="n">
        <v>0.040873</v>
      </c>
      <c r="F4821" s="10" t="n">
        <v>0.1036951448868348</v>
      </c>
      <c r="G4821" s="11">
        <f>E4821*Summary!$B$6</f>
        <v/>
      </c>
      <c r="H4821" s="11">
        <f>F4821*Summary!$B$7</f>
        <v/>
      </c>
      <c r="I4821" s="11">
        <f>MAX(0,N4821-M4821)</f>
        <v/>
      </c>
      <c r="J4821" s="11">
        <f>MAX(0,M4821-N4821)</f>
        <v/>
      </c>
      <c r="K4821" s="11">
        <f>O4821</f>
        <v/>
      </c>
      <c r="L4821" s="11">
        <f>L4820+IF(K4821&gt;0,K4821*Summary!$B$9,K4821/Summary!$B$9)</f>
        <v/>
      </c>
      <c r="M4821" s="11">
        <f>G4821+H4821</f>
        <v/>
      </c>
      <c r="N4821" s="11">
        <f>Summary!$C$16*Summary!$B$8</f>
        <v/>
      </c>
      <c r="O4821" s="11">
        <f>M4821-N4821</f>
        <v/>
      </c>
    </row>
    <row r="4822">
      <c r="A4822" s="9" t="n">
        <v>45492.83333333334</v>
      </c>
      <c r="B4822" t="n">
        <v>7</v>
      </c>
      <c r="C4822" t="n">
        <v>19</v>
      </c>
      <c r="D4822" t="n">
        <v>20</v>
      </c>
      <c r="E4822" s="10" t="n">
        <v>0.012887</v>
      </c>
      <c r="F4822" s="10" t="n">
        <v>0.1089128421390821</v>
      </c>
      <c r="G4822" s="11">
        <f>E4822*Summary!$B$6</f>
        <v/>
      </c>
      <c r="H4822" s="11">
        <f>F4822*Summary!$B$7</f>
        <v/>
      </c>
      <c r="I4822" s="11">
        <f>MAX(0,N4822-M4822)</f>
        <v/>
      </c>
      <c r="J4822" s="11">
        <f>MAX(0,M4822-N4822)</f>
        <v/>
      </c>
      <c r="K4822" s="11">
        <f>O4822</f>
        <v/>
      </c>
      <c r="L4822" s="11">
        <f>L4821+IF(K4822&gt;0,K4822*Summary!$B$9,K4822/Summary!$B$9)</f>
        <v/>
      </c>
      <c r="M4822" s="11">
        <f>G4822+H4822</f>
        <v/>
      </c>
      <c r="N4822" s="11">
        <f>Summary!$C$16*Summary!$B$8</f>
        <v/>
      </c>
      <c r="O4822" s="11">
        <f>M4822-N4822</f>
        <v/>
      </c>
    </row>
    <row r="4823">
      <c r="A4823" s="9" t="n">
        <v>45492.875</v>
      </c>
      <c r="B4823" t="n">
        <v>7</v>
      </c>
      <c r="C4823" t="n">
        <v>19</v>
      </c>
      <c r="D4823" t="n">
        <v>21</v>
      </c>
      <c r="E4823" s="10" t="n">
        <v>0</v>
      </c>
      <c r="F4823" s="10" t="n">
        <v>0.1260943502626441</v>
      </c>
      <c r="G4823" s="11">
        <f>E4823*Summary!$B$6</f>
        <v/>
      </c>
      <c r="H4823" s="11">
        <f>F4823*Summary!$B$7</f>
        <v/>
      </c>
      <c r="I4823" s="11">
        <f>MAX(0,N4823-M4823)</f>
        <v/>
      </c>
      <c r="J4823" s="11">
        <f>MAX(0,M4823-N4823)</f>
        <v/>
      </c>
      <c r="K4823" s="11">
        <f>O4823</f>
        <v/>
      </c>
      <c r="L4823" s="11">
        <f>L4822+IF(K4823&gt;0,K4823*Summary!$B$9,K4823/Summary!$B$9)</f>
        <v/>
      </c>
      <c r="M4823" s="11">
        <f>G4823+H4823</f>
        <v/>
      </c>
      <c r="N4823" s="11">
        <f>Summary!$C$16*Summary!$B$8</f>
        <v/>
      </c>
      <c r="O4823" s="11">
        <f>M4823-N4823</f>
        <v/>
      </c>
    </row>
    <row r="4824">
      <c r="A4824" s="9" t="n">
        <v>45492.91666666666</v>
      </c>
      <c r="B4824" t="n">
        <v>7</v>
      </c>
      <c r="C4824" t="n">
        <v>19</v>
      </c>
      <c r="D4824" t="n">
        <v>22</v>
      </c>
      <c r="E4824" s="10" t="n">
        <v>0</v>
      </c>
      <c r="F4824" s="10" t="n">
        <v>0.1406143057474334</v>
      </c>
      <c r="G4824" s="11">
        <f>E4824*Summary!$B$6</f>
        <v/>
      </c>
      <c r="H4824" s="11">
        <f>F4824*Summary!$B$7</f>
        <v/>
      </c>
      <c r="I4824" s="11">
        <f>MAX(0,N4824-M4824)</f>
        <v/>
      </c>
      <c r="J4824" s="11">
        <f>MAX(0,M4824-N4824)</f>
        <v/>
      </c>
      <c r="K4824" s="11">
        <f>O4824</f>
        <v/>
      </c>
      <c r="L4824" s="11">
        <f>L4823+IF(K4824&gt;0,K4824*Summary!$B$9,K4824/Summary!$B$9)</f>
        <v/>
      </c>
      <c r="M4824" s="11">
        <f>G4824+H4824</f>
        <v/>
      </c>
      <c r="N4824" s="11">
        <f>Summary!$C$16*Summary!$B$8</f>
        <v/>
      </c>
      <c r="O4824" s="11">
        <f>M4824-N4824</f>
        <v/>
      </c>
    </row>
    <row r="4825">
      <c r="A4825" s="9" t="n">
        <v>45492.95833333334</v>
      </c>
      <c r="B4825" t="n">
        <v>7</v>
      </c>
      <c r="C4825" t="n">
        <v>19</v>
      </c>
      <c r="D4825" t="n">
        <v>23</v>
      </c>
      <c r="E4825" s="10" t="n">
        <v>0</v>
      </c>
      <c r="F4825" s="10" t="n">
        <v>0.1457002429680583</v>
      </c>
      <c r="G4825" s="11">
        <f>E4825*Summary!$B$6</f>
        <v/>
      </c>
      <c r="H4825" s="11">
        <f>F4825*Summary!$B$7</f>
        <v/>
      </c>
      <c r="I4825" s="11">
        <f>MAX(0,N4825-M4825)</f>
        <v/>
      </c>
      <c r="J4825" s="11">
        <f>MAX(0,M4825-N4825)</f>
        <v/>
      </c>
      <c r="K4825" s="11">
        <f>O4825</f>
        <v/>
      </c>
      <c r="L4825" s="11">
        <f>L4824+IF(K4825&gt;0,K4825*Summary!$B$9,K4825/Summary!$B$9)</f>
        <v/>
      </c>
      <c r="M4825" s="11">
        <f>G4825+H4825</f>
        <v/>
      </c>
      <c r="N4825" s="11">
        <f>Summary!$C$16*Summary!$B$8</f>
        <v/>
      </c>
      <c r="O4825" s="11">
        <f>M4825-N4825</f>
        <v/>
      </c>
    </row>
    <row r="4826">
      <c r="A4826" s="9" t="n">
        <v>45493</v>
      </c>
      <c r="B4826" t="n">
        <v>7</v>
      </c>
      <c r="C4826" t="n">
        <v>20</v>
      </c>
      <c r="D4826" t="n">
        <v>0</v>
      </c>
      <c r="E4826" s="10" t="n">
        <v>0</v>
      </c>
      <c r="F4826" s="10" t="n">
        <v>0.213108675146082</v>
      </c>
      <c r="G4826" s="11">
        <f>E4826*Summary!$B$6</f>
        <v/>
      </c>
      <c r="H4826" s="11">
        <f>F4826*Summary!$B$7</f>
        <v/>
      </c>
      <c r="I4826" s="11">
        <f>MAX(0,N4826-M4826)</f>
        <v/>
      </c>
      <c r="J4826" s="11">
        <f>MAX(0,M4826-N4826)</f>
        <v/>
      </c>
      <c r="K4826" s="11">
        <f>O4826</f>
        <v/>
      </c>
      <c r="L4826" s="11">
        <f>L4825+IF(K4826&gt;0,K4826*Summary!$B$9,K4826/Summary!$B$9)</f>
        <v/>
      </c>
      <c r="M4826" s="11">
        <f>G4826+H4826</f>
        <v/>
      </c>
      <c r="N4826" s="11">
        <f>Summary!$C$16*Summary!$B$8</f>
        <v/>
      </c>
      <c r="O4826" s="11">
        <f>M4826-N4826</f>
        <v/>
      </c>
    </row>
    <row r="4827">
      <c r="A4827" s="9" t="n">
        <v>45493.04166666666</v>
      </c>
      <c r="B4827" t="n">
        <v>7</v>
      </c>
      <c r="C4827" t="n">
        <v>20</v>
      </c>
      <c r="D4827" t="n">
        <v>1</v>
      </c>
      <c r="E4827" s="10" t="n">
        <v>0</v>
      </c>
      <c r="F4827" s="10" t="n">
        <v>0.158270149984836</v>
      </c>
      <c r="G4827" s="11">
        <f>E4827*Summary!$B$6</f>
        <v/>
      </c>
      <c r="H4827" s="11">
        <f>F4827*Summary!$B$7</f>
        <v/>
      </c>
      <c r="I4827" s="11">
        <f>MAX(0,N4827-M4827)</f>
        <v/>
      </c>
      <c r="J4827" s="11">
        <f>MAX(0,M4827-N4827)</f>
        <v/>
      </c>
      <c r="K4827" s="11">
        <f>O4827</f>
        <v/>
      </c>
      <c r="L4827" s="11">
        <f>L4826+IF(K4827&gt;0,K4827*Summary!$B$9,K4827/Summary!$B$9)</f>
        <v/>
      </c>
      <c r="M4827" s="11">
        <f>G4827+H4827</f>
        <v/>
      </c>
      <c r="N4827" s="11">
        <f>Summary!$C$16*Summary!$B$8</f>
        <v/>
      </c>
      <c r="O4827" s="11">
        <f>M4827-N4827</f>
        <v/>
      </c>
    </row>
    <row r="4828">
      <c r="A4828" s="9" t="n">
        <v>45493.08333333334</v>
      </c>
      <c r="B4828" t="n">
        <v>7</v>
      </c>
      <c r="C4828" t="n">
        <v>20</v>
      </c>
      <c r="D4828" t="n">
        <v>2</v>
      </c>
      <c r="E4828" s="10" t="n">
        <v>0</v>
      </c>
      <c r="F4828" s="10" t="n">
        <v>0.1435130264431263</v>
      </c>
      <c r="G4828" s="11">
        <f>E4828*Summary!$B$6</f>
        <v/>
      </c>
      <c r="H4828" s="11">
        <f>F4828*Summary!$B$7</f>
        <v/>
      </c>
      <c r="I4828" s="11">
        <f>MAX(0,N4828-M4828)</f>
        <v/>
      </c>
      <c r="J4828" s="11">
        <f>MAX(0,M4828-N4828)</f>
        <v/>
      </c>
      <c r="K4828" s="11">
        <f>O4828</f>
        <v/>
      </c>
      <c r="L4828" s="11">
        <f>L4827+IF(K4828&gt;0,K4828*Summary!$B$9,K4828/Summary!$B$9)</f>
        <v/>
      </c>
      <c r="M4828" s="11">
        <f>G4828+H4828</f>
        <v/>
      </c>
      <c r="N4828" s="11">
        <f>Summary!$C$16*Summary!$B$8</f>
        <v/>
      </c>
      <c r="O4828" s="11">
        <f>M4828-N4828</f>
        <v/>
      </c>
    </row>
    <row r="4829">
      <c r="A4829" s="9" t="n">
        <v>45493.125</v>
      </c>
      <c r="B4829" t="n">
        <v>7</v>
      </c>
      <c r="C4829" t="n">
        <v>20</v>
      </c>
      <c r="D4829" t="n">
        <v>3</v>
      </c>
      <c r="E4829" s="10" t="n">
        <v>0</v>
      </c>
      <c r="F4829" s="10" t="n">
        <v>0.1336310240714458</v>
      </c>
      <c r="G4829" s="11">
        <f>E4829*Summary!$B$6</f>
        <v/>
      </c>
      <c r="H4829" s="11">
        <f>F4829*Summary!$B$7</f>
        <v/>
      </c>
      <c r="I4829" s="11">
        <f>MAX(0,N4829-M4829)</f>
        <v/>
      </c>
      <c r="J4829" s="11">
        <f>MAX(0,M4829-N4829)</f>
        <v/>
      </c>
      <c r="K4829" s="11">
        <f>O4829</f>
        <v/>
      </c>
      <c r="L4829" s="11">
        <f>L4828+IF(K4829&gt;0,K4829*Summary!$B$9,K4829/Summary!$B$9)</f>
        <v/>
      </c>
      <c r="M4829" s="11">
        <f>G4829+H4829</f>
        <v/>
      </c>
      <c r="N4829" s="11">
        <f>Summary!$C$16*Summary!$B$8</f>
        <v/>
      </c>
      <c r="O4829" s="11">
        <f>M4829-N4829</f>
        <v/>
      </c>
    </row>
    <row r="4830">
      <c r="A4830" s="9" t="n">
        <v>45493.16666666666</v>
      </c>
      <c r="B4830" t="n">
        <v>7</v>
      </c>
      <c r="C4830" t="n">
        <v>20</v>
      </c>
      <c r="D4830" t="n">
        <v>4</v>
      </c>
      <c r="E4830" s="10" t="n">
        <v>0.036402</v>
      </c>
      <c r="F4830" s="10" t="n">
        <v>0.1234064456175469</v>
      </c>
      <c r="G4830" s="11">
        <f>E4830*Summary!$B$6</f>
        <v/>
      </c>
      <c r="H4830" s="11">
        <f>F4830*Summary!$B$7</f>
        <v/>
      </c>
      <c r="I4830" s="11">
        <f>MAX(0,N4830-M4830)</f>
        <v/>
      </c>
      <c r="J4830" s="11">
        <f>MAX(0,M4830-N4830)</f>
        <v/>
      </c>
      <c r="K4830" s="11">
        <f>O4830</f>
        <v/>
      </c>
      <c r="L4830" s="11">
        <f>L4829+IF(K4830&gt;0,K4830*Summary!$B$9,K4830/Summary!$B$9)</f>
        <v/>
      </c>
      <c r="M4830" s="11">
        <f>G4830+H4830</f>
        <v/>
      </c>
      <c r="N4830" s="11">
        <f>Summary!$C$16*Summary!$B$8</f>
        <v/>
      </c>
      <c r="O4830" s="11">
        <f>M4830-N4830</f>
        <v/>
      </c>
    </row>
    <row r="4831">
      <c r="A4831" s="9" t="n">
        <v>45493.20833333334</v>
      </c>
      <c r="B4831" t="n">
        <v>7</v>
      </c>
      <c r="C4831" t="n">
        <v>20</v>
      </c>
      <c r="D4831" t="n">
        <v>5</v>
      </c>
      <c r="E4831" s="10" t="n">
        <v>0.043551</v>
      </c>
      <c r="F4831" s="10" t="n">
        <v>0.1064094015382564</v>
      </c>
      <c r="G4831" s="11">
        <f>E4831*Summary!$B$6</f>
        <v/>
      </c>
      <c r="H4831" s="11">
        <f>F4831*Summary!$B$7</f>
        <v/>
      </c>
      <c r="I4831" s="11">
        <f>MAX(0,N4831-M4831)</f>
        <v/>
      </c>
      <c r="J4831" s="11">
        <f>MAX(0,M4831-N4831)</f>
        <v/>
      </c>
      <c r="K4831" s="11">
        <f>O4831</f>
        <v/>
      </c>
      <c r="L4831" s="11">
        <f>L4830+IF(K4831&gt;0,K4831*Summary!$B$9,K4831/Summary!$B$9)</f>
        <v/>
      </c>
      <c r="M4831" s="11">
        <f>G4831+H4831</f>
        <v/>
      </c>
      <c r="N4831" s="11">
        <f>Summary!$C$16*Summary!$B$8</f>
        <v/>
      </c>
      <c r="O4831" s="11">
        <f>M4831-N4831</f>
        <v/>
      </c>
    </row>
    <row r="4832">
      <c r="A4832" s="9" t="n">
        <v>45493.25</v>
      </c>
      <c r="B4832" t="n">
        <v>7</v>
      </c>
      <c r="C4832" t="n">
        <v>20</v>
      </c>
      <c r="D4832" t="n">
        <v>6</v>
      </c>
      <c r="E4832" s="10" t="n">
        <v>0.177888</v>
      </c>
      <c r="F4832" s="10" t="n">
        <v>0.08912248538939649</v>
      </c>
      <c r="G4832" s="11">
        <f>E4832*Summary!$B$6</f>
        <v/>
      </c>
      <c r="H4832" s="11">
        <f>F4832*Summary!$B$7</f>
        <v/>
      </c>
      <c r="I4832" s="11">
        <f>MAX(0,N4832-M4832)</f>
        <v/>
      </c>
      <c r="J4832" s="11">
        <f>MAX(0,M4832-N4832)</f>
        <v/>
      </c>
      <c r="K4832" s="11">
        <f>O4832</f>
        <v/>
      </c>
      <c r="L4832" s="11">
        <f>L4831+IF(K4832&gt;0,K4832*Summary!$B$9,K4832/Summary!$B$9)</f>
        <v/>
      </c>
      <c r="M4832" s="11">
        <f>G4832+H4832</f>
        <v/>
      </c>
      <c r="N4832" s="11">
        <f>Summary!$C$16*Summary!$B$8</f>
        <v/>
      </c>
      <c r="O4832" s="11">
        <f>M4832-N4832</f>
        <v/>
      </c>
    </row>
    <row r="4833">
      <c r="A4833" s="9" t="n">
        <v>45493.29166666666</v>
      </c>
      <c r="B4833" t="n">
        <v>7</v>
      </c>
      <c r="C4833" t="n">
        <v>20</v>
      </c>
      <c r="D4833" t="n">
        <v>7</v>
      </c>
      <c r="E4833" s="10" t="n">
        <v>0.381147</v>
      </c>
      <c r="F4833" s="10" t="n">
        <v>0.07505051401212336</v>
      </c>
      <c r="G4833" s="11">
        <f>E4833*Summary!$B$6</f>
        <v/>
      </c>
      <c r="H4833" s="11">
        <f>F4833*Summary!$B$7</f>
        <v/>
      </c>
      <c r="I4833" s="11">
        <f>MAX(0,N4833-M4833)</f>
        <v/>
      </c>
      <c r="J4833" s="11">
        <f>MAX(0,M4833-N4833)</f>
        <v/>
      </c>
      <c r="K4833" s="11">
        <f>O4833</f>
        <v/>
      </c>
      <c r="L4833" s="11">
        <f>L4832+IF(K4833&gt;0,K4833*Summary!$B$9,K4833/Summary!$B$9)</f>
        <v/>
      </c>
      <c r="M4833" s="11">
        <f>G4833+H4833</f>
        <v/>
      </c>
      <c r="N4833" s="11">
        <f>Summary!$C$16*Summary!$B$8</f>
        <v/>
      </c>
      <c r="O4833" s="11">
        <f>M4833-N4833</f>
        <v/>
      </c>
    </row>
    <row r="4834">
      <c r="A4834" s="9" t="n">
        <v>45493.33333333334</v>
      </c>
      <c r="B4834" t="n">
        <v>7</v>
      </c>
      <c r="C4834" t="n">
        <v>20</v>
      </c>
      <c r="D4834" t="n">
        <v>8</v>
      </c>
      <c r="E4834" s="10" t="n">
        <v>0.565381</v>
      </c>
      <c r="F4834" s="10" t="n">
        <v>0.07613094627142711</v>
      </c>
      <c r="G4834" s="11">
        <f>E4834*Summary!$B$6</f>
        <v/>
      </c>
      <c r="H4834" s="11">
        <f>F4834*Summary!$B$7</f>
        <v/>
      </c>
      <c r="I4834" s="11">
        <f>MAX(0,N4834-M4834)</f>
        <v/>
      </c>
      <c r="J4834" s="11">
        <f>MAX(0,M4834-N4834)</f>
        <v/>
      </c>
      <c r="K4834" s="11">
        <f>O4834</f>
        <v/>
      </c>
      <c r="L4834" s="11">
        <f>L4833+IF(K4834&gt;0,K4834*Summary!$B$9,K4834/Summary!$B$9)</f>
        <v/>
      </c>
      <c r="M4834" s="11">
        <f>G4834+H4834</f>
        <v/>
      </c>
      <c r="N4834" s="11">
        <f>Summary!$C$16*Summary!$B$8</f>
        <v/>
      </c>
      <c r="O4834" s="11">
        <f>M4834-N4834</f>
        <v/>
      </c>
    </row>
    <row r="4835">
      <c r="A4835" s="9" t="n">
        <v>45493.375</v>
      </c>
      <c r="B4835" t="n">
        <v>7</v>
      </c>
      <c r="C4835" t="n">
        <v>20</v>
      </c>
      <c r="D4835" t="n">
        <v>9</v>
      </c>
      <c r="E4835" s="10" t="n">
        <v>0.710079</v>
      </c>
      <c r="F4835" s="10" t="n">
        <v>0.06983281675987602</v>
      </c>
      <c r="G4835" s="11">
        <f>E4835*Summary!$B$6</f>
        <v/>
      </c>
      <c r="H4835" s="11">
        <f>F4835*Summary!$B$7</f>
        <v/>
      </c>
      <c r="I4835" s="11">
        <f>MAX(0,N4835-M4835)</f>
        <v/>
      </c>
      <c r="J4835" s="11">
        <f>MAX(0,M4835-N4835)</f>
        <v/>
      </c>
      <c r="K4835" s="11">
        <f>O4835</f>
        <v/>
      </c>
      <c r="L4835" s="11">
        <f>L4834+IF(K4835&gt;0,K4835*Summary!$B$9,K4835/Summary!$B$9)</f>
        <v/>
      </c>
      <c r="M4835" s="11">
        <f>G4835+H4835</f>
        <v/>
      </c>
      <c r="N4835" s="11">
        <f>Summary!$C$16*Summary!$B$8</f>
        <v/>
      </c>
      <c r="O4835" s="11">
        <f>M4835-N4835</f>
        <v/>
      </c>
    </row>
    <row r="4836">
      <c r="A4836" s="9" t="n">
        <v>45493.41666666666</v>
      </c>
      <c r="B4836" t="n">
        <v>7</v>
      </c>
      <c r="C4836" t="n">
        <v>20</v>
      </c>
      <c r="D4836" t="n">
        <v>10</v>
      </c>
      <c r="E4836" s="10" t="n">
        <v>0.754058</v>
      </c>
      <c r="F4836" s="10" t="n">
        <v>0.07520862605007025</v>
      </c>
      <c r="G4836" s="11">
        <f>E4836*Summary!$B$6</f>
        <v/>
      </c>
      <c r="H4836" s="11">
        <f>F4836*Summary!$B$7</f>
        <v/>
      </c>
      <c r="I4836" s="11">
        <f>MAX(0,N4836-M4836)</f>
        <v/>
      </c>
      <c r="J4836" s="11">
        <f>MAX(0,M4836-N4836)</f>
        <v/>
      </c>
      <c r="K4836" s="11">
        <f>O4836</f>
        <v/>
      </c>
      <c r="L4836" s="11">
        <f>L4835+IF(K4836&gt;0,K4836*Summary!$B$9,K4836/Summary!$B$9)</f>
        <v/>
      </c>
      <c r="M4836" s="11">
        <f>G4836+H4836</f>
        <v/>
      </c>
      <c r="N4836" s="11">
        <f>Summary!$C$16*Summary!$B$8</f>
        <v/>
      </c>
      <c r="O4836" s="11">
        <f>M4836-N4836</f>
        <v/>
      </c>
    </row>
    <row r="4837">
      <c r="A4837" s="9" t="n">
        <v>45493.45833333334</v>
      </c>
      <c r="B4837" t="n">
        <v>7</v>
      </c>
      <c r="C4837" t="n">
        <v>20</v>
      </c>
      <c r="D4837" t="n">
        <v>11</v>
      </c>
      <c r="E4837" s="10" t="n">
        <v>0.754058</v>
      </c>
      <c r="F4837" s="10" t="n">
        <v>0.08300881992211678</v>
      </c>
      <c r="G4837" s="11">
        <f>E4837*Summary!$B$6</f>
        <v/>
      </c>
      <c r="H4837" s="11">
        <f>F4837*Summary!$B$7</f>
        <v/>
      </c>
      <c r="I4837" s="11">
        <f>MAX(0,N4837-M4837)</f>
        <v/>
      </c>
      <c r="J4837" s="11">
        <f>MAX(0,M4837-N4837)</f>
        <v/>
      </c>
      <c r="K4837" s="11">
        <f>O4837</f>
        <v/>
      </c>
      <c r="L4837" s="11">
        <f>L4836+IF(K4837&gt;0,K4837*Summary!$B$9,K4837/Summary!$B$9)</f>
        <v/>
      </c>
      <c r="M4837" s="11">
        <f>G4837+H4837</f>
        <v/>
      </c>
      <c r="N4837" s="11">
        <f>Summary!$C$16*Summary!$B$8</f>
        <v/>
      </c>
      <c r="O4837" s="11">
        <f>M4837-N4837</f>
        <v/>
      </c>
    </row>
    <row r="4838">
      <c r="A4838" s="9" t="n">
        <v>45493.5</v>
      </c>
      <c r="B4838" t="n">
        <v>7</v>
      </c>
      <c r="C4838" t="n">
        <v>20</v>
      </c>
      <c r="D4838" t="n">
        <v>12</v>
      </c>
      <c r="E4838" s="10" t="n">
        <v>0.754058</v>
      </c>
      <c r="F4838" s="10" t="n">
        <v>0.0938131425151542</v>
      </c>
      <c r="G4838" s="11">
        <f>E4838*Summary!$B$6</f>
        <v/>
      </c>
      <c r="H4838" s="11">
        <f>F4838*Summary!$B$7</f>
        <v/>
      </c>
      <c r="I4838" s="11">
        <f>MAX(0,N4838-M4838)</f>
        <v/>
      </c>
      <c r="J4838" s="11">
        <f>MAX(0,M4838-N4838)</f>
        <v/>
      </c>
      <c r="K4838" s="11">
        <f>O4838</f>
        <v/>
      </c>
      <c r="L4838" s="11">
        <f>L4837+IF(K4838&gt;0,K4838*Summary!$B$9,K4838/Summary!$B$9)</f>
        <v/>
      </c>
      <c r="M4838" s="11">
        <f>G4838+H4838</f>
        <v/>
      </c>
      <c r="N4838" s="11">
        <f>Summary!$C$16*Summary!$B$8</f>
        <v/>
      </c>
      <c r="O4838" s="11">
        <f>M4838-N4838</f>
        <v/>
      </c>
    </row>
    <row r="4839">
      <c r="A4839" s="9" t="n">
        <v>45493.54166666666</v>
      </c>
      <c r="B4839" t="n">
        <v>7</v>
      </c>
      <c r="C4839" t="n">
        <v>20</v>
      </c>
      <c r="D4839" t="n">
        <v>13</v>
      </c>
      <c r="E4839" s="10" t="n">
        <v>0.754058</v>
      </c>
      <c r="F4839" s="10" t="n">
        <v>0.1041958330069999</v>
      </c>
      <c r="G4839" s="11">
        <f>E4839*Summary!$B$6</f>
        <v/>
      </c>
      <c r="H4839" s="11">
        <f>F4839*Summary!$B$7</f>
        <v/>
      </c>
      <c r="I4839" s="11">
        <f>MAX(0,N4839-M4839)</f>
        <v/>
      </c>
      <c r="J4839" s="11">
        <f>MAX(0,M4839-N4839)</f>
        <v/>
      </c>
      <c r="K4839" s="11">
        <f>O4839</f>
        <v/>
      </c>
      <c r="L4839" s="11">
        <f>L4838+IF(K4839&gt;0,K4839*Summary!$B$9,K4839/Summary!$B$9)</f>
        <v/>
      </c>
      <c r="M4839" s="11">
        <f>G4839+H4839</f>
        <v/>
      </c>
      <c r="N4839" s="11">
        <f>Summary!$C$16*Summary!$B$8</f>
        <v/>
      </c>
      <c r="O4839" s="11">
        <f>M4839-N4839</f>
        <v/>
      </c>
    </row>
    <row r="4840">
      <c r="A4840" s="9" t="n">
        <v>45493.58333333334</v>
      </c>
      <c r="B4840" t="n">
        <v>7</v>
      </c>
      <c r="C4840" t="n">
        <v>20</v>
      </c>
      <c r="D4840" t="n">
        <v>14</v>
      </c>
      <c r="E4840" s="10" t="n">
        <v>0.754058</v>
      </c>
      <c r="F4840" s="10" t="n">
        <v>0.112681179043483</v>
      </c>
      <c r="G4840" s="11">
        <f>E4840*Summary!$B$6</f>
        <v/>
      </c>
      <c r="H4840" s="11">
        <f>F4840*Summary!$B$7</f>
        <v/>
      </c>
      <c r="I4840" s="11">
        <f>MAX(0,N4840-M4840)</f>
        <v/>
      </c>
      <c r="J4840" s="11">
        <f>MAX(0,M4840-N4840)</f>
        <v/>
      </c>
      <c r="K4840" s="11">
        <f>O4840</f>
        <v/>
      </c>
      <c r="L4840" s="11">
        <f>L4839+IF(K4840&gt;0,K4840*Summary!$B$9,K4840/Summary!$B$9)</f>
        <v/>
      </c>
      <c r="M4840" s="11">
        <f>G4840+H4840</f>
        <v/>
      </c>
      <c r="N4840" s="11">
        <f>Summary!$C$16*Summary!$B$8</f>
        <v/>
      </c>
      <c r="O4840" s="11">
        <f>M4840-N4840</f>
        <v/>
      </c>
    </row>
    <row r="4841">
      <c r="A4841" s="9" t="n">
        <v>45493.625</v>
      </c>
      <c r="B4841" t="n">
        <v>7</v>
      </c>
      <c r="C4841" t="n">
        <v>20</v>
      </c>
      <c r="D4841" t="n">
        <v>15</v>
      </c>
      <c r="E4841" s="10" t="n">
        <v>0.636796</v>
      </c>
      <c r="F4841" s="10" t="n">
        <v>0.1205867809408274</v>
      </c>
      <c r="G4841" s="11">
        <f>E4841*Summary!$B$6</f>
        <v/>
      </c>
      <c r="H4841" s="11">
        <f>F4841*Summary!$B$7</f>
        <v/>
      </c>
      <c r="I4841" s="11">
        <f>MAX(0,N4841-M4841)</f>
        <v/>
      </c>
      <c r="J4841" s="11">
        <f>MAX(0,M4841-N4841)</f>
        <v/>
      </c>
      <c r="K4841" s="11">
        <f>O4841</f>
        <v/>
      </c>
      <c r="L4841" s="11">
        <f>L4840+IF(K4841&gt;0,K4841*Summary!$B$9,K4841/Summary!$B$9)</f>
        <v/>
      </c>
      <c r="M4841" s="11">
        <f>G4841+H4841</f>
        <v/>
      </c>
      <c r="N4841" s="11">
        <f>Summary!$C$16*Summary!$B$8</f>
        <v/>
      </c>
      <c r="O4841" s="11">
        <f>M4841-N4841</f>
        <v/>
      </c>
    </row>
    <row r="4842">
      <c r="A4842" s="9" t="n">
        <v>45493.66666666666</v>
      </c>
      <c r="B4842" t="n">
        <v>7</v>
      </c>
      <c r="C4842" t="n">
        <v>20</v>
      </c>
      <c r="D4842" t="n">
        <v>16</v>
      </c>
      <c r="E4842" s="10" t="n">
        <v>0.466901</v>
      </c>
      <c r="F4842" s="10" t="n">
        <v>0.1265423343701602</v>
      </c>
      <c r="G4842" s="11">
        <f>E4842*Summary!$B$6</f>
        <v/>
      </c>
      <c r="H4842" s="11">
        <f>F4842*Summary!$B$7</f>
        <v/>
      </c>
      <c r="I4842" s="11">
        <f>MAX(0,N4842-M4842)</f>
        <v/>
      </c>
      <c r="J4842" s="11">
        <f>MAX(0,M4842-N4842)</f>
        <v/>
      </c>
      <c r="K4842" s="11">
        <f>O4842</f>
        <v/>
      </c>
      <c r="L4842" s="11">
        <f>L4841+IF(K4842&gt;0,K4842*Summary!$B$9,K4842/Summary!$B$9)</f>
        <v/>
      </c>
      <c r="M4842" s="11">
        <f>G4842+H4842</f>
        <v/>
      </c>
      <c r="N4842" s="11">
        <f>Summary!$C$16*Summary!$B$8</f>
        <v/>
      </c>
      <c r="O4842" s="11">
        <f>M4842-N4842</f>
        <v/>
      </c>
    </row>
    <row r="4843">
      <c r="A4843" s="9" t="n">
        <v>45493.70833333334</v>
      </c>
      <c r="B4843" t="n">
        <v>7</v>
      </c>
      <c r="C4843" t="n">
        <v>20</v>
      </c>
      <c r="D4843" t="n">
        <v>17</v>
      </c>
      <c r="E4843" s="10" t="n">
        <v>0.219385</v>
      </c>
      <c r="F4843" s="10" t="n">
        <v>0.1360817606596225</v>
      </c>
      <c r="G4843" s="11">
        <f>E4843*Summary!$B$6</f>
        <v/>
      </c>
      <c r="H4843" s="11">
        <f>F4843*Summary!$B$7</f>
        <v/>
      </c>
      <c r="I4843" s="11">
        <f>MAX(0,N4843-M4843)</f>
        <v/>
      </c>
      <c r="J4843" s="11">
        <f>MAX(0,M4843-N4843)</f>
        <v/>
      </c>
      <c r="K4843" s="11">
        <f>O4843</f>
        <v/>
      </c>
      <c r="L4843" s="11">
        <f>L4842+IF(K4843&gt;0,K4843*Summary!$B$9,K4843/Summary!$B$9)</f>
        <v/>
      </c>
      <c r="M4843" s="11">
        <f>G4843+H4843</f>
        <v/>
      </c>
      <c r="N4843" s="11">
        <f>Summary!$C$16*Summary!$B$8</f>
        <v/>
      </c>
      <c r="O4843" s="11">
        <f>M4843-N4843</f>
        <v/>
      </c>
    </row>
    <row r="4844">
      <c r="A4844" s="9" t="n">
        <v>45493.75</v>
      </c>
      <c r="B4844" t="n">
        <v>7</v>
      </c>
      <c r="C4844" t="n">
        <v>20</v>
      </c>
      <c r="D4844" t="n">
        <v>18</v>
      </c>
      <c r="E4844" s="10" t="n">
        <v>0.097233</v>
      </c>
      <c r="F4844" s="10" t="n">
        <v>0.1278862866927088</v>
      </c>
      <c r="G4844" s="11">
        <f>E4844*Summary!$B$6</f>
        <v/>
      </c>
      <c r="H4844" s="11">
        <f>F4844*Summary!$B$7</f>
        <v/>
      </c>
      <c r="I4844" s="11">
        <f>MAX(0,N4844-M4844)</f>
        <v/>
      </c>
      <c r="J4844" s="11">
        <f>MAX(0,M4844-N4844)</f>
        <v/>
      </c>
      <c r="K4844" s="11">
        <f>O4844</f>
        <v/>
      </c>
      <c r="L4844" s="11">
        <f>L4843+IF(K4844&gt;0,K4844*Summary!$B$9,K4844/Summary!$B$9)</f>
        <v/>
      </c>
      <c r="M4844" s="11">
        <f>G4844+H4844</f>
        <v/>
      </c>
      <c r="N4844" s="11">
        <f>Summary!$C$16*Summary!$B$8</f>
        <v/>
      </c>
      <c r="O4844" s="11">
        <f>M4844-N4844</f>
        <v/>
      </c>
    </row>
    <row r="4845">
      <c r="A4845" s="9" t="n">
        <v>45493.79166666666</v>
      </c>
      <c r="B4845" t="n">
        <v>7</v>
      </c>
      <c r="C4845" t="n">
        <v>20</v>
      </c>
      <c r="D4845" t="n">
        <v>19</v>
      </c>
      <c r="E4845" s="10" t="n">
        <v>0.04347</v>
      </c>
      <c r="F4845" s="10" t="n">
        <v>0.140377137690513</v>
      </c>
      <c r="G4845" s="11">
        <f>E4845*Summary!$B$6</f>
        <v/>
      </c>
      <c r="H4845" s="11">
        <f>F4845*Summary!$B$7</f>
        <v/>
      </c>
      <c r="I4845" s="11">
        <f>MAX(0,N4845-M4845)</f>
        <v/>
      </c>
      <c r="J4845" s="11">
        <f>MAX(0,M4845-N4845)</f>
        <v/>
      </c>
      <c r="K4845" s="11">
        <f>O4845</f>
        <v/>
      </c>
      <c r="L4845" s="11">
        <f>L4844+IF(K4845&gt;0,K4845*Summary!$B$9,K4845/Summary!$B$9)</f>
        <v/>
      </c>
      <c r="M4845" s="11">
        <f>G4845+H4845</f>
        <v/>
      </c>
      <c r="N4845" s="11">
        <f>Summary!$C$16*Summary!$B$8</f>
        <v/>
      </c>
      <c r="O4845" s="11">
        <f>M4845-N4845</f>
        <v/>
      </c>
    </row>
    <row r="4846">
      <c r="A4846" s="9" t="n">
        <v>45493.83333333334</v>
      </c>
      <c r="B4846" t="n">
        <v>7</v>
      </c>
      <c r="C4846" t="n">
        <v>20</v>
      </c>
      <c r="D4846" t="n">
        <v>20</v>
      </c>
      <c r="E4846" s="10" t="n">
        <v>0</v>
      </c>
      <c r="F4846" s="10" t="n">
        <v>0.1634087912181099</v>
      </c>
      <c r="G4846" s="11">
        <f>E4846*Summary!$B$6</f>
        <v/>
      </c>
      <c r="H4846" s="11">
        <f>F4846*Summary!$B$7</f>
        <v/>
      </c>
      <c r="I4846" s="11">
        <f>MAX(0,N4846-M4846)</f>
        <v/>
      </c>
      <c r="J4846" s="11">
        <f>MAX(0,M4846-N4846)</f>
        <v/>
      </c>
      <c r="K4846" s="11">
        <f>O4846</f>
        <v/>
      </c>
      <c r="L4846" s="11">
        <f>L4845+IF(K4846&gt;0,K4846*Summary!$B$9,K4846/Summary!$B$9)</f>
        <v/>
      </c>
      <c r="M4846" s="11">
        <f>G4846+H4846</f>
        <v/>
      </c>
      <c r="N4846" s="11">
        <f>Summary!$C$16*Summary!$B$8</f>
        <v/>
      </c>
      <c r="O4846" s="11">
        <f>M4846-N4846</f>
        <v/>
      </c>
    </row>
    <row r="4847">
      <c r="A4847" s="9" t="n">
        <v>45493.875</v>
      </c>
      <c r="B4847" t="n">
        <v>7</v>
      </c>
      <c r="C4847" t="n">
        <v>20</v>
      </c>
      <c r="D4847" t="n">
        <v>21</v>
      </c>
      <c r="E4847" s="10" t="n">
        <v>0</v>
      </c>
      <c r="F4847" s="10" t="n">
        <v>0.1901824296437831</v>
      </c>
      <c r="G4847" s="11">
        <f>E4847*Summary!$B$6</f>
        <v/>
      </c>
      <c r="H4847" s="11">
        <f>F4847*Summary!$B$7</f>
        <v/>
      </c>
      <c r="I4847" s="11">
        <f>MAX(0,N4847-M4847)</f>
        <v/>
      </c>
      <c r="J4847" s="11">
        <f>MAX(0,M4847-N4847)</f>
        <v/>
      </c>
      <c r="K4847" s="11">
        <f>O4847</f>
        <v/>
      </c>
      <c r="L4847" s="11">
        <f>L4846+IF(K4847&gt;0,K4847*Summary!$B$9,K4847/Summary!$B$9)</f>
        <v/>
      </c>
      <c r="M4847" s="11">
        <f>G4847+H4847</f>
        <v/>
      </c>
      <c r="N4847" s="11">
        <f>Summary!$C$16*Summary!$B$8</f>
        <v/>
      </c>
      <c r="O4847" s="11">
        <f>M4847-N4847</f>
        <v/>
      </c>
    </row>
    <row r="4848">
      <c r="A4848" s="9" t="n">
        <v>45493.91666666666</v>
      </c>
      <c r="B4848" t="n">
        <v>7</v>
      </c>
      <c r="C4848" t="n">
        <v>20</v>
      </c>
      <c r="D4848" t="n">
        <v>22</v>
      </c>
      <c r="E4848" s="10" t="n">
        <v>0</v>
      </c>
      <c r="F4848" s="10" t="n">
        <v>0.2099727863934687</v>
      </c>
      <c r="G4848" s="11">
        <f>E4848*Summary!$B$6</f>
        <v/>
      </c>
      <c r="H4848" s="11">
        <f>F4848*Summary!$B$7</f>
        <v/>
      </c>
      <c r="I4848" s="11">
        <f>MAX(0,N4848-M4848)</f>
        <v/>
      </c>
      <c r="J4848" s="11">
        <f>MAX(0,M4848-N4848)</f>
        <v/>
      </c>
      <c r="K4848" s="11">
        <f>O4848</f>
        <v/>
      </c>
      <c r="L4848" s="11">
        <f>L4847+IF(K4848&gt;0,K4848*Summary!$B$9,K4848/Summary!$B$9)</f>
        <v/>
      </c>
      <c r="M4848" s="11">
        <f>G4848+H4848</f>
        <v/>
      </c>
      <c r="N4848" s="11">
        <f>Summary!$C$16*Summary!$B$8</f>
        <v/>
      </c>
      <c r="O4848" s="11">
        <f>M4848-N4848</f>
        <v/>
      </c>
    </row>
    <row r="4849">
      <c r="A4849" s="9" t="n">
        <v>45493.95833333334</v>
      </c>
      <c r="B4849" t="n">
        <v>7</v>
      </c>
      <c r="C4849" t="n">
        <v>20</v>
      </c>
      <c r="D4849" t="n">
        <v>23</v>
      </c>
      <c r="E4849" s="10" t="n">
        <v>0</v>
      </c>
      <c r="F4849" s="10" t="n">
        <v>0.214584387500253</v>
      </c>
      <c r="G4849" s="11">
        <f>E4849*Summary!$B$6</f>
        <v/>
      </c>
      <c r="H4849" s="11">
        <f>F4849*Summary!$B$7</f>
        <v/>
      </c>
      <c r="I4849" s="11">
        <f>MAX(0,N4849-M4849)</f>
        <v/>
      </c>
      <c r="J4849" s="11">
        <f>MAX(0,M4849-N4849)</f>
        <v/>
      </c>
      <c r="K4849" s="11">
        <f>O4849</f>
        <v/>
      </c>
      <c r="L4849" s="11">
        <f>L4848+IF(K4849&gt;0,K4849*Summary!$B$9,K4849/Summary!$B$9)</f>
        <v/>
      </c>
      <c r="M4849" s="11">
        <f>G4849+H4849</f>
        <v/>
      </c>
      <c r="N4849" s="11">
        <f>Summary!$C$16*Summary!$B$8</f>
        <v/>
      </c>
      <c r="O4849" s="11">
        <f>M4849-N4849</f>
        <v/>
      </c>
    </row>
    <row r="4850">
      <c r="A4850" s="9" t="n">
        <v>45494</v>
      </c>
      <c r="B4850" t="n">
        <v>7</v>
      </c>
      <c r="C4850" t="n">
        <v>21</v>
      </c>
      <c r="D4850" t="n">
        <v>0</v>
      </c>
      <c r="E4850" s="10" t="n">
        <v>0</v>
      </c>
      <c r="F4850" s="10" t="n">
        <v>0.2210933330623999</v>
      </c>
      <c r="G4850" s="11">
        <f>E4850*Summary!$B$6</f>
        <v/>
      </c>
      <c r="H4850" s="11">
        <f>F4850*Summary!$B$7</f>
        <v/>
      </c>
      <c r="I4850" s="11">
        <f>MAX(0,N4850-M4850)</f>
        <v/>
      </c>
      <c r="J4850" s="11">
        <f>MAX(0,M4850-N4850)</f>
        <v/>
      </c>
      <c r="K4850" s="11">
        <f>O4850</f>
        <v/>
      </c>
      <c r="L4850" s="11">
        <f>L4849+IF(K4850&gt;0,K4850*Summary!$B$9,K4850/Summary!$B$9)</f>
        <v/>
      </c>
      <c r="M4850" s="11">
        <f>G4850+H4850</f>
        <v/>
      </c>
      <c r="N4850" s="11">
        <f>Summary!$C$16*Summary!$B$8</f>
        <v/>
      </c>
      <c r="O4850" s="11">
        <f>M4850-N4850</f>
        <v/>
      </c>
    </row>
    <row r="4851">
      <c r="A4851" s="9" t="n">
        <v>45494.04166666666</v>
      </c>
      <c r="B4851" t="n">
        <v>7</v>
      </c>
      <c r="C4851" t="n">
        <v>21</v>
      </c>
      <c r="D4851" t="n">
        <v>1</v>
      </c>
      <c r="E4851" s="10" t="n">
        <v>0</v>
      </c>
      <c r="F4851" s="10" t="n">
        <v>0.2105788825389318</v>
      </c>
      <c r="G4851" s="11">
        <f>E4851*Summary!$B$6</f>
        <v/>
      </c>
      <c r="H4851" s="11">
        <f>F4851*Summary!$B$7</f>
        <v/>
      </c>
      <c r="I4851" s="11">
        <f>MAX(0,N4851-M4851)</f>
        <v/>
      </c>
      <c r="J4851" s="11">
        <f>MAX(0,M4851-N4851)</f>
        <v/>
      </c>
      <c r="K4851" s="11">
        <f>O4851</f>
        <v/>
      </c>
      <c r="L4851" s="11">
        <f>L4850+IF(K4851&gt;0,K4851*Summary!$B$9,K4851/Summary!$B$9)</f>
        <v/>
      </c>
      <c r="M4851" s="11">
        <f>G4851+H4851</f>
        <v/>
      </c>
      <c r="N4851" s="11">
        <f>Summary!$C$16*Summary!$B$8</f>
        <v/>
      </c>
      <c r="O4851" s="11">
        <f>M4851-N4851</f>
        <v/>
      </c>
    </row>
    <row r="4852">
      <c r="A4852" s="9" t="n">
        <v>45494.08333333334</v>
      </c>
      <c r="B4852" t="n">
        <v>7</v>
      </c>
      <c r="C4852" t="n">
        <v>21</v>
      </c>
      <c r="D4852" t="n">
        <v>2</v>
      </c>
      <c r="E4852" s="10" t="n">
        <v>0</v>
      </c>
      <c r="F4852" s="10" t="n">
        <v>0.2027259846542363</v>
      </c>
      <c r="G4852" s="11">
        <f>E4852*Summary!$B$6</f>
        <v/>
      </c>
      <c r="H4852" s="11">
        <f>F4852*Summary!$B$7</f>
        <v/>
      </c>
      <c r="I4852" s="11">
        <f>MAX(0,N4852-M4852)</f>
        <v/>
      </c>
      <c r="J4852" s="11">
        <f>MAX(0,M4852-N4852)</f>
        <v/>
      </c>
      <c r="K4852" s="11">
        <f>O4852</f>
        <v/>
      </c>
      <c r="L4852" s="11">
        <f>L4851+IF(K4852&gt;0,K4852*Summary!$B$9,K4852/Summary!$B$9)</f>
        <v/>
      </c>
      <c r="M4852" s="11">
        <f>G4852+H4852</f>
        <v/>
      </c>
      <c r="N4852" s="11">
        <f>Summary!$C$16*Summary!$B$8</f>
        <v/>
      </c>
      <c r="O4852" s="11">
        <f>M4852-N4852</f>
        <v/>
      </c>
    </row>
    <row r="4853">
      <c r="A4853" s="9" t="n">
        <v>45494.125</v>
      </c>
      <c r="B4853" t="n">
        <v>7</v>
      </c>
      <c r="C4853" t="n">
        <v>21</v>
      </c>
      <c r="D4853" t="n">
        <v>3</v>
      </c>
      <c r="E4853" s="10" t="n">
        <v>0</v>
      </c>
      <c r="F4853" s="10" t="n">
        <v>0.2003806560913574</v>
      </c>
      <c r="G4853" s="11">
        <f>E4853*Summary!$B$6</f>
        <v/>
      </c>
      <c r="H4853" s="11">
        <f>F4853*Summary!$B$7</f>
        <v/>
      </c>
      <c r="I4853" s="11">
        <f>MAX(0,N4853-M4853)</f>
        <v/>
      </c>
      <c r="J4853" s="11">
        <f>MAX(0,M4853-N4853)</f>
        <v/>
      </c>
      <c r="K4853" s="11">
        <f>O4853</f>
        <v/>
      </c>
      <c r="L4853" s="11">
        <f>L4852+IF(K4853&gt;0,K4853*Summary!$B$9,K4853/Summary!$B$9)</f>
        <v/>
      </c>
      <c r="M4853" s="11">
        <f>G4853+H4853</f>
        <v/>
      </c>
      <c r="N4853" s="11">
        <f>Summary!$C$16*Summary!$B$8</f>
        <v/>
      </c>
      <c r="O4853" s="11">
        <f>M4853-N4853</f>
        <v/>
      </c>
    </row>
    <row r="4854">
      <c r="A4854" s="9" t="n">
        <v>45494.16666666666</v>
      </c>
      <c r="B4854" t="n">
        <v>7</v>
      </c>
      <c r="C4854" t="n">
        <v>21</v>
      </c>
      <c r="D4854" t="n">
        <v>4</v>
      </c>
      <c r="E4854" s="10" t="n">
        <v>0.001719</v>
      </c>
      <c r="F4854" s="10" t="n">
        <v>0.1906304137512993</v>
      </c>
      <c r="G4854" s="11">
        <f>E4854*Summary!$B$6</f>
        <v/>
      </c>
      <c r="H4854" s="11">
        <f>F4854*Summary!$B$7</f>
        <v/>
      </c>
      <c r="I4854" s="11">
        <f>MAX(0,N4854-M4854)</f>
        <v/>
      </c>
      <c r="J4854" s="11">
        <f>MAX(0,M4854-N4854)</f>
        <v/>
      </c>
      <c r="K4854" s="11">
        <f>O4854</f>
        <v/>
      </c>
      <c r="L4854" s="11">
        <f>L4853+IF(K4854&gt;0,K4854*Summary!$B$9,K4854/Summary!$B$9)</f>
        <v/>
      </c>
      <c r="M4854" s="11">
        <f>G4854+H4854</f>
        <v/>
      </c>
      <c r="N4854" s="11">
        <f>Summary!$C$16*Summary!$B$8</f>
        <v/>
      </c>
      <c r="O4854" s="11">
        <f>M4854-N4854</f>
        <v/>
      </c>
    </row>
    <row r="4855">
      <c r="A4855" s="9" t="n">
        <v>45494.20833333334</v>
      </c>
      <c r="B4855" t="n">
        <v>7</v>
      </c>
      <c r="C4855" t="n">
        <v>21</v>
      </c>
      <c r="D4855" t="n">
        <v>5</v>
      </c>
      <c r="E4855" s="10" t="n">
        <v>0.013867</v>
      </c>
      <c r="F4855" s="10" t="n">
        <v>0.1701022008245282</v>
      </c>
      <c r="G4855" s="11">
        <f>E4855*Summary!$B$6</f>
        <v/>
      </c>
      <c r="H4855" s="11">
        <f>F4855*Summary!$B$7</f>
        <v/>
      </c>
      <c r="I4855" s="11">
        <f>MAX(0,N4855-M4855)</f>
        <v/>
      </c>
      <c r="J4855" s="11">
        <f>MAX(0,M4855-N4855)</f>
        <v/>
      </c>
      <c r="K4855" s="11">
        <f>O4855</f>
        <v/>
      </c>
      <c r="L4855" s="11">
        <f>L4854+IF(K4855&gt;0,K4855*Summary!$B$9,K4855/Summary!$B$9)</f>
        <v/>
      </c>
      <c r="M4855" s="11">
        <f>G4855+H4855</f>
        <v/>
      </c>
      <c r="N4855" s="11">
        <f>Summary!$C$16*Summary!$B$8</f>
        <v/>
      </c>
      <c r="O4855" s="11">
        <f>M4855-N4855</f>
        <v/>
      </c>
    </row>
    <row r="4856">
      <c r="A4856" s="9" t="n">
        <v>45494.25</v>
      </c>
      <c r="B4856" t="n">
        <v>7</v>
      </c>
      <c r="C4856" t="n">
        <v>21</v>
      </c>
      <c r="D4856" t="n">
        <v>6</v>
      </c>
      <c r="E4856" s="10" t="n">
        <v>0.029624</v>
      </c>
      <c r="F4856" s="10" t="n">
        <v>0.1429332823039877</v>
      </c>
      <c r="G4856" s="11">
        <f>E4856*Summary!$B$6</f>
        <v/>
      </c>
      <c r="H4856" s="11">
        <f>F4856*Summary!$B$7</f>
        <v/>
      </c>
      <c r="I4856" s="11">
        <f>MAX(0,N4856-M4856)</f>
        <v/>
      </c>
      <c r="J4856" s="11">
        <f>MAX(0,M4856-N4856)</f>
        <v/>
      </c>
      <c r="K4856" s="11">
        <f>O4856</f>
        <v/>
      </c>
      <c r="L4856" s="11">
        <f>L4855+IF(K4856&gt;0,K4856*Summary!$B$9,K4856/Summary!$B$9)</f>
        <v/>
      </c>
      <c r="M4856" s="11">
        <f>G4856+H4856</f>
        <v/>
      </c>
      <c r="N4856" s="11">
        <f>Summary!$C$16*Summary!$B$8</f>
        <v/>
      </c>
      <c r="O4856" s="11">
        <f>M4856-N4856</f>
        <v/>
      </c>
    </row>
    <row r="4857">
      <c r="A4857" s="9" t="n">
        <v>45494.29166666666</v>
      </c>
      <c r="B4857" t="n">
        <v>7</v>
      </c>
      <c r="C4857" t="n">
        <v>21</v>
      </c>
      <c r="D4857" t="n">
        <v>7</v>
      </c>
      <c r="E4857" s="10" t="n">
        <v>0.058791</v>
      </c>
      <c r="F4857" s="10" t="n">
        <v>0.1206394849534764</v>
      </c>
      <c r="G4857" s="11">
        <f>E4857*Summary!$B$6</f>
        <v/>
      </c>
      <c r="H4857" s="11">
        <f>F4857*Summary!$B$7</f>
        <v/>
      </c>
      <c r="I4857" s="11">
        <f>MAX(0,N4857-M4857)</f>
        <v/>
      </c>
      <c r="J4857" s="11">
        <f>MAX(0,M4857-N4857)</f>
        <v/>
      </c>
      <c r="K4857" s="11">
        <f>O4857</f>
        <v/>
      </c>
      <c r="L4857" s="11">
        <f>L4856+IF(K4857&gt;0,K4857*Summary!$B$9,K4857/Summary!$B$9)</f>
        <v/>
      </c>
      <c r="M4857" s="11">
        <f>G4857+H4857</f>
        <v/>
      </c>
      <c r="N4857" s="11">
        <f>Summary!$C$16*Summary!$B$8</f>
        <v/>
      </c>
      <c r="O4857" s="11">
        <f>M4857-N4857</f>
        <v/>
      </c>
    </row>
    <row r="4858">
      <c r="A4858" s="9" t="n">
        <v>45494.33333333334</v>
      </c>
      <c r="B4858" t="n">
        <v>7</v>
      </c>
      <c r="C4858" t="n">
        <v>21</v>
      </c>
      <c r="D4858" t="n">
        <v>8</v>
      </c>
      <c r="E4858" s="10" t="n">
        <v>0.059501</v>
      </c>
      <c r="F4858" s="10" t="n">
        <v>0.1116534507968282</v>
      </c>
      <c r="G4858" s="11">
        <f>E4858*Summary!$B$6</f>
        <v/>
      </c>
      <c r="H4858" s="11">
        <f>F4858*Summary!$B$7</f>
        <v/>
      </c>
      <c r="I4858" s="11">
        <f>MAX(0,N4858-M4858)</f>
        <v/>
      </c>
      <c r="J4858" s="11">
        <f>MAX(0,M4858-N4858)</f>
        <v/>
      </c>
      <c r="K4858" s="11">
        <f>O4858</f>
        <v/>
      </c>
      <c r="L4858" s="11">
        <f>L4857+IF(K4858&gt;0,K4858*Summary!$B$9,K4858/Summary!$B$9)</f>
        <v/>
      </c>
      <c r="M4858" s="11">
        <f>G4858+H4858</f>
        <v/>
      </c>
      <c r="N4858" s="11">
        <f>Summary!$C$16*Summary!$B$8</f>
        <v/>
      </c>
      <c r="O4858" s="11">
        <f>M4858-N4858</f>
        <v/>
      </c>
    </row>
    <row r="4859">
      <c r="A4859" s="9" t="n">
        <v>45494.375</v>
      </c>
      <c r="B4859" t="n">
        <v>7</v>
      </c>
      <c r="C4859" t="n">
        <v>21</v>
      </c>
      <c r="D4859" t="n">
        <v>9</v>
      </c>
      <c r="E4859" s="10" t="n">
        <v>0.114176</v>
      </c>
      <c r="F4859" s="10" t="n">
        <v>0.1106257225501734</v>
      </c>
      <c r="G4859" s="11">
        <f>E4859*Summary!$B$6</f>
        <v/>
      </c>
      <c r="H4859" s="11">
        <f>F4859*Summary!$B$7</f>
        <v/>
      </c>
      <c r="I4859" s="11">
        <f>MAX(0,N4859-M4859)</f>
        <v/>
      </c>
      <c r="J4859" s="11">
        <f>MAX(0,M4859-N4859)</f>
        <v/>
      </c>
      <c r="K4859" s="11">
        <f>O4859</f>
        <v/>
      </c>
      <c r="L4859" s="11">
        <f>L4858+IF(K4859&gt;0,K4859*Summary!$B$9,K4859/Summary!$B$9)</f>
        <v/>
      </c>
      <c r="M4859" s="11">
        <f>G4859+H4859</f>
        <v/>
      </c>
      <c r="N4859" s="11">
        <f>Summary!$C$16*Summary!$B$8</f>
        <v/>
      </c>
      <c r="O4859" s="11">
        <f>M4859-N4859</f>
        <v/>
      </c>
    </row>
    <row r="4860">
      <c r="A4860" s="9" t="n">
        <v>45494.41666666666</v>
      </c>
      <c r="B4860" t="n">
        <v>7</v>
      </c>
      <c r="C4860" t="n">
        <v>21</v>
      </c>
      <c r="D4860" t="n">
        <v>10</v>
      </c>
      <c r="E4860" s="10" t="n">
        <v>0.32305</v>
      </c>
      <c r="F4860" s="10" t="n">
        <v>0.116185995884639</v>
      </c>
      <c r="G4860" s="11">
        <f>E4860*Summary!$B$6</f>
        <v/>
      </c>
      <c r="H4860" s="11">
        <f>F4860*Summary!$B$7</f>
        <v/>
      </c>
      <c r="I4860" s="11">
        <f>MAX(0,N4860-M4860)</f>
        <v/>
      </c>
      <c r="J4860" s="11">
        <f>MAX(0,M4860-N4860)</f>
        <v/>
      </c>
      <c r="K4860" s="11">
        <f>O4860</f>
        <v/>
      </c>
      <c r="L4860" s="11">
        <f>L4859+IF(K4860&gt;0,K4860*Summary!$B$9,K4860/Summary!$B$9)</f>
        <v/>
      </c>
      <c r="M4860" s="11">
        <f>G4860+H4860</f>
        <v/>
      </c>
      <c r="N4860" s="11">
        <f>Summary!$C$16*Summary!$B$8</f>
        <v/>
      </c>
      <c r="O4860" s="11">
        <f>M4860-N4860</f>
        <v/>
      </c>
    </row>
    <row r="4861">
      <c r="A4861" s="9" t="n">
        <v>45494.45833333334</v>
      </c>
      <c r="B4861" t="n">
        <v>7</v>
      </c>
      <c r="C4861" t="n">
        <v>21</v>
      </c>
      <c r="D4861" t="n">
        <v>11</v>
      </c>
      <c r="E4861" s="10" t="n">
        <v>0.169396</v>
      </c>
      <c r="F4861" s="10" t="n">
        <v>0.1269903184776764</v>
      </c>
      <c r="G4861" s="11">
        <f>E4861*Summary!$B$6</f>
        <v/>
      </c>
      <c r="H4861" s="11">
        <f>F4861*Summary!$B$7</f>
        <v/>
      </c>
      <c r="I4861" s="11">
        <f>MAX(0,N4861-M4861)</f>
        <v/>
      </c>
      <c r="J4861" s="11">
        <f>MAX(0,M4861-N4861)</f>
        <v/>
      </c>
      <c r="K4861" s="11">
        <f>O4861</f>
        <v/>
      </c>
      <c r="L4861" s="11">
        <f>L4860+IF(K4861&gt;0,K4861*Summary!$B$9,K4861/Summary!$B$9)</f>
        <v/>
      </c>
      <c r="M4861" s="11">
        <f>G4861+H4861</f>
        <v/>
      </c>
      <c r="N4861" s="11">
        <f>Summary!$C$16*Summary!$B$8</f>
        <v/>
      </c>
      <c r="O4861" s="11">
        <f>M4861-N4861</f>
        <v/>
      </c>
    </row>
    <row r="4862">
      <c r="A4862" s="9" t="n">
        <v>45494.5</v>
      </c>
      <c r="B4862" t="n">
        <v>7</v>
      </c>
      <c r="C4862" t="n">
        <v>21</v>
      </c>
      <c r="D4862" t="n">
        <v>12</v>
      </c>
      <c r="E4862" s="10" t="n">
        <v>0.118805</v>
      </c>
      <c r="F4862" s="10" t="n">
        <v>0.1349749763939943</v>
      </c>
      <c r="G4862" s="11">
        <f>E4862*Summary!$B$6</f>
        <v/>
      </c>
      <c r="H4862" s="11">
        <f>F4862*Summary!$B$7</f>
        <v/>
      </c>
      <c r="I4862" s="11">
        <f>MAX(0,N4862-M4862)</f>
        <v/>
      </c>
      <c r="J4862" s="11">
        <f>MAX(0,M4862-N4862)</f>
        <v/>
      </c>
      <c r="K4862" s="11">
        <f>O4862</f>
        <v/>
      </c>
      <c r="L4862" s="11">
        <f>L4861+IF(K4862&gt;0,K4862*Summary!$B$9,K4862/Summary!$B$9)</f>
        <v/>
      </c>
      <c r="M4862" s="11">
        <f>G4862+H4862</f>
        <v/>
      </c>
      <c r="N4862" s="11">
        <f>Summary!$C$16*Summary!$B$8</f>
        <v/>
      </c>
      <c r="O4862" s="11">
        <f>M4862-N4862</f>
        <v/>
      </c>
    </row>
    <row r="4863">
      <c r="A4863" s="9" t="n">
        <v>45494.54166666666</v>
      </c>
      <c r="B4863" t="n">
        <v>7</v>
      </c>
      <c r="C4863" t="n">
        <v>21</v>
      </c>
      <c r="D4863" t="n">
        <v>13</v>
      </c>
      <c r="E4863" s="10" t="n">
        <v>0.114844</v>
      </c>
      <c r="F4863" s="10" t="n">
        <v>0.1429596343103122</v>
      </c>
      <c r="G4863" s="11">
        <f>E4863*Summary!$B$6</f>
        <v/>
      </c>
      <c r="H4863" s="11">
        <f>F4863*Summary!$B$7</f>
        <v/>
      </c>
      <c r="I4863" s="11">
        <f>MAX(0,N4863-M4863)</f>
        <v/>
      </c>
      <c r="J4863" s="11">
        <f>MAX(0,M4863-N4863)</f>
        <v/>
      </c>
      <c r="K4863" s="11">
        <f>O4863</f>
        <v/>
      </c>
      <c r="L4863" s="11">
        <f>L4862+IF(K4863&gt;0,K4863*Summary!$B$9,K4863/Summary!$B$9)</f>
        <v/>
      </c>
      <c r="M4863" s="11">
        <f>G4863+H4863</f>
        <v/>
      </c>
      <c r="N4863" s="11">
        <f>Summary!$C$16*Summary!$B$8</f>
        <v/>
      </c>
      <c r="O4863" s="11">
        <f>M4863-N4863</f>
        <v/>
      </c>
    </row>
    <row r="4864">
      <c r="A4864" s="9" t="n">
        <v>45494.58333333334</v>
      </c>
      <c r="B4864" t="n">
        <v>7</v>
      </c>
      <c r="C4864" t="n">
        <v>21</v>
      </c>
      <c r="D4864" t="n">
        <v>14</v>
      </c>
      <c r="E4864" s="10" t="n">
        <v>0.155522</v>
      </c>
      <c r="F4864" s="10" t="n">
        <v>0.1486516676764002</v>
      </c>
      <c r="G4864" s="11">
        <f>E4864*Summary!$B$6</f>
        <v/>
      </c>
      <c r="H4864" s="11">
        <f>F4864*Summary!$B$7</f>
        <v/>
      </c>
      <c r="I4864" s="11">
        <f>MAX(0,N4864-M4864)</f>
        <v/>
      </c>
      <c r="J4864" s="11">
        <f>MAX(0,M4864-N4864)</f>
        <v/>
      </c>
      <c r="K4864" s="11">
        <f>O4864</f>
        <v/>
      </c>
      <c r="L4864" s="11">
        <f>L4863+IF(K4864&gt;0,K4864*Summary!$B$9,K4864/Summary!$B$9)</f>
        <v/>
      </c>
      <c r="M4864" s="11">
        <f>G4864+H4864</f>
        <v/>
      </c>
      <c r="N4864" s="11">
        <f>Summary!$C$16*Summary!$B$8</f>
        <v/>
      </c>
      <c r="O4864" s="11">
        <f>M4864-N4864</f>
        <v/>
      </c>
    </row>
    <row r="4865">
      <c r="A4865" s="9" t="n">
        <v>45494.625</v>
      </c>
      <c r="B4865" t="n">
        <v>7</v>
      </c>
      <c r="C4865" t="n">
        <v>21</v>
      </c>
      <c r="D4865" t="n">
        <v>15</v>
      </c>
      <c r="E4865" s="10" t="n">
        <v>0.135313</v>
      </c>
      <c r="F4865" s="10" t="n">
        <v>0.1521828365238808</v>
      </c>
      <c r="G4865" s="11">
        <f>E4865*Summary!$B$6</f>
        <v/>
      </c>
      <c r="H4865" s="11">
        <f>F4865*Summary!$B$7</f>
        <v/>
      </c>
      <c r="I4865" s="11">
        <f>MAX(0,N4865-M4865)</f>
        <v/>
      </c>
      <c r="J4865" s="11">
        <f>MAX(0,M4865-N4865)</f>
        <v/>
      </c>
      <c r="K4865" s="11">
        <f>O4865</f>
        <v/>
      </c>
      <c r="L4865" s="11">
        <f>L4864+IF(K4865&gt;0,K4865*Summary!$B$9,K4865/Summary!$B$9)</f>
        <v/>
      </c>
      <c r="M4865" s="11">
        <f>G4865+H4865</f>
        <v/>
      </c>
      <c r="N4865" s="11">
        <f>Summary!$C$16*Summary!$B$8</f>
        <v/>
      </c>
      <c r="O4865" s="11">
        <f>M4865-N4865</f>
        <v/>
      </c>
    </row>
    <row r="4866">
      <c r="A4866" s="9" t="n">
        <v>45494.66666666666</v>
      </c>
      <c r="B4866" t="n">
        <v>7</v>
      </c>
      <c r="C4866" t="n">
        <v>21</v>
      </c>
      <c r="D4866" t="n">
        <v>16</v>
      </c>
      <c r="E4866" s="10" t="n">
        <v>0.09926400000000001</v>
      </c>
      <c r="F4866" s="10" t="n">
        <v>0.1532632687831845</v>
      </c>
      <c r="G4866" s="11">
        <f>E4866*Summary!$B$6</f>
        <v/>
      </c>
      <c r="H4866" s="11">
        <f>F4866*Summary!$B$7</f>
        <v/>
      </c>
      <c r="I4866" s="11">
        <f>MAX(0,N4866-M4866)</f>
        <v/>
      </c>
      <c r="J4866" s="11">
        <f>MAX(0,M4866-N4866)</f>
        <v/>
      </c>
      <c r="K4866" s="11">
        <f>O4866</f>
        <v/>
      </c>
      <c r="L4866" s="11">
        <f>L4865+IF(K4866&gt;0,K4866*Summary!$B$9,K4866/Summary!$B$9)</f>
        <v/>
      </c>
      <c r="M4866" s="11">
        <f>G4866+H4866</f>
        <v/>
      </c>
      <c r="N4866" s="11">
        <f>Summary!$C$16*Summary!$B$8</f>
        <v/>
      </c>
      <c r="O4866" s="11">
        <f>M4866-N4866</f>
        <v/>
      </c>
    </row>
    <row r="4867">
      <c r="A4867" s="9" t="n">
        <v>45494.70833333334</v>
      </c>
      <c r="B4867" t="n">
        <v>7</v>
      </c>
      <c r="C4867" t="n">
        <v>21</v>
      </c>
      <c r="D4867" t="n">
        <v>17</v>
      </c>
      <c r="E4867" s="10" t="n">
        <v>0.090639</v>
      </c>
      <c r="F4867" s="10" t="n">
        <v>0.1501273800305712</v>
      </c>
      <c r="G4867" s="11">
        <f>E4867*Summary!$B$6</f>
        <v/>
      </c>
      <c r="H4867" s="11">
        <f>F4867*Summary!$B$7</f>
        <v/>
      </c>
      <c r="I4867" s="11">
        <f>MAX(0,N4867-M4867)</f>
        <v/>
      </c>
      <c r="J4867" s="11">
        <f>MAX(0,M4867-N4867)</f>
        <v/>
      </c>
      <c r="K4867" s="11">
        <f>O4867</f>
        <v/>
      </c>
      <c r="L4867" s="11">
        <f>L4866+IF(K4867&gt;0,K4867*Summary!$B$9,K4867/Summary!$B$9)</f>
        <v/>
      </c>
      <c r="M4867" s="11">
        <f>G4867+H4867</f>
        <v/>
      </c>
      <c r="N4867" s="11">
        <f>Summary!$C$16*Summary!$B$8</f>
        <v/>
      </c>
      <c r="O4867" s="11">
        <f>M4867-N4867</f>
        <v/>
      </c>
    </row>
    <row r="4868">
      <c r="A4868" s="9" t="n">
        <v>45494.75</v>
      </c>
      <c r="B4868" t="n">
        <v>7</v>
      </c>
      <c r="C4868" t="n">
        <v>21</v>
      </c>
      <c r="D4868" t="n">
        <v>18</v>
      </c>
      <c r="E4868" s="10" t="n">
        <v>0.09382</v>
      </c>
      <c r="F4868" s="10" t="n">
        <v>0.1509706442329546</v>
      </c>
      <c r="G4868" s="11">
        <f>E4868*Summary!$B$6</f>
        <v/>
      </c>
      <c r="H4868" s="11">
        <f>F4868*Summary!$B$7</f>
        <v/>
      </c>
      <c r="I4868" s="11">
        <f>MAX(0,N4868-M4868)</f>
        <v/>
      </c>
      <c r="J4868" s="11">
        <f>MAX(0,M4868-N4868)</f>
        <v/>
      </c>
      <c r="K4868" s="11">
        <f>O4868</f>
        <v/>
      </c>
      <c r="L4868" s="11">
        <f>L4867+IF(K4868&gt;0,K4868*Summary!$B$9,K4868/Summary!$B$9)</f>
        <v/>
      </c>
      <c r="M4868" s="11">
        <f>G4868+H4868</f>
        <v/>
      </c>
      <c r="N4868" s="11">
        <f>Summary!$C$16*Summary!$B$8</f>
        <v/>
      </c>
      <c r="O4868" s="11">
        <f>M4868-N4868</f>
        <v/>
      </c>
    </row>
    <row r="4869">
      <c r="A4869" s="9" t="n">
        <v>45494.79166666666</v>
      </c>
      <c r="B4869" t="n">
        <v>7</v>
      </c>
      <c r="C4869" t="n">
        <v>21</v>
      </c>
      <c r="D4869" t="n">
        <v>19</v>
      </c>
      <c r="E4869" s="10" t="n">
        <v>0.034394</v>
      </c>
      <c r="F4869" s="10" t="n">
        <v>0.1568207896369895</v>
      </c>
      <c r="G4869" s="11">
        <f>E4869*Summary!$B$6</f>
        <v/>
      </c>
      <c r="H4869" s="11">
        <f>F4869*Summary!$B$7</f>
        <v/>
      </c>
      <c r="I4869" s="11">
        <f>MAX(0,N4869-M4869)</f>
        <v/>
      </c>
      <c r="J4869" s="11">
        <f>MAX(0,M4869-N4869)</f>
        <v/>
      </c>
      <c r="K4869" s="11">
        <f>O4869</f>
        <v/>
      </c>
      <c r="L4869" s="11">
        <f>L4868+IF(K4869&gt;0,K4869*Summary!$B$9,K4869/Summary!$B$9)</f>
        <v/>
      </c>
      <c r="M4869" s="11">
        <f>G4869+H4869</f>
        <v/>
      </c>
      <c r="N4869" s="11">
        <f>Summary!$C$16*Summary!$B$8</f>
        <v/>
      </c>
      <c r="O4869" s="11">
        <f>M4869-N4869</f>
        <v/>
      </c>
    </row>
    <row r="4870">
      <c r="A4870" s="9" t="n">
        <v>45494.83333333334</v>
      </c>
      <c r="B4870" t="n">
        <v>7</v>
      </c>
      <c r="C4870" t="n">
        <v>21</v>
      </c>
      <c r="D4870" t="n">
        <v>20</v>
      </c>
      <c r="E4870" s="10" t="n">
        <v>0.002353</v>
      </c>
      <c r="F4870" s="10" t="n">
        <v>0.1689163605399265</v>
      </c>
      <c r="G4870" s="11">
        <f>E4870*Summary!$B$6</f>
        <v/>
      </c>
      <c r="H4870" s="11">
        <f>F4870*Summary!$B$7</f>
        <v/>
      </c>
      <c r="I4870" s="11">
        <f>MAX(0,N4870-M4870)</f>
        <v/>
      </c>
      <c r="J4870" s="11">
        <f>MAX(0,M4870-N4870)</f>
        <v/>
      </c>
      <c r="K4870" s="11">
        <f>O4870</f>
        <v/>
      </c>
      <c r="L4870" s="11">
        <f>L4869+IF(K4870&gt;0,K4870*Summary!$B$9,K4870/Summary!$B$9)</f>
        <v/>
      </c>
      <c r="M4870" s="11">
        <f>G4870+H4870</f>
        <v/>
      </c>
      <c r="N4870" s="11">
        <f>Summary!$C$16*Summary!$B$8</f>
        <v/>
      </c>
      <c r="O4870" s="11">
        <f>M4870-N4870</f>
        <v/>
      </c>
    </row>
    <row r="4871">
      <c r="A4871" s="9" t="n">
        <v>45494.875</v>
      </c>
      <c r="B4871" t="n">
        <v>7</v>
      </c>
      <c r="C4871" t="n">
        <v>21</v>
      </c>
      <c r="D4871" t="n">
        <v>21</v>
      </c>
      <c r="E4871" s="10" t="n">
        <v>0</v>
      </c>
      <c r="F4871" s="10" t="n">
        <v>0.1884959012390163</v>
      </c>
      <c r="G4871" s="11">
        <f>E4871*Summary!$B$6</f>
        <v/>
      </c>
      <c r="H4871" s="11">
        <f>F4871*Summary!$B$7</f>
        <v/>
      </c>
      <c r="I4871" s="11">
        <f>MAX(0,N4871-M4871)</f>
        <v/>
      </c>
      <c r="J4871" s="11">
        <f>MAX(0,M4871-N4871)</f>
        <v/>
      </c>
      <c r="K4871" s="11">
        <f>O4871</f>
        <v/>
      </c>
      <c r="L4871" s="11">
        <f>L4870+IF(K4871&gt;0,K4871*Summary!$B$9,K4871/Summary!$B$9)</f>
        <v/>
      </c>
      <c r="M4871" s="11">
        <f>G4871+H4871</f>
        <v/>
      </c>
      <c r="N4871" s="11">
        <f>Summary!$C$16*Summary!$B$8</f>
        <v/>
      </c>
      <c r="O4871" s="11">
        <f>M4871-N4871</f>
        <v/>
      </c>
    </row>
    <row r="4872">
      <c r="A4872" s="9" t="n">
        <v>45494.91666666666</v>
      </c>
      <c r="B4872" t="n">
        <v>7</v>
      </c>
      <c r="C4872" t="n">
        <v>21</v>
      </c>
      <c r="D4872" t="n">
        <v>22</v>
      </c>
      <c r="E4872" s="10" t="n">
        <v>0</v>
      </c>
      <c r="F4872" s="10" t="n">
        <v>0.2032266727744015</v>
      </c>
      <c r="G4872" s="11">
        <f>E4872*Summary!$B$6</f>
        <v/>
      </c>
      <c r="H4872" s="11">
        <f>F4872*Summary!$B$7</f>
        <v/>
      </c>
      <c r="I4872" s="11">
        <f>MAX(0,N4872-M4872)</f>
        <v/>
      </c>
      <c r="J4872" s="11">
        <f>MAX(0,M4872-N4872)</f>
        <v/>
      </c>
      <c r="K4872" s="11">
        <f>O4872</f>
        <v/>
      </c>
      <c r="L4872" s="11">
        <f>L4871+IF(K4872&gt;0,K4872*Summary!$B$9,K4872/Summary!$B$9)</f>
        <v/>
      </c>
      <c r="M4872" s="11">
        <f>G4872+H4872</f>
        <v/>
      </c>
      <c r="N4872" s="11">
        <f>Summary!$C$16*Summary!$B$8</f>
        <v/>
      </c>
      <c r="O4872" s="11">
        <f>M4872-N4872</f>
        <v/>
      </c>
    </row>
    <row r="4873">
      <c r="A4873" s="9" t="n">
        <v>45494.95833333334</v>
      </c>
      <c r="B4873" t="n">
        <v>7</v>
      </c>
      <c r="C4873" t="n">
        <v>21</v>
      </c>
      <c r="D4873" t="n">
        <v>23</v>
      </c>
      <c r="E4873" s="10" t="n">
        <v>0</v>
      </c>
      <c r="F4873" s="10" t="n">
        <v>0.216718900012536</v>
      </c>
      <c r="G4873" s="11">
        <f>E4873*Summary!$B$6</f>
        <v/>
      </c>
      <c r="H4873" s="11">
        <f>F4873*Summary!$B$7</f>
        <v/>
      </c>
      <c r="I4873" s="11">
        <f>MAX(0,N4873-M4873)</f>
        <v/>
      </c>
      <c r="J4873" s="11">
        <f>MAX(0,M4873-N4873)</f>
        <v/>
      </c>
      <c r="K4873" s="11">
        <f>O4873</f>
        <v/>
      </c>
      <c r="L4873" s="11">
        <f>L4872+IF(K4873&gt;0,K4873*Summary!$B$9,K4873/Summary!$B$9)</f>
        <v/>
      </c>
      <c r="M4873" s="11">
        <f>G4873+H4873</f>
        <v/>
      </c>
      <c r="N4873" s="11">
        <f>Summary!$C$16*Summary!$B$8</f>
        <v/>
      </c>
      <c r="O4873" s="11">
        <f>M4873-N4873</f>
        <v/>
      </c>
    </row>
    <row r="4874">
      <c r="A4874" s="9" t="n">
        <v>45495</v>
      </c>
      <c r="B4874" t="n">
        <v>7</v>
      </c>
      <c r="C4874" t="n">
        <v>22</v>
      </c>
      <c r="D4874" t="n">
        <v>0</v>
      </c>
      <c r="E4874" s="10" t="n">
        <v>0</v>
      </c>
      <c r="F4874" s="10" t="n">
        <v>0.2127924510701882</v>
      </c>
      <c r="G4874" s="11">
        <f>E4874*Summary!$B$6</f>
        <v/>
      </c>
      <c r="H4874" s="11">
        <f>F4874*Summary!$B$7</f>
        <v/>
      </c>
      <c r="I4874" s="11">
        <f>MAX(0,N4874-M4874)</f>
        <v/>
      </c>
      <c r="J4874" s="11">
        <f>MAX(0,M4874-N4874)</f>
        <v/>
      </c>
      <c r="K4874" s="11">
        <f>O4874</f>
        <v/>
      </c>
      <c r="L4874" s="11">
        <f>L4873+IF(K4874&gt;0,K4874*Summary!$B$9,K4874/Summary!$B$9)</f>
        <v/>
      </c>
      <c r="M4874" s="11">
        <f>G4874+H4874</f>
        <v/>
      </c>
      <c r="N4874" s="11">
        <f>Summary!$C$16*Summary!$B$8</f>
        <v/>
      </c>
      <c r="O4874" s="11">
        <f>M4874-N4874</f>
        <v/>
      </c>
    </row>
    <row r="4875">
      <c r="A4875" s="9" t="n">
        <v>45495.04166666666</v>
      </c>
      <c r="B4875" t="n">
        <v>7</v>
      </c>
      <c r="C4875" t="n">
        <v>22</v>
      </c>
      <c r="D4875" t="n">
        <v>1</v>
      </c>
      <c r="E4875" s="10" t="n">
        <v>0</v>
      </c>
      <c r="F4875" s="10" t="n">
        <v>0.2215676691762406</v>
      </c>
      <c r="G4875" s="11">
        <f>E4875*Summary!$B$6</f>
        <v/>
      </c>
      <c r="H4875" s="11">
        <f>F4875*Summary!$B$7</f>
        <v/>
      </c>
      <c r="I4875" s="11">
        <f>MAX(0,N4875-M4875)</f>
        <v/>
      </c>
      <c r="J4875" s="11">
        <f>MAX(0,M4875-N4875)</f>
        <v/>
      </c>
      <c r="K4875" s="11">
        <f>O4875</f>
        <v/>
      </c>
      <c r="L4875" s="11">
        <f>L4874+IF(K4875&gt;0,K4875*Summary!$B$9,K4875/Summary!$B$9)</f>
        <v/>
      </c>
      <c r="M4875" s="11">
        <f>G4875+H4875</f>
        <v/>
      </c>
      <c r="N4875" s="11">
        <f>Summary!$C$16*Summary!$B$8</f>
        <v/>
      </c>
      <c r="O4875" s="11">
        <f>M4875-N4875</f>
        <v/>
      </c>
    </row>
    <row r="4876">
      <c r="A4876" s="9" t="n">
        <v>45495.08333333334</v>
      </c>
      <c r="B4876" t="n">
        <v>7</v>
      </c>
      <c r="C4876" t="n">
        <v>22</v>
      </c>
      <c r="D4876" t="n">
        <v>2</v>
      </c>
      <c r="E4876" s="10" t="n">
        <v>0</v>
      </c>
      <c r="F4876" s="10" t="n">
        <v>0.215243187658365</v>
      </c>
      <c r="G4876" s="11">
        <f>E4876*Summary!$B$6</f>
        <v/>
      </c>
      <c r="H4876" s="11">
        <f>F4876*Summary!$B$7</f>
        <v/>
      </c>
      <c r="I4876" s="11">
        <f>MAX(0,N4876-M4876)</f>
        <v/>
      </c>
      <c r="J4876" s="11">
        <f>MAX(0,M4876-N4876)</f>
        <v/>
      </c>
      <c r="K4876" s="11">
        <f>O4876</f>
        <v/>
      </c>
      <c r="L4876" s="11">
        <f>L4875+IF(K4876&gt;0,K4876*Summary!$B$9,K4876/Summary!$B$9)</f>
        <v/>
      </c>
      <c r="M4876" s="11">
        <f>G4876+H4876</f>
        <v/>
      </c>
      <c r="N4876" s="11">
        <f>Summary!$C$16*Summary!$B$8</f>
        <v/>
      </c>
      <c r="O4876" s="11">
        <f>M4876-N4876</f>
        <v/>
      </c>
    </row>
    <row r="4877">
      <c r="A4877" s="9" t="n">
        <v>45495.125</v>
      </c>
      <c r="B4877" t="n">
        <v>7</v>
      </c>
      <c r="C4877" t="n">
        <v>22</v>
      </c>
      <c r="D4877" t="n">
        <v>3</v>
      </c>
      <c r="E4877" s="10" t="n">
        <v>0</v>
      </c>
      <c r="F4877" s="10" t="n">
        <v>0.2106842905642297</v>
      </c>
      <c r="G4877" s="11">
        <f>E4877*Summary!$B$6</f>
        <v/>
      </c>
      <c r="H4877" s="11">
        <f>F4877*Summary!$B$7</f>
        <v/>
      </c>
      <c r="I4877" s="11">
        <f>MAX(0,N4877-M4877)</f>
        <v/>
      </c>
      <c r="J4877" s="11">
        <f>MAX(0,M4877-N4877)</f>
        <v/>
      </c>
      <c r="K4877" s="11">
        <f>O4877</f>
        <v/>
      </c>
      <c r="L4877" s="11">
        <f>L4876+IF(K4877&gt;0,K4877*Summary!$B$9,K4877/Summary!$B$9)</f>
        <v/>
      </c>
      <c r="M4877" s="11">
        <f>G4877+H4877</f>
        <v/>
      </c>
      <c r="N4877" s="11">
        <f>Summary!$C$16*Summary!$B$8</f>
        <v/>
      </c>
      <c r="O4877" s="11">
        <f>M4877-N4877</f>
        <v/>
      </c>
    </row>
    <row r="4878">
      <c r="A4878" s="9" t="n">
        <v>45495.16666666666</v>
      </c>
      <c r="B4878" t="n">
        <v>7</v>
      </c>
      <c r="C4878" t="n">
        <v>22</v>
      </c>
      <c r="D4878" t="n">
        <v>4</v>
      </c>
      <c r="E4878" s="10" t="n">
        <v>0.005199</v>
      </c>
      <c r="F4878" s="10" t="n">
        <v>0.2022516485403956</v>
      </c>
      <c r="G4878" s="11">
        <f>E4878*Summary!$B$6</f>
        <v/>
      </c>
      <c r="H4878" s="11">
        <f>F4878*Summary!$B$7</f>
        <v/>
      </c>
      <c r="I4878" s="11">
        <f>MAX(0,N4878-M4878)</f>
        <v/>
      </c>
      <c r="J4878" s="11">
        <f>MAX(0,M4878-N4878)</f>
        <v/>
      </c>
      <c r="K4878" s="11">
        <f>O4878</f>
        <v/>
      </c>
      <c r="L4878" s="11">
        <f>L4877+IF(K4878&gt;0,K4878*Summary!$B$9,K4878/Summary!$B$9)</f>
        <v/>
      </c>
      <c r="M4878" s="11">
        <f>G4878+H4878</f>
        <v/>
      </c>
      <c r="N4878" s="11">
        <f>Summary!$C$16*Summary!$B$8</f>
        <v/>
      </c>
      <c r="O4878" s="11">
        <f>M4878-N4878</f>
        <v/>
      </c>
    </row>
    <row r="4879">
      <c r="A4879" s="9" t="n">
        <v>45495.20833333334</v>
      </c>
      <c r="B4879" t="n">
        <v>7</v>
      </c>
      <c r="C4879" t="n">
        <v>22</v>
      </c>
      <c r="D4879" t="n">
        <v>5</v>
      </c>
      <c r="E4879" s="10" t="n">
        <v>0.054626</v>
      </c>
      <c r="F4879" s="10" t="n">
        <v>0.1823822357717366</v>
      </c>
      <c r="G4879" s="11">
        <f>E4879*Summary!$B$6</f>
        <v/>
      </c>
      <c r="H4879" s="11">
        <f>F4879*Summary!$B$7</f>
        <v/>
      </c>
      <c r="I4879" s="11">
        <f>MAX(0,N4879-M4879)</f>
        <v/>
      </c>
      <c r="J4879" s="11">
        <f>MAX(0,M4879-N4879)</f>
        <v/>
      </c>
      <c r="K4879" s="11">
        <f>O4879</f>
        <v/>
      </c>
      <c r="L4879" s="11">
        <f>L4878+IF(K4879&gt;0,K4879*Summary!$B$9,K4879/Summary!$B$9)</f>
        <v/>
      </c>
      <c r="M4879" s="11">
        <f>G4879+H4879</f>
        <v/>
      </c>
      <c r="N4879" s="11">
        <f>Summary!$C$16*Summary!$B$8</f>
        <v/>
      </c>
      <c r="O4879" s="11">
        <f>M4879-N4879</f>
        <v/>
      </c>
    </row>
    <row r="4880">
      <c r="A4880" s="9" t="n">
        <v>45495.25</v>
      </c>
      <c r="B4880" t="n">
        <v>7</v>
      </c>
      <c r="C4880" t="n">
        <v>22</v>
      </c>
      <c r="D4880" t="n">
        <v>6</v>
      </c>
      <c r="E4880" s="10" t="n">
        <v>0.134083</v>
      </c>
      <c r="F4880" s="10" t="n">
        <v>0.1648054475533074</v>
      </c>
      <c r="G4880" s="11">
        <f>E4880*Summary!$B$6</f>
        <v/>
      </c>
      <c r="H4880" s="11">
        <f>F4880*Summary!$B$7</f>
        <v/>
      </c>
      <c r="I4880" s="11">
        <f>MAX(0,N4880-M4880)</f>
        <v/>
      </c>
      <c r="J4880" s="11">
        <f>MAX(0,M4880-N4880)</f>
        <v/>
      </c>
      <c r="K4880" s="11">
        <f>O4880</f>
        <v/>
      </c>
      <c r="L4880" s="11">
        <f>L4879+IF(K4880&gt;0,K4880*Summary!$B$9,K4880/Summary!$B$9)</f>
        <v/>
      </c>
      <c r="M4880" s="11">
        <f>G4880+H4880</f>
        <v/>
      </c>
      <c r="N4880" s="11">
        <f>Summary!$C$16*Summary!$B$8</f>
        <v/>
      </c>
      <c r="O4880" s="11">
        <f>M4880-N4880</f>
        <v/>
      </c>
    </row>
    <row r="4881">
      <c r="A4881" s="9" t="n">
        <v>45495.29166666666</v>
      </c>
      <c r="B4881" t="n">
        <v>7</v>
      </c>
      <c r="C4881" t="n">
        <v>22</v>
      </c>
      <c r="D4881" t="n">
        <v>7</v>
      </c>
      <c r="E4881" s="10" t="n">
        <v>0.282099</v>
      </c>
      <c r="F4881" s="10" t="n">
        <v>0.154712629131031</v>
      </c>
      <c r="G4881" s="11">
        <f>E4881*Summary!$B$6</f>
        <v/>
      </c>
      <c r="H4881" s="11">
        <f>F4881*Summary!$B$7</f>
        <v/>
      </c>
      <c r="I4881" s="11">
        <f>MAX(0,N4881-M4881)</f>
        <v/>
      </c>
      <c r="J4881" s="11">
        <f>MAX(0,M4881-N4881)</f>
        <v/>
      </c>
      <c r="K4881" s="11">
        <f>O4881</f>
        <v/>
      </c>
      <c r="L4881" s="11">
        <f>L4880+IF(K4881&gt;0,K4881*Summary!$B$9,K4881/Summary!$B$9)</f>
        <v/>
      </c>
      <c r="M4881" s="11">
        <f>G4881+H4881</f>
        <v/>
      </c>
      <c r="N4881" s="11">
        <f>Summary!$C$16*Summary!$B$8</f>
        <v/>
      </c>
      <c r="O4881" s="11">
        <f>M4881-N4881</f>
        <v/>
      </c>
    </row>
    <row r="4882">
      <c r="A4882" s="9" t="n">
        <v>45495.33333333334</v>
      </c>
      <c r="B4882" t="n">
        <v>7</v>
      </c>
      <c r="C4882" t="n">
        <v>22</v>
      </c>
      <c r="D4882" t="n">
        <v>8</v>
      </c>
      <c r="E4882" s="10" t="n">
        <v>0.424651</v>
      </c>
      <c r="F4882" s="10" t="n">
        <v>0.1538430129223231</v>
      </c>
      <c r="G4882" s="11">
        <f>E4882*Summary!$B$6</f>
        <v/>
      </c>
      <c r="H4882" s="11">
        <f>F4882*Summary!$B$7</f>
        <v/>
      </c>
      <c r="I4882" s="11">
        <f>MAX(0,N4882-M4882)</f>
        <v/>
      </c>
      <c r="J4882" s="11">
        <f>MAX(0,M4882-N4882)</f>
        <v/>
      </c>
      <c r="K4882" s="11">
        <f>O4882</f>
        <v/>
      </c>
      <c r="L4882" s="11">
        <f>L4881+IF(K4882&gt;0,K4882*Summary!$B$9,K4882/Summary!$B$9)</f>
        <v/>
      </c>
      <c r="M4882" s="11">
        <f>G4882+H4882</f>
        <v/>
      </c>
      <c r="N4882" s="11">
        <f>Summary!$C$16*Summary!$B$8</f>
        <v/>
      </c>
      <c r="O4882" s="11">
        <f>M4882-N4882</f>
        <v/>
      </c>
    </row>
    <row r="4883">
      <c r="A4883" s="9" t="n">
        <v>45495.375</v>
      </c>
      <c r="B4883" t="n">
        <v>7</v>
      </c>
      <c r="C4883" t="n">
        <v>22</v>
      </c>
      <c r="D4883" t="n">
        <v>9</v>
      </c>
      <c r="E4883" s="10" t="n">
        <v>0.635787</v>
      </c>
      <c r="F4883" s="10" t="n">
        <v>0.1663075119138029</v>
      </c>
      <c r="G4883" s="11">
        <f>E4883*Summary!$B$6</f>
        <v/>
      </c>
      <c r="H4883" s="11">
        <f>F4883*Summary!$B$7</f>
        <v/>
      </c>
      <c r="I4883" s="11">
        <f>MAX(0,N4883-M4883)</f>
        <v/>
      </c>
      <c r="J4883" s="11">
        <f>MAX(0,M4883-N4883)</f>
        <v/>
      </c>
      <c r="K4883" s="11">
        <f>O4883</f>
        <v/>
      </c>
      <c r="L4883" s="11">
        <f>L4882+IF(K4883&gt;0,K4883*Summary!$B$9,K4883/Summary!$B$9)</f>
        <v/>
      </c>
      <c r="M4883" s="11">
        <f>G4883+H4883</f>
        <v/>
      </c>
      <c r="N4883" s="11">
        <f>Summary!$C$16*Summary!$B$8</f>
        <v/>
      </c>
      <c r="O4883" s="11">
        <f>M4883-N4883</f>
        <v/>
      </c>
    </row>
    <row r="4884">
      <c r="A4884" s="9" t="n">
        <v>45495.41666666666</v>
      </c>
      <c r="B4884" t="n">
        <v>7</v>
      </c>
      <c r="C4884" t="n">
        <v>22</v>
      </c>
      <c r="D4884" t="n">
        <v>10</v>
      </c>
      <c r="E4884" s="10" t="n">
        <v>0.75132</v>
      </c>
      <c r="F4884" s="10" t="n">
        <v>0.1809592274302146</v>
      </c>
      <c r="G4884" s="11">
        <f>E4884*Summary!$B$6</f>
        <v/>
      </c>
      <c r="H4884" s="11">
        <f>F4884*Summary!$B$7</f>
        <v/>
      </c>
      <c r="I4884" s="11">
        <f>MAX(0,N4884-M4884)</f>
        <v/>
      </c>
      <c r="J4884" s="11">
        <f>MAX(0,M4884-N4884)</f>
        <v/>
      </c>
      <c r="K4884" s="11">
        <f>O4884</f>
        <v/>
      </c>
      <c r="L4884" s="11">
        <f>L4883+IF(K4884&gt;0,K4884*Summary!$B$9,K4884/Summary!$B$9)</f>
        <v/>
      </c>
      <c r="M4884" s="11">
        <f>G4884+H4884</f>
        <v/>
      </c>
      <c r="N4884" s="11">
        <f>Summary!$C$16*Summary!$B$8</f>
        <v/>
      </c>
      <c r="O4884" s="11">
        <f>M4884-N4884</f>
        <v/>
      </c>
    </row>
    <row r="4885">
      <c r="A4885" s="9" t="n">
        <v>45495.45833333334</v>
      </c>
      <c r="B4885" t="n">
        <v>7</v>
      </c>
      <c r="C4885" t="n">
        <v>22</v>
      </c>
      <c r="D4885" t="n">
        <v>11</v>
      </c>
      <c r="E4885" s="10" t="n">
        <v>0.615857</v>
      </c>
      <c r="F4885" s="10" t="n">
        <v>0.1906567657576238</v>
      </c>
      <c r="G4885" s="11">
        <f>E4885*Summary!$B$6</f>
        <v/>
      </c>
      <c r="H4885" s="11">
        <f>F4885*Summary!$B$7</f>
        <v/>
      </c>
      <c r="I4885" s="11">
        <f>MAX(0,N4885-M4885)</f>
        <v/>
      </c>
      <c r="J4885" s="11">
        <f>MAX(0,M4885-N4885)</f>
        <v/>
      </c>
      <c r="K4885" s="11">
        <f>O4885</f>
        <v/>
      </c>
      <c r="L4885" s="11">
        <f>L4884+IF(K4885&gt;0,K4885*Summary!$B$9,K4885/Summary!$B$9)</f>
        <v/>
      </c>
      <c r="M4885" s="11">
        <f>G4885+H4885</f>
        <v/>
      </c>
      <c r="N4885" s="11">
        <f>Summary!$C$16*Summary!$B$8</f>
        <v/>
      </c>
      <c r="O4885" s="11">
        <f>M4885-N4885</f>
        <v/>
      </c>
    </row>
    <row r="4886">
      <c r="A4886" s="9" t="n">
        <v>45495.5</v>
      </c>
      <c r="B4886" t="n">
        <v>7</v>
      </c>
      <c r="C4886" t="n">
        <v>22</v>
      </c>
      <c r="D4886" t="n">
        <v>12</v>
      </c>
      <c r="E4886" s="10" t="n">
        <v>0.639929</v>
      </c>
      <c r="F4886" s="10" t="n">
        <v>0.2005387681293044</v>
      </c>
      <c r="G4886" s="11">
        <f>E4886*Summary!$B$6</f>
        <v/>
      </c>
      <c r="H4886" s="11">
        <f>F4886*Summary!$B$7</f>
        <v/>
      </c>
      <c r="I4886" s="11">
        <f>MAX(0,N4886-M4886)</f>
        <v/>
      </c>
      <c r="J4886" s="11">
        <f>MAX(0,M4886-N4886)</f>
        <v/>
      </c>
      <c r="K4886" s="11">
        <f>O4886</f>
        <v/>
      </c>
      <c r="L4886" s="11">
        <f>L4885+IF(K4886&gt;0,K4886*Summary!$B$9,K4886/Summary!$B$9)</f>
        <v/>
      </c>
      <c r="M4886" s="11">
        <f>G4886+H4886</f>
        <v/>
      </c>
      <c r="N4886" s="11">
        <f>Summary!$C$16*Summary!$B$8</f>
        <v/>
      </c>
      <c r="O4886" s="11">
        <f>M4886-N4886</f>
        <v/>
      </c>
    </row>
    <row r="4887">
      <c r="A4887" s="9" t="n">
        <v>45495.54166666666</v>
      </c>
      <c r="B4887" t="n">
        <v>7</v>
      </c>
      <c r="C4887" t="n">
        <v>22</v>
      </c>
      <c r="D4887" t="n">
        <v>13</v>
      </c>
      <c r="E4887" s="10" t="n">
        <v>0.350509</v>
      </c>
      <c r="F4887" s="10" t="n">
        <v>0.2074429937863185</v>
      </c>
      <c r="G4887" s="11">
        <f>E4887*Summary!$B$6</f>
        <v/>
      </c>
      <c r="H4887" s="11">
        <f>F4887*Summary!$B$7</f>
        <v/>
      </c>
      <c r="I4887" s="11">
        <f>MAX(0,N4887-M4887)</f>
        <v/>
      </c>
      <c r="J4887" s="11">
        <f>MAX(0,M4887-N4887)</f>
        <v/>
      </c>
      <c r="K4887" s="11">
        <f>O4887</f>
        <v/>
      </c>
      <c r="L4887" s="11">
        <f>L4886+IF(K4887&gt;0,K4887*Summary!$B$9,K4887/Summary!$B$9)</f>
        <v/>
      </c>
      <c r="M4887" s="11">
        <f>G4887+H4887</f>
        <v/>
      </c>
      <c r="N4887" s="11">
        <f>Summary!$C$16*Summary!$B$8</f>
        <v/>
      </c>
      <c r="O4887" s="11">
        <f>M4887-N4887</f>
        <v/>
      </c>
    </row>
    <row r="4888">
      <c r="A4888" s="9" t="n">
        <v>45495.58333333334</v>
      </c>
      <c r="B4888" t="n">
        <v>7</v>
      </c>
      <c r="C4888" t="n">
        <v>22</v>
      </c>
      <c r="D4888" t="n">
        <v>14</v>
      </c>
      <c r="E4888" s="10" t="n">
        <v>0.664233</v>
      </c>
      <c r="F4888" s="10" t="n">
        <v>0.2112640347033683</v>
      </c>
      <c r="G4888" s="11">
        <f>E4888*Summary!$B$6</f>
        <v/>
      </c>
      <c r="H4888" s="11">
        <f>F4888*Summary!$B$7</f>
        <v/>
      </c>
      <c r="I4888" s="11">
        <f>MAX(0,N4888-M4888)</f>
        <v/>
      </c>
      <c r="J4888" s="11">
        <f>MAX(0,M4888-N4888)</f>
        <v/>
      </c>
      <c r="K4888" s="11">
        <f>O4888</f>
        <v/>
      </c>
      <c r="L4888" s="11">
        <f>L4887+IF(K4888&gt;0,K4888*Summary!$B$9,K4888/Summary!$B$9)</f>
        <v/>
      </c>
      <c r="M4888" s="11">
        <f>G4888+H4888</f>
        <v/>
      </c>
      <c r="N4888" s="11">
        <f>Summary!$C$16*Summary!$B$8</f>
        <v/>
      </c>
      <c r="O4888" s="11">
        <f>M4888-N4888</f>
        <v/>
      </c>
    </row>
    <row r="4889">
      <c r="A4889" s="9" t="n">
        <v>45495.625</v>
      </c>
      <c r="B4889" t="n">
        <v>7</v>
      </c>
      <c r="C4889" t="n">
        <v>22</v>
      </c>
      <c r="D4889" t="n">
        <v>15</v>
      </c>
      <c r="E4889" s="10" t="n">
        <v>0.563398</v>
      </c>
      <c r="F4889" s="10" t="n">
        <v>0.2124762269942945</v>
      </c>
      <c r="G4889" s="11">
        <f>E4889*Summary!$B$6</f>
        <v/>
      </c>
      <c r="H4889" s="11">
        <f>F4889*Summary!$B$7</f>
        <v/>
      </c>
      <c r="I4889" s="11">
        <f>MAX(0,N4889-M4889)</f>
        <v/>
      </c>
      <c r="J4889" s="11">
        <f>MAX(0,M4889-N4889)</f>
        <v/>
      </c>
      <c r="K4889" s="11">
        <f>O4889</f>
        <v/>
      </c>
      <c r="L4889" s="11">
        <f>L4888+IF(K4889&gt;0,K4889*Summary!$B$9,K4889/Summary!$B$9)</f>
        <v/>
      </c>
      <c r="M4889" s="11">
        <f>G4889+H4889</f>
        <v/>
      </c>
      <c r="N4889" s="11">
        <f>Summary!$C$16*Summary!$B$8</f>
        <v/>
      </c>
      <c r="O4889" s="11">
        <f>M4889-N4889</f>
        <v/>
      </c>
    </row>
    <row r="4890">
      <c r="A4890" s="9" t="n">
        <v>45495.66666666666</v>
      </c>
      <c r="B4890" t="n">
        <v>7</v>
      </c>
      <c r="C4890" t="n">
        <v>22</v>
      </c>
      <c r="D4890" t="n">
        <v>16</v>
      </c>
      <c r="E4890" s="10" t="n">
        <v>0.235452</v>
      </c>
      <c r="F4890" s="10" t="n">
        <v>0.2107896985895276</v>
      </c>
      <c r="G4890" s="11">
        <f>E4890*Summary!$B$6</f>
        <v/>
      </c>
      <c r="H4890" s="11">
        <f>F4890*Summary!$B$7</f>
        <v/>
      </c>
      <c r="I4890" s="11">
        <f>MAX(0,N4890-M4890)</f>
        <v/>
      </c>
      <c r="J4890" s="11">
        <f>MAX(0,M4890-N4890)</f>
        <v/>
      </c>
      <c r="K4890" s="11">
        <f>O4890</f>
        <v/>
      </c>
      <c r="L4890" s="11">
        <f>L4889+IF(K4890&gt;0,K4890*Summary!$B$9,K4890/Summary!$B$9)</f>
        <v/>
      </c>
      <c r="M4890" s="11">
        <f>G4890+H4890</f>
        <v/>
      </c>
      <c r="N4890" s="11">
        <f>Summary!$C$16*Summary!$B$8</f>
        <v/>
      </c>
      <c r="O4890" s="11">
        <f>M4890-N4890</f>
        <v/>
      </c>
    </row>
    <row r="4891">
      <c r="A4891" s="9" t="n">
        <v>45495.70833333334</v>
      </c>
      <c r="B4891" t="n">
        <v>7</v>
      </c>
      <c r="C4891" t="n">
        <v>22</v>
      </c>
      <c r="D4891" t="n">
        <v>17</v>
      </c>
      <c r="E4891" s="10" t="n">
        <v>0.123851</v>
      </c>
      <c r="F4891" s="10" t="n">
        <v>0.2015664963759591</v>
      </c>
      <c r="G4891" s="11">
        <f>E4891*Summary!$B$6</f>
        <v/>
      </c>
      <c r="H4891" s="11">
        <f>F4891*Summary!$B$7</f>
        <v/>
      </c>
      <c r="I4891" s="11">
        <f>MAX(0,N4891-M4891)</f>
        <v/>
      </c>
      <c r="J4891" s="11">
        <f>MAX(0,M4891-N4891)</f>
        <v/>
      </c>
      <c r="K4891" s="11">
        <f>O4891</f>
        <v/>
      </c>
      <c r="L4891" s="11">
        <f>L4890+IF(K4891&gt;0,K4891*Summary!$B$9,K4891/Summary!$B$9)</f>
        <v/>
      </c>
      <c r="M4891" s="11">
        <f>G4891+H4891</f>
        <v/>
      </c>
      <c r="N4891" s="11">
        <f>Summary!$C$16*Summary!$B$8</f>
        <v/>
      </c>
      <c r="O4891" s="11">
        <f>M4891-N4891</f>
        <v/>
      </c>
    </row>
    <row r="4892">
      <c r="A4892" s="9" t="n">
        <v>45495.75</v>
      </c>
      <c r="B4892" t="n">
        <v>7</v>
      </c>
      <c r="C4892" t="n">
        <v>22</v>
      </c>
      <c r="D4892" t="n">
        <v>18</v>
      </c>
      <c r="E4892" s="10" t="n">
        <v>0.052703</v>
      </c>
      <c r="F4892" s="10" t="n">
        <v>0.1925014062003375</v>
      </c>
      <c r="G4892" s="11">
        <f>E4892*Summary!$B$6</f>
        <v/>
      </c>
      <c r="H4892" s="11">
        <f>F4892*Summary!$B$7</f>
        <v/>
      </c>
      <c r="I4892" s="11">
        <f>MAX(0,N4892-M4892)</f>
        <v/>
      </c>
      <c r="J4892" s="11">
        <f>MAX(0,M4892-N4892)</f>
        <v/>
      </c>
      <c r="K4892" s="11">
        <f>O4892</f>
        <v/>
      </c>
      <c r="L4892" s="11">
        <f>L4891+IF(K4892&gt;0,K4892*Summary!$B$9,K4892/Summary!$B$9)</f>
        <v/>
      </c>
      <c r="M4892" s="11">
        <f>G4892+H4892</f>
        <v/>
      </c>
      <c r="N4892" s="11">
        <f>Summary!$C$16*Summary!$B$8</f>
        <v/>
      </c>
      <c r="O4892" s="11">
        <f>M4892-N4892</f>
        <v/>
      </c>
    </row>
    <row r="4893">
      <c r="A4893" s="9" t="n">
        <v>45495.79166666666</v>
      </c>
      <c r="B4893" t="n">
        <v>7</v>
      </c>
      <c r="C4893" t="n">
        <v>22</v>
      </c>
      <c r="D4893" t="n">
        <v>19</v>
      </c>
      <c r="E4893" s="10" t="n">
        <v>0.025522</v>
      </c>
      <c r="F4893" s="10" t="n">
        <v>0.1856498845559723</v>
      </c>
      <c r="G4893" s="11">
        <f>E4893*Summary!$B$6</f>
        <v/>
      </c>
      <c r="H4893" s="11">
        <f>F4893*Summary!$B$7</f>
        <v/>
      </c>
      <c r="I4893" s="11">
        <f>MAX(0,N4893-M4893)</f>
        <v/>
      </c>
      <c r="J4893" s="11">
        <f>MAX(0,M4893-N4893)</f>
        <v/>
      </c>
      <c r="K4893" s="11">
        <f>O4893</f>
        <v/>
      </c>
      <c r="L4893" s="11">
        <f>L4892+IF(K4893&gt;0,K4893*Summary!$B$9,K4893/Summary!$B$9)</f>
        <v/>
      </c>
      <c r="M4893" s="11">
        <f>G4893+H4893</f>
        <v/>
      </c>
      <c r="N4893" s="11">
        <f>Summary!$C$16*Summary!$B$8</f>
        <v/>
      </c>
      <c r="O4893" s="11">
        <f>M4893-N4893</f>
        <v/>
      </c>
    </row>
    <row r="4894">
      <c r="A4894" s="9" t="n">
        <v>45495.83333333334</v>
      </c>
      <c r="B4894" t="n">
        <v>7</v>
      </c>
      <c r="C4894" t="n">
        <v>22</v>
      </c>
      <c r="D4894" t="n">
        <v>20</v>
      </c>
      <c r="E4894" s="10" t="n">
        <v>0</v>
      </c>
      <c r="F4894" s="10" t="n">
        <v>0.1918689580485499</v>
      </c>
      <c r="G4894" s="11">
        <f>E4894*Summary!$B$6</f>
        <v/>
      </c>
      <c r="H4894" s="11">
        <f>F4894*Summary!$B$7</f>
        <v/>
      </c>
      <c r="I4894" s="11">
        <f>MAX(0,N4894-M4894)</f>
        <v/>
      </c>
      <c r="J4894" s="11">
        <f>MAX(0,M4894-N4894)</f>
        <v/>
      </c>
      <c r="K4894" s="11">
        <f>O4894</f>
        <v/>
      </c>
      <c r="L4894" s="11">
        <f>L4893+IF(K4894&gt;0,K4894*Summary!$B$9,K4894/Summary!$B$9)</f>
        <v/>
      </c>
      <c r="M4894" s="11">
        <f>G4894+H4894</f>
        <v/>
      </c>
      <c r="N4894" s="11">
        <f>Summary!$C$16*Summary!$B$8</f>
        <v/>
      </c>
      <c r="O4894" s="11">
        <f>M4894-N4894</f>
        <v/>
      </c>
    </row>
    <row r="4895">
      <c r="A4895" s="9" t="n">
        <v>45495.875</v>
      </c>
      <c r="B4895" t="n">
        <v>7</v>
      </c>
      <c r="C4895" t="n">
        <v>22</v>
      </c>
      <c r="D4895" t="n">
        <v>21</v>
      </c>
      <c r="E4895" s="10" t="n">
        <v>0</v>
      </c>
      <c r="F4895" s="10" t="n">
        <v>0.2002225440534106</v>
      </c>
      <c r="G4895" s="11">
        <f>E4895*Summary!$B$6</f>
        <v/>
      </c>
      <c r="H4895" s="11">
        <f>F4895*Summary!$B$7</f>
        <v/>
      </c>
      <c r="I4895" s="11">
        <f>MAX(0,N4895-M4895)</f>
        <v/>
      </c>
      <c r="J4895" s="11">
        <f>MAX(0,M4895-N4895)</f>
        <v/>
      </c>
      <c r="K4895" s="11">
        <f>O4895</f>
        <v/>
      </c>
      <c r="L4895" s="11">
        <f>L4894+IF(K4895&gt;0,K4895*Summary!$B$9,K4895/Summary!$B$9)</f>
        <v/>
      </c>
      <c r="M4895" s="11">
        <f>G4895+H4895</f>
        <v/>
      </c>
      <c r="N4895" s="11">
        <f>Summary!$C$16*Summary!$B$8</f>
        <v/>
      </c>
      <c r="O4895" s="11">
        <f>M4895-N4895</f>
        <v/>
      </c>
    </row>
    <row r="4896">
      <c r="A4896" s="9" t="n">
        <v>45495.91666666666</v>
      </c>
      <c r="B4896" t="n">
        <v>7</v>
      </c>
      <c r="C4896" t="n">
        <v>22</v>
      </c>
      <c r="D4896" t="n">
        <v>22</v>
      </c>
      <c r="E4896" s="10" t="n">
        <v>0</v>
      </c>
      <c r="F4896" s="10" t="n">
        <v>0.2040962889831094</v>
      </c>
      <c r="G4896" s="11">
        <f>E4896*Summary!$B$6</f>
        <v/>
      </c>
      <c r="H4896" s="11">
        <f>F4896*Summary!$B$7</f>
        <v/>
      </c>
      <c r="I4896" s="11">
        <f>MAX(0,N4896-M4896)</f>
        <v/>
      </c>
      <c r="J4896" s="11">
        <f>MAX(0,M4896-N4896)</f>
        <v/>
      </c>
      <c r="K4896" s="11">
        <f>O4896</f>
        <v/>
      </c>
      <c r="L4896" s="11">
        <f>L4895+IF(K4896&gt;0,K4896*Summary!$B$9,K4896/Summary!$B$9)</f>
        <v/>
      </c>
      <c r="M4896" s="11">
        <f>G4896+H4896</f>
        <v/>
      </c>
      <c r="N4896" s="11">
        <f>Summary!$C$16*Summary!$B$8</f>
        <v/>
      </c>
      <c r="O4896" s="11">
        <f>M4896-N4896</f>
        <v/>
      </c>
    </row>
    <row r="4897">
      <c r="A4897" s="9" t="n">
        <v>45495.95833333334</v>
      </c>
      <c r="B4897" t="n">
        <v>7</v>
      </c>
      <c r="C4897" t="n">
        <v>22</v>
      </c>
      <c r="D4897" t="n">
        <v>23</v>
      </c>
      <c r="E4897" s="10" t="n">
        <v>0</v>
      </c>
      <c r="F4897" s="10" t="n">
        <v>0.2267590144221635</v>
      </c>
      <c r="G4897" s="11">
        <f>E4897*Summary!$B$6</f>
        <v/>
      </c>
      <c r="H4897" s="11">
        <f>F4897*Summary!$B$7</f>
        <v/>
      </c>
      <c r="I4897" s="11">
        <f>MAX(0,N4897-M4897)</f>
        <v/>
      </c>
      <c r="J4897" s="11">
        <f>MAX(0,M4897-N4897)</f>
        <v/>
      </c>
      <c r="K4897" s="11">
        <f>O4897</f>
        <v/>
      </c>
      <c r="L4897" s="11">
        <f>L4896+IF(K4897&gt;0,K4897*Summary!$B$9,K4897/Summary!$B$9)</f>
        <v/>
      </c>
      <c r="M4897" s="11">
        <f>G4897+H4897</f>
        <v/>
      </c>
      <c r="N4897" s="11">
        <f>Summary!$C$16*Summary!$B$8</f>
        <v/>
      </c>
      <c r="O4897" s="11">
        <f>M4897-N4897</f>
        <v/>
      </c>
    </row>
    <row r="4898">
      <c r="A4898" s="9" t="n">
        <v>45496</v>
      </c>
      <c r="B4898" t="n">
        <v>7</v>
      </c>
      <c r="C4898" t="n">
        <v>23</v>
      </c>
      <c r="D4898" t="n">
        <v>0</v>
      </c>
      <c r="E4898" s="10" t="n">
        <v>0</v>
      </c>
      <c r="F4898" s="10" t="n">
        <v>0.1379264011023363</v>
      </c>
      <c r="G4898" s="11">
        <f>E4898*Summary!$B$6</f>
        <v/>
      </c>
      <c r="H4898" s="11">
        <f>F4898*Summary!$B$7</f>
        <v/>
      </c>
      <c r="I4898" s="11">
        <f>MAX(0,N4898-M4898)</f>
        <v/>
      </c>
      <c r="J4898" s="11">
        <f>MAX(0,M4898-N4898)</f>
        <v/>
      </c>
      <c r="K4898" s="11">
        <f>O4898</f>
        <v/>
      </c>
      <c r="L4898" s="11">
        <f>L4897+IF(K4898&gt;0,K4898*Summary!$B$9,K4898/Summary!$B$9)</f>
        <v/>
      </c>
      <c r="M4898" s="11">
        <f>G4898+H4898</f>
        <v/>
      </c>
      <c r="N4898" s="11">
        <f>Summary!$C$16*Summary!$B$8</f>
        <v/>
      </c>
      <c r="O4898" s="11">
        <f>M4898-N4898</f>
        <v/>
      </c>
    </row>
    <row r="4899">
      <c r="A4899" s="9" t="n">
        <v>45496.04166666666</v>
      </c>
      <c r="B4899" t="n">
        <v>7</v>
      </c>
      <c r="C4899" t="n">
        <v>23</v>
      </c>
      <c r="D4899" t="n">
        <v>1</v>
      </c>
      <c r="E4899" s="10" t="n">
        <v>0</v>
      </c>
      <c r="F4899" s="10" t="n">
        <v>0.1907885257892462</v>
      </c>
      <c r="G4899" s="11">
        <f>E4899*Summary!$B$6</f>
        <v/>
      </c>
      <c r="H4899" s="11">
        <f>F4899*Summary!$B$7</f>
        <v/>
      </c>
      <c r="I4899" s="11">
        <f>MAX(0,N4899-M4899)</f>
        <v/>
      </c>
      <c r="J4899" s="11">
        <f>MAX(0,M4899-N4899)</f>
        <v/>
      </c>
      <c r="K4899" s="11">
        <f>O4899</f>
        <v/>
      </c>
      <c r="L4899" s="11">
        <f>L4898+IF(K4899&gt;0,K4899*Summary!$B$9,K4899/Summary!$B$9)</f>
        <v/>
      </c>
      <c r="M4899" s="11">
        <f>G4899+H4899</f>
        <v/>
      </c>
      <c r="N4899" s="11">
        <f>Summary!$C$16*Summary!$B$8</f>
        <v/>
      </c>
      <c r="O4899" s="11">
        <f>M4899-N4899</f>
        <v/>
      </c>
    </row>
    <row r="4900">
      <c r="A4900" s="9" t="n">
        <v>45496.08333333334</v>
      </c>
      <c r="B4900" t="n">
        <v>7</v>
      </c>
      <c r="C4900" t="n">
        <v>23</v>
      </c>
      <c r="D4900" t="n">
        <v>2</v>
      </c>
      <c r="E4900" s="10" t="n">
        <v>0</v>
      </c>
      <c r="F4900" s="10" t="n">
        <v>0.1836471320753117</v>
      </c>
      <c r="G4900" s="11">
        <f>E4900*Summary!$B$6</f>
        <v/>
      </c>
      <c r="H4900" s="11">
        <f>F4900*Summary!$B$7</f>
        <v/>
      </c>
      <c r="I4900" s="11">
        <f>MAX(0,N4900-M4900)</f>
        <v/>
      </c>
      <c r="J4900" s="11">
        <f>MAX(0,M4900-N4900)</f>
        <v/>
      </c>
      <c r="K4900" s="11">
        <f>O4900</f>
        <v/>
      </c>
      <c r="L4900" s="11">
        <f>L4899+IF(K4900&gt;0,K4900*Summary!$B$9,K4900/Summary!$B$9)</f>
        <v/>
      </c>
      <c r="M4900" s="11">
        <f>G4900+H4900</f>
        <v/>
      </c>
      <c r="N4900" s="11">
        <f>Summary!$C$16*Summary!$B$8</f>
        <v/>
      </c>
      <c r="O4900" s="11">
        <f>M4900-N4900</f>
        <v/>
      </c>
    </row>
    <row r="4901">
      <c r="A4901" s="9" t="n">
        <v>45496.125</v>
      </c>
      <c r="B4901" t="n">
        <v>7</v>
      </c>
      <c r="C4901" t="n">
        <v>23</v>
      </c>
      <c r="D4901" t="n">
        <v>3</v>
      </c>
      <c r="E4901" s="10" t="n">
        <v>0</v>
      </c>
      <c r="F4901" s="10" t="n">
        <v>0.1736597216783332</v>
      </c>
      <c r="G4901" s="11">
        <f>E4901*Summary!$B$6</f>
        <v/>
      </c>
      <c r="H4901" s="11">
        <f>F4901*Summary!$B$7</f>
        <v/>
      </c>
      <c r="I4901" s="11">
        <f>MAX(0,N4901-M4901)</f>
        <v/>
      </c>
      <c r="J4901" s="11">
        <f>MAX(0,M4901-N4901)</f>
        <v/>
      </c>
      <c r="K4901" s="11">
        <f>O4901</f>
        <v/>
      </c>
      <c r="L4901" s="11">
        <f>L4900+IF(K4901&gt;0,K4901*Summary!$B$9,K4901/Summary!$B$9)</f>
        <v/>
      </c>
      <c r="M4901" s="11">
        <f>G4901+H4901</f>
        <v/>
      </c>
      <c r="N4901" s="11">
        <f>Summary!$C$16*Summary!$B$8</f>
        <v/>
      </c>
      <c r="O4901" s="11">
        <f>M4901-N4901</f>
        <v/>
      </c>
    </row>
    <row r="4902">
      <c r="A4902" s="9" t="n">
        <v>45496.16666666666</v>
      </c>
      <c r="B4902" t="n">
        <v>7</v>
      </c>
      <c r="C4902" t="n">
        <v>23</v>
      </c>
      <c r="D4902" t="n">
        <v>4</v>
      </c>
      <c r="E4902" s="10" t="n">
        <v>0.010785</v>
      </c>
      <c r="F4902" s="10" t="n">
        <v>0.1606681825603638</v>
      </c>
      <c r="G4902" s="11">
        <f>E4902*Summary!$B$6</f>
        <v/>
      </c>
      <c r="H4902" s="11">
        <f>F4902*Summary!$B$7</f>
        <v/>
      </c>
      <c r="I4902" s="11">
        <f>MAX(0,N4902-M4902)</f>
        <v/>
      </c>
      <c r="J4902" s="11">
        <f>MAX(0,M4902-N4902)</f>
        <v/>
      </c>
      <c r="K4902" s="11">
        <f>O4902</f>
        <v/>
      </c>
      <c r="L4902" s="11">
        <f>L4901+IF(K4902&gt;0,K4902*Summary!$B$9,K4902/Summary!$B$9)</f>
        <v/>
      </c>
      <c r="M4902" s="11">
        <f>G4902+H4902</f>
        <v/>
      </c>
      <c r="N4902" s="11">
        <f>Summary!$C$16*Summary!$B$8</f>
        <v/>
      </c>
      <c r="O4902" s="11">
        <f>M4902-N4902</f>
        <v/>
      </c>
    </row>
    <row r="4903">
      <c r="A4903" s="9" t="n">
        <v>45496.20833333334</v>
      </c>
      <c r="B4903" t="n">
        <v>7</v>
      </c>
      <c r="C4903" t="n">
        <v>23</v>
      </c>
      <c r="D4903" t="n">
        <v>5</v>
      </c>
      <c r="E4903" s="10" t="n">
        <v>0.041327</v>
      </c>
      <c r="F4903" s="10" t="n">
        <v>0.1466225631894152</v>
      </c>
      <c r="G4903" s="11">
        <f>E4903*Summary!$B$6</f>
        <v/>
      </c>
      <c r="H4903" s="11">
        <f>F4903*Summary!$B$7</f>
        <v/>
      </c>
      <c r="I4903" s="11">
        <f>MAX(0,N4903-M4903)</f>
        <v/>
      </c>
      <c r="J4903" s="11">
        <f>MAX(0,M4903-N4903)</f>
        <v/>
      </c>
      <c r="K4903" s="11">
        <f>O4903</f>
        <v/>
      </c>
      <c r="L4903" s="11">
        <f>L4902+IF(K4903&gt;0,K4903*Summary!$B$9,K4903/Summary!$B$9)</f>
        <v/>
      </c>
      <c r="M4903" s="11">
        <f>G4903+H4903</f>
        <v/>
      </c>
      <c r="N4903" s="11">
        <f>Summary!$C$16*Summary!$B$8</f>
        <v/>
      </c>
      <c r="O4903" s="11">
        <f>M4903-N4903</f>
        <v/>
      </c>
    </row>
    <row r="4904">
      <c r="A4904" s="9" t="n">
        <v>45496.25</v>
      </c>
      <c r="B4904" t="n">
        <v>7</v>
      </c>
      <c r="C4904" t="n">
        <v>23</v>
      </c>
      <c r="D4904" t="n">
        <v>6</v>
      </c>
      <c r="E4904" s="10" t="n">
        <v>0.148654</v>
      </c>
      <c r="F4904" s="10" t="n">
        <v>0.1273592465662192</v>
      </c>
      <c r="G4904" s="11">
        <f>E4904*Summary!$B$6</f>
        <v/>
      </c>
      <c r="H4904" s="11">
        <f>F4904*Summary!$B$7</f>
        <v/>
      </c>
      <c r="I4904" s="11">
        <f>MAX(0,N4904-M4904)</f>
        <v/>
      </c>
      <c r="J4904" s="11">
        <f>MAX(0,M4904-N4904)</f>
        <v/>
      </c>
      <c r="K4904" s="11">
        <f>O4904</f>
        <v/>
      </c>
      <c r="L4904" s="11">
        <f>L4903+IF(K4904&gt;0,K4904*Summary!$B$9,K4904/Summary!$B$9)</f>
        <v/>
      </c>
      <c r="M4904" s="11">
        <f>G4904+H4904</f>
        <v/>
      </c>
      <c r="N4904" s="11">
        <f>Summary!$C$16*Summary!$B$8</f>
        <v/>
      </c>
      <c r="O4904" s="11">
        <f>M4904-N4904</f>
        <v/>
      </c>
    </row>
    <row r="4905">
      <c r="A4905" s="9" t="n">
        <v>45496.29166666666</v>
      </c>
      <c r="B4905" t="n">
        <v>7</v>
      </c>
      <c r="C4905" t="n">
        <v>23</v>
      </c>
      <c r="D4905" t="n">
        <v>7</v>
      </c>
      <c r="E4905" s="10" t="n">
        <v>0.139721</v>
      </c>
      <c r="F4905" s="10" t="n">
        <v>0.1178725242894058</v>
      </c>
      <c r="G4905" s="11">
        <f>E4905*Summary!$B$6</f>
        <v/>
      </c>
      <c r="H4905" s="11">
        <f>F4905*Summary!$B$7</f>
        <v/>
      </c>
      <c r="I4905" s="11">
        <f>MAX(0,N4905-M4905)</f>
        <v/>
      </c>
      <c r="J4905" s="11">
        <f>MAX(0,M4905-N4905)</f>
        <v/>
      </c>
      <c r="K4905" s="11">
        <f>O4905</f>
        <v/>
      </c>
      <c r="L4905" s="11">
        <f>L4904+IF(K4905&gt;0,K4905*Summary!$B$9,K4905/Summary!$B$9)</f>
        <v/>
      </c>
      <c r="M4905" s="11">
        <f>G4905+H4905</f>
        <v/>
      </c>
      <c r="N4905" s="11">
        <f>Summary!$C$16*Summary!$B$8</f>
        <v/>
      </c>
      <c r="O4905" s="11">
        <f>M4905-N4905</f>
        <v/>
      </c>
    </row>
    <row r="4906">
      <c r="A4906" s="9" t="n">
        <v>45496.33333333334</v>
      </c>
      <c r="B4906" t="n">
        <v>7</v>
      </c>
      <c r="C4906" t="n">
        <v>23</v>
      </c>
      <c r="D4906" t="n">
        <v>8</v>
      </c>
      <c r="E4906" s="10" t="n">
        <v>0.252273</v>
      </c>
      <c r="F4906" s="10" t="n">
        <v>0.1132082191699726</v>
      </c>
      <c r="G4906" s="11">
        <f>E4906*Summary!$B$6</f>
        <v/>
      </c>
      <c r="H4906" s="11">
        <f>F4906*Summary!$B$7</f>
        <v/>
      </c>
      <c r="I4906" s="11">
        <f>MAX(0,N4906-M4906)</f>
        <v/>
      </c>
      <c r="J4906" s="11">
        <f>MAX(0,M4906-N4906)</f>
        <v/>
      </c>
      <c r="K4906" s="11">
        <f>O4906</f>
        <v/>
      </c>
      <c r="L4906" s="11">
        <f>L4905+IF(K4906&gt;0,K4906*Summary!$B$9,K4906/Summary!$B$9)</f>
        <v/>
      </c>
      <c r="M4906" s="11">
        <f>G4906+H4906</f>
        <v/>
      </c>
      <c r="N4906" s="11">
        <f>Summary!$C$16*Summary!$B$8</f>
        <v/>
      </c>
      <c r="O4906" s="11">
        <f>M4906-N4906</f>
        <v/>
      </c>
    </row>
    <row r="4907">
      <c r="A4907" s="9" t="n">
        <v>45496.375</v>
      </c>
      <c r="B4907" t="n">
        <v>7</v>
      </c>
      <c r="C4907" t="n">
        <v>23</v>
      </c>
      <c r="D4907" t="n">
        <v>9</v>
      </c>
      <c r="E4907" s="10" t="n">
        <v>0.20957</v>
      </c>
      <c r="F4907" s="10" t="n">
        <v>0.1155798997391759</v>
      </c>
      <c r="G4907" s="11">
        <f>E4907*Summary!$B$6</f>
        <v/>
      </c>
      <c r="H4907" s="11">
        <f>F4907*Summary!$B$7</f>
        <v/>
      </c>
      <c r="I4907" s="11">
        <f>MAX(0,N4907-M4907)</f>
        <v/>
      </c>
      <c r="J4907" s="11">
        <f>MAX(0,M4907-N4907)</f>
        <v/>
      </c>
      <c r="K4907" s="11">
        <f>O4907</f>
        <v/>
      </c>
      <c r="L4907" s="11">
        <f>L4906+IF(K4907&gt;0,K4907*Summary!$B$9,K4907/Summary!$B$9)</f>
        <v/>
      </c>
      <c r="M4907" s="11">
        <f>G4907+H4907</f>
        <v/>
      </c>
      <c r="N4907" s="11">
        <f>Summary!$C$16*Summary!$B$8</f>
        <v/>
      </c>
      <c r="O4907" s="11">
        <f>M4907-N4907</f>
        <v/>
      </c>
    </row>
    <row r="4908">
      <c r="A4908" s="9" t="n">
        <v>45496.41666666666</v>
      </c>
      <c r="B4908" t="n">
        <v>7</v>
      </c>
      <c r="C4908" t="n">
        <v>23</v>
      </c>
      <c r="D4908" t="n">
        <v>10</v>
      </c>
      <c r="E4908" s="10" t="n">
        <v>0.232807</v>
      </c>
      <c r="F4908" s="10" t="n">
        <v>0.1239071337377121</v>
      </c>
      <c r="G4908" s="11">
        <f>E4908*Summary!$B$6</f>
        <v/>
      </c>
      <c r="H4908" s="11">
        <f>F4908*Summary!$B$7</f>
        <v/>
      </c>
      <c r="I4908" s="11">
        <f>MAX(0,N4908-M4908)</f>
        <v/>
      </c>
      <c r="J4908" s="11">
        <f>MAX(0,M4908-N4908)</f>
        <v/>
      </c>
      <c r="K4908" s="11">
        <f>O4908</f>
        <v/>
      </c>
      <c r="L4908" s="11">
        <f>L4907+IF(K4908&gt;0,K4908*Summary!$B$9,K4908/Summary!$B$9)</f>
        <v/>
      </c>
      <c r="M4908" s="11">
        <f>G4908+H4908</f>
        <v/>
      </c>
      <c r="N4908" s="11">
        <f>Summary!$C$16*Summary!$B$8</f>
        <v/>
      </c>
      <c r="O4908" s="11">
        <f>M4908-N4908</f>
        <v/>
      </c>
    </row>
    <row r="4909">
      <c r="A4909" s="9" t="n">
        <v>45496.45833333334</v>
      </c>
      <c r="B4909" t="n">
        <v>7</v>
      </c>
      <c r="C4909" t="n">
        <v>23</v>
      </c>
      <c r="D4909" t="n">
        <v>11</v>
      </c>
      <c r="E4909" s="10" t="n">
        <v>0.217436</v>
      </c>
      <c r="F4909" s="10" t="n">
        <v>0.1313647515275404</v>
      </c>
      <c r="G4909" s="11">
        <f>E4909*Summary!$B$6</f>
        <v/>
      </c>
      <c r="H4909" s="11">
        <f>F4909*Summary!$B$7</f>
        <v/>
      </c>
      <c r="I4909" s="11">
        <f>MAX(0,N4909-M4909)</f>
        <v/>
      </c>
      <c r="J4909" s="11">
        <f>MAX(0,M4909-N4909)</f>
        <v/>
      </c>
      <c r="K4909" s="11">
        <f>O4909</f>
        <v/>
      </c>
      <c r="L4909" s="11">
        <f>L4908+IF(K4909&gt;0,K4909*Summary!$B$9,K4909/Summary!$B$9)</f>
        <v/>
      </c>
      <c r="M4909" s="11">
        <f>G4909+H4909</f>
        <v/>
      </c>
      <c r="N4909" s="11">
        <f>Summary!$C$16*Summary!$B$8</f>
        <v/>
      </c>
      <c r="O4909" s="11">
        <f>M4909-N4909</f>
        <v/>
      </c>
    </row>
    <row r="4910">
      <c r="A4910" s="9" t="n">
        <v>45496.5</v>
      </c>
      <c r="B4910" t="n">
        <v>7</v>
      </c>
      <c r="C4910" t="n">
        <v>23</v>
      </c>
      <c r="D4910" t="n">
        <v>12</v>
      </c>
      <c r="E4910" s="10" t="n">
        <v>0.201206</v>
      </c>
      <c r="F4910" s="10" t="n">
        <v>0.1370567848936284</v>
      </c>
      <c r="G4910" s="11">
        <f>E4910*Summary!$B$6</f>
        <v/>
      </c>
      <c r="H4910" s="11">
        <f>F4910*Summary!$B$7</f>
        <v/>
      </c>
      <c r="I4910" s="11">
        <f>MAX(0,N4910-M4910)</f>
        <v/>
      </c>
      <c r="J4910" s="11">
        <f>MAX(0,M4910-N4910)</f>
        <v/>
      </c>
      <c r="K4910" s="11">
        <f>O4910</f>
        <v/>
      </c>
      <c r="L4910" s="11">
        <f>L4909+IF(K4910&gt;0,K4910*Summary!$B$9,K4910/Summary!$B$9)</f>
        <v/>
      </c>
      <c r="M4910" s="11">
        <f>G4910+H4910</f>
        <v/>
      </c>
      <c r="N4910" s="11">
        <f>Summary!$C$16*Summary!$B$8</f>
        <v/>
      </c>
      <c r="O4910" s="11">
        <f>M4910-N4910</f>
        <v/>
      </c>
    </row>
    <row r="4911">
      <c r="A4911" s="9" t="n">
        <v>45496.54166666666</v>
      </c>
      <c r="B4911" t="n">
        <v>7</v>
      </c>
      <c r="C4911" t="n">
        <v>23</v>
      </c>
      <c r="D4911" t="n">
        <v>13</v>
      </c>
      <c r="E4911" s="10" t="n">
        <v>0.173352</v>
      </c>
      <c r="F4911" s="10" t="n">
        <v>0.1413521619245189</v>
      </c>
      <c r="G4911" s="11">
        <f>E4911*Summary!$B$6</f>
        <v/>
      </c>
      <c r="H4911" s="11">
        <f>F4911*Summary!$B$7</f>
        <v/>
      </c>
      <c r="I4911" s="11">
        <f>MAX(0,N4911-M4911)</f>
        <v/>
      </c>
      <c r="J4911" s="11">
        <f>MAX(0,M4911-N4911)</f>
        <v/>
      </c>
      <c r="K4911" s="11">
        <f>O4911</f>
        <v/>
      </c>
      <c r="L4911" s="11">
        <f>L4910+IF(K4911&gt;0,K4911*Summary!$B$9,K4911/Summary!$B$9)</f>
        <v/>
      </c>
      <c r="M4911" s="11">
        <f>G4911+H4911</f>
        <v/>
      </c>
      <c r="N4911" s="11">
        <f>Summary!$C$16*Summary!$B$8</f>
        <v/>
      </c>
      <c r="O4911" s="11">
        <f>M4911-N4911</f>
        <v/>
      </c>
    </row>
    <row r="4912">
      <c r="A4912" s="9" t="n">
        <v>45496.58333333334</v>
      </c>
      <c r="B4912" t="n">
        <v>7</v>
      </c>
      <c r="C4912" t="n">
        <v>23</v>
      </c>
      <c r="D4912" t="n">
        <v>14</v>
      </c>
      <c r="E4912" s="10" t="n">
        <v>0.17696</v>
      </c>
      <c r="F4912" s="10" t="n">
        <v>0.141852850044684</v>
      </c>
      <c r="G4912" s="11">
        <f>E4912*Summary!$B$6</f>
        <v/>
      </c>
      <c r="H4912" s="11">
        <f>F4912*Summary!$B$7</f>
        <v/>
      </c>
      <c r="I4912" s="11">
        <f>MAX(0,N4912-M4912)</f>
        <v/>
      </c>
      <c r="J4912" s="11">
        <f>MAX(0,M4912-N4912)</f>
        <v/>
      </c>
      <c r="K4912" s="11">
        <f>O4912</f>
        <v/>
      </c>
      <c r="L4912" s="11">
        <f>L4911+IF(K4912&gt;0,K4912*Summary!$B$9,K4912/Summary!$B$9)</f>
        <v/>
      </c>
      <c r="M4912" s="11">
        <f>G4912+H4912</f>
        <v/>
      </c>
      <c r="N4912" s="11">
        <f>Summary!$C$16*Summary!$B$8</f>
        <v/>
      </c>
      <c r="O4912" s="11">
        <f>M4912-N4912</f>
        <v/>
      </c>
    </row>
    <row r="4913">
      <c r="A4913" s="9" t="n">
        <v>45496.625</v>
      </c>
      <c r="B4913" t="n">
        <v>7</v>
      </c>
      <c r="C4913" t="n">
        <v>23</v>
      </c>
      <c r="D4913" t="n">
        <v>15</v>
      </c>
      <c r="E4913" s="10" t="n">
        <v>0.105661</v>
      </c>
      <c r="F4913" s="10" t="n">
        <v>0.1495739878977571</v>
      </c>
      <c r="G4913" s="11">
        <f>E4913*Summary!$B$6</f>
        <v/>
      </c>
      <c r="H4913" s="11">
        <f>F4913*Summary!$B$7</f>
        <v/>
      </c>
      <c r="I4913" s="11">
        <f>MAX(0,N4913-M4913)</f>
        <v/>
      </c>
      <c r="J4913" s="11">
        <f>MAX(0,M4913-N4913)</f>
        <v/>
      </c>
      <c r="K4913" s="11">
        <f>O4913</f>
        <v/>
      </c>
      <c r="L4913" s="11">
        <f>L4912+IF(K4913&gt;0,K4913*Summary!$B$9,K4913/Summary!$B$9)</f>
        <v/>
      </c>
      <c r="M4913" s="11">
        <f>G4913+H4913</f>
        <v/>
      </c>
      <c r="N4913" s="11">
        <f>Summary!$C$16*Summary!$B$8</f>
        <v/>
      </c>
      <c r="O4913" s="11">
        <f>M4913-N4913</f>
        <v/>
      </c>
    </row>
    <row r="4914">
      <c r="A4914" s="9" t="n">
        <v>45496.66666666666</v>
      </c>
      <c r="B4914" t="n">
        <v>7</v>
      </c>
      <c r="C4914" t="n">
        <v>23</v>
      </c>
      <c r="D4914" t="n">
        <v>16</v>
      </c>
      <c r="E4914" s="10" t="n">
        <v>0.058806</v>
      </c>
      <c r="F4914" s="10" t="n">
        <v>0.1350540324129678</v>
      </c>
      <c r="G4914" s="11">
        <f>E4914*Summary!$B$6</f>
        <v/>
      </c>
      <c r="H4914" s="11">
        <f>F4914*Summary!$B$7</f>
        <v/>
      </c>
      <c r="I4914" s="11">
        <f>MAX(0,N4914-M4914)</f>
        <v/>
      </c>
      <c r="J4914" s="11">
        <f>MAX(0,M4914-N4914)</f>
        <v/>
      </c>
      <c r="K4914" s="11">
        <f>O4914</f>
        <v/>
      </c>
      <c r="L4914" s="11">
        <f>L4913+IF(K4914&gt;0,K4914*Summary!$B$9,K4914/Summary!$B$9)</f>
        <v/>
      </c>
      <c r="M4914" s="11">
        <f>G4914+H4914</f>
        <v/>
      </c>
      <c r="N4914" s="11">
        <f>Summary!$C$16*Summary!$B$8</f>
        <v/>
      </c>
      <c r="O4914" s="11">
        <f>M4914-N4914</f>
        <v/>
      </c>
    </row>
    <row r="4915">
      <c r="A4915" s="9" t="n">
        <v>45496.70833333334</v>
      </c>
      <c r="B4915" t="n">
        <v>7</v>
      </c>
      <c r="C4915" t="n">
        <v>23</v>
      </c>
      <c r="D4915" t="n">
        <v>17</v>
      </c>
      <c r="E4915" s="10" t="n">
        <v>0.041257</v>
      </c>
      <c r="F4915" s="10" t="n">
        <v>0.1287031988887677</v>
      </c>
      <c r="G4915" s="11">
        <f>E4915*Summary!$B$6</f>
        <v/>
      </c>
      <c r="H4915" s="11">
        <f>F4915*Summary!$B$7</f>
        <v/>
      </c>
      <c r="I4915" s="11">
        <f>MAX(0,N4915-M4915)</f>
        <v/>
      </c>
      <c r="J4915" s="11">
        <f>MAX(0,M4915-N4915)</f>
        <v/>
      </c>
      <c r="K4915" s="11">
        <f>O4915</f>
        <v/>
      </c>
      <c r="L4915" s="11">
        <f>L4914+IF(K4915&gt;0,K4915*Summary!$B$9,K4915/Summary!$B$9)</f>
        <v/>
      </c>
      <c r="M4915" s="11">
        <f>G4915+H4915</f>
        <v/>
      </c>
      <c r="N4915" s="11">
        <f>Summary!$C$16*Summary!$B$8</f>
        <v/>
      </c>
      <c r="O4915" s="11">
        <f>M4915-N4915</f>
        <v/>
      </c>
    </row>
    <row r="4916">
      <c r="A4916" s="9" t="n">
        <v>45496.75</v>
      </c>
      <c r="B4916" t="n">
        <v>7</v>
      </c>
      <c r="C4916" t="n">
        <v>23</v>
      </c>
      <c r="D4916" t="n">
        <v>18</v>
      </c>
      <c r="E4916" s="10" t="n">
        <v>0.041211</v>
      </c>
      <c r="F4916" s="10" t="n">
        <v>0.119084716580332</v>
      </c>
      <c r="G4916" s="11">
        <f>E4916*Summary!$B$6</f>
        <v/>
      </c>
      <c r="H4916" s="11">
        <f>F4916*Summary!$B$7</f>
        <v/>
      </c>
      <c r="I4916" s="11">
        <f>MAX(0,N4916-M4916)</f>
        <v/>
      </c>
      <c r="J4916" s="11">
        <f>MAX(0,M4916-N4916)</f>
        <v/>
      </c>
      <c r="K4916" s="11">
        <f>O4916</f>
        <v/>
      </c>
      <c r="L4916" s="11">
        <f>L4915+IF(K4916&gt;0,K4916*Summary!$B$9,K4916/Summary!$B$9)</f>
        <v/>
      </c>
      <c r="M4916" s="11">
        <f>G4916+H4916</f>
        <v/>
      </c>
      <c r="N4916" s="11">
        <f>Summary!$C$16*Summary!$B$8</f>
        <v/>
      </c>
      <c r="O4916" s="11">
        <f>M4916-N4916</f>
        <v/>
      </c>
    </row>
    <row r="4917">
      <c r="A4917" s="9" t="n">
        <v>45496.79166666666</v>
      </c>
      <c r="B4917" t="n">
        <v>7</v>
      </c>
      <c r="C4917" t="n">
        <v>23</v>
      </c>
      <c r="D4917" t="n">
        <v>19</v>
      </c>
      <c r="E4917" s="10" t="n">
        <v>0.019979</v>
      </c>
      <c r="F4917" s="10" t="n">
        <v>0.1158170677960963</v>
      </c>
      <c r="G4917" s="11">
        <f>E4917*Summary!$B$6</f>
        <v/>
      </c>
      <c r="H4917" s="11">
        <f>F4917*Summary!$B$7</f>
        <v/>
      </c>
      <c r="I4917" s="11">
        <f>MAX(0,N4917-M4917)</f>
        <v/>
      </c>
      <c r="J4917" s="11">
        <f>MAX(0,M4917-N4917)</f>
        <v/>
      </c>
      <c r="K4917" s="11">
        <f>O4917</f>
        <v/>
      </c>
      <c r="L4917" s="11">
        <f>L4916+IF(K4917&gt;0,K4917*Summary!$B$9,K4917/Summary!$B$9)</f>
        <v/>
      </c>
      <c r="M4917" s="11">
        <f>G4917+H4917</f>
        <v/>
      </c>
      <c r="N4917" s="11">
        <f>Summary!$C$16*Summary!$B$8</f>
        <v/>
      </c>
      <c r="O4917" s="11">
        <f>M4917-N4917</f>
        <v/>
      </c>
    </row>
    <row r="4918">
      <c r="A4918" s="9" t="n">
        <v>45496.83333333334</v>
      </c>
      <c r="B4918" t="n">
        <v>7</v>
      </c>
      <c r="C4918" t="n">
        <v>23</v>
      </c>
      <c r="D4918" t="n">
        <v>20</v>
      </c>
      <c r="E4918" s="10" t="n">
        <v>0</v>
      </c>
      <c r="F4918" s="10" t="n">
        <v>0.1216672132001312</v>
      </c>
      <c r="G4918" s="11">
        <f>E4918*Summary!$B$6</f>
        <v/>
      </c>
      <c r="H4918" s="11">
        <f>F4918*Summary!$B$7</f>
        <v/>
      </c>
      <c r="I4918" s="11">
        <f>MAX(0,N4918-M4918)</f>
        <v/>
      </c>
      <c r="J4918" s="11">
        <f>MAX(0,M4918-N4918)</f>
        <v/>
      </c>
      <c r="K4918" s="11">
        <f>O4918</f>
        <v/>
      </c>
      <c r="L4918" s="11">
        <f>L4917+IF(K4918&gt;0,K4918*Summary!$B$9,K4918/Summary!$B$9)</f>
        <v/>
      </c>
      <c r="M4918" s="11">
        <f>G4918+H4918</f>
        <v/>
      </c>
      <c r="N4918" s="11">
        <f>Summary!$C$16*Summary!$B$8</f>
        <v/>
      </c>
      <c r="O4918" s="11">
        <f>M4918-N4918</f>
        <v/>
      </c>
    </row>
    <row r="4919">
      <c r="A4919" s="9" t="n">
        <v>45496.875</v>
      </c>
      <c r="B4919" t="n">
        <v>7</v>
      </c>
      <c r="C4919" t="n">
        <v>23</v>
      </c>
      <c r="D4919" t="n">
        <v>21</v>
      </c>
      <c r="E4919" s="10" t="n">
        <v>0</v>
      </c>
      <c r="F4919" s="10" t="n">
        <v>0.1303370232808856</v>
      </c>
      <c r="G4919" s="11">
        <f>E4919*Summary!$B$6</f>
        <v/>
      </c>
      <c r="H4919" s="11">
        <f>F4919*Summary!$B$7</f>
        <v/>
      </c>
      <c r="I4919" s="11">
        <f>MAX(0,N4919-M4919)</f>
        <v/>
      </c>
      <c r="J4919" s="11">
        <f>MAX(0,M4919-N4919)</f>
        <v/>
      </c>
      <c r="K4919" s="11">
        <f>O4919</f>
        <v/>
      </c>
      <c r="L4919" s="11">
        <f>L4918+IF(K4919&gt;0,K4919*Summary!$B$9,K4919/Summary!$B$9)</f>
        <v/>
      </c>
      <c r="M4919" s="11">
        <f>G4919+H4919</f>
        <v/>
      </c>
      <c r="N4919" s="11">
        <f>Summary!$C$16*Summary!$B$8</f>
        <v/>
      </c>
      <c r="O4919" s="11">
        <f>M4919-N4919</f>
        <v/>
      </c>
    </row>
    <row r="4920">
      <c r="A4920" s="9" t="n">
        <v>45496.91666666666</v>
      </c>
      <c r="B4920" t="n">
        <v>7</v>
      </c>
      <c r="C4920" t="n">
        <v>23</v>
      </c>
      <c r="D4920" t="n">
        <v>22</v>
      </c>
      <c r="E4920" s="10" t="n">
        <v>0</v>
      </c>
      <c r="F4920" s="10" t="n">
        <v>0.1371885449252508</v>
      </c>
      <c r="G4920" s="11">
        <f>E4920*Summary!$B$6</f>
        <v/>
      </c>
      <c r="H4920" s="11">
        <f>F4920*Summary!$B$7</f>
        <v/>
      </c>
      <c r="I4920" s="11">
        <f>MAX(0,N4920-M4920)</f>
        <v/>
      </c>
      <c r="J4920" s="11">
        <f>MAX(0,M4920-N4920)</f>
        <v/>
      </c>
      <c r="K4920" s="11">
        <f>O4920</f>
        <v/>
      </c>
      <c r="L4920" s="11">
        <f>L4919+IF(K4920&gt;0,K4920*Summary!$B$9,K4920/Summary!$B$9)</f>
        <v/>
      </c>
      <c r="M4920" s="11">
        <f>G4920+H4920</f>
        <v/>
      </c>
      <c r="N4920" s="11">
        <f>Summary!$C$16*Summary!$B$8</f>
        <v/>
      </c>
      <c r="O4920" s="11">
        <f>M4920-N4920</f>
        <v/>
      </c>
    </row>
    <row r="4921">
      <c r="A4921" s="9" t="n">
        <v>45496.95833333334</v>
      </c>
      <c r="B4921" t="n">
        <v>7</v>
      </c>
      <c r="C4921" t="n">
        <v>23</v>
      </c>
      <c r="D4921" t="n">
        <v>23</v>
      </c>
      <c r="E4921" s="10" t="n">
        <v>0</v>
      </c>
      <c r="F4921" s="10" t="n">
        <v>0.1378209930770383</v>
      </c>
      <c r="G4921" s="11">
        <f>E4921*Summary!$B$6</f>
        <v/>
      </c>
      <c r="H4921" s="11">
        <f>F4921*Summary!$B$7</f>
        <v/>
      </c>
      <c r="I4921" s="11">
        <f>MAX(0,N4921-M4921)</f>
        <v/>
      </c>
      <c r="J4921" s="11">
        <f>MAX(0,M4921-N4921)</f>
        <v/>
      </c>
      <c r="K4921" s="11">
        <f>O4921</f>
        <v/>
      </c>
      <c r="L4921" s="11">
        <f>L4920+IF(K4921&gt;0,K4921*Summary!$B$9,K4921/Summary!$B$9)</f>
        <v/>
      </c>
      <c r="M4921" s="11">
        <f>G4921+H4921</f>
        <v/>
      </c>
      <c r="N4921" s="11">
        <f>Summary!$C$16*Summary!$B$8</f>
        <v/>
      </c>
      <c r="O4921" s="11">
        <f>M4921-N4921</f>
        <v/>
      </c>
    </row>
    <row r="4922">
      <c r="A4922" s="9" t="n">
        <v>45497</v>
      </c>
      <c r="B4922" t="n">
        <v>7</v>
      </c>
      <c r="C4922" t="n">
        <v>24</v>
      </c>
      <c r="D4922" t="n">
        <v>0</v>
      </c>
      <c r="E4922" s="10" t="n">
        <v>0</v>
      </c>
      <c r="F4922" s="10" t="n">
        <v>0.1494422278661347</v>
      </c>
      <c r="G4922" s="11">
        <f>E4922*Summary!$B$6</f>
        <v/>
      </c>
      <c r="H4922" s="11">
        <f>F4922*Summary!$B$7</f>
        <v/>
      </c>
      <c r="I4922" s="11">
        <f>MAX(0,N4922-M4922)</f>
        <v/>
      </c>
      <c r="J4922" s="11">
        <f>MAX(0,M4922-N4922)</f>
        <v/>
      </c>
      <c r="K4922" s="11">
        <f>O4922</f>
        <v/>
      </c>
      <c r="L4922" s="11">
        <f>L4921+IF(K4922&gt;0,K4922*Summary!$B$9,K4922/Summary!$B$9)</f>
        <v/>
      </c>
      <c r="M4922" s="11">
        <f>G4922+H4922</f>
        <v/>
      </c>
      <c r="N4922" s="11">
        <f>Summary!$C$16*Summary!$B$8</f>
        <v/>
      </c>
      <c r="O4922" s="11">
        <f>M4922-N4922</f>
        <v/>
      </c>
    </row>
    <row r="4923">
      <c r="A4923" s="9" t="n">
        <v>45497.04166666666</v>
      </c>
      <c r="B4923" t="n">
        <v>7</v>
      </c>
      <c r="C4923" t="n">
        <v>24</v>
      </c>
      <c r="D4923" t="n">
        <v>1</v>
      </c>
      <c r="E4923" s="10" t="n">
        <v>0</v>
      </c>
      <c r="F4923" s="10" t="n">
        <v>0.1370831368999529</v>
      </c>
      <c r="G4923" s="11">
        <f>E4923*Summary!$B$6</f>
        <v/>
      </c>
      <c r="H4923" s="11">
        <f>F4923*Summary!$B$7</f>
        <v/>
      </c>
      <c r="I4923" s="11">
        <f>MAX(0,N4923-M4923)</f>
        <v/>
      </c>
      <c r="J4923" s="11">
        <f>MAX(0,M4923-N4923)</f>
        <v/>
      </c>
      <c r="K4923" s="11">
        <f>O4923</f>
        <v/>
      </c>
      <c r="L4923" s="11">
        <f>L4922+IF(K4923&gt;0,K4923*Summary!$B$9,K4923/Summary!$B$9)</f>
        <v/>
      </c>
      <c r="M4923" s="11">
        <f>G4923+H4923</f>
        <v/>
      </c>
      <c r="N4923" s="11">
        <f>Summary!$C$16*Summary!$B$8</f>
        <v/>
      </c>
      <c r="O4923" s="11">
        <f>M4923-N4923</f>
        <v/>
      </c>
    </row>
    <row r="4924">
      <c r="A4924" s="9" t="n">
        <v>45497.08333333334</v>
      </c>
      <c r="B4924" t="n">
        <v>7</v>
      </c>
      <c r="C4924" t="n">
        <v>24</v>
      </c>
      <c r="D4924" t="n">
        <v>2</v>
      </c>
      <c r="E4924" s="10" t="n">
        <v>0</v>
      </c>
      <c r="F4924" s="10" t="n">
        <v>0.1350803844192923</v>
      </c>
      <c r="G4924" s="11">
        <f>E4924*Summary!$B$6</f>
        <v/>
      </c>
      <c r="H4924" s="11">
        <f>F4924*Summary!$B$7</f>
        <v/>
      </c>
      <c r="I4924" s="11">
        <f>MAX(0,N4924-M4924)</f>
        <v/>
      </c>
      <c r="J4924" s="11">
        <f>MAX(0,M4924-N4924)</f>
        <v/>
      </c>
      <c r="K4924" s="11">
        <f>O4924</f>
        <v/>
      </c>
      <c r="L4924" s="11">
        <f>L4923+IF(K4924&gt;0,K4924*Summary!$B$9,K4924/Summary!$B$9)</f>
        <v/>
      </c>
      <c r="M4924" s="11">
        <f>G4924+H4924</f>
        <v/>
      </c>
      <c r="N4924" s="11">
        <f>Summary!$C$16*Summary!$B$8</f>
        <v/>
      </c>
      <c r="O4924" s="11">
        <f>M4924-N4924</f>
        <v/>
      </c>
    </row>
    <row r="4925">
      <c r="A4925" s="9" t="n">
        <v>45497.125</v>
      </c>
      <c r="B4925" t="n">
        <v>7</v>
      </c>
      <c r="C4925" t="n">
        <v>24</v>
      </c>
      <c r="D4925" t="n">
        <v>3</v>
      </c>
      <c r="E4925" s="10" t="n">
        <v>0</v>
      </c>
      <c r="F4925" s="10" t="n">
        <v>0.1332884479892275</v>
      </c>
      <c r="G4925" s="11">
        <f>E4925*Summary!$B$6</f>
        <v/>
      </c>
      <c r="H4925" s="11">
        <f>F4925*Summary!$B$7</f>
        <v/>
      </c>
      <c r="I4925" s="11">
        <f>MAX(0,N4925-M4925)</f>
        <v/>
      </c>
      <c r="J4925" s="11">
        <f>MAX(0,M4925-N4925)</f>
        <v/>
      </c>
      <c r="K4925" s="11">
        <f>O4925</f>
        <v/>
      </c>
      <c r="L4925" s="11">
        <f>L4924+IF(K4925&gt;0,K4925*Summary!$B$9,K4925/Summary!$B$9)</f>
        <v/>
      </c>
      <c r="M4925" s="11">
        <f>G4925+H4925</f>
        <v/>
      </c>
      <c r="N4925" s="11">
        <f>Summary!$C$16*Summary!$B$8</f>
        <v/>
      </c>
      <c r="O4925" s="11">
        <f>M4925-N4925</f>
        <v/>
      </c>
    </row>
    <row r="4926">
      <c r="A4926" s="9" t="n">
        <v>45497.16666666666</v>
      </c>
      <c r="B4926" t="n">
        <v>7</v>
      </c>
      <c r="C4926" t="n">
        <v>24</v>
      </c>
      <c r="D4926" t="n">
        <v>4</v>
      </c>
      <c r="E4926" s="10" t="n">
        <v>0</v>
      </c>
      <c r="F4926" s="10" t="n">
        <v>0.1272274865345968</v>
      </c>
      <c r="G4926" s="11">
        <f>E4926*Summary!$B$6</f>
        <v/>
      </c>
      <c r="H4926" s="11">
        <f>F4926*Summary!$B$7</f>
        <v/>
      </c>
      <c r="I4926" s="11">
        <f>MAX(0,N4926-M4926)</f>
        <v/>
      </c>
      <c r="J4926" s="11">
        <f>MAX(0,M4926-N4926)</f>
        <v/>
      </c>
      <c r="K4926" s="11">
        <f>O4926</f>
        <v/>
      </c>
      <c r="L4926" s="11">
        <f>L4925+IF(K4926&gt;0,K4926*Summary!$B$9,K4926/Summary!$B$9)</f>
        <v/>
      </c>
      <c r="M4926" s="11">
        <f>G4926+H4926</f>
        <v/>
      </c>
      <c r="N4926" s="11">
        <f>Summary!$C$16*Summary!$B$8</f>
        <v/>
      </c>
      <c r="O4926" s="11">
        <f>M4926-N4926</f>
        <v/>
      </c>
    </row>
    <row r="4927">
      <c r="A4927" s="9" t="n">
        <v>45497.20833333334</v>
      </c>
      <c r="B4927" t="n">
        <v>7</v>
      </c>
      <c r="C4927" t="n">
        <v>24</v>
      </c>
      <c r="D4927" t="n">
        <v>5</v>
      </c>
      <c r="E4927" s="10" t="n">
        <v>0.034393</v>
      </c>
      <c r="F4927" s="10" t="n">
        <v>0.1132609231826216</v>
      </c>
      <c r="G4927" s="11">
        <f>E4927*Summary!$B$6</f>
        <v/>
      </c>
      <c r="H4927" s="11">
        <f>F4927*Summary!$B$7</f>
        <v/>
      </c>
      <c r="I4927" s="11">
        <f>MAX(0,N4927-M4927)</f>
        <v/>
      </c>
      <c r="J4927" s="11">
        <f>MAX(0,M4927-N4927)</f>
        <v/>
      </c>
      <c r="K4927" s="11">
        <f>O4927</f>
        <v/>
      </c>
      <c r="L4927" s="11">
        <f>L4926+IF(K4927&gt;0,K4927*Summary!$B$9,K4927/Summary!$B$9)</f>
        <v/>
      </c>
      <c r="M4927" s="11">
        <f>G4927+H4927</f>
        <v/>
      </c>
      <c r="N4927" s="11">
        <f>Summary!$C$16*Summary!$B$8</f>
        <v/>
      </c>
      <c r="O4927" s="11">
        <f>M4927-N4927</f>
        <v/>
      </c>
    </row>
    <row r="4928">
      <c r="A4928" s="9" t="n">
        <v>45497.25</v>
      </c>
      <c r="B4928" t="n">
        <v>7</v>
      </c>
      <c r="C4928" t="n">
        <v>24</v>
      </c>
      <c r="D4928" t="n">
        <v>6</v>
      </c>
      <c r="E4928" s="10" t="n">
        <v>0.047154</v>
      </c>
      <c r="F4928" s="10" t="n">
        <v>0.09892543174210362</v>
      </c>
      <c r="G4928" s="11">
        <f>E4928*Summary!$B$6</f>
        <v/>
      </c>
      <c r="H4928" s="11">
        <f>F4928*Summary!$B$7</f>
        <v/>
      </c>
      <c r="I4928" s="11">
        <f>MAX(0,N4928-M4928)</f>
        <v/>
      </c>
      <c r="J4928" s="11">
        <f>MAX(0,M4928-N4928)</f>
        <v/>
      </c>
      <c r="K4928" s="11">
        <f>O4928</f>
        <v/>
      </c>
      <c r="L4928" s="11">
        <f>L4927+IF(K4928&gt;0,K4928*Summary!$B$9,K4928/Summary!$B$9)</f>
        <v/>
      </c>
      <c r="M4928" s="11">
        <f>G4928+H4928</f>
        <v/>
      </c>
      <c r="N4928" s="11">
        <f>Summary!$C$16*Summary!$B$8</f>
        <v/>
      </c>
      <c r="O4928" s="11">
        <f>M4928-N4928</f>
        <v/>
      </c>
    </row>
    <row r="4929">
      <c r="A4929" s="9" t="n">
        <v>45497.29166666666</v>
      </c>
      <c r="B4929" t="n">
        <v>7</v>
      </c>
      <c r="C4929" t="n">
        <v>24</v>
      </c>
      <c r="D4929" t="n">
        <v>7</v>
      </c>
      <c r="E4929" s="10" t="n">
        <v>0.088646</v>
      </c>
      <c r="F4929" s="10" t="n">
        <v>0.09418207060369695</v>
      </c>
      <c r="G4929" s="11">
        <f>E4929*Summary!$B$6</f>
        <v/>
      </c>
      <c r="H4929" s="11">
        <f>F4929*Summary!$B$7</f>
        <v/>
      </c>
      <c r="I4929" s="11">
        <f>MAX(0,N4929-M4929)</f>
        <v/>
      </c>
      <c r="J4929" s="11">
        <f>MAX(0,M4929-N4929)</f>
        <v/>
      </c>
      <c r="K4929" s="11">
        <f>O4929</f>
        <v/>
      </c>
      <c r="L4929" s="11">
        <f>L4928+IF(K4929&gt;0,K4929*Summary!$B$9,K4929/Summary!$B$9)</f>
        <v/>
      </c>
      <c r="M4929" s="11">
        <f>G4929+H4929</f>
        <v/>
      </c>
      <c r="N4929" s="11">
        <f>Summary!$C$16*Summary!$B$8</f>
        <v/>
      </c>
      <c r="O4929" s="11">
        <f>M4929-N4929</f>
        <v/>
      </c>
    </row>
    <row r="4930">
      <c r="A4930" s="9" t="n">
        <v>45497.33333333334</v>
      </c>
      <c r="B4930" t="n">
        <v>7</v>
      </c>
      <c r="C4930" t="n">
        <v>24</v>
      </c>
      <c r="D4930" t="n">
        <v>8</v>
      </c>
      <c r="E4930" s="10" t="n">
        <v>0.118376</v>
      </c>
      <c r="F4930" s="10" t="n">
        <v>0.1037214968931593</v>
      </c>
      <c r="G4930" s="11">
        <f>E4930*Summary!$B$6</f>
        <v/>
      </c>
      <c r="H4930" s="11">
        <f>F4930*Summary!$B$7</f>
        <v/>
      </c>
      <c r="I4930" s="11">
        <f>MAX(0,N4930-M4930)</f>
        <v/>
      </c>
      <c r="J4930" s="11">
        <f>MAX(0,M4930-N4930)</f>
        <v/>
      </c>
      <c r="K4930" s="11">
        <f>O4930</f>
        <v/>
      </c>
      <c r="L4930" s="11">
        <f>L4929+IF(K4930&gt;0,K4930*Summary!$B$9,K4930/Summary!$B$9)</f>
        <v/>
      </c>
      <c r="M4930" s="11">
        <f>G4930+H4930</f>
        <v/>
      </c>
      <c r="N4930" s="11">
        <f>Summary!$C$16*Summary!$B$8</f>
        <v/>
      </c>
      <c r="O4930" s="11">
        <f>M4930-N4930</f>
        <v/>
      </c>
    </row>
    <row r="4931">
      <c r="A4931" s="9" t="n">
        <v>45497.375</v>
      </c>
      <c r="B4931" t="n">
        <v>7</v>
      </c>
      <c r="C4931" t="n">
        <v>24</v>
      </c>
      <c r="D4931" t="n">
        <v>9</v>
      </c>
      <c r="E4931" s="10" t="n">
        <v>0.160475</v>
      </c>
      <c r="F4931" s="10" t="n">
        <v>0.1056715453611709</v>
      </c>
      <c r="G4931" s="11">
        <f>E4931*Summary!$B$6</f>
        <v/>
      </c>
      <c r="H4931" s="11">
        <f>F4931*Summary!$B$7</f>
        <v/>
      </c>
      <c r="I4931" s="11">
        <f>MAX(0,N4931-M4931)</f>
        <v/>
      </c>
      <c r="J4931" s="11">
        <f>MAX(0,M4931-N4931)</f>
        <v/>
      </c>
      <c r="K4931" s="11">
        <f>O4931</f>
        <v/>
      </c>
      <c r="L4931" s="11">
        <f>L4930+IF(K4931&gt;0,K4931*Summary!$B$9,K4931/Summary!$B$9)</f>
        <v/>
      </c>
      <c r="M4931" s="11">
        <f>G4931+H4931</f>
        <v/>
      </c>
      <c r="N4931" s="11">
        <f>Summary!$C$16*Summary!$B$8</f>
        <v/>
      </c>
      <c r="O4931" s="11">
        <f>M4931-N4931</f>
        <v/>
      </c>
    </row>
    <row r="4932">
      <c r="A4932" s="9" t="n">
        <v>45497.41666666666</v>
      </c>
      <c r="B4932" t="n">
        <v>7</v>
      </c>
      <c r="C4932" t="n">
        <v>24</v>
      </c>
      <c r="D4932" t="n">
        <v>10</v>
      </c>
      <c r="E4932" s="10" t="n">
        <v>0.140208</v>
      </c>
      <c r="F4932" s="10" t="n">
        <v>0.103326216798292</v>
      </c>
      <c r="G4932" s="11">
        <f>E4932*Summary!$B$6</f>
        <v/>
      </c>
      <c r="H4932" s="11">
        <f>F4932*Summary!$B$7</f>
        <v/>
      </c>
      <c r="I4932" s="11">
        <f>MAX(0,N4932-M4932)</f>
        <v/>
      </c>
      <c r="J4932" s="11">
        <f>MAX(0,M4932-N4932)</f>
        <v/>
      </c>
      <c r="K4932" s="11">
        <f>O4932</f>
        <v/>
      </c>
      <c r="L4932" s="11">
        <f>L4931+IF(K4932&gt;0,K4932*Summary!$B$9,K4932/Summary!$B$9)</f>
        <v/>
      </c>
      <c r="M4932" s="11">
        <f>G4932+H4932</f>
        <v/>
      </c>
      <c r="N4932" s="11">
        <f>Summary!$C$16*Summary!$B$8</f>
        <v/>
      </c>
      <c r="O4932" s="11">
        <f>M4932-N4932</f>
        <v/>
      </c>
    </row>
    <row r="4933">
      <c r="A4933" s="9" t="n">
        <v>45497.45833333334</v>
      </c>
      <c r="B4933" t="n">
        <v>7</v>
      </c>
      <c r="C4933" t="n">
        <v>24</v>
      </c>
      <c r="D4933" t="n">
        <v>11</v>
      </c>
      <c r="E4933" s="10" t="n">
        <v>0.164802</v>
      </c>
      <c r="F4933" s="10" t="n">
        <v>0.1082803939872946</v>
      </c>
      <c r="G4933" s="11">
        <f>E4933*Summary!$B$6</f>
        <v/>
      </c>
      <c r="H4933" s="11">
        <f>F4933*Summary!$B$7</f>
        <v/>
      </c>
      <c r="I4933" s="11">
        <f>MAX(0,N4933-M4933)</f>
        <v/>
      </c>
      <c r="J4933" s="11">
        <f>MAX(0,M4933-N4933)</f>
        <v/>
      </c>
      <c r="K4933" s="11">
        <f>O4933</f>
        <v/>
      </c>
      <c r="L4933" s="11">
        <f>L4932+IF(K4933&gt;0,K4933*Summary!$B$9,K4933/Summary!$B$9)</f>
        <v/>
      </c>
      <c r="M4933" s="11">
        <f>G4933+H4933</f>
        <v/>
      </c>
      <c r="N4933" s="11">
        <f>Summary!$C$16*Summary!$B$8</f>
        <v/>
      </c>
      <c r="O4933" s="11">
        <f>M4933-N4933</f>
        <v/>
      </c>
    </row>
    <row r="4934">
      <c r="A4934" s="9" t="n">
        <v>45497.5</v>
      </c>
      <c r="B4934" t="n">
        <v>7</v>
      </c>
      <c r="C4934" t="n">
        <v>24</v>
      </c>
      <c r="D4934" t="n">
        <v>12</v>
      </c>
      <c r="E4934" s="10" t="n">
        <v>0.168178</v>
      </c>
      <c r="F4934" s="10" t="n">
        <v>0.1215354531685088</v>
      </c>
      <c r="G4934" s="11">
        <f>E4934*Summary!$B$6</f>
        <v/>
      </c>
      <c r="H4934" s="11">
        <f>F4934*Summary!$B$7</f>
        <v/>
      </c>
      <c r="I4934" s="11">
        <f>MAX(0,N4934-M4934)</f>
        <v/>
      </c>
      <c r="J4934" s="11">
        <f>MAX(0,M4934-N4934)</f>
        <v/>
      </c>
      <c r="K4934" s="11">
        <f>O4934</f>
        <v/>
      </c>
      <c r="L4934" s="11">
        <f>L4933+IF(K4934&gt;0,K4934*Summary!$B$9,K4934/Summary!$B$9)</f>
        <v/>
      </c>
      <c r="M4934" s="11">
        <f>G4934+H4934</f>
        <v/>
      </c>
      <c r="N4934" s="11">
        <f>Summary!$C$16*Summary!$B$8</f>
        <v/>
      </c>
      <c r="O4934" s="11">
        <f>M4934-N4934</f>
        <v/>
      </c>
    </row>
    <row r="4935">
      <c r="A4935" s="9" t="n">
        <v>45497.54166666666</v>
      </c>
      <c r="B4935" t="n">
        <v>7</v>
      </c>
      <c r="C4935" t="n">
        <v>24</v>
      </c>
      <c r="D4935" t="n">
        <v>13</v>
      </c>
      <c r="E4935" s="10" t="n">
        <v>0.139454</v>
      </c>
      <c r="F4935" s="10" t="n">
        <v>0.1155535477328515</v>
      </c>
      <c r="G4935" s="11">
        <f>E4935*Summary!$B$6</f>
        <v/>
      </c>
      <c r="H4935" s="11">
        <f>F4935*Summary!$B$7</f>
        <v/>
      </c>
      <c r="I4935" s="11">
        <f>MAX(0,N4935-M4935)</f>
        <v/>
      </c>
      <c r="J4935" s="11">
        <f>MAX(0,M4935-N4935)</f>
        <v/>
      </c>
      <c r="K4935" s="11">
        <f>O4935</f>
        <v/>
      </c>
      <c r="L4935" s="11">
        <f>L4934+IF(K4935&gt;0,K4935*Summary!$B$9,K4935/Summary!$B$9)</f>
        <v/>
      </c>
      <c r="M4935" s="11">
        <f>G4935+H4935</f>
        <v/>
      </c>
      <c r="N4935" s="11">
        <f>Summary!$C$16*Summary!$B$8</f>
        <v/>
      </c>
      <c r="O4935" s="11">
        <f>M4935-N4935</f>
        <v/>
      </c>
    </row>
    <row r="4936">
      <c r="A4936" s="9" t="n">
        <v>45497.58333333334</v>
      </c>
      <c r="B4936" t="n">
        <v>7</v>
      </c>
      <c r="C4936" t="n">
        <v>24</v>
      </c>
      <c r="D4936" t="n">
        <v>14</v>
      </c>
      <c r="E4936" s="10" t="n">
        <v>0.14732</v>
      </c>
      <c r="F4936" s="10" t="n">
        <v>0.1196117567068216</v>
      </c>
      <c r="G4936" s="11">
        <f>E4936*Summary!$B$6</f>
        <v/>
      </c>
      <c r="H4936" s="11">
        <f>F4936*Summary!$B$7</f>
        <v/>
      </c>
      <c r="I4936" s="11">
        <f>MAX(0,N4936-M4936)</f>
        <v/>
      </c>
      <c r="J4936" s="11">
        <f>MAX(0,M4936-N4936)</f>
        <v/>
      </c>
      <c r="K4936" s="11">
        <f>O4936</f>
        <v/>
      </c>
      <c r="L4936" s="11">
        <f>L4935+IF(K4936&gt;0,K4936*Summary!$B$9,K4936/Summary!$B$9)</f>
        <v/>
      </c>
      <c r="M4936" s="11">
        <f>G4936+H4936</f>
        <v/>
      </c>
      <c r="N4936" s="11">
        <f>Summary!$C$16*Summary!$B$8</f>
        <v/>
      </c>
      <c r="O4936" s="11">
        <f>M4936-N4936</f>
        <v/>
      </c>
    </row>
    <row r="4937">
      <c r="A4937" s="9" t="n">
        <v>45497.625</v>
      </c>
      <c r="B4937" t="n">
        <v>7</v>
      </c>
      <c r="C4937" t="n">
        <v>24</v>
      </c>
      <c r="D4937" t="n">
        <v>15</v>
      </c>
      <c r="E4937" s="10" t="n">
        <v>0.252923</v>
      </c>
      <c r="F4937" s="10" t="n">
        <v>0.1199806847953643</v>
      </c>
      <c r="G4937" s="11">
        <f>E4937*Summary!$B$6</f>
        <v/>
      </c>
      <c r="H4937" s="11">
        <f>F4937*Summary!$B$7</f>
        <v/>
      </c>
      <c r="I4937" s="11">
        <f>MAX(0,N4937-M4937)</f>
        <v/>
      </c>
      <c r="J4937" s="11">
        <f>MAX(0,M4937-N4937)</f>
        <v/>
      </c>
      <c r="K4937" s="11">
        <f>O4937</f>
        <v/>
      </c>
      <c r="L4937" s="11">
        <f>L4936+IF(K4937&gt;0,K4937*Summary!$B$9,K4937/Summary!$B$9)</f>
        <v/>
      </c>
      <c r="M4937" s="11">
        <f>G4937+H4937</f>
        <v/>
      </c>
      <c r="N4937" s="11">
        <f>Summary!$C$16*Summary!$B$8</f>
        <v/>
      </c>
      <c r="O4937" s="11">
        <f>M4937-N4937</f>
        <v/>
      </c>
    </row>
    <row r="4938">
      <c r="A4938" s="9" t="n">
        <v>45497.66666666666</v>
      </c>
      <c r="B4938" t="n">
        <v>7</v>
      </c>
      <c r="C4938" t="n">
        <v>24</v>
      </c>
      <c r="D4938" t="n">
        <v>16</v>
      </c>
      <c r="E4938" s="10" t="n">
        <v>0.146148</v>
      </c>
      <c r="F4938" s="10" t="n">
        <v>0.1205867809408274</v>
      </c>
      <c r="G4938" s="11">
        <f>E4938*Summary!$B$6</f>
        <v/>
      </c>
      <c r="H4938" s="11">
        <f>F4938*Summary!$B$7</f>
        <v/>
      </c>
      <c r="I4938" s="11">
        <f>MAX(0,N4938-M4938)</f>
        <v/>
      </c>
      <c r="J4938" s="11">
        <f>MAX(0,M4938-N4938)</f>
        <v/>
      </c>
      <c r="K4938" s="11">
        <f>O4938</f>
        <v/>
      </c>
      <c r="L4938" s="11">
        <f>L4937+IF(K4938&gt;0,K4938*Summary!$B$9,K4938/Summary!$B$9)</f>
        <v/>
      </c>
      <c r="M4938" s="11">
        <f>G4938+H4938</f>
        <v/>
      </c>
      <c r="N4938" s="11">
        <f>Summary!$C$16*Summary!$B$8</f>
        <v/>
      </c>
      <c r="O4938" s="11">
        <f>M4938-N4938</f>
        <v/>
      </c>
    </row>
    <row r="4939">
      <c r="A4939" s="9" t="n">
        <v>45497.70833333334</v>
      </c>
      <c r="B4939" t="n">
        <v>7</v>
      </c>
      <c r="C4939" t="n">
        <v>24</v>
      </c>
      <c r="D4939" t="n">
        <v>17</v>
      </c>
      <c r="E4939" s="10" t="n">
        <v>0.057443</v>
      </c>
      <c r="F4939" s="10" t="n">
        <v>0.1192428286182789</v>
      </c>
      <c r="G4939" s="11">
        <f>E4939*Summary!$B$6</f>
        <v/>
      </c>
      <c r="H4939" s="11">
        <f>F4939*Summary!$B$7</f>
        <v/>
      </c>
      <c r="I4939" s="11">
        <f>MAX(0,N4939-M4939)</f>
        <v/>
      </c>
      <c r="J4939" s="11">
        <f>MAX(0,M4939-N4939)</f>
        <v/>
      </c>
      <c r="K4939" s="11">
        <f>O4939</f>
        <v/>
      </c>
      <c r="L4939" s="11">
        <f>L4938+IF(K4939&gt;0,K4939*Summary!$B$9,K4939/Summary!$B$9)</f>
        <v/>
      </c>
      <c r="M4939" s="11">
        <f>G4939+H4939</f>
        <v/>
      </c>
      <c r="N4939" s="11">
        <f>Summary!$C$16*Summary!$B$8</f>
        <v/>
      </c>
      <c r="O4939" s="11">
        <f>M4939-N4939</f>
        <v/>
      </c>
    </row>
    <row r="4940">
      <c r="A4940" s="9" t="n">
        <v>45497.75</v>
      </c>
      <c r="B4940" t="n">
        <v>7</v>
      </c>
      <c r="C4940" t="n">
        <v>24</v>
      </c>
      <c r="D4940" t="n">
        <v>18</v>
      </c>
      <c r="E4940" s="10" t="n">
        <v>0.031174</v>
      </c>
      <c r="F4940" s="10" t="n">
        <v>0.1162123478909635</v>
      </c>
      <c r="G4940" s="11">
        <f>E4940*Summary!$B$6</f>
        <v/>
      </c>
      <c r="H4940" s="11">
        <f>F4940*Summary!$B$7</f>
        <v/>
      </c>
      <c r="I4940" s="11">
        <f>MAX(0,N4940-M4940)</f>
        <v/>
      </c>
      <c r="J4940" s="11">
        <f>MAX(0,M4940-N4940)</f>
        <v/>
      </c>
      <c r="K4940" s="11">
        <f>O4940</f>
        <v/>
      </c>
      <c r="L4940" s="11">
        <f>L4939+IF(K4940&gt;0,K4940*Summary!$B$9,K4940/Summary!$B$9)</f>
        <v/>
      </c>
      <c r="M4940" s="11">
        <f>G4940+H4940</f>
        <v/>
      </c>
      <c r="N4940" s="11">
        <f>Summary!$C$16*Summary!$B$8</f>
        <v/>
      </c>
      <c r="O4940" s="11">
        <f>M4940-N4940</f>
        <v/>
      </c>
    </row>
    <row r="4941">
      <c r="A4941" s="9" t="n">
        <v>45497.79166666666</v>
      </c>
      <c r="B4941" t="n">
        <v>7</v>
      </c>
      <c r="C4941" t="n">
        <v>24</v>
      </c>
      <c r="D4941" t="n">
        <v>19</v>
      </c>
      <c r="E4941" s="10" t="n">
        <v>0.019986</v>
      </c>
      <c r="F4941" s="10" t="n">
        <v>0.116185995884639</v>
      </c>
      <c r="G4941" s="11">
        <f>E4941*Summary!$B$6</f>
        <v/>
      </c>
      <c r="H4941" s="11">
        <f>F4941*Summary!$B$7</f>
        <v/>
      </c>
      <c r="I4941" s="11">
        <f>MAX(0,N4941-M4941)</f>
        <v/>
      </c>
      <c r="J4941" s="11">
        <f>MAX(0,M4941-N4941)</f>
        <v/>
      </c>
      <c r="K4941" s="11">
        <f>O4941</f>
        <v/>
      </c>
      <c r="L4941" s="11">
        <f>L4940+IF(K4941&gt;0,K4941*Summary!$B$9,K4941/Summary!$B$9)</f>
        <v/>
      </c>
      <c r="M4941" s="11">
        <f>G4941+H4941</f>
        <v/>
      </c>
      <c r="N4941" s="11">
        <f>Summary!$C$16*Summary!$B$8</f>
        <v/>
      </c>
      <c r="O4941" s="11">
        <f>M4941-N4941</f>
        <v/>
      </c>
    </row>
    <row r="4942">
      <c r="A4942" s="9" t="n">
        <v>45497.83333333334</v>
      </c>
      <c r="B4942" t="n">
        <v>7</v>
      </c>
      <c r="C4942" t="n">
        <v>24</v>
      </c>
      <c r="D4942" t="n">
        <v>20</v>
      </c>
      <c r="E4942" s="10" t="n">
        <v>0</v>
      </c>
      <c r="F4942" s="10" t="n">
        <v>0.1280971027433047</v>
      </c>
      <c r="G4942" s="11">
        <f>E4942*Summary!$B$6</f>
        <v/>
      </c>
      <c r="H4942" s="11">
        <f>F4942*Summary!$B$7</f>
        <v/>
      </c>
      <c r="I4942" s="11">
        <f>MAX(0,N4942-M4942)</f>
        <v/>
      </c>
      <c r="J4942" s="11">
        <f>MAX(0,M4942-N4942)</f>
        <v/>
      </c>
      <c r="K4942" s="11">
        <f>O4942</f>
        <v/>
      </c>
      <c r="L4942" s="11">
        <f>L4941+IF(K4942&gt;0,K4942*Summary!$B$9,K4942/Summary!$B$9)</f>
        <v/>
      </c>
      <c r="M4942" s="11">
        <f>G4942+H4942</f>
        <v/>
      </c>
      <c r="N4942" s="11">
        <f>Summary!$C$16*Summary!$B$8</f>
        <v/>
      </c>
      <c r="O4942" s="11">
        <f>M4942-N4942</f>
        <v/>
      </c>
    </row>
    <row r="4943">
      <c r="A4943" s="9" t="n">
        <v>45497.875</v>
      </c>
      <c r="B4943" t="n">
        <v>7</v>
      </c>
      <c r="C4943" t="n">
        <v>24</v>
      </c>
      <c r="D4943" t="n">
        <v>21</v>
      </c>
      <c r="E4943" s="10" t="n">
        <v>0</v>
      </c>
      <c r="F4943" s="10" t="n">
        <v>0.141246753899221</v>
      </c>
      <c r="G4943" s="11">
        <f>E4943*Summary!$B$6</f>
        <v/>
      </c>
      <c r="H4943" s="11">
        <f>F4943*Summary!$B$7</f>
        <v/>
      </c>
      <c r="I4943" s="11">
        <f>MAX(0,N4943-M4943)</f>
        <v/>
      </c>
      <c r="J4943" s="11">
        <f>MAX(0,M4943-N4943)</f>
        <v/>
      </c>
      <c r="K4943" s="11">
        <f>O4943</f>
        <v/>
      </c>
      <c r="L4943" s="11">
        <f>L4942+IF(K4943&gt;0,K4943*Summary!$B$9,K4943/Summary!$B$9)</f>
        <v/>
      </c>
      <c r="M4943" s="11">
        <f>G4943+H4943</f>
        <v/>
      </c>
      <c r="N4943" s="11">
        <f>Summary!$C$16*Summary!$B$8</f>
        <v/>
      </c>
      <c r="O4943" s="11">
        <f>M4943-N4943</f>
        <v/>
      </c>
    </row>
    <row r="4944">
      <c r="A4944" s="9" t="n">
        <v>45497.91666666666</v>
      </c>
      <c r="B4944" t="n">
        <v>7</v>
      </c>
      <c r="C4944" t="n">
        <v>24</v>
      </c>
      <c r="D4944" t="n">
        <v>22</v>
      </c>
      <c r="E4944" s="10" t="n">
        <v>0</v>
      </c>
      <c r="F4944" s="10" t="n">
        <v>0.1490996517839164</v>
      </c>
      <c r="G4944" s="11">
        <f>E4944*Summary!$B$6</f>
        <v/>
      </c>
      <c r="H4944" s="11">
        <f>F4944*Summary!$B$7</f>
        <v/>
      </c>
      <c r="I4944" s="11">
        <f>MAX(0,N4944-M4944)</f>
        <v/>
      </c>
      <c r="J4944" s="11">
        <f>MAX(0,M4944-N4944)</f>
        <v/>
      </c>
      <c r="K4944" s="11">
        <f>O4944</f>
        <v/>
      </c>
      <c r="L4944" s="11">
        <f>L4943+IF(K4944&gt;0,K4944*Summary!$B$9,K4944/Summary!$B$9)</f>
        <v/>
      </c>
      <c r="M4944" s="11">
        <f>G4944+H4944</f>
        <v/>
      </c>
      <c r="N4944" s="11">
        <f>Summary!$C$16*Summary!$B$8</f>
        <v/>
      </c>
      <c r="O4944" s="11">
        <f>M4944-N4944</f>
        <v/>
      </c>
    </row>
    <row r="4945">
      <c r="A4945" s="9" t="n">
        <v>45497.95833333334</v>
      </c>
      <c r="B4945" t="n">
        <v>7</v>
      </c>
      <c r="C4945" t="n">
        <v>24</v>
      </c>
      <c r="D4945" t="n">
        <v>23</v>
      </c>
      <c r="E4945" s="10" t="n">
        <v>0</v>
      </c>
      <c r="F4945" s="10" t="n">
        <v>0.1593505822441398</v>
      </c>
      <c r="G4945" s="11">
        <f>E4945*Summary!$B$6</f>
        <v/>
      </c>
      <c r="H4945" s="11">
        <f>F4945*Summary!$B$7</f>
        <v/>
      </c>
      <c r="I4945" s="11">
        <f>MAX(0,N4945-M4945)</f>
        <v/>
      </c>
      <c r="J4945" s="11">
        <f>MAX(0,M4945-N4945)</f>
        <v/>
      </c>
      <c r="K4945" s="11">
        <f>O4945</f>
        <v/>
      </c>
      <c r="L4945" s="11">
        <f>L4944+IF(K4945&gt;0,K4945*Summary!$B$9,K4945/Summary!$B$9)</f>
        <v/>
      </c>
      <c r="M4945" s="11">
        <f>G4945+H4945</f>
        <v/>
      </c>
      <c r="N4945" s="11">
        <f>Summary!$C$16*Summary!$B$8</f>
        <v/>
      </c>
      <c r="O4945" s="11">
        <f>M4945-N4945</f>
        <v/>
      </c>
    </row>
    <row r="4946">
      <c r="A4946" s="9" t="n">
        <v>45498</v>
      </c>
      <c r="B4946" t="n">
        <v>7</v>
      </c>
      <c r="C4946" t="n">
        <v>25</v>
      </c>
      <c r="D4946" t="n">
        <v>0</v>
      </c>
      <c r="E4946" s="10" t="n">
        <v>0</v>
      </c>
      <c r="F4946" s="10" t="n">
        <v>0.2168506600441584</v>
      </c>
      <c r="G4946" s="11">
        <f>E4946*Summary!$B$6</f>
        <v/>
      </c>
      <c r="H4946" s="11">
        <f>F4946*Summary!$B$7</f>
        <v/>
      </c>
      <c r="I4946" s="11">
        <f>MAX(0,N4946-M4946)</f>
        <v/>
      </c>
      <c r="J4946" s="11">
        <f>MAX(0,M4946-N4946)</f>
        <v/>
      </c>
      <c r="K4946" s="11">
        <f>O4946</f>
        <v/>
      </c>
      <c r="L4946" s="11">
        <f>L4945+IF(K4946&gt;0,K4946*Summary!$B$9,K4946/Summary!$B$9)</f>
        <v/>
      </c>
      <c r="M4946" s="11">
        <f>G4946+H4946</f>
        <v/>
      </c>
      <c r="N4946" s="11">
        <f>Summary!$C$16*Summary!$B$8</f>
        <v/>
      </c>
      <c r="O4946" s="11">
        <f>M4946-N4946</f>
        <v/>
      </c>
    </row>
    <row r="4947">
      <c r="A4947" s="9" t="n">
        <v>45498.04166666666</v>
      </c>
      <c r="B4947" t="n">
        <v>7</v>
      </c>
      <c r="C4947" t="n">
        <v>25</v>
      </c>
      <c r="D4947" t="n">
        <v>1</v>
      </c>
      <c r="E4947" s="10" t="n">
        <v>0</v>
      </c>
      <c r="F4947" s="10" t="n">
        <v>0.142617058228094</v>
      </c>
      <c r="G4947" s="11">
        <f>E4947*Summary!$B$6</f>
        <v/>
      </c>
      <c r="H4947" s="11">
        <f>F4947*Summary!$B$7</f>
        <v/>
      </c>
      <c r="I4947" s="11">
        <f>MAX(0,N4947-M4947)</f>
        <v/>
      </c>
      <c r="J4947" s="11">
        <f>MAX(0,M4947-N4947)</f>
        <v/>
      </c>
      <c r="K4947" s="11">
        <f>O4947</f>
        <v/>
      </c>
      <c r="L4947" s="11">
        <f>L4946+IF(K4947&gt;0,K4947*Summary!$B$9,K4947/Summary!$B$9)</f>
        <v/>
      </c>
      <c r="M4947" s="11">
        <f>G4947+H4947</f>
        <v/>
      </c>
      <c r="N4947" s="11">
        <f>Summary!$C$16*Summary!$B$8</f>
        <v/>
      </c>
      <c r="O4947" s="11">
        <f>M4947-N4947</f>
        <v/>
      </c>
    </row>
    <row r="4948">
      <c r="A4948" s="9" t="n">
        <v>45498.08333333334</v>
      </c>
      <c r="B4948" t="n">
        <v>7</v>
      </c>
      <c r="C4948" t="n">
        <v>25</v>
      </c>
      <c r="D4948" t="n">
        <v>2</v>
      </c>
      <c r="E4948" s="10" t="n">
        <v>0</v>
      </c>
      <c r="F4948" s="10" t="n">
        <v>0.1357918885900533</v>
      </c>
      <c r="G4948" s="11">
        <f>E4948*Summary!$B$6</f>
        <v/>
      </c>
      <c r="H4948" s="11">
        <f>F4948*Summary!$B$7</f>
        <v/>
      </c>
      <c r="I4948" s="11">
        <f>MAX(0,N4948-M4948)</f>
        <v/>
      </c>
      <c r="J4948" s="11">
        <f>MAX(0,M4948-N4948)</f>
        <v/>
      </c>
      <c r="K4948" s="11">
        <f>O4948</f>
        <v/>
      </c>
      <c r="L4948" s="11">
        <f>L4947+IF(K4948&gt;0,K4948*Summary!$B$9,K4948/Summary!$B$9)</f>
        <v/>
      </c>
      <c r="M4948" s="11">
        <f>G4948+H4948</f>
        <v/>
      </c>
      <c r="N4948" s="11">
        <f>Summary!$C$16*Summary!$B$8</f>
        <v/>
      </c>
      <c r="O4948" s="11">
        <f>M4948-N4948</f>
        <v/>
      </c>
    </row>
    <row r="4949">
      <c r="A4949" s="9" t="n">
        <v>45498.125</v>
      </c>
      <c r="B4949" t="n">
        <v>7</v>
      </c>
      <c r="C4949" t="n">
        <v>25</v>
      </c>
      <c r="D4949" t="n">
        <v>3</v>
      </c>
      <c r="E4949" s="10" t="n">
        <v>0</v>
      </c>
      <c r="F4949" s="10" t="n">
        <v>0.1259098862183727</v>
      </c>
      <c r="G4949" s="11">
        <f>E4949*Summary!$B$6</f>
        <v/>
      </c>
      <c r="H4949" s="11">
        <f>F4949*Summary!$B$7</f>
        <v/>
      </c>
      <c r="I4949" s="11">
        <f>MAX(0,N4949-M4949)</f>
        <v/>
      </c>
      <c r="J4949" s="11">
        <f>MAX(0,M4949-N4949)</f>
        <v/>
      </c>
      <c r="K4949" s="11">
        <f>O4949</f>
        <v/>
      </c>
      <c r="L4949" s="11">
        <f>L4948+IF(K4949&gt;0,K4949*Summary!$B$9,K4949/Summary!$B$9)</f>
        <v/>
      </c>
      <c r="M4949" s="11">
        <f>G4949+H4949</f>
        <v/>
      </c>
      <c r="N4949" s="11">
        <f>Summary!$C$16*Summary!$B$8</f>
        <v/>
      </c>
      <c r="O4949" s="11">
        <f>M4949-N4949</f>
        <v/>
      </c>
    </row>
    <row r="4950">
      <c r="A4950" s="9" t="n">
        <v>45498.16666666666</v>
      </c>
      <c r="B4950" t="n">
        <v>7</v>
      </c>
      <c r="C4950" t="n">
        <v>25</v>
      </c>
      <c r="D4950" t="n">
        <v>4</v>
      </c>
      <c r="E4950" s="10" t="n">
        <v>0.00783</v>
      </c>
      <c r="F4950" s="10" t="n">
        <v>0.1167393880174531</v>
      </c>
      <c r="G4950" s="11">
        <f>E4950*Summary!$B$6</f>
        <v/>
      </c>
      <c r="H4950" s="11">
        <f>F4950*Summary!$B$7</f>
        <v/>
      </c>
      <c r="I4950" s="11">
        <f>MAX(0,N4950-M4950)</f>
        <v/>
      </c>
      <c r="J4950" s="11">
        <f>MAX(0,M4950-N4950)</f>
        <v/>
      </c>
      <c r="K4950" s="11">
        <f>O4950</f>
        <v/>
      </c>
      <c r="L4950" s="11">
        <f>L4949+IF(K4950&gt;0,K4950*Summary!$B$9,K4950/Summary!$B$9)</f>
        <v/>
      </c>
      <c r="M4950" s="11">
        <f>G4950+H4950</f>
        <v/>
      </c>
      <c r="N4950" s="11">
        <f>Summary!$C$16*Summary!$B$8</f>
        <v/>
      </c>
      <c r="O4950" s="11">
        <f>M4950-N4950</f>
        <v/>
      </c>
    </row>
    <row r="4951">
      <c r="A4951" s="9" t="n">
        <v>45498.20833333334</v>
      </c>
      <c r="B4951" t="n">
        <v>7</v>
      </c>
      <c r="C4951" t="n">
        <v>25</v>
      </c>
      <c r="D4951" t="n">
        <v>5</v>
      </c>
      <c r="E4951" s="10" t="n">
        <v>0.022677</v>
      </c>
      <c r="F4951" s="10" t="n">
        <v>0.1046965211271651</v>
      </c>
      <c r="G4951" s="11">
        <f>E4951*Summary!$B$6</f>
        <v/>
      </c>
      <c r="H4951" s="11">
        <f>F4951*Summary!$B$7</f>
        <v/>
      </c>
      <c r="I4951" s="11">
        <f>MAX(0,N4951-M4951)</f>
        <v/>
      </c>
      <c r="J4951" s="11">
        <f>MAX(0,M4951-N4951)</f>
        <v/>
      </c>
      <c r="K4951" s="11">
        <f>O4951</f>
        <v/>
      </c>
      <c r="L4951" s="11">
        <f>L4950+IF(K4951&gt;0,K4951*Summary!$B$9,K4951/Summary!$B$9)</f>
        <v/>
      </c>
      <c r="M4951" s="11">
        <f>G4951+H4951</f>
        <v/>
      </c>
      <c r="N4951" s="11">
        <f>Summary!$C$16*Summary!$B$8</f>
        <v/>
      </c>
      <c r="O4951" s="11">
        <f>M4951-N4951</f>
        <v/>
      </c>
    </row>
    <row r="4952">
      <c r="A4952" s="9" t="n">
        <v>45498.25</v>
      </c>
      <c r="B4952" t="n">
        <v>7</v>
      </c>
      <c r="C4952" t="n">
        <v>25</v>
      </c>
      <c r="D4952" t="n">
        <v>6</v>
      </c>
      <c r="E4952" s="10" t="n">
        <v>0.084187</v>
      </c>
      <c r="F4952" s="10" t="n">
        <v>0.09378679050882972</v>
      </c>
      <c r="G4952" s="11">
        <f>E4952*Summary!$B$6</f>
        <v/>
      </c>
      <c r="H4952" s="11">
        <f>F4952*Summary!$B$7</f>
        <v/>
      </c>
      <c r="I4952" s="11">
        <f>MAX(0,N4952-M4952)</f>
        <v/>
      </c>
      <c r="J4952" s="11">
        <f>MAX(0,M4952-N4952)</f>
        <v/>
      </c>
      <c r="K4952" s="11">
        <f>O4952</f>
        <v/>
      </c>
      <c r="L4952" s="11">
        <f>L4951+IF(K4952&gt;0,K4952*Summary!$B$9,K4952/Summary!$B$9)</f>
        <v/>
      </c>
      <c r="M4952" s="11">
        <f>G4952+H4952</f>
        <v/>
      </c>
      <c r="N4952" s="11">
        <f>Summary!$C$16*Summary!$B$8</f>
        <v/>
      </c>
      <c r="O4952" s="11">
        <f>M4952-N4952</f>
        <v/>
      </c>
    </row>
    <row r="4953">
      <c r="A4953" s="9" t="n">
        <v>45498.29166666666</v>
      </c>
      <c r="B4953" t="n">
        <v>7</v>
      </c>
      <c r="C4953" t="n">
        <v>25</v>
      </c>
      <c r="D4953" t="n">
        <v>7</v>
      </c>
      <c r="E4953" s="10" t="n">
        <v>0.152505</v>
      </c>
      <c r="F4953" s="10" t="n">
        <v>0.0908090137941633</v>
      </c>
      <c r="G4953" s="11">
        <f>E4953*Summary!$B$6</f>
        <v/>
      </c>
      <c r="H4953" s="11">
        <f>F4953*Summary!$B$7</f>
        <v/>
      </c>
      <c r="I4953" s="11">
        <f>MAX(0,N4953-M4953)</f>
        <v/>
      </c>
      <c r="J4953" s="11">
        <f>MAX(0,M4953-N4953)</f>
        <v/>
      </c>
      <c r="K4953" s="11">
        <f>O4953</f>
        <v/>
      </c>
      <c r="L4953" s="11">
        <f>L4952+IF(K4953&gt;0,K4953*Summary!$B$9,K4953/Summary!$B$9)</f>
        <v/>
      </c>
      <c r="M4953" s="11">
        <f>G4953+H4953</f>
        <v/>
      </c>
      <c r="N4953" s="11">
        <f>Summary!$C$16*Summary!$B$8</f>
        <v/>
      </c>
      <c r="O4953" s="11">
        <f>M4953-N4953</f>
        <v/>
      </c>
    </row>
    <row r="4954">
      <c r="A4954" s="9" t="n">
        <v>45498.33333333334</v>
      </c>
      <c r="B4954" t="n">
        <v>7</v>
      </c>
      <c r="C4954" t="n">
        <v>25</v>
      </c>
      <c r="D4954" t="n">
        <v>8</v>
      </c>
      <c r="E4954" s="10" t="n">
        <v>0.257192</v>
      </c>
      <c r="F4954" s="10" t="n">
        <v>0.09642199114127788</v>
      </c>
      <c r="G4954" s="11">
        <f>E4954*Summary!$B$6</f>
        <v/>
      </c>
      <c r="H4954" s="11">
        <f>F4954*Summary!$B$7</f>
        <v/>
      </c>
      <c r="I4954" s="11">
        <f>MAX(0,N4954-M4954)</f>
        <v/>
      </c>
      <c r="J4954" s="11">
        <f>MAX(0,M4954-N4954)</f>
        <v/>
      </c>
      <c r="K4954" s="11">
        <f>O4954</f>
        <v/>
      </c>
      <c r="L4954" s="11">
        <f>L4953+IF(K4954&gt;0,K4954*Summary!$B$9,K4954/Summary!$B$9)</f>
        <v/>
      </c>
      <c r="M4954" s="11">
        <f>G4954+H4954</f>
        <v/>
      </c>
      <c r="N4954" s="11">
        <f>Summary!$C$16*Summary!$B$8</f>
        <v/>
      </c>
      <c r="O4954" s="11">
        <f>M4954-N4954</f>
        <v/>
      </c>
    </row>
    <row r="4955">
      <c r="A4955" s="9" t="n">
        <v>45498.375</v>
      </c>
      <c r="B4955" t="n">
        <v>7</v>
      </c>
      <c r="C4955" t="n">
        <v>25</v>
      </c>
      <c r="D4955" t="n">
        <v>9</v>
      </c>
      <c r="E4955" s="10" t="n">
        <v>0.514337</v>
      </c>
      <c r="F4955" s="10" t="n">
        <v>0.1075688898165335</v>
      </c>
      <c r="G4955" s="11">
        <f>E4955*Summary!$B$6</f>
        <v/>
      </c>
      <c r="H4955" s="11">
        <f>F4955*Summary!$B$7</f>
        <v/>
      </c>
      <c r="I4955" s="11">
        <f>MAX(0,N4955-M4955)</f>
        <v/>
      </c>
      <c r="J4955" s="11">
        <f>MAX(0,M4955-N4955)</f>
        <v/>
      </c>
      <c r="K4955" s="11">
        <f>O4955</f>
        <v/>
      </c>
      <c r="L4955" s="11">
        <f>L4954+IF(K4955&gt;0,K4955*Summary!$B$9,K4955/Summary!$B$9)</f>
        <v/>
      </c>
      <c r="M4955" s="11">
        <f>G4955+H4955</f>
        <v/>
      </c>
      <c r="N4955" s="11">
        <f>Summary!$C$16*Summary!$B$8</f>
        <v/>
      </c>
      <c r="O4955" s="11">
        <f>M4955-N4955</f>
        <v/>
      </c>
    </row>
    <row r="4956">
      <c r="A4956" s="9" t="n">
        <v>45498.41666666666</v>
      </c>
      <c r="B4956" t="n">
        <v>7</v>
      </c>
      <c r="C4956" t="n">
        <v>25</v>
      </c>
      <c r="D4956" t="n">
        <v>10</v>
      </c>
      <c r="E4956" s="10" t="n">
        <v>0.655567</v>
      </c>
      <c r="F4956" s="10" t="n">
        <v>0.1230902215416532</v>
      </c>
      <c r="G4956" s="11">
        <f>E4956*Summary!$B$6</f>
        <v/>
      </c>
      <c r="H4956" s="11">
        <f>F4956*Summary!$B$7</f>
        <v/>
      </c>
      <c r="I4956" s="11">
        <f>MAX(0,N4956-M4956)</f>
        <v/>
      </c>
      <c r="J4956" s="11">
        <f>MAX(0,M4956-N4956)</f>
        <v/>
      </c>
      <c r="K4956" s="11">
        <f>O4956</f>
        <v/>
      </c>
      <c r="L4956" s="11">
        <f>L4955+IF(K4956&gt;0,K4956*Summary!$B$9,K4956/Summary!$B$9)</f>
        <v/>
      </c>
      <c r="M4956" s="11">
        <f>G4956+H4956</f>
        <v/>
      </c>
      <c r="N4956" s="11">
        <f>Summary!$C$16*Summary!$B$8</f>
        <v/>
      </c>
      <c r="O4956" s="11">
        <f>M4956-N4956</f>
        <v/>
      </c>
    </row>
    <row r="4957">
      <c r="A4957" s="9" t="n">
        <v>45498.45833333334</v>
      </c>
      <c r="B4957" t="n">
        <v>7</v>
      </c>
      <c r="C4957" t="n">
        <v>25</v>
      </c>
      <c r="D4957" t="n">
        <v>11</v>
      </c>
      <c r="E4957" s="10" t="n">
        <v>0.461901</v>
      </c>
      <c r="F4957" s="10" t="n">
        <v>0.1407987697917047</v>
      </c>
      <c r="G4957" s="11">
        <f>E4957*Summary!$B$6</f>
        <v/>
      </c>
      <c r="H4957" s="11">
        <f>F4957*Summary!$B$7</f>
        <v/>
      </c>
      <c r="I4957" s="11">
        <f>MAX(0,N4957-M4957)</f>
        <v/>
      </c>
      <c r="J4957" s="11">
        <f>MAX(0,M4957-N4957)</f>
        <v/>
      </c>
      <c r="K4957" s="11">
        <f>O4957</f>
        <v/>
      </c>
      <c r="L4957" s="11">
        <f>L4956+IF(K4957&gt;0,K4957*Summary!$B$9,K4957/Summary!$B$9)</f>
        <v/>
      </c>
      <c r="M4957" s="11">
        <f>G4957+H4957</f>
        <v/>
      </c>
      <c r="N4957" s="11">
        <f>Summary!$C$16*Summary!$B$8</f>
        <v/>
      </c>
      <c r="O4957" s="11">
        <f>M4957-N4957</f>
        <v/>
      </c>
    </row>
    <row r="4958">
      <c r="A4958" s="9" t="n">
        <v>45498.5</v>
      </c>
      <c r="B4958" t="n">
        <v>7</v>
      </c>
      <c r="C4958" t="n">
        <v>25</v>
      </c>
      <c r="D4958" t="n">
        <v>12</v>
      </c>
      <c r="E4958" s="10" t="n">
        <v>0.515277</v>
      </c>
      <c r="F4958" s="10" t="n">
        <v>0.158322853997485</v>
      </c>
      <c r="G4958" s="11">
        <f>E4958*Summary!$B$6</f>
        <v/>
      </c>
      <c r="H4958" s="11">
        <f>F4958*Summary!$B$7</f>
        <v/>
      </c>
      <c r="I4958" s="11">
        <f>MAX(0,N4958-M4958)</f>
        <v/>
      </c>
      <c r="J4958" s="11">
        <f>MAX(0,M4958-N4958)</f>
        <v/>
      </c>
      <c r="K4958" s="11">
        <f>O4958</f>
        <v/>
      </c>
      <c r="L4958" s="11">
        <f>L4957+IF(K4958&gt;0,K4958*Summary!$B$9,K4958/Summary!$B$9)</f>
        <v/>
      </c>
      <c r="M4958" s="11">
        <f>G4958+H4958</f>
        <v/>
      </c>
      <c r="N4958" s="11">
        <f>Summary!$C$16*Summary!$B$8</f>
        <v/>
      </c>
      <c r="O4958" s="11">
        <f>M4958-N4958</f>
        <v/>
      </c>
    </row>
    <row r="4959">
      <c r="A4959" s="9" t="n">
        <v>45498.54166666666</v>
      </c>
      <c r="B4959" t="n">
        <v>7</v>
      </c>
      <c r="C4959" t="n">
        <v>25</v>
      </c>
      <c r="D4959" t="n">
        <v>13</v>
      </c>
      <c r="E4959" s="10" t="n">
        <v>0.452006</v>
      </c>
      <c r="F4959" s="10" t="n">
        <v>0.1731853855644925</v>
      </c>
      <c r="G4959" s="11">
        <f>E4959*Summary!$B$6</f>
        <v/>
      </c>
      <c r="H4959" s="11">
        <f>F4959*Summary!$B$7</f>
        <v/>
      </c>
      <c r="I4959" s="11">
        <f>MAX(0,N4959-M4959)</f>
        <v/>
      </c>
      <c r="J4959" s="11">
        <f>MAX(0,M4959-N4959)</f>
        <v/>
      </c>
      <c r="K4959" s="11">
        <f>O4959</f>
        <v/>
      </c>
      <c r="L4959" s="11">
        <f>L4958+IF(K4959&gt;0,K4959*Summary!$B$9,K4959/Summary!$B$9)</f>
        <v/>
      </c>
      <c r="M4959" s="11">
        <f>G4959+H4959</f>
        <v/>
      </c>
      <c r="N4959" s="11">
        <f>Summary!$C$16*Summary!$B$8</f>
        <v/>
      </c>
      <c r="O4959" s="11">
        <f>M4959-N4959</f>
        <v/>
      </c>
    </row>
    <row r="4960">
      <c r="A4960" s="9" t="n">
        <v>45498.58333333334</v>
      </c>
      <c r="B4960" t="n">
        <v>7</v>
      </c>
      <c r="C4960" t="n">
        <v>25</v>
      </c>
      <c r="D4960" t="n">
        <v>14</v>
      </c>
      <c r="E4960" s="10" t="n">
        <v>0.301937</v>
      </c>
      <c r="F4960" s="10" t="n">
        <v>0.1820660116958428</v>
      </c>
      <c r="G4960" s="11">
        <f>E4960*Summary!$B$6</f>
        <v/>
      </c>
      <c r="H4960" s="11">
        <f>F4960*Summary!$B$7</f>
        <v/>
      </c>
      <c r="I4960" s="11">
        <f>MAX(0,N4960-M4960)</f>
        <v/>
      </c>
      <c r="J4960" s="11">
        <f>MAX(0,M4960-N4960)</f>
        <v/>
      </c>
      <c r="K4960" s="11">
        <f>O4960</f>
        <v/>
      </c>
      <c r="L4960" s="11">
        <f>L4959+IF(K4960&gt;0,K4960*Summary!$B$9,K4960/Summary!$B$9)</f>
        <v/>
      </c>
      <c r="M4960" s="11">
        <f>G4960+H4960</f>
        <v/>
      </c>
      <c r="N4960" s="11">
        <f>Summary!$C$16*Summary!$B$8</f>
        <v/>
      </c>
      <c r="O4960" s="11">
        <f>M4960-N4960</f>
        <v/>
      </c>
    </row>
    <row r="4961">
      <c r="A4961" s="9" t="n">
        <v>45498.625</v>
      </c>
      <c r="B4961" t="n">
        <v>7</v>
      </c>
      <c r="C4961" t="n">
        <v>25</v>
      </c>
      <c r="D4961" t="n">
        <v>15</v>
      </c>
      <c r="E4961" s="10" t="n">
        <v>0.164559</v>
      </c>
      <c r="F4961" s="10" t="n">
        <v>0.186730316815276</v>
      </c>
      <c r="G4961" s="11">
        <f>E4961*Summary!$B$6</f>
        <v/>
      </c>
      <c r="H4961" s="11">
        <f>F4961*Summary!$B$7</f>
        <v/>
      </c>
      <c r="I4961" s="11">
        <f>MAX(0,N4961-M4961)</f>
        <v/>
      </c>
      <c r="J4961" s="11">
        <f>MAX(0,M4961-N4961)</f>
        <v/>
      </c>
      <c r="K4961" s="11">
        <f>O4961</f>
        <v/>
      </c>
      <c r="L4961" s="11">
        <f>L4960+IF(K4961&gt;0,K4961*Summary!$B$9,K4961/Summary!$B$9)</f>
        <v/>
      </c>
      <c r="M4961" s="11">
        <f>G4961+H4961</f>
        <v/>
      </c>
      <c r="N4961" s="11">
        <f>Summary!$C$16*Summary!$B$8</f>
        <v/>
      </c>
      <c r="O4961" s="11">
        <f>M4961-N4961</f>
        <v/>
      </c>
    </row>
    <row r="4962">
      <c r="A4962" s="9" t="n">
        <v>45498.66666666666</v>
      </c>
      <c r="B4962" t="n">
        <v>7</v>
      </c>
      <c r="C4962" t="n">
        <v>25</v>
      </c>
      <c r="D4962" t="n">
        <v>16</v>
      </c>
      <c r="E4962" s="10" t="n">
        <v>0.133306</v>
      </c>
      <c r="F4962" s="10" t="n">
        <v>0.1866249087899781</v>
      </c>
      <c r="G4962" s="11">
        <f>E4962*Summary!$B$6</f>
        <v/>
      </c>
      <c r="H4962" s="11">
        <f>F4962*Summary!$B$7</f>
        <v/>
      </c>
      <c r="I4962" s="11">
        <f>MAX(0,N4962-M4962)</f>
        <v/>
      </c>
      <c r="J4962" s="11">
        <f>MAX(0,M4962-N4962)</f>
        <v/>
      </c>
      <c r="K4962" s="11">
        <f>O4962</f>
        <v/>
      </c>
      <c r="L4962" s="11">
        <f>L4961+IF(K4962&gt;0,K4962*Summary!$B$9,K4962/Summary!$B$9)</f>
        <v/>
      </c>
      <c r="M4962" s="11">
        <f>G4962+H4962</f>
        <v/>
      </c>
      <c r="N4962" s="11">
        <f>Summary!$C$16*Summary!$B$8</f>
        <v/>
      </c>
      <c r="O4962" s="11">
        <f>M4962-N4962</f>
        <v/>
      </c>
    </row>
    <row r="4963">
      <c r="A4963" s="9" t="n">
        <v>45498.70833333334</v>
      </c>
      <c r="B4963" t="n">
        <v>7</v>
      </c>
      <c r="C4963" t="n">
        <v>25</v>
      </c>
      <c r="D4963" t="n">
        <v>17</v>
      </c>
      <c r="E4963" s="10" t="n">
        <v>0.078401</v>
      </c>
      <c r="F4963" s="10" t="n">
        <v>0.1850701404168337</v>
      </c>
      <c r="G4963" s="11">
        <f>E4963*Summary!$B$6</f>
        <v/>
      </c>
      <c r="H4963" s="11">
        <f>F4963*Summary!$B$7</f>
        <v/>
      </c>
      <c r="I4963" s="11">
        <f>MAX(0,N4963-M4963)</f>
        <v/>
      </c>
      <c r="J4963" s="11">
        <f>MAX(0,M4963-N4963)</f>
        <v/>
      </c>
      <c r="K4963" s="11">
        <f>O4963</f>
        <v/>
      </c>
      <c r="L4963" s="11">
        <f>L4962+IF(K4963&gt;0,K4963*Summary!$B$9,K4963/Summary!$B$9)</f>
        <v/>
      </c>
      <c r="M4963" s="11">
        <f>G4963+H4963</f>
        <v/>
      </c>
      <c r="N4963" s="11">
        <f>Summary!$C$16*Summary!$B$8</f>
        <v/>
      </c>
      <c r="O4963" s="11">
        <f>M4963-N4963</f>
        <v/>
      </c>
    </row>
    <row r="4964">
      <c r="A4964" s="9" t="n">
        <v>45498.75</v>
      </c>
      <c r="B4964" t="n">
        <v>7</v>
      </c>
      <c r="C4964" t="n">
        <v>25</v>
      </c>
      <c r="D4964" t="n">
        <v>18</v>
      </c>
      <c r="E4964" s="10" t="n">
        <v>0.049832</v>
      </c>
      <c r="F4964" s="10" t="n">
        <v>0.1795889231013416</v>
      </c>
      <c r="G4964" s="11">
        <f>E4964*Summary!$B$6</f>
        <v/>
      </c>
      <c r="H4964" s="11">
        <f>F4964*Summary!$B$7</f>
        <v/>
      </c>
      <c r="I4964" s="11">
        <f>MAX(0,N4964-M4964)</f>
        <v/>
      </c>
      <c r="J4964" s="11">
        <f>MAX(0,M4964-N4964)</f>
        <v/>
      </c>
      <c r="K4964" s="11">
        <f>O4964</f>
        <v/>
      </c>
      <c r="L4964" s="11">
        <f>L4963+IF(K4964&gt;0,K4964*Summary!$B$9,K4964/Summary!$B$9)</f>
        <v/>
      </c>
      <c r="M4964" s="11">
        <f>G4964+H4964</f>
        <v/>
      </c>
      <c r="N4964" s="11">
        <f>Summary!$C$16*Summary!$B$8</f>
        <v/>
      </c>
      <c r="O4964" s="11">
        <f>M4964-N4964</f>
        <v/>
      </c>
    </row>
    <row r="4965">
      <c r="A4965" s="9" t="n">
        <v>45498.79166666666</v>
      </c>
      <c r="B4965" t="n">
        <v>7</v>
      </c>
      <c r="C4965" t="n">
        <v>25</v>
      </c>
      <c r="D4965" t="n">
        <v>19</v>
      </c>
      <c r="E4965" s="10" t="n">
        <v>0.021551</v>
      </c>
      <c r="F4965" s="10" t="n">
        <v>0.1809065234175656</v>
      </c>
      <c r="G4965" s="11">
        <f>E4965*Summary!$B$6</f>
        <v/>
      </c>
      <c r="H4965" s="11">
        <f>F4965*Summary!$B$7</f>
        <v/>
      </c>
      <c r="I4965" s="11">
        <f>MAX(0,N4965-M4965)</f>
        <v/>
      </c>
      <c r="J4965" s="11">
        <f>MAX(0,M4965-N4965)</f>
        <v/>
      </c>
      <c r="K4965" s="11">
        <f>O4965</f>
        <v/>
      </c>
      <c r="L4965" s="11">
        <f>L4964+IF(K4965&gt;0,K4965*Summary!$B$9,K4965/Summary!$B$9)</f>
        <v/>
      </c>
      <c r="M4965" s="11">
        <f>G4965+H4965</f>
        <v/>
      </c>
      <c r="N4965" s="11">
        <f>Summary!$C$16*Summary!$B$8</f>
        <v/>
      </c>
      <c r="O4965" s="11">
        <f>M4965-N4965</f>
        <v/>
      </c>
    </row>
    <row r="4966">
      <c r="A4966" s="9" t="n">
        <v>45498.83333333334</v>
      </c>
      <c r="B4966" t="n">
        <v>7</v>
      </c>
      <c r="C4966" t="n">
        <v>25</v>
      </c>
      <c r="D4966" t="n">
        <v>20</v>
      </c>
      <c r="E4966" s="10" t="n">
        <v>0</v>
      </c>
      <c r="F4966" s="10" t="n">
        <v>0.189629037510969</v>
      </c>
      <c r="G4966" s="11">
        <f>E4966*Summary!$B$6</f>
        <v/>
      </c>
      <c r="H4966" s="11">
        <f>F4966*Summary!$B$7</f>
        <v/>
      </c>
      <c r="I4966" s="11">
        <f>MAX(0,N4966-M4966)</f>
        <v/>
      </c>
      <c r="J4966" s="11">
        <f>MAX(0,M4966-N4966)</f>
        <v/>
      </c>
      <c r="K4966" s="11">
        <f>O4966</f>
        <v/>
      </c>
      <c r="L4966" s="11">
        <f>L4965+IF(K4966&gt;0,K4966*Summary!$B$9,K4966/Summary!$B$9)</f>
        <v/>
      </c>
      <c r="M4966" s="11">
        <f>G4966+H4966</f>
        <v/>
      </c>
      <c r="N4966" s="11">
        <f>Summary!$C$16*Summary!$B$8</f>
        <v/>
      </c>
      <c r="O4966" s="11">
        <f>M4966-N4966</f>
        <v/>
      </c>
    </row>
    <row r="4967">
      <c r="A4967" s="9" t="n">
        <v>45498.875</v>
      </c>
      <c r="B4967" t="n">
        <v>7</v>
      </c>
      <c r="C4967" t="n">
        <v>25</v>
      </c>
      <c r="D4967" t="n">
        <v>21</v>
      </c>
      <c r="E4967" s="10" t="n">
        <v>0</v>
      </c>
      <c r="F4967" s="10" t="n">
        <v>0.2029368007048322</v>
      </c>
      <c r="G4967" s="11">
        <f>E4967*Summary!$B$6</f>
        <v/>
      </c>
      <c r="H4967" s="11">
        <f>F4967*Summary!$B$7</f>
        <v/>
      </c>
      <c r="I4967" s="11">
        <f>MAX(0,N4967-M4967)</f>
        <v/>
      </c>
      <c r="J4967" s="11">
        <f>MAX(0,M4967-N4967)</f>
        <v/>
      </c>
      <c r="K4967" s="11">
        <f>O4967</f>
        <v/>
      </c>
      <c r="L4967" s="11">
        <f>L4966+IF(K4967&gt;0,K4967*Summary!$B$9,K4967/Summary!$B$9)</f>
        <v/>
      </c>
      <c r="M4967" s="11">
        <f>G4967+H4967</f>
        <v/>
      </c>
      <c r="N4967" s="11">
        <f>Summary!$C$16*Summary!$B$8</f>
        <v/>
      </c>
      <c r="O4967" s="11">
        <f>M4967-N4967</f>
        <v/>
      </c>
    </row>
    <row r="4968">
      <c r="A4968" s="9" t="n">
        <v>45498.91666666666</v>
      </c>
      <c r="B4968" t="n">
        <v>7</v>
      </c>
      <c r="C4968" t="n">
        <v>25</v>
      </c>
      <c r="D4968" t="n">
        <v>22</v>
      </c>
      <c r="E4968" s="10" t="n">
        <v>0</v>
      </c>
      <c r="F4968" s="10" t="n">
        <v>0.2317658956238149</v>
      </c>
      <c r="G4968" s="11">
        <f>E4968*Summary!$B$6</f>
        <v/>
      </c>
      <c r="H4968" s="11">
        <f>F4968*Summary!$B$7</f>
        <v/>
      </c>
      <c r="I4968" s="11">
        <f>MAX(0,N4968-M4968)</f>
        <v/>
      </c>
      <c r="J4968" s="11">
        <f>MAX(0,M4968-N4968)</f>
        <v/>
      </c>
      <c r="K4968" s="11">
        <f>O4968</f>
        <v/>
      </c>
      <c r="L4968" s="11">
        <f>L4967+IF(K4968&gt;0,K4968*Summary!$B$9,K4968/Summary!$B$9)</f>
        <v/>
      </c>
      <c r="M4968" s="11">
        <f>G4968+H4968</f>
        <v/>
      </c>
      <c r="N4968" s="11">
        <f>Summary!$C$16*Summary!$B$8</f>
        <v/>
      </c>
      <c r="O4968" s="11">
        <f>M4968-N4968</f>
        <v/>
      </c>
    </row>
    <row r="4969">
      <c r="A4969" s="9" t="n">
        <v>45498.95833333334</v>
      </c>
      <c r="B4969" t="n">
        <v>7</v>
      </c>
      <c r="C4969" t="n">
        <v>25</v>
      </c>
      <c r="D4969" t="n">
        <v>23</v>
      </c>
      <c r="E4969" s="10" t="n">
        <v>0</v>
      </c>
      <c r="F4969" s="10" t="n">
        <v>0.2153222436773385</v>
      </c>
      <c r="G4969" s="11">
        <f>E4969*Summary!$B$6</f>
        <v/>
      </c>
      <c r="H4969" s="11">
        <f>F4969*Summary!$B$7</f>
        <v/>
      </c>
      <c r="I4969" s="11">
        <f>MAX(0,N4969-M4969)</f>
        <v/>
      </c>
      <c r="J4969" s="11">
        <f>MAX(0,M4969-N4969)</f>
        <v/>
      </c>
      <c r="K4969" s="11">
        <f>O4969</f>
        <v/>
      </c>
      <c r="L4969" s="11">
        <f>L4968+IF(K4969&gt;0,K4969*Summary!$B$9,K4969/Summary!$B$9)</f>
        <v/>
      </c>
      <c r="M4969" s="11">
        <f>G4969+H4969</f>
        <v/>
      </c>
      <c r="N4969" s="11">
        <f>Summary!$C$16*Summary!$B$8</f>
        <v/>
      </c>
      <c r="O4969" s="11">
        <f>M4969-N4969</f>
        <v/>
      </c>
    </row>
    <row r="4970">
      <c r="A4970" s="9" t="n">
        <v>45499</v>
      </c>
      <c r="B4970" t="n">
        <v>7</v>
      </c>
      <c r="C4970" t="n">
        <v>26</v>
      </c>
      <c r="D4970" t="n">
        <v>0</v>
      </c>
      <c r="E4970" s="10" t="n">
        <v>0</v>
      </c>
      <c r="F4970" s="10" t="n">
        <v>0.255851629404391</v>
      </c>
      <c r="G4970" s="11">
        <f>E4970*Summary!$B$6</f>
        <v/>
      </c>
      <c r="H4970" s="11">
        <f>F4970*Summary!$B$7</f>
        <v/>
      </c>
      <c r="I4970" s="11">
        <f>MAX(0,N4970-M4970)</f>
        <v/>
      </c>
      <c r="J4970" s="11">
        <f>MAX(0,M4970-N4970)</f>
        <v/>
      </c>
      <c r="K4970" s="11">
        <f>O4970</f>
        <v/>
      </c>
      <c r="L4970" s="11">
        <f>L4969+IF(K4970&gt;0,K4970*Summary!$B$9,K4970/Summary!$B$9)</f>
        <v/>
      </c>
      <c r="M4970" s="11">
        <f>G4970+H4970</f>
        <v/>
      </c>
      <c r="N4970" s="11">
        <f>Summary!$C$16*Summary!$B$8</f>
        <v/>
      </c>
      <c r="O4970" s="11">
        <f>M4970-N4970</f>
        <v/>
      </c>
    </row>
    <row r="4971">
      <c r="A4971" s="9" t="n">
        <v>45499.04166666666</v>
      </c>
      <c r="B4971" t="n">
        <v>7</v>
      </c>
      <c r="C4971" t="n">
        <v>26</v>
      </c>
      <c r="D4971" t="n">
        <v>1</v>
      </c>
      <c r="E4971" s="10" t="n">
        <v>0</v>
      </c>
      <c r="F4971" s="10" t="n">
        <v>0.21244987498797</v>
      </c>
      <c r="G4971" s="11">
        <f>E4971*Summary!$B$6</f>
        <v/>
      </c>
      <c r="H4971" s="11">
        <f>F4971*Summary!$B$7</f>
        <v/>
      </c>
      <c r="I4971" s="11">
        <f>MAX(0,N4971-M4971)</f>
        <v/>
      </c>
      <c r="J4971" s="11">
        <f>MAX(0,M4971-N4971)</f>
        <v/>
      </c>
      <c r="K4971" s="11">
        <f>O4971</f>
        <v/>
      </c>
      <c r="L4971" s="11">
        <f>L4970+IF(K4971&gt;0,K4971*Summary!$B$9,K4971/Summary!$B$9)</f>
        <v/>
      </c>
      <c r="M4971" s="11">
        <f>G4971+H4971</f>
        <v/>
      </c>
      <c r="N4971" s="11">
        <f>Summary!$C$16*Summary!$B$8</f>
        <v/>
      </c>
      <c r="O4971" s="11">
        <f>M4971-N4971</f>
        <v/>
      </c>
    </row>
    <row r="4972">
      <c r="A4972" s="9" t="n">
        <v>45499.08333333334</v>
      </c>
      <c r="B4972" t="n">
        <v>7</v>
      </c>
      <c r="C4972" t="n">
        <v>26</v>
      </c>
      <c r="D4972" t="n">
        <v>2</v>
      </c>
      <c r="E4972" s="10" t="n">
        <v>0</v>
      </c>
      <c r="F4972" s="10" t="n">
        <v>0.2029895047174811</v>
      </c>
      <c r="G4972" s="11">
        <f>E4972*Summary!$B$6</f>
        <v/>
      </c>
      <c r="H4972" s="11">
        <f>F4972*Summary!$B$7</f>
        <v/>
      </c>
      <c r="I4972" s="11">
        <f>MAX(0,N4972-M4972)</f>
        <v/>
      </c>
      <c r="J4972" s="11">
        <f>MAX(0,M4972-N4972)</f>
        <v/>
      </c>
      <c r="K4972" s="11">
        <f>O4972</f>
        <v/>
      </c>
      <c r="L4972" s="11">
        <f>L4971+IF(K4972&gt;0,K4972*Summary!$B$9,K4972/Summary!$B$9)</f>
        <v/>
      </c>
      <c r="M4972" s="11">
        <f>G4972+H4972</f>
        <v/>
      </c>
      <c r="N4972" s="11">
        <f>Summary!$C$16*Summary!$B$8</f>
        <v/>
      </c>
      <c r="O4972" s="11">
        <f>M4972-N4972</f>
        <v/>
      </c>
    </row>
    <row r="4973">
      <c r="A4973" s="9" t="n">
        <v>45499.125</v>
      </c>
      <c r="B4973" t="n">
        <v>7</v>
      </c>
      <c r="C4973" t="n">
        <v>26</v>
      </c>
      <c r="D4973" t="n">
        <v>3</v>
      </c>
      <c r="E4973" s="10" t="n">
        <v>0</v>
      </c>
      <c r="F4973" s="10" t="n">
        <v>0.1947940307505674</v>
      </c>
      <c r="G4973" s="11">
        <f>E4973*Summary!$B$6</f>
        <v/>
      </c>
      <c r="H4973" s="11">
        <f>F4973*Summary!$B$7</f>
        <v/>
      </c>
      <c r="I4973" s="11">
        <f>MAX(0,N4973-M4973)</f>
        <v/>
      </c>
      <c r="J4973" s="11">
        <f>MAX(0,M4973-N4973)</f>
        <v/>
      </c>
      <c r="K4973" s="11">
        <f>O4973</f>
        <v/>
      </c>
      <c r="L4973" s="11">
        <f>L4972+IF(K4973&gt;0,K4973*Summary!$B$9,K4973/Summary!$B$9)</f>
        <v/>
      </c>
      <c r="M4973" s="11">
        <f>G4973+H4973</f>
        <v/>
      </c>
      <c r="N4973" s="11">
        <f>Summary!$C$16*Summary!$B$8</f>
        <v/>
      </c>
      <c r="O4973" s="11">
        <f>M4973-N4973</f>
        <v/>
      </c>
    </row>
    <row r="4974">
      <c r="A4974" s="9" t="n">
        <v>45499.16666666666</v>
      </c>
      <c r="B4974" t="n">
        <v>7</v>
      </c>
      <c r="C4974" t="n">
        <v>26</v>
      </c>
      <c r="D4974" t="n">
        <v>4</v>
      </c>
      <c r="E4974" s="10" t="n">
        <v>0.007778</v>
      </c>
      <c r="F4974" s="10" t="n">
        <v>0.1872046529291167</v>
      </c>
      <c r="G4974" s="11">
        <f>E4974*Summary!$B$6</f>
        <v/>
      </c>
      <c r="H4974" s="11">
        <f>F4974*Summary!$B$7</f>
        <v/>
      </c>
      <c r="I4974" s="11">
        <f>MAX(0,N4974-M4974)</f>
        <v/>
      </c>
      <c r="J4974" s="11">
        <f>MAX(0,M4974-N4974)</f>
        <v/>
      </c>
      <c r="K4974" s="11">
        <f>O4974</f>
        <v/>
      </c>
      <c r="L4974" s="11">
        <f>L4973+IF(K4974&gt;0,K4974*Summary!$B$9,K4974/Summary!$B$9)</f>
        <v/>
      </c>
      <c r="M4974" s="11">
        <f>G4974+H4974</f>
        <v/>
      </c>
      <c r="N4974" s="11">
        <f>Summary!$C$16*Summary!$B$8</f>
        <v/>
      </c>
      <c r="O4974" s="11">
        <f>M4974-N4974</f>
        <v/>
      </c>
    </row>
    <row r="4975">
      <c r="A4975" s="9" t="n">
        <v>45499.20833333334</v>
      </c>
      <c r="B4975" t="n">
        <v>7</v>
      </c>
      <c r="C4975" t="n">
        <v>26</v>
      </c>
      <c r="D4975" t="n">
        <v>5</v>
      </c>
      <c r="E4975" s="10" t="n">
        <v>0.044188</v>
      </c>
      <c r="F4975" s="10" t="n">
        <v>0.1738441857226045</v>
      </c>
      <c r="G4975" s="11">
        <f>E4975*Summary!$B$6</f>
        <v/>
      </c>
      <c r="H4975" s="11">
        <f>F4975*Summary!$B$7</f>
        <v/>
      </c>
      <c r="I4975" s="11">
        <f>MAX(0,N4975-M4975)</f>
        <v/>
      </c>
      <c r="J4975" s="11">
        <f>MAX(0,M4975-N4975)</f>
        <v/>
      </c>
      <c r="K4975" s="11">
        <f>O4975</f>
        <v/>
      </c>
      <c r="L4975" s="11">
        <f>L4974+IF(K4975&gt;0,K4975*Summary!$B$9,K4975/Summary!$B$9)</f>
        <v/>
      </c>
      <c r="M4975" s="11">
        <f>G4975+H4975</f>
        <v/>
      </c>
      <c r="N4975" s="11">
        <f>Summary!$C$16*Summary!$B$8</f>
        <v/>
      </c>
      <c r="O4975" s="11">
        <f>M4975-N4975</f>
        <v/>
      </c>
    </row>
    <row r="4976">
      <c r="A4976" s="9" t="n">
        <v>45499.25</v>
      </c>
      <c r="B4976" t="n">
        <v>7</v>
      </c>
      <c r="C4976" t="n">
        <v>26</v>
      </c>
      <c r="D4976" t="n">
        <v>6</v>
      </c>
      <c r="E4976" s="10" t="n">
        <v>0.156983</v>
      </c>
      <c r="F4976" s="10" t="n">
        <v>0.1630925671422161</v>
      </c>
      <c r="G4976" s="11">
        <f>E4976*Summary!$B$6</f>
        <v/>
      </c>
      <c r="H4976" s="11">
        <f>F4976*Summary!$B$7</f>
        <v/>
      </c>
      <c r="I4976" s="11">
        <f>MAX(0,N4976-M4976)</f>
        <v/>
      </c>
      <c r="J4976" s="11">
        <f>MAX(0,M4976-N4976)</f>
        <v/>
      </c>
      <c r="K4976" s="11">
        <f>O4976</f>
        <v/>
      </c>
      <c r="L4976" s="11">
        <f>L4975+IF(K4976&gt;0,K4976*Summary!$B$9,K4976/Summary!$B$9)</f>
        <v/>
      </c>
      <c r="M4976" s="11">
        <f>G4976+H4976</f>
        <v/>
      </c>
      <c r="N4976" s="11">
        <f>Summary!$C$16*Summary!$B$8</f>
        <v/>
      </c>
      <c r="O4976" s="11">
        <f>M4976-N4976</f>
        <v/>
      </c>
    </row>
    <row r="4977">
      <c r="A4977" s="9" t="n">
        <v>45499.29166666666</v>
      </c>
      <c r="B4977" t="n">
        <v>7</v>
      </c>
      <c r="C4977" t="n">
        <v>26</v>
      </c>
      <c r="D4977" t="n">
        <v>7</v>
      </c>
      <c r="E4977" s="10" t="n">
        <v>0.351577</v>
      </c>
      <c r="F4977" s="10" t="n">
        <v>0.1737914817099556</v>
      </c>
      <c r="G4977" s="11">
        <f>E4977*Summary!$B$6</f>
        <v/>
      </c>
      <c r="H4977" s="11">
        <f>F4977*Summary!$B$7</f>
        <v/>
      </c>
      <c r="I4977" s="11">
        <f>MAX(0,N4977-M4977)</f>
        <v/>
      </c>
      <c r="J4977" s="11">
        <f>MAX(0,M4977-N4977)</f>
        <v/>
      </c>
      <c r="K4977" s="11">
        <f>O4977</f>
        <v/>
      </c>
      <c r="L4977" s="11">
        <f>L4976+IF(K4977&gt;0,K4977*Summary!$B$9,K4977/Summary!$B$9)</f>
        <v/>
      </c>
      <c r="M4977" s="11">
        <f>G4977+H4977</f>
        <v/>
      </c>
      <c r="N4977" s="11">
        <f>Summary!$C$16*Summary!$B$8</f>
        <v/>
      </c>
      <c r="O4977" s="11">
        <f>M4977-N4977</f>
        <v/>
      </c>
    </row>
    <row r="4978">
      <c r="A4978" s="9" t="n">
        <v>45499.33333333334</v>
      </c>
      <c r="B4978" t="n">
        <v>7</v>
      </c>
      <c r="C4978" t="n">
        <v>26</v>
      </c>
      <c r="D4978" t="n">
        <v>8</v>
      </c>
      <c r="E4978" s="10" t="n">
        <v>0.536286</v>
      </c>
      <c r="F4978" s="10" t="n">
        <v>0.1663865679327763</v>
      </c>
      <c r="G4978" s="11">
        <f>E4978*Summary!$B$6</f>
        <v/>
      </c>
      <c r="H4978" s="11">
        <f>F4978*Summary!$B$7</f>
        <v/>
      </c>
      <c r="I4978" s="11">
        <f>MAX(0,N4978-M4978)</f>
        <v/>
      </c>
      <c r="J4978" s="11">
        <f>MAX(0,M4978-N4978)</f>
        <v/>
      </c>
      <c r="K4978" s="11">
        <f>O4978</f>
        <v/>
      </c>
      <c r="L4978" s="11">
        <f>L4977+IF(K4978&gt;0,K4978*Summary!$B$9,K4978/Summary!$B$9)</f>
        <v/>
      </c>
      <c r="M4978" s="11">
        <f>G4978+H4978</f>
        <v/>
      </c>
      <c r="N4978" s="11">
        <f>Summary!$C$16*Summary!$B$8</f>
        <v/>
      </c>
      <c r="O4978" s="11">
        <f>M4978-N4978</f>
        <v/>
      </c>
    </row>
    <row r="4979">
      <c r="A4979" s="9" t="n">
        <v>45499.375</v>
      </c>
      <c r="B4979" t="n">
        <v>7</v>
      </c>
      <c r="C4979" t="n">
        <v>26</v>
      </c>
      <c r="D4979" t="n">
        <v>9</v>
      </c>
      <c r="E4979" s="10" t="n">
        <v>0.542841</v>
      </c>
      <c r="F4979" s="10" t="n">
        <v>0.1772699465447872</v>
      </c>
      <c r="G4979" s="11">
        <f>E4979*Summary!$B$6</f>
        <v/>
      </c>
      <c r="H4979" s="11">
        <f>F4979*Summary!$B$7</f>
        <v/>
      </c>
      <c r="I4979" s="11">
        <f>MAX(0,N4979-M4979)</f>
        <v/>
      </c>
      <c r="J4979" s="11">
        <f>MAX(0,M4979-N4979)</f>
        <v/>
      </c>
      <c r="K4979" s="11">
        <f>O4979</f>
        <v/>
      </c>
      <c r="L4979" s="11">
        <f>L4978+IF(K4979&gt;0,K4979*Summary!$B$9,K4979/Summary!$B$9)</f>
        <v/>
      </c>
      <c r="M4979" s="11">
        <f>G4979+H4979</f>
        <v/>
      </c>
      <c r="N4979" s="11">
        <f>Summary!$C$16*Summary!$B$8</f>
        <v/>
      </c>
      <c r="O4979" s="11">
        <f>M4979-N4979</f>
        <v/>
      </c>
    </row>
    <row r="4980">
      <c r="A4980" s="9" t="n">
        <v>45499.41666666666</v>
      </c>
      <c r="B4980" t="n">
        <v>7</v>
      </c>
      <c r="C4980" t="n">
        <v>26</v>
      </c>
      <c r="D4980" t="n">
        <v>10</v>
      </c>
      <c r="E4980" s="10" t="n">
        <v>0.542029</v>
      </c>
      <c r="F4980" s="10" t="n">
        <v>0.1909466378271931</v>
      </c>
      <c r="G4980" s="11">
        <f>E4980*Summary!$B$6</f>
        <v/>
      </c>
      <c r="H4980" s="11">
        <f>F4980*Summary!$B$7</f>
        <v/>
      </c>
      <c r="I4980" s="11">
        <f>MAX(0,N4980-M4980)</f>
        <v/>
      </c>
      <c r="J4980" s="11">
        <f>MAX(0,M4980-N4980)</f>
        <v/>
      </c>
      <c r="K4980" s="11">
        <f>O4980</f>
        <v/>
      </c>
      <c r="L4980" s="11">
        <f>L4979+IF(K4980&gt;0,K4980*Summary!$B$9,K4980/Summary!$B$9)</f>
        <v/>
      </c>
      <c r="M4980" s="11">
        <f>G4980+H4980</f>
        <v/>
      </c>
      <c r="N4980" s="11">
        <f>Summary!$C$16*Summary!$B$8</f>
        <v/>
      </c>
      <c r="O4980" s="11">
        <f>M4980-N4980</f>
        <v/>
      </c>
    </row>
    <row r="4981">
      <c r="A4981" s="9" t="n">
        <v>45499.45833333334</v>
      </c>
      <c r="B4981" t="n">
        <v>7</v>
      </c>
      <c r="C4981" t="n">
        <v>26</v>
      </c>
      <c r="D4981" t="n">
        <v>11</v>
      </c>
      <c r="E4981" s="10" t="n">
        <v>0.360393</v>
      </c>
      <c r="F4981" s="10" t="n">
        <v>0.2097356183365484</v>
      </c>
      <c r="G4981" s="11">
        <f>E4981*Summary!$B$6</f>
        <v/>
      </c>
      <c r="H4981" s="11">
        <f>F4981*Summary!$B$7</f>
        <v/>
      </c>
      <c r="I4981" s="11">
        <f>MAX(0,N4981-M4981)</f>
        <v/>
      </c>
      <c r="J4981" s="11">
        <f>MAX(0,M4981-N4981)</f>
        <v/>
      </c>
      <c r="K4981" s="11">
        <f>O4981</f>
        <v/>
      </c>
      <c r="L4981" s="11">
        <f>L4980+IF(K4981&gt;0,K4981*Summary!$B$9,K4981/Summary!$B$9)</f>
        <v/>
      </c>
      <c r="M4981" s="11">
        <f>G4981+H4981</f>
        <v/>
      </c>
      <c r="N4981" s="11">
        <f>Summary!$C$16*Summary!$B$8</f>
        <v/>
      </c>
      <c r="O4981" s="11">
        <f>M4981-N4981</f>
        <v/>
      </c>
    </row>
    <row r="4982">
      <c r="A4982" s="9" t="n">
        <v>45499.5</v>
      </c>
      <c r="B4982" t="n">
        <v>7</v>
      </c>
      <c r="C4982" t="n">
        <v>26</v>
      </c>
      <c r="D4982" t="n">
        <v>12</v>
      </c>
      <c r="E4982" s="10" t="n">
        <v>0.381055</v>
      </c>
      <c r="F4982" s="10" t="n">
        <v>0.2510555642533354</v>
      </c>
      <c r="G4982" s="11">
        <f>E4982*Summary!$B$6</f>
        <v/>
      </c>
      <c r="H4982" s="11">
        <f>F4982*Summary!$B$7</f>
        <v/>
      </c>
      <c r="I4982" s="11">
        <f>MAX(0,N4982-M4982)</f>
        <v/>
      </c>
      <c r="J4982" s="11">
        <f>MAX(0,M4982-N4982)</f>
        <v/>
      </c>
      <c r="K4982" s="11">
        <f>O4982</f>
        <v/>
      </c>
      <c r="L4982" s="11">
        <f>L4981+IF(K4982&gt;0,K4982*Summary!$B$9,K4982/Summary!$B$9)</f>
        <v/>
      </c>
      <c r="M4982" s="11">
        <f>G4982+H4982</f>
        <v/>
      </c>
      <c r="N4982" s="11">
        <f>Summary!$C$16*Summary!$B$8</f>
        <v/>
      </c>
      <c r="O4982" s="11">
        <f>M4982-N4982</f>
        <v/>
      </c>
    </row>
    <row r="4983">
      <c r="A4983" s="9" t="n">
        <v>45499.54166666666</v>
      </c>
      <c r="B4983" t="n">
        <v>7</v>
      </c>
      <c r="C4983" t="n">
        <v>26</v>
      </c>
      <c r="D4983" t="n">
        <v>13</v>
      </c>
      <c r="E4983" s="10" t="n">
        <v>0.493943</v>
      </c>
      <c r="F4983" s="10" t="n">
        <v>0.2505021721205213</v>
      </c>
      <c r="G4983" s="11">
        <f>E4983*Summary!$B$6</f>
        <v/>
      </c>
      <c r="H4983" s="11">
        <f>F4983*Summary!$B$7</f>
        <v/>
      </c>
      <c r="I4983" s="11">
        <f>MAX(0,N4983-M4983)</f>
        <v/>
      </c>
      <c r="J4983" s="11">
        <f>MAX(0,M4983-N4983)</f>
        <v/>
      </c>
      <c r="K4983" s="11">
        <f>O4983</f>
        <v/>
      </c>
      <c r="L4983" s="11">
        <f>L4982+IF(K4983&gt;0,K4983*Summary!$B$9,K4983/Summary!$B$9)</f>
        <v/>
      </c>
      <c r="M4983" s="11">
        <f>G4983+H4983</f>
        <v/>
      </c>
      <c r="N4983" s="11">
        <f>Summary!$C$16*Summary!$B$8</f>
        <v/>
      </c>
      <c r="O4983" s="11">
        <f>M4983-N4983</f>
        <v/>
      </c>
    </row>
    <row r="4984">
      <c r="A4984" s="9" t="n">
        <v>45499.58333333334</v>
      </c>
      <c r="B4984" t="n">
        <v>7</v>
      </c>
      <c r="C4984" t="n">
        <v>26</v>
      </c>
      <c r="D4984" t="n">
        <v>14</v>
      </c>
      <c r="E4984" s="10" t="n">
        <v>0.354721</v>
      </c>
      <c r="F4984" s="10" t="n">
        <v>0.2616754228021015</v>
      </c>
      <c r="G4984" s="11">
        <f>E4984*Summary!$B$6</f>
        <v/>
      </c>
      <c r="H4984" s="11">
        <f>F4984*Summary!$B$7</f>
        <v/>
      </c>
      <c r="I4984" s="11">
        <f>MAX(0,N4984-M4984)</f>
        <v/>
      </c>
      <c r="J4984" s="11">
        <f>MAX(0,M4984-N4984)</f>
        <v/>
      </c>
      <c r="K4984" s="11">
        <f>O4984</f>
        <v/>
      </c>
      <c r="L4984" s="11">
        <f>L4983+IF(K4984&gt;0,K4984*Summary!$B$9,K4984/Summary!$B$9)</f>
        <v/>
      </c>
      <c r="M4984" s="11">
        <f>G4984+H4984</f>
        <v/>
      </c>
      <c r="N4984" s="11">
        <f>Summary!$C$16*Summary!$B$8</f>
        <v/>
      </c>
      <c r="O4984" s="11">
        <f>M4984-N4984</f>
        <v/>
      </c>
    </row>
    <row r="4985">
      <c r="A4985" s="9" t="n">
        <v>45499.625</v>
      </c>
      <c r="B4985" t="n">
        <v>7</v>
      </c>
      <c r="C4985" t="n">
        <v>26</v>
      </c>
      <c r="D4985" t="n">
        <v>15</v>
      </c>
      <c r="E4985" s="10" t="n">
        <v>0.38798</v>
      </c>
      <c r="F4985" s="10" t="n">
        <v>0.2725060974014634</v>
      </c>
      <c r="G4985" s="11">
        <f>E4985*Summary!$B$6</f>
        <v/>
      </c>
      <c r="H4985" s="11">
        <f>F4985*Summary!$B$7</f>
        <v/>
      </c>
      <c r="I4985" s="11">
        <f>MAX(0,N4985-M4985)</f>
        <v/>
      </c>
      <c r="J4985" s="11">
        <f>MAX(0,M4985-N4985)</f>
        <v/>
      </c>
      <c r="K4985" s="11">
        <f>O4985</f>
        <v/>
      </c>
      <c r="L4985" s="11">
        <f>L4984+IF(K4985&gt;0,K4985*Summary!$B$9,K4985/Summary!$B$9)</f>
        <v/>
      </c>
      <c r="M4985" s="11">
        <f>G4985+H4985</f>
        <v/>
      </c>
      <c r="N4985" s="11">
        <f>Summary!$C$16*Summary!$B$8</f>
        <v/>
      </c>
      <c r="O4985" s="11">
        <f>M4985-N4985</f>
        <v/>
      </c>
    </row>
    <row r="4986">
      <c r="A4986" s="9" t="n">
        <v>45499.66666666666</v>
      </c>
      <c r="B4986" t="n">
        <v>7</v>
      </c>
      <c r="C4986" t="n">
        <v>26</v>
      </c>
      <c r="D4986" t="n">
        <v>16</v>
      </c>
      <c r="E4986" s="10" t="n">
        <v>0.422539</v>
      </c>
      <c r="F4986" s="10" t="n">
        <v>0.2756683381604011</v>
      </c>
      <c r="G4986" s="11">
        <f>E4986*Summary!$B$6</f>
        <v/>
      </c>
      <c r="H4986" s="11">
        <f>F4986*Summary!$B$7</f>
        <v/>
      </c>
      <c r="I4986" s="11">
        <f>MAX(0,N4986-M4986)</f>
        <v/>
      </c>
      <c r="J4986" s="11">
        <f>MAX(0,M4986-N4986)</f>
        <v/>
      </c>
      <c r="K4986" s="11">
        <f>O4986</f>
        <v/>
      </c>
      <c r="L4986" s="11">
        <f>L4985+IF(K4986&gt;0,K4986*Summary!$B$9,K4986/Summary!$B$9)</f>
        <v/>
      </c>
      <c r="M4986" s="11">
        <f>G4986+H4986</f>
        <v/>
      </c>
      <c r="N4986" s="11">
        <f>Summary!$C$16*Summary!$B$8</f>
        <v/>
      </c>
      <c r="O4986" s="11">
        <f>M4986-N4986</f>
        <v/>
      </c>
    </row>
    <row r="4987">
      <c r="A4987" s="9" t="n">
        <v>45499.70833333334</v>
      </c>
      <c r="B4987" t="n">
        <v>7</v>
      </c>
      <c r="C4987" t="n">
        <v>26</v>
      </c>
      <c r="D4987" t="n">
        <v>17</v>
      </c>
      <c r="E4987" s="10" t="n">
        <v>0.200742</v>
      </c>
      <c r="F4987" s="10" t="n">
        <v>0.2683951844148442</v>
      </c>
      <c r="G4987" s="11">
        <f>E4987*Summary!$B$6</f>
        <v/>
      </c>
      <c r="H4987" s="11">
        <f>F4987*Summary!$B$7</f>
        <v/>
      </c>
      <c r="I4987" s="11">
        <f>MAX(0,N4987-M4987)</f>
        <v/>
      </c>
      <c r="J4987" s="11">
        <f>MAX(0,M4987-N4987)</f>
        <v/>
      </c>
      <c r="K4987" s="11">
        <f>O4987</f>
        <v/>
      </c>
      <c r="L4987" s="11">
        <f>L4986+IF(K4987&gt;0,K4987*Summary!$B$9,K4987/Summary!$B$9)</f>
        <v/>
      </c>
      <c r="M4987" s="11">
        <f>G4987+H4987</f>
        <v/>
      </c>
      <c r="N4987" s="11">
        <f>Summary!$C$16*Summary!$B$8</f>
        <v/>
      </c>
      <c r="O4987" s="11">
        <f>M4987-N4987</f>
        <v/>
      </c>
    </row>
    <row r="4988">
      <c r="A4988" s="9" t="n">
        <v>45499.75</v>
      </c>
      <c r="B4988" t="n">
        <v>7</v>
      </c>
      <c r="C4988" t="n">
        <v>26</v>
      </c>
      <c r="D4988" t="n">
        <v>18</v>
      </c>
      <c r="E4988" s="10" t="n">
        <v>0.09216000000000001</v>
      </c>
      <c r="F4988" s="10" t="n">
        <v>0.2569584136700193</v>
      </c>
      <c r="G4988" s="11">
        <f>E4988*Summary!$B$6</f>
        <v/>
      </c>
      <c r="H4988" s="11">
        <f>F4988*Summary!$B$7</f>
        <v/>
      </c>
      <c r="I4988" s="11">
        <f>MAX(0,N4988-M4988)</f>
        <v/>
      </c>
      <c r="J4988" s="11">
        <f>MAX(0,M4988-N4988)</f>
        <v/>
      </c>
      <c r="K4988" s="11">
        <f>O4988</f>
        <v/>
      </c>
      <c r="L4988" s="11">
        <f>L4987+IF(K4988&gt;0,K4988*Summary!$B$9,K4988/Summary!$B$9)</f>
        <v/>
      </c>
      <c r="M4988" s="11">
        <f>G4988+H4988</f>
        <v/>
      </c>
      <c r="N4988" s="11">
        <f>Summary!$C$16*Summary!$B$8</f>
        <v/>
      </c>
      <c r="O4988" s="11">
        <f>M4988-N4988</f>
        <v/>
      </c>
    </row>
    <row r="4989">
      <c r="A4989" s="9" t="n">
        <v>45499.79166666666</v>
      </c>
      <c r="B4989" t="n">
        <v>7</v>
      </c>
      <c r="C4989" t="n">
        <v>26</v>
      </c>
      <c r="D4989" t="n">
        <v>19</v>
      </c>
      <c r="E4989" s="10" t="n">
        <v>0.036031</v>
      </c>
      <c r="F4989" s="10" t="n">
        <v>0.2529002046960491</v>
      </c>
      <c r="G4989" s="11">
        <f>E4989*Summary!$B$6</f>
        <v/>
      </c>
      <c r="H4989" s="11">
        <f>F4989*Summary!$B$7</f>
        <v/>
      </c>
      <c r="I4989" s="11">
        <f>MAX(0,N4989-M4989)</f>
        <v/>
      </c>
      <c r="J4989" s="11">
        <f>MAX(0,M4989-N4989)</f>
        <v/>
      </c>
      <c r="K4989" s="11">
        <f>O4989</f>
        <v/>
      </c>
      <c r="L4989" s="11">
        <f>L4988+IF(K4989&gt;0,K4989*Summary!$B$9,K4989/Summary!$B$9)</f>
        <v/>
      </c>
      <c r="M4989" s="11">
        <f>G4989+H4989</f>
        <v/>
      </c>
      <c r="N4989" s="11">
        <f>Summary!$C$16*Summary!$B$8</f>
        <v/>
      </c>
      <c r="O4989" s="11">
        <f>M4989-N4989</f>
        <v/>
      </c>
    </row>
    <row r="4990">
      <c r="A4990" s="9" t="n">
        <v>45499.83333333334</v>
      </c>
      <c r="B4990" t="n">
        <v>7</v>
      </c>
      <c r="C4990" t="n">
        <v>26</v>
      </c>
      <c r="D4990" t="n">
        <v>20</v>
      </c>
      <c r="E4990" s="10" t="n">
        <v>0</v>
      </c>
      <c r="F4990" s="10" t="n">
        <v>0.2588821101317064</v>
      </c>
      <c r="G4990" s="11">
        <f>E4990*Summary!$B$6</f>
        <v/>
      </c>
      <c r="H4990" s="11">
        <f>F4990*Summary!$B$7</f>
        <v/>
      </c>
      <c r="I4990" s="11">
        <f>MAX(0,N4990-M4990)</f>
        <v/>
      </c>
      <c r="J4990" s="11">
        <f>MAX(0,M4990-N4990)</f>
        <v/>
      </c>
      <c r="K4990" s="11">
        <f>O4990</f>
        <v/>
      </c>
      <c r="L4990" s="11">
        <f>L4989+IF(K4990&gt;0,K4990*Summary!$B$9,K4990/Summary!$B$9)</f>
        <v/>
      </c>
      <c r="M4990" s="11">
        <f>G4990+H4990</f>
        <v/>
      </c>
      <c r="N4990" s="11">
        <f>Summary!$C$16*Summary!$B$8</f>
        <v/>
      </c>
      <c r="O4990" s="11">
        <f>M4990-N4990</f>
        <v/>
      </c>
    </row>
    <row r="4991">
      <c r="A4991" s="9" t="n">
        <v>45499.875</v>
      </c>
      <c r="B4991" t="n">
        <v>7</v>
      </c>
      <c r="C4991" t="n">
        <v>26</v>
      </c>
      <c r="D4991" t="n">
        <v>21</v>
      </c>
      <c r="E4991" s="10" t="n">
        <v>0</v>
      </c>
      <c r="F4991" s="10" t="n">
        <v>0.2691857446045787</v>
      </c>
      <c r="G4991" s="11">
        <f>E4991*Summary!$B$6</f>
        <v/>
      </c>
      <c r="H4991" s="11">
        <f>F4991*Summary!$B$7</f>
        <v/>
      </c>
      <c r="I4991" s="11">
        <f>MAX(0,N4991-M4991)</f>
        <v/>
      </c>
      <c r="J4991" s="11">
        <f>MAX(0,M4991-N4991)</f>
        <v/>
      </c>
      <c r="K4991" s="11">
        <f>O4991</f>
        <v/>
      </c>
      <c r="L4991" s="11">
        <f>L4990+IF(K4991&gt;0,K4991*Summary!$B$9,K4991/Summary!$B$9)</f>
        <v/>
      </c>
      <c r="M4991" s="11">
        <f>G4991+H4991</f>
        <v/>
      </c>
      <c r="N4991" s="11">
        <f>Summary!$C$16*Summary!$B$8</f>
        <v/>
      </c>
      <c r="O4991" s="11">
        <f>M4991-N4991</f>
        <v/>
      </c>
    </row>
    <row r="4992">
      <c r="A4992" s="9" t="n">
        <v>45499.91666666666</v>
      </c>
      <c r="B4992" t="n">
        <v>7</v>
      </c>
      <c r="C4992" t="n">
        <v>26</v>
      </c>
      <c r="D4992" t="n">
        <v>22</v>
      </c>
      <c r="E4992" s="10" t="n">
        <v>0</v>
      </c>
      <c r="F4992" s="10" t="n">
        <v>0.2690276325666318</v>
      </c>
      <c r="G4992" s="11">
        <f>E4992*Summary!$B$6</f>
        <v/>
      </c>
      <c r="H4992" s="11">
        <f>F4992*Summary!$B$7</f>
        <v/>
      </c>
      <c r="I4992" s="11">
        <f>MAX(0,N4992-M4992)</f>
        <v/>
      </c>
      <c r="J4992" s="11">
        <f>MAX(0,M4992-N4992)</f>
        <v/>
      </c>
      <c r="K4992" s="11">
        <f>O4992</f>
        <v/>
      </c>
      <c r="L4992" s="11">
        <f>L4991+IF(K4992&gt;0,K4992*Summary!$B$9,K4992/Summary!$B$9)</f>
        <v/>
      </c>
      <c r="M4992" s="11">
        <f>G4992+H4992</f>
        <v/>
      </c>
      <c r="N4992" s="11">
        <f>Summary!$C$16*Summary!$B$8</f>
        <v/>
      </c>
      <c r="O4992" s="11">
        <f>M4992-N4992</f>
        <v/>
      </c>
    </row>
    <row r="4993">
      <c r="A4993" s="9" t="n">
        <v>45499.95833333334</v>
      </c>
      <c r="B4993" t="n">
        <v>7</v>
      </c>
      <c r="C4993" t="n">
        <v>26</v>
      </c>
      <c r="D4993" t="n">
        <v>23</v>
      </c>
      <c r="E4993" s="10" t="n">
        <v>0</v>
      </c>
      <c r="F4993" s="10" t="n">
        <v>0.2639680473523314</v>
      </c>
      <c r="G4993" s="11">
        <f>E4993*Summary!$B$6</f>
        <v/>
      </c>
      <c r="H4993" s="11">
        <f>F4993*Summary!$B$7</f>
        <v/>
      </c>
      <c r="I4993" s="11">
        <f>MAX(0,N4993-M4993)</f>
        <v/>
      </c>
      <c r="J4993" s="11">
        <f>MAX(0,M4993-N4993)</f>
        <v/>
      </c>
      <c r="K4993" s="11">
        <f>O4993</f>
        <v/>
      </c>
      <c r="L4993" s="11">
        <f>L4992+IF(K4993&gt;0,K4993*Summary!$B$9,K4993/Summary!$B$9)</f>
        <v/>
      </c>
      <c r="M4993" s="11">
        <f>G4993+H4993</f>
        <v/>
      </c>
      <c r="N4993" s="11">
        <f>Summary!$C$16*Summary!$B$8</f>
        <v/>
      </c>
      <c r="O4993" s="11">
        <f>M4993-N4993</f>
        <v/>
      </c>
    </row>
    <row r="4994">
      <c r="A4994" s="9" t="n">
        <v>45500</v>
      </c>
      <c r="B4994" t="n">
        <v>7</v>
      </c>
      <c r="C4994" t="n">
        <v>27</v>
      </c>
      <c r="D4994" t="n">
        <v>0</v>
      </c>
      <c r="E4994" s="10" t="n">
        <v>0</v>
      </c>
      <c r="F4994" s="10" t="n">
        <v>0.190287837669081</v>
      </c>
      <c r="G4994" s="11">
        <f>E4994*Summary!$B$6</f>
        <v/>
      </c>
      <c r="H4994" s="11">
        <f>F4994*Summary!$B$7</f>
        <v/>
      </c>
      <c r="I4994" s="11">
        <f>MAX(0,N4994-M4994)</f>
        <v/>
      </c>
      <c r="J4994" s="11">
        <f>MAX(0,M4994-N4994)</f>
        <v/>
      </c>
      <c r="K4994" s="11">
        <f>O4994</f>
        <v/>
      </c>
      <c r="L4994" s="11">
        <f>L4993+IF(K4994&gt;0,K4994*Summary!$B$9,K4994/Summary!$B$9)</f>
        <v/>
      </c>
      <c r="M4994" s="11">
        <f>G4994+H4994</f>
        <v/>
      </c>
      <c r="N4994" s="11">
        <f>Summary!$C$16*Summary!$B$8</f>
        <v/>
      </c>
      <c r="O4994" s="11">
        <f>M4994-N4994</f>
        <v/>
      </c>
    </row>
    <row r="4995">
      <c r="A4995" s="9" t="n">
        <v>45500.04166666666</v>
      </c>
      <c r="B4995" t="n">
        <v>7</v>
      </c>
      <c r="C4995" t="n">
        <v>27</v>
      </c>
      <c r="D4995" t="n">
        <v>1</v>
      </c>
      <c r="E4995" s="10" t="n">
        <v>0</v>
      </c>
      <c r="F4995" s="10" t="n">
        <v>0.265918095820343</v>
      </c>
      <c r="G4995" s="11">
        <f>E4995*Summary!$B$6</f>
        <v/>
      </c>
      <c r="H4995" s="11">
        <f>F4995*Summary!$B$7</f>
        <v/>
      </c>
      <c r="I4995" s="11">
        <f>MAX(0,N4995-M4995)</f>
        <v/>
      </c>
      <c r="J4995" s="11">
        <f>MAX(0,M4995-N4995)</f>
        <v/>
      </c>
      <c r="K4995" s="11">
        <f>O4995</f>
        <v/>
      </c>
      <c r="L4995" s="11">
        <f>L4994+IF(K4995&gt;0,K4995*Summary!$B$9,K4995/Summary!$B$9)</f>
        <v/>
      </c>
      <c r="M4995" s="11">
        <f>G4995+H4995</f>
        <v/>
      </c>
      <c r="N4995" s="11">
        <f>Summary!$C$16*Summary!$B$8</f>
        <v/>
      </c>
      <c r="O4995" s="11">
        <f>M4995-N4995</f>
        <v/>
      </c>
    </row>
    <row r="4996">
      <c r="A4996" s="9" t="n">
        <v>45500.08333333334</v>
      </c>
      <c r="B4996" t="n">
        <v>7</v>
      </c>
      <c r="C4996" t="n">
        <v>27</v>
      </c>
      <c r="D4996" t="n">
        <v>2</v>
      </c>
      <c r="E4996" s="10" t="n">
        <v>0</v>
      </c>
      <c r="F4996" s="10" t="n">
        <v>0.2400931296223511</v>
      </c>
      <c r="G4996" s="11">
        <f>E4996*Summary!$B$6</f>
        <v/>
      </c>
      <c r="H4996" s="11">
        <f>F4996*Summary!$B$7</f>
        <v/>
      </c>
      <c r="I4996" s="11">
        <f>MAX(0,N4996-M4996)</f>
        <v/>
      </c>
      <c r="J4996" s="11">
        <f>MAX(0,M4996-N4996)</f>
        <v/>
      </c>
      <c r="K4996" s="11">
        <f>O4996</f>
        <v/>
      </c>
      <c r="L4996" s="11">
        <f>L4995+IF(K4996&gt;0,K4996*Summary!$B$9,K4996/Summary!$B$9)</f>
        <v/>
      </c>
      <c r="M4996" s="11">
        <f>G4996+H4996</f>
        <v/>
      </c>
      <c r="N4996" s="11">
        <f>Summary!$C$16*Summary!$B$8</f>
        <v/>
      </c>
      <c r="O4996" s="11">
        <f>M4996-N4996</f>
        <v/>
      </c>
    </row>
    <row r="4997">
      <c r="A4997" s="9" t="n">
        <v>45500.125</v>
      </c>
      <c r="B4997" t="n">
        <v>7</v>
      </c>
      <c r="C4997" t="n">
        <v>27</v>
      </c>
      <c r="D4997" t="n">
        <v>3</v>
      </c>
      <c r="E4997" s="10" t="n">
        <v>0</v>
      </c>
      <c r="F4997" s="10" t="n">
        <v>0.2312388554973253</v>
      </c>
      <c r="G4997" s="11">
        <f>E4997*Summary!$B$6</f>
        <v/>
      </c>
      <c r="H4997" s="11">
        <f>F4997*Summary!$B$7</f>
        <v/>
      </c>
      <c r="I4997" s="11">
        <f>MAX(0,N4997-M4997)</f>
        <v/>
      </c>
      <c r="J4997" s="11">
        <f>MAX(0,M4997-N4997)</f>
        <v/>
      </c>
      <c r="K4997" s="11">
        <f>O4997</f>
        <v/>
      </c>
      <c r="L4997" s="11">
        <f>L4996+IF(K4997&gt;0,K4997*Summary!$B$9,K4997/Summary!$B$9)</f>
        <v/>
      </c>
      <c r="M4997" s="11">
        <f>G4997+H4997</f>
        <v/>
      </c>
      <c r="N4997" s="11">
        <f>Summary!$C$16*Summary!$B$8</f>
        <v/>
      </c>
      <c r="O4997" s="11">
        <f>M4997-N4997</f>
        <v/>
      </c>
    </row>
    <row r="4998">
      <c r="A4998" s="9" t="n">
        <v>45500.16666666666</v>
      </c>
      <c r="B4998" t="n">
        <v>7</v>
      </c>
      <c r="C4998" t="n">
        <v>27</v>
      </c>
      <c r="D4998" t="n">
        <v>4</v>
      </c>
      <c r="E4998" s="10" t="n">
        <v>0.015023</v>
      </c>
      <c r="F4998" s="10" t="n">
        <v>0.2161391558733974</v>
      </c>
      <c r="G4998" s="11">
        <f>E4998*Summary!$B$6</f>
        <v/>
      </c>
      <c r="H4998" s="11">
        <f>F4998*Summary!$B$7</f>
        <v/>
      </c>
      <c r="I4998" s="11">
        <f>MAX(0,N4998-M4998)</f>
        <v/>
      </c>
      <c r="J4998" s="11">
        <f>MAX(0,M4998-N4998)</f>
        <v/>
      </c>
      <c r="K4998" s="11">
        <f>O4998</f>
        <v/>
      </c>
      <c r="L4998" s="11">
        <f>L4997+IF(K4998&gt;0,K4998*Summary!$B$9,K4998/Summary!$B$9)</f>
        <v/>
      </c>
      <c r="M4998" s="11">
        <f>G4998+H4998</f>
        <v/>
      </c>
      <c r="N4998" s="11">
        <f>Summary!$C$16*Summary!$B$8</f>
        <v/>
      </c>
      <c r="O4998" s="11">
        <f>M4998-N4998</f>
        <v/>
      </c>
    </row>
    <row r="4999">
      <c r="A4999" s="9" t="n">
        <v>45500.20833333334</v>
      </c>
      <c r="B4999" t="n">
        <v>7</v>
      </c>
      <c r="C4999" t="n">
        <v>27</v>
      </c>
      <c r="D4999" t="n">
        <v>5</v>
      </c>
      <c r="E4999" s="10" t="n">
        <v>0.03977</v>
      </c>
      <c r="F4999" s="10" t="n">
        <v>0.1964542071490097</v>
      </c>
      <c r="G4999" s="11">
        <f>E4999*Summary!$B$6</f>
        <v/>
      </c>
      <c r="H4999" s="11">
        <f>F4999*Summary!$B$7</f>
        <v/>
      </c>
      <c r="I4999" s="11">
        <f>MAX(0,N4999-M4999)</f>
        <v/>
      </c>
      <c r="J4999" s="11">
        <f>MAX(0,M4999-N4999)</f>
        <v/>
      </c>
      <c r="K4999" s="11">
        <f>O4999</f>
        <v/>
      </c>
      <c r="L4999" s="11">
        <f>L4998+IF(K4999&gt;0,K4999*Summary!$B$9,K4999/Summary!$B$9)</f>
        <v/>
      </c>
      <c r="M4999" s="11">
        <f>G4999+H4999</f>
        <v/>
      </c>
      <c r="N4999" s="11">
        <f>Summary!$C$16*Summary!$B$8</f>
        <v/>
      </c>
      <c r="O4999" s="11">
        <f>M4999-N4999</f>
        <v/>
      </c>
    </row>
    <row r="5000">
      <c r="A5000" s="9" t="n">
        <v>45500.25</v>
      </c>
      <c r="B5000" t="n">
        <v>7</v>
      </c>
      <c r="C5000" t="n">
        <v>27</v>
      </c>
      <c r="D5000" t="n">
        <v>6</v>
      </c>
      <c r="E5000" s="10" t="n">
        <v>0.155916</v>
      </c>
      <c r="F5000" s="10" t="n">
        <v>0.1762949223107813</v>
      </c>
      <c r="G5000" s="11">
        <f>E5000*Summary!$B$6</f>
        <v/>
      </c>
      <c r="H5000" s="11">
        <f>F5000*Summary!$B$7</f>
        <v/>
      </c>
      <c r="I5000" s="11">
        <f>MAX(0,N5000-M5000)</f>
        <v/>
      </c>
      <c r="J5000" s="11">
        <f>MAX(0,M5000-N5000)</f>
        <v/>
      </c>
      <c r="K5000" s="11">
        <f>O5000</f>
        <v/>
      </c>
      <c r="L5000" s="11">
        <f>L4999+IF(K5000&gt;0,K5000*Summary!$B$9,K5000/Summary!$B$9)</f>
        <v/>
      </c>
      <c r="M5000" s="11">
        <f>G5000+H5000</f>
        <v/>
      </c>
      <c r="N5000" s="11">
        <f>Summary!$C$16*Summary!$B$8</f>
        <v/>
      </c>
      <c r="O5000" s="11">
        <f>M5000-N5000</f>
        <v/>
      </c>
    </row>
    <row r="5001">
      <c r="A5001" s="9" t="n">
        <v>45500.29166666666</v>
      </c>
      <c r="B5001" t="n">
        <v>7</v>
      </c>
      <c r="C5001" t="n">
        <v>27</v>
      </c>
      <c r="D5001" t="n">
        <v>7</v>
      </c>
      <c r="E5001" s="10" t="n">
        <v>0.261275</v>
      </c>
      <c r="F5001" s="10" t="n">
        <v>0.1667291440149946</v>
      </c>
      <c r="G5001" s="11">
        <f>E5001*Summary!$B$6</f>
        <v/>
      </c>
      <c r="H5001" s="11">
        <f>F5001*Summary!$B$7</f>
        <v/>
      </c>
      <c r="I5001" s="11">
        <f>MAX(0,N5001-M5001)</f>
        <v/>
      </c>
      <c r="J5001" s="11">
        <f>MAX(0,M5001-N5001)</f>
        <v/>
      </c>
      <c r="K5001" s="11">
        <f>O5001</f>
        <v/>
      </c>
      <c r="L5001" s="11">
        <f>L5000+IF(K5001&gt;0,K5001*Summary!$B$9,K5001/Summary!$B$9)</f>
        <v/>
      </c>
      <c r="M5001" s="11">
        <f>G5001+H5001</f>
        <v/>
      </c>
      <c r="N5001" s="11">
        <f>Summary!$C$16*Summary!$B$8</f>
        <v/>
      </c>
      <c r="O5001" s="11">
        <f>M5001-N5001</f>
        <v/>
      </c>
    </row>
    <row r="5002">
      <c r="A5002" s="9" t="n">
        <v>45500.33333333334</v>
      </c>
      <c r="B5002" t="n">
        <v>7</v>
      </c>
      <c r="C5002" t="n">
        <v>27</v>
      </c>
      <c r="D5002" t="n">
        <v>8</v>
      </c>
      <c r="E5002" s="10" t="n">
        <v>0.208863</v>
      </c>
      <c r="F5002" s="10" t="n">
        <v>0.1640939433825464</v>
      </c>
      <c r="G5002" s="11">
        <f>E5002*Summary!$B$6</f>
        <v/>
      </c>
      <c r="H5002" s="11">
        <f>F5002*Summary!$B$7</f>
        <v/>
      </c>
      <c r="I5002" s="11">
        <f>MAX(0,N5002-M5002)</f>
        <v/>
      </c>
      <c r="J5002" s="11">
        <f>MAX(0,M5002-N5002)</f>
        <v/>
      </c>
      <c r="K5002" s="11">
        <f>O5002</f>
        <v/>
      </c>
      <c r="L5002" s="11">
        <f>L5001+IF(K5002&gt;0,K5002*Summary!$B$9,K5002/Summary!$B$9)</f>
        <v/>
      </c>
      <c r="M5002" s="11">
        <f>G5002+H5002</f>
        <v/>
      </c>
      <c r="N5002" s="11">
        <f>Summary!$C$16*Summary!$B$8</f>
        <v/>
      </c>
      <c r="O5002" s="11">
        <f>M5002-N5002</f>
        <v/>
      </c>
    </row>
    <row r="5003">
      <c r="A5003" s="9" t="n">
        <v>45500.375</v>
      </c>
      <c r="B5003" t="n">
        <v>7</v>
      </c>
      <c r="C5003" t="n">
        <v>27</v>
      </c>
      <c r="D5003" t="n">
        <v>9</v>
      </c>
      <c r="E5003" s="10" t="n">
        <v>0.272656</v>
      </c>
      <c r="F5003" s="10" t="n">
        <v>0.1690744725778734</v>
      </c>
      <c r="G5003" s="11">
        <f>E5003*Summary!$B$6</f>
        <v/>
      </c>
      <c r="H5003" s="11">
        <f>F5003*Summary!$B$7</f>
        <v/>
      </c>
      <c r="I5003" s="11">
        <f>MAX(0,N5003-M5003)</f>
        <v/>
      </c>
      <c r="J5003" s="11">
        <f>MAX(0,M5003-N5003)</f>
        <v/>
      </c>
      <c r="K5003" s="11">
        <f>O5003</f>
        <v/>
      </c>
      <c r="L5003" s="11">
        <f>L5002+IF(K5003&gt;0,K5003*Summary!$B$9,K5003/Summary!$B$9)</f>
        <v/>
      </c>
      <c r="M5003" s="11">
        <f>G5003+H5003</f>
        <v/>
      </c>
      <c r="N5003" s="11">
        <f>Summary!$C$16*Summary!$B$8</f>
        <v/>
      </c>
      <c r="O5003" s="11">
        <f>M5003-N5003</f>
        <v/>
      </c>
    </row>
    <row r="5004">
      <c r="A5004" s="9" t="n">
        <v>45500.41666666666</v>
      </c>
      <c r="B5004" t="n">
        <v>7</v>
      </c>
      <c r="C5004" t="n">
        <v>27</v>
      </c>
      <c r="D5004" t="n">
        <v>10</v>
      </c>
      <c r="E5004" s="10" t="n">
        <v>0.327969</v>
      </c>
      <c r="F5004" s="10" t="n">
        <v>0.1734489056277373</v>
      </c>
      <c r="G5004" s="11">
        <f>E5004*Summary!$B$6</f>
        <v/>
      </c>
      <c r="H5004" s="11">
        <f>F5004*Summary!$B$7</f>
        <v/>
      </c>
      <c r="I5004" s="11">
        <f>MAX(0,N5004-M5004)</f>
        <v/>
      </c>
      <c r="J5004" s="11">
        <f>MAX(0,M5004-N5004)</f>
        <v/>
      </c>
      <c r="K5004" s="11">
        <f>O5004</f>
        <v/>
      </c>
      <c r="L5004" s="11">
        <f>L5003+IF(K5004&gt;0,K5004*Summary!$B$9,K5004/Summary!$B$9)</f>
        <v/>
      </c>
      <c r="M5004" s="11">
        <f>G5004+H5004</f>
        <v/>
      </c>
      <c r="N5004" s="11">
        <f>Summary!$C$16*Summary!$B$8</f>
        <v/>
      </c>
      <c r="O5004" s="11">
        <f>M5004-N5004</f>
        <v/>
      </c>
    </row>
    <row r="5005">
      <c r="A5005" s="9" t="n">
        <v>45500.45833333334</v>
      </c>
      <c r="B5005" t="n">
        <v>7</v>
      </c>
      <c r="C5005" t="n">
        <v>27</v>
      </c>
      <c r="D5005" t="n">
        <v>11</v>
      </c>
      <c r="E5005" s="10" t="n">
        <v>0.18261</v>
      </c>
      <c r="F5005" s="10" t="n">
        <v>0.1808538194049167</v>
      </c>
      <c r="G5005" s="11">
        <f>E5005*Summary!$B$6</f>
        <v/>
      </c>
      <c r="H5005" s="11">
        <f>F5005*Summary!$B$7</f>
        <v/>
      </c>
      <c r="I5005" s="11">
        <f>MAX(0,N5005-M5005)</f>
        <v/>
      </c>
      <c r="J5005" s="11">
        <f>MAX(0,M5005-N5005)</f>
        <v/>
      </c>
      <c r="K5005" s="11">
        <f>O5005</f>
        <v/>
      </c>
      <c r="L5005" s="11">
        <f>L5004+IF(K5005&gt;0,K5005*Summary!$B$9,K5005/Summary!$B$9)</f>
        <v/>
      </c>
      <c r="M5005" s="11">
        <f>G5005+H5005</f>
        <v/>
      </c>
      <c r="N5005" s="11">
        <f>Summary!$C$16*Summary!$B$8</f>
        <v/>
      </c>
      <c r="O5005" s="11">
        <f>M5005-N5005</f>
        <v/>
      </c>
    </row>
    <row r="5006">
      <c r="A5006" s="9" t="n">
        <v>45500.5</v>
      </c>
      <c r="B5006" t="n">
        <v>7</v>
      </c>
      <c r="C5006" t="n">
        <v>27</v>
      </c>
      <c r="D5006" t="n">
        <v>12</v>
      </c>
      <c r="E5006" s="10" t="n">
        <v>0.231252</v>
      </c>
      <c r="F5006" s="10" t="n">
        <v>0.1796416271139905</v>
      </c>
      <c r="G5006" s="11">
        <f>E5006*Summary!$B$6</f>
        <v/>
      </c>
      <c r="H5006" s="11">
        <f>F5006*Summary!$B$7</f>
        <v/>
      </c>
      <c r="I5006" s="11">
        <f>MAX(0,N5006-M5006)</f>
        <v/>
      </c>
      <c r="J5006" s="11">
        <f>MAX(0,M5006-N5006)</f>
        <v/>
      </c>
      <c r="K5006" s="11">
        <f>O5006</f>
        <v/>
      </c>
      <c r="L5006" s="11">
        <f>L5005+IF(K5006&gt;0,K5006*Summary!$B$9,K5006/Summary!$B$9)</f>
        <v/>
      </c>
      <c r="M5006" s="11">
        <f>G5006+H5006</f>
        <v/>
      </c>
      <c r="N5006" s="11">
        <f>Summary!$C$16*Summary!$B$8</f>
        <v/>
      </c>
      <c r="O5006" s="11">
        <f>M5006-N5006</f>
        <v/>
      </c>
    </row>
    <row r="5007">
      <c r="A5007" s="9" t="n">
        <v>45500.54166666666</v>
      </c>
      <c r="B5007" t="n">
        <v>7</v>
      </c>
      <c r="C5007" t="n">
        <v>27</v>
      </c>
      <c r="D5007" t="n">
        <v>13</v>
      </c>
      <c r="E5007" s="10" t="n">
        <v>0.202041</v>
      </c>
      <c r="F5007" s="10" t="n">
        <v>0.1765584423740262</v>
      </c>
      <c r="G5007" s="11">
        <f>E5007*Summary!$B$6</f>
        <v/>
      </c>
      <c r="H5007" s="11">
        <f>F5007*Summary!$B$7</f>
        <v/>
      </c>
      <c r="I5007" s="11">
        <f>MAX(0,N5007-M5007)</f>
        <v/>
      </c>
      <c r="J5007" s="11">
        <f>MAX(0,M5007-N5007)</f>
        <v/>
      </c>
      <c r="K5007" s="11">
        <f>O5007</f>
        <v/>
      </c>
      <c r="L5007" s="11">
        <f>L5006+IF(K5007&gt;0,K5007*Summary!$B$9,K5007/Summary!$B$9)</f>
        <v/>
      </c>
      <c r="M5007" s="11">
        <f>G5007+H5007</f>
        <v/>
      </c>
      <c r="N5007" s="11">
        <f>Summary!$C$16*Summary!$B$8</f>
        <v/>
      </c>
      <c r="O5007" s="11">
        <f>M5007-N5007</f>
        <v/>
      </c>
    </row>
    <row r="5008">
      <c r="A5008" s="9" t="n">
        <v>45500.58333333334</v>
      </c>
      <c r="B5008" t="n">
        <v>7</v>
      </c>
      <c r="C5008" t="n">
        <v>27</v>
      </c>
      <c r="D5008" t="n">
        <v>14</v>
      </c>
      <c r="E5008" s="10" t="n">
        <v>0.161415</v>
      </c>
      <c r="F5008" s="10" t="n">
        <v>0.1723684733684336</v>
      </c>
      <c r="G5008" s="11">
        <f>E5008*Summary!$B$6</f>
        <v/>
      </c>
      <c r="H5008" s="11">
        <f>F5008*Summary!$B$7</f>
        <v/>
      </c>
      <c r="I5008" s="11">
        <f>MAX(0,N5008-M5008)</f>
        <v/>
      </c>
      <c r="J5008" s="11">
        <f>MAX(0,M5008-N5008)</f>
        <v/>
      </c>
      <c r="K5008" s="11">
        <f>O5008</f>
        <v/>
      </c>
      <c r="L5008" s="11">
        <f>L5007+IF(K5008&gt;0,K5008*Summary!$B$9,K5008/Summary!$B$9)</f>
        <v/>
      </c>
      <c r="M5008" s="11">
        <f>G5008+H5008</f>
        <v/>
      </c>
      <c r="N5008" s="11">
        <f>Summary!$C$16*Summary!$B$8</f>
        <v/>
      </c>
      <c r="O5008" s="11">
        <f>M5008-N5008</f>
        <v/>
      </c>
    </row>
    <row r="5009">
      <c r="A5009" s="9" t="n">
        <v>45500.625</v>
      </c>
      <c r="B5009" t="n">
        <v>7</v>
      </c>
      <c r="C5009" t="n">
        <v>27</v>
      </c>
      <c r="D5009" t="n">
        <v>15</v>
      </c>
      <c r="E5009" s="10" t="n">
        <v>0.100164</v>
      </c>
      <c r="F5009" s="10" t="n">
        <v>0.1679940403185697</v>
      </c>
      <c r="G5009" s="11">
        <f>E5009*Summary!$B$6</f>
        <v/>
      </c>
      <c r="H5009" s="11">
        <f>F5009*Summary!$B$7</f>
        <v/>
      </c>
      <c r="I5009" s="11">
        <f>MAX(0,N5009-M5009)</f>
        <v/>
      </c>
      <c r="J5009" s="11">
        <f>MAX(0,M5009-N5009)</f>
        <v/>
      </c>
      <c r="K5009" s="11">
        <f>O5009</f>
        <v/>
      </c>
      <c r="L5009" s="11">
        <f>L5008+IF(K5009&gt;0,K5009*Summary!$B$9,K5009/Summary!$B$9)</f>
        <v/>
      </c>
      <c r="M5009" s="11">
        <f>G5009+H5009</f>
        <v/>
      </c>
      <c r="N5009" s="11">
        <f>Summary!$C$16*Summary!$B$8</f>
        <v/>
      </c>
      <c r="O5009" s="11">
        <f>M5009-N5009</f>
        <v/>
      </c>
    </row>
    <row r="5010">
      <c r="A5010" s="9" t="n">
        <v>45500.66666666666</v>
      </c>
      <c r="B5010" t="n">
        <v>7</v>
      </c>
      <c r="C5010" t="n">
        <v>27</v>
      </c>
      <c r="D5010" t="n">
        <v>16</v>
      </c>
      <c r="E5010" s="10" t="n">
        <v>0.05584</v>
      </c>
      <c r="F5010" s="10" t="n">
        <v>0.1649635595912543</v>
      </c>
      <c r="G5010" s="11">
        <f>E5010*Summary!$B$6</f>
        <v/>
      </c>
      <c r="H5010" s="11">
        <f>F5010*Summary!$B$7</f>
        <v/>
      </c>
      <c r="I5010" s="11">
        <f>MAX(0,N5010-M5010)</f>
        <v/>
      </c>
      <c r="J5010" s="11">
        <f>MAX(0,M5010-N5010)</f>
        <v/>
      </c>
      <c r="K5010" s="11">
        <f>O5010</f>
        <v/>
      </c>
      <c r="L5010" s="11">
        <f>L5009+IF(K5010&gt;0,K5010*Summary!$B$9,K5010/Summary!$B$9)</f>
        <v/>
      </c>
      <c r="M5010" s="11">
        <f>G5010+H5010</f>
        <v/>
      </c>
      <c r="N5010" s="11">
        <f>Summary!$C$16*Summary!$B$8</f>
        <v/>
      </c>
      <c r="O5010" s="11">
        <f>M5010-N5010</f>
        <v/>
      </c>
    </row>
    <row r="5011">
      <c r="A5011" s="9" t="n">
        <v>45500.70833333334</v>
      </c>
      <c r="B5011" t="n">
        <v>7</v>
      </c>
      <c r="C5011" t="n">
        <v>27</v>
      </c>
      <c r="D5011" t="n">
        <v>17</v>
      </c>
      <c r="E5011" s="10" t="n">
        <v>0.050095</v>
      </c>
      <c r="F5011" s="10" t="n">
        <v>0.1638567753256261</v>
      </c>
      <c r="G5011" s="11">
        <f>E5011*Summary!$B$6</f>
        <v/>
      </c>
      <c r="H5011" s="11">
        <f>F5011*Summary!$B$7</f>
        <v/>
      </c>
      <c r="I5011" s="11">
        <f>MAX(0,N5011-M5011)</f>
        <v/>
      </c>
      <c r="J5011" s="11">
        <f>MAX(0,M5011-N5011)</f>
        <v/>
      </c>
      <c r="K5011" s="11">
        <f>O5011</f>
        <v/>
      </c>
      <c r="L5011" s="11">
        <f>L5010+IF(K5011&gt;0,K5011*Summary!$B$9,K5011/Summary!$B$9)</f>
        <v/>
      </c>
      <c r="M5011" s="11">
        <f>G5011+H5011</f>
        <v/>
      </c>
      <c r="N5011" s="11">
        <f>Summary!$C$16*Summary!$B$8</f>
        <v/>
      </c>
      <c r="O5011" s="11">
        <f>M5011-N5011</f>
        <v/>
      </c>
    </row>
    <row r="5012">
      <c r="A5012" s="9" t="n">
        <v>45500.75</v>
      </c>
      <c r="B5012" t="n">
        <v>7</v>
      </c>
      <c r="C5012" t="n">
        <v>27</v>
      </c>
      <c r="D5012" t="n">
        <v>18</v>
      </c>
      <c r="E5012" s="10" t="n">
        <v>0.043826</v>
      </c>
      <c r="F5012" s="10" t="n">
        <v>0.1495212838851081</v>
      </c>
      <c r="G5012" s="11">
        <f>E5012*Summary!$B$6</f>
        <v/>
      </c>
      <c r="H5012" s="11">
        <f>F5012*Summary!$B$7</f>
        <v/>
      </c>
      <c r="I5012" s="11">
        <f>MAX(0,N5012-M5012)</f>
        <v/>
      </c>
      <c r="J5012" s="11">
        <f>MAX(0,M5012-N5012)</f>
        <v/>
      </c>
      <c r="K5012" s="11">
        <f>O5012</f>
        <v/>
      </c>
      <c r="L5012" s="11">
        <f>L5011+IF(K5012&gt;0,K5012*Summary!$B$9,K5012/Summary!$B$9)</f>
        <v/>
      </c>
      <c r="M5012" s="11">
        <f>G5012+H5012</f>
        <v/>
      </c>
      <c r="N5012" s="11">
        <f>Summary!$C$16*Summary!$B$8</f>
        <v/>
      </c>
      <c r="O5012" s="11">
        <f>M5012-N5012</f>
        <v/>
      </c>
    </row>
    <row r="5013">
      <c r="A5013" s="9" t="n">
        <v>45500.79166666666</v>
      </c>
      <c r="B5013" t="n">
        <v>7</v>
      </c>
      <c r="C5013" t="n">
        <v>27</v>
      </c>
      <c r="D5013" t="n">
        <v>19</v>
      </c>
      <c r="E5013" s="10" t="n">
        <v>0.015822</v>
      </c>
      <c r="F5013" s="10" t="n">
        <v>0.1519456684669604</v>
      </c>
      <c r="G5013" s="11">
        <f>E5013*Summary!$B$6</f>
        <v/>
      </c>
      <c r="H5013" s="11">
        <f>F5013*Summary!$B$7</f>
        <v/>
      </c>
      <c r="I5013" s="11">
        <f>MAX(0,N5013-M5013)</f>
        <v/>
      </c>
      <c r="J5013" s="11">
        <f>MAX(0,M5013-N5013)</f>
        <v/>
      </c>
      <c r="K5013" s="11">
        <f>O5013</f>
        <v/>
      </c>
      <c r="L5013" s="11">
        <f>L5012+IF(K5013&gt;0,K5013*Summary!$B$9,K5013/Summary!$B$9)</f>
        <v/>
      </c>
      <c r="M5013" s="11">
        <f>G5013+H5013</f>
        <v/>
      </c>
      <c r="N5013" s="11">
        <f>Summary!$C$16*Summary!$B$8</f>
        <v/>
      </c>
      <c r="O5013" s="11">
        <f>M5013-N5013</f>
        <v/>
      </c>
    </row>
    <row r="5014">
      <c r="A5014" s="9" t="n">
        <v>45500.83333333334</v>
      </c>
      <c r="B5014" t="n">
        <v>7</v>
      </c>
      <c r="C5014" t="n">
        <v>27</v>
      </c>
      <c r="D5014" t="n">
        <v>20</v>
      </c>
      <c r="E5014" s="10" t="n">
        <v>0</v>
      </c>
      <c r="F5014" s="10" t="n">
        <v>0.1668345520402925</v>
      </c>
      <c r="G5014" s="11">
        <f>E5014*Summary!$B$6</f>
        <v/>
      </c>
      <c r="H5014" s="11">
        <f>F5014*Summary!$B$7</f>
        <v/>
      </c>
      <c r="I5014" s="11">
        <f>MAX(0,N5014-M5014)</f>
        <v/>
      </c>
      <c r="J5014" s="11">
        <f>MAX(0,M5014-N5014)</f>
        <v/>
      </c>
      <c r="K5014" s="11">
        <f>O5014</f>
        <v/>
      </c>
      <c r="L5014" s="11">
        <f>L5013+IF(K5014&gt;0,K5014*Summary!$B$9,K5014/Summary!$B$9)</f>
        <v/>
      </c>
      <c r="M5014" s="11">
        <f>G5014+H5014</f>
        <v/>
      </c>
      <c r="N5014" s="11">
        <f>Summary!$C$16*Summary!$B$8</f>
        <v/>
      </c>
      <c r="O5014" s="11">
        <f>M5014-N5014</f>
        <v/>
      </c>
    </row>
    <row r="5015">
      <c r="A5015" s="9" t="n">
        <v>45500.875</v>
      </c>
      <c r="B5015" t="n">
        <v>7</v>
      </c>
      <c r="C5015" t="n">
        <v>27</v>
      </c>
      <c r="D5015" t="n">
        <v>21</v>
      </c>
      <c r="E5015" s="10" t="n">
        <v>0</v>
      </c>
      <c r="F5015" s="10" t="n">
        <v>0.1822768277464387</v>
      </c>
      <c r="G5015" s="11">
        <f>E5015*Summary!$B$6</f>
        <v/>
      </c>
      <c r="H5015" s="11">
        <f>F5015*Summary!$B$7</f>
        <v/>
      </c>
      <c r="I5015" s="11">
        <f>MAX(0,N5015-M5015)</f>
        <v/>
      </c>
      <c r="J5015" s="11">
        <f>MAX(0,M5015-N5015)</f>
        <v/>
      </c>
      <c r="K5015" s="11">
        <f>O5015</f>
        <v/>
      </c>
      <c r="L5015" s="11">
        <f>L5014+IF(K5015&gt;0,K5015*Summary!$B$9,K5015/Summary!$B$9)</f>
        <v/>
      </c>
      <c r="M5015" s="11">
        <f>G5015+H5015</f>
        <v/>
      </c>
      <c r="N5015" s="11">
        <f>Summary!$C$16*Summary!$B$8</f>
        <v/>
      </c>
      <c r="O5015" s="11">
        <f>M5015-N5015</f>
        <v/>
      </c>
    </row>
    <row r="5016">
      <c r="A5016" s="9" t="n">
        <v>45500.91666666666</v>
      </c>
      <c r="B5016" t="n">
        <v>7</v>
      </c>
      <c r="C5016" t="n">
        <v>27</v>
      </c>
      <c r="D5016" t="n">
        <v>22</v>
      </c>
      <c r="E5016" s="10" t="n">
        <v>0</v>
      </c>
      <c r="F5016" s="10" t="n">
        <v>0.1890492933718304</v>
      </c>
      <c r="G5016" s="11">
        <f>E5016*Summary!$B$6</f>
        <v/>
      </c>
      <c r="H5016" s="11">
        <f>F5016*Summary!$B$7</f>
        <v/>
      </c>
      <c r="I5016" s="11">
        <f>MAX(0,N5016-M5016)</f>
        <v/>
      </c>
      <c r="J5016" s="11">
        <f>MAX(0,M5016-N5016)</f>
        <v/>
      </c>
      <c r="K5016" s="11">
        <f>O5016</f>
        <v/>
      </c>
      <c r="L5016" s="11">
        <f>L5015+IF(K5016&gt;0,K5016*Summary!$B$9,K5016/Summary!$B$9)</f>
        <v/>
      </c>
      <c r="M5016" s="11">
        <f>G5016+H5016</f>
        <v/>
      </c>
      <c r="N5016" s="11">
        <f>Summary!$C$16*Summary!$B$8</f>
        <v/>
      </c>
      <c r="O5016" s="11">
        <f>M5016-N5016</f>
        <v/>
      </c>
    </row>
    <row r="5017">
      <c r="A5017" s="9" t="n">
        <v>45500.95833333334</v>
      </c>
      <c r="B5017" t="n">
        <v>7</v>
      </c>
      <c r="C5017" t="n">
        <v>27</v>
      </c>
      <c r="D5017" t="n">
        <v>23</v>
      </c>
      <c r="E5017" s="10" t="n">
        <v>0</v>
      </c>
      <c r="F5017" s="10" t="n">
        <v>0.1898135015552404</v>
      </c>
      <c r="G5017" s="11">
        <f>E5017*Summary!$B$6</f>
        <v/>
      </c>
      <c r="H5017" s="11">
        <f>F5017*Summary!$B$7</f>
        <v/>
      </c>
      <c r="I5017" s="11">
        <f>MAX(0,N5017-M5017)</f>
        <v/>
      </c>
      <c r="J5017" s="11">
        <f>MAX(0,M5017-N5017)</f>
        <v/>
      </c>
      <c r="K5017" s="11">
        <f>O5017</f>
        <v/>
      </c>
      <c r="L5017" s="11">
        <f>L5016+IF(K5017&gt;0,K5017*Summary!$B$9,K5017/Summary!$B$9)</f>
        <v/>
      </c>
      <c r="M5017" s="11">
        <f>G5017+H5017</f>
        <v/>
      </c>
      <c r="N5017" s="11">
        <f>Summary!$C$16*Summary!$B$8</f>
        <v/>
      </c>
      <c r="O5017" s="11">
        <f>M5017-N5017</f>
        <v/>
      </c>
    </row>
    <row r="5018">
      <c r="A5018" s="9" t="n">
        <v>45501</v>
      </c>
      <c r="B5018" t="n">
        <v>7</v>
      </c>
      <c r="C5018" t="n">
        <v>28</v>
      </c>
      <c r="D5018" t="n">
        <v>0</v>
      </c>
      <c r="E5018" s="10" t="n">
        <v>0</v>
      </c>
      <c r="F5018" s="10" t="n">
        <v>0.2222528213406771</v>
      </c>
      <c r="G5018" s="11">
        <f>E5018*Summary!$B$6</f>
        <v/>
      </c>
      <c r="H5018" s="11">
        <f>F5018*Summary!$B$7</f>
        <v/>
      </c>
      <c r="I5018" s="11">
        <f>MAX(0,N5018-M5018)</f>
        <v/>
      </c>
      <c r="J5018" s="11">
        <f>MAX(0,M5018-N5018)</f>
        <v/>
      </c>
      <c r="K5018" s="11">
        <f>O5018</f>
        <v/>
      </c>
      <c r="L5018" s="11">
        <f>L5017+IF(K5018&gt;0,K5018*Summary!$B$9,K5018/Summary!$B$9)</f>
        <v/>
      </c>
      <c r="M5018" s="11">
        <f>G5018+H5018</f>
        <v/>
      </c>
      <c r="N5018" s="11">
        <f>Summary!$C$16*Summary!$B$8</f>
        <v/>
      </c>
      <c r="O5018" s="11">
        <f>M5018-N5018</f>
        <v/>
      </c>
    </row>
    <row r="5019">
      <c r="A5019" s="9" t="n">
        <v>45501.04166666666</v>
      </c>
      <c r="B5019" t="n">
        <v>7</v>
      </c>
      <c r="C5019" t="n">
        <v>28</v>
      </c>
      <c r="D5019" t="n">
        <v>1</v>
      </c>
      <c r="E5019" s="10" t="n">
        <v>0</v>
      </c>
      <c r="F5019" s="10" t="n">
        <v>0.1882587331820959</v>
      </c>
      <c r="G5019" s="11">
        <f>E5019*Summary!$B$6</f>
        <v/>
      </c>
      <c r="H5019" s="11">
        <f>F5019*Summary!$B$7</f>
        <v/>
      </c>
      <c r="I5019" s="11">
        <f>MAX(0,N5019-M5019)</f>
        <v/>
      </c>
      <c r="J5019" s="11">
        <f>MAX(0,M5019-N5019)</f>
        <v/>
      </c>
      <c r="K5019" s="11">
        <f>O5019</f>
        <v/>
      </c>
      <c r="L5019" s="11">
        <f>L5018+IF(K5019&gt;0,K5019*Summary!$B$9,K5019/Summary!$B$9)</f>
        <v/>
      </c>
      <c r="M5019" s="11">
        <f>G5019+H5019</f>
        <v/>
      </c>
      <c r="N5019" s="11">
        <f>Summary!$C$16*Summary!$B$8</f>
        <v/>
      </c>
      <c r="O5019" s="11">
        <f>M5019-N5019</f>
        <v/>
      </c>
    </row>
    <row r="5020">
      <c r="A5020" s="9" t="n">
        <v>45501.08333333334</v>
      </c>
      <c r="B5020" t="n">
        <v>7</v>
      </c>
      <c r="C5020" t="n">
        <v>28</v>
      </c>
      <c r="D5020" t="n">
        <v>2</v>
      </c>
      <c r="E5020" s="10" t="n">
        <v>0</v>
      </c>
      <c r="F5020" s="10" t="n">
        <v>0.1856235325496478</v>
      </c>
      <c r="G5020" s="11">
        <f>E5020*Summary!$B$6</f>
        <v/>
      </c>
      <c r="H5020" s="11">
        <f>F5020*Summary!$B$7</f>
        <v/>
      </c>
      <c r="I5020" s="11">
        <f>MAX(0,N5020-M5020)</f>
        <v/>
      </c>
      <c r="J5020" s="11">
        <f>MAX(0,M5020-N5020)</f>
        <v/>
      </c>
      <c r="K5020" s="11">
        <f>O5020</f>
        <v/>
      </c>
      <c r="L5020" s="11">
        <f>L5019+IF(K5020&gt;0,K5020*Summary!$B$9,K5020/Summary!$B$9)</f>
        <v/>
      </c>
      <c r="M5020" s="11">
        <f>G5020+H5020</f>
        <v/>
      </c>
      <c r="N5020" s="11">
        <f>Summary!$C$16*Summary!$B$8</f>
        <v/>
      </c>
      <c r="O5020" s="11">
        <f>M5020-N5020</f>
        <v/>
      </c>
    </row>
    <row r="5021">
      <c r="A5021" s="9" t="n">
        <v>45501.125</v>
      </c>
      <c r="B5021" t="n">
        <v>7</v>
      </c>
      <c r="C5021" t="n">
        <v>28</v>
      </c>
      <c r="D5021" t="n">
        <v>3</v>
      </c>
      <c r="E5021" s="10" t="n">
        <v>0</v>
      </c>
      <c r="F5021" s="10" t="n">
        <v>0.1838315961195831</v>
      </c>
      <c r="G5021" s="11">
        <f>E5021*Summary!$B$6</f>
        <v/>
      </c>
      <c r="H5021" s="11">
        <f>F5021*Summary!$B$7</f>
        <v/>
      </c>
      <c r="I5021" s="11">
        <f>MAX(0,N5021-M5021)</f>
        <v/>
      </c>
      <c r="J5021" s="11">
        <f>MAX(0,M5021-N5021)</f>
        <v/>
      </c>
      <c r="K5021" s="11">
        <f>O5021</f>
        <v/>
      </c>
      <c r="L5021" s="11">
        <f>L5020+IF(K5021&gt;0,K5021*Summary!$B$9,K5021/Summary!$B$9)</f>
        <v/>
      </c>
      <c r="M5021" s="11">
        <f>G5021+H5021</f>
        <v/>
      </c>
      <c r="N5021" s="11">
        <f>Summary!$C$16*Summary!$B$8</f>
        <v/>
      </c>
      <c r="O5021" s="11">
        <f>M5021-N5021</f>
        <v/>
      </c>
    </row>
    <row r="5022">
      <c r="A5022" s="9" t="n">
        <v>45501.16666666666</v>
      </c>
      <c r="B5022" t="n">
        <v>7</v>
      </c>
      <c r="C5022" t="n">
        <v>28</v>
      </c>
      <c r="D5022" t="n">
        <v>4</v>
      </c>
      <c r="E5022" s="10" t="n">
        <v>0.009632999999999999</v>
      </c>
      <c r="F5022" s="10" t="n">
        <v>0.1791409389938254</v>
      </c>
      <c r="G5022" s="11">
        <f>E5022*Summary!$B$6</f>
        <v/>
      </c>
      <c r="H5022" s="11">
        <f>F5022*Summary!$B$7</f>
        <v/>
      </c>
      <c r="I5022" s="11">
        <f>MAX(0,N5022-M5022)</f>
        <v/>
      </c>
      <c r="J5022" s="11">
        <f>MAX(0,M5022-N5022)</f>
        <v/>
      </c>
      <c r="K5022" s="11">
        <f>O5022</f>
        <v/>
      </c>
      <c r="L5022" s="11">
        <f>L5021+IF(K5022&gt;0,K5022*Summary!$B$9,K5022/Summary!$B$9)</f>
        <v/>
      </c>
      <c r="M5022" s="11">
        <f>G5022+H5022</f>
        <v/>
      </c>
      <c r="N5022" s="11">
        <f>Summary!$C$16*Summary!$B$8</f>
        <v/>
      </c>
      <c r="O5022" s="11">
        <f>M5022-N5022</f>
        <v/>
      </c>
    </row>
    <row r="5023">
      <c r="A5023" s="9" t="n">
        <v>45501.20833333334</v>
      </c>
      <c r="B5023" t="n">
        <v>7</v>
      </c>
      <c r="C5023" t="n">
        <v>28</v>
      </c>
      <c r="D5023" t="n">
        <v>5</v>
      </c>
      <c r="E5023" s="10" t="n">
        <v>0.047067</v>
      </c>
      <c r="F5023" s="10" t="n">
        <v>0.1631716231611896</v>
      </c>
      <c r="G5023" s="11">
        <f>E5023*Summary!$B$6</f>
        <v/>
      </c>
      <c r="H5023" s="11">
        <f>F5023*Summary!$B$7</f>
        <v/>
      </c>
      <c r="I5023" s="11">
        <f>MAX(0,N5023-M5023)</f>
        <v/>
      </c>
      <c r="J5023" s="11">
        <f>MAX(0,M5023-N5023)</f>
        <v/>
      </c>
      <c r="K5023" s="11">
        <f>O5023</f>
        <v/>
      </c>
      <c r="L5023" s="11">
        <f>L5022+IF(K5023&gt;0,K5023*Summary!$B$9,K5023/Summary!$B$9)</f>
        <v/>
      </c>
      <c r="M5023" s="11">
        <f>G5023+H5023</f>
        <v/>
      </c>
      <c r="N5023" s="11">
        <f>Summary!$C$16*Summary!$B$8</f>
        <v/>
      </c>
      <c r="O5023" s="11">
        <f>M5023-N5023</f>
        <v/>
      </c>
    </row>
    <row r="5024">
      <c r="A5024" s="9" t="n">
        <v>45501.25</v>
      </c>
      <c r="B5024" t="n">
        <v>7</v>
      </c>
      <c r="C5024" t="n">
        <v>28</v>
      </c>
      <c r="D5024" t="n">
        <v>6</v>
      </c>
      <c r="E5024" s="10" t="n">
        <v>0.150034</v>
      </c>
      <c r="F5024" s="10" t="n">
        <v>0.1451732028415687</v>
      </c>
      <c r="G5024" s="11">
        <f>E5024*Summary!$B$6</f>
        <v/>
      </c>
      <c r="H5024" s="11">
        <f>F5024*Summary!$B$7</f>
        <v/>
      </c>
      <c r="I5024" s="11">
        <f>MAX(0,N5024-M5024)</f>
        <v/>
      </c>
      <c r="J5024" s="11">
        <f>MAX(0,M5024-N5024)</f>
        <v/>
      </c>
      <c r="K5024" s="11">
        <f>O5024</f>
        <v/>
      </c>
      <c r="L5024" s="11">
        <f>L5023+IF(K5024&gt;0,K5024*Summary!$B$9,K5024/Summary!$B$9)</f>
        <v/>
      </c>
      <c r="M5024" s="11">
        <f>G5024+H5024</f>
        <v/>
      </c>
      <c r="N5024" s="11">
        <f>Summary!$C$16*Summary!$B$8</f>
        <v/>
      </c>
      <c r="O5024" s="11">
        <f>M5024-N5024</f>
        <v/>
      </c>
    </row>
    <row r="5025">
      <c r="A5025" s="9" t="n">
        <v>45501.29166666666</v>
      </c>
      <c r="B5025" t="n">
        <v>7</v>
      </c>
      <c r="C5025" t="n">
        <v>28</v>
      </c>
      <c r="D5025" t="n">
        <v>7</v>
      </c>
      <c r="E5025" s="10" t="n">
        <v>0.246391</v>
      </c>
      <c r="F5025" s="10" t="n">
        <v>0.1358709446090267</v>
      </c>
      <c r="G5025" s="11">
        <f>E5025*Summary!$B$6</f>
        <v/>
      </c>
      <c r="H5025" s="11">
        <f>F5025*Summary!$B$7</f>
        <v/>
      </c>
      <c r="I5025" s="11">
        <f>MAX(0,N5025-M5025)</f>
        <v/>
      </c>
      <c r="J5025" s="11">
        <f>MAX(0,M5025-N5025)</f>
        <v/>
      </c>
      <c r="K5025" s="11">
        <f>O5025</f>
        <v/>
      </c>
      <c r="L5025" s="11">
        <f>L5024+IF(K5025&gt;0,K5025*Summary!$B$9,K5025/Summary!$B$9)</f>
        <v/>
      </c>
      <c r="M5025" s="11">
        <f>G5025+H5025</f>
        <v/>
      </c>
      <c r="N5025" s="11">
        <f>Summary!$C$16*Summary!$B$8</f>
        <v/>
      </c>
      <c r="O5025" s="11">
        <f>M5025-N5025</f>
        <v/>
      </c>
    </row>
    <row r="5026">
      <c r="A5026" s="9" t="n">
        <v>45501.33333333334</v>
      </c>
      <c r="B5026" t="n">
        <v>7</v>
      </c>
      <c r="C5026" t="n">
        <v>28</v>
      </c>
      <c r="D5026" t="n">
        <v>8</v>
      </c>
      <c r="E5026" s="10" t="n">
        <v>0.511704</v>
      </c>
      <c r="F5026" s="10" t="n">
        <v>0.138295329190879</v>
      </c>
      <c r="G5026" s="11">
        <f>E5026*Summary!$B$6</f>
        <v/>
      </c>
      <c r="H5026" s="11">
        <f>F5026*Summary!$B$7</f>
        <v/>
      </c>
      <c r="I5026" s="11">
        <f>MAX(0,N5026-M5026)</f>
        <v/>
      </c>
      <c r="J5026" s="11">
        <f>MAX(0,M5026-N5026)</f>
        <v/>
      </c>
      <c r="K5026" s="11">
        <f>O5026</f>
        <v/>
      </c>
      <c r="L5026" s="11">
        <f>L5025+IF(K5026&gt;0,K5026*Summary!$B$9,K5026/Summary!$B$9)</f>
        <v/>
      </c>
      <c r="M5026" s="11">
        <f>G5026+H5026</f>
        <v/>
      </c>
      <c r="N5026" s="11">
        <f>Summary!$C$16*Summary!$B$8</f>
        <v/>
      </c>
      <c r="O5026" s="11">
        <f>M5026-N5026</f>
        <v/>
      </c>
    </row>
    <row r="5027">
      <c r="A5027" s="9" t="n">
        <v>45501.375</v>
      </c>
      <c r="B5027" t="n">
        <v>7</v>
      </c>
      <c r="C5027" t="n">
        <v>28</v>
      </c>
      <c r="D5027" t="n">
        <v>9</v>
      </c>
      <c r="E5027" s="10" t="n">
        <v>0.701216</v>
      </c>
      <c r="F5027" s="10" t="n">
        <v>0.141088641861274</v>
      </c>
      <c r="G5027" s="11">
        <f>E5027*Summary!$B$6</f>
        <v/>
      </c>
      <c r="H5027" s="11">
        <f>F5027*Summary!$B$7</f>
        <v/>
      </c>
      <c r="I5027" s="11">
        <f>MAX(0,N5027-M5027)</f>
        <v/>
      </c>
      <c r="J5027" s="11">
        <f>MAX(0,M5027-N5027)</f>
        <v/>
      </c>
      <c r="K5027" s="11">
        <f>O5027</f>
        <v/>
      </c>
      <c r="L5027" s="11">
        <f>L5026+IF(K5027&gt;0,K5027*Summary!$B$9,K5027/Summary!$B$9)</f>
        <v/>
      </c>
      <c r="M5027" s="11">
        <f>G5027+H5027</f>
        <v/>
      </c>
      <c r="N5027" s="11">
        <f>Summary!$C$16*Summary!$B$8</f>
        <v/>
      </c>
      <c r="O5027" s="11">
        <f>M5027-N5027</f>
        <v/>
      </c>
    </row>
    <row r="5028">
      <c r="A5028" s="9" t="n">
        <v>45501.41666666666</v>
      </c>
      <c r="B5028" t="n">
        <v>7</v>
      </c>
      <c r="C5028" t="n">
        <v>28</v>
      </c>
      <c r="D5028" t="n">
        <v>10</v>
      </c>
      <c r="E5028" s="10" t="n">
        <v>0.754058</v>
      </c>
      <c r="F5028" s="10" t="n">
        <v>0.1598249183579804</v>
      </c>
      <c r="G5028" s="11">
        <f>E5028*Summary!$B$6</f>
        <v/>
      </c>
      <c r="H5028" s="11">
        <f>F5028*Summary!$B$7</f>
        <v/>
      </c>
      <c r="I5028" s="11">
        <f>MAX(0,N5028-M5028)</f>
        <v/>
      </c>
      <c r="J5028" s="11">
        <f>MAX(0,M5028-N5028)</f>
        <v/>
      </c>
      <c r="K5028" s="11">
        <f>O5028</f>
        <v/>
      </c>
      <c r="L5028" s="11">
        <f>L5027+IF(K5028&gt;0,K5028*Summary!$B$9,K5028/Summary!$B$9)</f>
        <v/>
      </c>
      <c r="M5028" s="11">
        <f>G5028+H5028</f>
        <v/>
      </c>
      <c r="N5028" s="11">
        <f>Summary!$C$16*Summary!$B$8</f>
        <v/>
      </c>
      <c r="O5028" s="11">
        <f>M5028-N5028</f>
        <v/>
      </c>
    </row>
    <row r="5029">
      <c r="A5029" s="9" t="n">
        <v>45501.45833333334</v>
      </c>
      <c r="B5029" t="n">
        <v>7</v>
      </c>
      <c r="C5029" t="n">
        <v>28</v>
      </c>
      <c r="D5029" t="n">
        <v>11</v>
      </c>
      <c r="E5029" s="10" t="n">
        <v>0.754058</v>
      </c>
      <c r="F5029" s="10" t="n">
        <v>0.1625918790220509</v>
      </c>
      <c r="G5029" s="11">
        <f>E5029*Summary!$B$6</f>
        <v/>
      </c>
      <c r="H5029" s="11">
        <f>F5029*Summary!$B$7</f>
        <v/>
      </c>
      <c r="I5029" s="11">
        <f>MAX(0,N5029-M5029)</f>
        <v/>
      </c>
      <c r="J5029" s="11">
        <f>MAX(0,M5029-N5029)</f>
        <v/>
      </c>
      <c r="K5029" s="11">
        <f>O5029</f>
        <v/>
      </c>
      <c r="L5029" s="11">
        <f>L5028+IF(K5029&gt;0,K5029*Summary!$B$9,K5029/Summary!$B$9)</f>
        <v/>
      </c>
      <c r="M5029" s="11">
        <f>G5029+H5029</f>
        <v/>
      </c>
      <c r="N5029" s="11">
        <f>Summary!$C$16*Summary!$B$8</f>
        <v/>
      </c>
      <c r="O5029" s="11">
        <f>M5029-N5029</f>
        <v/>
      </c>
    </row>
    <row r="5030">
      <c r="A5030" s="9" t="n">
        <v>45501.5</v>
      </c>
      <c r="B5030" t="n">
        <v>7</v>
      </c>
      <c r="C5030" t="n">
        <v>28</v>
      </c>
      <c r="D5030" t="n">
        <v>12</v>
      </c>
      <c r="E5030" s="10" t="n">
        <v>0.754058</v>
      </c>
      <c r="F5030" s="10" t="n">
        <v>0.1706028889446933</v>
      </c>
      <c r="G5030" s="11">
        <f>E5030*Summary!$B$6</f>
        <v/>
      </c>
      <c r="H5030" s="11">
        <f>F5030*Summary!$B$7</f>
        <v/>
      </c>
      <c r="I5030" s="11">
        <f>MAX(0,N5030-M5030)</f>
        <v/>
      </c>
      <c r="J5030" s="11">
        <f>MAX(0,M5030-N5030)</f>
        <v/>
      </c>
      <c r="K5030" s="11">
        <f>O5030</f>
        <v/>
      </c>
      <c r="L5030" s="11">
        <f>L5029+IF(K5030&gt;0,K5030*Summary!$B$9,K5030/Summary!$B$9)</f>
        <v/>
      </c>
      <c r="M5030" s="11">
        <f>G5030+H5030</f>
        <v/>
      </c>
      <c r="N5030" s="11">
        <f>Summary!$C$16*Summary!$B$8</f>
        <v/>
      </c>
      <c r="O5030" s="11">
        <f>M5030-N5030</f>
        <v/>
      </c>
    </row>
    <row r="5031">
      <c r="A5031" s="9" t="n">
        <v>45501.54166666666</v>
      </c>
      <c r="B5031" t="n">
        <v>7</v>
      </c>
      <c r="C5031" t="n">
        <v>28</v>
      </c>
      <c r="D5031" t="n">
        <v>13</v>
      </c>
      <c r="E5031" s="10" t="n">
        <v>0.754058</v>
      </c>
      <c r="F5031" s="10" t="n">
        <v>0.177586170620681</v>
      </c>
      <c r="G5031" s="11">
        <f>E5031*Summary!$B$6</f>
        <v/>
      </c>
      <c r="H5031" s="11">
        <f>F5031*Summary!$B$7</f>
        <v/>
      </c>
      <c r="I5031" s="11">
        <f>MAX(0,N5031-M5031)</f>
        <v/>
      </c>
      <c r="J5031" s="11">
        <f>MAX(0,M5031-N5031)</f>
        <v/>
      </c>
      <c r="K5031" s="11">
        <f>O5031</f>
        <v/>
      </c>
      <c r="L5031" s="11">
        <f>L5030+IF(K5031&gt;0,K5031*Summary!$B$9,K5031/Summary!$B$9)</f>
        <v/>
      </c>
      <c r="M5031" s="11">
        <f>G5031+H5031</f>
        <v/>
      </c>
      <c r="N5031" s="11">
        <f>Summary!$C$16*Summary!$B$8</f>
        <v/>
      </c>
      <c r="O5031" s="11">
        <f>M5031-N5031</f>
        <v/>
      </c>
    </row>
    <row r="5032">
      <c r="A5032" s="9" t="n">
        <v>45501.58333333334</v>
      </c>
      <c r="B5032" t="n">
        <v>7</v>
      </c>
      <c r="C5032" t="n">
        <v>28</v>
      </c>
      <c r="D5032" t="n">
        <v>14</v>
      </c>
      <c r="E5032" s="10" t="n">
        <v>0.7501949999999999</v>
      </c>
      <c r="F5032" s="10" t="n">
        <v>0.185307308473754</v>
      </c>
      <c r="G5032" s="11">
        <f>E5032*Summary!$B$6</f>
        <v/>
      </c>
      <c r="H5032" s="11">
        <f>F5032*Summary!$B$7</f>
        <v/>
      </c>
      <c r="I5032" s="11">
        <f>MAX(0,N5032-M5032)</f>
        <v/>
      </c>
      <c r="J5032" s="11">
        <f>MAX(0,M5032-N5032)</f>
        <v/>
      </c>
      <c r="K5032" s="11">
        <f>O5032</f>
        <v/>
      </c>
      <c r="L5032" s="11">
        <f>L5031+IF(K5032&gt;0,K5032*Summary!$B$9,K5032/Summary!$B$9)</f>
        <v/>
      </c>
      <c r="M5032" s="11">
        <f>G5032+H5032</f>
        <v/>
      </c>
      <c r="N5032" s="11">
        <f>Summary!$C$16*Summary!$B$8</f>
        <v/>
      </c>
      <c r="O5032" s="11">
        <f>M5032-N5032</f>
        <v/>
      </c>
    </row>
    <row r="5033">
      <c r="A5033" s="9" t="n">
        <v>45501.625</v>
      </c>
      <c r="B5033" t="n">
        <v>7</v>
      </c>
      <c r="C5033" t="n">
        <v>28</v>
      </c>
      <c r="D5033" t="n">
        <v>15</v>
      </c>
      <c r="E5033" s="10" t="n">
        <v>0.622202</v>
      </c>
      <c r="F5033" s="10" t="n">
        <v>0.1856498845559723</v>
      </c>
      <c r="G5033" s="11">
        <f>E5033*Summary!$B$6</f>
        <v/>
      </c>
      <c r="H5033" s="11">
        <f>F5033*Summary!$B$7</f>
        <v/>
      </c>
      <c r="I5033" s="11">
        <f>MAX(0,N5033-M5033)</f>
        <v/>
      </c>
      <c r="J5033" s="11">
        <f>MAX(0,M5033-N5033)</f>
        <v/>
      </c>
      <c r="K5033" s="11">
        <f>O5033</f>
        <v/>
      </c>
      <c r="L5033" s="11">
        <f>L5032+IF(K5033&gt;0,K5033*Summary!$B$9,K5033/Summary!$B$9)</f>
        <v/>
      </c>
      <c r="M5033" s="11">
        <f>G5033+H5033</f>
        <v/>
      </c>
      <c r="N5033" s="11">
        <f>Summary!$C$16*Summary!$B$8</f>
        <v/>
      </c>
      <c r="O5033" s="11">
        <f>M5033-N5033</f>
        <v/>
      </c>
    </row>
    <row r="5034">
      <c r="A5034" s="9" t="n">
        <v>45501.66666666666</v>
      </c>
      <c r="B5034" t="n">
        <v>7</v>
      </c>
      <c r="C5034" t="n">
        <v>28</v>
      </c>
      <c r="D5034" t="n">
        <v>16</v>
      </c>
      <c r="E5034" s="10" t="n">
        <v>0.445973</v>
      </c>
      <c r="F5034" s="10" t="n">
        <v>0.1854917725180254</v>
      </c>
      <c r="G5034" s="11">
        <f>E5034*Summary!$B$6</f>
        <v/>
      </c>
      <c r="H5034" s="11">
        <f>F5034*Summary!$B$7</f>
        <v/>
      </c>
      <c r="I5034" s="11">
        <f>MAX(0,N5034-M5034)</f>
        <v/>
      </c>
      <c r="J5034" s="11">
        <f>MAX(0,M5034-N5034)</f>
        <v/>
      </c>
      <c r="K5034" s="11">
        <f>O5034</f>
        <v/>
      </c>
      <c r="L5034" s="11">
        <f>L5033+IF(K5034&gt;0,K5034*Summary!$B$9,K5034/Summary!$B$9)</f>
        <v/>
      </c>
      <c r="M5034" s="11">
        <f>G5034+H5034</f>
        <v/>
      </c>
      <c r="N5034" s="11">
        <f>Summary!$C$16*Summary!$B$8</f>
        <v/>
      </c>
      <c r="O5034" s="11">
        <f>M5034-N5034</f>
        <v/>
      </c>
    </row>
    <row r="5035">
      <c r="A5035" s="9" t="n">
        <v>45501.70833333334</v>
      </c>
      <c r="B5035" t="n">
        <v>7</v>
      </c>
      <c r="C5035" t="n">
        <v>28</v>
      </c>
      <c r="D5035" t="n">
        <v>17</v>
      </c>
      <c r="E5035" s="10" t="n">
        <v>0.235359</v>
      </c>
      <c r="F5035" s="10" t="n">
        <v>0.1775598186143565</v>
      </c>
      <c r="G5035" s="11">
        <f>E5035*Summary!$B$6</f>
        <v/>
      </c>
      <c r="H5035" s="11">
        <f>F5035*Summary!$B$7</f>
        <v/>
      </c>
      <c r="I5035" s="11">
        <f>MAX(0,N5035-M5035)</f>
        <v/>
      </c>
      <c r="J5035" s="11">
        <f>MAX(0,M5035-N5035)</f>
        <v/>
      </c>
      <c r="K5035" s="11">
        <f>O5035</f>
        <v/>
      </c>
      <c r="L5035" s="11">
        <f>L5034+IF(K5035&gt;0,K5035*Summary!$B$9,K5035/Summary!$B$9)</f>
        <v/>
      </c>
      <c r="M5035" s="11">
        <f>G5035+H5035</f>
        <v/>
      </c>
      <c r="N5035" s="11">
        <f>Summary!$C$16*Summary!$B$8</f>
        <v/>
      </c>
      <c r="O5035" s="11">
        <f>M5035-N5035</f>
        <v/>
      </c>
    </row>
    <row r="5036">
      <c r="A5036" s="9" t="n">
        <v>45501.75</v>
      </c>
      <c r="B5036" t="n">
        <v>7</v>
      </c>
      <c r="C5036" t="n">
        <v>28</v>
      </c>
      <c r="D5036" t="n">
        <v>18</v>
      </c>
      <c r="E5036" s="10" t="n">
        <v>0.080785</v>
      </c>
      <c r="F5036" s="10" t="n">
        <v>0.1690481205715489</v>
      </c>
      <c r="G5036" s="11">
        <f>E5036*Summary!$B$6</f>
        <v/>
      </c>
      <c r="H5036" s="11">
        <f>F5036*Summary!$B$7</f>
        <v/>
      </c>
      <c r="I5036" s="11">
        <f>MAX(0,N5036-M5036)</f>
        <v/>
      </c>
      <c r="J5036" s="11">
        <f>MAX(0,M5036-N5036)</f>
        <v/>
      </c>
      <c r="K5036" s="11">
        <f>O5036</f>
        <v/>
      </c>
      <c r="L5036" s="11">
        <f>L5035+IF(K5036&gt;0,K5036*Summary!$B$9,K5036/Summary!$B$9)</f>
        <v/>
      </c>
      <c r="M5036" s="11">
        <f>G5036+H5036</f>
        <v/>
      </c>
      <c r="N5036" s="11">
        <f>Summary!$C$16*Summary!$B$8</f>
        <v/>
      </c>
      <c r="O5036" s="11">
        <f>M5036-N5036</f>
        <v/>
      </c>
    </row>
    <row r="5037">
      <c r="A5037" s="9" t="n">
        <v>45501.79166666666</v>
      </c>
      <c r="B5037" t="n">
        <v>7</v>
      </c>
      <c r="C5037" t="n">
        <v>28</v>
      </c>
      <c r="D5037" t="n">
        <v>19</v>
      </c>
      <c r="E5037" s="10" t="n">
        <v>0.033875</v>
      </c>
      <c r="F5037" s="10" t="n">
        <v>0.1687582485019797</v>
      </c>
      <c r="G5037" s="11">
        <f>E5037*Summary!$B$6</f>
        <v/>
      </c>
      <c r="H5037" s="11">
        <f>F5037*Summary!$B$7</f>
        <v/>
      </c>
      <c r="I5037" s="11">
        <f>MAX(0,N5037-M5037)</f>
        <v/>
      </c>
      <c r="J5037" s="11">
        <f>MAX(0,M5037-N5037)</f>
        <v/>
      </c>
      <c r="K5037" s="11">
        <f>O5037</f>
        <v/>
      </c>
      <c r="L5037" s="11">
        <f>L5036+IF(K5037&gt;0,K5037*Summary!$B$9,K5037/Summary!$B$9)</f>
        <v/>
      </c>
      <c r="M5037" s="11">
        <f>G5037+H5037</f>
        <v/>
      </c>
      <c r="N5037" s="11">
        <f>Summary!$C$16*Summary!$B$8</f>
        <v/>
      </c>
      <c r="O5037" s="11">
        <f>M5037-N5037</f>
        <v/>
      </c>
    </row>
    <row r="5038">
      <c r="A5038" s="9" t="n">
        <v>45501.83333333334</v>
      </c>
      <c r="B5038" t="n">
        <v>7</v>
      </c>
      <c r="C5038" t="n">
        <v>28</v>
      </c>
      <c r="D5038" t="n">
        <v>20</v>
      </c>
      <c r="E5038" s="10" t="n">
        <v>0</v>
      </c>
      <c r="F5038" s="10" t="n">
        <v>0.1898398535615648</v>
      </c>
      <c r="G5038" s="11">
        <f>E5038*Summary!$B$6</f>
        <v/>
      </c>
      <c r="H5038" s="11">
        <f>F5038*Summary!$B$7</f>
        <v/>
      </c>
      <c r="I5038" s="11">
        <f>MAX(0,N5038-M5038)</f>
        <v/>
      </c>
      <c r="J5038" s="11">
        <f>MAX(0,M5038-N5038)</f>
        <v/>
      </c>
      <c r="K5038" s="11">
        <f>O5038</f>
        <v/>
      </c>
      <c r="L5038" s="11">
        <f>L5037+IF(K5038&gt;0,K5038*Summary!$B$9,K5038/Summary!$B$9)</f>
        <v/>
      </c>
      <c r="M5038" s="11">
        <f>G5038+H5038</f>
        <v/>
      </c>
      <c r="N5038" s="11">
        <f>Summary!$C$16*Summary!$B$8</f>
        <v/>
      </c>
      <c r="O5038" s="11">
        <f>M5038-N5038</f>
        <v/>
      </c>
    </row>
    <row r="5039">
      <c r="A5039" s="9" t="n">
        <v>45501.875</v>
      </c>
      <c r="B5039" t="n">
        <v>7</v>
      </c>
      <c r="C5039" t="n">
        <v>28</v>
      </c>
      <c r="D5039" t="n">
        <v>21</v>
      </c>
      <c r="E5039" s="10" t="n">
        <v>0</v>
      </c>
      <c r="F5039" s="10" t="n">
        <v>0.19821979157275</v>
      </c>
      <c r="G5039" s="11">
        <f>E5039*Summary!$B$6</f>
        <v/>
      </c>
      <c r="H5039" s="11">
        <f>F5039*Summary!$B$7</f>
        <v/>
      </c>
      <c r="I5039" s="11">
        <f>MAX(0,N5039-M5039)</f>
        <v/>
      </c>
      <c r="J5039" s="11">
        <f>MAX(0,M5039-N5039)</f>
        <v/>
      </c>
      <c r="K5039" s="11">
        <f>O5039</f>
        <v/>
      </c>
      <c r="L5039" s="11">
        <f>L5038+IF(K5039&gt;0,K5039*Summary!$B$9,K5039/Summary!$B$9)</f>
        <v/>
      </c>
      <c r="M5039" s="11">
        <f>G5039+H5039</f>
        <v/>
      </c>
      <c r="N5039" s="11">
        <f>Summary!$C$16*Summary!$B$8</f>
        <v/>
      </c>
      <c r="O5039" s="11">
        <f>M5039-N5039</f>
        <v/>
      </c>
    </row>
    <row r="5040">
      <c r="A5040" s="9" t="n">
        <v>45501.91666666666</v>
      </c>
      <c r="B5040" t="n">
        <v>7</v>
      </c>
      <c r="C5040" t="n">
        <v>28</v>
      </c>
      <c r="D5040" t="n">
        <v>22</v>
      </c>
      <c r="E5040" s="10" t="n">
        <v>0</v>
      </c>
      <c r="F5040" s="10" t="n">
        <v>0.2142154594117103</v>
      </c>
      <c r="G5040" s="11">
        <f>E5040*Summary!$B$6</f>
        <v/>
      </c>
      <c r="H5040" s="11">
        <f>F5040*Summary!$B$7</f>
        <v/>
      </c>
      <c r="I5040" s="11">
        <f>MAX(0,N5040-M5040)</f>
        <v/>
      </c>
      <c r="J5040" s="11">
        <f>MAX(0,M5040-N5040)</f>
        <v/>
      </c>
      <c r="K5040" s="11">
        <f>O5040</f>
        <v/>
      </c>
      <c r="L5040" s="11">
        <f>L5039+IF(K5040&gt;0,K5040*Summary!$B$9,K5040/Summary!$B$9)</f>
        <v/>
      </c>
      <c r="M5040" s="11">
        <f>G5040+H5040</f>
        <v/>
      </c>
      <c r="N5040" s="11">
        <f>Summary!$C$16*Summary!$B$8</f>
        <v/>
      </c>
      <c r="O5040" s="11">
        <f>M5040-N5040</f>
        <v/>
      </c>
    </row>
    <row r="5041">
      <c r="A5041" s="9" t="n">
        <v>45501.95833333334</v>
      </c>
      <c r="B5041" t="n">
        <v>7</v>
      </c>
      <c r="C5041" t="n">
        <v>28</v>
      </c>
      <c r="D5041" t="n">
        <v>23</v>
      </c>
      <c r="E5041" s="10" t="n">
        <v>0</v>
      </c>
      <c r="F5041" s="10" t="n">
        <v>0.220223716853692</v>
      </c>
      <c r="G5041" s="11">
        <f>E5041*Summary!$B$6</f>
        <v/>
      </c>
      <c r="H5041" s="11">
        <f>F5041*Summary!$B$7</f>
        <v/>
      </c>
      <c r="I5041" s="11">
        <f>MAX(0,N5041-M5041)</f>
        <v/>
      </c>
      <c r="J5041" s="11">
        <f>MAX(0,M5041-N5041)</f>
        <v/>
      </c>
      <c r="K5041" s="11">
        <f>O5041</f>
        <v/>
      </c>
      <c r="L5041" s="11">
        <f>L5040+IF(K5041&gt;0,K5041*Summary!$B$9,K5041/Summary!$B$9)</f>
        <v/>
      </c>
      <c r="M5041" s="11">
        <f>G5041+H5041</f>
        <v/>
      </c>
      <c r="N5041" s="11">
        <f>Summary!$C$16*Summary!$B$8</f>
        <v/>
      </c>
      <c r="O5041" s="11">
        <f>M5041-N5041</f>
        <v/>
      </c>
    </row>
    <row r="5042">
      <c r="A5042" s="9" t="n">
        <v>45502</v>
      </c>
      <c r="B5042" t="n">
        <v>7</v>
      </c>
      <c r="C5042" t="n">
        <v>29</v>
      </c>
      <c r="D5042" t="n">
        <v>0</v>
      </c>
      <c r="E5042" s="10" t="n">
        <v>0</v>
      </c>
      <c r="F5042" s="10" t="n">
        <v>0.2021989445277467</v>
      </c>
      <c r="G5042" s="11">
        <f>E5042*Summary!$B$6</f>
        <v/>
      </c>
      <c r="H5042" s="11">
        <f>F5042*Summary!$B$7</f>
        <v/>
      </c>
      <c r="I5042" s="11">
        <f>MAX(0,N5042-M5042)</f>
        <v/>
      </c>
      <c r="J5042" s="11">
        <f>MAX(0,M5042-N5042)</f>
        <v/>
      </c>
      <c r="K5042" s="11">
        <f>O5042</f>
        <v/>
      </c>
      <c r="L5042" s="11">
        <f>L5041+IF(K5042&gt;0,K5042*Summary!$B$9,K5042/Summary!$B$9)</f>
        <v/>
      </c>
      <c r="M5042" s="11">
        <f>G5042+H5042</f>
        <v/>
      </c>
      <c r="N5042" s="11">
        <f>Summary!$C$16*Summary!$B$8</f>
        <v/>
      </c>
      <c r="O5042" s="11">
        <f>M5042-N5042</f>
        <v/>
      </c>
    </row>
    <row r="5043">
      <c r="A5043" s="9" t="n">
        <v>45502.04166666666</v>
      </c>
      <c r="B5043" t="n">
        <v>7</v>
      </c>
      <c r="C5043" t="n">
        <v>29</v>
      </c>
      <c r="D5043" t="n">
        <v>1</v>
      </c>
      <c r="E5043" s="10" t="n">
        <v>0</v>
      </c>
      <c r="F5043" s="10" t="n">
        <v>0.2205399409295858</v>
      </c>
      <c r="G5043" s="11">
        <f>E5043*Summary!$B$6</f>
        <v/>
      </c>
      <c r="H5043" s="11">
        <f>F5043*Summary!$B$7</f>
        <v/>
      </c>
      <c r="I5043" s="11">
        <f>MAX(0,N5043-M5043)</f>
        <v/>
      </c>
      <c r="J5043" s="11">
        <f>MAX(0,M5043-N5043)</f>
        <v/>
      </c>
      <c r="K5043" s="11">
        <f>O5043</f>
        <v/>
      </c>
      <c r="L5043" s="11">
        <f>L5042+IF(K5043&gt;0,K5043*Summary!$B$9,K5043/Summary!$B$9)</f>
        <v/>
      </c>
      <c r="M5043" s="11">
        <f>G5043+H5043</f>
        <v/>
      </c>
      <c r="N5043" s="11">
        <f>Summary!$C$16*Summary!$B$8</f>
        <v/>
      </c>
      <c r="O5043" s="11">
        <f>M5043-N5043</f>
        <v/>
      </c>
    </row>
    <row r="5044">
      <c r="A5044" s="9" t="n">
        <v>45502.08333333334</v>
      </c>
      <c r="B5044" t="n">
        <v>7</v>
      </c>
      <c r="C5044" t="n">
        <v>29</v>
      </c>
      <c r="D5044" t="n">
        <v>2</v>
      </c>
      <c r="E5044" s="10" t="n">
        <v>0</v>
      </c>
      <c r="F5044" s="10" t="n">
        <v>0.2176675722402173</v>
      </c>
      <c r="G5044" s="11">
        <f>E5044*Summary!$B$6</f>
        <v/>
      </c>
      <c r="H5044" s="11">
        <f>F5044*Summary!$B$7</f>
        <v/>
      </c>
      <c r="I5044" s="11">
        <f>MAX(0,N5044-M5044)</f>
        <v/>
      </c>
      <c r="J5044" s="11">
        <f>MAX(0,M5044-N5044)</f>
        <v/>
      </c>
      <c r="K5044" s="11">
        <f>O5044</f>
        <v/>
      </c>
      <c r="L5044" s="11">
        <f>L5043+IF(K5044&gt;0,K5044*Summary!$B$9,K5044/Summary!$B$9)</f>
        <v/>
      </c>
      <c r="M5044" s="11">
        <f>G5044+H5044</f>
        <v/>
      </c>
      <c r="N5044" s="11">
        <f>Summary!$C$16*Summary!$B$8</f>
        <v/>
      </c>
      <c r="O5044" s="11">
        <f>M5044-N5044</f>
        <v/>
      </c>
    </row>
    <row r="5045">
      <c r="A5045" s="9" t="n">
        <v>45502.125</v>
      </c>
      <c r="B5045" t="n">
        <v>7</v>
      </c>
      <c r="C5045" t="n">
        <v>29</v>
      </c>
      <c r="D5045" t="n">
        <v>3</v>
      </c>
      <c r="E5045" s="10" t="n">
        <v>0</v>
      </c>
      <c r="F5045" s="10" t="n">
        <v>0.2158229317975036</v>
      </c>
      <c r="G5045" s="11">
        <f>E5045*Summary!$B$6</f>
        <v/>
      </c>
      <c r="H5045" s="11">
        <f>F5045*Summary!$B$7</f>
        <v/>
      </c>
      <c r="I5045" s="11">
        <f>MAX(0,N5045-M5045)</f>
        <v/>
      </c>
      <c r="J5045" s="11">
        <f>MAX(0,M5045-N5045)</f>
        <v/>
      </c>
      <c r="K5045" s="11">
        <f>O5045</f>
        <v/>
      </c>
      <c r="L5045" s="11">
        <f>L5044+IF(K5045&gt;0,K5045*Summary!$B$9,K5045/Summary!$B$9)</f>
        <v/>
      </c>
      <c r="M5045" s="11">
        <f>G5045+H5045</f>
        <v/>
      </c>
      <c r="N5045" s="11">
        <f>Summary!$C$16*Summary!$B$8</f>
        <v/>
      </c>
      <c r="O5045" s="11">
        <f>M5045-N5045</f>
        <v/>
      </c>
    </row>
    <row r="5046">
      <c r="A5046" s="9" t="n">
        <v>45502.16666666666</v>
      </c>
      <c r="B5046" t="n">
        <v>7</v>
      </c>
      <c r="C5046" t="n">
        <v>29</v>
      </c>
      <c r="D5046" t="n">
        <v>4</v>
      </c>
      <c r="E5046" s="10" t="n">
        <v>0.007828999999999999</v>
      </c>
      <c r="F5046" s="10" t="n">
        <v>0.2133458432030023</v>
      </c>
      <c r="G5046" s="11">
        <f>E5046*Summary!$B$6</f>
        <v/>
      </c>
      <c r="H5046" s="11">
        <f>F5046*Summary!$B$7</f>
        <v/>
      </c>
      <c r="I5046" s="11">
        <f>MAX(0,N5046-M5046)</f>
        <v/>
      </c>
      <c r="J5046" s="11">
        <f>MAX(0,M5046-N5046)</f>
        <v/>
      </c>
      <c r="K5046" s="11">
        <f>O5046</f>
        <v/>
      </c>
      <c r="L5046" s="11">
        <f>L5045+IF(K5046&gt;0,K5046*Summary!$B$9,K5046/Summary!$B$9)</f>
        <v/>
      </c>
      <c r="M5046" s="11">
        <f>G5046+H5046</f>
        <v/>
      </c>
      <c r="N5046" s="11">
        <f>Summary!$C$16*Summary!$B$8</f>
        <v/>
      </c>
      <c r="O5046" s="11">
        <f>M5046-N5046</f>
        <v/>
      </c>
    </row>
    <row r="5047">
      <c r="A5047" s="9" t="n">
        <v>45502.20833333334</v>
      </c>
      <c r="B5047" t="n">
        <v>7</v>
      </c>
      <c r="C5047" t="n">
        <v>29</v>
      </c>
      <c r="D5047" t="n">
        <v>5</v>
      </c>
      <c r="E5047" s="10" t="n">
        <v>0.040477</v>
      </c>
      <c r="F5047" s="10" t="n">
        <v>0.1971920633260952</v>
      </c>
      <c r="G5047" s="11">
        <f>E5047*Summary!$B$6</f>
        <v/>
      </c>
      <c r="H5047" s="11">
        <f>F5047*Summary!$B$7</f>
        <v/>
      </c>
      <c r="I5047" s="11">
        <f>MAX(0,N5047-M5047)</f>
        <v/>
      </c>
      <c r="J5047" s="11">
        <f>MAX(0,M5047-N5047)</f>
        <v/>
      </c>
      <c r="K5047" s="11">
        <f>O5047</f>
        <v/>
      </c>
      <c r="L5047" s="11">
        <f>L5046+IF(K5047&gt;0,K5047*Summary!$B$9,K5047/Summary!$B$9)</f>
        <v/>
      </c>
      <c r="M5047" s="11">
        <f>G5047+H5047</f>
        <v/>
      </c>
      <c r="N5047" s="11">
        <f>Summary!$C$16*Summary!$B$8</f>
        <v/>
      </c>
      <c r="O5047" s="11">
        <f>M5047-N5047</f>
        <v/>
      </c>
    </row>
    <row r="5048">
      <c r="A5048" s="9" t="n">
        <v>45502.25</v>
      </c>
      <c r="B5048" t="n">
        <v>7</v>
      </c>
      <c r="C5048" t="n">
        <v>29</v>
      </c>
      <c r="D5048" t="n">
        <v>6</v>
      </c>
      <c r="E5048" s="10" t="n">
        <v>0.142157</v>
      </c>
      <c r="F5048" s="10" t="n">
        <v>0.1791145869875009</v>
      </c>
      <c r="G5048" s="11">
        <f>E5048*Summary!$B$6</f>
        <v/>
      </c>
      <c r="H5048" s="11">
        <f>F5048*Summary!$B$7</f>
        <v/>
      </c>
      <c r="I5048" s="11">
        <f>MAX(0,N5048-M5048)</f>
        <v/>
      </c>
      <c r="J5048" s="11">
        <f>MAX(0,M5048-N5048)</f>
        <v/>
      </c>
      <c r="K5048" s="11">
        <f>O5048</f>
        <v/>
      </c>
      <c r="L5048" s="11">
        <f>L5047+IF(K5048&gt;0,K5048*Summary!$B$9,K5048/Summary!$B$9)</f>
        <v/>
      </c>
      <c r="M5048" s="11">
        <f>G5048+H5048</f>
        <v/>
      </c>
      <c r="N5048" s="11">
        <f>Summary!$C$16*Summary!$B$8</f>
        <v/>
      </c>
      <c r="O5048" s="11">
        <f>M5048-N5048</f>
        <v/>
      </c>
    </row>
    <row r="5049">
      <c r="A5049" s="9" t="n">
        <v>45502.29166666666</v>
      </c>
      <c r="B5049" t="n">
        <v>7</v>
      </c>
      <c r="C5049" t="n">
        <v>29</v>
      </c>
      <c r="D5049" t="n">
        <v>7</v>
      </c>
      <c r="E5049" s="10" t="n">
        <v>0.125255</v>
      </c>
      <c r="F5049" s="10" t="n">
        <v>0.1670190160845639</v>
      </c>
      <c r="G5049" s="11">
        <f>E5049*Summary!$B$6</f>
        <v/>
      </c>
      <c r="H5049" s="11">
        <f>F5049*Summary!$B$7</f>
        <v/>
      </c>
      <c r="I5049" s="11">
        <f>MAX(0,N5049-M5049)</f>
        <v/>
      </c>
      <c r="J5049" s="11">
        <f>MAX(0,M5049-N5049)</f>
        <v/>
      </c>
      <c r="K5049" s="11">
        <f>O5049</f>
        <v/>
      </c>
      <c r="L5049" s="11">
        <f>L5048+IF(K5049&gt;0,K5049*Summary!$B$9,K5049/Summary!$B$9)</f>
        <v/>
      </c>
      <c r="M5049" s="11">
        <f>G5049+H5049</f>
        <v/>
      </c>
      <c r="N5049" s="11">
        <f>Summary!$C$16*Summary!$B$8</f>
        <v/>
      </c>
      <c r="O5049" s="11">
        <f>M5049-N5049</f>
        <v/>
      </c>
    </row>
    <row r="5050">
      <c r="A5050" s="9" t="n">
        <v>45502.33333333334</v>
      </c>
      <c r="B5050" t="n">
        <v>7</v>
      </c>
      <c r="C5050" t="n">
        <v>29</v>
      </c>
      <c r="D5050" t="n">
        <v>8</v>
      </c>
      <c r="E5050" s="10" t="n">
        <v>0.097431</v>
      </c>
      <c r="F5050" s="10" t="n">
        <v>0.1623020069524816</v>
      </c>
      <c r="G5050" s="11">
        <f>E5050*Summary!$B$6</f>
        <v/>
      </c>
      <c r="H5050" s="11">
        <f>F5050*Summary!$B$7</f>
        <v/>
      </c>
      <c r="I5050" s="11">
        <f>MAX(0,N5050-M5050)</f>
        <v/>
      </c>
      <c r="J5050" s="11">
        <f>MAX(0,M5050-N5050)</f>
        <v/>
      </c>
      <c r="K5050" s="11">
        <f>O5050</f>
        <v/>
      </c>
      <c r="L5050" s="11">
        <f>L5049+IF(K5050&gt;0,K5050*Summary!$B$9,K5050/Summary!$B$9)</f>
        <v/>
      </c>
      <c r="M5050" s="11">
        <f>G5050+H5050</f>
        <v/>
      </c>
      <c r="N5050" s="11">
        <f>Summary!$C$16*Summary!$B$8</f>
        <v/>
      </c>
      <c r="O5050" s="11">
        <f>M5050-N5050</f>
        <v/>
      </c>
    </row>
    <row r="5051">
      <c r="A5051" s="9" t="n">
        <v>45502.375</v>
      </c>
      <c r="B5051" t="n">
        <v>7</v>
      </c>
      <c r="C5051" t="n">
        <v>29</v>
      </c>
      <c r="D5051" t="n">
        <v>9</v>
      </c>
      <c r="E5051" s="10" t="n">
        <v>0.133573</v>
      </c>
      <c r="F5051" s="10" t="n">
        <v>0.1672034801288352</v>
      </c>
      <c r="G5051" s="11">
        <f>E5051*Summary!$B$6</f>
        <v/>
      </c>
      <c r="H5051" s="11">
        <f>F5051*Summary!$B$7</f>
        <v/>
      </c>
      <c r="I5051" s="11">
        <f>MAX(0,N5051-M5051)</f>
        <v/>
      </c>
      <c r="J5051" s="11">
        <f>MAX(0,M5051-N5051)</f>
        <v/>
      </c>
      <c r="K5051" s="11">
        <f>O5051</f>
        <v/>
      </c>
      <c r="L5051" s="11">
        <f>L5050+IF(K5051&gt;0,K5051*Summary!$B$9,K5051/Summary!$B$9)</f>
        <v/>
      </c>
      <c r="M5051" s="11">
        <f>G5051+H5051</f>
        <v/>
      </c>
      <c r="N5051" s="11">
        <f>Summary!$C$16*Summary!$B$8</f>
        <v/>
      </c>
      <c r="O5051" s="11">
        <f>M5051-N5051</f>
        <v/>
      </c>
    </row>
    <row r="5052">
      <c r="A5052" s="9" t="n">
        <v>45502.41666666666</v>
      </c>
      <c r="B5052" t="n">
        <v>7</v>
      </c>
      <c r="C5052" t="n">
        <v>29</v>
      </c>
      <c r="D5052" t="n">
        <v>10</v>
      </c>
      <c r="E5052" s="10" t="n">
        <v>0.131102</v>
      </c>
      <c r="F5052" s="10" t="n">
        <v>0.1766638503993241</v>
      </c>
      <c r="G5052" s="11">
        <f>E5052*Summary!$B$6</f>
        <v/>
      </c>
      <c r="H5052" s="11">
        <f>F5052*Summary!$B$7</f>
        <v/>
      </c>
      <c r="I5052" s="11">
        <f>MAX(0,N5052-M5052)</f>
        <v/>
      </c>
      <c r="J5052" s="11">
        <f>MAX(0,M5052-N5052)</f>
        <v/>
      </c>
      <c r="K5052" s="11">
        <f>O5052</f>
        <v/>
      </c>
      <c r="L5052" s="11">
        <f>L5051+IF(K5052&gt;0,K5052*Summary!$B$9,K5052/Summary!$B$9)</f>
        <v/>
      </c>
      <c r="M5052" s="11">
        <f>G5052+H5052</f>
        <v/>
      </c>
      <c r="N5052" s="11">
        <f>Summary!$C$16*Summary!$B$8</f>
        <v/>
      </c>
      <c r="O5052" s="11">
        <f>M5052-N5052</f>
        <v/>
      </c>
    </row>
    <row r="5053">
      <c r="A5053" s="9" t="n">
        <v>45502.45833333334</v>
      </c>
      <c r="B5053" t="n">
        <v>7</v>
      </c>
      <c r="C5053" t="n">
        <v>29</v>
      </c>
      <c r="D5053" t="n">
        <v>11</v>
      </c>
      <c r="E5053" s="10" t="n">
        <v>0.13406</v>
      </c>
      <c r="F5053" s="10" t="n">
        <v>0.187494524998686</v>
      </c>
      <c r="G5053" s="11">
        <f>E5053*Summary!$B$6</f>
        <v/>
      </c>
      <c r="H5053" s="11">
        <f>F5053*Summary!$B$7</f>
        <v/>
      </c>
      <c r="I5053" s="11">
        <f>MAX(0,N5053-M5053)</f>
        <v/>
      </c>
      <c r="J5053" s="11">
        <f>MAX(0,M5053-N5053)</f>
        <v/>
      </c>
      <c r="K5053" s="11">
        <f>O5053</f>
        <v/>
      </c>
      <c r="L5053" s="11">
        <f>L5052+IF(K5053&gt;0,K5053*Summary!$B$9,K5053/Summary!$B$9)</f>
        <v/>
      </c>
      <c r="M5053" s="11">
        <f>G5053+H5053</f>
        <v/>
      </c>
      <c r="N5053" s="11">
        <f>Summary!$C$16*Summary!$B$8</f>
        <v/>
      </c>
      <c r="O5053" s="11">
        <f>M5053-N5053</f>
        <v/>
      </c>
    </row>
    <row r="5054">
      <c r="A5054" s="9" t="n">
        <v>45502.5</v>
      </c>
      <c r="B5054" t="n">
        <v>7</v>
      </c>
      <c r="C5054" t="n">
        <v>29</v>
      </c>
      <c r="D5054" t="n">
        <v>12</v>
      </c>
      <c r="E5054" s="10" t="n">
        <v>0.118329</v>
      </c>
      <c r="F5054" s="10" t="n">
        <v>0.2101572504377401</v>
      </c>
      <c r="G5054" s="11">
        <f>E5054*Summary!$B$6</f>
        <v/>
      </c>
      <c r="H5054" s="11">
        <f>F5054*Summary!$B$7</f>
        <v/>
      </c>
      <c r="I5054" s="11">
        <f>MAX(0,N5054-M5054)</f>
        <v/>
      </c>
      <c r="J5054" s="11">
        <f>MAX(0,M5054-N5054)</f>
        <v/>
      </c>
      <c r="K5054" s="11">
        <f>O5054</f>
        <v/>
      </c>
      <c r="L5054" s="11">
        <f>L5053+IF(K5054&gt;0,K5054*Summary!$B$9,K5054/Summary!$B$9)</f>
        <v/>
      </c>
      <c r="M5054" s="11">
        <f>G5054+H5054</f>
        <v/>
      </c>
      <c r="N5054" s="11">
        <f>Summary!$C$16*Summary!$B$8</f>
        <v/>
      </c>
      <c r="O5054" s="11">
        <f>M5054-N5054</f>
        <v/>
      </c>
    </row>
    <row r="5055">
      <c r="A5055" s="9" t="n">
        <v>45502.54166666666</v>
      </c>
      <c r="B5055" t="n">
        <v>7</v>
      </c>
      <c r="C5055" t="n">
        <v>29</v>
      </c>
      <c r="D5055" t="n">
        <v>13</v>
      </c>
      <c r="E5055" s="10" t="n">
        <v>0.193723</v>
      </c>
      <c r="F5055" s="10" t="n">
        <v>0.1976136954272869</v>
      </c>
      <c r="G5055" s="11">
        <f>E5055*Summary!$B$6</f>
        <v/>
      </c>
      <c r="H5055" s="11">
        <f>F5055*Summary!$B$7</f>
        <v/>
      </c>
      <c r="I5055" s="11">
        <f>MAX(0,N5055-M5055)</f>
        <v/>
      </c>
      <c r="J5055" s="11">
        <f>MAX(0,M5055-N5055)</f>
        <v/>
      </c>
      <c r="K5055" s="11">
        <f>O5055</f>
        <v/>
      </c>
      <c r="L5055" s="11">
        <f>L5054+IF(K5055&gt;0,K5055*Summary!$B$9,K5055/Summary!$B$9)</f>
        <v/>
      </c>
      <c r="M5055" s="11">
        <f>G5055+H5055</f>
        <v/>
      </c>
      <c r="N5055" s="11">
        <f>Summary!$C$16*Summary!$B$8</f>
        <v/>
      </c>
      <c r="O5055" s="11">
        <f>M5055-N5055</f>
        <v/>
      </c>
    </row>
    <row r="5056">
      <c r="A5056" s="9" t="n">
        <v>45502.58333333334</v>
      </c>
      <c r="B5056" t="n">
        <v>7</v>
      </c>
      <c r="C5056" t="n">
        <v>29</v>
      </c>
      <c r="D5056" t="n">
        <v>14</v>
      </c>
      <c r="E5056" s="10" t="n">
        <v>0.110673</v>
      </c>
      <c r="F5056" s="10" t="n">
        <v>0.199642799914272</v>
      </c>
      <c r="G5056" s="11">
        <f>E5056*Summary!$B$6</f>
        <v/>
      </c>
      <c r="H5056" s="11">
        <f>F5056*Summary!$B$7</f>
        <v/>
      </c>
      <c r="I5056" s="11">
        <f>MAX(0,N5056-M5056)</f>
        <v/>
      </c>
      <c r="J5056" s="11">
        <f>MAX(0,M5056-N5056)</f>
        <v/>
      </c>
      <c r="K5056" s="11">
        <f>O5056</f>
        <v/>
      </c>
      <c r="L5056" s="11">
        <f>L5055+IF(K5056&gt;0,K5056*Summary!$B$9,K5056/Summary!$B$9)</f>
        <v/>
      </c>
      <c r="M5056" s="11">
        <f>G5056+H5056</f>
        <v/>
      </c>
      <c r="N5056" s="11">
        <f>Summary!$C$16*Summary!$B$8</f>
        <v/>
      </c>
      <c r="O5056" s="11">
        <f>M5056-N5056</f>
        <v/>
      </c>
    </row>
    <row r="5057">
      <c r="A5057" s="9" t="n">
        <v>45502.625</v>
      </c>
      <c r="B5057" t="n">
        <v>7</v>
      </c>
      <c r="C5057" t="n">
        <v>29</v>
      </c>
      <c r="D5057" t="n">
        <v>15</v>
      </c>
      <c r="E5057" s="10" t="n">
        <v>0.114843</v>
      </c>
      <c r="F5057" s="10" t="n">
        <v>0.2094457462669791</v>
      </c>
      <c r="G5057" s="11">
        <f>E5057*Summary!$B$6</f>
        <v/>
      </c>
      <c r="H5057" s="11">
        <f>F5057*Summary!$B$7</f>
        <v/>
      </c>
      <c r="I5057" s="11">
        <f>MAX(0,N5057-M5057)</f>
        <v/>
      </c>
      <c r="J5057" s="11">
        <f>MAX(0,M5057-N5057)</f>
        <v/>
      </c>
      <c r="K5057" s="11">
        <f>O5057</f>
        <v/>
      </c>
      <c r="L5057" s="11">
        <f>L5056+IF(K5057&gt;0,K5057*Summary!$B$9,K5057/Summary!$B$9)</f>
        <v/>
      </c>
      <c r="M5057" s="11">
        <f>G5057+H5057</f>
        <v/>
      </c>
      <c r="N5057" s="11">
        <f>Summary!$C$16*Summary!$B$8</f>
        <v/>
      </c>
      <c r="O5057" s="11">
        <f>M5057-N5057</f>
        <v/>
      </c>
    </row>
    <row r="5058">
      <c r="A5058" s="9" t="n">
        <v>45502.66666666666</v>
      </c>
      <c r="B5058" t="n">
        <v>7</v>
      </c>
      <c r="C5058" t="n">
        <v>29</v>
      </c>
      <c r="D5058" t="n">
        <v>16</v>
      </c>
      <c r="E5058" s="10" t="n">
        <v>0.111699</v>
      </c>
      <c r="F5058" s="10" t="n">
        <v>0.1902351336564321</v>
      </c>
      <c r="G5058" s="11">
        <f>E5058*Summary!$B$6</f>
        <v/>
      </c>
      <c r="H5058" s="11">
        <f>F5058*Summary!$B$7</f>
        <v/>
      </c>
      <c r="I5058" s="11">
        <f>MAX(0,N5058-M5058)</f>
        <v/>
      </c>
      <c r="J5058" s="11">
        <f>MAX(0,M5058-N5058)</f>
        <v/>
      </c>
      <c r="K5058" s="11">
        <f>O5058</f>
        <v/>
      </c>
      <c r="L5058" s="11">
        <f>L5057+IF(K5058&gt;0,K5058*Summary!$B$9,K5058/Summary!$B$9)</f>
        <v/>
      </c>
      <c r="M5058" s="11">
        <f>G5058+H5058</f>
        <v/>
      </c>
      <c r="N5058" s="11">
        <f>Summary!$C$16*Summary!$B$8</f>
        <v/>
      </c>
      <c r="O5058" s="11">
        <f>M5058-N5058</f>
        <v/>
      </c>
    </row>
    <row r="5059">
      <c r="A5059" s="9" t="n">
        <v>45502.70833333334</v>
      </c>
      <c r="B5059" t="n">
        <v>7</v>
      </c>
      <c r="C5059" t="n">
        <v>29</v>
      </c>
      <c r="D5059" t="n">
        <v>17</v>
      </c>
      <c r="E5059" s="10" t="n">
        <v>0.157552</v>
      </c>
      <c r="F5059" s="10" t="n">
        <v>0.1805112433226984</v>
      </c>
      <c r="G5059" s="11">
        <f>E5059*Summary!$B$6</f>
        <v/>
      </c>
      <c r="H5059" s="11">
        <f>F5059*Summary!$B$7</f>
        <v/>
      </c>
      <c r="I5059" s="11">
        <f>MAX(0,N5059-M5059)</f>
        <v/>
      </c>
      <c r="J5059" s="11">
        <f>MAX(0,M5059-N5059)</f>
        <v/>
      </c>
      <c r="K5059" s="11">
        <f>O5059</f>
        <v/>
      </c>
      <c r="L5059" s="11">
        <f>L5058+IF(K5059&gt;0,K5059*Summary!$B$9,K5059/Summary!$B$9)</f>
        <v/>
      </c>
      <c r="M5059" s="11">
        <f>G5059+H5059</f>
        <v/>
      </c>
      <c r="N5059" s="11">
        <f>Summary!$C$16*Summary!$B$8</f>
        <v/>
      </c>
      <c r="O5059" s="11">
        <f>M5059-N5059</f>
        <v/>
      </c>
    </row>
    <row r="5060">
      <c r="A5060" s="9" t="n">
        <v>45502.75</v>
      </c>
      <c r="B5060" t="n">
        <v>7</v>
      </c>
      <c r="C5060" t="n">
        <v>29</v>
      </c>
      <c r="D5060" t="n">
        <v>18</v>
      </c>
      <c r="E5060" s="10" t="n">
        <v>0.0761</v>
      </c>
      <c r="F5060" s="10" t="n">
        <v>0.1498375079610019</v>
      </c>
      <c r="G5060" s="11">
        <f>E5060*Summary!$B$6</f>
        <v/>
      </c>
      <c r="H5060" s="11">
        <f>F5060*Summary!$B$7</f>
        <v/>
      </c>
      <c r="I5060" s="11">
        <f>MAX(0,N5060-M5060)</f>
        <v/>
      </c>
      <c r="J5060" s="11">
        <f>MAX(0,M5060-N5060)</f>
        <v/>
      </c>
      <c r="K5060" s="11">
        <f>O5060</f>
        <v/>
      </c>
      <c r="L5060" s="11">
        <f>L5059+IF(K5060&gt;0,K5060*Summary!$B$9,K5060/Summary!$B$9)</f>
        <v/>
      </c>
      <c r="M5060" s="11">
        <f>G5060+H5060</f>
        <v/>
      </c>
      <c r="N5060" s="11">
        <f>Summary!$C$16*Summary!$B$8</f>
        <v/>
      </c>
      <c r="O5060" s="11">
        <f>M5060-N5060</f>
        <v/>
      </c>
    </row>
    <row r="5061">
      <c r="A5061" s="9" t="n">
        <v>45502.79166666666</v>
      </c>
      <c r="B5061" t="n">
        <v>7</v>
      </c>
      <c r="C5061" t="n">
        <v>29</v>
      </c>
      <c r="D5061" t="n">
        <v>19</v>
      </c>
      <c r="E5061" s="10" t="n">
        <v>0.027712</v>
      </c>
      <c r="F5061" s="10" t="n">
        <v>0.1741604097984983</v>
      </c>
      <c r="G5061" s="11">
        <f>E5061*Summary!$B$6</f>
        <v/>
      </c>
      <c r="H5061" s="11">
        <f>F5061*Summary!$B$7</f>
        <v/>
      </c>
      <c r="I5061" s="11">
        <f>MAX(0,N5061-M5061)</f>
        <v/>
      </c>
      <c r="J5061" s="11">
        <f>MAX(0,M5061-N5061)</f>
        <v/>
      </c>
      <c r="K5061" s="11">
        <f>O5061</f>
        <v/>
      </c>
      <c r="L5061" s="11">
        <f>L5060+IF(K5061&gt;0,K5061*Summary!$B$9,K5061/Summary!$B$9)</f>
        <v/>
      </c>
      <c r="M5061" s="11">
        <f>G5061+H5061</f>
        <v/>
      </c>
      <c r="N5061" s="11">
        <f>Summary!$C$16*Summary!$B$8</f>
        <v/>
      </c>
      <c r="O5061" s="11">
        <f>M5061-N5061</f>
        <v/>
      </c>
    </row>
    <row r="5062">
      <c r="A5062" s="9" t="n">
        <v>45502.83333333334</v>
      </c>
      <c r="B5062" t="n">
        <v>7</v>
      </c>
      <c r="C5062" t="n">
        <v>29</v>
      </c>
      <c r="D5062" t="n">
        <v>20</v>
      </c>
      <c r="E5062" s="10" t="n">
        <v>0</v>
      </c>
      <c r="F5062" s="10" t="n">
        <v>0.1803531312847515</v>
      </c>
      <c r="G5062" s="11">
        <f>E5062*Summary!$B$6</f>
        <v/>
      </c>
      <c r="H5062" s="11">
        <f>F5062*Summary!$B$7</f>
        <v/>
      </c>
      <c r="I5062" s="11">
        <f>MAX(0,N5062-M5062)</f>
        <v/>
      </c>
      <c r="J5062" s="11">
        <f>MAX(0,M5062-N5062)</f>
        <v/>
      </c>
      <c r="K5062" s="11">
        <f>O5062</f>
        <v/>
      </c>
      <c r="L5062" s="11">
        <f>L5061+IF(K5062&gt;0,K5062*Summary!$B$9,K5062/Summary!$B$9)</f>
        <v/>
      </c>
      <c r="M5062" s="11">
        <f>G5062+H5062</f>
        <v/>
      </c>
      <c r="N5062" s="11">
        <f>Summary!$C$16*Summary!$B$8</f>
        <v/>
      </c>
      <c r="O5062" s="11">
        <f>M5062-N5062</f>
        <v/>
      </c>
    </row>
    <row r="5063">
      <c r="A5063" s="9" t="n">
        <v>45502.875</v>
      </c>
      <c r="B5063" t="n">
        <v>7</v>
      </c>
      <c r="C5063" t="n">
        <v>29</v>
      </c>
      <c r="D5063" t="n">
        <v>21</v>
      </c>
      <c r="E5063" s="10" t="n">
        <v>0</v>
      </c>
      <c r="F5063" s="10" t="n">
        <v>0.1893128134350752</v>
      </c>
      <c r="G5063" s="11">
        <f>E5063*Summary!$B$6</f>
        <v/>
      </c>
      <c r="H5063" s="11">
        <f>F5063*Summary!$B$7</f>
        <v/>
      </c>
      <c r="I5063" s="11">
        <f>MAX(0,N5063-M5063)</f>
        <v/>
      </c>
      <c r="J5063" s="11">
        <f>MAX(0,M5063-N5063)</f>
        <v/>
      </c>
      <c r="K5063" s="11">
        <f>O5063</f>
        <v/>
      </c>
      <c r="L5063" s="11">
        <f>L5062+IF(K5063&gt;0,K5063*Summary!$B$9,K5063/Summary!$B$9)</f>
        <v/>
      </c>
      <c r="M5063" s="11">
        <f>G5063+H5063</f>
        <v/>
      </c>
      <c r="N5063" s="11">
        <f>Summary!$C$16*Summary!$B$8</f>
        <v/>
      </c>
      <c r="O5063" s="11">
        <f>M5063-N5063</f>
        <v/>
      </c>
    </row>
    <row r="5064">
      <c r="A5064" s="9" t="n">
        <v>45502.91666666666</v>
      </c>
      <c r="B5064" t="n">
        <v>7</v>
      </c>
      <c r="C5064" t="n">
        <v>29</v>
      </c>
      <c r="D5064" t="n">
        <v>22</v>
      </c>
      <c r="E5064" s="10" t="n">
        <v>0</v>
      </c>
      <c r="F5064" s="10" t="n">
        <v>0.199590095901623</v>
      </c>
      <c r="G5064" s="11">
        <f>E5064*Summary!$B$6</f>
        <v/>
      </c>
      <c r="H5064" s="11">
        <f>F5064*Summary!$B$7</f>
        <v/>
      </c>
      <c r="I5064" s="11">
        <f>MAX(0,N5064-M5064)</f>
        <v/>
      </c>
      <c r="J5064" s="11">
        <f>MAX(0,M5064-N5064)</f>
        <v/>
      </c>
      <c r="K5064" s="11">
        <f>O5064</f>
        <v/>
      </c>
      <c r="L5064" s="11">
        <f>L5063+IF(K5064&gt;0,K5064*Summary!$B$9,K5064/Summary!$B$9)</f>
        <v/>
      </c>
      <c r="M5064" s="11">
        <f>G5064+H5064</f>
        <v/>
      </c>
      <c r="N5064" s="11">
        <f>Summary!$C$16*Summary!$B$8</f>
        <v/>
      </c>
      <c r="O5064" s="11">
        <f>M5064-N5064</f>
        <v/>
      </c>
    </row>
    <row r="5065">
      <c r="A5065" s="9" t="n">
        <v>45502.95833333334</v>
      </c>
      <c r="B5065" t="n">
        <v>7</v>
      </c>
      <c r="C5065" t="n">
        <v>29</v>
      </c>
      <c r="D5065" t="n">
        <v>23</v>
      </c>
      <c r="E5065" s="10" t="n">
        <v>0</v>
      </c>
      <c r="F5065" s="10" t="n">
        <v>0.2045969771032745</v>
      </c>
      <c r="G5065" s="11">
        <f>E5065*Summary!$B$6</f>
        <v/>
      </c>
      <c r="H5065" s="11">
        <f>F5065*Summary!$B$7</f>
        <v/>
      </c>
      <c r="I5065" s="11">
        <f>MAX(0,N5065-M5065)</f>
        <v/>
      </c>
      <c r="J5065" s="11">
        <f>MAX(0,M5065-N5065)</f>
        <v/>
      </c>
      <c r="K5065" s="11">
        <f>O5065</f>
        <v/>
      </c>
      <c r="L5065" s="11">
        <f>L5064+IF(K5065&gt;0,K5065*Summary!$B$9,K5065/Summary!$B$9)</f>
        <v/>
      </c>
      <c r="M5065" s="11">
        <f>G5065+H5065</f>
        <v/>
      </c>
      <c r="N5065" s="11">
        <f>Summary!$C$16*Summary!$B$8</f>
        <v/>
      </c>
      <c r="O5065" s="11">
        <f>M5065-N5065</f>
        <v/>
      </c>
    </row>
    <row r="5066">
      <c r="A5066" s="9" t="n">
        <v>45503</v>
      </c>
      <c r="B5066" t="n">
        <v>7</v>
      </c>
      <c r="C5066" t="n">
        <v>30</v>
      </c>
      <c r="D5066" t="n">
        <v>0</v>
      </c>
      <c r="E5066" s="10" t="n">
        <v>0</v>
      </c>
      <c r="F5066" s="10" t="n">
        <v>0.2484994196398607</v>
      </c>
      <c r="G5066" s="11">
        <f>E5066*Summary!$B$6</f>
        <v/>
      </c>
      <c r="H5066" s="11">
        <f>F5066*Summary!$B$7</f>
        <v/>
      </c>
      <c r="I5066" s="11">
        <f>MAX(0,N5066-M5066)</f>
        <v/>
      </c>
      <c r="J5066" s="11">
        <f>MAX(0,M5066-N5066)</f>
        <v/>
      </c>
      <c r="K5066" s="11">
        <f>O5066</f>
        <v/>
      </c>
      <c r="L5066" s="11">
        <f>L5065+IF(K5066&gt;0,K5066*Summary!$B$9,K5066/Summary!$B$9)</f>
        <v/>
      </c>
      <c r="M5066" s="11">
        <f>G5066+H5066</f>
        <v/>
      </c>
      <c r="N5066" s="11">
        <f>Summary!$C$16*Summary!$B$8</f>
        <v/>
      </c>
      <c r="O5066" s="11">
        <f>M5066-N5066</f>
        <v/>
      </c>
    </row>
    <row r="5067">
      <c r="A5067" s="9" t="n">
        <v>45503.04166666666</v>
      </c>
      <c r="B5067" t="n">
        <v>7</v>
      </c>
      <c r="C5067" t="n">
        <v>30</v>
      </c>
      <c r="D5067" t="n">
        <v>1</v>
      </c>
      <c r="E5067" s="10" t="n">
        <v>0</v>
      </c>
      <c r="F5067" s="10" t="n">
        <v>0.1982724955853989</v>
      </c>
      <c r="G5067" s="11">
        <f>E5067*Summary!$B$6</f>
        <v/>
      </c>
      <c r="H5067" s="11">
        <f>F5067*Summary!$B$7</f>
        <v/>
      </c>
      <c r="I5067" s="11">
        <f>MAX(0,N5067-M5067)</f>
        <v/>
      </c>
      <c r="J5067" s="11">
        <f>MAX(0,M5067-N5067)</f>
        <v/>
      </c>
      <c r="K5067" s="11">
        <f>O5067</f>
        <v/>
      </c>
      <c r="L5067" s="11">
        <f>L5066+IF(K5067&gt;0,K5067*Summary!$B$9,K5067/Summary!$B$9)</f>
        <v/>
      </c>
      <c r="M5067" s="11">
        <f>G5067+H5067</f>
        <v/>
      </c>
      <c r="N5067" s="11">
        <f>Summary!$C$16*Summary!$B$8</f>
        <v/>
      </c>
      <c r="O5067" s="11">
        <f>M5067-N5067</f>
        <v/>
      </c>
    </row>
    <row r="5068">
      <c r="A5068" s="9" t="n">
        <v>45503.08333333334</v>
      </c>
      <c r="B5068" t="n">
        <v>7</v>
      </c>
      <c r="C5068" t="n">
        <v>30</v>
      </c>
      <c r="D5068" t="n">
        <v>2</v>
      </c>
      <c r="E5068" s="10" t="n">
        <v>0</v>
      </c>
      <c r="F5068" s="10" t="n">
        <v>0.1949521427885143</v>
      </c>
      <c r="G5068" s="11">
        <f>E5068*Summary!$B$6</f>
        <v/>
      </c>
      <c r="H5068" s="11">
        <f>F5068*Summary!$B$7</f>
        <v/>
      </c>
      <c r="I5068" s="11">
        <f>MAX(0,N5068-M5068)</f>
        <v/>
      </c>
      <c r="J5068" s="11">
        <f>MAX(0,M5068-N5068)</f>
        <v/>
      </c>
      <c r="K5068" s="11">
        <f>O5068</f>
        <v/>
      </c>
      <c r="L5068" s="11">
        <f>L5067+IF(K5068&gt;0,K5068*Summary!$B$9,K5068/Summary!$B$9)</f>
        <v/>
      </c>
      <c r="M5068" s="11">
        <f>G5068+H5068</f>
        <v/>
      </c>
      <c r="N5068" s="11">
        <f>Summary!$C$16*Summary!$B$8</f>
        <v/>
      </c>
      <c r="O5068" s="11">
        <f>M5068-N5068</f>
        <v/>
      </c>
    </row>
    <row r="5069">
      <c r="A5069" s="9" t="n">
        <v>45503.125</v>
      </c>
      <c r="B5069" t="n">
        <v>7</v>
      </c>
      <c r="C5069" t="n">
        <v>30</v>
      </c>
      <c r="D5069" t="n">
        <v>3</v>
      </c>
      <c r="E5069" s="10" t="n">
        <v>0</v>
      </c>
      <c r="F5069" s="10" t="n">
        <v>0.1928966862952047</v>
      </c>
      <c r="G5069" s="11">
        <f>E5069*Summary!$B$6</f>
        <v/>
      </c>
      <c r="H5069" s="11">
        <f>F5069*Summary!$B$7</f>
        <v/>
      </c>
      <c r="I5069" s="11">
        <f>MAX(0,N5069-M5069)</f>
        <v/>
      </c>
      <c r="J5069" s="11">
        <f>MAX(0,M5069-N5069)</f>
        <v/>
      </c>
      <c r="K5069" s="11">
        <f>O5069</f>
        <v/>
      </c>
      <c r="L5069" s="11">
        <f>L5068+IF(K5069&gt;0,K5069*Summary!$B$9,K5069/Summary!$B$9)</f>
        <v/>
      </c>
      <c r="M5069" s="11">
        <f>G5069+H5069</f>
        <v/>
      </c>
      <c r="N5069" s="11">
        <f>Summary!$C$16*Summary!$B$8</f>
        <v/>
      </c>
      <c r="O5069" s="11">
        <f>M5069-N5069</f>
        <v/>
      </c>
    </row>
    <row r="5070">
      <c r="A5070" s="9" t="n">
        <v>45503.16666666666</v>
      </c>
      <c r="B5070" t="n">
        <v>7</v>
      </c>
      <c r="C5070" t="n">
        <v>30</v>
      </c>
      <c r="D5070" t="n">
        <v>4</v>
      </c>
      <c r="E5070" s="10" t="n">
        <v>0.004274</v>
      </c>
      <c r="F5070" s="10" t="n">
        <v>0.1884959012390163</v>
      </c>
      <c r="G5070" s="11">
        <f>E5070*Summary!$B$6</f>
        <v/>
      </c>
      <c r="H5070" s="11">
        <f>F5070*Summary!$B$7</f>
        <v/>
      </c>
      <c r="I5070" s="11">
        <f>MAX(0,N5070-M5070)</f>
        <v/>
      </c>
      <c r="J5070" s="11">
        <f>MAX(0,M5070-N5070)</f>
        <v/>
      </c>
      <c r="K5070" s="11">
        <f>O5070</f>
        <v/>
      </c>
      <c r="L5070" s="11">
        <f>L5069+IF(K5070&gt;0,K5070*Summary!$B$9,K5070/Summary!$B$9)</f>
        <v/>
      </c>
      <c r="M5070" s="11">
        <f>G5070+H5070</f>
        <v/>
      </c>
      <c r="N5070" s="11">
        <f>Summary!$C$16*Summary!$B$8</f>
        <v/>
      </c>
      <c r="O5070" s="11">
        <f>M5070-N5070</f>
        <v/>
      </c>
    </row>
    <row r="5071">
      <c r="A5071" s="9" t="n">
        <v>45503.20833333334</v>
      </c>
      <c r="B5071" t="n">
        <v>7</v>
      </c>
      <c r="C5071" t="n">
        <v>30</v>
      </c>
      <c r="D5071" t="n">
        <v>5</v>
      </c>
      <c r="E5071" s="10" t="n">
        <v>0.050154</v>
      </c>
      <c r="F5071" s="10" t="n">
        <v>0.1751881380451531</v>
      </c>
      <c r="G5071" s="11">
        <f>E5071*Summary!$B$6</f>
        <v/>
      </c>
      <c r="H5071" s="11">
        <f>F5071*Summary!$B$7</f>
        <v/>
      </c>
      <c r="I5071" s="11">
        <f>MAX(0,N5071-M5071)</f>
        <v/>
      </c>
      <c r="J5071" s="11">
        <f>MAX(0,M5071-N5071)</f>
        <v/>
      </c>
      <c r="K5071" s="11">
        <f>O5071</f>
        <v/>
      </c>
      <c r="L5071" s="11">
        <f>L5070+IF(K5071&gt;0,K5071*Summary!$B$9,K5071/Summary!$B$9)</f>
        <v/>
      </c>
      <c r="M5071" s="11">
        <f>G5071+H5071</f>
        <v/>
      </c>
      <c r="N5071" s="11">
        <f>Summary!$C$16*Summary!$B$8</f>
        <v/>
      </c>
      <c r="O5071" s="11">
        <f>M5071-N5071</f>
        <v/>
      </c>
    </row>
    <row r="5072">
      <c r="A5072" s="9" t="n">
        <v>45503.25</v>
      </c>
      <c r="B5072" t="n">
        <v>7</v>
      </c>
      <c r="C5072" t="n">
        <v>30</v>
      </c>
      <c r="D5072" t="n">
        <v>6</v>
      </c>
      <c r="E5072" s="10" t="n">
        <v>0.108603</v>
      </c>
      <c r="F5072" s="10" t="n">
        <v>0.1601147904275497</v>
      </c>
      <c r="G5072" s="11">
        <f>E5072*Summary!$B$6</f>
        <v/>
      </c>
      <c r="H5072" s="11">
        <f>F5072*Summary!$B$7</f>
        <v/>
      </c>
      <c r="I5072" s="11">
        <f>MAX(0,N5072-M5072)</f>
        <v/>
      </c>
      <c r="J5072" s="11">
        <f>MAX(0,M5072-N5072)</f>
        <v/>
      </c>
      <c r="K5072" s="11">
        <f>O5072</f>
        <v/>
      </c>
      <c r="L5072" s="11">
        <f>L5071+IF(K5072&gt;0,K5072*Summary!$B$9,K5072/Summary!$B$9)</f>
        <v/>
      </c>
      <c r="M5072" s="11">
        <f>G5072+H5072</f>
        <v/>
      </c>
      <c r="N5072" s="11">
        <f>Summary!$C$16*Summary!$B$8</f>
        <v/>
      </c>
      <c r="O5072" s="11">
        <f>M5072-N5072</f>
        <v/>
      </c>
    </row>
    <row r="5073">
      <c r="A5073" s="9" t="n">
        <v>45503.29166666666</v>
      </c>
      <c r="B5073" t="n">
        <v>7</v>
      </c>
      <c r="C5073" t="n">
        <v>30</v>
      </c>
      <c r="D5073" t="n">
        <v>7</v>
      </c>
      <c r="E5073" s="10" t="n">
        <v>0.239384</v>
      </c>
      <c r="F5073" s="10" t="n">
        <v>0.1515240363657687</v>
      </c>
      <c r="G5073" s="11">
        <f>E5073*Summary!$B$6</f>
        <v/>
      </c>
      <c r="H5073" s="11">
        <f>F5073*Summary!$B$7</f>
        <v/>
      </c>
      <c r="I5073" s="11">
        <f>MAX(0,N5073-M5073)</f>
        <v/>
      </c>
      <c r="J5073" s="11">
        <f>MAX(0,M5073-N5073)</f>
        <v/>
      </c>
      <c r="K5073" s="11">
        <f>O5073</f>
        <v/>
      </c>
      <c r="L5073" s="11">
        <f>L5072+IF(K5073&gt;0,K5073*Summary!$B$9,K5073/Summary!$B$9)</f>
        <v/>
      </c>
      <c r="M5073" s="11">
        <f>G5073+H5073</f>
        <v/>
      </c>
      <c r="N5073" s="11">
        <f>Summary!$C$16*Summary!$B$8</f>
        <v/>
      </c>
      <c r="O5073" s="11">
        <f>M5073-N5073</f>
        <v/>
      </c>
    </row>
    <row r="5074">
      <c r="A5074" s="9" t="n">
        <v>45503.33333333334</v>
      </c>
      <c r="B5074" t="n">
        <v>7</v>
      </c>
      <c r="C5074" t="n">
        <v>30</v>
      </c>
      <c r="D5074" t="n">
        <v>8</v>
      </c>
      <c r="E5074" s="10" t="n">
        <v>0.242528</v>
      </c>
      <c r="F5074" s="10" t="n">
        <v>0.1499692679926243</v>
      </c>
      <c r="G5074" s="11">
        <f>E5074*Summary!$B$6</f>
        <v/>
      </c>
      <c r="H5074" s="11">
        <f>F5074*Summary!$B$7</f>
        <v/>
      </c>
      <c r="I5074" s="11">
        <f>MAX(0,N5074-M5074)</f>
        <v/>
      </c>
      <c r="J5074" s="11">
        <f>MAX(0,M5074-N5074)</f>
        <v/>
      </c>
      <c r="K5074" s="11">
        <f>O5074</f>
        <v/>
      </c>
      <c r="L5074" s="11">
        <f>L5073+IF(K5074&gt;0,K5074*Summary!$B$9,K5074/Summary!$B$9)</f>
        <v/>
      </c>
      <c r="M5074" s="11">
        <f>G5074+H5074</f>
        <v/>
      </c>
      <c r="N5074" s="11">
        <f>Summary!$C$16*Summary!$B$8</f>
        <v/>
      </c>
      <c r="O5074" s="11">
        <f>M5074-N5074</f>
        <v/>
      </c>
    </row>
    <row r="5075">
      <c r="A5075" s="9" t="n">
        <v>45503.375</v>
      </c>
      <c r="B5075" t="n">
        <v>7</v>
      </c>
      <c r="C5075" t="n">
        <v>30</v>
      </c>
      <c r="D5075" t="n">
        <v>9</v>
      </c>
      <c r="E5075" s="10" t="n">
        <v>0.242505</v>
      </c>
      <c r="F5075" s="10" t="n">
        <v>0.158217445972187</v>
      </c>
      <c r="G5075" s="11">
        <f>E5075*Summary!$B$6</f>
        <v/>
      </c>
      <c r="H5075" s="11">
        <f>F5075*Summary!$B$7</f>
        <v/>
      </c>
      <c r="I5075" s="11">
        <f>MAX(0,N5075-M5075)</f>
        <v/>
      </c>
      <c r="J5075" s="11">
        <f>MAX(0,M5075-N5075)</f>
        <v/>
      </c>
      <c r="K5075" s="11">
        <f>O5075</f>
        <v/>
      </c>
      <c r="L5075" s="11">
        <f>L5074+IF(K5075&gt;0,K5075*Summary!$B$9,K5075/Summary!$B$9)</f>
        <v/>
      </c>
      <c r="M5075" s="11">
        <f>G5075+H5075</f>
        <v/>
      </c>
      <c r="N5075" s="11">
        <f>Summary!$C$16*Summary!$B$8</f>
        <v/>
      </c>
      <c r="O5075" s="11">
        <f>M5075-N5075</f>
        <v/>
      </c>
    </row>
    <row r="5076">
      <c r="A5076" s="9" t="n">
        <v>45503.41666666666</v>
      </c>
      <c r="B5076" t="n">
        <v>7</v>
      </c>
      <c r="C5076" t="n">
        <v>30</v>
      </c>
      <c r="D5076" t="n">
        <v>10</v>
      </c>
      <c r="E5076" s="10" t="n">
        <v>0.431797</v>
      </c>
      <c r="F5076" s="10" t="n">
        <v>0.1665973839833721</v>
      </c>
      <c r="G5076" s="11">
        <f>E5076*Summary!$B$6</f>
        <v/>
      </c>
      <c r="H5076" s="11">
        <f>F5076*Summary!$B$7</f>
        <v/>
      </c>
      <c r="I5076" s="11">
        <f>MAX(0,N5076-M5076)</f>
        <v/>
      </c>
      <c r="J5076" s="11">
        <f>MAX(0,M5076-N5076)</f>
        <v/>
      </c>
      <c r="K5076" s="11">
        <f>O5076</f>
        <v/>
      </c>
      <c r="L5076" s="11">
        <f>L5075+IF(K5076&gt;0,K5076*Summary!$B$9,K5076/Summary!$B$9)</f>
        <v/>
      </c>
      <c r="M5076" s="11">
        <f>G5076+H5076</f>
        <v/>
      </c>
      <c r="N5076" s="11">
        <f>Summary!$C$16*Summary!$B$8</f>
        <v/>
      </c>
      <c r="O5076" s="11">
        <f>M5076-N5076</f>
        <v/>
      </c>
    </row>
    <row r="5077">
      <c r="A5077" s="9" t="n">
        <v>45503.45833333334</v>
      </c>
      <c r="B5077" t="n">
        <v>7</v>
      </c>
      <c r="C5077" t="n">
        <v>30</v>
      </c>
      <c r="D5077" t="n">
        <v>11</v>
      </c>
      <c r="E5077" s="10" t="n">
        <v>0.208921</v>
      </c>
      <c r="F5077" s="10" t="n">
        <v>0.1761895142854834</v>
      </c>
      <c r="G5077" s="11">
        <f>E5077*Summary!$B$6</f>
        <v/>
      </c>
      <c r="H5077" s="11">
        <f>F5077*Summary!$B$7</f>
        <v/>
      </c>
      <c r="I5077" s="11">
        <f>MAX(0,N5077-M5077)</f>
        <v/>
      </c>
      <c r="J5077" s="11">
        <f>MAX(0,M5077-N5077)</f>
        <v/>
      </c>
      <c r="K5077" s="11">
        <f>O5077</f>
        <v/>
      </c>
      <c r="L5077" s="11">
        <f>L5076+IF(K5077&gt;0,K5077*Summary!$B$9,K5077/Summary!$B$9)</f>
        <v/>
      </c>
      <c r="M5077" s="11">
        <f>G5077+H5077</f>
        <v/>
      </c>
      <c r="N5077" s="11">
        <f>Summary!$C$16*Summary!$B$8</f>
        <v/>
      </c>
      <c r="O5077" s="11">
        <f>M5077-N5077</f>
        <v/>
      </c>
    </row>
    <row r="5078">
      <c r="A5078" s="9" t="n">
        <v>45503.5</v>
      </c>
      <c r="B5078" t="n">
        <v>7</v>
      </c>
      <c r="C5078" t="n">
        <v>30</v>
      </c>
      <c r="D5078" t="n">
        <v>12</v>
      </c>
      <c r="E5078" s="10" t="n">
        <v>0.127726</v>
      </c>
      <c r="F5078" s="10" t="n">
        <v>0.1907094697702728</v>
      </c>
      <c r="G5078" s="11">
        <f>E5078*Summary!$B$6</f>
        <v/>
      </c>
      <c r="H5078" s="11">
        <f>F5078*Summary!$B$7</f>
        <v/>
      </c>
      <c r="I5078" s="11">
        <f>MAX(0,N5078-M5078)</f>
        <v/>
      </c>
      <c r="J5078" s="11">
        <f>MAX(0,M5078-N5078)</f>
        <v/>
      </c>
      <c r="K5078" s="11">
        <f>O5078</f>
        <v/>
      </c>
      <c r="L5078" s="11">
        <f>L5077+IF(K5078&gt;0,K5078*Summary!$B$9,K5078/Summary!$B$9)</f>
        <v/>
      </c>
      <c r="M5078" s="11">
        <f>G5078+H5078</f>
        <v/>
      </c>
      <c r="N5078" s="11">
        <f>Summary!$C$16*Summary!$B$8</f>
        <v/>
      </c>
      <c r="O5078" s="11">
        <f>M5078-N5078</f>
        <v/>
      </c>
    </row>
    <row r="5079">
      <c r="A5079" s="9" t="n">
        <v>45503.54166666666</v>
      </c>
      <c r="B5079" t="n">
        <v>7</v>
      </c>
      <c r="C5079" t="n">
        <v>30</v>
      </c>
      <c r="D5079" t="n">
        <v>13</v>
      </c>
      <c r="E5079" s="10" t="n">
        <v>0.098707</v>
      </c>
      <c r="F5079" s="10" t="n">
        <v>0.2026996326479118</v>
      </c>
      <c r="G5079" s="11">
        <f>E5079*Summary!$B$6</f>
        <v/>
      </c>
      <c r="H5079" s="11">
        <f>F5079*Summary!$B$7</f>
        <v/>
      </c>
      <c r="I5079" s="11">
        <f>MAX(0,N5079-M5079)</f>
        <v/>
      </c>
      <c r="J5079" s="11">
        <f>MAX(0,M5079-N5079)</f>
        <v/>
      </c>
      <c r="K5079" s="11">
        <f>O5079</f>
        <v/>
      </c>
      <c r="L5079" s="11">
        <f>L5078+IF(K5079&gt;0,K5079*Summary!$B$9,K5079/Summary!$B$9)</f>
        <v/>
      </c>
      <c r="M5079" s="11">
        <f>G5079+H5079</f>
        <v/>
      </c>
      <c r="N5079" s="11">
        <f>Summary!$C$16*Summary!$B$8</f>
        <v/>
      </c>
      <c r="O5079" s="11">
        <f>M5079-N5079</f>
        <v/>
      </c>
    </row>
    <row r="5080">
      <c r="A5080" s="9" t="n">
        <v>45503.58333333334</v>
      </c>
      <c r="B5080" t="n">
        <v>7</v>
      </c>
      <c r="C5080" t="n">
        <v>30</v>
      </c>
      <c r="D5080" t="n">
        <v>14</v>
      </c>
      <c r="E5080" s="10" t="n">
        <v>0.11187</v>
      </c>
      <c r="F5080" s="10" t="n">
        <v>0.2110005146401235</v>
      </c>
      <c r="G5080" s="11">
        <f>E5080*Summary!$B$6</f>
        <v/>
      </c>
      <c r="H5080" s="11">
        <f>F5080*Summary!$B$7</f>
        <v/>
      </c>
      <c r="I5080" s="11">
        <f>MAX(0,N5080-M5080)</f>
        <v/>
      </c>
      <c r="J5080" s="11">
        <f>MAX(0,M5080-N5080)</f>
        <v/>
      </c>
      <c r="K5080" s="11">
        <f>O5080</f>
        <v/>
      </c>
      <c r="L5080" s="11">
        <f>L5079+IF(K5080&gt;0,K5080*Summary!$B$9,K5080/Summary!$B$9)</f>
        <v/>
      </c>
      <c r="M5080" s="11">
        <f>G5080+H5080</f>
        <v/>
      </c>
      <c r="N5080" s="11">
        <f>Summary!$C$16*Summary!$B$8</f>
        <v/>
      </c>
      <c r="O5080" s="11">
        <f>M5080-N5080</f>
        <v/>
      </c>
    </row>
    <row r="5081">
      <c r="A5081" s="9" t="n">
        <v>45503.625</v>
      </c>
      <c r="B5081" t="n">
        <v>7</v>
      </c>
      <c r="C5081" t="n">
        <v>30</v>
      </c>
      <c r="D5081" t="n">
        <v>15</v>
      </c>
      <c r="E5081" s="10" t="n">
        <v>0.145208</v>
      </c>
      <c r="F5081" s="10" t="n">
        <v>0.2206717009612082</v>
      </c>
      <c r="G5081" s="11">
        <f>E5081*Summary!$B$6</f>
        <v/>
      </c>
      <c r="H5081" s="11">
        <f>F5081*Summary!$B$7</f>
        <v/>
      </c>
      <c r="I5081" s="11">
        <f>MAX(0,N5081-M5081)</f>
        <v/>
      </c>
      <c r="J5081" s="11">
        <f>MAX(0,M5081-N5081)</f>
        <v/>
      </c>
      <c r="K5081" s="11">
        <f>O5081</f>
        <v/>
      </c>
      <c r="L5081" s="11">
        <f>L5080+IF(K5081&gt;0,K5081*Summary!$B$9,K5081/Summary!$B$9)</f>
        <v/>
      </c>
      <c r="M5081" s="11">
        <f>G5081+H5081</f>
        <v/>
      </c>
      <c r="N5081" s="11">
        <f>Summary!$C$16*Summary!$B$8</f>
        <v/>
      </c>
      <c r="O5081" s="11">
        <f>M5081-N5081</f>
        <v/>
      </c>
    </row>
    <row r="5082">
      <c r="A5082" s="9" t="n">
        <v>45503.66666666666</v>
      </c>
      <c r="B5082" t="n">
        <v>7</v>
      </c>
      <c r="C5082" t="n">
        <v>30</v>
      </c>
      <c r="D5082" t="n">
        <v>16</v>
      </c>
      <c r="E5082" s="10" t="n">
        <v>0.120324</v>
      </c>
      <c r="F5082" s="10" t="n">
        <v>0.2191959886070373</v>
      </c>
      <c r="G5082" s="11">
        <f>E5082*Summary!$B$6</f>
        <v/>
      </c>
      <c r="H5082" s="11">
        <f>F5082*Summary!$B$7</f>
        <v/>
      </c>
      <c r="I5082" s="11">
        <f>MAX(0,N5082-M5082)</f>
        <v/>
      </c>
      <c r="J5082" s="11">
        <f>MAX(0,M5082-N5082)</f>
        <v/>
      </c>
      <c r="K5082" s="11">
        <f>O5082</f>
        <v/>
      </c>
      <c r="L5082" s="11">
        <f>L5081+IF(K5082&gt;0,K5082*Summary!$B$9,K5082/Summary!$B$9)</f>
        <v/>
      </c>
      <c r="M5082" s="11">
        <f>G5082+H5082</f>
        <v/>
      </c>
      <c r="N5082" s="11">
        <f>Summary!$C$16*Summary!$B$8</f>
        <v/>
      </c>
      <c r="O5082" s="11">
        <f>M5082-N5082</f>
        <v/>
      </c>
    </row>
    <row r="5083">
      <c r="A5083" s="9" t="n">
        <v>45503.70833333334</v>
      </c>
      <c r="B5083" t="n">
        <v>7</v>
      </c>
      <c r="C5083" t="n">
        <v>30</v>
      </c>
      <c r="D5083" t="n">
        <v>17</v>
      </c>
      <c r="E5083" s="10" t="n">
        <v>0.093664</v>
      </c>
      <c r="F5083" s="10" t="n">
        <v>0.209656562317575</v>
      </c>
      <c r="G5083" s="11">
        <f>E5083*Summary!$B$6</f>
        <v/>
      </c>
      <c r="H5083" s="11">
        <f>F5083*Summary!$B$7</f>
        <v/>
      </c>
      <c r="I5083" s="11">
        <f>MAX(0,N5083-M5083)</f>
        <v/>
      </c>
      <c r="J5083" s="11">
        <f>MAX(0,M5083-N5083)</f>
        <v/>
      </c>
      <c r="K5083" s="11">
        <f>O5083</f>
        <v/>
      </c>
      <c r="L5083" s="11">
        <f>L5082+IF(K5083&gt;0,K5083*Summary!$B$9,K5083/Summary!$B$9)</f>
        <v/>
      </c>
      <c r="M5083" s="11">
        <f>G5083+H5083</f>
        <v/>
      </c>
      <c r="N5083" s="11">
        <f>Summary!$C$16*Summary!$B$8</f>
        <v/>
      </c>
      <c r="O5083" s="11">
        <f>M5083-N5083</f>
        <v/>
      </c>
    </row>
    <row r="5084">
      <c r="A5084" s="9" t="n">
        <v>45503.75</v>
      </c>
      <c r="B5084" t="n">
        <v>7</v>
      </c>
      <c r="C5084" t="n">
        <v>30</v>
      </c>
      <c r="D5084" t="n">
        <v>18</v>
      </c>
      <c r="E5084" s="10" t="n">
        <v>0.076964</v>
      </c>
      <c r="F5084" s="10" t="n">
        <v>0.2005914721419533</v>
      </c>
      <c r="G5084" s="11">
        <f>E5084*Summary!$B$6</f>
        <v/>
      </c>
      <c r="H5084" s="11">
        <f>F5084*Summary!$B$7</f>
        <v/>
      </c>
      <c r="I5084" s="11">
        <f>MAX(0,N5084-M5084)</f>
        <v/>
      </c>
      <c r="J5084" s="11">
        <f>MAX(0,M5084-N5084)</f>
        <v/>
      </c>
      <c r="K5084" s="11">
        <f>O5084</f>
        <v/>
      </c>
      <c r="L5084" s="11">
        <f>L5083+IF(K5084&gt;0,K5084*Summary!$B$9,K5084/Summary!$B$9)</f>
        <v/>
      </c>
      <c r="M5084" s="11">
        <f>G5084+H5084</f>
        <v/>
      </c>
      <c r="N5084" s="11">
        <f>Summary!$C$16*Summary!$B$8</f>
        <v/>
      </c>
      <c r="O5084" s="11">
        <f>M5084-N5084</f>
        <v/>
      </c>
    </row>
    <row r="5085">
      <c r="A5085" s="9" t="n">
        <v>45503.79166666666</v>
      </c>
      <c r="B5085" t="n">
        <v>7</v>
      </c>
      <c r="C5085" t="n">
        <v>30</v>
      </c>
      <c r="D5085" t="n">
        <v>19</v>
      </c>
      <c r="E5085" s="10" t="n">
        <v>0.031528</v>
      </c>
      <c r="F5085" s="10" t="n">
        <v>0.2011185122684429</v>
      </c>
      <c r="G5085" s="11">
        <f>E5085*Summary!$B$6</f>
        <v/>
      </c>
      <c r="H5085" s="11">
        <f>F5085*Summary!$B$7</f>
        <v/>
      </c>
      <c r="I5085" s="11">
        <f>MAX(0,N5085-M5085)</f>
        <v/>
      </c>
      <c r="J5085" s="11">
        <f>MAX(0,M5085-N5085)</f>
        <v/>
      </c>
      <c r="K5085" s="11">
        <f>O5085</f>
        <v/>
      </c>
      <c r="L5085" s="11">
        <f>L5084+IF(K5085&gt;0,K5085*Summary!$B$9,K5085/Summary!$B$9)</f>
        <v/>
      </c>
      <c r="M5085" s="11">
        <f>G5085+H5085</f>
        <v/>
      </c>
      <c r="N5085" s="11">
        <f>Summary!$C$16*Summary!$B$8</f>
        <v/>
      </c>
      <c r="O5085" s="11">
        <f>M5085-N5085</f>
        <v/>
      </c>
    </row>
    <row r="5086">
      <c r="A5086" s="9" t="n">
        <v>45503.83333333334</v>
      </c>
      <c r="B5086" t="n">
        <v>7</v>
      </c>
      <c r="C5086" t="n">
        <v>30</v>
      </c>
      <c r="D5086" t="n">
        <v>20</v>
      </c>
      <c r="E5086" s="10" t="n">
        <v>0</v>
      </c>
      <c r="F5086" s="10" t="n">
        <v>0.2176675722402173</v>
      </c>
      <c r="G5086" s="11">
        <f>E5086*Summary!$B$6</f>
        <v/>
      </c>
      <c r="H5086" s="11">
        <f>F5086*Summary!$B$7</f>
        <v/>
      </c>
      <c r="I5086" s="11">
        <f>MAX(0,N5086-M5086)</f>
        <v/>
      </c>
      <c r="J5086" s="11">
        <f>MAX(0,M5086-N5086)</f>
        <v/>
      </c>
      <c r="K5086" s="11">
        <f>O5086</f>
        <v/>
      </c>
      <c r="L5086" s="11">
        <f>L5085+IF(K5086&gt;0,K5086*Summary!$B$9,K5086/Summary!$B$9)</f>
        <v/>
      </c>
      <c r="M5086" s="11">
        <f>G5086+H5086</f>
        <v/>
      </c>
      <c r="N5086" s="11">
        <f>Summary!$C$16*Summary!$B$8</f>
        <v/>
      </c>
      <c r="O5086" s="11">
        <f>M5086-N5086</f>
        <v/>
      </c>
    </row>
    <row r="5087">
      <c r="A5087" s="9" t="n">
        <v>45503.875</v>
      </c>
      <c r="B5087" t="n">
        <v>7</v>
      </c>
      <c r="C5087" t="n">
        <v>30</v>
      </c>
      <c r="D5087" t="n">
        <v>21</v>
      </c>
      <c r="E5087" s="10" t="n">
        <v>0</v>
      </c>
      <c r="F5087" s="10" t="n">
        <v>0.2356396405535137</v>
      </c>
      <c r="G5087" s="11">
        <f>E5087*Summary!$B$6</f>
        <v/>
      </c>
      <c r="H5087" s="11">
        <f>F5087*Summary!$B$7</f>
        <v/>
      </c>
      <c r="I5087" s="11">
        <f>MAX(0,N5087-M5087)</f>
        <v/>
      </c>
      <c r="J5087" s="11">
        <f>MAX(0,M5087-N5087)</f>
        <v/>
      </c>
      <c r="K5087" s="11">
        <f>O5087</f>
        <v/>
      </c>
      <c r="L5087" s="11">
        <f>L5086+IF(K5087&gt;0,K5087*Summary!$B$9,K5087/Summary!$B$9)</f>
        <v/>
      </c>
      <c r="M5087" s="11">
        <f>G5087+H5087</f>
        <v/>
      </c>
      <c r="N5087" s="11">
        <f>Summary!$C$16*Summary!$B$8</f>
        <v/>
      </c>
      <c r="O5087" s="11">
        <f>M5087-N5087</f>
        <v/>
      </c>
    </row>
    <row r="5088">
      <c r="A5088" s="9" t="n">
        <v>45503.91666666666</v>
      </c>
      <c r="B5088" t="n">
        <v>7</v>
      </c>
      <c r="C5088" t="n">
        <v>30</v>
      </c>
      <c r="D5088" t="n">
        <v>22</v>
      </c>
      <c r="E5088" s="10" t="n">
        <v>0</v>
      </c>
      <c r="F5088" s="10" t="n">
        <v>0.2451000108240026</v>
      </c>
      <c r="G5088" s="11">
        <f>E5088*Summary!$B$6</f>
        <v/>
      </c>
      <c r="H5088" s="11">
        <f>F5088*Summary!$B$7</f>
        <v/>
      </c>
      <c r="I5088" s="11">
        <f>MAX(0,N5088-M5088)</f>
        <v/>
      </c>
      <c r="J5088" s="11">
        <f>MAX(0,M5088-N5088)</f>
        <v/>
      </c>
      <c r="K5088" s="11">
        <f>O5088</f>
        <v/>
      </c>
      <c r="L5088" s="11">
        <f>L5087+IF(K5088&gt;0,K5088*Summary!$B$9,K5088/Summary!$B$9)</f>
        <v/>
      </c>
      <c r="M5088" s="11">
        <f>G5088+H5088</f>
        <v/>
      </c>
      <c r="N5088" s="11">
        <f>Summary!$C$16*Summary!$B$8</f>
        <v/>
      </c>
      <c r="O5088" s="11">
        <f>M5088-N5088</f>
        <v/>
      </c>
    </row>
    <row r="5089">
      <c r="A5089" s="9" t="n">
        <v>45503.95833333334</v>
      </c>
      <c r="B5089" t="n">
        <v>7</v>
      </c>
      <c r="C5089" t="n">
        <v>30</v>
      </c>
      <c r="D5089" t="n">
        <v>23</v>
      </c>
      <c r="E5089" s="10" t="n">
        <v>0</v>
      </c>
      <c r="F5089" s="10" t="n">
        <v>0.2508447482027396</v>
      </c>
      <c r="G5089" s="11">
        <f>E5089*Summary!$B$6</f>
        <v/>
      </c>
      <c r="H5089" s="11">
        <f>F5089*Summary!$B$7</f>
        <v/>
      </c>
      <c r="I5089" s="11">
        <f>MAX(0,N5089-M5089)</f>
        <v/>
      </c>
      <c r="J5089" s="11">
        <f>MAX(0,M5089-N5089)</f>
        <v/>
      </c>
      <c r="K5089" s="11">
        <f>O5089</f>
        <v/>
      </c>
      <c r="L5089" s="11">
        <f>L5088+IF(K5089&gt;0,K5089*Summary!$B$9,K5089/Summary!$B$9)</f>
        <v/>
      </c>
      <c r="M5089" s="11">
        <f>G5089+H5089</f>
        <v/>
      </c>
      <c r="N5089" s="11">
        <f>Summary!$C$16*Summary!$B$8</f>
        <v/>
      </c>
      <c r="O5089" s="11">
        <f>M5089-N5089</f>
        <v/>
      </c>
    </row>
    <row r="5090">
      <c r="A5090" s="9" t="n">
        <v>45504</v>
      </c>
      <c r="B5090" t="n">
        <v>7</v>
      </c>
      <c r="C5090" t="n">
        <v>31</v>
      </c>
      <c r="D5090" t="n">
        <v>0</v>
      </c>
      <c r="E5090" s="10" t="n">
        <v>0</v>
      </c>
      <c r="F5090" s="10" t="n">
        <v>0.1720522492925398</v>
      </c>
      <c r="G5090" s="11">
        <f>E5090*Summary!$B$6</f>
        <v/>
      </c>
      <c r="H5090" s="11">
        <f>F5090*Summary!$B$7</f>
        <v/>
      </c>
      <c r="I5090" s="11">
        <f>MAX(0,N5090-M5090)</f>
        <v/>
      </c>
      <c r="J5090" s="11">
        <f>MAX(0,M5090-N5090)</f>
        <v/>
      </c>
      <c r="K5090" s="11">
        <f>O5090</f>
        <v/>
      </c>
      <c r="L5090" s="11">
        <f>L5089+IF(K5090&gt;0,K5090*Summary!$B$9,K5090/Summary!$B$9)</f>
        <v/>
      </c>
      <c r="M5090" s="11">
        <f>G5090+H5090</f>
        <v/>
      </c>
      <c r="N5090" s="11">
        <f>Summary!$C$16*Summary!$B$8</f>
        <v/>
      </c>
      <c r="O5090" s="11">
        <f>M5090-N5090</f>
        <v/>
      </c>
    </row>
    <row r="5091">
      <c r="A5091" s="9" t="n">
        <v>45504.04166666666</v>
      </c>
      <c r="B5091" t="n">
        <v>7</v>
      </c>
      <c r="C5091" t="n">
        <v>31</v>
      </c>
      <c r="D5091" t="n">
        <v>1</v>
      </c>
      <c r="E5091" s="10" t="n">
        <v>0</v>
      </c>
      <c r="F5091" s="10" t="n">
        <v>0.2460223310453594</v>
      </c>
      <c r="G5091" s="11">
        <f>E5091*Summary!$B$6</f>
        <v/>
      </c>
      <c r="H5091" s="11">
        <f>F5091*Summary!$B$7</f>
        <v/>
      </c>
      <c r="I5091" s="11">
        <f>MAX(0,N5091-M5091)</f>
        <v/>
      </c>
      <c r="J5091" s="11">
        <f>MAX(0,M5091-N5091)</f>
        <v/>
      </c>
      <c r="K5091" s="11">
        <f>O5091</f>
        <v/>
      </c>
      <c r="L5091" s="11">
        <f>L5090+IF(K5091&gt;0,K5091*Summary!$B$9,K5091/Summary!$B$9)</f>
        <v/>
      </c>
      <c r="M5091" s="11">
        <f>G5091+H5091</f>
        <v/>
      </c>
      <c r="N5091" s="11">
        <f>Summary!$C$16*Summary!$B$8</f>
        <v/>
      </c>
      <c r="O5091" s="11">
        <f>M5091-N5091</f>
        <v/>
      </c>
    </row>
    <row r="5092">
      <c r="A5092" s="9" t="n">
        <v>45504.08333333334</v>
      </c>
      <c r="B5092" t="n">
        <v>7</v>
      </c>
      <c r="C5092" t="n">
        <v>31</v>
      </c>
      <c r="D5092" t="n">
        <v>2</v>
      </c>
      <c r="E5092" s="10" t="n">
        <v>0</v>
      </c>
      <c r="F5092" s="10" t="n">
        <v>0.2410418018500325</v>
      </c>
      <c r="G5092" s="11">
        <f>E5092*Summary!$B$6</f>
        <v/>
      </c>
      <c r="H5092" s="11">
        <f>F5092*Summary!$B$7</f>
        <v/>
      </c>
      <c r="I5092" s="11">
        <f>MAX(0,N5092-M5092)</f>
        <v/>
      </c>
      <c r="J5092" s="11">
        <f>MAX(0,M5092-N5092)</f>
        <v/>
      </c>
      <c r="K5092" s="11">
        <f>O5092</f>
        <v/>
      </c>
      <c r="L5092" s="11">
        <f>L5091+IF(K5092&gt;0,K5092*Summary!$B$9,K5092/Summary!$B$9)</f>
        <v/>
      </c>
      <c r="M5092" s="11">
        <f>G5092+H5092</f>
        <v/>
      </c>
      <c r="N5092" s="11">
        <f>Summary!$C$16*Summary!$B$8</f>
        <v/>
      </c>
      <c r="O5092" s="11">
        <f>M5092-N5092</f>
        <v/>
      </c>
    </row>
    <row r="5093">
      <c r="A5093" s="9" t="n">
        <v>45504.125</v>
      </c>
      <c r="B5093" t="n">
        <v>7</v>
      </c>
      <c r="C5093" t="n">
        <v>31</v>
      </c>
      <c r="D5093" t="n">
        <v>3</v>
      </c>
      <c r="E5093" s="10" t="n">
        <v>0</v>
      </c>
      <c r="F5093" s="10" t="n">
        <v>0.2316341355921925</v>
      </c>
      <c r="G5093" s="11">
        <f>E5093*Summary!$B$6</f>
        <v/>
      </c>
      <c r="H5093" s="11">
        <f>F5093*Summary!$B$7</f>
        <v/>
      </c>
      <c r="I5093" s="11">
        <f>MAX(0,N5093-M5093)</f>
        <v/>
      </c>
      <c r="J5093" s="11">
        <f>MAX(0,M5093-N5093)</f>
        <v/>
      </c>
      <c r="K5093" s="11">
        <f>O5093</f>
        <v/>
      </c>
      <c r="L5093" s="11">
        <f>L5092+IF(K5093&gt;0,K5093*Summary!$B$9,K5093/Summary!$B$9)</f>
        <v/>
      </c>
      <c r="M5093" s="11">
        <f>G5093+H5093</f>
        <v/>
      </c>
      <c r="N5093" s="11">
        <f>Summary!$C$16*Summary!$B$8</f>
        <v/>
      </c>
      <c r="O5093" s="11">
        <f>M5093-N5093</f>
        <v/>
      </c>
    </row>
    <row r="5094">
      <c r="A5094" s="9" t="n">
        <v>45504.16666666666</v>
      </c>
      <c r="B5094" t="n">
        <v>7</v>
      </c>
      <c r="C5094" t="n">
        <v>31</v>
      </c>
      <c r="D5094" t="n">
        <v>4</v>
      </c>
      <c r="E5094" s="10" t="n">
        <v>0.011228</v>
      </c>
      <c r="F5094" s="10" t="n">
        <v>0.2215149651635916</v>
      </c>
      <c r="G5094" s="11">
        <f>E5094*Summary!$B$6</f>
        <v/>
      </c>
      <c r="H5094" s="11">
        <f>F5094*Summary!$B$7</f>
        <v/>
      </c>
      <c r="I5094" s="11">
        <f>MAX(0,N5094-M5094)</f>
        <v/>
      </c>
      <c r="J5094" s="11">
        <f>MAX(0,M5094-N5094)</f>
        <v/>
      </c>
      <c r="K5094" s="11">
        <f>O5094</f>
        <v/>
      </c>
      <c r="L5094" s="11">
        <f>L5093+IF(K5094&gt;0,K5094*Summary!$B$9,K5094/Summary!$B$9)</f>
        <v/>
      </c>
      <c r="M5094" s="11">
        <f>G5094+H5094</f>
        <v/>
      </c>
      <c r="N5094" s="11">
        <f>Summary!$C$16*Summary!$B$8</f>
        <v/>
      </c>
      <c r="O5094" s="11">
        <f>M5094-N5094</f>
        <v/>
      </c>
    </row>
    <row r="5095">
      <c r="A5095" s="9" t="n">
        <v>45504.20833333334</v>
      </c>
      <c r="B5095" t="n">
        <v>7</v>
      </c>
      <c r="C5095" t="n">
        <v>31</v>
      </c>
      <c r="D5095" t="n">
        <v>5</v>
      </c>
      <c r="E5095" s="10" t="n">
        <v>0.03288</v>
      </c>
      <c r="F5095" s="10" t="n">
        <v>0.202383408572018</v>
      </c>
      <c r="G5095" s="11">
        <f>E5095*Summary!$B$6</f>
        <v/>
      </c>
      <c r="H5095" s="11">
        <f>F5095*Summary!$B$7</f>
        <v/>
      </c>
      <c r="I5095" s="11">
        <f>MAX(0,N5095-M5095)</f>
        <v/>
      </c>
      <c r="J5095" s="11">
        <f>MAX(0,M5095-N5095)</f>
        <v/>
      </c>
      <c r="K5095" s="11">
        <f>O5095</f>
        <v/>
      </c>
      <c r="L5095" s="11">
        <f>L5094+IF(K5095&gt;0,K5095*Summary!$B$9,K5095/Summary!$B$9)</f>
        <v/>
      </c>
      <c r="M5095" s="11">
        <f>G5095+H5095</f>
        <v/>
      </c>
      <c r="N5095" s="11">
        <f>Summary!$C$16*Summary!$B$8</f>
        <v/>
      </c>
      <c r="O5095" s="11">
        <f>M5095-N5095</f>
        <v/>
      </c>
    </row>
    <row r="5096">
      <c r="A5096" s="9" t="n">
        <v>45504.25</v>
      </c>
      <c r="B5096" t="n">
        <v>7</v>
      </c>
      <c r="C5096" t="n">
        <v>31</v>
      </c>
      <c r="D5096" t="n">
        <v>6</v>
      </c>
      <c r="E5096" s="10" t="n">
        <v>0.125974</v>
      </c>
      <c r="F5096" s="10" t="n">
        <v>0.1882323811757715</v>
      </c>
      <c r="G5096" s="11">
        <f>E5096*Summary!$B$6</f>
        <v/>
      </c>
      <c r="H5096" s="11">
        <f>F5096*Summary!$B$7</f>
        <v/>
      </c>
      <c r="I5096" s="11">
        <f>MAX(0,N5096-M5096)</f>
        <v/>
      </c>
      <c r="J5096" s="11">
        <f>MAX(0,M5096-N5096)</f>
        <v/>
      </c>
      <c r="K5096" s="11">
        <f>O5096</f>
        <v/>
      </c>
      <c r="L5096" s="11">
        <f>L5095+IF(K5096&gt;0,K5096*Summary!$B$9,K5096/Summary!$B$9)</f>
        <v/>
      </c>
      <c r="M5096" s="11">
        <f>G5096+H5096</f>
        <v/>
      </c>
      <c r="N5096" s="11">
        <f>Summary!$C$16*Summary!$B$8</f>
        <v/>
      </c>
      <c r="O5096" s="11">
        <f>M5096-N5096</f>
        <v/>
      </c>
    </row>
    <row r="5097">
      <c r="A5097" s="9" t="n">
        <v>45504.29166666666</v>
      </c>
      <c r="B5097" t="n">
        <v>7</v>
      </c>
      <c r="C5097" t="n">
        <v>31</v>
      </c>
      <c r="D5097" t="n">
        <v>7</v>
      </c>
      <c r="E5097" s="10" t="n">
        <v>0.260463</v>
      </c>
      <c r="F5097" s="10" t="n">
        <v>0.1794571630697191</v>
      </c>
      <c r="G5097" s="11">
        <f>E5097*Summary!$B$6</f>
        <v/>
      </c>
      <c r="H5097" s="11">
        <f>F5097*Summary!$B$7</f>
        <v/>
      </c>
      <c r="I5097" s="11">
        <f>MAX(0,N5097-M5097)</f>
        <v/>
      </c>
      <c r="J5097" s="11">
        <f>MAX(0,M5097-N5097)</f>
        <v/>
      </c>
      <c r="K5097" s="11">
        <f>O5097</f>
        <v/>
      </c>
      <c r="L5097" s="11">
        <f>L5096+IF(K5097&gt;0,K5097*Summary!$B$9,K5097/Summary!$B$9)</f>
        <v/>
      </c>
      <c r="M5097" s="11">
        <f>G5097+H5097</f>
        <v/>
      </c>
      <c r="N5097" s="11">
        <f>Summary!$C$16*Summary!$B$8</f>
        <v/>
      </c>
      <c r="O5097" s="11">
        <f>M5097-N5097</f>
        <v/>
      </c>
    </row>
    <row r="5098">
      <c r="A5098" s="9" t="n">
        <v>45504.33333333334</v>
      </c>
      <c r="B5098" t="n">
        <v>7</v>
      </c>
      <c r="C5098" t="n">
        <v>31</v>
      </c>
      <c r="D5098" t="n">
        <v>8</v>
      </c>
      <c r="E5098" s="10" t="n">
        <v>0.436228</v>
      </c>
      <c r="F5098" s="10" t="n">
        <v>0.1808274673985922</v>
      </c>
      <c r="G5098" s="11">
        <f>E5098*Summary!$B$6</f>
        <v/>
      </c>
      <c r="H5098" s="11">
        <f>F5098*Summary!$B$7</f>
        <v/>
      </c>
      <c r="I5098" s="11">
        <f>MAX(0,N5098-M5098)</f>
        <v/>
      </c>
      <c r="J5098" s="11">
        <f>MAX(0,M5098-N5098)</f>
        <v/>
      </c>
      <c r="K5098" s="11">
        <f>O5098</f>
        <v/>
      </c>
      <c r="L5098" s="11">
        <f>L5097+IF(K5098&gt;0,K5098*Summary!$B$9,K5098/Summary!$B$9)</f>
        <v/>
      </c>
      <c r="M5098" s="11">
        <f>G5098+H5098</f>
        <v/>
      </c>
      <c r="N5098" s="11">
        <f>Summary!$C$16*Summary!$B$8</f>
        <v/>
      </c>
      <c r="O5098" s="11">
        <f>M5098-N5098</f>
        <v/>
      </c>
    </row>
    <row r="5099">
      <c r="A5099" s="9" t="n">
        <v>45504.375</v>
      </c>
      <c r="B5099" t="n">
        <v>7</v>
      </c>
      <c r="C5099" t="n">
        <v>31</v>
      </c>
      <c r="D5099" t="n">
        <v>9</v>
      </c>
      <c r="E5099" s="10" t="n">
        <v>0.587678</v>
      </c>
      <c r="F5099" s="10" t="n">
        <v>0.1801423152341557</v>
      </c>
      <c r="G5099" s="11">
        <f>E5099*Summary!$B$6</f>
        <v/>
      </c>
      <c r="H5099" s="11">
        <f>F5099*Summary!$B$7</f>
        <v/>
      </c>
      <c r="I5099" s="11">
        <f>MAX(0,N5099-M5099)</f>
        <v/>
      </c>
      <c r="J5099" s="11">
        <f>MAX(0,M5099-N5099)</f>
        <v/>
      </c>
      <c r="K5099" s="11">
        <f>O5099</f>
        <v/>
      </c>
      <c r="L5099" s="11">
        <f>L5098+IF(K5099&gt;0,K5099*Summary!$B$9,K5099/Summary!$B$9)</f>
        <v/>
      </c>
      <c r="M5099" s="11">
        <f>G5099+H5099</f>
        <v/>
      </c>
      <c r="N5099" s="11">
        <f>Summary!$C$16*Summary!$B$8</f>
        <v/>
      </c>
      <c r="O5099" s="11">
        <f>M5099-N5099</f>
        <v/>
      </c>
    </row>
    <row r="5100">
      <c r="A5100" s="9" t="n">
        <v>45504.41666666666</v>
      </c>
      <c r="B5100" t="n">
        <v>7</v>
      </c>
      <c r="C5100" t="n">
        <v>31</v>
      </c>
      <c r="D5100" t="n">
        <v>10</v>
      </c>
      <c r="E5100" s="10" t="n">
        <v>0.702747</v>
      </c>
      <c r="F5100" s="10" t="n">
        <v>0.1802477232594536</v>
      </c>
      <c r="G5100" s="11">
        <f>E5100*Summary!$B$6</f>
        <v/>
      </c>
      <c r="H5100" s="11">
        <f>F5100*Summary!$B$7</f>
        <v/>
      </c>
      <c r="I5100" s="11">
        <f>MAX(0,N5100-M5100)</f>
        <v/>
      </c>
      <c r="J5100" s="11">
        <f>MAX(0,M5100-N5100)</f>
        <v/>
      </c>
      <c r="K5100" s="11">
        <f>O5100</f>
        <v/>
      </c>
      <c r="L5100" s="11">
        <f>L5099+IF(K5100&gt;0,K5100*Summary!$B$9,K5100/Summary!$B$9)</f>
        <v/>
      </c>
      <c r="M5100" s="11">
        <f>G5100+H5100</f>
        <v/>
      </c>
      <c r="N5100" s="11">
        <f>Summary!$C$16*Summary!$B$8</f>
        <v/>
      </c>
      <c r="O5100" s="11">
        <f>M5100-N5100</f>
        <v/>
      </c>
    </row>
    <row r="5101">
      <c r="A5101" s="9" t="n">
        <v>45504.45833333334</v>
      </c>
      <c r="B5101" t="n">
        <v>7</v>
      </c>
      <c r="C5101" t="n">
        <v>31</v>
      </c>
      <c r="D5101" t="n">
        <v>11</v>
      </c>
      <c r="E5101" s="10" t="n">
        <v>0.692933</v>
      </c>
      <c r="F5101" s="10" t="n">
        <v>0.1838579481259076</v>
      </c>
      <c r="G5101" s="11">
        <f>E5101*Summary!$B$6</f>
        <v/>
      </c>
      <c r="H5101" s="11">
        <f>F5101*Summary!$B$7</f>
        <v/>
      </c>
      <c r="I5101" s="11">
        <f>MAX(0,N5101-M5101)</f>
        <v/>
      </c>
      <c r="J5101" s="11">
        <f>MAX(0,M5101-N5101)</f>
        <v/>
      </c>
      <c r="K5101" s="11">
        <f>O5101</f>
        <v/>
      </c>
      <c r="L5101" s="11">
        <f>L5100+IF(K5101&gt;0,K5101*Summary!$B$9,K5101/Summary!$B$9)</f>
        <v/>
      </c>
      <c r="M5101" s="11">
        <f>G5101+H5101</f>
        <v/>
      </c>
      <c r="N5101" s="11">
        <f>Summary!$C$16*Summary!$B$8</f>
        <v/>
      </c>
      <c r="O5101" s="11">
        <f>M5101-N5101</f>
        <v/>
      </c>
    </row>
    <row r="5102">
      <c r="A5102" s="9" t="n">
        <v>45504.5</v>
      </c>
      <c r="B5102" t="n">
        <v>7</v>
      </c>
      <c r="C5102" t="n">
        <v>31</v>
      </c>
      <c r="D5102" t="n">
        <v>12</v>
      </c>
      <c r="E5102" s="10" t="n">
        <v>0.7527470000000001</v>
      </c>
      <c r="F5102" s="10" t="n">
        <v>0.1812490994997839</v>
      </c>
      <c r="G5102" s="11">
        <f>E5102*Summary!$B$6</f>
        <v/>
      </c>
      <c r="H5102" s="11">
        <f>F5102*Summary!$B$7</f>
        <v/>
      </c>
      <c r="I5102" s="11">
        <f>MAX(0,N5102-M5102)</f>
        <v/>
      </c>
      <c r="J5102" s="11">
        <f>MAX(0,M5102-N5102)</f>
        <v/>
      </c>
      <c r="K5102" s="11">
        <f>O5102</f>
        <v/>
      </c>
      <c r="L5102" s="11">
        <f>L5101+IF(K5102&gt;0,K5102*Summary!$B$9,K5102/Summary!$B$9)</f>
        <v/>
      </c>
      <c r="M5102" s="11">
        <f>G5102+H5102</f>
        <v/>
      </c>
      <c r="N5102" s="11">
        <f>Summary!$C$16*Summary!$B$8</f>
        <v/>
      </c>
      <c r="O5102" s="11">
        <f>M5102-N5102</f>
        <v/>
      </c>
    </row>
    <row r="5103">
      <c r="A5103" s="9" t="n">
        <v>45504.54166666666</v>
      </c>
      <c r="B5103" t="n">
        <v>7</v>
      </c>
      <c r="C5103" t="n">
        <v>31</v>
      </c>
      <c r="D5103" t="n">
        <v>13</v>
      </c>
      <c r="E5103" s="10" t="n">
        <v>0.754058</v>
      </c>
      <c r="F5103" s="10" t="n">
        <v>0.1788774189305805</v>
      </c>
      <c r="G5103" s="11">
        <f>E5103*Summary!$B$6</f>
        <v/>
      </c>
      <c r="H5103" s="11">
        <f>F5103*Summary!$B$7</f>
        <v/>
      </c>
      <c r="I5103" s="11">
        <f>MAX(0,N5103-M5103)</f>
        <v/>
      </c>
      <c r="J5103" s="11">
        <f>MAX(0,M5103-N5103)</f>
        <v/>
      </c>
      <c r="K5103" s="11">
        <f>O5103</f>
        <v/>
      </c>
      <c r="L5103" s="11">
        <f>L5102+IF(K5103&gt;0,K5103*Summary!$B$9,K5103/Summary!$B$9)</f>
        <v/>
      </c>
      <c r="M5103" s="11">
        <f>G5103+H5103</f>
        <v/>
      </c>
      <c r="N5103" s="11">
        <f>Summary!$C$16*Summary!$B$8</f>
        <v/>
      </c>
      <c r="O5103" s="11">
        <f>M5103-N5103</f>
        <v/>
      </c>
    </row>
    <row r="5104">
      <c r="A5104" s="9" t="n">
        <v>45504.58333333334</v>
      </c>
      <c r="B5104" t="n">
        <v>7</v>
      </c>
      <c r="C5104" t="n">
        <v>31</v>
      </c>
      <c r="D5104" t="n">
        <v>14</v>
      </c>
      <c r="E5104" s="10" t="n">
        <v>0.67827</v>
      </c>
      <c r="F5104" s="10" t="n">
        <v>0.1801159632278312</v>
      </c>
      <c r="G5104" s="11">
        <f>E5104*Summary!$B$6</f>
        <v/>
      </c>
      <c r="H5104" s="11">
        <f>F5104*Summary!$B$7</f>
        <v/>
      </c>
      <c r="I5104" s="11">
        <f>MAX(0,N5104-M5104)</f>
        <v/>
      </c>
      <c r="J5104" s="11">
        <f>MAX(0,M5104-N5104)</f>
        <v/>
      </c>
      <c r="K5104" s="11">
        <f>O5104</f>
        <v/>
      </c>
      <c r="L5104" s="11">
        <f>L5103+IF(K5104&gt;0,K5104*Summary!$B$9,K5104/Summary!$B$9)</f>
        <v/>
      </c>
      <c r="M5104" s="11">
        <f>G5104+H5104</f>
        <v/>
      </c>
      <c r="N5104" s="11">
        <f>Summary!$C$16*Summary!$B$8</f>
        <v/>
      </c>
      <c r="O5104" s="11">
        <f>M5104-N5104</f>
        <v/>
      </c>
    </row>
    <row r="5105">
      <c r="A5105" s="9" t="n">
        <v>45504.625</v>
      </c>
      <c r="B5105" t="n">
        <v>7</v>
      </c>
      <c r="C5105" t="n">
        <v>31</v>
      </c>
      <c r="D5105" t="n">
        <v>15</v>
      </c>
      <c r="E5105" s="10" t="n">
        <v>0.404674</v>
      </c>
      <c r="F5105" s="10" t="n">
        <v>0.1531842127642111</v>
      </c>
      <c r="G5105" s="11">
        <f>E5105*Summary!$B$6</f>
        <v/>
      </c>
      <c r="H5105" s="11">
        <f>F5105*Summary!$B$7</f>
        <v/>
      </c>
      <c r="I5105" s="11">
        <f>MAX(0,N5105-M5105)</f>
        <v/>
      </c>
      <c r="J5105" s="11">
        <f>MAX(0,M5105-N5105)</f>
        <v/>
      </c>
      <c r="K5105" s="11">
        <f>O5105</f>
        <v/>
      </c>
      <c r="L5105" s="11">
        <f>L5104+IF(K5105&gt;0,K5105*Summary!$B$9,K5105/Summary!$B$9)</f>
        <v/>
      </c>
      <c r="M5105" s="11">
        <f>G5105+H5105</f>
        <v/>
      </c>
      <c r="N5105" s="11">
        <f>Summary!$C$16*Summary!$B$8</f>
        <v/>
      </c>
      <c r="O5105" s="11">
        <f>M5105-N5105</f>
        <v/>
      </c>
    </row>
    <row r="5106">
      <c r="A5106" s="9" t="n">
        <v>45504.66666666666</v>
      </c>
      <c r="B5106" t="n">
        <v>7</v>
      </c>
      <c r="C5106" t="n">
        <v>31</v>
      </c>
      <c r="D5106" t="n">
        <v>16</v>
      </c>
      <c r="E5106" s="10" t="n">
        <v>0.361031</v>
      </c>
      <c r="F5106" s="10" t="n">
        <v>0.168336616400788</v>
      </c>
      <c r="G5106" s="11">
        <f>E5106*Summary!$B$6</f>
        <v/>
      </c>
      <c r="H5106" s="11">
        <f>F5106*Summary!$B$7</f>
        <v/>
      </c>
      <c r="I5106" s="11">
        <f>MAX(0,N5106-M5106)</f>
        <v/>
      </c>
      <c r="J5106" s="11">
        <f>MAX(0,M5106-N5106)</f>
        <v/>
      </c>
      <c r="K5106" s="11">
        <f>O5106</f>
        <v/>
      </c>
      <c r="L5106" s="11">
        <f>L5105+IF(K5106&gt;0,K5106*Summary!$B$9,K5106/Summary!$B$9)</f>
        <v/>
      </c>
      <c r="M5106" s="11">
        <f>G5106+H5106</f>
        <v/>
      </c>
      <c r="N5106" s="11">
        <f>Summary!$C$16*Summary!$B$8</f>
        <v/>
      </c>
      <c r="O5106" s="11">
        <f>M5106-N5106</f>
        <v/>
      </c>
    </row>
    <row r="5107">
      <c r="A5107" s="9" t="n">
        <v>45504.70833333334</v>
      </c>
      <c r="B5107" t="n">
        <v>7</v>
      </c>
      <c r="C5107" t="n">
        <v>31</v>
      </c>
      <c r="D5107" t="n">
        <v>17</v>
      </c>
      <c r="E5107" s="10" t="n">
        <v>0.10877</v>
      </c>
      <c r="F5107" s="10" t="n">
        <v>0.1581120379468891</v>
      </c>
      <c r="G5107" s="11">
        <f>E5107*Summary!$B$6</f>
        <v/>
      </c>
      <c r="H5107" s="11">
        <f>F5107*Summary!$B$7</f>
        <v/>
      </c>
      <c r="I5107" s="11">
        <f>MAX(0,N5107-M5107)</f>
        <v/>
      </c>
      <c r="J5107" s="11">
        <f>MAX(0,M5107-N5107)</f>
        <v/>
      </c>
      <c r="K5107" s="11">
        <f>O5107</f>
        <v/>
      </c>
      <c r="L5107" s="11">
        <f>L5106+IF(K5107&gt;0,K5107*Summary!$B$9,K5107/Summary!$B$9)</f>
        <v/>
      </c>
      <c r="M5107" s="11">
        <f>G5107+H5107</f>
        <v/>
      </c>
      <c r="N5107" s="11">
        <f>Summary!$C$16*Summary!$B$8</f>
        <v/>
      </c>
      <c r="O5107" s="11">
        <f>M5107-N5107</f>
        <v/>
      </c>
    </row>
    <row r="5108">
      <c r="A5108" s="9" t="n">
        <v>45504.75</v>
      </c>
      <c r="B5108" t="n">
        <v>7</v>
      </c>
      <c r="C5108" t="n">
        <v>31</v>
      </c>
      <c r="D5108" t="n">
        <v>18</v>
      </c>
      <c r="E5108" s="10" t="n">
        <v>0.06729</v>
      </c>
      <c r="F5108" s="10" t="n">
        <v>0.1495476358914326</v>
      </c>
      <c r="G5108" s="11">
        <f>E5108*Summary!$B$6</f>
        <v/>
      </c>
      <c r="H5108" s="11">
        <f>F5108*Summary!$B$7</f>
        <v/>
      </c>
      <c r="I5108" s="11">
        <f>MAX(0,N5108-M5108)</f>
        <v/>
      </c>
      <c r="J5108" s="11">
        <f>MAX(0,M5108-N5108)</f>
        <v/>
      </c>
      <c r="K5108" s="11">
        <f>O5108</f>
        <v/>
      </c>
      <c r="L5108" s="11">
        <f>L5107+IF(K5108&gt;0,K5108*Summary!$B$9,K5108/Summary!$B$9)</f>
        <v/>
      </c>
      <c r="M5108" s="11">
        <f>G5108+H5108</f>
        <v/>
      </c>
      <c r="N5108" s="11">
        <f>Summary!$C$16*Summary!$B$8</f>
        <v/>
      </c>
      <c r="O5108" s="11">
        <f>M5108-N5108</f>
        <v/>
      </c>
    </row>
    <row r="5109">
      <c r="A5109" s="9" t="n">
        <v>45504.79166666666</v>
      </c>
      <c r="B5109" t="n">
        <v>7</v>
      </c>
      <c r="C5109" t="n">
        <v>31</v>
      </c>
      <c r="D5109" t="n">
        <v>19</v>
      </c>
      <c r="E5109" s="10" t="n">
        <v>0.030319</v>
      </c>
      <c r="F5109" s="10" t="n">
        <v>0.1460691710566011</v>
      </c>
      <c r="G5109" s="11">
        <f>E5109*Summary!$B$6</f>
        <v/>
      </c>
      <c r="H5109" s="11">
        <f>F5109*Summary!$B$7</f>
        <v/>
      </c>
      <c r="I5109" s="11">
        <f>MAX(0,N5109-M5109)</f>
        <v/>
      </c>
      <c r="J5109" s="11">
        <f>MAX(0,M5109-N5109)</f>
        <v/>
      </c>
      <c r="K5109" s="11">
        <f>O5109</f>
        <v/>
      </c>
      <c r="L5109" s="11">
        <f>L5108+IF(K5109&gt;0,K5109*Summary!$B$9,K5109/Summary!$B$9)</f>
        <v/>
      </c>
      <c r="M5109" s="11">
        <f>G5109+H5109</f>
        <v/>
      </c>
      <c r="N5109" s="11">
        <f>Summary!$C$16*Summary!$B$8</f>
        <v/>
      </c>
      <c r="O5109" s="11">
        <f>M5109-N5109</f>
        <v/>
      </c>
    </row>
    <row r="5110">
      <c r="A5110" s="9" t="n">
        <v>45504.83333333334</v>
      </c>
      <c r="B5110" t="n">
        <v>7</v>
      </c>
      <c r="C5110" t="n">
        <v>31</v>
      </c>
      <c r="D5110" t="n">
        <v>20</v>
      </c>
      <c r="E5110" s="10" t="n">
        <v>0</v>
      </c>
      <c r="F5110" s="10" t="n">
        <v>0.1510233482456036</v>
      </c>
      <c r="G5110" s="11">
        <f>E5110*Summary!$B$6</f>
        <v/>
      </c>
      <c r="H5110" s="11">
        <f>F5110*Summary!$B$7</f>
        <v/>
      </c>
      <c r="I5110" s="11">
        <f>MAX(0,N5110-M5110)</f>
        <v/>
      </c>
      <c r="J5110" s="11">
        <f>MAX(0,M5110-N5110)</f>
        <v/>
      </c>
      <c r="K5110" s="11">
        <f>O5110</f>
        <v/>
      </c>
      <c r="L5110" s="11">
        <f>L5109+IF(K5110&gt;0,K5110*Summary!$B$9,K5110/Summary!$B$9)</f>
        <v/>
      </c>
      <c r="M5110" s="11">
        <f>G5110+H5110</f>
        <v/>
      </c>
      <c r="N5110" s="11">
        <f>Summary!$C$16*Summary!$B$8</f>
        <v/>
      </c>
      <c r="O5110" s="11">
        <f>M5110-N5110</f>
        <v/>
      </c>
    </row>
    <row r="5111">
      <c r="A5111" s="9" t="n">
        <v>45504.875</v>
      </c>
      <c r="B5111" t="n">
        <v>7</v>
      </c>
      <c r="C5111" t="n">
        <v>31</v>
      </c>
      <c r="D5111" t="n">
        <v>21</v>
      </c>
      <c r="E5111" s="10" t="n">
        <v>0</v>
      </c>
      <c r="F5111" s="10" t="n">
        <v>0.1586127260670543</v>
      </c>
      <c r="G5111" s="11">
        <f>E5111*Summary!$B$6</f>
        <v/>
      </c>
      <c r="H5111" s="11">
        <f>F5111*Summary!$B$7</f>
        <v/>
      </c>
      <c r="I5111" s="11">
        <f>MAX(0,N5111-M5111)</f>
        <v/>
      </c>
      <c r="J5111" s="11">
        <f>MAX(0,M5111-N5111)</f>
        <v/>
      </c>
      <c r="K5111" s="11">
        <f>O5111</f>
        <v/>
      </c>
      <c r="L5111" s="11">
        <f>L5110+IF(K5111&gt;0,K5111*Summary!$B$9,K5111/Summary!$B$9)</f>
        <v/>
      </c>
      <c r="M5111" s="11">
        <f>G5111+H5111</f>
        <v/>
      </c>
      <c r="N5111" s="11">
        <f>Summary!$C$16*Summary!$B$8</f>
        <v/>
      </c>
      <c r="O5111" s="11">
        <f>M5111-N5111</f>
        <v/>
      </c>
    </row>
    <row r="5112">
      <c r="A5112" s="9" t="n">
        <v>45504.91666666666</v>
      </c>
      <c r="B5112" t="n">
        <v>7</v>
      </c>
      <c r="C5112" t="n">
        <v>31</v>
      </c>
      <c r="D5112" t="n">
        <v>22</v>
      </c>
      <c r="E5112" s="10" t="n">
        <v>0</v>
      </c>
      <c r="F5112" s="10" t="n">
        <v>0.1653061356734726</v>
      </c>
      <c r="G5112" s="11">
        <f>E5112*Summary!$B$6</f>
        <v/>
      </c>
      <c r="H5112" s="11">
        <f>F5112*Summary!$B$7</f>
        <v/>
      </c>
      <c r="I5112" s="11">
        <f>MAX(0,N5112-M5112)</f>
        <v/>
      </c>
      <c r="J5112" s="11">
        <f>MAX(0,M5112-N5112)</f>
        <v/>
      </c>
      <c r="K5112" s="11">
        <f>O5112</f>
        <v/>
      </c>
      <c r="L5112" s="11">
        <f>L5111+IF(K5112&gt;0,K5112*Summary!$B$9,K5112/Summary!$B$9)</f>
        <v/>
      </c>
      <c r="M5112" s="11">
        <f>G5112+H5112</f>
        <v/>
      </c>
      <c r="N5112" s="11">
        <f>Summary!$C$16*Summary!$B$8</f>
        <v/>
      </c>
      <c r="O5112" s="11">
        <f>M5112-N5112</f>
        <v/>
      </c>
    </row>
    <row r="5113">
      <c r="A5113" s="9" t="n">
        <v>45504.95833333334</v>
      </c>
      <c r="B5113" t="n">
        <v>7</v>
      </c>
      <c r="C5113" t="n">
        <v>31</v>
      </c>
      <c r="D5113" t="n">
        <v>23</v>
      </c>
      <c r="E5113" s="10" t="n">
        <v>0</v>
      </c>
      <c r="F5113" s="10" t="n">
        <v>0.164620983509036</v>
      </c>
      <c r="G5113" s="11">
        <f>E5113*Summary!$B$6</f>
        <v/>
      </c>
      <c r="H5113" s="11">
        <f>F5113*Summary!$B$7</f>
        <v/>
      </c>
      <c r="I5113" s="11">
        <f>MAX(0,N5113-M5113)</f>
        <v/>
      </c>
      <c r="J5113" s="11">
        <f>MAX(0,M5113-N5113)</f>
        <v/>
      </c>
      <c r="K5113" s="11">
        <f>O5113</f>
        <v/>
      </c>
      <c r="L5113" s="11">
        <f>L5112+IF(K5113&gt;0,K5113*Summary!$B$9,K5113/Summary!$B$9)</f>
        <v/>
      </c>
      <c r="M5113" s="11">
        <f>G5113+H5113</f>
        <v/>
      </c>
      <c r="N5113" s="11">
        <f>Summary!$C$16*Summary!$B$8</f>
        <v/>
      </c>
      <c r="O5113" s="11">
        <f>M5113-N5113</f>
        <v/>
      </c>
    </row>
    <row r="5114">
      <c r="A5114" s="9" t="n">
        <v>45505</v>
      </c>
      <c r="B5114" t="n">
        <v>8</v>
      </c>
      <c r="C5114" t="n">
        <v>1</v>
      </c>
      <c r="D5114" t="n">
        <v>0</v>
      </c>
      <c r="E5114" s="10" t="n">
        <v>0</v>
      </c>
      <c r="F5114" s="10" t="n">
        <v>0.1546335731120576</v>
      </c>
      <c r="G5114" s="11">
        <f>E5114*Summary!$B$6</f>
        <v/>
      </c>
      <c r="H5114" s="11">
        <f>F5114*Summary!$B$7</f>
        <v/>
      </c>
      <c r="I5114" s="11">
        <f>MAX(0,N5114-M5114)</f>
        <v/>
      </c>
      <c r="J5114" s="11">
        <f>MAX(0,M5114-N5114)</f>
        <v/>
      </c>
      <c r="K5114" s="11">
        <f>O5114</f>
        <v/>
      </c>
      <c r="L5114" s="11">
        <f>L5113+IF(K5114&gt;0,K5114*Summary!$B$9,K5114/Summary!$B$9)</f>
        <v/>
      </c>
      <c r="M5114" s="11">
        <f>G5114+H5114</f>
        <v/>
      </c>
      <c r="N5114" s="11">
        <f>Summary!$C$16*Summary!$B$8</f>
        <v/>
      </c>
      <c r="O5114" s="11">
        <f>M5114-N5114</f>
        <v/>
      </c>
    </row>
    <row r="5115">
      <c r="A5115" s="9" t="n">
        <v>45505.04166666666</v>
      </c>
      <c r="B5115" t="n">
        <v>8</v>
      </c>
      <c r="C5115" t="n">
        <v>1</v>
      </c>
      <c r="D5115" t="n">
        <v>1</v>
      </c>
      <c r="E5115" s="10" t="n">
        <v>0</v>
      </c>
      <c r="F5115" s="10" t="n">
        <v>0.1562410454978509</v>
      </c>
      <c r="G5115" s="11">
        <f>E5115*Summary!$B$6</f>
        <v/>
      </c>
      <c r="H5115" s="11">
        <f>F5115*Summary!$B$7</f>
        <v/>
      </c>
      <c r="I5115" s="11">
        <f>MAX(0,N5115-M5115)</f>
        <v/>
      </c>
      <c r="J5115" s="11">
        <f>MAX(0,M5115-N5115)</f>
        <v/>
      </c>
      <c r="K5115" s="11">
        <f>O5115</f>
        <v/>
      </c>
      <c r="L5115" s="11">
        <f>L5114+IF(K5115&gt;0,K5115*Summary!$B$9,K5115/Summary!$B$9)</f>
        <v/>
      </c>
      <c r="M5115" s="11">
        <f>G5115+H5115</f>
        <v/>
      </c>
      <c r="N5115" s="11">
        <f>Summary!$C$16*Summary!$B$8</f>
        <v/>
      </c>
      <c r="O5115" s="11">
        <f>M5115-N5115</f>
        <v/>
      </c>
    </row>
    <row r="5116">
      <c r="A5116" s="9" t="n">
        <v>45505.08333333334</v>
      </c>
      <c r="B5116" t="n">
        <v>8</v>
      </c>
      <c r="C5116" t="n">
        <v>1</v>
      </c>
      <c r="D5116" t="n">
        <v>2</v>
      </c>
      <c r="E5116" s="10" t="n">
        <v>0</v>
      </c>
      <c r="F5116" s="10" t="n">
        <v>0.150390900093816</v>
      </c>
      <c r="G5116" s="11">
        <f>E5116*Summary!$B$6</f>
        <v/>
      </c>
      <c r="H5116" s="11">
        <f>F5116*Summary!$B$7</f>
        <v/>
      </c>
      <c r="I5116" s="11">
        <f>MAX(0,N5116-M5116)</f>
        <v/>
      </c>
      <c r="J5116" s="11">
        <f>MAX(0,M5116-N5116)</f>
        <v/>
      </c>
      <c r="K5116" s="11">
        <f>O5116</f>
        <v/>
      </c>
      <c r="L5116" s="11">
        <f>L5115+IF(K5116&gt;0,K5116*Summary!$B$9,K5116/Summary!$B$9)</f>
        <v/>
      </c>
      <c r="M5116" s="11">
        <f>G5116+H5116</f>
        <v/>
      </c>
      <c r="N5116" s="11">
        <f>Summary!$C$16*Summary!$B$8</f>
        <v/>
      </c>
      <c r="O5116" s="11">
        <f>M5116-N5116</f>
        <v/>
      </c>
    </row>
    <row r="5117">
      <c r="A5117" s="9" t="n">
        <v>45505.125</v>
      </c>
      <c r="B5117" t="n">
        <v>8</v>
      </c>
      <c r="C5117" t="n">
        <v>1</v>
      </c>
      <c r="D5117" t="n">
        <v>3</v>
      </c>
      <c r="E5117" s="10" t="n">
        <v>0</v>
      </c>
      <c r="F5117" s="10" t="n">
        <v>0.1453576668858401</v>
      </c>
      <c r="G5117" s="11">
        <f>E5117*Summary!$B$6</f>
        <v/>
      </c>
      <c r="H5117" s="11">
        <f>F5117*Summary!$B$7</f>
        <v/>
      </c>
      <c r="I5117" s="11">
        <f>MAX(0,N5117-M5117)</f>
        <v/>
      </c>
      <c r="J5117" s="11">
        <f>MAX(0,M5117-N5117)</f>
        <v/>
      </c>
      <c r="K5117" s="11">
        <f>O5117</f>
        <v/>
      </c>
      <c r="L5117" s="11">
        <f>L5116+IF(K5117&gt;0,K5117*Summary!$B$9,K5117/Summary!$B$9)</f>
        <v/>
      </c>
      <c r="M5117" s="11">
        <f>G5117+H5117</f>
        <v/>
      </c>
      <c r="N5117" s="11">
        <f>Summary!$C$16*Summary!$B$8</f>
        <v/>
      </c>
      <c r="O5117" s="11">
        <f>M5117-N5117</f>
        <v/>
      </c>
    </row>
    <row r="5118">
      <c r="A5118" s="9" t="n">
        <v>45505.16666666666</v>
      </c>
      <c r="B5118" t="n">
        <v>8</v>
      </c>
      <c r="C5118" t="n">
        <v>1</v>
      </c>
      <c r="D5118" t="n">
        <v>4</v>
      </c>
      <c r="E5118" s="10" t="n">
        <v>0.009508000000000001</v>
      </c>
      <c r="F5118" s="10" t="n">
        <v>0.1402453776588906</v>
      </c>
      <c r="G5118" s="11">
        <f>E5118*Summary!$B$6</f>
        <v/>
      </c>
      <c r="H5118" s="11">
        <f>F5118*Summary!$B$7</f>
        <v/>
      </c>
      <c r="I5118" s="11">
        <f>MAX(0,N5118-M5118)</f>
        <v/>
      </c>
      <c r="J5118" s="11">
        <f>MAX(0,M5118-N5118)</f>
        <v/>
      </c>
      <c r="K5118" s="11">
        <f>O5118</f>
        <v/>
      </c>
      <c r="L5118" s="11">
        <f>L5117+IF(K5118&gt;0,K5118*Summary!$B$9,K5118/Summary!$B$9)</f>
        <v/>
      </c>
      <c r="M5118" s="11">
        <f>G5118+H5118</f>
        <v/>
      </c>
      <c r="N5118" s="11">
        <f>Summary!$C$16*Summary!$B$8</f>
        <v/>
      </c>
      <c r="O5118" s="11">
        <f>M5118-N5118</f>
        <v/>
      </c>
    </row>
    <row r="5119">
      <c r="A5119" s="9" t="n">
        <v>45505.20833333334</v>
      </c>
      <c r="B5119" t="n">
        <v>8</v>
      </c>
      <c r="C5119" t="n">
        <v>1</v>
      </c>
      <c r="D5119" t="n">
        <v>5</v>
      </c>
      <c r="E5119" s="10" t="n">
        <v>0.035412</v>
      </c>
      <c r="F5119" s="10" t="n">
        <v>0.1087283780948107</v>
      </c>
      <c r="G5119" s="11">
        <f>E5119*Summary!$B$6</f>
        <v/>
      </c>
      <c r="H5119" s="11">
        <f>F5119*Summary!$B$7</f>
        <v/>
      </c>
      <c r="I5119" s="11">
        <f>MAX(0,N5119-M5119)</f>
        <v/>
      </c>
      <c r="J5119" s="11">
        <f>MAX(0,M5119-N5119)</f>
        <v/>
      </c>
      <c r="K5119" s="11">
        <f>O5119</f>
        <v/>
      </c>
      <c r="L5119" s="11">
        <f>L5118+IF(K5119&gt;0,K5119*Summary!$B$9,K5119/Summary!$B$9)</f>
        <v/>
      </c>
      <c r="M5119" s="11">
        <f>G5119+H5119</f>
        <v/>
      </c>
      <c r="N5119" s="11">
        <f>Summary!$C$16*Summary!$B$8</f>
        <v/>
      </c>
      <c r="O5119" s="11">
        <f>M5119-N5119</f>
        <v/>
      </c>
    </row>
    <row r="5120">
      <c r="A5120" s="9" t="n">
        <v>45505.25</v>
      </c>
      <c r="B5120" t="n">
        <v>8</v>
      </c>
      <c r="C5120" t="n">
        <v>1</v>
      </c>
      <c r="D5120" t="n">
        <v>6</v>
      </c>
      <c r="E5120" s="10" t="n">
        <v>0.09052300000000001</v>
      </c>
      <c r="F5120" s="10" t="n">
        <v>0.1105730185375244</v>
      </c>
      <c r="G5120" s="11">
        <f>E5120*Summary!$B$6</f>
        <v/>
      </c>
      <c r="H5120" s="11">
        <f>F5120*Summary!$B$7</f>
        <v/>
      </c>
      <c r="I5120" s="11">
        <f>MAX(0,N5120-M5120)</f>
        <v/>
      </c>
      <c r="J5120" s="11">
        <f>MAX(0,M5120-N5120)</f>
        <v/>
      </c>
      <c r="K5120" s="11">
        <f>O5120</f>
        <v/>
      </c>
      <c r="L5120" s="11">
        <f>L5119+IF(K5120&gt;0,K5120*Summary!$B$9,K5120/Summary!$B$9)</f>
        <v/>
      </c>
      <c r="M5120" s="11">
        <f>G5120+H5120</f>
        <v/>
      </c>
      <c r="N5120" s="11">
        <f>Summary!$C$16*Summary!$B$8</f>
        <v/>
      </c>
      <c r="O5120" s="11">
        <f>M5120-N5120</f>
        <v/>
      </c>
    </row>
    <row r="5121">
      <c r="A5121" s="9" t="n">
        <v>45505.29166666666</v>
      </c>
      <c r="B5121" t="n">
        <v>8</v>
      </c>
      <c r="C5121" t="n">
        <v>1</v>
      </c>
      <c r="D5121" t="n">
        <v>7</v>
      </c>
      <c r="E5121" s="10" t="n">
        <v>0.147088</v>
      </c>
      <c r="F5121" s="10" t="n">
        <v>0.1047228731334896</v>
      </c>
      <c r="G5121" s="11">
        <f>E5121*Summary!$B$6</f>
        <v/>
      </c>
      <c r="H5121" s="11">
        <f>F5121*Summary!$B$7</f>
        <v/>
      </c>
      <c r="I5121" s="11">
        <f>MAX(0,N5121-M5121)</f>
        <v/>
      </c>
      <c r="J5121" s="11">
        <f>MAX(0,M5121-N5121)</f>
        <v/>
      </c>
      <c r="K5121" s="11">
        <f>O5121</f>
        <v/>
      </c>
      <c r="L5121" s="11">
        <f>L5120+IF(K5121&gt;0,K5121*Summary!$B$9,K5121/Summary!$B$9)</f>
        <v/>
      </c>
      <c r="M5121" s="11">
        <f>G5121+H5121</f>
        <v/>
      </c>
      <c r="N5121" s="11">
        <f>Summary!$C$16*Summary!$B$8</f>
        <v/>
      </c>
      <c r="O5121" s="11">
        <f>M5121-N5121</f>
        <v/>
      </c>
    </row>
    <row r="5122">
      <c r="A5122" s="9" t="n">
        <v>45505.33333333334</v>
      </c>
      <c r="B5122" t="n">
        <v>8</v>
      </c>
      <c r="C5122" t="n">
        <v>1</v>
      </c>
      <c r="D5122" t="n">
        <v>8</v>
      </c>
      <c r="E5122" s="10" t="n">
        <v>0.303561</v>
      </c>
      <c r="F5122" s="10" t="n">
        <v>0.1046965211271651</v>
      </c>
      <c r="G5122" s="11">
        <f>E5122*Summary!$B$6</f>
        <v/>
      </c>
      <c r="H5122" s="11">
        <f>F5122*Summary!$B$7</f>
        <v/>
      </c>
      <c r="I5122" s="11">
        <f>MAX(0,N5122-M5122)</f>
        <v/>
      </c>
      <c r="J5122" s="11">
        <f>MAX(0,M5122-N5122)</f>
        <v/>
      </c>
      <c r="K5122" s="11">
        <f>O5122</f>
        <v/>
      </c>
      <c r="L5122" s="11">
        <f>L5121+IF(K5122&gt;0,K5122*Summary!$B$9,K5122/Summary!$B$9)</f>
        <v/>
      </c>
      <c r="M5122" s="11">
        <f>G5122+H5122</f>
        <v/>
      </c>
      <c r="N5122" s="11">
        <f>Summary!$C$16*Summary!$B$8</f>
        <v/>
      </c>
      <c r="O5122" s="11">
        <f>M5122-N5122</f>
        <v/>
      </c>
    </row>
    <row r="5123">
      <c r="A5123" s="9" t="n">
        <v>45505.375</v>
      </c>
      <c r="B5123" t="n">
        <v>8</v>
      </c>
      <c r="C5123" t="n">
        <v>1</v>
      </c>
      <c r="D5123" t="n">
        <v>9</v>
      </c>
      <c r="E5123" s="10" t="n">
        <v>0.420625</v>
      </c>
      <c r="F5123" s="10" t="n">
        <v>0.1061458814750116</v>
      </c>
      <c r="G5123" s="11">
        <f>E5123*Summary!$B$6</f>
        <v/>
      </c>
      <c r="H5123" s="11">
        <f>F5123*Summary!$B$7</f>
        <v/>
      </c>
      <c r="I5123" s="11">
        <f>MAX(0,N5123-M5123)</f>
        <v/>
      </c>
      <c r="J5123" s="11">
        <f>MAX(0,M5123-N5123)</f>
        <v/>
      </c>
      <c r="K5123" s="11">
        <f>O5123</f>
        <v/>
      </c>
      <c r="L5123" s="11">
        <f>L5122+IF(K5123&gt;0,K5123*Summary!$B$9,K5123/Summary!$B$9)</f>
        <v/>
      </c>
      <c r="M5123" s="11">
        <f>G5123+H5123</f>
        <v/>
      </c>
      <c r="N5123" s="11">
        <f>Summary!$C$16*Summary!$B$8</f>
        <v/>
      </c>
      <c r="O5123" s="11">
        <f>M5123-N5123</f>
        <v/>
      </c>
    </row>
    <row r="5124">
      <c r="A5124" s="9" t="n">
        <v>45505.41666666666</v>
      </c>
      <c r="B5124" t="n">
        <v>8</v>
      </c>
      <c r="C5124" t="n">
        <v>1</v>
      </c>
      <c r="D5124" t="n">
        <v>10</v>
      </c>
      <c r="E5124" s="10" t="n">
        <v>0.500474</v>
      </c>
      <c r="F5124" s="10" t="n">
        <v>0.1127865870687809</v>
      </c>
      <c r="G5124" s="11">
        <f>E5124*Summary!$B$6</f>
        <v/>
      </c>
      <c r="H5124" s="11">
        <f>F5124*Summary!$B$7</f>
        <v/>
      </c>
      <c r="I5124" s="11">
        <f>MAX(0,N5124-M5124)</f>
        <v/>
      </c>
      <c r="J5124" s="11">
        <f>MAX(0,M5124-N5124)</f>
        <v/>
      </c>
      <c r="K5124" s="11">
        <f>O5124</f>
        <v/>
      </c>
      <c r="L5124" s="11">
        <f>L5123+IF(K5124&gt;0,K5124*Summary!$B$9,K5124/Summary!$B$9)</f>
        <v/>
      </c>
      <c r="M5124" s="11">
        <f>G5124+H5124</f>
        <v/>
      </c>
      <c r="N5124" s="11">
        <f>Summary!$C$16*Summary!$B$8</f>
        <v/>
      </c>
      <c r="O5124" s="11">
        <f>M5124-N5124</f>
        <v/>
      </c>
    </row>
    <row r="5125">
      <c r="A5125" s="9" t="n">
        <v>45505.45833333334</v>
      </c>
      <c r="B5125" t="n">
        <v>8</v>
      </c>
      <c r="C5125" t="n">
        <v>1</v>
      </c>
      <c r="D5125" t="n">
        <v>11</v>
      </c>
      <c r="E5125" s="10" t="n">
        <v>0.501368</v>
      </c>
      <c r="F5125" s="10" t="n">
        <v>0.1203232608775826</v>
      </c>
      <c r="G5125" s="11">
        <f>E5125*Summary!$B$6</f>
        <v/>
      </c>
      <c r="H5125" s="11">
        <f>F5125*Summary!$B$7</f>
        <v/>
      </c>
      <c r="I5125" s="11">
        <f>MAX(0,N5125-M5125)</f>
        <v/>
      </c>
      <c r="J5125" s="11">
        <f>MAX(0,M5125-N5125)</f>
        <v/>
      </c>
      <c r="K5125" s="11">
        <f>O5125</f>
        <v/>
      </c>
      <c r="L5125" s="11">
        <f>L5124+IF(K5125&gt;0,K5125*Summary!$B$9,K5125/Summary!$B$9)</f>
        <v/>
      </c>
      <c r="M5125" s="11">
        <f>G5125+H5125</f>
        <v/>
      </c>
      <c r="N5125" s="11">
        <f>Summary!$C$16*Summary!$B$8</f>
        <v/>
      </c>
      <c r="O5125" s="11">
        <f>M5125-N5125</f>
        <v/>
      </c>
    </row>
    <row r="5126">
      <c r="A5126" s="9" t="n">
        <v>45505.5</v>
      </c>
      <c r="B5126" t="n">
        <v>8</v>
      </c>
      <c r="C5126" t="n">
        <v>1</v>
      </c>
      <c r="D5126" t="n">
        <v>12</v>
      </c>
      <c r="E5126" s="10" t="n">
        <v>0.726262</v>
      </c>
      <c r="F5126" s="10" t="n">
        <v>0.1409568818296516</v>
      </c>
      <c r="G5126" s="11">
        <f>E5126*Summary!$B$6</f>
        <v/>
      </c>
      <c r="H5126" s="11">
        <f>F5126*Summary!$B$7</f>
        <v/>
      </c>
      <c r="I5126" s="11">
        <f>MAX(0,N5126-M5126)</f>
        <v/>
      </c>
      <c r="J5126" s="11">
        <f>MAX(0,M5126-N5126)</f>
        <v/>
      </c>
      <c r="K5126" s="11">
        <f>O5126</f>
        <v/>
      </c>
      <c r="L5126" s="11">
        <f>L5125+IF(K5126&gt;0,K5126*Summary!$B$9,K5126/Summary!$B$9)</f>
        <v/>
      </c>
      <c r="M5126" s="11">
        <f>G5126+H5126</f>
        <v/>
      </c>
      <c r="N5126" s="11">
        <f>Summary!$C$16*Summary!$B$8</f>
        <v/>
      </c>
      <c r="O5126" s="11">
        <f>M5126-N5126</f>
        <v/>
      </c>
    </row>
    <row r="5127">
      <c r="A5127" s="9" t="n">
        <v>45505.54166666666</v>
      </c>
      <c r="B5127" t="n">
        <v>8</v>
      </c>
      <c r="C5127" t="n">
        <v>1</v>
      </c>
      <c r="D5127" t="n">
        <v>13</v>
      </c>
      <c r="E5127" s="10" t="n">
        <v>0.704418</v>
      </c>
      <c r="F5127" s="10" t="n">
        <v>0.1349222723813454</v>
      </c>
      <c r="G5127" s="11">
        <f>E5127*Summary!$B$6</f>
        <v/>
      </c>
      <c r="H5127" s="11">
        <f>F5127*Summary!$B$7</f>
        <v/>
      </c>
      <c r="I5127" s="11">
        <f>MAX(0,N5127-M5127)</f>
        <v/>
      </c>
      <c r="J5127" s="11">
        <f>MAX(0,M5127-N5127)</f>
        <v/>
      </c>
      <c r="K5127" s="11">
        <f>O5127</f>
        <v/>
      </c>
      <c r="L5127" s="11">
        <f>L5126+IF(K5127&gt;0,K5127*Summary!$B$9,K5127/Summary!$B$9)</f>
        <v/>
      </c>
      <c r="M5127" s="11">
        <f>G5127+H5127</f>
        <v/>
      </c>
      <c r="N5127" s="11">
        <f>Summary!$C$16*Summary!$B$8</f>
        <v/>
      </c>
      <c r="O5127" s="11">
        <f>M5127-N5127</f>
        <v/>
      </c>
    </row>
    <row r="5128">
      <c r="A5128" s="9" t="n">
        <v>45505.58333333334</v>
      </c>
      <c r="B5128" t="n">
        <v>8</v>
      </c>
      <c r="C5128" t="n">
        <v>1</v>
      </c>
      <c r="D5128" t="n">
        <v>14</v>
      </c>
      <c r="E5128" s="10" t="n">
        <v>0.724174</v>
      </c>
      <c r="F5128" s="10" t="n">
        <v>0.134737808337074</v>
      </c>
      <c r="G5128" s="11">
        <f>E5128*Summary!$B$6</f>
        <v/>
      </c>
      <c r="H5128" s="11">
        <f>F5128*Summary!$B$7</f>
        <v/>
      </c>
      <c r="I5128" s="11">
        <f>MAX(0,N5128-M5128)</f>
        <v/>
      </c>
      <c r="J5128" s="11">
        <f>MAX(0,M5128-N5128)</f>
        <v/>
      </c>
      <c r="K5128" s="11">
        <f>O5128</f>
        <v/>
      </c>
      <c r="L5128" s="11">
        <f>L5127+IF(K5128&gt;0,K5128*Summary!$B$9,K5128/Summary!$B$9)</f>
        <v/>
      </c>
      <c r="M5128" s="11">
        <f>G5128+H5128</f>
        <v/>
      </c>
      <c r="N5128" s="11">
        <f>Summary!$C$16*Summary!$B$8</f>
        <v/>
      </c>
      <c r="O5128" s="11">
        <f>M5128-N5128</f>
        <v/>
      </c>
    </row>
    <row r="5129">
      <c r="A5129" s="9" t="n">
        <v>45505.625</v>
      </c>
      <c r="B5129" t="n">
        <v>8</v>
      </c>
      <c r="C5129" t="n">
        <v>1</v>
      </c>
      <c r="D5129" t="n">
        <v>15</v>
      </c>
      <c r="E5129" s="10" t="n">
        <v>0.549094</v>
      </c>
      <c r="F5129" s="10" t="n">
        <v>0.1364770407544898</v>
      </c>
      <c r="G5129" s="11">
        <f>E5129*Summary!$B$6</f>
        <v/>
      </c>
      <c r="H5129" s="11">
        <f>F5129*Summary!$B$7</f>
        <v/>
      </c>
      <c r="I5129" s="11">
        <f>MAX(0,N5129-M5129)</f>
        <v/>
      </c>
      <c r="J5129" s="11">
        <f>MAX(0,M5129-N5129)</f>
        <v/>
      </c>
      <c r="K5129" s="11">
        <f>O5129</f>
        <v/>
      </c>
      <c r="L5129" s="11">
        <f>L5128+IF(K5129&gt;0,K5129*Summary!$B$9,K5129/Summary!$B$9)</f>
        <v/>
      </c>
      <c r="M5129" s="11">
        <f>G5129+H5129</f>
        <v/>
      </c>
      <c r="N5129" s="11">
        <f>Summary!$C$16*Summary!$B$8</f>
        <v/>
      </c>
      <c r="O5129" s="11">
        <f>M5129-N5129</f>
        <v/>
      </c>
    </row>
    <row r="5130">
      <c r="A5130" s="9" t="n">
        <v>45505.66666666666</v>
      </c>
      <c r="B5130" t="n">
        <v>8</v>
      </c>
      <c r="C5130" t="n">
        <v>1</v>
      </c>
      <c r="D5130" t="n">
        <v>16</v>
      </c>
      <c r="E5130" s="10" t="n">
        <v>0.272493</v>
      </c>
      <c r="F5130" s="10" t="n">
        <v>0.1336573760777703</v>
      </c>
      <c r="G5130" s="11">
        <f>E5130*Summary!$B$6</f>
        <v/>
      </c>
      <c r="H5130" s="11">
        <f>F5130*Summary!$B$7</f>
        <v/>
      </c>
      <c r="I5130" s="11">
        <f>MAX(0,N5130-M5130)</f>
        <v/>
      </c>
      <c r="J5130" s="11">
        <f>MAX(0,M5130-N5130)</f>
        <v/>
      </c>
      <c r="K5130" s="11">
        <f>O5130</f>
        <v/>
      </c>
      <c r="L5130" s="11">
        <f>L5129+IF(K5130&gt;0,K5130*Summary!$B$9,K5130/Summary!$B$9)</f>
        <v/>
      </c>
      <c r="M5130" s="11">
        <f>G5130+H5130</f>
        <v/>
      </c>
      <c r="N5130" s="11">
        <f>Summary!$C$16*Summary!$B$8</f>
        <v/>
      </c>
      <c r="O5130" s="11">
        <f>M5130-N5130</f>
        <v/>
      </c>
    </row>
    <row r="5131">
      <c r="A5131" s="9" t="n">
        <v>45505.70833333334</v>
      </c>
      <c r="B5131" t="n">
        <v>8</v>
      </c>
      <c r="C5131" t="n">
        <v>1</v>
      </c>
      <c r="D5131" t="n">
        <v>17</v>
      </c>
      <c r="E5131" s="10" t="n">
        <v>0.198561</v>
      </c>
      <c r="F5131" s="10" t="n">
        <v>0.1223523653645677</v>
      </c>
      <c r="G5131" s="11">
        <f>E5131*Summary!$B$6</f>
        <v/>
      </c>
      <c r="H5131" s="11">
        <f>F5131*Summary!$B$7</f>
        <v/>
      </c>
      <c r="I5131" s="11">
        <f>MAX(0,N5131-M5131)</f>
        <v/>
      </c>
      <c r="J5131" s="11">
        <f>MAX(0,M5131-N5131)</f>
        <v/>
      </c>
      <c r="K5131" s="11">
        <f>O5131</f>
        <v/>
      </c>
      <c r="L5131" s="11">
        <f>L5130+IF(K5131&gt;0,K5131*Summary!$B$9,K5131/Summary!$B$9)</f>
        <v/>
      </c>
      <c r="M5131" s="11">
        <f>G5131+H5131</f>
        <v/>
      </c>
      <c r="N5131" s="11">
        <f>Summary!$C$16*Summary!$B$8</f>
        <v/>
      </c>
      <c r="O5131" s="11">
        <f>M5131-N5131</f>
        <v/>
      </c>
    </row>
    <row r="5132">
      <c r="A5132" s="9" t="n">
        <v>45505.75</v>
      </c>
      <c r="B5132" t="n">
        <v>8</v>
      </c>
      <c r="C5132" t="n">
        <v>1</v>
      </c>
      <c r="D5132" t="n">
        <v>18</v>
      </c>
      <c r="E5132" s="10" t="n">
        <v>0.07341399999999999</v>
      </c>
      <c r="F5132" s="10" t="n">
        <v>0.1143940594545743</v>
      </c>
      <c r="G5132" s="11">
        <f>E5132*Summary!$B$6</f>
        <v/>
      </c>
      <c r="H5132" s="11">
        <f>F5132*Summary!$B$7</f>
        <v/>
      </c>
      <c r="I5132" s="11">
        <f>MAX(0,N5132-M5132)</f>
        <v/>
      </c>
      <c r="J5132" s="11">
        <f>MAX(0,M5132-N5132)</f>
        <v/>
      </c>
      <c r="K5132" s="11">
        <f>O5132</f>
        <v/>
      </c>
      <c r="L5132" s="11">
        <f>L5131+IF(K5132&gt;0,K5132*Summary!$B$9,K5132/Summary!$B$9)</f>
        <v/>
      </c>
      <c r="M5132" s="11">
        <f>G5132+H5132</f>
        <v/>
      </c>
      <c r="N5132" s="11">
        <f>Summary!$C$16*Summary!$B$8</f>
        <v/>
      </c>
      <c r="O5132" s="11">
        <f>M5132-N5132</f>
        <v/>
      </c>
    </row>
    <row r="5133">
      <c r="A5133" s="9" t="n">
        <v>45505.79166666666</v>
      </c>
      <c r="B5133" t="n">
        <v>8</v>
      </c>
      <c r="C5133" t="n">
        <v>1</v>
      </c>
      <c r="D5133" t="n">
        <v>19</v>
      </c>
      <c r="E5133" s="10" t="n">
        <v>0.021222</v>
      </c>
      <c r="F5133" s="10" t="n">
        <v>0.1151319156316597</v>
      </c>
      <c r="G5133" s="11">
        <f>E5133*Summary!$B$6</f>
        <v/>
      </c>
      <c r="H5133" s="11">
        <f>F5133*Summary!$B$7</f>
        <v/>
      </c>
      <c r="I5133" s="11">
        <f>MAX(0,N5133-M5133)</f>
        <v/>
      </c>
      <c r="J5133" s="11">
        <f>MAX(0,M5133-N5133)</f>
        <v/>
      </c>
      <c r="K5133" s="11">
        <f>O5133</f>
        <v/>
      </c>
      <c r="L5133" s="11">
        <f>L5132+IF(K5133&gt;0,K5133*Summary!$B$9,K5133/Summary!$B$9)</f>
        <v/>
      </c>
      <c r="M5133" s="11">
        <f>G5133+H5133</f>
        <v/>
      </c>
      <c r="N5133" s="11">
        <f>Summary!$C$16*Summary!$B$8</f>
        <v/>
      </c>
      <c r="O5133" s="11">
        <f>M5133-N5133</f>
        <v/>
      </c>
    </row>
    <row r="5134">
      <c r="A5134" s="9" t="n">
        <v>45505.83333333334</v>
      </c>
      <c r="B5134" t="n">
        <v>8</v>
      </c>
      <c r="C5134" t="n">
        <v>1</v>
      </c>
      <c r="D5134" t="n">
        <v>20</v>
      </c>
      <c r="E5134" s="10" t="n">
        <v>0</v>
      </c>
      <c r="F5134" s="10" t="n">
        <v>0.1279653427116823</v>
      </c>
      <c r="G5134" s="11">
        <f>E5134*Summary!$B$6</f>
        <v/>
      </c>
      <c r="H5134" s="11">
        <f>F5134*Summary!$B$7</f>
        <v/>
      </c>
      <c r="I5134" s="11">
        <f>MAX(0,N5134-M5134)</f>
        <v/>
      </c>
      <c r="J5134" s="11">
        <f>MAX(0,M5134-N5134)</f>
        <v/>
      </c>
      <c r="K5134" s="11">
        <f>O5134</f>
        <v/>
      </c>
      <c r="L5134" s="11">
        <f>L5133+IF(K5134&gt;0,K5134*Summary!$B$9,K5134/Summary!$B$9)</f>
        <v/>
      </c>
      <c r="M5134" s="11">
        <f>G5134+H5134</f>
        <v/>
      </c>
      <c r="N5134" s="11">
        <f>Summary!$C$16*Summary!$B$8</f>
        <v/>
      </c>
      <c r="O5134" s="11">
        <f>M5134-N5134</f>
        <v/>
      </c>
    </row>
    <row r="5135">
      <c r="A5135" s="9" t="n">
        <v>45505.875</v>
      </c>
      <c r="B5135" t="n">
        <v>8</v>
      </c>
      <c r="C5135" t="n">
        <v>1</v>
      </c>
      <c r="D5135" t="n">
        <v>21</v>
      </c>
      <c r="E5135" s="10" t="n">
        <v>0</v>
      </c>
      <c r="F5135" s="10" t="n">
        <v>0.138348033203528</v>
      </c>
      <c r="G5135" s="11">
        <f>E5135*Summary!$B$6</f>
        <v/>
      </c>
      <c r="H5135" s="11">
        <f>F5135*Summary!$B$7</f>
        <v/>
      </c>
      <c r="I5135" s="11">
        <f>MAX(0,N5135-M5135)</f>
        <v/>
      </c>
      <c r="J5135" s="11">
        <f>MAX(0,M5135-N5135)</f>
        <v/>
      </c>
      <c r="K5135" s="11">
        <f>O5135</f>
        <v/>
      </c>
      <c r="L5135" s="11">
        <f>L5134+IF(K5135&gt;0,K5135*Summary!$B$9,K5135/Summary!$B$9)</f>
        <v/>
      </c>
      <c r="M5135" s="11">
        <f>G5135+H5135</f>
        <v/>
      </c>
      <c r="N5135" s="11">
        <f>Summary!$C$16*Summary!$B$8</f>
        <v/>
      </c>
      <c r="O5135" s="11">
        <f>M5135-N5135</f>
        <v/>
      </c>
    </row>
    <row r="5136">
      <c r="A5136" s="9" t="n">
        <v>45505.91666666666</v>
      </c>
      <c r="B5136" t="n">
        <v>8</v>
      </c>
      <c r="C5136" t="n">
        <v>1</v>
      </c>
      <c r="D5136" t="n">
        <v>22</v>
      </c>
      <c r="E5136" s="10" t="n">
        <v>0</v>
      </c>
      <c r="F5136" s="10" t="n">
        <v>0.1465171551641173</v>
      </c>
      <c r="G5136" s="11">
        <f>E5136*Summary!$B$6</f>
        <v/>
      </c>
      <c r="H5136" s="11">
        <f>F5136*Summary!$B$7</f>
        <v/>
      </c>
      <c r="I5136" s="11">
        <f>MAX(0,N5136-M5136)</f>
        <v/>
      </c>
      <c r="J5136" s="11">
        <f>MAX(0,M5136-N5136)</f>
        <v/>
      </c>
      <c r="K5136" s="11">
        <f>O5136</f>
        <v/>
      </c>
      <c r="L5136" s="11">
        <f>L5135+IF(K5136&gt;0,K5136*Summary!$B$9,K5136/Summary!$B$9)</f>
        <v/>
      </c>
      <c r="M5136" s="11">
        <f>G5136+H5136</f>
        <v/>
      </c>
      <c r="N5136" s="11">
        <f>Summary!$C$16*Summary!$B$8</f>
        <v/>
      </c>
      <c r="O5136" s="11">
        <f>M5136-N5136</f>
        <v/>
      </c>
    </row>
    <row r="5137">
      <c r="A5137" s="9" t="n">
        <v>45505.95833333334</v>
      </c>
      <c r="B5137" t="n">
        <v>8</v>
      </c>
      <c r="C5137" t="n">
        <v>1</v>
      </c>
      <c r="D5137" t="n">
        <v>23</v>
      </c>
      <c r="E5137" s="10" t="n">
        <v>0</v>
      </c>
      <c r="F5137" s="10" t="n">
        <v>0.1510497002519281</v>
      </c>
      <c r="G5137" s="11">
        <f>E5137*Summary!$B$6</f>
        <v/>
      </c>
      <c r="H5137" s="11">
        <f>F5137*Summary!$B$7</f>
        <v/>
      </c>
      <c r="I5137" s="11">
        <f>MAX(0,N5137-M5137)</f>
        <v/>
      </c>
      <c r="J5137" s="11">
        <f>MAX(0,M5137-N5137)</f>
        <v/>
      </c>
      <c r="K5137" s="11">
        <f>O5137</f>
        <v/>
      </c>
      <c r="L5137" s="11">
        <f>L5136+IF(K5137&gt;0,K5137*Summary!$B$9,K5137/Summary!$B$9)</f>
        <v/>
      </c>
      <c r="M5137" s="11">
        <f>G5137+H5137</f>
        <v/>
      </c>
      <c r="N5137" s="11">
        <f>Summary!$C$16*Summary!$B$8</f>
        <v/>
      </c>
      <c r="O5137" s="11">
        <f>M5137-N5137</f>
        <v/>
      </c>
    </row>
    <row r="5138">
      <c r="A5138" s="9" t="n">
        <v>45506</v>
      </c>
      <c r="B5138" t="n">
        <v>8</v>
      </c>
      <c r="C5138" t="n">
        <v>2</v>
      </c>
      <c r="D5138" t="n">
        <v>0</v>
      </c>
      <c r="E5138" s="10" t="n">
        <v>0</v>
      </c>
      <c r="F5138" s="10" t="n">
        <v>0.2247826139478273</v>
      </c>
      <c r="G5138" s="11">
        <f>E5138*Summary!$B$6</f>
        <v/>
      </c>
      <c r="H5138" s="11">
        <f>F5138*Summary!$B$7</f>
        <v/>
      </c>
      <c r="I5138" s="11">
        <f>MAX(0,N5138-M5138)</f>
        <v/>
      </c>
      <c r="J5138" s="11">
        <f>MAX(0,M5138-N5138)</f>
        <v/>
      </c>
      <c r="K5138" s="11">
        <f>O5138</f>
        <v/>
      </c>
      <c r="L5138" s="11">
        <f>L5137+IF(K5138&gt;0,K5138*Summary!$B$9,K5138/Summary!$B$9)</f>
        <v/>
      </c>
      <c r="M5138" s="11">
        <f>G5138+H5138</f>
        <v/>
      </c>
      <c r="N5138" s="11">
        <f>Summary!$C$16*Summary!$B$8</f>
        <v/>
      </c>
      <c r="O5138" s="11">
        <f>M5138-N5138</f>
        <v/>
      </c>
    </row>
    <row r="5139">
      <c r="A5139" s="9" t="n">
        <v>45506.04166666666</v>
      </c>
      <c r="B5139" t="n">
        <v>8</v>
      </c>
      <c r="C5139" t="n">
        <v>2</v>
      </c>
      <c r="D5139" t="n">
        <v>1</v>
      </c>
      <c r="E5139" s="10" t="n">
        <v>0</v>
      </c>
      <c r="F5139" s="10" t="n">
        <v>0.1556876533650368</v>
      </c>
      <c r="G5139" s="11">
        <f>E5139*Summary!$B$6</f>
        <v/>
      </c>
      <c r="H5139" s="11">
        <f>F5139*Summary!$B$7</f>
        <v/>
      </c>
      <c r="I5139" s="11">
        <f>MAX(0,N5139-M5139)</f>
        <v/>
      </c>
      <c r="J5139" s="11">
        <f>MAX(0,M5139-N5139)</f>
        <v/>
      </c>
      <c r="K5139" s="11">
        <f>O5139</f>
        <v/>
      </c>
      <c r="L5139" s="11">
        <f>L5138+IF(K5139&gt;0,K5139*Summary!$B$9,K5139/Summary!$B$9)</f>
        <v/>
      </c>
      <c r="M5139" s="11">
        <f>G5139+H5139</f>
        <v/>
      </c>
      <c r="N5139" s="11">
        <f>Summary!$C$16*Summary!$B$8</f>
        <v/>
      </c>
      <c r="O5139" s="11">
        <f>M5139-N5139</f>
        <v/>
      </c>
    </row>
    <row r="5140">
      <c r="A5140" s="9" t="n">
        <v>45506.08333333334</v>
      </c>
      <c r="B5140" t="n">
        <v>8</v>
      </c>
      <c r="C5140" t="n">
        <v>2</v>
      </c>
      <c r="D5140" t="n">
        <v>2</v>
      </c>
      <c r="E5140" s="10" t="n">
        <v>0</v>
      </c>
      <c r="F5140" s="10" t="n">
        <v>0.156899845655963</v>
      </c>
      <c r="G5140" s="11">
        <f>E5140*Summary!$B$6</f>
        <v/>
      </c>
      <c r="H5140" s="11">
        <f>F5140*Summary!$B$7</f>
        <v/>
      </c>
      <c r="I5140" s="11">
        <f>MAX(0,N5140-M5140)</f>
        <v/>
      </c>
      <c r="J5140" s="11">
        <f>MAX(0,M5140-N5140)</f>
        <v/>
      </c>
      <c r="K5140" s="11">
        <f>O5140</f>
        <v/>
      </c>
      <c r="L5140" s="11">
        <f>L5139+IF(K5140&gt;0,K5140*Summary!$B$9,K5140/Summary!$B$9)</f>
        <v/>
      </c>
      <c r="M5140" s="11">
        <f>G5140+H5140</f>
        <v/>
      </c>
      <c r="N5140" s="11">
        <f>Summary!$C$16*Summary!$B$8</f>
        <v/>
      </c>
      <c r="O5140" s="11">
        <f>M5140-N5140</f>
        <v/>
      </c>
    </row>
    <row r="5141">
      <c r="A5141" s="9" t="n">
        <v>45506.125</v>
      </c>
      <c r="B5141" t="n">
        <v>8</v>
      </c>
      <c r="C5141" t="n">
        <v>2</v>
      </c>
      <c r="D5141" t="n">
        <v>3</v>
      </c>
      <c r="E5141" s="10" t="n">
        <v>0</v>
      </c>
      <c r="F5141" s="10" t="n">
        <v>0.1579802779152667</v>
      </c>
      <c r="G5141" s="11">
        <f>E5141*Summary!$B$6</f>
        <v/>
      </c>
      <c r="H5141" s="11">
        <f>F5141*Summary!$B$7</f>
        <v/>
      </c>
      <c r="I5141" s="11">
        <f>MAX(0,N5141-M5141)</f>
        <v/>
      </c>
      <c r="J5141" s="11">
        <f>MAX(0,M5141-N5141)</f>
        <v/>
      </c>
      <c r="K5141" s="11">
        <f>O5141</f>
        <v/>
      </c>
      <c r="L5141" s="11">
        <f>L5140+IF(K5141&gt;0,K5141*Summary!$B$9,K5141/Summary!$B$9)</f>
        <v/>
      </c>
      <c r="M5141" s="11">
        <f>G5141+H5141</f>
        <v/>
      </c>
      <c r="N5141" s="11">
        <f>Summary!$C$16*Summary!$B$8</f>
        <v/>
      </c>
      <c r="O5141" s="11">
        <f>M5141-N5141</f>
        <v/>
      </c>
    </row>
    <row r="5142">
      <c r="A5142" s="9" t="n">
        <v>45506.16666666666</v>
      </c>
      <c r="B5142" t="n">
        <v>8</v>
      </c>
      <c r="C5142" t="n">
        <v>2</v>
      </c>
      <c r="D5142" t="n">
        <v>4</v>
      </c>
      <c r="E5142" s="10" t="n">
        <v>0</v>
      </c>
      <c r="F5142" s="10" t="n">
        <v>0.155371429289143</v>
      </c>
      <c r="G5142" s="11">
        <f>E5142*Summary!$B$6</f>
        <v/>
      </c>
      <c r="H5142" s="11">
        <f>F5142*Summary!$B$7</f>
        <v/>
      </c>
      <c r="I5142" s="11">
        <f>MAX(0,N5142-M5142)</f>
        <v/>
      </c>
      <c r="J5142" s="11">
        <f>MAX(0,M5142-N5142)</f>
        <v/>
      </c>
      <c r="K5142" s="11">
        <f>O5142</f>
        <v/>
      </c>
      <c r="L5142" s="11">
        <f>L5141+IF(K5142&gt;0,K5142*Summary!$B$9,K5142/Summary!$B$9)</f>
        <v/>
      </c>
      <c r="M5142" s="11">
        <f>G5142+H5142</f>
        <v/>
      </c>
      <c r="N5142" s="11">
        <f>Summary!$C$16*Summary!$B$8</f>
        <v/>
      </c>
      <c r="O5142" s="11">
        <f>M5142-N5142</f>
        <v/>
      </c>
    </row>
    <row r="5143">
      <c r="A5143" s="9" t="n">
        <v>45506.20833333334</v>
      </c>
      <c r="B5143" t="n">
        <v>8</v>
      </c>
      <c r="C5143" t="n">
        <v>2</v>
      </c>
      <c r="D5143" t="n">
        <v>5</v>
      </c>
      <c r="E5143" s="10" t="n">
        <v>0.025576</v>
      </c>
      <c r="F5143" s="10" t="n">
        <v>0.1379527531086607</v>
      </c>
      <c r="G5143" s="11">
        <f>E5143*Summary!$B$6</f>
        <v/>
      </c>
      <c r="H5143" s="11">
        <f>F5143*Summary!$B$7</f>
        <v/>
      </c>
      <c r="I5143" s="11">
        <f>MAX(0,N5143-M5143)</f>
        <v/>
      </c>
      <c r="J5143" s="11">
        <f>MAX(0,M5143-N5143)</f>
        <v/>
      </c>
      <c r="K5143" s="11">
        <f>O5143</f>
        <v/>
      </c>
      <c r="L5143" s="11">
        <f>L5142+IF(K5143&gt;0,K5143*Summary!$B$9,K5143/Summary!$B$9)</f>
        <v/>
      </c>
      <c r="M5143" s="11">
        <f>G5143+H5143</f>
        <v/>
      </c>
      <c r="N5143" s="11">
        <f>Summary!$C$16*Summary!$B$8</f>
        <v/>
      </c>
      <c r="O5143" s="11">
        <f>M5143-N5143</f>
        <v/>
      </c>
    </row>
    <row r="5144">
      <c r="A5144" s="9" t="n">
        <v>45506.25</v>
      </c>
      <c r="B5144" t="n">
        <v>8</v>
      </c>
      <c r="C5144" t="n">
        <v>2</v>
      </c>
      <c r="D5144" t="n">
        <v>6</v>
      </c>
      <c r="E5144" s="10" t="n">
        <v>0.083956</v>
      </c>
      <c r="F5144" s="10" t="n">
        <v>0.1241970058072814</v>
      </c>
      <c r="G5144" s="11">
        <f>E5144*Summary!$B$6</f>
        <v/>
      </c>
      <c r="H5144" s="11">
        <f>F5144*Summary!$B$7</f>
        <v/>
      </c>
      <c r="I5144" s="11">
        <f>MAX(0,N5144-M5144)</f>
        <v/>
      </c>
      <c r="J5144" s="11">
        <f>MAX(0,M5144-N5144)</f>
        <v/>
      </c>
      <c r="K5144" s="11">
        <f>O5144</f>
        <v/>
      </c>
      <c r="L5144" s="11">
        <f>L5143+IF(K5144&gt;0,K5144*Summary!$B$9,K5144/Summary!$B$9)</f>
        <v/>
      </c>
      <c r="M5144" s="11">
        <f>G5144+H5144</f>
        <v/>
      </c>
      <c r="N5144" s="11">
        <f>Summary!$C$16*Summary!$B$8</f>
        <v/>
      </c>
      <c r="O5144" s="11">
        <f>M5144-N5144</f>
        <v/>
      </c>
    </row>
    <row r="5145">
      <c r="A5145" s="9" t="n">
        <v>45506.29166666666</v>
      </c>
      <c r="B5145" t="n">
        <v>8</v>
      </c>
      <c r="C5145" t="n">
        <v>2</v>
      </c>
      <c r="D5145" t="n">
        <v>7</v>
      </c>
      <c r="E5145" s="10" t="n">
        <v>0.226658</v>
      </c>
      <c r="F5145" s="10" t="n">
        <v>0.116185995884639</v>
      </c>
      <c r="G5145" s="11">
        <f>E5145*Summary!$B$6</f>
        <v/>
      </c>
      <c r="H5145" s="11">
        <f>F5145*Summary!$B$7</f>
        <v/>
      </c>
      <c r="I5145" s="11">
        <f>MAX(0,N5145-M5145)</f>
        <v/>
      </c>
      <c r="J5145" s="11">
        <f>MAX(0,M5145-N5145)</f>
        <v/>
      </c>
      <c r="K5145" s="11">
        <f>O5145</f>
        <v/>
      </c>
      <c r="L5145" s="11">
        <f>L5144+IF(K5145&gt;0,K5145*Summary!$B$9,K5145/Summary!$B$9)</f>
        <v/>
      </c>
      <c r="M5145" s="11">
        <f>G5145+H5145</f>
        <v/>
      </c>
      <c r="N5145" s="11">
        <f>Summary!$C$16*Summary!$B$8</f>
        <v/>
      </c>
      <c r="O5145" s="11">
        <f>M5145-N5145</f>
        <v/>
      </c>
    </row>
    <row r="5146">
      <c r="A5146" s="9" t="n">
        <v>45506.33333333334</v>
      </c>
      <c r="B5146" t="n">
        <v>8</v>
      </c>
      <c r="C5146" t="n">
        <v>2</v>
      </c>
      <c r="D5146" t="n">
        <v>8</v>
      </c>
      <c r="E5146" s="10" t="n">
        <v>0.370776</v>
      </c>
      <c r="F5146" s="10" t="n">
        <v>0.1210084130420191</v>
      </c>
      <c r="G5146" s="11">
        <f>E5146*Summary!$B$6</f>
        <v/>
      </c>
      <c r="H5146" s="11">
        <f>F5146*Summary!$B$7</f>
        <v/>
      </c>
      <c r="I5146" s="11">
        <f>MAX(0,N5146-M5146)</f>
        <v/>
      </c>
      <c r="J5146" s="11">
        <f>MAX(0,M5146-N5146)</f>
        <v/>
      </c>
      <c r="K5146" s="11">
        <f>O5146</f>
        <v/>
      </c>
      <c r="L5146" s="11">
        <f>L5145+IF(K5146&gt;0,K5146*Summary!$B$9,K5146/Summary!$B$9)</f>
        <v/>
      </c>
      <c r="M5146" s="11">
        <f>G5146+H5146</f>
        <v/>
      </c>
      <c r="N5146" s="11">
        <f>Summary!$C$16*Summary!$B$8</f>
        <v/>
      </c>
      <c r="O5146" s="11">
        <f>M5146-N5146</f>
        <v/>
      </c>
    </row>
    <row r="5147">
      <c r="A5147" s="9" t="n">
        <v>45506.375</v>
      </c>
      <c r="B5147" t="n">
        <v>8</v>
      </c>
      <c r="C5147" t="n">
        <v>2</v>
      </c>
      <c r="D5147" t="n">
        <v>9</v>
      </c>
      <c r="E5147" s="10" t="n">
        <v>0.445753</v>
      </c>
      <c r="F5147" s="10" t="n">
        <v>0.1269903184776764</v>
      </c>
      <c r="G5147" s="11">
        <f>E5147*Summary!$B$6</f>
        <v/>
      </c>
      <c r="H5147" s="11">
        <f>F5147*Summary!$B$7</f>
        <v/>
      </c>
      <c r="I5147" s="11">
        <f>MAX(0,N5147-M5147)</f>
        <v/>
      </c>
      <c r="J5147" s="11">
        <f>MAX(0,M5147-N5147)</f>
        <v/>
      </c>
      <c r="K5147" s="11">
        <f>O5147</f>
        <v/>
      </c>
      <c r="L5147" s="11">
        <f>L5146+IF(K5147&gt;0,K5147*Summary!$B$9,K5147/Summary!$B$9)</f>
        <v/>
      </c>
      <c r="M5147" s="11">
        <f>G5147+H5147</f>
        <v/>
      </c>
      <c r="N5147" s="11">
        <f>Summary!$C$16*Summary!$B$8</f>
        <v/>
      </c>
      <c r="O5147" s="11">
        <f>M5147-N5147</f>
        <v/>
      </c>
    </row>
    <row r="5148">
      <c r="A5148" s="9" t="n">
        <v>45506.41666666666</v>
      </c>
      <c r="B5148" t="n">
        <v>8</v>
      </c>
      <c r="C5148" t="n">
        <v>2</v>
      </c>
      <c r="D5148" t="n">
        <v>10</v>
      </c>
      <c r="E5148" s="10" t="n">
        <v>0.421611</v>
      </c>
      <c r="F5148" s="10" t="n">
        <v>0.1395338734881296</v>
      </c>
      <c r="G5148" s="11">
        <f>E5148*Summary!$B$6</f>
        <v/>
      </c>
      <c r="H5148" s="11">
        <f>F5148*Summary!$B$7</f>
        <v/>
      </c>
      <c r="I5148" s="11">
        <f>MAX(0,N5148-M5148)</f>
        <v/>
      </c>
      <c r="J5148" s="11">
        <f>MAX(0,M5148-N5148)</f>
        <v/>
      </c>
      <c r="K5148" s="11">
        <f>O5148</f>
        <v/>
      </c>
      <c r="L5148" s="11">
        <f>L5147+IF(K5148&gt;0,K5148*Summary!$B$9,K5148/Summary!$B$9)</f>
        <v/>
      </c>
      <c r="M5148" s="11">
        <f>G5148+H5148</f>
        <v/>
      </c>
      <c r="N5148" s="11">
        <f>Summary!$C$16*Summary!$B$8</f>
        <v/>
      </c>
      <c r="O5148" s="11">
        <f>M5148-N5148</f>
        <v/>
      </c>
    </row>
    <row r="5149">
      <c r="A5149" s="9" t="n">
        <v>45506.45833333334</v>
      </c>
      <c r="B5149" t="n">
        <v>8</v>
      </c>
      <c r="C5149" t="n">
        <v>2</v>
      </c>
      <c r="D5149" t="n">
        <v>11</v>
      </c>
      <c r="E5149" s="10" t="n">
        <v>0.316206</v>
      </c>
      <c r="F5149" s="10" t="n">
        <v>0.15323691677686</v>
      </c>
      <c r="G5149" s="11">
        <f>E5149*Summary!$B$6</f>
        <v/>
      </c>
      <c r="H5149" s="11">
        <f>F5149*Summary!$B$7</f>
        <v/>
      </c>
      <c r="I5149" s="11">
        <f>MAX(0,N5149-M5149)</f>
        <v/>
      </c>
      <c r="J5149" s="11">
        <f>MAX(0,M5149-N5149)</f>
        <v/>
      </c>
      <c r="K5149" s="11">
        <f>O5149</f>
        <v/>
      </c>
      <c r="L5149" s="11">
        <f>L5148+IF(K5149&gt;0,K5149*Summary!$B$9,K5149/Summary!$B$9)</f>
        <v/>
      </c>
      <c r="M5149" s="11">
        <f>G5149+H5149</f>
        <v/>
      </c>
      <c r="N5149" s="11">
        <f>Summary!$C$16*Summary!$B$8</f>
        <v/>
      </c>
      <c r="O5149" s="11">
        <f>M5149-N5149</f>
        <v/>
      </c>
    </row>
    <row r="5150">
      <c r="A5150" s="9" t="n">
        <v>45506.5</v>
      </c>
      <c r="B5150" t="n">
        <v>8</v>
      </c>
      <c r="C5150" t="n">
        <v>2</v>
      </c>
      <c r="D5150" t="n">
        <v>12</v>
      </c>
      <c r="E5150" s="10" t="n">
        <v>0.5732699999999999</v>
      </c>
      <c r="F5150" s="10" t="n">
        <v>0.1657541197809888</v>
      </c>
      <c r="G5150" s="11">
        <f>E5150*Summary!$B$6</f>
        <v/>
      </c>
      <c r="H5150" s="11">
        <f>F5150*Summary!$B$7</f>
        <v/>
      </c>
      <c r="I5150" s="11">
        <f>MAX(0,N5150-M5150)</f>
        <v/>
      </c>
      <c r="J5150" s="11">
        <f>MAX(0,M5150-N5150)</f>
        <v/>
      </c>
      <c r="K5150" s="11">
        <f>O5150</f>
        <v/>
      </c>
      <c r="L5150" s="11">
        <f>L5149+IF(K5150&gt;0,K5150*Summary!$B$9,K5150/Summary!$B$9)</f>
        <v/>
      </c>
      <c r="M5150" s="11">
        <f>G5150+H5150</f>
        <v/>
      </c>
      <c r="N5150" s="11">
        <f>Summary!$C$16*Summary!$B$8</f>
        <v/>
      </c>
      <c r="O5150" s="11">
        <f>M5150-N5150</f>
        <v/>
      </c>
    </row>
    <row r="5151">
      <c r="A5151" s="9" t="n">
        <v>45506.54166666666</v>
      </c>
      <c r="B5151" t="n">
        <v>8</v>
      </c>
      <c r="C5151" t="n">
        <v>2</v>
      </c>
      <c r="D5151" t="n">
        <v>13</v>
      </c>
      <c r="E5151" s="10" t="n">
        <v>0.698792</v>
      </c>
      <c r="F5151" s="10" t="n">
        <v>0.18398970815753</v>
      </c>
      <c r="G5151" s="11">
        <f>E5151*Summary!$B$6</f>
        <v/>
      </c>
      <c r="H5151" s="11">
        <f>F5151*Summary!$B$7</f>
        <v/>
      </c>
      <c r="I5151" s="11">
        <f>MAX(0,N5151-M5151)</f>
        <v/>
      </c>
      <c r="J5151" s="11">
        <f>MAX(0,M5151-N5151)</f>
        <v/>
      </c>
      <c r="K5151" s="11">
        <f>O5151</f>
        <v/>
      </c>
      <c r="L5151" s="11">
        <f>L5150+IF(K5151&gt;0,K5151*Summary!$B$9,K5151/Summary!$B$9)</f>
        <v/>
      </c>
      <c r="M5151" s="11">
        <f>G5151+H5151</f>
        <v/>
      </c>
      <c r="N5151" s="11">
        <f>Summary!$C$16*Summary!$B$8</f>
        <v/>
      </c>
      <c r="O5151" s="11">
        <f>M5151-N5151</f>
        <v/>
      </c>
    </row>
    <row r="5152">
      <c r="A5152" s="9" t="n">
        <v>45506.58333333334</v>
      </c>
      <c r="B5152" t="n">
        <v>8</v>
      </c>
      <c r="C5152" t="n">
        <v>2</v>
      </c>
      <c r="D5152" t="n">
        <v>14</v>
      </c>
      <c r="E5152" s="10" t="n">
        <v>0.527412</v>
      </c>
      <c r="F5152" s="10" t="n">
        <v>0.1912101578904379</v>
      </c>
      <c r="G5152" s="11">
        <f>E5152*Summary!$B$6</f>
        <v/>
      </c>
      <c r="H5152" s="11">
        <f>F5152*Summary!$B$7</f>
        <v/>
      </c>
      <c r="I5152" s="11">
        <f>MAX(0,N5152-M5152)</f>
        <v/>
      </c>
      <c r="J5152" s="11">
        <f>MAX(0,M5152-N5152)</f>
        <v/>
      </c>
      <c r="K5152" s="11">
        <f>O5152</f>
        <v/>
      </c>
      <c r="L5152" s="11">
        <f>L5151+IF(K5152&gt;0,K5152*Summary!$B$9,K5152/Summary!$B$9)</f>
        <v/>
      </c>
      <c r="M5152" s="11">
        <f>G5152+H5152</f>
        <v/>
      </c>
      <c r="N5152" s="11">
        <f>Summary!$C$16*Summary!$B$8</f>
        <v/>
      </c>
      <c r="O5152" s="11">
        <f>M5152-N5152</f>
        <v/>
      </c>
    </row>
    <row r="5153">
      <c r="A5153" s="9" t="n">
        <v>45506.625</v>
      </c>
      <c r="B5153" t="n">
        <v>8</v>
      </c>
      <c r="C5153" t="n">
        <v>2</v>
      </c>
      <c r="D5153" t="n">
        <v>15</v>
      </c>
      <c r="E5153" s="10" t="n">
        <v>0.31899</v>
      </c>
      <c r="F5153" s="10" t="n">
        <v>0.1959271670225201</v>
      </c>
      <c r="G5153" s="11">
        <f>E5153*Summary!$B$6</f>
        <v/>
      </c>
      <c r="H5153" s="11">
        <f>F5153*Summary!$B$7</f>
        <v/>
      </c>
      <c r="I5153" s="11">
        <f>MAX(0,N5153-M5153)</f>
        <v/>
      </c>
      <c r="J5153" s="11">
        <f>MAX(0,M5153-N5153)</f>
        <v/>
      </c>
      <c r="K5153" s="11">
        <f>O5153</f>
        <v/>
      </c>
      <c r="L5153" s="11">
        <f>L5152+IF(K5153&gt;0,K5153*Summary!$B$9,K5153/Summary!$B$9)</f>
        <v/>
      </c>
      <c r="M5153" s="11">
        <f>G5153+H5153</f>
        <v/>
      </c>
      <c r="N5153" s="11">
        <f>Summary!$C$16*Summary!$B$8</f>
        <v/>
      </c>
      <c r="O5153" s="11">
        <f>M5153-N5153</f>
        <v/>
      </c>
    </row>
    <row r="5154">
      <c r="A5154" s="9" t="n">
        <v>45506.66666666666</v>
      </c>
      <c r="B5154" t="n">
        <v>8</v>
      </c>
      <c r="C5154" t="n">
        <v>2</v>
      </c>
      <c r="D5154" t="n">
        <v>16</v>
      </c>
      <c r="E5154" s="10" t="n">
        <v>0.158793</v>
      </c>
      <c r="F5154" s="10" t="n">
        <v>0.1948994387758653</v>
      </c>
      <c r="G5154" s="11">
        <f>E5154*Summary!$B$6</f>
        <v/>
      </c>
      <c r="H5154" s="11">
        <f>F5154*Summary!$B$7</f>
        <v/>
      </c>
      <c r="I5154" s="11">
        <f>MAX(0,N5154-M5154)</f>
        <v/>
      </c>
      <c r="J5154" s="11">
        <f>MAX(0,M5154-N5154)</f>
        <v/>
      </c>
      <c r="K5154" s="11">
        <f>O5154</f>
        <v/>
      </c>
      <c r="L5154" s="11">
        <f>L5153+IF(K5154&gt;0,K5154*Summary!$B$9,K5154/Summary!$B$9)</f>
        <v/>
      </c>
      <c r="M5154" s="11">
        <f>G5154+H5154</f>
        <v/>
      </c>
      <c r="N5154" s="11">
        <f>Summary!$C$16*Summary!$B$8</f>
        <v/>
      </c>
      <c r="O5154" s="11">
        <f>M5154-N5154</f>
        <v/>
      </c>
    </row>
    <row r="5155">
      <c r="A5155" s="9" t="n">
        <v>45506.70833333334</v>
      </c>
      <c r="B5155" t="n">
        <v>8</v>
      </c>
      <c r="C5155" t="n">
        <v>2</v>
      </c>
      <c r="D5155" t="n">
        <v>17</v>
      </c>
      <c r="E5155" s="10" t="n">
        <v>0.124338</v>
      </c>
      <c r="F5155" s="10" t="n">
        <v>0.1901560776374586</v>
      </c>
      <c r="G5155" s="11">
        <f>E5155*Summary!$B$6</f>
        <v/>
      </c>
      <c r="H5155" s="11">
        <f>F5155*Summary!$B$7</f>
        <v/>
      </c>
      <c r="I5155" s="11">
        <f>MAX(0,N5155-M5155)</f>
        <v/>
      </c>
      <c r="J5155" s="11">
        <f>MAX(0,M5155-N5155)</f>
        <v/>
      </c>
      <c r="K5155" s="11">
        <f>O5155</f>
        <v/>
      </c>
      <c r="L5155" s="11">
        <f>L5154+IF(K5155&gt;0,K5155*Summary!$B$9,K5155/Summary!$B$9)</f>
        <v/>
      </c>
      <c r="M5155" s="11">
        <f>G5155+H5155</f>
        <v/>
      </c>
      <c r="N5155" s="11">
        <f>Summary!$C$16*Summary!$B$8</f>
        <v/>
      </c>
      <c r="O5155" s="11">
        <f>M5155-N5155</f>
        <v/>
      </c>
    </row>
    <row r="5156">
      <c r="A5156" s="9" t="n">
        <v>45506.75</v>
      </c>
      <c r="B5156" t="n">
        <v>8</v>
      </c>
      <c r="C5156" t="n">
        <v>2</v>
      </c>
      <c r="D5156" t="n">
        <v>18</v>
      </c>
      <c r="E5156" s="10" t="n">
        <v>0.040921</v>
      </c>
      <c r="F5156" s="10" t="n">
        <v>0.1835417240500138</v>
      </c>
      <c r="G5156" s="11">
        <f>E5156*Summary!$B$6</f>
        <v/>
      </c>
      <c r="H5156" s="11">
        <f>F5156*Summary!$B$7</f>
        <v/>
      </c>
      <c r="I5156" s="11">
        <f>MAX(0,N5156-M5156)</f>
        <v/>
      </c>
      <c r="J5156" s="11">
        <f>MAX(0,M5156-N5156)</f>
        <v/>
      </c>
      <c r="K5156" s="11">
        <f>O5156</f>
        <v/>
      </c>
      <c r="L5156" s="11">
        <f>L5155+IF(K5156&gt;0,K5156*Summary!$B$9,K5156/Summary!$B$9)</f>
        <v/>
      </c>
      <c r="M5156" s="11">
        <f>G5156+H5156</f>
        <v/>
      </c>
      <c r="N5156" s="11">
        <f>Summary!$C$16*Summary!$B$8</f>
        <v/>
      </c>
      <c r="O5156" s="11">
        <f>M5156-N5156</f>
        <v/>
      </c>
    </row>
    <row r="5157">
      <c r="A5157" s="9" t="n">
        <v>45506.79166666666</v>
      </c>
      <c r="B5157" t="n">
        <v>8</v>
      </c>
      <c r="C5157" t="n">
        <v>2</v>
      </c>
      <c r="D5157" t="n">
        <v>19</v>
      </c>
      <c r="E5157" s="10" t="n">
        <v>0.020343</v>
      </c>
      <c r="F5157" s="10" t="n">
        <v>0.1850701404168337</v>
      </c>
      <c r="G5157" s="11">
        <f>E5157*Summary!$B$6</f>
        <v/>
      </c>
      <c r="H5157" s="11">
        <f>F5157*Summary!$B$7</f>
        <v/>
      </c>
      <c r="I5157" s="11">
        <f>MAX(0,N5157-M5157)</f>
        <v/>
      </c>
      <c r="J5157" s="11">
        <f>MAX(0,M5157-N5157)</f>
        <v/>
      </c>
      <c r="K5157" s="11">
        <f>O5157</f>
        <v/>
      </c>
      <c r="L5157" s="11">
        <f>L5156+IF(K5157&gt;0,K5157*Summary!$B$9,K5157/Summary!$B$9)</f>
        <v/>
      </c>
      <c r="M5157" s="11">
        <f>G5157+H5157</f>
        <v/>
      </c>
      <c r="N5157" s="11">
        <f>Summary!$C$16*Summary!$B$8</f>
        <v/>
      </c>
      <c r="O5157" s="11">
        <f>M5157-N5157</f>
        <v/>
      </c>
    </row>
    <row r="5158">
      <c r="A5158" s="9" t="n">
        <v>45506.83333333334</v>
      </c>
      <c r="B5158" t="n">
        <v>8</v>
      </c>
      <c r="C5158" t="n">
        <v>2</v>
      </c>
      <c r="D5158" t="n">
        <v>20</v>
      </c>
      <c r="E5158" s="10" t="n">
        <v>0</v>
      </c>
      <c r="F5158" s="10" t="n">
        <v>0.2001961920470861</v>
      </c>
      <c r="G5158" s="11">
        <f>E5158*Summary!$B$6</f>
        <v/>
      </c>
      <c r="H5158" s="11">
        <f>F5158*Summary!$B$7</f>
        <v/>
      </c>
      <c r="I5158" s="11">
        <f>MAX(0,N5158-M5158)</f>
        <v/>
      </c>
      <c r="J5158" s="11">
        <f>MAX(0,M5158-N5158)</f>
        <v/>
      </c>
      <c r="K5158" s="11">
        <f>O5158</f>
        <v/>
      </c>
      <c r="L5158" s="11">
        <f>L5157+IF(K5158&gt;0,K5158*Summary!$B$9,K5158/Summary!$B$9)</f>
        <v/>
      </c>
      <c r="M5158" s="11">
        <f>G5158+H5158</f>
        <v/>
      </c>
      <c r="N5158" s="11">
        <f>Summary!$C$16*Summary!$B$8</f>
        <v/>
      </c>
      <c r="O5158" s="11">
        <f>M5158-N5158</f>
        <v/>
      </c>
    </row>
    <row r="5159">
      <c r="A5159" s="9" t="n">
        <v>45506.875</v>
      </c>
      <c r="B5159" t="n">
        <v>8</v>
      </c>
      <c r="C5159" t="n">
        <v>2</v>
      </c>
      <c r="D5159" t="n">
        <v>21</v>
      </c>
      <c r="E5159" s="10" t="n">
        <v>0</v>
      </c>
      <c r="F5159" s="10" t="n">
        <v>0.2176939242465418</v>
      </c>
      <c r="G5159" s="11">
        <f>E5159*Summary!$B$6</f>
        <v/>
      </c>
      <c r="H5159" s="11">
        <f>F5159*Summary!$B$7</f>
        <v/>
      </c>
      <c r="I5159" s="11">
        <f>MAX(0,N5159-M5159)</f>
        <v/>
      </c>
      <c r="J5159" s="11">
        <f>MAX(0,M5159-N5159)</f>
        <v/>
      </c>
      <c r="K5159" s="11">
        <f>O5159</f>
        <v/>
      </c>
      <c r="L5159" s="11">
        <f>L5158+IF(K5159&gt;0,K5159*Summary!$B$9,K5159/Summary!$B$9)</f>
        <v/>
      </c>
      <c r="M5159" s="11">
        <f>G5159+H5159</f>
        <v/>
      </c>
      <c r="N5159" s="11">
        <f>Summary!$C$16*Summary!$B$8</f>
        <v/>
      </c>
      <c r="O5159" s="11">
        <f>M5159-N5159</f>
        <v/>
      </c>
    </row>
    <row r="5160">
      <c r="A5160" s="9" t="n">
        <v>45506.91666666666</v>
      </c>
      <c r="B5160" t="n">
        <v>8</v>
      </c>
      <c r="C5160" t="n">
        <v>2</v>
      </c>
      <c r="D5160" t="n">
        <v>22</v>
      </c>
      <c r="E5160" s="10" t="n">
        <v>0</v>
      </c>
      <c r="F5160" s="10" t="n">
        <v>0.2248616699668008</v>
      </c>
      <c r="G5160" s="11">
        <f>E5160*Summary!$B$6</f>
        <v/>
      </c>
      <c r="H5160" s="11">
        <f>F5160*Summary!$B$7</f>
        <v/>
      </c>
      <c r="I5160" s="11">
        <f>MAX(0,N5160-M5160)</f>
        <v/>
      </c>
      <c r="J5160" s="11">
        <f>MAX(0,M5160-N5160)</f>
        <v/>
      </c>
      <c r="K5160" s="11">
        <f>O5160</f>
        <v/>
      </c>
      <c r="L5160" s="11">
        <f>L5159+IF(K5160&gt;0,K5160*Summary!$B$9,K5160/Summary!$B$9)</f>
        <v/>
      </c>
      <c r="M5160" s="11">
        <f>G5160+H5160</f>
        <v/>
      </c>
      <c r="N5160" s="11">
        <f>Summary!$C$16*Summary!$B$8</f>
        <v/>
      </c>
      <c r="O5160" s="11">
        <f>M5160-N5160</f>
        <v/>
      </c>
    </row>
    <row r="5161">
      <c r="A5161" s="9" t="n">
        <v>45506.95833333334</v>
      </c>
      <c r="B5161" t="n">
        <v>8</v>
      </c>
      <c r="C5161" t="n">
        <v>2</v>
      </c>
      <c r="D5161" t="n">
        <v>23</v>
      </c>
      <c r="E5161" s="10" t="n">
        <v>0</v>
      </c>
      <c r="F5161" s="10" t="n">
        <v>0.2249934299984232</v>
      </c>
      <c r="G5161" s="11">
        <f>E5161*Summary!$B$6</f>
        <v/>
      </c>
      <c r="H5161" s="11">
        <f>F5161*Summary!$B$7</f>
        <v/>
      </c>
      <c r="I5161" s="11">
        <f>MAX(0,N5161-M5161)</f>
        <v/>
      </c>
      <c r="J5161" s="11">
        <f>MAX(0,M5161-N5161)</f>
        <v/>
      </c>
      <c r="K5161" s="11">
        <f>O5161</f>
        <v/>
      </c>
      <c r="L5161" s="11">
        <f>L5160+IF(K5161&gt;0,K5161*Summary!$B$9,K5161/Summary!$B$9)</f>
        <v/>
      </c>
      <c r="M5161" s="11">
        <f>G5161+H5161</f>
        <v/>
      </c>
      <c r="N5161" s="11">
        <f>Summary!$C$16*Summary!$B$8</f>
        <v/>
      </c>
      <c r="O5161" s="11">
        <f>M5161-N5161</f>
        <v/>
      </c>
    </row>
    <row r="5162">
      <c r="A5162" s="9" t="n">
        <v>45507</v>
      </c>
      <c r="B5162" t="n">
        <v>8</v>
      </c>
      <c r="C5162" t="n">
        <v>3</v>
      </c>
      <c r="D5162" t="n">
        <v>0</v>
      </c>
      <c r="E5162" s="10" t="n">
        <v>0</v>
      </c>
      <c r="F5162" s="10" t="n">
        <v>0.2049659051918173</v>
      </c>
      <c r="G5162" s="11">
        <f>E5162*Summary!$B$6</f>
        <v/>
      </c>
      <c r="H5162" s="11">
        <f>F5162*Summary!$B$7</f>
        <v/>
      </c>
      <c r="I5162" s="11">
        <f>MAX(0,N5162-M5162)</f>
        <v/>
      </c>
      <c r="J5162" s="11">
        <f>MAX(0,M5162-N5162)</f>
        <v/>
      </c>
      <c r="K5162" s="11">
        <f>O5162</f>
        <v/>
      </c>
      <c r="L5162" s="11">
        <f>L5161+IF(K5162&gt;0,K5162*Summary!$B$9,K5162/Summary!$B$9)</f>
        <v/>
      </c>
      <c r="M5162" s="11">
        <f>G5162+H5162</f>
        <v/>
      </c>
      <c r="N5162" s="11">
        <f>Summary!$C$16*Summary!$B$8</f>
        <v/>
      </c>
      <c r="O5162" s="11">
        <f>M5162-N5162</f>
        <v/>
      </c>
    </row>
    <row r="5163">
      <c r="A5163" s="9" t="n">
        <v>45507.04166666666</v>
      </c>
      <c r="B5163" t="n">
        <v>8</v>
      </c>
      <c r="C5163" t="n">
        <v>3</v>
      </c>
      <c r="D5163" t="n">
        <v>1</v>
      </c>
      <c r="E5163" s="10" t="n">
        <v>0</v>
      </c>
      <c r="F5163" s="10" t="n">
        <v>0.2185371884489252</v>
      </c>
      <c r="G5163" s="11">
        <f>E5163*Summary!$B$6</f>
        <v/>
      </c>
      <c r="H5163" s="11">
        <f>F5163*Summary!$B$7</f>
        <v/>
      </c>
      <c r="I5163" s="11">
        <f>MAX(0,N5163-M5163)</f>
        <v/>
      </c>
      <c r="J5163" s="11">
        <f>MAX(0,M5163-N5163)</f>
        <v/>
      </c>
      <c r="K5163" s="11">
        <f>O5163</f>
        <v/>
      </c>
      <c r="L5163" s="11">
        <f>L5162+IF(K5163&gt;0,K5163*Summary!$B$9,K5163/Summary!$B$9)</f>
        <v/>
      </c>
      <c r="M5163" s="11">
        <f>G5163+H5163</f>
        <v/>
      </c>
      <c r="N5163" s="11">
        <f>Summary!$C$16*Summary!$B$8</f>
        <v/>
      </c>
      <c r="O5163" s="11">
        <f>M5163-N5163</f>
        <v/>
      </c>
    </row>
    <row r="5164">
      <c r="A5164" s="9" t="n">
        <v>45507.08333333334</v>
      </c>
      <c r="B5164" t="n">
        <v>8</v>
      </c>
      <c r="C5164" t="n">
        <v>3</v>
      </c>
      <c r="D5164" t="n">
        <v>2</v>
      </c>
      <c r="E5164" s="10" t="n">
        <v>0</v>
      </c>
      <c r="F5164" s="10" t="n">
        <v>0.2091822262037343</v>
      </c>
      <c r="G5164" s="11">
        <f>E5164*Summary!$B$6</f>
        <v/>
      </c>
      <c r="H5164" s="11">
        <f>F5164*Summary!$B$7</f>
        <v/>
      </c>
      <c r="I5164" s="11">
        <f>MAX(0,N5164-M5164)</f>
        <v/>
      </c>
      <c r="J5164" s="11">
        <f>MAX(0,M5164-N5164)</f>
        <v/>
      </c>
      <c r="K5164" s="11">
        <f>O5164</f>
        <v/>
      </c>
      <c r="L5164" s="11">
        <f>L5163+IF(K5164&gt;0,K5164*Summary!$B$9,K5164/Summary!$B$9)</f>
        <v/>
      </c>
      <c r="M5164" s="11">
        <f>G5164+H5164</f>
        <v/>
      </c>
      <c r="N5164" s="11">
        <f>Summary!$C$16*Summary!$B$8</f>
        <v/>
      </c>
      <c r="O5164" s="11">
        <f>M5164-N5164</f>
        <v/>
      </c>
    </row>
    <row r="5165">
      <c r="A5165" s="9" t="n">
        <v>45507.125</v>
      </c>
      <c r="B5165" t="n">
        <v>8</v>
      </c>
      <c r="C5165" t="n">
        <v>3</v>
      </c>
      <c r="D5165" t="n">
        <v>3</v>
      </c>
      <c r="E5165" s="10" t="n">
        <v>0</v>
      </c>
      <c r="F5165" s="10" t="n">
        <v>0.2040699369767849</v>
      </c>
      <c r="G5165" s="11">
        <f>E5165*Summary!$B$6</f>
        <v/>
      </c>
      <c r="H5165" s="11">
        <f>F5165*Summary!$B$7</f>
        <v/>
      </c>
      <c r="I5165" s="11">
        <f>MAX(0,N5165-M5165)</f>
        <v/>
      </c>
      <c r="J5165" s="11">
        <f>MAX(0,M5165-N5165)</f>
        <v/>
      </c>
      <c r="K5165" s="11">
        <f>O5165</f>
        <v/>
      </c>
      <c r="L5165" s="11">
        <f>L5164+IF(K5165&gt;0,K5165*Summary!$B$9,K5165/Summary!$B$9)</f>
        <v/>
      </c>
      <c r="M5165" s="11">
        <f>G5165+H5165</f>
        <v/>
      </c>
      <c r="N5165" s="11">
        <f>Summary!$C$16*Summary!$B$8</f>
        <v/>
      </c>
      <c r="O5165" s="11">
        <f>M5165-N5165</f>
        <v/>
      </c>
    </row>
    <row r="5166">
      <c r="A5166" s="9" t="n">
        <v>45507.16666666666</v>
      </c>
      <c r="B5166" t="n">
        <v>8</v>
      </c>
      <c r="C5166" t="n">
        <v>3</v>
      </c>
      <c r="D5166" t="n">
        <v>4</v>
      </c>
      <c r="E5166" s="10" t="n">
        <v>0</v>
      </c>
      <c r="F5166" s="10" t="n">
        <v>0.1896553895172935</v>
      </c>
      <c r="G5166" s="11">
        <f>E5166*Summary!$B$6</f>
        <v/>
      </c>
      <c r="H5166" s="11">
        <f>F5166*Summary!$B$7</f>
        <v/>
      </c>
      <c r="I5166" s="11">
        <f>MAX(0,N5166-M5166)</f>
        <v/>
      </c>
      <c r="J5166" s="11">
        <f>MAX(0,M5166-N5166)</f>
        <v/>
      </c>
      <c r="K5166" s="11">
        <f>O5166</f>
        <v/>
      </c>
      <c r="L5166" s="11">
        <f>L5165+IF(K5166&gt;0,K5166*Summary!$B$9,K5166/Summary!$B$9)</f>
        <v/>
      </c>
      <c r="M5166" s="11">
        <f>G5166+H5166</f>
        <v/>
      </c>
      <c r="N5166" s="11">
        <f>Summary!$C$16*Summary!$B$8</f>
        <v/>
      </c>
      <c r="O5166" s="11">
        <f>M5166-N5166</f>
        <v/>
      </c>
    </row>
    <row r="5167">
      <c r="A5167" s="9" t="n">
        <v>45507.20833333334</v>
      </c>
      <c r="B5167" t="n">
        <v>8</v>
      </c>
      <c r="C5167" t="n">
        <v>3</v>
      </c>
      <c r="D5167" t="n">
        <v>5</v>
      </c>
      <c r="E5167" s="10" t="n">
        <v>0.012884</v>
      </c>
      <c r="F5167" s="10" t="n">
        <v>0.1682575603818145</v>
      </c>
      <c r="G5167" s="11">
        <f>E5167*Summary!$B$6</f>
        <v/>
      </c>
      <c r="H5167" s="11">
        <f>F5167*Summary!$B$7</f>
        <v/>
      </c>
      <c r="I5167" s="11">
        <f>MAX(0,N5167-M5167)</f>
        <v/>
      </c>
      <c r="J5167" s="11">
        <f>MAX(0,M5167-N5167)</f>
        <v/>
      </c>
      <c r="K5167" s="11">
        <f>O5167</f>
        <v/>
      </c>
      <c r="L5167" s="11">
        <f>L5166+IF(K5167&gt;0,K5167*Summary!$B$9,K5167/Summary!$B$9)</f>
        <v/>
      </c>
      <c r="M5167" s="11">
        <f>G5167+H5167</f>
        <v/>
      </c>
      <c r="N5167" s="11">
        <f>Summary!$C$16*Summary!$B$8</f>
        <v/>
      </c>
      <c r="O5167" s="11">
        <f>M5167-N5167</f>
        <v/>
      </c>
    </row>
    <row r="5168">
      <c r="A5168" s="9" t="n">
        <v>45507.25</v>
      </c>
      <c r="B5168" t="n">
        <v>8</v>
      </c>
      <c r="C5168" t="n">
        <v>3</v>
      </c>
      <c r="D5168" t="n">
        <v>6</v>
      </c>
      <c r="E5168" s="10" t="n">
        <v>0.078871</v>
      </c>
      <c r="F5168" s="10" t="n">
        <v>0.1455421309301114</v>
      </c>
      <c r="G5168" s="11">
        <f>E5168*Summary!$B$6</f>
        <v/>
      </c>
      <c r="H5168" s="11">
        <f>F5168*Summary!$B$7</f>
        <v/>
      </c>
      <c r="I5168" s="11">
        <f>MAX(0,N5168-M5168)</f>
        <v/>
      </c>
      <c r="J5168" s="11">
        <f>MAX(0,M5168-N5168)</f>
        <v/>
      </c>
      <c r="K5168" s="11">
        <f>O5168</f>
        <v/>
      </c>
      <c r="L5168" s="11">
        <f>L5167+IF(K5168&gt;0,K5168*Summary!$B$9,K5168/Summary!$B$9)</f>
        <v/>
      </c>
      <c r="M5168" s="11">
        <f>G5168+H5168</f>
        <v/>
      </c>
      <c r="N5168" s="11">
        <f>Summary!$C$16*Summary!$B$8</f>
        <v/>
      </c>
      <c r="O5168" s="11">
        <f>M5168-N5168</f>
        <v/>
      </c>
    </row>
    <row r="5169">
      <c r="A5169" s="9" t="n">
        <v>45507.29166666666</v>
      </c>
      <c r="B5169" t="n">
        <v>8</v>
      </c>
      <c r="C5169" t="n">
        <v>3</v>
      </c>
      <c r="D5169" t="n">
        <v>7</v>
      </c>
      <c r="E5169" s="10" t="n">
        <v>0.106167</v>
      </c>
      <c r="F5169" s="10" t="n">
        <v>0.1335783200587968</v>
      </c>
      <c r="G5169" s="11">
        <f>E5169*Summary!$B$6</f>
        <v/>
      </c>
      <c r="H5169" s="11">
        <f>F5169*Summary!$B$7</f>
        <v/>
      </c>
      <c r="I5169" s="11">
        <f>MAX(0,N5169-M5169)</f>
        <v/>
      </c>
      <c r="J5169" s="11">
        <f>MAX(0,M5169-N5169)</f>
        <v/>
      </c>
      <c r="K5169" s="11">
        <f>O5169</f>
        <v/>
      </c>
      <c r="L5169" s="11">
        <f>L5168+IF(K5169&gt;0,K5169*Summary!$B$9,K5169/Summary!$B$9)</f>
        <v/>
      </c>
      <c r="M5169" s="11">
        <f>G5169+H5169</f>
        <v/>
      </c>
      <c r="N5169" s="11">
        <f>Summary!$C$16*Summary!$B$8</f>
        <v/>
      </c>
      <c r="O5169" s="11">
        <f>M5169-N5169</f>
        <v/>
      </c>
    </row>
    <row r="5170">
      <c r="A5170" s="9" t="n">
        <v>45507.33333333334</v>
      </c>
      <c r="B5170" t="n">
        <v>8</v>
      </c>
      <c r="C5170" t="n">
        <v>3</v>
      </c>
      <c r="D5170" t="n">
        <v>8</v>
      </c>
      <c r="E5170" s="10" t="n">
        <v>0.274698</v>
      </c>
      <c r="F5170" s="10" t="n">
        <v>0.1300207992049918</v>
      </c>
      <c r="G5170" s="11">
        <f>E5170*Summary!$B$6</f>
        <v/>
      </c>
      <c r="H5170" s="11">
        <f>F5170*Summary!$B$7</f>
        <v/>
      </c>
      <c r="I5170" s="11">
        <f>MAX(0,N5170-M5170)</f>
        <v/>
      </c>
      <c r="J5170" s="11">
        <f>MAX(0,M5170-N5170)</f>
        <v/>
      </c>
      <c r="K5170" s="11">
        <f>O5170</f>
        <v/>
      </c>
      <c r="L5170" s="11">
        <f>L5169+IF(K5170&gt;0,K5170*Summary!$B$9,K5170/Summary!$B$9)</f>
        <v/>
      </c>
      <c r="M5170" s="11">
        <f>G5170+H5170</f>
        <v/>
      </c>
      <c r="N5170" s="11">
        <f>Summary!$C$16*Summary!$B$8</f>
        <v/>
      </c>
      <c r="O5170" s="11">
        <f>M5170-N5170</f>
        <v/>
      </c>
    </row>
    <row r="5171">
      <c r="A5171" s="9" t="n">
        <v>45507.375</v>
      </c>
      <c r="B5171" t="n">
        <v>8</v>
      </c>
      <c r="C5171" t="n">
        <v>3</v>
      </c>
      <c r="D5171" t="n">
        <v>9</v>
      </c>
      <c r="E5171" s="10" t="n">
        <v>0.627098</v>
      </c>
      <c r="F5171" s="10" t="n">
        <v>0.1341317121916109</v>
      </c>
      <c r="G5171" s="11">
        <f>E5171*Summary!$B$6</f>
        <v/>
      </c>
      <c r="H5171" s="11">
        <f>F5171*Summary!$B$7</f>
        <v/>
      </c>
      <c r="I5171" s="11">
        <f>MAX(0,N5171-M5171)</f>
        <v/>
      </c>
      <c r="J5171" s="11">
        <f>MAX(0,M5171-N5171)</f>
        <v/>
      </c>
      <c r="K5171" s="11">
        <f>O5171</f>
        <v/>
      </c>
      <c r="L5171" s="11">
        <f>L5170+IF(K5171&gt;0,K5171*Summary!$B$9,K5171/Summary!$B$9)</f>
        <v/>
      </c>
      <c r="M5171" s="11">
        <f>G5171+H5171</f>
        <v/>
      </c>
      <c r="N5171" s="11">
        <f>Summary!$C$16*Summary!$B$8</f>
        <v/>
      </c>
      <c r="O5171" s="11">
        <f>M5171-N5171</f>
        <v/>
      </c>
    </row>
    <row r="5172">
      <c r="A5172" s="9" t="n">
        <v>45507.41666666666</v>
      </c>
      <c r="B5172" t="n">
        <v>8</v>
      </c>
      <c r="C5172" t="n">
        <v>3</v>
      </c>
      <c r="D5172" t="n">
        <v>10</v>
      </c>
      <c r="E5172" s="10" t="n">
        <v>0.754058</v>
      </c>
      <c r="F5172" s="10" t="n">
        <v>0.1444353466644832</v>
      </c>
      <c r="G5172" s="11">
        <f>E5172*Summary!$B$6</f>
        <v/>
      </c>
      <c r="H5172" s="11">
        <f>F5172*Summary!$B$7</f>
        <v/>
      </c>
      <c r="I5172" s="11">
        <f>MAX(0,N5172-M5172)</f>
        <v/>
      </c>
      <c r="J5172" s="11">
        <f>MAX(0,M5172-N5172)</f>
        <v/>
      </c>
      <c r="K5172" s="11">
        <f>O5172</f>
        <v/>
      </c>
      <c r="L5172" s="11">
        <f>L5171+IF(K5172&gt;0,K5172*Summary!$B$9,K5172/Summary!$B$9)</f>
        <v/>
      </c>
      <c r="M5172" s="11">
        <f>G5172+H5172</f>
        <v/>
      </c>
      <c r="N5172" s="11">
        <f>Summary!$C$16*Summary!$B$8</f>
        <v/>
      </c>
      <c r="O5172" s="11">
        <f>M5172-N5172</f>
        <v/>
      </c>
    </row>
    <row r="5173">
      <c r="A5173" s="9" t="n">
        <v>45507.45833333334</v>
      </c>
      <c r="B5173" t="n">
        <v>8</v>
      </c>
      <c r="C5173" t="n">
        <v>3</v>
      </c>
      <c r="D5173" t="n">
        <v>11</v>
      </c>
      <c r="E5173" s="10" t="n">
        <v>0.754058</v>
      </c>
      <c r="F5173" s="10" t="n">
        <v>0.1555295413270899</v>
      </c>
      <c r="G5173" s="11">
        <f>E5173*Summary!$B$6</f>
        <v/>
      </c>
      <c r="H5173" s="11">
        <f>F5173*Summary!$B$7</f>
        <v/>
      </c>
      <c r="I5173" s="11">
        <f>MAX(0,N5173-M5173)</f>
        <v/>
      </c>
      <c r="J5173" s="11">
        <f>MAX(0,M5173-N5173)</f>
        <v/>
      </c>
      <c r="K5173" s="11">
        <f>O5173</f>
        <v/>
      </c>
      <c r="L5173" s="11">
        <f>L5172+IF(K5173&gt;0,K5173*Summary!$B$9,K5173/Summary!$B$9)</f>
        <v/>
      </c>
      <c r="M5173" s="11">
        <f>G5173+H5173</f>
        <v/>
      </c>
      <c r="N5173" s="11">
        <f>Summary!$C$16*Summary!$B$8</f>
        <v/>
      </c>
      <c r="O5173" s="11">
        <f>M5173-N5173</f>
        <v/>
      </c>
    </row>
    <row r="5174">
      <c r="A5174" s="9" t="n">
        <v>45507.5</v>
      </c>
      <c r="B5174" t="n">
        <v>8</v>
      </c>
      <c r="C5174" t="n">
        <v>3</v>
      </c>
      <c r="D5174" t="n">
        <v>12</v>
      </c>
      <c r="E5174" s="10" t="n">
        <v>0.754058</v>
      </c>
      <c r="F5174" s="10" t="n">
        <v>0.1684156724197614</v>
      </c>
      <c r="G5174" s="11">
        <f>E5174*Summary!$B$6</f>
        <v/>
      </c>
      <c r="H5174" s="11">
        <f>F5174*Summary!$B$7</f>
        <v/>
      </c>
      <c r="I5174" s="11">
        <f>MAX(0,N5174-M5174)</f>
        <v/>
      </c>
      <c r="J5174" s="11">
        <f>MAX(0,M5174-N5174)</f>
        <v/>
      </c>
      <c r="K5174" s="11">
        <f>O5174</f>
        <v/>
      </c>
      <c r="L5174" s="11">
        <f>L5173+IF(K5174&gt;0,K5174*Summary!$B$9,K5174/Summary!$B$9)</f>
        <v/>
      </c>
      <c r="M5174" s="11">
        <f>G5174+H5174</f>
        <v/>
      </c>
      <c r="N5174" s="11">
        <f>Summary!$C$16*Summary!$B$8</f>
        <v/>
      </c>
      <c r="O5174" s="11">
        <f>M5174-N5174</f>
        <v/>
      </c>
    </row>
    <row r="5175">
      <c r="A5175" s="9" t="n">
        <v>45507.54166666666</v>
      </c>
      <c r="B5175" t="n">
        <v>8</v>
      </c>
      <c r="C5175" t="n">
        <v>3</v>
      </c>
      <c r="D5175" t="n">
        <v>13</v>
      </c>
      <c r="E5175" s="10" t="n">
        <v>0.716564</v>
      </c>
      <c r="F5175" s="10" t="n">
        <v>0.1771118345068403</v>
      </c>
      <c r="G5175" s="11">
        <f>E5175*Summary!$B$6</f>
        <v/>
      </c>
      <c r="H5175" s="11">
        <f>F5175*Summary!$B$7</f>
        <v/>
      </c>
      <c r="I5175" s="11">
        <f>MAX(0,N5175-M5175)</f>
        <v/>
      </c>
      <c r="J5175" s="11">
        <f>MAX(0,M5175-N5175)</f>
        <v/>
      </c>
      <c r="K5175" s="11">
        <f>O5175</f>
        <v/>
      </c>
      <c r="L5175" s="11">
        <f>L5174+IF(K5175&gt;0,K5175*Summary!$B$9,K5175/Summary!$B$9)</f>
        <v/>
      </c>
      <c r="M5175" s="11">
        <f>G5175+H5175</f>
        <v/>
      </c>
      <c r="N5175" s="11">
        <f>Summary!$C$16*Summary!$B$8</f>
        <v/>
      </c>
      <c r="O5175" s="11">
        <f>M5175-N5175</f>
        <v/>
      </c>
    </row>
    <row r="5176">
      <c r="A5176" s="9" t="n">
        <v>45507.58333333334</v>
      </c>
      <c r="B5176" t="n">
        <v>8</v>
      </c>
      <c r="C5176" t="n">
        <v>3</v>
      </c>
      <c r="D5176" t="n">
        <v>14</v>
      </c>
      <c r="E5176" s="10" t="n">
        <v>0.557237</v>
      </c>
      <c r="F5176" s="10" t="n">
        <v>0.201013104243145</v>
      </c>
      <c r="G5176" s="11">
        <f>E5176*Summary!$B$6</f>
        <v/>
      </c>
      <c r="H5176" s="11">
        <f>F5176*Summary!$B$7</f>
        <v/>
      </c>
      <c r="I5176" s="11">
        <f>MAX(0,N5176-M5176)</f>
        <v/>
      </c>
      <c r="J5176" s="11">
        <f>MAX(0,M5176-N5176)</f>
        <v/>
      </c>
      <c r="K5176" s="11">
        <f>O5176</f>
        <v/>
      </c>
      <c r="L5176" s="11">
        <f>L5175+IF(K5176&gt;0,K5176*Summary!$B$9,K5176/Summary!$B$9)</f>
        <v/>
      </c>
      <c r="M5176" s="11">
        <f>G5176+H5176</f>
        <v/>
      </c>
      <c r="N5176" s="11">
        <f>Summary!$C$16*Summary!$B$8</f>
        <v/>
      </c>
      <c r="O5176" s="11">
        <f>M5176-N5176</f>
        <v/>
      </c>
    </row>
    <row r="5177">
      <c r="A5177" s="9" t="n">
        <v>45507.625</v>
      </c>
      <c r="B5177" t="n">
        <v>8</v>
      </c>
      <c r="C5177" t="n">
        <v>3</v>
      </c>
      <c r="D5177" t="n">
        <v>15</v>
      </c>
      <c r="E5177" s="10" t="n">
        <v>0.576101</v>
      </c>
      <c r="F5177" s="10" t="n">
        <v>0.1913946219347093</v>
      </c>
      <c r="G5177" s="11">
        <f>E5177*Summary!$B$6</f>
        <v/>
      </c>
      <c r="H5177" s="11">
        <f>F5177*Summary!$B$7</f>
        <v/>
      </c>
      <c r="I5177" s="11">
        <f>MAX(0,N5177-M5177)</f>
        <v/>
      </c>
      <c r="J5177" s="11">
        <f>MAX(0,M5177-N5177)</f>
        <v/>
      </c>
      <c r="K5177" s="11">
        <f>O5177</f>
        <v/>
      </c>
      <c r="L5177" s="11">
        <f>L5176+IF(K5177&gt;0,K5177*Summary!$B$9,K5177/Summary!$B$9)</f>
        <v/>
      </c>
      <c r="M5177" s="11">
        <f>G5177+H5177</f>
        <v/>
      </c>
      <c r="N5177" s="11">
        <f>Summary!$C$16*Summary!$B$8</f>
        <v/>
      </c>
      <c r="O5177" s="11">
        <f>M5177-N5177</f>
        <v/>
      </c>
    </row>
    <row r="5178">
      <c r="A5178" s="9" t="n">
        <v>45507.66666666666</v>
      </c>
      <c r="B5178" t="n">
        <v>8</v>
      </c>
      <c r="C5178" t="n">
        <v>3</v>
      </c>
      <c r="D5178" t="n">
        <v>16</v>
      </c>
      <c r="E5178" s="10" t="n">
        <v>0.427342</v>
      </c>
      <c r="F5178" s="10" t="n">
        <v>0.19110474986514</v>
      </c>
      <c r="G5178" s="11">
        <f>E5178*Summary!$B$6</f>
        <v/>
      </c>
      <c r="H5178" s="11">
        <f>F5178*Summary!$B$7</f>
        <v/>
      </c>
      <c r="I5178" s="11">
        <f>MAX(0,N5178-M5178)</f>
        <v/>
      </c>
      <c r="J5178" s="11">
        <f>MAX(0,M5178-N5178)</f>
        <v/>
      </c>
      <c r="K5178" s="11">
        <f>O5178</f>
        <v/>
      </c>
      <c r="L5178" s="11">
        <f>L5177+IF(K5178&gt;0,K5178*Summary!$B$9,K5178/Summary!$B$9)</f>
        <v/>
      </c>
      <c r="M5178" s="11">
        <f>G5178+H5178</f>
        <v/>
      </c>
      <c r="N5178" s="11">
        <f>Summary!$C$16*Summary!$B$8</f>
        <v/>
      </c>
      <c r="O5178" s="11">
        <f>M5178-N5178</f>
        <v/>
      </c>
    </row>
    <row r="5179">
      <c r="A5179" s="9" t="n">
        <v>45507.70833333334</v>
      </c>
      <c r="B5179" t="n">
        <v>8</v>
      </c>
      <c r="C5179" t="n">
        <v>3</v>
      </c>
      <c r="D5179" t="n">
        <v>17</v>
      </c>
      <c r="E5179" s="10" t="n">
        <v>0.226461</v>
      </c>
      <c r="F5179" s="10" t="n">
        <v>0.1847802683472644</v>
      </c>
      <c r="G5179" s="11">
        <f>E5179*Summary!$B$6</f>
        <v/>
      </c>
      <c r="H5179" s="11">
        <f>F5179*Summary!$B$7</f>
        <v/>
      </c>
      <c r="I5179" s="11">
        <f>MAX(0,N5179-M5179)</f>
        <v/>
      </c>
      <c r="J5179" s="11">
        <f>MAX(0,M5179-N5179)</f>
        <v/>
      </c>
      <c r="K5179" s="11">
        <f>O5179</f>
        <v/>
      </c>
      <c r="L5179" s="11">
        <f>L5178+IF(K5179&gt;0,K5179*Summary!$B$9,K5179/Summary!$B$9)</f>
        <v/>
      </c>
      <c r="M5179" s="11">
        <f>G5179+H5179</f>
        <v/>
      </c>
      <c r="N5179" s="11">
        <f>Summary!$C$16*Summary!$B$8</f>
        <v/>
      </c>
      <c r="O5179" s="11">
        <f>M5179-N5179</f>
        <v/>
      </c>
    </row>
    <row r="5180">
      <c r="A5180" s="9" t="n">
        <v>45507.75</v>
      </c>
      <c r="B5180" t="n">
        <v>8</v>
      </c>
      <c r="C5180" t="n">
        <v>3</v>
      </c>
      <c r="D5180" t="n">
        <v>18</v>
      </c>
      <c r="E5180" s="10" t="n">
        <v>0.072878</v>
      </c>
      <c r="F5180" s="10" t="n">
        <v>0.1840160601638544</v>
      </c>
      <c r="G5180" s="11">
        <f>E5180*Summary!$B$6</f>
        <v/>
      </c>
      <c r="H5180" s="11">
        <f>F5180*Summary!$B$7</f>
        <v/>
      </c>
      <c r="I5180" s="11">
        <f>MAX(0,N5180-M5180)</f>
        <v/>
      </c>
      <c r="J5180" s="11">
        <f>MAX(0,M5180-N5180)</f>
        <v/>
      </c>
      <c r="K5180" s="11">
        <f>O5180</f>
        <v/>
      </c>
      <c r="L5180" s="11">
        <f>L5179+IF(K5180&gt;0,K5180*Summary!$B$9,K5180/Summary!$B$9)</f>
        <v/>
      </c>
      <c r="M5180" s="11">
        <f>G5180+H5180</f>
        <v/>
      </c>
      <c r="N5180" s="11">
        <f>Summary!$C$16*Summary!$B$8</f>
        <v/>
      </c>
      <c r="O5180" s="11">
        <f>M5180-N5180</f>
        <v/>
      </c>
    </row>
    <row r="5181">
      <c r="A5181" s="9" t="n">
        <v>45507.79166666666</v>
      </c>
      <c r="B5181" t="n">
        <v>8</v>
      </c>
      <c r="C5181" t="n">
        <v>3</v>
      </c>
      <c r="D5181" t="n">
        <v>19</v>
      </c>
      <c r="E5181" s="10" t="n">
        <v>0.030793</v>
      </c>
      <c r="F5181" s="10" t="n">
        <v>0.1887067172896121</v>
      </c>
      <c r="G5181" s="11">
        <f>E5181*Summary!$B$6</f>
        <v/>
      </c>
      <c r="H5181" s="11">
        <f>F5181*Summary!$B$7</f>
        <v/>
      </c>
      <c r="I5181" s="11">
        <f>MAX(0,N5181-M5181)</f>
        <v/>
      </c>
      <c r="J5181" s="11">
        <f>MAX(0,M5181-N5181)</f>
        <v/>
      </c>
      <c r="K5181" s="11">
        <f>O5181</f>
        <v/>
      </c>
      <c r="L5181" s="11">
        <f>L5180+IF(K5181&gt;0,K5181*Summary!$B$9,K5181/Summary!$B$9)</f>
        <v/>
      </c>
      <c r="M5181" s="11">
        <f>G5181+H5181</f>
        <v/>
      </c>
      <c r="N5181" s="11">
        <f>Summary!$C$16*Summary!$B$8</f>
        <v/>
      </c>
      <c r="O5181" s="11">
        <f>M5181-N5181</f>
        <v/>
      </c>
    </row>
    <row r="5182">
      <c r="A5182" s="9" t="n">
        <v>45507.83333333334</v>
      </c>
      <c r="B5182" t="n">
        <v>8</v>
      </c>
      <c r="C5182" t="n">
        <v>3</v>
      </c>
      <c r="D5182" t="n">
        <v>20</v>
      </c>
      <c r="E5182" s="10" t="n">
        <v>0</v>
      </c>
      <c r="F5182" s="10" t="n">
        <v>0.2029895047174811</v>
      </c>
      <c r="G5182" s="11">
        <f>E5182*Summary!$B$6</f>
        <v/>
      </c>
      <c r="H5182" s="11">
        <f>F5182*Summary!$B$7</f>
        <v/>
      </c>
      <c r="I5182" s="11">
        <f>MAX(0,N5182-M5182)</f>
        <v/>
      </c>
      <c r="J5182" s="11">
        <f>MAX(0,M5182-N5182)</f>
        <v/>
      </c>
      <c r="K5182" s="11">
        <f>O5182</f>
        <v/>
      </c>
      <c r="L5182" s="11">
        <f>L5181+IF(K5182&gt;0,K5182*Summary!$B$9,K5182/Summary!$B$9)</f>
        <v/>
      </c>
      <c r="M5182" s="11">
        <f>G5182+H5182</f>
        <v/>
      </c>
      <c r="N5182" s="11">
        <f>Summary!$C$16*Summary!$B$8</f>
        <v/>
      </c>
      <c r="O5182" s="11">
        <f>M5182-N5182</f>
        <v/>
      </c>
    </row>
    <row r="5183">
      <c r="A5183" s="9" t="n">
        <v>45507.875</v>
      </c>
      <c r="B5183" t="n">
        <v>8</v>
      </c>
      <c r="C5183" t="n">
        <v>3</v>
      </c>
      <c r="D5183" t="n">
        <v>21</v>
      </c>
      <c r="E5183" s="10" t="n">
        <v>0</v>
      </c>
      <c r="F5183" s="10" t="n">
        <v>0.2126079870259169</v>
      </c>
      <c r="G5183" s="11">
        <f>E5183*Summary!$B$6</f>
        <v/>
      </c>
      <c r="H5183" s="11">
        <f>F5183*Summary!$B$7</f>
        <v/>
      </c>
      <c r="I5183" s="11">
        <f>MAX(0,N5183-M5183)</f>
        <v/>
      </c>
      <c r="J5183" s="11">
        <f>MAX(0,M5183-N5183)</f>
        <v/>
      </c>
      <c r="K5183" s="11">
        <f>O5183</f>
        <v/>
      </c>
      <c r="L5183" s="11">
        <f>L5182+IF(K5183&gt;0,K5183*Summary!$B$9,K5183/Summary!$B$9)</f>
        <v/>
      </c>
      <c r="M5183" s="11">
        <f>G5183+H5183</f>
        <v/>
      </c>
      <c r="N5183" s="11">
        <f>Summary!$C$16*Summary!$B$8</f>
        <v/>
      </c>
      <c r="O5183" s="11">
        <f>M5183-N5183</f>
        <v/>
      </c>
    </row>
    <row r="5184">
      <c r="A5184" s="9" t="n">
        <v>45507.91666666666</v>
      </c>
      <c r="B5184" t="n">
        <v>8</v>
      </c>
      <c r="C5184" t="n">
        <v>3</v>
      </c>
      <c r="D5184" t="n">
        <v>22</v>
      </c>
      <c r="E5184" s="10" t="n">
        <v>0</v>
      </c>
      <c r="F5184" s="10" t="n">
        <v>0.2148215555571733</v>
      </c>
      <c r="G5184" s="11">
        <f>E5184*Summary!$B$6</f>
        <v/>
      </c>
      <c r="H5184" s="11">
        <f>F5184*Summary!$B$7</f>
        <v/>
      </c>
      <c r="I5184" s="11">
        <f>MAX(0,N5184-M5184)</f>
        <v/>
      </c>
      <c r="J5184" s="11">
        <f>MAX(0,M5184-N5184)</f>
        <v/>
      </c>
      <c r="K5184" s="11">
        <f>O5184</f>
        <v/>
      </c>
      <c r="L5184" s="11">
        <f>L5183+IF(K5184&gt;0,K5184*Summary!$B$9,K5184/Summary!$B$9)</f>
        <v/>
      </c>
      <c r="M5184" s="11">
        <f>G5184+H5184</f>
        <v/>
      </c>
      <c r="N5184" s="11">
        <f>Summary!$C$16*Summary!$B$8</f>
        <v/>
      </c>
      <c r="O5184" s="11">
        <f>M5184-N5184</f>
        <v/>
      </c>
    </row>
    <row r="5185">
      <c r="A5185" s="9" t="n">
        <v>45507.95833333334</v>
      </c>
      <c r="B5185" t="n">
        <v>8</v>
      </c>
      <c r="C5185" t="n">
        <v>3</v>
      </c>
      <c r="D5185" t="n">
        <v>23</v>
      </c>
      <c r="E5185" s="10" t="n">
        <v>0</v>
      </c>
      <c r="F5185" s="10" t="n">
        <v>0.2113167387160173</v>
      </c>
      <c r="G5185" s="11">
        <f>E5185*Summary!$B$6</f>
        <v/>
      </c>
      <c r="H5185" s="11">
        <f>F5185*Summary!$B$7</f>
        <v/>
      </c>
      <c r="I5185" s="11">
        <f>MAX(0,N5185-M5185)</f>
        <v/>
      </c>
      <c r="J5185" s="11">
        <f>MAX(0,M5185-N5185)</f>
        <v/>
      </c>
      <c r="K5185" s="11">
        <f>O5185</f>
        <v/>
      </c>
      <c r="L5185" s="11">
        <f>L5184+IF(K5185&gt;0,K5185*Summary!$B$9,K5185/Summary!$B$9)</f>
        <v/>
      </c>
      <c r="M5185" s="11">
        <f>G5185+H5185</f>
        <v/>
      </c>
      <c r="N5185" s="11">
        <f>Summary!$C$16*Summary!$B$8</f>
        <v/>
      </c>
      <c r="O5185" s="11">
        <f>M5185-N5185</f>
        <v/>
      </c>
    </row>
    <row r="5186">
      <c r="A5186" s="9" t="n">
        <v>45508</v>
      </c>
      <c r="B5186" t="n">
        <v>8</v>
      </c>
      <c r="C5186" t="n">
        <v>4</v>
      </c>
      <c r="D5186" t="n">
        <v>0</v>
      </c>
      <c r="E5186" s="10" t="n">
        <v>0</v>
      </c>
      <c r="F5186" s="10" t="n">
        <v>0.223781237707497</v>
      </c>
      <c r="G5186" s="11">
        <f>E5186*Summary!$B$6</f>
        <v/>
      </c>
      <c r="H5186" s="11">
        <f>F5186*Summary!$B$7</f>
        <v/>
      </c>
      <c r="I5186" s="11">
        <f>MAX(0,N5186-M5186)</f>
        <v/>
      </c>
      <c r="J5186" s="11">
        <f>MAX(0,M5186-N5186)</f>
        <v/>
      </c>
      <c r="K5186" s="11">
        <f>O5186</f>
        <v/>
      </c>
      <c r="L5186" s="11">
        <f>L5185+IF(K5186&gt;0,K5186*Summary!$B$9,K5186/Summary!$B$9)</f>
        <v/>
      </c>
      <c r="M5186" s="11">
        <f>G5186+H5186</f>
        <v/>
      </c>
      <c r="N5186" s="11">
        <f>Summary!$C$16*Summary!$B$8</f>
        <v/>
      </c>
      <c r="O5186" s="11">
        <f>M5186-N5186</f>
        <v/>
      </c>
    </row>
    <row r="5187">
      <c r="A5187" s="9" t="n">
        <v>45508.04166666666</v>
      </c>
      <c r="B5187" t="n">
        <v>8</v>
      </c>
      <c r="C5187" t="n">
        <v>4</v>
      </c>
      <c r="D5187" t="n">
        <v>1</v>
      </c>
      <c r="E5187" s="10" t="n">
        <v>0</v>
      </c>
      <c r="F5187" s="10" t="n">
        <v>0.196744079218579</v>
      </c>
      <c r="G5187" s="11">
        <f>E5187*Summary!$B$6</f>
        <v/>
      </c>
      <c r="H5187" s="11">
        <f>F5187*Summary!$B$7</f>
        <v/>
      </c>
      <c r="I5187" s="11">
        <f>MAX(0,N5187-M5187)</f>
        <v/>
      </c>
      <c r="J5187" s="11">
        <f>MAX(0,M5187-N5187)</f>
        <v/>
      </c>
      <c r="K5187" s="11">
        <f>O5187</f>
        <v/>
      </c>
      <c r="L5187" s="11">
        <f>L5186+IF(K5187&gt;0,K5187*Summary!$B$9,K5187/Summary!$B$9)</f>
        <v/>
      </c>
      <c r="M5187" s="11">
        <f>G5187+H5187</f>
        <v/>
      </c>
      <c r="N5187" s="11">
        <f>Summary!$C$16*Summary!$B$8</f>
        <v/>
      </c>
      <c r="O5187" s="11">
        <f>M5187-N5187</f>
        <v/>
      </c>
    </row>
    <row r="5188">
      <c r="A5188" s="9" t="n">
        <v>45508.08333333334</v>
      </c>
      <c r="B5188" t="n">
        <v>8</v>
      </c>
      <c r="C5188" t="n">
        <v>4</v>
      </c>
      <c r="D5188" t="n">
        <v>2</v>
      </c>
      <c r="E5188" s="10" t="n">
        <v>0</v>
      </c>
      <c r="F5188" s="10" t="n">
        <v>0.1891283493908038</v>
      </c>
      <c r="G5188" s="11">
        <f>E5188*Summary!$B$6</f>
        <v/>
      </c>
      <c r="H5188" s="11">
        <f>F5188*Summary!$B$7</f>
        <v/>
      </c>
      <c r="I5188" s="11">
        <f>MAX(0,N5188-M5188)</f>
        <v/>
      </c>
      <c r="J5188" s="11">
        <f>MAX(0,M5188-N5188)</f>
        <v/>
      </c>
      <c r="K5188" s="11">
        <f>O5188</f>
        <v/>
      </c>
      <c r="L5188" s="11">
        <f>L5187+IF(K5188&gt;0,K5188*Summary!$B$9,K5188/Summary!$B$9)</f>
        <v/>
      </c>
      <c r="M5188" s="11">
        <f>G5188+H5188</f>
        <v/>
      </c>
      <c r="N5188" s="11">
        <f>Summary!$C$16*Summary!$B$8</f>
        <v/>
      </c>
      <c r="O5188" s="11">
        <f>M5188-N5188</f>
        <v/>
      </c>
    </row>
    <row r="5189">
      <c r="A5189" s="9" t="n">
        <v>45508.125</v>
      </c>
      <c r="B5189" t="n">
        <v>8</v>
      </c>
      <c r="C5189" t="n">
        <v>4</v>
      </c>
      <c r="D5189" t="n">
        <v>3</v>
      </c>
      <c r="E5189" s="10" t="n">
        <v>0</v>
      </c>
      <c r="F5189" s="10" t="n">
        <v>0.179720683132964</v>
      </c>
      <c r="G5189" s="11">
        <f>E5189*Summary!$B$6</f>
        <v/>
      </c>
      <c r="H5189" s="11">
        <f>F5189*Summary!$B$7</f>
        <v/>
      </c>
      <c r="I5189" s="11">
        <f>MAX(0,N5189-M5189)</f>
        <v/>
      </c>
      <c r="J5189" s="11">
        <f>MAX(0,M5189-N5189)</f>
        <v/>
      </c>
      <c r="K5189" s="11">
        <f>O5189</f>
        <v/>
      </c>
      <c r="L5189" s="11">
        <f>L5188+IF(K5189&gt;0,K5189*Summary!$B$9,K5189/Summary!$B$9)</f>
        <v/>
      </c>
      <c r="M5189" s="11">
        <f>G5189+H5189</f>
        <v/>
      </c>
      <c r="N5189" s="11">
        <f>Summary!$C$16*Summary!$B$8</f>
        <v/>
      </c>
      <c r="O5189" s="11">
        <f>M5189-N5189</f>
        <v/>
      </c>
    </row>
    <row r="5190">
      <c r="A5190" s="9" t="n">
        <v>45508.16666666666</v>
      </c>
      <c r="B5190" t="n">
        <v>8</v>
      </c>
      <c r="C5190" t="n">
        <v>4</v>
      </c>
      <c r="D5190" t="n">
        <v>4</v>
      </c>
      <c r="E5190" s="10" t="n">
        <v>0.009825</v>
      </c>
      <c r="F5190" s="10" t="n">
        <v>0.1724738813937315</v>
      </c>
      <c r="G5190" s="11">
        <f>E5190*Summary!$B$6</f>
        <v/>
      </c>
      <c r="H5190" s="11">
        <f>F5190*Summary!$B$7</f>
        <v/>
      </c>
      <c r="I5190" s="11">
        <f>MAX(0,N5190-M5190)</f>
        <v/>
      </c>
      <c r="J5190" s="11">
        <f>MAX(0,M5190-N5190)</f>
        <v/>
      </c>
      <c r="K5190" s="11">
        <f>O5190</f>
        <v/>
      </c>
      <c r="L5190" s="11">
        <f>L5189+IF(K5190&gt;0,K5190*Summary!$B$9,K5190/Summary!$B$9)</f>
        <v/>
      </c>
      <c r="M5190" s="11">
        <f>G5190+H5190</f>
        <v/>
      </c>
      <c r="N5190" s="11">
        <f>Summary!$C$16*Summary!$B$8</f>
        <v/>
      </c>
      <c r="O5190" s="11">
        <f>M5190-N5190</f>
        <v/>
      </c>
    </row>
    <row r="5191">
      <c r="A5191" s="9" t="n">
        <v>45508.20833333334</v>
      </c>
      <c r="B5191" t="n">
        <v>8</v>
      </c>
      <c r="C5191" t="n">
        <v>4</v>
      </c>
      <c r="D5191" t="n">
        <v>5</v>
      </c>
      <c r="E5191" s="10" t="n">
        <v>0.044886</v>
      </c>
      <c r="F5191" s="10" t="n">
        <v>0.1591134141872194</v>
      </c>
      <c r="G5191" s="11">
        <f>E5191*Summary!$B$6</f>
        <v/>
      </c>
      <c r="H5191" s="11">
        <f>F5191*Summary!$B$7</f>
        <v/>
      </c>
      <c r="I5191" s="11">
        <f>MAX(0,N5191-M5191)</f>
        <v/>
      </c>
      <c r="J5191" s="11">
        <f>MAX(0,M5191-N5191)</f>
        <v/>
      </c>
      <c r="K5191" s="11">
        <f>O5191</f>
        <v/>
      </c>
      <c r="L5191" s="11">
        <f>L5190+IF(K5191&gt;0,K5191*Summary!$B$9,K5191/Summary!$B$9)</f>
        <v/>
      </c>
      <c r="M5191" s="11">
        <f>G5191+H5191</f>
        <v/>
      </c>
      <c r="N5191" s="11">
        <f>Summary!$C$16*Summary!$B$8</f>
        <v/>
      </c>
      <c r="O5191" s="11">
        <f>M5191-N5191</f>
        <v/>
      </c>
    </row>
    <row r="5192">
      <c r="A5192" s="9" t="n">
        <v>45508.25</v>
      </c>
      <c r="B5192" t="n">
        <v>8</v>
      </c>
      <c r="C5192" t="n">
        <v>4</v>
      </c>
      <c r="D5192" t="n">
        <v>6</v>
      </c>
      <c r="E5192" s="10" t="n">
        <v>0.138468</v>
      </c>
      <c r="F5192" s="10" t="n">
        <v>0.146833379240011</v>
      </c>
      <c r="G5192" s="11">
        <f>E5192*Summary!$B$6</f>
        <v/>
      </c>
      <c r="H5192" s="11">
        <f>F5192*Summary!$B$7</f>
        <v/>
      </c>
      <c r="I5192" s="11">
        <f>MAX(0,N5192-M5192)</f>
        <v/>
      </c>
      <c r="J5192" s="11">
        <f>MAX(0,M5192-N5192)</f>
        <v/>
      </c>
      <c r="K5192" s="11">
        <f>O5192</f>
        <v/>
      </c>
      <c r="L5192" s="11">
        <f>L5191+IF(K5192&gt;0,K5192*Summary!$B$9,K5192/Summary!$B$9)</f>
        <v/>
      </c>
      <c r="M5192" s="11">
        <f>G5192+H5192</f>
        <v/>
      </c>
      <c r="N5192" s="11">
        <f>Summary!$C$16*Summary!$B$8</f>
        <v/>
      </c>
      <c r="O5192" s="11">
        <f>M5192-N5192</f>
        <v/>
      </c>
    </row>
    <row r="5193">
      <c r="A5193" s="9" t="n">
        <v>45508.29166666666</v>
      </c>
      <c r="B5193" t="n">
        <v>8</v>
      </c>
      <c r="C5193" t="n">
        <v>4</v>
      </c>
      <c r="D5193" t="n">
        <v>7</v>
      </c>
      <c r="E5193" s="10" t="n">
        <v>0.30899</v>
      </c>
      <c r="F5193" s="10" t="n">
        <v>0.135449312507835</v>
      </c>
      <c r="G5193" s="11">
        <f>E5193*Summary!$B$6</f>
        <v/>
      </c>
      <c r="H5193" s="11">
        <f>F5193*Summary!$B$7</f>
        <v/>
      </c>
      <c r="I5193" s="11">
        <f>MAX(0,N5193-M5193)</f>
        <v/>
      </c>
      <c r="J5193" s="11">
        <f>MAX(0,M5193-N5193)</f>
        <v/>
      </c>
      <c r="K5193" s="11">
        <f>O5193</f>
        <v/>
      </c>
      <c r="L5193" s="11">
        <f>L5192+IF(K5193&gt;0,K5193*Summary!$B$9,K5193/Summary!$B$9)</f>
        <v/>
      </c>
      <c r="M5193" s="11">
        <f>G5193+H5193</f>
        <v/>
      </c>
      <c r="N5193" s="11">
        <f>Summary!$C$16*Summary!$B$8</f>
        <v/>
      </c>
      <c r="O5193" s="11">
        <f>M5193-N5193</f>
        <v/>
      </c>
    </row>
    <row r="5194">
      <c r="A5194" s="9" t="n">
        <v>45508.33333333334</v>
      </c>
      <c r="B5194" t="n">
        <v>8</v>
      </c>
      <c r="C5194" t="n">
        <v>4</v>
      </c>
      <c r="D5194" t="n">
        <v>8</v>
      </c>
      <c r="E5194" s="10" t="n">
        <v>0.5389429999999999</v>
      </c>
      <c r="F5194" s="10" t="n">
        <v>0.1345006402801537</v>
      </c>
      <c r="G5194" s="11">
        <f>E5194*Summary!$B$6</f>
        <v/>
      </c>
      <c r="H5194" s="11">
        <f>F5194*Summary!$B$7</f>
        <v/>
      </c>
      <c r="I5194" s="11">
        <f>MAX(0,N5194-M5194)</f>
        <v/>
      </c>
      <c r="J5194" s="11">
        <f>MAX(0,M5194-N5194)</f>
        <v/>
      </c>
      <c r="K5194" s="11">
        <f>O5194</f>
        <v/>
      </c>
      <c r="L5194" s="11">
        <f>L5193+IF(K5194&gt;0,K5194*Summary!$B$9,K5194/Summary!$B$9)</f>
        <v/>
      </c>
      <c r="M5194" s="11">
        <f>G5194+H5194</f>
        <v/>
      </c>
      <c r="N5194" s="11">
        <f>Summary!$C$16*Summary!$B$8</f>
        <v/>
      </c>
      <c r="O5194" s="11">
        <f>M5194-N5194</f>
        <v/>
      </c>
    </row>
    <row r="5195">
      <c r="A5195" s="9" t="n">
        <v>45508.375</v>
      </c>
      <c r="B5195" t="n">
        <v>8</v>
      </c>
      <c r="C5195" t="n">
        <v>4</v>
      </c>
      <c r="D5195" t="n">
        <v>9</v>
      </c>
      <c r="E5195" s="10" t="n">
        <v>0.683652</v>
      </c>
      <c r="F5195" s="10" t="n">
        <v>0.1370040808809794</v>
      </c>
      <c r="G5195" s="11">
        <f>E5195*Summary!$B$6</f>
        <v/>
      </c>
      <c r="H5195" s="11">
        <f>F5195*Summary!$B$7</f>
        <v/>
      </c>
      <c r="I5195" s="11">
        <f>MAX(0,N5195-M5195)</f>
        <v/>
      </c>
      <c r="J5195" s="11">
        <f>MAX(0,M5195-N5195)</f>
        <v/>
      </c>
      <c r="K5195" s="11">
        <f>O5195</f>
        <v/>
      </c>
      <c r="L5195" s="11">
        <f>L5194+IF(K5195&gt;0,K5195*Summary!$B$9,K5195/Summary!$B$9)</f>
        <v/>
      </c>
      <c r="M5195" s="11">
        <f>G5195+H5195</f>
        <v/>
      </c>
      <c r="N5195" s="11">
        <f>Summary!$C$16*Summary!$B$8</f>
        <v/>
      </c>
      <c r="O5195" s="11">
        <f>M5195-N5195</f>
        <v/>
      </c>
    </row>
    <row r="5196">
      <c r="A5196" s="9" t="n">
        <v>45508.41666666666</v>
      </c>
      <c r="B5196" t="n">
        <v>8</v>
      </c>
      <c r="C5196" t="n">
        <v>4</v>
      </c>
      <c r="D5196" t="n">
        <v>10</v>
      </c>
      <c r="E5196" s="10" t="n">
        <v>0.754058</v>
      </c>
      <c r="F5196" s="10" t="n">
        <v>0.1397973935513745</v>
      </c>
      <c r="G5196" s="11">
        <f>E5196*Summary!$B$6</f>
        <v/>
      </c>
      <c r="H5196" s="11">
        <f>F5196*Summary!$B$7</f>
        <v/>
      </c>
      <c r="I5196" s="11">
        <f>MAX(0,N5196-M5196)</f>
        <v/>
      </c>
      <c r="J5196" s="11">
        <f>MAX(0,M5196-N5196)</f>
        <v/>
      </c>
      <c r="K5196" s="11">
        <f>O5196</f>
        <v/>
      </c>
      <c r="L5196" s="11">
        <f>L5195+IF(K5196&gt;0,K5196*Summary!$B$9,K5196/Summary!$B$9)</f>
        <v/>
      </c>
      <c r="M5196" s="11">
        <f>G5196+H5196</f>
        <v/>
      </c>
      <c r="N5196" s="11">
        <f>Summary!$C$16*Summary!$B$8</f>
        <v/>
      </c>
      <c r="O5196" s="11">
        <f>M5196-N5196</f>
        <v/>
      </c>
    </row>
    <row r="5197">
      <c r="A5197" s="9" t="n">
        <v>45508.45833333334</v>
      </c>
      <c r="B5197" t="n">
        <v>8</v>
      </c>
      <c r="C5197" t="n">
        <v>4</v>
      </c>
      <c r="D5197" t="n">
        <v>11</v>
      </c>
      <c r="E5197" s="10" t="n">
        <v>0.561704</v>
      </c>
      <c r="F5197" s="10" t="n">
        <v>0.1415366259687902</v>
      </c>
      <c r="G5197" s="11">
        <f>E5197*Summary!$B$6</f>
        <v/>
      </c>
      <c r="H5197" s="11">
        <f>F5197*Summary!$B$7</f>
        <v/>
      </c>
      <c r="I5197" s="11">
        <f>MAX(0,N5197-M5197)</f>
        <v/>
      </c>
      <c r="J5197" s="11">
        <f>MAX(0,M5197-N5197)</f>
        <v/>
      </c>
      <c r="K5197" s="11">
        <f>O5197</f>
        <v/>
      </c>
      <c r="L5197" s="11">
        <f>L5196+IF(K5197&gt;0,K5197*Summary!$B$9,K5197/Summary!$B$9)</f>
        <v/>
      </c>
      <c r="M5197" s="11">
        <f>G5197+H5197</f>
        <v/>
      </c>
      <c r="N5197" s="11">
        <f>Summary!$C$16*Summary!$B$8</f>
        <v/>
      </c>
      <c r="O5197" s="11">
        <f>M5197-N5197</f>
        <v/>
      </c>
    </row>
    <row r="5198">
      <c r="A5198" s="9" t="n">
        <v>45508.5</v>
      </c>
      <c r="B5198" t="n">
        <v>8</v>
      </c>
      <c r="C5198" t="n">
        <v>4</v>
      </c>
      <c r="D5198" t="n">
        <v>12</v>
      </c>
      <c r="E5198" s="10" t="n">
        <v>0.754058</v>
      </c>
      <c r="F5198" s="10" t="n">
        <v>0.1466225631894152</v>
      </c>
      <c r="G5198" s="11">
        <f>E5198*Summary!$B$6</f>
        <v/>
      </c>
      <c r="H5198" s="11">
        <f>F5198*Summary!$B$7</f>
        <v/>
      </c>
      <c r="I5198" s="11">
        <f>MAX(0,N5198-M5198)</f>
        <v/>
      </c>
      <c r="J5198" s="11">
        <f>MAX(0,M5198-N5198)</f>
        <v/>
      </c>
      <c r="K5198" s="11">
        <f>O5198</f>
        <v/>
      </c>
      <c r="L5198" s="11">
        <f>L5197+IF(K5198&gt;0,K5198*Summary!$B$9,K5198/Summary!$B$9)</f>
        <v/>
      </c>
      <c r="M5198" s="11">
        <f>G5198+H5198</f>
        <v/>
      </c>
      <c r="N5198" s="11">
        <f>Summary!$C$16*Summary!$B$8</f>
        <v/>
      </c>
      <c r="O5198" s="11">
        <f>M5198-N5198</f>
        <v/>
      </c>
    </row>
    <row r="5199">
      <c r="A5199" s="9" t="n">
        <v>45508.54166666666</v>
      </c>
      <c r="B5199" t="n">
        <v>8</v>
      </c>
      <c r="C5199" t="n">
        <v>4</v>
      </c>
      <c r="D5199" t="n">
        <v>13</v>
      </c>
      <c r="E5199" s="10" t="n">
        <v>0.754058</v>
      </c>
      <c r="F5199" s="10" t="n">
        <v>0.1527098766503704</v>
      </c>
      <c r="G5199" s="11">
        <f>E5199*Summary!$B$6</f>
        <v/>
      </c>
      <c r="H5199" s="11">
        <f>F5199*Summary!$B$7</f>
        <v/>
      </c>
      <c r="I5199" s="11">
        <f>MAX(0,N5199-M5199)</f>
        <v/>
      </c>
      <c r="J5199" s="11">
        <f>MAX(0,M5199-N5199)</f>
        <v/>
      </c>
      <c r="K5199" s="11">
        <f>O5199</f>
        <v/>
      </c>
      <c r="L5199" s="11">
        <f>L5198+IF(K5199&gt;0,K5199*Summary!$B$9,K5199/Summary!$B$9)</f>
        <v/>
      </c>
      <c r="M5199" s="11">
        <f>G5199+H5199</f>
        <v/>
      </c>
      <c r="N5199" s="11">
        <f>Summary!$C$16*Summary!$B$8</f>
        <v/>
      </c>
      <c r="O5199" s="11">
        <f>M5199-N5199</f>
        <v/>
      </c>
    </row>
    <row r="5200">
      <c r="A5200" s="9" t="n">
        <v>45508.58333333334</v>
      </c>
      <c r="B5200" t="n">
        <v>8</v>
      </c>
      <c r="C5200" t="n">
        <v>4</v>
      </c>
      <c r="D5200" t="n">
        <v>14</v>
      </c>
      <c r="E5200" s="10" t="n">
        <v>0.727098</v>
      </c>
      <c r="F5200" s="10" t="n">
        <v>0.1580329819279157</v>
      </c>
      <c r="G5200" s="11">
        <f>E5200*Summary!$B$6</f>
        <v/>
      </c>
      <c r="H5200" s="11">
        <f>F5200*Summary!$B$7</f>
        <v/>
      </c>
      <c r="I5200" s="11">
        <f>MAX(0,N5200-M5200)</f>
        <v/>
      </c>
      <c r="J5200" s="11">
        <f>MAX(0,M5200-N5200)</f>
        <v/>
      </c>
      <c r="K5200" s="11">
        <f>O5200</f>
        <v/>
      </c>
      <c r="L5200" s="11">
        <f>L5199+IF(K5200&gt;0,K5200*Summary!$B$9,K5200/Summary!$B$9)</f>
        <v/>
      </c>
      <c r="M5200" s="11">
        <f>G5200+H5200</f>
        <v/>
      </c>
      <c r="N5200" s="11">
        <f>Summary!$C$16*Summary!$B$8</f>
        <v/>
      </c>
      <c r="O5200" s="11">
        <f>M5200-N5200</f>
        <v/>
      </c>
    </row>
    <row r="5201">
      <c r="A5201" s="9" t="n">
        <v>45508.625</v>
      </c>
      <c r="B5201" t="n">
        <v>8</v>
      </c>
      <c r="C5201" t="n">
        <v>4</v>
      </c>
      <c r="D5201" t="n">
        <v>15</v>
      </c>
      <c r="E5201" s="10" t="n">
        <v>0.593803</v>
      </c>
      <c r="F5201" s="10" t="n">
        <v>0.1660703438568825</v>
      </c>
      <c r="G5201" s="11">
        <f>E5201*Summary!$B$6</f>
        <v/>
      </c>
      <c r="H5201" s="11">
        <f>F5201*Summary!$B$7</f>
        <v/>
      </c>
      <c r="I5201" s="11">
        <f>MAX(0,N5201-M5201)</f>
        <v/>
      </c>
      <c r="J5201" s="11">
        <f>MAX(0,M5201-N5201)</f>
        <v/>
      </c>
      <c r="K5201" s="11">
        <f>O5201</f>
        <v/>
      </c>
      <c r="L5201" s="11">
        <f>L5200+IF(K5201&gt;0,K5201*Summary!$B$9,K5201/Summary!$B$9)</f>
        <v/>
      </c>
      <c r="M5201" s="11">
        <f>G5201+H5201</f>
        <v/>
      </c>
      <c r="N5201" s="11">
        <f>Summary!$C$16*Summary!$B$8</f>
        <v/>
      </c>
      <c r="O5201" s="11">
        <f>M5201-N5201</f>
        <v/>
      </c>
    </row>
    <row r="5202">
      <c r="A5202" s="9" t="n">
        <v>45508.66666666666</v>
      </c>
      <c r="B5202" t="n">
        <v>8</v>
      </c>
      <c r="C5202" t="n">
        <v>4</v>
      </c>
      <c r="D5202" t="n">
        <v>16</v>
      </c>
      <c r="E5202" s="10" t="n">
        <v>0.416229</v>
      </c>
      <c r="F5202" s="10" t="n">
        <v>0.1682575603818145</v>
      </c>
      <c r="G5202" s="11">
        <f>E5202*Summary!$B$6</f>
        <v/>
      </c>
      <c r="H5202" s="11">
        <f>F5202*Summary!$B$7</f>
        <v/>
      </c>
      <c r="I5202" s="11">
        <f>MAX(0,N5202-M5202)</f>
        <v/>
      </c>
      <c r="J5202" s="11">
        <f>MAX(0,M5202-N5202)</f>
        <v/>
      </c>
      <c r="K5202" s="11">
        <f>O5202</f>
        <v/>
      </c>
      <c r="L5202" s="11">
        <f>L5201+IF(K5202&gt;0,K5202*Summary!$B$9,K5202/Summary!$B$9)</f>
        <v/>
      </c>
      <c r="M5202" s="11">
        <f>G5202+H5202</f>
        <v/>
      </c>
      <c r="N5202" s="11">
        <f>Summary!$C$16*Summary!$B$8</f>
        <v/>
      </c>
      <c r="O5202" s="11">
        <f>M5202-N5202</f>
        <v/>
      </c>
    </row>
    <row r="5203">
      <c r="A5203" s="9" t="n">
        <v>45508.70833333334</v>
      </c>
      <c r="B5203" t="n">
        <v>8</v>
      </c>
      <c r="C5203" t="n">
        <v>4</v>
      </c>
      <c r="D5203" t="n">
        <v>17</v>
      </c>
      <c r="E5203" s="10" t="n">
        <v>0.214129</v>
      </c>
      <c r="F5203" s="10" t="n">
        <v>0.1727374014569763</v>
      </c>
      <c r="G5203" s="11">
        <f>E5203*Summary!$B$6</f>
        <v/>
      </c>
      <c r="H5203" s="11">
        <f>F5203*Summary!$B$7</f>
        <v/>
      </c>
      <c r="I5203" s="11">
        <f>MAX(0,N5203-M5203)</f>
        <v/>
      </c>
      <c r="J5203" s="11">
        <f>MAX(0,M5203-N5203)</f>
        <v/>
      </c>
      <c r="K5203" s="11">
        <f>O5203</f>
        <v/>
      </c>
      <c r="L5203" s="11">
        <f>L5202+IF(K5203&gt;0,K5203*Summary!$B$9,K5203/Summary!$B$9)</f>
        <v/>
      </c>
      <c r="M5203" s="11">
        <f>G5203+H5203</f>
        <v/>
      </c>
      <c r="N5203" s="11">
        <f>Summary!$C$16*Summary!$B$8</f>
        <v/>
      </c>
      <c r="O5203" s="11">
        <f>M5203-N5203</f>
        <v/>
      </c>
    </row>
    <row r="5204">
      <c r="A5204" s="9" t="n">
        <v>45508.75</v>
      </c>
      <c r="B5204" t="n">
        <v>8</v>
      </c>
      <c r="C5204" t="n">
        <v>4</v>
      </c>
      <c r="D5204" t="n">
        <v>18</v>
      </c>
      <c r="E5204" s="10" t="n">
        <v>0.07600999999999999</v>
      </c>
      <c r="F5204" s="10" t="n">
        <v>0.1740022977605515</v>
      </c>
      <c r="G5204" s="11">
        <f>E5204*Summary!$B$6</f>
        <v/>
      </c>
      <c r="H5204" s="11">
        <f>F5204*Summary!$B$7</f>
        <v/>
      </c>
      <c r="I5204" s="11">
        <f>MAX(0,N5204-M5204)</f>
        <v/>
      </c>
      <c r="J5204" s="11">
        <f>MAX(0,M5204-N5204)</f>
        <v/>
      </c>
      <c r="K5204" s="11">
        <f>O5204</f>
        <v/>
      </c>
      <c r="L5204" s="11">
        <f>L5203+IF(K5204&gt;0,K5204*Summary!$B$9,K5204/Summary!$B$9)</f>
        <v/>
      </c>
      <c r="M5204" s="11">
        <f>G5204+H5204</f>
        <v/>
      </c>
      <c r="N5204" s="11">
        <f>Summary!$C$16*Summary!$B$8</f>
        <v/>
      </c>
      <c r="O5204" s="11">
        <f>M5204-N5204</f>
        <v/>
      </c>
    </row>
    <row r="5205">
      <c r="A5205" s="9" t="n">
        <v>45508.79166666666</v>
      </c>
      <c r="B5205" t="n">
        <v>8</v>
      </c>
      <c r="C5205" t="n">
        <v>4</v>
      </c>
      <c r="D5205" t="n">
        <v>19</v>
      </c>
      <c r="E5205" s="10" t="n">
        <v>0.021074</v>
      </c>
      <c r="F5205" s="10" t="n">
        <v>0.1848856763725623</v>
      </c>
      <c r="G5205" s="11">
        <f>E5205*Summary!$B$6</f>
        <v/>
      </c>
      <c r="H5205" s="11">
        <f>F5205*Summary!$B$7</f>
        <v/>
      </c>
      <c r="I5205" s="11">
        <f>MAX(0,N5205-M5205)</f>
        <v/>
      </c>
      <c r="J5205" s="11">
        <f>MAX(0,M5205-N5205)</f>
        <v/>
      </c>
      <c r="K5205" s="11">
        <f>O5205</f>
        <v/>
      </c>
      <c r="L5205" s="11">
        <f>L5204+IF(K5205&gt;0,K5205*Summary!$B$9,K5205/Summary!$B$9)</f>
        <v/>
      </c>
      <c r="M5205" s="11">
        <f>G5205+H5205</f>
        <v/>
      </c>
      <c r="N5205" s="11">
        <f>Summary!$C$16*Summary!$B$8</f>
        <v/>
      </c>
      <c r="O5205" s="11">
        <f>M5205-N5205</f>
        <v/>
      </c>
    </row>
    <row r="5206">
      <c r="A5206" s="9" t="n">
        <v>45508.83333333334</v>
      </c>
      <c r="B5206" t="n">
        <v>8</v>
      </c>
      <c r="C5206" t="n">
        <v>4</v>
      </c>
      <c r="D5206" t="n">
        <v>20</v>
      </c>
      <c r="E5206" s="10" t="n">
        <v>0</v>
      </c>
      <c r="F5206" s="10" t="n">
        <v>0.2008549922051981</v>
      </c>
      <c r="G5206" s="11">
        <f>E5206*Summary!$B$6</f>
        <v/>
      </c>
      <c r="H5206" s="11">
        <f>F5206*Summary!$B$7</f>
        <v/>
      </c>
      <c r="I5206" s="11">
        <f>MAX(0,N5206-M5206)</f>
        <v/>
      </c>
      <c r="J5206" s="11">
        <f>MAX(0,M5206-N5206)</f>
        <v/>
      </c>
      <c r="K5206" s="11">
        <f>O5206</f>
        <v/>
      </c>
      <c r="L5206" s="11">
        <f>L5205+IF(K5206&gt;0,K5206*Summary!$B$9,K5206/Summary!$B$9)</f>
        <v/>
      </c>
      <c r="M5206" s="11">
        <f>G5206+H5206</f>
        <v/>
      </c>
      <c r="N5206" s="11">
        <f>Summary!$C$16*Summary!$B$8</f>
        <v/>
      </c>
      <c r="O5206" s="11">
        <f>M5206-N5206</f>
        <v/>
      </c>
    </row>
    <row r="5207">
      <c r="A5207" s="9" t="n">
        <v>45508.875</v>
      </c>
      <c r="B5207" t="n">
        <v>8</v>
      </c>
      <c r="C5207" t="n">
        <v>4</v>
      </c>
      <c r="D5207" t="n">
        <v>21</v>
      </c>
      <c r="E5207" s="10" t="n">
        <v>0</v>
      </c>
      <c r="F5207" s="10" t="n">
        <v>0.2169824200757808</v>
      </c>
      <c r="G5207" s="11">
        <f>E5207*Summary!$B$6</f>
        <v/>
      </c>
      <c r="H5207" s="11">
        <f>F5207*Summary!$B$7</f>
        <v/>
      </c>
      <c r="I5207" s="11">
        <f>MAX(0,N5207-M5207)</f>
        <v/>
      </c>
      <c r="J5207" s="11">
        <f>MAX(0,M5207-N5207)</f>
        <v/>
      </c>
      <c r="K5207" s="11">
        <f>O5207</f>
        <v/>
      </c>
      <c r="L5207" s="11">
        <f>L5206+IF(K5207&gt;0,K5207*Summary!$B$9,K5207/Summary!$B$9)</f>
        <v/>
      </c>
      <c r="M5207" s="11">
        <f>G5207+H5207</f>
        <v/>
      </c>
      <c r="N5207" s="11">
        <f>Summary!$C$16*Summary!$B$8</f>
        <v/>
      </c>
      <c r="O5207" s="11">
        <f>M5207-N5207</f>
        <v/>
      </c>
    </row>
    <row r="5208">
      <c r="A5208" s="9" t="n">
        <v>45508.91666666666</v>
      </c>
      <c r="B5208" t="n">
        <v>8</v>
      </c>
      <c r="C5208" t="n">
        <v>4</v>
      </c>
      <c r="D5208" t="n">
        <v>22</v>
      </c>
      <c r="E5208" s="10" t="n">
        <v>0</v>
      </c>
      <c r="F5208" s="10" t="n">
        <v>0.2254414141059394</v>
      </c>
      <c r="G5208" s="11">
        <f>E5208*Summary!$B$6</f>
        <v/>
      </c>
      <c r="H5208" s="11">
        <f>F5208*Summary!$B$7</f>
        <v/>
      </c>
      <c r="I5208" s="11">
        <f>MAX(0,N5208-M5208)</f>
        <v/>
      </c>
      <c r="J5208" s="11">
        <f>MAX(0,M5208-N5208)</f>
        <v/>
      </c>
      <c r="K5208" s="11">
        <f>O5208</f>
        <v/>
      </c>
      <c r="L5208" s="11">
        <f>L5207+IF(K5208&gt;0,K5208*Summary!$B$9,K5208/Summary!$B$9)</f>
        <v/>
      </c>
      <c r="M5208" s="11">
        <f>G5208+H5208</f>
        <v/>
      </c>
      <c r="N5208" s="11">
        <f>Summary!$C$16*Summary!$B$8</f>
        <v/>
      </c>
      <c r="O5208" s="11">
        <f>M5208-N5208</f>
        <v/>
      </c>
    </row>
    <row r="5209">
      <c r="A5209" s="9" t="n">
        <v>45508.95833333334</v>
      </c>
      <c r="B5209" t="n">
        <v>8</v>
      </c>
      <c r="C5209" t="n">
        <v>4</v>
      </c>
      <c r="D5209" t="n">
        <v>23</v>
      </c>
      <c r="E5209" s="10" t="n">
        <v>0</v>
      </c>
      <c r="F5209" s="10" t="n">
        <v>0.2314233195415967</v>
      </c>
      <c r="G5209" s="11">
        <f>E5209*Summary!$B$6</f>
        <v/>
      </c>
      <c r="H5209" s="11">
        <f>F5209*Summary!$B$7</f>
        <v/>
      </c>
      <c r="I5209" s="11">
        <f>MAX(0,N5209-M5209)</f>
        <v/>
      </c>
      <c r="J5209" s="11">
        <f>MAX(0,M5209-N5209)</f>
        <v/>
      </c>
      <c r="K5209" s="11">
        <f>O5209</f>
        <v/>
      </c>
      <c r="L5209" s="11">
        <f>L5208+IF(K5209&gt;0,K5209*Summary!$B$9,K5209/Summary!$B$9)</f>
        <v/>
      </c>
      <c r="M5209" s="11">
        <f>G5209+H5209</f>
        <v/>
      </c>
      <c r="N5209" s="11">
        <f>Summary!$C$16*Summary!$B$8</f>
        <v/>
      </c>
      <c r="O5209" s="11">
        <f>M5209-N5209</f>
        <v/>
      </c>
    </row>
    <row r="5210">
      <c r="A5210" s="9" t="n">
        <v>45509</v>
      </c>
      <c r="B5210" t="n">
        <v>8</v>
      </c>
      <c r="C5210" t="n">
        <v>5</v>
      </c>
      <c r="D5210" t="n">
        <v>0</v>
      </c>
      <c r="E5210" s="10" t="n">
        <v>0</v>
      </c>
      <c r="F5210" s="10" t="n">
        <v>0.2526893886454533</v>
      </c>
      <c r="G5210" s="11">
        <f>E5210*Summary!$B$6</f>
        <v/>
      </c>
      <c r="H5210" s="11">
        <f>F5210*Summary!$B$7</f>
        <v/>
      </c>
      <c r="I5210" s="11">
        <f>MAX(0,N5210-M5210)</f>
        <v/>
      </c>
      <c r="J5210" s="11">
        <f>MAX(0,M5210-N5210)</f>
        <v/>
      </c>
      <c r="K5210" s="11">
        <f>O5210</f>
        <v/>
      </c>
      <c r="L5210" s="11">
        <f>L5209+IF(K5210&gt;0,K5210*Summary!$B$9,K5210/Summary!$B$9)</f>
        <v/>
      </c>
      <c r="M5210" s="11">
        <f>G5210+H5210</f>
        <v/>
      </c>
      <c r="N5210" s="11">
        <f>Summary!$C$16*Summary!$B$8</f>
        <v/>
      </c>
      <c r="O5210" s="11">
        <f>M5210-N5210</f>
        <v/>
      </c>
    </row>
    <row r="5211">
      <c r="A5211" s="9" t="n">
        <v>45509.04166666666</v>
      </c>
      <c r="B5211" t="n">
        <v>8</v>
      </c>
      <c r="C5211" t="n">
        <v>5</v>
      </c>
      <c r="D5211" t="n">
        <v>1</v>
      </c>
      <c r="E5211" s="10" t="n">
        <v>0</v>
      </c>
      <c r="F5211" s="10" t="n">
        <v>0.2155594117342588</v>
      </c>
      <c r="G5211" s="11">
        <f>E5211*Summary!$B$6</f>
        <v/>
      </c>
      <c r="H5211" s="11">
        <f>F5211*Summary!$B$7</f>
        <v/>
      </c>
      <c r="I5211" s="11">
        <f>MAX(0,N5211-M5211)</f>
        <v/>
      </c>
      <c r="J5211" s="11">
        <f>MAX(0,M5211-N5211)</f>
        <v/>
      </c>
      <c r="K5211" s="11">
        <f>O5211</f>
        <v/>
      </c>
      <c r="L5211" s="11">
        <f>L5210+IF(K5211&gt;0,K5211*Summary!$B$9,K5211/Summary!$B$9)</f>
        <v/>
      </c>
      <c r="M5211" s="11">
        <f>G5211+H5211</f>
        <v/>
      </c>
      <c r="N5211" s="11">
        <f>Summary!$C$16*Summary!$B$8</f>
        <v/>
      </c>
      <c r="O5211" s="11">
        <f>M5211-N5211</f>
        <v/>
      </c>
    </row>
    <row r="5212">
      <c r="A5212" s="9" t="n">
        <v>45509.08333333334</v>
      </c>
      <c r="B5212" t="n">
        <v>8</v>
      </c>
      <c r="C5212" t="n">
        <v>5</v>
      </c>
      <c r="D5212" t="n">
        <v>2</v>
      </c>
      <c r="E5212" s="10" t="n">
        <v>0</v>
      </c>
      <c r="F5212" s="10" t="n">
        <v>0.206757841621882</v>
      </c>
      <c r="G5212" s="11">
        <f>E5212*Summary!$B$6</f>
        <v/>
      </c>
      <c r="H5212" s="11">
        <f>F5212*Summary!$B$7</f>
        <v/>
      </c>
      <c r="I5212" s="11">
        <f>MAX(0,N5212-M5212)</f>
        <v/>
      </c>
      <c r="J5212" s="11">
        <f>MAX(0,M5212-N5212)</f>
        <v/>
      </c>
      <c r="K5212" s="11">
        <f>O5212</f>
        <v/>
      </c>
      <c r="L5212" s="11">
        <f>L5211+IF(K5212&gt;0,K5212*Summary!$B$9,K5212/Summary!$B$9)</f>
        <v/>
      </c>
      <c r="M5212" s="11">
        <f>G5212+H5212</f>
        <v/>
      </c>
      <c r="N5212" s="11">
        <f>Summary!$C$16*Summary!$B$8</f>
        <v/>
      </c>
      <c r="O5212" s="11">
        <f>M5212-N5212</f>
        <v/>
      </c>
    </row>
    <row r="5213">
      <c r="A5213" s="9" t="n">
        <v>45509.125</v>
      </c>
      <c r="B5213" t="n">
        <v>8</v>
      </c>
      <c r="C5213" t="n">
        <v>5</v>
      </c>
      <c r="D5213" t="n">
        <v>3</v>
      </c>
      <c r="E5213" s="10" t="n">
        <v>0</v>
      </c>
      <c r="F5213" s="10" t="n">
        <v>0.193898062535535</v>
      </c>
      <c r="G5213" s="11">
        <f>E5213*Summary!$B$6</f>
        <v/>
      </c>
      <c r="H5213" s="11">
        <f>F5213*Summary!$B$7</f>
        <v/>
      </c>
      <c r="I5213" s="11">
        <f>MAX(0,N5213-M5213)</f>
        <v/>
      </c>
      <c r="J5213" s="11">
        <f>MAX(0,M5213-N5213)</f>
        <v/>
      </c>
      <c r="K5213" s="11">
        <f>O5213</f>
        <v/>
      </c>
      <c r="L5213" s="11">
        <f>L5212+IF(K5213&gt;0,K5213*Summary!$B$9,K5213/Summary!$B$9)</f>
        <v/>
      </c>
      <c r="M5213" s="11">
        <f>G5213+H5213</f>
        <v/>
      </c>
      <c r="N5213" s="11">
        <f>Summary!$C$16*Summary!$B$8</f>
        <v/>
      </c>
      <c r="O5213" s="11">
        <f>M5213-N5213</f>
        <v/>
      </c>
    </row>
    <row r="5214">
      <c r="A5214" s="9" t="n">
        <v>45509.16666666666</v>
      </c>
      <c r="B5214" t="n">
        <v>8</v>
      </c>
      <c r="C5214" t="n">
        <v>5</v>
      </c>
      <c r="D5214" t="n">
        <v>4</v>
      </c>
      <c r="E5214" s="10" t="n">
        <v>0</v>
      </c>
      <c r="F5214" s="10" t="n">
        <v>0.1842532282207748</v>
      </c>
      <c r="G5214" s="11">
        <f>E5214*Summary!$B$6</f>
        <v/>
      </c>
      <c r="H5214" s="11">
        <f>F5214*Summary!$B$7</f>
        <v/>
      </c>
      <c r="I5214" s="11">
        <f>MAX(0,N5214-M5214)</f>
        <v/>
      </c>
      <c r="J5214" s="11">
        <f>MAX(0,M5214-N5214)</f>
        <v/>
      </c>
      <c r="K5214" s="11">
        <f>O5214</f>
        <v/>
      </c>
      <c r="L5214" s="11">
        <f>L5213+IF(K5214&gt;0,K5214*Summary!$B$9,K5214/Summary!$B$9)</f>
        <v/>
      </c>
      <c r="M5214" s="11">
        <f>G5214+H5214</f>
        <v/>
      </c>
      <c r="N5214" s="11">
        <f>Summary!$C$16*Summary!$B$8</f>
        <v/>
      </c>
      <c r="O5214" s="11">
        <f>M5214-N5214</f>
        <v/>
      </c>
    </row>
    <row r="5215">
      <c r="A5215" s="9" t="n">
        <v>45509.20833333334</v>
      </c>
      <c r="B5215" t="n">
        <v>8</v>
      </c>
      <c r="C5215" t="n">
        <v>5</v>
      </c>
      <c r="D5215" t="n">
        <v>5</v>
      </c>
      <c r="E5215" s="10" t="n">
        <v>0.008364999999999999</v>
      </c>
      <c r="F5215" s="10" t="n">
        <v>0.1809328754238901</v>
      </c>
      <c r="G5215" s="11">
        <f>E5215*Summary!$B$6</f>
        <v/>
      </c>
      <c r="H5215" s="11">
        <f>F5215*Summary!$B$7</f>
        <v/>
      </c>
      <c r="I5215" s="11">
        <f>MAX(0,N5215-M5215)</f>
        <v/>
      </c>
      <c r="J5215" s="11">
        <f>MAX(0,M5215-N5215)</f>
        <v/>
      </c>
      <c r="K5215" s="11">
        <f>O5215</f>
        <v/>
      </c>
      <c r="L5215" s="11">
        <f>L5214+IF(K5215&gt;0,K5215*Summary!$B$9,K5215/Summary!$B$9)</f>
        <v/>
      </c>
      <c r="M5215" s="11">
        <f>G5215+H5215</f>
        <v/>
      </c>
      <c r="N5215" s="11">
        <f>Summary!$C$16*Summary!$B$8</f>
        <v/>
      </c>
      <c r="O5215" s="11">
        <f>M5215-N5215</f>
        <v/>
      </c>
    </row>
    <row r="5216">
      <c r="A5216" s="9" t="n">
        <v>45509.25</v>
      </c>
      <c r="B5216" t="n">
        <v>8</v>
      </c>
      <c r="C5216" t="n">
        <v>5</v>
      </c>
      <c r="D5216" t="n">
        <v>6</v>
      </c>
      <c r="E5216" s="10" t="n">
        <v>0.053856</v>
      </c>
      <c r="F5216" s="10" t="n">
        <v>0.173264441583466</v>
      </c>
      <c r="G5216" s="11">
        <f>E5216*Summary!$B$6</f>
        <v/>
      </c>
      <c r="H5216" s="11">
        <f>F5216*Summary!$B$7</f>
        <v/>
      </c>
      <c r="I5216" s="11">
        <f>MAX(0,N5216-M5216)</f>
        <v/>
      </c>
      <c r="J5216" s="11">
        <f>MAX(0,M5216-N5216)</f>
        <v/>
      </c>
      <c r="K5216" s="11">
        <f>O5216</f>
        <v/>
      </c>
      <c r="L5216" s="11">
        <f>L5215+IF(K5216&gt;0,K5216*Summary!$B$9,K5216/Summary!$B$9)</f>
        <v/>
      </c>
      <c r="M5216" s="11">
        <f>G5216+H5216</f>
        <v/>
      </c>
      <c r="N5216" s="11">
        <f>Summary!$C$16*Summary!$B$8</f>
        <v/>
      </c>
      <c r="O5216" s="11">
        <f>M5216-N5216</f>
        <v/>
      </c>
    </row>
    <row r="5217">
      <c r="A5217" s="9" t="n">
        <v>45509.29166666666</v>
      </c>
      <c r="B5217" t="n">
        <v>8</v>
      </c>
      <c r="C5217" t="n">
        <v>5</v>
      </c>
      <c r="D5217" t="n">
        <v>7</v>
      </c>
      <c r="E5217" s="10" t="n">
        <v>0.095816</v>
      </c>
      <c r="F5217" s="10" t="n">
        <v>0.1723421213621091</v>
      </c>
      <c r="G5217" s="11">
        <f>E5217*Summary!$B$6</f>
        <v/>
      </c>
      <c r="H5217" s="11">
        <f>F5217*Summary!$B$7</f>
        <v/>
      </c>
      <c r="I5217" s="11">
        <f>MAX(0,N5217-M5217)</f>
        <v/>
      </c>
      <c r="J5217" s="11">
        <f>MAX(0,M5217-N5217)</f>
        <v/>
      </c>
      <c r="K5217" s="11">
        <f>O5217</f>
        <v/>
      </c>
      <c r="L5217" s="11">
        <f>L5216+IF(K5217&gt;0,K5217*Summary!$B$9,K5217/Summary!$B$9)</f>
        <v/>
      </c>
      <c r="M5217" s="11">
        <f>G5217+H5217</f>
        <v/>
      </c>
      <c r="N5217" s="11">
        <f>Summary!$C$16*Summary!$B$8</f>
        <v/>
      </c>
      <c r="O5217" s="11">
        <f>M5217-N5217</f>
        <v/>
      </c>
    </row>
    <row r="5218">
      <c r="A5218" s="9" t="n">
        <v>45509.33333333334</v>
      </c>
      <c r="B5218" t="n">
        <v>8</v>
      </c>
      <c r="C5218" t="n">
        <v>5</v>
      </c>
      <c r="D5218" t="n">
        <v>8</v>
      </c>
      <c r="E5218" s="10" t="n">
        <v>0.147494</v>
      </c>
      <c r="F5218" s="10" t="n">
        <v>0.178244970778793</v>
      </c>
      <c r="G5218" s="11">
        <f>E5218*Summary!$B$6</f>
        <v/>
      </c>
      <c r="H5218" s="11">
        <f>F5218*Summary!$B$7</f>
        <v/>
      </c>
      <c r="I5218" s="11">
        <f>MAX(0,N5218-M5218)</f>
        <v/>
      </c>
      <c r="J5218" s="11">
        <f>MAX(0,M5218-N5218)</f>
        <v/>
      </c>
      <c r="K5218" s="11">
        <f>O5218</f>
        <v/>
      </c>
      <c r="L5218" s="11">
        <f>L5217+IF(K5218&gt;0,K5218*Summary!$B$9,K5218/Summary!$B$9)</f>
        <v/>
      </c>
      <c r="M5218" s="11">
        <f>G5218+H5218</f>
        <v/>
      </c>
      <c r="N5218" s="11">
        <f>Summary!$C$16*Summary!$B$8</f>
        <v/>
      </c>
      <c r="O5218" s="11">
        <f>M5218-N5218</f>
        <v/>
      </c>
    </row>
    <row r="5219">
      <c r="A5219" s="9" t="n">
        <v>45509.375</v>
      </c>
      <c r="B5219" t="n">
        <v>8</v>
      </c>
      <c r="C5219" t="n">
        <v>5</v>
      </c>
      <c r="D5219" t="n">
        <v>9</v>
      </c>
      <c r="E5219" s="10" t="n">
        <v>0.215568</v>
      </c>
      <c r="F5219" s="10" t="n">
        <v>0.1869147808595474</v>
      </c>
      <c r="G5219" s="11">
        <f>E5219*Summary!$B$6</f>
        <v/>
      </c>
      <c r="H5219" s="11">
        <f>F5219*Summary!$B$7</f>
        <v/>
      </c>
      <c r="I5219" s="11">
        <f>MAX(0,N5219-M5219)</f>
        <v/>
      </c>
      <c r="J5219" s="11">
        <f>MAX(0,M5219-N5219)</f>
        <v/>
      </c>
      <c r="K5219" s="11">
        <f>O5219</f>
        <v/>
      </c>
      <c r="L5219" s="11">
        <f>L5218+IF(K5219&gt;0,K5219*Summary!$B$9,K5219/Summary!$B$9)</f>
        <v/>
      </c>
      <c r="M5219" s="11">
        <f>G5219+H5219</f>
        <v/>
      </c>
      <c r="N5219" s="11">
        <f>Summary!$C$16*Summary!$B$8</f>
        <v/>
      </c>
      <c r="O5219" s="11">
        <f>M5219-N5219</f>
        <v/>
      </c>
    </row>
    <row r="5220">
      <c r="A5220" s="9" t="n">
        <v>45509.41666666666</v>
      </c>
      <c r="B5220" t="n">
        <v>8</v>
      </c>
      <c r="C5220" t="n">
        <v>5</v>
      </c>
      <c r="D5220" t="n">
        <v>10</v>
      </c>
      <c r="E5220" s="10" t="n">
        <v>0.264141</v>
      </c>
      <c r="F5220" s="10" t="n">
        <v>0.1975873434209624</v>
      </c>
      <c r="G5220" s="11">
        <f>E5220*Summary!$B$6</f>
        <v/>
      </c>
      <c r="H5220" s="11">
        <f>F5220*Summary!$B$7</f>
        <v/>
      </c>
      <c r="I5220" s="11">
        <f>MAX(0,N5220-M5220)</f>
        <v/>
      </c>
      <c r="J5220" s="11">
        <f>MAX(0,M5220-N5220)</f>
        <v/>
      </c>
      <c r="K5220" s="11">
        <f>O5220</f>
        <v/>
      </c>
      <c r="L5220" s="11">
        <f>L5219+IF(K5220&gt;0,K5220*Summary!$B$9,K5220/Summary!$B$9)</f>
        <v/>
      </c>
      <c r="M5220" s="11">
        <f>G5220+H5220</f>
        <v/>
      </c>
      <c r="N5220" s="11">
        <f>Summary!$C$16*Summary!$B$8</f>
        <v/>
      </c>
      <c r="O5220" s="11">
        <f>M5220-N5220</f>
        <v/>
      </c>
    </row>
    <row r="5221">
      <c r="A5221" s="9" t="n">
        <v>45509.45833333334</v>
      </c>
      <c r="B5221" t="n">
        <v>8</v>
      </c>
      <c r="C5221" t="n">
        <v>5</v>
      </c>
      <c r="D5221" t="n">
        <v>11</v>
      </c>
      <c r="E5221" s="10" t="n">
        <v>0.259941</v>
      </c>
      <c r="F5221" s="10" t="n">
        <v>0.2123708189689965</v>
      </c>
      <c r="G5221" s="11">
        <f>E5221*Summary!$B$6</f>
        <v/>
      </c>
      <c r="H5221" s="11">
        <f>F5221*Summary!$B$7</f>
        <v/>
      </c>
      <c r="I5221" s="11">
        <f>MAX(0,N5221-M5221)</f>
        <v/>
      </c>
      <c r="J5221" s="11">
        <f>MAX(0,M5221-N5221)</f>
        <v/>
      </c>
      <c r="K5221" s="11">
        <f>O5221</f>
        <v/>
      </c>
      <c r="L5221" s="11">
        <f>L5220+IF(K5221&gt;0,K5221*Summary!$B$9,K5221/Summary!$B$9)</f>
        <v/>
      </c>
      <c r="M5221" s="11">
        <f>G5221+H5221</f>
        <v/>
      </c>
      <c r="N5221" s="11">
        <f>Summary!$C$16*Summary!$B$8</f>
        <v/>
      </c>
      <c r="O5221" s="11">
        <f>M5221-N5221</f>
        <v/>
      </c>
    </row>
    <row r="5222">
      <c r="A5222" s="9" t="n">
        <v>45509.5</v>
      </c>
      <c r="B5222" t="n">
        <v>8</v>
      </c>
      <c r="C5222" t="n">
        <v>5</v>
      </c>
      <c r="D5222" t="n">
        <v>12</v>
      </c>
      <c r="E5222" s="10" t="n">
        <v>0.374199</v>
      </c>
      <c r="F5222" s="10" t="n">
        <v>0.2242292218150132</v>
      </c>
      <c r="G5222" s="11">
        <f>E5222*Summary!$B$6</f>
        <v/>
      </c>
      <c r="H5222" s="11">
        <f>F5222*Summary!$B$7</f>
        <v/>
      </c>
      <c r="I5222" s="11">
        <f>MAX(0,N5222-M5222)</f>
        <v/>
      </c>
      <c r="J5222" s="11">
        <f>MAX(0,M5222-N5222)</f>
        <v/>
      </c>
      <c r="K5222" s="11">
        <f>O5222</f>
        <v/>
      </c>
      <c r="L5222" s="11">
        <f>L5221+IF(K5222&gt;0,K5222*Summary!$B$9,K5222/Summary!$B$9)</f>
        <v/>
      </c>
      <c r="M5222" s="11">
        <f>G5222+H5222</f>
        <v/>
      </c>
      <c r="N5222" s="11">
        <f>Summary!$C$16*Summary!$B$8</f>
        <v/>
      </c>
      <c r="O5222" s="11">
        <f>M5222-N5222</f>
        <v/>
      </c>
    </row>
    <row r="5223">
      <c r="A5223" s="9" t="n">
        <v>45509.54166666666</v>
      </c>
      <c r="B5223" t="n">
        <v>8</v>
      </c>
      <c r="C5223" t="n">
        <v>5</v>
      </c>
      <c r="D5223" t="n">
        <v>13</v>
      </c>
      <c r="E5223" s="10" t="n">
        <v>0.497794</v>
      </c>
      <c r="F5223" s="10" t="n">
        <v>0.2349281363827527</v>
      </c>
      <c r="G5223" s="11">
        <f>E5223*Summary!$B$6</f>
        <v/>
      </c>
      <c r="H5223" s="11">
        <f>F5223*Summary!$B$7</f>
        <v/>
      </c>
      <c r="I5223" s="11">
        <f>MAX(0,N5223-M5223)</f>
        <v/>
      </c>
      <c r="J5223" s="11">
        <f>MAX(0,M5223-N5223)</f>
        <v/>
      </c>
      <c r="K5223" s="11">
        <f>O5223</f>
        <v/>
      </c>
      <c r="L5223" s="11">
        <f>L5222+IF(K5223&gt;0,K5223*Summary!$B$9,K5223/Summary!$B$9)</f>
        <v/>
      </c>
      <c r="M5223" s="11">
        <f>G5223+H5223</f>
        <v/>
      </c>
      <c r="N5223" s="11">
        <f>Summary!$C$16*Summary!$B$8</f>
        <v/>
      </c>
      <c r="O5223" s="11">
        <f>M5223-N5223</f>
        <v/>
      </c>
    </row>
    <row r="5224">
      <c r="A5224" s="9" t="n">
        <v>45509.58333333334</v>
      </c>
      <c r="B5224" t="n">
        <v>8</v>
      </c>
      <c r="C5224" t="n">
        <v>5</v>
      </c>
      <c r="D5224" t="n">
        <v>14</v>
      </c>
      <c r="E5224" s="10" t="n">
        <v>0.728873</v>
      </c>
      <c r="F5224" s="10" t="n">
        <v>0.2476034514248283</v>
      </c>
      <c r="G5224" s="11">
        <f>E5224*Summary!$B$6</f>
        <v/>
      </c>
      <c r="H5224" s="11">
        <f>F5224*Summary!$B$7</f>
        <v/>
      </c>
      <c r="I5224" s="11">
        <f>MAX(0,N5224-M5224)</f>
        <v/>
      </c>
      <c r="J5224" s="11">
        <f>MAX(0,M5224-N5224)</f>
        <v/>
      </c>
      <c r="K5224" s="11">
        <f>O5224</f>
        <v/>
      </c>
      <c r="L5224" s="11">
        <f>L5223+IF(K5224&gt;0,K5224*Summary!$B$9,K5224/Summary!$B$9)</f>
        <v/>
      </c>
      <c r="M5224" s="11">
        <f>G5224+H5224</f>
        <v/>
      </c>
      <c r="N5224" s="11">
        <f>Summary!$C$16*Summary!$B$8</f>
        <v/>
      </c>
      <c r="O5224" s="11">
        <f>M5224-N5224</f>
        <v/>
      </c>
    </row>
    <row r="5225">
      <c r="A5225" s="9" t="n">
        <v>45509.625</v>
      </c>
      <c r="B5225" t="n">
        <v>8</v>
      </c>
      <c r="C5225" t="n">
        <v>5</v>
      </c>
      <c r="D5225" t="n">
        <v>15</v>
      </c>
      <c r="E5225" s="10" t="n">
        <v>0.604059</v>
      </c>
      <c r="F5225" s="10" t="n">
        <v>0.2493690358485686</v>
      </c>
      <c r="G5225" s="11">
        <f>E5225*Summary!$B$6</f>
        <v/>
      </c>
      <c r="H5225" s="11">
        <f>F5225*Summary!$B$7</f>
        <v/>
      </c>
      <c r="I5225" s="11">
        <f>MAX(0,N5225-M5225)</f>
        <v/>
      </c>
      <c r="J5225" s="11">
        <f>MAX(0,M5225-N5225)</f>
        <v/>
      </c>
      <c r="K5225" s="11">
        <f>O5225</f>
        <v/>
      </c>
      <c r="L5225" s="11">
        <f>L5224+IF(K5225&gt;0,K5225*Summary!$B$9,K5225/Summary!$B$9)</f>
        <v/>
      </c>
      <c r="M5225" s="11">
        <f>G5225+H5225</f>
        <v/>
      </c>
      <c r="N5225" s="11">
        <f>Summary!$C$16*Summary!$B$8</f>
        <v/>
      </c>
      <c r="O5225" s="11">
        <f>M5225-N5225</f>
        <v/>
      </c>
    </row>
    <row r="5226">
      <c r="A5226" s="9" t="n">
        <v>45509.66666666666</v>
      </c>
      <c r="B5226" t="n">
        <v>8</v>
      </c>
      <c r="C5226" t="n">
        <v>5</v>
      </c>
      <c r="D5226" t="n">
        <v>16</v>
      </c>
      <c r="E5226" s="10" t="n">
        <v>0.427122</v>
      </c>
      <c r="F5226" s="10" t="n">
        <v>0.257274637745913</v>
      </c>
      <c r="G5226" s="11">
        <f>E5226*Summary!$B$6</f>
        <v/>
      </c>
      <c r="H5226" s="11">
        <f>F5226*Summary!$B$7</f>
        <v/>
      </c>
      <c r="I5226" s="11">
        <f>MAX(0,N5226-M5226)</f>
        <v/>
      </c>
      <c r="J5226" s="11">
        <f>MAX(0,M5226-N5226)</f>
        <v/>
      </c>
      <c r="K5226" s="11">
        <f>O5226</f>
        <v/>
      </c>
      <c r="L5226" s="11">
        <f>L5225+IF(K5226&gt;0,K5226*Summary!$B$9,K5226/Summary!$B$9)</f>
        <v/>
      </c>
      <c r="M5226" s="11">
        <f>G5226+H5226</f>
        <v/>
      </c>
      <c r="N5226" s="11">
        <f>Summary!$C$16*Summary!$B$8</f>
        <v/>
      </c>
      <c r="O5226" s="11">
        <f>M5226-N5226</f>
        <v/>
      </c>
    </row>
    <row r="5227">
      <c r="A5227" s="9" t="n">
        <v>45509.70833333334</v>
      </c>
      <c r="B5227" t="n">
        <v>8</v>
      </c>
      <c r="C5227" t="n">
        <v>5</v>
      </c>
      <c r="D5227" t="n">
        <v>17</v>
      </c>
      <c r="E5227" s="10" t="n">
        <v>0.225614</v>
      </c>
      <c r="F5227" s="10" t="n">
        <v>0.2552982372715769</v>
      </c>
      <c r="G5227" s="11">
        <f>E5227*Summary!$B$6</f>
        <v/>
      </c>
      <c r="H5227" s="11">
        <f>F5227*Summary!$B$7</f>
        <v/>
      </c>
      <c r="I5227" s="11">
        <f>MAX(0,N5227-M5227)</f>
        <v/>
      </c>
      <c r="J5227" s="11">
        <f>MAX(0,M5227-N5227)</f>
        <v/>
      </c>
      <c r="K5227" s="11">
        <f>O5227</f>
        <v/>
      </c>
      <c r="L5227" s="11">
        <f>L5226+IF(K5227&gt;0,K5227*Summary!$B$9,K5227/Summary!$B$9)</f>
        <v/>
      </c>
      <c r="M5227" s="11">
        <f>G5227+H5227</f>
        <v/>
      </c>
      <c r="N5227" s="11">
        <f>Summary!$C$16*Summary!$B$8</f>
        <v/>
      </c>
      <c r="O5227" s="11">
        <f>M5227-N5227</f>
        <v/>
      </c>
    </row>
    <row r="5228">
      <c r="A5228" s="9" t="n">
        <v>45509.75</v>
      </c>
      <c r="B5228" t="n">
        <v>8</v>
      </c>
      <c r="C5228" t="n">
        <v>5</v>
      </c>
      <c r="D5228" t="n">
        <v>18</v>
      </c>
      <c r="E5228" s="10" t="n">
        <v>0.06424000000000001</v>
      </c>
      <c r="F5228" s="10" t="n">
        <v>0.2518197724367454</v>
      </c>
      <c r="G5228" s="11">
        <f>E5228*Summary!$B$6</f>
        <v/>
      </c>
      <c r="H5228" s="11">
        <f>F5228*Summary!$B$7</f>
        <v/>
      </c>
      <c r="I5228" s="11">
        <f>MAX(0,N5228-M5228)</f>
        <v/>
      </c>
      <c r="J5228" s="11">
        <f>MAX(0,M5228-N5228)</f>
        <v/>
      </c>
      <c r="K5228" s="11">
        <f>O5228</f>
        <v/>
      </c>
      <c r="L5228" s="11">
        <f>L5227+IF(K5228&gt;0,K5228*Summary!$B$9,K5228/Summary!$B$9)</f>
        <v/>
      </c>
      <c r="M5228" s="11">
        <f>G5228+H5228</f>
        <v/>
      </c>
      <c r="N5228" s="11">
        <f>Summary!$C$16*Summary!$B$8</f>
        <v/>
      </c>
      <c r="O5228" s="11">
        <f>M5228-N5228</f>
        <v/>
      </c>
    </row>
    <row r="5229">
      <c r="A5229" s="9" t="n">
        <v>45509.79166666666</v>
      </c>
      <c r="B5229" t="n">
        <v>8</v>
      </c>
      <c r="C5229" t="n">
        <v>5</v>
      </c>
      <c r="D5229" t="n">
        <v>19</v>
      </c>
      <c r="E5229" s="10" t="n">
        <v>0.028696</v>
      </c>
      <c r="F5229" s="10" t="n">
        <v>0.2530846687403205</v>
      </c>
      <c r="G5229" s="11">
        <f>E5229*Summary!$B$6</f>
        <v/>
      </c>
      <c r="H5229" s="11">
        <f>F5229*Summary!$B$7</f>
        <v/>
      </c>
      <c r="I5229" s="11">
        <f>MAX(0,N5229-M5229)</f>
        <v/>
      </c>
      <c r="J5229" s="11">
        <f>MAX(0,M5229-N5229)</f>
        <v/>
      </c>
      <c r="K5229" s="11">
        <f>O5229</f>
        <v/>
      </c>
      <c r="L5229" s="11">
        <f>L5228+IF(K5229&gt;0,K5229*Summary!$B$9,K5229/Summary!$B$9)</f>
        <v/>
      </c>
      <c r="M5229" s="11">
        <f>G5229+H5229</f>
        <v/>
      </c>
      <c r="N5229" s="11">
        <f>Summary!$C$16*Summary!$B$8</f>
        <v/>
      </c>
      <c r="O5229" s="11">
        <f>M5229-N5229</f>
        <v/>
      </c>
    </row>
    <row r="5230">
      <c r="A5230" s="9" t="n">
        <v>45509.83333333334</v>
      </c>
      <c r="B5230" t="n">
        <v>8</v>
      </c>
      <c r="C5230" t="n">
        <v>5</v>
      </c>
      <c r="D5230" t="n">
        <v>20</v>
      </c>
      <c r="E5230" s="10" t="n">
        <v>0</v>
      </c>
      <c r="F5230" s="10" t="n">
        <v>0.2583550700052168</v>
      </c>
      <c r="G5230" s="11">
        <f>E5230*Summary!$B$6</f>
        <v/>
      </c>
      <c r="H5230" s="11">
        <f>F5230*Summary!$B$7</f>
        <v/>
      </c>
      <c r="I5230" s="11">
        <f>MAX(0,N5230-M5230)</f>
        <v/>
      </c>
      <c r="J5230" s="11">
        <f>MAX(0,M5230-N5230)</f>
        <v/>
      </c>
      <c r="K5230" s="11">
        <f>O5230</f>
        <v/>
      </c>
      <c r="L5230" s="11">
        <f>L5229+IF(K5230&gt;0,K5230*Summary!$B$9,K5230/Summary!$B$9)</f>
        <v/>
      </c>
      <c r="M5230" s="11">
        <f>G5230+H5230</f>
        <v/>
      </c>
      <c r="N5230" s="11">
        <f>Summary!$C$16*Summary!$B$8</f>
        <v/>
      </c>
      <c r="O5230" s="11">
        <f>M5230-N5230</f>
        <v/>
      </c>
    </row>
    <row r="5231">
      <c r="A5231" s="9" t="n">
        <v>45509.875</v>
      </c>
      <c r="B5231" t="n">
        <v>8</v>
      </c>
      <c r="C5231" t="n">
        <v>5</v>
      </c>
      <c r="D5231" t="n">
        <v>21</v>
      </c>
      <c r="E5231" s="10" t="n">
        <v>0</v>
      </c>
      <c r="F5231" s="10" t="n">
        <v>0.267947200307328</v>
      </c>
      <c r="G5231" s="11">
        <f>E5231*Summary!$B$6</f>
        <v/>
      </c>
      <c r="H5231" s="11">
        <f>F5231*Summary!$B$7</f>
        <v/>
      </c>
      <c r="I5231" s="11">
        <f>MAX(0,N5231-M5231)</f>
        <v/>
      </c>
      <c r="J5231" s="11">
        <f>MAX(0,M5231-N5231)</f>
        <v/>
      </c>
      <c r="K5231" s="11">
        <f>O5231</f>
        <v/>
      </c>
      <c r="L5231" s="11">
        <f>L5230+IF(K5231&gt;0,K5231*Summary!$B$9,K5231/Summary!$B$9)</f>
        <v/>
      </c>
      <c r="M5231" s="11">
        <f>G5231+H5231</f>
        <v/>
      </c>
      <c r="N5231" s="11">
        <f>Summary!$C$16*Summary!$B$8</f>
        <v/>
      </c>
      <c r="O5231" s="11">
        <f>M5231-N5231</f>
        <v/>
      </c>
    </row>
    <row r="5232">
      <c r="A5232" s="9" t="n">
        <v>45509.91666666666</v>
      </c>
      <c r="B5232" t="n">
        <v>8</v>
      </c>
      <c r="C5232" t="n">
        <v>5</v>
      </c>
      <c r="D5232" t="n">
        <v>22</v>
      </c>
      <c r="E5232" s="10" t="n">
        <v>0</v>
      </c>
      <c r="F5232" s="10" t="n">
        <v>0.267288400149216</v>
      </c>
      <c r="G5232" s="11">
        <f>E5232*Summary!$B$6</f>
        <v/>
      </c>
      <c r="H5232" s="11">
        <f>F5232*Summary!$B$7</f>
        <v/>
      </c>
      <c r="I5232" s="11">
        <f>MAX(0,N5232-M5232)</f>
        <v/>
      </c>
      <c r="J5232" s="11">
        <f>MAX(0,M5232-N5232)</f>
        <v/>
      </c>
      <c r="K5232" s="11">
        <f>O5232</f>
        <v/>
      </c>
      <c r="L5232" s="11">
        <f>L5231+IF(K5232&gt;0,K5232*Summary!$B$9,K5232/Summary!$B$9)</f>
        <v/>
      </c>
      <c r="M5232" s="11">
        <f>G5232+H5232</f>
        <v/>
      </c>
      <c r="N5232" s="11">
        <f>Summary!$C$16*Summary!$B$8</f>
        <v/>
      </c>
      <c r="O5232" s="11">
        <f>M5232-N5232</f>
        <v/>
      </c>
    </row>
    <row r="5233">
      <c r="A5233" s="9" t="n">
        <v>45509.95833333334</v>
      </c>
      <c r="B5233" t="n">
        <v>8</v>
      </c>
      <c r="C5233" t="n">
        <v>5</v>
      </c>
      <c r="D5233" t="n">
        <v>23</v>
      </c>
      <c r="E5233" s="10" t="n">
        <v>0</v>
      </c>
      <c r="F5233" s="10" t="n">
        <v>0.2574854537965089</v>
      </c>
      <c r="G5233" s="11">
        <f>E5233*Summary!$B$6</f>
        <v/>
      </c>
      <c r="H5233" s="11">
        <f>F5233*Summary!$B$7</f>
        <v/>
      </c>
      <c r="I5233" s="11">
        <f>MAX(0,N5233-M5233)</f>
        <v/>
      </c>
      <c r="J5233" s="11">
        <f>MAX(0,M5233-N5233)</f>
        <v/>
      </c>
      <c r="K5233" s="11">
        <f>O5233</f>
        <v/>
      </c>
      <c r="L5233" s="11">
        <f>L5232+IF(K5233&gt;0,K5233*Summary!$B$9,K5233/Summary!$B$9)</f>
        <v/>
      </c>
      <c r="M5233" s="11">
        <f>G5233+H5233</f>
        <v/>
      </c>
      <c r="N5233" s="11">
        <f>Summary!$C$16*Summary!$B$8</f>
        <v/>
      </c>
      <c r="O5233" s="11">
        <f>M5233-N5233</f>
        <v/>
      </c>
    </row>
    <row r="5234">
      <c r="A5234" s="9" t="n">
        <v>45510</v>
      </c>
      <c r="B5234" t="n">
        <v>8</v>
      </c>
      <c r="C5234" t="n">
        <v>6</v>
      </c>
      <c r="D5234" t="n">
        <v>0</v>
      </c>
      <c r="E5234" s="10" t="n">
        <v>0</v>
      </c>
      <c r="F5234" s="10" t="n">
        <v>0.2956695109606826</v>
      </c>
      <c r="G5234" s="11">
        <f>E5234*Summary!$B$6</f>
        <v/>
      </c>
      <c r="H5234" s="11">
        <f>F5234*Summary!$B$7</f>
        <v/>
      </c>
      <c r="I5234" s="11">
        <f>MAX(0,N5234-M5234)</f>
        <v/>
      </c>
      <c r="J5234" s="11">
        <f>MAX(0,M5234-N5234)</f>
        <v/>
      </c>
      <c r="K5234" s="11">
        <f>O5234</f>
        <v/>
      </c>
      <c r="L5234" s="11">
        <f>L5233+IF(K5234&gt;0,K5234*Summary!$B$9,K5234/Summary!$B$9)</f>
        <v/>
      </c>
      <c r="M5234" s="11">
        <f>G5234+H5234</f>
        <v/>
      </c>
      <c r="N5234" s="11">
        <f>Summary!$C$16*Summary!$B$8</f>
        <v/>
      </c>
      <c r="O5234" s="11">
        <f>M5234-N5234</f>
        <v/>
      </c>
    </row>
    <row r="5235">
      <c r="A5235" s="9" t="n">
        <v>45510.04166666666</v>
      </c>
      <c r="B5235" t="n">
        <v>8</v>
      </c>
      <c r="C5235" t="n">
        <v>6</v>
      </c>
      <c r="D5235" t="n">
        <v>1</v>
      </c>
      <c r="E5235" s="10" t="n">
        <v>0</v>
      </c>
      <c r="F5235" s="10" t="n">
        <v>0.2443358026405927</v>
      </c>
      <c r="G5235" s="11">
        <f>E5235*Summary!$B$6</f>
        <v/>
      </c>
      <c r="H5235" s="11">
        <f>F5235*Summary!$B$7</f>
        <v/>
      </c>
      <c r="I5235" s="11">
        <f>MAX(0,N5235-M5235)</f>
        <v/>
      </c>
      <c r="J5235" s="11">
        <f>MAX(0,M5235-N5235)</f>
        <v/>
      </c>
      <c r="K5235" s="11">
        <f>O5235</f>
        <v/>
      </c>
      <c r="L5235" s="11">
        <f>L5234+IF(K5235&gt;0,K5235*Summary!$B$9,K5235/Summary!$B$9)</f>
        <v/>
      </c>
      <c r="M5235" s="11">
        <f>G5235+H5235</f>
        <v/>
      </c>
      <c r="N5235" s="11">
        <f>Summary!$C$16*Summary!$B$8</f>
        <v/>
      </c>
      <c r="O5235" s="11">
        <f>M5235-N5235</f>
        <v/>
      </c>
    </row>
    <row r="5236">
      <c r="A5236" s="9" t="n">
        <v>45510.08333333334</v>
      </c>
      <c r="B5236" t="n">
        <v>8</v>
      </c>
      <c r="C5236" t="n">
        <v>6</v>
      </c>
      <c r="D5236" t="n">
        <v>2</v>
      </c>
      <c r="E5236" s="10" t="n">
        <v>0</v>
      </c>
      <c r="F5236" s="10" t="n">
        <v>0.2396187935085104</v>
      </c>
      <c r="G5236" s="11">
        <f>E5236*Summary!$B$6</f>
        <v/>
      </c>
      <c r="H5236" s="11">
        <f>F5236*Summary!$B$7</f>
        <v/>
      </c>
      <c r="I5236" s="11">
        <f>MAX(0,N5236-M5236)</f>
        <v/>
      </c>
      <c r="J5236" s="11">
        <f>MAX(0,M5236-N5236)</f>
        <v/>
      </c>
      <c r="K5236" s="11">
        <f>O5236</f>
        <v/>
      </c>
      <c r="L5236" s="11">
        <f>L5235+IF(K5236&gt;0,K5236*Summary!$B$9,K5236/Summary!$B$9)</f>
        <v/>
      </c>
      <c r="M5236" s="11">
        <f>G5236+H5236</f>
        <v/>
      </c>
      <c r="N5236" s="11">
        <f>Summary!$C$16*Summary!$B$8</f>
        <v/>
      </c>
      <c r="O5236" s="11">
        <f>M5236-N5236</f>
        <v/>
      </c>
    </row>
    <row r="5237">
      <c r="A5237" s="9" t="n">
        <v>45510.125</v>
      </c>
      <c r="B5237" t="n">
        <v>8</v>
      </c>
      <c r="C5237" t="n">
        <v>6</v>
      </c>
      <c r="D5237" t="n">
        <v>3</v>
      </c>
      <c r="E5237" s="10" t="n">
        <v>0</v>
      </c>
      <c r="F5237" s="10" t="n">
        <v>0.2365092567622216</v>
      </c>
      <c r="G5237" s="11">
        <f>E5237*Summary!$B$6</f>
        <v/>
      </c>
      <c r="H5237" s="11">
        <f>F5237*Summary!$B$7</f>
        <v/>
      </c>
      <c r="I5237" s="11">
        <f>MAX(0,N5237-M5237)</f>
        <v/>
      </c>
      <c r="J5237" s="11">
        <f>MAX(0,M5237-N5237)</f>
        <v/>
      </c>
      <c r="K5237" s="11">
        <f>O5237</f>
        <v/>
      </c>
      <c r="L5237" s="11">
        <f>L5236+IF(K5237&gt;0,K5237*Summary!$B$9,K5237/Summary!$B$9)</f>
        <v/>
      </c>
      <c r="M5237" s="11">
        <f>G5237+H5237</f>
        <v/>
      </c>
      <c r="N5237" s="11">
        <f>Summary!$C$16*Summary!$B$8</f>
        <v/>
      </c>
      <c r="O5237" s="11">
        <f>M5237-N5237</f>
        <v/>
      </c>
    </row>
    <row r="5238">
      <c r="A5238" s="9" t="n">
        <v>45510.16666666666</v>
      </c>
      <c r="B5238" t="n">
        <v>8</v>
      </c>
      <c r="C5238" t="n">
        <v>6</v>
      </c>
      <c r="D5238" t="n">
        <v>4</v>
      </c>
      <c r="E5238" s="10" t="n">
        <v>0</v>
      </c>
      <c r="F5238" s="10" t="n">
        <v>0.2335314800475552</v>
      </c>
      <c r="G5238" s="11">
        <f>E5238*Summary!$B$6</f>
        <v/>
      </c>
      <c r="H5238" s="11">
        <f>F5238*Summary!$B$7</f>
        <v/>
      </c>
      <c r="I5238" s="11">
        <f>MAX(0,N5238-M5238)</f>
        <v/>
      </c>
      <c r="J5238" s="11">
        <f>MAX(0,M5238-N5238)</f>
        <v/>
      </c>
      <c r="K5238" s="11">
        <f>O5238</f>
        <v/>
      </c>
      <c r="L5238" s="11">
        <f>L5237+IF(K5238&gt;0,K5238*Summary!$B$9,K5238/Summary!$B$9)</f>
        <v/>
      </c>
      <c r="M5238" s="11">
        <f>G5238+H5238</f>
        <v/>
      </c>
      <c r="N5238" s="11">
        <f>Summary!$C$16*Summary!$B$8</f>
        <v/>
      </c>
      <c r="O5238" s="11">
        <f>M5238-N5238</f>
        <v/>
      </c>
    </row>
    <row r="5239">
      <c r="A5239" s="9" t="n">
        <v>45510.20833333334</v>
      </c>
      <c r="B5239" t="n">
        <v>8</v>
      </c>
      <c r="C5239" t="n">
        <v>6</v>
      </c>
      <c r="D5239" t="n">
        <v>5</v>
      </c>
      <c r="E5239" s="10" t="n">
        <v>0.041466</v>
      </c>
      <c r="F5239" s="10" t="n">
        <v>0.2464439631465511</v>
      </c>
      <c r="G5239" s="11">
        <f>E5239*Summary!$B$6</f>
        <v/>
      </c>
      <c r="H5239" s="11">
        <f>F5239*Summary!$B$7</f>
        <v/>
      </c>
      <c r="I5239" s="11">
        <f>MAX(0,N5239-M5239)</f>
        <v/>
      </c>
      <c r="J5239" s="11">
        <f>MAX(0,M5239-N5239)</f>
        <v/>
      </c>
      <c r="K5239" s="11">
        <f>O5239</f>
        <v/>
      </c>
      <c r="L5239" s="11">
        <f>L5238+IF(K5239&gt;0,K5239*Summary!$B$9,K5239/Summary!$B$9)</f>
        <v/>
      </c>
      <c r="M5239" s="11">
        <f>G5239+H5239</f>
        <v/>
      </c>
      <c r="N5239" s="11">
        <f>Summary!$C$16*Summary!$B$8</f>
        <v/>
      </c>
      <c r="O5239" s="11">
        <f>M5239-N5239</f>
        <v/>
      </c>
    </row>
    <row r="5240">
      <c r="A5240" s="9" t="n">
        <v>45510.25</v>
      </c>
      <c r="B5240" t="n">
        <v>8</v>
      </c>
      <c r="C5240" t="n">
        <v>6</v>
      </c>
      <c r="D5240" t="n">
        <v>6</v>
      </c>
      <c r="E5240" s="10" t="n">
        <v>0.125858</v>
      </c>
      <c r="F5240" s="10" t="n">
        <v>0.2339004081360979</v>
      </c>
      <c r="G5240" s="11">
        <f>E5240*Summary!$B$6</f>
        <v/>
      </c>
      <c r="H5240" s="11">
        <f>F5240*Summary!$B$7</f>
        <v/>
      </c>
      <c r="I5240" s="11">
        <f>MAX(0,N5240-M5240)</f>
        <v/>
      </c>
      <c r="J5240" s="11">
        <f>MAX(0,M5240-N5240)</f>
        <v/>
      </c>
      <c r="K5240" s="11">
        <f>O5240</f>
        <v/>
      </c>
      <c r="L5240" s="11">
        <f>L5239+IF(K5240&gt;0,K5240*Summary!$B$9,K5240/Summary!$B$9)</f>
        <v/>
      </c>
      <c r="M5240" s="11">
        <f>G5240+H5240</f>
        <v/>
      </c>
      <c r="N5240" s="11">
        <f>Summary!$C$16*Summary!$B$8</f>
        <v/>
      </c>
      <c r="O5240" s="11">
        <f>M5240-N5240</f>
        <v/>
      </c>
    </row>
    <row r="5241">
      <c r="A5241" s="9" t="n">
        <v>45510.29166666666</v>
      </c>
      <c r="B5241" t="n">
        <v>8</v>
      </c>
      <c r="C5241" t="n">
        <v>6</v>
      </c>
      <c r="D5241" t="n">
        <v>7</v>
      </c>
      <c r="E5241" s="10" t="n">
        <v>0.314512</v>
      </c>
      <c r="F5241" s="10" t="n">
        <v>0.2306064073455378</v>
      </c>
      <c r="G5241" s="11">
        <f>E5241*Summary!$B$6</f>
        <v/>
      </c>
      <c r="H5241" s="11">
        <f>F5241*Summary!$B$7</f>
        <v/>
      </c>
      <c r="I5241" s="11">
        <f>MAX(0,N5241-M5241)</f>
        <v/>
      </c>
      <c r="J5241" s="11">
        <f>MAX(0,M5241-N5241)</f>
        <v/>
      </c>
      <c r="K5241" s="11">
        <f>O5241</f>
        <v/>
      </c>
      <c r="L5241" s="11">
        <f>L5240+IF(K5241&gt;0,K5241*Summary!$B$9,K5241/Summary!$B$9)</f>
        <v/>
      </c>
      <c r="M5241" s="11">
        <f>G5241+H5241</f>
        <v/>
      </c>
      <c r="N5241" s="11">
        <f>Summary!$C$16*Summary!$B$8</f>
        <v/>
      </c>
      <c r="O5241" s="11">
        <f>M5241-N5241</f>
        <v/>
      </c>
    </row>
    <row r="5242">
      <c r="A5242" s="9" t="n">
        <v>45510.33333333334</v>
      </c>
      <c r="B5242" t="n">
        <v>8</v>
      </c>
      <c r="C5242" t="n">
        <v>6</v>
      </c>
      <c r="D5242" t="n">
        <v>8</v>
      </c>
      <c r="E5242" s="10" t="n">
        <v>0.500509</v>
      </c>
      <c r="F5242" s="10" t="n">
        <v>0.2368781848507643</v>
      </c>
      <c r="G5242" s="11">
        <f>E5242*Summary!$B$6</f>
        <v/>
      </c>
      <c r="H5242" s="11">
        <f>F5242*Summary!$B$7</f>
        <v/>
      </c>
      <c r="I5242" s="11">
        <f>MAX(0,N5242-M5242)</f>
        <v/>
      </c>
      <c r="J5242" s="11">
        <f>MAX(0,M5242-N5242)</f>
        <v/>
      </c>
      <c r="K5242" s="11">
        <f>O5242</f>
        <v/>
      </c>
      <c r="L5242" s="11">
        <f>L5241+IF(K5242&gt;0,K5242*Summary!$B$9,K5242/Summary!$B$9)</f>
        <v/>
      </c>
      <c r="M5242" s="11">
        <f>G5242+H5242</f>
        <v/>
      </c>
      <c r="N5242" s="11">
        <f>Summary!$C$16*Summary!$B$8</f>
        <v/>
      </c>
      <c r="O5242" s="11">
        <f>M5242-N5242</f>
        <v/>
      </c>
    </row>
    <row r="5243">
      <c r="A5243" s="9" t="n">
        <v>45510.375</v>
      </c>
      <c r="B5243" t="n">
        <v>8</v>
      </c>
      <c r="C5243" t="n">
        <v>6</v>
      </c>
      <c r="D5243" t="n">
        <v>9</v>
      </c>
      <c r="E5243" s="10" t="n">
        <v>0.649708</v>
      </c>
      <c r="F5243" s="10" t="n">
        <v>0.2433344264002623</v>
      </c>
      <c r="G5243" s="11">
        <f>E5243*Summary!$B$6</f>
        <v/>
      </c>
      <c r="H5243" s="11">
        <f>F5243*Summary!$B$7</f>
        <v/>
      </c>
      <c r="I5243" s="11">
        <f>MAX(0,N5243-M5243)</f>
        <v/>
      </c>
      <c r="J5243" s="11">
        <f>MAX(0,M5243-N5243)</f>
        <v/>
      </c>
      <c r="K5243" s="11">
        <f>O5243</f>
        <v/>
      </c>
      <c r="L5243" s="11">
        <f>L5242+IF(K5243&gt;0,K5243*Summary!$B$9,K5243/Summary!$B$9)</f>
        <v/>
      </c>
      <c r="M5243" s="11">
        <f>G5243+H5243</f>
        <v/>
      </c>
      <c r="N5243" s="11">
        <f>Summary!$C$16*Summary!$B$8</f>
        <v/>
      </c>
      <c r="O5243" s="11">
        <f>M5243-N5243</f>
        <v/>
      </c>
    </row>
    <row r="5244">
      <c r="A5244" s="9" t="n">
        <v>45510.41666666666</v>
      </c>
      <c r="B5244" t="n">
        <v>8</v>
      </c>
      <c r="C5244" t="n">
        <v>6</v>
      </c>
      <c r="D5244" t="n">
        <v>10</v>
      </c>
      <c r="E5244" s="10" t="n">
        <v>0.754058</v>
      </c>
      <c r="F5244" s="10" t="n">
        <v>0.24167425000182</v>
      </c>
      <c r="G5244" s="11">
        <f>E5244*Summary!$B$6</f>
        <v/>
      </c>
      <c r="H5244" s="11">
        <f>F5244*Summary!$B$7</f>
        <v/>
      </c>
      <c r="I5244" s="11">
        <f>MAX(0,N5244-M5244)</f>
        <v/>
      </c>
      <c r="J5244" s="11">
        <f>MAX(0,M5244-N5244)</f>
        <v/>
      </c>
      <c r="K5244" s="11">
        <f>O5244</f>
        <v/>
      </c>
      <c r="L5244" s="11">
        <f>L5243+IF(K5244&gt;0,K5244*Summary!$B$9,K5244/Summary!$B$9)</f>
        <v/>
      </c>
      <c r="M5244" s="11">
        <f>G5244+H5244</f>
        <v/>
      </c>
      <c r="N5244" s="11">
        <f>Summary!$C$16*Summary!$B$8</f>
        <v/>
      </c>
      <c r="O5244" s="11">
        <f>M5244-N5244</f>
        <v/>
      </c>
    </row>
    <row r="5245">
      <c r="A5245" s="9" t="n">
        <v>45510.45833333334</v>
      </c>
      <c r="B5245" t="n">
        <v>8</v>
      </c>
      <c r="C5245" t="n">
        <v>6</v>
      </c>
      <c r="D5245" t="n">
        <v>11</v>
      </c>
      <c r="E5245" s="10" t="n">
        <v>0.754058</v>
      </c>
      <c r="F5245" s="10" t="n">
        <v>0.2542968610312467</v>
      </c>
      <c r="G5245" s="11">
        <f>E5245*Summary!$B$6</f>
        <v/>
      </c>
      <c r="H5245" s="11">
        <f>F5245*Summary!$B$7</f>
        <v/>
      </c>
      <c r="I5245" s="11">
        <f>MAX(0,N5245-M5245)</f>
        <v/>
      </c>
      <c r="J5245" s="11">
        <f>MAX(0,M5245-N5245)</f>
        <v/>
      </c>
      <c r="K5245" s="11">
        <f>O5245</f>
        <v/>
      </c>
      <c r="L5245" s="11">
        <f>L5244+IF(K5245&gt;0,K5245*Summary!$B$9,K5245/Summary!$B$9)</f>
        <v/>
      </c>
      <c r="M5245" s="11">
        <f>G5245+H5245</f>
        <v/>
      </c>
      <c r="N5245" s="11">
        <f>Summary!$C$16*Summary!$B$8</f>
        <v/>
      </c>
      <c r="O5245" s="11">
        <f>M5245-N5245</f>
        <v/>
      </c>
    </row>
    <row r="5246">
      <c r="A5246" s="9" t="n">
        <v>45510.5</v>
      </c>
      <c r="B5246" t="n">
        <v>8</v>
      </c>
      <c r="C5246" t="n">
        <v>6</v>
      </c>
      <c r="D5246" t="n">
        <v>12</v>
      </c>
      <c r="E5246" s="10" t="n">
        <v>0.754058</v>
      </c>
      <c r="F5246" s="10" t="n">
        <v>0.2570901737016417</v>
      </c>
      <c r="G5246" s="11">
        <f>E5246*Summary!$B$6</f>
        <v/>
      </c>
      <c r="H5246" s="11">
        <f>F5246*Summary!$B$7</f>
        <v/>
      </c>
      <c r="I5246" s="11">
        <f>MAX(0,N5246-M5246)</f>
        <v/>
      </c>
      <c r="J5246" s="11">
        <f>MAX(0,M5246-N5246)</f>
        <v/>
      </c>
      <c r="K5246" s="11">
        <f>O5246</f>
        <v/>
      </c>
      <c r="L5246" s="11">
        <f>L5245+IF(K5246&gt;0,K5246*Summary!$B$9,K5246/Summary!$B$9)</f>
        <v/>
      </c>
      <c r="M5246" s="11">
        <f>G5246+H5246</f>
        <v/>
      </c>
      <c r="N5246" s="11">
        <f>Summary!$C$16*Summary!$B$8</f>
        <v/>
      </c>
      <c r="O5246" s="11">
        <f>M5246-N5246</f>
        <v/>
      </c>
    </row>
    <row r="5247">
      <c r="A5247" s="9" t="n">
        <v>45510.54166666666</v>
      </c>
      <c r="B5247" t="n">
        <v>8</v>
      </c>
      <c r="C5247" t="n">
        <v>6</v>
      </c>
      <c r="D5247" t="n">
        <v>13</v>
      </c>
      <c r="E5247" s="10" t="n">
        <v>0.754058</v>
      </c>
      <c r="F5247" s="10" t="n">
        <v>0.2577489738597537</v>
      </c>
      <c r="G5247" s="11">
        <f>E5247*Summary!$B$6</f>
        <v/>
      </c>
      <c r="H5247" s="11">
        <f>F5247*Summary!$B$7</f>
        <v/>
      </c>
      <c r="I5247" s="11">
        <f>MAX(0,N5247-M5247)</f>
        <v/>
      </c>
      <c r="J5247" s="11">
        <f>MAX(0,M5247-N5247)</f>
        <v/>
      </c>
      <c r="K5247" s="11">
        <f>O5247</f>
        <v/>
      </c>
      <c r="L5247" s="11">
        <f>L5246+IF(K5247&gt;0,K5247*Summary!$B$9,K5247/Summary!$B$9)</f>
        <v/>
      </c>
      <c r="M5247" s="11">
        <f>G5247+H5247</f>
        <v/>
      </c>
      <c r="N5247" s="11">
        <f>Summary!$C$16*Summary!$B$8</f>
        <v/>
      </c>
      <c r="O5247" s="11">
        <f>M5247-N5247</f>
        <v/>
      </c>
    </row>
    <row r="5248">
      <c r="A5248" s="9" t="n">
        <v>45510.58333333334</v>
      </c>
      <c r="B5248" t="n">
        <v>8</v>
      </c>
      <c r="C5248" t="n">
        <v>6</v>
      </c>
      <c r="D5248" t="n">
        <v>14</v>
      </c>
      <c r="E5248" s="10" t="n">
        <v>0.715624</v>
      </c>
      <c r="F5248" s="10" t="n">
        <v>0.2554036452968749</v>
      </c>
      <c r="G5248" s="11">
        <f>E5248*Summary!$B$6</f>
        <v/>
      </c>
      <c r="H5248" s="11">
        <f>F5248*Summary!$B$7</f>
        <v/>
      </c>
      <c r="I5248" s="11">
        <f>MAX(0,N5248-M5248)</f>
        <v/>
      </c>
      <c r="J5248" s="11">
        <f>MAX(0,M5248-N5248)</f>
        <v/>
      </c>
      <c r="K5248" s="11">
        <f>O5248</f>
        <v/>
      </c>
      <c r="L5248" s="11">
        <f>L5247+IF(K5248&gt;0,K5248*Summary!$B$9,K5248/Summary!$B$9)</f>
        <v/>
      </c>
      <c r="M5248" s="11">
        <f>G5248+H5248</f>
        <v/>
      </c>
      <c r="N5248" s="11">
        <f>Summary!$C$16*Summary!$B$8</f>
        <v/>
      </c>
      <c r="O5248" s="11">
        <f>M5248-N5248</f>
        <v/>
      </c>
    </row>
    <row r="5249">
      <c r="A5249" s="9" t="n">
        <v>45510.625</v>
      </c>
      <c r="B5249" t="n">
        <v>8</v>
      </c>
      <c r="C5249" t="n">
        <v>6</v>
      </c>
      <c r="D5249" t="n">
        <v>15</v>
      </c>
      <c r="E5249" s="10" t="n">
        <v>0.5881189999999999</v>
      </c>
      <c r="F5249" s="10" t="n">
        <v>0.2575908618218068</v>
      </c>
      <c r="G5249" s="11">
        <f>E5249*Summary!$B$6</f>
        <v/>
      </c>
      <c r="H5249" s="11">
        <f>F5249*Summary!$B$7</f>
        <v/>
      </c>
      <c r="I5249" s="11">
        <f>MAX(0,N5249-M5249)</f>
        <v/>
      </c>
      <c r="J5249" s="11">
        <f>MAX(0,M5249-N5249)</f>
        <v/>
      </c>
      <c r="K5249" s="11">
        <f>O5249</f>
        <v/>
      </c>
      <c r="L5249" s="11">
        <f>L5248+IF(K5249&gt;0,K5249*Summary!$B$9,K5249/Summary!$B$9)</f>
        <v/>
      </c>
      <c r="M5249" s="11">
        <f>G5249+H5249</f>
        <v/>
      </c>
      <c r="N5249" s="11">
        <f>Summary!$C$16*Summary!$B$8</f>
        <v/>
      </c>
      <c r="O5249" s="11">
        <f>M5249-N5249</f>
        <v/>
      </c>
    </row>
    <row r="5250">
      <c r="A5250" s="9" t="n">
        <v>45510.66666666666</v>
      </c>
      <c r="B5250" t="n">
        <v>8</v>
      </c>
      <c r="C5250" t="n">
        <v>6</v>
      </c>
      <c r="D5250" t="n">
        <v>16</v>
      </c>
      <c r="E5250" s="10" t="n">
        <v>0.413317</v>
      </c>
      <c r="F5250" s="10" t="n">
        <v>0.264442383466172</v>
      </c>
      <c r="G5250" s="11">
        <f>E5250*Summary!$B$6</f>
        <v/>
      </c>
      <c r="H5250" s="11">
        <f>F5250*Summary!$B$7</f>
        <v/>
      </c>
      <c r="I5250" s="11">
        <f>MAX(0,N5250-M5250)</f>
        <v/>
      </c>
      <c r="J5250" s="11">
        <f>MAX(0,M5250-N5250)</f>
        <v/>
      </c>
      <c r="K5250" s="11">
        <f>O5250</f>
        <v/>
      </c>
      <c r="L5250" s="11">
        <f>L5249+IF(K5250&gt;0,K5250*Summary!$B$9,K5250/Summary!$B$9)</f>
        <v/>
      </c>
      <c r="M5250" s="11">
        <f>G5250+H5250</f>
        <v/>
      </c>
      <c r="N5250" s="11">
        <f>Summary!$C$16*Summary!$B$8</f>
        <v/>
      </c>
      <c r="O5250" s="11">
        <f>M5250-N5250</f>
        <v/>
      </c>
    </row>
    <row r="5251">
      <c r="A5251" s="9" t="n">
        <v>45510.70833333334</v>
      </c>
      <c r="B5251" t="n">
        <v>8</v>
      </c>
      <c r="C5251" t="n">
        <v>6</v>
      </c>
      <c r="D5251" t="n">
        <v>17</v>
      </c>
      <c r="E5251" s="10" t="n">
        <v>0.216496</v>
      </c>
      <c r="F5251" s="10" t="n">
        <v>0.2663660799278592</v>
      </c>
      <c r="G5251" s="11">
        <f>E5251*Summary!$B$6</f>
        <v/>
      </c>
      <c r="H5251" s="11">
        <f>F5251*Summary!$B$7</f>
        <v/>
      </c>
      <c r="I5251" s="11">
        <f>MAX(0,N5251-M5251)</f>
        <v/>
      </c>
      <c r="J5251" s="11">
        <f>MAX(0,M5251-N5251)</f>
        <v/>
      </c>
      <c r="K5251" s="11">
        <f>O5251</f>
        <v/>
      </c>
      <c r="L5251" s="11">
        <f>L5250+IF(K5251&gt;0,K5251*Summary!$B$9,K5251/Summary!$B$9)</f>
        <v/>
      </c>
      <c r="M5251" s="11">
        <f>G5251+H5251</f>
        <v/>
      </c>
      <c r="N5251" s="11">
        <f>Summary!$C$16*Summary!$B$8</f>
        <v/>
      </c>
      <c r="O5251" s="11">
        <f>M5251-N5251</f>
        <v/>
      </c>
    </row>
    <row r="5252">
      <c r="A5252" s="9" t="n">
        <v>45510.75</v>
      </c>
      <c r="B5252" t="n">
        <v>8</v>
      </c>
      <c r="C5252" t="n">
        <v>6</v>
      </c>
      <c r="D5252" t="n">
        <v>18</v>
      </c>
      <c r="E5252" s="10" t="n">
        <v>0.06310499999999999</v>
      </c>
      <c r="F5252" s="10" t="n">
        <v>0.2663397279215347</v>
      </c>
      <c r="G5252" s="11">
        <f>E5252*Summary!$B$6</f>
        <v/>
      </c>
      <c r="H5252" s="11">
        <f>F5252*Summary!$B$7</f>
        <v/>
      </c>
      <c r="I5252" s="11">
        <f>MAX(0,N5252-M5252)</f>
        <v/>
      </c>
      <c r="J5252" s="11">
        <f>MAX(0,M5252-N5252)</f>
        <v/>
      </c>
      <c r="K5252" s="11">
        <f>O5252</f>
        <v/>
      </c>
      <c r="L5252" s="11">
        <f>L5251+IF(K5252&gt;0,K5252*Summary!$B$9,K5252/Summary!$B$9)</f>
        <v/>
      </c>
      <c r="M5252" s="11">
        <f>G5252+H5252</f>
        <v/>
      </c>
      <c r="N5252" s="11">
        <f>Summary!$C$16*Summary!$B$8</f>
        <v/>
      </c>
      <c r="O5252" s="11">
        <f>M5252-N5252</f>
        <v/>
      </c>
    </row>
    <row r="5253">
      <c r="A5253" s="9" t="n">
        <v>45510.79166666666</v>
      </c>
      <c r="B5253" t="n">
        <v>8</v>
      </c>
      <c r="C5253" t="n">
        <v>6</v>
      </c>
      <c r="D5253" t="n">
        <v>19</v>
      </c>
      <c r="E5253" s="10" t="n">
        <v>0.025377</v>
      </c>
      <c r="F5253" s="10" t="n">
        <v>0.2692120966109032</v>
      </c>
      <c r="G5253" s="11">
        <f>E5253*Summary!$B$6</f>
        <v/>
      </c>
      <c r="H5253" s="11">
        <f>F5253*Summary!$B$7</f>
        <v/>
      </c>
      <c r="I5253" s="11">
        <f>MAX(0,N5253-M5253)</f>
        <v/>
      </c>
      <c r="J5253" s="11">
        <f>MAX(0,M5253-N5253)</f>
        <v/>
      </c>
      <c r="K5253" s="11">
        <f>O5253</f>
        <v/>
      </c>
      <c r="L5253" s="11">
        <f>L5252+IF(K5253&gt;0,K5253*Summary!$B$9,K5253/Summary!$B$9)</f>
        <v/>
      </c>
      <c r="M5253" s="11">
        <f>G5253+H5253</f>
        <v/>
      </c>
      <c r="N5253" s="11">
        <f>Summary!$C$16*Summary!$B$8</f>
        <v/>
      </c>
      <c r="O5253" s="11">
        <f>M5253-N5253</f>
        <v/>
      </c>
    </row>
    <row r="5254">
      <c r="A5254" s="9" t="n">
        <v>45510.83333333334</v>
      </c>
      <c r="B5254" t="n">
        <v>8</v>
      </c>
      <c r="C5254" t="n">
        <v>6</v>
      </c>
      <c r="D5254" t="n">
        <v>20</v>
      </c>
      <c r="E5254" s="10" t="n">
        <v>0</v>
      </c>
      <c r="F5254" s="10" t="n">
        <v>0.2821509317162236</v>
      </c>
      <c r="G5254" s="11">
        <f>E5254*Summary!$B$6</f>
        <v/>
      </c>
      <c r="H5254" s="11">
        <f>F5254*Summary!$B$7</f>
        <v/>
      </c>
      <c r="I5254" s="11">
        <f>MAX(0,N5254-M5254)</f>
        <v/>
      </c>
      <c r="J5254" s="11">
        <f>MAX(0,M5254-N5254)</f>
        <v/>
      </c>
      <c r="K5254" s="11">
        <f>O5254</f>
        <v/>
      </c>
      <c r="L5254" s="11">
        <f>L5253+IF(K5254&gt;0,K5254*Summary!$B$9,K5254/Summary!$B$9)</f>
        <v/>
      </c>
      <c r="M5254" s="11">
        <f>G5254+H5254</f>
        <v/>
      </c>
      <c r="N5254" s="11">
        <f>Summary!$C$16*Summary!$B$8</f>
        <v/>
      </c>
      <c r="O5254" s="11">
        <f>M5254-N5254</f>
        <v/>
      </c>
    </row>
    <row r="5255">
      <c r="A5255" s="9" t="n">
        <v>45510.875</v>
      </c>
      <c r="B5255" t="n">
        <v>8</v>
      </c>
      <c r="C5255" t="n">
        <v>6</v>
      </c>
      <c r="D5255" t="n">
        <v>21</v>
      </c>
      <c r="E5255" s="10" t="n">
        <v>0</v>
      </c>
      <c r="F5255" s="10" t="n">
        <v>0.2919011740562817</v>
      </c>
      <c r="G5255" s="11">
        <f>E5255*Summary!$B$6</f>
        <v/>
      </c>
      <c r="H5255" s="11">
        <f>F5255*Summary!$B$7</f>
        <v/>
      </c>
      <c r="I5255" s="11">
        <f>MAX(0,N5255-M5255)</f>
        <v/>
      </c>
      <c r="J5255" s="11">
        <f>MAX(0,M5255-N5255)</f>
        <v/>
      </c>
      <c r="K5255" s="11">
        <f>O5255</f>
        <v/>
      </c>
      <c r="L5255" s="11">
        <f>L5254+IF(K5255&gt;0,K5255*Summary!$B$9,K5255/Summary!$B$9)</f>
        <v/>
      </c>
      <c r="M5255" s="11">
        <f>G5255+H5255</f>
        <v/>
      </c>
      <c r="N5255" s="11">
        <f>Summary!$C$16*Summary!$B$8</f>
        <v/>
      </c>
      <c r="O5255" s="11">
        <f>M5255-N5255</f>
        <v/>
      </c>
    </row>
    <row r="5256">
      <c r="A5256" s="9" t="n">
        <v>45510.91666666666</v>
      </c>
      <c r="B5256" t="n">
        <v>8</v>
      </c>
      <c r="C5256" t="n">
        <v>6</v>
      </c>
      <c r="D5256" t="n">
        <v>22</v>
      </c>
      <c r="E5256" s="10" t="n">
        <v>0</v>
      </c>
      <c r="F5256" s="10" t="n">
        <v>0.2966445351946884</v>
      </c>
      <c r="G5256" s="11">
        <f>E5256*Summary!$B$6</f>
        <v/>
      </c>
      <c r="H5256" s="11">
        <f>F5256*Summary!$B$7</f>
        <v/>
      </c>
      <c r="I5256" s="11">
        <f>MAX(0,N5256-M5256)</f>
        <v/>
      </c>
      <c r="J5256" s="11">
        <f>MAX(0,M5256-N5256)</f>
        <v/>
      </c>
      <c r="K5256" s="11">
        <f>O5256</f>
        <v/>
      </c>
      <c r="L5256" s="11">
        <f>L5255+IF(K5256&gt;0,K5256*Summary!$B$9,K5256/Summary!$B$9)</f>
        <v/>
      </c>
      <c r="M5256" s="11">
        <f>G5256+H5256</f>
        <v/>
      </c>
      <c r="N5256" s="11">
        <f>Summary!$C$16*Summary!$B$8</f>
        <v/>
      </c>
      <c r="O5256" s="11">
        <f>M5256-N5256</f>
        <v/>
      </c>
    </row>
    <row r="5257">
      <c r="A5257" s="9" t="n">
        <v>45510.95833333334</v>
      </c>
      <c r="B5257" t="n">
        <v>8</v>
      </c>
      <c r="C5257" t="n">
        <v>6</v>
      </c>
      <c r="D5257" t="n">
        <v>23</v>
      </c>
      <c r="E5257" s="10" t="n">
        <v>0</v>
      </c>
      <c r="F5257" s="10" t="n">
        <v>0.3034960568390536</v>
      </c>
      <c r="G5257" s="11">
        <f>E5257*Summary!$B$6</f>
        <v/>
      </c>
      <c r="H5257" s="11">
        <f>F5257*Summary!$B$7</f>
        <v/>
      </c>
      <c r="I5257" s="11">
        <f>MAX(0,N5257-M5257)</f>
        <v/>
      </c>
      <c r="J5257" s="11">
        <f>MAX(0,M5257-N5257)</f>
        <v/>
      </c>
      <c r="K5257" s="11">
        <f>O5257</f>
        <v/>
      </c>
      <c r="L5257" s="11">
        <f>L5256+IF(K5257&gt;0,K5257*Summary!$B$9,K5257/Summary!$B$9)</f>
        <v/>
      </c>
      <c r="M5257" s="11">
        <f>G5257+H5257</f>
        <v/>
      </c>
      <c r="N5257" s="11">
        <f>Summary!$C$16*Summary!$B$8</f>
        <v/>
      </c>
      <c r="O5257" s="11">
        <f>M5257-N5257</f>
        <v/>
      </c>
    </row>
    <row r="5258">
      <c r="A5258" s="9" t="n">
        <v>45511</v>
      </c>
      <c r="B5258" t="n">
        <v>8</v>
      </c>
      <c r="C5258" t="n">
        <v>7</v>
      </c>
      <c r="D5258" t="n">
        <v>0</v>
      </c>
      <c r="E5258" s="10" t="n">
        <v>0</v>
      </c>
      <c r="F5258" s="10" t="n">
        <v>0.2323456397629536</v>
      </c>
      <c r="G5258" s="11">
        <f>E5258*Summary!$B$6</f>
        <v/>
      </c>
      <c r="H5258" s="11">
        <f>F5258*Summary!$B$7</f>
        <v/>
      </c>
      <c r="I5258" s="11">
        <f>MAX(0,N5258-M5258)</f>
        <v/>
      </c>
      <c r="J5258" s="11">
        <f>MAX(0,M5258-N5258)</f>
        <v/>
      </c>
      <c r="K5258" s="11">
        <f>O5258</f>
        <v/>
      </c>
      <c r="L5258" s="11">
        <f>L5257+IF(K5258&gt;0,K5258*Summary!$B$9,K5258/Summary!$B$9)</f>
        <v/>
      </c>
      <c r="M5258" s="11">
        <f>G5258+H5258</f>
        <v/>
      </c>
      <c r="N5258" s="11">
        <f>Summary!$C$16*Summary!$B$8</f>
        <v/>
      </c>
      <c r="O5258" s="11">
        <f>M5258-N5258</f>
        <v/>
      </c>
    </row>
    <row r="5259">
      <c r="A5259" s="9" t="n">
        <v>45511.04166666666</v>
      </c>
      <c r="B5259" t="n">
        <v>8</v>
      </c>
      <c r="C5259" t="n">
        <v>7</v>
      </c>
      <c r="D5259" t="n">
        <v>1</v>
      </c>
      <c r="E5259" s="10" t="n">
        <v>0</v>
      </c>
      <c r="F5259" s="10" t="n">
        <v>0.2976459114350187</v>
      </c>
      <c r="G5259" s="11">
        <f>E5259*Summary!$B$6</f>
        <v/>
      </c>
      <c r="H5259" s="11">
        <f>F5259*Summary!$B$7</f>
        <v/>
      </c>
      <c r="I5259" s="11">
        <f>MAX(0,N5259-M5259)</f>
        <v/>
      </c>
      <c r="J5259" s="11">
        <f>MAX(0,M5259-N5259)</f>
        <v/>
      </c>
      <c r="K5259" s="11">
        <f>O5259</f>
        <v/>
      </c>
      <c r="L5259" s="11">
        <f>L5258+IF(K5259&gt;0,K5259*Summary!$B$9,K5259/Summary!$B$9)</f>
        <v/>
      </c>
      <c r="M5259" s="11">
        <f>G5259+H5259</f>
        <v/>
      </c>
      <c r="N5259" s="11">
        <f>Summary!$C$16*Summary!$B$8</f>
        <v/>
      </c>
      <c r="O5259" s="11">
        <f>M5259-N5259</f>
        <v/>
      </c>
    </row>
    <row r="5260">
      <c r="A5260" s="9" t="n">
        <v>45511.08333333334</v>
      </c>
      <c r="B5260" t="n">
        <v>8</v>
      </c>
      <c r="C5260" t="n">
        <v>7</v>
      </c>
      <c r="D5260" t="n">
        <v>2</v>
      </c>
      <c r="E5260" s="10" t="n">
        <v>0</v>
      </c>
      <c r="F5260" s="10" t="n">
        <v>0.2883963572151257</v>
      </c>
      <c r="G5260" s="11">
        <f>E5260*Summary!$B$6</f>
        <v/>
      </c>
      <c r="H5260" s="11">
        <f>F5260*Summary!$B$7</f>
        <v/>
      </c>
      <c r="I5260" s="11">
        <f>MAX(0,N5260-M5260)</f>
        <v/>
      </c>
      <c r="J5260" s="11">
        <f>MAX(0,M5260-N5260)</f>
        <v/>
      </c>
      <c r="K5260" s="11">
        <f>O5260</f>
        <v/>
      </c>
      <c r="L5260" s="11">
        <f>L5259+IF(K5260&gt;0,K5260*Summary!$B$9,K5260/Summary!$B$9)</f>
        <v/>
      </c>
      <c r="M5260" s="11">
        <f>G5260+H5260</f>
        <v/>
      </c>
      <c r="N5260" s="11">
        <f>Summary!$C$16*Summary!$B$8</f>
        <v/>
      </c>
      <c r="O5260" s="11">
        <f>M5260-N5260</f>
        <v/>
      </c>
    </row>
    <row r="5261">
      <c r="A5261" s="9" t="n">
        <v>45511.125</v>
      </c>
      <c r="B5261" t="n">
        <v>8</v>
      </c>
      <c r="C5261" t="n">
        <v>7</v>
      </c>
      <c r="D5261" t="n">
        <v>3</v>
      </c>
      <c r="E5261" s="10" t="n">
        <v>0</v>
      </c>
      <c r="F5261" s="10" t="n">
        <v>0.2796211391090734</v>
      </c>
      <c r="G5261" s="11">
        <f>E5261*Summary!$B$6</f>
        <v/>
      </c>
      <c r="H5261" s="11">
        <f>F5261*Summary!$B$7</f>
        <v/>
      </c>
      <c r="I5261" s="11">
        <f>MAX(0,N5261-M5261)</f>
        <v/>
      </c>
      <c r="J5261" s="11">
        <f>MAX(0,M5261-N5261)</f>
        <v/>
      </c>
      <c r="K5261" s="11">
        <f>O5261</f>
        <v/>
      </c>
      <c r="L5261" s="11">
        <f>L5260+IF(K5261&gt;0,K5261*Summary!$B$9,K5261/Summary!$B$9)</f>
        <v/>
      </c>
      <c r="M5261" s="11">
        <f>G5261+H5261</f>
        <v/>
      </c>
      <c r="N5261" s="11">
        <f>Summary!$C$16*Summary!$B$8</f>
        <v/>
      </c>
      <c r="O5261" s="11">
        <f>M5261-N5261</f>
        <v/>
      </c>
    </row>
    <row r="5262">
      <c r="A5262" s="9" t="n">
        <v>45511.16666666666</v>
      </c>
      <c r="B5262" t="n">
        <v>8</v>
      </c>
      <c r="C5262" t="n">
        <v>7</v>
      </c>
      <c r="D5262" t="n">
        <v>4</v>
      </c>
      <c r="E5262" s="10" t="n">
        <v>0</v>
      </c>
      <c r="F5262" s="10" t="n">
        <v>0.2725588014141124</v>
      </c>
      <c r="G5262" s="11">
        <f>E5262*Summary!$B$6</f>
        <v/>
      </c>
      <c r="H5262" s="11">
        <f>F5262*Summary!$B$7</f>
        <v/>
      </c>
      <c r="I5262" s="11">
        <f>MAX(0,N5262-M5262)</f>
        <v/>
      </c>
      <c r="J5262" s="11">
        <f>MAX(0,M5262-N5262)</f>
        <v/>
      </c>
      <c r="K5262" s="11">
        <f>O5262</f>
        <v/>
      </c>
      <c r="L5262" s="11">
        <f>L5261+IF(K5262&gt;0,K5262*Summary!$B$9,K5262/Summary!$B$9)</f>
        <v/>
      </c>
      <c r="M5262" s="11">
        <f>G5262+H5262</f>
        <v/>
      </c>
      <c r="N5262" s="11">
        <f>Summary!$C$16*Summary!$B$8</f>
        <v/>
      </c>
      <c r="O5262" s="11">
        <f>M5262-N5262</f>
        <v/>
      </c>
    </row>
    <row r="5263">
      <c r="A5263" s="9" t="n">
        <v>45511.20833333334</v>
      </c>
      <c r="B5263" t="n">
        <v>8</v>
      </c>
      <c r="C5263" t="n">
        <v>7</v>
      </c>
      <c r="D5263" t="n">
        <v>5</v>
      </c>
      <c r="E5263" s="10" t="n">
        <v>0.031435</v>
      </c>
      <c r="F5263" s="10" t="n">
        <v>0.2525312766075063</v>
      </c>
      <c r="G5263" s="11">
        <f>E5263*Summary!$B$6</f>
        <v/>
      </c>
      <c r="H5263" s="11">
        <f>F5263*Summary!$B$7</f>
        <v/>
      </c>
      <c r="I5263" s="11">
        <f>MAX(0,N5263-M5263)</f>
        <v/>
      </c>
      <c r="J5263" s="11">
        <f>MAX(0,M5263-N5263)</f>
        <v/>
      </c>
      <c r="K5263" s="11">
        <f>O5263</f>
        <v/>
      </c>
      <c r="L5263" s="11">
        <f>L5262+IF(K5263&gt;0,K5263*Summary!$B$9,K5263/Summary!$B$9)</f>
        <v/>
      </c>
      <c r="M5263" s="11">
        <f>G5263+H5263</f>
        <v/>
      </c>
      <c r="N5263" s="11">
        <f>Summary!$C$16*Summary!$B$8</f>
        <v/>
      </c>
      <c r="O5263" s="11">
        <f>M5263-N5263</f>
        <v/>
      </c>
    </row>
    <row r="5264">
      <c r="A5264" s="9" t="n">
        <v>45511.25</v>
      </c>
      <c r="B5264" t="n">
        <v>8</v>
      </c>
      <c r="C5264" t="n">
        <v>7</v>
      </c>
      <c r="D5264" t="n">
        <v>6</v>
      </c>
      <c r="E5264" s="10" t="n">
        <v>0.105854</v>
      </c>
      <c r="F5264" s="10" t="n">
        <v>0.2311861514846764</v>
      </c>
      <c r="G5264" s="11">
        <f>E5264*Summary!$B$6</f>
        <v/>
      </c>
      <c r="H5264" s="11">
        <f>F5264*Summary!$B$7</f>
        <v/>
      </c>
      <c r="I5264" s="11">
        <f>MAX(0,N5264-M5264)</f>
        <v/>
      </c>
      <c r="J5264" s="11">
        <f>MAX(0,M5264-N5264)</f>
        <v/>
      </c>
      <c r="K5264" s="11">
        <f>O5264</f>
        <v/>
      </c>
      <c r="L5264" s="11">
        <f>L5263+IF(K5264&gt;0,K5264*Summary!$B$9,K5264/Summary!$B$9)</f>
        <v/>
      </c>
      <c r="M5264" s="11">
        <f>G5264+H5264</f>
        <v/>
      </c>
      <c r="N5264" s="11">
        <f>Summary!$C$16*Summary!$B$8</f>
        <v/>
      </c>
      <c r="O5264" s="11">
        <f>M5264-N5264</f>
        <v/>
      </c>
    </row>
    <row r="5265">
      <c r="A5265" s="9" t="n">
        <v>45511.29166666666</v>
      </c>
      <c r="B5265" t="n">
        <v>8</v>
      </c>
      <c r="C5265" t="n">
        <v>7</v>
      </c>
      <c r="D5265" t="n">
        <v>7</v>
      </c>
      <c r="E5265" s="10" t="n">
        <v>0.294524</v>
      </c>
      <c r="F5265" s="10" t="n">
        <v>0.2098937303744953</v>
      </c>
      <c r="G5265" s="11">
        <f>E5265*Summary!$B$6</f>
        <v/>
      </c>
      <c r="H5265" s="11">
        <f>F5265*Summary!$B$7</f>
        <v/>
      </c>
      <c r="I5265" s="11">
        <f>MAX(0,N5265-M5265)</f>
        <v/>
      </c>
      <c r="J5265" s="11">
        <f>MAX(0,M5265-N5265)</f>
        <v/>
      </c>
      <c r="K5265" s="11">
        <f>O5265</f>
        <v/>
      </c>
      <c r="L5265" s="11">
        <f>L5264+IF(K5265&gt;0,K5265*Summary!$B$9,K5265/Summary!$B$9)</f>
        <v/>
      </c>
      <c r="M5265" s="11">
        <f>G5265+H5265</f>
        <v/>
      </c>
      <c r="N5265" s="11">
        <f>Summary!$C$16*Summary!$B$8</f>
        <v/>
      </c>
      <c r="O5265" s="11">
        <f>M5265-N5265</f>
        <v/>
      </c>
    </row>
    <row r="5266">
      <c r="A5266" s="9" t="n">
        <v>45511.33333333334</v>
      </c>
      <c r="B5266" t="n">
        <v>8</v>
      </c>
      <c r="C5266" t="n">
        <v>7</v>
      </c>
      <c r="D5266" t="n">
        <v>8</v>
      </c>
      <c r="E5266" s="10" t="n">
        <v>0.495822</v>
      </c>
      <c r="F5266" s="10" t="n">
        <v>0.2053611852866845</v>
      </c>
      <c r="G5266" s="11">
        <f>E5266*Summary!$B$6</f>
        <v/>
      </c>
      <c r="H5266" s="11">
        <f>F5266*Summary!$B$7</f>
        <v/>
      </c>
      <c r="I5266" s="11">
        <f>MAX(0,N5266-M5266)</f>
        <v/>
      </c>
      <c r="J5266" s="11">
        <f>MAX(0,M5266-N5266)</f>
        <v/>
      </c>
      <c r="K5266" s="11">
        <f>O5266</f>
        <v/>
      </c>
      <c r="L5266" s="11">
        <f>L5265+IF(K5266&gt;0,K5266*Summary!$B$9,K5266/Summary!$B$9)</f>
        <v/>
      </c>
      <c r="M5266" s="11">
        <f>G5266+H5266</f>
        <v/>
      </c>
      <c r="N5266" s="11">
        <f>Summary!$C$16*Summary!$B$8</f>
        <v/>
      </c>
      <c r="O5266" s="11">
        <f>M5266-N5266</f>
        <v/>
      </c>
    </row>
    <row r="5267">
      <c r="A5267" s="9" t="n">
        <v>45511.375</v>
      </c>
      <c r="B5267" t="n">
        <v>8</v>
      </c>
      <c r="C5267" t="n">
        <v>7</v>
      </c>
      <c r="D5267" t="n">
        <v>9</v>
      </c>
      <c r="E5267" s="10" t="n">
        <v>0.646448</v>
      </c>
      <c r="F5267" s="10" t="n">
        <v>0.2067841936282065</v>
      </c>
      <c r="G5267" s="11">
        <f>E5267*Summary!$B$6</f>
        <v/>
      </c>
      <c r="H5267" s="11">
        <f>F5267*Summary!$B$7</f>
        <v/>
      </c>
      <c r="I5267" s="11">
        <f>MAX(0,N5267-M5267)</f>
        <v/>
      </c>
      <c r="J5267" s="11">
        <f>MAX(0,M5267-N5267)</f>
        <v/>
      </c>
      <c r="K5267" s="11">
        <f>O5267</f>
        <v/>
      </c>
      <c r="L5267" s="11">
        <f>L5266+IF(K5267&gt;0,K5267*Summary!$B$9,K5267/Summary!$B$9)</f>
        <v/>
      </c>
      <c r="M5267" s="11">
        <f>G5267+H5267</f>
        <v/>
      </c>
      <c r="N5267" s="11">
        <f>Summary!$C$16*Summary!$B$8</f>
        <v/>
      </c>
      <c r="O5267" s="11">
        <f>M5267-N5267</f>
        <v/>
      </c>
    </row>
    <row r="5268">
      <c r="A5268" s="9" t="n">
        <v>45511.41666666666</v>
      </c>
      <c r="B5268" t="n">
        <v>8</v>
      </c>
      <c r="C5268" t="n">
        <v>7</v>
      </c>
      <c r="D5268" t="n">
        <v>10</v>
      </c>
      <c r="E5268" s="10" t="n">
        <v>0.751436</v>
      </c>
      <c r="F5268" s="10" t="n">
        <v>0.2161128038670729</v>
      </c>
      <c r="G5268" s="11">
        <f>E5268*Summary!$B$6</f>
        <v/>
      </c>
      <c r="H5268" s="11">
        <f>F5268*Summary!$B$7</f>
        <v/>
      </c>
      <c r="I5268" s="11">
        <f>MAX(0,N5268-M5268)</f>
        <v/>
      </c>
      <c r="J5268" s="11">
        <f>MAX(0,M5268-N5268)</f>
        <v/>
      </c>
      <c r="K5268" s="11">
        <f>O5268</f>
        <v/>
      </c>
      <c r="L5268" s="11">
        <f>L5267+IF(K5268&gt;0,K5268*Summary!$B$9,K5268/Summary!$B$9)</f>
        <v/>
      </c>
      <c r="M5268" s="11">
        <f>G5268+H5268</f>
        <v/>
      </c>
      <c r="N5268" s="11">
        <f>Summary!$C$16*Summary!$B$8</f>
        <v/>
      </c>
      <c r="O5268" s="11">
        <f>M5268-N5268</f>
        <v/>
      </c>
    </row>
    <row r="5269">
      <c r="A5269" s="9" t="n">
        <v>45511.45833333334</v>
      </c>
      <c r="B5269" t="n">
        <v>8</v>
      </c>
      <c r="C5269" t="n">
        <v>7</v>
      </c>
      <c r="D5269" t="n">
        <v>11</v>
      </c>
      <c r="E5269" s="10" t="n">
        <v>0.754058</v>
      </c>
      <c r="F5269" s="10" t="n">
        <v>0.2214359091446182</v>
      </c>
      <c r="G5269" s="11">
        <f>E5269*Summary!$B$6</f>
        <v/>
      </c>
      <c r="H5269" s="11">
        <f>F5269*Summary!$B$7</f>
        <v/>
      </c>
      <c r="I5269" s="11">
        <f>MAX(0,N5269-M5269)</f>
        <v/>
      </c>
      <c r="J5269" s="11">
        <f>MAX(0,M5269-N5269)</f>
        <v/>
      </c>
      <c r="K5269" s="11">
        <f>O5269</f>
        <v/>
      </c>
      <c r="L5269" s="11">
        <f>L5268+IF(K5269&gt;0,K5269*Summary!$B$9,K5269/Summary!$B$9)</f>
        <v/>
      </c>
      <c r="M5269" s="11">
        <f>G5269+H5269</f>
        <v/>
      </c>
      <c r="N5269" s="11">
        <f>Summary!$C$16*Summary!$B$8</f>
        <v/>
      </c>
      <c r="O5269" s="11">
        <f>M5269-N5269</f>
        <v/>
      </c>
    </row>
    <row r="5270">
      <c r="A5270" s="9" t="n">
        <v>45511.5</v>
      </c>
      <c r="B5270" t="n">
        <v>8</v>
      </c>
      <c r="C5270" t="n">
        <v>7</v>
      </c>
      <c r="D5270" t="n">
        <v>12</v>
      </c>
      <c r="E5270" s="10" t="n">
        <v>0.754058</v>
      </c>
      <c r="F5270" s="10" t="n">
        <v>0.226732662415839</v>
      </c>
      <c r="G5270" s="11">
        <f>E5270*Summary!$B$6</f>
        <v/>
      </c>
      <c r="H5270" s="11">
        <f>F5270*Summary!$B$7</f>
        <v/>
      </c>
      <c r="I5270" s="11">
        <f>MAX(0,N5270-M5270)</f>
        <v/>
      </c>
      <c r="J5270" s="11">
        <f>MAX(0,M5270-N5270)</f>
        <v/>
      </c>
      <c r="K5270" s="11">
        <f>O5270</f>
        <v/>
      </c>
      <c r="L5270" s="11">
        <f>L5269+IF(K5270&gt;0,K5270*Summary!$B$9,K5270/Summary!$B$9)</f>
        <v/>
      </c>
      <c r="M5270" s="11">
        <f>G5270+H5270</f>
        <v/>
      </c>
      <c r="N5270" s="11">
        <f>Summary!$C$16*Summary!$B$8</f>
        <v/>
      </c>
      <c r="O5270" s="11">
        <f>M5270-N5270</f>
        <v/>
      </c>
    </row>
    <row r="5271">
      <c r="A5271" s="9" t="n">
        <v>45511.54166666666</v>
      </c>
      <c r="B5271" t="n">
        <v>8</v>
      </c>
      <c r="C5271" t="n">
        <v>7</v>
      </c>
      <c r="D5271" t="n">
        <v>13</v>
      </c>
      <c r="E5271" s="10" t="n">
        <v>0.754058</v>
      </c>
      <c r="F5271" s="10" t="n">
        <v>0.2303955912949419</v>
      </c>
      <c r="G5271" s="11">
        <f>E5271*Summary!$B$6</f>
        <v/>
      </c>
      <c r="H5271" s="11">
        <f>F5271*Summary!$B$7</f>
        <v/>
      </c>
      <c r="I5271" s="11">
        <f>MAX(0,N5271-M5271)</f>
        <v/>
      </c>
      <c r="J5271" s="11">
        <f>MAX(0,M5271-N5271)</f>
        <v/>
      </c>
      <c r="K5271" s="11">
        <f>O5271</f>
        <v/>
      </c>
      <c r="L5271" s="11">
        <f>L5270+IF(K5271&gt;0,K5271*Summary!$B$9,K5271/Summary!$B$9)</f>
        <v/>
      </c>
      <c r="M5271" s="11">
        <f>G5271+H5271</f>
        <v/>
      </c>
      <c r="N5271" s="11">
        <f>Summary!$C$16*Summary!$B$8</f>
        <v/>
      </c>
      <c r="O5271" s="11">
        <f>M5271-N5271</f>
        <v/>
      </c>
    </row>
    <row r="5272">
      <c r="A5272" s="9" t="n">
        <v>45511.58333333334</v>
      </c>
      <c r="B5272" t="n">
        <v>8</v>
      </c>
      <c r="C5272" t="n">
        <v>7</v>
      </c>
      <c r="D5272" t="n">
        <v>14</v>
      </c>
      <c r="E5272" s="10" t="n">
        <v>0.711042</v>
      </c>
      <c r="F5272" s="10" t="n">
        <v>0.228102966744712</v>
      </c>
      <c r="G5272" s="11">
        <f>E5272*Summary!$B$6</f>
        <v/>
      </c>
      <c r="H5272" s="11">
        <f>F5272*Summary!$B$7</f>
        <v/>
      </c>
      <c r="I5272" s="11">
        <f>MAX(0,N5272-M5272)</f>
        <v/>
      </c>
      <c r="J5272" s="11">
        <f>MAX(0,M5272-N5272)</f>
        <v/>
      </c>
      <c r="K5272" s="11">
        <f>O5272</f>
        <v/>
      </c>
      <c r="L5272" s="11">
        <f>L5271+IF(K5272&gt;0,K5272*Summary!$B$9,K5272/Summary!$B$9)</f>
        <v/>
      </c>
      <c r="M5272" s="11">
        <f>G5272+H5272</f>
        <v/>
      </c>
      <c r="N5272" s="11">
        <f>Summary!$C$16*Summary!$B$8</f>
        <v/>
      </c>
      <c r="O5272" s="11">
        <f>M5272-N5272</f>
        <v/>
      </c>
    </row>
    <row r="5273">
      <c r="A5273" s="9" t="n">
        <v>45511.625</v>
      </c>
      <c r="B5273" t="n">
        <v>8</v>
      </c>
      <c r="C5273" t="n">
        <v>7</v>
      </c>
      <c r="D5273" t="n">
        <v>15</v>
      </c>
      <c r="E5273" s="10" t="n">
        <v>0.583618</v>
      </c>
      <c r="F5273" s="10" t="n">
        <v>0.2215413171699161</v>
      </c>
      <c r="G5273" s="11">
        <f>E5273*Summary!$B$6</f>
        <v/>
      </c>
      <c r="H5273" s="11">
        <f>F5273*Summary!$B$7</f>
        <v/>
      </c>
      <c r="I5273" s="11">
        <f>MAX(0,N5273-M5273)</f>
        <v/>
      </c>
      <c r="J5273" s="11">
        <f>MAX(0,M5273-N5273)</f>
        <v/>
      </c>
      <c r="K5273" s="11">
        <f>O5273</f>
        <v/>
      </c>
      <c r="L5273" s="11">
        <f>L5272+IF(K5273&gt;0,K5273*Summary!$B$9,K5273/Summary!$B$9)</f>
        <v/>
      </c>
      <c r="M5273" s="11">
        <f>G5273+H5273</f>
        <v/>
      </c>
      <c r="N5273" s="11">
        <f>Summary!$C$16*Summary!$B$8</f>
        <v/>
      </c>
      <c r="O5273" s="11">
        <f>M5273-N5273</f>
        <v/>
      </c>
    </row>
    <row r="5274">
      <c r="A5274" s="9" t="n">
        <v>45511.66666666666</v>
      </c>
      <c r="B5274" t="n">
        <v>8</v>
      </c>
      <c r="C5274" t="n">
        <v>7</v>
      </c>
      <c r="D5274" t="n">
        <v>16</v>
      </c>
      <c r="E5274" s="10" t="n">
        <v>0.41131</v>
      </c>
      <c r="F5274" s="10" t="n">
        <v>0.2159019878164771</v>
      </c>
      <c r="G5274" s="11">
        <f>E5274*Summary!$B$6</f>
        <v/>
      </c>
      <c r="H5274" s="11">
        <f>F5274*Summary!$B$7</f>
        <v/>
      </c>
      <c r="I5274" s="11">
        <f>MAX(0,N5274-M5274)</f>
        <v/>
      </c>
      <c r="J5274" s="11">
        <f>MAX(0,M5274-N5274)</f>
        <v/>
      </c>
      <c r="K5274" s="11">
        <f>O5274</f>
        <v/>
      </c>
      <c r="L5274" s="11">
        <f>L5273+IF(K5274&gt;0,K5274*Summary!$B$9,K5274/Summary!$B$9)</f>
        <v/>
      </c>
      <c r="M5274" s="11">
        <f>G5274+H5274</f>
        <v/>
      </c>
      <c r="N5274" s="11">
        <f>Summary!$C$16*Summary!$B$8</f>
        <v/>
      </c>
      <c r="O5274" s="11">
        <f>M5274-N5274</f>
        <v/>
      </c>
    </row>
    <row r="5275">
      <c r="A5275" s="9" t="n">
        <v>45511.70833333334</v>
      </c>
      <c r="B5275" t="n">
        <v>8</v>
      </c>
      <c r="C5275" t="n">
        <v>7</v>
      </c>
      <c r="D5275" t="n">
        <v>17</v>
      </c>
      <c r="E5275" s="10" t="n">
        <v>0.213828</v>
      </c>
      <c r="F5275" s="10" t="n">
        <v>0.2095775062986015</v>
      </c>
      <c r="G5275" s="11">
        <f>E5275*Summary!$B$6</f>
        <v/>
      </c>
      <c r="H5275" s="11">
        <f>F5275*Summary!$B$7</f>
        <v/>
      </c>
      <c r="I5275" s="11">
        <f>MAX(0,N5275-M5275)</f>
        <v/>
      </c>
      <c r="J5275" s="11">
        <f>MAX(0,M5275-N5275)</f>
        <v/>
      </c>
      <c r="K5275" s="11">
        <f>O5275</f>
        <v/>
      </c>
      <c r="L5275" s="11">
        <f>L5274+IF(K5275&gt;0,K5275*Summary!$B$9,K5275/Summary!$B$9)</f>
        <v/>
      </c>
      <c r="M5275" s="11">
        <f>G5275+H5275</f>
        <v/>
      </c>
      <c r="N5275" s="11">
        <f>Summary!$C$16*Summary!$B$8</f>
        <v/>
      </c>
      <c r="O5275" s="11">
        <f>M5275-N5275</f>
        <v/>
      </c>
    </row>
    <row r="5276">
      <c r="A5276" s="9" t="n">
        <v>45511.75</v>
      </c>
      <c r="B5276" t="n">
        <v>8</v>
      </c>
      <c r="C5276" t="n">
        <v>7</v>
      </c>
      <c r="D5276" t="n">
        <v>18</v>
      </c>
      <c r="E5276" s="10" t="n">
        <v>0.060469</v>
      </c>
      <c r="F5276" s="10" t="n">
        <v>0.2053611852866845</v>
      </c>
      <c r="G5276" s="11">
        <f>E5276*Summary!$B$6</f>
        <v/>
      </c>
      <c r="H5276" s="11">
        <f>F5276*Summary!$B$7</f>
        <v/>
      </c>
      <c r="I5276" s="11">
        <f>MAX(0,N5276-M5276)</f>
        <v/>
      </c>
      <c r="J5276" s="11">
        <f>MAX(0,M5276-N5276)</f>
        <v/>
      </c>
      <c r="K5276" s="11">
        <f>O5276</f>
        <v/>
      </c>
      <c r="L5276" s="11">
        <f>L5275+IF(K5276&gt;0,K5276*Summary!$B$9,K5276/Summary!$B$9)</f>
        <v/>
      </c>
      <c r="M5276" s="11">
        <f>G5276+H5276</f>
        <v/>
      </c>
      <c r="N5276" s="11">
        <f>Summary!$C$16*Summary!$B$8</f>
        <v/>
      </c>
      <c r="O5276" s="11">
        <f>M5276-N5276</f>
        <v/>
      </c>
    </row>
    <row r="5277">
      <c r="A5277" s="9" t="n">
        <v>45511.79166666666</v>
      </c>
      <c r="B5277" t="n">
        <v>8</v>
      </c>
      <c r="C5277" t="n">
        <v>7</v>
      </c>
      <c r="D5277" t="n">
        <v>19</v>
      </c>
      <c r="E5277" s="10" t="n">
        <v>0.026392</v>
      </c>
      <c r="F5277" s="10" t="n">
        <v>0.213161379158731</v>
      </c>
      <c r="G5277" s="11">
        <f>E5277*Summary!$B$6</f>
        <v/>
      </c>
      <c r="H5277" s="11">
        <f>F5277*Summary!$B$7</f>
        <v/>
      </c>
      <c r="I5277" s="11">
        <f>MAX(0,N5277-M5277)</f>
        <v/>
      </c>
      <c r="J5277" s="11">
        <f>MAX(0,M5277-N5277)</f>
        <v/>
      </c>
      <c r="K5277" s="11">
        <f>O5277</f>
        <v/>
      </c>
      <c r="L5277" s="11">
        <f>L5276+IF(K5277&gt;0,K5277*Summary!$B$9,K5277/Summary!$B$9)</f>
        <v/>
      </c>
      <c r="M5277" s="11">
        <f>G5277+H5277</f>
        <v/>
      </c>
      <c r="N5277" s="11">
        <f>Summary!$C$16*Summary!$B$8</f>
        <v/>
      </c>
      <c r="O5277" s="11">
        <f>M5277-N5277</f>
        <v/>
      </c>
    </row>
    <row r="5278">
      <c r="A5278" s="9" t="n">
        <v>45511.83333333334</v>
      </c>
      <c r="B5278" t="n">
        <v>8</v>
      </c>
      <c r="C5278" t="n">
        <v>7</v>
      </c>
      <c r="D5278" t="n">
        <v>20</v>
      </c>
      <c r="E5278" s="10" t="n">
        <v>0</v>
      </c>
      <c r="F5278" s="10" t="n">
        <v>0.2261265662703759</v>
      </c>
      <c r="G5278" s="11">
        <f>E5278*Summary!$B$6</f>
        <v/>
      </c>
      <c r="H5278" s="11">
        <f>F5278*Summary!$B$7</f>
        <v/>
      </c>
      <c r="I5278" s="11">
        <f>MAX(0,N5278-M5278)</f>
        <v/>
      </c>
      <c r="J5278" s="11">
        <f>MAX(0,M5278-N5278)</f>
        <v/>
      </c>
      <c r="K5278" s="11">
        <f>O5278</f>
        <v/>
      </c>
      <c r="L5278" s="11">
        <f>L5277+IF(K5278&gt;0,K5278*Summary!$B$9,K5278/Summary!$B$9)</f>
        <v/>
      </c>
      <c r="M5278" s="11">
        <f>G5278+H5278</f>
        <v/>
      </c>
      <c r="N5278" s="11">
        <f>Summary!$C$16*Summary!$B$8</f>
        <v/>
      </c>
      <c r="O5278" s="11">
        <f>M5278-N5278</f>
        <v/>
      </c>
    </row>
    <row r="5279">
      <c r="A5279" s="9" t="n">
        <v>45511.875</v>
      </c>
      <c r="B5279" t="n">
        <v>8</v>
      </c>
      <c r="C5279" t="n">
        <v>7</v>
      </c>
      <c r="D5279" t="n">
        <v>21</v>
      </c>
      <c r="E5279" s="10" t="n">
        <v>0</v>
      </c>
      <c r="F5279" s="10" t="n">
        <v>0.2362720887053013</v>
      </c>
      <c r="G5279" s="11">
        <f>E5279*Summary!$B$6</f>
        <v/>
      </c>
      <c r="H5279" s="11">
        <f>F5279*Summary!$B$7</f>
        <v/>
      </c>
      <c r="I5279" s="11">
        <f>MAX(0,N5279-M5279)</f>
        <v/>
      </c>
      <c r="J5279" s="11">
        <f>MAX(0,M5279-N5279)</f>
        <v/>
      </c>
      <c r="K5279" s="11">
        <f>O5279</f>
        <v/>
      </c>
      <c r="L5279" s="11">
        <f>L5278+IF(K5279&gt;0,K5279*Summary!$B$9,K5279/Summary!$B$9)</f>
        <v/>
      </c>
      <c r="M5279" s="11">
        <f>G5279+H5279</f>
        <v/>
      </c>
      <c r="N5279" s="11">
        <f>Summary!$C$16*Summary!$B$8</f>
        <v/>
      </c>
      <c r="O5279" s="11">
        <f>M5279-N5279</f>
        <v/>
      </c>
    </row>
    <row r="5280">
      <c r="A5280" s="9" t="n">
        <v>45511.91666666666</v>
      </c>
      <c r="B5280" t="n">
        <v>8</v>
      </c>
      <c r="C5280" t="n">
        <v>7</v>
      </c>
      <c r="D5280" t="n">
        <v>22</v>
      </c>
      <c r="E5280" s="10" t="n">
        <v>0</v>
      </c>
      <c r="F5280" s="10" t="n">
        <v>0.2370362968887113</v>
      </c>
      <c r="G5280" s="11">
        <f>E5280*Summary!$B$6</f>
        <v/>
      </c>
      <c r="H5280" s="11">
        <f>F5280*Summary!$B$7</f>
        <v/>
      </c>
      <c r="I5280" s="11">
        <f>MAX(0,N5280-M5280)</f>
        <v/>
      </c>
      <c r="J5280" s="11">
        <f>MAX(0,M5280-N5280)</f>
        <v/>
      </c>
      <c r="K5280" s="11">
        <f>O5280</f>
        <v/>
      </c>
      <c r="L5280" s="11">
        <f>L5279+IF(K5280&gt;0,K5280*Summary!$B$9,K5280/Summary!$B$9)</f>
        <v/>
      </c>
      <c r="M5280" s="11">
        <f>G5280+H5280</f>
        <v/>
      </c>
      <c r="N5280" s="11">
        <f>Summary!$C$16*Summary!$B$8</f>
        <v/>
      </c>
      <c r="O5280" s="11">
        <f>M5280-N5280</f>
        <v/>
      </c>
    </row>
    <row r="5281">
      <c r="A5281" s="9" t="n">
        <v>45511.95833333334</v>
      </c>
      <c r="B5281" t="n">
        <v>8</v>
      </c>
      <c r="C5281" t="n">
        <v>7</v>
      </c>
      <c r="D5281" t="n">
        <v>23</v>
      </c>
      <c r="E5281" s="10" t="n">
        <v>0</v>
      </c>
      <c r="F5281" s="10" t="n">
        <v>0.2371153529076847</v>
      </c>
      <c r="G5281" s="11">
        <f>E5281*Summary!$B$6</f>
        <v/>
      </c>
      <c r="H5281" s="11">
        <f>F5281*Summary!$B$7</f>
        <v/>
      </c>
      <c r="I5281" s="11">
        <f>MAX(0,N5281-M5281)</f>
        <v/>
      </c>
      <c r="J5281" s="11">
        <f>MAX(0,M5281-N5281)</f>
        <v/>
      </c>
      <c r="K5281" s="11">
        <f>O5281</f>
        <v/>
      </c>
      <c r="L5281" s="11">
        <f>L5280+IF(K5281&gt;0,K5281*Summary!$B$9,K5281/Summary!$B$9)</f>
        <v/>
      </c>
      <c r="M5281" s="11">
        <f>G5281+H5281</f>
        <v/>
      </c>
      <c r="N5281" s="11">
        <f>Summary!$C$16*Summary!$B$8</f>
        <v/>
      </c>
      <c r="O5281" s="11">
        <f>M5281-N5281</f>
        <v/>
      </c>
    </row>
    <row r="5282">
      <c r="A5282" s="9" t="n">
        <v>45512</v>
      </c>
      <c r="B5282" t="n">
        <v>8</v>
      </c>
      <c r="C5282" t="n">
        <v>8</v>
      </c>
      <c r="D5282" t="n">
        <v>0</v>
      </c>
      <c r="E5282" s="10" t="n">
        <v>0</v>
      </c>
      <c r="F5282" s="10" t="n">
        <v>0.3061312574715018</v>
      </c>
      <c r="G5282" s="11">
        <f>E5282*Summary!$B$6</f>
        <v/>
      </c>
      <c r="H5282" s="11">
        <f>F5282*Summary!$B$7</f>
        <v/>
      </c>
      <c r="I5282" s="11">
        <f>MAX(0,N5282-M5282)</f>
        <v/>
      </c>
      <c r="J5282" s="11">
        <f>MAX(0,M5282-N5282)</f>
        <v/>
      </c>
      <c r="K5282" s="11">
        <f>O5282</f>
        <v/>
      </c>
      <c r="L5282" s="11">
        <f>L5281+IF(K5282&gt;0,K5282*Summary!$B$9,K5282/Summary!$B$9)</f>
        <v/>
      </c>
      <c r="M5282" s="11">
        <f>G5282+H5282</f>
        <v/>
      </c>
      <c r="N5282" s="11">
        <f>Summary!$C$16*Summary!$B$8</f>
        <v/>
      </c>
      <c r="O5282" s="11">
        <f>M5282-N5282</f>
        <v/>
      </c>
    </row>
    <row r="5283">
      <c r="A5283" s="9" t="n">
        <v>45512.04166666666</v>
      </c>
      <c r="B5283" t="n">
        <v>8</v>
      </c>
      <c r="C5283" t="n">
        <v>8</v>
      </c>
      <c r="D5283" t="n">
        <v>1</v>
      </c>
      <c r="E5283" s="10" t="n">
        <v>0</v>
      </c>
      <c r="F5283" s="10" t="n">
        <v>0.2286300068712017</v>
      </c>
      <c r="G5283" s="11">
        <f>E5283*Summary!$B$6</f>
        <v/>
      </c>
      <c r="H5283" s="11">
        <f>F5283*Summary!$B$7</f>
        <v/>
      </c>
      <c r="I5283" s="11">
        <f>MAX(0,N5283-M5283)</f>
        <v/>
      </c>
      <c r="J5283" s="11">
        <f>MAX(0,M5283-N5283)</f>
        <v/>
      </c>
      <c r="K5283" s="11">
        <f>O5283</f>
        <v/>
      </c>
      <c r="L5283" s="11">
        <f>L5282+IF(K5283&gt;0,K5283*Summary!$B$9,K5283/Summary!$B$9)</f>
        <v/>
      </c>
      <c r="M5283" s="11">
        <f>G5283+H5283</f>
        <v/>
      </c>
      <c r="N5283" s="11">
        <f>Summary!$C$16*Summary!$B$8</f>
        <v/>
      </c>
      <c r="O5283" s="11">
        <f>M5283-N5283</f>
        <v/>
      </c>
    </row>
    <row r="5284">
      <c r="A5284" s="9" t="n">
        <v>45512.08333333334</v>
      </c>
      <c r="B5284" t="n">
        <v>8</v>
      </c>
      <c r="C5284" t="n">
        <v>8</v>
      </c>
      <c r="D5284" t="n">
        <v>2</v>
      </c>
      <c r="E5284" s="10" t="n">
        <v>0</v>
      </c>
      <c r="F5284" s="10" t="n">
        <v>0.2153222436773385</v>
      </c>
      <c r="G5284" s="11">
        <f>E5284*Summary!$B$6</f>
        <v/>
      </c>
      <c r="H5284" s="11">
        <f>F5284*Summary!$B$7</f>
        <v/>
      </c>
      <c r="I5284" s="11">
        <f>MAX(0,N5284-M5284)</f>
        <v/>
      </c>
      <c r="J5284" s="11">
        <f>MAX(0,M5284-N5284)</f>
        <v/>
      </c>
      <c r="K5284" s="11">
        <f>O5284</f>
        <v/>
      </c>
      <c r="L5284" s="11">
        <f>L5283+IF(K5284&gt;0,K5284*Summary!$B$9,K5284/Summary!$B$9)</f>
        <v/>
      </c>
      <c r="M5284" s="11">
        <f>G5284+H5284</f>
        <v/>
      </c>
      <c r="N5284" s="11">
        <f>Summary!$C$16*Summary!$B$8</f>
        <v/>
      </c>
      <c r="O5284" s="11">
        <f>M5284-N5284</f>
        <v/>
      </c>
    </row>
    <row r="5285">
      <c r="A5285" s="9" t="n">
        <v>45512.125</v>
      </c>
      <c r="B5285" t="n">
        <v>8</v>
      </c>
      <c r="C5285" t="n">
        <v>8</v>
      </c>
      <c r="D5285" t="n">
        <v>3</v>
      </c>
      <c r="E5285" s="10" t="n">
        <v>0</v>
      </c>
      <c r="F5285" s="10" t="n">
        <v>0.2086288340709202</v>
      </c>
      <c r="G5285" s="11">
        <f>E5285*Summary!$B$6</f>
        <v/>
      </c>
      <c r="H5285" s="11">
        <f>F5285*Summary!$B$7</f>
        <v/>
      </c>
      <c r="I5285" s="11">
        <f>MAX(0,N5285-M5285)</f>
        <v/>
      </c>
      <c r="J5285" s="11">
        <f>MAX(0,M5285-N5285)</f>
        <v/>
      </c>
      <c r="K5285" s="11">
        <f>O5285</f>
        <v/>
      </c>
      <c r="L5285" s="11">
        <f>L5284+IF(K5285&gt;0,K5285*Summary!$B$9,K5285/Summary!$B$9)</f>
        <v/>
      </c>
      <c r="M5285" s="11">
        <f>G5285+H5285</f>
        <v/>
      </c>
      <c r="N5285" s="11">
        <f>Summary!$C$16*Summary!$B$8</f>
        <v/>
      </c>
      <c r="O5285" s="11">
        <f>M5285-N5285</f>
        <v/>
      </c>
    </row>
    <row r="5286">
      <c r="A5286" s="9" t="n">
        <v>45512.16666666666</v>
      </c>
      <c r="B5286" t="n">
        <v>8</v>
      </c>
      <c r="C5286" t="n">
        <v>8</v>
      </c>
      <c r="D5286" t="n">
        <v>4</v>
      </c>
      <c r="E5286" s="10" t="n">
        <v>0</v>
      </c>
      <c r="F5286" s="10" t="n">
        <v>0.2036483048755932</v>
      </c>
      <c r="G5286" s="11">
        <f>E5286*Summary!$B$6</f>
        <v/>
      </c>
      <c r="H5286" s="11">
        <f>F5286*Summary!$B$7</f>
        <v/>
      </c>
      <c r="I5286" s="11">
        <f>MAX(0,N5286-M5286)</f>
        <v/>
      </c>
      <c r="J5286" s="11">
        <f>MAX(0,M5286-N5286)</f>
        <v/>
      </c>
      <c r="K5286" s="11">
        <f>O5286</f>
        <v/>
      </c>
      <c r="L5286" s="11">
        <f>L5285+IF(K5286&gt;0,K5286*Summary!$B$9,K5286/Summary!$B$9)</f>
        <v/>
      </c>
      <c r="M5286" s="11">
        <f>G5286+H5286</f>
        <v/>
      </c>
      <c r="N5286" s="11">
        <f>Summary!$C$16*Summary!$B$8</f>
        <v/>
      </c>
      <c r="O5286" s="11">
        <f>M5286-N5286</f>
        <v/>
      </c>
    </row>
    <row r="5287">
      <c r="A5287" s="9" t="n">
        <v>45512.20833333334</v>
      </c>
      <c r="B5287" t="n">
        <v>8</v>
      </c>
      <c r="C5287" t="n">
        <v>8</v>
      </c>
      <c r="D5287" t="n">
        <v>5</v>
      </c>
      <c r="E5287" s="10" t="n">
        <v>0.035474</v>
      </c>
      <c r="F5287" s="10" t="n">
        <v>0.1887330692959366</v>
      </c>
      <c r="G5287" s="11">
        <f>E5287*Summary!$B$6</f>
        <v/>
      </c>
      <c r="H5287" s="11">
        <f>F5287*Summary!$B$7</f>
        <v/>
      </c>
      <c r="I5287" s="11">
        <f>MAX(0,N5287-M5287)</f>
        <v/>
      </c>
      <c r="J5287" s="11">
        <f>MAX(0,M5287-N5287)</f>
        <v/>
      </c>
      <c r="K5287" s="11">
        <f>O5287</f>
        <v/>
      </c>
      <c r="L5287" s="11">
        <f>L5286+IF(K5287&gt;0,K5287*Summary!$B$9,K5287/Summary!$B$9)</f>
        <v/>
      </c>
      <c r="M5287" s="11">
        <f>G5287+H5287</f>
        <v/>
      </c>
      <c r="N5287" s="11">
        <f>Summary!$C$16*Summary!$B$8</f>
        <v/>
      </c>
      <c r="O5287" s="11">
        <f>M5287-N5287</f>
        <v/>
      </c>
    </row>
    <row r="5288">
      <c r="A5288" s="9" t="n">
        <v>45512.25</v>
      </c>
      <c r="B5288" t="n">
        <v>8</v>
      </c>
      <c r="C5288" t="n">
        <v>8</v>
      </c>
      <c r="D5288" t="n">
        <v>6</v>
      </c>
      <c r="E5288" s="10" t="n">
        <v>0.102777</v>
      </c>
      <c r="F5288" s="10" t="n">
        <v>0.1737914817099556</v>
      </c>
      <c r="G5288" s="11">
        <f>E5288*Summary!$B$6</f>
        <v/>
      </c>
      <c r="H5288" s="11">
        <f>F5288*Summary!$B$7</f>
        <v/>
      </c>
      <c r="I5288" s="11">
        <f>MAX(0,N5288-M5288)</f>
        <v/>
      </c>
      <c r="J5288" s="11">
        <f>MAX(0,M5288-N5288)</f>
        <v/>
      </c>
      <c r="K5288" s="11">
        <f>O5288</f>
        <v/>
      </c>
      <c r="L5288" s="11">
        <f>L5287+IF(K5288&gt;0,K5288*Summary!$B$9,K5288/Summary!$B$9)</f>
        <v/>
      </c>
      <c r="M5288" s="11">
        <f>G5288+H5288</f>
        <v/>
      </c>
      <c r="N5288" s="11">
        <f>Summary!$C$16*Summary!$B$8</f>
        <v/>
      </c>
      <c r="O5288" s="11">
        <f>M5288-N5288</f>
        <v/>
      </c>
    </row>
    <row r="5289">
      <c r="A5289" s="9" t="n">
        <v>45512.29166666666</v>
      </c>
      <c r="B5289" t="n">
        <v>8</v>
      </c>
      <c r="C5289" t="n">
        <v>8</v>
      </c>
      <c r="D5289" t="n">
        <v>7</v>
      </c>
      <c r="E5289" s="10" t="n">
        <v>0.223398</v>
      </c>
      <c r="F5289" s="10" t="n">
        <v>0.1697596247423099</v>
      </c>
      <c r="G5289" s="11">
        <f>E5289*Summary!$B$6</f>
        <v/>
      </c>
      <c r="H5289" s="11">
        <f>F5289*Summary!$B$7</f>
        <v/>
      </c>
      <c r="I5289" s="11">
        <f>MAX(0,N5289-M5289)</f>
        <v/>
      </c>
      <c r="J5289" s="11">
        <f>MAX(0,M5289-N5289)</f>
        <v/>
      </c>
      <c r="K5289" s="11">
        <f>O5289</f>
        <v/>
      </c>
      <c r="L5289" s="11">
        <f>L5288+IF(K5289&gt;0,K5289*Summary!$B$9,K5289/Summary!$B$9)</f>
        <v/>
      </c>
      <c r="M5289" s="11">
        <f>G5289+H5289</f>
        <v/>
      </c>
      <c r="N5289" s="11">
        <f>Summary!$C$16*Summary!$B$8</f>
        <v/>
      </c>
      <c r="O5289" s="11">
        <f>M5289-N5289</f>
        <v/>
      </c>
    </row>
    <row r="5290">
      <c r="A5290" s="9" t="n">
        <v>45512.33333333334</v>
      </c>
      <c r="B5290" t="n">
        <v>8</v>
      </c>
      <c r="C5290" t="n">
        <v>8</v>
      </c>
      <c r="D5290" t="n">
        <v>8</v>
      </c>
      <c r="E5290" s="10" t="n">
        <v>0.355289</v>
      </c>
      <c r="F5290" s="10" t="n">
        <v>0.1757942341906162</v>
      </c>
      <c r="G5290" s="11">
        <f>E5290*Summary!$B$6</f>
        <v/>
      </c>
      <c r="H5290" s="11">
        <f>F5290*Summary!$B$7</f>
        <v/>
      </c>
      <c r="I5290" s="11">
        <f>MAX(0,N5290-M5290)</f>
        <v/>
      </c>
      <c r="J5290" s="11">
        <f>MAX(0,M5290-N5290)</f>
        <v/>
      </c>
      <c r="K5290" s="11">
        <f>O5290</f>
        <v/>
      </c>
      <c r="L5290" s="11">
        <f>L5289+IF(K5290&gt;0,K5290*Summary!$B$9,K5290/Summary!$B$9)</f>
        <v/>
      </c>
      <c r="M5290" s="11">
        <f>G5290+H5290</f>
        <v/>
      </c>
      <c r="N5290" s="11">
        <f>Summary!$C$16*Summary!$B$8</f>
        <v/>
      </c>
      <c r="O5290" s="11">
        <f>M5290-N5290</f>
        <v/>
      </c>
    </row>
    <row r="5291">
      <c r="A5291" s="9" t="n">
        <v>45512.375</v>
      </c>
      <c r="B5291" t="n">
        <v>8</v>
      </c>
      <c r="C5291" t="n">
        <v>8</v>
      </c>
      <c r="D5291" t="n">
        <v>9</v>
      </c>
      <c r="E5291" s="10" t="n">
        <v>0.41834</v>
      </c>
      <c r="F5291" s="10" t="n">
        <v>0.1925541102129865</v>
      </c>
      <c r="G5291" s="11">
        <f>E5291*Summary!$B$6</f>
        <v/>
      </c>
      <c r="H5291" s="11">
        <f>F5291*Summary!$B$7</f>
        <v/>
      </c>
      <c r="I5291" s="11">
        <f>MAX(0,N5291-M5291)</f>
        <v/>
      </c>
      <c r="J5291" s="11">
        <f>MAX(0,M5291-N5291)</f>
        <v/>
      </c>
      <c r="K5291" s="11">
        <f>O5291</f>
        <v/>
      </c>
      <c r="L5291" s="11">
        <f>L5290+IF(K5291&gt;0,K5291*Summary!$B$9,K5291/Summary!$B$9)</f>
        <v/>
      </c>
      <c r="M5291" s="11">
        <f>G5291+H5291</f>
        <v/>
      </c>
      <c r="N5291" s="11">
        <f>Summary!$C$16*Summary!$B$8</f>
        <v/>
      </c>
      <c r="O5291" s="11">
        <f>M5291-N5291</f>
        <v/>
      </c>
    </row>
    <row r="5292">
      <c r="A5292" s="9" t="n">
        <v>45512.41666666666</v>
      </c>
      <c r="B5292" t="n">
        <v>8</v>
      </c>
      <c r="C5292" t="n">
        <v>8</v>
      </c>
      <c r="D5292" t="n">
        <v>10</v>
      </c>
      <c r="E5292" s="10" t="n">
        <v>0.279489</v>
      </c>
      <c r="F5292" s="10" t="n">
        <v>0.1961116310667914</v>
      </c>
      <c r="G5292" s="11">
        <f>E5292*Summary!$B$6</f>
        <v/>
      </c>
      <c r="H5292" s="11">
        <f>F5292*Summary!$B$7</f>
        <v/>
      </c>
      <c r="I5292" s="11">
        <f>MAX(0,N5292-M5292)</f>
        <v/>
      </c>
      <c r="J5292" s="11">
        <f>MAX(0,M5292-N5292)</f>
        <v/>
      </c>
      <c r="K5292" s="11">
        <f>O5292</f>
        <v/>
      </c>
      <c r="L5292" s="11">
        <f>L5291+IF(K5292&gt;0,K5292*Summary!$B$9,K5292/Summary!$B$9)</f>
        <v/>
      </c>
      <c r="M5292" s="11">
        <f>G5292+H5292</f>
        <v/>
      </c>
      <c r="N5292" s="11">
        <f>Summary!$C$16*Summary!$B$8</f>
        <v/>
      </c>
      <c r="O5292" s="11">
        <f>M5292-N5292</f>
        <v/>
      </c>
    </row>
    <row r="5293">
      <c r="A5293" s="9" t="n">
        <v>45512.45833333334</v>
      </c>
      <c r="B5293" t="n">
        <v>8</v>
      </c>
      <c r="C5293" t="n">
        <v>8</v>
      </c>
      <c r="D5293" t="n">
        <v>11</v>
      </c>
      <c r="E5293" s="10" t="n">
        <v>0.60059</v>
      </c>
      <c r="F5293" s="10" t="n">
        <v>0.2163763239303177</v>
      </c>
      <c r="G5293" s="11">
        <f>E5293*Summary!$B$6</f>
        <v/>
      </c>
      <c r="H5293" s="11">
        <f>F5293*Summary!$B$7</f>
        <v/>
      </c>
      <c r="I5293" s="11">
        <f>MAX(0,N5293-M5293)</f>
        <v/>
      </c>
      <c r="J5293" s="11">
        <f>MAX(0,M5293-N5293)</f>
        <v/>
      </c>
      <c r="K5293" s="11">
        <f>O5293</f>
        <v/>
      </c>
      <c r="L5293" s="11">
        <f>L5292+IF(K5293&gt;0,K5293*Summary!$B$9,K5293/Summary!$B$9)</f>
        <v/>
      </c>
      <c r="M5293" s="11">
        <f>G5293+H5293</f>
        <v/>
      </c>
      <c r="N5293" s="11">
        <f>Summary!$C$16*Summary!$B$8</f>
        <v/>
      </c>
      <c r="O5293" s="11">
        <f>M5293-N5293</f>
        <v/>
      </c>
    </row>
    <row r="5294">
      <c r="A5294" s="9" t="n">
        <v>45512.5</v>
      </c>
      <c r="B5294" t="n">
        <v>8</v>
      </c>
      <c r="C5294" t="n">
        <v>8</v>
      </c>
      <c r="D5294" t="n">
        <v>12</v>
      </c>
      <c r="E5294" s="10" t="n">
        <v>0.754058</v>
      </c>
      <c r="F5294" s="10" t="n">
        <v>0.2351916564459975</v>
      </c>
      <c r="G5294" s="11">
        <f>E5294*Summary!$B$6</f>
        <v/>
      </c>
      <c r="H5294" s="11">
        <f>F5294*Summary!$B$7</f>
        <v/>
      </c>
      <c r="I5294" s="11">
        <f>MAX(0,N5294-M5294)</f>
        <v/>
      </c>
      <c r="J5294" s="11">
        <f>MAX(0,M5294-N5294)</f>
        <v/>
      </c>
      <c r="K5294" s="11">
        <f>O5294</f>
        <v/>
      </c>
      <c r="L5294" s="11">
        <f>L5293+IF(K5294&gt;0,K5294*Summary!$B$9,K5294/Summary!$B$9)</f>
        <v/>
      </c>
      <c r="M5294" s="11">
        <f>G5294+H5294</f>
        <v/>
      </c>
      <c r="N5294" s="11">
        <f>Summary!$C$16*Summary!$B$8</f>
        <v/>
      </c>
      <c r="O5294" s="11">
        <f>M5294-N5294</f>
        <v/>
      </c>
    </row>
    <row r="5295">
      <c r="A5295" s="9" t="n">
        <v>45512.54166666666</v>
      </c>
      <c r="B5295" t="n">
        <v>8</v>
      </c>
      <c r="C5295" t="n">
        <v>8</v>
      </c>
      <c r="D5295" t="n">
        <v>13</v>
      </c>
      <c r="E5295" s="10" t="n">
        <v>0.754058</v>
      </c>
      <c r="F5295" s="10" t="n">
        <v>0.2490001077600258</v>
      </c>
      <c r="G5295" s="11">
        <f>E5295*Summary!$B$6</f>
        <v/>
      </c>
      <c r="H5295" s="11">
        <f>F5295*Summary!$B$7</f>
        <v/>
      </c>
      <c r="I5295" s="11">
        <f>MAX(0,N5295-M5295)</f>
        <v/>
      </c>
      <c r="J5295" s="11">
        <f>MAX(0,M5295-N5295)</f>
        <v/>
      </c>
      <c r="K5295" s="11">
        <f>O5295</f>
        <v/>
      </c>
      <c r="L5295" s="11">
        <f>L5294+IF(K5295&gt;0,K5295*Summary!$B$9,K5295/Summary!$B$9)</f>
        <v/>
      </c>
      <c r="M5295" s="11">
        <f>G5295+H5295</f>
        <v/>
      </c>
      <c r="N5295" s="11">
        <f>Summary!$C$16*Summary!$B$8</f>
        <v/>
      </c>
      <c r="O5295" s="11">
        <f>M5295-N5295</f>
        <v/>
      </c>
    </row>
    <row r="5296">
      <c r="A5296" s="9" t="n">
        <v>45512.58333333334</v>
      </c>
      <c r="B5296" t="n">
        <v>8</v>
      </c>
      <c r="C5296" t="n">
        <v>8</v>
      </c>
      <c r="D5296" t="n">
        <v>14</v>
      </c>
      <c r="E5296" s="10" t="n">
        <v>0.704406</v>
      </c>
      <c r="F5296" s="10" t="n">
        <v>0.2609902706376649</v>
      </c>
      <c r="G5296" s="11">
        <f>E5296*Summary!$B$6</f>
        <v/>
      </c>
      <c r="H5296" s="11">
        <f>F5296*Summary!$B$7</f>
        <v/>
      </c>
      <c r="I5296" s="11">
        <f>MAX(0,N5296-M5296)</f>
        <v/>
      </c>
      <c r="J5296" s="11">
        <f>MAX(0,M5296-N5296)</f>
        <v/>
      </c>
      <c r="K5296" s="11">
        <f>O5296</f>
        <v/>
      </c>
      <c r="L5296" s="11">
        <f>L5295+IF(K5296&gt;0,K5296*Summary!$B$9,K5296/Summary!$B$9)</f>
        <v/>
      </c>
      <c r="M5296" s="11">
        <f>G5296+H5296</f>
        <v/>
      </c>
      <c r="N5296" s="11">
        <f>Summary!$C$16*Summary!$B$8</f>
        <v/>
      </c>
      <c r="O5296" s="11">
        <f>M5296-N5296</f>
        <v/>
      </c>
    </row>
    <row r="5297">
      <c r="A5297" s="9" t="n">
        <v>45512.625</v>
      </c>
      <c r="B5297" t="n">
        <v>8</v>
      </c>
      <c r="C5297" t="n">
        <v>8</v>
      </c>
      <c r="D5297" t="n">
        <v>15</v>
      </c>
      <c r="E5297" s="10" t="n">
        <v>0.576994</v>
      </c>
      <c r="F5297" s="10" t="n">
        <v>0.2735601776544426</v>
      </c>
      <c r="G5297" s="11">
        <f>E5297*Summary!$B$6</f>
        <v/>
      </c>
      <c r="H5297" s="11">
        <f>F5297*Summary!$B$7</f>
        <v/>
      </c>
      <c r="I5297" s="11">
        <f>MAX(0,N5297-M5297)</f>
        <v/>
      </c>
      <c r="J5297" s="11">
        <f>MAX(0,M5297-N5297)</f>
        <v/>
      </c>
      <c r="K5297" s="11">
        <f>O5297</f>
        <v/>
      </c>
      <c r="L5297" s="11">
        <f>L5296+IF(K5297&gt;0,K5297*Summary!$B$9,K5297/Summary!$B$9)</f>
        <v/>
      </c>
      <c r="M5297" s="11">
        <f>G5297+H5297</f>
        <v/>
      </c>
      <c r="N5297" s="11">
        <f>Summary!$C$16*Summary!$B$8</f>
        <v/>
      </c>
      <c r="O5297" s="11">
        <f>M5297-N5297</f>
        <v/>
      </c>
    </row>
    <row r="5298">
      <c r="A5298" s="9" t="n">
        <v>45512.66666666666</v>
      </c>
      <c r="B5298" t="n">
        <v>8</v>
      </c>
      <c r="C5298" t="n">
        <v>8</v>
      </c>
      <c r="D5298" t="n">
        <v>16</v>
      </c>
      <c r="E5298" s="10" t="n">
        <v>0.376159</v>
      </c>
      <c r="F5298" s="10" t="n">
        <v>0.2767224184133804</v>
      </c>
      <c r="G5298" s="11">
        <f>E5298*Summary!$B$6</f>
        <v/>
      </c>
      <c r="H5298" s="11">
        <f>F5298*Summary!$B$7</f>
        <v/>
      </c>
      <c r="I5298" s="11">
        <f>MAX(0,N5298-M5298)</f>
        <v/>
      </c>
      <c r="J5298" s="11">
        <f>MAX(0,M5298-N5298)</f>
        <v/>
      </c>
      <c r="K5298" s="11">
        <f>O5298</f>
        <v/>
      </c>
      <c r="L5298" s="11">
        <f>L5297+IF(K5298&gt;0,K5298*Summary!$B$9,K5298/Summary!$B$9)</f>
        <v/>
      </c>
      <c r="M5298" s="11">
        <f>G5298+H5298</f>
        <v/>
      </c>
      <c r="N5298" s="11">
        <f>Summary!$C$16*Summary!$B$8</f>
        <v/>
      </c>
      <c r="O5298" s="11">
        <f>M5298-N5298</f>
        <v/>
      </c>
    </row>
    <row r="5299">
      <c r="A5299" s="9" t="n">
        <v>45512.70833333334</v>
      </c>
      <c r="B5299" t="n">
        <v>8</v>
      </c>
      <c r="C5299" t="n">
        <v>8</v>
      </c>
      <c r="D5299" t="n">
        <v>17</v>
      </c>
      <c r="E5299" s="10" t="n">
        <v>0.194675</v>
      </c>
      <c r="F5299" s="10" t="n">
        <v>0.2744824978757995</v>
      </c>
      <c r="G5299" s="11">
        <f>E5299*Summary!$B$6</f>
        <v/>
      </c>
      <c r="H5299" s="11">
        <f>F5299*Summary!$B$7</f>
        <v/>
      </c>
      <c r="I5299" s="11">
        <f>MAX(0,N5299-M5299)</f>
        <v/>
      </c>
      <c r="J5299" s="11">
        <f>MAX(0,M5299-N5299)</f>
        <v/>
      </c>
      <c r="K5299" s="11">
        <f>O5299</f>
        <v/>
      </c>
      <c r="L5299" s="11">
        <f>L5298+IF(K5299&gt;0,K5299*Summary!$B$9,K5299/Summary!$B$9)</f>
        <v/>
      </c>
      <c r="M5299" s="11">
        <f>G5299+H5299</f>
        <v/>
      </c>
      <c r="N5299" s="11">
        <f>Summary!$C$16*Summary!$B$8</f>
        <v/>
      </c>
      <c r="O5299" s="11">
        <f>M5299-N5299</f>
        <v/>
      </c>
    </row>
    <row r="5300">
      <c r="A5300" s="9" t="n">
        <v>45512.75</v>
      </c>
      <c r="B5300" t="n">
        <v>8</v>
      </c>
      <c r="C5300" t="n">
        <v>8</v>
      </c>
      <c r="D5300" t="n">
        <v>18</v>
      </c>
      <c r="E5300" s="10" t="n">
        <v>0.065472</v>
      </c>
      <c r="F5300" s="10" t="n">
        <v>0.2713202571168617</v>
      </c>
      <c r="G5300" s="11">
        <f>E5300*Summary!$B$6</f>
        <v/>
      </c>
      <c r="H5300" s="11">
        <f>F5300*Summary!$B$7</f>
        <v/>
      </c>
      <c r="I5300" s="11">
        <f>MAX(0,N5300-M5300)</f>
        <v/>
      </c>
      <c r="J5300" s="11">
        <f>MAX(0,M5300-N5300)</f>
        <v/>
      </c>
      <c r="K5300" s="11">
        <f>O5300</f>
        <v/>
      </c>
      <c r="L5300" s="11">
        <f>L5299+IF(K5300&gt;0,K5300*Summary!$B$9,K5300/Summary!$B$9)</f>
        <v/>
      </c>
      <c r="M5300" s="11">
        <f>G5300+H5300</f>
        <v/>
      </c>
      <c r="N5300" s="11">
        <f>Summary!$C$16*Summary!$B$8</f>
        <v/>
      </c>
      <c r="O5300" s="11">
        <f>M5300-N5300</f>
        <v/>
      </c>
    </row>
    <row r="5301">
      <c r="A5301" s="9" t="n">
        <v>45512.79166666666</v>
      </c>
      <c r="B5301" t="n">
        <v>8</v>
      </c>
      <c r="C5301" t="n">
        <v>8</v>
      </c>
      <c r="D5301" t="n">
        <v>19</v>
      </c>
      <c r="E5301" s="10" t="n">
        <v>0.020309</v>
      </c>
      <c r="F5301" s="10" t="n">
        <v>0.278725170894041</v>
      </c>
      <c r="G5301" s="11">
        <f>E5301*Summary!$B$6</f>
        <v/>
      </c>
      <c r="H5301" s="11">
        <f>F5301*Summary!$B$7</f>
        <v/>
      </c>
      <c r="I5301" s="11">
        <f>MAX(0,N5301-M5301)</f>
        <v/>
      </c>
      <c r="J5301" s="11">
        <f>MAX(0,M5301-N5301)</f>
        <v/>
      </c>
      <c r="K5301" s="11">
        <f>O5301</f>
        <v/>
      </c>
      <c r="L5301" s="11">
        <f>L5300+IF(K5301&gt;0,K5301*Summary!$B$9,K5301/Summary!$B$9)</f>
        <v/>
      </c>
      <c r="M5301" s="11">
        <f>G5301+H5301</f>
        <v/>
      </c>
      <c r="N5301" s="11">
        <f>Summary!$C$16*Summary!$B$8</f>
        <v/>
      </c>
      <c r="O5301" s="11">
        <f>M5301-N5301</f>
        <v/>
      </c>
    </row>
    <row r="5302">
      <c r="A5302" s="9" t="n">
        <v>45512.83333333334</v>
      </c>
      <c r="B5302" t="n">
        <v>8</v>
      </c>
      <c r="C5302" t="n">
        <v>8</v>
      </c>
      <c r="D5302" t="n">
        <v>20</v>
      </c>
      <c r="E5302" s="10" t="n">
        <v>0</v>
      </c>
      <c r="F5302" s="10" t="n">
        <v>0.2937985185116445</v>
      </c>
      <c r="G5302" s="11">
        <f>E5302*Summary!$B$6</f>
        <v/>
      </c>
      <c r="H5302" s="11">
        <f>F5302*Summary!$B$7</f>
        <v/>
      </c>
      <c r="I5302" s="11">
        <f>MAX(0,N5302-M5302)</f>
        <v/>
      </c>
      <c r="J5302" s="11">
        <f>MAX(0,M5302-N5302)</f>
        <v/>
      </c>
      <c r="K5302" s="11">
        <f>O5302</f>
        <v/>
      </c>
      <c r="L5302" s="11">
        <f>L5301+IF(K5302&gt;0,K5302*Summary!$B$9,K5302/Summary!$B$9)</f>
        <v/>
      </c>
      <c r="M5302" s="11">
        <f>G5302+H5302</f>
        <v/>
      </c>
      <c r="N5302" s="11">
        <f>Summary!$C$16*Summary!$B$8</f>
        <v/>
      </c>
      <c r="O5302" s="11">
        <f>M5302-N5302</f>
        <v/>
      </c>
    </row>
    <row r="5303">
      <c r="A5303" s="9" t="n">
        <v>45512.875</v>
      </c>
      <c r="B5303" t="n">
        <v>8</v>
      </c>
      <c r="C5303" t="n">
        <v>8</v>
      </c>
      <c r="D5303" t="n">
        <v>21</v>
      </c>
      <c r="E5303" s="10" t="n">
        <v>0</v>
      </c>
      <c r="F5303" s="10" t="n">
        <v>0.3106638025593126</v>
      </c>
      <c r="G5303" s="11">
        <f>E5303*Summary!$B$6</f>
        <v/>
      </c>
      <c r="H5303" s="11">
        <f>F5303*Summary!$B$7</f>
        <v/>
      </c>
      <c r="I5303" s="11">
        <f>MAX(0,N5303-M5303)</f>
        <v/>
      </c>
      <c r="J5303" s="11">
        <f>MAX(0,M5303-N5303)</f>
        <v/>
      </c>
      <c r="K5303" s="11">
        <f>O5303</f>
        <v/>
      </c>
      <c r="L5303" s="11">
        <f>L5302+IF(K5303&gt;0,K5303*Summary!$B$9,K5303/Summary!$B$9)</f>
        <v/>
      </c>
      <c r="M5303" s="11">
        <f>G5303+H5303</f>
        <v/>
      </c>
      <c r="N5303" s="11">
        <f>Summary!$C$16*Summary!$B$8</f>
        <v/>
      </c>
      <c r="O5303" s="11">
        <f>M5303-N5303</f>
        <v/>
      </c>
    </row>
    <row r="5304">
      <c r="A5304" s="9" t="n">
        <v>45512.91666666666</v>
      </c>
      <c r="B5304" t="n">
        <v>8</v>
      </c>
      <c r="C5304" t="n">
        <v>8</v>
      </c>
      <c r="D5304" t="n">
        <v>22</v>
      </c>
      <c r="E5304" s="10" t="n">
        <v>0</v>
      </c>
      <c r="F5304" s="10" t="n">
        <v>0.3131408911538139</v>
      </c>
      <c r="G5304" s="11">
        <f>E5304*Summary!$B$6</f>
        <v/>
      </c>
      <c r="H5304" s="11">
        <f>F5304*Summary!$B$7</f>
        <v/>
      </c>
      <c r="I5304" s="11">
        <f>MAX(0,N5304-M5304)</f>
        <v/>
      </c>
      <c r="J5304" s="11">
        <f>MAX(0,M5304-N5304)</f>
        <v/>
      </c>
      <c r="K5304" s="11">
        <f>O5304</f>
        <v/>
      </c>
      <c r="L5304" s="11">
        <f>L5303+IF(K5304&gt;0,K5304*Summary!$B$9,K5304/Summary!$B$9)</f>
        <v/>
      </c>
      <c r="M5304" s="11">
        <f>G5304+H5304</f>
        <v/>
      </c>
      <c r="N5304" s="11">
        <f>Summary!$C$16*Summary!$B$8</f>
        <v/>
      </c>
      <c r="O5304" s="11">
        <f>M5304-N5304</f>
        <v/>
      </c>
    </row>
    <row r="5305">
      <c r="A5305" s="9" t="n">
        <v>45512.95833333334</v>
      </c>
      <c r="B5305" t="n">
        <v>8</v>
      </c>
      <c r="C5305" t="n">
        <v>8</v>
      </c>
      <c r="D5305" t="n">
        <v>23</v>
      </c>
      <c r="E5305" s="10" t="n">
        <v>0</v>
      </c>
      <c r="F5305" s="10" t="n">
        <v>0.3110590826541798</v>
      </c>
      <c r="G5305" s="11">
        <f>E5305*Summary!$B$6</f>
        <v/>
      </c>
      <c r="H5305" s="11">
        <f>F5305*Summary!$B$7</f>
        <v/>
      </c>
      <c r="I5305" s="11">
        <f>MAX(0,N5305-M5305)</f>
        <v/>
      </c>
      <c r="J5305" s="11">
        <f>MAX(0,M5305-N5305)</f>
        <v/>
      </c>
      <c r="K5305" s="11">
        <f>O5305</f>
        <v/>
      </c>
      <c r="L5305" s="11">
        <f>L5304+IF(K5305&gt;0,K5305*Summary!$B$9,K5305/Summary!$B$9)</f>
        <v/>
      </c>
      <c r="M5305" s="11">
        <f>G5305+H5305</f>
        <v/>
      </c>
      <c r="N5305" s="11">
        <f>Summary!$C$16*Summary!$B$8</f>
        <v/>
      </c>
      <c r="O5305" s="11">
        <f>M5305-N5305</f>
        <v/>
      </c>
    </row>
    <row r="5306">
      <c r="A5306" s="9" t="n">
        <v>45513</v>
      </c>
      <c r="B5306" t="n">
        <v>8</v>
      </c>
      <c r="C5306" t="n">
        <v>9</v>
      </c>
      <c r="D5306" t="n">
        <v>0</v>
      </c>
      <c r="E5306" s="10" t="n">
        <v>0</v>
      </c>
      <c r="F5306" s="10" t="n">
        <v>0.3177524922605982</v>
      </c>
      <c r="G5306" s="11">
        <f>E5306*Summary!$B$6</f>
        <v/>
      </c>
      <c r="H5306" s="11">
        <f>F5306*Summary!$B$7</f>
        <v/>
      </c>
      <c r="I5306" s="11">
        <f>MAX(0,N5306-M5306)</f>
        <v/>
      </c>
      <c r="J5306" s="11">
        <f>MAX(0,M5306-N5306)</f>
        <v/>
      </c>
      <c r="K5306" s="11">
        <f>O5306</f>
        <v/>
      </c>
      <c r="L5306" s="11">
        <f>L5305+IF(K5306&gt;0,K5306*Summary!$B$9,K5306/Summary!$B$9)</f>
        <v/>
      </c>
      <c r="M5306" s="11">
        <f>G5306+H5306</f>
        <v/>
      </c>
      <c r="N5306" s="11">
        <f>Summary!$C$16*Summary!$B$8</f>
        <v/>
      </c>
      <c r="O5306" s="11">
        <f>M5306-N5306</f>
        <v/>
      </c>
    </row>
    <row r="5307">
      <c r="A5307" s="9" t="n">
        <v>45513.04166666666</v>
      </c>
      <c r="B5307" t="n">
        <v>8</v>
      </c>
      <c r="C5307" t="n">
        <v>9</v>
      </c>
      <c r="D5307" t="n">
        <v>1</v>
      </c>
      <c r="E5307" s="10" t="n">
        <v>0</v>
      </c>
      <c r="F5307" s="10" t="n">
        <v>0.2961438470745233</v>
      </c>
      <c r="G5307" s="11">
        <f>E5307*Summary!$B$6</f>
        <v/>
      </c>
      <c r="H5307" s="11">
        <f>F5307*Summary!$B$7</f>
        <v/>
      </c>
      <c r="I5307" s="11">
        <f>MAX(0,N5307-M5307)</f>
        <v/>
      </c>
      <c r="J5307" s="11">
        <f>MAX(0,M5307-N5307)</f>
        <v/>
      </c>
      <c r="K5307" s="11">
        <f>O5307</f>
        <v/>
      </c>
      <c r="L5307" s="11">
        <f>L5306+IF(K5307&gt;0,K5307*Summary!$B$9,K5307/Summary!$B$9)</f>
        <v/>
      </c>
      <c r="M5307" s="11">
        <f>G5307+H5307</f>
        <v/>
      </c>
      <c r="N5307" s="11">
        <f>Summary!$C$16*Summary!$B$8</f>
        <v/>
      </c>
      <c r="O5307" s="11">
        <f>M5307-N5307</f>
        <v/>
      </c>
    </row>
    <row r="5308">
      <c r="A5308" s="9" t="n">
        <v>45513.08333333334</v>
      </c>
      <c r="B5308" t="n">
        <v>8</v>
      </c>
      <c r="C5308" t="n">
        <v>9</v>
      </c>
      <c r="D5308" t="n">
        <v>2</v>
      </c>
      <c r="E5308" s="10" t="n">
        <v>0</v>
      </c>
      <c r="F5308" s="10" t="n">
        <v>0.3026264406303458</v>
      </c>
      <c r="G5308" s="11">
        <f>E5308*Summary!$B$6</f>
        <v/>
      </c>
      <c r="H5308" s="11">
        <f>F5308*Summary!$B$7</f>
        <v/>
      </c>
      <c r="I5308" s="11">
        <f>MAX(0,N5308-M5308)</f>
        <v/>
      </c>
      <c r="J5308" s="11">
        <f>MAX(0,M5308-N5308)</f>
        <v/>
      </c>
      <c r="K5308" s="11">
        <f>O5308</f>
        <v/>
      </c>
      <c r="L5308" s="11">
        <f>L5307+IF(K5308&gt;0,K5308*Summary!$B$9,K5308/Summary!$B$9)</f>
        <v/>
      </c>
      <c r="M5308" s="11">
        <f>G5308+H5308</f>
        <v/>
      </c>
      <c r="N5308" s="11">
        <f>Summary!$C$16*Summary!$B$8</f>
        <v/>
      </c>
      <c r="O5308" s="11">
        <f>M5308-N5308</f>
        <v/>
      </c>
    </row>
    <row r="5309">
      <c r="A5309" s="9" t="n">
        <v>45513.125</v>
      </c>
      <c r="B5309" t="n">
        <v>8</v>
      </c>
      <c r="C5309" t="n">
        <v>9</v>
      </c>
      <c r="D5309" t="n">
        <v>3</v>
      </c>
      <c r="E5309" s="10" t="n">
        <v>0</v>
      </c>
      <c r="F5309" s="10" t="n">
        <v>0.2809387394252975</v>
      </c>
      <c r="G5309" s="11">
        <f>E5309*Summary!$B$6</f>
        <v/>
      </c>
      <c r="H5309" s="11">
        <f>F5309*Summary!$B$7</f>
        <v/>
      </c>
      <c r="I5309" s="11">
        <f>MAX(0,N5309-M5309)</f>
        <v/>
      </c>
      <c r="J5309" s="11">
        <f>MAX(0,M5309-N5309)</f>
        <v/>
      </c>
      <c r="K5309" s="11">
        <f>O5309</f>
        <v/>
      </c>
      <c r="L5309" s="11">
        <f>L5308+IF(K5309&gt;0,K5309*Summary!$B$9,K5309/Summary!$B$9)</f>
        <v/>
      </c>
      <c r="M5309" s="11">
        <f>G5309+H5309</f>
        <v/>
      </c>
      <c r="N5309" s="11">
        <f>Summary!$C$16*Summary!$B$8</f>
        <v/>
      </c>
      <c r="O5309" s="11">
        <f>M5309-N5309</f>
        <v/>
      </c>
    </row>
    <row r="5310">
      <c r="A5310" s="9" t="n">
        <v>45513.16666666666</v>
      </c>
      <c r="B5310" t="n">
        <v>8</v>
      </c>
      <c r="C5310" t="n">
        <v>9</v>
      </c>
      <c r="D5310" t="n">
        <v>4</v>
      </c>
      <c r="E5310" s="10" t="n">
        <v>0</v>
      </c>
      <c r="F5310" s="10" t="n">
        <v>0.2939302785432669</v>
      </c>
      <c r="G5310" s="11">
        <f>E5310*Summary!$B$6</f>
        <v/>
      </c>
      <c r="H5310" s="11">
        <f>F5310*Summary!$B$7</f>
        <v/>
      </c>
      <c r="I5310" s="11">
        <f>MAX(0,N5310-M5310)</f>
        <v/>
      </c>
      <c r="J5310" s="11">
        <f>MAX(0,M5310-N5310)</f>
        <v/>
      </c>
      <c r="K5310" s="11">
        <f>O5310</f>
        <v/>
      </c>
      <c r="L5310" s="11">
        <f>L5309+IF(K5310&gt;0,K5310*Summary!$B$9,K5310/Summary!$B$9)</f>
        <v/>
      </c>
      <c r="M5310" s="11">
        <f>G5310+H5310</f>
        <v/>
      </c>
      <c r="N5310" s="11">
        <f>Summary!$C$16*Summary!$B$8</f>
        <v/>
      </c>
      <c r="O5310" s="11">
        <f>M5310-N5310</f>
        <v/>
      </c>
    </row>
    <row r="5311">
      <c r="A5311" s="9" t="n">
        <v>45513.20833333334</v>
      </c>
      <c r="B5311" t="n">
        <v>8</v>
      </c>
      <c r="C5311" t="n">
        <v>9</v>
      </c>
      <c r="D5311" t="n">
        <v>5</v>
      </c>
      <c r="E5311" s="10" t="n">
        <v>0.024099</v>
      </c>
      <c r="F5311" s="10" t="n">
        <v>0.2608321585997181</v>
      </c>
      <c r="G5311" s="11">
        <f>E5311*Summary!$B$6</f>
        <v/>
      </c>
      <c r="H5311" s="11">
        <f>F5311*Summary!$B$7</f>
        <v/>
      </c>
      <c r="I5311" s="11">
        <f>MAX(0,N5311-M5311)</f>
        <v/>
      </c>
      <c r="J5311" s="11">
        <f>MAX(0,M5311-N5311)</f>
        <v/>
      </c>
      <c r="K5311" s="11">
        <f>O5311</f>
        <v/>
      </c>
      <c r="L5311" s="11">
        <f>L5310+IF(K5311&gt;0,K5311*Summary!$B$9,K5311/Summary!$B$9)</f>
        <v/>
      </c>
      <c r="M5311" s="11">
        <f>G5311+H5311</f>
        <v/>
      </c>
      <c r="N5311" s="11">
        <f>Summary!$C$16*Summary!$B$8</f>
        <v/>
      </c>
      <c r="O5311" s="11">
        <f>M5311-N5311</f>
        <v/>
      </c>
    </row>
    <row r="5312">
      <c r="A5312" s="9" t="n">
        <v>45513.25</v>
      </c>
      <c r="B5312" t="n">
        <v>8</v>
      </c>
      <c r="C5312" t="n">
        <v>9</v>
      </c>
      <c r="D5312" t="n">
        <v>6</v>
      </c>
      <c r="E5312" s="10" t="n">
        <v>0.08663899999999999</v>
      </c>
      <c r="F5312" s="10" t="n">
        <v>0.2479987315196956</v>
      </c>
      <c r="G5312" s="11">
        <f>E5312*Summary!$B$6</f>
        <v/>
      </c>
      <c r="H5312" s="11">
        <f>F5312*Summary!$B$7</f>
        <v/>
      </c>
      <c r="I5312" s="11">
        <f>MAX(0,N5312-M5312)</f>
        <v/>
      </c>
      <c r="J5312" s="11">
        <f>MAX(0,M5312-N5312)</f>
        <v/>
      </c>
      <c r="K5312" s="11">
        <f>O5312</f>
        <v/>
      </c>
      <c r="L5312" s="11">
        <f>L5311+IF(K5312&gt;0,K5312*Summary!$B$9,K5312/Summary!$B$9)</f>
        <v/>
      </c>
      <c r="M5312" s="11">
        <f>G5312+H5312</f>
        <v/>
      </c>
      <c r="N5312" s="11">
        <f>Summary!$C$16*Summary!$B$8</f>
        <v/>
      </c>
      <c r="O5312" s="11">
        <f>M5312-N5312</f>
        <v/>
      </c>
    </row>
    <row r="5313">
      <c r="A5313" s="9" t="n">
        <v>45513.29166666666</v>
      </c>
      <c r="B5313" t="n">
        <v>8</v>
      </c>
      <c r="C5313" t="n">
        <v>9</v>
      </c>
      <c r="D5313" t="n">
        <v>7</v>
      </c>
      <c r="E5313" s="10" t="n">
        <v>0.262389</v>
      </c>
      <c r="F5313" s="10" t="n">
        <v>0.2405674657361918</v>
      </c>
      <c r="G5313" s="11">
        <f>E5313*Summary!$B$6</f>
        <v/>
      </c>
      <c r="H5313" s="11">
        <f>F5313*Summary!$B$7</f>
        <v/>
      </c>
      <c r="I5313" s="11">
        <f>MAX(0,N5313-M5313)</f>
        <v/>
      </c>
      <c r="J5313" s="11">
        <f>MAX(0,M5313-N5313)</f>
        <v/>
      </c>
      <c r="K5313" s="11">
        <f>O5313</f>
        <v/>
      </c>
      <c r="L5313" s="11">
        <f>L5312+IF(K5313&gt;0,K5313*Summary!$B$9,K5313/Summary!$B$9)</f>
        <v/>
      </c>
      <c r="M5313" s="11">
        <f>G5313+H5313</f>
        <v/>
      </c>
      <c r="N5313" s="11">
        <f>Summary!$C$16*Summary!$B$8</f>
        <v/>
      </c>
      <c r="O5313" s="11">
        <f>M5313-N5313</f>
        <v/>
      </c>
    </row>
    <row r="5314">
      <c r="A5314" s="9" t="n">
        <v>45513.33333333334</v>
      </c>
      <c r="B5314" t="n">
        <v>8</v>
      </c>
      <c r="C5314" t="n">
        <v>9</v>
      </c>
      <c r="D5314" t="n">
        <v>8</v>
      </c>
      <c r="E5314" s="10" t="n">
        <v>0.485718</v>
      </c>
      <c r="F5314" s="10" t="n">
        <v>0.2406728737614897</v>
      </c>
      <c r="G5314" s="11">
        <f>E5314*Summary!$B$6</f>
        <v/>
      </c>
      <c r="H5314" s="11">
        <f>F5314*Summary!$B$7</f>
        <v/>
      </c>
      <c r="I5314" s="11">
        <f>MAX(0,N5314-M5314)</f>
        <v/>
      </c>
      <c r="J5314" s="11">
        <f>MAX(0,M5314-N5314)</f>
        <v/>
      </c>
      <c r="K5314" s="11">
        <f>O5314</f>
        <v/>
      </c>
      <c r="L5314" s="11">
        <f>L5313+IF(K5314&gt;0,K5314*Summary!$B$9,K5314/Summary!$B$9)</f>
        <v/>
      </c>
      <c r="M5314" s="11">
        <f>G5314+H5314</f>
        <v/>
      </c>
      <c r="N5314" s="11">
        <f>Summary!$C$16*Summary!$B$8</f>
        <v/>
      </c>
      <c r="O5314" s="11">
        <f>M5314-N5314</f>
        <v/>
      </c>
    </row>
    <row r="5315">
      <c r="A5315" s="9" t="n">
        <v>45513.375</v>
      </c>
      <c r="B5315" t="n">
        <v>8</v>
      </c>
      <c r="C5315" t="n">
        <v>9</v>
      </c>
      <c r="D5315" t="n">
        <v>9</v>
      </c>
      <c r="E5315" s="10" t="n">
        <v>0.63711</v>
      </c>
      <c r="F5315" s="10" t="n">
        <v>0.2473135793552591</v>
      </c>
      <c r="G5315" s="11">
        <f>E5315*Summary!$B$6</f>
        <v/>
      </c>
      <c r="H5315" s="11">
        <f>F5315*Summary!$B$7</f>
        <v/>
      </c>
      <c r="I5315" s="11">
        <f>MAX(0,N5315-M5315)</f>
        <v/>
      </c>
      <c r="J5315" s="11">
        <f>MAX(0,M5315-N5315)</f>
        <v/>
      </c>
      <c r="K5315" s="11">
        <f>O5315</f>
        <v/>
      </c>
      <c r="L5315" s="11">
        <f>L5314+IF(K5315&gt;0,K5315*Summary!$B$9,K5315/Summary!$B$9)</f>
        <v/>
      </c>
      <c r="M5315" s="11">
        <f>G5315+H5315</f>
        <v/>
      </c>
      <c r="N5315" s="11">
        <f>Summary!$C$16*Summary!$B$8</f>
        <v/>
      </c>
      <c r="O5315" s="11">
        <f>M5315-N5315</f>
        <v/>
      </c>
    </row>
    <row r="5316">
      <c r="A5316" s="9" t="n">
        <v>45513.41666666666</v>
      </c>
      <c r="B5316" t="n">
        <v>8</v>
      </c>
      <c r="C5316" t="n">
        <v>9</v>
      </c>
      <c r="D5316" t="n">
        <v>10</v>
      </c>
      <c r="E5316" s="10" t="n">
        <v>0.698919</v>
      </c>
      <c r="F5316" s="10" t="n">
        <v>0.2562469094992583</v>
      </c>
      <c r="G5316" s="11">
        <f>E5316*Summary!$B$6</f>
        <v/>
      </c>
      <c r="H5316" s="11">
        <f>F5316*Summary!$B$7</f>
        <v/>
      </c>
      <c r="I5316" s="11">
        <f>MAX(0,N5316-M5316)</f>
        <v/>
      </c>
      <c r="J5316" s="11">
        <f>MAX(0,M5316-N5316)</f>
        <v/>
      </c>
      <c r="K5316" s="11">
        <f>O5316</f>
        <v/>
      </c>
      <c r="L5316" s="11">
        <f>L5315+IF(K5316&gt;0,K5316*Summary!$B$9,K5316/Summary!$B$9)</f>
        <v/>
      </c>
      <c r="M5316" s="11">
        <f>G5316+H5316</f>
        <v/>
      </c>
      <c r="N5316" s="11">
        <f>Summary!$C$16*Summary!$B$8</f>
        <v/>
      </c>
      <c r="O5316" s="11">
        <f>M5316-N5316</f>
        <v/>
      </c>
    </row>
    <row r="5317">
      <c r="A5317" s="9" t="n">
        <v>45513.45833333334</v>
      </c>
      <c r="B5317" t="n">
        <v>8</v>
      </c>
      <c r="C5317" t="n">
        <v>9</v>
      </c>
      <c r="D5317" t="n">
        <v>11</v>
      </c>
      <c r="E5317" s="10" t="n">
        <v>0.734209</v>
      </c>
      <c r="F5317" s="10" t="n">
        <v>0.2690539845729563</v>
      </c>
      <c r="G5317" s="11">
        <f>E5317*Summary!$B$6</f>
        <v/>
      </c>
      <c r="H5317" s="11">
        <f>F5317*Summary!$B$7</f>
        <v/>
      </c>
      <c r="I5317" s="11">
        <f>MAX(0,N5317-M5317)</f>
        <v/>
      </c>
      <c r="J5317" s="11">
        <f>MAX(0,M5317-N5317)</f>
        <v/>
      </c>
      <c r="K5317" s="11">
        <f>O5317</f>
        <v/>
      </c>
      <c r="L5317" s="11">
        <f>L5316+IF(K5317&gt;0,K5317*Summary!$B$9,K5317/Summary!$B$9)</f>
        <v/>
      </c>
      <c r="M5317" s="11">
        <f>G5317+H5317</f>
        <v/>
      </c>
      <c r="N5317" s="11">
        <f>Summary!$C$16*Summary!$B$8</f>
        <v/>
      </c>
      <c r="O5317" s="11">
        <f>M5317-N5317</f>
        <v/>
      </c>
    </row>
    <row r="5318">
      <c r="A5318" s="9" t="n">
        <v>45513.5</v>
      </c>
      <c r="B5318" t="n">
        <v>8</v>
      </c>
      <c r="C5318" t="n">
        <v>9</v>
      </c>
      <c r="D5318" t="n">
        <v>12</v>
      </c>
      <c r="E5318" s="10" t="n">
        <v>0.581309</v>
      </c>
      <c r="F5318" s="10" t="n">
        <v>0.2697391367373928</v>
      </c>
      <c r="G5318" s="11">
        <f>E5318*Summary!$B$6</f>
        <v/>
      </c>
      <c r="H5318" s="11">
        <f>F5318*Summary!$B$7</f>
        <v/>
      </c>
      <c r="I5318" s="11">
        <f>MAX(0,N5318-M5318)</f>
        <v/>
      </c>
      <c r="J5318" s="11">
        <f>MAX(0,M5318-N5318)</f>
        <v/>
      </c>
      <c r="K5318" s="11">
        <f>O5318</f>
        <v/>
      </c>
      <c r="L5318" s="11">
        <f>L5317+IF(K5318&gt;0,K5318*Summary!$B$9,K5318/Summary!$B$9)</f>
        <v/>
      </c>
      <c r="M5318" s="11">
        <f>G5318+H5318</f>
        <v/>
      </c>
      <c r="N5318" s="11">
        <f>Summary!$C$16*Summary!$B$8</f>
        <v/>
      </c>
      <c r="O5318" s="11">
        <f>M5318-N5318</f>
        <v/>
      </c>
    </row>
    <row r="5319">
      <c r="A5319" s="9" t="n">
        <v>45513.54166666666</v>
      </c>
      <c r="B5319" t="n">
        <v>8</v>
      </c>
      <c r="C5319" t="n">
        <v>9</v>
      </c>
      <c r="D5319" t="n">
        <v>13</v>
      </c>
      <c r="E5319" s="10" t="n">
        <v>0.700462</v>
      </c>
      <c r="F5319" s="10" t="n">
        <v>0.2703979368955048</v>
      </c>
      <c r="G5319" s="11">
        <f>E5319*Summary!$B$6</f>
        <v/>
      </c>
      <c r="H5319" s="11">
        <f>F5319*Summary!$B$7</f>
        <v/>
      </c>
      <c r="I5319" s="11">
        <f>MAX(0,N5319-M5319)</f>
        <v/>
      </c>
      <c r="J5319" s="11">
        <f>MAX(0,M5319-N5319)</f>
        <v/>
      </c>
      <c r="K5319" s="11">
        <f>O5319</f>
        <v/>
      </c>
      <c r="L5319" s="11">
        <f>L5318+IF(K5319&gt;0,K5319*Summary!$B$9,K5319/Summary!$B$9)</f>
        <v/>
      </c>
      <c r="M5319" s="11">
        <f>G5319+H5319</f>
        <v/>
      </c>
      <c r="N5319" s="11">
        <f>Summary!$C$16*Summary!$B$8</f>
        <v/>
      </c>
      <c r="O5319" s="11">
        <f>M5319-N5319</f>
        <v/>
      </c>
    </row>
    <row r="5320">
      <c r="A5320" s="9" t="n">
        <v>45513.58333333334</v>
      </c>
      <c r="B5320" t="n">
        <v>8</v>
      </c>
      <c r="C5320" t="n">
        <v>9</v>
      </c>
      <c r="D5320" t="n">
        <v>14</v>
      </c>
      <c r="E5320" s="10" t="n">
        <v>0.6616919999999999</v>
      </c>
      <c r="F5320" s="10" t="n">
        <v>0.2724533933888144</v>
      </c>
      <c r="G5320" s="11">
        <f>E5320*Summary!$B$6</f>
        <v/>
      </c>
      <c r="H5320" s="11">
        <f>F5320*Summary!$B$7</f>
        <v/>
      </c>
      <c r="I5320" s="11">
        <f>MAX(0,N5320-M5320)</f>
        <v/>
      </c>
      <c r="J5320" s="11">
        <f>MAX(0,M5320-N5320)</f>
        <v/>
      </c>
      <c r="K5320" s="11">
        <f>O5320</f>
        <v/>
      </c>
      <c r="L5320" s="11">
        <f>L5319+IF(K5320&gt;0,K5320*Summary!$B$9,K5320/Summary!$B$9)</f>
        <v/>
      </c>
      <c r="M5320" s="11">
        <f>G5320+H5320</f>
        <v/>
      </c>
      <c r="N5320" s="11">
        <f>Summary!$C$16*Summary!$B$8</f>
        <v/>
      </c>
      <c r="O5320" s="11">
        <f>M5320-N5320</f>
        <v/>
      </c>
    </row>
    <row r="5321">
      <c r="A5321" s="9" t="n">
        <v>45513.625</v>
      </c>
      <c r="B5321" t="n">
        <v>8</v>
      </c>
      <c r="C5321" t="n">
        <v>9</v>
      </c>
      <c r="D5321" t="n">
        <v>15</v>
      </c>
      <c r="E5321" s="10" t="n">
        <v>0.567307</v>
      </c>
      <c r="F5321" s="10" t="n">
        <v>0.2687904645097115</v>
      </c>
      <c r="G5321" s="11">
        <f>E5321*Summary!$B$6</f>
        <v/>
      </c>
      <c r="H5321" s="11">
        <f>F5321*Summary!$B$7</f>
        <v/>
      </c>
      <c r="I5321" s="11">
        <f>MAX(0,N5321-M5321)</f>
        <v/>
      </c>
      <c r="J5321" s="11">
        <f>MAX(0,M5321-N5321)</f>
        <v/>
      </c>
      <c r="K5321" s="11">
        <f>O5321</f>
        <v/>
      </c>
      <c r="L5321" s="11">
        <f>L5320+IF(K5321&gt;0,K5321*Summary!$B$9,K5321/Summary!$B$9)</f>
        <v/>
      </c>
      <c r="M5321" s="11">
        <f>G5321+H5321</f>
        <v/>
      </c>
      <c r="N5321" s="11">
        <f>Summary!$C$16*Summary!$B$8</f>
        <v/>
      </c>
      <c r="O5321" s="11">
        <f>M5321-N5321</f>
        <v/>
      </c>
    </row>
    <row r="5322">
      <c r="A5322" s="9" t="n">
        <v>45513.66666666666</v>
      </c>
      <c r="B5322" t="n">
        <v>8</v>
      </c>
      <c r="C5322" t="n">
        <v>9</v>
      </c>
      <c r="D5322" t="n">
        <v>16</v>
      </c>
      <c r="E5322" s="10" t="n">
        <v>0.316855</v>
      </c>
      <c r="F5322" s="10" t="n">
        <v>0.2662606719025613</v>
      </c>
      <c r="G5322" s="11">
        <f>E5322*Summary!$B$6</f>
        <v/>
      </c>
      <c r="H5322" s="11">
        <f>F5322*Summary!$B$7</f>
        <v/>
      </c>
      <c r="I5322" s="11">
        <f>MAX(0,N5322-M5322)</f>
        <v/>
      </c>
      <c r="J5322" s="11">
        <f>MAX(0,M5322-N5322)</f>
        <v/>
      </c>
      <c r="K5322" s="11">
        <f>O5322</f>
        <v/>
      </c>
      <c r="L5322" s="11">
        <f>L5321+IF(K5322&gt;0,K5322*Summary!$B$9,K5322/Summary!$B$9)</f>
        <v/>
      </c>
      <c r="M5322" s="11">
        <f>G5322+H5322</f>
        <v/>
      </c>
      <c r="N5322" s="11">
        <f>Summary!$C$16*Summary!$B$8</f>
        <v/>
      </c>
      <c r="O5322" s="11">
        <f>M5322-N5322</f>
        <v/>
      </c>
    </row>
    <row r="5323">
      <c r="A5323" s="9" t="n">
        <v>45513.70833333334</v>
      </c>
      <c r="B5323" t="n">
        <v>8</v>
      </c>
      <c r="C5323" t="n">
        <v>9</v>
      </c>
      <c r="D5323" t="n">
        <v>17</v>
      </c>
      <c r="E5323" s="10" t="n">
        <v>0.202992</v>
      </c>
      <c r="F5323" s="10" t="n">
        <v>0.2810968514632443</v>
      </c>
      <c r="G5323" s="11">
        <f>E5323*Summary!$B$6</f>
        <v/>
      </c>
      <c r="H5323" s="11">
        <f>F5323*Summary!$B$7</f>
        <v/>
      </c>
      <c r="I5323" s="11">
        <f>MAX(0,N5323-M5323)</f>
        <v/>
      </c>
      <c r="J5323" s="11">
        <f>MAX(0,M5323-N5323)</f>
        <v/>
      </c>
      <c r="K5323" s="11">
        <f>O5323</f>
        <v/>
      </c>
      <c r="L5323" s="11">
        <f>L5322+IF(K5323&gt;0,K5323*Summary!$B$9,K5323/Summary!$B$9)</f>
        <v/>
      </c>
      <c r="M5323" s="11">
        <f>G5323+H5323</f>
        <v/>
      </c>
      <c r="N5323" s="11">
        <f>Summary!$C$16*Summary!$B$8</f>
        <v/>
      </c>
      <c r="O5323" s="11">
        <f>M5323-N5323</f>
        <v/>
      </c>
    </row>
    <row r="5324">
      <c r="A5324" s="9" t="n">
        <v>45513.75</v>
      </c>
      <c r="B5324" t="n">
        <v>8</v>
      </c>
      <c r="C5324" t="n">
        <v>9</v>
      </c>
      <c r="D5324" t="n">
        <v>18</v>
      </c>
      <c r="E5324" s="10" t="n">
        <v>0.058559</v>
      </c>
      <c r="F5324" s="10" t="n">
        <v>0.2578016778724027</v>
      </c>
      <c r="G5324" s="11">
        <f>E5324*Summary!$B$6</f>
        <v/>
      </c>
      <c r="H5324" s="11">
        <f>F5324*Summary!$B$7</f>
        <v/>
      </c>
      <c r="I5324" s="11">
        <f>MAX(0,N5324-M5324)</f>
        <v/>
      </c>
      <c r="J5324" s="11">
        <f>MAX(0,M5324-N5324)</f>
        <v/>
      </c>
      <c r="K5324" s="11">
        <f>O5324</f>
        <v/>
      </c>
      <c r="L5324" s="11">
        <f>L5323+IF(K5324&gt;0,K5324*Summary!$B$9,K5324/Summary!$B$9)</f>
        <v/>
      </c>
      <c r="M5324" s="11">
        <f>G5324+H5324</f>
        <v/>
      </c>
      <c r="N5324" s="11">
        <f>Summary!$C$16*Summary!$B$8</f>
        <v/>
      </c>
      <c r="O5324" s="11">
        <f>M5324-N5324</f>
        <v/>
      </c>
    </row>
    <row r="5325">
      <c r="A5325" s="9" t="n">
        <v>45513.79166666666</v>
      </c>
      <c r="B5325" t="n">
        <v>8</v>
      </c>
      <c r="C5325" t="n">
        <v>9</v>
      </c>
      <c r="D5325" t="n">
        <v>19</v>
      </c>
      <c r="E5325" s="10" t="n">
        <v>0.023159</v>
      </c>
      <c r="F5325" s="10" t="n">
        <v>0.2672093441302426</v>
      </c>
      <c r="G5325" s="11">
        <f>E5325*Summary!$B$6</f>
        <v/>
      </c>
      <c r="H5325" s="11">
        <f>F5325*Summary!$B$7</f>
        <v/>
      </c>
      <c r="I5325" s="11">
        <f>MAX(0,N5325-M5325)</f>
        <v/>
      </c>
      <c r="J5325" s="11">
        <f>MAX(0,M5325-N5325)</f>
        <v/>
      </c>
      <c r="K5325" s="11">
        <f>O5325</f>
        <v/>
      </c>
      <c r="L5325" s="11">
        <f>L5324+IF(K5325&gt;0,K5325*Summary!$B$9,K5325/Summary!$B$9)</f>
        <v/>
      </c>
      <c r="M5325" s="11">
        <f>G5325+H5325</f>
        <v/>
      </c>
      <c r="N5325" s="11">
        <f>Summary!$C$16*Summary!$B$8</f>
        <v/>
      </c>
      <c r="O5325" s="11">
        <f>M5325-N5325</f>
        <v/>
      </c>
    </row>
    <row r="5326">
      <c r="A5326" s="9" t="n">
        <v>45513.83333333334</v>
      </c>
      <c r="B5326" t="n">
        <v>8</v>
      </c>
      <c r="C5326" t="n">
        <v>9</v>
      </c>
      <c r="D5326" t="n">
        <v>20</v>
      </c>
      <c r="E5326" s="10" t="n">
        <v>0</v>
      </c>
      <c r="F5326" s="10" t="n">
        <v>0.2804644033114568</v>
      </c>
      <c r="G5326" s="11">
        <f>E5326*Summary!$B$6</f>
        <v/>
      </c>
      <c r="H5326" s="11">
        <f>F5326*Summary!$B$7</f>
        <v/>
      </c>
      <c r="I5326" s="11">
        <f>MAX(0,N5326-M5326)</f>
        <v/>
      </c>
      <c r="J5326" s="11">
        <f>MAX(0,M5326-N5326)</f>
        <v/>
      </c>
      <c r="K5326" s="11">
        <f>O5326</f>
        <v/>
      </c>
      <c r="L5326" s="11">
        <f>L5325+IF(K5326&gt;0,K5326*Summary!$B$9,K5326/Summary!$B$9)</f>
        <v/>
      </c>
      <c r="M5326" s="11">
        <f>G5326+H5326</f>
        <v/>
      </c>
      <c r="N5326" s="11">
        <f>Summary!$C$16*Summary!$B$8</f>
        <v/>
      </c>
      <c r="O5326" s="11">
        <f>M5326-N5326</f>
        <v/>
      </c>
    </row>
    <row r="5327">
      <c r="A5327" s="9" t="n">
        <v>45513.875</v>
      </c>
      <c r="B5327" t="n">
        <v>8</v>
      </c>
      <c r="C5327" t="n">
        <v>9</v>
      </c>
      <c r="D5327" t="n">
        <v>21</v>
      </c>
      <c r="E5327" s="10" t="n">
        <v>0</v>
      </c>
      <c r="F5327" s="10" t="n">
        <v>0.2919538780689308</v>
      </c>
      <c r="G5327" s="11">
        <f>E5327*Summary!$B$6</f>
        <v/>
      </c>
      <c r="H5327" s="11">
        <f>F5327*Summary!$B$7</f>
        <v/>
      </c>
      <c r="I5327" s="11">
        <f>MAX(0,N5327-M5327)</f>
        <v/>
      </c>
      <c r="J5327" s="11">
        <f>MAX(0,M5327-N5327)</f>
        <v/>
      </c>
      <c r="K5327" s="11">
        <f>O5327</f>
        <v/>
      </c>
      <c r="L5327" s="11">
        <f>L5326+IF(K5327&gt;0,K5327*Summary!$B$9,K5327/Summary!$B$9)</f>
        <v/>
      </c>
      <c r="M5327" s="11">
        <f>G5327+H5327</f>
        <v/>
      </c>
      <c r="N5327" s="11">
        <f>Summary!$C$16*Summary!$B$8</f>
        <v/>
      </c>
      <c r="O5327" s="11">
        <f>M5327-N5327</f>
        <v/>
      </c>
    </row>
    <row r="5328">
      <c r="A5328" s="9" t="n">
        <v>45513.91666666666</v>
      </c>
      <c r="B5328" t="n">
        <v>8</v>
      </c>
      <c r="C5328" t="n">
        <v>9</v>
      </c>
      <c r="D5328" t="n">
        <v>22</v>
      </c>
      <c r="E5328" s="10" t="n">
        <v>0</v>
      </c>
      <c r="F5328" s="10" t="n">
        <v>0.296565479175715</v>
      </c>
      <c r="G5328" s="11">
        <f>E5328*Summary!$B$6</f>
        <v/>
      </c>
      <c r="H5328" s="11">
        <f>F5328*Summary!$B$7</f>
        <v/>
      </c>
      <c r="I5328" s="11">
        <f>MAX(0,N5328-M5328)</f>
        <v/>
      </c>
      <c r="J5328" s="11">
        <f>MAX(0,M5328-N5328)</f>
        <v/>
      </c>
      <c r="K5328" s="11">
        <f>O5328</f>
        <v/>
      </c>
      <c r="L5328" s="11">
        <f>L5327+IF(K5328&gt;0,K5328*Summary!$B$9,K5328/Summary!$B$9)</f>
        <v/>
      </c>
      <c r="M5328" s="11">
        <f>G5328+H5328</f>
        <v/>
      </c>
      <c r="N5328" s="11">
        <f>Summary!$C$16*Summary!$B$8</f>
        <v/>
      </c>
      <c r="O5328" s="11">
        <f>M5328-N5328</f>
        <v/>
      </c>
    </row>
    <row r="5329">
      <c r="A5329" s="9" t="n">
        <v>45513.95833333334</v>
      </c>
      <c r="B5329" t="n">
        <v>8</v>
      </c>
      <c r="C5329" t="n">
        <v>9</v>
      </c>
      <c r="D5329" t="n">
        <v>23</v>
      </c>
      <c r="E5329" s="10" t="n">
        <v>0</v>
      </c>
      <c r="F5329" s="10" t="n">
        <v>0.3102158184517964</v>
      </c>
      <c r="G5329" s="11">
        <f>E5329*Summary!$B$6</f>
        <v/>
      </c>
      <c r="H5329" s="11">
        <f>F5329*Summary!$B$7</f>
        <v/>
      </c>
      <c r="I5329" s="11">
        <f>MAX(0,N5329-M5329)</f>
        <v/>
      </c>
      <c r="J5329" s="11">
        <f>MAX(0,M5329-N5329)</f>
        <v/>
      </c>
      <c r="K5329" s="11">
        <f>O5329</f>
        <v/>
      </c>
      <c r="L5329" s="11">
        <f>L5328+IF(K5329&gt;0,K5329*Summary!$B$9,K5329/Summary!$B$9)</f>
        <v/>
      </c>
      <c r="M5329" s="11">
        <f>G5329+H5329</f>
        <v/>
      </c>
      <c r="N5329" s="11">
        <f>Summary!$C$16*Summary!$B$8</f>
        <v/>
      </c>
      <c r="O5329" s="11">
        <f>M5329-N5329</f>
        <v/>
      </c>
    </row>
    <row r="5330">
      <c r="A5330" s="9" t="n">
        <v>45514</v>
      </c>
      <c r="B5330" t="n">
        <v>8</v>
      </c>
      <c r="C5330" t="n">
        <v>10</v>
      </c>
      <c r="D5330" t="n">
        <v>0</v>
      </c>
      <c r="E5330" s="10" t="n">
        <v>0</v>
      </c>
      <c r="F5330" s="10" t="n">
        <v>0.3098205383569292</v>
      </c>
      <c r="G5330" s="11">
        <f>E5330*Summary!$B$6</f>
        <v/>
      </c>
      <c r="H5330" s="11">
        <f>F5330*Summary!$B$7</f>
        <v/>
      </c>
      <c r="I5330" s="11">
        <f>MAX(0,N5330-M5330)</f>
        <v/>
      </c>
      <c r="J5330" s="11">
        <f>MAX(0,M5330-N5330)</f>
        <v/>
      </c>
      <c r="K5330" s="11">
        <f>O5330</f>
        <v/>
      </c>
      <c r="L5330" s="11">
        <f>L5329+IF(K5330&gt;0,K5330*Summary!$B$9,K5330/Summary!$B$9)</f>
        <v/>
      </c>
      <c r="M5330" s="11">
        <f>G5330+H5330</f>
        <v/>
      </c>
      <c r="N5330" s="11">
        <f>Summary!$C$16*Summary!$B$8</f>
        <v/>
      </c>
      <c r="O5330" s="11">
        <f>M5330-N5330</f>
        <v/>
      </c>
    </row>
    <row r="5331">
      <c r="A5331" s="9" t="n">
        <v>45514.04166666666</v>
      </c>
      <c r="B5331" t="n">
        <v>8</v>
      </c>
      <c r="C5331" t="n">
        <v>10</v>
      </c>
      <c r="D5331" t="n">
        <v>1</v>
      </c>
      <c r="E5331" s="10" t="n">
        <v>0</v>
      </c>
      <c r="F5331" s="10" t="n">
        <v>0.3208883810132114</v>
      </c>
      <c r="G5331" s="11">
        <f>E5331*Summary!$B$6</f>
        <v/>
      </c>
      <c r="H5331" s="11">
        <f>F5331*Summary!$B$7</f>
        <v/>
      </c>
      <c r="I5331" s="11">
        <f>MAX(0,N5331-M5331)</f>
        <v/>
      </c>
      <c r="J5331" s="11">
        <f>MAX(0,M5331-N5331)</f>
        <v/>
      </c>
      <c r="K5331" s="11">
        <f>O5331</f>
        <v/>
      </c>
      <c r="L5331" s="11">
        <f>L5330+IF(K5331&gt;0,K5331*Summary!$B$9,K5331/Summary!$B$9)</f>
        <v/>
      </c>
      <c r="M5331" s="11">
        <f>G5331+H5331</f>
        <v/>
      </c>
      <c r="N5331" s="11">
        <f>Summary!$C$16*Summary!$B$8</f>
        <v/>
      </c>
      <c r="O5331" s="11">
        <f>M5331-N5331</f>
        <v/>
      </c>
    </row>
    <row r="5332">
      <c r="A5332" s="9" t="n">
        <v>45514.08333333334</v>
      </c>
      <c r="B5332" t="n">
        <v>8</v>
      </c>
      <c r="C5332" t="n">
        <v>10</v>
      </c>
      <c r="D5332" t="n">
        <v>2</v>
      </c>
      <c r="E5332" s="10" t="n">
        <v>0</v>
      </c>
      <c r="F5332" s="10" t="n">
        <v>0.322943837506521</v>
      </c>
      <c r="G5332" s="11">
        <f>E5332*Summary!$B$6</f>
        <v/>
      </c>
      <c r="H5332" s="11">
        <f>F5332*Summary!$B$7</f>
        <v/>
      </c>
      <c r="I5332" s="11">
        <f>MAX(0,N5332-M5332)</f>
        <v/>
      </c>
      <c r="J5332" s="11">
        <f>MAX(0,M5332-N5332)</f>
        <v/>
      </c>
      <c r="K5332" s="11">
        <f>O5332</f>
        <v/>
      </c>
      <c r="L5332" s="11">
        <f>L5331+IF(K5332&gt;0,K5332*Summary!$B$9,K5332/Summary!$B$9)</f>
        <v/>
      </c>
      <c r="M5332" s="11">
        <f>G5332+H5332</f>
        <v/>
      </c>
      <c r="N5332" s="11">
        <f>Summary!$C$16*Summary!$B$8</f>
        <v/>
      </c>
      <c r="O5332" s="11">
        <f>M5332-N5332</f>
        <v/>
      </c>
    </row>
    <row r="5333">
      <c r="A5333" s="9" t="n">
        <v>45514.125</v>
      </c>
      <c r="B5333" t="n">
        <v>8</v>
      </c>
      <c r="C5333" t="n">
        <v>10</v>
      </c>
      <c r="D5333" t="n">
        <v>3</v>
      </c>
      <c r="E5333" s="10" t="n">
        <v>0</v>
      </c>
      <c r="F5333" s="10" t="n">
        <v>0.3197025407286098</v>
      </c>
      <c r="G5333" s="11">
        <f>E5333*Summary!$B$6</f>
        <v/>
      </c>
      <c r="H5333" s="11">
        <f>F5333*Summary!$B$7</f>
        <v/>
      </c>
      <c r="I5333" s="11">
        <f>MAX(0,N5333-M5333)</f>
        <v/>
      </c>
      <c r="J5333" s="11">
        <f>MAX(0,M5333-N5333)</f>
        <v/>
      </c>
      <c r="K5333" s="11">
        <f>O5333</f>
        <v/>
      </c>
      <c r="L5333" s="11">
        <f>L5332+IF(K5333&gt;0,K5333*Summary!$B$9,K5333/Summary!$B$9)</f>
        <v/>
      </c>
      <c r="M5333" s="11">
        <f>G5333+H5333</f>
        <v/>
      </c>
      <c r="N5333" s="11">
        <f>Summary!$C$16*Summary!$B$8</f>
        <v/>
      </c>
      <c r="O5333" s="11">
        <f>M5333-N5333</f>
        <v/>
      </c>
    </row>
    <row r="5334">
      <c r="A5334" s="9" t="n">
        <v>45514.16666666666</v>
      </c>
      <c r="B5334" t="n">
        <v>8</v>
      </c>
      <c r="C5334" t="n">
        <v>10</v>
      </c>
      <c r="D5334" t="n">
        <v>4</v>
      </c>
      <c r="E5334" s="10" t="n">
        <v>0</v>
      </c>
      <c r="F5334" s="10" t="n">
        <v>0.3187802205072529</v>
      </c>
      <c r="G5334" s="11">
        <f>E5334*Summary!$B$6</f>
        <v/>
      </c>
      <c r="H5334" s="11">
        <f>F5334*Summary!$B$7</f>
        <v/>
      </c>
      <c r="I5334" s="11">
        <f>MAX(0,N5334-M5334)</f>
        <v/>
      </c>
      <c r="J5334" s="11">
        <f>MAX(0,M5334-N5334)</f>
        <v/>
      </c>
      <c r="K5334" s="11">
        <f>O5334</f>
        <v/>
      </c>
      <c r="L5334" s="11">
        <f>L5333+IF(K5334&gt;0,K5334*Summary!$B$9,K5334/Summary!$B$9)</f>
        <v/>
      </c>
      <c r="M5334" s="11">
        <f>G5334+H5334</f>
        <v/>
      </c>
      <c r="N5334" s="11">
        <f>Summary!$C$16*Summary!$B$8</f>
        <v/>
      </c>
      <c r="O5334" s="11">
        <f>M5334-N5334</f>
        <v/>
      </c>
    </row>
    <row r="5335">
      <c r="A5335" s="9" t="n">
        <v>45514.20833333334</v>
      </c>
      <c r="B5335" t="n">
        <v>8</v>
      </c>
      <c r="C5335" t="n">
        <v>10</v>
      </c>
      <c r="D5335" t="n">
        <v>5</v>
      </c>
      <c r="E5335" s="10" t="n">
        <v>0.003834</v>
      </c>
      <c r="F5335" s="10" t="n">
        <v>0.3126138510273243</v>
      </c>
      <c r="G5335" s="11">
        <f>E5335*Summary!$B$6</f>
        <v/>
      </c>
      <c r="H5335" s="11">
        <f>F5335*Summary!$B$7</f>
        <v/>
      </c>
      <c r="I5335" s="11">
        <f>MAX(0,N5335-M5335)</f>
        <v/>
      </c>
      <c r="J5335" s="11">
        <f>MAX(0,M5335-N5335)</f>
        <v/>
      </c>
      <c r="K5335" s="11">
        <f>O5335</f>
        <v/>
      </c>
      <c r="L5335" s="11">
        <f>L5334+IF(K5335&gt;0,K5335*Summary!$B$9,K5335/Summary!$B$9)</f>
        <v/>
      </c>
      <c r="M5335" s="11">
        <f>G5335+H5335</f>
        <v/>
      </c>
      <c r="N5335" s="11">
        <f>Summary!$C$16*Summary!$B$8</f>
        <v/>
      </c>
      <c r="O5335" s="11">
        <f>M5335-N5335</f>
        <v/>
      </c>
    </row>
    <row r="5336">
      <c r="A5336" s="9" t="n">
        <v>45514.25</v>
      </c>
      <c r="B5336" t="n">
        <v>8</v>
      </c>
      <c r="C5336" t="n">
        <v>10</v>
      </c>
      <c r="D5336" t="n">
        <v>6</v>
      </c>
      <c r="E5336" s="10" t="n">
        <v>0.021176</v>
      </c>
      <c r="F5336" s="10" t="n">
        <v>0.3039176889402453</v>
      </c>
      <c r="G5336" s="11">
        <f>E5336*Summary!$B$6</f>
        <v/>
      </c>
      <c r="H5336" s="11">
        <f>F5336*Summary!$B$7</f>
        <v/>
      </c>
      <c r="I5336" s="11">
        <f>MAX(0,N5336-M5336)</f>
        <v/>
      </c>
      <c r="J5336" s="11">
        <f>MAX(0,M5336-N5336)</f>
        <v/>
      </c>
      <c r="K5336" s="11">
        <f>O5336</f>
        <v/>
      </c>
      <c r="L5336" s="11">
        <f>L5335+IF(K5336&gt;0,K5336*Summary!$B$9,K5336/Summary!$B$9)</f>
        <v/>
      </c>
      <c r="M5336" s="11">
        <f>G5336+H5336</f>
        <v/>
      </c>
      <c r="N5336" s="11">
        <f>Summary!$C$16*Summary!$B$8</f>
        <v/>
      </c>
      <c r="O5336" s="11">
        <f>M5336-N5336</f>
        <v/>
      </c>
    </row>
    <row r="5337">
      <c r="A5337" s="9" t="n">
        <v>45514.29166666666</v>
      </c>
      <c r="B5337" t="n">
        <v>8</v>
      </c>
      <c r="C5337" t="n">
        <v>10</v>
      </c>
      <c r="D5337" t="n">
        <v>7</v>
      </c>
      <c r="E5337" s="10" t="n">
        <v>0.112151</v>
      </c>
      <c r="F5337" s="10" t="n">
        <v>0.3004392241054138</v>
      </c>
      <c r="G5337" s="11">
        <f>E5337*Summary!$B$6</f>
        <v/>
      </c>
      <c r="H5337" s="11">
        <f>F5337*Summary!$B$7</f>
        <v/>
      </c>
      <c r="I5337" s="11">
        <f>MAX(0,N5337-M5337)</f>
        <v/>
      </c>
      <c r="J5337" s="11">
        <f>MAX(0,M5337-N5337)</f>
        <v/>
      </c>
      <c r="K5337" s="11">
        <f>O5337</f>
        <v/>
      </c>
      <c r="L5337" s="11">
        <f>L5336+IF(K5337&gt;0,K5337*Summary!$B$9,K5337/Summary!$B$9)</f>
        <v/>
      </c>
      <c r="M5337" s="11">
        <f>G5337+H5337</f>
        <v/>
      </c>
      <c r="N5337" s="11">
        <f>Summary!$C$16*Summary!$B$8</f>
        <v/>
      </c>
      <c r="O5337" s="11">
        <f>M5337-N5337</f>
        <v/>
      </c>
    </row>
    <row r="5338">
      <c r="A5338" s="9" t="n">
        <v>45514.33333333334</v>
      </c>
      <c r="B5338" t="n">
        <v>8</v>
      </c>
      <c r="C5338" t="n">
        <v>10</v>
      </c>
      <c r="D5338" t="n">
        <v>8</v>
      </c>
      <c r="E5338" s="10" t="n">
        <v>0.176113</v>
      </c>
      <c r="F5338" s="10" t="n">
        <v>0.3030744247378619</v>
      </c>
      <c r="G5338" s="11">
        <f>E5338*Summary!$B$6</f>
        <v/>
      </c>
      <c r="H5338" s="11">
        <f>F5338*Summary!$B$7</f>
        <v/>
      </c>
      <c r="I5338" s="11">
        <f>MAX(0,N5338-M5338)</f>
        <v/>
      </c>
      <c r="J5338" s="11">
        <f>MAX(0,M5338-N5338)</f>
        <v/>
      </c>
      <c r="K5338" s="11">
        <f>O5338</f>
        <v/>
      </c>
      <c r="L5338" s="11">
        <f>L5337+IF(K5338&gt;0,K5338*Summary!$B$9,K5338/Summary!$B$9)</f>
        <v/>
      </c>
      <c r="M5338" s="11">
        <f>G5338+H5338</f>
        <v/>
      </c>
      <c r="N5338" s="11">
        <f>Summary!$C$16*Summary!$B$8</f>
        <v/>
      </c>
      <c r="O5338" s="11">
        <f>M5338-N5338</f>
        <v/>
      </c>
    </row>
    <row r="5339">
      <c r="A5339" s="9" t="n">
        <v>45514.375</v>
      </c>
      <c r="B5339" t="n">
        <v>8</v>
      </c>
      <c r="C5339" t="n">
        <v>10</v>
      </c>
      <c r="D5339" t="n">
        <v>9</v>
      </c>
      <c r="E5339" s="10" t="n">
        <v>0.159512</v>
      </c>
      <c r="F5339" s="10" t="n">
        <v>0.3195971327033119</v>
      </c>
      <c r="G5339" s="11">
        <f>E5339*Summary!$B$6</f>
        <v/>
      </c>
      <c r="H5339" s="11">
        <f>F5339*Summary!$B$7</f>
        <v/>
      </c>
      <c r="I5339" s="11">
        <f>MAX(0,N5339-M5339)</f>
        <v/>
      </c>
      <c r="J5339" s="11">
        <f>MAX(0,M5339-N5339)</f>
        <v/>
      </c>
      <c r="K5339" s="11">
        <f>O5339</f>
        <v/>
      </c>
      <c r="L5339" s="11">
        <f>L5338+IF(K5339&gt;0,K5339*Summary!$B$9,K5339/Summary!$B$9)</f>
        <v/>
      </c>
      <c r="M5339" s="11">
        <f>G5339+H5339</f>
        <v/>
      </c>
      <c r="N5339" s="11">
        <f>Summary!$C$16*Summary!$B$8</f>
        <v/>
      </c>
      <c r="O5339" s="11">
        <f>M5339-N5339</f>
        <v/>
      </c>
    </row>
    <row r="5340">
      <c r="A5340" s="9" t="n">
        <v>45514.41666666666</v>
      </c>
      <c r="B5340" t="n">
        <v>8</v>
      </c>
      <c r="C5340" t="n">
        <v>10</v>
      </c>
      <c r="D5340" t="n">
        <v>10</v>
      </c>
      <c r="E5340" s="10" t="n">
        <v>0.170185</v>
      </c>
      <c r="F5340" s="10" t="n">
        <v>0.3032325367758088</v>
      </c>
      <c r="G5340" s="11">
        <f>E5340*Summary!$B$6</f>
        <v/>
      </c>
      <c r="H5340" s="11">
        <f>F5340*Summary!$B$7</f>
        <v/>
      </c>
      <c r="I5340" s="11">
        <f>MAX(0,N5340-M5340)</f>
        <v/>
      </c>
      <c r="J5340" s="11">
        <f>MAX(0,M5340-N5340)</f>
        <v/>
      </c>
      <c r="K5340" s="11">
        <f>O5340</f>
        <v/>
      </c>
      <c r="L5340" s="11">
        <f>L5339+IF(K5340&gt;0,K5340*Summary!$B$9,K5340/Summary!$B$9)</f>
        <v/>
      </c>
      <c r="M5340" s="11">
        <f>G5340+H5340</f>
        <v/>
      </c>
      <c r="N5340" s="11">
        <f>Summary!$C$16*Summary!$B$8</f>
        <v/>
      </c>
      <c r="O5340" s="11">
        <f>M5340-N5340</f>
        <v/>
      </c>
    </row>
    <row r="5341">
      <c r="A5341" s="9" t="n">
        <v>45514.45833333334</v>
      </c>
      <c r="B5341" t="n">
        <v>8</v>
      </c>
      <c r="C5341" t="n">
        <v>10</v>
      </c>
      <c r="D5341" t="n">
        <v>11</v>
      </c>
      <c r="E5341" s="10" t="n">
        <v>0.062025</v>
      </c>
      <c r="F5341" s="10" t="n">
        <v>0.3011243762698503</v>
      </c>
      <c r="G5341" s="11">
        <f>E5341*Summary!$B$6</f>
        <v/>
      </c>
      <c r="H5341" s="11">
        <f>F5341*Summary!$B$7</f>
        <v/>
      </c>
      <c r="I5341" s="11">
        <f>MAX(0,N5341-M5341)</f>
        <v/>
      </c>
      <c r="J5341" s="11">
        <f>MAX(0,M5341-N5341)</f>
        <v/>
      </c>
      <c r="K5341" s="11">
        <f>O5341</f>
        <v/>
      </c>
      <c r="L5341" s="11">
        <f>L5340+IF(K5341&gt;0,K5341*Summary!$B$9,K5341/Summary!$B$9)</f>
        <v/>
      </c>
      <c r="M5341" s="11">
        <f>G5341+H5341</f>
        <v/>
      </c>
      <c r="N5341" s="11">
        <f>Summary!$C$16*Summary!$B$8</f>
        <v/>
      </c>
      <c r="O5341" s="11">
        <f>M5341-N5341</f>
        <v/>
      </c>
    </row>
    <row r="5342">
      <c r="A5342" s="9" t="n">
        <v>45514.5</v>
      </c>
      <c r="B5342" t="n">
        <v>8</v>
      </c>
      <c r="C5342" t="n">
        <v>10</v>
      </c>
      <c r="D5342" t="n">
        <v>12</v>
      </c>
      <c r="E5342" s="10" t="n">
        <v>0.176914</v>
      </c>
      <c r="F5342" s="10" t="n">
        <v>0.2968817032516088</v>
      </c>
      <c r="G5342" s="11">
        <f>E5342*Summary!$B$6</f>
        <v/>
      </c>
      <c r="H5342" s="11">
        <f>F5342*Summary!$B$7</f>
        <v/>
      </c>
      <c r="I5342" s="11">
        <f>MAX(0,N5342-M5342)</f>
        <v/>
      </c>
      <c r="J5342" s="11">
        <f>MAX(0,M5342-N5342)</f>
        <v/>
      </c>
      <c r="K5342" s="11">
        <f>O5342</f>
        <v/>
      </c>
      <c r="L5342" s="11">
        <f>L5341+IF(K5342&gt;0,K5342*Summary!$B$9,K5342/Summary!$B$9)</f>
        <v/>
      </c>
      <c r="M5342" s="11">
        <f>G5342+H5342</f>
        <v/>
      </c>
      <c r="N5342" s="11">
        <f>Summary!$C$16*Summary!$B$8</f>
        <v/>
      </c>
      <c r="O5342" s="11">
        <f>M5342-N5342</f>
        <v/>
      </c>
    </row>
    <row r="5343">
      <c r="A5343" s="9" t="n">
        <v>45514.54166666666</v>
      </c>
      <c r="B5343" t="n">
        <v>8</v>
      </c>
      <c r="C5343" t="n">
        <v>10</v>
      </c>
      <c r="D5343" t="n">
        <v>13</v>
      </c>
      <c r="E5343" s="10" t="n">
        <v>0.238793</v>
      </c>
      <c r="F5343" s="10" t="n">
        <v>0.3002547600611424</v>
      </c>
      <c r="G5343" s="11">
        <f>E5343*Summary!$B$6</f>
        <v/>
      </c>
      <c r="H5343" s="11">
        <f>F5343*Summary!$B$7</f>
        <v/>
      </c>
      <c r="I5343" s="11">
        <f>MAX(0,N5343-M5343)</f>
        <v/>
      </c>
      <c r="J5343" s="11">
        <f>MAX(0,M5343-N5343)</f>
        <v/>
      </c>
      <c r="K5343" s="11">
        <f>O5343</f>
        <v/>
      </c>
      <c r="L5343" s="11">
        <f>L5342+IF(K5343&gt;0,K5343*Summary!$B$9,K5343/Summary!$B$9)</f>
        <v/>
      </c>
      <c r="M5343" s="11">
        <f>G5343+H5343</f>
        <v/>
      </c>
      <c r="N5343" s="11">
        <f>Summary!$C$16*Summary!$B$8</f>
        <v/>
      </c>
      <c r="O5343" s="11">
        <f>M5343-N5343</f>
        <v/>
      </c>
    </row>
    <row r="5344">
      <c r="A5344" s="9" t="n">
        <v>45514.58333333334</v>
      </c>
      <c r="B5344" t="n">
        <v>8</v>
      </c>
      <c r="C5344" t="n">
        <v>10</v>
      </c>
      <c r="D5344" t="n">
        <v>14</v>
      </c>
      <c r="E5344" s="10" t="n">
        <v>0.267482</v>
      </c>
      <c r="F5344" s="10" t="n">
        <v>0.3061576094778263</v>
      </c>
      <c r="G5344" s="11">
        <f>E5344*Summary!$B$6</f>
        <v/>
      </c>
      <c r="H5344" s="11">
        <f>F5344*Summary!$B$7</f>
        <v/>
      </c>
      <c r="I5344" s="11">
        <f>MAX(0,N5344-M5344)</f>
        <v/>
      </c>
      <c r="J5344" s="11">
        <f>MAX(0,M5344-N5344)</f>
        <v/>
      </c>
      <c r="K5344" s="11">
        <f>O5344</f>
        <v/>
      </c>
      <c r="L5344" s="11">
        <f>L5343+IF(K5344&gt;0,K5344*Summary!$B$9,K5344/Summary!$B$9)</f>
        <v/>
      </c>
      <c r="M5344" s="11">
        <f>G5344+H5344</f>
        <v/>
      </c>
      <c r="N5344" s="11">
        <f>Summary!$C$16*Summary!$B$8</f>
        <v/>
      </c>
      <c r="O5344" s="11">
        <f>M5344-N5344</f>
        <v/>
      </c>
    </row>
    <row r="5345">
      <c r="A5345" s="9" t="n">
        <v>45514.625</v>
      </c>
      <c r="B5345" t="n">
        <v>8</v>
      </c>
      <c r="C5345" t="n">
        <v>10</v>
      </c>
      <c r="D5345" t="n">
        <v>15</v>
      </c>
      <c r="E5345" s="10" t="n">
        <v>0.165452</v>
      </c>
      <c r="F5345" s="10" t="n">
        <v>0.3152226996534479</v>
      </c>
      <c r="G5345" s="11">
        <f>E5345*Summary!$B$6</f>
        <v/>
      </c>
      <c r="H5345" s="11">
        <f>F5345*Summary!$B$7</f>
        <v/>
      </c>
      <c r="I5345" s="11">
        <f>MAX(0,N5345-M5345)</f>
        <v/>
      </c>
      <c r="J5345" s="11">
        <f>MAX(0,M5345-N5345)</f>
        <v/>
      </c>
      <c r="K5345" s="11">
        <f>O5345</f>
        <v/>
      </c>
      <c r="L5345" s="11">
        <f>L5344+IF(K5345&gt;0,K5345*Summary!$B$9,K5345/Summary!$B$9)</f>
        <v/>
      </c>
      <c r="M5345" s="11">
        <f>G5345+H5345</f>
        <v/>
      </c>
      <c r="N5345" s="11">
        <f>Summary!$C$16*Summary!$B$8</f>
        <v/>
      </c>
      <c r="O5345" s="11">
        <f>M5345-N5345</f>
        <v/>
      </c>
    </row>
    <row r="5346">
      <c r="A5346" s="9" t="n">
        <v>45514.66666666666</v>
      </c>
      <c r="B5346" t="n">
        <v>8</v>
      </c>
      <c r="C5346" t="n">
        <v>10</v>
      </c>
      <c r="D5346" t="n">
        <v>16</v>
      </c>
      <c r="E5346" s="10" t="n">
        <v>0.072268</v>
      </c>
      <c r="F5346" s="10" t="n">
        <v>0.3241560297974472</v>
      </c>
      <c r="G5346" s="11">
        <f>E5346*Summary!$B$6</f>
        <v/>
      </c>
      <c r="H5346" s="11">
        <f>F5346*Summary!$B$7</f>
        <v/>
      </c>
      <c r="I5346" s="11">
        <f>MAX(0,N5346-M5346)</f>
        <v/>
      </c>
      <c r="J5346" s="11">
        <f>MAX(0,M5346-N5346)</f>
        <v/>
      </c>
      <c r="K5346" s="11">
        <f>O5346</f>
        <v/>
      </c>
      <c r="L5346" s="11">
        <f>L5345+IF(K5346&gt;0,K5346*Summary!$B$9,K5346/Summary!$B$9)</f>
        <v/>
      </c>
      <c r="M5346" s="11">
        <f>G5346+H5346</f>
        <v/>
      </c>
      <c r="N5346" s="11">
        <f>Summary!$C$16*Summary!$B$8</f>
        <v/>
      </c>
      <c r="O5346" s="11">
        <f>M5346-N5346</f>
        <v/>
      </c>
    </row>
    <row r="5347">
      <c r="A5347" s="9" t="n">
        <v>45514.70833333334</v>
      </c>
      <c r="B5347" t="n">
        <v>8</v>
      </c>
      <c r="C5347" t="n">
        <v>10</v>
      </c>
      <c r="D5347" t="n">
        <v>17</v>
      </c>
      <c r="E5347" s="10" t="n">
        <v>0.056857</v>
      </c>
      <c r="F5347" s="10" t="n">
        <v>0.3141949714067931</v>
      </c>
      <c r="G5347" s="11">
        <f>E5347*Summary!$B$6</f>
        <v/>
      </c>
      <c r="H5347" s="11">
        <f>F5347*Summary!$B$7</f>
        <v/>
      </c>
      <c r="I5347" s="11">
        <f>MAX(0,N5347-M5347)</f>
        <v/>
      </c>
      <c r="J5347" s="11">
        <f>MAX(0,M5347-N5347)</f>
        <v/>
      </c>
      <c r="K5347" s="11">
        <f>O5347</f>
        <v/>
      </c>
      <c r="L5347" s="11">
        <f>L5346+IF(K5347&gt;0,K5347*Summary!$B$9,K5347/Summary!$B$9)</f>
        <v/>
      </c>
      <c r="M5347" s="11">
        <f>G5347+H5347</f>
        <v/>
      </c>
      <c r="N5347" s="11">
        <f>Summary!$C$16*Summary!$B$8</f>
        <v/>
      </c>
      <c r="O5347" s="11">
        <f>M5347-N5347</f>
        <v/>
      </c>
    </row>
    <row r="5348">
      <c r="A5348" s="9" t="n">
        <v>45514.75</v>
      </c>
      <c r="B5348" t="n">
        <v>8</v>
      </c>
      <c r="C5348" t="n">
        <v>10</v>
      </c>
      <c r="D5348" t="n">
        <v>18</v>
      </c>
      <c r="E5348" s="10" t="n">
        <v>0.018528</v>
      </c>
      <c r="F5348" s="10" t="n">
        <v>0.3076069698256728</v>
      </c>
      <c r="G5348" s="11">
        <f>E5348*Summary!$B$6</f>
        <v/>
      </c>
      <c r="H5348" s="11">
        <f>F5348*Summary!$B$7</f>
        <v/>
      </c>
      <c r="I5348" s="11">
        <f>MAX(0,N5348-M5348)</f>
        <v/>
      </c>
      <c r="J5348" s="11">
        <f>MAX(0,M5348-N5348)</f>
        <v/>
      </c>
      <c r="K5348" s="11">
        <f>O5348</f>
        <v/>
      </c>
      <c r="L5348" s="11">
        <f>L5347+IF(K5348&gt;0,K5348*Summary!$B$9,K5348/Summary!$B$9)</f>
        <v/>
      </c>
      <c r="M5348" s="11">
        <f>G5348+H5348</f>
        <v/>
      </c>
      <c r="N5348" s="11">
        <f>Summary!$C$16*Summary!$B$8</f>
        <v/>
      </c>
      <c r="O5348" s="11">
        <f>M5348-N5348</f>
        <v/>
      </c>
    </row>
    <row r="5349">
      <c r="A5349" s="9" t="n">
        <v>45514.79166666666</v>
      </c>
      <c r="B5349" t="n">
        <v>8</v>
      </c>
      <c r="C5349" t="n">
        <v>10</v>
      </c>
      <c r="D5349" t="n">
        <v>19</v>
      </c>
      <c r="E5349" s="10" t="n">
        <v>0.005034</v>
      </c>
      <c r="F5349" s="10" t="n">
        <v>0.3074488577877259</v>
      </c>
      <c r="G5349" s="11">
        <f>E5349*Summary!$B$6</f>
        <v/>
      </c>
      <c r="H5349" s="11">
        <f>F5349*Summary!$B$7</f>
        <v/>
      </c>
      <c r="I5349" s="11">
        <f>MAX(0,N5349-M5349)</f>
        <v/>
      </c>
      <c r="J5349" s="11">
        <f>MAX(0,M5349-N5349)</f>
        <v/>
      </c>
      <c r="K5349" s="11">
        <f>O5349</f>
        <v/>
      </c>
      <c r="L5349" s="11">
        <f>L5348+IF(K5349&gt;0,K5349*Summary!$B$9,K5349/Summary!$B$9)</f>
        <v/>
      </c>
      <c r="M5349" s="11">
        <f>G5349+H5349</f>
        <v/>
      </c>
      <c r="N5349" s="11">
        <f>Summary!$C$16*Summary!$B$8</f>
        <v/>
      </c>
      <c r="O5349" s="11">
        <f>M5349-N5349</f>
        <v/>
      </c>
    </row>
    <row r="5350">
      <c r="A5350" s="9" t="n">
        <v>45514.83333333334</v>
      </c>
      <c r="B5350" t="n">
        <v>8</v>
      </c>
      <c r="C5350" t="n">
        <v>10</v>
      </c>
      <c r="D5350" t="n">
        <v>20</v>
      </c>
      <c r="E5350" s="10" t="n">
        <v>0</v>
      </c>
      <c r="F5350" s="10" t="n">
        <v>0.3176734362416247</v>
      </c>
      <c r="G5350" s="11">
        <f>E5350*Summary!$B$6</f>
        <v/>
      </c>
      <c r="H5350" s="11">
        <f>F5350*Summary!$B$7</f>
        <v/>
      </c>
      <c r="I5350" s="11">
        <f>MAX(0,N5350-M5350)</f>
        <v/>
      </c>
      <c r="J5350" s="11">
        <f>MAX(0,M5350-N5350)</f>
        <v/>
      </c>
      <c r="K5350" s="11">
        <f>O5350</f>
        <v/>
      </c>
      <c r="L5350" s="11">
        <f>L5349+IF(K5350&gt;0,K5350*Summary!$B$9,K5350/Summary!$B$9)</f>
        <v/>
      </c>
      <c r="M5350" s="11">
        <f>G5350+H5350</f>
        <v/>
      </c>
      <c r="N5350" s="11">
        <f>Summary!$C$16*Summary!$B$8</f>
        <v/>
      </c>
      <c r="O5350" s="11">
        <f>M5350-N5350</f>
        <v/>
      </c>
    </row>
    <row r="5351">
      <c r="A5351" s="9" t="n">
        <v>45514.875</v>
      </c>
      <c r="B5351" t="n">
        <v>8</v>
      </c>
      <c r="C5351" t="n">
        <v>10</v>
      </c>
      <c r="D5351" t="n">
        <v>21</v>
      </c>
      <c r="E5351" s="10" t="n">
        <v>0</v>
      </c>
      <c r="F5351" s="10" t="n">
        <v>0.3230755975381434</v>
      </c>
      <c r="G5351" s="11">
        <f>E5351*Summary!$B$6</f>
        <v/>
      </c>
      <c r="H5351" s="11">
        <f>F5351*Summary!$B$7</f>
        <v/>
      </c>
      <c r="I5351" s="11">
        <f>MAX(0,N5351-M5351)</f>
        <v/>
      </c>
      <c r="J5351" s="11">
        <f>MAX(0,M5351-N5351)</f>
        <v/>
      </c>
      <c r="K5351" s="11">
        <f>O5351</f>
        <v/>
      </c>
      <c r="L5351" s="11">
        <f>L5350+IF(K5351&gt;0,K5351*Summary!$B$9,K5351/Summary!$B$9)</f>
        <v/>
      </c>
      <c r="M5351" s="11">
        <f>G5351+H5351</f>
        <v/>
      </c>
      <c r="N5351" s="11">
        <f>Summary!$C$16*Summary!$B$8</f>
        <v/>
      </c>
      <c r="O5351" s="11">
        <f>M5351-N5351</f>
        <v/>
      </c>
    </row>
    <row r="5352">
      <c r="A5352" s="9" t="n">
        <v>45514.91666666666</v>
      </c>
      <c r="B5352" t="n">
        <v>8</v>
      </c>
      <c r="C5352" t="n">
        <v>10</v>
      </c>
      <c r="D5352" t="n">
        <v>22</v>
      </c>
      <c r="E5352" s="10" t="n">
        <v>0</v>
      </c>
      <c r="F5352" s="10" t="n">
        <v>0.3272919185500605</v>
      </c>
      <c r="G5352" s="11">
        <f>E5352*Summary!$B$6</f>
        <v/>
      </c>
      <c r="H5352" s="11">
        <f>F5352*Summary!$B$7</f>
        <v/>
      </c>
      <c r="I5352" s="11">
        <f>MAX(0,N5352-M5352)</f>
        <v/>
      </c>
      <c r="J5352" s="11">
        <f>MAX(0,M5352-N5352)</f>
        <v/>
      </c>
      <c r="K5352" s="11">
        <f>O5352</f>
        <v/>
      </c>
      <c r="L5352" s="11">
        <f>L5351+IF(K5352&gt;0,K5352*Summary!$B$9,K5352/Summary!$B$9)</f>
        <v/>
      </c>
      <c r="M5352" s="11">
        <f>G5352+H5352</f>
        <v/>
      </c>
      <c r="N5352" s="11">
        <f>Summary!$C$16*Summary!$B$8</f>
        <v/>
      </c>
      <c r="O5352" s="11">
        <f>M5352-N5352</f>
        <v/>
      </c>
    </row>
    <row r="5353">
      <c r="A5353" s="9" t="n">
        <v>45514.95833333334</v>
      </c>
      <c r="B5353" t="n">
        <v>8</v>
      </c>
      <c r="C5353" t="n">
        <v>10</v>
      </c>
      <c r="D5353" t="n">
        <v>23</v>
      </c>
      <c r="E5353" s="10" t="n">
        <v>0</v>
      </c>
      <c r="F5353" s="10" t="n">
        <v>0.3145902515016604</v>
      </c>
      <c r="G5353" s="11">
        <f>E5353*Summary!$B$6</f>
        <v/>
      </c>
      <c r="H5353" s="11">
        <f>F5353*Summary!$B$7</f>
        <v/>
      </c>
      <c r="I5353" s="11">
        <f>MAX(0,N5353-M5353)</f>
        <v/>
      </c>
      <c r="J5353" s="11">
        <f>MAX(0,M5353-N5353)</f>
        <v/>
      </c>
      <c r="K5353" s="11">
        <f>O5353</f>
        <v/>
      </c>
      <c r="L5353" s="11">
        <f>L5352+IF(K5353&gt;0,K5353*Summary!$B$9,K5353/Summary!$B$9)</f>
        <v/>
      </c>
      <c r="M5353" s="11">
        <f>G5353+H5353</f>
        <v/>
      </c>
      <c r="N5353" s="11">
        <f>Summary!$C$16*Summary!$B$8</f>
        <v/>
      </c>
      <c r="O5353" s="11">
        <f>M5353-N5353</f>
        <v/>
      </c>
    </row>
    <row r="5354">
      <c r="A5354" s="9" t="n">
        <v>45515</v>
      </c>
      <c r="B5354" t="n">
        <v>8</v>
      </c>
      <c r="C5354" t="n">
        <v>11</v>
      </c>
      <c r="D5354" t="n">
        <v>0</v>
      </c>
      <c r="E5354" s="10" t="n">
        <v>0</v>
      </c>
      <c r="F5354" s="10" t="n">
        <v>0.2817029476087074</v>
      </c>
      <c r="G5354" s="11">
        <f>E5354*Summary!$B$6</f>
        <v/>
      </c>
      <c r="H5354" s="11">
        <f>F5354*Summary!$B$7</f>
        <v/>
      </c>
      <c r="I5354" s="11">
        <f>MAX(0,N5354-M5354)</f>
        <v/>
      </c>
      <c r="J5354" s="11">
        <f>MAX(0,M5354-N5354)</f>
        <v/>
      </c>
      <c r="K5354" s="11">
        <f>O5354</f>
        <v/>
      </c>
      <c r="L5354" s="11">
        <f>L5353+IF(K5354&gt;0,K5354*Summary!$B$9,K5354/Summary!$B$9)</f>
        <v/>
      </c>
      <c r="M5354" s="11">
        <f>G5354+H5354</f>
        <v/>
      </c>
      <c r="N5354" s="11">
        <f>Summary!$C$16*Summary!$B$8</f>
        <v/>
      </c>
      <c r="O5354" s="11">
        <f>M5354-N5354</f>
        <v/>
      </c>
    </row>
    <row r="5355">
      <c r="A5355" s="9" t="n">
        <v>45515.04166666666</v>
      </c>
      <c r="B5355" t="n">
        <v>8</v>
      </c>
      <c r="C5355" t="n">
        <v>11</v>
      </c>
      <c r="D5355" t="n">
        <v>1</v>
      </c>
      <c r="E5355" s="10" t="n">
        <v>0</v>
      </c>
      <c r="F5355" s="10" t="n">
        <v>0.302257512541803</v>
      </c>
      <c r="G5355" s="11">
        <f>E5355*Summary!$B$6</f>
        <v/>
      </c>
      <c r="H5355" s="11">
        <f>F5355*Summary!$B$7</f>
        <v/>
      </c>
      <c r="I5355" s="11">
        <f>MAX(0,N5355-M5355)</f>
        <v/>
      </c>
      <c r="J5355" s="11">
        <f>MAX(0,M5355-N5355)</f>
        <v/>
      </c>
      <c r="K5355" s="11">
        <f>O5355</f>
        <v/>
      </c>
      <c r="L5355" s="11">
        <f>L5354+IF(K5355&gt;0,K5355*Summary!$B$9,K5355/Summary!$B$9)</f>
        <v/>
      </c>
      <c r="M5355" s="11">
        <f>G5355+H5355</f>
        <v/>
      </c>
      <c r="N5355" s="11">
        <f>Summary!$C$16*Summary!$B$8</f>
        <v/>
      </c>
      <c r="O5355" s="11">
        <f>M5355-N5355</f>
        <v/>
      </c>
    </row>
    <row r="5356">
      <c r="A5356" s="9" t="n">
        <v>45515.08333333334</v>
      </c>
      <c r="B5356" t="n">
        <v>8</v>
      </c>
      <c r="C5356" t="n">
        <v>11</v>
      </c>
      <c r="D5356" t="n">
        <v>2</v>
      </c>
      <c r="E5356" s="10" t="n">
        <v>0</v>
      </c>
      <c r="F5356" s="10" t="n">
        <v>0.2903464056831374</v>
      </c>
      <c r="G5356" s="11">
        <f>E5356*Summary!$B$6</f>
        <v/>
      </c>
      <c r="H5356" s="11">
        <f>F5356*Summary!$B$7</f>
        <v/>
      </c>
      <c r="I5356" s="11">
        <f>MAX(0,N5356-M5356)</f>
        <v/>
      </c>
      <c r="J5356" s="11">
        <f>MAX(0,M5356-N5356)</f>
        <v/>
      </c>
      <c r="K5356" s="11">
        <f>O5356</f>
        <v/>
      </c>
      <c r="L5356" s="11">
        <f>L5355+IF(K5356&gt;0,K5356*Summary!$B$9,K5356/Summary!$B$9)</f>
        <v/>
      </c>
      <c r="M5356" s="11">
        <f>G5356+H5356</f>
        <v/>
      </c>
      <c r="N5356" s="11">
        <f>Summary!$C$16*Summary!$B$8</f>
        <v/>
      </c>
      <c r="O5356" s="11">
        <f>M5356-N5356</f>
        <v/>
      </c>
    </row>
    <row r="5357">
      <c r="A5357" s="9" t="n">
        <v>45515.125</v>
      </c>
      <c r="B5357" t="n">
        <v>8</v>
      </c>
      <c r="C5357" t="n">
        <v>11</v>
      </c>
      <c r="D5357" t="n">
        <v>3</v>
      </c>
      <c r="E5357" s="10" t="n">
        <v>0</v>
      </c>
      <c r="F5357" s="10" t="n">
        <v>0.2813603715264891</v>
      </c>
      <c r="G5357" s="11">
        <f>E5357*Summary!$B$6</f>
        <v/>
      </c>
      <c r="H5357" s="11">
        <f>F5357*Summary!$B$7</f>
        <v/>
      </c>
      <c r="I5357" s="11">
        <f>MAX(0,N5357-M5357)</f>
        <v/>
      </c>
      <c r="J5357" s="11">
        <f>MAX(0,M5357-N5357)</f>
        <v/>
      </c>
      <c r="K5357" s="11">
        <f>O5357</f>
        <v/>
      </c>
      <c r="L5357" s="11">
        <f>L5356+IF(K5357&gt;0,K5357*Summary!$B$9,K5357/Summary!$B$9)</f>
        <v/>
      </c>
      <c r="M5357" s="11">
        <f>G5357+H5357</f>
        <v/>
      </c>
      <c r="N5357" s="11">
        <f>Summary!$C$16*Summary!$B$8</f>
        <v/>
      </c>
      <c r="O5357" s="11">
        <f>M5357-N5357</f>
        <v/>
      </c>
    </row>
    <row r="5358">
      <c r="A5358" s="9" t="n">
        <v>45515.16666666666</v>
      </c>
      <c r="B5358" t="n">
        <v>8</v>
      </c>
      <c r="C5358" t="n">
        <v>11</v>
      </c>
      <c r="D5358" t="n">
        <v>4</v>
      </c>
      <c r="E5358" s="10" t="n">
        <v>0</v>
      </c>
      <c r="F5358" s="10" t="n">
        <v>0.2686060004654401</v>
      </c>
      <c r="G5358" s="11">
        <f>E5358*Summary!$B$6</f>
        <v/>
      </c>
      <c r="H5358" s="11">
        <f>F5358*Summary!$B$7</f>
        <v/>
      </c>
      <c r="I5358" s="11">
        <f>MAX(0,N5358-M5358)</f>
        <v/>
      </c>
      <c r="J5358" s="11">
        <f>MAX(0,M5358-N5358)</f>
        <v/>
      </c>
      <c r="K5358" s="11">
        <f>O5358</f>
        <v/>
      </c>
      <c r="L5358" s="11">
        <f>L5357+IF(K5358&gt;0,K5358*Summary!$B$9,K5358/Summary!$B$9)</f>
        <v/>
      </c>
      <c r="M5358" s="11">
        <f>G5358+H5358</f>
        <v/>
      </c>
      <c r="N5358" s="11">
        <f>Summary!$C$16*Summary!$B$8</f>
        <v/>
      </c>
      <c r="O5358" s="11">
        <f>M5358-N5358</f>
        <v/>
      </c>
    </row>
    <row r="5359">
      <c r="A5359" s="9" t="n">
        <v>45515.20833333334</v>
      </c>
      <c r="B5359" t="n">
        <v>8</v>
      </c>
      <c r="C5359" t="n">
        <v>11</v>
      </c>
      <c r="D5359" t="n">
        <v>5</v>
      </c>
      <c r="E5359" s="10" t="n">
        <v>0.00903</v>
      </c>
      <c r="F5359" s="10" t="n">
        <v>0.2541651009996242</v>
      </c>
      <c r="G5359" s="11">
        <f>E5359*Summary!$B$6</f>
        <v/>
      </c>
      <c r="H5359" s="11">
        <f>F5359*Summary!$B$7</f>
        <v/>
      </c>
      <c r="I5359" s="11">
        <f>MAX(0,N5359-M5359)</f>
        <v/>
      </c>
      <c r="J5359" s="11">
        <f>MAX(0,M5359-N5359)</f>
        <v/>
      </c>
      <c r="K5359" s="11">
        <f>O5359</f>
        <v/>
      </c>
      <c r="L5359" s="11">
        <f>L5358+IF(K5359&gt;0,K5359*Summary!$B$9,K5359/Summary!$B$9)</f>
        <v/>
      </c>
      <c r="M5359" s="11">
        <f>G5359+H5359</f>
        <v/>
      </c>
      <c r="N5359" s="11">
        <f>Summary!$C$16*Summary!$B$8</f>
        <v/>
      </c>
      <c r="O5359" s="11">
        <f>M5359-N5359</f>
        <v/>
      </c>
    </row>
    <row r="5360">
      <c r="A5360" s="9" t="n">
        <v>45515.25</v>
      </c>
      <c r="B5360" t="n">
        <v>8</v>
      </c>
      <c r="C5360" t="n">
        <v>11</v>
      </c>
      <c r="D5360" t="n">
        <v>6</v>
      </c>
      <c r="E5360" s="10" t="n">
        <v>0.07781</v>
      </c>
      <c r="F5360" s="10" t="n">
        <v>0.2313442635226232</v>
      </c>
      <c r="G5360" s="11">
        <f>E5360*Summary!$B$6</f>
        <v/>
      </c>
      <c r="H5360" s="11">
        <f>F5360*Summary!$B$7</f>
        <v/>
      </c>
      <c r="I5360" s="11">
        <f>MAX(0,N5360-M5360)</f>
        <v/>
      </c>
      <c r="J5360" s="11">
        <f>MAX(0,M5360-N5360)</f>
        <v/>
      </c>
      <c r="K5360" s="11">
        <f>O5360</f>
        <v/>
      </c>
      <c r="L5360" s="11">
        <f>L5359+IF(K5360&gt;0,K5360*Summary!$B$9,K5360/Summary!$B$9)</f>
        <v/>
      </c>
      <c r="M5360" s="11">
        <f>G5360+H5360</f>
        <v/>
      </c>
      <c r="N5360" s="11">
        <f>Summary!$C$16*Summary!$B$8</f>
        <v/>
      </c>
      <c r="O5360" s="11">
        <f>M5360-N5360</f>
        <v/>
      </c>
    </row>
    <row r="5361">
      <c r="A5361" s="9" t="n">
        <v>45515.29166666666</v>
      </c>
      <c r="B5361" t="n">
        <v>8</v>
      </c>
      <c r="C5361" t="n">
        <v>11</v>
      </c>
      <c r="D5361" t="n">
        <v>7</v>
      </c>
      <c r="E5361" s="10" t="n">
        <v>0.158955</v>
      </c>
      <c r="F5361" s="10" t="n">
        <v>0.2090504661721119</v>
      </c>
      <c r="G5361" s="11">
        <f>E5361*Summary!$B$6</f>
        <v/>
      </c>
      <c r="H5361" s="11">
        <f>F5361*Summary!$B$7</f>
        <v/>
      </c>
      <c r="I5361" s="11">
        <f>MAX(0,N5361-M5361)</f>
        <v/>
      </c>
      <c r="J5361" s="11">
        <f>MAX(0,M5361-N5361)</f>
        <v/>
      </c>
      <c r="K5361" s="11">
        <f>O5361</f>
        <v/>
      </c>
      <c r="L5361" s="11">
        <f>L5360+IF(K5361&gt;0,K5361*Summary!$B$9,K5361/Summary!$B$9)</f>
        <v/>
      </c>
      <c r="M5361" s="11">
        <f>G5361+H5361</f>
        <v/>
      </c>
      <c r="N5361" s="11">
        <f>Summary!$C$16*Summary!$B$8</f>
        <v/>
      </c>
      <c r="O5361" s="11">
        <f>M5361-N5361</f>
        <v/>
      </c>
    </row>
    <row r="5362">
      <c r="A5362" s="9" t="n">
        <v>45515.33333333334</v>
      </c>
      <c r="B5362" t="n">
        <v>8</v>
      </c>
      <c r="C5362" t="n">
        <v>11</v>
      </c>
      <c r="D5362" t="n">
        <v>8</v>
      </c>
      <c r="E5362" s="10" t="n">
        <v>0.231867</v>
      </c>
      <c r="F5362" s="10" t="n">
        <v>0.197402879376691</v>
      </c>
      <c r="G5362" s="11">
        <f>E5362*Summary!$B$6</f>
        <v/>
      </c>
      <c r="H5362" s="11">
        <f>F5362*Summary!$B$7</f>
        <v/>
      </c>
      <c r="I5362" s="11">
        <f>MAX(0,N5362-M5362)</f>
        <v/>
      </c>
      <c r="J5362" s="11">
        <f>MAX(0,M5362-N5362)</f>
        <v/>
      </c>
      <c r="K5362" s="11">
        <f>O5362</f>
        <v/>
      </c>
      <c r="L5362" s="11">
        <f>L5361+IF(K5362&gt;0,K5362*Summary!$B$9,K5362/Summary!$B$9)</f>
        <v/>
      </c>
      <c r="M5362" s="11">
        <f>G5362+H5362</f>
        <v/>
      </c>
      <c r="N5362" s="11">
        <f>Summary!$C$16*Summary!$B$8</f>
        <v/>
      </c>
      <c r="O5362" s="11">
        <f>M5362-N5362</f>
        <v/>
      </c>
    </row>
    <row r="5363">
      <c r="A5363" s="9" t="n">
        <v>45515.375</v>
      </c>
      <c r="B5363" t="n">
        <v>8</v>
      </c>
      <c r="C5363" t="n">
        <v>11</v>
      </c>
      <c r="D5363" t="n">
        <v>9</v>
      </c>
      <c r="E5363" s="10" t="n">
        <v>0.121983</v>
      </c>
      <c r="F5363" s="10" t="n">
        <v>0.1891019973844794</v>
      </c>
      <c r="G5363" s="11">
        <f>E5363*Summary!$B$6</f>
        <v/>
      </c>
      <c r="H5363" s="11">
        <f>F5363*Summary!$B$7</f>
        <v/>
      </c>
      <c r="I5363" s="11">
        <f>MAX(0,N5363-M5363)</f>
        <v/>
      </c>
      <c r="J5363" s="11">
        <f>MAX(0,M5363-N5363)</f>
        <v/>
      </c>
      <c r="K5363" s="11">
        <f>O5363</f>
        <v/>
      </c>
      <c r="L5363" s="11">
        <f>L5362+IF(K5363&gt;0,K5363*Summary!$B$9,K5363/Summary!$B$9)</f>
        <v/>
      </c>
      <c r="M5363" s="11">
        <f>G5363+H5363</f>
        <v/>
      </c>
      <c r="N5363" s="11">
        <f>Summary!$C$16*Summary!$B$8</f>
        <v/>
      </c>
      <c r="O5363" s="11">
        <f>M5363-N5363</f>
        <v/>
      </c>
    </row>
    <row r="5364">
      <c r="A5364" s="9" t="n">
        <v>45515.41666666666</v>
      </c>
      <c r="B5364" t="n">
        <v>8</v>
      </c>
      <c r="C5364" t="n">
        <v>11</v>
      </c>
      <c r="D5364" t="n">
        <v>10</v>
      </c>
      <c r="E5364" s="10" t="n">
        <v>0.322447</v>
      </c>
      <c r="F5364" s="10" t="n">
        <v>0.2071267697104247</v>
      </c>
      <c r="G5364" s="11">
        <f>E5364*Summary!$B$6</f>
        <v/>
      </c>
      <c r="H5364" s="11">
        <f>F5364*Summary!$B$7</f>
        <v/>
      </c>
      <c r="I5364" s="11">
        <f>MAX(0,N5364-M5364)</f>
        <v/>
      </c>
      <c r="J5364" s="11">
        <f>MAX(0,M5364-N5364)</f>
        <v/>
      </c>
      <c r="K5364" s="11">
        <f>O5364</f>
        <v/>
      </c>
      <c r="L5364" s="11">
        <f>L5363+IF(K5364&gt;0,K5364*Summary!$B$9,K5364/Summary!$B$9)</f>
        <v/>
      </c>
      <c r="M5364" s="11">
        <f>G5364+H5364</f>
        <v/>
      </c>
      <c r="N5364" s="11">
        <f>Summary!$C$16*Summary!$B$8</f>
        <v/>
      </c>
      <c r="O5364" s="11">
        <f>M5364-N5364</f>
        <v/>
      </c>
    </row>
    <row r="5365">
      <c r="A5365" s="9" t="n">
        <v>45515.45833333334</v>
      </c>
      <c r="B5365" t="n">
        <v>8</v>
      </c>
      <c r="C5365" t="n">
        <v>11</v>
      </c>
      <c r="D5365" t="n">
        <v>11</v>
      </c>
      <c r="E5365" s="10" t="n">
        <v>0.64842</v>
      </c>
      <c r="F5365" s="10" t="n">
        <v>0.1954001268960305</v>
      </c>
      <c r="G5365" s="11">
        <f>E5365*Summary!$B$6</f>
        <v/>
      </c>
      <c r="H5365" s="11">
        <f>F5365*Summary!$B$7</f>
        <v/>
      </c>
      <c r="I5365" s="11">
        <f>MAX(0,N5365-M5365)</f>
        <v/>
      </c>
      <c r="J5365" s="11">
        <f>MAX(0,M5365-N5365)</f>
        <v/>
      </c>
      <c r="K5365" s="11">
        <f>O5365</f>
        <v/>
      </c>
      <c r="L5365" s="11">
        <f>L5364+IF(K5365&gt;0,K5365*Summary!$B$9,K5365/Summary!$B$9)</f>
        <v/>
      </c>
      <c r="M5365" s="11">
        <f>G5365+H5365</f>
        <v/>
      </c>
      <c r="N5365" s="11">
        <f>Summary!$C$16*Summary!$B$8</f>
        <v/>
      </c>
      <c r="O5365" s="11">
        <f>M5365-N5365</f>
        <v/>
      </c>
    </row>
    <row r="5366">
      <c r="A5366" s="9" t="n">
        <v>45515.5</v>
      </c>
      <c r="B5366" t="n">
        <v>8</v>
      </c>
      <c r="C5366" t="n">
        <v>11</v>
      </c>
      <c r="D5366" t="n">
        <v>12</v>
      </c>
      <c r="E5366" s="10" t="n">
        <v>0.595451</v>
      </c>
      <c r="F5366" s="10" t="n">
        <v>0.2200392528094207</v>
      </c>
      <c r="G5366" s="11">
        <f>E5366*Summary!$B$6</f>
        <v/>
      </c>
      <c r="H5366" s="11">
        <f>F5366*Summary!$B$7</f>
        <v/>
      </c>
      <c r="I5366" s="11">
        <f>MAX(0,N5366-M5366)</f>
        <v/>
      </c>
      <c r="J5366" s="11">
        <f>MAX(0,M5366-N5366)</f>
        <v/>
      </c>
      <c r="K5366" s="11">
        <f>O5366</f>
        <v/>
      </c>
      <c r="L5366" s="11">
        <f>L5365+IF(K5366&gt;0,K5366*Summary!$B$9,K5366/Summary!$B$9)</f>
        <v/>
      </c>
      <c r="M5366" s="11">
        <f>G5366+H5366</f>
        <v/>
      </c>
      <c r="N5366" s="11">
        <f>Summary!$C$16*Summary!$B$8</f>
        <v/>
      </c>
      <c r="O5366" s="11">
        <f>M5366-N5366</f>
        <v/>
      </c>
    </row>
    <row r="5367">
      <c r="A5367" s="9" t="n">
        <v>45515.54166666666</v>
      </c>
      <c r="B5367" t="n">
        <v>8</v>
      </c>
      <c r="C5367" t="n">
        <v>11</v>
      </c>
      <c r="D5367" t="n">
        <v>13</v>
      </c>
      <c r="E5367" s="10" t="n">
        <v>0.673096</v>
      </c>
      <c r="F5367" s="10" t="n">
        <v>0.2146897955255509</v>
      </c>
      <c r="G5367" s="11">
        <f>E5367*Summary!$B$6</f>
        <v/>
      </c>
      <c r="H5367" s="11">
        <f>F5367*Summary!$B$7</f>
        <v/>
      </c>
      <c r="I5367" s="11">
        <f>MAX(0,N5367-M5367)</f>
        <v/>
      </c>
      <c r="J5367" s="11">
        <f>MAX(0,M5367-N5367)</f>
        <v/>
      </c>
      <c r="K5367" s="11">
        <f>O5367</f>
        <v/>
      </c>
      <c r="L5367" s="11">
        <f>L5366+IF(K5367&gt;0,K5367*Summary!$B$9,K5367/Summary!$B$9)</f>
        <v/>
      </c>
      <c r="M5367" s="11">
        <f>G5367+H5367</f>
        <v/>
      </c>
      <c r="N5367" s="11">
        <f>Summary!$C$16*Summary!$B$8</f>
        <v/>
      </c>
      <c r="O5367" s="11">
        <f>M5367-N5367</f>
        <v/>
      </c>
    </row>
    <row r="5368">
      <c r="A5368" s="9" t="n">
        <v>45515.58333333334</v>
      </c>
      <c r="B5368" t="n">
        <v>8</v>
      </c>
      <c r="C5368" t="n">
        <v>11</v>
      </c>
      <c r="D5368" t="n">
        <v>14</v>
      </c>
      <c r="E5368" s="10" t="n">
        <v>0.662458</v>
      </c>
      <c r="F5368" s="10" t="n">
        <v>0.2276813346435203</v>
      </c>
      <c r="G5368" s="11">
        <f>E5368*Summary!$B$6</f>
        <v/>
      </c>
      <c r="H5368" s="11">
        <f>F5368*Summary!$B$7</f>
        <v/>
      </c>
      <c r="I5368" s="11">
        <f>MAX(0,N5368-M5368)</f>
        <v/>
      </c>
      <c r="J5368" s="11">
        <f>MAX(0,M5368-N5368)</f>
        <v/>
      </c>
      <c r="K5368" s="11">
        <f>O5368</f>
        <v/>
      </c>
      <c r="L5368" s="11">
        <f>L5367+IF(K5368&gt;0,K5368*Summary!$B$9,K5368/Summary!$B$9)</f>
        <v/>
      </c>
      <c r="M5368" s="11">
        <f>G5368+H5368</f>
        <v/>
      </c>
      <c r="N5368" s="11">
        <f>Summary!$C$16*Summary!$B$8</f>
        <v/>
      </c>
      <c r="O5368" s="11">
        <f>M5368-N5368</f>
        <v/>
      </c>
    </row>
    <row r="5369">
      <c r="A5369" s="9" t="n">
        <v>45515.625</v>
      </c>
      <c r="B5369" t="n">
        <v>8</v>
      </c>
      <c r="C5369" t="n">
        <v>11</v>
      </c>
      <c r="D5369" t="n">
        <v>15</v>
      </c>
      <c r="E5369" s="10" t="n">
        <v>0.535787</v>
      </c>
      <c r="F5369" s="10" t="n">
        <v>0.2420431780903627</v>
      </c>
      <c r="G5369" s="11">
        <f>E5369*Summary!$B$6</f>
        <v/>
      </c>
      <c r="H5369" s="11">
        <f>F5369*Summary!$B$7</f>
        <v/>
      </c>
      <c r="I5369" s="11">
        <f>MAX(0,N5369-M5369)</f>
        <v/>
      </c>
      <c r="J5369" s="11">
        <f>MAX(0,M5369-N5369)</f>
        <v/>
      </c>
      <c r="K5369" s="11">
        <f>O5369</f>
        <v/>
      </c>
      <c r="L5369" s="11">
        <f>L5368+IF(K5369&gt;0,K5369*Summary!$B$9,K5369/Summary!$B$9)</f>
        <v/>
      </c>
      <c r="M5369" s="11">
        <f>G5369+H5369</f>
        <v/>
      </c>
      <c r="N5369" s="11">
        <f>Summary!$C$16*Summary!$B$8</f>
        <v/>
      </c>
      <c r="O5369" s="11">
        <f>M5369-N5369</f>
        <v/>
      </c>
    </row>
    <row r="5370">
      <c r="A5370" s="9" t="n">
        <v>45515.66666666666</v>
      </c>
      <c r="B5370" t="n">
        <v>8</v>
      </c>
      <c r="C5370" t="n">
        <v>11</v>
      </c>
      <c r="D5370" t="n">
        <v>16</v>
      </c>
      <c r="E5370" s="10" t="n">
        <v>0.22363</v>
      </c>
      <c r="F5370" s="10" t="n">
        <v>0.2434661864318848</v>
      </c>
      <c r="G5370" s="11">
        <f>E5370*Summary!$B$6</f>
        <v/>
      </c>
      <c r="H5370" s="11">
        <f>F5370*Summary!$B$7</f>
        <v/>
      </c>
      <c r="I5370" s="11">
        <f>MAX(0,N5370-M5370)</f>
        <v/>
      </c>
      <c r="J5370" s="11">
        <f>MAX(0,M5370-N5370)</f>
        <v/>
      </c>
      <c r="K5370" s="11">
        <f>O5370</f>
        <v/>
      </c>
      <c r="L5370" s="11">
        <f>L5369+IF(K5370&gt;0,K5370*Summary!$B$9,K5370/Summary!$B$9)</f>
        <v/>
      </c>
      <c r="M5370" s="11">
        <f>G5370+H5370</f>
        <v/>
      </c>
      <c r="N5370" s="11">
        <f>Summary!$C$16*Summary!$B$8</f>
        <v/>
      </c>
      <c r="O5370" s="11">
        <f>M5370-N5370</f>
        <v/>
      </c>
    </row>
    <row r="5371">
      <c r="A5371" s="9" t="n">
        <v>45515.70833333334</v>
      </c>
      <c r="B5371" t="n">
        <v>8</v>
      </c>
      <c r="C5371" t="n">
        <v>11</v>
      </c>
      <c r="D5371" t="n">
        <v>17</v>
      </c>
      <c r="E5371" s="10" t="n">
        <v>0.025989</v>
      </c>
      <c r="F5371" s="10" t="n">
        <v>0.2374579289899029</v>
      </c>
      <c r="G5371" s="11">
        <f>E5371*Summary!$B$6</f>
        <v/>
      </c>
      <c r="H5371" s="11">
        <f>F5371*Summary!$B$7</f>
        <v/>
      </c>
      <c r="I5371" s="11">
        <f>MAX(0,N5371-M5371)</f>
        <v/>
      </c>
      <c r="J5371" s="11">
        <f>MAX(0,M5371-N5371)</f>
        <v/>
      </c>
      <c r="K5371" s="11">
        <f>O5371</f>
        <v/>
      </c>
      <c r="L5371" s="11">
        <f>L5370+IF(K5371&gt;0,K5371*Summary!$B$9,K5371/Summary!$B$9)</f>
        <v/>
      </c>
      <c r="M5371" s="11">
        <f>G5371+H5371</f>
        <v/>
      </c>
      <c r="N5371" s="11">
        <f>Summary!$C$16*Summary!$B$8</f>
        <v/>
      </c>
      <c r="O5371" s="11">
        <f>M5371-N5371</f>
        <v/>
      </c>
    </row>
    <row r="5372">
      <c r="A5372" s="9" t="n">
        <v>45515.75</v>
      </c>
      <c r="B5372" t="n">
        <v>8</v>
      </c>
      <c r="C5372" t="n">
        <v>11</v>
      </c>
      <c r="D5372" t="n">
        <v>18</v>
      </c>
      <c r="E5372" s="10" t="n">
        <v>0.018525</v>
      </c>
      <c r="F5372" s="10" t="n">
        <v>0.2475770994185038</v>
      </c>
      <c r="G5372" s="11">
        <f>E5372*Summary!$B$6</f>
        <v/>
      </c>
      <c r="H5372" s="11">
        <f>F5372*Summary!$B$7</f>
        <v/>
      </c>
      <c r="I5372" s="11">
        <f>MAX(0,N5372-M5372)</f>
        <v/>
      </c>
      <c r="J5372" s="11">
        <f>MAX(0,M5372-N5372)</f>
        <v/>
      </c>
      <c r="K5372" s="11">
        <f>O5372</f>
        <v/>
      </c>
      <c r="L5372" s="11">
        <f>L5371+IF(K5372&gt;0,K5372*Summary!$B$9,K5372/Summary!$B$9)</f>
        <v/>
      </c>
      <c r="M5372" s="11">
        <f>G5372+H5372</f>
        <v/>
      </c>
      <c r="N5372" s="11">
        <f>Summary!$C$16*Summary!$B$8</f>
        <v/>
      </c>
      <c r="O5372" s="11">
        <f>M5372-N5372</f>
        <v/>
      </c>
    </row>
    <row r="5373">
      <c r="A5373" s="9" t="n">
        <v>45515.79166666666</v>
      </c>
      <c r="B5373" t="n">
        <v>8</v>
      </c>
      <c r="C5373" t="n">
        <v>11</v>
      </c>
      <c r="D5373" t="n">
        <v>19</v>
      </c>
      <c r="E5373" s="10" t="n">
        <v>0.005037</v>
      </c>
      <c r="F5373" s="10" t="n">
        <v>0.2514244923418781</v>
      </c>
      <c r="G5373" s="11">
        <f>E5373*Summary!$B$6</f>
        <v/>
      </c>
      <c r="H5373" s="11">
        <f>F5373*Summary!$B$7</f>
        <v/>
      </c>
      <c r="I5373" s="11">
        <f>MAX(0,N5373-M5373)</f>
        <v/>
      </c>
      <c r="J5373" s="11">
        <f>MAX(0,M5373-N5373)</f>
        <v/>
      </c>
      <c r="K5373" s="11">
        <f>O5373</f>
        <v/>
      </c>
      <c r="L5373" s="11">
        <f>L5372+IF(K5373&gt;0,K5373*Summary!$B$9,K5373/Summary!$B$9)</f>
        <v/>
      </c>
      <c r="M5373" s="11">
        <f>G5373+H5373</f>
        <v/>
      </c>
      <c r="N5373" s="11">
        <f>Summary!$C$16*Summary!$B$8</f>
        <v/>
      </c>
      <c r="O5373" s="11">
        <f>M5373-N5373</f>
        <v/>
      </c>
    </row>
    <row r="5374">
      <c r="A5374" s="9" t="n">
        <v>45515.83333333334</v>
      </c>
      <c r="B5374" t="n">
        <v>8</v>
      </c>
      <c r="C5374" t="n">
        <v>11</v>
      </c>
      <c r="D5374" t="n">
        <v>20</v>
      </c>
      <c r="E5374" s="10" t="n">
        <v>0</v>
      </c>
      <c r="F5374" s="10" t="n">
        <v>0.2540069889616773</v>
      </c>
      <c r="G5374" s="11">
        <f>E5374*Summary!$B$6</f>
        <v/>
      </c>
      <c r="H5374" s="11">
        <f>F5374*Summary!$B$7</f>
        <v/>
      </c>
      <c r="I5374" s="11">
        <f>MAX(0,N5374-M5374)</f>
        <v/>
      </c>
      <c r="J5374" s="11">
        <f>MAX(0,M5374-N5374)</f>
        <v/>
      </c>
      <c r="K5374" s="11">
        <f>O5374</f>
        <v/>
      </c>
      <c r="L5374" s="11">
        <f>L5373+IF(K5374&gt;0,K5374*Summary!$B$9,K5374/Summary!$B$9)</f>
        <v/>
      </c>
      <c r="M5374" s="11">
        <f>G5374+H5374</f>
        <v/>
      </c>
      <c r="N5374" s="11">
        <f>Summary!$C$16*Summary!$B$8</f>
        <v/>
      </c>
      <c r="O5374" s="11">
        <f>M5374-N5374</f>
        <v/>
      </c>
    </row>
    <row r="5375">
      <c r="A5375" s="9" t="n">
        <v>45515.875</v>
      </c>
      <c r="B5375" t="n">
        <v>8</v>
      </c>
      <c r="C5375" t="n">
        <v>11</v>
      </c>
      <c r="D5375" t="n">
        <v>21</v>
      </c>
      <c r="E5375" s="10" t="n">
        <v>0</v>
      </c>
      <c r="F5375" s="10" t="n">
        <v>0.2721371693129206</v>
      </c>
      <c r="G5375" s="11">
        <f>E5375*Summary!$B$6</f>
        <v/>
      </c>
      <c r="H5375" s="11">
        <f>F5375*Summary!$B$7</f>
        <v/>
      </c>
      <c r="I5375" s="11">
        <f>MAX(0,N5375-M5375)</f>
        <v/>
      </c>
      <c r="J5375" s="11">
        <f>MAX(0,M5375-N5375)</f>
        <v/>
      </c>
      <c r="K5375" s="11">
        <f>O5375</f>
        <v/>
      </c>
      <c r="L5375" s="11">
        <f>L5374+IF(K5375&gt;0,K5375*Summary!$B$9,K5375/Summary!$B$9)</f>
        <v/>
      </c>
      <c r="M5375" s="11">
        <f>G5375+H5375</f>
        <v/>
      </c>
      <c r="N5375" s="11">
        <f>Summary!$C$16*Summary!$B$8</f>
        <v/>
      </c>
      <c r="O5375" s="11">
        <f>M5375-N5375</f>
        <v/>
      </c>
    </row>
    <row r="5376">
      <c r="A5376" s="9" t="n">
        <v>45515.91666666666</v>
      </c>
      <c r="B5376" t="n">
        <v>8</v>
      </c>
      <c r="C5376" t="n">
        <v>11</v>
      </c>
      <c r="D5376" t="n">
        <v>22</v>
      </c>
      <c r="E5376" s="10" t="n">
        <v>0</v>
      </c>
      <c r="F5376" s="10" t="n">
        <v>0.2823353957604949</v>
      </c>
      <c r="G5376" s="11">
        <f>E5376*Summary!$B$6</f>
        <v/>
      </c>
      <c r="H5376" s="11">
        <f>F5376*Summary!$B$7</f>
        <v/>
      </c>
      <c r="I5376" s="11">
        <f>MAX(0,N5376-M5376)</f>
        <v/>
      </c>
      <c r="J5376" s="11">
        <f>MAX(0,M5376-N5376)</f>
        <v/>
      </c>
      <c r="K5376" s="11">
        <f>O5376</f>
        <v/>
      </c>
      <c r="L5376" s="11">
        <f>L5375+IF(K5376&gt;0,K5376*Summary!$B$9,K5376/Summary!$B$9)</f>
        <v/>
      </c>
      <c r="M5376" s="11">
        <f>G5376+H5376</f>
        <v/>
      </c>
      <c r="N5376" s="11">
        <f>Summary!$C$16*Summary!$B$8</f>
        <v/>
      </c>
      <c r="O5376" s="11">
        <f>M5376-N5376</f>
        <v/>
      </c>
    </row>
    <row r="5377">
      <c r="A5377" s="9" t="n">
        <v>45515.95833333334</v>
      </c>
      <c r="B5377" t="n">
        <v>8</v>
      </c>
      <c r="C5377" t="n">
        <v>11</v>
      </c>
      <c r="D5377" t="n">
        <v>23</v>
      </c>
      <c r="E5377" s="10" t="n">
        <v>0</v>
      </c>
      <c r="F5377" s="10" t="n">
        <v>0.3208883810132114</v>
      </c>
      <c r="G5377" s="11">
        <f>E5377*Summary!$B$6</f>
        <v/>
      </c>
      <c r="H5377" s="11">
        <f>F5377*Summary!$B$7</f>
        <v/>
      </c>
      <c r="I5377" s="11">
        <f>MAX(0,N5377-M5377)</f>
        <v/>
      </c>
      <c r="J5377" s="11">
        <f>MAX(0,M5377-N5377)</f>
        <v/>
      </c>
      <c r="K5377" s="11">
        <f>O5377</f>
        <v/>
      </c>
      <c r="L5377" s="11">
        <f>L5376+IF(K5377&gt;0,K5377*Summary!$B$9,K5377/Summary!$B$9)</f>
        <v/>
      </c>
      <c r="M5377" s="11">
        <f>G5377+H5377</f>
        <v/>
      </c>
      <c r="N5377" s="11">
        <f>Summary!$C$16*Summary!$B$8</f>
        <v/>
      </c>
      <c r="O5377" s="11">
        <f>M5377-N5377</f>
        <v/>
      </c>
    </row>
    <row r="5378">
      <c r="A5378" s="9" t="n">
        <v>45516</v>
      </c>
      <c r="B5378" t="n">
        <v>8</v>
      </c>
      <c r="C5378" t="n">
        <v>12</v>
      </c>
      <c r="D5378" t="n">
        <v>0</v>
      </c>
      <c r="E5378" s="10" t="n">
        <v>0</v>
      </c>
      <c r="F5378" s="10" t="n">
        <v>0.2128188030765127</v>
      </c>
      <c r="G5378" s="11">
        <f>E5378*Summary!$B$6</f>
        <v/>
      </c>
      <c r="H5378" s="11">
        <f>F5378*Summary!$B$7</f>
        <v/>
      </c>
      <c r="I5378" s="11">
        <f>MAX(0,N5378-M5378)</f>
        <v/>
      </c>
      <c r="J5378" s="11">
        <f>MAX(0,M5378-N5378)</f>
        <v/>
      </c>
      <c r="K5378" s="11">
        <f>O5378</f>
        <v/>
      </c>
      <c r="L5378" s="11">
        <f>L5377+IF(K5378&gt;0,K5378*Summary!$B$9,K5378/Summary!$B$9)</f>
        <v/>
      </c>
      <c r="M5378" s="11">
        <f>G5378+H5378</f>
        <v/>
      </c>
      <c r="N5378" s="11">
        <f>Summary!$C$16*Summary!$B$8</f>
        <v/>
      </c>
      <c r="O5378" s="11">
        <f>M5378-N5378</f>
        <v/>
      </c>
    </row>
    <row r="5379">
      <c r="A5379" s="9" t="n">
        <v>45516.04166666666</v>
      </c>
      <c r="B5379" t="n">
        <v>8</v>
      </c>
      <c r="C5379" t="n">
        <v>12</v>
      </c>
      <c r="D5379" t="n">
        <v>1</v>
      </c>
      <c r="E5379" s="10" t="n">
        <v>0</v>
      </c>
      <c r="F5379" s="10" t="n">
        <v>0.2780927227422534</v>
      </c>
      <c r="G5379" s="11">
        <f>E5379*Summary!$B$6</f>
        <v/>
      </c>
      <c r="H5379" s="11">
        <f>F5379*Summary!$B$7</f>
        <v/>
      </c>
      <c r="I5379" s="11">
        <f>MAX(0,N5379-M5379)</f>
        <v/>
      </c>
      <c r="J5379" s="11">
        <f>MAX(0,M5379-N5379)</f>
        <v/>
      </c>
      <c r="K5379" s="11">
        <f>O5379</f>
        <v/>
      </c>
      <c r="L5379" s="11">
        <f>L5378+IF(K5379&gt;0,K5379*Summary!$B$9,K5379/Summary!$B$9)</f>
        <v/>
      </c>
      <c r="M5379" s="11">
        <f>G5379+H5379</f>
        <v/>
      </c>
      <c r="N5379" s="11">
        <f>Summary!$C$16*Summary!$B$8</f>
        <v/>
      </c>
      <c r="O5379" s="11">
        <f>M5379-N5379</f>
        <v/>
      </c>
    </row>
    <row r="5380">
      <c r="A5380" s="9" t="n">
        <v>45516.08333333334</v>
      </c>
      <c r="B5380" t="n">
        <v>8</v>
      </c>
      <c r="C5380" t="n">
        <v>12</v>
      </c>
      <c r="D5380" t="n">
        <v>2</v>
      </c>
      <c r="E5380" s="10" t="n">
        <v>0</v>
      </c>
      <c r="F5380" s="10" t="n">
        <v>0.2559306854233645</v>
      </c>
      <c r="G5380" s="11">
        <f>E5380*Summary!$B$6</f>
        <v/>
      </c>
      <c r="H5380" s="11">
        <f>F5380*Summary!$B$7</f>
        <v/>
      </c>
      <c r="I5380" s="11">
        <f>MAX(0,N5380-M5380)</f>
        <v/>
      </c>
      <c r="J5380" s="11">
        <f>MAX(0,M5380-N5380)</f>
        <v/>
      </c>
      <c r="K5380" s="11">
        <f>O5380</f>
        <v/>
      </c>
      <c r="L5380" s="11">
        <f>L5379+IF(K5380&gt;0,K5380*Summary!$B$9,K5380/Summary!$B$9)</f>
        <v/>
      </c>
      <c r="M5380" s="11">
        <f>G5380+H5380</f>
        <v/>
      </c>
      <c r="N5380" s="11">
        <f>Summary!$C$16*Summary!$B$8</f>
        <v/>
      </c>
      <c r="O5380" s="11">
        <f>M5380-N5380</f>
        <v/>
      </c>
    </row>
    <row r="5381">
      <c r="A5381" s="9" t="n">
        <v>45516.125</v>
      </c>
      <c r="B5381" t="n">
        <v>8</v>
      </c>
      <c r="C5381" t="n">
        <v>12</v>
      </c>
      <c r="D5381" t="n">
        <v>3</v>
      </c>
      <c r="E5381" s="10" t="n">
        <v>0</v>
      </c>
      <c r="F5381" s="10" t="n">
        <v>0.2506339321521437</v>
      </c>
      <c r="G5381" s="11">
        <f>E5381*Summary!$B$6</f>
        <v/>
      </c>
      <c r="H5381" s="11">
        <f>F5381*Summary!$B$7</f>
        <v/>
      </c>
      <c r="I5381" s="11">
        <f>MAX(0,N5381-M5381)</f>
        <v/>
      </c>
      <c r="J5381" s="11">
        <f>MAX(0,M5381-N5381)</f>
        <v/>
      </c>
      <c r="K5381" s="11">
        <f>O5381</f>
        <v/>
      </c>
      <c r="L5381" s="11">
        <f>L5380+IF(K5381&gt;0,K5381*Summary!$B$9,K5381/Summary!$B$9)</f>
        <v/>
      </c>
      <c r="M5381" s="11">
        <f>G5381+H5381</f>
        <v/>
      </c>
      <c r="N5381" s="11">
        <f>Summary!$C$16*Summary!$B$8</f>
        <v/>
      </c>
      <c r="O5381" s="11">
        <f>M5381-N5381</f>
        <v/>
      </c>
    </row>
    <row r="5382">
      <c r="A5382" s="9" t="n">
        <v>45516.16666666666</v>
      </c>
      <c r="B5382" t="n">
        <v>8</v>
      </c>
      <c r="C5382" t="n">
        <v>12</v>
      </c>
      <c r="D5382" t="n">
        <v>4</v>
      </c>
      <c r="E5382" s="10" t="n">
        <v>0</v>
      </c>
      <c r="F5382" s="10" t="n">
        <v>0.2410418018500325</v>
      </c>
      <c r="G5382" s="11">
        <f>E5382*Summary!$B$6</f>
        <v/>
      </c>
      <c r="H5382" s="11">
        <f>F5382*Summary!$B$7</f>
        <v/>
      </c>
      <c r="I5382" s="11">
        <f>MAX(0,N5382-M5382)</f>
        <v/>
      </c>
      <c r="J5382" s="11">
        <f>MAX(0,M5382-N5382)</f>
        <v/>
      </c>
      <c r="K5382" s="11">
        <f>O5382</f>
        <v/>
      </c>
      <c r="L5382" s="11">
        <f>L5381+IF(K5382&gt;0,K5382*Summary!$B$9,K5382/Summary!$B$9)</f>
        <v/>
      </c>
      <c r="M5382" s="11">
        <f>G5382+H5382</f>
        <v/>
      </c>
      <c r="N5382" s="11">
        <f>Summary!$C$16*Summary!$B$8</f>
        <v/>
      </c>
      <c r="O5382" s="11">
        <f>M5382-N5382</f>
        <v/>
      </c>
    </row>
    <row r="5383">
      <c r="A5383" s="9" t="n">
        <v>45516.20833333334</v>
      </c>
      <c r="B5383" t="n">
        <v>8</v>
      </c>
      <c r="C5383" t="n">
        <v>12</v>
      </c>
      <c r="D5383" t="n">
        <v>5</v>
      </c>
      <c r="E5383" s="10" t="n">
        <v>0.005569</v>
      </c>
      <c r="F5383" s="10" t="n">
        <v>0.2266272543905411</v>
      </c>
      <c r="G5383" s="11">
        <f>E5383*Summary!$B$6</f>
        <v/>
      </c>
      <c r="H5383" s="11">
        <f>F5383*Summary!$B$7</f>
        <v/>
      </c>
      <c r="I5383" s="11">
        <f>MAX(0,N5383-M5383)</f>
        <v/>
      </c>
      <c r="J5383" s="11">
        <f>MAX(0,M5383-N5383)</f>
        <v/>
      </c>
      <c r="K5383" s="11">
        <f>O5383</f>
        <v/>
      </c>
      <c r="L5383" s="11">
        <f>L5382+IF(K5383&gt;0,K5383*Summary!$B$9,K5383/Summary!$B$9)</f>
        <v/>
      </c>
      <c r="M5383" s="11">
        <f>G5383+H5383</f>
        <v/>
      </c>
      <c r="N5383" s="11">
        <f>Summary!$C$16*Summary!$B$8</f>
        <v/>
      </c>
      <c r="O5383" s="11">
        <f>M5383-N5383</f>
        <v/>
      </c>
    </row>
    <row r="5384">
      <c r="A5384" s="9" t="n">
        <v>45516.25</v>
      </c>
      <c r="B5384" t="n">
        <v>8</v>
      </c>
      <c r="C5384" t="n">
        <v>12</v>
      </c>
      <c r="D5384" t="n">
        <v>6</v>
      </c>
      <c r="E5384" s="10" t="n">
        <v>0.034507</v>
      </c>
      <c r="F5384" s="10" t="n">
        <v>0.2083916660139998</v>
      </c>
      <c r="G5384" s="11">
        <f>E5384*Summary!$B$6</f>
        <v/>
      </c>
      <c r="H5384" s="11">
        <f>F5384*Summary!$B$7</f>
        <v/>
      </c>
      <c r="I5384" s="11">
        <f>MAX(0,N5384-M5384)</f>
        <v/>
      </c>
      <c r="J5384" s="11">
        <f>MAX(0,M5384-N5384)</f>
        <v/>
      </c>
      <c r="K5384" s="11">
        <f>O5384</f>
        <v/>
      </c>
      <c r="L5384" s="11">
        <f>L5383+IF(K5384&gt;0,K5384*Summary!$B$9,K5384/Summary!$B$9)</f>
        <v/>
      </c>
      <c r="M5384" s="11">
        <f>G5384+H5384</f>
        <v/>
      </c>
      <c r="N5384" s="11">
        <f>Summary!$C$16*Summary!$B$8</f>
        <v/>
      </c>
      <c r="O5384" s="11">
        <f>M5384-N5384</f>
        <v/>
      </c>
    </row>
    <row r="5385">
      <c r="A5385" s="9" t="n">
        <v>45516.29166666666</v>
      </c>
      <c r="B5385" t="n">
        <v>8</v>
      </c>
      <c r="C5385" t="n">
        <v>12</v>
      </c>
      <c r="D5385" t="n">
        <v>7</v>
      </c>
      <c r="E5385" s="10" t="n">
        <v>0.073888</v>
      </c>
      <c r="F5385" s="10" t="n">
        <v>0.1878634530872287</v>
      </c>
      <c r="G5385" s="11">
        <f>E5385*Summary!$B$6</f>
        <v/>
      </c>
      <c r="H5385" s="11">
        <f>F5385*Summary!$B$7</f>
        <v/>
      </c>
      <c r="I5385" s="11">
        <f>MAX(0,N5385-M5385)</f>
        <v/>
      </c>
      <c r="J5385" s="11">
        <f>MAX(0,M5385-N5385)</f>
        <v/>
      </c>
      <c r="K5385" s="11">
        <f>O5385</f>
        <v/>
      </c>
      <c r="L5385" s="11">
        <f>L5384+IF(K5385&gt;0,K5385*Summary!$B$9,K5385/Summary!$B$9)</f>
        <v/>
      </c>
      <c r="M5385" s="11">
        <f>G5385+H5385</f>
        <v/>
      </c>
      <c r="N5385" s="11">
        <f>Summary!$C$16*Summary!$B$8</f>
        <v/>
      </c>
      <c r="O5385" s="11">
        <f>M5385-N5385</f>
        <v/>
      </c>
    </row>
    <row r="5386">
      <c r="A5386" s="9" t="n">
        <v>45516.33333333334</v>
      </c>
      <c r="B5386" t="n">
        <v>8</v>
      </c>
      <c r="C5386" t="n">
        <v>12</v>
      </c>
      <c r="D5386" t="n">
        <v>8</v>
      </c>
      <c r="E5386" s="10" t="n">
        <v>0.14971</v>
      </c>
      <c r="F5386" s="10" t="n">
        <v>0.1788774189305805</v>
      </c>
      <c r="G5386" s="11">
        <f>E5386*Summary!$B$6</f>
        <v/>
      </c>
      <c r="H5386" s="11">
        <f>F5386*Summary!$B$7</f>
        <v/>
      </c>
      <c r="I5386" s="11">
        <f>MAX(0,N5386-M5386)</f>
        <v/>
      </c>
      <c r="J5386" s="11">
        <f>MAX(0,M5386-N5386)</f>
        <v/>
      </c>
      <c r="K5386" s="11">
        <f>O5386</f>
        <v/>
      </c>
      <c r="L5386" s="11">
        <f>L5385+IF(K5386&gt;0,K5386*Summary!$B$9,K5386/Summary!$B$9)</f>
        <v/>
      </c>
      <c r="M5386" s="11">
        <f>G5386+H5386</f>
        <v/>
      </c>
      <c r="N5386" s="11">
        <f>Summary!$C$16*Summary!$B$8</f>
        <v/>
      </c>
      <c r="O5386" s="11">
        <f>M5386-N5386</f>
        <v/>
      </c>
    </row>
    <row r="5387">
      <c r="A5387" s="9" t="n">
        <v>45516.375</v>
      </c>
      <c r="B5387" t="n">
        <v>8</v>
      </c>
      <c r="C5387" t="n">
        <v>12</v>
      </c>
      <c r="D5387" t="n">
        <v>9</v>
      </c>
      <c r="E5387" s="10" t="n">
        <v>0.155382</v>
      </c>
      <c r="F5387" s="10" t="n">
        <v>0.1798524431645864</v>
      </c>
      <c r="G5387" s="11">
        <f>E5387*Summary!$B$6</f>
        <v/>
      </c>
      <c r="H5387" s="11">
        <f>F5387*Summary!$B$7</f>
        <v/>
      </c>
      <c r="I5387" s="11">
        <f>MAX(0,N5387-M5387)</f>
        <v/>
      </c>
      <c r="J5387" s="11">
        <f>MAX(0,M5387-N5387)</f>
        <v/>
      </c>
      <c r="K5387" s="11">
        <f>O5387</f>
        <v/>
      </c>
      <c r="L5387" s="11">
        <f>L5386+IF(K5387&gt;0,K5387*Summary!$B$9,K5387/Summary!$B$9)</f>
        <v/>
      </c>
      <c r="M5387" s="11">
        <f>G5387+H5387</f>
        <v/>
      </c>
      <c r="N5387" s="11">
        <f>Summary!$C$16*Summary!$B$8</f>
        <v/>
      </c>
      <c r="O5387" s="11">
        <f>M5387-N5387</f>
        <v/>
      </c>
    </row>
    <row r="5388">
      <c r="A5388" s="9" t="n">
        <v>45516.41666666666</v>
      </c>
      <c r="B5388" t="n">
        <v>8</v>
      </c>
      <c r="C5388" t="n">
        <v>12</v>
      </c>
      <c r="D5388" t="n">
        <v>10</v>
      </c>
      <c r="E5388" s="10" t="n">
        <v>0.160069</v>
      </c>
      <c r="F5388" s="10" t="n">
        <v>0.1650162636039033</v>
      </c>
      <c r="G5388" s="11">
        <f>E5388*Summary!$B$6</f>
        <v/>
      </c>
      <c r="H5388" s="11">
        <f>F5388*Summary!$B$7</f>
        <v/>
      </c>
      <c r="I5388" s="11">
        <f>MAX(0,N5388-M5388)</f>
        <v/>
      </c>
      <c r="J5388" s="11">
        <f>MAX(0,M5388-N5388)</f>
        <v/>
      </c>
      <c r="K5388" s="11">
        <f>O5388</f>
        <v/>
      </c>
      <c r="L5388" s="11">
        <f>L5387+IF(K5388&gt;0,K5388*Summary!$B$9,K5388/Summary!$B$9)</f>
        <v/>
      </c>
      <c r="M5388" s="11">
        <f>G5388+H5388</f>
        <v/>
      </c>
      <c r="N5388" s="11">
        <f>Summary!$C$16*Summary!$B$8</f>
        <v/>
      </c>
      <c r="O5388" s="11">
        <f>M5388-N5388</f>
        <v/>
      </c>
    </row>
    <row r="5389">
      <c r="A5389" s="9" t="n">
        <v>45516.45833333334</v>
      </c>
      <c r="B5389" t="n">
        <v>8</v>
      </c>
      <c r="C5389" t="n">
        <v>12</v>
      </c>
      <c r="D5389" t="n">
        <v>11</v>
      </c>
      <c r="E5389" s="10" t="n">
        <v>0.182587</v>
      </c>
      <c r="F5389" s="10" t="n">
        <v>0.1854390685053764</v>
      </c>
      <c r="G5389" s="11">
        <f>E5389*Summary!$B$6</f>
        <v/>
      </c>
      <c r="H5389" s="11">
        <f>F5389*Summary!$B$7</f>
        <v/>
      </c>
      <c r="I5389" s="11">
        <f>MAX(0,N5389-M5389)</f>
        <v/>
      </c>
      <c r="J5389" s="11">
        <f>MAX(0,M5389-N5389)</f>
        <v/>
      </c>
      <c r="K5389" s="11">
        <f>O5389</f>
        <v/>
      </c>
      <c r="L5389" s="11">
        <f>L5388+IF(K5389&gt;0,K5389*Summary!$B$9,K5389/Summary!$B$9)</f>
        <v/>
      </c>
      <c r="M5389" s="11">
        <f>G5389+H5389</f>
        <v/>
      </c>
      <c r="N5389" s="11">
        <f>Summary!$C$16*Summary!$B$8</f>
        <v/>
      </c>
      <c r="O5389" s="11">
        <f>M5389-N5389</f>
        <v/>
      </c>
    </row>
    <row r="5390">
      <c r="A5390" s="9" t="n">
        <v>45516.5</v>
      </c>
      <c r="B5390" t="n">
        <v>8</v>
      </c>
      <c r="C5390" t="n">
        <v>12</v>
      </c>
      <c r="D5390" t="n">
        <v>12</v>
      </c>
      <c r="E5390" s="10" t="n">
        <v>0.229118</v>
      </c>
      <c r="F5390" s="10" t="n">
        <v>0.1886276612706387</v>
      </c>
      <c r="G5390" s="11">
        <f>E5390*Summary!$B$6</f>
        <v/>
      </c>
      <c r="H5390" s="11">
        <f>F5390*Summary!$B$7</f>
        <v/>
      </c>
      <c r="I5390" s="11">
        <f>MAX(0,N5390-M5390)</f>
        <v/>
      </c>
      <c r="J5390" s="11">
        <f>MAX(0,M5390-N5390)</f>
        <v/>
      </c>
      <c r="K5390" s="11">
        <f>O5390</f>
        <v/>
      </c>
      <c r="L5390" s="11">
        <f>L5389+IF(K5390&gt;0,K5390*Summary!$B$9,K5390/Summary!$B$9)</f>
        <v/>
      </c>
      <c r="M5390" s="11">
        <f>G5390+H5390</f>
        <v/>
      </c>
      <c r="N5390" s="11">
        <f>Summary!$C$16*Summary!$B$8</f>
        <v/>
      </c>
      <c r="O5390" s="11">
        <f>M5390-N5390</f>
        <v/>
      </c>
    </row>
    <row r="5391">
      <c r="A5391" s="9" t="n">
        <v>45516.54166666666</v>
      </c>
      <c r="B5391" t="n">
        <v>8</v>
      </c>
      <c r="C5391" t="n">
        <v>12</v>
      </c>
      <c r="D5391" t="n">
        <v>13</v>
      </c>
      <c r="E5391" s="10" t="n">
        <v>0.185069</v>
      </c>
      <c r="F5391" s="10" t="n">
        <v>0.1923169421560661</v>
      </c>
      <c r="G5391" s="11">
        <f>E5391*Summary!$B$6</f>
        <v/>
      </c>
      <c r="H5391" s="11">
        <f>F5391*Summary!$B$7</f>
        <v/>
      </c>
      <c r="I5391" s="11">
        <f>MAX(0,N5391-M5391)</f>
        <v/>
      </c>
      <c r="J5391" s="11">
        <f>MAX(0,M5391-N5391)</f>
        <v/>
      </c>
      <c r="K5391" s="11">
        <f>O5391</f>
        <v/>
      </c>
      <c r="L5391" s="11">
        <f>L5390+IF(K5391&gt;0,K5391*Summary!$B$9,K5391/Summary!$B$9)</f>
        <v/>
      </c>
      <c r="M5391" s="11">
        <f>G5391+H5391</f>
        <v/>
      </c>
      <c r="N5391" s="11">
        <f>Summary!$C$16*Summary!$B$8</f>
        <v/>
      </c>
      <c r="O5391" s="11">
        <f>M5391-N5391</f>
        <v/>
      </c>
    </row>
    <row r="5392">
      <c r="A5392" s="9" t="n">
        <v>45516.58333333334</v>
      </c>
      <c r="B5392" t="n">
        <v>8</v>
      </c>
      <c r="C5392" t="n">
        <v>12</v>
      </c>
      <c r="D5392" t="n">
        <v>14</v>
      </c>
      <c r="E5392" s="10" t="n">
        <v>0.194373</v>
      </c>
      <c r="F5392" s="10" t="n">
        <v>0.1916054379853051</v>
      </c>
      <c r="G5392" s="11">
        <f>E5392*Summary!$B$6</f>
        <v/>
      </c>
      <c r="H5392" s="11">
        <f>F5392*Summary!$B$7</f>
        <v/>
      </c>
      <c r="I5392" s="11">
        <f>MAX(0,N5392-M5392)</f>
        <v/>
      </c>
      <c r="J5392" s="11">
        <f>MAX(0,M5392-N5392)</f>
        <v/>
      </c>
      <c r="K5392" s="11">
        <f>O5392</f>
        <v/>
      </c>
      <c r="L5392" s="11">
        <f>L5391+IF(K5392&gt;0,K5392*Summary!$B$9,K5392/Summary!$B$9)</f>
        <v/>
      </c>
      <c r="M5392" s="11">
        <f>G5392+H5392</f>
        <v/>
      </c>
      <c r="N5392" s="11">
        <f>Summary!$C$16*Summary!$B$8</f>
        <v/>
      </c>
      <c r="O5392" s="11">
        <f>M5392-N5392</f>
        <v/>
      </c>
    </row>
    <row r="5393">
      <c r="A5393" s="9" t="n">
        <v>45516.625</v>
      </c>
      <c r="B5393" t="n">
        <v>8</v>
      </c>
      <c r="C5393" t="n">
        <v>12</v>
      </c>
      <c r="D5393" t="n">
        <v>15</v>
      </c>
      <c r="E5393" s="10" t="n">
        <v>0.210591</v>
      </c>
      <c r="F5393" s="10" t="n">
        <v>0.1898398535615648</v>
      </c>
      <c r="G5393" s="11">
        <f>E5393*Summary!$B$6</f>
        <v/>
      </c>
      <c r="H5393" s="11">
        <f>F5393*Summary!$B$7</f>
        <v/>
      </c>
      <c r="I5393" s="11">
        <f>MAX(0,N5393-M5393)</f>
        <v/>
      </c>
      <c r="J5393" s="11">
        <f>MAX(0,M5393-N5393)</f>
        <v/>
      </c>
      <c r="K5393" s="11">
        <f>O5393</f>
        <v/>
      </c>
      <c r="L5393" s="11">
        <f>L5392+IF(K5393&gt;0,K5393*Summary!$B$9,K5393/Summary!$B$9)</f>
        <v/>
      </c>
      <c r="M5393" s="11">
        <f>G5393+H5393</f>
        <v/>
      </c>
      <c r="N5393" s="11">
        <f>Summary!$C$16*Summary!$B$8</f>
        <v/>
      </c>
      <c r="O5393" s="11">
        <f>M5393-N5393</f>
        <v/>
      </c>
    </row>
    <row r="5394">
      <c r="A5394" s="9" t="n">
        <v>45516.66666666666</v>
      </c>
      <c r="B5394" t="n">
        <v>8</v>
      </c>
      <c r="C5394" t="n">
        <v>12</v>
      </c>
      <c r="D5394" t="n">
        <v>16</v>
      </c>
      <c r="E5394" s="10" t="n">
        <v>0.17435</v>
      </c>
      <c r="F5394" s="10" t="n">
        <v>0.1818288436389225</v>
      </c>
      <c r="G5394" s="11">
        <f>E5394*Summary!$B$6</f>
        <v/>
      </c>
      <c r="H5394" s="11">
        <f>F5394*Summary!$B$7</f>
        <v/>
      </c>
      <c r="I5394" s="11">
        <f>MAX(0,N5394-M5394)</f>
        <v/>
      </c>
      <c r="J5394" s="11">
        <f>MAX(0,M5394-N5394)</f>
        <v/>
      </c>
      <c r="K5394" s="11">
        <f>O5394</f>
        <v/>
      </c>
      <c r="L5394" s="11">
        <f>L5393+IF(K5394&gt;0,K5394*Summary!$B$9,K5394/Summary!$B$9)</f>
        <v/>
      </c>
      <c r="M5394" s="11">
        <f>G5394+H5394</f>
        <v/>
      </c>
      <c r="N5394" s="11">
        <f>Summary!$C$16*Summary!$B$8</f>
        <v/>
      </c>
      <c r="O5394" s="11">
        <f>M5394-N5394</f>
        <v/>
      </c>
    </row>
    <row r="5395">
      <c r="A5395" s="9" t="n">
        <v>45516.70833333334</v>
      </c>
      <c r="B5395" t="n">
        <v>8</v>
      </c>
      <c r="C5395" t="n">
        <v>12</v>
      </c>
      <c r="D5395" t="n">
        <v>17</v>
      </c>
      <c r="E5395" s="10" t="n">
        <v>0.119083</v>
      </c>
      <c r="F5395" s="10" t="n">
        <v>0.175398954095749</v>
      </c>
      <c r="G5395" s="11">
        <f>E5395*Summary!$B$6</f>
        <v/>
      </c>
      <c r="H5395" s="11">
        <f>F5395*Summary!$B$7</f>
        <v/>
      </c>
      <c r="I5395" s="11">
        <f>MAX(0,N5395-M5395)</f>
        <v/>
      </c>
      <c r="J5395" s="11">
        <f>MAX(0,M5395-N5395)</f>
        <v/>
      </c>
      <c r="K5395" s="11">
        <f>O5395</f>
        <v/>
      </c>
      <c r="L5395" s="11">
        <f>L5394+IF(K5395&gt;0,K5395*Summary!$B$9,K5395/Summary!$B$9)</f>
        <v/>
      </c>
      <c r="M5395" s="11">
        <f>G5395+H5395</f>
        <v/>
      </c>
      <c r="N5395" s="11">
        <f>Summary!$C$16*Summary!$B$8</f>
        <v/>
      </c>
      <c r="O5395" s="11">
        <f>M5395-N5395</f>
        <v/>
      </c>
    </row>
    <row r="5396">
      <c r="A5396" s="9" t="n">
        <v>45516.75</v>
      </c>
      <c r="B5396" t="n">
        <v>8</v>
      </c>
      <c r="C5396" t="n">
        <v>12</v>
      </c>
      <c r="D5396" t="n">
        <v>18</v>
      </c>
      <c r="E5396" s="10" t="n">
        <v>0.051542</v>
      </c>
      <c r="F5396" s="10" t="n">
        <v>0.1737651297036311</v>
      </c>
      <c r="G5396" s="11">
        <f>E5396*Summary!$B$6</f>
        <v/>
      </c>
      <c r="H5396" s="11">
        <f>F5396*Summary!$B$7</f>
        <v/>
      </c>
      <c r="I5396" s="11">
        <f>MAX(0,N5396-M5396)</f>
        <v/>
      </c>
      <c r="J5396" s="11">
        <f>MAX(0,M5396-N5396)</f>
        <v/>
      </c>
      <c r="K5396" s="11">
        <f>O5396</f>
        <v/>
      </c>
      <c r="L5396" s="11">
        <f>L5395+IF(K5396&gt;0,K5396*Summary!$B$9,K5396/Summary!$B$9)</f>
        <v/>
      </c>
      <c r="M5396" s="11">
        <f>G5396+H5396</f>
        <v/>
      </c>
      <c r="N5396" s="11">
        <f>Summary!$C$16*Summary!$B$8</f>
        <v/>
      </c>
      <c r="O5396" s="11">
        <f>M5396-N5396</f>
        <v/>
      </c>
    </row>
    <row r="5397">
      <c r="A5397" s="9" t="n">
        <v>45516.79166666666</v>
      </c>
      <c r="B5397" t="n">
        <v>8</v>
      </c>
      <c r="C5397" t="n">
        <v>12</v>
      </c>
      <c r="D5397" t="n">
        <v>19</v>
      </c>
      <c r="E5397" s="10" t="n">
        <v>0.005961</v>
      </c>
      <c r="F5397" s="10" t="n">
        <v>0.18398970815753</v>
      </c>
      <c r="G5397" s="11">
        <f>E5397*Summary!$B$6</f>
        <v/>
      </c>
      <c r="H5397" s="11">
        <f>F5397*Summary!$B$7</f>
        <v/>
      </c>
      <c r="I5397" s="11">
        <f>MAX(0,N5397-M5397)</f>
        <v/>
      </c>
      <c r="J5397" s="11">
        <f>MAX(0,M5397-N5397)</f>
        <v/>
      </c>
      <c r="K5397" s="11">
        <f>O5397</f>
        <v/>
      </c>
      <c r="L5397" s="11">
        <f>L5396+IF(K5397&gt;0,K5397*Summary!$B$9,K5397/Summary!$B$9)</f>
        <v/>
      </c>
      <c r="M5397" s="11">
        <f>G5397+H5397</f>
        <v/>
      </c>
      <c r="N5397" s="11">
        <f>Summary!$C$16*Summary!$B$8</f>
        <v/>
      </c>
      <c r="O5397" s="11">
        <f>M5397-N5397</f>
        <v/>
      </c>
    </row>
    <row r="5398">
      <c r="A5398" s="9" t="n">
        <v>45516.83333333334</v>
      </c>
      <c r="B5398" t="n">
        <v>8</v>
      </c>
      <c r="C5398" t="n">
        <v>12</v>
      </c>
      <c r="D5398" t="n">
        <v>20</v>
      </c>
      <c r="E5398" s="10" t="n">
        <v>0</v>
      </c>
      <c r="F5398" s="10" t="n">
        <v>0.1967704312249035</v>
      </c>
      <c r="G5398" s="11">
        <f>E5398*Summary!$B$6</f>
        <v/>
      </c>
      <c r="H5398" s="11">
        <f>F5398*Summary!$B$7</f>
        <v/>
      </c>
      <c r="I5398" s="11">
        <f>MAX(0,N5398-M5398)</f>
        <v/>
      </c>
      <c r="J5398" s="11">
        <f>MAX(0,M5398-N5398)</f>
        <v/>
      </c>
      <c r="K5398" s="11">
        <f>O5398</f>
        <v/>
      </c>
      <c r="L5398" s="11">
        <f>L5397+IF(K5398&gt;0,K5398*Summary!$B$9,K5398/Summary!$B$9)</f>
        <v/>
      </c>
      <c r="M5398" s="11">
        <f>G5398+H5398</f>
        <v/>
      </c>
      <c r="N5398" s="11">
        <f>Summary!$C$16*Summary!$B$8</f>
        <v/>
      </c>
      <c r="O5398" s="11">
        <f>M5398-N5398</f>
        <v/>
      </c>
    </row>
    <row r="5399">
      <c r="A5399" s="9" t="n">
        <v>45516.875</v>
      </c>
      <c r="B5399" t="n">
        <v>8</v>
      </c>
      <c r="C5399" t="n">
        <v>12</v>
      </c>
      <c r="D5399" t="n">
        <v>21</v>
      </c>
      <c r="E5399" s="10" t="n">
        <v>0</v>
      </c>
      <c r="F5399" s="10" t="n">
        <v>0.2115275547666131</v>
      </c>
      <c r="G5399" s="11">
        <f>E5399*Summary!$B$6</f>
        <v/>
      </c>
      <c r="H5399" s="11">
        <f>F5399*Summary!$B$7</f>
        <v/>
      </c>
      <c r="I5399" s="11">
        <f>MAX(0,N5399-M5399)</f>
        <v/>
      </c>
      <c r="J5399" s="11">
        <f>MAX(0,M5399-N5399)</f>
        <v/>
      </c>
      <c r="K5399" s="11">
        <f>O5399</f>
        <v/>
      </c>
      <c r="L5399" s="11">
        <f>L5398+IF(K5399&gt;0,K5399*Summary!$B$9,K5399/Summary!$B$9)</f>
        <v/>
      </c>
      <c r="M5399" s="11">
        <f>G5399+H5399</f>
        <v/>
      </c>
      <c r="N5399" s="11">
        <f>Summary!$C$16*Summary!$B$8</f>
        <v/>
      </c>
      <c r="O5399" s="11">
        <f>M5399-N5399</f>
        <v/>
      </c>
    </row>
    <row r="5400">
      <c r="A5400" s="9" t="n">
        <v>45516.91666666666</v>
      </c>
      <c r="B5400" t="n">
        <v>8</v>
      </c>
      <c r="C5400" t="n">
        <v>12</v>
      </c>
      <c r="D5400" t="n">
        <v>22</v>
      </c>
      <c r="E5400" s="10" t="n">
        <v>0</v>
      </c>
      <c r="F5400" s="10" t="n">
        <v>0.2163236199176688</v>
      </c>
      <c r="G5400" s="11">
        <f>E5400*Summary!$B$6</f>
        <v/>
      </c>
      <c r="H5400" s="11">
        <f>F5400*Summary!$B$7</f>
        <v/>
      </c>
      <c r="I5400" s="11">
        <f>MAX(0,N5400-M5400)</f>
        <v/>
      </c>
      <c r="J5400" s="11">
        <f>MAX(0,M5400-N5400)</f>
        <v/>
      </c>
      <c r="K5400" s="11">
        <f>O5400</f>
        <v/>
      </c>
      <c r="L5400" s="11">
        <f>L5399+IF(K5400&gt;0,K5400*Summary!$B$9,K5400/Summary!$B$9)</f>
        <v/>
      </c>
      <c r="M5400" s="11">
        <f>G5400+H5400</f>
        <v/>
      </c>
      <c r="N5400" s="11">
        <f>Summary!$C$16*Summary!$B$8</f>
        <v/>
      </c>
      <c r="O5400" s="11">
        <f>M5400-N5400</f>
        <v/>
      </c>
    </row>
    <row r="5401">
      <c r="A5401" s="9" t="n">
        <v>45516.95833333334</v>
      </c>
      <c r="B5401" t="n">
        <v>8</v>
      </c>
      <c r="C5401" t="n">
        <v>12</v>
      </c>
      <c r="D5401" t="n">
        <v>23</v>
      </c>
      <c r="E5401" s="10" t="n">
        <v>0</v>
      </c>
      <c r="F5401" s="10" t="n">
        <v>0.2171932361263767</v>
      </c>
      <c r="G5401" s="11">
        <f>E5401*Summary!$B$6</f>
        <v/>
      </c>
      <c r="H5401" s="11">
        <f>F5401*Summary!$B$7</f>
        <v/>
      </c>
      <c r="I5401" s="11">
        <f>MAX(0,N5401-M5401)</f>
        <v/>
      </c>
      <c r="J5401" s="11">
        <f>MAX(0,M5401-N5401)</f>
        <v/>
      </c>
      <c r="K5401" s="11">
        <f>O5401</f>
        <v/>
      </c>
      <c r="L5401" s="11">
        <f>L5400+IF(K5401&gt;0,K5401*Summary!$B$9,K5401/Summary!$B$9)</f>
        <v/>
      </c>
      <c r="M5401" s="11">
        <f>G5401+H5401</f>
        <v/>
      </c>
      <c r="N5401" s="11">
        <f>Summary!$C$16*Summary!$B$8</f>
        <v/>
      </c>
      <c r="O5401" s="11">
        <f>M5401-N5401</f>
        <v/>
      </c>
    </row>
    <row r="5402">
      <c r="A5402" s="9" t="n">
        <v>45517</v>
      </c>
      <c r="B5402" t="n">
        <v>8</v>
      </c>
      <c r="C5402" t="n">
        <v>13</v>
      </c>
      <c r="D5402" t="n">
        <v>0</v>
      </c>
      <c r="E5402" s="10" t="n">
        <v>0</v>
      </c>
      <c r="F5402" s="10" t="n">
        <v>0.2216203731888896</v>
      </c>
      <c r="G5402" s="11">
        <f>E5402*Summary!$B$6</f>
        <v/>
      </c>
      <c r="H5402" s="11">
        <f>F5402*Summary!$B$7</f>
        <v/>
      </c>
      <c r="I5402" s="11">
        <f>MAX(0,N5402-M5402)</f>
        <v/>
      </c>
      <c r="J5402" s="11">
        <f>MAX(0,M5402-N5402)</f>
        <v/>
      </c>
      <c r="K5402" s="11">
        <f>O5402</f>
        <v/>
      </c>
      <c r="L5402" s="11">
        <f>L5401+IF(K5402&gt;0,K5402*Summary!$B$9,K5402/Summary!$B$9)</f>
        <v/>
      </c>
      <c r="M5402" s="11">
        <f>G5402+H5402</f>
        <v/>
      </c>
      <c r="N5402" s="11">
        <f>Summary!$C$16*Summary!$B$8</f>
        <v/>
      </c>
      <c r="O5402" s="11">
        <f>M5402-N5402</f>
        <v/>
      </c>
    </row>
    <row r="5403">
      <c r="A5403" s="9" t="n">
        <v>45517.04166666666</v>
      </c>
      <c r="B5403" t="n">
        <v>8</v>
      </c>
      <c r="C5403" t="n">
        <v>13</v>
      </c>
      <c r="D5403" t="n">
        <v>1</v>
      </c>
      <c r="E5403" s="10" t="n">
        <v>0</v>
      </c>
      <c r="F5403" s="10" t="n">
        <v>0.2042807530273807</v>
      </c>
      <c r="G5403" s="11">
        <f>E5403*Summary!$B$6</f>
        <v/>
      </c>
      <c r="H5403" s="11">
        <f>F5403*Summary!$B$7</f>
        <v/>
      </c>
      <c r="I5403" s="11">
        <f>MAX(0,N5403-M5403)</f>
        <v/>
      </c>
      <c r="J5403" s="11">
        <f>MAX(0,M5403-N5403)</f>
        <v/>
      </c>
      <c r="K5403" s="11">
        <f>O5403</f>
        <v/>
      </c>
      <c r="L5403" s="11">
        <f>L5402+IF(K5403&gt;0,K5403*Summary!$B$9,K5403/Summary!$B$9)</f>
        <v/>
      </c>
      <c r="M5403" s="11">
        <f>G5403+H5403</f>
        <v/>
      </c>
      <c r="N5403" s="11">
        <f>Summary!$C$16*Summary!$B$8</f>
        <v/>
      </c>
      <c r="O5403" s="11">
        <f>M5403-N5403</f>
        <v/>
      </c>
    </row>
    <row r="5404">
      <c r="A5404" s="9" t="n">
        <v>45517.08333333334</v>
      </c>
      <c r="B5404" t="n">
        <v>8</v>
      </c>
      <c r="C5404" t="n">
        <v>13</v>
      </c>
      <c r="D5404" t="n">
        <v>2</v>
      </c>
      <c r="E5404" s="10" t="n">
        <v>0</v>
      </c>
      <c r="F5404" s="10" t="n">
        <v>0.1963751511300363</v>
      </c>
      <c r="G5404" s="11">
        <f>E5404*Summary!$B$6</f>
        <v/>
      </c>
      <c r="H5404" s="11">
        <f>F5404*Summary!$B$7</f>
        <v/>
      </c>
      <c r="I5404" s="11">
        <f>MAX(0,N5404-M5404)</f>
        <v/>
      </c>
      <c r="J5404" s="11">
        <f>MAX(0,M5404-N5404)</f>
        <v/>
      </c>
      <c r="K5404" s="11">
        <f>O5404</f>
        <v/>
      </c>
      <c r="L5404" s="11">
        <f>L5403+IF(K5404&gt;0,K5404*Summary!$B$9,K5404/Summary!$B$9)</f>
        <v/>
      </c>
      <c r="M5404" s="11">
        <f>G5404+H5404</f>
        <v/>
      </c>
      <c r="N5404" s="11">
        <f>Summary!$C$16*Summary!$B$8</f>
        <v/>
      </c>
      <c r="O5404" s="11">
        <f>M5404-N5404</f>
        <v/>
      </c>
    </row>
    <row r="5405">
      <c r="A5405" s="9" t="n">
        <v>45517.125</v>
      </c>
      <c r="B5405" t="n">
        <v>8</v>
      </c>
      <c r="C5405" t="n">
        <v>13</v>
      </c>
      <c r="D5405" t="n">
        <v>3</v>
      </c>
      <c r="E5405" s="10" t="n">
        <v>0</v>
      </c>
      <c r="F5405" s="10" t="n">
        <v>0.1928703342888802</v>
      </c>
      <c r="G5405" s="11">
        <f>E5405*Summary!$B$6</f>
        <v/>
      </c>
      <c r="H5405" s="11">
        <f>F5405*Summary!$B$7</f>
        <v/>
      </c>
      <c r="I5405" s="11">
        <f>MAX(0,N5405-M5405)</f>
        <v/>
      </c>
      <c r="J5405" s="11">
        <f>MAX(0,M5405-N5405)</f>
        <v/>
      </c>
      <c r="K5405" s="11">
        <f>O5405</f>
        <v/>
      </c>
      <c r="L5405" s="11">
        <f>L5404+IF(K5405&gt;0,K5405*Summary!$B$9,K5405/Summary!$B$9)</f>
        <v/>
      </c>
      <c r="M5405" s="11">
        <f>G5405+H5405</f>
        <v/>
      </c>
      <c r="N5405" s="11">
        <f>Summary!$C$16*Summary!$B$8</f>
        <v/>
      </c>
      <c r="O5405" s="11">
        <f>M5405-N5405</f>
        <v/>
      </c>
    </row>
    <row r="5406">
      <c r="A5406" s="9" t="n">
        <v>45517.16666666666</v>
      </c>
      <c r="B5406" t="n">
        <v>8</v>
      </c>
      <c r="C5406" t="n">
        <v>13</v>
      </c>
      <c r="D5406" t="n">
        <v>4</v>
      </c>
      <c r="E5406" s="10" t="n">
        <v>0</v>
      </c>
      <c r="F5406" s="10" t="n">
        <v>0.1858079965939192</v>
      </c>
      <c r="G5406" s="11">
        <f>E5406*Summary!$B$6</f>
        <v/>
      </c>
      <c r="H5406" s="11">
        <f>F5406*Summary!$B$7</f>
        <v/>
      </c>
      <c r="I5406" s="11">
        <f>MAX(0,N5406-M5406)</f>
        <v/>
      </c>
      <c r="J5406" s="11">
        <f>MAX(0,M5406-N5406)</f>
        <v/>
      </c>
      <c r="K5406" s="11">
        <f>O5406</f>
        <v/>
      </c>
      <c r="L5406" s="11">
        <f>L5405+IF(K5406&gt;0,K5406*Summary!$B$9,K5406/Summary!$B$9)</f>
        <v/>
      </c>
      <c r="M5406" s="11">
        <f>G5406+H5406</f>
        <v/>
      </c>
      <c r="N5406" s="11">
        <f>Summary!$C$16*Summary!$B$8</f>
        <v/>
      </c>
      <c r="O5406" s="11">
        <f>M5406-N5406</f>
        <v/>
      </c>
    </row>
    <row r="5407">
      <c r="A5407" s="9" t="n">
        <v>45517.20833333334</v>
      </c>
      <c r="B5407" t="n">
        <v>8</v>
      </c>
      <c r="C5407" t="n">
        <v>13</v>
      </c>
      <c r="D5407" t="n">
        <v>5</v>
      </c>
      <c r="E5407" s="10" t="n">
        <v>0.02993</v>
      </c>
      <c r="F5407" s="10" t="n">
        <v>0.1678886322932718</v>
      </c>
      <c r="G5407" s="11">
        <f>E5407*Summary!$B$6</f>
        <v/>
      </c>
      <c r="H5407" s="11">
        <f>F5407*Summary!$B$7</f>
        <v/>
      </c>
      <c r="I5407" s="11">
        <f>MAX(0,N5407-M5407)</f>
        <v/>
      </c>
      <c r="J5407" s="11">
        <f>MAX(0,M5407-N5407)</f>
        <v/>
      </c>
      <c r="K5407" s="11">
        <f>O5407</f>
        <v/>
      </c>
      <c r="L5407" s="11">
        <f>L5406+IF(K5407&gt;0,K5407*Summary!$B$9,K5407/Summary!$B$9)</f>
        <v/>
      </c>
      <c r="M5407" s="11">
        <f>G5407+H5407</f>
        <v/>
      </c>
      <c r="N5407" s="11">
        <f>Summary!$C$16*Summary!$B$8</f>
        <v/>
      </c>
      <c r="O5407" s="11">
        <f>M5407-N5407</f>
        <v/>
      </c>
    </row>
    <row r="5408">
      <c r="A5408" s="9" t="n">
        <v>45517.25</v>
      </c>
      <c r="B5408" t="n">
        <v>8</v>
      </c>
      <c r="C5408" t="n">
        <v>13</v>
      </c>
      <c r="D5408" t="n">
        <v>6</v>
      </c>
      <c r="E5408" s="10" t="n">
        <v>0.101906</v>
      </c>
      <c r="F5408" s="10" t="n">
        <v>0.1513659243278218</v>
      </c>
      <c r="G5408" s="11">
        <f>E5408*Summary!$B$6</f>
        <v/>
      </c>
      <c r="H5408" s="11">
        <f>F5408*Summary!$B$7</f>
        <v/>
      </c>
      <c r="I5408" s="11">
        <f>MAX(0,N5408-M5408)</f>
        <v/>
      </c>
      <c r="J5408" s="11">
        <f>MAX(0,M5408-N5408)</f>
        <v/>
      </c>
      <c r="K5408" s="11">
        <f>O5408</f>
        <v/>
      </c>
      <c r="L5408" s="11">
        <f>L5407+IF(K5408&gt;0,K5408*Summary!$B$9,K5408/Summary!$B$9)</f>
        <v/>
      </c>
      <c r="M5408" s="11">
        <f>G5408+H5408</f>
        <v/>
      </c>
      <c r="N5408" s="11">
        <f>Summary!$C$16*Summary!$B$8</f>
        <v/>
      </c>
      <c r="O5408" s="11">
        <f>M5408-N5408</f>
        <v/>
      </c>
    </row>
    <row r="5409">
      <c r="A5409" s="9" t="n">
        <v>45517.29166666666</v>
      </c>
      <c r="B5409" t="n">
        <v>8</v>
      </c>
      <c r="C5409" t="n">
        <v>13</v>
      </c>
      <c r="D5409" t="n">
        <v>7</v>
      </c>
      <c r="E5409" s="10" t="n">
        <v>0.305626</v>
      </c>
      <c r="F5409" s="10" t="n">
        <v>0.1399291535829969</v>
      </c>
      <c r="G5409" s="11">
        <f>E5409*Summary!$B$6</f>
        <v/>
      </c>
      <c r="H5409" s="11">
        <f>F5409*Summary!$B$7</f>
        <v/>
      </c>
      <c r="I5409" s="11">
        <f>MAX(0,N5409-M5409)</f>
        <v/>
      </c>
      <c r="J5409" s="11">
        <f>MAX(0,M5409-N5409)</f>
        <v/>
      </c>
      <c r="K5409" s="11">
        <f>O5409</f>
        <v/>
      </c>
      <c r="L5409" s="11">
        <f>L5408+IF(K5409&gt;0,K5409*Summary!$B$9,K5409/Summary!$B$9)</f>
        <v/>
      </c>
      <c r="M5409" s="11">
        <f>G5409+H5409</f>
        <v/>
      </c>
      <c r="N5409" s="11">
        <f>Summary!$C$16*Summary!$B$8</f>
        <v/>
      </c>
      <c r="O5409" s="11">
        <f>M5409-N5409</f>
        <v/>
      </c>
    </row>
    <row r="5410">
      <c r="A5410" s="9" t="n">
        <v>45517.33333333334</v>
      </c>
      <c r="B5410" t="n">
        <v>8</v>
      </c>
      <c r="C5410" t="n">
        <v>13</v>
      </c>
      <c r="D5410" t="n">
        <v>8</v>
      </c>
      <c r="E5410" s="10" t="n">
        <v>0.499326</v>
      </c>
      <c r="F5410" s="10" t="n">
        <v>0.1331566879576051</v>
      </c>
      <c r="G5410" s="11">
        <f>E5410*Summary!$B$6</f>
        <v/>
      </c>
      <c r="H5410" s="11">
        <f>F5410*Summary!$B$7</f>
        <v/>
      </c>
      <c r="I5410" s="11">
        <f>MAX(0,N5410-M5410)</f>
        <v/>
      </c>
      <c r="J5410" s="11">
        <f>MAX(0,M5410-N5410)</f>
        <v/>
      </c>
      <c r="K5410" s="11">
        <f>O5410</f>
        <v/>
      </c>
      <c r="L5410" s="11">
        <f>L5409+IF(K5410&gt;0,K5410*Summary!$B$9,K5410/Summary!$B$9)</f>
        <v/>
      </c>
      <c r="M5410" s="11">
        <f>G5410+H5410</f>
        <v/>
      </c>
      <c r="N5410" s="11">
        <f>Summary!$C$16*Summary!$B$8</f>
        <v/>
      </c>
      <c r="O5410" s="11">
        <f>M5410-N5410</f>
        <v/>
      </c>
    </row>
    <row r="5411">
      <c r="A5411" s="9" t="n">
        <v>45517.375</v>
      </c>
      <c r="B5411" t="n">
        <v>8</v>
      </c>
      <c r="C5411" t="n">
        <v>13</v>
      </c>
      <c r="D5411" t="n">
        <v>9</v>
      </c>
      <c r="E5411" s="10" t="n">
        <v>0.6492560000000001</v>
      </c>
      <c r="F5411" s="10" t="n">
        <v>0.1297309271354225</v>
      </c>
      <c r="G5411" s="11">
        <f>E5411*Summary!$B$6</f>
        <v/>
      </c>
      <c r="H5411" s="11">
        <f>F5411*Summary!$B$7</f>
        <v/>
      </c>
      <c r="I5411" s="11">
        <f>MAX(0,N5411-M5411)</f>
        <v/>
      </c>
      <c r="J5411" s="11">
        <f>MAX(0,M5411-N5411)</f>
        <v/>
      </c>
      <c r="K5411" s="11">
        <f>O5411</f>
        <v/>
      </c>
      <c r="L5411" s="11">
        <f>L5410+IF(K5411&gt;0,K5411*Summary!$B$9,K5411/Summary!$B$9)</f>
        <v/>
      </c>
      <c r="M5411" s="11">
        <f>G5411+H5411</f>
        <v/>
      </c>
      <c r="N5411" s="11">
        <f>Summary!$C$16*Summary!$B$8</f>
        <v/>
      </c>
      <c r="O5411" s="11">
        <f>M5411-N5411</f>
        <v/>
      </c>
    </row>
    <row r="5412">
      <c r="A5412" s="9" t="n">
        <v>45517.41666666666</v>
      </c>
      <c r="B5412" t="n">
        <v>8</v>
      </c>
      <c r="C5412" t="n">
        <v>13</v>
      </c>
      <c r="D5412" t="n">
        <v>10</v>
      </c>
      <c r="E5412" s="10" t="n">
        <v>0.7523300000000001</v>
      </c>
      <c r="F5412" s="10" t="n">
        <v>0.1462799871071969</v>
      </c>
      <c r="G5412" s="11">
        <f>E5412*Summary!$B$6</f>
        <v/>
      </c>
      <c r="H5412" s="11">
        <f>F5412*Summary!$B$7</f>
        <v/>
      </c>
      <c r="I5412" s="11">
        <f>MAX(0,N5412-M5412)</f>
        <v/>
      </c>
      <c r="J5412" s="11">
        <f>MAX(0,M5412-N5412)</f>
        <v/>
      </c>
      <c r="K5412" s="11">
        <f>O5412</f>
        <v/>
      </c>
      <c r="L5412" s="11">
        <f>L5411+IF(K5412&gt;0,K5412*Summary!$B$9,K5412/Summary!$B$9)</f>
        <v/>
      </c>
      <c r="M5412" s="11">
        <f>G5412+H5412</f>
        <v/>
      </c>
      <c r="N5412" s="11">
        <f>Summary!$C$16*Summary!$B$8</f>
        <v/>
      </c>
      <c r="O5412" s="11">
        <f>M5412-N5412</f>
        <v/>
      </c>
    </row>
    <row r="5413">
      <c r="A5413" s="9" t="n">
        <v>45517.45833333334</v>
      </c>
      <c r="B5413" t="n">
        <v>8</v>
      </c>
      <c r="C5413" t="n">
        <v>13</v>
      </c>
      <c r="D5413" t="n">
        <v>11</v>
      </c>
      <c r="E5413" s="10" t="n">
        <v>0.61385</v>
      </c>
      <c r="F5413" s="10" t="n">
        <v>0.1415366259687902</v>
      </c>
      <c r="G5413" s="11">
        <f>E5413*Summary!$B$6</f>
        <v/>
      </c>
      <c r="H5413" s="11">
        <f>F5413*Summary!$B$7</f>
        <v/>
      </c>
      <c r="I5413" s="11">
        <f>MAX(0,N5413-M5413)</f>
        <v/>
      </c>
      <c r="J5413" s="11">
        <f>MAX(0,M5413-N5413)</f>
        <v/>
      </c>
      <c r="K5413" s="11">
        <f>O5413</f>
        <v/>
      </c>
      <c r="L5413" s="11">
        <f>L5412+IF(K5413&gt;0,K5413*Summary!$B$9,K5413/Summary!$B$9)</f>
        <v/>
      </c>
      <c r="M5413" s="11">
        <f>G5413+H5413</f>
        <v/>
      </c>
      <c r="N5413" s="11">
        <f>Summary!$C$16*Summary!$B$8</f>
        <v/>
      </c>
      <c r="O5413" s="11">
        <f>M5413-N5413</f>
        <v/>
      </c>
    </row>
    <row r="5414">
      <c r="A5414" s="9" t="n">
        <v>45517.5</v>
      </c>
      <c r="B5414" t="n">
        <v>8</v>
      </c>
      <c r="C5414" t="n">
        <v>13</v>
      </c>
      <c r="D5414" t="n">
        <v>12</v>
      </c>
      <c r="E5414" s="10" t="n">
        <v>0.25283</v>
      </c>
      <c r="F5414" s="10" t="n">
        <v>0.1503381960811671</v>
      </c>
      <c r="G5414" s="11">
        <f>E5414*Summary!$B$6</f>
        <v/>
      </c>
      <c r="H5414" s="11">
        <f>F5414*Summary!$B$7</f>
        <v/>
      </c>
      <c r="I5414" s="11">
        <f>MAX(0,N5414-M5414)</f>
        <v/>
      </c>
      <c r="J5414" s="11">
        <f>MAX(0,M5414-N5414)</f>
        <v/>
      </c>
      <c r="K5414" s="11">
        <f>O5414</f>
        <v/>
      </c>
      <c r="L5414" s="11">
        <f>L5413+IF(K5414&gt;0,K5414*Summary!$B$9,K5414/Summary!$B$9)</f>
        <v/>
      </c>
      <c r="M5414" s="11">
        <f>G5414+H5414</f>
        <v/>
      </c>
      <c r="N5414" s="11">
        <f>Summary!$C$16*Summary!$B$8</f>
        <v/>
      </c>
      <c r="O5414" s="11">
        <f>M5414-N5414</f>
        <v/>
      </c>
    </row>
    <row r="5415">
      <c r="A5415" s="9" t="n">
        <v>45517.54166666666</v>
      </c>
      <c r="B5415" t="n">
        <v>8</v>
      </c>
      <c r="C5415" t="n">
        <v>13</v>
      </c>
      <c r="D5415" t="n">
        <v>13</v>
      </c>
      <c r="E5415" s="10" t="n">
        <v>0.552551</v>
      </c>
      <c r="F5415" s="10" t="n">
        <v>0.1627499910599979</v>
      </c>
      <c r="G5415" s="11">
        <f>E5415*Summary!$B$6</f>
        <v/>
      </c>
      <c r="H5415" s="11">
        <f>F5415*Summary!$B$7</f>
        <v/>
      </c>
      <c r="I5415" s="11">
        <f>MAX(0,N5415-M5415)</f>
        <v/>
      </c>
      <c r="J5415" s="11">
        <f>MAX(0,M5415-N5415)</f>
        <v/>
      </c>
      <c r="K5415" s="11">
        <f>O5415</f>
        <v/>
      </c>
      <c r="L5415" s="11">
        <f>L5414+IF(K5415&gt;0,K5415*Summary!$B$9,K5415/Summary!$B$9)</f>
        <v/>
      </c>
      <c r="M5415" s="11">
        <f>G5415+H5415</f>
        <v/>
      </c>
      <c r="N5415" s="11">
        <f>Summary!$C$16*Summary!$B$8</f>
        <v/>
      </c>
      <c r="O5415" s="11">
        <f>M5415-N5415</f>
        <v/>
      </c>
    </row>
    <row r="5416">
      <c r="A5416" s="9" t="n">
        <v>45517.58333333334</v>
      </c>
      <c r="B5416" t="n">
        <v>8</v>
      </c>
      <c r="C5416" t="n">
        <v>13</v>
      </c>
      <c r="D5416" t="n">
        <v>14</v>
      </c>
      <c r="E5416" s="10" t="n">
        <v>0.694824</v>
      </c>
      <c r="F5416" s="10" t="n">
        <v>0.1537112528907007</v>
      </c>
      <c r="G5416" s="11">
        <f>E5416*Summary!$B$6</f>
        <v/>
      </c>
      <c r="H5416" s="11">
        <f>F5416*Summary!$B$7</f>
        <v/>
      </c>
      <c r="I5416" s="11">
        <f>MAX(0,N5416-M5416)</f>
        <v/>
      </c>
      <c r="J5416" s="11">
        <f>MAX(0,M5416-N5416)</f>
        <v/>
      </c>
      <c r="K5416" s="11">
        <f>O5416</f>
        <v/>
      </c>
      <c r="L5416" s="11">
        <f>L5415+IF(K5416&gt;0,K5416*Summary!$B$9,K5416/Summary!$B$9)</f>
        <v/>
      </c>
      <c r="M5416" s="11">
        <f>G5416+H5416</f>
        <v/>
      </c>
      <c r="N5416" s="11">
        <f>Summary!$C$16*Summary!$B$8</f>
        <v/>
      </c>
      <c r="O5416" s="11">
        <f>M5416-N5416</f>
        <v/>
      </c>
    </row>
    <row r="5417">
      <c r="A5417" s="9" t="n">
        <v>45517.625</v>
      </c>
      <c r="B5417" t="n">
        <v>8</v>
      </c>
      <c r="C5417" t="n">
        <v>13</v>
      </c>
      <c r="D5417" t="n">
        <v>15</v>
      </c>
      <c r="E5417" s="10" t="n">
        <v>0.554639</v>
      </c>
      <c r="F5417" s="10" t="n">
        <v>0.1534213808211314</v>
      </c>
      <c r="G5417" s="11">
        <f>E5417*Summary!$B$6</f>
        <v/>
      </c>
      <c r="H5417" s="11">
        <f>F5417*Summary!$B$7</f>
        <v/>
      </c>
      <c r="I5417" s="11">
        <f>MAX(0,N5417-M5417)</f>
        <v/>
      </c>
      <c r="J5417" s="11">
        <f>MAX(0,M5417-N5417)</f>
        <v/>
      </c>
      <c r="K5417" s="11">
        <f>O5417</f>
        <v/>
      </c>
      <c r="L5417" s="11">
        <f>L5416+IF(K5417&gt;0,K5417*Summary!$B$9,K5417/Summary!$B$9)</f>
        <v/>
      </c>
      <c r="M5417" s="11">
        <f>G5417+H5417</f>
        <v/>
      </c>
      <c r="N5417" s="11">
        <f>Summary!$C$16*Summary!$B$8</f>
        <v/>
      </c>
      <c r="O5417" s="11">
        <f>M5417-N5417</f>
        <v/>
      </c>
    </row>
    <row r="5418">
      <c r="A5418" s="9" t="n">
        <v>45517.66666666666</v>
      </c>
      <c r="B5418" t="n">
        <v>8</v>
      </c>
      <c r="C5418" t="n">
        <v>13</v>
      </c>
      <c r="D5418" t="n">
        <v>16</v>
      </c>
      <c r="E5418" s="10" t="n">
        <v>0.365823</v>
      </c>
      <c r="F5418" s="10" t="n">
        <v>0.1682575603818145</v>
      </c>
      <c r="G5418" s="11">
        <f>E5418*Summary!$B$6</f>
        <v/>
      </c>
      <c r="H5418" s="11">
        <f>F5418*Summary!$B$7</f>
        <v/>
      </c>
      <c r="I5418" s="11">
        <f>MAX(0,N5418-M5418)</f>
        <v/>
      </c>
      <c r="J5418" s="11">
        <f>MAX(0,M5418-N5418)</f>
        <v/>
      </c>
      <c r="K5418" s="11">
        <f>O5418</f>
        <v/>
      </c>
      <c r="L5418" s="11">
        <f>L5417+IF(K5418&gt;0,K5418*Summary!$B$9,K5418/Summary!$B$9)</f>
        <v/>
      </c>
      <c r="M5418" s="11">
        <f>G5418+H5418</f>
        <v/>
      </c>
      <c r="N5418" s="11">
        <f>Summary!$C$16*Summary!$B$8</f>
        <v/>
      </c>
      <c r="O5418" s="11">
        <f>M5418-N5418</f>
        <v/>
      </c>
    </row>
    <row r="5419">
      <c r="A5419" s="9" t="n">
        <v>45517.70833333334</v>
      </c>
      <c r="B5419" t="n">
        <v>8</v>
      </c>
      <c r="C5419" t="n">
        <v>13</v>
      </c>
      <c r="D5419" t="n">
        <v>17</v>
      </c>
      <c r="E5419" s="10" t="n">
        <v>0.162656</v>
      </c>
      <c r="F5419" s="10" t="n">
        <v>0.1342107682105844</v>
      </c>
      <c r="G5419" s="11">
        <f>E5419*Summary!$B$6</f>
        <v/>
      </c>
      <c r="H5419" s="11">
        <f>F5419*Summary!$B$7</f>
        <v/>
      </c>
      <c r="I5419" s="11">
        <f>MAX(0,N5419-M5419)</f>
        <v/>
      </c>
      <c r="J5419" s="11">
        <f>MAX(0,M5419-N5419)</f>
        <v/>
      </c>
      <c r="K5419" s="11">
        <f>O5419</f>
        <v/>
      </c>
      <c r="L5419" s="11">
        <f>L5418+IF(K5419&gt;0,K5419*Summary!$B$9,K5419/Summary!$B$9)</f>
        <v/>
      </c>
      <c r="M5419" s="11">
        <f>G5419+H5419</f>
        <v/>
      </c>
      <c r="N5419" s="11">
        <f>Summary!$C$16*Summary!$B$8</f>
        <v/>
      </c>
      <c r="O5419" s="11">
        <f>M5419-N5419</f>
        <v/>
      </c>
    </row>
    <row r="5420">
      <c r="A5420" s="9" t="n">
        <v>45517.75</v>
      </c>
      <c r="B5420" t="n">
        <v>8</v>
      </c>
      <c r="C5420" t="n">
        <v>13</v>
      </c>
      <c r="D5420" t="n">
        <v>18</v>
      </c>
      <c r="E5420" s="10" t="n">
        <v>0.047405</v>
      </c>
      <c r="F5420" s="10" t="n">
        <v>0.1338945441346906</v>
      </c>
      <c r="G5420" s="11">
        <f>E5420*Summary!$B$6</f>
        <v/>
      </c>
      <c r="H5420" s="11">
        <f>F5420*Summary!$B$7</f>
        <v/>
      </c>
      <c r="I5420" s="11">
        <f>MAX(0,N5420-M5420)</f>
        <v/>
      </c>
      <c r="J5420" s="11">
        <f>MAX(0,M5420-N5420)</f>
        <v/>
      </c>
      <c r="K5420" s="11">
        <f>O5420</f>
        <v/>
      </c>
      <c r="L5420" s="11">
        <f>L5419+IF(K5420&gt;0,K5420*Summary!$B$9,K5420/Summary!$B$9)</f>
        <v/>
      </c>
      <c r="M5420" s="11">
        <f>G5420+H5420</f>
        <v/>
      </c>
      <c r="N5420" s="11">
        <f>Summary!$C$16*Summary!$B$8</f>
        <v/>
      </c>
      <c r="O5420" s="11">
        <f>M5420-N5420</f>
        <v/>
      </c>
    </row>
    <row r="5421">
      <c r="A5421" s="9" t="n">
        <v>45517.79166666666</v>
      </c>
      <c r="B5421" t="n">
        <v>8</v>
      </c>
      <c r="C5421" t="n">
        <v>13</v>
      </c>
      <c r="D5421" t="n">
        <v>19</v>
      </c>
      <c r="E5421" s="10" t="n">
        <v>0.007646</v>
      </c>
      <c r="F5421" s="10" t="n">
        <v>0.1451468508352442</v>
      </c>
      <c r="G5421" s="11">
        <f>E5421*Summary!$B$6</f>
        <v/>
      </c>
      <c r="H5421" s="11">
        <f>F5421*Summary!$B$7</f>
        <v/>
      </c>
      <c r="I5421" s="11">
        <f>MAX(0,N5421-M5421)</f>
        <v/>
      </c>
      <c r="J5421" s="11">
        <f>MAX(0,M5421-N5421)</f>
        <v/>
      </c>
      <c r="K5421" s="11">
        <f>O5421</f>
        <v/>
      </c>
      <c r="L5421" s="11">
        <f>L5420+IF(K5421&gt;0,K5421*Summary!$B$9,K5421/Summary!$B$9)</f>
        <v/>
      </c>
      <c r="M5421" s="11">
        <f>G5421+H5421</f>
        <v/>
      </c>
      <c r="N5421" s="11">
        <f>Summary!$C$16*Summary!$B$8</f>
        <v/>
      </c>
      <c r="O5421" s="11">
        <f>M5421-N5421</f>
        <v/>
      </c>
    </row>
    <row r="5422">
      <c r="A5422" s="9" t="n">
        <v>45517.83333333334</v>
      </c>
      <c r="B5422" t="n">
        <v>8</v>
      </c>
      <c r="C5422" t="n">
        <v>13</v>
      </c>
      <c r="D5422" t="n">
        <v>20</v>
      </c>
      <c r="E5422" s="10" t="n">
        <v>0</v>
      </c>
      <c r="F5422" s="10" t="n">
        <v>0.168283912388139</v>
      </c>
      <c r="G5422" s="11">
        <f>E5422*Summary!$B$6</f>
        <v/>
      </c>
      <c r="H5422" s="11">
        <f>F5422*Summary!$B$7</f>
        <v/>
      </c>
      <c r="I5422" s="11">
        <f>MAX(0,N5422-M5422)</f>
        <v/>
      </c>
      <c r="J5422" s="11">
        <f>MAX(0,M5422-N5422)</f>
        <v/>
      </c>
      <c r="K5422" s="11">
        <f>O5422</f>
        <v/>
      </c>
      <c r="L5422" s="11">
        <f>L5421+IF(K5422&gt;0,K5422*Summary!$B$9,K5422/Summary!$B$9)</f>
        <v/>
      </c>
      <c r="M5422" s="11">
        <f>G5422+H5422</f>
        <v/>
      </c>
      <c r="N5422" s="11">
        <f>Summary!$C$16*Summary!$B$8</f>
        <v/>
      </c>
      <c r="O5422" s="11">
        <f>M5422-N5422</f>
        <v/>
      </c>
    </row>
    <row r="5423">
      <c r="A5423" s="9" t="n">
        <v>45517.875</v>
      </c>
      <c r="B5423" t="n">
        <v>8</v>
      </c>
      <c r="C5423" t="n">
        <v>13</v>
      </c>
      <c r="D5423" t="n">
        <v>21</v>
      </c>
      <c r="E5423" s="10" t="n">
        <v>0</v>
      </c>
      <c r="F5423" s="10" t="n">
        <v>0.1918426060422254</v>
      </c>
      <c r="G5423" s="11">
        <f>E5423*Summary!$B$6</f>
        <v/>
      </c>
      <c r="H5423" s="11">
        <f>F5423*Summary!$B$7</f>
        <v/>
      </c>
      <c r="I5423" s="11">
        <f>MAX(0,N5423-M5423)</f>
        <v/>
      </c>
      <c r="J5423" s="11">
        <f>MAX(0,M5423-N5423)</f>
        <v/>
      </c>
      <c r="K5423" s="11">
        <f>O5423</f>
        <v/>
      </c>
      <c r="L5423" s="11">
        <f>L5422+IF(K5423&gt;0,K5423*Summary!$B$9,K5423/Summary!$B$9)</f>
        <v/>
      </c>
      <c r="M5423" s="11">
        <f>G5423+H5423</f>
        <v/>
      </c>
      <c r="N5423" s="11">
        <f>Summary!$C$16*Summary!$B$8</f>
        <v/>
      </c>
      <c r="O5423" s="11">
        <f>M5423-N5423</f>
        <v/>
      </c>
    </row>
    <row r="5424">
      <c r="A5424" s="9" t="n">
        <v>45517.91666666666</v>
      </c>
      <c r="B5424" t="n">
        <v>8</v>
      </c>
      <c r="C5424" t="n">
        <v>13</v>
      </c>
      <c r="D5424" t="n">
        <v>22</v>
      </c>
      <c r="E5424" s="10" t="n">
        <v>0</v>
      </c>
      <c r="F5424" s="10" t="n">
        <v>0.2059145774194986</v>
      </c>
      <c r="G5424" s="11">
        <f>E5424*Summary!$B$6</f>
        <v/>
      </c>
      <c r="H5424" s="11">
        <f>F5424*Summary!$B$7</f>
        <v/>
      </c>
      <c r="I5424" s="11">
        <f>MAX(0,N5424-M5424)</f>
        <v/>
      </c>
      <c r="J5424" s="11">
        <f>MAX(0,M5424-N5424)</f>
        <v/>
      </c>
      <c r="K5424" s="11">
        <f>O5424</f>
        <v/>
      </c>
      <c r="L5424" s="11">
        <f>L5423+IF(K5424&gt;0,K5424*Summary!$B$9,K5424/Summary!$B$9)</f>
        <v/>
      </c>
      <c r="M5424" s="11">
        <f>G5424+H5424</f>
        <v/>
      </c>
      <c r="N5424" s="11">
        <f>Summary!$C$16*Summary!$B$8</f>
        <v/>
      </c>
      <c r="O5424" s="11">
        <f>M5424-N5424</f>
        <v/>
      </c>
    </row>
    <row r="5425">
      <c r="A5425" s="9" t="n">
        <v>45517.95833333334</v>
      </c>
      <c r="B5425" t="n">
        <v>8</v>
      </c>
      <c r="C5425" t="n">
        <v>13</v>
      </c>
      <c r="D5425" t="n">
        <v>23</v>
      </c>
      <c r="E5425" s="10" t="n">
        <v>0</v>
      </c>
      <c r="F5425" s="10" t="n">
        <v>0.2142418114180347</v>
      </c>
      <c r="G5425" s="11">
        <f>E5425*Summary!$B$6</f>
        <v/>
      </c>
      <c r="H5425" s="11">
        <f>F5425*Summary!$B$7</f>
        <v/>
      </c>
      <c r="I5425" s="11">
        <f>MAX(0,N5425-M5425)</f>
        <v/>
      </c>
      <c r="J5425" s="11">
        <f>MAX(0,M5425-N5425)</f>
        <v/>
      </c>
      <c r="K5425" s="11">
        <f>O5425</f>
        <v/>
      </c>
      <c r="L5425" s="11">
        <f>L5424+IF(K5425&gt;0,K5425*Summary!$B$9,K5425/Summary!$B$9)</f>
        <v/>
      </c>
      <c r="M5425" s="11">
        <f>G5425+H5425</f>
        <v/>
      </c>
      <c r="N5425" s="11">
        <f>Summary!$C$16*Summary!$B$8</f>
        <v/>
      </c>
      <c r="O5425" s="11">
        <f>M5425-N5425</f>
        <v/>
      </c>
    </row>
    <row r="5426">
      <c r="A5426" s="9" t="n">
        <v>45518</v>
      </c>
      <c r="B5426" t="n">
        <v>8</v>
      </c>
      <c r="C5426" t="n">
        <v>14</v>
      </c>
      <c r="D5426" t="n">
        <v>0</v>
      </c>
      <c r="E5426" s="10" t="n">
        <v>0</v>
      </c>
      <c r="F5426" s="10" t="n">
        <v>0.2541914530059487</v>
      </c>
      <c r="G5426" s="11">
        <f>E5426*Summary!$B$6</f>
        <v/>
      </c>
      <c r="H5426" s="11">
        <f>F5426*Summary!$B$7</f>
        <v/>
      </c>
      <c r="I5426" s="11">
        <f>MAX(0,N5426-M5426)</f>
        <v/>
      </c>
      <c r="J5426" s="11">
        <f>MAX(0,M5426-N5426)</f>
        <v/>
      </c>
      <c r="K5426" s="11">
        <f>O5426</f>
        <v/>
      </c>
      <c r="L5426" s="11">
        <f>L5425+IF(K5426&gt;0,K5426*Summary!$B$9,K5426/Summary!$B$9)</f>
        <v/>
      </c>
      <c r="M5426" s="11">
        <f>G5426+H5426</f>
        <v/>
      </c>
      <c r="N5426" s="11">
        <f>Summary!$C$16*Summary!$B$8</f>
        <v/>
      </c>
      <c r="O5426" s="11">
        <f>M5426-N5426</f>
        <v/>
      </c>
    </row>
    <row r="5427">
      <c r="A5427" s="9" t="n">
        <v>45518.04166666666</v>
      </c>
      <c r="B5427" t="n">
        <v>8</v>
      </c>
      <c r="C5427" t="n">
        <v>14</v>
      </c>
      <c r="D5427" t="n">
        <v>1</v>
      </c>
      <c r="E5427" s="10" t="n">
        <v>0</v>
      </c>
      <c r="F5427" s="10" t="n">
        <v>0.2176939242465418</v>
      </c>
      <c r="G5427" s="11">
        <f>E5427*Summary!$B$6</f>
        <v/>
      </c>
      <c r="H5427" s="11">
        <f>F5427*Summary!$B$7</f>
        <v/>
      </c>
      <c r="I5427" s="11">
        <f>MAX(0,N5427-M5427)</f>
        <v/>
      </c>
      <c r="J5427" s="11">
        <f>MAX(0,M5427-N5427)</f>
        <v/>
      </c>
      <c r="K5427" s="11">
        <f>O5427</f>
        <v/>
      </c>
      <c r="L5427" s="11">
        <f>L5426+IF(K5427&gt;0,K5427*Summary!$B$9,K5427/Summary!$B$9)</f>
        <v/>
      </c>
      <c r="M5427" s="11">
        <f>G5427+H5427</f>
        <v/>
      </c>
      <c r="N5427" s="11">
        <f>Summary!$C$16*Summary!$B$8</f>
        <v/>
      </c>
      <c r="O5427" s="11">
        <f>M5427-N5427</f>
        <v/>
      </c>
    </row>
    <row r="5428">
      <c r="A5428" s="9" t="n">
        <v>45518.08333333334</v>
      </c>
      <c r="B5428" t="n">
        <v>8</v>
      </c>
      <c r="C5428" t="n">
        <v>14</v>
      </c>
      <c r="D5428" t="n">
        <v>2</v>
      </c>
      <c r="E5428" s="10" t="n">
        <v>0</v>
      </c>
      <c r="F5428" s="10" t="n">
        <v>0.2177729802655153</v>
      </c>
      <c r="G5428" s="11">
        <f>E5428*Summary!$B$6</f>
        <v/>
      </c>
      <c r="H5428" s="11">
        <f>F5428*Summary!$B$7</f>
        <v/>
      </c>
      <c r="I5428" s="11">
        <f>MAX(0,N5428-M5428)</f>
        <v/>
      </c>
      <c r="J5428" s="11">
        <f>MAX(0,M5428-N5428)</f>
        <v/>
      </c>
      <c r="K5428" s="11">
        <f>O5428</f>
        <v/>
      </c>
      <c r="L5428" s="11">
        <f>L5427+IF(K5428&gt;0,K5428*Summary!$B$9,K5428/Summary!$B$9)</f>
        <v/>
      </c>
      <c r="M5428" s="11">
        <f>G5428+H5428</f>
        <v/>
      </c>
      <c r="N5428" s="11">
        <f>Summary!$C$16*Summary!$B$8</f>
        <v/>
      </c>
      <c r="O5428" s="11">
        <f>M5428-N5428</f>
        <v/>
      </c>
    </row>
    <row r="5429">
      <c r="A5429" s="9" t="n">
        <v>45518.125</v>
      </c>
      <c r="B5429" t="n">
        <v>8</v>
      </c>
      <c r="C5429" t="n">
        <v>14</v>
      </c>
      <c r="D5429" t="n">
        <v>3</v>
      </c>
      <c r="E5429" s="10" t="n">
        <v>0</v>
      </c>
      <c r="F5429" s="10" t="n">
        <v>0.2154012996963119</v>
      </c>
      <c r="G5429" s="11">
        <f>E5429*Summary!$B$6</f>
        <v/>
      </c>
      <c r="H5429" s="11">
        <f>F5429*Summary!$B$7</f>
        <v/>
      </c>
      <c r="I5429" s="11">
        <f>MAX(0,N5429-M5429)</f>
        <v/>
      </c>
      <c r="J5429" s="11">
        <f>MAX(0,M5429-N5429)</f>
        <v/>
      </c>
      <c r="K5429" s="11">
        <f>O5429</f>
        <v/>
      </c>
      <c r="L5429" s="11">
        <f>L5428+IF(K5429&gt;0,K5429*Summary!$B$9,K5429/Summary!$B$9)</f>
        <v/>
      </c>
      <c r="M5429" s="11">
        <f>G5429+H5429</f>
        <v/>
      </c>
      <c r="N5429" s="11">
        <f>Summary!$C$16*Summary!$B$8</f>
        <v/>
      </c>
      <c r="O5429" s="11">
        <f>M5429-N5429</f>
        <v/>
      </c>
    </row>
    <row r="5430">
      <c r="A5430" s="9" t="n">
        <v>45518.16666666666</v>
      </c>
      <c r="B5430" t="n">
        <v>8</v>
      </c>
      <c r="C5430" t="n">
        <v>14</v>
      </c>
      <c r="D5430" t="n">
        <v>4</v>
      </c>
      <c r="E5430" s="10" t="n">
        <v>0</v>
      </c>
      <c r="F5430" s="10" t="n">
        <v>0.2092876342290322</v>
      </c>
      <c r="G5430" s="11">
        <f>E5430*Summary!$B$6</f>
        <v/>
      </c>
      <c r="H5430" s="11">
        <f>F5430*Summary!$B$7</f>
        <v/>
      </c>
      <c r="I5430" s="11">
        <f>MAX(0,N5430-M5430)</f>
        <v/>
      </c>
      <c r="J5430" s="11">
        <f>MAX(0,M5430-N5430)</f>
        <v/>
      </c>
      <c r="K5430" s="11">
        <f>O5430</f>
        <v/>
      </c>
      <c r="L5430" s="11">
        <f>L5429+IF(K5430&gt;0,K5430*Summary!$B$9,K5430/Summary!$B$9)</f>
        <v/>
      </c>
      <c r="M5430" s="11">
        <f>G5430+H5430</f>
        <v/>
      </c>
      <c r="N5430" s="11">
        <f>Summary!$C$16*Summary!$B$8</f>
        <v/>
      </c>
      <c r="O5430" s="11">
        <f>M5430-N5430</f>
        <v/>
      </c>
    </row>
    <row r="5431">
      <c r="A5431" s="9" t="n">
        <v>45518.20833333334</v>
      </c>
      <c r="B5431" t="n">
        <v>8</v>
      </c>
      <c r="C5431" t="n">
        <v>14</v>
      </c>
      <c r="D5431" t="n">
        <v>5</v>
      </c>
      <c r="E5431" s="10" t="n">
        <v>0.02629</v>
      </c>
      <c r="F5431" s="10" t="n">
        <v>0.198931295743511</v>
      </c>
      <c r="G5431" s="11">
        <f>E5431*Summary!$B$6</f>
        <v/>
      </c>
      <c r="H5431" s="11">
        <f>F5431*Summary!$B$7</f>
        <v/>
      </c>
      <c r="I5431" s="11">
        <f>MAX(0,N5431-M5431)</f>
        <v/>
      </c>
      <c r="J5431" s="11">
        <f>MAX(0,M5431-N5431)</f>
        <v/>
      </c>
      <c r="K5431" s="11">
        <f>O5431</f>
        <v/>
      </c>
      <c r="L5431" s="11">
        <f>L5430+IF(K5431&gt;0,K5431*Summary!$B$9,K5431/Summary!$B$9)</f>
        <v/>
      </c>
      <c r="M5431" s="11">
        <f>G5431+H5431</f>
        <v/>
      </c>
      <c r="N5431" s="11">
        <f>Summary!$C$16*Summary!$B$8</f>
        <v/>
      </c>
      <c r="O5431" s="11">
        <f>M5431-N5431</f>
        <v/>
      </c>
    </row>
    <row r="5432">
      <c r="A5432" s="9" t="n">
        <v>45518.25</v>
      </c>
      <c r="B5432" t="n">
        <v>8</v>
      </c>
      <c r="C5432" t="n">
        <v>14</v>
      </c>
      <c r="D5432" t="n">
        <v>6</v>
      </c>
      <c r="E5432" s="10" t="n">
        <v>0.104767</v>
      </c>
      <c r="F5432" s="10" t="n">
        <v>0.1864404447457067</v>
      </c>
      <c r="G5432" s="11">
        <f>E5432*Summary!$B$6</f>
        <v/>
      </c>
      <c r="H5432" s="11">
        <f>F5432*Summary!$B$7</f>
        <v/>
      </c>
      <c r="I5432" s="11">
        <f>MAX(0,N5432-M5432)</f>
        <v/>
      </c>
      <c r="J5432" s="11">
        <f>MAX(0,M5432-N5432)</f>
        <v/>
      </c>
      <c r="K5432" s="11">
        <f>O5432</f>
        <v/>
      </c>
      <c r="L5432" s="11">
        <f>L5431+IF(K5432&gt;0,K5432*Summary!$B$9,K5432/Summary!$B$9)</f>
        <v/>
      </c>
      <c r="M5432" s="11">
        <f>G5432+H5432</f>
        <v/>
      </c>
      <c r="N5432" s="11">
        <f>Summary!$C$16*Summary!$B$8</f>
        <v/>
      </c>
      <c r="O5432" s="11">
        <f>M5432-N5432</f>
        <v/>
      </c>
    </row>
    <row r="5433">
      <c r="A5433" s="9" t="n">
        <v>45518.29166666666</v>
      </c>
      <c r="B5433" t="n">
        <v>8</v>
      </c>
      <c r="C5433" t="n">
        <v>14</v>
      </c>
      <c r="D5433" t="n">
        <v>7</v>
      </c>
      <c r="E5433" s="10" t="n">
        <v>0.242447</v>
      </c>
      <c r="F5433" s="10" t="n">
        <v>0.1775598186143565</v>
      </c>
      <c r="G5433" s="11">
        <f>E5433*Summary!$B$6</f>
        <v/>
      </c>
      <c r="H5433" s="11">
        <f>F5433*Summary!$B$7</f>
        <v/>
      </c>
      <c r="I5433" s="11">
        <f>MAX(0,N5433-M5433)</f>
        <v/>
      </c>
      <c r="J5433" s="11">
        <f>MAX(0,M5433-N5433)</f>
        <v/>
      </c>
      <c r="K5433" s="11">
        <f>O5433</f>
        <v/>
      </c>
      <c r="L5433" s="11">
        <f>L5432+IF(K5433&gt;0,K5433*Summary!$B$9,K5433/Summary!$B$9)</f>
        <v/>
      </c>
      <c r="M5433" s="11">
        <f>G5433+H5433</f>
        <v/>
      </c>
      <c r="N5433" s="11">
        <f>Summary!$C$16*Summary!$B$8</f>
        <v/>
      </c>
      <c r="O5433" s="11">
        <f>M5433-N5433</f>
        <v/>
      </c>
    </row>
    <row r="5434">
      <c r="A5434" s="9" t="n">
        <v>45518.33333333334</v>
      </c>
      <c r="B5434" t="n">
        <v>8</v>
      </c>
      <c r="C5434" t="n">
        <v>14</v>
      </c>
      <c r="D5434" t="n">
        <v>8</v>
      </c>
      <c r="E5434" s="10" t="n">
        <v>0.354616</v>
      </c>
      <c r="F5434" s="10" t="n">
        <v>0.1631452711548651</v>
      </c>
      <c r="G5434" s="11">
        <f>E5434*Summary!$B$6</f>
        <v/>
      </c>
      <c r="H5434" s="11">
        <f>F5434*Summary!$B$7</f>
        <v/>
      </c>
      <c r="I5434" s="11">
        <f>MAX(0,N5434-M5434)</f>
        <v/>
      </c>
      <c r="J5434" s="11">
        <f>MAX(0,M5434-N5434)</f>
        <v/>
      </c>
      <c r="K5434" s="11">
        <f>O5434</f>
        <v/>
      </c>
      <c r="L5434" s="11">
        <f>L5433+IF(K5434&gt;0,K5434*Summary!$B$9,K5434/Summary!$B$9)</f>
        <v/>
      </c>
      <c r="M5434" s="11">
        <f>G5434+H5434</f>
        <v/>
      </c>
      <c r="N5434" s="11">
        <f>Summary!$C$16*Summary!$B$8</f>
        <v/>
      </c>
      <c r="O5434" s="11">
        <f>M5434-N5434</f>
        <v/>
      </c>
    </row>
    <row r="5435">
      <c r="A5435" s="9" t="n">
        <v>45518.375</v>
      </c>
      <c r="B5435" t="n">
        <v>8</v>
      </c>
      <c r="C5435" t="n">
        <v>14</v>
      </c>
      <c r="D5435" t="n">
        <v>9</v>
      </c>
      <c r="E5435" s="10" t="n">
        <v>0.56479</v>
      </c>
      <c r="F5435" s="10" t="n">
        <v>0.1646473355153605</v>
      </c>
      <c r="G5435" s="11">
        <f>E5435*Summary!$B$6</f>
        <v/>
      </c>
      <c r="H5435" s="11">
        <f>F5435*Summary!$B$7</f>
        <v/>
      </c>
      <c r="I5435" s="11">
        <f>MAX(0,N5435-M5435)</f>
        <v/>
      </c>
      <c r="J5435" s="11">
        <f>MAX(0,M5435-N5435)</f>
        <v/>
      </c>
      <c r="K5435" s="11">
        <f>O5435</f>
        <v/>
      </c>
      <c r="L5435" s="11">
        <f>L5434+IF(K5435&gt;0,K5435*Summary!$B$9,K5435/Summary!$B$9)</f>
        <v/>
      </c>
      <c r="M5435" s="11">
        <f>G5435+H5435</f>
        <v/>
      </c>
      <c r="N5435" s="11">
        <f>Summary!$C$16*Summary!$B$8</f>
        <v/>
      </c>
      <c r="O5435" s="11">
        <f>M5435-N5435</f>
        <v/>
      </c>
    </row>
    <row r="5436">
      <c r="A5436" s="9" t="n">
        <v>45518.41666666666</v>
      </c>
      <c r="B5436" t="n">
        <v>8</v>
      </c>
      <c r="C5436" t="n">
        <v>14</v>
      </c>
      <c r="D5436" t="n">
        <v>10</v>
      </c>
      <c r="E5436" s="10" t="n">
        <v>0.74371</v>
      </c>
      <c r="F5436" s="10" t="n">
        <v>0.1730272735265456</v>
      </c>
      <c r="G5436" s="11">
        <f>E5436*Summary!$B$6</f>
        <v/>
      </c>
      <c r="H5436" s="11">
        <f>F5436*Summary!$B$7</f>
        <v/>
      </c>
      <c r="I5436" s="11">
        <f>MAX(0,N5436-M5436)</f>
        <v/>
      </c>
      <c r="J5436" s="11">
        <f>MAX(0,M5436-N5436)</f>
        <v/>
      </c>
      <c r="K5436" s="11">
        <f>O5436</f>
        <v/>
      </c>
      <c r="L5436" s="11">
        <f>L5435+IF(K5436&gt;0,K5436*Summary!$B$9,K5436/Summary!$B$9)</f>
        <v/>
      </c>
      <c r="M5436" s="11">
        <f>G5436+H5436</f>
        <v/>
      </c>
      <c r="N5436" s="11">
        <f>Summary!$C$16*Summary!$B$8</f>
        <v/>
      </c>
      <c r="O5436" s="11">
        <f>M5436-N5436</f>
        <v/>
      </c>
    </row>
    <row r="5437">
      <c r="A5437" s="9" t="n">
        <v>45518.45833333334</v>
      </c>
      <c r="B5437" t="n">
        <v>8</v>
      </c>
      <c r="C5437" t="n">
        <v>14</v>
      </c>
      <c r="D5437" t="n">
        <v>11</v>
      </c>
      <c r="E5437" s="10" t="n">
        <v>0.711054</v>
      </c>
      <c r="F5437" s="10" t="n">
        <v>0.180432187303725</v>
      </c>
      <c r="G5437" s="11">
        <f>E5437*Summary!$B$6</f>
        <v/>
      </c>
      <c r="H5437" s="11">
        <f>F5437*Summary!$B$7</f>
        <v/>
      </c>
      <c r="I5437" s="11">
        <f>MAX(0,N5437-M5437)</f>
        <v/>
      </c>
      <c r="J5437" s="11">
        <f>MAX(0,M5437-N5437)</f>
        <v/>
      </c>
      <c r="K5437" s="11">
        <f>O5437</f>
        <v/>
      </c>
      <c r="L5437" s="11">
        <f>L5436+IF(K5437&gt;0,K5437*Summary!$B$9,K5437/Summary!$B$9)</f>
        <v/>
      </c>
      <c r="M5437" s="11">
        <f>G5437+H5437</f>
        <v/>
      </c>
      <c r="N5437" s="11">
        <f>Summary!$C$16*Summary!$B$8</f>
        <v/>
      </c>
      <c r="O5437" s="11">
        <f>M5437-N5437</f>
        <v/>
      </c>
    </row>
    <row r="5438">
      <c r="A5438" s="9" t="n">
        <v>45518.5</v>
      </c>
      <c r="B5438" t="n">
        <v>8</v>
      </c>
      <c r="C5438" t="n">
        <v>14</v>
      </c>
      <c r="D5438" t="n">
        <v>12</v>
      </c>
      <c r="E5438" s="10" t="n">
        <v>0.6517500000000001</v>
      </c>
      <c r="F5438" s="10" t="n">
        <v>0.1899979655995118</v>
      </c>
      <c r="G5438" s="11">
        <f>E5438*Summary!$B$6</f>
        <v/>
      </c>
      <c r="H5438" s="11">
        <f>F5438*Summary!$B$7</f>
        <v/>
      </c>
      <c r="I5438" s="11">
        <f>MAX(0,N5438-M5438)</f>
        <v/>
      </c>
      <c r="J5438" s="11">
        <f>MAX(0,M5438-N5438)</f>
        <v/>
      </c>
      <c r="K5438" s="11">
        <f>O5438</f>
        <v/>
      </c>
      <c r="L5438" s="11">
        <f>L5437+IF(K5438&gt;0,K5438*Summary!$B$9,K5438/Summary!$B$9)</f>
        <v/>
      </c>
      <c r="M5438" s="11">
        <f>G5438+H5438</f>
        <v/>
      </c>
      <c r="N5438" s="11">
        <f>Summary!$C$16*Summary!$B$8</f>
        <v/>
      </c>
      <c r="O5438" s="11">
        <f>M5438-N5438</f>
        <v/>
      </c>
    </row>
    <row r="5439">
      <c r="A5439" s="9" t="n">
        <v>45518.54166666666</v>
      </c>
      <c r="B5439" t="n">
        <v>8</v>
      </c>
      <c r="C5439" t="n">
        <v>14</v>
      </c>
      <c r="D5439" t="n">
        <v>13</v>
      </c>
      <c r="E5439" s="10" t="n">
        <v>0.599221</v>
      </c>
      <c r="F5439" s="10" t="n">
        <v>0.1970075992818238</v>
      </c>
      <c r="G5439" s="11">
        <f>E5439*Summary!$B$6</f>
        <v/>
      </c>
      <c r="H5439" s="11">
        <f>F5439*Summary!$B$7</f>
        <v/>
      </c>
      <c r="I5439" s="11">
        <f>MAX(0,N5439-M5439)</f>
        <v/>
      </c>
      <c r="J5439" s="11">
        <f>MAX(0,M5439-N5439)</f>
        <v/>
      </c>
      <c r="K5439" s="11">
        <f>O5439</f>
        <v/>
      </c>
      <c r="L5439" s="11">
        <f>L5438+IF(K5439&gt;0,K5439*Summary!$B$9,K5439/Summary!$B$9)</f>
        <v/>
      </c>
      <c r="M5439" s="11">
        <f>G5439+H5439</f>
        <v/>
      </c>
      <c r="N5439" s="11">
        <f>Summary!$C$16*Summary!$B$8</f>
        <v/>
      </c>
      <c r="O5439" s="11">
        <f>M5439-N5439</f>
        <v/>
      </c>
    </row>
    <row r="5440">
      <c r="A5440" s="9" t="n">
        <v>45518.58333333334</v>
      </c>
      <c r="B5440" t="n">
        <v>8</v>
      </c>
      <c r="C5440" t="n">
        <v>14</v>
      </c>
      <c r="D5440" t="n">
        <v>14</v>
      </c>
      <c r="E5440" s="10" t="n">
        <v>0.569268</v>
      </c>
      <c r="F5440" s="10" t="n">
        <v>0.1994319838636761</v>
      </c>
      <c r="G5440" s="11">
        <f>E5440*Summary!$B$6</f>
        <v/>
      </c>
      <c r="H5440" s="11">
        <f>F5440*Summary!$B$7</f>
        <v/>
      </c>
      <c r="I5440" s="11">
        <f>MAX(0,N5440-M5440)</f>
        <v/>
      </c>
      <c r="J5440" s="11">
        <f>MAX(0,M5440-N5440)</f>
        <v/>
      </c>
      <c r="K5440" s="11">
        <f>O5440</f>
        <v/>
      </c>
      <c r="L5440" s="11">
        <f>L5439+IF(K5440&gt;0,K5440*Summary!$B$9,K5440/Summary!$B$9)</f>
        <v/>
      </c>
      <c r="M5440" s="11">
        <f>G5440+H5440</f>
        <v/>
      </c>
      <c r="N5440" s="11">
        <f>Summary!$C$16*Summary!$B$8</f>
        <v/>
      </c>
      <c r="O5440" s="11">
        <f>M5440-N5440</f>
        <v/>
      </c>
    </row>
    <row r="5441">
      <c r="A5441" s="9" t="n">
        <v>45518.625</v>
      </c>
      <c r="B5441" t="n">
        <v>8</v>
      </c>
      <c r="C5441" t="n">
        <v>14</v>
      </c>
      <c r="D5441" t="n">
        <v>15</v>
      </c>
      <c r="E5441" s="10" t="n">
        <v>0.384488</v>
      </c>
      <c r="F5441" s="10" t="n">
        <v>0.1958744630098711</v>
      </c>
      <c r="G5441" s="11">
        <f>E5441*Summary!$B$6</f>
        <v/>
      </c>
      <c r="H5441" s="11">
        <f>F5441*Summary!$B$7</f>
        <v/>
      </c>
      <c r="I5441" s="11">
        <f>MAX(0,N5441-M5441)</f>
        <v/>
      </c>
      <c r="J5441" s="11">
        <f>MAX(0,M5441-N5441)</f>
        <v/>
      </c>
      <c r="K5441" s="11">
        <f>O5441</f>
        <v/>
      </c>
      <c r="L5441" s="11">
        <f>L5440+IF(K5441&gt;0,K5441*Summary!$B$9,K5441/Summary!$B$9)</f>
        <v/>
      </c>
      <c r="M5441" s="11">
        <f>G5441+H5441</f>
        <v/>
      </c>
      <c r="N5441" s="11">
        <f>Summary!$C$16*Summary!$B$8</f>
        <v/>
      </c>
      <c r="O5441" s="11">
        <f>M5441-N5441</f>
        <v/>
      </c>
    </row>
    <row r="5442">
      <c r="A5442" s="9" t="n">
        <v>45518.66666666666</v>
      </c>
      <c r="B5442" t="n">
        <v>8</v>
      </c>
      <c r="C5442" t="n">
        <v>14</v>
      </c>
      <c r="D5442" t="n">
        <v>16</v>
      </c>
      <c r="E5442" s="10" t="n">
        <v>0.392493</v>
      </c>
      <c r="F5442" s="10" t="n">
        <v>0.1908939338145441</v>
      </c>
      <c r="G5442" s="11">
        <f>E5442*Summary!$B$6</f>
        <v/>
      </c>
      <c r="H5442" s="11">
        <f>F5442*Summary!$B$7</f>
        <v/>
      </c>
      <c r="I5442" s="11">
        <f>MAX(0,N5442-M5442)</f>
        <v/>
      </c>
      <c r="J5442" s="11">
        <f>MAX(0,M5442-N5442)</f>
        <v/>
      </c>
      <c r="K5442" s="11">
        <f>O5442</f>
        <v/>
      </c>
      <c r="L5442" s="11">
        <f>L5441+IF(K5442&gt;0,K5442*Summary!$B$9,K5442/Summary!$B$9)</f>
        <v/>
      </c>
      <c r="M5442" s="11">
        <f>G5442+H5442</f>
        <v/>
      </c>
      <c r="N5442" s="11">
        <f>Summary!$C$16*Summary!$B$8</f>
        <v/>
      </c>
      <c r="O5442" s="11">
        <f>M5442-N5442</f>
        <v/>
      </c>
    </row>
    <row r="5443">
      <c r="A5443" s="9" t="n">
        <v>45518.70833333334</v>
      </c>
      <c r="B5443" t="n">
        <v>8</v>
      </c>
      <c r="C5443" t="n">
        <v>14</v>
      </c>
      <c r="D5443" t="n">
        <v>17</v>
      </c>
      <c r="E5443" s="10" t="n">
        <v>0.18174</v>
      </c>
      <c r="F5443" s="10" t="n">
        <v>0.1871783009227922</v>
      </c>
      <c r="G5443" s="11">
        <f>E5443*Summary!$B$6</f>
        <v/>
      </c>
      <c r="H5443" s="11">
        <f>F5443*Summary!$B$7</f>
        <v/>
      </c>
      <c r="I5443" s="11">
        <f>MAX(0,N5443-M5443)</f>
        <v/>
      </c>
      <c r="J5443" s="11">
        <f>MAX(0,M5443-N5443)</f>
        <v/>
      </c>
      <c r="K5443" s="11">
        <f>O5443</f>
        <v/>
      </c>
      <c r="L5443" s="11">
        <f>L5442+IF(K5443&gt;0,K5443*Summary!$B$9,K5443/Summary!$B$9)</f>
        <v/>
      </c>
      <c r="M5443" s="11">
        <f>G5443+H5443</f>
        <v/>
      </c>
      <c r="N5443" s="11">
        <f>Summary!$C$16*Summary!$B$8</f>
        <v/>
      </c>
      <c r="O5443" s="11">
        <f>M5443-N5443</f>
        <v/>
      </c>
    </row>
    <row r="5444">
      <c r="A5444" s="9" t="n">
        <v>45518.75</v>
      </c>
      <c r="B5444" t="n">
        <v>8</v>
      </c>
      <c r="C5444" t="n">
        <v>14</v>
      </c>
      <c r="D5444" t="n">
        <v>18</v>
      </c>
      <c r="E5444" s="10" t="n">
        <v>0.054325</v>
      </c>
      <c r="F5444" s="10" t="n">
        <v>0.186071516657164</v>
      </c>
      <c r="G5444" s="11">
        <f>E5444*Summary!$B$6</f>
        <v/>
      </c>
      <c r="H5444" s="11">
        <f>F5444*Summary!$B$7</f>
        <v/>
      </c>
      <c r="I5444" s="11">
        <f>MAX(0,N5444-M5444)</f>
        <v/>
      </c>
      <c r="J5444" s="11">
        <f>MAX(0,M5444-N5444)</f>
        <v/>
      </c>
      <c r="K5444" s="11">
        <f>O5444</f>
        <v/>
      </c>
      <c r="L5444" s="11">
        <f>L5443+IF(K5444&gt;0,K5444*Summary!$B$9,K5444/Summary!$B$9)</f>
        <v/>
      </c>
      <c r="M5444" s="11">
        <f>G5444+H5444</f>
        <v/>
      </c>
      <c r="N5444" s="11">
        <f>Summary!$C$16*Summary!$B$8</f>
        <v/>
      </c>
      <c r="O5444" s="11">
        <f>M5444-N5444</f>
        <v/>
      </c>
    </row>
    <row r="5445">
      <c r="A5445" s="9" t="n">
        <v>45518.79166666666</v>
      </c>
      <c r="B5445" t="n">
        <v>8</v>
      </c>
      <c r="C5445" t="n">
        <v>14</v>
      </c>
      <c r="D5445" t="n">
        <v>19</v>
      </c>
      <c r="E5445" s="10" t="n">
        <v>0.009311</v>
      </c>
      <c r="F5445" s="10" t="n">
        <v>0.2000907840217881</v>
      </c>
      <c r="G5445" s="11">
        <f>E5445*Summary!$B$6</f>
        <v/>
      </c>
      <c r="H5445" s="11">
        <f>F5445*Summary!$B$7</f>
        <v/>
      </c>
      <c r="I5445" s="11">
        <f>MAX(0,N5445-M5445)</f>
        <v/>
      </c>
      <c r="J5445" s="11">
        <f>MAX(0,M5445-N5445)</f>
        <v/>
      </c>
      <c r="K5445" s="11">
        <f>O5445</f>
        <v/>
      </c>
      <c r="L5445" s="11">
        <f>L5444+IF(K5445&gt;0,K5445*Summary!$B$9,K5445/Summary!$B$9)</f>
        <v/>
      </c>
      <c r="M5445" s="11">
        <f>G5445+H5445</f>
        <v/>
      </c>
      <c r="N5445" s="11">
        <f>Summary!$C$16*Summary!$B$8</f>
        <v/>
      </c>
      <c r="O5445" s="11">
        <f>M5445-N5445</f>
        <v/>
      </c>
    </row>
    <row r="5446">
      <c r="A5446" s="9" t="n">
        <v>45518.83333333334</v>
      </c>
      <c r="B5446" t="n">
        <v>8</v>
      </c>
      <c r="C5446" t="n">
        <v>14</v>
      </c>
      <c r="D5446" t="n">
        <v>20</v>
      </c>
      <c r="E5446" s="10" t="n">
        <v>0</v>
      </c>
      <c r="F5446" s="10" t="n">
        <v>0.2271015905043817</v>
      </c>
      <c r="G5446" s="11">
        <f>E5446*Summary!$B$6</f>
        <v/>
      </c>
      <c r="H5446" s="11">
        <f>F5446*Summary!$B$7</f>
        <v/>
      </c>
      <c r="I5446" s="11">
        <f>MAX(0,N5446-M5446)</f>
        <v/>
      </c>
      <c r="J5446" s="11">
        <f>MAX(0,M5446-N5446)</f>
        <v/>
      </c>
      <c r="K5446" s="11">
        <f>O5446</f>
        <v/>
      </c>
      <c r="L5446" s="11">
        <f>L5445+IF(K5446&gt;0,K5446*Summary!$B$9,K5446/Summary!$B$9)</f>
        <v/>
      </c>
      <c r="M5446" s="11">
        <f>G5446+H5446</f>
        <v/>
      </c>
      <c r="N5446" s="11">
        <f>Summary!$C$16*Summary!$B$8</f>
        <v/>
      </c>
      <c r="O5446" s="11">
        <f>M5446-N5446</f>
        <v/>
      </c>
    </row>
    <row r="5447">
      <c r="A5447" s="9" t="n">
        <v>45518.875</v>
      </c>
      <c r="B5447" t="n">
        <v>8</v>
      </c>
      <c r="C5447" t="n">
        <v>14</v>
      </c>
      <c r="D5447" t="n">
        <v>21</v>
      </c>
      <c r="E5447" s="10" t="n">
        <v>0</v>
      </c>
      <c r="F5447" s="10" t="n">
        <v>0.2504494681078723</v>
      </c>
      <c r="G5447" s="11">
        <f>E5447*Summary!$B$6</f>
        <v/>
      </c>
      <c r="H5447" s="11">
        <f>F5447*Summary!$B$7</f>
        <v/>
      </c>
      <c r="I5447" s="11">
        <f>MAX(0,N5447-M5447)</f>
        <v/>
      </c>
      <c r="J5447" s="11">
        <f>MAX(0,M5447-N5447)</f>
        <v/>
      </c>
      <c r="K5447" s="11">
        <f>O5447</f>
        <v/>
      </c>
      <c r="L5447" s="11">
        <f>L5446+IF(K5447&gt;0,K5447*Summary!$B$9,K5447/Summary!$B$9)</f>
        <v/>
      </c>
      <c r="M5447" s="11">
        <f>G5447+H5447</f>
        <v/>
      </c>
      <c r="N5447" s="11">
        <f>Summary!$C$16*Summary!$B$8</f>
        <v/>
      </c>
      <c r="O5447" s="11">
        <f>M5447-N5447</f>
        <v/>
      </c>
    </row>
    <row r="5448">
      <c r="A5448" s="9" t="n">
        <v>45518.91666666666</v>
      </c>
      <c r="B5448" t="n">
        <v>8</v>
      </c>
      <c r="C5448" t="n">
        <v>14</v>
      </c>
      <c r="D5448" t="n">
        <v>22</v>
      </c>
      <c r="E5448" s="10" t="n">
        <v>0</v>
      </c>
      <c r="F5448" s="10" t="n">
        <v>0.2671829921239181</v>
      </c>
      <c r="G5448" s="11">
        <f>E5448*Summary!$B$6</f>
        <v/>
      </c>
      <c r="H5448" s="11">
        <f>F5448*Summary!$B$7</f>
        <v/>
      </c>
      <c r="I5448" s="11">
        <f>MAX(0,N5448-M5448)</f>
        <v/>
      </c>
      <c r="J5448" s="11">
        <f>MAX(0,M5448-N5448)</f>
        <v/>
      </c>
      <c r="K5448" s="11">
        <f>O5448</f>
        <v/>
      </c>
      <c r="L5448" s="11">
        <f>L5447+IF(K5448&gt;0,K5448*Summary!$B$9,K5448/Summary!$B$9)</f>
        <v/>
      </c>
      <c r="M5448" s="11">
        <f>G5448+H5448</f>
        <v/>
      </c>
      <c r="N5448" s="11">
        <f>Summary!$C$16*Summary!$B$8</f>
        <v/>
      </c>
      <c r="O5448" s="11">
        <f>M5448-N5448</f>
        <v/>
      </c>
    </row>
    <row r="5449">
      <c r="A5449" s="9" t="n">
        <v>45518.95833333334</v>
      </c>
      <c r="B5449" t="n">
        <v>8</v>
      </c>
      <c r="C5449" t="n">
        <v>14</v>
      </c>
      <c r="D5449" t="n">
        <v>23</v>
      </c>
      <c r="E5449" s="10" t="n">
        <v>0</v>
      </c>
      <c r="F5449" s="10" t="n">
        <v>0.2629666711120011</v>
      </c>
      <c r="G5449" s="11">
        <f>E5449*Summary!$B$6</f>
        <v/>
      </c>
      <c r="H5449" s="11">
        <f>F5449*Summary!$B$7</f>
        <v/>
      </c>
      <c r="I5449" s="11">
        <f>MAX(0,N5449-M5449)</f>
        <v/>
      </c>
      <c r="J5449" s="11">
        <f>MAX(0,M5449-N5449)</f>
        <v/>
      </c>
      <c r="K5449" s="11">
        <f>O5449</f>
        <v/>
      </c>
      <c r="L5449" s="11">
        <f>L5448+IF(K5449&gt;0,K5449*Summary!$B$9,K5449/Summary!$B$9)</f>
        <v/>
      </c>
      <c r="M5449" s="11">
        <f>G5449+H5449</f>
        <v/>
      </c>
      <c r="N5449" s="11">
        <f>Summary!$C$16*Summary!$B$8</f>
        <v/>
      </c>
      <c r="O5449" s="11">
        <f>M5449-N5449</f>
        <v/>
      </c>
    </row>
    <row r="5450">
      <c r="A5450" s="9" t="n">
        <v>45519</v>
      </c>
      <c r="B5450" t="n">
        <v>8</v>
      </c>
      <c r="C5450" t="n">
        <v>15</v>
      </c>
      <c r="D5450" t="n">
        <v>0</v>
      </c>
      <c r="E5450" s="10" t="n">
        <v>0</v>
      </c>
      <c r="F5450" s="10" t="n">
        <v>0.2985155276437266</v>
      </c>
      <c r="G5450" s="11">
        <f>E5450*Summary!$B$6</f>
        <v/>
      </c>
      <c r="H5450" s="11">
        <f>F5450*Summary!$B$7</f>
        <v/>
      </c>
      <c r="I5450" s="11">
        <f>MAX(0,N5450-M5450)</f>
        <v/>
      </c>
      <c r="J5450" s="11">
        <f>MAX(0,M5450-N5450)</f>
        <v/>
      </c>
      <c r="K5450" s="11">
        <f>O5450</f>
        <v/>
      </c>
      <c r="L5450" s="11">
        <f>L5449+IF(K5450&gt;0,K5450*Summary!$B$9,K5450/Summary!$B$9)</f>
        <v/>
      </c>
      <c r="M5450" s="11">
        <f>G5450+H5450</f>
        <v/>
      </c>
      <c r="N5450" s="11">
        <f>Summary!$C$16*Summary!$B$8</f>
        <v/>
      </c>
      <c r="O5450" s="11">
        <f>M5450-N5450</f>
        <v/>
      </c>
    </row>
    <row r="5451">
      <c r="A5451" s="9" t="n">
        <v>45519.04166666666</v>
      </c>
      <c r="B5451" t="n">
        <v>8</v>
      </c>
      <c r="C5451" t="n">
        <v>15</v>
      </c>
      <c r="D5451" t="n">
        <v>1</v>
      </c>
      <c r="E5451" s="10" t="n">
        <v>0</v>
      </c>
      <c r="F5451" s="10" t="n">
        <v>0.2450209548050291</v>
      </c>
      <c r="G5451" s="11">
        <f>E5451*Summary!$B$6</f>
        <v/>
      </c>
      <c r="H5451" s="11">
        <f>F5451*Summary!$B$7</f>
        <v/>
      </c>
      <c r="I5451" s="11">
        <f>MAX(0,N5451-M5451)</f>
        <v/>
      </c>
      <c r="J5451" s="11">
        <f>MAX(0,M5451-N5451)</f>
        <v/>
      </c>
      <c r="K5451" s="11">
        <f>O5451</f>
        <v/>
      </c>
      <c r="L5451" s="11">
        <f>L5450+IF(K5451&gt;0,K5451*Summary!$B$9,K5451/Summary!$B$9)</f>
        <v/>
      </c>
      <c r="M5451" s="11">
        <f>G5451+H5451</f>
        <v/>
      </c>
      <c r="N5451" s="11">
        <f>Summary!$C$16*Summary!$B$8</f>
        <v/>
      </c>
      <c r="O5451" s="11">
        <f>M5451-N5451</f>
        <v/>
      </c>
    </row>
    <row r="5452">
      <c r="A5452" s="9" t="n">
        <v>45519.08333333334</v>
      </c>
      <c r="B5452" t="n">
        <v>8</v>
      </c>
      <c r="C5452" t="n">
        <v>15</v>
      </c>
      <c r="D5452" t="n">
        <v>2</v>
      </c>
      <c r="E5452" s="10" t="n">
        <v>0</v>
      </c>
      <c r="F5452" s="10" t="n">
        <v>0.2338740561297735</v>
      </c>
      <c r="G5452" s="11">
        <f>E5452*Summary!$B$6</f>
        <v/>
      </c>
      <c r="H5452" s="11">
        <f>F5452*Summary!$B$7</f>
        <v/>
      </c>
      <c r="I5452" s="11">
        <f>MAX(0,N5452-M5452)</f>
        <v/>
      </c>
      <c r="J5452" s="11">
        <f>MAX(0,M5452-N5452)</f>
        <v/>
      </c>
      <c r="K5452" s="11">
        <f>O5452</f>
        <v/>
      </c>
      <c r="L5452" s="11">
        <f>L5451+IF(K5452&gt;0,K5452*Summary!$B$9,K5452/Summary!$B$9)</f>
        <v/>
      </c>
      <c r="M5452" s="11">
        <f>G5452+H5452</f>
        <v/>
      </c>
      <c r="N5452" s="11">
        <f>Summary!$C$16*Summary!$B$8</f>
        <v/>
      </c>
      <c r="O5452" s="11">
        <f>M5452-N5452</f>
        <v/>
      </c>
    </row>
    <row r="5453">
      <c r="A5453" s="9" t="n">
        <v>45519.125</v>
      </c>
      <c r="B5453" t="n">
        <v>8</v>
      </c>
      <c r="C5453" t="n">
        <v>15</v>
      </c>
      <c r="D5453" t="n">
        <v>3</v>
      </c>
      <c r="E5453" s="10" t="n">
        <v>0</v>
      </c>
      <c r="F5453" s="10" t="n">
        <v>0.2231487895557095</v>
      </c>
      <c r="G5453" s="11">
        <f>E5453*Summary!$B$6</f>
        <v/>
      </c>
      <c r="H5453" s="11">
        <f>F5453*Summary!$B$7</f>
        <v/>
      </c>
      <c r="I5453" s="11">
        <f>MAX(0,N5453-M5453)</f>
        <v/>
      </c>
      <c r="J5453" s="11">
        <f>MAX(0,M5453-N5453)</f>
        <v/>
      </c>
      <c r="K5453" s="11">
        <f>O5453</f>
        <v/>
      </c>
      <c r="L5453" s="11">
        <f>L5452+IF(K5453&gt;0,K5453*Summary!$B$9,K5453/Summary!$B$9)</f>
        <v/>
      </c>
      <c r="M5453" s="11">
        <f>G5453+H5453</f>
        <v/>
      </c>
      <c r="N5453" s="11">
        <f>Summary!$C$16*Summary!$B$8</f>
        <v/>
      </c>
      <c r="O5453" s="11">
        <f>M5453-N5453</f>
        <v/>
      </c>
    </row>
    <row r="5454">
      <c r="A5454" s="9" t="n">
        <v>45519.16666666666</v>
      </c>
      <c r="B5454" t="n">
        <v>8</v>
      </c>
      <c r="C5454" t="n">
        <v>15</v>
      </c>
      <c r="D5454" t="n">
        <v>4</v>
      </c>
      <c r="E5454" s="10" t="n">
        <v>0</v>
      </c>
      <c r="F5454" s="10" t="n">
        <v>0.2131877311650555</v>
      </c>
      <c r="G5454" s="11">
        <f>E5454*Summary!$B$6</f>
        <v/>
      </c>
      <c r="H5454" s="11">
        <f>F5454*Summary!$B$7</f>
        <v/>
      </c>
      <c r="I5454" s="11">
        <f>MAX(0,N5454-M5454)</f>
        <v/>
      </c>
      <c r="J5454" s="11">
        <f>MAX(0,M5454-N5454)</f>
        <v/>
      </c>
      <c r="K5454" s="11">
        <f>O5454</f>
        <v/>
      </c>
      <c r="L5454" s="11">
        <f>L5453+IF(K5454&gt;0,K5454*Summary!$B$9,K5454/Summary!$B$9)</f>
        <v/>
      </c>
      <c r="M5454" s="11">
        <f>G5454+H5454</f>
        <v/>
      </c>
      <c r="N5454" s="11">
        <f>Summary!$C$16*Summary!$B$8</f>
        <v/>
      </c>
      <c r="O5454" s="11">
        <f>M5454-N5454</f>
        <v/>
      </c>
    </row>
    <row r="5455">
      <c r="A5455" s="9" t="n">
        <v>45519.20833333334</v>
      </c>
      <c r="B5455" t="n">
        <v>8</v>
      </c>
      <c r="C5455" t="n">
        <v>15</v>
      </c>
      <c r="D5455" t="n">
        <v>5</v>
      </c>
      <c r="E5455" s="10" t="n">
        <v>0.005599</v>
      </c>
      <c r="F5455" s="10" t="n">
        <v>0.1967177272122545</v>
      </c>
      <c r="G5455" s="11">
        <f>E5455*Summary!$B$6</f>
        <v/>
      </c>
      <c r="H5455" s="11">
        <f>F5455*Summary!$B$7</f>
        <v/>
      </c>
      <c r="I5455" s="11">
        <f>MAX(0,N5455-M5455)</f>
        <v/>
      </c>
      <c r="J5455" s="11">
        <f>MAX(0,M5455-N5455)</f>
        <v/>
      </c>
      <c r="K5455" s="11">
        <f>O5455</f>
        <v/>
      </c>
      <c r="L5455" s="11">
        <f>L5454+IF(K5455&gt;0,K5455*Summary!$B$9,K5455/Summary!$B$9)</f>
        <v/>
      </c>
      <c r="M5455" s="11">
        <f>G5455+H5455</f>
        <v/>
      </c>
      <c r="N5455" s="11">
        <f>Summary!$C$16*Summary!$B$8</f>
        <v/>
      </c>
      <c r="O5455" s="11">
        <f>M5455-N5455</f>
        <v/>
      </c>
    </row>
    <row r="5456">
      <c r="A5456" s="9" t="n">
        <v>45519.25</v>
      </c>
      <c r="B5456" t="n">
        <v>8</v>
      </c>
      <c r="C5456" t="n">
        <v>15</v>
      </c>
      <c r="D5456" t="n">
        <v>6</v>
      </c>
      <c r="E5456" s="10" t="n">
        <v>0.00716</v>
      </c>
      <c r="F5456" s="10" t="n">
        <v>0.1733962016150884</v>
      </c>
      <c r="G5456" s="11">
        <f>E5456*Summary!$B$6</f>
        <v/>
      </c>
      <c r="H5456" s="11">
        <f>F5456*Summary!$B$7</f>
        <v/>
      </c>
      <c r="I5456" s="11">
        <f>MAX(0,N5456-M5456)</f>
        <v/>
      </c>
      <c r="J5456" s="11">
        <f>MAX(0,M5456-N5456)</f>
        <v/>
      </c>
      <c r="K5456" s="11">
        <f>O5456</f>
        <v/>
      </c>
      <c r="L5456" s="11">
        <f>L5455+IF(K5456&gt;0,K5456*Summary!$B$9,K5456/Summary!$B$9)</f>
        <v/>
      </c>
      <c r="M5456" s="11">
        <f>G5456+H5456</f>
        <v/>
      </c>
      <c r="N5456" s="11">
        <f>Summary!$C$16*Summary!$B$8</f>
        <v/>
      </c>
      <c r="O5456" s="11">
        <f>M5456-N5456</f>
        <v/>
      </c>
    </row>
    <row r="5457">
      <c r="A5457" s="9" t="n">
        <v>45519.29166666666</v>
      </c>
      <c r="B5457" t="n">
        <v>8</v>
      </c>
      <c r="C5457" t="n">
        <v>15</v>
      </c>
      <c r="D5457" t="n">
        <v>7</v>
      </c>
      <c r="E5457" s="10" t="n">
        <v>0.011105</v>
      </c>
      <c r="F5457" s="10" t="n">
        <v>0.1509179402203056</v>
      </c>
      <c r="G5457" s="11">
        <f>E5457*Summary!$B$6</f>
        <v/>
      </c>
      <c r="H5457" s="11">
        <f>F5457*Summary!$B$7</f>
        <v/>
      </c>
      <c r="I5457" s="11">
        <f>MAX(0,N5457-M5457)</f>
        <v/>
      </c>
      <c r="J5457" s="11">
        <f>MAX(0,M5457-N5457)</f>
        <v/>
      </c>
      <c r="K5457" s="11">
        <f>O5457</f>
        <v/>
      </c>
      <c r="L5457" s="11">
        <f>L5456+IF(K5457&gt;0,K5457*Summary!$B$9,K5457/Summary!$B$9)</f>
        <v/>
      </c>
      <c r="M5457" s="11">
        <f>G5457+H5457</f>
        <v/>
      </c>
      <c r="N5457" s="11">
        <f>Summary!$C$16*Summary!$B$8</f>
        <v/>
      </c>
      <c r="O5457" s="11">
        <f>M5457-N5457</f>
        <v/>
      </c>
    </row>
    <row r="5458">
      <c r="A5458" s="9" t="n">
        <v>45519.33333333334</v>
      </c>
      <c r="B5458" t="n">
        <v>8</v>
      </c>
      <c r="C5458" t="n">
        <v>15</v>
      </c>
      <c r="D5458" t="n">
        <v>8</v>
      </c>
      <c r="E5458" s="10" t="n">
        <v>0.060166</v>
      </c>
      <c r="F5458" s="10" t="n">
        <v>0.1462799871071969</v>
      </c>
      <c r="G5458" s="11">
        <f>E5458*Summary!$B$6</f>
        <v/>
      </c>
      <c r="H5458" s="11">
        <f>F5458*Summary!$B$7</f>
        <v/>
      </c>
      <c r="I5458" s="11">
        <f>MAX(0,N5458-M5458)</f>
        <v/>
      </c>
      <c r="J5458" s="11">
        <f>MAX(0,M5458-N5458)</f>
        <v/>
      </c>
      <c r="K5458" s="11">
        <f>O5458</f>
        <v/>
      </c>
      <c r="L5458" s="11">
        <f>L5457+IF(K5458&gt;0,K5458*Summary!$B$9,K5458/Summary!$B$9)</f>
        <v/>
      </c>
      <c r="M5458" s="11">
        <f>G5458+H5458</f>
        <v/>
      </c>
      <c r="N5458" s="11">
        <f>Summary!$C$16*Summary!$B$8</f>
        <v/>
      </c>
      <c r="O5458" s="11">
        <f>M5458-N5458</f>
        <v/>
      </c>
    </row>
    <row r="5459">
      <c r="A5459" s="9" t="n">
        <v>45519.375</v>
      </c>
      <c r="B5459" t="n">
        <v>8</v>
      </c>
      <c r="C5459" t="n">
        <v>15</v>
      </c>
      <c r="D5459" t="n">
        <v>9</v>
      </c>
      <c r="E5459" s="10" t="n">
        <v>0.080148</v>
      </c>
      <c r="F5459" s="10" t="n">
        <v>0.1595350462884111</v>
      </c>
      <c r="G5459" s="11">
        <f>E5459*Summary!$B$6</f>
        <v/>
      </c>
      <c r="H5459" s="11">
        <f>F5459*Summary!$B$7</f>
        <v/>
      </c>
      <c r="I5459" s="11">
        <f>MAX(0,N5459-M5459)</f>
        <v/>
      </c>
      <c r="J5459" s="11">
        <f>MAX(0,M5459-N5459)</f>
        <v/>
      </c>
      <c r="K5459" s="11">
        <f>O5459</f>
        <v/>
      </c>
      <c r="L5459" s="11">
        <f>L5458+IF(K5459&gt;0,K5459*Summary!$B$9,K5459/Summary!$B$9)</f>
        <v/>
      </c>
      <c r="M5459" s="11">
        <f>G5459+H5459</f>
        <v/>
      </c>
      <c r="N5459" s="11">
        <f>Summary!$C$16*Summary!$B$8</f>
        <v/>
      </c>
      <c r="O5459" s="11">
        <f>M5459-N5459</f>
        <v/>
      </c>
    </row>
    <row r="5460">
      <c r="A5460" s="9" t="n">
        <v>45519.41666666666</v>
      </c>
      <c r="B5460" t="n">
        <v>8</v>
      </c>
      <c r="C5460" t="n">
        <v>15</v>
      </c>
      <c r="D5460" t="n">
        <v>10</v>
      </c>
      <c r="E5460" s="10" t="n">
        <v>0.116021</v>
      </c>
      <c r="F5460" s="10" t="n">
        <v>0.1776125226270054</v>
      </c>
      <c r="G5460" s="11">
        <f>E5460*Summary!$B$6</f>
        <v/>
      </c>
      <c r="H5460" s="11">
        <f>F5460*Summary!$B$7</f>
        <v/>
      </c>
      <c r="I5460" s="11">
        <f>MAX(0,N5460-M5460)</f>
        <v/>
      </c>
      <c r="J5460" s="11">
        <f>MAX(0,M5460-N5460)</f>
        <v/>
      </c>
      <c r="K5460" s="11">
        <f>O5460</f>
        <v/>
      </c>
      <c r="L5460" s="11">
        <f>L5459+IF(K5460&gt;0,K5460*Summary!$B$9,K5460/Summary!$B$9)</f>
        <v/>
      </c>
      <c r="M5460" s="11">
        <f>G5460+H5460</f>
        <v/>
      </c>
      <c r="N5460" s="11">
        <f>Summary!$C$16*Summary!$B$8</f>
        <v/>
      </c>
      <c r="O5460" s="11">
        <f>M5460-N5460</f>
        <v/>
      </c>
    </row>
    <row r="5461">
      <c r="A5461" s="9" t="n">
        <v>45519.45833333334</v>
      </c>
      <c r="B5461" t="n">
        <v>8</v>
      </c>
      <c r="C5461" t="n">
        <v>15</v>
      </c>
      <c r="D5461" t="n">
        <v>11</v>
      </c>
      <c r="E5461" s="10" t="n">
        <v>0.045272</v>
      </c>
      <c r="F5461" s="10" t="n">
        <v>0.1951629588391101</v>
      </c>
      <c r="G5461" s="11">
        <f>E5461*Summary!$B$6</f>
        <v/>
      </c>
      <c r="H5461" s="11">
        <f>F5461*Summary!$B$7</f>
        <v/>
      </c>
      <c r="I5461" s="11">
        <f>MAX(0,N5461-M5461)</f>
        <v/>
      </c>
      <c r="J5461" s="11">
        <f>MAX(0,M5461-N5461)</f>
        <v/>
      </c>
      <c r="K5461" s="11">
        <f>O5461</f>
        <v/>
      </c>
      <c r="L5461" s="11">
        <f>L5460+IF(K5461&gt;0,K5461*Summary!$B$9,K5461/Summary!$B$9)</f>
        <v/>
      </c>
      <c r="M5461" s="11">
        <f>G5461+H5461</f>
        <v/>
      </c>
      <c r="N5461" s="11">
        <f>Summary!$C$16*Summary!$B$8</f>
        <v/>
      </c>
      <c r="O5461" s="11">
        <f>M5461-N5461</f>
        <v/>
      </c>
    </row>
    <row r="5462">
      <c r="A5462" s="9" t="n">
        <v>45519.5</v>
      </c>
      <c r="B5462" t="n">
        <v>8</v>
      </c>
      <c r="C5462" t="n">
        <v>15</v>
      </c>
      <c r="D5462" t="n">
        <v>12</v>
      </c>
      <c r="E5462" s="10" t="n">
        <v>0.082792</v>
      </c>
      <c r="F5462" s="10" t="n">
        <v>0.2214886131572671</v>
      </c>
      <c r="G5462" s="11">
        <f>E5462*Summary!$B$6</f>
        <v/>
      </c>
      <c r="H5462" s="11">
        <f>F5462*Summary!$B$7</f>
        <v/>
      </c>
      <c r="I5462" s="11">
        <f>MAX(0,N5462-M5462)</f>
        <v/>
      </c>
      <c r="J5462" s="11">
        <f>MAX(0,M5462-N5462)</f>
        <v/>
      </c>
      <c r="K5462" s="11">
        <f>O5462</f>
        <v/>
      </c>
      <c r="L5462" s="11">
        <f>L5461+IF(K5462&gt;0,K5462*Summary!$B$9,K5462/Summary!$B$9)</f>
        <v/>
      </c>
      <c r="M5462" s="11">
        <f>G5462+H5462</f>
        <v/>
      </c>
      <c r="N5462" s="11">
        <f>Summary!$C$16*Summary!$B$8</f>
        <v/>
      </c>
      <c r="O5462" s="11">
        <f>M5462-N5462</f>
        <v/>
      </c>
    </row>
    <row r="5463">
      <c r="A5463" s="9" t="n">
        <v>45519.54166666666</v>
      </c>
      <c r="B5463" t="n">
        <v>8</v>
      </c>
      <c r="C5463" t="n">
        <v>15</v>
      </c>
      <c r="D5463" t="n">
        <v>13</v>
      </c>
      <c r="E5463" s="10" t="n">
        <v>0.103248</v>
      </c>
      <c r="F5463" s="10" t="n">
        <v>0.242385754172581</v>
      </c>
      <c r="G5463" s="11">
        <f>E5463*Summary!$B$6</f>
        <v/>
      </c>
      <c r="H5463" s="11">
        <f>F5463*Summary!$B$7</f>
        <v/>
      </c>
      <c r="I5463" s="11">
        <f>MAX(0,N5463-M5463)</f>
        <v/>
      </c>
      <c r="J5463" s="11">
        <f>MAX(0,M5463-N5463)</f>
        <v/>
      </c>
      <c r="K5463" s="11">
        <f>O5463</f>
        <v/>
      </c>
      <c r="L5463" s="11">
        <f>L5462+IF(K5463&gt;0,K5463*Summary!$B$9,K5463/Summary!$B$9)</f>
        <v/>
      </c>
      <c r="M5463" s="11">
        <f>G5463+H5463</f>
        <v/>
      </c>
      <c r="N5463" s="11">
        <f>Summary!$C$16*Summary!$B$8</f>
        <v/>
      </c>
      <c r="O5463" s="11">
        <f>M5463-N5463</f>
        <v/>
      </c>
    </row>
    <row r="5464">
      <c r="A5464" s="9" t="n">
        <v>45519.58333333334</v>
      </c>
      <c r="B5464" t="n">
        <v>8</v>
      </c>
      <c r="C5464" t="n">
        <v>15</v>
      </c>
      <c r="D5464" t="n">
        <v>14</v>
      </c>
      <c r="E5464" s="10" t="n">
        <v>0.134188</v>
      </c>
      <c r="F5464" s="10" t="n">
        <v>0.255851629404391</v>
      </c>
      <c r="G5464" s="11">
        <f>E5464*Summary!$B$6</f>
        <v/>
      </c>
      <c r="H5464" s="11">
        <f>F5464*Summary!$B$7</f>
        <v/>
      </c>
      <c r="I5464" s="11">
        <f>MAX(0,N5464-M5464)</f>
        <v/>
      </c>
      <c r="J5464" s="11">
        <f>MAX(0,M5464-N5464)</f>
        <v/>
      </c>
      <c r="K5464" s="11">
        <f>O5464</f>
        <v/>
      </c>
      <c r="L5464" s="11">
        <f>L5463+IF(K5464&gt;0,K5464*Summary!$B$9,K5464/Summary!$B$9)</f>
        <v/>
      </c>
      <c r="M5464" s="11">
        <f>G5464+H5464</f>
        <v/>
      </c>
      <c r="N5464" s="11">
        <f>Summary!$C$16*Summary!$B$8</f>
        <v/>
      </c>
      <c r="O5464" s="11">
        <f>M5464-N5464</f>
        <v/>
      </c>
    </row>
    <row r="5465">
      <c r="A5465" s="9" t="n">
        <v>45519.625</v>
      </c>
      <c r="B5465" t="n">
        <v>8</v>
      </c>
      <c r="C5465" t="n">
        <v>15</v>
      </c>
      <c r="D5465" t="n">
        <v>15</v>
      </c>
      <c r="E5465" s="10" t="n">
        <v>0.113144</v>
      </c>
      <c r="F5465" s="10" t="n">
        <v>0.2698181927563663</v>
      </c>
      <c r="G5465" s="11">
        <f>E5465*Summary!$B$6</f>
        <v/>
      </c>
      <c r="H5465" s="11">
        <f>F5465*Summary!$B$7</f>
        <v/>
      </c>
      <c r="I5465" s="11">
        <f>MAX(0,N5465-M5465)</f>
        <v/>
      </c>
      <c r="J5465" s="11">
        <f>MAX(0,M5465-N5465)</f>
        <v/>
      </c>
      <c r="K5465" s="11">
        <f>O5465</f>
        <v/>
      </c>
      <c r="L5465" s="11">
        <f>L5464+IF(K5465&gt;0,K5465*Summary!$B$9,K5465/Summary!$B$9)</f>
        <v/>
      </c>
      <c r="M5465" s="11">
        <f>G5465+H5465</f>
        <v/>
      </c>
      <c r="N5465" s="11">
        <f>Summary!$C$16*Summary!$B$8</f>
        <v/>
      </c>
      <c r="O5465" s="11">
        <f>M5465-N5465</f>
        <v/>
      </c>
    </row>
    <row r="5466">
      <c r="A5466" s="9" t="n">
        <v>45519.66666666666</v>
      </c>
      <c r="B5466" t="n">
        <v>8</v>
      </c>
      <c r="C5466" t="n">
        <v>15</v>
      </c>
      <c r="D5466" t="n">
        <v>16</v>
      </c>
      <c r="E5466" s="10" t="n">
        <v>0.142969</v>
      </c>
      <c r="F5466" s="10" t="n">
        <v>0.2819664676719522</v>
      </c>
      <c r="G5466" s="11">
        <f>E5466*Summary!$B$6</f>
        <v/>
      </c>
      <c r="H5466" s="11">
        <f>F5466*Summary!$B$7</f>
        <v/>
      </c>
      <c r="I5466" s="11">
        <f>MAX(0,N5466-M5466)</f>
        <v/>
      </c>
      <c r="J5466" s="11">
        <f>MAX(0,M5466-N5466)</f>
        <v/>
      </c>
      <c r="K5466" s="11">
        <f>O5466</f>
        <v/>
      </c>
      <c r="L5466" s="11">
        <f>L5465+IF(K5466&gt;0,K5466*Summary!$B$9,K5466/Summary!$B$9)</f>
        <v/>
      </c>
      <c r="M5466" s="11">
        <f>G5466+H5466</f>
        <v/>
      </c>
      <c r="N5466" s="11">
        <f>Summary!$C$16*Summary!$B$8</f>
        <v/>
      </c>
      <c r="O5466" s="11">
        <f>M5466-N5466</f>
        <v/>
      </c>
    </row>
    <row r="5467">
      <c r="A5467" s="9" t="n">
        <v>45519.70833333334</v>
      </c>
      <c r="B5467" t="n">
        <v>8</v>
      </c>
      <c r="C5467" t="n">
        <v>15</v>
      </c>
      <c r="D5467" t="n">
        <v>17</v>
      </c>
      <c r="E5467" s="10" t="n">
        <v>0.16377</v>
      </c>
      <c r="F5467" s="10" t="n">
        <v>0.2567739496257479</v>
      </c>
      <c r="G5467" s="11">
        <f>E5467*Summary!$B$6</f>
        <v/>
      </c>
      <c r="H5467" s="11">
        <f>F5467*Summary!$B$7</f>
        <v/>
      </c>
      <c r="I5467" s="11">
        <f>MAX(0,N5467-M5467)</f>
        <v/>
      </c>
      <c r="J5467" s="11">
        <f>MAX(0,M5467-N5467)</f>
        <v/>
      </c>
      <c r="K5467" s="11">
        <f>O5467</f>
        <v/>
      </c>
      <c r="L5467" s="11">
        <f>L5466+IF(K5467&gt;0,K5467*Summary!$B$9,K5467/Summary!$B$9)</f>
        <v/>
      </c>
      <c r="M5467" s="11">
        <f>G5467+H5467</f>
        <v/>
      </c>
      <c r="N5467" s="11">
        <f>Summary!$C$16*Summary!$B$8</f>
        <v/>
      </c>
      <c r="O5467" s="11">
        <f>M5467-N5467</f>
        <v/>
      </c>
    </row>
    <row r="5468">
      <c r="A5468" s="9" t="n">
        <v>45519.75</v>
      </c>
      <c r="B5468" t="n">
        <v>8</v>
      </c>
      <c r="C5468" t="n">
        <v>15</v>
      </c>
      <c r="D5468" t="n">
        <v>18</v>
      </c>
      <c r="E5468" s="10" t="n">
        <v>0.045123</v>
      </c>
      <c r="F5468" s="10" t="n">
        <v>0.2545867331008159</v>
      </c>
      <c r="G5468" s="11">
        <f>E5468*Summary!$B$6</f>
        <v/>
      </c>
      <c r="H5468" s="11">
        <f>F5468*Summary!$B$7</f>
        <v/>
      </c>
      <c r="I5468" s="11">
        <f>MAX(0,N5468-M5468)</f>
        <v/>
      </c>
      <c r="J5468" s="11">
        <f>MAX(0,M5468-N5468)</f>
        <v/>
      </c>
      <c r="K5468" s="11">
        <f>O5468</f>
        <v/>
      </c>
      <c r="L5468" s="11">
        <f>L5467+IF(K5468&gt;0,K5468*Summary!$B$9,K5468/Summary!$B$9)</f>
        <v/>
      </c>
      <c r="M5468" s="11">
        <f>G5468+H5468</f>
        <v/>
      </c>
      <c r="N5468" s="11">
        <f>Summary!$C$16*Summary!$B$8</f>
        <v/>
      </c>
      <c r="O5468" s="11">
        <f>M5468-N5468</f>
        <v/>
      </c>
    </row>
    <row r="5469">
      <c r="A5469" s="9" t="n">
        <v>45519.79166666666</v>
      </c>
      <c r="B5469" t="n">
        <v>8</v>
      </c>
      <c r="C5469" t="n">
        <v>15</v>
      </c>
      <c r="D5469" t="n">
        <v>19</v>
      </c>
      <c r="E5469" s="10" t="n">
        <v>0.010166</v>
      </c>
      <c r="F5469" s="10" t="n">
        <v>0.2653383516812044</v>
      </c>
      <c r="G5469" s="11">
        <f>E5469*Summary!$B$6</f>
        <v/>
      </c>
      <c r="H5469" s="11">
        <f>F5469*Summary!$B$7</f>
        <v/>
      </c>
      <c r="I5469" s="11">
        <f>MAX(0,N5469-M5469)</f>
        <v/>
      </c>
      <c r="J5469" s="11">
        <f>MAX(0,M5469-N5469)</f>
        <v/>
      </c>
      <c r="K5469" s="11">
        <f>O5469</f>
        <v/>
      </c>
      <c r="L5469" s="11">
        <f>L5468+IF(K5469&gt;0,K5469*Summary!$B$9,K5469/Summary!$B$9)</f>
        <v/>
      </c>
      <c r="M5469" s="11">
        <f>G5469+H5469</f>
        <v/>
      </c>
      <c r="N5469" s="11">
        <f>Summary!$C$16*Summary!$B$8</f>
        <v/>
      </c>
      <c r="O5469" s="11">
        <f>M5469-N5469</f>
        <v/>
      </c>
    </row>
    <row r="5470">
      <c r="A5470" s="9" t="n">
        <v>45519.83333333334</v>
      </c>
      <c r="B5470" t="n">
        <v>8</v>
      </c>
      <c r="C5470" t="n">
        <v>15</v>
      </c>
      <c r="D5470" t="n">
        <v>20</v>
      </c>
      <c r="E5470" s="10" t="n">
        <v>0</v>
      </c>
      <c r="F5470" s="10" t="n">
        <v>0.2824935077984419</v>
      </c>
      <c r="G5470" s="11">
        <f>E5470*Summary!$B$6</f>
        <v/>
      </c>
      <c r="H5470" s="11">
        <f>F5470*Summary!$B$7</f>
        <v/>
      </c>
      <c r="I5470" s="11">
        <f>MAX(0,N5470-M5470)</f>
        <v/>
      </c>
      <c r="J5470" s="11">
        <f>MAX(0,M5470-N5470)</f>
        <v/>
      </c>
      <c r="K5470" s="11">
        <f>O5470</f>
        <v/>
      </c>
      <c r="L5470" s="11">
        <f>L5469+IF(K5470&gt;0,K5470*Summary!$B$9,K5470/Summary!$B$9)</f>
        <v/>
      </c>
      <c r="M5470" s="11">
        <f>G5470+H5470</f>
        <v/>
      </c>
      <c r="N5470" s="11">
        <f>Summary!$C$16*Summary!$B$8</f>
        <v/>
      </c>
      <c r="O5470" s="11">
        <f>M5470-N5470</f>
        <v/>
      </c>
    </row>
    <row r="5471">
      <c r="A5471" s="9" t="n">
        <v>45519.875</v>
      </c>
      <c r="B5471" t="n">
        <v>8</v>
      </c>
      <c r="C5471" t="n">
        <v>15</v>
      </c>
      <c r="D5471" t="n">
        <v>21</v>
      </c>
      <c r="E5471" s="10" t="n">
        <v>0</v>
      </c>
      <c r="F5471" s="10" t="n">
        <v>0.2997804239473018</v>
      </c>
      <c r="G5471" s="11">
        <f>E5471*Summary!$B$6</f>
        <v/>
      </c>
      <c r="H5471" s="11">
        <f>F5471*Summary!$B$7</f>
        <v/>
      </c>
      <c r="I5471" s="11">
        <f>MAX(0,N5471-M5471)</f>
        <v/>
      </c>
      <c r="J5471" s="11">
        <f>MAX(0,M5471-N5471)</f>
        <v/>
      </c>
      <c r="K5471" s="11">
        <f>O5471</f>
        <v/>
      </c>
      <c r="L5471" s="11">
        <f>L5470+IF(K5471&gt;0,K5471*Summary!$B$9,K5471/Summary!$B$9)</f>
        <v/>
      </c>
      <c r="M5471" s="11">
        <f>G5471+H5471</f>
        <v/>
      </c>
      <c r="N5471" s="11">
        <f>Summary!$C$16*Summary!$B$8</f>
        <v/>
      </c>
      <c r="O5471" s="11">
        <f>M5471-N5471</f>
        <v/>
      </c>
    </row>
    <row r="5472">
      <c r="A5472" s="9" t="n">
        <v>45519.91666666666</v>
      </c>
      <c r="B5472" t="n">
        <v>8</v>
      </c>
      <c r="C5472" t="n">
        <v>15</v>
      </c>
      <c r="D5472" t="n">
        <v>22</v>
      </c>
      <c r="E5472" s="10" t="n">
        <v>0</v>
      </c>
      <c r="F5472" s="10" t="n">
        <v>0.3054461053070653</v>
      </c>
      <c r="G5472" s="11">
        <f>E5472*Summary!$B$6</f>
        <v/>
      </c>
      <c r="H5472" s="11">
        <f>F5472*Summary!$B$7</f>
        <v/>
      </c>
      <c r="I5472" s="11">
        <f>MAX(0,N5472-M5472)</f>
        <v/>
      </c>
      <c r="J5472" s="11">
        <f>MAX(0,M5472-N5472)</f>
        <v/>
      </c>
      <c r="K5472" s="11">
        <f>O5472</f>
        <v/>
      </c>
      <c r="L5472" s="11">
        <f>L5471+IF(K5472&gt;0,K5472*Summary!$B$9,K5472/Summary!$B$9)</f>
        <v/>
      </c>
      <c r="M5472" s="11">
        <f>G5472+H5472</f>
        <v/>
      </c>
      <c r="N5472" s="11">
        <f>Summary!$C$16*Summary!$B$8</f>
        <v/>
      </c>
      <c r="O5472" s="11">
        <f>M5472-N5472</f>
        <v/>
      </c>
    </row>
    <row r="5473">
      <c r="A5473" s="9" t="n">
        <v>45519.95833333334</v>
      </c>
      <c r="B5473" t="n">
        <v>8</v>
      </c>
      <c r="C5473" t="n">
        <v>15</v>
      </c>
      <c r="D5473" t="n">
        <v>23</v>
      </c>
      <c r="E5473" s="10" t="n">
        <v>0</v>
      </c>
      <c r="F5473" s="10" t="n">
        <v>0.3017831764279623</v>
      </c>
      <c r="G5473" s="11">
        <f>E5473*Summary!$B$6</f>
        <v/>
      </c>
      <c r="H5473" s="11">
        <f>F5473*Summary!$B$7</f>
        <v/>
      </c>
      <c r="I5473" s="11">
        <f>MAX(0,N5473-M5473)</f>
        <v/>
      </c>
      <c r="J5473" s="11">
        <f>MAX(0,M5473-N5473)</f>
        <v/>
      </c>
      <c r="K5473" s="11">
        <f>O5473</f>
        <v/>
      </c>
      <c r="L5473" s="11">
        <f>L5472+IF(K5473&gt;0,K5473*Summary!$B$9,K5473/Summary!$B$9)</f>
        <v/>
      </c>
      <c r="M5473" s="11">
        <f>G5473+H5473</f>
        <v/>
      </c>
      <c r="N5473" s="11">
        <f>Summary!$C$16*Summary!$B$8</f>
        <v/>
      </c>
      <c r="O5473" s="11">
        <f>M5473-N5473</f>
        <v/>
      </c>
    </row>
    <row r="5474">
      <c r="A5474" s="9" t="n">
        <v>45520</v>
      </c>
      <c r="B5474" t="n">
        <v>8</v>
      </c>
      <c r="C5474" t="n">
        <v>16</v>
      </c>
      <c r="D5474" t="n">
        <v>0</v>
      </c>
      <c r="E5474" s="10" t="n">
        <v>0</v>
      </c>
      <c r="F5474" s="10" t="n">
        <v>0.2682370723768974</v>
      </c>
      <c r="G5474" s="11">
        <f>E5474*Summary!$B$6</f>
        <v/>
      </c>
      <c r="H5474" s="11">
        <f>F5474*Summary!$B$7</f>
        <v/>
      </c>
      <c r="I5474" s="11">
        <f>MAX(0,N5474-M5474)</f>
        <v/>
      </c>
      <c r="J5474" s="11">
        <f>MAX(0,M5474-N5474)</f>
        <v/>
      </c>
      <c r="K5474" s="11">
        <f>O5474</f>
        <v/>
      </c>
      <c r="L5474" s="11">
        <f>L5473+IF(K5474&gt;0,K5474*Summary!$B$9,K5474/Summary!$B$9)</f>
        <v/>
      </c>
      <c r="M5474" s="11">
        <f>G5474+H5474</f>
        <v/>
      </c>
      <c r="N5474" s="11">
        <f>Summary!$C$16*Summary!$B$8</f>
        <v/>
      </c>
      <c r="O5474" s="11">
        <f>M5474-N5474</f>
        <v/>
      </c>
    </row>
    <row r="5475">
      <c r="A5475" s="9" t="n">
        <v>45520.04166666666</v>
      </c>
      <c r="B5475" t="n">
        <v>8</v>
      </c>
      <c r="C5475" t="n">
        <v>16</v>
      </c>
      <c r="D5475" t="n">
        <v>1</v>
      </c>
      <c r="E5475" s="10" t="n">
        <v>0</v>
      </c>
      <c r="F5475" s="10" t="n">
        <v>0.2910579098538983</v>
      </c>
      <c r="G5475" s="11">
        <f>E5475*Summary!$B$6</f>
        <v/>
      </c>
      <c r="H5475" s="11">
        <f>F5475*Summary!$B$7</f>
        <v/>
      </c>
      <c r="I5475" s="11">
        <f>MAX(0,N5475-M5475)</f>
        <v/>
      </c>
      <c r="J5475" s="11">
        <f>MAX(0,M5475-N5475)</f>
        <v/>
      </c>
      <c r="K5475" s="11">
        <f>O5475</f>
        <v/>
      </c>
      <c r="L5475" s="11">
        <f>L5474+IF(K5475&gt;0,K5475*Summary!$B$9,K5475/Summary!$B$9)</f>
        <v/>
      </c>
      <c r="M5475" s="11">
        <f>G5475+H5475</f>
        <v/>
      </c>
      <c r="N5475" s="11">
        <f>Summary!$C$16*Summary!$B$8</f>
        <v/>
      </c>
      <c r="O5475" s="11">
        <f>M5475-N5475</f>
        <v/>
      </c>
    </row>
    <row r="5476">
      <c r="A5476" s="9" t="n">
        <v>45520.08333333334</v>
      </c>
      <c r="B5476" t="n">
        <v>8</v>
      </c>
      <c r="C5476" t="n">
        <v>16</v>
      </c>
      <c r="D5476" t="n">
        <v>2</v>
      </c>
      <c r="E5476" s="10" t="n">
        <v>0</v>
      </c>
      <c r="F5476" s="10" t="n">
        <v>0.2821772837225481</v>
      </c>
      <c r="G5476" s="11">
        <f>E5476*Summary!$B$6</f>
        <v/>
      </c>
      <c r="H5476" s="11">
        <f>F5476*Summary!$B$7</f>
        <v/>
      </c>
      <c r="I5476" s="11">
        <f>MAX(0,N5476-M5476)</f>
        <v/>
      </c>
      <c r="J5476" s="11">
        <f>MAX(0,M5476-N5476)</f>
        <v/>
      </c>
      <c r="K5476" s="11">
        <f>O5476</f>
        <v/>
      </c>
      <c r="L5476" s="11">
        <f>L5475+IF(K5476&gt;0,K5476*Summary!$B$9,K5476/Summary!$B$9)</f>
        <v/>
      </c>
      <c r="M5476" s="11">
        <f>G5476+H5476</f>
        <v/>
      </c>
      <c r="N5476" s="11">
        <f>Summary!$C$16*Summary!$B$8</f>
        <v/>
      </c>
      <c r="O5476" s="11">
        <f>M5476-N5476</f>
        <v/>
      </c>
    </row>
    <row r="5477">
      <c r="A5477" s="9" t="n">
        <v>45520.125</v>
      </c>
      <c r="B5477" t="n">
        <v>8</v>
      </c>
      <c r="C5477" t="n">
        <v>16</v>
      </c>
      <c r="D5477" t="n">
        <v>3</v>
      </c>
      <c r="E5477" s="10" t="n">
        <v>0</v>
      </c>
      <c r="F5477" s="10" t="n">
        <v>0.2717155372117289</v>
      </c>
      <c r="G5477" s="11">
        <f>E5477*Summary!$B$6</f>
        <v/>
      </c>
      <c r="H5477" s="11">
        <f>F5477*Summary!$B$7</f>
        <v/>
      </c>
      <c r="I5477" s="11">
        <f>MAX(0,N5477-M5477)</f>
        <v/>
      </c>
      <c r="J5477" s="11">
        <f>MAX(0,M5477-N5477)</f>
        <v/>
      </c>
      <c r="K5477" s="11">
        <f>O5477</f>
        <v/>
      </c>
      <c r="L5477" s="11">
        <f>L5476+IF(K5477&gt;0,K5477*Summary!$B$9,K5477/Summary!$B$9)</f>
        <v/>
      </c>
      <c r="M5477" s="11">
        <f>G5477+H5477</f>
        <v/>
      </c>
      <c r="N5477" s="11">
        <f>Summary!$C$16*Summary!$B$8</f>
        <v/>
      </c>
      <c r="O5477" s="11">
        <f>M5477-N5477</f>
        <v/>
      </c>
    </row>
    <row r="5478">
      <c r="A5478" s="9" t="n">
        <v>45520.16666666666</v>
      </c>
      <c r="B5478" t="n">
        <v>8</v>
      </c>
      <c r="C5478" t="n">
        <v>16</v>
      </c>
      <c r="D5478" t="n">
        <v>4</v>
      </c>
      <c r="E5478" s="10" t="n">
        <v>0</v>
      </c>
      <c r="F5478" s="10" t="n">
        <v>0.2677890882693812</v>
      </c>
      <c r="G5478" s="11">
        <f>E5478*Summary!$B$6</f>
        <v/>
      </c>
      <c r="H5478" s="11">
        <f>F5478*Summary!$B$7</f>
        <v/>
      </c>
      <c r="I5478" s="11">
        <f>MAX(0,N5478-M5478)</f>
        <v/>
      </c>
      <c r="J5478" s="11">
        <f>MAX(0,M5478-N5478)</f>
        <v/>
      </c>
      <c r="K5478" s="11">
        <f>O5478</f>
        <v/>
      </c>
      <c r="L5478" s="11">
        <f>L5477+IF(K5478&gt;0,K5478*Summary!$B$9,K5478/Summary!$B$9)</f>
        <v/>
      </c>
      <c r="M5478" s="11">
        <f>G5478+H5478</f>
        <v/>
      </c>
      <c r="N5478" s="11">
        <f>Summary!$C$16*Summary!$B$8</f>
        <v/>
      </c>
      <c r="O5478" s="11">
        <f>M5478-N5478</f>
        <v/>
      </c>
    </row>
    <row r="5479">
      <c r="A5479" s="9" t="n">
        <v>45520.20833333334</v>
      </c>
      <c r="B5479" t="n">
        <v>8</v>
      </c>
      <c r="C5479" t="n">
        <v>16</v>
      </c>
      <c r="D5479" t="n">
        <v>5</v>
      </c>
      <c r="E5479" s="10" t="n">
        <v>0</v>
      </c>
      <c r="F5479" s="10" t="n">
        <v>0.2558252773980665</v>
      </c>
      <c r="G5479" s="11">
        <f>E5479*Summary!$B$6</f>
        <v/>
      </c>
      <c r="H5479" s="11">
        <f>F5479*Summary!$B$7</f>
        <v/>
      </c>
      <c r="I5479" s="11">
        <f>MAX(0,N5479-M5479)</f>
        <v/>
      </c>
      <c r="J5479" s="11">
        <f>MAX(0,M5479-N5479)</f>
        <v/>
      </c>
      <c r="K5479" s="11">
        <f>O5479</f>
        <v/>
      </c>
      <c r="L5479" s="11">
        <f>L5478+IF(K5479&gt;0,K5479*Summary!$B$9,K5479/Summary!$B$9)</f>
        <v/>
      </c>
      <c r="M5479" s="11">
        <f>G5479+H5479</f>
        <v/>
      </c>
      <c r="N5479" s="11">
        <f>Summary!$C$16*Summary!$B$8</f>
        <v/>
      </c>
      <c r="O5479" s="11">
        <f>M5479-N5479</f>
        <v/>
      </c>
    </row>
    <row r="5480">
      <c r="A5480" s="9" t="n">
        <v>45520.25</v>
      </c>
      <c r="B5480" t="n">
        <v>8</v>
      </c>
      <c r="C5480" t="n">
        <v>16</v>
      </c>
      <c r="D5480" t="n">
        <v>6</v>
      </c>
      <c r="E5480" s="10" t="n">
        <v>0.01239</v>
      </c>
      <c r="F5480" s="10" t="n">
        <v>0.2412526179006283</v>
      </c>
      <c r="G5480" s="11">
        <f>E5480*Summary!$B$6</f>
        <v/>
      </c>
      <c r="H5480" s="11">
        <f>F5480*Summary!$B$7</f>
        <v/>
      </c>
      <c r="I5480" s="11">
        <f>MAX(0,N5480-M5480)</f>
        <v/>
      </c>
      <c r="J5480" s="11">
        <f>MAX(0,M5480-N5480)</f>
        <v/>
      </c>
      <c r="K5480" s="11">
        <f>O5480</f>
        <v/>
      </c>
      <c r="L5480" s="11">
        <f>L5479+IF(K5480&gt;0,K5480*Summary!$B$9,K5480/Summary!$B$9)</f>
        <v/>
      </c>
      <c r="M5480" s="11">
        <f>G5480+H5480</f>
        <v/>
      </c>
      <c r="N5480" s="11">
        <f>Summary!$C$16*Summary!$B$8</f>
        <v/>
      </c>
      <c r="O5480" s="11">
        <f>M5480-N5480</f>
        <v/>
      </c>
    </row>
    <row r="5481">
      <c r="A5481" s="9" t="n">
        <v>45520.29166666666</v>
      </c>
      <c r="B5481" t="n">
        <v>8</v>
      </c>
      <c r="C5481" t="n">
        <v>16</v>
      </c>
      <c r="D5481" t="n">
        <v>7</v>
      </c>
      <c r="E5481" s="10" t="n">
        <v>0.028848</v>
      </c>
      <c r="F5481" s="10" t="n">
        <v>0.225256950061668</v>
      </c>
      <c r="G5481" s="11">
        <f>E5481*Summary!$B$6</f>
        <v/>
      </c>
      <c r="H5481" s="11">
        <f>F5481*Summary!$B$7</f>
        <v/>
      </c>
      <c r="I5481" s="11">
        <f>MAX(0,N5481-M5481)</f>
        <v/>
      </c>
      <c r="J5481" s="11">
        <f>MAX(0,M5481-N5481)</f>
        <v/>
      </c>
      <c r="K5481" s="11">
        <f>O5481</f>
        <v/>
      </c>
      <c r="L5481" s="11">
        <f>L5480+IF(K5481&gt;0,K5481*Summary!$B$9,K5481/Summary!$B$9)</f>
        <v/>
      </c>
      <c r="M5481" s="11">
        <f>G5481+H5481</f>
        <v/>
      </c>
      <c r="N5481" s="11">
        <f>Summary!$C$16*Summary!$B$8</f>
        <v/>
      </c>
      <c r="O5481" s="11">
        <f>M5481-N5481</f>
        <v/>
      </c>
    </row>
    <row r="5482">
      <c r="A5482" s="9" t="n">
        <v>45520.33333333334</v>
      </c>
      <c r="B5482" t="n">
        <v>8</v>
      </c>
      <c r="C5482" t="n">
        <v>16</v>
      </c>
      <c r="D5482" t="n">
        <v>8</v>
      </c>
      <c r="E5482" s="10" t="n">
        <v>0.068037</v>
      </c>
      <c r="F5482" s="10" t="n">
        <v>0.221699429207863</v>
      </c>
      <c r="G5482" s="11">
        <f>E5482*Summary!$B$6</f>
        <v/>
      </c>
      <c r="H5482" s="11">
        <f>F5482*Summary!$B$7</f>
        <v/>
      </c>
      <c r="I5482" s="11">
        <f>MAX(0,N5482-M5482)</f>
        <v/>
      </c>
      <c r="J5482" s="11">
        <f>MAX(0,M5482-N5482)</f>
        <v/>
      </c>
      <c r="K5482" s="11">
        <f>O5482</f>
        <v/>
      </c>
      <c r="L5482" s="11">
        <f>L5481+IF(K5482&gt;0,K5482*Summary!$B$9,K5482/Summary!$B$9)</f>
        <v/>
      </c>
      <c r="M5482" s="11">
        <f>G5482+H5482</f>
        <v/>
      </c>
      <c r="N5482" s="11">
        <f>Summary!$C$16*Summary!$B$8</f>
        <v/>
      </c>
      <c r="O5482" s="11">
        <f>M5482-N5482</f>
        <v/>
      </c>
    </row>
    <row r="5483">
      <c r="A5483" s="9" t="n">
        <v>45520.375</v>
      </c>
      <c r="B5483" t="n">
        <v>8</v>
      </c>
      <c r="C5483" t="n">
        <v>16</v>
      </c>
      <c r="D5483" t="n">
        <v>9</v>
      </c>
      <c r="E5483" s="10" t="n">
        <v>0.148665</v>
      </c>
      <c r="F5483" s="10" t="n">
        <v>0.2274705185929245</v>
      </c>
      <c r="G5483" s="11">
        <f>E5483*Summary!$B$6</f>
        <v/>
      </c>
      <c r="H5483" s="11">
        <f>F5483*Summary!$B$7</f>
        <v/>
      </c>
      <c r="I5483" s="11">
        <f>MAX(0,N5483-M5483)</f>
        <v/>
      </c>
      <c r="J5483" s="11">
        <f>MAX(0,M5483-N5483)</f>
        <v/>
      </c>
      <c r="K5483" s="11">
        <f>O5483</f>
        <v/>
      </c>
      <c r="L5483" s="11">
        <f>L5482+IF(K5483&gt;0,K5483*Summary!$B$9,K5483/Summary!$B$9)</f>
        <v/>
      </c>
      <c r="M5483" s="11">
        <f>G5483+H5483</f>
        <v/>
      </c>
      <c r="N5483" s="11">
        <f>Summary!$C$16*Summary!$B$8</f>
        <v/>
      </c>
      <c r="O5483" s="11">
        <f>M5483-N5483</f>
        <v/>
      </c>
    </row>
    <row r="5484">
      <c r="A5484" s="9" t="n">
        <v>45520.41666666666</v>
      </c>
      <c r="B5484" t="n">
        <v>8</v>
      </c>
      <c r="C5484" t="n">
        <v>16</v>
      </c>
      <c r="D5484" t="n">
        <v>10</v>
      </c>
      <c r="E5484" s="10" t="n">
        <v>0.477516</v>
      </c>
      <c r="F5484" s="10" t="n">
        <v>0.2323456397629536</v>
      </c>
      <c r="G5484" s="11">
        <f>E5484*Summary!$B$6</f>
        <v/>
      </c>
      <c r="H5484" s="11">
        <f>F5484*Summary!$B$7</f>
        <v/>
      </c>
      <c r="I5484" s="11">
        <f>MAX(0,N5484-M5484)</f>
        <v/>
      </c>
      <c r="J5484" s="11">
        <f>MAX(0,M5484-N5484)</f>
        <v/>
      </c>
      <c r="K5484" s="11">
        <f>O5484</f>
        <v/>
      </c>
      <c r="L5484" s="11">
        <f>L5483+IF(K5484&gt;0,K5484*Summary!$B$9,K5484/Summary!$B$9)</f>
        <v/>
      </c>
      <c r="M5484" s="11">
        <f>G5484+H5484</f>
        <v/>
      </c>
      <c r="N5484" s="11">
        <f>Summary!$C$16*Summary!$B$8</f>
        <v/>
      </c>
      <c r="O5484" s="11">
        <f>M5484-N5484</f>
        <v/>
      </c>
    </row>
    <row r="5485">
      <c r="A5485" s="9" t="n">
        <v>45520.45833333334</v>
      </c>
      <c r="B5485" t="n">
        <v>8</v>
      </c>
      <c r="C5485" t="n">
        <v>16</v>
      </c>
      <c r="D5485" t="n">
        <v>11</v>
      </c>
      <c r="E5485" s="10" t="n">
        <v>0.458433</v>
      </c>
      <c r="F5485" s="10" t="n">
        <v>0.2367464248191419</v>
      </c>
      <c r="G5485" s="11">
        <f>E5485*Summary!$B$6</f>
        <v/>
      </c>
      <c r="H5485" s="11">
        <f>F5485*Summary!$B$7</f>
        <v/>
      </c>
      <c r="I5485" s="11">
        <f>MAX(0,N5485-M5485)</f>
        <v/>
      </c>
      <c r="J5485" s="11">
        <f>MAX(0,M5485-N5485)</f>
        <v/>
      </c>
      <c r="K5485" s="11">
        <f>O5485</f>
        <v/>
      </c>
      <c r="L5485" s="11">
        <f>L5484+IF(K5485&gt;0,K5485*Summary!$B$9,K5485/Summary!$B$9)</f>
        <v/>
      </c>
      <c r="M5485" s="11">
        <f>G5485+H5485</f>
        <v/>
      </c>
      <c r="N5485" s="11">
        <f>Summary!$C$16*Summary!$B$8</f>
        <v/>
      </c>
      <c r="O5485" s="11">
        <f>M5485-N5485</f>
        <v/>
      </c>
    </row>
    <row r="5486">
      <c r="A5486" s="9" t="n">
        <v>45520.5</v>
      </c>
      <c r="B5486" t="n">
        <v>8</v>
      </c>
      <c r="C5486" t="n">
        <v>16</v>
      </c>
      <c r="D5486" t="n">
        <v>12</v>
      </c>
      <c r="E5486" s="10" t="n">
        <v>0.217122</v>
      </c>
      <c r="F5486" s="10" t="n">
        <v>0.2378005050721212</v>
      </c>
      <c r="G5486" s="11">
        <f>E5486*Summary!$B$6</f>
        <v/>
      </c>
      <c r="H5486" s="11">
        <f>F5486*Summary!$B$7</f>
        <v/>
      </c>
      <c r="I5486" s="11">
        <f>MAX(0,N5486-M5486)</f>
        <v/>
      </c>
      <c r="J5486" s="11">
        <f>MAX(0,M5486-N5486)</f>
        <v/>
      </c>
      <c r="K5486" s="11">
        <f>O5486</f>
        <v/>
      </c>
      <c r="L5486" s="11">
        <f>L5485+IF(K5486&gt;0,K5486*Summary!$B$9,K5486/Summary!$B$9)</f>
        <v/>
      </c>
      <c r="M5486" s="11">
        <f>G5486+H5486</f>
        <v/>
      </c>
      <c r="N5486" s="11">
        <f>Summary!$C$16*Summary!$B$8</f>
        <v/>
      </c>
      <c r="O5486" s="11">
        <f>M5486-N5486</f>
        <v/>
      </c>
    </row>
    <row r="5487">
      <c r="A5487" s="9" t="n">
        <v>45520.54166666666</v>
      </c>
      <c r="B5487" t="n">
        <v>8</v>
      </c>
      <c r="C5487" t="n">
        <v>16</v>
      </c>
      <c r="D5487" t="n">
        <v>13</v>
      </c>
      <c r="E5487" s="10" t="n">
        <v>0.180069</v>
      </c>
      <c r="F5487" s="10" t="n">
        <v>0.2378268570784457</v>
      </c>
      <c r="G5487" s="11">
        <f>E5487*Summary!$B$6</f>
        <v/>
      </c>
      <c r="H5487" s="11">
        <f>F5487*Summary!$B$7</f>
        <v/>
      </c>
      <c r="I5487" s="11">
        <f>MAX(0,N5487-M5487)</f>
        <v/>
      </c>
      <c r="J5487" s="11">
        <f>MAX(0,M5487-N5487)</f>
        <v/>
      </c>
      <c r="K5487" s="11">
        <f>O5487</f>
        <v/>
      </c>
      <c r="L5487" s="11">
        <f>L5486+IF(K5487&gt;0,K5487*Summary!$B$9,K5487/Summary!$B$9)</f>
        <v/>
      </c>
      <c r="M5487" s="11">
        <f>G5487+H5487</f>
        <v/>
      </c>
      <c r="N5487" s="11">
        <f>Summary!$C$16*Summary!$B$8</f>
        <v/>
      </c>
      <c r="O5487" s="11">
        <f>M5487-N5487</f>
        <v/>
      </c>
    </row>
    <row r="5488">
      <c r="A5488" s="9" t="n">
        <v>45520.58333333334</v>
      </c>
      <c r="B5488" t="n">
        <v>8</v>
      </c>
      <c r="C5488" t="n">
        <v>16</v>
      </c>
      <c r="D5488" t="n">
        <v>14</v>
      </c>
      <c r="E5488" s="10" t="n">
        <v>0.218921</v>
      </c>
      <c r="F5488" s="10" t="n">
        <v>0.236693720806493</v>
      </c>
      <c r="G5488" s="11">
        <f>E5488*Summary!$B$6</f>
        <v/>
      </c>
      <c r="H5488" s="11">
        <f>F5488*Summary!$B$7</f>
        <v/>
      </c>
      <c r="I5488" s="11">
        <f>MAX(0,N5488-M5488)</f>
        <v/>
      </c>
      <c r="J5488" s="11">
        <f>MAX(0,M5488-N5488)</f>
        <v/>
      </c>
      <c r="K5488" s="11">
        <f>O5488</f>
        <v/>
      </c>
      <c r="L5488" s="11">
        <f>L5487+IF(K5488&gt;0,K5488*Summary!$B$9,K5488/Summary!$B$9)</f>
        <v/>
      </c>
      <c r="M5488" s="11">
        <f>G5488+H5488</f>
        <v/>
      </c>
      <c r="N5488" s="11">
        <f>Summary!$C$16*Summary!$B$8</f>
        <v/>
      </c>
      <c r="O5488" s="11">
        <f>M5488-N5488</f>
        <v/>
      </c>
    </row>
    <row r="5489">
      <c r="A5489" s="9" t="n">
        <v>45520.625</v>
      </c>
      <c r="B5489" t="n">
        <v>8</v>
      </c>
      <c r="C5489" t="n">
        <v>16</v>
      </c>
      <c r="D5489" t="n">
        <v>15</v>
      </c>
      <c r="E5489" s="10" t="n">
        <v>0.076719</v>
      </c>
      <c r="F5489" s="10" t="n">
        <v>0.2414634339512242</v>
      </c>
      <c r="G5489" s="11">
        <f>E5489*Summary!$B$6</f>
        <v/>
      </c>
      <c r="H5489" s="11">
        <f>F5489*Summary!$B$7</f>
        <v/>
      </c>
      <c r="I5489" s="11">
        <f>MAX(0,N5489-M5489)</f>
        <v/>
      </c>
      <c r="J5489" s="11">
        <f>MAX(0,M5489-N5489)</f>
        <v/>
      </c>
      <c r="K5489" s="11">
        <f>O5489</f>
        <v/>
      </c>
      <c r="L5489" s="11">
        <f>L5488+IF(K5489&gt;0,K5489*Summary!$B$9,K5489/Summary!$B$9)</f>
        <v/>
      </c>
      <c r="M5489" s="11">
        <f>G5489+H5489</f>
        <v/>
      </c>
      <c r="N5489" s="11">
        <f>Summary!$C$16*Summary!$B$8</f>
        <v/>
      </c>
      <c r="O5489" s="11">
        <f>M5489-N5489</f>
        <v/>
      </c>
    </row>
    <row r="5490">
      <c r="A5490" s="9" t="n">
        <v>45520.66666666666</v>
      </c>
      <c r="B5490" t="n">
        <v>8</v>
      </c>
      <c r="C5490" t="n">
        <v>16</v>
      </c>
      <c r="D5490" t="n">
        <v>16</v>
      </c>
      <c r="E5490" s="10" t="n">
        <v>0.06458899999999999</v>
      </c>
      <c r="F5490" s="10" t="n">
        <v>0.2337950001108</v>
      </c>
      <c r="G5490" s="11">
        <f>E5490*Summary!$B$6</f>
        <v/>
      </c>
      <c r="H5490" s="11">
        <f>F5490*Summary!$B$7</f>
        <v/>
      </c>
      <c r="I5490" s="11">
        <f>MAX(0,N5490-M5490)</f>
        <v/>
      </c>
      <c r="J5490" s="11">
        <f>MAX(0,M5490-N5490)</f>
        <v/>
      </c>
      <c r="K5490" s="11">
        <f>O5490</f>
        <v/>
      </c>
      <c r="L5490" s="11">
        <f>L5489+IF(K5490&gt;0,K5490*Summary!$B$9,K5490/Summary!$B$9)</f>
        <v/>
      </c>
      <c r="M5490" s="11">
        <f>G5490+H5490</f>
        <v/>
      </c>
      <c r="N5490" s="11">
        <f>Summary!$C$16*Summary!$B$8</f>
        <v/>
      </c>
      <c r="O5490" s="11">
        <f>M5490-N5490</f>
        <v/>
      </c>
    </row>
    <row r="5491">
      <c r="A5491" s="9" t="n">
        <v>45520.70833333334</v>
      </c>
      <c r="B5491" t="n">
        <v>8</v>
      </c>
      <c r="C5491" t="n">
        <v>16</v>
      </c>
      <c r="D5491" t="n">
        <v>17</v>
      </c>
      <c r="E5491" s="10" t="n">
        <v>0.077999</v>
      </c>
      <c r="F5491" s="10" t="n">
        <v>0.2225953974228954</v>
      </c>
      <c r="G5491" s="11">
        <f>E5491*Summary!$B$6</f>
        <v/>
      </c>
      <c r="H5491" s="11">
        <f>F5491*Summary!$B$7</f>
        <v/>
      </c>
      <c r="I5491" s="11">
        <f>MAX(0,N5491-M5491)</f>
        <v/>
      </c>
      <c r="J5491" s="11">
        <f>MAX(0,M5491-N5491)</f>
        <v/>
      </c>
      <c r="K5491" s="11">
        <f>O5491</f>
        <v/>
      </c>
      <c r="L5491" s="11">
        <f>L5490+IF(K5491&gt;0,K5491*Summary!$B$9,K5491/Summary!$B$9)</f>
        <v/>
      </c>
      <c r="M5491" s="11">
        <f>G5491+H5491</f>
        <v/>
      </c>
      <c r="N5491" s="11">
        <f>Summary!$C$16*Summary!$B$8</f>
        <v/>
      </c>
      <c r="O5491" s="11">
        <f>M5491-N5491</f>
        <v/>
      </c>
    </row>
    <row r="5492">
      <c r="A5492" s="9" t="n">
        <v>45520.75</v>
      </c>
      <c r="B5492" t="n">
        <v>8</v>
      </c>
      <c r="C5492" t="n">
        <v>16</v>
      </c>
      <c r="D5492" t="n">
        <v>18</v>
      </c>
      <c r="E5492" s="10" t="n">
        <v>0.017898</v>
      </c>
      <c r="F5492" s="10" t="n">
        <v>0.2154803557152854</v>
      </c>
      <c r="G5492" s="11">
        <f>E5492*Summary!$B$6</f>
        <v/>
      </c>
      <c r="H5492" s="11">
        <f>F5492*Summary!$B$7</f>
        <v/>
      </c>
      <c r="I5492" s="11">
        <f>MAX(0,N5492-M5492)</f>
        <v/>
      </c>
      <c r="J5492" s="11">
        <f>MAX(0,M5492-N5492)</f>
        <v/>
      </c>
      <c r="K5492" s="11">
        <f>O5492</f>
        <v/>
      </c>
      <c r="L5492" s="11">
        <f>L5491+IF(K5492&gt;0,K5492*Summary!$B$9,K5492/Summary!$B$9)</f>
        <v/>
      </c>
      <c r="M5492" s="11">
        <f>G5492+H5492</f>
        <v/>
      </c>
      <c r="N5492" s="11">
        <f>Summary!$C$16*Summary!$B$8</f>
        <v/>
      </c>
      <c r="O5492" s="11">
        <f>M5492-N5492</f>
        <v/>
      </c>
    </row>
    <row r="5493">
      <c r="A5493" s="9" t="n">
        <v>45520.79166666666</v>
      </c>
      <c r="B5493" t="n">
        <v>8</v>
      </c>
      <c r="C5493" t="n">
        <v>16</v>
      </c>
      <c r="D5493" t="n">
        <v>19</v>
      </c>
      <c r="E5493" s="10" t="n">
        <v>0</v>
      </c>
      <c r="F5493" s="10" t="n">
        <v>0.218853412524819</v>
      </c>
      <c r="G5493" s="11">
        <f>E5493*Summary!$B$6</f>
        <v/>
      </c>
      <c r="H5493" s="11">
        <f>F5493*Summary!$B$7</f>
        <v/>
      </c>
      <c r="I5493" s="11">
        <f>MAX(0,N5493-M5493)</f>
        <v/>
      </c>
      <c r="J5493" s="11">
        <f>MAX(0,M5493-N5493)</f>
        <v/>
      </c>
      <c r="K5493" s="11">
        <f>O5493</f>
        <v/>
      </c>
      <c r="L5493" s="11">
        <f>L5492+IF(K5493&gt;0,K5493*Summary!$B$9,K5493/Summary!$B$9)</f>
        <v/>
      </c>
      <c r="M5493" s="11">
        <f>G5493+H5493</f>
        <v/>
      </c>
      <c r="N5493" s="11">
        <f>Summary!$C$16*Summary!$B$8</f>
        <v/>
      </c>
      <c r="O5493" s="11">
        <f>M5493-N5493</f>
        <v/>
      </c>
    </row>
    <row r="5494">
      <c r="A5494" s="9" t="n">
        <v>45520.83333333334</v>
      </c>
      <c r="B5494" t="n">
        <v>8</v>
      </c>
      <c r="C5494" t="n">
        <v>16</v>
      </c>
      <c r="D5494" t="n">
        <v>20</v>
      </c>
      <c r="E5494" s="10" t="n">
        <v>0</v>
      </c>
      <c r="F5494" s="10" t="n">
        <v>0.2355342325282158</v>
      </c>
      <c r="G5494" s="11">
        <f>E5494*Summary!$B$6</f>
        <v/>
      </c>
      <c r="H5494" s="11">
        <f>F5494*Summary!$B$7</f>
        <v/>
      </c>
      <c r="I5494" s="11">
        <f>MAX(0,N5494-M5494)</f>
        <v/>
      </c>
      <c r="J5494" s="11">
        <f>MAX(0,M5494-N5494)</f>
        <v/>
      </c>
      <c r="K5494" s="11">
        <f>O5494</f>
        <v/>
      </c>
      <c r="L5494" s="11">
        <f>L5493+IF(K5494&gt;0,K5494*Summary!$B$9,K5494/Summary!$B$9)</f>
        <v/>
      </c>
      <c r="M5494" s="11">
        <f>G5494+H5494</f>
        <v/>
      </c>
      <c r="N5494" s="11">
        <f>Summary!$C$16*Summary!$B$8</f>
        <v/>
      </c>
      <c r="O5494" s="11">
        <f>M5494-N5494</f>
        <v/>
      </c>
    </row>
    <row r="5495">
      <c r="A5495" s="9" t="n">
        <v>45520.875</v>
      </c>
      <c r="B5495" t="n">
        <v>8</v>
      </c>
      <c r="C5495" t="n">
        <v>16</v>
      </c>
      <c r="D5495" t="n">
        <v>21</v>
      </c>
      <c r="E5495" s="10" t="n">
        <v>0</v>
      </c>
      <c r="F5495" s="10" t="n">
        <v>0.2509501562280375</v>
      </c>
      <c r="G5495" s="11">
        <f>E5495*Summary!$B$6</f>
        <v/>
      </c>
      <c r="H5495" s="11">
        <f>F5495*Summary!$B$7</f>
        <v/>
      </c>
      <c r="I5495" s="11">
        <f>MAX(0,N5495-M5495)</f>
        <v/>
      </c>
      <c r="J5495" s="11">
        <f>MAX(0,M5495-N5495)</f>
        <v/>
      </c>
      <c r="K5495" s="11">
        <f>O5495</f>
        <v/>
      </c>
      <c r="L5495" s="11">
        <f>L5494+IF(K5495&gt;0,K5495*Summary!$B$9,K5495/Summary!$B$9)</f>
        <v/>
      </c>
      <c r="M5495" s="11">
        <f>G5495+H5495</f>
        <v/>
      </c>
      <c r="N5495" s="11">
        <f>Summary!$C$16*Summary!$B$8</f>
        <v/>
      </c>
      <c r="O5495" s="11">
        <f>M5495-N5495</f>
        <v/>
      </c>
    </row>
    <row r="5496">
      <c r="A5496" s="9" t="n">
        <v>45520.91666666666</v>
      </c>
      <c r="B5496" t="n">
        <v>8</v>
      </c>
      <c r="C5496" t="n">
        <v>16</v>
      </c>
      <c r="D5496" t="n">
        <v>22</v>
      </c>
      <c r="E5496" s="10" t="n">
        <v>0</v>
      </c>
      <c r="F5496" s="10" t="n">
        <v>0.2610166226439894</v>
      </c>
      <c r="G5496" s="11">
        <f>E5496*Summary!$B$6</f>
        <v/>
      </c>
      <c r="H5496" s="11">
        <f>F5496*Summary!$B$7</f>
        <v/>
      </c>
      <c r="I5496" s="11">
        <f>MAX(0,N5496-M5496)</f>
        <v/>
      </c>
      <c r="J5496" s="11">
        <f>MAX(0,M5496-N5496)</f>
        <v/>
      </c>
      <c r="K5496" s="11">
        <f>O5496</f>
        <v/>
      </c>
      <c r="L5496" s="11">
        <f>L5495+IF(K5496&gt;0,K5496*Summary!$B$9,K5496/Summary!$B$9)</f>
        <v/>
      </c>
      <c r="M5496" s="11">
        <f>G5496+H5496</f>
        <v/>
      </c>
      <c r="N5496" s="11">
        <f>Summary!$C$16*Summary!$B$8</f>
        <v/>
      </c>
      <c r="O5496" s="11">
        <f>M5496-N5496</f>
        <v/>
      </c>
    </row>
    <row r="5497">
      <c r="A5497" s="9" t="n">
        <v>45520.95833333334</v>
      </c>
      <c r="B5497" t="n">
        <v>8</v>
      </c>
      <c r="C5497" t="n">
        <v>16</v>
      </c>
      <c r="D5497" t="n">
        <v>23</v>
      </c>
      <c r="E5497" s="10" t="n">
        <v>0</v>
      </c>
      <c r="F5497" s="10" t="n">
        <v>0.2660235038456409</v>
      </c>
      <c r="G5497" s="11">
        <f>E5497*Summary!$B$6</f>
        <v/>
      </c>
      <c r="H5497" s="11">
        <f>F5497*Summary!$B$7</f>
        <v/>
      </c>
      <c r="I5497" s="11">
        <f>MAX(0,N5497-M5497)</f>
        <v/>
      </c>
      <c r="J5497" s="11">
        <f>MAX(0,M5497-N5497)</f>
        <v/>
      </c>
      <c r="K5497" s="11">
        <f>O5497</f>
        <v/>
      </c>
      <c r="L5497" s="11">
        <f>L5496+IF(K5497&gt;0,K5497*Summary!$B$9,K5497/Summary!$B$9)</f>
        <v/>
      </c>
      <c r="M5497" s="11">
        <f>G5497+H5497</f>
        <v/>
      </c>
      <c r="N5497" s="11">
        <f>Summary!$C$16*Summary!$B$8</f>
        <v/>
      </c>
      <c r="O5497" s="11">
        <f>M5497-N5497</f>
        <v/>
      </c>
    </row>
    <row r="5498">
      <c r="A5498" s="9" t="n">
        <v>45521</v>
      </c>
      <c r="B5498" t="n">
        <v>8</v>
      </c>
      <c r="C5498" t="n">
        <v>17</v>
      </c>
      <c r="D5498" t="n">
        <v>0</v>
      </c>
      <c r="E5498" s="10" t="n">
        <v>0</v>
      </c>
      <c r="F5498" s="10" t="n">
        <v>0.2346909683258324</v>
      </c>
      <c r="G5498" s="11">
        <f>E5498*Summary!$B$6</f>
        <v/>
      </c>
      <c r="H5498" s="11">
        <f>F5498*Summary!$B$7</f>
        <v/>
      </c>
      <c r="I5498" s="11">
        <f>MAX(0,N5498-M5498)</f>
        <v/>
      </c>
      <c r="J5498" s="11">
        <f>MAX(0,M5498-N5498)</f>
        <v/>
      </c>
      <c r="K5498" s="11">
        <f>O5498</f>
        <v/>
      </c>
      <c r="L5498" s="11">
        <f>L5497+IF(K5498&gt;0,K5498*Summary!$B$9,K5498/Summary!$B$9)</f>
        <v/>
      </c>
      <c r="M5498" s="11">
        <f>G5498+H5498</f>
        <v/>
      </c>
      <c r="N5498" s="11">
        <f>Summary!$C$16*Summary!$B$8</f>
        <v/>
      </c>
      <c r="O5498" s="11">
        <f>M5498-N5498</f>
        <v/>
      </c>
    </row>
    <row r="5499">
      <c r="A5499" s="9" t="n">
        <v>45521.04166666666</v>
      </c>
      <c r="B5499" t="n">
        <v>8</v>
      </c>
      <c r="C5499" t="n">
        <v>17</v>
      </c>
      <c r="D5499" t="n">
        <v>1</v>
      </c>
      <c r="E5499" s="10" t="n">
        <v>0</v>
      </c>
      <c r="F5499" s="10" t="n">
        <v>0.2695019686804725</v>
      </c>
      <c r="G5499" s="11">
        <f>E5499*Summary!$B$6</f>
        <v/>
      </c>
      <c r="H5499" s="11">
        <f>F5499*Summary!$B$7</f>
        <v/>
      </c>
      <c r="I5499" s="11">
        <f>MAX(0,N5499-M5499)</f>
        <v/>
      </c>
      <c r="J5499" s="11">
        <f>MAX(0,M5499-N5499)</f>
        <v/>
      </c>
      <c r="K5499" s="11">
        <f>O5499</f>
        <v/>
      </c>
      <c r="L5499" s="11">
        <f>L5498+IF(K5499&gt;0,K5499*Summary!$B$9,K5499/Summary!$B$9)</f>
        <v/>
      </c>
      <c r="M5499" s="11">
        <f>G5499+H5499</f>
        <v/>
      </c>
      <c r="N5499" s="11">
        <f>Summary!$C$16*Summary!$B$8</f>
        <v/>
      </c>
      <c r="O5499" s="11">
        <f>M5499-N5499</f>
        <v/>
      </c>
    </row>
    <row r="5500">
      <c r="A5500" s="9" t="n">
        <v>45521.08333333334</v>
      </c>
      <c r="B5500" t="n">
        <v>8</v>
      </c>
      <c r="C5500" t="n">
        <v>17</v>
      </c>
      <c r="D5500" t="n">
        <v>2</v>
      </c>
      <c r="E5500" s="10" t="n">
        <v>0</v>
      </c>
      <c r="F5500" s="10" t="n">
        <v>0.2695810246994459</v>
      </c>
      <c r="G5500" s="11">
        <f>E5500*Summary!$B$6</f>
        <v/>
      </c>
      <c r="H5500" s="11">
        <f>F5500*Summary!$B$7</f>
        <v/>
      </c>
      <c r="I5500" s="11">
        <f>MAX(0,N5500-M5500)</f>
        <v/>
      </c>
      <c r="J5500" s="11">
        <f>MAX(0,M5500-N5500)</f>
        <v/>
      </c>
      <c r="K5500" s="11">
        <f>O5500</f>
        <v/>
      </c>
      <c r="L5500" s="11">
        <f>L5499+IF(K5500&gt;0,K5500*Summary!$B$9,K5500/Summary!$B$9)</f>
        <v/>
      </c>
      <c r="M5500" s="11">
        <f>G5500+H5500</f>
        <v/>
      </c>
      <c r="N5500" s="11">
        <f>Summary!$C$16*Summary!$B$8</f>
        <v/>
      </c>
      <c r="O5500" s="11">
        <f>M5500-N5500</f>
        <v/>
      </c>
    </row>
    <row r="5501">
      <c r="A5501" s="9" t="n">
        <v>45521.125</v>
      </c>
      <c r="B5501" t="n">
        <v>8</v>
      </c>
      <c r="C5501" t="n">
        <v>17</v>
      </c>
      <c r="D5501" t="n">
        <v>3</v>
      </c>
      <c r="E5501" s="10" t="n">
        <v>0</v>
      </c>
      <c r="F5501" s="10" t="n">
        <v>0.2657072797697471</v>
      </c>
      <c r="G5501" s="11">
        <f>E5501*Summary!$B$6</f>
        <v/>
      </c>
      <c r="H5501" s="11">
        <f>F5501*Summary!$B$7</f>
        <v/>
      </c>
      <c r="I5501" s="11">
        <f>MAX(0,N5501-M5501)</f>
        <v/>
      </c>
      <c r="J5501" s="11">
        <f>MAX(0,M5501-N5501)</f>
        <v/>
      </c>
      <c r="K5501" s="11">
        <f>O5501</f>
        <v/>
      </c>
      <c r="L5501" s="11">
        <f>L5500+IF(K5501&gt;0,K5501*Summary!$B$9,K5501/Summary!$B$9)</f>
        <v/>
      </c>
      <c r="M5501" s="11">
        <f>G5501+H5501</f>
        <v/>
      </c>
      <c r="N5501" s="11">
        <f>Summary!$C$16*Summary!$B$8</f>
        <v/>
      </c>
      <c r="O5501" s="11">
        <f>M5501-N5501</f>
        <v/>
      </c>
    </row>
    <row r="5502">
      <c r="A5502" s="9" t="n">
        <v>45521.16666666666</v>
      </c>
      <c r="B5502" t="n">
        <v>8</v>
      </c>
      <c r="C5502" t="n">
        <v>17</v>
      </c>
      <c r="D5502" t="n">
        <v>4</v>
      </c>
      <c r="E5502" s="10" t="n">
        <v>0</v>
      </c>
      <c r="F5502" s="10" t="n">
        <v>0.2652329436559064</v>
      </c>
      <c r="G5502" s="11">
        <f>E5502*Summary!$B$6</f>
        <v/>
      </c>
      <c r="H5502" s="11">
        <f>F5502*Summary!$B$7</f>
        <v/>
      </c>
      <c r="I5502" s="11">
        <f>MAX(0,N5502-M5502)</f>
        <v/>
      </c>
      <c r="J5502" s="11">
        <f>MAX(0,M5502-N5502)</f>
        <v/>
      </c>
      <c r="K5502" s="11">
        <f>O5502</f>
        <v/>
      </c>
      <c r="L5502" s="11">
        <f>L5501+IF(K5502&gt;0,K5502*Summary!$B$9,K5502/Summary!$B$9)</f>
        <v/>
      </c>
      <c r="M5502" s="11">
        <f>G5502+H5502</f>
        <v/>
      </c>
      <c r="N5502" s="11">
        <f>Summary!$C$16*Summary!$B$8</f>
        <v/>
      </c>
      <c r="O5502" s="11">
        <f>M5502-N5502</f>
        <v/>
      </c>
    </row>
    <row r="5503">
      <c r="A5503" s="9" t="n">
        <v>45521.20833333334</v>
      </c>
      <c r="B5503" t="n">
        <v>8</v>
      </c>
      <c r="C5503" t="n">
        <v>17</v>
      </c>
      <c r="D5503" t="n">
        <v>5</v>
      </c>
      <c r="E5503" s="10" t="n">
        <v>0.016499</v>
      </c>
      <c r="F5503" s="10" t="n">
        <v>0.2603578224858774</v>
      </c>
      <c r="G5503" s="11">
        <f>E5503*Summary!$B$6</f>
        <v/>
      </c>
      <c r="H5503" s="11">
        <f>F5503*Summary!$B$7</f>
        <v/>
      </c>
      <c r="I5503" s="11">
        <f>MAX(0,N5503-M5503)</f>
        <v/>
      </c>
      <c r="J5503" s="11">
        <f>MAX(0,M5503-N5503)</f>
        <v/>
      </c>
      <c r="K5503" s="11">
        <f>O5503</f>
        <v/>
      </c>
      <c r="L5503" s="11">
        <f>L5502+IF(K5503&gt;0,K5503*Summary!$B$9,K5503/Summary!$B$9)</f>
        <v/>
      </c>
      <c r="M5503" s="11">
        <f>G5503+H5503</f>
        <v/>
      </c>
      <c r="N5503" s="11">
        <f>Summary!$C$16*Summary!$B$8</f>
        <v/>
      </c>
      <c r="O5503" s="11">
        <f>M5503-N5503</f>
        <v/>
      </c>
    </row>
    <row r="5504">
      <c r="A5504" s="9" t="n">
        <v>45521.25</v>
      </c>
      <c r="B5504" t="n">
        <v>8</v>
      </c>
      <c r="C5504" t="n">
        <v>17</v>
      </c>
      <c r="D5504" t="n">
        <v>6</v>
      </c>
      <c r="E5504" s="10" t="n">
        <v>0.07734099999999999</v>
      </c>
      <c r="F5504" s="10" t="n">
        <v>0.2446520267164864</v>
      </c>
      <c r="G5504" s="11">
        <f>E5504*Summary!$B$6</f>
        <v/>
      </c>
      <c r="H5504" s="11">
        <f>F5504*Summary!$B$7</f>
        <v/>
      </c>
      <c r="I5504" s="11">
        <f>MAX(0,N5504-M5504)</f>
        <v/>
      </c>
      <c r="J5504" s="11">
        <f>MAX(0,M5504-N5504)</f>
        <v/>
      </c>
      <c r="K5504" s="11">
        <f>O5504</f>
        <v/>
      </c>
      <c r="L5504" s="11">
        <f>L5503+IF(K5504&gt;0,K5504*Summary!$B$9,K5504/Summary!$B$9)</f>
        <v/>
      </c>
      <c r="M5504" s="11">
        <f>G5504+H5504</f>
        <v/>
      </c>
      <c r="N5504" s="11">
        <f>Summary!$C$16*Summary!$B$8</f>
        <v/>
      </c>
      <c r="O5504" s="11">
        <f>M5504-N5504</f>
        <v/>
      </c>
    </row>
    <row r="5505">
      <c r="A5505" s="9" t="n">
        <v>45521.29166666666</v>
      </c>
      <c r="B5505" t="n">
        <v>8</v>
      </c>
      <c r="C5505" t="n">
        <v>17</v>
      </c>
      <c r="D5505" t="n">
        <v>7</v>
      </c>
      <c r="E5505" s="10" t="n">
        <v>0.257517</v>
      </c>
      <c r="F5505" s="10" t="n">
        <v>0.234453800268912</v>
      </c>
      <c r="G5505" s="11">
        <f>E5505*Summary!$B$6</f>
        <v/>
      </c>
      <c r="H5505" s="11">
        <f>F5505*Summary!$B$7</f>
        <v/>
      </c>
      <c r="I5505" s="11">
        <f>MAX(0,N5505-M5505)</f>
        <v/>
      </c>
      <c r="J5505" s="11">
        <f>MAX(0,M5505-N5505)</f>
        <v/>
      </c>
      <c r="K5505" s="11">
        <f>O5505</f>
        <v/>
      </c>
      <c r="L5505" s="11">
        <f>L5504+IF(K5505&gt;0,K5505*Summary!$B$9,K5505/Summary!$B$9)</f>
        <v/>
      </c>
      <c r="M5505" s="11">
        <f>G5505+H5505</f>
        <v/>
      </c>
      <c r="N5505" s="11">
        <f>Summary!$C$16*Summary!$B$8</f>
        <v/>
      </c>
      <c r="O5505" s="11">
        <f>M5505-N5505</f>
        <v/>
      </c>
    </row>
    <row r="5506">
      <c r="A5506" s="9" t="n">
        <v>45521.33333333334</v>
      </c>
      <c r="B5506" t="n">
        <v>8</v>
      </c>
      <c r="C5506" t="n">
        <v>17</v>
      </c>
      <c r="D5506" t="n">
        <v>8</v>
      </c>
      <c r="E5506" s="10" t="n">
        <v>0.429419</v>
      </c>
      <c r="F5506" s="10" t="n">
        <v>0.2401194816286756</v>
      </c>
      <c r="G5506" s="11">
        <f>E5506*Summary!$B$6</f>
        <v/>
      </c>
      <c r="H5506" s="11">
        <f>F5506*Summary!$B$7</f>
        <v/>
      </c>
      <c r="I5506" s="11">
        <f>MAX(0,N5506-M5506)</f>
        <v/>
      </c>
      <c r="J5506" s="11">
        <f>MAX(0,M5506-N5506)</f>
        <v/>
      </c>
      <c r="K5506" s="11">
        <f>O5506</f>
        <v/>
      </c>
      <c r="L5506" s="11">
        <f>L5505+IF(K5506&gt;0,K5506*Summary!$B$9,K5506/Summary!$B$9)</f>
        <v/>
      </c>
      <c r="M5506" s="11">
        <f>G5506+H5506</f>
        <v/>
      </c>
      <c r="N5506" s="11">
        <f>Summary!$C$16*Summary!$B$8</f>
        <v/>
      </c>
      <c r="O5506" s="11">
        <f>M5506-N5506</f>
        <v/>
      </c>
    </row>
    <row r="5507">
      <c r="A5507" s="9" t="n">
        <v>45521.375</v>
      </c>
      <c r="B5507" t="n">
        <v>8</v>
      </c>
      <c r="C5507" t="n">
        <v>17</v>
      </c>
      <c r="D5507" t="n">
        <v>9</v>
      </c>
      <c r="E5507" s="10" t="n">
        <v>0.620602</v>
      </c>
      <c r="F5507" s="10" t="n">
        <v>0.2492899798295951</v>
      </c>
      <c r="G5507" s="11">
        <f>E5507*Summary!$B$6</f>
        <v/>
      </c>
      <c r="H5507" s="11">
        <f>F5507*Summary!$B$7</f>
        <v/>
      </c>
      <c r="I5507" s="11">
        <f>MAX(0,N5507-M5507)</f>
        <v/>
      </c>
      <c r="J5507" s="11">
        <f>MAX(0,M5507-N5507)</f>
        <v/>
      </c>
      <c r="K5507" s="11">
        <f>O5507</f>
        <v/>
      </c>
      <c r="L5507" s="11">
        <f>L5506+IF(K5507&gt;0,K5507*Summary!$B$9,K5507/Summary!$B$9)</f>
        <v/>
      </c>
      <c r="M5507" s="11">
        <f>G5507+H5507</f>
        <v/>
      </c>
      <c r="N5507" s="11">
        <f>Summary!$C$16*Summary!$B$8</f>
        <v/>
      </c>
      <c r="O5507" s="11">
        <f>M5507-N5507</f>
        <v/>
      </c>
    </row>
    <row r="5508">
      <c r="A5508" s="9" t="n">
        <v>45521.41666666666</v>
      </c>
      <c r="B5508" t="n">
        <v>8</v>
      </c>
      <c r="C5508" t="n">
        <v>17</v>
      </c>
      <c r="D5508" t="n">
        <v>10</v>
      </c>
      <c r="E5508" s="10" t="n">
        <v>0.651622</v>
      </c>
      <c r="F5508" s="10" t="n">
        <v>0.2521623485189636</v>
      </c>
      <c r="G5508" s="11">
        <f>E5508*Summary!$B$6</f>
        <v/>
      </c>
      <c r="H5508" s="11">
        <f>F5508*Summary!$B$7</f>
        <v/>
      </c>
      <c r="I5508" s="11">
        <f>MAX(0,N5508-M5508)</f>
        <v/>
      </c>
      <c r="J5508" s="11">
        <f>MAX(0,M5508-N5508)</f>
        <v/>
      </c>
      <c r="K5508" s="11">
        <f>O5508</f>
        <v/>
      </c>
      <c r="L5508" s="11">
        <f>L5507+IF(K5508&gt;0,K5508*Summary!$B$9,K5508/Summary!$B$9)</f>
        <v/>
      </c>
      <c r="M5508" s="11">
        <f>G5508+H5508</f>
        <v/>
      </c>
      <c r="N5508" s="11">
        <f>Summary!$C$16*Summary!$B$8</f>
        <v/>
      </c>
      <c r="O5508" s="11">
        <f>M5508-N5508</f>
        <v/>
      </c>
    </row>
    <row r="5509">
      <c r="A5509" s="9" t="n">
        <v>45521.45833333334</v>
      </c>
      <c r="B5509" t="n">
        <v>8</v>
      </c>
      <c r="C5509" t="n">
        <v>17</v>
      </c>
      <c r="D5509" t="n">
        <v>11</v>
      </c>
      <c r="E5509" s="10" t="n">
        <v>0.524987</v>
      </c>
      <c r="F5509" s="10" t="n">
        <v>0.2575908618218068</v>
      </c>
      <c r="G5509" s="11">
        <f>E5509*Summary!$B$6</f>
        <v/>
      </c>
      <c r="H5509" s="11">
        <f>F5509*Summary!$B$7</f>
        <v/>
      </c>
      <c r="I5509" s="11">
        <f>MAX(0,N5509-M5509)</f>
        <v/>
      </c>
      <c r="J5509" s="11">
        <f>MAX(0,M5509-N5509)</f>
        <v/>
      </c>
      <c r="K5509" s="11">
        <f>O5509</f>
        <v/>
      </c>
      <c r="L5509" s="11">
        <f>L5508+IF(K5509&gt;0,K5509*Summary!$B$9,K5509/Summary!$B$9)</f>
        <v/>
      </c>
      <c r="M5509" s="11">
        <f>G5509+H5509</f>
        <v/>
      </c>
      <c r="N5509" s="11">
        <f>Summary!$C$16*Summary!$B$8</f>
        <v/>
      </c>
      <c r="O5509" s="11">
        <f>M5509-N5509</f>
        <v/>
      </c>
    </row>
    <row r="5510">
      <c r="A5510" s="9" t="n">
        <v>45521.5</v>
      </c>
      <c r="B5510" t="n">
        <v>8</v>
      </c>
      <c r="C5510" t="n">
        <v>17</v>
      </c>
      <c r="D5510" t="n">
        <v>12</v>
      </c>
      <c r="E5510" s="10" t="n">
        <v>0.68327</v>
      </c>
      <c r="F5510" s="10" t="n">
        <v>0.2611483826756118</v>
      </c>
      <c r="G5510" s="11">
        <f>E5510*Summary!$B$6</f>
        <v/>
      </c>
      <c r="H5510" s="11">
        <f>F5510*Summary!$B$7</f>
        <v/>
      </c>
      <c r="I5510" s="11">
        <f>MAX(0,N5510-M5510)</f>
        <v/>
      </c>
      <c r="J5510" s="11">
        <f>MAX(0,M5510-N5510)</f>
        <v/>
      </c>
      <c r="K5510" s="11">
        <f>O5510</f>
        <v/>
      </c>
      <c r="L5510" s="11">
        <f>L5509+IF(K5510&gt;0,K5510*Summary!$B$9,K5510/Summary!$B$9)</f>
        <v/>
      </c>
      <c r="M5510" s="11">
        <f>G5510+H5510</f>
        <v/>
      </c>
      <c r="N5510" s="11">
        <f>Summary!$C$16*Summary!$B$8</f>
        <v/>
      </c>
      <c r="O5510" s="11">
        <f>M5510-N5510</f>
        <v/>
      </c>
    </row>
    <row r="5511">
      <c r="A5511" s="9" t="n">
        <v>45521.54166666666</v>
      </c>
      <c r="B5511" t="n">
        <v>8</v>
      </c>
      <c r="C5511" t="n">
        <v>17</v>
      </c>
      <c r="D5511" t="n">
        <v>13</v>
      </c>
      <c r="E5511" s="10" t="n">
        <v>0.344883</v>
      </c>
      <c r="F5511" s="10" t="n">
        <v>0.2658917438140185</v>
      </c>
      <c r="G5511" s="11">
        <f>E5511*Summary!$B$6</f>
        <v/>
      </c>
      <c r="H5511" s="11">
        <f>F5511*Summary!$B$7</f>
        <v/>
      </c>
      <c r="I5511" s="11">
        <f>MAX(0,N5511-M5511)</f>
        <v/>
      </c>
      <c r="J5511" s="11">
        <f>MAX(0,M5511-N5511)</f>
        <v/>
      </c>
      <c r="K5511" s="11">
        <f>O5511</f>
        <v/>
      </c>
      <c r="L5511" s="11">
        <f>L5510+IF(K5511&gt;0,K5511*Summary!$B$9,K5511/Summary!$B$9)</f>
        <v/>
      </c>
      <c r="M5511" s="11">
        <f>G5511+H5511</f>
        <v/>
      </c>
      <c r="N5511" s="11">
        <f>Summary!$C$16*Summary!$B$8</f>
        <v/>
      </c>
      <c r="O5511" s="11">
        <f>M5511-N5511</f>
        <v/>
      </c>
    </row>
    <row r="5512">
      <c r="A5512" s="9" t="n">
        <v>45521.58333333334</v>
      </c>
      <c r="B5512" t="n">
        <v>8</v>
      </c>
      <c r="C5512" t="n">
        <v>17</v>
      </c>
      <c r="D5512" t="n">
        <v>14</v>
      </c>
      <c r="E5512" s="10" t="n">
        <v>0.367261</v>
      </c>
      <c r="F5512" s="10" t="n">
        <v>0.2691593925982542</v>
      </c>
      <c r="G5512" s="11">
        <f>E5512*Summary!$B$6</f>
        <v/>
      </c>
      <c r="H5512" s="11">
        <f>F5512*Summary!$B$7</f>
        <v/>
      </c>
      <c r="I5512" s="11">
        <f>MAX(0,N5512-M5512)</f>
        <v/>
      </c>
      <c r="J5512" s="11">
        <f>MAX(0,M5512-N5512)</f>
        <v/>
      </c>
      <c r="K5512" s="11">
        <f>O5512</f>
        <v/>
      </c>
      <c r="L5512" s="11">
        <f>L5511+IF(K5512&gt;0,K5512*Summary!$B$9,K5512/Summary!$B$9)</f>
        <v/>
      </c>
      <c r="M5512" s="11">
        <f>G5512+H5512</f>
        <v/>
      </c>
      <c r="N5512" s="11">
        <f>Summary!$C$16*Summary!$B$8</f>
        <v/>
      </c>
      <c r="O5512" s="11">
        <f>M5512-N5512</f>
        <v/>
      </c>
    </row>
    <row r="5513">
      <c r="A5513" s="9" t="n">
        <v>45521.625</v>
      </c>
      <c r="B5513" t="n">
        <v>8</v>
      </c>
      <c r="C5513" t="n">
        <v>17</v>
      </c>
      <c r="D5513" t="n">
        <v>15</v>
      </c>
      <c r="E5513" s="10" t="n">
        <v>0.355243</v>
      </c>
      <c r="F5513" s="10" t="n">
        <v>0.2637572313017355</v>
      </c>
      <c r="G5513" s="11">
        <f>E5513*Summary!$B$6</f>
        <v/>
      </c>
      <c r="H5513" s="11">
        <f>F5513*Summary!$B$7</f>
        <v/>
      </c>
      <c r="I5513" s="11">
        <f>MAX(0,N5513-M5513)</f>
        <v/>
      </c>
      <c r="J5513" s="11">
        <f>MAX(0,M5513-N5513)</f>
        <v/>
      </c>
      <c r="K5513" s="11">
        <f>O5513</f>
        <v/>
      </c>
      <c r="L5513" s="11">
        <f>L5512+IF(K5513&gt;0,K5513*Summary!$B$9,K5513/Summary!$B$9)</f>
        <v/>
      </c>
      <c r="M5513" s="11">
        <f>G5513+H5513</f>
        <v/>
      </c>
      <c r="N5513" s="11">
        <f>Summary!$C$16*Summary!$B$8</f>
        <v/>
      </c>
      <c r="O5513" s="11">
        <f>M5513-N5513</f>
        <v/>
      </c>
    </row>
    <row r="5514">
      <c r="A5514" s="9" t="n">
        <v>45521.66666666666</v>
      </c>
      <c r="B5514" t="n">
        <v>8</v>
      </c>
      <c r="C5514" t="n">
        <v>17</v>
      </c>
      <c r="D5514" t="n">
        <v>16</v>
      </c>
      <c r="E5514" s="10" t="n">
        <v>0.215707</v>
      </c>
      <c r="F5514" s="10" t="n">
        <v>0.2500541880130051</v>
      </c>
      <c r="G5514" s="11">
        <f>E5514*Summary!$B$6</f>
        <v/>
      </c>
      <c r="H5514" s="11">
        <f>F5514*Summary!$B$7</f>
        <v/>
      </c>
      <c r="I5514" s="11">
        <f>MAX(0,N5514-M5514)</f>
        <v/>
      </c>
      <c r="J5514" s="11">
        <f>MAX(0,M5514-N5514)</f>
        <v/>
      </c>
      <c r="K5514" s="11">
        <f>O5514</f>
        <v/>
      </c>
      <c r="L5514" s="11">
        <f>L5513+IF(K5514&gt;0,K5514*Summary!$B$9,K5514/Summary!$B$9)</f>
        <v/>
      </c>
      <c r="M5514" s="11">
        <f>G5514+H5514</f>
        <v/>
      </c>
      <c r="N5514" s="11">
        <f>Summary!$C$16*Summary!$B$8</f>
        <v/>
      </c>
      <c r="O5514" s="11">
        <f>M5514-N5514</f>
        <v/>
      </c>
    </row>
    <row r="5515">
      <c r="A5515" s="9" t="n">
        <v>45521.70833333334</v>
      </c>
      <c r="B5515" t="n">
        <v>8</v>
      </c>
      <c r="C5515" t="n">
        <v>17</v>
      </c>
      <c r="D5515" t="n">
        <v>17</v>
      </c>
      <c r="E5515" s="10" t="n">
        <v>0.158561</v>
      </c>
      <c r="F5515" s="10" t="n">
        <v>0.2361403286736789</v>
      </c>
      <c r="G5515" s="11">
        <f>E5515*Summary!$B$6</f>
        <v/>
      </c>
      <c r="H5515" s="11">
        <f>F5515*Summary!$B$7</f>
        <v/>
      </c>
      <c r="I5515" s="11">
        <f>MAX(0,N5515-M5515)</f>
        <v/>
      </c>
      <c r="J5515" s="11">
        <f>MAX(0,M5515-N5515)</f>
        <v/>
      </c>
      <c r="K5515" s="11">
        <f>O5515</f>
        <v/>
      </c>
      <c r="L5515" s="11">
        <f>L5514+IF(K5515&gt;0,K5515*Summary!$B$9,K5515/Summary!$B$9)</f>
        <v/>
      </c>
      <c r="M5515" s="11">
        <f>G5515+H5515</f>
        <v/>
      </c>
      <c r="N5515" s="11">
        <f>Summary!$C$16*Summary!$B$8</f>
        <v/>
      </c>
      <c r="O5515" s="11">
        <f>M5515-N5515</f>
        <v/>
      </c>
    </row>
    <row r="5516">
      <c r="A5516" s="9" t="n">
        <v>45521.75</v>
      </c>
      <c r="B5516" t="n">
        <v>8</v>
      </c>
      <c r="C5516" t="n">
        <v>17</v>
      </c>
      <c r="D5516" t="n">
        <v>18</v>
      </c>
      <c r="E5516" s="10" t="n">
        <v>0.049771</v>
      </c>
      <c r="F5516" s="10" t="n">
        <v>0.2247035579288539</v>
      </c>
      <c r="G5516" s="11">
        <f>E5516*Summary!$B$6</f>
        <v/>
      </c>
      <c r="H5516" s="11">
        <f>F5516*Summary!$B$7</f>
        <v/>
      </c>
      <c r="I5516" s="11">
        <f>MAX(0,N5516-M5516)</f>
        <v/>
      </c>
      <c r="J5516" s="11">
        <f>MAX(0,M5516-N5516)</f>
        <v/>
      </c>
      <c r="K5516" s="11">
        <f>O5516</f>
        <v/>
      </c>
      <c r="L5516" s="11">
        <f>L5515+IF(K5516&gt;0,K5516*Summary!$B$9,K5516/Summary!$B$9)</f>
        <v/>
      </c>
      <c r="M5516" s="11">
        <f>G5516+H5516</f>
        <v/>
      </c>
      <c r="N5516" s="11">
        <f>Summary!$C$16*Summary!$B$8</f>
        <v/>
      </c>
      <c r="O5516" s="11">
        <f>M5516-N5516</f>
        <v/>
      </c>
    </row>
    <row r="5517">
      <c r="A5517" s="9" t="n">
        <v>45521.79166666666</v>
      </c>
      <c r="B5517" t="n">
        <v>8</v>
      </c>
      <c r="C5517" t="n">
        <v>17</v>
      </c>
      <c r="D5517" t="n">
        <v>19</v>
      </c>
      <c r="E5517" s="10" t="n">
        <v>0.008642</v>
      </c>
      <c r="F5517" s="10" t="n">
        <v>0.2240447577707418</v>
      </c>
      <c r="G5517" s="11">
        <f>E5517*Summary!$B$6</f>
        <v/>
      </c>
      <c r="H5517" s="11">
        <f>F5517*Summary!$B$7</f>
        <v/>
      </c>
      <c r="I5517" s="11">
        <f>MAX(0,N5517-M5517)</f>
        <v/>
      </c>
      <c r="J5517" s="11">
        <f>MAX(0,M5517-N5517)</f>
        <v/>
      </c>
      <c r="K5517" s="11">
        <f>O5517</f>
        <v/>
      </c>
      <c r="L5517" s="11">
        <f>L5516+IF(K5517&gt;0,K5517*Summary!$B$9,K5517/Summary!$B$9)</f>
        <v/>
      </c>
      <c r="M5517" s="11">
        <f>G5517+H5517</f>
        <v/>
      </c>
      <c r="N5517" s="11">
        <f>Summary!$C$16*Summary!$B$8</f>
        <v/>
      </c>
      <c r="O5517" s="11">
        <f>M5517-N5517</f>
        <v/>
      </c>
    </row>
    <row r="5518">
      <c r="A5518" s="9" t="n">
        <v>45521.83333333334</v>
      </c>
      <c r="B5518" t="n">
        <v>8</v>
      </c>
      <c r="C5518" t="n">
        <v>17</v>
      </c>
      <c r="D5518" t="n">
        <v>20</v>
      </c>
      <c r="E5518" s="10" t="n">
        <v>0</v>
      </c>
      <c r="F5518" s="10" t="n">
        <v>0.2325301038072249</v>
      </c>
      <c r="G5518" s="11">
        <f>E5518*Summary!$B$6</f>
        <v/>
      </c>
      <c r="H5518" s="11">
        <f>F5518*Summary!$B$7</f>
        <v/>
      </c>
      <c r="I5518" s="11">
        <f>MAX(0,N5518-M5518)</f>
        <v/>
      </c>
      <c r="J5518" s="11">
        <f>MAX(0,M5518-N5518)</f>
        <v/>
      </c>
      <c r="K5518" s="11">
        <f>O5518</f>
        <v/>
      </c>
      <c r="L5518" s="11">
        <f>L5517+IF(K5518&gt;0,K5518*Summary!$B$9,K5518/Summary!$B$9)</f>
        <v/>
      </c>
      <c r="M5518" s="11">
        <f>G5518+H5518</f>
        <v/>
      </c>
      <c r="N5518" s="11">
        <f>Summary!$C$16*Summary!$B$8</f>
        <v/>
      </c>
      <c r="O5518" s="11">
        <f>M5518-N5518</f>
        <v/>
      </c>
    </row>
    <row r="5519">
      <c r="A5519" s="9" t="n">
        <v>45521.875</v>
      </c>
      <c r="B5519" t="n">
        <v>8</v>
      </c>
      <c r="C5519" t="n">
        <v>17</v>
      </c>
      <c r="D5519" t="n">
        <v>21</v>
      </c>
      <c r="E5519" s="10" t="n">
        <v>0</v>
      </c>
      <c r="F5519" s="10" t="n">
        <v>0.2427546822611238</v>
      </c>
      <c r="G5519" s="11">
        <f>E5519*Summary!$B$6</f>
        <v/>
      </c>
      <c r="H5519" s="11">
        <f>F5519*Summary!$B$7</f>
        <v/>
      </c>
      <c r="I5519" s="11">
        <f>MAX(0,N5519-M5519)</f>
        <v/>
      </c>
      <c r="J5519" s="11">
        <f>MAX(0,M5519-N5519)</f>
        <v/>
      </c>
      <c r="K5519" s="11">
        <f>O5519</f>
        <v/>
      </c>
      <c r="L5519" s="11">
        <f>L5518+IF(K5519&gt;0,K5519*Summary!$B$9,K5519/Summary!$B$9)</f>
        <v/>
      </c>
      <c r="M5519" s="11">
        <f>G5519+H5519</f>
        <v/>
      </c>
      <c r="N5519" s="11">
        <f>Summary!$C$16*Summary!$B$8</f>
        <v/>
      </c>
      <c r="O5519" s="11">
        <f>M5519-N5519</f>
        <v/>
      </c>
    </row>
    <row r="5520">
      <c r="A5520" s="9" t="n">
        <v>45521.91666666666</v>
      </c>
      <c r="B5520" t="n">
        <v>8</v>
      </c>
      <c r="C5520" t="n">
        <v>17</v>
      </c>
      <c r="D5520" t="n">
        <v>22</v>
      </c>
      <c r="E5520" s="10" t="n">
        <v>0</v>
      </c>
      <c r="F5520" s="10" t="n">
        <v>0.2407519297804632</v>
      </c>
      <c r="G5520" s="11">
        <f>E5520*Summary!$B$6</f>
        <v/>
      </c>
      <c r="H5520" s="11">
        <f>F5520*Summary!$B$7</f>
        <v/>
      </c>
      <c r="I5520" s="11">
        <f>MAX(0,N5520-M5520)</f>
        <v/>
      </c>
      <c r="J5520" s="11">
        <f>MAX(0,M5520-N5520)</f>
        <v/>
      </c>
      <c r="K5520" s="11">
        <f>O5520</f>
        <v/>
      </c>
      <c r="L5520" s="11">
        <f>L5519+IF(K5520&gt;0,K5520*Summary!$B$9,K5520/Summary!$B$9)</f>
        <v/>
      </c>
      <c r="M5520" s="11">
        <f>G5520+H5520</f>
        <v/>
      </c>
      <c r="N5520" s="11">
        <f>Summary!$C$16*Summary!$B$8</f>
        <v/>
      </c>
      <c r="O5520" s="11">
        <f>M5520-N5520</f>
        <v/>
      </c>
    </row>
    <row r="5521">
      <c r="A5521" s="9" t="n">
        <v>45521.95833333334</v>
      </c>
      <c r="B5521" t="n">
        <v>8</v>
      </c>
      <c r="C5521" t="n">
        <v>17</v>
      </c>
      <c r="D5521" t="n">
        <v>23</v>
      </c>
      <c r="E5521" s="10" t="n">
        <v>0</v>
      </c>
      <c r="F5521" s="10" t="n">
        <v>0.241621545989171</v>
      </c>
      <c r="G5521" s="11">
        <f>E5521*Summary!$B$6</f>
        <v/>
      </c>
      <c r="H5521" s="11">
        <f>F5521*Summary!$B$7</f>
        <v/>
      </c>
      <c r="I5521" s="11">
        <f>MAX(0,N5521-M5521)</f>
        <v/>
      </c>
      <c r="J5521" s="11">
        <f>MAX(0,M5521-N5521)</f>
        <v/>
      </c>
      <c r="K5521" s="11">
        <f>O5521</f>
        <v/>
      </c>
      <c r="L5521" s="11">
        <f>L5520+IF(K5521&gt;0,K5521*Summary!$B$9,K5521/Summary!$B$9)</f>
        <v/>
      </c>
      <c r="M5521" s="11">
        <f>G5521+H5521</f>
        <v/>
      </c>
      <c r="N5521" s="11">
        <f>Summary!$C$16*Summary!$B$8</f>
        <v/>
      </c>
      <c r="O5521" s="11">
        <f>M5521-N5521</f>
        <v/>
      </c>
    </row>
    <row r="5522">
      <c r="A5522" s="9" t="n">
        <v>45522</v>
      </c>
      <c r="B5522" t="n">
        <v>8</v>
      </c>
      <c r="C5522" t="n">
        <v>18</v>
      </c>
      <c r="D5522" t="n">
        <v>0</v>
      </c>
      <c r="E5522" s="10" t="n">
        <v>0</v>
      </c>
      <c r="F5522" s="10" t="n">
        <v>0.2902937016704884</v>
      </c>
      <c r="G5522" s="11">
        <f>E5522*Summary!$B$6</f>
        <v/>
      </c>
      <c r="H5522" s="11">
        <f>F5522*Summary!$B$7</f>
        <v/>
      </c>
      <c r="I5522" s="11">
        <f>MAX(0,N5522-M5522)</f>
        <v/>
      </c>
      <c r="J5522" s="11">
        <f>MAX(0,M5522-N5522)</f>
        <v/>
      </c>
      <c r="K5522" s="11">
        <f>O5522</f>
        <v/>
      </c>
      <c r="L5522" s="11">
        <f>L5521+IF(K5522&gt;0,K5522*Summary!$B$9,K5522/Summary!$B$9)</f>
        <v/>
      </c>
      <c r="M5522" s="11">
        <f>G5522+H5522</f>
        <v/>
      </c>
      <c r="N5522" s="11">
        <f>Summary!$C$16*Summary!$B$8</f>
        <v/>
      </c>
      <c r="O5522" s="11">
        <f>M5522-N5522</f>
        <v/>
      </c>
    </row>
    <row r="5523">
      <c r="A5523" s="9" t="n">
        <v>45522.04166666666</v>
      </c>
      <c r="B5523" t="n">
        <v>8</v>
      </c>
      <c r="C5523" t="n">
        <v>18</v>
      </c>
      <c r="D5523" t="n">
        <v>1</v>
      </c>
      <c r="E5523" s="10" t="n">
        <v>0</v>
      </c>
      <c r="F5523" s="10" t="n">
        <v>0.2265745503778921</v>
      </c>
      <c r="G5523" s="11">
        <f>E5523*Summary!$B$6</f>
        <v/>
      </c>
      <c r="H5523" s="11">
        <f>F5523*Summary!$B$7</f>
        <v/>
      </c>
      <c r="I5523" s="11">
        <f>MAX(0,N5523-M5523)</f>
        <v/>
      </c>
      <c r="J5523" s="11">
        <f>MAX(0,M5523-N5523)</f>
        <v/>
      </c>
      <c r="K5523" s="11">
        <f>O5523</f>
        <v/>
      </c>
      <c r="L5523" s="11">
        <f>L5522+IF(K5523&gt;0,K5523*Summary!$B$9,K5523/Summary!$B$9)</f>
        <v/>
      </c>
      <c r="M5523" s="11">
        <f>G5523+H5523</f>
        <v/>
      </c>
      <c r="N5523" s="11">
        <f>Summary!$C$16*Summary!$B$8</f>
        <v/>
      </c>
      <c r="O5523" s="11">
        <f>M5523-N5523</f>
        <v/>
      </c>
    </row>
    <row r="5524">
      <c r="A5524" s="9" t="n">
        <v>45522.08333333334</v>
      </c>
      <c r="B5524" t="n">
        <v>8</v>
      </c>
      <c r="C5524" t="n">
        <v>18</v>
      </c>
      <c r="D5524" t="n">
        <v>2</v>
      </c>
      <c r="E5524" s="10" t="n">
        <v>0</v>
      </c>
      <c r="F5524" s="10" t="n">
        <v>0.2295523270925585</v>
      </c>
      <c r="G5524" s="11">
        <f>E5524*Summary!$B$6</f>
        <v/>
      </c>
      <c r="H5524" s="11">
        <f>F5524*Summary!$B$7</f>
        <v/>
      </c>
      <c r="I5524" s="11">
        <f>MAX(0,N5524-M5524)</f>
        <v/>
      </c>
      <c r="J5524" s="11">
        <f>MAX(0,M5524-N5524)</f>
        <v/>
      </c>
      <c r="K5524" s="11">
        <f>O5524</f>
        <v/>
      </c>
      <c r="L5524" s="11">
        <f>L5523+IF(K5524&gt;0,K5524*Summary!$B$9,K5524/Summary!$B$9)</f>
        <v/>
      </c>
      <c r="M5524" s="11">
        <f>G5524+H5524</f>
        <v/>
      </c>
      <c r="N5524" s="11">
        <f>Summary!$C$16*Summary!$B$8</f>
        <v/>
      </c>
      <c r="O5524" s="11">
        <f>M5524-N5524</f>
        <v/>
      </c>
    </row>
    <row r="5525">
      <c r="A5525" s="9" t="n">
        <v>45522.125</v>
      </c>
      <c r="B5525" t="n">
        <v>8</v>
      </c>
      <c r="C5525" t="n">
        <v>18</v>
      </c>
      <c r="D5525" t="n">
        <v>3</v>
      </c>
      <c r="E5525" s="10" t="n">
        <v>0</v>
      </c>
      <c r="F5525" s="10" t="n">
        <v>0.2270488864917328</v>
      </c>
      <c r="G5525" s="11">
        <f>E5525*Summary!$B$6</f>
        <v/>
      </c>
      <c r="H5525" s="11">
        <f>F5525*Summary!$B$7</f>
        <v/>
      </c>
      <c r="I5525" s="11">
        <f>MAX(0,N5525-M5525)</f>
        <v/>
      </c>
      <c r="J5525" s="11">
        <f>MAX(0,M5525-N5525)</f>
        <v/>
      </c>
      <c r="K5525" s="11">
        <f>O5525</f>
        <v/>
      </c>
      <c r="L5525" s="11">
        <f>L5524+IF(K5525&gt;0,K5525*Summary!$B$9,K5525/Summary!$B$9)</f>
        <v/>
      </c>
      <c r="M5525" s="11">
        <f>G5525+H5525</f>
        <v/>
      </c>
      <c r="N5525" s="11">
        <f>Summary!$C$16*Summary!$B$8</f>
        <v/>
      </c>
      <c r="O5525" s="11">
        <f>M5525-N5525</f>
        <v/>
      </c>
    </row>
    <row r="5526">
      <c r="A5526" s="9" t="n">
        <v>45522.16666666666</v>
      </c>
      <c r="B5526" t="n">
        <v>8</v>
      </c>
      <c r="C5526" t="n">
        <v>18</v>
      </c>
      <c r="D5526" t="n">
        <v>4</v>
      </c>
      <c r="E5526" s="10" t="n">
        <v>0</v>
      </c>
      <c r="F5526" s="10" t="n">
        <v>0.2220156532837568</v>
      </c>
      <c r="G5526" s="11">
        <f>E5526*Summary!$B$6</f>
        <v/>
      </c>
      <c r="H5526" s="11">
        <f>F5526*Summary!$B$7</f>
        <v/>
      </c>
      <c r="I5526" s="11">
        <f>MAX(0,N5526-M5526)</f>
        <v/>
      </c>
      <c r="J5526" s="11">
        <f>MAX(0,M5526-N5526)</f>
        <v/>
      </c>
      <c r="K5526" s="11">
        <f>O5526</f>
        <v/>
      </c>
      <c r="L5526" s="11">
        <f>L5525+IF(K5526&gt;0,K5526*Summary!$B$9,K5526/Summary!$B$9)</f>
        <v/>
      </c>
      <c r="M5526" s="11">
        <f>G5526+H5526</f>
        <v/>
      </c>
      <c r="N5526" s="11">
        <f>Summary!$C$16*Summary!$B$8</f>
        <v/>
      </c>
      <c r="O5526" s="11">
        <f>M5526-N5526</f>
        <v/>
      </c>
    </row>
    <row r="5527">
      <c r="A5527" s="9" t="n">
        <v>45522.20833333334</v>
      </c>
      <c r="B5527" t="n">
        <v>8</v>
      </c>
      <c r="C5527" t="n">
        <v>18</v>
      </c>
      <c r="D5527" t="n">
        <v>5</v>
      </c>
      <c r="E5527" s="10" t="n">
        <v>0.010807</v>
      </c>
      <c r="F5527" s="10" t="n">
        <v>0.2172459401390257</v>
      </c>
      <c r="G5527" s="11">
        <f>E5527*Summary!$B$6</f>
        <v/>
      </c>
      <c r="H5527" s="11">
        <f>F5527*Summary!$B$7</f>
        <v/>
      </c>
      <c r="I5527" s="11">
        <f>MAX(0,N5527-M5527)</f>
        <v/>
      </c>
      <c r="J5527" s="11">
        <f>MAX(0,M5527-N5527)</f>
        <v/>
      </c>
      <c r="K5527" s="11">
        <f>O5527</f>
        <v/>
      </c>
      <c r="L5527" s="11">
        <f>L5526+IF(K5527&gt;0,K5527*Summary!$B$9,K5527/Summary!$B$9)</f>
        <v/>
      </c>
      <c r="M5527" s="11">
        <f>G5527+H5527</f>
        <v/>
      </c>
      <c r="N5527" s="11">
        <f>Summary!$C$16*Summary!$B$8</f>
        <v/>
      </c>
      <c r="O5527" s="11">
        <f>M5527-N5527</f>
        <v/>
      </c>
    </row>
    <row r="5528">
      <c r="A5528" s="9" t="n">
        <v>45522.25</v>
      </c>
      <c r="B5528" t="n">
        <v>8</v>
      </c>
      <c r="C5528" t="n">
        <v>18</v>
      </c>
      <c r="D5528" t="n">
        <v>6</v>
      </c>
      <c r="E5528" s="10" t="n">
        <v>0.045998</v>
      </c>
      <c r="F5528" s="10" t="n">
        <v>0.2072058257293982</v>
      </c>
      <c r="G5528" s="11">
        <f>E5528*Summary!$B$6</f>
        <v/>
      </c>
      <c r="H5528" s="11">
        <f>F5528*Summary!$B$7</f>
        <v/>
      </c>
      <c r="I5528" s="11">
        <f>MAX(0,N5528-M5528)</f>
        <v/>
      </c>
      <c r="J5528" s="11">
        <f>MAX(0,M5528-N5528)</f>
        <v/>
      </c>
      <c r="K5528" s="11">
        <f>O5528</f>
        <v/>
      </c>
      <c r="L5528" s="11">
        <f>L5527+IF(K5528&gt;0,K5528*Summary!$B$9,K5528/Summary!$B$9)</f>
        <v/>
      </c>
      <c r="M5528" s="11">
        <f>G5528+H5528</f>
        <v/>
      </c>
      <c r="N5528" s="11">
        <f>Summary!$C$16*Summary!$B$8</f>
        <v/>
      </c>
      <c r="O5528" s="11">
        <f>M5528-N5528</f>
        <v/>
      </c>
    </row>
    <row r="5529">
      <c r="A5529" s="9" t="n">
        <v>45522.29166666666</v>
      </c>
      <c r="B5529" t="n">
        <v>8</v>
      </c>
      <c r="C5529" t="n">
        <v>18</v>
      </c>
      <c r="D5529" t="n">
        <v>7</v>
      </c>
      <c r="E5529" s="10" t="n">
        <v>0.225371</v>
      </c>
      <c r="F5529" s="10" t="n">
        <v>0.1969021912565259</v>
      </c>
      <c r="G5529" s="11">
        <f>E5529*Summary!$B$6</f>
        <v/>
      </c>
      <c r="H5529" s="11">
        <f>F5529*Summary!$B$7</f>
        <v/>
      </c>
      <c r="I5529" s="11">
        <f>MAX(0,N5529-M5529)</f>
        <v/>
      </c>
      <c r="J5529" s="11">
        <f>MAX(0,M5529-N5529)</f>
        <v/>
      </c>
      <c r="K5529" s="11">
        <f>O5529</f>
        <v/>
      </c>
      <c r="L5529" s="11">
        <f>L5528+IF(K5529&gt;0,K5529*Summary!$B$9,K5529/Summary!$B$9)</f>
        <v/>
      </c>
      <c r="M5529" s="11">
        <f>G5529+H5529</f>
        <v/>
      </c>
      <c r="N5529" s="11">
        <f>Summary!$C$16*Summary!$B$8</f>
        <v/>
      </c>
      <c r="O5529" s="11">
        <f>M5529-N5529</f>
        <v/>
      </c>
    </row>
    <row r="5530">
      <c r="A5530" s="9" t="n">
        <v>45522.33333333334</v>
      </c>
      <c r="B5530" t="n">
        <v>8</v>
      </c>
      <c r="C5530" t="n">
        <v>18</v>
      </c>
      <c r="D5530" t="n">
        <v>8</v>
      </c>
      <c r="E5530" s="10" t="n">
        <v>0.269686</v>
      </c>
      <c r="F5530" s="10" t="n">
        <v>0.1979562715095051</v>
      </c>
      <c r="G5530" s="11">
        <f>E5530*Summary!$B$6</f>
        <v/>
      </c>
      <c r="H5530" s="11">
        <f>F5530*Summary!$B$7</f>
        <v/>
      </c>
      <c r="I5530" s="11">
        <f>MAX(0,N5530-M5530)</f>
        <v/>
      </c>
      <c r="J5530" s="11">
        <f>MAX(0,M5530-N5530)</f>
        <v/>
      </c>
      <c r="K5530" s="11">
        <f>O5530</f>
        <v/>
      </c>
      <c r="L5530" s="11">
        <f>L5529+IF(K5530&gt;0,K5530*Summary!$B$9,K5530/Summary!$B$9)</f>
        <v/>
      </c>
      <c r="M5530" s="11">
        <f>G5530+H5530</f>
        <v/>
      </c>
      <c r="N5530" s="11">
        <f>Summary!$C$16*Summary!$B$8</f>
        <v/>
      </c>
      <c r="O5530" s="11">
        <f>M5530-N5530</f>
        <v/>
      </c>
    </row>
    <row r="5531">
      <c r="A5531" s="9" t="n">
        <v>45522.375</v>
      </c>
      <c r="B5531" t="n">
        <v>8</v>
      </c>
      <c r="C5531" t="n">
        <v>18</v>
      </c>
      <c r="D5531" t="n">
        <v>9</v>
      </c>
      <c r="E5531" s="10" t="n">
        <v>0.537237</v>
      </c>
      <c r="F5531" s="10" t="n">
        <v>0.2104998265199584</v>
      </c>
      <c r="G5531" s="11">
        <f>E5531*Summary!$B$6</f>
        <v/>
      </c>
      <c r="H5531" s="11">
        <f>F5531*Summary!$B$7</f>
        <v/>
      </c>
      <c r="I5531" s="11">
        <f>MAX(0,N5531-M5531)</f>
        <v/>
      </c>
      <c r="J5531" s="11">
        <f>MAX(0,M5531-N5531)</f>
        <v/>
      </c>
      <c r="K5531" s="11">
        <f>O5531</f>
        <v/>
      </c>
      <c r="L5531" s="11">
        <f>L5530+IF(K5531&gt;0,K5531*Summary!$B$9,K5531/Summary!$B$9)</f>
        <v/>
      </c>
      <c r="M5531" s="11">
        <f>G5531+H5531</f>
        <v/>
      </c>
      <c r="N5531" s="11">
        <f>Summary!$C$16*Summary!$B$8</f>
        <v/>
      </c>
      <c r="O5531" s="11">
        <f>M5531-N5531</f>
        <v/>
      </c>
    </row>
    <row r="5532">
      <c r="A5532" s="9" t="n">
        <v>45522.41666666666</v>
      </c>
      <c r="B5532" t="n">
        <v>8</v>
      </c>
      <c r="C5532" t="n">
        <v>18</v>
      </c>
      <c r="D5532" t="n">
        <v>10</v>
      </c>
      <c r="E5532" s="10" t="n">
        <v>0.693676</v>
      </c>
      <c r="F5532" s="10" t="n">
        <v>0.2228325654798157</v>
      </c>
      <c r="G5532" s="11">
        <f>E5532*Summary!$B$6</f>
        <v/>
      </c>
      <c r="H5532" s="11">
        <f>F5532*Summary!$B$7</f>
        <v/>
      </c>
      <c r="I5532" s="11">
        <f>MAX(0,N5532-M5532)</f>
        <v/>
      </c>
      <c r="J5532" s="11">
        <f>MAX(0,M5532-N5532)</f>
        <v/>
      </c>
      <c r="K5532" s="11">
        <f>O5532</f>
        <v/>
      </c>
      <c r="L5532" s="11">
        <f>L5531+IF(K5532&gt;0,K5532*Summary!$B$9,K5532/Summary!$B$9)</f>
        <v/>
      </c>
      <c r="M5532" s="11">
        <f>G5532+H5532</f>
        <v/>
      </c>
      <c r="N5532" s="11">
        <f>Summary!$C$16*Summary!$B$8</f>
        <v/>
      </c>
      <c r="O5532" s="11">
        <f>M5532-N5532</f>
        <v/>
      </c>
    </row>
    <row r="5533">
      <c r="A5533" s="9" t="n">
        <v>45522.45833333334</v>
      </c>
      <c r="B5533" t="n">
        <v>8</v>
      </c>
      <c r="C5533" t="n">
        <v>18</v>
      </c>
      <c r="D5533" t="n">
        <v>11</v>
      </c>
      <c r="E5533" s="10" t="n">
        <v>0.62182</v>
      </c>
      <c r="F5533" s="10" t="n">
        <v>0.2352970644712954</v>
      </c>
      <c r="G5533" s="11">
        <f>E5533*Summary!$B$6</f>
        <v/>
      </c>
      <c r="H5533" s="11">
        <f>F5533*Summary!$B$7</f>
        <v/>
      </c>
      <c r="I5533" s="11">
        <f>MAX(0,N5533-M5533)</f>
        <v/>
      </c>
      <c r="J5533" s="11">
        <f>MAX(0,M5533-N5533)</f>
        <v/>
      </c>
      <c r="K5533" s="11">
        <f>O5533</f>
        <v/>
      </c>
      <c r="L5533" s="11">
        <f>L5532+IF(K5533&gt;0,K5533*Summary!$B$9,K5533/Summary!$B$9)</f>
        <v/>
      </c>
      <c r="M5533" s="11">
        <f>G5533+H5533</f>
        <v/>
      </c>
      <c r="N5533" s="11">
        <f>Summary!$C$16*Summary!$B$8</f>
        <v/>
      </c>
      <c r="O5533" s="11">
        <f>M5533-N5533</f>
        <v/>
      </c>
    </row>
    <row r="5534">
      <c r="A5534" s="9" t="n">
        <v>45522.5</v>
      </c>
      <c r="B5534" t="n">
        <v>8</v>
      </c>
      <c r="C5534" t="n">
        <v>18</v>
      </c>
      <c r="D5534" t="n">
        <v>12</v>
      </c>
      <c r="E5534" s="10" t="n">
        <v>0.508398</v>
      </c>
      <c r="F5534" s="10" t="n">
        <v>0.2473399313615835</v>
      </c>
      <c r="G5534" s="11">
        <f>E5534*Summary!$B$6</f>
        <v/>
      </c>
      <c r="H5534" s="11">
        <f>F5534*Summary!$B$7</f>
        <v/>
      </c>
      <c r="I5534" s="11">
        <f>MAX(0,N5534-M5534)</f>
        <v/>
      </c>
      <c r="J5534" s="11">
        <f>MAX(0,M5534-N5534)</f>
        <v/>
      </c>
      <c r="K5534" s="11">
        <f>O5534</f>
        <v/>
      </c>
      <c r="L5534" s="11">
        <f>L5533+IF(K5534&gt;0,K5534*Summary!$B$9,K5534/Summary!$B$9)</f>
        <v/>
      </c>
      <c r="M5534" s="11">
        <f>G5534+H5534</f>
        <v/>
      </c>
      <c r="N5534" s="11">
        <f>Summary!$C$16*Summary!$B$8</f>
        <v/>
      </c>
      <c r="O5534" s="11">
        <f>M5534-N5534</f>
        <v/>
      </c>
    </row>
    <row r="5535">
      <c r="A5535" s="9" t="n">
        <v>45522.54166666666</v>
      </c>
      <c r="B5535" t="n">
        <v>8</v>
      </c>
      <c r="C5535" t="n">
        <v>18</v>
      </c>
      <c r="D5535" t="n">
        <v>13</v>
      </c>
      <c r="E5535" s="10" t="n">
        <v>0.221171</v>
      </c>
      <c r="F5535" s="10" t="n">
        <v>0.2550083652020076</v>
      </c>
      <c r="G5535" s="11">
        <f>E5535*Summary!$B$6</f>
        <v/>
      </c>
      <c r="H5535" s="11">
        <f>F5535*Summary!$B$7</f>
        <v/>
      </c>
      <c r="I5535" s="11">
        <f>MAX(0,N5535-M5535)</f>
        <v/>
      </c>
      <c r="J5535" s="11">
        <f>MAX(0,M5535-N5535)</f>
        <v/>
      </c>
      <c r="K5535" s="11">
        <f>O5535</f>
        <v/>
      </c>
      <c r="L5535" s="11">
        <f>L5534+IF(K5535&gt;0,K5535*Summary!$B$9,K5535/Summary!$B$9)</f>
        <v/>
      </c>
      <c r="M5535" s="11">
        <f>G5535+H5535</f>
        <v/>
      </c>
      <c r="N5535" s="11">
        <f>Summary!$C$16*Summary!$B$8</f>
        <v/>
      </c>
      <c r="O5535" s="11">
        <f>M5535-N5535</f>
        <v/>
      </c>
    </row>
    <row r="5536">
      <c r="A5536" s="9" t="n">
        <v>45522.58333333334</v>
      </c>
      <c r="B5536" t="n">
        <v>8</v>
      </c>
      <c r="C5536" t="n">
        <v>18</v>
      </c>
      <c r="D5536" t="n">
        <v>14</v>
      </c>
      <c r="E5536" s="10" t="n">
        <v>0.193178</v>
      </c>
      <c r="F5536" s="10" t="n">
        <v>0.2574327497838599</v>
      </c>
      <c r="G5536" s="11">
        <f>E5536*Summary!$B$6</f>
        <v/>
      </c>
      <c r="H5536" s="11">
        <f>F5536*Summary!$B$7</f>
        <v/>
      </c>
      <c r="I5536" s="11">
        <f>MAX(0,N5536-M5536)</f>
        <v/>
      </c>
      <c r="J5536" s="11">
        <f>MAX(0,M5536-N5536)</f>
        <v/>
      </c>
      <c r="K5536" s="11">
        <f>O5536</f>
        <v/>
      </c>
      <c r="L5536" s="11">
        <f>L5535+IF(K5536&gt;0,K5536*Summary!$B$9,K5536/Summary!$B$9)</f>
        <v/>
      </c>
      <c r="M5536" s="11">
        <f>G5536+H5536</f>
        <v/>
      </c>
      <c r="N5536" s="11">
        <f>Summary!$C$16*Summary!$B$8</f>
        <v/>
      </c>
      <c r="O5536" s="11">
        <f>M5536-N5536</f>
        <v/>
      </c>
    </row>
    <row r="5537">
      <c r="A5537" s="9" t="n">
        <v>45522.625</v>
      </c>
      <c r="B5537" t="n">
        <v>8</v>
      </c>
      <c r="C5537" t="n">
        <v>18</v>
      </c>
      <c r="D5537" t="n">
        <v>15</v>
      </c>
      <c r="E5537" s="10" t="n">
        <v>0.523989</v>
      </c>
      <c r="F5537" s="10" t="n">
        <v>0.2585131820431637</v>
      </c>
      <c r="G5537" s="11">
        <f>E5537*Summary!$B$6</f>
        <v/>
      </c>
      <c r="H5537" s="11">
        <f>F5537*Summary!$B$7</f>
        <v/>
      </c>
      <c r="I5537" s="11">
        <f>MAX(0,N5537-M5537)</f>
        <v/>
      </c>
      <c r="J5537" s="11">
        <f>MAX(0,M5537-N5537)</f>
        <v/>
      </c>
      <c r="K5537" s="11">
        <f>O5537</f>
        <v/>
      </c>
      <c r="L5537" s="11">
        <f>L5536+IF(K5537&gt;0,K5537*Summary!$B$9,K5537/Summary!$B$9)</f>
        <v/>
      </c>
      <c r="M5537" s="11">
        <f>G5537+H5537</f>
        <v/>
      </c>
      <c r="N5537" s="11">
        <f>Summary!$C$16*Summary!$B$8</f>
        <v/>
      </c>
      <c r="O5537" s="11">
        <f>M5537-N5537</f>
        <v/>
      </c>
    </row>
    <row r="5538">
      <c r="A5538" s="9" t="n">
        <v>45522.66666666666</v>
      </c>
      <c r="B5538" t="n">
        <v>8</v>
      </c>
      <c r="C5538" t="n">
        <v>18</v>
      </c>
      <c r="D5538" t="n">
        <v>16</v>
      </c>
      <c r="E5538" s="10" t="n">
        <v>0.394256</v>
      </c>
      <c r="F5538" s="10" t="n">
        <v>0.2587239980937595</v>
      </c>
      <c r="G5538" s="11">
        <f>E5538*Summary!$B$6</f>
        <v/>
      </c>
      <c r="H5538" s="11">
        <f>F5538*Summary!$B$7</f>
        <v/>
      </c>
      <c r="I5538" s="11">
        <f>MAX(0,N5538-M5538)</f>
        <v/>
      </c>
      <c r="J5538" s="11">
        <f>MAX(0,M5538-N5538)</f>
        <v/>
      </c>
      <c r="K5538" s="11">
        <f>O5538</f>
        <v/>
      </c>
      <c r="L5538" s="11">
        <f>L5537+IF(K5538&gt;0,K5538*Summary!$B$9,K5538/Summary!$B$9)</f>
        <v/>
      </c>
      <c r="M5538" s="11">
        <f>G5538+H5538</f>
        <v/>
      </c>
      <c r="N5538" s="11">
        <f>Summary!$C$16*Summary!$B$8</f>
        <v/>
      </c>
      <c r="O5538" s="11">
        <f>M5538-N5538</f>
        <v/>
      </c>
    </row>
    <row r="5539">
      <c r="A5539" s="9" t="n">
        <v>45522.70833333334</v>
      </c>
      <c r="B5539" t="n">
        <v>8</v>
      </c>
      <c r="C5539" t="n">
        <v>18</v>
      </c>
      <c r="D5539" t="n">
        <v>17</v>
      </c>
      <c r="E5539" s="10" t="n">
        <v>0.185951</v>
      </c>
      <c r="F5539" s="10" t="n">
        <v>0.2712939051105372</v>
      </c>
      <c r="G5539" s="11">
        <f>E5539*Summary!$B$6</f>
        <v/>
      </c>
      <c r="H5539" s="11">
        <f>F5539*Summary!$B$7</f>
        <v/>
      </c>
      <c r="I5539" s="11">
        <f>MAX(0,N5539-M5539)</f>
        <v/>
      </c>
      <c r="J5539" s="11">
        <f>MAX(0,M5539-N5539)</f>
        <v/>
      </c>
      <c r="K5539" s="11">
        <f>O5539</f>
        <v/>
      </c>
      <c r="L5539" s="11">
        <f>L5538+IF(K5539&gt;0,K5539*Summary!$B$9,K5539/Summary!$B$9)</f>
        <v/>
      </c>
      <c r="M5539" s="11">
        <f>G5539+H5539</f>
        <v/>
      </c>
      <c r="N5539" s="11">
        <f>Summary!$C$16*Summary!$B$8</f>
        <v/>
      </c>
      <c r="O5539" s="11">
        <f>M5539-N5539</f>
        <v/>
      </c>
    </row>
    <row r="5540">
      <c r="A5540" s="9" t="n">
        <v>45522.75</v>
      </c>
      <c r="B5540" t="n">
        <v>8</v>
      </c>
      <c r="C5540" t="n">
        <v>18</v>
      </c>
      <c r="D5540" t="n">
        <v>18</v>
      </c>
      <c r="E5540" s="10" t="n">
        <v>0.040465</v>
      </c>
      <c r="F5540" s="10" t="n">
        <v>0.2575645098154823</v>
      </c>
      <c r="G5540" s="11">
        <f>E5540*Summary!$B$6</f>
        <v/>
      </c>
      <c r="H5540" s="11">
        <f>F5540*Summary!$B$7</f>
        <v/>
      </c>
      <c r="I5540" s="11">
        <f>MAX(0,N5540-M5540)</f>
        <v/>
      </c>
      <c r="J5540" s="11">
        <f>MAX(0,M5540-N5540)</f>
        <v/>
      </c>
      <c r="K5540" s="11">
        <f>O5540</f>
        <v/>
      </c>
      <c r="L5540" s="11">
        <f>L5539+IF(K5540&gt;0,K5540*Summary!$B$9,K5540/Summary!$B$9)</f>
        <v/>
      </c>
      <c r="M5540" s="11">
        <f>G5540+H5540</f>
        <v/>
      </c>
      <c r="N5540" s="11">
        <f>Summary!$C$16*Summary!$B$8</f>
        <v/>
      </c>
      <c r="O5540" s="11">
        <f>M5540-N5540</f>
        <v/>
      </c>
    </row>
    <row r="5541">
      <c r="A5541" s="9" t="n">
        <v>45522.79166666666</v>
      </c>
      <c r="B5541" t="n">
        <v>8</v>
      </c>
      <c r="C5541" t="n">
        <v>18</v>
      </c>
      <c r="D5541" t="n">
        <v>19</v>
      </c>
      <c r="E5541" s="10" t="n">
        <v>0.003487</v>
      </c>
      <c r="F5541" s="10" t="n">
        <v>0.265865391807694</v>
      </c>
      <c r="G5541" s="11">
        <f>E5541*Summary!$B$6</f>
        <v/>
      </c>
      <c r="H5541" s="11">
        <f>F5541*Summary!$B$7</f>
        <v/>
      </c>
      <c r="I5541" s="11">
        <f>MAX(0,N5541-M5541)</f>
        <v/>
      </c>
      <c r="J5541" s="11">
        <f>MAX(0,M5541-N5541)</f>
        <v/>
      </c>
      <c r="K5541" s="11">
        <f>O5541</f>
        <v/>
      </c>
      <c r="L5541" s="11">
        <f>L5540+IF(K5541&gt;0,K5541*Summary!$B$9,K5541/Summary!$B$9)</f>
        <v/>
      </c>
      <c r="M5541" s="11">
        <f>G5541+H5541</f>
        <v/>
      </c>
      <c r="N5541" s="11">
        <f>Summary!$C$16*Summary!$B$8</f>
        <v/>
      </c>
      <c r="O5541" s="11">
        <f>M5541-N5541</f>
        <v/>
      </c>
    </row>
    <row r="5542">
      <c r="A5542" s="9" t="n">
        <v>45522.83333333334</v>
      </c>
      <c r="B5542" t="n">
        <v>8</v>
      </c>
      <c r="C5542" t="n">
        <v>18</v>
      </c>
      <c r="D5542" t="n">
        <v>20</v>
      </c>
      <c r="E5542" s="10" t="n">
        <v>0</v>
      </c>
      <c r="F5542" s="10" t="n">
        <v>0.2836266440703946</v>
      </c>
      <c r="G5542" s="11">
        <f>E5542*Summary!$B$6</f>
        <v/>
      </c>
      <c r="H5542" s="11">
        <f>F5542*Summary!$B$7</f>
        <v/>
      </c>
      <c r="I5542" s="11">
        <f>MAX(0,N5542-M5542)</f>
        <v/>
      </c>
      <c r="J5542" s="11">
        <f>MAX(0,M5542-N5542)</f>
        <v/>
      </c>
      <c r="K5542" s="11">
        <f>O5542</f>
        <v/>
      </c>
      <c r="L5542" s="11">
        <f>L5541+IF(K5542&gt;0,K5542*Summary!$B$9,K5542/Summary!$B$9)</f>
        <v/>
      </c>
      <c r="M5542" s="11">
        <f>G5542+H5542</f>
        <v/>
      </c>
      <c r="N5542" s="11">
        <f>Summary!$C$16*Summary!$B$8</f>
        <v/>
      </c>
      <c r="O5542" s="11">
        <f>M5542-N5542</f>
        <v/>
      </c>
    </row>
    <row r="5543">
      <c r="A5543" s="9" t="n">
        <v>45522.875</v>
      </c>
      <c r="B5543" t="n">
        <v>8</v>
      </c>
      <c r="C5543" t="n">
        <v>18</v>
      </c>
      <c r="D5543" t="n">
        <v>21</v>
      </c>
      <c r="E5543" s="10" t="n">
        <v>0</v>
      </c>
      <c r="F5543" s="10" t="n">
        <v>0.2989108077385939</v>
      </c>
      <c r="G5543" s="11">
        <f>E5543*Summary!$B$6</f>
        <v/>
      </c>
      <c r="H5543" s="11">
        <f>F5543*Summary!$B$7</f>
        <v/>
      </c>
      <c r="I5543" s="11">
        <f>MAX(0,N5543-M5543)</f>
        <v/>
      </c>
      <c r="J5543" s="11">
        <f>MAX(0,M5543-N5543)</f>
        <v/>
      </c>
      <c r="K5543" s="11">
        <f>O5543</f>
        <v/>
      </c>
      <c r="L5543" s="11">
        <f>L5542+IF(K5543&gt;0,K5543*Summary!$B$9,K5543/Summary!$B$9)</f>
        <v/>
      </c>
      <c r="M5543" s="11">
        <f>G5543+H5543</f>
        <v/>
      </c>
      <c r="N5543" s="11">
        <f>Summary!$C$16*Summary!$B$8</f>
        <v/>
      </c>
      <c r="O5543" s="11">
        <f>M5543-N5543</f>
        <v/>
      </c>
    </row>
    <row r="5544">
      <c r="A5544" s="9" t="n">
        <v>45522.91666666666</v>
      </c>
      <c r="B5544" t="n">
        <v>8</v>
      </c>
      <c r="C5544" t="n">
        <v>18</v>
      </c>
      <c r="D5544" t="n">
        <v>22</v>
      </c>
      <c r="E5544" s="10" t="n">
        <v>0</v>
      </c>
      <c r="F5544" s="10" t="n">
        <v>0.3001493520358445</v>
      </c>
      <c r="G5544" s="11">
        <f>E5544*Summary!$B$6</f>
        <v/>
      </c>
      <c r="H5544" s="11">
        <f>F5544*Summary!$B$7</f>
        <v/>
      </c>
      <c r="I5544" s="11">
        <f>MAX(0,N5544-M5544)</f>
        <v/>
      </c>
      <c r="J5544" s="11">
        <f>MAX(0,M5544-N5544)</f>
        <v/>
      </c>
      <c r="K5544" s="11">
        <f>O5544</f>
        <v/>
      </c>
      <c r="L5544" s="11">
        <f>L5543+IF(K5544&gt;0,K5544*Summary!$B$9,K5544/Summary!$B$9)</f>
        <v/>
      </c>
      <c r="M5544" s="11">
        <f>G5544+H5544</f>
        <v/>
      </c>
      <c r="N5544" s="11">
        <f>Summary!$C$16*Summary!$B$8</f>
        <v/>
      </c>
      <c r="O5544" s="11">
        <f>M5544-N5544</f>
        <v/>
      </c>
    </row>
    <row r="5545">
      <c r="A5545" s="9" t="n">
        <v>45522.95833333334</v>
      </c>
      <c r="B5545" t="n">
        <v>8</v>
      </c>
      <c r="C5545" t="n">
        <v>18</v>
      </c>
      <c r="D5545" t="n">
        <v>23</v>
      </c>
      <c r="E5545" s="10" t="n">
        <v>0</v>
      </c>
      <c r="F5545" s="10" t="n">
        <v>0.2953005828721399</v>
      </c>
      <c r="G5545" s="11">
        <f>E5545*Summary!$B$6</f>
        <v/>
      </c>
      <c r="H5545" s="11">
        <f>F5545*Summary!$B$7</f>
        <v/>
      </c>
      <c r="I5545" s="11">
        <f>MAX(0,N5545-M5545)</f>
        <v/>
      </c>
      <c r="J5545" s="11">
        <f>MAX(0,M5545-N5545)</f>
        <v/>
      </c>
      <c r="K5545" s="11">
        <f>O5545</f>
        <v/>
      </c>
      <c r="L5545" s="11">
        <f>L5544+IF(K5545&gt;0,K5545*Summary!$B$9,K5545/Summary!$B$9)</f>
        <v/>
      </c>
      <c r="M5545" s="11">
        <f>G5545+H5545</f>
        <v/>
      </c>
      <c r="N5545" s="11">
        <f>Summary!$C$16*Summary!$B$8</f>
        <v/>
      </c>
      <c r="O5545" s="11">
        <f>M5545-N5545</f>
        <v/>
      </c>
    </row>
    <row r="5546">
      <c r="A5546" s="9" t="n">
        <v>45523</v>
      </c>
      <c r="B5546" t="n">
        <v>8</v>
      </c>
      <c r="C5546" t="n">
        <v>19</v>
      </c>
      <c r="D5546" t="n">
        <v>0</v>
      </c>
      <c r="E5546" s="10" t="n">
        <v>0</v>
      </c>
      <c r="F5546" s="10" t="n">
        <v>0.2454425869062209</v>
      </c>
      <c r="G5546" s="11">
        <f>E5546*Summary!$B$6</f>
        <v/>
      </c>
      <c r="H5546" s="11">
        <f>F5546*Summary!$B$7</f>
        <v/>
      </c>
      <c r="I5546" s="11">
        <f>MAX(0,N5546-M5546)</f>
        <v/>
      </c>
      <c r="J5546" s="11">
        <f>MAX(0,M5546-N5546)</f>
        <v/>
      </c>
      <c r="K5546" s="11">
        <f>O5546</f>
        <v/>
      </c>
      <c r="L5546" s="11">
        <f>L5545+IF(K5546&gt;0,K5546*Summary!$B$9,K5546/Summary!$B$9)</f>
        <v/>
      </c>
      <c r="M5546" s="11">
        <f>G5546+H5546</f>
        <v/>
      </c>
      <c r="N5546" s="11">
        <f>Summary!$C$16*Summary!$B$8</f>
        <v/>
      </c>
      <c r="O5546" s="11">
        <f>M5546-N5546</f>
        <v/>
      </c>
    </row>
    <row r="5547">
      <c r="A5547" s="9" t="n">
        <v>45523.04166666666</v>
      </c>
      <c r="B5547" t="n">
        <v>8</v>
      </c>
      <c r="C5547" t="n">
        <v>19</v>
      </c>
      <c r="D5547" t="n">
        <v>1</v>
      </c>
      <c r="E5547" s="10" t="n">
        <v>0</v>
      </c>
      <c r="F5547" s="10" t="n">
        <v>0.2823353957604949</v>
      </c>
      <c r="G5547" s="11">
        <f>E5547*Summary!$B$6</f>
        <v/>
      </c>
      <c r="H5547" s="11">
        <f>F5547*Summary!$B$7</f>
        <v/>
      </c>
      <c r="I5547" s="11">
        <f>MAX(0,N5547-M5547)</f>
        <v/>
      </c>
      <c r="J5547" s="11">
        <f>MAX(0,M5547-N5547)</f>
        <v/>
      </c>
      <c r="K5547" s="11">
        <f>O5547</f>
        <v/>
      </c>
      <c r="L5547" s="11">
        <f>L5546+IF(K5547&gt;0,K5547*Summary!$B$9,K5547/Summary!$B$9)</f>
        <v/>
      </c>
      <c r="M5547" s="11">
        <f>G5547+H5547</f>
        <v/>
      </c>
      <c r="N5547" s="11">
        <f>Summary!$C$16*Summary!$B$8</f>
        <v/>
      </c>
      <c r="O5547" s="11">
        <f>M5547-N5547</f>
        <v/>
      </c>
    </row>
    <row r="5548">
      <c r="A5548" s="9" t="n">
        <v>45523.08333333334</v>
      </c>
      <c r="B5548" t="n">
        <v>8</v>
      </c>
      <c r="C5548" t="n">
        <v>19</v>
      </c>
      <c r="D5548" t="n">
        <v>2</v>
      </c>
      <c r="E5548" s="10" t="n">
        <v>0</v>
      </c>
      <c r="F5548" s="10" t="n">
        <v>0.2700290088069621</v>
      </c>
      <c r="G5548" s="11">
        <f>E5548*Summary!$B$6</f>
        <v/>
      </c>
      <c r="H5548" s="11">
        <f>F5548*Summary!$B$7</f>
        <v/>
      </c>
      <c r="I5548" s="11">
        <f>MAX(0,N5548-M5548)</f>
        <v/>
      </c>
      <c r="J5548" s="11">
        <f>MAX(0,M5548-N5548)</f>
        <v/>
      </c>
      <c r="K5548" s="11">
        <f>O5548</f>
        <v/>
      </c>
      <c r="L5548" s="11">
        <f>L5547+IF(K5548&gt;0,K5548*Summary!$B$9,K5548/Summary!$B$9)</f>
        <v/>
      </c>
      <c r="M5548" s="11">
        <f>G5548+H5548</f>
        <v/>
      </c>
      <c r="N5548" s="11">
        <f>Summary!$C$16*Summary!$B$8</f>
        <v/>
      </c>
      <c r="O5548" s="11">
        <f>M5548-N5548</f>
        <v/>
      </c>
    </row>
    <row r="5549">
      <c r="A5549" s="9" t="n">
        <v>45523.125</v>
      </c>
      <c r="B5549" t="n">
        <v>8</v>
      </c>
      <c r="C5549" t="n">
        <v>19</v>
      </c>
      <c r="D5549" t="n">
        <v>3</v>
      </c>
      <c r="E5549" s="10" t="n">
        <v>0</v>
      </c>
      <c r="F5549" s="10" t="n">
        <v>0.243861466526752</v>
      </c>
      <c r="G5549" s="11">
        <f>E5549*Summary!$B$6</f>
        <v/>
      </c>
      <c r="H5549" s="11">
        <f>F5549*Summary!$B$7</f>
        <v/>
      </c>
      <c r="I5549" s="11">
        <f>MAX(0,N5549-M5549)</f>
        <v/>
      </c>
      <c r="J5549" s="11">
        <f>MAX(0,M5549-N5549)</f>
        <v/>
      </c>
      <c r="K5549" s="11">
        <f>O5549</f>
        <v/>
      </c>
      <c r="L5549" s="11">
        <f>L5548+IF(K5549&gt;0,K5549*Summary!$B$9,K5549/Summary!$B$9)</f>
        <v/>
      </c>
      <c r="M5549" s="11">
        <f>G5549+H5549</f>
        <v/>
      </c>
      <c r="N5549" s="11">
        <f>Summary!$C$16*Summary!$B$8</f>
        <v/>
      </c>
      <c r="O5549" s="11">
        <f>M5549-N5549</f>
        <v/>
      </c>
    </row>
    <row r="5550">
      <c r="A5550" s="9" t="n">
        <v>45523.16666666666</v>
      </c>
      <c r="B5550" t="n">
        <v>8</v>
      </c>
      <c r="C5550" t="n">
        <v>19</v>
      </c>
      <c r="D5550" t="n">
        <v>4</v>
      </c>
      <c r="E5550" s="10" t="n">
        <v>0</v>
      </c>
      <c r="F5550" s="10" t="n">
        <v>0.2538752289300549</v>
      </c>
      <c r="G5550" s="11">
        <f>E5550*Summary!$B$6</f>
        <v/>
      </c>
      <c r="H5550" s="11">
        <f>F5550*Summary!$B$7</f>
        <v/>
      </c>
      <c r="I5550" s="11">
        <f>MAX(0,N5550-M5550)</f>
        <v/>
      </c>
      <c r="J5550" s="11">
        <f>MAX(0,M5550-N5550)</f>
        <v/>
      </c>
      <c r="K5550" s="11">
        <f>O5550</f>
        <v/>
      </c>
      <c r="L5550" s="11">
        <f>L5549+IF(K5550&gt;0,K5550*Summary!$B$9,K5550/Summary!$B$9)</f>
        <v/>
      </c>
      <c r="M5550" s="11">
        <f>G5550+H5550</f>
        <v/>
      </c>
      <c r="N5550" s="11">
        <f>Summary!$C$16*Summary!$B$8</f>
        <v/>
      </c>
      <c r="O5550" s="11">
        <f>M5550-N5550</f>
        <v/>
      </c>
    </row>
    <row r="5551">
      <c r="A5551" s="9" t="n">
        <v>45523.20833333334</v>
      </c>
      <c r="B5551" t="n">
        <v>8</v>
      </c>
      <c r="C5551" t="n">
        <v>19</v>
      </c>
      <c r="D5551" t="n">
        <v>5</v>
      </c>
      <c r="E5551" s="10" t="n">
        <v>0.008188000000000001</v>
      </c>
      <c r="F5551" s="10" t="n">
        <v>0.2419377700650648</v>
      </c>
      <c r="G5551" s="11">
        <f>E5551*Summary!$B$6</f>
        <v/>
      </c>
      <c r="H5551" s="11">
        <f>F5551*Summary!$B$7</f>
        <v/>
      </c>
      <c r="I5551" s="11">
        <f>MAX(0,N5551-M5551)</f>
        <v/>
      </c>
      <c r="J5551" s="11">
        <f>MAX(0,M5551-N5551)</f>
        <v/>
      </c>
      <c r="K5551" s="11">
        <f>O5551</f>
        <v/>
      </c>
      <c r="L5551" s="11">
        <f>L5550+IF(K5551&gt;0,K5551*Summary!$B$9,K5551/Summary!$B$9)</f>
        <v/>
      </c>
      <c r="M5551" s="11">
        <f>G5551+H5551</f>
        <v/>
      </c>
      <c r="N5551" s="11">
        <f>Summary!$C$16*Summary!$B$8</f>
        <v/>
      </c>
      <c r="O5551" s="11">
        <f>M5551-N5551</f>
        <v/>
      </c>
    </row>
    <row r="5552">
      <c r="A5552" s="9" t="n">
        <v>45523.25</v>
      </c>
      <c r="B5552" t="n">
        <v>8</v>
      </c>
      <c r="C5552" t="n">
        <v>19</v>
      </c>
      <c r="D5552" t="n">
        <v>6</v>
      </c>
      <c r="E5552" s="10" t="n">
        <v>0.069296</v>
      </c>
      <c r="F5552" s="10" t="n">
        <v>0.2229116214987892</v>
      </c>
      <c r="G5552" s="11">
        <f>E5552*Summary!$B$6</f>
        <v/>
      </c>
      <c r="H5552" s="11">
        <f>F5552*Summary!$B$7</f>
        <v/>
      </c>
      <c r="I5552" s="11">
        <f>MAX(0,N5552-M5552)</f>
        <v/>
      </c>
      <c r="J5552" s="11">
        <f>MAX(0,M5552-N5552)</f>
        <v/>
      </c>
      <c r="K5552" s="11">
        <f>O5552</f>
        <v/>
      </c>
      <c r="L5552" s="11">
        <f>L5551+IF(K5552&gt;0,K5552*Summary!$B$9,K5552/Summary!$B$9)</f>
        <v/>
      </c>
      <c r="M5552" s="11">
        <f>G5552+H5552</f>
        <v/>
      </c>
      <c r="N5552" s="11">
        <f>Summary!$C$16*Summary!$B$8</f>
        <v/>
      </c>
      <c r="O5552" s="11">
        <f>M5552-N5552</f>
        <v/>
      </c>
    </row>
    <row r="5553">
      <c r="A5553" s="9" t="n">
        <v>45523.29166666666</v>
      </c>
      <c r="B5553" t="n">
        <v>8</v>
      </c>
      <c r="C5553" t="n">
        <v>19</v>
      </c>
      <c r="D5553" t="n">
        <v>7</v>
      </c>
      <c r="E5553" s="10" t="n">
        <v>0.145568</v>
      </c>
      <c r="F5553" s="10" t="n">
        <v>0.2121600029184007</v>
      </c>
      <c r="G5553" s="11">
        <f>E5553*Summary!$B$6</f>
        <v/>
      </c>
      <c r="H5553" s="11">
        <f>F5553*Summary!$B$7</f>
        <v/>
      </c>
      <c r="I5553" s="11">
        <f>MAX(0,N5553-M5553)</f>
        <v/>
      </c>
      <c r="J5553" s="11">
        <f>MAX(0,M5553-N5553)</f>
        <v/>
      </c>
      <c r="K5553" s="11">
        <f>O5553</f>
        <v/>
      </c>
      <c r="L5553" s="11">
        <f>L5552+IF(K5553&gt;0,K5553*Summary!$B$9,K5553/Summary!$B$9)</f>
        <v/>
      </c>
      <c r="M5553" s="11">
        <f>G5553+H5553</f>
        <v/>
      </c>
      <c r="N5553" s="11">
        <f>Summary!$C$16*Summary!$B$8</f>
        <v/>
      </c>
      <c r="O5553" s="11">
        <f>M5553-N5553</f>
        <v/>
      </c>
    </row>
    <row r="5554">
      <c r="A5554" s="9" t="n">
        <v>45523.33333333334</v>
      </c>
      <c r="B5554" t="n">
        <v>8</v>
      </c>
      <c r="C5554" t="n">
        <v>19</v>
      </c>
      <c r="D5554" t="n">
        <v>8</v>
      </c>
      <c r="E5554" s="10" t="n">
        <v>0.332888</v>
      </c>
      <c r="F5554" s="10" t="n">
        <v>0.2111586266780704</v>
      </c>
      <c r="G5554" s="11">
        <f>E5554*Summary!$B$6</f>
        <v/>
      </c>
      <c r="H5554" s="11">
        <f>F5554*Summary!$B$7</f>
        <v/>
      </c>
      <c r="I5554" s="11">
        <f>MAX(0,N5554-M5554)</f>
        <v/>
      </c>
      <c r="J5554" s="11">
        <f>MAX(0,M5554-N5554)</f>
        <v/>
      </c>
      <c r="K5554" s="11">
        <f>O5554</f>
        <v/>
      </c>
      <c r="L5554" s="11">
        <f>L5553+IF(K5554&gt;0,K5554*Summary!$B$9,K5554/Summary!$B$9)</f>
        <v/>
      </c>
      <c r="M5554" s="11">
        <f>G5554+H5554</f>
        <v/>
      </c>
      <c r="N5554" s="11">
        <f>Summary!$C$16*Summary!$B$8</f>
        <v/>
      </c>
      <c r="O5554" s="11">
        <f>M5554-N5554</f>
        <v/>
      </c>
    </row>
    <row r="5555">
      <c r="A5555" s="9" t="n">
        <v>45523.375</v>
      </c>
      <c r="B5555" t="n">
        <v>8</v>
      </c>
      <c r="C5555" t="n">
        <v>19</v>
      </c>
      <c r="D5555" t="n">
        <v>9</v>
      </c>
      <c r="E5555" s="10" t="n">
        <v>0.40218</v>
      </c>
      <c r="F5555" s="10" t="n">
        <v>0.2144789794749551</v>
      </c>
      <c r="G5555" s="11">
        <f>E5555*Summary!$B$6</f>
        <v/>
      </c>
      <c r="H5555" s="11">
        <f>F5555*Summary!$B$7</f>
        <v/>
      </c>
      <c r="I5555" s="11">
        <f>MAX(0,N5555-M5555)</f>
        <v/>
      </c>
      <c r="J5555" s="11">
        <f>MAX(0,M5555-N5555)</f>
        <v/>
      </c>
      <c r="K5555" s="11">
        <f>O5555</f>
        <v/>
      </c>
      <c r="L5555" s="11">
        <f>L5554+IF(K5555&gt;0,K5555*Summary!$B$9,K5555/Summary!$B$9)</f>
        <v/>
      </c>
      <c r="M5555" s="11">
        <f>G5555+H5555</f>
        <v/>
      </c>
      <c r="N5555" s="11">
        <f>Summary!$C$16*Summary!$B$8</f>
        <v/>
      </c>
      <c r="O5555" s="11">
        <f>M5555-N5555</f>
        <v/>
      </c>
    </row>
    <row r="5556">
      <c r="A5556" s="9" t="n">
        <v>45523.41666666666</v>
      </c>
      <c r="B5556" t="n">
        <v>8</v>
      </c>
      <c r="C5556" t="n">
        <v>19</v>
      </c>
      <c r="D5556" t="n">
        <v>10</v>
      </c>
      <c r="E5556" s="10" t="n">
        <v>0.580404</v>
      </c>
      <c r="F5556" s="10" t="n">
        <v>0.2194595086702821</v>
      </c>
      <c r="G5556" s="11">
        <f>E5556*Summary!$B$6</f>
        <v/>
      </c>
      <c r="H5556" s="11">
        <f>F5556*Summary!$B$7</f>
        <v/>
      </c>
      <c r="I5556" s="11">
        <f>MAX(0,N5556-M5556)</f>
        <v/>
      </c>
      <c r="J5556" s="11">
        <f>MAX(0,M5556-N5556)</f>
        <v/>
      </c>
      <c r="K5556" s="11">
        <f>O5556</f>
        <v/>
      </c>
      <c r="L5556" s="11">
        <f>L5555+IF(K5556&gt;0,K5556*Summary!$B$9,K5556/Summary!$B$9)</f>
        <v/>
      </c>
      <c r="M5556" s="11">
        <f>G5556+H5556</f>
        <v/>
      </c>
      <c r="N5556" s="11">
        <f>Summary!$C$16*Summary!$B$8</f>
        <v/>
      </c>
      <c r="O5556" s="11">
        <f>M5556-N5556</f>
        <v/>
      </c>
    </row>
    <row r="5557">
      <c r="A5557" s="9" t="n">
        <v>45523.45833333334</v>
      </c>
      <c r="B5557" t="n">
        <v>8</v>
      </c>
      <c r="C5557" t="n">
        <v>19</v>
      </c>
      <c r="D5557" t="n">
        <v>11</v>
      </c>
      <c r="E5557" s="10" t="n">
        <v>0.721332</v>
      </c>
      <c r="F5557" s="10" t="n">
        <v>0.2267063104095145</v>
      </c>
      <c r="G5557" s="11">
        <f>E5557*Summary!$B$6</f>
        <v/>
      </c>
      <c r="H5557" s="11">
        <f>F5557*Summary!$B$7</f>
        <v/>
      </c>
      <c r="I5557" s="11">
        <f>MAX(0,N5557-M5557)</f>
        <v/>
      </c>
      <c r="J5557" s="11">
        <f>MAX(0,M5557-N5557)</f>
        <v/>
      </c>
      <c r="K5557" s="11">
        <f>O5557</f>
        <v/>
      </c>
      <c r="L5557" s="11">
        <f>L5556+IF(K5557&gt;0,K5557*Summary!$B$9,K5557/Summary!$B$9)</f>
        <v/>
      </c>
      <c r="M5557" s="11">
        <f>G5557+H5557</f>
        <v/>
      </c>
      <c r="N5557" s="11">
        <f>Summary!$C$16*Summary!$B$8</f>
        <v/>
      </c>
      <c r="O5557" s="11">
        <f>M5557-N5557</f>
        <v/>
      </c>
    </row>
    <row r="5558">
      <c r="A5558" s="9" t="n">
        <v>45523.5</v>
      </c>
      <c r="B5558" t="n">
        <v>8</v>
      </c>
      <c r="C5558" t="n">
        <v>19</v>
      </c>
      <c r="D5558" t="n">
        <v>12</v>
      </c>
      <c r="E5558" s="10" t="n">
        <v>0.435741</v>
      </c>
      <c r="F5558" s="10" t="n">
        <v>0.230290183269644</v>
      </c>
      <c r="G5558" s="11">
        <f>E5558*Summary!$B$6</f>
        <v/>
      </c>
      <c r="H5558" s="11">
        <f>F5558*Summary!$B$7</f>
        <v/>
      </c>
      <c r="I5558" s="11">
        <f>MAX(0,N5558-M5558)</f>
        <v/>
      </c>
      <c r="J5558" s="11">
        <f>MAX(0,M5558-N5558)</f>
        <v/>
      </c>
      <c r="K5558" s="11">
        <f>O5558</f>
        <v/>
      </c>
      <c r="L5558" s="11">
        <f>L5557+IF(K5558&gt;0,K5558*Summary!$B$9,K5558/Summary!$B$9)</f>
        <v/>
      </c>
      <c r="M5558" s="11">
        <f>G5558+H5558</f>
        <v/>
      </c>
      <c r="N5558" s="11">
        <f>Summary!$C$16*Summary!$B$8</f>
        <v/>
      </c>
      <c r="O5558" s="11">
        <f>M5558-N5558</f>
        <v/>
      </c>
    </row>
    <row r="5559">
      <c r="A5559" s="9" t="n">
        <v>45523.54166666666</v>
      </c>
      <c r="B5559" t="n">
        <v>8</v>
      </c>
      <c r="C5559" t="n">
        <v>19</v>
      </c>
      <c r="D5559" t="n">
        <v>13</v>
      </c>
      <c r="E5559" s="10" t="n">
        <v>0.232389</v>
      </c>
      <c r="F5559" s="10" t="n">
        <v>0.2518197724367454</v>
      </c>
      <c r="G5559" s="11">
        <f>E5559*Summary!$B$6</f>
        <v/>
      </c>
      <c r="H5559" s="11">
        <f>F5559*Summary!$B$7</f>
        <v/>
      </c>
      <c r="I5559" s="11">
        <f>MAX(0,N5559-M5559)</f>
        <v/>
      </c>
      <c r="J5559" s="11">
        <f>MAX(0,M5559-N5559)</f>
        <v/>
      </c>
      <c r="K5559" s="11">
        <f>O5559</f>
        <v/>
      </c>
      <c r="L5559" s="11">
        <f>L5558+IF(K5559&gt;0,K5559*Summary!$B$9,K5559/Summary!$B$9)</f>
        <v/>
      </c>
      <c r="M5559" s="11">
        <f>G5559+H5559</f>
        <v/>
      </c>
      <c r="N5559" s="11">
        <f>Summary!$C$16*Summary!$B$8</f>
        <v/>
      </c>
      <c r="O5559" s="11">
        <f>M5559-N5559</f>
        <v/>
      </c>
    </row>
    <row r="5560">
      <c r="A5560" s="9" t="n">
        <v>45523.58333333334</v>
      </c>
      <c r="B5560" t="n">
        <v>8</v>
      </c>
      <c r="C5560" t="n">
        <v>19</v>
      </c>
      <c r="D5560" t="n">
        <v>14</v>
      </c>
      <c r="E5560" s="10" t="n">
        <v>0.157099</v>
      </c>
      <c r="F5560" s="10" t="n">
        <v>0.2371680569203337</v>
      </c>
      <c r="G5560" s="11">
        <f>E5560*Summary!$B$6</f>
        <v/>
      </c>
      <c r="H5560" s="11">
        <f>F5560*Summary!$B$7</f>
        <v/>
      </c>
      <c r="I5560" s="11">
        <f>MAX(0,N5560-M5560)</f>
        <v/>
      </c>
      <c r="J5560" s="11">
        <f>MAX(0,M5560-N5560)</f>
        <v/>
      </c>
      <c r="K5560" s="11">
        <f>O5560</f>
        <v/>
      </c>
      <c r="L5560" s="11">
        <f>L5559+IF(K5560&gt;0,K5560*Summary!$B$9,K5560/Summary!$B$9)</f>
        <v/>
      </c>
      <c r="M5560" s="11">
        <f>G5560+H5560</f>
        <v/>
      </c>
      <c r="N5560" s="11">
        <f>Summary!$C$16*Summary!$B$8</f>
        <v/>
      </c>
      <c r="O5560" s="11">
        <f>M5560-N5560</f>
        <v/>
      </c>
    </row>
    <row r="5561">
      <c r="A5561" s="9" t="n">
        <v>45523.625</v>
      </c>
      <c r="B5561" t="n">
        <v>8</v>
      </c>
      <c r="C5561" t="n">
        <v>19</v>
      </c>
      <c r="D5561" t="n">
        <v>15</v>
      </c>
      <c r="E5561" s="10" t="n">
        <v>0.17725</v>
      </c>
      <c r="F5561" s="10" t="n">
        <v>0.237299816951956</v>
      </c>
      <c r="G5561" s="11">
        <f>E5561*Summary!$B$6</f>
        <v/>
      </c>
      <c r="H5561" s="11">
        <f>F5561*Summary!$B$7</f>
        <v/>
      </c>
      <c r="I5561" s="11">
        <f>MAX(0,N5561-M5561)</f>
        <v/>
      </c>
      <c r="J5561" s="11">
        <f>MAX(0,M5561-N5561)</f>
        <v/>
      </c>
      <c r="K5561" s="11">
        <f>O5561</f>
        <v/>
      </c>
      <c r="L5561" s="11">
        <f>L5560+IF(K5561&gt;0,K5561*Summary!$B$9,K5561/Summary!$B$9)</f>
        <v/>
      </c>
      <c r="M5561" s="11">
        <f>G5561+H5561</f>
        <v/>
      </c>
      <c r="N5561" s="11">
        <f>Summary!$C$16*Summary!$B$8</f>
        <v/>
      </c>
      <c r="O5561" s="11">
        <f>M5561-N5561</f>
        <v/>
      </c>
    </row>
    <row r="5562">
      <c r="A5562" s="9" t="n">
        <v>45523.66666666666</v>
      </c>
      <c r="B5562" t="n">
        <v>8</v>
      </c>
      <c r="C5562" t="n">
        <v>19</v>
      </c>
      <c r="D5562" t="n">
        <v>16</v>
      </c>
      <c r="E5562" s="10" t="n">
        <v>0.155324</v>
      </c>
      <c r="F5562" s="10" t="n">
        <v>0.2313442635226232</v>
      </c>
      <c r="G5562" s="11">
        <f>E5562*Summary!$B$6</f>
        <v/>
      </c>
      <c r="H5562" s="11">
        <f>F5562*Summary!$B$7</f>
        <v/>
      </c>
      <c r="I5562" s="11">
        <f>MAX(0,N5562-M5562)</f>
        <v/>
      </c>
      <c r="J5562" s="11">
        <f>MAX(0,M5562-N5562)</f>
        <v/>
      </c>
      <c r="K5562" s="11">
        <f>O5562</f>
        <v/>
      </c>
      <c r="L5562" s="11">
        <f>L5561+IF(K5562&gt;0,K5562*Summary!$B$9,K5562/Summary!$B$9)</f>
        <v/>
      </c>
      <c r="M5562" s="11">
        <f>G5562+H5562</f>
        <v/>
      </c>
      <c r="N5562" s="11">
        <f>Summary!$C$16*Summary!$B$8</f>
        <v/>
      </c>
      <c r="O5562" s="11">
        <f>M5562-N5562</f>
        <v/>
      </c>
    </row>
    <row r="5563">
      <c r="A5563" s="9" t="n">
        <v>45523.70833333334</v>
      </c>
      <c r="B5563" t="n">
        <v>8</v>
      </c>
      <c r="C5563" t="n">
        <v>19</v>
      </c>
      <c r="D5563" t="n">
        <v>17</v>
      </c>
      <c r="E5563" s="10" t="n">
        <v>0.07599499999999999</v>
      </c>
      <c r="F5563" s="10" t="n">
        <v>0.2190642285754149</v>
      </c>
      <c r="G5563" s="11">
        <f>E5563*Summary!$B$6</f>
        <v/>
      </c>
      <c r="H5563" s="11">
        <f>F5563*Summary!$B$7</f>
        <v/>
      </c>
      <c r="I5563" s="11">
        <f>MAX(0,N5563-M5563)</f>
        <v/>
      </c>
      <c r="J5563" s="11">
        <f>MAX(0,M5563-N5563)</f>
        <v/>
      </c>
      <c r="K5563" s="11">
        <f>O5563</f>
        <v/>
      </c>
      <c r="L5563" s="11">
        <f>L5562+IF(K5563&gt;0,K5563*Summary!$B$9,K5563/Summary!$B$9)</f>
        <v/>
      </c>
      <c r="M5563" s="11">
        <f>G5563+H5563</f>
        <v/>
      </c>
      <c r="N5563" s="11">
        <f>Summary!$C$16*Summary!$B$8</f>
        <v/>
      </c>
      <c r="O5563" s="11">
        <f>M5563-N5563</f>
        <v/>
      </c>
    </row>
    <row r="5564">
      <c r="A5564" s="9" t="n">
        <v>45523.75</v>
      </c>
      <c r="B5564" t="n">
        <v>8</v>
      </c>
      <c r="C5564" t="n">
        <v>19</v>
      </c>
      <c r="D5564" t="n">
        <v>18</v>
      </c>
      <c r="E5564" s="10" t="n">
        <v>0.02931</v>
      </c>
      <c r="F5564" s="10" t="n">
        <v>0.2150850756204181</v>
      </c>
      <c r="G5564" s="11">
        <f>E5564*Summary!$B$6</f>
        <v/>
      </c>
      <c r="H5564" s="11">
        <f>F5564*Summary!$B$7</f>
        <v/>
      </c>
      <c r="I5564" s="11">
        <f>MAX(0,N5564-M5564)</f>
        <v/>
      </c>
      <c r="J5564" s="11">
        <f>MAX(0,M5564-N5564)</f>
        <v/>
      </c>
      <c r="K5564" s="11">
        <f>O5564</f>
        <v/>
      </c>
      <c r="L5564" s="11">
        <f>L5563+IF(K5564&gt;0,K5564*Summary!$B$9,K5564/Summary!$B$9)</f>
        <v/>
      </c>
      <c r="M5564" s="11">
        <f>G5564+H5564</f>
        <v/>
      </c>
      <c r="N5564" s="11">
        <f>Summary!$C$16*Summary!$B$8</f>
        <v/>
      </c>
      <c r="O5564" s="11">
        <f>M5564-N5564</f>
        <v/>
      </c>
    </row>
    <row r="5565">
      <c r="A5565" s="9" t="n">
        <v>45523.79166666666</v>
      </c>
      <c r="B5565" t="n">
        <v>8</v>
      </c>
      <c r="C5565" t="n">
        <v>19</v>
      </c>
      <c r="D5565" t="n">
        <v>19</v>
      </c>
      <c r="E5565" s="10" t="n">
        <v>0</v>
      </c>
      <c r="F5565" s="10" t="n">
        <v>0.2213041491129958</v>
      </c>
      <c r="G5565" s="11">
        <f>E5565*Summary!$B$6</f>
        <v/>
      </c>
      <c r="H5565" s="11">
        <f>F5565*Summary!$B$7</f>
        <v/>
      </c>
      <c r="I5565" s="11">
        <f>MAX(0,N5565-M5565)</f>
        <v/>
      </c>
      <c r="J5565" s="11">
        <f>MAX(0,M5565-N5565)</f>
        <v/>
      </c>
      <c r="K5565" s="11">
        <f>O5565</f>
        <v/>
      </c>
      <c r="L5565" s="11">
        <f>L5564+IF(K5565&gt;0,K5565*Summary!$B$9,K5565/Summary!$B$9)</f>
        <v/>
      </c>
      <c r="M5565" s="11">
        <f>G5565+H5565</f>
        <v/>
      </c>
      <c r="N5565" s="11">
        <f>Summary!$C$16*Summary!$B$8</f>
        <v/>
      </c>
      <c r="O5565" s="11">
        <f>M5565-N5565</f>
        <v/>
      </c>
    </row>
    <row r="5566">
      <c r="A5566" s="9" t="n">
        <v>45523.83333333334</v>
      </c>
      <c r="B5566" t="n">
        <v>8</v>
      </c>
      <c r="C5566" t="n">
        <v>19</v>
      </c>
      <c r="D5566" t="n">
        <v>20</v>
      </c>
      <c r="E5566" s="10" t="n">
        <v>0</v>
      </c>
      <c r="F5566" s="10" t="n">
        <v>0.2320821196997087</v>
      </c>
      <c r="G5566" s="11">
        <f>E5566*Summary!$B$6</f>
        <v/>
      </c>
      <c r="H5566" s="11">
        <f>F5566*Summary!$B$7</f>
        <v/>
      </c>
      <c r="I5566" s="11">
        <f>MAX(0,N5566-M5566)</f>
        <v/>
      </c>
      <c r="J5566" s="11">
        <f>MAX(0,M5566-N5566)</f>
        <v/>
      </c>
      <c r="K5566" s="11">
        <f>O5566</f>
        <v/>
      </c>
      <c r="L5566" s="11">
        <f>L5565+IF(K5566&gt;0,K5566*Summary!$B$9,K5566/Summary!$B$9)</f>
        <v/>
      </c>
      <c r="M5566" s="11">
        <f>G5566+H5566</f>
        <v/>
      </c>
      <c r="N5566" s="11">
        <f>Summary!$C$16*Summary!$B$8</f>
        <v/>
      </c>
      <c r="O5566" s="11">
        <f>M5566-N5566</f>
        <v/>
      </c>
    </row>
    <row r="5567">
      <c r="A5567" s="9" t="n">
        <v>45523.875</v>
      </c>
      <c r="B5567" t="n">
        <v>8</v>
      </c>
      <c r="C5567" t="n">
        <v>19</v>
      </c>
      <c r="D5567" t="n">
        <v>21</v>
      </c>
      <c r="E5567" s="10" t="n">
        <v>0</v>
      </c>
      <c r="F5567" s="10" t="n">
        <v>0.2415688419765221</v>
      </c>
      <c r="G5567" s="11">
        <f>E5567*Summary!$B$6</f>
        <v/>
      </c>
      <c r="H5567" s="11">
        <f>F5567*Summary!$B$7</f>
        <v/>
      </c>
      <c r="I5567" s="11">
        <f>MAX(0,N5567-M5567)</f>
        <v/>
      </c>
      <c r="J5567" s="11">
        <f>MAX(0,M5567-N5567)</f>
        <v/>
      </c>
      <c r="K5567" s="11">
        <f>O5567</f>
        <v/>
      </c>
      <c r="L5567" s="11">
        <f>L5566+IF(K5567&gt;0,K5567*Summary!$B$9,K5567/Summary!$B$9)</f>
        <v/>
      </c>
      <c r="M5567" s="11">
        <f>G5567+H5567</f>
        <v/>
      </c>
      <c r="N5567" s="11">
        <f>Summary!$C$16*Summary!$B$8</f>
        <v/>
      </c>
      <c r="O5567" s="11">
        <f>M5567-N5567</f>
        <v/>
      </c>
    </row>
    <row r="5568">
      <c r="A5568" s="9" t="n">
        <v>45523.91666666666</v>
      </c>
      <c r="B5568" t="n">
        <v>8</v>
      </c>
      <c r="C5568" t="n">
        <v>19</v>
      </c>
      <c r="D5568" t="n">
        <v>22</v>
      </c>
      <c r="E5568" s="10" t="n">
        <v>0</v>
      </c>
      <c r="F5568" s="10" t="n">
        <v>0.2451263628303271</v>
      </c>
      <c r="G5568" s="11">
        <f>E5568*Summary!$B$6</f>
        <v/>
      </c>
      <c r="H5568" s="11">
        <f>F5568*Summary!$B$7</f>
        <v/>
      </c>
      <c r="I5568" s="11">
        <f>MAX(0,N5568-M5568)</f>
        <v/>
      </c>
      <c r="J5568" s="11">
        <f>MAX(0,M5568-N5568)</f>
        <v/>
      </c>
      <c r="K5568" s="11">
        <f>O5568</f>
        <v/>
      </c>
      <c r="L5568" s="11">
        <f>L5567+IF(K5568&gt;0,K5568*Summary!$B$9,K5568/Summary!$B$9)</f>
        <v/>
      </c>
      <c r="M5568" s="11">
        <f>G5568+H5568</f>
        <v/>
      </c>
      <c r="N5568" s="11">
        <f>Summary!$C$16*Summary!$B$8</f>
        <v/>
      </c>
      <c r="O5568" s="11">
        <f>M5568-N5568</f>
        <v/>
      </c>
    </row>
    <row r="5569">
      <c r="A5569" s="9" t="n">
        <v>45523.95833333334</v>
      </c>
      <c r="B5569" t="n">
        <v>8</v>
      </c>
      <c r="C5569" t="n">
        <v>19</v>
      </c>
      <c r="D5569" t="n">
        <v>23</v>
      </c>
      <c r="E5569" s="10" t="n">
        <v>0</v>
      </c>
      <c r="F5569" s="10" t="n">
        <v>0.2482622515829404</v>
      </c>
      <c r="G5569" s="11">
        <f>E5569*Summary!$B$6</f>
        <v/>
      </c>
      <c r="H5569" s="11">
        <f>F5569*Summary!$B$7</f>
        <v/>
      </c>
      <c r="I5569" s="11">
        <f>MAX(0,N5569-M5569)</f>
        <v/>
      </c>
      <c r="J5569" s="11">
        <f>MAX(0,M5569-N5569)</f>
        <v/>
      </c>
      <c r="K5569" s="11">
        <f>O5569</f>
        <v/>
      </c>
      <c r="L5569" s="11">
        <f>L5568+IF(K5569&gt;0,K5569*Summary!$B$9,K5569/Summary!$B$9)</f>
        <v/>
      </c>
      <c r="M5569" s="11">
        <f>G5569+H5569</f>
        <v/>
      </c>
      <c r="N5569" s="11">
        <f>Summary!$C$16*Summary!$B$8</f>
        <v/>
      </c>
      <c r="O5569" s="11">
        <f>M5569-N5569</f>
        <v/>
      </c>
    </row>
    <row r="5570">
      <c r="A5570" s="9" t="n">
        <v>45524</v>
      </c>
      <c r="B5570" t="n">
        <v>8</v>
      </c>
      <c r="C5570" t="n">
        <v>20</v>
      </c>
      <c r="D5570" t="n">
        <v>0</v>
      </c>
      <c r="E5570" s="10" t="n">
        <v>0</v>
      </c>
      <c r="F5570" s="10" t="n">
        <v>0.2185371884489252</v>
      </c>
      <c r="G5570" s="11">
        <f>E5570*Summary!$B$6</f>
        <v/>
      </c>
      <c r="H5570" s="11">
        <f>F5570*Summary!$B$7</f>
        <v/>
      </c>
      <c r="I5570" s="11">
        <f>MAX(0,N5570-M5570)</f>
        <v/>
      </c>
      <c r="J5570" s="11">
        <f>MAX(0,M5570-N5570)</f>
        <v/>
      </c>
      <c r="K5570" s="11">
        <f>O5570</f>
        <v/>
      </c>
      <c r="L5570" s="11">
        <f>L5569+IF(K5570&gt;0,K5570*Summary!$B$9,K5570/Summary!$B$9)</f>
        <v/>
      </c>
      <c r="M5570" s="11">
        <f>G5570+H5570</f>
        <v/>
      </c>
      <c r="N5570" s="11">
        <f>Summary!$C$16*Summary!$B$8</f>
        <v/>
      </c>
      <c r="O5570" s="11">
        <f>M5570-N5570</f>
        <v/>
      </c>
    </row>
    <row r="5571">
      <c r="A5571" s="9" t="n">
        <v>45524.04166666666</v>
      </c>
      <c r="B5571" t="n">
        <v>8</v>
      </c>
      <c r="C5571" t="n">
        <v>20</v>
      </c>
      <c r="D5571" t="n">
        <v>1</v>
      </c>
      <c r="E5571" s="10" t="n">
        <v>0</v>
      </c>
      <c r="F5571" s="10" t="n">
        <v>0.241015449843708</v>
      </c>
      <c r="G5571" s="11">
        <f>E5571*Summary!$B$6</f>
        <v/>
      </c>
      <c r="H5571" s="11">
        <f>F5571*Summary!$B$7</f>
        <v/>
      </c>
      <c r="I5571" s="11">
        <f>MAX(0,N5571-M5571)</f>
        <v/>
      </c>
      <c r="J5571" s="11">
        <f>MAX(0,M5571-N5571)</f>
        <v/>
      </c>
      <c r="K5571" s="11">
        <f>O5571</f>
        <v/>
      </c>
      <c r="L5571" s="11">
        <f>L5570+IF(K5571&gt;0,K5571*Summary!$B$9,K5571/Summary!$B$9)</f>
        <v/>
      </c>
      <c r="M5571" s="11">
        <f>G5571+H5571</f>
        <v/>
      </c>
      <c r="N5571" s="11">
        <f>Summary!$C$16*Summary!$B$8</f>
        <v/>
      </c>
      <c r="O5571" s="11">
        <f>M5571-N5571</f>
        <v/>
      </c>
    </row>
    <row r="5572">
      <c r="A5572" s="9" t="n">
        <v>45524.08333333334</v>
      </c>
      <c r="B5572" t="n">
        <v>8</v>
      </c>
      <c r="C5572" t="n">
        <v>20</v>
      </c>
      <c r="D5572" t="n">
        <v>2</v>
      </c>
      <c r="E5572" s="10" t="n">
        <v>0</v>
      </c>
      <c r="F5572" s="10" t="n">
        <v>0.2339267601424224</v>
      </c>
      <c r="G5572" s="11">
        <f>E5572*Summary!$B$6</f>
        <v/>
      </c>
      <c r="H5572" s="11">
        <f>F5572*Summary!$B$7</f>
        <v/>
      </c>
      <c r="I5572" s="11">
        <f>MAX(0,N5572-M5572)</f>
        <v/>
      </c>
      <c r="J5572" s="11">
        <f>MAX(0,M5572-N5572)</f>
        <v/>
      </c>
      <c r="K5572" s="11">
        <f>O5572</f>
        <v/>
      </c>
      <c r="L5572" s="11">
        <f>L5571+IF(K5572&gt;0,K5572*Summary!$B$9,K5572/Summary!$B$9)</f>
        <v/>
      </c>
      <c r="M5572" s="11">
        <f>G5572+H5572</f>
        <v/>
      </c>
      <c r="N5572" s="11">
        <f>Summary!$C$16*Summary!$B$8</f>
        <v/>
      </c>
      <c r="O5572" s="11">
        <f>M5572-N5572</f>
        <v/>
      </c>
    </row>
    <row r="5573">
      <c r="A5573" s="9" t="n">
        <v>45524.125</v>
      </c>
      <c r="B5573" t="n">
        <v>8</v>
      </c>
      <c r="C5573" t="n">
        <v>20</v>
      </c>
      <c r="D5573" t="n">
        <v>3</v>
      </c>
      <c r="E5573" s="10" t="n">
        <v>0</v>
      </c>
      <c r="F5573" s="10" t="n">
        <v>0.2272597025423286</v>
      </c>
      <c r="G5573" s="11">
        <f>E5573*Summary!$B$6</f>
        <v/>
      </c>
      <c r="H5573" s="11">
        <f>F5573*Summary!$B$7</f>
        <v/>
      </c>
      <c r="I5573" s="11">
        <f>MAX(0,N5573-M5573)</f>
        <v/>
      </c>
      <c r="J5573" s="11">
        <f>MAX(0,M5573-N5573)</f>
        <v/>
      </c>
      <c r="K5573" s="11">
        <f>O5573</f>
        <v/>
      </c>
      <c r="L5573" s="11">
        <f>L5572+IF(K5573&gt;0,K5573*Summary!$B$9,K5573/Summary!$B$9)</f>
        <v/>
      </c>
      <c r="M5573" s="11">
        <f>G5573+H5573</f>
        <v/>
      </c>
      <c r="N5573" s="11">
        <f>Summary!$C$16*Summary!$B$8</f>
        <v/>
      </c>
      <c r="O5573" s="11">
        <f>M5573-N5573</f>
        <v/>
      </c>
    </row>
    <row r="5574">
      <c r="A5574" s="9" t="n">
        <v>45524.16666666666</v>
      </c>
      <c r="B5574" t="n">
        <v>8</v>
      </c>
      <c r="C5574" t="n">
        <v>20</v>
      </c>
      <c r="D5574" t="n">
        <v>4</v>
      </c>
      <c r="E5574" s="10" t="n">
        <v>0</v>
      </c>
      <c r="F5574" s="10" t="n">
        <v>0.2214359091446182</v>
      </c>
      <c r="G5574" s="11">
        <f>E5574*Summary!$B$6</f>
        <v/>
      </c>
      <c r="H5574" s="11">
        <f>F5574*Summary!$B$7</f>
        <v/>
      </c>
      <c r="I5574" s="11">
        <f>MAX(0,N5574-M5574)</f>
        <v/>
      </c>
      <c r="J5574" s="11">
        <f>MAX(0,M5574-N5574)</f>
        <v/>
      </c>
      <c r="K5574" s="11">
        <f>O5574</f>
        <v/>
      </c>
      <c r="L5574" s="11">
        <f>L5573+IF(K5574&gt;0,K5574*Summary!$B$9,K5574/Summary!$B$9)</f>
        <v/>
      </c>
      <c r="M5574" s="11">
        <f>G5574+H5574</f>
        <v/>
      </c>
      <c r="N5574" s="11">
        <f>Summary!$C$16*Summary!$B$8</f>
        <v/>
      </c>
      <c r="O5574" s="11">
        <f>M5574-N5574</f>
        <v/>
      </c>
    </row>
    <row r="5575">
      <c r="A5575" s="9" t="n">
        <v>45524.20833333334</v>
      </c>
      <c r="B5575" t="n">
        <v>8</v>
      </c>
      <c r="C5575" t="n">
        <v>20</v>
      </c>
      <c r="D5575" t="n">
        <v>5</v>
      </c>
      <c r="E5575" s="10" t="n">
        <v>0.009729</v>
      </c>
      <c r="F5575" s="10" t="n">
        <v>0.2133458432030023</v>
      </c>
      <c r="G5575" s="11">
        <f>E5575*Summary!$B$6</f>
        <v/>
      </c>
      <c r="H5575" s="11">
        <f>F5575*Summary!$B$7</f>
        <v/>
      </c>
      <c r="I5575" s="11">
        <f>MAX(0,N5575-M5575)</f>
        <v/>
      </c>
      <c r="J5575" s="11">
        <f>MAX(0,M5575-N5575)</f>
        <v/>
      </c>
      <c r="K5575" s="11">
        <f>O5575</f>
        <v/>
      </c>
      <c r="L5575" s="11">
        <f>L5574+IF(K5575&gt;0,K5575*Summary!$B$9,K5575/Summary!$B$9)</f>
        <v/>
      </c>
      <c r="M5575" s="11">
        <f>G5575+H5575</f>
        <v/>
      </c>
      <c r="N5575" s="11">
        <f>Summary!$C$16*Summary!$B$8</f>
        <v/>
      </c>
      <c r="O5575" s="11">
        <f>M5575-N5575</f>
        <v/>
      </c>
    </row>
    <row r="5576">
      <c r="A5576" s="9" t="n">
        <v>45524.25</v>
      </c>
      <c r="B5576" t="n">
        <v>8</v>
      </c>
      <c r="C5576" t="n">
        <v>20</v>
      </c>
      <c r="D5576" t="n">
        <v>6</v>
      </c>
      <c r="E5576" s="10" t="n">
        <v>0.064279</v>
      </c>
      <c r="F5576" s="10" t="n">
        <v>0.1929230383015292</v>
      </c>
      <c r="G5576" s="11">
        <f>E5576*Summary!$B$6</f>
        <v/>
      </c>
      <c r="H5576" s="11">
        <f>F5576*Summary!$B$7</f>
        <v/>
      </c>
      <c r="I5576" s="11">
        <f>MAX(0,N5576-M5576)</f>
        <v/>
      </c>
      <c r="J5576" s="11">
        <f>MAX(0,M5576-N5576)</f>
        <v/>
      </c>
      <c r="K5576" s="11">
        <f>O5576</f>
        <v/>
      </c>
      <c r="L5576" s="11">
        <f>L5575+IF(K5576&gt;0,K5576*Summary!$B$9,K5576/Summary!$B$9)</f>
        <v/>
      </c>
      <c r="M5576" s="11">
        <f>G5576+H5576</f>
        <v/>
      </c>
      <c r="N5576" s="11">
        <f>Summary!$C$16*Summary!$B$8</f>
        <v/>
      </c>
      <c r="O5576" s="11">
        <f>M5576-N5576</f>
        <v/>
      </c>
    </row>
    <row r="5577">
      <c r="A5577" s="9" t="n">
        <v>45524.29166666666</v>
      </c>
      <c r="B5577" t="n">
        <v>8</v>
      </c>
      <c r="C5577" t="n">
        <v>20</v>
      </c>
      <c r="D5577" t="n">
        <v>7</v>
      </c>
      <c r="E5577" s="10" t="n">
        <v>0.132633</v>
      </c>
      <c r="F5577" s="10" t="n">
        <v>0.1573478297634791</v>
      </c>
      <c r="G5577" s="11">
        <f>E5577*Summary!$B$6</f>
        <v/>
      </c>
      <c r="H5577" s="11">
        <f>F5577*Summary!$B$7</f>
        <v/>
      </c>
      <c r="I5577" s="11">
        <f>MAX(0,N5577-M5577)</f>
        <v/>
      </c>
      <c r="J5577" s="11">
        <f>MAX(0,M5577-N5577)</f>
        <v/>
      </c>
      <c r="K5577" s="11">
        <f>O5577</f>
        <v/>
      </c>
      <c r="L5577" s="11">
        <f>L5576+IF(K5577&gt;0,K5577*Summary!$B$9,K5577/Summary!$B$9)</f>
        <v/>
      </c>
      <c r="M5577" s="11">
        <f>G5577+H5577</f>
        <v/>
      </c>
      <c r="N5577" s="11">
        <f>Summary!$C$16*Summary!$B$8</f>
        <v/>
      </c>
      <c r="O5577" s="11">
        <f>M5577-N5577</f>
        <v/>
      </c>
    </row>
    <row r="5578">
      <c r="A5578" s="9" t="n">
        <v>45524.33333333334</v>
      </c>
      <c r="B5578" t="n">
        <v>8</v>
      </c>
      <c r="C5578" t="n">
        <v>20</v>
      </c>
      <c r="D5578" t="n">
        <v>8</v>
      </c>
      <c r="E5578" s="10" t="n">
        <v>0.413073</v>
      </c>
      <c r="F5578" s="10" t="n">
        <v>0.1585863740607298</v>
      </c>
      <c r="G5578" s="11">
        <f>E5578*Summary!$B$6</f>
        <v/>
      </c>
      <c r="H5578" s="11">
        <f>F5578*Summary!$B$7</f>
        <v/>
      </c>
      <c r="I5578" s="11">
        <f>MAX(0,N5578-M5578)</f>
        <v/>
      </c>
      <c r="J5578" s="11">
        <f>MAX(0,M5578-N5578)</f>
        <v/>
      </c>
      <c r="K5578" s="11">
        <f>O5578</f>
        <v/>
      </c>
      <c r="L5578" s="11">
        <f>L5577+IF(K5578&gt;0,K5578*Summary!$B$9,K5578/Summary!$B$9)</f>
        <v/>
      </c>
      <c r="M5578" s="11">
        <f>G5578+H5578</f>
        <v/>
      </c>
      <c r="N5578" s="11">
        <f>Summary!$C$16*Summary!$B$8</f>
        <v/>
      </c>
      <c r="O5578" s="11">
        <f>M5578-N5578</f>
        <v/>
      </c>
    </row>
    <row r="5579">
      <c r="A5579" s="9" t="n">
        <v>45524.375</v>
      </c>
      <c r="B5579" t="n">
        <v>8</v>
      </c>
      <c r="C5579" t="n">
        <v>20</v>
      </c>
      <c r="D5579" t="n">
        <v>9</v>
      </c>
      <c r="E5579" s="10" t="n">
        <v>0.471681</v>
      </c>
      <c r="F5579" s="10" t="n">
        <v>0.1586917820860277</v>
      </c>
      <c r="G5579" s="11">
        <f>E5579*Summary!$B$6</f>
        <v/>
      </c>
      <c r="H5579" s="11">
        <f>F5579*Summary!$B$7</f>
        <v/>
      </c>
      <c r="I5579" s="11">
        <f>MAX(0,N5579-M5579)</f>
        <v/>
      </c>
      <c r="J5579" s="11">
        <f>MAX(0,M5579-N5579)</f>
        <v/>
      </c>
      <c r="K5579" s="11">
        <f>O5579</f>
        <v/>
      </c>
      <c r="L5579" s="11">
        <f>L5578+IF(K5579&gt;0,K5579*Summary!$B$9,K5579/Summary!$B$9)</f>
        <v/>
      </c>
      <c r="M5579" s="11">
        <f>G5579+H5579</f>
        <v/>
      </c>
      <c r="N5579" s="11">
        <f>Summary!$C$16*Summary!$B$8</f>
        <v/>
      </c>
      <c r="O5579" s="11">
        <f>M5579-N5579</f>
        <v/>
      </c>
    </row>
    <row r="5580">
      <c r="A5580" s="9" t="n">
        <v>45524.41666666666</v>
      </c>
      <c r="B5580" t="n">
        <v>8</v>
      </c>
      <c r="C5580" t="n">
        <v>20</v>
      </c>
      <c r="D5580" t="n">
        <v>10</v>
      </c>
      <c r="E5580" s="10" t="n">
        <v>0.5464020000000001</v>
      </c>
      <c r="F5580" s="10" t="n">
        <v>0.1615114467627472</v>
      </c>
      <c r="G5580" s="11">
        <f>E5580*Summary!$B$6</f>
        <v/>
      </c>
      <c r="H5580" s="11">
        <f>F5580*Summary!$B$7</f>
        <v/>
      </c>
      <c r="I5580" s="11">
        <f>MAX(0,N5580-M5580)</f>
        <v/>
      </c>
      <c r="J5580" s="11">
        <f>MAX(0,M5580-N5580)</f>
        <v/>
      </c>
      <c r="K5580" s="11">
        <f>O5580</f>
        <v/>
      </c>
      <c r="L5580" s="11">
        <f>L5579+IF(K5580&gt;0,K5580*Summary!$B$9,K5580/Summary!$B$9)</f>
        <v/>
      </c>
      <c r="M5580" s="11">
        <f>G5580+H5580</f>
        <v/>
      </c>
      <c r="N5580" s="11">
        <f>Summary!$C$16*Summary!$B$8</f>
        <v/>
      </c>
      <c r="O5580" s="11">
        <f>M5580-N5580</f>
        <v/>
      </c>
    </row>
    <row r="5581">
      <c r="A5581" s="9" t="n">
        <v>45524.45833333334</v>
      </c>
      <c r="B5581" t="n">
        <v>8</v>
      </c>
      <c r="C5581" t="n">
        <v>20</v>
      </c>
      <c r="D5581" t="n">
        <v>11</v>
      </c>
      <c r="E5581" s="10" t="n">
        <v>0.5682469999999999</v>
      </c>
      <c r="F5581" s="10" t="n">
        <v>0.1668872560529415</v>
      </c>
      <c r="G5581" s="11">
        <f>E5581*Summary!$B$6</f>
        <v/>
      </c>
      <c r="H5581" s="11">
        <f>F5581*Summary!$B$7</f>
        <v/>
      </c>
      <c r="I5581" s="11">
        <f>MAX(0,N5581-M5581)</f>
        <v/>
      </c>
      <c r="J5581" s="11">
        <f>MAX(0,M5581-N5581)</f>
        <v/>
      </c>
      <c r="K5581" s="11">
        <f>O5581</f>
        <v/>
      </c>
      <c r="L5581" s="11">
        <f>L5580+IF(K5581&gt;0,K5581*Summary!$B$9,K5581/Summary!$B$9)</f>
        <v/>
      </c>
      <c r="M5581" s="11">
        <f>G5581+H5581</f>
        <v/>
      </c>
      <c r="N5581" s="11">
        <f>Summary!$C$16*Summary!$B$8</f>
        <v/>
      </c>
      <c r="O5581" s="11">
        <f>M5581-N5581</f>
        <v/>
      </c>
    </row>
    <row r="5582">
      <c r="A5582" s="9" t="n">
        <v>45524.5</v>
      </c>
      <c r="B5582" t="n">
        <v>8</v>
      </c>
      <c r="C5582" t="n">
        <v>20</v>
      </c>
      <c r="D5582" t="n">
        <v>12</v>
      </c>
      <c r="E5582" s="10" t="n">
        <v>0.38443</v>
      </c>
      <c r="F5582" s="10" t="n">
        <v>0.1711035770648585</v>
      </c>
      <c r="G5582" s="11">
        <f>E5582*Summary!$B$6</f>
        <v/>
      </c>
      <c r="H5582" s="11">
        <f>F5582*Summary!$B$7</f>
        <v/>
      </c>
      <c r="I5582" s="11">
        <f>MAX(0,N5582-M5582)</f>
        <v/>
      </c>
      <c r="J5582" s="11">
        <f>MAX(0,M5582-N5582)</f>
        <v/>
      </c>
      <c r="K5582" s="11">
        <f>O5582</f>
        <v/>
      </c>
      <c r="L5582" s="11">
        <f>L5581+IF(K5582&gt;0,K5582*Summary!$B$9,K5582/Summary!$B$9)</f>
        <v/>
      </c>
      <c r="M5582" s="11">
        <f>G5582+H5582</f>
        <v/>
      </c>
      <c r="N5582" s="11">
        <f>Summary!$C$16*Summary!$B$8</f>
        <v/>
      </c>
      <c r="O5582" s="11">
        <f>M5582-N5582</f>
        <v/>
      </c>
    </row>
    <row r="5583">
      <c r="A5583" s="9" t="n">
        <v>45524.54166666666</v>
      </c>
      <c r="B5583" t="n">
        <v>8</v>
      </c>
      <c r="C5583" t="n">
        <v>20</v>
      </c>
      <c r="D5583" t="n">
        <v>13</v>
      </c>
      <c r="E5583" s="10" t="n">
        <v>0.177366</v>
      </c>
      <c r="F5583" s="10" t="n">
        <v>0.1725265854063805</v>
      </c>
      <c r="G5583" s="11">
        <f>E5583*Summary!$B$6</f>
        <v/>
      </c>
      <c r="H5583" s="11">
        <f>F5583*Summary!$B$7</f>
        <v/>
      </c>
      <c r="I5583" s="11">
        <f>MAX(0,N5583-M5583)</f>
        <v/>
      </c>
      <c r="J5583" s="11">
        <f>MAX(0,M5583-N5583)</f>
        <v/>
      </c>
      <c r="K5583" s="11">
        <f>O5583</f>
        <v/>
      </c>
      <c r="L5583" s="11">
        <f>L5582+IF(K5583&gt;0,K5583*Summary!$B$9,K5583/Summary!$B$9)</f>
        <v/>
      </c>
      <c r="M5583" s="11">
        <f>G5583+H5583</f>
        <v/>
      </c>
      <c r="N5583" s="11">
        <f>Summary!$C$16*Summary!$B$8</f>
        <v/>
      </c>
      <c r="O5583" s="11">
        <f>M5583-N5583</f>
        <v/>
      </c>
    </row>
    <row r="5584">
      <c r="A5584" s="9" t="n">
        <v>45524.58333333334</v>
      </c>
      <c r="B5584" t="n">
        <v>8</v>
      </c>
      <c r="C5584" t="n">
        <v>20</v>
      </c>
      <c r="D5584" t="n">
        <v>14</v>
      </c>
      <c r="E5584" s="10" t="n">
        <v>0.112007</v>
      </c>
      <c r="F5584" s="10" t="n">
        <v>0.1714725051534012</v>
      </c>
      <c r="G5584" s="11">
        <f>E5584*Summary!$B$6</f>
        <v/>
      </c>
      <c r="H5584" s="11">
        <f>F5584*Summary!$B$7</f>
        <v/>
      </c>
      <c r="I5584" s="11">
        <f>MAX(0,N5584-M5584)</f>
        <v/>
      </c>
      <c r="J5584" s="11">
        <f>MAX(0,M5584-N5584)</f>
        <v/>
      </c>
      <c r="K5584" s="11">
        <f>O5584</f>
        <v/>
      </c>
      <c r="L5584" s="11">
        <f>L5583+IF(K5584&gt;0,K5584*Summary!$B$9,K5584/Summary!$B$9)</f>
        <v/>
      </c>
      <c r="M5584" s="11">
        <f>G5584+H5584</f>
        <v/>
      </c>
      <c r="N5584" s="11">
        <f>Summary!$C$16*Summary!$B$8</f>
        <v/>
      </c>
      <c r="O5584" s="11">
        <f>M5584-N5584</f>
        <v/>
      </c>
    </row>
    <row r="5585">
      <c r="A5585" s="9" t="n">
        <v>45524.625</v>
      </c>
      <c r="B5585" t="n">
        <v>8</v>
      </c>
      <c r="C5585" t="n">
        <v>20</v>
      </c>
      <c r="D5585" t="n">
        <v>15</v>
      </c>
      <c r="E5585" s="10" t="n">
        <v>0.161426</v>
      </c>
      <c r="F5585" s="10" t="n">
        <v>0.1730799775391946</v>
      </c>
      <c r="G5585" s="11">
        <f>E5585*Summary!$B$6</f>
        <v/>
      </c>
      <c r="H5585" s="11">
        <f>F5585*Summary!$B$7</f>
        <v/>
      </c>
      <c r="I5585" s="11">
        <f>MAX(0,N5585-M5585)</f>
        <v/>
      </c>
      <c r="J5585" s="11">
        <f>MAX(0,M5585-N5585)</f>
        <v/>
      </c>
      <c r="K5585" s="11">
        <f>O5585</f>
        <v/>
      </c>
      <c r="L5585" s="11">
        <f>L5584+IF(K5585&gt;0,K5585*Summary!$B$9,K5585/Summary!$B$9)</f>
        <v/>
      </c>
      <c r="M5585" s="11">
        <f>G5585+H5585</f>
        <v/>
      </c>
      <c r="N5585" s="11">
        <f>Summary!$C$16*Summary!$B$8</f>
        <v/>
      </c>
      <c r="O5585" s="11">
        <f>M5585-N5585</f>
        <v/>
      </c>
    </row>
    <row r="5586">
      <c r="A5586" s="9" t="n">
        <v>45524.66666666666</v>
      </c>
      <c r="B5586" t="n">
        <v>8</v>
      </c>
      <c r="C5586" t="n">
        <v>20</v>
      </c>
      <c r="D5586" t="n">
        <v>16</v>
      </c>
      <c r="E5586" s="10" t="n">
        <v>0.123202</v>
      </c>
      <c r="F5586" s="10" t="n">
        <v>0.1704447769067464</v>
      </c>
      <c r="G5586" s="11">
        <f>E5586*Summary!$B$6</f>
        <v/>
      </c>
      <c r="H5586" s="11">
        <f>F5586*Summary!$B$7</f>
        <v/>
      </c>
      <c r="I5586" s="11">
        <f>MAX(0,N5586-M5586)</f>
        <v/>
      </c>
      <c r="J5586" s="11">
        <f>MAX(0,M5586-N5586)</f>
        <v/>
      </c>
      <c r="K5586" s="11">
        <f>O5586</f>
        <v/>
      </c>
      <c r="L5586" s="11">
        <f>L5585+IF(K5586&gt;0,K5586*Summary!$B$9,K5586/Summary!$B$9)</f>
        <v/>
      </c>
      <c r="M5586" s="11">
        <f>G5586+H5586</f>
        <v/>
      </c>
      <c r="N5586" s="11">
        <f>Summary!$C$16*Summary!$B$8</f>
        <v/>
      </c>
      <c r="O5586" s="11">
        <f>M5586-N5586</f>
        <v/>
      </c>
    </row>
    <row r="5587">
      <c r="A5587" s="9" t="n">
        <v>45524.70833333334</v>
      </c>
      <c r="B5587" t="n">
        <v>8</v>
      </c>
      <c r="C5587" t="n">
        <v>20</v>
      </c>
      <c r="D5587" t="n">
        <v>17</v>
      </c>
      <c r="E5587" s="10" t="n">
        <v>0.079156</v>
      </c>
      <c r="F5587" s="10" t="n">
        <v>0.1600620864149007</v>
      </c>
      <c r="G5587" s="11">
        <f>E5587*Summary!$B$6</f>
        <v/>
      </c>
      <c r="H5587" s="11">
        <f>F5587*Summary!$B$7</f>
        <v/>
      </c>
      <c r="I5587" s="11">
        <f>MAX(0,N5587-M5587)</f>
        <v/>
      </c>
      <c r="J5587" s="11">
        <f>MAX(0,M5587-N5587)</f>
        <v/>
      </c>
      <c r="K5587" s="11">
        <f>O5587</f>
        <v/>
      </c>
      <c r="L5587" s="11">
        <f>L5586+IF(K5587&gt;0,K5587*Summary!$B$9,K5587/Summary!$B$9)</f>
        <v/>
      </c>
      <c r="M5587" s="11">
        <f>G5587+H5587</f>
        <v/>
      </c>
      <c r="N5587" s="11">
        <f>Summary!$C$16*Summary!$B$8</f>
        <v/>
      </c>
      <c r="O5587" s="11">
        <f>M5587-N5587</f>
        <v/>
      </c>
    </row>
    <row r="5588">
      <c r="A5588" s="9" t="n">
        <v>45524.75</v>
      </c>
      <c r="B5588" t="n">
        <v>8</v>
      </c>
      <c r="C5588" t="n">
        <v>20</v>
      </c>
      <c r="D5588" t="n">
        <v>18</v>
      </c>
      <c r="E5588" s="10" t="n">
        <v>0.030614</v>
      </c>
      <c r="F5588" s="10" t="n">
        <v>0.1619067268576144</v>
      </c>
      <c r="G5588" s="11">
        <f>E5588*Summary!$B$6</f>
        <v/>
      </c>
      <c r="H5588" s="11">
        <f>F5588*Summary!$B$7</f>
        <v/>
      </c>
      <c r="I5588" s="11">
        <f>MAX(0,N5588-M5588)</f>
        <v/>
      </c>
      <c r="J5588" s="11">
        <f>MAX(0,M5588-N5588)</f>
        <v/>
      </c>
      <c r="K5588" s="11">
        <f>O5588</f>
        <v/>
      </c>
      <c r="L5588" s="11">
        <f>L5587+IF(K5588&gt;0,K5588*Summary!$B$9,K5588/Summary!$B$9)</f>
        <v/>
      </c>
      <c r="M5588" s="11">
        <f>G5588+H5588</f>
        <v/>
      </c>
      <c r="N5588" s="11">
        <f>Summary!$C$16*Summary!$B$8</f>
        <v/>
      </c>
      <c r="O5588" s="11">
        <f>M5588-N5588</f>
        <v/>
      </c>
    </row>
    <row r="5589">
      <c r="A5589" s="9" t="n">
        <v>45524.79166666666</v>
      </c>
      <c r="B5589" t="n">
        <v>8</v>
      </c>
      <c r="C5589" t="n">
        <v>20</v>
      </c>
      <c r="D5589" t="n">
        <v>19</v>
      </c>
      <c r="E5589" s="10" t="n">
        <v>0.00167</v>
      </c>
      <c r="F5589" s="10" t="n">
        <v>0.1814599155503797</v>
      </c>
      <c r="G5589" s="11">
        <f>E5589*Summary!$B$6</f>
        <v/>
      </c>
      <c r="H5589" s="11">
        <f>F5589*Summary!$B$7</f>
        <v/>
      </c>
      <c r="I5589" s="11">
        <f>MAX(0,N5589-M5589)</f>
        <v/>
      </c>
      <c r="J5589" s="11">
        <f>MAX(0,M5589-N5589)</f>
        <v/>
      </c>
      <c r="K5589" s="11">
        <f>O5589</f>
        <v/>
      </c>
      <c r="L5589" s="11">
        <f>L5588+IF(K5589&gt;0,K5589*Summary!$B$9,K5589/Summary!$B$9)</f>
        <v/>
      </c>
      <c r="M5589" s="11">
        <f>G5589+H5589</f>
        <v/>
      </c>
      <c r="N5589" s="11">
        <f>Summary!$C$16*Summary!$B$8</f>
        <v/>
      </c>
      <c r="O5589" s="11">
        <f>M5589-N5589</f>
        <v/>
      </c>
    </row>
    <row r="5590">
      <c r="A5590" s="9" t="n">
        <v>45524.83333333334</v>
      </c>
      <c r="B5590" t="n">
        <v>8</v>
      </c>
      <c r="C5590" t="n">
        <v>20</v>
      </c>
      <c r="D5590" t="n">
        <v>20</v>
      </c>
      <c r="E5590" s="10" t="n">
        <v>0</v>
      </c>
      <c r="F5590" s="10" t="n">
        <v>0.1993792798510272</v>
      </c>
      <c r="G5590" s="11">
        <f>E5590*Summary!$B$6</f>
        <v/>
      </c>
      <c r="H5590" s="11">
        <f>F5590*Summary!$B$7</f>
        <v/>
      </c>
      <c r="I5590" s="11">
        <f>MAX(0,N5590-M5590)</f>
        <v/>
      </c>
      <c r="J5590" s="11">
        <f>MAX(0,M5590-N5590)</f>
        <v/>
      </c>
      <c r="K5590" s="11">
        <f>O5590</f>
        <v/>
      </c>
      <c r="L5590" s="11">
        <f>L5589+IF(K5590&gt;0,K5590*Summary!$B$9,K5590/Summary!$B$9)</f>
        <v/>
      </c>
      <c r="M5590" s="11">
        <f>G5590+H5590</f>
        <v/>
      </c>
      <c r="N5590" s="11">
        <f>Summary!$C$16*Summary!$B$8</f>
        <v/>
      </c>
      <c r="O5590" s="11">
        <f>M5590-N5590</f>
        <v/>
      </c>
    </row>
    <row r="5591">
      <c r="A5591" s="9" t="n">
        <v>45524.875</v>
      </c>
      <c r="B5591" t="n">
        <v>8</v>
      </c>
      <c r="C5591" t="n">
        <v>20</v>
      </c>
      <c r="D5591" t="n">
        <v>21</v>
      </c>
      <c r="E5591" s="10" t="n">
        <v>0</v>
      </c>
      <c r="F5591" s="10" t="n">
        <v>0.2126343390322414</v>
      </c>
      <c r="G5591" s="11">
        <f>E5591*Summary!$B$6</f>
        <v/>
      </c>
      <c r="H5591" s="11">
        <f>F5591*Summary!$B$7</f>
        <v/>
      </c>
      <c r="I5591" s="11">
        <f>MAX(0,N5591-M5591)</f>
        <v/>
      </c>
      <c r="J5591" s="11">
        <f>MAX(0,M5591-N5591)</f>
        <v/>
      </c>
      <c r="K5591" s="11">
        <f>O5591</f>
        <v/>
      </c>
      <c r="L5591" s="11">
        <f>L5590+IF(K5591&gt;0,K5591*Summary!$B$9,K5591/Summary!$B$9)</f>
        <v/>
      </c>
      <c r="M5591" s="11">
        <f>G5591+H5591</f>
        <v/>
      </c>
      <c r="N5591" s="11">
        <f>Summary!$C$16*Summary!$B$8</f>
        <v/>
      </c>
      <c r="O5591" s="11">
        <f>M5591-N5591</f>
        <v/>
      </c>
    </row>
    <row r="5592">
      <c r="A5592" s="9" t="n">
        <v>45524.91666666666</v>
      </c>
      <c r="B5592" t="n">
        <v>8</v>
      </c>
      <c r="C5592" t="n">
        <v>20</v>
      </c>
      <c r="D5592" t="n">
        <v>22</v>
      </c>
      <c r="E5592" s="10" t="n">
        <v>0</v>
      </c>
      <c r="F5592" s="10" t="n">
        <v>0.2268117184348124</v>
      </c>
      <c r="G5592" s="11">
        <f>E5592*Summary!$B$6</f>
        <v/>
      </c>
      <c r="H5592" s="11">
        <f>F5592*Summary!$B$7</f>
        <v/>
      </c>
      <c r="I5592" s="11">
        <f>MAX(0,N5592-M5592)</f>
        <v/>
      </c>
      <c r="J5592" s="11">
        <f>MAX(0,M5592-N5592)</f>
        <v/>
      </c>
      <c r="K5592" s="11">
        <f>O5592</f>
        <v/>
      </c>
      <c r="L5592" s="11">
        <f>L5591+IF(K5592&gt;0,K5592*Summary!$B$9,K5592/Summary!$B$9)</f>
        <v/>
      </c>
      <c r="M5592" s="11">
        <f>G5592+H5592</f>
        <v/>
      </c>
      <c r="N5592" s="11">
        <f>Summary!$C$16*Summary!$B$8</f>
        <v/>
      </c>
      <c r="O5592" s="11">
        <f>M5592-N5592</f>
        <v/>
      </c>
    </row>
    <row r="5593">
      <c r="A5593" s="9" t="n">
        <v>45524.95833333334</v>
      </c>
      <c r="B5593" t="n">
        <v>8</v>
      </c>
      <c r="C5593" t="n">
        <v>20</v>
      </c>
      <c r="D5593" t="n">
        <v>23</v>
      </c>
      <c r="E5593" s="10" t="n">
        <v>0</v>
      </c>
      <c r="F5593" s="10" t="n">
        <v>0.2190378765690904</v>
      </c>
      <c r="G5593" s="11">
        <f>E5593*Summary!$B$6</f>
        <v/>
      </c>
      <c r="H5593" s="11">
        <f>F5593*Summary!$B$7</f>
        <v/>
      </c>
      <c r="I5593" s="11">
        <f>MAX(0,N5593-M5593)</f>
        <v/>
      </c>
      <c r="J5593" s="11">
        <f>MAX(0,M5593-N5593)</f>
        <v/>
      </c>
      <c r="K5593" s="11">
        <f>O5593</f>
        <v/>
      </c>
      <c r="L5593" s="11">
        <f>L5592+IF(K5593&gt;0,K5593*Summary!$B$9,K5593/Summary!$B$9)</f>
        <v/>
      </c>
      <c r="M5593" s="11">
        <f>G5593+H5593</f>
        <v/>
      </c>
      <c r="N5593" s="11">
        <f>Summary!$C$16*Summary!$B$8</f>
        <v/>
      </c>
      <c r="O5593" s="11">
        <f>M5593-N5593</f>
        <v/>
      </c>
    </row>
    <row r="5594">
      <c r="A5594" s="9" t="n">
        <v>45525</v>
      </c>
      <c r="B5594" t="n">
        <v>8</v>
      </c>
      <c r="C5594" t="n">
        <v>21</v>
      </c>
      <c r="D5594" t="n">
        <v>0</v>
      </c>
      <c r="E5594" s="10" t="n">
        <v>0</v>
      </c>
      <c r="F5594" s="10" t="n">
        <v>0.2348490803637793</v>
      </c>
      <c r="G5594" s="11">
        <f>E5594*Summary!$B$6</f>
        <v/>
      </c>
      <c r="H5594" s="11">
        <f>F5594*Summary!$B$7</f>
        <v/>
      </c>
      <c r="I5594" s="11">
        <f>MAX(0,N5594-M5594)</f>
        <v/>
      </c>
      <c r="J5594" s="11">
        <f>MAX(0,M5594-N5594)</f>
        <v/>
      </c>
      <c r="K5594" s="11">
        <f>O5594</f>
        <v/>
      </c>
      <c r="L5594" s="11">
        <f>L5593+IF(K5594&gt;0,K5594*Summary!$B$9,K5594/Summary!$B$9)</f>
        <v/>
      </c>
      <c r="M5594" s="11">
        <f>G5594+H5594</f>
        <v/>
      </c>
      <c r="N5594" s="11">
        <f>Summary!$C$16*Summary!$B$8</f>
        <v/>
      </c>
      <c r="O5594" s="11">
        <f>M5594-N5594</f>
        <v/>
      </c>
    </row>
    <row r="5595">
      <c r="A5595" s="9" t="n">
        <v>45525.04166666666</v>
      </c>
      <c r="B5595" t="n">
        <v>8</v>
      </c>
      <c r="C5595" t="n">
        <v>21</v>
      </c>
      <c r="D5595" t="n">
        <v>1</v>
      </c>
      <c r="E5595" s="10" t="n">
        <v>0</v>
      </c>
      <c r="F5595" s="10" t="n">
        <v>0.2155067077216099</v>
      </c>
      <c r="G5595" s="11">
        <f>E5595*Summary!$B$6</f>
        <v/>
      </c>
      <c r="H5595" s="11">
        <f>F5595*Summary!$B$7</f>
        <v/>
      </c>
      <c r="I5595" s="11">
        <f>MAX(0,N5595-M5595)</f>
        <v/>
      </c>
      <c r="J5595" s="11">
        <f>MAX(0,M5595-N5595)</f>
        <v/>
      </c>
      <c r="K5595" s="11">
        <f>O5595</f>
        <v/>
      </c>
      <c r="L5595" s="11">
        <f>L5594+IF(K5595&gt;0,K5595*Summary!$B$9,K5595/Summary!$B$9)</f>
        <v/>
      </c>
      <c r="M5595" s="11">
        <f>G5595+H5595</f>
        <v/>
      </c>
      <c r="N5595" s="11">
        <f>Summary!$C$16*Summary!$B$8</f>
        <v/>
      </c>
      <c r="O5595" s="11">
        <f>M5595-N5595</f>
        <v/>
      </c>
    </row>
    <row r="5596">
      <c r="A5596" s="9" t="n">
        <v>45525.08333333334</v>
      </c>
      <c r="B5596" t="n">
        <v>8</v>
      </c>
      <c r="C5596" t="n">
        <v>21</v>
      </c>
      <c r="D5596" t="n">
        <v>2</v>
      </c>
      <c r="E5596" s="10" t="n">
        <v>0</v>
      </c>
      <c r="F5596" s="10" t="n">
        <v>0.2098410263618463</v>
      </c>
      <c r="G5596" s="11">
        <f>E5596*Summary!$B$6</f>
        <v/>
      </c>
      <c r="H5596" s="11">
        <f>F5596*Summary!$B$7</f>
        <v/>
      </c>
      <c r="I5596" s="11">
        <f>MAX(0,N5596-M5596)</f>
        <v/>
      </c>
      <c r="J5596" s="11">
        <f>MAX(0,M5596-N5596)</f>
        <v/>
      </c>
      <c r="K5596" s="11">
        <f>O5596</f>
        <v/>
      </c>
      <c r="L5596" s="11">
        <f>L5595+IF(K5596&gt;0,K5596*Summary!$B$9,K5596/Summary!$B$9)</f>
        <v/>
      </c>
      <c r="M5596" s="11">
        <f>G5596+H5596</f>
        <v/>
      </c>
      <c r="N5596" s="11">
        <f>Summary!$C$16*Summary!$B$8</f>
        <v/>
      </c>
      <c r="O5596" s="11">
        <f>M5596-N5596</f>
        <v/>
      </c>
    </row>
    <row r="5597">
      <c r="A5597" s="9" t="n">
        <v>45525.125</v>
      </c>
      <c r="B5597" t="n">
        <v>8</v>
      </c>
      <c r="C5597" t="n">
        <v>21</v>
      </c>
      <c r="D5597" t="n">
        <v>3</v>
      </c>
      <c r="E5597" s="10" t="n">
        <v>0</v>
      </c>
      <c r="F5597" s="10" t="n">
        <v>0.2034111368186728</v>
      </c>
      <c r="G5597" s="11">
        <f>E5597*Summary!$B$6</f>
        <v/>
      </c>
      <c r="H5597" s="11">
        <f>F5597*Summary!$B$7</f>
        <v/>
      </c>
      <c r="I5597" s="11">
        <f>MAX(0,N5597-M5597)</f>
        <v/>
      </c>
      <c r="J5597" s="11">
        <f>MAX(0,M5597-N5597)</f>
        <v/>
      </c>
      <c r="K5597" s="11">
        <f>O5597</f>
        <v/>
      </c>
      <c r="L5597" s="11">
        <f>L5596+IF(K5597&gt;0,K5597*Summary!$B$9,K5597/Summary!$B$9)</f>
        <v/>
      </c>
      <c r="M5597" s="11">
        <f>G5597+H5597</f>
        <v/>
      </c>
      <c r="N5597" s="11">
        <f>Summary!$C$16*Summary!$B$8</f>
        <v/>
      </c>
      <c r="O5597" s="11">
        <f>M5597-N5597</f>
        <v/>
      </c>
    </row>
    <row r="5598">
      <c r="A5598" s="9" t="n">
        <v>45525.16666666666</v>
      </c>
      <c r="B5598" t="n">
        <v>8</v>
      </c>
      <c r="C5598" t="n">
        <v>21</v>
      </c>
      <c r="D5598" t="n">
        <v>4</v>
      </c>
      <c r="E5598" s="10" t="n">
        <v>0</v>
      </c>
      <c r="F5598" s="10" t="n">
        <v>0.1947940307505674</v>
      </c>
      <c r="G5598" s="11">
        <f>E5598*Summary!$B$6</f>
        <v/>
      </c>
      <c r="H5598" s="11">
        <f>F5598*Summary!$B$7</f>
        <v/>
      </c>
      <c r="I5598" s="11">
        <f>MAX(0,N5598-M5598)</f>
        <v/>
      </c>
      <c r="J5598" s="11">
        <f>MAX(0,M5598-N5598)</f>
        <v/>
      </c>
      <c r="K5598" s="11">
        <f>O5598</f>
        <v/>
      </c>
      <c r="L5598" s="11">
        <f>L5597+IF(K5598&gt;0,K5598*Summary!$B$9,K5598/Summary!$B$9)</f>
        <v/>
      </c>
      <c r="M5598" s="11">
        <f>G5598+H5598</f>
        <v/>
      </c>
      <c r="N5598" s="11">
        <f>Summary!$C$16*Summary!$B$8</f>
        <v/>
      </c>
      <c r="O5598" s="11">
        <f>M5598-N5598</f>
        <v/>
      </c>
    </row>
    <row r="5599">
      <c r="A5599" s="9" t="n">
        <v>45525.20833333334</v>
      </c>
      <c r="B5599" t="n">
        <v>8</v>
      </c>
      <c r="C5599" t="n">
        <v>21</v>
      </c>
      <c r="D5599" t="n">
        <v>5</v>
      </c>
      <c r="E5599" s="10" t="n">
        <v>0.007116</v>
      </c>
      <c r="F5599" s="10" t="n">
        <v>0.1811173394681615</v>
      </c>
      <c r="G5599" s="11">
        <f>E5599*Summary!$B$6</f>
        <v/>
      </c>
      <c r="H5599" s="11">
        <f>F5599*Summary!$B$7</f>
        <v/>
      </c>
      <c r="I5599" s="11">
        <f>MAX(0,N5599-M5599)</f>
        <v/>
      </c>
      <c r="J5599" s="11">
        <f>MAX(0,M5599-N5599)</f>
        <v/>
      </c>
      <c r="K5599" s="11">
        <f>O5599</f>
        <v/>
      </c>
      <c r="L5599" s="11">
        <f>L5598+IF(K5599&gt;0,K5599*Summary!$B$9,K5599/Summary!$B$9)</f>
        <v/>
      </c>
      <c r="M5599" s="11">
        <f>G5599+H5599</f>
        <v/>
      </c>
      <c r="N5599" s="11">
        <f>Summary!$C$16*Summary!$B$8</f>
        <v/>
      </c>
      <c r="O5599" s="11">
        <f>M5599-N5599</f>
        <v/>
      </c>
    </row>
    <row r="5600">
      <c r="A5600" s="9" t="n">
        <v>45525.25</v>
      </c>
      <c r="B5600" t="n">
        <v>8</v>
      </c>
      <c r="C5600" t="n">
        <v>21</v>
      </c>
      <c r="D5600" t="n">
        <v>6</v>
      </c>
      <c r="E5600" s="10" t="n">
        <v>0.042051</v>
      </c>
      <c r="F5600" s="10" t="n">
        <v>0.1565309175674202</v>
      </c>
      <c r="G5600" s="11">
        <f>E5600*Summary!$B$6</f>
        <v/>
      </c>
      <c r="H5600" s="11">
        <f>F5600*Summary!$B$7</f>
        <v/>
      </c>
      <c r="I5600" s="11">
        <f>MAX(0,N5600-M5600)</f>
        <v/>
      </c>
      <c r="J5600" s="11">
        <f>MAX(0,M5600-N5600)</f>
        <v/>
      </c>
      <c r="K5600" s="11">
        <f>O5600</f>
        <v/>
      </c>
      <c r="L5600" s="11">
        <f>L5599+IF(K5600&gt;0,K5600*Summary!$B$9,K5600/Summary!$B$9)</f>
        <v/>
      </c>
      <c r="M5600" s="11">
        <f>G5600+H5600</f>
        <v/>
      </c>
      <c r="N5600" s="11">
        <f>Summary!$C$16*Summary!$B$8</f>
        <v/>
      </c>
      <c r="O5600" s="11">
        <f>M5600-N5600</f>
        <v/>
      </c>
    </row>
    <row r="5601">
      <c r="A5601" s="9" t="n">
        <v>45525.29166666666</v>
      </c>
      <c r="B5601" t="n">
        <v>8</v>
      </c>
      <c r="C5601" t="n">
        <v>21</v>
      </c>
      <c r="D5601" t="n">
        <v>7</v>
      </c>
      <c r="E5601" s="10" t="n">
        <v>0.154965</v>
      </c>
      <c r="F5601" s="10" t="n">
        <v>0.1364770407544898</v>
      </c>
      <c r="G5601" s="11">
        <f>E5601*Summary!$B$6</f>
        <v/>
      </c>
      <c r="H5601" s="11">
        <f>F5601*Summary!$B$7</f>
        <v/>
      </c>
      <c r="I5601" s="11">
        <f>MAX(0,N5601-M5601)</f>
        <v/>
      </c>
      <c r="J5601" s="11">
        <f>MAX(0,M5601-N5601)</f>
        <v/>
      </c>
      <c r="K5601" s="11">
        <f>O5601</f>
        <v/>
      </c>
      <c r="L5601" s="11">
        <f>L5600+IF(K5601&gt;0,K5601*Summary!$B$9,K5601/Summary!$B$9)</f>
        <v/>
      </c>
      <c r="M5601" s="11">
        <f>G5601+H5601</f>
        <v/>
      </c>
      <c r="N5601" s="11">
        <f>Summary!$C$16*Summary!$B$8</f>
        <v/>
      </c>
      <c r="O5601" s="11">
        <f>M5601-N5601</f>
        <v/>
      </c>
    </row>
    <row r="5602">
      <c r="A5602" s="9" t="n">
        <v>45525.33333333334</v>
      </c>
      <c r="B5602" t="n">
        <v>8</v>
      </c>
      <c r="C5602" t="n">
        <v>21</v>
      </c>
      <c r="D5602" t="n">
        <v>8</v>
      </c>
      <c r="E5602" s="10" t="n">
        <v>0.424744</v>
      </c>
      <c r="F5602" s="10" t="n">
        <v>0.1325769438184665</v>
      </c>
      <c r="G5602" s="11">
        <f>E5602*Summary!$B$6</f>
        <v/>
      </c>
      <c r="H5602" s="11">
        <f>F5602*Summary!$B$7</f>
        <v/>
      </c>
      <c r="I5602" s="11">
        <f>MAX(0,N5602-M5602)</f>
        <v/>
      </c>
      <c r="J5602" s="11">
        <f>MAX(0,M5602-N5602)</f>
        <v/>
      </c>
      <c r="K5602" s="11">
        <f>O5602</f>
        <v/>
      </c>
      <c r="L5602" s="11">
        <f>L5601+IF(K5602&gt;0,K5602*Summary!$B$9,K5602/Summary!$B$9)</f>
        <v/>
      </c>
      <c r="M5602" s="11">
        <f>G5602+H5602</f>
        <v/>
      </c>
      <c r="N5602" s="11">
        <f>Summary!$C$16*Summary!$B$8</f>
        <v/>
      </c>
      <c r="O5602" s="11">
        <f>M5602-N5602</f>
        <v/>
      </c>
    </row>
    <row r="5603">
      <c r="A5603" s="9" t="n">
        <v>45525.375</v>
      </c>
      <c r="B5603" t="n">
        <v>8</v>
      </c>
      <c r="C5603" t="n">
        <v>21</v>
      </c>
      <c r="D5603" t="n">
        <v>9</v>
      </c>
      <c r="E5603" s="10" t="n">
        <v>0.45544</v>
      </c>
      <c r="F5603" s="10" t="n">
        <v>0.1376892330454159</v>
      </c>
      <c r="G5603" s="11">
        <f>E5603*Summary!$B$6</f>
        <v/>
      </c>
      <c r="H5603" s="11">
        <f>F5603*Summary!$B$7</f>
        <v/>
      </c>
      <c r="I5603" s="11">
        <f>MAX(0,N5603-M5603)</f>
        <v/>
      </c>
      <c r="J5603" s="11">
        <f>MAX(0,M5603-N5603)</f>
        <v/>
      </c>
      <c r="K5603" s="11">
        <f>O5603</f>
        <v/>
      </c>
      <c r="L5603" s="11">
        <f>L5602+IF(K5603&gt;0,K5603*Summary!$B$9,K5603/Summary!$B$9)</f>
        <v/>
      </c>
      <c r="M5603" s="11">
        <f>G5603+H5603</f>
        <v/>
      </c>
      <c r="N5603" s="11">
        <f>Summary!$C$16*Summary!$B$8</f>
        <v/>
      </c>
      <c r="O5603" s="11">
        <f>M5603-N5603</f>
        <v/>
      </c>
    </row>
    <row r="5604">
      <c r="A5604" s="9" t="n">
        <v>45525.41666666666</v>
      </c>
      <c r="B5604" t="n">
        <v>8</v>
      </c>
      <c r="C5604" t="n">
        <v>21</v>
      </c>
      <c r="D5604" t="n">
        <v>10</v>
      </c>
      <c r="E5604" s="10" t="n">
        <v>0.475509</v>
      </c>
      <c r="F5604" s="10" t="n">
        <v>0.1559775254346061</v>
      </c>
      <c r="G5604" s="11">
        <f>E5604*Summary!$B$6</f>
        <v/>
      </c>
      <c r="H5604" s="11">
        <f>F5604*Summary!$B$7</f>
        <v/>
      </c>
      <c r="I5604" s="11">
        <f>MAX(0,N5604-M5604)</f>
        <v/>
      </c>
      <c r="J5604" s="11">
        <f>MAX(0,M5604-N5604)</f>
        <v/>
      </c>
      <c r="K5604" s="11">
        <f>O5604</f>
        <v/>
      </c>
      <c r="L5604" s="11">
        <f>L5603+IF(K5604&gt;0,K5604*Summary!$B$9,K5604/Summary!$B$9)</f>
        <v/>
      </c>
      <c r="M5604" s="11">
        <f>G5604+H5604</f>
        <v/>
      </c>
      <c r="N5604" s="11">
        <f>Summary!$C$16*Summary!$B$8</f>
        <v/>
      </c>
      <c r="O5604" s="11">
        <f>M5604-N5604</f>
        <v/>
      </c>
    </row>
    <row r="5605">
      <c r="A5605" s="9" t="n">
        <v>45525.45833333334</v>
      </c>
      <c r="B5605" t="n">
        <v>8</v>
      </c>
      <c r="C5605" t="n">
        <v>21</v>
      </c>
      <c r="D5605" t="n">
        <v>11</v>
      </c>
      <c r="E5605" s="10" t="n">
        <v>0.6814249999999999</v>
      </c>
      <c r="F5605" s="10" t="n">
        <v>0.153948420947621</v>
      </c>
      <c r="G5605" s="11">
        <f>E5605*Summary!$B$6</f>
        <v/>
      </c>
      <c r="H5605" s="11">
        <f>F5605*Summary!$B$7</f>
        <v/>
      </c>
      <c r="I5605" s="11">
        <f>MAX(0,N5605-M5605)</f>
        <v/>
      </c>
      <c r="J5605" s="11">
        <f>MAX(0,M5605-N5605)</f>
        <v/>
      </c>
      <c r="K5605" s="11">
        <f>O5605</f>
        <v/>
      </c>
      <c r="L5605" s="11">
        <f>L5604+IF(K5605&gt;0,K5605*Summary!$B$9,K5605/Summary!$B$9)</f>
        <v/>
      </c>
      <c r="M5605" s="11">
        <f>G5605+H5605</f>
        <v/>
      </c>
      <c r="N5605" s="11">
        <f>Summary!$C$16*Summary!$B$8</f>
        <v/>
      </c>
      <c r="O5605" s="11">
        <f>M5605-N5605</f>
        <v/>
      </c>
    </row>
    <row r="5606">
      <c r="A5606" s="9" t="n">
        <v>45525.5</v>
      </c>
      <c r="B5606" t="n">
        <v>8</v>
      </c>
      <c r="C5606" t="n">
        <v>21</v>
      </c>
      <c r="D5606" t="n">
        <v>12</v>
      </c>
      <c r="E5606" s="10" t="n">
        <v>0.497272</v>
      </c>
      <c r="F5606" s="10" t="n">
        <v>0.1763739783297548</v>
      </c>
      <c r="G5606" s="11">
        <f>E5606*Summary!$B$6</f>
        <v/>
      </c>
      <c r="H5606" s="11">
        <f>F5606*Summary!$B$7</f>
        <v/>
      </c>
      <c r="I5606" s="11">
        <f>MAX(0,N5606-M5606)</f>
        <v/>
      </c>
      <c r="J5606" s="11">
        <f>MAX(0,M5606-N5606)</f>
        <v/>
      </c>
      <c r="K5606" s="11">
        <f>O5606</f>
        <v/>
      </c>
      <c r="L5606" s="11">
        <f>L5605+IF(K5606&gt;0,K5606*Summary!$B$9,K5606/Summary!$B$9)</f>
        <v/>
      </c>
      <c r="M5606" s="11">
        <f>G5606+H5606</f>
        <v/>
      </c>
      <c r="N5606" s="11">
        <f>Summary!$C$16*Summary!$B$8</f>
        <v/>
      </c>
      <c r="O5606" s="11">
        <f>M5606-N5606</f>
        <v/>
      </c>
    </row>
    <row r="5607">
      <c r="A5607" s="9" t="n">
        <v>45525.54166666666</v>
      </c>
      <c r="B5607" t="n">
        <v>8</v>
      </c>
      <c r="C5607" t="n">
        <v>21</v>
      </c>
      <c r="D5607" t="n">
        <v>13</v>
      </c>
      <c r="E5607" s="10" t="n">
        <v>0.373827</v>
      </c>
      <c r="F5607" s="10" t="n">
        <v>0.175293546070451</v>
      </c>
      <c r="G5607" s="11">
        <f>E5607*Summary!$B$6</f>
        <v/>
      </c>
      <c r="H5607" s="11">
        <f>F5607*Summary!$B$7</f>
        <v/>
      </c>
      <c r="I5607" s="11">
        <f>MAX(0,N5607-M5607)</f>
        <v/>
      </c>
      <c r="J5607" s="11">
        <f>MAX(0,M5607-N5607)</f>
        <v/>
      </c>
      <c r="K5607" s="11">
        <f>O5607</f>
        <v/>
      </c>
      <c r="L5607" s="11">
        <f>L5606+IF(K5607&gt;0,K5607*Summary!$B$9,K5607/Summary!$B$9)</f>
        <v/>
      </c>
      <c r="M5607" s="11">
        <f>G5607+H5607</f>
        <v/>
      </c>
      <c r="N5607" s="11">
        <f>Summary!$C$16*Summary!$B$8</f>
        <v/>
      </c>
      <c r="O5607" s="11">
        <f>M5607-N5607</f>
        <v/>
      </c>
    </row>
    <row r="5608">
      <c r="A5608" s="9" t="n">
        <v>45525.58333333334</v>
      </c>
      <c r="B5608" t="n">
        <v>8</v>
      </c>
      <c r="C5608" t="n">
        <v>21</v>
      </c>
      <c r="D5608" t="n">
        <v>14</v>
      </c>
      <c r="E5608" s="10" t="n">
        <v>0.340892</v>
      </c>
      <c r="F5608" s="10" t="n">
        <v>0.186018812644515</v>
      </c>
      <c r="G5608" s="11">
        <f>E5608*Summary!$B$6</f>
        <v/>
      </c>
      <c r="H5608" s="11">
        <f>F5608*Summary!$B$7</f>
        <v/>
      </c>
      <c r="I5608" s="11">
        <f>MAX(0,N5608-M5608)</f>
        <v/>
      </c>
      <c r="J5608" s="11">
        <f>MAX(0,M5608-N5608)</f>
        <v/>
      </c>
      <c r="K5608" s="11">
        <f>O5608</f>
        <v/>
      </c>
      <c r="L5608" s="11">
        <f>L5607+IF(K5608&gt;0,K5608*Summary!$B$9,K5608/Summary!$B$9)</f>
        <v/>
      </c>
      <c r="M5608" s="11">
        <f>G5608+H5608</f>
        <v/>
      </c>
      <c r="N5608" s="11">
        <f>Summary!$C$16*Summary!$B$8</f>
        <v/>
      </c>
      <c r="O5608" s="11">
        <f>M5608-N5608</f>
        <v/>
      </c>
    </row>
    <row r="5609">
      <c r="A5609" s="9" t="n">
        <v>45525.625</v>
      </c>
      <c r="B5609" t="n">
        <v>8</v>
      </c>
      <c r="C5609" t="n">
        <v>21</v>
      </c>
      <c r="D5609" t="n">
        <v>15</v>
      </c>
      <c r="E5609" s="10" t="n">
        <v>0.254964</v>
      </c>
      <c r="F5609" s="10" t="n">
        <v>0.1929757423141782</v>
      </c>
      <c r="G5609" s="11">
        <f>E5609*Summary!$B$6</f>
        <v/>
      </c>
      <c r="H5609" s="11">
        <f>F5609*Summary!$B$7</f>
        <v/>
      </c>
      <c r="I5609" s="11">
        <f>MAX(0,N5609-M5609)</f>
        <v/>
      </c>
      <c r="J5609" s="11">
        <f>MAX(0,M5609-N5609)</f>
        <v/>
      </c>
      <c r="K5609" s="11">
        <f>O5609</f>
        <v/>
      </c>
      <c r="L5609" s="11">
        <f>L5608+IF(K5609&gt;0,K5609*Summary!$B$9,K5609/Summary!$B$9)</f>
        <v/>
      </c>
      <c r="M5609" s="11">
        <f>G5609+H5609</f>
        <v/>
      </c>
      <c r="N5609" s="11">
        <f>Summary!$C$16*Summary!$B$8</f>
        <v/>
      </c>
      <c r="O5609" s="11">
        <f>M5609-N5609</f>
        <v/>
      </c>
    </row>
    <row r="5610">
      <c r="A5610" s="9" t="n">
        <v>45525.66666666666</v>
      </c>
      <c r="B5610" t="n">
        <v>8</v>
      </c>
      <c r="C5610" t="n">
        <v>21</v>
      </c>
      <c r="D5610" t="n">
        <v>16</v>
      </c>
      <c r="E5610" s="10" t="n">
        <v>0.161322</v>
      </c>
      <c r="F5610" s="10" t="n">
        <v>0.1932656143837475</v>
      </c>
      <c r="G5610" s="11">
        <f>E5610*Summary!$B$6</f>
        <v/>
      </c>
      <c r="H5610" s="11">
        <f>F5610*Summary!$B$7</f>
        <v/>
      </c>
      <c r="I5610" s="11">
        <f>MAX(0,N5610-M5610)</f>
        <v/>
      </c>
      <c r="J5610" s="11">
        <f>MAX(0,M5610-N5610)</f>
        <v/>
      </c>
      <c r="K5610" s="11">
        <f>O5610</f>
        <v/>
      </c>
      <c r="L5610" s="11">
        <f>L5609+IF(K5610&gt;0,K5610*Summary!$B$9,K5610/Summary!$B$9)</f>
        <v/>
      </c>
      <c r="M5610" s="11">
        <f>G5610+H5610</f>
        <v/>
      </c>
      <c r="N5610" s="11">
        <f>Summary!$C$16*Summary!$B$8</f>
        <v/>
      </c>
      <c r="O5610" s="11">
        <f>M5610-N5610</f>
        <v/>
      </c>
    </row>
    <row r="5611">
      <c r="A5611" s="9" t="n">
        <v>45525.70833333334</v>
      </c>
      <c r="B5611" t="n">
        <v>8</v>
      </c>
      <c r="C5611" t="n">
        <v>21</v>
      </c>
      <c r="D5611" t="n">
        <v>17</v>
      </c>
      <c r="E5611" s="10" t="n">
        <v>0.06522</v>
      </c>
      <c r="F5611" s="10" t="n">
        <v>0.1918426060422254</v>
      </c>
      <c r="G5611" s="11">
        <f>E5611*Summary!$B$6</f>
        <v/>
      </c>
      <c r="H5611" s="11">
        <f>F5611*Summary!$B$7</f>
        <v/>
      </c>
      <c r="I5611" s="11">
        <f>MAX(0,N5611-M5611)</f>
        <v/>
      </c>
      <c r="J5611" s="11">
        <f>MAX(0,M5611-N5611)</f>
        <v/>
      </c>
      <c r="K5611" s="11">
        <f>O5611</f>
        <v/>
      </c>
      <c r="L5611" s="11">
        <f>L5610+IF(K5611&gt;0,K5611*Summary!$B$9,K5611/Summary!$B$9)</f>
        <v/>
      </c>
      <c r="M5611" s="11">
        <f>G5611+H5611</f>
        <v/>
      </c>
      <c r="N5611" s="11">
        <f>Summary!$C$16*Summary!$B$8</f>
        <v/>
      </c>
      <c r="O5611" s="11">
        <f>M5611-N5611</f>
        <v/>
      </c>
    </row>
    <row r="5612">
      <c r="A5612" s="9" t="n">
        <v>45525.75</v>
      </c>
      <c r="B5612" t="n">
        <v>8</v>
      </c>
      <c r="C5612" t="n">
        <v>21</v>
      </c>
      <c r="D5612" t="n">
        <v>18</v>
      </c>
      <c r="E5612" s="10" t="n">
        <v>0.022402</v>
      </c>
      <c r="F5612" s="10" t="n">
        <v>0.1942406386177533</v>
      </c>
      <c r="G5612" s="11">
        <f>E5612*Summary!$B$6</f>
        <v/>
      </c>
      <c r="H5612" s="11">
        <f>F5612*Summary!$B$7</f>
        <v/>
      </c>
      <c r="I5612" s="11">
        <f>MAX(0,N5612-M5612)</f>
        <v/>
      </c>
      <c r="J5612" s="11">
        <f>MAX(0,M5612-N5612)</f>
        <v/>
      </c>
      <c r="K5612" s="11">
        <f>O5612</f>
        <v/>
      </c>
      <c r="L5612" s="11">
        <f>L5611+IF(K5612&gt;0,K5612*Summary!$B$9,K5612/Summary!$B$9)</f>
        <v/>
      </c>
      <c r="M5612" s="11">
        <f>G5612+H5612</f>
        <v/>
      </c>
      <c r="N5612" s="11">
        <f>Summary!$C$16*Summary!$B$8</f>
        <v/>
      </c>
      <c r="O5612" s="11">
        <f>M5612-N5612</f>
        <v/>
      </c>
    </row>
    <row r="5613">
      <c r="A5613" s="9" t="n">
        <v>45525.79166666666</v>
      </c>
      <c r="B5613" t="n">
        <v>8</v>
      </c>
      <c r="C5613" t="n">
        <v>21</v>
      </c>
      <c r="D5613" t="n">
        <v>19</v>
      </c>
      <c r="E5613" s="10" t="n">
        <v>0</v>
      </c>
      <c r="F5613" s="10" t="n">
        <v>0.2150060196014447</v>
      </c>
      <c r="G5613" s="11">
        <f>E5613*Summary!$B$6</f>
        <v/>
      </c>
      <c r="H5613" s="11">
        <f>F5613*Summary!$B$7</f>
        <v/>
      </c>
      <c r="I5613" s="11">
        <f>MAX(0,N5613-M5613)</f>
        <v/>
      </c>
      <c r="J5613" s="11">
        <f>MAX(0,M5613-N5613)</f>
        <v/>
      </c>
      <c r="K5613" s="11">
        <f>O5613</f>
        <v/>
      </c>
      <c r="L5613" s="11">
        <f>L5612+IF(K5613&gt;0,K5613*Summary!$B$9,K5613/Summary!$B$9)</f>
        <v/>
      </c>
      <c r="M5613" s="11">
        <f>G5613+H5613</f>
        <v/>
      </c>
      <c r="N5613" s="11">
        <f>Summary!$C$16*Summary!$B$8</f>
        <v/>
      </c>
      <c r="O5613" s="11">
        <f>M5613-N5613</f>
        <v/>
      </c>
    </row>
    <row r="5614">
      <c r="A5614" s="9" t="n">
        <v>45525.83333333334</v>
      </c>
      <c r="B5614" t="n">
        <v>8</v>
      </c>
      <c r="C5614" t="n">
        <v>21</v>
      </c>
      <c r="D5614" t="n">
        <v>20</v>
      </c>
      <c r="E5614" s="10" t="n">
        <v>0</v>
      </c>
      <c r="F5614" s="10" t="n">
        <v>0.2125025790006189</v>
      </c>
      <c r="G5614" s="11">
        <f>E5614*Summary!$B$6</f>
        <v/>
      </c>
      <c r="H5614" s="11">
        <f>F5614*Summary!$B$7</f>
        <v/>
      </c>
      <c r="I5614" s="11">
        <f>MAX(0,N5614-M5614)</f>
        <v/>
      </c>
      <c r="J5614" s="11">
        <f>MAX(0,M5614-N5614)</f>
        <v/>
      </c>
      <c r="K5614" s="11">
        <f>O5614</f>
        <v/>
      </c>
      <c r="L5614" s="11">
        <f>L5613+IF(K5614&gt;0,K5614*Summary!$B$9,K5614/Summary!$B$9)</f>
        <v/>
      </c>
      <c r="M5614" s="11">
        <f>G5614+H5614</f>
        <v/>
      </c>
      <c r="N5614" s="11">
        <f>Summary!$C$16*Summary!$B$8</f>
        <v/>
      </c>
      <c r="O5614" s="11">
        <f>M5614-N5614</f>
        <v/>
      </c>
    </row>
    <row r="5615">
      <c r="A5615" s="9" t="n">
        <v>45525.875</v>
      </c>
      <c r="B5615" t="n">
        <v>8</v>
      </c>
      <c r="C5615" t="n">
        <v>21</v>
      </c>
      <c r="D5615" t="n">
        <v>21</v>
      </c>
      <c r="E5615" s="10" t="n">
        <v>0</v>
      </c>
      <c r="F5615" s="10" t="n">
        <v>0.2267853664284879</v>
      </c>
      <c r="G5615" s="11">
        <f>E5615*Summary!$B$6</f>
        <v/>
      </c>
      <c r="H5615" s="11">
        <f>F5615*Summary!$B$7</f>
        <v/>
      </c>
      <c r="I5615" s="11">
        <f>MAX(0,N5615-M5615)</f>
        <v/>
      </c>
      <c r="J5615" s="11">
        <f>MAX(0,M5615-N5615)</f>
        <v/>
      </c>
      <c r="K5615" s="11">
        <f>O5615</f>
        <v/>
      </c>
      <c r="L5615" s="11">
        <f>L5614+IF(K5615&gt;0,K5615*Summary!$B$9,K5615/Summary!$B$9)</f>
        <v/>
      </c>
      <c r="M5615" s="11">
        <f>G5615+H5615</f>
        <v/>
      </c>
      <c r="N5615" s="11">
        <f>Summary!$C$16*Summary!$B$8</f>
        <v/>
      </c>
      <c r="O5615" s="11">
        <f>M5615-N5615</f>
        <v/>
      </c>
    </row>
    <row r="5616">
      <c r="A5616" s="9" t="n">
        <v>45525.91666666666</v>
      </c>
      <c r="B5616" t="n">
        <v>8</v>
      </c>
      <c r="C5616" t="n">
        <v>21</v>
      </c>
      <c r="D5616" t="n">
        <v>22</v>
      </c>
      <c r="E5616" s="10" t="n">
        <v>0</v>
      </c>
      <c r="F5616" s="10" t="n">
        <v>0.2350598964143751</v>
      </c>
      <c r="G5616" s="11">
        <f>E5616*Summary!$B$6</f>
        <v/>
      </c>
      <c r="H5616" s="11">
        <f>F5616*Summary!$B$7</f>
        <v/>
      </c>
      <c r="I5616" s="11">
        <f>MAX(0,N5616-M5616)</f>
        <v/>
      </c>
      <c r="J5616" s="11">
        <f>MAX(0,M5616-N5616)</f>
        <v/>
      </c>
      <c r="K5616" s="11">
        <f>O5616</f>
        <v/>
      </c>
      <c r="L5616" s="11">
        <f>L5615+IF(K5616&gt;0,K5616*Summary!$B$9,K5616/Summary!$B$9)</f>
        <v/>
      </c>
      <c r="M5616" s="11">
        <f>G5616+H5616</f>
        <v/>
      </c>
      <c r="N5616" s="11">
        <f>Summary!$C$16*Summary!$B$8</f>
        <v/>
      </c>
      <c r="O5616" s="11">
        <f>M5616-N5616</f>
        <v/>
      </c>
    </row>
    <row r="5617">
      <c r="A5617" s="9" t="n">
        <v>45525.95833333334</v>
      </c>
      <c r="B5617" t="n">
        <v>8</v>
      </c>
      <c r="C5617" t="n">
        <v>21</v>
      </c>
      <c r="D5617" t="n">
        <v>23</v>
      </c>
      <c r="E5617" s="10" t="n">
        <v>0</v>
      </c>
      <c r="F5617" s="10" t="n">
        <v>0.2360085686420565</v>
      </c>
      <c r="G5617" s="11">
        <f>E5617*Summary!$B$6</f>
        <v/>
      </c>
      <c r="H5617" s="11">
        <f>F5617*Summary!$B$7</f>
        <v/>
      </c>
      <c r="I5617" s="11">
        <f>MAX(0,N5617-M5617)</f>
        <v/>
      </c>
      <c r="J5617" s="11">
        <f>MAX(0,M5617-N5617)</f>
        <v/>
      </c>
      <c r="K5617" s="11">
        <f>O5617</f>
        <v/>
      </c>
      <c r="L5617" s="11">
        <f>L5616+IF(K5617&gt;0,K5617*Summary!$B$9,K5617/Summary!$B$9)</f>
        <v/>
      </c>
      <c r="M5617" s="11">
        <f>G5617+H5617</f>
        <v/>
      </c>
      <c r="N5617" s="11">
        <f>Summary!$C$16*Summary!$B$8</f>
        <v/>
      </c>
      <c r="O5617" s="11">
        <f>M5617-N5617</f>
        <v/>
      </c>
    </row>
    <row r="5618">
      <c r="A5618" s="9" t="n">
        <v>45526</v>
      </c>
      <c r="B5618" t="n">
        <v>8</v>
      </c>
      <c r="C5618" t="n">
        <v>22</v>
      </c>
      <c r="D5618" t="n">
        <v>0</v>
      </c>
      <c r="E5618" s="10" t="n">
        <v>0</v>
      </c>
      <c r="F5618" s="10" t="n">
        <v>0.3046028411046818</v>
      </c>
      <c r="G5618" s="11">
        <f>E5618*Summary!$B$6</f>
        <v/>
      </c>
      <c r="H5618" s="11">
        <f>F5618*Summary!$B$7</f>
        <v/>
      </c>
      <c r="I5618" s="11">
        <f>MAX(0,N5618-M5618)</f>
        <v/>
      </c>
      <c r="J5618" s="11">
        <f>MAX(0,M5618-N5618)</f>
        <v/>
      </c>
      <c r="K5618" s="11">
        <f>O5618</f>
        <v/>
      </c>
      <c r="L5618" s="11">
        <f>L5617+IF(K5618&gt;0,K5618*Summary!$B$9,K5618/Summary!$B$9)</f>
        <v/>
      </c>
      <c r="M5618" s="11">
        <f>G5618+H5618</f>
        <v/>
      </c>
      <c r="N5618" s="11">
        <f>Summary!$C$16*Summary!$B$8</f>
        <v/>
      </c>
      <c r="O5618" s="11">
        <f>M5618-N5618</f>
        <v/>
      </c>
    </row>
    <row r="5619">
      <c r="A5619" s="9" t="n">
        <v>45526.04166666666</v>
      </c>
      <c r="B5619" t="n">
        <v>8</v>
      </c>
      <c r="C5619" t="n">
        <v>22</v>
      </c>
      <c r="D5619" t="n">
        <v>1</v>
      </c>
      <c r="E5619" s="10" t="n">
        <v>0</v>
      </c>
      <c r="F5619" s="10" t="n">
        <v>0.2348490803637793</v>
      </c>
      <c r="G5619" s="11">
        <f>E5619*Summary!$B$6</f>
        <v/>
      </c>
      <c r="H5619" s="11">
        <f>F5619*Summary!$B$7</f>
        <v/>
      </c>
      <c r="I5619" s="11">
        <f>MAX(0,N5619-M5619)</f>
        <v/>
      </c>
      <c r="J5619" s="11">
        <f>MAX(0,M5619-N5619)</f>
        <v/>
      </c>
      <c r="K5619" s="11">
        <f>O5619</f>
        <v/>
      </c>
      <c r="L5619" s="11">
        <f>L5618+IF(K5619&gt;0,K5619*Summary!$B$9,K5619/Summary!$B$9)</f>
        <v/>
      </c>
      <c r="M5619" s="11">
        <f>G5619+H5619</f>
        <v/>
      </c>
      <c r="N5619" s="11">
        <f>Summary!$C$16*Summary!$B$8</f>
        <v/>
      </c>
      <c r="O5619" s="11">
        <f>M5619-N5619</f>
        <v/>
      </c>
    </row>
    <row r="5620">
      <c r="A5620" s="9" t="n">
        <v>45526.08333333334</v>
      </c>
      <c r="B5620" t="n">
        <v>8</v>
      </c>
      <c r="C5620" t="n">
        <v>22</v>
      </c>
      <c r="D5620" t="n">
        <v>2</v>
      </c>
      <c r="E5620" s="10" t="n">
        <v>0</v>
      </c>
      <c r="F5620" s="10" t="n">
        <v>0.2309753354340805</v>
      </c>
      <c r="G5620" s="11">
        <f>E5620*Summary!$B$6</f>
        <v/>
      </c>
      <c r="H5620" s="11">
        <f>F5620*Summary!$B$7</f>
        <v/>
      </c>
      <c r="I5620" s="11">
        <f>MAX(0,N5620-M5620)</f>
        <v/>
      </c>
      <c r="J5620" s="11">
        <f>MAX(0,M5620-N5620)</f>
        <v/>
      </c>
      <c r="K5620" s="11">
        <f>O5620</f>
        <v/>
      </c>
      <c r="L5620" s="11">
        <f>L5619+IF(K5620&gt;0,K5620*Summary!$B$9,K5620/Summary!$B$9)</f>
        <v/>
      </c>
      <c r="M5620" s="11">
        <f>G5620+H5620</f>
        <v/>
      </c>
      <c r="N5620" s="11">
        <f>Summary!$C$16*Summary!$B$8</f>
        <v/>
      </c>
      <c r="O5620" s="11">
        <f>M5620-N5620</f>
        <v/>
      </c>
    </row>
    <row r="5621">
      <c r="A5621" s="9" t="n">
        <v>45526.125</v>
      </c>
      <c r="B5621" t="n">
        <v>8</v>
      </c>
      <c r="C5621" t="n">
        <v>22</v>
      </c>
      <c r="D5621" t="n">
        <v>3</v>
      </c>
      <c r="E5621" s="10" t="n">
        <v>0</v>
      </c>
      <c r="F5621" s="10" t="n">
        <v>0.2247299099351784</v>
      </c>
      <c r="G5621" s="11">
        <f>E5621*Summary!$B$6</f>
        <v/>
      </c>
      <c r="H5621" s="11">
        <f>F5621*Summary!$B$7</f>
        <v/>
      </c>
      <c r="I5621" s="11">
        <f>MAX(0,N5621-M5621)</f>
        <v/>
      </c>
      <c r="J5621" s="11">
        <f>MAX(0,M5621-N5621)</f>
        <v/>
      </c>
      <c r="K5621" s="11">
        <f>O5621</f>
        <v/>
      </c>
      <c r="L5621" s="11">
        <f>L5620+IF(K5621&gt;0,K5621*Summary!$B$9,K5621/Summary!$B$9)</f>
        <v/>
      </c>
      <c r="M5621" s="11">
        <f>G5621+H5621</f>
        <v/>
      </c>
      <c r="N5621" s="11">
        <f>Summary!$C$16*Summary!$B$8</f>
        <v/>
      </c>
      <c r="O5621" s="11">
        <f>M5621-N5621</f>
        <v/>
      </c>
    </row>
    <row r="5622">
      <c r="A5622" s="9" t="n">
        <v>45526.16666666666</v>
      </c>
      <c r="B5622" t="n">
        <v>8</v>
      </c>
      <c r="C5622" t="n">
        <v>22</v>
      </c>
      <c r="D5622" t="n">
        <v>4</v>
      </c>
      <c r="E5622" s="10" t="n">
        <v>0</v>
      </c>
      <c r="F5622" s="10" t="n">
        <v>0.1955318869276529</v>
      </c>
      <c r="G5622" s="11">
        <f>E5622*Summary!$B$6</f>
        <v/>
      </c>
      <c r="H5622" s="11">
        <f>F5622*Summary!$B$7</f>
        <v/>
      </c>
      <c r="I5622" s="11">
        <f>MAX(0,N5622-M5622)</f>
        <v/>
      </c>
      <c r="J5622" s="11">
        <f>MAX(0,M5622-N5622)</f>
        <v/>
      </c>
      <c r="K5622" s="11">
        <f>O5622</f>
        <v/>
      </c>
      <c r="L5622" s="11">
        <f>L5621+IF(K5622&gt;0,K5622*Summary!$B$9,K5622/Summary!$B$9)</f>
        <v/>
      </c>
      <c r="M5622" s="11">
        <f>G5622+H5622</f>
        <v/>
      </c>
      <c r="N5622" s="11">
        <f>Summary!$C$16*Summary!$B$8</f>
        <v/>
      </c>
      <c r="O5622" s="11">
        <f>M5622-N5622</f>
        <v/>
      </c>
    </row>
    <row r="5623">
      <c r="A5623" s="9" t="n">
        <v>45526.20833333334</v>
      </c>
      <c r="B5623" t="n">
        <v>8</v>
      </c>
      <c r="C5623" t="n">
        <v>22</v>
      </c>
      <c r="D5623" t="n">
        <v>5</v>
      </c>
      <c r="E5623" s="10" t="n">
        <v>0</v>
      </c>
      <c r="F5623" s="10" t="n">
        <v>0.2019090724581774</v>
      </c>
      <c r="G5623" s="11">
        <f>E5623*Summary!$B$6</f>
        <v/>
      </c>
      <c r="H5623" s="11">
        <f>F5623*Summary!$B$7</f>
        <v/>
      </c>
      <c r="I5623" s="11">
        <f>MAX(0,N5623-M5623)</f>
        <v/>
      </c>
      <c r="J5623" s="11">
        <f>MAX(0,M5623-N5623)</f>
        <v/>
      </c>
      <c r="K5623" s="11">
        <f>O5623</f>
        <v/>
      </c>
      <c r="L5623" s="11">
        <f>L5622+IF(K5623&gt;0,K5623*Summary!$B$9,K5623/Summary!$B$9)</f>
        <v/>
      </c>
      <c r="M5623" s="11">
        <f>G5623+H5623</f>
        <v/>
      </c>
      <c r="N5623" s="11">
        <f>Summary!$C$16*Summary!$B$8</f>
        <v/>
      </c>
      <c r="O5623" s="11">
        <f>M5623-N5623</f>
        <v/>
      </c>
    </row>
    <row r="5624">
      <c r="A5624" s="9" t="n">
        <v>45526.25</v>
      </c>
      <c r="B5624" t="n">
        <v>8</v>
      </c>
      <c r="C5624" t="n">
        <v>22</v>
      </c>
      <c r="D5624" t="n">
        <v>6</v>
      </c>
      <c r="E5624" s="10" t="n">
        <v>0.009736</v>
      </c>
      <c r="F5624" s="10" t="n">
        <v>0.1853863644927275</v>
      </c>
      <c r="G5624" s="11">
        <f>E5624*Summary!$B$6</f>
        <v/>
      </c>
      <c r="H5624" s="11">
        <f>F5624*Summary!$B$7</f>
        <v/>
      </c>
      <c r="I5624" s="11">
        <f>MAX(0,N5624-M5624)</f>
        <v/>
      </c>
      <c r="J5624" s="11">
        <f>MAX(0,M5624-N5624)</f>
        <v/>
      </c>
      <c r="K5624" s="11">
        <f>O5624</f>
        <v/>
      </c>
      <c r="L5624" s="11">
        <f>L5623+IF(K5624&gt;0,K5624*Summary!$B$9,K5624/Summary!$B$9)</f>
        <v/>
      </c>
      <c r="M5624" s="11">
        <f>G5624+H5624</f>
        <v/>
      </c>
      <c r="N5624" s="11">
        <f>Summary!$C$16*Summary!$B$8</f>
        <v/>
      </c>
      <c r="O5624" s="11">
        <f>M5624-N5624</f>
        <v/>
      </c>
    </row>
    <row r="5625">
      <c r="A5625" s="9" t="n">
        <v>45526.29166666666</v>
      </c>
      <c r="B5625" t="n">
        <v>8</v>
      </c>
      <c r="C5625" t="n">
        <v>22</v>
      </c>
      <c r="D5625" t="n">
        <v>7</v>
      </c>
      <c r="E5625" s="10" t="n">
        <v>0.064595</v>
      </c>
      <c r="F5625" s="10" t="n">
        <v>0.1736070176656842</v>
      </c>
      <c r="G5625" s="11">
        <f>E5625*Summary!$B$6</f>
        <v/>
      </c>
      <c r="H5625" s="11">
        <f>F5625*Summary!$B$7</f>
        <v/>
      </c>
      <c r="I5625" s="11">
        <f>MAX(0,N5625-M5625)</f>
        <v/>
      </c>
      <c r="J5625" s="11">
        <f>MAX(0,M5625-N5625)</f>
        <v/>
      </c>
      <c r="K5625" s="11">
        <f>O5625</f>
        <v/>
      </c>
      <c r="L5625" s="11">
        <f>L5624+IF(K5625&gt;0,K5625*Summary!$B$9,K5625/Summary!$B$9)</f>
        <v/>
      </c>
      <c r="M5625" s="11">
        <f>G5625+H5625</f>
        <v/>
      </c>
      <c r="N5625" s="11">
        <f>Summary!$C$16*Summary!$B$8</f>
        <v/>
      </c>
      <c r="O5625" s="11">
        <f>M5625-N5625</f>
        <v/>
      </c>
    </row>
    <row r="5626">
      <c r="A5626" s="9" t="n">
        <v>45526.33333333334</v>
      </c>
      <c r="B5626" t="n">
        <v>8</v>
      </c>
      <c r="C5626" t="n">
        <v>22</v>
      </c>
      <c r="D5626" t="n">
        <v>8</v>
      </c>
      <c r="E5626" s="10" t="n">
        <v>0.127703</v>
      </c>
      <c r="F5626" s="10" t="n">
        <v>0.1769273704625689</v>
      </c>
      <c r="G5626" s="11">
        <f>E5626*Summary!$B$6</f>
        <v/>
      </c>
      <c r="H5626" s="11">
        <f>F5626*Summary!$B$7</f>
        <v/>
      </c>
      <c r="I5626" s="11">
        <f>MAX(0,N5626-M5626)</f>
        <v/>
      </c>
      <c r="J5626" s="11">
        <f>MAX(0,M5626-N5626)</f>
        <v/>
      </c>
      <c r="K5626" s="11">
        <f>O5626</f>
        <v/>
      </c>
      <c r="L5626" s="11">
        <f>L5625+IF(K5626&gt;0,K5626*Summary!$B$9,K5626/Summary!$B$9)</f>
        <v/>
      </c>
      <c r="M5626" s="11">
        <f>G5626+H5626</f>
        <v/>
      </c>
      <c r="N5626" s="11">
        <f>Summary!$C$16*Summary!$B$8</f>
        <v/>
      </c>
      <c r="O5626" s="11">
        <f>M5626-N5626</f>
        <v/>
      </c>
    </row>
    <row r="5627">
      <c r="A5627" s="9" t="n">
        <v>45526.375</v>
      </c>
      <c r="B5627" t="n">
        <v>8</v>
      </c>
      <c r="C5627" t="n">
        <v>22</v>
      </c>
      <c r="D5627" t="n">
        <v>9</v>
      </c>
      <c r="E5627" s="10" t="n">
        <v>0.08368</v>
      </c>
      <c r="F5627" s="10" t="n">
        <v>0.1871255969101432</v>
      </c>
      <c r="G5627" s="11">
        <f>E5627*Summary!$B$6</f>
        <v/>
      </c>
      <c r="H5627" s="11">
        <f>F5627*Summary!$B$7</f>
        <v/>
      </c>
      <c r="I5627" s="11">
        <f>MAX(0,N5627-M5627)</f>
        <v/>
      </c>
      <c r="J5627" s="11">
        <f>MAX(0,M5627-N5627)</f>
        <v/>
      </c>
      <c r="K5627" s="11">
        <f>O5627</f>
        <v/>
      </c>
      <c r="L5627" s="11">
        <f>L5626+IF(K5627&gt;0,K5627*Summary!$B$9,K5627/Summary!$B$9)</f>
        <v/>
      </c>
      <c r="M5627" s="11">
        <f>G5627+H5627</f>
        <v/>
      </c>
      <c r="N5627" s="11">
        <f>Summary!$C$16*Summary!$B$8</f>
        <v/>
      </c>
      <c r="O5627" s="11">
        <f>M5627-N5627</f>
        <v/>
      </c>
    </row>
    <row r="5628">
      <c r="A5628" s="9" t="n">
        <v>45526.41666666666</v>
      </c>
      <c r="B5628" t="n">
        <v>8</v>
      </c>
      <c r="C5628" t="n">
        <v>22</v>
      </c>
      <c r="D5628" t="n">
        <v>10</v>
      </c>
      <c r="E5628" s="10" t="n">
        <v>0.145672</v>
      </c>
      <c r="F5628" s="10" t="n">
        <v>0.2030949127427791</v>
      </c>
      <c r="G5628" s="11">
        <f>E5628*Summary!$B$6</f>
        <v/>
      </c>
      <c r="H5628" s="11">
        <f>F5628*Summary!$B$7</f>
        <v/>
      </c>
      <c r="I5628" s="11">
        <f>MAX(0,N5628-M5628)</f>
        <v/>
      </c>
      <c r="J5628" s="11">
        <f>MAX(0,M5628-N5628)</f>
        <v/>
      </c>
      <c r="K5628" s="11">
        <f>O5628</f>
        <v/>
      </c>
      <c r="L5628" s="11">
        <f>L5627+IF(K5628&gt;0,K5628*Summary!$B$9,K5628/Summary!$B$9)</f>
        <v/>
      </c>
      <c r="M5628" s="11">
        <f>G5628+H5628</f>
        <v/>
      </c>
      <c r="N5628" s="11">
        <f>Summary!$C$16*Summary!$B$8</f>
        <v/>
      </c>
      <c r="O5628" s="11">
        <f>M5628-N5628</f>
        <v/>
      </c>
    </row>
    <row r="5629">
      <c r="A5629" s="9" t="n">
        <v>45526.45833333334</v>
      </c>
      <c r="B5629" t="n">
        <v>8</v>
      </c>
      <c r="C5629" t="n">
        <v>22</v>
      </c>
      <c r="D5629" t="n">
        <v>11</v>
      </c>
      <c r="E5629" s="10" t="n">
        <v>0.168167</v>
      </c>
      <c r="F5629" s="10" t="n">
        <v>0.2200392528094207</v>
      </c>
      <c r="G5629" s="11">
        <f>E5629*Summary!$B$6</f>
        <v/>
      </c>
      <c r="H5629" s="11">
        <f>F5629*Summary!$B$7</f>
        <v/>
      </c>
      <c r="I5629" s="11">
        <f>MAX(0,N5629-M5629)</f>
        <v/>
      </c>
      <c r="J5629" s="11">
        <f>MAX(0,M5629-N5629)</f>
        <v/>
      </c>
      <c r="K5629" s="11">
        <f>O5629</f>
        <v/>
      </c>
      <c r="L5629" s="11">
        <f>L5628+IF(K5629&gt;0,K5629*Summary!$B$9,K5629/Summary!$B$9)</f>
        <v/>
      </c>
      <c r="M5629" s="11">
        <f>G5629+H5629</f>
        <v/>
      </c>
      <c r="N5629" s="11">
        <f>Summary!$C$16*Summary!$B$8</f>
        <v/>
      </c>
      <c r="O5629" s="11">
        <f>M5629-N5629</f>
        <v/>
      </c>
    </row>
    <row r="5630">
      <c r="A5630" s="9" t="n">
        <v>45526.5</v>
      </c>
      <c r="B5630" t="n">
        <v>8</v>
      </c>
      <c r="C5630" t="n">
        <v>22</v>
      </c>
      <c r="D5630" t="n">
        <v>12</v>
      </c>
      <c r="E5630" s="10" t="n">
        <v>0.214106</v>
      </c>
      <c r="F5630" s="10" t="n">
        <v>0.2412789699069528</v>
      </c>
      <c r="G5630" s="11">
        <f>E5630*Summary!$B$6</f>
        <v/>
      </c>
      <c r="H5630" s="11">
        <f>F5630*Summary!$B$7</f>
        <v/>
      </c>
      <c r="I5630" s="11">
        <f>MAX(0,N5630-M5630)</f>
        <v/>
      </c>
      <c r="J5630" s="11">
        <f>MAX(0,M5630-N5630)</f>
        <v/>
      </c>
      <c r="K5630" s="11">
        <f>O5630</f>
        <v/>
      </c>
      <c r="L5630" s="11">
        <f>L5629+IF(K5630&gt;0,K5630*Summary!$B$9,K5630/Summary!$B$9)</f>
        <v/>
      </c>
      <c r="M5630" s="11">
        <f>G5630+H5630</f>
        <v/>
      </c>
      <c r="N5630" s="11">
        <f>Summary!$C$16*Summary!$B$8</f>
        <v/>
      </c>
      <c r="O5630" s="11">
        <f>M5630-N5630</f>
        <v/>
      </c>
    </row>
    <row r="5631">
      <c r="A5631" s="9" t="n">
        <v>45526.54166666666</v>
      </c>
      <c r="B5631" t="n">
        <v>8</v>
      </c>
      <c r="C5631" t="n">
        <v>22</v>
      </c>
      <c r="D5631" t="n">
        <v>13</v>
      </c>
      <c r="E5631" s="10" t="n">
        <v>0.33015</v>
      </c>
      <c r="F5631" s="10" t="n">
        <v>0.2528475006834002</v>
      </c>
      <c r="G5631" s="11">
        <f>E5631*Summary!$B$6</f>
        <v/>
      </c>
      <c r="H5631" s="11">
        <f>F5631*Summary!$B$7</f>
        <v/>
      </c>
      <c r="I5631" s="11">
        <f>MAX(0,N5631-M5631)</f>
        <v/>
      </c>
      <c r="J5631" s="11">
        <f>MAX(0,M5631-N5631)</f>
        <v/>
      </c>
      <c r="K5631" s="11">
        <f>O5631</f>
        <v/>
      </c>
      <c r="L5631" s="11">
        <f>L5630+IF(K5631&gt;0,K5631*Summary!$B$9,K5631/Summary!$B$9)</f>
        <v/>
      </c>
      <c r="M5631" s="11">
        <f>G5631+H5631</f>
        <v/>
      </c>
      <c r="N5631" s="11">
        <f>Summary!$C$16*Summary!$B$8</f>
        <v/>
      </c>
      <c r="O5631" s="11">
        <f>M5631-N5631</f>
        <v/>
      </c>
    </row>
    <row r="5632">
      <c r="A5632" s="9" t="n">
        <v>45526.58333333334</v>
      </c>
      <c r="B5632" t="n">
        <v>8</v>
      </c>
      <c r="C5632" t="n">
        <v>22</v>
      </c>
      <c r="D5632" t="n">
        <v>14</v>
      </c>
      <c r="E5632" s="10" t="n">
        <v>0.540938</v>
      </c>
      <c r="F5632" s="10" t="n">
        <v>0.2590929261823023</v>
      </c>
      <c r="G5632" s="11">
        <f>E5632*Summary!$B$6</f>
        <v/>
      </c>
      <c r="H5632" s="11">
        <f>F5632*Summary!$B$7</f>
        <v/>
      </c>
      <c r="I5632" s="11">
        <f>MAX(0,N5632-M5632)</f>
        <v/>
      </c>
      <c r="J5632" s="11">
        <f>MAX(0,M5632-N5632)</f>
        <v/>
      </c>
      <c r="K5632" s="11">
        <f>O5632</f>
        <v/>
      </c>
      <c r="L5632" s="11">
        <f>L5631+IF(K5632&gt;0,K5632*Summary!$B$9,K5632/Summary!$B$9)</f>
        <v/>
      </c>
      <c r="M5632" s="11">
        <f>G5632+H5632</f>
        <v/>
      </c>
      <c r="N5632" s="11">
        <f>Summary!$C$16*Summary!$B$8</f>
        <v/>
      </c>
      <c r="O5632" s="11">
        <f>M5632-N5632</f>
        <v/>
      </c>
    </row>
    <row r="5633">
      <c r="A5633" s="9" t="n">
        <v>45526.625</v>
      </c>
      <c r="B5633" t="n">
        <v>8</v>
      </c>
      <c r="C5633" t="n">
        <v>22</v>
      </c>
      <c r="D5633" t="n">
        <v>15</v>
      </c>
      <c r="E5633" s="10" t="n">
        <v>0.440556</v>
      </c>
      <c r="F5633" s="10" t="n">
        <v>0.2632301911752459</v>
      </c>
      <c r="G5633" s="11">
        <f>E5633*Summary!$B$6</f>
        <v/>
      </c>
      <c r="H5633" s="11">
        <f>F5633*Summary!$B$7</f>
        <v/>
      </c>
      <c r="I5633" s="11">
        <f>MAX(0,N5633-M5633)</f>
        <v/>
      </c>
      <c r="J5633" s="11">
        <f>MAX(0,M5633-N5633)</f>
        <v/>
      </c>
      <c r="K5633" s="11">
        <f>O5633</f>
        <v/>
      </c>
      <c r="L5633" s="11">
        <f>L5632+IF(K5633&gt;0,K5633*Summary!$B$9,K5633/Summary!$B$9)</f>
        <v/>
      </c>
      <c r="M5633" s="11">
        <f>G5633+H5633</f>
        <v/>
      </c>
      <c r="N5633" s="11">
        <f>Summary!$C$16*Summary!$B$8</f>
        <v/>
      </c>
      <c r="O5633" s="11">
        <f>M5633-N5633</f>
        <v/>
      </c>
    </row>
    <row r="5634">
      <c r="A5634" s="9" t="n">
        <v>45526.66666666666</v>
      </c>
      <c r="B5634" t="n">
        <v>8</v>
      </c>
      <c r="C5634" t="n">
        <v>22</v>
      </c>
      <c r="D5634" t="n">
        <v>16</v>
      </c>
      <c r="E5634" s="10" t="n">
        <v>0.260533</v>
      </c>
      <c r="F5634" s="10" t="n">
        <v>0.2662870239088858</v>
      </c>
      <c r="G5634" s="11">
        <f>E5634*Summary!$B$6</f>
        <v/>
      </c>
      <c r="H5634" s="11">
        <f>F5634*Summary!$B$7</f>
        <v/>
      </c>
      <c r="I5634" s="11">
        <f>MAX(0,N5634-M5634)</f>
        <v/>
      </c>
      <c r="J5634" s="11">
        <f>MAX(0,M5634-N5634)</f>
        <v/>
      </c>
      <c r="K5634" s="11">
        <f>O5634</f>
        <v/>
      </c>
      <c r="L5634" s="11">
        <f>L5633+IF(K5634&gt;0,K5634*Summary!$B$9,K5634/Summary!$B$9)</f>
        <v/>
      </c>
      <c r="M5634" s="11">
        <f>G5634+H5634</f>
        <v/>
      </c>
      <c r="N5634" s="11">
        <f>Summary!$C$16*Summary!$B$8</f>
        <v/>
      </c>
      <c r="O5634" s="11">
        <f>M5634-N5634</f>
        <v/>
      </c>
    </row>
    <row r="5635">
      <c r="A5635" s="9" t="n">
        <v>45526.70833333334</v>
      </c>
      <c r="B5635" t="n">
        <v>8</v>
      </c>
      <c r="C5635" t="n">
        <v>22</v>
      </c>
      <c r="D5635" t="n">
        <v>17</v>
      </c>
      <c r="E5635" s="10" t="n">
        <v>0.140939</v>
      </c>
      <c r="F5635" s="10" t="n">
        <v>0.2926126782270427</v>
      </c>
      <c r="G5635" s="11">
        <f>E5635*Summary!$B$6</f>
        <v/>
      </c>
      <c r="H5635" s="11">
        <f>F5635*Summary!$B$7</f>
        <v/>
      </c>
      <c r="I5635" s="11">
        <f>MAX(0,N5635-M5635)</f>
        <v/>
      </c>
      <c r="J5635" s="11">
        <f>MAX(0,M5635-N5635)</f>
        <v/>
      </c>
      <c r="K5635" s="11">
        <f>O5635</f>
        <v/>
      </c>
      <c r="L5635" s="11">
        <f>L5634+IF(K5635&gt;0,K5635*Summary!$B$9,K5635/Summary!$B$9)</f>
        <v/>
      </c>
      <c r="M5635" s="11">
        <f>G5635+H5635</f>
        <v/>
      </c>
      <c r="N5635" s="11">
        <f>Summary!$C$16*Summary!$B$8</f>
        <v/>
      </c>
      <c r="O5635" s="11">
        <f>M5635-N5635</f>
        <v/>
      </c>
    </row>
    <row r="5636">
      <c r="A5636" s="9" t="n">
        <v>45526.75</v>
      </c>
      <c r="B5636" t="n">
        <v>8</v>
      </c>
      <c r="C5636" t="n">
        <v>22</v>
      </c>
      <c r="D5636" t="n">
        <v>18</v>
      </c>
      <c r="E5636" s="10" t="n">
        <v>0.030263</v>
      </c>
      <c r="F5636" s="10" t="n">
        <v>0.2674992161998119</v>
      </c>
      <c r="G5636" s="11">
        <f>E5636*Summary!$B$6</f>
        <v/>
      </c>
      <c r="H5636" s="11">
        <f>F5636*Summary!$B$7</f>
        <v/>
      </c>
      <c r="I5636" s="11">
        <f>MAX(0,N5636-M5636)</f>
        <v/>
      </c>
      <c r="J5636" s="11">
        <f>MAX(0,M5636-N5636)</f>
        <v/>
      </c>
      <c r="K5636" s="11">
        <f>O5636</f>
        <v/>
      </c>
      <c r="L5636" s="11">
        <f>L5635+IF(K5636&gt;0,K5636*Summary!$B$9,K5636/Summary!$B$9)</f>
        <v/>
      </c>
      <c r="M5636" s="11">
        <f>G5636+H5636</f>
        <v/>
      </c>
      <c r="N5636" s="11">
        <f>Summary!$C$16*Summary!$B$8</f>
        <v/>
      </c>
      <c r="O5636" s="11">
        <f>M5636-N5636</f>
        <v/>
      </c>
    </row>
    <row r="5637">
      <c r="A5637" s="9" t="n">
        <v>45526.79166666666</v>
      </c>
      <c r="B5637" t="n">
        <v>8</v>
      </c>
      <c r="C5637" t="n">
        <v>22</v>
      </c>
      <c r="D5637" t="n">
        <v>19</v>
      </c>
      <c r="E5637" s="10" t="n">
        <v>0</v>
      </c>
      <c r="F5637" s="10" t="n">
        <v>0.2746142579074219</v>
      </c>
      <c r="G5637" s="11">
        <f>E5637*Summary!$B$6</f>
        <v/>
      </c>
      <c r="H5637" s="11">
        <f>F5637*Summary!$B$7</f>
        <v/>
      </c>
      <c r="I5637" s="11">
        <f>MAX(0,N5637-M5637)</f>
        <v/>
      </c>
      <c r="J5637" s="11">
        <f>MAX(0,M5637-N5637)</f>
        <v/>
      </c>
      <c r="K5637" s="11">
        <f>O5637</f>
        <v/>
      </c>
      <c r="L5637" s="11">
        <f>L5636+IF(K5637&gt;0,K5637*Summary!$B$9,K5637/Summary!$B$9)</f>
        <v/>
      </c>
      <c r="M5637" s="11">
        <f>G5637+H5637</f>
        <v/>
      </c>
      <c r="N5637" s="11">
        <f>Summary!$C$16*Summary!$B$8</f>
        <v/>
      </c>
      <c r="O5637" s="11">
        <f>M5637-N5637</f>
        <v/>
      </c>
    </row>
    <row r="5638">
      <c r="A5638" s="9" t="n">
        <v>45526.83333333334</v>
      </c>
      <c r="B5638" t="n">
        <v>8</v>
      </c>
      <c r="C5638" t="n">
        <v>22</v>
      </c>
      <c r="D5638" t="n">
        <v>20</v>
      </c>
      <c r="E5638" s="10" t="n">
        <v>0</v>
      </c>
      <c r="F5638" s="10" t="n">
        <v>0.2905835737400577</v>
      </c>
      <c r="G5638" s="11">
        <f>E5638*Summary!$B$6</f>
        <v/>
      </c>
      <c r="H5638" s="11">
        <f>F5638*Summary!$B$7</f>
        <v/>
      </c>
      <c r="I5638" s="11">
        <f>MAX(0,N5638-M5638)</f>
        <v/>
      </c>
      <c r="J5638" s="11">
        <f>MAX(0,M5638-N5638)</f>
        <v/>
      </c>
      <c r="K5638" s="11">
        <f>O5638</f>
        <v/>
      </c>
      <c r="L5638" s="11">
        <f>L5637+IF(K5638&gt;0,K5638*Summary!$B$9,K5638/Summary!$B$9)</f>
        <v/>
      </c>
      <c r="M5638" s="11">
        <f>G5638+H5638</f>
        <v/>
      </c>
      <c r="N5638" s="11">
        <f>Summary!$C$16*Summary!$B$8</f>
        <v/>
      </c>
      <c r="O5638" s="11">
        <f>M5638-N5638</f>
        <v/>
      </c>
    </row>
    <row r="5639">
      <c r="A5639" s="9" t="n">
        <v>45526.875</v>
      </c>
      <c r="B5639" t="n">
        <v>8</v>
      </c>
      <c r="C5639" t="n">
        <v>22</v>
      </c>
      <c r="D5639" t="n">
        <v>21</v>
      </c>
      <c r="E5639" s="10" t="n">
        <v>0</v>
      </c>
      <c r="F5639" s="10" t="n">
        <v>0.3030744247378619</v>
      </c>
      <c r="G5639" s="11">
        <f>E5639*Summary!$B$6</f>
        <v/>
      </c>
      <c r="H5639" s="11">
        <f>F5639*Summary!$B$7</f>
        <v/>
      </c>
      <c r="I5639" s="11">
        <f>MAX(0,N5639-M5639)</f>
        <v/>
      </c>
      <c r="J5639" s="11">
        <f>MAX(0,M5639-N5639)</f>
        <v/>
      </c>
      <c r="K5639" s="11">
        <f>O5639</f>
        <v/>
      </c>
      <c r="L5639" s="11">
        <f>L5638+IF(K5639&gt;0,K5639*Summary!$B$9,K5639/Summary!$B$9)</f>
        <v/>
      </c>
      <c r="M5639" s="11">
        <f>G5639+H5639</f>
        <v/>
      </c>
      <c r="N5639" s="11">
        <f>Summary!$C$16*Summary!$B$8</f>
        <v/>
      </c>
      <c r="O5639" s="11">
        <f>M5639-N5639</f>
        <v/>
      </c>
    </row>
    <row r="5640">
      <c r="A5640" s="9" t="n">
        <v>45526.91666666666</v>
      </c>
      <c r="B5640" t="n">
        <v>8</v>
      </c>
      <c r="C5640" t="n">
        <v>22</v>
      </c>
      <c r="D5640" t="n">
        <v>22</v>
      </c>
      <c r="E5640" s="10" t="n">
        <v>0</v>
      </c>
      <c r="F5640" s="10" t="n">
        <v>0.3081867139648113</v>
      </c>
      <c r="G5640" s="11">
        <f>E5640*Summary!$B$6</f>
        <v/>
      </c>
      <c r="H5640" s="11">
        <f>F5640*Summary!$B$7</f>
        <v/>
      </c>
      <c r="I5640" s="11">
        <f>MAX(0,N5640-M5640)</f>
        <v/>
      </c>
      <c r="J5640" s="11">
        <f>MAX(0,M5640-N5640)</f>
        <v/>
      </c>
      <c r="K5640" s="11">
        <f>O5640</f>
        <v/>
      </c>
      <c r="L5640" s="11">
        <f>L5639+IF(K5640&gt;0,K5640*Summary!$B$9,K5640/Summary!$B$9)</f>
        <v/>
      </c>
      <c r="M5640" s="11">
        <f>G5640+H5640</f>
        <v/>
      </c>
      <c r="N5640" s="11">
        <f>Summary!$C$16*Summary!$B$8</f>
        <v/>
      </c>
      <c r="O5640" s="11">
        <f>M5640-N5640</f>
        <v/>
      </c>
    </row>
    <row r="5641">
      <c r="A5641" s="9" t="n">
        <v>45526.95833333334</v>
      </c>
      <c r="B5641" t="n">
        <v>8</v>
      </c>
      <c r="C5641" t="n">
        <v>22</v>
      </c>
      <c r="D5641" t="n">
        <v>23</v>
      </c>
      <c r="E5641" s="10" t="n">
        <v>0</v>
      </c>
      <c r="F5641" s="10" t="n">
        <v>0.3075279138066993</v>
      </c>
      <c r="G5641" s="11">
        <f>E5641*Summary!$B$6</f>
        <v/>
      </c>
      <c r="H5641" s="11">
        <f>F5641*Summary!$B$7</f>
        <v/>
      </c>
      <c r="I5641" s="11">
        <f>MAX(0,N5641-M5641)</f>
        <v/>
      </c>
      <c r="J5641" s="11">
        <f>MAX(0,M5641-N5641)</f>
        <v/>
      </c>
      <c r="K5641" s="11">
        <f>O5641</f>
        <v/>
      </c>
      <c r="L5641" s="11">
        <f>L5640+IF(K5641&gt;0,K5641*Summary!$B$9,K5641/Summary!$B$9)</f>
        <v/>
      </c>
      <c r="M5641" s="11">
        <f>G5641+H5641</f>
        <v/>
      </c>
      <c r="N5641" s="11">
        <f>Summary!$C$16*Summary!$B$8</f>
        <v/>
      </c>
      <c r="O5641" s="11">
        <f>M5641-N5641</f>
        <v/>
      </c>
    </row>
    <row r="5642">
      <c r="A5642" s="9" t="n">
        <v>45527</v>
      </c>
      <c r="B5642" t="n">
        <v>8</v>
      </c>
      <c r="C5642" t="n">
        <v>23</v>
      </c>
      <c r="D5642" t="n">
        <v>0</v>
      </c>
      <c r="E5642" s="10" t="n">
        <v>0</v>
      </c>
      <c r="F5642" s="10" t="n">
        <v>0.289503141480754</v>
      </c>
      <c r="G5642" s="11">
        <f>E5642*Summary!$B$6</f>
        <v/>
      </c>
      <c r="H5642" s="11">
        <f>F5642*Summary!$B$7</f>
        <v/>
      </c>
      <c r="I5642" s="11">
        <f>MAX(0,N5642-M5642)</f>
        <v/>
      </c>
      <c r="J5642" s="11">
        <f>MAX(0,M5642-N5642)</f>
        <v/>
      </c>
      <c r="K5642" s="11">
        <f>O5642</f>
        <v/>
      </c>
      <c r="L5642" s="11">
        <f>L5641+IF(K5642&gt;0,K5642*Summary!$B$9,K5642/Summary!$B$9)</f>
        <v/>
      </c>
      <c r="M5642" s="11">
        <f>G5642+H5642</f>
        <v/>
      </c>
      <c r="N5642" s="11">
        <f>Summary!$C$16*Summary!$B$8</f>
        <v/>
      </c>
      <c r="O5642" s="11">
        <f>M5642-N5642</f>
        <v/>
      </c>
    </row>
    <row r="5643">
      <c r="A5643" s="9" t="n">
        <v>45527.04166666666</v>
      </c>
      <c r="B5643" t="n">
        <v>8</v>
      </c>
      <c r="C5643" t="n">
        <v>23</v>
      </c>
      <c r="D5643" t="n">
        <v>1</v>
      </c>
      <c r="E5643" s="10" t="n">
        <v>0</v>
      </c>
      <c r="F5643" s="10" t="n">
        <v>0.2966445351946884</v>
      </c>
      <c r="G5643" s="11">
        <f>E5643*Summary!$B$6</f>
        <v/>
      </c>
      <c r="H5643" s="11">
        <f>F5643*Summary!$B$7</f>
        <v/>
      </c>
      <c r="I5643" s="11">
        <f>MAX(0,N5643-M5643)</f>
        <v/>
      </c>
      <c r="J5643" s="11">
        <f>MAX(0,M5643-N5643)</f>
        <v/>
      </c>
      <c r="K5643" s="11">
        <f>O5643</f>
        <v/>
      </c>
      <c r="L5643" s="11">
        <f>L5642+IF(K5643&gt;0,K5643*Summary!$B$9,K5643/Summary!$B$9)</f>
        <v/>
      </c>
      <c r="M5643" s="11">
        <f>G5643+H5643</f>
        <v/>
      </c>
      <c r="N5643" s="11">
        <f>Summary!$C$16*Summary!$B$8</f>
        <v/>
      </c>
      <c r="O5643" s="11">
        <f>M5643-N5643</f>
        <v/>
      </c>
    </row>
    <row r="5644">
      <c r="A5644" s="9" t="n">
        <v>45527.08333333334</v>
      </c>
      <c r="B5644" t="n">
        <v>8</v>
      </c>
      <c r="C5644" t="n">
        <v>23</v>
      </c>
      <c r="D5644" t="n">
        <v>2</v>
      </c>
      <c r="E5644" s="10" t="n">
        <v>0</v>
      </c>
      <c r="F5644" s="10" t="n">
        <v>0.2885017652404236</v>
      </c>
      <c r="G5644" s="11">
        <f>E5644*Summary!$B$6</f>
        <v/>
      </c>
      <c r="H5644" s="11">
        <f>F5644*Summary!$B$7</f>
        <v/>
      </c>
      <c r="I5644" s="11">
        <f>MAX(0,N5644-M5644)</f>
        <v/>
      </c>
      <c r="J5644" s="11">
        <f>MAX(0,M5644-N5644)</f>
        <v/>
      </c>
      <c r="K5644" s="11">
        <f>O5644</f>
        <v/>
      </c>
      <c r="L5644" s="11">
        <f>L5643+IF(K5644&gt;0,K5644*Summary!$B$9,K5644/Summary!$B$9)</f>
        <v/>
      </c>
      <c r="M5644" s="11">
        <f>G5644+H5644</f>
        <v/>
      </c>
      <c r="N5644" s="11">
        <f>Summary!$C$16*Summary!$B$8</f>
        <v/>
      </c>
      <c r="O5644" s="11">
        <f>M5644-N5644</f>
        <v/>
      </c>
    </row>
    <row r="5645">
      <c r="A5645" s="9" t="n">
        <v>45527.125</v>
      </c>
      <c r="B5645" t="n">
        <v>8</v>
      </c>
      <c r="C5645" t="n">
        <v>23</v>
      </c>
      <c r="D5645" t="n">
        <v>3</v>
      </c>
      <c r="E5645" s="10" t="n">
        <v>0</v>
      </c>
      <c r="F5645" s="10" t="n">
        <v>0.2785407068497696</v>
      </c>
      <c r="G5645" s="11">
        <f>E5645*Summary!$B$6</f>
        <v/>
      </c>
      <c r="H5645" s="11">
        <f>F5645*Summary!$B$7</f>
        <v/>
      </c>
      <c r="I5645" s="11">
        <f>MAX(0,N5645-M5645)</f>
        <v/>
      </c>
      <c r="J5645" s="11">
        <f>MAX(0,M5645-N5645)</f>
        <v/>
      </c>
      <c r="K5645" s="11">
        <f>O5645</f>
        <v/>
      </c>
      <c r="L5645" s="11">
        <f>L5644+IF(K5645&gt;0,K5645*Summary!$B$9,K5645/Summary!$B$9)</f>
        <v/>
      </c>
      <c r="M5645" s="11">
        <f>G5645+H5645</f>
        <v/>
      </c>
      <c r="N5645" s="11">
        <f>Summary!$C$16*Summary!$B$8</f>
        <v/>
      </c>
      <c r="O5645" s="11">
        <f>M5645-N5645</f>
        <v/>
      </c>
    </row>
    <row r="5646">
      <c r="A5646" s="9" t="n">
        <v>45527.16666666666</v>
      </c>
      <c r="B5646" t="n">
        <v>8</v>
      </c>
      <c r="C5646" t="n">
        <v>23</v>
      </c>
      <c r="D5646" t="n">
        <v>4</v>
      </c>
      <c r="E5646" s="10" t="n">
        <v>0</v>
      </c>
      <c r="F5646" s="10" t="n">
        <v>0.26937020864885</v>
      </c>
      <c r="G5646" s="11">
        <f>E5646*Summary!$B$6</f>
        <v/>
      </c>
      <c r="H5646" s="11">
        <f>F5646*Summary!$B$7</f>
        <v/>
      </c>
      <c r="I5646" s="11">
        <f>MAX(0,N5646-M5646)</f>
        <v/>
      </c>
      <c r="J5646" s="11">
        <f>MAX(0,M5646-N5646)</f>
        <v/>
      </c>
      <c r="K5646" s="11">
        <f>O5646</f>
        <v/>
      </c>
      <c r="L5646" s="11">
        <f>L5645+IF(K5646&gt;0,K5646*Summary!$B$9,K5646/Summary!$B$9)</f>
        <v/>
      </c>
      <c r="M5646" s="11">
        <f>G5646+H5646</f>
        <v/>
      </c>
      <c r="N5646" s="11">
        <f>Summary!$C$16*Summary!$B$8</f>
        <v/>
      </c>
      <c r="O5646" s="11">
        <f>M5646-N5646</f>
        <v/>
      </c>
    </row>
    <row r="5647">
      <c r="A5647" s="9" t="n">
        <v>45527.20833333334</v>
      </c>
      <c r="B5647" t="n">
        <v>8</v>
      </c>
      <c r="C5647" t="n">
        <v>23</v>
      </c>
      <c r="D5647" t="n">
        <v>5</v>
      </c>
      <c r="E5647" s="10" t="n">
        <v>0</v>
      </c>
      <c r="F5647" s="10" t="n">
        <v>0.2576435658344558</v>
      </c>
      <c r="G5647" s="11">
        <f>E5647*Summary!$B$6</f>
        <v/>
      </c>
      <c r="H5647" s="11">
        <f>F5647*Summary!$B$7</f>
        <v/>
      </c>
      <c r="I5647" s="11">
        <f>MAX(0,N5647-M5647)</f>
        <v/>
      </c>
      <c r="J5647" s="11">
        <f>MAX(0,M5647-N5647)</f>
        <v/>
      </c>
      <c r="K5647" s="11">
        <f>O5647</f>
        <v/>
      </c>
      <c r="L5647" s="11">
        <f>L5646+IF(K5647&gt;0,K5647*Summary!$B$9,K5647/Summary!$B$9)</f>
        <v/>
      </c>
      <c r="M5647" s="11">
        <f>G5647+H5647</f>
        <v/>
      </c>
      <c r="N5647" s="11">
        <f>Summary!$C$16*Summary!$B$8</f>
        <v/>
      </c>
      <c r="O5647" s="11">
        <f>M5647-N5647</f>
        <v/>
      </c>
    </row>
    <row r="5648">
      <c r="A5648" s="9" t="n">
        <v>45527.25</v>
      </c>
      <c r="B5648" t="n">
        <v>8</v>
      </c>
      <c r="C5648" t="n">
        <v>23</v>
      </c>
      <c r="D5648" t="n">
        <v>6</v>
      </c>
      <c r="E5648" s="10" t="n">
        <v>0.027322</v>
      </c>
      <c r="F5648" s="10" t="n">
        <v>0.2393025694326167</v>
      </c>
      <c r="G5648" s="11">
        <f>E5648*Summary!$B$6</f>
        <v/>
      </c>
      <c r="H5648" s="11">
        <f>F5648*Summary!$B$7</f>
        <v/>
      </c>
      <c r="I5648" s="11">
        <f>MAX(0,N5648-M5648)</f>
        <v/>
      </c>
      <c r="J5648" s="11">
        <f>MAX(0,M5648-N5648)</f>
        <v/>
      </c>
      <c r="K5648" s="11">
        <f>O5648</f>
        <v/>
      </c>
      <c r="L5648" s="11">
        <f>L5647+IF(K5648&gt;0,K5648*Summary!$B$9,K5648/Summary!$B$9)</f>
        <v/>
      </c>
      <c r="M5648" s="11">
        <f>G5648+H5648</f>
        <v/>
      </c>
      <c r="N5648" s="11">
        <f>Summary!$C$16*Summary!$B$8</f>
        <v/>
      </c>
      <c r="O5648" s="11">
        <f>M5648-N5648</f>
        <v/>
      </c>
    </row>
    <row r="5649">
      <c r="A5649" s="9" t="n">
        <v>45527.29166666666</v>
      </c>
      <c r="B5649" t="n">
        <v>8</v>
      </c>
      <c r="C5649" t="n">
        <v>23</v>
      </c>
      <c r="D5649" t="n">
        <v>7</v>
      </c>
      <c r="E5649" s="10" t="n">
        <v>0.100717</v>
      </c>
      <c r="F5649" s="10" t="n">
        <v>0.2194331566639576</v>
      </c>
      <c r="G5649" s="11">
        <f>E5649*Summary!$B$6</f>
        <v/>
      </c>
      <c r="H5649" s="11">
        <f>F5649*Summary!$B$7</f>
        <v/>
      </c>
      <c r="I5649" s="11">
        <f>MAX(0,N5649-M5649)</f>
        <v/>
      </c>
      <c r="J5649" s="11">
        <f>MAX(0,M5649-N5649)</f>
        <v/>
      </c>
      <c r="K5649" s="11">
        <f>O5649</f>
        <v/>
      </c>
      <c r="L5649" s="11">
        <f>L5648+IF(K5649&gt;0,K5649*Summary!$B$9,K5649/Summary!$B$9)</f>
        <v/>
      </c>
      <c r="M5649" s="11">
        <f>G5649+H5649</f>
        <v/>
      </c>
      <c r="N5649" s="11">
        <f>Summary!$C$16*Summary!$B$8</f>
        <v/>
      </c>
      <c r="O5649" s="11">
        <f>M5649-N5649</f>
        <v/>
      </c>
    </row>
    <row r="5650">
      <c r="A5650" s="9" t="n">
        <v>45527.33333333334</v>
      </c>
      <c r="B5650" t="n">
        <v>8</v>
      </c>
      <c r="C5650" t="n">
        <v>23</v>
      </c>
      <c r="D5650" t="n">
        <v>8</v>
      </c>
      <c r="E5650" s="10" t="n">
        <v>0.082872</v>
      </c>
      <c r="F5650" s="10" t="n">
        <v>0.2088660021278405</v>
      </c>
      <c r="G5650" s="11">
        <f>E5650*Summary!$B$6</f>
        <v/>
      </c>
      <c r="H5650" s="11">
        <f>F5650*Summary!$B$7</f>
        <v/>
      </c>
      <c r="I5650" s="11">
        <f>MAX(0,N5650-M5650)</f>
        <v/>
      </c>
      <c r="J5650" s="11">
        <f>MAX(0,M5650-N5650)</f>
        <v/>
      </c>
      <c r="K5650" s="11">
        <f>O5650</f>
        <v/>
      </c>
      <c r="L5650" s="11">
        <f>L5649+IF(K5650&gt;0,K5650*Summary!$B$9,K5650/Summary!$B$9)</f>
        <v/>
      </c>
      <c r="M5650" s="11">
        <f>G5650+H5650</f>
        <v/>
      </c>
      <c r="N5650" s="11">
        <f>Summary!$C$16*Summary!$B$8</f>
        <v/>
      </c>
      <c r="O5650" s="11">
        <f>M5650-N5650</f>
        <v/>
      </c>
    </row>
    <row r="5651">
      <c r="A5651" s="9" t="n">
        <v>45527.375</v>
      </c>
      <c r="B5651" t="n">
        <v>8</v>
      </c>
      <c r="C5651" t="n">
        <v>23</v>
      </c>
      <c r="D5651" t="n">
        <v>9</v>
      </c>
      <c r="E5651" s="10" t="n">
        <v>0.09159100000000001</v>
      </c>
      <c r="F5651" s="10" t="n">
        <v>0.2082335539760529</v>
      </c>
      <c r="G5651" s="11">
        <f>E5651*Summary!$B$6</f>
        <v/>
      </c>
      <c r="H5651" s="11">
        <f>F5651*Summary!$B$7</f>
        <v/>
      </c>
      <c r="I5651" s="11">
        <f>MAX(0,N5651-M5651)</f>
        <v/>
      </c>
      <c r="J5651" s="11">
        <f>MAX(0,M5651-N5651)</f>
        <v/>
      </c>
      <c r="K5651" s="11">
        <f>O5651</f>
        <v/>
      </c>
      <c r="L5651" s="11">
        <f>L5650+IF(K5651&gt;0,K5651*Summary!$B$9,K5651/Summary!$B$9)</f>
        <v/>
      </c>
      <c r="M5651" s="11">
        <f>G5651+H5651</f>
        <v/>
      </c>
      <c r="N5651" s="11">
        <f>Summary!$C$16*Summary!$B$8</f>
        <v/>
      </c>
      <c r="O5651" s="11">
        <f>M5651-N5651</f>
        <v/>
      </c>
    </row>
    <row r="5652">
      <c r="A5652" s="9" t="n">
        <v>45527.41666666666</v>
      </c>
      <c r="B5652" t="n">
        <v>8</v>
      </c>
      <c r="C5652" t="n">
        <v>23</v>
      </c>
      <c r="D5652" t="n">
        <v>10</v>
      </c>
      <c r="E5652" s="10" t="n">
        <v>0.100399</v>
      </c>
      <c r="F5652" s="10" t="n">
        <v>0.2270488864917328</v>
      </c>
      <c r="G5652" s="11">
        <f>E5652*Summary!$B$6</f>
        <v/>
      </c>
      <c r="H5652" s="11">
        <f>F5652*Summary!$B$7</f>
        <v/>
      </c>
      <c r="I5652" s="11">
        <f>MAX(0,N5652-M5652)</f>
        <v/>
      </c>
      <c r="J5652" s="11">
        <f>MAX(0,M5652-N5652)</f>
        <v/>
      </c>
      <c r="K5652" s="11">
        <f>O5652</f>
        <v/>
      </c>
      <c r="L5652" s="11">
        <f>L5651+IF(K5652&gt;0,K5652*Summary!$B$9,K5652/Summary!$B$9)</f>
        <v/>
      </c>
      <c r="M5652" s="11">
        <f>G5652+H5652</f>
        <v/>
      </c>
      <c r="N5652" s="11">
        <f>Summary!$C$16*Summary!$B$8</f>
        <v/>
      </c>
      <c r="O5652" s="11">
        <f>M5652-N5652</f>
        <v/>
      </c>
    </row>
    <row r="5653">
      <c r="A5653" s="9" t="n">
        <v>45527.45833333334</v>
      </c>
      <c r="B5653" t="n">
        <v>8</v>
      </c>
      <c r="C5653" t="n">
        <v>23</v>
      </c>
      <c r="D5653" t="n">
        <v>11</v>
      </c>
      <c r="E5653" s="10" t="n">
        <v>0.127795</v>
      </c>
      <c r="F5653" s="10" t="n">
        <v>0.2141364033927368</v>
      </c>
      <c r="G5653" s="11">
        <f>E5653*Summary!$B$6</f>
        <v/>
      </c>
      <c r="H5653" s="11">
        <f>F5653*Summary!$B$7</f>
        <v/>
      </c>
      <c r="I5653" s="11">
        <f>MAX(0,N5653-M5653)</f>
        <v/>
      </c>
      <c r="J5653" s="11">
        <f>MAX(0,M5653-N5653)</f>
        <v/>
      </c>
      <c r="K5653" s="11">
        <f>O5653</f>
        <v/>
      </c>
      <c r="L5653" s="11">
        <f>L5652+IF(K5653&gt;0,K5653*Summary!$B$9,K5653/Summary!$B$9)</f>
        <v/>
      </c>
      <c r="M5653" s="11">
        <f>G5653+H5653</f>
        <v/>
      </c>
      <c r="N5653" s="11">
        <f>Summary!$C$16*Summary!$B$8</f>
        <v/>
      </c>
      <c r="O5653" s="11">
        <f>M5653-N5653</f>
        <v/>
      </c>
    </row>
    <row r="5654">
      <c r="A5654" s="9" t="n">
        <v>45527.5</v>
      </c>
      <c r="B5654" t="n">
        <v>8</v>
      </c>
      <c r="C5654" t="n">
        <v>23</v>
      </c>
      <c r="D5654" t="n">
        <v>12</v>
      </c>
      <c r="E5654" s="10" t="n">
        <v>0.145336</v>
      </c>
      <c r="F5654" s="10" t="n">
        <v>0.2236758296821991</v>
      </c>
      <c r="G5654" s="11">
        <f>E5654*Summary!$B$6</f>
        <v/>
      </c>
      <c r="H5654" s="11">
        <f>F5654*Summary!$B$7</f>
        <v/>
      </c>
      <c r="I5654" s="11">
        <f>MAX(0,N5654-M5654)</f>
        <v/>
      </c>
      <c r="J5654" s="11">
        <f>MAX(0,M5654-N5654)</f>
        <v/>
      </c>
      <c r="K5654" s="11">
        <f>O5654</f>
        <v/>
      </c>
      <c r="L5654" s="11">
        <f>L5653+IF(K5654&gt;0,K5654*Summary!$B$9,K5654/Summary!$B$9)</f>
        <v/>
      </c>
      <c r="M5654" s="11">
        <f>G5654+H5654</f>
        <v/>
      </c>
      <c r="N5654" s="11">
        <f>Summary!$C$16*Summary!$B$8</f>
        <v/>
      </c>
      <c r="O5654" s="11">
        <f>M5654-N5654</f>
        <v/>
      </c>
    </row>
    <row r="5655">
      <c r="A5655" s="9" t="n">
        <v>45527.54166666666</v>
      </c>
      <c r="B5655" t="n">
        <v>8</v>
      </c>
      <c r="C5655" t="n">
        <v>23</v>
      </c>
      <c r="D5655" t="n">
        <v>13</v>
      </c>
      <c r="E5655" s="10" t="n">
        <v>0.131345</v>
      </c>
      <c r="F5655" s="10" t="n">
        <v>0.2555881093411462</v>
      </c>
      <c r="G5655" s="11">
        <f>E5655*Summary!$B$6</f>
        <v/>
      </c>
      <c r="H5655" s="11">
        <f>F5655*Summary!$B$7</f>
        <v/>
      </c>
      <c r="I5655" s="11">
        <f>MAX(0,N5655-M5655)</f>
        <v/>
      </c>
      <c r="J5655" s="11">
        <f>MAX(0,M5655-N5655)</f>
        <v/>
      </c>
      <c r="K5655" s="11">
        <f>O5655</f>
        <v/>
      </c>
      <c r="L5655" s="11">
        <f>L5654+IF(K5655&gt;0,K5655*Summary!$B$9,K5655/Summary!$B$9)</f>
        <v/>
      </c>
      <c r="M5655" s="11">
        <f>G5655+H5655</f>
        <v/>
      </c>
      <c r="N5655" s="11">
        <f>Summary!$C$16*Summary!$B$8</f>
        <v/>
      </c>
      <c r="O5655" s="11">
        <f>M5655-N5655</f>
        <v/>
      </c>
    </row>
    <row r="5656">
      <c r="A5656" s="9" t="n">
        <v>45527.58333333334</v>
      </c>
      <c r="B5656" t="n">
        <v>8</v>
      </c>
      <c r="C5656" t="n">
        <v>23</v>
      </c>
      <c r="D5656" t="n">
        <v>14</v>
      </c>
      <c r="E5656" s="10" t="n">
        <v>0.102892</v>
      </c>
      <c r="F5656" s="10" t="n">
        <v>0.2477352114564507</v>
      </c>
      <c r="G5656" s="11">
        <f>E5656*Summary!$B$6</f>
        <v/>
      </c>
      <c r="H5656" s="11">
        <f>F5656*Summary!$B$7</f>
        <v/>
      </c>
      <c r="I5656" s="11">
        <f>MAX(0,N5656-M5656)</f>
        <v/>
      </c>
      <c r="J5656" s="11">
        <f>MAX(0,M5656-N5656)</f>
        <v/>
      </c>
      <c r="K5656" s="11">
        <f>O5656</f>
        <v/>
      </c>
      <c r="L5656" s="11">
        <f>L5655+IF(K5656&gt;0,K5656*Summary!$B$9,K5656/Summary!$B$9)</f>
        <v/>
      </c>
      <c r="M5656" s="11">
        <f>G5656+H5656</f>
        <v/>
      </c>
      <c r="N5656" s="11">
        <f>Summary!$C$16*Summary!$B$8</f>
        <v/>
      </c>
      <c r="O5656" s="11">
        <f>M5656-N5656</f>
        <v/>
      </c>
    </row>
    <row r="5657">
      <c r="A5657" s="9" t="n">
        <v>45527.625</v>
      </c>
      <c r="B5657" t="n">
        <v>8</v>
      </c>
      <c r="C5657" t="n">
        <v>23</v>
      </c>
      <c r="D5657" t="n">
        <v>15</v>
      </c>
      <c r="E5657" s="10" t="n">
        <v>0.080584</v>
      </c>
      <c r="F5657" s="10" t="n">
        <v>0.2613328467198832</v>
      </c>
      <c r="G5657" s="11">
        <f>E5657*Summary!$B$6</f>
        <v/>
      </c>
      <c r="H5657" s="11">
        <f>F5657*Summary!$B$7</f>
        <v/>
      </c>
      <c r="I5657" s="11">
        <f>MAX(0,N5657-M5657)</f>
        <v/>
      </c>
      <c r="J5657" s="11">
        <f>MAX(0,M5657-N5657)</f>
        <v/>
      </c>
      <c r="K5657" s="11">
        <f>O5657</f>
        <v/>
      </c>
      <c r="L5657" s="11">
        <f>L5656+IF(K5657&gt;0,K5657*Summary!$B$9,K5657/Summary!$B$9)</f>
        <v/>
      </c>
      <c r="M5657" s="11">
        <f>G5657+H5657</f>
        <v/>
      </c>
      <c r="N5657" s="11">
        <f>Summary!$C$16*Summary!$B$8</f>
        <v/>
      </c>
      <c r="O5657" s="11">
        <f>M5657-N5657</f>
        <v/>
      </c>
    </row>
    <row r="5658">
      <c r="A5658" s="9" t="n">
        <v>45527.66666666666</v>
      </c>
      <c r="B5658" t="n">
        <v>8</v>
      </c>
      <c r="C5658" t="n">
        <v>23</v>
      </c>
      <c r="D5658" t="n">
        <v>16</v>
      </c>
      <c r="E5658" s="10" t="n">
        <v>0.06054</v>
      </c>
      <c r="F5658" s="10" t="n">
        <v>0.2642052154092517</v>
      </c>
      <c r="G5658" s="11">
        <f>E5658*Summary!$B$6</f>
        <v/>
      </c>
      <c r="H5658" s="11">
        <f>F5658*Summary!$B$7</f>
        <v/>
      </c>
      <c r="I5658" s="11">
        <f>MAX(0,N5658-M5658)</f>
        <v/>
      </c>
      <c r="J5658" s="11">
        <f>MAX(0,M5658-N5658)</f>
        <v/>
      </c>
      <c r="K5658" s="11">
        <f>O5658</f>
        <v/>
      </c>
      <c r="L5658" s="11">
        <f>L5657+IF(K5658&gt;0,K5658*Summary!$B$9,K5658/Summary!$B$9)</f>
        <v/>
      </c>
      <c r="M5658" s="11">
        <f>G5658+H5658</f>
        <v/>
      </c>
      <c r="N5658" s="11">
        <f>Summary!$C$16*Summary!$B$8</f>
        <v/>
      </c>
      <c r="O5658" s="11">
        <f>M5658-N5658</f>
        <v/>
      </c>
    </row>
    <row r="5659">
      <c r="A5659" s="9" t="n">
        <v>45527.70833333334</v>
      </c>
      <c r="B5659" t="n">
        <v>8</v>
      </c>
      <c r="C5659" t="n">
        <v>23</v>
      </c>
      <c r="D5659" t="n">
        <v>17</v>
      </c>
      <c r="E5659" s="10" t="n">
        <v>0.031438</v>
      </c>
      <c r="F5659" s="10" t="n">
        <v>0.2868152368356568</v>
      </c>
      <c r="G5659" s="11">
        <f>E5659*Summary!$B$6</f>
        <v/>
      </c>
      <c r="H5659" s="11">
        <f>F5659*Summary!$B$7</f>
        <v/>
      </c>
      <c r="I5659" s="11">
        <f>MAX(0,N5659-M5659)</f>
        <v/>
      </c>
      <c r="J5659" s="11">
        <f>MAX(0,M5659-N5659)</f>
        <v/>
      </c>
      <c r="K5659" s="11">
        <f>O5659</f>
        <v/>
      </c>
      <c r="L5659" s="11">
        <f>L5658+IF(K5659&gt;0,K5659*Summary!$B$9,K5659/Summary!$B$9)</f>
        <v/>
      </c>
      <c r="M5659" s="11">
        <f>G5659+H5659</f>
        <v/>
      </c>
      <c r="N5659" s="11">
        <f>Summary!$C$16*Summary!$B$8</f>
        <v/>
      </c>
      <c r="O5659" s="11">
        <f>M5659-N5659</f>
        <v/>
      </c>
    </row>
    <row r="5660">
      <c r="A5660" s="9" t="n">
        <v>45527.75</v>
      </c>
      <c r="B5660" t="n">
        <v>8</v>
      </c>
      <c r="C5660" t="n">
        <v>23</v>
      </c>
      <c r="D5660" t="n">
        <v>18</v>
      </c>
      <c r="E5660" s="10" t="n">
        <v>0.012414</v>
      </c>
      <c r="F5660" s="10" t="n">
        <v>0.2690803365792808</v>
      </c>
      <c r="G5660" s="11">
        <f>E5660*Summary!$B$6</f>
        <v/>
      </c>
      <c r="H5660" s="11">
        <f>F5660*Summary!$B$7</f>
        <v/>
      </c>
      <c r="I5660" s="11">
        <f>MAX(0,N5660-M5660)</f>
        <v/>
      </c>
      <c r="J5660" s="11">
        <f>MAX(0,M5660-N5660)</f>
        <v/>
      </c>
      <c r="K5660" s="11">
        <f>O5660</f>
        <v/>
      </c>
      <c r="L5660" s="11">
        <f>L5659+IF(K5660&gt;0,K5660*Summary!$B$9,K5660/Summary!$B$9)</f>
        <v/>
      </c>
      <c r="M5660" s="11">
        <f>G5660+H5660</f>
        <v/>
      </c>
      <c r="N5660" s="11">
        <f>Summary!$C$16*Summary!$B$8</f>
        <v/>
      </c>
      <c r="O5660" s="11">
        <f>M5660-N5660</f>
        <v/>
      </c>
    </row>
    <row r="5661">
      <c r="A5661" s="9" t="n">
        <v>45527.79166666666</v>
      </c>
      <c r="B5661" t="n">
        <v>8</v>
      </c>
      <c r="C5661" t="n">
        <v>23</v>
      </c>
      <c r="D5661" t="n">
        <v>19</v>
      </c>
      <c r="E5661" s="10" t="n">
        <v>0</v>
      </c>
      <c r="F5661" s="10" t="n">
        <v>0.2804116992988078</v>
      </c>
      <c r="G5661" s="11">
        <f>E5661*Summary!$B$6</f>
        <v/>
      </c>
      <c r="H5661" s="11">
        <f>F5661*Summary!$B$7</f>
        <v/>
      </c>
      <c r="I5661" s="11">
        <f>MAX(0,N5661-M5661)</f>
        <v/>
      </c>
      <c r="J5661" s="11">
        <f>MAX(0,M5661-N5661)</f>
        <v/>
      </c>
      <c r="K5661" s="11">
        <f>O5661</f>
        <v/>
      </c>
      <c r="L5661" s="11">
        <f>L5660+IF(K5661&gt;0,K5661*Summary!$B$9,K5661/Summary!$B$9)</f>
        <v/>
      </c>
      <c r="M5661" s="11">
        <f>G5661+H5661</f>
        <v/>
      </c>
      <c r="N5661" s="11">
        <f>Summary!$C$16*Summary!$B$8</f>
        <v/>
      </c>
      <c r="O5661" s="11">
        <f>M5661-N5661</f>
        <v/>
      </c>
    </row>
    <row r="5662">
      <c r="A5662" s="9" t="n">
        <v>45527.83333333334</v>
      </c>
      <c r="B5662" t="n">
        <v>8</v>
      </c>
      <c r="C5662" t="n">
        <v>23</v>
      </c>
      <c r="D5662" t="n">
        <v>20</v>
      </c>
      <c r="E5662" s="10" t="n">
        <v>0</v>
      </c>
      <c r="F5662" s="10" t="n">
        <v>0.2926390302333672</v>
      </c>
      <c r="G5662" s="11">
        <f>E5662*Summary!$B$6</f>
        <v/>
      </c>
      <c r="H5662" s="11">
        <f>F5662*Summary!$B$7</f>
        <v/>
      </c>
      <c r="I5662" s="11">
        <f>MAX(0,N5662-M5662)</f>
        <v/>
      </c>
      <c r="J5662" s="11">
        <f>MAX(0,M5662-N5662)</f>
        <v/>
      </c>
      <c r="K5662" s="11">
        <f>O5662</f>
        <v/>
      </c>
      <c r="L5662" s="11">
        <f>L5661+IF(K5662&gt;0,K5662*Summary!$B$9,K5662/Summary!$B$9)</f>
        <v/>
      </c>
      <c r="M5662" s="11">
        <f>G5662+H5662</f>
        <v/>
      </c>
      <c r="N5662" s="11">
        <f>Summary!$C$16*Summary!$B$8</f>
        <v/>
      </c>
      <c r="O5662" s="11">
        <f>M5662-N5662</f>
        <v/>
      </c>
    </row>
    <row r="5663">
      <c r="A5663" s="9" t="n">
        <v>45527.875</v>
      </c>
      <c r="B5663" t="n">
        <v>8</v>
      </c>
      <c r="C5663" t="n">
        <v>23</v>
      </c>
      <c r="D5663" t="n">
        <v>21</v>
      </c>
      <c r="E5663" s="10" t="n">
        <v>0</v>
      </c>
      <c r="F5663" s="10" t="n">
        <v>0.3047873051489532</v>
      </c>
      <c r="G5663" s="11">
        <f>E5663*Summary!$B$6</f>
        <v/>
      </c>
      <c r="H5663" s="11">
        <f>F5663*Summary!$B$7</f>
        <v/>
      </c>
      <c r="I5663" s="11">
        <f>MAX(0,N5663-M5663)</f>
        <v/>
      </c>
      <c r="J5663" s="11">
        <f>MAX(0,M5663-N5663)</f>
        <v/>
      </c>
      <c r="K5663" s="11">
        <f>O5663</f>
        <v/>
      </c>
      <c r="L5663" s="11">
        <f>L5662+IF(K5663&gt;0,K5663*Summary!$B$9,K5663/Summary!$B$9)</f>
        <v/>
      </c>
      <c r="M5663" s="11">
        <f>G5663+H5663</f>
        <v/>
      </c>
      <c r="N5663" s="11">
        <f>Summary!$C$16*Summary!$B$8</f>
        <v/>
      </c>
      <c r="O5663" s="11">
        <f>M5663-N5663</f>
        <v/>
      </c>
    </row>
    <row r="5664">
      <c r="A5664" s="9" t="n">
        <v>45527.91666666666</v>
      </c>
      <c r="B5664" t="n">
        <v>8</v>
      </c>
      <c r="C5664" t="n">
        <v>23</v>
      </c>
      <c r="D5664" t="n">
        <v>22</v>
      </c>
      <c r="E5664" s="10" t="n">
        <v>0</v>
      </c>
      <c r="F5664" s="10" t="n">
        <v>0.3022311605354785</v>
      </c>
      <c r="G5664" s="11">
        <f>E5664*Summary!$B$6</f>
        <v/>
      </c>
      <c r="H5664" s="11">
        <f>F5664*Summary!$B$7</f>
        <v/>
      </c>
      <c r="I5664" s="11">
        <f>MAX(0,N5664-M5664)</f>
        <v/>
      </c>
      <c r="J5664" s="11">
        <f>MAX(0,M5664-N5664)</f>
        <v/>
      </c>
      <c r="K5664" s="11">
        <f>O5664</f>
        <v/>
      </c>
      <c r="L5664" s="11">
        <f>L5663+IF(K5664&gt;0,K5664*Summary!$B$9,K5664/Summary!$B$9)</f>
        <v/>
      </c>
      <c r="M5664" s="11">
        <f>G5664+H5664</f>
        <v/>
      </c>
      <c r="N5664" s="11">
        <f>Summary!$C$16*Summary!$B$8</f>
        <v/>
      </c>
      <c r="O5664" s="11">
        <f>M5664-N5664</f>
        <v/>
      </c>
    </row>
    <row r="5665">
      <c r="A5665" s="9" t="n">
        <v>45527.95833333334</v>
      </c>
      <c r="B5665" t="n">
        <v>8</v>
      </c>
      <c r="C5665" t="n">
        <v>23</v>
      </c>
      <c r="D5665" t="n">
        <v>23</v>
      </c>
      <c r="E5665" s="10" t="n">
        <v>0</v>
      </c>
      <c r="F5665" s="10" t="n">
        <v>0.2985682316563756</v>
      </c>
      <c r="G5665" s="11">
        <f>E5665*Summary!$B$6</f>
        <v/>
      </c>
      <c r="H5665" s="11">
        <f>F5665*Summary!$B$7</f>
        <v/>
      </c>
      <c r="I5665" s="11">
        <f>MAX(0,N5665-M5665)</f>
        <v/>
      </c>
      <c r="J5665" s="11">
        <f>MAX(0,M5665-N5665)</f>
        <v/>
      </c>
      <c r="K5665" s="11">
        <f>O5665</f>
        <v/>
      </c>
      <c r="L5665" s="11">
        <f>L5664+IF(K5665&gt;0,K5665*Summary!$B$9,K5665/Summary!$B$9)</f>
        <v/>
      </c>
      <c r="M5665" s="11">
        <f>G5665+H5665</f>
        <v/>
      </c>
      <c r="N5665" s="11">
        <f>Summary!$C$16*Summary!$B$8</f>
        <v/>
      </c>
      <c r="O5665" s="11">
        <f>M5665-N5665</f>
        <v/>
      </c>
    </row>
    <row r="5666">
      <c r="A5666" s="9" t="n">
        <v>45528</v>
      </c>
      <c r="B5666" t="n">
        <v>8</v>
      </c>
      <c r="C5666" t="n">
        <v>24</v>
      </c>
      <c r="D5666" t="n">
        <v>0</v>
      </c>
      <c r="E5666" s="10" t="n">
        <v>0</v>
      </c>
      <c r="F5666" s="10" t="n">
        <v>0.3177788442669226</v>
      </c>
      <c r="G5666" s="11">
        <f>E5666*Summary!$B$6</f>
        <v/>
      </c>
      <c r="H5666" s="11">
        <f>F5666*Summary!$B$7</f>
        <v/>
      </c>
      <c r="I5666" s="11">
        <f>MAX(0,N5666-M5666)</f>
        <v/>
      </c>
      <c r="J5666" s="11">
        <f>MAX(0,M5666-N5666)</f>
        <v/>
      </c>
      <c r="K5666" s="11">
        <f>O5666</f>
        <v/>
      </c>
      <c r="L5666" s="11">
        <f>L5665+IF(K5666&gt;0,K5666*Summary!$B$9,K5666/Summary!$B$9)</f>
        <v/>
      </c>
      <c r="M5666" s="11">
        <f>G5666+H5666</f>
        <v/>
      </c>
      <c r="N5666" s="11">
        <f>Summary!$C$16*Summary!$B$8</f>
        <v/>
      </c>
      <c r="O5666" s="11">
        <f>M5666-N5666</f>
        <v/>
      </c>
    </row>
    <row r="5667">
      <c r="A5667" s="9" t="n">
        <v>45528.04166666666</v>
      </c>
      <c r="B5667" t="n">
        <v>8</v>
      </c>
      <c r="C5667" t="n">
        <v>24</v>
      </c>
      <c r="D5667" t="n">
        <v>1</v>
      </c>
      <c r="E5667" s="10" t="n">
        <v>0</v>
      </c>
      <c r="F5667" s="10" t="n">
        <v>0.2769595864703007</v>
      </c>
      <c r="G5667" s="11">
        <f>E5667*Summary!$B$6</f>
        <v/>
      </c>
      <c r="H5667" s="11">
        <f>F5667*Summary!$B$7</f>
        <v/>
      </c>
      <c r="I5667" s="11">
        <f>MAX(0,N5667-M5667)</f>
        <v/>
      </c>
      <c r="J5667" s="11">
        <f>MAX(0,M5667-N5667)</f>
        <v/>
      </c>
      <c r="K5667" s="11">
        <f>O5667</f>
        <v/>
      </c>
      <c r="L5667" s="11">
        <f>L5666+IF(K5667&gt;0,K5667*Summary!$B$9,K5667/Summary!$B$9)</f>
        <v/>
      </c>
      <c r="M5667" s="11">
        <f>G5667+H5667</f>
        <v/>
      </c>
      <c r="N5667" s="11">
        <f>Summary!$C$16*Summary!$B$8</f>
        <v/>
      </c>
      <c r="O5667" s="11">
        <f>M5667-N5667</f>
        <v/>
      </c>
    </row>
    <row r="5668">
      <c r="A5668" s="9" t="n">
        <v>45528.08333333334</v>
      </c>
      <c r="B5668" t="n">
        <v>8</v>
      </c>
      <c r="C5668" t="n">
        <v>24</v>
      </c>
      <c r="D5668" t="n">
        <v>2</v>
      </c>
      <c r="E5668" s="10" t="n">
        <v>0</v>
      </c>
      <c r="F5668" s="10" t="n">
        <v>0.2647586075420658</v>
      </c>
      <c r="G5668" s="11">
        <f>E5668*Summary!$B$6</f>
        <v/>
      </c>
      <c r="H5668" s="11">
        <f>F5668*Summary!$B$7</f>
        <v/>
      </c>
      <c r="I5668" s="11">
        <f>MAX(0,N5668-M5668)</f>
        <v/>
      </c>
      <c r="J5668" s="11">
        <f>MAX(0,M5668-N5668)</f>
        <v/>
      </c>
      <c r="K5668" s="11">
        <f>O5668</f>
        <v/>
      </c>
      <c r="L5668" s="11">
        <f>L5667+IF(K5668&gt;0,K5668*Summary!$B$9,K5668/Summary!$B$9)</f>
        <v/>
      </c>
      <c r="M5668" s="11">
        <f>G5668+H5668</f>
        <v/>
      </c>
      <c r="N5668" s="11">
        <f>Summary!$C$16*Summary!$B$8</f>
        <v/>
      </c>
      <c r="O5668" s="11">
        <f>M5668-N5668</f>
        <v/>
      </c>
    </row>
    <row r="5669">
      <c r="A5669" s="9" t="n">
        <v>45528.125</v>
      </c>
      <c r="B5669" t="n">
        <v>8</v>
      </c>
      <c r="C5669" t="n">
        <v>24</v>
      </c>
      <c r="D5669" t="n">
        <v>3</v>
      </c>
      <c r="E5669" s="10" t="n">
        <v>0</v>
      </c>
      <c r="F5669" s="10" t="n">
        <v>0.2543759170502201</v>
      </c>
      <c r="G5669" s="11">
        <f>E5669*Summary!$B$6</f>
        <v/>
      </c>
      <c r="H5669" s="11">
        <f>F5669*Summary!$B$7</f>
        <v/>
      </c>
      <c r="I5669" s="11">
        <f>MAX(0,N5669-M5669)</f>
        <v/>
      </c>
      <c r="J5669" s="11">
        <f>MAX(0,M5669-N5669)</f>
        <v/>
      </c>
      <c r="K5669" s="11">
        <f>O5669</f>
        <v/>
      </c>
      <c r="L5669" s="11">
        <f>L5668+IF(K5669&gt;0,K5669*Summary!$B$9,K5669/Summary!$B$9)</f>
        <v/>
      </c>
      <c r="M5669" s="11">
        <f>G5669+H5669</f>
        <v/>
      </c>
      <c r="N5669" s="11">
        <f>Summary!$C$16*Summary!$B$8</f>
        <v/>
      </c>
      <c r="O5669" s="11">
        <f>M5669-N5669</f>
        <v/>
      </c>
    </row>
    <row r="5670">
      <c r="A5670" s="9" t="n">
        <v>45528.16666666666</v>
      </c>
      <c r="B5670" t="n">
        <v>8</v>
      </c>
      <c r="C5670" t="n">
        <v>24</v>
      </c>
      <c r="D5670" t="n">
        <v>4</v>
      </c>
      <c r="E5670" s="10" t="n">
        <v>0</v>
      </c>
      <c r="F5670" s="10" t="n">
        <v>0.2447837867481088</v>
      </c>
      <c r="G5670" s="11">
        <f>E5670*Summary!$B$6</f>
        <v/>
      </c>
      <c r="H5670" s="11">
        <f>F5670*Summary!$B$7</f>
        <v/>
      </c>
      <c r="I5670" s="11">
        <f>MAX(0,N5670-M5670)</f>
        <v/>
      </c>
      <c r="J5670" s="11">
        <f>MAX(0,M5670-N5670)</f>
        <v/>
      </c>
      <c r="K5670" s="11">
        <f>O5670</f>
        <v/>
      </c>
      <c r="L5670" s="11">
        <f>L5669+IF(K5670&gt;0,K5670*Summary!$B$9,K5670/Summary!$B$9)</f>
        <v/>
      </c>
      <c r="M5670" s="11">
        <f>G5670+H5670</f>
        <v/>
      </c>
      <c r="N5670" s="11">
        <f>Summary!$C$16*Summary!$B$8</f>
        <v/>
      </c>
      <c r="O5670" s="11">
        <f>M5670-N5670</f>
        <v/>
      </c>
    </row>
    <row r="5671">
      <c r="A5671" s="9" t="n">
        <v>45528.20833333334</v>
      </c>
      <c r="B5671" t="n">
        <v>8</v>
      </c>
      <c r="C5671" t="n">
        <v>24</v>
      </c>
      <c r="D5671" t="n">
        <v>5</v>
      </c>
      <c r="E5671" s="10" t="n">
        <v>0.00788</v>
      </c>
      <c r="F5671" s="10" t="n">
        <v>0.2279712067130896</v>
      </c>
      <c r="G5671" s="11">
        <f>E5671*Summary!$B$6</f>
        <v/>
      </c>
      <c r="H5671" s="11">
        <f>F5671*Summary!$B$7</f>
        <v/>
      </c>
      <c r="I5671" s="11">
        <f>MAX(0,N5671-M5671)</f>
        <v/>
      </c>
      <c r="J5671" s="11">
        <f>MAX(0,M5671-N5671)</f>
        <v/>
      </c>
      <c r="K5671" s="11">
        <f>O5671</f>
        <v/>
      </c>
      <c r="L5671" s="11">
        <f>L5670+IF(K5671&gt;0,K5671*Summary!$B$9,K5671/Summary!$B$9)</f>
        <v/>
      </c>
      <c r="M5671" s="11">
        <f>G5671+H5671</f>
        <v/>
      </c>
      <c r="N5671" s="11">
        <f>Summary!$C$16*Summary!$B$8</f>
        <v/>
      </c>
      <c r="O5671" s="11">
        <f>M5671-N5671</f>
        <v/>
      </c>
    </row>
    <row r="5672">
      <c r="A5672" s="9" t="n">
        <v>45528.25</v>
      </c>
      <c r="B5672" t="n">
        <v>8</v>
      </c>
      <c r="C5672" t="n">
        <v>24</v>
      </c>
      <c r="D5672" t="n">
        <v>6</v>
      </c>
      <c r="E5672" s="10" t="n">
        <v>0.04835</v>
      </c>
      <c r="F5672" s="10" t="n">
        <v>0.2120545948931027</v>
      </c>
      <c r="G5672" s="11">
        <f>E5672*Summary!$B$6</f>
        <v/>
      </c>
      <c r="H5672" s="11">
        <f>F5672*Summary!$B$7</f>
        <v/>
      </c>
      <c r="I5672" s="11">
        <f>MAX(0,N5672-M5672)</f>
        <v/>
      </c>
      <c r="J5672" s="11">
        <f>MAX(0,M5672-N5672)</f>
        <v/>
      </c>
      <c r="K5672" s="11">
        <f>O5672</f>
        <v/>
      </c>
      <c r="L5672" s="11">
        <f>L5671+IF(K5672&gt;0,K5672*Summary!$B$9,K5672/Summary!$B$9)</f>
        <v/>
      </c>
      <c r="M5672" s="11">
        <f>G5672+H5672</f>
        <v/>
      </c>
      <c r="N5672" s="11">
        <f>Summary!$C$16*Summary!$B$8</f>
        <v/>
      </c>
      <c r="O5672" s="11">
        <f>M5672-N5672</f>
        <v/>
      </c>
    </row>
    <row r="5673">
      <c r="A5673" s="9" t="n">
        <v>45528.29166666666</v>
      </c>
      <c r="B5673" t="n">
        <v>8</v>
      </c>
      <c r="C5673" t="n">
        <v>24</v>
      </c>
      <c r="D5673" t="n">
        <v>7</v>
      </c>
      <c r="E5673" s="10" t="n">
        <v>0.090354</v>
      </c>
      <c r="F5673" s="10" t="n">
        <v>0.191816254035901</v>
      </c>
      <c r="G5673" s="11">
        <f>E5673*Summary!$B$6</f>
        <v/>
      </c>
      <c r="H5673" s="11">
        <f>F5673*Summary!$B$7</f>
        <v/>
      </c>
      <c r="I5673" s="11">
        <f>MAX(0,N5673-M5673)</f>
        <v/>
      </c>
      <c r="J5673" s="11">
        <f>MAX(0,M5673-N5673)</f>
        <v/>
      </c>
      <c r="K5673" s="11">
        <f>O5673</f>
        <v/>
      </c>
      <c r="L5673" s="11">
        <f>L5672+IF(K5673&gt;0,K5673*Summary!$B$9,K5673/Summary!$B$9)</f>
        <v/>
      </c>
      <c r="M5673" s="11">
        <f>G5673+H5673</f>
        <v/>
      </c>
      <c r="N5673" s="11">
        <f>Summary!$C$16*Summary!$B$8</f>
        <v/>
      </c>
      <c r="O5673" s="11">
        <f>M5673-N5673</f>
        <v/>
      </c>
    </row>
    <row r="5674">
      <c r="A5674" s="9" t="n">
        <v>45528.33333333334</v>
      </c>
      <c r="B5674" t="n">
        <v>8</v>
      </c>
      <c r="C5674" t="n">
        <v>24</v>
      </c>
      <c r="D5674" t="n">
        <v>8</v>
      </c>
      <c r="E5674" s="10" t="n">
        <v>0.120313</v>
      </c>
      <c r="F5674" s="10" t="n">
        <v>0.1758996422159141</v>
      </c>
      <c r="G5674" s="11">
        <f>E5674*Summary!$B$6</f>
        <v/>
      </c>
      <c r="H5674" s="11">
        <f>F5674*Summary!$B$7</f>
        <v/>
      </c>
      <c r="I5674" s="11">
        <f>MAX(0,N5674-M5674)</f>
        <v/>
      </c>
      <c r="J5674" s="11">
        <f>MAX(0,M5674-N5674)</f>
        <v/>
      </c>
      <c r="K5674" s="11">
        <f>O5674</f>
        <v/>
      </c>
      <c r="L5674" s="11">
        <f>L5673+IF(K5674&gt;0,K5674*Summary!$B$9,K5674/Summary!$B$9)</f>
        <v/>
      </c>
      <c r="M5674" s="11">
        <f>G5674+H5674</f>
        <v/>
      </c>
      <c r="N5674" s="11">
        <f>Summary!$C$16*Summary!$B$8</f>
        <v/>
      </c>
      <c r="O5674" s="11">
        <f>M5674-N5674</f>
        <v/>
      </c>
    </row>
    <row r="5675">
      <c r="A5675" s="9" t="n">
        <v>45528.375</v>
      </c>
      <c r="B5675" t="n">
        <v>8</v>
      </c>
      <c r="C5675" t="n">
        <v>24</v>
      </c>
      <c r="D5675" t="n">
        <v>9</v>
      </c>
      <c r="E5675" s="10" t="n">
        <v>0.429662</v>
      </c>
      <c r="F5675" s="10" t="n">
        <v>0.1647790955469829</v>
      </c>
      <c r="G5675" s="11">
        <f>E5675*Summary!$B$6</f>
        <v/>
      </c>
      <c r="H5675" s="11">
        <f>F5675*Summary!$B$7</f>
        <v/>
      </c>
      <c r="I5675" s="11">
        <f>MAX(0,N5675-M5675)</f>
        <v/>
      </c>
      <c r="J5675" s="11">
        <f>MAX(0,M5675-N5675)</f>
        <v/>
      </c>
      <c r="K5675" s="11">
        <f>O5675</f>
        <v/>
      </c>
      <c r="L5675" s="11">
        <f>L5674+IF(K5675&gt;0,K5675*Summary!$B$9,K5675/Summary!$B$9)</f>
        <v/>
      </c>
      <c r="M5675" s="11">
        <f>G5675+H5675</f>
        <v/>
      </c>
      <c r="N5675" s="11">
        <f>Summary!$C$16*Summary!$B$8</f>
        <v/>
      </c>
      <c r="O5675" s="11">
        <f>M5675-N5675</f>
        <v/>
      </c>
    </row>
    <row r="5676">
      <c r="A5676" s="9" t="n">
        <v>45528.41666666666</v>
      </c>
      <c r="B5676" t="n">
        <v>8</v>
      </c>
      <c r="C5676" t="n">
        <v>24</v>
      </c>
      <c r="D5676" t="n">
        <v>10</v>
      </c>
      <c r="E5676" s="10" t="n">
        <v>0.667284</v>
      </c>
      <c r="F5676" s="10" t="n">
        <v>0.1600884384212252</v>
      </c>
      <c r="G5676" s="11">
        <f>E5676*Summary!$B$6</f>
        <v/>
      </c>
      <c r="H5676" s="11">
        <f>F5676*Summary!$B$7</f>
        <v/>
      </c>
      <c r="I5676" s="11">
        <f>MAX(0,N5676-M5676)</f>
        <v/>
      </c>
      <c r="J5676" s="11">
        <f>MAX(0,M5676-N5676)</f>
        <v/>
      </c>
      <c r="K5676" s="11">
        <f>O5676</f>
        <v/>
      </c>
      <c r="L5676" s="11">
        <f>L5675+IF(K5676&gt;0,K5676*Summary!$B$9,K5676/Summary!$B$9)</f>
        <v/>
      </c>
      <c r="M5676" s="11">
        <f>G5676+H5676</f>
        <v/>
      </c>
      <c r="N5676" s="11">
        <f>Summary!$C$16*Summary!$B$8</f>
        <v/>
      </c>
      <c r="O5676" s="11">
        <f>M5676-N5676</f>
        <v/>
      </c>
    </row>
    <row r="5677">
      <c r="A5677" s="9" t="n">
        <v>45528.45833333334</v>
      </c>
      <c r="B5677" t="n">
        <v>8</v>
      </c>
      <c r="C5677" t="n">
        <v>24</v>
      </c>
      <c r="D5677" t="n">
        <v>11</v>
      </c>
      <c r="E5677" s="10" t="n">
        <v>0.754058</v>
      </c>
      <c r="F5677" s="10" t="n">
        <v>0.1706819449636668</v>
      </c>
      <c r="G5677" s="11">
        <f>E5677*Summary!$B$6</f>
        <v/>
      </c>
      <c r="H5677" s="11">
        <f>F5677*Summary!$B$7</f>
        <v/>
      </c>
      <c r="I5677" s="11">
        <f>MAX(0,N5677-M5677)</f>
        <v/>
      </c>
      <c r="J5677" s="11">
        <f>MAX(0,M5677-N5677)</f>
        <v/>
      </c>
      <c r="K5677" s="11">
        <f>O5677</f>
        <v/>
      </c>
      <c r="L5677" s="11">
        <f>L5676+IF(K5677&gt;0,K5677*Summary!$B$9,K5677/Summary!$B$9)</f>
        <v/>
      </c>
      <c r="M5677" s="11">
        <f>G5677+H5677</f>
        <v/>
      </c>
      <c r="N5677" s="11">
        <f>Summary!$C$16*Summary!$B$8</f>
        <v/>
      </c>
      <c r="O5677" s="11">
        <f>M5677-N5677</f>
        <v/>
      </c>
    </row>
    <row r="5678">
      <c r="A5678" s="9" t="n">
        <v>45528.5</v>
      </c>
      <c r="B5678" t="n">
        <v>8</v>
      </c>
      <c r="C5678" t="n">
        <v>24</v>
      </c>
      <c r="D5678" t="n">
        <v>12</v>
      </c>
      <c r="E5678" s="10" t="n">
        <v>0.754058</v>
      </c>
      <c r="F5678" s="10" t="n">
        <v>0.164726391534334</v>
      </c>
      <c r="G5678" s="11">
        <f>E5678*Summary!$B$6</f>
        <v/>
      </c>
      <c r="H5678" s="11">
        <f>F5678*Summary!$B$7</f>
        <v/>
      </c>
      <c r="I5678" s="11">
        <f>MAX(0,N5678-M5678)</f>
        <v/>
      </c>
      <c r="J5678" s="11">
        <f>MAX(0,M5678-N5678)</f>
        <v/>
      </c>
      <c r="K5678" s="11">
        <f>O5678</f>
        <v/>
      </c>
      <c r="L5678" s="11">
        <f>L5677+IF(K5678&gt;0,K5678*Summary!$B$9,K5678/Summary!$B$9)</f>
        <v/>
      </c>
      <c r="M5678" s="11">
        <f>G5678+H5678</f>
        <v/>
      </c>
      <c r="N5678" s="11">
        <f>Summary!$C$16*Summary!$B$8</f>
        <v/>
      </c>
      <c r="O5678" s="11">
        <f>M5678-N5678</f>
        <v/>
      </c>
    </row>
    <row r="5679">
      <c r="A5679" s="9" t="n">
        <v>45528.54166666666</v>
      </c>
      <c r="B5679" t="n">
        <v>8</v>
      </c>
      <c r="C5679" t="n">
        <v>24</v>
      </c>
      <c r="D5679" t="n">
        <v>13</v>
      </c>
      <c r="E5679" s="10" t="n">
        <v>0.728687</v>
      </c>
      <c r="F5679" s="10" t="n">
        <v>0.188917533340208</v>
      </c>
      <c r="G5679" s="11">
        <f>E5679*Summary!$B$6</f>
        <v/>
      </c>
      <c r="H5679" s="11">
        <f>F5679*Summary!$B$7</f>
        <v/>
      </c>
      <c r="I5679" s="11">
        <f>MAX(0,N5679-M5679)</f>
        <v/>
      </c>
      <c r="J5679" s="11">
        <f>MAX(0,M5679-N5679)</f>
        <v/>
      </c>
      <c r="K5679" s="11">
        <f>O5679</f>
        <v/>
      </c>
      <c r="L5679" s="11">
        <f>L5678+IF(K5679&gt;0,K5679*Summary!$B$9,K5679/Summary!$B$9)</f>
        <v/>
      </c>
      <c r="M5679" s="11">
        <f>G5679+H5679</f>
        <v/>
      </c>
      <c r="N5679" s="11">
        <f>Summary!$C$16*Summary!$B$8</f>
        <v/>
      </c>
      <c r="O5679" s="11">
        <f>M5679-N5679</f>
        <v/>
      </c>
    </row>
    <row r="5680">
      <c r="A5680" s="9" t="n">
        <v>45528.58333333334</v>
      </c>
      <c r="B5680" t="n">
        <v>8</v>
      </c>
      <c r="C5680" t="n">
        <v>24</v>
      </c>
      <c r="D5680" t="n">
        <v>14</v>
      </c>
      <c r="E5680" s="10" t="n">
        <v>0.495463</v>
      </c>
      <c r="F5680" s="10" t="n">
        <v>0.179720683132964</v>
      </c>
      <c r="G5680" s="11">
        <f>E5680*Summary!$B$6</f>
        <v/>
      </c>
      <c r="H5680" s="11">
        <f>F5680*Summary!$B$7</f>
        <v/>
      </c>
      <c r="I5680" s="11">
        <f>MAX(0,N5680-M5680)</f>
        <v/>
      </c>
      <c r="J5680" s="11">
        <f>MAX(0,M5680-N5680)</f>
        <v/>
      </c>
      <c r="K5680" s="11">
        <f>O5680</f>
        <v/>
      </c>
      <c r="L5680" s="11">
        <f>L5679+IF(K5680&gt;0,K5680*Summary!$B$9,K5680/Summary!$B$9)</f>
        <v/>
      </c>
      <c r="M5680" s="11">
        <f>G5680+H5680</f>
        <v/>
      </c>
      <c r="N5680" s="11">
        <f>Summary!$C$16*Summary!$B$8</f>
        <v/>
      </c>
      <c r="O5680" s="11">
        <f>M5680-N5680</f>
        <v/>
      </c>
    </row>
    <row r="5681">
      <c r="A5681" s="9" t="n">
        <v>45528.625</v>
      </c>
      <c r="B5681" t="n">
        <v>8</v>
      </c>
      <c r="C5681" t="n">
        <v>24</v>
      </c>
      <c r="D5681" t="n">
        <v>15</v>
      </c>
      <c r="E5681" s="10" t="n">
        <v>0.401936</v>
      </c>
      <c r="F5681" s="10" t="n">
        <v>0.1924487021876885</v>
      </c>
      <c r="G5681" s="11">
        <f>E5681*Summary!$B$6</f>
        <v/>
      </c>
      <c r="H5681" s="11">
        <f>F5681*Summary!$B$7</f>
        <v/>
      </c>
      <c r="I5681" s="11">
        <f>MAX(0,N5681-M5681)</f>
        <v/>
      </c>
      <c r="J5681" s="11">
        <f>MAX(0,M5681-N5681)</f>
        <v/>
      </c>
      <c r="K5681" s="11">
        <f>O5681</f>
        <v/>
      </c>
      <c r="L5681" s="11">
        <f>L5680+IF(K5681&gt;0,K5681*Summary!$B$9,K5681/Summary!$B$9)</f>
        <v/>
      </c>
      <c r="M5681" s="11">
        <f>G5681+H5681</f>
        <v/>
      </c>
      <c r="N5681" s="11">
        <f>Summary!$C$16*Summary!$B$8</f>
        <v/>
      </c>
      <c r="O5681" s="11">
        <f>M5681-N5681</f>
        <v/>
      </c>
    </row>
    <row r="5682">
      <c r="A5682" s="9" t="n">
        <v>45528.66666666666</v>
      </c>
      <c r="B5682" t="n">
        <v>8</v>
      </c>
      <c r="C5682" t="n">
        <v>24</v>
      </c>
      <c r="D5682" t="n">
        <v>16</v>
      </c>
      <c r="E5682" s="10" t="n">
        <v>0.342934</v>
      </c>
      <c r="F5682" s="10" t="n">
        <v>0.1948730867695408</v>
      </c>
      <c r="G5682" s="11">
        <f>E5682*Summary!$B$6</f>
        <v/>
      </c>
      <c r="H5682" s="11">
        <f>F5682*Summary!$B$7</f>
        <v/>
      </c>
      <c r="I5682" s="11">
        <f>MAX(0,N5682-M5682)</f>
        <v/>
      </c>
      <c r="J5682" s="11">
        <f>MAX(0,M5682-N5682)</f>
        <v/>
      </c>
      <c r="K5682" s="11">
        <f>O5682</f>
        <v/>
      </c>
      <c r="L5682" s="11">
        <f>L5681+IF(K5682&gt;0,K5682*Summary!$B$9,K5682/Summary!$B$9)</f>
        <v/>
      </c>
      <c r="M5682" s="11">
        <f>G5682+H5682</f>
        <v/>
      </c>
      <c r="N5682" s="11">
        <f>Summary!$C$16*Summary!$B$8</f>
        <v/>
      </c>
      <c r="O5682" s="11">
        <f>M5682-N5682</f>
        <v/>
      </c>
    </row>
    <row r="5683">
      <c r="A5683" s="9" t="n">
        <v>45528.70833333334</v>
      </c>
      <c r="B5683" t="n">
        <v>8</v>
      </c>
      <c r="C5683" t="n">
        <v>24</v>
      </c>
      <c r="D5683" t="n">
        <v>17</v>
      </c>
      <c r="E5683" s="10" t="n">
        <v>0.151032</v>
      </c>
      <c r="F5683" s="10" t="n">
        <v>0.1976136954272869</v>
      </c>
      <c r="G5683" s="11">
        <f>E5683*Summary!$B$6</f>
        <v/>
      </c>
      <c r="H5683" s="11">
        <f>F5683*Summary!$B$7</f>
        <v/>
      </c>
      <c r="I5683" s="11">
        <f>MAX(0,N5683-M5683)</f>
        <v/>
      </c>
      <c r="J5683" s="11">
        <f>MAX(0,M5683-N5683)</f>
        <v/>
      </c>
      <c r="K5683" s="11">
        <f>O5683</f>
        <v/>
      </c>
      <c r="L5683" s="11">
        <f>L5682+IF(K5683&gt;0,K5683*Summary!$B$9,K5683/Summary!$B$9)</f>
        <v/>
      </c>
      <c r="M5683" s="11">
        <f>G5683+H5683</f>
        <v/>
      </c>
      <c r="N5683" s="11">
        <f>Summary!$C$16*Summary!$B$8</f>
        <v/>
      </c>
      <c r="O5683" s="11">
        <f>M5683-N5683</f>
        <v/>
      </c>
    </row>
    <row r="5684">
      <c r="A5684" s="9" t="n">
        <v>45528.75</v>
      </c>
      <c r="B5684" t="n">
        <v>8</v>
      </c>
      <c r="C5684" t="n">
        <v>24</v>
      </c>
      <c r="D5684" t="n">
        <v>18</v>
      </c>
      <c r="E5684" s="10" t="n">
        <v>0.02994</v>
      </c>
      <c r="F5684" s="10" t="n">
        <v>0.2086024820645957</v>
      </c>
      <c r="G5684" s="11">
        <f>E5684*Summary!$B$6</f>
        <v/>
      </c>
      <c r="H5684" s="11">
        <f>F5684*Summary!$B$7</f>
        <v/>
      </c>
      <c r="I5684" s="11">
        <f>MAX(0,N5684-M5684)</f>
        <v/>
      </c>
      <c r="J5684" s="11">
        <f>MAX(0,M5684-N5684)</f>
        <v/>
      </c>
      <c r="K5684" s="11">
        <f>O5684</f>
        <v/>
      </c>
      <c r="L5684" s="11">
        <f>L5683+IF(K5684&gt;0,K5684*Summary!$B$9,K5684/Summary!$B$9)</f>
        <v/>
      </c>
      <c r="M5684" s="11">
        <f>G5684+H5684</f>
        <v/>
      </c>
      <c r="N5684" s="11">
        <f>Summary!$C$16*Summary!$B$8</f>
        <v/>
      </c>
      <c r="O5684" s="11">
        <f>M5684-N5684</f>
        <v/>
      </c>
    </row>
    <row r="5685">
      <c r="A5685" s="9" t="n">
        <v>45528.79166666666</v>
      </c>
      <c r="B5685" t="n">
        <v>8</v>
      </c>
      <c r="C5685" t="n">
        <v>24</v>
      </c>
      <c r="D5685" t="n">
        <v>19</v>
      </c>
      <c r="E5685" s="10" t="n">
        <v>0</v>
      </c>
      <c r="F5685" s="10" t="n">
        <v>0.2341112241866938</v>
      </c>
      <c r="G5685" s="11">
        <f>E5685*Summary!$B$6</f>
        <v/>
      </c>
      <c r="H5685" s="11">
        <f>F5685*Summary!$B$7</f>
        <v/>
      </c>
      <c r="I5685" s="11">
        <f>MAX(0,N5685-M5685)</f>
        <v/>
      </c>
      <c r="J5685" s="11">
        <f>MAX(0,M5685-N5685)</f>
        <v/>
      </c>
      <c r="K5685" s="11">
        <f>O5685</f>
        <v/>
      </c>
      <c r="L5685" s="11">
        <f>L5684+IF(K5685&gt;0,K5685*Summary!$B$9,K5685/Summary!$B$9)</f>
        <v/>
      </c>
      <c r="M5685" s="11">
        <f>G5685+H5685</f>
        <v/>
      </c>
      <c r="N5685" s="11">
        <f>Summary!$C$16*Summary!$B$8</f>
        <v/>
      </c>
      <c r="O5685" s="11">
        <f>M5685-N5685</f>
        <v/>
      </c>
    </row>
    <row r="5686">
      <c r="A5686" s="9" t="n">
        <v>45528.83333333334</v>
      </c>
      <c r="B5686" t="n">
        <v>8</v>
      </c>
      <c r="C5686" t="n">
        <v>24</v>
      </c>
      <c r="D5686" t="n">
        <v>20</v>
      </c>
      <c r="E5686" s="10" t="n">
        <v>0</v>
      </c>
      <c r="F5686" s="10" t="n">
        <v>0.2599361903846857</v>
      </c>
      <c r="G5686" s="11">
        <f>E5686*Summary!$B$6</f>
        <v/>
      </c>
      <c r="H5686" s="11">
        <f>F5686*Summary!$B$7</f>
        <v/>
      </c>
      <c r="I5686" s="11">
        <f>MAX(0,N5686-M5686)</f>
        <v/>
      </c>
      <c r="J5686" s="11">
        <f>MAX(0,M5686-N5686)</f>
        <v/>
      </c>
      <c r="K5686" s="11">
        <f>O5686</f>
        <v/>
      </c>
      <c r="L5686" s="11">
        <f>L5685+IF(K5686&gt;0,K5686*Summary!$B$9,K5686/Summary!$B$9)</f>
        <v/>
      </c>
      <c r="M5686" s="11">
        <f>G5686+H5686</f>
        <v/>
      </c>
      <c r="N5686" s="11">
        <f>Summary!$C$16*Summary!$B$8</f>
        <v/>
      </c>
      <c r="O5686" s="11">
        <f>M5686-N5686</f>
        <v/>
      </c>
    </row>
    <row r="5687">
      <c r="A5687" s="9" t="n">
        <v>45528.875</v>
      </c>
      <c r="B5687" t="n">
        <v>8</v>
      </c>
      <c r="C5687" t="n">
        <v>24</v>
      </c>
      <c r="D5687" t="n">
        <v>21</v>
      </c>
      <c r="E5687" s="10" t="n">
        <v>0</v>
      </c>
      <c r="F5687" s="10" t="n">
        <v>0.2864463087471141</v>
      </c>
      <c r="G5687" s="11">
        <f>E5687*Summary!$B$6</f>
        <v/>
      </c>
      <c r="H5687" s="11">
        <f>F5687*Summary!$B$7</f>
        <v/>
      </c>
      <c r="I5687" s="11">
        <f>MAX(0,N5687-M5687)</f>
        <v/>
      </c>
      <c r="J5687" s="11">
        <f>MAX(0,M5687-N5687)</f>
        <v/>
      </c>
      <c r="K5687" s="11">
        <f>O5687</f>
        <v/>
      </c>
      <c r="L5687" s="11">
        <f>L5686+IF(K5687&gt;0,K5687*Summary!$B$9,K5687/Summary!$B$9)</f>
        <v/>
      </c>
      <c r="M5687" s="11">
        <f>G5687+H5687</f>
        <v/>
      </c>
      <c r="N5687" s="11">
        <f>Summary!$C$16*Summary!$B$8</f>
        <v/>
      </c>
      <c r="O5687" s="11">
        <f>M5687-N5687</f>
        <v/>
      </c>
    </row>
    <row r="5688">
      <c r="A5688" s="9" t="n">
        <v>45528.91666666666</v>
      </c>
      <c r="B5688" t="n">
        <v>8</v>
      </c>
      <c r="C5688" t="n">
        <v>24</v>
      </c>
      <c r="D5688" t="n">
        <v>22</v>
      </c>
      <c r="E5688" s="10" t="n">
        <v>0</v>
      </c>
      <c r="F5688" s="10" t="n">
        <v>0.2995959599030304</v>
      </c>
      <c r="G5688" s="11">
        <f>E5688*Summary!$B$6</f>
        <v/>
      </c>
      <c r="H5688" s="11">
        <f>F5688*Summary!$B$7</f>
        <v/>
      </c>
      <c r="I5688" s="11">
        <f>MAX(0,N5688-M5688)</f>
        <v/>
      </c>
      <c r="J5688" s="11">
        <f>MAX(0,M5688-N5688)</f>
        <v/>
      </c>
      <c r="K5688" s="11">
        <f>O5688</f>
        <v/>
      </c>
      <c r="L5688" s="11">
        <f>L5687+IF(K5688&gt;0,K5688*Summary!$B$9,K5688/Summary!$B$9)</f>
        <v/>
      </c>
      <c r="M5688" s="11">
        <f>G5688+H5688</f>
        <v/>
      </c>
      <c r="N5688" s="11">
        <f>Summary!$C$16*Summary!$B$8</f>
        <v/>
      </c>
      <c r="O5688" s="11">
        <f>M5688-N5688</f>
        <v/>
      </c>
    </row>
    <row r="5689">
      <c r="A5689" s="9" t="n">
        <v>45528.95833333334</v>
      </c>
      <c r="B5689" t="n">
        <v>8</v>
      </c>
      <c r="C5689" t="n">
        <v>24</v>
      </c>
      <c r="D5689" t="n">
        <v>23</v>
      </c>
      <c r="E5689" s="10" t="n">
        <v>0</v>
      </c>
      <c r="F5689" s="10" t="n">
        <v>0.3124293869830529</v>
      </c>
      <c r="G5689" s="11">
        <f>E5689*Summary!$B$6</f>
        <v/>
      </c>
      <c r="H5689" s="11">
        <f>F5689*Summary!$B$7</f>
        <v/>
      </c>
      <c r="I5689" s="11">
        <f>MAX(0,N5689-M5689)</f>
        <v/>
      </c>
      <c r="J5689" s="11">
        <f>MAX(0,M5689-N5689)</f>
        <v/>
      </c>
      <c r="K5689" s="11">
        <f>O5689</f>
        <v/>
      </c>
      <c r="L5689" s="11">
        <f>L5688+IF(K5689&gt;0,K5689*Summary!$B$9,K5689/Summary!$B$9)</f>
        <v/>
      </c>
      <c r="M5689" s="11">
        <f>G5689+H5689</f>
        <v/>
      </c>
      <c r="N5689" s="11">
        <f>Summary!$C$16*Summary!$B$8</f>
        <v/>
      </c>
      <c r="O5689" s="11">
        <f>M5689-N5689</f>
        <v/>
      </c>
    </row>
    <row r="5690">
      <c r="A5690" s="9" t="n">
        <v>45529</v>
      </c>
      <c r="B5690" t="n">
        <v>8</v>
      </c>
      <c r="C5690" t="n">
        <v>25</v>
      </c>
      <c r="D5690" t="n">
        <v>0</v>
      </c>
      <c r="E5690" s="10" t="n">
        <v>0</v>
      </c>
      <c r="F5690" s="10" t="n">
        <v>0.2625977430234583</v>
      </c>
      <c r="G5690" s="11">
        <f>E5690*Summary!$B$6</f>
        <v/>
      </c>
      <c r="H5690" s="11">
        <f>F5690*Summary!$B$7</f>
        <v/>
      </c>
      <c r="I5690" s="11">
        <f>MAX(0,N5690-M5690)</f>
        <v/>
      </c>
      <c r="J5690" s="11">
        <f>MAX(0,M5690-N5690)</f>
        <v/>
      </c>
      <c r="K5690" s="11">
        <f>O5690</f>
        <v/>
      </c>
      <c r="L5690" s="11">
        <f>L5689+IF(K5690&gt;0,K5690*Summary!$B$9,K5690/Summary!$B$9)</f>
        <v/>
      </c>
      <c r="M5690" s="11">
        <f>G5690+H5690</f>
        <v/>
      </c>
      <c r="N5690" s="11">
        <f>Summary!$C$16*Summary!$B$8</f>
        <v/>
      </c>
      <c r="O5690" s="11">
        <f>M5690-N5690</f>
        <v/>
      </c>
    </row>
    <row r="5691">
      <c r="A5691" s="9" t="n">
        <v>45529.04166666666</v>
      </c>
      <c r="B5691" t="n">
        <v>8</v>
      </c>
      <c r="C5691" t="n">
        <v>25</v>
      </c>
      <c r="D5691" t="n">
        <v>1</v>
      </c>
      <c r="E5691" s="10" t="n">
        <v>0</v>
      </c>
      <c r="F5691" s="10" t="n">
        <v>0.3094779622747109</v>
      </c>
      <c r="G5691" s="11">
        <f>E5691*Summary!$B$6</f>
        <v/>
      </c>
      <c r="H5691" s="11">
        <f>F5691*Summary!$B$7</f>
        <v/>
      </c>
      <c r="I5691" s="11">
        <f>MAX(0,N5691-M5691)</f>
        <v/>
      </c>
      <c r="J5691" s="11">
        <f>MAX(0,M5691-N5691)</f>
        <v/>
      </c>
      <c r="K5691" s="11">
        <f>O5691</f>
        <v/>
      </c>
      <c r="L5691" s="11">
        <f>L5690+IF(K5691&gt;0,K5691*Summary!$B$9,K5691/Summary!$B$9)</f>
        <v/>
      </c>
      <c r="M5691" s="11">
        <f>G5691+H5691</f>
        <v/>
      </c>
      <c r="N5691" s="11">
        <f>Summary!$C$16*Summary!$B$8</f>
        <v/>
      </c>
      <c r="O5691" s="11">
        <f>M5691-N5691</f>
        <v/>
      </c>
    </row>
    <row r="5692">
      <c r="A5692" s="9" t="n">
        <v>45529.08333333334</v>
      </c>
      <c r="B5692" t="n">
        <v>8</v>
      </c>
      <c r="C5692" t="n">
        <v>25</v>
      </c>
      <c r="D5692" t="n">
        <v>2</v>
      </c>
      <c r="E5692" s="10" t="n">
        <v>0</v>
      </c>
      <c r="F5692" s="10" t="n">
        <v>0.2973560393654494</v>
      </c>
      <c r="G5692" s="11">
        <f>E5692*Summary!$B$6</f>
        <v/>
      </c>
      <c r="H5692" s="11">
        <f>F5692*Summary!$B$7</f>
        <v/>
      </c>
      <c r="I5692" s="11">
        <f>MAX(0,N5692-M5692)</f>
        <v/>
      </c>
      <c r="J5692" s="11">
        <f>MAX(0,M5692-N5692)</f>
        <v/>
      </c>
      <c r="K5692" s="11">
        <f>O5692</f>
        <v/>
      </c>
      <c r="L5692" s="11">
        <f>L5691+IF(K5692&gt;0,K5692*Summary!$B$9,K5692/Summary!$B$9)</f>
        <v/>
      </c>
      <c r="M5692" s="11">
        <f>G5692+H5692</f>
        <v/>
      </c>
      <c r="N5692" s="11">
        <f>Summary!$C$16*Summary!$B$8</f>
        <v/>
      </c>
      <c r="O5692" s="11">
        <f>M5692-N5692</f>
        <v/>
      </c>
    </row>
    <row r="5693">
      <c r="A5693" s="9" t="n">
        <v>45529.125</v>
      </c>
      <c r="B5693" t="n">
        <v>8</v>
      </c>
      <c r="C5693" t="n">
        <v>25</v>
      </c>
      <c r="D5693" t="n">
        <v>3</v>
      </c>
      <c r="E5693" s="10" t="n">
        <v>0</v>
      </c>
      <c r="F5693" s="10" t="n">
        <v>0.2849705963929431</v>
      </c>
      <c r="G5693" s="11">
        <f>E5693*Summary!$B$6</f>
        <v/>
      </c>
      <c r="H5693" s="11">
        <f>F5693*Summary!$B$7</f>
        <v/>
      </c>
      <c r="I5693" s="11">
        <f>MAX(0,N5693-M5693)</f>
        <v/>
      </c>
      <c r="J5693" s="11">
        <f>MAX(0,M5693-N5693)</f>
        <v/>
      </c>
      <c r="K5693" s="11">
        <f>O5693</f>
        <v/>
      </c>
      <c r="L5693" s="11">
        <f>L5692+IF(K5693&gt;0,K5693*Summary!$B$9,K5693/Summary!$B$9)</f>
        <v/>
      </c>
      <c r="M5693" s="11">
        <f>G5693+H5693</f>
        <v/>
      </c>
      <c r="N5693" s="11">
        <f>Summary!$C$16*Summary!$B$8</f>
        <v/>
      </c>
      <c r="O5693" s="11">
        <f>M5693-N5693</f>
        <v/>
      </c>
    </row>
    <row r="5694">
      <c r="A5694" s="9" t="n">
        <v>45529.16666666666</v>
      </c>
      <c r="B5694" t="n">
        <v>8</v>
      </c>
      <c r="C5694" t="n">
        <v>25</v>
      </c>
      <c r="D5694" t="n">
        <v>4</v>
      </c>
      <c r="E5694" s="10" t="n">
        <v>0</v>
      </c>
      <c r="F5694" s="10" t="n">
        <v>0.2725851534204368</v>
      </c>
      <c r="G5694" s="11">
        <f>E5694*Summary!$B$6</f>
        <v/>
      </c>
      <c r="H5694" s="11">
        <f>F5694*Summary!$B$7</f>
        <v/>
      </c>
      <c r="I5694" s="11">
        <f>MAX(0,N5694-M5694)</f>
        <v/>
      </c>
      <c r="J5694" s="11">
        <f>MAX(0,M5694-N5694)</f>
        <v/>
      </c>
      <c r="K5694" s="11">
        <f>O5694</f>
        <v/>
      </c>
      <c r="L5694" s="11">
        <f>L5693+IF(K5694&gt;0,K5694*Summary!$B$9,K5694/Summary!$B$9)</f>
        <v/>
      </c>
      <c r="M5694" s="11">
        <f>G5694+H5694</f>
        <v/>
      </c>
      <c r="N5694" s="11">
        <f>Summary!$C$16*Summary!$B$8</f>
        <v/>
      </c>
      <c r="O5694" s="11">
        <f>M5694-N5694</f>
        <v/>
      </c>
    </row>
    <row r="5695">
      <c r="A5695" s="9" t="n">
        <v>45529.20833333334</v>
      </c>
      <c r="B5695" t="n">
        <v>8</v>
      </c>
      <c r="C5695" t="n">
        <v>25</v>
      </c>
      <c r="D5695" t="n">
        <v>5</v>
      </c>
      <c r="E5695" s="10" t="n">
        <v>0</v>
      </c>
      <c r="F5695" s="10" t="n">
        <v>0.2572219337332641</v>
      </c>
      <c r="G5695" s="11">
        <f>E5695*Summary!$B$6</f>
        <v/>
      </c>
      <c r="H5695" s="11">
        <f>F5695*Summary!$B$7</f>
        <v/>
      </c>
      <c r="I5695" s="11">
        <f>MAX(0,N5695-M5695)</f>
        <v/>
      </c>
      <c r="J5695" s="11">
        <f>MAX(0,M5695-N5695)</f>
        <v/>
      </c>
      <c r="K5695" s="11">
        <f>O5695</f>
        <v/>
      </c>
      <c r="L5695" s="11">
        <f>L5694+IF(K5695&gt;0,K5695*Summary!$B$9,K5695/Summary!$B$9)</f>
        <v/>
      </c>
      <c r="M5695" s="11">
        <f>G5695+H5695</f>
        <v/>
      </c>
      <c r="N5695" s="11">
        <f>Summary!$C$16*Summary!$B$8</f>
        <v/>
      </c>
      <c r="O5695" s="11">
        <f>M5695-N5695</f>
        <v/>
      </c>
    </row>
    <row r="5696">
      <c r="A5696" s="9" t="n">
        <v>45529.25</v>
      </c>
      <c r="B5696" t="n">
        <v>8</v>
      </c>
      <c r="C5696" t="n">
        <v>25</v>
      </c>
      <c r="D5696" t="n">
        <v>6</v>
      </c>
      <c r="E5696" s="10" t="n">
        <v>0.011563</v>
      </c>
      <c r="F5696" s="10" t="n">
        <v>0.2507129881711171</v>
      </c>
      <c r="G5696" s="11">
        <f>E5696*Summary!$B$6</f>
        <v/>
      </c>
      <c r="H5696" s="11">
        <f>F5696*Summary!$B$7</f>
        <v/>
      </c>
      <c r="I5696" s="11">
        <f>MAX(0,N5696-M5696)</f>
        <v/>
      </c>
      <c r="J5696" s="11">
        <f>MAX(0,M5696-N5696)</f>
        <v/>
      </c>
      <c r="K5696" s="11">
        <f>O5696</f>
        <v/>
      </c>
      <c r="L5696" s="11">
        <f>L5695+IF(K5696&gt;0,K5696*Summary!$B$9,K5696/Summary!$B$9)</f>
        <v/>
      </c>
      <c r="M5696" s="11">
        <f>G5696+H5696</f>
        <v/>
      </c>
      <c r="N5696" s="11">
        <f>Summary!$C$16*Summary!$B$8</f>
        <v/>
      </c>
      <c r="O5696" s="11">
        <f>M5696-N5696</f>
        <v/>
      </c>
    </row>
    <row r="5697">
      <c r="A5697" s="9" t="n">
        <v>45529.29166666666</v>
      </c>
      <c r="B5697" t="n">
        <v>8</v>
      </c>
      <c r="C5697" t="n">
        <v>25</v>
      </c>
      <c r="D5697" t="n">
        <v>7</v>
      </c>
      <c r="E5697" s="10" t="n">
        <v>0.050146</v>
      </c>
      <c r="F5697" s="10" t="n">
        <v>0.2175358122085949</v>
      </c>
      <c r="G5697" s="11">
        <f>E5697*Summary!$B$6</f>
        <v/>
      </c>
      <c r="H5697" s="11">
        <f>F5697*Summary!$B$7</f>
        <v/>
      </c>
      <c r="I5697" s="11">
        <f>MAX(0,N5697-M5697)</f>
        <v/>
      </c>
      <c r="J5697" s="11">
        <f>MAX(0,M5697-N5697)</f>
        <v/>
      </c>
      <c r="K5697" s="11">
        <f>O5697</f>
        <v/>
      </c>
      <c r="L5697" s="11">
        <f>L5696+IF(K5697&gt;0,K5697*Summary!$B$9,K5697/Summary!$B$9)</f>
        <v/>
      </c>
      <c r="M5697" s="11">
        <f>G5697+H5697</f>
        <v/>
      </c>
      <c r="N5697" s="11">
        <f>Summary!$C$16*Summary!$B$8</f>
        <v/>
      </c>
      <c r="O5697" s="11">
        <f>M5697-N5697</f>
        <v/>
      </c>
    </row>
    <row r="5698">
      <c r="A5698" s="9" t="n">
        <v>45529.33333333334</v>
      </c>
      <c r="B5698" t="n">
        <v>8</v>
      </c>
      <c r="C5698" t="n">
        <v>25</v>
      </c>
      <c r="D5698" t="n">
        <v>8</v>
      </c>
      <c r="E5698" s="10" t="n">
        <v>0.097192</v>
      </c>
      <c r="F5698" s="10" t="n">
        <v>0.213872883329492</v>
      </c>
      <c r="G5698" s="11">
        <f>E5698*Summary!$B$6</f>
        <v/>
      </c>
      <c r="H5698" s="11">
        <f>F5698*Summary!$B$7</f>
        <v/>
      </c>
      <c r="I5698" s="11">
        <f>MAX(0,N5698-M5698)</f>
        <v/>
      </c>
      <c r="J5698" s="11">
        <f>MAX(0,M5698-N5698)</f>
        <v/>
      </c>
      <c r="K5698" s="11">
        <f>O5698</f>
        <v/>
      </c>
      <c r="L5698" s="11">
        <f>L5697+IF(K5698&gt;0,K5698*Summary!$B$9,K5698/Summary!$B$9)</f>
        <v/>
      </c>
      <c r="M5698" s="11">
        <f>G5698+H5698</f>
        <v/>
      </c>
      <c r="N5698" s="11">
        <f>Summary!$C$16*Summary!$B$8</f>
        <v/>
      </c>
      <c r="O5698" s="11">
        <f>M5698-N5698</f>
        <v/>
      </c>
    </row>
    <row r="5699">
      <c r="A5699" s="9" t="n">
        <v>45529.375</v>
      </c>
      <c r="B5699" t="n">
        <v>8</v>
      </c>
      <c r="C5699" t="n">
        <v>25</v>
      </c>
      <c r="D5699" t="n">
        <v>9</v>
      </c>
      <c r="E5699" s="10" t="n">
        <v>0.159431</v>
      </c>
      <c r="F5699" s="10" t="n">
        <v>0.2201973648473676</v>
      </c>
      <c r="G5699" s="11">
        <f>E5699*Summary!$B$6</f>
        <v/>
      </c>
      <c r="H5699" s="11">
        <f>F5699*Summary!$B$7</f>
        <v/>
      </c>
      <c r="I5699" s="11">
        <f>MAX(0,N5699-M5699)</f>
        <v/>
      </c>
      <c r="J5699" s="11">
        <f>MAX(0,M5699-N5699)</f>
        <v/>
      </c>
      <c r="K5699" s="11">
        <f>O5699</f>
        <v/>
      </c>
      <c r="L5699" s="11">
        <f>L5698+IF(K5699&gt;0,K5699*Summary!$B$9,K5699/Summary!$B$9)</f>
        <v/>
      </c>
      <c r="M5699" s="11">
        <f>G5699+H5699</f>
        <v/>
      </c>
      <c r="N5699" s="11">
        <f>Summary!$C$16*Summary!$B$8</f>
        <v/>
      </c>
      <c r="O5699" s="11">
        <f>M5699-N5699</f>
        <v/>
      </c>
    </row>
    <row r="5700">
      <c r="A5700" s="9" t="n">
        <v>45529.41666666666</v>
      </c>
      <c r="B5700" t="n">
        <v>8</v>
      </c>
      <c r="C5700" t="n">
        <v>25</v>
      </c>
      <c r="D5700" t="n">
        <v>10</v>
      </c>
      <c r="E5700" s="10" t="n">
        <v>0.167633</v>
      </c>
      <c r="F5700" s="10" t="n">
        <v>0.2225953974228954</v>
      </c>
      <c r="G5700" s="11">
        <f>E5700*Summary!$B$6</f>
        <v/>
      </c>
      <c r="H5700" s="11">
        <f>F5700*Summary!$B$7</f>
        <v/>
      </c>
      <c r="I5700" s="11">
        <f>MAX(0,N5700-M5700)</f>
        <v/>
      </c>
      <c r="J5700" s="11">
        <f>MAX(0,M5700-N5700)</f>
        <v/>
      </c>
      <c r="K5700" s="11">
        <f>O5700</f>
        <v/>
      </c>
      <c r="L5700" s="11">
        <f>L5699+IF(K5700&gt;0,K5700*Summary!$B$9,K5700/Summary!$B$9)</f>
        <v/>
      </c>
      <c r="M5700" s="11">
        <f>G5700+H5700</f>
        <v/>
      </c>
      <c r="N5700" s="11">
        <f>Summary!$C$16*Summary!$B$8</f>
        <v/>
      </c>
      <c r="O5700" s="11">
        <f>M5700-N5700</f>
        <v/>
      </c>
    </row>
    <row r="5701">
      <c r="A5701" s="9" t="n">
        <v>45529.45833333334</v>
      </c>
      <c r="B5701" t="n">
        <v>8</v>
      </c>
      <c r="C5701" t="n">
        <v>25</v>
      </c>
      <c r="D5701" t="n">
        <v>11</v>
      </c>
      <c r="E5701" s="10" t="n">
        <v>0.303259</v>
      </c>
      <c r="F5701" s="10" t="n">
        <v>0.2327409198578207</v>
      </c>
      <c r="G5701" s="11">
        <f>E5701*Summary!$B$6</f>
        <v/>
      </c>
      <c r="H5701" s="11">
        <f>F5701*Summary!$B$7</f>
        <v/>
      </c>
      <c r="I5701" s="11">
        <f>MAX(0,N5701-M5701)</f>
        <v/>
      </c>
      <c r="J5701" s="11">
        <f>MAX(0,M5701-N5701)</f>
        <v/>
      </c>
      <c r="K5701" s="11">
        <f>O5701</f>
        <v/>
      </c>
      <c r="L5701" s="11">
        <f>L5700+IF(K5701&gt;0,K5701*Summary!$B$9,K5701/Summary!$B$9)</f>
        <v/>
      </c>
      <c r="M5701" s="11">
        <f>G5701+H5701</f>
        <v/>
      </c>
      <c r="N5701" s="11">
        <f>Summary!$C$16*Summary!$B$8</f>
        <v/>
      </c>
      <c r="O5701" s="11">
        <f>M5701-N5701</f>
        <v/>
      </c>
    </row>
    <row r="5702">
      <c r="A5702" s="9" t="n">
        <v>45529.5</v>
      </c>
      <c r="B5702" t="n">
        <v>8</v>
      </c>
      <c r="C5702" t="n">
        <v>25</v>
      </c>
      <c r="D5702" t="n">
        <v>12</v>
      </c>
      <c r="E5702" s="10" t="n">
        <v>0.316693</v>
      </c>
      <c r="F5702" s="10" t="n">
        <v>0.2432817223876134</v>
      </c>
      <c r="G5702" s="11">
        <f>E5702*Summary!$B$6</f>
        <v/>
      </c>
      <c r="H5702" s="11">
        <f>F5702*Summary!$B$7</f>
        <v/>
      </c>
      <c r="I5702" s="11">
        <f>MAX(0,N5702-M5702)</f>
        <v/>
      </c>
      <c r="J5702" s="11">
        <f>MAX(0,M5702-N5702)</f>
        <v/>
      </c>
      <c r="K5702" s="11">
        <f>O5702</f>
        <v/>
      </c>
      <c r="L5702" s="11">
        <f>L5701+IF(K5702&gt;0,K5702*Summary!$B$9,K5702/Summary!$B$9)</f>
        <v/>
      </c>
      <c r="M5702" s="11">
        <f>G5702+H5702</f>
        <v/>
      </c>
      <c r="N5702" s="11">
        <f>Summary!$C$16*Summary!$B$8</f>
        <v/>
      </c>
      <c r="O5702" s="11">
        <f>M5702-N5702</f>
        <v/>
      </c>
    </row>
    <row r="5703">
      <c r="A5703" s="9" t="n">
        <v>45529.54166666666</v>
      </c>
      <c r="B5703" t="n">
        <v>8</v>
      </c>
      <c r="C5703" t="n">
        <v>25</v>
      </c>
      <c r="D5703" t="n">
        <v>13</v>
      </c>
      <c r="E5703" s="10" t="n">
        <v>0.468723</v>
      </c>
      <c r="F5703" s="10" t="n">
        <v>0.2727696174647082</v>
      </c>
      <c r="G5703" s="11">
        <f>E5703*Summary!$B$6</f>
        <v/>
      </c>
      <c r="H5703" s="11">
        <f>F5703*Summary!$B$7</f>
        <v/>
      </c>
      <c r="I5703" s="11">
        <f>MAX(0,N5703-M5703)</f>
        <v/>
      </c>
      <c r="J5703" s="11">
        <f>MAX(0,M5703-N5703)</f>
        <v/>
      </c>
      <c r="K5703" s="11">
        <f>O5703</f>
        <v/>
      </c>
      <c r="L5703" s="11">
        <f>L5702+IF(K5703&gt;0,K5703*Summary!$B$9,K5703/Summary!$B$9)</f>
        <v/>
      </c>
      <c r="M5703" s="11">
        <f>G5703+H5703</f>
        <v/>
      </c>
      <c r="N5703" s="11">
        <f>Summary!$C$16*Summary!$B$8</f>
        <v/>
      </c>
      <c r="O5703" s="11">
        <f>M5703-N5703</f>
        <v/>
      </c>
    </row>
    <row r="5704">
      <c r="A5704" s="9" t="n">
        <v>45529.58333333334</v>
      </c>
      <c r="B5704" t="n">
        <v>8</v>
      </c>
      <c r="C5704" t="n">
        <v>25</v>
      </c>
      <c r="D5704" t="n">
        <v>14</v>
      </c>
      <c r="E5704" s="10" t="n">
        <v>0.613919</v>
      </c>
      <c r="F5704" s="10" t="n">
        <v>0.2520305884873412</v>
      </c>
      <c r="G5704" s="11">
        <f>E5704*Summary!$B$6</f>
        <v/>
      </c>
      <c r="H5704" s="11">
        <f>F5704*Summary!$B$7</f>
        <v/>
      </c>
      <c r="I5704" s="11">
        <f>MAX(0,N5704-M5704)</f>
        <v/>
      </c>
      <c r="J5704" s="11">
        <f>MAX(0,M5704-N5704)</f>
        <v/>
      </c>
      <c r="K5704" s="11">
        <f>O5704</f>
        <v/>
      </c>
      <c r="L5704" s="11">
        <f>L5703+IF(K5704&gt;0,K5704*Summary!$B$9,K5704/Summary!$B$9)</f>
        <v/>
      </c>
      <c r="M5704" s="11">
        <f>G5704+H5704</f>
        <v/>
      </c>
      <c r="N5704" s="11">
        <f>Summary!$C$16*Summary!$B$8</f>
        <v/>
      </c>
      <c r="O5704" s="11">
        <f>M5704-N5704</f>
        <v/>
      </c>
    </row>
    <row r="5705">
      <c r="A5705" s="9" t="n">
        <v>45529.625</v>
      </c>
      <c r="B5705" t="n">
        <v>8</v>
      </c>
      <c r="C5705" t="n">
        <v>25</v>
      </c>
      <c r="D5705" t="n">
        <v>15</v>
      </c>
      <c r="E5705" s="10" t="n">
        <v>0.424848</v>
      </c>
      <c r="F5705" s="10" t="n">
        <v>0.2538488769237304</v>
      </c>
      <c r="G5705" s="11">
        <f>E5705*Summary!$B$6</f>
        <v/>
      </c>
      <c r="H5705" s="11">
        <f>F5705*Summary!$B$7</f>
        <v/>
      </c>
      <c r="I5705" s="11">
        <f>MAX(0,N5705-M5705)</f>
        <v/>
      </c>
      <c r="J5705" s="11">
        <f>MAX(0,M5705-N5705)</f>
        <v/>
      </c>
      <c r="K5705" s="11">
        <f>O5705</f>
        <v/>
      </c>
      <c r="L5705" s="11">
        <f>L5704+IF(K5705&gt;0,K5705*Summary!$B$9,K5705/Summary!$B$9)</f>
        <v/>
      </c>
      <c r="M5705" s="11">
        <f>G5705+H5705</f>
        <v/>
      </c>
      <c r="N5705" s="11">
        <f>Summary!$C$16*Summary!$B$8</f>
        <v/>
      </c>
      <c r="O5705" s="11">
        <f>M5705-N5705</f>
        <v/>
      </c>
    </row>
    <row r="5706">
      <c r="A5706" s="9" t="n">
        <v>45529.66666666666</v>
      </c>
      <c r="B5706" t="n">
        <v>8</v>
      </c>
      <c r="C5706" t="n">
        <v>25</v>
      </c>
      <c r="D5706" t="n">
        <v>16</v>
      </c>
      <c r="E5706" s="10" t="n">
        <v>0.359291</v>
      </c>
      <c r="F5706" s="10" t="n">
        <v>0.2606213425491222</v>
      </c>
      <c r="G5706" s="11">
        <f>E5706*Summary!$B$6</f>
        <v/>
      </c>
      <c r="H5706" s="11">
        <f>F5706*Summary!$B$7</f>
        <v/>
      </c>
      <c r="I5706" s="11">
        <f>MAX(0,N5706-M5706)</f>
        <v/>
      </c>
      <c r="J5706" s="11">
        <f>MAX(0,M5706-N5706)</f>
        <v/>
      </c>
      <c r="K5706" s="11">
        <f>O5706</f>
        <v/>
      </c>
      <c r="L5706" s="11">
        <f>L5705+IF(K5706&gt;0,K5706*Summary!$B$9,K5706/Summary!$B$9)</f>
        <v/>
      </c>
      <c r="M5706" s="11">
        <f>G5706+H5706</f>
        <v/>
      </c>
      <c r="N5706" s="11">
        <f>Summary!$C$16*Summary!$B$8</f>
        <v/>
      </c>
      <c r="O5706" s="11">
        <f>M5706-N5706</f>
        <v/>
      </c>
    </row>
    <row r="5707">
      <c r="A5707" s="9" t="n">
        <v>45529.70833333334</v>
      </c>
      <c r="B5707" t="n">
        <v>8</v>
      </c>
      <c r="C5707" t="n">
        <v>25</v>
      </c>
      <c r="D5707" t="n">
        <v>17</v>
      </c>
      <c r="E5707" s="10" t="n">
        <v>0.150243</v>
      </c>
      <c r="F5707" s="10" t="n">
        <v>0.2716891852054044</v>
      </c>
      <c r="G5707" s="11">
        <f>E5707*Summary!$B$6</f>
        <v/>
      </c>
      <c r="H5707" s="11">
        <f>F5707*Summary!$B$7</f>
        <v/>
      </c>
      <c r="I5707" s="11">
        <f>MAX(0,N5707-M5707)</f>
        <v/>
      </c>
      <c r="J5707" s="11">
        <f>MAX(0,M5707-N5707)</f>
        <v/>
      </c>
      <c r="K5707" s="11">
        <f>O5707</f>
        <v/>
      </c>
      <c r="L5707" s="11">
        <f>L5706+IF(K5707&gt;0,K5707*Summary!$B$9,K5707/Summary!$B$9)</f>
        <v/>
      </c>
      <c r="M5707" s="11">
        <f>G5707+H5707</f>
        <v/>
      </c>
      <c r="N5707" s="11">
        <f>Summary!$C$16*Summary!$B$8</f>
        <v/>
      </c>
      <c r="O5707" s="11">
        <f>M5707-N5707</f>
        <v/>
      </c>
    </row>
    <row r="5708">
      <c r="A5708" s="9" t="n">
        <v>45529.75</v>
      </c>
      <c r="B5708" t="n">
        <v>8</v>
      </c>
      <c r="C5708" t="n">
        <v>25</v>
      </c>
      <c r="D5708" t="n">
        <v>18</v>
      </c>
      <c r="E5708" s="10" t="n">
        <v>0.032101</v>
      </c>
      <c r="F5708" s="10" t="n">
        <v>0.2073112337546961</v>
      </c>
      <c r="G5708" s="11">
        <f>E5708*Summary!$B$6</f>
        <v/>
      </c>
      <c r="H5708" s="11">
        <f>F5708*Summary!$B$7</f>
        <v/>
      </c>
      <c r="I5708" s="11">
        <f>MAX(0,N5708-M5708)</f>
        <v/>
      </c>
      <c r="J5708" s="11">
        <f>MAX(0,M5708-N5708)</f>
        <v/>
      </c>
      <c r="K5708" s="11">
        <f>O5708</f>
        <v/>
      </c>
      <c r="L5708" s="11">
        <f>L5707+IF(K5708&gt;0,K5708*Summary!$B$9,K5708/Summary!$B$9)</f>
        <v/>
      </c>
      <c r="M5708" s="11">
        <f>G5708+H5708</f>
        <v/>
      </c>
      <c r="N5708" s="11">
        <f>Summary!$C$16*Summary!$B$8</f>
        <v/>
      </c>
      <c r="O5708" s="11">
        <f>M5708-N5708</f>
        <v/>
      </c>
    </row>
    <row r="5709">
      <c r="A5709" s="9" t="n">
        <v>45529.79166666666</v>
      </c>
      <c r="B5709" t="n">
        <v>8</v>
      </c>
      <c r="C5709" t="n">
        <v>25</v>
      </c>
      <c r="D5709" t="n">
        <v>19</v>
      </c>
      <c r="E5709" s="10" t="n">
        <v>0</v>
      </c>
      <c r="F5709" s="10" t="n">
        <v>0.2715837771801065</v>
      </c>
      <c r="G5709" s="11">
        <f>E5709*Summary!$B$6</f>
        <v/>
      </c>
      <c r="H5709" s="11">
        <f>F5709*Summary!$B$7</f>
        <v/>
      </c>
      <c r="I5709" s="11">
        <f>MAX(0,N5709-M5709)</f>
        <v/>
      </c>
      <c r="J5709" s="11">
        <f>MAX(0,M5709-N5709)</f>
        <v/>
      </c>
      <c r="K5709" s="11">
        <f>O5709</f>
        <v/>
      </c>
      <c r="L5709" s="11">
        <f>L5708+IF(K5709&gt;0,K5709*Summary!$B$9,K5709/Summary!$B$9)</f>
        <v/>
      </c>
      <c r="M5709" s="11">
        <f>G5709+H5709</f>
        <v/>
      </c>
      <c r="N5709" s="11">
        <f>Summary!$C$16*Summary!$B$8</f>
        <v/>
      </c>
      <c r="O5709" s="11">
        <f>M5709-N5709</f>
        <v/>
      </c>
    </row>
    <row r="5710">
      <c r="A5710" s="9" t="n">
        <v>45529.83333333334</v>
      </c>
      <c r="B5710" t="n">
        <v>8</v>
      </c>
      <c r="C5710" t="n">
        <v>25</v>
      </c>
      <c r="D5710" t="n">
        <v>20</v>
      </c>
      <c r="E5710" s="10" t="n">
        <v>0</v>
      </c>
      <c r="F5710" s="10" t="n">
        <v>0.2666559519974285</v>
      </c>
      <c r="G5710" s="11">
        <f>E5710*Summary!$B$6</f>
        <v/>
      </c>
      <c r="H5710" s="11">
        <f>F5710*Summary!$B$7</f>
        <v/>
      </c>
      <c r="I5710" s="11">
        <f>MAX(0,N5710-M5710)</f>
        <v/>
      </c>
      <c r="J5710" s="11">
        <f>MAX(0,M5710-N5710)</f>
        <v/>
      </c>
      <c r="K5710" s="11">
        <f>O5710</f>
        <v/>
      </c>
      <c r="L5710" s="11">
        <f>L5709+IF(K5710&gt;0,K5710*Summary!$B$9,K5710/Summary!$B$9)</f>
        <v/>
      </c>
      <c r="M5710" s="11">
        <f>G5710+H5710</f>
        <v/>
      </c>
      <c r="N5710" s="11">
        <f>Summary!$C$16*Summary!$B$8</f>
        <v/>
      </c>
      <c r="O5710" s="11">
        <f>M5710-N5710</f>
        <v/>
      </c>
    </row>
    <row r="5711">
      <c r="A5711" s="9" t="n">
        <v>45529.875</v>
      </c>
      <c r="B5711" t="n">
        <v>8</v>
      </c>
      <c r="C5711" t="n">
        <v>25</v>
      </c>
      <c r="D5711" t="n">
        <v>21</v>
      </c>
      <c r="E5711" s="10" t="n">
        <v>0</v>
      </c>
      <c r="F5711" s="10" t="n">
        <v>0.2864199567407896</v>
      </c>
      <c r="G5711" s="11">
        <f>E5711*Summary!$B$6</f>
        <v/>
      </c>
      <c r="H5711" s="11">
        <f>F5711*Summary!$B$7</f>
        <v/>
      </c>
      <c r="I5711" s="11">
        <f>MAX(0,N5711-M5711)</f>
        <v/>
      </c>
      <c r="J5711" s="11">
        <f>MAX(0,M5711-N5711)</f>
        <v/>
      </c>
      <c r="K5711" s="11">
        <f>O5711</f>
        <v/>
      </c>
      <c r="L5711" s="11">
        <f>L5710+IF(K5711&gt;0,K5711*Summary!$B$9,K5711/Summary!$B$9)</f>
        <v/>
      </c>
      <c r="M5711" s="11">
        <f>G5711+H5711</f>
        <v/>
      </c>
      <c r="N5711" s="11">
        <f>Summary!$C$16*Summary!$B$8</f>
        <v/>
      </c>
      <c r="O5711" s="11">
        <f>M5711-N5711</f>
        <v/>
      </c>
    </row>
    <row r="5712">
      <c r="A5712" s="9" t="n">
        <v>45529.91666666666</v>
      </c>
      <c r="B5712" t="n">
        <v>8</v>
      </c>
      <c r="C5712" t="n">
        <v>25</v>
      </c>
      <c r="D5712" t="n">
        <v>22</v>
      </c>
      <c r="E5712" s="10" t="n">
        <v>0</v>
      </c>
      <c r="F5712" s="10" t="n">
        <v>0.2483676596082383</v>
      </c>
      <c r="G5712" s="11">
        <f>E5712*Summary!$B$6</f>
        <v/>
      </c>
      <c r="H5712" s="11">
        <f>F5712*Summary!$B$7</f>
        <v/>
      </c>
      <c r="I5712" s="11">
        <f>MAX(0,N5712-M5712)</f>
        <v/>
      </c>
      <c r="J5712" s="11">
        <f>MAX(0,M5712-N5712)</f>
        <v/>
      </c>
      <c r="K5712" s="11">
        <f>O5712</f>
        <v/>
      </c>
      <c r="L5712" s="11">
        <f>L5711+IF(K5712&gt;0,K5712*Summary!$B$9,K5712/Summary!$B$9)</f>
        <v/>
      </c>
      <c r="M5712" s="11">
        <f>G5712+H5712</f>
        <v/>
      </c>
      <c r="N5712" s="11">
        <f>Summary!$C$16*Summary!$B$8</f>
        <v/>
      </c>
      <c r="O5712" s="11">
        <f>M5712-N5712</f>
        <v/>
      </c>
    </row>
    <row r="5713">
      <c r="A5713" s="9" t="n">
        <v>45529.95833333334</v>
      </c>
      <c r="B5713" t="n">
        <v>8</v>
      </c>
      <c r="C5713" t="n">
        <v>25</v>
      </c>
      <c r="D5713" t="n">
        <v>23</v>
      </c>
      <c r="E5713" s="10" t="n">
        <v>0</v>
      </c>
      <c r="F5713" s="10" t="n">
        <v>0.2635200632448152</v>
      </c>
      <c r="G5713" s="11">
        <f>E5713*Summary!$B$6</f>
        <v/>
      </c>
      <c r="H5713" s="11">
        <f>F5713*Summary!$B$7</f>
        <v/>
      </c>
      <c r="I5713" s="11">
        <f>MAX(0,N5713-M5713)</f>
        <v/>
      </c>
      <c r="J5713" s="11">
        <f>MAX(0,M5713-N5713)</f>
        <v/>
      </c>
      <c r="K5713" s="11">
        <f>O5713</f>
        <v/>
      </c>
      <c r="L5713" s="11">
        <f>L5712+IF(K5713&gt;0,K5713*Summary!$B$9,K5713/Summary!$B$9)</f>
        <v/>
      </c>
      <c r="M5713" s="11">
        <f>G5713+H5713</f>
        <v/>
      </c>
      <c r="N5713" s="11">
        <f>Summary!$C$16*Summary!$B$8</f>
        <v/>
      </c>
      <c r="O5713" s="11">
        <f>M5713-N5713</f>
        <v/>
      </c>
    </row>
    <row r="5714">
      <c r="A5714" s="9" t="n">
        <v>45530</v>
      </c>
      <c r="B5714" t="n">
        <v>8</v>
      </c>
      <c r="C5714" t="n">
        <v>26</v>
      </c>
      <c r="D5714" t="n">
        <v>0</v>
      </c>
      <c r="E5714" s="10" t="n">
        <v>0</v>
      </c>
      <c r="F5714" s="10" t="n">
        <v>0.3022838645481275</v>
      </c>
      <c r="G5714" s="11">
        <f>E5714*Summary!$B$6</f>
        <v/>
      </c>
      <c r="H5714" s="11">
        <f>F5714*Summary!$B$7</f>
        <v/>
      </c>
      <c r="I5714" s="11">
        <f>MAX(0,N5714-M5714)</f>
        <v/>
      </c>
      <c r="J5714" s="11">
        <f>MAX(0,M5714-N5714)</f>
        <v/>
      </c>
      <c r="K5714" s="11">
        <f>O5714</f>
        <v/>
      </c>
      <c r="L5714" s="11">
        <f>L5713+IF(K5714&gt;0,K5714*Summary!$B$9,K5714/Summary!$B$9)</f>
        <v/>
      </c>
      <c r="M5714" s="11">
        <f>G5714+H5714</f>
        <v/>
      </c>
      <c r="N5714" s="11">
        <f>Summary!$C$16*Summary!$B$8</f>
        <v/>
      </c>
      <c r="O5714" s="11">
        <f>M5714-N5714</f>
        <v/>
      </c>
    </row>
    <row r="5715">
      <c r="A5715" s="9" t="n">
        <v>45530.04166666666</v>
      </c>
      <c r="B5715" t="n">
        <v>8</v>
      </c>
      <c r="C5715" t="n">
        <v>26</v>
      </c>
      <c r="D5715" t="n">
        <v>1</v>
      </c>
      <c r="E5715" s="10" t="n">
        <v>0</v>
      </c>
      <c r="F5715" s="10" t="n">
        <v>0.2568003016320724</v>
      </c>
      <c r="G5715" s="11">
        <f>E5715*Summary!$B$6</f>
        <v/>
      </c>
      <c r="H5715" s="11">
        <f>F5715*Summary!$B$7</f>
        <v/>
      </c>
      <c r="I5715" s="11">
        <f>MAX(0,N5715-M5715)</f>
        <v/>
      </c>
      <c r="J5715" s="11">
        <f>MAX(0,M5715-N5715)</f>
        <v/>
      </c>
      <c r="K5715" s="11">
        <f>O5715</f>
        <v/>
      </c>
      <c r="L5715" s="11">
        <f>L5714+IF(K5715&gt;0,K5715*Summary!$B$9,K5715/Summary!$B$9)</f>
        <v/>
      </c>
      <c r="M5715" s="11">
        <f>G5715+H5715</f>
        <v/>
      </c>
      <c r="N5715" s="11">
        <f>Summary!$C$16*Summary!$B$8</f>
        <v/>
      </c>
      <c r="O5715" s="11">
        <f>M5715-N5715</f>
        <v/>
      </c>
    </row>
    <row r="5716">
      <c r="A5716" s="9" t="n">
        <v>45530.08333333334</v>
      </c>
      <c r="B5716" t="n">
        <v>8</v>
      </c>
      <c r="C5716" t="n">
        <v>26</v>
      </c>
      <c r="D5716" t="n">
        <v>2</v>
      </c>
      <c r="E5716" s="10" t="n">
        <v>0</v>
      </c>
      <c r="F5716" s="10" t="n">
        <v>0.2679735523136526</v>
      </c>
      <c r="G5716" s="11">
        <f>E5716*Summary!$B$6</f>
        <v/>
      </c>
      <c r="H5716" s="11">
        <f>F5716*Summary!$B$7</f>
        <v/>
      </c>
      <c r="I5716" s="11">
        <f>MAX(0,N5716-M5716)</f>
        <v/>
      </c>
      <c r="J5716" s="11">
        <f>MAX(0,M5716-N5716)</f>
        <v/>
      </c>
      <c r="K5716" s="11">
        <f>O5716</f>
        <v/>
      </c>
      <c r="L5716" s="11">
        <f>L5715+IF(K5716&gt;0,K5716*Summary!$B$9,K5716/Summary!$B$9)</f>
        <v/>
      </c>
      <c r="M5716" s="11">
        <f>G5716+H5716</f>
        <v/>
      </c>
      <c r="N5716" s="11">
        <f>Summary!$C$16*Summary!$B$8</f>
        <v/>
      </c>
      <c r="O5716" s="11">
        <f>M5716-N5716</f>
        <v/>
      </c>
    </row>
    <row r="5717">
      <c r="A5717" s="9" t="n">
        <v>45530.125</v>
      </c>
      <c r="B5717" t="n">
        <v>8</v>
      </c>
      <c r="C5717" t="n">
        <v>26</v>
      </c>
      <c r="D5717" t="n">
        <v>3</v>
      </c>
      <c r="E5717" s="10" t="n">
        <v>0</v>
      </c>
      <c r="F5717" s="10" t="n">
        <v>0.2561415014739604</v>
      </c>
      <c r="G5717" s="11">
        <f>E5717*Summary!$B$6</f>
        <v/>
      </c>
      <c r="H5717" s="11">
        <f>F5717*Summary!$B$7</f>
        <v/>
      </c>
      <c r="I5717" s="11">
        <f>MAX(0,N5717-M5717)</f>
        <v/>
      </c>
      <c r="J5717" s="11">
        <f>MAX(0,M5717-N5717)</f>
        <v/>
      </c>
      <c r="K5717" s="11">
        <f>O5717</f>
        <v/>
      </c>
      <c r="L5717" s="11">
        <f>L5716+IF(K5717&gt;0,K5717*Summary!$B$9,K5717/Summary!$B$9)</f>
        <v/>
      </c>
      <c r="M5717" s="11">
        <f>G5717+H5717</f>
        <v/>
      </c>
      <c r="N5717" s="11">
        <f>Summary!$C$16*Summary!$B$8</f>
        <v/>
      </c>
      <c r="O5717" s="11">
        <f>M5717-N5717</f>
        <v/>
      </c>
    </row>
    <row r="5718">
      <c r="A5718" s="9" t="n">
        <v>45530.16666666666</v>
      </c>
      <c r="B5718" t="n">
        <v>8</v>
      </c>
      <c r="C5718" t="n">
        <v>26</v>
      </c>
      <c r="D5718" t="n">
        <v>4</v>
      </c>
      <c r="E5718" s="10" t="n">
        <v>0</v>
      </c>
      <c r="F5718" s="10" t="n">
        <v>0.2599098383783612</v>
      </c>
      <c r="G5718" s="11">
        <f>E5718*Summary!$B$6</f>
        <v/>
      </c>
      <c r="H5718" s="11">
        <f>F5718*Summary!$B$7</f>
        <v/>
      </c>
      <c r="I5718" s="11">
        <f>MAX(0,N5718-M5718)</f>
        <v/>
      </c>
      <c r="J5718" s="11">
        <f>MAX(0,M5718-N5718)</f>
        <v/>
      </c>
      <c r="K5718" s="11">
        <f>O5718</f>
        <v/>
      </c>
      <c r="L5718" s="11">
        <f>L5717+IF(K5718&gt;0,K5718*Summary!$B$9,K5718/Summary!$B$9)</f>
        <v/>
      </c>
      <c r="M5718" s="11">
        <f>G5718+H5718</f>
        <v/>
      </c>
      <c r="N5718" s="11">
        <f>Summary!$C$16*Summary!$B$8</f>
        <v/>
      </c>
      <c r="O5718" s="11">
        <f>M5718-N5718</f>
        <v/>
      </c>
    </row>
    <row r="5719">
      <c r="A5719" s="9" t="n">
        <v>45530.20833333334</v>
      </c>
      <c r="B5719" t="n">
        <v>8</v>
      </c>
      <c r="C5719" t="n">
        <v>26</v>
      </c>
      <c r="D5719" t="n">
        <v>5</v>
      </c>
      <c r="E5719" s="10" t="n">
        <v>0.004604</v>
      </c>
      <c r="F5719" s="10" t="n">
        <v>0.2628349110803787</v>
      </c>
      <c r="G5719" s="11">
        <f>E5719*Summary!$B$6</f>
        <v/>
      </c>
      <c r="H5719" s="11">
        <f>F5719*Summary!$B$7</f>
        <v/>
      </c>
      <c r="I5719" s="11">
        <f>MAX(0,N5719-M5719)</f>
        <v/>
      </c>
      <c r="J5719" s="11">
        <f>MAX(0,M5719-N5719)</f>
        <v/>
      </c>
      <c r="K5719" s="11">
        <f>O5719</f>
        <v/>
      </c>
      <c r="L5719" s="11">
        <f>L5718+IF(K5719&gt;0,K5719*Summary!$B$9,K5719/Summary!$B$9)</f>
        <v/>
      </c>
      <c r="M5719" s="11">
        <f>G5719+H5719</f>
        <v/>
      </c>
      <c r="N5719" s="11">
        <f>Summary!$C$16*Summary!$B$8</f>
        <v/>
      </c>
      <c r="O5719" s="11">
        <f>M5719-N5719</f>
        <v/>
      </c>
    </row>
    <row r="5720">
      <c r="A5720" s="9" t="n">
        <v>45530.25</v>
      </c>
      <c r="B5720" t="n">
        <v>8</v>
      </c>
      <c r="C5720" t="n">
        <v>26</v>
      </c>
      <c r="D5720" t="n">
        <v>6</v>
      </c>
      <c r="E5720" s="10" t="n">
        <v>0.026775</v>
      </c>
      <c r="F5720" s="10" t="n">
        <v>0.2573536937648865</v>
      </c>
      <c r="G5720" s="11">
        <f>E5720*Summary!$B$6</f>
        <v/>
      </c>
      <c r="H5720" s="11">
        <f>F5720*Summary!$B$7</f>
        <v/>
      </c>
      <c r="I5720" s="11">
        <f>MAX(0,N5720-M5720)</f>
        <v/>
      </c>
      <c r="J5720" s="11">
        <f>MAX(0,M5720-N5720)</f>
        <v/>
      </c>
      <c r="K5720" s="11">
        <f>O5720</f>
        <v/>
      </c>
      <c r="L5720" s="11">
        <f>L5719+IF(K5720&gt;0,K5720*Summary!$B$9,K5720/Summary!$B$9)</f>
        <v/>
      </c>
      <c r="M5720" s="11">
        <f>G5720+H5720</f>
        <v/>
      </c>
      <c r="N5720" s="11">
        <f>Summary!$C$16*Summary!$B$8</f>
        <v/>
      </c>
      <c r="O5720" s="11">
        <f>M5720-N5720</f>
        <v/>
      </c>
    </row>
    <row r="5721">
      <c r="A5721" s="9" t="n">
        <v>45530.29166666666</v>
      </c>
      <c r="B5721" t="n">
        <v>8</v>
      </c>
      <c r="C5721" t="n">
        <v>26</v>
      </c>
      <c r="D5721" t="n">
        <v>7</v>
      </c>
      <c r="E5721" s="10" t="n">
        <v>0.176484</v>
      </c>
      <c r="F5721" s="10" t="n">
        <v>0.2445466186911885</v>
      </c>
      <c r="G5721" s="11">
        <f>E5721*Summary!$B$6</f>
        <v/>
      </c>
      <c r="H5721" s="11">
        <f>F5721*Summary!$B$7</f>
        <v/>
      </c>
      <c r="I5721" s="11">
        <f>MAX(0,N5721-M5721)</f>
        <v/>
      </c>
      <c r="J5721" s="11">
        <f>MAX(0,M5721-N5721)</f>
        <v/>
      </c>
      <c r="K5721" s="11">
        <f>O5721</f>
        <v/>
      </c>
      <c r="L5721" s="11">
        <f>L5720+IF(K5721&gt;0,K5721*Summary!$B$9,K5721/Summary!$B$9)</f>
        <v/>
      </c>
      <c r="M5721" s="11">
        <f>G5721+H5721</f>
        <v/>
      </c>
      <c r="N5721" s="11">
        <f>Summary!$C$16*Summary!$B$8</f>
        <v/>
      </c>
      <c r="O5721" s="11">
        <f>M5721-N5721</f>
        <v/>
      </c>
    </row>
    <row r="5722">
      <c r="A5722" s="9" t="n">
        <v>45530.33333333334</v>
      </c>
      <c r="B5722" t="n">
        <v>8</v>
      </c>
      <c r="C5722" t="n">
        <v>26</v>
      </c>
      <c r="D5722" t="n">
        <v>8</v>
      </c>
      <c r="E5722" s="10" t="n">
        <v>0.245533</v>
      </c>
      <c r="F5722" s="10" t="n">
        <v>0.2598834863720367</v>
      </c>
      <c r="G5722" s="11">
        <f>E5722*Summary!$B$6</f>
        <v/>
      </c>
      <c r="H5722" s="11">
        <f>F5722*Summary!$B$7</f>
        <v/>
      </c>
      <c r="I5722" s="11">
        <f>MAX(0,N5722-M5722)</f>
        <v/>
      </c>
      <c r="J5722" s="11">
        <f>MAX(0,M5722-N5722)</f>
        <v/>
      </c>
      <c r="K5722" s="11">
        <f>O5722</f>
        <v/>
      </c>
      <c r="L5722" s="11">
        <f>L5721+IF(K5722&gt;0,K5722*Summary!$B$9,K5722/Summary!$B$9)</f>
        <v/>
      </c>
      <c r="M5722" s="11">
        <f>G5722+H5722</f>
        <v/>
      </c>
      <c r="N5722" s="11">
        <f>Summary!$C$16*Summary!$B$8</f>
        <v/>
      </c>
      <c r="O5722" s="11">
        <f>M5722-N5722</f>
        <v/>
      </c>
    </row>
    <row r="5723">
      <c r="A5723" s="9" t="n">
        <v>45530.375</v>
      </c>
      <c r="B5723" t="n">
        <v>8</v>
      </c>
      <c r="C5723" t="n">
        <v>26</v>
      </c>
      <c r="D5723" t="n">
        <v>9</v>
      </c>
      <c r="E5723" s="10" t="n">
        <v>0.577794</v>
      </c>
      <c r="F5723" s="10" t="n">
        <v>0.2636254712701131</v>
      </c>
      <c r="G5723" s="11">
        <f>E5723*Summary!$B$6</f>
        <v/>
      </c>
      <c r="H5723" s="11">
        <f>F5723*Summary!$B$7</f>
        <v/>
      </c>
      <c r="I5723" s="11">
        <f>MAX(0,N5723-M5723)</f>
        <v/>
      </c>
      <c r="J5723" s="11">
        <f>MAX(0,M5723-N5723)</f>
        <v/>
      </c>
      <c r="K5723" s="11">
        <f>O5723</f>
        <v/>
      </c>
      <c r="L5723" s="11">
        <f>L5722+IF(K5723&gt;0,K5723*Summary!$B$9,K5723/Summary!$B$9)</f>
        <v/>
      </c>
      <c r="M5723" s="11">
        <f>G5723+H5723</f>
        <v/>
      </c>
      <c r="N5723" s="11">
        <f>Summary!$C$16*Summary!$B$8</f>
        <v/>
      </c>
      <c r="O5723" s="11">
        <f>M5723-N5723</f>
        <v/>
      </c>
    </row>
    <row r="5724">
      <c r="A5724" s="9" t="n">
        <v>45530.41666666666</v>
      </c>
      <c r="B5724" t="n">
        <v>8</v>
      </c>
      <c r="C5724" t="n">
        <v>26</v>
      </c>
      <c r="D5724" t="n">
        <v>10</v>
      </c>
      <c r="E5724" s="10" t="n">
        <v>0.70059</v>
      </c>
      <c r="F5724" s="10" t="n">
        <v>0.2511082682659844</v>
      </c>
      <c r="G5724" s="11">
        <f>E5724*Summary!$B$6</f>
        <v/>
      </c>
      <c r="H5724" s="11">
        <f>F5724*Summary!$B$7</f>
        <v/>
      </c>
      <c r="I5724" s="11">
        <f>MAX(0,N5724-M5724)</f>
        <v/>
      </c>
      <c r="J5724" s="11">
        <f>MAX(0,M5724-N5724)</f>
        <v/>
      </c>
      <c r="K5724" s="11">
        <f>O5724</f>
        <v/>
      </c>
      <c r="L5724" s="11">
        <f>L5723+IF(K5724&gt;0,K5724*Summary!$B$9,K5724/Summary!$B$9)</f>
        <v/>
      </c>
      <c r="M5724" s="11">
        <f>G5724+H5724</f>
        <v/>
      </c>
      <c r="N5724" s="11">
        <f>Summary!$C$16*Summary!$B$8</f>
        <v/>
      </c>
      <c r="O5724" s="11">
        <f>M5724-N5724</f>
        <v/>
      </c>
    </row>
    <row r="5725">
      <c r="A5725" s="9" t="n">
        <v>45530.45833333334</v>
      </c>
      <c r="B5725" t="n">
        <v>8</v>
      </c>
      <c r="C5725" t="n">
        <v>26</v>
      </c>
      <c r="D5725" t="n">
        <v>11</v>
      </c>
      <c r="E5725" s="10" t="n">
        <v>0.71262</v>
      </c>
      <c r="F5725" s="10" t="n">
        <v>0.2588294061190575</v>
      </c>
      <c r="G5725" s="11">
        <f>E5725*Summary!$B$6</f>
        <v/>
      </c>
      <c r="H5725" s="11">
        <f>F5725*Summary!$B$7</f>
        <v/>
      </c>
      <c r="I5725" s="11">
        <f>MAX(0,N5725-M5725)</f>
        <v/>
      </c>
      <c r="J5725" s="11">
        <f>MAX(0,M5725-N5725)</f>
        <v/>
      </c>
      <c r="K5725" s="11">
        <f>O5725</f>
        <v/>
      </c>
      <c r="L5725" s="11">
        <f>L5724+IF(K5725&gt;0,K5725*Summary!$B$9,K5725/Summary!$B$9)</f>
        <v/>
      </c>
      <c r="M5725" s="11">
        <f>G5725+H5725</f>
        <v/>
      </c>
      <c r="N5725" s="11">
        <f>Summary!$C$16*Summary!$B$8</f>
        <v/>
      </c>
      <c r="O5725" s="11">
        <f>M5725-N5725</f>
        <v/>
      </c>
    </row>
    <row r="5726">
      <c r="A5726" s="9" t="n">
        <v>45530.5</v>
      </c>
      <c r="B5726" t="n">
        <v>8</v>
      </c>
      <c r="C5726" t="n">
        <v>26</v>
      </c>
      <c r="D5726" t="n">
        <v>12</v>
      </c>
      <c r="E5726" s="10" t="n">
        <v>0.754058</v>
      </c>
      <c r="F5726" s="10" t="n">
        <v>0.2654701117128268</v>
      </c>
      <c r="G5726" s="11">
        <f>E5726*Summary!$B$6</f>
        <v/>
      </c>
      <c r="H5726" s="11">
        <f>F5726*Summary!$B$7</f>
        <v/>
      </c>
      <c r="I5726" s="11">
        <f>MAX(0,N5726-M5726)</f>
        <v/>
      </c>
      <c r="J5726" s="11">
        <f>MAX(0,M5726-N5726)</f>
        <v/>
      </c>
      <c r="K5726" s="11">
        <f>O5726</f>
        <v/>
      </c>
      <c r="L5726" s="11">
        <f>L5725+IF(K5726&gt;0,K5726*Summary!$B$9,K5726/Summary!$B$9)</f>
        <v/>
      </c>
      <c r="M5726" s="11">
        <f>G5726+H5726</f>
        <v/>
      </c>
      <c r="N5726" s="11">
        <f>Summary!$C$16*Summary!$B$8</f>
        <v/>
      </c>
      <c r="O5726" s="11">
        <f>M5726-N5726</f>
        <v/>
      </c>
    </row>
    <row r="5727">
      <c r="A5727" s="9" t="n">
        <v>45530.54166666666</v>
      </c>
      <c r="B5727" t="n">
        <v>8</v>
      </c>
      <c r="C5727" t="n">
        <v>26</v>
      </c>
      <c r="D5727" t="n">
        <v>13</v>
      </c>
      <c r="E5727" s="10" t="n">
        <v>0.630892</v>
      </c>
      <c r="F5727" s="10" t="n">
        <v>0.2725324494077879</v>
      </c>
      <c r="G5727" s="11">
        <f>E5727*Summary!$B$6</f>
        <v/>
      </c>
      <c r="H5727" s="11">
        <f>F5727*Summary!$B$7</f>
        <v/>
      </c>
      <c r="I5727" s="11">
        <f>MAX(0,N5727-M5727)</f>
        <v/>
      </c>
      <c r="J5727" s="11">
        <f>MAX(0,M5727-N5727)</f>
        <v/>
      </c>
      <c r="K5727" s="11">
        <f>O5727</f>
        <v/>
      </c>
      <c r="L5727" s="11">
        <f>L5726+IF(K5727&gt;0,K5727*Summary!$B$9,K5727/Summary!$B$9)</f>
        <v/>
      </c>
      <c r="M5727" s="11">
        <f>G5727+H5727</f>
        <v/>
      </c>
      <c r="N5727" s="11">
        <f>Summary!$C$16*Summary!$B$8</f>
        <v/>
      </c>
      <c r="O5727" s="11">
        <f>M5727-N5727</f>
        <v/>
      </c>
    </row>
    <row r="5728">
      <c r="A5728" s="9" t="n">
        <v>45530.58333333334</v>
      </c>
      <c r="B5728" t="n">
        <v>8</v>
      </c>
      <c r="C5728" t="n">
        <v>26</v>
      </c>
      <c r="D5728" t="n">
        <v>14</v>
      </c>
      <c r="E5728" s="10" t="n">
        <v>0.30428</v>
      </c>
      <c r="F5728" s="10" t="n">
        <v>0.2784616508307962</v>
      </c>
      <c r="G5728" s="11">
        <f>E5728*Summary!$B$6</f>
        <v/>
      </c>
      <c r="H5728" s="11">
        <f>F5728*Summary!$B$7</f>
        <v/>
      </c>
      <c r="I5728" s="11">
        <f>MAX(0,N5728-M5728)</f>
        <v/>
      </c>
      <c r="J5728" s="11">
        <f>MAX(0,M5728-N5728)</f>
        <v/>
      </c>
      <c r="K5728" s="11">
        <f>O5728</f>
        <v/>
      </c>
      <c r="L5728" s="11">
        <f>L5727+IF(K5728&gt;0,K5728*Summary!$B$9,K5728/Summary!$B$9)</f>
        <v/>
      </c>
      <c r="M5728" s="11">
        <f>G5728+H5728</f>
        <v/>
      </c>
      <c r="N5728" s="11">
        <f>Summary!$C$16*Summary!$B$8</f>
        <v/>
      </c>
      <c r="O5728" s="11">
        <f>M5728-N5728</f>
        <v/>
      </c>
    </row>
    <row r="5729">
      <c r="A5729" s="9" t="n">
        <v>45530.625</v>
      </c>
      <c r="B5729" t="n">
        <v>8</v>
      </c>
      <c r="C5729" t="n">
        <v>26</v>
      </c>
      <c r="D5729" t="n">
        <v>15</v>
      </c>
      <c r="E5729" s="10" t="n">
        <v>0.204709</v>
      </c>
      <c r="F5729" s="10" t="n">
        <v>0.2864726607534386</v>
      </c>
      <c r="G5729" s="11">
        <f>E5729*Summary!$B$6</f>
        <v/>
      </c>
      <c r="H5729" s="11">
        <f>F5729*Summary!$B$7</f>
        <v/>
      </c>
      <c r="I5729" s="11">
        <f>MAX(0,N5729-M5729)</f>
        <v/>
      </c>
      <c r="J5729" s="11">
        <f>MAX(0,M5729-N5729)</f>
        <v/>
      </c>
      <c r="K5729" s="11">
        <f>O5729</f>
        <v/>
      </c>
      <c r="L5729" s="11">
        <f>L5728+IF(K5729&gt;0,K5729*Summary!$B$9,K5729/Summary!$B$9)</f>
        <v/>
      </c>
      <c r="M5729" s="11">
        <f>G5729+H5729</f>
        <v/>
      </c>
      <c r="N5729" s="11">
        <f>Summary!$C$16*Summary!$B$8</f>
        <v/>
      </c>
      <c r="O5729" s="11">
        <f>M5729-N5729</f>
        <v/>
      </c>
    </row>
    <row r="5730">
      <c r="A5730" s="9" t="n">
        <v>45530.66666666666</v>
      </c>
      <c r="B5730" t="n">
        <v>8</v>
      </c>
      <c r="C5730" t="n">
        <v>26</v>
      </c>
      <c r="D5730" t="n">
        <v>16</v>
      </c>
      <c r="E5730" s="10" t="n">
        <v>0.132529</v>
      </c>
      <c r="F5730" s="10" t="n">
        <v>0.2905572217337332</v>
      </c>
      <c r="G5730" s="11">
        <f>E5730*Summary!$B$6</f>
        <v/>
      </c>
      <c r="H5730" s="11">
        <f>F5730*Summary!$B$7</f>
        <v/>
      </c>
      <c r="I5730" s="11">
        <f>MAX(0,N5730-M5730)</f>
        <v/>
      </c>
      <c r="J5730" s="11">
        <f>MAX(0,M5730-N5730)</f>
        <v/>
      </c>
      <c r="K5730" s="11">
        <f>O5730</f>
        <v/>
      </c>
      <c r="L5730" s="11">
        <f>L5729+IF(K5730&gt;0,K5730*Summary!$B$9,K5730/Summary!$B$9)</f>
        <v/>
      </c>
      <c r="M5730" s="11">
        <f>G5730+H5730</f>
        <v/>
      </c>
      <c r="N5730" s="11">
        <f>Summary!$C$16*Summary!$B$8</f>
        <v/>
      </c>
      <c r="O5730" s="11">
        <f>M5730-N5730</f>
        <v/>
      </c>
    </row>
    <row r="5731">
      <c r="A5731" s="9" t="n">
        <v>45530.70833333334</v>
      </c>
      <c r="B5731" t="n">
        <v>8</v>
      </c>
      <c r="C5731" t="n">
        <v>26</v>
      </c>
      <c r="D5731" t="n">
        <v>17</v>
      </c>
      <c r="E5731" s="10" t="n">
        <v>0.078916</v>
      </c>
      <c r="F5731" s="10" t="n">
        <v>0.2893713814491315</v>
      </c>
      <c r="G5731" s="11">
        <f>E5731*Summary!$B$6</f>
        <v/>
      </c>
      <c r="H5731" s="11">
        <f>F5731*Summary!$B$7</f>
        <v/>
      </c>
      <c r="I5731" s="11">
        <f>MAX(0,N5731-M5731)</f>
        <v/>
      </c>
      <c r="J5731" s="11">
        <f>MAX(0,M5731-N5731)</f>
        <v/>
      </c>
      <c r="K5731" s="11">
        <f>O5731</f>
        <v/>
      </c>
      <c r="L5731" s="11">
        <f>L5730+IF(K5731&gt;0,K5731*Summary!$B$9,K5731/Summary!$B$9)</f>
        <v/>
      </c>
      <c r="M5731" s="11">
        <f>G5731+H5731</f>
        <v/>
      </c>
      <c r="N5731" s="11">
        <f>Summary!$C$16*Summary!$B$8</f>
        <v/>
      </c>
      <c r="O5731" s="11">
        <f>M5731-N5731</f>
        <v/>
      </c>
    </row>
    <row r="5732">
      <c r="A5732" s="9" t="n">
        <v>45530.75</v>
      </c>
      <c r="B5732" t="n">
        <v>8</v>
      </c>
      <c r="C5732" t="n">
        <v>26</v>
      </c>
      <c r="D5732" t="n">
        <v>18</v>
      </c>
      <c r="E5732" s="10" t="n">
        <v>0.030883</v>
      </c>
      <c r="F5732" s="10" t="n">
        <v>0.2925599742143938</v>
      </c>
      <c r="G5732" s="11">
        <f>E5732*Summary!$B$6</f>
        <v/>
      </c>
      <c r="H5732" s="11">
        <f>F5732*Summary!$B$7</f>
        <v/>
      </c>
      <c r="I5732" s="11">
        <f>MAX(0,N5732-M5732)</f>
        <v/>
      </c>
      <c r="J5732" s="11">
        <f>MAX(0,M5732-N5732)</f>
        <v/>
      </c>
      <c r="K5732" s="11">
        <f>O5732</f>
        <v/>
      </c>
      <c r="L5732" s="11">
        <f>L5731+IF(K5732&gt;0,K5732*Summary!$B$9,K5732/Summary!$B$9)</f>
        <v/>
      </c>
      <c r="M5732" s="11">
        <f>G5732+H5732</f>
        <v/>
      </c>
      <c r="N5732" s="11">
        <f>Summary!$C$16*Summary!$B$8</f>
        <v/>
      </c>
      <c r="O5732" s="11">
        <f>M5732-N5732</f>
        <v/>
      </c>
    </row>
    <row r="5733">
      <c r="A5733" s="9" t="n">
        <v>45530.79166666666</v>
      </c>
      <c r="B5733" t="n">
        <v>8</v>
      </c>
      <c r="C5733" t="n">
        <v>26</v>
      </c>
      <c r="D5733" t="n">
        <v>19</v>
      </c>
      <c r="E5733" s="10" t="n">
        <v>0</v>
      </c>
      <c r="F5733" s="10" t="n">
        <v>0.302362920567101</v>
      </c>
      <c r="G5733" s="11">
        <f>E5733*Summary!$B$6</f>
        <v/>
      </c>
      <c r="H5733" s="11">
        <f>F5733*Summary!$B$7</f>
        <v/>
      </c>
      <c r="I5733" s="11">
        <f>MAX(0,N5733-M5733)</f>
        <v/>
      </c>
      <c r="J5733" s="11">
        <f>MAX(0,M5733-N5733)</f>
        <v/>
      </c>
      <c r="K5733" s="11">
        <f>O5733</f>
        <v/>
      </c>
      <c r="L5733" s="11">
        <f>L5732+IF(K5733&gt;0,K5733*Summary!$B$9,K5733/Summary!$B$9)</f>
        <v/>
      </c>
      <c r="M5733" s="11">
        <f>G5733+H5733</f>
        <v/>
      </c>
      <c r="N5733" s="11">
        <f>Summary!$C$16*Summary!$B$8</f>
        <v/>
      </c>
      <c r="O5733" s="11">
        <f>M5733-N5733</f>
        <v/>
      </c>
    </row>
    <row r="5734">
      <c r="A5734" s="9" t="n">
        <v>45530.83333333334</v>
      </c>
      <c r="B5734" t="n">
        <v>8</v>
      </c>
      <c r="C5734" t="n">
        <v>26</v>
      </c>
      <c r="D5734" t="n">
        <v>20</v>
      </c>
      <c r="E5734" s="10" t="n">
        <v>0</v>
      </c>
      <c r="F5734" s="10" t="n">
        <v>0.3085556420533541</v>
      </c>
      <c r="G5734" s="11">
        <f>E5734*Summary!$B$6</f>
        <v/>
      </c>
      <c r="H5734" s="11">
        <f>F5734*Summary!$B$7</f>
        <v/>
      </c>
      <c r="I5734" s="11">
        <f>MAX(0,N5734-M5734)</f>
        <v/>
      </c>
      <c r="J5734" s="11">
        <f>MAX(0,M5734-N5734)</f>
        <v/>
      </c>
      <c r="K5734" s="11">
        <f>O5734</f>
        <v/>
      </c>
      <c r="L5734" s="11">
        <f>L5733+IF(K5734&gt;0,K5734*Summary!$B$9,K5734/Summary!$B$9)</f>
        <v/>
      </c>
      <c r="M5734" s="11">
        <f>G5734+H5734</f>
        <v/>
      </c>
      <c r="N5734" s="11">
        <f>Summary!$C$16*Summary!$B$8</f>
        <v/>
      </c>
      <c r="O5734" s="11">
        <f>M5734-N5734</f>
        <v/>
      </c>
    </row>
    <row r="5735">
      <c r="A5735" s="9" t="n">
        <v>45530.875</v>
      </c>
      <c r="B5735" t="n">
        <v>8</v>
      </c>
      <c r="C5735" t="n">
        <v>26</v>
      </c>
      <c r="D5735" t="n">
        <v>21</v>
      </c>
      <c r="E5735" s="10" t="n">
        <v>0</v>
      </c>
      <c r="F5735" s="10" t="n">
        <v>0.2905572217337332</v>
      </c>
      <c r="G5735" s="11">
        <f>E5735*Summary!$B$6</f>
        <v/>
      </c>
      <c r="H5735" s="11">
        <f>F5735*Summary!$B$7</f>
        <v/>
      </c>
      <c r="I5735" s="11">
        <f>MAX(0,N5735-M5735)</f>
        <v/>
      </c>
      <c r="J5735" s="11">
        <f>MAX(0,M5735-N5735)</f>
        <v/>
      </c>
      <c r="K5735" s="11">
        <f>O5735</f>
        <v/>
      </c>
      <c r="L5735" s="11">
        <f>L5734+IF(K5735&gt;0,K5735*Summary!$B$9,K5735/Summary!$B$9)</f>
        <v/>
      </c>
      <c r="M5735" s="11">
        <f>G5735+H5735</f>
        <v/>
      </c>
      <c r="N5735" s="11">
        <f>Summary!$C$16*Summary!$B$8</f>
        <v/>
      </c>
      <c r="O5735" s="11">
        <f>M5735-N5735</f>
        <v/>
      </c>
    </row>
    <row r="5736">
      <c r="A5736" s="9" t="n">
        <v>45530.91666666666</v>
      </c>
      <c r="B5736" t="n">
        <v>8</v>
      </c>
      <c r="C5736" t="n">
        <v>26</v>
      </c>
      <c r="D5736" t="n">
        <v>22</v>
      </c>
      <c r="E5736" s="10" t="n">
        <v>0</v>
      </c>
      <c r="F5736" s="10" t="n">
        <v>0.3143267314384156</v>
      </c>
      <c r="G5736" s="11">
        <f>E5736*Summary!$B$6</f>
        <v/>
      </c>
      <c r="H5736" s="11">
        <f>F5736*Summary!$B$7</f>
        <v/>
      </c>
      <c r="I5736" s="11">
        <f>MAX(0,N5736-M5736)</f>
        <v/>
      </c>
      <c r="J5736" s="11">
        <f>MAX(0,M5736-N5736)</f>
        <v/>
      </c>
      <c r="K5736" s="11">
        <f>O5736</f>
        <v/>
      </c>
      <c r="L5736" s="11">
        <f>L5735+IF(K5736&gt;0,K5736*Summary!$B$9,K5736/Summary!$B$9)</f>
        <v/>
      </c>
      <c r="M5736" s="11">
        <f>G5736+H5736</f>
        <v/>
      </c>
      <c r="N5736" s="11">
        <f>Summary!$C$16*Summary!$B$8</f>
        <v/>
      </c>
      <c r="O5736" s="11">
        <f>M5736-N5736</f>
        <v/>
      </c>
    </row>
    <row r="5737">
      <c r="A5737" s="9" t="n">
        <v>45530.95833333334</v>
      </c>
      <c r="B5737" t="n">
        <v>8</v>
      </c>
      <c r="C5737" t="n">
        <v>26</v>
      </c>
      <c r="D5737" t="n">
        <v>23</v>
      </c>
      <c r="E5737" s="10" t="n">
        <v>0</v>
      </c>
      <c r="F5737" s="10" t="n">
        <v>0.3063157215157731</v>
      </c>
      <c r="G5737" s="11">
        <f>E5737*Summary!$B$6</f>
        <v/>
      </c>
      <c r="H5737" s="11">
        <f>F5737*Summary!$B$7</f>
        <v/>
      </c>
      <c r="I5737" s="11">
        <f>MAX(0,N5737-M5737)</f>
        <v/>
      </c>
      <c r="J5737" s="11">
        <f>MAX(0,M5737-N5737)</f>
        <v/>
      </c>
      <c r="K5737" s="11">
        <f>O5737</f>
        <v/>
      </c>
      <c r="L5737" s="11">
        <f>L5736+IF(K5737&gt;0,K5737*Summary!$B$9,K5737/Summary!$B$9)</f>
        <v/>
      </c>
      <c r="M5737" s="11">
        <f>G5737+H5737</f>
        <v/>
      </c>
      <c r="N5737" s="11">
        <f>Summary!$C$16*Summary!$B$8</f>
        <v/>
      </c>
      <c r="O5737" s="11">
        <f>M5737-N5737</f>
        <v/>
      </c>
    </row>
    <row r="5738">
      <c r="A5738" s="9" t="n">
        <v>45531</v>
      </c>
      <c r="B5738" t="n">
        <v>8</v>
      </c>
      <c r="C5738" t="n">
        <v>27</v>
      </c>
      <c r="D5738" t="n">
        <v>0</v>
      </c>
      <c r="E5738" s="10" t="n">
        <v>0</v>
      </c>
      <c r="F5738" s="10" t="n">
        <v>0.2215676691762406</v>
      </c>
      <c r="G5738" s="11">
        <f>E5738*Summary!$B$6</f>
        <v/>
      </c>
      <c r="H5738" s="11">
        <f>F5738*Summary!$B$7</f>
        <v/>
      </c>
      <c r="I5738" s="11">
        <f>MAX(0,N5738-M5738)</f>
        <v/>
      </c>
      <c r="J5738" s="11">
        <f>MAX(0,M5738-N5738)</f>
        <v/>
      </c>
      <c r="K5738" s="11">
        <f>O5738</f>
        <v/>
      </c>
      <c r="L5738" s="11">
        <f>L5737+IF(K5738&gt;0,K5738*Summary!$B$9,K5738/Summary!$B$9)</f>
        <v/>
      </c>
      <c r="M5738" s="11">
        <f>G5738+H5738</f>
        <v/>
      </c>
      <c r="N5738" s="11">
        <f>Summary!$C$16*Summary!$B$8</f>
        <v/>
      </c>
      <c r="O5738" s="11">
        <f>M5738-N5738</f>
        <v/>
      </c>
    </row>
    <row r="5739">
      <c r="A5739" s="9" t="n">
        <v>45531.04166666666</v>
      </c>
      <c r="B5739" t="n">
        <v>8</v>
      </c>
      <c r="C5739" t="n">
        <v>27</v>
      </c>
      <c r="D5739" t="n">
        <v>1</v>
      </c>
      <c r="E5739" s="10" t="n">
        <v>0</v>
      </c>
      <c r="F5739" s="10" t="n">
        <v>0.2962229030934967</v>
      </c>
      <c r="G5739" s="11">
        <f>E5739*Summary!$B$6</f>
        <v/>
      </c>
      <c r="H5739" s="11">
        <f>F5739*Summary!$B$7</f>
        <v/>
      </c>
      <c r="I5739" s="11">
        <f>MAX(0,N5739-M5739)</f>
        <v/>
      </c>
      <c r="J5739" s="11">
        <f>MAX(0,M5739-N5739)</f>
        <v/>
      </c>
      <c r="K5739" s="11">
        <f>O5739</f>
        <v/>
      </c>
      <c r="L5739" s="11">
        <f>L5738+IF(K5739&gt;0,K5739*Summary!$B$9,K5739/Summary!$B$9)</f>
        <v/>
      </c>
      <c r="M5739" s="11">
        <f>G5739+H5739</f>
        <v/>
      </c>
      <c r="N5739" s="11">
        <f>Summary!$C$16*Summary!$B$8</f>
        <v/>
      </c>
      <c r="O5739" s="11">
        <f>M5739-N5739</f>
        <v/>
      </c>
    </row>
    <row r="5740">
      <c r="A5740" s="9" t="n">
        <v>45531.08333333334</v>
      </c>
      <c r="B5740" t="n">
        <v>8</v>
      </c>
      <c r="C5740" t="n">
        <v>27</v>
      </c>
      <c r="D5740" t="n">
        <v>2</v>
      </c>
      <c r="E5740" s="10" t="n">
        <v>0</v>
      </c>
      <c r="F5740" s="10" t="n">
        <v>0.2944573186697565</v>
      </c>
      <c r="G5740" s="11">
        <f>E5740*Summary!$B$6</f>
        <v/>
      </c>
      <c r="H5740" s="11">
        <f>F5740*Summary!$B$7</f>
        <v/>
      </c>
      <c r="I5740" s="11">
        <f>MAX(0,N5740-M5740)</f>
        <v/>
      </c>
      <c r="J5740" s="11">
        <f>MAX(0,M5740-N5740)</f>
        <v/>
      </c>
      <c r="K5740" s="11">
        <f>O5740</f>
        <v/>
      </c>
      <c r="L5740" s="11">
        <f>L5739+IF(K5740&gt;0,K5740*Summary!$B$9,K5740/Summary!$B$9)</f>
        <v/>
      </c>
      <c r="M5740" s="11">
        <f>G5740+H5740</f>
        <v/>
      </c>
      <c r="N5740" s="11">
        <f>Summary!$C$16*Summary!$B$8</f>
        <v/>
      </c>
      <c r="O5740" s="11">
        <f>M5740-N5740</f>
        <v/>
      </c>
    </row>
    <row r="5741">
      <c r="A5741" s="9" t="n">
        <v>45531.125</v>
      </c>
      <c r="B5741" t="n">
        <v>8</v>
      </c>
      <c r="C5741" t="n">
        <v>27</v>
      </c>
      <c r="D5741" t="n">
        <v>3</v>
      </c>
      <c r="E5741" s="10" t="n">
        <v>0</v>
      </c>
      <c r="F5741" s="10" t="n">
        <v>0.2856293965510552</v>
      </c>
      <c r="G5741" s="11">
        <f>E5741*Summary!$B$6</f>
        <v/>
      </c>
      <c r="H5741" s="11">
        <f>F5741*Summary!$B$7</f>
        <v/>
      </c>
      <c r="I5741" s="11">
        <f>MAX(0,N5741-M5741)</f>
        <v/>
      </c>
      <c r="J5741" s="11">
        <f>MAX(0,M5741-N5741)</f>
        <v/>
      </c>
      <c r="K5741" s="11">
        <f>O5741</f>
        <v/>
      </c>
      <c r="L5741" s="11">
        <f>L5740+IF(K5741&gt;0,K5741*Summary!$B$9,K5741/Summary!$B$9)</f>
        <v/>
      </c>
      <c r="M5741" s="11">
        <f>G5741+H5741</f>
        <v/>
      </c>
      <c r="N5741" s="11">
        <f>Summary!$C$16*Summary!$B$8</f>
        <v/>
      </c>
      <c r="O5741" s="11">
        <f>M5741-N5741</f>
        <v/>
      </c>
    </row>
    <row r="5742">
      <c r="A5742" s="9" t="n">
        <v>45531.16666666666</v>
      </c>
      <c r="B5742" t="n">
        <v>8</v>
      </c>
      <c r="C5742" t="n">
        <v>27</v>
      </c>
      <c r="D5742" t="n">
        <v>4</v>
      </c>
      <c r="E5742" s="10" t="n">
        <v>0</v>
      </c>
      <c r="F5742" s="10" t="n">
        <v>0.2820718756972502</v>
      </c>
      <c r="G5742" s="11">
        <f>E5742*Summary!$B$6</f>
        <v/>
      </c>
      <c r="H5742" s="11">
        <f>F5742*Summary!$B$7</f>
        <v/>
      </c>
      <c r="I5742" s="11">
        <f>MAX(0,N5742-M5742)</f>
        <v/>
      </c>
      <c r="J5742" s="11">
        <f>MAX(0,M5742-N5742)</f>
        <v/>
      </c>
      <c r="K5742" s="11">
        <f>O5742</f>
        <v/>
      </c>
      <c r="L5742" s="11">
        <f>L5741+IF(K5742&gt;0,K5742*Summary!$B$9,K5742/Summary!$B$9)</f>
        <v/>
      </c>
      <c r="M5742" s="11">
        <f>G5742+H5742</f>
        <v/>
      </c>
      <c r="N5742" s="11">
        <f>Summary!$C$16*Summary!$B$8</f>
        <v/>
      </c>
      <c r="O5742" s="11">
        <f>M5742-N5742</f>
        <v/>
      </c>
    </row>
    <row r="5743">
      <c r="A5743" s="9" t="n">
        <v>45531.20833333334</v>
      </c>
      <c r="B5743" t="n">
        <v>8</v>
      </c>
      <c r="C5743" t="n">
        <v>27</v>
      </c>
      <c r="D5743" t="n">
        <v>5</v>
      </c>
      <c r="E5743" s="10" t="n">
        <v>0.006293</v>
      </c>
      <c r="F5743" s="10" t="n">
        <v>0.2700026568006376</v>
      </c>
      <c r="G5743" s="11">
        <f>E5743*Summary!$B$6</f>
        <v/>
      </c>
      <c r="H5743" s="11">
        <f>F5743*Summary!$B$7</f>
        <v/>
      </c>
      <c r="I5743" s="11">
        <f>MAX(0,N5743-M5743)</f>
        <v/>
      </c>
      <c r="J5743" s="11">
        <f>MAX(0,M5743-N5743)</f>
        <v/>
      </c>
      <c r="K5743" s="11">
        <f>O5743</f>
        <v/>
      </c>
      <c r="L5743" s="11">
        <f>L5742+IF(K5743&gt;0,K5743*Summary!$B$9,K5743/Summary!$B$9)</f>
        <v/>
      </c>
      <c r="M5743" s="11">
        <f>G5743+H5743</f>
        <v/>
      </c>
      <c r="N5743" s="11">
        <f>Summary!$C$16*Summary!$B$8</f>
        <v/>
      </c>
      <c r="O5743" s="11">
        <f>M5743-N5743</f>
        <v/>
      </c>
    </row>
    <row r="5744">
      <c r="A5744" s="9" t="n">
        <v>45531.25</v>
      </c>
      <c r="B5744" t="n">
        <v>8</v>
      </c>
      <c r="C5744" t="n">
        <v>27</v>
      </c>
      <c r="D5744" t="n">
        <v>6</v>
      </c>
      <c r="E5744" s="10" t="n">
        <v>0.069697</v>
      </c>
      <c r="F5744" s="10" t="n">
        <v>0.2555881093411462</v>
      </c>
      <c r="G5744" s="11">
        <f>E5744*Summary!$B$6</f>
        <v/>
      </c>
      <c r="H5744" s="11">
        <f>F5744*Summary!$B$7</f>
        <v/>
      </c>
      <c r="I5744" s="11">
        <f>MAX(0,N5744-M5744)</f>
        <v/>
      </c>
      <c r="J5744" s="11">
        <f>MAX(0,M5744-N5744)</f>
        <v/>
      </c>
      <c r="K5744" s="11">
        <f>O5744</f>
        <v/>
      </c>
      <c r="L5744" s="11">
        <f>L5743+IF(K5744&gt;0,K5744*Summary!$B$9,K5744/Summary!$B$9)</f>
        <v/>
      </c>
      <c r="M5744" s="11">
        <f>G5744+H5744</f>
        <v/>
      </c>
      <c r="N5744" s="11">
        <f>Summary!$C$16*Summary!$B$8</f>
        <v/>
      </c>
      <c r="O5744" s="11">
        <f>M5744-N5744</f>
        <v/>
      </c>
    </row>
    <row r="5745">
      <c r="A5745" s="9" t="n">
        <v>45531.29166666666</v>
      </c>
      <c r="B5745" t="n">
        <v>8</v>
      </c>
      <c r="C5745" t="n">
        <v>27</v>
      </c>
      <c r="D5745" t="n">
        <v>7</v>
      </c>
      <c r="E5745" s="10" t="n">
        <v>0.155452</v>
      </c>
      <c r="F5745" s="10" t="n">
        <v>0.24243845818523</v>
      </c>
      <c r="G5745" s="11">
        <f>E5745*Summary!$B$6</f>
        <v/>
      </c>
      <c r="H5745" s="11">
        <f>F5745*Summary!$B$7</f>
        <v/>
      </c>
      <c r="I5745" s="11">
        <f>MAX(0,N5745-M5745)</f>
        <v/>
      </c>
      <c r="J5745" s="11">
        <f>MAX(0,M5745-N5745)</f>
        <v/>
      </c>
      <c r="K5745" s="11">
        <f>O5745</f>
        <v/>
      </c>
      <c r="L5745" s="11">
        <f>L5744+IF(K5745&gt;0,K5745*Summary!$B$9,K5745/Summary!$B$9)</f>
        <v/>
      </c>
      <c r="M5745" s="11">
        <f>G5745+H5745</f>
        <v/>
      </c>
      <c r="N5745" s="11">
        <f>Summary!$C$16*Summary!$B$8</f>
        <v/>
      </c>
      <c r="O5745" s="11">
        <f>M5745-N5745</f>
        <v/>
      </c>
    </row>
    <row r="5746">
      <c r="A5746" s="9" t="n">
        <v>45531.33333333334</v>
      </c>
      <c r="B5746" t="n">
        <v>8</v>
      </c>
      <c r="C5746" t="n">
        <v>27</v>
      </c>
      <c r="D5746" t="n">
        <v>8</v>
      </c>
      <c r="E5746" s="10" t="n">
        <v>0.251705</v>
      </c>
      <c r="F5746" s="10" t="n">
        <v>0.238828233318776</v>
      </c>
      <c r="G5746" s="11">
        <f>E5746*Summary!$B$6</f>
        <v/>
      </c>
      <c r="H5746" s="11">
        <f>F5746*Summary!$B$7</f>
        <v/>
      </c>
      <c r="I5746" s="11">
        <f>MAX(0,N5746-M5746)</f>
        <v/>
      </c>
      <c r="J5746" s="11">
        <f>MAX(0,M5746-N5746)</f>
        <v/>
      </c>
      <c r="K5746" s="11">
        <f>O5746</f>
        <v/>
      </c>
      <c r="L5746" s="11">
        <f>L5745+IF(K5746&gt;0,K5746*Summary!$B$9,K5746/Summary!$B$9)</f>
        <v/>
      </c>
      <c r="M5746" s="11">
        <f>G5746+H5746</f>
        <v/>
      </c>
      <c r="N5746" s="11">
        <f>Summary!$C$16*Summary!$B$8</f>
        <v/>
      </c>
      <c r="O5746" s="11">
        <f>M5746-N5746</f>
        <v/>
      </c>
    </row>
    <row r="5747">
      <c r="A5747" s="9" t="n">
        <v>45531.375</v>
      </c>
      <c r="B5747" t="n">
        <v>8</v>
      </c>
      <c r="C5747" t="n">
        <v>27</v>
      </c>
      <c r="D5747" t="n">
        <v>9</v>
      </c>
      <c r="E5747" s="10" t="n">
        <v>0.37892</v>
      </c>
      <c r="F5747" s="10" t="n">
        <v>0.2371944089266581</v>
      </c>
      <c r="G5747" s="11">
        <f>E5747*Summary!$B$6</f>
        <v/>
      </c>
      <c r="H5747" s="11">
        <f>F5747*Summary!$B$7</f>
        <v/>
      </c>
      <c r="I5747" s="11">
        <f>MAX(0,N5747-M5747)</f>
        <v/>
      </c>
      <c r="J5747" s="11">
        <f>MAX(0,M5747-N5747)</f>
        <v/>
      </c>
      <c r="K5747" s="11">
        <f>O5747</f>
        <v/>
      </c>
      <c r="L5747" s="11">
        <f>L5746+IF(K5747&gt;0,K5747*Summary!$B$9,K5747/Summary!$B$9)</f>
        <v/>
      </c>
      <c r="M5747" s="11">
        <f>G5747+H5747</f>
        <v/>
      </c>
      <c r="N5747" s="11">
        <f>Summary!$C$16*Summary!$B$8</f>
        <v/>
      </c>
      <c r="O5747" s="11">
        <f>M5747-N5747</f>
        <v/>
      </c>
    </row>
    <row r="5748">
      <c r="A5748" s="9" t="n">
        <v>45531.41666666666</v>
      </c>
      <c r="B5748" t="n">
        <v>8</v>
      </c>
      <c r="C5748" t="n">
        <v>27</v>
      </c>
      <c r="D5748" t="n">
        <v>10</v>
      </c>
      <c r="E5748" s="10" t="n">
        <v>0.633641</v>
      </c>
      <c r="F5748" s="10" t="n">
        <v>0.2354815285155668</v>
      </c>
      <c r="G5748" s="11">
        <f>E5748*Summary!$B$6</f>
        <v/>
      </c>
      <c r="H5748" s="11">
        <f>F5748*Summary!$B$7</f>
        <v/>
      </c>
      <c r="I5748" s="11">
        <f>MAX(0,N5748-M5748)</f>
        <v/>
      </c>
      <c r="J5748" s="11">
        <f>MAX(0,M5748-N5748)</f>
        <v/>
      </c>
      <c r="K5748" s="11">
        <f>O5748</f>
        <v/>
      </c>
      <c r="L5748" s="11">
        <f>L5747+IF(K5748&gt;0,K5748*Summary!$B$9,K5748/Summary!$B$9)</f>
        <v/>
      </c>
      <c r="M5748" s="11">
        <f>G5748+H5748</f>
        <v/>
      </c>
      <c r="N5748" s="11">
        <f>Summary!$C$16*Summary!$B$8</f>
        <v/>
      </c>
      <c r="O5748" s="11">
        <f>M5748-N5748</f>
        <v/>
      </c>
    </row>
    <row r="5749">
      <c r="A5749" s="9" t="n">
        <v>45531.45833333334</v>
      </c>
      <c r="B5749" t="n">
        <v>8</v>
      </c>
      <c r="C5749" t="n">
        <v>27</v>
      </c>
      <c r="D5749" t="n">
        <v>11</v>
      </c>
      <c r="E5749" s="10" t="n">
        <v>0.419976</v>
      </c>
      <c r="F5749" s="10" t="n">
        <v>0.2349808403954017</v>
      </c>
      <c r="G5749" s="11">
        <f>E5749*Summary!$B$6</f>
        <v/>
      </c>
      <c r="H5749" s="11">
        <f>F5749*Summary!$B$7</f>
        <v/>
      </c>
      <c r="I5749" s="11">
        <f>MAX(0,N5749-M5749)</f>
        <v/>
      </c>
      <c r="J5749" s="11">
        <f>MAX(0,M5749-N5749)</f>
        <v/>
      </c>
      <c r="K5749" s="11">
        <f>O5749</f>
        <v/>
      </c>
      <c r="L5749" s="11">
        <f>L5748+IF(K5749&gt;0,K5749*Summary!$B$9,K5749/Summary!$B$9)</f>
        <v/>
      </c>
      <c r="M5749" s="11">
        <f>G5749+H5749</f>
        <v/>
      </c>
      <c r="N5749" s="11">
        <f>Summary!$C$16*Summary!$B$8</f>
        <v/>
      </c>
      <c r="O5749" s="11">
        <f>M5749-N5749</f>
        <v/>
      </c>
    </row>
    <row r="5750">
      <c r="A5750" s="9" t="n">
        <v>45531.5</v>
      </c>
      <c r="B5750" t="n">
        <v>8</v>
      </c>
      <c r="C5750" t="n">
        <v>27</v>
      </c>
      <c r="D5750" t="n">
        <v>12</v>
      </c>
      <c r="E5750" s="10" t="n">
        <v>0.18602</v>
      </c>
      <c r="F5750" s="10" t="n">
        <v>0.2369045368570888</v>
      </c>
      <c r="G5750" s="11">
        <f>E5750*Summary!$B$6</f>
        <v/>
      </c>
      <c r="H5750" s="11">
        <f>F5750*Summary!$B$7</f>
        <v/>
      </c>
      <c r="I5750" s="11">
        <f>MAX(0,N5750-M5750)</f>
        <v/>
      </c>
      <c r="J5750" s="11">
        <f>MAX(0,M5750-N5750)</f>
        <v/>
      </c>
      <c r="K5750" s="11">
        <f>O5750</f>
        <v/>
      </c>
      <c r="L5750" s="11">
        <f>L5749+IF(K5750&gt;0,K5750*Summary!$B$9,K5750/Summary!$B$9)</f>
        <v/>
      </c>
      <c r="M5750" s="11">
        <f>G5750+H5750</f>
        <v/>
      </c>
      <c r="N5750" s="11">
        <f>Summary!$C$16*Summary!$B$8</f>
        <v/>
      </c>
      <c r="O5750" s="11">
        <f>M5750-N5750</f>
        <v/>
      </c>
    </row>
    <row r="5751">
      <c r="A5751" s="9" t="n">
        <v>45531.54166666666</v>
      </c>
      <c r="B5751" t="n">
        <v>8</v>
      </c>
      <c r="C5751" t="n">
        <v>27</v>
      </c>
      <c r="D5751" t="n">
        <v>13</v>
      </c>
      <c r="E5751" s="10" t="n">
        <v>0.050116</v>
      </c>
      <c r="F5751" s="10" t="n">
        <v>0.2356659925598382</v>
      </c>
      <c r="G5751" s="11">
        <f>E5751*Summary!$B$6</f>
        <v/>
      </c>
      <c r="H5751" s="11">
        <f>F5751*Summary!$B$7</f>
        <v/>
      </c>
      <c r="I5751" s="11">
        <f>MAX(0,N5751-M5751)</f>
        <v/>
      </c>
      <c r="J5751" s="11">
        <f>MAX(0,M5751-N5751)</f>
        <v/>
      </c>
      <c r="K5751" s="11">
        <f>O5751</f>
        <v/>
      </c>
      <c r="L5751" s="11">
        <f>L5750+IF(K5751&gt;0,K5751*Summary!$B$9,K5751/Summary!$B$9)</f>
        <v/>
      </c>
      <c r="M5751" s="11">
        <f>G5751+H5751</f>
        <v/>
      </c>
      <c r="N5751" s="11">
        <f>Summary!$C$16*Summary!$B$8</f>
        <v/>
      </c>
      <c r="O5751" s="11">
        <f>M5751-N5751</f>
        <v/>
      </c>
    </row>
    <row r="5752">
      <c r="A5752" s="9" t="n">
        <v>45531.58333333334</v>
      </c>
      <c r="B5752" t="n">
        <v>8</v>
      </c>
      <c r="C5752" t="n">
        <v>27</v>
      </c>
      <c r="D5752" t="n">
        <v>14</v>
      </c>
      <c r="E5752" s="10" t="n">
        <v>0.09155099999999999</v>
      </c>
      <c r="F5752" s="10" t="n">
        <v>0.2332943119906349</v>
      </c>
      <c r="G5752" s="11">
        <f>E5752*Summary!$B$6</f>
        <v/>
      </c>
      <c r="H5752" s="11">
        <f>F5752*Summary!$B$7</f>
        <v/>
      </c>
      <c r="I5752" s="11">
        <f>MAX(0,N5752-M5752)</f>
        <v/>
      </c>
      <c r="J5752" s="11">
        <f>MAX(0,M5752-N5752)</f>
        <v/>
      </c>
      <c r="K5752" s="11">
        <f>O5752</f>
        <v/>
      </c>
      <c r="L5752" s="11">
        <f>L5751+IF(K5752&gt;0,K5752*Summary!$B$9,K5752/Summary!$B$9)</f>
        <v/>
      </c>
      <c r="M5752" s="11">
        <f>G5752+H5752</f>
        <v/>
      </c>
      <c r="N5752" s="11">
        <f>Summary!$C$16*Summary!$B$8</f>
        <v/>
      </c>
      <c r="O5752" s="11">
        <f>M5752-N5752</f>
        <v/>
      </c>
    </row>
    <row r="5753">
      <c r="A5753" s="9" t="n">
        <v>45531.625</v>
      </c>
      <c r="B5753" t="n">
        <v>8</v>
      </c>
      <c r="C5753" t="n">
        <v>27</v>
      </c>
      <c r="D5753" t="n">
        <v>15</v>
      </c>
      <c r="E5753" s="10" t="n">
        <v>0.153526</v>
      </c>
      <c r="F5753" s="10" t="n">
        <v>0.2249934299984232</v>
      </c>
      <c r="G5753" s="11">
        <f>E5753*Summary!$B$6</f>
        <v/>
      </c>
      <c r="H5753" s="11">
        <f>F5753*Summary!$B$7</f>
        <v/>
      </c>
      <c r="I5753" s="11">
        <f>MAX(0,N5753-M5753)</f>
        <v/>
      </c>
      <c r="J5753" s="11">
        <f>MAX(0,M5753-N5753)</f>
        <v/>
      </c>
      <c r="K5753" s="11">
        <f>O5753</f>
        <v/>
      </c>
      <c r="L5753" s="11">
        <f>L5752+IF(K5753&gt;0,K5753*Summary!$B$9,K5753/Summary!$B$9)</f>
        <v/>
      </c>
      <c r="M5753" s="11">
        <f>G5753+H5753</f>
        <v/>
      </c>
      <c r="N5753" s="11">
        <f>Summary!$C$16*Summary!$B$8</f>
        <v/>
      </c>
      <c r="O5753" s="11">
        <f>M5753-N5753</f>
        <v/>
      </c>
    </row>
    <row r="5754">
      <c r="A5754" s="9" t="n">
        <v>45531.66666666666</v>
      </c>
      <c r="B5754" t="n">
        <v>8</v>
      </c>
      <c r="C5754" t="n">
        <v>27</v>
      </c>
      <c r="D5754" t="n">
        <v>16</v>
      </c>
      <c r="E5754" s="10" t="n">
        <v>0.234999</v>
      </c>
      <c r="F5754" s="10" t="n">
        <v>0.215243187658365</v>
      </c>
      <c r="G5754" s="11">
        <f>E5754*Summary!$B$6</f>
        <v/>
      </c>
      <c r="H5754" s="11">
        <f>F5754*Summary!$B$7</f>
        <v/>
      </c>
      <c r="I5754" s="11">
        <f>MAX(0,N5754-M5754)</f>
        <v/>
      </c>
      <c r="J5754" s="11">
        <f>MAX(0,M5754-N5754)</f>
        <v/>
      </c>
      <c r="K5754" s="11">
        <f>O5754</f>
        <v/>
      </c>
      <c r="L5754" s="11">
        <f>L5753+IF(K5754&gt;0,K5754*Summary!$B$9,K5754/Summary!$B$9)</f>
        <v/>
      </c>
      <c r="M5754" s="11">
        <f>G5754+H5754</f>
        <v/>
      </c>
      <c r="N5754" s="11">
        <f>Summary!$C$16*Summary!$B$8</f>
        <v/>
      </c>
      <c r="O5754" s="11">
        <f>M5754-N5754</f>
        <v/>
      </c>
    </row>
    <row r="5755">
      <c r="A5755" s="9" t="n">
        <v>45531.70833333334</v>
      </c>
      <c r="B5755" t="n">
        <v>8</v>
      </c>
      <c r="C5755" t="n">
        <v>27</v>
      </c>
      <c r="D5755" t="n">
        <v>17</v>
      </c>
      <c r="E5755" s="10" t="n">
        <v>0.051172</v>
      </c>
      <c r="F5755" s="10" t="n">
        <v>0.201724608413906</v>
      </c>
      <c r="G5755" s="11">
        <f>E5755*Summary!$B$6</f>
        <v/>
      </c>
      <c r="H5755" s="11">
        <f>F5755*Summary!$B$7</f>
        <v/>
      </c>
      <c r="I5755" s="11">
        <f>MAX(0,N5755-M5755)</f>
        <v/>
      </c>
      <c r="J5755" s="11">
        <f>MAX(0,M5755-N5755)</f>
        <v/>
      </c>
      <c r="K5755" s="11">
        <f>O5755</f>
        <v/>
      </c>
      <c r="L5755" s="11">
        <f>L5754+IF(K5755&gt;0,K5755*Summary!$B$9,K5755/Summary!$B$9)</f>
        <v/>
      </c>
      <c r="M5755" s="11">
        <f>G5755+H5755</f>
        <v/>
      </c>
      <c r="N5755" s="11">
        <f>Summary!$C$16*Summary!$B$8</f>
        <v/>
      </c>
      <c r="O5755" s="11">
        <f>M5755-N5755</f>
        <v/>
      </c>
    </row>
    <row r="5756">
      <c r="A5756" s="9" t="n">
        <v>45531.75</v>
      </c>
      <c r="B5756" t="n">
        <v>8</v>
      </c>
      <c r="C5756" t="n">
        <v>27</v>
      </c>
      <c r="D5756" t="n">
        <v>18</v>
      </c>
      <c r="E5756" s="10" t="n">
        <v>0.029317</v>
      </c>
      <c r="F5756" s="10" t="n">
        <v>0.1969548952691749</v>
      </c>
      <c r="G5756" s="11">
        <f>E5756*Summary!$B$6</f>
        <v/>
      </c>
      <c r="H5756" s="11">
        <f>F5756*Summary!$B$7</f>
        <v/>
      </c>
      <c r="I5756" s="11">
        <f>MAX(0,N5756-M5756)</f>
        <v/>
      </c>
      <c r="J5756" s="11">
        <f>MAX(0,M5756-N5756)</f>
        <v/>
      </c>
      <c r="K5756" s="11">
        <f>O5756</f>
        <v/>
      </c>
      <c r="L5756" s="11">
        <f>L5755+IF(K5756&gt;0,K5756*Summary!$B$9,K5756/Summary!$B$9)</f>
        <v/>
      </c>
      <c r="M5756" s="11">
        <f>G5756+H5756</f>
        <v/>
      </c>
      <c r="N5756" s="11">
        <f>Summary!$C$16*Summary!$B$8</f>
        <v/>
      </c>
      <c r="O5756" s="11">
        <f>M5756-N5756</f>
        <v/>
      </c>
    </row>
    <row r="5757">
      <c r="A5757" s="9" t="n">
        <v>45531.79166666666</v>
      </c>
      <c r="B5757" t="n">
        <v>8</v>
      </c>
      <c r="C5757" t="n">
        <v>27</v>
      </c>
      <c r="D5757" t="n">
        <v>19</v>
      </c>
      <c r="E5757" s="10" t="n">
        <v>0</v>
      </c>
      <c r="F5757" s="10" t="n">
        <v>0.2058882254131741</v>
      </c>
      <c r="G5757" s="11">
        <f>E5757*Summary!$B$6</f>
        <v/>
      </c>
      <c r="H5757" s="11">
        <f>F5757*Summary!$B$7</f>
        <v/>
      </c>
      <c r="I5757" s="11">
        <f>MAX(0,N5757-M5757)</f>
        <v/>
      </c>
      <c r="J5757" s="11">
        <f>MAX(0,M5757-N5757)</f>
        <v/>
      </c>
      <c r="K5757" s="11">
        <f>O5757</f>
        <v/>
      </c>
      <c r="L5757" s="11">
        <f>L5756+IF(K5757&gt;0,K5757*Summary!$B$9,K5757/Summary!$B$9)</f>
        <v/>
      </c>
      <c r="M5757" s="11">
        <f>G5757+H5757</f>
        <v/>
      </c>
      <c r="N5757" s="11">
        <f>Summary!$C$16*Summary!$B$8</f>
        <v/>
      </c>
      <c r="O5757" s="11">
        <f>M5757-N5757</f>
        <v/>
      </c>
    </row>
    <row r="5758">
      <c r="A5758" s="9" t="n">
        <v>45531.83333333334</v>
      </c>
      <c r="B5758" t="n">
        <v>8</v>
      </c>
      <c r="C5758" t="n">
        <v>27</v>
      </c>
      <c r="D5758" t="n">
        <v>20</v>
      </c>
      <c r="E5758" s="10" t="n">
        <v>0</v>
      </c>
      <c r="F5758" s="10" t="n">
        <v>0.2143999234559816</v>
      </c>
      <c r="G5758" s="11">
        <f>E5758*Summary!$B$6</f>
        <v/>
      </c>
      <c r="H5758" s="11">
        <f>F5758*Summary!$B$7</f>
        <v/>
      </c>
      <c r="I5758" s="11">
        <f>MAX(0,N5758-M5758)</f>
        <v/>
      </c>
      <c r="J5758" s="11">
        <f>MAX(0,M5758-N5758)</f>
        <v/>
      </c>
      <c r="K5758" s="11">
        <f>O5758</f>
        <v/>
      </c>
      <c r="L5758" s="11">
        <f>L5757+IF(K5758&gt;0,K5758*Summary!$B$9,K5758/Summary!$B$9)</f>
        <v/>
      </c>
      <c r="M5758" s="11">
        <f>G5758+H5758</f>
        <v/>
      </c>
      <c r="N5758" s="11">
        <f>Summary!$C$16*Summary!$B$8</f>
        <v/>
      </c>
      <c r="O5758" s="11">
        <f>M5758-N5758</f>
        <v/>
      </c>
    </row>
    <row r="5759">
      <c r="A5759" s="9" t="n">
        <v>45531.875</v>
      </c>
      <c r="B5759" t="n">
        <v>8</v>
      </c>
      <c r="C5759" t="n">
        <v>27</v>
      </c>
      <c r="D5759" t="n">
        <v>21</v>
      </c>
      <c r="E5759" s="10" t="n">
        <v>0</v>
      </c>
      <c r="F5759" s="10" t="n">
        <v>0.2239920537580929</v>
      </c>
      <c r="G5759" s="11">
        <f>E5759*Summary!$B$6</f>
        <v/>
      </c>
      <c r="H5759" s="11">
        <f>F5759*Summary!$B$7</f>
        <v/>
      </c>
      <c r="I5759" s="11">
        <f>MAX(0,N5759-M5759)</f>
        <v/>
      </c>
      <c r="J5759" s="11">
        <f>MAX(0,M5759-N5759)</f>
        <v/>
      </c>
      <c r="K5759" s="11">
        <f>O5759</f>
        <v/>
      </c>
      <c r="L5759" s="11">
        <f>L5758+IF(K5759&gt;0,K5759*Summary!$B$9,K5759/Summary!$B$9)</f>
        <v/>
      </c>
      <c r="M5759" s="11">
        <f>G5759+H5759</f>
        <v/>
      </c>
      <c r="N5759" s="11">
        <f>Summary!$C$16*Summary!$B$8</f>
        <v/>
      </c>
      <c r="O5759" s="11">
        <f>M5759-N5759</f>
        <v/>
      </c>
    </row>
    <row r="5760">
      <c r="A5760" s="9" t="n">
        <v>45531.91666666666</v>
      </c>
      <c r="B5760" t="n">
        <v>8</v>
      </c>
      <c r="C5760" t="n">
        <v>27</v>
      </c>
      <c r="D5760" t="n">
        <v>22</v>
      </c>
      <c r="E5760" s="10" t="n">
        <v>0</v>
      </c>
      <c r="F5760" s="10" t="n">
        <v>0.2011185122684429</v>
      </c>
      <c r="G5760" s="11">
        <f>E5760*Summary!$B$6</f>
        <v/>
      </c>
      <c r="H5760" s="11">
        <f>F5760*Summary!$B$7</f>
        <v/>
      </c>
      <c r="I5760" s="11">
        <f>MAX(0,N5760-M5760)</f>
        <v/>
      </c>
      <c r="J5760" s="11">
        <f>MAX(0,M5760-N5760)</f>
        <v/>
      </c>
      <c r="K5760" s="11">
        <f>O5760</f>
        <v/>
      </c>
      <c r="L5760" s="11">
        <f>L5759+IF(K5760&gt;0,K5760*Summary!$B$9,K5760/Summary!$B$9)</f>
        <v/>
      </c>
      <c r="M5760" s="11">
        <f>G5760+H5760</f>
        <v/>
      </c>
      <c r="N5760" s="11">
        <f>Summary!$C$16*Summary!$B$8</f>
        <v/>
      </c>
      <c r="O5760" s="11">
        <f>M5760-N5760</f>
        <v/>
      </c>
    </row>
    <row r="5761">
      <c r="A5761" s="9" t="n">
        <v>45531.95833333334</v>
      </c>
      <c r="B5761" t="n">
        <v>8</v>
      </c>
      <c r="C5761" t="n">
        <v>27</v>
      </c>
      <c r="D5761" t="n">
        <v>23</v>
      </c>
      <c r="E5761" s="10" t="n">
        <v>0</v>
      </c>
      <c r="F5761" s="10" t="n">
        <v>0.2239393497454439</v>
      </c>
      <c r="G5761" s="11">
        <f>E5761*Summary!$B$6</f>
        <v/>
      </c>
      <c r="H5761" s="11">
        <f>F5761*Summary!$B$7</f>
        <v/>
      </c>
      <c r="I5761" s="11">
        <f>MAX(0,N5761-M5761)</f>
        <v/>
      </c>
      <c r="J5761" s="11">
        <f>MAX(0,M5761-N5761)</f>
        <v/>
      </c>
      <c r="K5761" s="11">
        <f>O5761</f>
        <v/>
      </c>
      <c r="L5761" s="11">
        <f>L5760+IF(K5761&gt;0,K5761*Summary!$B$9,K5761/Summary!$B$9)</f>
        <v/>
      </c>
      <c r="M5761" s="11">
        <f>G5761+H5761</f>
        <v/>
      </c>
      <c r="N5761" s="11">
        <f>Summary!$C$16*Summary!$B$8</f>
        <v/>
      </c>
      <c r="O5761" s="11">
        <f>M5761-N5761</f>
        <v/>
      </c>
    </row>
    <row r="5762">
      <c r="A5762" s="9" t="n">
        <v>45532</v>
      </c>
      <c r="B5762" t="n">
        <v>8</v>
      </c>
      <c r="C5762" t="n">
        <v>28</v>
      </c>
      <c r="D5762" t="n">
        <v>0</v>
      </c>
      <c r="E5762" s="10" t="n">
        <v>0</v>
      </c>
      <c r="F5762" s="10" t="n">
        <v>0.2984891756374022</v>
      </c>
      <c r="G5762" s="11">
        <f>E5762*Summary!$B$6</f>
        <v/>
      </c>
      <c r="H5762" s="11">
        <f>F5762*Summary!$B$7</f>
        <v/>
      </c>
      <c r="I5762" s="11">
        <f>MAX(0,N5762-M5762)</f>
        <v/>
      </c>
      <c r="J5762" s="11">
        <f>MAX(0,M5762-N5762)</f>
        <v/>
      </c>
      <c r="K5762" s="11">
        <f>O5762</f>
        <v/>
      </c>
      <c r="L5762" s="11">
        <f>L5761+IF(K5762&gt;0,K5762*Summary!$B$9,K5762/Summary!$B$9)</f>
        <v/>
      </c>
      <c r="M5762" s="11">
        <f>G5762+H5762</f>
        <v/>
      </c>
      <c r="N5762" s="11">
        <f>Summary!$C$16*Summary!$B$8</f>
        <v/>
      </c>
      <c r="O5762" s="11">
        <f>M5762-N5762</f>
        <v/>
      </c>
    </row>
    <row r="5763">
      <c r="A5763" s="9" t="n">
        <v>45532.04166666666</v>
      </c>
      <c r="B5763" t="n">
        <v>8</v>
      </c>
      <c r="C5763" t="n">
        <v>28</v>
      </c>
      <c r="D5763" t="n">
        <v>1</v>
      </c>
      <c r="E5763" s="10" t="n">
        <v>0</v>
      </c>
      <c r="F5763" s="10" t="n">
        <v>0.2175358122085949</v>
      </c>
      <c r="G5763" s="11">
        <f>E5763*Summary!$B$6</f>
        <v/>
      </c>
      <c r="H5763" s="11">
        <f>F5763*Summary!$B$7</f>
        <v/>
      </c>
      <c r="I5763" s="11">
        <f>MAX(0,N5763-M5763)</f>
        <v/>
      </c>
      <c r="J5763" s="11">
        <f>MAX(0,M5763-N5763)</f>
        <v/>
      </c>
      <c r="K5763" s="11">
        <f>O5763</f>
        <v/>
      </c>
      <c r="L5763" s="11">
        <f>L5762+IF(K5763&gt;0,K5763*Summary!$B$9,K5763/Summary!$B$9)</f>
        <v/>
      </c>
      <c r="M5763" s="11">
        <f>G5763+H5763</f>
        <v/>
      </c>
      <c r="N5763" s="11">
        <f>Summary!$C$16*Summary!$B$8</f>
        <v/>
      </c>
      <c r="O5763" s="11">
        <f>M5763-N5763</f>
        <v/>
      </c>
    </row>
    <row r="5764">
      <c r="A5764" s="9" t="n">
        <v>45532.08333333334</v>
      </c>
      <c r="B5764" t="n">
        <v>8</v>
      </c>
      <c r="C5764" t="n">
        <v>28</v>
      </c>
      <c r="D5764" t="n">
        <v>2</v>
      </c>
      <c r="E5764" s="10" t="n">
        <v>0</v>
      </c>
      <c r="F5764" s="10" t="n">
        <v>0.2109478106274745</v>
      </c>
      <c r="G5764" s="11">
        <f>E5764*Summary!$B$6</f>
        <v/>
      </c>
      <c r="H5764" s="11">
        <f>F5764*Summary!$B$7</f>
        <v/>
      </c>
      <c r="I5764" s="11">
        <f>MAX(0,N5764-M5764)</f>
        <v/>
      </c>
      <c r="J5764" s="11">
        <f>MAX(0,M5764-N5764)</f>
        <v/>
      </c>
      <c r="K5764" s="11">
        <f>O5764</f>
        <v/>
      </c>
      <c r="L5764" s="11">
        <f>L5763+IF(K5764&gt;0,K5764*Summary!$B$9,K5764/Summary!$B$9)</f>
        <v/>
      </c>
      <c r="M5764" s="11">
        <f>G5764+H5764</f>
        <v/>
      </c>
      <c r="N5764" s="11">
        <f>Summary!$C$16*Summary!$B$8</f>
        <v/>
      </c>
      <c r="O5764" s="11">
        <f>M5764-N5764</f>
        <v/>
      </c>
    </row>
    <row r="5765">
      <c r="A5765" s="9" t="n">
        <v>45532.125</v>
      </c>
      <c r="B5765" t="n">
        <v>8</v>
      </c>
      <c r="C5765" t="n">
        <v>28</v>
      </c>
      <c r="D5765" t="n">
        <v>3</v>
      </c>
      <c r="E5765" s="10" t="n">
        <v>0</v>
      </c>
      <c r="F5765" s="10" t="n">
        <v>0.2082599059823774</v>
      </c>
      <c r="G5765" s="11">
        <f>E5765*Summary!$B$6</f>
        <v/>
      </c>
      <c r="H5765" s="11">
        <f>F5765*Summary!$B$7</f>
        <v/>
      </c>
      <c r="I5765" s="11">
        <f>MAX(0,N5765-M5765)</f>
        <v/>
      </c>
      <c r="J5765" s="11">
        <f>MAX(0,M5765-N5765)</f>
        <v/>
      </c>
      <c r="K5765" s="11">
        <f>O5765</f>
        <v/>
      </c>
      <c r="L5765" s="11">
        <f>L5764+IF(K5765&gt;0,K5765*Summary!$B$9,K5765/Summary!$B$9)</f>
        <v/>
      </c>
      <c r="M5765" s="11">
        <f>G5765+H5765</f>
        <v/>
      </c>
      <c r="N5765" s="11">
        <f>Summary!$C$16*Summary!$B$8</f>
        <v/>
      </c>
      <c r="O5765" s="11">
        <f>M5765-N5765</f>
        <v/>
      </c>
    </row>
    <row r="5766">
      <c r="A5766" s="9" t="n">
        <v>45532.16666666666</v>
      </c>
      <c r="B5766" t="n">
        <v>8</v>
      </c>
      <c r="C5766" t="n">
        <v>28</v>
      </c>
      <c r="D5766" t="n">
        <v>4</v>
      </c>
      <c r="E5766" s="10" t="n">
        <v>0</v>
      </c>
      <c r="F5766" s="10" t="n">
        <v>0.2088132981151915</v>
      </c>
      <c r="G5766" s="11">
        <f>E5766*Summary!$B$6</f>
        <v/>
      </c>
      <c r="H5766" s="11">
        <f>F5766*Summary!$B$7</f>
        <v/>
      </c>
      <c r="I5766" s="11">
        <f>MAX(0,N5766-M5766)</f>
        <v/>
      </c>
      <c r="J5766" s="11">
        <f>MAX(0,M5766-N5766)</f>
        <v/>
      </c>
      <c r="K5766" s="11">
        <f>O5766</f>
        <v/>
      </c>
      <c r="L5766" s="11">
        <f>L5765+IF(K5766&gt;0,K5766*Summary!$B$9,K5766/Summary!$B$9)</f>
        <v/>
      </c>
      <c r="M5766" s="11">
        <f>G5766+H5766</f>
        <v/>
      </c>
      <c r="N5766" s="11">
        <f>Summary!$C$16*Summary!$B$8</f>
        <v/>
      </c>
      <c r="O5766" s="11">
        <f>M5766-N5766</f>
        <v/>
      </c>
    </row>
    <row r="5767">
      <c r="A5767" s="9" t="n">
        <v>45532.20833333334</v>
      </c>
      <c r="B5767" t="n">
        <v>8</v>
      </c>
      <c r="C5767" t="n">
        <v>28</v>
      </c>
      <c r="D5767" t="n">
        <v>5</v>
      </c>
      <c r="E5767" s="10" t="n">
        <v>0.011135</v>
      </c>
      <c r="F5767" s="10" t="n">
        <v>0.2108687546085011</v>
      </c>
      <c r="G5767" s="11">
        <f>E5767*Summary!$B$6</f>
        <v/>
      </c>
      <c r="H5767" s="11">
        <f>F5767*Summary!$B$7</f>
        <v/>
      </c>
      <c r="I5767" s="11">
        <f>MAX(0,N5767-M5767)</f>
        <v/>
      </c>
      <c r="J5767" s="11">
        <f>MAX(0,M5767-N5767)</f>
        <v/>
      </c>
      <c r="K5767" s="11">
        <f>O5767</f>
        <v/>
      </c>
      <c r="L5767" s="11">
        <f>L5766+IF(K5767&gt;0,K5767*Summary!$B$9,K5767/Summary!$B$9)</f>
        <v/>
      </c>
      <c r="M5767" s="11">
        <f>G5767+H5767</f>
        <v/>
      </c>
      <c r="N5767" s="11">
        <f>Summary!$C$16*Summary!$B$8</f>
        <v/>
      </c>
      <c r="O5767" s="11">
        <f>M5767-N5767</f>
        <v/>
      </c>
    </row>
    <row r="5768">
      <c r="A5768" s="9" t="n">
        <v>45532.25</v>
      </c>
      <c r="B5768" t="n">
        <v>8</v>
      </c>
      <c r="C5768" t="n">
        <v>28</v>
      </c>
      <c r="D5768" t="n">
        <v>6</v>
      </c>
      <c r="E5768" s="10" t="n">
        <v>0.09181499999999999</v>
      </c>
      <c r="F5768" s="10" t="n">
        <v>0.1993002238320537</v>
      </c>
      <c r="G5768" s="11">
        <f>E5768*Summary!$B$6</f>
        <v/>
      </c>
      <c r="H5768" s="11">
        <f>F5768*Summary!$B$7</f>
        <v/>
      </c>
      <c r="I5768" s="11">
        <f>MAX(0,N5768-M5768)</f>
        <v/>
      </c>
      <c r="J5768" s="11">
        <f>MAX(0,M5768-N5768)</f>
        <v/>
      </c>
      <c r="K5768" s="11">
        <f>O5768</f>
        <v/>
      </c>
      <c r="L5768" s="11">
        <f>L5767+IF(K5768&gt;0,K5768*Summary!$B$9,K5768/Summary!$B$9)</f>
        <v/>
      </c>
      <c r="M5768" s="11">
        <f>G5768+H5768</f>
        <v/>
      </c>
      <c r="N5768" s="11">
        <f>Summary!$C$16*Summary!$B$8</f>
        <v/>
      </c>
      <c r="O5768" s="11">
        <f>M5768-N5768</f>
        <v/>
      </c>
    </row>
    <row r="5769">
      <c r="A5769" s="9" t="n">
        <v>45532.29166666666</v>
      </c>
      <c r="B5769" t="n">
        <v>8</v>
      </c>
      <c r="C5769" t="n">
        <v>28</v>
      </c>
      <c r="D5769" t="n">
        <v>7</v>
      </c>
      <c r="E5769" s="10" t="n">
        <v>0.296531</v>
      </c>
      <c r="F5769" s="10" t="n">
        <v>0.1883641412073939</v>
      </c>
      <c r="G5769" s="11">
        <f>E5769*Summary!$B$6</f>
        <v/>
      </c>
      <c r="H5769" s="11">
        <f>F5769*Summary!$B$7</f>
        <v/>
      </c>
      <c r="I5769" s="11">
        <f>MAX(0,N5769-M5769)</f>
        <v/>
      </c>
      <c r="J5769" s="11">
        <f>MAX(0,M5769-N5769)</f>
        <v/>
      </c>
      <c r="K5769" s="11">
        <f>O5769</f>
        <v/>
      </c>
      <c r="L5769" s="11">
        <f>L5768+IF(K5769&gt;0,K5769*Summary!$B$9,K5769/Summary!$B$9)</f>
        <v/>
      </c>
      <c r="M5769" s="11">
        <f>G5769+H5769</f>
        <v/>
      </c>
      <c r="N5769" s="11">
        <f>Summary!$C$16*Summary!$B$8</f>
        <v/>
      </c>
      <c r="O5769" s="11">
        <f>M5769-N5769</f>
        <v/>
      </c>
    </row>
    <row r="5770">
      <c r="A5770" s="9" t="n">
        <v>45532.33333333334</v>
      </c>
      <c r="B5770" t="n">
        <v>8</v>
      </c>
      <c r="C5770" t="n">
        <v>28</v>
      </c>
      <c r="D5770" t="n">
        <v>8</v>
      </c>
      <c r="E5770" s="10" t="n">
        <v>0.511298</v>
      </c>
      <c r="F5770" s="10" t="n">
        <v>0.1848066203535889</v>
      </c>
      <c r="G5770" s="11">
        <f>E5770*Summary!$B$6</f>
        <v/>
      </c>
      <c r="H5770" s="11">
        <f>F5770*Summary!$B$7</f>
        <v/>
      </c>
      <c r="I5770" s="11">
        <f>MAX(0,N5770-M5770)</f>
        <v/>
      </c>
      <c r="J5770" s="11">
        <f>MAX(0,M5770-N5770)</f>
        <v/>
      </c>
      <c r="K5770" s="11">
        <f>O5770</f>
        <v/>
      </c>
      <c r="L5770" s="11">
        <f>L5769+IF(K5770&gt;0,K5770*Summary!$B$9,K5770/Summary!$B$9)</f>
        <v/>
      </c>
      <c r="M5770" s="11">
        <f>G5770+H5770</f>
        <v/>
      </c>
      <c r="N5770" s="11">
        <f>Summary!$C$16*Summary!$B$8</f>
        <v/>
      </c>
      <c r="O5770" s="11">
        <f>M5770-N5770</f>
        <v/>
      </c>
    </row>
    <row r="5771">
      <c r="A5771" s="9" t="n">
        <v>45532.375</v>
      </c>
      <c r="B5771" t="n">
        <v>8</v>
      </c>
      <c r="C5771" t="n">
        <v>28</v>
      </c>
      <c r="D5771" t="n">
        <v>9</v>
      </c>
      <c r="E5771" s="10" t="n">
        <v>0.672643</v>
      </c>
      <c r="F5771" s="10" t="n">
        <v>0.1875735810176594</v>
      </c>
      <c r="G5771" s="11">
        <f>E5771*Summary!$B$6</f>
        <v/>
      </c>
      <c r="H5771" s="11">
        <f>F5771*Summary!$B$7</f>
        <v/>
      </c>
      <c r="I5771" s="11">
        <f>MAX(0,N5771-M5771)</f>
        <v/>
      </c>
      <c r="J5771" s="11">
        <f>MAX(0,M5771-N5771)</f>
        <v/>
      </c>
      <c r="K5771" s="11">
        <f>O5771</f>
        <v/>
      </c>
      <c r="L5771" s="11">
        <f>L5770+IF(K5771&gt;0,K5771*Summary!$B$9,K5771/Summary!$B$9)</f>
        <v/>
      </c>
      <c r="M5771" s="11">
        <f>G5771+H5771</f>
        <v/>
      </c>
      <c r="N5771" s="11">
        <f>Summary!$C$16*Summary!$B$8</f>
        <v/>
      </c>
      <c r="O5771" s="11">
        <f>M5771-N5771</f>
        <v/>
      </c>
    </row>
    <row r="5772">
      <c r="A5772" s="9" t="n">
        <v>45532.41666666666</v>
      </c>
      <c r="B5772" t="n">
        <v>8</v>
      </c>
      <c r="C5772" t="n">
        <v>28</v>
      </c>
      <c r="D5772" t="n">
        <v>10</v>
      </c>
      <c r="E5772" s="10" t="n">
        <v>0.754058</v>
      </c>
      <c r="F5772" s="10" t="n">
        <v>0.1921324781117948</v>
      </c>
      <c r="G5772" s="11">
        <f>E5772*Summary!$B$6</f>
        <v/>
      </c>
      <c r="H5772" s="11">
        <f>F5772*Summary!$B$7</f>
        <v/>
      </c>
      <c r="I5772" s="11">
        <f>MAX(0,N5772-M5772)</f>
        <v/>
      </c>
      <c r="J5772" s="11">
        <f>MAX(0,M5772-N5772)</f>
        <v/>
      </c>
      <c r="K5772" s="11">
        <f>O5772</f>
        <v/>
      </c>
      <c r="L5772" s="11">
        <f>L5771+IF(K5772&gt;0,K5772*Summary!$B$9,K5772/Summary!$B$9)</f>
        <v/>
      </c>
      <c r="M5772" s="11">
        <f>G5772+H5772</f>
        <v/>
      </c>
      <c r="N5772" s="11">
        <f>Summary!$C$16*Summary!$B$8</f>
        <v/>
      </c>
      <c r="O5772" s="11">
        <f>M5772-N5772</f>
        <v/>
      </c>
    </row>
    <row r="5773">
      <c r="A5773" s="9" t="n">
        <v>45532.45833333334</v>
      </c>
      <c r="B5773" t="n">
        <v>8</v>
      </c>
      <c r="C5773" t="n">
        <v>28</v>
      </c>
      <c r="D5773" t="n">
        <v>11</v>
      </c>
      <c r="E5773" s="10" t="n">
        <v>0.754058</v>
      </c>
      <c r="F5773" s="10" t="n">
        <v>0.1936872464849392</v>
      </c>
      <c r="G5773" s="11">
        <f>E5773*Summary!$B$6</f>
        <v/>
      </c>
      <c r="H5773" s="11">
        <f>F5773*Summary!$B$7</f>
        <v/>
      </c>
      <c r="I5773" s="11">
        <f>MAX(0,N5773-M5773)</f>
        <v/>
      </c>
      <c r="J5773" s="11">
        <f>MAX(0,M5773-N5773)</f>
        <v/>
      </c>
      <c r="K5773" s="11">
        <f>O5773</f>
        <v/>
      </c>
      <c r="L5773" s="11">
        <f>L5772+IF(K5773&gt;0,K5773*Summary!$B$9,K5773/Summary!$B$9)</f>
        <v/>
      </c>
      <c r="M5773" s="11">
        <f>G5773+H5773</f>
        <v/>
      </c>
      <c r="N5773" s="11">
        <f>Summary!$C$16*Summary!$B$8</f>
        <v/>
      </c>
      <c r="O5773" s="11">
        <f>M5773-N5773</f>
        <v/>
      </c>
    </row>
    <row r="5774">
      <c r="A5774" s="9" t="n">
        <v>45532.5</v>
      </c>
      <c r="B5774" t="n">
        <v>8</v>
      </c>
      <c r="C5774" t="n">
        <v>28</v>
      </c>
      <c r="D5774" t="n">
        <v>12</v>
      </c>
      <c r="E5774" s="10" t="n">
        <v>0.754058</v>
      </c>
      <c r="F5774" s="10" t="n">
        <v>0.2000380800091392</v>
      </c>
      <c r="G5774" s="11">
        <f>E5774*Summary!$B$6</f>
        <v/>
      </c>
      <c r="H5774" s="11">
        <f>F5774*Summary!$B$7</f>
        <v/>
      </c>
      <c r="I5774" s="11">
        <f>MAX(0,N5774-M5774)</f>
        <v/>
      </c>
      <c r="J5774" s="11">
        <f>MAX(0,M5774-N5774)</f>
        <v/>
      </c>
      <c r="K5774" s="11">
        <f>O5774</f>
        <v/>
      </c>
      <c r="L5774" s="11">
        <f>L5773+IF(K5774&gt;0,K5774*Summary!$B$9,K5774/Summary!$B$9)</f>
        <v/>
      </c>
      <c r="M5774" s="11">
        <f>G5774+H5774</f>
        <v/>
      </c>
      <c r="N5774" s="11">
        <f>Summary!$C$16*Summary!$B$8</f>
        <v/>
      </c>
      <c r="O5774" s="11">
        <f>M5774-N5774</f>
        <v/>
      </c>
    </row>
    <row r="5775">
      <c r="A5775" s="9" t="n">
        <v>45532.54166666666</v>
      </c>
      <c r="B5775" t="n">
        <v>8</v>
      </c>
      <c r="C5775" t="n">
        <v>28</v>
      </c>
      <c r="D5775" t="n">
        <v>13</v>
      </c>
      <c r="E5775" s="10" t="n">
        <v>0.754058</v>
      </c>
      <c r="F5775" s="10" t="n">
        <v>0.2065206735649616</v>
      </c>
      <c r="G5775" s="11">
        <f>E5775*Summary!$B$6</f>
        <v/>
      </c>
      <c r="H5775" s="11">
        <f>F5775*Summary!$B$7</f>
        <v/>
      </c>
      <c r="I5775" s="11">
        <f>MAX(0,N5775-M5775)</f>
        <v/>
      </c>
      <c r="J5775" s="11">
        <f>MAX(0,M5775-N5775)</f>
        <v/>
      </c>
      <c r="K5775" s="11">
        <f>O5775</f>
        <v/>
      </c>
      <c r="L5775" s="11">
        <f>L5774+IF(K5775&gt;0,K5775*Summary!$B$9,K5775/Summary!$B$9)</f>
        <v/>
      </c>
      <c r="M5775" s="11">
        <f>G5775+H5775</f>
        <v/>
      </c>
      <c r="N5775" s="11">
        <f>Summary!$C$16*Summary!$B$8</f>
        <v/>
      </c>
      <c r="O5775" s="11">
        <f>M5775-N5775</f>
        <v/>
      </c>
    </row>
    <row r="5776">
      <c r="A5776" s="9" t="n">
        <v>45532.58333333334</v>
      </c>
      <c r="B5776" t="n">
        <v>8</v>
      </c>
      <c r="C5776" t="n">
        <v>28</v>
      </c>
      <c r="D5776" t="n">
        <v>14</v>
      </c>
      <c r="E5776" s="10" t="n">
        <v>0.713513</v>
      </c>
      <c r="F5776" s="10" t="n">
        <v>0.2142154594117103</v>
      </c>
      <c r="G5776" s="11">
        <f>E5776*Summary!$B$6</f>
        <v/>
      </c>
      <c r="H5776" s="11">
        <f>F5776*Summary!$B$7</f>
        <v/>
      </c>
      <c r="I5776" s="11">
        <f>MAX(0,N5776-M5776)</f>
        <v/>
      </c>
      <c r="J5776" s="11">
        <f>MAX(0,M5776-N5776)</f>
        <v/>
      </c>
      <c r="K5776" s="11">
        <f>O5776</f>
        <v/>
      </c>
      <c r="L5776" s="11">
        <f>L5775+IF(K5776&gt;0,K5776*Summary!$B$9,K5776/Summary!$B$9)</f>
        <v/>
      </c>
      <c r="M5776" s="11">
        <f>G5776+H5776</f>
        <v/>
      </c>
      <c r="N5776" s="11">
        <f>Summary!$C$16*Summary!$B$8</f>
        <v/>
      </c>
      <c r="O5776" s="11">
        <f>M5776-N5776</f>
        <v/>
      </c>
    </row>
    <row r="5777">
      <c r="A5777" s="9" t="n">
        <v>45532.625</v>
      </c>
      <c r="B5777" t="n">
        <v>8</v>
      </c>
      <c r="C5777" t="n">
        <v>28</v>
      </c>
      <c r="D5777" t="n">
        <v>15</v>
      </c>
      <c r="E5777" s="10" t="n">
        <v>0.570845</v>
      </c>
      <c r="F5777" s="10" t="n">
        <v>0.2172459401390257</v>
      </c>
      <c r="G5777" s="11">
        <f>E5777*Summary!$B$6</f>
        <v/>
      </c>
      <c r="H5777" s="11">
        <f>F5777*Summary!$B$7</f>
        <v/>
      </c>
      <c r="I5777" s="11">
        <f>MAX(0,N5777-M5777)</f>
        <v/>
      </c>
      <c r="J5777" s="11">
        <f>MAX(0,M5777-N5777)</f>
        <v/>
      </c>
      <c r="K5777" s="11">
        <f>O5777</f>
        <v/>
      </c>
      <c r="L5777" s="11">
        <f>L5776+IF(K5777&gt;0,K5777*Summary!$B$9,K5777/Summary!$B$9)</f>
        <v/>
      </c>
      <c r="M5777" s="11">
        <f>G5777+H5777</f>
        <v/>
      </c>
      <c r="N5777" s="11">
        <f>Summary!$C$16*Summary!$B$8</f>
        <v/>
      </c>
      <c r="O5777" s="11">
        <f>M5777-N5777</f>
        <v/>
      </c>
    </row>
    <row r="5778">
      <c r="A5778" s="9" t="n">
        <v>45532.66666666666</v>
      </c>
      <c r="B5778" t="n">
        <v>8</v>
      </c>
      <c r="C5778" t="n">
        <v>28</v>
      </c>
      <c r="D5778" t="n">
        <v>16</v>
      </c>
      <c r="E5778" s="10" t="n">
        <v>0.3137</v>
      </c>
      <c r="F5778" s="10" t="n">
        <v>0.2175094602022705</v>
      </c>
      <c r="G5778" s="11">
        <f>E5778*Summary!$B$6</f>
        <v/>
      </c>
      <c r="H5778" s="11">
        <f>F5778*Summary!$B$7</f>
        <v/>
      </c>
      <c r="I5778" s="11">
        <f>MAX(0,N5778-M5778)</f>
        <v/>
      </c>
      <c r="J5778" s="11">
        <f>MAX(0,M5778-N5778)</f>
        <v/>
      </c>
      <c r="K5778" s="11">
        <f>O5778</f>
        <v/>
      </c>
      <c r="L5778" s="11">
        <f>L5777+IF(K5778&gt;0,K5778*Summary!$B$9,K5778/Summary!$B$9)</f>
        <v/>
      </c>
      <c r="M5778" s="11">
        <f>G5778+H5778</f>
        <v/>
      </c>
      <c r="N5778" s="11">
        <f>Summary!$C$16*Summary!$B$8</f>
        <v/>
      </c>
      <c r="O5778" s="11">
        <f>M5778-N5778</f>
        <v/>
      </c>
    </row>
    <row r="5779">
      <c r="A5779" s="9" t="n">
        <v>45532.70833333334</v>
      </c>
      <c r="B5779" t="n">
        <v>8</v>
      </c>
      <c r="C5779" t="n">
        <v>28</v>
      </c>
      <c r="D5779" t="n">
        <v>17</v>
      </c>
      <c r="E5779" s="10" t="n">
        <v>0.111881</v>
      </c>
      <c r="F5779" s="10" t="n">
        <v>0.2151377796330671</v>
      </c>
      <c r="G5779" s="11">
        <f>E5779*Summary!$B$6</f>
        <v/>
      </c>
      <c r="H5779" s="11">
        <f>F5779*Summary!$B$7</f>
        <v/>
      </c>
      <c r="I5779" s="11">
        <f>MAX(0,N5779-M5779)</f>
        <v/>
      </c>
      <c r="J5779" s="11">
        <f>MAX(0,M5779-N5779)</f>
        <v/>
      </c>
      <c r="K5779" s="11">
        <f>O5779</f>
        <v/>
      </c>
      <c r="L5779" s="11">
        <f>L5778+IF(K5779&gt;0,K5779*Summary!$B$9,K5779/Summary!$B$9)</f>
        <v/>
      </c>
      <c r="M5779" s="11">
        <f>G5779+H5779</f>
        <v/>
      </c>
      <c r="N5779" s="11">
        <f>Summary!$C$16*Summary!$B$8</f>
        <v/>
      </c>
      <c r="O5779" s="11">
        <f>M5779-N5779</f>
        <v/>
      </c>
    </row>
    <row r="5780">
      <c r="A5780" s="9" t="n">
        <v>45532.75</v>
      </c>
      <c r="B5780" t="n">
        <v>8</v>
      </c>
      <c r="C5780" t="n">
        <v>28</v>
      </c>
      <c r="D5780" t="n">
        <v>18</v>
      </c>
      <c r="E5780" s="10" t="n">
        <v>0.023358</v>
      </c>
      <c r="F5780" s="10" t="n">
        <v>0.2212514451003468</v>
      </c>
      <c r="G5780" s="11">
        <f>E5780*Summary!$B$6</f>
        <v/>
      </c>
      <c r="H5780" s="11">
        <f>F5780*Summary!$B$7</f>
        <v/>
      </c>
      <c r="I5780" s="11">
        <f>MAX(0,N5780-M5780)</f>
        <v/>
      </c>
      <c r="J5780" s="11">
        <f>MAX(0,M5780-N5780)</f>
        <v/>
      </c>
      <c r="K5780" s="11">
        <f>O5780</f>
        <v/>
      </c>
      <c r="L5780" s="11">
        <f>L5779+IF(K5780&gt;0,K5780*Summary!$B$9,K5780/Summary!$B$9)</f>
        <v/>
      </c>
      <c r="M5780" s="11">
        <f>G5780+H5780</f>
        <v/>
      </c>
      <c r="N5780" s="11">
        <f>Summary!$C$16*Summary!$B$8</f>
        <v/>
      </c>
      <c r="O5780" s="11">
        <f>M5780-N5780</f>
        <v/>
      </c>
    </row>
    <row r="5781">
      <c r="A5781" s="9" t="n">
        <v>45532.79166666666</v>
      </c>
      <c r="B5781" t="n">
        <v>8</v>
      </c>
      <c r="C5781" t="n">
        <v>28</v>
      </c>
      <c r="D5781" t="n">
        <v>19</v>
      </c>
      <c r="E5781" s="10" t="n">
        <v>0</v>
      </c>
      <c r="F5781" s="10" t="n">
        <v>0.2391708094009943</v>
      </c>
      <c r="G5781" s="11">
        <f>E5781*Summary!$B$6</f>
        <v/>
      </c>
      <c r="H5781" s="11">
        <f>F5781*Summary!$B$7</f>
        <v/>
      </c>
      <c r="I5781" s="11">
        <f>MAX(0,N5781-M5781)</f>
        <v/>
      </c>
      <c r="J5781" s="11">
        <f>MAX(0,M5781-N5781)</f>
        <v/>
      </c>
      <c r="K5781" s="11">
        <f>O5781</f>
        <v/>
      </c>
      <c r="L5781" s="11">
        <f>L5780+IF(K5781&gt;0,K5781*Summary!$B$9,K5781/Summary!$B$9)</f>
        <v/>
      </c>
      <c r="M5781" s="11">
        <f>G5781+H5781</f>
        <v/>
      </c>
      <c r="N5781" s="11">
        <f>Summary!$C$16*Summary!$B$8</f>
        <v/>
      </c>
      <c r="O5781" s="11">
        <f>M5781-N5781</f>
        <v/>
      </c>
    </row>
    <row r="5782">
      <c r="A5782" s="9" t="n">
        <v>45532.83333333334</v>
      </c>
      <c r="B5782" t="n">
        <v>8</v>
      </c>
      <c r="C5782" t="n">
        <v>28</v>
      </c>
      <c r="D5782" t="n">
        <v>20</v>
      </c>
      <c r="E5782" s="10" t="n">
        <v>0</v>
      </c>
      <c r="F5782" s="10" t="n">
        <v>0.2606740465617712</v>
      </c>
      <c r="G5782" s="11">
        <f>E5782*Summary!$B$6</f>
        <v/>
      </c>
      <c r="H5782" s="11">
        <f>F5782*Summary!$B$7</f>
        <v/>
      </c>
      <c r="I5782" s="11">
        <f>MAX(0,N5782-M5782)</f>
        <v/>
      </c>
      <c r="J5782" s="11">
        <f>MAX(0,M5782-N5782)</f>
        <v/>
      </c>
      <c r="K5782" s="11">
        <f>O5782</f>
        <v/>
      </c>
      <c r="L5782" s="11">
        <f>L5781+IF(K5782&gt;0,K5782*Summary!$B$9,K5782/Summary!$B$9)</f>
        <v/>
      </c>
      <c r="M5782" s="11">
        <f>G5782+H5782</f>
        <v/>
      </c>
      <c r="N5782" s="11">
        <f>Summary!$C$16*Summary!$B$8</f>
        <v/>
      </c>
      <c r="O5782" s="11">
        <f>M5782-N5782</f>
        <v/>
      </c>
    </row>
    <row r="5783">
      <c r="A5783" s="9" t="n">
        <v>45532.875</v>
      </c>
      <c r="B5783" t="n">
        <v>8</v>
      </c>
      <c r="C5783" t="n">
        <v>28</v>
      </c>
      <c r="D5783" t="n">
        <v>21</v>
      </c>
      <c r="E5783" s="10" t="n">
        <v>0</v>
      </c>
      <c r="F5783" s="10" t="n">
        <v>0.2828097318743356</v>
      </c>
      <c r="G5783" s="11">
        <f>E5783*Summary!$B$6</f>
        <v/>
      </c>
      <c r="H5783" s="11">
        <f>F5783*Summary!$B$7</f>
        <v/>
      </c>
      <c r="I5783" s="11">
        <f>MAX(0,N5783-M5783)</f>
        <v/>
      </c>
      <c r="J5783" s="11">
        <f>MAX(0,M5783-N5783)</f>
        <v/>
      </c>
      <c r="K5783" s="11">
        <f>O5783</f>
        <v/>
      </c>
      <c r="L5783" s="11">
        <f>L5782+IF(K5783&gt;0,K5783*Summary!$B$9,K5783/Summary!$B$9)</f>
        <v/>
      </c>
      <c r="M5783" s="11">
        <f>G5783+H5783</f>
        <v/>
      </c>
      <c r="N5783" s="11">
        <f>Summary!$C$16*Summary!$B$8</f>
        <v/>
      </c>
      <c r="O5783" s="11">
        <f>M5783-N5783</f>
        <v/>
      </c>
    </row>
    <row r="5784">
      <c r="A5784" s="9" t="n">
        <v>45532.91666666666</v>
      </c>
      <c r="B5784" t="n">
        <v>8</v>
      </c>
      <c r="C5784" t="n">
        <v>28</v>
      </c>
      <c r="D5784" t="n">
        <v>22</v>
      </c>
      <c r="E5784" s="10" t="n">
        <v>0</v>
      </c>
      <c r="F5784" s="10" t="n">
        <v>0.2946154307077034</v>
      </c>
      <c r="G5784" s="11">
        <f>E5784*Summary!$B$6</f>
        <v/>
      </c>
      <c r="H5784" s="11">
        <f>F5784*Summary!$B$7</f>
        <v/>
      </c>
      <c r="I5784" s="11">
        <f>MAX(0,N5784-M5784)</f>
        <v/>
      </c>
      <c r="J5784" s="11">
        <f>MAX(0,M5784-N5784)</f>
        <v/>
      </c>
      <c r="K5784" s="11">
        <f>O5784</f>
        <v/>
      </c>
      <c r="L5784" s="11">
        <f>L5783+IF(K5784&gt;0,K5784*Summary!$B$9,K5784/Summary!$B$9)</f>
        <v/>
      </c>
      <c r="M5784" s="11">
        <f>G5784+H5784</f>
        <v/>
      </c>
      <c r="N5784" s="11">
        <f>Summary!$C$16*Summary!$B$8</f>
        <v/>
      </c>
      <c r="O5784" s="11">
        <f>M5784-N5784</f>
        <v/>
      </c>
    </row>
    <row r="5785">
      <c r="A5785" s="9" t="n">
        <v>45532.95833333334</v>
      </c>
      <c r="B5785" t="n">
        <v>8</v>
      </c>
      <c r="C5785" t="n">
        <v>28</v>
      </c>
      <c r="D5785" t="n">
        <v>23</v>
      </c>
      <c r="E5785" s="10" t="n">
        <v>0</v>
      </c>
      <c r="F5785" s="10" t="n">
        <v>0.3433929944143186</v>
      </c>
      <c r="G5785" s="11">
        <f>E5785*Summary!$B$6</f>
        <v/>
      </c>
      <c r="H5785" s="11">
        <f>F5785*Summary!$B$7</f>
        <v/>
      </c>
      <c r="I5785" s="11">
        <f>MAX(0,N5785-M5785)</f>
        <v/>
      </c>
      <c r="J5785" s="11">
        <f>MAX(0,M5785-N5785)</f>
        <v/>
      </c>
      <c r="K5785" s="11">
        <f>O5785</f>
        <v/>
      </c>
      <c r="L5785" s="11">
        <f>L5784+IF(K5785&gt;0,K5785*Summary!$B$9,K5785/Summary!$B$9)</f>
        <v/>
      </c>
      <c r="M5785" s="11">
        <f>G5785+H5785</f>
        <v/>
      </c>
      <c r="N5785" s="11">
        <f>Summary!$C$16*Summary!$B$8</f>
        <v/>
      </c>
      <c r="O5785" s="11">
        <f>M5785-N5785</f>
        <v/>
      </c>
    </row>
    <row r="5786">
      <c r="A5786" s="9" t="n">
        <v>45533</v>
      </c>
      <c r="B5786" t="n">
        <v>8</v>
      </c>
      <c r="C5786" t="n">
        <v>29</v>
      </c>
      <c r="D5786" t="n">
        <v>0</v>
      </c>
      <c r="E5786" s="10" t="n">
        <v>0</v>
      </c>
      <c r="F5786" s="10" t="n">
        <v>0.2167452520188605</v>
      </c>
      <c r="G5786" s="11">
        <f>E5786*Summary!$B$6</f>
        <v/>
      </c>
      <c r="H5786" s="11">
        <f>F5786*Summary!$B$7</f>
        <v/>
      </c>
      <c r="I5786" s="11">
        <f>MAX(0,N5786-M5786)</f>
        <v/>
      </c>
      <c r="J5786" s="11">
        <f>MAX(0,M5786-N5786)</f>
        <v/>
      </c>
      <c r="K5786" s="11">
        <f>O5786</f>
        <v/>
      </c>
      <c r="L5786" s="11">
        <f>L5785+IF(K5786&gt;0,K5786*Summary!$B$9,K5786/Summary!$B$9)</f>
        <v/>
      </c>
      <c r="M5786" s="11">
        <f>G5786+H5786</f>
        <v/>
      </c>
      <c r="N5786" s="11">
        <f>Summary!$C$16*Summary!$B$8</f>
        <v/>
      </c>
      <c r="O5786" s="11">
        <f>M5786-N5786</f>
        <v/>
      </c>
    </row>
    <row r="5787">
      <c r="A5787" s="9" t="n">
        <v>45533.04166666666</v>
      </c>
      <c r="B5787" t="n">
        <v>8</v>
      </c>
      <c r="C5787" t="n">
        <v>29</v>
      </c>
      <c r="D5787" t="n">
        <v>1</v>
      </c>
      <c r="E5787" s="10" t="n">
        <v>0</v>
      </c>
      <c r="F5787" s="10" t="n">
        <v>0.296618183188364</v>
      </c>
      <c r="G5787" s="11">
        <f>E5787*Summary!$B$6</f>
        <v/>
      </c>
      <c r="H5787" s="11">
        <f>F5787*Summary!$B$7</f>
        <v/>
      </c>
      <c r="I5787" s="11">
        <f>MAX(0,N5787-M5787)</f>
        <v/>
      </c>
      <c r="J5787" s="11">
        <f>MAX(0,M5787-N5787)</f>
        <v/>
      </c>
      <c r="K5787" s="11">
        <f>O5787</f>
        <v/>
      </c>
      <c r="L5787" s="11">
        <f>L5786+IF(K5787&gt;0,K5787*Summary!$B$9,K5787/Summary!$B$9)</f>
        <v/>
      </c>
      <c r="M5787" s="11">
        <f>G5787+H5787</f>
        <v/>
      </c>
      <c r="N5787" s="11">
        <f>Summary!$C$16*Summary!$B$8</f>
        <v/>
      </c>
      <c r="O5787" s="11">
        <f>M5787-N5787</f>
        <v/>
      </c>
    </row>
    <row r="5788">
      <c r="A5788" s="9" t="n">
        <v>45533.08333333334</v>
      </c>
      <c r="B5788" t="n">
        <v>8</v>
      </c>
      <c r="C5788" t="n">
        <v>29</v>
      </c>
      <c r="D5788" t="n">
        <v>2</v>
      </c>
      <c r="E5788" s="10" t="n">
        <v>0</v>
      </c>
      <c r="F5788" s="10" t="n">
        <v>0.2963810151314436</v>
      </c>
      <c r="G5788" s="11">
        <f>E5788*Summary!$B$6</f>
        <v/>
      </c>
      <c r="H5788" s="11">
        <f>F5788*Summary!$B$7</f>
        <v/>
      </c>
      <c r="I5788" s="11">
        <f>MAX(0,N5788-M5788)</f>
        <v/>
      </c>
      <c r="J5788" s="11">
        <f>MAX(0,M5788-N5788)</f>
        <v/>
      </c>
      <c r="K5788" s="11">
        <f>O5788</f>
        <v/>
      </c>
      <c r="L5788" s="11">
        <f>L5787+IF(K5788&gt;0,K5788*Summary!$B$9,K5788/Summary!$B$9)</f>
        <v/>
      </c>
      <c r="M5788" s="11">
        <f>G5788+H5788</f>
        <v/>
      </c>
      <c r="N5788" s="11">
        <f>Summary!$C$16*Summary!$B$8</f>
        <v/>
      </c>
      <c r="O5788" s="11">
        <f>M5788-N5788</f>
        <v/>
      </c>
    </row>
    <row r="5789">
      <c r="A5789" s="9" t="n">
        <v>45533.125</v>
      </c>
      <c r="B5789" t="n">
        <v>8</v>
      </c>
      <c r="C5789" t="n">
        <v>29</v>
      </c>
      <c r="D5789" t="n">
        <v>3</v>
      </c>
      <c r="E5789" s="10" t="n">
        <v>0</v>
      </c>
      <c r="F5789" s="10" t="n">
        <v>0.293719462492671</v>
      </c>
      <c r="G5789" s="11">
        <f>E5789*Summary!$B$6</f>
        <v/>
      </c>
      <c r="H5789" s="11">
        <f>F5789*Summary!$B$7</f>
        <v/>
      </c>
      <c r="I5789" s="11">
        <f>MAX(0,N5789-M5789)</f>
        <v/>
      </c>
      <c r="J5789" s="11">
        <f>MAX(0,M5789-N5789)</f>
        <v/>
      </c>
      <c r="K5789" s="11">
        <f>O5789</f>
        <v/>
      </c>
      <c r="L5789" s="11">
        <f>L5788+IF(K5789&gt;0,K5789*Summary!$B$9,K5789/Summary!$B$9)</f>
        <v/>
      </c>
      <c r="M5789" s="11">
        <f>G5789+H5789</f>
        <v/>
      </c>
      <c r="N5789" s="11">
        <f>Summary!$C$16*Summary!$B$8</f>
        <v/>
      </c>
      <c r="O5789" s="11">
        <f>M5789-N5789</f>
        <v/>
      </c>
    </row>
    <row r="5790">
      <c r="A5790" s="9" t="n">
        <v>45533.16666666666</v>
      </c>
      <c r="B5790" t="n">
        <v>8</v>
      </c>
      <c r="C5790" t="n">
        <v>29</v>
      </c>
      <c r="D5790" t="n">
        <v>4</v>
      </c>
      <c r="E5790" s="10" t="n">
        <v>0</v>
      </c>
      <c r="F5790" s="10" t="n">
        <v>0.2945100226824054</v>
      </c>
      <c r="G5790" s="11">
        <f>E5790*Summary!$B$6</f>
        <v/>
      </c>
      <c r="H5790" s="11">
        <f>F5790*Summary!$B$7</f>
        <v/>
      </c>
      <c r="I5790" s="11">
        <f>MAX(0,N5790-M5790)</f>
        <v/>
      </c>
      <c r="J5790" s="11">
        <f>MAX(0,M5790-N5790)</f>
        <v/>
      </c>
      <c r="K5790" s="11">
        <f>O5790</f>
        <v/>
      </c>
      <c r="L5790" s="11">
        <f>L5789+IF(K5790&gt;0,K5790*Summary!$B$9,K5790/Summary!$B$9)</f>
        <v/>
      </c>
      <c r="M5790" s="11">
        <f>G5790+H5790</f>
        <v/>
      </c>
      <c r="N5790" s="11">
        <f>Summary!$C$16*Summary!$B$8</f>
        <v/>
      </c>
      <c r="O5790" s="11">
        <f>M5790-N5790</f>
        <v/>
      </c>
    </row>
    <row r="5791">
      <c r="A5791" s="9" t="n">
        <v>45533.20833333334</v>
      </c>
      <c r="B5791" t="n">
        <v>8</v>
      </c>
      <c r="C5791" t="n">
        <v>29</v>
      </c>
      <c r="D5791" t="n">
        <v>5</v>
      </c>
      <c r="E5791" s="10" t="n">
        <v>0.010997</v>
      </c>
      <c r="F5791" s="10" t="n">
        <v>0.2878693170886361</v>
      </c>
      <c r="G5791" s="11">
        <f>E5791*Summary!$B$6</f>
        <v/>
      </c>
      <c r="H5791" s="11">
        <f>F5791*Summary!$B$7</f>
        <v/>
      </c>
      <c r="I5791" s="11">
        <f>MAX(0,N5791-M5791)</f>
        <v/>
      </c>
      <c r="J5791" s="11">
        <f>MAX(0,M5791-N5791)</f>
        <v/>
      </c>
      <c r="K5791" s="11">
        <f>O5791</f>
        <v/>
      </c>
      <c r="L5791" s="11">
        <f>L5790+IF(K5791&gt;0,K5791*Summary!$B$9,K5791/Summary!$B$9)</f>
        <v/>
      </c>
      <c r="M5791" s="11">
        <f>G5791+H5791</f>
        <v/>
      </c>
      <c r="N5791" s="11">
        <f>Summary!$C$16*Summary!$B$8</f>
        <v/>
      </c>
      <c r="O5791" s="11">
        <f>M5791-N5791</f>
        <v/>
      </c>
    </row>
    <row r="5792">
      <c r="A5792" s="9" t="n">
        <v>45533.25</v>
      </c>
      <c r="B5792" t="n">
        <v>8</v>
      </c>
      <c r="C5792" t="n">
        <v>29</v>
      </c>
      <c r="D5792" t="n">
        <v>6</v>
      </c>
      <c r="E5792" s="10" t="n">
        <v>0.07932500000000001</v>
      </c>
      <c r="F5792" s="10" t="n">
        <v>0.2700553608132866</v>
      </c>
      <c r="G5792" s="11">
        <f>E5792*Summary!$B$6</f>
        <v/>
      </c>
      <c r="H5792" s="11">
        <f>F5792*Summary!$B$7</f>
        <v/>
      </c>
      <c r="I5792" s="11">
        <f>MAX(0,N5792-M5792)</f>
        <v/>
      </c>
      <c r="J5792" s="11">
        <f>MAX(0,M5792-N5792)</f>
        <v/>
      </c>
      <c r="K5792" s="11">
        <f>O5792</f>
        <v/>
      </c>
      <c r="L5792" s="11">
        <f>L5791+IF(K5792&gt;0,K5792*Summary!$B$9,K5792/Summary!$B$9)</f>
        <v/>
      </c>
      <c r="M5792" s="11">
        <f>G5792+H5792</f>
        <v/>
      </c>
      <c r="N5792" s="11">
        <f>Summary!$C$16*Summary!$B$8</f>
        <v/>
      </c>
      <c r="O5792" s="11">
        <f>M5792-N5792</f>
        <v/>
      </c>
    </row>
    <row r="5793">
      <c r="A5793" s="9" t="n">
        <v>45533.29166666666</v>
      </c>
      <c r="B5793" t="n">
        <v>8</v>
      </c>
      <c r="C5793" t="n">
        <v>29</v>
      </c>
      <c r="D5793" t="n">
        <v>7</v>
      </c>
      <c r="E5793" s="10" t="n">
        <v>0.28689</v>
      </c>
      <c r="F5793" s="10" t="n">
        <v>0.2504494681078723</v>
      </c>
      <c r="G5793" s="11">
        <f>E5793*Summary!$B$6</f>
        <v/>
      </c>
      <c r="H5793" s="11">
        <f>F5793*Summary!$B$7</f>
        <v/>
      </c>
      <c r="I5793" s="11">
        <f>MAX(0,N5793-M5793)</f>
        <v/>
      </c>
      <c r="J5793" s="11">
        <f>MAX(0,M5793-N5793)</f>
        <v/>
      </c>
      <c r="K5793" s="11">
        <f>O5793</f>
        <v/>
      </c>
      <c r="L5793" s="11">
        <f>L5792+IF(K5793&gt;0,K5793*Summary!$B$9,K5793/Summary!$B$9)</f>
        <v/>
      </c>
      <c r="M5793" s="11">
        <f>G5793+H5793</f>
        <v/>
      </c>
      <c r="N5793" s="11">
        <f>Summary!$C$16*Summary!$B$8</f>
        <v/>
      </c>
      <c r="O5793" s="11">
        <f>M5793-N5793</f>
        <v/>
      </c>
    </row>
    <row r="5794">
      <c r="A5794" s="9" t="n">
        <v>45533.33333333334</v>
      </c>
      <c r="B5794" t="n">
        <v>8</v>
      </c>
      <c r="C5794" t="n">
        <v>29</v>
      </c>
      <c r="D5794" t="n">
        <v>8</v>
      </c>
      <c r="E5794" s="10" t="n">
        <v>0.426484</v>
      </c>
      <c r="F5794" s="10" t="n">
        <v>0.2396187935085104</v>
      </c>
      <c r="G5794" s="11">
        <f>E5794*Summary!$B$6</f>
        <v/>
      </c>
      <c r="H5794" s="11">
        <f>F5794*Summary!$B$7</f>
        <v/>
      </c>
      <c r="I5794" s="11">
        <f>MAX(0,N5794-M5794)</f>
        <v/>
      </c>
      <c r="J5794" s="11">
        <f>MAX(0,M5794-N5794)</f>
        <v/>
      </c>
      <c r="K5794" s="11">
        <f>O5794</f>
        <v/>
      </c>
      <c r="L5794" s="11">
        <f>L5793+IF(K5794&gt;0,K5794*Summary!$B$9,K5794/Summary!$B$9)</f>
        <v/>
      </c>
      <c r="M5794" s="11">
        <f>G5794+H5794</f>
        <v/>
      </c>
      <c r="N5794" s="11">
        <f>Summary!$C$16*Summary!$B$8</f>
        <v/>
      </c>
      <c r="O5794" s="11">
        <f>M5794-N5794</f>
        <v/>
      </c>
    </row>
    <row r="5795">
      <c r="A5795" s="9" t="n">
        <v>45533.375</v>
      </c>
      <c r="B5795" t="n">
        <v>8</v>
      </c>
      <c r="C5795" t="n">
        <v>29</v>
      </c>
      <c r="D5795" t="n">
        <v>9</v>
      </c>
      <c r="E5795" s="10" t="n">
        <v>0.543664</v>
      </c>
      <c r="F5795" s="10" t="n">
        <v>0.231660487598517</v>
      </c>
      <c r="G5795" s="11">
        <f>E5795*Summary!$B$6</f>
        <v/>
      </c>
      <c r="H5795" s="11">
        <f>F5795*Summary!$B$7</f>
        <v/>
      </c>
      <c r="I5795" s="11">
        <f>MAX(0,N5795-M5795)</f>
        <v/>
      </c>
      <c r="J5795" s="11">
        <f>MAX(0,M5795-N5795)</f>
        <v/>
      </c>
      <c r="K5795" s="11">
        <f>O5795</f>
        <v/>
      </c>
      <c r="L5795" s="11">
        <f>L5794+IF(K5795&gt;0,K5795*Summary!$B$9,K5795/Summary!$B$9)</f>
        <v/>
      </c>
      <c r="M5795" s="11">
        <f>G5795+H5795</f>
        <v/>
      </c>
      <c r="N5795" s="11">
        <f>Summary!$C$16*Summary!$B$8</f>
        <v/>
      </c>
      <c r="O5795" s="11">
        <f>M5795-N5795</f>
        <v/>
      </c>
    </row>
    <row r="5796">
      <c r="A5796" s="9" t="n">
        <v>45533.41666666666</v>
      </c>
      <c r="B5796" t="n">
        <v>8</v>
      </c>
      <c r="C5796" t="n">
        <v>29</v>
      </c>
      <c r="D5796" t="n">
        <v>10</v>
      </c>
      <c r="E5796" s="10" t="n">
        <v>0.697249</v>
      </c>
      <c r="F5796" s="10" t="n">
        <v>0.2345855603005345</v>
      </c>
      <c r="G5796" s="11">
        <f>E5796*Summary!$B$6</f>
        <v/>
      </c>
      <c r="H5796" s="11">
        <f>F5796*Summary!$B$7</f>
        <v/>
      </c>
      <c r="I5796" s="11">
        <f>MAX(0,N5796-M5796)</f>
        <v/>
      </c>
      <c r="J5796" s="11">
        <f>MAX(0,M5796-N5796)</f>
        <v/>
      </c>
      <c r="K5796" s="11">
        <f>O5796</f>
        <v/>
      </c>
      <c r="L5796" s="11">
        <f>L5795+IF(K5796&gt;0,K5796*Summary!$B$9,K5796/Summary!$B$9)</f>
        <v/>
      </c>
      <c r="M5796" s="11">
        <f>G5796+H5796</f>
        <v/>
      </c>
      <c r="N5796" s="11">
        <f>Summary!$C$16*Summary!$B$8</f>
        <v/>
      </c>
      <c r="O5796" s="11">
        <f>M5796-N5796</f>
        <v/>
      </c>
    </row>
    <row r="5797">
      <c r="A5797" s="9" t="n">
        <v>45533.45833333334</v>
      </c>
      <c r="B5797" t="n">
        <v>8</v>
      </c>
      <c r="C5797" t="n">
        <v>29</v>
      </c>
      <c r="D5797" t="n">
        <v>11</v>
      </c>
      <c r="E5797" s="10" t="n">
        <v>0.754058</v>
      </c>
      <c r="F5797" s="10" t="n">
        <v>0.2376160410278498</v>
      </c>
      <c r="G5797" s="11">
        <f>E5797*Summary!$B$6</f>
        <v/>
      </c>
      <c r="H5797" s="11">
        <f>F5797*Summary!$B$7</f>
        <v/>
      </c>
      <c r="I5797" s="11">
        <f>MAX(0,N5797-M5797)</f>
        <v/>
      </c>
      <c r="J5797" s="11">
        <f>MAX(0,M5797-N5797)</f>
        <v/>
      </c>
      <c r="K5797" s="11">
        <f>O5797</f>
        <v/>
      </c>
      <c r="L5797" s="11">
        <f>L5796+IF(K5797&gt;0,K5797*Summary!$B$9,K5797/Summary!$B$9)</f>
        <v/>
      </c>
      <c r="M5797" s="11">
        <f>G5797+H5797</f>
        <v/>
      </c>
      <c r="N5797" s="11">
        <f>Summary!$C$16*Summary!$B$8</f>
        <v/>
      </c>
      <c r="O5797" s="11">
        <f>M5797-N5797</f>
        <v/>
      </c>
    </row>
    <row r="5798">
      <c r="A5798" s="9" t="n">
        <v>45533.5</v>
      </c>
      <c r="B5798" t="n">
        <v>8</v>
      </c>
      <c r="C5798" t="n">
        <v>29</v>
      </c>
      <c r="D5798" t="n">
        <v>12</v>
      </c>
      <c r="E5798" s="10" t="n">
        <v>0.754058</v>
      </c>
      <c r="F5798" s="10" t="n">
        <v>0.2442830986279437</v>
      </c>
      <c r="G5798" s="11">
        <f>E5798*Summary!$B$6</f>
        <v/>
      </c>
      <c r="H5798" s="11">
        <f>F5798*Summary!$B$7</f>
        <v/>
      </c>
      <c r="I5798" s="11">
        <f>MAX(0,N5798-M5798)</f>
        <v/>
      </c>
      <c r="J5798" s="11">
        <f>MAX(0,M5798-N5798)</f>
        <v/>
      </c>
      <c r="K5798" s="11">
        <f>O5798</f>
        <v/>
      </c>
      <c r="L5798" s="11">
        <f>L5797+IF(K5798&gt;0,K5798*Summary!$B$9,K5798/Summary!$B$9)</f>
        <v/>
      </c>
      <c r="M5798" s="11">
        <f>G5798+H5798</f>
        <v/>
      </c>
      <c r="N5798" s="11">
        <f>Summary!$C$16*Summary!$B$8</f>
        <v/>
      </c>
      <c r="O5798" s="11">
        <f>M5798-N5798</f>
        <v/>
      </c>
    </row>
    <row r="5799">
      <c r="A5799" s="9" t="n">
        <v>45533.54166666666</v>
      </c>
      <c r="B5799" t="n">
        <v>8</v>
      </c>
      <c r="C5799" t="n">
        <v>29</v>
      </c>
      <c r="D5799" t="n">
        <v>13</v>
      </c>
      <c r="E5799" s="10" t="n">
        <v>0.7253810000000001</v>
      </c>
      <c r="F5799" s="10" t="n">
        <v>0.24802508352602</v>
      </c>
      <c r="G5799" s="11">
        <f>E5799*Summary!$B$6</f>
        <v/>
      </c>
      <c r="H5799" s="11">
        <f>F5799*Summary!$B$7</f>
        <v/>
      </c>
      <c r="I5799" s="11">
        <f>MAX(0,N5799-M5799)</f>
        <v/>
      </c>
      <c r="J5799" s="11">
        <f>MAX(0,M5799-N5799)</f>
        <v/>
      </c>
      <c r="K5799" s="11">
        <f>O5799</f>
        <v/>
      </c>
      <c r="L5799" s="11">
        <f>L5798+IF(K5799&gt;0,K5799*Summary!$B$9,K5799/Summary!$B$9)</f>
        <v/>
      </c>
      <c r="M5799" s="11">
        <f>G5799+H5799</f>
        <v/>
      </c>
      <c r="N5799" s="11">
        <f>Summary!$C$16*Summary!$B$8</f>
        <v/>
      </c>
      <c r="O5799" s="11">
        <f>M5799-N5799</f>
        <v/>
      </c>
    </row>
    <row r="5800">
      <c r="A5800" s="9" t="n">
        <v>45533.58333333334</v>
      </c>
      <c r="B5800" t="n">
        <v>8</v>
      </c>
      <c r="C5800" t="n">
        <v>29</v>
      </c>
      <c r="D5800" t="n">
        <v>14</v>
      </c>
      <c r="E5800" s="10" t="n">
        <v>0.701251</v>
      </c>
      <c r="F5800" s="10" t="n">
        <v>0.251029212247011</v>
      </c>
      <c r="G5800" s="11">
        <f>E5800*Summary!$B$6</f>
        <v/>
      </c>
      <c r="H5800" s="11">
        <f>F5800*Summary!$B$7</f>
        <v/>
      </c>
      <c r="I5800" s="11">
        <f>MAX(0,N5800-M5800)</f>
        <v/>
      </c>
      <c r="J5800" s="11">
        <f>MAX(0,M5800-N5800)</f>
        <v/>
      </c>
      <c r="K5800" s="11">
        <f>O5800</f>
        <v/>
      </c>
      <c r="L5800" s="11">
        <f>L5799+IF(K5800&gt;0,K5800*Summary!$B$9,K5800/Summary!$B$9)</f>
        <v/>
      </c>
      <c r="M5800" s="11">
        <f>G5800+H5800</f>
        <v/>
      </c>
      <c r="N5800" s="11">
        <f>Summary!$C$16*Summary!$B$8</f>
        <v/>
      </c>
      <c r="O5800" s="11">
        <f>M5800-N5800</f>
        <v/>
      </c>
    </row>
    <row r="5801">
      <c r="A5801" s="9" t="n">
        <v>45533.625</v>
      </c>
      <c r="B5801" t="n">
        <v>8</v>
      </c>
      <c r="C5801" t="n">
        <v>29</v>
      </c>
      <c r="D5801" t="n">
        <v>15</v>
      </c>
      <c r="E5801" s="10" t="n">
        <v>0.527992</v>
      </c>
      <c r="F5801" s="10" t="n">
        <v>0.2449418987860557</v>
      </c>
      <c r="G5801" s="11">
        <f>E5801*Summary!$B$6</f>
        <v/>
      </c>
      <c r="H5801" s="11">
        <f>F5801*Summary!$B$7</f>
        <v/>
      </c>
      <c r="I5801" s="11">
        <f>MAX(0,N5801-M5801)</f>
        <v/>
      </c>
      <c r="J5801" s="11">
        <f>MAX(0,M5801-N5801)</f>
        <v/>
      </c>
      <c r="K5801" s="11">
        <f>O5801</f>
        <v/>
      </c>
      <c r="L5801" s="11">
        <f>L5800+IF(K5801&gt;0,K5801*Summary!$B$9,K5801/Summary!$B$9)</f>
        <v/>
      </c>
      <c r="M5801" s="11">
        <f>G5801+H5801</f>
        <v/>
      </c>
      <c r="N5801" s="11">
        <f>Summary!$C$16*Summary!$B$8</f>
        <v/>
      </c>
      <c r="O5801" s="11">
        <f>M5801-N5801</f>
        <v/>
      </c>
    </row>
    <row r="5802">
      <c r="A5802" s="9" t="n">
        <v>45533.66666666666</v>
      </c>
      <c r="B5802" t="n">
        <v>8</v>
      </c>
      <c r="C5802" t="n">
        <v>29</v>
      </c>
      <c r="D5802" t="n">
        <v>16</v>
      </c>
      <c r="E5802" s="10" t="n">
        <v>0.224176</v>
      </c>
      <c r="F5802" s="10" t="n">
        <v>0.2339004081360979</v>
      </c>
      <c r="G5802" s="11">
        <f>E5802*Summary!$B$6</f>
        <v/>
      </c>
      <c r="H5802" s="11">
        <f>F5802*Summary!$B$7</f>
        <v/>
      </c>
      <c r="I5802" s="11">
        <f>MAX(0,N5802-M5802)</f>
        <v/>
      </c>
      <c r="J5802" s="11">
        <f>MAX(0,M5802-N5802)</f>
        <v/>
      </c>
      <c r="K5802" s="11">
        <f>O5802</f>
        <v/>
      </c>
      <c r="L5802" s="11">
        <f>L5801+IF(K5802&gt;0,K5802*Summary!$B$9,K5802/Summary!$B$9)</f>
        <v/>
      </c>
      <c r="M5802" s="11">
        <f>G5802+H5802</f>
        <v/>
      </c>
      <c r="N5802" s="11">
        <f>Summary!$C$16*Summary!$B$8</f>
        <v/>
      </c>
      <c r="O5802" s="11">
        <f>M5802-N5802</f>
        <v/>
      </c>
    </row>
    <row r="5803">
      <c r="A5803" s="9" t="n">
        <v>45533.70833333334</v>
      </c>
      <c r="B5803" t="n">
        <v>8</v>
      </c>
      <c r="C5803" t="n">
        <v>29</v>
      </c>
      <c r="D5803" t="n">
        <v>17</v>
      </c>
      <c r="E5803" s="10" t="n">
        <v>0.105285</v>
      </c>
      <c r="F5803" s="10" t="n">
        <v>0.2214359091446182</v>
      </c>
      <c r="G5803" s="11">
        <f>E5803*Summary!$B$6</f>
        <v/>
      </c>
      <c r="H5803" s="11">
        <f>F5803*Summary!$B$7</f>
        <v/>
      </c>
      <c r="I5803" s="11">
        <f>MAX(0,N5803-M5803)</f>
        <v/>
      </c>
      <c r="J5803" s="11">
        <f>MAX(0,M5803-N5803)</f>
        <v/>
      </c>
      <c r="K5803" s="11">
        <f>O5803</f>
        <v/>
      </c>
      <c r="L5803" s="11">
        <f>L5802+IF(K5803&gt;0,K5803*Summary!$B$9,K5803/Summary!$B$9)</f>
        <v/>
      </c>
      <c r="M5803" s="11">
        <f>G5803+H5803</f>
        <v/>
      </c>
      <c r="N5803" s="11">
        <f>Summary!$C$16*Summary!$B$8</f>
        <v/>
      </c>
      <c r="O5803" s="11">
        <f>M5803-N5803</f>
        <v/>
      </c>
    </row>
    <row r="5804">
      <c r="A5804" s="9" t="n">
        <v>45533.75</v>
      </c>
      <c r="B5804" t="n">
        <v>8</v>
      </c>
      <c r="C5804" t="n">
        <v>29</v>
      </c>
      <c r="D5804" t="n">
        <v>18</v>
      </c>
      <c r="E5804" s="10" t="n">
        <v>0.026604</v>
      </c>
      <c r="F5804" s="10" t="n">
        <v>0.2161391558733974</v>
      </c>
      <c r="G5804" s="11">
        <f>E5804*Summary!$B$6</f>
        <v/>
      </c>
      <c r="H5804" s="11">
        <f>F5804*Summary!$B$7</f>
        <v/>
      </c>
      <c r="I5804" s="11">
        <f>MAX(0,N5804-M5804)</f>
        <v/>
      </c>
      <c r="J5804" s="11">
        <f>MAX(0,M5804-N5804)</f>
        <v/>
      </c>
      <c r="K5804" s="11">
        <f>O5804</f>
        <v/>
      </c>
      <c r="L5804" s="11">
        <f>L5803+IF(K5804&gt;0,K5804*Summary!$B$9,K5804/Summary!$B$9)</f>
        <v/>
      </c>
      <c r="M5804" s="11">
        <f>G5804+H5804</f>
        <v/>
      </c>
      <c r="N5804" s="11">
        <f>Summary!$C$16*Summary!$B$8</f>
        <v/>
      </c>
      <c r="O5804" s="11">
        <f>M5804-N5804</f>
        <v/>
      </c>
    </row>
    <row r="5805">
      <c r="A5805" s="9" t="n">
        <v>45533.79166666666</v>
      </c>
      <c r="B5805" t="n">
        <v>8</v>
      </c>
      <c r="C5805" t="n">
        <v>29</v>
      </c>
      <c r="D5805" t="n">
        <v>19</v>
      </c>
      <c r="E5805" s="10" t="n">
        <v>0</v>
      </c>
      <c r="F5805" s="10" t="n">
        <v>0.2211723890813734</v>
      </c>
      <c r="G5805" s="11">
        <f>E5805*Summary!$B$6</f>
        <v/>
      </c>
      <c r="H5805" s="11">
        <f>F5805*Summary!$B$7</f>
        <v/>
      </c>
      <c r="I5805" s="11">
        <f>MAX(0,N5805-M5805)</f>
        <v/>
      </c>
      <c r="J5805" s="11">
        <f>MAX(0,M5805-N5805)</f>
        <v/>
      </c>
      <c r="K5805" s="11">
        <f>O5805</f>
        <v/>
      </c>
      <c r="L5805" s="11">
        <f>L5804+IF(K5805&gt;0,K5805*Summary!$B$9,K5805/Summary!$B$9)</f>
        <v/>
      </c>
      <c r="M5805" s="11">
        <f>G5805+H5805</f>
        <v/>
      </c>
      <c r="N5805" s="11">
        <f>Summary!$C$16*Summary!$B$8</f>
        <v/>
      </c>
      <c r="O5805" s="11">
        <f>M5805-N5805</f>
        <v/>
      </c>
    </row>
    <row r="5806">
      <c r="A5806" s="9" t="n">
        <v>45533.83333333334</v>
      </c>
      <c r="B5806" t="n">
        <v>8</v>
      </c>
      <c r="C5806" t="n">
        <v>29</v>
      </c>
      <c r="D5806" t="n">
        <v>20</v>
      </c>
      <c r="E5806" s="10" t="n">
        <v>0</v>
      </c>
      <c r="F5806" s="10" t="n">
        <v>0.2281820227636855</v>
      </c>
      <c r="G5806" s="11">
        <f>E5806*Summary!$B$6</f>
        <v/>
      </c>
      <c r="H5806" s="11">
        <f>F5806*Summary!$B$7</f>
        <v/>
      </c>
      <c r="I5806" s="11">
        <f>MAX(0,N5806-M5806)</f>
        <v/>
      </c>
      <c r="J5806" s="11">
        <f>MAX(0,M5806-N5806)</f>
        <v/>
      </c>
      <c r="K5806" s="11">
        <f>O5806</f>
        <v/>
      </c>
      <c r="L5806" s="11">
        <f>L5805+IF(K5806&gt;0,K5806*Summary!$B$9,K5806/Summary!$B$9)</f>
        <v/>
      </c>
      <c r="M5806" s="11">
        <f>G5806+H5806</f>
        <v/>
      </c>
      <c r="N5806" s="11">
        <f>Summary!$C$16*Summary!$B$8</f>
        <v/>
      </c>
      <c r="O5806" s="11">
        <f>M5806-N5806</f>
        <v/>
      </c>
    </row>
    <row r="5807">
      <c r="A5807" s="9" t="n">
        <v>45533.875</v>
      </c>
      <c r="B5807" t="n">
        <v>8</v>
      </c>
      <c r="C5807" t="n">
        <v>29</v>
      </c>
      <c r="D5807" t="n">
        <v>21</v>
      </c>
      <c r="E5807" s="10" t="n">
        <v>0</v>
      </c>
      <c r="F5807" s="10" t="n">
        <v>0.2314233195415967</v>
      </c>
      <c r="G5807" s="11">
        <f>E5807*Summary!$B$6</f>
        <v/>
      </c>
      <c r="H5807" s="11">
        <f>F5807*Summary!$B$7</f>
        <v/>
      </c>
      <c r="I5807" s="11">
        <f>MAX(0,N5807-M5807)</f>
        <v/>
      </c>
      <c r="J5807" s="11">
        <f>MAX(0,M5807-N5807)</f>
        <v/>
      </c>
      <c r="K5807" s="11">
        <f>O5807</f>
        <v/>
      </c>
      <c r="L5807" s="11">
        <f>L5806+IF(K5807&gt;0,K5807*Summary!$B$9,K5807/Summary!$B$9)</f>
        <v/>
      </c>
      <c r="M5807" s="11">
        <f>G5807+H5807</f>
        <v/>
      </c>
      <c r="N5807" s="11">
        <f>Summary!$C$16*Summary!$B$8</f>
        <v/>
      </c>
      <c r="O5807" s="11">
        <f>M5807-N5807</f>
        <v/>
      </c>
    </row>
    <row r="5808">
      <c r="A5808" s="9" t="n">
        <v>45533.91666666666</v>
      </c>
      <c r="B5808" t="n">
        <v>8</v>
      </c>
      <c r="C5808" t="n">
        <v>29</v>
      </c>
      <c r="D5808" t="n">
        <v>22</v>
      </c>
      <c r="E5808" s="10" t="n">
        <v>0</v>
      </c>
      <c r="F5808" s="10" t="n">
        <v>0.2300003112000747</v>
      </c>
      <c r="G5808" s="11">
        <f>E5808*Summary!$B$6</f>
        <v/>
      </c>
      <c r="H5808" s="11">
        <f>F5808*Summary!$B$7</f>
        <v/>
      </c>
      <c r="I5808" s="11">
        <f>MAX(0,N5808-M5808)</f>
        <v/>
      </c>
      <c r="J5808" s="11">
        <f>MAX(0,M5808-N5808)</f>
        <v/>
      </c>
      <c r="K5808" s="11">
        <f>O5808</f>
        <v/>
      </c>
      <c r="L5808" s="11">
        <f>L5807+IF(K5808&gt;0,K5808*Summary!$B$9,K5808/Summary!$B$9)</f>
        <v/>
      </c>
      <c r="M5808" s="11">
        <f>G5808+H5808</f>
        <v/>
      </c>
      <c r="N5808" s="11">
        <f>Summary!$C$16*Summary!$B$8</f>
        <v/>
      </c>
      <c r="O5808" s="11">
        <f>M5808-N5808</f>
        <v/>
      </c>
    </row>
    <row r="5809">
      <c r="A5809" s="9" t="n">
        <v>45533.95833333334</v>
      </c>
      <c r="B5809" t="n">
        <v>8</v>
      </c>
      <c r="C5809" t="n">
        <v>29</v>
      </c>
      <c r="D5809" t="n">
        <v>23</v>
      </c>
      <c r="E5809" s="10" t="n">
        <v>0</v>
      </c>
      <c r="F5809" s="10" t="n">
        <v>0.2235704216569012</v>
      </c>
      <c r="G5809" s="11">
        <f>E5809*Summary!$B$6</f>
        <v/>
      </c>
      <c r="H5809" s="11">
        <f>F5809*Summary!$B$7</f>
        <v/>
      </c>
      <c r="I5809" s="11">
        <f>MAX(0,N5809-M5809)</f>
        <v/>
      </c>
      <c r="J5809" s="11">
        <f>MAX(0,M5809-N5809)</f>
        <v/>
      </c>
      <c r="K5809" s="11">
        <f>O5809</f>
        <v/>
      </c>
      <c r="L5809" s="11">
        <f>L5808+IF(K5809&gt;0,K5809*Summary!$B$9,K5809/Summary!$B$9)</f>
        <v/>
      </c>
      <c r="M5809" s="11">
        <f>G5809+H5809</f>
        <v/>
      </c>
      <c r="N5809" s="11">
        <f>Summary!$C$16*Summary!$B$8</f>
        <v/>
      </c>
      <c r="O5809" s="11">
        <f>M5809-N5809</f>
        <v/>
      </c>
    </row>
    <row r="5810">
      <c r="A5810" s="9" t="n">
        <v>45534</v>
      </c>
      <c r="B5810" t="n">
        <v>8</v>
      </c>
      <c r="C5810" t="n">
        <v>30</v>
      </c>
      <c r="D5810" t="n">
        <v>0</v>
      </c>
      <c r="E5810" s="10" t="n">
        <v>0</v>
      </c>
      <c r="F5810" s="10" t="n">
        <v>0.2087078900898936</v>
      </c>
      <c r="G5810" s="11">
        <f>E5810*Summary!$B$6</f>
        <v/>
      </c>
      <c r="H5810" s="11">
        <f>F5810*Summary!$B$7</f>
        <v/>
      </c>
      <c r="I5810" s="11">
        <f>MAX(0,N5810-M5810)</f>
        <v/>
      </c>
      <c r="J5810" s="11">
        <f>MAX(0,M5810-N5810)</f>
        <v/>
      </c>
      <c r="K5810" s="11">
        <f>O5810</f>
        <v/>
      </c>
      <c r="L5810" s="11">
        <f>L5809+IF(K5810&gt;0,K5810*Summary!$B$9,K5810/Summary!$B$9)</f>
        <v/>
      </c>
      <c r="M5810" s="11">
        <f>G5810+H5810</f>
        <v/>
      </c>
      <c r="N5810" s="11">
        <f>Summary!$C$16*Summary!$B$8</f>
        <v/>
      </c>
      <c r="O5810" s="11">
        <f>M5810-N5810</f>
        <v/>
      </c>
    </row>
    <row r="5811">
      <c r="A5811" s="9" t="n">
        <v>45534.04166666666</v>
      </c>
      <c r="B5811" t="n">
        <v>8</v>
      </c>
      <c r="C5811" t="n">
        <v>30</v>
      </c>
      <c r="D5811" t="n">
        <v>1</v>
      </c>
      <c r="E5811" s="10" t="n">
        <v>0</v>
      </c>
      <c r="F5811" s="10" t="n">
        <v>0.2122654109436986</v>
      </c>
      <c r="G5811" s="11">
        <f>E5811*Summary!$B$6</f>
        <v/>
      </c>
      <c r="H5811" s="11">
        <f>F5811*Summary!$B$7</f>
        <v/>
      </c>
      <c r="I5811" s="11">
        <f>MAX(0,N5811-M5811)</f>
        <v/>
      </c>
      <c r="J5811" s="11">
        <f>MAX(0,M5811-N5811)</f>
        <v/>
      </c>
      <c r="K5811" s="11">
        <f>O5811</f>
        <v/>
      </c>
      <c r="L5811" s="11">
        <f>L5810+IF(K5811&gt;0,K5811*Summary!$B$9,K5811/Summary!$B$9)</f>
        <v/>
      </c>
      <c r="M5811" s="11">
        <f>G5811+H5811</f>
        <v/>
      </c>
      <c r="N5811" s="11">
        <f>Summary!$C$16*Summary!$B$8</f>
        <v/>
      </c>
      <c r="O5811" s="11">
        <f>M5811-N5811</f>
        <v/>
      </c>
    </row>
    <row r="5812">
      <c r="A5812" s="9" t="n">
        <v>45534.08333333334</v>
      </c>
      <c r="B5812" t="n">
        <v>8</v>
      </c>
      <c r="C5812" t="n">
        <v>30</v>
      </c>
      <c r="D5812" t="n">
        <v>2</v>
      </c>
      <c r="E5812" s="10" t="n">
        <v>0</v>
      </c>
      <c r="F5812" s="10" t="n">
        <v>0.2052294252550621</v>
      </c>
      <c r="G5812" s="11">
        <f>E5812*Summary!$B$6</f>
        <v/>
      </c>
      <c r="H5812" s="11">
        <f>F5812*Summary!$B$7</f>
        <v/>
      </c>
      <c r="I5812" s="11">
        <f>MAX(0,N5812-M5812)</f>
        <v/>
      </c>
      <c r="J5812" s="11">
        <f>MAX(0,M5812-N5812)</f>
        <v/>
      </c>
      <c r="K5812" s="11">
        <f>O5812</f>
        <v/>
      </c>
      <c r="L5812" s="11">
        <f>L5811+IF(K5812&gt;0,K5812*Summary!$B$9,K5812/Summary!$B$9)</f>
        <v/>
      </c>
      <c r="M5812" s="11">
        <f>G5812+H5812</f>
        <v/>
      </c>
      <c r="N5812" s="11">
        <f>Summary!$C$16*Summary!$B$8</f>
        <v/>
      </c>
      <c r="O5812" s="11">
        <f>M5812-N5812</f>
        <v/>
      </c>
    </row>
    <row r="5813">
      <c r="A5813" s="9" t="n">
        <v>45534.125</v>
      </c>
      <c r="B5813" t="n">
        <v>8</v>
      </c>
      <c r="C5813" t="n">
        <v>30</v>
      </c>
      <c r="D5813" t="n">
        <v>3</v>
      </c>
      <c r="E5813" s="10" t="n">
        <v>0</v>
      </c>
      <c r="F5813" s="10" t="n">
        <v>0.2007495841799002</v>
      </c>
      <c r="G5813" s="11">
        <f>E5813*Summary!$B$6</f>
        <v/>
      </c>
      <c r="H5813" s="11">
        <f>F5813*Summary!$B$7</f>
        <v/>
      </c>
      <c r="I5813" s="11">
        <f>MAX(0,N5813-M5813)</f>
        <v/>
      </c>
      <c r="J5813" s="11">
        <f>MAX(0,M5813-N5813)</f>
        <v/>
      </c>
      <c r="K5813" s="11">
        <f>O5813</f>
        <v/>
      </c>
      <c r="L5813" s="11">
        <f>L5812+IF(K5813&gt;0,K5813*Summary!$B$9,K5813/Summary!$B$9)</f>
        <v/>
      </c>
      <c r="M5813" s="11">
        <f>G5813+H5813</f>
        <v/>
      </c>
      <c r="N5813" s="11">
        <f>Summary!$C$16*Summary!$B$8</f>
        <v/>
      </c>
      <c r="O5813" s="11">
        <f>M5813-N5813</f>
        <v/>
      </c>
    </row>
    <row r="5814">
      <c r="A5814" s="9" t="n">
        <v>45534.16666666666</v>
      </c>
      <c r="B5814" t="n">
        <v>8</v>
      </c>
      <c r="C5814" t="n">
        <v>30</v>
      </c>
      <c r="D5814" t="n">
        <v>4</v>
      </c>
      <c r="E5814" s="10" t="n">
        <v>0</v>
      </c>
      <c r="F5814" s="10" t="n">
        <v>0.1930284463268271</v>
      </c>
      <c r="G5814" s="11">
        <f>E5814*Summary!$B$6</f>
        <v/>
      </c>
      <c r="H5814" s="11">
        <f>F5814*Summary!$B$7</f>
        <v/>
      </c>
      <c r="I5814" s="11">
        <f>MAX(0,N5814-M5814)</f>
        <v/>
      </c>
      <c r="J5814" s="11">
        <f>MAX(0,M5814-N5814)</f>
        <v/>
      </c>
      <c r="K5814" s="11">
        <f>O5814</f>
        <v/>
      </c>
      <c r="L5814" s="11">
        <f>L5813+IF(K5814&gt;0,K5814*Summary!$B$9,K5814/Summary!$B$9)</f>
        <v/>
      </c>
      <c r="M5814" s="11">
        <f>G5814+H5814</f>
        <v/>
      </c>
      <c r="N5814" s="11">
        <f>Summary!$C$16*Summary!$B$8</f>
        <v/>
      </c>
      <c r="O5814" s="11">
        <f>M5814-N5814</f>
        <v/>
      </c>
    </row>
    <row r="5815">
      <c r="A5815" s="9" t="n">
        <v>45534.20833333334</v>
      </c>
      <c r="B5815" t="n">
        <v>8</v>
      </c>
      <c r="C5815" t="n">
        <v>30</v>
      </c>
      <c r="D5815" t="n">
        <v>5</v>
      </c>
      <c r="E5815" s="10" t="n">
        <v>0.00383</v>
      </c>
      <c r="F5815" s="10" t="n">
        <v>0.1888384773212346</v>
      </c>
      <c r="G5815" s="11">
        <f>E5815*Summary!$B$6</f>
        <v/>
      </c>
      <c r="H5815" s="11">
        <f>F5815*Summary!$B$7</f>
        <v/>
      </c>
      <c r="I5815" s="11">
        <f>MAX(0,N5815-M5815)</f>
        <v/>
      </c>
      <c r="J5815" s="11">
        <f>MAX(0,M5815-N5815)</f>
        <v/>
      </c>
      <c r="K5815" s="11">
        <f>O5815</f>
        <v/>
      </c>
      <c r="L5815" s="11">
        <f>L5814+IF(K5815&gt;0,K5815*Summary!$B$9,K5815/Summary!$B$9)</f>
        <v/>
      </c>
      <c r="M5815" s="11">
        <f>G5815+H5815</f>
        <v/>
      </c>
      <c r="N5815" s="11">
        <f>Summary!$C$16*Summary!$B$8</f>
        <v/>
      </c>
      <c r="O5815" s="11">
        <f>M5815-N5815</f>
        <v/>
      </c>
    </row>
    <row r="5816">
      <c r="A5816" s="9" t="n">
        <v>45534.25</v>
      </c>
      <c r="B5816" t="n">
        <v>8</v>
      </c>
      <c r="C5816" t="n">
        <v>30</v>
      </c>
      <c r="D5816" t="n">
        <v>6</v>
      </c>
      <c r="E5816" s="10" t="n">
        <v>0.014516</v>
      </c>
      <c r="F5816" s="10" t="n">
        <v>0.170313016875124</v>
      </c>
      <c r="G5816" s="11">
        <f>E5816*Summary!$B$6</f>
        <v/>
      </c>
      <c r="H5816" s="11">
        <f>F5816*Summary!$B$7</f>
        <v/>
      </c>
      <c r="I5816" s="11">
        <f>MAX(0,N5816-M5816)</f>
        <v/>
      </c>
      <c r="J5816" s="11">
        <f>MAX(0,M5816-N5816)</f>
        <v/>
      </c>
      <c r="K5816" s="11">
        <f>O5816</f>
        <v/>
      </c>
      <c r="L5816" s="11">
        <f>L5815+IF(K5816&gt;0,K5816*Summary!$B$9,K5816/Summary!$B$9)</f>
        <v/>
      </c>
      <c r="M5816" s="11">
        <f>G5816+H5816</f>
        <v/>
      </c>
      <c r="N5816" s="11">
        <f>Summary!$C$16*Summary!$B$8</f>
        <v/>
      </c>
      <c r="O5816" s="11">
        <f>M5816-N5816</f>
        <v/>
      </c>
    </row>
    <row r="5817">
      <c r="A5817" s="9" t="n">
        <v>45534.29166666666</v>
      </c>
      <c r="B5817" t="n">
        <v>8</v>
      </c>
      <c r="C5817" t="n">
        <v>30</v>
      </c>
      <c r="D5817" t="n">
        <v>7</v>
      </c>
      <c r="E5817" s="10" t="n">
        <v>0.073243</v>
      </c>
      <c r="F5817" s="10" t="n">
        <v>0.1459901150376276</v>
      </c>
      <c r="G5817" s="11">
        <f>E5817*Summary!$B$6</f>
        <v/>
      </c>
      <c r="H5817" s="11">
        <f>F5817*Summary!$B$7</f>
        <v/>
      </c>
      <c r="I5817" s="11">
        <f>MAX(0,N5817-M5817)</f>
        <v/>
      </c>
      <c r="J5817" s="11">
        <f>MAX(0,M5817-N5817)</f>
        <v/>
      </c>
      <c r="K5817" s="11">
        <f>O5817</f>
        <v/>
      </c>
      <c r="L5817" s="11">
        <f>L5816+IF(K5817&gt;0,K5817*Summary!$B$9,K5817/Summary!$B$9)</f>
        <v/>
      </c>
      <c r="M5817" s="11">
        <f>G5817+H5817</f>
        <v/>
      </c>
      <c r="N5817" s="11">
        <f>Summary!$C$16*Summary!$B$8</f>
        <v/>
      </c>
      <c r="O5817" s="11">
        <f>M5817-N5817</f>
        <v/>
      </c>
    </row>
    <row r="5818">
      <c r="A5818" s="9" t="n">
        <v>45534.33333333334</v>
      </c>
      <c r="B5818" t="n">
        <v>8</v>
      </c>
      <c r="C5818" t="n">
        <v>30</v>
      </c>
      <c r="D5818" t="n">
        <v>8</v>
      </c>
      <c r="E5818" s="10" t="n">
        <v>0.177215</v>
      </c>
      <c r="F5818" s="10" t="n">
        <v>0.1349486243876699</v>
      </c>
      <c r="G5818" s="11">
        <f>E5818*Summary!$B$6</f>
        <v/>
      </c>
      <c r="H5818" s="11">
        <f>F5818*Summary!$B$7</f>
        <v/>
      </c>
      <c r="I5818" s="11">
        <f>MAX(0,N5818-M5818)</f>
        <v/>
      </c>
      <c r="J5818" s="11">
        <f>MAX(0,M5818-N5818)</f>
        <v/>
      </c>
      <c r="K5818" s="11">
        <f>O5818</f>
        <v/>
      </c>
      <c r="L5818" s="11">
        <f>L5817+IF(K5818&gt;0,K5818*Summary!$B$9,K5818/Summary!$B$9)</f>
        <v/>
      </c>
      <c r="M5818" s="11">
        <f>G5818+H5818</f>
        <v/>
      </c>
      <c r="N5818" s="11">
        <f>Summary!$C$16*Summary!$B$8</f>
        <v/>
      </c>
      <c r="O5818" s="11">
        <f>M5818-N5818</f>
        <v/>
      </c>
    </row>
    <row r="5819">
      <c r="A5819" s="9" t="n">
        <v>45534.375</v>
      </c>
      <c r="B5819" t="n">
        <v>8</v>
      </c>
      <c r="C5819" t="n">
        <v>30</v>
      </c>
      <c r="D5819" t="n">
        <v>9</v>
      </c>
      <c r="E5819" s="10" t="n">
        <v>0.462412</v>
      </c>
      <c r="F5819" s="10" t="n">
        <v>0.1351330884319412</v>
      </c>
      <c r="G5819" s="11">
        <f>E5819*Summary!$B$6</f>
        <v/>
      </c>
      <c r="H5819" s="11">
        <f>F5819*Summary!$B$7</f>
        <v/>
      </c>
      <c r="I5819" s="11">
        <f>MAX(0,N5819-M5819)</f>
        <v/>
      </c>
      <c r="J5819" s="11">
        <f>MAX(0,M5819-N5819)</f>
        <v/>
      </c>
      <c r="K5819" s="11">
        <f>O5819</f>
        <v/>
      </c>
      <c r="L5819" s="11">
        <f>L5818+IF(K5819&gt;0,K5819*Summary!$B$9,K5819/Summary!$B$9)</f>
        <v/>
      </c>
      <c r="M5819" s="11">
        <f>G5819+H5819</f>
        <v/>
      </c>
      <c r="N5819" s="11">
        <f>Summary!$C$16*Summary!$B$8</f>
        <v/>
      </c>
      <c r="O5819" s="11">
        <f>M5819-N5819</f>
        <v/>
      </c>
    </row>
    <row r="5820">
      <c r="A5820" s="9" t="n">
        <v>45534.41666666666</v>
      </c>
      <c r="B5820" t="n">
        <v>8</v>
      </c>
      <c r="C5820" t="n">
        <v>30</v>
      </c>
      <c r="D5820" t="n">
        <v>10</v>
      </c>
      <c r="E5820" s="10" t="n">
        <v>0.258955</v>
      </c>
      <c r="F5820" s="10" t="n">
        <v>0.141852850044684</v>
      </c>
      <c r="G5820" s="11">
        <f>E5820*Summary!$B$6</f>
        <v/>
      </c>
      <c r="H5820" s="11">
        <f>F5820*Summary!$B$7</f>
        <v/>
      </c>
      <c r="I5820" s="11">
        <f>MAX(0,N5820-M5820)</f>
        <v/>
      </c>
      <c r="J5820" s="11">
        <f>MAX(0,M5820-N5820)</f>
        <v/>
      </c>
      <c r="K5820" s="11">
        <f>O5820</f>
        <v/>
      </c>
      <c r="L5820" s="11">
        <f>L5819+IF(K5820&gt;0,K5820*Summary!$B$9,K5820/Summary!$B$9)</f>
        <v/>
      </c>
      <c r="M5820" s="11">
        <f>G5820+H5820</f>
        <v/>
      </c>
      <c r="N5820" s="11">
        <f>Summary!$C$16*Summary!$B$8</f>
        <v/>
      </c>
      <c r="O5820" s="11">
        <f>M5820-N5820</f>
        <v/>
      </c>
    </row>
    <row r="5821">
      <c r="A5821" s="9" t="n">
        <v>45534.45833333334</v>
      </c>
      <c r="B5821" t="n">
        <v>8</v>
      </c>
      <c r="C5821" t="n">
        <v>30</v>
      </c>
      <c r="D5821" t="n">
        <v>11</v>
      </c>
      <c r="E5821" s="10" t="n">
        <v>0.565602</v>
      </c>
      <c r="F5821" s="10" t="n">
        <v>0.151813908435338</v>
      </c>
      <c r="G5821" s="11">
        <f>E5821*Summary!$B$6</f>
        <v/>
      </c>
      <c r="H5821" s="11">
        <f>F5821*Summary!$B$7</f>
        <v/>
      </c>
      <c r="I5821" s="11">
        <f>MAX(0,N5821-M5821)</f>
        <v/>
      </c>
      <c r="J5821" s="11">
        <f>MAX(0,M5821-N5821)</f>
        <v/>
      </c>
      <c r="K5821" s="11">
        <f>O5821</f>
        <v/>
      </c>
      <c r="L5821" s="11">
        <f>L5820+IF(K5821&gt;0,K5821*Summary!$B$9,K5821/Summary!$B$9)</f>
        <v/>
      </c>
      <c r="M5821" s="11">
        <f>G5821+H5821</f>
        <v/>
      </c>
      <c r="N5821" s="11">
        <f>Summary!$C$16*Summary!$B$8</f>
        <v/>
      </c>
      <c r="O5821" s="11">
        <f>M5821-N5821</f>
        <v/>
      </c>
    </row>
    <row r="5822">
      <c r="A5822" s="9" t="n">
        <v>45534.5</v>
      </c>
      <c r="B5822" t="n">
        <v>8</v>
      </c>
      <c r="C5822" t="n">
        <v>30</v>
      </c>
      <c r="D5822" t="n">
        <v>12</v>
      </c>
      <c r="E5822" s="10" t="n">
        <v>0.7131999999999999</v>
      </c>
      <c r="F5822" s="10" t="n">
        <v>0.1611952226868534</v>
      </c>
      <c r="G5822" s="11">
        <f>E5822*Summary!$B$6</f>
        <v/>
      </c>
      <c r="H5822" s="11">
        <f>F5822*Summary!$B$7</f>
        <v/>
      </c>
      <c r="I5822" s="11">
        <f>MAX(0,N5822-M5822)</f>
        <v/>
      </c>
      <c r="J5822" s="11">
        <f>MAX(0,M5822-N5822)</f>
        <v/>
      </c>
      <c r="K5822" s="11">
        <f>O5822</f>
        <v/>
      </c>
      <c r="L5822" s="11">
        <f>L5821+IF(K5822&gt;0,K5822*Summary!$B$9,K5822/Summary!$B$9)</f>
        <v/>
      </c>
      <c r="M5822" s="11">
        <f>G5822+H5822</f>
        <v/>
      </c>
      <c r="N5822" s="11">
        <f>Summary!$C$16*Summary!$B$8</f>
        <v/>
      </c>
      <c r="O5822" s="11">
        <f>M5822-N5822</f>
        <v/>
      </c>
    </row>
    <row r="5823">
      <c r="A5823" s="9" t="n">
        <v>45534.54166666666</v>
      </c>
      <c r="B5823" t="n">
        <v>8</v>
      </c>
      <c r="C5823" t="n">
        <v>30</v>
      </c>
      <c r="D5823" t="n">
        <v>13</v>
      </c>
      <c r="E5823" s="10" t="n">
        <v>0.7206360000000001</v>
      </c>
      <c r="F5823" s="10" t="n">
        <v>0.1663075119138029</v>
      </c>
      <c r="G5823" s="11">
        <f>E5823*Summary!$B$6</f>
        <v/>
      </c>
      <c r="H5823" s="11">
        <f>F5823*Summary!$B$7</f>
        <v/>
      </c>
      <c r="I5823" s="11">
        <f>MAX(0,N5823-M5823)</f>
        <v/>
      </c>
      <c r="J5823" s="11">
        <f>MAX(0,M5823-N5823)</f>
        <v/>
      </c>
      <c r="K5823" s="11">
        <f>O5823</f>
        <v/>
      </c>
      <c r="L5823" s="11">
        <f>L5822+IF(K5823&gt;0,K5823*Summary!$B$9,K5823/Summary!$B$9)</f>
        <v/>
      </c>
      <c r="M5823" s="11">
        <f>G5823+H5823</f>
        <v/>
      </c>
      <c r="N5823" s="11">
        <f>Summary!$C$16*Summary!$B$8</f>
        <v/>
      </c>
      <c r="O5823" s="11">
        <f>M5823-N5823</f>
        <v/>
      </c>
    </row>
    <row r="5824">
      <c r="A5824" s="9" t="n">
        <v>45534.58333333334</v>
      </c>
      <c r="B5824" t="n">
        <v>8</v>
      </c>
      <c r="C5824" t="n">
        <v>30</v>
      </c>
      <c r="D5824" t="n">
        <v>14</v>
      </c>
      <c r="E5824" s="10" t="n">
        <v>0.693432</v>
      </c>
      <c r="F5824" s="10" t="n">
        <v>0.1677568722616493</v>
      </c>
      <c r="G5824" s="11">
        <f>E5824*Summary!$B$6</f>
        <v/>
      </c>
      <c r="H5824" s="11">
        <f>F5824*Summary!$B$7</f>
        <v/>
      </c>
      <c r="I5824" s="11">
        <f>MAX(0,N5824-M5824)</f>
        <v/>
      </c>
      <c r="J5824" s="11">
        <f>MAX(0,M5824-N5824)</f>
        <v/>
      </c>
      <c r="K5824" s="11">
        <f>O5824</f>
        <v/>
      </c>
      <c r="L5824" s="11">
        <f>L5823+IF(K5824&gt;0,K5824*Summary!$B$9,K5824/Summary!$B$9)</f>
        <v/>
      </c>
      <c r="M5824" s="11">
        <f>G5824+H5824</f>
        <v/>
      </c>
      <c r="N5824" s="11">
        <f>Summary!$C$16*Summary!$B$8</f>
        <v/>
      </c>
      <c r="O5824" s="11">
        <f>M5824-N5824</f>
        <v/>
      </c>
    </row>
    <row r="5825">
      <c r="A5825" s="9" t="n">
        <v>45534.625</v>
      </c>
      <c r="B5825" t="n">
        <v>8</v>
      </c>
      <c r="C5825" t="n">
        <v>30</v>
      </c>
      <c r="D5825" t="n">
        <v>15</v>
      </c>
      <c r="E5825" s="10" t="n">
        <v>0.473827</v>
      </c>
      <c r="F5825" s="10" t="n">
        <v>0.1714461531470768</v>
      </c>
      <c r="G5825" s="11">
        <f>E5825*Summary!$B$6</f>
        <v/>
      </c>
      <c r="H5825" s="11">
        <f>F5825*Summary!$B$7</f>
        <v/>
      </c>
      <c r="I5825" s="11">
        <f>MAX(0,N5825-M5825)</f>
        <v/>
      </c>
      <c r="J5825" s="11">
        <f>MAX(0,M5825-N5825)</f>
        <v/>
      </c>
      <c r="K5825" s="11">
        <f>O5825</f>
        <v/>
      </c>
      <c r="L5825" s="11">
        <f>L5824+IF(K5825&gt;0,K5825*Summary!$B$9,K5825/Summary!$B$9)</f>
        <v/>
      </c>
      <c r="M5825" s="11">
        <f>G5825+H5825</f>
        <v/>
      </c>
      <c r="N5825" s="11">
        <f>Summary!$C$16*Summary!$B$8</f>
        <v/>
      </c>
      <c r="O5825" s="11">
        <f>M5825-N5825</f>
        <v/>
      </c>
    </row>
    <row r="5826">
      <c r="A5826" s="9" t="n">
        <v>45534.66666666666</v>
      </c>
      <c r="B5826" t="n">
        <v>8</v>
      </c>
      <c r="C5826" t="n">
        <v>30</v>
      </c>
      <c r="D5826" t="n">
        <v>16</v>
      </c>
      <c r="E5826" s="10" t="n">
        <v>0.056609</v>
      </c>
      <c r="F5826" s="10" t="n">
        <v>0.1772699465447872</v>
      </c>
      <c r="G5826" s="11">
        <f>E5826*Summary!$B$6</f>
        <v/>
      </c>
      <c r="H5826" s="11">
        <f>F5826*Summary!$B$7</f>
        <v/>
      </c>
      <c r="I5826" s="11">
        <f>MAX(0,N5826-M5826)</f>
        <v/>
      </c>
      <c r="J5826" s="11">
        <f>MAX(0,M5826-N5826)</f>
        <v/>
      </c>
      <c r="K5826" s="11">
        <f>O5826</f>
        <v/>
      </c>
      <c r="L5826" s="11">
        <f>L5825+IF(K5826&gt;0,K5826*Summary!$B$9,K5826/Summary!$B$9)</f>
        <v/>
      </c>
      <c r="M5826" s="11">
        <f>G5826+H5826</f>
        <v/>
      </c>
      <c r="N5826" s="11">
        <f>Summary!$C$16*Summary!$B$8</f>
        <v/>
      </c>
      <c r="O5826" s="11">
        <f>M5826-N5826</f>
        <v/>
      </c>
    </row>
    <row r="5827">
      <c r="A5827" s="9" t="n">
        <v>45534.70833333334</v>
      </c>
      <c r="B5827" t="n">
        <v>8</v>
      </c>
      <c r="C5827" t="n">
        <v>30</v>
      </c>
      <c r="D5827" t="n">
        <v>17</v>
      </c>
      <c r="E5827" s="10" t="n">
        <v>0.124257</v>
      </c>
      <c r="F5827" s="10" t="n">
        <v>0.1587181340923522</v>
      </c>
      <c r="G5827" s="11">
        <f>E5827*Summary!$B$6</f>
        <v/>
      </c>
      <c r="H5827" s="11">
        <f>F5827*Summary!$B$7</f>
        <v/>
      </c>
      <c r="I5827" s="11">
        <f>MAX(0,N5827-M5827)</f>
        <v/>
      </c>
      <c r="J5827" s="11">
        <f>MAX(0,M5827-N5827)</f>
        <v/>
      </c>
      <c r="K5827" s="11">
        <f>O5827</f>
        <v/>
      </c>
      <c r="L5827" s="11">
        <f>L5826+IF(K5827&gt;0,K5827*Summary!$B$9,K5827/Summary!$B$9)</f>
        <v/>
      </c>
      <c r="M5827" s="11">
        <f>G5827+H5827</f>
        <v/>
      </c>
      <c r="N5827" s="11">
        <f>Summary!$C$16*Summary!$B$8</f>
        <v/>
      </c>
      <c r="O5827" s="11">
        <f>M5827-N5827</f>
        <v/>
      </c>
    </row>
    <row r="5828">
      <c r="A5828" s="9" t="n">
        <v>45534.75</v>
      </c>
      <c r="B5828" t="n">
        <v>8</v>
      </c>
      <c r="C5828" t="n">
        <v>30</v>
      </c>
      <c r="D5828" t="n">
        <v>18</v>
      </c>
      <c r="E5828" s="10" t="n">
        <v>0.022966</v>
      </c>
      <c r="F5828" s="10" t="n">
        <v>0.1558721174093082</v>
      </c>
      <c r="G5828" s="11">
        <f>E5828*Summary!$B$6</f>
        <v/>
      </c>
      <c r="H5828" s="11">
        <f>F5828*Summary!$B$7</f>
        <v/>
      </c>
      <c r="I5828" s="11">
        <f>MAX(0,N5828-M5828)</f>
        <v/>
      </c>
      <c r="J5828" s="11">
        <f>MAX(0,M5828-N5828)</f>
        <v/>
      </c>
      <c r="K5828" s="11">
        <f>O5828</f>
        <v/>
      </c>
      <c r="L5828" s="11">
        <f>L5827+IF(K5828&gt;0,K5828*Summary!$B$9,K5828/Summary!$B$9)</f>
        <v/>
      </c>
      <c r="M5828" s="11">
        <f>G5828+H5828</f>
        <v/>
      </c>
      <c r="N5828" s="11">
        <f>Summary!$C$16*Summary!$B$8</f>
        <v/>
      </c>
      <c r="O5828" s="11">
        <f>M5828-N5828</f>
        <v/>
      </c>
    </row>
    <row r="5829">
      <c r="A5829" s="9" t="n">
        <v>45534.79166666666</v>
      </c>
      <c r="B5829" t="n">
        <v>8</v>
      </c>
      <c r="C5829" t="n">
        <v>30</v>
      </c>
      <c r="D5829" t="n">
        <v>19</v>
      </c>
      <c r="E5829" s="10" t="n">
        <v>0</v>
      </c>
      <c r="F5829" s="10" t="n">
        <v>0.1687318964956551</v>
      </c>
      <c r="G5829" s="11">
        <f>E5829*Summary!$B$6</f>
        <v/>
      </c>
      <c r="H5829" s="11">
        <f>F5829*Summary!$B$7</f>
        <v/>
      </c>
      <c r="I5829" s="11">
        <f>MAX(0,N5829-M5829)</f>
        <v/>
      </c>
      <c r="J5829" s="11">
        <f>MAX(0,M5829-N5829)</f>
        <v/>
      </c>
      <c r="K5829" s="11">
        <f>O5829</f>
        <v/>
      </c>
      <c r="L5829" s="11">
        <f>L5828+IF(K5829&gt;0,K5829*Summary!$B$9,K5829/Summary!$B$9)</f>
        <v/>
      </c>
      <c r="M5829" s="11">
        <f>G5829+H5829</f>
        <v/>
      </c>
      <c r="N5829" s="11">
        <f>Summary!$C$16*Summary!$B$8</f>
        <v/>
      </c>
      <c r="O5829" s="11">
        <f>M5829-N5829</f>
        <v/>
      </c>
    </row>
    <row r="5830">
      <c r="A5830" s="9" t="n">
        <v>45534.83333333334</v>
      </c>
      <c r="B5830" t="n">
        <v>8</v>
      </c>
      <c r="C5830" t="n">
        <v>30</v>
      </c>
      <c r="D5830" t="n">
        <v>20</v>
      </c>
      <c r="E5830" s="10" t="n">
        <v>0</v>
      </c>
      <c r="F5830" s="10" t="n">
        <v>0.1814862675567042</v>
      </c>
      <c r="G5830" s="11">
        <f>E5830*Summary!$B$6</f>
        <v/>
      </c>
      <c r="H5830" s="11">
        <f>F5830*Summary!$B$7</f>
        <v/>
      </c>
      <c r="I5830" s="11">
        <f>MAX(0,N5830-M5830)</f>
        <v/>
      </c>
      <c r="J5830" s="11">
        <f>MAX(0,M5830-N5830)</f>
        <v/>
      </c>
      <c r="K5830" s="11">
        <f>O5830</f>
        <v/>
      </c>
      <c r="L5830" s="11">
        <f>L5829+IF(K5830&gt;0,K5830*Summary!$B$9,K5830/Summary!$B$9)</f>
        <v/>
      </c>
      <c r="M5830" s="11">
        <f>G5830+H5830</f>
        <v/>
      </c>
      <c r="N5830" s="11">
        <f>Summary!$C$16*Summary!$B$8</f>
        <v/>
      </c>
      <c r="O5830" s="11">
        <f>M5830-N5830</f>
        <v/>
      </c>
    </row>
    <row r="5831">
      <c r="A5831" s="9" t="n">
        <v>45534.875</v>
      </c>
      <c r="B5831" t="n">
        <v>8</v>
      </c>
      <c r="C5831" t="n">
        <v>30</v>
      </c>
      <c r="D5831" t="n">
        <v>21</v>
      </c>
      <c r="E5831" s="10" t="n">
        <v>0</v>
      </c>
      <c r="F5831" s="10" t="n">
        <v>0.2072848817483716</v>
      </c>
      <c r="G5831" s="11">
        <f>E5831*Summary!$B$6</f>
        <v/>
      </c>
      <c r="H5831" s="11">
        <f>F5831*Summary!$B$7</f>
        <v/>
      </c>
      <c r="I5831" s="11">
        <f>MAX(0,N5831-M5831)</f>
        <v/>
      </c>
      <c r="J5831" s="11">
        <f>MAX(0,M5831-N5831)</f>
        <v/>
      </c>
      <c r="K5831" s="11">
        <f>O5831</f>
        <v/>
      </c>
      <c r="L5831" s="11">
        <f>L5830+IF(K5831&gt;0,K5831*Summary!$B$9,K5831/Summary!$B$9)</f>
        <v/>
      </c>
      <c r="M5831" s="11">
        <f>G5831+H5831</f>
        <v/>
      </c>
      <c r="N5831" s="11">
        <f>Summary!$C$16*Summary!$B$8</f>
        <v/>
      </c>
      <c r="O5831" s="11">
        <f>M5831-N5831</f>
        <v/>
      </c>
    </row>
    <row r="5832">
      <c r="A5832" s="9" t="n">
        <v>45534.91666666666</v>
      </c>
      <c r="B5832" t="n">
        <v>8</v>
      </c>
      <c r="C5832" t="n">
        <v>30</v>
      </c>
      <c r="D5832" t="n">
        <v>22</v>
      </c>
      <c r="E5832" s="10" t="n">
        <v>0</v>
      </c>
      <c r="F5832" s="10" t="n">
        <v>0.2050713132171152</v>
      </c>
      <c r="G5832" s="11">
        <f>E5832*Summary!$B$6</f>
        <v/>
      </c>
      <c r="H5832" s="11">
        <f>F5832*Summary!$B$7</f>
        <v/>
      </c>
      <c r="I5832" s="11">
        <f>MAX(0,N5832-M5832)</f>
        <v/>
      </c>
      <c r="J5832" s="11">
        <f>MAX(0,M5832-N5832)</f>
        <v/>
      </c>
      <c r="K5832" s="11">
        <f>O5832</f>
        <v/>
      </c>
      <c r="L5832" s="11">
        <f>L5831+IF(K5832&gt;0,K5832*Summary!$B$9,K5832/Summary!$B$9)</f>
        <v/>
      </c>
      <c r="M5832" s="11">
        <f>G5832+H5832</f>
        <v/>
      </c>
      <c r="N5832" s="11">
        <f>Summary!$C$16*Summary!$B$8</f>
        <v/>
      </c>
      <c r="O5832" s="11">
        <f>M5832-N5832</f>
        <v/>
      </c>
    </row>
    <row r="5833">
      <c r="A5833" s="9" t="n">
        <v>45534.95833333334</v>
      </c>
      <c r="B5833" t="n">
        <v>8</v>
      </c>
      <c r="C5833" t="n">
        <v>30</v>
      </c>
      <c r="D5833" t="n">
        <v>23</v>
      </c>
      <c r="E5833" s="10" t="n">
        <v>0</v>
      </c>
      <c r="F5833" s="10" t="n">
        <v>0.209603858304926</v>
      </c>
      <c r="G5833" s="11">
        <f>E5833*Summary!$B$6</f>
        <v/>
      </c>
      <c r="H5833" s="11">
        <f>F5833*Summary!$B$7</f>
        <v/>
      </c>
      <c r="I5833" s="11">
        <f>MAX(0,N5833-M5833)</f>
        <v/>
      </c>
      <c r="J5833" s="11">
        <f>MAX(0,M5833-N5833)</f>
        <v/>
      </c>
      <c r="K5833" s="11">
        <f>O5833</f>
        <v/>
      </c>
      <c r="L5833" s="11">
        <f>L5832+IF(K5833&gt;0,K5833*Summary!$B$9,K5833/Summary!$B$9)</f>
        <v/>
      </c>
      <c r="M5833" s="11">
        <f>G5833+H5833</f>
        <v/>
      </c>
      <c r="N5833" s="11">
        <f>Summary!$C$16*Summary!$B$8</f>
        <v/>
      </c>
      <c r="O5833" s="11">
        <f>M5833-N5833</f>
        <v/>
      </c>
    </row>
    <row r="5834">
      <c r="A5834" s="9" t="n">
        <v>45535</v>
      </c>
      <c r="B5834" t="n">
        <v>8</v>
      </c>
      <c r="C5834" t="n">
        <v>31</v>
      </c>
      <c r="D5834" t="n">
        <v>0</v>
      </c>
      <c r="E5834" s="10" t="n">
        <v>0</v>
      </c>
      <c r="F5834" s="10" t="n">
        <v>0.251688012405123</v>
      </c>
      <c r="G5834" s="11">
        <f>E5834*Summary!$B$6</f>
        <v/>
      </c>
      <c r="H5834" s="11">
        <f>F5834*Summary!$B$7</f>
        <v/>
      </c>
      <c r="I5834" s="11">
        <f>MAX(0,N5834-M5834)</f>
        <v/>
      </c>
      <c r="J5834" s="11">
        <f>MAX(0,M5834-N5834)</f>
        <v/>
      </c>
      <c r="K5834" s="11">
        <f>O5834</f>
        <v/>
      </c>
      <c r="L5834" s="11">
        <f>L5833+IF(K5834&gt;0,K5834*Summary!$B$9,K5834/Summary!$B$9)</f>
        <v/>
      </c>
      <c r="M5834" s="11">
        <f>G5834+H5834</f>
        <v/>
      </c>
      <c r="N5834" s="11">
        <f>Summary!$C$16*Summary!$B$8</f>
        <v/>
      </c>
      <c r="O5834" s="11">
        <f>M5834-N5834</f>
        <v/>
      </c>
    </row>
    <row r="5835">
      <c r="A5835" s="9" t="n">
        <v>45535.04166666666</v>
      </c>
      <c r="B5835" t="n">
        <v>8</v>
      </c>
      <c r="C5835" t="n">
        <v>31</v>
      </c>
      <c r="D5835" t="n">
        <v>1</v>
      </c>
      <c r="E5835" s="10" t="n">
        <v>0</v>
      </c>
      <c r="F5835" s="10" t="n">
        <v>0.2091031701847609</v>
      </c>
      <c r="G5835" s="11">
        <f>E5835*Summary!$B$6</f>
        <v/>
      </c>
      <c r="H5835" s="11">
        <f>F5835*Summary!$B$7</f>
        <v/>
      </c>
      <c r="I5835" s="11">
        <f>MAX(0,N5835-M5835)</f>
        <v/>
      </c>
      <c r="J5835" s="11">
        <f>MAX(0,M5835-N5835)</f>
        <v/>
      </c>
      <c r="K5835" s="11">
        <f>O5835</f>
        <v/>
      </c>
      <c r="L5835" s="11">
        <f>L5834+IF(K5835&gt;0,K5835*Summary!$B$9,K5835/Summary!$B$9)</f>
        <v/>
      </c>
      <c r="M5835" s="11">
        <f>G5835+H5835</f>
        <v/>
      </c>
      <c r="N5835" s="11">
        <f>Summary!$C$16*Summary!$B$8</f>
        <v/>
      </c>
      <c r="O5835" s="11">
        <f>M5835-N5835</f>
        <v/>
      </c>
    </row>
    <row r="5836">
      <c r="A5836" s="9" t="n">
        <v>45535.08333333334</v>
      </c>
      <c r="B5836" t="n">
        <v>8</v>
      </c>
      <c r="C5836" t="n">
        <v>31</v>
      </c>
      <c r="D5836" t="n">
        <v>2</v>
      </c>
      <c r="E5836" s="10" t="n">
        <v>0</v>
      </c>
      <c r="F5836" s="10" t="n">
        <v>0.2068105456345309</v>
      </c>
      <c r="G5836" s="11">
        <f>E5836*Summary!$B$6</f>
        <v/>
      </c>
      <c r="H5836" s="11">
        <f>F5836*Summary!$B$7</f>
        <v/>
      </c>
      <c r="I5836" s="11">
        <f>MAX(0,N5836-M5836)</f>
        <v/>
      </c>
      <c r="J5836" s="11">
        <f>MAX(0,M5836-N5836)</f>
        <v/>
      </c>
      <c r="K5836" s="11">
        <f>O5836</f>
        <v/>
      </c>
      <c r="L5836" s="11">
        <f>L5835+IF(K5836&gt;0,K5836*Summary!$B$9,K5836/Summary!$B$9)</f>
        <v/>
      </c>
      <c r="M5836" s="11">
        <f>G5836+H5836</f>
        <v/>
      </c>
      <c r="N5836" s="11">
        <f>Summary!$C$16*Summary!$B$8</f>
        <v/>
      </c>
      <c r="O5836" s="11">
        <f>M5836-N5836</f>
        <v/>
      </c>
    </row>
    <row r="5837">
      <c r="A5837" s="9" t="n">
        <v>45535.125</v>
      </c>
      <c r="B5837" t="n">
        <v>8</v>
      </c>
      <c r="C5837" t="n">
        <v>31</v>
      </c>
      <c r="D5837" t="n">
        <v>3</v>
      </c>
      <c r="E5837" s="10" t="n">
        <v>0</v>
      </c>
      <c r="F5837" s="10" t="n">
        <v>0.206705137609233</v>
      </c>
      <c r="G5837" s="11">
        <f>E5837*Summary!$B$6</f>
        <v/>
      </c>
      <c r="H5837" s="11">
        <f>F5837*Summary!$B$7</f>
        <v/>
      </c>
      <c r="I5837" s="11">
        <f>MAX(0,N5837-M5837)</f>
        <v/>
      </c>
      <c r="J5837" s="11">
        <f>MAX(0,M5837-N5837)</f>
        <v/>
      </c>
      <c r="K5837" s="11">
        <f>O5837</f>
        <v/>
      </c>
      <c r="L5837" s="11">
        <f>L5836+IF(K5837&gt;0,K5837*Summary!$B$9,K5837/Summary!$B$9)</f>
        <v/>
      </c>
      <c r="M5837" s="11">
        <f>G5837+H5837</f>
        <v/>
      </c>
      <c r="N5837" s="11">
        <f>Summary!$C$16*Summary!$B$8</f>
        <v/>
      </c>
      <c r="O5837" s="11">
        <f>M5837-N5837</f>
        <v/>
      </c>
    </row>
    <row r="5838">
      <c r="A5838" s="9" t="n">
        <v>45535.16666666666</v>
      </c>
      <c r="B5838" t="n">
        <v>8</v>
      </c>
      <c r="C5838" t="n">
        <v>31</v>
      </c>
      <c r="D5838" t="n">
        <v>4</v>
      </c>
      <c r="E5838" s="10" t="n">
        <v>0</v>
      </c>
      <c r="F5838" s="10" t="n">
        <v>0.2076801618432388</v>
      </c>
      <c r="G5838" s="11">
        <f>E5838*Summary!$B$6</f>
        <v/>
      </c>
      <c r="H5838" s="11">
        <f>F5838*Summary!$B$7</f>
        <v/>
      </c>
      <c r="I5838" s="11">
        <f>MAX(0,N5838-M5838)</f>
        <v/>
      </c>
      <c r="J5838" s="11">
        <f>MAX(0,M5838-N5838)</f>
        <v/>
      </c>
      <c r="K5838" s="11">
        <f>O5838</f>
        <v/>
      </c>
      <c r="L5838" s="11">
        <f>L5837+IF(K5838&gt;0,K5838*Summary!$B$9,K5838/Summary!$B$9)</f>
        <v/>
      </c>
      <c r="M5838" s="11">
        <f>G5838+H5838</f>
        <v/>
      </c>
      <c r="N5838" s="11">
        <f>Summary!$C$16*Summary!$B$8</f>
        <v/>
      </c>
      <c r="O5838" s="11">
        <f>M5838-N5838</f>
        <v/>
      </c>
    </row>
    <row r="5839">
      <c r="A5839" s="9" t="n">
        <v>45535.20833333334</v>
      </c>
      <c r="B5839" t="n">
        <v>8</v>
      </c>
      <c r="C5839" t="n">
        <v>31</v>
      </c>
      <c r="D5839" t="n">
        <v>5</v>
      </c>
      <c r="E5839" s="10" t="n">
        <v>0</v>
      </c>
      <c r="F5839" s="10" t="n">
        <v>0.202488816597316</v>
      </c>
      <c r="G5839" s="11">
        <f>E5839*Summary!$B$6</f>
        <v/>
      </c>
      <c r="H5839" s="11">
        <f>F5839*Summary!$B$7</f>
        <v/>
      </c>
      <c r="I5839" s="11">
        <f>MAX(0,N5839-M5839)</f>
        <v/>
      </c>
      <c r="J5839" s="11">
        <f>MAX(0,M5839-N5839)</f>
        <v/>
      </c>
      <c r="K5839" s="11">
        <f>O5839</f>
        <v/>
      </c>
      <c r="L5839" s="11">
        <f>L5838+IF(K5839&gt;0,K5839*Summary!$B$9,K5839/Summary!$B$9)</f>
        <v/>
      </c>
      <c r="M5839" s="11">
        <f>G5839+H5839</f>
        <v/>
      </c>
      <c r="N5839" s="11">
        <f>Summary!$C$16*Summary!$B$8</f>
        <v/>
      </c>
      <c r="O5839" s="11">
        <f>M5839-N5839</f>
        <v/>
      </c>
    </row>
    <row r="5840">
      <c r="A5840" s="9" t="n">
        <v>45535.25</v>
      </c>
      <c r="B5840" t="n">
        <v>8</v>
      </c>
      <c r="C5840" t="n">
        <v>31</v>
      </c>
      <c r="D5840" t="n">
        <v>6</v>
      </c>
      <c r="E5840" s="10" t="n">
        <v>0.008293999999999999</v>
      </c>
      <c r="F5840" s="10" t="n">
        <v>0.1891019973844794</v>
      </c>
      <c r="G5840" s="11">
        <f>E5840*Summary!$B$6</f>
        <v/>
      </c>
      <c r="H5840" s="11">
        <f>F5840*Summary!$B$7</f>
        <v/>
      </c>
      <c r="I5840" s="11">
        <f>MAX(0,N5840-M5840)</f>
        <v/>
      </c>
      <c r="J5840" s="11">
        <f>MAX(0,M5840-N5840)</f>
        <v/>
      </c>
      <c r="K5840" s="11">
        <f>O5840</f>
        <v/>
      </c>
      <c r="L5840" s="11">
        <f>L5839+IF(K5840&gt;0,K5840*Summary!$B$9,K5840/Summary!$B$9)</f>
        <v/>
      </c>
      <c r="M5840" s="11">
        <f>G5840+H5840</f>
        <v/>
      </c>
      <c r="N5840" s="11">
        <f>Summary!$C$16*Summary!$B$8</f>
        <v/>
      </c>
      <c r="O5840" s="11">
        <f>M5840-N5840</f>
        <v/>
      </c>
    </row>
    <row r="5841">
      <c r="A5841" s="9" t="n">
        <v>45535.29166666666</v>
      </c>
      <c r="B5841" t="n">
        <v>8</v>
      </c>
      <c r="C5841" t="n">
        <v>31</v>
      </c>
      <c r="D5841" t="n">
        <v>7</v>
      </c>
      <c r="E5841" s="10" t="n">
        <v>0.021315</v>
      </c>
      <c r="F5841" s="10" t="n">
        <v>0.1748719139692593</v>
      </c>
      <c r="G5841" s="11">
        <f>E5841*Summary!$B$6</f>
        <v/>
      </c>
      <c r="H5841" s="11">
        <f>F5841*Summary!$B$7</f>
        <v/>
      </c>
      <c r="I5841" s="11">
        <f>MAX(0,N5841-M5841)</f>
        <v/>
      </c>
      <c r="J5841" s="11">
        <f>MAX(0,M5841-N5841)</f>
        <v/>
      </c>
      <c r="K5841" s="11">
        <f>O5841</f>
        <v/>
      </c>
      <c r="L5841" s="11">
        <f>L5840+IF(K5841&gt;0,K5841*Summary!$B$9,K5841/Summary!$B$9)</f>
        <v/>
      </c>
      <c r="M5841" s="11">
        <f>G5841+H5841</f>
        <v/>
      </c>
      <c r="N5841" s="11">
        <f>Summary!$C$16*Summary!$B$8</f>
        <v/>
      </c>
      <c r="O5841" s="11">
        <f>M5841-N5841</f>
        <v/>
      </c>
    </row>
    <row r="5842">
      <c r="A5842" s="9" t="n">
        <v>45535.33333333334</v>
      </c>
      <c r="B5842" t="n">
        <v>8</v>
      </c>
      <c r="C5842" t="n">
        <v>31</v>
      </c>
      <c r="D5842" t="n">
        <v>8</v>
      </c>
      <c r="E5842" s="10" t="n">
        <v>0.057989</v>
      </c>
      <c r="F5842" s="10" t="n">
        <v>0.158217445972187</v>
      </c>
      <c r="G5842" s="11">
        <f>E5842*Summary!$B$6</f>
        <v/>
      </c>
      <c r="H5842" s="11">
        <f>F5842*Summary!$B$7</f>
        <v/>
      </c>
      <c r="I5842" s="11">
        <f>MAX(0,N5842-M5842)</f>
        <v/>
      </c>
      <c r="J5842" s="11">
        <f>MAX(0,M5842-N5842)</f>
        <v/>
      </c>
      <c r="K5842" s="11">
        <f>O5842</f>
        <v/>
      </c>
      <c r="L5842" s="11">
        <f>L5841+IF(K5842&gt;0,K5842*Summary!$B$9,K5842/Summary!$B$9)</f>
        <v/>
      </c>
      <c r="M5842" s="11">
        <f>G5842+H5842</f>
        <v/>
      </c>
      <c r="N5842" s="11">
        <f>Summary!$C$16*Summary!$B$8</f>
        <v/>
      </c>
      <c r="O5842" s="11">
        <f>M5842-N5842</f>
        <v/>
      </c>
    </row>
    <row r="5843">
      <c r="A5843" s="9" t="n">
        <v>45535.375</v>
      </c>
      <c r="B5843" t="n">
        <v>8</v>
      </c>
      <c r="C5843" t="n">
        <v>31</v>
      </c>
      <c r="D5843" t="n">
        <v>9</v>
      </c>
      <c r="E5843" s="10" t="n">
        <v>0.081139</v>
      </c>
      <c r="F5843" s="10" t="n">
        <v>0.15476533314368</v>
      </c>
      <c r="G5843" s="11">
        <f>E5843*Summary!$B$6</f>
        <v/>
      </c>
      <c r="H5843" s="11">
        <f>F5843*Summary!$B$7</f>
        <v/>
      </c>
      <c r="I5843" s="11">
        <f>MAX(0,N5843-M5843)</f>
        <v/>
      </c>
      <c r="J5843" s="11">
        <f>MAX(0,M5843-N5843)</f>
        <v/>
      </c>
      <c r="K5843" s="11">
        <f>O5843</f>
        <v/>
      </c>
      <c r="L5843" s="11">
        <f>L5842+IF(K5843&gt;0,K5843*Summary!$B$9,K5843/Summary!$B$9)</f>
        <v/>
      </c>
      <c r="M5843" s="11">
        <f>G5843+H5843</f>
        <v/>
      </c>
      <c r="N5843" s="11">
        <f>Summary!$C$16*Summary!$B$8</f>
        <v/>
      </c>
      <c r="O5843" s="11">
        <f>M5843-N5843</f>
        <v/>
      </c>
    </row>
    <row r="5844">
      <c r="A5844" s="9" t="n">
        <v>45535.41666666666</v>
      </c>
      <c r="B5844" t="n">
        <v>8</v>
      </c>
      <c r="C5844" t="n">
        <v>31</v>
      </c>
      <c r="D5844" t="n">
        <v>10</v>
      </c>
      <c r="E5844" s="10" t="n">
        <v>0.07001599999999999</v>
      </c>
      <c r="F5844" s="10" t="n">
        <v>0.1599830303959273</v>
      </c>
      <c r="G5844" s="11">
        <f>E5844*Summary!$B$6</f>
        <v/>
      </c>
      <c r="H5844" s="11">
        <f>F5844*Summary!$B$7</f>
        <v/>
      </c>
      <c r="I5844" s="11">
        <f>MAX(0,N5844-M5844)</f>
        <v/>
      </c>
      <c r="J5844" s="11">
        <f>MAX(0,M5844-N5844)</f>
        <v/>
      </c>
      <c r="K5844" s="11">
        <f>O5844</f>
        <v/>
      </c>
      <c r="L5844" s="11">
        <f>L5843+IF(K5844&gt;0,K5844*Summary!$B$9,K5844/Summary!$B$9)</f>
        <v/>
      </c>
      <c r="M5844" s="11">
        <f>G5844+H5844</f>
        <v/>
      </c>
      <c r="N5844" s="11">
        <f>Summary!$C$16*Summary!$B$8</f>
        <v/>
      </c>
      <c r="O5844" s="11">
        <f>M5844-N5844</f>
        <v/>
      </c>
    </row>
    <row r="5845">
      <c r="A5845" s="9" t="n">
        <v>45535.45833333334</v>
      </c>
      <c r="B5845" t="n">
        <v>8</v>
      </c>
      <c r="C5845" t="n">
        <v>31</v>
      </c>
      <c r="D5845" t="n">
        <v>11</v>
      </c>
      <c r="E5845" s="10" t="n">
        <v>0.106459</v>
      </c>
      <c r="F5845" s="10" t="n">
        <v>0.1557930613903347</v>
      </c>
      <c r="G5845" s="11">
        <f>E5845*Summary!$B$6</f>
        <v/>
      </c>
      <c r="H5845" s="11">
        <f>F5845*Summary!$B$7</f>
        <v/>
      </c>
      <c r="I5845" s="11">
        <f>MAX(0,N5845-M5845)</f>
        <v/>
      </c>
      <c r="J5845" s="11">
        <f>MAX(0,M5845-N5845)</f>
        <v/>
      </c>
      <c r="K5845" s="11">
        <f>O5845</f>
        <v/>
      </c>
      <c r="L5845" s="11">
        <f>L5844+IF(K5845&gt;0,K5845*Summary!$B$9,K5845/Summary!$B$9)</f>
        <v/>
      </c>
      <c r="M5845" s="11">
        <f>G5845+H5845</f>
        <v/>
      </c>
      <c r="N5845" s="11">
        <f>Summary!$C$16*Summary!$B$8</f>
        <v/>
      </c>
      <c r="O5845" s="11">
        <f>M5845-N5845</f>
        <v/>
      </c>
    </row>
    <row r="5846">
      <c r="A5846" s="9" t="n">
        <v>45535.5</v>
      </c>
      <c r="B5846" t="n">
        <v>8</v>
      </c>
      <c r="C5846" t="n">
        <v>31</v>
      </c>
      <c r="D5846" t="n">
        <v>12</v>
      </c>
      <c r="E5846" s="10" t="n">
        <v>0.231507</v>
      </c>
      <c r="F5846" s="10" t="n">
        <v>0.1612742787058269</v>
      </c>
      <c r="G5846" s="11">
        <f>E5846*Summary!$B$6</f>
        <v/>
      </c>
      <c r="H5846" s="11">
        <f>F5846*Summary!$B$7</f>
        <v/>
      </c>
      <c r="I5846" s="11">
        <f>MAX(0,N5846-M5846)</f>
        <v/>
      </c>
      <c r="J5846" s="11">
        <f>MAX(0,M5846-N5846)</f>
        <v/>
      </c>
      <c r="K5846" s="11">
        <f>O5846</f>
        <v/>
      </c>
      <c r="L5846" s="11">
        <f>L5845+IF(K5846&gt;0,K5846*Summary!$B$9,K5846/Summary!$B$9)</f>
        <v/>
      </c>
      <c r="M5846" s="11">
        <f>G5846+H5846</f>
        <v/>
      </c>
      <c r="N5846" s="11">
        <f>Summary!$C$16*Summary!$B$8</f>
        <v/>
      </c>
      <c r="O5846" s="11">
        <f>M5846-N5846</f>
        <v/>
      </c>
    </row>
    <row r="5847">
      <c r="A5847" s="9" t="n">
        <v>45535.54166666666</v>
      </c>
      <c r="B5847" t="n">
        <v>8</v>
      </c>
      <c r="C5847" t="n">
        <v>31</v>
      </c>
      <c r="D5847" t="n">
        <v>13</v>
      </c>
      <c r="E5847" s="10" t="n">
        <v>0.232598</v>
      </c>
      <c r="F5847" s="10" t="n">
        <v>0.163962183350924</v>
      </c>
      <c r="G5847" s="11">
        <f>E5847*Summary!$B$6</f>
        <v/>
      </c>
      <c r="H5847" s="11">
        <f>F5847*Summary!$B$7</f>
        <v/>
      </c>
      <c r="I5847" s="11">
        <f>MAX(0,N5847-M5847)</f>
        <v/>
      </c>
      <c r="J5847" s="11">
        <f>MAX(0,M5847-N5847)</f>
        <v/>
      </c>
      <c r="K5847" s="11">
        <f>O5847</f>
        <v/>
      </c>
      <c r="L5847" s="11">
        <f>L5846+IF(K5847&gt;0,K5847*Summary!$B$9,K5847/Summary!$B$9)</f>
        <v/>
      </c>
      <c r="M5847" s="11">
        <f>G5847+H5847</f>
        <v/>
      </c>
      <c r="N5847" s="11">
        <f>Summary!$C$16*Summary!$B$8</f>
        <v/>
      </c>
      <c r="O5847" s="11">
        <f>M5847-N5847</f>
        <v/>
      </c>
    </row>
    <row r="5848">
      <c r="A5848" s="9" t="n">
        <v>45535.58333333334</v>
      </c>
      <c r="B5848" t="n">
        <v>8</v>
      </c>
      <c r="C5848" t="n">
        <v>31</v>
      </c>
      <c r="D5848" t="n">
        <v>14</v>
      </c>
      <c r="E5848" s="10" t="n">
        <v>0.127482</v>
      </c>
      <c r="F5848" s="10" t="n">
        <v>0.1606154785477149</v>
      </c>
      <c r="G5848" s="11">
        <f>E5848*Summary!$B$6</f>
        <v/>
      </c>
      <c r="H5848" s="11">
        <f>F5848*Summary!$B$7</f>
        <v/>
      </c>
      <c r="I5848" s="11">
        <f>MAX(0,N5848-M5848)</f>
        <v/>
      </c>
      <c r="J5848" s="11">
        <f>MAX(0,M5848-N5848)</f>
        <v/>
      </c>
      <c r="K5848" s="11">
        <f>O5848</f>
        <v/>
      </c>
      <c r="L5848" s="11">
        <f>L5847+IF(K5848&gt;0,K5848*Summary!$B$9,K5848/Summary!$B$9)</f>
        <v/>
      </c>
      <c r="M5848" s="11">
        <f>G5848+H5848</f>
        <v/>
      </c>
      <c r="N5848" s="11">
        <f>Summary!$C$16*Summary!$B$8</f>
        <v/>
      </c>
      <c r="O5848" s="11">
        <f>M5848-N5848</f>
        <v/>
      </c>
    </row>
    <row r="5849">
      <c r="A5849" s="9" t="n">
        <v>45535.625</v>
      </c>
      <c r="B5849" t="n">
        <v>8</v>
      </c>
      <c r="C5849" t="n">
        <v>31</v>
      </c>
      <c r="D5849" t="n">
        <v>15</v>
      </c>
      <c r="E5849" s="10" t="n">
        <v>0.172331</v>
      </c>
      <c r="F5849" s="10" t="n">
        <v>0.1597458623390069</v>
      </c>
      <c r="G5849" s="11">
        <f>E5849*Summary!$B$6</f>
        <v/>
      </c>
      <c r="H5849" s="11">
        <f>F5849*Summary!$B$7</f>
        <v/>
      </c>
      <c r="I5849" s="11">
        <f>MAX(0,N5849-M5849)</f>
        <v/>
      </c>
      <c r="J5849" s="11">
        <f>MAX(0,M5849-N5849)</f>
        <v/>
      </c>
      <c r="K5849" s="11">
        <f>O5849</f>
        <v/>
      </c>
      <c r="L5849" s="11">
        <f>L5848+IF(K5849&gt;0,K5849*Summary!$B$9,K5849/Summary!$B$9)</f>
        <v/>
      </c>
      <c r="M5849" s="11">
        <f>G5849+H5849</f>
        <v/>
      </c>
      <c r="N5849" s="11">
        <f>Summary!$C$16*Summary!$B$8</f>
        <v/>
      </c>
      <c r="O5849" s="11">
        <f>M5849-N5849</f>
        <v/>
      </c>
    </row>
    <row r="5850">
      <c r="A5850" s="9" t="n">
        <v>45535.66666666666</v>
      </c>
      <c r="B5850" t="n">
        <v>8</v>
      </c>
      <c r="C5850" t="n">
        <v>31</v>
      </c>
      <c r="D5850" t="n">
        <v>16</v>
      </c>
      <c r="E5850" s="10" t="n">
        <v>0.241101</v>
      </c>
      <c r="F5850" s="10" t="n">
        <v>0.1523673005681521</v>
      </c>
      <c r="G5850" s="11">
        <f>E5850*Summary!$B$6</f>
        <v/>
      </c>
      <c r="H5850" s="11">
        <f>F5850*Summary!$B$7</f>
        <v/>
      </c>
      <c r="I5850" s="11">
        <f>MAX(0,N5850-M5850)</f>
        <v/>
      </c>
      <c r="J5850" s="11">
        <f>MAX(0,M5850-N5850)</f>
        <v/>
      </c>
      <c r="K5850" s="11">
        <f>O5850</f>
        <v/>
      </c>
      <c r="L5850" s="11">
        <f>L5849+IF(K5850&gt;0,K5850*Summary!$B$9,K5850/Summary!$B$9)</f>
        <v/>
      </c>
      <c r="M5850" s="11">
        <f>G5850+H5850</f>
        <v/>
      </c>
      <c r="N5850" s="11">
        <f>Summary!$C$16*Summary!$B$8</f>
        <v/>
      </c>
      <c r="O5850" s="11">
        <f>M5850-N5850</f>
        <v/>
      </c>
    </row>
    <row r="5851">
      <c r="A5851" s="9" t="n">
        <v>45535.70833333334</v>
      </c>
      <c r="B5851" t="n">
        <v>8</v>
      </c>
      <c r="C5851" t="n">
        <v>31</v>
      </c>
      <c r="D5851" t="n">
        <v>17</v>
      </c>
      <c r="E5851" s="10" t="n">
        <v>0.057328</v>
      </c>
      <c r="F5851" s="10" t="n">
        <v>0.1480719235372616</v>
      </c>
      <c r="G5851" s="11">
        <f>E5851*Summary!$B$6</f>
        <v/>
      </c>
      <c r="H5851" s="11">
        <f>F5851*Summary!$B$7</f>
        <v/>
      </c>
      <c r="I5851" s="11">
        <f>MAX(0,N5851-M5851)</f>
        <v/>
      </c>
      <c r="J5851" s="11">
        <f>MAX(0,M5851-N5851)</f>
        <v/>
      </c>
      <c r="K5851" s="11">
        <f>O5851</f>
        <v/>
      </c>
      <c r="L5851" s="11">
        <f>L5850+IF(K5851&gt;0,K5851*Summary!$B$9,K5851/Summary!$B$9)</f>
        <v/>
      </c>
      <c r="M5851" s="11">
        <f>G5851+H5851</f>
        <v/>
      </c>
      <c r="N5851" s="11">
        <f>Summary!$C$16*Summary!$B$8</f>
        <v/>
      </c>
      <c r="O5851" s="11">
        <f>M5851-N5851</f>
        <v/>
      </c>
    </row>
    <row r="5852">
      <c r="A5852" s="9" t="n">
        <v>45535.75</v>
      </c>
      <c r="B5852" t="n">
        <v>8</v>
      </c>
      <c r="C5852" t="n">
        <v>31</v>
      </c>
      <c r="D5852" t="n">
        <v>18</v>
      </c>
      <c r="E5852" s="10" t="n">
        <v>0.023145</v>
      </c>
      <c r="F5852" s="10" t="n">
        <v>0.151155108277226</v>
      </c>
      <c r="G5852" s="11">
        <f>E5852*Summary!$B$6</f>
        <v/>
      </c>
      <c r="H5852" s="11">
        <f>F5852*Summary!$B$7</f>
        <v/>
      </c>
      <c r="I5852" s="11">
        <f>MAX(0,N5852-M5852)</f>
        <v/>
      </c>
      <c r="J5852" s="11">
        <f>MAX(0,M5852-N5852)</f>
        <v/>
      </c>
      <c r="K5852" s="11">
        <f>O5852</f>
        <v/>
      </c>
      <c r="L5852" s="11">
        <f>L5851+IF(K5852&gt;0,K5852*Summary!$B$9,K5852/Summary!$B$9)</f>
        <v/>
      </c>
      <c r="M5852" s="11">
        <f>G5852+H5852</f>
        <v/>
      </c>
      <c r="N5852" s="11">
        <f>Summary!$C$16*Summary!$B$8</f>
        <v/>
      </c>
      <c r="O5852" s="11">
        <f>M5852-N5852</f>
        <v/>
      </c>
    </row>
    <row r="5853">
      <c r="A5853" s="9" t="n">
        <v>45535.79166666666</v>
      </c>
      <c r="B5853" t="n">
        <v>8</v>
      </c>
      <c r="C5853" t="n">
        <v>31</v>
      </c>
      <c r="D5853" t="n">
        <v>19</v>
      </c>
      <c r="E5853" s="10" t="n">
        <v>0</v>
      </c>
      <c r="F5853" s="10" t="n">
        <v>0.1640675913762219</v>
      </c>
      <c r="G5853" s="11">
        <f>E5853*Summary!$B$6</f>
        <v/>
      </c>
      <c r="H5853" s="11">
        <f>F5853*Summary!$B$7</f>
        <v/>
      </c>
      <c r="I5853" s="11">
        <f>MAX(0,N5853-M5853)</f>
        <v/>
      </c>
      <c r="J5853" s="11">
        <f>MAX(0,M5853-N5853)</f>
        <v/>
      </c>
      <c r="K5853" s="11">
        <f>O5853</f>
        <v/>
      </c>
      <c r="L5853" s="11">
        <f>L5852+IF(K5853&gt;0,K5853*Summary!$B$9,K5853/Summary!$B$9)</f>
        <v/>
      </c>
      <c r="M5853" s="11">
        <f>G5853+H5853</f>
        <v/>
      </c>
      <c r="N5853" s="11">
        <f>Summary!$C$16*Summary!$B$8</f>
        <v/>
      </c>
      <c r="O5853" s="11">
        <f>M5853-N5853</f>
        <v/>
      </c>
    </row>
    <row r="5854">
      <c r="A5854" s="9" t="n">
        <v>45535.83333333334</v>
      </c>
      <c r="B5854" t="n">
        <v>8</v>
      </c>
      <c r="C5854" t="n">
        <v>31</v>
      </c>
      <c r="D5854" t="n">
        <v>20</v>
      </c>
      <c r="E5854" s="10" t="n">
        <v>0</v>
      </c>
      <c r="F5854" s="10" t="n">
        <v>0.1875472290113349</v>
      </c>
      <c r="G5854" s="11">
        <f>E5854*Summary!$B$6</f>
        <v/>
      </c>
      <c r="H5854" s="11">
        <f>F5854*Summary!$B$7</f>
        <v/>
      </c>
      <c r="I5854" s="11">
        <f>MAX(0,N5854-M5854)</f>
        <v/>
      </c>
      <c r="J5854" s="11">
        <f>MAX(0,M5854-N5854)</f>
        <v/>
      </c>
      <c r="K5854" s="11">
        <f>O5854</f>
        <v/>
      </c>
      <c r="L5854" s="11">
        <f>L5853+IF(K5854&gt;0,K5854*Summary!$B$9,K5854/Summary!$B$9)</f>
        <v/>
      </c>
      <c r="M5854" s="11">
        <f>G5854+H5854</f>
        <v/>
      </c>
      <c r="N5854" s="11">
        <f>Summary!$C$16*Summary!$B$8</f>
        <v/>
      </c>
      <c r="O5854" s="11">
        <f>M5854-N5854</f>
        <v/>
      </c>
    </row>
    <row r="5855">
      <c r="A5855" s="9" t="n">
        <v>45535.875</v>
      </c>
      <c r="B5855" t="n">
        <v>8</v>
      </c>
      <c r="C5855" t="n">
        <v>31</v>
      </c>
      <c r="D5855" t="n">
        <v>21</v>
      </c>
      <c r="E5855" s="10" t="n">
        <v>0</v>
      </c>
      <c r="F5855" s="10" t="n">
        <v>0.2058882254131741</v>
      </c>
      <c r="G5855" s="11">
        <f>E5855*Summary!$B$6</f>
        <v/>
      </c>
      <c r="H5855" s="11">
        <f>F5855*Summary!$B$7</f>
        <v/>
      </c>
      <c r="I5855" s="11">
        <f>MAX(0,N5855-M5855)</f>
        <v/>
      </c>
      <c r="J5855" s="11">
        <f>MAX(0,M5855-N5855)</f>
        <v/>
      </c>
      <c r="K5855" s="11">
        <f>O5855</f>
        <v/>
      </c>
      <c r="L5855" s="11">
        <f>L5854+IF(K5855&gt;0,K5855*Summary!$B$9,K5855/Summary!$B$9)</f>
        <v/>
      </c>
      <c r="M5855" s="11">
        <f>G5855+H5855</f>
        <v/>
      </c>
      <c r="N5855" s="11">
        <f>Summary!$C$16*Summary!$B$8</f>
        <v/>
      </c>
      <c r="O5855" s="11">
        <f>M5855-N5855</f>
        <v/>
      </c>
    </row>
    <row r="5856">
      <c r="A5856" s="9" t="n">
        <v>45535.91666666666</v>
      </c>
      <c r="B5856" t="n">
        <v>8</v>
      </c>
      <c r="C5856" t="n">
        <v>31</v>
      </c>
      <c r="D5856" t="n">
        <v>22</v>
      </c>
      <c r="E5856" s="10" t="n">
        <v>0</v>
      </c>
      <c r="F5856" s="10" t="n">
        <v>0.2275759266182224</v>
      </c>
      <c r="G5856" s="11">
        <f>E5856*Summary!$B$6</f>
        <v/>
      </c>
      <c r="H5856" s="11">
        <f>F5856*Summary!$B$7</f>
        <v/>
      </c>
      <c r="I5856" s="11">
        <f>MAX(0,N5856-M5856)</f>
        <v/>
      </c>
      <c r="J5856" s="11">
        <f>MAX(0,M5856-N5856)</f>
        <v/>
      </c>
      <c r="K5856" s="11">
        <f>O5856</f>
        <v/>
      </c>
      <c r="L5856" s="11">
        <f>L5855+IF(K5856&gt;0,K5856*Summary!$B$9,K5856/Summary!$B$9)</f>
        <v/>
      </c>
      <c r="M5856" s="11">
        <f>G5856+H5856</f>
        <v/>
      </c>
      <c r="N5856" s="11">
        <f>Summary!$C$16*Summary!$B$8</f>
        <v/>
      </c>
      <c r="O5856" s="11">
        <f>M5856-N5856</f>
        <v/>
      </c>
    </row>
    <row r="5857">
      <c r="A5857" s="9" t="n">
        <v>45535.95833333334</v>
      </c>
      <c r="B5857" t="n">
        <v>8</v>
      </c>
      <c r="C5857" t="n">
        <v>31</v>
      </c>
      <c r="D5857" t="n">
        <v>23</v>
      </c>
      <c r="E5857" s="10" t="n">
        <v>0</v>
      </c>
      <c r="F5857" s="10" t="n">
        <v>0.2459169230200615</v>
      </c>
      <c r="G5857" s="11">
        <f>E5857*Summary!$B$6</f>
        <v/>
      </c>
      <c r="H5857" s="11">
        <f>F5857*Summary!$B$7</f>
        <v/>
      </c>
      <c r="I5857" s="11">
        <f>MAX(0,N5857-M5857)</f>
        <v/>
      </c>
      <c r="J5857" s="11">
        <f>MAX(0,M5857-N5857)</f>
        <v/>
      </c>
      <c r="K5857" s="11">
        <f>O5857</f>
        <v/>
      </c>
      <c r="L5857" s="11">
        <f>L5856+IF(K5857&gt;0,K5857*Summary!$B$9,K5857/Summary!$B$9)</f>
        <v/>
      </c>
      <c r="M5857" s="11">
        <f>G5857+H5857</f>
        <v/>
      </c>
      <c r="N5857" s="11">
        <f>Summary!$C$16*Summary!$B$8</f>
        <v/>
      </c>
      <c r="O5857" s="11">
        <f>M5857-N5857</f>
        <v/>
      </c>
    </row>
    <row r="5858">
      <c r="A5858" s="9" t="n">
        <v>45536</v>
      </c>
      <c r="B5858" t="n">
        <v>9</v>
      </c>
      <c r="C5858" t="n">
        <v>1</v>
      </c>
      <c r="D5858" t="n">
        <v>0</v>
      </c>
      <c r="E5858" s="10" t="n">
        <v>0</v>
      </c>
      <c r="F5858" s="10" t="n">
        <v>0.2539015809363794</v>
      </c>
      <c r="G5858" s="11">
        <f>E5858*Summary!$B$6</f>
        <v/>
      </c>
      <c r="H5858" s="11">
        <f>F5858*Summary!$B$7</f>
        <v/>
      </c>
      <c r="I5858" s="11">
        <f>MAX(0,N5858-M5858)</f>
        <v/>
      </c>
      <c r="J5858" s="11">
        <f>MAX(0,M5858-N5858)</f>
        <v/>
      </c>
      <c r="K5858" s="11">
        <f>O5858</f>
        <v/>
      </c>
      <c r="L5858" s="11">
        <f>L5857+IF(K5858&gt;0,K5858*Summary!$B$9,K5858/Summary!$B$9)</f>
        <v/>
      </c>
      <c r="M5858" s="11">
        <f>G5858+H5858</f>
        <v/>
      </c>
      <c r="N5858" s="11">
        <f>Summary!$C$16*Summary!$B$8</f>
        <v/>
      </c>
      <c r="O5858" s="11">
        <f>M5858-N5858</f>
        <v/>
      </c>
    </row>
    <row r="5859">
      <c r="A5859" s="9" t="n">
        <v>45536.04166666666</v>
      </c>
      <c r="B5859" t="n">
        <v>9</v>
      </c>
      <c r="C5859" t="n">
        <v>1</v>
      </c>
      <c r="D5859" t="n">
        <v>1</v>
      </c>
      <c r="E5859" s="10" t="n">
        <v>0</v>
      </c>
      <c r="F5859" s="10" t="n">
        <v>0.2560887974613114</v>
      </c>
      <c r="G5859" s="11">
        <f>E5859*Summary!$B$6</f>
        <v/>
      </c>
      <c r="H5859" s="11">
        <f>F5859*Summary!$B$7</f>
        <v/>
      </c>
      <c r="I5859" s="11">
        <f>MAX(0,N5859-M5859)</f>
        <v/>
      </c>
      <c r="J5859" s="11">
        <f>MAX(0,M5859-N5859)</f>
        <v/>
      </c>
      <c r="K5859" s="11">
        <f>O5859</f>
        <v/>
      </c>
      <c r="L5859" s="11">
        <f>L5858+IF(K5859&gt;0,K5859*Summary!$B$9,K5859/Summary!$B$9)</f>
        <v/>
      </c>
      <c r="M5859" s="11">
        <f>G5859+H5859</f>
        <v/>
      </c>
      <c r="N5859" s="11">
        <f>Summary!$C$16*Summary!$B$8</f>
        <v/>
      </c>
      <c r="O5859" s="11">
        <f>M5859-N5859</f>
        <v/>
      </c>
    </row>
    <row r="5860">
      <c r="A5860" s="9" t="n">
        <v>45536.08333333334</v>
      </c>
      <c r="B5860" t="n">
        <v>9</v>
      </c>
      <c r="C5860" t="n">
        <v>1</v>
      </c>
      <c r="D5860" t="n">
        <v>2</v>
      </c>
      <c r="E5860" s="10" t="n">
        <v>0</v>
      </c>
      <c r="F5860" s="10" t="n">
        <v>0.2554827013158483</v>
      </c>
      <c r="G5860" s="11">
        <f>E5860*Summary!$B$6</f>
        <v/>
      </c>
      <c r="H5860" s="11">
        <f>F5860*Summary!$B$7</f>
        <v/>
      </c>
      <c r="I5860" s="11">
        <f>MAX(0,N5860-M5860)</f>
        <v/>
      </c>
      <c r="J5860" s="11">
        <f>MAX(0,M5860-N5860)</f>
        <v/>
      </c>
      <c r="K5860" s="11">
        <f>O5860</f>
        <v/>
      </c>
      <c r="L5860" s="11">
        <f>L5859+IF(K5860&gt;0,K5860*Summary!$B$9,K5860/Summary!$B$9)</f>
        <v/>
      </c>
      <c r="M5860" s="11">
        <f>G5860+H5860</f>
        <v/>
      </c>
      <c r="N5860" s="11">
        <f>Summary!$C$16*Summary!$B$8</f>
        <v/>
      </c>
      <c r="O5860" s="11">
        <f>M5860-N5860</f>
        <v/>
      </c>
    </row>
    <row r="5861">
      <c r="A5861" s="9" t="n">
        <v>45536.125</v>
      </c>
      <c r="B5861" t="n">
        <v>9</v>
      </c>
      <c r="C5861" t="n">
        <v>1</v>
      </c>
      <c r="D5861" t="n">
        <v>3</v>
      </c>
      <c r="E5861" s="10" t="n">
        <v>0</v>
      </c>
      <c r="F5861" s="10" t="n">
        <v>0.2574591017901844</v>
      </c>
      <c r="G5861" s="11">
        <f>E5861*Summary!$B$6</f>
        <v/>
      </c>
      <c r="H5861" s="11">
        <f>F5861*Summary!$B$7</f>
        <v/>
      </c>
      <c r="I5861" s="11">
        <f>MAX(0,N5861-M5861)</f>
        <v/>
      </c>
      <c r="J5861" s="11">
        <f>MAX(0,M5861-N5861)</f>
        <v/>
      </c>
      <c r="K5861" s="11">
        <f>O5861</f>
        <v/>
      </c>
      <c r="L5861" s="11">
        <f>L5860+IF(K5861&gt;0,K5861*Summary!$B$9,K5861/Summary!$B$9)</f>
        <v/>
      </c>
      <c r="M5861" s="11">
        <f>G5861+H5861</f>
        <v/>
      </c>
      <c r="N5861" s="11">
        <f>Summary!$C$16*Summary!$B$8</f>
        <v/>
      </c>
      <c r="O5861" s="11">
        <f>M5861-N5861</f>
        <v/>
      </c>
    </row>
    <row r="5862">
      <c r="A5862" s="9" t="n">
        <v>45536.16666666666</v>
      </c>
      <c r="B5862" t="n">
        <v>9</v>
      </c>
      <c r="C5862" t="n">
        <v>1</v>
      </c>
      <c r="D5862" t="n">
        <v>4</v>
      </c>
      <c r="E5862" s="10" t="n">
        <v>0</v>
      </c>
      <c r="F5862" s="10" t="n">
        <v>0.2571428777142906</v>
      </c>
      <c r="G5862" s="11">
        <f>E5862*Summary!$B$6</f>
        <v/>
      </c>
      <c r="H5862" s="11">
        <f>F5862*Summary!$B$7</f>
        <v/>
      </c>
      <c r="I5862" s="11">
        <f>MAX(0,N5862-M5862)</f>
        <v/>
      </c>
      <c r="J5862" s="11">
        <f>MAX(0,M5862-N5862)</f>
        <v/>
      </c>
      <c r="K5862" s="11">
        <f>O5862</f>
        <v/>
      </c>
      <c r="L5862" s="11">
        <f>L5861+IF(K5862&gt;0,K5862*Summary!$B$9,K5862/Summary!$B$9)</f>
        <v/>
      </c>
      <c r="M5862" s="11">
        <f>G5862+H5862</f>
        <v/>
      </c>
      <c r="N5862" s="11">
        <f>Summary!$C$16*Summary!$B$8</f>
        <v/>
      </c>
      <c r="O5862" s="11">
        <f>M5862-N5862</f>
        <v/>
      </c>
    </row>
    <row r="5863">
      <c r="A5863" s="9" t="n">
        <v>45536.20833333334</v>
      </c>
      <c r="B5863" t="n">
        <v>9</v>
      </c>
      <c r="C5863" t="n">
        <v>1</v>
      </c>
      <c r="D5863" t="n">
        <v>5</v>
      </c>
      <c r="E5863" s="10" t="n">
        <v>0</v>
      </c>
      <c r="F5863" s="10" t="n">
        <v>0.2461277390706574</v>
      </c>
      <c r="G5863" s="11">
        <f>E5863*Summary!$B$6</f>
        <v/>
      </c>
      <c r="H5863" s="11">
        <f>F5863*Summary!$B$7</f>
        <v/>
      </c>
      <c r="I5863" s="11">
        <f>MAX(0,N5863-M5863)</f>
        <v/>
      </c>
      <c r="J5863" s="11">
        <f>MAX(0,M5863-N5863)</f>
        <v/>
      </c>
      <c r="K5863" s="11">
        <f>O5863</f>
        <v/>
      </c>
      <c r="L5863" s="11">
        <f>L5862+IF(K5863&gt;0,K5863*Summary!$B$9,K5863/Summary!$B$9)</f>
        <v/>
      </c>
      <c r="M5863" s="11">
        <f>G5863+H5863</f>
        <v/>
      </c>
      <c r="N5863" s="11">
        <f>Summary!$C$16*Summary!$B$8</f>
        <v/>
      </c>
      <c r="O5863" s="11">
        <f>M5863-N5863</f>
        <v/>
      </c>
    </row>
    <row r="5864">
      <c r="A5864" s="9" t="n">
        <v>45536.25</v>
      </c>
      <c r="B5864" t="n">
        <v>9</v>
      </c>
      <c r="C5864" t="n">
        <v>1</v>
      </c>
      <c r="D5864" t="n">
        <v>6</v>
      </c>
      <c r="E5864" s="10" t="n">
        <v>0.023914</v>
      </c>
      <c r="F5864" s="10" t="n">
        <v>0.2257049341691842</v>
      </c>
      <c r="G5864" s="11">
        <f>E5864*Summary!$B$6</f>
        <v/>
      </c>
      <c r="H5864" s="11">
        <f>F5864*Summary!$B$7</f>
        <v/>
      </c>
      <c r="I5864" s="11">
        <f>MAX(0,N5864-M5864)</f>
        <v/>
      </c>
      <c r="J5864" s="11">
        <f>MAX(0,M5864-N5864)</f>
        <v/>
      </c>
      <c r="K5864" s="11">
        <f>O5864</f>
        <v/>
      </c>
      <c r="L5864" s="11">
        <f>L5863+IF(K5864&gt;0,K5864*Summary!$B$9,K5864/Summary!$B$9)</f>
        <v/>
      </c>
      <c r="M5864" s="11">
        <f>G5864+H5864</f>
        <v/>
      </c>
      <c r="N5864" s="11">
        <f>Summary!$C$16*Summary!$B$8</f>
        <v/>
      </c>
      <c r="O5864" s="11">
        <f>M5864-N5864</f>
        <v/>
      </c>
    </row>
    <row r="5865">
      <c r="A5865" s="9" t="n">
        <v>45536.29166666666</v>
      </c>
      <c r="B5865" t="n">
        <v>9</v>
      </c>
      <c r="C5865" t="n">
        <v>1</v>
      </c>
      <c r="D5865" t="n">
        <v>7</v>
      </c>
      <c r="E5865" s="10" t="n">
        <v>0.083868</v>
      </c>
      <c r="F5865" s="10" t="n">
        <v>0.1921588301181192</v>
      </c>
      <c r="G5865" s="11">
        <f>E5865*Summary!$B$6</f>
        <v/>
      </c>
      <c r="H5865" s="11">
        <f>F5865*Summary!$B$7</f>
        <v/>
      </c>
      <c r="I5865" s="11">
        <f>MAX(0,N5865-M5865)</f>
        <v/>
      </c>
      <c r="J5865" s="11">
        <f>MAX(0,M5865-N5865)</f>
        <v/>
      </c>
      <c r="K5865" s="11">
        <f>O5865</f>
        <v/>
      </c>
      <c r="L5865" s="11">
        <f>L5864+IF(K5865&gt;0,K5865*Summary!$B$9,K5865/Summary!$B$9)</f>
        <v/>
      </c>
      <c r="M5865" s="11">
        <f>G5865+H5865</f>
        <v/>
      </c>
      <c r="N5865" s="11">
        <f>Summary!$C$16*Summary!$B$8</f>
        <v/>
      </c>
      <c r="O5865" s="11">
        <f>M5865-N5865</f>
        <v/>
      </c>
    </row>
    <row r="5866">
      <c r="A5866" s="9" t="n">
        <v>45536.33333333334</v>
      </c>
      <c r="B5866" t="n">
        <v>9</v>
      </c>
      <c r="C5866" t="n">
        <v>1</v>
      </c>
      <c r="D5866" t="n">
        <v>8</v>
      </c>
      <c r="E5866" s="10" t="n">
        <v>0.197308</v>
      </c>
      <c r="F5866" s="10" t="n">
        <v>0.1719995452798909</v>
      </c>
      <c r="G5866" s="11">
        <f>E5866*Summary!$B$6</f>
        <v/>
      </c>
      <c r="H5866" s="11">
        <f>F5866*Summary!$B$7</f>
        <v/>
      </c>
      <c r="I5866" s="11">
        <f>MAX(0,N5866-M5866)</f>
        <v/>
      </c>
      <c r="J5866" s="11">
        <f>MAX(0,M5866-N5866)</f>
        <v/>
      </c>
      <c r="K5866" s="11">
        <f>O5866</f>
        <v/>
      </c>
      <c r="L5866" s="11">
        <f>L5865+IF(K5866&gt;0,K5866*Summary!$B$9,K5866/Summary!$B$9)</f>
        <v/>
      </c>
      <c r="M5866" s="11">
        <f>G5866+H5866</f>
        <v/>
      </c>
      <c r="N5866" s="11">
        <f>Summary!$C$16*Summary!$B$8</f>
        <v/>
      </c>
      <c r="O5866" s="11">
        <f>M5866-N5866</f>
        <v/>
      </c>
    </row>
    <row r="5867">
      <c r="A5867" s="9" t="n">
        <v>45536.375</v>
      </c>
      <c r="B5867" t="n">
        <v>9</v>
      </c>
      <c r="C5867" t="n">
        <v>1</v>
      </c>
      <c r="D5867" t="n">
        <v>9</v>
      </c>
      <c r="E5867" s="10" t="n">
        <v>0.23761</v>
      </c>
      <c r="F5867" s="10" t="n">
        <v>0.1639885353572485</v>
      </c>
      <c r="G5867" s="11">
        <f>E5867*Summary!$B$6</f>
        <v/>
      </c>
      <c r="H5867" s="11">
        <f>F5867*Summary!$B$7</f>
        <v/>
      </c>
      <c r="I5867" s="11">
        <f>MAX(0,N5867-M5867)</f>
        <v/>
      </c>
      <c r="J5867" s="11">
        <f>MAX(0,M5867-N5867)</f>
        <v/>
      </c>
      <c r="K5867" s="11">
        <f>O5867</f>
        <v/>
      </c>
      <c r="L5867" s="11">
        <f>L5866+IF(K5867&gt;0,K5867*Summary!$B$9,K5867/Summary!$B$9)</f>
        <v/>
      </c>
      <c r="M5867" s="11">
        <f>G5867+H5867</f>
        <v/>
      </c>
      <c r="N5867" s="11">
        <f>Summary!$C$16*Summary!$B$8</f>
        <v/>
      </c>
      <c r="O5867" s="11">
        <f>M5867-N5867</f>
        <v/>
      </c>
    </row>
    <row r="5868">
      <c r="A5868" s="9" t="n">
        <v>45536.41666666666</v>
      </c>
      <c r="B5868" t="n">
        <v>9</v>
      </c>
      <c r="C5868" t="n">
        <v>1</v>
      </c>
      <c r="D5868" t="n">
        <v>10</v>
      </c>
      <c r="E5868" s="10" t="n">
        <v>0.470718</v>
      </c>
      <c r="F5868" s="10" t="n">
        <v>0.1693906966537672</v>
      </c>
      <c r="G5868" s="11">
        <f>E5868*Summary!$B$6</f>
        <v/>
      </c>
      <c r="H5868" s="11">
        <f>F5868*Summary!$B$7</f>
        <v/>
      </c>
      <c r="I5868" s="11">
        <f>MAX(0,N5868-M5868)</f>
        <v/>
      </c>
      <c r="J5868" s="11">
        <f>MAX(0,M5868-N5868)</f>
        <v/>
      </c>
      <c r="K5868" s="11">
        <f>O5868</f>
        <v/>
      </c>
      <c r="L5868" s="11">
        <f>L5867+IF(K5868&gt;0,K5868*Summary!$B$9,K5868/Summary!$B$9)</f>
        <v/>
      </c>
      <c r="M5868" s="11">
        <f>G5868+H5868</f>
        <v/>
      </c>
      <c r="N5868" s="11">
        <f>Summary!$C$16*Summary!$B$8</f>
        <v/>
      </c>
      <c r="O5868" s="11">
        <f>M5868-N5868</f>
        <v/>
      </c>
    </row>
    <row r="5869">
      <c r="A5869" s="9" t="n">
        <v>45536.45833333334</v>
      </c>
      <c r="B5869" t="n">
        <v>9</v>
      </c>
      <c r="C5869" t="n">
        <v>1</v>
      </c>
      <c r="D5869" t="n">
        <v>11</v>
      </c>
      <c r="E5869" s="10" t="n">
        <v>0.55211</v>
      </c>
      <c r="F5869" s="10" t="n">
        <v>0.1772699465447872</v>
      </c>
      <c r="G5869" s="11">
        <f>E5869*Summary!$B$6</f>
        <v/>
      </c>
      <c r="H5869" s="11">
        <f>F5869*Summary!$B$7</f>
        <v/>
      </c>
      <c r="I5869" s="11">
        <f>MAX(0,N5869-M5869)</f>
        <v/>
      </c>
      <c r="J5869" s="11">
        <f>MAX(0,M5869-N5869)</f>
        <v/>
      </c>
      <c r="K5869" s="11">
        <f>O5869</f>
        <v/>
      </c>
      <c r="L5869" s="11">
        <f>L5868+IF(K5869&gt;0,K5869*Summary!$B$9,K5869/Summary!$B$9)</f>
        <v/>
      </c>
      <c r="M5869" s="11">
        <f>G5869+H5869</f>
        <v/>
      </c>
      <c r="N5869" s="11">
        <f>Summary!$C$16*Summary!$B$8</f>
        <v/>
      </c>
      <c r="O5869" s="11">
        <f>M5869-N5869</f>
        <v/>
      </c>
    </row>
    <row r="5870">
      <c r="A5870" s="9" t="n">
        <v>45536.5</v>
      </c>
      <c r="B5870" t="n">
        <v>9</v>
      </c>
      <c r="C5870" t="n">
        <v>1</v>
      </c>
      <c r="D5870" t="n">
        <v>12</v>
      </c>
      <c r="E5870" s="10" t="n">
        <v>0.632539</v>
      </c>
      <c r="F5870" s="10" t="n">
        <v>0.200354304085033</v>
      </c>
      <c r="G5870" s="11">
        <f>E5870*Summary!$B$6</f>
        <v/>
      </c>
      <c r="H5870" s="11">
        <f>F5870*Summary!$B$7</f>
        <v/>
      </c>
      <c r="I5870" s="11">
        <f>MAX(0,N5870-M5870)</f>
        <v/>
      </c>
      <c r="J5870" s="11">
        <f>MAX(0,M5870-N5870)</f>
        <v/>
      </c>
      <c r="K5870" s="11">
        <f>O5870</f>
        <v/>
      </c>
      <c r="L5870" s="11">
        <f>L5869+IF(K5870&gt;0,K5870*Summary!$B$9,K5870/Summary!$B$9)</f>
        <v/>
      </c>
      <c r="M5870" s="11">
        <f>G5870+H5870</f>
        <v/>
      </c>
      <c r="N5870" s="11">
        <f>Summary!$C$16*Summary!$B$8</f>
        <v/>
      </c>
      <c r="O5870" s="11">
        <f>M5870-N5870</f>
        <v/>
      </c>
    </row>
    <row r="5871">
      <c r="A5871" s="9" t="n">
        <v>45536.54166666666</v>
      </c>
      <c r="B5871" t="n">
        <v>9</v>
      </c>
      <c r="C5871" t="n">
        <v>1</v>
      </c>
      <c r="D5871" t="n">
        <v>13</v>
      </c>
      <c r="E5871" s="10" t="n">
        <v>0.456518</v>
      </c>
      <c r="F5871" s="10" t="n">
        <v>0.1949784947948388</v>
      </c>
      <c r="G5871" s="11">
        <f>E5871*Summary!$B$6</f>
        <v/>
      </c>
      <c r="H5871" s="11">
        <f>F5871*Summary!$B$7</f>
        <v/>
      </c>
      <c r="I5871" s="11">
        <f>MAX(0,N5871-M5871)</f>
        <v/>
      </c>
      <c r="J5871" s="11">
        <f>MAX(0,M5871-N5871)</f>
        <v/>
      </c>
      <c r="K5871" s="11">
        <f>O5871</f>
        <v/>
      </c>
      <c r="L5871" s="11">
        <f>L5870+IF(K5871&gt;0,K5871*Summary!$B$9,K5871/Summary!$B$9)</f>
        <v/>
      </c>
      <c r="M5871" s="11">
        <f>G5871+H5871</f>
        <v/>
      </c>
      <c r="N5871" s="11">
        <f>Summary!$C$16*Summary!$B$8</f>
        <v/>
      </c>
      <c r="O5871" s="11">
        <f>M5871-N5871</f>
        <v/>
      </c>
    </row>
    <row r="5872">
      <c r="A5872" s="9" t="n">
        <v>45536.58333333334</v>
      </c>
      <c r="B5872" t="n">
        <v>9</v>
      </c>
      <c r="C5872" t="n">
        <v>1</v>
      </c>
      <c r="D5872" t="n">
        <v>14</v>
      </c>
      <c r="E5872" s="10" t="n">
        <v>0.494256</v>
      </c>
      <c r="F5872" s="10" t="n">
        <v>0.2014083843380122</v>
      </c>
      <c r="G5872" s="11">
        <f>E5872*Summary!$B$6</f>
        <v/>
      </c>
      <c r="H5872" s="11">
        <f>F5872*Summary!$B$7</f>
        <v/>
      </c>
      <c r="I5872" s="11">
        <f>MAX(0,N5872-M5872)</f>
        <v/>
      </c>
      <c r="J5872" s="11">
        <f>MAX(0,M5872-N5872)</f>
        <v/>
      </c>
      <c r="K5872" s="11">
        <f>O5872</f>
        <v/>
      </c>
      <c r="L5872" s="11">
        <f>L5871+IF(K5872&gt;0,K5872*Summary!$B$9,K5872/Summary!$B$9)</f>
        <v/>
      </c>
      <c r="M5872" s="11">
        <f>G5872+H5872</f>
        <v/>
      </c>
      <c r="N5872" s="11">
        <f>Summary!$C$16*Summary!$B$8</f>
        <v/>
      </c>
      <c r="O5872" s="11">
        <f>M5872-N5872</f>
        <v/>
      </c>
    </row>
    <row r="5873">
      <c r="A5873" s="9" t="n">
        <v>45536.625</v>
      </c>
      <c r="B5873" t="n">
        <v>9</v>
      </c>
      <c r="C5873" t="n">
        <v>1</v>
      </c>
      <c r="D5873" t="n">
        <v>15</v>
      </c>
      <c r="E5873" s="10" t="n">
        <v>0.436855</v>
      </c>
      <c r="F5873" s="10" t="n">
        <v>0.2075747538179409</v>
      </c>
      <c r="G5873" s="11">
        <f>E5873*Summary!$B$6</f>
        <v/>
      </c>
      <c r="H5873" s="11">
        <f>F5873*Summary!$B$7</f>
        <v/>
      </c>
      <c r="I5873" s="11">
        <f>MAX(0,N5873-M5873)</f>
        <v/>
      </c>
      <c r="J5873" s="11">
        <f>MAX(0,M5873-N5873)</f>
        <v/>
      </c>
      <c r="K5873" s="11">
        <f>O5873</f>
        <v/>
      </c>
      <c r="L5873" s="11">
        <f>L5872+IF(K5873&gt;0,K5873*Summary!$B$9,K5873/Summary!$B$9)</f>
        <v/>
      </c>
      <c r="M5873" s="11">
        <f>G5873+H5873</f>
        <v/>
      </c>
      <c r="N5873" s="11">
        <f>Summary!$C$16*Summary!$B$8</f>
        <v/>
      </c>
      <c r="O5873" s="11">
        <f>M5873-N5873</f>
        <v/>
      </c>
    </row>
    <row r="5874">
      <c r="A5874" s="9" t="n">
        <v>45536.66666666666</v>
      </c>
      <c r="B5874" t="n">
        <v>9</v>
      </c>
      <c r="C5874" t="n">
        <v>1</v>
      </c>
      <c r="D5874" t="n">
        <v>16</v>
      </c>
      <c r="E5874" s="10" t="n">
        <v>0.27718</v>
      </c>
      <c r="F5874" s="10" t="n">
        <v>0.2045442730906256</v>
      </c>
      <c r="G5874" s="11">
        <f>E5874*Summary!$B$6</f>
        <v/>
      </c>
      <c r="H5874" s="11">
        <f>F5874*Summary!$B$7</f>
        <v/>
      </c>
      <c r="I5874" s="11">
        <f>MAX(0,N5874-M5874)</f>
        <v/>
      </c>
      <c r="J5874" s="11">
        <f>MAX(0,M5874-N5874)</f>
        <v/>
      </c>
      <c r="K5874" s="11">
        <f>O5874</f>
        <v/>
      </c>
      <c r="L5874" s="11">
        <f>L5873+IF(K5874&gt;0,K5874*Summary!$B$9,K5874/Summary!$B$9)</f>
        <v/>
      </c>
      <c r="M5874" s="11">
        <f>G5874+H5874</f>
        <v/>
      </c>
      <c r="N5874" s="11">
        <f>Summary!$C$16*Summary!$B$8</f>
        <v/>
      </c>
      <c r="O5874" s="11">
        <f>M5874-N5874</f>
        <v/>
      </c>
    </row>
    <row r="5875">
      <c r="A5875" s="9" t="n">
        <v>45536.70833333334</v>
      </c>
      <c r="B5875" t="n">
        <v>9</v>
      </c>
      <c r="C5875" t="n">
        <v>1</v>
      </c>
      <c r="D5875" t="n">
        <v>17</v>
      </c>
      <c r="E5875" s="10" t="n">
        <v>0.082301</v>
      </c>
      <c r="F5875" s="10" t="n">
        <v>0.2044915690779766</v>
      </c>
      <c r="G5875" s="11">
        <f>E5875*Summary!$B$6</f>
        <v/>
      </c>
      <c r="H5875" s="11">
        <f>F5875*Summary!$B$7</f>
        <v/>
      </c>
      <c r="I5875" s="11">
        <f>MAX(0,N5875-M5875)</f>
        <v/>
      </c>
      <c r="J5875" s="11">
        <f>MAX(0,M5875-N5875)</f>
        <v/>
      </c>
      <c r="K5875" s="11">
        <f>O5875</f>
        <v/>
      </c>
      <c r="L5875" s="11">
        <f>L5874+IF(K5875&gt;0,K5875*Summary!$B$9,K5875/Summary!$B$9)</f>
        <v/>
      </c>
      <c r="M5875" s="11">
        <f>G5875+H5875</f>
        <v/>
      </c>
      <c r="N5875" s="11">
        <f>Summary!$C$16*Summary!$B$8</f>
        <v/>
      </c>
      <c r="O5875" s="11">
        <f>M5875-N5875</f>
        <v/>
      </c>
    </row>
    <row r="5876">
      <c r="A5876" s="9" t="n">
        <v>45536.75</v>
      </c>
      <c r="B5876" t="n">
        <v>9</v>
      </c>
      <c r="C5876" t="n">
        <v>1</v>
      </c>
      <c r="D5876" t="n">
        <v>18</v>
      </c>
      <c r="E5876" s="10" t="n">
        <v>0.015863</v>
      </c>
      <c r="F5876" s="10" t="n">
        <v>0.2106315865515808</v>
      </c>
      <c r="G5876" s="11">
        <f>E5876*Summary!$B$6</f>
        <v/>
      </c>
      <c r="H5876" s="11">
        <f>F5876*Summary!$B$7</f>
        <v/>
      </c>
      <c r="I5876" s="11">
        <f>MAX(0,N5876-M5876)</f>
        <v/>
      </c>
      <c r="J5876" s="11">
        <f>MAX(0,M5876-N5876)</f>
        <v/>
      </c>
      <c r="K5876" s="11">
        <f>O5876</f>
        <v/>
      </c>
      <c r="L5876" s="11">
        <f>L5875+IF(K5876&gt;0,K5876*Summary!$B$9,K5876/Summary!$B$9)</f>
        <v/>
      </c>
      <c r="M5876" s="11">
        <f>G5876+H5876</f>
        <v/>
      </c>
      <c r="N5876" s="11">
        <f>Summary!$C$16*Summary!$B$8</f>
        <v/>
      </c>
      <c r="O5876" s="11">
        <f>M5876-N5876</f>
        <v/>
      </c>
    </row>
    <row r="5877">
      <c r="A5877" s="9" t="n">
        <v>45536.79166666666</v>
      </c>
      <c r="B5877" t="n">
        <v>9</v>
      </c>
      <c r="C5877" t="n">
        <v>1</v>
      </c>
      <c r="D5877" t="n">
        <v>19</v>
      </c>
      <c r="E5877" s="10" t="n">
        <v>0</v>
      </c>
      <c r="F5877" s="10" t="n">
        <v>0.231713191611166</v>
      </c>
      <c r="G5877" s="11">
        <f>E5877*Summary!$B$6</f>
        <v/>
      </c>
      <c r="H5877" s="11">
        <f>F5877*Summary!$B$7</f>
        <v/>
      </c>
      <c r="I5877" s="11">
        <f>MAX(0,N5877-M5877)</f>
        <v/>
      </c>
      <c r="J5877" s="11">
        <f>MAX(0,M5877-N5877)</f>
        <v/>
      </c>
      <c r="K5877" s="11">
        <f>O5877</f>
        <v/>
      </c>
      <c r="L5877" s="11">
        <f>L5876+IF(K5877&gt;0,K5877*Summary!$B$9,K5877/Summary!$B$9)</f>
        <v/>
      </c>
      <c r="M5877" s="11">
        <f>G5877+H5877</f>
        <v/>
      </c>
      <c r="N5877" s="11">
        <f>Summary!$C$16*Summary!$B$8</f>
        <v/>
      </c>
      <c r="O5877" s="11">
        <f>M5877-N5877</f>
        <v/>
      </c>
    </row>
    <row r="5878">
      <c r="A5878" s="9" t="n">
        <v>45536.83333333334</v>
      </c>
      <c r="B5878" t="n">
        <v>9</v>
      </c>
      <c r="C5878" t="n">
        <v>1</v>
      </c>
      <c r="D5878" t="n">
        <v>20</v>
      </c>
      <c r="E5878" s="10" t="n">
        <v>0</v>
      </c>
      <c r="F5878" s="10" t="n">
        <v>0.2479460275070466</v>
      </c>
      <c r="G5878" s="11">
        <f>E5878*Summary!$B$6</f>
        <v/>
      </c>
      <c r="H5878" s="11">
        <f>F5878*Summary!$B$7</f>
        <v/>
      </c>
      <c r="I5878" s="11">
        <f>MAX(0,N5878-M5878)</f>
        <v/>
      </c>
      <c r="J5878" s="11">
        <f>MAX(0,M5878-N5878)</f>
        <v/>
      </c>
      <c r="K5878" s="11">
        <f>O5878</f>
        <v/>
      </c>
      <c r="L5878" s="11">
        <f>L5877+IF(K5878&gt;0,K5878*Summary!$B$9,K5878/Summary!$B$9)</f>
        <v/>
      </c>
      <c r="M5878" s="11">
        <f>G5878+H5878</f>
        <v/>
      </c>
      <c r="N5878" s="11">
        <f>Summary!$C$16*Summary!$B$8</f>
        <v/>
      </c>
      <c r="O5878" s="11">
        <f>M5878-N5878</f>
        <v/>
      </c>
    </row>
    <row r="5879">
      <c r="A5879" s="9" t="n">
        <v>45536.875</v>
      </c>
      <c r="B5879" t="n">
        <v>9</v>
      </c>
      <c r="C5879" t="n">
        <v>1</v>
      </c>
      <c r="D5879" t="n">
        <v>21</v>
      </c>
      <c r="E5879" s="10" t="n">
        <v>0</v>
      </c>
      <c r="F5879" s="10" t="n">
        <v>0.2617808308273994</v>
      </c>
      <c r="G5879" s="11">
        <f>E5879*Summary!$B$6</f>
        <v/>
      </c>
      <c r="H5879" s="11">
        <f>F5879*Summary!$B$7</f>
        <v/>
      </c>
      <c r="I5879" s="11">
        <f>MAX(0,N5879-M5879)</f>
        <v/>
      </c>
      <c r="J5879" s="11">
        <f>MAX(0,M5879-N5879)</f>
        <v/>
      </c>
      <c r="K5879" s="11">
        <f>O5879</f>
        <v/>
      </c>
      <c r="L5879" s="11">
        <f>L5878+IF(K5879&gt;0,K5879*Summary!$B$9,K5879/Summary!$B$9)</f>
        <v/>
      </c>
      <c r="M5879" s="11">
        <f>G5879+H5879</f>
        <v/>
      </c>
      <c r="N5879" s="11">
        <f>Summary!$C$16*Summary!$B$8</f>
        <v/>
      </c>
      <c r="O5879" s="11">
        <f>M5879-N5879</f>
        <v/>
      </c>
    </row>
    <row r="5880">
      <c r="A5880" s="9" t="n">
        <v>45536.91666666666</v>
      </c>
      <c r="B5880" t="n">
        <v>9</v>
      </c>
      <c r="C5880" t="n">
        <v>1</v>
      </c>
      <c r="D5880" t="n">
        <v>22</v>
      </c>
      <c r="E5880" s="10" t="n">
        <v>0</v>
      </c>
      <c r="F5880" s="10" t="n">
        <v>0.2657072797697471</v>
      </c>
      <c r="G5880" s="11">
        <f>E5880*Summary!$B$6</f>
        <v/>
      </c>
      <c r="H5880" s="11">
        <f>F5880*Summary!$B$7</f>
        <v/>
      </c>
      <c r="I5880" s="11">
        <f>MAX(0,N5880-M5880)</f>
        <v/>
      </c>
      <c r="J5880" s="11">
        <f>MAX(0,M5880-N5880)</f>
        <v/>
      </c>
      <c r="K5880" s="11">
        <f>O5880</f>
        <v/>
      </c>
      <c r="L5880" s="11">
        <f>L5879+IF(K5880&gt;0,K5880*Summary!$B$9,K5880/Summary!$B$9)</f>
        <v/>
      </c>
      <c r="M5880" s="11">
        <f>G5880+H5880</f>
        <v/>
      </c>
      <c r="N5880" s="11">
        <f>Summary!$C$16*Summary!$B$8</f>
        <v/>
      </c>
      <c r="O5880" s="11">
        <f>M5880-N5880</f>
        <v/>
      </c>
    </row>
    <row r="5881">
      <c r="A5881" s="9" t="n">
        <v>45536.95833333334</v>
      </c>
      <c r="B5881" t="n">
        <v>9</v>
      </c>
      <c r="C5881" t="n">
        <v>1</v>
      </c>
      <c r="D5881" t="n">
        <v>23</v>
      </c>
      <c r="E5881" s="10" t="n">
        <v>0</v>
      </c>
      <c r="F5881" s="10" t="n">
        <v>0.263836287320709</v>
      </c>
      <c r="G5881" s="11">
        <f>E5881*Summary!$B$6</f>
        <v/>
      </c>
      <c r="H5881" s="11">
        <f>F5881*Summary!$B$7</f>
        <v/>
      </c>
      <c r="I5881" s="11">
        <f>MAX(0,N5881-M5881)</f>
        <v/>
      </c>
      <c r="J5881" s="11">
        <f>MAX(0,M5881-N5881)</f>
        <v/>
      </c>
      <c r="K5881" s="11">
        <f>O5881</f>
        <v/>
      </c>
      <c r="L5881" s="11">
        <f>L5880+IF(K5881&gt;0,K5881*Summary!$B$9,K5881/Summary!$B$9)</f>
        <v/>
      </c>
      <c r="M5881" s="11">
        <f>G5881+H5881</f>
        <v/>
      </c>
      <c r="N5881" s="11">
        <f>Summary!$C$16*Summary!$B$8</f>
        <v/>
      </c>
      <c r="O5881" s="11">
        <f>M5881-N5881</f>
        <v/>
      </c>
    </row>
    <row r="5882">
      <c r="A5882" s="9" t="n">
        <v>45537</v>
      </c>
      <c r="B5882" t="n">
        <v>9</v>
      </c>
      <c r="C5882" t="n">
        <v>2</v>
      </c>
      <c r="D5882" t="n">
        <v>0</v>
      </c>
      <c r="E5882" s="10" t="n">
        <v>0</v>
      </c>
      <c r="F5882" s="10" t="n">
        <v>0.1967177272122545</v>
      </c>
      <c r="G5882" s="11">
        <f>E5882*Summary!$B$6</f>
        <v/>
      </c>
      <c r="H5882" s="11">
        <f>F5882*Summary!$B$7</f>
        <v/>
      </c>
      <c r="I5882" s="11">
        <f>MAX(0,N5882-M5882)</f>
        <v/>
      </c>
      <c r="J5882" s="11">
        <f>MAX(0,M5882-N5882)</f>
        <v/>
      </c>
      <c r="K5882" s="11">
        <f>O5882</f>
        <v/>
      </c>
      <c r="L5882" s="11">
        <f>L5881+IF(K5882&gt;0,K5882*Summary!$B$9,K5882/Summary!$B$9)</f>
        <v/>
      </c>
      <c r="M5882" s="11">
        <f>G5882+H5882</f>
        <v/>
      </c>
      <c r="N5882" s="11">
        <f>Summary!$C$16*Summary!$B$8</f>
        <v/>
      </c>
      <c r="O5882" s="11">
        <f>M5882-N5882</f>
        <v/>
      </c>
    </row>
    <row r="5883">
      <c r="A5883" s="9" t="n">
        <v>45537.04166666666</v>
      </c>
      <c r="B5883" t="n">
        <v>9</v>
      </c>
      <c r="C5883" t="n">
        <v>2</v>
      </c>
      <c r="D5883" t="n">
        <v>1</v>
      </c>
      <c r="E5883" s="10" t="n">
        <v>0</v>
      </c>
      <c r="F5883" s="10" t="n">
        <v>0.2428337382800972</v>
      </c>
      <c r="G5883" s="11">
        <f>E5883*Summary!$B$6</f>
        <v/>
      </c>
      <c r="H5883" s="11">
        <f>F5883*Summary!$B$7</f>
        <v/>
      </c>
      <c r="I5883" s="11">
        <f>MAX(0,N5883-M5883)</f>
        <v/>
      </c>
      <c r="J5883" s="11">
        <f>MAX(0,M5883-N5883)</f>
        <v/>
      </c>
      <c r="K5883" s="11">
        <f>O5883</f>
        <v/>
      </c>
      <c r="L5883" s="11">
        <f>L5882+IF(K5883&gt;0,K5883*Summary!$B$9,K5883/Summary!$B$9)</f>
        <v/>
      </c>
      <c r="M5883" s="11">
        <f>G5883+H5883</f>
        <v/>
      </c>
      <c r="N5883" s="11">
        <f>Summary!$C$16*Summary!$B$8</f>
        <v/>
      </c>
      <c r="O5883" s="11">
        <f>M5883-N5883</f>
        <v/>
      </c>
    </row>
    <row r="5884">
      <c r="A5884" s="9" t="n">
        <v>45537.08333333334</v>
      </c>
      <c r="B5884" t="n">
        <v>9</v>
      </c>
      <c r="C5884" t="n">
        <v>2</v>
      </c>
      <c r="D5884" t="n">
        <v>2</v>
      </c>
      <c r="E5884" s="10" t="n">
        <v>0</v>
      </c>
      <c r="F5884" s="10" t="n">
        <v>0.2315814315795436</v>
      </c>
      <c r="G5884" s="11">
        <f>E5884*Summary!$B$6</f>
        <v/>
      </c>
      <c r="H5884" s="11">
        <f>F5884*Summary!$B$7</f>
        <v/>
      </c>
      <c r="I5884" s="11">
        <f>MAX(0,N5884-M5884)</f>
        <v/>
      </c>
      <c r="J5884" s="11">
        <f>MAX(0,M5884-N5884)</f>
        <v/>
      </c>
      <c r="K5884" s="11">
        <f>O5884</f>
        <v/>
      </c>
      <c r="L5884" s="11">
        <f>L5883+IF(K5884&gt;0,K5884*Summary!$B$9,K5884/Summary!$B$9)</f>
        <v/>
      </c>
      <c r="M5884" s="11">
        <f>G5884+H5884</f>
        <v/>
      </c>
      <c r="N5884" s="11">
        <f>Summary!$C$16*Summary!$B$8</f>
        <v/>
      </c>
      <c r="O5884" s="11">
        <f>M5884-N5884</f>
        <v/>
      </c>
    </row>
    <row r="5885">
      <c r="A5885" s="9" t="n">
        <v>45537.125</v>
      </c>
      <c r="B5885" t="n">
        <v>9</v>
      </c>
      <c r="C5885" t="n">
        <v>2</v>
      </c>
      <c r="D5885" t="n">
        <v>3</v>
      </c>
      <c r="E5885" s="10" t="n">
        <v>0</v>
      </c>
      <c r="F5885" s="10" t="n">
        <v>0.2372471129393071</v>
      </c>
      <c r="G5885" s="11">
        <f>E5885*Summary!$B$6</f>
        <v/>
      </c>
      <c r="H5885" s="11">
        <f>F5885*Summary!$B$7</f>
        <v/>
      </c>
      <c r="I5885" s="11">
        <f>MAX(0,N5885-M5885)</f>
        <v/>
      </c>
      <c r="J5885" s="11">
        <f>MAX(0,M5885-N5885)</f>
        <v/>
      </c>
      <c r="K5885" s="11">
        <f>O5885</f>
        <v/>
      </c>
      <c r="L5885" s="11">
        <f>L5884+IF(K5885&gt;0,K5885*Summary!$B$9,K5885/Summary!$B$9)</f>
        <v/>
      </c>
      <c r="M5885" s="11">
        <f>G5885+H5885</f>
        <v/>
      </c>
      <c r="N5885" s="11">
        <f>Summary!$C$16*Summary!$B$8</f>
        <v/>
      </c>
      <c r="O5885" s="11">
        <f>M5885-N5885</f>
        <v/>
      </c>
    </row>
    <row r="5886">
      <c r="A5886" s="9" t="n">
        <v>45537.16666666666</v>
      </c>
      <c r="B5886" t="n">
        <v>9</v>
      </c>
      <c r="C5886" t="n">
        <v>2</v>
      </c>
      <c r="D5886" t="n">
        <v>4</v>
      </c>
      <c r="E5886" s="10" t="n">
        <v>0</v>
      </c>
      <c r="F5886" s="10" t="n">
        <v>0.2121600029184007</v>
      </c>
      <c r="G5886" s="11">
        <f>E5886*Summary!$B$6</f>
        <v/>
      </c>
      <c r="H5886" s="11">
        <f>F5886*Summary!$B$7</f>
        <v/>
      </c>
      <c r="I5886" s="11">
        <f>MAX(0,N5886-M5886)</f>
        <v/>
      </c>
      <c r="J5886" s="11">
        <f>MAX(0,M5886-N5886)</f>
        <v/>
      </c>
      <c r="K5886" s="11">
        <f>O5886</f>
        <v/>
      </c>
      <c r="L5886" s="11">
        <f>L5885+IF(K5886&gt;0,K5886*Summary!$B$9,K5886/Summary!$B$9)</f>
        <v/>
      </c>
      <c r="M5886" s="11">
        <f>G5886+H5886</f>
        <v/>
      </c>
      <c r="N5886" s="11">
        <f>Summary!$C$16*Summary!$B$8</f>
        <v/>
      </c>
      <c r="O5886" s="11">
        <f>M5886-N5886</f>
        <v/>
      </c>
    </row>
    <row r="5887">
      <c r="A5887" s="9" t="n">
        <v>45537.20833333334</v>
      </c>
      <c r="B5887" t="n">
        <v>9</v>
      </c>
      <c r="C5887" t="n">
        <v>2</v>
      </c>
      <c r="D5887" t="n">
        <v>5</v>
      </c>
      <c r="E5887" s="10" t="n">
        <v>0.002002</v>
      </c>
      <c r="F5887" s="10" t="n">
        <v>0.2030949127427791</v>
      </c>
      <c r="G5887" s="11">
        <f>E5887*Summary!$B$6</f>
        <v/>
      </c>
      <c r="H5887" s="11">
        <f>F5887*Summary!$B$7</f>
        <v/>
      </c>
      <c r="I5887" s="11">
        <f>MAX(0,N5887-M5887)</f>
        <v/>
      </c>
      <c r="J5887" s="11">
        <f>MAX(0,M5887-N5887)</f>
        <v/>
      </c>
      <c r="K5887" s="11">
        <f>O5887</f>
        <v/>
      </c>
      <c r="L5887" s="11">
        <f>L5886+IF(K5887&gt;0,K5887*Summary!$B$9,K5887/Summary!$B$9)</f>
        <v/>
      </c>
      <c r="M5887" s="11">
        <f>G5887+H5887</f>
        <v/>
      </c>
      <c r="N5887" s="11">
        <f>Summary!$C$16*Summary!$B$8</f>
        <v/>
      </c>
      <c r="O5887" s="11">
        <f>M5887-N5887</f>
        <v/>
      </c>
    </row>
    <row r="5888">
      <c r="A5888" s="9" t="n">
        <v>45537.25</v>
      </c>
      <c r="B5888" t="n">
        <v>9</v>
      </c>
      <c r="C5888" t="n">
        <v>2</v>
      </c>
      <c r="D5888" t="n">
        <v>6</v>
      </c>
      <c r="E5888" s="10" t="n">
        <v>0.048502</v>
      </c>
      <c r="F5888" s="10" t="n">
        <v>0.1881006211441491</v>
      </c>
      <c r="G5888" s="11">
        <f>E5888*Summary!$B$6</f>
        <v/>
      </c>
      <c r="H5888" s="11">
        <f>F5888*Summary!$B$7</f>
        <v/>
      </c>
      <c r="I5888" s="11">
        <f>MAX(0,N5888-M5888)</f>
        <v/>
      </c>
      <c r="J5888" s="11">
        <f>MAX(0,M5888-N5888)</f>
        <v/>
      </c>
      <c r="K5888" s="11">
        <f>O5888</f>
        <v/>
      </c>
      <c r="L5888" s="11">
        <f>L5887+IF(K5888&gt;0,K5888*Summary!$B$9,K5888/Summary!$B$9)</f>
        <v/>
      </c>
      <c r="M5888" s="11">
        <f>G5888+H5888</f>
        <v/>
      </c>
      <c r="N5888" s="11">
        <f>Summary!$C$16*Summary!$B$8</f>
        <v/>
      </c>
      <c r="O5888" s="11">
        <f>M5888-N5888</f>
        <v/>
      </c>
    </row>
    <row r="5889">
      <c r="A5889" s="9" t="n">
        <v>45537.29166666666</v>
      </c>
      <c r="B5889" t="n">
        <v>9</v>
      </c>
      <c r="C5889" t="n">
        <v>2</v>
      </c>
      <c r="D5889" t="n">
        <v>7</v>
      </c>
      <c r="E5889" s="10" t="n">
        <v>0.206844</v>
      </c>
      <c r="F5889" s="10" t="n">
        <v>0.1666237359896967</v>
      </c>
      <c r="G5889" s="11">
        <f>E5889*Summary!$B$6</f>
        <v/>
      </c>
      <c r="H5889" s="11">
        <f>F5889*Summary!$B$7</f>
        <v/>
      </c>
      <c r="I5889" s="11">
        <f>MAX(0,N5889-M5889)</f>
        <v/>
      </c>
      <c r="J5889" s="11">
        <f>MAX(0,M5889-N5889)</f>
        <v/>
      </c>
      <c r="K5889" s="11">
        <f>O5889</f>
        <v/>
      </c>
      <c r="L5889" s="11">
        <f>L5888+IF(K5889&gt;0,K5889*Summary!$B$9,K5889/Summary!$B$9)</f>
        <v/>
      </c>
      <c r="M5889" s="11">
        <f>G5889+H5889</f>
        <v/>
      </c>
      <c r="N5889" s="11">
        <f>Summary!$C$16*Summary!$B$8</f>
        <v/>
      </c>
      <c r="O5889" s="11">
        <f>M5889-N5889</f>
        <v/>
      </c>
    </row>
    <row r="5890">
      <c r="A5890" s="9" t="n">
        <v>45537.33333333334</v>
      </c>
      <c r="B5890" t="n">
        <v>9</v>
      </c>
      <c r="C5890" t="n">
        <v>2</v>
      </c>
      <c r="D5890" t="n">
        <v>8</v>
      </c>
      <c r="E5890" s="10" t="n">
        <v>0.282725</v>
      </c>
      <c r="F5890" s="10" t="n">
        <v>0.1527098766503704</v>
      </c>
      <c r="G5890" s="11">
        <f>E5890*Summary!$B$6</f>
        <v/>
      </c>
      <c r="H5890" s="11">
        <f>F5890*Summary!$B$7</f>
        <v/>
      </c>
      <c r="I5890" s="11">
        <f>MAX(0,N5890-M5890)</f>
        <v/>
      </c>
      <c r="J5890" s="11">
        <f>MAX(0,M5890-N5890)</f>
        <v/>
      </c>
      <c r="K5890" s="11">
        <f>O5890</f>
        <v/>
      </c>
      <c r="L5890" s="11">
        <f>L5889+IF(K5890&gt;0,K5890*Summary!$B$9,K5890/Summary!$B$9)</f>
        <v/>
      </c>
      <c r="M5890" s="11">
        <f>G5890+H5890</f>
        <v/>
      </c>
      <c r="N5890" s="11">
        <f>Summary!$C$16*Summary!$B$8</f>
        <v/>
      </c>
      <c r="O5890" s="11">
        <f>M5890-N5890</f>
        <v/>
      </c>
    </row>
    <row r="5891">
      <c r="A5891" s="9" t="n">
        <v>45537.375</v>
      </c>
      <c r="B5891" t="n">
        <v>9</v>
      </c>
      <c r="C5891" t="n">
        <v>2</v>
      </c>
      <c r="D5891" t="n">
        <v>9</v>
      </c>
      <c r="E5891" s="10" t="n">
        <v>0.266971</v>
      </c>
      <c r="F5891" s="10" t="n">
        <v>0.1487834277080226</v>
      </c>
      <c r="G5891" s="11">
        <f>E5891*Summary!$B$6</f>
        <v/>
      </c>
      <c r="H5891" s="11">
        <f>F5891*Summary!$B$7</f>
        <v/>
      </c>
      <c r="I5891" s="11">
        <f>MAX(0,N5891-M5891)</f>
        <v/>
      </c>
      <c r="J5891" s="11">
        <f>MAX(0,M5891-N5891)</f>
        <v/>
      </c>
      <c r="K5891" s="11">
        <f>O5891</f>
        <v/>
      </c>
      <c r="L5891" s="11">
        <f>L5890+IF(K5891&gt;0,K5891*Summary!$B$9,K5891/Summary!$B$9)</f>
        <v/>
      </c>
      <c r="M5891" s="11">
        <f>G5891+H5891</f>
        <v/>
      </c>
      <c r="N5891" s="11">
        <f>Summary!$C$16*Summary!$B$8</f>
        <v/>
      </c>
      <c r="O5891" s="11">
        <f>M5891-N5891</f>
        <v/>
      </c>
    </row>
    <row r="5892">
      <c r="A5892" s="9" t="n">
        <v>45537.41666666666</v>
      </c>
      <c r="B5892" t="n">
        <v>9</v>
      </c>
      <c r="C5892" t="n">
        <v>2</v>
      </c>
      <c r="D5892" t="n">
        <v>10</v>
      </c>
      <c r="E5892" s="10" t="n">
        <v>0.246067</v>
      </c>
      <c r="F5892" s="10" t="n">
        <v>0.1630925671422161</v>
      </c>
      <c r="G5892" s="11">
        <f>E5892*Summary!$B$6</f>
        <v/>
      </c>
      <c r="H5892" s="11">
        <f>F5892*Summary!$B$7</f>
        <v/>
      </c>
      <c r="I5892" s="11">
        <f>MAX(0,N5892-M5892)</f>
        <v/>
      </c>
      <c r="J5892" s="11">
        <f>MAX(0,M5892-N5892)</f>
        <v/>
      </c>
      <c r="K5892" s="11">
        <f>O5892</f>
        <v/>
      </c>
      <c r="L5892" s="11">
        <f>L5891+IF(K5892&gt;0,K5892*Summary!$B$9,K5892/Summary!$B$9)</f>
        <v/>
      </c>
      <c r="M5892" s="11">
        <f>G5892+H5892</f>
        <v/>
      </c>
      <c r="N5892" s="11">
        <f>Summary!$C$16*Summary!$B$8</f>
        <v/>
      </c>
      <c r="O5892" s="11">
        <f>M5892-N5892</f>
        <v/>
      </c>
    </row>
    <row r="5893">
      <c r="A5893" s="9" t="n">
        <v>45537.45833333334</v>
      </c>
      <c r="B5893" t="n">
        <v>9</v>
      </c>
      <c r="C5893" t="n">
        <v>2</v>
      </c>
      <c r="D5893" t="n">
        <v>11</v>
      </c>
      <c r="E5893" s="10" t="n">
        <v>0.221566</v>
      </c>
      <c r="F5893" s="10" t="n">
        <v>0.1569261976622874</v>
      </c>
      <c r="G5893" s="11">
        <f>E5893*Summary!$B$6</f>
        <v/>
      </c>
      <c r="H5893" s="11">
        <f>F5893*Summary!$B$7</f>
        <v/>
      </c>
      <c r="I5893" s="11">
        <f>MAX(0,N5893-M5893)</f>
        <v/>
      </c>
      <c r="J5893" s="11">
        <f>MAX(0,M5893-N5893)</f>
        <v/>
      </c>
      <c r="K5893" s="11">
        <f>O5893</f>
        <v/>
      </c>
      <c r="L5893" s="11">
        <f>L5892+IF(K5893&gt;0,K5893*Summary!$B$9,K5893/Summary!$B$9)</f>
        <v/>
      </c>
      <c r="M5893" s="11">
        <f>G5893+H5893</f>
        <v/>
      </c>
      <c r="N5893" s="11">
        <f>Summary!$C$16*Summary!$B$8</f>
        <v/>
      </c>
      <c r="O5893" s="11">
        <f>M5893-N5893</f>
        <v/>
      </c>
    </row>
    <row r="5894">
      <c r="A5894" s="9" t="n">
        <v>45537.5</v>
      </c>
      <c r="B5894" t="n">
        <v>9</v>
      </c>
      <c r="C5894" t="n">
        <v>2</v>
      </c>
      <c r="D5894" t="n">
        <v>12</v>
      </c>
      <c r="E5894" s="10" t="n">
        <v>0.124605</v>
      </c>
      <c r="F5894" s="10" t="n">
        <v>0.1656750637620153</v>
      </c>
      <c r="G5894" s="11">
        <f>E5894*Summary!$B$6</f>
        <v/>
      </c>
      <c r="H5894" s="11">
        <f>F5894*Summary!$B$7</f>
        <v/>
      </c>
      <c r="I5894" s="11">
        <f>MAX(0,N5894-M5894)</f>
        <v/>
      </c>
      <c r="J5894" s="11">
        <f>MAX(0,M5894-N5894)</f>
        <v/>
      </c>
      <c r="K5894" s="11">
        <f>O5894</f>
        <v/>
      </c>
      <c r="L5894" s="11">
        <f>L5893+IF(K5894&gt;0,K5894*Summary!$B$9,K5894/Summary!$B$9)</f>
        <v/>
      </c>
      <c r="M5894" s="11">
        <f>G5894+H5894</f>
        <v/>
      </c>
      <c r="N5894" s="11">
        <f>Summary!$C$16*Summary!$B$8</f>
        <v/>
      </c>
      <c r="O5894" s="11">
        <f>M5894-N5894</f>
        <v/>
      </c>
    </row>
    <row r="5895">
      <c r="A5895" s="9" t="n">
        <v>45537.54166666666</v>
      </c>
      <c r="B5895" t="n">
        <v>9</v>
      </c>
      <c r="C5895" t="n">
        <v>2</v>
      </c>
      <c r="D5895" t="n">
        <v>13</v>
      </c>
      <c r="E5895" s="10" t="n">
        <v>0.055698</v>
      </c>
      <c r="F5895" s="10" t="n">
        <v>0.1707346489763157</v>
      </c>
      <c r="G5895" s="11">
        <f>E5895*Summary!$B$6</f>
        <v/>
      </c>
      <c r="H5895" s="11">
        <f>F5895*Summary!$B$7</f>
        <v/>
      </c>
      <c r="I5895" s="11">
        <f>MAX(0,N5895-M5895)</f>
        <v/>
      </c>
      <c r="J5895" s="11">
        <f>MAX(0,M5895-N5895)</f>
        <v/>
      </c>
      <c r="K5895" s="11">
        <f>O5895</f>
        <v/>
      </c>
      <c r="L5895" s="11">
        <f>L5894+IF(K5895&gt;0,K5895*Summary!$B$9,K5895/Summary!$B$9)</f>
        <v/>
      </c>
      <c r="M5895" s="11">
        <f>G5895+H5895</f>
        <v/>
      </c>
      <c r="N5895" s="11">
        <f>Summary!$C$16*Summary!$B$8</f>
        <v/>
      </c>
      <c r="O5895" s="11">
        <f>M5895-N5895</f>
        <v/>
      </c>
    </row>
    <row r="5896">
      <c r="A5896" s="9" t="n">
        <v>45537.58333333334</v>
      </c>
      <c r="B5896" t="n">
        <v>9</v>
      </c>
      <c r="C5896" t="n">
        <v>2</v>
      </c>
      <c r="D5896" t="n">
        <v>14</v>
      </c>
      <c r="E5896" s="10" t="n">
        <v>0.056619</v>
      </c>
      <c r="F5896" s="10" t="n">
        <v>0.1755307141273714</v>
      </c>
      <c r="G5896" s="11">
        <f>E5896*Summary!$B$6</f>
        <v/>
      </c>
      <c r="H5896" s="11">
        <f>F5896*Summary!$B$7</f>
        <v/>
      </c>
      <c r="I5896" s="11">
        <f>MAX(0,N5896-M5896)</f>
        <v/>
      </c>
      <c r="J5896" s="11">
        <f>MAX(0,M5896-N5896)</f>
        <v/>
      </c>
      <c r="K5896" s="11">
        <f>O5896</f>
        <v/>
      </c>
      <c r="L5896" s="11">
        <f>L5895+IF(K5896&gt;0,K5896*Summary!$B$9,K5896/Summary!$B$9)</f>
        <v/>
      </c>
      <c r="M5896" s="11">
        <f>G5896+H5896</f>
        <v/>
      </c>
      <c r="N5896" s="11">
        <f>Summary!$C$16*Summary!$B$8</f>
        <v/>
      </c>
      <c r="O5896" s="11">
        <f>M5896-N5896</f>
        <v/>
      </c>
    </row>
    <row r="5897">
      <c r="A5897" s="9" t="n">
        <v>45537.625</v>
      </c>
      <c r="B5897" t="n">
        <v>9</v>
      </c>
      <c r="C5897" t="n">
        <v>2</v>
      </c>
      <c r="D5897" t="n">
        <v>15</v>
      </c>
      <c r="E5897" s="10" t="n">
        <v>0.047199</v>
      </c>
      <c r="F5897" s="10" t="n">
        <v>0.1751090820261797</v>
      </c>
      <c r="G5897" s="11">
        <f>E5897*Summary!$B$6</f>
        <v/>
      </c>
      <c r="H5897" s="11">
        <f>F5897*Summary!$B$7</f>
        <v/>
      </c>
      <c r="I5897" s="11">
        <f>MAX(0,N5897-M5897)</f>
        <v/>
      </c>
      <c r="J5897" s="11">
        <f>MAX(0,M5897-N5897)</f>
        <v/>
      </c>
      <c r="K5897" s="11">
        <f>O5897</f>
        <v/>
      </c>
      <c r="L5897" s="11">
        <f>L5896+IF(K5897&gt;0,K5897*Summary!$B$9,K5897/Summary!$B$9)</f>
        <v/>
      </c>
      <c r="M5897" s="11">
        <f>G5897+H5897</f>
        <v/>
      </c>
      <c r="N5897" s="11">
        <f>Summary!$C$16*Summary!$B$8</f>
        <v/>
      </c>
      <c r="O5897" s="11">
        <f>M5897-N5897</f>
        <v/>
      </c>
    </row>
    <row r="5898">
      <c r="A5898" s="9" t="n">
        <v>45537.66666666666</v>
      </c>
      <c r="B5898" t="n">
        <v>9</v>
      </c>
      <c r="C5898" t="n">
        <v>2</v>
      </c>
      <c r="D5898" t="n">
        <v>16</v>
      </c>
      <c r="E5898" s="10" t="n">
        <v>0.048428</v>
      </c>
      <c r="F5898" s="10" t="n">
        <v>0.1684420244260859</v>
      </c>
      <c r="G5898" s="11">
        <f>E5898*Summary!$B$6</f>
        <v/>
      </c>
      <c r="H5898" s="11">
        <f>F5898*Summary!$B$7</f>
        <v/>
      </c>
      <c r="I5898" s="11">
        <f>MAX(0,N5898-M5898)</f>
        <v/>
      </c>
      <c r="J5898" s="11">
        <f>MAX(0,M5898-N5898)</f>
        <v/>
      </c>
      <c r="K5898" s="11">
        <f>O5898</f>
        <v/>
      </c>
      <c r="L5898" s="11">
        <f>L5897+IF(K5898&gt;0,K5898*Summary!$B$9,K5898/Summary!$B$9)</f>
        <v/>
      </c>
      <c r="M5898" s="11">
        <f>G5898+H5898</f>
        <v/>
      </c>
      <c r="N5898" s="11">
        <f>Summary!$C$16*Summary!$B$8</f>
        <v/>
      </c>
      <c r="O5898" s="11">
        <f>M5898-N5898</f>
        <v/>
      </c>
    </row>
    <row r="5899">
      <c r="A5899" s="9" t="n">
        <v>45537.70833333334</v>
      </c>
      <c r="B5899" t="n">
        <v>9</v>
      </c>
      <c r="C5899" t="n">
        <v>2</v>
      </c>
      <c r="D5899" t="n">
        <v>17</v>
      </c>
      <c r="E5899" s="10" t="n">
        <v>0.027377</v>
      </c>
      <c r="F5899" s="10" t="n">
        <v>0.1664392719454253</v>
      </c>
      <c r="G5899" s="11">
        <f>E5899*Summary!$B$6</f>
        <v/>
      </c>
      <c r="H5899" s="11">
        <f>F5899*Summary!$B$7</f>
        <v/>
      </c>
      <c r="I5899" s="11">
        <f>MAX(0,N5899-M5899)</f>
        <v/>
      </c>
      <c r="J5899" s="11">
        <f>MAX(0,M5899-N5899)</f>
        <v/>
      </c>
      <c r="K5899" s="11">
        <f>O5899</f>
        <v/>
      </c>
      <c r="L5899" s="11">
        <f>L5898+IF(K5899&gt;0,K5899*Summary!$B$9,K5899/Summary!$B$9)</f>
        <v/>
      </c>
      <c r="M5899" s="11">
        <f>G5899+H5899</f>
        <v/>
      </c>
      <c r="N5899" s="11">
        <f>Summary!$C$16*Summary!$B$8</f>
        <v/>
      </c>
      <c r="O5899" s="11">
        <f>M5899-N5899</f>
        <v/>
      </c>
    </row>
    <row r="5900">
      <c r="A5900" s="9" t="n">
        <v>45537.75</v>
      </c>
      <c r="B5900" t="n">
        <v>9</v>
      </c>
      <c r="C5900" t="n">
        <v>2</v>
      </c>
      <c r="D5900" t="n">
        <v>18</v>
      </c>
      <c r="E5900" s="10" t="n">
        <v>0.004635</v>
      </c>
      <c r="F5900" s="10" t="n">
        <v>0.1760841062601855</v>
      </c>
      <c r="G5900" s="11">
        <f>E5900*Summary!$B$6</f>
        <v/>
      </c>
      <c r="H5900" s="11">
        <f>F5900*Summary!$B$7</f>
        <v/>
      </c>
      <c r="I5900" s="11">
        <f>MAX(0,N5900-M5900)</f>
        <v/>
      </c>
      <c r="J5900" s="11">
        <f>MAX(0,M5900-N5900)</f>
        <v/>
      </c>
      <c r="K5900" s="11">
        <f>O5900</f>
        <v/>
      </c>
      <c r="L5900" s="11">
        <f>L5899+IF(K5900&gt;0,K5900*Summary!$B$9,K5900/Summary!$B$9)</f>
        <v/>
      </c>
      <c r="M5900" s="11">
        <f>G5900+H5900</f>
        <v/>
      </c>
      <c r="N5900" s="11">
        <f>Summary!$C$16*Summary!$B$8</f>
        <v/>
      </c>
      <c r="O5900" s="11">
        <f>M5900-N5900</f>
        <v/>
      </c>
    </row>
    <row r="5901">
      <c r="A5901" s="9" t="n">
        <v>45537.79166666666</v>
      </c>
      <c r="B5901" t="n">
        <v>9</v>
      </c>
      <c r="C5901" t="n">
        <v>2</v>
      </c>
      <c r="D5901" t="n">
        <v>19</v>
      </c>
      <c r="E5901" s="10" t="n">
        <v>0</v>
      </c>
      <c r="F5901" s="10" t="n">
        <v>0.1871519489164677</v>
      </c>
      <c r="G5901" s="11">
        <f>E5901*Summary!$B$6</f>
        <v/>
      </c>
      <c r="H5901" s="11">
        <f>F5901*Summary!$B$7</f>
        <v/>
      </c>
      <c r="I5901" s="11">
        <f>MAX(0,N5901-M5901)</f>
        <v/>
      </c>
      <c r="J5901" s="11">
        <f>MAX(0,M5901-N5901)</f>
        <v/>
      </c>
      <c r="K5901" s="11">
        <f>O5901</f>
        <v/>
      </c>
      <c r="L5901" s="11">
        <f>L5900+IF(K5901&gt;0,K5901*Summary!$B$9,K5901/Summary!$B$9)</f>
        <v/>
      </c>
      <c r="M5901" s="11">
        <f>G5901+H5901</f>
        <v/>
      </c>
      <c r="N5901" s="11">
        <f>Summary!$C$16*Summary!$B$8</f>
        <v/>
      </c>
      <c r="O5901" s="11">
        <f>M5901-N5901</f>
        <v/>
      </c>
    </row>
    <row r="5902">
      <c r="A5902" s="9" t="n">
        <v>45537.83333333334</v>
      </c>
      <c r="B5902" t="n">
        <v>9</v>
      </c>
      <c r="C5902" t="n">
        <v>2</v>
      </c>
      <c r="D5902" t="n">
        <v>20</v>
      </c>
      <c r="E5902" s="10" t="n">
        <v>0</v>
      </c>
      <c r="F5902" s="10" t="n">
        <v>0.2049395531854928</v>
      </c>
      <c r="G5902" s="11">
        <f>E5902*Summary!$B$6</f>
        <v/>
      </c>
      <c r="H5902" s="11">
        <f>F5902*Summary!$B$7</f>
        <v/>
      </c>
      <c r="I5902" s="11">
        <f>MAX(0,N5902-M5902)</f>
        <v/>
      </c>
      <c r="J5902" s="11">
        <f>MAX(0,M5902-N5902)</f>
        <v/>
      </c>
      <c r="K5902" s="11">
        <f>O5902</f>
        <v/>
      </c>
      <c r="L5902" s="11">
        <f>L5901+IF(K5902&gt;0,K5902*Summary!$B$9,K5902/Summary!$B$9)</f>
        <v/>
      </c>
      <c r="M5902" s="11">
        <f>G5902+H5902</f>
        <v/>
      </c>
      <c r="N5902" s="11">
        <f>Summary!$C$16*Summary!$B$8</f>
        <v/>
      </c>
      <c r="O5902" s="11">
        <f>M5902-N5902</f>
        <v/>
      </c>
    </row>
    <row r="5903">
      <c r="A5903" s="9" t="n">
        <v>45537.875</v>
      </c>
      <c r="B5903" t="n">
        <v>9</v>
      </c>
      <c r="C5903" t="n">
        <v>2</v>
      </c>
      <c r="D5903" t="n">
        <v>21</v>
      </c>
      <c r="E5903" s="10" t="n">
        <v>0</v>
      </c>
      <c r="F5903" s="10" t="n">
        <v>0.2076538098369144</v>
      </c>
      <c r="G5903" s="11">
        <f>E5903*Summary!$B$6</f>
        <v/>
      </c>
      <c r="H5903" s="11">
        <f>F5903*Summary!$B$7</f>
        <v/>
      </c>
      <c r="I5903" s="11">
        <f>MAX(0,N5903-M5903)</f>
        <v/>
      </c>
      <c r="J5903" s="11">
        <f>MAX(0,M5903-N5903)</f>
        <v/>
      </c>
      <c r="K5903" s="11">
        <f>O5903</f>
        <v/>
      </c>
      <c r="L5903" s="11">
        <f>L5902+IF(K5903&gt;0,K5903*Summary!$B$9,K5903/Summary!$B$9)</f>
        <v/>
      </c>
      <c r="M5903" s="11">
        <f>G5903+H5903</f>
        <v/>
      </c>
      <c r="N5903" s="11">
        <f>Summary!$C$16*Summary!$B$8</f>
        <v/>
      </c>
      <c r="O5903" s="11">
        <f>M5903-N5903</f>
        <v/>
      </c>
    </row>
    <row r="5904">
      <c r="A5904" s="9" t="n">
        <v>45537.91666666666</v>
      </c>
      <c r="B5904" t="n">
        <v>9</v>
      </c>
      <c r="C5904" t="n">
        <v>2</v>
      </c>
      <c r="D5904" t="n">
        <v>22</v>
      </c>
      <c r="E5904" s="10" t="n">
        <v>0</v>
      </c>
      <c r="F5904" s="10" t="n">
        <v>0.2077855698685368</v>
      </c>
      <c r="G5904" s="11">
        <f>E5904*Summary!$B$6</f>
        <v/>
      </c>
      <c r="H5904" s="11">
        <f>F5904*Summary!$B$7</f>
        <v/>
      </c>
      <c r="I5904" s="11">
        <f>MAX(0,N5904-M5904)</f>
        <v/>
      </c>
      <c r="J5904" s="11">
        <f>MAX(0,M5904-N5904)</f>
        <v/>
      </c>
      <c r="K5904" s="11">
        <f>O5904</f>
        <v/>
      </c>
      <c r="L5904" s="11">
        <f>L5903+IF(K5904&gt;0,K5904*Summary!$B$9,K5904/Summary!$B$9)</f>
        <v/>
      </c>
      <c r="M5904" s="11">
        <f>G5904+H5904</f>
        <v/>
      </c>
      <c r="N5904" s="11">
        <f>Summary!$C$16*Summary!$B$8</f>
        <v/>
      </c>
      <c r="O5904" s="11">
        <f>M5904-N5904</f>
        <v/>
      </c>
    </row>
    <row r="5905">
      <c r="A5905" s="9" t="n">
        <v>45537.95833333334</v>
      </c>
      <c r="B5905" t="n">
        <v>9</v>
      </c>
      <c r="C5905" t="n">
        <v>2</v>
      </c>
      <c r="D5905" t="n">
        <v>23</v>
      </c>
      <c r="E5905" s="10" t="n">
        <v>0</v>
      </c>
      <c r="F5905" s="10" t="n">
        <v>0.2065733775776106</v>
      </c>
      <c r="G5905" s="11">
        <f>E5905*Summary!$B$6</f>
        <v/>
      </c>
      <c r="H5905" s="11">
        <f>F5905*Summary!$B$7</f>
        <v/>
      </c>
      <c r="I5905" s="11">
        <f>MAX(0,N5905-M5905)</f>
        <v/>
      </c>
      <c r="J5905" s="11">
        <f>MAX(0,M5905-N5905)</f>
        <v/>
      </c>
      <c r="K5905" s="11">
        <f>O5905</f>
        <v/>
      </c>
      <c r="L5905" s="11">
        <f>L5904+IF(K5905&gt;0,K5905*Summary!$B$9,K5905/Summary!$B$9)</f>
        <v/>
      </c>
      <c r="M5905" s="11">
        <f>G5905+H5905</f>
        <v/>
      </c>
      <c r="N5905" s="11">
        <f>Summary!$C$16*Summary!$B$8</f>
        <v/>
      </c>
      <c r="O5905" s="11">
        <f>M5905-N5905</f>
        <v/>
      </c>
    </row>
    <row r="5906">
      <c r="A5906" s="9" t="n">
        <v>45538</v>
      </c>
      <c r="B5906" t="n">
        <v>9</v>
      </c>
      <c r="C5906" t="n">
        <v>3</v>
      </c>
      <c r="D5906" t="n">
        <v>0</v>
      </c>
      <c r="E5906" s="10" t="n">
        <v>0</v>
      </c>
      <c r="F5906" s="10" t="n">
        <v>0.311559770774345</v>
      </c>
      <c r="G5906" s="11">
        <f>E5906*Summary!$B$6</f>
        <v/>
      </c>
      <c r="H5906" s="11">
        <f>F5906*Summary!$B$7</f>
        <v/>
      </c>
      <c r="I5906" s="11">
        <f>MAX(0,N5906-M5906)</f>
        <v/>
      </c>
      <c r="J5906" s="11">
        <f>MAX(0,M5906-N5906)</f>
        <v/>
      </c>
      <c r="K5906" s="11">
        <f>O5906</f>
        <v/>
      </c>
      <c r="L5906" s="11">
        <f>L5905+IF(K5906&gt;0,K5906*Summary!$B$9,K5906/Summary!$B$9)</f>
        <v/>
      </c>
      <c r="M5906" s="11">
        <f>G5906+H5906</f>
        <v/>
      </c>
      <c r="N5906" s="11">
        <f>Summary!$C$16*Summary!$B$8</f>
        <v/>
      </c>
      <c r="O5906" s="11">
        <f>M5906-N5906</f>
        <v/>
      </c>
    </row>
    <row r="5907">
      <c r="A5907" s="9" t="n">
        <v>45538.04166666666</v>
      </c>
      <c r="B5907" t="n">
        <v>9</v>
      </c>
      <c r="C5907" t="n">
        <v>3</v>
      </c>
      <c r="D5907" t="n">
        <v>1</v>
      </c>
      <c r="E5907" s="10" t="n">
        <v>0</v>
      </c>
      <c r="F5907" s="10" t="n">
        <v>0.1873364129607391</v>
      </c>
      <c r="G5907" s="11">
        <f>E5907*Summary!$B$6</f>
        <v/>
      </c>
      <c r="H5907" s="11">
        <f>F5907*Summary!$B$7</f>
        <v/>
      </c>
      <c r="I5907" s="11">
        <f>MAX(0,N5907-M5907)</f>
        <v/>
      </c>
      <c r="J5907" s="11">
        <f>MAX(0,M5907-N5907)</f>
        <v/>
      </c>
      <c r="K5907" s="11">
        <f>O5907</f>
        <v/>
      </c>
      <c r="L5907" s="11">
        <f>L5906+IF(K5907&gt;0,K5907*Summary!$B$9,K5907/Summary!$B$9)</f>
        <v/>
      </c>
      <c r="M5907" s="11">
        <f>G5907+H5907</f>
        <v/>
      </c>
      <c r="N5907" s="11">
        <f>Summary!$C$16*Summary!$B$8</f>
        <v/>
      </c>
      <c r="O5907" s="11">
        <f>M5907-N5907</f>
        <v/>
      </c>
    </row>
    <row r="5908">
      <c r="A5908" s="9" t="n">
        <v>45538.08333333334</v>
      </c>
      <c r="B5908" t="n">
        <v>9</v>
      </c>
      <c r="C5908" t="n">
        <v>3</v>
      </c>
      <c r="D5908" t="n">
        <v>2</v>
      </c>
      <c r="E5908" s="10" t="n">
        <v>0</v>
      </c>
      <c r="F5908" s="10" t="n">
        <v>0.18322549997412</v>
      </c>
      <c r="G5908" s="11">
        <f>E5908*Summary!$B$6</f>
        <v/>
      </c>
      <c r="H5908" s="11">
        <f>F5908*Summary!$B$7</f>
        <v/>
      </c>
      <c r="I5908" s="11">
        <f>MAX(0,N5908-M5908)</f>
        <v/>
      </c>
      <c r="J5908" s="11">
        <f>MAX(0,M5908-N5908)</f>
        <v/>
      </c>
      <c r="K5908" s="11">
        <f>O5908</f>
        <v/>
      </c>
      <c r="L5908" s="11">
        <f>L5907+IF(K5908&gt;0,K5908*Summary!$B$9,K5908/Summary!$B$9)</f>
        <v/>
      </c>
      <c r="M5908" s="11">
        <f>G5908+H5908</f>
        <v/>
      </c>
      <c r="N5908" s="11">
        <f>Summary!$C$16*Summary!$B$8</f>
        <v/>
      </c>
      <c r="O5908" s="11">
        <f>M5908-N5908</f>
        <v/>
      </c>
    </row>
    <row r="5909">
      <c r="A5909" s="9" t="n">
        <v>45538.125</v>
      </c>
      <c r="B5909" t="n">
        <v>9</v>
      </c>
      <c r="C5909" t="n">
        <v>3</v>
      </c>
      <c r="D5909" t="n">
        <v>3</v>
      </c>
      <c r="E5909" s="10" t="n">
        <v>0</v>
      </c>
      <c r="F5909" s="10" t="n">
        <v>0.1785611948546868</v>
      </c>
      <c r="G5909" s="11">
        <f>E5909*Summary!$B$6</f>
        <v/>
      </c>
      <c r="H5909" s="11">
        <f>F5909*Summary!$B$7</f>
        <v/>
      </c>
      <c r="I5909" s="11">
        <f>MAX(0,N5909-M5909)</f>
        <v/>
      </c>
      <c r="J5909" s="11">
        <f>MAX(0,M5909-N5909)</f>
        <v/>
      </c>
      <c r="K5909" s="11">
        <f>O5909</f>
        <v/>
      </c>
      <c r="L5909" s="11">
        <f>L5908+IF(K5909&gt;0,K5909*Summary!$B$9,K5909/Summary!$B$9)</f>
        <v/>
      </c>
      <c r="M5909" s="11">
        <f>G5909+H5909</f>
        <v/>
      </c>
      <c r="N5909" s="11">
        <f>Summary!$C$16*Summary!$B$8</f>
        <v/>
      </c>
      <c r="O5909" s="11">
        <f>M5909-N5909</f>
        <v/>
      </c>
    </row>
    <row r="5910">
      <c r="A5910" s="9" t="n">
        <v>45538.16666666666</v>
      </c>
      <c r="B5910" t="n">
        <v>9</v>
      </c>
      <c r="C5910" t="n">
        <v>3</v>
      </c>
      <c r="D5910" t="n">
        <v>4</v>
      </c>
      <c r="E5910" s="10" t="n">
        <v>0</v>
      </c>
      <c r="F5910" s="10" t="n">
        <v>0.1817761396262735</v>
      </c>
      <c r="G5910" s="11">
        <f>E5910*Summary!$B$6</f>
        <v/>
      </c>
      <c r="H5910" s="11">
        <f>F5910*Summary!$B$7</f>
        <v/>
      </c>
      <c r="I5910" s="11">
        <f>MAX(0,N5910-M5910)</f>
        <v/>
      </c>
      <c r="J5910" s="11">
        <f>MAX(0,M5910-N5910)</f>
        <v/>
      </c>
      <c r="K5910" s="11">
        <f>O5910</f>
        <v/>
      </c>
      <c r="L5910" s="11">
        <f>L5909+IF(K5910&gt;0,K5910*Summary!$B$9,K5910/Summary!$B$9)</f>
        <v/>
      </c>
      <c r="M5910" s="11">
        <f>G5910+H5910</f>
        <v/>
      </c>
      <c r="N5910" s="11">
        <f>Summary!$C$16*Summary!$B$8</f>
        <v/>
      </c>
      <c r="O5910" s="11">
        <f>M5910-N5910</f>
        <v/>
      </c>
    </row>
    <row r="5911">
      <c r="A5911" s="9" t="n">
        <v>45538.20833333334</v>
      </c>
      <c r="B5911" t="n">
        <v>9</v>
      </c>
      <c r="C5911" t="n">
        <v>3</v>
      </c>
      <c r="D5911" t="n">
        <v>5</v>
      </c>
      <c r="E5911" s="10" t="n">
        <v>0</v>
      </c>
      <c r="F5911" s="10" t="n">
        <v>0.1820923637021673</v>
      </c>
      <c r="G5911" s="11">
        <f>E5911*Summary!$B$6</f>
        <v/>
      </c>
      <c r="H5911" s="11">
        <f>F5911*Summary!$B$7</f>
        <v/>
      </c>
      <c r="I5911" s="11">
        <f>MAX(0,N5911-M5911)</f>
        <v/>
      </c>
      <c r="J5911" s="11">
        <f>MAX(0,M5911-N5911)</f>
        <v/>
      </c>
      <c r="K5911" s="11">
        <f>O5911</f>
        <v/>
      </c>
      <c r="L5911" s="11">
        <f>L5910+IF(K5911&gt;0,K5911*Summary!$B$9,K5911/Summary!$B$9)</f>
        <v/>
      </c>
      <c r="M5911" s="11">
        <f>G5911+H5911</f>
        <v/>
      </c>
      <c r="N5911" s="11">
        <f>Summary!$C$16*Summary!$B$8</f>
        <v/>
      </c>
      <c r="O5911" s="11">
        <f>M5911-N5911</f>
        <v/>
      </c>
    </row>
    <row r="5912">
      <c r="A5912" s="9" t="n">
        <v>45538.25</v>
      </c>
      <c r="B5912" t="n">
        <v>9</v>
      </c>
      <c r="C5912" t="n">
        <v>3</v>
      </c>
      <c r="D5912" t="n">
        <v>6</v>
      </c>
      <c r="E5912" s="10" t="n">
        <v>0.022128</v>
      </c>
      <c r="F5912" s="10" t="n">
        <v>0.177586170620681</v>
      </c>
      <c r="G5912" s="11">
        <f>E5912*Summary!$B$6</f>
        <v/>
      </c>
      <c r="H5912" s="11">
        <f>F5912*Summary!$B$7</f>
        <v/>
      </c>
      <c r="I5912" s="11">
        <f>MAX(0,N5912-M5912)</f>
        <v/>
      </c>
      <c r="J5912" s="11">
        <f>MAX(0,M5912-N5912)</f>
        <v/>
      </c>
      <c r="K5912" s="11">
        <f>O5912</f>
        <v/>
      </c>
      <c r="L5912" s="11">
        <f>L5911+IF(K5912&gt;0,K5912*Summary!$B$9,K5912/Summary!$B$9)</f>
        <v/>
      </c>
      <c r="M5912" s="11">
        <f>G5912+H5912</f>
        <v/>
      </c>
      <c r="N5912" s="11">
        <f>Summary!$C$16*Summary!$B$8</f>
        <v/>
      </c>
      <c r="O5912" s="11">
        <f>M5912-N5912</f>
        <v/>
      </c>
    </row>
    <row r="5913">
      <c r="A5913" s="9" t="n">
        <v>45538.29166666666</v>
      </c>
      <c r="B5913" t="n">
        <v>9</v>
      </c>
      <c r="C5913" t="n">
        <v>3</v>
      </c>
      <c r="D5913" t="n">
        <v>7</v>
      </c>
      <c r="E5913" s="10" t="n">
        <v>0.126496</v>
      </c>
      <c r="F5913" s="10" t="n">
        <v>0.1631452711548651</v>
      </c>
      <c r="G5913" s="11">
        <f>E5913*Summary!$B$6</f>
        <v/>
      </c>
      <c r="H5913" s="11">
        <f>F5913*Summary!$B$7</f>
        <v/>
      </c>
      <c r="I5913" s="11">
        <f>MAX(0,N5913-M5913)</f>
        <v/>
      </c>
      <c r="J5913" s="11">
        <f>MAX(0,M5913-N5913)</f>
        <v/>
      </c>
      <c r="K5913" s="11">
        <f>O5913</f>
        <v/>
      </c>
      <c r="L5913" s="11">
        <f>L5912+IF(K5913&gt;0,K5913*Summary!$B$9,K5913/Summary!$B$9)</f>
        <v/>
      </c>
      <c r="M5913" s="11">
        <f>G5913+H5913</f>
        <v/>
      </c>
      <c r="N5913" s="11">
        <f>Summary!$C$16*Summary!$B$8</f>
        <v/>
      </c>
      <c r="O5913" s="11">
        <f>M5913-N5913</f>
        <v/>
      </c>
    </row>
    <row r="5914">
      <c r="A5914" s="9" t="n">
        <v>45538.33333333334</v>
      </c>
      <c r="B5914" t="n">
        <v>9</v>
      </c>
      <c r="C5914" t="n">
        <v>3</v>
      </c>
      <c r="D5914" t="n">
        <v>8</v>
      </c>
      <c r="E5914" s="10" t="n">
        <v>0.157355</v>
      </c>
      <c r="F5914" s="10" t="n">
        <v>0.1600357344085763</v>
      </c>
      <c r="G5914" s="11">
        <f>E5914*Summary!$B$6</f>
        <v/>
      </c>
      <c r="H5914" s="11">
        <f>F5914*Summary!$B$7</f>
        <v/>
      </c>
      <c r="I5914" s="11">
        <f>MAX(0,N5914-M5914)</f>
        <v/>
      </c>
      <c r="J5914" s="11">
        <f>MAX(0,M5914-N5914)</f>
        <v/>
      </c>
      <c r="K5914" s="11">
        <f>O5914</f>
        <v/>
      </c>
      <c r="L5914" s="11">
        <f>L5913+IF(K5914&gt;0,K5914*Summary!$B$9,K5914/Summary!$B$9)</f>
        <v/>
      </c>
      <c r="M5914" s="11">
        <f>G5914+H5914</f>
        <v/>
      </c>
      <c r="N5914" s="11">
        <f>Summary!$C$16*Summary!$B$8</f>
        <v/>
      </c>
      <c r="O5914" s="11">
        <f>M5914-N5914</f>
        <v/>
      </c>
    </row>
    <row r="5915">
      <c r="A5915" s="9" t="n">
        <v>45538.375</v>
      </c>
      <c r="B5915" t="n">
        <v>9</v>
      </c>
      <c r="C5915" t="n">
        <v>3</v>
      </c>
      <c r="D5915" t="n">
        <v>9</v>
      </c>
      <c r="E5915" s="10" t="n">
        <v>0.431147</v>
      </c>
      <c r="F5915" s="10" t="n">
        <v>0.1619857828765879</v>
      </c>
      <c r="G5915" s="11">
        <f>E5915*Summary!$B$6</f>
        <v/>
      </c>
      <c r="H5915" s="11">
        <f>F5915*Summary!$B$7</f>
        <v/>
      </c>
      <c r="I5915" s="11">
        <f>MAX(0,N5915-M5915)</f>
        <v/>
      </c>
      <c r="J5915" s="11">
        <f>MAX(0,M5915-N5915)</f>
        <v/>
      </c>
      <c r="K5915" s="11">
        <f>O5915</f>
        <v/>
      </c>
      <c r="L5915" s="11">
        <f>L5914+IF(K5915&gt;0,K5915*Summary!$B$9,K5915/Summary!$B$9)</f>
        <v/>
      </c>
      <c r="M5915" s="11">
        <f>G5915+H5915</f>
        <v/>
      </c>
      <c r="N5915" s="11">
        <f>Summary!$C$16*Summary!$B$8</f>
        <v/>
      </c>
      <c r="O5915" s="11">
        <f>M5915-N5915</f>
        <v/>
      </c>
    </row>
    <row r="5916">
      <c r="A5916" s="9" t="n">
        <v>45538.41666666666</v>
      </c>
      <c r="B5916" t="n">
        <v>9</v>
      </c>
      <c r="C5916" t="n">
        <v>3</v>
      </c>
      <c r="D5916" t="n">
        <v>10</v>
      </c>
      <c r="E5916" s="10" t="n">
        <v>0.481008</v>
      </c>
      <c r="F5916" s="10" t="n">
        <v>0.1651216716292012</v>
      </c>
      <c r="G5916" s="11">
        <f>E5916*Summary!$B$6</f>
        <v/>
      </c>
      <c r="H5916" s="11">
        <f>F5916*Summary!$B$7</f>
        <v/>
      </c>
      <c r="I5916" s="11">
        <f>MAX(0,N5916-M5916)</f>
        <v/>
      </c>
      <c r="J5916" s="11">
        <f>MAX(0,M5916-N5916)</f>
        <v/>
      </c>
      <c r="K5916" s="11">
        <f>O5916</f>
        <v/>
      </c>
      <c r="L5916" s="11">
        <f>L5915+IF(K5916&gt;0,K5916*Summary!$B$9,K5916/Summary!$B$9)</f>
        <v/>
      </c>
      <c r="M5916" s="11">
        <f>G5916+H5916</f>
        <v/>
      </c>
      <c r="N5916" s="11">
        <f>Summary!$C$16*Summary!$B$8</f>
        <v/>
      </c>
      <c r="O5916" s="11">
        <f>M5916-N5916</f>
        <v/>
      </c>
    </row>
    <row r="5917">
      <c r="A5917" s="9" t="n">
        <v>45538.45833333334</v>
      </c>
      <c r="B5917" t="n">
        <v>9</v>
      </c>
      <c r="C5917" t="n">
        <v>3</v>
      </c>
      <c r="D5917" t="n">
        <v>11</v>
      </c>
      <c r="E5917" s="10" t="n">
        <v>0.265463</v>
      </c>
      <c r="F5917" s="10" t="n">
        <v>0.1813018035124329</v>
      </c>
      <c r="G5917" s="11">
        <f>E5917*Summary!$B$6</f>
        <v/>
      </c>
      <c r="H5917" s="11">
        <f>F5917*Summary!$B$7</f>
        <v/>
      </c>
      <c r="I5917" s="11">
        <f>MAX(0,N5917-M5917)</f>
        <v/>
      </c>
      <c r="J5917" s="11">
        <f>MAX(0,M5917-N5917)</f>
        <v/>
      </c>
      <c r="K5917" s="11">
        <f>O5917</f>
        <v/>
      </c>
      <c r="L5917" s="11">
        <f>L5916+IF(K5917&gt;0,K5917*Summary!$B$9,K5917/Summary!$B$9)</f>
        <v/>
      </c>
      <c r="M5917" s="11">
        <f>G5917+H5917</f>
        <v/>
      </c>
      <c r="N5917" s="11">
        <f>Summary!$C$16*Summary!$B$8</f>
        <v/>
      </c>
      <c r="O5917" s="11">
        <f>M5917-N5917</f>
        <v/>
      </c>
    </row>
    <row r="5918">
      <c r="A5918" s="9" t="n">
        <v>45538.5</v>
      </c>
      <c r="B5918" t="n">
        <v>9</v>
      </c>
      <c r="C5918" t="n">
        <v>3</v>
      </c>
      <c r="D5918" t="n">
        <v>12</v>
      </c>
      <c r="E5918" s="10" t="n">
        <v>0.234454</v>
      </c>
      <c r="F5918" s="10" t="n">
        <v>0.1729482175075722</v>
      </c>
      <c r="G5918" s="11">
        <f>E5918*Summary!$B$6</f>
        <v/>
      </c>
      <c r="H5918" s="11">
        <f>F5918*Summary!$B$7</f>
        <v/>
      </c>
      <c r="I5918" s="11">
        <f>MAX(0,N5918-M5918)</f>
        <v/>
      </c>
      <c r="J5918" s="11">
        <f>MAX(0,M5918-N5918)</f>
        <v/>
      </c>
      <c r="K5918" s="11">
        <f>O5918</f>
        <v/>
      </c>
      <c r="L5918" s="11">
        <f>L5917+IF(K5918&gt;0,K5918*Summary!$B$9,K5918/Summary!$B$9)</f>
        <v/>
      </c>
      <c r="M5918" s="11">
        <f>G5918+H5918</f>
        <v/>
      </c>
      <c r="N5918" s="11">
        <f>Summary!$C$16*Summary!$B$8</f>
        <v/>
      </c>
      <c r="O5918" s="11">
        <f>M5918-N5918</f>
        <v/>
      </c>
    </row>
    <row r="5919">
      <c r="A5919" s="9" t="n">
        <v>45538.54166666666</v>
      </c>
      <c r="B5919" t="n">
        <v>9</v>
      </c>
      <c r="C5919" t="n">
        <v>3</v>
      </c>
      <c r="D5919" t="n">
        <v>13</v>
      </c>
      <c r="E5919" s="10" t="n">
        <v>0.297366</v>
      </c>
      <c r="F5919" s="10" t="n">
        <v>0.1799578511898843</v>
      </c>
      <c r="G5919" s="11">
        <f>E5919*Summary!$B$6</f>
        <v/>
      </c>
      <c r="H5919" s="11">
        <f>F5919*Summary!$B$7</f>
        <v/>
      </c>
      <c r="I5919" s="11">
        <f>MAX(0,N5919-M5919)</f>
        <v/>
      </c>
      <c r="J5919" s="11">
        <f>MAX(0,M5919-N5919)</f>
        <v/>
      </c>
      <c r="K5919" s="11">
        <f>O5919</f>
        <v/>
      </c>
      <c r="L5919" s="11">
        <f>L5918+IF(K5919&gt;0,K5919*Summary!$B$9,K5919/Summary!$B$9)</f>
        <v/>
      </c>
      <c r="M5919" s="11">
        <f>G5919+H5919</f>
        <v/>
      </c>
      <c r="N5919" s="11">
        <f>Summary!$C$16*Summary!$B$8</f>
        <v/>
      </c>
      <c r="O5919" s="11">
        <f>M5919-N5919</f>
        <v/>
      </c>
    </row>
    <row r="5920">
      <c r="A5920" s="9" t="n">
        <v>45538.58333333334</v>
      </c>
      <c r="B5920" t="n">
        <v>9</v>
      </c>
      <c r="C5920" t="n">
        <v>3</v>
      </c>
      <c r="D5920" t="n">
        <v>14</v>
      </c>
      <c r="E5920" s="10" t="n">
        <v>0.486321</v>
      </c>
      <c r="F5920" s="10" t="n">
        <v>0.1852546044611051</v>
      </c>
      <c r="G5920" s="11">
        <f>E5920*Summary!$B$6</f>
        <v/>
      </c>
      <c r="H5920" s="11">
        <f>F5920*Summary!$B$7</f>
        <v/>
      </c>
      <c r="I5920" s="11">
        <f>MAX(0,N5920-M5920)</f>
        <v/>
      </c>
      <c r="J5920" s="11">
        <f>MAX(0,M5920-N5920)</f>
        <v/>
      </c>
      <c r="K5920" s="11">
        <f>O5920</f>
        <v/>
      </c>
      <c r="L5920" s="11">
        <f>L5919+IF(K5920&gt;0,K5920*Summary!$B$9,K5920/Summary!$B$9)</f>
        <v/>
      </c>
      <c r="M5920" s="11">
        <f>G5920+H5920</f>
        <v/>
      </c>
      <c r="N5920" s="11">
        <f>Summary!$C$16*Summary!$B$8</f>
        <v/>
      </c>
      <c r="O5920" s="11">
        <f>M5920-N5920</f>
        <v/>
      </c>
    </row>
    <row r="5921">
      <c r="A5921" s="9" t="n">
        <v>45538.625</v>
      </c>
      <c r="B5921" t="n">
        <v>9</v>
      </c>
      <c r="C5921" t="n">
        <v>3</v>
      </c>
      <c r="D5921" t="n">
        <v>15</v>
      </c>
      <c r="E5921" s="10" t="n">
        <v>0.420973</v>
      </c>
      <c r="F5921" s="10" t="n">
        <v>0.1901033736248097</v>
      </c>
      <c r="G5921" s="11">
        <f>E5921*Summary!$B$6</f>
        <v/>
      </c>
      <c r="H5921" s="11">
        <f>F5921*Summary!$B$7</f>
        <v/>
      </c>
      <c r="I5921" s="11">
        <f>MAX(0,N5921-M5921)</f>
        <v/>
      </c>
      <c r="J5921" s="11">
        <f>MAX(0,M5921-N5921)</f>
        <v/>
      </c>
      <c r="K5921" s="11">
        <f>O5921</f>
        <v/>
      </c>
      <c r="L5921" s="11">
        <f>L5920+IF(K5921&gt;0,K5921*Summary!$B$9,K5921/Summary!$B$9)</f>
        <v/>
      </c>
      <c r="M5921" s="11">
        <f>G5921+H5921</f>
        <v/>
      </c>
      <c r="N5921" s="11">
        <f>Summary!$C$16*Summary!$B$8</f>
        <v/>
      </c>
      <c r="O5921" s="11">
        <f>M5921-N5921</f>
        <v/>
      </c>
    </row>
    <row r="5922">
      <c r="A5922" s="9" t="n">
        <v>45538.66666666666</v>
      </c>
      <c r="B5922" t="n">
        <v>9</v>
      </c>
      <c r="C5922" t="n">
        <v>3</v>
      </c>
      <c r="D5922" t="n">
        <v>16</v>
      </c>
      <c r="E5922" s="10" t="n">
        <v>0.238062</v>
      </c>
      <c r="F5922" s="10" t="n">
        <v>0.1896026855046445</v>
      </c>
      <c r="G5922" s="11">
        <f>E5922*Summary!$B$6</f>
        <v/>
      </c>
      <c r="H5922" s="11">
        <f>F5922*Summary!$B$7</f>
        <v/>
      </c>
      <c r="I5922" s="11">
        <f>MAX(0,N5922-M5922)</f>
        <v/>
      </c>
      <c r="J5922" s="11">
        <f>MAX(0,M5922-N5922)</f>
        <v/>
      </c>
      <c r="K5922" s="11">
        <f>O5922</f>
        <v/>
      </c>
      <c r="L5922" s="11">
        <f>L5921+IF(K5922&gt;0,K5922*Summary!$B$9,K5922/Summary!$B$9)</f>
        <v/>
      </c>
      <c r="M5922" s="11">
        <f>G5922+H5922</f>
        <v/>
      </c>
      <c r="N5922" s="11">
        <f>Summary!$C$16*Summary!$B$8</f>
        <v/>
      </c>
      <c r="O5922" s="11">
        <f>M5922-N5922</f>
        <v/>
      </c>
    </row>
    <row r="5923">
      <c r="A5923" s="9" t="n">
        <v>45538.70833333334</v>
      </c>
      <c r="B5923" t="n">
        <v>9</v>
      </c>
      <c r="C5923" t="n">
        <v>3</v>
      </c>
      <c r="D5923" t="n">
        <v>17</v>
      </c>
      <c r="E5923" s="10" t="n">
        <v>0.08711099999999999</v>
      </c>
      <c r="F5923" s="10" t="n">
        <v>0.1916317899916296</v>
      </c>
      <c r="G5923" s="11">
        <f>E5923*Summary!$B$6</f>
        <v/>
      </c>
      <c r="H5923" s="11">
        <f>F5923*Summary!$B$7</f>
        <v/>
      </c>
      <c r="I5923" s="11">
        <f>MAX(0,N5923-M5923)</f>
        <v/>
      </c>
      <c r="J5923" s="11">
        <f>MAX(0,M5923-N5923)</f>
        <v/>
      </c>
      <c r="K5923" s="11">
        <f>O5923</f>
        <v/>
      </c>
      <c r="L5923" s="11">
        <f>L5922+IF(K5923&gt;0,K5923*Summary!$B$9,K5923/Summary!$B$9)</f>
        <v/>
      </c>
      <c r="M5923" s="11">
        <f>G5923+H5923</f>
        <v/>
      </c>
      <c r="N5923" s="11">
        <f>Summary!$C$16*Summary!$B$8</f>
        <v/>
      </c>
      <c r="O5923" s="11">
        <f>M5923-N5923</f>
        <v/>
      </c>
    </row>
    <row r="5924">
      <c r="A5924" s="9" t="n">
        <v>45538.75</v>
      </c>
      <c r="B5924" t="n">
        <v>9</v>
      </c>
      <c r="C5924" t="n">
        <v>3</v>
      </c>
      <c r="D5924" t="n">
        <v>18</v>
      </c>
      <c r="E5924" s="10" t="n">
        <v>0.011144</v>
      </c>
      <c r="F5924" s="10" t="n">
        <v>0.2092349302163833</v>
      </c>
      <c r="G5924" s="11">
        <f>E5924*Summary!$B$6</f>
        <v/>
      </c>
      <c r="H5924" s="11">
        <f>F5924*Summary!$B$7</f>
        <v/>
      </c>
      <c r="I5924" s="11">
        <f>MAX(0,N5924-M5924)</f>
        <v/>
      </c>
      <c r="J5924" s="11">
        <f>MAX(0,M5924-N5924)</f>
        <v/>
      </c>
      <c r="K5924" s="11">
        <f>O5924</f>
        <v/>
      </c>
      <c r="L5924" s="11">
        <f>L5923+IF(K5924&gt;0,K5924*Summary!$B$9,K5924/Summary!$B$9)</f>
        <v/>
      </c>
      <c r="M5924" s="11">
        <f>G5924+H5924</f>
        <v/>
      </c>
      <c r="N5924" s="11">
        <f>Summary!$C$16*Summary!$B$8</f>
        <v/>
      </c>
      <c r="O5924" s="11">
        <f>M5924-N5924</f>
        <v/>
      </c>
    </row>
    <row r="5925">
      <c r="A5925" s="9" t="n">
        <v>45538.79166666666</v>
      </c>
      <c r="B5925" t="n">
        <v>9</v>
      </c>
      <c r="C5925" t="n">
        <v>3</v>
      </c>
      <c r="D5925" t="n">
        <v>19</v>
      </c>
      <c r="E5925" s="10" t="n">
        <v>0</v>
      </c>
      <c r="F5925" s="10" t="n">
        <v>0.2425175142042034</v>
      </c>
      <c r="G5925" s="11">
        <f>E5925*Summary!$B$6</f>
        <v/>
      </c>
      <c r="H5925" s="11">
        <f>F5925*Summary!$B$7</f>
        <v/>
      </c>
      <c r="I5925" s="11">
        <f>MAX(0,N5925-M5925)</f>
        <v/>
      </c>
      <c r="J5925" s="11">
        <f>MAX(0,M5925-N5925)</f>
        <v/>
      </c>
      <c r="K5925" s="11">
        <f>O5925</f>
        <v/>
      </c>
      <c r="L5925" s="11">
        <f>L5924+IF(K5925&gt;0,K5925*Summary!$B$9,K5925/Summary!$B$9)</f>
        <v/>
      </c>
      <c r="M5925" s="11">
        <f>G5925+H5925</f>
        <v/>
      </c>
      <c r="N5925" s="11">
        <f>Summary!$C$16*Summary!$B$8</f>
        <v/>
      </c>
      <c r="O5925" s="11">
        <f>M5925-N5925</f>
        <v/>
      </c>
    </row>
    <row r="5926">
      <c r="A5926" s="9" t="n">
        <v>45538.83333333334</v>
      </c>
      <c r="B5926" t="n">
        <v>9</v>
      </c>
      <c r="C5926" t="n">
        <v>3</v>
      </c>
      <c r="D5926" t="n">
        <v>20</v>
      </c>
      <c r="E5926" s="10" t="n">
        <v>0</v>
      </c>
      <c r="F5926" s="10" t="n">
        <v>0.2666823040037529</v>
      </c>
      <c r="G5926" s="11">
        <f>E5926*Summary!$B$6</f>
        <v/>
      </c>
      <c r="H5926" s="11">
        <f>F5926*Summary!$B$7</f>
        <v/>
      </c>
      <c r="I5926" s="11">
        <f>MAX(0,N5926-M5926)</f>
        <v/>
      </c>
      <c r="J5926" s="11">
        <f>MAX(0,M5926-N5926)</f>
        <v/>
      </c>
      <c r="K5926" s="11">
        <f>O5926</f>
        <v/>
      </c>
      <c r="L5926" s="11">
        <f>L5925+IF(K5926&gt;0,K5926*Summary!$B$9,K5926/Summary!$B$9)</f>
        <v/>
      </c>
      <c r="M5926" s="11">
        <f>G5926+H5926</f>
        <v/>
      </c>
      <c r="N5926" s="11">
        <f>Summary!$C$16*Summary!$B$8</f>
        <v/>
      </c>
      <c r="O5926" s="11">
        <f>M5926-N5926</f>
        <v/>
      </c>
    </row>
    <row r="5927">
      <c r="A5927" s="9" t="n">
        <v>45538.875</v>
      </c>
      <c r="B5927" t="n">
        <v>9</v>
      </c>
      <c r="C5927" t="n">
        <v>3</v>
      </c>
      <c r="D5927" t="n">
        <v>21</v>
      </c>
      <c r="E5927" s="10" t="n">
        <v>0</v>
      </c>
      <c r="F5927" s="10" t="n">
        <v>0.2931133663472079</v>
      </c>
      <c r="G5927" s="11">
        <f>E5927*Summary!$B$6</f>
        <v/>
      </c>
      <c r="H5927" s="11">
        <f>F5927*Summary!$B$7</f>
        <v/>
      </c>
      <c r="I5927" s="11">
        <f>MAX(0,N5927-M5927)</f>
        <v/>
      </c>
      <c r="J5927" s="11">
        <f>MAX(0,M5927-N5927)</f>
        <v/>
      </c>
      <c r="K5927" s="11">
        <f>O5927</f>
        <v/>
      </c>
      <c r="L5927" s="11">
        <f>L5926+IF(K5927&gt;0,K5927*Summary!$B$9,K5927/Summary!$B$9)</f>
        <v/>
      </c>
      <c r="M5927" s="11">
        <f>G5927+H5927</f>
        <v/>
      </c>
      <c r="N5927" s="11">
        <f>Summary!$C$16*Summary!$B$8</f>
        <v/>
      </c>
      <c r="O5927" s="11">
        <f>M5927-N5927</f>
        <v/>
      </c>
    </row>
    <row r="5928">
      <c r="A5928" s="9" t="n">
        <v>45538.91666666666</v>
      </c>
      <c r="B5928" t="n">
        <v>9</v>
      </c>
      <c r="C5928" t="n">
        <v>3</v>
      </c>
      <c r="D5928" t="n">
        <v>22</v>
      </c>
      <c r="E5928" s="10" t="n">
        <v>0</v>
      </c>
      <c r="F5928" s="10" t="n">
        <v>0.3067900576296138</v>
      </c>
      <c r="G5928" s="11">
        <f>E5928*Summary!$B$6</f>
        <v/>
      </c>
      <c r="H5928" s="11">
        <f>F5928*Summary!$B$7</f>
        <v/>
      </c>
      <c r="I5928" s="11">
        <f>MAX(0,N5928-M5928)</f>
        <v/>
      </c>
      <c r="J5928" s="11">
        <f>MAX(0,M5928-N5928)</f>
        <v/>
      </c>
      <c r="K5928" s="11">
        <f>O5928</f>
        <v/>
      </c>
      <c r="L5928" s="11">
        <f>L5927+IF(K5928&gt;0,K5928*Summary!$B$9,K5928/Summary!$B$9)</f>
        <v/>
      </c>
      <c r="M5928" s="11">
        <f>G5928+H5928</f>
        <v/>
      </c>
      <c r="N5928" s="11">
        <f>Summary!$C$16*Summary!$B$8</f>
        <v/>
      </c>
      <c r="O5928" s="11">
        <f>M5928-N5928</f>
        <v/>
      </c>
    </row>
    <row r="5929">
      <c r="A5929" s="9" t="n">
        <v>45538.95833333334</v>
      </c>
      <c r="B5929" t="n">
        <v>9</v>
      </c>
      <c r="C5929" t="n">
        <v>3</v>
      </c>
      <c r="D5929" t="n">
        <v>23</v>
      </c>
      <c r="E5929" s="10" t="n">
        <v>0</v>
      </c>
      <c r="F5929" s="10" t="n">
        <v>0.3107165065719616</v>
      </c>
      <c r="G5929" s="11">
        <f>E5929*Summary!$B$6</f>
        <v/>
      </c>
      <c r="H5929" s="11">
        <f>F5929*Summary!$B$7</f>
        <v/>
      </c>
      <c r="I5929" s="11">
        <f>MAX(0,N5929-M5929)</f>
        <v/>
      </c>
      <c r="J5929" s="11">
        <f>MAX(0,M5929-N5929)</f>
        <v/>
      </c>
      <c r="K5929" s="11">
        <f>O5929</f>
        <v/>
      </c>
      <c r="L5929" s="11">
        <f>L5928+IF(K5929&gt;0,K5929*Summary!$B$9,K5929/Summary!$B$9)</f>
        <v/>
      </c>
      <c r="M5929" s="11">
        <f>G5929+H5929</f>
        <v/>
      </c>
      <c r="N5929" s="11">
        <f>Summary!$C$16*Summary!$B$8</f>
        <v/>
      </c>
      <c r="O5929" s="11">
        <f>M5929-N5929</f>
        <v/>
      </c>
    </row>
    <row r="5930">
      <c r="A5930" s="9" t="n">
        <v>45539</v>
      </c>
      <c r="B5930" t="n">
        <v>9</v>
      </c>
      <c r="C5930" t="n">
        <v>4</v>
      </c>
      <c r="D5930" t="n">
        <v>0</v>
      </c>
      <c r="E5930" s="10" t="n">
        <v>0</v>
      </c>
      <c r="F5930" s="10" t="n">
        <v>0.2933768864104527</v>
      </c>
      <c r="G5930" s="11">
        <f>E5930*Summary!$B$6</f>
        <v/>
      </c>
      <c r="H5930" s="11">
        <f>F5930*Summary!$B$7</f>
        <v/>
      </c>
      <c r="I5930" s="11">
        <f>MAX(0,N5930-M5930)</f>
        <v/>
      </c>
      <c r="J5930" s="11">
        <f>MAX(0,M5930-N5930)</f>
        <v/>
      </c>
      <c r="K5930" s="11">
        <f>O5930</f>
        <v/>
      </c>
      <c r="L5930" s="11">
        <f>L5929+IF(K5930&gt;0,K5930*Summary!$B$9,K5930/Summary!$B$9)</f>
        <v/>
      </c>
      <c r="M5930" s="11">
        <f>G5930+H5930</f>
        <v/>
      </c>
      <c r="N5930" s="11">
        <f>Summary!$C$16*Summary!$B$8</f>
        <v/>
      </c>
      <c r="O5930" s="11">
        <f>M5930-N5930</f>
        <v/>
      </c>
    </row>
    <row r="5931">
      <c r="A5931" s="9" t="n">
        <v>45539.04166666666</v>
      </c>
      <c r="B5931" t="n">
        <v>9</v>
      </c>
      <c r="C5931" t="n">
        <v>4</v>
      </c>
      <c r="D5931" t="n">
        <v>1</v>
      </c>
      <c r="E5931" s="10" t="n">
        <v>0</v>
      </c>
      <c r="F5931" s="10" t="n">
        <v>0.3067637056232894</v>
      </c>
      <c r="G5931" s="11">
        <f>E5931*Summary!$B$6</f>
        <v/>
      </c>
      <c r="H5931" s="11">
        <f>F5931*Summary!$B$7</f>
        <v/>
      </c>
      <c r="I5931" s="11">
        <f>MAX(0,N5931-M5931)</f>
        <v/>
      </c>
      <c r="J5931" s="11">
        <f>MAX(0,M5931-N5931)</f>
        <v/>
      </c>
      <c r="K5931" s="11">
        <f>O5931</f>
        <v/>
      </c>
      <c r="L5931" s="11">
        <f>L5930+IF(K5931&gt;0,K5931*Summary!$B$9,K5931/Summary!$B$9)</f>
        <v/>
      </c>
      <c r="M5931" s="11">
        <f>G5931+H5931</f>
        <v/>
      </c>
      <c r="N5931" s="11">
        <f>Summary!$C$16*Summary!$B$8</f>
        <v/>
      </c>
      <c r="O5931" s="11">
        <f>M5931-N5931</f>
        <v/>
      </c>
    </row>
    <row r="5932">
      <c r="A5932" s="9" t="n">
        <v>45539.08333333334</v>
      </c>
      <c r="B5932" t="n">
        <v>9</v>
      </c>
      <c r="C5932" t="n">
        <v>4</v>
      </c>
      <c r="D5932" t="n">
        <v>2</v>
      </c>
      <c r="E5932" s="10" t="n">
        <v>0</v>
      </c>
      <c r="F5932" s="10" t="n">
        <v>0.3029426647062395</v>
      </c>
      <c r="G5932" s="11">
        <f>E5932*Summary!$B$6</f>
        <v/>
      </c>
      <c r="H5932" s="11">
        <f>F5932*Summary!$B$7</f>
        <v/>
      </c>
      <c r="I5932" s="11">
        <f>MAX(0,N5932-M5932)</f>
        <v/>
      </c>
      <c r="J5932" s="11">
        <f>MAX(0,M5932-N5932)</f>
        <v/>
      </c>
      <c r="K5932" s="11">
        <f>O5932</f>
        <v/>
      </c>
      <c r="L5932" s="11">
        <f>L5931+IF(K5932&gt;0,K5932*Summary!$B$9,K5932/Summary!$B$9)</f>
        <v/>
      </c>
      <c r="M5932" s="11">
        <f>G5932+H5932</f>
        <v/>
      </c>
      <c r="N5932" s="11">
        <f>Summary!$C$16*Summary!$B$8</f>
        <v/>
      </c>
      <c r="O5932" s="11">
        <f>M5932-N5932</f>
        <v/>
      </c>
    </row>
    <row r="5933">
      <c r="A5933" s="9" t="n">
        <v>45539.125</v>
      </c>
      <c r="B5933" t="n">
        <v>9</v>
      </c>
      <c r="C5933" t="n">
        <v>4</v>
      </c>
      <c r="D5933" t="n">
        <v>3</v>
      </c>
      <c r="E5933" s="10" t="n">
        <v>0</v>
      </c>
      <c r="F5933" s="10" t="n">
        <v>0.2984628236310777</v>
      </c>
      <c r="G5933" s="11">
        <f>E5933*Summary!$B$6</f>
        <v/>
      </c>
      <c r="H5933" s="11">
        <f>F5933*Summary!$B$7</f>
        <v/>
      </c>
      <c r="I5933" s="11">
        <f>MAX(0,N5933-M5933)</f>
        <v/>
      </c>
      <c r="J5933" s="11">
        <f>MAX(0,M5933-N5933)</f>
        <v/>
      </c>
      <c r="K5933" s="11">
        <f>O5933</f>
        <v/>
      </c>
      <c r="L5933" s="11">
        <f>L5932+IF(K5933&gt;0,K5933*Summary!$B$9,K5933/Summary!$B$9)</f>
        <v/>
      </c>
      <c r="M5933" s="11">
        <f>G5933+H5933</f>
        <v/>
      </c>
      <c r="N5933" s="11">
        <f>Summary!$C$16*Summary!$B$8</f>
        <v/>
      </c>
      <c r="O5933" s="11">
        <f>M5933-N5933</f>
        <v/>
      </c>
    </row>
    <row r="5934">
      <c r="A5934" s="9" t="n">
        <v>45539.16666666666</v>
      </c>
      <c r="B5934" t="n">
        <v>9</v>
      </c>
      <c r="C5934" t="n">
        <v>4</v>
      </c>
      <c r="D5934" t="n">
        <v>4</v>
      </c>
      <c r="E5934" s="10" t="n">
        <v>0</v>
      </c>
      <c r="F5934" s="10" t="n">
        <v>0.2913741339297921</v>
      </c>
      <c r="G5934" s="11">
        <f>E5934*Summary!$B$6</f>
        <v/>
      </c>
      <c r="H5934" s="11">
        <f>F5934*Summary!$B$7</f>
        <v/>
      </c>
      <c r="I5934" s="11">
        <f>MAX(0,N5934-M5934)</f>
        <v/>
      </c>
      <c r="J5934" s="11">
        <f>MAX(0,M5934-N5934)</f>
        <v/>
      </c>
      <c r="K5934" s="11">
        <f>O5934</f>
        <v/>
      </c>
      <c r="L5934" s="11">
        <f>L5933+IF(K5934&gt;0,K5934*Summary!$B$9,K5934/Summary!$B$9)</f>
        <v/>
      </c>
      <c r="M5934" s="11">
        <f>G5934+H5934</f>
        <v/>
      </c>
      <c r="N5934" s="11">
        <f>Summary!$C$16*Summary!$B$8</f>
        <v/>
      </c>
      <c r="O5934" s="11">
        <f>M5934-N5934</f>
        <v/>
      </c>
    </row>
    <row r="5935">
      <c r="A5935" s="9" t="n">
        <v>45539.20833333334</v>
      </c>
      <c r="B5935" t="n">
        <v>9</v>
      </c>
      <c r="C5935" t="n">
        <v>4</v>
      </c>
      <c r="D5935" t="n">
        <v>5</v>
      </c>
      <c r="E5935" s="10" t="n">
        <v>0.00242</v>
      </c>
      <c r="F5935" s="10" t="n">
        <v>0.2823090437541705</v>
      </c>
      <c r="G5935" s="11">
        <f>E5935*Summary!$B$6</f>
        <v/>
      </c>
      <c r="H5935" s="11">
        <f>F5935*Summary!$B$7</f>
        <v/>
      </c>
      <c r="I5935" s="11">
        <f>MAX(0,N5935-M5935)</f>
        <v/>
      </c>
      <c r="J5935" s="11">
        <f>MAX(0,M5935-N5935)</f>
        <v/>
      </c>
      <c r="K5935" s="11">
        <f>O5935</f>
        <v/>
      </c>
      <c r="L5935" s="11">
        <f>L5934+IF(K5935&gt;0,K5935*Summary!$B$9,K5935/Summary!$B$9)</f>
        <v/>
      </c>
      <c r="M5935" s="11">
        <f>G5935+H5935</f>
        <v/>
      </c>
      <c r="N5935" s="11">
        <f>Summary!$C$16*Summary!$B$8</f>
        <v/>
      </c>
      <c r="O5935" s="11">
        <f>M5935-N5935</f>
        <v/>
      </c>
    </row>
    <row r="5936">
      <c r="A5936" s="9" t="n">
        <v>45539.25</v>
      </c>
      <c r="B5936" t="n">
        <v>9</v>
      </c>
      <c r="C5936" t="n">
        <v>4</v>
      </c>
      <c r="D5936" t="n">
        <v>6</v>
      </c>
      <c r="E5936" s="10" t="n">
        <v>0.053304</v>
      </c>
      <c r="F5936" s="10" t="n">
        <v>0.2614646067515056</v>
      </c>
      <c r="G5936" s="11">
        <f>E5936*Summary!$B$6</f>
        <v/>
      </c>
      <c r="H5936" s="11">
        <f>F5936*Summary!$B$7</f>
        <v/>
      </c>
      <c r="I5936" s="11">
        <f>MAX(0,N5936-M5936)</f>
        <v/>
      </c>
      <c r="J5936" s="11">
        <f>MAX(0,M5936-N5936)</f>
        <v/>
      </c>
      <c r="K5936" s="11">
        <f>O5936</f>
        <v/>
      </c>
      <c r="L5936" s="11">
        <f>L5935+IF(K5936&gt;0,K5936*Summary!$B$9,K5936/Summary!$B$9)</f>
        <v/>
      </c>
      <c r="M5936" s="11">
        <f>G5936+H5936</f>
        <v/>
      </c>
      <c r="N5936" s="11">
        <f>Summary!$C$16*Summary!$B$8</f>
        <v/>
      </c>
      <c r="O5936" s="11">
        <f>M5936-N5936</f>
        <v/>
      </c>
    </row>
    <row r="5937">
      <c r="A5937" s="9" t="n">
        <v>45539.29166666666</v>
      </c>
      <c r="B5937" t="n">
        <v>9</v>
      </c>
      <c r="C5937" t="n">
        <v>4</v>
      </c>
      <c r="D5937" t="n">
        <v>7</v>
      </c>
      <c r="E5937" s="10" t="n">
        <v>0.197633</v>
      </c>
      <c r="F5937" s="10" t="n">
        <v>0.2272333505360041</v>
      </c>
      <c r="G5937" s="11">
        <f>E5937*Summary!$B$6</f>
        <v/>
      </c>
      <c r="H5937" s="11">
        <f>F5937*Summary!$B$7</f>
        <v/>
      </c>
      <c r="I5937" s="11">
        <f>MAX(0,N5937-M5937)</f>
        <v/>
      </c>
      <c r="J5937" s="11">
        <f>MAX(0,M5937-N5937)</f>
        <v/>
      </c>
      <c r="K5937" s="11">
        <f>O5937</f>
        <v/>
      </c>
      <c r="L5937" s="11">
        <f>L5936+IF(K5937&gt;0,K5937*Summary!$B$9,K5937/Summary!$B$9)</f>
        <v/>
      </c>
      <c r="M5937" s="11">
        <f>G5937+H5937</f>
        <v/>
      </c>
      <c r="N5937" s="11">
        <f>Summary!$C$16*Summary!$B$8</f>
        <v/>
      </c>
      <c r="O5937" s="11">
        <f>M5937-N5937</f>
        <v/>
      </c>
    </row>
    <row r="5938">
      <c r="A5938" s="9" t="n">
        <v>45539.33333333334</v>
      </c>
      <c r="B5938" t="n">
        <v>9</v>
      </c>
      <c r="C5938" t="n">
        <v>4</v>
      </c>
      <c r="D5938" t="n">
        <v>8</v>
      </c>
      <c r="E5938" s="10" t="n">
        <v>0.385962</v>
      </c>
      <c r="F5938" s="10" t="n">
        <v>0.2077065138495633</v>
      </c>
      <c r="G5938" s="11">
        <f>E5938*Summary!$B$6</f>
        <v/>
      </c>
      <c r="H5938" s="11">
        <f>F5938*Summary!$B$7</f>
        <v/>
      </c>
      <c r="I5938" s="11">
        <f>MAX(0,N5938-M5938)</f>
        <v/>
      </c>
      <c r="J5938" s="11">
        <f>MAX(0,M5938-N5938)</f>
        <v/>
      </c>
      <c r="K5938" s="11">
        <f>O5938</f>
        <v/>
      </c>
      <c r="L5938" s="11">
        <f>L5937+IF(K5938&gt;0,K5938*Summary!$B$9,K5938/Summary!$B$9)</f>
        <v/>
      </c>
      <c r="M5938" s="11">
        <f>G5938+H5938</f>
        <v/>
      </c>
      <c r="N5938" s="11">
        <f>Summary!$C$16*Summary!$B$8</f>
        <v/>
      </c>
      <c r="O5938" s="11">
        <f>M5938-N5938</f>
        <v/>
      </c>
    </row>
    <row r="5939">
      <c r="A5939" s="9" t="n">
        <v>45539.375</v>
      </c>
      <c r="B5939" t="n">
        <v>9</v>
      </c>
      <c r="C5939" t="n">
        <v>4</v>
      </c>
      <c r="D5939" t="n">
        <v>9</v>
      </c>
      <c r="E5939" s="10" t="n">
        <v>0.354442</v>
      </c>
      <c r="F5939" s="10" t="n">
        <v>0.1940561745734819</v>
      </c>
      <c r="G5939" s="11">
        <f>E5939*Summary!$B$6</f>
        <v/>
      </c>
      <c r="H5939" s="11">
        <f>F5939*Summary!$B$7</f>
        <v/>
      </c>
      <c r="I5939" s="11">
        <f>MAX(0,N5939-M5939)</f>
        <v/>
      </c>
      <c r="J5939" s="11">
        <f>MAX(0,M5939-N5939)</f>
        <v/>
      </c>
      <c r="K5939" s="11">
        <f>O5939</f>
        <v/>
      </c>
      <c r="L5939" s="11">
        <f>L5938+IF(K5939&gt;0,K5939*Summary!$B$9,K5939/Summary!$B$9)</f>
        <v/>
      </c>
      <c r="M5939" s="11">
        <f>G5939+H5939</f>
        <v/>
      </c>
      <c r="N5939" s="11">
        <f>Summary!$C$16*Summary!$B$8</f>
        <v/>
      </c>
      <c r="O5939" s="11">
        <f>M5939-N5939</f>
        <v/>
      </c>
    </row>
    <row r="5940">
      <c r="A5940" s="9" t="n">
        <v>45539.41666666666</v>
      </c>
      <c r="B5940" t="n">
        <v>9</v>
      </c>
      <c r="C5940" t="n">
        <v>4</v>
      </c>
      <c r="D5940" t="n">
        <v>10</v>
      </c>
      <c r="E5940" s="10" t="n">
        <v>0.587179</v>
      </c>
      <c r="F5940" s="10" t="n">
        <v>0.1927122222509333</v>
      </c>
      <c r="G5940" s="11">
        <f>E5940*Summary!$B$6</f>
        <v/>
      </c>
      <c r="H5940" s="11">
        <f>F5940*Summary!$B$7</f>
        <v/>
      </c>
      <c r="I5940" s="11">
        <f>MAX(0,N5940-M5940)</f>
        <v/>
      </c>
      <c r="J5940" s="11">
        <f>MAX(0,M5940-N5940)</f>
        <v/>
      </c>
      <c r="K5940" s="11">
        <f>O5940</f>
        <v/>
      </c>
      <c r="L5940" s="11">
        <f>L5939+IF(K5940&gt;0,K5940*Summary!$B$9,K5940/Summary!$B$9)</f>
        <v/>
      </c>
      <c r="M5940" s="11">
        <f>G5940+H5940</f>
        <v/>
      </c>
      <c r="N5940" s="11">
        <f>Summary!$C$16*Summary!$B$8</f>
        <v/>
      </c>
      <c r="O5940" s="11">
        <f>M5940-N5940</f>
        <v/>
      </c>
    </row>
    <row r="5941">
      <c r="A5941" s="9" t="n">
        <v>45539.45833333334</v>
      </c>
      <c r="B5941" t="n">
        <v>9</v>
      </c>
      <c r="C5941" t="n">
        <v>4</v>
      </c>
      <c r="D5941" t="n">
        <v>11</v>
      </c>
      <c r="E5941" s="10" t="n">
        <v>0.634998</v>
      </c>
      <c r="F5941" s="10" t="n">
        <v>0.2170351240884298</v>
      </c>
      <c r="G5941" s="11">
        <f>E5941*Summary!$B$6</f>
        <v/>
      </c>
      <c r="H5941" s="11">
        <f>F5941*Summary!$B$7</f>
        <v/>
      </c>
      <c r="I5941" s="11">
        <f>MAX(0,N5941-M5941)</f>
        <v/>
      </c>
      <c r="J5941" s="11">
        <f>MAX(0,M5941-N5941)</f>
        <v/>
      </c>
      <c r="K5941" s="11">
        <f>O5941</f>
        <v/>
      </c>
      <c r="L5941" s="11">
        <f>L5940+IF(K5941&gt;0,K5941*Summary!$B$9,K5941/Summary!$B$9)</f>
        <v/>
      </c>
      <c r="M5941" s="11">
        <f>G5941+H5941</f>
        <v/>
      </c>
      <c r="N5941" s="11">
        <f>Summary!$C$16*Summary!$B$8</f>
        <v/>
      </c>
      <c r="O5941" s="11">
        <f>M5941-N5941</f>
        <v/>
      </c>
    </row>
    <row r="5942">
      <c r="A5942" s="9" t="n">
        <v>45539.5</v>
      </c>
      <c r="B5942" t="n">
        <v>9</v>
      </c>
      <c r="C5942" t="n">
        <v>4</v>
      </c>
      <c r="D5942" t="n">
        <v>12</v>
      </c>
      <c r="E5942" s="10" t="n">
        <v>0.567725</v>
      </c>
      <c r="F5942" s="10" t="n">
        <v>0.2047287371348969</v>
      </c>
      <c r="G5942" s="11">
        <f>E5942*Summary!$B$6</f>
        <v/>
      </c>
      <c r="H5942" s="11">
        <f>F5942*Summary!$B$7</f>
        <v/>
      </c>
      <c r="I5942" s="11">
        <f>MAX(0,N5942-M5942)</f>
        <v/>
      </c>
      <c r="J5942" s="11">
        <f>MAX(0,M5942-N5942)</f>
        <v/>
      </c>
      <c r="K5942" s="11">
        <f>O5942</f>
        <v/>
      </c>
      <c r="L5942" s="11">
        <f>L5941+IF(K5942&gt;0,K5942*Summary!$B$9,K5942/Summary!$B$9)</f>
        <v/>
      </c>
      <c r="M5942" s="11">
        <f>G5942+H5942</f>
        <v/>
      </c>
      <c r="N5942" s="11">
        <f>Summary!$C$16*Summary!$B$8</f>
        <v/>
      </c>
      <c r="O5942" s="11">
        <f>M5942-N5942</f>
        <v/>
      </c>
    </row>
    <row r="5943">
      <c r="A5943" s="9" t="n">
        <v>45539.54166666666</v>
      </c>
      <c r="B5943" t="n">
        <v>9</v>
      </c>
      <c r="C5943" t="n">
        <v>4</v>
      </c>
      <c r="D5943" t="n">
        <v>13</v>
      </c>
      <c r="E5943" s="10" t="n">
        <v>0.420904</v>
      </c>
      <c r="F5943" s="10" t="n">
        <v>0.2150323716077692</v>
      </c>
      <c r="G5943" s="11">
        <f>E5943*Summary!$B$6</f>
        <v/>
      </c>
      <c r="H5943" s="11">
        <f>F5943*Summary!$B$7</f>
        <v/>
      </c>
      <c r="I5943" s="11">
        <f>MAX(0,N5943-M5943)</f>
        <v/>
      </c>
      <c r="J5943" s="11">
        <f>MAX(0,M5943-N5943)</f>
        <v/>
      </c>
      <c r="K5943" s="11">
        <f>O5943</f>
        <v/>
      </c>
      <c r="L5943" s="11">
        <f>L5942+IF(K5943&gt;0,K5943*Summary!$B$9,K5943/Summary!$B$9)</f>
        <v/>
      </c>
      <c r="M5943" s="11">
        <f>G5943+H5943</f>
        <v/>
      </c>
      <c r="N5943" s="11">
        <f>Summary!$C$16*Summary!$B$8</f>
        <v/>
      </c>
      <c r="O5943" s="11">
        <f>M5943-N5943</f>
        <v/>
      </c>
    </row>
    <row r="5944">
      <c r="A5944" s="9" t="n">
        <v>45539.58333333334</v>
      </c>
      <c r="B5944" t="n">
        <v>9</v>
      </c>
      <c r="C5944" t="n">
        <v>4</v>
      </c>
      <c r="D5944" t="n">
        <v>14</v>
      </c>
      <c r="E5944" s="10" t="n">
        <v>0.5139550000000001</v>
      </c>
      <c r="F5944" s="10" t="n">
        <v>0.2233859576126298</v>
      </c>
      <c r="G5944" s="11">
        <f>E5944*Summary!$B$6</f>
        <v/>
      </c>
      <c r="H5944" s="11">
        <f>F5944*Summary!$B$7</f>
        <v/>
      </c>
      <c r="I5944" s="11">
        <f>MAX(0,N5944-M5944)</f>
        <v/>
      </c>
      <c r="J5944" s="11">
        <f>MAX(0,M5944-N5944)</f>
        <v/>
      </c>
      <c r="K5944" s="11">
        <f>O5944</f>
        <v/>
      </c>
      <c r="L5944" s="11">
        <f>L5943+IF(K5944&gt;0,K5944*Summary!$B$9,K5944/Summary!$B$9)</f>
        <v/>
      </c>
      <c r="M5944" s="11">
        <f>G5944+H5944</f>
        <v/>
      </c>
      <c r="N5944" s="11">
        <f>Summary!$C$16*Summary!$B$8</f>
        <v/>
      </c>
      <c r="O5944" s="11">
        <f>M5944-N5944</f>
        <v/>
      </c>
    </row>
    <row r="5945">
      <c r="A5945" s="9" t="n">
        <v>45539.625</v>
      </c>
      <c r="B5945" t="n">
        <v>9</v>
      </c>
      <c r="C5945" t="n">
        <v>4</v>
      </c>
      <c r="D5945" t="n">
        <v>15</v>
      </c>
      <c r="E5945" s="10" t="n">
        <v>0.50762</v>
      </c>
      <c r="F5945" s="10" t="n">
        <v>0.2271806465233552</v>
      </c>
      <c r="G5945" s="11">
        <f>E5945*Summary!$B$6</f>
        <v/>
      </c>
      <c r="H5945" s="11">
        <f>F5945*Summary!$B$7</f>
        <v/>
      </c>
      <c r="I5945" s="11">
        <f>MAX(0,N5945-M5945)</f>
        <v/>
      </c>
      <c r="J5945" s="11">
        <f>MAX(0,M5945-N5945)</f>
        <v/>
      </c>
      <c r="K5945" s="11">
        <f>O5945</f>
        <v/>
      </c>
      <c r="L5945" s="11">
        <f>L5944+IF(K5945&gt;0,K5945*Summary!$B$9,K5945/Summary!$B$9)</f>
        <v/>
      </c>
      <c r="M5945" s="11">
        <f>G5945+H5945</f>
        <v/>
      </c>
      <c r="N5945" s="11">
        <f>Summary!$C$16*Summary!$B$8</f>
        <v/>
      </c>
      <c r="O5945" s="11">
        <f>M5945-N5945</f>
        <v/>
      </c>
    </row>
    <row r="5946">
      <c r="A5946" s="9" t="n">
        <v>45539.66666666666</v>
      </c>
      <c r="B5946" t="n">
        <v>9</v>
      </c>
      <c r="C5946" t="n">
        <v>4</v>
      </c>
      <c r="D5946" t="n">
        <v>16</v>
      </c>
      <c r="E5946" s="10" t="n">
        <v>0.311113</v>
      </c>
      <c r="F5946" s="10" t="n">
        <v>0.2341112241866938</v>
      </c>
      <c r="G5946" s="11">
        <f>E5946*Summary!$B$6</f>
        <v/>
      </c>
      <c r="H5946" s="11">
        <f>F5946*Summary!$B$7</f>
        <v/>
      </c>
      <c r="I5946" s="11">
        <f>MAX(0,N5946-M5946)</f>
        <v/>
      </c>
      <c r="J5946" s="11">
        <f>MAX(0,M5946-N5946)</f>
        <v/>
      </c>
      <c r="K5946" s="11">
        <f>O5946</f>
        <v/>
      </c>
      <c r="L5946" s="11">
        <f>L5945+IF(K5946&gt;0,K5946*Summary!$B$9,K5946/Summary!$B$9)</f>
        <v/>
      </c>
      <c r="M5946" s="11">
        <f>G5946+H5946</f>
        <v/>
      </c>
      <c r="N5946" s="11">
        <f>Summary!$C$16*Summary!$B$8</f>
        <v/>
      </c>
      <c r="O5946" s="11">
        <f>M5946-N5946</f>
        <v/>
      </c>
    </row>
    <row r="5947">
      <c r="A5947" s="9" t="n">
        <v>45539.70833333334</v>
      </c>
      <c r="B5947" t="n">
        <v>9</v>
      </c>
      <c r="C5947" t="n">
        <v>4</v>
      </c>
      <c r="D5947" t="n">
        <v>17</v>
      </c>
      <c r="E5947" s="10" t="n">
        <v>0.106423</v>
      </c>
      <c r="F5947" s="10" t="n">
        <v>0.2404093536982449</v>
      </c>
      <c r="G5947" s="11">
        <f>E5947*Summary!$B$6</f>
        <v/>
      </c>
      <c r="H5947" s="11">
        <f>F5947*Summary!$B$7</f>
        <v/>
      </c>
      <c r="I5947" s="11">
        <f>MAX(0,N5947-M5947)</f>
        <v/>
      </c>
      <c r="J5947" s="11">
        <f>MAX(0,M5947-N5947)</f>
        <v/>
      </c>
      <c r="K5947" s="11">
        <f>O5947</f>
        <v/>
      </c>
      <c r="L5947" s="11">
        <f>L5946+IF(K5947&gt;0,K5947*Summary!$B$9,K5947/Summary!$B$9)</f>
        <v/>
      </c>
      <c r="M5947" s="11">
        <f>G5947+H5947</f>
        <v/>
      </c>
      <c r="N5947" s="11">
        <f>Summary!$C$16*Summary!$B$8</f>
        <v/>
      </c>
      <c r="O5947" s="11">
        <f>M5947-N5947</f>
        <v/>
      </c>
    </row>
    <row r="5948">
      <c r="A5948" s="9" t="n">
        <v>45539.75</v>
      </c>
      <c r="B5948" t="n">
        <v>9</v>
      </c>
      <c r="C5948" t="n">
        <v>4</v>
      </c>
      <c r="D5948" t="n">
        <v>18</v>
      </c>
      <c r="E5948" s="10" t="n">
        <v>0.010321</v>
      </c>
      <c r="F5948" s="10" t="n">
        <v>0.2619389428653463</v>
      </c>
      <c r="G5948" s="11">
        <f>E5948*Summary!$B$6</f>
        <v/>
      </c>
      <c r="H5948" s="11">
        <f>F5948*Summary!$B$7</f>
        <v/>
      </c>
      <c r="I5948" s="11">
        <f>MAX(0,N5948-M5948)</f>
        <v/>
      </c>
      <c r="J5948" s="11">
        <f>MAX(0,M5948-N5948)</f>
        <v/>
      </c>
      <c r="K5948" s="11">
        <f>O5948</f>
        <v/>
      </c>
      <c r="L5948" s="11">
        <f>L5947+IF(K5948&gt;0,K5948*Summary!$B$9,K5948/Summary!$B$9)</f>
        <v/>
      </c>
      <c r="M5948" s="11">
        <f>G5948+H5948</f>
        <v/>
      </c>
      <c r="N5948" s="11">
        <f>Summary!$C$16*Summary!$B$8</f>
        <v/>
      </c>
      <c r="O5948" s="11">
        <f>M5948-N5948</f>
        <v/>
      </c>
    </row>
    <row r="5949">
      <c r="A5949" s="9" t="n">
        <v>45539.79166666666</v>
      </c>
      <c r="B5949" t="n">
        <v>9</v>
      </c>
      <c r="C5949" t="n">
        <v>4</v>
      </c>
      <c r="D5949" t="n">
        <v>19</v>
      </c>
      <c r="E5949" s="10" t="n">
        <v>0</v>
      </c>
      <c r="F5949" s="10" t="n">
        <v>0.2852868204688369</v>
      </c>
      <c r="G5949" s="11">
        <f>E5949*Summary!$B$6</f>
        <v/>
      </c>
      <c r="H5949" s="11">
        <f>F5949*Summary!$B$7</f>
        <v/>
      </c>
      <c r="I5949" s="11">
        <f>MAX(0,N5949-M5949)</f>
        <v/>
      </c>
      <c r="J5949" s="11">
        <f>MAX(0,M5949-N5949)</f>
        <v/>
      </c>
      <c r="K5949" s="11">
        <f>O5949</f>
        <v/>
      </c>
      <c r="L5949" s="11">
        <f>L5948+IF(K5949&gt;0,K5949*Summary!$B$9,K5949/Summary!$B$9)</f>
        <v/>
      </c>
      <c r="M5949" s="11">
        <f>G5949+H5949</f>
        <v/>
      </c>
      <c r="N5949" s="11">
        <f>Summary!$C$16*Summary!$B$8</f>
        <v/>
      </c>
      <c r="O5949" s="11">
        <f>M5949-N5949</f>
        <v/>
      </c>
    </row>
    <row r="5950">
      <c r="A5950" s="9" t="n">
        <v>45539.83333333334</v>
      </c>
      <c r="B5950" t="n">
        <v>9</v>
      </c>
      <c r="C5950" t="n">
        <v>4</v>
      </c>
      <c r="D5950" t="n">
        <v>20</v>
      </c>
      <c r="E5950" s="10" t="n">
        <v>0</v>
      </c>
      <c r="F5950" s="10" t="n">
        <v>0.2994905518777324</v>
      </c>
      <c r="G5950" s="11">
        <f>E5950*Summary!$B$6</f>
        <v/>
      </c>
      <c r="H5950" s="11">
        <f>F5950*Summary!$B$7</f>
        <v/>
      </c>
      <c r="I5950" s="11">
        <f>MAX(0,N5950-M5950)</f>
        <v/>
      </c>
      <c r="J5950" s="11">
        <f>MAX(0,M5950-N5950)</f>
        <v/>
      </c>
      <c r="K5950" s="11">
        <f>O5950</f>
        <v/>
      </c>
      <c r="L5950" s="11">
        <f>L5949+IF(K5950&gt;0,K5950*Summary!$B$9,K5950/Summary!$B$9)</f>
        <v/>
      </c>
      <c r="M5950" s="11">
        <f>G5950+H5950</f>
        <v/>
      </c>
      <c r="N5950" s="11">
        <f>Summary!$C$16*Summary!$B$8</f>
        <v/>
      </c>
      <c r="O5950" s="11">
        <f>M5950-N5950</f>
        <v/>
      </c>
    </row>
    <row r="5951">
      <c r="A5951" s="9" t="n">
        <v>45539.875</v>
      </c>
      <c r="B5951" t="n">
        <v>9</v>
      </c>
      <c r="C5951" t="n">
        <v>4</v>
      </c>
      <c r="D5951" t="n">
        <v>21</v>
      </c>
      <c r="E5951" s="10" t="n">
        <v>0</v>
      </c>
      <c r="F5951" s="10" t="n">
        <v>0.3070008736802097</v>
      </c>
      <c r="G5951" s="11">
        <f>E5951*Summary!$B$6</f>
        <v/>
      </c>
      <c r="H5951" s="11">
        <f>F5951*Summary!$B$7</f>
        <v/>
      </c>
      <c r="I5951" s="11">
        <f>MAX(0,N5951-M5951)</f>
        <v/>
      </c>
      <c r="J5951" s="11">
        <f>MAX(0,M5951-N5951)</f>
        <v/>
      </c>
      <c r="K5951" s="11">
        <f>O5951</f>
        <v/>
      </c>
      <c r="L5951" s="11">
        <f>L5950+IF(K5951&gt;0,K5951*Summary!$B$9,K5951/Summary!$B$9)</f>
        <v/>
      </c>
      <c r="M5951" s="11">
        <f>G5951+H5951</f>
        <v/>
      </c>
      <c r="N5951" s="11">
        <f>Summary!$C$16*Summary!$B$8</f>
        <v/>
      </c>
      <c r="O5951" s="11">
        <f>M5951-N5951</f>
        <v/>
      </c>
    </row>
    <row r="5952">
      <c r="A5952" s="9" t="n">
        <v>45539.91666666666</v>
      </c>
      <c r="B5952" t="n">
        <v>9</v>
      </c>
      <c r="C5952" t="n">
        <v>4</v>
      </c>
      <c r="D5952" t="n">
        <v>22</v>
      </c>
      <c r="E5952" s="10" t="n">
        <v>0</v>
      </c>
      <c r="F5952" s="10" t="n">
        <v>0.3061049054651773</v>
      </c>
      <c r="G5952" s="11">
        <f>E5952*Summary!$B$6</f>
        <v/>
      </c>
      <c r="H5952" s="11">
        <f>F5952*Summary!$B$7</f>
        <v/>
      </c>
      <c r="I5952" s="11">
        <f>MAX(0,N5952-M5952)</f>
        <v/>
      </c>
      <c r="J5952" s="11">
        <f>MAX(0,M5952-N5952)</f>
        <v/>
      </c>
      <c r="K5952" s="11">
        <f>O5952</f>
        <v/>
      </c>
      <c r="L5952" s="11">
        <f>L5951+IF(K5952&gt;0,K5952*Summary!$B$9,K5952/Summary!$B$9)</f>
        <v/>
      </c>
      <c r="M5952" s="11">
        <f>G5952+H5952</f>
        <v/>
      </c>
      <c r="N5952" s="11">
        <f>Summary!$C$16*Summary!$B$8</f>
        <v/>
      </c>
      <c r="O5952" s="11">
        <f>M5952-N5952</f>
        <v/>
      </c>
    </row>
    <row r="5953">
      <c r="A5953" s="9" t="n">
        <v>45539.95833333334</v>
      </c>
      <c r="B5953" t="n">
        <v>9</v>
      </c>
      <c r="C5953" t="n">
        <v>4</v>
      </c>
      <c r="D5953" t="n">
        <v>23</v>
      </c>
      <c r="E5953" s="10" t="n">
        <v>0</v>
      </c>
      <c r="F5953" s="10" t="n">
        <v>0.3026791446429947</v>
      </c>
      <c r="G5953" s="11">
        <f>E5953*Summary!$B$6</f>
        <v/>
      </c>
      <c r="H5953" s="11">
        <f>F5953*Summary!$B$7</f>
        <v/>
      </c>
      <c r="I5953" s="11">
        <f>MAX(0,N5953-M5953)</f>
        <v/>
      </c>
      <c r="J5953" s="11">
        <f>MAX(0,M5953-N5953)</f>
        <v/>
      </c>
      <c r="K5953" s="11">
        <f>O5953</f>
        <v/>
      </c>
      <c r="L5953" s="11">
        <f>L5952+IF(K5953&gt;0,K5953*Summary!$B$9,K5953/Summary!$B$9)</f>
        <v/>
      </c>
      <c r="M5953" s="11">
        <f>G5953+H5953</f>
        <v/>
      </c>
      <c r="N5953" s="11">
        <f>Summary!$C$16*Summary!$B$8</f>
        <v/>
      </c>
      <c r="O5953" s="11">
        <f>M5953-N5953</f>
        <v/>
      </c>
    </row>
    <row r="5954">
      <c r="A5954" s="9" t="n">
        <v>45540</v>
      </c>
      <c r="B5954" t="n">
        <v>9</v>
      </c>
      <c r="C5954" t="n">
        <v>5</v>
      </c>
      <c r="D5954" t="n">
        <v>0</v>
      </c>
      <c r="E5954" s="10" t="n">
        <v>0</v>
      </c>
      <c r="F5954" s="10" t="n">
        <v>0.2360349206483809</v>
      </c>
      <c r="G5954" s="11">
        <f>E5954*Summary!$B$6</f>
        <v/>
      </c>
      <c r="H5954" s="11">
        <f>F5954*Summary!$B$7</f>
        <v/>
      </c>
      <c r="I5954" s="11">
        <f>MAX(0,N5954-M5954)</f>
        <v/>
      </c>
      <c r="J5954" s="11">
        <f>MAX(0,M5954-N5954)</f>
        <v/>
      </c>
      <c r="K5954" s="11">
        <f>O5954</f>
        <v/>
      </c>
      <c r="L5954" s="11">
        <f>L5953+IF(K5954&gt;0,K5954*Summary!$B$9,K5954/Summary!$B$9)</f>
        <v/>
      </c>
      <c r="M5954" s="11">
        <f>G5954+H5954</f>
        <v/>
      </c>
      <c r="N5954" s="11">
        <f>Summary!$C$16*Summary!$B$8</f>
        <v/>
      </c>
      <c r="O5954" s="11">
        <f>M5954-N5954</f>
        <v/>
      </c>
    </row>
    <row r="5955">
      <c r="A5955" s="9" t="n">
        <v>45540.04166666666</v>
      </c>
      <c r="B5955" t="n">
        <v>9</v>
      </c>
      <c r="C5955" t="n">
        <v>5</v>
      </c>
      <c r="D5955" t="n">
        <v>1</v>
      </c>
      <c r="E5955" s="10" t="n">
        <v>0</v>
      </c>
      <c r="F5955" s="10" t="n">
        <v>0.2813867235328136</v>
      </c>
      <c r="G5955" s="11">
        <f>E5955*Summary!$B$6</f>
        <v/>
      </c>
      <c r="H5955" s="11">
        <f>F5955*Summary!$B$7</f>
        <v/>
      </c>
      <c r="I5955" s="11">
        <f>MAX(0,N5955-M5955)</f>
        <v/>
      </c>
      <c r="J5955" s="11">
        <f>MAX(0,M5955-N5955)</f>
        <v/>
      </c>
      <c r="K5955" s="11">
        <f>O5955</f>
        <v/>
      </c>
      <c r="L5955" s="11">
        <f>L5954+IF(K5955&gt;0,K5955*Summary!$B$9,K5955/Summary!$B$9)</f>
        <v/>
      </c>
      <c r="M5955" s="11">
        <f>G5955+H5955</f>
        <v/>
      </c>
      <c r="N5955" s="11">
        <f>Summary!$C$16*Summary!$B$8</f>
        <v/>
      </c>
      <c r="O5955" s="11">
        <f>M5955-N5955</f>
        <v/>
      </c>
    </row>
    <row r="5956">
      <c r="A5956" s="9" t="n">
        <v>45540.08333333334</v>
      </c>
      <c r="B5956" t="n">
        <v>9</v>
      </c>
      <c r="C5956" t="n">
        <v>5</v>
      </c>
      <c r="D5956" t="n">
        <v>2</v>
      </c>
      <c r="E5956" s="10" t="n">
        <v>0</v>
      </c>
      <c r="F5956" s="10" t="n">
        <v>0.2743770898505016</v>
      </c>
      <c r="G5956" s="11">
        <f>E5956*Summary!$B$6</f>
        <v/>
      </c>
      <c r="H5956" s="11">
        <f>F5956*Summary!$B$7</f>
        <v/>
      </c>
      <c r="I5956" s="11">
        <f>MAX(0,N5956-M5956)</f>
        <v/>
      </c>
      <c r="J5956" s="11">
        <f>MAX(0,M5956-N5956)</f>
        <v/>
      </c>
      <c r="K5956" s="11">
        <f>O5956</f>
        <v/>
      </c>
      <c r="L5956" s="11">
        <f>L5955+IF(K5956&gt;0,K5956*Summary!$B$9,K5956/Summary!$B$9)</f>
        <v/>
      </c>
      <c r="M5956" s="11">
        <f>G5956+H5956</f>
        <v/>
      </c>
      <c r="N5956" s="11">
        <f>Summary!$C$16*Summary!$B$8</f>
        <v/>
      </c>
      <c r="O5956" s="11">
        <f>M5956-N5956</f>
        <v/>
      </c>
    </row>
    <row r="5957">
      <c r="A5957" s="9" t="n">
        <v>45540.125</v>
      </c>
      <c r="B5957" t="n">
        <v>9</v>
      </c>
      <c r="C5957" t="n">
        <v>5</v>
      </c>
      <c r="D5957" t="n">
        <v>3</v>
      </c>
      <c r="E5957" s="10" t="n">
        <v>0</v>
      </c>
      <c r="F5957" s="10" t="n">
        <v>0.2686323524717646</v>
      </c>
      <c r="G5957" s="11">
        <f>E5957*Summary!$B$6</f>
        <v/>
      </c>
      <c r="H5957" s="11">
        <f>F5957*Summary!$B$7</f>
        <v/>
      </c>
      <c r="I5957" s="11">
        <f>MAX(0,N5957-M5957)</f>
        <v/>
      </c>
      <c r="J5957" s="11">
        <f>MAX(0,M5957-N5957)</f>
        <v/>
      </c>
      <c r="K5957" s="11">
        <f>O5957</f>
        <v/>
      </c>
      <c r="L5957" s="11">
        <f>L5956+IF(K5957&gt;0,K5957*Summary!$B$9,K5957/Summary!$B$9)</f>
        <v/>
      </c>
      <c r="M5957" s="11">
        <f>G5957+H5957</f>
        <v/>
      </c>
      <c r="N5957" s="11">
        <f>Summary!$C$16*Summary!$B$8</f>
        <v/>
      </c>
      <c r="O5957" s="11">
        <f>M5957-N5957</f>
        <v/>
      </c>
    </row>
    <row r="5958">
      <c r="A5958" s="9" t="n">
        <v>45540.16666666666</v>
      </c>
      <c r="B5958" t="n">
        <v>9</v>
      </c>
      <c r="C5958" t="n">
        <v>5</v>
      </c>
      <c r="D5958" t="n">
        <v>4</v>
      </c>
      <c r="E5958" s="10" t="n">
        <v>0</v>
      </c>
      <c r="F5958" s="10" t="n">
        <v>0.2895821974997274</v>
      </c>
      <c r="G5958" s="11">
        <f>E5958*Summary!$B$6</f>
        <v/>
      </c>
      <c r="H5958" s="11">
        <f>F5958*Summary!$B$7</f>
        <v/>
      </c>
      <c r="I5958" s="11">
        <f>MAX(0,N5958-M5958)</f>
        <v/>
      </c>
      <c r="J5958" s="11">
        <f>MAX(0,M5958-N5958)</f>
        <v/>
      </c>
      <c r="K5958" s="11">
        <f>O5958</f>
        <v/>
      </c>
      <c r="L5958" s="11">
        <f>L5957+IF(K5958&gt;0,K5958*Summary!$B$9,K5958/Summary!$B$9)</f>
        <v/>
      </c>
      <c r="M5958" s="11">
        <f>G5958+H5958</f>
        <v/>
      </c>
      <c r="N5958" s="11">
        <f>Summary!$C$16*Summary!$B$8</f>
        <v/>
      </c>
      <c r="O5958" s="11">
        <f>M5958-N5958</f>
        <v/>
      </c>
    </row>
    <row r="5959">
      <c r="A5959" s="9" t="n">
        <v>45540.20833333334</v>
      </c>
      <c r="B5959" t="n">
        <v>9</v>
      </c>
      <c r="C5959" t="n">
        <v>5</v>
      </c>
      <c r="D5959" t="n">
        <v>5</v>
      </c>
      <c r="E5959" s="10" t="n">
        <v>0</v>
      </c>
      <c r="F5959" s="10" t="n">
        <v>0.2631511351562724</v>
      </c>
      <c r="G5959" s="11">
        <f>E5959*Summary!$B$6</f>
        <v/>
      </c>
      <c r="H5959" s="11">
        <f>F5959*Summary!$B$7</f>
        <v/>
      </c>
      <c r="I5959" s="11">
        <f>MAX(0,N5959-M5959)</f>
        <v/>
      </c>
      <c r="J5959" s="11">
        <f>MAX(0,M5959-N5959)</f>
        <v/>
      </c>
      <c r="K5959" s="11">
        <f>O5959</f>
        <v/>
      </c>
      <c r="L5959" s="11">
        <f>L5958+IF(K5959&gt;0,K5959*Summary!$B$9,K5959/Summary!$B$9)</f>
        <v/>
      </c>
      <c r="M5959" s="11">
        <f>G5959+H5959</f>
        <v/>
      </c>
      <c r="N5959" s="11">
        <f>Summary!$C$16*Summary!$B$8</f>
        <v/>
      </c>
      <c r="O5959" s="11">
        <f>M5959-N5959</f>
        <v/>
      </c>
    </row>
    <row r="5960">
      <c r="A5960" s="9" t="n">
        <v>45540.25</v>
      </c>
      <c r="B5960" t="n">
        <v>9</v>
      </c>
      <c r="C5960" t="n">
        <v>5</v>
      </c>
      <c r="D5960" t="n">
        <v>6</v>
      </c>
      <c r="E5960" s="10" t="n">
        <v>0.068163</v>
      </c>
      <c r="F5960" s="10" t="n">
        <v>0.2495798518991645</v>
      </c>
      <c r="G5960" s="11">
        <f>E5960*Summary!$B$6</f>
        <v/>
      </c>
      <c r="H5960" s="11">
        <f>F5960*Summary!$B$7</f>
        <v/>
      </c>
      <c r="I5960" s="11">
        <f>MAX(0,N5960-M5960)</f>
        <v/>
      </c>
      <c r="J5960" s="11">
        <f>MAX(0,M5960-N5960)</f>
        <v/>
      </c>
      <c r="K5960" s="11">
        <f>O5960</f>
        <v/>
      </c>
      <c r="L5960" s="11">
        <f>L5959+IF(K5960&gt;0,K5960*Summary!$B$9,K5960/Summary!$B$9)</f>
        <v/>
      </c>
      <c r="M5960" s="11">
        <f>G5960+H5960</f>
        <v/>
      </c>
      <c r="N5960" s="11">
        <f>Summary!$C$16*Summary!$B$8</f>
        <v/>
      </c>
      <c r="O5960" s="11">
        <f>M5960-N5960</f>
        <v/>
      </c>
    </row>
    <row r="5961">
      <c r="A5961" s="9" t="n">
        <v>45540.29166666666</v>
      </c>
      <c r="B5961" t="n">
        <v>9</v>
      </c>
      <c r="C5961" t="n">
        <v>5</v>
      </c>
      <c r="D5961" t="n">
        <v>7</v>
      </c>
      <c r="E5961" s="10" t="n">
        <v>0.264976</v>
      </c>
      <c r="F5961" s="10" t="n">
        <v>0.2222001173280282</v>
      </c>
      <c r="G5961" s="11">
        <f>E5961*Summary!$B$6</f>
        <v/>
      </c>
      <c r="H5961" s="11">
        <f>F5961*Summary!$B$7</f>
        <v/>
      </c>
      <c r="I5961" s="11">
        <f>MAX(0,N5961-M5961)</f>
        <v/>
      </c>
      <c r="J5961" s="11">
        <f>MAX(0,M5961-N5961)</f>
        <v/>
      </c>
      <c r="K5961" s="11">
        <f>O5961</f>
        <v/>
      </c>
      <c r="L5961" s="11">
        <f>L5960+IF(K5961&gt;0,K5961*Summary!$B$9,K5961/Summary!$B$9)</f>
        <v/>
      </c>
      <c r="M5961" s="11">
        <f>G5961+H5961</f>
        <v/>
      </c>
      <c r="N5961" s="11">
        <f>Summary!$C$16*Summary!$B$8</f>
        <v/>
      </c>
      <c r="O5961" s="11">
        <f>M5961-N5961</f>
        <v/>
      </c>
    </row>
    <row r="5962">
      <c r="A5962" s="9" t="n">
        <v>45540.33333333334</v>
      </c>
      <c r="B5962" t="n">
        <v>9</v>
      </c>
      <c r="C5962" t="n">
        <v>5</v>
      </c>
      <c r="D5962" t="n">
        <v>8</v>
      </c>
      <c r="E5962" s="10" t="n">
        <v>0.46769</v>
      </c>
      <c r="F5962" s="10" t="n">
        <v>0.2034111368186728</v>
      </c>
      <c r="G5962" s="11">
        <f>E5962*Summary!$B$6</f>
        <v/>
      </c>
      <c r="H5962" s="11">
        <f>F5962*Summary!$B$7</f>
        <v/>
      </c>
      <c r="I5962" s="11">
        <f>MAX(0,N5962-M5962)</f>
        <v/>
      </c>
      <c r="J5962" s="11">
        <f>MAX(0,M5962-N5962)</f>
        <v/>
      </c>
      <c r="K5962" s="11">
        <f>O5962</f>
        <v/>
      </c>
      <c r="L5962" s="11">
        <f>L5961+IF(K5962&gt;0,K5962*Summary!$B$9,K5962/Summary!$B$9)</f>
        <v/>
      </c>
      <c r="M5962" s="11">
        <f>G5962+H5962</f>
        <v/>
      </c>
      <c r="N5962" s="11">
        <f>Summary!$C$16*Summary!$B$8</f>
        <v/>
      </c>
      <c r="O5962" s="11">
        <f>M5962-N5962</f>
        <v/>
      </c>
    </row>
    <row r="5963">
      <c r="A5963" s="9" t="n">
        <v>45540.375</v>
      </c>
      <c r="B5963" t="n">
        <v>9</v>
      </c>
      <c r="C5963" t="n">
        <v>5</v>
      </c>
      <c r="D5963" t="n">
        <v>9</v>
      </c>
      <c r="E5963" s="10" t="n">
        <v>0.630764</v>
      </c>
      <c r="F5963" s="10" t="n">
        <v>0.1680994483438676</v>
      </c>
      <c r="G5963" s="11">
        <f>E5963*Summary!$B$6</f>
        <v/>
      </c>
      <c r="H5963" s="11">
        <f>F5963*Summary!$B$7</f>
        <v/>
      </c>
      <c r="I5963" s="11">
        <f>MAX(0,N5963-M5963)</f>
        <v/>
      </c>
      <c r="J5963" s="11">
        <f>MAX(0,M5963-N5963)</f>
        <v/>
      </c>
      <c r="K5963" s="11">
        <f>O5963</f>
        <v/>
      </c>
      <c r="L5963" s="11">
        <f>L5962+IF(K5963&gt;0,K5963*Summary!$B$9,K5963/Summary!$B$9)</f>
        <v/>
      </c>
      <c r="M5963" s="11">
        <f>G5963+H5963</f>
        <v/>
      </c>
      <c r="N5963" s="11">
        <f>Summary!$C$16*Summary!$B$8</f>
        <v/>
      </c>
      <c r="O5963" s="11">
        <f>M5963-N5963</f>
        <v/>
      </c>
    </row>
    <row r="5964">
      <c r="A5964" s="9" t="n">
        <v>45540.41666666666</v>
      </c>
      <c r="B5964" t="n">
        <v>9</v>
      </c>
      <c r="C5964" t="n">
        <v>5</v>
      </c>
      <c r="D5964" t="n">
        <v>10</v>
      </c>
      <c r="E5964" s="10" t="n">
        <v>0.7411</v>
      </c>
      <c r="F5964" s="10" t="n">
        <v>0.1971920633260952</v>
      </c>
      <c r="G5964" s="11">
        <f>E5964*Summary!$B$6</f>
        <v/>
      </c>
      <c r="H5964" s="11">
        <f>F5964*Summary!$B$7</f>
        <v/>
      </c>
      <c r="I5964" s="11">
        <f>MAX(0,N5964-M5964)</f>
        <v/>
      </c>
      <c r="J5964" s="11">
        <f>MAX(0,M5964-N5964)</f>
        <v/>
      </c>
      <c r="K5964" s="11">
        <f>O5964</f>
        <v/>
      </c>
      <c r="L5964" s="11">
        <f>L5963+IF(K5964&gt;0,K5964*Summary!$B$9,K5964/Summary!$B$9)</f>
        <v/>
      </c>
      <c r="M5964" s="11">
        <f>G5964+H5964</f>
        <v/>
      </c>
      <c r="N5964" s="11">
        <f>Summary!$C$16*Summary!$B$8</f>
        <v/>
      </c>
      <c r="O5964" s="11">
        <f>M5964-N5964</f>
        <v/>
      </c>
    </row>
    <row r="5965">
      <c r="A5965" s="9" t="n">
        <v>45540.45833333334</v>
      </c>
      <c r="B5965" t="n">
        <v>9</v>
      </c>
      <c r="C5965" t="n">
        <v>5</v>
      </c>
      <c r="D5965" t="n">
        <v>11</v>
      </c>
      <c r="E5965" s="10" t="n">
        <v>0.754058</v>
      </c>
      <c r="F5965" s="10" t="n">
        <v>0.2025678726162894</v>
      </c>
      <c r="G5965" s="11">
        <f>E5965*Summary!$B$6</f>
        <v/>
      </c>
      <c r="H5965" s="11">
        <f>F5965*Summary!$B$7</f>
        <v/>
      </c>
      <c r="I5965" s="11">
        <f>MAX(0,N5965-M5965)</f>
        <v/>
      </c>
      <c r="J5965" s="11">
        <f>MAX(0,M5965-N5965)</f>
        <v/>
      </c>
      <c r="K5965" s="11">
        <f>O5965</f>
        <v/>
      </c>
      <c r="L5965" s="11">
        <f>L5964+IF(K5965&gt;0,K5965*Summary!$B$9,K5965/Summary!$B$9)</f>
        <v/>
      </c>
      <c r="M5965" s="11">
        <f>G5965+H5965</f>
        <v/>
      </c>
      <c r="N5965" s="11">
        <f>Summary!$C$16*Summary!$B$8</f>
        <v/>
      </c>
      <c r="O5965" s="11">
        <f>M5965-N5965</f>
        <v/>
      </c>
    </row>
    <row r="5966">
      <c r="A5966" s="9" t="n">
        <v>45540.5</v>
      </c>
      <c r="B5966" t="n">
        <v>9</v>
      </c>
      <c r="C5966" t="n">
        <v>5</v>
      </c>
      <c r="D5966" t="n">
        <v>12</v>
      </c>
      <c r="E5966" s="10" t="n">
        <v>0.754058</v>
      </c>
      <c r="F5966" s="10" t="n">
        <v>0.2029104486985077</v>
      </c>
      <c r="G5966" s="11">
        <f>E5966*Summary!$B$6</f>
        <v/>
      </c>
      <c r="H5966" s="11">
        <f>F5966*Summary!$B$7</f>
        <v/>
      </c>
      <c r="I5966" s="11">
        <f>MAX(0,N5966-M5966)</f>
        <v/>
      </c>
      <c r="J5966" s="11">
        <f>MAX(0,M5966-N5966)</f>
        <v/>
      </c>
      <c r="K5966" s="11">
        <f>O5966</f>
        <v/>
      </c>
      <c r="L5966" s="11">
        <f>L5965+IF(K5966&gt;0,K5966*Summary!$B$9,K5966/Summary!$B$9)</f>
        <v/>
      </c>
      <c r="M5966" s="11">
        <f>G5966+H5966</f>
        <v/>
      </c>
      <c r="N5966" s="11">
        <f>Summary!$C$16*Summary!$B$8</f>
        <v/>
      </c>
      <c r="O5966" s="11">
        <f>M5966-N5966</f>
        <v/>
      </c>
    </row>
    <row r="5967">
      <c r="A5967" s="9" t="n">
        <v>45540.54166666666</v>
      </c>
      <c r="B5967" t="n">
        <v>9</v>
      </c>
      <c r="C5967" t="n">
        <v>5</v>
      </c>
      <c r="D5967" t="n">
        <v>13</v>
      </c>
      <c r="E5967" s="10" t="n">
        <v>0.7526890000000001</v>
      </c>
      <c r="F5967" s="10" t="n">
        <v>0.2018036644328795</v>
      </c>
      <c r="G5967" s="11">
        <f>E5967*Summary!$B$6</f>
        <v/>
      </c>
      <c r="H5967" s="11">
        <f>F5967*Summary!$B$7</f>
        <v/>
      </c>
      <c r="I5967" s="11">
        <f>MAX(0,N5967-M5967)</f>
        <v/>
      </c>
      <c r="J5967" s="11">
        <f>MAX(0,M5967-N5967)</f>
        <v/>
      </c>
      <c r="K5967" s="11">
        <f>O5967</f>
        <v/>
      </c>
      <c r="L5967" s="11">
        <f>L5966+IF(K5967&gt;0,K5967*Summary!$B$9,K5967/Summary!$B$9)</f>
        <v/>
      </c>
      <c r="M5967" s="11">
        <f>G5967+H5967</f>
        <v/>
      </c>
      <c r="N5967" s="11">
        <f>Summary!$C$16*Summary!$B$8</f>
        <v/>
      </c>
      <c r="O5967" s="11">
        <f>M5967-N5967</f>
        <v/>
      </c>
    </row>
    <row r="5968">
      <c r="A5968" s="9" t="n">
        <v>45540.58333333334</v>
      </c>
      <c r="B5968" t="n">
        <v>9</v>
      </c>
      <c r="C5968" t="n">
        <v>5</v>
      </c>
      <c r="D5968" t="n">
        <v>14</v>
      </c>
      <c r="E5968" s="10" t="n">
        <v>0.558769</v>
      </c>
      <c r="F5968" s="10" t="n">
        <v>0.1988522397245375</v>
      </c>
      <c r="G5968" s="11">
        <f>E5968*Summary!$B$6</f>
        <v/>
      </c>
      <c r="H5968" s="11">
        <f>F5968*Summary!$B$7</f>
        <v/>
      </c>
      <c r="I5968" s="11">
        <f>MAX(0,N5968-M5968)</f>
        <v/>
      </c>
      <c r="J5968" s="11">
        <f>MAX(0,M5968-N5968)</f>
        <v/>
      </c>
      <c r="K5968" s="11">
        <f>O5968</f>
        <v/>
      </c>
      <c r="L5968" s="11">
        <f>L5967+IF(K5968&gt;0,K5968*Summary!$B$9,K5968/Summary!$B$9)</f>
        <v/>
      </c>
      <c r="M5968" s="11">
        <f>G5968+H5968</f>
        <v/>
      </c>
      <c r="N5968" s="11">
        <f>Summary!$C$16*Summary!$B$8</f>
        <v/>
      </c>
      <c r="O5968" s="11">
        <f>M5968-N5968</f>
        <v/>
      </c>
    </row>
    <row r="5969">
      <c r="A5969" s="9" t="n">
        <v>45540.625</v>
      </c>
      <c r="B5969" t="n">
        <v>9</v>
      </c>
      <c r="C5969" t="n">
        <v>5</v>
      </c>
      <c r="D5969" t="n">
        <v>15</v>
      </c>
      <c r="E5969" s="10" t="n">
        <v>0.513003</v>
      </c>
      <c r="F5969" s="10" t="n">
        <v>0.1971130073071218</v>
      </c>
      <c r="G5969" s="11">
        <f>E5969*Summary!$B$6</f>
        <v/>
      </c>
      <c r="H5969" s="11">
        <f>F5969*Summary!$B$7</f>
        <v/>
      </c>
      <c r="I5969" s="11">
        <f>MAX(0,N5969-M5969)</f>
        <v/>
      </c>
      <c r="J5969" s="11">
        <f>MAX(0,M5969-N5969)</f>
        <v/>
      </c>
      <c r="K5969" s="11">
        <f>O5969</f>
        <v/>
      </c>
      <c r="L5969" s="11">
        <f>L5968+IF(K5969&gt;0,K5969*Summary!$B$9,K5969/Summary!$B$9)</f>
        <v/>
      </c>
      <c r="M5969" s="11">
        <f>G5969+H5969</f>
        <v/>
      </c>
      <c r="N5969" s="11">
        <f>Summary!$C$16*Summary!$B$8</f>
        <v/>
      </c>
      <c r="O5969" s="11">
        <f>M5969-N5969</f>
        <v/>
      </c>
    </row>
    <row r="5970">
      <c r="A5970" s="9" t="n">
        <v>45540.66666666666</v>
      </c>
      <c r="B5970" t="n">
        <v>9</v>
      </c>
      <c r="C5970" t="n">
        <v>5</v>
      </c>
      <c r="D5970" t="n">
        <v>16</v>
      </c>
      <c r="E5970" s="10" t="n">
        <v>0.311577</v>
      </c>
      <c r="F5970" s="10" t="n">
        <v>0.1963487991237118</v>
      </c>
      <c r="G5970" s="11">
        <f>E5970*Summary!$B$6</f>
        <v/>
      </c>
      <c r="H5970" s="11">
        <f>F5970*Summary!$B$7</f>
        <v/>
      </c>
      <c r="I5970" s="11">
        <f>MAX(0,N5970-M5970)</f>
        <v/>
      </c>
      <c r="J5970" s="11">
        <f>MAX(0,M5970-N5970)</f>
        <v/>
      </c>
      <c r="K5970" s="11">
        <f>O5970</f>
        <v/>
      </c>
      <c r="L5970" s="11">
        <f>L5969+IF(K5970&gt;0,K5970*Summary!$B$9,K5970/Summary!$B$9)</f>
        <v/>
      </c>
      <c r="M5970" s="11">
        <f>G5970+H5970</f>
        <v/>
      </c>
      <c r="N5970" s="11">
        <f>Summary!$C$16*Summary!$B$8</f>
        <v/>
      </c>
      <c r="O5970" s="11">
        <f>M5970-N5970</f>
        <v/>
      </c>
    </row>
    <row r="5971">
      <c r="A5971" s="9" t="n">
        <v>45540.70833333334</v>
      </c>
      <c r="B5971" t="n">
        <v>9</v>
      </c>
      <c r="C5971" t="n">
        <v>5</v>
      </c>
      <c r="D5971" t="n">
        <v>17</v>
      </c>
      <c r="E5971" s="10" t="n">
        <v>0.103632</v>
      </c>
      <c r="F5971" s="10" t="n">
        <v>0.2127133950512148</v>
      </c>
      <c r="G5971" s="11">
        <f>E5971*Summary!$B$6</f>
        <v/>
      </c>
      <c r="H5971" s="11">
        <f>F5971*Summary!$B$7</f>
        <v/>
      </c>
      <c r="I5971" s="11">
        <f>MAX(0,N5971-M5971)</f>
        <v/>
      </c>
      <c r="J5971" s="11">
        <f>MAX(0,M5971-N5971)</f>
        <v/>
      </c>
      <c r="K5971" s="11">
        <f>O5971</f>
        <v/>
      </c>
      <c r="L5971" s="11">
        <f>L5970+IF(K5971&gt;0,K5971*Summary!$B$9,K5971/Summary!$B$9)</f>
        <v/>
      </c>
      <c r="M5971" s="11">
        <f>G5971+H5971</f>
        <v/>
      </c>
      <c r="N5971" s="11">
        <f>Summary!$C$16*Summary!$B$8</f>
        <v/>
      </c>
      <c r="O5971" s="11">
        <f>M5971-N5971</f>
        <v/>
      </c>
    </row>
    <row r="5972">
      <c r="A5972" s="9" t="n">
        <v>45540.75</v>
      </c>
      <c r="B5972" t="n">
        <v>9</v>
      </c>
      <c r="C5972" t="n">
        <v>5</v>
      </c>
      <c r="D5972" t="n">
        <v>18</v>
      </c>
      <c r="E5972" s="10" t="n">
        <v>0.008554000000000001</v>
      </c>
      <c r="F5972" s="10" t="n">
        <v>0.2034374888249973</v>
      </c>
      <c r="G5972" s="11">
        <f>E5972*Summary!$B$6</f>
        <v/>
      </c>
      <c r="H5972" s="11">
        <f>F5972*Summary!$B$7</f>
        <v/>
      </c>
      <c r="I5972" s="11">
        <f>MAX(0,N5972-M5972)</f>
        <v/>
      </c>
      <c r="J5972" s="11">
        <f>MAX(0,M5972-N5972)</f>
        <v/>
      </c>
      <c r="K5972" s="11">
        <f>O5972</f>
        <v/>
      </c>
      <c r="L5972" s="11">
        <f>L5971+IF(K5972&gt;0,K5972*Summary!$B$9,K5972/Summary!$B$9)</f>
        <v/>
      </c>
      <c r="M5972" s="11">
        <f>G5972+H5972</f>
        <v/>
      </c>
      <c r="N5972" s="11">
        <f>Summary!$C$16*Summary!$B$8</f>
        <v/>
      </c>
      <c r="O5972" s="11">
        <f>M5972-N5972</f>
        <v/>
      </c>
    </row>
    <row r="5973">
      <c r="A5973" s="9" t="n">
        <v>45540.79166666666</v>
      </c>
      <c r="B5973" t="n">
        <v>9</v>
      </c>
      <c r="C5973" t="n">
        <v>5</v>
      </c>
      <c r="D5973" t="n">
        <v>19</v>
      </c>
      <c r="E5973" s="10" t="n">
        <v>0</v>
      </c>
      <c r="F5973" s="10" t="n">
        <v>0.216718900012536</v>
      </c>
      <c r="G5973" s="11">
        <f>E5973*Summary!$B$6</f>
        <v/>
      </c>
      <c r="H5973" s="11">
        <f>F5973*Summary!$B$7</f>
        <v/>
      </c>
      <c r="I5973" s="11">
        <f>MAX(0,N5973-M5973)</f>
        <v/>
      </c>
      <c r="J5973" s="11">
        <f>MAX(0,M5973-N5973)</f>
        <v/>
      </c>
      <c r="K5973" s="11">
        <f>O5973</f>
        <v/>
      </c>
      <c r="L5973" s="11">
        <f>L5972+IF(K5973&gt;0,K5973*Summary!$B$9,K5973/Summary!$B$9)</f>
        <v/>
      </c>
      <c r="M5973" s="11">
        <f>G5973+H5973</f>
        <v/>
      </c>
      <c r="N5973" s="11">
        <f>Summary!$C$16*Summary!$B$8</f>
        <v/>
      </c>
      <c r="O5973" s="11">
        <f>M5973-N5973</f>
        <v/>
      </c>
    </row>
    <row r="5974">
      <c r="A5974" s="9" t="n">
        <v>45540.83333333334</v>
      </c>
      <c r="B5974" t="n">
        <v>9</v>
      </c>
      <c r="C5974" t="n">
        <v>5</v>
      </c>
      <c r="D5974" t="n">
        <v>20</v>
      </c>
      <c r="E5974" s="10" t="n">
        <v>0</v>
      </c>
      <c r="F5974" s="10" t="n">
        <v>0.2292361030166647</v>
      </c>
      <c r="G5974" s="11">
        <f>E5974*Summary!$B$6</f>
        <v/>
      </c>
      <c r="H5974" s="11">
        <f>F5974*Summary!$B$7</f>
        <v/>
      </c>
      <c r="I5974" s="11">
        <f>MAX(0,N5974-M5974)</f>
        <v/>
      </c>
      <c r="J5974" s="11">
        <f>MAX(0,M5974-N5974)</f>
        <v/>
      </c>
      <c r="K5974" s="11">
        <f>O5974</f>
        <v/>
      </c>
      <c r="L5974" s="11">
        <f>L5973+IF(K5974&gt;0,K5974*Summary!$B$9,K5974/Summary!$B$9)</f>
        <v/>
      </c>
      <c r="M5974" s="11">
        <f>G5974+H5974</f>
        <v/>
      </c>
      <c r="N5974" s="11">
        <f>Summary!$C$16*Summary!$B$8</f>
        <v/>
      </c>
      <c r="O5974" s="11">
        <f>M5974-N5974</f>
        <v/>
      </c>
    </row>
    <row r="5975">
      <c r="A5975" s="9" t="n">
        <v>45540.875</v>
      </c>
      <c r="B5975" t="n">
        <v>9</v>
      </c>
      <c r="C5975" t="n">
        <v>5</v>
      </c>
      <c r="D5975" t="n">
        <v>21</v>
      </c>
      <c r="E5975" s="10" t="n">
        <v>0</v>
      </c>
      <c r="F5975" s="10" t="n">
        <v>0.2379586171100681</v>
      </c>
      <c r="G5975" s="11">
        <f>E5975*Summary!$B$6</f>
        <v/>
      </c>
      <c r="H5975" s="11">
        <f>F5975*Summary!$B$7</f>
        <v/>
      </c>
      <c r="I5975" s="11">
        <f>MAX(0,N5975-M5975)</f>
        <v/>
      </c>
      <c r="J5975" s="11">
        <f>MAX(0,M5975-N5975)</f>
        <v/>
      </c>
      <c r="K5975" s="11">
        <f>O5975</f>
        <v/>
      </c>
      <c r="L5975" s="11">
        <f>L5974+IF(K5975&gt;0,K5975*Summary!$B$9,K5975/Summary!$B$9)</f>
        <v/>
      </c>
      <c r="M5975" s="11">
        <f>G5975+H5975</f>
        <v/>
      </c>
      <c r="N5975" s="11">
        <f>Summary!$C$16*Summary!$B$8</f>
        <v/>
      </c>
      <c r="O5975" s="11">
        <f>M5975-N5975</f>
        <v/>
      </c>
    </row>
    <row r="5976">
      <c r="A5976" s="9" t="n">
        <v>45540.91666666666</v>
      </c>
      <c r="B5976" t="n">
        <v>9</v>
      </c>
      <c r="C5976" t="n">
        <v>5</v>
      </c>
      <c r="D5976" t="n">
        <v>22</v>
      </c>
      <c r="E5976" s="10" t="n">
        <v>0</v>
      </c>
      <c r="F5976" s="10" t="n">
        <v>0.2400931296223511</v>
      </c>
      <c r="G5976" s="11">
        <f>E5976*Summary!$B$6</f>
        <v/>
      </c>
      <c r="H5976" s="11">
        <f>F5976*Summary!$B$7</f>
        <v/>
      </c>
      <c r="I5976" s="11">
        <f>MAX(0,N5976-M5976)</f>
        <v/>
      </c>
      <c r="J5976" s="11">
        <f>MAX(0,M5976-N5976)</f>
        <v/>
      </c>
      <c r="K5976" s="11">
        <f>O5976</f>
        <v/>
      </c>
      <c r="L5976" s="11">
        <f>L5975+IF(K5976&gt;0,K5976*Summary!$B$9,K5976/Summary!$B$9)</f>
        <v/>
      </c>
      <c r="M5976" s="11">
        <f>G5976+H5976</f>
        <v/>
      </c>
      <c r="N5976" s="11">
        <f>Summary!$C$16*Summary!$B$8</f>
        <v/>
      </c>
      <c r="O5976" s="11">
        <f>M5976-N5976</f>
        <v/>
      </c>
    </row>
    <row r="5977">
      <c r="A5977" s="9" t="n">
        <v>45540.95833333334</v>
      </c>
      <c r="B5977" t="n">
        <v>9</v>
      </c>
      <c r="C5977" t="n">
        <v>5</v>
      </c>
      <c r="D5977" t="n">
        <v>23</v>
      </c>
      <c r="E5977" s="10" t="n">
        <v>0</v>
      </c>
      <c r="F5977" s="10" t="n">
        <v>0.2407782817867876</v>
      </c>
      <c r="G5977" s="11">
        <f>E5977*Summary!$B$6</f>
        <v/>
      </c>
      <c r="H5977" s="11">
        <f>F5977*Summary!$B$7</f>
        <v/>
      </c>
      <c r="I5977" s="11">
        <f>MAX(0,N5977-M5977)</f>
        <v/>
      </c>
      <c r="J5977" s="11">
        <f>MAX(0,M5977-N5977)</f>
        <v/>
      </c>
      <c r="K5977" s="11">
        <f>O5977</f>
        <v/>
      </c>
      <c r="L5977" s="11">
        <f>L5976+IF(K5977&gt;0,K5977*Summary!$B$9,K5977/Summary!$B$9)</f>
        <v/>
      </c>
      <c r="M5977" s="11">
        <f>G5977+H5977</f>
        <v/>
      </c>
      <c r="N5977" s="11">
        <f>Summary!$C$16*Summary!$B$8</f>
        <v/>
      </c>
      <c r="O5977" s="11">
        <f>M5977-N5977</f>
        <v/>
      </c>
    </row>
    <row r="5978">
      <c r="A5978" s="9" t="n">
        <v>45541</v>
      </c>
      <c r="B5978" t="n">
        <v>9</v>
      </c>
      <c r="C5978" t="n">
        <v>6</v>
      </c>
      <c r="D5978" t="n">
        <v>0</v>
      </c>
      <c r="E5978" s="10" t="n">
        <v>0</v>
      </c>
      <c r="F5978" s="10" t="n">
        <v>0.2547184931324383</v>
      </c>
      <c r="G5978" s="11">
        <f>E5978*Summary!$B$6</f>
        <v/>
      </c>
      <c r="H5978" s="11">
        <f>F5978*Summary!$B$7</f>
        <v/>
      </c>
      <c r="I5978" s="11">
        <f>MAX(0,N5978-M5978)</f>
        <v/>
      </c>
      <c r="J5978" s="11">
        <f>MAX(0,M5978-N5978)</f>
        <v/>
      </c>
      <c r="K5978" s="11">
        <f>O5978</f>
        <v/>
      </c>
      <c r="L5978" s="11">
        <f>L5977+IF(K5978&gt;0,K5978*Summary!$B$9,K5978/Summary!$B$9)</f>
        <v/>
      </c>
      <c r="M5978" s="11">
        <f>G5978+H5978</f>
        <v/>
      </c>
      <c r="N5978" s="11">
        <f>Summary!$C$16*Summary!$B$8</f>
        <v/>
      </c>
      <c r="O5978" s="11">
        <f>M5978-N5978</f>
        <v/>
      </c>
    </row>
    <row r="5979">
      <c r="A5979" s="9" t="n">
        <v>45541.04166666666</v>
      </c>
      <c r="B5979" t="n">
        <v>9</v>
      </c>
      <c r="C5979" t="n">
        <v>6</v>
      </c>
      <c r="D5979" t="n">
        <v>1</v>
      </c>
      <c r="E5979" s="10" t="n">
        <v>0</v>
      </c>
      <c r="F5979" s="10" t="n">
        <v>0.230948983427756</v>
      </c>
      <c r="G5979" s="11">
        <f>E5979*Summary!$B$6</f>
        <v/>
      </c>
      <c r="H5979" s="11">
        <f>F5979*Summary!$B$7</f>
        <v/>
      </c>
      <c r="I5979" s="11">
        <f>MAX(0,N5979-M5979)</f>
        <v/>
      </c>
      <c r="J5979" s="11">
        <f>MAX(0,M5979-N5979)</f>
        <v/>
      </c>
      <c r="K5979" s="11">
        <f>O5979</f>
        <v/>
      </c>
      <c r="L5979" s="11">
        <f>L5978+IF(K5979&gt;0,K5979*Summary!$B$9,K5979/Summary!$B$9)</f>
        <v/>
      </c>
      <c r="M5979" s="11">
        <f>G5979+H5979</f>
        <v/>
      </c>
      <c r="N5979" s="11">
        <f>Summary!$C$16*Summary!$B$8</f>
        <v/>
      </c>
      <c r="O5979" s="11">
        <f>M5979-N5979</f>
        <v/>
      </c>
    </row>
    <row r="5980">
      <c r="A5980" s="9" t="n">
        <v>45541.08333333334</v>
      </c>
      <c r="B5980" t="n">
        <v>9</v>
      </c>
      <c r="C5980" t="n">
        <v>6</v>
      </c>
      <c r="D5980" t="n">
        <v>2</v>
      </c>
      <c r="E5980" s="10" t="n">
        <v>0</v>
      </c>
      <c r="F5980" s="10" t="n">
        <v>0.2303955912949419</v>
      </c>
      <c r="G5980" s="11">
        <f>E5980*Summary!$B$6</f>
        <v/>
      </c>
      <c r="H5980" s="11">
        <f>F5980*Summary!$B$7</f>
        <v/>
      </c>
      <c r="I5980" s="11">
        <f>MAX(0,N5980-M5980)</f>
        <v/>
      </c>
      <c r="J5980" s="11">
        <f>MAX(0,M5980-N5980)</f>
        <v/>
      </c>
      <c r="K5980" s="11">
        <f>O5980</f>
        <v/>
      </c>
      <c r="L5980" s="11">
        <f>L5979+IF(K5980&gt;0,K5980*Summary!$B$9,K5980/Summary!$B$9)</f>
        <v/>
      </c>
      <c r="M5980" s="11">
        <f>G5980+H5980</f>
        <v/>
      </c>
      <c r="N5980" s="11">
        <f>Summary!$C$16*Summary!$B$8</f>
        <v/>
      </c>
      <c r="O5980" s="11">
        <f>M5980-N5980</f>
        <v/>
      </c>
    </row>
    <row r="5981">
      <c r="A5981" s="9" t="n">
        <v>45541.125</v>
      </c>
      <c r="B5981" t="n">
        <v>9</v>
      </c>
      <c r="C5981" t="n">
        <v>6</v>
      </c>
      <c r="D5981" t="n">
        <v>3</v>
      </c>
      <c r="E5981" s="10" t="n">
        <v>0</v>
      </c>
      <c r="F5981" s="10" t="n">
        <v>0.2307908713898091</v>
      </c>
      <c r="G5981" s="11">
        <f>E5981*Summary!$B$6</f>
        <v/>
      </c>
      <c r="H5981" s="11">
        <f>F5981*Summary!$B$7</f>
        <v/>
      </c>
      <c r="I5981" s="11">
        <f>MAX(0,N5981-M5981)</f>
        <v/>
      </c>
      <c r="J5981" s="11">
        <f>MAX(0,M5981-N5981)</f>
        <v/>
      </c>
      <c r="K5981" s="11">
        <f>O5981</f>
        <v/>
      </c>
      <c r="L5981" s="11">
        <f>L5980+IF(K5981&gt;0,K5981*Summary!$B$9,K5981/Summary!$B$9)</f>
        <v/>
      </c>
      <c r="M5981" s="11">
        <f>G5981+H5981</f>
        <v/>
      </c>
      <c r="N5981" s="11">
        <f>Summary!$C$16*Summary!$B$8</f>
        <v/>
      </c>
      <c r="O5981" s="11">
        <f>M5981-N5981</f>
        <v/>
      </c>
    </row>
    <row r="5982">
      <c r="A5982" s="9" t="n">
        <v>45541.16666666666</v>
      </c>
      <c r="B5982" t="n">
        <v>9</v>
      </c>
      <c r="C5982" t="n">
        <v>6</v>
      </c>
      <c r="D5982" t="n">
        <v>4</v>
      </c>
      <c r="E5982" s="10" t="n">
        <v>0</v>
      </c>
      <c r="F5982" s="10" t="n">
        <v>0.2326091598261983</v>
      </c>
      <c r="G5982" s="11">
        <f>E5982*Summary!$B$6</f>
        <v/>
      </c>
      <c r="H5982" s="11">
        <f>F5982*Summary!$B$7</f>
        <v/>
      </c>
      <c r="I5982" s="11">
        <f>MAX(0,N5982-M5982)</f>
        <v/>
      </c>
      <c r="J5982" s="11">
        <f>MAX(0,M5982-N5982)</f>
        <v/>
      </c>
      <c r="K5982" s="11">
        <f>O5982</f>
        <v/>
      </c>
      <c r="L5982" s="11">
        <f>L5981+IF(K5982&gt;0,K5982*Summary!$B$9,K5982/Summary!$B$9)</f>
        <v/>
      </c>
      <c r="M5982" s="11">
        <f>G5982+H5982</f>
        <v/>
      </c>
      <c r="N5982" s="11">
        <f>Summary!$C$16*Summary!$B$8</f>
        <v/>
      </c>
      <c r="O5982" s="11">
        <f>M5982-N5982</f>
        <v/>
      </c>
    </row>
    <row r="5983">
      <c r="A5983" s="9" t="n">
        <v>45541.20833333334</v>
      </c>
      <c r="B5983" t="n">
        <v>9</v>
      </c>
      <c r="C5983" t="n">
        <v>6</v>
      </c>
      <c r="D5983" t="n">
        <v>5</v>
      </c>
      <c r="E5983" s="10" t="n">
        <v>0</v>
      </c>
      <c r="F5983" s="10" t="n">
        <v>0.2279712067130896</v>
      </c>
      <c r="G5983" s="11">
        <f>E5983*Summary!$B$6</f>
        <v/>
      </c>
      <c r="H5983" s="11">
        <f>F5983*Summary!$B$7</f>
        <v/>
      </c>
      <c r="I5983" s="11">
        <f>MAX(0,N5983-M5983)</f>
        <v/>
      </c>
      <c r="J5983" s="11">
        <f>MAX(0,M5983-N5983)</f>
        <v/>
      </c>
      <c r="K5983" s="11">
        <f>O5983</f>
        <v/>
      </c>
      <c r="L5983" s="11">
        <f>L5982+IF(K5983&gt;0,K5983*Summary!$B$9,K5983/Summary!$B$9)</f>
        <v/>
      </c>
      <c r="M5983" s="11">
        <f>G5983+H5983</f>
        <v/>
      </c>
      <c r="N5983" s="11">
        <f>Summary!$C$16*Summary!$B$8</f>
        <v/>
      </c>
      <c r="O5983" s="11">
        <f>M5983-N5983</f>
        <v/>
      </c>
    </row>
    <row r="5984">
      <c r="A5984" s="9" t="n">
        <v>45541.25</v>
      </c>
      <c r="B5984" t="n">
        <v>9</v>
      </c>
      <c r="C5984" t="n">
        <v>6</v>
      </c>
      <c r="D5984" t="n">
        <v>6</v>
      </c>
      <c r="E5984" s="10" t="n">
        <v>0.045335</v>
      </c>
      <c r="F5984" s="10" t="n">
        <v>0.2177729802655153</v>
      </c>
      <c r="G5984" s="11">
        <f>E5984*Summary!$B$6</f>
        <v/>
      </c>
      <c r="H5984" s="11">
        <f>F5984*Summary!$B$7</f>
        <v/>
      </c>
      <c r="I5984" s="11">
        <f>MAX(0,N5984-M5984)</f>
        <v/>
      </c>
      <c r="J5984" s="11">
        <f>MAX(0,M5984-N5984)</f>
        <v/>
      </c>
      <c r="K5984" s="11">
        <f>O5984</f>
        <v/>
      </c>
      <c r="L5984" s="11">
        <f>L5983+IF(K5984&gt;0,K5984*Summary!$B$9,K5984/Summary!$B$9)</f>
        <v/>
      </c>
      <c r="M5984" s="11">
        <f>G5984+H5984</f>
        <v/>
      </c>
      <c r="N5984" s="11">
        <f>Summary!$C$16*Summary!$B$8</f>
        <v/>
      </c>
      <c r="O5984" s="11">
        <f>M5984-N5984</f>
        <v/>
      </c>
    </row>
    <row r="5985">
      <c r="A5985" s="9" t="n">
        <v>45541.29166666666</v>
      </c>
      <c r="B5985" t="n">
        <v>9</v>
      </c>
      <c r="C5985" t="n">
        <v>6</v>
      </c>
      <c r="D5985" t="n">
        <v>7</v>
      </c>
      <c r="E5985" s="10" t="n">
        <v>0.253828</v>
      </c>
      <c r="F5985" s="10" t="n">
        <v>0.1954791829150039</v>
      </c>
      <c r="G5985" s="11">
        <f>E5985*Summary!$B$6</f>
        <v/>
      </c>
      <c r="H5985" s="11">
        <f>F5985*Summary!$B$7</f>
        <v/>
      </c>
      <c r="I5985" s="11">
        <f>MAX(0,N5985-M5985)</f>
        <v/>
      </c>
      <c r="J5985" s="11">
        <f>MAX(0,M5985-N5985)</f>
        <v/>
      </c>
      <c r="K5985" s="11">
        <f>O5985</f>
        <v/>
      </c>
      <c r="L5985" s="11">
        <f>L5984+IF(K5985&gt;0,K5985*Summary!$B$9,K5985/Summary!$B$9)</f>
        <v/>
      </c>
      <c r="M5985" s="11">
        <f>G5985+H5985</f>
        <v/>
      </c>
      <c r="N5985" s="11">
        <f>Summary!$C$16*Summary!$B$8</f>
        <v/>
      </c>
      <c r="O5985" s="11">
        <f>M5985-N5985</f>
        <v/>
      </c>
    </row>
    <row r="5986">
      <c r="A5986" s="9" t="n">
        <v>45541.33333333334</v>
      </c>
      <c r="B5986" t="n">
        <v>9</v>
      </c>
      <c r="C5986" t="n">
        <v>6</v>
      </c>
      <c r="D5986" t="n">
        <v>8</v>
      </c>
      <c r="E5986" s="10" t="n">
        <v>0.353468</v>
      </c>
      <c r="F5986" s="10" t="n">
        <v>0.1798787951709108</v>
      </c>
      <c r="G5986" s="11">
        <f>E5986*Summary!$B$6</f>
        <v/>
      </c>
      <c r="H5986" s="11">
        <f>F5986*Summary!$B$7</f>
        <v/>
      </c>
      <c r="I5986" s="11">
        <f>MAX(0,N5986-M5986)</f>
        <v/>
      </c>
      <c r="J5986" s="11">
        <f>MAX(0,M5986-N5986)</f>
        <v/>
      </c>
      <c r="K5986" s="11">
        <f>O5986</f>
        <v/>
      </c>
      <c r="L5986" s="11">
        <f>L5985+IF(K5986&gt;0,K5986*Summary!$B$9,K5986/Summary!$B$9)</f>
        <v/>
      </c>
      <c r="M5986" s="11">
        <f>G5986+H5986</f>
        <v/>
      </c>
      <c r="N5986" s="11">
        <f>Summary!$C$16*Summary!$B$8</f>
        <v/>
      </c>
      <c r="O5986" s="11">
        <f>M5986-N5986</f>
        <v/>
      </c>
    </row>
    <row r="5987">
      <c r="A5987" s="9" t="n">
        <v>45541.375</v>
      </c>
      <c r="B5987" t="n">
        <v>9</v>
      </c>
      <c r="C5987" t="n">
        <v>6</v>
      </c>
      <c r="D5987" t="n">
        <v>9</v>
      </c>
      <c r="E5987" s="10" t="n">
        <v>0.6099059999999999</v>
      </c>
      <c r="F5987" s="10" t="n">
        <v>0.1747138019313124</v>
      </c>
      <c r="G5987" s="11">
        <f>E5987*Summary!$B$6</f>
        <v/>
      </c>
      <c r="H5987" s="11">
        <f>F5987*Summary!$B$7</f>
        <v/>
      </c>
      <c r="I5987" s="11">
        <f>MAX(0,N5987-M5987)</f>
        <v/>
      </c>
      <c r="J5987" s="11">
        <f>MAX(0,M5987-N5987)</f>
        <v/>
      </c>
      <c r="K5987" s="11">
        <f>O5987</f>
        <v/>
      </c>
      <c r="L5987" s="11">
        <f>L5986+IF(K5987&gt;0,K5987*Summary!$B$9,K5987/Summary!$B$9)</f>
        <v/>
      </c>
      <c r="M5987" s="11">
        <f>G5987+H5987</f>
        <v/>
      </c>
      <c r="N5987" s="11">
        <f>Summary!$C$16*Summary!$B$8</f>
        <v/>
      </c>
      <c r="O5987" s="11">
        <f>M5987-N5987</f>
        <v/>
      </c>
    </row>
    <row r="5988">
      <c r="A5988" s="9" t="n">
        <v>45541.41666666666</v>
      </c>
      <c r="B5988" t="n">
        <v>9</v>
      </c>
      <c r="C5988" t="n">
        <v>6</v>
      </c>
      <c r="D5988" t="n">
        <v>10</v>
      </c>
      <c r="E5988" s="10" t="n">
        <v>0.719673</v>
      </c>
      <c r="F5988" s="10" t="n">
        <v>0.1786138988673357</v>
      </c>
      <c r="G5988" s="11">
        <f>E5988*Summary!$B$6</f>
        <v/>
      </c>
      <c r="H5988" s="11">
        <f>F5988*Summary!$B$7</f>
        <v/>
      </c>
      <c r="I5988" s="11">
        <f>MAX(0,N5988-M5988)</f>
        <v/>
      </c>
      <c r="J5988" s="11">
        <f>MAX(0,M5988-N5988)</f>
        <v/>
      </c>
      <c r="K5988" s="11">
        <f>O5988</f>
        <v/>
      </c>
      <c r="L5988" s="11">
        <f>L5987+IF(K5988&gt;0,K5988*Summary!$B$9,K5988/Summary!$B$9)</f>
        <v/>
      </c>
      <c r="M5988" s="11">
        <f>G5988+H5988</f>
        <v/>
      </c>
      <c r="N5988" s="11">
        <f>Summary!$C$16*Summary!$B$8</f>
        <v/>
      </c>
      <c r="O5988" s="11">
        <f>M5988-N5988</f>
        <v/>
      </c>
    </row>
    <row r="5989">
      <c r="A5989" s="9" t="n">
        <v>45541.45833333334</v>
      </c>
      <c r="B5989" t="n">
        <v>9</v>
      </c>
      <c r="C5989" t="n">
        <v>6</v>
      </c>
      <c r="D5989" t="n">
        <v>11</v>
      </c>
      <c r="E5989" s="10" t="n">
        <v>0.754058</v>
      </c>
      <c r="F5989" s="10" t="n">
        <v>0.1847539163409399</v>
      </c>
      <c r="G5989" s="11">
        <f>E5989*Summary!$B$6</f>
        <v/>
      </c>
      <c r="H5989" s="11">
        <f>F5989*Summary!$B$7</f>
        <v/>
      </c>
      <c r="I5989" s="11">
        <f>MAX(0,N5989-M5989)</f>
        <v/>
      </c>
      <c r="J5989" s="11">
        <f>MAX(0,M5989-N5989)</f>
        <v/>
      </c>
      <c r="K5989" s="11">
        <f>O5989</f>
        <v/>
      </c>
      <c r="L5989" s="11">
        <f>L5988+IF(K5989&gt;0,K5989*Summary!$B$9,K5989/Summary!$B$9)</f>
        <v/>
      </c>
      <c r="M5989" s="11">
        <f>G5989+H5989</f>
        <v/>
      </c>
      <c r="N5989" s="11">
        <f>Summary!$C$16*Summary!$B$8</f>
        <v/>
      </c>
      <c r="O5989" s="11">
        <f>M5989-N5989</f>
        <v/>
      </c>
    </row>
    <row r="5990">
      <c r="A5990" s="9" t="n">
        <v>45541.5</v>
      </c>
      <c r="B5990" t="n">
        <v>9</v>
      </c>
      <c r="C5990" t="n">
        <v>6</v>
      </c>
      <c r="D5990" t="n">
        <v>12</v>
      </c>
      <c r="E5990" s="10" t="n">
        <v>0.754058</v>
      </c>
      <c r="F5990" s="10" t="n">
        <v>0.1914209739410337</v>
      </c>
      <c r="G5990" s="11">
        <f>E5990*Summary!$B$6</f>
        <v/>
      </c>
      <c r="H5990" s="11">
        <f>F5990*Summary!$B$7</f>
        <v/>
      </c>
      <c r="I5990" s="11">
        <f>MAX(0,N5990-M5990)</f>
        <v/>
      </c>
      <c r="J5990" s="11">
        <f>MAX(0,M5990-N5990)</f>
        <v/>
      </c>
      <c r="K5990" s="11">
        <f>O5990</f>
        <v/>
      </c>
      <c r="L5990" s="11">
        <f>L5989+IF(K5990&gt;0,K5990*Summary!$B$9,K5990/Summary!$B$9)</f>
        <v/>
      </c>
      <c r="M5990" s="11">
        <f>G5990+H5990</f>
        <v/>
      </c>
      <c r="N5990" s="11">
        <f>Summary!$C$16*Summary!$B$8</f>
        <v/>
      </c>
      <c r="O5990" s="11">
        <f>M5990-N5990</f>
        <v/>
      </c>
    </row>
    <row r="5991">
      <c r="A5991" s="9" t="n">
        <v>45541.54166666666</v>
      </c>
      <c r="B5991" t="n">
        <v>9</v>
      </c>
      <c r="C5991" t="n">
        <v>6</v>
      </c>
      <c r="D5991" t="n">
        <v>13</v>
      </c>
      <c r="E5991" s="10" t="n">
        <v>0.732365</v>
      </c>
      <c r="F5991" s="10" t="n">
        <v>0.1960589270541425</v>
      </c>
      <c r="G5991" s="11">
        <f>E5991*Summary!$B$6</f>
        <v/>
      </c>
      <c r="H5991" s="11">
        <f>F5991*Summary!$B$7</f>
        <v/>
      </c>
      <c r="I5991" s="11">
        <f>MAX(0,N5991-M5991)</f>
        <v/>
      </c>
      <c r="J5991" s="11">
        <f>MAX(0,M5991-N5991)</f>
        <v/>
      </c>
      <c r="K5991" s="11">
        <f>O5991</f>
        <v/>
      </c>
      <c r="L5991" s="11">
        <f>L5990+IF(K5991&gt;0,K5991*Summary!$B$9,K5991/Summary!$B$9)</f>
        <v/>
      </c>
      <c r="M5991" s="11">
        <f>G5991+H5991</f>
        <v/>
      </c>
      <c r="N5991" s="11">
        <f>Summary!$C$16*Summary!$B$8</f>
        <v/>
      </c>
      <c r="O5991" s="11">
        <f>M5991-N5991</f>
        <v/>
      </c>
    </row>
    <row r="5992">
      <c r="A5992" s="9" t="n">
        <v>45541.58333333334</v>
      </c>
      <c r="B5992" t="n">
        <v>9</v>
      </c>
      <c r="C5992" t="n">
        <v>6</v>
      </c>
      <c r="D5992" t="n">
        <v>14</v>
      </c>
      <c r="E5992" s="10" t="n">
        <v>0.639175</v>
      </c>
      <c r="F5992" s="10" t="n">
        <v>0.1957427029782487</v>
      </c>
      <c r="G5992" s="11">
        <f>E5992*Summary!$B$6</f>
        <v/>
      </c>
      <c r="H5992" s="11">
        <f>F5992*Summary!$B$7</f>
        <v/>
      </c>
      <c r="I5992" s="11">
        <f>MAX(0,N5992-M5992)</f>
        <v/>
      </c>
      <c r="J5992" s="11">
        <f>MAX(0,M5992-N5992)</f>
        <v/>
      </c>
      <c r="K5992" s="11">
        <f>O5992</f>
        <v/>
      </c>
      <c r="L5992" s="11">
        <f>L5991+IF(K5992&gt;0,K5992*Summary!$B$9,K5992/Summary!$B$9)</f>
        <v/>
      </c>
      <c r="M5992" s="11">
        <f>G5992+H5992</f>
        <v/>
      </c>
      <c r="N5992" s="11">
        <f>Summary!$C$16*Summary!$B$8</f>
        <v/>
      </c>
      <c r="O5992" s="11">
        <f>M5992-N5992</f>
        <v/>
      </c>
    </row>
    <row r="5993">
      <c r="A5993" s="9" t="n">
        <v>45541.625</v>
      </c>
      <c r="B5993" t="n">
        <v>9</v>
      </c>
      <c r="C5993" t="n">
        <v>6</v>
      </c>
      <c r="D5993" t="n">
        <v>15</v>
      </c>
      <c r="E5993" s="10" t="n">
        <v>0.490277</v>
      </c>
      <c r="F5993" s="10" t="n">
        <v>0.196085279060467</v>
      </c>
      <c r="G5993" s="11">
        <f>E5993*Summary!$B$6</f>
        <v/>
      </c>
      <c r="H5993" s="11">
        <f>F5993*Summary!$B$7</f>
        <v/>
      </c>
      <c r="I5993" s="11">
        <f>MAX(0,N5993-M5993)</f>
        <v/>
      </c>
      <c r="J5993" s="11">
        <f>MAX(0,M5993-N5993)</f>
        <v/>
      </c>
      <c r="K5993" s="11">
        <f>O5993</f>
        <v/>
      </c>
      <c r="L5993" s="11">
        <f>L5992+IF(K5993&gt;0,K5993*Summary!$B$9,K5993/Summary!$B$9)</f>
        <v/>
      </c>
      <c r="M5993" s="11">
        <f>G5993+H5993</f>
        <v/>
      </c>
      <c r="N5993" s="11">
        <f>Summary!$C$16*Summary!$B$8</f>
        <v/>
      </c>
      <c r="O5993" s="11">
        <f>M5993-N5993</f>
        <v/>
      </c>
    </row>
    <row r="5994">
      <c r="A5994" s="9" t="n">
        <v>45541.66666666666</v>
      </c>
      <c r="B5994" t="n">
        <v>9</v>
      </c>
      <c r="C5994" t="n">
        <v>6</v>
      </c>
      <c r="D5994" t="n">
        <v>16</v>
      </c>
      <c r="E5994" s="10" t="n">
        <v>0.290962</v>
      </c>
      <c r="F5994" s="10" t="n">
        <v>0.1916581419979541</v>
      </c>
      <c r="G5994" s="11">
        <f>E5994*Summary!$B$6</f>
        <v/>
      </c>
      <c r="H5994" s="11">
        <f>F5994*Summary!$B$7</f>
        <v/>
      </c>
      <c r="I5994" s="11">
        <f>MAX(0,N5994-M5994)</f>
        <v/>
      </c>
      <c r="J5994" s="11">
        <f>MAX(0,M5994-N5994)</f>
        <v/>
      </c>
      <c r="K5994" s="11">
        <f>O5994</f>
        <v/>
      </c>
      <c r="L5994" s="11">
        <f>L5993+IF(K5994&gt;0,K5994*Summary!$B$9,K5994/Summary!$B$9)</f>
        <v/>
      </c>
      <c r="M5994" s="11">
        <f>G5994+H5994</f>
        <v/>
      </c>
      <c r="N5994" s="11">
        <f>Summary!$C$16*Summary!$B$8</f>
        <v/>
      </c>
      <c r="O5994" s="11">
        <f>M5994-N5994</f>
        <v/>
      </c>
    </row>
    <row r="5995">
      <c r="A5995" s="9" t="n">
        <v>45541.70833333334</v>
      </c>
      <c r="B5995" t="n">
        <v>9</v>
      </c>
      <c r="C5995" t="n">
        <v>6</v>
      </c>
      <c r="D5995" t="n">
        <v>17</v>
      </c>
      <c r="E5995" s="10" t="n">
        <v>0.079345</v>
      </c>
      <c r="F5995" s="10" t="n">
        <v>0.1903141896754055</v>
      </c>
      <c r="G5995" s="11">
        <f>E5995*Summary!$B$6</f>
        <v/>
      </c>
      <c r="H5995" s="11">
        <f>F5995*Summary!$B$7</f>
        <v/>
      </c>
      <c r="I5995" s="11">
        <f>MAX(0,N5995-M5995)</f>
        <v/>
      </c>
      <c r="J5995" s="11">
        <f>MAX(0,M5995-N5995)</f>
        <v/>
      </c>
      <c r="K5995" s="11">
        <f>O5995</f>
        <v/>
      </c>
      <c r="L5995" s="11">
        <f>L5994+IF(K5995&gt;0,K5995*Summary!$B$9,K5995/Summary!$B$9)</f>
        <v/>
      </c>
      <c r="M5995" s="11">
        <f>G5995+H5995</f>
        <v/>
      </c>
      <c r="N5995" s="11">
        <f>Summary!$C$16*Summary!$B$8</f>
        <v/>
      </c>
      <c r="O5995" s="11">
        <f>M5995-N5995</f>
        <v/>
      </c>
    </row>
    <row r="5996">
      <c r="A5996" s="9" t="n">
        <v>45541.75</v>
      </c>
      <c r="B5996" t="n">
        <v>9</v>
      </c>
      <c r="C5996" t="n">
        <v>6</v>
      </c>
      <c r="D5996" t="n">
        <v>18</v>
      </c>
      <c r="E5996" s="10" t="n">
        <v>0.008168999999999999</v>
      </c>
      <c r="F5996" s="10" t="n">
        <v>0.2031739687617525</v>
      </c>
      <c r="G5996" s="11">
        <f>E5996*Summary!$B$6</f>
        <v/>
      </c>
      <c r="H5996" s="11">
        <f>F5996*Summary!$B$7</f>
        <v/>
      </c>
      <c r="I5996" s="11">
        <f>MAX(0,N5996-M5996)</f>
        <v/>
      </c>
      <c r="J5996" s="11">
        <f>MAX(0,M5996-N5996)</f>
        <v/>
      </c>
      <c r="K5996" s="11">
        <f>O5996</f>
        <v/>
      </c>
      <c r="L5996" s="11">
        <f>L5995+IF(K5996&gt;0,K5996*Summary!$B$9,K5996/Summary!$B$9)</f>
        <v/>
      </c>
      <c r="M5996" s="11">
        <f>G5996+H5996</f>
        <v/>
      </c>
      <c r="N5996" s="11">
        <f>Summary!$C$16*Summary!$B$8</f>
        <v/>
      </c>
      <c r="O5996" s="11">
        <f>M5996-N5996</f>
        <v/>
      </c>
    </row>
    <row r="5997">
      <c r="A5997" s="9" t="n">
        <v>45541.79166666666</v>
      </c>
      <c r="B5997" t="n">
        <v>9</v>
      </c>
      <c r="C5997" t="n">
        <v>6</v>
      </c>
      <c r="D5997" t="n">
        <v>19</v>
      </c>
      <c r="E5997" s="10" t="n">
        <v>0</v>
      </c>
      <c r="F5997" s="10" t="n">
        <v>0.2259421022261045</v>
      </c>
      <c r="G5997" s="11">
        <f>E5997*Summary!$B$6</f>
        <v/>
      </c>
      <c r="H5997" s="11">
        <f>F5997*Summary!$B$7</f>
        <v/>
      </c>
      <c r="I5997" s="11">
        <f>MAX(0,N5997-M5997)</f>
        <v/>
      </c>
      <c r="J5997" s="11">
        <f>MAX(0,M5997-N5997)</f>
        <v/>
      </c>
      <c r="K5997" s="11">
        <f>O5997</f>
        <v/>
      </c>
      <c r="L5997" s="11">
        <f>L5996+IF(K5997&gt;0,K5997*Summary!$B$9,K5997/Summary!$B$9)</f>
        <v/>
      </c>
      <c r="M5997" s="11">
        <f>G5997+H5997</f>
        <v/>
      </c>
      <c r="N5997" s="11">
        <f>Summary!$C$16*Summary!$B$8</f>
        <v/>
      </c>
      <c r="O5997" s="11">
        <f>M5997-N5997</f>
        <v/>
      </c>
    </row>
    <row r="5998">
      <c r="A5998" s="9" t="n">
        <v>45541.83333333334</v>
      </c>
      <c r="B5998" t="n">
        <v>9</v>
      </c>
      <c r="C5998" t="n">
        <v>6</v>
      </c>
      <c r="D5998" t="n">
        <v>20</v>
      </c>
      <c r="E5998" s="10" t="n">
        <v>0</v>
      </c>
      <c r="F5998" s="10" t="n">
        <v>0.2461013870643329</v>
      </c>
      <c r="G5998" s="11">
        <f>E5998*Summary!$B$6</f>
        <v/>
      </c>
      <c r="H5998" s="11">
        <f>F5998*Summary!$B$7</f>
        <v/>
      </c>
      <c r="I5998" s="11">
        <f>MAX(0,N5998-M5998)</f>
        <v/>
      </c>
      <c r="J5998" s="11">
        <f>MAX(0,M5998-N5998)</f>
        <v/>
      </c>
      <c r="K5998" s="11">
        <f>O5998</f>
        <v/>
      </c>
      <c r="L5998" s="11">
        <f>L5997+IF(K5998&gt;0,K5998*Summary!$B$9,K5998/Summary!$B$9)</f>
        <v/>
      </c>
      <c r="M5998" s="11">
        <f>G5998+H5998</f>
        <v/>
      </c>
      <c r="N5998" s="11">
        <f>Summary!$C$16*Summary!$B$8</f>
        <v/>
      </c>
      <c r="O5998" s="11">
        <f>M5998-N5998</f>
        <v/>
      </c>
    </row>
    <row r="5999">
      <c r="A5999" s="9" t="n">
        <v>45541.875</v>
      </c>
      <c r="B5999" t="n">
        <v>9</v>
      </c>
      <c r="C5999" t="n">
        <v>6</v>
      </c>
      <c r="D5999" t="n">
        <v>21</v>
      </c>
      <c r="E5999" s="10" t="n">
        <v>0</v>
      </c>
      <c r="F5999" s="10" t="n">
        <v>0.259461854270845</v>
      </c>
      <c r="G5999" s="11">
        <f>E5999*Summary!$B$6</f>
        <v/>
      </c>
      <c r="H5999" s="11">
        <f>F5999*Summary!$B$7</f>
        <v/>
      </c>
      <c r="I5999" s="11">
        <f>MAX(0,N5999-M5999)</f>
        <v/>
      </c>
      <c r="J5999" s="11">
        <f>MAX(0,M5999-N5999)</f>
        <v/>
      </c>
      <c r="K5999" s="11">
        <f>O5999</f>
        <v/>
      </c>
      <c r="L5999" s="11">
        <f>L5998+IF(K5999&gt;0,K5999*Summary!$B$9,K5999/Summary!$B$9)</f>
        <v/>
      </c>
      <c r="M5999" s="11">
        <f>G5999+H5999</f>
        <v/>
      </c>
      <c r="N5999" s="11">
        <f>Summary!$C$16*Summary!$B$8</f>
        <v/>
      </c>
      <c r="O5999" s="11">
        <f>M5999-N5999</f>
        <v/>
      </c>
    </row>
    <row r="6000">
      <c r="A6000" s="9" t="n">
        <v>45541.91666666666</v>
      </c>
      <c r="B6000" t="n">
        <v>9</v>
      </c>
      <c r="C6000" t="n">
        <v>6</v>
      </c>
      <c r="D6000" t="n">
        <v>22</v>
      </c>
      <c r="E6000" s="10" t="n">
        <v>0</v>
      </c>
      <c r="F6000" s="10" t="n">
        <v>0.2633883032131928</v>
      </c>
      <c r="G6000" s="11">
        <f>E6000*Summary!$B$6</f>
        <v/>
      </c>
      <c r="H6000" s="11">
        <f>F6000*Summary!$B$7</f>
        <v/>
      </c>
      <c r="I6000" s="11">
        <f>MAX(0,N6000-M6000)</f>
        <v/>
      </c>
      <c r="J6000" s="11">
        <f>MAX(0,M6000-N6000)</f>
        <v/>
      </c>
      <c r="K6000" s="11">
        <f>O6000</f>
        <v/>
      </c>
      <c r="L6000" s="11">
        <f>L5999+IF(K6000&gt;0,K6000*Summary!$B$9,K6000/Summary!$B$9)</f>
        <v/>
      </c>
      <c r="M6000" s="11">
        <f>G6000+H6000</f>
        <v/>
      </c>
      <c r="N6000" s="11">
        <f>Summary!$C$16*Summary!$B$8</f>
        <v/>
      </c>
      <c r="O6000" s="11">
        <f>M6000-N6000</f>
        <v/>
      </c>
    </row>
    <row r="6001">
      <c r="A6001" s="9" t="n">
        <v>45541.95833333334</v>
      </c>
      <c r="B6001" t="n">
        <v>9</v>
      </c>
      <c r="C6001" t="n">
        <v>6</v>
      </c>
      <c r="D6001" t="n">
        <v>23</v>
      </c>
      <c r="E6001" s="10" t="n">
        <v>0</v>
      </c>
      <c r="F6001" s="10" t="n">
        <v>0.2603578224858774</v>
      </c>
      <c r="G6001" s="11">
        <f>E6001*Summary!$B$6</f>
        <v/>
      </c>
      <c r="H6001" s="11">
        <f>F6001*Summary!$B$7</f>
        <v/>
      </c>
      <c r="I6001" s="11">
        <f>MAX(0,N6001-M6001)</f>
        <v/>
      </c>
      <c r="J6001" s="11">
        <f>MAX(0,M6001-N6001)</f>
        <v/>
      </c>
      <c r="K6001" s="11">
        <f>O6001</f>
        <v/>
      </c>
      <c r="L6001" s="11">
        <f>L6000+IF(K6001&gt;0,K6001*Summary!$B$9,K6001/Summary!$B$9)</f>
        <v/>
      </c>
      <c r="M6001" s="11">
        <f>G6001+H6001</f>
        <v/>
      </c>
      <c r="N6001" s="11">
        <f>Summary!$C$16*Summary!$B$8</f>
        <v/>
      </c>
      <c r="O6001" s="11">
        <f>M6001-N6001</f>
        <v/>
      </c>
    </row>
    <row r="6002">
      <c r="A6002" s="9" t="n">
        <v>45542</v>
      </c>
      <c r="B6002" t="n">
        <v>9</v>
      </c>
      <c r="C6002" t="n">
        <v>7</v>
      </c>
      <c r="D6002" t="n">
        <v>0</v>
      </c>
      <c r="E6002" s="10" t="n">
        <v>0</v>
      </c>
      <c r="F6002" s="10" t="n">
        <v>0.2773548665651679</v>
      </c>
      <c r="G6002" s="11">
        <f>E6002*Summary!$B$6</f>
        <v/>
      </c>
      <c r="H6002" s="11">
        <f>F6002*Summary!$B$7</f>
        <v/>
      </c>
      <c r="I6002" s="11">
        <f>MAX(0,N6002-M6002)</f>
        <v/>
      </c>
      <c r="J6002" s="11">
        <f>MAX(0,M6002-N6002)</f>
        <v/>
      </c>
      <c r="K6002" s="11">
        <f>O6002</f>
        <v/>
      </c>
      <c r="L6002" s="11">
        <f>L6001+IF(K6002&gt;0,K6002*Summary!$B$9,K6002/Summary!$B$9)</f>
        <v/>
      </c>
      <c r="M6002" s="11">
        <f>G6002+H6002</f>
        <v/>
      </c>
      <c r="N6002" s="11">
        <f>Summary!$C$16*Summary!$B$8</f>
        <v/>
      </c>
      <c r="O6002" s="11">
        <f>M6002-N6002</f>
        <v/>
      </c>
    </row>
    <row r="6003">
      <c r="A6003" s="9" t="n">
        <v>45542.04166666666</v>
      </c>
      <c r="B6003" t="n">
        <v>9</v>
      </c>
      <c r="C6003" t="n">
        <v>7</v>
      </c>
      <c r="D6003" t="n">
        <v>1</v>
      </c>
      <c r="E6003" s="10" t="n">
        <v>0</v>
      </c>
      <c r="F6003" s="10" t="n">
        <v>0.2454162348998964</v>
      </c>
      <c r="G6003" s="11">
        <f>E6003*Summary!$B$6</f>
        <v/>
      </c>
      <c r="H6003" s="11">
        <f>F6003*Summary!$B$7</f>
        <v/>
      </c>
      <c r="I6003" s="11">
        <f>MAX(0,N6003-M6003)</f>
        <v/>
      </c>
      <c r="J6003" s="11">
        <f>MAX(0,M6003-N6003)</f>
        <v/>
      </c>
      <c r="K6003" s="11">
        <f>O6003</f>
        <v/>
      </c>
      <c r="L6003" s="11">
        <f>L6002+IF(K6003&gt;0,K6003*Summary!$B$9,K6003/Summary!$B$9)</f>
        <v/>
      </c>
      <c r="M6003" s="11">
        <f>G6003+H6003</f>
        <v/>
      </c>
      <c r="N6003" s="11">
        <f>Summary!$C$16*Summary!$B$8</f>
        <v/>
      </c>
      <c r="O6003" s="11">
        <f>M6003-N6003</f>
        <v/>
      </c>
    </row>
    <row r="6004">
      <c r="A6004" s="9" t="n">
        <v>45542.08333333334</v>
      </c>
      <c r="B6004" t="n">
        <v>9</v>
      </c>
      <c r="C6004" t="n">
        <v>7</v>
      </c>
      <c r="D6004" t="n">
        <v>2</v>
      </c>
      <c r="E6004" s="10" t="n">
        <v>0</v>
      </c>
      <c r="F6004" s="10" t="n">
        <v>0.2379059130974191</v>
      </c>
      <c r="G6004" s="11">
        <f>E6004*Summary!$B$6</f>
        <v/>
      </c>
      <c r="H6004" s="11">
        <f>F6004*Summary!$B$7</f>
        <v/>
      </c>
      <c r="I6004" s="11">
        <f>MAX(0,N6004-M6004)</f>
        <v/>
      </c>
      <c r="J6004" s="11">
        <f>MAX(0,M6004-N6004)</f>
        <v/>
      </c>
      <c r="K6004" s="11">
        <f>O6004</f>
        <v/>
      </c>
      <c r="L6004" s="11">
        <f>L6003+IF(K6004&gt;0,K6004*Summary!$B$9,K6004/Summary!$B$9)</f>
        <v/>
      </c>
      <c r="M6004" s="11">
        <f>G6004+H6004</f>
        <v/>
      </c>
      <c r="N6004" s="11">
        <f>Summary!$C$16*Summary!$B$8</f>
        <v/>
      </c>
      <c r="O6004" s="11">
        <f>M6004-N6004</f>
        <v/>
      </c>
    </row>
    <row r="6005">
      <c r="A6005" s="9" t="n">
        <v>45542.125</v>
      </c>
      <c r="B6005" t="n">
        <v>9</v>
      </c>
      <c r="C6005" t="n">
        <v>7</v>
      </c>
      <c r="D6005" t="n">
        <v>3</v>
      </c>
      <c r="E6005" s="10" t="n">
        <v>0</v>
      </c>
      <c r="F6005" s="10" t="n">
        <v>0.2318713036491129</v>
      </c>
      <c r="G6005" s="11">
        <f>E6005*Summary!$B$6</f>
        <v/>
      </c>
      <c r="H6005" s="11">
        <f>F6005*Summary!$B$7</f>
        <v/>
      </c>
      <c r="I6005" s="11">
        <f>MAX(0,N6005-M6005)</f>
        <v/>
      </c>
      <c r="J6005" s="11">
        <f>MAX(0,M6005-N6005)</f>
        <v/>
      </c>
      <c r="K6005" s="11">
        <f>O6005</f>
        <v/>
      </c>
      <c r="L6005" s="11">
        <f>L6004+IF(K6005&gt;0,K6005*Summary!$B$9,K6005/Summary!$B$9)</f>
        <v/>
      </c>
      <c r="M6005" s="11">
        <f>G6005+H6005</f>
        <v/>
      </c>
      <c r="N6005" s="11">
        <f>Summary!$C$16*Summary!$B$8</f>
        <v/>
      </c>
      <c r="O6005" s="11">
        <f>M6005-N6005</f>
        <v/>
      </c>
    </row>
    <row r="6006">
      <c r="A6006" s="9" t="n">
        <v>45542.16666666666</v>
      </c>
      <c r="B6006" t="n">
        <v>9</v>
      </c>
      <c r="C6006" t="n">
        <v>7</v>
      </c>
      <c r="D6006" t="n">
        <v>4</v>
      </c>
      <c r="E6006" s="10" t="n">
        <v>0</v>
      </c>
      <c r="F6006" s="10" t="n">
        <v>0.2293678630482871</v>
      </c>
      <c r="G6006" s="11">
        <f>E6006*Summary!$B$6</f>
        <v/>
      </c>
      <c r="H6006" s="11">
        <f>F6006*Summary!$B$7</f>
        <v/>
      </c>
      <c r="I6006" s="11">
        <f>MAX(0,N6006-M6006)</f>
        <v/>
      </c>
      <c r="J6006" s="11">
        <f>MAX(0,M6006-N6006)</f>
        <v/>
      </c>
      <c r="K6006" s="11">
        <f>O6006</f>
        <v/>
      </c>
      <c r="L6006" s="11">
        <f>L6005+IF(K6006&gt;0,K6006*Summary!$B$9,K6006/Summary!$B$9)</f>
        <v/>
      </c>
      <c r="M6006" s="11">
        <f>G6006+H6006</f>
        <v/>
      </c>
      <c r="N6006" s="11">
        <f>Summary!$C$16*Summary!$B$8</f>
        <v/>
      </c>
      <c r="O6006" s="11">
        <f>M6006-N6006</f>
        <v/>
      </c>
    </row>
    <row r="6007">
      <c r="A6007" s="9" t="n">
        <v>45542.20833333334</v>
      </c>
      <c r="B6007" t="n">
        <v>9</v>
      </c>
      <c r="C6007" t="n">
        <v>7</v>
      </c>
      <c r="D6007" t="n">
        <v>5</v>
      </c>
      <c r="E6007" s="10" t="n">
        <v>0</v>
      </c>
      <c r="F6007" s="10" t="n">
        <v>0.2250724860173966</v>
      </c>
      <c r="G6007" s="11">
        <f>E6007*Summary!$B$6</f>
        <v/>
      </c>
      <c r="H6007" s="11">
        <f>F6007*Summary!$B$7</f>
        <v/>
      </c>
      <c r="I6007" s="11">
        <f>MAX(0,N6007-M6007)</f>
        <v/>
      </c>
      <c r="J6007" s="11">
        <f>MAX(0,M6007-N6007)</f>
        <v/>
      </c>
      <c r="K6007" s="11">
        <f>O6007</f>
        <v/>
      </c>
      <c r="L6007" s="11">
        <f>L6006+IF(K6007&gt;0,K6007*Summary!$B$9,K6007/Summary!$B$9)</f>
        <v/>
      </c>
      <c r="M6007" s="11">
        <f>G6007+H6007</f>
        <v/>
      </c>
      <c r="N6007" s="11">
        <f>Summary!$C$16*Summary!$B$8</f>
        <v/>
      </c>
      <c r="O6007" s="11">
        <f>M6007-N6007</f>
        <v/>
      </c>
    </row>
    <row r="6008">
      <c r="A6008" s="9" t="n">
        <v>45542.25</v>
      </c>
      <c r="B6008" t="n">
        <v>9</v>
      </c>
      <c r="C6008" t="n">
        <v>7</v>
      </c>
      <c r="D6008" t="n">
        <v>6</v>
      </c>
      <c r="E6008" s="10" t="n">
        <v>0.01308</v>
      </c>
      <c r="F6008" s="10" t="n">
        <v>0.2089450581468139</v>
      </c>
      <c r="G6008" s="11">
        <f>E6008*Summary!$B$6</f>
        <v/>
      </c>
      <c r="H6008" s="11">
        <f>F6008*Summary!$B$7</f>
        <v/>
      </c>
      <c r="I6008" s="11">
        <f>MAX(0,N6008-M6008)</f>
        <v/>
      </c>
      <c r="J6008" s="11">
        <f>MAX(0,M6008-N6008)</f>
        <v/>
      </c>
      <c r="K6008" s="11">
        <f>O6008</f>
        <v/>
      </c>
      <c r="L6008" s="11">
        <f>L6007+IF(K6008&gt;0,K6008*Summary!$B$9,K6008/Summary!$B$9)</f>
        <v/>
      </c>
      <c r="M6008" s="11">
        <f>G6008+H6008</f>
        <v/>
      </c>
      <c r="N6008" s="11">
        <f>Summary!$C$16*Summary!$B$8</f>
        <v/>
      </c>
      <c r="O6008" s="11">
        <f>M6008-N6008</f>
        <v/>
      </c>
    </row>
    <row r="6009">
      <c r="A6009" s="9" t="n">
        <v>45542.29166666666</v>
      </c>
      <c r="B6009" t="n">
        <v>9</v>
      </c>
      <c r="C6009" t="n">
        <v>7</v>
      </c>
      <c r="D6009" t="n">
        <v>7</v>
      </c>
      <c r="E6009" s="10" t="n">
        <v>0.043872</v>
      </c>
      <c r="F6009" s="10" t="n">
        <v>0.1826457558349814</v>
      </c>
      <c r="G6009" s="11">
        <f>E6009*Summary!$B$6</f>
        <v/>
      </c>
      <c r="H6009" s="11">
        <f>F6009*Summary!$B$7</f>
        <v/>
      </c>
      <c r="I6009" s="11">
        <f>MAX(0,N6009-M6009)</f>
        <v/>
      </c>
      <c r="J6009" s="11">
        <f>MAX(0,M6009-N6009)</f>
        <v/>
      </c>
      <c r="K6009" s="11">
        <f>O6009</f>
        <v/>
      </c>
      <c r="L6009" s="11">
        <f>L6008+IF(K6009&gt;0,K6009*Summary!$B$9,K6009/Summary!$B$9)</f>
        <v/>
      </c>
      <c r="M6009" s="11">
        <f>G6009+H6009</f>
        <v/>
      </c>
      <c r="N6009" s="11">
        <f>Summary!$C$16*Summary!$B$8</f>
        <v/>
      </c>
      <c r="O6009" s="11">
        <f>M6009-N6009</f>
        <v/>
      </c>
    </row>
    <row r="6010">
      <c r="A6010" s="9" t="n">
        <v>45542.33333333334</v>
      </c>
      <c r="B6010" t="n">
        <v>9</v>
      </c>
      <c r="C6010" t="n">
        <v>7</v>
      </c>
      <c r="D6010" t="n">
        <v>8</v>
      </c>
      <c r="E6010" s="10" t="n">
        <v>0.092885</v>
      </c>
      <c r="F6010" s="10" t="n">
        <v>0.1666237359896967</v>
      </c>
      <c r="G6010" s="11">
        <f>E6010*Summary!$B$6</f>
        <v/>
      </c>
      <c r="H6010" s="11">
        <f>F6010*Summary!$B$7</f>
        <v/>
      </c>
      <c r="I6010" s="11">
        <f>MAX(0,N6010-M6010)</f>
        <v/>
      </c>
      <c r="J6010" s="11">
        <f>MAX(0,M6010-N6010)</f>
        <v/>
      </c>
      <c r="K6010" s="11">
        <f>O6010</f>
        <v/>
      </c>
      <c r="L6010" s="11">
        <f>L6009+IF(K6010&gt;0,K6010*Summary!$B$9,K6010/Summary!$B$9)</f>
        <v/>
      </c>
      <c r="M6010" s="11">
        <f>G6010+H6010</f>
        <v/>
      </c>
      <c r="N6010" s="11">
        <f>Summary!$C$16*Summary!$B$8</f>
        <v/>
      </c>
      <c r="O6010" s="11">
        <f>M6010-N6010</f>
        <v/>
      </c>
    </row>
    <row r="6011">
      <c r="A6011" s="9" t="n">
        <v>45542.375</v>
      </c>
      <c r="B6011" t="n">
        <v>9</v>
      </c>
      <c r="C6011" t="n">
        <v>7</v>
      </c>
      <c r="D6011" t="n">
        <v>9</v>
      </c>
      <c r="E6011" s="10" t="n">
        <v>0.141879</v>
      </c>
      <c r="F6011" s="10" t="n">
        <v>0.1576377018330484</v>
      </c>
      <c r="G6011" s="11">
        <f>E6011*Summary!$B$6</f>
        <v/>
      </c>
      <c r="H6011" s="11">
        <f>F6011*Summary!$B$7</f>
        <v/>
      </c>
      <c r="I6011" s="11">
        <f>MAX(0,N6011-M6011)</f>
        <v/>
      </c>
      <c r="J6011" s="11">
        <f>MAX(0,M6011-N6011)</f>
        <v/>
      </c>
      <c r="K6011" s="11">
        <f>O6011</f>
        <v/>
      </c>
      <c r="L6011" s="11">
        <f>L6010+IF(K6011&gt;0,K6011*Summary!$B$9,K6011/Summary!$B$9)</f>
        <v/>
      </c>
      <c r="M6011" s="11">
        <f>G6011+H6011</f>
        <v/>
      </c>
      <c r="N6011" s="11">
        <f>Summary!$C$16*Summary!$B$8</f>
        <v/>
      </c>
      <c r="O6011" s="11">
        <f>M6011-N6011</f>
        <v/>
      </c>
    </row>
    <row r="6012">
      <c r="A6012" s="9" t="n">
        <v>45542.41666666666</v>
      </c>
      <c r="B6012" t="n">
        <v>9</v>
      </c>
      <c r="C6012" t="n">
        <v>7</v>
      </c>
      <c r="D6012" t="n">
        <v>10</v>
      </c>
      <c r="E6012" s="10" t="n">
        <v>0.132714</v>
      </c>
      <c r="F6012" s="10" t="n">
        <v>0.1543964050551372</v>
      </c>
      <c r="G6012" s="11">
        <f>E6012*Summary!$B$6</f>
        <v/>
      </c>
      <c r="H6012" s="11">
        <f>F6012*Summary!$B$7</f>
        <v/>
      </c>
      <c r="I6012" s="11">
        <f>MAX(0,N6012-M6012)</f>
        <v/>
      </c>
      <c r="J6012" s="11">
        <f>MAX(0,M6012-N6012)</f>
        <v/>
      </c>
      <c r="K6012" s="11">
        <f>O6012</f>
        <v/>
      </c>
      <c r="L6012" s="11">
        <f>L6011+IF(K6012&gt;0,K6012*Summary!$B$9,K6012/Summary!$B$9)</f>
        <v/>
      </c>
      <c r="M6012" s="11">
        <f>G6012+H6012</f>
        <v/>
      </c>
      <c r="N6012" s="11">
        <f>Summary!$C$16*Summary!$B$8</f>
        <v/>
      </c>
      <c r="O6012" s="11">
        <f>M6012-N6012</f>
        <v/>
      </c>
    </row>
    <row r="6013">
      <c r="A6013" s="9" t="n">
        <v>45542.45833333334</v>
      </c>
      <c r="B6013" t="n">
        <v>9</v>
      </c>
      <c r="C6013" t="n">
        <v>7</v>
      </c>
      <c r="D6013" t="n">
        <v>11</v>
      </c>
      <c r="E6013" s="10" t="n">
        <v>0.14761</v>
      </c>
      <c r="F6013" s="10" t="n">
        <v>0.1605100705224169</v>
      </c>
      <c r="G6013" s="11">
        <f>E6013*Summary!$B$6</f>
        <v/>
      </c>
      <c r="H6013" s="11">
        <f>F6013*Summary!$B$7</f>
        <v/>
      </c>
      <c r="I6013" s="11">
        <f>MAX(0,N6013-M6013)</f>
        <v/>
      </c>
      <c r="J6013" s="11">
        <f>MAX(0,M6013-N6013)</f>
        <v/>
      </c>
      <c r="K6013" s="11">
        <f>O6013</f>
        <v/>
      </c>
      <c r="L6013" s="11">
        <f>L6012+IF(K6013&gt;0,K6013*Summary!$B$9,K6013/Summary!$B$9)</f>
        <v/>
      </c>
      <c r="M6013" s="11">
        <f>G6013+H6013</f>
        <v/>
      </c>
      <c r="N6013" s="11">
        <f>Summary!$C$16*Summary!$B$8</f>
        <v/>
      </c>
      <c r="O6013" s="11">
        <f>M6013-N6013</f>
        <v/>
      </c>
    </row>
    <row r="6014">
      <c r="A6014" s="9" t="n">
        <v>45542.5</v>
      </c>
      <c r="B6014" t="n">
        <v>9</v>
      </c>
      <c r="C6014" t="n">
        <v>7</v>
      </c>
      <c r="D6014" t="n">
        <v>12</v>
      </c>
      <c r="E6014" s="10" t="n">
        <v>0.146508</v>
      </c>
      <c r="F6014" s="10" t="n">
        <v>0.1713143931154543</v>
      </c>
      <c r="G6014" s="11">
        <f>E6014*Summary!$B$6</f>
        <v/>
      </c>
      <c r="H6014" s="11">
        <f>F6014*Summary!$B$7</f>
        <v/>
      </c>
      <c r="I6014" s="11">
        <f>MAX(0,N6014-M6014)</f>
        <v/>
      </c>
      <c r="J6014" s="11">
        <f>MAX(0,M6014-N6014)</f>
        <v/>
      </c>
      <c r="K6014" s="11">
        <f>O6014</f>
        <v/>
      </c>
      <c r="L6014" s="11">
        <f>L6013+IF(K6014&gt;0,K6014*Summary!$B$9,K6014/Summary!$B$9)</f>
        <v/>
      </c>
      <c r="M6014" s="11">
        <f>G6014+H6014</f>
        <v/>
      </c>
      <c r="N6014" s="11">
        <f>Summary!$C$16*Summary!$B$8</f>
        <v/>
      </c>
      <c r="O6014" s="11">
        <f>M6014-N6014</f>
        <v/>
      </c>
    </row>
    <row r="6015">
      <c r="A6015" s="9" t="n">
        <v>45542.54166666666</v>
      </c>
      <c r="B6015" t="n">
        <v>9</v>
      </c>
      <c r="C6015" t="n">
        <v>7</v>
      </c>
      <c r="D6015" t="n">
        <v>13</v>
      </c>
      <c r="E6015" s="10" t="n">
        <v>0.17667</v>
      </c>
      <c r="F6015" s="10" t="n">
        <v>0.1831464439551465</v>
      </c>
      <c r="G6015" s="11">
        <f>E6015*Summary!$B$6</f>
        <v/>
      </c>
      <c r="H6015" s="11">
        <f>F6015*Summary!$B$7</f>
        <v/>
      </c>
      <c r="I6015" s="11">
        <f>MAX(0,N6015-M6015)</f>
        <v/>
      </c>
      <c r="J6015" s="11">
        <f>MAX(0,M6015-N6015)</f>
        <v/>
      </c>
      <c r="K6015" s="11">
        <f>O6015</f>
        <v/>
      </c>
      <c r="L6015" s="11">
        <f>L6014+IF(K6015&gt;0,K6015*Summary!$B$9,K6015/Summary!$B$9)</f>
        <v/>
      </c>
      <c r="M6015" s="11">
        <f>G6015+H6015</f>
        <v/>
      </c>
      <c r="N6015" s="11">
        <f>Summary!$C$16*Summary!$B$8</f>
        <v/>
      </c>
      <c r="O6015" s="11">
        <f>M6015-N6015</f>
        <v/>
      </c>
    </row>
    <row r="6016">
      <c r="A6016" s="9" t="n">
        <v>45542.58333333334</v>
      </c>
      <c r="B6016" t="n">
        <v>9</v>
      </c>
      <c r="C6016" t="n">
        <v>7</v>
      </c>
      <c r="D6016" t="n">
        <v>14</v>
      </c>
      <c r="E6016" s="10" t="n">
        <v>0.149048</v>
      </c>
      <c r="F6016" s="10" t="n">
        <v>0.1930284463268271</v>
      </c>
      <c r="G6016" s="11">
        <f>E6016*Summary!$B$6</f>
        <v/>
      </c>
      <c r="H6016" s="11">
        <f>F6016*Summary!$B$7</f>
        <v/>
      </c>
      <c r="I6016" s="11">
        <f>MAX(0,N6016-M6016)</f>
        <v/>
      </c>
      <c r="J6016" s="11">
        <f>MAX(0,M6016-N6016)</f>
        <v/>
      </c>
      <c r="K6016" s="11">
        <f>O6016</f>
        <v/>
      </c>
      <c r="L6016" s="11">
        <f>L6015+IF(K6016&gt;0,K6016*Summary!$B$9,K6016/Summary!$B$9)</f>
        <v/>
      </c>
      <c r="M6016" s="11">
        <f>G6016+H6016</f>
        <v/>
      </c>
      <c r="N6016" s="11">
        <f>Summary!$C$16*Summary!$B$8</f>
        <v/>
      </c>
      <c r="O6016" s="11">
        <f>M6016-N6016</f>
        <v/>
      </c>
    </row>
    <row r="6017">
      <c r="A6017" s="9" t="n">
        <v>45542.625</v>
      </c>
      <c r="B6017" t="n">
        <v>9</v>
      </c>
      <c r="C6017" t="n">
        <v>7</v>
      </c>
      <c r="D6017" t="n">
        <v>15</v>
      </c>
      <c r="E6017" s="10" t="n">
        <v>0.089364</v>
      </c>
      <c r="F6017" s="10" t="n">
        <v>0.2008286401988736</v>
      </c>
      <c r="G6017" s="11">
        <f>E6017*Summary!$B$6</f>
        <v/>
      </c>
      <c r="H6017" s="11">
        <f>F6017*Summary!$B$7</f>
        <v/>
      </c>
      <c r="I6017" s="11">
        <f>MAX(0,N6017-M6017)</f>
        <v/>
      </c>
      <c r="J6017" s="11">
        <f>MAX(0,M6017-N6017)</f>
        <v/>
      </c>
      <c r="K6017" s="11">
        <f>O6017</f>
        <v/>
      </c>
      <c r="L6017" s="11">
        <f>L6016+IF(K6017&gt;0,K6017*Summary!$B$9,K6017/Summary!$B$9)</f>
        <v/>
      </c>
      <c r="M6017" s="11">
        <f>G6017+H6017</f>
        <v/>
      </c>
      <c r="N6017" s="11">
        <f>Summary!$C$16*Summary!$B$8</f>
        <v/>
      </c>
      <c r="O6017" s="11">
        <f>M6017-N6017</f>
        <v/>
      </c>
    </row>
    <row r="6018">
      <c r="A6018" s="9" t="n">
        <v>45542.66666666666</v>
      </c>
      <c r="B6018" t="n">
        <v>9</v>
      </c>
      <c r="C6018" t="n">
        <v>7</v>
      </c>
      <c r="D6018" t="n">
        <v>16</v>
      </c>
      <c r="E6018" s="10" t="n">
        <v>0.081897</v>
      </c>
      <c r="F6018" s="10" t="n">
        <v>0.2048341451601949</v>
      </c>
      <c r="G6018" s="11">
        <f>E6018*Summary!$B$6</f>
        <v/>
      </c>
      <c r="H6018" s="11">
        <f>F6018*Summary!$B$7</f>
        <v/>
      </c>
      <c r="I6018" s="11">
        <f>MAX(0,N6018-M6018)</f>
        <v/>
      </c>
      <c r="J6018" s="11">
        <f>MAX(0,M6018-N6018)</f>
        <v/>
      </c>
      <c r="K6018" s="11">
        <f>O6018</f>
        <v/>
      </c>
      <c r="L6018" s="11">
        <f>L6017+IF(K6018&gt;0,K6018*Summary!$B$9,K6018/Summary!$B$9)</f>
        <v/>
      </c>
      <c r="M6018" s="11">
        <f>G6018+H6018</f>
        <v/>
      </c>
      <c r="N6018" s="11">
        <f>Summary!$C$16*Summary!$B$8</f>
        <v/>
      </c>
      <c r="O6018" s="11">
        <f>M6018-N6018</f>
        <v/>
      </c>
    </row>
    <row r="6019">
      <c r="A6019" s="9" t="n">
        <v>45542.70833333334</v>
      </c>
      <c r="B6019" t="n">
        <v>9</v>
      </c>
      <c r="C6019" t="n">
        <v>7</v>
      </c>
      <c r="D6019" t="n">
        <v>17</v>
      </c>
      <c r="E6019" s="10" t="n">
        <v>0.036773</v>
      </c>
      <c r="F6019" s="10" t="n">
        <v>0.2364038487369237</v>
      </c>
      <c r="G6019" s="11">
        <f>E6019*Summary!$B$6</f>
        <v/>
      </c>
      <c r="H6019" s="11">
        <f>F6019*Summary!$B$7</f>
        <v/>
      </c>
      <c r="I6019" s="11">
        <f>MAX(0,N6019-M6019)</f>
        <v/>
      </c>
      <c r="J6019" s="11">
        <f>MAX(0,M6019-N6019)</f>
        <v/>
      </c>
      <c r="K6019" s="11">
        <f>O6019</f>
        <v/>
      </c>
      <c r="L6019" s="11">
        <f>L6018+IF(K6019&gt;0,K6019*Summary!$B$9,K6019/Summary!$B$9)</f>
        <v/>
      </c>
      <c r="M6019" s="11">
        <f>G6019+H6019</f>
        <v/>
      </c>
      <c r="N6019" s="11">
        <f>Summary!$C$16*Summary!$B$8</f>
        <v/>
      </c>
      <c r="O6019" s="11">
        <f>M6019-N6019</f>
        <v/>
      </c>
    </row>
    <row r="6020">
      <c r="A6020" s="9" t="n">
        <v>45542.75</v>
      </c>
      <c r="B6020" t="n">
        <v>9</v>
      </c>
      <c r="C6020" t="n">
        <v>7</v>
      </c>
      <c r="D6020" t="n">
        <v>18</v>
      </c>
      <c r="E6020" s="10" t="n">
        <v>0.002789</v>
      </c>
      <c r="F6020" s="10" t="n">
        <v>0.2469973552793653</v>
      </c>
      <c r="G6020" s="11">
        <f>E6020*Summary!$B$6</f>
        <v/>
      </c>
      <c r="H6020" s="11">
        <f>F6020*Summary!$B$7</f>
        <v/>
      </c>
      <c r="I6020" s="11">
        <f>MAX(0,N6020-M6020)</f>
        <v/>
      </c>
      <c r="J6020" s="11">
        <f>MAX(0,M6020-N6020)</f>
        <v/>
      </c>
      <c r="K6020" s="11">
        <f>O6020</f>
        <v/>
      </c>
      <c r="L6020" s="11">
        <f>L6019+IF(K6020&gt;0,K6020*Summary!$B$9,K6020/Summary!$B$9)</f>
        <v/>
      </c>
      <c r="M6020" s="11">
        <f>G6020+H6020</f>
        <v/>
      </c>
      <c r="N6020" s="11">
        <f>Summary!$C$16*Summary!$B$8</f>
        <v/>
      </c>
      <c r="O6020" s="11">
        <f>M6020-N6020</f>
        <v/>
      </c>
    </row>
    <row r="6021">
      <c r="A6021" s="9" t="n">
        <v>45542.79166666666</v>
      </c>
      <c r="B6021" t="n">
        <v>9</v>
      </c>
      <c r="C6021" t="n">
        <v>7</v>
      </c>
      <c r="D6021" t="n">
        <v>19</v>
      </c>
      <c r="E6021" s="10" t="n">
        <v>0</v>
      </c>
      <c r="F6021" s="10" t="n">
        <v>0.2734811216354692</v>
      </c>
      <c r="G6021" s="11">
        <f>E6021*Summary!$B$6</f>
        <v/>
      </c>
      <c r="H6021" s="11">
        <f>F6021*Summary!$B$7</f>
        <v/>
      </c>
      <c r="I6021" s="11">
        <f>MAX(0,N6021-M6021)</f>
        <v/>
      </c>
      <c r="J6021" s="11">
        <f>MAX(0,M6021-N6021)</f>
        <v/>
      </c>
      <c r="K6021" s="11">
        <f>O6021</f>
        <v/>
      </c>
      <c r="L6021" s="11">
        <f>L6020+IF(K6021&gt;0,K6021*Summary!$B$9,K6021/Summary!$B$9)</f>
        <v/>
      </c>
      <c r="M6021" s="11">
        <f>G6021+H6021</f>
        <v/>
      </c>
      <c r="N6021" s="11">
        <f>Summary!$C$16*Summary!$B$8</f>
        <v/>
      </c>
      <c r="O6021" s="11">
        <f>M6021-N6021</f>
        <v/>
      </c>
    </row>
    <row r="6022">
      <c r="A6022" s="9" t="n">
        <v>45542.83333333334</v>
      </c>
      <c r="B6022" t="n">
        <v>9</v>
      </c>
      <c r="C6022" t="n">
        <v>7</v>
      </c>
      <c r="D6022" t="n">
        <v>20</v>
      </c>
      <c r="E6022" s="10" t="n">
        <v>0</v>
      </c>
      <c r="F6022" s="10" t="n">
        <v>0.2896612535187009</v>
      </c>
      <c r="G6022" s="11">
        <f>E6022*Summary!$B$6</f>
        <v/>
      </c>
      <c r="H6022" s="11">
        <f>F6022*Summary!$B$7</f>
        <v/>
      </c>
      <c r="I6022" s="11">
        <f>MAX(0,N6022-M6022)</f>
        <v/>
      </c>
      <c r="J6022" s="11">
        <f>MAX(0,M6022-N6022)</f>
        <v/>
      </c>
      <c r="K6022" s="11">
        <f>O6022</f>
        <v/>
      </c>
      <c r="L6022" s="11">
        <f>L6021+IF(K6022&gt;0,K6022*Summary!$B$9,K6022/Summary!$B$9)</f>
        <v/>
      </c>
      <c r="M6022" s="11">
        <f>G6022+H6022</f>
        <v/>
      </c>
      <c r="N6022" s="11">
        <f>Summary!$C$16*Summary!$B$8</f>
        <v/>
      </c>
      <c r="O6022" s="11">
        <f>M6022-N6022</f>
        <v/>
      </c>
    </row>
    <row r="6023">
      <c r="A6023" s="9" t="n">
        <v>45542.875</v>
      </c>
      <c r="B6023" t="n">
        <v>9</v>
      </c>
      <c r="C6023" t="n">
        <v>7</v>
      </c>
      <c r="D6023" t="n">
        <v>21</v>
      </c>
      <c r="E6023" s="10" t="n">
        <v>0</v>
      </c>
      <c r="F6023" s="10" t="n">
        <v>0.2966708872010129</v>
      </c>
      <c r="G6023" s="11">
        <f>E6023*Summary!$B$6</f>
        <v/>
      </c>
      <c r="H6023" s="11">
        <f>F6023*Summary!$B$7</f>
        <v/>
      </c>
      <c r="I6023" s="11">
        <f>MAX(0,N6023-M6023)</f>
        <v/>
      </c>
      <c r="J6023" s="11">
        <f>MAX(0,M6023-N6023)</f>
        <v/>
      </c>
      <c r="K6023" s="11">
        <f>O6023</f>
        <v/>
      </c>
      <c r="L6023" s="11">
        <f>L6022+IF(K6023&gt;0,K6023*Summary!$B$9,K6023/Summary!$B$9)</f>
        <v/>
      </c>
      <c r="M6023" s="11">
        <f>G6023+H6023</f>
        <v/>
      </c>
      <c r="N6023" s="11">
        <f>Summary!$C$16*Summary!$B$8</f>
        <v/>
      </c>
      <c r="O6023" s="11">
        <f>M6023-N6023</f>
        <v/>
      </c>
    </row>
    <row r="6024">
      <c r="A6024" s="9" t="n">
        <v>45542.91666666666</v>
      </c>
      <c r="B6024" t="n">
        <v>9</v>
      </c>
      <c r="C6024" t="n">
        <v>7</v>
      </c>
      <c r="D6024" t="n">
        <v>22</v>
      </c>
      <c r="E6024" s="10" t="n">
        <v>0</v>
      </c>
      <c r="F6024" s="10" t="n">
        <v>0.2938775745306179</v>
      </c>
      <c r="G6024" s="11">
        <f>E6024*Summary!$B$6</f>
        <v/>
      </c>
      <c r="H6024" s="11">
        <f>F6024*Summary!$B$7</f>
        <v/>
      </c>
      <c r="I6024" s="11">
        <f>MAX(0,N6024-M6024)</f>
        <v/>
      </c>
      <c r="J6024" s="11">
        <f>MAX(0,M6024-N6024)</f>
        <v/>
      </c>
      <c r="K6024" s="11">
        <f>O6024</f>
        <v/>
      </c>
      <c r="L6024" s="11">
        <f>L6023+IF(K6024&gt;0,K6024*Summary!$B$9,K6024/Summary!$B$9)</f>
        <v/>
      </c>
      <c r="M6024" s="11">
        <f>G6024+H6024</f>
        <v/>
      </c>
      <c r="N6024" s="11">
        <f>Summary!$C$16*Summary!$B$8</f>
        <v/>
      </c>
      <c r="O6024" s="11">
        <f>M6024-N6024</f>
        <v/>
      </c>
    </row>
    <row r="6025">
      <c r="A6025" s="9" t="n">
        <v>45542.95833333334</v>
      </c>
      <c r="B6025" t="n">
        <v>9</v>
      </c>
      <c r="C6025" t="n">
        <v>7</v>
      </c>
      <c r="D6025" t="n">
        <v>23</v>
      </c>
      <c r="E6025" s="10" t="n">
        <v>0</v>
      </c>
      <c r="F6025" s="10" t="n">
        <v>0.284469908272778</v>
      </c>
      <c r="G6025" s="11">
        <f>E6025*Summary!$B$6</f>
        <v/>
      </c>
      <c r="H6025" s="11">
        <f>F6025*Summary!$B$7</f>
        <v/>
      </c>
      <c r="I6025" s="11">
        <f>MAX(0,N6025-M6025)</f>
        <v/>
      </c>
      <c r="J6025" s="11">
        <f>MAX(0,M6025-N6025)</f>
        <v/>
      </c>
      <c r="K6025" s="11">
        <f>O6025</f>
        <v/>
      </c>
      <c r="L6025" s="11">
        <f>L6024+IF(K6025&gt;0,K6025*Summary!$B$9,K6025/Summary!$B$9)</f>
        <v/>
      </c>
      <c r="M6025" s="11">
        <f>G6025+H6025</f>
        <v/>
      </c>
      <c r="N6025" s="11">
        <f>Summary!$C$16*Summary!$B$8</f>
        <v/>
      </c>
      <c r="O6025" s="11">
        <f>M6025-N6025</f>
        <v/>
      </c>
    </row>
    <row r="6026">
      <c r="A6026" s="9" t="n">
        <v>45543</v>
      </c>
      <c r="B6026" t="n">
        <v>9</v>
      </c>
      <c r="C6026" t="n">
        <v>8</v>
      </c>
      <c r="D6026" t="n">
        <v>0</v>
      </c>
      <c r="E6026" s="10" t="n">
        <v>0</v>
      </c>
      <c r="F6026" s="10" t="n">
        <v>0.2700817128196111</v>
      </c>
      <c r="G6026" s="11">
        <f>E6026*Summary!$B$6</f>
        <v/>
      </c>
      <c r="H6026" s="11">
        <f>F6026*Summary!$B$7</f>
        <v/>
      </c>
      <c r="I6026" s="11">
        <f>MAX(0,N6026-M6026)</f>
        <v/>
      </c>
      <c r="J6026" s="11">
        <f>MAX(0,M6026-N6026)</f>
        <v/>
      </c>
      <c r="K6026" s="11">
        <f>O6026</f>
        <v/>
      </c>
      <c r="L6026" s="11">
        <f>L6025+IF(K6026&gt;0,K6026*Summary!$B$9,K6026/Summary!$B$9)</f>
        <v/>
      </c>
      <c r="M6026" s="11">
        <f>G6026+H6026</f>
        <v/>
      </c>
      <c r="N6026" s="11">
        <f>Summary!$C$16*Summary!$B$8</f>
        <v/>
      </c>
      <c r="O6026" s="11">
        <f>M6026-N6026</f>
        <v/>
      </c>
    </row>
    <row r="6027">
      <c r="A6027" s="9" t="n">
        <v>45543.04166666666</v>
      </c>
      <c r="B6027" t="n">
        <v>9</v>
      </c>
      <c r="C6027" t="n">
        <v>8</v>
      </c>
      <c r="D6027" t="n">
        <v>1</v>
      </c>
      <c r="E6027" s="10" t="n">
        <v>0</v>
      </c>
      <c r="F6027" s="10" t="n">
        <v>0.2706878089650742</v>
      </c>
      <c r="G6027" s="11">
        <f>E6027*Summary!$B$6</f>
        <v/>
      </c>
      <c r="H6027" s="11">
        <f>F6027*Summary!$B$7</f>
        <v/>
      </c>
      <c r="I6027" s="11">
        <f>MAX(0,N6027-M6027)</f>
        <v/>
      </c>
      <c r="J6027" s="11">
        <f>MAX(0,M6027-N6027)</f>
        <v/>
      </c>
      <c r="K6027" s="11">
        <f>O6027</f>
        <v/>
      </c>
      <c r="L6027" s="11">
        <f>L6026+IF(K6027&gt;0,K6027*Summary!$B$9,K6027/Summary!$B$9)</f>
        <v/>
      </c>
      <c r="M6027" s="11">
        <f>G6027+H6027</f>
        <v/>
      </c>
      <c r="N6027" s="11">
        <f>Summary!$C$16*Summary!$B$8</f>
        <v/>
      </c>
      <c r="O6027" s="11">
        <f>M6027-N6027</f>
        <v/>
      </c>
    </row>
    <row r="6028">
      <c r="A6028" s="9" t="n">
        <v>45543.08333333334</v>
      </c>
      <c r="B6028" t="n">
        <v>9</v>
      </c>
      <c r="C6028" t="n">
        <v>8</v>
      </c>
      <c r="D6028" t="n">
        <v>2</v>
      </c>
      <c r="E6028" s="10" t="n">
        <v>0</v>
      </c>
      <c r="F6028" s="10" t="n">
        <v>0.2637308792954111</v>
      </c>
      <c r="G6028" s="11">
        <f>E6028*Summary!$B$6</f>
        <v/>
      </c>
      <c r="H6028" s="11">
        <f>F6028*Summary!$B$7</f>
        <v/>
      </c>
      <c r="I6028" s="11">
        <f>MAX(0,N6028-M6028)</f>
        <v/>
      </c>
      <c r="J6028" s="11">
        <f>MAX(0,M6028-N6028)</f>
        <v/>
      </c>
      <c r="K6028" s="11">
        <f>O6028</f>
        <v/>
      </c>
      <c r="L6028" s="11">
        <f>L6027+IF(K6028&gt;0,K6028*Summary!$B$9,K6028/Summary!$B$9)</f>
        <v/>
      </c>
      <c r="M6028" s="11">
        <f>G6028+H6028</f>
        <v/>
      </c>
      <c r="N6028" s="11">
        <f>Summary!$C$16*Summary!$B$8</f>
        <v/>
      </c>
      <c r="O6028" s="11">
        <f>M6028-N6028</f>
        <v/>
      </c>
    </row>
    <row r="6029">
      <c r="A6029" s="9" t="n">
        <v>45543.125</v>
      </c>
      <c r="B6029" t="n">
        <v>9</v>
      </c>
      <c r="C6029" t="n">
        <v>8</v>
      </c>
      <c r="D6029" t="n">
        <v>3</v>
      </c>
      <c r="E6029" s="10" t="n">
        <v>0</v>
      </c>
      <c r="F6029" s="10" t="n">
        <v>0.2586712940811106</v>
      </c>
      <c r="G6029" s="11">
        <f>E6029*Summary!$B$6</f>
        <v/>
      </c>
      <c r="H6029" s="11">
        <f>F6029*Summary!$B$7</f>
        <v/>
      </c>
      <c r="I6029" s="11">
        <f>MAX(0,N6029-M6029)</f>
        <v/>
      </c>
      <c r="J6029" s="11">
        <f>MAX(0,M6029-N6029)</f>
        <v/>
      </c>
      <c r="K6029" s="11">
        <f>O6029</f>
        <v/>
      </c>
      <c r="L6029" s="11">
        <f>L6028+IF(K6029&gt;0,K6029*Summary!$B$9,K6029/Summary!$B$9)</f>
        <v/>
      </c>
      <c r="M6029" s="11">
        <f>G6029+H6029</f>
        <v/>
      </c>
      <c r="N6029" s="11">
        <f>Summary!$C$16*Summary!$B$8</f>
        <v/>
      </c>
      <c r="O6029" s="11">
        <f>M6029-N6029</f>
        <v/>
      </c>
    </row>
    <row r="6030">
      <c r="A6030" s="9" t="n">
        <v>45543.16666666666</v>
      </c>
      <c r="B6030" t="n">
        <v>9</v>
      </c>
      <c r="C6030" t="n">
        <v>8</v>
      </c>
      <c r="D6030" t="n">
        <v>4</v>
      </c>
      <c r="E6030" s="10" t="n">
        <v>0</v>
      </c>
      <c r="F6030" s="10" t="n">
        <v>0.2530319647276715</v>
      </c>
      <c r="G6030" s="11">
        <f>E6030*Summary!$B$6</f>
        <v/>
      </c>
      <c r="H6030" s="11">
        <f>F6030*Summary!$B$7</f>
        <v/>
      </c>
      <c r="I6030" s="11">
        <f>MAX(0,N6030-M6030)</f>
        <v/>
      </c>
      <c r="J6030" s="11">
        <f>MAX(0,M6030-N6030)</f>
        <v/>
      </c>
      <c r="K6030" s="11">
        <f>O6030</f>
        <v/>
      </c>
      <c r="L6030" s="11">
        <f>L6029+IF(K6030&gt;0,K6030*Summary!$B$9,K6030/Summary!$B$9)</f>
        <v/>
      </c>
      <c r="M6030" s="11">
        <f>G6030+H6030</f>
        <v/>
      </c>
      <c r="N6030" s="11">
        <f>Summary!$C$16*Summary!$B$8</f>
        <v/>
      </c>
      <c r="O6030" s="11">
        <f>M6030-N6030</f>
        <v/>
      </c>
    </row>
    <row r="6031">
      <c r="A6031" s="9" t="n">
        <v>45543.20833333334</v>
      </c>
      <c r="B6031" t="n">
        <v>9</v>
      </c>
      <c r="C6031" t="n">
        <v>8</v>
      </c>
      <c r="D6031" t="n">
        <v>5</v>
      </c>
      <c r="E6031" s="10" t="n">
        <v>0</v>
      </c>
      <c r="F6031" s="10" t="n">
        <v>0.2494217398612175</v>
      </c>
      <c r="G6031" s="11">
        <f>E6031*Summary!$B$6</f>
        <v/>
      </c>
      <c r="H6031" s="11">
        <f>F6031*Summary!$B$7</f>
        <v/>
      </c>
      <c r="I6031" s="11">
        <f>MAX(0,N6031-M6031)</f>
        <v/>
      </c>
      <c r="J6031" s="11">
        <f>MAX(0,M6031-N6031)</f>
        <v/>
      </c>
      <c r="K6031" s="11">
        <f>O6031</f>
        <v/>
      </c>
      <c r="L6031" s="11">
        <f>L6030+IF(K6031&gt;0,K6031*Summary!$B$9,K6031/Summary!$B$9)</f>
        <v/>
      </c>
      <c r="M6031" s="11">
        <f>G6031+H6031</f>
        <v/>
      </c>
      <c r="N6031" s="11">
        <f>Summary!$C$16*Summary!$B$8</f>
        <v/>
      </c>
      <c r="O6031" s="11">
        <f>M6031-N6031</f>
        <v/>
      </c>
    </row>
    <row r="6032">
      <c r="A6032" s="9" t="n">
        <v>45543.25</v>
      </c>
      <c r="B6032" t="n">
        <v>9</v>
      </c>
      <c r="C6032" t="n">
        <v>8</v>
      </c>
      <c r="D6032" t="n">
        <v>6</v>
      </c>
      <c r="E6032" s="10" t="n">
        <v>0.013106</v>
      </c>
      <c r="F6032" s="10" t="n">
        <v>0.234453800268912</v>
      </c>
      <c r="G6032" s="11">
        <f>E6032*Summary!$B$6</f>
        <v/>
      </c>
      <c r="H6032" s="11">
        <f>F6032*Summary!$B$7</f>
        <v/>
      </c>
      <c r="I6032" s="11">
        <f>MAX(0,N6032-M6032)</f>
        <v/>
      </c>
      <c r="J6032" s="11">
        <f>MAX(0,M6032-N6032)</f>
        <v/>
      </c>
      <c r="K6032" s="11">
        <f>O6032</f>
        <v/>
      </c>
      <c r="L6032" s="11">
        <f>L6031+IF(K6032&gt;0,K6032*Summary!$B$9,K6032/Summary!$B$9)</f>
        <v/>
      </c>
      <c r="M6032" s="11">
        <f>G6032+H6032</f>
        <v/>
      </c>
      <c r="N6032" s="11">
        <f>Summary!$C$16*Summary!$B$8</f>
        <v/>
      </c>
      <c r="O6032" s="11">
        <f>M6032-N6032</f>
        <v/>
      </c>
    </row>
    <row r="6033">
      <c r="A6033" s="9" t="n">
        <v>45543.29166666666</v>
      </c>
      <c r="B6033" t="n">
        <v>9</v>
      </c>
      <c r="C6033" t="n">
        <v>8</v>
      </c>
      <c r="D6033" t="n">
        <v>7</v>
      </c>
      <c r="E6033" s="10" t="n">
        <v>0.057122</v>
      </c>
      <c r="F6033" s="10" t="n">
        <v>0.2157702277848547</v>
      </c>
      <c r="G6033" s="11">
        <f>E6033*Summary!$B$6</f>
        <v/>
      </c>
      <c r="H6033" s="11">
        <f>F6033*Summary!$B$7</f>
        <v/>
      </c>
      <c r="I6033" s="11">
        <f>MAX(0,N6033-M6033)</f>
        <v/>
      </c>
      <c r="J6033" s="11">
        <f>MAX(0,M6033-N6033)</f>
        <v/>
      </c>
      <c r="K6033" s="11">
        <f>O6033</f>
        <v/>
      </c>
      <c r="L6033" s="11">
        <f>L6032+IF(K6033&gt;0,K6033*Summary!$B$9,K6033/Summary!$B$9)</f>
        <v/>
      </c>
      <c r="M6033" s="11">
        <f>G6033+H6033</f>
        <v/>
      </c>
      <c r="N6033" s="11">
        <f>Summary!$C$16*Summary!$B$8</f>
        <v/>
      </c>
      <c r="O6033" s="11">
        <f>M6033-N6033</f>
        <v/>
      </c>
    </row>
    <row r="6034">
      <c r="A6034" s="9" t="n">
        <v>45543.33333333334</v>
      </c>
      <c r="B6034" t="n">
        <v>9</v>
      </c>
      <c r="C6034" t="n">
        <v>8</v>
      </c>
      <c r="D6034" t="n">
        <v>8</v>
      </c>
      <c r="E6034" s="10" t="n">
        <v>0.107887</v>
      </c>
      <c r="F6034" s="10" t="n">
        <v>0.2028313926795343</v>
      </c>
      <c r="G6034" s="11">
        <f>E6034*Summary!$B$6</f>
        <v/>
      </c>
      <c r="H6034" s="11">
        <f>F6034*Summary!$B$7</f>
        <v/>
      </c>
      <c r="I6034" s="11">
        <f>MAX(0,N6034-M6034)</f>
        <v/>
      </c>
      <c r="J6034" s="11">
        <f>MAX(0,M6034-N6034)</f>
        <v/>
      </c>
      <c r="K6034" s="11">
        <f>O6034</f>
        <v/>
      </c>
      <c r="L6034" s="11">
        <f>L6033+IF(K6034&gt;0,K6034*Summary!$B$9,K6034/Summary!$B$9)</f>
        <v/>
      </c>
      <c r="M6034" s="11">
        <f>G6034+H6034</f>
        <v/>
      </c>
      <c r="N6034" s="11">
        <f>Summary!$C$16*Summary!$B$8</f>
        <v/>
      </c>
      <c r="O6034" s="11">
        <f>M6034-N6034</f>
        <v/>
      </c>
    </row>
    <row r="6035">
      <c r="A6035" s="9" t="n">
        <v>45543.375</v>
      </c>
      <c r="B6035" t="n">
        <v>9</v>
      </c>
      <c r="C6035" t="n">
        <v>8</v>
      </c>
      <c r="D6035" t="n">
        <v>9</v>
      </c>
      <c r="E6035" s="10" t="n">
        <v>0.150603</v>
      </c>
      <c r="F6035" s="10" t="n">
        <v>0.196796783231228</v>
      </c>
      <c r="G6035" s="11">
        <f>E6035*Summary!$B$6</f>
        <v/>
      </c>
      <c r="H6035" s="11">
        <f>F6035*Summary!$B$7</f>
        <v/>
      </c>
      <c r="I6035" s="11">
        <f>MAX(0,N6035-M6035)</f>
        <v/>
      </c>
      <c r="J6035" s="11">
        <f>MAX(0,M6035-N6035)</f>
        <v/>
      </c>
      <c r="K6035" s="11">
        <f>O6035</f>
        <v/>
      </c>
      <c r="L6035" s="11">
        <f>L6034+IF(K6035&gt;0,K6035*Summary!$B$9,K6035/Summary!$B$9)</f>
        <v/>
      </c>
      <c r="M6035" s="11">
        <f>G6035+H6035</f>
        <v/>
      </c>
      <c r="N6035" s="11">
        <f>Summary!$C$16*Summary!$B$8</f>
        <v/>
      </c>
      <c r="O6035" s="11">
        <f>M6035-N6035</f>
        <v/>
      </c>
    </row>
    <row r="6036">
      <c r="A6036" s="9" t="n">
        <v>45543.41666666666</v>
      </c>
      <c r="B6036" t="n">
        <v>9</v>
      </c>
      <c r="C6036" t="n">
        <v>8</v>
      </c>
      <c r="D6036" t="n">
        <v>10</v>
      </c>
      <c r="E6036" s="10" t="n">
        <v>0.224593</v>
      </c>
      <c r="F6036" s="10" t="n">
        <v>0.196085279060467</v>
      </c>
      <c r="G6036" s="11">
        <f>E6036*Summary!$B$6</f>
        <v/>
      </c>
      <c r="H6036" s="11">
        <f>F6036*Summary!$B$7</f>
        <v/>
      </c>
      <c r="I6036" s="11">
        <f>MAX(0,N6036-M6036)</f>
        <v/>
      </c>
      <c r="J6036" s="11">
        <f>MAX(0,M6036-N6036)</f>
        <v/>
      </c>
      <c r="K6036" s="11">
        <f>O6036</f>
        <v/>
      </c>
      <c r="L6036" s="11">
        <f>L6035+IF(K6036&gt;0,K6036*Summary!$B$9,K6036/Summary!$B$9)</f>
        <v/>
      </c>
      <c r="M6036" s="11">
        <f>G6036+H6036</f>
        <v/>
      </c>
      <c r="N6036" s="11">
        <f>Summary!$C$16*Summary!$B$8</f>
        <v/>
      </c>
      <c r="O6036" s="11">
        <f>M6036-N6036</f>
        <v/>
      </c>
    </row>
    <row r="6037">
      <c r="A6037" s="9" t="n">
        <v>45543.45833333334</v>
      </c>
      <c r="B6037" t="n">
        <v>9</v>
      </c>
      <c r="C6037" t="n">
        <v>8</v>
      </c>
      <c r="D6037" t="n">
        <v>11</v>
      </c>
      <c r="E6037" s="10" t="n">
        <v>0.262737</v>
      </c>
      <c r="F6037" s="10" t="n">
        <v>0.1990894077814578</v>
      </c>
      <c r="G6037" s="11">
        <f>E6037*Summary!$B$6</f>
        <v/>
      </c>
      <c r="H6037" s="11">
        <f>F6037*Summary!$B$7</f>
        <v/>
      </c>
      <c r="I6037" s="11">
        <f>MAX(0,N6037-M6037)</f>
        <v/>
      </c>
      <c r="J6037" s="11">
        <f>MAX(0,M6037-N6037)</f>
        <v/>
      </c>
      <c r="K6037" s="11">
        <f>O6037</f>
        <v/>
      </c>
      <c r="L6037" s="11">
        <f>L6036+IF(K6037&gt;0,K6037*Summary!$B$9,K6037/Summary!$B$9)</f>
        <v/>
      </c>
      <c r="M6037" s="11">
        <f>G6037+H6037</f>
        <v/>
      </c>
      <c r="N6037" s="11">
        <f>Summary!$C$16*Summary!$B$8</f>
        <v/>
      </c>
      <c r="O6037" s="11">
        <f>M6037-N6037</f>
        <v/>
      </c>
    </row>
    <row r="6038">
      <c r="A6038" s="9" t="n">
        <v>45543.5</v>
      </c>
      <c r="B6038" t="n">
        <v>9</v>
      </c>
      <c r="C6038" t="n">
        <v>8</v>
      </c>
      <c r="D6038" t="n">
        <v>12</v>
      </c>
      <c r="E6038" s="10" t="n">
        <v>0.370741</v>
      </c>
      <c r="F6038" s="10" t="n">
        <v>0.2047287371348969</v>
      </c>
      <c r="G6038" s="11">
        <f>E6038*Summary!$B$6</f>
        <v/>
      </c>
      <c r="H6038" s="11">
        <f>F6038*Summary!$B$7</f>
        <v/>
      </c>
      <c r="I6038" s="11">
        <f>MAX(0,N6038-M6038)</f>
        <v/>
      </c>
      <c r="J6038" s="11">
        <f>MAX(0,M6038-N6038)</f>
        <v/>
      </c>
      <c r="K6038" s="11">
        <f>O6038</f>
        <v/>
      </c>
      <c r="L6038" s="11">
        <f>L6037+IF(K6038&gt;0,K6038*Summary!$B$9,K6038/Summary!$B$9)</f>
        <v/>
      </c>
      <c r="M6038" s="11">
        <f>G6038+H6038</f>
        <v/>
      </c>
      <c r="N6038" s="11">
        <f>Summary!$C$16*Summary!$B$8</f>
        <v/>
      </c>
      <c r="O6038" s="11">
        <f>M6038-N6038</f>
        <v/>
      </c>
    </row>
    <row r="6039">
      <c r="A6039" s="9" t="n">
        <v>45543.54166666666</v>
      </c>
      <c r="B6039" t="n">
        <v>9</v>
      </c>
      <c r="C6039" t="n">
        <v>8</v>
      </c>
      <c r="D6039" t="n">
        <v>13</v>
      </c>
      <c r="E6039" s="10" t="n">
        <v>0.442621</v>
      </c>
      <c r="F6039" s="10" t="n">
        <v>0.227338758561302</v>
      </c>
      <c r="G6039" s="11">
        <f>E6039*Summary!$B$6</f>
        <v/>
      </c>
      <c r="H6039" s="11">
        <f>F6039*Summary!$B$7</f>
        <v/>
      </c>
      <c r="I6039" s="11">
        <f>MAX(0,N6039-M6039)</f>
        <v/>
      </c>
      <c r="J6039" s="11">
        <f>MAX(0,M6039-N6039)</f>
        <v/>
      </c>
      <c r="K6039" s="11">
        <f>O6039</f>
        <v/>
      </c>
      <c r="L6039" s="11">
        <f>L6038+IF(K6039&gt;0,K6039*Summary!$B$9,K6039/Summary!$B$9)</f>
        <v/>
      </c>
      <c r="M6039" s="11">
        <f>G6039+H6039</f>
        <v/>
      </c>
      <c r="N6039" s="11">
        <f>Summary!$C$16*Summary!$B$8</f>
        <v/>
      </c>
      <c r="O6039" s="11">
        <f>M6039-N6039</f>
        <v/>
      </c>
    </row>
    <row r="6040">
      <c r="A6040" s="9" t="n">
        <v>45543.58333333334</v>
      </c>
      <c r="B6040" t="n">
        <v>9</v>
      </c>
      <c r="C6040" t="n">
        <v>8</v>
      </c>
      <c r="D6040" t="n">
        <v>14</v>
      </c>
      <c r="E6040" s="10" t="n">
        <v>0.515057</v>
      </c>
      <c r="F6040" s="10" t="n">
        <v>0.2286563588775261</v>
      </c>
      <c r="G6040" s="11">
        <f>E6040*Summary!$B$6</f>
        <v/>
      </c>
      <c r="H6040" s="11">
        <f>F6040*Summary!$B$7</f>
        <v/>
      </c>
      <c r="I6040" s="11">
        <f>MAX(0,N6040-M6040)</f>
        <v/>
      </c>
      <c r="J6040" s="11">
        <f>MAX(0,M6040-N6040)</f>
        <v/>
      </c>
      <c r="K6040" s="11">
        <f>O6040</f>
        <v/>
      </c>
      <c r="L6040" s="11">
        <f>L6039+IF(K6040&gt;0,K6040*Summary!$B$9,K6040/Summary!$B$9)</f>
        <v/>
      </c>
      <c r="M6040" s="11">
        <f>G6040+H6040</f>
        <v/>
      </c>
      <c r="N6040" s="11">
        <f>Summary!$C$16*Summary!$B$8</f>
        <v/>
      </c>
      <c r="O6040" s="11">
        <f>M6040-N6040</f>
        <v/>
      </c>
    </row>
    <row r="6041">
      <c r="A6041" s="9" t="n">
        <v>45543.625</v>
      </c>
      <c r="B6041" t="n">
        <v>9</v>
      </c>
      <c r="C6041" t="n">
        <v>8</v>
      </c>
      <c r="D6041" t="n">
        <v>15</v>
      </c>
      <c r="E6041" s="10" t="n">
        <v>0.328723</v>
      </c>
      <c r="F6041" s="10" t="n">
        <v>0.2071004177041003</v>
      </c>
      <c r="G6041" s="11">
        <f>E6041*Summary!$B$6</f>
        <v/>
      </c>
      <c r="H6041" s="11">
        <f>F6041*Summary!$B$7</f>
        <v/>
      </c>
      <c r="I6041" s="11">
        <f>MAX(0,N6041-M6041)</f>
        <v/>
      </c>
      <c r="J6041" s="11">
        <f>MAX(0,M6041-N6041)</f>
        <v/>
      </c>
      <c r="K6041" s="11">
        <f>O6041</f>
        <v/>
      </c>
      <c r="L6041" s="11">
        <f>L6040+IF(K6041&gt;0,K6041*Summary!$B$9,K6041/Summary!$B$9)</f>
        <v/>
      </c>
      <c r="M6041" s="11">
        <f>G6041+H6041</f>
        <v/>
      </c>
      <c r="N6041" s="11">
        <f>Summary!$C$16*Summary!$B$8</f>
        <v/>
      </c>
      <c r="O6041" s="11">
        <f>M6041-N6041</f>
        <v/>
      </c>
    </row>
    <row r="6042">
      <c r="A6042" s="9" t="n">
        <v>45543.66666666666</v>
      </c>
      <c r="B6042" t="n">
        <v>9</v>
      </c>
      <c r="C6042" t="n">
        <v>8</v>
      </c>
      <c r="D6042" t="n">
        <v>16</v>
      </c>
      <c r="E6042" s="10" t="n">
        <v>0.136612</v>
      </c>
      <c r="F6042" s="10" t="n">
        <v>0.2056510573562538</v>
      </c>
      <c r="G6042" s="11">
        <f>E6042*Summary!$B$6</f>
        <v/>
      </c>
      <c r="H6042" s="11">
        <f>F6042*Summary!$B$7</f>
        <v/>
      </c>
      <c r="I6042" s="11">
        <f>MAX(0,N6042-M6042)</f>
        <v/>
      </c>
      <c r="J6042" s="11">
        <f>MAX(0,M6042-N6042)</f>
        <v/>
      </c>
      <c r="K6042" s="11">
        <f>O6042</f>
        <v/>
      </c>
      <c r="L6042" s="11">
        <f>L6041+IF(K6042&gt;0,K6042*Summary!$B$9,K6042/Summary!$B$9)</f>
        <v/>
      </c>
      <c r="M6042" s="11">
        <f>G6042+H6042</f>
        <v/>
      </c>
      <c r="N6042" s="11">
        <f>Summary!$C$16*Summary!$B$8</f>
        <v/>
      </c>
      <c r="O6042" s="11">
        <f>M6042-N6042</f>
        <v/>
      </c>
    </row>
    <row r="6043">
      <c r="A6043" s="9" t="n">
        <v>45543.70833333334</v>
      </c>
      <c r="B6043" t="n">
        <v>9</v>
      </c>
      <c r="C6043" t="n">
        <v>8</v>
      </c>
      <c r="D6043" t="n">
        <v>17</v>
      </c>
      <c r="E6043" s="10" t="n">
        <v>0.063887</v>
      </c>
      <c r="F6043" s="10" t="n">
        <v>0.2093930422543301</v>
      </c>
      <c r="G6043" s="11">
        <f>E6043*Summary!$B$6</f>
        <v/>
      </c>
      <c r="H6043" s="11">
        <f>F6043*Summary!$B$7</f>
        <v/>
      </c>
      <c r="I6043" s="11">
        <f>MAX(0,N6043-M6043)</f>
        <v/>
      </c>
      <c r="J6043" s="11">
        <f>MAX(0,M6043-N6043)</f>
        <v/>
      </c>
      <c r="K6043" s="11">
        <f>O6043</f>
        <v/>
      </c>
      <c r="L6043" s="11">
        <f>L6042+IF(K6043&gt;0,K6043*Summary!$B$9,K6043/Summary!$B$9)</f>
        <v/>
      </c>
      <c r="M6043" s="11">
        <f>G6043+H6043</f>
        <v/>
      </c>
      <c r="N6043" s="11">
        <f>Summary!$C$16*Summary!$B$8</f>
        <v/>
      </c>
      <c r="O6043" s="11">
        <f>M6043-N6043</f>
        <v/>
      </c>
    </row>
    <row r="6044">
      <c r="A6044" s="9" t="n">
        <v>45543.75</v>
      </c>
      <c r="B6044" t="n">
        <v>9</v>
      </c>
      <c r="C6044" t="n">
        <v>8</v>
      </c>
      <c r="D6044" t="n">
        <v>18</v>
      </c>
      <c r="E6044" s="10" t="n">
        <v>0.005456</v>
      </c>
      <c r="F6044" s="10" t="n">
        <v>0.2298685511684523</v>
      </c>
      <c r="G6044" s="11">
        <f>E6044*Summary!$B$6</f>
        <v/>
      </c>
      <c r="H6044" s="11">
        <f>F6044*Summary!$B$7</f>
        <v/>
      </c>
      <c r="I6044" s="11">
        <f>MAX(0,N6044-M6044)</f>
        <v/>
      </c>
      <c r="J6044" s="11">
        <f>MAX(0,M6044-N6044)</f>
        <v/>
      </c>
      <c r="K6044" s="11">
        <f>O6044</f>
        <v/>
      </c>
      <c r="L6044" s="11">
        <f>L6043+IF(K6044&gt;0,K6044*Summary!$B$9,K6044/Summary!$B$9)</f>
        <v/>
      </c>
      <c r="M6044" s="11">
        <f>G6044+H6044</f>
        <v/>
      </c>
      <c r="N6044" s="11">
        <f>Summary!$C$16*Summary!$B$8</f>
        <v/>
      </c>
      <c r="O6044" s="11">
        <f>M6044-N6044</f>
        <v/>
      </c>
    </row>
    <row r="6045">
      <c r="A6045" s="9" t="n">
        <v>45543.79166666666</v>
      </c>
      <c r="B6045" t="n">
        <v>9</v>
      </c>
      <c r="C6045" t="n">
        <v>8</v>
      </c>
      <c r="D6045" t="n">
        <v>19</v>
      </c>
      <c r="E6045" s="10" t="n">
        <v>0</v>
      </c>
      <c r="F6045" s="10" t="n">
        <v>0.253769820904757</v>
      </c>
      <c r="G6045" s="11">
        <f>E6045*Summary!$B$6</f>
        <v/>
      </c>
      <c r="H6045" s="11">
        <f>F6045*Summary!$B$7</f>
        <v/>
      </c>
      <c r="I6045" s="11">
        <f>MAX(0,N6045-M6045)</f>
        <v/>
      </c>
      <c r="J6045" s="11">
        <f>MAX(0,M6045-N6045)</f>
        <v/>
      </c>
      <c r="K6045" s="11">
        <f>O6045</f>
        <v/>
      </c>
      <c r="L6045" s="11">
        <f>L6044+IF(K6045&gt;0,K6045*Summary!$B$9,K6045/Summary!$B$9)</f>
        <v/>
      </c>
      <c r="M6045" s="11">
        <f>G6045+H6045</f>
        <v/>
      </c>
      <c r="N6045" s="11">
        <f>Summary!$C$16*Summary!$B$8</f>
        <v/>
      </c>
      <c r="O6045" s="11">
        <f>M6045-N6045</f>
        <v/>
      </c>
    </row>
    <row r="6046">
      <c r="A6046" s="9" t="n">
        <v>45543.83333333334</v>
      </c>
      <c r="B6046" t="n">
        <v>9</v>
      </c>
      <c r="C6046" t="n">
        <v>8</v>
      </c>
      <c r="D6046" t="n">
        <v>20</v>
      </c>
      <c r="E6046" s="10" t="n">
        <v>0</v>
      </c>
      <c r="F6046" s="10" t="n">
        <v>0.2713993131358352</v>
      </c>
      <c r="G6046" s="11">
        <f>E6046*Summary!$B$6</f>
        <v/>
      </c>
      <c r="H6046" s="11">
        <f>F6046*Summary!$B$7</f>
        <v/>
      </c>
      <c r="I6046" s="11">
        <f>MAX(0,N6046-M6046)</f>
        <v/>
      </c>
      <c r="J6046" s="11">
        <f>MAX(0,M6046-N6046)</f>
        <v/>
      </c>
      <c r="K6046" s="11">
        <f>O6046</f>
        <v/>
      </c>
      <c r="L6046" s="11">
        <f>L6045+IF(K6046&gt;0,K6046*Summary!$B$9,K6046/Summary!$B$9)</f>
        <v/>
      </c>
      <c r="M6046" s="11">
        <f>G6046+H6046</f>
        <v/>
      </c>
      <c r="N6046" s="11">
        <f>Summary!$C$16*Summary!$B$8</f>
        <v/>
      </c>
      <c r="O6046" s="11">
        <f>M6046-N6046</f>
        <v/>
      </c>
    </row>
    <row r="6047">
      <c r="A6047" s="9" t="n">
        <v>45543.875</v>
      </c>
      <c r="B6047" t="n">
        <v>9</v>
      </c>
      <c r="C6047" t="n">
        <v>8</v>
      </c>
      <c r="D6047" t="n">
        <v>21</v>
      </c>
      <c r="E6047" s="10" t="n">
        <v>0</v>
      </c>
      <c r="F6047" s="10" t="n">
        <v>0.2847070763296983</v>
      </c>
      <c r="G6047" s="11">
        <f>E6047*Summary!$B$6</f>
        <v/>
      </c>
      <c r="H6047" s="11">
        <f>F6047*Summary!$B$7</f>
        <v/>
      </c>
      <c r="I6047" s="11">
        <f>MAX(0,N6047-M6047)</f>
        <v/>
      </c>
      <c r="J6047" s="11">
        <f>MAX(0,M6047-N6047)</f>
        <v/>
      </c>
      <c r="K6047" s="11">
        <f>O6047</f>
        <v/>
      </c>
      <c r="L6047" s="11">
        <f>L6046+IF(K6047&gt;0,K6047*Summary!$B$9,K6047/Summary!$B$9)</f>
        <v/>
      </c>
      <c r="M6047" s="11">
        <f>G6047+H6047</f>
        <v/>
      </c>
      <c r="N6047" s="11">
        <f>Summary!$C$16*Summary!$B$8</f>
        <v/>
      </c>
      <c r="O6047" s="11">
        <f>M6047-N6047</f>
        <v/>
      </c>
    </row>
    <row r="6048">
      <c r="A6048" s="9" t="n">
        <v>45543.91666666666</v>
      </c>
      <c r="B6048" t="n">
        <v>9</v>
      </c>
      <c r="C6048" t="n">
        <v>8</v>
      </c>
      <c r="D6048" t="n">
        <v>22</v>
      </c>
      <c r="E6048" s="10" t="n">
        <v>0</v>
      </c>
      <c r="F6048" s="10" t="n">
        <v>0.2868942928546303</v>
      </c>
      <c r="G6048" s="11">
        <f>E6048*Summary!$B$6</f>
        <v/>
      </c>
      <c r="H6048" s="11">
        <f>F6048*Summary!$B$7</f>
        <v/>
      </c>
      <c r="I6048" s="11">
        <f>MAX(0,N6048-M6048)</f>
        <v/>
      </c>
      <c r="J6048" s="11">
        <f>MAX(0,M6048-N6048)</f>
        <v/>
      </c>
      <c r="K6048" s="11">
        <f>O6048</f>
        <v/>
      </c>
      <c r="L6048" s="11">
        <f>L6047+IF(K6048&gt;0,K6048*Summary!$B$9,K6048/Summary!$B$9)</f>
        <v/>
      </c>
      <c r="M6048" s="11">
        <f>G6048+H6048</f>
        <v/>
      </c>
      <c r="N6048" s="11">
        <f>Summary!$C$16*Summary!$B$8</f>
        <v/>
      </c>
      <c r="O6048" s="11">
        <f>M6048-N6048</f>
        <v/>
      </c>
    </row>
    <row r="6049">
      <c r="A6049" s="9" t="n">
        <v>45543.95833333334</v>
      </c>
      <c r="B6049" t="n">
        <v>9</v>
      </c>
      <c r="C6049" t="n">
        <v>8</v>
      </c>
      <c r="D6049" t="n">
        <v>23</v>
      </c>
      <c r="E6049" s="10" t="n">
        <v>0</v>
      </c>
      <c r="F6049" s="10" t="n">
        <v>0.2835212360450967</v>
      </c>
      <c r="G6049" s="11">
        <f>E6049*Summary!$B$6</f>
        <v/>
      </c>
      <c r="H6049" s="11">
        <f>F6049*Summary!$B$7</f>
        <v/>
      </c>
      <c r="I6049" s="11">
        <f>MAX(0,N6049-M6049)</f>
        <v/>
      </c>
      <c r="J6049" s="11">
        <f>MAX(0,M6049-N6049)</f>
        <v/>
      </c>
      <c r="K6049" s="11">
        <f>O6049</f>
        <v/>
      </c>
      <c r="L6049" s="11">
        <f>L6048+IF(K6049&gt;0,K6049*Summary!$B$9,K6049/Summary!$B$9)</f>
        <v/>
      </c>
      <c r="M6049" s="11">
        <f>G6049+H6049</f>
        <v/>
      </c>
      <c r="N6049" s="11">
        <f>Summary!$C$16*Summary!$B$8</f>
        <v/>
      </c>
      <c r="O6049" s="11">
        <f>M6049-N6049</f>
        <v/>
      </c>
    </row>
    <row r="6050">
      <c r="A6050" s="9" t="n">
        <v>45544</v>
      </c>
      <c r="B6050" t="n">
        <v>9</v>
      </c>
      <c r="C6050" t="n">
        <v>9</v>
      </c>
      <c r="D6050" t="n">
        <v>0</v>
      </c>
      <c r="E6050" s="10" t="n">
        <v>0</v>
      </c>
      <c r="F6050" s="10" t="n">
        <v>0.2696073767057704</v>
      </c>
      <c r="G6050" s="11">
        <f>E6050*Summary!$B$6</f>
        <v/>
      </c>
      <c r="H6050" s="11">
        <f>F6050*Summary!$B$7</f>
        <v/>
      </c>
      <c r="I6050" s="11">
        <f>MAX(0,N6050-M6050)</f>
        <v/>
      </c>
      <c r="J6050" s="11">
        <f>MAX(0,M6050-N6050)</f>
        <v/>
      </c>
      <c r="K6050" s="11">
        <f>O6050</f>
        <v/>
      </c>
      <c r="L6050" s="11">
        <f>L6049+IF(K6050&gt;0,K6050*Summary!$B$9,K6050/Summary!$B$9)</f>
        <v/>
      </c>
      <c r="M6050" s="11">
        <f>G6050+H6050</f>
        <v/>
      </c>
      <c r="N6050" s="11">
        <f>Summary!$C$16*Summary!$B$8</f>
        <v/>
      </c>
      <c r="O6050" s="11">
        <f>M6050-N6050</f>
        <v/>
      </c>
    </row>
    <row r="6051">
      <c r="A6051" s="9" t="n">
        <v>45544.04166666666</v>
      </c>
      <c r="B6051" t="n">
        <v>9</v>
      </c>
      <c r="C6051" t="n">
        <v>9</v>
      </c>
      <c r="D6051" t="n">
        <v>1</v>
      </c>
      <c r="E6051" s="10" t="n">
        <v>0</v>
      </c>
      <c r="F6051" s="10" t="n">
        <v>0.2630984311436235</v>
      </c>
      <c r="G6051" s="11">
        <f>E6051*Summary!$B$6</f>
        <v/>
      </c>
      <c r="H6051" s="11">
        <f>F6051*Summary!$B$7</f>
        <v/>
      </c>
      <c r="I6051" s="11">
        <f>MAX(0,N6051-M6051)</f>
        <v/>
      </c>
      <c r="J6051" s="11">
        <f>MAX(0,M6051-N6051)</f>
        <v/>
      </c>
      <c r="K6051" s="11">
        <f>O6051</f>
        <v/>
      </c>
      <c r="L6051" s="11">
        <f>L6050+IF(K6051&gt;0,K6051*Summary!$B$9,K6051/Summary!$B$9)</f>
        <v/>
      </c>
      <c r="M6051" s="11">
        <f>G6051+H6051</f>
        <v/>
      </c>
      <c r="N6051" s="11">
        <f>Summary!$C$16*Summary!$B$8</f>
        <v/>
      </c>
      <c r="O6051" s="11">
        <f>M6051-N6051</f>
        <v/>
      </c>
    </row>
    <row r="6052">
      <c r="A6052" s="9" t="n">
        <v>45544.08333333334</v>
      </c>
      <c r="B6052" t="n">
        <v>9</v>
      </c>
      <c r="C6052" t="n">
        <v>9</v>
      </c>
      <c r="D6052" t="n">
        <v>2</v>
      </c>
      <c r="E6052" s="10" t="n">
        <v>0</v>
      </c>
      <c r="F6052" s="10" t="n">
        <v>0.2576699178407803</v>
      </c>
      <c r="G6052" s="11">
        <f>E6052*Summary!$B$6</f>
        <v/>
      </c>
      <c r="H6052" s="11">
        <f>F6052*Summary!$B$7</f>
        <v/>
      </c>
      <c r="I6052" s="11">
        <f>MAX(0,N6052-M6052)</f>
        <v/>
      </c>
      <c r="J6052" s="11">
        <f>MAX(0,M6052-N6052)</f>
        <v/>
      </c>
      <c r="K6052" s="11">
        <f>O6052</f>
        <v/>
      </c>
      <c r="L6052" s="11">
        <f>L6051+IF(K6052&gt;0,K6052*Summary!$B$9,K6052/Summary!$B$9)</f>
        <v/>
      </c>
      <c r="M6052" s="11">
        <f>G6052+H6052</f>
        <v/>
      </c>
      <c r="N6052" s="11">
        <f>Summary!$C$16*Summary!$B$8</f>
        <v/>
      </c>
      <c r="O6052" s="11">
        <f>M6052-N6052</f>
        <v/>
      </c>
    </row>
    <row r="6053">
      <c r="A6053" s="9" t="n">
        <v>45544.125</v>
      </c>
      <c r="B6053" t="n">
        <v>9</v>
      </c>
      <c r="C6053" t="n">
        <v>9</v>
      </c>
      <c r="D6053" t="n">
        <v>3</v>
      </c>
      <c r="E6053" s="10" t="n">
        <v>0</v>
      </c>
      <c r="F6053" s="10" t="n">
        <v>0.2536907648857836</v>
      </c>
      <c r="G6053" s="11">
        <f>E6053*Summary!$B$6</f>
        <v/>
      </c>
      <c r="H6053" s="11">
        <f>F6053*Summary!$B$7</f>
        <v/>
      </c>
      <c r="I6053" s="11">
        <f>MAX(0,N6053-M6053)</f>
        <v/>
      </c>
      <c r="J6053" s="11">
        <f>MAX(0,M6053-N6053)</f>
        <v/>
      </c>
      <c r="K6053" s="11">
        <f>O6053</f>
        <v/>
      </c>
      <c r="L6053" s="11">
        <f>L6052+IF(K6053&gt;0,K6053*Summary!$B$9,K6053/Summary!$B$9)</f>
        <v/>
      </c>
      <c r="M6053" s="11">
        <f>G6053+H6053</f>
        <v/>
      </c>
      <c r="N6053" s="11">
        <f>Summary!$C$16*Summary!$B$8</f>
        <v/>
      </c>
      <c r="O6053" s="11">
        <f>M6053-N6053</f>
        <v/>
      </c>
    </row>
    <row r="6054">
      <c r="A6054" s="9" t="n">
        <v>45544.16666666666</v>
      </c>
      <c r="B6054" t="n">
        <v>9</v>
      </c>
      <c r="C6054" t="n">
        <v>9</v>
      </c>
      <c r="D6054" t="n">
        <v>4</v>
      </c>
      <c r="E6054" s="10" t="n">
        <v>0</v>
      </c>
      <c r="F6054" s="10" t="n">
        <v>0.257986141916674</v>
      </c>
      <c r="G6054" s="11">
        <f>E6054*Summary!$B$6</f>
        <v/>
      </c>
      <c r="H6054" s="11">
        <f>F6054*Summary!$B$7</f>
        <v/>
      </c>
      <c r="I6054" s="11">
        <f>MAX(0,N6054-M6054)</f>
        <v/>
      </c>
      <c r="J6054" s="11">
        <f>MAX(0,M6054-N6054)</f>
        <v/>
      </c>
      <c r="K6054" s="11">
        <f>O6054</f>
        <v/>
      </c>
      <c r="L6054" s="11">
        <f>L6053+IF(K6054&gt;0,K6054*Summary!$B$9,K6054/Summary!$B$9)</f>
        <v/>
      </c>
      <c r="M6054" s="11">
        <f>G6054+H6054</f>
        <v/>
      </c>
      <c r="N6054" s="11">
        <f>Summary!$C$16*Summary!$B$8</f>
        <v/>
      </c>
      <c r="O6054" s="11">
        <f>M6054-N6054</f>
        <v/>
      </c>
    </row>
    <row r="6055">
      <c r="A6055" s="9" t="n">
        <v>45544.20833333334</v>
      </c>
      <c r="B6055" t="n">
        <v>9</v>
      </c>
      <c r="C6055" t="n">
        <v>9</v>
      </c>
      <c r="D6055" t="n">
        <v>5</v>
      </c>
      <c r="E6055" s="10" t="n">
        <v>0</v>
      </c>
      <c r="F6055" s="10" t="n">
        <v>0.2487629397031055</v>
      </c>
      <c r="G6055" s="11">
        <f>E6055*Summary!$B$6</f>
        <v/>
      </c>
      <c r="H6055" s="11">
        <f>F6055*Summary!$B$7</f>
        <v/>
      </c>
      <c r="I6055" s="11">
        <f>MAX(0,N6055-M6055)</f>
        <v/>
      </c>
      <c r="J6055" s="11">
        <f>MAX(0,M6055-N6055)</f>
        <v/>
      </c>
      <c r="K6055" s="11">
        <f>O6055</f>
        <v/>
      </c>
      <c r="L6055" s="11">
        <f>L6054+IF(K6055&gt;0,K6055*Summary!$B$9,K6055/Summary!$B$9)</f>
        <v/>
      </c>
      <c r="M6055" s="11">
        <f>G6055+H6055</f>
        <v/>
      </c>
      <c r="N6055" s="11">
        <f>Summary!$C$16*Summary!$B$8</f>
        <v/>
      </c>
      <c r="O6055" s="11">
        <f>M6055-N6055</f>
        <v/>
      </c>
    </row>
    <row r="6056">
      <c r="A6056" s="9" t="n">
        <v>45544.25</v>
      </c>
      <c r="B6056" t="n">
        <v>9</v>
      </c>
      <c r="C6056" t="n">
        <v>9</v>
      </c>
      <c r="D6056" t="n">
        <v>6</v>
      </c>
      <c r="E6056" s="10" t="n">
        <v>0.021921</v>
      </c>
      <c r="F6056" s="10" t="n">
        <v>0.2454689389125453</v>
      </c>
      <c r="G6056" s="11">
        <f>E6056*Summary!$B$6</f>
        <v/>
      </c>
      <c r="H6056" s="11">
        <f>F6056*Summary!$B$7</f>
        <v/>
      </c>
      <c r="I6056" s="11">
        <f>MAX(0,N6056-M6056)</f>
        <v/>
      </c>
      <c r="J6056" s="11">
        <f>MAX(0,M6056-N6056)</f>
        <v/>
      </c>
      <c r="K6056" s="11">
        <f>O6056</f>
        <v/>
      </c>
      <c r="L6056" s="11">
        <f>L6055+IF(K6056&gt;0,K6056*Summary!$B$9,K6056/Summary!$B$9)</f>
        <v/>
      </c>
      <c r="M6056" s="11">
        <f>G6056+H6056</f>
        <v/>
      </c>
      <c r="N6056" s="11">
        <f>Summary!$C$16*Summary!$B$8</f>
        <v/>
      </c>
      <c r="O6056" s="11">
        <f>M6056-N6056</f>
        <v/>
      </c>
    </row>
    <row r="6057">
      <c r="A6057" s="9" t="n">
        <v>45544.29166666666</v>
      </c>
      <c r="B6057" t="n">
        <v>9</v>
      </c>
      <c r="C6057" t="n">
        <v>9</v>
      </c>
      <c r="D6057" t="n">
        <v>7</v>
      </c>
      <c r="E6057" s="10" t="n">
        <v>0.03248</v>
      </c>
      <c r="F6057" s="10" t="n">
        <v>0.2281293187510365</v>
      </c>
      <c r="G6057" s="11">
        <f>E6057*Summary!$B$6</f>
        <v/>
      </c>
      <c r="H6057" s="11">
        <f>F6057*Summary!$B$7</f>
        <v/>
      </c>
      <c r="I6057" s="11">
        <f>MAX(0,N6057-M6057)</f>
        <v/>
      </c>
      <c r="J6057" s="11">
        <f>MAX(0,M6057-N6057)</f>
        <v/>
      </c>
      <c r="K6057" s="11">
        <f>O6057</f>
        <v/>
      </c>
      <c r="L6057" s="11">
        <f>L6056+IF(K6057&gt;0,K6057*Summary!$B$9,K6057/Summary!$B$9)</f>
        <v/>
      </c>
      <c r="M6057" s="11">
        <f>G6057+H6057</f>
        <v/>
      </c>
      <c r="N6057" s="11">
        <f>Summary!$C$16*Summary!$B$8</f>
        <v/>
      </c>
      <c r="O6057" s="11">
        <f>M6057-N6057</f>
        <v/>
      </c>
    </row>
    <row r="6058">
      <c r="A6058" s="9" t="n">
        <v>45544.33333333334</v>
      </c>
      <c r="B6058" t="n">
        <v>9</v>
      </c>
      <c r="C6058" t="n">
        <v>9</v>
      </c>
      <c r="D6058" t="n">
        <v>8</v>
      </c>
      <c r="E6058" s="10" t="n">
        <v>0.075726</v>
      </c>
      <c r="F6058" s="10" t="n">
        <v>0.2155857637405833</v>
      </c>
      <c r="G6058" s="11">
        <f>E6058*Summary!$B$6</f>
        <v/>
      </c>
      <c r="H6058" s="11">
        <f>F6058*Summary!$B$7</f>
        <v/>
      </c>
      <c r="I6058" s="11">
        <f>MAX(0,N6058-M6058)</f>
        <v/>
      </c>
      <c r="J6058" s="11">
        <f>MAX(0,M6058-N6058)</f>
        <v/>
      </c>
      <c r="K6058" s="11">
        <f>O6058</f>
        <v/>
      </c>
      <c r="L6058" s="11">
        <f>L6057+IF(K6058&gt;0,K6058*Summary!$B$9,K6058/Summary!$B$9)</f>
        <v/>
      </c>
      <c r="M6058" s="11">
        <f>G6058+H6058</f>
        <v/>
      </c>
      <c r="N6058" s="11">
        <f>Summary!$C$16*Summary!$B$8</f>
        <v/>
      </c>
      <c r="O6058" s="11">
        <f>M6058-N6058</f>
        <v/>
      </c>
    </row>
    <row r="6059">
      <c r="A6059" s="9" t="n">
        <v>45544.375</v>
      </c>
      <c r="B6059" t="n">
        <v>9</v>
      </c>
      <c r="C6059" t="n">
        <v>9</v>
      </c>
      <c r="D6059" t="n">
        <v>9</v>
      </c>
      <c r="E6059" s="10" t="n">
        <v>0.114834</v>
      </c>
      <c r="F6059" s="10" t="n">
        <v>0.213872883329492</v>
      </c>
      <c r="G6059" s="11">
        <f>E6059*Summary!$B$6</f>
        <v/>
      </c>
      <c r="H6059" s="11">
        <f>F6059*Summary!$B$7</f>
        <v/>
      </c>
      <c r="I6059" s="11">
        <f>MAX(0,N6059-M6059)</f>
        <v/>
      </c>
      <c r="J6059" s="11">
        <f>MAX(0,M6059-N6059)</f>
        <v/>
      </c>
      <c r="K6059" s="11">
        <f>O6059</f>
        <v/>
      </c>
      <c r="L6059" s="11">
        <f>L6058+IF(K6059&gt;0,K6059*Summary!$B$9,K6059/Summary!$B$9)</f>
        <v/>
      </c>
      <c r="M6059" s="11">
        <f>G6059+H6059</f>
        <v/>
      </c>
      <c r="N6059" s="11">
        <f>Summary!$C$16*Summary!$B$8</f>
        <v/>
      </c>
      <c r="O6059" s="11">
        <f>M6059-N6059</f>
        <v/>
      </c>
    </row>
    <row r="6060">
      <c r="A6060" s="9" t="n">
        <v>45544.41666666666</v>
      </c>
      <c r="B6060" t="n">
        <v>9</v>
      </c>
      <c r="C6060" t="n">
        <v>9</v>
      </c>
      <c r="D6060" t="n">
        <v>10</v>
      </c>
      <c r="E6060" s="10" t="n">
        <v>0.112372</v>
      </c>
      <c r="F6060" s="10" t="n">
        <v>0.2222264693343526</v>
      </c>
      <c r="G6060" s="11">
        <f>E6060*Summary!$B$6</f>
        <v/>
      </c>
      <c r="H6060" s="11">
        <f>F6060*Summary!$B$7</f>
        <v/>
      </c>
      <c r="I6060" s="11">
        <f>MAX(0,N6060-M6060)</f>
        <v/>
      </c>
      <c r="J6060" s="11">
        <f>MAX(0,M6060-N6060)</f>
        <v/>
      </c>
      <c r="K6060" s="11">
        <f>O6060</f>
        <v/>
      </c>
      <c r="L6060" s="11">
        <f>L6059+IF(K6060&gt;0,K6060*Summary!$B$9,K6060/Summary!$B$9)</f>
        <v/>
      </c>
      <c r="M6060" s="11">
        <f>G6060+H6060</f>
        <v/>
      </c>
      <c r="N6060" s="11">
        <f>Summary!$C$16*Summary!$B$8</f>
        <v/>
      </c>
      <c r="O6060" s="11">
        <f>M6060-N6060</f>
        <v/>
      </c>
    </row>
    <row r="6061">
      <c r="A6061" s="9" t="n">
        <v>45544.45833333334</v>
      </c>
      <c r="B6061" t="n">
        <v>9</v>
      </c>
      <c r="C6061" t="n">
        <v>9</v>
      </c>
      <c r="D6061" t="n">
        <v>11</v>
      </c>
      <c r="E6061" s="10" t="n">
        <v>0.151809</v>
      </c>
      <c r="F6061" s="10" t="n">
        <v>0.2276813346435203</v>
      </c>
      <c r="G6061" s="11">
        <f>E6061*Summary!$B$6</f>
        <v/>
      </c>
      <c r="H6061" s="11">
        <f>F6061*Summary!$B$7</f>
        <v/>
      </c>
      <c r="I6061" s="11">
        <f>MAX(0,N6061-M6061)</f>
        <v/>
      </c>
      <c r="J6061" s="11">
        <f>MAX(0,M6061-N6061)</f>
        <v/>
      </c>
      <c r="K6061" s="11">
        <f>O6061</f>
        <v/>
      </c>
      <c r="L6061" s="11">
        <f>L6060+IF(K6061&gt;0,K6061*Summary!$B$9,K6061/Summary!$B$9)</f>
        <v/>
      </c>
      <c r="M6061" s="11">
        <f>G6061+H6061</f>
        <v/>
      </c>
      <c r="N6061" s="11">
        <f>Summary!$C$16*Summary!$B$8</f>
        <v/>
      </c>
      <c r="O6061" s="11">
        <f>M6061-N6061</f>
        <v/>
      </c>
    </row>
    <row r="6062">
      <c r="A6062" s="9" t="n">
        <v>45544.5</v>
      </c>
      <c r="B6062" t="n">
        <v>9</v>
      </c>
      <c r="C6062" t="n">
        <v>9</v>
      </c>
      <c r="D6062" t="n">
        <v>12</v>
      </c>
      <c r="E6062" s="10" t="n">
        <v>0.283445</v>
      </c>
      <c r="F6062" s="10" t="n">
        <v>0.228867174928122</v>
      </c>
      <c r="G6062" s="11">
        <f>E6062*Summary!$B$6</f>
        <v/>
      </c>
      <c r="H6062" s="11">
        <f>F6062*Summary!$B$7</f>
        <v/>
      </c>
      <c r="I6062" s="11">
        <f>MAX(0,N6062-M6062)</f>
        <v/>
      </c>
      <c r="J6062" s="11">
        <f>MAX(0,M6062-N6062)</f>
        <v/>
      </c>
      <c r="K6062" s="11">
        <f>O6062</f>
        <v/>
      </c>
      <c r="L6062" s="11">
        <f>L6061+IF(K6062&gt;0,K6062*Summary!$B$9,K6062/Summary!$B$9)</f>
        <v/>
      </c>
      <c r="M6062" s="11">
        <f>G6062+H6062</f>
        <v/>
      </c>
      <c r="N6062" s="11">
        <f>Summary!$C$16*Summary!$B$8</f>
        <v/>
      </c>
      <c r="O6062" s="11">
        <f>M6062-N6062</f>
        <v/>
      </c>
    </row>
    <row r="6063">
      <c r="A6063" s="9" t="n">
        <v>45544.54166666666</v>
      </c>
      <c r="B6063" t="n">
        <v>9</v>
      </c>
      <c r="C6063" t="n">
        <v>9</v>
      </c>
      <c r="D6063" t="n">
        <v>13</v>
      </c>
      <c r="E6063" s="10" t="n">
        <v>0.435126</v>
      </c>
      <c r="F6063" s="10" t="n">
        <v>0.2294469190672606</v>
      </c>
      <c r="G6063" s="11">
        <f>E6063*Summary!$B$6</f>
        <v/>
      </c>
      <c r="H6063" s="11">
        <f>F6063*Summary!$B$7</f>
        <v/>
      </c>
      <c r="I6063" s="11">
        <f>MAX(0,N6063-M6063)</f>
        <v/>
      </c>
      <c r="J6063" s="11">
        <f>MAX(0,M6063-N6063)</f>
        <v/>
      </c>
      <c r="K6063" s="11">
        <f>O6063</f>
        <v/>
      </c>
      <c r="L6063" s="11">
        <f>L6062+IF(K6063&gt;0,K6063*Summary!$B$9,K6063/Summary!$B$9)</f>
        <v/>
      </c>
      <c r="M6063" s="11">
        <f>G6063+H6063</f>
        <v/>
      </c>
      <c r="N6063" s="11">
        <f>Summary!$C$16*Summary!$B$8</f>
        <v/>
      </c>
      <c r="O6063" s="11">
        <f>M6063-N6063</f>
        <v/>
      </c>
    </row>
    <row r="6064">
      <c r="A6064" s="9" t="n">
        <v>45544.58333333334</v>
      </c>
      <c r="B6064" t="n">
        <v>9</v>
      </c>
      <c r="C6064" t="n">
        <v>9</v>
      </c>
      <c r="D6064" t="n">
        <v>14</v>
      </c>
      <c r="E6064" s="10" t="n">
        <v>0.469245</v>
      </c>
      <c r="F6064" s="10" t="n">
        <v>0.2248616699668008</v>
      </c>
      <c r="G6064" s="11">
        <f>E6064*Summary!$B$6</f>
        <v/>
      </c>
      <c r="H6064" s="11">
        <f>F6064*Summary!$B$7</f>
        <v/>
      </c>
      <c r="I6064" s="11">
        <f>MAX(0,N6064-M6064)</f>
        <v/>
      </c>
      <c r="J6064" s="11">
        <f>MAX(0,M6064-N6064)</f>
        <v/>
      </c>
      <c r="K6064" s="11">
        <f>O6064</f>
        <v/>
      </c>
      <c r="L6064" s="11">
        <f>L6063+IF(K6064&gt;0,K6064*Summary!$B$9,K6064/Summary!$B$9)</f>
        <v/>
      </c>
      <c r="M6064" s="11">
        <f>G6064+H6064</f>
        <v/>
      </c>
      <c r="N6064" s="11">
        <f>Summary!$C$16*Summary!$B$8</f>
        <v/>
      </c>
      <c r="O6064" s="11">
        <f>M6064-N6064</f>
        <v/>
      </c>
    </row>
    <row r="6065">
      <c r="A6065" s="9" t="n">
        <v>45544.625</v>
      </c>
      <c r="B6065" t="n">
        <v>9</v>
      </c>
      <c r="C6065" t="n">
        <v>9</v>
      </c>
      <c r="D6065" t="n">
        <v>15</v>
      </c>
      <c r="E6065" s="10" t="n">
        <v>0.474685</v>
      </c>
      <c r="F6065" s="10" t="n">
        <v>0.2166398439935626</v>
      </c>
      <c r="G6065" s="11">
        <f>E6065*Summary!$B$6</f>
        <v/>
      </c>
      <c r="H6065" s="11">
        <f>F6065*Summary!$B$7</f>
        <v/>
      </c>
      <c r="I6065" s="11">
        <f>MAX(0,N6065-M6065)</f>
        <v/>
      </c>
      <c r="J6065" s="11">
        <f>MAX(0,M6065-N6065)</f>
        <v/>
      </c>
      <c r="K6065" s="11">
        <f>O6065</f>
        <v/>
      </c>
      <c r="L6065" s="11">
        <f>L6064+IF(K6065&gt;0,K6065*Summary!$B$9,K6065/Summary!$B$9)</f>
        <v/>
      </c>
      <c r="M6065" s="11">
        <f>G6065+H6065</f>
        <v/>
      </c>
      <c r="N6065" s="11">
        <f>Summary!$C$16*Summary!$B$8</f>
        <v/>
      </c>
      <c r="O6065" s="11">
        <f>M6065-N6065</f>
        <v/>
      </c>
    </row>
    <row r="6066">
      <c r="A6066" s="9" t="n">
        <v>45544.66666666666</v>
      </c>
      <c r="B6066" t="n">
        <v>9</v>
      </c>
      <c r="C6066" t="n">
        <v>9</v>
      </c>
      <c r="D6066" t="n">
        <v>16</v>
      </c>
      <c r="E6066" s="10" t="n">
        <v>0.280452</v>
      </c>
      <c r="F6066" s="10" t="n">
        <v>0.2142945154306837</v>
      </c>
      <c r="G6066" s="11">
        <f>E6066*Summary!$B$6</f>
        <v/>
      </c>
      <c r="H6066" s="11">
        <f>F6066*Summary!$B$7</f>
        <v/>
      </c>
      <c r="I6066" s="11">
        <f>MAX(0,N6066-M6066)</f>
        <v/>
      </c>
      <c r="J6066" s="11">
        <f>MAX(0,M6066-N6066)</f>
        <v/>
      </c>
      <c r="K6066" s="11">
        <f>O6066</f>
        <v/>
      </c>
      <c r="L6066" s="11">
        <f>L6065+IF(K6066&gt;0,K6066*Summary!$B$9,K6066/Summary!$B$9)</f>
        <v/>
      </c>
      <c r="M6066" s="11">
        <f>G6066+H6066</f>
        <v/>
      </c>
      <c r="N6066" s="11">
        <f>Summary!$C$16*Summary!$B$8</f>
        <v/>
      </c>
      <c r="O6066" s="11">
        <f>M6066-N6066</f>
        <v/>
      </c>
    </row>
    <row r="6067">
      <c r="A6067" s="9" t="n">
        <v>45544.70833333334</v>
      </c>
      <c r="B6067" t="n">
        <v>9</v>
      </c>
      <c r="C6067" t="n">
        <v>9</v>
      </c>
      <c r="D6067" t="n">
        <v>17</v>
      </c>
      <c r="E6067" s="10" t="n">
        <v>0.081724</v>
      </c>
      <c r="F6067" s="10" t="n">
        <v>0.2197757327461758</v>
      </c>
      <c r="G6067" s="11">
        <f>E6067*Summary!$B$6</f>
        <v/>
      </c>
      <c r="H6067" s="11">
        <f>F6067*Summary!$B$7</f>
        <v/>
      </c>
      <c r="I6067" s="11">
        <f>MAX(0,N6067-M6067)</f>
        <v/>
      </c>
      <c r="J6067" s="11">
        <f>MAX(0,M6067-N6067)</f>
        <v/>
      </c>
      <c r="K6067" s="11">
        <f>O6067</f>
        <v/>
      </c>
      <c r="L6067" s="11">
        <f>L6066+IF(K6067&gt;0,K6067*Summary!$B$9,K6067/Summary!$B$9)</f>
        <v/>
      </c>
      <c r="M6067" s="11">
        <f>G6067+H6067</f>
        <v/>
      </c>
      <c r="N6067" s="11">
        <f>Summary!$C$16*Summary!$B$8</f>
        <v/>
      </c>
      <c r="O6067" s="11">
        <f>M6067-N6067</f>
        <v/>
      </c>
    </row>
    <row r="6068">
      <c r="A6068" s="9" t="n">
        <v>45544.75</v>
      </c>
      <c r="B6068" t="n">
        <v>9</v>
      </c>
      <c r="C6068" t="n">
        <v>9</v>
      </c>
      <c r="D6068" t="n">
        <v>18</v>
      </c>
      <c r="E6068" s="10" t="n">
        <v>0.003879</v>
      </c>
      <c r="F6068" s="10" t="n">
        <v>0.2360612726547054</v>
      </c>
      <c r="G6068" s="11">
        <f>E6068*Summary!$B$6</f>
        <v/>
      </c>
      <c r="H6068" s="11">
        <f>F6068*Summary!$B$7</f>
        <v/>
      </c>
      <c r="I6068" s="11">
        <f>MAX(0,N6068-M6068)</f>
        <v/>
      </c>
      <c r="J6068" s="11">
        <f>MAX(0,M6068-N6068)</f>
        <v/>
      </c>
      <c r="K6068" s="11">
        <f>O6068</f>
        <v/>
      </c>
      <c r="L6068" s="11">
        <f>L6067+IF(K6068&gt;0,K6068*Summary!$B$9,K6068/Summary!$B$9)</f>
        <v/>
      </c>
      <c r="M6068" s="11">
        <f>G6068+H6068</f>
        <v/>
      </c>
      <c r="N6068" s="11">
        <f>Summary!$C$16*Summary!$B$8</f>
        <v/>
      </c>
      <c r="O6068" s="11">
        <f>M6068-N6068</f>
        <v/>
      </c>
    </row>
    <row r="6069">
      <c r="A6069" s="9" t="n">
        <v>45544.79166666666</v>
      </c>
      <c r="B6069" t="n">
        <v>9</v>
      </c>
      <c r="C6069" t="n">
        <v>9</v>
      </c>
      <c r="D6069" t="n">
        <v>19</v>
      </c>
      <c r="E6069" s="10" t="n">
        <v>0</v>
      </c>
      <c r="F6069" s="10" t="n">
        <v>0.2580651979356475</v>
      </c>
      <c r="G6069" s="11">
        <f>E6069*Summary!$B$6</f>
        <v/>
      </c>
      <c r="H6069" s="11">
        <f>F6069*Summary!$B$7</f>
        <v/>
      </c>
      <c r="I6069" s="11">
        <f>MAX(0,N6069-M6069)</f>
        <v/>
      </c>
      <c r="J6069" s="11">
        <f>MAX(0,M6069-N6069)</f>
        <v/>
      </c>
      <c r="K6069" s="11">
        <f>O6069</f>
        <v/>
      </c>
      <c r="L6069" s="11">
        <f>L6068+IF(K6069&gt;0,K6069*Summary!$B$9,K6069/Summary!$B$9)</f>
        <v/>
      </c>
      <c r="M6069" s="11">
        <f>G6069+H6069</f>
        <v/>
      </c>
      <c r="N6069" s="11">
        <f>Summary!$C$16*Summary!$B$8</f>
        <v/>
      </c>
      <c r="O6069" s="11">
        <f>M6069-N6069</f>
        <v/>
      </c>
    </row>
    <row r="6070">
      <c r="A6070" s="9" t="n">
        <v>45544.83333333334</v>
      </c>
      <c r="B6070" t="n">
        <v>9</v>
      </c>
      <c r="C6070" t="n">
        <v>9</v>
      </c>
      <c r="D6070" t="n">
        <v>20</v>
      </c>
      <c r="E6070" s="10" t="n">
        <v>0</v>
      </c>
      <c r="F6070" s="10" t="n">
        <v>0.2710303850472924</v>
      </c>
      <c r="G6070" s="11">
        <f>E6070*Summary!$B$6</f>
        <v/>
      </c>
      <c r="H6070" s="11">
        <f>F6070*Summary!$B$7</f>
        <v/>
      </c>
      <c r="I6070" s="11">
        <f>MAX(0,N6070-M6070)</f>
        <v/>
      </c>
      <c r="J6070" s="11">
        <f>MAX(0,M6070-N6070)</f>
        <v/>
      </c>
      <c r="K6070" s="11">
        <f>O6070</f>
        <v/>
      </c>
      <c r="L6070" s="11">
        <f>L6069+IF(K6070&gt;0,K6070*Summary!$B$9,K6070/Summary!$B$9)</f>
        <v/>
      </c>
      <c r="M6070" s="11">
        <f>G6070+H6070</f>
        <v/>
      </c>
      <c r="N6070" s="11">
        <f>Summary!$C$16*Summary!$B$8</f>
        <v/>
      </c>
      <c r="O6070" s="11">
        <f>M6070-N6070</f>
        <v/>
      </c>
    </row>
    <row r="6071">
      <c r="A6071" s="9" t="n">
        <v>45544.875</v>
      </c>
      <c r="B6071" t="n">
        <v>9</v>
      </c>
      <c r="C6071" t="n">
        <v>9</v>
      </c>
      <c r="D6071" t="n">
        <v>21</v>
      </c>
      <c r="E6071" s="10" t="n">
        <v>0</v>
      </c>
      <c r="F6071" s="10" t="n">
        <v>0.2784616508307962</v>
      </c>
      <c r="G6071" s="11">
        <f>E6071*Summary!$B$6</f>
        <v/>
      </c>
      <c r="H6071" s="11">
        <f>F6071*Summary!$B$7</f>
        <v/>
      </c>
      <c r="I6071" s="11">
        <f>MAX(0,N6071-M6071)</f>
        <v/>
      </c>
      <c r="J6071" s="11">
        <f>MAX(0,M6071-N6071)</f>
        <v/>
      </c>
      <c r="K6071" s="11">
        <f>O6071</f>
        <v/>
      </c>
      <c r="L6071" s="11">
        <f>L6070+IF(K6071&gt;0,K6071*Summary!$B$9,K6071/Summary!$B$9)</f>
        <v/>
      </c>
      <c r="M6071" s="11">
        <f>G6071+H6071</f>
        <v/>
      </c>
      <c r="N6071" s="11">
        <f>Summary!$C$16*Summary!$B$8</f>
        <v/>
      </c>
      <c r="O6071" s="11">
        <f>M6071-N6071</f>
        <v/>
      </c>
    </row>
    <row r="6072">
      <c r="A6072" s="9" t="n">
        <v>45544.91666666666</v>
      </c>
      <c r="B6072" t="n">
        <v>9</v>
      </c>
      <c r="C6072" t="n">
        <v>9</v>
      </c>
      <c r="D6072" t="n">
        <v>22</v>
      </c>
      <c r="E6072" s="10" t="n">
        <v>0</v>
      </c>
      <c r="F6072" s="10" t="n">
        <v>0.2790413949699348</v>
      </c>
      <c r="G6072" s="11">
        <f>E6072*Summary!$B$6</f>
        <v/>
      </c>
      <c r="H6072" s="11">
        <f>F6072*Summary!$B$7</f>
        <v/>
      </c>
      <c r="I6072" s="11">
        <f>MAX(0,N6072-M6072)</f>
        <v/>
      </c>
      <c r="J6072" s="11">
        <f>MAX(0,M6072-N6072)</f>
        <v/>
      </c>
      <c r="K6072" s="11">
        <f>O6072</f>
        <v/>
      </c>
      <c r="L6072" s="11">
        <f>L6071+IF(K6072&gt;0,K6072*Summary!$B$9,K6072/Summary!$B$9)</f>
        <v/>
      </c>
      <c r="M6072" s="11">
        <f>G6072+H6072</f>
        <v/>
      </c>
      <c r="N6072" s="11">
        <f>Summary!$C$16*Summary!$B$8</f>
        <v/>
      </c>
      <c r="O6072" s="11">
        <f>M6072-N6072</f>
        <v/>
      </c>
    </row>
    <row r="6073">
      <c r="A6073" s="9" t="n">
        <v>45544.95833333334</v>
      </c>
      <c r="B6073" t="n">
        <v>9</v>
      </c>
      <c r="C6073" t="n">
        <v>9</v>
      </c>
      <c r="D6073" t="n">
        <v>23</v>
      </c>
      <c r="E6073" s="10" t="n">
        <v>0</v>
      </c>
      <c r="F6073" s="10" t="n">
        <v>0.2741662737999057</v>
      </c>
      <c r="G6073" s="11">
        <f>E6073*Summary!$B$6</f>
        <v/>
      </c>
      <c r="H6073" s="11">
        <f>F6073*Summary!$B$7</f>
        <v/>
      </c>
      <c r="I6073" s="11">
        <f>MAX(0,N6073-M6073)</f>
        <v/>
      </c>
      <c r="J6073" s="11">
        <f>MAX(0,M6073-N6073)</f>
        <v/>
      </c>
      <c r="K6073" s="11">
        <f>O6073</f>
        <v/>
      </c>
      <c r="L6073" s="11">
        <f>L6072+IF(K6073&gt;0,K6073*Summary!$B$9,K6073/Summary!$B$9)</f>
        <v/>
      </c>
      <c r="M6073" s="11">
        <f>G6073+H6073</f>
        <v/>
      </c>
      <c r="N6073" s="11">
        <f>Summary!$C$16*Summary!$B$8</f>
        <v/>
      </c>
      <c r="O6073" s="11">
        <f>M6073-N6073</f>
        <v/>
      </c>
    </row>
    <row r="6074">
      <c r="A6074" s="9" t="n">
        <v>45545</v>
      </c>
      <c r="B6074" t="n">
        <v>9</v>
      </c>
      <c r="C6074" t="n">
        <v>10</v>
      </c>
      <c r="D6074" t="n">
        <v>0</v>
      </c>
      <c r="E6074" s="10" t="n">
        <v>0</v>
      </c>
      <c r="F6074" s="10" t="n">
        <v>0.2482358995766159</v>
      </c>
      <c r="G6074" s="11">
        <f>E6074*Summary!$B$6</f>
        <v/>
      </c>
      <c r="H6074" s="11">
        <f>F6074*Summary!$B$7</f>
        <v/>
      </c>
      <c r="I6074" s="11">
        <f>MAX(0,N6074-M6074)</f>
        <v/>
      </c>
      <c r="J6074" s="11">
        <f>MAX(0,M6074-N6074)</f>
        <v/>
      </c>
      <c r="K6074" s="11">
        <f>O6074</f>
        <v/>
      </c>
      <c r="L6074" s="11">
        <f>L6073+IF(K6074&gt;0,K6074*Summary!$B$9,K6074/Summary!$B$9)</f>
        <v/>
      </c>
      <c r="M6074" s="11">
        <f>G6074+H6074</f>
        <v/>
      </c>
      <c r="N6074" s="11">
        <f>Summary!$C$16*Summary!$B$8</f>
        <v/>
      </c>
      <c r="O6074" s="11">
        <f>M6074-N6074</f>
        <v/>
      </c>
    </row>
    <row r="6075">
      <c r="A6075" s="9" t="n">
        <v>45545.04166666666</v>
      </c>
      <c r="B6075" t="n">
        <v>9</v>
      </c>
      <c r="C6075" t="n">
        <v>10</v>
      </c>
      <c r="D6075" t="n">
        <v>1</v>
      </c>
      <c r="E6075" s="10" t="n">
        <v>0</v>
      </c>
      <c r="F6075" s="10" t="n">
        <v>0.2661289118709388</v>
      </c>
      <c r="G6075" s="11">
        <f>E6075*Summary!$B$6</f>
        <v/>
      </c>
      <c r="H6075" s="11">
        <f>F6075*Summary!$B$7</f>
        <v/>
      </c>
      <c r="I6075" s="11">
        <f>MAX(0,N6075-M6075)</f>
        <v/>
      </c>
      <c r="J6075" s="11">
        <f>MAX(0,M6075-N6075)</f>
        <v/>
      </c>
      <c r="K6075" s="11">
        <f>O6075</f>
        <v/>
      </c>
      <c r="L6075" s="11">
        <f>L6074+IF(K6075&gt;0,K6075*Summary!$B$9,K6075/Summary!$B$9)</f>
        <v/>
      </c>
      <c r="M6075" s="11">
        <f>G6075+H6075</f>
        <v/>
      </c>
      <c r="N6075" s="11">
        <f>Summary!$C$16*Summary!$B$8</f>
        <v/>
      </c>
      <c r="O6075" s="11">
        <f>M6075-N6075</f>
        <v/>
      </c>
    </row>
    <row r="6076">
      <c r="A6076" s="9" t="n">
        <v>45545.08333333334</v>
      </c>
      <c r="B6076" t="n">
        <v>9</v>
      </c>
      <c r="C6076" t="n">
        <v>10</v>
      </c>
      <c r="D6076" t="n">
        <v>2</v>
      </c>
      <c r="E6076" s="10" t="n">
        <v>0</v>
      </c>
      <c r="F6076" s="10" t="n">
        <v>0.2709513290283189</v>
      </c>
      <c r="G6076" s="11">
        <f>E6076*Summary!$B$6</f>
        <v/>
      </c>
      <c r="H6076" s="11">
        <f>F6076*Summary!$B$7</f>
        <v/>
      </c>
      <c r="I6076" s="11">
        <f>MAX(0,N6076-M6076)</f>
        <v/>
      </c>
      <c r="J6076" s="11">
        <f>MAX(0,M6076-N6076)</f>
        <v/>
      </c>
      <c r="K6076" s="11">
        <f>O6076</f>
        <v/>
      </c>
      <c r="L6076" s="11">
        <f>L6075+IF(K6076&gt;0,K6076*Summary!$B$9,K6076/Summary!$B$9)</f>
        <v/>
      </c>
      <c r="M6076" s="11">
        <f>G6076+H6076</f>
        <v/>
      </c>
      <c r="N6076" s="11">
        <f>Summary!$C$16*Summary!$B$8</f>
        <v/>
      </c>
      <c r="O6076" s="11">
        <f>M6076-N6076</f>
        <v/>
      </c>
    </row>
    <row r="6077">
      <c r="A6077" s="9" t="n">
        <v>45545.125</v>
      </c>
      <c r="B6077" t="n">
        <v>9</v>
      </c>
      <c r="C6077" t="n">
        <v>10</v>
      </c>
      <c r="D6077" t="n">
        <v>3</v>
      </c>
      <c r="E6077" s="10" t="n">
        <v>0</v>
      </c>
      <c r="F6077" s="10" t="n">
        <v>0.2768805304513273</v>
      </c>
      <c r="G6077" s="11">
        <f>E6077*Summary!$B$6</f>
        <v/>
      </c>
      <c r="H6077" s="11">
        <f>F6077*Summary!$B$7</f>
        <v/>
      </c>
      <c r="I6077" s="11">
        <f>MAX(0,N6077-M6077)</f>
        <v/>
      </c>
      <c r="J6077" s="11">
        <f>MAX(0,M6077-N6077)</f>
        <v/>
      </c>
      <c r="K6077" s="11">
        <f>O6077</f>
        <v/>
      </c>
      <c r="L6077" s="11">
        <f>L6076+IF(K6077&gt;0,K6077*Summary!$B$9,K6077/Summary!$B$9)</f>
        <v/>
      </c>
      <c r="M6077" s="11">
        <f>G6077+H6077</f>
        <v/>
      </c>
      <c r="N6077" s="11">
        <f>Summary!$C$16*Summary!$B$8</f>
        <v/>
      </c>
      <c r="O6077" s="11">
        <f>M6077-N6077</f>
        <v/>
      </c>
    </row>
    <row r="6078">
      <c r="A6078" s="9" t="n">
        <v>45545.16666666666</v>
      </c>
      <c r="B6078" t="n">
        <v>9</v>
      </c>
      <c r="C6078" t="n">
        <v>10</v>
      </c>
      <c r="D6078" t="n">
        <v>4</v>
      </c>
      <c r="E6078" s="10" t="n">
        <v>0</v>
      </c>
      <c r="F6078" s="10" t="n">
        <v>0.3058413854019325</v>
      </c>
      <c r="G6078" s="11">
        <f>E6078*Summary!$B$6</f>
        <v/>
      </c>
      <c r="H6078" s="11">
        <f>F6078*Summary!$B$7</f>
        <v/>
      </c>
      <c r="I6078" s="11">
        <f>MAX(0,N6078-M6078)</f>
        <v/>
      </c>
      <c r="J6078" s="11">
        <f>MAX(0,M6078-N6078)</f>
        <v/>
      </c>
      <c r="K6078" s="11">
        <f>O6078</f>
        <v/>
      </c>
      <c r="L6078" s="11">
        <f>L6077+IF(K6078&gt;0,K6078*Summary!$B$9,K6078/Summary!$B$9)</f>
        <v/>
      </c>
      <c r="M6078" s="11">
        <f>G6078+H6078</f>
        <v/>
      </c>
      <c r="N6078" s="11">
        <f>Summary!$C$16*Summary!$B$8</f>
        <v/>
      </c>
      <c r="O6078" s="11">
        <f>M6078-N6078</f>
        <v/>
      </c>
    </row>
    <row r="6079">
      <c r="A6079" s="9" t="n">
        <v>45545.20833333334</v>
      </c>
      <c r="B6079" t="n">
        <v>9</v>
      </c>
      <c r="C6079" t="n">
        <v>10</v>
      </c>
      <c r="D6079" t="n">
        <v>5</v>
      </c>
      <c r="E6079" s="10" t="n">
        <v>0</v>
      </c>
      <c r="F6079" s="10" t="n">
        <v>0.2860510286522469</v>
      </c>
      <c r="G6079" s="11">
        <f>E6079*Summary!$B$6</f>
        <v/>
      </c>
      <c r="H6079" s="11">
        <f>F6079*Summary!$B$7</f>
        <v/>
      </c>
      <c r="I6079" s="11">
        <f>MAX(0,N6079-M6079)</f>
        <v/>
      </c>
      <c r="J6079" s="11">
        <f>MAX(0,M6079-N6079)</f>
        <v/>
      </c>
      <c r="K6079" s="11">
        <f>O6079</f>
        <v/>
      </c>
      <c r="L6079" s="11">
        <f>L6078+IF(K6079&gt;0,K6079*Summary!$B$9,K6079/Summary!$B$9)</f>
        <v/>
      </c>
      <c r="M6079" s="11">
        <f>G6079+H6079</f>
        <v/>
      </c>
      <c r="N6079" s="11">
        <f>Summary!$C$16*Summary!$B$8</f>
        <v/>
      </c>
      <c r="O6079" s="11">
        <f>M6079-N6079</f>
        <v/>
      </c>
    </row>
    <row r="6080">
      <c r="A6080" s="9" t="n">
        <v>45545.25</v>
      </c>
      <c r="B6080" t="n">
        <v>9</v>
      </c>
      <c r="C6080" t="n">
        <v>10</v>
      </c>
      <c r="D6080" t="n">
        <v>6</v>
      </c>
      <c r="E6080" s="10" t="n">
        <v>0.042597</v>
      </c>
      <c r="F6080" s="10" t="n">
        <v>0.2813867235328136</v>
      </c>
      <c r="G6080" s="11">
        <f>E6080*Summary!$B$6</f>
        <v/>
      </c>
      <c r="H6080" s="11">
        <f>F6080*Summary!$B$7</f>
        <v/>
      </c>
      <c r="I6080" s="11">
        <f>MAX(0,N6080-M6080)</f>
        <v/>
      </c>
      <c r="J6080" s="11">
        <f>MAX(0,M6080-N6080)</f>
        <v/>
      </c>
      <c r="K6080" s="11">
        <f>O6080</f>
        <v/>
      </c>
      <c r="L6080" s="11">
        <f>L6079+IF(K6080&gt;0,K6080*Summary!$B$9,K6080/Summary!$B$9)</f>
        <v/>
      </c>
      <c r="M6080" s="11">
        <f>G6080+H6080</f>
        <v/>
      </c>
      <c r="N6080" s="11">
        <f>Summary!$C$16*Summary!$B$8</f>
        <v/>
      </c>
      <c r="O6080" s="11">
        <f>M6080-N6080</f>
        <v/>
      </c>
    </row>
    <row r="6081">
      <c r="A6081" s="9" t="n">
        <v>45545.29166666666</v>
      </c>
      <c r="B6081" t="n">
        <v>9</v>
      </c>
      <c r="C6081" t="n">
        <v>10</v>
      </c>
      <c r="D6081" t="n">
        <v>7</v>
      </c>
      <c r="E6081" s="10" t="n">
        <v>0.174779</v>
      </c>
      <c r="F6081" s="10" t="n">
        <v>0.2614646067515056</v>
      </c>
      <c r="G6081" s="11">
        <f>E6081*Summary!$B$6</f>
        <v/>
      </c>
      <c r="H6081" s="11">
        <f>F6081*Summary!$B$7</f>
        <v/>
      </c>
      <c r="I6081" s="11">
        <f>MAX(0,N6081-M6081)</f>
        <v/>
      </c>
      <c r="J6081" s="11">
        <f>MAX(0,M6081-N6081)</f>
        <v/>
      </c>
      <c r="K6081" s="11">
        <f>O6081</f>
        <v/>
      </c>
      <c r="L6081" s="11">
        <f>L6080+IF(K6081&gt;0,K6081*Summary!$B$9,K6081/Summary!$B$9)</f>
        <v/>
      </c>
      <c r="M6081" s="11">
        <f>G6081+H6081</f>
        <v/>
      </c>
      <c r="N6081" s="11">
        <f>Summary!$C$16*Summary!$B$8</f>
        <v/>
      </c>
      <c r="O6081" s="11">
        <f>M6081-N6081</f>
        <v/>
      </c>
    </row>
    <row r="6082">
      <c r="A6082" s="9" t="n">
        <v>45545.33333333334</v>
      </c>
      <c r="B6082" t="n">
        <v>9</v>
      </c>
      <c r="C6082" t="n">
        <v>10</v>
      </c>
      <c r="D6082" t="n">
        <v>8</v>
      </c>
      <c r="E6082" s="10" t="n">
        <v>0.194872</v>
      </c>
      <c r="F6082" s="10" t="n">
        <v>0.2660498558519654</v>
      </c>
      <c r="G6082" s="11">
        <f>E6082*Summary!$B$6</f>
        <v/>
      </c>
      <c r="H6082" s="11">
        <f>F6082*Summary!$B$7</f>
        <v/>
      </c>
      <c r="I6082" s="11">
        <f>MAX(0,N6082-M6082)</f>
        <v/>
      </c>
      <c r="J6082" s="11">
        <f>MAX(0,M6082-N6082)</f>
        <v/>
      </c>
      <c r="K6082" s="11">
        <f>O6082</f>
        <v/>
      </c>
      <c r="L6082" s="11">
        <f>L6081+IF(K6082&gt;0,K6082*Summary!$B$9,K6082/Summary!$B$9)</f>
        <v/>
      </c>
      <c r="M6082" s="11">
        <f>G6082+H6082</f>
        <v/>
      </c>
      <c r="N6082" s="11">
        <f>Summary!$C$16*Summary!$B$8</f>
        <v/>
      </c>
      <c r="O6082" s="11">
        <f>M6082-N6082</f>
        <v/>
      </c>
    </row>
    <row r="6083">
      <c r="A6083" s="9" t="n">
        <v>45545.375</v>
      </c>
      <c r="B6083" t="n">
        <v>9</v>
      </c>
      <c r="C6083" t="n">
        <v>10</v>
      </c>
      <c r="D6083" t="n">
        <v>9</v>
      </c>
      <c r="E6083" s="10" t="n">
        <v>0.328874</v>
      </c>
      <c r="F6083" s="10" t="n">
        <v>0.2536117088668101</v>
      </c>
      <c r="G6083" s="11">
        <f>E6083*Summary!$B$6</f>
        <v/>
      </c>
      <c r="H6083" s="11">
        <f>F6083*Summary!$B$7</f>
        <v/>
      </c>
      <c r="I6083" s="11">
        <f>MAX(0,N6083-M6083)</f>
        <v/>
      </c>
      <c r="J6083" s="11">
        <f>MAX(0,M6083-N6083)</f>
        <v/>
      </c>
      <c r="K6083" s="11">
        <f>O6083</f>
        <v/>
      </c>
      <c r="L6083" s="11">
        <f>L6082+IF(K6083&gt;0,K6083*Summary!$B$9,K6083/Summary!$B$9)</f>
        <v/>
      </c>
      <c r="M6083" s="11">
        <f>G6083+H6083</f>
        <v/>
      </c>
      <c r="N6083" s="11">
        <f>Summary!$C$16*Summary!$B$8</f>
        <v/>
      </c>
      <c r="O6083" s="11">
        <f>M6083-N6083</f>
        <v/>
      </c>
    </row>
    <row r="6084">
      <c r="A6084" s="9" t="n">
        <v>45545.41666666666</v>
      </c>
      <c r="B6084" t="n">
        <v>9</v>
      </c>
      <c r="C6084" t="n">
        <v>10</v>
      </c>
      <c r="D6084" t="n">
        <v>10</v>
      </c>
      <c r="E6084" s="10" t="n">
        <v>0.700752</v>
      </c>
      <c r="F6084" s="10" t="n">
        <v>0.2574591017901844</v>
      </c>
      <c r="G6084" s="11">
        <f>E6084*Summary!$B$6</f>
        <v/>
      </c>
      <c r="H6084" s="11">
        <f>F6084*Summary!$B$7</f>
        <v/>
      </c>
      <c r="I6084" s="11">
        <f>MAX(0,N6084-M6084)</f>
        <v/>
      </c>
      <c r="J6084" s="11">
        <f>MAX(0,M6084-N6084)</f>
        <v/>
      </c>
      <c r="K6084" s="11">
        <f>O6084</f>
        <v/>
      </c>
      <c r="L6084" s="11">
        <f>L6083+IF(K6084&gt;0,K6084*Summary!$B$9,K6084/Summary!$B$9)</f>
        <v/>
      </c>
      <c r="M6084" s="11">
        <f>G6084+H6084</f>
        <v/>
      </c>
      <c r="N6084" s="11">
        <f>Summary!$C$16*Summary!$B$8</f>
        <v/>
      </c>
      <c r="O6084" s="11">
        <f>M6084-N6084</f>
        <v/>
      </c>
    </row>
    <row r="6085">
      <c r="A6085" s="9" t="n">
        <v>45545.45833333334</v>
      </c>
      <c r="B6085" t="n">
        <v>9</v>
      </c>
      <c r="C6085" t="n">
        <v>10</v>
      </c>
      <c r="D6085" t="n">
        <v>11</v>
      </c>
      <c r="E6085" s="10" t="n">
        <v>0.754058</v>
      </c>
      <c r="F6085" s="10" t="n">
        <v>0.2607531025807446</v>
      </c>
      <c r="G6085" s="11">
        <f>E6085*Summary!$B$6</f>
        <v/>
      </c>
      <c r="H6085" s="11">
        <f>F6085*Summary!$B$7</f>
        <v/>
      </c>
      <c r="I6085" s="11">
        <f>MAX(0,N6085-M6085)</f>
        <v/>
      </c>
      <c r="J6085" s="11">
        <f>MAX(0,M6085-N6085)</f>
        <v/>
      </c>
      <c r="K6085" s="11">
        <f>O6085</f>
        <v/>
      </c>
      <c r="L6085" s="11">
        <f>L6084+IF(K6085&gt;0,K6085*Summary!$B$9,K6085/Summary!$B$9)</f>
        <v/>
      </c>
      <c r="M6085" s="11">
        <f>G6085+H6085</f>
        <v/>
      </c>
      <c r="N6085" s="11">
        <f>Summary!$C$16*Summary!$B$8</f>
        <v/>
      </c>
      <c r="O6085" s="11">
        <f>M6085-N6085</f>
        <v/>
      </c>
    </row>
    <row r="6086">
      <c r="A6086" s="9" t="n">
        <v>45545.5</v>
      </c>
      <c r="B6086" t="n">
        <v>9</v>
      </c>
      <c r="C6086" t="n">
        <v>10</v>
      </c>
      <c r="D6086" t="n">
        <v>12</v>
      </c>
      <c r="E6086" s="10" t="n">
        <v>0.754058</v>
      </c>
      <c r="F6086" s="10" t="n">
        <v>0.2627822070677297</v>
      </c>
      <c r="G6086" s="11">
        <f>E6086*Summary!$B$6</f>
        <v/>
      </c>
      <c r="H6086" s="11">
        <f>F6086*Summary!$B$7</f>
        <v/>
      </c>
      <c r="I6086" s="11">
        <f>MAX(0,N6086-M6086)</f>
        <v/>
      </c>
      <c r="J6086" s="11">
        <f>MAX(0,M6086-N6086)</f>
        <v/>
      </c>
      <c r="K6086" s="11">
        <f>O6086</f>
        <v/>
      </c>
      <c r="L6086" s="11">
        <f>L6085+IF(K6086&gt;0,K6086*Summary!$B$9,K6086/Summary!$B$9)</f>
        <v/>
      </c>
      <c r="M6086" s="11">
        <f>G6086+H6086</f>
        <v/>
      </c>
      <c r="N6086" s="11">
        <f>Summary!$C$16*Summary!$B$8</f>
        <v/>
      </c>
      <c r="O6086" s="11">
        <f>M6086-N6086</f>
        <v/>
      </c>
    </row>
    <row r="6087">
      <c r="A6087" s="9" t="n">
        <v>45545.54166666666</v>
      </c>
      <c r="B6087" t="n">
        <v>9</v>
      </c>
      <c r="C6087" t="n">
        <v>10</v>
      </c>
      <c r="D6087" t="n">
        <v>13</v>
      </c>
      <c r="E6087" s="10" t="n">
        <v>0.709186</v>
      </c>
      <c r="F6087" s="10" t="n">
        <v>0.257986141916674</v>
      </c>
      <c r="G6087" s="11">
        <f>E6087*Summary!$B$6</f>
        <v/>
      </c>
      <c r="H6087" s="11">
        <f>F6087*Summary!$B$7</f>
        <v/>
      </c>
      <c r="I6087" s="11">
        <f>MAX(0,N6087-M6087)</f>
        <v/>
      </c>
      <c r="J6087" s="11">
        <f>MAX(0,M6087-N6087)</f>
        <v/>
      </c>
      <c r="K6087" s="11">
        <f>O6087</f>
        <v/>
      </c>
      <c r="L6087" s="11">
        <f>L6086+IF(K6087&gt;0,K6087*Summary!$B$9,K6087/Summary!$B$9)</f>
        <v/>
      </c>
      <c r="M6087" s="11">
        <f>G6087+H6087</f>
        <v/>
      </c>
      <c r="N6087" s="11">
        <f>Summary!$C$16*Summary!$B$8</f>
        <v/>
      </c>
      <c r="O6087" s="11">
        <f>M6087-N6087</f>
        <v/>
      </c>
    </row>
    <row r="6088">
      <c r="A6088" s="9" t="n">
        <v>45545.58333333334</v>
      </c>
      <c r="B6088" t="n">
        <v>9</v>
      </c>
      <c r="C6088" t="n">
        <v>10</v>
      </c>
      <c r="D6088" t="n">
        <v>14</v>
      </c>
      <c r="E6088" s="10" t="n">
        <v>0.613769</v>
      </c>
      <c r="F6088" s="10" t="n">
        <v>0.2558252773980665</v>
      </c>
      <c r="G6088" s="11">
        <f>E6088*Summary!$B$6</f>
        <v/>
      </c>
      <c r="H6088" s="11">
        <f>F6088*Summary!$B$7</f>
        <v/>
      </c>
      <c r="I6088" s="11">
        <f>MAX(0,N6088-M6088)</f>
        <v/>
      </c>
      <c r="J6088" s="11">
        <f>MAX(0,M6088-N6088)</f>
        <v/>
      </c>
      <c r="K6088" s="11">
        <f>O6088</f>
        <v/>
      </c>
      <c r="L6088" s="11">
        <f>L6087+IF(K6088&gt;0,K6088*Summary!$B$9,K6088/Summary!$B$9)</f>
        <v/>
      </c>
      <c r="M6088" s="11">
        <f>G6088+H6088</f>
        <v/>
      </c>
      <c r="N6088" s="11">
        <f>Summary!$C$16*Summary!$B$8</f>
        <v/>
      </c>
      <c r="O6088" s="11">
        <f>M6088-N6088</f>
        <v/>
      </c>
    </row>
    <row r="6089">
      <c r="A6089" s="9" t="n">
        <v>45545.625</v>
      </c>
      <c r="B6089" t="n">
        <v>9</v>
      </c>
      <c r="C6089" t="n">
        <v>10</v>
      </c>
      <c r="D6089" t="n">
        <v>15</v>
      </c>
      <c r="E6089" s="10" t="n">
        <v>0.460614</v>
      </c>
      <c r="F6089" s="10" t="n">
        <v>0.255192829246279</v>
      </c>
      <c r="G6089" s="11">
        <f>E6089*Summary!$B$6</f>
        <v/>
      </c>
      <c r="H6089" s="11">
        <f>F6089*Summary!$B$7</f>
        <v/>
      </c>
      <c r="I6089" s="11">
        <f>MAX(0,N6089-M6089)</f>
        <v/>
      </c>
      <c r="J6089" s="11">
        <f>MAX(0,M6089-N6089)</f>
        <v/>
      </c>
      <c r="K6089" s="11">
        <f>O6089</f>
        <v/>
      </c>
      <c r="L6089" s="11">
        <f>L6088+IF(K6089&gt;0,K6089*Summary!$B$9,K6089/Summary!$B$9)</f>
        <v/>
      </c>
      <c r="M6089" s="11">
        <f>G6089+H6089</f>
        <v/>
      </c>
      <c r="N6089" s="11">
        <f>Summary!$C$16*Summary!$B$8</f>
        <v/>
      </c>
      <c r="O6089" s="11">
        <f>M6089-N6089</f>
        <v/>
      </c>
    </row>
    <row r="6090">
      <c r="A6090" s="9" t="n">
        <v>45545.66666666666</v>
      </c>
      <c r="B6090" t="n">
        <v>9</v>
      </c>
      <c r="C6090" t="n">
        <v>10</v>
      </c>
      <c r="D6090" t="n">
        <v>16</v>
      </c>
      <c r="E6090" s="10" t="n">
        <v>0.206113</v>
      </c>
      <c r="F6090" s="10" t="n">
        <v>0.2456270509504922</v>
      </c>
      <c r="G6090" s="11">
        <f>E6090*Summary!$B$6</f>
        <v/>
      </c>
      <c r="H6090" s="11">
        <f>F6090*Summary!$B$7</f>
        <v/>
      </c>
      <c r="I6090" s="11">
        <f>MAX(0,N6090-M6090)</f>
        <v/>
      </c>
      <c r="J6090" s="11">
        <f>MAX(0,M6090-N6090)</f>
        <v/>
      </c>
      <c r="K6090" s="11">
        <f>O6090</f>
        <v/>
      </c>
      <c r="L6090" s="11">
        <f>L6089+IF(K6090&gt;0,K6090*Summary!$B$9,K6090/Summary!$B$9)</f>
        <v/>
      </c>
      <c r="M6090" s="11">
        <f>G6090+H6090</f>
        <v/>
      </c>
      <c r="N6090" s="11">
        <f>Summary!$C$16*Summary!$B$8</f>
        <v/>
      </c>
      <c r="O6090" s="11">
        <f>M6090-N6090</f>
        <v/>
      </c>
    </row>
    <row r="6091">
      <c r="A6091" s="9" t="n">
        <v>45545.70833333334</v>
      </c>
      <c r="B6091" t="n">
        <v>9</v>
      </c>
      <c r="C6091" t="n">
        <v>10</v>
      </c>
      <c r="D6091" t="n">
        <v>17</v>
      </c>
      <c r="E6091" s="10" t="n">
        <v>0.053906</v>
      </c>
      <c r="F6091" s="10" t="n">
        <v>0.2431763143623155</v>
      </c>
      <c r="G6091" s="11">
        <f>E6091*Summary!$B$6</f>
        <v/>
      </c>
      <c r="H6091" s="11">
        <f>F6091*Summary!$B$7</f>
        <v/>
      </c>
      <c r="I6091" s="11">
        <f>MAX(0,N6091-M6091)</f>
        <v/>
      </c>
      <c r="J6091" s="11">
        <f>MAX(0,M6091-N6091)</f>
        <v/>
      </c>
      <c r="K6091" s="11">
        <f>O6091</f>
        <v/>
      </c>
      <c r="L6091" s="11">
        <f>L6090+IF(K6091&gt;0,K6091*Summary!$B$9,K6091/Summary!$B$9)</f>
        <v/>
      </c>
      <c r="M6091" s="11">
        <f>G6091+H6091</f>
        <v/>
      </c>
      <c r="N6091" s="11">
        <f>Summary!$C$16*Summary!$B$8</f>
        <v/>
      </c>
      <c r="O6091" s="11">
        <f>M6091-N6091</f>
        <v/>
      </c>
    </row>
    <row r="6092">
      <c r="A6092" s="9" t="n">
        <v>45545.75</v>
      </c>
      <c r="B6092" t="n">
        <v>9</v>
      </c>
      <c r="C6092" t="n">
        <v>10</v>
      </c>
      <c r="D6092" t="n">
        <v>18</v>
      </c>
      <c r="E6092" s="10" t="n">
        <v>0.003572</v>
      </c>
      <c r="F6092" s="10" t="n">
        <v>0.2535590048541612</v>
      </c>
      <c r="G6092" s="11">
        <f>E6092*Summary!$B$6</f>
        <v/>
      </c>
      <c r="H6092" s="11">
        <f>F6092*Summary!$B$7</f>
        <v/>
      </c>
      <c r="I6092" s="11">
        <f>MAX(0,N6092-M6092)</f>
        <v/>
      </c>
      <c r="J6092" s="11">
        <f>MAX(0,M6092-N6092)</f>
        <v/>
      </c>
      <c r="K6092" s="11">
        <f>O6092</f>
        <v/>
      </c>
      <c r="L6092" s="11">
        <f>L6091+IF(K6092&gt;0,K6092*Summary!$B$9,K6092/Summary!$B$9)</f>
        <v/>
      </c>
      <c r="M6092" s="11">
        <f>G6092+H6092</f>
        <v/>
      </c>
      <c r="N6092" s="11">
        <f>Summary!$C$16*Summary!$B$8</f>
        <v/>
      </c>
      <c r="O6092" s="11">
        <f>M6092-N6092</f>
        <v/>
      </c>
    </row>
    <row r="6093">
      <c r="A6093" s="9" t="n">
        <v>45545.79166666666</v>
      </c>
      <c r="B6093" t="n">
        <v>9</v>
      </c>
      <c r="C6093" t="n">
        <v>10</v>
      </c>
      <c r="D6093" t="n">
        <v>19</v>
      </c>
      <c r="E6093" s="10" t="n">
        <v>0</v>
      </c>
      <c r="F6093" s="10" t="n">
        <v>0.2657072797697471</v>
      </c>
      <c r="G6093" s="11">
        <f>E6093*Summary!$B$6</f>
        <v/>
      </c>
      <c r="H6093" s="11">
        <f>F6093*Summary!$B$7</f>
        <v/>
      </c>
      <c r="I6093" s="11">
        <f>MAX(0,N6093-M6093)</f>
        <v/>
      </c>
      <c r="J6093" s="11">
        <f>MAX(0,M6093-N6093)</f>
        <v/>
      </c>
      <c r="K6093" s="11">
        <f>O6093</f>
        <v/>
      </c>
      <c r="L6093" s="11">
        <f>L6092+IF(K6093&gt;0,K6093*Summary!$B$9,K6093/Summary!$B$9)</f>
        <v/>
      </c>
      <c r="M6093" s="11">
        <f>G6093+H6093</f>
        <v/>
      </c>
      <c r="N6093" s="11">
        <f>Summary!$C$16*Summary!$B$8</f>
        <v/>
      </c>
      <c r="O6093" s="11">
        <f>M6093-N6093</f>
        <v/>
      </c>
    </row>
    <row r="6094">
      <c r="A6094" s="9" t="n">
        <v>45545.83333333334</v>
      </c>
      <c r="B6094" t="n">
        <v>9</v>
      </c>
      <c r="C6094" t="n">
        <v>10</v>
      </c>
      <c r="D6094" t="n">
        <v>20</v>
      </c>
      <c r="E6094" s="10" t="n">
        <v>0</v>
      </c>
      <c r="F6094" s="10" t="n">
        <v>0.2728486734836816</v>
      </c>
      <c r="G6094" s="11">
        <f>E6094*Summary!$B$6</f>
        <v/>
      </c>
      <c r="H6094" s="11">
        <f>F6094*Summary!$B$7</f>
        <v/>
      </c>
      <c r="I6094" s="11">
        <f>MAX(0,N6094-M6094)</f>
        <v/>
      </c>
      <c r="J6094" s="11">
        <f>MAX(0,M6094-N6094)</f>
        <v/>
      </c>
      <c r="K6094" s="11">
        <f>O6094</f>
        <v/>
      </c>
      <c r="L6094" s="11">
        <f>L6093+IF(K6094&gt;0,K6094*Summary!$B$9,K6094/Summary!$B$9)</f>
        <v/>
      </c>
      <c r="M6094" s="11">
        <f>G6094+H6094</f>
        <v/>
      </c>
      <c r="N6094" s="11">
        <f>Summary!$C$16*Summary!$B$8</f>
        <v/>
      </c>
      <c r="O6094" s="11">
        <f>M6094-N6094</f>
        <v/>
      </c>
    </row>
    <row r="6095">
      <c r="A6095" s="9" t="n">
        <v>45545.875</v>
      </c>
      <c r="B6095" t="n">
        <v>9</v>
      </c>
      <c r="C6095" t="n">
        <v>10</v>
      </c>
      <c r="D6095" t="n">
        <v>21</v>
      </c>
      <c r="E6095" s="10" t="n">
        <v>0</v>
      </c>
      <c r="F6095" s="10" t="n">
        <v>0.2801745312418875</v>
      </c>
      <c r="G6095" s="11">
        <f>E6095*Summary!$B$6</f>
        <v/>
      </c>
      <c r="H6095" s="11">
        <f>F6095*Summary!$B$7</f>
        <v/>
      </c>
      <c r="I6095" s="11">
        <f>MAX(0,N6095-M6095)</f>
        <v/>
      </c>
      <c r="J6095" s="11">
        <f>MAX(0,M6095-N6095)</f>
        <v/>
      </c>
      <c r="K6095" s="11">
        <f>O6095</f>
        <v/>
      </c>
      <c r="L6095" s="11">
        <f>L6094+IF(K6095&gt;0,K6095*Summary!$B$9,K6095/Summary!$B$9)</f>
        <v/>
      </c>
      <c r="M6095" s="11">
        <f>G6095+H6095</f>
        <v/>
      </c>
      <c r="N6095" s="11">
        <f>Summary!$C$16*Summary!$B$8</f>
        <v/>
      </c>
      <c r="O6095" s="11">
        <f>M6095-N6095</f>
        <v/>
      </c>
    </row>
    <row r="6096">
      <c r="A6096" s="9" t="n">
        <v>45545.91666666666</v>
      </c>
      <c r="B6096" t="n">
        <v>9</v>
      </c>
      <c r="C6096" t="n">
        <v>10</v>
      </c>
      <c r="D6096" t="n">
        <v>22</v>
      </c>
      <c r="E6096" s="10" t="n">
        <v>0</v>
      </c>
      <c r="F6096" s="10" t="n">
        <v>0.2679208483010035</v>
      </c>
      <c r="G6096" s="11">
        <f>E6096*Summary!$B$6</f>
        <v/>
      </c>
      <c r="H6096" s="11">
        <f>F6096*Summary!$B$7</f>
        <v/>
      </c>
      <c r="I6096" s="11">
        <f>MAX(0,N6096-M6096)</f>
        <v/>
      </c>
      <c r="J6096" s="11">
        <f>MAX(0,M6096-N6096)</f>
        <v/>
      </c>
      <c r="K6096" s="11">
        <f>O6096</f>
        <v/>
      </c>
      <c r="L6096" s="11">
        <f>L6095+IF(K6096&gt;0,K6096*Summary!$B$9,K6096/Summary!$B$9)</f>
        <v/>
      </c>
      <c r="M6096" s="11">
        <f>G6096+H6096</f>
        <v/>
      </c>
      <c r="N6096" s="11">
        <f>Summary!$C$16*Summary!$B$8</f>
        <v/>
      </c>
      <c r="O6096" s="11">
        <f>M6096-N6096</f>
        <v/>
      </c>
    </row>
    <row r="6097">
      <c r="A6097" s="9" t="n">
        <v>45545.95833333334</v>
      </c>
      <c r="B6097" t="n">
        <v>9</v>
      </c>
      <c r="C6097" t="n">
        <v>10</v>
      </c>
      <c r="D6097" t="n">
        <v>23</v>
      </c>
      <c r="E6097" s="10" t="n">
        <v>0</v>
      </c>
      <c r="F6097" s="10" t="n">
        <v>0.2578543818850517</v>
      </c>
      <c r="G6097" s="11">
        <f>E6097*Summary!$B$6</f>
        <v/>
      </c>
      <c r="H6097" s="11">
        <f>F6097*Summary!$B$7</f>
        <v/>
      </c>
      <c r="I6097" s="11">
        <f>MAX(0,N6097-M6097)</f>
        <v/>
      </c>
      <c r="J6097" s="11">
        <f>MAX(0,M6097-N6097)</f>
        <v/>
      </c>
      <c r="K6097" s="11">
        <f>O6097</f>
        <v/>
      </c>
      <c r="L6097" s="11">
        <f>L6096+IF(K6097&gt;0,K6097*Summary!$B$9,K6097/Summary!$B$9)</f>
        <v/>
      </c>
      <c r="M6097" s="11">
        <f>G6097+H6097</f>
        <v/>
      </c>
      <c r="N6097" s="11">
        <f>Summary!$C$16*Summary!$B$8</f>
        <v/>
      </c>
      <c r="O6097" s="11">
        <f>M6097-N6097</f>
        <v/>
      </c>
    </row>
    <row r="6098">
      <c r="A6098" s="9" t="n">
        <v>45546</v>
      </c>
      <c r="B6098" t="n">
        <v>9</v>
      </c>
      <c r="C6098" t="n">
        <v>11</v>
      </c>
      <c r="D6098" t="n">
        <v>0</v>
      </c>
      <c r="E6098" s="10" t="n">
        <v>0</v>
      </c>
      <c r="F6098" s="10" t="n">
        <v>0.3622610309426474</v>
      </c>
      <c r="G6098" s="11">
        <f>E6098*Summary!$B$6</f>
        <v/>
      </c>
      <c r="H6098" s="11">
        <f>F6098*Summary!$B$7</f>
        <v/>
      </c>
      <c r="I6098" s="11">
        <f>MAX(0,N6098-M6098)</f>
        <v/>
      </c>
      <c r="J6098" s="11">
        <f>MAX(0,M6098-N6098)</f>
        <v/>
      </c>
      <c r="K6098" s="11">
        <f>O6098</f>
        <v/>
      </c>
      <c r="L6098" s="11">
        <f>L6097+IF(K6098&gt;0,K6098*Summary!$B$9,K6098/Summary!$B$9)</f>
        <v/>
      </c>
      <c r="M6098" s="11">
        <f>G6098+H6098</f>
        <v/>
      </c>
      <c r="N6098" s="11">
        <f>Summary!$C$16*Summary!$B$8</f>
        <v/>
      </c>
      <c r="O6098" s="11">
        <f>M6098-N6098</f>
        <v/>
      </c>
    </row>
    <row r="6099">
      <c r="A6099" s="9" t="n">
        <v>45546.04166666666</v>
      </c>
      <c r="B6099" t="n">
        <v>9</v>
      </c>
      <c r="C6099" t="n">
        <v>11</v>
      </c>
      <c r="D6099" t="n">
        <v>1</v>
      </c>
      <c r="E6099" s="10" t="n">
        <v>0</v>
      </c>
      <c r="F6099" s="10" t="n">
        <v>0.2362193846926523</v>
      </c>
      <c r="G6099" s="11">
        <f>E6099*Summary!$B$6</f>
        <v/>
      </c>
      <c r="H6099" s="11">
        <f>F6099*Summary!$B$7</f>
        <v/>
      </c>
      <c r="I6099" s="11">
        <f>MAX(0,N6099-M6099)</f>
        <v/>
      </c>
      <c r="J6099" s="11">
        <f>MAX(0,M6099-N6099)</f>
        <v/>
      </c>
      <c r="K6099" s="11">
        <f>O6099</f>
        <v/>
      </c>
      <c r="L6099" s="11">
        <f>L6098+IF(K6099&gt;0,K6099*Summary!$B$9,K6099/Summary!$B$9)</f>
        <v/>
      </c>
      <c r="M6099" s="11">
        <f>G6099+H6099</f>
        <v/>
      </c>
      <c r="N6099" s="11">
        <f>Summary!$C$16*Summary!$B$8</f>
        <v/>
      </c>
      <c r="O6099" s="11">
        <f>M6099-N6099</f>
        <v/>
      </c>
    </row>
    <row r="6100">
      <c r="A6100" s="9" t="n">
        <v>45546.08333333334</v>
      </c>
      <c r="B6100" t="n">
        <v>9</v>
      </c>
      <c r="C6100" t="n">
        <v>11</v>
      </c>
      <c r="D6100" t="n">
        <v>2</v>
      </c>
      <c r="E6100" s="10" t="n">
        <v>0</v>
      </c>
      <c r="F6100" s="10" t="n">
        <v>0.2299212551811013</v>
      </c>
      <c r="G6100" s="11">
        <f>E6100*Summary!$B$6</f>
        <v/>
      </c>
      <c r="H6100" s="11">
        <f>F6100*Summary!$B$7</f>
        <v/>
      </c>
      <c r="I6100" s="11">
        <f>MAX(0,N6100-M6100)</f>
        <v/>
      </c>
      <c r="J6100" s="11">
        <f>MAX(0,M6100-N6100)</f>
        <v/>
      </c>
      <c r="K6100" s="11">
        <f>O6100</f>
        <v/>
      </c>
      <c r="L6100" s="11">
        <f>L6099+IF(K6100&gt;0,K6100*Summary!$B$9,K6100/Summary!$B$9)</f>
        <v/>
      </c>
      <c r="M6100" s="11">
        <f>G6100+H6100</f>
        <v/>
      </c>
      <c r="N6100" s="11">
        <f>Summary!$C$16*Summary!$B$8</f>
        <v/>
      </c>
      <c r="O6100" s="11">
        <f>M6100-N6100</f>
        <v/>
      </c>
    </row>
    <row r="6101">
      <c r="A6101" s="9" t="n">
        <v>45546.125</v>
      </c>
      <c r="B6101" t="n">
        <v>9</v>
      </c>
      <c r="C6101" t="n">
        <v>11</v>
      </c>
      <c r="D6101" t="n">
        <v>3</v>
      </c>
      <c r="E6101" s="10" t="n">
        <v>0</v>
      </c>
      <c r="F6101" s="10" t="n">
        <v>0.2268907744537859</v>
      </c>
      <c r="G6101" s="11">
        <f>E6101*Summary!$B$6</f>
        <v/>
      </c>
      <c r="H6101" s="11">
        <f>F6101*Summary!$B$7</f>
        <v/>
      </c>
      <c r="I6101" s="11">
        <f>MAX(0,N6101-M6101)</f>
        <v/>
      </c>
      <c r="J6101" s="11">
        <f>MAX(0,M6101-N6101)</f>
        <v/>
      </c>
      <c r="K6101" s="11">
        <f>O6101</f>
        <v/>
      </c>
      <c r="L6101" s="11">
        <f>L6100+IF(K6101&gt;0,K6101*Summary!$B$9,K6101/Summary!$B$9)</f>
        <v/>
      </c>
      <c r="M6101" s="11">
        <f>G6101+H6101</f>
        <v/>
      </c>
      <c r="N6101" s="11">
        <f>Summary!$C$16*Summary!$B$8</f>
        <v/>
      </c>
      <c r="O6101" s="11">
        <f>M6101-N6101</f>
        <v/>
      </c>
    </row>
    <row r="6102">
      <c r="A6102" s="9" t="n">
        <v>45546.16666666666</v>
      </c>
      <c r="B6102" t="n">
        <v>9</v>
      </c>
      <c r="C6102" t="n">
        <v>11</v>
      </c>
      <c r="D6102" t="n">
        <v>4</v>
      </c>
      <c r="E6102" s="10" t="n">
        <v>0</v>
      </c>
      <c r="F6102" s="10" t="n">
        <v>0.2308435754024581</v>
      </c>
      <c r="G6102" s="11">
        <f>E6102*Summary!$B$6</f>
        <v/>
      </c>
      <c r="H6102" s="11">
        <f>F6102*Summary!$B$7</f>
        <v/>
      </c>
      <c r="I6102" s="11">
        <f>MAX(0,N6102-M6102)</f>
        <v/>
      </c>
      <c r="J6102" s="11">
        <f>MAX(0,M6102-N6102)</f>
        <v/>
      </c>
      <c r="K6102" s="11">
        <f>O6102</f>
        <v/>
      </c>
      <c r="L6102" s="11">
        <f>L6101+IF(K6102&gt;0,K6102*Summary!$B$9,K6102/Summary!$B$9)</f>
        <v/>
      </c>
      <c r="M6102" s="11">
        <f>G6102+H6102</f>
        <v/>
      </c>
      <c r="N6102" s="11">
        <f>Summary!$C$16*Summary!$B$8</f>
        <v/>
      </c>
      <c r="O6102" s="11">
        <f>M6102-N6102</f>
        <v/>
      </c>
    </row>
    <row r="6103">
      <c r="A6103" s="9" t="n">
        <v>45546.20833333334</v>
      </c>
      <c r="B6103" t="n">
        <v>9</v>
      </c>
      <c r="C6103" t="n">
        <v>11</v>
      </c>
      <c r="D6103" t="n">
        <v>5</v>
      </c>
      <c r="E6103" s="10" t="n">
        <v>0</v>
      </c>
      <c r="F6103" s="10" t="n">
        <v>0.2257312861755087</v>
      </c>
      <c r="G6103" s="11">
        <f>E6103*Summary!$B$6</f>
        <v/>
      </c>
      <c r="H6103" s="11">
        <f>F6103*Summary!$B$7</f>
        <v/>
      </c>
      <c r="I6103" s="11">
        <f>MAX(0,N6103-M6103)</f>
        <v/>
      </c>
      <c r="J6103" s="11">
        <f>MAX(0,M6103-N6103)</f>
        <v/>
      </c>
      <c r="K6103" s="11">
        <f>O6103</f>
        <v/>
      </c>
      <c r="L6103" s="11">
        <f>L6102+IF(K6103&gt;0,K6103*Summary!$B$9,K6103/Summary!$B$9)</f>
        <v/>
      </c>
      <c r="M6103" s="11">
        <f>G6103+H6103</f>
        <v/>
      </c>
      <c r="N6103" s="11">
        <f>Summary!$C$16*Summary!$B$8</f>
        <v/>
      </c>
      <c r="O6103" s="11">
        <f>M6103-N6103</f>
        <v/>
      </c>
    </row>
    <row r="6104">
      <c r="A6104" s="9" t="n">
        <v>45546.25</v>
      </c>
      <c r="B6104" t="n">
        <v>9</v>
      </c>
      <c r="C6104" t="n">
        <v>11</v>
      </c>
      <c r="D6104" t="n">
        <v>6</v>
      </c>
      <c r="E6104" s="10" t="n">
        <v>0.035844</v>
      </c>
      <c r="F6104" s="10" t="n">
        <v>0.2336895920855021</v>
      </c>
      <c r="G6104" s="11">
        <f>E6104*Summary!$B$6</f>
        <v/>
      </c>
      <c r="H6104" s="11">
        <f>F6104*Summary!$B$7</f>
        <v/>
      </c>
      <c r="I6104" s="11">
        <f>MAX(0,N6104-M6104)</f>
        <v/>
      </c>
      <c r="J6104" s="11">
        <f>MAX(0,M6104-N6104)</f>
        <v/>
      </c>
      <c r="K6104" s="11">
        <f>O6104</f>
        <v/>
      </c>
      <c r="L6104" s="11">
        <f>L6103+IF(K6104&gt;0,K6104*Summary!$B$9,K6104/Summary!$B$9)</f>
        <v/>
      </c>
      <c r="M6104" s="11">
        <f>G6104+H6104</f>
        <v/>
      </c>
      <c r="N6104" s="11">
        <f>Summary!$C$16*Summary!$B$8</f>
        <v/>
      </c>
      <c r="O6104" s="11">
        <f>M6104-N6104</f>
        <v/>
      </c>
    </row>
    <row r="6105">
      <c r="A6105" s="9" t="n">
        <v>45546.29166666666</v>
      </c>
      <c r="B6105" t="n">
        <v>9</v>
      </c>
      <c r="C6105" t="n">
        <v>11</v>
      </c>
      <c r="D6105" t="n">
        <v>7</v>
      </c>
      <c r="E6105" s="10" t="n">
        <v>0.07655099999999999</v>
      </c>
      <c r="F6105" s="10" t="n">
        <v>0.2282347267763344</v>
      </c>
      <c r="G6105" s="11">
        <f>E6105*Summary!$B$6</f>
        <v/>
      </c>
      <c r="H6105" s="11">
        <f>F6105*Summary!$B$7</f>
        <v/>
      </c>
      <c r="I6105" s="11">
        <f>MAX(0,N6105-M6105)</f>
        <v/>
      </c>
      <c r="J6105" s="11">
        <f>MAX(0,M6105-N6105)</f>
        <v/>
      </c>
      <c r="K6105" s="11">
        <f>O6105</f>
        <v/>
      </c>
      <c r="L6105" s="11">
        <f>L6104+IF(K6105&gt;0,K6105*Summary!$B$9,K6105/Summary!$B$9)</f>
        <v/>
      </c>
      <c r="M6105" s="11">
        <f>G6105+H6105</f>
        <v/>
      </c>
      <c r="N6105" s="11">
        <f>Summary!$C$16*Summary!$B$8</f>
        <v/>
      </c>
      <c r="O6105" s="11">
        <f>M6105-N6105</f>
        <v/>
      </c>
    </row>
    <row r="6106">
      <c r="A6106" s="9" t="n">
        <v>45546.33333333334</v>
      </c>
      <c r="B6106" t="n">
        <v>9</v>
      </c>
      <c r="C6106" t="n">
        <v>11</v>
      </c>
      <c r="D6106" t="n">
        <v>8</v>
      </c>
      <c r="E6106" s="10" t="n">
        <v>0.064565</v>
      </c>
      <c r="F6106" s="10" t="n">
        <v>0.2295523270925585</v>
      </c>
      <c r="G6106" s="11">
        <f>E6106*Summary!$B$6</f>
        <v/>
      </c>
      <c r="H6106" s="11">
        <f>F6106*Summary!$B$7</f>
        <v/>
      </c>
      <c r="I6106" s="11">
        <f>MAX(0,N6106-M6106)</f>
        <v/>
      </c>
      <c r="J6106" s="11">
        <f>MAX(0,M6106-N6106)</f>
        <v/>
      </c>
      <c r="K6106" s="11">
        <f>O6106</f>
        <v/>
      </c>
      <c r="L6106" s="11">
        <f>L6105+IF(K6106&gt;0,K6106*Summary!$B$9,K6106/Summary!$B$9)</f>
        <v/>
      </c>
      <c r="M6106" s="11">
        <f>G6106+H6106</f>
        <v/>
      </c>
      <c r="N6106" s="11">
        <f>Summary!$C$16*Summary!$B$8</f>
        <v/>
      </c>
      <c r="O6106" s="11">
        <f>M6106-N6106</f>
        <v/>
      </c>
    </row>
    <row r="6107">
      <c r="A6107" s="9" t="n">
        <v>45546.375</v>
      </c>
      <c r="B6107" t="n">
        <v>9</v>
      </c>
      <c r="C6107" t="n">
        <v>11</v>
      </c>
      <c r="D6107" t="n">
        <v>9</v>
      </c>
      <c r="E6107" s="10" t="n">
        <v>0.168631</v>
      </c>
      <c r="F6107" s="10" t="n">
        <v>0.2637308792954111</v>
      </c>
      <c r="G6107" s="11">
        <f>E6107*Summary!$B$6</f>
        <v/>
      </c>
      <c r="H6107" s="11">
        <f>F6107*Summary!$B$7</f>
        <v/>
      </c>
      <c r="I6107" s="11">
        <f>MAX(0,N6107-M6107)</f>
        <v/>
      </c>
      <c r="J6107" s="11">
        <f>MAX(0,M6107-N6107)</f>
        <v/>
      </c>
      <c r="K6107" s="11">
        <f>O6107</f>
        <v/>
      </c>
      <c r="L6107" s="11">
        <f>L6106+IF(K6107&gt;0,K6107*Summary!$B$9,K6107/Summary!$B$9)</f>
        <v/>
      </c>
      <c r="M6107" s="11">
        <f>G6107+H6107</f>
        <v/>
      </c>
      <c r="N6107" s="11">
        <f>Summary!$C$16*Summary!$B$8</f>
        <v/>
      </c>
      <c r="O6107" s="11">
        <f>M6107-N6107</f>
        <v/>
      </c>
    </row>
    <row r="6108">
      <c r="A6108" s="9" t="n">
        <v>45546.41666666666</v>
      </c>
      <c r="B6108" t="n">
        <v>9</v>
      </c>
      <c r="C6108" t="n">
        <v>11</v>
      </c>
      <c r="D6108" t="n">
        <v>10</v>
      </c>
      <c r="E6108" s="10" t="n">
        <v>0.223804</v>
      </c>
      <c r="F6108" s="10" t="n">
        <v>0.2536907648857836</v>
      </c>
      <c r="G6108" s="11">
        <f>E6108*Summary!$B$6</f>
        <v/>
      </c>
      <c r="H6108" s="11">
        <f>F6108*Summary!$B$7</f>
        <v/>
      </c>
      <c r="I6108" s="11">
        <f>MAX(0,N6108-M6108)</f>
        <v/>
      </c>
      <c r="J6108" s="11">
        <f>MAX(0,M6108-N6108)</f>
        <v/>
      </c>
      <c r="K6108" s="11">
        <f>O6108</f>
        <v/>
      </c>
      <c r="L6108" s="11">
        <f>L6107+IF(K6108&gt;0,K6108*Summary!$B$9,K6108/Summary!$B$9)</f>
        <v/>
      </c>
      <c r="M6108" s="11">
        <f>G6108+H6108</f>
        <v/>
      </c>
      <c r="N6108" s="11">
        <f>Summary!$C$16*Summary!$B$8</f>
        <v/>
      </c>
      <c r="O6108" s="11">
        <f>M6108-N6108</f>
        <v/>
      </c>
    </row>
    <row r="6109">
      <c r="A6109" s="9" t="n">
        <v>45546.45833333334</v>
      </c>
      <c r="B6109" t="n">
        <v>9</v>
      </c>
      <c r="C6109" t="n">
        <v>11</v>
      </c>
      <c r="D6109" t="n">
        <v>11</v>
      </c>
      <c r="E6109" s="10" t="n">
        <v>0.148201</v>
      </c>
      <c r="F6109" s="10" t="n">
        <v>0.2627031510487562</v>
      </c>
      <c r="G6109" s="11">
        <f>E6109*Summary!$B$6</f>
        <v/>
      </c>
      <c r="H6109" s="11">
        <f>F6109*Summary!$B$7</f>
        <v/>
      </c>
      <c r="I6109" s="11">
        <f>MAX(0,N6109-M6109)</f>
        <v/>
      </c>
      <c r="J6109" s="11">
        <f>MAX(0,M6109-N6109)</f>
        <v/>
      </c>
      <c r="K6109" s="11">
        <f>O6109</f>
        <v/>
      </c>
      <c r="L6109" s="11">
        <f>L6108+IF(K6109&gt;0,K6109*Summary!$B$9,K6109/Summary!$B$9)</f>
        <v/>
      </c>
      <c r="M6109" s="11">
        <f>G6109+H6109</f>
        <v/>
      </c>
      <c r="N6109" s="11">
        <f>Summary!$C$16*Summary!$B$8</f>
        <v/>
      </c>
      <c r="O6109" s="11">
        <f>M6109-N6109</f>
        <v/>
      </c>
    </row>
    <row r="6110">
      <c r="A6110" s="9" t="n">
        <v>45546.5</v>
      </c>
      <c r="B6110" t="n">
        <v>9</v>
      </c>
      <c r="C6110" t="n">
        <v>11</v>
      </c>
      <c r="D6110" t="n">
        <v>12</v>
      </c>
      <c r="E6110" s="10" t="n">
        <v>0.185429</v>
      </c>
      <c r="F6110" s="10" t="n">
        <v>0.2771440505145721</v>
      </c>
      <c r="G6110" s="11">
        <f>E6110*Summary!$B$6</f>
        <v/>
      </c>
      <c r="H6110" s="11">
        <f>F6110*Summary!$B$7</f>
        <v/>
      </c>
      <c r="I6110" s="11">
        <f>MAX(0,N6110-M6110)</f>
        <v/>
      </c>
      <c r="J6110" s="11">
        <f>MAX(0,M6110-N6110)</f>
        <v/>
      </c>
      <c r="K6110" s="11">
        <f>O6110</f>
        <v/>
      </c>
      <c r="L6110" s="11">
        <f>L6109+IF(K6110&gt;0,K6110*Summary!$B$9,K6110/Summary!$B$9)</f>
        <v/>
      </c>
      <c r="M6110" s="11">
        <f>G6110+H6110</f>
        <v/>
      </c>
      <c r="N6110" s="11">
        <f>Summary!$C$16*Summary!$B$8</f>
        <v/>
      </c>
      <c r="O6110" s="11">
        <f>M6110-N6110</f>
        <v/>
      </c>
    </row>
    <row r="6111">
      <c r="A6111" s="9" t="n">
        <v>45546.54166666666</v>
      </c>
      <c r="B6111" t="n">
        <v>9</v>
      </c>
      <c r="C6111" t="n">
        <v>11</v>
      </c>
      <c r="D6111" t="n">
        <v>13</v>
      </c>
      <c r="E6111" s="10" t="n">
        <v>0.453293</v>
      </c>
      <c r="F6111" s="10" t="n">
        <v>0.2879220211012851</v>
      </c>
      <c r="G6111" s="11">
        <f>E6111*Summary!$B$6</f>
        <v/>
      </c>
      <c r="H6111" s="11">
        <f>F6111*Summary!$B$7</f>
        <v/>
      </c>
      <c r="I6111" s="11">
        <f>MAX(0,N6111-M6111)</f>
        <v/>
      </c>
      <c r="J6111" s="11">
        <f>MAX(0,M6111-N6111)</f>
        <v/>
      </c>
      <c r="K6111" s="11">
        <f>O6111</f>
        <v/>
      </c>
      <c r="L6111" s="11">
        <f>L6110+IF(K6111&gt;0,K6111*Summary!$B$9,K6111/Summary!$B$9)</f>
        <v/>
      </c>
      <c r="M6111" s="11">
        <f>G6111+H6111</f>
        <v/>
      </c>
      <c r="N6111" s="11">
        <f>Summary!$C$16*Summary!$B$8</f>
        <v/>
      </c>
      <c r="O6111" s="11">
        <f>M6111-N6111</f>
        <v/>
      </c>
    </row>
    <row r="6112">
      <c r="A6112" s="9" t="n">
        <v>45546.58333333334</v>
      </c>
      <c r="B6112" t="n">
        <v>9</v>
      </c>
      <c r="C6112" t="n">
        <v>11</v>
      </c>
      <c r="D6112" t="n">
        <v>14</v>
      </c>
      <c r="E6112" s="10" t="n">
        <v>0.542586</v>
      </c>
      <c r="F6112" s="10" t="n">
        <v>0.3009135602192545</v>
      </c>
      <c r="G6112" s="11">
        <f>E6112*Summary!$B$6</f>
        <v/>
      </c>
      <c r="H6112" s="11">
        <f>F6112*Summary!$B$7</f>
        <v/>
      </c>
      <c r="I6112" s="11">
        <f>MAX(0,N6112-M6112)</f>
        <v/>
      </c>
      <c r="J6112" s="11">
        <f>MAX(0,M6112-N6112)</f>
        <v/>
      </c>
      <c r="K6112" s="11">
        <f>O6112</f>
        <v/>
      </c>
      <c r="L6112" s="11">
        <f>L6111+IF(K6112&gt;0,K6112*Summary!$B$9,K6112/Summary!$B$9)</f>
        <v/>
      </c>
      <c r="M6112" s="11">
        <f>G6112+H6112</f>
        <v/>
      </c>
      <c r="N6112" s="11">
        <f>Summary!$C$16*Summary!$B$8</f>
        <v/>
      </c>
      <c r="O6112" s="11">
        <f>M6112-N6112</f>
        <v/>
      </c>
    </row>
    <row r="6113">
      <c r="A6113" s="9" t="n">
        <v>45546.625</v>
      </c>
      <c r="B6113" t="n">
        <v>9</v>
      </c>
      <c r="C6113" t="n">
        <v>11</v>
      </c>
      <c r="D6113" t="n">
        <v>15</v>
      </c>
      <c r="E6113" s="10" t="n">
        <v>0.479987</v>
      </c>
      <c r="F6113" s="10" t="n">
        <v>0.3153017556724214</v>
      </c>
      <c r="G6113" s="11">
        <f>E6113*Summary!$B$6</f>
        <v/>
      </c>
      <c r="H6113" s="11">
        <f>F6113*Summary!$B$7</f>
        <v/>
      </c>
      <c r="I6113" s="11">
        <f>MAX(0,N6113-M6113)</f>
        <v/>
      </c>
      <c r="J6113" s="11">
        <f>MAX(0,M6113-N6113)</f>
        <v/>
      </c>
      <c r="K6113" s="11">
        <f>O6113</f>
        <v/>
      </c>
      <c r="L6113" s="11">
        <f>L6112+IF(K6113&gt;0,K6113*Summary!$B$9,K6113/Summary!$B$9)</f>
        <v/>
      </c>
      <c r="M6113" s="11">
        <f>G6113+H6113</f>
        <v/>
      </c>
      <c r="N6113" s="11">
        <f>Summary!$C$16*Summary!$B$8</f>
        <v/>
      </c>
      <c r="O6113" s="11">
        <f>M6113-N6113</f>
        <v/>
      </c>
    </row>
    <row r="6114">
      <c r="A6114" s="9" t="n">
        <v>45546.66666666666</v>
      </c>
      <c r="B6114" t="n">
        <v>9</v>
      </c>
      <c r="C6114" t="n">
        <v>11</v>
      </c>
      <c r="D6114" t="n">
        <v>16</v>
      </c>
      <c r="E6114" s="10" t="n">
        <v>0.274524</v>
      </c>
      <c r="F6114" s="10" t="n">
        <v>0.322838429481223</v>
      </c>
      <c r="G6114" s="11">
        <f>E6114*Summary!$B$6</f>
        <v/>
      </c>
      <c r="H6114" s="11">
        <f>F6114*Summary!$B$7</f>
        <v/>
      </c>
      <c r="I6114" s="11">
        <f>MAX(0,N6114-M6114)</f>
        <v/>
      </c>
      <c r="J6114" s="11">
        <f>MAX(0,M6114-N6114)</f>
        <v/>
      </c>
      <c r="K6114" s="11">
        <f>O6114</f>
        <v/>
      </c>
      <c r="L6114" s="11">
        <f>L6113+IF(K6114&gt;0,K6114*Summary!$B$9,K6114/Summary!$B$9)</f>
        <v/>
      </c>
      <c r="M6114" s="11">
        <f>G6114+H6114</f>
        <v/>
      </c>
      <c r="N6114" s="11">
        <f>Summary!$C$16*Summary!$B$8</f>
        <v/>
      </c>
      <c r="O6114" s="11">
        <f>M6114-N6114</f>
        <v/>
      </c>
    </row>
    <row r="6115">
      <c r="A6115" s="9" t="n">
        <v>45546.70833333334</v>
      </c>
      <c r="B6115" t="n">
        <v>9</v>
      </c>
      <c r="C6115" t="n">
        <v>11</v>
      </c>
      <c r="D6115" t="n">
        <v>17</v>
      </c>
      <c r="E6115" s="10" t="n">
        <v>0.07495499999999999</v>
      </c>
      <c r="F6115" s="10" t="n">
        <v>0.3299271191825086</v>
      </c>
      <c r="G6115" s="11">
        <f>E6115*Summary!$B$6</f>
        <v/>
      </c>
      <c r="H6115" s="11">
        <f>F6115*Summary!$B$7</f>
        <v/>
      </c>
      <c r="I6115" s="11">
        <f>MAX(0,N6115-M6115)</f>
        <v/>
      </c>
      <c r="J6115" s="11">
        <f>MAX(0,M6115-N6115)</f>
        <v/>
      </c>
      <c r="K6115" s="11">
        <f>O6115</f>
        <v/>
      </c>
      <c r="L6115" s="11">
        <f>L6114+IF(K6115&gt;0,K6115*Summary!$B$9,K6115/Summary!$B$9)</f>
        <v/>
      </c>
      <c r="M6115" s="11">
        <f>G6115+H6115</f>
        <v/>
      </c>
      <c r="N6115" s="11">
        <f>Summary!$C$16*Summary!$B$8</f>
        <v/>
      </c>
      <c r="O6115" s="11">
        <f>M6115-N6115</f>
        <v/>
      </c>
    </row>
    <row r="6116">
      <c r="A6116" s="9" t="n">
        <v>45546.75</v>
      </c>
      <c r="B6116" t="n">
        <v>9</v>
      </c>
      <c r="C6116" t="n">
        <v>11</v>
      </c>
      <c r="D6116" t="n">
        <v>18</v>
      </c>
      <c r="E6116" s="10" t="n">
        <v>0</v>
      </c>
      <c r="F6116" s="10" t="n">
        <v>0.348610691666566</v>
      </c>
      <c r="G6116" s="11">
        <f>E6116*Summary!$B$6</f>
        <v/>
      </c>
      <c r="H6116" s="11">
        <f>F6116*Summary!$B$7</f>
        <v/>
      </c>
      <c r="I6116" s="11">
        <f>MAX(0,N6116-M6116)</f>
        <v/>
      </c>
      <c r="J6116" s="11">
        <f>MAX(0,M6116-N6116)</f>
        <v/>
      </c>
      <c r="K6116" s="11">
        <f>O6116</f>
        <v/>
      </c>
      <c r="L6116" s="11">
        <f>L6115+IF(K6116&gt;0,K6116*Summary!$B$9,K6116/Summary!$B$9)</f>
        <v/>
      </c>
      <c r="M6116" s="11">
        <f>G6116+H6116</f>
        <v/>
      </c>
      <c r="N6116" s="11">
        <f>Summary!$C$16*Summary!$B$8</f>
        <v/>
      </c>
      <c r="O6116" s="11">
        <f>M6116-N6116</f>
        <v/>
      </c>
    </row>
    <row r="6117">
      <c r="A6117" s="9" t="n">
        <v>45546.79166666666</v>
      </c>
      <c r="B6117" t="n">
        <v>9</v>
      </c>
      <c r="C6117" t="n">
        <v>11</v>
      </c>
      <c r="D6117" t="n">
        <v>19</v>
      </c>
      <c r="E6117" s="10" t="n">
        <v>0</v>
      </c>
      <c r="F6117" s="10" t="n">
        <v>0.3696395927135023</v>
      </c>
      <c r="G6117" s="11">
        <f>E6117*Summary!$B$6</f>
        <v/>
      </c>
      <c r="H6117" s="11">
        <f>F6117*Summary!$B$7</f>
        <v/>
      </c>
      <c r="I6117" s="11">
        <f>MAX(0,N6117-M6117)</f>
        <v/>
      </c>
      <c r="J6117" s="11">
        <f>MAX(0,M6117-N6117)</f>
        <v/>
      </c>
      <c r="K6117" s="11">
        <f>O6117</f>
        <v/>
      </c>
      <c r="L6117" s="11">
        <f>L6116+IF(K6117&gt;0,K6117*Summary!$B$9,K6117/Summary!$B$9)</f>
        <v/>
      </c>
      <c r="M6117" s="11">
        <f>G6117+H6117</f>
        <v/>
      </c>
      <c r="N6117" s="11">
        <f>Summary!$C$16*Summary!$B$8</f>
        <v/>
      </c>
      <c r="O6117" s="11">
        <f>M6117-N6117</f>
        <v/>
      </c>
    </row>
    <row r="6118">
      <c r="A6118" s="9" t="n">
        <v>45546.83333333334</v>
      </c>
      <c r="B6118" t="n">
        <v>9</v>
      </c>
      <c r="C6118" t="n">
        <v>11</v>
      </c>
      <c r="D6118" t="n">
        <v>20</v>
      </c>
      <c r="E6118" s="10" t="n">
        <v>0</v>
      </c>
      <c r="F6118" s="10" t="n">
        <v>0.3808128433950824</v>
      </c>
      <c r="G6118" s="11">
        <f>E6118*Summary!$B$6</f>
        <v/>
      </c>
      <c r="H6118" s="11">
        <f>F6118*Summary!$B$7</f>
        <v/>
      </c>
      <c r="I6118" s="11">
        <f>MAX(0,N6118-M6118)</f>
        <v/>
      </c>
      <c r="J6118" s="11">
        <f>MAX(0,M6118-N6118)</f>
        <v/>
      </c>
      <c r="K6118" s="11">
        <f>O6118</f>
        <v/>
      </c>
      <c r="L6118" s="11">
        <f>L6117+IF(K6118&gt;0,K6118*Summary!$B$9,K6118/Summary!$B$9)</f>
        <v/>
      </c>
      <c r="M6118" s="11">
        <f>G6118+H6118</f>
        <v/>
      </c>
      <c r="N6118" s="11">
        <f>Summary!$C$16*Summary!$B$8</f>
        <v/>
      </c>
      <c r="O6118" s="11">
        <f>M6118-N6118</f>
        <v/>
      </c>
    </row>
    <row r="6119">
      <c r="A6119" s="9" t="n">
        <v>45546.875</v>
      </c>
      <c r="B6119" t="n">
        <v>9</v>
      </c>
      <c r="C6119" t="n">
        <v>11</v>
      </c>
      <c r="D6119" t="n">
        <v>21</v>
      </c>
      <c r="E6119" s="10" t="n">
        <v>0</v>
      </c>
      <c r="F6119" s="10" t="n">
        <v>0.3824730197935248</v>
      </c>
      <c r="G6119" s="11">
        <f>E6119*Summary!$B$6</f>
        <v/>
      </c>
      <c r="H6119" s="11">
        <f>F6119*Summary!$B$7</f>
        <v/>
      </c>
      <c r="I6119" s="11">
        <f>MAX(0,N6119-M6119)</f>
        <v/>
      </c>
      <c r="J6119" s="11">
        <f>MAX(0,M6119-N6119)</f>
        <v/>
      </c>
      <c r="K6119" s="11">
        <f>O6119</f>
        <v/>
      </c>
      <c r="L6119" s="11">
        <f>L6118+IF(K6119&gt;0,K6119*Summary!$B$9,K6119/Summary!$B$9)</f>
        <v/>
      </c>
      <c r="M6119" s="11">
        <f>G6119+H6119</f>
        <v/>
      </c>
      <c r="N6119" s="11">
        <f>Summary!$C$16*Summary!$B$8</f>
        <v/>
      </c>
      <c r="O6119" s="11">
        <f>M6119-N6119</f>
        <v/>
      </c>
    </row>
    <row r="6120">
      <c r="A6120" s="9" t="n">
        <v>45546.91666666666</v>
      </c>
      <c r="B6120" t="n">
        <v>9</v>
      </c>
      <c r="C6120" t="n">
        <v>11</v>
      </c>
      <c r="D6120" t="n">
        <v>22</v>
      </c>
      <c r="E6120" s="10" t="n">
        <v>0</v>
      </c>
      <c r="F6120" s="10" t="n">
        <v>0.3778614186867404</v>
      </c>
      <c r="G6120" s="11">
        <f>E6120*Summary!$B$6</f>
        <v/>
      </c>
      <c r="H6120" s="11">
        <f>F6120*Summary!$B$7</f>
        <v/>
      </c>
      <c r="I6120" s="11">
        <f>MAX(0,N6120-M6120)</f>
        <v/>
      </c>
      <c r="J6120" s="11">
        <f>MAX(0,M6120-N6120)</f>
        <v/>
      </c>
      <c r="K6120" s="11">
        <f>O6120</f>
        <v/>
      </c>
      <c r="L6120" s="11">
        <f>L6119+IF(K6120&gt;0,K6120*Summary!$B$9,K6120/Summary!$B$9)</f>
        <v/>
      </c>
      <c r="M6120" s="11">
        <f>G6120+H6120</f>
        <v/>
      </c>
      <c r="N6120" s="11">
        <f>Summary!$C$16*Summary!$B$8</f>
        <v/>
      </c>
      <c r="O6120" s="11">
        <f>M6120-N6120</f>
        <v/>
      </c>
    </row>
    <row r="6121">
      <c r="A6121" s="9" t="n">
        <v>45546.95833333334</v>
      </c>
      <c r="B6121" t="n">
        <v>9</v>
      </c>
      <c r="C6121" t="n">
        <v>11</v>
      </c>
      <c r="D6121" t="n">
        <v>23</v>
      </c>
      <c r="E6121" s="10" t="n">
        <v>0</v>
      </c>
      <c r="F6121" s="10" t="n">
        <v>0.3715632891751894</v>
      </c>
      <c r="G6121" s="11">
        <f>E6121*Summary!$B$6</f>
        <v/>
      </c>
      <c r="H6121" s="11">
        <f>F6121*Summary!$B$7</f>
        <v/>
      </c>
      <c r="I6121" s="11">
        <f>MAX(0,N6121-M6121)</f>
        <v/>
      </c>
      <c r="J6121" s="11">
        <f>MAX(0,M6121-N6121)</f>
        <v/>
      </c>
      <c r="K6121" s="11">
        <f>O6121</f>
        <v/>
      </c>
      <c r="L6121" s="11">
        <f>L6120+IF(K6121&gt;0,K6121*Summary!$B$9,K6121/Summary!$B$9)</f>
        <v/>
      </c>
      <c r="M6121" s="11">
        <f>G6121+H6121</f>
        <v/>
      </c>
      <c r="N6121" s="11">
        <f>Summary!$C$16*Summary!$B$8</f>
        <v/>
      </c>
      <c r="O6121" s="11">
        <f>M6121-N6121</f>
        <v/>
      </c>
    </row>
    <row r="6122">
      <c r="A6122" s="9" t="n">
        <v>45547</v>
      </c>
      <c r="B6122" t="n">
        <v>9</v>
      </c>
      <c r="C6122" t="n">
        <v>12</v>
      </c>
      <c r="D6122" t="n">
        <v>0</v>
      </c>
      <c r="E6122" s="10" t="n">
        <v>0</v>
      </c>
      <c r="F6122" s="10" t="n">
        <v>0.4092993622318469</v>
      </c>
      <c r="G6122" s="11">
        <f>E6122*Summary!$B$6</f>
        <v/>
      </c>
      <c r="H6122" s="11">
        <f>F6122*Summary!$B$7</f>
        <v/>
      </c>
      <c r="I6122" s="11">
        <f>MAX(0,N6122-M6122)</f>
        <v/>
      </c>
      <c r="J6122" s="11">
        <f>MAX(0,M6122-N6122)</f>
        <v/>
      </c>
      <c r="K6122" s="11">
        <f>O6122</f>
        <v/>
      </c>
      <c r="L6122" s="11">
        <f>L6121+IF(K6122&gt;0,K6122*Summary!$B$9,K6122/Summary!$B$9)</f>
        <v/>
      </c>
      <c r="M6122" s="11">
        <f>G6122+H6122</f>
        <v/>
      </c>
      <c r="N6122" s="11">
        <f>Summary!$C$16*Summary!$B$8</f>
        <v/>
      </c>
      <c r="O6122" s="11">
        <f>M6122-N6122</f>
        <v/>
      </c>
    </row>
    <row r="6123">
      <c r="A6123" s="9" t="n">
        <v>45547.04166666666</v>
      </c>
      <c r="B6123" t="n">
        <v>9</v>
      </c>
      <c r="C6123" t="n">
        <v>12</v>
      </c>
      <c r="D6123" t="n">
        <v>1</v>
      </c>
      <c r="E6123" s="10" t="n">
        <v>0</v>
      </c>
      <c r="F6123" s="10" t="n">
        <v>0.3547770611464947</v>
      </c>
      <c r="G6123" s="11">
        <f>E6123*Summary!$B$6</f>
        <v/>
      </c>
      <c r="H6123" s="11">
        <f>F6123*Summary!$B$7</f>
        <v/>
      </c>
      <c r="I6123" s="11">
        <f>MAX(0,N6123-M6123)</f>
        <v/>
      </c>
      <c r="J6123" s="11">
        <f>MAX(0,M6123-N6123)</f>
        <v/>
      </c>
      <c r="K6123" s="11">
        <f>O6123</f>
        <v/>
      </c>
      <c r="L6123" s="11">
        <f>L6122+IF(K6123&gt;0,K6123*Summary!$B$9,K6123/Summary!$B$9)</f>
        <v/>
      </c>
      <c r="M6123" s="11">
        <f>G6123+H6123</f>
        <v/>
      </c>
      <c r="N6123" s="11">
        <f>Summary!$C$16*Summary!$B$8</f>
        <v/>
      </c>
      <c r="O6123" s="11">
        <f>M6123-N6123</f>
        <v/>
      </c>
    </row>
    <row r="6124">
      <c r="A6124" s="9" t="n">
        <v>45547.08333333334</v>
      </c>
      <c r="B6124" t="n">
        <v>9</v>
      </c>
      <c r="C6124" t="n">
        <v>12</v>
      </c>
      <c r="D6124" t="n">
        <v>2</v>
      </c>
      <c r="E6124" s="10" t="n">
        <v>0</v>
      </c>
      <c r="F6124" s="10" t="n">
        <v>0.3602055744493378</v>
      </c>
      <c r="G6124" s="11">
        <f>E6124*Summary!$B$6</f>
        <v/>
      </c>
      <c r="H6124" s="11">
        <f>F6124*Summary!$B$7</f>
        <v/>
      </c>
      <c r="I6124" s="11">
        <f>MAX(0,N6124-M6124)</f>
        <v/>
      </c>
      <c r="J6124" s="11">
        <f>MAX(0,M6124-N6124)</f>
        <v/>
      </c>
      <c r="K6124" s="11">
        <f>O6124</f>
        <v/>
      </c>
      <c r="L6124" s="11">
        <f>L6123+IF(K6124&gt;0,K6124*Summary!$B$9,K6124/Summary!$B$9)</f>
        <v/>
      </c>
      <c r="M6124" s="11">
        <f>G6124+H6124</f>
        <v/>
      </c>
      <c r="N6124" s="11">
        <f>Summary!$C$16*Summary!$B$8</f>
        <v/>
      </c>
      <c r="O6124" s="11">
        <f>M6124-N6124</f>
        <v/>
      </c>
    </row>
    <row r="6125">
      <c r="A6125" s="9" t="n">
        <v>45547.125</v>
      </c>
      <c r="B6125" t="n">
        <v>9</v>
      </c>
      <c r="C6125" t="n">
        <v>12</v>
      </c>
      <c r="D6125" t="n">
        <v>3</v>
      </c>
      <c r="E6125" s="10" t="n">
        <v>0</v>
      </c>
      <c r="F6125" s="10" t="n">
        <v>0.3409159058198173</v>
      </c>
      <c r="G6125" s="11">
        <f>E6125*Summary!$B$6</f>
        <v/>
      </c>
      <c r="H6125" s="11">
        <f>F6125*Summary!$B$7</f>
        <v/>
      </c>
      <c r="I6125" s="11">
        <f>MAX(0,N6125-M6125)</f>
        <v/>
      </c>
      <c r="J6125" s="11">
        <f>MAX(0,M6125-N6125)</f>
        <v/>
      </c>
      <c r="K6125" s="11">
        <f>O6125</f>
        <v/>
      </c>
      <c r="L6125" s="11">
        <f>L6124+IF(K6125&gt;0,K6125*Summary!$B$9,K6125/Summary!$B$9)</f>
        <v/>
      </c>
      <c r="M6125" s="11">
        <f>G6125+H6125</f>
        <v/>
      </c>
      <c r="N6125" s="11">
        <f>Summary!$C$16*Summary!$B$8</f>
        <v/>
      </c>
      <c r="O6125" s="11">
        <f>M6125-N6125</f>
        <v/>
      </c>
    </row>
    <row r="6126">
      <c r="A6126" s="9" t="n">
        <v>45547.16666666666</v>
      </c>
      <c r="B6126" t="n">
        <v>9</v>
      </c>
      <c r="C6126" t="n">
        <v>12</v>
      </c>
      <c r="D6126" t="n">
        <v>4</v>
      </c>
      <c r="E6126" s="10" t="n">
        <v>0</v>
      </c>
      <c r="F6126" s="10" t="n">
        <v>0.3338535681248563</v>
      </c>
      <c r="G6126" s="11">
        <f>E6126*Summary!$B$6</f>
        <v/>
      </c>
      <c r="H6126" s="11">
        <f>F6126*Summary!$B$7</f>
        <v/>
      </c>
      <c r="I6126" s="11">
        <f>MAX(0,N6126-M6126)</f>
        <v/>
      </c>
      <c r="J6126" s="11">
        <f>MAX(0,M6126-N6126)</f>
        <v/>
      </c>
      <c r="K6126" s="11">
        <f>O6126</f>
        <v/>
      </c>
      <c r="L6126" s="11">
        <f>L6125+IF(K6126&gt;0,K6126*Summary!$B$9,K6126/Summary!$B$9)</f>
        <v/>
      </c>
      <c r="M6126" s="11">
        <f>G6126+H6126</f>
        <v/>
      </c>
      <c r="N6126" s="11">
        <f>Summary!$C$16*Summary!$B$8</f>
        <v/>
      </c>
      <c r="O6126" s="11">
        <f>M6126-N6126</f>
        <v/>
      </c>
    </row>
    <row r="6127">
      <c r="A6127" s="9" t="n">
        <v>45547.20833333334</v>
      </c>
      <c r="B6127" t="n">
        <v>9</v>
      </c>
      <c r="C6127" t="n">
        <v>12</v>
      </c>
      <c r="D6127" t="n">
        <v>5</v>
      </c>
      <c r="E6127" s="10" t="n">
        <v>0</v>
      </c>
      <c r="F6127" s="10" t="n">
        <v>0.330006175201482</v>
      </c>
      <c r="G6127" s="11">
        <f>E6127*Summary!$B$6</f>
        <v/>
      </c>
      <c r="H6127" s="11">
        <f>F6127*Summary!$B$7</f>
        <v/>
      </c>
      <c r="I6127" s="11">
        <f>MAX(0,N6127-M6127)</f>
        <v/>
      </c>
      <c r="J6127" s="11">
        <f>MAX(0,M6127-N6127)</f>
        <v/>
      </c>
      <c r="K6127" s="11">
        <f>O6127</f>
        <v/>
      </c>
      <c r="L6127" s="11">
        <f>L6126+IF(K6127&gt;0,K6127*Summary!$B$9,K6127/Summary!$B$9)</f>
        <v/>
      </c>
      <c r="M6127" s="11">
        <f>G6127+H6127</f>
        <v/>
      </c>
      <c r="N6127" s="11">
        <f>Summary!$C$16*Summary!$B$8</f>
        <v/>
      </c>
      <c r="O6127" s="11">
        <f>M6127-N6127</f>
        <v/>
      </c>
    </row>
    <row r="6128">
      <c r="A6128" s="9" t="n">
        <v>45547.25</v>
      </c>
      <c r="B6128" t="n">
        <v>9</v>
      </c>
      <c r="C6128" t="n">
        <v>12</v>
      </c>
      <c r="D6128" t="n">
        <v>6</v>
      </c>
      <c r="E6128" s="10" t="n">
        <v>0.043963</v>
      </c>
      <c r="F6128" s="10" t="n">
        <v>0.3263432463223792</v>
      </c>
      <c r="G6128" s="11">
        <f>E6128*Summary!$B$6</f>
        <v/>
      </c>
      <c r="H6128" s="11">
        <f>F6128*Summary!$B$7</f>
        <v/>
      </c>
      <c r="I6128" s="11">
        <f>MAX(0,N6128-M6128)</f>
        <v/>
      </c>
      <c r="J6128" s="11">
        <f>MAX(0,M6128-N6128)</f>
        <v/>
      </c>
      <c r="K6128" s="11">
        <f>O6128</f>
        <v/>
      </c>
      <c r="L6128" s="11">
        <f>L6127+IF(K6128&gt;0,K6128*Summary!$B$9,K6128/Summary!$B$9)</f>
        <v/>
      </c>
      <c r="M6128" s="11">
        <f>G6128+H6128</f>
        <v/>
      </c>
      <c r="N6128" s="11">
        <f>Summary!$C$16*Summary!$B$8</f>
        <v/>
      </c>
      <c r="O6128" s="11">
        <f>M6128-N6128</f>
        <v/>
      </c>
    </row>
    <row r="6129">
      <c r="A6129" s="9" t="n">
        <v>45547.29166666666</v>
      </c>
      <c r="B6129" t="n">
        <v>9</v>
      </c>
      <c r="C6129" t="n">
        <v>12</v>
      </c>
      <c r="D6129" t="n">
        <v>7</v>
      </c>
      <c r="E6129" s="10" t="n">
        <v>0.125696</v>
      </c>
      <c r="F6129" s="10" t="n">
        <v>0.3151436436344744</v>
      </c>
      <c r="G6129" s="11">
        <f>E6129*Summary!$B$6</f>
        <v/>
      </c>
      <c r="H6129" s="11">
        <f>F6129*Summary!$B$7</f>
        <v/>
      </c>
      <c r="I6129" s="11">
        <f>MAX(0,N6129-M6129)</f>
        <v/>
      </c>
      <c r="J6129" s="11">
        <f>MAX(0,M6129-N6129)</f>
        <v/>
      </c>
      <c r="K6129" s="11">
        <f>O6129</f>
        <v/>
      </c>
      <c r="L6129" s="11">
        <f>L6128+IF(K6129&gt;0,K6129*Summary!$B$9,K6129/Summary!$B$9)</f>
        <v/>
      </c>
      <c r="M6129" s="11">
        <f>G6129+H6129</f>
        <v/>
      </c>
      <c r="N6129" s="11">
        <f>Summary!$C$16*Summary!$B$8</f>
        <v/>
      </c>
      <c r="O6129" s="11">
        <f>M6129-N6129</f>
        <v/>
      </c>
    </row>
    <row r="6130">
      <c r="A6130" s="9" t="n">
        <v>45547.33333333334</v>
      </c>
      <c r="B6130" t="n">
        <v>9</v>
      </c>
      <c r="C6130" t="n">
        <v>12</v>
      </c>
      <c r="D6130" t="n">
        <v>8</v>
      </c>
      <c r="E6130" s="10" t="n">
        <v>0.132761</v>
      </c>
      <c r="F6130" s="10" t="n">
        <v>0.3128773710905691</v>
      </c>
      <c r="G6130" s="11">
        <f>E6130*Summary!$B$6</f>
        <v/>
      </c>
      <c r="H6130" s="11">
        <f>F6130*Summary!$B$7</f>
        <v/>
      </c>
      <c r="I6130" s="11">
        <f>MAX(0,N6130-M6130)</f>
        <v/>
      </c>
      <c r="J6130" s="11">
        <f>MAX(0,M6130-N6130)</f>
        <v/>
      </c>
      <c r="K6130" s="11">
        <f>O6130</f>
        <v/>
      </c>
      <c r="L6130" s="11">
        <f>L6129+IF(K6130&gt;0,K6130*Summary!$B$9,K6130/Summary!$B$9)</f>
        <v/>
      </c>
      <c r="M6130" s="11">
        <f>G6130+H6130</f>
        <v/>
      </c>
      <c r="N6130" s="11">
        <f>Summary!$C$16*Summary!$B$8</f>
        <v/>
      </c>
      <c r="O6130" s="11">
        <f>M6130-N6130</f>
        <v/>
      </c>
    </row>
    <row r="6131">
      <c r="A6131" s="9" t="n">
        <v>45547.375</v>
      </c>
      <c r="B6131" t="n">
        <v>9</v>
      </c>
      <c r="C6131" t="n">
        <v>12</v>
      </c>
      <c r="D6131" t="n">
        <v>9</v>
      </c>
      <c r="E6131" s="10" t="n">
        <v>0.487122</v>
      </c>
      <c r="F6131" s="10" t="n">
        <v>0.3256580941579426</v>
      </c>
      <c r="G6131" s="11">
        <f>E6131*Summary!$B$6</f>
        <v/>
      </c>
      <c r="H6131" s="11">
        <f>F6131*Summary!$B$7</f>
        <v/>
      </c>
      <c r="I6131" s="11">
        <f>MAX(0,N6131-M6131)</f>
        <v/>
      </c>
      <c r="J6131" s="11">
        <f>MAX(0,M6131-N6131)</f>
        <v/>
      </c>
      <c r="K6131" s="11">
        <f>O6131</f>
        <v/>
      </c>
      <c r="L6131" s="11">
        <f>L6130+IF(K6131&gt;0,K6131*Summary!$B$9,K6131/Summary!$B$9)</f>
        <v/>
      </c>
      <c r="M6131" s="11">
        <f>G6131+H6131</f>
        <v/>
      </c>
      <c r="N6131" s="11">
        <f>Summary!$C$16*Summary!$B$8</f>
        <v/>
      </c>
      <c r="O6131" s="11">
        <f>M6131-N6131</f>
        <v/>
      </c>
    </row>
    <row r="6132">
      <c r="A6132" s="9" t="n">
        <v>45547.41666666666</v>
      </c>
      <c r="B6132" t="n">
        <v>9</v>
      </c>
      <c r="C6132" t="n">
        <v>12</v>
      </c>
      <c r="D6132" t="n">
        <v>10</v>
      </c>
      <c r="E6132" s="10" t="n">
        <v>0.597017</v>
      </c>
      <c r="F6132" s="10" t="n">
        <v>0.3407050897692215</v>
      </c>
      <c r="G6132" s="11">
        <f>E6132*Summary!$B$6</f>
        <v/>
      </c>
      <c r="H6132" s="11">
        <f>F6132*Summary!$B$7</f>
        <v/>
      </c>
      <c r="I6132" s="11">
        <f>MAX(0,N6132-M6132)</f>
        <v/>
      </c>
      <c r="J6132" s="11">
        <f>MAX(0,M6132-N6132)</f>
        <v/>
      </c>
      <c r="K6132" s="11">
        <f>O6132</f>
        <v/>
      </c>
      <c r="L6132" s="11">
        <f>L6131+IF(K6132&gt;0,K6132*Summary!$B$9,K6132/Summary!$B$9)</f>
        <v/>
      </c>
      <c r="M6132" s="11">
        <f>G6132+H6132</f>
        <v/>
      </c>
      <c r="N6132" s="11">
        <f>Summary!$C$16*Summary!$B$8</f>
        <v/>
      </c>
      <c r="O6132" s="11">
        <f>M6132-N6132</f>
        <v/>
      </c>
    </row>
    <row r="6133">
      <c r="A6133" s="9" t="n">
        <v>45547.45833333334</v>
      </c>
      <c r="B6133" t="n">
        <v>9</v>
      </c>
      <c r="C6133" t="n">
        <v>12</v>
      </c>
      <c r="D6133" t="n">
        <v>11</v>
      </c>
      <c r="E6133" s="10" t="n">
        <v>0.56298</v>
      </c>
      <c r="F6133" s="10" t="n">
        <v>0.3558838454121229</v>
      </c>
      <c r="G6133" s="11">
        <f>E6133*Summary!$B$6</f>
        <v/>
      </c>
      <c r="H6133" s="11">
        <f>F6133*Summary!$B$7</f>
        <v/>
      </c>
      <c r="I6133" s="11">
        <f>MAX(0,N6133-M6133)</f>
        <v/>
      </c>
      <c r="J6133" s="11">
        <f>MAX(0,M6133-N6133)</f>
        <v/>
      </c>
      <c r="K6133" s="11">
        <f>O6133</f>
        <v/>
      </c>
      <c r="L6133" s="11">
        <f>L6132+IF(K6133&gt;0,K6133*Summary!$B$9,K6133/Summary!$B$9)</f>
        <v/>
      </c>
      <c r="M6133" s="11">
        <f>G6133+H6133</f>
        <v/>
      </c>
      <c r="N6133" s="11">
        <f>Summary!$C$16*Summary!$B$8</f>
        <v/>
      </c>
      <c r="O6133" s="11">
        <f>M6133-N6133</f>
        <v/>
      </c>
    </row>
    <row r="6134">
      <c r="A6134" s="9" t="n">
        <v>45547.5</v>
      </c>
      <c r="B6134" t="n">
        <v>9</v>
      </c>
      <c r="C6134" t="n">
        <v>12</v>
      </c>
      <c r="D6134" t="n">
        <v>12</v>
      </c>
      <c r="E6134" s="10" t="n">
        <v>0.478456</v>
      </c>
      <c r="F6134" s="10" t="n">
        <v>0.3626826630438391</v>
      </c>
      <c r="G6134" s="11">
        <f>E6134*Summary!$B$6</f>
        <v/>
      </c>
      <c r="H6134" s="11">
        <f>F6134*Summary!$B$7</f>
        <v/>
      </c>
      <c r="I6134" s="11">
        <f>MAX(0,N6134-M6134)</f>
        <v/>
      </c>
      <c r="J6134" s="11">
        <f>MAX(0,M6134-N6134)</f>
        <v/>
      </c>
      <c r="K6134" s="11">
        <f>O6134</f>
        <v/>
      </c>
      <c r="L6134" s="11">
        <f>L6133+IF(K6134&gt;0,K6134*Summary!$B$9,K6134/Summary!$B$9)</f>
        <v/>
      </c>
      <c r="M6134" s="11">
        <f>G6134+H6134</f>
        <v/>
      </c>
      <c r="N6134" s="11">
        <f>Summary!$C$16*Summary!$B$8</f>
        <v/>
      </c>
      <c r="O6134" s="11">
        <f>M6134-N6134</f>
        <v/>
      </c>
    </row>
    <row r="6135">
      <c r="A6135" s="9" t="n">
        <v>45547.54166666666</v>
      </c>
      <c r="B6135" t="n">
        <v>9</v>
      </c>
      <c r="C6135" t="n">
        <v>12</v>
      </c>
      <c r="D6135" t="n">
        <v>13</v>
      </c>
      <c r="E6135" s="10" t="n">
        <v>0.295243</v>
      </c>
      <c r="F6135" s="10" t="n">
        <v>0.3663719439292665</v>
      </c>
      <c r="G6135" s="11">
        <f>E6135*Summary!$B$6</f>
        <v/>
      </c>
      <c r="H6135" s="11">
        <f>F6135*Summary!$B$7</f>
        <v/>
      </c>
      <c r="I6135" s="11">
        <f>MAX(0,N6135-M6135)</f>
        <v/>
      </c>
      <c r="J6135" s="11">
        <f>MAX(0,M6135-N6135)</f>
        <v/>
      </c>
      <c r="K6135" s="11">
        <f>O6135</f>
        <v/>
      </c>
      <c r="L6135" s="11">
        <f>L6134+IF(K6135&gt;0,K6135*Summary!$B$9,K6135/Summary!$B$9)</f>
        <v/>
      </c>
      <c r="M6135" s="11">
        <f>G6135+H6135</f>
        <v/>
      </c>
      <c r="N6135" s="11">
        <f>Summary!$C$16*Summary!$B$8</f>
        <v/>
      </c>
      <c r="O6135" s="11">
        <f>M6135-N6135</f>
        <v/>
      </c>
    </row>
    <row r="6136">
      <c r="A6136" s="9" t="n">
        <v>45547.58333333334</v>
      </c>
      <c r="B6136" t="n">
        <v>9</v>
      </c>
      <c r="C6136" t="n">
        <v>12</v>
      </c>
      <c r="D6136" t="n">
        <v>14</v>
      </c>
      <c r="E6136" s="10" t="n">
        <v>0.351948</v>
      </c>
      <c r="F6136" s="10" t="n">
        <v>0.3711153050676732</v>
      </c>
      <c r="G6136" s="11">
        <f>E6136*Summary!$B$6</f>
        <v/>
      </c>
      <c r="H6136" s="11">
        <f>F6136*Summary!$B$7</f>
        <v/>
      </c>
      <c r="I6136" s="11">
        <f>MAX(0,N6136-M6136)</f>
        <v/>
      </c>
      <c r="J6136" s="11">
        <f>MAX(0,M6136-N6136)</f>
        <v/>
      </c>
      <c r="K6136" s="11">
        <f>O6136</f>
        <v/>
      </c>
      <c r="L6136" s="11">
        <f>L6135+IF(K6136&gt;0,K6136*Summary!$B$9,K6136/Summary!$B$9)</f>
        <v/>
      </c>
      <c r="M6136" s="11">
        <f>G6136+H6136</f>
        <v/>
      </c>
      <c r="N6136" s="11">
        <f>Summary!$C$16*Summary!$B$8</f>
        <v/>
      </c>
      <c r="O6136" s="11">
        <f>M6136-N6136</f>
        <v/>
      </c>
    </row>
    <row r="6137">
      <c r="A6137" s="9" t="n">
        <v>45547.625</v>
      </c>
      <c r="B6137" t="n">
        <v>9</v>
      </c>
      <c r="C6137" t="n">
        <v>12</v>
      </c>
      <c r="D6137" t="n">
        <v>15</v>
      </c>
      <c r="E6137" s="10" t="n">
        <v>0.441391</v>
      </c>
      <c r="F6137" s="10" t="n">
        <v>0.3765701703768409</v>
      </c>
      <c r="G6137" s="11">
        <f>E6137*Summary!$B$6</f>
        <v/>
      </c>
      <c r="H6137" s="11">
        <f>F6137*Summary!$B$7</f>
        <v/>
      </c>
      <c r="I6137" s="11">
        <f>MAX(0,N6137-M6137)</f>
        <v/>
      </c>
      <c r="J6137" s="11">
        <f>MAX(0,M6137-N6137)</f>
        <v/>
      </c>
      <c r="K6137" s="11">
        <f>O6137</f>
        <v/>
      </c>
      <c r="L6137" s="11">
        <f>L6136+IF(K6137&gt;0,K6137*Summary!$B$9,K6137/Summary!$B$9)</f>
        <v/>
      </c>
      <c r="M6137" s="11">
        <f>G6137+H6137</f>
        <v/>
      </c>
      <c r="N6137" s="11">
        <f>Summary!$C$16*Summary!$B$8</f>
        <v/>
      </c>
      <c r="O6137" s="11">
        <f>M6137-N6137</f>
        <v/>
      </c>
    </row>
    <row r="6138">
      <c r="A6138" s="9" t="n">
        <v>45547.66666666666</v>
      </c>
      <c r="B6138" t="n">
        <v>9</v>
      </c>
      <c r="C6138" t="n">
        <v>12</v>
      </c>
      <c r="D6138" t="n">
        <v>16</v>
      </c>
      <c r="E6138" s="10" t="n">
        <v>0.248886</v>
      </c>
      <c r="F6138" s="10" t="n">
        <v>0.3722484413396259</v>
      </c>
      <c r="G6138" s="11">
        <f>E6138*Summary!$B$6</f>
        <v/>
      </c>
      <c r="H6138" s="11">
        <f>F6138*Summary!$B$7</f>
        <v/>
      </c>
      <c r="I6138" s="11">
        <f>MAX(0,N6138-M6138)</f>
        <v/>
      </c>
      <c r="J6138" s="11">
        <f>MAX(0,M6138-N6138)</f>
        <v/>
      </c>
      <c r="K6138" s="11">
        <f>O6138</f>
        <v/>
      </c>
      <c r="L6138" s="11">
        <f>L6137+IF(K6138&gt;0,K6138*Summary!$B$9,K6138/Summary!$B$9)</f>
        <v/>
      </c>
      <c r="M6138" s="11">
        <f>G6138+H6138</f>
        <v/>
      </c>
      <c r="N6138" s="11">
        <f>Summary!$C$16*Summary!$B$8</f>
        <v/>
      </c>
      <c r="O6138" s="11">
        <f>M6138-N6138</f>
        <v/>
      </c>
    </row>
    <row r="6139">
      <c r="A6139" s="9" t="n">
        <v>45547.70833333334</v>
      </c>
      <c r="B6139" t="n">
        <v>9</v>
      </c>
      <c r="C6139" t="n">
        <v>12</v>
      </c>
      <c r="D6139" t="n">
        <v>17</v>
      </c>
      <c r="E6139" s="10" t="n">
        <v>0.06555</v>
      </c>
      <c r="F6139" s="10" t="n">
        <v>0.3698767607704225</v>
      </c>
      <c r="G6139" s="11">
        <f>E6139*Summary!$B$6</f>
        <v/>
      </c>
      <c r="H6139" s="11">
        <f>F6139*Summary!$B$7</f>
        <v/>
      </c>
      <c r="I6139" s="11">
        <f>MAX(0,N6139-M6139)</f>
        <v/>
      </c>
      <c r="J6139" s="11">
        <f>MAX(0,M6139-N6139)</f>
        <v/>
      </c>
      <c r="K6139" s="11">
        <f>O6139</f>
        <v/>
      </c>
      <c r="L6139" s="11">
        <f>L6138+IF(K6139&gt;0,K6139*Summary!$B$9,K6139/Summary!$B$9)</f>
        <v/>
      </c>
      <c r="M6139" s="11">
        <f>G6139+H6139</f>
        <v/>
      </c>
      <c r="N6139" s="11">
        <f>Summary!$C$16*Summary!$B$8</f>
        <v/>
      </c>
      <c r="O6139" s="11">
        <f>M6139-N6139</f>
        <v/>
      </c>
    </row>
    <row r="6140">
      <c r="A6140" s="9" t="n">
        <v>45547.75</v>
      </c>
      <c r="B6140" t="n">
        <v>9</v>
      </c>
      <c r="C6140" t="n">
        <v>12</v>
      </c>
      <c r="D6140" t="n">
        <v>18</v>
      </c>
      <c r="E6140" s="10" t="n">
        <v>0</v>
      </c>
      <c r="F6140" s="10" t="n">
        <v>0.3835534520528284</v>
      </c>
      <c r="G6140" s="11">
        <f>E6140*Summary!$B$6</f>
        <v/>
      </c>
      <c r="H6140" s="11">
        <f>F6140*Summary!$B$7</f>
        <v/>
      </c>
      <c r="I6140" s="11">
        <f>MAX(0,N6140-M6140)</f>
        <v/>
      </c>
      <c r="J6140" s="11">
        <f>MAX(0,M6140-N6140)</f>
        <v/>
      </c>
      <c r="K6140" s="11">
        <f>O6140</f>
        <v/>
      </c>
      <c r="L6140" s="11">
        <f>L6139+IF(K6140&gt;0,K6140*Summary!$B$9,K6140/Summary!$B$9)</f>
        <v/>
      </c>
      <c r="M6140" s="11">
        <f>G6140+H6140</f>
        <v/>
      </c>
      <c r="N6140" s="11">
        <f>Summary!$C$16*Summary!$B$8</f>
        <v/>
      </c>
      <c r="O6140" s="11">
        <f>M6140-N6140</f>
        <v/>
      </c>
    </row>
    <row r="6141">
      <c r="A6141" s="9" t="n">
        <v>45547.79166666666</v>
      </c>
      <c r="B6141" t="n">
        <v>9</v>
      </c>
      <c r="C6141" t="n">
        <v>12</v>
      </c>
      <c r="D6141" t="n">
        <v>19</v>
      </c>
      <c r="E6141" s="10" t="n">
        <v>0</v>
      </c>
      <c r="F6141" s="10" t="n">
        <v>0.3980734075376178</v>
      </c>
      <c r="G6141" s="11">
        <f>E6141*Summary!$B$6</f>
        <v/>
      </c>
      <c r="H6141" s="11">
        <f>F6141*Summary!$B$7</f>
        <v/>
      </c>
      <c r="I6141" s="11">
        <f>MAX(0,N6141-M6141)</f>
        <v/>
      </c>
      <c r="J6141" s="11">
        <f>MAX(0,M6141-N6141)</f>
        <v/>
      </c>
      <c r="K6141" s="11">
        <f>O6141</f>
        <v/>
      </c>
      <c r="L6141" s="11">
        <f>L6140+IF(K6141&gt;0,K6141*Summary!$B$9,K6141/Summary!$B$9)</f>
        <v/>
      </c>
      <c r="M6141" s="11">
        <f>G6141+H6141</f>
        <v/>
      </c>
      <c r="N6141" s="11">
        <f>Summary!$C$16*Summary!$B$8</f>
        <v/>
      </c>
      <c r="O6141" s="11">
        <f>M6141-N6141</f>
        <v/>
      </c>
    </row>
    <row r="6142">
      <c r="A6142" s="9" t="n">
        <v>45547.83333333334</v>
      </c>
      <c r="B6142" t="n">
        <v>9</v>
      </c>
      <c r="C6142" t="n">
        <v>12</v>
      </c>
      <c r="D6142" t="n">
        <v>20</v>
      </c>
      <c r="E6142" s="10" t="n">
        <v>0</v>
      </c>
      <c r="F6142" s="10" t="n">
        <v>0.4145434114904187</v>
      </c>
      <c r="G6142" s="11">
        <f>E6142*Summary!$B$6</f>
        <v/>
      </c>
      <c r="H6142" s="11">
        <f>F6142*Summary!$B$7</f>
        <v/>
      </c>
      <c r="I6142" s="11">
        <f>MAX(0,N6142-M6142)</f>
        <v/>
      </c>
      <c r="J6142" s="11">
        <f>MAX(0,M6142-N6142)</f>
        <v/>
      </c>
      <c r="K6142" s="11">
        <f>O6142</f>
        <v/>
      </c>
      <c r="L6142" s="11">
        <f>L6141+IF(K6142&gt;0,K6142*Summary!$B$9,K6142/Summary!$B$9)</f>
        <v/>
      </c>
      <c r="M6142" s="11">
        <f>G6142+H6142</f>
        <v/>
      </c>
      <c r="N6142" s="11">
        <f>Summary!$C$16*Summary!$B$8</f>
        <v/>
      </c>
      <c r="O6142" s="11">
        <f>M6142-N6142</f>
        <v/>
      </c>
    </row>
    <row r="6143">
      <c r="A6143" s="9" t="n">
        <v>45547.875</v>
      </c>
      <c r="B6143" t="n">
        <v>9</v>
      </c>
      <c r="C6143" t="n">
        <v>12</v>
      </c>
      <c r="D6143" t="n">
        <v>21</v>
      </c>
      <c r="E6143" s="10" t="n">
        <v>0</v>
      </c>
      <c r="F6143" s="10" t="n">
        <v>0.4216584531980288</v>
      </c>
      <c r="G6143" s="11">
        <f>E6143*Summary!$B$6</f>
        <v/>
      </c>
      <c r="H6143" s="11">
        <f>F6143*Summary!$B$7</f>
        <v/>
      </c>
      <c r="I6143" s="11">
        <f>MAX(0,N6143-M6143)</f>
        <v/>
      </c>
      <c r="J6143" s="11">
        <f>MAX(0,M6143-N6143)</f>
        <v/>
      </c>
      <c r="K6143" s="11">
        <f>O6143</f>
        <v/>
      </c>
      <c r="L6143" s="11">
        <f>L6142+IF(K6143&gt;0,K6143*Summary!$B$9,K6143/Summary!$B$9)</f>
        <v/>
      </c>
      <c r="M6143" s="11">
        <f>G6143+H6143</f>
        <v/>
      </c>
      <c r="N6143" s="11">
        <f>Summary!$C$16*Summary!$B$8</f>
        <v/>
      </c>
      <c r="O6143" s="11">
        <f>M6143-N6143</f>
        <v/>
      </c>
    </row>
    <row r="6144">
      <c r="A6144" s="9" t="n">
        <v>45547.91666666666</v>
      </c>
      <c r="B6144" t="n">
        <v>9</v>
      </c>
      <c r="C6144" t="n">
        <v>12</v>
      </c>
      <c r="D6144" t="n">
        <v>22</v>
      </c>
      <c r="E6144" s="10" t="n">
        <v>0</v>
      </c>
      <c r="F6144" s="10" t="n">
        <v>0.4182590443821707</v>
      </c>
      <c r="G6144" s="11">
        <f>E6144*Summary!$B$6</f>
        <v/>
      </c>
      <c r="H6144" s="11">
        <f>F6144*Summary!$B$7</f>
        <v/>
      </c>
      <c r="I6144" s="11">
        <f>MAX(0,N6144-M6144)</f>
        <v/>
      </c>
      <c r="J6144" s="11">
        <f>MAX(0,M6144-N6144)</f>
        <v/>
      </c>
      <c r="K6144" s="11">
        <f>O6144</f>
        <v/>
      </c>
      <c r="L6144" s="11">
        <f>L6143+IF(K6144&gt;0,K6144*Summary!$B$9,K6144/Summary!$B$9)</f>
        <v/>
      </c>
      <c r="M6144" s="11">
        <f>G6144+H6144</f>
        <v/>
      </c>
      <c r="N6144" s="11">
        <f>Summary!$C$16*Summary!$B$8</f>
        <v/>
      </c>
      <c r="O6144" s="11">
        <f>M6144-N6144</f>
        <v/>
      </c>
    </row>
    <row r="6145">
      <c r="A6145" s="9" t="n">
        <v>45547.95833333334</v>
      </c>
      <c r="B6145" t="n">
        <v>9</v>
      </c>
      <c r="C6145" t="n">
        <v>12</v>
      </c>
      <c r="D6145" t="n">
        <v>23</v>
      </c>
      <c r="E6145" s="10" t="n">
        <v>0</v>
      </c>
      <c r="F6145" s="10" t="n">
        <v>0.4138846113323067</v>
      </c>
      <c r="G6145" s="11">
        <f>E6145*Summary!$B$6</f>
        <v/>
      </c>
      <c r="H6145" s="11">
        <f>F6145*Summary!$B$7</f>
        <v/>
      </c>
      <c r="I6145" s="11">
        <f>MAX(0,N6145-M6145)</f>
        <v/>
      </c>
      <c r="J6145" s="11">
        <f>MAX(0,M6145-N6145)</f>
        <v/>
      </c>
      <c r="K6145" s="11">
        <f>O6145</f>
        <v/>
      </c>
      <c r="L6145" s="11">
        <f>L6144+IF(K6145&gt;0,K6145*Summary!$B$9,K6145/Summary!$B$9)</f>
        <v/>
      </c>
      <c r="M6145" s="11">
        <f>G6145+H6145</f>
        <v/>
      </c>
      <c r="N6145" s="11">
        <f>Summary!$C$16*Summary!$B$8</f>
        <v/>
      </c>
      <c r="O6145" s="11">
        <f>M6145-N6145</f>
        <v/>
      </c>
    </row>
    <row r="6146">
      <c r="A6146" s="9" t="n">
        <v>45548</v>
      </c>
      <c r="B6146" t="n">
        <v>9</v>
      </c>
      <c r="C6146" t="n">
        <v>13</v>
      </c>
      <c r="D6146" t="n">
        <v>0</v>
      </c>
      <c r="E6146" s="10" t="n">
        <v>0</v>
      </c>
      <c r="F6146" s="10" t="n">
        <v>0.2966972392073374</v>
      </c>
      <c r="G6146" s="11">
        <f>E6146*Summary!$B$6</f>
        <v/>
      </c>
      <c r="H6146" s="11">
        <f>F6146*Summary!$B$7</f>
        <v/>
      </c>
      <c r="I6146" s="11">
        <f>MAX(0,N6146-M6146)</f>
        <v/>
      </c>
      <c r="J6146" s="11">
        <f>MAX(0,M6146-N6146)</f>
        <v/>
      </c>
      <c r="K6146" s="11">
        <f>O6146</f>
        <v/>
      </c>
      <c r="L6146" s="11">
        <f>L6145+IF(K6146&gt;0,K6146*Summary!$B$9,K6146/Summary!$B$9)</f>
        <v/>
      </c>
      <c r="M6146" s="11">
        <f>G6146+H6146</f>
        <v/>
      </c>
      <c r="N6146" s="11">
        <f>Summary!$C$16*Summary!$B$8</f>
        <v/>
      </c>
      <c r="O6146" s="11">
        <f>M6146-N6146</f>
        <v/>
      </c>
    </row>
    <row r="6147">
      <c r="A6147" s="9" t="n">
        <v>45548.04166666666</v>
      </c>
      <c r="B6147" t="n">
        <v>9</v>
      </c>
      <c r="C6147" t="n">
        <v>13</v>
      </c>
      <c r="D6147" t="n">
        <v>1</v>
      </c>
      <c r="E6147" s="10" t="n">
        <v>0</v>
      </c>
      <c r="F6147" s="10" t="n">
        <v>0.4005504961321191</v>
      </c>
      <c r="G6147" s="11">
        <f>E6147*Summary!$B$6</f>
        <v/>
      </c>
      <c r="H6147" s="11">
        <f>F6147*Summary!$B$7</f>
        <v/>
      </c>
      <c r="I6147" s="11">
        <f>MAX(0,N6147-M6147)</f>
        <v/>
      </c>
      <c r="J6147" s="11">
        <f>MAX(0,M6147-N6147)</f>
        <v/>
      </c>
      <c r="K6147" s="11">
        <f>O6147</f>
        <v/>
      </c>
      <c r="L6147" s="11">
        <f>L6146+IF(K6147&gt;0,K6147*Summary!$B$9,K6147/Summary!$B$9)</f>
        <v/>
      </c>
      <c r="M6147" s="11">
        <f>G6147+H6147</f>
        <v/>
      </c>
      <c r="N6147" s="11">
        <f>Summary!$C$16*Summary!$B$8</f>
        <v/>
      </c>
      <c r="O6147" s="11">
        <f>M6147-N6147</f>
        <v/>
      </c>
    </row>
    <row r="6148">
      <c r="A6148" s="9" t="n">
        <v>45548.08333333334</v>
      </c>
      <c r="B6148" t="n">
        <v>9</v>
      </c>
      <c r="C6148" t="n">
        <v>13</v>
      </c>
      <c r="D6148" t="n">
        <v>2</v>
      </c>
      <c r="E6148" s="10" t="n">
        <v>0</v>
      </c>
      <c r="F6148" s="10" t="n">
        <v>0.3878751810900435</v>
      </c>
      <c r="G6148" s="11">
        <f>E6148*Summary!$B$6</f>
        <v/>
      </c>
      <c r="H6148" s="11">
        <f>F6148*Summary!$B$7</f>
        <v/>
      </c>
      <c r="I6148" s="11">
        <f>MAX(0,N6148-M6148)</f>
        <v/>
      </c>
      <c r="J6148" s="11">
        <f>MAX(0,M6148-N6148)</f>
        <v/>
      </c>
      <c r="K6148" s="11">
        <f>O6148</f>
        <v/>
      </c>
      <c r="L6148" s="11">
        <f>L6147+IF(K6148&gt;0,K6148*Summary!$B$9,K6148/Summary!$B$9)</f>
        <v/>
      </c>
      <c r="M6148" s="11">
        <f>G6148+H6148</f>
        <v/>
      </c>
      <c r="N6148" s="11">
        <f>Summary!$C$16*Summary!$B$8</f>
        <v/>
      </c>
      <c r="O6148" s="11">
        <f>M6148-N6148</f>
        <v/>
      </c>
    </row>
    <row r="6149">
      <c r="A6149" s="9" t="n">
        <v>45548.125</v>
      </c>
      <c r="B6149" t="n">
        <v>9</v>
      </c>
      <c r="C6149" t="n">
        <v>13</v>
      </c>
      <c r="D6149" t="n">
        <v>3</v>
      </c>
      <c r="E6149" s="10" t="n">
        <v>0</v>
      </c>
      <c r="F6149" s="10" t="n">
        <v>0.3748836419720741</v>
      </c>
      <c r="G6149" s="11">
        <f>E6149*Summary!$B$6</f>
        <v/>
      </c>
      <c r="H6149" s="11">
        <f>F6149*Summary!$B$7</f>
        <v/>
      </c>
      <c r="I6149" s="11">
        <f>MAX(0,N6149-M6149)</f>
        <v/>
      </c>
      <c r="J6149" s="11">
        <f>MAX(0,M6149-N6149)</f>
        <v/>
      </c>
      <c r="K6149" s="11">
        <f>O6149</f>
        <v/>
      </c>
      <c r="L6149" s="11">
        <f>L6148+IF(K6149&gt;0,K6149*Summary!$B$9,K6149/Summary!$B$9)</f>
        <v/>
      </c>
      <c r="M6149" s="11">
        <f>G6149+H6149</f>
        <v/>
      </c>
      <c r="N6149" s="11">
        <f>Summary!$C$16*Summary!$B$8</f>
        <v/>
      </c>
      <c r="O6149" s="11">
        <f>M6149-N6149</f>
        <v/>
      </c>
    </row>
    <row r="6150">
      <c r="A6150" s="9" t="n">
        <v>45548.16666666666</v>
      </c>
      <c r="B6150" t="n">
        <v>9</v>
      </c>
      <c r="C6150" t="n">
        <v>13</v>
      </c>
      <c r="D6150" t="n">
        <v>4</v>
      </c>
      <c r="E6150" s="10" t="n">
        <v>0</v>
      </c>
      <c r="F6150" s="10" t="n">
        <v>0.3632624071829777</v>
      </c>
      <c r="G6150" s="11">
        <f>E6150*Summary!$B$6</f>
        <v/>
      </c>
      <c r="H6150" s="11">
        <f>F6150*Summary!$B$7</f>
        <v/>
      </c>
      <c r="I6150" s="11">
        <f>MAX(0,N6150-M6150)</f>
        <v/>
      </c>
      <c r="J6150" s="11">
        <f>MAX(0,M6150-N6150)</f>
        <v/>
      </c>
      <c r="K6150" s="11">
        <f>O6150</f>
        <v/>
      </c>
      <c r="L6150" s="11">
        <f>L6149+IF(K6150&gt;0,K6150*Summary!$B$9,K6150/Summary!$B$9)</f>
        <v/>
      </c>
      <c r="M6150" s="11">
        <f>G6150+H6150</f>
        <v/>
      </c>
      <c r="N6150" s="11">
        <f>Summary!$C$16*Summary!$B$8</f>
        <v/>
      </c>
      <c r="O6150" s="11">
        <f>M6150-N6150</f>
        <v/>
      </c>
    </row>
    <row r="6151">
      <c r="A6151" s="9" t="n">
        <v>45548.20833333334</v>
      </c>
      <c r="B6151" t="n">
        <v>9</v>
      </c>
      <c r="C6151" t="n">
        <v>13</v>
      </c>
      <c r="D6151" t="n">
        <v>5</v>
      </c>
      <c r="E6151" s="10" t="n">
        <v>0</v>
      </c>
      <c r="F6151" s="10" t="n">
        <v>0.350797908191498</v>
      </c>
      <c r="G6151" s="11">
        <f>E6151*Summary!$B$6</f>
        <v/>
      </c>
      <c r="H6151" s="11">
        <f>F6151*Summary!$B$7</f>
        <v/>
      </c>
      <c r="I6151" s="11">
        <f>MAX(0,N6151-M6151)</f>
        <v/>
      </c>
      <c r="J6151" s="11">
        <f>MAX(0,M6151-N6151)</f>
        <v/>
      </c>
      <c r="K6151" s="11">
        <f>O6151</f>
        <v/>
      </c>
      <c r="L6151" s="11">
        <f>L6150+IF(K6151&gt;0,K6151*Summary!$B$9,K6151/Summary!$B$9)</f>
        <v/>
      </c>
      <c r="M6151" s="11">
        <f>G6151+H6151</f>
        <v/>
      </c>
      <c r="N6151" s="11">
        <f>Summary!$C$16*Summary!$B$8</f>
        <v/>
      </c>
      <c r="O6151" s="11">
        <f>M6151-N6151</f>
        <v/>
      </c>
    </row>
    <row r="6152">
      <c r="A6152" s="9" t="n">
        <v>45548.25</v>
      </c>
      <c r="B6152" t="n">
        <v>9</v>
      </c>
      <c r="C6152" t="n">
        <v>13</v>
      </c>
      <c r="D6152" t="n">
        <v>6</v>
      </c>
      <c r="E6152" s="10" t="n">
        <v>0.030303</v>
      </c>
      <c r="F6152" s="10" t="n">
        <v>0.3356455045549211</v>
      </c>
      <c r="G6152" s="11">
        <f>E6152*Summary!$B$6</f>
        <v/>
      </c>
      <c r="H6152" s="11">
        <f>F6152*Summary!$B$7</f>
        <v/>
      </c>
      <c r="I6152" s="11">
        <f>MAX(0,N6152-M6152)</f>
        <v/>
      </c>
      <c r="J6152" s="11">
        <f>MAX(0,M6152-N6152)</f>
        <v/>
      </c>
      <c r="K6152" s="11">
        <f>O6152</f>
        <v/>
      </c>
      <c r="L6152" s="11">
        <f>L6151+IF(K6152&gt;0,K6152*Summary!$B$9,K6152/Summary!$B$9)</f>
        <v/>
      </c>
      <c r="M6152" s="11">
        <f>G6152+H6152</f>
        <v/>
      </c>
      <c r="N6152" s="11">
        <f>Summary!$C$16*Summary!$B$8</f>
        <v/>
      </c>
      <c r="O6152" s="11">
        <f>M6152-N6152</f>
        <v/>
      </c>
    </row>
    <row r="6153">
      <c r="A6153" s="9" t="n">
        <v>45548.29166666666</v>
      </c>
      <c r="B6153" t="n">
        <v>9</v>
      </c>
      <c r="C6153" t="n">
        <v>13</v>
      </c>
      <c r="D6153" t="n">
        <v>7</v>
      </c>
      <c r="E6153" s="10" t="n">
        <v>0.145835</v>
      </c>
      <c r="F6153" s="10" t="n">
        <v>0.3121922189261325</v>
      </c>
      <c r="G6153" s="11">
        <f>E6153*Summary!$B$6</f>
        <v/>
      </c>
      <c r="H6153" s="11">
        <f>F6153*Summary!$B$7</f>
        <v/>
      </c>
      <c r="I6153" s="11">
        <f>MAX(0,N6153-M6153)</f>
        <v/>
      </c>
      <c r="J6153" s="11">
        <f>MAX(0,M6153-N6153)</f>
        <v/>
      </c>
      <c r="K6153" s="11">
        <f>O6153</f>
        <v/>
      </c>
      <c r="L6153" s="11">
        <f>L6152+IF(K6153&gt;0,K6153*Summary!$B$9,K6153/Summary!$B$9)</f>
        <v/>
      </c>
      <c r="M6153" s="11">
        <f>G6153+H6153</f>
        <v/>
      </c>
      <c r="N6153" s="11">
        <f>Summary!$C$16*Summary!$B$8</f>
        <v/>
      </c>
      <c r="O6153" s="11">
        <f>M6153-N6153</f>
        <v/>
      </c>
    </row>
    <row r="6154">
      <c r="A6154" s="9" t="n">
        <v>45548.33333333334</v>
      </c>
      <c r="B6154" t="n">
        <v>9</v>
      </c>
      <c r="C6154" t="n">
        <v>13</v>
      </c>
      <c r="D6154" t="n">
        <v>8</v>
      </c>
      <c r="E6154" s="10" t="n">
        <v>0.288712</v>
      </c>
      <c r="F6154" s="10" t="n">
        <v>0.2966445351946884</v>
      </c>
      <c r="G6154" s="11">
        <f>E6154*Summary!$B$6</f>
        <v/>
      </c>
      <c r="H6154" s="11">
        <f>F6154*Summary!$B$7</f>
        <v/>
      </c>
      <c r="I6154" s="11">
        <f>MAX(0,N6154-M6154)</f>
        <v/>
      </c>
      <c r="J6154" s="11">
        <f>MAX(0,M6154-N6154)</f>
        <v/>
      </c>
      <c r="K6154" s="11">
        <f>O6154</f>
        <v/>
      </c>
      <c r="L6154" s="11">
        <f>L6153+IF(K6154&gt;0,K6154*Summary!$B$9,K6154/Summary!$B$9)</f>
        <v/>
      </c>
      <c r="M6154" s="11">
        <f>G6154+H6154</f>
        <v/>
      </c>
      <c r="N6154" s="11">
        <f>Summary!$C$16*Summary!$B$8</f>
        <v/>
      </c>
      <c r="O6154" s="11">
        <f>M6154-N6154</f>
        <v/>
      </c>
    </row>
    <row r="6155">
      <c r="A6155" s="9" t="n">
        <v>45548.375</v>
      </c>
      <c r="B6155" t="n">
        <v>9</v>
      </c>
      <c r="C6155" t="n">
        <v>13</v>
      </c>
      <c r="D6155" t="n">
        <v>9</v>
      </c>
      <c r="E6155" s="10" t="n">
        <v>0.217981</v>
      </c>
      <c r="F6155" s="10" t="n">
        <v>0.289345029442807</v>
      </c>
      <c r="G6155" s="11">
        <f>E6155*Summary!$B$6</f>
        <v/>
      </c>
      <c r="H6155" s="11">
        <f>F6155*Summary!$B$7</f>
        <v/>
      </c>
      <c r="I6155" s="11">
        <f>MAX(0,N6155-M6155)</f>
        <v/>
      </c>
      <c r="J6155" s="11">
        <f>MAX(0,M6155-N6155)</f>
        <v/>
      </c>
      <c r="K6155" s="11">
        <f>O6155</f>
        <v/>
      </c>
      <c r="L6155" s="11">
        <f>L6154+IF(K6155&gt;0,K6155*Summary!$B$9,K6155/Summary!$B$9)</f>
        <v/>
      </c>
      <c r="M6155" s="11">
        <f>G6155+H6155</f>
        <v/>
      </c>
      <c r="N6155" s="11">
        <f>Summary!$C$16*Summary!$B$8</f>
        <v/>
      </c>
      <c r="O6155" s="11">
        <f>M6155-N6155</f>
        <v/>
      </c>
    </row>
    <row r="6156">
      <c r="A6156" s="9" t="n">
        <v>45548.41666666666</v>
      </c>
      <c r="B6156" t="n">
        <v>9</v>
      </c>
      <c r="C6156" t="n">
        <v>13</v>
      </c>
      <c r="D6156" t="n">
        <v>10</v>
      </c>
      <c r="E6156" s="10" t="n">
        <v>0.497736</v>
      </c>
      <c r="F6156" s="10" t="n">
        <v>0.2882118931708544</v>
      </c>
      <c r="G6156" s="11">
        <f>E6156*Summary!$B$6</f>
        <v/>
      </c>
      <c r="H6156" s="11">
        <f>F6156*Summary!$B$7</f>
        <v/>
      </c>
      <c r="I6156" s="11">
        <f>MAX(0,N6156-M6156)</f>
        <v/>
      </c>
      <c r="J6156" s="11">
        <f>MAX(0,M6156-N6156)</f>
        <v/>
      </c>
      <c r="K6156" s="11">
        <f>O6156</f>
        <v/>
      </c>
      <c r="L6156" s="11">
        <f>L6155+IF(K6156&gt;0,K6156*Summary!$B$9,K6156/Summary!$B$9)</f>
        <v/>
      </c>
      <c r="M6156" s="11">
        <f>G6156+H6156</f>
        <v/>
      </c>
      <c r="N6156" s="11">
        <f>Summary!$C$16*Summary!$B$8</f>
        <v/>
      </c>
      <c r="O6156" s="11">
        <f>M6156-N6156</f>
        <v/>
      </c>
    </row>
    <row r="6157">
      <c r="A6157" s="9" t="n">
        <v>45548.45833333334</v>
      </c>
      <c r="B6157" t="n">
        <v>9</v>
      </c>
      <c r="C6157" t="n">
        <v>13</v>
      </c>
      <c r="D6157" t="n">
        <v>11</v>
      </c>
      <c r="E6157" s="10" t="n">
        <v>0.247087</v>
      </c>
      <c r="F6157" s="10" t="n">
        <v>0.288080133139232</v>
      </c>
      <c r="G6157" s="11">
        <f>E6157*Summary!$B$6</f>
        <v/>
      </c>
      <c r="H6157" s="11">
        <f>F6157*Summary!$B$7</f>
        <v/>
      </c>
      <c r="I6157" s="11">
        <f>MAX(0,N6157-M6157)</f>
        <v/>
      </c>
      <c r="J6157" s="11">
        <f>MAX(0,M6157-N6157)</f>
        <v/>
      </c>
      <c r="K6157" s="11">
        <f>O6157</f>
        <v/>
      </c>
      <c r="L6157" s="11">
        <f>L6156+IF(K6157&gt;0,K6157*Summary!$B$9,K6157/Summary!$B$9)</f>
        <v/>
      </c>
      <c r="M6157" s="11">
        <f>G6157+H6157</f>
        <v/>
      </c>
      <c r="N6157" s="11">
        <f>Summary!$C$16*Summary!$B$8</f>
        <v/>
      </c>
      <c r="O6157" s="11">
        <f>M6157-N6157</f>
        <v/>
      </c>
    </row>
    <row r="6158">
      <c r="A6158" s="9" t="n">
        <v>45548.5</v>
      </c>
      <c r="B6158" t="n">
        <v>9</v>
      </c>
      <c r="C6158" t="n">
        <v>13</v>
      </c>
      <c r="D6158" t="n">
        <v>12</v>
      </c>
      <c r="E6158" s="10" t="n">
        <v>0.687922</v>
      </c>
      <c r="F6158" s="10" t="n">
        <v>0.2877902610696627</v>
      </c>
      <c r="G6158" s="11">
        <f>E6158*Summary!$B$6</f>
        <v/>
      </c>
      <c r="H6158" s="11">
        <f>F6158*Summary!$B$7</f>
        <v/>
      </c>
      <c r="I6158" s="11">
        <f>MAX(0,N6158-M6158)</f>
        <v/>
      </c>
      <c r="J6158" s="11">
        <f>MAX(0,M6158-N6158)</f>
        <v/>
      </c>
      <c r="K6158" s="11">
        <f>O6158</f>
        <v/>
      </c>
      <c r="L6158" s="11">
        <f>L6157+IF(K6158&gt;0,K6158*Summary!$B$9,K6158/Summary!$B$9)</f>
        <v/>
      </c>
      <c r="M6158" s="11">
        <f>G6158+H6158</f>
        <v/>
      </c>
      <c r="N6158" s="11">
        <f>Summary!$C$16*Summary!$B$8</f>
        <v/>
      </c>
      <c r="O6158" s="11">
        <f>M6158-N6158</f>
        <v/>
      </c>
    </row>
    <row r="6159">
      <c r="A6159" s="9" t="n">
        <v>45548.54166666666</v>
      </c>
      <c r="B6159" t="n">
        <v>9</v>
      </c>
      <c r="C6159" t="n">
        <v>13</v>
      </c>
      <c r="D6159" t="n">
        <v>13</v>
      </c>
      <c r="E6159" s="10" t="n">
        <v>0.626762</v>
      </c>
      <c r="F6159" s="10" t="n">
        <v>0.2828624358869846</v>
      </c>
      <c r="G6159" s="11">
        <f>E6159*Summary!$B$6</f>
        <v/>
      </c>
      <c r="H6159" s="11">
        <f>F6159*Summary!$B$7</f>
        <v/>
      </c>
      <c r="I6159" s="11">
        <f>MAX(0,N6159-M6159)</f>
        <v/>
      </c>
      <c r="J6159" s="11">
        <f>MAX(0,M6159-N6159)</f>
        <v/>
      </c>
      <c r="K6159" s="11">
        <f>O6159</f>
        <v/>
      </c>
      <c r="L6159" s="11">
        <f>L6158+IF(K6159&gt;0,K6159*Summary!$B$9,K6159/Summary!$B$9)</f>
        <v/>
      </c>
      <c r="M6159" s="11">
        <f>G6159+H6159</f>
        <v/>
      </c>
      <c r="N6159" s="11">
        <f>Summary!$C$16*Summary!$B$8</f>
        <v/>
      </c>
      <c r="O6159" s="11">
        <f>M6159-N6159</f>
        <v/>
      </c>
    </row>
    <row r="6160">
      <c r="A6160" s="9" t="n">
        <v>45548.58333333334</v>
      </c>
      <c r="B6160" t="n">
        <v>9</v>
      </c>
      <c r="C6160" t="n">
        <v>13</v>
      </c>
      <c r="D6160" t="n">
        <v>14</v>
      </c>
      <c r="E6160" s="10" t="n">
        <v>0.432702</v>
      </c>
      <c r="F6160" s="10" t="n">
        <v>0.3046818971236553</v>
      </c>
      <c r="G6160" s="11">
        <f>E6160*Summary!$B$6</f>
        <v/>
      </c>
      <c r="H6160" s="11">
        <f>F6160*Summary!$B$7</f>
        <v/>
      </c>
      <c r="I6160" s="11">
        <f>MAX(0,N6160-M6160)</f>
        <v/>
      </c>
      <c r="J6160" s="11">
        <f>MAX(0,M6160-N6160)</f>
        <v/>
      </c>
      <c r="K6160" s="11">
        <f>O6160</f>
        <v/>
      </c>
      <c r="L6160" s="11">
        <f>L6159+IF(K6160&gt;0,K6160*Summary!$B$9,K6160/Summary!$B$9)</f>
        <v/>
      </c>
      <c r="M6160" s="11">
        <f>G6160+H6160</f>
        <v/>
      </c>
      <c r="N6160" s="11">
        <f>Summary!$C$16*Summary!$B$8</f>
        <v/>
      </c>
      <c r="O6160" s="11">
        <f>M6160-N6160</f>
        <v/>
      </c>
    </row>
    <row r="6161">
      <c r="A6161" s="9" t="n">
        <v>45548.625</v>
      </c>
      <c r="B6161" t="n">
        <v>9</v>
      </c>
      <c r="C6161" t="n">
        <v>13</v>
      </c>
      <c r="D6161" t="n">
        <v>15</v>
      </c>
      <c r="E6161" s="10" t="n">
        <v>0.317783</v>
      </c>
      <c r="F6161" s="10" t="n">
        <v>0.2746933139263953</v>
      </c>
      <c r="G6161" s="11">
        <f>E6161*Summary!$B$6</f>
        <v/>
      </c>
      <c r="H6161" s="11">
        <f>F6161*Summary!$B$7</f>
        <v/>
      </c>
      <c r="I6161" s="11">
        <f>MAX(0,N6161-M6161)</f>
        <v/>
      </c>
      <c r="J6161" s="11">
        <f>MAX(0,M6161-N6161)</f>
        <v/>
      </c>
      <c r="K6161" s="11">
        <f>O6161</f>
        <v/>
      </c>
      <c r="L6161" s="11">
        <f>L6160+IF(K6161&gt;0,K6161*Summary!$B$9,K6161/Summary!$B$9)</f>
        <v/>
      </c>
      <c r="M6161" s="11">
        <f>G6161+H6161</f>
        <v/>
      </c>
      <c r="N6161" s="11">
        <f>Summary!$C$16*Summary!$B$8</f>
        <v/>
      </c>
      <c r="O6161" s="11">
        <f>M6161-N6161</f>
        <v/>
      </c>
    </row>
    <row r="6162">
      <c r="A6162" s="9" t="n">
        <v>45548.66666666666</v>
      </c>
      <c r="B6162" t="n">
        <v>9</v>
      </c>
      <c r="C6162" t="n">
        <v>13</v>
      </c>
      <c r="D6162" t="n">
        <v>16</v>
      </c>
      <c r="E6162" s="10" t="n">
        <v>0.159222</v>
      </c>
      <c r="F6162" s="10" t="n">
        <v>0.264442383466172</v>
      </c>
      <c r="G6162" s="11">
        <f>E6162*Summary!$B$6</f>
        <v/>
      </c>
      <c r="H6162" s="11">
        <f>F6162*Summary!$B$7</f>
        <v/>
      </c>
      <c r="I6162" s="11">
        <f>MAX(0,N6162-M6162)</f>
        <v/>
      </c>
      <c r="J6162" s="11">
        <f>MAX(0,M6162-N6162)</f>
        <v/>
      </c>
      <c r="K6162" s="11">
        <f>O6162</f>
        <v/>
      </c>
      <c r="L6162" s="11">
        <f>L6161+IF(K6162&gt;0,K6162*Summary!$B$9,K6162/Summary!$B$9)</f>
        <v/>
      </c>
      <c r="M6162" s="11">
        <f>G6162+H6162</f>
        <v/>
      </c>
      <c r="N6162" s="11">
        <f>Summary!$C$16*Summary!$B$8</f>
        <v/>
      </c>
      <c r="O6162" s="11">
        <f>M6162-N6162</f>
        <v/>
      </c>
    </row>
    <row r="6163">
      <c r="A6163" s="9" t="n">
        <v>45548.70833333334</v>
      </c>
      <c r="B6163" t="n">
        <v>9</v>
      </c>
      <c r="C6163" t="n">
        <v>13</v>
      </c>
      <c r="D6163" t="n">
        <v>17</v>
      </c>
      <c r="E6163" s="10" t="n">
        <v>0.039117</v>
      </c>
      <c r="F6163" s="10" t="n">
        <v>0.2591983342076002</v>
      </c>
      <c r="G6163" s="11">
        <f>E6163*Summary!$B$6</f>
        <v/>
      </c>
      <c r="H6163" s="11">
        <f>F6163*Summary!$B$7</f>
        <v/>
      </c>
      <c r="I6163" s="11">
        <f>MAX(0,N6163-M6163)</f>
        <v/>
      </c>
      <c r="J6163" s="11">
        <f>MAX(0,M6163-N6163)</f>
        <v/>
      </c>
      <c r="K6163" s="11">
        <f>O6163</f>
        <v/>
      </c>
      <c r="L6163" s="11">
        <f>L6162+IF(K6163&gt;0,K6163*Summary!$B$9,K6163/Summary!$B$9)</f>
        <v/>
      </c>
      <c r="M6163" s="11">
        <f>G6163+H6163</f>
        <v/>
      </c>
      <c r="N6163" s="11">
        <f>Summary!$C$16*Summary!$B$8</f>
        <v/>
      </c>
      <c r="O6163" s="11">
        <f>M6163-N6163</f>
        <v/>
      </c>
    </row>
    <row r="6164">
      <c r="A6164" s="9" t="n">
        <v>45548.75</v>
      </c>
      <c r="B6164" t="n">
        <v>9</v>
      </c>
      <c r="C6164" t="n">
        <v>13</v>
      </c>
      <c r="D6164" t="n">
        <v>18</v>
      </c>
      <c r="E6164" s="10" t="n">
        <v>0</v>
      </c>
      <c r="F6164" s="10" t="n">
        <v>0.2697391367373928</v>
      </c>
      <c r="G6164" s="11">
        <f>E6164*Summary!$B$6</f>
        <v/>
      </c>
      <c r="H6164" s="11">
        <f>F6164*Summary!$B$7</f>
        <v/>
      </c>
      <c r="I6164" s="11">
        <f>MAX(0,N6164-M6164)</f>
        <v/>
      </c>
      <c r="J6164" s="11">
        <f>MAX(0,M6164-N6164)</f>
        <v/>
      </c>
      <c r="K6164" s="11">
        <f>O6164</f>
        <v/>
      </c>
      <c r="L6164" s="11">
        <f>L6163+IF(K6164&gt;0,K6164*Summary!$B$9,K6164/Summary!$B$9)</f>
        <v/>
      </c>
      <c r="M6164" s="11">
        <f>G6164+H6164</f>
        <v/>
      </c>
      <c r="N6164" s="11">
        <f>Summary!$C$16*Summary!$B$8</f>
        <v/>
      </c>
      <c r="O6164" s="11">
        <f>M6164-N6164</f>
        <v/>
      </c>
    </row>
    <row r="6165">
      <c r="A6165" s="9" t="n">
        <v>45548.79166666666</v>
      </c>
      <c r="B6165" t="n">
        <v>9</v>
      </c>
      <c r="C6165" t="n">
        <v>13</v>
      </c>
      <c r="D6165" t="n">
        <v>19</v>
      </c>
      <c r="E6165" s="10" t="n">
        <v>0</v>
      </c>
      <c r="F6165" s="10" t="n">
        <v>0.2892396214175091</v>
      </c>
      <c r="G6165" s="11">
        <f>E6165*Summary!$B$6</f>
        <v/>
      </c>
      <c r="H6165" s="11">
        <f>F6165*Summary!$B$7</f>
        <v/>
      </c>
      <c r="I6165" s="11">
        <f>MAX(0,N6165-M6165)</f>
        <v/>
      </c>
      <c r="J6165" s="11">
        <f>MAX(0,M6165-N6165)</f>
        <v/>
      </c>
      <c r="K6165" s="11">
        <f>O6165</f>
        <v/>
      </c>
      <c r="L6165" s="11">
        <f>L6164+IF(K6165&gt;0,K6165*Summary!$B$9,K6165/Summary!$B$9)</f>
        <v/>
      </c>
      <c r="M6165" s="11">
        <f>G6165+H6165</f>
        <v/>
      </c>
      <c r="N6165" s="11">
        <f>Summary!$C$16*Summary!$B$8</f>
        <v/>
      </c>
      <c r="O6165" s="11">
        <f>M6165-N6165</f>
        <v/>
      </c>
    </row>
    <row r="6166">
      <c r="A6166" s="9" t="n">
        <v>45548.83333333334</v>
      </c>
      <c r="B6166" t="n">
        <v>9</v>
      </c>
      <c r="C6166" t="n">
        <v>13</v>
      </c>
      <c r="D6166" t="n">
        <v>20</v>
      </c>
      <c r="E6166" s="10" t="n">
        <v>0</v>
      </c>
      <c r="F6166" s="10" t="n">
        <v>0.3052089372501449</v>
      </c>
      <c r="G6166" s="11">
        <f>E6166*Summary!$B$6</f>
        <v/>
      </c>
      <c r="H6166" s="11">
        <f>F6166*Summary!$B$7</f>
        <v/>
      </c>
      <c r="I6166" s="11">
        <f>MAX(0,N6166-M6166)</f>
        <v/>
      </c>
      <c r="J6166" s="11">
        <f>MAX(0,M6166-N6166)</f>
        <v/>
      </c>
      <c r="K6166" s="11">
        <f>O6166</f>
        <v/>
      </c>
      <c r="L6166" s="11">
        <f>L6165+IF(K6166&gt;0,K6166*Summary!$B$9,K6166/Summary!$B$9)</f>
        <v/>
      </c>
      <c r="M6166" s="11">
        <f>G6166+H6166</f>
        <v/>
      </c>
      <c r="N6166" s="11">
        <f>Summary!$C$16*Summary!$B$8</f>
        <v/>
      </c>
      <c r="O6166" s="11">
        <f>M6166-N6166</f>
        <v/>
      </c>
    </row>
    <row r="6167">
      <c r="A6167" s="9" t="n">
        <v>45548.875</v>
      </c>
      <c r="B6167" t="n">
        <v>9</v>
      </c>
      <c r="C6167" t="n">
        <v>13</v>
      </c>
      <c r="D6167" t="n">
        <v>21</v>
      </c>
      <c r="E6167" s="10" t="n">
        <v>0</v>
      </c>
      <c r="F6167" s="10" t="n">
        <v>0.3143267314384156</v>
      </c>
      <c r="G6167" s="11">
        <f>E6167*Summary!$B$6</f>
        <v/>
      </c>
      <c r="H6167" s="11">
        <f>F6167*Summary!$B$7</f>
        <v/>
      </c>
      <c r="I6167" s="11">
        <f>MAX(0,N6167-M6167)</f>
        <v/>
      </c>
      <c r="J6167" s="11">
        <f>MAX(0,M6167-N6167)</f>
        <v/>
      </c>
      <c r="K6167" s="11">
        <f>O6167</f>
        <v/>
      </c>
      <c r="L6167" s="11">
        <f>L6166+IF(K6167&gt;0,K6167*Summary!$B$9,K6167/Summary!$B$9)</f>
        <v/>
      </c>
      <c r="M6167" s="11">
        <f>G6167+H6167</f>
        <v/>
      </c>
      <c r="N6167" s="11">
        <f>Summary!$C$16*Summary!$B$8</f>
        <v/>
      </c>
      <c r="O6167" s="11">
        <f>M6167-N6167</f>
        <v/>
      </c>
    </row>
    <row r="6168">
      <c r="A6168" s="9" t="n">
        <v>45548.91666666666</v>
      </c>
      <c r="B6168" t="n">
        <v>9</v>
      </c>
      <c r="C6168" t="n">
        <v>13</v>
      </c>
      <c r="D6168" t="n">
        <v>22</v>
      </c>
      <c r="E6168" s="10" t="n">
        <v>0</v>
      </c>
      <c r="F6168" s="10" t="n">
        <v>0.3104529865087168</v>
      </c>
      <c r="G6168" s="11">
        <f>E6168*Summary!$B$6</f>
        <v/>
      </c>
      <c r="H6168" s="11">
        <f>F6168*Summary!$B$7</f>
        <v/>
      </c>
      <c r="I6168" s="11">
        <f>MAX(0,N6168-M6168)</f>
        <v/>
      </c>
      <c r="J6168" s="11">
        <f>MAX(0,M6168-N6168)</f>
        <v/>
      </c>
      <c r="K6168" s="11">
        <f>O6168</f>
        <v/>
      </c>
      <c r="L6168" s="11">
        <f>L6167+IF(K6168&gt;0,K6168*Summary!$B$9,K6168/Summary!$B$9)</f>
        <v/>
      </c>
      <c r="M6168" s="11">
        <f>G6168+H6168</f>
        <v/>
      </c>
      <c r="N6168" s="11">
        <f>Summary!$C$16*Summary!$B$8</f>
        <v/>
      </c>
      <c r="O6168" s="11">
        <f>M6168-N6168</f>
        <v/>
      </c>
    </row>
    <row r="6169">
      <c r="A6169" s="9" t="n">
        <v>45548.95833333334</v>
      </c>
      <c r="B6169" t="n">
        <v>9</v>
      </c>
      <c r="C6169" t="n">
        <v>13</v>
      </c>
      <c r="D6169" t="n">
        <v>23</v>
      </c>
      <c r="E6169" s="10" t="n">
        <v>0</v>
      </c>
      <c r="F6169" s="10" t="n">
        <v>0.2798319551596692</v>
      </c>
      <c r="G6169" s="11">
        <f>E6169*Summary!$B$6</f>
        <v/>
      </c>
      <c r="H6169" s="11">
        <f>F6169*Summary!$B$7</f>
        <v/>
      </c>
      <c r="I6169" s="11">
        <f>MAX(0,N6169-M6169)</f>
        <v/>
      </c>
      <c r="J6169" s="11">
        <f>MAX(0,M6169-N6169)</f>
        <v/>
      </c>
      <c r="K6169" s="11">
        <f>O6169</f>
        <v/>
      </c>
      <c r="L6169" s="11">
        <f>L6168+IF(K6169&gt;0,K6169*Summary!$B$9,K6169/Summary!$B$9)</f>
        <v/>
      </c>
      <c r="M6169" s="11">
        <f>G6169+H6169</f>
        <v/>
      </c>
      <c r="N6169" s="11">
        <f>Summary!$C$16*Summary!$B$8</f>
        <v/>
      </c>
      <c r="O6169" s="11">
        <f>M6169-N6169</f>
        <v/>
      </c>
    </row>
    <row r="6170">
      <c r="A6170" s="9" t="n">
        <v>45549</v>
      </c>
      <c r="B6170" t="n">
        <v>9</v>
      </c>
      <c r="C6170" t="n">
        <v>14</v>
      </c>
      <c r="D6170" t="n">
        <v>0</v>
      </c>
      <c r="E6170" s="10" t="n">
        <v>0</v>
      </c>
      <c r="F6170" s="10" t="n">
        <v>0.2740345137682833</v>
      </c>
      <c r="G6170" s="11">
        <f>E6170*Summary!$B$6</f>
        <v/>
      </c>
      <c r="H6170" s="11">
        <f>F6170*Summary!$B$7</f>
        <v/>
      </c>
      <c r="I6170" s="11">
        <f>MAX(0,N6170-M6170)</f>
        <v/>
      </c>
      <c r="J6170" s="11">
        <f>MAX(0,M6170-N6170)</f>
        <v/>
      </c>
      <c r="K6170" s="11">
        <f>O6170</f>
        <v/>
      </c>
      <c r="L6170" s="11">
        <f>L6169+IF(K6170&gt;0,K6170*Summary!$B$9,K6170/Summary!$B$9)</f>
        <v/>
      </c>
      <c r="M6170" s="11">
        <f>G6170+H6170</f>
        <v/>
      </c>
      <c r="N6170" s="11">
        <f>Summary!$C$16*Summary!$B$8</f>
        <v/>
      </c>
      <c r="O6170" s="11">
        <f>M6170-N6170</f>
        <v/>
      </c>
    </row>
    <row r="6171">
      <c r="A6171" s="9" t="n">
        <v>45549.04166666666</v>
      </c>
      <c r="B6171" t="n">
        <v>9</v>
      </c>
      <c r="C6171" t="n">
        <v>14</v>
      </c>
      <c r="D6171" t="n">
        <v>1</v>
      </c>
      <c r="E6171" s="10" t="n">
        <v>0</v>
      </c>
      <c r="F6171" s="10" t="n">
        <v>0.2941410945938627</v>
      </c>
      <c r="G6171" s="11">
        <f>E6171*Summary!$B$6</f>
        <v/>
      </c>
      <c r="H6171" s="11">
        <f>F6171*Summary!$B$7</f>
        <v/>
      </c>
      <c r="I6171" s="11">
        <f>MAX(0,N6171-M6171)</f>
        <v/>
      </c>
      <c r="J6171" s="11">
        <f>MAX(0,M6171-N6171)</f>
        <v/>
      </c>
      <c r="K6171" s="11">
        <f>O6171</f>
        <v/>
      </c>
      <c r="L6171" s="11">
        <f>L6170+IF(K6171&gt;0,K6171*Summary!$B$9,K6171/Summary!$B$9)</f>
        <v/>
      </c>
      <c r="M6171" s="11">
        <f>G6171+H6171</f>
        <v/>
      </c>
      <c r="N6171" s="11">
        <f>Summary!$C$16*Summary!$B$8</f>
        <v/>
      </c>
      <c r="O6171" s="11">
        <f>M6171-N6171</f>
        <v/>
      </c>
    </row>
    <row r="6172">
      <c r="A6172" s="9" t="n">
        <v>45549.08333333334</v>
      </c>
      <c r="B6172" t="n">
        <v>9</v>
      </c>
      <c r="C6172" t="n">
        <v>14</v>
      </c>
      <c r="D6172" t="n">
        <v>2</v>
      </c>
      <c r="E6172" s="10" t="n">
        <v>0</v>
      </c>
      <c r="F6172" s="10" t="n">
        <v>0.2906889817653556</v>
      </c>
      <c r="G6172" s="11">
        <f>E6172*Summary!$B$6</f>
        <v/>
      </c>
      <c r="H6172" s="11">
        <f>F6172*Summary!$B$7</f>
        <v/>
      </c>
      <c r="I6172" s="11">
        <f>MAX(0,N6172-M6172)</f>
        <v/>
      </c>
      <c r="J6172" s="11">
        <f>MAX(0,M6172-N6172)</f>
        <v/>
      </c>
      <c r="K6172" s="11">
        <f>O6172</f>
        <v/>
      </c>
      <c r="L6172" s="11">
        <f>L6171+IF(K6172&gt;0,K6172*Summary!$B$9,K6172/Summary!$B$9)</f>
        <v/>
      </c>
      <c r="M6172" s="11">
        <f>G6172+H6172</f>
        <v/>
      </c>
      <c r="N6172" s="11">
        <f>Summary!$C$16*Summary!$B$8</f>
        <v/>
      </c>
      <c r="O6172" s="11">
        <f>M6172-N6172</f>
        <v/>
      </c>
    </row>
    <row r="6173">
      <c r="A6173" s="9" t="n">
        <v>45549.125</v>
      </c>
      <c r="B6173" t="n">
        <v>9</v>
      </c>
      <c r="C6173" t="n">
        <v>14</v>
      </c>
      <c r="D6173" t="n">
        <v>3</v>
      </c>
      <c r="E6173" s="10" t="n">
        <v>0</v>
      </c>
      <c r="F6173" s="10" t="n">
        <v>0.2880010771202585</v>
      </c>
      <c r="G6173" s="11">
        <f>E6173*Summary!$B$6</f>
        <v/>
      </c>
      <c r="H6173" s="11">
        <f>F6173*Summary!$B$7</f>
        <v/>
      </c>
      <c r="I6173" s="11">
        <f>MAX(0,N6173-M6173)</f>
        <v/>
      </c>
      <c r="J6173" s="11">
        <f>MAX(0,M6173-N6173)</f>
        <v/>
      </c>
      <c r="K6173" s="11">
        <f>O6173</f>
        <v/>
      </c>
      <c r="L6173" s="11">
        <f>L6172+IF(K6173&gt;0,K6173*Summary!$B$9,K6173/Summary!$B$9)</f>
        <v/>
      </c>
      <c r="M6173" s="11">
        <f>G6173+H6173</f>
        <v/>
      </c>
      <c r="N6173" s="11">
        <f>Summary!$C$16*Summary!$B$8</f>
        <v/>
      </c>
      <c r="O6173" s="11">
        <f>M6173-N6173</f>
        <v/>
      </c>
    </row>
    <row r="6174">
      <c r="A6174" s="9" t="n">
        <v>45549.16666666666</v>
      </c>
      <c r="B6174" t="n">
        <v>9</v>
      </c>
      <c r="C6174" t="n">
        <v>14</v>
      </c>
      <c r="D6174" t="n">
        <v>4</v>
      </c>
      <c r="E6174" s="10" t="n">
        <v>0</v>
      </c>
      <c r="F6174" s="10" t="n">
        <v>0.2824935077984419</v>
      </c>
      <c r="G6174" s="11">
        <f>E6174*Summary!$B$6</f>
        <v/>
      </c>
      <c r="H6174" s="11">
        <f>F6174*Summary!$B$7</f>
        <v/>
      </c>
      <c r="I6174" s="11">
        <f>MAX(0,N6174-M6174)</f>
        <v/>
      </c>
      <c r="J6174" s="11">
        <f>MAX(0,M6174-N6174)</f>
        <v/>
      </c>
      <c r="K6174" s="11">
        <f>O6174</f>
        <v/>
      </c>
      <c r="L6174" s="11">
        <f>L6173+IF(K6174&gt;0,K6174*Summary!$B$9,K6174/Summary!$B$9)</f>
        <v/>
      </c>
      <c r="M6174" s="11">
        <f>G6174+H6174</f>
        <v/>
      </c>
      <c r="N6174" s="11">
        <f>Summary!$C$16*Summary!$B$8</f>
        <v/>
      </c>
      <c r="O6174" s="11">
        <f>M6174-N6174</f>
        <v/>
      </c>
    </row>
    <row r="6175">
      <c r="A6175" s="9" t="n">
        <v>45549.20833333334</v>
      </c>
      <c r="B6175" t="n">
        <v>9</v>
      </c>
      <c r="C6175" t="n">
        <v>14</v>
      </c>
      <c r="D6175" t="n">
        <v>5</v>
      </c>
      <c r="E6175" s="10" t="n">
        <v>0</v>
      </c>
      <c r="F6175" s="10" t="n">
        <v>0.2748250739580178</v>
      </c>
      <c r="G6175" s="11">
        <f>E6175*Summary!$B$6</f>
        <v/>
      </c>
      <c r="H6175" s="11">
        <f>F6175*Summary!$B$7</f>
        <v/>
      </c>
      <c r="I6175" s="11">
        <f>MAX(0,N6175-M6175)</f>
        <v/>
      </c>
      <c r="J6175" s="11">
        <f>MAX(0,M6175-N6175)</f>
        <v/>
      </c>
      <c r="K6175" s="11">
        <f>O6175</f>
        <v/>
      </c>
      <c r="L6175" s="11">
        <f>L6174+IF(K6175&gt;0,K6175*Summary!$B$9,K6175/Summary!$B$9)</f>
        <v/>
      </c>
      <c r="M6175" s="11">
        <f>G6175+H6175</f>
        <v/>
      </c>
      <c r="N6175" s="11">
        <f>Summary!$C$16*Summary!$B$8</f>
        <v/>
      </c>
      <c r="O6175" s="11">
        <f>M6175-N6175</f>
        <v/>
      </c>
    </row>
    <row r="6176">
      <c r="A6176" s="9" t="n">
        <v>45549.25</v>
      </c>
      <c r="B6176" t="n">
        <v>9</v>
      </c>
      <c r="C6176" t="n">
        <v>14</v>
      </c>
      <c r="D6176" t="n">
        <v>6</v>
      </c>
      <c r="E6176" s="10" t="n">
        <v>0.00874</v>
      </c>
      <c r="F6176" s="10" t="n">
        <v>0.2630984311436235</v>
      </c>
      <c r="G6176" s="11">
        <f>E6176*Summary!$B$6</f>
        <v/>
      </c>
      <c r="H6176" s="11">
        <f>F6176*Summary!$B$7</f>
        <v/>
      </c>
      <c r="I6176" s="11">
        <f>MAX(0,N6176-M6176)</f>
        <v/>
      </c>
      <c r="J6176" s="11">
        <f>MAX(0,M6176-N6176)</f>
        <v/>
      </c>
      <c r="K6176" s="11">
        <f>O6176</f>
        <v/>
      </c>
      <c r="L6176" s="11">
        <f>L6175+IF(K6176&gt;0,K6176*Summary!$B$9,K6176/Summary!$B$9)</f>
        <v/>
      </c>
      <c r="M6176" s="11">
        <f>G6176+H6176</f>
        <v/>
      </c>
      <c r="N6176" s="11">
        <f>Summary!$C$16*Summary!$B$8</f>
        <v/>
      </c>
      <c r="O6176" s="11">
        <f>M6176-N6176</f>
        <v/>
      </c>
    </row>
    <row r="6177">
      <c r="A6177" s="9" t="n">
        <v>45549.29166666666</v>
      </c>
      <c r="B6177" t="n">
        <v>9</v>
      </c>
      <c r="C6177" t="n">
        <v>14</v>
      </c>
      <c r="D6177" t="n">
        <v>7</v>
      </c>
      <c r="E6177" s="10" t="n">
        <v>0.029646</v>
      </c>
      <c r="F6177" s="10" t="n">
        <v>0.2376160410278498</v>
      </c>
      <c r="G6177" s="11">
        <f>E6177*Summary!$B$6</f>
        <v/>
      </c>
      <c r="H6177" s="11">
        <f>F6177*Summary!$B$7</f>
        <v/>
      </c>
      <c r="I6177" s="11">
        <f>MAX(0,N6177-M6177)</f>
        <v/>
      </c>
      <c r="J6177" s="11">
        <f>MAX(0,M6177-N6177)</f>
        <v/>
      </c>
      <c r="K6177" s="11">
        <f>O6177</f>
        <v/>
      </c>
      <c r="L6177" s="11">
        <f>L6176+IF(K6177&gt;0,K6177*Summary!$B$9,K6177/Summary!$B$9)</f>
        <v/>
      </c>
      <c r="M6177" s="11">
        <f>G6177+H6177</f>
        <v/>
      </c>
      <c r="N6177" s="11">
        <f>Summary!$C$16*Summary!$B$8</f>
        <v/>
      </c>
      <c r="O6177" s="11">
        <f>M6177-N6177</f>
        <v/>
      </c>
    </row>
    <row r="6178">
      <c r="A6178" s="9" t="n">
        <v>45549.33333333334</v>
      </c>
      <c r="B6178" t="n">
        <v>9</v>
      </c>
      <c r="C6178" t="n">
        <v>14</v>
      </c>
      <c r="D6178" t="n">
        <v>8</v>
      </c>
      <c r="E6178" s="10" t="n">
        <v>0.090751</v>
      </c>
      <c r="F6178" s="10" t="n">
        <v>0.2187743565058456</v>
      </c>
      <c r="G6178" s="11">
        <f>E6178*Summary!$B$6</f>
        <v/>
      </c>
      <c r="H6178" s="11">
        <f>F6178*Summary!$B$7</f>
        <v/>
      </c>
      <c r="I6178" s="11">
        <f>MAX(0,N6178-M6178)</f>
        <v/>
      </c>
      <c r="J6178" s="11">
        <f>MAX(0,M6178-N6178)</f>
        <v/>
      </c>
      <c r="K6178" s="11">
        <f>O6178</f>
        <v/>
      </c>
      <c r="L6178" s="11">
        <f>L6177+IF(K6178&gt;0,K6178*Summary!$B$9,K6178/Summary!$B$9)</f>
        <v/>
      </c>
      <c r="M6178" s="11">
        <f>G6178+H6178</f>
        <v/>
      </c>
      <c r="N6178" s="11">
        <f>Summary!$C$16*Summary!$B$8</f>
        <v/>
      </c>
      <c r="O6178" s="11">
        <f>M6178-N6178</f>
        <v/>
      </c>
    </row>
    <row r="6179">
      <c r="A6179" s="9" t="n">
        <v>45549.375</v>
      </c>
      <c r="B6179" t="n">
        <v>9</v>
      </c>
      <c r="C6179" t="n">
        <v>14</v>
      </c>
      <c r="D6179" t="n">
        <v>9</v>
      </c>
      <c r="E6179" s="10" t="n">
        <v>0.08477700000000001</v>
      </c>
      <c r="F6179" s="10" t="n">
        <v>0.2111322746717459</v>
      </c>
      <c r="G6179" s="11">
        <f>E6179*Summary!$B$6</f>
        <v/>
      </c>
      <c r="H6179" s="11">
        <f>F6179*Summary!$B$7</f>
        <v/>
      </c>
      <c r="I6179" s="11">
        <f>MAX(0,N6179-M6179)</f>
        <v/>
      </c>
      <c r="J6179" s="11">
        <f>MAX(0,M6179-N6179)</f>
        <v/>
      </c>
      <c r="K6179" s="11">
        <f>O6179</f>
        <v/>
      </c>
      <c r="L6179" s="11">
        <f>L6178+IF(K6179&gt;0,K6179*Summary!$B$9,K6179/Summary!$B$9)</f>
        <v/>
      </c>
      <c r="M6179" s="11">
        <f>G6179+H6179</f>
        <v/>
      </c>
      <c r="N6179" s="11">
        <f>Summary!$C$16*Summary!$B$8</f>
        <v/>
      </c>
      <c r="O6179" s="11">
        <f>M6179-N6179</f>
        <v/>
      </c>
    </row>
    <row r="6180">
      <c r="A6180" s="9" t="n">
        <v>45549.41666666666</v>
      </c>
      <c r="B6180" t="n">
        <v>9</v>
      </c>
      <c r="C6180" t="n">
        <v>14</v>
      </c>
      <c r="D6180" t="n">
        <v>10</v>
      </c>
      <c r="E6180" s="10" t="n">
        <v>0.259686</v>
      </c>
      <c r="F6180" s="10" t="n">
        <v>0.2100781944187667</v>
      </c>
      <c r="G6180" s="11">
        <f>E6180*Summary!$B$6</f>
        <v/>
      </c>
      <c r="H6180" s="11">
        <f>F6180*Summary!$B$7</f>
        <v/>
      </c>
      <c r="I6180" s="11">
        <f>MAX(0,N6180-M6180)</f>
        <v/>
      </c>
      <c r="J6180" s="11">
        <f>MAX(0,M6180-N6180)</f>
        <v/>
      </c>
      <c r="K6180" s="11">
        <f>O6180</f>
        <v/>
      </c>
      <c r="L6180" s="11">
        <f>L6179+IF(K6180&gt;0,K6180*Summary!$B$9,K6180/Summary!$B$9)</f>
        <v/>
      </c>
      <c r="M6180" s="11">
        <f>G6180+H6180</f>
        <v/>
      </c>
      <c r="N6180" s="11">
        <f>Summary!$C$16*Summary!$B$8</f>
        <v/>
      </c>
      <c r="O6180" s="11">
        <f>M6180-N6180</f>
        <v/>
      </c>
    </row>
    <row r="6181">
      <c r="A6181" s="9" t="n">
        <v>45549.45833333334</v>
      </c>
      <c r="B6181" t="n">
        <v>9</v>
      </c>
      <c r="C6181" t="n">
        <v>14</v>
      </c>
      <c r="D6181" t="n">
        <v>11</v>
      </c>
      <c r="E6181" s="10" t="n">
        <v>0.457238</v>
      </c>
      <c r="F6181" s="10" t="n">
        <v>0.2148215555571733</v>
      </c>
      <c r="G6181" s="11">
        <f>E6181*Summary!$B$6</f>
        <v/>
      </c>
      <c r="H6181" s="11">
        <f>F6181*Summary!$B$7</f>
        <v/>
      </c>
      <c r="I6181" s="11">
        <f>MAX(0,N6181-M6181)</f>
        <v/>
      </c>
      <c r="J6181" s="11">
        <f>MAX(0,M6181-N6181)</f>
        <v/>
      </c>
      <c r="K6181" s="11">
        <f>O6181</f>
        <v/>
      </c>
      <c r="L6181" s="11">
        <f>L6180+IF(K6181&gt;0,K6181*Summary!$B$9,K6181/Summary!$B$9)</f>
        <v/>
      </c>
      <c r="M6181" s="11">
        <f>G6181+H6181</f>
        <v/>
      </c>
      <c r="N6181" s="11">
        <f>Summary!$C$16*Summary!$B$8</f>
        <v/>
      </c>
      <c r="O6181" s="11">
        <f>M6181-N6181</f>
        <v/>
      </c>
    </row>
    <row r="6182">
      <c r="A6182" s="9" t="n">
        <v>45549.5</v>
      </c>
      <c r="B6182" t="n">
        <v>9</v>
      </c>
      <c r="C6182" t="n">
        <v>14</v>
      </c>
      <c r="D6182" t="n">
        <v>12</v>
      </c>
      <c r="E6182" s="10" t="n">
        <v>0.542818</v>
      </c>
      <c r="F6182" s="10" t="n">
        <v>0.2215413171699161</v>
      </c>
      <c r="G6182" s="11">
        <f>E6182*Summary!$B$6</f>
        <v/>
      </c>
      <c r="H6182" s="11">
        <f>F6182*Summary!$B$7</f>
        <v/>
      </c>
      <c r="I6182" s="11">
        <f>MAX(0,N6182-M6182)</f>
        <v/>
      </c>
      <c r="J6182" s="11">
        <f>MAX(0,M6182-N6182)</f>
        <v/>
      </c>
      <c r="K6182" s="11">
        <f>O6182</f>
        <v/>
      </c>
      <c r="L6182" s="11">
        <f>L6181+IF(K6182&gt;0,K6182*Summary!$B$9,K6182/Summary!$B$9)</f>
        <v/>
      </c>
      <c r="M6182" s="11">
        <f>G6182+H6182</f>
        <v/>
      </c>
      <c r="N6182" s="11">
        <f>Summary!$C$16*Summary!$B$8</f>
        <v/>
      </c>
      <c r="O6182" s="11">
        <f>M6182-N6182</f>
        <v/>
      </c>
    </row>
    <row r="6183">
      <c r="A6183" s="9" t="n">
        <v>45549.54166666666</v>
      </c>
      <c r="B6183" t="n">
        <v>9</v>
      </c>
      <c r="C6183" t="n">
        <v>14</v>
      </c>
      <c r="D6183" t="n">
        <v>13</v>
      </c>
      <c r="E6183" s="10" t="n">
        <v>0.482006</v>
      </c>
      <c r="F6183" s="10" t="n">
        <v>0.2271542945170307</v>
      </c>
      <c r="G6183" s="11">
        <f>E6183*Summary!$B$6</f>
        <v/>
      </c>
      <c r="H6183" s="11">
        <f>F6183*Summary!$B$7</f>
        <v/>
      </c>
      <c r="I6183" s="11">
        <f>MAX(0,N6183-M6183)</f>
        <v/>
      </c>
      <c r="J6183" s="11">
        <f>MAX(0,M6183-N6183)</f>
        <v/>
      </c>
      <c r="K6183" s="11">
        <f>O6183</f>
        <v/>
      </c>
      <c r="L6183" s="11">
        <f>L6182+IF(K6183&gt;0,K6183*Summary!$B$9,K6183/Summary!$B$9)</f>
        <v/>
      </c>
      <c r="M6183" s="11">
        <f>G6183+H6183</f>
        <v/>
      </c>
      <c r="N6183" s="11">
        <f>Summary!$C$16*Summary!$B$8</f>
        <v/>
      </c>
      <c r="O6183" s="11">
        <f>M6183-N6183</f>
        <v/>
      </c>
    </row>
    <row r="6184">
      <c r="A6184" s="9" t="n">
        <v>45549.58333333334</v>
      </c>
      <c r="B6184" t="n">
        <v>9</v>
      </c>
      <c r="C6184" t="n">
        <v>14</v>
      </c>
      <c r="D6184" t="n">
        <v>14</v>
      </c>
      <c r="E6184" s="10" t="n">
        <v>0.449999</v>
      </c>
      <c r="F6184" s="10" t="n">
        <v>0.2288408229217975</v>
      </c>
      <c r="G6184" s="11">
        <f>E6184*Summary!$B$6</f>
        <v/>
      </c>
      <c r="H6184" s="11">
        <f>F6184*Summary!$B$7</f>
        <v/>
      </c>
      <c r="I6184" s="11">
        <f>MAX(0,N6184-M6184)</f>
        <v/>
      </c>
      <c r="J6184" s="11">
        <f>MAX(0,M6184-N6184)</f>
        <v/>
      </c>
      <c r="K6184" s="11">
        <f>O6184</f>
        <v/>
      </c>
      <c r="L6184" s="11">
        <f>L6183+IF(K6184&gt;0,K6184*Summary!$B$9,K6184/Summary!$B$9)</f>
        <v/>
      </c>
      <c r="M6184" s="11">
        <f>G6184+H6184</f>
        <v/>
      </c>
      <c r="N6184" s="11">
        <f>Summary!$C$16*Summary!$B$8</f>
        <v/>
      </c>
      <c r="O6184" s="11">
        <f>M6184-N6184</f>
        <v/>
      </c>
    </row>
    <row r="6185">
      <c r="A6185" s="9" t="n">
        <v>45549.625</v>
      </c>
      <c r="B6185" t="n">
        <v>9</v>
      </c>
      <c r="C6185" t="n">
        <v>14</v>
      </c>
      <c r="D6185" t="n">
        <v>15</v>
      </c>
      <c r="E6185" s="10" t="n">
        <v>0.260104</v>
      </c>
      <c r="F6185" s="10" t="n">
        <v>0.2314496715479212</v>
      </c>
      <c r="G6185" s="11">
        <f>E6185*Summary!$B$6</f>
        <v/>
      </c>
      <c r="H6185" s="11">
        <f>F6185*Summary!$B$7</f>
        <v/>
      </c>
      <c r="I6185" s="11">
        <f>MAX(0,N6185-M6185)</f>
        <v/>
      </c>
      <c r="J6185" s="11">
        <f>MAX(0,M6185-N6185)</f>
        <v/>
      </c>
      <c r="K6185" s="11">
        <f>O6185</f>
        <v/>
      </c>
      <c r="L6185" s="11">
        <f>L6184+IF(K6185&gt;0,K6185*Summary!$B$9,K6185/Summary!$B$9)</f>
        <v/>
      </c>
      <c r="M6185" s="11">
        <f>G6185+H6185</f>
        <v/>
      </c>
      <c r="N6185" s="11">
        <f>Summary!$C$16*Summary!$B$8</f>
        <v/>
      </c>
      <c r="O6185" s="11">
        <f>M6185-N6185</f>
        <v/>
      </c>
    </row>
    <row r="6186">
      <c r="A6186" s="9" t="n">
        <v>45549.66666666666</v>
      </c>
      <c r="B6186" t="n">
        <v>9</v>
      </c>
      <c r="C6186" t="n">
        <v>14</v>
      </c>
      <c r="D6186" t="n">
        <v>16</v>
      </c>
      <c r="E6186" s="10" t="n">
        <v>0.117262</v>
      </c>
      <c r="F6186" s="10" t="n">
        <v>0.2293678630482871</v>
      </c>
      <c r="G6186" s="11">
        <f>E6186*Summary!$B$6</f>
        <v/>
      </c>
      <c r="H6186" s="11">
        <f>F6186*Summary!$B$7</f>
        <v/>
      </c>
      <c r="I6186" s="11">
        <f>MAX(0,N6186-M6186)</f>
        <v/>
      </c>
      <c r="J6186" s="11">
        <f>MAX(0,M6186-N6186)</f>
        <v/>
      </c>
      <c r="K6186" s="11">
        <f>O6186</f>
        <v/>
      </c>
      <c r="L6186" s="11">
        <f>L6185+IF(K6186&gt;0,K6186*Summary!$B$9,K6186/Summary!$B$9)</f>
        <v/>
      </c>
      <c r="M6186" s="11">
        <f>G6186+H6186</f>
        <v/>
      </c>
      <c r="N6186" s="11">
        <f>Summary!$C$16*Summary!$B$8</f>
        <v/>
      </c>
      <c r="O6186" s="11">
        <f>M6186-N6186</f>
        <v/>
      </c>
    </row>
    <row r="6187">
      <c r="A6187" s="9" t="n">
        <v>45549.70833333334</v>
      </c>
      <c r="B6187" t="n">
        <v>9</v>
      </c>
      <c r="C6187" t="n">
        <v>14</v>
      </c>
      <c r="D6187" t="n">
        <v>17</v>
      </c>
      <c r="E6187" s="10" t="n">
        <v>0.040086</v>
      </c>
      <c r="F6187" s="10" t="n">
        <v>0.2313179115162988</v>
      </c>
      <c r="G6187" s="11">
        <f>E6187*Summary!$B$6</f>
        <v/>
      </c>
      <c r="H6187" s="11">
        <f>F6187*Summary!$B$7</f>
        <v/>
      </c>
      <c r="I6187" s="11">
        <f>MAX(0,N6187-M6187)</f>
        <v/>
      </c>
      <c r="J6187" s="11">
        <f>MAX(0,M6187-N6187)</f>
        <v/>
      </c>
      <c r="K6187" s="11">
        <f>O6187</f>
        <v/>
      </c>
      <c r="L6187" s="11">
        <f>L6186+IF(K6187&gt;0,K6187*Summary!$B$9,K6187/Summary!$B$9)</f>
        <v/>
      </c>
      <c r="M6187" s="11">
        <f>G6187+H6187</f>
        <v/>
      </c>
      <c r="N6187" s="11">
        <f>Summary!$C$16*Summary!$B$8</f>
        <v/>
      </c>
      <c r="O6187" s="11">
        <f>M6187-N6187</f>
        <v/>
      </c>
    </row>
    <row r="6188">
      <c r="A6188" s="9" t="n">
        <v>45549.75</v>
      </c>
      <c r="B6188" t="n">
        <v>9</v>
      </c>
      <c r="C6188" t="n">
        <v>14</v>
      </c>
      <c r="D6188" t="n">
        <v>18</v>
      </c>
      <c r="E6188" s="10" t="n">
        <v>0</v>
      </c>
      <c r="F6188" s="10" t="n">
        <v>0.2411735618816549</v>
      </c>
      <c r="G6188" s="11">
        <f>E6188*Summary!$B$6</f>
        <v/>
      </c>
      <c r="H6188" s="11">
        <f>F6188*Summary!$B$7</f>
        <v/>
      </c>
      <c r="I6188" s="11">
        <f>MAX(0,N6188-M6188)</f>
        <v/>
      </c>
      <c r="J6188" s="11">
        <f>MAX(0,M6188-N6188)</f>
        <v/>
      </c>
      <c r="K6188" s="11">
        <f>O6188</f>
        <v/>
      </c>
      <c r="L6188" s="11">
        <f>L6187+IF(K6188&gt;0,K6188*Summary!$B$9,K6188/Summary!$B$9)</f>
        <v/>
      </c>
      <c r="M6188" s="11">
        <f>G6188+H6188</f>
        <v/>
      </c>
      <c r="N6188" s="11">
        <f>Summary!$C$16*Summary!$B$8</f>
        <v/>
      </c>
      <c r="O6188" s="11">
        <f>M6188-N6188</f>
        <v/>
      </c>
    </row>
    <row r="6189">
      <c r="A6189" s="9" t="n">
        <v>45549.79166666666</v>
      </c>
      <c r="B6189" t="n">
        <v>9</v>
      </c>
      <c r="C6189" t="n">
        <v>14</v>
      </c>
      <c r="D6189" t="n">
        <v>19</v>
      </c>
      <c r="E6189" s="10" t="n">
        <v>0</v>
      </c>
      <c r="F6189" s="10" t="n">
        <v>0.2529265567023736</v>
      </c>
      <c r="G6189" s="11">
        <f>E6189*Summary!$B$6</f>
        <v/>
      </c>
      <c r="H6189" s="11">
        <f>F6189*Summary!$B$7</f>
        <v/>
      </c>
      <c r="I6189" s="11">
        <f>MAX(0,N6189-M6189)</f>
        <v/>
      </c>
      <c r="J6189" s="11">
        <f>MAX(0,M6189-N6189)</f>
        <v/>
      </c>
      <c r="K6189" s="11">
        <f>O6189</f>
        <v/>
      </c>
      <c r="L6189" s="11">
        <f>L6188+IF(K6189&gt;0,K6189*Summary!$B$9,K6189/Summary!$B$9)</f>
        <v/>
      </c>
      <c r="M6189" s="11">
        <f>G6189+H6189</f>
        <v/>
      </c>
      <c r="N6189" s="11">
        <f>Summary!$C$16*Summary!$B$8</f>
        <v/>
      </c>
      <c r="O6189" s="11">
        <f>M6189-N6189</f>
        <v/>
      </c>
    </row>
    <row r="6190">
      <c r="A6190" s="9" t="n">
        <v>45549.83333333334</v>
      </c>
      <c r="B6190" t="n">
        <v>9</v>
      </c>
      <c r="C6190" t="n">
        <v>14</v>
      </c>
      <c r="D6190" t="n">
        <v>20</v>
      </c>
      <c r="E6190" s="10" t="n">
        <v>0</v>
      </c>
      <c r="F6190" s="10" t="n">
        <v>0.2633355992005438</v>
      </c>
      <c r="G6190" s="11">
        <f>E6190*Summary!$B$6</f>
        <v/>
      </c>
      <c r="H6190" s="11">
        <f>F6190*Summary!$B$7</f>
        <v/>
      </c>
      <c r="I6190" s="11">
        <f>MAX(0,N6190-M6190)</f>
        <v/>
      </c>
      <c r="J6190" s="11">
        <f>MAX(0,M6190-N6190)</f>
        <v/>
      </c>
      <c r="K6190" s="11">
        <f>O6190</f>
        <v/>
      </c>
      <c r="L6190" s="11">
        <f>L6189+IF(K6190&gt;0,K6190*Summary!$B$9,K6190/Summary!$B$9)</f>
        <v/>
      </c>
      <c r="M6190" s="11">
        <f>G6190+H6190</f>
        <v/>
      </c>
      <c r="N6190" s="11">
        <f>Summary!$C$16*Summary!$B$8</f>
        <v/>
      </c>
      <c r="O6190" s="11">
        <f>M6190-N6190</f>
        <v/>
      </c>
    </row>
    <row r="6191">
      <c r="A6191" s="9" t="n">
        <v>45549.875</v>
      </c>
      <c r="B6191" t="n">
        <v>9</v>
      </c>
      <c r="C6191" t="n">
        <v>14</v>
      </c>
      <c r="D6191" t="n">
        <v>21</v>
      </c>
      <c r="E6191" s="10" t="n">
        <v>0</v>
      </c>
      <c r="F6191" s="10" t="n">
        <v>0.267341104161865</v>
      </c>
      <c r="G6191" s="11">
        <f>E6191*Summary!$B$6</f>
        <v/>
      </c>
      <c r="H6191" s="11">
        <f>F6191*Summary!$B$7</f>
        <v/>
      </c>
      <c r="I6191" s="11">
        <f>MAX(0,N6191-M6191)</f>
        <v/>
      </c>
      <c r="J6191" s="11">
        <f>MAX(0,M6191-N6191)</f>
        <v/>
      </c>
      <c r="K6191" s="11">
        <f>O6191</f>
        <v/>
      </c>
      <c r="L6191" s="11">
        <f>L6190+IF(K6191&gt;0,K6191*Summary!$B$9,K6191/Summary!$B$9)</f>
        <v/>
      </c>
      <c r="M6191" s="11">
        <f>G6191+H6191</f>
        <v/>
      </c>
      <c r="N6191" s="11">
        <f>Summary!$C$16*Summary!$B$8</f>
        <v/>
      </c>
      <c r="O6191" s="11">
        <f>M6191-N6191</f>
        <v/>
      </c>
    </row>
    <row r="6192">
      <c r="A6192" s="9" t="n">
        <v>45549.91666666666</v>
      </c>
      <c r="B6192" t="n">
        <v>9</v>
      </c>
      <c r="C6192" t="n">
        <v>14</v>
      </c>
      <c r="D6192" t="n">
        <v>22</v>
      </c>
      <c r="E6192" s="10" t="n">
        <v>0</v>
      </c>
      <c r="F6192" s="10" t="n">
        <v>0.2715837771801065</v>
      </c>
      <c r="G6192" s="11">
        <f>E6192*Summary!$B$6</f>
        <v/>
      </c>
      <c r="H6192" s="11">
        <f>F6192*Summary!$B$7</f>
        <v/>
      </c>
      <c r="I6192" s="11">
        <f>MAX(0,N6192-M6192)</f>
        <v/>
      </c>
      <c r="J6192" s="11">
        <f>MAX(0,M6192-N6192)</f>
        <v/>
      </c>
      <c r="K6192" s="11">
        <f>O6192</f>
        <v/>
      </c>
      <c r="L6192" s="11">
        <f>L6191+IF(K6192&gt;0,K6192*Summary!$B$9,K6192/Summary!$B$9)</f>
        <v/>
      </c>
      <c r="M6192" s="11">
        <f>G6192+H6192</f>
        <v/>
      </c>
      <c r="N6192" s="11">
        <f>Summary!$C$16*Summary!$B$8</f>
        <v/>
      </c>
      <c r="O6192" s="11">
        <f>M6192-N6192</f>
        <v/>
      </c>
    </row>
    <row r="6193">
      <c r="A6193" s="9" t="n">
        <v>45549.95833333334</v>
      </c>
      <c r="B6193" t="n">
        <v>9</v>
      </c>
      <c r="C6193" t="n">
        <v>14</v>
      </c>
      <c r="D6193" t="n">
        <v>23</v>
      </c>
      <c r="E6193" s="10" t="n">
        <v>0</v>
      </c>
      <c r="F6193" s="10" t="n">
        <v>0.2733493616038468</v>
      </c>
      <c r="G6193" s="11">
        <f>E6193*Summary!$B$6</f>
        <v/>
      </c>
      <c r="H6193" s="11">
        <f>F6193*Summary!$B$7</f>
        <v/>
      </c>
      <c r="I6193" s="11">
        <f>MAX(0,N6193-M6193)</f>
        <v/>
      </c>
      <c r="J6193" s="11">
        <f>MAX(0,M6193-N6193)</f>
        <v/>
      </c>
      <c r="K6193" s="11">
        <f>O6193</f>
        <v/>
      </c>
      <c r="L6193" s="11">
        <f>L6192+IF(K6193&gt;0,K6193*Summary!$B$9,K6193/Summary!$B$9)</f>
        <v/>
      </c>
      <c r="M6193" s="11">
        <f>G6193+H6193</f>
        <v/>
      </c>
      <c r="N6193" s="11">
        <f>Summary!$C$16*Summary!$B$8</f>
        <v/>
      </c>
      <c r="O6193" s="11">
        <f>M6193-N6193</f>
        <v/>
      </c>
    </row>
    <row r="6194">
      <c r="A6194" s="9" t="n">
        <v>45550</v>
      </c>
      <c r="B6194" t="n">
        <v>9</v>
      </c>
      <c r="C6194" t="n">
        <v>15</v>
      </c>
      <c r="D6194" t="n">
        <v>0</v>
      </c>
      <c r="E6194" s="10" t="n">
        <v>0</v>
      </c>
      <c r="F6194" s="10" t="n">
        <v>0.3377536650608796</v>
      </c>
      <c r="G6194" s="11">
        <f>E6194*Summary!$B$6</f>
        <v/>
      </c>
      <c r="H6194" s="11">
        <f>F6194*Summary!$B$7</f>
        <v/>
      </c>
      <c r="I6194" s="11">
        <f>MAX(0,N6194-M6194)</f>
        <v/>
      </c>
      <c r="J6194" s="11">
        <f>MAX(0,M6194-N6194)</f>
        <v/>
      </c>
      <c r="K6194" s="11">
        <f>O6194</f>
        <v/>
      </c>
      <c r="L6194" s="11">
        <f>L6193+IF(K6194&gt;0,K6194*Summary!$B$9,K6194/Summary!$B$9)</f>
        <v/>
      </c>
      <c r="M6194" s="11">
        <f>G6194+H6194</f>
        <v/>
      </c>
      <c r="N6194" s="11">
        <f>Summary!$C$16*Summary!$B$8</f>
        <v/>
      </c>
      <c r="O6194" s="11">
        <f>M6194-N6194</f>
        <v/>
      </c>
    </row>
    <row r="6195">
      <c r="A6195" s="9" t="n">
        <v>45550.04166666666</v>
      </c>
      <c r="B6195" t="n">
        <v>9</v>
      </c>
      <c r="C6195" t="n">
        <v>15</v>
      </c>
      <c r="D6195" t="n">
        <v>1</v>
      </c>
      <c r="E6195" s="10" t="n">
        <v>0</v>
      </c>
      <c r="F6195" s="10" t="n">
        <v>0.2725324494077879</v>
      </c>
      <c r="G6195" s="11">
        <f>E6195*Summary!$B$6</f>
        <v/>
      </c>
      <c r="H6195" s="11">
        <f>F6195*Summary!$B$7</f>
        <v/>
      </c>
      <c r="I6195" s="11">
        <f>MAX(0,N6195-M6195)</f>
        <v/>
      </c>
      <c r="J6195" s="11">
        <f>MAX(0,M6195-N6195)</f>
        <v/>
      </c>
      <c r="K6195" s="11">
        <f>O6195</f>
        <v/>
      </c>
      <c r="L6195" s="11">
        <f>L6194+IF(K6195&gt;0,K6195*Summary!$B$9,K6195/Summary!$B$9)</f>
        <v/>
      </c>
      <c r="M6195" s="11">
        <f>G6195+H6195</f>
        <v/>
      </c>
      <c r="N6195" s="11">
        <f>Summary!$C$16*Summary!$B$8</f>
        <v/>
      </c>
      <c r="O6195" s="11">
        <f>M6195-N6195</f>
        <v/>
      </c>
    </row>
    <row r="6196">
      <c r="A6196" s="9" t="n">
        <v>45550.08333333334</v>
      </c>
      <c r="B6196" t="n">
        <v>9</v>
      </c>
      <c r="C6196" t="n">
        <v>15</v>
      </c>
      <c r="D6196" t="n">
        <v>2</v>
      </c>
      <c r="E6196" s="10" t="n">
        <v>0</v>
      </c>
      <c r="F6196" s="10" t="n">
        <v>0.2691857446045787</v>
      </c>
      <c r="G6196" s="11">
        <f>E6196*Summary!$B$6</f>
        <v/>
      </c>
      <c r="H6196" s="11">
        <f>F6196*Summary!$B$7</f>
        <v/>
      </c>
      <c r="I6196" s="11">
        <f>MAX(0,N6196-M6196)</f>
        <v/>
      </c>
      <c r="J6196" s="11">
        <f>MAX(0,M6196-N6196)</f>
        <v/>
      </c>
      <c r="K6196" s="11">
        <f>O6196</f>
        <v/>
      </c>
      <c r="L6196" s="11">
        <f>L6195+IF(K6196&gt;0,K6196*Summary!$B$9,K6196/Summary!$B$9)</f>
        <v/>
      </c>
      <c r="M6196" s="11">
        <f>G6196+H6196</f>
        <v/>
      </c>
      <c r="N6196" s="11">
        <f>Summary!$C$16*Summary!$B$8</f>
        <v/>
      </c>
      <c r="O6196" s="11">
        <f>M6196-N6196</f>
        <v/>
      </c>
    </row>
    <row r="6197">
      <c r="A6197" s="9" t="n">
        <v>45550.125</v>
      </c>
      <c r="B6197" t="n">
        <v>9</v>
      </c>
      <c r="C6197" t="n">
        <v>15</v>
      </c>
      <c r="D6197" t="n">
        <v>3</v>
      </c>
      <c r="E6197" s="10" t="n">
        <v>0</v>
      </c>
      <c r="F6197" s="10" t="n">
        <v>0.2658917438140185</v>
      </c>
      <c r="G6197" s="11">
        <f>E6197*Summary!$B$6</f>
        <v/>
      </c>
      <c r="H6197" s="11">
        <f>F6197*Summary!$B$7</f>
        <v/>
      </c>
      <c r="I6197" s="11">
        <f>MAX(0,N6197-M6197)</f>
        <v/>
      </c>
      <c r="J6197" s="11">
        <f>MAX(0,M6197-N6197)</f>
        <v/>
      </c>
      <c r="K6197" s="11">
        <f>O6197</f>
        <v/>
      </c>
      <c r="L6197" s="11">
        <f>L6196+IF(K6197&gt;0,K6197*Summary!$B$9,K6197/Summary!$B$9)</f>
        <v/>
      </c>
      <c r="M6197" s="11">
        <f>G6197+H6197</f>
        <v/>
      </c>
      <c r="N6197" s="11">
        <f>Summary!$C$16*Summary!$B$8</f>
        <v/>
      </c>
      <c r="O6197" s="11">
        <f>M6197-N6197</f>
        <v/>
      </c>
    </row>
    <row r="6198">
      <c r="A6198" s="9" t="n">
        <v>45550.16666666666</v>
      </c>
      <c r="B6198" t="n">
        <v>9</v>
      </c>
      <c r="C6198" t="n">
        <v>15</v>
      </c>
      <c r="D6198" t="n">
        <v>4</v>
      </c>
      <c r="E6198" s="10" t="n">
        <v>0</v>
      </c>
      <c r="F6198" s="10" t="n">
        <v>0.2597517263404143</v>
      </c>
      <c r="G6198" s="11">
        <f>E6198*Summary!$B$6</f>
        <v/>
      </c>
      <c r="H6198" s="11">
        <f>F6198*Summary!$B$7</f>
        <v/>
      </c>
      <c r="I6198" s="11">
        <f>MAX(0,N6198-M6198)</f>
        <v/>
      </c>
      <c r="J6198" s="11">
        <f>MAX(0,M6198-N6198)</f>
        <v/>
      </c>
      <c r="K6198" s="11">
        <f>O6198</f>
        <v/>
      </c>
      <c r="L6198" s="11">
        <f>L6197+IF(K6198&gt;0,K6198*Summary!$B$9,K6198/Summary!$B$9)</f>
        <v/>
      </c>
      <c r="M6198" s="11">
        <f>G6198+H6198</f>
        <v/>
      </c>
      <c r="N6198" s="11">
        <f>Summary!$C$16*Summary!$B$8</f>
        <v/>
      </c>
      <c r="O6198" s="11">
        <f>M6198-N6198</f>
        <v/>
      </c>
    </row>
    <row r="6199">
      <c r="A6199" s="9" t="n">
        <v>45550.20833333334</v>
      </c>
      <c r="B6199" t="n">
        <v>9</v>
      </c>
      <c r="C6199" t="n">
        <v>15</v>
      </c>
      <c r="D6199" t="n">
        <v>5</v>
      </c>
      <c r="E6199" s="10" t="n">
        <v>0</v>
      </c>
      <c r="F6199" s="10" t="n">
        <v>0.2543232130375711</v>
      </c>
      <c r="G6199" s="11">
        <f>E6199*Summary!$B$6</f>
        <v/>
      </c>
      <c r="H6199" s="11">
        <f>F6199*Summary!$B$7</f>
        <v/>
      </c>
      <c r="I6199" s="11">
        <f>MAX(0,N6199-M6199)</f>
        <v/>
      </c>
      <c r="J6199" s="11">
        <f>MAX(0,M6199-N6199)</f>
        <v/>
      </c>
      <c r="K6199" s="11">
        <f>O6199</f>
        <v/>
      </c>
      <c r="L6199" s="11">
        <f>L6198+IF(K6199&gt;0,K6199*Summary!$B$9,K6199/Summary!$B$9)</f>
        <v/>
      </c>
      <c r="M6199" s="11">
        <f>G6199+H6199</f>
        <v/>
      </c>
      <c r="N6199" s="11">
        <f>Summary!$C$16*Summary!$B$8</f>
        <v/>
      </c>
      <c r="O6199" s="11">
        <f>M6199-N6199</f>
        <v/>
      </c>
    </row>
    <row r="6200">
      <c r="A6200" s="9" t="n">
        <v>45550.25</v>
      </c>
      <c r="B6200" t="n">
        <v>9</v>
      </c>
      <c r="C6200" t="n">
        <v>15</v>
      </c>
      <c r="D6200" t="n">
        <v>6</v>
      </c>
      <c r="E6200" s="10" t="n">
        <v>0.021704</v>
      </c>
      <c r="F6200" s="10" t="n">
        <v>0.2444939146785395</v>
      </c>
      <c r="G6200" s="11">
        <f>E6200*Summary!$B$6</f>
        <v/>
      </c>
      <c r="H6200" s="11">
        <f>F6200*Summary!$B$7</f>
        <v/>
      </c>
      <c r="I6200" s="11">
        <f>MAX(0,N6200-M6200)</f>
        <v/>
      </c>
      <c r="J6200" s="11">
        <f>MAX(0,M6200-N6200)</f>
        <v/>
      </c>
      <c r="K6200" s="11">
        <f>O6200</f>
        <v/>
      </c>
      <c r="L6200" s="11">
        <f>L6199+IF(K6200&gt;0,K6200*Summary!$B$9,K6200/Summary!$B$9)</f>
        <v/>
      </c>
      <c r="M6200" s="11">
        <f>G6200+H6200</f>
        <v/>
      </c>
      <c r="N6200" s="11">
        <f>Summary!$C$16*Summary!$B$8</f>
        <v/>
      </c>
      <c r="O6200" s="11">
        <f>M6200-N6200</f>
        <v/>
      </c>
    </row>
    <row r="6201">
      <c r="A6201" s="9" t="n">
        <v>45550.29166666666</v>
      </c>
      <c r="B6201" t="n">
        <v>9</v>
      </c>
      <c r="C6201" t="n">
        <v>15</v>
      </c>
      <c r="D6201" t="n">
        <v>7</v>
      </c>
      <c r="E6201" s="10" t="n">
        <v>0.129454</v>
      </c>
      <c r="F6201" s="10" t="n">
        <v>0.2259948062387535</v>
      </c>
      <c r="G6201" s="11">
        <f>E6201*Summary!$B$6</f>
        <v/>
      </c>
      <c r="H6201" s="11">
        <f>F6201*Summary!$B$7</f>
        <v/>
      </c>
      <c r="I6201" s="11">
        <f>MAX(0,N6201-M6201)</f>
        <v/>
      </c>
      <c r="J6201" s="11">
        <f>MAX(0,M6201-N6201)</f>
        <v/>
      </c>
      <c r="K6201" s="11">
        <f>O6201</f>
        <v/>
      </c>
      <c r="L6201" s="11">
        <f>L6200+IF(K6201&gt;0,K6201*Summary!$B$9,K6201/Summary!$B$9)</f>
        <v/>
      </c>
      <c r="M6201" s="11">
        <f>G6201+H6201</f>
        <v/>
      </c>
      <c r="N6201" s="11">
        <f>Summary!$C$16*Summary!$B$8</f>
        <v/>
      </c>
      <c r="O6201" s="11">
        <f>M6201-N6201</f>
        <v/>
      </c>
    </row>
    <row r="6202">
      <c r="A6202" s="9" t="n">
        <v>45550.33333333334</v>
      </c>
      <c r="B6202" t="n">
        <v>9</v>
      </c>
      <c r="C6202" t="n">
        <v>15</v>
      </c>
      <c r="D6202" t="n">
        <v>8</v>
      </c>
      <c r="E6202" s="10" t="n">
        <v>0.375718</v>
      </c>
      <c r="F6202" s="10" t="n">
        <v>0.2161128038670729</v>
      </c>
      <c r="G6202" s="11">
        <f>E6202*Summary!$B$6</f>
        <v/>
      </c>
      <c r="H6202" s="11">
        <f>F6202*Summary!$B$7</f>
        <v/>
      </c>
      <c r="I6202" s="11">
        <f>MAX(0,N6202-M6202)</f>
        <v/>
      </c>
      <c r="J6202" s="11">
        <f>MAX(0,M6202-N6202)</f>
        <v/>
      </c>
      <c r="K6202" s="11">
        <f>O6202</f>
        <v/>
      </c>
      <c r="L6202" s="11">
        <f>L6201+IF(K6202&gt;0,K6202*Summary!$B$9,K6202/Summary!$B$9)</f>
        <v/>
      </c>
      <c r="M6202" s="11">
        <f>G6202+H6202</f>
        <v/>
      </c>
      <c r="N6202" s="11">
        <f>Summary!$C$16*Summary!$B$8</f>
        <v/>
      </c>
      <c r="O6202" s="11">
        <f>M6202-N6202</f>
        <v/>
      </c>
    </row>
    <row r="6203">
      <c r="A6203" s="9" t="n">
        <v>45550.375</v>
      </c>
      <c r="B6203" t="n">
        <v>9</v>
      </c>
      <c r="C6203" t="n">
        <v>15</v>
      </c>
      <c r="D6203" t="n">
        <v>9</v>
      </c>
      <c r="E6203" s="10" t="n">
        <v>0.5382</v>
      </c>
      <c r="F6203" s="10" t="n">
        <v>0.2194068046576331</v>
      </c>
      <c r="G6203" s="11">
        <f>E6203*Summary!$B$6</f>
        <v/>
      </c>
      <c r="H6203" s="11">
        <f>F6203*Summary!$B$7</f>
        <v/>
      </c>
      <c r="I6203" s="11">
        <f>MAX(0,N6203-M6203)</f>
        <v/>
      </c>
      <c r="J6203" s="11">
        <f>MAX(0,M6203-N6203)</f>
        <v/>
      </c>
      <c r="K6203" s="11">
        <f>O6203</f>
        <v/>
      </c>
      <c r="L6203" s="11">
        <f>L6202+IF(K6203&gt;0,K6203*Summary!$B$9,K6203/Summary!$B$9)</f>
        <v/>
      </c>
      <c r="M6203" s="11">
        <f>G6203+H6203</f>
        <v/>
      </c>
      <c r="N6203" s="11">
        <f>Summary!$C$16*Summary!$B$8</f>
        <v/>
      </c>
      <c r="O6203" s="11">
        <f>M6203-N6203</f>
        <v/>
      </c>
    </row>
    <row r="6204">
      <c r="A6204" s="9" t="n">
        <v>45550.41666666666</v>
      </c>
      <c r="B6204" t="n">
        <v>9</v>
      </c>
      <c r="C6204" t="n">
        <v>15</v>
      </c>
      <c r="D6204" t="n">
        <v>10</v>
      </c>
      <c r="E6204" s="10" t="n">
        <v>0.540799</v>
      </c>
      <c r="F6204" s="10" t="n">
        <v>0.2346382643131834</v>
      </c>
      <c r="G6204" s="11">
        <f>E6204*Summary!$B$6</f>
        <v/>
      </c>
      <c r="H6204" s="11">
        <f>F6204*Summary!$B$7</f>
        <v/>
      </c>
      <c r="I6204" s="11">
        <f>MAX(0,N6204-M6204)</f>
        <v/>
      </c>
      <c r="J6204" s="11">
        <f>MAX(0,M6204-N6204)</f>
        <v/>
      </c>
      <c r="K6204" s="11">
        <f>O6204</f>
        <v/>
      </c>
      <c r="L6204" s="11">
        <f>L6203+IF(K6204&gt;0,K6204*Summary!$B$9,K6204/Summary!$B$9)</f>
        <v/>
      </c>
      <c r="M6204" s="11">
        <f>G6204+H6204</f>
        <v/>
      </c>
      <c r="N6204" s="11">
        <f>Summary!$C$16*Summary!$B$8</f>
        <v/>
      </c>
      <c r="O6204" s="11">
        <f>M6204-N6204</f>
        <v/>
      </c>
    </row>
    <row r="6205">
      <c r="A6205" s="9" t="n">
        <v>45550.45833333334</v>
      </c>
      <c r="B6205" t="n">
        <v>9</v>
      </c>
      <c r="C6205" t="n">
        <v>15</v>
      </c>
      <c r="D6205" t="n">
        <v>11</v>
      </c>
      <c r="E6205" s="10" t="n">
        <v>0.714952</v>
      </c>
      <c r="F6205" s="10" t="n">
        <v>0.2505021721205213</v>
      </c>
      <c r="G6205" s="11">
        <f>E6205*Summary!$B$6</f>
        <v/>
      </c>
      <c r="H6205" s="11">
        <f>F6205*Summary!$B$7</f>
        <v/>
      </c>
      <c r="I6205" s="11">
        <f>MAX(0,N6205-M6205)</f>
        <v/>
      </c>
      <c r="J6205" s="11">
        <f>MAX(0,M6205-N6205)</f>
        <v/>
      </c>
      <c r="K6205" s="11">
        <f>O6205</f>
        <v/>
      </c>
      <c r="L6205" s="11">
        <f>L6204+IF(K6205&gt;0,K6205*Summary!$B$9,K6205/Summary!$B$9)</f>
        <v/>
      </c>
      <c r="M6205" s="11">
        <f>G6205+H6205</f>
        <v/>
      </c>
      <c r="N6205" s="11">
        <f>Summary!$C$16*Summary!$B$8</f>
        <v/>
      </c>
      <c r="O6205" s="11">
        <f>M6205-N6205</f>
        <v/>
      </c>
    </row>
    <row r="6206">
      <c r="A6206" s="9" t="n">
        <v>45550.5</v>
      </c>
      <c r="B6206" t="n">
        <v>9</v>
      </c>
      <c r="C6206" t="n">
        <v>15</v>
      </c>
      <c r="D6206" t="n">
        <v>12</v>
      </c>
      <c r="E6206" s="10" t="n">
        <v>0.718548</v>
      </c>
      <c r="F6206" s="10" t="n">
        <v>0.260278766466904</v>
      </c>
      <c r="G6206" s="11">
        <f>E6206*Summary!$B$6</f>
        <v/>
      </c>
      <c r="H6206" s="11">
        <f>F6206*Summary!$B$7</f>
        <v/>
      </c>
      <c r="I6206" s="11">
        <f>MAX(0,N6206-M6206)</f>
        <v/>
      </c>
      <c r="J6206" s="11">
        <f>MAX(0,M6206-N6206)</f>
        <v/>
      </c>
      <c r="K6206" s="11">
        <f>O6206</f>
        <v/>
      </c>
      <c r="L6206" s="11">
        <f>L6205+IF(K6206&gt;0,K6206*Summary!$B$9,K6206/Summary!$B$9)</f>
        <v/>
      </c>
      <c r="M6206" s="11">
        <f>G6206+H6206</f>
        <v/>
      </c>
      <c r="N6206" s="11">
        <f>Summary!$C$16*Summary!$B$8</f>
        <v/>
      </c>
      <c r="O6206" s="11">
        <f>M6206-N6206</f>
        <v/>
      </c>
    </row>
    <row r="6207">
      <c r="A6207" s="9" t="n">
        <v>45550.54166666666</v>
      </c>
      <c r="B6207" t="n">
        <v>9</v>
      </c>
      <c r="C6207" t="n">
        <v>15</v>
      </c>
      <c r="D6207" t="n">
        <v>13</v>
      </c>
      <c r="E6207" s="10" t="n">
        <v>0.660172</v>
      </c>
      <c r="F6207" s="10" t="n">
        <v>0.2728486734836816</v>
      </c>
      <c r="G6207" s="11">
        <f>E6207*Summary!$B$6</f>
        <v/>
      </c>
      <c r="H6207" s="11">
        <f>F6207*Summary!$B$7</f>
        <v/>
      </c>
      <c r="I6207" s="11">
        <f>MAX(0,N6207-M6207)</f>
        <v/>
      </c>
      <c r="J6207" s="11">
        <f>MAX(0,M6207-N6207)</f>
        <v/>
      </c>
      <c r="K6207" s="11">
        <f>O6207</f>
        <v/>
      </c>
      <c r="L6207" s="11">
        <f>L6206+IF(K6207&gt;0,K6207*Summary!$B$9,K6207/Summary!$B$9)</f>
        <v/>
      </c>
      <c r="M6207" s="11">
        <f>G6207+H6207</f>
        <v/>
      </c>
      <c r="N6207" s="11">
        <f>Summary!$C$16*Summary!$B$8</f>
        <v/>
      </c>
      <c r="O6207" s="11">
        <f>M6207-N6207</f>
        <v/>
      </c>
    </row>
    <row r="6208">
      <c r="A6208" s="9" t="n">
        <v>45550.58333333334</v>
      </c>
      <c r="B6208" t="n">
        <v>9</v>
      </c>
      <c r="C6208" t="n">
        <v>15</v>
      </c>
      <c r="D6208" t="n">
        <v>14</v>
      </c>
      <c r="E6208" s="10" t="n">
        <v>0.5612510000000001</v>
      </c>
      <c r="F6208" s="10" t="n">
        <v>0.2789096349383124</v>
      </c>
      <c r="G6208" s="11">
        <f>E6208*Summary!$B$6</f>
        <v/>
      </c>
      <c r="H6208" s="11">
        <f>F6208*Summary!$B$7</f>
        <v/>
      </c>
      <c r="I6208" s="11">
        <f>MAX(0,N6208-M6208)</f>
        <v/>
      </c>
      <c r="J6208" s="11">
        <f>MAX(0,M6208-N6208)</f>
        <v/>
      </c>
      <c r="K6208" s="11">
        <f>O6208</f>
        <v/>
      </c>
      <c r="L6208" s="11">
        <f>L6207+IF(K6208&gt;0,K6208*Summary!$B$9,K6208/Summary!$B$9)</f>
        <v/>
      </c>
      <c r="M6208" s="11">
        <f>G6208+H6208</f>
        <v/>
      </c>
      <c r="N6208" s="11">
        <f>Summary!$C$16*Summary!$B$8</f>
        <v/>
      </c>
      <c r="O6208" s="11">
        <f>M6208-N6208</f>
        <v/>
      </c>
    </row>
    <row r="6209">
      <c r="A6209" s="9" t="n">
        <v>45550.625</v>
      </c>
      <c r="B6209" t="n">
        <v>9</v>
      </c>
      <c r="C6209" t="n">
        <v>15</v>
      </c>
      <c r="D6209" t="n">
        <v>15</v>
      </c>
      <c r="E6209" s="10" t="n">
        <v>0.412992</v>
      </c>
      <c r="F6209" s="10" t="n">
        <v>0.3035224088453781</v>
      </c>
      <c r="G6209" s="11">
        <f>E6209*Summary!$B$6</f>
        <v/>
      </c>
      <c r="H6209" s="11">
        <f>F6209*Summary!$B$7</f>
        <v/>
      </c>
      <c r="I6209" s="11">
        <f>MAX(0,N6209-M6209)</f>
        <v/>
      </c>
      <c r="J6209" s="11">
        <f>MAX(0,M6209-N6209)</f>
        <v/>
      </c>
      <c r="K6209" s="11">
        <f>O6209</f>
        <v/>
      </c>
      <c r="L6209" s="11">
        <f>L6208+IF(K6209&gt;0,K6209*Summary!$B$9,K6209/Summary!$B$9)</f>
        <v/>
      </c>
      <c r="M6209" s="11">
        <f>G6209+H6209</f>
        <v/>
      </c>
      <c r="N6209" s="11">
        <f>Summary!$C$16*Summary!$B$8</f>
        <v/>
      </c>
      <c r="O6209" s="11">
        <f>M6209-N6209</f>
        <v/>
      </c>
    </row>
    <row r="6210">
      <c r="A6210" s="9" t="n">
        <v>45550.66666666666</v>
      </c>
      <c r="B6210" t="n">
        <v>9</v>
      </c>
      <c r="C6210" t="n">
        <v>15</v>
      </c>
      <c r="D6210" t="n">
        <v>16</v>
      </c>
      <c r="E6210" s="10" t="n">
        <v>0.223201</v>
      </c>
      <c r="F6210" s="10" t="n">
        <v>0.2291570469976913</v>
      </c>
      <c r="G6210" s="11">
        <f>E6210*Summary!$B$6</f>
        <v/>
      </c>
      <c r="H6210" s="11">
        <f>F6210*Summary!$B$7</f>
        <v/>
      </c>
      <c r="I6210" s="11">
        <f>MAX(0,N6210-M6210)</f>
        <v/>
      </c>
      <c r="J6210" s="11">
        <f>MAX(0,M6210-N6210)</f>
        <v/>
      </c>
      <c r="K6210" s="11">
        <f>O6210</f>
        <v/>
      </c>
      <c r="L6210" s="11">
        <f>L6209+IF(K6210&gt;0,K6210*Summary!$B$9,K6210/Summary!$B$9)</f>
        <v/>
      </c>
      <c r="M6210" s="11">
        <f>G6210+H6210</f>
        <v/>
      </c>
      <c r="N6210" s="11">
        <f>Summary!$C$16*Summary!$B$8</f>
        <v/>
      </c>
      <c r="O6210" s="11">
        <f>M6210-N6210</f>
        <v/>
      </c>
    </row>
    <row r="6211">
      <c r="A6211" s="9" t="n">
        <v>45550.70833333334</v>
      </c>
      <c r="B6211" t="n">
        <v>9</v>
      </c>
      <c r="C6211" t="n">
        <v>15</v>
      </c>
      <c r="D6211" t="n">
        <v>17</v>
      </c>
      <c r="E6211" s="10" t="n">
        <v>0.043169</v>
      </c>
      <c r="F6211" s="10" t="n">
        <v>0.2800164192039406</v>
      </c>
      <c r="G6211" s="11">
        <f>E6211*Summary!$B$6</f>
        <v/>
      </c>
      <c r="H6211" s="11">
        <f>F6211*Summary!$B$7</f>
        <v/>
      </c>
      <c r="I6211" s="11">
        <f>MAX(0,N6211-M6211)</f>
        <v/>
      </c>
      <c r="J6211" s="11">
        <f>MAX(0,M6211-N6211)</f>
        <v/>
      </c>
      <c r="K6211" s="11">
        <f>O6211</f>
        <v/>
      </c>
      <c r="L6211" s="11">
        <f>L6210+IF(K6211&gt;0,K6211*Summary!$B$9,K6211/Summary!$B$9)</f>
        <v/>
      </c>
      <c r="M6211" s="11">
        <f>G6211+H6211</f>
        <v/>
      </c>
      <c r="N6211" s="11">
        <f>Summary!$C$16*Summary!$B$8</f>
        <v/>
      </c>
      <c r="O6211" s="11">
        <f>M6211-N6211</f>
        <v/>
      </c>
    </row>
    <row r="6212">
      <c r="A6212" s="9" t="n">
        <v>45550.75</v>
      </c>
      <c r="B6212" t="n">
        <v>9</v>
      </c>
      <c r="C6212" t="n">
        <v>15</v>
      </c>
      <c r="D6212" t="n">
        <v>18</v>
      </c>
      <c r="E6212" s="10" t="n">
        <v>0</v>
      </c>
      <c r="F6212" s="10" t="n">
        <v>0.2917694140246593</v>
      </c>
      <c r="G6212" s="11">
        <f>E6212*Summary!$B$6</f>
        <v/>
      </c>
      <c r="H6212" s="11">
        <f>F6212*Summary!$B$7</f>
        <v/>
      </c>
      <c r="I6212" s="11">
        <f>MAX(0,N6212-M6212)</f>
        <v/>
      </c>
      <c r="J6212" s="11">
        <f>MAX(0,M6212-N6212)</f>
        <v/>
      </c>
      <c r="K6212" s="11">
        <f>O6212</f>
        <v/>
      </c>
      <c r="L6212" s="11">
        <f>L6211+IF(K6212&gt;0,K6212*Summary!$B$9,K6212/Summary!$B$9)</f>
        <v/>
      </c>
      <c r="M6212" s="11">
        <f>G6212+H6212</f>
        <v/>
      </c>
      <c r="N6212" s="11">
        <f>Summary!$C$16*Summary!$B$8</f>
        <v/>
      </c>
      <c r="O6212" s="11">
        <f>M6212-N6212</f>
        <v/>
      </c>
    </row>
    <row r="6213">
      <c r="A6213" s="9" t="n">
        <v>45550.79166666666</v>
      </c>
      <c r="B6213" t="n">
        <v>9</v>
      </c>
      <c r="C6213" t="n">
        <v>15</v>
      </c>
      <c r="D6213" t="n">
        <v>19</v>
      </c>
      <c r="E6213" s="10" t="n">
        <v>0</v>
      </c>
      <c r="F6213" s="10" t="n">
        <v>0.3092407942177906</v>
      </c>
      <c r="G6213" s="11">
        <f>E6213*Summary!$B$6</f>
        <v/>
      </c>
      <c r="H6213" s="11">
        <f>F6213*Summary!$B$7</f>
        <v/>
      </c>
      <c r="I6213" s="11">
        <f>MAX(0,N6213-M6213)</f>
        <v/>
      </c>
      <c r="J6213" s="11">
        <f>MAX(0,M6213-N6213)</f>
        <v/>
      </c>
      <c r="K6213" s="11">
        <f>O6213</f>
        <v/>
      </c>
      <c r="L6213" s="11">
        <f>L6212+IF(K6213&gt;0,K6213*Summary!$B$9,K6213/Summary!$B$9)</f>
        <v/>
      </c>
      <c r="M6213" s="11">
        <f>G6213+H6213</f>
        <v/>
      </c>
      <c r="N6213" s="11">
        <f>Summary!$C$16*Summary!$B$8</f>
        <v/>
      </c>
      <c r="O6213" s="11">
        <f>M6213-N6213</f>
        <v/>
      </c>
    </row>
    <row r="6214">
      <c r="A6214" s="9" t="n">
        <v>45550.83333333334</v>
      </c>
      <c r="B6214" t="n">
        <v>9</v>
      </c>
      <c r="C6214" t="n">
        <v>15</v>
      </c>
      <c r="D6214" t="n">
        <v>20</v>
      </c>
      <c r="E6214" s="10" t="n">
        <v>0</v>
      </c>
      <c r="F6214" s="10" t="n">
        <v>0.3258162061958895</v>
      </c>
      <c r="G6214" s="11">
        <f>E6214*Summary!$B$6</f>
        <v/>
      </c>
      <c r="H6214" s="11">
        <f>F6214*Summary!$B$7</f>
        <v/>
      </c>
      <c r="I6214" s="11">
        <f>MAX(0,N6214-M6214)</f>
        <v/>
      </c>
      <c r="J6214" s="11">
        <f>MAX(0,M6214-N6214)</f>
        <v/>
      </c>
      <c r="K6214" s="11">
        <f>O6214</f>
        <v/>
      </c>
      <c r="L6214" s="11">
        <f>L6213+IF(K6214&gt;0,K6214*Summary!$B$9,K6214/Summary!$B$9)</f>
        <v/>
      </c>
      <c r="M6214" s="11">
        <f>G6214+H6214</f>
        <v/>
      </c>
      <c r="N6214" s="11">
        <f>Summary!$C$16*Summary!$B$8</f>
        <v/>
      </c>
      <c r="O6214" s="11">
        <f>M6214-N6214</f>
        <v/>
      </c>
    </row>
    <row r="6215">
      <c r="A6215" s="9" t="n">
        <v>45550.875</v>
      </c>
      <c r="B6215" t="n">
        <v>9</v>
      </c>
      <c r="C6215" t="n">
        <v>15</v>
      </c>
      <c r="D6215" t="n">
        <v>21</v>
      </c>
      <c r="E6215" s="10" t="n">
        <v>0</v>
      </c>
      <c r="F6215" s="10" t="n">
        <v>0.3383861132126672</v>
      </c>
      <c r="G6215" s="11">
        <f>E6215*Summary!$B$6</f>
        <v/>
      </c>
      <c r="H6215" s="11">
        <f>F6215*Summary!$B$7</f>
        <v/>
      </c>
      <c r="I6215" s="11">
        <f>MAX(0,N6215-M6215)</f>
        <v/>
      </c>
      <c r="J6215" s="11">
        <f>MAX(0,M6215-N6215)</f>
        <v/>
      </c>
      <c r="K6215" s="11">
        <f>O6215</f>
        <v/>
      </c>
      <c r="L6215" s="11">
        <f>L6214+IF(K6215&gt;0,K6215*Summary!$B$9,K6215/Summary!$B$9)</f>
        <v/>
      </c>
      <c r="M6215" s="11">
        <f>G6215+H6215</f>
        <v/>
      </c>
      <c r="N6215" s="11">
        <f>Summary!$C$16*Summary!$B$8</f>
        <v/>
      </c>
      <c r="O6215" s="11">
        <f>M6215-N6215</f>
        <v/>
      </c>
    </row>
    <row r="6216">
      <c r="A6216" s="9" t="n">
        <v>45550.91666666666</v>
      </c>
      <c r="B6216" t="n">
        <v>9</v>
      </c>
      <c r="C6216" t="n">
        <v>15</v>
      </c>
      <c r="D6216" t="n">
        <v>22</v>
      </c>
      <c r="E6216" s="10" t="n">
        <v>0</v>
      </c>
      <c r="F6216" s="10" t="n">
        <v>0.3404152176996523</v>
      </c>
      <c r="G6216" s="11">
        <f>E6216*Summary!$B$6</f>
        <v/>
      </c>
      <c r="H6216" s="11">
        <f>F6216*Summary!$B$7</f>
        <v/>
      </c>
      <c r="I6216" s="11">
        <f>MAX(0,N6216-M6216)</f>
        <v/>
      </c>
      <c r="J6216" s="11">
        <f>MAX(0,M6216-N6216)</f>
        <v/>
      </c>
      <c r="K6216" s="11">
        <f>O6216</f>
        <v/>
      </c>
      <c r="L6216" s="11">
        <f>L6215+IF(K6216&gt;0,K6216*Summary!$B$9,K6216/Summary!$B$9)</f>
        <v/>
      </c>
      <c r="M6216" s="11">
        <f>G6216+H6216</f>
        <v/>
      </c>
      <c r="N6216" s="11">
        <f>Summary!$C$16*Summary!$B$8</f>
        <v/>
      </c>
      <c r="O6216" s="11">
        <f>M6216-N6216</f>
        <v/>
      </c>
    </row>
    <row r="6217">
      <c r="A6217" s="9" t="n">
        <v>45550.95833333334</v>
      </c>
      <c r="B6217" t="n">
        <v>9</v>
      </c>
      <c r="C6217" t="n">
        <v>15</v>
      </c>
      <c r="D6217" t="n">
        <v>23</v>
      </c>
      <c r="E6217" s="10" t="n">
        <v>0</v>
      </c>
      <c r="F6217" s="10" t="n">
        <v>0.3439727385534573</v>
      </c>
      <c r="G6217" s="11">
        <f>E6217*Summary!$B$6</f>
        <v/>
      </c>
      <c r="H6217" s="11">
        <f>F6217*Summary!$B$7</f>
        <v/>
      </c>
      <c r="I6217" s="11">
        <f>MAX(0,N6217-M6217)</f>
        <v/>
      </c>
      <c r="J6217" s="11">
        <f>MAX(0,M6217-N6217)</f>
        <v/>
      </c>
      <c r="K6217" s="11">
        <f>O6217</f>
        <v/>
      </c>
      <c r="L6217" s="11">
        <f>L6216+IF(K6217&gt;0,K6217*Summary!$B$9,K6217/Summary!$B$9)</f>
        <v/>
      </c>
      <c r="M6217" s="11">
        <f>G6217+H6217</f>
        <v/>
      </c>
      <c r="N6217" s="11">
        <f>Summary!$C$16*Summary!$B$8</f>
        <v/>
      </c>
      <c r="O6217" s="11">
        <f>M6217-N6217</f>
        <v/>
      </c>
    </row>
    <row r="6218">
      <c r="A6218" s="9" t="n">
        <v>45551</v>
      </c>
      <c r="B6218" t="n">
        <v>9</v>
      </c>
      <c r="C6218" t="n">
        <v>16</v>
      </c>
      <c r="D6218" t="n">
        <v>0</v>
      </c>
      <c r="E6218" s="10" t="n">
        <v>0</v>
      </c>
      <c r="F6218" s="10" t="n">
        <v>0.3683219923972781</v>
      </c>
      <c r="G6218" s="11">
        <f>E6218*Summary!$B$6</f>
        <v/>
      </c>
      <c r="H6218" s="11">
        <f>F6218*Summary!$B$7</f>
        <v/>
      </c>
      <c r="I6218" s="11">
        <f>MAX(0,N6218-M6218)</f>
        <v/>
      </c>
      <c r="J6218" s="11">
        <f>MAX(0,M6218-N6218)</f>
        <v/>
      </c>
      <c r="K6218" s="11">
        <f>O6218</f>
        <v/>
      </c>
      <c r="L6218" s="11">
        <f>L6217+IF(K6218&gt;0,K6218*Summary!$B$9,K6218/Summary!$B$9)</f>
        <v/>
      </c>
      <c r="M6218" s="11">
        <f>G6218+H6218</f>
        <v/>
      </c>
      <c r="N6218" s="11">
        <f>Summary!$C$16*Summary!$B$8</f>
        <v/>
      </c>
      <c r="O6218" s="11">
        <f>M6218-N6218</f>
        <v/>
      </c>
    </row>
    <row r="6219">
      <c r="A6219" s="9" t="n">
        <v>45551.04166666666</v>
      </c>
      <c r="B6219" t="n">
        <v>9</v>
      </c>
      <c r="C6219" t="n">
        <v>16</v>
      </c>
      <c r="D6219" t="n">
        <v>1</v>
      </c>
      <c r="E6219" s="10" t="n">
        <v>0</v>
      </c>
      <c r="F6219" s="10" t="n">
        <v>0.3396510095162423</v>
      </c>
      <c r="G6219" s="11">
        <f>E6219*Summary!$B$6</f>
        <v/>
      </c>
      <c r="H6219" s="11">
        <f>F6219*Summary!$B$7</f>
        <v/>
      </c>
      <c r="I6219" s="11">
        <f>MAX(0,N6219-M6219)</f>
        <v/>
      </c>
      <c r="J6219" s="11">
        <f>MAX(0,M6219-N6219)</f>
        <v/>
      </c>
      <c r="K6219" s="11">
        <f>O6219</f>
        <v/>
      </c>
      <c r="L6219" s="11">
        <f>L6218+IF(K6219&gt;0,K6219*Summary!$B$9,K6219/Summary!$B$9)</f>
        <v/>
      </c>
      <c r="M6219" s="11">
        <f>G6219+H6219</f>
        <v/>
      </c>
      <c r="N6219" s="11">
        <f>Summary!$C$16*Summary!$B$8</f>
        <v/>
      </c>
      <c r="O6219" s="11">
        <f>M6219-N6219</f>
        <v/>
      </c>
    </row>
    <row r="6220">
      <c r="A6220" s="9" t="n">
        <v>45551.08333333334</v>
      </c>
      <c r="B6220" t="n">
        <v>9</v>
      </c>
      <c r="C6220" t="n">
        <v>16</v>
      </c>
      <c r="D6220" t="n">
        <v>2</v>
      </c>
      <c r="E6220" s="10" t="n">
        <v>0</v>
      </c>
      <c r="F6220" s="10" t="n">
        <v>0.3444734266736224</v>
      </c>
      <c r="G6220" s="11">
        <f>E6220*Summary!$B$6</f>
        <v/>
      </c>
      <c r="H6220" s="11">
        <f>F6220*Summary!$B$7</f>
        <v/>
      </c>
      <c r="I6220" s="11">
        <f>MAX(0,N6220-M6220)</f>
        <v/>
      </c>
      <c r="J6220" s="11">
        <f>MAX(0,M6220-N6220)</f>
        <v/>
      </c>
      <c r="K6220" s="11">
        <f>O6220</f>
        <v/>
      </c>
      <c r="L6220" s="11">
        <f>L6219+IF(K6220&gt;0,K6220*Summary!$B$9,K6220/Summary!$B$9)</f>
        <v/>
      </c>
      <c r="M6220" s="11">
        <f>G6220+H6220</f>
        <v/>
      </c>
      <c r="N6220" s="11">
        <f>Summary!$C$16*Summary!$B$8</f>
        <v/>
      </c>
      <c r="O6220" s="11">
        <f>M6220-N6220</f>
        <v/>
      </c>
    </row>
    <row r="6221">
      <c r="A6221" s="9" t="n">
        <v>45551.125</v>
      </c>
      <c r="B6221" t="n">
        <v>9</v>
      </c>
      <c r="C6221" t="n">
        <v>16</v>
      </c>
      <c r="D6221" t="n">
        <v>3</v>
      </c>
      <c r="E6221" s="10" t="n">
        <v>0</v>
      </c>
      <c r="F6221" s="10" t="n">
        <v>0.3480309475274274</v>
      </c>
      <c r="G6221" s="11">
        <f>E6221*Summary!$B$6</f>
        <v/>
      </c>
      <c r="H6221" s="11">
        <f>F6221*Summary!$B$7</f>
        <v/>
      </c>
      <c r="I6221" s="11">
        <f>MAX(0,N6221-M6221)</f>
        <v/>
      </c>
      <c r="J6221" s="11">
        <f>MAX(0,M6221-N6221)</f>
        <v/>
      </c>
      <c r="K6221" s="11">
        <f>O6221</f>
        <v/>
      </c>
      <c r="L6221" s="11">
        <f>L6220+IF(K6221&gt;0,K6221*Summary!$B$9,K6221/Summary!$B$9)</f>
        <v/>
      </c>
      <c r="M6221" s="11">
        <f>G6221+H6221</f>
        <v/>
      </c>
      <c r="N6221" s="11">
        <f>Summary!$C$16*Summary!$B$8</f>
        <v/>
      </c>
      <c r="O6221" s="11">
        <f>M6221-N6221</f>
        <v/>
      </c>
    </row>
    <row r="6222">
      <c r="A6222" s="9" t="n">
        <v>45551.16666666666</v>
      </c>
      <c r="B6222" t="n">
        <v>9</v>
      </c>
      <c r="C6222" t="n">
        <v>16</v>
      </c>
      <c r="D6222" t="n">
        <v>4</v>
      </c>
      <c r="E6222" s="10" t="n">
        <v>0</v>
      </c>
      <c r="F6222" s="10" t="n">
        <v>0.3475039074009378</v>
      </c>
      <c r="G6222" s="11">
        <f>E6222*Summary!$B$6</f>
        <v/>
      </c>
      <c r="H6222" s="11">
        <f>F6222*Summary!$B$7</f>
        <v/>
      </c>
      <c r="I6222" s="11">
        <f>MAX(0,N6222-M6222)</f>
        <v/>
      </c>
      <c r="J6222" s="11">
        <f>MAX(0,M6222-N6222)</f>
        <v/>
      </c>
      <c r="K6222" s="11">
        <f>O6222</f>
        <v/>
      </c>
      <c r="L6222" s="11">
        <f>L6221+IF(K6222&gt;0,K6222*Summary!$B$9,K6222/Summary!$B$9)</f>
        <v/>
      </c>
      <c r="M6222" s="11">
        <f>G6222+H6222</f>
        <v/>
      </c>
      <c r="N6222" s="11">
        <f>Summary!$C$16*Summary!$B$8</f>
        <v/>
      </c>
      <c r="O6222" s="11">
        <f>M6222-N6222</f>
        <v/>
      </c>
    </row>
    <row r="6223">
      <c r="A6223" s="9" t="n">
        <v>45551.20833333334</v>
      </c>
      <c r="B6223" t="n">
        <v>9</v>
      </c>
      <c r="C6223" t="n">
        <v>16</v>
      </c>
      <c r="D6223" t="n">
        <v>5</v>
      </c>
      <c r="E6223" s="10" t="n">
        <v>0</v>
      </c>
      <c r="F6223" s="10" t="n">
        <v>0.3458173789961709</v>
      </c>
      <c r="G6223" s="11">
        <f>E6223*Summary!$B$6</f>
        <v/>
      </c>
      <c r="H6223" s="11">
        <f>F6223*Summary!$B$7</f>
        <v/>
      </c>
      <c r="I6223" s="11">
        <f>MAX(0,N6223-M6223)</f>
        <v/>
      </c>
      <c r="J6223" s="11">
        <f>MAX(0,M6223-N6223)</f>
        <v/>
      </c>
      <c r="K6223" s="11">
        <f>O6223</f>
        <v/>
      </c>
      <c r="L6223" s="11">
        <f>L6222+IF(K6223&gt;0,K6223*Summary!$B$9,K6223/Summary!$B$9)</f>
        <v/>
      </c>
      <c r="M6223" s="11">
        <f>G6223+H6223</f>
        <v/>
      </c>
      <c r="N6223" s="11">
        <f>Summary!$C$16*Summary!$B$8</f>
        <v/>
      </c>
      <c r="O6223" s="11">
        <f>M6223-N6223</f>
        <v/>
      </c>
    </row>
    <row r="6224">
      <c r="A6224" s="9" t="n">
        <v>45551.25</v>
      </c>
      <c r="B6224" t="n">
        <v>9</v>
      </c>
      <c r="C6224" t="n">
        <v>16</v>
      </c>
      <c r="D6224" t="n">
        <v>6</v>
      </c>
      <c r="E6224" s="10" t="n">
        <v>0.019665</v>
      </c>
      <c r="F6224" s="10" t="n">
        <v>0.335092112422107</v>
      </c>
      <c r="G6224" s="11">
        <f>E6224*Summary!$B$6</f>
        <v/>
      </c>
      <c r="H6224" s="11">
        <f>F6224*Summary!$B$7</f>
        <v/>
      </c>
      <c r="I6224" s="11">
        <f>MAX(0,N6224-M6224)</f>
        <v/>
      </c>
      <c r="J6224" s="11">
        <f>MAX(0,M6224-N6224)</f>
        <v/>
      </c>
      <c r="K6224" s="11">
        <f>O6224</f>
        <v/>
      </c>
      <c r="L6224" s="11">
        <f>L6223+IF(K6224&gt;0,K6224*Summary!$B$9,K6224/Summary!$B$9)</f>
        <v/>
      </c>
      <c r="M6224" s="11">
        <f>G6224+H6224</f>
        <v/>
      </c>
      <c r="N6224" s="11">
        <f>Summary!$C$16*Summary!$B$8</f>
        <v/>
      </c>
      <c r="O6224" s="11">
        <f>M6224-N6224</f>
        <v/>
      </c>
    </row>
    <row r="6225">
      <c r="A6225" s="9" t="n">
        <v>45551.29166666666</v>
      </c>
      <c r="B6225" t="n">
        <v>9</v>
      </c>
      <c r="C6225" t="n">
        <v>16</v>
      </c>
      <c r="D6225" t="n">
        <v>7</v>
      </c>
      <c r="E6225" s="10" t="n">
        <v>0.06822599999999999</v>
      </c>
      <c r="F6225" s="10" t="n">
        <v>0.3137996913119259</v>
      </c>
      <c r="G6225" s="11">
        <f>E6225*Summary!$B$6</f>
        <v/>
      </c>
      <c r="H6225" s="11">
        <f>F6225*Summary!$B$7</f>
        <v/>
      </c>
      <c r="I6225" s="11">
        <f>MAX(0,N6225-M6225)</f>
        <v/>
      </c>
      <c r="J6225" s="11">
        <f>MAX(0,M6225-N6225)</f>
        <v/>
      </c>
      <c r="K6225" s="11">
        <f>O6225</f>
        <v/>
      </c>
      <c r="L6225" s="11">
        <f>L6224+IF(K6225&gt;0,K6225*Summary!$B$9,K6225/Summary!$B$9)</f>
        <v/>
      </c>
      <c r="M6225" s="11">
        <f>G6225+H6225</f>
        <v/>
      </c>
      <c r="N6225" s="11">
        <f>Summary!$C$16*Summary!$B$8</f>
        <v/>
      </c>
      <c r="O6225" s="11">
        <f>M6225-N6225</f>
        <v/>
      </c>
    </row>
    <row r="6226">
      <c r="A6226" s="9" t="n">
        <v>45551.33333333334</v>
      </c>
      <c r="B6226" t="n">
        <v>9</v>
      </c>
      <c r="C6226" t="n">
        <v>16</v>
      </c>
      <c r="D6226" t="n">
        <v>8</v>
      </c>
      <c r="E6226" s="10" t="n">
        <v>0.245382</v>
      </c>
      <c r="F6226" s="10" t="n">
        <v>0.3015723603773665</v>
      </c>
      <c r="G6226" s="11">
        <f>E6226*Summary!$B$6</f>
        <v/>
      </c>
      <c r="H6226" s="11">
        <f>F6226*Summary!$B$7</f>
        <v/>
      </c>
      <c r="I6226" s="11">
        <f>MAX(0,N6226-M6226)</f>
        <v/>
      </c>
      <c r="J6226" s="11">
        <f>MAX(0,M6226-N6226)</f>
        <v/>
      </c>
      <c r="K6226" s="11">
        <f>O6226</f>
        <v/>
      </c>
      <c r="L6226" s="11">
        <f>L6225+IF(K6226&gt;0,K6226*Summary!$B$9,K6226/Summary!$B$9)</f>
        <v/>
      </c>
      <c r="M6226" s="11">
        <f>G6226+H6226</f>
        <v/>
      </c>
      <c r="N6226" s="11">
        <f>Summary!$C$16*Summary!$B$8</f>
        <v/>
      </c>
      <c r="O6226" s="11">
        <f>M6226-N6226</f>
        <v/>
      </c>
    </row>
    <row r="6227">
      <c r="A6227" s="9" t="n">
        <v>45551.375</v>
      </c>
      <c r="B6227" t="n">
        <v>9</v>
      </c>
      <c r="C6227" t="n">
        <v>16</v>
      </c>
      <c r="D6227" t="n">
        <v>9</v>
      </c>
      <c r="E6227" s="10" t="n">
        <v>0.459836</v>
      </c>
      <c r="F6227" s="10" t="n">
        <v>0.2938248705179689</v>
      </c>
      <c r="G6227" s="11">
        <f>E6227*Summary!$B$6</f>
        <v/>
      </c>
      <c r="H6227" s="11">
        <f>F6227*Summary!$B$7</f>
        <v/>
      </c>
      <c r="I6227" s="11">
        <f>MAX(0,N6227-M6227)</f>
        <v/>
      </c>
      <c r="J6227" s="11">
        <f>MAX(0,M6227-N6227)</f>
        <v/>
      </c>
      <c r="K6227" s="11">
        <f>O6227</f>
        <v/>
      </c>
      <c r="L6227" s="11">
        <f>L6226+IF(K6227&gt;0,K6227*Summary!$B$9,K6227/Summary!$B$9)</f>
        <v/>
      </c>
      <c r="M6227" s="11">
        <f>G6227+H6227</f>
        <v/>
      </c>
      <c r="N6227" s="11">
        <f>Summary!$C$16*Summary!$B$8</f>
        <v/>
      </c>
      <c r="O6227" s="11">
        <f>M6227-N6227</f>
        <v/>
      </c>
    </row>
    <row r="6228">
      <c r="A6228" s="9" t="n">
        <v>45551.41666666666</v>
      </c>
      <c r="B6228" t="n">
        <v>9</v>
      </c>
      <c r="C6228" t="n">
        <v>16</v>
      </c>
      <c r="D6228" t="n">
        <v>10</v>
      </c>
      <c r="E6228" s="10" t="n">
        <v>0.429697</v>
      </c>
      <c r="F6228" s="10" t="n">
        <v>0.2669721760733222</v>
      </c>
      <c r="G6228" s="11">
        <f>E6228*Summary!$B$6</f>
        <v/>
      </c>
      <c r="H6228" s="11">
        <f>F6228*Summary!$B$7</f>
        <v/>
      </c>
      <c r="I6228" s="11">
        <f>MAX(0,N6228-M6228)</f>
        <v/>
      </c>
      <c r="J6228" s="11">
        <f>MAX(0,M6228-N6228)</f>
        <v/>
      </c>
      <c r="K6228" s="11">
        <f>O6228</f>
        <v/>
      </c>
      <c r="L6228" s="11">
        <f>L6227+IF(K6228&gt;0,K6228*Summary!$B$9,K6228/Summary!$B$9)</f>
        <v/>
      </c>
      <c r="M6228" s="11">
        <f>G6228+H6228</f>
        <v/>
      </c>
      <c r="N6228" s="11">
        <f>Summary!$C$16*Summary!$B$8</f>
        <v/>
      </c>
      <c r="O6228" s="11">
        <f>M6228-N6228</f>
        <v/>
      </c>
    </row>
    <row r="6229">
      <c r="A6229" s="9" t="n">
        <v>45551.45833333334</v>
      </c>
      <c r="B6229" t="n">
        <v>9</v>
      </c>
      <c r="C6229" t="n">
        <v>16</v>
      </c>
      <c r="D6229" t="n">
        <v>11</v>
      </c>
      <c r="E6229" s="10" t="n">
        <v>0.481217</v>
      </c>
      <c r="F6229" s="10" t="n">
        <v>0.2913477819234677</v>
      </c>
      <c r="G6229" s="11">
        <f>E6229*Summary!$B$6</f>
        <v/>
      </c>
      <c r="H6229" s="11">
        <f>F6229*Summary!$B$7</f>
        <v/>
      </c>
      <c r="I6229" s="11">
        <f>MAX(0,N6229-M6229)</f>
        <v/>
      </c>
      <c r="J6229" s="11">
        <f>MAX(0,M6229-N6229)</f>
        <v/>
      </c>
      <c r="K6229" s="11">
        <f>O6229</f>
        <v/>
      </c>
      <c r="L6229" s="11">
        <f>L6228+IF(K6229&gt;0,K6229*Summary!$B$9,K6229/Summary!$B$9)</f>
        <v/>
      </c>
      <c r="M6229" s="11">
        <f>G6229+H6229</f>
        <v/>
      </c>
      <c r="N6229" s="11">
        <f>Summary!$C$16*Summary!$B$8</f>
        <v/>
      </c>
      <c r="O6229" s="11">
        <f>M6229-N6229</f>
        <v/>
      </c>
    </row>
    <row r="6230">
      <c r="A6230" s="9" t="n">
        <v>45551.5</v>
      </c>
      <c r="B6230" t="n">
        <v>9</v>
      </c>
      <c r="C6230" t="n">
        <v>16</v>
      </c>
      <c r="D6230" t="n">
        <v>12</v>
      </c>
      <c r="E6230" s="10" t="n">
        <v>0.604998</v>
      </c>
      <c r="F6230" s="10" t="n">
        <v>0.2870787568989017</v>
      </c>
      <c r="G6230" s="11">
        <f>E6230*Summary!$B$6</f>
        <v/>
      </c>
      <c r="H6230" s="11">
        <f>F6230*Summary!$B$7</f>
        <v/>
      </c>
      <c r="I6230" s="11">
        <f>MAX(0,N6230-M6230)</f>
        <v/>
      </c>
      <c r="J6230" s="11">
        <f>MAX(0,M6230-N6230)</f>
        <v/>
      </c>
      <c r="K6230" s="11">
        <f>O6230</f>
        <v/>
      </c>
      <c r="L6230" s="11">
        <f>L6229+IF(K6230&gt;0,K6230*Summary!$B$9,K6230/Summary!$B$9)</f>
        <v/>
      </c>
      <c r="M6230" s="11">
        <f>G6230+H6230</f>
        <v/>
      </c>
      <c r="N6230" s="11">
        <f>Summary!$C$16*Summary!$B$8</f>
        <v/>
      </c>
      <c r="O6230" s="11">
        <f>M6230-N6230</f>
        <v/>
      </c>
    </row>
    <row r="6231">
      <c r="A6231" s="9" t="n">
        <v>45551.54166666666</v>
      </c>
      <c r="B6231" t="n">
        <v>9</v>
      </c>
      <c r="C6231" t="n">
        <v>16</v>
      </c>
      <c r="D6231" t="n">
        <v>13</v>
      </c>
      <c r="E6231" s="10" t="n">
        <v>0.295289</v>
      </c>
      <c r="F6231" s="10" t="n">
        <v>0.2845489642917514</v>
      </c>
      <c r="G6231" s="11">
        <f>E6231*Summary!$B$6</f>
        <v/>
      </c>
      <c r="H6231" s="11">
        <f>F6231*Summary!$B$7</f>
        <v/>
      </c>
      <c r="I6231" s="11">
        <f>MAX(0,N6231-M6231)</f>
        <v/>
      </c>
      <c r="J6231" s="11">
        <f>MAX(0,M6231-N6231)</f>
        <v/>
      </c>
      <c r="K6231" s="11">
        <f>O6231</f>
        <v/>
      </c>
      <c r="L6231" s="11">
        <f>L6230+IF(K6231&gt;0,K6231*Summary!$B$9,K6231/Summary!$B$9)</f>
        <v/>
      </c>
      <c r="M6231" s="11">
        <f>G6231+H6231</f>
        <v/>
      </c>
      <c r="N6231" s="11">
        <f>Summary!$C$16*Summary!$B$8</f>
        <v/>
      </c>
      <c r="O6231" s="11">
        <f>M6231-N6231</f>
        <v/>
      </c>
    </row>
    <row r="6232">
      <c r="A6232" s="9" t="n">
        <v>45551.58333333334</v>
      </c>
      <c r="B6232" t="n">
        <v>9</v>
      </c>
      <c r="C6232" t="n">
        <v>16</v>
      </c>
      <c r="D6232" t="n">
        <v>14</v>
      </c>
      <c r="E6232" s="10" t="n">
        <v>0.147563</v>
      </c>
      <c r="F6232" s="10" t="n">
        <v>0.2869733488736038</v>
      </c>
      <c r="G6232" s="11">
        <f>E6232*Summary!$B$6</f>
        <v/>
      </c>
      <c r="H6232" s="11">
        <f>F6232*Summary!$B$7</f>
        <v/>
      </c>
      <c r="I6232" s="11">
        <f>MAX(0,N6232-M6232)</f>
        <v/>
      </c>
      <c r="J6232" s="11">
        <f>MAX(0,M6232-N6232)</f>
        <v/>
      </c>
      <c r="K6232" s="11">
        <f>O6232</f>
        <v/>
      </c>
      <c r="L6232" s="11">
        <f>L6231+IF(K6232&gt;0,K6232*Summary!$B$9,K6232/Summary!$B$9)</f>
        <v/>
      </c>
      <c r="M6232" s="11">
        <f>G6232+H6232</f>
        <v/>
      </c>
      <c r="N6232" s="11">
        <f>Summary!$C$16*Summary!$B$8</f>
        <v/>
      </c>
      <c r="O6232" s="11">
        <f>M6232-N6232</f>
        <v/>
      </c>
    </row>
    <row r="6233">
      <c r="A6233" s="9" t="n">
        <v>45551.625</v>
      </c>
      <c r="B6233" t="n">
        <v>9</v>
      </c>
      <c r="C6233" t="n">
        <v>16</v>
      </c>
      <c r="D6233" t="n">
        <v>15</v>
      </c>
      <c r="E6233" s="10" t="n">
        <v>0.126856</v>
      </c>
      <c r="F6233" s="10" t="n">
        <v>0.2876848530443648</v>
      </c>
      <c r="G6233" s="11">
        <f>E6233*Summary!$B$6</f>
        <v/>
      </c>
      <c r="H6233" s="11">
        <f>F6233*Summary!$B$7</f>
        <v/>
      </c>
      <c r="I6233" s="11">
        <f>MAX(0,N6233-M6233)</f>
        <v/>
      </c>
      <c r="J6233" s="11">
        <f>MAX(0,M6233-N6233)</f>
        <v/>
      </c>
      <c r="K6233" s="11">
        <f>O6233</f>
        <v/>
      </c>
      <c r="L6233" s="11">
        <f>L6232+IF(K6233&gt;0,K6233*Summary!$B$9,K6233/Summary!$B$9)</f>
        <v/>
      </c>
      <c r="M6233" s="11">
        <f>G6233+H6233</f>
        <v/>
      </c>
      <c r="N6233" s="11">
        <f>Summary!$C$16*Summary!$B$8</f>
        <v/>
      </c>
      <c r="O6233" s="11">
        <f>M6233-N6233</f>
        <v/>
      </c>
    </row>
    <row r="6234">
      <c r="A6234" s="9" t="n">
        <v>45551.66666666666</v>
      </c>
      <c r="B6234" t="n">
        <v>9</v>
      </c>
      <c r="C6234" t="n">
        <v>16</v>
      </c>
      <c r="D6234" t="n">
        <v>16</v>
      </c>
      <c r="E6234" s="10" t="n">
        <v>0.08258799999999999</v>
      </c>
      <c r="F6234" s="10" t="n">
        <v>0.2931660703598569</v>
      </c>
      <c r="G6234" s="11">
        <f>E6234*Summary!$B$6</f>
        <v/>
      </c>
      <c r="H6234" s="11">
        <f>F6234*Summary!$B$7</f>
        <v/>
      </c>
      <c r="I6234" s="11">
        <f>MAX(0,N6234-M6234)</f>
        <v/>
      </c>
      <c r="J6234" s="11">
        <f>MAX(0,M6234-N6234)</f>
        <v/>
      </c>
      <c r="K6234" s="11">
        <f>O6234</f>
        <v/>
      </c>
      <c r="L6234" s="11">
        <f>L6233+IF(K6234&gt;0,K6234*Summary!$B$9,K6234/Summary!$B$9)</f>
        <v/>
      </c>
      <c r="M6234" s="11">
        <f>G6234+H6234</f>
        <v/>
      </c>
      <c r="N6234" s="11">
        <f>Summary!$C$16*Summary!$B$8</f>
        <v/>
      </c>
      <c r="O6234" s="11">
        <f>M6234-N6234</f>
        <v/>
      </c>
    </row>
    <row r="6235">
      <c r="A6235" s="9" t="n">
        <v>45551.70833333334</v>
      </c>
      <c r="B6235" t="n">
        <v>9</v>
      </c>
      <c r="C6235" t="n">
        <v>16</v>
      </c>
      <c r="D6235" t="n">
        <v>17</v>
      </c>
      <c r="E6235" s="10" t="n">
        <v>0.034244</v>
      </c>
      <c r="F6235" s="10" t="n">
        <v>0.3056305693513366</v>
      </c>
      <c r="G6235" s="11">
        <f>E6235*Summary!$B$6</f>
        <v/>
      </c>
      <c r="H6235" s="11">
        <f>F6235*Summary!$B$7</f>
        <v/>
      </c>
      <c r="I6235" s="11">
        <f>MAX(0,N6235-M6235)</f>
        <v/>
      </c>
      <c r="J6235" s="11">
        <f>MAX(0,M6235-N6235)</f>
        <v/>
      </c>
      <c r="K6235" s="11">
        <f>O6235</f>
        <v/>
      </c>
      <c r="L6235" s="11">
        <f>L6234+IF(K6235&gt;0,K6235*Summary!$B$9,K6235/Summary!$B$9)</f>
        <v/>
      </c>
      <c r="M6235" s="11">
        <f>G6235+H6235</f>
        <v/>
      </c>
      <c r="N6235" s="11">
        <f>Summary!$C$16*Summary!$B$8</f>
        <v/>
      </c>
      <c r="O6235" s="11">
        <f>M6235-N6235</f>
        <v/>
      </c>
    </row>
    <row r="6236">
      <c r="A6236" s="9" t="n">
        <v>45551.75</v>
      </c>
      <c r="B6236" t="n">
        <v>9</v>
      </c>
      <c r="C6236" t="n">
        <v>16</v>
      </c>
      <c r="D6236" t="n">
        <v>18</v>
      </c>
      <c r="E6236" s="10" t="n">
        <v>0</v>
      </c>
      <c r="F6236" s="10" t="n">
        <v>0.327265566543736</v>
      </c>
      <c r="G6236" s="11">
        <f>E6236*Summary!$B$6</f>
        <v/>
      </c>
      <c r="H6236" s="11">
        <f>F6236*Summary!$B$7</f>
        <v/>
      </c>
      <c r="I6236" s="11">
        <f>MAX(0,N6236-M6236)</f>
        <v/>
      </c>
      <c r="J6236" s="11">
        <f>MAX(0,M6236-N6236)</f>
        <v/>
      </c>
      <c r="K6236" s="11">
        <f>O6236</f>
        <v/>
      </c>
      <c r="L6236" s="11">
        <f>L6235+IF(K6236&gt;0,K6236*Summary!$B$9,K6236/Summary!$B$9)</f>
        <v/>
      </c>
      <c r="M6236" s="11">
        <f>G6236+H6236</f>
        <v/>
      </c>
      <c r="N6236" s="11">
        <f>Summary!$C$16*Summary!$B$8</f>
        <v/>
      </c>
      <c r="O6236" s="11">
        <f>M6236-N6236</f>
        <v/>
      </c>
    </row>
    <row r="6237">
      <c r="A6237" s="9" t="n">
        <v>45551.79166666666</v>
      </c>
      <c r="B6237" t="n">
        <v>9</v>
      </c>
      <c r="C6237" t="n">
        <v>16</v>
      </c>
      <c r="D6237" t="n">
        <v>19</v>
      </c>
      <c r="E6237" s="10" t="n">
        <v>0</v>
      </c>
      <c r="F6237" s="10" t="n">
        <v>0.347134979312395</v>
      </c>
      <c r="G6237" s="11">
        <f>E6237*Summary!$B$6</f>
        <v/>
      </c>
      <c r="H6237" s="11">
        <f>F6237*Summary!$B$7</f>
        <v/>
      </c>
      <c r="I6237" s="11">
        <f>MAX(0,N6237-M6237)</f>
        <v/>
      </c>
      <c r="J6237" s="11">
        <f>MAX(0,M6237-N6237)</f>
        <v/>
      </c>
      <c r="K6237" s="11">
        <f>O6237</f>
        <v/>
      </c>
      <c r="L6237" s="11">
        <f>L6236+IF(K6237&gt;0,K6237*Summary!$B$9,K6237/Summary!$B$9)</f>
        <v/>
      </c>
      <c r="M6237" s="11">
        <f>G6237+H6237</f>
        <v/>
      </c>
      <c r="N6237" s="11">
        <f>Summary!$C$16*Summary!$B$8</f>
        <v/>
      </c>
      <c r="O6237" s="11">
        <f>M6237-N6237</f>
        <v/>
      </c>
    </row>
    <row r="6238">
      <c r="A6238" s="9" t="n">
        <v>45551.83333333334</v>
      </c>
      <c r="B6238" t="n">
        <v>9</v>
      </c>
      <c r="C6238" t="n">
        <v>16</v>
      </c>
      <c r="D6238" t="n">
        <v>20</v>
      </c>
      <c r="E6238" s="10" t="n">
        <v>0</v>
      </c>
      <c r="F6238" s="10" t="n">
        <v>0.360706262569503</v>
      </c>
      <c r="G6238" s="11">
        <f>E6238*Summary!$B$6</f>
        <v/>
      </c>
      <c r="H6238" s="11">
        <f>F6238*Summary!$B$7</f>
        <v/>
      </c>
      <c r="I6238" s="11">
        <f>MAX(0,N6238-M6238)</f>
        <v/>
      </c>
      <c r="J6238" s="11">
        <f>MAX(0,M6238-N6238)</f>
        <v/>
      </c>
      <c r="K6238" s="11">
        <f>O6238</f>
        <v/>
      </c>
      <c r="L6238" s="11">
        <f>L6237+IF(K6238&gt;0,K6238*Summary!$B$9,K6238/Summary!$B$9)</f>
        <v/>
      </c>
      <c r="M6238" s="11">
        <f>G6238+H6238</f>
        <v/>
      </c>
      <c r="N6238" s="11">
        <f>Summary!$C$16*Summary!$B$8</f>
        <v/>
      </c>
      <c r="O6238" s="11">
        <f>M6238-N6238</f>
        <v/>
      </c>
    </row>
    <row r="6239">
      <c r="A6239" s="9" t="n">
        <v>45551.875</v>
      </c>
      <c r="B6239" t="n">
        <v>9</v>
      </c>
      <c r="C6239" t="n">
        <v>16</v>
      </c>
      <c r="D6239" t="n">
        <v>21</v>
      </c>
      <c r="E6239" s="10" t="n">
        <v>0</v>
      </c>
      <c r="F6239" s="10" t="n">
        <v>0.3659239598217504</v>
      </c>
      <c r="G6239" s="11">
        <f>E6239*Summary!$B$6</f>
        <v/>
      </c>
      <c r="H6239" s="11">
        <f>F6239*Summary!$B$7</f>
        <v/>
      </c>
      <c r="I6239" s="11">
        <f>MAX(0,N6239-M6239)</f>
        <v/>
      </c>
      <c r="J6239" s="11">
        <f>MAX(0,M6239-N6239)</f>
        <v/>
      </c>
      <c r="K6239" s="11">
        <f>O6239</f>
        <v/>
      </c>
      <c r="L6239" s="11">
        <f>L6238+IF(K6239&gt;0,K6239*Summary!$B$9,K6239/Summary!$B$9)</f>
        <v/>
      </c>
      <c r="M6239" s="11">
        <f>G6239+H6239</f>
        <v/>
      </c>
      <c r="N6239" s="11">
        <f>Summary!$C$16*Summary!$B$8</f>
        <v/>
      </c>
      <c r="O6239" s="11">
        <f>M6239-N6239</f>
        <v/>
      </c>
    </row>
    <row r="6240">
      <c r="A6240" s="9" t="n">
        <v>45551.91666666666</v>
      </c>
      <c r="B6240" t="n">
        <v>9</v>
      </c>
      <c r="C6240" t="n">
        <v>16</v>
      </c>
      <c r="D6240" t="n">
        <v>22</v>
      </c>
      <c r="E6240" s="10" t="n">
        <v>0</v>
      </c>
      <c r="F6240" s="10" t="n">
        <v>0.3676104882265172</v>
      </c>
      <c r="G6240" s="11">
        <f>E6240*Summary!$B$6</f>
        <v/>
      </c>
      <c r="H6240" s="11">
        <f>F6240*Summary!$B$7</f>
        <v/>
      </c>
      <c r="I6240" s="11">
        <f>MAX(0,N6240-M6240)</f>
        <v/>
      </c>
      <c r="J6240" s="11">
        <f>MAX(0,M6240-N6240)</f>
        <v/>
      </c>
      <c r="K6240" s="11">
        <f>O6240</f>
        <v/>
      </c>
      <c r="L6240" s="11">
        <f>L6239+IF(K6240&gt;0,K6240*Summary!$B$9,K6240/Summary!$B$9)</f>
        <v/>
      </c>
      <c r="M6240" s="11">
        <f>G6240+H6240</f>
        <v/>
      </c>
      <c r="N6240" s="11">
        <f>Summary!$C$16*Summary!$B$8</f>
        <v/>
      </c>
      <c r="O6240" s="11">
        <f>M6240-N6240</f>
        <v/>
      </c>
    </row>
    <row r="6241">
      <c r="A6241" s="9" t="n">
        <v>45551.95833333334</v>
      </c>
      <c r="B6241" t="n">
        <v>9</v>
      </c>
      <c r="C6241" t="n">
        <v>16</v>
      </c>
      <c r="D6241" t="n">
        <v>23</v>
      </c>
      <c r="E6241" s="10" t="n">
        <v>0</v>
      </c>
      <c r="F6241" s="10" t="n">
        <v>0.3697450007388001</v>
      </c>
      <c r="G6241" s="11">
        <f>E6241*Summary!$B$6</f>
        <v/>
      </c>
      <c r="H6241" s="11">
        <f>F6241*Summary!$B$7</f>
        <v/>
      </c>
      <c r="I6241" s="11">
        <f>MAX(0,N6241-M6241)</f>
        <v/>
      </c>
      <c r="J6241" s="11">
        <f>MAX(0,M6241-N6241)</f>
        <v/>
      </c>
      <c r="K6241" s="11">
        <f>O6241</f>
        <v/>
      </c>
      <c r="L6241" s="11">
        <f>L6240+IF(K6241&gt;0,K6241*Summary!$B$9,K6241/Summary!$B$9)</f>
        <v/>
      </c>
      <c r="M6241" s="11">
        <f>G6241+H6241</f>
        <v/>
      </c>
      <c r="N6241" s="11">
        <f>Summary!$C$16*Summary!$B$8</f>
        <v/>
      </c>
      <c r="O6241" s="11">
        <f>M6241-N6241</f>
        <v/>
      </c>
    </row>
    <row r="6242">
      <c r="A6242" s="9" t="n">
        <v>45552</v>
      </c>
      <c r="B6242" t="n">
        <v>9</v>
      </c>
      <c r="C6242" t="n">
        <v>17</v>
      </c>
      <c r="D6242" t="n">
        <v>0</v>
      </c>
      <c r="E6242" s="10" t="n">
        <v>0</v>
      </c>
      <c r="F6242" s="10" t="n">
        <v>0.285840212601651</v>
      </c>
      <c r="G6242" s="11">
        <f>E6242*Summary!$B$6</f>
        <v/>
      </c>
      <c r="H6242" s="11">
        <f>F6242*Summary!$B$7</f>
        <v/>
      </c>
      <c r="I6242" s="11">
        <f>MAX(0,N6242-M6242)</f>
        <v/>
      </c>
      <c r="J6242" s="11">
        <f>MAX(0,M6242-N6242)</f>
        <v/>
      </c>
      <c r="K6242" s="11">
        <f>O6242</f>
        <v/>
      </c>
      <c r="L6242" s="11">
        <f>L6241+IF(K6242&gt;0,K6242*Summary!$B$9,K6242/Summary!$B$9)</f>
        <v/>
      </c>
      <c r="M6242" s="11">
        <f>G6242+H6242</f>
        <v/>
      </c>
      <c r="N6242" s="11">
        <f>Summary!$C$16*Summary!$B$8</f>
        <v/>
      </c>
      <c r="O6242" s="11">
        <f>M6242-N6242</f>
        <v/>
      </c>
    </row>
    <row r="6243">
      <c r="A6243" s="9" t="n">
        <v>45552.04166666666</v>
      </c>
      <c r="B6243" t="n">
        <v>9</v>
      </c>
      <c r="C6243" t="n">
        <v>17</v>
      </c>
      <c r="D6243" t="n">
        <v>1</v>
      </c>
      <c r="E6243" s="10" t="n">
        <v>0</v>
      </c>
      <c r="F6243" s="10" t="n">
        <v>0.3668989840557562</v>
      </c>
      <c r="G6243" s="11">
        <f>E6243*Summary!$B$6</f>
        <v/>
      </c>
      <c r="H6243" s="11">
        <f>F6243*Summary!$B$7</f>
        <v/>
      </c>
      <c r="I6243" s="11">
        <f>MAX(0,N6243-M6243)</f>
        <v/>
      </c>
      <c r="J6243" s="11">
        <f>MAX(0,M6243-N6243)</f>
        <v/>
      </c>
      <c r="K6243" s="11">
        <f>O6243</f>
        <v/>
      </c>
      <c r="L6243" s="11">
        <f>L6242+IF(K6243&gt;0,K6243*Summary!$B$9,K6243/Summary!$B$9)</f>
        <v/>
      </c>
      <c r="M6243" s="11">
        <f>G6243+H6243</f>
        <v/>
      </c>
      <c r="N6243" s="11">
        <f>Summary!$C$16*Summary!$B$8</f>
        <v/>
      </c>
      <c r="O6243" s="11">
        <f>M6243-N6243</f>
        <v/>
      </c>
    </row>
    <row r="6244">
      <c r="A6244" s="9" t="n">
        <v>45552.08333333334</v>
      </c>
      <c r="B6244" t="n">
        <v>9</v>
      </c>
      <c r="C6244" t="n">
        <v>17</v>
      </c>
      <c r="D6244" t="n">
        <v>2</v>
      </c>
      <c r="E6244" s="10" t="n">
        <v>0</v>
      </c>
      <c r="F6244" s="10" t="n">
        <v>0.343630162471239</v>
      </c>
      <c r="G6244" s="11">
        <f>E6244*Summary!$B$6</f>
        <v/>
      </c>
      <c r="H6244" s="11">
        <f>F6244*Summary!$B$7</f>
        <v/>
      </c>
      <c r="I6244" s="11">
        <f>MAX(0,N6244-M6244)</f>
        <v/>
      </c>
      <c r="J6244" s="11">
        <f>MAX(0,M6244-N6244)</f>
        <v/>
      </c>
      <c r="K6244" s="11">
        <f>O6244</f>
        <v/>
      </c>
      <c r="L6244" s="11">
        <f>L6243+IF(K6244&gt;0,K6244*Summary!$B$9,K6244/Summary!$B$9)</f>
        <v/>
      </c>
      <c r="M6244" s="11">
        <f>G6244+H6244</f>
        <v/>
      </c>
      <c r="N6244" s="11">
        <f>Summary!$C$16*Summary!$B$8</f>
        <v/>
      </c>
      <c r="O6244" s="11">
        <f>M6244-N6244</f>
        <v/>
      </c>
    </row>
    <row r="6245">
      <c r="A6245" s="9" t="n">
        <v>45552.125</v>
      </c>
      <c r="B6245" t="n">
        <v>9</v>
      </c>
      <c r="C6245" t="n">
        <v>17</v>
      </c>
      <c r="D6245" t="n">
        <v>3</v>
      </c>
      <c r="E6245" s="10" t="n">
        <v>0</v>
      </c>
      <c r="F6245" s="10" t="n">
        <v>0.3614968227592375</v>
      </c>
      <c r="G6245" s="11">
        <f>E6245*Summary!$B$6</f>
        <v/>
      </c>
      <c r="H6245" s="11">
        <f>F6245*Summary!$B$7</f>
        <v/>
      </c>
      <c r="I6245" s="11">
        <f>MAX(0,N6245-M6245)</f>
        <v/>
      </c>
      <c r="J6245" s="11">
        <f>MAX(0,M6245-N6245)</f>
        <v/>
      </c>
      <c r="K6245" s="11">
        <f>O6245</f>
        <v/>
      </c>
      <c r="L6245" s="11">
        <f>L6244+IF(K6245&gt;0,K6245*Summary!$B$9,K6245/Summary!$B$9)</f>
        <v/>
      </c>
      <c r="M6245" s="11">
        <f>G6245+H6245</f>
        <v/>
      </c>
      <c r="N6245" s="11">
        <f>Summary!$C$16*Summary!$B$8</f>
        <v/>
      </c>
      <c r="O6245" s="11">
        <f>M6245-N6245</f>
        <v/>
      </c>
    </row>
    <row r="6246">
      <c r="A6246" s="9" t="n">
        <v>45552.16666666666</v>
      </c>
      <c r="B6246" t="n">
        <v>9</v>
      </c>
      <c r="C6246" t="n">
        <v>17</v>
      </c>
      <c r="D6246" t="n">
        <v>4</v>
      </c>
      <c r="E6246" s="10" t="n">
        <v>0</v>
      </c>
      <c r="F6246" s="10" t="n">
        <v>0.3575440218105652</v>
      </c>
      <c r="G6246" s="11">
        <f>E6246*Summary!$B$6</f>
        <v/>
      </c>
      <c r="H6246" s="11">
        <f>F6246*Summary!$B$7</f>
        <v/>
      </c>
      <c r="I6246" s="11">
        <f>MAX(0,N6246-M6246)</f>
        <v/>
      </c>
      <c r="J6246" s="11">
        <f>MAX(0,M6246-N6246)</f>
        <v/>
      </c>
      <c r="K6246" s="11">
        <f>O6246</f>
        <v/>
      </c>
      <c r="L6246" s="11">
        <f>L6245+IF(K6246&gt;0,K6246*Summary!$B$9,K6246/Summary!$B$9)</f>
        <v/>
      </c>
      <c r="M6246" s="11">
        <f>G6246+H6246</f>
        <v/>
      </c>
      <c r="N6246" s="11">
        <f>Summary!$C$16*Summary!$B$8</f>
        <v/>
      </c>
      <c r="O6246" s="11">
        <f>M6246-N6246</f>
        <v/>
      </c>
    </row>
    <row r="6247">
      <c r="A6247" s="9" t="n">
        <v>45552.20833333334</v>
      </c>
      <c r="B6247" t="n">
        <v>9</v>
      </c>
      <c r="C6247" t="n">
        <v>17</v>
      </c>
      <c r="D6247" t="n">
        <v>5</v>
      </c>
      <c r="E6247" s="10" t="n">
        <v>0</v>
      </c>
      <c r="F6247" s="10" t="n">
        <v>0.3567534616208308</v>
      </c>
      <c r="G6247" s="11">
        <f>E6247*Summary!$B$6</f>
        <v/>
      </c>
      <c r="H6247" s="11">
        <f>F6247*Summary!$B$7</f>
        <v/>
      </c>
      <c r="I6247" s="11">
        <f>MAX(0,N6247-M6247)</f>
        <v/>
      </c>
      <c r="J6247" s="11">
        <f>MAX(0,M6247-N6247)</f>
        <v/>
      </c>
      <c r="K6247" s="11">
        <f>O6247</f>
        <v/>
      </c>
      <c r="L6247" s="11">
        <f>L6246+IF(K6247&gt;0,K6247*Summary!$B$9,K6247/Summary!$B$9)</f>
        <v/>
      </c>
      <c r="M6247" s="11">
        <f>G6247+H6247</f>
        <v/>
      </c>
      <c r="N6247" s="11">
        <f>Summary!$C$16*Summary!$B$8</f>
        <v/>
      </c>
      <c r="O6247" s="11">
        <f>M6247-N6247</f>
        <v/>
      </c>
    </row>
    <row r="6248">
      <c r="A6248" s="9" t="n">
        <v>45552.25</v>
      </c>
      <c r="B6248" t="n">
        <v>9</v>
      </c>
      <c r="C6248" t="n">
        <v>17</v>
      </c>
      <c r="D6248" t="n">
        <v>6</v>
      </c>
      <c r="E6248" s="10" t="n">
        <v>0.040829</v>
      </c>
      <c r="F6248" s="10" t="n">
        <v>0.3492431398183536</v>
      </c>
      <c r="G6248" s="11">
        <f>E6248*Summary!$B$6</f>
        <v/>
      </c>
      <c r="H6248" s="11">
        <f>F6248*Summary!$B$7</f>
        <v/>
      </c>
      <c r="I6248" s="11">
        <f>MAX(0,N6248-M6248)</f>
        <v/>
      </c>
      <c r="J6248" s="11">
        <f>MAX(0,M6248-N6248)</f>
        <v/>
      </c>
      <c r="K6248" s="11">
        <f>O6248</f>
        <v/>
      </c>
      <c r="L6248" s="11">
        <f>L6247+IF(K6248&gt;0,K6248*Summary!$B$9,K6248/Summary!$B$9)</f>
        <v/>
      </c>
      <c r="M6248" s="11">
        <f>G6248+H6248</f>
        <v/>
      </c>
      <c r="N6248" s="11">
        <f>Summary!$C$16*Summary!$B$8</f>
        <v/>
      </c>
      <c r="O6248" s="11">
        <f>M6248-N6248</f>
        <v/>
      </c>
    </row>
    <row r="6249">
      <c r="A6249" s="9" t="n">
        <v>45552.29166666666</v>
      </c>
      <c r="B6249" t="n">
        <v>9</v>
      </c>
      <c r="C6249" t="n">
        <v>17</v>
      </c>
      <c r="D6249" t="n">
        <v>7</v>
      </c>
      <c r="E6249" s="10" t="n">
        <v>0.221403</v>
      </c>
      <c r="F6249" s="10" t="n">
        <v>0.325131054031453</v>
      </c>
      <c r="G6249" s="11">
        <f>E6249*Summary!$B$6</f>
        <v/>
      </c>
      <c r="H6249" s="11">
        <f>F6249*Summary!$B$7</f>
        <v/>
      </c>
      <c r="I6249" s="11">
        <f>MAX(0,N6249-M6249)</f>
        <v/>
      </c>
      <c r="J6249" s="11">
        <f>MAX(0,M6249-N6249)</f>
        <v/>
      </c>
      <c r="K6249" s="11">
        <f>O6249</f>
        <v/>
      </c>
      <c r="L6249" s="11">
        <f>L6248+IF(K6249&gt;0,K6249*Summary!$B$9,K6249/Summary!$B$9)</f>
        <v/>
      </c>
      <c r="M6249" s="11">
        <f>G6249+H6249</f>
        <v/>
      </c>
      <c r="N6249" s="11">
        <f>Summary!$C$16*Summary!$B$8</f>
        <v/>
      </c>
      <c r="O6249" s="11">
        <f>M6249-N6249</f>
        <v/>
      </c>
    </row>
    <row r="6250">
      <c r="A6250" s="9" t="n">
        <v>45552.33333333334</v>
      </c>
      <c r="B6250" t="n">
        <v>9</v>
      </c>
      <c r="C6250" t="n">
        <v>17</v>
      </c>
      <c r="D6250" t="n">
        <v>8</v>
      </c>
      <c r="E6250" s="10" t="n">
        <v>0.428073</v>
      </c>
      <c r="F6250" s="10" t="n">
        <v>0.302362920567101</v>
      </c>
      <c r="G6250" s="11">
        <f>E6250*Summary!$B$6</f>
        <v/>
      </c>
      <c r="H6250" s="11">
        <f>F6250*Summary!$B$7</f>
        <v/>
      </c>
      <c r="I6250" s="11">
        <f>MAX(0,N6250-M6250)</f>
        <v/>
      </c>
      <c r="J6250" s="11">
        <f>MAX(0,M6250-N6250)</f>
        <v/>
      </c>
      <c r="K6250" s="11">
        <f>O6250</f>
        <v/>
      </c>
      <c r="L6250" s="11">
        <f>L6249+IF(K6250&gt;0,K6250*Summary!$B$9,K6250/Summary!$B$9)</f>
        <v/>
      </c>
      <c r="M6250" s="11">
        <f>G6250+H6250</f>
        <v/>
      </c>
      <c r="N6250" s="11">
        <f>Summary!$C$16*Summary!$B$8</f>
        <v/>
      </c>
      <c r="O6250" s="11">
        <f>M6250-N6250</f>
        <v/>
      </c>
    </row>
    <row r="6251">
      <c r="A6251" s="9" t="n">
        <v>45552.375</v>
      </c>
      <c r="B6251" t="n">
        <v>9</v>
      </c>
      <c r="C6251" t="n">
        <v>17</v>
      </c>
      <c r="D6251" t="n">
        <v>9</v>
      </c>
      <c r="E6251" s="10" t="n">
        <v>0.594418</v>
      </c>
      <c r="F6251" s="10" t="n">
        <v>0.2846280203107249</v>
      </c>
      <c r="G6251" s="11">
        <f>E6251*Summary!$B$6</f>
        <v/>
      </c>
      <c r="H6251" s="11">
        <f>F6251*Summary!$B$7</f>
        <v/>
      </c>
      <c r="I6251" s="11">
        <f>MAX(0,N6251-M6251)</f>
        <v/>
      </c>
      <c r="J6251" s="11">
        <f>MAX(0,M6251-N6251)</f>
        <v/>
      </c>
      <c r="K6251" s="11">
        <f>O6251</f>
        <v/>
      </c>
      <c r="L6251" s="11">
        <f>L6250+IF(K6251&gt;0,K6251*Summary!$B$9,K6251/Summary!$B$9)</f>
        <v/>
      </c>
      <c r="M6251" s="11">
        <f>G6251+H6251</f>
        <v/>
      </c>
      <c r="N6251" s="11">
        <f>Summary!$C$16*Summary!$B$8</f>
        <v/>
      </c>
      <c r="O6251" s="11">
        <f>M6251-N6251</f>
        <v/>
      </c>
    </row>
    <row r="6252">
      <c r="A6252" s="9" t="n">
        <v>45552.41666666666</v>
      </c>
      <c r="B6252" t="n">
        <v>9</v>
      </c>
      <c r="C6252" t="n">
        <v>17</v>
      </c>
      <c r="D6252" t="n">
        <v>10</v>
      </c>
      <c r="E6252" s="10" t="n">
        <v>0.705474</v>
      </c>
      <c r="F6252" s="10" t="n">
        <v>0.2663924319341837</v>
      </c>
      <c r="G6252" s="11">
        <f>E6252*Summary!$B$6</f>
        <v/>
      </c>
      <c r="H6252" s="11">
        <f>F6252*Summary!$B$7</f>
        <v/>
      </c>
      <c r="I6252" s="11">
        <f>MAX(0,N6252-M6252)</f>
        <v/>
      </c>
      <c r="J6252" s="11">
        <f>MAX(0,M6252-N6252)</f>
        <v/>
      </c>
      <c r="K6252" s="11">
        <f>O6252</f>
        <v/>
      </c>
      <c r="L6252" s="11">
        <f>L6251+IF(K6252&gt;0,K6252*Summary!$B$9,K6252/Summary!$B$9)</f>
        <v/>
      </c>
      <c r="M6252" s="11">
        <f>G6252+H6252</f>
        <v/>
      </c>
      <c r="N6252" s="11">
        <f>Summary!$C$16*Summary!$B$8</f>
        <v/>
      </c>
      <c r="O6252" s="11">
        <f>M6252-N6252</f>
        <v/>
      </c>
    </row>
    <row r="6253">
      <c r="A6253" s="9" t="n">
        <v>45552.45833333334</v>
      </c>
      <c r="B6253" t="n">
        <v>9</v>
      </c>
      <c r="C6253" t="n">
        <v>17</v>
      </c>
      <c r="D6253" t="n">
        <v>11</v>
      </c>
      <c r="E6253" s="10" t="n">
        <v>0.603247</v>
      </c>
      <c r="F6253" s="10" t="n">
        <v>0.2534008928162143</v>
      </c>
      <c r="G6253" s="11">
        <f>E6253*Summary!$B$6</f>
        <v/>
      </c>
      <c r="H6253" s="11">
        <f>F6253*Summary!$B$7</f>
        <v/>
      </c>
      <c r="I6253" s="11">
        <f>MAX(0,N6253-M6253)</f>
        <v/>
      </c>
      <c r="J6253" s="11">
        <f>MAX(0,M6253-N6253)</f>
        <v/>
      </c>
      <c r="K6253" s="11">
        <f>O6253</f>
        <v/>
      </c>
      <c r="L6253" s="11">
        <f>L6252+IF(K6253&gt;0,K6253*Summary!$B$9,K6253/Summary!$B$9)</f>
        <v/>
      </c>
      <c r="M6253" s="11">
        <f>G6253+H6253</f>
        <v/>
      </c>
      <c r="N6253" s="11">
        <f>Summary!$C$16*Summary!$B$8</f>
        <v/>
      </c>
      <c r="O6253" s="11">
        <f>M6253-N6253</f>
        <v/>
      </c>
    </row>
    <row r="6254">
      <c r="A6254" s="9" t="n">
        <v>45552.5</v>
      </c>
      <c r="B6254" t="n">
        <v>9</v>
      </c>
      <c r="C6254" t="n">
        <v>17</v>
      </c>
      <c r="D6254" t="n">
        <v>12</v>
      </c>
      <c r="E6254" s="10" t="n">
        <v>0.616669</v>
      </c>
      <c r="F6254" s="10" t="n">
        <v>0.2472081713299611</v>
      </c>
      <c r="G6254" s="11">
        <f>E6254*Summary!$B$6</f>
        <v/>
      </c>
      <c r="H6254" s="11">
        <f>F6254*Summary!$B$7</f>
        <v/>
      </c>
      <c r="I6254" s="11">
        <f>MAX(0,N6254-M6254)</f>
        <v/>
      </c>
      <c r="J6254" s="11">
        <f>MAX(0,M6254-N6254)</f>
        <v/>
      </c>
      <c r="K6254" s="11">
        <f>O6254</f>
        <v/>
      </c>
      <c r="L6254" s="11">
        <f>L6253+IF(K6254&gt;0,K6254*Summary!$B$9,K6254/Summary!$B$9)</f>
        <v/>
      </c>
      <c r="M6254" s="11">
        <f>G6254+H6254</f>
        <v/>
      </c>
      <c r="N6254" s="11">
        <f>Summary!$C$16*Summary!$B$8</f>
        <v/>
      </c>
      <c r="O6254" s="11">
        <f>M6254-N6254</f>
        <v/>
      </c>
    </row>
    <row r="6255">
      <c r="A6255" s="9" t="n">
        <v>45552.54166666666</v>
      </c>
      <c r="B6255" t="n">
        <v>9</v>
      </c>
      <c r="C6255" t="n">
        <v>17</v>
      </c>
      <c r="D6255" t="n">
        <v>13</v>
      </c>
      <c r="E6255" s="10" t="n">
        <v>0.49037</v>
      </c>
      <c r="F6255" s="10" t="n">
        <v>0.241726954014469</v>
      </c>
      <c r="G6255" s="11">
        <f>E6255*Summary!$B$6</f>
        <v/>
      </c>
      <c r="H6255" s="11">
        <f>F6255*Summary!$B$7</f>
        <v/>
      </c>
      <c r="I6255" s="11">
        <f>MAX(0,N6255-M6255)</f>
        <v/>
      </c>
      <c r="J6255" s="11">
        <f>MAX(0,M6255-N6255)</f>
        <v/>
      </c>
      <c r="K6255" s="11">
        <f>O6255</f>
        <v/>
      </c>
      <c r="L6255" s="11">
        <f>L6254+IF(K6255&gt;0,K6255*Summary!$B$9,K6255/Summary!$B$9)</f>
        <v/>
      </c>
      <c r="M6255" s="11">
        <f>G6255+H6255</f>
        <v/>
      </c>
      <c r="N6255" s="11">
        <f>Summary!$C$16*Summary!$B$8</f>
        <v/>
      </c>
      <c r="O6255" s="11">
        <f>M6255-N6255</f>
        <v/>
      </c>
    </row>
    <row r="6256">
      <c r="A6256" s="9" t="n">
        <v>45552.58333333334</v>
      </c>
      <c r="B6256" t="n">
        <v>9</v>
      </c>
      <c r="C6256" t="n">
        <v>17</v>
      </c>
      <c r="D6256" t="n">
        <v>14</v>
      </c>
      <c r="E6256" s="10" t="n">
        <v>0.385127</v>
      </c>
      <c r="F6256" s="10" t="n">
        <v>0.2363774967305992</v>
      </c>
      <c r="G6256" s="11">
        <f>E6256*Summary!$B$6</f>
        <v/>
      </c>
      <c r="H6256" s="11">
        <f>F6256*Summary!$B$7</f>
        <v/>
      </c>
      <c r="I6256" s="11">
        <f>MAX(0,N6256-M6256)</f>
        <v/>
      </c>
      <c r="J6256" s="11">
        <f>MAX(0,M6256-N6256)</f>
        <v/>
      </c>
      <c r="K6256" s="11">
        <f>O6256</f>
        <v/>
      </c>
      <c r="L6256" s="11">
        <f>L6255+IF(K6256&gt;0,K6256*Summary!$B$9,K6256/Summary!$B$9)</f>
        <v/>
      </c>
      <c r="M6256" s="11">
        <f>G6256+H6256</f>
        <v/>
      </c>
      <c r="N6256" s="11">
        <f>Summary!$C$16*Summary!$B$8</f>
        <v/>
      </c>
      <c r="O6256" s="11">
        <f>M6256-N6256</f>
        <v/>
      </c>
    </row>
    <row r="6257">
      <c r="A6257" s="9" t="n">
        <v>45552.625</v>
      </c>
      <c r="B6257" t="n">
        <v>9</v>
      </c>
      <c r="C6257" t="n">
        <v>17</v>
      </c>
      <c r="D6257" t="n">
        <v>15</v>
      </c>
      <c r="E6257" s="10" t="n">
        <v>0.316983</v>
      </c>
      <c r="F6257" s="10" t="n">
        <v>0.2328463278831187</v>
      </c>
      <c r="G6257" s="11">
        <f>E6257*Summary!$B$6</f>
        <v/>
      </c>
      <c r="H6257" s="11">
        <f>F6257*Summary!$B$7</f>
        <v/>
      </c>
      <c r="I6257" s="11">
        <f>MAX(0,N6257-M6257)</f>
        <v/>
      </c>
      <c r="J6257" s="11">
        <f>MAX(0,M6257-N6257)</f>
        <v/>
      </c>
      <c r="K6257" s="11">
        <f>O6257</f>
        <v/>
      </c>
      <c r="L6257" s="11">
        <f>L6256+IF(K6257&gt;0,K6257*Summary!$B$9,K6257/Summary!$B$9)</f>
        <v/>
      </c>
      <c r="M6257" s="11">
        <f>G6257+H6257</f>
        <v/>
      </c>
      <c r="N6257" s="11">
        <f>Summary!$C$16*Summary!$B$8</f>
        <v/>
      </c>
      <c r="O6257" s="11">
        <f>M6257-N6257</f>
        <v/>
      </c>
    </row>
    <row r="6258">
      <c r="A6258" s="9" t="n">
        <v>45552.66666666666</v>
      </c>
      <c r="B6258" t="n">
        <v>9</v>
      </c>
      <c r="C6258" t="n">
        <v>17</v>
      </c>
      <c r="D6258" t="n">
        <v>16</v>
      </c>
      <c r="E6258" s="10" t="n">
        <v>0.192598</v>
      </c>
      <c r="F6258" s="10" t="n">
        <v>0.2087342420962181</v>
      </c>
      <c r="G6258" s="11">
        <f>E6258*Summary!$B$6</f>
        <v/>
      </c>
      <c r="H6258" s="11">
        <f>F6258*Summary!$B$7</f>
        <v/>
      </c>
      <c r="I6258" s="11">
        <f>MAX(0,N6258-M6258)</f>
        <v/>
      </c>
      <c r="J6258" s="11">
        <f>MAX(0,M6258-N6258)</f>
        <v/>
      </c>
      <c r="K6258" s="11">
        <f>O6258</f>
        <v/>
      </c>
      <c r="L6258" s="11">
        <f>L6257+IF(K6258&gt;0,K6258*Summary!$B$9,K6258/Summary!$B$9)</f>
        <v/>
      </c>
      <c r="M6258" s="11">
        <f>G6258+H6258</f>
        <v/>
      </c>
      <c r="N6258" s="11">
        <f>Summary!$C$16*Summary!$B$8</f>
        <v/>
      </c>
      <c r="O6258" s="11">
        <f>M6258-N6258</f>
        <v/>
      </c>
    </row>
    <row r="6259">
      <c r="A6259" s="9" t="n">
        <v>45552.70833333334</v>
      </c>
      <c r="B6259" t="n">
        <v>9</v>
      </c>
      <c r="C6259" t="n">
        <v>17</v>
      </c>
      <c r="D6259" t="n">
        <v>17</v>
      </c>
      <c r="E6259" s="10" t="n">
        <v>0.04096</v>
      </c>
      <c r="F6259" s="10" t="n">
        <v>0.2235177176442522</v>
      </c>
      <c r="G6259" s="11">
        <f>E6259*Summary!$B$6</f>
        <v/>
      </c>
      <c r="H6259" s="11">
        <f>F6259*Summary!$B$7</f>
        <v/>
      </c>
      <c r="I6259" s="11">
        <f>MAX(0,N6259-M6259)</f>
        <v/>
      </c>
      <c r="J6259" s="11">
        <f>MAX(0,M6259-N6259)</f>
        <v/>
      </c>
      <c r="K6259" s="11">
        <f>O6259</f>
        <v/>
      </c>
      <c r="L6259" s="11">
        <f>L6258+IF(K6259&gt;0,K6259*Summary!$B$9,K6259/Summary!$B$9)</f>
        <v/>
      </c>
      <c r="M6259" s="11">
        <f>G6259+H6259</f>
        <v/>
      </c>
      <c r="N6259" s="11">
        <f>Summary!$C$16*Summary!$B$8</f>
        <v/>
      </c>
      <c r="O6259" s="11">
        <f>M6259-N6259</f>
        <v/>
      </c>
    </row>
    <row r="6260">
      <c r="A6260" s="9" t="n">
        <v>45552.75</v>
      </c>
      <c r="B6260" t="n">
        <v>9</v>
      </c>
      <c r="C6260" t="n">
        <v>17</v>
      </c>
      <c r="D6260" t="n">
        <v>18</v>
      </c>
      <c r="E6260" s="10" t="n">
        <v>0</v>
      </c>
      <c r="F6260" s="10" t="n">
        <v>0.2321348237123577</v>
      </c>
      <c r="G6260" s="11">
        <f>E6260*Summary!$B$6</f>
        <v/>
      </c>
      <c r="H6260" s="11">
        <f>F6260*Summary!$B$7</f>
        <v/>
      </c>
      <c r="I6260" s="11">
        <f>MAX(0,N6260-M6260)</f>
        <v/>
      </c>
      <c r="J6260" s="11">
        <f>MAX(0,M6260-N6260)</f>
        <v/>
      </c>
      <c r="K6260" s="11">
        <f>O6260</f>
        <v/>
      </c>
      <c r="L6260" s="11">
        <f>L6259+IF(K6260&gt;0,K6260*Summary!$B$9,K6260/Summary!$B$9)</f>
        <v/>
      </c>
      <c r="M6260" s="11">
        <f>G6260+H6260</f>
        <v/>
      </c>
      <c r="N6260" s="11">
        <f>Summary!$C$16*Summary!$B$8</f>
        <v/>
      </c>
      <c r="O6260" s="11">
        <f>M6260-N6260</f>
        <v/>
      </c>
    </row>
    <row r="6261">
      <c r="A6261" s="9" t="n">
        <v>45552.79166666666</v>
      </c>
      <c r="B6261" t="n">
        <v>9</v>
      </c>
      <c r="C6261" t="n">
        <v>17</v>
      </c>
      <c r="D6261" t="n">
        <v>19</v>
      </c>
      <c r="E6261" s="10" t="n">
        <v>0</v>
      </c>
      <c r="F6261" s="10" t="n">
        <v>0.2478933234943976</v>
      </c>
      <c r="G6261" s="11">
        <f>E6261*Summary!$B$6</f>
        <v/>
      </c>
      <c r="H6261" s="11">
        <f>F6261*Summary!$B$7</f>
        <v/>
      </c>
      <c r="I6261" s="11">
        <f>MAX(0,N6261-M6261)</f>
        <v/>
      </c>
      <c r="J6261" s="11">
        <f>MAX(0,M6261-N6261)</f>
        <v/>
      </c>
      <c r="K6261" s="11">
        <f>O6261</f>
        <v/>
      </c>
      <c r="L6261" s="11">
        <f>L6260+IF(K6261&gt;0,K6261*Summary!$B$9,K6261/Summary!$B$9)</f>
        <v/>
      </c>
      <c r="M6261" s="11">
        <f>G6261+H6261</f>
        <v/>
      </c>
      <c r="N6261" s="11">
        <f>Summary!$C$16*Summary!$B$8</f>
        <v/>
      </c>
      <c r="O6261" s="11">
        <f>M6261-N6261</f>
        <v/>
      </c>
    </row>
    <row r="6262">
      <c r="A6262" s="9" t="n">
        <v>45552.83333333334</v>
      </c>
      <c r="B6262" t="n">
        <v>9</v>
      </c>
      <c r="C6262" t="n">
        <v>17</v>
      </c>
      <c r="D6262" t="n">
        <v>20</v>
      </c>
      <c r="E6262" s="10" t="n">
        <v>0</v>
      </c>
      <c r="F6262" s="10" t="n">
        <v>0.2603051184732284</v>
      </c>
      <c r="G6262" s="11">
        <f>E6262*Summary!$B$6</f>
        <v/>
      </c>
      <c r="H6262" s="11">
        <f>F6262*Summary!$B$7</f>
        <v/>
      </c>
      <c r="I6262" s="11">
        <f>MAX(0,N6262-M6262)</f>
        <v/>
      </c>
      <c r="J6262" s="11">
        <f>MAX(0,M6262-N6262)</f>
        <v/>
      </c>
      <c r="K6262" s="11">
        <f>O6262</f>
        <v/>
      </c>
      <c r="L6262" s="11">
        <f>L6261+IF(K6262&gt;0,K6262*Summary!$B$9,K6262/Summary!$B$9)</f>
        <v/>
      </c>
      <c r="M6262" s="11">
        <f>G6262+H6262</f>
        <v/>
      </c>
      <c r="N6262" s="11">
        <f>Summary!$C$16*Summary!$B$8</f>
        <v/>
      </c>
      <c r="O6262" s="11">
        <f>M6262-N6262</f>
        <v/>
      </c>
    </row>
    <row r="6263">
      <c r="A6263" s="9" t="n">
        <v>45552.875</v>
      </c>
      <c r="B6263" t="n">
        <v>9</v>
      </c>
      <c r="C6263" t="n">
        <v>17</v>
      </c>
      <c r="D6263" t="n">
        <v>21</v>
      </c>
      <c r="E6263" s="10" t="n">
        <v>0</v>
      </c>
      <c r="F6263" s="10" t="n">
        <v>0.2706087529461007</v>
      </c>
      <c r="G6263" s="11">
        <f>E6263*Summary!$B$6</f>
        <v/>
      </c>
      <c r="H6263" s="11">
        <f>F6263*Summary!$B$7</f>
        <v/>
      </c>
      <c r="I6263" s="11">
        <f>MAX(0,N6263-M6263)</f>
        <v/>
      </c>
      <c r="J6263" s="11">
        <f>MAX(0,M6263-N6263)</f>
        <v/>
      </c>
      <c r="K6263" s="11">
        <f>O6263</f>
        <v/>
      </c>
      <c r="L6263" s="11">
        <f>L6262+IF(K6263&gt;0,K6263*Summary!$B$9,K6263/Summary!$B$9)</f>
        <v/>
      </c>
      <c r="M6263" s="11">
        <f>G6263+H6263</f>
        <v/>
      </c>
      <c r="N6263" s="11">
        <f>Summary!$C$16*Summary!$B$8</f>
        <v/>
      </c>
      <c r="O6263" s="11">
        <f>M6263-N6263</f>
        <v/>
      </c>
    </row>
    <row r="6264">
      <c r="A6264" s="9" t="n">
        <v>45552.91666666666</v>
      </c>
      <c r="B6264" t="n">
        <v>9</v>
      </c>
      <c r="C6264" t="n">
        <v>17</v>
      </c>
      <c r="D6264" t="n">
        <v>22</v>
      </c>
      <c r="E6264" s="10" t="n">
        <v>0</v>
      </c>
      <c r="F6264" s="10" t="n">
        <v>0.2672356961365671</v>
      </c>
      <c r="G6264" s="11">
        <f>E6264*Summary!$B$6</f>
        <v/>
      </c>
      <c r="H6264" s="11">
        <f>F6264*Summary!$B$7</f>
        <v/>
      </c>
      <c r="I6264" s="11">
        <f>MAX(0,N6264-M6264)</f>
        <v/>
      </c>
      <c r="J6264" s="11">
        <f>MAX(0,M6264-N6264)</f>
        <v/>
      </c>
      <c r="K6264" s="11">
        <f>O6264</f>
        <v/>
      </c>
      <c r="L6264" s="11">
        <f>L6263+IF(K6264&gt;0,K6264*Summary!$B$9,K6264/Summary!$B$9)</f>
        <v/>
      </c>
      <c r="M6264" s="11">
        <f>G6264+H6264</f>
        <v/>
      </c>
      <c r="N6264" s="11">
        <f>Summary!$C$16*Summary!$B$8</f>
        <v/>
      </c>
      <c r="O6264" s="11">
        <f>M6264-N6264</f>
        <v/>
      </c>
    </row>
    <row r="6265">
      <c r="A6265" s="9" t="n">
        <v>45552.95833333334</v>
      </c>
      <c r="B6265" t="n">
        <v>9</v>
      </c>
      <c r="C6265" t="n">
        <v>17</v>
      </c>
      <c r="D6265" t="n">
        <v>23</v>
      </c>
      <c r="E6265" s="10" t="n">
        <v>0</v>
      </c>
      <c r="F6265" s="10" t="n">
        <v>0.2689749285539829</v>
      </c>
      <c r="G6265" s="11">
        <f>E6265*Summary!$B$6</f>
        <v/>
      </c>
      <c r="H6265" s="11">
        <f>F6265*Summary!$B$7</f>
        <v/>
      </c>
      <c r="I6265" s="11">
        <f>MAX(0,N6265-M6265)</f>
        <v/>
      </c>
      <c r="J6265" s="11">
        <f>MAX(0,M6265-N6265)</f>
        <v/>
      </c>
      <c r="K6265" s="11">
        <f>O6265</f>
        <v/>
      </c>
      <c r="L6265" s="11">
        <f>L6264+IF(K6265&gt;0,K6265*Summary!$B$9,K6265/Summary!$B$9)</f>
        <v/>
      </c>
      <c r="M6265" s="11">
        <f>G6265+H6265</f>
        <v/>
      </c>
      <c r="N6265" s="11">
        <f>Summary!$C$16*Summary!$B$8</f>
        <v/>
      </c>
      <c r="O6265" s="11">
        <f>M6265-N6265</f>
        <v/>
      </c>
    </row>
    <row r="6266">
      <c r="A6266" s="9" t="n">
        <v>45553</v>
      </c>
      <c r="B6266" t="n">
        <v>9</v>
      </c>
      <c r="C6266" t="n">
        <v>18</v>
      </c>
      <c r="D6266" t="n">
        <v>0</v>
      </c>
      <c r="E6266" s="10" t="n">
        <v>0</v>
      </c>
      <c r="F6266" s="10" t="n">
        <v>0.3441044985850797</v>
      </c>
      <c r="G6266" s="11">
        <f>E6266*Summary!$B$6</f>
        <v/>
      </c>
      <c r="H6266" s="11">
        <f>F6266*Summary!$B$7</f>
        <v/>
      </c>
      <c r="I6266" s="11">
        <f>MAX(0,N6266-M6266)</f>
        <v/>
      </c>
      <c r="J6266" s="11">
        <f>MAX(0,M6266-N6266)</f>
        <v/>
      </c>
      <c r="K6266" s="11">
        <f>O6266</f>
        <v/>
      </c>
      <c r="L6266" s="11">
        <f>L6265+IF(K6266&gt;0,K6266*Summary!$B$9,K6266/Summary!$B$9)</f>
        <v/>
      </c>
      <c r="M6266" s="11">
        <f>G6266+H6266</f>
        <v/>
      </c>
      <c r="N6266" s="11">
        <f>Summary!$C$16*Summary!$B$8</f>
        <v/>
      </c>
      <c r="O6266" s="11">
        <f>M6266-N6266</f>
        <v/>
      </c>
    </row>
    <row r="6267">
      <c r="A6267" s="9" t="n">
        <v>45553.04166666666</v>
      </c>
      <c r="B6267" t="n">
        <v>9</v>
      </c>
      <c r="C6267" t="n">
        <v>18</v>
      </c>
      <c r="D6267" t="n">
        <v>1</v>
      </c>
      <c r="E6267" s="10" t="n">
        <v>0</v>
      </c>
      <c r="F6267" s="10" t="n">
        <v>0.266576895978455</v>
      </c>
      <c r="G6267" s="11">
        <f>E6267*Summary!$B$6</f>
        <v/>
      </c>
      <c r="H6267" s="11">
        <f>F6267*Summary!$B$7</f>
        <v/>
      </c>
      <c r="I6267" s="11">
        <f>MAX(0,N6267-M6267)</f>
        <v/>
      </c>
      <c r="J6267" s="11">
        <f>MAX(0,M6267-N6267)</f>
        <v/>
      </c>
      <c r="K6267" s="11">
        <f>O6267</f>
        <v/>
      </c>
      <c r="L6267" s="11">
        <f>L6266+IF(K6267&gt;0,K6267*Summary!$B$9,K6267/Summary!$B$9)</f>
        <v/>
      </c>
      <c r="M6267" s="11">
        <f>G6267+H6267</f>
        <v/>
      </c>
      <c r="N6267" s="11">
        <f>Summary!$C$16*Summary!$B$8</f>
        <v/>
      </c>
      <c r="O6267" s="11">
        <f>M6267-N6267</f>
        <v/>
      </c>
    </row>
    <row r="6268">
      <c r="A6268" s="9" t="n">
        <v>45553.08333333334</v>
      </c>
      <c r="B6268" t="n">
        <v>9</v>
      </c>
      <c r="C6268" t="n">
        <v>18</v>
      </c>
      <c r="D6268" t="n">
        <v>2</v>
      </c>
      <c r="E6268" s="10" t="n">
        <v>0</v>
      </c>
      <c r="F6268" s="10" t="n">
        <v>0.2675519202124608</v>
      </c>
      <c r="G6268" s="11">
        <f>E6268*Summary!$B$6</f>
        <v/>
      </c>
      <c r="H6268" s="11">
        <f>F6268*Summary!$B$7</f>
        <v/>
      </c>
      <c r="I6268" s="11">
        <f>MAX(0,N6268-M6268)</f>
        <v/>
      </c>
      <c r="J6268" s="11">
        <f>MAX(0,M6268-N6268)</f>
        <v/>
      </c>
      <c r="K6268" s="11">
        <f>O6268</f>
        <v/>
      </c>
      <c r="L6268" s="11">
        <f>L6267+IF(K6268&gt;0,K6268*Summary!$B$9,K6268/Summary!$B$9)</f>
        <v/>
      </c>
      <c r="M6268" s="11">
        <f>G6268+H6268</f>
        <v/>
      </c>
      <c r="N6268" s="11">
        <f>Summary!$C$16*Summary!$B$8</f>
        <v/>
      </c>
      <c r="O6268" s="11">
        <f>M6268-N6268</f>
        <v/>
      </c>
    </row>
    <row r="6269">
      <c r="A6269" s="9" t="n">
        <v>45553.125</v>
      </c>
      <c r="B6269" t="n">
        <v>9</v>
      </c>
      <c r="C6269" t="n">
        <v>18</v>
      </c>
      <c r="D6269" t="n">
        <v>3</v>
      </c>
      <c r="E6269" s="10" t="n">
        <v>0</v>
      </c>
      <c r="F6269" s="10" t="n">
        <v>0.27166283319908</v>
      </c>
      <c r="G6269" s="11">
        <f>E6269*Summary!$B$6</f>
        <v/>
      </c>
      <c r="H6269" s="11">
        <f>F6269*Summary!$B$7</f>
        <v/>
      </c>
      <c r="I6269" s="11">
        <f>MAX(0,N6269-M6269)</f>
        <v/>
      </c>
      <c r="J6269" s="11">
        <f>MAX(0,M6269-N6269)</f>
        <v/>
      </c>
      <c r="K6269" s="11">
        <f>O6269</f>
        <v/>
      </c>
      <c r="L6269" s="11">
        <f>L6268+IF(K6269&gt;0,K6269*Summary!$B$9,K6269/Summary!$B$9)</f>
        <v/>
      </c>
      <c r="M6269" s="11">
        <f>G6269+H6269</f>
        <v/>
      </c>
      <c r="N6269" s="11">
        <f>Summary!$C$16*Summary!$B$8</f>
        <v/>
      </c>
      <c r="O6269" s="11">
        <f>M6269-N6269</f>
        <v/>
      </c>
    </row>
    <row r="6270">
      <c r="A6270" s="9" t="n">
        <v>45553.16666666666</v>
      </c>
      <c r="B6270" t="n">
        <v>9</v>
      </c>
      <c r="C6270" t="n">
        <v>18</v>
      </c>
      <c r="D6270" t="n">
        <v>4</v>
      </c>
      <c r="E6270" s="10" t="n">
        <v>0</v>
      </c>
      <c r="F6270" s="10" t="n">
        <v>0.2743243858378526</v>
      </c>
      <c r="G6270" s="11">
        <f>E6270*Summary!$B$6</f>
        <v/>
      </c>
      <c r="H6270" s="11">
        <f>F6270*Summary!$B$7</f>
        <v/>
      </c>
      <c r="I6270" s="11">
        <f>MAX(0,N6270-M6270)</f>
        <v/>
      </c>
      <c r="J6270" s="11">
        <f>MAX(0,M6270-N6270)</f>
        <v/>
      </c>
      <c r="K6270" s="11">
        <f>O6270</f>
        <v/>
      </c>
      <c r="L6270" s="11">
        <f>L6269+IF(K6270&gt;0,K6270*Summary!$B$9,K6270/Summary!$B$9)</f>
        <v/>
      </c>
      <c r="M6270" s="11">
        <f>G6270+H6270</f>
        <v/>
      </c>
      <c r="N6270" s="11">
        <f>Summary!$C$16*Summary!$B$8</f>
        <v/>
      </c>
      <c r="O6270" s="11">
        <f>M6270-N6270</f>
        <v/>
      </c>
    </row>
    <row r="6271">
      <c r="A6271" s="9" t="n">
        <v>45553.20833333334</v>
      </c>
      <c r="B6271" t="n">
        <v>9</v>
      </c>
      <c r="C6271" t="n">
        <v>18</v>
      </c>
      <c r="D6271" t="n">
        <v>5</v>
      </c>
      <c r="E6271" s="10" t="n">
        <v>0</v>
      </c>
      <c r="F6271" s="10" t="n">
        <v>0.2803853472924833</v>
      </c>
      <c r="G6271" s="11">
        <f>E6271*Summary!$B$6</f>
        <v/>
      </c>
      <c r="H6271" s="11">
        <f>F6271*Summary!$B$7</f>
        <v/>
      </c>
      <c r="I6271" s="11">
        <f>MAX(0,N6271-M6271)</f>
        <v/>
      </c>
      <c r="J6271" s="11">
        <f>MAX(0,M6271-N6271)</f>
        <v/>
      </c>
      <c r="K6271" s="11">
        <f>O6271</f>
        <v/>
      </c>
      <c r="L6271" s="11">
        <f>L6270+IF(K6271&gt;0,K6271*Summary!$B$9,K6271/Summary!$B$9)</f>
        <v/>
      </c>
      <c r="M6271" s="11">
        <f>G6271+H6271</f>
        <v/>
      </c>
      <c r="N6271" s="11">
        <f>Summary!$C$16*Summary!$B$8</f>
        <v/>
      </c>
      <c r="O6271" s="11">
        <f>M6271-N6271</f>
        <v/>
      </c>
    </row>
    <row r="6272">
      <c r="A6272" s="9" t="n">
        <v>45553.25</v>
      </c>
      <c r="B6272" t="n">
        <v>9</v>
      </c>
      <c r="C6272" t="n">
        <v>18</v>
      </c>
      <c r="D6272" t="n">
        <v>6</v>
      </c>
      <c r="E6272" s="10" t="n">
        <v>0.013335</v>
      </c>
      <c r="F6272" s="10" t="n">
        <v>0.2791468029952327</v>
      </c>
      <c r="G6272" s="11">
        <f>E6272*Summary!$B$6</f>
        <v/>
      </c>
      <c r="H6272" s="11">
        <f>F6272*Summary!$B$7</f>
        <v/>
      </c>
      <c r="I6272" s="11">
        <f>MAX(0,N6272-M6272)</f>
        <v/>
      </c>
      <c r="J6272" s="11">
        <f>MAX(0,M6272-N6272)</f>
        <v/>
      </c>
      <c r="K6272" s="11">
        <f>O6272</f>
        <v/>
      </c>
      <c r="L6272" s="11">
        <f>L6271+IF(K6272&gt;0,K6272*Summary!$B$9,K6272/Summary!$B$9)</f>
        <v/>
      </c>
      <c r="M6272" s="11">
        <f>G6272+H6272</f>
        <v/>
      </c>
      <c r="N6272" s="11">
        <f>Summary!$C$16*Summary!$B$8</f>
        <v/>
      </c>
      <c r="O6272" s="11">
        <f>M6272-N6272</f>
        <v/>
      </c>
    </row>
    <row r="6273">
      <c r="A6273" s="9" t="n">
        <v>45553.29166666666</v>
      </c>
      <c r="B6273" t="n">
        <v>9</v>
      </c>
      <c r="C6273" t="n">
        <v>18</v>
      </c>
      <c r="D6273" t="n">
        <v>7</v>
      </c>
      <c r="E6273" s="10" t="n">
        <v>0.043331</v>
      </c>
      <c r="F6273" s="10" t="n">
        <v>0.2637045272890866</v>
      </c>
      <c r="G6273" s="11">
        <f>E6273*Summary!$B$6</f>
        <v/>
      </c>
      <c r="H6273" s="11">
        <f>F6273*Summary!$B$7</f>
        <v/>
      </c>
      <c r="I6273" s="11">
        <f>MAX(0,N6273-M6273)</f>
        <v/>
      </c>
      <c r="J6273" s="11">
        <f>MAX(0,M6273-N6273)</f>
        <v/>
      </c>
      <c r="K6273" s="11">
        <f>O6273</f>
        <v/>
      </c>
      <c r="L6273" s="11">
        <f>L6272+IF(K6273&gt;0,K6273*Summary!$B$9,K6273/Summary!$B$9)</f>
        <v/>
      </c>
      <c r="M6273" s="11">
        <f>G6273+H6273</f>
        <v/>
      </c>
      <c r="N6273" s="11">
        <f>Summary!$C$16*Summary!$B$8</f>
        <v/>
      </c>
      <c r="O6273" s="11">
        <f>M6273-N6273</f>
        <v/>
      </c>
    </row>
    <row r="6274">
      <c r="A6274" s="9" t="n">
        <v>45553.33333333334</v>
      </c>
      <c r="B6274" t="n">
        <v>9</v>
      </c>
      <c r="C6274" t="n">
        <v>18</v>
      </c>
      <c r="D6274" t="n">
        <v>8</v>
      </c>
      <c r="E6274" s="10" t="n">
        <v>0.128851</v>
      </c>
      <c r="F6274" s="10" t="n">
        <v>0.2510819162596599</v>
      </c>
      <c r="G6274" s="11">
        <f>E6274*Summary!$B$6</f>
        <v/>
      </c>
      <c r="H6274" s="11">
        <f>F6274*Summary!$B$7</f>
        <v/>
      </c>
      <c r="I6274" s="11">
        <f>MAX(0,N6274-M6274)</f>
        <v/>
      </c>
      <c r="J6274" s="11">
        <f>MAX(0,M6274-N6274)</f>
        <v/>
      </c>
      <c r="K6274" s="11">
        <f>O6274</f>
        <v/>
      </c>
      <c r="L6274" s="11">
        <f>L6273+IF(K6274&gt;0,K6274*Summary!$B$9,K6274/Summary!$B$9)</f>
        <v/>
      </c>
      <c r="M6274" s="11">
        <f>G6274+H6274</f>
        <v/>
      </c>
      <c r="N6274" s="11">
        <f>Summary!$C$16*Summary!$B$8</f>
        <v/>
      </c>
      <c r="O6274" s="11">
        <f>M6274-N6274</f>
        <v/>
      </c>
    </row>
    <row r="6275">
      <c r="A6275" s="9" t="n">
        <v>45553.375</v>
      </c>
      <c r="B6275" t="n">
        <v>9</v>
      </c>
      <c r="C6275" t="n">
        <v>18</v>
      </c>
      <c r="D6275" t="n">
        <v>9</v>
      </c>
      <c r="E6275" s="10" t="n">
        <v>0.241531</v>
      </c>
      <c r="F6275" s="10" t="n">
        <v>0.2482358995766159</v>
      </c>
      <c r="G6275" s="11">
        <f>E6275*Summary!$B$6</f>
        <v/>
      </c>
      <c r="H6275" s="11">
        <f>F6275*Summary!$B$7</f>
        <v/>
      </c>
      <c r="I6275" s="11">
        <f>MAX(0,N6275-M6275)</f>
        <v/>
      </c>
      <c r="J6275" s="11">
        <f>MAX(0,M6275-N6275)</f>
        <v/>
      </c>
      <c r="K6275" s="11">
        <f>O6275</f>
        <v/>
      </c>
      <c r="L6275" s="11">
        <f>L6274+IF(K6275&gt;0,K6275*Summary!$B$9,K6275/Summary!$B$9)</f>
        <v/>
      </c>
      <c r="M6275" s="11">
        <f>G6275+H6275</f>
        <v/>
      </c>
      <c r="N6275" s="11">
        <f>Summary!$C$16*Summary!$B$8</f>
        <v/>
      </c>
      <c r="O6275" s="11">
        <f>M6275-N6275</f>
        <v/>
      </c>
    </row>
    <row r="6276">
      <c r="A6276" s="9" t="n">
        <v>45553.41666666666</v>
      </c>
      <c r="B6276" t="n">
        <v>9</v>
      </c>
      <c r="C6276" t="n">
        <v>18</v>
      </c>
      <c r="D6276" t="n">
        <v>10</v>
      </c>
      <c r="E6276" s="10" t="n">
        <v>0.474488</v>
      </c>
      <c r="F6276" s="10" t="n">
        <v>0.2562732615055828</v>
      </c>
      <c r="G6276" s="11">
        <f>E6276*Summary!$B$6</f>
        <v/>
      </c>
      <c r="H6276" s="11">
        <f>F6276*Summary!$B$7</f>
        <v/>
      </c>
      <c r="I6276" s="11">
        <f>MAX(0,N6276-M6276)</f>
        <v/>
      </c>
      <c r="J6276" s="11">
        <f>MAX(0,M6276-N6276)</f>
        <v/>
      </c>
      <c r="K6276" s="11">
        <f>O6276</f>
        <v/>
      </c>
      <c r="L6276" s="11">
        <f>L6275+IF(K6276&gt;0,K6276*Summary!$B$9,K6276/Summary!$B$9)</f>
        <v/>
      </c>
      <c r="M6276" s="11">
        <f>G6276+H6276</f>
        <v/>
      </c>
      <c r="N6276" s="11">
        <f>Summary!$C$16*Summary!$B$8</f>
        <v/>
      </c>
      <c r="O6276" s="11">
        <f>M6276-N6276</f>
        <v/>
      </c>
    </row>
    <row r="6277">
      <c r="A6277" s="9" t="n">
        <v>45553.45833333334</v>
      </c>
      <c r="B6277" t="n">
        <v>9</v>
      </c>
      <c r="C6277" t="n">
        <v>18</v>
      </c>
      <c r="D6277" t="n">
        <v>11</v>
      </c>
      <c r="E6277" s="10" t="n">
        <v>0.245011</v>
      </c>
      <c r="F6277" s="10" t="n">
        <v>0.2672093441302426</v>
      </c>
      <c r="G6277" s="11">
        <f>E6277*Summary!$B$6</f>
        <v/>
      </c>
      <c r="H6277" s="11">
        <f>F6277*Summary!$B$7</f>
        <v/>
      </c>
      <c r="I6277" s="11">
        <f>MAX(0,N6277-M6277)</f>
        <v/>
      </c>
      <c r="J6277" s="11">
        <f>MAX(0,M6277-N6277)</f>
        <v/>
      </c>
      <c r="K6277" s="11">
        <f>O6277</f>
        <v/>
      </c>
      <c r="L6277" s="11">
        <f>L6276+IF(K6277&gt;0,K6277*Summary!$B$9,K6277/Summary!$B$9)</f>
        <v/>
      </c>
      <c r="M6277" s="11">
        <f>G6277+H6277</f>
        <v/>
      </c>
      <c r="N6277" s="11">
        <f>Summary!$C$16*Summary!$B$8</f>
        <v/>
      </c>
      <c r="O6277" s="11">
        <f>M6277-N6277</f>
        <v/>
      </c>
    </row>
    <row r="6278">
      <c r="A6278" s="9" t="n">
        <v>45553.5</v>
      </c>
      <c r="B6278" t="n">
        <v>9</v>
      </c>
      <c r="C6278" t="n">
        <v>18</v>
      </c>
      <c r="D6278" t="n">
        <v>12</v>
      </c>
      <c r="E6278" s="10" t="n">
        <v>0.334767</v>
      </c>
      <c r="F6278" s="10" t="n">
        <v>0.2846016683044004</v>
      </c>
      <c r="G6278" s="11">
        <f>E6278*Summary!$B$6</f>
        <v/>
      </c>
      <c r="H6278" s="11">
        <f>F6278*Summary!$B$7</f>
        <v/>
      </c>
      <c r="I6278" s="11">
        <f>MAX(0,N6278-M6278)</f>
        <v/>
      </c>
      <c r="J6278" s="11">
        <f>MAX(0,M6278-N6278)</f>
        <v/>
      </c>
      <c r="K6278" s="11">
        <f>O6278</f>
        <v/>
      </c>
      <c r="L6278" s="11">
        <f>L6277+IF(K6278&gt;0,K6278*Summary!$B$9,K6278/Summary!$B$9)</f>
        <v/>
      </c>
      <c r="M6278" s="11">
        <f>G6278+H6278</f>
        <v/>
      </c>
      <c r="N6278" s="11">
        <f>Summary!$C$16*Summary!$B$8</f>
        <v/>
      </c>
      <c r="O6278" s="11">
        <f>M6278-N6278</f>
        <v/>
      </c>
    </row>
    <row r="6279">
      <c r="A6279" s="9" t="n">
        <v>45553.54166666666</v>
      </c>
      <c r="B6279" t="n">
        <v>9</v>
      </c>
      <c r="C6279" t="n">
        <v>18</v>
      </c>
      <c r="D6279" t="n">
        <v>13</v>
      </c>
      <c r="E6279" s="10" t="n">
        <v>0.354999</v>
      </c>
      <c r="F6279" s="10" t="n">
        <v>0.298041191529886</v>
      </c>
      <c r="G6279" s="11">
        <f>E6279*Summary!$B$6</f>
        <v/>
      </c>
      <c r="H6279" s="11">
        <f>F6279*Summary!$B$7</f>
        <v/>
      </c>
      <c r="I6279" s="11">
        <f>MAX(0,N6279-M6279)</f>
        <v/>
      </c>
      <c r="J6279" s="11">
        <f>MAX(0,M6279-N6279)</f>
        <v/>
      </c>
      <c r="K6279" s="11">
        <f>O6279</f>
        <v/>
      </c>
      <c r="L6279" s="11">
        <f>L6278+IF(K6279&gt;0,K6279*Summary!$B$9,K6279/Summary!$B$9)</f>
        <v/>
      </c>
      <c r="M6279" s="11">
        <f>G6279+H6279</f>
        <v/>
      </c>
      <c r="N6279" s="11">
        <f>Summary!$C$16*Summary!$B$8</f>
        <v/>
      </c>
      <c r="O6279" s="11">
        <f>M6279-N6279</f>
        <v/>
      </c>
    </row>
    <row r="6280">
      <c r="A6280" s="9" t="n">
        <v>45553.58333333334</v>
      </c>
      <c r="B6280" t="n">
        <v>9</v>
      </c>
      <c r="C6280" t="n">
        <v>18</v>
      </c>
      <c r="D6280" t="n">
        <v>14</v>
      </c>
      <c r="E6280" s="10" t="n">
        <v>0.283886</v>
      </c>
      <c r="F6280" s="10" t="n">
        <v>0.3027054966493192</v>
      </c>
      <c r="G6280" s="11">
        <f>E6280*Summary!$B$6</f>
        <v/>
      </c>
      <c r="H6280" s="11">
        <f>F6280*Summary!$B$7</f>
        <v/>
      </c>
      <c r="I6280" s="11">
        <f>MAX(0,N6280-M6280)</f>
        <v/>
      </c>
      <c r="J6280" s="11">
        <f>MAX(0,M6280-N6280)</f>
        <v/>
      </c>
      <c r="K6280" s="11">
        <f>O6280</f>
        <v/>
      </c>
      <c r="L6280" s="11">
        <f>L6279+IF(K6280&gt;0,K6280*Summary!$B$9,K6280/Summary!$B$9)</f>
        <v/>
      </c>
      <c r="M6280" s="11">
        <f>G6280+H6280</f>
        <v/>
      </c>
      <c r="N6280" s="11">
        <f>Summary!$C$16*Summary!$B$8</f>
        <v/>
      </c>
      <c r="O6280" s="11">
        <f>M6280-N6280</f>
        <v/>
      </c>
    </row>
    <row r="6281">
      <c r="A6281" s="9" t="n">
        <v>45553.625</v>
      </c>
      <c r="B6281" t="n">
        <v>9</v>
      </c>
      <c r="C6281" t="n">
        <v>18</v>
      </c>
      <c r="D6281" t="n">
        <v>15</v>
      </c>
      <c r="E6281" s="10" t="n">
        <v>0.167668</v>
      </c>
      <c r="F6281" s="10" t="n">
        <v>0.32223233333576</v>
      </c>
      <c r="G6281" s="11">
        <f>E6281*Summary!$B$6</f>
        <v/>
      </c>
      <c r="H6281" s="11">
        <f>F6281*Summary!$B$7</f>
        <v/>
      </c>
      <c r="I6281" s="11">
        <f>MAX(0,N6281-M6281)</f>
        <v/>
      </c>
      <c r="J6281" s="11">
        <f>MAX(0,M6281-N6281)</f>
        <v/>
      </c>
      <c r="K6281" s="11">
        <f>O6281</f>
        <v/>
      </c>
      <c r="L6281" s="11">
        <f>L6280+IF(K6281&gt;0,K6281*Summary!$B$9,K6281/Summary!$B$9)</f>
        <v/>
      </c>
      <c r="M6281" s="11">
        <f>G6281+H6281</f>
        <v/>
      </c>
      <c r="N6281" s="11">
        <f>Summary!$C$16*Summary!$B$8</f>
        <v/>
      </c>
      <c r="O6281" s="11">
        <f>M6281-N6281</f>
        <v/>
      </c>
    </row>
    <row r="6282">
      <c r="A6282" s="9" t="n">
        <v>45553.66666666666</v>
      </c>
      <c r="B6282" t="n">
        <v>9</v>
      </c>
      <c r="C6282" t="n">
        <v>18</v>
      </c>
      <c r="D6282" t="n">
        <v>16</v>
      </c>
      <c r="E6282" s="10" t="n">
        <v>0.104855</v>
      </c>
      <c r="F6282" s="10" t="n">
        <v>0.3269493424678422</v>
      </c>
      <c r="G6282" s="11">
        <f>E6282*Summary!$B$6</f>
        <v/>
      </c>
      <c r="H6282" s="11">
        <f>F6282*Summary!$B$7</f>
        <v/>
      </c>
      <c r="I6282" s="11">
        <f>MAX(0,N6282-M6282)</f>
        <v/>
      </c>
      <c r="J6282" s="11">
        <f>MAX(0,M6282-N6282)</f>
        <v/>
      </c>
      <c r="K6282" s="11">
        <f>O6282</f>
        <v/>
      </c>
      <c r="L6282" s="11">
        <f>L6281+IF(K6282&gt;0,K6282*Summary!$B$9,K6282/Summary!$B$9)</f>
        <v/>
      </c>
      <c r="M6282" s="11">
        <f>G6282+H6282</f>
        <v/>
      </c>
      <c r="N6282" s="11">
        <f>Summary!$C$16*Summary!$B$8</f>
        <v/>
      </c>
      <c r="O6282" s="11">
        <f>M6282-N6282</f>
        <v/>
      </c>
    </row>
    <row r="6283">
      <c r="A6283" s="9" t="n">
        <v>45553.70833333334</v>
      </c>
      <c r="B6283" t="n">
        <v>9</v>
      </c>
      <c r="C6283" t="n">
        <v>18</v>
      </c>
      <c r="D6283" t="n">
        <v>17</v>
      </c>
      <c r="E6283" s="10" t="n">
        <v>0.027364</v>
      </c>
      <c r="F6283" s="10" t="n">
        <v>0.3380171851241244</v>
      </c>
      <c r="G6283" s="11">
        <f>E6283*Summary!$B$6</f>
        <v/>
      </c>
      <c r="H6283" s="11">
        <f>F6283*Summary!$B$7</f>
        <v/>
      </c>
      <c r="I6283" s="11">
        <f>MAX(0,N6283-M6283)</f>
        <v/>
      </c>
      <c r="J6283" s="11">
        <f>MAX(0,M6283-N6283)</f>
        <v/>
      </c>
      <c r="K6283" s="11">
        <f>O6283</f>
        <v/>
      </c>
      <c r="L6283" s="11">
        <f>L6282+IF(K6283&gt;0,K6283*Summary!$B$9,K6283/Summary!$B$9)</f>
        <v/>
      </c>
      <c r="M6283" s="11">
        <f>G6283+H6283</f>
        <v/>
      </c>
      <c r="N6283" s="11">
        <f>Summary!$C$16*Summary!$B$8</f>
        <v/>
      </c>
      <c r="O6283" s="11">
        <f>M6283-N6283</f>
        <v/>
      </c>
    </row>
    <row r="6284">
      <c r="A6284" s="9" t="n">
        <v>45553.75</v>
      </c>
      <c r="B6284" t="n">
        <v>9</v>
      </c>
      <c r="C6284" t="n">
        <v>18</v>
      </c>
      <c r="D6284" t="n">
        <v>18</v>
      </c>
      <c r="E6284" s="10" t="n">
        <v>0</v>
      </c>
      <c r="F6284" s="10" t="n">
        <v>0.3552777492666598</v>
      </c>
      <c r="G6284" s="11">
        <f>E6284*Summary!$B$6</f>
        <v/>
      </c>
      <c r="H6284" s="11">
        <f>F6284*Summary!$B$7</f>
        <v/>
      </c>
      <c r="I6284" s="11">
        <f>MAX(0,N6284-M6284)</f>
        <v/>
      </c>
      <c r="J6284" s="11">
        <f>MAX(0,M6284-N6284)</f>
        <v/>
      </c>
      <c r="K6284" s="11">
        <f>O6284</f>
        <v/>
      </c>
      <c r="L6284" s="11">
        <f>L6283+IF(K6284&gt;0,K6284*Summary!$B$9,K6284/Summary!$B$9)</f>
        <v/>
      </c>
      <c r="M6284" s="11">
        <f>G6284+H6284</f>
        <v/>
      </c>
      <c r="N6284" s="11">
        <f>Summary!$C$16*Summary!$B$8</f>
        <v/>
      </c>
      <c r="O6284" s="11">
        <f>M6284-N6284</f>
        <v/>
      </c>
    </row>
    <row r="6285">
      <c r="A6285" s="9" t="n">
        <v>45553.79166666666</v>
      </c>
      <c r="B6285" t="n">
        <v>9</v>
      </c>
      <c r="C6285" t="n">
        <v>18</v>
      </c>
      <c r="D6285" t="n">
        <v>19</v>
      </c>
      <c r="E6285" s="10" t="n">
        <v>0</v>
      </c>
      <c r="F6285" s="10" t="n">
        <v>0.3682429363783047</v>
      </c>
      <c r="G6285" s="11">
        <f>E6285*Summary!$B$6</f>
        <v/>
      </c>
      <c r="H6285" s="11">
        <f>F6285*Summary!$B$7</f>
        <v/>
      </c>
      <c r="I6285" s="11">
        <f>MAX(0,N6285-M6285)</f>
        <v/>
      </c>
      <c r="J6285" s="11">
        <f>MAX(0,M6285-N6285)</f>
        <v/>
      </c>
      <c r="K6285" s="11">
        <f>O6285</f>
        <v/>
      </c>
      <c r="L6285" s="11">
        <f>L6284+IF(K6285&gt;0,K6285*Summary!$B$9,K6285/Summary!$B$9)</f>
        <v/>
      </c>
      <c r="M6285" s="11">
        <f>G6285+H6285</f>
        <v/>
      </c>
      <c r="N6285" s="11">
        <f>Summary!$C$16*Summary!$B$8</f>
        <v/>
      </c>
      <c r="O6285" s="11">
        <f>M6285-N6285</f>
        <v/>
      </c>
    </row>
    <row r="6286">
      <c r="A6286" s="9" t="n">
        <v>45553.83333333334</v>
      </c>
      <c r="B6286" t="n">
        <v>9</v>
      </c>
      <c r="C6286" t="n">
        <v>18</v>
      </c>
      <c r="D6286" t="n">
        <v>20</v>
      </c>
      <c r="E6286" s="10" t="n">
        <v>0</v>
      </c>
      <c r="F6286" s="10" t="n">
        <v>0.3728018334724401</v>
      </c>
      <c r="G6286" s="11">
        <f>E6286*Summary!$B$6</f>
        <v/>
      </c>
      <c r="H6286" s="11">
        <f>F6286*Summary!$B$7</f>
        <v/>
      </c>
      <c r="I6286" s="11">
        <f>MAX(0,N6286-M6286)</f>
        <v/>
      </c>
      <c r="J6286" s="11">
        <f>MAX(0,M6286-N6286)</f>
        <v/>
      </c>
      <c r="K6286" s="11">
        <f>O6286</f>
        <v/>
      </c>
      <c r="L6286" s="11">
        <f>L6285+IF(K6286&gt;0,K6286*Summary!$B$9,K6286/Summary!$B$9)</f>
        <v/>
      </c>
      <c r="M6286" s="11">
        <f>G6286+H6286</f>
        <v/>
      </c>
      <c r="N6286" s="11">
        <f>Summary!$C$16*Summary!$B$8</f>
        <v/>
      </c>
      <c r="O6286" s="11">
        <f>M6286-N6286</f>
        <v/>
      </c>
    </row>
    <row r="6287">
      <c r="A6287" s="9" t="n">
        <v>45553.875</v>
      </c>
      <c r="B6287" t="n">
        <v>9</v>
      </c>
      <c r="C6287" t="n">
        <v>18</v>
      </c>
      <c r="D6287" t="n">
        <v>21</v>
      </c>
      <c r="E6287" s="10" t="n">
        <v>0</v>
      </c>
      <c r="F6287" s="10" t="n">
        <v>0.3708781370107529</v>
      </c>
      <c r="G6287" s="11">
        <f>E6287*Summary!$B$6</f>
        <v/>
      </c>
      <c r="H6287" s="11">
        <f>F6287*Summary!$B$7</f>
        <v/>
      </c>
      <c r="I6287" s="11">
        <f>MAX(0,N6287-M6287)</f>
        <v/>
      </c>
      <c r="J6287" s="11">
        <f>MAX(0,M6287-N6287)</f>
        <v/>
      </c>
      <c r="K6287" s="11">
        <f>O6287</f>
        <v/>
      </c>
      <c r="L6287" s="11">
        <f>L6286+IF(K6287&gt;0,K6287*Summary!$B$9,K6287/Summary!$B$9)</f>
        <v/>
      </c>
      <c r="M6287" s="11">
        <f>G6287+H6287</f>
        <v/>
      </c>
      <c r="N6287" s="11">
        <f>Summary!$C$16*Summary!$B$8</f>
        <v/>
      </c>
      <c r="O6287" s="11">
        <f>M6287-N6287</f>
        <v/>
      </c>
    </row>
    <row r="6288">
      <c r="A6288" s="9" t="n">
        <v>45553.91666666666</v>
      </c>
      <c r="B6288" t="n">
        <v>9</v>
      </c>
      <c r="C6288" t="n">
        <v>18</v>
      </c>
      <c r="D6288" t="n">
        <v>22</v>
      </c>
      <c r="E6288" s="10" t="n">
        <v>0</v>
      </c>
      <c r="F6288" s="10" t="n">
        <v>0.3605217985252317</v>
      </c>
      <c r="G6288" s="11">
        <f>E6288*Summary!$B$6</f>
        <v/>
      </c>
      <c r="H6288" s="11">
        <f>F6288*Summary!$B$7</f>
        <v/>
      </c>
      <c r="I6288" s="11">
        <f>MAX(0,N6288-M6288)</f>
        <v/>
      </c>
      <c r="J6288" s="11">
        <f>MAX(0,M6288-N6288)</f>
        <v/>
      </c>
      <c r="K6288" s="11">
        <f>O6288</f>
        <v/>
      </c>
      <c r="L6288" s="11">
        <f>L6287+IF(K6288&gt;0,K6288*Summary!$B$9,K6288/Summary!$B$9)</f>
        <v/>
      </c>
      <c r="M6288" s="11">
        <f>G6288+H6288</f>
        <v/>
      </c>
      <c r="N6288" s="11">
        <f>Summary!$C$16*Summary!$B$8</f>
        <v/>
      </c>
      <c r="O6288" s="11">
        <f>M6288-N6288</f>
        <v/>
      </c>
    </row>
    <row r="6289">
      <c r="A6289" s="9" t="n">
        <v>45553.95833333334</v>
      </c>
      <c r="B6289" t="n">
        <v>9</v>
      </c>
      <c r="C6289" t="n">
        <v>18</v>
      </c>
      <c r="D6289" t="n">
        <v>23</v>
      </c>
      <c r="E6289" s="10" t="n">
        <v>0</v>
      </c>
      <c r="F6289" s="10" t="n">
        <v>0.3880596451343148</v>
      </c>
      <c r="G6289" s="11">
        <f>E6289*Summary!$B$6</f>
        <v/>
      </c>
      <c r="H6289" s="11">
        <f>F6289*Summary!$B$7</f>
        <v/>
      </c>
      <c r="I6289" s="11">
        <f>MAX(0,N6289-M6289)</f>
        <v/>
      </c>
      <c r="J6289" s="11">
        <f>MAX(0,M6289-N6289)</f>
        <v/>
      </c>
      <c r="K6289" s="11">
        <f>O6289</f>
        <v/>
      </c>
      <c r="L6289" s="11">
        <f>L6288+IF(K6289&gt;0,K6289*Summary!$B$9,K6289/Summary!$B$9)</f>
        <v/>
      </c>
      <c r="M6289" s="11">
        <f>G6289+H6289</f>
        <v/>
      </c>
      <c r="N6289" s="11">
        <f>Summary!$C$16*Summary!$B$8</f>
        <v/>
      </c>
      <c r="O6289" s="11">
        <f>M6289-N6289</f>
        <v/>
      </c>
    </row>
    <row r="6290">
      <c r="A6290" s="9" t="n">
        <v>45554</v>
      </c>
      <c r="B6290" t="n">
        <v>9</v>
      </c>
      <c r="C6290" t="n">
        <v>19</v>
      </c>
      <c r="D6290" t="n">
        <v>0</v>
      </c>
      <c r="E6290" s="10" t="n">
        <v>0</v>
      </c>
      <c r="F6290" s="10" t="n">
        <v>0.3281088307461194</v>
      </c>
      <c r="G6290" s="11">
        <f>E6290*Summary!$B$6</f>
        <v/>
      </c>
      <c r="H6290" s="11">
        <f>F6290*Summary!$B$7</f>
        <v/>
      </c>
      <c r="I6290" s="11">
        <f>MAX(0,N6290-M6290)</f>
        <v/>
      </c>
      <c r="J6290" s="11">
        <f>MAX(0,M6290-N6290)</f>
        <v/>
      </c>
      <c r="K6290" s="11">
        <f>O6290</f>
        <v/>
      </c>
      <c r="L6290" s="11">
        <f>L6289+IF(K6290&gt;0,K6290*Summary!$B$9,K6290/Summary!$B$9)</f>
        <v/>
      </c>
      <c r="M6290" s="11">
        <f>G6290+H6290</f>
        <v/>
      </c>
      <c r="N6290" s="11">
        <f>Summary!$C$16*Summary!$B$8</f>
        <v/>
      </c>
      <c r="O6290" s="11">
        <f>M6290-N6290</f>
        <v/>
      </c>
    </row>
    <row r="6291">
      <c r="A6291" s="9" t="n">
        <v>45554.04166666666</v>
      </c>
      <c r="B6291" t="n">
        <v>9</v>
      </c>
      <c r="C6291" t="n">
        <v>19</v>
      </c>
      <c r="D6291" t="n">
        <v>1</v>
      </c>
      <c r="E6291" s="10" t="n">
        <v>0</v>
      </c>
      <c r="F6291" s="10" t="n">
        <v>0.3373583849660124</v>
      </c>
      <c r="G6291" s="11">
        <f>E6291*Summary!$B$6</f>
        <v/>
      </c>
      <c r="H6291" s="11">
        <f>F6291*Summary!$B$7</f>
        <v/>
      </c>
      <c r="I6291" s="11">
        <f>MAX(0,N6291-M6291)</f>
        <v/>
      </c>
      <c r="J6291" s="11">
        <f>MAX(0,M6291-N6291)</f>
        <v/>
      </c>
      <c r="K6291" s="11">
        <f>O6291</f>
        <v/>
      </c>
      <c r="L6291" s="11">
        <f>L6290+IF(K6291&gt;0,K6291*Summary!$B$9,K6291/Summary!$B$9)</f>
        <v/>
      </c>
      <c r="M6291" s="11">
        <f>G6291+H6291</f>
        <v/>
      </c>
      <c r="N6291" s="11">
        <f>Summary!$C$16*Summary!$B$8</f>
        <v/>
      </c>
      <c r="O6291" s="11">
        <f>M6291-N6291</f>
        <v/>
      </c>
    </row>
    <row r="6292">
      <c r="A6292" s="9" t="n">
        <v>45554.08333333334</v>
      </c>
      <c r="B6292" t="n">
        <v>9</v>
      </c>
      <c r="C6292" t="n">
        <v>19</v>
      </c>
      <c r="D6292" t="n">
        <v>2</v>
      </c>
      <c r="E6292" s="10" t="n">
        <v>0</v>
      </c>
      <c r="F6292" s="10" t="n">
        <v>0.3320616316947916</v>
      </c>
      <c r="G6292" s="11">
        <f>E6292*Summary!$B$6</f>
        <v/>
      </c>
      <c r="H6292" s="11">
        <f>F6292*Summary!$B$7</f>
        <v/>
      </c>
      <c r="I6292" s="11">
        <f>MAX(0,N6292-M6292)</f>
        <v/>
      </c>
      <c r="J6292" s="11">
        <f>MAX(0,M6292-N6292)</f>
        <v/>
      </c>
      <c r="K6292" s="11">
        <f>O6292</f>
        <v/>
      </c>
      <c r="L6292" s="11">
        <f>L6291+IF(K6292&gt;0,K6292*Summary!$B$9,K6292/Summary!$B$9)</f>
        <v/>
      </c>
      <c r="M6292" s="11">
        <f>G6292+H6292</f>
        <v/>
      </c>
      <c r="N6292" s="11">
        <f>Summary!$C$16*Summary!$B$8</f>
        <v/>
      </c>
      <c r="O6292" s="11">
        <f>M6292-N6292</f>
        <v/>
      </c>
    </row>
    <row r="6293">
      <c r="A6293" s="9" t="n">
        <v>45554.125</v>
      </c>
      <c r="B6293" t="n">
        <v>9</v>
      </c>
      <c r="C6293" t="n">
        <v>19</v>
      </c>
      <c r="D6293" t="n">
        <v>3</v>
      </c>
      <c r="E6293" s="10" t="n">
        <v>0</v>
      </c>
      <c r="F6293" s="10" t="n">
        <v>0.3316136475872754</v>
      </c>
      <c r="G6293" s="11">
        <f>E6293*Summary!$B$6</f>
        <v/>
      </c>
      <c r="H6293" s="11">
        <f>F6293*Summary!$B$7</f>
        <v/>
      </c>
      <c r="I6293" s="11">
        <f>MAX(0,N6293-M6293)</f>
        <v/>
      </c>
      <c r="J6293" s="11">
        <f>MAX(0,M6293-N6293)</f>
        <v/>
      </c>
      <c r="K6293" s="11">
        <f>O6293</f>
        <v/>
      </c>
      <c r="L6293" s="11">
        <f>L6292+IF(K6293&gt;0,K6293*Summary!$B$9,K6293/Summary!$B$9)</f>
        <v/>
      </c>
      <c r="M6293" s="11">
        <f>G6293+H6293</f>
        <v/>
      </c>
      <c r="N6293" s="11">
        <f>Summary!$C$16*Summary!$B$8</f>
        <v/>
      </c>
      <c r="O6293" s="11">
        <f>M6293-N6293</f>
        <v/>
      </c>
    </row>
    <row r="6294">
      <c r="A6294" s="9" t="n">
        <v>45554.16666666666</v>
      </c>
      <c r="B6294" t="n">
        <v>9</v>
      </c>
      <c r="C6294" t="n">
        <v>19</v>
      </c>
      <c r="D6294" t="n">
        <v>4</v>
      </c>
      <c r="E6294" s="10" t="n">
        <v>0</v>
      </c>
      <c r="F6294" s="10" t="n">
        <v>0.3327994878718771</v>
      </c>
      <c r="G6294" s="11">
        <f>E6294*Summary!$B$6</f>
        <v/>
      </c>
      <c r="H6294" s="11">
        <f>F6294*Summary!$B$7</f>
        <v/>
      </c>
      <c r="I6294" s="11">
        <f>MAX(0,N6294-M6294)</f>
        <v/>
      </c>
      <c r="J6294" s="11">
        <f>MAX(0,M6294-N6294)</f>
        <v/>
      </c>
      <c r="K6294" s="11">
        <f>O6294</f>
        <v/>
      </c>
      <c r="L6294" s="11">
        <f>L6293+IF(K6294&gt;0,K6294*Summary!$B$9,K6294/Summary!$B$9)</f>
        <v/>
      </c>
      <c r="M6294" s="11">
        <f>G6294+H6294</f>
        <v/>
      </c>
      <c r="N6294" s="11">
        <f>Summary!$C$16*Summary!$B$8</f>
        <v/>
      </c>
      <c r="O6294" s="11">
        <f>M6294-N6294</f>
        <v/>
      </c>
    </row>
    <row r="6295">
      <c r="A6295" s="9" t="n">
        <v>45554.20833333334</v>
      </c>
      <c r="B6295" t="n">
        <v>9</v>
      </c>
      <c r="C6295" t="n">
        <v>19</v>
      </c>
      <c r="D6295" t="n">
        <v>5</v>
      </c>
      <c r="E6295" s="10" t="n">
        <v>0</v>
      </c>
      <c r="F6295" s="10" t="n">
        <v>0.3341170881881012</v>
      </c>
      <c r="G6295" s="11">
        <f>E6295*Summary!$B$6</f>
        <v/>
      </c>
      <c r="H6295" s="11">
        <f>F6295*Summary!$B$7</f>
        <v/>
      </c>
      <c r="I6295" s="11">
        <f>MAX(0,N6295-M6295)</f>
        <v/>
      </c>
      <c r="J6295" s="11">
        <f>MAX(0,M6295-N6295)</f>
        <v/>
      </c>
      <c r="K6295" s="11">
        <f>O6295</f>
        <v/>
      </c>
      <c r="L6295" s="11">
        <f>L6294+IF(K6295&gt;0,K6295*Summary!$B$9,K6295/Summary!$B$9)</f>
        <v/>
      </c>
      <c r="M6295" s="11">
        <f>G6295+H6295</f>
        <v/>
      </c>
      <c r="N6295" s="11">
        <f>Summary!$C$16*Summary!$B$8</f>
        <v/>
      </c>
      <c r="O6295" s="11">
        <f>M6295-N6295</f>
        <v/>
      </c>
    </row>
    <row r="6296">
      <c r="A6296" s="9" t="n">
        <v>45554.25</v>
      </c>
      <c r="B6296" t="n">
        <v>9</v>
      </c>
      <c r="C6296" t="n">
        <v>19</v>
      </c>
      <c r="D6296" t="n">
        <v>6</v>
      </c>
      <c r="E6296" s="10" t="n">
        <v>0.006272</v>
      </c>
      <c r="F6296" s="10" t="n">
        <v>0.3285041108409866</v>
      </c>
      <c r="G6296" s="11">
        <f>E6296*Summary!$B$6</f>
        <v/>
      </c>
      <c r="H6296" s="11">
        <f>F6296*Summary!$B$7</f>
        <v/>
      </c>
      <c r="I6296" s="11">
        <f>MAX(0,N6296-M6296)</f>
        <v/>
      </c>
      <c r="J6296" s="11">
        <f>MAX(0,M6296-N6296)</f>
        <v/>
      </c>
      <c r="K6296" s="11">
        <f>O6296</f>
        <v/>
      </c>
      <c r="L6296" s="11">
        <f>L6295+IF(K6296&gt;0,K6296*Summary!$B$9,K6296/Summary!$B$9)</f>
        <v/>
      </c>
      <c r="M6296" s="11">
        <f>G6296+H6296</f>
        <v/>
      </c>
      <c r="N6296" s="11">
        <f>Summary!$C$16*Summary!$B$8</f>
        <v/>
      </c>
      <c r="O6296" s="11">
        <f>M6296-N6296</f>
        <v/>
      </c>
    </row>
    <row r="6297">
      <c r="A6297" s="9" t="n">
        <v>45554.29166666666</v>
      </c>
      <c r="B6297" t="n">
        <v>9</v>
      </c>
      <c r="C6297" t="n">
        <v>19</v>
      </c>
      <c r="D6297" t="n">
        <v>7</v>
      </c>
      <c r="E6297" s="10" t="n">
        <v>0.045036</v>
      </c>
      <c r="F6297" s="10" t="n">
        <v>0.3141686194004686</v>
      </c>
      <c r="G6297" s="11">
        <f>E6297*Summary!$B$6</f>
        <v/>
      </c>
      <c r="H6297" s="11">
        <f>F6297*Summary!$B$7</f>
        <v/>
      </c>
      <c r="I6297" s="11">
        <f>MAX(0,N6297-M6297)</f>
        <v/>
      </c>
      <c r="J6297" s="11">
        <f>MAX(0,M6297-N6297)</f>
        <v/>
      </c>
      <c r="K6297" s="11">
        <f>O6297</f>
        <v/>
      </c>
      <c r="L6297" s="11">
        <f>L6296+IF(K6297&gt;0,K6297*Summary!$B$9,K6297/Summary!$B$9)</f>
        <v/>
      </c>
      <c r="M6297" s="11">
        <f>G6297+H6297</f>
        <v/>
      </c>
      <c r="N6297" s="11">
        <f>Summary!$C$16*Summary!$B$8</f>
        <v/>
      </c>
      <c r="O6297" s="11">
        <f>M6297-N6297</f>
        <v/>
      </c>
    </row>
    <row r="6298">
      <c r="A6298" s="9" t="n">
        <v>45554.33333333334</v>
      </c>
      <c r="B6298" t="n">
        <v>9</v>
      </c>
      <c r="C6298" t="n">
        <v>19</v>
      </c>
      <c r="D6298" t="n">
        <v>8</v>
      </c>
      <c r="E6298" s="10" t="n">
        <v>0.09751700000000001</v>
      </c>
      <c r="F6298" s="10" t="n">
        <v>0.3078441378825931</v>
      </c>
      <c r="G6298" s="11">
        <f>E6298*Summary!$B$6</f>
        <v/>
      </c>
      <c r="H6298" s="11">
        <f>F6298*Summary!$B$7</f>
        <v/>
      </c>
      <c r="I6298" s="11">
        <f>MAX(0,N6298-M6298)</f>
        <v/>
      </c>
      <c r="J6298" s="11">
        <f>MAX(0,M6298-N6298)</f>
        <v/>
      </c>
      <c r="K6298" s="11">
        <f>O6298</f>
        <v/>
      </c>
      <c r="L6298" s="11">
        <f>L6297+IF(K6298&gt;0,K6298*Summary!$B$9,K6298/Summary!$B$9)</f>
        <v/>
      </c>
      <c r="M6298" s="11">
        <f>G6298+H6298</f>
        <v/>
      </c>
      <c r="N6298" s="11">
        <f>Summary!$C$16*Summary!$B$8</f>
        <v/>
      </c>
      <c r="O6298" s="11">
        <f>M6298-N6298</f>
        <v/>
      </c>
    </row>
    <row r="6299">
      <c r="A6299" s="9" t="n">
        <v>45554.375</v>
      </c>
      <c r="B6299" t="n">
        <v>9</v>
      </c>
      <c r="C6299" t="n">
        <v>19</v>
      </c>
      <c r="D6299" t="n">
        <v>9</v>
      </c>
      <c r="E6299" s="10" t="n">
        <v>0.16435</v>
      </c>
      <c r="F6299" s="10" t="n">
        <v>0.3085556420533541</v>
      </c>
      <c r="G6299" s="11">
        <f>E6299*Summary!$B$6</f>
        <v/>
      </c>
      <c r="H6299" s="11">
        <f>F6299*Summary!$B$7</f>
        <v/>
      </c>
      <c r="I6299" s="11">
        <f>MAX(0,N6299-M6299)</f>
        <v/>
      </c>
      <c r="J6299" s="11">
        <f>MAX(0,M6299-N6299)</f>
        <v/>
      </c>
      <c r="K6299" s="11">
        <f>O6299</f>
        <v/>
      </c>
      <c r="L6299" s="11">
        <f>L6298+IF(K6299&gt;0,K6299*Summary!$B$9,K6299/Summary!$B$9)</f>
        <v/>
      </c>
      <c r="M6299" s="11">
        <f>G6299+H6299</f>
        <v/>
      </c>
      <c r="N6299" s="11">
        <f>Summary!$C$16*Summary!$B$8</f>
        <v/>
      </c>
      <c r="O6299" s="11">
        <f>M6299-N6299</f>
        <v/>
      </c>
    </row>
    <row r="6300">
      <c r="A6300" s="9" t="n">
        <v>45554.41666666666</v>
      </c>
      <c r="B6300" t="n">
        <v>9</v>
      </c>
      <c r="C6300" t="n">
        <v>19</v>
      </c>
      <c r="D6300" t="n">
        <v>10</v>
      </c>
      <c r="E6300" s="10" t="n">
        <v>0.153967</v>
      </c>
      <c r="F6300" s="10" t="n">
        <v>0.3064474815473955</v>
      </c>
      <c r="G6300" s="11">
        <f>E6300*Summary!$B$6</f>
        <v/>
      </c>
      <c r="H6300" s="11">
        <f>F6300*Summary!$B$7</f>
        <v/>
      </c>
      <c r="I6300" s="11">
        <f>MAX(0,N6300-M6300)</f>
        <v/>
      </c>
      <c r="J6300" s="11">
        <f>MAX(0,M6300-N6300)</f>
        <v/>
      </c>
      <c r="K6300" s="11">
        <f>O6300</f>
        <v/>
      </c>
      <c r="L6300" s="11">
        <f>L6299+IF(K6300&gt;0,K6300*Summary!$B$9,K6300/Summary!$B$9)</f>
        <v/>
      </c>
      <c r="M6300" s="11">
        <f>G6300+H6300</f>
        <v/>
      </c>
      <c r="N6300" s="11">
        <f>Summary!$C$16*Summary!$B$8</f>
        <v/>
      </c>
      <c r="O6300" s="11">
        <f>M6300-N6300</f>
        <v/>
      </c>
    </row>
    <row r="6301">
      <c r="A6301" s="9" t="n">
        <v>45554.45833333334</v>
      </c>
      <c r="B6301" t="n">
        <v>9</v>
      </c>
      <c r="C6301" t="n">
        <v>19</v>
      </c>
      <c r="D6301" t="n">
        <v>11</v>
      </c>
      <c r="E6301" s="10" t="n">
        <v>0.117123</v>
      </c>
      <c r="F6301" s="10" t="n">
        <v>0.3026264406303458</v>
      </c>
      <c r="G6301" s="11">
        <f>E6301*Summary!$B$6</f>
        <v/>
      </c>
      <c r="H6301" s="11">
        <f>F6301*Summary!$B$7</f>
        <v/>
      </c>
      <c r="I6301" s="11">
        <f>MAX(0,N6301-M6301)</f>
        <v/>
      </c>
      <c r="J6301" s="11">
        <f>MAX(0,M6301-N6301)</f>
        <v/>
      </c>
      <c r="K6301" s="11">
        <f>O6301</f>
        <v/>
      </c>
      <c r="L6301" s="11">
        <f>L6300+IF(K6301&gt;0,K6301*Summary!$B$9,K6301/Summary!$B$9)</f>
        <v/>
      </c>
      <c r="M6301" s="11">
        <f>G6301+H6301</f>
        <v/>
      </c>
      <c r="N6301" s="11">
        <f>Summary!$C$16*Summary!$B$8</f>
        <v/>
      </c>
      <c r="O6301" s="11">
        <f>M6301-N6301</f>
        <v/>
      </c>
    </row>
    <row r="6302">
      <c r="A6302" s="9" t="n">
        <v>45554.5</v>
      </c>
      <c r="B6302" t="n">
        <v>9</v>
      </c>
      <c r="C6302" t="n">
        <v>19</v>
      </c>
      <c r="D6302" t="n">
        <v>12</v>
      </c>
      <c r="E6302" s="10" t="n">
        <v>0.105622</v>
      </c>
      <c r="F6302" s="10" t="n">
        <v>0.3024946805987234</v>
      </c>
      <c r="G6302" s="11">
        <f>E6302*Summary!$B$6</f>
        <v/>
      </c>
      <c r="H6302" s="11">
        <f>F6302*Summary!$B$7</f>
        <v/>
      </c>
      <c r="I6302" s="11">
        <f>MAX(0,N6302-M6302)</f>
        <v/>
      </c>
      <c r="J6302" s="11">
        <f>MAX(0,M6302-N6302)</f>
        <v/>
      </c>
      <c r="K6302" s="11">
        <f>O6302</f>
        <v/>
      </c>
      <c r="L6302" s="11">
        <f>L6301+IF(K6302&gt;0,K6302*Summary!$B$9,K6302/Summary!$B$9)</f>
        <v/>
      </c>
      <c r="M6302" s="11">
        <f>G6302+H6302</f>
        <v/>
      </c>
      <c r="N6302" s="11">
        <f>Summary!$C$16*Summary!$B$8</f>
        <v/>
      </c>
      <c r="O6302" s="11">
        <f>M6302-N6302</f>
        <v/>
      </c>
    </row>
    <row r="6303">
      <c r="A6303" s="9" t="n">
        <v>45554.54166666666</v>
      </c>
      <c r="B6303" t="n">
        <v>9</v>
      </c>
      <c r="C6303" t="n">
        <v>19</v>
      </c>
      <c r="D6303" t="n">
        <v>13</v>
      </c>
      <c r="E6303" s="10" t="n">
        <v>0.136717</v>
      </c>
      <c r="F6303" s="10" t="n">
        <v>0.3032061847694844</v>
      </c>
      <c r="G6303" s="11">
        <f>E6303*Summary!$B$6</f>
        <v/>
      </c>
      <c r="H6303" s="11">
        <f>F6303*Summary!$B$7</f>
        <v/>
      </c>
      <c r="I6303" s="11">
        <f>MAX(0,N6303-M6303)</f>
        <v/>
      </c>
      <c r="J6303" s="11">
        <f>MAX(0,M6303-N6303)</f>
        <v/>
      </c>
      <c r="K6303" s="11">
        <f>O6303</f>
        <v/>
      </c>
      <c r="L6303" s="11">
        <f>L6302+IF(K6303&gt;0,K6303*Summary!$B$9,K6303/Summary!$B$9)</f>
        <v/>
      </c>
      <c r="M6303" s="11">
        <f>G6303+H6303</f>
        <v/>
      </c>
      <c r="N6303" s="11">
        <f>Summary!$C$16*Summary!$B$8</f>
        <v/>
      </c>
      <c r="O6303" s="11">
        <f>M6303-N6303</f>
        <v/>
      </c>
    </row>
    <row r="6304">
      <c r="A6304" s="9" t="n">
        <v>45554.58333333334</v>
      </c>
      <c r="B6304" t="n">
        <v>9</v>
      </c>
      <c r="C6304" t="n">
        <v>19</v>
      </c>
      <c r="D6304" t="n">
        <v>14</v>
      </c>
      <c r="E6304" s="10" t="n">
        <v>0.115244</v>
      </c>
      <c r="F6304" s="10" t="n">
        <v>0.3028899606935905</v>
      </c>
      <c r="G6304" s="11">
        <f>E6304*Summary!$B$6</f>
        <v/>
      </c>
      <c r="H6304" s="11">
        <f>F6304*Summary!$B$7</f>
        <v/>
      </c>
      <c r="I6304" s="11">
        <f>MAX(0,N6304-M6304)</f>
        <v/>
      </c>
      <c r="J6304" s="11">
        <f>MAX(0,M6304-N6304)</f>
        <v/>
      </c>
      <c r="K6304" s="11">
        <f>O6304</f>
        <v/>
      </c>
      <c r="L6304" s="11">
        <f>L6303+IF(K6304&gt;0,K6304*Summary!$B$9,K6304/Summary!$B$9)</f>
        <v/>
      </c>
      <c r="M6304" s="11">
        <f>G6304+H6304</f>
        <v/>
      </c>
      <c r="N6304" s="11">
        <f>Summary!$C$16*Summary!$B$8</f>
        <v/>
      </c>
      <c r="O6304" s="11">
        <f>M6304-N6304</f>
        <v/>
      </c>
    </row>
    <row r="6305">
      <c r="A6305" s="9" t="n">
        <v>45554.625</v>
      </c>
      <c r="B6305" t="n">
        <v>9</v>
      </c>
      <c r="C6305" t="n">
        <v>19</v>
      </c>
      <c r="D6305" t="n">
        <v>15</v>
      </c>
      <c r="E6305" s="10" t="n">
        <v>0.092575</v>
      </c>
      <c r="F6305" s="10" t="n">
        <v>0.3004128720990893</v>
      </c>
      <c r="G6305" s="11">
        <f>E6305*Summary!$B$6</f>
        <v/>
      </c>
      <c r="H6305" s="11">
        <f>F6305*Summary!$B$7</f>
        <v/>
      </c>
      <c r="I6305" s="11">
        <f>MAX(0,N6305-M6305)</f>
        <v/>
      </c>
      <c r="J6305" s="11">
        <f>MAX(0,M6305-N6305)</f>
        <v/>
      </c>
      <c r="K6305" s="11">
        <f>O6305</f>
        <v/>
      </c>
      <c r="L6305" s="11">
        <f>L6304+IF(K6305&gt;0,K6305*Summary!$B$9,K6305/Summary!$B$9)</f>
        <v/>
      </c>
      <c r="M6305" s="11">
        <f>G6305+H6305</f>
        <v/>
      </c>
      <c r="N6305" s="11">
        <f>Summary!$C$16*Summary!$B$8</f>
        <v/>
      </c>
      <c r="O6305" s="11">
        <f>M6305-N6305</f>
        <v/>
      </c>
    </row>
    <row r="6306">
      <c r="A6306" s="9" t="n">
        <v>45554.66666666666</v>
      </c>
      <c r="B6306" t="n">
        <v>9</v>
      </c>
      <c r="C6306" t="n">
        <v>19</v>
      </c>
      <c r="D6306" t="n">
        <v>16</v>
      </c>
      <c r="E6306" s="10" t="n">
        <v>0.053455</v>
      </c>
      <c r="F6306" s="10" t="n">
        <v>0.294325558638134</v>
      </c>
      <c r="G6306" s="11">
        <f>E6306*Summary!$B$6</f>
        <v/>
      </c>
      <c r="H6306" s="11">
        <f>F6306*Summary!$B$7</f>
        <v/>
      </c>
      <c r="I6306" s="11">
        <f>MAX(0,N6306-M6306)</f>
        <v/>
      </c>
      <c r="J6306" s="11">
        <f>MAX(0,M6306-N6306)</f>
        <v/>
      </c>
      <c r="K6306" s="11">
        <f>O6306</f>
        <v/>
      </c>
      <c r="L6306" s="11">
        <f>L6305+IF(K6306&gt;0,K6306*Summary!$B$9,K6306/Summary!$B$9)</f>
        <v/>
      </c>
      <c r="M6306" s="11">
        <f>G6306+H6306</f>
        <v/>
      </c>
      <c r="N6306" s="11">
        <f>Summary!$C$16*Summary!$B$8</f>
        <v/>
      </c>
      <c r="O6306" s="11">
        <f>M6306-N6306</f>
        <v/>
      </c>
    </row>
    <row r="6307">
      <c r="A6307" s="9" t="n">
        <v>45554.70833333334</v>
      </c>
      <c r="B6307" t="n">
        <v>9</v>
      </c>
      <c r="C6307" t="n">
        <v>19</v>
      </c>
      <c r="D6307" t="n">
        <v>17</v>
      </c>
      <c r="E6307" s="10" t="n">
        <v>0.021849</v>
      </c>
      <c r="F6307" s="10" t="n">
        <v>0.2938248705179689</v>
      </c>
      <c r="G6307" s="11">
        <f>E6307*Summary!$B$6</f>
        <v/>
      </c>
      <c r="H6307" s="11">
        <f>F6307*Summary!$B$7</f>
        <v/>
      </c>
      <c r="I6307" s="11">
        <f>MAX(0,N6307-M6307)</f>
        <v/>
      </c>
      <c r="J6307" s="11">
        <f>MAX(0,M6307-N6307)</f>
        <v/>
      </c>
      <c r="K6307" s="11">
        <f>O6307</f>
        <v/>
      </c>
      <c r="L6307" s="11">
        <f>L6306+IF(K6307&gt;0,K6307*Summary!$B$9,K6307/Summary!$B$9)</f>
        <v/>
      </c>
      <c r="M6307" s="11">
        <f>G6307+H6307</f>
        <v/>
      </c>
      <c r="N6307" s="11">
        <f>Summary!$C$16*Summary!$B$8</f>
        <v/>
      </c>
      <c r="O6307" s="11">
        <f>M6307-N6307</f>
        <v/>
      </c>
    </row>
    <row r="6308">
      <c r="A6308" s="9" t="n">
        <v>45554.75</v>
      </c>
      <c r="B6308" t="n">
        <v>9</v>
      </c>
      <c r="C6308" t="n">
        <v>19</v>
      </c>
      <c r="D6308" t="n">
        <v>18</v>
      </c>
      <c r="E6308" s="10" t="n">
        <v>0</v>
      </c>
      <c r="F6308" s="10" t="n">
        <v>0.3049981211995491</v>
      </c>
      <c r="G6308" s="11">
        <f>E6308*Summary!$B$6</f>
        <v/>
      </c>
      <c r="H6308" s="11">
        <f>F6308*Summary!$B$7</f>
        <v/>
      </c>
      <c r="I6308" s="11">
        <f>MAX(0,N6308-M6308)</f>
        <v/>
      </c>
      <c r="J6308" s="11">
        <f>MAX(0,M6308-N6308)</f>
        <v/>
      </c>
      <c r="K6308" s="11">
        <f>O6308</f>
        <v/>
      </c>
      <c r="L6308" s="11">
        <f>L6307+IF(K6308&gt;0,K6308*Summary!$B$9,K6308/Summary!$B$9)</f>
        <v/>
      </c>
      <c r="M6308" s="11">
        <f>G6308+H6308</f>
        <v/>
      </c>
      <c r="N6308" s="11">
        <f>Summary!$C$16*Summary!$B$8</f>
        <v/>
      </c>
      <c r="O6308" s="11">
        <f>M6308-N6308</f>
        <v/>
      </c>
    </row>
    <row r="6309">
      <c r="A6309" s="9" t="n">
        <v>45554.79166666666</v>
      </c>
      <c r="B6309" t="n">
        <v>9</v>
      </c>
      <c r="C6309" t="n">
        <v>19</v>
      </c>
      <c r="D6309" t="n">
        <v>19</v>
      </c>
      <c r="E6309" s="10" t="n">
        <v>0</v>
      </c>
      <c r="F6309" s="10" t="n">
        <v>0.3131408911538139</v>
      </c>
      <c r="G6309" s="11">
        <f>E6309*Summary!$B$6</f>
        <v/>
      </c>
      <c r="H6309" s="11">
        <f>F6309*Summary!$B$7</f>
        <v/>
      </c>
      <c r="I6309" s="11">
        <f>MAX(0,N6309-M6309)</f>
        <v/>
      </c>
      <c r="J6309" s="11">
        <f>MAX(0,M6309-N6309)</f>
        <v/>
      </c>
      <c r="K6309" s="11">
        <f>O6309</f>
        <v/>
      </c>
      <c r="L6309" s="11">
        <f>L6308+IF(K6309&gt;0,K6309*Summary!$B$9,K6309/Summary!$B$9)</f>
        <v/>
      </c>
      <c r="M6309" s="11">
        <f>G6309+H6309</f>
        <v/>
      </c>
      <c r="N6309" s="11">
        <f>Summary!$C$16*Summary!$B$8</f>
        <v/>
      </c>
      <c r="O6309" s="11">
        <f>M6309-N6309</f>
        <v/>
      </c>
    </row>
    <row r="6310">
      <c r="A6310" s="9" t="n">
        <v>45554.83333333334</v>
      </c>
      <c r="B6310" t="n">
        <v>9</v>
      </c>
      <c r="C6310" t="n">
        <v>19</v>
      </c>
      <c r="D6310" t="n">
        <v>20</v>
      </c>
      <c r="E6310" s="10" t="n">
        <v>0</v>
      </c>
      <c r="F6310" s="10" t="n">
        <v>0.3175943802226512</v>
      </c>
      <c r="G6310" s="11">
        <f>E6310*Summary!$B$6</f>
        <v/>
      </c>
      <c r="H6310" s="11">
        <f>F6310*Summary!$B$7</f>
        <v/>
      </c>
      <c r="I6310" s="11">
        <f>MAX(0,N6310-M6310)</f>
        <v/>
      </c>
      <c r="J6310" s="11">
        <f>MAX(0,M6310-N6310)</f>
        <v/>
      </c>
      <c r="K6310" s="11">
        <f>O6310</f>
        <v/>
      </c>
      <c r="L6310" s="11">
        <f>L6309+IF(K6310&gt;0,K6310*Summary!$B$9,K6310/Summary!$B$9)</f>
        <v/>
      </c>
      <c r="M6310" s="11">
        <f>G6310+H6310</f>
        <v/>
      </c>
      <c r="N6310" s="11">
        <f>Summary!$C$16*Summary!$B$8</f>
        <v/>
      </c>
      <c r="O6310" s="11">
        <f>M6310-N6310</f>
        <v/>
      </c>
    </row>
    <row r="6311">
      <c r="A6311" s="9" t="n">
        <v>45554.875</v>
      </c>
      <c r="B6311" t="n">
        <v>9</v>
      </c>
      <c r="C6311" t="n">
        <v>19</v>
      </c>
      <c r="D6311" t="n">
        <v>21</v>
      </c>
      <c r="E6311" s="10" t="n">
        <v>0</v>
      </c>
      <c r="F6311" s="10" t="n">
        <v>0.3387286892948855</v>
      </c>
      <c r="G6311" s="11">
        <f>E6311*Summary!$B$6</f>
        <v/>
      </c>
      <c r="H6311" s="11">
        <f>F6311*Summary!$B$7</f>
        <v/>
      </c>
      <c r="I6311" s="11">
        <f>MAX(0,N6311-M6311)</f>
        <v/>
      </c>
      <c r="J6311" s="11">
        <f>MAX(0,M6311-N6311)</f>
        <v/>
      </c>
      <c r="K6311" s="11">
        <f>O6311</f>
        <v/>
      </c>
      <c r="L6311" s="11">
        <f>L6310+IF(K6311&gt;0,K6311*Summary!$B$9,K6311/Summary!$B$9)</f>
        <v/>
      </c>
      <c r="M6311" s="11">
        <f>G6311+H6311</f>
        <v/>
      </c>
      <c r="N6311" s="11">
        <f>Summary!$C$16*Summary!$B$8</f>
        <v/>
      </c>
      <c r="O6311" s="11">
        <f>M6311-N6311</f>
        <v/>
      </c>
    </row>
    <row r="6312">
      <c r="A6312" s="9" t="n">
        <v>45554.91666666666</v>
      </c>
      <c r="B6312" t="n">
        <v>9</v>
      </c>
      <c r="C6312" t="n">
        <v>19</v>
      </c>
      <c r="D6312" t="n">
        <v>22</v>
      </c>
      <c r="E6312" s="10" t="n">
        <v>0</v>
      </c>
      <c r="F6312" s="10" t="n">
        <v>0.3241560297974472</v>
      </c>
      <c r="G6312" s="11">
        <f>E6312*Summary!$B$6</f>
        <v/>
      </c>
      <c r="H6312" s="11">
        <f>F6312*Summary!$B$7</f>
        <v/>
      </c>
      <c r="I6312" s="11">
        <f>MAX(0,N6312-M6312)</f>
        <v/>
      </c>
      <c r="J6312" s="11">
        <f>MAX(0,M6312-N6312)</f>
        <v/>
      </c>
      <c r="K6312" s="11">
        <f>O6312</f>
        <v/>
      </c>
      <c r="L6312" s="11">
        <f>L6311+IF(K6312&gt;0,K6312*Summary!$B$9,K6312/Summary!$B$9)</f>
        <v/>
      </c>
      <c r="M6312" s="11">
        <f>G6312+H6312</f>
        <v/>
      </c>
      <c r="N6312" s="11">
        <f>Summary!$C$16*Summary!$B$8</f>
        <v/>
      </c>
      <c r="O6312" s="11">
        <f>M6312-N6312</f>
        <v/>
      </c>
    </row>
    <row r="6313">
      <c r="A6313" s="9" t="n">
        <v>45554.95833333334</v>
      </c>
      <c r="B6313" t="n">
        <v>9</v>
      </c>
      <c r="C6313" t="n">
        <v>19</v>
      </c>
      <c r="D6313" t="n">
        <v>23</v>
      </c>
      <c r="E6313" s="10" t="n">
        <v>0</v>
      </c>
      <c r="F6313" s="10" t="n">
        <v>0.3217579972219194</v>
      </c>
      <c r="G6313" s="11">
        <f>E6313*Summary!$B$6</f>
        <v/>
      </c>
      <c r="H6313" s="11">
        <f>F6313*Summary!$B$7</f>
        <v/>
      </c>
      <c r="I6313" s="11">
        <f>MAX(0,N6313-M6313)</f>
        <v/>
      </c>
      <c r="J6313" s="11">
        <f>MAX(0,M6313-N6313)</f>
        <v/>
      </c>
      <c r="K6313" s="11">
        <f>O6313</f>
        <v/>
      </c>
      <c r="L6313" s="11">
        <f>L6312+IF(K6313&gt;0,K6313*Summary!$B$9,K6313/Summary!$B$9)</f>
        <v/>
      </c>
      <c r="M6313" s="11">
        <f>G6313+H6313</f>
        <v/>
      </c>
      <c r="N6313" s="11">
        <f>Summary!$C$16*Summary!$B$8</f>
        <v/>
      </c>
      <c r="O6313" s="11">
        <f>M6313-N6313</f>
        <v/>
      </c>
    </row>
    <row r="6314">
      <c r="A6314" s="9" t="n">
        <v>45555</v>
      </c>
      <c r="B6314" t="n">
        <v>9</v>
      </c>
      <c r="C6314" t="n">
        <v>20</v>
      </c>
      <c r="D6314" t="n">
        <v>0</v>
      </c>
      <c r="E6314" s="10" t="n">
        <v>0</v>
      </c>
      <c r="F6314" s="10" t="n">
        <v>0.2572219337332641</v>
      </c>
      <c r="G6314" s="11">
        <f>E6314*Summary!$B$6</f>
        <v/>
      </c>
      <c r="H6314" s="11">
        <f>F6314*Summary!$B$7</f>
        <v/>
      </c>
      <c r="I6314" s="11">
        <f>MAX(0,N6314-M6314)</f>
        <v/>
      </c>
      <c r="J6314" s="11">
        <f>MAX(0,M6314-N6314)</f>
        <v/>
      </c>
      <c r="K6314" s="11">
        <f>O6314</f>
        <v/>
      </c>
      <c r="L6314" s="11">
        <f>L6313+IF(K6314&gt;0,K6314*Summary!$B$9,K6314/Summary!$B$9)</f>
        <v/>
      </c>
      <c r="M6314" s="11">
        <f>G6314+H6314</f>
        <v/>
      </c>
      <c r="N6314" s="11">
        <f>Summary!$C$16*Summary!$B$8</f>
        <v/>
      </c>
      <c r="O6314" s="11">
        <f>M6314-N6314</f>
        <v/>
      </c>
    </row>
    <row r="6315">
      <c r="A6315" s="9" t="n">
        <v>45555.04166666666</v>
      </c>
      <c r="B6315" t="n">
        <v>9</v>
      </c>
      <c r="C6315" t="n">
        <v>20</v>
      </c>
      <c r="D6315" t="n">
        <v>1</v>
      </c>
      <c r="E6315" s="10" t="n">
        <v>0</v>
      </c>
      <c r="F6315" s="10" t="n">
        <v>0.3283723508093642</v>
      </c>
      <c r="G6315" s="11">
        <f>E6315*Summary!$B$6</f>
        <v/>
      </c>
      <c r="H6315" s="11">
        <f>F6315*Summary!$B$7</f>
        <v/>
      </c>
      <c r="I6315" s="11">
        <f>MAX(0,N6315-M6315)</f>
        <v/>
      </c>
      <c r="J6315" s="11">
        <f>MAX(0,M6315-N6315)</f>
        <v/>
      </c>
      <c r="K6315" s="11">
        <f>O6315</f>
        <v/>
      </c>
      <c r="L6315" s="11">
        <f>L6314+IF(K6315&gt;0,K6315*Summary!$B$9,K6315/Summary!$B$9)</f>
        <v/>
      </c>
      <c r="M6315" s="11">
        <f>G6315+H6315</f>
        <v/>
      </c>
      <c r="N6315" s="11">
        <f>Summary!$C$16*Summary!$B$8</f>
        <v/>
      </c>
      <c r="O6315" s="11">
        <f>M6315-N6315</f>
        <v/>
      </c>
    </row>
    <row r="6316">
      <c r="A6316" s="9" t="n">
        <v>45555.08333333334</v>
      </c>
      <c r="B6316" t="n">
        <v>9</v>
      </c>
      <c r="C6316" t="n">
        <v>20</v>
      </c>
      <c r="D6316" t="n">
        <v>2</v>
      </c>
      <c r="E6316" s="10" t="n">
        <v>0</v>
      </c>
      <c r="F6316" s="10" t="n">
        <v>0.3294527830686679</v>
      </c>
      <c r="G6316" s="11">
        <f>E6316*Summary!$B$6</f>
        <v/>
      </c>
      <c r="H6316" s="11">
        <f>F6316*Summary!$B$7</f>
        <v/>
      </c>
      <c r="I6316" s="11">
        <f>MAX(0,N6316-M6316)</f>
        <v/>
      </c>
      <c r="J6316" s="11">
        <f>MAX(0,M6316-N6316)</f>
        <v/>
      </c>
      <c r="K6316" s="11">
        <f>O6316</f>
        <v/>
      </c>
      <c r="L6316" s="11">
        <f>L6315+IF(K6316&gt;0,K6316*Summary!$B$9,K6316/Summary!$B$9)</f>
        <v/>
      </c>
      <c r="M6316" s="11">
        <f>G6316+H6316</f>
        <v/>
      </c>
      <c r="N6316" s="11">
        <f>Summary!$C$16*Summary!$B$8</f>
        <v/>
      </c>
      <c r="O6316" s="11">
        <f>M6316-N6316</f>
        <v/>
      </c>
    </row>
    <row r="6317">
      <c r="A6317" s="9" t="n">
        <v>45555.125</v>
      </c>
      <c r="B6317" t="n">
        <v>9</v>
      </c>
      <c r="C6317" t="n">
        <v>20</v>
      </c>
      <c r="D6317" t="n">
        <v>3</v>
      </c>
      <c r="E6317" s="10" t="n">
        <v>0</v>
      </c>
      <c r="F6317" s="10" t="n">
        <v>0.3291102069864497</v>
      </c>
      <c r="G6317" s="11">
        <f>E6317*Summary!$B$6</f>
        <v/>
      </c>
      <c r="H6317" s="11">
        <f>F6317*Summary!$B$7</f>
        <v/>
      </c>
      <c r="I6317" s="11">
        <f>MAX(0,N6317-M6317)</f>
        <v/>
      </c>
      <c r="J6317" s="11">
        <f>MAX(0,M6317-N6317)</f>
        <v/>
      </c>
      <c r="K6317" s="11">
        <f>O6317</f>
        <v/>
      </c>
      <c r="L6317" s="11">
        <f>L6316+IF(K6317&gt;0,K6317*Summary!$B$9,K6317/Summary!$B$9)</f>
        <v/>
      </c>
      <c r="M6317" s="11">
        <f>G6317+H6317</f>
        <v/>
      </c>
      <c r="N6317" s="11">
        <f>Summary!$C$16*Summary!$B$8</f>
        <v/>
      </c>
      <c r="O6317" s="11">
        <f>M6317-N6317</f>
        <v/>
      </c>
    </row>
    <row r="6318">
      <c r="A6318" s="9" t="n">
        <v>45555.16666666666</v>
      </c>
      <c r="B6318" t="n">
        <v>9</v>
      </c>
      <c r="C6318" t="n">
        <v>20</v>
      </c>
      <c r="D6318" t="n">
        <v>4</v>
      </c>
      <c r="E6318" s="10" t="n">
        <v>0</v>
      </c>
      <c r="F6318" s="10" t="n">
        <v>0.320756620981589</v>
      </c>
      <c r="G6318" s="11">
        <f>E6318*Summary!$B$6</f>
        <v/>
      </c>
      <c r="H6318" s="11">
        <f>F6318*Summary!$B$7</f>
        <v/>
      </c>
      <c r="I6318" s="11">
        <f>MAX(0,N6318-M6318)</f>
        <v/>
      </c>
      <c r="J6318" s="11">
        <f>MAX(0,M6318-N6318)</f>
        <v/>
      </c>
      <c r="K6318" s="11">
        <f>O6318</f>
        <v/>
      </c>
      <c r="L6318" s="11">
        <f>L6317+IF(K6318&gt;0,K6318*Summary!$B$9,K6318/Summary!$B$9)</f>
        <v/>
      </c>
      <c r="M6318" s="11">
        <f>G6318+H6318</f>
        <v/>
      </c>
      <c r="N6318" s="11">
        <f>Summary!$C$16*Summary!$B$8</f>
        <v/>
      </c>
      <c r="O6318" s="11">
        <f>M6318-N6318</f>
        <v/>
      </c>
    </row>
    <row r="6319">
      <c r="A6319" s="9" t="n">
        <v>45555.20833333334</v>
      </c>
      <c r="B6319" t="n">
        <v>9</v>
      </c>
      <c r="C6319" t="n">
        <v>20</v>
      </c>
      <c r="D6319" t="n">
        <v>5</v>
      </c>
      <c r="E6319" s="10" t="n">
        <v>0</v>
      </c>
      <c r="F6319" s="10" t="n">
        <v>0.3090299781671947</v>
      </c>
      <c r="G6319" s="11">
        <f>E6319*Summary!$B$6</f>
        <v/>
      </c>
      <c r="H6319" s="11">
        <f>F6319*Summary!$B$7</f>
        <v/>
      </c>
      <c r="I6319" s="11">
        <f>MAX(0,N6319-M6319)</f>
        <v/>
      </c>
      <c r="J6319" s="11">
        <f>MAX(0,M6319-N6319)</f>
        <v/>
      </c>
      <c r="K6319" s="11">
        <f>O6319</f>
        <v/>
      </c>
      <c r="L6319" s="11">
        <f>L6318+IF(K6319&gt;0,K6319*Summary!$B$9,K6319/Summary!$B$9)</f>
        <v/>
      </c>
      <c r="M6319" s="11">
        <f>G6319+H6319</f>
        <v/>
      </c>
      <c r="N6319" s="11">
        <f>Summary!$C$16*Summary!$B$8</f>
        <v/>
      </c>
      <c r="O6319" s="11">
        <f>M6319-N6319</f>
        <v/>
      </c>
    </row>
    <row r="6320">
      <c r="A6320" s="9" t="n">
        <v>45555.25</v>
      </c>
      <c r="B6320" t="n">
        <v>9</v>
      </c>
      <c r="C6320" t="n">
        <v>20</v>
      </c>
      <c r="D6320" t="n">
        <v>6</v>
      </c>
      <c r="E6320" s="10" t="n">
        <v>0.007193</v>
      </c>
      <c r="F6320" s="10" t="n">
        <v>0.2934295904231017</v>
      </c>
      <c r="G6320" s="11">
        <f>E6320*Summary!$B$6</f>
        <v/>
      </c>
      <c r="H6320" s="11">
        <f>F6320*Summary!$B$7</f>
        <v/>
      </c>
      <c r="I6320" s="11">
        <f>MAX(0,N6320-M6320)</f>
        <v/>
      </c>
      <c r="J6320" s="11">
        <f>MAX(0,M6320-N6320)</f>
        <v/>
      </c>
      <c r="K6320" s="11">
        <f>O6320</f>
        <v/>
      </c>
      <c r="L6320" s="11">
        <f>L6319+IF(K6320&gt;0,K6320*Summary!$B$9,K6320/Summary!$B$9)</f>
        <v/>
      </c>
      <c r="M6320" s="11">
        <f>G6320+H6320</f>
        <v/>
      </c>
      <c r="N6320" s="11">
        <f>Summary!$C$16*Summary!$B$8</f>
        <v/>
      </c>
      <c r="O6320" s="11">
        <f>M6320-N6320</f>
        <v/>
      </c>
    </row>
    <row r="6321">
      <c r="A6321" s="9" t="n">
        <v>45555.29166666666</v>
      </c>
      <c r="B6321" t="n">
        <v>9</v>
      </c>
      <c r="C6321" t="n">
        <v>20</v>
      </c>
      <c r="D6321" t="n">
        <v>7</v>
      </c>
      <c r="E6321" s="10" t="n">
        <v>0.037933</v>
      </c>
      <c r="F6321" s="10" t="n">
        <v>0.2678681442883546</v>
      </c>
      <c r="G6321" s="11">
        <f>E6321*Summary!$B$6</f>
        <v/>
      </c>
      <c r="H6321" s="11">
        <f>F6321*Summary!$B$7</f>
        <v/>
      </c>
      <c r="I6321" s="11">
        <f>MAX(0,N6321-M6321)</f>
        <v/>
      </c>
      <c r="J6321" s="11">
        <f>MAX(0,M6321-N6321)</f>
        <v/>
      </c>
      <c r="K6321" s="11">
        <f>O6321</f>
        <v/>
      </c>
      <c r="L6321" s="11">
        <f>L6320+IF(K6321&gt;0,K6321*Summary!$B$9,K6321/Summary!$B$9)</f>
        <v/>
      </c>
      <c r="M6321" s="11">
        <f>G6321+H6321</f>
        <v/>
      </c>
      <c r="N6321" s="11">
        <f>Summary!$C$16*Summary!$B$8</f>
        <v/>
      </c>
      <c r="O6321" s="11">
        <f>M6321-N6321</f>
        <v/>
      </c>
    </row>
    <row r="6322">
      <c r="A6322" s="9" t="n">
        <v>45555.33333333334</v>
      </c>
      <c r="B6322" t="n">
        <v>9</v>
      </c>
      <c r="C6322" t="n">
        <v>20</v>
      </c>
      <c r="D6322" t="n">
        <v>8</v>
      </c>
      <c r="E6322" s="10" t="n">
        <v>0.0766</v>
      </c>
      <c r="F6322" s="10" t="n">
        <v>0.2469182992603918</v>
      </c>
      <c r="G6322" s="11">
        <f>E6322*Summary!$B$6</f>
        <v/>
      </c>
      <c r="H6322" s="11">
        <f>F6322*Summary!$B$7</f>
        <v/>
      </c>
      <c r="I6322" s="11">
        <f>MAX(0,N6322-M6322)</f>
        <v/>
      </c>
      <c r="J6322" s="11">
        <f>MAX(0,M6322-N6322)</f>
        <v/>
      </c>
      <c r="K6322" s="11">
        <f>O6322</f>
        <v/>
      </c>
      <c r="L6322" s="11">
        <f>L6321+IF(K6322&gt;0,K6322*Summary!$B$9,K6322/Summary!$B$9)</f>
        <v/>
      </c>
      <c r="M6322" s="11">
        <f>G6322+H6322</f>
        <v/>
      </c>
      <c r="N6322" s="11">
        <f>Summary!$C$16*Summary!$B$8</f>
        <v/>
      </c>
      <c r="O6322" s="11">
        <f>M6322-N6322</f>
        <v/>
      </c>
    </row>
    <row r="6323">
      <c r="A6323" s="9" t="n">
        <v>45555.375</v>
      </c>
      <c r="B6323" t="n">
        <v>9</v>
      </c>
      <c r="C6323" t="n">
        <v>20</v>
      </c>
      <c r="D6323" t="n">
        <v>9</v>
      </c>
      <c r="E6323" s="10" t="n">
        <v>0.105725</v>
      </c>
      <c r="F6323" s="10" t="n">
        <v>0.2351916564459975</v>
      </c>
      <c r="G6323" s="11">
        <f>E6323*Summary!$B$6</f>
        <v/>
      </c>
      <c r="H6323" s="11">
        <f>F6323*Summary!$B$7</f>
        <v/>
      </c>
      <c r="I6323" s="11">
        <f>MAX(0,N6323-M6323)</f>
        <v/>
      </c>
      <c r="J6323" s="11">
        <f>MAX(0,M6323-N6323)</f>
        <v/>
      </c>
      <c r="K6323" s="11">
        <f>O6323</f>
        <v/>
      </c>
      <c r="L6323" s="11">
        <f>L6322+IF(K6323&gt;0,K6323*Summary!$B$9,K6323/Summary!$B$9)</f>
        <v/>
      </c>
      <c r="M6323" s="11">
        <f>G6323+H6323</f>
        <v/>
      </c>
      <c r="N6323" s="11">
        <f>Summary!$C$16*Summary!$B$8</f>
        <v/>
      </c>
      <c r="O6323" s="11">
        <f>M6323-N6323</f>
        <v/>
      </c>
    </row>
    <row r="6324">
      <c r="A6324" s="9" t="n">
        <v>45555.41666666666</v>
      </c>
      <c r="B6324" t="n">
        <v>9</v>
      </c>
      <c r="C6324" t="n">
        <v>20</v>
      </c>
      <c r="D6324" t="n">
        <v>10</v>
      </c>
      <c r="E6324" s="10" t="n">
        <v>0.080305</v>
      </c>
      <c r="F6324" s="10" t="n">
        <v>0.2272597025423286</v>
      </c>
      <c r="G6324" s="11">
        <f>E6324*Summary!$B$6</f>
        <v/>
      </c>
      <c r="H6324" s="11">
        <f>F6324*Summary!$B$7</f>
        <v/>
      </c>
      <c r="I6324" s="11">
        <f>MAX(0,N6324-M6324)</f>
        <v/>
      </c>
      <c r="J6324" s="11">
        <f>MAX(0,M6324-N6324)</f>
        <v/>
      </c>
      <c r="K6324" s="11">
        <f>O6324</f>
        <v/>
      </c>
      <c r="L6324" s="11">
        <f>L6323+IF(K6324&gt;0,K6324*Summary!$B$9,K6324/Summary!$B$9)</f>
        <v/>
      </c>
      <c r="M6324" s="11">
        <f>G6324+H6324</f>
        <v/>
      </c>
      <c r="N6324" s="11">
        <f>Summary!$C$16*Summary!$B$8</f>
        <v/>
      </c>
      <c r="O6324" s="11">
        <f>M6324-N6324</f>
        <v/>
      </c>
    </row>
    <row r="6325">
      <c r="A6325" s="9" t="n">
        <v>45555.45833333334</v>
      </c>
      <c r="B6325" t="n">
        <v>9</v>
      </c>
      <c r="C6325" t="n">
        <v>20</v>
      </c>
      <c r="D6325" t="n">
        <v>11</v>
      </c>
      <c r="E6325" s="10" t="n">
        <v>0.149628</v>
      </c>
      <c r="F6325" s="10" t="n">
        <v>0.2212514451003468</v>
      </c>
      <c r="G6325" s="11">
        <f>E6325*Summary!$B$6</f>
        <v/>
      </c>
      <c r="H6325" s="11">
        <f>F6325*Summary!$B$7</f>
        <v/>
      </c>
      <c r="I6325" s="11">
        <f>MAX(0,N6325-M6325)</f>
        <v/>
      </c>
      <c r="J6325" s="11">
        <f>MAX(0,M6325-N6325)</f>
        <v/>
      </c>
      <c r="K6325" s="11">
        <f>O6325</f>
        <v/>
      </c>
      <c r="L6325" s="11">
        <f>L6324+IF(K6325&gt;0,K6325*Summary!$B$9,K6325/Summary!$B$9)</f>
        <v/>
      </c>
      <c r="M6325" s="11">
        <f>G6325+H6325</f>
        <v/>
      </c>
      <c r="N6325" s="11">
        <f>Summary!$C$16*Summary!$B$8</f>
        <v/>
      </c>
      <c r="O6325" s="11">
        <f>M6325-N6325</f>
        <v/>
      </c>
    </row>
    <row r="6326">
      <c r="A6326" s="9" t="n">
        <v>45555.5</v>
      </c>
      <c r="B6326" t="n">
        <v>9</v>
      </c>
      <c r="C6326" t="n">
        <v>20</v>
      </c>
      <c r="D6326" t="n">
        <v>12</v>
      </c>
      <c r="E6326" s="10" t="n">
        <v>0.262308</v>
      </c>
      <c r="F6326" s="10" t="n">
        <v>0.2207771089865062</v>
      </c>
      <c r="G6326" s="11">
        <f>E6326*Summary!$B$6</f>
        <v/>
      </c>
      <c r="H6326" s="11">
        <f>F6326*Summary!$B$7</f>
        <v/>
      </c>
      <c r="I6326" s="11">
        <f>MAX(0,N6326-M6326)</f>
        <v/>
      </c>
      <c r="J6326" s="11">
        <f>MAX(0,M6326-N6326)</f>
        <v/>
      </c>
      <c r="K6326" s="11">
        <f>O6326</f>
        <v/>
      </c>
      <c r="L6326" s="11">
        <f>L6325+IF(K6326&gt;0,K6326*Summary!$B$9,K6326/Summary!$B$9)</f>
        <v/>
      </c>
      <c r="M6326" s="11">
        <f>G6326+H6326</f>
        <v/>
      </c>
      <c r="N6326" s="11">
        <f>Summary!$C$16*Summary!$B$8</f>
        <v/>
      </c>
      <c r="O6326" s="11">
        <f>M6326-N6326</f>
        <v/>
      </c>
    </row>
    <row r="6327">
      <c r="A6327" s="9" t="n">
        <v>45555.54166666666</v>
      </c>
      <c r="B6327" t="n">
        <v>9</v>
      </c>
      <c r="C6327" t="n">
        <v>20</v>
      </c>
      <c r="D6327" t="n">
        <v>13</v>
      </c>
      <c r="E6327" s="10" t="n">
        <v>0.282888</v>
      </c>
      <c r="F6327" s="10" t="n">
        <v>0.2211196850687244</v>
      </c>
      <c r="G6327" s="11">
        <f>E6327*Summary!$B$6</f>
        <v/>
      </c>
      <c r="H6327" s="11">
        <f>F6327*Summary!$B$7</f>
        <v/>
      </c>
      <c r="I6327" s="11">
        <f>MAX(0,N6327-M6327)</f>
        <v/>
      </c>
      <c r="J6327" s="11">
        <f>MAX(0,M6327-N6327)</f>
        <v/>
      </c>
      <c r="K6327" s="11">
        <f>O6327</f>
        <v/>
      </c>
      <c r="L6327" s="11">
        <f>L6326+IF(K6327&gt;0,K6327*Summary!$B$9,K6327/Summary!$B$9)</f>
        <v/>
      </c>
      <c r="M6327" s="11">
        <f>G6327+H6327</f>
        <v/>
      </c>
      <c r="N6327" s="11">
        <f>Summary!$C$16*Summary!$B$8</f>
        <v/>
      </c>
      <c r="O6327" s="11">
        <f>M6327-N6327</f>
        <v/>
      </c>
    </row>
    <row r="6328">
      <c r="A6328" s="9" t="n">
        <v>45555.58333333334</v>
      </c>
      <c r="B6328" t="n">
        <v>9</v>
      </c>
      <c r="C6328" t="n">
        <v>20</v>
      </c>
      <c r="D6328" t="n">
        <v>14</v>
      </c>
      <c r="E6328" s="10" t="n">
        <v>0.155777</v>
      </c>
      <c r="F6328" s="10" t="n">
        <v>0.22667995840319</v>
      </c>
      <c r="G6328" s="11">
        <f>E6328*Summary!$B$6</f>
        <v/>
      </c>
      <c r="H6328" s="11">
        <f>F6328*Summary!$B$7</f>
        <v/>
      </c>
      <c r="I6328" s="11">
        <f>MAX(0,N6328-M6328)</f>
        <v/>
      </c>
      <c r="J6328" s="11">
        <f>MAX(0,M6328-N6328)</f>
        <v/>
      </c>
      <c r="K6328" s="11">
        <f>O6328</f>
        <v/>
      </c>
      <c r="L6328" s="11">
        <f>L6327+IF(K6328&gt;0,K6328*Summary!$B$9,K6328/Summary!$B$9)</f>
        <v/>
      </c>
      <c r="M6328" s="11">
        <f>G6328+H6328</f>
        <v/>
      </c>
      <c r="N6328" s="11">
        <f>Summary!$C$16*Summary!$B$8</f>
        <v/>
      </c>
      <c r="O6328" s="11">
        <f>M6328-N6328</f>
        <v/>
      </c>
    </row>
    <row r="6329">
      <c r="A6329" s="9" t="n">
        <v>45555.625</v>
      </c>
      <c r="B6329" t="n">
        <v>9</v>
      </c>
      <c r="C6329" t="n">
        <v>20</v>
      </c>
      <c r="D6329" t="n">
        <v>15</v>
      </c>
      <c r="E6329" s="10" t="n">
        <v>0.139582</v>
      </c>
      <c r="F6329" s="10" t="n">
        <v>0.2273124065549776</v>
      </c>
      <c r="G6329" s="11">
        <f>E6329*Summary!$B$6</f>
        <v/>
      </c>
      <c r="H6329" s="11">
        <f>F6329*Summary!$B$7</f>
        <v/>
      </c>
      <c r="I6329" s="11">
        <f>MAX(0,N6329-M6329)</f>
        <v/>
      </c>
      <c r="J6329" s="11">
        <f>MAX(0,M6329-N6329)</f>
        <v/>
      </c>
      <c r="K6329" s="11">
        <f>O6329</f>
        <v/>
      </c>
      <c r="L6329" s="11">
        <f>L6328+IF(K6329&gt;0,K6329*Summary!$B$9,K6329/Summary!$B$9)</f>
        <v/>
      </c>
      <c r="M6329" s="11">
        <f>G6329+H6329</f>
        <v/>
      </c>
      <c r="N6329" s="11">
        <f>Summary!$C$16*Summary!$B$8</f>
        <v/>
      </c>
      <c r="O6329" s="11">
        <f>M6329-N6329</f>
        <v/>
      </c>
    </row>
    <row r="6330">
      <c r="A6330" s="9" t="n">
        <v>45555.66666666666</v>
      </c>
      <c r="B6330" t="n">
        <v>9</v>
      </c>
      <c r="C6330" t="n">
        <v>20</v>
      </c>
      <c r="D6330" t="n">
        <v>16</v>
      </c>
      <c r="E6330" s="10" t="n">
        <v>0.085017</v>
      </c>
      <c r="F6330" s="10" t="n">
        <v>0.2274178145802755</v>
      </c>
      <c r="G6330" s="11">
        <f>E6330*Summary!$B$6</f>
        <v/>
      </c>
      <c r="H6330" s="11">
        <f>F6330*Summary!$B$7</f>
        <v/>
      </c>
      <c r="I6330" s="11">
        <f>MAX(0,N6330-M6330)</f>
        <v/>
      </c>
      <c r="J6330" s="11">
        <f>MAX(0,M6330-N6330)</f>
        <v/>
      </c>
      <c r="K6330" s="11">
        <f>O6330</f>
        <v/>
      </c>
      <c r="L6330" s="11">
        <f>L6329+IF(K6330&gt;0,K6330*Summary!$B$9,K6330/Summary!$B$9)</f>
        <v/>
      </c>
      <c r="M6330" s="11">
        <f>G6330+H6330</f>
        <v/>
      </c>
      <c r="N6330" s="11">
        <f>Summary!$C$16*Summary!$B$8</f>
        <v/>
      </c>
      <c r="O6330" s="11">
        <f>M6330-N6330</f>
        <v/>
      </c>
    </row>
    <row r="6331">
      <c r="A6331" s="9" t="n">
        <v>45555.70833333334</v>
      </c>
      <c r="B6331" t="n">
        <v>9</v>
      </c>
      <c r="C6331" t="n">
        <v>20</v>
      </c>
      <c r="D6331" t="n">
        <v>17</v>
      </c>
      <c r="E6331" s="10" t="n">
        <v>0.009449000000000001</v>
      </c>
      <c r="F6331" s="10" t="n">
        <v>0.2333206639969594</v>
      </c>
      <c r="G6331" s="11">
        <f>E6331*Summary!$B$6</f>
        <v/>
      </c>
      <c r="H6331" s="11">
        <f>F6331*Summary!$B$7</f>
        <v/>
      </c>
      <c r="I6331" s="11">
        <f>MAX(0,N6331-M6331)</f>
        <v/>
      </c>
      <c r="J6331" s="11">
        <f>MAX(0,M6331-N6331)</f>
        <v/>
      </c>
      <c r="K6331" s="11">
        <f>O6331</f>
        <v/>
      </c>
      <c r="L6331" s="11">
        <f>L6330+IF(K6331&gt;0,K6331*Summary!$B$9,K6331/Summary!$B$9)</f>
        <v/>
      </c>
      <c r="M6331" s="11">
        <f>G6331+H6331</f>
        <v/>
      </c>
      <c r="N6331" s="11">
        <f>Summary!$C$16*Summary!$B$8</f>
        <v/>
      </c>
      <c r="O6331" s="11">
        <f>M6331-N6331</f>
        <v/>
      </c>
    </row>
    <row r="6332">
      <c r="A6332" s="9" t="n">
        <v>45555.75</v>
      </c>
      <c r="B6332" t="n">
        <v>9</v>
      </c>
      <c r="C6332" t="n">
        <v>20</v>
      </c>
      <c r="D6332" t="n">
        <v>18</v>
      </c>
      <c r="E6332" s="10" t="n">
        <v>0</v>
      </c>
      <c r="F6332" s="10" t="n">
        <v>0.2533745408098898</v>
      </c>
      <c r="G6332" s="11">
        <f>E6332*Summary!$B$6</f>
        <v/>
      </c>
      <c r="H6332" s="11">
        <f>F6332*Summary!$B$7</f>
        <v/>
      </c>
      <c r="I6332" s="11">
        <f>MAX(0,N6332-M6332)</f>
        <v/>
      </c>
      <c r="J6332" s="11">
        <f>MAX(0,M6332-N6332)</f>
        <v/>
      </c>
      <c r="K6332" s="11">
        <f>O6332</f>
        <v/>
      </c>
      <c r="L6332" s="11">
        <f>L6331+IF(K6332&gt;0,K6332*Summary!$B$9,K6332/Summary!$B$9)</f>
        <v/>
      </c>
      <c r="M6332" s="11">
        <f>G6332+H6332</f>
        <v/>
      </c>
      <c r="N6332" s="11">
        <f>Summary!$C$16*Summary!$B$8</f>
        <v/>
      </c>
      <c r="O6332" s="11">
        <f>M6332-N6332</f>
        <v/>
      </c>
    </row>
    <row r="6333">
      <c r="A6333" s="9" t="n">
        <v>45555.79166666666</v>
      </c>
      <c r="B6333" t="n">
        <v>9</v>
      </c>
      <c r="C6333" t="n">
        <v>20</v>
      </c>
      <c r="D6333" t="n">
        <v>19</v>
      </c>
      <c r="E6333" s="10" t="n">
        <v>0</v>
      </c>
      <c r="F6333" s="10" t="n">
        <v>0.2683161283958708</v>
      </c>
      <c r="G6333" s="11">
        <f>E6333*Summary!$B$6</f>
        <v/>
      </c>
      <c r="H6333" s="11">
        <f>F6333*Summary!$B$7</f>
        <v/>
      </c>
      <c r="I6333" s="11">
        <f>MAX(0,N6333-M6333)</f>
        <v/>
      </c>
      <c r="J6333" s="11">
        <f>MAX(0,M6333-N6333)</f>
        <v/>
      </c>
      <c r="K6333" s="11">
        <f>O6333</f>
        <v/>
      </c>
      <c r="L6333" s="11">
        <f>L6332+IF(K6333&gt;0,K6333*Summary!$B$9,K6333/Summary!$B$9)</f>
        <v/>
      </c>
      <c r="M6333" s="11">
        <f>G6333+H6333</f>
        <v/>
      </c>
      <c r="N6333" s="11">
        <f>Summary!$C$16*Summary!$B$8</f>
        <v/>
      </c>
      <c r="O6333" s="11">
        <f>M6333-N6333</f>
        <v/>
      </c>
    </row>
    <row r="6334">
      <c r="A6334" s="9" t="n">
        <v>45555.83333333334</v>
      </c>
      <c r="B6334" t="n">
        <v>9</v>
      </c>
      <c r="C6334" t="n">
        <v>20</v>
      </c>
      <c r="D6334" t="n">
        <v>20</v>
      </c>
      <c r="E6334" s="10" t="n">
        <v>0</v>
      </c>
      <c r="F6334" s="10" t="n">
        <v>0.2726905614457348</v>
      </c>
      <c r="G6334" s="11">
        <f>E6334*Summary!$B$6</f>
        <v/>
      </c>
      <c r="H6334" s="11">
        <f>F6334*Summary!$B$7</f>
        <v/>
      </c>
      <c r="I6334" s="11">
        <f>MAX(0,N6334-M6334)</f>
        <v/>
      </c>
      <c r="J6334" s="11">
        <f>MAX(0,M6334-N6334)</f>
        <v/>
      </c>
      <c r="K6334" s="11">
        <f>O6334</f>
        <v/>
      </c>
      <c r="L6334" s="11">
        <f>L6333+IF(K6334&gt;0,K6334*Summary!$B$9,K6334/Summary!$B$9)</f>
        <v/>
      </c>
      <c r="M6334" s="11">
        <f>G6334+H6334</f>
        <v/>
      </c>
      <c r="N6334" s="11">
        <f>Summary!$C$16*Summary!$B$8</f>
        <v/>
      </c>
      <c r="O6334" s="11">
        <f>M6334-N6334</f>
        <v/>
      </c>
    </row>
    <row r="6335">
      <c r="A6335" s="9" t="n">
        <v>45555.875</v>
      </c>
      <c r="B6335" t="n">
        <v>9</v>
      </c>
      <c r="C6335" t="n">
        <v>20</v>
      </c>
      <c r="D6335" t="n">
        <v>21</v>
      </c>
      <c r="E6335" s="10" t="n">
        <v>0</v>
      </c>
      <c r="F6335" s="10" t="n">
        <v>0.2714520171484841</v>
      </c>
      <c r="G6335" s="11">
        <f>E6335*Summary!$B$6</f>
        <v/>
      </c>
      <c r="H6335" s="11">
        <f>F6335*Summary!$B$7</f>
        <v/>
      </c>
      <c r="I6335" s="11">
        <f>MAX(0,N6335-M6335)</f>
        <v/>
      </c>
      <c r="J6335" s="11">
        <f>MAX(0,M6335-N6335)</f>
        <v/>
      </c>
      <c r="K6335" s="11">
        <f>O6335</f>
        <v/>
      </c>
      <c r="L6335" s="11">
        <f>L6334+IF(K6335&gt;0,K6335*Summary!$B$9,K6335/Summary!$B$9)</f>
        <v/>
      </c>
      <c r="M6335" s="11">
        <f>G6335+H6335</f>
        <v/>
      </c>
      <c r="N6335" s="11">
        <f>Summary!$C$16*Summary!$B$8</f>
        <v/>
      </c>
      <c r="O6335" s="11">
        <f>M6335-N6335</f>
        <v/>
      </c>
    </row>
    <row r="6336">
      <c r="A6336" s="9" t="n">
        <v>45555.91666666666</v>
      </c>
      <c r="B6336" t="n">
        <v>9</v>
      </c>
      <c r="C6336" t="n">
        <v>20</v>
      </c>
      <c r="D6336" t="n">
        <v>22</v>
      </c>
      <c r="E6336" s="10" t="n">
        <v>0</v>
      </c>
      <c r="F6336" s="10" t="n">
        <v>0.2641525113966027</v>
      </c>
      <c r="G6336" s="11">
        <f>E6336*Summary!$B$6</f>
        <v/>
      </c>
      <c r="H6336" s="11">
        <f>F6336*Summary!$B$7</f>
        <v/>
      </c>
      <c r="I6336" s="11">
        <f>MAX(0,N6336-M6336)</f>
        <v/>
      </c>
      <c r="J6336" s="11">
        <f>MAX(0,M6336-N6336)</f>
        <v/>
      </c>
      <c r="K6336" s="11">
        <f>O6336</f>
        <v/>
      </c>
      <c r="L6336" s="11">
        <f>L6335+IF(K6336&gt;0,K6336*Summary!$B$9,K6336/Summary!$B$9)</f>
        <v/>
      </c>
      <c r="M6336" s="11">
        <f>G6336+H6336</f>
        <v/>
      </c>
      <c r="N6336" s="11">
        <f>Summary!$C$16*Summary!$B$8</f>
        <v/>
      </c>
      <c r="O6336" s="11">
        <f>M6336-N6336</f>
        <v/>
      </c>
    </row>
    <row r="6337">
      <c r="A6337" s="9" t="n">
        <v>45555.95833333334</v>
      </c>
      <c r="B6337" t="n">
        <v>9</v>
      </c>
      <c r="C6337" t="n">
        <v>20</v>
      </c>
      <c r="D6337" t="n">
        <v>23</v>
      </c>
      <c r="E6337" s="10" t="n">
        <v>0</v>
      </c>
      <c r="F6337" s="10" t="n">
        <v>0.2584077740178658</v>
      </c>
      <c r="G6337" s="11">
        <f>E6337*Summary!$B$6</f>
        <v/>
      </c>
      <c r="H6337" s="11">
        <f>F6337*Summary!$B$7</f>
        <v/>
      </c>
      <c r="I6337" s="11">
        <f>MAX(0,N6337-M6337)</f>
        <v/>
      </c>
      <c r="J6337" s="11">
        <f>MAX(0,M6337-N6337)</f>
        <v/>
      </c>
      <c r="K6337" s="11">
        <f>O6337</f>
        <v/>
      </c>
      <c r="L6337" s="11">
        <f>L6336+IF(K6337&gt;0,K6337*Summary!$B$9,K6337/Summary!$B$9)</f>
        <v/>
      </c>
      <c r="M6337" s="11">
        <f>G6337+H6337</f>
        <v/>
      </c>
      <c r="N6337" s="11">
        <f>Summary!$C$16*Summary!$B$8</f>
        <v/>
      </c>
      <c r="O6337" s="11">
        <f>M6337-N6337</f>
        <v/>
      </c>
    </row>
    <row r="6338">
      <c r="A6338" s="9" t="n">
        <v>45556</v>
      </c>
      <c r="B6338" t="n">
        <v>9</v>
      </c>
      <c r="C6338" t="n">
        <v>21</v>
      </c>
      <c r="D6338" t="n">
        <v>0</v>
      </c>
      <c r="E6338" s="10" t="n">
        <v>0</v>
      </c>
      <c r="F6338" s="10" t="n">
        <v>0.3003865200927648</v>
      </c>
      <c r="G6338" s="11">
        <f>E6338*Summary!$B$6</f>
        <v/>
      </c>
      <c r="H6338" s="11">
        <f>F6338*Summary!$B$7</f>
        <v/>
      </c>
      <c r="I6338" s="11">
        <f>MAX(0,N6338-M6338)</f>
        <v/>
      </c>
      <c r="J6338" s="11">
        <f>MAX(0,M6338-N6338)</f>
        <v/>
      </c>
      <c r="K6338" s="11">
        <f>O6338</f>
        <v/>
      </c>
      <c r="L6338" s="11">
        <f>L6337+IF(K6338&gt;0,K6338*Summary!$B$9,K6338/Summary!$B$9)</f>
        <v/>
      </c>
      <c r="M6338" s="11">
        <f>G6338+H6338</f>
        <v/>
      </c>
      <c r="N6338" s="11">
        <f>Summary!$C$16*Summary!$B$8</f>
        <v/>
      </c>
      <c r="O6338" s="11">
        <f>M6338-N6338</f>
        <v/>
      </c>
    </row>
    <row r="6339">
      <c r="A6339" s="9" t="n">
        <v>45556.04166666666</v>
      </c>
      <c r="B6339" t="n">
        <v>9</v>
      </c>
      <c r="C6339" t="n">
        <v>21</v>
      </c>
      <c r="D6339" t="n">
        <v>1</v>
      </c>
      <c r="E6339" s="10" t="n">
        <v>0</v>
      </c>
      <c r="F6339" s="10" t="n">
        <v>0.250923804221713</v>
      </c>
      <c r="G6339" s="11">
        <f>E6339*Summary!$B$6</f>
        <v/>
      </c>
      <c r="H6339" s="11">
        <f>F6339*Summary!$B$7</f>
        <v/>
      </c>
      <c r="I6339" s="11">
        <f>MAX(0,N6339-M6339)</f>
        <v/>
      </c>
      <c r="J6339" s="11">
        <f>MAX(0,M6339-N6339)</f>
        <v/>
      </c>
      <c r="K6339" s="11">
        <f>O6339</f>
        <v/>
      </c>
      <c r="L6339" s="11">
        <f>L6338+IF(K6339&gt;0,K6339*Summary!$B$9,K6339/Summary!$B$9)</f>
        <v/>
      </c>
      <c r="M6339" s="11">
        <f>G6339+H6339</f>
        <v/>
      </c>
      <c r="N6339" s="11">
        <f>Summary!$C$16*Summary!$B$8</f>
        <v/>
      </c>
      <c r="O6339" s="11">
        <f>M6339-N6339</f>
        <v/>
      </c>
    </row>
    <row r="6340">
      <c r="A6340" s="9" t="n">
        <v>45556.08333333334</v>
      </c>
      <c r="B6340" t="n">
        <v>9</v>
      </c>
      <c r="C6340" t="n">
        <v>21</v>
      </c>
      <c r="D6340" t="n">
        <v>2</v>
      </c>
      <c r="E6340" s="10" t="n">
        <v>0</v>
      </c>
      <c r="F6340" s="10" t="n">
        <v>0.2464703151528756</v>
      </c>
      <c r="G6340" s="11">
        <f>E6340*Summary!$B$6</f>
        <v/>
      </c>
      <c r="H6340" s="11">
        <f>F6340*Summary!$B$7</f>
        <v/>
      </c>
      <c r="I6340" s="11">
        <f>MAX(0,N6340-M6340)</f>
        <v/>
      </c>
      <c r="J6340" s="11">
        <f>MAX(0,M6340-N6340)</f>
        <v/>
      </c>
      <c r="K6340" s="11">
        <f>O6340</f>
        <v/>
      </c>
      <c r="L6340" s="11">
        <f>L6339+IF(K6340&gt;0,K6340*Summary!$B$9,K6340/Summary!$B$9)</f>
        <v/>
      </c>
      <c r="M6340" s="11">
        <f>G6340+H6340</f>
        <v/>
      </c>
      <c r="N6340" s="11">
        <f>Summary!$C$16*Summary!$B$8</f>
        <v/>
      </c>
      <c r="O6340" s="11">
        <f>M6340-N6340</f>
        <v/>
      </c>
    </row>
    <row r="6341">
      <c r="A6341" s="9" t="n">
        <v>45556.125</v>
      </c>
      <c r="B6341" t="n">
        <v>9</v>
      </c>
      <c r="C6341" t="n">
        <v>21</v>
      </c>
      <c r="D6341" t="n">
        <v>3</v>
      </c>
      <c r="E6341" s="10" t="n">
        <v>0</v>
      </c>
      <c r="F6341" s="10" t="n">
        <v>0.2485784756588341</v>
      </c>
      <c r="G6341" s="11">
        <f>E6341*Summary!$B$6</f>
        <v/>
      </c>
      <c r="H6341" s="11">
        <f>F6341*Summary!$B$7</f>
        <v/>
      </c>
      <c r="I6341" s="11">
        <f>MAX(0,N6341-M6341)</f>
        <v/>
      </c>
      <c r="J6341" s="11">
        <f>MAX(0,M6341-N6341)</f>
        <v/>
      </c>
      <c r="K6341" s="11">
        <f>O6341</f>
        <v/>
      </c>
      <c r="L6341" s="11">
        <f>L6340+IF(K6341&gt;0,K6341*Summary!$B$9,K6341/Summary!$B$9)</f>
        <v/>
      </c>
      <c r="M6341" s="11">
        <f>G6341+H6341</f>
        <v/>
      </c>
      <c r="N6341" s="11">
        <f>Summary!$C$16*Summary!$B$8</f>
        <v/>
      </c>
      <c r="O6341" s="11">
        <f>M6341-N6341</f>
        <v/>
      </c>
    </row>
    <row r="6342">
      <c r="A6342" s="9" t="n">
        <v>45556.16666666666</v>
      </c>
      <c r="B6342" t="n">
        <v>9</v>
      </c>
      <c r="C6342" t="n">
        <v>21</v>
      </c>
      <c r="D6342" t="n">
        <v>4</v>
      </c>
      <c r="E6342" s="10" t="n">
        <v>0</v>
      </c>
      <c r="F6342" s="10" t="n">
        <v>0.2764852503564601</v>
      </c>
      <c r="G6342" s="11">
        <f>E6342*Summary!$B$6</f>
        <v/>
      </c>
      <c r="H6342" s="11">
        <f>F6342*Summary!$B$7</f>
        <v/>
      </c>
      <c r="I6342" s="11">
        <f>MAX(0,N6342-M6342)</f>
        <v/>
      </c>
      <c r="J6342" s="11">
        <f>MAX(0,M6342-N6342)</f>
        <v/>
      </c>
      <c r="K6342" s="11">
        <f>O6342</f>
        <v/>
      </c>
      <c r="L6342" s="11">
        <f>L6341+IF(K6342&gt;0,K6342*Summary!$B$9,K6342/Summary!$B$9)</f>
        <v/>
      </c>
      <c r="M6342" s="11">
        <f>G6342+H6342</f>
        <v/>
      </c>
      <c r="N6342" s="11">
        <f>Summary!$C$16*Summary!$B$8</f>
        <v/>
      </c>
      <c r="O6342" s="11">
        <f>M6342-N6342</f>
        <v/>
      </c>
    </row>
    <row r="6343">
      <c r="A6343" s="9" t="n">
        <v>45556.20833333334</v>
      </c>
      <c r="B6343" t="n">
        <v>9</v>
      </c>
      <c r="C6343" t="n">
        <v>21</v>
      </c>
      <c r="D6343" t="n">
        <v>5</v>
      </c>
      <c r="E6343" s="10" t="n">
        <v>0</v>
      </c>
      <c r="F6343" s="10" t="n">
        <v>0.2591983342076002</v>
      </c>
      <c r="G6343" s="11">
        <f>E6343*Summary!$B$6</f>
        <v/>
      </c>
      <c r="H6343" s="11">
        <f>F6343*Summary!$B$7</f>
        <v/>
      </c>
      <c r="I6343" s="11">
        <f>MAX(0,N6343-M6343)</f>
        <v/>
      </c>
      <c r="J6343" s="11">
        <f>MAX(0,M6343-N6343)</f>
        <v/>
      </c>
      <c r="K6343" s="11">
        <f>O6343</f>
        <v/>
      </c>
      <c r="L6343" s="11">
        <f>L6342+IF(K6343&gt;0,K6343*Summary!$B$9,K6343/Summary!$B$9)</f>
        <v/>
      </c>
      <c r="M6343" s="11">
        <f>G6343+H6343</f>
        <v/>
      </c>
      <c r="N6343" s="11">
        <f>Summary!$C$16*Summary!$B$8</f>
        <v/>
      </c>
      <c r="O6343" s="11">
        <f>M6343-N6343</f>
        <v/>
      </c>
    </row>
    <row r="6344">
      <c r="A6344" s="9" t="n">
        <v>45556.25</v>
      </c>
      <c r="B6344" t="n">
        <v>9</v>
      </c>
      <c r="C6344" t="n">
        <v>21</v>
      </c>
      <c r="D6344" t="n">
        <v>6</v>
      </c>
      <c r="E6344" s="10" t="n">
        <v>0.020768</v>
      </c>
      <c r="F6344" s="10" t="n">
        <v>0.2665505439721306</v>
      </c>
      <c r="G6344" s="11">
        <f>E6344*Summary!$B$6</f>
        <v/>
      </c>
      <c r="H6344" s="11">
        <f>F6344*Summary!$B$7</f>
        <v/>
      </c>
      <c r="I6344" s="11">
        <f>MAX(0,N6344-M6344)</f>
        <v/>
      </c>
      <c r="J6344" s="11">
        <f>MAX(0,M6344-N6344)</f>
        <v/>
      </c>
      <c r="K6344" s="11">
        <f>O6344</f>
        <v/>
      </c>
      <c r="L6344" s="11">
        <f>L6343+IF(K6344&gt;0,K6344*Summary!$B$9,K6344/Summary!$B$9)</f>
        <v/>
      </c>
      <c r="M6344" s="11">
        <f>G6344+H6344</f>
        <v/>
      </c>
      <c r="N6344" s="11">
        <f>Summary!$C$16*Summary!$B$8</f>
        <v/>
      </c>
      <c r="O6344" s="11">
        <f>M6344-N6344</f>
        <v/>
      </c>
    </row>
    <row r="6345">
      <c r="A6345" s="9" t="n">
        <v>45556.29166666666</v>
      </c>
      <c r="B6345" t="n">
        <v>9</v>
      </c>
      <c r="C6345" t="n">
        <v>21</v>
      </c>
      <c r="D6345" t="n">
        <v>7</v>
      </c>
      <c r="E6345" s="10" t="n">
        <v>0.109576</v>
      </c>
      <c r="F6345" s="10" t="n">
        <v>0.2671829921239181</v>
      </c>
      <c r="G6345" s="11">
        <f>E6345*Summary!$B$6</f>
        <v/>
      </c>
      <c r="H6345" s="11">
        <f>F6345*Summary!$B$7</f>
        <v/>
      </c>
      <c r="I6345" s="11">
        <f>MAX(0,N6345-M6345)</f>
        <v/>
      </c>
      <c r="J6345" s="11">
        <f>MAX(0,M6345-N6345)</f>
        <v/>
      </c>
      <c r="K6345" s="11">
        <f>O6345</f>
        <v/>
      </c>
      <c r="L6345" s="11">
        <f>L6344+IF(K6345&gt;0,K6345*Summary!$B$9,K6345/Summary!$B$9)</f>
        <v/>
      </c>
      <c r="M6345" s="11">
        <f>G6345+H6345</f>
        <v/>
      </c>
      <c r="N6345" s="11">
        <f>Summary!$C$16*Summary!$B$8</f>
        <v/>
      </c>
      <c r="O6345" s="11">
        <f>M6345-N6345</f>
        <v/>
      </c>
    </row>
    <row r="6346">
      <c r="A6346" s="9" t="n">
        <v>45556.33333333334</v>
      </c>
      <c r="B6346" t="n">
        <v>9</v>
      </c>
      <c r="C6346" t="n">
        <v>21</v>
      </c>
      <c r="D6346" t="n">
        <v>8</v>
      </c>
      <c r="E6346" s="10" t="n">
        <v>0.396089</v>
      </c>
      <c r="F6346" s="10" t="n">
        <v>0.2640471033713048</v>
      </c>
      <c r="G6346" s="11">
        <f>E6346*Summary!$B$6</f>
        <v/>
      </c>
      <c r="H6346" s="11">
        <f>F6346*Summary!$B$7</f>
        <v/>
      </c>
      <c r="I6346" s="11">
        <f>MAX(0,N6346-M6346)</f>
        <v/>
      </c>
      <c r="J6346" s="11">
        <f>MAX(0,M6346-N6346)</f>
        <v/>
      </c>
      <c r="K6346" s="11">
        <f>O6346</f>
        <v/>
      </c>
      <c r="L6346" s="11">
        <f>L6345+IF(K6346&gt;0,K6346*Summary!$B$9,K6346/Summary!$B$9)</f>
        <v/>
      </c>
      <c r="M6346" s="11">
        <f>G6346+H6346</f>
        <v/>
      </c>
      <c r="N6346" s="11">
        <f>Summary!$C$16*Summary!$B$8</f>
        <v/>
      </c>
      <c r="O6346" s="11">
        <f>M6346-N6346</f>
        <v/>
      </c>
    </row>
    <row r="6347">
      <c r="A6347" s="9" t="n">
        <v>45556.375</v>
      </c>
      <c r="B6347" t="n">
        <v>9</v>
      </c>
      <c r="C6347" t="n">
        <v>21</v>
      </c>
      <c r="D6347" t="n">
        <v>9</v>
      </c>
      <c r="E6347" s="10" t="n">
        <v>0.56349</v>
      </c>
      <c r="F6347" s="10" t="n">
        <v>0.2741135697872568</v>
      </c>
      <c r="G6347" s="11">
        <f>E6347*Summary!$B$6</f>
        <v/>
      </c>
      <c r="H6347" s="11">
        <f>F6347*Summary!$B$7</f>
        <v/>
      </c>
      <c r="I6347" s="11">
        <f>MAX(0,N6347-M6347)</f>
        <v/>
      </c>
      <c r="J6347" s="11">
        <f>MAX(0,M6347-N6347)</f>
        <v/>
      </c>
      <c r="K6347" s="11">
        <f>O6347</f>
        <v/>
      </c>
      <c r="L6347" s="11">
        <f>L6346+IF(K6347&gt;0,K6347*Summary!$B$9,K6347/Summary!$B$9)</f>
        <v/>
      </c>
      <c r="M6347" s="11">
        <f>G6347+H6347</f>
        <v/>
      </c>
      <c r="N6347" s="11">
        <f>Summary!$C$16*Summary!$B$8</f>
        <v/>
      </c>
      <c r="O6347" s="11">
        <f>M6347-N6347</f>
        <v/>
      </c>
    </row>
    <row r="6348">
      <c r="A6348" s="9" t="n">
        <v>45556.41666666666</v>
      </c>
      <c r="B6348" t="n">
        <v>9</v>
      </c>
      <c r="C6348" t="n">
        <v>21</v>
      </c>
      <c r="D6348" t="n">
        <v>10</v>
      </c>
      <c r="E6348" s="10" t="n">
        <v>0.676924</v>
      </c>
      <c r="F6348" s="10" t="n">
        <v>0.2867888848293323</v>
      </c>
      <c r="G6348" s="11">
        <f>E6348*Summary!$B$6</f>
        <v/>
      </c>
      <c r="H6348" s="11">
        <f>F6348*Summary!$B$7</f>
        <v/>
      </c>
      <c r="I6348" s="11">
        <f>MAX(0,N6348-M6348)</f>
        <v/>
      </c>
      <c r="J6348" s="11">
        <f>MAX(0,M6348-N6348)</f>
        <v/>
      </c>
      <c r="K6348" s="11">
        <f>O6348</f>
        <v/>
      </c>
      <c r="L6348" s="11">
        <f>L6347+IF(K6348&gt;0,K6348*Summary!$B$9,K6348/Summary!$B$9)</f>
        <v/>
      </c>
      <c r="M6348" s="11">
        <f>G6348+H6348</f>
        <v/>
      </c>
      <c r="N6348" s="11">
        <f>Summary!$C$16*Summary!$B$8</f>
        <v/>
      </c>
      <c r="O6348" s="11">
        <f>M6348-N6348</f>
        <v/>
      </c>
    </row>
    <row r="6349">
      <c r="A6349" s="9" t="n">
        <v>45556.45833333334</v>
      </c>
      <c r="B6349" t="n">
        <v>9</v>
      </c>
      <c r="C6349" t="n">
        <v>21</v>
      </c>
      <c r="D6349" t="n">
        <v>11</v>
      </c>
      <c r="E6349" s="10" t="n">
        <v>0.545219</v>
      </c>
      <c r="F6349" s="10" t="n">
        <v>0.2925599742143938</v>
      </c>
      <c r="G6349" s="11">
        <f>E6349*Summary!$B$6</f>
        <v/>
      </c>
      <c r="H6349" s="11">
        <f>F6349*Summary!$B$7</f>
        <v/>
      </c>
      <c r="I6349" s="11">
        <f>MAX(0,N6349-M6349)</f>
        <v/>
      </c>
      <c r="J6349" s="11">
        <f>MAX(0,M6349-N6349)</f>
        <v/>
      </c>
      <c r="K6349" s="11">
        <f>O6349</f>
        <v/>
      </c>
      <c r="L6349" s="11">
        <f>L6348+IF(K6349&gt;0,K6349*Summary!$B$9,K6349/Summary!$B$9)</f>
        <v/>
      </c>
      <c r="M6349" s="11">
        <f>G6349+H6349</f>
        <v/>
      </c>
      <c r="N6349" s="11">
        <f>Summary!$C$16*Summary!$B$8</f>
        <v/>
      </c>
      <c r="O6349" s="11">
        <f>M6349-N6349</f>
        <v/>
      </c>
    </row>
    <row r="6350">
      <c r="A6350" s="9" t="n">
        <v>45556.5</v>
      </c>
      <c r="B6350" t="n">
        <v>9</v>
      </c>
      <c r="C6350" t="n">
        <v>21</v>
      </c>
      <c r="D6350" t="n">
        <v>12</v>
      </c>
      <c r="E6350" s="10" t="n">
        <v>0.448815</v>
      </c>
      <c r="F6350" s="10" t="n">
        <v>0.3374637929913103</v>
      </c>
      <c r="G6350" s="11">
        <f>E6350*Summary!$B$6</f>
        <v/>
      </c>
      <c r="H6350" s="11">
        <f>F6350*Summary!$B$7</f>
        <v/>
      </c>
      <c r="I6350" s="11">
        <f>MAX(0,N6350-M6350)</f>
        <v/>
      </c>
      <c r="J6350" s="11">
        <f>MAX(0,M6350-N6350)</f>
        <v/>
      </c>
      <c r="K6350" s="11">
        <f>O6350</f>
        <v/>
      </c>
      <c r="L6350" s="11">
        <f>L6349+IF(K6350&gt;0,K6350*Summary!$B$9,K6350/Summary!$B$9)</f>
        <v/>
      </c>
      <c r="M6350" s="11">
        <f>G6350+H6350</f>
        <v/>
      </c>
      <c r="N6350" s="11">
        <f>Summary!$C$16*Summary!$B$8</f>
        <v/>
      </c>
      <c r="O6350" s="11">
        <f>M6350-N6350</f>
        <v/>
      </c>
    </row>
    <row r="6351">
      <c r="A6351" s="9" t="n">
        <v>45556.54166666666</v>
      </c>
      <c r="B6351" t="n">
        <v>9</v>
      </c>
      <c r="C6351" t="n">
        <v>21</v>
      </c>
      <c r="D6351" t="n">
        <v>13</v>
      </c>
      <c r="E6351" s="10" t="n">
        <v>0.428119</v>
      </c>
      <c r="F6351" s="10" t="n">
        <v>0.3481363555527253</v>
      </c>
      <c r="G6351" s="11">
        <f>E6351*Summary!$B$6</f>
        <v/>
      </c>
      <c r="H6351" s="11">
        <f>F6351*Summary!$B$7</f>
        <v/>
      </c>
      <c r="I6351" s="11">
        <f>MAX(0,N6351-M6351)</f>
        <v/>
      </c>
      <c r="J6351" s="11">
        <f>MAX(0,M6351-N6351)</f>
        <v/>
      </c>
      <c r="K6351" s="11">
        <f>O6351</f>
        <v/>
      </c>
      <c r="L6351" s="11">
        <f>L6350+IF(K6351&gt;0,K6351*Summary!$B$9,K6351/Summary!$B$9)</f>
        <v/>
      </c>
      <c r="M6351" s="11">
        <f>G6351+H6351</f>
        <v/>
      </c>
      <c r="N6351" s="11">
        <f>Summary!$C$16*Summary!$B$8</f>
        <v/>
      </c>
      <c r="O6351" s="11">
        <f>M6351-N6351</f>
        <v/>
      </c>
    </row>
    <row r="6352">
      <c r="A6352" s="9" t="n">
        <v>45556.58333333334</v>
      </c>
      <c r="B6352" t="n">
        <v>9</v>
      </c>
      <c r="C6352" t="n">
        <v>21</v>
      </c>
      <c r="D6352" t="n">
        <v>14</v>
      </c>
      <c r="E6352" s="10" t="n">
        <v>0.36225</v>
      </c>
      <c r="F6352" s="10" t="n">
        <v>0.3385178732442896</v>
      </c>
      <c r="G6352" s="11">
        <f>E6352*Summary!$B$6</f>
        <v/>
      </c>
      <c r="H6352" s="11">
        <f>F6352*Summary!$B$7</f>
        <v/>
      </c>
      <c r="I6352" s="11">
        <f>MAX(0,N6352-M6352)</f>
        <v/>
      </c>
      <c r="J6352" s="11">
        <f>MAX(0,M6352-N6352)</f>
        <v/>
      </c>
      <c r="K6352" s="11">
        <f>O6352</f>
        <v/>
      </c>
      <c r="L6352" s="11">
        <f>L6351+IF(K6352&gt;0,K6352*Summary!$B$9,K6352/Summary!$B$9)</f>
        <v/>
      </c>
      <c r="M6352" s="11">
        <f>G6352+H6352</f>
        <v/>
      </c>
      <c r="N6352" s="11">
        <f>Summary!$C$16*Summary!$B$8</f>
        <v/>
      </c>
      <c r="O6352" s="11">
        <f>M6352-N6352</f>
        <v/>
      </c>
    </row>
    <row r="6353">
      <c r="A6353" s="9" t="n">
        <v>45556.625</v>
      </c>
      <c r="B6353" t="n">
        <v>9</v>
      </c>
      <c r="C6353" t="n">
        <v>21</v>
      </c>
      <c r="D6353" t="n">
        <v>15</v>
      </c>
      <c r="E6353" s="10" t="n">
        <v>0.287725</v>
      </c>
      <c r="F6353" s="10" t="n">
        <v>0.3035751128580271</v>
      </c>
      <c r="G6353" s="11">
        <f>E6353*Summary!$B$6</f>
        <v/>
      </c>
      <c r="H6353" s="11">
        <f>F6353*Summary!$B$7</f>
        <v/>
      </c>
      <c r="I6353" s="11">
        <f>MAX(0,N6353-M6353)</f>
        <v/>
      </c>
      <c r="J6353" s="11">
        <f>MAX(0,M6353-N6353)</f>
        <v/>
      </c>
      <c r="K6353" s="11">
        <f>O6353</f>
        <v/>
      </c>
      <c r="L6353" s="11">
        <f>L6352+IF(K6353&gt;0,K6353*Summary!$B$9,K6353/Summary!$B$9)</f>
        <v/>
      </c>
      <c r="M6353" s="11">
        <f>G6353+H6353</f>
        <v/>
      </c>
      <c r="N6353" s="11">
        <f>Summary!$C$16*Summary!$B$8</f>
        <v/>
      </c>
      <c r="O6353" s="11">
        <f>M6353-N6353</f>
        <v/>
      </c>
    </row>
    <row r="6354">
      <c r="A6354" s="9" t="n">
        <v>45556.66666666666</v>
      </c>
      <c r="B6354" t="n">
        <v>9</v>
      </c>
      <c r="C6354" t="n">
        <v>21</v>
      </c>
      <c r="D6354" t="n">
        <v>16</v>
      </c>
      <c r="E6354" s="10" t="n">
        <v>0.203027</v>
      </c>
      <c r="F6354" s="10" t="n">
        <v>0.308661050078652</v>
      </c>
      <c r="G6354" s="11">
        <f>E6354*Summary!$B$6</f>
        <v/>
      </c>
      <c r="H6354" s="11">
        <f>F6354*Summary!$B$7</f>
        <v/>
      </c>
      <c r="I6354" s="11">
        <f>MAX(0,N6354-M6354)</f>
        <v/>
      </c>
      <c r="J6354" s="11">
        <f>MAX(0,M6354-N6354)</f>
        <v/>
      </c>
      <c r="K6354" s="11">
        <f>O6354</f>
        <v/>
      </c>
      <c r="L6354" s="11">
        <f>L6353+IF(K6354&gt;0,K6354*Summary!$B$9,K6354/Summary!$B$9)</f>
        <v/>
      </c>
      <c r="M6354" s="11">
        <f>G6354+H6354</f>
        <v/>
      </c>
      <c r="N6354" s="11">
        <f>Summary!$C$16*Summary!$B$8</f>
        <v/>
      </c>
      <c r="O6354" s="11">
        <f>M6354-N6354</f>
        <v/>
      </c>
    </row>
    <row r="6355">
      <c r="A6355" s="9" t="n">
        <v>45556.70833333334</v>
      </c>
      <c r="B6355" t="n">
        <v>9</v>
      </c>
      <c r="C6355" t="n">
        <v>21</v>
      </c>
      <c r="D6355" t="n">
        <v>17</v>
      </c>
      <c r="E6355" s="10" t="n">
        <v>0.021487</v>
      </c>
      <c r="F6355" s="10" t="n">
        <v>0.3174362681847043</v>
      </c>
      <c r="G6355" s="11">
        <f>E6355*Summary!$B$6</f>
        <v/>
      </c>
      <c r="H6355" s="11">
        <f>F6355*Summary!$B$7</f>
        <v/>
      </c>
      <c r="I6355" s="11">
        <f>MAX(0,N6355-M6355)</f>
        <v/>
      </c>
      <c r="J6355" s="11">
        <f>MAX(0,M6355-N6355)</f>
        <v/>
      </c>
      <c r="K6355" s="11">
        <f>O6355</f>
        <v/>
      </c>
      <c r="L6355" s="11">
        <f>L6354+IF(K6355&gt;0,K6355*Summary!$B$9,K6355/Summary!$B$9)</f>
        <v/>
      </c>
      <c r="M6355" s="11">
        <f>G6355+H6355</f>
        <v/>
      </c>
      <c r="N6355" s="11">
        <f>Summary!$C$16*Summary!$B$8</f>
        <v/>
      </c>
      <c r="O6355" s="11">
        <f>M6355-N6355</f>
        <v/>
      </c>
    </row>
    <row r="6356">
      <c r="A6356" s="9" t="n">
        <v>45556.75</v>
      </c>
      <c r="B6356" t="n">
        <v>9</v>
      </c>
      <c r="C6356" t="n">
        <v>21</v>
      </c>
      <c r="D6356" t="n">
        <v>18</v>
      </c>
      <c r="E6356" s="10" t="n">
        <v>0</v>
      </c>
      <c r="F6356" s="10" t="n">
        <v>0.3237871017089044</v>
      </c>
      <c r="G6356" s="11">
        <f>E6356*Summary!$B$6</f>
        <v/>
      </c>
      <c r="H6356" s="11">
        <f>F6356*Summary!$B$7</f>
        <v/>
      </c>
      <c r="I6356" s="11">
        <f>MAX(0,N6356-M6356)</f>
        <v/>
      </c>
      <c r="J6356" s="11">
        <f>MAX(0,M6356-N6356)</f>
        <v/>
      </c>
      <c r="K6356" s="11">
        <f>O6356</f>
        <v/>
      </c>
      <c r="L6356" s="11">
        <f>L6355+IF(K6356&gt;0,K6356*Summary!$B$9,K6356/Summary!$B$9)</f>
        <v/>
      </c>
      <c r="M6356" s="11">
        <f>G6356+H6356</f>
        <v/>
      </c>
      <c r="N6356" s="11">
        <f>Summary!$C$16*Summary!$B$8</f>
        <v/>
      </c>
      <c r="O6356" s="11">
        <f>M6356-N6356</f>
        <v/>
      </c>
    </row>
    <row r="6357">
      <c r="A6357" s="9" t="n">
        <v>45556.79166666666</v>
      </c>
      <c r="B6357" t="n">
        <v>9</v>
      </c>
      <c r="C6357" t="n">
        <v>21</v>
      </c>
      <c r="D6357" t="n">
        <v>19</v>
      </c>
      <c r="E6357" s="10" t="n">
        <v>0</v>
      </c>
      <c r="F6357" s="10" t="n">
        <v>0.3300325272078065</v>
      </c>
      <c r="G6357" s="11">
        <f>E6357*Summary!$B$6</f>
        <v/>
      </c>
      <c r="H6357" s="11">
        <f>F6357*Summary!$B$7</f>
        <v/>
      </c>
      <c r="I6357" s="11">
        <f>MAX(0,N6357-M6357)</f>
        <v/>
      </c>
      <c r="J6357" s="11">
        <f>MAX(0,M6357-N6357)</f>
        <v/>
      </c>
      <c r="K6357" s="11">
        <f>O6357</f>
        <v/>
      </c>
      <c r="L6357" s="11">
        <f>L6356+IF(K6357&gt;0,K6357*Summary!$B$9,K6357/Summary!$B$9)</f>
        <v/>
      </c>
      <c r="M6357" s="11">
        <f>G6357+H6357</f>
        <v/>
      </c>
      <c r="N6357" s="11">
        <f>Summary!$C$16*Summary!$B$8</f>
        <v/>
      </c>
      <c r="O6357" s="11">
        <f>M6357-N6357</f>
        <v/>
      </c>
    </row>
    <row r="6358">
      <c r="A6358" s="9" t="n">
        <v>45556.83333333334</v>
      </c>
      <c r="B6358" t="n">
        <v>9</v>
      </c>
      <c r="C6358" t="n">
        <v>21</v>
      </c>
      <c r="D6358" t="n">
        <v>20</v>
      </c>
      <c r="E6358" s="10" t="n">
        <v>0</v>
      </c>
      <c r="F6358" s="10" t="n">
        <v>0.3293737270496945</v>
      </c>
      <c r="G6358" s="11">
        <f>E6358*Summary!$B$6</f>
        <v/>
      </c>
      <c r="H6358" s="11">
        <f>F6358*Summary!$B$7</f>
        <v/>
      </c>
      <c r="I6358" s="11">
        <f>MAX(0,N6358-M6358)</f>
        <v/>
      </c>
      <c r="J6358" s="11">
        <f>MAX(0,M6358-N6358)</f>
        <v/>
      </c>
      <c r="K6358" s="11">
        <f>O6358</f>
        <v/>
      </c>
      <c r="L6358" s="11">
        <f>L6357+IF(K6358&gt;0,K6358*Summary!$B$9,K6358/Summary!$B$9)</f>
        <v/>
      </c>
      <c r="M6358" s="11">
        <f>G6358+H6358</f>
        <v/>
      </c>
      <c r="N6358" s="11">
        <f>Summary!$C$16*Summary!$B$8</f>
        <v/>
      </c>
      <c r="O6358" s="11">
        <f>M6358-N6358</f>
        <v/>
      </c>
    </row>
    <row r="6359">
      <c r="A6359" s="9" t="n">
        <v>45556.875</v>
      </c>
      <c r="B6359" t="n">
        <v>9</v>
      </c>
      <c r="C6359" t="n">
        <v>21</v>
      </c>
      <c r="D6359" t="n">
        <v>21</v>
      </c>
      <c r="E6359" s="10" t="n">
        <v>0</v>
      </c>
      <c r="F6359" s="10" t="n">
        <v>0.3549351731844416</v>
      </c>
      <c r="G6359" s="11">
        <f>E6359*Summary!$B$6</f>
        <v/>
      </c>
      <c r="H6359" s="11">
        <f>F6359*Summary!$B$7</f>
        <v/>
      </c>
      <c r="I6359" s="11">
        <f>MAX(0,N6359-M6359)</f>
        <v/>
      </c>
      <c r="J6359" s="11">
        <f>MAX(0,M6359-N6359)</f>
        <v/>
      </c>
      <c r="K6359" s="11">
        <f>O6359</f>
        <v/>
      </c>
      <c r="L6359" s="11">
        <f>L6358+IF(K6359&gt;0,K6359*Summary!$B$9,K6359/Summary!$B$9)</f>
        <v/>
      </c>
      <c r="M6359" s="11">
        <f>G6359+H6359</f>
        <v/>
      </c>
      <c r="N6359" s="11">
        <f>Summary!$C$16*Summary!$B$8</f>
        <v/>
      </c>
      <c r="O6359" s="11">
        <f>M6359-N6359</f>
        <v/>
      </c>
    </row>
    <row r="6360">
      <c r="A6360" s="9" t="n">
        <v>45556.91666666666</v>
      </c>
      <c r="B6360" t="n">
        <v>9</v>
      </c>
      <c r="C6360" t="n">
        <v>21</v>
      </c>
      <c r="D6360" t="n">
        <v>22</v>
      </c>
      <c r="E6360" s="10" t="n">
        <v>0</v>
      </c>
      <c r="F6360" s="10" t="n">
        <v>0.3194126686590405</v>
      </c>
      <c r="G6360" s="11">
        <f>E6360*Summary!$B$6</f>
        <v/>
      </c>
      <c r="H6360" s="11">
        <f>F6360*Summary!$B$7</f>
        <v/>
      </c>
      <c r="I6360" s="11">
        <f>MAX(0,N6360-M6360)</f>
        <v/>
      </c>
      <c r="J6360" s="11">
        <f>MAX(0,M6360-N6360)</f>
        <v/>
      </c>
      <c r="K6360" s="11">
        <f>O6360</f>
        <v/>
      </c>
      <c r="L6360" s="11">
        <f>L6359+IF(K6360&gt;0,K6360*Summary!$B$9,K6360/Summary!$B$9)</f>
        <v/>
      </c>
      <c r="M6360" s="11">
        <f>G6360+H6360</f>
        <v/>
      </c>
      <c r="N6360" s="11">
        <f>Summary!$C$16*Summary!$B$8</f>
        <v/>
      </c>
      <c r="O6360" s="11">
        <f>M6360-N6360</f>
        <v/>
      </c>
    </row>
    <row r="6361">
      <c r="A6361" s="9" t="n">
        <v>45556.95833333334</v>
      </c>
      <c r="B6361" t="n">
        <v>9</v>
      </c>
      <c r="C6361" t="n">
        <v>21</v>
      </c>
      <c r="D6361" t="n">
        <v>23</v>
      </c>
      <c r="E6361" s="10" t="n">
        <v>0</v>
      </c>
      <c r="F6361" s="10" t="n">
        <v>0.3062103134904752</v>
      </c>
      <c r="G6361" s="11">
        <f>E6361*Summary!$B$6</f>
        <v/>
      </c>
      <c r="H6361" s="11">
        <f>F6361*Summary!$B$7</f>
        <v/>
      </c>
      <c r="I6361" s="11">
        <f>MAX(0,N6361-M6361)</f>
        <v/>
      </c>
      <c r="J6361" s="11">
        <f>MAX(0,M6361-N6361)</f>
        <v/>
      </c>
      <c r="K6361" s="11">
        <f>O6361</f>
        <v/>
      </c>
      <c r="L6361" s="11">
        <f>L6360+IF(K6361&gt;0,K6361*Summary!$B$9,K6361/Summary!$B$9)</f>
        <v/>
      </c>
      <c r="M6361" s="11">
        <f>G6361+H6361</f>
        <v/>
      </c>
      <c r="N6361" s="11">
        <f>Summary!$C$16*Summary!$B$8</f>
        <v/>
      </c>
      <c r="O6361" s="11">
        <f>M6361-N6361</f>
        <v/>
      </c>
    </row>
    <row r="6362">
      <c r="A6362" s="9" t="n">
        <v>45557</v>
      </c>
      <c r="B6362" t="n">
        <v>9</v>
      </c>
      <c r="C6362" t="n">
        <v>22</v>
      </c>
      <c r="D6362" t="n">
        <v>0</v>
      </c>
      <c r="E6362" s="10" t="n">
        <v>0</v>
      </c>
      <c r="F6362" s="10" t="n">
        <v>0.3020730484975316</v>
      </c>
      <c r="G6362" s="11">
        <f>E6362*Summary!$B$6</f>
        <v/>
      </c>
      <c r="H6362" s="11">
        <f>F6362*Summary!$B$7</f>
        <v/>
      </c>
      <c r="I6362" s="11">
        <f>MAX(0,N6362-M6362)</f>
        <v/>
      </c>
      <c r="J6362" s="11">
        <f>MAX(0,M6362-N6362)</f>
        <v/>
      </c>
      <c r="K6362" s="11">
        <f>O6362</f>
        <v/>
      </c>
      <c r="L6362" s="11">
        <f>L6361+IF(K6362&gt;0,K6362*Summary!$B$9,K6362/Summary!$B$9)</f>
        <v/>
      </c>
      <c r="M6362" s="11">
        <f>G6362+H6362</f>
        <v/>
      </c>
      <c r="N6362" s="11">
        <f>Summary!$C$16*Summary!$B$8</f>
        <v/>
      </c>
      <c r="O6362" s="11">
        <f>M6362-N6362</f>
        <v/>
      </c>
    </row>
    <row r="6363">
      <c r="A6363" s="9" t="n">
        <v>45557.04166666666</v>
      </c>
      <c r="B6363" t="n">
        <v>9</v>
      </c>
      <c r="C6363" t="n">
        <v>22</v>
      </c>
      <c r="D6363" t="n">
        <v>1</v>
      </c>
      <c r="E6363" s="10" t="n">
        <v>0</v>
      </c>
      <c r="F6363" s="10" t="n">
        <v>0.2962492550998212</v>
      </c>
      <c r="G6363" s="11">
        <f>E6363*Summary!$B$6</f>
        <v/>
      </c>
      <c r="H6363" s="11">
        <f>F6363*Summary!$B$7</f>
        <v/>
      </c>
      <c r="I6363" s="11">
        <f>MAX(0,N6363-M6363)</f>
        <v/>
      </c>
      <c r="J6363" s="11">
        <f>MAX(0,M6363-N6363)</f>
        <v/>
      </c>
      <c r="K6363" s="11">
        <f>O6363</f>
        <v/>
      </c>
      <c r="L6363" s="11">
        <f>L6362+IF(K6363&gt;0,K6363*Summary!$B$9,K6363/Summary!$B$9)</f>
        <v/>
      </c>
      <c r="M6363" s="11">
        <f>G6363+H6363</f>
        <v/>
      </c>
      <c r="N6363" s="11">
        <f>Summary!$C$16*Summary!$B$8</f>
        <v/>
      </c>
      <c r="O6363" s="11">
        <f>M6363-N6363</f>
        <v/>
      </c>
    </row>
    <row r="6364">
      <c r="A6364" s="9" t="n">
        <v>45557.08333333334</v>
      </c>
      <c r="B6364" t="n">
        <v>9</v>
      </c>
      <c r="C6364" t="n">
        <v>22</v>
      </c>
      <c r="D6364" t="n">
        <v>2</v>
      </c>
      <c r="E6364" s="10" t="n">
        <v>0</v>
      </c>
      <c r="F6364" s="10" t="n">
        <v>0.2932978303914793</v>
      </c>
      <c r="G6364" s="11">
        <f>E6364*Summary!$B$6</f>
        <v/>
      </c>
      <c r="H6364" s="11">
        <f>F6364*Summary!$B$7</f>
        <v/>
      </c>
      <c r="I6364" s="11">
        <f>MAX(0,N6364-M6364)</f>
        <v/>
      </c>
      <c r="J6364" s="11">
        <f>MAX(0,M6364-N6364)</f>
        <v/>
      </c>
      <c r="K6364" s="11">
        <f>O6364</f>
        <v/>
      </c>
      <c r="L6364" s="11">
        <f>L6363+IF(K6364&gt;0,K6364*Summary!$B$9,K6364/Summary!$B$9)</f>
        <v/>
      </c>
      <c r="M6364" s="11">
        <f>G6364+H6364</f>
        <v/>
      </c>
      <c r="N6364" s="11">
        <f>Summary!$C$16*Summary!$B$8</f>
        <v/>
      </c>
      <c r="O6364" s="11">
        <f>M6364-N6364</f>
        <v/>
      </c>
    </row>
    <row r="6365">
      <c r="A6365" s="9" t="n">
        <v>45557.125</v>
      </c>
      <c r="B6365" t="n">
        <v>9</v>
      </c>
      <c r="C6365" t="n">
        <v>22</v>
      </c>
      <c r="D6365" t="n">
        <v>3</v>
      </c>
      <c r="E6365" s="10" t="n">
        <v>0</v>
      </c>
      <c r="F6365" s="10" t="n">
        <v>0.2904518137084353</v>
      </c>
      <c r="G6365" s="11">
        <f>E6365*Summary!$B$6</f>
        <v/>
      </c>
      <c r="H6365" s="11">
        <f>F6365*Summary!$B$7</f>
        <v/>
      </c>
      <c r="I6365" s="11">
        <f>MAX(0,N6365-M6365)</f>
        <v/>
      </c>
      <c r="J6365" s="11">
        <f>MAX(0,M6365-N6365)</f>
        <v/>
      </c>
      <c r="K6365" s="11">
        <f>O6365</f>
        <v/>
      </c>
      <c r="L6365" s="11">
        <f>L6364+IF(K6365&gt;0,K6365*Summary!$B$9,K6365/Summary!$B$9)</f>
        <v/>
      </c>
      <c r="M6365" s="11">
        <f>G6365+H6365</f>
        <v/>
      </c>
      <c r="N6365" s="11">
        <f>Summary!$C$16*Summary!$B$8</f>
        <v/>
      </c>
      <c r="O6365" s="11">
        <f>M6365-N6365</f>
        <v/>
      </c>
    </row>
    <row r="6366">
      <c r="A6366" s="9" t="n">
        <v>45557.16666666666</v>
      </c>
      <c r="B6366" t="n">
        <v>9</v>
      </c>
      <c r="C6366" t="n">
        <v>22</v>
      </c>
      <c r="D6366" t="n">
        <v>4</v>
      </c>
      <c r="E6366" s="10" t="n">
        <v>0</v>
      </c>
      <c r="F6366" s="10" t="n">
        <v>0.2983837676121042</v>
      </c>
      <c r="G6366" s="11">
        <f>E6366*Summary!$B$6</f>
        <v/>
      </c>
      <c r="H6366" s="11">
        <f>F6366*Summary!$B$7</f>
        <v/>
      </c>
      <c r="I6366" s="11">
        <f>MAX(0,N6366-M6366)</f>
        <v/>
      </c>
      <c r="J6366" s="11">
        <f>MAX(0,M6366-N6366)</f>
        <v/>
      </c>
      <c r="K6366" s="11">
        <f>O6366</f>
        <v/>
      </c>
      <c r="L6366" s="11">
        <f>L6365+IF(K6366&gt;0,K6366*Summary!$B$9,K6366/Summary!$B$9)</f>
        <v/>
      </c>
      <c r="M6366" s="11">
        <f>G6366+H6366</f>
        <v/>
      </c>
      <c r="N6366" s="11">
        <f>Summary!$C$16*Summary!$B$8</f>
        <v/>
      </c>
      <c r="O6366" s="11">
        <f>M6366-N6366</f>
        <v/>
      </c>
    </row>
    <row r="6367">
      <c r="A6367" s="9" t="n">
        <v>45557.20833333334</v>
      </c>
      <c r="B6367" t="n">
        <v>9</v>
      </c>
      <c r="C6367" t="n">
        <v>22</v>
      </c>
      <c r="D6367" t="n">
        <v>5</v>
      </c>
      <c r="E6367" s="10" t="n">
        <v>0</v>
      </c>
      <c r="F6367" s="10" t="n">
        <v>0.2962492550998212</v>
      </c>
      <c r="G6367" s="11">
        <f>E6367*Summary!$B$6</f>
        <v/>
      </c>
      <c r="H6367" s="11">
        <f>F6367*Summary!$B$7</f>
        <v/>
      </c>
      <c r="I6367" s="11">
        <f>MAX(0,N6367-M6367)</f>
        <v/>
      </c>
      <c r="J6367" s="11">
        <f>MAX(0,M6367-N6367)</f>
        <v/>
      </c>
      <c r="K6367" s="11">
        <f>O6367</f>
        <v/>
      </c>
      <c r="L6367" s="11">
        <f>L6366+IF(K6367&gt;0,K6367*Summary!$B$9,K6367/Summary!$B$9)</f>
        <v/>
      </c>
      <c r="M6367" s="11">
        <f>G6367+H6367</f>
        <v/>
      </c>
      <c r="N6367" s="11">
        <f>Summary!$C$16*Summary!$B$8</f>
        <v/>
      </c>
      <c r="O6367" s="11">
        <f>M6367-N6367</f>
        <v/>
      </c>
    </row>
    <row r="6368">
      <c r="A6368" s="9" t="n">
        <v>45557.25</v>
      </c>
      <c r="B6368" t="n">
        <v>9</v>
      </c>
      <c r="C6368" t="n">
        <v>22</v>
      </c>
      <c r="D6368" t="n">
        <v>6</v>
      </c>
      <c r="E6368" s="10" t="n">
        <v>0.007235</v>
      </c>
      <c r="F6368" s="10" t="n">
        <v>0.2883173011961523</v>
      </c>
      <c r="G6368" s="11">
        <f>E6368*Summary!$B$6</f>
        <v/>
      </c>
      <c r="H6368" s="11">
        <f>F6368*Summary!$B$7</f>
        <v/>
      </c>
      <c r="I6368" s="11">
        <f>MAX(0,N6368-M6368)</f>
        <v/>
      </c>
      <c r="J6368" s="11">
        <f>MAX(0,M6368-N6368)</f>
        <v/>
      </c>
      <c r="K6368" s="11">
        <f>O6368</f>
        <v/>
      </c>
      <c r="L6368" s="11">
        <f>L6367+IF(K6368&gt;0,K6368*Summary!$B$9,K6368/Summary!$B$9)</f>
        <v/>
      </c>
      <c r="M6368" s="11">
        <f>G6368+H6368</f>
        <v/>
      </c>
      <c r="N6368" s="11">
        <f>Summary!$C$16*Summary!$B$8</f>
        <v/>
      </c>
      <c r="O6368" s="11">
        <f>M6368-N6368</f>
        <v/>
      </c>
    </row>
    <row r="6369">
      <c r="A6369" s="9" t="n">
        <v>45557.29166666666</v>
      </c>
      <c r="B6369" t="n">
        <v>9</v>
      </c>
      <c r="C6369" t="n">
        <v>22</v>
      </c>
      <c r="D6369" t="n">
        <v>7</v>
      </c>
      <c r="E6369" s="10" t="n">
        <v>0.047441</v>
      </c>
      <c r="F6369" s="10" t="n">
        <v>0.2992270318144876</v>
      </c>
      <c r="G6369" s="11">
        <f>E6369*Summary!$B$6</f>
        <v/>
      </c>
      <c r="H6369" s="11">
        <f>F6369*Summary!$B$7</f>
        <v/>
      </c>
      <c r="I6369" s="11">
        <f>MAX(0,N6369-M6369)</f>
        <v/>
      </c>
      <c r="J6369" s="11">
        <f>MAX(0,M6369-N6369)</f>
        <v/>
      </c>
      <c r="K6369" s="11">
        <f>O6369</f>
        <v/>
      </c>
      <c r="L6369" s="11">
        <f>L6368+IF(K6369&gt;0,K6369*Summary!$B$9,K6369/Summary!$B$9)</f>
        <v/>
      </c>
      <c r="M6369" s="11">
        <f>G6369+H6369</f>
        <v/>
      </c>
      <c r="N6369" s="11">
        <f>Summary!$C$16*Summary!$B$8</f>
        <v/>
      </c>
      <c r="O6369" s="11">
        <f>M6369-N6369</f>
        <v/>
      </c>
    </row>
    <row r="6370">
      <c r="A6370" s="9" t="n">
        <v>45557.33333333334</v>
      </c>
      <c r="B6370" t="n">
        <v>9</v>
      </c>
      <c r="C6370" t="n">
        <v>22</v>
      </c>
      <c r="D6370" t="n">
        <v>8</v>
      </c>
      <c r="E6370" s="10" t="n">
        <v>0.173793</v>
      </c>
      <c r="F6370" s="10" t="n">
        <v>0.2619916468779953</v>
      </c>
      <c r="G6370" s="11">
        <f>E6370*Summary!$B$6</f>
        <v/>
      </c>
      <c r="H6370" s="11">
        <f>F6370*Summary!$B$7</f>
        <v/>
      </c>
      <c r="I6370" s="11">
        <f>MAX(0,N6370-M6370)</f>
        <v/>
      </c>
      <c r="J6370" s="11">
        <f>MAX(0,M6370-N6370)</f>
        <v/>
      </c>
      <c r="K6370" s="11">
        <f>O6370</f>
        <v/>
      </c>
      <c r="L6370" s="11">
        <f>L6369+IF(K6370&gt;0,K6370*Summary!$B$9,K6370/Summary!$B$9)</f>
        <v/>
      </c>
      <c r="M6370" s="11">
        <f>G6370+H6370</f>
        <v/>
      </c>
      <c r="N6370" s="11">
        <f>Summary!$C$16*Summary!$B$8</f>
        <v/>
      </c>
      <c r="O6370" s="11">
        <f>M6370-N6370</f>
        <v/>
      </c>
    </row>
    <row r="6371">
      <c r="A6371" s="9" t="n">
        <v>45557.375</v>
      </c>
      <c r="B6371" t="n">
        <v>9</v>
      </c>
      <c r="C6371" t="n">
        <v>22</v>
      </c>
      <c r="D6371" t="n">
        <v>9</v>
      </c>
      <c r="E6371" s="10" t="n">
        <v>0.228468</v>
      </c>
      <c r="F6371" s="10" t="n">
        <v>0.2513190843165802</v>
      </c>
      <c r="G6371" s="11">
        <f>E6371*Summary!$B$6</f>
        <v/>
      </c>
      <c r="H6371" s="11">
        <f>F6371*Summary!$B$7</f>
        <v/>
      </c>
      <c r="I6371" s="11">
        <f>MAX(0,N6371-M6371)</f>
        <v/>
      </c>
      <c r="J6371" s="11">
        <f>MAX(0,M6371-N6371)</f>
        <v/>
      </c>
      <c r="K6371" s="11">
        <f>O6371</f>
        <v/>
      </c>
      <c r="L6371" s="11">
        <f>L6370+IF(K6371&gt;0,K6371*Summary!$B$9,K6371/Summary!$B$9)</f>
        <v/>
      </c>
      <c r="M6371" s="11">
        <f>G6371+H6371</f>
        <v/>
      </c>
      <c r="N6371" s="11">
        <f>Summary!$C$16*Summary!$B$8</f>
        <v/>
      </c>
      <c r="O6371" s="11">
        <f>M6371-N6371</f>
        <v/>
      </c>
    </row>
    <row r="6372">
      <c r="A6372" s="9" t="n">
        <v>45557.41666666666</v>
      </c>
      <c r="B6372" t="n">
        <v>9</v>
      </c>
      <c r="C6372" t="n">
        <v>22</v>
      </c>
      <c r="D6372" t="n">
        <v>10</v>
      </c>
      <c r="E6372" s="10" t="n">
        <v>0.278387</v>
      </c>
      <c r="F6372" s="10" t="n">
        <v>0.2526893886454533</v>
      </c>
      <c r="G6372" s="11">
        <f>E6372*Summary!$B$6</f>
        <v/>
      </c>
      <c r="H6372" s="11">
        <f>F6372*Summary!$B$7</f>
        <v/>
      </c>
      <c r="I6372" s="11">
        <f>MAX(0,N6372-M6372)</f>
        <v/>
      </c>
      <c r="J6372" s="11">
        <f>MAX(0,M6372-N6372)</f>
        <v/>
      </c>
      <c r="K6372" s="11">
        <f>O6372</f>
        <v/>
      </c>
      <c r="L6372" s="11">
        <f>L6371+IF(K6372&gt;0,K6372*Summary!$B$9,K6372/Summary!$B$9)</f>
        <v/>
      </c>
      <c r="M6372" s="11">
        <f>G6372+H6372</f>
        <v/>
      </c>
      <c r="N6372" s="11">
        <f>Summary!$C$16*Summary!$B$8</f>
        <v/>
      </c>
      <c r="O6372" s="11">
        <f>M6372-N6372</f>
        <v/>
      </c>
    </row>
    <row r="6373">
      <c r="A6373" s="9" t="n">
        <v>45557.45833333334</v>
      </c>
      <c r="B6373" t="n">
        <v>9</v>
      </c>
      <c r="C6373" t="n">
        <v>22</v>
      </c>
      <c r="D6373" t="n">
        <v>11</v>
      </c>
      <c r="E6373" s="10" t="n">
        <v>0.326902</v>
      </c>
      <c r="F6373" s="10" t="n">
        <v>0.2588557581253819</v>
      </c>
      <c r="G6373" s="11">
        <f>E6373*Summary!$B$6</f>
        <v/>
      </c>
      <c r="H6373" s="11">
        <f>F6373*Summary!$B$7</f>
        <v/>
      </c>
      <c r="I6373" s="11">
        <f>MAX(0,N6373-M6373)</f>
        <v/>
      </c>
      <c r="J6373" s="11">
        <f>MAX(0,M6373-N6373)</f>
        <v/>
      </c>
      <c r="K6373" s="11">
        <f>O6373</f>
        <v/>
      </c>
      <c r="L6373" s="11">
        <f>L6372+IF(K6373&gt;0,K6373*Summary!$B$9,K6373/Summary!$B$9)</f>
        <v/>
      </c>
      <c r="M6373" s="11">
        <f>G6373+H6373</f>
        <v/>
      </c>
      <c r="N6373" s="11">
        <f>Summary!$C$16*Summary!$B$8</f>
        <v/>
      </c>
      <c r="O6373" s="11">
        <f>M6373-N6373</f>
        <v/>
      </c>
    </row>
    <row r="6374">
      <c r="A6374" s="9" t="n">
        <v>45557.5</v>
      </c>
      <c r="B6374" t="n">
        <v>9</v>
      </c>
      <c r="C6374" t="n">
        <v>22</v>
      </c>
      <c r="D6374" t="n">
        <v>12</v>
      </c>
      <c r="E6374" s="10" t="n">
        <v>0.307145</v>
      </c>
      <c r="F6374" s="10" t="n">
        <v>0.2685796484591156</v>
      </c>
      <c r="G6374" s="11">
        <f>E6374*Summary!$B$6</f>
        <v/>
      </c>
      <c r="H6374" s="11">
        <f>F6374*Summary!$B$7</f>
        <v/>
      </c>
      <c r="I6374" s="11">
        <f>MAX(0,N6374-M6374)</f>
        <v/>
      </c>
      <c r="J6374" s="11">
        <f>MAX(0,M6374-N6374)</f>
        <v/>
      </c>
      <c r="K6374" s="11">
        <f>O6374</f>
        <v/>
      </c>
      <c r="L6374" s="11">
        <f>L6373+IF(K6374&gt;0,K6374*Summary!$B$9,K6374/Summary!$B$9)</f>
        <v/>
      </c>
      <c r="M6374" s="11">
        <f>G6374+H6374</f>
        <v/>
      </c>
      <c r="N6374" s="11">
        <f>Summary!$C$16*Summary!$B$8</f>
        <v/>
      </c>
      <c r="O6374" s="11">
        <f>M6374-N6374</f>
        <v/>
      </c>
    </row>
    <row r="6375">
      <c r="A6375" s="9" t="n">
        <v>45557.54166666666</v>
      </c>
      <c r="B6375" t="n">
        <v>9</v>
      </c>
      <c r="C6375" t="n">
        <v>22</v>
      </c>
      <c r="D6375" t="n">
        <v>13</v>
      </c>
      <c r="E6375" s="10" t="n">
        <v>0.322876</v>
      </c>
      <c r="F6375" s="10" t="n">
        <v>0.2792785630268551</v>
      </c>
      <c r="G6375" s="11">
        <f>E6375*Summary!$B$6</f>
        <v/>
      </c>
      <c r="H6375" s="11">
        <f>F6375*Summary!$B$7</f>
        <v/>
      </c>
      <c r="I6375" s="11">
        <f>MAX(0,N6375-M6375)</f>
        <v/>
      </c>
      <c r="J6375" s="11">
        <f>MAX(0,M6375-N6375)</f>
        <v/>
      </c>
      <c r="K6375" s="11">
        <f>O6375</f>
        <v/>
      </c>
      <c r="L6375" s="11">
        <f>L6374+IF(K6375&gt;0,K6375*Summary!$B$9,K6375/Summary!$B$9)</f>
        <v/>
      </c>
      <c r="M6375" s="11">
        <f>G6375+H6375</f>
        <v/>
      </c>
      <c r="N6375" s="11">
        <f>Summary!$C$16*Summary!$B$8</f>
        <v/>
      </c>
      <c r="O6375" s="11">
        <f>M6375-N6375</f>
        <v/>
      </c>
    </row>
    <row r="6376">
      <c r="A6376" s="9" t="n">
        <v>45557.58333333334</v>
      </c>
      <c r="B6376" t="n">
        <v>9</v>
      </c>
      <c r="C6376" t="n">
        <v>22</v>
      </c>
      <c r="D6376" t="n">
        <v>14</v>
      </c>
      <c r="E6376" s="10" t="n">
        <v>0.254408</v>
      </c>
      <c r="F6376" s="10" t="n">
        <v>0.2864990127597631</v>
      </c>
      <c r="G6376" s="11">
        <f>E6376*Summary!$B$6</f>
        <v/>
      </c>
      <c r="H6376" s="11">
        <f>F6376*Summary!$B$7</f>
        <v/>
      </c>
      <c r="I6376" s="11">
        <f>MAX(0,N6376-M6376)</f>
        <v/>
      </c>
      <c r="J6376" s="11">
        <f>MAX(0,M6376-N6376)</f>
        <v/>
      </c>
      <c r="K6376" s="11">
        <f>O6376</f>
        <v/>
      </c>
      <c r="L6376" s="11">
        <f>L6375+IF(K6376&gt;0,K6376*Summary!$B$9,K6376/Summary!$B$9)</f>
        <v/>
      </c>
      <c r="M6376" s="11">
        <f>G6376+H6376</f>
        <v/>
      </c>
      <c r="N6376" s="11">
        <f>Summary!$C$16*Summary!$B$8</f>
        <v/>
      </c>
      <c r="O6376" s="11">
        <f>M6376-N6376</f>
        <v/>
      </c>
    </row>
    <row r="6377">
      <c r="A6377" s="9" t="n">
        <v>45557.625</v>
      </c>
      <c r="B6377" t="n">
        <v>9</v>
      </c>
      <c r="C6377" t="n">
        <v>22</v>
      </c>
      <c r="D6377" t="n">
        <v>15</v>
      </c>
      <c r="E6377" s="10" t="n">
        <v>0.116264</v>
      </c>
      <c r="F6377" s="10" t="n">
        <v>0.2922701021448245</v>
      </c>
      <c r="G6377" s="11">
        <f>E6377*Summary!$B$6</f>
        <v/>
      </c>
      <c r="H6377" s="11">
        <f>F6377*Summary!$B$7</f>
        <v/>
      </c>
      <c r="I6377" s="11">
        <f>MAX(0,N6377-M6377)</f>
        <v/>
      </c>
      <c r="J6377" s="11">
        <f>MAX(0,M6377-N6377)</f>
        <v/>
      </c>
      <c r="K6377" s="11">
        <f>O6377</f>
        <v/>
      </c>
      <c r="L6377" s="11">
        <f>L6376+IF(K6377&gt;0,K6377*Summary!$B$9,K6377/Summary!$B$9)</f>
        <v/>
      </c>
      <c r="M6377" s="11">
        <f>G6377+H6377</f>
        <v/>
      </c>
      <c r="N6377" s="11">
        <f>Summary!$C$16*Summary!$B$8</f>
        <v/>
      </c>
      <c r="O6377" s="11">
        <f>M6377-N6377</f>
        <v/>
      </c>
    </row>
    <row r="6378">
      <c r="A6378" s="9" t="n">
        <v>45557.66666666666</v>
      </c>
      <c r="B6378" t="n">
        <v>9</v>
      </c>
      <c r="C6378" t="n">
        <v>22</v>
      </c>
      <c r="D6378" t="n">
        <v>16</v>
      </c>
      <c r="E6378" s="10" t="n">
        <v>0.059571</v>
      </c>
      <c r="F6378" s="10" t="n">
        <v>0.291584949980388</v>
      </c>
      <c r="G6378" s="11">
        <f>E6378*Summary!$B$6</f>
        <v/>
      </c>
      <c r="H6378" s="11">
        <f>F6378*Summary!$B$7</f>
        <v/>
      </c>
      <c r="I6378" s="11">
        <f>MAX(0,N6378-M6378)</f>
        <v/>
      </c>
      <c r="J6378" s="11">
        <f>MAX(0,M6378-N6378)</f>
        <v/>
      </c>
      <c r="K6378" s="11">
        <f>O6378</f>
        <v/>
      </c>
      <c r="L6378" s="11">
        <f>L6377+IF(K6378&gt;0,K6378*Summary!$B$9,K6378/Summary!$B$9)</f>
        <v/>
      </c>
      <c r="M6378" s="11">
        <f>G6378+H6378</f>
        <v/>
      </c>
      <c r="N6378" s="11">
        <f>Summary!$C$16*Summary!$B$8</f>
        <v/>
      </c>
      <c r="O6378" s="11">
        <f>M6378-N6378</f>
        <v/>
      </c>
    </row>
    <row r="6379">
      <c r="A6379" s="9" t="n">
        <v>45557.70833333334</v>
      </c>
      <c r="B6379" t="n">
        <v>9</v>
      </c>
      <c r="C6379" t="n">
        <v>22</v>
      </c>
      <c r="D6379" t="n">
        <v>17</v>
      </c>
      <c r="E6379" s="10" t="n">
        <v>0.013056</v>
      </c>
      <c r="F6379" s="10" t="n">
        <v>0.2898984215756212</v>
      </c>
      <c r="G6379" s="11">
        <f>E6379*Summary!$B$6</f>
        <v/>
      </c>
      <c r="H6379" s="11">
        <f>F6379*Summary!$B$7</f>
        <v/>
      </c>
      <c r="I6379" s="11">
        <f>MAX(0,N6379-M6379)</f>
        <v/>
      </c>
      <c r="J6379" s="11">
        <f>MAX(0,M6379-N6379)</f>
        <v/>
      </c>
      <c r="K6379" s="11">
        <f>O6379</f>
        <v/>
      </c>
      <c r="L6379" s="11">
        <f>L6378+IF(K6379&gt;0,K6379*Summary!$B$9,K6379/Summary!$B$9)</f>
        <v/>
      </c>
      <c r="M6379" s="11">
        <f>G6379+H6379</f>
        <v/>
      </c>
      <c r="N6379" s="11">
        <f>Summary!$C$16*Summary!$B$8</f>
        <v/>
      </c>
      <c r="O6379" s="11">
        <f>M6379-N6379</f>
        <v/>
      </c>
    </row>
    <row r="6380">
      <c r="A6380" s="9" t="n">
        <v>45557.75</v>
      </c>
      <c r="B6380" t="n">
        <v>9</v>
      </c>
      <c r="C6380" t="n">
        <v>22</v>
      </c>
      <c r="D6380" t="n">
        <v>18</v>
      </c>
      <c r="E6380" s="10" t="n">
        <v>0</v>
      </c>
      <c r="F6380" s="10" t="n">
        <v>0.3011243762698503</v>
      </c>
      <c r="G6380" s="11">
        <f>E6380*Summary!$B$6</f>
        <v/>
      </c>
      <c r="H6380" s="11">
        <f>F6380*Summary!$B$7</f>
        <v/>
      </c>
      <c r="I6380" s="11">
        <f>MAX(0,N6380-M6380)</f>
        <v/>
      </c>
      <c r="J6380" s="11">
        <f>MAX(0,M6380-N6380)</f>
        <v/>
      </c>
      <c r="K6380" s="11">
        <f>O6380</f>
        <v/>
      </c>
      <c r="L6380" s="11">
        <f>L6379+IF(K6380&gt;0,K6380*Summary!$B$9,K6380/Summary!$B$9)</f>
        <v/>
      </c>
      <c r="M6380" s="11">
        <f>G6380+H6380</f>
        <v/>
      </c>
      <c r="N6380" s="11">
        <f>Summary!$C$16*Summary!$B$8</f>
        <v/>
      </c>
      <c r="O6380" s="11">
        <f>M6380-N6380</f>
        <v/>
      </c>
    </row>
    <row r="6381">
      <c r="A6381" s="9" t="n">
        <v>45557.79166666666</v>
      </c>
      <c r="B6381" t="n">
        <v>9</v>
      </c>
      <c r="C6381" t="n">
        <v>22</v>
      </c>
      <c r="D6381" t="n">
        <v>19</v>
      </c>
      <c r="E6381" s="10" t="n">
        <v>0</v>
      </c>
      <c r="F6381" s="10" t="n">
        <v>0.3092934982304396</v>
      </c>
      <c r="G6381" s="11">
        <f>E6381*Summary!$B$6</f>
        <v/>
      </c>
      <c r="H6381" s="11">
        <f>F6381*Summary!$B$7</f>
        <v/>
      </c>
      <c r="I6381" s="11">
        <f>MAX(0,N6381-M6381)</f>
        <v/>
      </c>
      <c r="J6381" s="11">
        <f>MAX(0,M6381-N6381)</f>
        <v/>
      </c>
      <c r="K6381" s="11">
        <f>O6381</f>
        <v/>
      </c>
      <c r="L6381" s="11">
        <f>L6380+IF(K6381&gt;0,K6381*Summary!$B$9,K6381/Summary!$B$9)</f>
        <v/>
      </c>
      <c r="M6381" s="11">
        <f>G6381+H6381</f>
        <v/>
      </c>
      <c r="N6381" s="11">
        <f>Summary!$C$16*Summary!$B$8</f>
        <v/>
      </c>
      <c r="O6381" s="11">
        <f>M6381-N6381</f>
        <v/>
      </c>
    </row>
    <row r="6382">
      <c r="A6382" s="9" t="n">
        <v>45557.83333333334</v>
      </c>
      <c r="B6382" t="n">
        <v>9</v>
      </c>
      <c r="C6382" t="n">
        <v>22</v>
      </c>
      <c r="D6382" t="n">
        <v>20</v>
      </c>
      <c r="E6382" s="10" t="n">
        <v>0</v>
      </c>
      <c r="F6382" s="10" t="n">
        <v>0.3176470842353002</v>
      </c>
      <c r="G6382" s="11">
        <f>E6382*Summary!$B$6</f>
        <v/>
      </c>
      <c r="H6382" s="11">
        <f>F6382*Summary!$B$7</f>
        <v/>
      </c>
      <c r="I6382" s="11">
        <f>MAX(0,N6382-M6382)</f>
        <v/>
      </c>
      <c r="J6382" s="11">
        <f>MAX(0,M6382-N6382)</f>
        <v/>
      </c>
      <c r="K6382" s="11">
        <f>O6382</f>
        <v/>
      </c>
      <c r="L6382" s="11">
        <f>L6381+IF(K6382&gt;0,K6382*Summary!$B$9,K6382/Summary!$B$9)</f>
        <v/>
      </c>
      <c r="M6382" s="11">
        <f>G6382+H6382</f>
        <v/>
      </c>
      <c r="N6382" s="11">
        <f>Summary!$C$16*Summary!$B$8</f>
        <v/>
      </c>
      <c r="O6382" s="11">
        <f>M6382-N6382</f>
        <v/>
      </c>
    </row>
    <row r="6383">
      <c r="A6383" s="9" t="n">
        <v>45557.875</v>
      </c>
      <c r="B6383" t="n">
        <v>9</v>
      </c>
      <c r="C6383" t="n">
        <v>22</v>
      </c>
      <c r="D6383" t="n">
        <v>21</v>
      </c>
      <c r="E6383" s="10" t="n">
        <v>0</v>
      </c>
      <c r="F6383" s="10" t="n">
        <v>0.3200714688171525</v>
      </c>
      <c r="G6383" s="11">
        <f>E6383*Summary!$B$6</f>
        <v/>
      </c>
      <c r="H6383" s="11">
        <f>F6383*Summary!$B$7</f>
        <v/>
      </c>
      <c r="I6383" s="11">
        <f>MAX(0,N6383-M6383)</f>
        <v/>
      </c>
      <c r="J6383" s="11">
        <f>MAX(0,M6383-N6383)</f>
        <v/>
      </c>
      <c r="K6383" s="11">
        <f>O6383</f>
        <v/>
      </c>
      <c r="L6383" s="11">
        <f>L6382+IF(K6383&gt;0,K6383*Summary!$B$9,K6383/Summary!$B$9)</f>
        <v/>
      </c>
      <c r="M6383" s="11">
        <f>G6383+H6383</f>
        <v/>
      </c>
      <c r="N6383" s="11">
        <f>Summary!$C$16*Summary!$B$8</f>
        <v/>
      </c>
      <c r="O6383" s="11">
        <f>M6383-N6383</f>
        <v/>
      </c>
    </row>
    <row r="6384">
      <c r="A6384" s="9" t="n">
        <v>45557.91666666666</v>
      </c>
      <c r="B6384" t="n">
        <v>9</v>
      </c>
      <c r="C6384" t="n">
        <v>22</v>
      </c>
      <c r="D6384" t="n">
        <v>22</v>
      </c>
      <c r="E6384" s="10" t="n">
        <v>0</v>
      </c>
      <c r="F6384" s="10" t="n">
        <v>0.3131408911538139</v>
      </c>
      <c r="G6384" s="11">
        <f>E6384*Summary!$B$6</f>
        <v/>
      </c>
      <c r="H6384" s="11">
        <f>F6384*Summary!$B$7</f>
        <v/>
      </c>
      <c r="I6384" s="11">
        <f>MAX(0,N6384-M6384)</f>
        <v/>
      </c>
      <c r="J6384" s="11">
        <f>MAX(0,M6384-N6384)</f>
        <v/>
      </c>
      <c r="K6384" s="11">
        <f>O6384</f>
        <v/>
      </c>
      <c r="L6384" s="11">
        <f>L6383+IF(K6384&gt;0,K6384*Summary!$B$9,K6384/Summary!$B$9)</f>
        <v/>
      </c>
      <c r="M6384" s="11">
        <f>G6384+H6384</f>
        <v/>
      </c>
      <c r="N6384" s="11">
        <f>Summary!$C$16*Summary!$B$8</f>
        <v/>
      </c>
      <c r="O6384" s="11">
        <f>M6384-N6384</f>
        <v/>
      </c>
    </row>
    <row r="6385">
      <c r="A6385" s="9" t="n">
        <v>45557.95833333334</v>
      </c>
      <c r="B6385" t="n">
        <v>9</v>
      </c>
      <c r="C6385" t="n">
        <v>22</v>
      </c>
      <c r="D6385" t="n">
        <v>23</v>
      </c>
      <c r="E6385" s="10" t="n">
        <v>0</v>
      </c>
      <c r="F6385" s="10" t="n">
        <v>0.3081867139648113</v>
      </c>
      <c r="G6385" s="11">
        <f>E6385*Summary!$B$6</f>
        <v/>
      </c>
      <c r="H6385" s="11">
        <f>F6385*Summary!$B$7</f>
        <v/>
      </c>
      <c r="I6385" s="11">
        <f>MAX(0,N6385-M6385)</f>
        <v/>
      </c>
      <c r="J6385" s="11">
        <f>MAX(0,M6385-N6385)</f>
        <v/>
      </c>
      <c r="K6385" s="11">
        <f>O6385</f>
        <v/>
      </c>
      <c r="L6385" s="11">
        <f>L6384+IF(K6385&gt;0,K6385*Summary!$B$9,K6385/Summary!$B$9)</f>
        <v/>
      </c>
      <c r="M6385" s="11">
        <f>G6385+H6385</f>
        <v/>
      </c>
      <c r="N6385" s="11">
        <f>Summary!$C$16*Summary!$B$8</f>
        <v/>
      </c>
      <c r="O6385" s="11">
        <f>M6385-N6385</f>
        <v/>
      </c>
    </row>
    <row r="6386">
      <c r="A6386" s="9" t="n">
        <v>45558</v>
      </c>
      <c r="B6386" t="n">
        <v>9</v>
      </c>
      <c r="C6386" t="n">
        <v>23</v>
      </c>
      <c r="D6386" t="n">
        <v>0</v>
      </c>
      <c r="E6386" s="10" t="n">
        <v>0</v>
      </c>
      <c r="F6386" s="10" t="n">
        <v>0.2956695109606826</v>
      </c>
      <c r="G6386" s="11">
        <f>E6386*Summary!$B$6</f>
        <v/>
      </c>
      <c r="H6386" s="11">
        <f>F6386*Summary!$B$7</f>
        <v/>
      </c>
      <c r="I6386" s="11">
        <f>MAX(0,N6386-M6386)</f>
        <v/>
      </c>
      <c r="J6386" s="11">
        <f>MAX(0,M6386-N6386)</f>
        <v/>
      </c>
      <c r="K6386" s="11">
        <f>O6386</f>
        <v/>
      </c>
      <c r="L6386" s="11">
        <f>L6385+IF(K6386&gt;0,K6386*Summary!$B$9,K6386/Summary!$B$9)</f>
        <v/>
      </c>
      <c r="M6386" s="11">
        <f>G6386+H6386</f>
        <v/>
      </c>
      <c r="N6386" s="11">
        <f>Summary!$C$16*Summary!$B$8</f>
        <v/>
      </c>
      <c r="O6386" s="11">
        <f>M6386-N6386</f>
        <v/>
      </c>
    </row>
    <row r="6387">
      <c r="A6387" s="9" t="n">
        <v>45558.04166666666</v>
      </c>
      <c r="B6387" t="n">
        <v>9</v>
      </c>
      <c r="C6387" t="n">
        <v>23</v>
      </c>
      <c r="D6387" t="n">
        <v>1</v>
      </c>
      <c r="E6387" s="10" t="n">
        <v>0</v>
      </c>
      <c r="F6387" s="10" t="n">
        <v>0.2945627266950544</v>
      </c>
      <c r="G6387" s="11">
        <f>E6387*Summary!$B$6</f>
        <v/>
      </c>
      <c r="H6387" s="11">
        <f>F6387*Summary!$B$7</f>
        <v/>
      </c>
      <c r="I6387" s="11">
        <f>MAX(0,N6387-M6387)</f>
        <v/>
      </c>
      <c r="J6387" s="11">
        <f>MAX(0,M6387-N6387)</f>
        <v/>
      </c>
      <c r="K6387" s="11">
        <f>O6387</f>
        <v/>
      </c>
      <c r="L6387" s="11">
        <f>L6386+IF(K6387&gt;0,K6387*Summary!$B$9,K6387/Summary!$B$9)</f>
        <v/>
      </c>
      <c r="M6387" s="11">
        <f>G6387+H6387</f>
        <v/>
      </c>
      <c r="N6387" s="11">
        <f>Summary!$C$16*Summary!$B$8</f>
        <v/>
      </c>
      <c r="O6387" s="11">
        <f>M6387-N6387</f>
        <v/>
      </c>
    </row>
    <row r="6388">
      <c r="A6388" s="9" t="n">
        <v>45558.08333333334</v>
      </c>
      <c r="B6388" t="n">
        <v>9</v>
      </c>
      <c r="C6388" t="n">
        <v>23</v>
      </c>
      <c r="D6388" t="n">
        <v>2</v>
      </c>
      <c r="E6388" s="10" t="n">
        <v>0</v>
      </c>
      <c r="F6388" s="10" t="n">
        <v>0.2862091406901938</v>
      </c>
      <c r="G6388" s="11">
        <f>E6388*Summary!$B$6</f>
        <v/>
      </c>
      <c r="H6388" s="11">
        <f>F6388*Summary!$B$7</f>
        <v/>
      </c>
      <c r="I6388" s="11">
        <f>MAX(0,N6388-M6388)</f>
        <v/>
      </c>
      <c r="J6388" s="11">
        <f>MAX(0,M6388-N6388)</f>
        <v/>
      </c>
      <c r="K6388" s="11">
        <f>O6388</f>
        <v/>
      </c>
      <c r="L6388" s="11">
        <f>L6387+IF(K6388&gt;0,K6388*Summary!$B$9,K6388/Summary!$B$9)</f>
        <v/>
      </c>
      <c r="M6388" s="11">
        <f>G6388+H6388</f>
        <v/>
      </c>
      <c r="N6388" s="11">
        <f>Summary!$C$16*Summary!$B$8</f>
        <v/>
      </c>
      <c r="O6388" s="11">
        <f>M6388-N6388</f>
        <v/>
      </c>
    </row>
    <row r="6389">
      <c r="A6389" s="9" t="n">
        <v>45558.125</v>
      </c>
      <c r="B6389" t="n">
        <v>9</v>
      </c>
      <c r="C6389" t="n">
        <v>23</v>
      </c>
      <c r="D6389" t="n">
        <v>3</v>
      </c>
      <c r="E6389" s="10" t="n">
        <v>0</v>
      </c>
      <c r="F6389" s="10" t="n">
        <v>0.2813867235328136</v>
      </c>
      <c r="G6389" s="11">
        <f>E6389*Summary!$B$6</f>
        <v/>
      </c>
      <c r="H6389" s="11">
        <f>F6389*Summary!$B$7</f>
        <v/>
      </c>
      <c r="I6389" s="11">
        <f>MAX(0,N6389-M6389)</f>
        <v/>
      </c>
      <c r="J6389" s="11">
        <f>MAX(0,M6389-N6389)</f>
        <v/>
      </c>
      <c r="K6389" s="11">
        <f>O6389</f>
        <v/>
      </c>
      <c r="L6389" s="11">
        <f>L6388+IF(K6389&gt;0,K6389*Summary!$B$9,K6389/Summary!$B$9)</f>
        <v/>
      </c>
      <c r="M6389" s="11">
        <f>G6389+H6389</f>
        <v/>
      </c>
      <c r="N6389" s="11">
        <f>Summary!$C$16*Summary!$B$8</f>
        <v/>
      </c>
      <c r="O6389" s="11">
        <f>M6389-N6389</f>
        <v/>
      </c>
    </row>
    <row r="6390">
      <c r="A6390" s="9" t="n">
        <v>45558.16666666666</v>
      </c>
      <c r="B6390" t="n">
        <v>9</v>
      </c>
      <c r="C6390" t="n">
        <v>23</v>
      </c>
      <c r="D6390" t="n">
        <v>4</v>
      </c>
      <c r="E6390" s="10" t="n">
        <v>0</v>
      </c>
      <c r="F6390" s="10" t="n">
        <v>0.2954850469164113</v>
      </c>
      <c r="G6390" s="11">
        <f>E6390*Summary!$B$6</f>
        <v/>
      </c>
      <c r="H6390" s="11">
        <f>F6390*Summary!$B$7</f>
        <v/>
      </c>
      <c r="I6390" s="11">
        <f>MAX(0,N6390-M6390)</f>
        <v/>
      </c>
      <c r="J6390" s="11">
        <f>MAX(0,M6390-N6390)</f>
        <v/>
      </c>
      <c r="K6390" s="11">
        <f>O6390</f>
        <v/>
      </c>
      <c r="L6390" s="11">
        <f>L6389+IF(K6390&gt;0,K6390*Summary!$B$9,K6390/Summary!$B$9)</f>
        <v/>
      </c>
      <c r="M6390" s="11">
        <f>G6390+H6390</f>
        <v/>
      </c>
      <c r="N6390" s="11">
        <f>Summary!$C$16*Summary!$B$8</f>
        <v/>
      </c>
      <c r="O6390" s="11">
        <f>M6390-N6390</f>
        <v/>
      </c>
    </row>
    <row r="6391">
      <c r="A6391" s="9" t="n">
        <v>45558.20833333334</v>
      </c>
      <c r="B6391" t="n">
        <v>9</v>
      </c>
      <c r="C6391" t="n">
        <v>23</v>
      </c>
      <c r="D6391" t="n">
        <v>5</v>
      </c>
      <c r="E6391" s="10" t="n">
        <v>0</v>
      </c>
      <c r="F6391" s="10" t="n">
        <v>0.2662606719025613</v>
      </c>
      <c r="G6391" s="11">
        <f>E6391*Summary!$B$6</f>
        <v/>
      </c>
      <c r="H6391" s="11">
        <f>F6391*Summary!$B$7</f>
        <v/>
      </c>
      <c r="I6391" s="11">
        <f>MAX(0,N6391-M6391)</f>
        <v/>
      </c>
      <c r="J6391" s="11">
        <f>MAX(0,M6391-N6391)</f>
        <v/>
      </c>
      <c r="K6391" s="11">
        <f>O6391</f>
        <v/>
      </c>
      <c r="L6391" s="11">
        <f>L6390+IF(K6391&gt;0,K6391*Summary!$B$9,K6391/Summary!$B$9)</f>
        <v/>
      </c>
      <c r="M6391" s="11">
        <f>G6391+H6391</f>
        <v/>
      </c>
      <c r="N6391" s="11">
        <f>Summary!$C$16*Summary!$B$8</f>
        <v/>
      </c>
      <c r="O6391" s="11">
        <f>M6391-N6391</f>
        <v/>
      </c>
    </row>
    <row r="6392">
      <c r="A6392" s="9" t="n">
        <v>45558.25</v>
      </c>
      <c r="B6392" t="n">
        <v>9</v>
      </c>
      <c r="C6392" t="n">
        <v>23</v>
      </c>
      <c r="D6392" t="n">
        <v>6</v>
      </c>
      <c r="E6392" s="10" t="n">
        <v>0.008009</v>
      </c>
      <c r="F6392" s="10" t="n">
        <v>0.2664714879531571</v>
      </c>
      <c r="G6392" s="11">
        <f>E6392*Summary!$B$6</f>
        <v/>
      </c>
      <c r="H6392" s="11">
        <f>F6392*Summary!$B$7</f>
        <v/>
      </c>
      <c r="I6392" s="11">
        <f>MAX(0,N6392-M6392)</f>
        <v/>
      </c>
      <c r="J6392" s="11">
        <f>MAX(0,M6392-N6392)</f>
        <v/>
      </c>
      <c r="K6392" s="11">
        <f>O6392</f>
        <v/>
      </c>
      <c r="L6392" s="11">
        <f>L6391+IF(K6392&gt;0,K6392*Summary!$B$9,K6392/Summary!$B$9)</f>
        <v/>
      </c>
      <c r="M6392" s="11">
        <f>G6392+H6392</f>
        <v/>
      </c>
      <c r="N6392" s="11">
        <f>Summary!$C$16*Summary!$B$8</f>
        <v/>
      </c>
      <c r="O6392" s="11">
        <f>M6392-N6392</f>
        <v/>
      </c>
    </row>
    <row r="6393">
      <c r="A6393" s="9" t="n">
        <v>45558.29166666666</v>
      </c>
      <c r="B6393" t="n">
        <v>9</v>
      </c>
      <c r="C6393" t="n">
        <v>23</v>
      </c>
      <c r="D6393" t="n">
        <v>7</v>
      </c>
      <c r="E6393" s="10" t="n">
        <v>0.035117</v>
      </c>
      <c r="F6393" s="10" t="n">
        <v>0.233083495940039</v>
      </c>
      <c r="G6393" s="11">
        <f>E6393*Summary!$B$6</f>
        <v/>
      </c>
      <c r="H6393" s="11">
        <f>F6393*Summary!$B$7</f>
        <v/>
      </c>
      <c r="I6393" s="11">
        <f>MAX(0,N6393-M6393)</f>
        <v/>
      </c>
      <c r="J6393" s="11">
        <f>MAX(0,M6393-N6393)</f>
        <v/>
      </c>
      <c r="K6393" s="11">
        <f>O6393</f>
        <v/>
      </c>
      <c r="L6393" s="11">
        <f>L6392+IF(K6393&gt;0,K6393*Summary!$B$9,K6393/Summary!$B$9)</f>
        <v/>
      </c>
      <c r="M6393" s="11">
        <f>G6393+H6393</f>
        <v/>
      </c>
      <c r="N6393" s="11">
        <f>Summary!$C$16*Summary!$B$8</f>
        <v/>
      </c>
      <c r="O6393" s="11">
        <f>M6393-N6393</f>
        <v/>
      </c>
    </row>
    <row r="6394">
      <c r="A6394" s="9" t="n">
        <v>45558.33333333334</v>
      </c>
      <c r="B6394" t="n">
        <v>9</v>
      </c>
      <c r="C6394" t="n">
        <v>23</v>
      </c>
      <c r="D6394" t="n">
        <v>8</v>
      </c>
      <c r="E6394" s="10" t="n">
        <v>0.156264</v>
      </c>
      <c r="F6394" s="10" t="n">
        <v>0.2135303072472737</v>
      </c>
      <c r="G6394" s="11">
        <f>E6394*Summary!$B$6</f>
        <v/>
      </c>
      <c r="H6394" s="11">
        <f>F6394*Summary!$B$7</f>
        <v/>
      </c>
      <c r="I6394" s="11">
        <f>MAX(0,N6394-M6394)</f>
        <v/>
      </c>
      <c r="J6394" s="11">
        <f>MAX(0,M6394-N6394)</f>
        <v/>
      </c>
      <c r="K6394" s="11">
        <f>O6394</f>
        <v/>
      </c>
      <c r="L6394" s="11">
        <f>L6393+IF(K6394&gt;0,K6394*Summary!$B$9,K6394/Summary!$B$9)</f>
        <v/>
      </c>
      <c r="M6394" s="11">
        <f>G6394+H6394</f>
        <v/>
      </c>
      <c r="N6394" s="11">
        <f>Summary!$C$16*Summary!$B$8</f>
        <v/>
      </c>
      <c r="O6394" s="11">
        <f>M6394-N6394</f>
        <v/>
      </c>
    </row>
    <row r="6395">
      <c r="A6395" s="9" t="n">
        <v>45558.375</v>
      </c>
      <c r="B6395" t="n">
        <v>9</v>
      </c>
      <c r="C6395" t="n">
        <v>23</v>
      </c>
      <c r="D6395" t="n">
        <v>9</v>
      </c>
      <c r="E6395" s="10" t="n">
        <v>0.26493</v>
      </c>
      <c r="F6395" s="10" t="n">
        <v>0.2029368007048322</v>
      </c>
      <c r="G6395" s="11">
        <f>E6395*Summary!$B$6</f>
        <v/>
      </c>
      <c r="H6395" s="11">
        <f>F6395*Summary!$B$7</f>
        <v/>
      </c>
      <c r="I6395" s="11">
        <f>MAX(0,N6395-M6395)</f>
        <v/>
      </c>
      <c r="J6395" s="11">
        <f>MAX(0,M6395-N6395)</f>
        <v/>
      </c>
      <c r="K6395" s="11">
        <f>O6395</f>
        <v/>
      </c>
      <c r="L6395" s="11">
        <f>L6394+IF(K6395&gt;0,K6395*Summary!$B$9,K6395/Summary!$B$9)</f>
        <v/>
      </c>
      <c r="M6395" s="11">
        <f>G6395+H6395</f>
        <v/>
      </c>
      <c r="N6395" s="11">
        <f>Summary!$C$16*Summary!$B$8</f>
        <v/>
      </c>
      <c r="O6395" s="11">
        <f>M6395-N6395</f>
        <v/>
      </c>
    </row>
    <row r="6396">
      <c r="A6396" s="9" t="n">
        <v>45558.41666666666</v>
      </c>
      <c r="B6396" t="n">
        <v>9</v>
      </c>
      <c r="C6396" t="n">
        <v>23</v>
      </c>
      <c r="D6396" t="n">
        <v>10</v>
      </c>
      <c r="E6396" s="10" t="n">
        <v>0.213735</v>
      </c>
      <c r="F6396" s="10" t="n">
        <v>0.1956372949529508</v>
      </c>
      <c r="G6396" s="11">
        <f>E6396*Summary!$B$6</f>
        <v/>
      </c>
      <c r="H6396" s="11">
        <f>F6396*Summary!$B$7</f>
        <v/>
      </c>
      <c r="I6396" s="11">
        <f>MAX(0,N6396-M6396)</f>
        <v/>
      </c>
      <c r="J6396" s="11">
        <f>MAX(0,M6396-N6396)</f>
        <v/>
      </c>
      <c r="K6396" s="11">
        <f>O6396</f>
        <v/>
      </c>
      <c r="L6396" s="11">
        <f>L6395+IF(K6396&gt;0,K6396*Summary!$B$9,K6396/Summary!$B$9)</f>
        <v/>
      </c>
      <c r="M6396" s="11">
        <f>G6396+H6396</f>
        <v/>
      </c>
      <c r="N6396" s="11">
        <f>Summary!$C$16*Summary!$B$8</f>
        <v/>
      </c>
      <c r="O6396" s="11">
        <f>M6396-N6396</f>
        <v/>
      </c>
    </row>
    <row r="6397">
      <c r="A6397" s="9" t="n">
        <v>45558.45833333334</v>
      </c>
      <c r="B6397" t="n">
        <v>9</v>
      </c>
      <c r="C6397" t="n">
        <v>23</v>
      </c>
      <c r="D6397" t="n">
        <v>11</v>
      </c>
      <c r="E6397" s="10" t="n">
        <v>0.175162</v>
      </c>
      <c r="F6397" s="10" t="n">
        <v>0.1937399504975881</v>
      </c>
      <c r="G6397" s="11">
        <f>E6397*Summary!$B$6</f>
        <v/>
      </c>
      <c r="H6397" s="11">
        <f>F6397*Summary!$B$7</f>
        <v/>
      </c>
      <c r="I6397" s="11">
        <f>MAX(0,N6397-M6397)</f>
        <v/>
      </c>
      <c r="J6397" s="11">
        <f>MAX(0,M6397-N6397)</f>
        <v/>
      </c>
      <c r="K6397" s="11">
        <f>O6397</f>
        <v/>
      </c>
      <c r="L6397" s="11">
        <f>L6396+IF(K6397&gt;0,K6397*Summary!$B$9,K6397/Summary!$B$9)</f>
        <v/>
      </c>
      <c r="M6397" s="11">
        <f>G6397+H6397</f>
        <v/>
      </c>
      <c r="N6397" s="11">
        <f>Summary!$C$16*Summary!$B$8</f>
        <v/>
      </c>
      <c r="O6397" s="11">
        <f>M6397-N6397</f>
        <v/>
      </c>
    </row>
    <row r="6398">
      <c r="A6398" s="9" t="n">
        <v>45558.5</v>
      </c>
      <c r="B6398" t="n">
        <v>9</v>
      </c>
      <c r="C6398" t="n">
        <v>23</v>
      </c>
      <c r="D6398" t="n">
        <v>12</v>
      </c>
      <c r="E6398" s="10" t="n">
        <v>0.097233</v>
      </c>
      <c r="F6398" s="10" t="n">
        <v>0.2068896016535044</v>
      </c>
      <c r="G6398" s="11">
        <f>E6398*Summary!$B$6</f>
        <v/>
      </c>
      <c r="H6398" s="11">
        <f>F6398*Summary!$B$7</f>
        <v/>
      </c>
      <c r="I6398" s="11">
        <f>MAX(0,N6398-M6398)</f>
        <v/>
      </c>
      <c r="J6398" s="11">
        <f>MAX(0,M6398-N6398)</f>
        <v/>
      </c>
      <c r="K6398" s="11">
        <f>O6398</f>
        <v/>
      </c>
      <c r="L6398" s="11">
        <f>L6397+IF(K6398&gt;0,K6398*Summary!$B$9,K6398/Summary!$B$9)</f>
        <v/>
      </c>
      <c r="M6398" s="11">
        <f>G6398+H6398</f>
        <v/>
      </c>
      <c r="N6398" s="11">
        <f>Summary!$C$16*Summary!$B$8</f>
        <v/>
      </c>
      <c r="O6398" s="11">
        <f>M6398-N6398</f>
        <v/>
      </c>
    </row>
    <row r="6399">
      <c r="A6399" s="9" t="n">
        <v>45558.54166666666</v>
      </c>
      <c r="B6399" t="n">
        <v>9</v>
      </c>
      <c r="C6399" t="n">
        <v>23</v>
      </c>
      <c r="D6399" t="n">
        <v>13</v>
      </c>
      <c r="E6399" s="10" t="n">
        <v>0.09797500000000001</v>
      </c>
      <c r="F6399" s="10" t="n">
        <v>0.1933446704027209</v>
      </c>
      <c r="G6399" s="11">
        <f>E6399*Summary!$B$6</f>
        <v/>
      </c>
      <c r="H6399" s="11">
        <f>F6399*Summary!$B$7</f>
        <v/>
      </c>
      <c r="I6399" s="11">
        <f>MAX(0,N6399-M6399)</f>
        <v/>
      </c>
      <c r="J6399" s="11">
        <f>MAX(0,M6399-N6399)</f>
        <v/>
      </c>
      <c r="K6399" s="11">
        <f>O6399</f>
        <v/>
      </c>
      <c r="L6399" s="11">
        <f>L6398+IF(K6399&gt;0,K6399*Summary!$B$9,K6399/Summary!$B$9)</f>
        <v/>
      </c>
      <c r="M6399" s="11">
        <f>G6399+H6399</f>
        <v/>
      </c>
      <c r="N6399" s="11">
        <f>Summary!$C$16*Summary!$B$8</f>
        <v/>
      </c>
      <c r="O6399" s="11">
        <f>M6399-N6399</f>
        <v/>
      </c>
    </row>
    <row r="6400">
      <c r="A6400" s="9" t="n">
        <v>45558.58333333334</v>
      </c>
      <c r="B6400" t="n">
        <v>9</v>
      </c>
      <c r="C6400" t="n">
        <v>23</v>
      </c>
      <c r="D6400" t="n">
        <v>14</v>
      </c>
      <c r="E6400" s="10" t="n">
        <v>0.160951</v>
      </c>
      <c r="F6400" s="10" t="n">
        <v>0.1923696461687151</v>
      </c>
      <c r="G6400" s="11">
        <f>E6400*Summary!$B$6</f>
        <v/>
      </c>
      <c r="H6400" s="11">
        <f>F6400*Summary!$B$7</f>
        <v/>
      </c>
      <c r="I6400" s="11">
        <f>MAX(0,N6400-M6400)</f>
        <v/>
      </c>
      <c r="J6400" s="11">
        <f>MAX(0,M6400-N6400)</f>
        <v/>
      </c>
      <c r="K6400" s="11">
        <f>O6400</f>
        <v/>
      </c>
      <c r="L6400" s="11">
        <f>L6399+IF(K6400&gt;0,K6400*Summary!$B$9,K6400/Summary!$B$9)</f>
        <v/>
      </c>
      <c r="M6400" s="11">
        <f>G6400+H6400</f>
        <v/>
      </c>
      <c r="N6400" s="11">
        <f>Summary!$C$16*Summary!$B$8</f>
        <v/>
      </c>
      <c r="O6400" s="11">
        <f>M6400-N6400</f>
        <v/>
      </c>
    </row>
    <row r="6401">
      <c r="A6401" s="9" t="n">
        <v>45558.625</v>
      </c>
      <c r="B6401" t="n">
        <v>9</v>
      </c>
      <c r="C6401" t="n">
        <v>23</v>
      </c>
      <c r="D6401" t="n">
        <v>15</v>
      </c>
      <c r="E6401" s="10" t="n">
        <v>0.080806</v>
      </c>
      <c r="F6401" s="10" t="n">
        <v>0.1872310049354412</v>
      </c>
      <c r="G6401" s="11">
        <f>E6401*Summary!$B$6</f>
        <v/>
      </c>
      <c r="H6401" s="11">
        <f>F6401*Summary!$B$7</f>
        <v/>
      </c>
      <c r="I6401" s="11">
        <f>MAX(0,N6401-M6401)</f>
        <v/>
      </c>
      <c r="J6401" s="11">
        <f>MAX(0,M6401-N6401)</f>
        <v/>
      </c>
      <c r="K6401" s="11">
        <f>O6401</f>
        <v/>
      </c>
      <c r="L6401" s="11">
        <f>L6400+IF(K6401&gt;0,K6401*Summary!$B$9,K6401/Summary!$B$9)</f>
        <v/>
      </c>
      <c r="M6401" s="11">
        <f>G6401+H6401</f>
        <v/>
      </c>
      <c r="N6401" s="11">
        <f>Summary!$C$16*Summary!$B$8</f>
        <v/>
      </c>
      <c r="O6401" s="11">
        <f>M6401-N6401</f>
        <v/>
      </c>
    </row>
    <row r="6402">
      <c r="A6402" s="9" t="n">
        <v>45558.66666666666</v>
      </c>
      <c r="B6402" t="n">
        <v>9</v>
      </c>
      <c r="C6402" t="n">
        <v>23</v>
      </c>
      <c r="D6402" t="n">
        <v>16</v>
      </c>
      <c r="E6402" s="10" t="n">
        <v>0.092279</v>
      </c>
      <c r="F6402" s="10" t="n">
        <v>0.1939244145418595</v>
      </c>
      <c r="G6402" s="11">
        <f>E6402*Summary!$B$6</f>
        <v/>
      </c>
      <c r="H6402" s="11">
        <f>F6402*Summary!$B$7</f>
        <v/>
      </c>
      <c r="I6402" s="11">
        <f>MAX(0,N6402-M6402)</f>
        <v/>
      </c>
      <c r="J6402" s="11">
        <f>MAX(0,M6402-N6402)</f>
        <v/>
      </c>
      <c r="K6402" s="11">
        <f>O6402</f>
        <v/>
      </c>
      <c r="L6402" s="11">
        <f>L6401+IF(K6402&gt;0,K6402*Summary!$B$9,K6402/Summary!$B$9)</f>
        <v/>
      </c>
      <c r="M6402" s="11">
        <f>G6402+H6402</f>
        <v/>
      </c>
      <c r="N6402" s="11">
        <f>Summary!$C$16*Summary!$B$8</f>
        <v/>
      </c>
      <c r="O6402" s="11">
        <f>M6402-N6402</f>
        <v/>
      </c>
    </row>
    <row r="6403">
      <c r="A6403" s="9" t="n">
        <v>45558.70833333334</v>
      </c>
      <c r="B6403" t="n">
        <v>9</v>
      </c>
      <c r="C6403" t="n">
        <v>23</v>
      </c>
      <c r="D6403" t="n">
        <v>17</v>
      </c>
      <c r="E6403" s="10" t="n">
        <v>0.019836</v>
      </c>
      <c r="F6403" s="10" t="n">
        <v>0.2035428968502952</v>
      </c>
      <c r="G6403" s="11">
        <f>E6403*Summary!$B$6</f>
        <v/>
      </c>
      <c r="H6403" s="11">
        <f>F6403*Summary!$B$7</f>
        <v/>
      </c>
      <c r="I6403" s="11">
        <f>MAX(0,N6403-M6403)</f>
        <v/>
      </c>
      <c r="J6403" s="11">
        <f>MAX(0,M6403-N6403)</f>
        <v/>
      </c>
      <c r="K6403" s="11">
        <f>O6403</f>
        <v/>
      </c>
      <c r="L6403" s="11">
        <f>L6402+IF(K6403&gt;0,K6403*Summary!$B$9,K6403/Summary!$B$9)</f>
        <v/>
      </c>
      <c r="M6403" s="11">
        <f>G6403+H6403</f>
        <v/>
      </c>
      <c r="N6403" s="11">
        <f>Summary!$C$16*Summary!$B$8</f>
        <v/>
      </c>
      <c r="O6403" s="11">
        <f>M6403-N6403</f>
        <v/>
      </c>
    </row>
    <row r="6404">
      <c r="A6404" s="9" t="n">
        <v>45558.75</v>
      </c>
      <c r="B6404" t="n">
        <v>9</v>
      </c>
      <c r="C6404" t="n">
        <v>23</v>
      </c>
      <c r="D6404" t="n">
        <v>18</v>
      </c>
      <c r="E6404" s="10" t="n">
        <v>0</v>
      </c>
      <c r="F6404" s="10" t="n">
        <v>0.225309654074317</v>
      </c>
      <c r="G6404" s="11">
        <f>E6404*Summary!$B$6</f>
        <v/>
      </c>
      <c r="H6404" s="11">
        <f>F6404*Summary!$B$7</f>
        <v/>
      </c>
      <c r="I6404" s="11">
        <f>MAX(0,N6404-M6404)</f>
        <v/>
      </c>
      <c r="J6404" s="11">
        <f>MAX(0,M6404-N6404)</f>
        <v/>
      </c>
      <c r="K6404" s="11">
        <f>O6404</f>
        <v/>
      </c>
      <c r="L6404" s="11">
        <f>L6403+IF(K6404&gt;0,K6404*Summary!$B$9,K6404/Summary!$B$9)</f>
        <v/>
      </c>
      <c r="M6404" s="11">
        <f>G6404+H6404</f>
        <v/>
      </c>
      <c r="N6404" s="11">
        <f>Summary!$C$16*Summary!$B$8</f>
        <v/>
      </c>
      <c r="O6404" s="11">
        <f>M6404-N6404</f>
        <v/>
      </c>
    </row>
    <row r="6405">
      <c r="A6405" s="9" t="n">
        <v>45558.79166666666</v>
      </c>
      <c r="B6405" t="n">
        <v>9</v>
      </c>
      <c r="C6405" t="n">
        <v>23</v>
      </c>
      <c r="D6405" t="n">
        <v>19</v>
      </c>
      <c r="E6405" s="10" t="n">
        <v>0</v>
      </c>
      <c r="F6405" s="10" t="n">
        <v>0.2517143644114475</v>
      </c>
      <c r="G6405" s="11">
        <f>E6405*Summary!$B$6</f>
        <v/>
      </c>
      <c r="H6405" s="11">
        <f>F6405*Summary!$B$7</f>
        <v/>
      </c>
      <c r="I6405" s="11">
        <f>MAX(0,N6405-M6405)</f>
        <v/>
      </c>
      <c r="J6405" s="11">
        <f>MAX(0,M6405-N6405)</f>
        <v/>
      </c>
      <c r="K6405" s="11">
        <f>O6405</f>
        <v/>
      </c>
      <c r="L6405" s="11">
        <f>L6404+IF(K6405&gt;0,K6405*Summary!$B$9,K6405/Summary!$B$9)</f>
        <v/>
      </c>
      <c r="M6405" s="11">
        <f>G6405+H6405</f>
        <v/>
      </c>
      <c r="N6405" s="11">
        <f>Summary!$C$16*Summary!$B$8</f>
        <v/>
      </c>
      <c r="O6405" s="11">
        <f>M6405-N6405</f>
        <v/>
      </c>
    </row>
    <row r="6406">
      <c r="A6406" s="9" t="n">
        <v>45558.83333333334</v>
      </c>
      <c r="B6406" t="n">
        <v>9</v>
      </c>
      <c r="C6406" t="n">
        <v>23</v>
      </c>
      <c r="D6406" t="n">
        <v>20</v>
      </c>
      <c r="E6406" s="10" t="n">
        <v>0</v>
      </c>
      <c r="F6406" s="10" t="n">
        <v>0.2747987219516932</v>
      </c>
      <c r="G6406" s="11">
        <f>E6406*Summary!$B$6</f>
        <v/>
      </c>
      <c r="H6406" s="11">
        <f>F6406*Summary!$B$7</f>
        <v/>
      </c>
      <c r="I6406" s="11">
        <f>MAX(0,N6406-M6406)</f>
        <v/>
      </c>
      <c r="J6406" s="11">
        <f>MAX(0,M6406-N6406)</f>
        <v/>
      </c>
      <c r="K6406" s="11">
        <f>O6406</f>
        <v/>
      </c>
      <c r="L6406" s="11">
        <f>L6405+IF(K6406&gt;0,K6406*Summary!$B$9,K6406/Summary!$B$9)</f>
        <v/>
      </c>
      <c r="M6406" s="11">
        <f>G6406+H6406</f>
        <v/>
      </c>
      <c r="N6406" s="11">
        <f>Summary!$C$16*Summary!$B$8</f>
        <v/>
      </c>
      <c r="O6406" s="11">
        <f>M6406-N6406</f>
        <v/>
      </c>
    </row>
    <row r="6407">
      <c r="A6407" s="9" t="n">
        <v>45558.875</v>
      </c>
      <c r="B6407" t="n">
        <v>9</v>
      </c>
      <c r="C6407" t="n">
        <v>23</v>
      </c>
      <c r="D6407" t="n">
        <v>21</v>
      </c>
      <c r="E6407" s="10" t="n">
        <v>0</v>
      </c>
      <c r="F6407" s="10" t="n">
        <v>0.2924282141827714</v>
      </c>
      <c r="G6407" s="11">
        <f>E6407*Summary!$B$6</f>
        <v/>
      </c>
      <c r="H6407" s="11">
        <f>F6407*Summary!$B$7</f>
        <v/>
      </c>
      <c r="I6407" s="11">
        <f>MAX(0,N6407-M6407)</f>
        <v/>
      </c>
      <c r="J6407" s="11">
        <f>MAX(0,M6407-N6407)</f>
        <v/>
      </c>
      <c r="K6407" s="11">
        <f>O6407</f>
        <v/>
      </c>
      <c r="L6407" s="11">
        <f>L6406+IF(K6407&gt;0,K6407*Summary!$B$9,K6407/Summary!$B$9)</f>
        <v/>
      </c>
      <c r="M6407" s="11">
        <f>G6407+H6407</f>
        <v/>
      </c>
      <c r="N6407" s="11">
        <f>Summary!$C$16*Summary!$B$8</f>
        <v/>
      </c>
      <c r="O6407" s="11">
        <f>M6407-N6407</f>
        <v/>
      </c>
    </row>
    <row r="6408">
      <c r="A6408" s="9" t="n">
        <v>45558.91666666666</v>
      </c>
      <c r="B6408" t="n">
        <v>9</v>
      </c>
      <c r="C6408" t="n">
        <v>23</v>
      </c>
      <c r="D6408" t="n">
        <v>22</v>
      </c>
      <c r="E6408" s="10" t="n">
        <v>0</v>
      </c>
      <c r="F6408" s="10" t="n">
        <v>0.2946154307077034</v>
      </c>
      <c r="G6408" s="11">
        <f>E6408*Summary!$B$6</f>
        <v/>
      </c>
      <c r="H6408" s="11">
        <f>F6408*Summary!$B$7</f>
        <v/>
      </c>
      <c r="I6408" s="11">
        <f>MAX(0,N6408-M6408)</f>
        <v/>
      </c>
      <c r="J6408" s="11">
        <f>MAX(0,M6408-N6408)</f>
        <v/>
      </c>
      <c r="K6408" s="11">
        <f>O6408</f>
        <v/>
      </c>
      <c r="L6408" s="11">
        <f>L6407+IF(K6408&gt;0,K6408*Summary!$B$9,K6408/Summary!$B$9)</f>
        <v/>
      </c>
      <c r="M6408" s="11">
        <f>G6408+H6408</f>
        <v/>
      </c>
      <c r="N6408" s="11">
        <f>Summary!$C$16*Summary!$B$8</f>
        <v/>
      </c>
      <c r="O6408" s="11">
        <f>M6408-N6408</f>
        <v/>
      </c>
    </row>
    <row r="6409">
      <c r="A6409" s="9" t="n">
        <v>45558.95833333334</v>
      </c>
      <c r="B6409" t="n">
        <v>9</v>
      </c>
      <c r="C6409" t="n">
        <v>23</v>
      </c>
      <c r="D6409" t="n">
        <v>23</v>
      </c>
      <c r="E6409" s="10" t="n">
        <v>0</v>
      </c>
      <c r="F6409" s="10" t="n">
        <v>0.2949843587962461</v>
      </c>
      <c r="G6409" s="11">
        <f>E6409*Summary!$B$6</f>
        <v/>
      </c>
      <c r="H6409" s="11">
        <f>F6409*Summary!$B$7</f>
        <v/>
      </c>
      <c r="I6409" s="11">
        <f>MAX(0,N6409-M6409)</f>
        <v/>
      </c>
      <c r="J6409" s="11">
        <f>MAX(0,M6409-N6409)</f>
        <v/>
      </c>
      <c r="K6409" s="11">
        <f>O6409</f>
        <v/>
      </c>
      <c r="L6409" s="11">
        <f>L6408+IF(K6409&gt;0,K6409*Summary!$B$9,K6409/Summary!$B$9)</f>
        <v/>
      </c>
      <c r="M6409" s="11">
        <f>G6409+H6409</f>
        <v/>
      </c>
      <c r="N6409" s="11">
        <f>Summary!$C$16*Summary!$B$8</f>
        <v/>
      </c>
      <c r="O6409" s="11">
        <f>M6409-N6409</f>
        <v/>
      </c>
    </row>
    <row r="6410">
      <c r="A6410" s="9" t="n">
        <v>45559</v>
      </c>
      <c r="B6410" t="n">
        <v>9</v>
      </c>
      <c r="C6410" t="n">
        <v>24</v>
      </c>
      <c r="D6410" t="n">
        <v>0</v>
      </c>
      <c r="E6410" s="10" t="n">
        <v>0</v>
      </c>
      <c r="F6410" s="10" t="n">
        <v>0.2863145487154917</v>
      </c>
      <c r="G6410" s="11">
        <f>E6410*Summary!$B$6</f>
        <v/>
      </c>
      <c r="H6410" s="11">
        <f>F6410*Summary!$B$7</f>
        <v/>
      </c>
      <c r="I6410" s="11">
        <f>MAX(0,N6410-M6410)</f>
        <v/>
      </c>
      <c r="J6410" s="11">
        <f>MAX(0,M6410-N6410)</f>
        <v/>
      </c>
      <c r="K6410" s="11">
        <f>O6410</f>
        <v/>
      </c>
      <c r="L6410" s="11">
        <f>L6409+IF(K6410&gt;0,K6410*Summary!$B$9,K6410/Summary!$B$9)</f>
        <v/>
      </c>
      <c r="M6410" s="11">
        <f>G6410+H6410</f>
        <v/>
      </c>
      <c r="N6410" s="11">
        <f>Summary!$C$16*Summary!$B$8</f>
        <v/>
      </c>
      <c r="O6410" s="11">
        <f>M6410-N6410</f>
        <v/>
      </c>
    </row>
    <row r="6411">
      <c r="A6411" s="9" t="n">
        <v>45559.04166666666</v>
      </c>
      <c r="B6411" t="n">
        <v>9</v>
      </c>
      <c r="C6411" t="n">
        <v>24</v>
      </c>
      <c r="D6411" t="n">
        <v>1</v>
      </c>
      <c r="E6411" s="10" t="n">
        <v>0</v>
      </c>
      <c r="F6411" s="10" t="n">
        <v>0.2920856381005532</v>
      </c>
      <c r="G6411" s="11">
        <f>E6411*Summary!$B$6</f>
        <v/>
      </c>
      <c r="H6411" s="11">
        <f>F6411*Summary!$B$7</f>
        <v/>
      </c>
      <c r="I6411" s="11">
        <f>MAX(0,N6411-M6411)</f>
        <v/>
      </c>
      <c r="J6411" s="11">
        <f>MAX(0,M6411-N6411)</f>
        <v/>
      </c>
      <c r="K6411" s="11">
        <f>O6411</f>
        <v/>
      </c>
      <c r="L6411" s="11">
        <f>L6410+IF(K6411&gt;0,K6411*Summary!$B$9,K6411/Summary!$B$9)</f>
        <v/>
      </c>
      <c r="M6411" s="11">
        <f>G6411+H6411</f>
        <v/>
      </c>
      <c r="N6411" s="11">
        <f>Summary!$C$16*Summary!$B$8</f>
        <v/>
      </c>
      <c r="O6411" s="11">
        <f>M6411-N6411</f>
        <v/>
      </c>
    </row>
    <row r="6412">
      <c r="A6412" s="9" t="n">
        <v>45559.08333333334</v>
      </c>
      <c r="B6412" t="n">
        <v>9</v>
      </c>
      <c r="C6412" t="n">
        <v>24</v>
      </c>
      <c r="D6412" t="n">
        <v>2</v>
      </c>
      <c r="E6412" s="10" t="n">
        <v>0</v>
      </c>
      <c r="F6412" s="10" t="n">
        <v>0.286551716772412</v>
      </c>
      <c r="G6412" s="11">
        <f>E6412*Summary!$B$6</f>
        <v/>
      </c>
      <c r="H6412" s="11">
        <f>F6412*Summary!$B$7</f>
        <v/>
      </c>
      <c r="I6412" s="11">
        <f>MAX(0,N6412-M6412)</f>
        <v/>
      </c>
      <c r="J6412" s="11">
        <f>MAX(0,M6412-N6412)</f>
        <v/>
      </c>
      <c r="K6412" s="11">
        <f>O6412</f>
        <v/>
      </c>
      <c r="L6412" s="11">
        <f>L6411+IF(K6412&gt;0,K6412*Summary!$B$9,K6412/Summary!$B$9)</f>
        <v/>
      </c>
      <c r="M6412" s="11">
        <f>G6412+H6412</f>
        <v/>
      </c>
      <c r="N6412" s="11">
        <f>Summary!$C$16*Summary!$B$8</f>
        <v/>
      </c>
      <c r="O6412" s="11">
        <f>M6412-N6412</f>
        <v/>
      </c>
    </row>
    <row r="6413">
      <c r="A6413" s="9" t="n">
        <v>45559.125</v>
      </c>
      <c r="B6413" t="n">
        <v>9</v>
      </c>
      <c r="C6413" t="n">
        <v>24</v>
      </c>
      <c r="D6413" t="n">
        <v>3</v>
      </c>
      <c r="E6413" s="10" t="n">
        <v>0</v>
      </c>
      <c r="F6413" s="10" t="n">
        <v>0.2827833798680112</v>
      </c>
      <c r="G6413" s="11">
        <f>E6413*Summary!$B$6</f>
        <v/>
      </c>
      <c r="H6413" s="11">
        <f>F6413*Summary!$B$7</f>
        <v/>
      </c>
      <c r="I6413" s="11">
        <f>MAX(0,N6413-M6413)</f>
        <v/>
      </c>
      <c r="J6413" s="11">
        <f>MAX(0,M6413-N6413)</f>
        <v/>
      </c>
      <c r="K6413" s="11">
        <f>O6413</f>
        <v/>
      </c>
      <c r="L6413" s="11">
        <f>L6412+IF(K6413&gt;0,K6413*Summary!$B$9,K6413/Summary!$B$9)</f>
        <v/>
      </c>
      <c r="M6413" s="11">
        <f>G6413+H6413</f>
        <v/>
      </c>
      <c r="N6413" s="11">
        <f>Summary!$C$16*Summary!$B$8</f>
        <v/>
      </c>
      <c r="O6413" s="11">
        <f>M6413-N6413</f>
        <v/>
      </c>
    </row>
    <row r="6414">
      <c r="A6414" s="9" t="n">
        <v>45559.16666666666</v>
      </c>
      <c r="B6414" t="n">
        <v>9</v>
      </c>
      <c r="C6414" t="n">
        <v>24</v>
      </c>
      <c r="D6414" t="n">
        <v>4</v>
      </c>
      <c r="E6414" s="10" t="n">
        <v>0</v>
      </c>
      <c r="F6414" s="10" t="n">
        <v>0.2792785630268551</v>
      </c>
      <c r="G6414" s="11">
        <f>E6414*Summary!$B$6</f>
        <v/>
      </c>
      <c r="H6414" s="11">
        <f>F6414*Summary!$B$7</f>
        <v/>
      </c>
      <c r="I6414" s="11">
        <f>MAX(0,N6414-M6414)</f>
        <v/>
      </c>
      <c r="J6414" s="11">
        <f>MAX(0,M6414-N6414)</f>
        <v/>
      </c>
      <c r="K6414" s="11">
        <f>O6414</f>
        <v/>
      </c>
      <c r="L6414" s="11">
        <f>L6413+IF(K6414&gt;0,K6414*Summary!$B$9,K6414/Summary!$B$9)</f>
        <v/>
      </c>
      <c r="M6414" s="11">
        <f>G6414+H6414</f>
        <v/>
      </c>
      <c r="N6414" s="11">
        <f>Summary!$C$16*Summary!$B$8</f>
        <v/>
      </c>
      <c r="O6414" s="11">
        <f>M6414-N6414</f>
        <v/>
      </c>
    </row>
    <row r="6415">
      <c r="A6415" s="9" t="n">
        <v>45559.20833333334</v>
      </c>
      <c r="B6415" t="n">
        <v>9</v>
      </c>
      <c r="C6415" t="n">
        <v>24</v>
      </c>
      <c r="D6415" t="n">
        <v>5</v>
      </c>
      <c r="E6415" s="10" t="n">
        <v>0</v>
      </c>
      <c r="F6415" s="10" t="n">
        <v>0.276696066407056</v>
      </c>
      <c r="G6415" s="11">
        <f>E6415*Summary!$B$6</f>
        <v/>
      </c>
      <c r="H6415" s="11">
        <f>F6415*Summary!$B$7</f>
        <v/>
      </c>
      <c r="I6415" s="11">
        <f>MAX(0,N6415-M6415)</f>
        <v/>
      </c>
      <c r="J6415" s="11">
        <f>MAX(0,M6415-N6415)</f>
        <v/>
      </c>
      <c r="K6415" s="11">
        <f>O6415</f>
        <v/>
      </c>
      <c r="L6415" s="11">
        <f>L6414+IF(K6415&gt;0,K6415*Summary!$B$9,K6415/Summary!$B$9)</f>
        <v/>
      </c>
      <c r="M6415" s="11">
        <f>G6415+H6415</f>
        <v/>
      </c>
      <c r="N6415" s="11">
        <f>Summary!$C$16*Summary!$B$8</f>
        <v/>
      </c>
      <c r="O6415" s="11">
        <f>M6415-N6415</f>
        <v/>
      </c>
    </row>
    <row r="6416">
      <c r="A6416" s="9" t="n">
        <v>45559.25</v>
      </c>
      <c r="B6416" t="n">
        <v>9</v>
      </c>
      <c r="C6416" t="n">
        <v>24</v>
      </c>
      <c r="D6416" t="n">
        <v>6</v>
      </c>
      <c r="E6416" s="10" t="n">
        <v>0.0183</v>
      </c>
      <c r="F6416" s="10" t="n">
        <v>0.2701080648259355</v>
      </c>
      <c r="G6416" s="11">
        <f>E6416*Summary!$B$6</f>
        <v/>
      </c>
      <c r="H6416" s="11">
        <f>F6416*Summary!$B$7</f>
        <v/>
      </c>
      <c r="I6416" s="11">
        <f>MAX(0,N6416-M6416)</f>
        <v/>
      </c>
      <c r="J6416" s="11">
        <f>MAX(0,M6416-N6416)</f>
        <v/>
      </c>
      <c r="K6416" s="11">
        <f>O6416</f>
        <v/>
      </c>
      <c r="L6416" s="11">
        <f>L6415+IF(K6416&gt;0,K6416*Summary!$B$9,K6416/Summary!$B$9)</f>
        <v/>
      </c>
      <c r="M6416" s="11">
        <f>G6416+H6416</f>
        <v/>
      </c>
      <c r="N6416" s="11">
        <f>Summary!$C$16*Summary!$B$8</f>
        <v/>
      </c>
      <c r="O6416" s="11">
        <f>M6416-N6416</f>
        <v/>
      </c>
    </row>
    <row r="6417">
      <c r="A6417" s="9" t="n">
        <v>45559.29166666666</v>
      </c>
      <c r="B6417" t="n">
        <v>9</v>
      </c>
      <c r="C6417" t="n">
        <v>24</v>
      </c>
      <c r="D6417" t="n">
        <v>7</v>
      </c>
      <c r="E6417" s="10" t="n">
        <v>0.130359</v>
      </c>
      <c r="F6417" s="10" t="n">
        <v>0.2518197724367454</v>
      </c>
      <c r="G6417" s="11">
        <f>E6417*Summary!$B$6</f>
        <v/>
      </c>
      <c r="H6417" s="11">
        <f>F6417*Summary!$B$7</f>
        <v/>
      </c>
      <c r="I6417" s="11">
        <f>MAX(0,N6417-M6417)</f>
        <v/>
      </c>
      <c r="J6417" s="11">
        <f>MAX(0,M6417-N6417)</f>
        <v/>
      </c>
      <c r="K6417" s="11">
        <f>O6417</f>
        <v/>
      </c>
      <c r="L6417" s="11">
        <f>L6416+IF(K6417&gt;0,K6417*Summary!$B$9,K6417/Summary!$B$9)</f>
        <v/>
      </c>
      <c r="M6417" s="11">
        <f>G6417+H6417</f>
        <v/>
      </c>
      <c r="N6417" s="11">
        <f>Summary!$C$16*Summary!$B$8</f>
        <v/>
      </c>
      <c r="O6417" s="11">
        <f>M6417-N6417</f>
        <v/>
      </c>
    </row>
    <row r="6418">
      <c r="A6418" s="9" t="n">
        <v>45559.33333333334</v>
      </c>
      <c r="B6418" t="n">
        <v>9</v>
      </c>
      <c r="C6418" t="n">
        <v>24</v>
      </c>
      <c r="D6418" t="n">
        <v>8</v>
      </c>
      <c r="E6418" s="10" t="n">
        <v>0.322424</v>
      </c>
      <c r="F6418" s="10" t="n">
        <v>0.2327145678514963</v>
      </c>
      <c r="G6418" s="11">
        <f>E6418*Summary!$B$6</f>
        <v/>
      </c>
      <c r="H6418" s="11">
        <f>F6418*Summary!$B$7</f>
        <v/>
      </c>
      <c r="I6418" s="11">
        <f>MAX(0,N6418-M6418)</f>
        <v/>
      </c>
      <c r="J6418" s="11">
        <f>MAX(0,M6418-N6418)</f>
        <v/>
      </c>
      <c r="K6418" s="11">
        <f>O6418</f>
        <v/>
      </c>
      <c r="L6418" s="11">
        <f>L6417+IF(K6418&gt;0,K6418*Summary!$B$9,K6418/Summary!$B$9)</f>
        <v/>
      </c>
      <c r="M6418" s="11">
        <f>G6418+H6418</f>
        <v/>
      </c>
      <c r="N6418" s="11">
        <f>Summary!$C$16*Summary!$B$8</f>
        <v/>
      </c>
      <c r="O6418" s="11">
        <f>M6418-N6418</f>
        <v/>
      </c>
    </row>
    <row r="6419">
      <c r="A6419" s="9" t="n">
        <v>45559.375</v>
      </c>
      <c r="B6419" t="n">
        <v>9</v>
      </c>
      <c r="C6419" t="n">
        <v>24</v>
      </c>
      <c r="D6419" t="n">
        <v>9</v>
      </c>
      <c r="E6419" s="10" t="n">
        <v>0.443317</v>
      </c>
      <c r="F6419" s="10" t="n">
        <v>0.2192750446260107</v>
      </c>
      <c r="G6419" s="11">
        <f>E6419*Summary!$B$6</f>
        <v/>
      </c>
      <c r="H6419" s="11">
        <f>F6419*Summary!$B$7</f>
        <v/>
      </c>
      <c r="I6419" s="11">
        <f>MAX(0,N6419-M6419)</f>
        <v/>
      </c>
      <c r="J6419" s="11">
        <f>MAX(0,M6419-N6419)</f>
        <v/>
      </c>
      <c r="K6419" s="11">
        <f>O6419</f>
        <v/>
      </c>
      <c r="L6419" s="11">
        <f>L6418+IF(K6419&gt;0,K6419*Summary!$B$9,K6419/Summary!$B$9)</f>
        <v/>
      </c>
      <c r="M6419" s="11">
        <f>G6419+H6419</f>
        <v/>
      </c>
      <c r="N6419" s="11">
        <f>Summary!$C$16*Summary!$B$8</f>
        <v/>
      </c>
      <c r="O6419" s="11">
        <f>M6419-N6419</f>
        <v/>
      </c>
    </row>
    <row r="6420">
      <c r="A6420" s="9" t="n">
        <v>45559.41666666666</v>
      </c>
      <c r="B6420" t="n">
        <v>9</v>
      </c>
      <c r="C6420" t="n">
        <v>24</v>
      </c>
      <c r="D6420" t="n">
        <v>10</v>
      </c>
      <c r="E6420" s="10" t="n">
        <v>0.346786</v>
      </c>
      <c r="F6420" s="10" t="n">
        <v>0.217483108195946</v>
      </c>
      <c r="G6420" s="11">
        <f>E6420*Summary!$B$6</f>
        <v/>
      </c>
      <c r="H6420" s="11">
        <f>F6420*Summary!$B$7</f>
        <v/>
      </c>
      <c r="I6420" s="11">
        <f>MAX(0,N6420-M6420)</f>
        <v/>
      </c>
      <c r="J6420" s="11">
        <f>MAX(0,M6420-N6420)</f>
        <v/>
      </c>
      <c r="K6420" s="11">
        <f>O6420</f>
        <v/>
      </c>
      <c r="L6420" s="11">
        <f>L6419+IF(K6420&gt;0,K6420*Summary!$B$9,K6420/Summary!$B$9)</f>
        <v/>
      </c>
      <c r="M6420" s="11">
        <f>G6420+H6420</f>
        <v/>
      </c>
      <c r="N6420" s="11">
        <f>Summary!$C$16*Summary!$B$8</f>
        <v/>
      </c>
      <c r="O6420" s="11">
        <f>M6420-N6420</f>
        <v/>
      </c>
    </row>
    <row r="6421">
      <c r="A6421" s="9" t="n">
        <v>45559.45833333334</v>
      </c>
      <c r="B6421" t="n">
        <v>9</v>
      </c>
      <c r="C6421" t="n">
        <v>24</v>
      </c>
      <c r="D6421" t="n">
        <v>11</v>
      </c>
      <c r="E6421" s="10" t="n">
        <v>0.419268</v>
      </c>
      <c r="F6421" s="10" t="n">
        <v>0.2212250930940223</v>
      </c>
      <c r="G6421" s="11">
        <f>E6421*Summary!$B$6</f>
        <v/>
      </c>
      <c r="H6421" s="11">
        <f>F6421*Summary!$B$7</f>
        <v/>
      </c>
      <c r="I6421" s="11">
        <f>MAX(0,N6421-M6421)</f>
        <v/>
      </c>
      <c r="J6421" s="11">
        <f>MAX(0,M6421-N6421)</f>
        <v/>
      </c>
      <c r="K6421" s="11">
        <f>O6421</f>
        <v/>
      </c>
      <c r="L6421" s="11">
        <f>L6420+IF(K6421&gt;0,K6421*Summary!$B$9,K6421/Summary!$B$9)</f>
        <v/>
      </c>
      <c r="M6421" s="11">
        <f>G6421+H6421</f>
        <v/>
      </c>
      <c r="N6421" s="11">
        <f>Summary!$C$16*Summary!$B$8</f>
        <v/>
      </c>
      <c r="O6421" s="11">
        <f>M6421-N6421</f>
        <v/>
      </c>
    </row>
    <row r="6422">
      <c r="A6422" s="9" t="n">
        <v>45559.5</v>
      </c>
      <c r="B6422" t="n">
        <v>9</v>
      </c>
      <c r="C6422" t="n">
        <v>24</v>
      </c>
      <c r="D6422" t="n">
        <v>12</v>
      </c>
      <c r="E6422" s="10" t="n">
        <v>0.369941</v>
      </c>
      <c r="F6422" s="10" t="n">
        <v>0.2317658956238149</v>
      </c>
      <c r="G6422" s="11">
        <f>E6422*Summary!$B$6</f>
        <v/>
      </c>
      <c r="H6422" s="11">
        <f>F6422*Summary!$B$7</f>
        <v/>
      </c>
      <c r="I6422" s="11">
        <f>MAX(0,N6422-M6422)</f>
        <v/>
      </c>
      <c r="J6422" s="11">
        <f>MAX(0,M6422-N6422)</f>
        <v/>
      </c>
      <c r="K6422" s="11">
        <f>O6422</f>
        <v/>
      </c>
      <c r="L6422" s="11">
        <f>L6421+IF(K6422&gt;0,K6422*Summary!$B$9,K6422/Summary!$B$9)</f>
        <v/>
      </c>
      <c r="M6422" s="11">
        <f>G6422+H6422</f>
        <v/>
      </c>
      <c r="N6422" s="11">
        <f>Summary!$C$16*Summary!$B$8</f>
        <v/>
      </c>
      <c r="O6422" s="11">
        <f>M6422-N6422</f>
        <v/>
      </c>
    </row>
    <row r="6423">
      <c r="A6423" s="9" t="n">
        <v>45559.54166666666</v>
      </c>
      <c r="B6423" t="n">
        <v>9</v>
      </c>
      <c r="C6423" t="n">
        <v>24</v>
      </c>
      <c r="D6423" t="n">
        <v>13</v>
      </c>
      <c r="E6423" s="10" t="n">
        <v>0.32392</v>
      </c>
      <c r="F6423" s="10" t="n">
        <v>0.2342429842183162</v>
      </c>
      <c r="G6423" s="11">
        <f>E6423*Summary!$B$6</f>
        <v/>
      </c>
      <c r="H6423" s="11">
        <f>F6423*Summary!$B$7</f>
        <v/>
      </c>
      <c r="I6423" s="11">
        <f>MAX(0,N6423-M6423)</f>
        <v/>
      </c>
      <c r="J6423" s="11">
        <f>MAX(0,M6423-N6423)</f>
        <v/>
      </c>
      <c r="K6423" s="11">
        <f>O6423</f>
        <v/>
      </c>
      <c r="L6423" s="11">
        <f>L6422+IF(K6423&gt;0,K6423*Summary!$B$9,K6423/Summary!$B$9)</f>
        <v/>
      </c>
      <c r="M6423" s="11">
        <f>G6423+H6423</f>
        <v/>
      </c>
      <c r="N6423" s="11">
        <f>Summary!$C$16*Summary!$B$8</f>
        <v/>
      </c>
      <c r="O6423" s="11">
        <f>M6423-N6423</f>
        <v/>
      </c>
    </row>
    <row r="6424">
      <c r="A6424" s="9" t="n">
        <v>45559.58333333334</v>
      </c>
      <c r="B6424" t="n">
        <v>9</v>
      </c>
      <c r="C6424" t="n">
        <v>24</v>
      </c>
      <c r="D6424" t="n">
        <v>14</v>
      </c>
      <c r="E6424" s="10" t="n">
        <v>0.216496</v>
      </c>
      <c r="F6424" s="10" t="n">
        <v>0.2367200728128175</v>
      </c>
      <c r="G6424" s="11">
        <f>E6424*Summary!$B$6</f>
        <v/>
      </c>
      <c r="H6424" s="11">
        <f>F6424*Summary!$B$7</f>
        <v/>
      </c>
      <c r="I6424" s="11">
        <f>MAX(0,N6424-M6424)</f>
        <v/>
      </c>
      <c r="J6424" s="11">
        <f>MAX(0,M6424-N6424)</f>
        <v/>
      </c>
      <c r="K6424" s="11">
        <f>O6424</f>
        <v/>
      </c>
      <c r="L6424" s="11">
        <f>L6423+IF(K6424&gt;0,K6424*Summary!$B$9,K6424/Summary!$B$9)</f>
        <v/>
      </c>
      <c r="M6424" s="11">
        <f>G6424+H6424</f>
        <v/>
      </c>
      <c r="N6424" s="11">
        <f>Summary!$C$16*Summary!$B$8</f>
        <v/>
      </c>
      <c r="O6424" s="11">
        <f>M6424-N6424</f>
        <v/>
      </c>
    </row>
    <row r="6425">
      <c r="A6425" s="9" t="n">
        <v>45559.625</v>
      </c>
      <c r="B6425" t="n">
        <v>9</v>
      </c>
      <c r="C6425" t="n">
        <v>24</v>
      </c>
      <c r="D6425" t="n">
        <v>15</v>
      </c>
      <c r="E6425" s="10" t="n">
        <v>0.175533</v>
      </c>
      <c r="F6425" s="10" t="n">
        <v>0.2315550795732191</v>
      </c>
      <c r="G6425" s="11">
        <f>E6425*Summary!$B$6</f>
        <v/>
      </c>
      <c r="H6425" s="11">
        <f>F6425*Summary!$B$7</f>
        <v/>
      </c>
      <c r="I6425" s="11">
        <f>MAX(0,N6425-M6425)</f>
        <v/>
      </c>
      <c r="J6425" s="11">
        <f>MAX(0,M6425-N6425)</f>
        <v/>
      </c>
      <c r="K6425" s="11">
        <f>O6425</f>
        <v/>
      </c>
      <c r="L6425" s="11">
        <f>L6424+IF(K6425&gt;0,K6425*Summary!$B$9,K6425/Summary!$B$9)</f>
        <v/>
      </c>
      <c r="M6425" s="11">
        <f>G6425+H6425</f>
        <v/>
      </c>
      <c r="N6425" s="11">
        <f>Summary!$C$16*Summary!$B$8</f>
        <v/>
      </c>
      <c r="O6425" s="11">
        <f>M6425-N6425</f>
        <v/>
      </c>
    </row>
    <row r="6426">
      <c r="A6426" s="9" t="n">
        <v>45559.66666666666</v>
      </c>
      <c r="B6426" t="n">
        <v>9</v>
      </c>
      <c r="C6426" t="n">
        <v>24</v>
      </c>
      <c r="D6426" t="n">
        <v>16</v>
      </c>
      <c r="E6426" s="10" t="n">
        <v>0.101654</v>
      </c>
      <c r="F6426" s="10" t="n">
        <v>0.2319503596680863</v>
      </c>
      <c r="G6426" s="11">
        <f>E6426*Summary!$B$6</f>
        <v/>
      </c>
      <c r="H6426" s="11">
        <f>F6426*Summary!$B$7</f>
        <v/>
      </c>
      <c r="I6426" s="11">
        <f>MAX(0,N6426-M6426)</f>
        <v/>
      </c>
      <c r="J6426" s="11">
        <f>MAX(0,M6426-N6426)</f>
        <v/>
      </c>
      <c r="K6426" s="11">
        <f>O6426</f>
        <v/>
      </c>
      <c r="L6426" s="11">
        <f>L6425+IF(K6426&gt;0,K6426*Summary!$B$9,K6426/Summary!$B$9)</f>
        <v/>
      </c>
      <c r="M6426" s="11">
        <f>G6426+H6426</f>
        <v/>
      </c>
      <c r="N6426" s="11">
        <f>Summary!$C$16*Summary!$B$8</f>
        <v/>
      </c>
      <c r="O6426" s="11">
        <f>M6426-N6426</f>
        <v/>
      </c>
    </row>
    <row r="6427">
      <c r="A6427" s="9" t="n">
        <v>45559.70833333334</v>
      </c>
      <c r="B6427" t="n">
        <v>9</v>
      </c>
      <c r="C6427" t="n">
        <v>24</v>
      </c>
      <c r="D6427" t="n">
        <v>17</v>
      </c>
      <c r="E6427" s="10" t="n">
        <v>0.014643</v>
      </c>
      <c r="F6427" s="10" t="n">
        <v>0.2370099448823867</v>
      </c>
      <c r="G6427" s="11">
        <f>E6427*Summary!$B$6</f>
        <v/>
      </c>
      <c r="H6427" s="11">
        <f>F6427*Summary!$B$7</f>
        <v/>
      </c>
      <c r="I6427" s="11">
        <f>MAX(0,N6427-M6427)</f>
        <v/>
      </c>
      <c r="J6427" s="11">
        <f>MAX(0,M6427-N6427)</f>
        <v/>
      </c>
      <c r="K6427" s="11">
        <f>O6427</f>
        <v/>
      </c>
      <c r="L6427" s="11">
        <f>L6426+IF(K6427&gt;0,K6427*Summary!$B$9,K6427/Summary!$B$9)</f>
        <v/>
      </c>
      <c r="M6427" s="11">
        <f>G6427+H6427</f>
        <v/>
      </c>
      <c r="N6427" s="11">
        <f>Summary!$C$16*Summary!$B$8</f>
        <v/>
      </c>
      <c r="O6427" s="11">
        <f>M6427-N6427</f>
        <v/>
      </c>
    </row>
    <row r="6428">
      <c r="A6428" s="9" t="n">
        <v>45559.75</v>
      </c>
      <c r="B6428" t="n">
        <v>9</v>
      </c>
      <c r="C6428" t="n">
        <v>24</v>
      </c>
      <c r="D6428" t="n">
        <v>18</v>
      </c>
      <c r="E6428" s="10" t="n">
        <v>0</v>
      </c>
      <c r="F6428" s="10" t="n">
        <v>0.2622551669412401</v>
      </c>
      <c r="G6428" s="11">
        <f>E6428*Summary!$B$6</f>
        <v/>
      </c>
      <c r="H6428" s="11">
        <f>F6428*Summary!$B$7</f>
        <v/>
      </c>
      <c r="I6428" s="11">
        <f>MAX(0,N6428-M6428)</f>
        <v/>
      </c>
      <c r="J6428" s="11">
        <f>MAX(0,M6428-N6428)</f>
        <v/>
      </c>
      <c r="K6428" s="11">
        <f>O6428</f>
        <v/>
      </c>
      <c r="L6428" s="11">
        <f>L6427+IF(K6428&gt;0,K6428*Summary!$B$9,K6428/Summary!$B$9)</f>
        <v/>
      </c>
      <c r="M6428" s="11">
        <f>G6428+H6428</f>
        <v/>
      </c>
      <c r="N6428" s="11">
        <f>Summary!$C$16*Summary!$B$8</f>
        <v/>
      </c>
      <c r="O6428" s="11">
        <f>M6428-N6428</f>
        <v/>
      </c>
    </row>
    <row r="6429">
      <c r="A6429" s="9" t="n">
        <v>45559.79166666666</v>
      </c>
      <c r="B6429" t="n">
        <v>9</v>
      </c>
      <c r="C6429" t="n">
        <v>24</v>
      </c>
      <c r="D6429" t="n">
        <v>19</v>
      </c>
      <c r="E6429" s="10" t="n">
        <v>0</v>
      </c>
      <c r="F6429" s="10" t="n">
        <v>0.2814921315581115</v>
      </c>
      <c r="G6429" s="11">
        <f>E6429*Summary!$B$6</f>
        <v/>
      </c>
      <c r="H6429" s="11">
        <f>F6429*Summary!$B$7</f>
        <v/>
      </c>
      <c r="I6429" s="11">
        <f>MAX(0,N6429-M6429)</f>
        <v/>
      </c>
      <c r="J6429" s="11">
        <f>MAX(0,M6429-N6429)</f>
        <v/>
      </c>
      <c r="K6429" s="11">
        <f>O6429</f>
        <v/>
      </c>
      <c r="L6429" s="11">
        <f>L6428+IF(K6429&gt;0,K6429*Summary!$B$9,K6429/Summary!$B$9)</f>
        <v/>
      </c>
      <c r="M6429" s="11">
        <f>G6429+H6429</f>
        <v/>
      </c>
      <c r="N6429" s="11">
        <f>Summary!$C$16*Summary!$B$8</f>
        <v/>
      </c>
      <c r="O6429" s="11">
        <f>M6429-N6429</f>
        <v/>
      </c>
    </row>
    <row r="6430">
      <c r="A6430" s="9" t="n">
        <v>45559.83333333334</v>
      </c>
      <c r="B6430" t="n">
        <v>9</v>
      </c>
      <c r="C6430" t="n">
        <v>24</v>
      </c>
      <c r="D6430" t="n">
        <v>20</v>
      </c>
      <c r="E6430" s="10" t="n">
        <v>0</v>
      </c>
      <c r="F6430" s="10" t="n">
        <v>0.2997013679283283</v>
      </c>
      <c r="G6430" s="11">
        <f>E6430*Summary!$B$6</f>
        <v/>
      </c>
      <c r="H6430" s="11">
        <f>F6430*Summary!$B$7</f>
        <v/>
      </c>
      <c r="I6430" s="11">
        <f>MAX(0,N6430-M6430)</f>
        <v/>
      </c>
      <c r="J6430" s="11">
        <f>MAX(0,M6430-N6430)</f>
        <v/>
      </c>
      <c r="K6430" s="11">
        <f>O6430</f>
        <v/>
      </c>
      <c r="L6430" s="11">
        <f>L6429+IF(K6430&gt;0,K6430*Summary!$B$9,K6430/Summary!$B$9)</f>
        <v/>
      </c>
      <c r="M6430" s="11">
        <f>G6430+H6430</f>
        <v/>
      </c>
      <c r="N6430" s="11">
        <f>Summary!$C$16*Summary!$B$8</f>
        <v/>
      </c>
      <c r="O6430" s="11">
        <f>M6430-N6430</f>
        <v/>
      </c>
    </row>
    <row r="6431">
      <c r="A6431" s="9" t="n">
        <v>45559.875</v>
      </c>
      <c r="B6431" t="n">
        <v>9</v>
      </c>
      <c r="C6431" t="n">
        <v>24</v>
      </c>
      <c r="D6431" t="n">
        <v>21</v>
      </c>
      <c r="E6431" s="10" t="n">
        <v>0</v>
      </c>
      <c r="F6431" s="10" t="n">
        <v>0.3059467934272304</v>
      </c>
      <c r="G6431" s="11">
        <f>E6431*Summary!$B$6</f>
        <v/>
      </c>
      <c r="H6431" s="11">
        <f>F6431*Summary!$B$7</f>
        <v/>
      </c>
      <c r="I6431" s="11">
        <f>MAX(0,N6431-M6431)</f>
        <v/>
      </c>
      <c r="J6431" s="11">
        <f>MAX(0,M6431-N6431)</f>
        <v/>
      </c>
      <c r="K6431" s="11">
        <f>O6431</f>
        <v/>
      </c>
      <c r="L6431" s="11">
        <f>L6430+IF(K6431&gt;0,K6431*Summary!$B$9,K6431/Summary!$B$9)</f>
        <v/>
      </c>
      <c r="M6431" s="11">
        <f>G6431+H6431</f>
        <v/>
      </c>
      <c r="N6431" s="11">
        <f>Summary!$C$16*Summary!$B$8</f>
        <v/>
      </c>
      <c r="O6431" s="11">
        <f>M6431-N6431</f>
        <v/>
      </c>
    </row>
    <row r="6432">
      <c r="A6432" s="9" t="n">
        <v>45559.91666666666</v>
      </c>
      <c r="B6432" t="n">
        <v>9</v>
      </c>
      <c r="C6432" t="n">
        <v>24</v>
      </c>
      <c r="D6432" t="n">
        <v>22</v>
      </c>
      <c r="E6432" s="10" t="n">
        <v>0</v>
      </c>
      <c r="F6432" s="10" t="n">
        <v>0.3010716722572013</v>
      </c>
      <c r="G6432" s="11">
        <f>E6432*Summary!$B$6</f>
        <v/>
      </c>
      <c r="H6432" s="11">
        <f>F6432*Summary!$B$7</f>
        <v/>
      </c>
      <c r="I6432" s="11">
        <f>MAX(0,N6432-M6432)</f>
        <v/>
      </c>
      <c r="J6432" s="11">
        <f>MAX(0,M6432-N6432)</f>
        <v/>
      </c>
      <c r="K6432" s="11">
        <f>O6432</f>
        <v/>
      </c>
      <c r="L6432" s="11">
        <f>L6431+IF(K6432&gt;0,K6432*Summary!$B$9,K6432/Summary!$B$9)</f>
        <v/>
      </c>
      <c r="M6432" s="11">
        <f>G6432+H6432</f>
        <v/>
      </c>
      <c r="N6432" s="11">
        <f>Summary!$C$16*Summary!$B$8</f>
        <v/>
      </c>
      <c r="O6432" s="11">
        <f>M6432-N6432</f>
        <v/>
      </c>
    </row>
    <row r="6433">
      <c r="A6433" s="9" t="n">
        <v>45559.95833333334</v>
      </c>
      <c r="B6433" t="n">
        <v>9</v>
      </c>
      <c r="C6433" t="n">
        <v>24</v>
      </c>
      <c r="D6433" t="n">
        <v>23</v>
      </c>
      <c r="E6433" s="10" t="n">
        <v>0</v>
      </c>
      <c r="F6433" s="10" t="n">
        <v>0.2954586949100868</v>
      </c>
      <c r="G6433" s="11">
        <f>E6433*Summary!$B$6</f>
        <v/>
      </c>
      <c r="H6433" s="11">
        <f>F6433*Summary!$B$7</f>
        <v/>
      </c>
      <c r="I6433" s="11">
        <f>MAX(0,N6433-M6433)</f>
        <v/>
      </c>
      <c r="J6433" s="11">
        <f>MAX(0,M6433-N6433)</f>
        <v/>
      </c>
      <c r="K6433" s="11">
        <f>O6433</f>
        <v/>
      </c>
      <c r="L6433" s="11">
        <f>L6432+IF(K6433&gt;0,K6433*Summary!$B$9,K6433/Summary!$B$9)</f>
        <v/>
      </c>
      <c r="M6433" s="11">
        <f>G6433+H6433</f>
        <v/>
      </c>
      <c r="N6433" s="11">
        <f>Summary!$C$16*Summary!$B$8</f>
        <v/>
      </c>
      <c r="O6433" s="11">
        <f>M6433-N6433</f>
        <v/>
      </c>
    </row>
    <row r="6434">
      <c r="A6434" s="9" t="n">
        <v>45560</v>
      </c>
      <c r="B6434" t="n">
        <v>9</v>
      </c>
      <c r="C6434" t="n">
        <v>25</v>
      </c>
      <c r="D6434" t="n">
        <v>0</v>
      </c>
      <c r="E6434" s="10" t="n">
        <v>0</v>
      </c>
      <c r="F6434" s="10" t="n">
        <v>0.3498492359638166</v>
      </c>
      <c r="G6434" s="11">
        <f>E6434*Summary!$B$6</f>
        <v/>
      </c>
      <c r="H6434" s="11">
        <f>F6434*Summary!$B$7</f>
        <v/>
      </c>
      <c r="I6434" s="11">
        <f>MAX(0,N6434-M6434)</f>
        <v/>
      </c>
      <c r="J6434" s="11">
        <f>MAX(0,M6434-N6434)</f>
        <v/>
      </c>
      <c r="K6434" s="11">
        <f>O6434</f>
        <v/>
      </c>
      <c r="L6434" s="11">
        <f>L6433+IF(K6434&gt;0,K6434*Summary!$B$9,K6434/Summary!$B$9)</f>
        <v/>
      </c>
      <c r="M6434" s="11">
        <f>G6434+H6434</f>
        <v/>
      </c>
      <c r="N6434" s="11">
        <f>Summary!$C$16*Summary!$B$8</f>
        <v/>
      </c>
      <c r="O6434" s="11">
        <f>M6434-N6434</f>
        <v/>
      </c>
    </row>
    <row r="6435">
      <c r="A6435" s="9" t="n">
        <v>45560.04166666666</v>
      </c>
      <c r="B6435" t="n">
        <v>9</v>
      </c>
      <c r="C6435" t="n">
        <v>25</v>
      </c>
      <c r="D6435" t="n">
        <v>1</v>
      </c>
      <c r="E6435" s="10" t="n">
        <v>0</v>
      </c>
      <c r="F6435" s="10" t="n">
        <v>0.2833631240071497</v>
      </c>
      <c r="G6435" s="11">
        <f>E6435*Summary!$B$6</f>
        <v/>
      </c>
      <c r="H6435" s="11">
        <f>F6435*Summary!$B$7</f>
        <v/>
      </c>
      <c r="I6435" s="11">
        <f>MAX(0,N6435-M6435)</f>
        <v/>
      </c>
      <c r="J6435" s="11">
        <f>MAX(0,M6435-N6435)</f>
        <v/>
      </c>
      <c r="K6435" s="11">
        <f>O6435</f>
        <v/>
      </c>
      <c r="L6435" s="11">
        <f>L6434+IF(K6435&gt;0,K6435*Summary!$B$9,K6435/Summary!$B$9)</f>
        <v/>
      </c>
      <c r="M6435" s="11">
        <f>G6435+H6435</f>
        <v/>
      </c>
      <c r="N6435" s="11">
        <f>Summary!$C$16*Summary!$B$8</f>
        <v/>
      </c>
      <c r="O6435" s="11">
        <f>M6435-N6435</f>
        <v/>
      </c>
    </row>
    <row r="6436">
      <c r="A6436" s="9" t="n">
        <v>45560.08333333334</v>
      </c>
      <c r="B6436" t="n">
        <v>9</v>
      </c>
      <c r="C6436" t="n">
        <v>25</v>
      </c>
      <c r="D6436" t="n">
        <v>2</v>
      </c>
      <c r="E6436" s="10" t="n">
        <v>0</v>
      </c>
      <c r="F6436" s="10" t="n">
        <v>0.2845753162980759</v>
      </c>
      <c r="G6436" s="11">
        <f>E6436*Summary!$B$6</f>
        <v/>
      </c>
      <c r="H6436" s="11">
        <f>F6436*Summary!$B$7</f>
        <v/>
      </c>
      <c r="I6436" s="11">
        <f>MAX(0,N6436-M6436)</f>
        <v/>
      </c>
      <c r="J6436" s="11">
        <f>MAX(0,M6436-N6436)</f>
        <v/>
      </c>
      <c r="K6436" s="11">
        <f>O6436</f>
        <v/>
      </c>
      <c r="L6436" s="11">
        <f>L6435+IF(K6436&gt;0,K6436*Summary!$B$9,K6436/Summary!$B$9)</f>
        <v/>
      </c>
      <c r="M6436" s="11">
        <f>G6436+H6436</f>
        <v/>
      </c>
      <c r="N6436" s="11">
        <f>Summary!$C$16*Summary!$B$8</f>
        <v/>
      </c>
      <c r="O6436" s="11">
        <f>M6436-N6436</f>
        <v/>
      </c>
    </row>
    <row r="6437">
      <c r="A6437" s="9" t="n">
        <v>45560.125</v>
      </c>
      <c r="B6437" t="n">
        <v>9</v>
      </c>
      <c r="C6437" t="n">
        <v>25</v>
      </c>
      <c r="D6437" t="n">
        <v>3</v>
      </c>
      <c r="E6437" s="10" t="n">
        <v>0</v>
      </c>
      <c r="F6437" s="10" t="n">
        <v>0.2871051089052262</v>
      </c>
      <c r="G6437" s="11">
        <f>E6437*Summary!$B$6</f>
        <v/>
      </c>
      <c r="H6437" s="11">
        <f>F6437*Summary!$B$7</f>
        <v/>
      </c>
      <c r="I6437" s="11">
        <f>MAX(0,N6437-M6437)</f>
        <v/>
      </c>
      <c r="J6437" s="11">
        <f>MAX(0,M6437-N6437)</f>
        <v/>
      </c>
      <c r="K6437" s="11">
        <f>O6437</f>
        <v/>
      </c>
      <c r="L6437" s="11">
        <f>L6436+IF(K6437&gt;0,K6437*Summary!$B$9,K6437/Summary!$B$9)</f>
        <v/>
      </c>
      <c r="M6437" s="11">
        <f>G6437+H6437</f>
        <v/>
      </c>
      <c r="N6437" s="11">
        <f>Summary!$C$16*Summary!$B$8</f>
        <v/>
      </c>
      <c r="O6437" s="11">
        <f>M6437-N6437</f>
        <v/>
      </c>
    </row>
    <row r="6438">
      <c r="A6438" s="9" t="n">
        <v>45560.16666666666</v>
      </c>
      <c r="B6438" t="n">
        <v>9</v>
      </c>
      <c r="C6438" t="n">
        <v>25</v>
      </c>
      <c r="D6438" t="n">
        <v>4</v>
      </c>
      <c r="E6438" s="10" t="n">
        <v>0</v>
      </c>
      <c r="F6438" s="10" t="n">
        <v>0.2920592860942287</v>
      </c>
      <c r="G6438" s="11">
        <f>E6438*Summary!$B$6</f>
        <v/>
      </c>
      <c r="H6438" s="11">
        <f>F6438*Summary!$B$7</f>
        <v/>
      </c>
      <c r="I6438" s="11">
        <f>MAX(0,N6438-M6438)</f>
        <v/>
      </c>
      <c r="J6438" s="11">
        <f>MAX(0,M6438-N6438)</f>
        <v/>
      </c>
      <c r="K6438" s="11">
        <f>O6438</f>
        <v/>
      </c>
      <c r="L6438" s="11">
        <f>L6437+IF(K6438&gt;0,K6438*Summary!$B$9,K6438/Summary!$B$9)</f>
        <v/>
      </c>
      <c r="M6438" s="11">
        <f>G6438+H6438</f>
        <v/>
      </c>
      <c r="N6438" s="11">
        <f>Summary!$C$16*Summary!$B$8</f>
        <v/>
      </c>
      <c r="O6438" s="11">
        <f>M6438-N6438</f>
        <v/>
      </c>
    </row>
    <row r="6439">
      <c r="A6439" s="9" t="n">
        <v>45560.20833333334</v>
      </c>
      <c r="B6439" t="n">
        <v>9</v>
      </c>
      <c r="C6439" t="n">
        <v>25</v>
      </c>
      <c r="D6439" t="n">
        <v>5</v>
      </c>
      <c r="E6439" s="10" t="n">
        <v>0</v>
      </c>
      <c r="F6439" s="10" t="n">
        <v>0.3012824883077972</v>
      </c>
      <c r="G6439" s="11">
        <f>E6439*Summary!$B$6</f>
        <v/>
      </c>
      <c r="H6439" s="11">
        <f>F6439*Summary!$B$7</f>
        <v/>
      </c>
      <c r="I6439" s="11">
        <f>MAX(0,N6439-M6439)</f>
        <v/>
      </c>
      <c r="J6439" s="11">
        <f>MAX(0,M6439-N6439)</f>
        <v/>
      </c>
      <c r="K6439" s="11">
        <f>O6439</f>
        <v/>
      </c>
      <c r="L6439" s="11">
        <f>L6438+IF(K6439&gt;0,K6439*Summary!$B$9,K6439/Summary!$B$9)</f>
        <v/>
      </c>
      <c r="M6439" s="11">
        <f>G6439+H6439</f>
        <v/>
      </c>
      <c r="N6439" s="11">
        <f>Summary!$C$16*Summary!$B$8</f>
        <v/>
      </c>
      <c r="O6439" s="11">
        <f>M6439-N6439</f>
        <v/>
      </c>
    </row>
    <row r="6440">
      <c r="A6440" s="9" t="n">
        <v>45560.25</v>
      </c>
      <c r="B6440" t="n">
        <v>9</v>
      </c>
      <c r="C6440" t="n">
        <v>25</v>
      </c>
      <c r="D6440" t="n">
        <v>6</v>
      </c>
      <c r="E6440" s="10" t="n">
        <v>0.013065</v>
      </c>
      <c r="F6440" s="10" t="n">
        <v>0.3086346980723275</v>
      </c>
      <c r="G6440" s="11">
        <f>E6440*Summary!$B$6</f>
        <v/>
      </c>
      <c r="H6440" s="11">
        <f>F6440*Summary!$B$7</f>
        <v/>
      </c>
      <c r="I6440" s="11">
        <f>MAX(0,N6440-M6440)</f>
        <v/>
      </c>
      <c r="J6440" s="11">
        <f>MAX(0,M6440-N6440)</f>
        <v/>
      </c>
      <c r="K6440" s="11">
        <f>O6440</f>
        <v/>
      </c>
      <c r="L6440" s="11">
        <f>L6439+IF(K6440&gt;0,K6440*Summary!$B$9,K6440/Summary!$B$9)</f>
        <v/>
      </c>
      <c r="M6440" s="11">
        <f>G6440+H6440</f>
        <v/>
      </c>
      <c r="N6440" s="11">
        <f>Summary!$C$16*Summary!$B$8</f>
        <v/>
      </c>
      <c r="O6440" s="11">
        <f>M6440-N6440</f>
        <v/>
      </c>
    </row>
    <row r="6441">
      <c r="A6441" s="9" t="n">
        <v>45560.29166666666</v>
      </c>
      <c r="B6441" t="n">
        <v>9</v>
      </c>
      <c r="C6441" t="n">
        <v>25</v>
      </c>
      <c r="D6441" t="n">
        <v>7</v>
      </c>
      <c r="E6441" s="10" t="n">
        <v>0.100825</v>
      </c>
      <c r="F6441" s="10" t="n">
        <v>0.3018885844532603</v>
      </c>
      <c r="G6441" s="11">
        <f>E6441*Summary!$B$6</f>
        <v/>
      </c>
      <c r="H6441" s="11">
        <f>F6441*Summary!$B$7</f>
        <v/>
      </c>
      <c r="I6441" s="11">
        <f>MAX(0,N6441-M6441)</f>
        <v/>
      </c>
      <c r="J6441" s="11">
        <f>MAX(0,M6441-N6441)</f>
        <v/>
      </c>
      <c r="K6441" s="11">
        <f>O6441</f>
        <v/>
      </c>
      <c r="L6441" s="11">
        <f>L6440+IF(K6441&gt;0,K6441*Summary!$B$9,K6441/Summary!$B$9)</f>
        <v/>
      </c>
      <c r="M6441" s="11">
        <f>G6441+H6441</f>
        <v/>
      </c>
      <c r="N6441" s="11">
        <f>Summary!$C$16*Summary!$B$8</f>
        <v/>
      </c>
      <c r="O6441" s="11">
        <f>M6441-N6441</f>
        <v/>
      </c>
    </row>
    <row r="6442">
      <c r="A6442" s="9" t="n">
        <v>45560.33333333334</v>
      </c>
      <c r="B6442" t="n">
        <v>9</v>
      </c>
      <c r="C6442" t="n">
        <v>25</v>
      </c>
      <c r="D6442" t="n">
        <v>8</v>
      </c>
      <c r="E6442" s="10" t="n">
        <v>0.34863</v>
      </c>
      <c r="F6442" s="10" t="n">
        <v>0.2946154307077034</v>
      </c>
      <c r="G6442" s="11">
        <f>E6442*Summary!$B$6</f>
        <v/>
      </c>
      <c r="H6442" s="11">
        <f>F6442*Summary!$B$7</f>
        <v/>
      </c>
      <c r="I6442" s="11">
        <f>MAX(0,N6442-M6442)</f>
        <v/>
      </c>
      <c r="J6442" s="11">
        <f>MAX(0,M6442-N6442)</f>
        <v/>
      </c>
      <c r="K6442" s="11">
        <f>O6442</f>
        <v/>
      </c>
      <c r="L6442" s="11">
        <f>L6441+IF(K6442&gt;0,K6442*Summary!$B$9,K6442/Summary!$B$9)</f>
        <v/>
      </c>
      <c r="M6442" s="11">
        <f>G6442+H6442</f>
        <v/>
      </c>
      <c r="N6442" s="11">
        <f>Summary!$C$16*Summary!$B$8</f>
        <v/>
      </c>
      <c r="O6442" s="11">
        <f>M6442-N6442</f>
        <v/>
      </c>
    </row>
    <row r="6443">
      <c r="A6443" s="9" t="n">
        <v>45560.375</v>
      </c>
      <c r="B6443" t="n">
        <v>9</v>
      </c>
      <c r="C6443" t="n">
        <v>25</v>
      </c>
      <c r="D6443" t="n">
        <v>9</v>
      </c>
      <c r="E6443" s="10" t="n">
        <v>0.411182</v>
      </c>
      <c r="F6443" s="10" t="n">
        <v>0.2968289992389598</v>
      </c>
      <c r="G6443" s="11">
        <f>E6443*Summary!$B$6</f>
        <v/>
      </c>
      <c r="H6443" s="11">
        <f>F6443*Summary!$B$7</f>
        <v/>
      </c>
      <c r="I6443" s="11">
        <f>MAX(0,N6443-M6443)</f>
        <v/>
      </c>
      <c r="J6443" s="11">
        <f>MAX(0,M6443-N6443)</f>
        <v/>
      </c>
      <c r="K6443" s="11">
        <f>O6443</f>
        <v/>
      </c>
      <c r="L6443" s="11">
        <f>L6442+IF(K6443&gt;0,K6443*Summary!$B$9,K6443/Summary!$B$9)</f>
        <v/>
      </c>
      <c r="M6443" s="11">
        <f>G6443+H6443</f>
        <v/>
      </c>
      <c r="N6443" s="11">
        <f>Summary!$C$16*Summary!$B$8</f>
        <v/>
      </c>
      <c r="O6443" s="11">
        <f>M6443-N6443</f>
        <v/>
      </c>
    </row>
    <row r="6444">
      <c r="A6444" s="9" t="n">
        <v>45560.41666666666</v>
      </c>
      <c r="B6444" t="n">
        <v>9</v>
      </c>
      <c r="C6444" t="n">
        <v>25</v>
      </c>
      <c r="D6444" t="n">
        <v>10</v>
      </c>
      <c r="E6444" s="10" t="n">
        <v>0.450811</v>
      </c>
      <c r="F6444" s="10" t="n">
        <v>0.3034433528264047</v>
      </c>
      <c r="G6444" s="11">
        <f>E6444*Summary!$B$6</f>
        <v/>
      </c>
      <c r="H6444" s="11">
        <f>F6444*Summary!$B$7</f>
        <v/>
      </c>
      <c r="I6444" s="11">
        <f>MAX(0,N6444-M6444)</f>
        <v/>
      </c>
      <c r="J6444" s="11">
        <f>MAX(0,M6444-N6444)</f>
        <v/>
      </c>
      <c r="K6444" s="11">
        <f>O6444</f>
        <v/>
      </c>
      <c r="L6444" s="11">
        <f>L6443+IF(K6444&gt;0,K6444*Summary!$B$9,K6444/Summary!$B$9)</f>
        <v/>
      </c>
      <c r="M6444" s="11">
        <f>G6444+H6444</f>
        <v/>
      </c>
      <c r="N6444" s="11">
        <f>Summary!$C$16*Summary!$B$8</f>
        <v/>
      </c>
      <c r="O6444" s="11">
        <f>M6444-N6444</f>
        <v/>
      </c>
    </row>
    <row r="6445">
      <c r="A6445" s="9" t="n">
        <v>45560.45833333334</v>
      </c>
      <c r="B6445" t="n">
        <v>9</v>
      </c>
      <c r="C6445" t="n">
        <v>25</v>
      </c>
      <c r="D6445" t="n">
        <v>11</v>
      </c>
      <c r="E6445" s="10" t="n">
        <v>0.313363</v>
      </c>
      <c r="F6445" s="10" t="n">
        <v>0.314458491470038</v>
      </c>
      <c r="G6445" s="11">
        <f>E6445*Summary!$B$6</f>
        <v/>
      </c>
      <c r="H6445" s="11">
        <f>F6445*Summary!$B$7</f>
        <v/>
      </c>
      <c r="I6445" s="11">
        <f>MAX(0,N6445-M6445)</f>
        <v/>
      </c>
      <c r="J6445" s="11">
        <f>MAX(0,M6445-N6445)</f>
        <v/>
      </c>
      <c r="K6445" s="11">
        <f>O6445</f>
        <v/>
      </c>
      <c r="L6445" s="11">
        <f>L6444+IF(K6445&gt;0,K6445*Summary!$B$9,K6445/Summary!$B$9)</f>
        <v/>
      </c>
      <c r="M6445" s="11">
        <f>G6445+H6445</f>
        <v/>
      </c>
      <c r="N6445" s="11">
        <f>Summary!$C$16*Summary!$B$8</f>
        <v/>
      </c>
      <c r="O6445" s="11">
        <f>M6445-N6445</f>
        <v/>
      </c>
    </row>
    <row r="6446">
      <c r="A6446" s="9" t="n">
        <v>45560.5</v>
      </c>
      <c r="B6446" t="n">
        <v>9</v>
      </c>
      <c r="C6446" t="n">
        <v>25</v>
      </c>
      <c r="D6446" t="n">
        <v>12</v>
      </c>
      <c r="E6446" s="10" t="n">
        <v>0.214454</v>
      </c>
      <c r="F6446" s="10" t="n">
        <v>0.3261587822781077</v>
      </c>
      <c r="G6446" s="11">
        <f>E6446*Summary!$B$6</f>
        <v/>
      </c>
      <c r="H6446" s="11">
        <f>F6446*Summary!$B$7</f>
        <v/>
      </c>
      <c r="I6446" s="11">
        <f>MAX(0,N6446-M6446)</f>
        <v/>
      </c>
      <c r="J6446" s="11">
        <f>MAX(0,M6446-N6446)</f>
        <v/>
      </c>
      <c r="K6446" s="11">
        <f>O6446</f>
        <v/>
      </c>
      <c r="L6446" s="11">
        <f>L6445+IF(K6446&gt;0,K6446*Summary!$B$9,K6446/Summary!$B$9)</f>
        <v/>
      </c>
      <c r="M6446" s="11">
        <f>G6446+H6446</f>
        <v/>
      </c>
      <c r="N6446" s="11">
        <f>Summary!$C$16*Summary!$B$8</f>
        <v/>
      </c>
      <c r="O6446" s="11">
        <f>M6446-N6446</f>
        <v/>
      </c>
    </row>
    <row r="6447">
      <c r="A6447" s="9" t="n">
        <v>45560.54166666666</v>
      </c>
      <c r="B6447" t="n">
        <v>9</v>
      </c>
      <c r="C6447" t="n">
        <v>25</v>
      </c>
      <c r="D6447" t="n">
        <v>13</v>
      </c>
      <c r="E6447" s="10" t="n">
        <v>0.20377</v>
      </c>
      <c r="F6447" s="10" t="n">
        <v>0.3333265279983667</v>
      </c>
      <c r="G6447" s="11">
        <f>E6447*Summary!$B$6</f>
        <v/>
      </c>
      <c r="H6447" s="11">
        <f>F6447*Summary!$B$7</f>
        <v/>
      </c>
      <c r="I6447" s="11">
        <f>MAX(0,N6447-M6447)</f>
        <v/>
      </c>
      <c r="J6447" s="11">
        <f>MAX(0,M6447-N6447)</f>
        <v/>
      </c>
      <c r="K6447" s="11">
        <f>O6447</f>
        <v/>
      </c>
      <c r="L6447" s="11">
        <f>L6446+IF(K6447&gt;0,K6447*Summary!$B$9,K6447/Summary!$B$9)</f>
        <v/>
      </c>
      <c r="M6447" s="11">
        <f>G6447+H6447</f>
        <v/>
      </c>
      <c r="N6447" s="11">
        <f>Summary!$C$16*Summary!$B$8</f>
        <v/>
      </c>
      <c r="O6447" s="11">
        <f>M6447-N6447</f>
        <v/>
      </c>
    </row>
    <row r="6448">
      <c r="A6448" s="9" t="n">
        <v>45560.58333333334</v>
      </c>
      <c r="B6448" t="n">
        <v>9</v>
      </c>
      <c r="C6448" t="n">
        <v>25</v>
      </c>
      <c r="D6448" t="n">
        <v>14</v>
      </c>
      <c r="E6448" s="10" t="n">
        <v>0.360382</v>
      </c>
      <c r="F6448" s="10" t="n">
        <v>0.3423916181739883</v>
      </c>
      <c r="G6448" s="11">
        <f>E6448*Summary!$B$6</f>
        <v/>
      </c>
      <c r="H6448" s="11">
        <f>F6448*Summary!$B$7</f>
        <v/>
      </c>
      <c r="I6448" s="11">
        <f>MAX(0,N6448-M6448)</f>
        <v/>
      </c>
      <c r="J6448" s="11">
        <f>MAX(0,M6448-N6448)</f>
        <v/>
      </c>
      <c r="K6448" s="11">
        <f>O6448</f>
        <v/>
      </c>
      <c r="L6448" s="11">
        <f>L6447+IF(K6448&gt;0,K6448*Summary!$B$9,K6448/Summary!$B$9)</f>
        <v/>
      </c>
      <c r="M6448" s="11">
        <f>G6448+H6448</f>
        <v/>
      </c>
      <c r="N6448" s="11">
        <f>Summary!$C$16*Summary!$B$8</f>
        <v/>
      </c>
      <c r="O6448" s="11">
        <f>M6448-N6448</f>
        <v/>
      </c>
    </row>
    <row r="6449">
      <c r="A6449" s="9" t="n">
        <v>45560.625</v>
      </c>
      <c r="B6449" t="n">
        <v>9</v>
      </c>
      <c r="C6449" t="n">
        <v>25</v>
      </c>
      <c r="D6449" t="n">
        <v>15</v>
      </c>
      <c r="E6449" s="10" t="n">
        <v>0.268723</v>
      </c>
      <c r="F6449" s="10" t="n">
        <v>0.3418382260411743</v>
      </c>
      <c r="G6449" s="11">
        <f>E6449*Summary!$B$6</f>
        <v/>
      </c>
      <c r="H6449" s="11">
        <f>F6449*Summary!$B$7</f>
        <v/>
      </c>
      <c r="I6449" s="11">
        <f>MAX(0,N6449-M6449)</f>
        <v/>
      </c>
      <c r="J6449" s="11">
        <f>MAX(0,M6449-N6449)</f>
        <v/>
      </c>
      <c r="K6449" s="11">
        <f>O6449</f>
        <v/>
      </c>
      <c r="L6449" s="11">
        <f>L6448+IF(K6449&gt;0,K6449*Summary!$B$9,K6449/Summary!$B$9)</f>
        <v/>
      </c>
      <c r="M6449" s="11">
        <f>G6449+H6449</f>
        <v/>
      </c>
      <c r="N6449" s="11">
        <f>Summary!$C$16*Summary!$B$8</f>
        <v/>
      </c>
      <c r="O6449" s="11">
        <f>M6449-N6449</f>
        <v/>
      </c>
    </row>
    <row r="6450">
      <c r="A6450" s="9" t="n">
        <v>45560.66666666666</v>
      </c>
      <c r="B6450" t="n">
        <v>9</v>
      </c>
      <c r="C6450" t="n">
        <v>25</v>
      </c>
      <c r="D6450" t="n">
        <v>16</v>
      </c>
      <c r="E6450" s="10" t="n">
        <v>0.07529</v>
      </c>
      <c r="F6450" s="10" t="n">
        <v>0.3433929944143186</v>
      </c>
      <c r="G6450" s="11">
        <f>E6450*Summary!$B$6</f>
        <v/>
      </c>
      <c r="H6450" s="11">
        <f>F6450*Summary!$B$7</f>
        <v/>
      </c>
      <c r="I6450" s="11">
        <f>MAX(0,N6450-M6450)</f>
        <v/>
      </c>
      <c r="J6450" s="11">
        <f>MAX(0,M6450-N6450)</f>
        <v/>
      </c>
      <c r="K6450" s="11">
        <f>O6450</f>
        <v/>
      </c>
      <c r="L6450" s="11">
        <f>L6449+IF(K6450&gt;0,K6450*Summary!$B$9,K6450/Summary!$B$9)</f>
        <v/>
      </c>
      <c r="M6450" s="11">
        <f>G6450+H6450</f>
        <v/>
      </c>
      <c r="N6450" s="11">
        <f>Summary!$C$16*Summary!$B$8</f>
        <v/>
      </c>
      <c r="O6450" s="11">
        <f>M6450-N6450</f>
        <v/>
      </c>
    </row>
    <row r="6451">
      <c r="A6451" s="9" t="n">
        <v>45560.70833333334</v>
      </c>
      <c r="B6451" t="n">
        <v>9</v>
      </c>
      <c r="C6451" t="n">
        <v>25</v>
      </c>
      <c r="D6451" t="n">
        <v>17</v>
      </c>
      <c r="E6451" s="10" t="n">
        <v>0.010277</v>
      </c>
      <c r="F6451" s="10" t="n">
        <v>0.359230550215332</v>
      </c>
      <c r="G6451" s="11">
        <f>E6451*Summary!$B$6</f>
        <v/>
      </c>
      <c r="H6451" s="11">
        <f>F6451*Summary!$B$7</f>
        <v/>
      </c>
      <c r="I6451" s="11">
        <f>MAX(0,N6451-M6451)</f>
        <v/>
      </c>
      <c r="J6451" s="11">
        <f>MAX(0,M6451-N6451)</f>
        <v/>
      </c>
      <c r="K6451" s="11">
        <f>O6451</f>
        <v/>
      </c>
      <c r="L6451" s="11">
        <f>L6450+IF(K6451&gt;0,K6451*Summary!$B$9,K6451/Summary!$B$9)</f>
        <v/>
      </c>
      <c r="M6451" s="11">
        <f>G6451+H6451</f>
        <v/>
      </c>
      <c r="N6451" s="11">
        <f>Summary!$C$16*Summary!$B$8</f>
        <v/>
      </c>
      <c r="O6451" s="11">
        <f>M6451-N6451</f>
        <v/>
      </c>
    </row>
    <row r="6452">
      <c r="A6452" s="9" t="n">
        <v>45560.75</v>
      </c>
      <c r="B6452" t="n">
        <v>9</v>
      </c>
      <c r="C6452" t="n">
        <v>25</v>
      </c>
      <c r="D6452" t="n">
        <v>18</v>
      </c>
      <c r="E6452" s="10" t="n">
        <v>0</v>
      </c>
      <c r="F6452" s="10" t="n">
        <v>0.3806547313571355</v>
      </c>
      <c r="G6452" s="11">
        <f>E6452*Summary!$B$6</f>
        <v/>
      </c>
      <c r="H6452" s="11">
        <f>F6452*Summary!$B$7</f>
        <v/>
      </c>
      <c r="I6452" s="11">
        <f>MAX(0,N6452-M6452)</f>
        <v/>
      </c>
      <c r="J6452" s="11">
        <f>MAX(0,M6452-N6452)</f>
        <v/>
      </c>
      <c r="K6452" s="11">
        <f>O6452</f>
        <v/>
      </c>
      <c r="L6452" s="11">
        <f>L6451+IF(K6452&gt;0,K6452*Summary!$B$9,K6452/Summary!$B$9)</f>
        <v/>
      </c>
      <c r="M6452" s="11">
        <f>G6452+H6452</f>
        <v/>
      </c>
      <c r="N6452" s="11">
        <f>Summary!$C$16*Summary!$B$8</f>
        <v/>
      </c>
      <c r="O6452" s="11">
        <f>M6452-N6452</f>
        <v/>
      </c>
    </row>
    <row r="6453">
      <c r="A6453" s="9" t="n">
        <v>45560.79166666666</v>
      </c>
      <c r="B6453" t="n">
        <v>9</v>
      </c>
      <c r="C6453" t="n">
        <v>25</v>
      </c>
      <c r="D6453" t="n">
        <v>19</v>
      </c>
      <c r="E6453" s="10" t="n">
        <v>0</v>
      </c>
      <c r="F6453" s="10" t="n">
        <v>0.3968085112340427</v>
      </c>
      <c r="G6453" s="11">
        <f>E6453*Summary!$B$6</f>
        <v/>
      </c>
      <c r="H6453" s="11">
        <f>F6453*Summary!$B$7</f>
        <v/>
      </c>
      <c r="I6453" s="11">
        <f>MAX(0,N6453-M6453)</f>
        <v/>
      </c>
      <c r="J6453" s="11">
        <f>MAX(0,M6453-N6453)</f>
        <v/>
      </c>
      <c r="K6453" s="11">
        <f>O6453</f>
        <v/>
      </c>
      <c r="L6453" s="11">
        <f>L6452+IF(K6453&gt;0,K6453*Summary!$B$9,K6453/Summary!$B$9)</f>
        <v/>
      </c>
      <c r="M6453" s="11">
        <f>G6453+H6453</f>
        <v/>
      </c>
      <c r="N6453" s="11">
        <f>Summary!$C$16*Summary!$B$8</f>
        <v/>
      </c>
      <c r="O6453" s="11">
        <f>M6453-N6453</f>
        <v/>
      </c>
    </row>
    <row r="6454">
      <c r="A6454" s="9" t="n">
        <v>45560.83333333334</v>
      </c>
      <c r="B6454" t="n">
        <v>9</v>
      </c>
      <c r="C6454" t="n">
        <v>25</v>
      </c>
      <c r="D6454" t="n">
        <v>20</v>
      </c>
      <c r="E6454" s="10" t="n">
        <v>0</v>
      </c>
      <c r="F6454" s="10" t="n">
        <v>0.404213425011222</v>
      </c>
      <c r="G6454" s="11">
        <f>E6454*Summary!$B$6</f>
        <v/>
      </c>
      <c r="H6454" s="11">
        <f>F6454*Summary!$B$7</f>
        <v/>
      </c>
      <c r="I6454" s="11">
        <f>MAX(0,N6454-M6454)</f>
        <v/>
      </c>
      <c r="J6454" s="11">
        <f>MAX(0,M6454-N6454)</f>
        <v/>
      </c>
      <c r="K6454" s="11">
        <f>O6454</f>
        <v/>
      </c>
      <c r="L6454" s="11">
        <f>L6453+IF(K6454&gt;0,K6454*Summary!$B$9,K6454/Summary!$B$9)</f>
        <v/>
      </c>
      <c r="M6454" s="11">
        <f>G6454+H6454</f>
        <v/>
      </c>
      <c r="N6454" s="11">
        <f>Summary!$C$16*Summary!$B$8</f>
        <v/>
      </c>
      <c r="O6454" s="11">
        <f>M6454-N6454</f>
        <v/>
      </c>
    </row>
    <row r="6455">
      <c r="A6455" s="9" t="n">
        <v>45560.875</v>
      </c>
      <c r="B6455" t="n">
        <v>9</v>
      </c>
      <c r="C6455" t="n">
        <v>25</v>
      </c>
      <c r="D6455" t="n">
        <v>21</v>
      </c>
      <c r="E6455" s="10" t="n">
        <v>0</v>
      </c>
      <c r="F6455" s="10" t="n">
        <v>0.3952800948672227</v>
      </c>
      <c r="G6455" s="11">
        <f>E6455*Summary!$B$6</f>
        <v/>
      </c>
      <c r="H6455" s="11">
        <f>F6455*Summary!$B$7</f>
        <v/>
      </c>
      <c r="I6455" s="11">
        <f>MAX(0,N6455-M6455)</f>
        <v/>
      </c>
      <c r="J6455" s="11">
        <f>MAX(0,M6455-N6455)</f>
        <v/>
      </c>
      <c r="K6455" s="11">
        <f>O6455</f>
        <v/>
      </c>
      <c r="L6455" s="11">
        <f>L6454+IF(K6455&gt;0,K6455*Summary!$B$9,K6455/Summary!$B$9)</f>
        <v/>
      </c>
      <c r="M6455" s="11">
        <f>G6455+H6455</f>
        <v/>
      </c>
      <c r="N6455" s="11">
        <f>Summary!$C$16*Summary!$B$8</f>
        <v/>
      </c>
      <c r="O6455" s="11">
        <f>M6455-N6455</f>
        <v/>
      </c>
    </row>
    <row r="6456">
      <c r="A6456" s="9" t="n">
        <v>45560.91666666666</v>
      </c>
      <c r="B6456" t="n">
        <v>9</v>
      </c>
      <c r="C6456" t="n">
        <v>25</v>
      </c>
      <c r="D6456" t="n">
        <v>22</v>
      </c>
      <c r="E6456" s="10" t="n">
        <v>0</v>
      </c>
      <c r="F6456" s="10" t="n">
        <v>0.3839223801413712</v>
      </c>
      <c r="G6456" s="11">
        <f>E6456*Summary!$B$6</f>
        <v/>
      </c>
      <c r="H6456" s="11">
        <f>F6456*Summary!$B$7</f>
        <v/>
      </c>
      <c r="I6456" s="11">
        <f>MAX(0,N6456-M6456)</f>
        <v/>
      </c>
      <c r="J6456" s="11">
        <f>MAX(0,M6456-N6456)</f>
        <v/>
      </c>
      <c r="K6456" s="11">
        <f>O6456</f>
        <v/>
      </c>
      <c r="L6456" s="11">
        <f>L6455+IF(K6456&gt;0,K6456*Summary!$B$9,K6456/Summary!$B$9)</f>
        <v/>
      </c>
      <c r="M6456" s="11">
        <f>G6456+H6456</f>
        <v/>
      </c>
      <c r="N6456" s="11">
        <f>Summary!$C$16*Summary!$B$8</f>
        <v/>
      </c>
      <c r="O6456" s="11">
        <f>M6456-N6456</f>
        <v/>
      </c>
    </row>
    <row r="6457">
      <c r="A6457" s="9" t="n">
        <v>45560.95833333334</v>
      </c>
      <c r="B6457" t="n">
        <v>9</v>
      </c>
      <c r="C6457" t="n">
        <v>25</v>
      </c>
      <c r="D6457" t="n">
        <v>23</v>
      </c>
      <c r="E6457" s="10" t="n">
        <v>0</v>
      </c>
      <c r="F6457" s="10" t="n">
        <v>0.3665300559672134</v>
      </c>
      <c r="G6457" s="11">
        <f>E6457*Summary!$B$6</f>
        <v/>
      </c>
      <c r="H6457" s="11">
        <f>F6457*Summary!$B$7</f>
        <v/>
      </c>
      <c r="I6457" s="11">
        <f>MAX(0,N6457-M6457)</f>
        <v/>
      </c>
      <c r="J6457" s="11">
        <f>MAX(0,M6457-N6457)</f>
        <v/>
      </c>
      <c r="K6457" s="11">
        <f>O6457</f>
        <v/>
      </c>
      <c r="L6457" s="11">
        <f>L6456+IF(K6457&gt;0,K6457*Summary!$B$9,K6457/Summary!$B$9)</f>
        <v/>
      </c>
      <c r="M6457" s="11">
        <f>G6457+H6457</f>
        <v/>
      </c>
      <c r="N6457" s="11">
        <f>Summary!$C$16*Summary!$B$8</f>
        <v/>
      </c>
      <c r="O6457" s="11">
        <f>M6457-N6457</f>
        <v/>
      </c>
    </row>
    <row r="6458">
      <c r="A6458" s="9" t="n">
        <v>45561</v>
      </c>
      <c r="B6458" t="n">
        <v>9</v>
      </c>
      <c r="C6458" t="n">
        <v>26</v>
      </c>
      <c r="D6458" t="n">
        <v>0</v>
      </c>
      <c r="E6458" s="10" t="n">
        <v>0</v>
      </c>
      <c r="F6458" s="10" t="n">
        <v>0.3643691914486059</v>
      </c>
      <c r="G6458" s="11">
        <f>E6458*Summary!$B$6</f>
        <v/>
      </c>
      <c r="H6458" s="11">
        <f>F6458*Summary!$B$7</f>
        <v/>
      </c>
      <c r="I6458" s="11">
        <f>MAX(0,N6458-M6458)</f>
        <v/>
      </c>
      <c r="J6458" s="11">
        <f>MAX(0,M6458-N6458)</f>
        <v/>
      </c>
      <c r="K6458" s="11">
        <f>O6458</f>
        <v/>
      </c>
      <c r="L6458" s="11">
        <f>L6457+IF(K6458&gt;0,K6458*Summary!$B$9,K6458/Summary!$B$9)</f>
        <v/>
      </c>
      <c r="M6458" s="11">
        <f>G6458+H6458</f>
        <v/>
      </c>
      <c r="N6458" s="11">
        <f>Summary!$C$16*Summary!$B$8</f>
        <v/>
      </c>
      <c r="O6458" s="11">
        <f>M6458-N6458</f>
        <v/>
      </c>
    </row>
    <row r="6459">
      <c r="A6459" s="9" t="n">
        <v>45561.04166666666</v>
      </c>
      <c r="B6459" t="n">
        <v>9</v>
      </c>
      <c r="C6459" t="n">
        <v>26</v>
      </c>
      <c r="D6459" t="n">
        <v>1</v>
      </c>
      <c r="E6459" s="10" t="n">
        <v>0</v>
      </c>
      <c r="F6459" s="10" t="n">
        <v>0.3322197437327384</v>
      </c>
      <c r="G6459" s="11">
        <f>E6459*Summary!$B$6</f>
        <v/>
      </c>
      <c r="H6459" s="11">
        <f>F6459*Summary!$B$7</f>
        <v/>
      </c>
      <c r="I6459" s="11">
        <f>MAX(0,N6459-M6459)</f>
        <v/>
      </c>
      <c r="J6459" s="11">
        <f>MAX(0,M6459-N6459)</f>
        <v/>
      </c>
      <c r="K6459" s="11">
        <f>O6459</f>
        <v/>
      </c>
      <c r="L6459" s="11">
        <f>L6458+IF(K6459&gt;0,K6459*Summary!$B$9,K6459/Summary!$B$9)</f>
        <v/>
      </c>
      <c r="M6459" s="11">
        <f>G6459+H6459</f>
        <v/>
      </c>
      <c r="N6459" s="11">
        <f>Summary!$C$16*Summary!$B$8</f>
        <v/>
      </c>
      <c r="O6459" s="11">
        <f>M6459-N6459</f>
        <v/>
      </c>
    </row>
    <row r="6460">
      <c r="A6460" s="9" t="n">
        <v>45561.08333333334</v>
      </c>
      <c r="B6460" t="n">
        <v>9</v>
      </c>
      <c r="C6460" t="n">
        <v>26</v>
      </c>
      <c r="D6460" t="n">
        <v>2</v>
      </c>
      <c r="E6460" s="10" t="n">
        <v>0</v>
      </c>
      <c r="F6460" s="10" t="n">
        <v>0.3154598677103683</v>
      </c>
      <c r="G6460" s="11">
        <f>E6460*Summary!$B$6</f>
        <v/>
      </c>
      <c r="H6460" s="11">
        <f>F6460*Summary!$B$7</f>
        <v/>
      </c>
      <c r="I6460" s="11">
        <f>MAX(0,N6460-M6460)</f>
        <v/>
      </c>
      <c r="J6460" s="11">
        <f>MAX(0,M6460-N6460)</f>
        <v/>
      </c>
      <c r="K6460" s="11">
        <f>O6460</f>
        <v/>
      </c>
      <c r="L6460" s="11">
        <f>L6459+IF(K6460&gt;0,K6460*Summary!$B$9,K6460/Summary!$B$9)</f>
        <v/>
      </c>
      <c r="M6460" s="11">
        <f>G6460+H6460</f>
        <v/>
      </c>
      <c r="N6460" s="11">
        <f>Summary!$C$16*Summary!$B$8</f>
        <v/>
      </c>
      <c r="O6460" s="11">
        <f>M6460-N6460</f>
        <v/>
      </c>
    </row>
    <row r="6461">
      <c r="A6461" s="9" t="n">
        <v>45561.125</v>
      </c>
      <c r="B6461" t="n">
        <v>9</v>
      </c>
      <c r="C6461" t="n">
        <v>26</v>
      </c>
      <c r="D6461" t="n">
        <v>3</v>
      </c>
      <c r="E6461" s="10" t="n">
        <v>0</v>
      </c>
      <c r="F6461" s="10" t="n">
        <v>0.298041191529886</v>
      </c>
      <c r="G6461" s="11">
        <f>E6461*Summary!$B$6</f>
        <v/>
      </c>
      <c r="H6461" s="11">
        <f>F6461*Summary!$B$7</f>
        <v/>
      </c>
      <c r="I6461" s="11">
        <f>MAX(0,N6461-M6461)</f>
        <v/>
      </c>
      <c r="J6461" s="11">
        <f>MAX(0,M6461-N6461)</f>
        <v/>
      </c>
      <c r="K6461" s="11">
        <f>O6461</f>
        <v/>
      </c>
      <c r="L6461" s="11">
        <f>L6460+IF(K6461&gt;0,K6461*Summary!$B$9,K6461/Summary!$B$9)</f>
        <v/>
      </c>
      <c r="M6461" s="11">
        <f>G6461+H6461</f>
        <v/>
      </c>
      <c r="N6461" s="11">
        <f>Summary!$C$16*Summary!$B$8</f>
        <v/>
      </c>
      <c r="O6461" s="11">
        <f>M6461-N6461</f>
        <v/>
      </c>
    </row>
    <row r="6462">
      <c r="A6462" s="9" t="n">
        <v>45561.16666666666</v>
      </c>
      <c r="B6462" t="n">
        <v>9</v>
      </c>
      <c r="C6462" t="n">
        <v>26</v>
      </c>
      <c r="D6462" t="n">
        <v>4</v>
      </c>
      <c r="E6462" s="10" t="n">
        <v>0</v>
      </c>
      <c r="F6462" s="10" t="n">
        <v>0.287263220943173</v>
      </c>
      <c r="G6462" s="11">
        <f>E6462*Summary!$B$6</f>
        <v/>
      </c>
      <c r="H6462" s="11">
        <f>F6462*Summary!$B$7</f>
        <v/>
      </c>
      <c r="I6462" s="11">
        <f>MAX(0,N6462-M6462)</f>
        <v/>
      </c>
      <c r="J6462" s="11">
        <f>MAX(0,M6462-N6462)</f>
        <v/>
      </c>
      <c r="K6462" s="11">
        <f>O6462</f>
        <v/>
      </c>
      <c r="L6462" s="11">
        <f>L6461+IF(K6462&gt;0,K6462*Summary!$B$9,K6462/Summary!$B$9)</f>
        <v/>
      </c>
      <c r="M6462" s="11">
        <f>G6462+H6462</f>
        <v/>
      </c>
      <c r="N6462" s="11">
        <f>Summary!$C$16*Summary!$B$8</f>
        <v/>
      </c>
      <c r="O6462" s="11">
        <f>M6462-N6462</f>
        <v/>
      </c>
    </row>
    <row r="6463">
      <c r="A6463" s="9" t="n">
        <v>45561.20833333334</v>
      </c>
      <c r="B6463" t="n">
        <v>9</v>
      </c>
      <c r="C6463" t="n">
        <v>26</v>
      </c>
      <c r="D6463" t="n">
        <v>5</v>
      </c>
      <c r="E6463" s="10" t="n">
        <v>0</v>
      </c>
      <c r="F6463" s="10" t="n">
        <v>0.2761426742742418</v>
      </c>
      <c r="G6463" s="11">
        <f>E6463*Summary!$B$6</f>
        <v/>
      </c>
      <c r="H6463" s="11">
        <f>F6463*Summary!$B$7</f>
        <v/>
      </c>
      <c r="I6463" s="11">
        <f>MAX(0,N6463-M6463)</f>
        <v/>
      </c>
      <c r="J6463" s="11">
        <f>MAX(0,M6463-N6463)</f>
        <v/>
      </c>
      <c r="K6463" s="11">
        <f>O6463</f>
        <v/>
      </c>
      <c r="L6463" s="11">
        <f>L6462+IF(K6463&gt;0,K6463*Summary!$B$9,K6463/Summary!$B$9)</f>
        <v/>
      </c>
      <c r="M6463" s="11">
        <f>G6463+H6463</f>
        <v/>
      </c>
      <c r="N6463" s="11">
        <f>Summary!$C$16*Summary!$B$8</f>
        <v/>
      </c>
      <c r="O6463" s="11">
        <f>M6463-N6463</f>
        <v/>
      </c>
    </row>
    <row r="6464">
      <c r="A6464" s="9" t="n">
        <v>45561.25</v>
      </c>
      <c r="B6464" t="n">
        <v>9</v>
      </c>
      <c r="C6464" t="n">
        <v>26</v>
      </c>
      <c r="D6464" t="n">
        <v>6</v>
      </c>
      <c r="E6464" s="10" t="n">
        <v>0</v>
      </c>
      <c r="F6464" s="10" t="n">
        <v>0.2628612630867032</v>
      </c>
      <c r="G6464" s="11">
        <f>E6464*Summary!$B$6</f>
        <v/>
      </c>
      <c r="H6464" s="11">
        <f>F6464*Summary!$B$7</f>
        <v/>
      </c>
      <c r="I6464" s="11">
        <f>MAX(0,N6464-M6464)</f>
        <v/>
      </c>
      <c r="J6464" s="11">
        <f>MAX(0,M6464-N6464)</f>
        <v/>
      </c>
      <c r="K6464" s="11">
        <f>O6464</f>
        <v/>
      </c>
      <c r="L6464" s="11">
        <f>L6463+IF(K6464&gt;0,K6464*Summary!$B$9,K6464/Summary!$B$9)</f>
        <v/>
      </c>
      <c r="M6464" s="11">
        <f>G6464+H6464</f>
        <v/>
      </c>
      <c r="N6464" s="11">
        <f>Summary!$C$16*Summary!$B$8</f>
        <v/>
      </c>
      <c r="O6464" s="11">
        <f>M6464-N6464</f>
        <v/>
      </c>
    </row>
    <row r="6465">
      <c r="A6465" s="9" t="n">
        <v>45561.29166666666</v>
      </c>
      <c r="B6465" t="n">
        <v>9</v>
      </c>
      <c r="C6465" t="n">
        <v>26</v>
      </c>
      <c r="D6465" t="n">
        <v>7</v>
      </c>
      <c r="E6465" s="10" t="n">
        <v>0.024537</v>
      </c>
      <c r="F6465" s="10" t="n">
        <v>0.2404093536982449</v>
      </c>
      <c r="G6465" s="11">
        <f>E6465*Summary!$B$6</f>
        <v/>
      </c>
      <c r="H6465" s="11">
        <f>F6465*Summary!$B$7</f>
        <v/>
      </c>
      <c r="I6465" s="11">
        <f>MAX(0,N6465-M6465)</f>
        <v/>
      </c>
      <c r="J6465" s="11">
        <f>MAX(0,M6465-N6465)</f>
        <v/>
      </c>
      <c r="K6465" s="11">
        <f>O6465</f>
        <v/>
      </c>
      <c r="L6465" s="11">
        <f>L6464+IF(K6465&gt;0,K6465*Summary!$B$9,K6465/Summary!$B$9)</f>
        <v/>
      </c>
      <c r="M6465" s="11">
        <f>G6465+H6465</f>
        <v/>
      </c>
      <c r="N6465" s="11">
        <f>Summary!$C$16*Summary!$B$8</f>
        <v/>
      </c>
      <c r="O6465" s="11">
        <f>M6465-N6465</f>
        <v/>
      </c>
    </row>
    <row r="6466">
      <c r="A6466" s="9" t="n">
        <v>45561.33333333334</v>
      </c>
      <c r="B6466" t="n">
        <v>9</v>
      </c>
      <c r="C6466" t="n">
        <v>26</v>
      </c>
      <c r="D6466" t="n">
        <v>8</v>
      </c>
      <c r="E6466" s="10" t="n">
        <v>0.11928</v>
      </c>
      <c r="F6466" s="10" t="n">
        <v>0.2162445638986953</v>
      </c>
      <c r="G6466" s="11">
        <f>E6466*Summary!$B$6</f>
        <v/>
      </c>
      <c r="H6466" s="11">
        <f>F6466*Summary!$B$7</f>
        <v/>
      </c>
      <c r="I6466" s="11">
        <f>MAX(0,N6466-M6466)</f>
        <v/>
      </c>
      <c r="J6466" s="11">
        <f>MAX(0,M6466-N6466)</f>
        <v/>
      </c>
      <c r="K6466" s="11">
        <f>O6466</f>
        <v/>
      </c>
      <c r="L6466" s="11">
        <f>L6465+IF(K6466&gt;0,K6466*Summary!$B$9,K6466/Summary!$B$9)</f>
        <v/>
      </c>
      <c r="M6466" s="11">
        <f>G6466+H6466</f>
        <v/>
      </c>
      <c r="N6466" s="11">
        <f>Summary!$C$16*Summary!$B$8</f>
        <v/>
      </c>
      <c r="O6466" s="11">
        <f>M6466-N6466</f>
        <v/>
      </c>
    </row>
    <row r="6467">
      <c r="A6467" s="9" t="n">
        <v>45561.375</v>
      </c>
      <c r="B6467" t="n">
        <v>9</v>
      </c>
      <c r="C6467" t="n">
        <v>26</v>
      </c>
      <c r="D6467" t="n">
        <v>9</v>
      </c>
      <c r="E6467" s="10" t="n">
        <v>0.254616</v>
      </c>
      <c r="F6467" s="10" t="n">
        <v>0.1983515516043724</v>
      </c>
      <c r="G6467" s="11">
        <f>E6467*Summary!$B$6</f>
        <v/>
      </c>
      <c r="H6467" s="11">
        <f>F6467*Summary!$B$7</f>
        <v/>
      </c>
      <c r="I6467" s="11">
        <f>MAX(0,N6467-M6467)</f>
        <v/>
      </c>
      <c r="J6467" s="11">
        <f>MAX(0,M6467-N6467)</f>
        <v/>
      </c>
      <c r="K6467" s="11">
        <f>O6467</f>
        <v/>
      </c>
      <c r="L6467" s="11">
        <f>L6466+IF(K6467&gt;0,K6467*Summary!$B$9,K6467/Summary!$B$9)</f>
        <v/>
      </c>
      <c r="M6467" s="11">
        <f>G6467+H6467</f>
        <v/>
      </c>
      <c r="N6467" s="11">
        <f>Summary!$C$16*Summary!$B$8</f>
        <v/>
      </c>
      <c r="O6467" s="11">
        <f>M6467-N6467</f>
        <v/>
      </c>
    </row>
    <row r="6468">
      <c r="A6468" s="9" t="n">
        <v>45561.41666666666</v>
      </c>
      <c r="B6468" t="n">
        <v>9</v>
      </c>
      <c r="C6468" t="n">
        <v>26</v>
      </c>
      <c r="D6468" t="n">
        <v>10</v>
      </c>
      <c r="E6468" s="10" t="n">
        <v>0.2108</v>
      </c>
      <c r="F6468" s="10" t="n">
        <v>0.1883377892010694</v>
      </c>
      <c r="G6468" s="11">
        <f>E6468*Summary!$B$6</f>
        <v/>
      </c>
      <c r="H6468" s="11">
        <f>F6468*Summary!$B$7</f>
        <v/>
      </c>
      <c r="I6468" s="11">
        <f>MAX(0,N6468-M6468)</f>
        <v/>
      </c>
      <c r="J6468" s="11">
        <f>MAX(0,M6468-N6468)</f>
        <v/>
      </c>
      <c r="K6468" s="11">
        <f>O6468</f>
        <v/>
      </c>
      <c r="L6468" s="11">
        <f>L6467+IF(K6468&gt;0,K6468*Summary!$B$9,K6468/Summary!$B$9)</f>
        <v/>
      </c>
      <c r="M6468" s="11">
        <f>G6468+H6468</f>
        <v/>
      </c>
      <c r="N6468" s="11">
        <f>Summary!$C$16*Summary!$B$8</f>
        <v/>
      </c>
      <c r="O6468" s="11">
        <f>M6468-N6468</f>
        <v/>
      </c>
    </row>
    <row r="6469">
      <c r="A6469" s="9" t="n">
        <v>45561.45833333334</v>
      </c>
      <c r="B6469" t="n">
        <v>9</v>
      </c>
      <c r="C6469" t="n">
        <v>26</v>
      </c>
      <c r="D6469" t="n">
        <v>11</v>
      </c>
      <c r="E6469" s="10" t="n">
        <v>0.186206</v>
      </c>
      <c r="F6469" s="10" t="n">
        <v>0.187494524998686</v>
      </c>
      <c r="G6469" s="11">
        <f>E6469*Summary!$B$6</f>
        <v/>
      </c>
      <c r="H6469" s="11">
        <f>F6469*Summary!$B$7</f>
        <v/>
      </c>
      <c r="I6469" s="11">
        <f>MAX(0,N6469-M6469)</f>
        <v/>
      </c>
      <c r="J6469" s="11">
        <f>MAX(0,M6469-N6469)</f>
        <v/>
      </c>
      <c r="K6469" s="11">
        <f>O6469</f>
        <v/>
      </c>
      <c r="L6469" s="11">
        <f>L6468+IF(K6469&gt;0,K6469*Summary!$B$9,K6469/Summary!$B$9)</f>
        <v/>
      </c>
      <c r="M6469" s="11">
        <f>G6469+H6469</f>
        <v/>
      </c>
      <c r="N6469" s="11">
        <f>Summary!$C$16*Summary!$B$8</f>
        <v/>
      </c>
      <c r="O6469" s="11">
        <f>M6469-N6469</f>
        <v/>
      </c>
    </row>
    <row r="6470">
      <c r="A6470" s="9" t="n">
        <v>45561.5</v>
      </c>
      <c r="B6470" t="n">
        <v>9</v>
      </c>
      <c r="C6470" t="n">
        <v>26</v>
      </c>
      <c r="D6470" t="n">
        <v>12</v>
      </c>
      <c r="E6470" s="10" t="n">
        <v>0.343932</v>
      </c>
      <c r="F6470" s="10" t="n">
        <v>0.1912365098967624</v>
      </c>
      <c r="G6470" s="11">
        <f>E6470*Summary!$B$6</f>
        <v/>
      </c>
      <c r="H6470" s="11">
        <f>F6470*Summary!$B$7</f>
        <v/>
      </c>
      <c r="I6470" s="11">
        <f>MAX(0,N6470-M6470)</f>
        <v/>
      </c>
      <c r="J6470" s="11">
        <f>MAX(0,M6470-N6470)</f>
        <v/>
      </c>
      <c r="K6470" s="11">
        <f>O6470</f>
        <v/>
      </c>
      <c r="L6470" s="11">
        <f>L6469+IF(K6470&gt;0,K6470*Summary!$B$9,K6470/Summary!$B$9)</f>
        <v/>
      </c>
      <c r="M6470" s="11">
        <f>G6470+H6470</f>
        <v/>
      </c>
      <c r="N6470" s="11">
        <f>Summary!$C$16*Summary!$B$8</f>
        <v/>
      </c>
      <c r="O6470" s="11">
        <f>M6470-N6470</f>
        <v/>
      </c>
    </row>
    <row r="6471">
      <c r="A6471" s="9" t="n">
        <v>45561.54166666666</v>
      </c>
      <c r="B6471" t="n">
        <v>9</v>
      </c>
      <c r="C6471" t="n">
        <v>26</v>
      </c>
      <c r="D6471" t="n">
        <v>13</v>
      </c>
      <c r="E6471" s="10" t="n">
        <v>0.235173</v>
      </c>
      <c r="F6471" s="10" t="n">
        <v>0.1959271670225201</v>
      </c>
      <c r="G6471" s="11">
        <f>E6471*Summary!$B$6</f>
        <v/>
      </c>
      <c r="H6471" s="11">
        <f>F6471*Summary!$B$7</f>
        <v/>
      </c>
      <c r="I6471" s="11">
        <f>MAX(0,N6471-M6471)</f>
        <v/>
      </c>
      <c r="J6471" s="11">
        <f>MAX(0,M6471-N6471)</f>
        <v/>
      </c>
      <c r="K6471" s="11">
        <f>O6471</f>
        <v/>
      </c>
      <c r="L6471" s="11">
        <f>L6470+IF(K6471&gt;0,K6471*Summary!$B$9,K6471/Summary!$B$9)</f>
        <v/>
      </c>
      <c r="M6471" s="11">
        <f>G6471+H6471</f>
        <v/>
      </c>
      <c r="N6471" s="11">
        <f>Summary!$C$16*Summary!$B$8</f>
        <v/>
      </c>
      <c r="O6471" s="11">
        <f>M6471-N6471</f>
        <v/>
      </c>
    </row>
    <row r="6472">
      <c r="A6472" s="9" t="n">
        <v>45561.58333333334</v>
      </c>
      <c r="B6472" t="n">
        <v>9</v>
      </c>
      <c r="C6472" t="n">
        <v>26</v>
      </c>
      <c r="D6472" t="n">
        <v>14</v>
      </c>
      <c r="E6472" s="10" t="n">
        <v>0.184025</v>
      </c>
      <c r="F6472" s="10" t="n">
        <v>0.2024097605783425</v>
      </c>
      <c r="G6472" s="11">
        <f>E6472*Summary!$B$6</f>
        <v/>
      </c>
      <c r="H6472" s="11">
        <f>F6472*Summary!$B$7</f>
        <v/>
      </c>
      <c r="I6472" s="11">
        <f>MAX(0,N6472-M6472)</f>
        <v/>
      </c>
      <c r="J6472" s="11">
        <f>MAX(0,M6472-N6472)</f>
        <v/>
      </c>
      <c r="K6472" s="11">
        <f>O6472</f>
        <v/>
      </c>
      <c r="L6472" s="11">
        <f>L6471+IF(K6472&gt;0,K6472*Summary!$B$9,K6472/Summary!$B$9)</f>
        <v/>
      </c>
      <c r="M6472" s="11">
        <f>G6472+H6472</f>
        <v/>
      </c>
      <c r="N6472" s="11">
        <f>Summary!$C$16*Summary!$B$8</f>
        <v/>
      </c>
      <c r="O6472" s="11">
        <f>M6472-N6472</f>
        <v/>
      </c>
    </row>
    <row r="6473">
      <c r="A6473" s="9" t="n">
        <v>45561.625</v>
      </c>
      <c r="B6473" t="n">
        <v>9</v>
      </c>
      <c r="C6473" t="n">
        <v>26</v>
      </c>
      <c r="D6473" t="n">
        <v>15</v>
      </c>
      <c r="E6473" s="10" t="n">
        <v>0.06569700000000001</v>
      </c>
      <c r="F6473" s="10" t="n">
        <v>0.2156911717658812</v>
      </c>
      <c r="G6473" s="11">
        <f>E6473*Summary!$B$6</f>
        <v/>
      </c>
      <c r="H6473" s="11">
        <f>F6473*Summary!$B$7</f>
        <v/>
      </c>
      <c r="I6473" s="11">
        <f>MAX(0,N6473-M6473)</f>
        <v/>
      </c>
      <c r="J6473" s="11">
        <f>MAX(0,M6473-N6473)</f>
        <v/>
      </c>
      <c r="K6473" s="11">
        <f>O6473</f>
        <v/>
      </c>
      <c r="L6473" s="11">
        <f>L6472+IF(K6473&gt;0,K6473*Summary!$B$9,K6473/Summary!$B$9)</f>
        <v/>
      </c>
      <c r="M6473" s="11">
        <f>G6473+H6473</f>
        <v/>
      </c>
      <c r="N6473" s="11">
        <f>Summary!$C$16*Summary!$B$8</f>
        <v/>
      </c>
      <c r="O6473" s="11">
        <f>M6473-N6473</f>
        <v/>
      </c>
    </row>
    <row r="6474">
      <c r="A6474" s="9" t="n">
        <v>45561.66666666666</v>
      </c>
      <c r="B6474" t="n">
        <v>9</v>
      </c>
      <c r="C6474" t="n">
        <v>26</v>
      </c>
      <c r="D6474" t="n">
        <v>16</v>
      </c>
      <c r="E6474" s="10" t="n">
        <v>0.026006</v>
      </c>
      <c r="F6474" s="10" t="n">
        <v>0.2243082778339867</v>
      </c>
      <c r="G6474" s="11">
        <f>E6474*Summary!$B$6</f>
        <v/>
      </c>
      <c r="H6474" s="11">
        <f>F6474*Summary!$B$7</f>
        <v/>
      </c>
      <c r="I6474" s="11">
        <f>MAX(0,N6474-M6474)</f>
        <v/>
      </c>
      <c r="J6474" s="11">
        <f>MAX(0,M6474-N6474)</f>
        <v/>
      </c>
      <c r="K6474" s="11">
        <f>O6474</f>
        <v/>
      </c>
      <c r="L6474" s="11">
        <f>L6473+IF(K6474&gt;0,K6474*Summary!$B$9,K6474/Summary!$B$9)</f>
        <v/>
      </c>
      <c r="M6474" s="11">
        <f>G6474+H6474</f>
        <v/>
      </c>
      <c r="N6474" s="11">
        <f>Summary!$C$16*Summary!$B$8</f>
        <v/>
      </c>
      <c r="O6474" s="11">
        <f>M6474-N6474</f>
        <v/>
      </c>
    </row>
    <row r="6475">
      <c r="A6475" s="9" t="n">
        <v>45561.70833333334</v>
      </c>
      <c r="B6475" t="n">
        <v>9</v>
      </c>
      <c r="C6475" t="n">
        <v>26</v>
      </c>
      <c r="D6475" t="n">
        <v>17</v>
      </c>
      <c r="E6475" s="10" t="n">
        <v>0.008606000000000001</v>
      </c>
      <c r="F6475" s="10" t="n">
        <v>0.251635308392474</v>
      </c>
      <c r="G6475" s="11">
        <f>E6475*Summary!$B$6</f>
        <v/>
      </c>
      <c r="H6475" s="11">
        <f>F6475*Summary!$B$7</f>
        <v/>
      </c>
      <c r="I6475" s="11">
        <f>MAX(0,N6475-M6475)</f>
        <v/>
      </c>
      <c r="J6475" s="11">
        <f>MAX(0,M6475-N6475)</f>
        <v/>
      </c>
      <c r="K6475" s="11">
        <f>O6475</f>
        <v/>
      </c>
      <c r="L6475" s="11">
        <f>L6474+IF(K6475&gt;0,K6475*Summary!$B$9,K6475/Summary!$B$9)</f>
        <v/>
      </c>
      <c r="M6475" s="11">
        <f>G6475+H6475</f>
        <v/>
      </c>
      <c r="N6475" s="11">
        <f>Summary!$C$16*Summary!$B$8</f>
        <v/>
      </c>
      <c r="O6475" s="11">
        <f>M6475-N6475</f>
        <v/>
      </c>
    </row>
    <row r="6476">
      <c r="A6476" s="9" t="n">
        <v>45561.75</v>
      </c>
      <c r="B6476" t="n">
        <v>9</v>
      </c>
      <c r="C6476" t="n">
        <v>26</v>
      </c>
      <c r="D6476" t="n">
        <v>18</v>
      </c>
      <c r="E6476" s="10" t="n">
        <v>0</v>
      </c>
      <c r="F6476" s="10" t="n">
        <v>0.2875267410064178</v>
      </c>
      <c r="G6476" s="11">
        <f>E6476*Summary!$B$6</f>
        <v/>
      </c>
      <c r="H6476" s="11">
        <f>F6476*Summary!$B$7</f>
        <v/>
      </c>
      <c r="I6476" s="11">
        <f>MAX(0,N6476-M6476)</f>
        <v/>
      </c>
      <c r="J6476" s="11">
        <f>MAX(0,M6476-N6476)</f>
        <v/>
      </c>
      <c r="K6476" s="11">
        <f>O6476</f>
        <v/>
      </c>
      <c r="L6476" s="11">
        <f>L6475+IF(K6476&gt;0,K6476*Summary!$B$9,K6476/Summary!$B$9)</f>
        <v/>
      </c>
      <c r="M6476" s="11">
        <f>G6476+H6476</f>
        <v/>
      </c>
      <c r="N6476" s="11">
        <f>Summary!$C$16*Summary!$B$8</f>
        <v/>
      </c>
      <c r="O6476" s="11">
        <f>M6476-N6476</f>
        <v/>
      </c>
    </row>
    <row r="6477">
      <c r="A6477" s="9" t="n">
        <v>45561.79166666666</v>
      </c>
      <c r="B6477" t="n">
        <v>9</v>
      </c>
      <c r="C6477" t="n">
        <v>26</v>
      </c>
      <c r="D6477" t="n">
        <v>19</v>
      </c>
      <c r="E6477" s="10" t="n">
        <v>0</v>
      </c>
      <c r="F6477" s="10" t="n">
        <v>0.3148010675522562</v>
      </c>
      <c r="G6477" s="11">
        <f>E6477*Summary!$B$6</f>
        <v/>
      </c>
      <c r="H6477" s="11">
        <f>F6477*Summary!$B$7</f>
        <v/>
      </c>
      <c r="I6477" s="11">
        <f>MAX(0,N6477-M6477)</f>
        <v/>
      </c>
      <c r="J6477" s="11">
        <f>MAX(0,M6477-N6477)</f>
        <v/>
      </c>
      <c r="K6477" s="11">
        <f>O6477</f>
        <v/>
      </c>
      <c r="L6477" s="11">
        <f>L6476+IF(K6477&gt;0,K6477*Summary!$B$9,K6477/Summary!$B$9)</f>
        <v/>
      </c>
      <c r="M6477" s="11">
        <f>G6477+H6477</f>
        <v/>
      </c>
      <c r="N6477" s="11">
        <f>Summary!$C$16*Summary!$B$8</f>
        <v/>
      </c>
      <c r="O6477" s="11">
        <f>M6477-N6477</f>
        <v/>
      </c>
    </row>
    <row r="6478">
      <c r="A6478" s="9" t="n">
        <v>45561.83333333334</v>
      </c>
      <c r="B6478" t="n">
        <v>9</v>
      </c>
      <c r="C6478" t="n">
        <v>26</v>
      </c>
      <c r="D6478" t="n">
        <v>20</v>
      </c>
      <c r="E6478" s="10" t="n">
        <v>0</v>
      </c>
      <c r="F6478" s="10" t="n">
        <v>0.3326150238276057</v>
      </c>
      <c r="G6478" s="11">
        <f>E6478*Summary!$B$6</f>
        <v/>
      </c>
      <c r="H6478" s="11">
        <f>F6478*Summary!$B$7</f>
        <v/>
      </c>
      <c r="I6478" s="11">
        <f>MAX(0,N6478-M6478)</f>
        <v/>
      </c>
      <c r="J6478" s="11">
        <f>MAX(0,M6478-N6478)</f>
        <v/>
      </c>
      <c r="K6478" s="11">
        <f>O6478</f>
        <v/>
      </c>
      <c r="L6478" s="11">
        <f>L6477+IF(K6478&gt;0,K6478*Summary!$B$9,K6478/Summary!$B$9)</f>
        <v/>
      </c>
      <c r="M6478" s="11">
        <f>G6478+H6478</f>
        <v/>
      </c>
      <c r="N6478" s="11">
        <f>Summary!$C$16*Summary!$B$8</f>
        <v/>
      </c>
      <c r="O6478" s="11">
        <f>M6478-N6478</f>
        <v/>
      </c>
    </row>
    <row r="6479">
      <c r="A6479" s="9" t="n">
        <v>45561.875</v>
      </c>
      <c r="B6479" t="n">
        <v>9</v>
      </c>
      <c r="C6479" t="n">
        <v>26</v>
      </c>
      <c r="D6479" t="n">
        <v>21</v>
      </c>
      <c r="E6479" s="10" t="n">
        <v>0</v>
      </c>
      <c r="F6479" s="10" t="n">
        <v>0.3433666424079941</v>
      </c>
      <c r="G6479" s="11">
        <f>E6479*Summary!$B$6</f>
        <v/>
      </c>
      <c r="H6479" s="11">
        <f>F6479*Summary!$B$7</f>
        <v/>
      </c>
      <c r="I6479" s="11">
        <f>MAX(0,N6479-M6479)</f>
        <v/>
      </c>
      <c r="J6479" s="11">
        <f>MAX(0,M6479-N6479)</f>
        <v/>
      </c>
      <c r="K6479" s="11">
        <f>O6479</f>
        <v/>
      </c>
      <c r="L6479" s="11">
        <f>L6478+IF(K6479&gt;0,K6479*Summary!$B$9,K6479/Summary!$B$9)</f>
        <v/>
      </c>
      <c r="M6479" s="11">
        <f>G6479+H6479</f>
        <v/>
      </c>
      <c r="N6479" s="11">
        <f>Summary!$C$16*Summary!$B$8</f>
        <v/>
      </c>
      <c r="O6479" s="11">
        <f>M6479-N6479</f>
        <v/>
      </c>
    </row>
    <row r="6480">
      <c r="A6480" s="9" t="n">
        <v>45561.91666666666</v>
      </c>
      <c r="B6480" t="n">
        <v>9</v>
      </c>
      <c r="C6480" t="n">
        <v>26</v>
      </c>
      <c r="D6480" t="n">
        <v>22</v>
      </c>
      <c r="E6480" s="10" t="n">
        <v>0</v>
      </c>
      <c r="F6480" s="10" t="n">
        <v>0.3457910269898465</v>
      </c>
      <c r="G6480" s="11">
        <f>E6480*Summary!$B$6</f>
        <v/>
      </c>
      <c r="H6480" s="11">
        <f>F6480*Summary!$B$7</f>
        <v/>
      </c>
      <c r="I6480" s="11">
        <f>MAX(0,N6480-M6480)</f>
        <v/>
      </c>
      <c r="J6480" s="11">
        <f>MAX(0,M6480-N6480)</f>
        <v/>
      </c>
      <c r="K6480" s="11">
        <f>O6480</f>
        <v/>
      </c>
      <c r="L6480" s="11">
        <f>L6479+IF(K6480&gt;0,K6480*Summary!$B$9,K6480/Summary!$B$9)</f>
        <v/>
      </c>
      <c r="M6480" s="11">
        <f>G6480+H6480</f>
        <v/>
      </c>
      <c r="N6480" s="11">
        <f>Summary!$C$16*Summary!$B$8</f>
        <v/>
      </c>
      <c r="O6480" s="11">
        <f>M6480-N6480</f>
        <v/>
      </c>
    </row>
    <row r="6481">
      <c r="A6481" s="9" t="n">
        <v>45561.95833333334</v>
      </c>
      <c r="B6481" t="n">
        <v>9</v>
      </c>
      <c r="C6481" t="n">
        <v>26</v>
      </c>
      <c r="D6481" t="n">
        <v>23</v>
      </c>
      <c r="E6481" s="10" t="n">
        <v>0</v>
      </c>
      <c r="F6481" s="10" t="n">
        <v>0.3508506122041469</v>
      </c>
      <c r="G6481" s="11">
        <f>E6481*Summary!$B$6</f>
        <v/>
      </c>
      <c r="H6481" s="11">
        <f>F6481*Summary!$B$7</f>
        <v/>
      </c>
      <c r="I6481" s="11">
        <f>MAX(0,N6481-M6481)</f>
        <v/>
      </c>
      <c r="J6481" s="11">
        <f>MAX(0,M6481-N6481)</f>
        <v/>
      </c>
      <c r="K6481" s="11">
        <f>O6481</f>
        <v/>
      </c>
      <c r="L6481" s="11">
        <f>L6480+IF(K6481&gt;0,K6481*Summary!$B$9,K6481/Summary!$B$9)</f>
        <v/>
      </c>
      <c r="M6481" s="11">
        <f>G6481+H6481</f>
        <v/>
      </c>
      <c r="N6481" s="11">
        <f>Summary!$C$16*Summary!$B$8</f>
        <v/>
      </c>
      <c r="O6481" s="11">
        <f>M6481-N6481</f>
        <v/>
      </c>
    </row>
    <row r="6482">
      <c r="A6482" s="9" t="n">
        <v>45562</v>
      </c>
      <c r="B6482" t="n">
        <v>9</v>
      </c>
      <c r="C6482" t="n">
        <v>27</v>
      </c>
      <c r="D6482" t="n">
        <v>0</v>
      </c>
      <c r="E6482" s="10" t="n">
        <v>0</v>
      </c>
      <c r="F6482" s="10" t="n">
        <v>0.3463444191226606</v>
      </c>
      <c r="G6482" s="11">
        <f>E6482*Summary!$B$6</f>
        <v/>
      </c>
      <c r="H6482" s="11">
        <f>F6482*Summary!$B$7</f>
        <v/>
      </c>
      <c r="I6482" s="11">
        <f>MAX(0,N6482-M6482)</f>
        <v/>
      </c>
      <c r="J6482" s="11">
        <f>MAX(0,M6482-N6482)</f>
        <v/>
      </c>
      <c r="K6482" s="11">
        <f>O6482</f>
        <v/>
      </c>
      <c r="L6482" s="11">
        <f>L6481+IF(K6482&gt;0,K6482*Summary!$B$9,K6482/Summary!$B$9)</f>
        <v/>
      </c>
      <c r="M6482" s="11">
        <f>G6482+H6482</f>
        <v/>
      </c>
      <c r="N6482" s="11">
        <f>Summary!$C$16*Summary!$B$8</f>
        <v/>
      </c>
      <c r="O6482" s="11">
        <f>M6482-N6482</f>
        <v/>
      </c>
    </row>
    <row r="6483">
      <c r="A6483" s="9" t="n">
        <v>45562.04166666666</v>
      </c>
      <c r="B6483" t="n">
        <v>9</v>
      </c>
      <c r="C6483" t="n">
        <v>27</v>
      </c>
      <c r="D6483" t="n">
        <v>1</v>
      </c>
      <c r="E6483" s="10" t="n">
        <v>0</v>
      </c>
      <c r="F6483" s="10" t="n">
        <v>0.3495857159005718</v>
      </c>
      <c r="G6483" s="11">
        <f>E6483*Summary!$B$6</f>
        <v/>
      </c>
      <c r="H6483" s="11">
        <f>F6483*Summary!$B$7</f>
        <v/>
      </c>
      <c r="I6483" s="11">
        <f>MAX(0,N6483-M6483)</f>
        <v/>
      </c>
      <c r="J6483" s="11">
        <f>MAX(0,M6483-N6483)</f>
        <v/>
      </c>
      <c r="K6483" s="11">
        <f>O6483</f>
        <v/>
      </c>
      <c r="L6483" s="11">
        <f>L6482+IF(K6483&gt;0,K6483*Summary!$B$9,K6483/Summary!$B$9)</f>
        <v/>
      </c>
      <c r="M6483" s="11">
        <f>G6483+H6483</f>
        <v/>
      </c>
      <c r="N6483" s="11">
        <f>Summary!$C$16*Summary!$B$8</f>
        <v/>
      </c>
      <c r="O6483" s="11">
        <f>M6483-N6483</f>
        <v/>
      </c>
    </row>
    <row r="6484">
      <c r="A6484" s="9" t="n">
        <v>45562.08333333334</v>
      </c>
      <c r="B6484" t="n">
        <v>9</v>
      </c>
      <c r="C6484" t="n">
        <v>27</v>
      </c>
      <c r="D6484" t="n">
        <v>2</v>
      </c>
      <c r="E6484" s="10" t="n">
        <v>0</v>
      </c>
      <c r="F6484" s="10" t="n">
        <v>0.3446842427242183</v>
      </c>
      <c r="G6484" s="11">
        <f>E6484*Summary!$B$6</f>
        <v/>
      </c>
      <c r="H6484" s="11">
        <f>F6484*Summary!$B$7</f>
        <v/>
      </c>
      <c r="I6484" s="11">
        <f>MAX(0,N6484-M6484)</f>
        <v/>
      </c>
      <c r="J6484" s="11">
        <f>MAX(0,M6484-N6484)</f>
        <v/>
      </c>
      <c r="K6484" s="11">
        <f>O6484</f>
        <v/>
      </c>
      <c r="L6484" s="11">
        <f>L6483+IF(K6484&gt;0,K6484*Summary!$B$9,K6484/Summary!$B$9)</f>
        <v/>
      </c>
      <c r="M6484" s="11">
        <f>G6484+H6484</f>
        <v/>
      </c>
      <c r="N6484" s="11">
        <f>Summary!$C$16*Summary!$B$8</f>
        <v/>
      </c>
      <c r="O6484" s="11">
        <f>M6484-N6484</f>
        <v/>
      </c>
    </row>
    <row r="6485">
      <c r="A6485" s="9" t="n">
        <v>45562.125</v>
      </c>
      <c r="B6485" t="n">
        <v>9</v>
      </c>
      <c r="C6485" t="n">
        <v>27</v>
      </c>
      <c r="D6485" t="n">
        <v>3</v>
      </c>
      <c r="E6485" s="10" t="n">
        <v>0</v>
      </c>
      <c r="F6485" s="10" t="n">
        <v>0.3544608370706009</v>
      </c>
      <c r="G6485" s="11">
        <f>E6485*Summary!$B$6</f>
        <v/>
      </c>
      <c r="H6485" s="11">
        <f>F6485*Summary!$B$7</f>
        <v/>
      </c>
      <c r="I6485" s="11">
        <f>MAX(0,N6485-M6485)</f>
        <v/>
      </c>
      <c r="J6485" s="11">
        <f>MAX(0,M6485-N6485)</f>
        <v/>
      </c>
      <c r="K6485" s="11">
        <f>O6485</f>
        <v/>
      </c>
      <c r="L6485" s="11">
        <f>L6484+IF(K6485&gt;0,K6485*Summary!$B$9,K6485/Summary!$B$9)</f>
        <v/>
      </c>
      <c r="M6485" s="11">
        <f>G6485+H6485</f>
        <v/>
      </c>
      <c r="N6485" s="11">
        <f>Summary!$C$16*Summary!$B$8</f>
        <v/>
      </c>
      <c r="O6485" s="11">
        <f>M6485-N6485</f>
        <v/>
      </c>
    </row>
    <row r="6486">
      <c r="A6486" s="9" t="n">
        <v>45562.16666666666</v>
      </c>
      <c r="B6486" t="n">
        <v>9</v>
      </c>
      <c r="C6486" t="n">
        <v>27</v>
      </c>
      <c r="D6486" t="n">
        <v>4</v>
      </c>
      <c r="E6486" s="10" t="n">
        <v>0</v>
      </c>
      <c r="F6486" s="10" t="n">
        <v>0.3445524826925959</v>
      </c>
      <c r="G6486" s="11">
        <f>E6486*Summary!$B$6</f>
        <v/>
      </c>
      <c r="H6486" s="11">
        <f>F6486*Summary!$B$7</f>
        <v/>
      </c>
      <c r="I6486" s="11">
        <f>MAX(0,N6486-M6486)</f>
        <v/>
      </c>
      <c r="J6486" s="11">
        <f>MAX(0,M6486-N6486)</f>
        <v/>
      </c>
      <c r="K6486" s="11">
        <f>O6486</f>
        <v/>
      </c>
      <c r="L6486" s="11">
        <f>L6485+IF(K6486&gt;0,K6486*Summary!$B$9,K6486/Summary!$B$9)</f>
        <v/>
      </c>
      <c r="M6486" s="11">
        <f>G6486+H6486</f>
        <v/>
      </c>
      <c r="N6486" s="11">
        <f>Summary!$C$16*Summary!$B$8</f>
        <v/>
      </c>
      <c r="O6486" s="11">
        <f>M6486-N6486</f>
        <v/>
      </c>
    </row>
    <row r="6487">
      <c r="A6487" s="9" t="n">
        <v>45562.20833333334</v>
      </c>
      <c r="B6487" t="n">
        <v>9</v>
      </c>
      <c r="C6487" t="n">
        <v>27</v>
      </c>
      <c r="D6487" t="n">
        <v>5</v>
      </c>
      <c r="E6487" s="10" t="n">
        <v>0</v>
      </c>
      <c r="F6487" s="10" t="n">
        <v>0.3462390110973627</v>
      </c>
      <c r="G6487" s="11">
        <f>E6487*Summary!$B$6</f>
        <v/>
      </c>
      <c r="H6487" s="11">
        <f>F6487*Summary!$B$7</f>
        <v/>
      </c>
      <c r="I6487" s="11">
        <f>MAX(0,N6487-M6487)</f>
        <v/>
      </c>
      <c r="J6487" s="11">
        <f>MAX(0,M6487-N6487)</f>
        <v/>
      </c>
      <c r="K6487" s="11">
        <f>O6487</f>
        <v/>
      </c>
      <c r="L6487" s="11">
        <f>L6486+IF(K6487&gt;0,K6487*Summary!$B$9,K6487/Summary!$B$9)</f>
        <v/>
      </c>
      <c r="M6487" s="11">
        <f>G6487+H6487</f>
        <v/>
      </c>
      <c r="N6487" s="11">
        <f>Summary!$C$16*Summary!$B$8</f>
        <v/>
      </c>
      <c r="O6487" s="11">
        <f>M6487-N6487</f>
        <v/>
      </c>
    </row>
    <row r="6488">
      <c r="A6488" s="9" t="n">
        <v>45562.25</v>
      </c>
      <c r="B6488" t="n">
        <v>9</v>
      </c>
      <c r="C6488" t="n">
        <v>27</v>
      </c>
      <c r="D6488" t="n">
        <v>6</v>
      </c>
      <c r="E6488" s="10" t="n">
        <v>0.003622</v>
      </c>
      <c r="F6488" s="10" t="n">
        <v>0.3401516976364075</v>
      </c>
      <c r="G6488" s="11">
        <f>E6488*Summary!$B$6</f>
        <v/>
      </c>
      <c r="H6488" s="11">
        <f>F6488*Summary!$B$7</f>
        <v/>
      </c>
      <c r="I6488" s="11">
        <f>MAX(0,N6488-M6488)</f>
        <v/>
      </c>
      <c r="J6488" s="11">
        <f>MAX(0,M6488-N6488)</f>
        <v/>
      </c>
      <c r="K6488" s="11">
        <f>O6488</f>
        <v/>
      </c>
      <c r="L6488" s="11">
        <f>L6487+IF(K6488&gt;0,K6488*Summary!$B$9,K6488/Summary!$B$9)</f>
        <v/>
      </c>
      <c r="M6488" s="11">
        <f>G6488+H6488</f>
        <v/>
      </c>
      <c r="N6488" s="11">
        <f>Summary!$C$16*Summary!$B$8</f>
        <v/>
      </c>
      <c r="O6488" s="11">
        <f>M6488-N6488</f>
        <v/>
      </c>
    </row>
    <row r="6489">
      <c r="A6489" s="9" t="n">
        <v>45562.29166666666</v>
      </c>
      <c r="B6489" t="n">
        <v>9</v>
      </c>
      <c r="C6489" t="n">
        <v>27</v>
      </c>
      <c r="D6489" t="n">
        <v>7</v>
      </c>
      <c r="E6489" s="10" t="n">
        <v>0.016291</v>
      </c>
      <c r="F6489" s="10" t="n">
        <v>0.3273973265753584</v>
      </c>
      <c r="G6489" s="11">
        <f>E6489*Summary!$B$6</f>
        <v/>
      </c>
      <c r="H6489" s="11">
        <f>F6489*Summary!$B$7</f>
        <v/>
      </c>
      <c r="I6489" s="11">
        <f>MAX(0,N6489-M6489)</f>
        <v/>
      </c>
      <c r="J6489" s="11">
        <f>MAX(0,M6489-N6489)</f>
        <v/>
      </c>
      <c r="K6489" s="11">
        <f>O6489</f>
        <v/>
      </c>
      <c r="L6489" s="11">
        <f>L6488+IF(K6489&gt;0,K6489*Summary!$B$9,K6489/Summary!$B$9)</f>
        <v/>
      </c>
      <c r="M6489" s="11">
        <f>G6489+H6489</f>
        <v/>
      </c>
      <c r="N6489" s="11">
        <f>Summary!$C$16*Summary!$B$8</f>
        <v/>
      </c>
      <c r="O6489" s="11">
        <f>M6489-N6489</f>
        <v/>
      </c>
    </row>
    <row r="6490">
      <c r="A6490" s="9" t="n">
        <v>45562.33333333334</v>
      </c>
      <c r="B6490" t="n">
        <v>9</v>
      </c>
      <c r="C6490" t="n">
        <v>27</v>
      </c>
      <c r="D6490" t="n">
        <v>8</v>
      </c>
      <c r="E6490" s="10" t="n">
        <v>0.052697</v>
      </c>
      <c r="F6490" s="10" t="n">
        <v>0.3103212264770943</v>
      </c>
      <c r="G6490" s="11">
        <f>E6490*Summary!$B$6</f>
        <v/>
      </c>
      <c r="H6490" s="11">
        <f>F6490*Summary!$B$7</f>
        <v/>
      </c>
      <c r="I6490" s="11">
        <f>MAX(0,N6490-M6490)</f>
        <v/>
      </c>
      <c r="J6490" s="11">
        <f>MAX(0,M6490-N6490)</f>
        <v/>
      </c>
      <c r="K6490" s="11">
        <f>O6490</f>
        <v/>
      </c>
      <c r="L6490" s="11">
        <f>L6489+IF(K6490&gt;0,K6490*Summary!$B$9,K6490/Summary!$B$9)</f>
        <v/>
      </c>
      <c r="M6490" s="11">
        <f>G6490+H6490</f>
        <v/>
      </c>
      <c r="N6490" s="11">
        <f>Summary!$C$16*Summary!$B$8</f>
        <v/>
      </c>
      <c r="O6490" s="11">
        <f>M6490-N6490</f>
        <v/>
      </c>
    </row>
    <row r="6491">
      <c r="A6491" s="9" t="n">
        <v>45562.375</v>
      </c>
      <c r="B6491" t="n">
        <v>9</v>
      </c>
      <c r="C6491" t="n">
        <v>27</v>
      </c>
      <c r="D6491" t="n">
        <v>9</v>
      </c>
      <c r="E6491" s="10" t="n">
        <v>0.089294</v>
      </c>
      <c r="F6491" s="10" t="n">
        <v>0.2975932074223698</v>
      </c>
      <c r="G6491" s="11">
        <f>E6491*Summary!$B$6</f>
        <v/>
      </c>
      <c r="H6491" s="11">
        <f>F6491*Summary!$B$7</f>
        <v/>
      </c>
      <c r="I6491" s="11">
        <f>MAX(0,N6491-M6491)</f>
        <v/>
      </c>
      <c r="J6491" s="11">
        <f>MAX(0,M6491-N6491)</f>
        <v/>
      </c>
      <c r="K6491" s="11">
        <f>O6491</f>
        <v/>
      </c>
      <c r="L6491" s="11">
        <f>L6490+IF(K6491&gt;0,K6491*Summary!$B$9,K6491/Summary!$B$9)</f>
        <v/>
      </c>
      <c r="M6491" s="11">
        <f>G6491+H6491</f>
        <v/>
      </c>
      <c r="N6491" s="11">
        <f>Summary!$C$16*Summary!$B$8</f>
        <v/>
      </c>
      <c r="O6491" s="11">
        <f>M6491-N6491</f>
        <v/>
      </c>
    </row>
    <row r="6492">
      <c r="A6492" s="9" t="n">
        <v>45562.41666666666</v>
      </c>
      <c r="B6492" t="n">
        <v>9</v>
      </c>
      <c r="C6492" t="n">
        <v>27</v>
      </c>
      <c r="D6492" t="n">
        <v>10</v>
      </c>
      <c r="E6492" s="10" t="n">
        <v>0.088134</v>
      </c>
      <c r="F6492" s="10" t="n">
        <v>0.2892396214175091</v>
      </c>
      <c r="G6492" s="11">
        <f>E6492*Summary!$B$6</f>
        <v/>
      </c>
      <c r="H6492" s="11">
        <f>F6492*Summary!$B$7</f>
        <v/>
      </c>
      <c r="I6492" s="11">
        <f>MAX(0,N6492-M6492)</f>
        <v/>
      </c>
      <c r="J6492" s="11">
        <f>MAX(0,M6492-N6492)</f>
        <v/>
      </c>
      <c r="K6492" s="11">
        <f>O6492</f>
        <v/>
      </c>
      <c r="L6492" s="11">
        <f>L6491+IF(K6492&gt;0,K6492*Summary!$B$9,K6492/Summary!$B$9)</f>
        <v/>
      </c>
      <c r="M6492" s="11">
        <f>G6492+H6492</f>
        <v/>
      </c>
      <c r="N6492" s="11">
        <f>Summary!$C$16*Summary!$B$8</f>
        <v/>
      </c>
      <c r="O6492" s="11">
        <f>M6492-N6492</f>
        <v/>
      </c>
    </row>
    <row r="6493">
      <c r="A6493" s="9" t="n">
        <v>45562.45833333334</v>
      </c>
      <c r="B6493" t="n">
        <v>9</v>
      </c>
      <c r="C6493" t="n">
        <v>27</v>
      </c>
      <c r="D6493" t="n">
        <v>11</v>
      </c>
      <c r="E6493" s="10" t="n">
        <v>0.227586</v>
      </c>
      <c r="F6493" s="10" t="n">
        <v>0.2911369658728718</v>
      </c>
      <c r="G6493" s="11">
        <f>E6493*Summary!$B$6</f>
        <v/>
      </c>
      <c r="H6493" s="11">
        <f>F6493*Summary!$B$7</f>
        <v/>
      </c>
      <c r="I6493" s="11">
        <f>MAX(0,N6493-M6493)</f>
        <v/>
      </c>
      <c r="J6493" s="11">
        <f>MAX(0,M6493-N6493)</f>
        <v/>
      </c>
      <c r="K6493" s="11">
        <f>O6493</f>
        <v/>
      </c>
      <c r="L6493" s="11">
        <f>L6492+IF(K6493&gt;0,K6493*Summary!$B$9,K6493/Summary!$B$9)</f>
        <v/>
      </c>
      <c r="M6493" s="11">
        <f>G6493+H6493</f>
        <v/>
      </c>
      <c r="N6493" s="11">
        <f>Summary!$C$16*Summary!$B$8</f>
        <v/>
      </c>
      <c r="O6493" s="11">
        <f>M6493-N6493</f>
        <v/>
      </c>
    </row>
    <row r="6494">
      <c r="A6494" s="9" t="n">
        <v>45562.5</v>
      </c>
      <c r="B6494" t="n">
        <v>9</v>
      </c>
      <c r="C6494" t="n">
        <v>27</v>
      </c>
      <c r="D6494" t="n">
        <v>12</v>
      </c>
      <c r="E6494" s="10" t="n">
        <v>0.293769</v>
      </c>
      <c r="F6494" s="10" t="n">
        <v>0.2990689197765408</v>
      </c>
      <c r="G6494" s="11">
        <f>E6494*Summary!$B$6</f>
        <v/>
      </c>
      <c r="H6494" s="11">
        <f>F6494*Summary!$B$7</f>
        <v/>
      </c>
      <c r="I6494" s="11">
        <f>MAX(0,N6494-M6494)</f>
        <v/>
      </c>
      <c r="J6494" s="11">
        <f>MAX(0,M6494-N6494)</f>
        <v/>
      </c>
      <c r="K6494" s="11">
        <f>O6494</f>
        <v/>
      </c>
      <c r="L6494" s="11">
        <f>L6493+IF(K6494&gt;0,K6494*Summary!$B$9,K6494/Summary!$B$9)</f>
        <v/>
      </c>
      <c r="M6494" s="11">
        <f>G6494+H6494</f>
        <v/>
      </c>
      <c r="N6494" s="11">
        <f>Summary!$C$16*Summary!$B$8</f>
        <v/>
      </c>
      <c r="O6494" s="11">
        <f>M6494-N6494</f>
        <v/>
      </c>
    </row>
    <row r="6495">
      <c r="A6495" s="9" t="n">
        <v>45562.54166666666</v>
      </c>
      <c r="B6495" t="n">
        <v>9</v>
      </c>
      <c r="C6495" t="n">
        <v>27</v>
      </c>
      <c r="D6495" t="n">
        <v>13</v>
      </c>
      <c r="E6495" s="10" t="n">
        <v>0.310336</v>
      </c>
      <c r="F6495" s="10" t="n">
        <v>0.3087928101102744</v>
      </c>
      <c r="G6495" s="11">
        <f>E6495*Summary!$B$6</f>
        <v/>
      </c>
      <c r="H6495" s="11">
        <f>F6495*Summary!$B$7</f>
        <v/>
      </c>
      <c r="I6495" s="11">
        <f>MAX(0,N6495-M6495)</f>
        <v/>
      </c>
      <c r="J6495" s="11">
        <f>MAX(0,M6495-N6495)</f>
        <v/>
      </c>
      <c r="K6495" s="11">
        <f>O6495</f>
        <v/>
      </c>
      <c r="L6495" s="11">
        <f>L6494+IF(K6495&gt;0,K6495*Summary!$B$9,K6495/Summary!$B$9)</f>
        <v/>
      </c>
      <c r="M6495" s="11">
        <f>G6495+H6495</f>
        <v/>
      </c>
      <c r="N6495" s="11">
        <f>Summary!$C$16*Summary!$B$8</f>
        <v/>
      </c>
      <c r="O6495" s="11">
        <f>M6495-N6495</f>
        <v/>
      </c>
    </row>
    <row r="6496">
      <c r="A6496" s="9" t="n">
        <v>45562.58333333334</v>
      </c>
      <c r="B6496" t="n">
        <v>9</v>
      </c>
      <c r="C6496" t="n">
        <v>27</v>
      </c>
      <c r="D6496" t="n">
        <v>14</v>
      </c>
      <c r="E6496" s="10" t="n">
        <v>0.159814</v>
      </c>
      <c r="F6496" s="10" t="n">
        <v>0.3218634052472172</v>
      </c>
      <c r="G6496" s="11">
        <f>E6496*Summary!$B$6</f>
        <v/>
      </c>
      <c r="H6496" s="11">
        <f>F6496*Summary!$B$7</f>
        <v/>
      </c>
      <c r="I6496" s="11">
        <f>MAX(0,N6496-M6496)</f>
        <v/>
      </c>
      <c r="J6496" s="11">
        <f>MAX(0,M6496-N6496)</f>
        <v/>
      </c>
      <c r="K6496" s="11">
        <f>O6496</f>
        <v/>
      </c>
      <c r="L6496" s="11">
        <f>L6495+IF(K6496&gt;0,K6496*Summary!$B$9,K6496/Summary!$B$9)</f>
        <v/>
      </c>
      <c r="M6496" s="11">
        <f>G6496+H6496</f>
        <v/>
      </c>
      <c r="N6496" s="11">
        <f>Summary!$C$16*Summary!$B$8</f>
        <v/>
      </c>
      <c r="O6496" s="11">
        <f>M6496-N6496</f>
        <v/>
      </c>
    </row>
    <row r="6497">
      <c r="A6497" s="9" t="n">
        <v>45562.625</v>
      </c>
      <c r="B6497" t="n">
        <v>9</v>
      </c>
      <c r="C6497" t="n">
        <v>27</v>
      </c>
      <c r="D6497" t="n">
        <v>15</v>
      </c>
      <c r="E6497" s="10" t="n">
        <v>0.205939</v>
      </c>
      <c r="F6497" s="10" t="n">
        <v>0.3317454076188978</v>
      </c>
      <c r="G6497" s="11">
        <f>E6497*Summary!$B$6</f>
        <v/>
      </c>
      <c r="H6497" s="11">
        <f>F6497*Summary!$B$7</f>
        <v/>
      </c>
      <c r="I6497" s="11">
        <f>MAX(0,N6497-M6497)</f>
        <v/>
      </c>
      <c r="J6497" s="11">
        <f>MAX(0,M6497-N6497)</f>
        <v/>
      </c>
      <c r="K6497" s="11">
        <f>O6497</f>
        <v/>
      </c>
      <c r="L6497" s="11">
        <f>L6496+IF(K6497&gt;0,K6497*Summary!$B$9,K6497/Summary!$B$9)</f>
        <v/>
      </c>
      <c r="M6497" s="11">
        <f>G6497+H6497</f>
        <v/>
      </c>
      <c r="N6497" s="11">
        <f>Summary!$C$16*Summary!$B$8</f>
        <v/>
      </c>
      <c r="O6497" s="11">
        <f>M6497-N6497</f>
        <v/>
      </c>
    </row>
    <row r="6498">
      <c r="A6498" s="9" t="n">
        <v>45562.66666666666</v>
      </c>
      <c r="B6498" t="n">
        <v>9</v>
      </c>
      <c r="C6498" t="n">
        <v>27</v>
      </c>
      <c r="D6498" t="n">
        <v>16</v>
      </c>
      <c r="E6498" s="10" t="n">
        <v>0.055768</v>
      </c>
      <c r="F6498" s="10" t="n">
        <v>0.3305859193406206</v>
      </c>
      <c r="G6498" s="11">
        <f>E6498*Summary!$B$6</f>
        <v/>
      </c>
      <c r="H6498" s="11">
        <f>F6498*Summary!$B$7</f>
        <v/>
      </c>
      <c r="I6498" s="11">
        <f>MAX(0,N6498-M6498)</f>
        <v/>
      </c>
      <c r="J6498" s="11">
        <f>MAX(0,M6498-N6498)</f>
        <v/>
      </c>
      <c r="K6498" s="11">
        <f>O6498</f>
        <v/>
      </c>
      <c r="L6498" s="11">
        <f>L6497+IF(K6498&gt;0,K6498*Summary!$B$9,K6498/Summary!$B$9)</f>
        <v/>
      </c>
      <c r="M6498" s="11">
        <f>G6498+H6498</f>
        <v/>
      </c>
      <c r="N6498" s="11">
        <f>Summary!$C$16*Summary!$B$8</f>
        <v/>
      </c>
      <c r="O6498" s="11">
        <f>M6498-N6498</f>
        <v/>
      </c>
    </row>
    <row r="6499">
      <c r="A6499" s="9" t="n">
        <v>45562.70833333334</v>
      </c>
      <c r="B6499" t="n">
        <v>9</v>
      </c>
      <c r="C6499" t="n">
        <v>27</v>
      </c>
      <c r="D6499" t="n">
        <v>17</v>
      </c>
      <c r="E6499" s="10" t="n">
        <v>0.007839</v>
      </c>
      <c r="F6499" s="10" t="n">
        <v>0.3431558263573983</v>
      </c>
      <c r="G6499" s="11">
        <f>E6499*Summary!$B$6</f>
        <v/>
      </c>
      <c r="H6499" s="11">
        <f>F6499*Summary!$B$7</f>
        <v/>
      </c>
      <c r="I6499" s="11">
        <f>MAX(0,N6499-M6499)</f>
        <v/>
      </c>
      <c r="J6499" s="11">
        <f>MAX(0,M6499-N6499)</f>
        <v/>
      </c>
      <c r="K6499" s="11">
        <f>O6499</f>
        <v/>
      </c>
      <c r="L6499" s="11">
        <f>L6498+IF(K6499&gt;0,K6499*Summary!$B$9,K6499/Summary!$B$9)</f>
        <v/>
      </c>
      <c r="M6499" s="11">
        <f>G6499+H6499</f>
        <v/>
      </c>
      <c r="N6499" s="11">
        <f>Summary!$C$16*Summary!$B$8</f>
        <v/>
      </c>
      <c r="O6499" s="11">
        <f>M6499-N6499</f>
        <v/>
      </c>
    </row>
    <row r="6500">
      <c r="A6500" s="9" t="n">
        <v>45562.75</v>
      </c>
      <c r="B6500" t="n">
        <v>9</v>
      </c>
      <c r="C6500" t="n">
        <v>27</v>
      </c>
      <c r="D6500" t="n">
        <v>18</v>
      </c>
      <c r="E6500" s="10" t="n">
        <v>0</v>
      </c>
      <c r="F6500" s="10" t="n">
        <v>0.3656604397585055</v>
      </c>
      <c r="G6500" s="11">
        <f>E6500*Summary!$B$6</f>
        <v/>
      </c>
      <c r="H6500" s="11">
        <f>F6500*Summary!$B$7</f>
        <v/>
      </c>
      <c r="I6500" s="11">
        <f>MAX(0,N6500-M6500)</f>
        <v/>
      </c>
      <c r="J6500" s="11">
        <f>MAX(0,M6500-N6500)</f>
        <v/>
      </c>
      <c r="K6500" s="11">
        <f>O6500</f>
        <v/>
      </c>
      <c r="L6500" s="11">
        <f>L6499+IF(K6500&gt;0,K6500*Summary!$B$9,K6500/Summary!$B$9)</f>
        <v/>
      </c>
      <c r="M6500" s="11">
        <f>G6500+H6500</f>
        <v/>
      </c>
      <c r="N6500" s="11">
        <f>Summary!$C$16*Summary!$B$8</f>
        <v/>
      </c>
      <c r="O6500" s="11">
        <f>M6500-N6500</f>
        <v/>
      </c>
    </row>
    <row r="6501">
      <c r="A6501" s="9" t="n">
        <v>45562.79166666666</v>
      </c>
      <c r="B6501" t="n">
        <v>9</v>
      </c>
      <c r="C6501" t="n">
        <v>27</v>
      </c>
      <c r="D6501" t="n">
        <v>19</v>
      </c>
      <c r="E6501" s="10" t="n">
        <v>0</v>
      </c>
      <c r="F6501" s="10" t="n">
        <v>0.3789154989397198</v>
      </c>
      <c r="G6501" s="11">
        <f>E6501*Summary!$B$6</f>
        <v/>
      </c>
      <c r="H6501" s="11">
        <f>F6501*Summary!$B$7</f>
        <v/>
      </c>
      <c r="I6501" s="11">
        <f>MAX(0,N6501-M6501)</f>
        <v/>
      </c>
      <c r="J6501" s="11">
        <f>MAX(0,M6501-N6501)</f>
        <v/>
      </c>
      <c r="K6501" s="11">
        <f>O6501</f>
        <v/>
      </c>
      <c r="L6501" s="11">
        <f>L6500+IF(K6501&gt;0,K6501*Summary!$B$9,K6501/Summary!$B$9)</f>
        <v/>
      </c>
      <c r="M6501" s="11">
        <f>G6501+H6501</f>
        <v/>
      </c>
      <c r="N6501" s="11">
        <f>Summary!$C$16*Summary!$B$8</f>
        <v/>
      </c>
      <c r="O6501" s="11">
        <f>M6501-N6501</f>
        <v/>
      </c>
    </row>
    <row r="6502">
      <c r="A6502" s="9" t="n">
        <v>45562.83333333334</v>
      </c>
      <c r="B6502" t="n">
        <v>9</v>
      </c>
      <c r="C6502" t="n">
        <v>27</v>
      </c>
      <c r="D6502" t="n">
        <v>20</v>
      </c>
      <c r="E6502" s="10" t="n">
        <v>0</v>
      </c>
      <c r="F6502" s="10" t="n">
        <v>0.3829210039010409</v>
      </c>
      <c r="G6502" s="11">
        <f>E6502*Summary!$B$6</f>
        <v/>
      </c>
      <c r="H6502" s="11">
        <f>F6502*Summary!$B$7</f>
        <v/>
      </c>
      <c r="I6502" s="11">
        <f>MAX(0,N6502-M6502)</f>
        <v/>
      </c>
      <c r="J6502" s="11">
        <f>MAX(0,M6502-N6502)</f>
        <v/>
      </c>
      <c r="K6502" s="11">
        <f>O6502</f>
        <v/>
      </c>
      <c r="L6502" s="11">
        <f>L6501+IF(K6502&gt;0,K6502*Summary!$B$9,K6502/Summary!$B$9)</f>
        <v/>
      </c>
      <c r="M6502" s="11">
        <f>G6502+H6502</f>
        <v/>
      </c>
      <c r="N6502" s="11">
        <f>Summary!$C$16*Summary!$B$8</f>
        <v/>
      </c>
      <c r="O6502" s="11">
        <f>M6502-N6502</f>
        <v/>
      </c>
    </row>
    <row r="6503">
      <c r="A6503" s="9" t="n">
        <v>45562.875</v>
      </c>
      <c r="B6503" t="n">
        <v>9</v>
      </c>
      <c r="C6503" t="n">
        <v>27</v>
      </c>
      <c r="D6503" t="n">
        <v>21</v>
      </c>
      <c r="E6503" s="10" t="n">
        <v>0</v>
      </c>
      <c r="F6503" s="10" t="n">
        <v>0.3728018334724401</v>
      </c>
      <c r="G6503" s="11">
        <f>E6503*Summary!$B$6</f>
        <v/>
      </c>
      <c r="H6503" s="11">
        <f>F6503*Summary!$B$7</f>
        <v/>
      </c>
      <c r="I6503" s="11">
        <f>MAX(0,N6503-M6503)</f>
        <v/>
      </c>
      <c r="J6503" s="11">
        <f>MAX(0,M6503-N6503)</f>
        <v/>
      </c>
      <c r="K6503" s="11">
        <f>O6503</f>
        <v/>
      </c>
      <c r="L6503" s="11">
        <f>L6502+IF(K6503&gt;0,K6503*Summary!$B$9,K6503/Summary!$B$9)</f>
        <v/>
      </c>
      <c r="M6503" s="11">
        <f>G6503+H6503</f>
        <v/>
      </c>
      <c r="N6503" s="11">
        <f>Summary!$C$16*Summary!$B$8</f>
        <v/>
      </c>
      <c r="O6503" s="11">
        <f>M6503-N6503</f>
        <v/>
      </c>
    </row>
    <row r="6504">
      <c r="A6504" s="9" t="n">
        <v>45562.91666666666</v>
      </c>
      <c r="B6504" t="n">
        <v>9</v>
      </c>
      <c r="C6504" t="n">
        <v>27</v>
      </c>
      <c r="D6504" t="n">
        <v>22</v>
      </c>
      <c r="E6504" s="10" t="n">
        <v>0</v>
      </c>
      <c r="F6504" s="10" t="n">
        <v>0.3621029189047005</v>
      </c>
      <c r="G6504" s="11">
        <f>E6504*Summary!$B$6</f>
        <v/>
      </c>
      <c r="H6504" s="11">
        <f>F6504*Summary!$B$7</f>
        <v/>
      </c>
      <c r="I6504" s="11">
        <f>MAX(0,N6504-M6504)</f>
        <v/>
      </c>
      <c r="J6504" s="11">
        <f>MAX(0,M6504-N6504)</f>
        <v/>
      </c>
      <c r="K6504" s="11">
        <f>O6504</f>
        <v/>
      </c>
      <c r="L6504" s="11">
        <f>L6503+IF(K6504&gt;0,K6504*Summary!$B$9,K6504/Summary!$B$9)</f>
        <v/>
      </c>
      <c r="M6504" s="11">
        <f>G6504+H6504</f>
        <v/>
      </c>
      <c r="N6504" s="11">
        <f>Summary!$C$16*Summary!$B$8</f>
        <v/>
      </c>
      <c r="O6504" s="11">
        <f>M6504-N6504</f>
        <v/>
      </c>
    </row>
    <row r="6505">
      <c r="A6505" s="9" t="n">
        <v>45562.95833333334</v>
      </c>
      <c r="B6505" t="n">
        <v>9</v>
      </c>
      <c r="C6505" t="n">
        <v>27</v>
      </c>
      <c r="D6505" t="n">
        <v>23</v>
      </c>
      <c r="E6505" s="10" t="n">
        <v>0</v>
      </c>
      <c r="F6505" s="10" t="n">
        <v>0.3555412693299046</v>
      </c>
      <c r="G6505" s="11">
        <f>E6505*Summary!$B$6</f>
        <v/>
      </c>
      <c r="H6505" s="11">
        <f>F6505*Summary!$B$7</f>
        <v/>
      </c>
      <c r="I6505" s="11">
        <f>MAX(0,N6505-M6505)</f>
        <v/>
      </c>
      <c r="J6505" s="11">
        <f>MAX(0,M6505-N6505)</f>
        <v/>
      </c>
      <c r="K6505" s="11">
        <f>O6505</f>
        <v/>
      </c>
      <c r="L6505" s="11">
        <f>L6504+IF(K6505&gt;0,K6505*Summary!$B$9,K6505/Summary!$B$9)</f>
        <v/>
      </c>
      <c r="M6505" s="11">
        <f>G6505+H6505</f>
        <v/>
      </c>
      <c r="N6505" s="11">
        <f>Summary!$C$16*Summary!$B$8</f>
        <v/>
      </c>
      <c r="O6505" s="11">
        <f>M6505-N6505</f>
        <v/>
      </c>
    </row>
    <row r="6506">
      <c r="A6506" s="9" t="n">
        <v>45563</v>
      </c>
      <c r="B6506" t="n">
        <v>9</v>
      </c>
      <c r="C6506" t="n">
        <v>28</v>
      </c>
      <c r="D6506" t="n">
        <v>0</v>
      </c>
      <c r="E6506" s="10" t="n">
        <v>0</v>
      </c>
      <c r="F6506" s="10" t="n">
        <v>0.2857611565826776</v>
      </c>
      <c r="G6506" s="11">
        <f>E6506*Summary!$B$6</f>
        <v/>
      </c>
      <c r="H6506" s="11">
        <f>F6506*Summary!$B$7</f>
        <v/>
      </c>
      <c r="I6506" s="11">
        <f>MAX(0,N6506-M6506)</f>
        <v/>
      </c>
      <c r="J6506" s="11">
        <f>MAX(0,M6506-N6506)</f>
        <v/>
      </c>
      <c r="K6506" s="11">
        <f>O6506</f>
        <v/>
      </c>
      <c r="L6506" s="11">
        <f>L6505+IF(K6506&gt;0,K6506*Summary!$B$9,K6506/Summary!$B$9)</f>
        <v/>
      </c>
      <c r="M6506" s="11">
        <f>G6506+H6506</f>
        <v/>
      </c>
      <c r="N6506" s="11">
        <f>Summary!$C$16*Summary!$B$8</f>
        <v/>
      </c>
      <c r="O6506" s="11">
        <f>M6506-N6506</f>
        <v/>
      </c>
    </row>
    <row r="6507">
      <c r="A6507" s="9" t="n">
        <v>45563.04166666666</v>
      </c>
      <c r="B6507" t="n">
        <v>9</v>
      </c>
      <c r="C6507" t="n">
        <v>28</v>
      </c>
      <c r="D6507" t="n">
        <v>1</v>
      </c>
      <c r="E6507" s="10" t="n">
        <v>0</v>
      </c>
      <c r="F6507" s="10" t="n">
        <v>0.3411794258830622</v>
      </c>
      <c r="G6507" s="11">
        <f>E6507*Summary!$B$6</f>
        <v/>
      </c>
      <c r="H6507" s="11">
        <f>F6507*Summary!$B$7</f>
        <v/>
      </c>
      <c r="I6507" s="11">
        <f>MAX(0,N6507-M6507)</f>
        <v/>
      </c>
      <c r="J6507" s="11">
        <f>MAX(0,M6507-N6507)</f>
        <v/>
      </c>
      <c r="K6507" s="11">
        <f>O6507</f>
        <v/>
      </c>
      <c r="L6507" s="11">
        <f>L6506+IF(K6507&gt;0,K6507*Summary!$B$9,K6507/Summary!$B$9)</f>
        <v/>
      </c>
      <c r="M6507" s="11">
        <f>G6507+H6507</f>
        <v/>
      </c>
      <c r="N6507" s="11">
        <f>Summary!$C$16*Summary!$B$8</f>
        <v/>
      </c>
      <c r="O6507" s="11">
        <f>M6507-N6507</f>
        <v/>
      </c>
    </row>
    <row r="6508">
      <c r="A6508" s="9" t="n">
        <v>45563.08333333334</v>
      </c>
      <c r="B6508" t="n">
        <v>9</v>
      </c>
      <c r="C6508" t="n">
        <v>28</v>
      </c>
      <c r="D6508" t="n">
        <v>2</v>
      </c>
      <c r="E6508" s="10" t="n">
        <v>0</v>
      </c>
      <c r="F6508" s="10" t="n">
        <v>0.3376746090419062</v>
      </c>
      <c r="G6508" s="11">
        <f>E6508*Summary!$B$6</f>
        <v/>
      </c>
      <c r="H6508" s="11">
        <f>F6508*Summary!$B$7</f>
        <v/>
      </c>
      <c r="I6508" s="11">
        <f>MAX(0,N6508-M6508)</f>
        <v/>
      </c>
      <c r="J6508" s="11">
        <f>MAX(0,M6508-N6508)</f>
        <v/>
      </c>
      <c r="K6508" s="11">
        <f>O6508</f>
        <v/>
      </c>
      <c r="L6508" s="11">
        <f>L6507+IF(K6508&gt;0,K6508*Summary!$B$9,K6508/Summary!$B$9)</f>
        <v/>
      </c>
      <c r="M6508" s="11">
        <f>G6508+H6508</f>
        <v/>
      </c>
      <c r="N6508" s="11">
        <f>Summary!$C$16*Summary!$B$8</f>
        <v/>
      </c>
      <c r="O6508" s="11">
        <f>M6508-N6508</f>
        <v/>
      </c>
    </row>
    <row r="6509">
      <c r="A6509" s="9" t="n">
        <v>45563.125</v>
      </c>
      <c r="B6509" t="n">
        <v>9</v>
      </c>
      <c r="C6509" t="n">
        <v>28</v>
      </c>
      <c r="D6509" t="n">
        <v>3</v>
      </c>
      <c r="E6509" s="10" t="n">
        <v>0</v>
      </c>
      <c r="F6509" s="10" t="n">
        <v>0.3375428490102838</v>
      </c>
      <c r="G6509" s="11">
        <f>E6509*Summary!$B$6</f>
        <v/>
      </c>
      <c r="H6509" s="11">
        <f>F6509*Summary!$B$7</f>
        <v/>
      </c>
      <c r="I6509" s="11">
        <f>MAX(0,N6509-M6509)</f>
        <v/>
      </c>
      <c r="J6509" s="11">
        <f>MAX(0,M6509-N6509)</f>
        <v/>
      </c>
      <c r="K6509" s="11">
        <f>O6509</f>
        <v/>
      </c>
      <c r="L6509" s="11">
        <f>L6508+IF(K6509&gt;0,K6509*Summary!$B$9,K6509/Summary!$B$9)</f>
        <v/>
      </c>
      <c r="M6509" s="11">
        <f>G6509+H6509</f>
        <v/>
      </c>
      <c r="N6509" s="11">
        <f>Summary!$C$16*Summary!$B$8</f>
        <v/>
      </c>
      <c r="O6509" s="11">
        <f>M6509-N6509</f>
        <v/>
      </c>
    </row>
    <row r="6510">
      <c r="A6510" s="9" t="n">
        <v>45563.16666666666</v>
      </c>
      <c r="B6510" t="n">
        <v>9</v>
      </c>
      <c r="C6510" t="n">
        <v>28</v>
      </c>
      <c r="D6510" t="n">
        <v>4</v>
      </c>
      <c r="E6510" s="10" t="n">
        <v>0</v>
      </c>
      <c r="F6510" s="10" t="n">
        <v>0.3393874894529975</v>
      </c>
      <c r="G6510" s="11">
        <f>E6510*Summary!$B$6</f>
        <v/>
      </c>
      <c r="H6510" s="11">
        <f>F6510*Summary!$B$7</f>
        <v/>
      </c>
      <c r="I6510" s="11">
        <f>MAX(0,N6510-M6510)</f>
        <v/>
      </c>
      <c r="J6510" s="11">
        <f>MAX(0,M6510-N6510)</f>
        <v/>
      </c>
      <c r="K6510" s="11">
        <f>O6510</f>
        <v/>
      </c>
      <c r="L6510" s="11">
        <f>L6509+IF(K6510&gt;0,K6510*Summary!$B$9,K6510/Summary!$B$9)</f>
        <v/>
      </c>
      <c r="M6510" s="11">
        <f>G6510+H6510</f>
        <v/>
      </c>
      <c r="N6510" s="11">
        <f>Summary!$C$16*Summary!$B$8</f>
        <v/>
      </c>
      <c r="O6510" s="11">
        <f>M6510-N6510</f>
        <v/>
      </c>
    </row>
    <row r="6511">
      <c r="A6511" s="9" t="n">
        <v>45563.20833333334</v>
      </c>
      <c r="B6511" t="n">
        <v>9</v>
      </c>
      <c r="C6511" t="n">
        <v>28</v>
      </c>
      <c r="D6511" t="n">
        <v>5</v>
      </c>
      <c r="E6511" s="10" t="n">
        <v>0</v>
      </c>
      <c r="F6511" s="10" t="n">
        <v>0.3398091215541891</v>
      </c>
      <c r="G6511" s="11">
        <f>E6511*Summary!$B$6</f>
        <v/>
      </c>
      <c r="H6511" s="11">
        <f>F6511*Summary!$B$7</f>
        <v/>
      </c>
      <c r="I6511" s="11">
        <f>MAX(0,N6511-M6511)</f>
        <v/>
      </c>
      <c r="J6511" s="11">
        <f>MAX(0,M6511-N6511)</f>
        <v/>
      </c>
      <c r="K6511" s="11">
        <f>O6511</f>
        <v/>
      </c>
      <c r="L6511" s="11">
        <f>L6510+IF(K6511&gt;0,K6511*Summary!$B$9,K6511/Summary!$B$9)</f>
        <v/>
      </c>
      <c r="M6511" s="11">
        <f>G6511+H6511</f>
        <v/>
      </c>
      <c r="N6511" s="11">
        <f>Summary!$C$16*Summary!$B$8</f>
        <v/>
      </c>
      <c r="O6511" s="11">
        <f>M6511-N6511</f>
        <v/>
      </c>
    </row>
    <row r="6512">
      <c r="A6512" s="9" t="n">
        <v>45563.25</v>
      </c>
      <c r="B6512" t="n">
        <v>9</v>
      </c>
      <c r="C6512" t="n">
        <v>28</v>
      </c>
      <c r="D6512" t="n">
        <v>6</v>
      </c>
      <c r="E6512" s="10" t="n">
        <v>0.003515</v>
      </c>
      <c r="F6512" s="10" t="n">
        <v>0.3443680186483244</v>
      </c>
      <c r="G6512" s="11">
        <f>E6512*Summary!$B$6</f>
        <v/>
      </c>
      <c r="H6512" s="11">
        <f>F6512*Summary!$B$7</f>
        <v/>
      </c>
      <c r="I6512" s="11">
        <f>MAX(0,N6512-M6512)</f>
        <v/>
      </c>
      <c r="J6512" s="11">
        <f>MAX(0,M6512-N6512)</f>
        <v/>
      </c>
      <c r="K6512" s="11">
        <f>O6512</f>
        <v/>
      </c>
      <c r="L6512" s="11">
        <f>L6511+IF(K6512&gt;0,K6512*Summary!$B$9,K6512/Summary!$B$9)</f>
        <v/>
      </c>
      <c r="M6512" s="11">
        <f>G6512+H6512</f>
        <v/>
      </c>
      <c r="N6512" s="11">
        <f>Summary!$C$16*Summary!$B$8</f>
        <v/>
      </c>
      <c r="O6512" s="11">
        <f>M6512-N6512</f>
        <v/>
      </c>
    </row>
    <row r="6513">
      <c r="A6513" s="9" t="n">
        <v>45563.29166666666</v>
      </c>
      <c r="B6513" t="n">
        <v>9</v>
      </c>
      <c r="C6513" t="n">
        <v>28</v>
      </c>
      <c r="D6513" t="n">
        <v>7</v>
      </c>
      <c r="E6513" s="10" t="n">
        <v>0.034053</v>
      </c>
      <c r="F6513" s="10" t="n">
        <v>0.3281878867650928</v>
      </c>
      <c r="G6513" s="11">
        <f>E6513*Summary!$B$6</f>
        <v/>
      </c>
      <c r="H6513" s="11">
        <f>F6513*Summary!$B$7</f>
        <v/>
      </c>
      <c r="I6513" s="11">
        <f>MAX(0,N6513-M6513)</f>
        <v/>
      </c>
      <c r="J6513" s="11">
        <f>MAX(0,M6513-N6513)</f>
        <v/>
      </c>
      <c r="K6513" s="11">
        <f>O6513</f>
        <v/>
      </c>
      <c r="L6513" s="11">
        <f>L6512+IF(K6513&gt;0,K6513*Summary!$B$9,K6513/Summary!$B$9)</f>
        <v/>
      </c>
      <c r="M6513" s="11">
        <f>G6513+H6513</f>
        <v/>
      </c>
      <c r="N6513" s="11">
        <f>Summary!$C$16*Summary!$B$8</f>
        <v/>
      </c>
      <c r="O6513" s="11">
        <f>M6513-N6513</f>
        <v/>
      </c>
    </row>
    <row r="6514">
      <c r="A6514" s="9" t="n">
        <v>45563.33333333334</v>
      </c>
      <c r="B6514" t="n">
        <v>9</v>
      </c>
      <c r="C6514" t="n">
        <v>28</v>
      </c>
      <c r="D6514" t="n">
        <v>8</v>
      </c>
      <c r="E6514" s="10" t="n">
        <v>0.049587</v>
      </c>
      <c r="F6514" s="10" t="n">
        <v>0.3095306662873599</v>
      </c>
      <c r="G6514" s="11">
        <f>E6514*Summary!$B$6</f>
        <v/>
      </c>
      <c r="H6514" s="11">
        <f>F6514*Summary!$B$7</f>
        <v/>
      </c>
      <c r="I6514" s="11">
        <f>MAX(0,N6514-M6514)</f>
        <v/>
      </c>
      <c r="J6514" s="11">
        <f>MAX(0,M6514-N6514)</f>
        <v/>
      </c>
      <c r="K6514" s="11">
        <f>O6514</f>
        <v/>
      </c>
      <c r="L6514" s="11">
        <f>L6513+IF(K6514&gt;0,K6514*Summary!$B$9,K6514/Summary!$B$9)</f>
        <v/>
      </c>
      <c r="M6514" s="11">
        <f>G6514+H6514</f>
        <v/>
      </c>
      <c r="N6514" s="11">
        <f>Summary!$C$16*Summary!$B$8</f>
        <v/>
      </c>
      <c r="O6514" s="11">
        <f>M6514-N6514</f>
        <v/>
      </c>
    </row>
    <row r="6515">
      <c r="A6515" s="9" t="n">
        <v>45563.375</v>
      </c>
      <c r="B6515" t="n">
        <v>9</v>
      </c>
      <c r="C6515" t="n">
        <v>28</v>
      </c>
      <c r="D6515" t="n">
        <v>9</v>
      </c>
      <c r="E6515" s="10" t="n">
        <v>0.29595</v>
      </c>
      <c r="F6515" s="10" t="n">
        <v>0.2979094314982635</v>
      </c>
      <c r="G6515" s="11">
        <f>E6515*Summary!$B$6</f>
        <v/>
      </c>
      <c r="H6515" s="11">
        <f>F6515*Summary!$B$7</f>
        <v/>
      </c>
      <c r="I6515" s="11">
        <f>MAX(0,N6515-M6515)</f>
        <v/>
      </c>
      <c r="J6515" s="11">
        <f>MAX(0,M6515-N6515)</f>
        <v/>
      </c>
      <c r="K6515" s="11">
        <f>O6515</f>
        <v/>
      </c>
      <c r="L6515" s="11">
        <f>L6514+IF(K6515&gt;0,K6515*Summary!$B$9,K6515/Summary!$B$9)</f>
        <v/>
      </c>
      <c r="M6515" s="11">
        <f>G6515+H6515</f>
        <v/>
      </c>
      <c r="N6515" s="11">
        <f>Summary!$C$16*Summary!$B$8</f>
        <v/>
      </c>
      <c r="O6515" s="11">
        <f>M6515-N6515</f>
        <v/>
      </c>
    </row>
    <row r="6516">
      <c r="A6516" s="9" t="n">
        <v>45563.41666666666</v>
      </c>
      <c r="B6516" t="n">
        <v>9</v>
      </c>
      <c r="C6516" t="n">
        <v>28</v>
      </c>
      <c r="D6516" t="n">
        <v>10</v>
      </c>
      <c r="E6516" s="10" t="n">
        <v>0.221995</v>
      </c>
      <c r="F6516" s="10" t="n">
        <v>0.2967499432199864</v>
      </c>
      <c r="G6516" s="11">
        <f>E6516*Summary!$B$6</f>
        <v/>
      </c>
      <c r="H6516" s="11">
        <f>F6516*Summary!$B$7</f>
        <v/>
      </c>
      <c r="I6516" s="11">
        <f>MAX(0,N6516-M6516)</f>
        <v/>
      </c>
      <c r="J6516" s="11">
        <f>MAX(0,M6516-N6516)</f>
        <v/>
      </c>
      <c r="K6516" s="11">
        <f>O6516</f>
        <v/>
      </c>
      <c r="L6516" s="11">
        <f>L6515+IF(K6516&gt;0,K6516*Summary!$B$9,K6516/Summary!$B$9)</f>
        <v/>
      </c>
      <c r="M6516" s="11">
        <f>G6516+H6516</f>
        <v/>
      </c>
      <c r="N6516" s="11">
        <f>Summary!$C$16*Summary!$B$8</f>
        <v/>
      </c>
      <c r="O6516" s="11">
        <f>M6516-N6516</f>
        <v/>
      </c>
    </row>
    <row r="6517">
      <c r="A6517" s="9" t="n">
        <v>45563.45833333334</v>
      </c>
      <c r="B6517" t="n">
        <v>9</v>
      </c>
      <c r="C6517" t="n">
        <v>28</v>
      </c>
      <c r="D6517" t="n">
        <v>11</v>
      </c>
      <c r="E6517" s="10" t="n">
        <v>0.472911</v>
      </c>
      <c r="F6517" s="10" t="n">
        <v>0.2983837676121042</v>
      </c>
      <c r="G6517" s="11">
        <f>E6517*Summary!$B$6</f>
        <v/>
      </c>
      <c r="H6517" s="11">
        <f>F6517*Summary!$B$7</f>
        <v/>
      </c>
      <c r="I6517" s="11">
        <f>MAX(0,N6517-M6517)</f>
        <v/>
      </c>
      <c r="J6517" s="11">
        <f>MAX(0,M6517-N6517)</f>
        <v/>
      </c>
      <c r="K6517" s="11">
        <f>O6517</f>
        <v/>
      </c>
      <c r="L6517" s="11">
        <f>L6516+IF(K6517&gt;0,K6517*Summary!$B$9,K6517/Summary!$B$9)</f>
        <v/>
      </c>
      <c r="M6517" s="11">
        <f>G6517+H6517</f>
        <v/>
      </c>
      <c r="N6517" s="11">
        <f>Summary!$C$16*Summary!$B$8</f>
        <v/>
      </c>
      <c r="O6517" s="11">
        <f>M6517-N6517</f>
        <v/>
      </c>
    </row>
    <row r="6518">
      <c r="A6518" s="9" t="n">
        <v>45563.5</v>
      </c>
      <c r="B6518" t="n">
        <v>9</v>
      </c>
      <c r="C6518" t="n">
        <v>28</v>
      </c>
      <c r="D6518" t="n">
        <v>12</v>
      </c>
      <c r="E6518" s="10" t="n">
        <v>0.19609</v>
      </c>
      <c r="F6518" s="10" t="n">
        <v>0.2981202475488594</v>
      </c>
      <c r="G6518" s="11">
        <f>E6518*Summary!$B$6</f>
        <v/>
      </c>
      <c r="H6518" s="11">
        <f>F6518*Summary!$B$7</f>
        <v/>
      </c>
      <c r="I6518" s="11">
        <f>MAX(0,N6518-M6518)</f>
        <v/>
      </c>
      <c r="J6518" s="11">
        <f>MAX(0,M6518-N6518)</f>
        <v/>
      </c>
      <c r="K6518" s="11">
        <f>O6518</f>
        <v/>
      </c>
      <c r="L6518" s="11">
        <f>L6517+IF(K6518&gt;0,K6518*Summary!$B$9,K6518/Summary!$B$9)</f>
        <v/>
      </c>
      <c r="M6518" s="11">
        <f>G6518+H6518</f>
        <v/>
      </c>
      <c r="N6518" s="11">
        <f>Summary!$C$16*Summary!$B$8</f>
        <v/>
      </c>
      <c r="O6518" s="11">
        <f>M6518-N6518</f>
        <v/>
      </c>
    </row>
    <row r="6519">
      <c r="A6519" s="9" t="n">
        <v>45563.54166666666</v>
      </c>
      <c r="B6519" t="n">
        <v>9</v>
      </c>
      <c r="C6519" t="n">
        <v>28</v>
      </c>
      <c r="D6519" t="n">
        <v>13</v>
      </c>
      <c r="E6519" s="10" t="n">
        <v>0.195173</v>
      </c>
      <c r="F6519" s="10" t="n">
        <v>0.2997277199346528</v>
      </c>
      <c r="G6519" s="11">
        <f>E6519*Summary!$B$6</f>
        <v/>
      </c>
      <c r="H6519" s="11">
        <f>F6519*Summary!$B$7</f>
        <v/>
      </c>
      <c r="I6519" s="11">
        <f>MAX(0,N6519-M6519)</f>
        <v/>
      </c>
      <c r="J6519" s="11">
        <f>MAX(0,M6519-N6519)</f>
        <v/>
      </c>
      <c r="K6519" s="11">
        <f>O6519</f>
        <v/>
      </c>
      <c r="L6519" s="11">
        <f>L6518+IF(K6519&gt;0,K6519*Summary!$B$9,K6519/Summary!$B$9)</f>
        <v/>
      </c>
      <c r="M6519" s="11">
        <f>G6519+H6519</f>
        <v/>
      </c>
      <c r="N6519" s="11">
        <f>Summary!$C$16*Summary!$B$8</f>
        <v/>
      </c>
      <c r="O6519" s="11">
        <f>M6519-N6519</f>
        <v/>
      </c>
    </row>
    <row r="6520">
      <c r="A6520" s="9" t="n">
        <v>45563.58333333334</v>
      </c>
      <c r="B6520" t="n">
        <v>9</v>
      </c>
      <c r="C6520" t="n">
        <v>28</v>
      </c>
      <c r="D6520" t="n">
        <v>14</v>
      </c>
      <c r="E6520" s="10" t="n">
        <v>0.134037</v>
      </c>
      <c r="F6520" s="10" t="n">
        <v>0.2988317517196204</v>
      </c>
      <c r="G6520" s="11">
        <f>E6520*Summary!$B$6</f>
        <v/>
      </c>
      <c r="H6520" s="11">
        <f>F6520*Summary!$B$7</f>
        <v/>
      </c>
      <c r="I6520" s="11">
        <f>MAX(0,N6520-M6520)</f>
        <v/>
      </c>
      <c r="J6520" s="11">
        <f>MAX(0,M6520-N6520)</f>
        <v/>
      </c>
      <c r="K6520" s="11">
        <f>O6520</f>
        <v/>
      </c>
      <c r="L6520" s="11">
        <f>L6519+IF(K6520&gt;0,K6520*Summary!$B$9,K6520/Summary!$B$9)</f>
        <v/>
      </c>
      <c r="M6520" s="11">
        <f>G6520+H6520</f>
        <v/>
      </c>
      <c r="N6520" s="11">
        <f>Summary!$C$16*Summary!$B$8</f>
        <v/>
      </c>
      <c r="O6520" s="11">
        <f>M6520-N6520</f>
        <v/>
      </c>
    </row>
    <row r="6521">
      <c r="A6521" s="9" t="n">
        <v>45563.625</v>
      </c>
      <c r="B6521" t="n">
        <v>9</v>
      </c>
      <c r="C6521" t="n">
        <v>28</v>
      </c>
      <c r="D6521" t="n">
        <v>15</v>
      </c>
      <c r="E6521" s="10" t="n">
        <v>0.061622</v>
      </c>
      <c r="F6521" s="10" t="n">
        <v>0.2933241823978038</v>
      </c>
      <c r="G6521" s="11">
        <f>E6521*Summary!$B$6</f>
        <v/>
      </c>
      <c r="H6521" s="11">
        <f>F6521*Summary!$B$7</f>
        <v/>
      </c>
      <c r="I6521" s="11">
        <f>MAX(0,N6521-M6521)</f>
        <v/>
      </c>
      <c r="J6521" s="11">
        <f>MAX(0,M6521-N6521)</f>
        <v/>
      </c>
      <c r="K6521" s="11">
        <f>O6521</f>
        <v/>
      </c>
      <c r="L6521" s="11">
        <f>L6520+IF(K6521&gt;0,K6521*Summary!$B$9,K6521/Summary!$B$9)</f>
        <v/>
      </c>
      <c r="M6521" s="11">
        <f>G6521+H6521</f>
        <v/>
      </c>
      <c r="N6521" s="11">
        <f>Summary!$C$16*Summary!$B$8</f>
        <v/>
      </c>
      <c r="O6521" s="11">
        <f>M6521-N6521</f>
        <v/>
      </c>
    </row>
    <row r="6522">
      <c r="A6522" s="9" t="n">
        <v>45563.66666666666</v>
      </c>
      <c r="B6522" t="n">
        <v>9</v>
      </c>
      <c r="C6522" t="n">
        <v>28</v>
      </c>
      <c r="D6522" t="n">
        <v>16</v>
      </c>
      <c r="E6522" s="10" t="n">
        <v>0.031056</v>
      </c>
      <c r="F6522" s="10" t="n">
        <v>0.2886335252720461</v>
      </c>
      <c r="G6522" s="11">
        <f>E6522*Summary!$B$6</f>
        <v/>
      </c>
      <c r="H6522" s="11">
        <f>F6522*Summary!$B$7</f>
        <v/>
      </c>
      <c r="I6522" s="11">
        <f>MAX(0,N6522-M6522)</f>
        <v/>
      </c>
      <c r="J6522" s="11">
        <f>MAX(0,M6522-N6522)</f>
        <v/>
      </c>
      <c r="K6522" s="11">
        <f>O6522</f>
        <v/>
      </c>
      <c r="L6522" s="11">
        <f>L6521+IF(K6522&gt;0,K6522*Summary!$B$9,K6522/Summary!$B$9)</f>
        <v/>
      </c>
      <c r="M6522" s="11">
        <f>G6522+H6522</f>
        <v/>
      </c>
      <c r="N6522" s="11">
        <f>Summary!$C$16*Summary!$B$8</f>
        <v/>
      </c>
      <c r="O6522" s="11">
        <f>M6522-N6522</f>
        <v/>
      </c>
    </row>
    <row r="6523">
      <c r="A6523" s="9" t="n">
        <v>45563.70833333334</v>
      </c>
      <c r="B6523" t="n">
        <v>9</v>
      </c>
      <c r="C6523" t="n">
        <v>28</v>
      </c>
      <c r="D6523" t="n">
        <v>17</v>
      </c>
      <c r="E6523" s="10" t="n">
        <v>0.003559</v>
      </c>
      <c r="F6523" s="10" t="n">
        <v>0.2865253647660875</v>
      </c>
      <c r="G6523" s="11">
        <f>E6523*Summary!$B$6</f>
        <v/>
      </c>
      <c r="H6523" s="11">
        <f>F6523*Summary!$B$7</f>
        <v/>
      </c>
      <c r="I6523" s="11">
        <f>MAX(0,N6523-M6523)</f>
        <v/>
      </c>
      <c r="J6523" s="11">
        <f>MAX(0,M6523-N6523)</f>
        <v/>
      </c>
      <c r="K6523" s="11">
        <f>O6523</f>
        <v/>
      </c>
      <c r="L6523" s="11">
        <f>L6522+IF(K6523&gt;0,K6523*Summary!$B$9,K6523/Summary!$B$9)</f>
        <v/>
      </c>
      <c r="M6523" s="11">
        <f>G6523+H6523</f>
        <v/>
      </c>
      <c r="N6523" s="11">
        <f>Summary!$C$16*Summary!$B$8</f>
        <v/>
      </c>
      <c r="O6523" s="11">
        <f>M6523-N6523</f>
        <v/>
      </c>
    </row>
    <row r="6524">
      <c r="A6524" s="9" t="n">
        <v>45563.75</v>
      </c>
      <c r="B6524" t="n">
        <v>9</v>
      </c>
      <c r="C6524" t="n">
        <v>28</v>
      </c>
      <c r="D6524" t="n">
        <v>18</v>
      </c>
      <c r="E6524" s="10" t="n">
        <v>0</v>
      </c>
      <c r="F6524" s="10" t="n">
        <v>0.3145375474890114</v>
      </c>
      <c r="G6524" s="11">
        <f>E6524*Summary!$B$6</f>
        <v/>
      </c>
      <c r="H6524" s="11">
        <f>F6524*Summary!$B$7</f>
        <v/>
      </c>
      <c r="I6524" s="11">
        <f>MAX(0,N6524-M6524)</f>
        <v/>
      </c>
      <c r="J6524" s="11">
        <f>MAX(0,M6524-N6524)</f>
        <v/>
      </c>
      <c r="K6524" s="11">
        <f>O6524</f>
        <v/>
      </c>
      <c r="L6524" s="11">
        <f>L6523+IF(K6524&gt;0,K6524*Summary!$B$9,K6524/Summary!$B$9)</f>
        <v/>
      </c>
      <c r="M6524" s="11">
        <f>G6524+H6524</f>
        <v/>
      </c>
      <c r="N6524" s="11">
        <f>Summary!$C$16*Summary!$B$8</f>
        <v/>
      </c>
      <c r="O6524" s="11">
        <f>M6524-N6524</f>
        <v/>
      </c>
    </row>
    <row r="6525">
      <c r="A6525" s="9" t="n">
        <v>45563.79166666666</v>
      </c>
      <c r="B6525" t="n">
        <v>9</v>
      </c>
      <c r="C6525" t="n">
        <v>28</v>
      </c>
      <c r="D6525" t="n">
        <v>19</v>
      </c>
      <c r="E6525" s="10" t="n">
        <v>0</v>
      </c>
      <c r="F6525" s="10" t="n">
        <v>0.3228120774748986</v>
      </c>
      <c r="G6525" s="11">
        <f>E6525*Summary!$B$6</f>
        <v/>
      </c>
      <c r="H6525" s="11">
        <f>F6525*Summary!$B$7</f>
        <v/>
      </c>
      <c r="I6525" s="11">
        <f>MAX(0,N6525-M6525)</f>
        <v/>
      </c>
      <c r="J6525" s="11">
        <f>MAX(0,M6525-N6525)</f>
        <v/>
      </c>
      <c r="K6525" s="11">
        <f>O6525</f>
        <v/>
      </c>
      <c r="L6525" s="11">
        <f>L6524+IF(K6525&gt;0,K6525*Summary!$B$9,K6525/Summary!$B$9)</f>
        <v/>
      </c>
      <c r="M6525" s="11">
        <f>G6525+H6525</f>
        <v/>
      </c>
      <c r="N6525" s="11">
        <f>Summary!$C$16*Summary!$B$8</f>
        <v/>
      </c>
      <c r="O6525" s="11">
        <f>M6525-N6525</f>
        <v/>
      </c>
    </row>
    <row r="6526">
      <c r="A6526" s="9" t="n">
        <v>45563.83333333334</v>
      </c>
      <c r="B6526" t="n">
        <v>9</v>
      </c>
      <c r="C6526" t="n">
        <v>28</v>
      </c>
      <c r="D6526" t="n">
        <v>20</v>
      </c>
      <c r="E6526" s="10" t="n">
        <v>0</v>
      </c>
      <c r="F6526" s="10" t="n">
        <v>0.3214944771586745</v>
      </c>
      <c r="G6526" s="11">
        <f>E6526*Summary!$B$6</f>
        <v/>
      </c>
      <c r="H6526" s="11">
        <f>F6526*Summary!$B$7</f>
        <v/>
      </c>
      <c r="I6526" s="11">
        <f>MAX(0,N6526-M6526)</f>
        <v/>
      </c>
      <c r="J6526" s="11">
        <f>MAX(0,M6526-N6526)</f>
        <v/>
      </c>
      <c r="K6526" s="11">
        <f>O6526</f>
        <v/>
      </c>
      <c r="L6526" s="11">
        <f>L6525+IF(K6526&gt;0,K6526*Summary!$B$9,K6526/Summary!$B$9)</f>
        <v/>
      </c>
      <c r="M6526" s="11">
        <f>G6526+H6526</f>
        <v/>
      </c>
      <c r="N6526" s="11">
        <f>Summary!$C$16*Summary!$B$8</f>
        <v/>
      </c>
      <c r="O6526" s="11">
        <f>M6526-N6526</f>
        <v/>
      </c>
    </row>
    <row r="6527">
      <c r="A6527" s="9" t="n">
        <v>45563.875</v>
      </c>
      <c r="B6527" t="n">
        <v>9</v>
      </c>
      <c r="C6527" t="n">
        <v>28</v>
      </c>
      <c r="D6527" t="n">
        <v>21</v>
      </c>
      <c r="E6527" s="10" t="n">
        <v>0</v>
      </c>
      <c r="F6527" s="10" t="n">
        <v>0.3170409880898372</v>
      </c>
      <c r="G6527" s="11">
        <f>E6527*Summary!$B$6</f>
        <v/>
      </c>
      <c r="H6527" s="11">
        <f>F6527*Summary!$B$7</f>
        <v/>
      </c>
      <c r="I6527" s="11">
        <f>MAX(0,N6527-M6527)</f>
        <v/>
      </c>
      <c r="J6527" s="11">
        <f>MAX(0,M6527-N6527)</f>
        <v/>
      </c>
      <c r="K6527" s="11">
        <f>O6527</f>
        <v/>
      </c>
      <c r="L6527" s="11">
        <f>L6526+IF(K6527&gt;0,K6527*Summary!$B$9,K6527/Summary!$B$9)</f>
        <v/>
      </c>
      <c r="M6527" s="11">
        <f>G6527+H6527</f>
        <v/>
      </c>
      <c r="N6527" s="11">
        <f>Summary!$C$16*Summary!$B$8</f>
        <v/>
      </c>
      <c r="O6527" s="11">
        <f>M6527-N6527</f>
        <v/>
      </c>
    </row>
    <row r="6528">
      <c r="A6528" s="9" t="n">
        <v>45563.91666666666</v>
      </c>
      <c r="B6528" t="n">
        <v>9</v>
      </c>
      <c r="C6528" t="n">
        <v>28</v>
      </c>
      <c r="D6528" t="n">
        <v>22</v>
      </c>
      <c r="E6528" s="10" t="n">
        <v>0</v>
      </c>
      <c r="F6528" s="10" t="n">
        <v>0.3073961537750769</v>
      </c>
      <c r="G6528" s="11">
        <f>E6528*Summary!$B$6</f>
        <v/>
      </c>
      <c r="H6528" s="11">
        <f>F6528*Summary!$B$7</f>
        <v/>
      </c>
      <c r="I6528" s="11">
        <f>MAX(0,N6528-M6528)</f>
        <v/>
      </c>
      <c r="J6528" s="11">
        <f>MAX(0,M6528-N6528)</f>
        <v/>
      </c>
      <c r="K6528" s="11">
        <f>O6528</f>
        <v/>
      </c>
      <c r="L6528" s="11">
        <f>L6527+IF(K6528&gt;0,K6528*Summary!$B$9,K6528/Summary!$B$9)</f>
        <v/>
      </c>
      <c r="M6528" s="11">
        <f>G6528+H6528</f>
        <v/>
      </c>
      <c r="N6528" s="11">
        <f>Summary!$C$16*Summary!$B$8</f>
        <v/>
      </c>
      <c r="O6528" s="11">
        <f>M6528-N6528</f>
        <v/>
      </c>
    </row>
    <row r="6529">
      <c r="A6529" s="9" t="n">
        <v>45563.95833333334</v>
      </c>
      <c r="B6529" t="n">
        <v>9</v>
      </c>
      <c r="C6529" t="n">
        <v>28</v>
      </c>
      <c r="D6529" t="n">
        <v>23</v>
      </c>
      <c r="E6529" s="10" t="n">
        <v>0</v>
      </c>
      <c r="F6529" s="10" t="n">
        <v>0.294430966663432</v>
      </c>
      <c r="G6529" s="11">
        <f>E6529*Summary!$B$6</f>
        <v/>
      </c>
      <c r="H6529" s="11">
        <f>F6529*Summary!$B$7</f>
        <v/>
      </c>
      <c r="I6529" s="11">
        <f>MAX(0,N6529-M6529)</f>
        <v/>
      </c>
      <c r="J6529" s="11">
        <f>MAX(0,M6529-N6529)</f>
        <v/>
      </c>
      <c r="K6529" s="11">
        <f>O6529</f>
        <v/>
      </c>
      <c r="L6529" s="11">
        <f>L6528+IF(K6529&gt;0,K6529*Summary!$B$9,K6529/Summary!$B$9)</f>
        <v/>
      </c>
      <c r="M6529" s="11">
        <f>G6529+H6529</f>
        <v/>
      </c>
      <c r="N6529" s="11">
        <f>Summary!$C$16*Summary!$B$8</f>
        <v/>
      </c>
      <c r="O6529" s="11">
        <f>M6529-N6529</f>
        <v/>
      </c>
    </row>
    <row r="6530">
      <c r="A6530" s="9" t="n">
        <v>45564</v>
      </c>
      <c r="B6530" t="n">
        <v>9</v>
      </c>
      <c r="C6530" t="n">
        <v>29</v>
      </c>
      <c r="D6530" t="n">
        <v>0</v>
      </c>
      <c r="E6530" s="10" t="n">
        <v>0</v>
      </c>
      <c r="F6530" s="10" t="n">
        <v>0.3441572025977286</v>
      </c>
      <c r="G6530" s="11">
        <f>E6530*Summary!$B$6</f>
        <v/>
      </c>
      <c r="H6530" s="11">
        <f>F6530*Summary!$B$7</f>
        <v/>
      </c>
      <c r="I6530" s="11">
        <f>MAX(0,N6530-M6530)</f>
        <v/>
      </c>
      <c r="J6530" s="11">
        <f>MAX(0,M6530-N6530)</f>
        <v/>
      </c>
      <c r="K6530" s="11">
        <f>O6530</f>
        <v/>
      </c>
      <c r="L6530" s="11">
        <f>L6529+IF(K6530&gt;0,K6530*Summary!$B$9,K6530/Summary!$B$9)</f>
        <v/>
      </c>
      <c r="M6530" s="11">
        <f>G6530+H6530</f>
        <v/>
      </c>
      <c r="N6530" s="11">
        <f>Summary!$C$16*Summary!$B$8</f>
        <v/>
      </c>
      <c r="O6530" s="11">
        <f>M6530-N6530</f>
        <v/>
      </c>
    </row>
    <row r="6531">
      <c r="A6531" s="9" t="n">
        <v>45564.04166666666</v>
      </c>
      <c r="B6531" t="n">
        <v>9</v>
      </c>
      <c r="C6531" t="n">
        <v>29</v>
      </c>
      <c r="D6531" t="n">
        <v>1</v>
      </c>
      <c r="E6531" s="10" t="n">
        <v>0</v>
      </c>
      <c r="F6531" s="10" t="n">
        <v>0.2730594895342775</v>
      </c>
      <c r="G6531" s="11">
        <f>E6531*Summary!$B$6</f>
        <v/>
      </c>
      <c r="H6531" s="11">
        <f>F6531*Summary!$B$7</f>
        <v/>
      </c>
      <c r="I6531" s="11">
        <f>MAX(0,N6531-M6531)</f>
        <v/>
      </c>
      <c r="J6531" s="11">
        <f>MAX(0,M6531-N6531)</f>
        <v/>
      </c>
      <c r="K6531" s="11">
        <f>O6531</f>
        <v/>
      </c>
      <c r="L6531" s="11">
        <f>L6530+IF(K6531&gt;0,K6531*Summary!$B$9,K6531/Summary!$B$9)</f>
        <v/>
      </c>
      <c r="M6531" s="11">
        <f>G6531+H6531</f>
        <v/>
      </c>
      <c r="N6531" s="11">
        <f>Summary!$C$16*Summary!$B$8</f>
        <v/>
      </c>
      <c r="O6531" s="11">
        <f>M6531-N6531</f>
        <v/>
      </c>
    </row>
    <row r="6532">
      <c r="A6532" s="9" t="n">
        <v>45564.08333333334</v>
      </c>
      <c r="B6532" t="n">
        <v>9</v>
      </c>
      <c r="C6532" t="n">
        <v>29</v>
      </c>
      <c r="D6532" t="n">
        <v>2</v>
      </c>
      <c r="E6532" s="10" t="n">
        <v>0</v>
      </c>
      <c r="F6532" s="10" t="n">
        <v>0.2667350080164019</v>
      </c>
      <c r="G6532" s="11">
        <f>E6532*Summary!$B$6</f>
        <v/>
      </c>
      <c r="H6532" s="11">
        <f>F6532*Summary!$B$7</f>
        <v/>
      </c>
      <c r="I6532" s="11">
        <f>MAX(0,N6532-M6532)</f>
        <v/>
      </c>
      <c r="J6532" s="11">
        <f>MAX(0,M6532-N6532)</f>
        <v/>
      </c>
      <c r="K6532" s="11">
        <f>O6532</f>
        <v/>
      </c>
      <c r="L6532" s="11">
        <f>L6531+IF(K6532&gt;0,K6532*Summary!$B$9,K6532/Summary!$B$9)</f>
        <v/>
      </c>
      <c r="M6532" s="11">
        <f>G6532+H6532</f>
        <v/>
      </c>
      <c r="N6532" s="11">
        <f>Summary!$C$16*Summary!$B$8</f>
        <v/>
      </c>
      <c r="O6532" s="11">
        <f>M6532-N6532</f>
        <v/>
      </c>
    </row>
    <row r="6533">
      <c r="A6533" s="9" t="n">
        <v>45564.125</v>
      </c>
      <c r="B6533" t="n">
        <v>9</v>
      </c>
      <c r="C6533" t="n">
        <v>29</v>
      </c>
      <c r="D6533" t="n">
        <v>3</v>
      </c>
      <c r="E6533" s="10" t="n">
        <v>0</v>
      </c>
      <c r="F6533" s="10" t="n">
        <v>0.2675255682061364</v>
      </c>
      <c r="G6533" s="11">
        <f>E6533*Summary!$B$6</f>
        <v/>
      </c>
      <c r="H6533" s="11">
        <f>F6533*Summary!$B$7</f>
        <v/>
      </c>
      <c r="I6533" s="11">
        <f>MAX(0,N6533-M6533)</f>
        <v/>
      </c>
      <c r="J6533" s="11">
        <f>MAX(0,M6533-N6533)</f>
        <v/>
      </c>
      <c r="K6533" s="11">
        <f>O6533</f>
        <v/>
      </c>
      <c r="L6533" s="11">
        <f>L6532+IF(K6533&gt;0,K6533*Summary!$B$9,K6533/Summary!$B$9)</f>
        <v/>
      </c>
      <c r="M6533" s="11">
        <f>G6533+H6533</f>
        <v/>
      </c>
      <c r="N6533" s="11">
        <f>Summary!$C$16*Summary!$B$8</f>
        <v/>
      </c>
      <c r="O6533" s="11">
        <f>M6533-N6533</f>
        <v/>
      </c>
    </row>
    <row r="6534">
      <c r="A6534" s="9" t="n">
        <v>45564.16666666666</v>
      </c>
      <c r="B6534" t="n">
        <v>9</v>
      </c>
      <c r="C6534" t="n">
        <v>29</v>
      </c>
      <c r="D6534" t="n">
        <v>4</v>
      </c>
      <c r="E6534" s="10" t="n">
        <v>0</v>
      </c>
      <c r="F6534" s="10" t="n">
        <v>0.2820718756972502</v>
      </c>
      <c r="G6534" s="11">
        <f>E6534*Summary!$B$6</f>
        <v/>
      </c>
      <c r="H6534" s="11">
        <f>F6534*Summary!$B$7</f>
        <v/>
      </c>
      <c r="I6534" s="11">
        <f>MAX(0,N6534-M6534)</f>
        <v/>
      </c>
      <c r="J6534" s="11">
        <f>MAX(0,M6534-N6534)</f>
        <v/>
      </c>
      <c r="K6534" s="11">
        <f>O6534</f>
        <v/>
      </c>
      <c r="L6534" s="11">
        <f>L6533+IF(K6534&gt;0,K6534*Summary!$B$9,K6534/Summary!$B$9)</f>
        <v/>
      </c>
      <c r="M6534" s="11">
        <f>G6534+H6534</f>
        <v/>
      </c>
      <c r="N6534" s="11">
        <f>Summary!$C$16*Summary!$B$8</f>
        <v/>
      </c>
      <c r="O6534" s="11">
        <f>M6534-N6534</f>
        <v/>
      </c>
    </row>
    <row r="6535">
      <c r="A6535" s="9" t="n">
        <v>45564.20833333334</v>
      </c>
      <c r="B6535" t="n">
        <v>9</v>
      </c>
      <c r="C6535" t="n">
        <v>29</v>
      </c>
      <c r="D6535" t="n">
        <v>5</v>
      </c>
      <c r="E6535" s="10" t="n">
        <v>0</v>
      </c>
      <c r="F6535" s="10" t="n">
        <v>0.2935349984483996</v>
      </c>
      <c r="G6535" s="11">
        <f>E6535*Summary!$B$6</f>
        <v/>
      </c>
      <c r="H6535" s="11">
        <f>F6535*Summary!$B$7</f>
        <v/>
      </c>
      <c r="I6535" s="11">
        <f>MAX(0,N6535-M6535)</f>
        <v/>
      </c>
      <c r="J6535" s="11">
        <f>MAX(0,M6535-N6535)</f>
        <v/>
      </c>
      <c r="K6535" s="11">
        <f>O6535</f>
        <v/>
      </c>
      <c r="L6535" s="11">
        <f>L6534+IF(K6535&gt;0,K6535*Summary!$B$9,K6535/Summary!$B$9)</f>
        <v/>
      </c>
      <c r="M6535" s="11">
        <f>G6535+H6535</f>
        <v/>
      </c>
      <c r="N6535" s="11">
        <f>Summary!$C$16*Summary!$B$8</f>
        <v/>
      </c>
      <c r="O6535" s="11">
        <f>M6535-N6535</f>
        <v/>
      </c>
    </row>
    <row r="6536">
      <c r="A6536" s="9" t="n">
        <v>45564.25</v>
      </c>
      <c r="B6536" t="n">
        <v>9</v>
      </c>
      <c r="C6536" t="n">
        <v>29</v>
      </c>
      <c r="D6536" t="n">
        <v>6</v>
      </c>
      <c r="E6536" s="10" t="n">
        <v>0</v>
      </c>
      <c r="F6536" s="10" t="n">
        <v>0.3012297842951482</v>
      </c>
      <c r="G6536" s="11">
        <f>E6536*Summary!$B$6</f>
        <v/>
      </c>
      <c r="H6536" s="11">
        <f>F6536*Summary!$B$7</f>
        <v/>
      </c>
      <c r="I6536" s="11">
        <f>MAX(0,N6536-M6536)</f>
        <v/>
      </c>
      <c r="J6536" s="11">
        <f>MAX(0,M6536-N6536)</f>
        <v/>
      </c>
      <c r="K6536" s="11">
        <f>O6536</f>
        <v/>
      </c>
      <c r="L6536" s="11">
        <f>L6535+IF(K6536&gt;0,K6536*Summary!$B$9,K6536/Summary!$B$9)</f>
        <v/>
      </c>
      <c r="M6536" s="11">
        <f>G6536+H6536</f>
        <v/>
      </c>
      <c r="N6536" s="11">
        <f>Summary!$C$16*Summary!$B$8</f>
        <v/>
      </c>
      <c r="O6536" s="11">
        <f>M6536-N6536</f>
        <v/>
      </c>
    </row>
    <row r="6537">
      <c r="A6537" s="9" t="n">
        <v>45564.29166666666</v>
      </c>
      <c r="B6537" t="n">
        <v>9</v>
      </c>
      <c r="C6537" t="n">
        <v>29</v>
      </c>
      <c r="D6537" t="n">
        <v>7</v>
      </c>
      <c r="E6537" s="10" t="n">
        <v>0.007952000000000001</v>
      </c>
      <c r="F6537" s="10" t="n">
        <v>0.3017831764279623</v>
      </c>
      <c r="G6537" s="11">
        <f>E6537*Summary!$B$6</f>
        <v/>
      </c>
      <c r="H6537" s="11">
        <f>F6537*Summary!$B$7</f>
        <v/>
      </c>
      <c r="I6537" s="11">
        <f>MAX(0,N6537-M6537)</f>
        <v/>
      </c>
      <c r="J6537" s="11">
        <f>MAX(0,M6537-N6537)</f>
        <v/>
      </c>
      <c r="K6537" s="11">
        <f>O6537</f>
        <v/>
      </c>
      <c r="L6537" s="11">
        <f>L6536+IF(K6537&gt;0,K6537*Summary!$B$9,K6537/Summary!$B$9)</f>
        <v/>
      </c>
      <c r="M6537" s="11">
        <f>G6537+H6537</f>
        <v/>
      </c>
      <c r="N6537" s="11">
        <f>Summary!$C$16*Summary!$B$8</f>
        <v/>
      </c>
      <c r="O6537" s="11">
        <f>M6537-N6537</f>
        <v/>
      </c>
    </row>
    <row r="6538">
      <c r="A6538" s="9" t="n">
        <v>45564.33333333334</v>
      </c>
      <c r="B6538" t="n">
        <v>9</v>
      </c>
      <c r="C6538" t="n">
        <v>29</v>
      </c>
      <c r="D6538" t="n">
        <v>8</v>
      </c>
      <c r="E6538" s="10" t="n">
        <v>0.031819</v>
      </c>
      <c r="F6538" s="10" t="n">
        <v>0.2946681347203523</v>
      </c>
      <c r="G6538" s="11">
        <f>E6538*Summary!$B$6</f>
        <v/>
      </c>
      <c r="H6538" s="11">
        <f>F6538*Summary!$B$7</f>
        <v/>
      </c>
      <c r="I6538" s="11">
        <f>MAX(0,N6538-M6538)</f>
        <v/>
      </c>
      <c r="J6538" s="11">
        <f>MAX(0,M6538-N6538)</f>
        <v/>
      </c>
      <c r="K6538" s="11">
        <f>O6538</f>
        <v/>
      </c>
      <c r="L6538" s="11">
        <f>L6537+IF(K6538&gt;0,K6538*Summary!$B$9,K6538/Summary!$B$9)</f>
        <v/>
      </c>
      <c r="M6538" s="11">
        <f>G6538+H6538</f>
        <v/>
      </c>
      <c r="N6538" s="11">
        <f>Summary!$C$16*Summary!$B$8</f>
        <v/>
      </c>
      <c r="O6538" s="11">
        <f>M6538-N6538</f>
        <v/>
      </c>
    </row>
    <row r="6539">
      <c r="A6539" s="9" t="n">
        <v>45564.375</v>
      </c>
      <c r="B6539" t="n">
        <v>9</v>
      </c>
      <c r="C6539" t="n">
        <v>29</v>
      </c>
      <c r="D6539" t="n">
        <v>9</v>
      </c>
      <c r="E6539" s="10" t="n">
        <v>0.051288</v>
      </c>
      <c r="F6539" s="10" t="n">
        <v>0.2880010771202585</v>
      </c>
      <c r="G6539" s="11">
        <f>E6539*Summary!$B$6</f>
        <v/>
      </c>
      <c r="H6539" s="11">
        <f>F6539*Summary!$B$7</f>
        <v/>
      </c>
      <c r="I6539" s="11">
        <f>MAX(0,N6539-M6539)</f>
        <v/>
      </c>
      <c r="J6539" s="11">
        <f>MAX(0,M6539-N6539)</f>
        <v/>
      </c>
      <c r="K6539" s="11">
        <f>O6539</f>
        <v/>
      </c>
      <c r="L6539" s="11">
        <f>L6538+IF(K6539&gt;0,K6539*Summary!$B$9,K6539/Summary!$B$9)</f>
        <v/>
      </c>
      <c r="M6539" s="11">
        <f>G6539+H6539</f>
        <v/>
      </c>
      <c r="N6539" s="11">
        <f>Summary!$C$16*Summary!$B$8</f>
        <v/>
      </c>
      <c r="O6539" s="11">
        <f>M6539-N6539</f>
        <v/>
      </c>
    </row>
    <row r="6540">
      <c r="A6540" s="9" t="n">
        <v>45564.41666666666</v>
      </c>
      <c r="B6540" t="n">
        <v>9</v>
      </c>
      <c r="C6540" t="n">
        <v>29</v>
      </c>
      <c r="D6540" t="n">
        <v>10</v>
      </c>
      <c r="E6540" s="10" t="n">
        <v>0.059101</v>
      </c>
      <c r="F6540" s="10" t="n">
        <v>0.2905045177210843</v>
      </c>
      <c r="G6540" s="11">
        <f>E6540*Summary!$B$6</f>
        <v/>
      </c>
      <c r="H6540" s="11">
        <f>F6540*Summary!$B$7</f>
        <v/>
      </c>
      <c r="I6540" s="11">
        <f>MAX(0,N6540-M6540)</f>
        <v/>
      </c>
      <c r="J6540" s="11">
        <f>MAX(0,M6540-N6540)</f>
        <v/>
      </c>
      <c r="K6540" s="11">
        <f>O6540</f>
        <v/>
      </c>
      <c r="L6540" s="11">
        <f>L6539+IF(K6540&gt;0,K6540*Summary!$B$9,K6540/Summary!$B$9)</f>
        <v/>
      </c>
      <c r="M6540" s="11">
        <f>G6540+H6540</f>
        <v/>
      </c>
      <c r="N6540" s="11">
        <f>Summary!$C$16*Summary!$B$8</f>
        <v/>
      </c>
      <c r="O6540" s="11">
        <f>M6540-N6540</f>
        <v/>
      </c>
    </row>
    <row r="6541">
      <c r="A6541" s="9" t="n">
        <v>45564.45833333334</v>
      </c>
      <c r="B6541" t="n">
        <v>9</v>
      </c>
      <c r="C6541" t="n">
        <v>29</v>
      </c>
      <c r="D6541" t="n">
        <v>11</v>
      </c>
      <c r="E6541" s="10" t="n">
        <v>0.06261799999999999</v>
      </c>
      <c r="F6541" s="10" t="n">
        <v>0.2965918311820395</v>
      </c>
      <c r="G6541" s="11">
        <f>E6541*Summary!$B$6</f>
        <v/>
      </c>
      <c r="H6541" s="11">
        <f>F6541*Summary!$B$7</f>
        <v/>
      </c>
      <c r="I6541" s="11">
        <f>MAX(0,N6541-M6541)</f>
        <v/>
      </c>
      <c r="J6541" s="11">
        <f>MAX(0,M6541-N6541)</f>
        <v/>
      </c>
      <c r="K6541" s="11">
        <f>O6541</f>
        <v/>
      </c>
      <c r="L6541" s="11">
        <f>L6540+IF(K6541&gt;0,K6541*Summary!$B$9,K6541/Summary!$B$9)</f>
        <v/>
      </c>
      <c r="M6541" s="11">
        <f>G6541+H6541</f>
        <v/>
      </c>
      <c r="N6541" s="11">
        <f>Summary!$C$16*Summary!$B$8</f>
        <v/>
      </c>
      <c r="O6541" s="11">
        <f>M6541-N6541</f>
        <v/>
      </c>
    </row>
    <row r="6542">
      <c r="A6542" s="9" t="n">
        <v>45564.5</v>
      </c>
      <c r="B6542" t="n">
        <v>9</v>
      </c>
      <c r="C6542" t="n">
        <v>29</v>
      </c>
      <c r="D6542" t="n">
        <v>12</v>
      </c>
      <c r="E6542" s="10" t="n">
        <v>0.039713</v>
      </c>
      <c r="F6542" s="10" t="n">
        <v>0.265865391807694</v>
      </c>
      <c r="G6542" s="11">
        <f>E6542*Summary!$B$6</f>
        <v/>
      </c>
      <c r="H6542" s="11">
        <f>F6542*Summary!$B$7</f>
        <v/>
      </c>
      <c r="I6542" s="11">
        <f>MAX(0,N6542-M6542)</f>
        <v/>
      </c>
      <c r="J6542" s="11">
        <f>MAX(0,M6542-N6542)</f>
        <v/>
      </c>
      <c r="K6542" s="11">
        <f>O6542</f>
        <v/>
      </c>
      <c r="L6542" s="11">
        <f>L6541+IF(K6542&gt;0,K6542*Summary!$B$9,K6542/Summary!$B$9)</f>
        <v/>
      </c>
      <c r="M6542" s="11">
        <f>G6542+H6542</f>
        <v/>
      </c>
      <c r="N6542" s="11">
        <f>Summary!$C$16*Summary!$B$8</f>
        <v/>
      </c>
      <c r="O6542" s="11">
        <f>M6542-N6542</f>
        <v/>
      </c>
    </row>
    <row r="6543">
      <c r="A6543" s="9" t="n">
        <v>45564.54166666666</v>
      </c>
      <c r="B6543" t="n">
        <v>9</v>
      </c>
      <c r="C6543" t="n">
        <v>29</v>
      </c>
      <c r="D6543" t="n">
        <v>13</v>
      </c>
      <c r="E6543" s="10" t="n">
        <v>0.077588</v>
      </c>
      <c r="F6543" s="10" t="n">
        <v>0.3012824883077972</v>
      </c>
      <c r="G6543" s="11">
        <f>E6543*Summary!$B$6</f>
        <v/>
      </c>
      <c r="H6543" s="11">
        <f>F6543*Summary!$B$7</f>
        <v/>
      </c>
      <c r="I6543" s="11">
        <f>MAX(0,N6543-M6543)</f>
        <v/>
      </c>
      <c r="J6543" s="11">
        <f>MAX(0,M6543-N6543)</f>
        <v/>
      </c>
      <c r="K6543" s="11">
        <f>O6543</f>
        <v/>
      </c>
      <c r="L6543" s="11">
        <f>L6542+IF(K6543&gt;0,K6543*Summary!$B$9,K6543/Summary!$B$9)</f>
        <v/>
      </c>
      <c r="M6543" s="11">
        <f>G6543+H6543</f>
        <v/>
      </c>
      <c r="N6543" s="11">
        <f>Summary!$C$16*Summary!$B$8</f>
        <v/>
      </c>
      <c r="O6543" s="11">
        <f>M6543-N6543</f>
        <v/>
      </c>
    </row>
    <row r="6544">
      <c r="A6544" s="9" t="n">
        <v>45564.58333333334</v>
      </c>
      <c r="B6544" t="n">
        <v>9</v>
      </c>
      <c r="C6544" t="n">
        <v>29</v>
      </c>
      <c r="D6544" t="n">
        <v>14</v>
      </c>
      <c r="E6544" s="10" t="n">
        <v>0.083079</v>
      </c>
      <c r="F6544" s="10" t="n">
        <v>0.3019676404722337</v>
      </c>
      <c r="G6544" s="11">
        <f>E6544*Summary!$B$6</f>
        <v/>
      </c>
      <c r="H6544" s="11">
        <f>F6544*Summary!$B$7</f>
        <v/>
      </c>
      <c r="I6544" s="11">
        <f>MAX(0,N6544-M6544)</f>
        <v/>
      </c>
      <c r="J6544" s="11">
        <f>MAX(0,M6544-N6544)</f>
        <v/>
      </c>
      <c r="K6544" s="11">
        <f>O6544</f>
        <v/>
      </c>
      <c r="L6544" s="11">
        <f>L6543+IF(K6544&gt;0,K6544*Summary!$B$9,K6544/Summary!$B$9)</f>
        <v/>
      </c>
      <c r="M6544" s="11">
        <f>G6544+H6544</f>
        <v/>
      </c>
      <c r="N6544" s="11">
        <f>Summary!$C$16*Summary!$B$8</f>
        <v/>
      </c>
      <c r="O6544" s="11">
        <f>M6544-N6544</f>
        <v/>
      </c>
    </row>
    <row r="6545">
      <c r="A6545" s="9" t="n">
        <v>45564.625</v>
      </c>
      <c r="B6545" t="n">
        <v>9</v>
      </c>
      <c r="C6545" t="n">
        <v>29</v>
      </c>
      <c r="D6545" t="n">
        <v>15</v>
      </c>
      <c r="E6545" s="10" t="n">
        <v>0.06637899999999999</v>
      </c>
      <c r="F6545" s="10" t="n">
        <v>0.2969080552579333</v>
      </c>
      <c r="G6545" s="11">
        <f>E6545*Summary!$B$6</f>
        <v/>
      </c>
      <c r="H6545" s="11">
        <f>F6545*Summary!$B$7</f>
        <v/>
      </c>
      <c r="I6545" s="11">
        <f>MAX(0,N6545-M6545)</f>
        <v/>
      </c>
      <c r="J6545" s="11">
        <f>MAX(0,M6545-N6545)</f>
        <v/>
      </c>
      <c r="K6545" s="11">
        <f>O6545</f>
        <v/>
      </c>
      <c r="L6545" s="11">
        <f>L6544+IF(K6545&gt;0,K6545*Summary!$B$9,K6545/Summary!$B$9)</f>
        <v/>
      </c>
      <c r="M6545" s="11">
        <f>G6545+H6545</f>
        <v/>
      </c>
      <c r="N6545" s="11">
        <f>Summary!$C$16*Summary!$B$8</f>
        <v/>
      </c>
      <c r="O6545" s="11">
        <f>M6545-N6545</f>
        <v/>
      </c>
    </row>
    <row r="6546">
      <c r="A6546" s="9" t="n">
        <v>45564.66666666666</v>
      </c>
      <c r="B6546" t="n">
        <v>9</v>
      </c>
      <c r="C6546" t="n">
        <v>29</v>
      </c>
      <c r="D6546" t="n">
        <v>16</v>
      </c>
      <c r="E6546" s="10" t="n">
        <v>0.048498</v>
      </c>
      <c r="F6546" s="10" t="n">
        <v>0.2946154307077034</v>
      </c>
      <c r="G6546" s="11">
        <f>E6546*Summary!$B$6</f>
        <v/>
      </c>
      <c r="H6546" s="11">
        <f>F6546*Summary!$B$7</f>
        <v/>
      </c>
      <c r="I6546" s="11">
        <f>MAX(0,N6546-M6546)</f>
        <v/>
      </c>
      <c r="J6546" s="11">
        <f>MAX(0,M6546-N6546)</f>
        <v/>
      </c>
      <c r="K6546" s="11">
        <f>O6546</f>
        <v/>
      </c>
      <c r="L6546" s="11">
        <f>L6545+IF(K6546&gt;0,K6546*Summary!$B$9,K6546/Summary!$B$9)</f>
        <v/>
      </c>
      <c r="M6546" s="11">
        <f>G6546+H6546</f>
        <v/>
      </c>
      <c r="N6546" s="11">
        <f>Summary!$C$16*Summary!$B$8</f>
        <v/>
      </c>
      <c r="O6546" s="11">
        <f>M6546-N6546</f>
        <v/>
      </c>
    </row>
    <row r="6547">
      <c r="A6547" s="9" t="n">
        <v>45564.70833333334</v>
      </c>
      <c r="B6547" t="n">
        <v>9</v>
      </c>
      <c r="C6547" t="n">
        <v>29</v>
      </c>
      <c r="D6547" t="n">
        <v>17</v>
      </c>
      <c r="E6547" s="10" t="n">
        <v>0.008710000000000001</v>
      </c>
      <c r="F6547" s="10" t="n">
        <v>0.30570962537031</v>
      </c>
      <c r="G6547" s="11">
        <f>E6547*Summary!$B$6</f>
        <v/>
      </c>
      <c r="H6547" s="11">
        <f>F6547*Summary!$B$7</f>
        <v/>
      </c>
      <c r="I6547" s="11">
        <f>MAX(0,N6547-M6547)</f>
        <v/>
      </c>
      <c r="J6547" s="11">
        <f>MAX(0,M6547-N6547)</f>
        <v/>
      </c>
      <c r="K6547" s="11">
        <f>O6547</f>
        <v/>
      </c>
      <c r="L6547" s="11">
        <f>L6546+IF(K6547&gt;0,K6547*Summary!$B$9,K6547/Summary!$B$9)</f>
        <v/>
      </c>
      <c r="M6547" s="11">
        <f>G6547+H6547</f>
        <v/>
      </c>
      <c r="N6547" s="11">
        <f>Summary!$C$16*Summary!$B$8</f>
        <v/>
      </c>
      <c r="O6547" s="11">
        <f>M6547-N6547</f>
        <v/>
      </c>
    </row>
    <row r="6548">
      <c r="A6548" s="9" t="n">
        <v>45564.75</v>
      </c>
      <c r="B6548" t="n">
        <v>9</v>
      </c>
      <c r="C6548" t="n">
        <v>29</v>
      </c>
      <c r="D6548" t="n">
        <v>18</v>
      </c>
      <c r="E6548" s="10" t="n">
        <v>0</v>
      </c>
      <c r="F6548" s="10" t="n">
        <v>0.2916376539930369</v>
      </c>
      <c r="G6548" s="11">
        <f>E6548*Summary!$B$6</f>
        <v/>
      </c>
      <c r="H6548" s="11">
        <f>F6548*Summary!$B$7</f>
        <v/>
      </c>
      <c r="I6548" s="11">
        <f>MAX(0,N6548-M6548)</f>
        <v/>
      </c>
      <c r="J6548" s="11">
        <f>MAX(0,M6548-N6548)</f>
        <v/>
      </c>
      <c r="K6548" s="11">
        <f>O6548</f>
        <v/>
      </c>
      <c r="L6548" s="11">
        <f>L6547+IF(K6548&gt;0,K6548*Summary!$B$9,K6548/Summary!$B$9)</f>
        <v/>
      </c>
      <c r="M6548" s="11">
        <f>G6548+H6548</f>
        <v/>
      </c>
      <c r="N6548" s="11">
        <f>Summary!$C$16*Summary!$B$8</f>
        <v/>
      </c>
      <c r="O6548" s="11">
        <f>M6548-N6548</f>
        <v/>
      </c>
    </row>
    <row r="6549">
      <c r="A6549" s="9" t="n">
        <v>45564.79166666666</v>
      </c>
      <c r="B6549" t="n">
        <v>9</v>
      </c>
      <c r="C6549" t="n">
        <v>29</v>
      </c>
      <c r="D6549" t="n">
        <v>19</v>
      </c>
      <c r="E6549" s="10" t="n">
        <v>0</v>
      </c>
      <c r="F6549" s="10" t="n">
        <v>0.33722662493439</v>
      </c>
      <c r="G6549" s="11">
        <f>E6549*Summary!$B$6</f>
        <v/>
      </c>
      <c r="H6549" s="11">
        <f>F6549*Summary!$B$7</f>
        <v/>
      </c>
      <c r="I6549" s="11">
        <f>MAX(0,N6549-M6549)</f>
        <v/>
      </c>
      <c r="J6549" s="11">
        <f>MAX(0,M6549-N6549)</f>
        <v/>
      </c>
      <c r="K6549" s="11">
        <f>O6549</f>
        <v/>
      </c>
      <c r="L6549" s="11">
        <f>L6548+IF(K6549&gt;0,K6549*Summary!$B$9,K6549/Summary!$B$9)</f>
        <v/>
      </c>
      <c r="M6549" s="11">
        <f>G6549+H6549</f>
        <v/>
      </c>
      <c r="N6549" s="11">
        <f>Summary!$C$16*Summary!$B$8</f>
        <v/>
      </c>
      <c r="O6549" s="11">
        <f>M6549-N6549</f>
        <v/>
      </c>
    </row>
    <row r="6550">
      <c r="A6550" s="9" t="n">
        <v>45564.83333333334</v>
      </c>
      <c r="B6550" t="n">
        <v>9</v>
      </c>
      <c r="C6550" t="n">
        <v>29</v>
      </c>
      <c r="D6550" t="n">
        <v>20</v>
      </c>
      <c r="E6550" s="10" t="n">
        <v>0</v>
      </c>
      <c r="F6550" s="10" t="n">
        <v>0.3475829634199112</v>
      </c>
      <c r="G6550" s="11">
        <f>E6550*Summary!$B$6</f>
        <v/>
      </c>
      <c r="H6550" s="11">
        <f>F6550*Summary!$B$7</f>
        <v/>
      </c>
      <c r="I6550" s="11">
        <f>MAX(0,N6550-M6550)</f>
        <v/>
      </c>
      <c r="J6550" s="11">
        <f>MAX(0,M6550-N6550)</f>
        <v/>
      </c>
      <c r="K6550" s="11">
        <f>O6550</f>
        <v/>
      </c>
      <c r="L6550" s="11">
        <f>L6549+IF(K6550&gt;0,K6550*Summary!$B$9,K6550/Summary!$B$9)</f>
        <v/>
      </c>
      <c r="M6550" s="11">
        <f>G6550+H6550</f>
        <v/>
      </c>
      <c r="N6550" s="11">
        <f>Summary!$C$16*Summary!$B$8</f>
        <v/>
      </c>
      <c r="O6550" s="11">
        <f>M6550-N6550</f>
        <v/>
      </c>
    </row>
    <row r="6551">
      <c r="A6551" s="9" t="n">
        <v>45564.875</v>
      </c>
      <c r="B6551" t="n">
        <v>9</v>
      </c>
      <c r="C6551" t="n">
        <v>29</v>
      </c>
      <c r="D6551" t="n">
        <v>21</v>
      </c>
      <c r="E6551" s="10" t="n">
        <v>0</v>
      </c>
      <c r="F6551" s="10" t="n">
        <v>0.3518519884444772</v>
      </c>
      <c r="G6551" s="11">
        <f>E6551*Summary!$B$6</f>
        <v/>
      </c>
      <c r="H6551" s="11">
        <f>F6551*Summary!$B$7</f>
        <v/>
      </c>
      <c r="I6551" s="11">
        <f>MAX(0,N6551-M6551)</f>
        <v/>
      </c>
      <c r="J6551" s="11">
        <f>MAX(0,M6551-N6551)</f>
        <v/>
      </c>
      <c r="K6551" s="11">
        <f>O6551</f>
        <v/>
      </c>
      <c r="L6551" s="11">
        <f>L6550+IF(K6551&gt;0,K6551*Summary!$B$9,K6551/Summary!$B$9)</f>
        <v/>
      </c>
      <c r="M6551" s="11">
        <f>G6551+H6551</f>
        <v/>
      </c>
      <c r="N6551" s="11">
        <f>Summary!$C$16*Summary!$B$8</f>
        <v/>
      </c>
      <c r="O6551" s="11">
        <f>M6551-N6551</f>
        <v/>
      </c>
    </row>
    <row r="6552">
      <c r="A6552" s="9" t="n">
        <v>45564.91666666666</v>
      </c>
      <c r="B6552" t="n">
        <v>9</v>
      </c>
      <c r="C6552" t="n">
        <v>29</v>
      </c>
      <c r="D6552" t="n">
        <v>22</v>
      </c>
      <c r="E6552" s="10" t="n">
        <v>0</v>
      </c>
      <c r="F6552" s="10" t="n">
        <v>0.3502181640523594</v>
      </c>
      <c r="G6552" s="11">
        <f>E6552*Summary!$B$6</f>
        <v/>
      </c>
      <c r="H6552" s="11">
        <f>F6552*Summary!$B$7</f>
        <v/>
      </c>
      <c r="I6552" s="11">
        <f>MAX(0,N6552-M6552)</f>
        <v/>
      </c>
      <c r="J6552" s="11">
        <f>MAX(0,M6552-N6552)</f>
        <v/>
      </c>
      <c r="K6552" s="11">
        <f>O6552</f>
        <v/>
      </c>
      <c r="L6552" s="11">
        <f>L6551+IF(K6552&gt;0,K6552*Summary!$B$9,K6552/Summary!$B$9)</f>
        <v/>
      </c>
      <c r="M6552" s="11">
        <f>G6552+H6552</f>
        <v/>
      </c>
      <c r="N6552" s="11">
        <f>Summary!$C$16*Summary!$B$8</f>
        <v/>
      </c>
      <c r="O6552" s="11">
        <f>M6552-N6552</f>
        <v/>
      </c>
    </row>
    <row r="6553">
      <c r="A6553" s="9" t="n">
        <v>45564.95833333334</v>
      </c>
      <c r="B6553" t="n">
        <v>9</v>
      </c>
      <c r="C6553" t="n">
        <v>29</v>
      </c>
      <c r="D6553" t="n">
        <v>23</v>
      </c>
      <c r="E6553" s="10" t="n">
        <v>0</v>
      </c>
      <c r="F6553" s="10" t="n">
        <v>0.3445788346989203</v>
      </c>
      <c r="G6553" s="11">
        <f>E6553*Summary!$B$6</f>
        <v/>
      </c>
      <c r="H6553" s="11">
        <f>F6553*Summary!$B$7</f>
        <v/>
      </c>
      <c r="I6553" s="11">
        <f>MAX(0,N6553-M6553)</f>
        <v/>
      </c>
      <c r="J6553" s="11">
        <f>MAX(0,M6553-N6553)</f>
        <v/>
      </c>
      <c r="K6553" s="11">
        <f>O6553</f>
        <v/>
      </c>
      <c r="L6553" s="11">
        <f>L6552+IF(K6553&gt;0,K6553*Summary!$B$9,K6553/Summary!$B$9)</f>
        <v/>
      </c>
      <c r="M6553" s="11">
        <f>G6553+H6553</f>
        <v/>
      </c>
      <c r="N6553" s="11">
        <f>Summary!$C$16*Summary!$B$8</f>
        <v/>
      </c>
      <c r="O6553" s="11">
        <f>M6553-N6553</f>
        <v/>
      </c>
    </row>
    <row r="6554">
      <c r="A6554" s="9" t="n">
        <v>45565</v>
      </c>
      <c r="B6554" t="n">
        <v>9</v>
      </c>
      <c r="C6554" t="n">
        <v>30</v>
      </c>
      <c r="D6554" t="n">
        <v>0</v>
      </c>
      <c r="E6554" s="10" t="n">
        <v>0</v>
      </c>
      <c r="F6554" s="10" t="n">
        <v>0.3725119614028707</v>
      </c>
      <c r="G6554" s="11">
        <f>E6554*Summary!$B$6</f>
        <v/>
      </c>
      <c r="H6554" s="11">
        <f>F6554*Summary!$B$7</f>
        <v/>
      </c>
      <c r="I6554" s="11">
        <f>MAX(0,N6554-M6554)</f>
        <v/>
      </c>
      <c r="J6554" s="11">
        <f>MAX(0,M6554-N6554)</f>
        <v/>
      </c>
      <c r="K6554" s="11">
        <f>O6554</f>
        <v/>
      </c>
      <c r="L6554" s="11">
        <f>L6553+IF(K6554&gt;0,K6554*Summary!$B$9,K6554/Summary!$B$9)</f>
        <v/>
      </c>
      <c r="M6554" s="11">
        <f>G6554+H6554</f>
        <v/>
      </c>
      <c r="N6554" s="11">
        <f>Summary!$C$16*Summary!$B$8</f>
        <v/>
      </c>
      <c r="O6554" s="11">
        <f>M6554-N6554</f>
        <v/>
      </c>
    </row>
    <row r="6555">
      <c r="A6555" s="9" t="n">
        <v>45565.04166666666</v>
      </c>
      <c r="B6555" t="n">
        <v>9</v>
      </c>
      <c r="C6555" t="n">
        <v>30</v>
      </c>
      <c r="D6555" t="n">
        <v>1</v>
      </c>
      <c r="E6555" s="10" t="n">
        <v>0</v>
      </c>
      <c r="F6555" s="10" t="n">
        <v>0.3422862101486904</v>
      </c>
      <c r="G6555" s="11">
        <f>E6555*Summary!$B$6</f>
        <v/>
      </c>
      <c r="H6555" s="11">
        <f>F6555*Summary!$B$7</f>
        <v/>
      </c>
      <c r="I6555" s="11">
        <f>MAX(0,N6555-M6555)</f>
        <v/>
      </c>
      <c r="J6555" s="11">
        <f>MAX(0,M6555-N6555)</f>
        <v/>
      </c>
      <c r="K6555" s="11">
        <f>O6555</f>
        <v/>
      </c>
      <c r="L6555" s="11">
        <f>L6554+IF(K6555&gt;0,K6555*Summary!$B$9,K6555/Summary!$B$9)</f>
        <v/>
      </c>
      <c r="M6555" s="11">
        <f>G6555+H6555</f>
        <v/>
      </c>
      <c r="N6555" s="11">
        <f>Summary!$C$16*Summary!$B$8</f>
        <v/>
      </c>
      <c r="O6555" s="11">
        <f>M6555-N6555</f>
        <v/>
      </c>
    </row>
    <row r="6556">
      <c r="A6556" s="9" t="n">
        <v>45565.08333333334</v>
      </c>
      <c r="B6556" t="n">
        <v>9</v>
      </c>
      <c r="C6556" t="n">
        <v>30</v>
      </c>
      <c r="D6556" t="n">
        <v>2</v>
      </c>
      <c r="E6556" s="10" t="n">
        <v>0</v>
      </c>
      <c r="F6556" s="10" t="n">
        <v>0.3395719534972689</v>
      </c>
      <c r="G6556" s="11">
        <f>E6556*Summary!$B$6</f>
        <v/>
      </c>
      <c r="H6556" s="11">
        <f>F6556*Summary!$B$7</f>
        <v/>
      </c>
      <c r="I6556" s="11">
        <f>MAX(0,N6556-M6556)</f>
        <v/>
      </c>
      <c r="J6556" s="11">
        <f>MAX(0,M6556-N6556)</f>
        <v/>
      </c>
      <c r="K6556" s="11">
        <f>O6556</f>
        <v/>
      </c>
      <c r="L6556" s="11">
        <f>L6555+IF(K6556&gt;0,K6556*Summary!$B$9,K6556/Summary!$B$9)</f>
        <v/>
      </c>
      <c r="M6556" s="11">
        <f>G6556+H6556</f>
        <v/>
      </c>
      <c r="N6556" s="11">
        <f>Summary!$C$16*Summary!$B$8</f>
        <v/>
      </c>
      <c r="O6556" s="11">
        <f>M6556-N6556</f>
        <v/>
      </c>
    </row>
    <row r="6557">
      <c r="A6557" s="9" t="n">
        <v>45565.125</v>
      </c>
      <c r="B6557" t="n">
        <v>9</v>
      </c>
      <c r="C6557" t="n">
        <v>30</v>
      </c>
      <c r="D6557" t="n">
        <v>3</v>
      </c>
      <c r="E6557" s="10" t="n">
        <v>0</v>
      </c>
      <c r="F6557" s="10" t="n">
        <v>0.3346441283145908</v>
      </c>
      <c r="G6557" s="11">
        <f>E6557*Summary!$B$6</f>
        <v/>
      </c>
      <c r="H6557" s="11">
        <f>F6557*Summary!$B$7</f>
        <v/>
      </c>
      <c r="I6557" s="11">
        <f>MAX(0,N6557-M6557)</f>
        <v/>
      </c>
      <c r="J6557" s="11">
        <f>MAX(0,M6557-N6557)</f>
        <v/>
      </c>
      <c r="K6557" s="11">
        <f>O6557</f>
        <v/>
      </c>
      <c r="L6557" s="11">
        <f>L6556+IF(K6557&gt;0,K6557*Summary!$B$9,K6557/Summary!$B$9)</f>
        <v/>
      </c>
      <c r="M6557" s="11">
        <f>G6557+H6557</f>
        <v/>
      </c>
      <c r="N6557" s="11">
        <f>Summary!$C$16*Summary!$B$8</f>
        <v/>
      </c>
      <c r="O6557" s="11">
        <f>M6557-N6557</f>
        <v/>
      </c>
    </row>
    <row r="6558">
      <c r="A6558" s="9" t="n">
        <v>45565.16666666666</v>
      </c>
      <c r="B6558" t="n">
        <v>9</v>
      </c>
      <c r="C6558" t="n">
        <v>30</v>
      </c>
      <c r="D6558" t="n">
        <v>4</v>
      </c>
      <c r="E6558" s="10" t="n">
        <v>0</v>
      </c>
      <c r="F6558" s="10" t="n">
        <v>0.3364360647446555</v>
      </c>
      <c r="G6558" s="11">
        <f>E6558*Summary!$B$6</f>
        <v/>
      </c>
      <c r="H6558" s="11">
        <f>F6558*Summary!$B$7</f>
        <v/>
      </c>
      <c r="I6558" s="11">
        <f>MAX(0,N6558-M6558)</f>
        <v/>
      </c>
      <c r="J6558" s="11">
        <f>MAX(0,M6558-N6558)</f>
        <v/>
      </c>
      <c r="K6558" s="11">
        <f>O6558</f>
        <v/>
      </c>
      <c r="L6558" s="11">
        <f>L6557+IF(K6558&gt;0,K6558*Summary!$B$9,K6558/Summary!$B$9)</f>
        <v/>
      </c>
      <c r="M6558" s="11">
        <f>G6558+H6558</f>
        <v/>
      </c>
      <c r="N6558" s="11">
        <f>Summary!$C$16*Summary!$B$8</f>
        <v/>
      </c>
      <c r="O6558" s="11">
        <f>M6558-N6558</f>
        <v/>
      </c>
    </row>
    <row r="6559">
      <c r="A6559" s="9" t="n">
        <v>45565.20833333334</v>
      </c>
      <c r="B6559" t="n">
        <v>9</v>
      </c>
      <c r="C6559" t="n">
        <v>30</v>
      </c>
      <c r="D6559" t="n">
        <v>5</v>
      </c>
      <c r="E6559" s="10" t="n">
        <v>0</v>
      </c>
      <c r="F6559" s="10" t="n">
        <v>0.3352238724537294</v>
      </c>
      <c r="G6559" s="11">
        <f>E6559*Summary!$B$6</f>
        <v/>
      </c>
      <c r="H6559" s="11">
        <f>F6559*Summary!$B$7</f>
        <v/>
      </c>
      <c r="I6559" s="11">
        <f>MAX(0,N6559-M6559)</f>
        <v/>
      </c>
      <c r="J6559" s="11">
        <f>MAX(0,M6559-N6559)</f>
        <v/>
      </c>
      <c r="K6559" s="11">
        <f>O6559</f>
        <v/>
      </c>
      <c r="L6559" s="11">
        <f>L6558+IF(K6559&gt;0,K6559*Summary!$B$9,K6559/Summary!$B$9)</f>
        <v/>
      </c>
      <c r="M6559" s="11">
        <f>G6559+H6559</f>
        <v/>
      </c>
      <c r="N6559" s="11">
        <f>Summary!$C$16*Summary!$B$8</f>
        <v/>
      </c>
      <c r="O6559" s="11">
        <f>M6559-N6559</f>
        <v/>
      </c>
    </row>
    <row r="6560">
      <c r="A6560" s="9" t="n">
        <v>45565.25</v>
      </c>
      <c r="B6560" t="n">
        <v>9</v>
      </c>
      <c r="C6560" t="n">
        <v>30</v>
      </c>
      <c r="D6560" t="n">
        <v>6</v>
      </c>
      <c r="E6560" s="10" t="n">
        <v>0.008460000000000001</v>
      </c>
      <c r="F6560" s="10" t="n">
        <v>0.3336954560869094</v>
      </c>
      <c r="G6560" s="11">
        <f>E6560*Summary!$B$6</f>
        <v/>
      </c>
      <c r="H6560" s="11">
        <f>F6560*Summary!$B$7</f>
        <v/>
      </c>
      <c r="I6560" s="11">
        <f>MAX(0,N6560-M6560)</f>
        <v/>
      </c>
      <c r="J6560" s="11">
        <f>MAX(0,M6560-N6560)</f>
        <v/>
      </c>
      <c r="K6560" s="11">
        <f>O6560</f>
        <v/>
      </c>
      <c r="L6560" s="11">
        <f>L6559+IF(K6560&gt;0,K6560*Summary!$B$9,K6560/Summary!$B$9)</f>
        <v/>
      </c>
      <c r="M6560" s="11">
        <f>G6560+H6560</f>
        <v/>
      </c>
      <c r="N6560" s="11">
        <f>Summary!$C$16*Summary!$B$8</f>
        <v/>
      </c>
      <c r="O6560" s="11">
        <f>M6560-N6560</f>
        <v/>
      </c>
    </row>
    <row r="6561">
      <c r="A6561" s="9" t="n">
        <v>45565.29166666666</v>
      </c>
      <c r="B6561" t="n">
        <v>9</v>
      </c>
      <c r="C6561" t="n">
        <v>30</v>
      </c>
      <c r="D6561" t="n">
        <v>7</v>
      </c>
      <c r="E6561" s="10" t="n">
        <v>0.054003</v>
      </c>
      <c r="F6561" s="10" t="n">
        <v>0.3242087338100961</v>
      </c>
      <c r="G6561" s="11">
        <f>E6561*Summary!$B$6</f>
        <v/>
      </c>
      <c r="H6561" s="11">
        <f>F6561*Summary!$B$7</f>
        <v/>
      </c>
      <c r="I6561" s="11">
        <f>MAX(0,N6561-M6561)</f>
        <v/>
      </c>
      <c r="J6561" s="11">
        <f>MAX(0,M6561-N6561)</f>
        <v/>
      </c>
      <c r="K6561" s="11">
        <f>O6561</f>
        <v/>
      </c>
      <c r="L6561" s="11">
        <f>L6560+IF(K6561&gt;0,K6561*Summary!$B$9,K6561/Summary!$B$9)</f>
        <v/>
      </c>
      <c r="M6561" s="11">
        <f>G6561+H6561</f>
        <v/>
      </c>
      <c r="N6561" s="11">
        <f>Summary!$C$16*Summary!$B$8</f>
        <v/>
      </c>
      <c r="O6561" s="11">
        <f>M6561-N6561</f>
        <v/>
      </c>
    </row>
    <row r="6562">
      <c r="A6562" s="9" t="n">
        <v>45565.33333333334</v>
      </c>
      <c r="B6562" t="n">
        <v>9</v>
      </c>
      <c r="C6562" t="n">
        <v>30</v>
      </c>
      <c r="D6562" t="n">
        <v>8</v>
      </c>
      <c r="E6562" s="10" t="n">
        <v>0.105786</v>
      </c>
      <c r="F6562" s="10" t="n">
        <v>0.3176734362416247</v>
      </c>
      <c r="G6562" s="11">
        <f>E6562*Summary!$B$6</f>
        <v/>
      </c>
      <c r="H6562" s="11">
        <f>F6562*Summary!$B$7</f>
        <v/>
      </c>
      <c r="I6562" s="11">
        <f>MAX(0,N6562-M6562)</f>
        <v/>
      </c>
      <c r="J6562" s="11">
        <f>MAX(0,M6562-N6562)</f>
        <v/>
      </c>
      <c r="K6562" s="11">
        <f>O6562</f>
        <v/>
      </c>
      <c r="L6562" s="11">
        <f>L6561+IF(K6562&gt;0,K6562*Summary!$B$9,K6562/Summary!$B$9)</f>
        <v/>
      </c>
      <c r="M6562" s="11">
        <f>G6562+H6562</f>
        <v/>
      </c>
      <c r="N6562" s="11">
        <f>Summary!$C$16*Summary!$B$8</f>
        <v/>
      </c>
      <c r="O6562" s="11">
        <f>M6562-N6562</f>
        <v/>
      </c>
    </row>
    <row r="6563">
      <c r="A6563" s="9" t="n">
        <v>45565.375</v>
      </c>
      <c r="B6563" t="n">
        <v>9</v>
      </c>
      <c r="C6563" t="n">
        <v>30</v>
      </c>
      <c r="D6563" t="n">
        <v>9</v>
      </c>
      <c r="E6563" s="10" t="n">
        <v>0.12145</v>
      </c>
      <c r="F6563" s="10" t="n">
        <v>0.3110854346605043</v>
      </c>
      <c r="G6563" s="11">
        <f>E6563*Summary!$B$6</f>
        <v/>
      </c>
      <c r="H6563" s="11">
        <f>F6563*Summary!$B$7</f>
        <v/>
      </c>
      <c r="I6563" s="11">
        <f>MAX(0,N6563-M6563)</f>
        <v/>
      </c>
      <c r="J6563" s="11">
        <f>MAX(0,M6563-N6563)</f>
        <v/>
      </c>
      <c r="K6563" s="11">
        <f>O6563</f>
        <v/>
      </c>
      <c r="L6563" s="11">
        <f>L6562+IF(K6563&gt;0,K6563*Summary!$B$9,K6563/Summary!$B$9)</f>
        <v/>
      </c>
      <c r="M6563" s="11">
        <f>G6563+H6563</f>
        <v/>
      </c>
      <c r="N6563" s="11">
        <f>Summary!$C$16*Summary!$B$8</f>
        <v/>
      </c>
      <c r="O6563" s="11">
        <f>M6563-N6563</f>
        <v/>
      </c>
    </row>
    <row r="6564">
      <c r="A6564" s="9" t="n">
        <v>45565.41666666666</v>
      </c>
      <c r="B6564" t="n">
        <v>9</v>
      </c>
      <c r="C6564" t="n">
        <v>30</v>
      </c>
      <c r="D6564" t="n">
        <v>10</v>
      </c>
      <c r="E6564" s="10" t="n">
        <v>0.162146</v>
      </c>
      <c r="F6564" s="10" t="n">
        <v>0.3033379448011068</v>
      </c>
      <c r="G6564" s="11">
        <f>E6564*Summary!$B$6</f>
        <v/>
      </c>
      <c r="H6564" s="11">
        <f>F6564*Summary!$B$7</f>
        <v/>
      </c>
      <c r="I6564" s="11">
        <f>MAX(0,N6564-M6564)</f>
        <v/>
      </c>
      <c r="J6564" s="11">
        <f>MAX(0,M6564-N6564)</f>
        <v/>
      </c>
      <c r="K6564" s="11">
        <f>O6564</f>
        <v/>
      </c>
      <c r="L6564" s="11">
        <f>L6563+IF(K6564&gt;0,K6564*Summary!$B$9,K6564/Summary!$B$9)</f>
        <v/>
      </c>
      <c r="M6564" s="11">
        <f>G6564+H6564</f>
        <v/>
      </c>
      <c r="N6564" s="11">
        <f>Summary!$C$16*Summary!$B$8</f>
        <v/>
      </c>
      <c r="O6564" s="11">
        <f>M6564-N6564</f>
        <v/>
      </c>
    </row>
    <row r="6565">
      <c r="A6565" s="9" t="n">
        <v>45565.45833333334</v>
      </c>
      <c r="B6565" t="n">
        <v>9</v>
      </c>
      <c r="C6565" t="n">
        <v>30</v>
      </c>
      <c r="D6565" t="n">
        <v>11</v>
      </c>
      <c r="E6565" s="10" t="n">
        <v>0.318375</v>
      </c>
      <c r="F6565" s="10" t="n">
        <v>0.3019149364595847</v>
      </c>
      <c r="G6565" s="11">
        <f>E6565*Summary!$B$6</f>
        <v/>
      </c>
      <c r="H6565" s="11">
        <f>F6565*Summary!$B$7</f>
        <v/>
      </c>
      <c r="I6565" s="11">
        <f>MAX(0,N6565-M6565)</f>
        <v/>
      </c>
      <c r="J6565" s="11">
        <f>MAX(0,M6565-N6565)</f>
        <v/>
      </c>
      <c r="K6565" s="11">
        <f>O6565</f>
        <v/>
      </c>
      <c r="L6565" s="11">
        <f>L6564+IF(K6565&gt;0,K6565*Summary!$B$9,K6565/Summary!$B$9)</f>
        <v/>
      </c>
      <c r="M6565" s="11">
        <f>G6565+H6565</f>
        <v/>
      </c>
      <c r="N6565" s="11">
        <f>Summary!$C$16*Summary!$B$8</f>
        <v/>
      </c>
      <c r="O6565" s="11">
        <f>M6565-N6565</f>
        <v/>
      </c>
    </row>
    <row r="6566">
      <c r="A6566" s="9" t="n">
        <v>45565.5</v>
      </c>
      <c r="B6566" t="n">
        <v>9</v>
      </c>
      <c r="C6566" t="n">
        <v>30</v>
      </c>
      <c r="D6566" t="n">
        <v>12</v>
      </c>
      <c r="E6566" s="10" t="n">
        <v>0.281067</v>
      </c>
      <c r="F6566" s="10" t="n">
        <v>0.3007818001876321</v>
      </c>
      <c r="G6566" s="11">
        <f>E6566*Summary!$B$6</f>
        <v/>
      </c>
      <c r="H6566" s="11">
        <f>F6566*Summary!$B$7</f>
        <v/>
      </c>
      <c r="I6566" s="11">
        <f>MAX(0,N6566-M6566)</f>
        <v/>
      </c>
      <c r="J6566" s="11">
        <f>MAX(0,M6566-N6566)</f>
        <v/>
      </c>
      <c r="K6566" s="11">
        <f>O6566</f>
        <v/>
      </c>
      <c r="L6566" s="11">
        <f>L6565+IF(K6566&gt;0,K6566*Summary!$B$9,K6566/Summary!$B$9)</f>
        <v/>
      </c>
      <c r="M6566" s="11">
        <f>G6566+H6566</f>
        <v/>
      </c>
      <c r="N6566" s="11">
        <f>Summary!$C$16*Summary!$B$8</f>
        <v/>
      </c>
      <c r="O6566" s="11">
        <f>M6566-N6566</f>
        <v/>
      </c>
    </row>
    <row r="6567">
      <c r="A6567" s="9" t="n">
        <v>45565.54166666666</v>
      </c>
      <c r="B6567" t="n">
        <v>9</v>
      </c>
      <c r="C6567" t="n">
        <v>30</v>
      </c>
      <c r="D6567" t="n">
        <v>13</v>
      </c>
      <c r="E6567" s="10" t="n">
        <v>0.186032</v>
      </c>
      <c r="F6567" s="10" t="n">
        <v>0.3256053901452936</v>
      </c>
      <c r="G6567" s="11">
        <f>E6567*Summary!$B$6</f>
        <v/>
      </c>
      <c r="H6567" s="11">
        <f>F6567*Summary!$B$7</f>
        <v/>
      </c>
      <c r="I6567" s="11">
        <f>MAX(0,N6567-M6567)</f>
        <v/>
      </c>
      <c r="J6567" s="11">
        <f>MAX(0,M6567-N6567)</f>
        <v/>
      </c>
      <c r="K6567" s="11">
        <f>O6567</f>
        <v/>
      </c>
      <c r="L6567" s="11">
        <f>L6566+IF(K6567&gt;0,K6567*Summary!$B$9,K6567/Summary!$B$9)</f>
        <v/>
      </c>
      <c r="M6567" s="11">
        <f>G6567+H6567</f>
        <v/>
      </c>
      <c r="N6567" s="11">
        <f>Summary!$C$16*Summary!$B$8</f>
        <v/>
      </c>
      <c r="O6567" s="11">
        <f>M6567-N6567</f>
        <v/>
      </c>
    </row>
    <row r="6568">
      <c r="A6568" s="9" t="n">
        <v>45565.58333333334</v>
      </c>
      <c r="B6568" t="n">
        <v>9</v>
      </c>
      <c r="C6568" t="n">
        <v>30</v>
      </c>
      <c r="D6568" t="n">
        <v>14</v>
      </c>
      <c r="E6568" s="10" t="n">
        <v>0.179303</v>
      </c>
      <c r="F6568" s="10" t="n">
        <v>0.3028899606935905</v>
      </c>
      <c r="G6568" s="11">
        <f>E6568*Summary!$B$6</f>
        <v/>
      </c>
      <c r="H6568" s="11">
        <f>F6568*Summary!$B$7</f>
        <v/>
      </c>
      <c r="I6568" s="11">
        <f>MAX(0,N6568-M6568)</f>
        <v/>
      </c>
      <c r="J6568" s="11">
        <f>MAX(0,M6568-N6568)</f>
        <v/>
      </c>
      <c r="K6568" s="11">
        <f>O6568</f>
        <v/>
      </c>
      <c r="L6568" s="11">
        <f>L6567+IF(K6568&gt;0,K6568*Summary!$B$9,K6568/Summary!$B$9)</f>
        <v/>
      </c>
      <c r="M6568" s="11">
        <f>G6568+H6568</f>
        <v/>
      </c>
      <c r="N6568" s="11">
        <f>Summary!$C$16*Summary!$B$8</f>
        <v/>
      </c>
      <c r="O6568" s="11">
        <f>M6568-N6568</f>
        <v/>
      </c>
    </row>
    <row r="6569">
      <c r="A6569" s="9" t="n">
        <v>45565.625</v>
      </c>
      <c r="B6569" t="n">
        <v>9</v>
      </c>
      <c r="C6569" t="n">
        <v>30</v>
      </c>
      <c r="D6569" t="n">
        <v>15</v>
      </c>
      <c r="E6569" s="10" t="n">
        <v>0.111794</v>
      </c>
      <c r="F6569" s="10" t="n">
        <v>0.3038122809149474</v>
      </c>
      <c r="G6569" s="11">
        <f>E6569*Summary!$B$6</f>
        <v/>
      </c>
      <c r="H6569" s="11">
        <f>F6569*Summary!$B$7</f>
        <v/>
      </c>
      <c r="I6569" s="11">
        <f>MAX(0,N6569-M6569)</f>
        <v/>
      </c>
      <c r="J6569" s="11">
        <f>MAX(0,M6569-N6569)</f>
        <v/>
      </c>
      <c r="K6569" s="11">
        <f>O6569</f>
        <v/>
      </c>
      <c r="L6569" s="11">
        <f>L6568+IF(K6569&gt;0,K6569*Summary!$B$9,K6569/Summary!$B$9)</f>
        <v/>
      </c>
      <c r="M6569" s="11">
        <f>G6569+H6569</f>
        <v/>
      </c>
      <c r="N6569" s="11">
        <f>Summary!$C$16*Summary!$B$8</f>
        <v/>
      </c>
      <c r="O6569" s="11">
        <f>M6569-N6569</f>
        <v/>
      </c>
    </row>
    <row r="6570">
      <c r="A6570" s="9" t="n">
        <v>45565.66666666666</v>
      </c>
      <c r="B6570" t="n">
        <v>9</v>
      </c>
      <c r="C6570" t="n">
        <v>30</v>
      </c>
      <c r="D6570" t="n">
        <v>16</v>
      </c>
      <c r="E6570" s="10" t="n">
        <v>0.039773</v>
      </c>
      <c r="F6570" s="10" t="n">
        <v>0.3066582975979914</v>
      </c>
      <c r="G6570" s="11">
        <f>E6570*Summary!$B$6</f>
        <v/>
      </c>
      <c r="H6570" s="11">
        <f>F6570*Summary!$B$7</f>
        <v/>
      </c>
      <c r="I6570" s="11">
        <f>MAX(0,N6570-M6570)</f>
        <v/>
      </c>
      <c r="J6570" s="11">
        <f>MAX(0,M6570-N6570)</f>
        <v/>
      </c>
      <c r="K6570" s="11">
        <f>O6570</f>
        <v/>
      </c>
      <c r="L6570" s="11">
        <f>L6569+IF(K6570&gt;0,K6570*Summary!$B$9,K6570/Summary!$B$9)</f>
        <v/>
      </c>
      <c r="M6570" s="11">
        <f>G6570+H6570</f>
        <v/>
      </c>
      <c r="N6570" s="11">
        <f>Summary!$C$16*Summary!$B$8</f>
        <v/>
      </c>
      <c r="O6570" s="11">
        <f>M6570-N6570</f>
        <v/>
      </c>
    </row>
    <row r="6571">
      <c r="A6571" s="9" t="n">
        <v>45565.70833333334</v>
      </c>
      <c r="B6571" t="n">
        <v>9</v>
      </c>
      <c r="C6571" t="n">
        <v>30</v>
      </c>
      <c r="D6571" t="n">
        <v>17</v>
      </c>
      <c r="E6571" s="10" t="n">
        <v>0.007960999999999999</v>
      </c>
      <c r="F6571" s="10" t="n">
        <v>0.3281878867650928</v>
      </c>
      <c r="G6571" s="11">
        <f>E6571*Summary!$B$6</f>
        <v/>
      </c>
      <c r="H6571" s="11">
        <f>F6571*Summary!$B$7</f>
        <v/>
      </c>
      <c r="I6571" s="11">
        <f>MAX(0,N6571-M6571)</f>
        <v/>
      </c>
      <c r="J6571" s="11">
        <f>MAX(0,M6571-N6571)</f>
        <v/>
      </c>
      <c r="K6571" s="11">
        <f>O6571</f>
        <v/>
      </c>
      <c r="L6571" s="11">
        <f>L6570+IF(K6571&gt;0,K6571*Summary!$B$9,K6571/Summary!$B$9)</f>
        <v/>
      </c>
      <c r="M6571" s="11">
        <f>G6571+H6571</f>
        <v/>
      </c>
      <c r="N6571" s="11">
        <f>Summary!$C$16*Summary!$B$8</f>
        <v/>
      </c>
      <c r="O6571" s="11">
        <f>M6571-N6571</f>
        <v/>
      </c>
    </row>
    <row r="6572">
      <c r="A6572" s="9" t="n">
        <v>45565.75</v>
      </c>
      <c r="B6572" t="n">
        <v>9</v>
      </c>
      <c r="C6572" t="n">
        <v>30</v>
      </c>
      <c r="D6572" t="n">
        <v>18</v>
      </c>
      <c r="E6572" s="10" t="n">
        <v>0</v>
      </c>
      <c r="F6572" s="10" t="n">
        <v>0.3520101004824241</v>
      </c>
      <c r="G6572" s="11">
        <f>E6572*Summary!$B$6</f>
        <v/>
      </c>
      <c r="H6572" s="11">
        <f>F6572*Summary!$B$7</f>
        <v/>
      </c>
      <c r="I6572" s="11">
        <f>MAX(0,N6572-M6572)</f>
        <v/>
      </c>
      <c r="J6572" s="11">
        <f>MAX(0,M6572-N6572)</f>
        <v/>
      </c>
      <c r="K6572" s="11">
        <f>O6572</f>
        <v/>
      </c>
      <c r="L6572" s="11">
        <f>L6571+IF(K6572&gt;0,K6572*Summary!$B$9,K6572/Summary!$B$9)</f>
        <v/>
      </c>
      <c r="M6572" s="11">
        <f>G6572+H6572</f>
        <v/>
      </c>
      <c r="N6572" s="11">
        <f>Summary!$C$16*Summary!$B$8</f>
        <v/>
      </c>
      <c r="O6572" s="11">
        <f>M6572-N6572</f>
        <v/>
      </c>
    </row>
    <row r="6573">
      <c r="A6573" s="9" t="n">
        <v>45565.79166666666</v>
      </c>
      <c r="B6573" t="n">
        <v>9</v>
      </c>
      <c r="C6573" t="n">
        <v>30</v>
      </c>
      <c r="D6573" t="n">
        <v>19</v>
      </c>
      <c r="E6573" s="10" t="n">
        <v>0</v>
      </c>
      <c r="F6573" s="10" t="n">
        <v>0.3694287766629064</v>
      </c>
      <c r="G6573" s="11">
        <f>E6573*Summary!$B$6</f>
        <v/>
      </c>
      <c r="H6573" s="11">
        <f>F6573*Summary!$B$7</f>
        <v/>
      </c>
      <c r="I6573" s="11">
        <f>MAX(0,N6573-M6573)</f>
        <v/>
      </c>
      <c r="J6573" s="11">
        <f>MAX(0,M6573-N6573)</f>
        <v/>
      </c>
      <c r="K6573" s="11">
        <f>O6573</f>
        <v/>
      </c>
      <c r="L6573" s="11">
        <f>L6572+IF(K6573&gt;0,K6573*Summary!$B$9,K6573/Summary!$B$9)</f>
        <v/>
      </c>
      <c r="M6573" s="11">
        <f>G6573+H6573</f>
        <v/>
      </c>
      <c r="N6573" s="11">
        <f>Summary!$C$16*Summary!$B$8</f>
        <v/>
      </c>
      <c r="O6573" s="11">
        <f>M6573-N6573</f>
        <v/>
      </c>
    </row>
    <row r="6574">
      <c r="A6574" s="9" t="n">
        <v>45565.83333333334</v>
      </c>
      <c r="B6574" t="n">
        <v>9</v>
      </c>
      <c r="C6574" t="n">
        <v>30</v>
      </c>
      <c r="D6574" t="n">
        <v>20</v>
      </c>
      <c r="E6574" s="10" t="n">
        <v>0</v>
      </c>
      <c r="F6574" s="10" t="n">
        <v>0.3813135315152476</v>
      </c>
      <c r="G6574" s="11">
        <f>E6574*Summary!$B$6</f>
        <v/>
      </c>
      <c r="H6574" s="11">
        <f>F6574*Summary!$B$7</f>
        <v/>
      </c>
      <c r="I6574" s="11">
        <f>MAX(0,N6574-M6574)</f>
        <v/>
      </c>
      <c r="J6574" s="11">
        <f>MAX(0,M6574-N6574)</f>
        <v/>
      </c>
      <c r="K6574" s="11">
        <f>O6574</f>
        <v/>
      </c>
      <c r="L6574" s="11">
        <f>L6573+IF(K6574&gt;0,K6574*Summary!$B$9,K6574/Summary!$B$9)</f>
        <v/>
      </c>
      <c r="M6574" s="11">
        <f>G6574+H6574</f>
        <v/>
      </c>
      <c r="N6574" s="11">
        <f>Summary!$C$16*Summary!$B$8</f>
        <v/>
      </c>
      <c r="O6574" s="11">
        <f>M6574-N6574</f>
        <v/>
      </c>
    </row>
    <row r="6575">
      <c r="A6575" s="9" t="n">
        <v>45565.875</v>
      </c>
      <c r="B6575" t="n">
        <v>9</v>
      </c>
      <c r="C6575" t="n">
        <v>30</v>
      </c>
      <c r="D6575" t="n">
        <v>21</v>
      </c>
      <c r="E6575" s="10" t="n">
        <v>0</v>
      </c>
      <c r="F6575" s="10" t="n">
        <v>0.3839487321476957</v>
      </c>
      <c r="G6575" s="11">
        <f>E6575*Summary!$B$6</f>
        <v/>
      </c>
      <c r="H6575" s="11">
        <f>F6575*Summary!$B$7</f>
        <v/>
      </c>
      <c r="I6575" s="11">
        <f>MAX(0,N6575-M6575)</f>
        <v/>
      </c>
      <c r="J6575" s="11">
        <f>MAX(0,M6575-N6575)</f>
        <v/>
      </c>
      <c r="K6575" s="11">
        <f>O6575</f>
        <v/>
      </c>
      <c r="L6575" s="11">
        <f>L6574+IF(K6575&gt;0,K6575*Summary!$B$9,K6575/Summary!$B$9)</f>
        <v/>
      </c>
      <c r="M6575" s="11">
        <f>G6575+H6575</f>
        <v/>
      </c>
      <c r="N6575" s="11">
        <f>Summary!$C$16*Summary!$B$8</f>
        <v/>
      </c>
      <c r="O6575" s="11">
        <f>M6575-N6575</f>
        <v/>
      </c>
    </row>
    <row r="6576">
      <c r="A6576" s="9" t="n">
        <v>45565.91666666666</v>
      </c>
      <c r="B6576" t="n">
        <v>9</v>
      </c>
      <c r="C6576" t="n">
        <v>30</v>
      </c>
      <c r="D6576" t="n">
        <v>22</v>
      </c>
      <c r="E6576" s="10" t="n">
        <v>0</v>
      </c>
      <c r="F6576" s="10" t="n">
        <v>0.3814716435531944</v>
      </c>
      <c r="G6576" s="11">
        <f>E6576*Summary!$B$6</f>
        <v/>
      </c>
      <c r="H6576" s="11">
        <f>F6576*Summary!$B$7</f>
        <v/>
      </c>
      <c r="I6576" s="11">
        <f>MAX(0,N6576-M6576)</f>
        <v/>
      </c>
      <c r="J6576" s="11">
        <f>MAX(0,M6576-N6576)</f>
        <v/>
      </c>
      <c r="K6576" s="11">
        <f>O6576</f>
        <v/>
      </c>
      <c r="L6576" s="11">
        <f>L6575+IF(K6576&gt;0,K6576*Summary!$B$9,K6576/Summary!$B$9)</f>
        <v/>
      </c>
      <c r="M6576" s="11">
        <f>G6576+H6576</f>
        <v/>
      </c>
      <c r="N6576" s="11">
        <f>Summary!$C$16*Summary!$B$8</f>
        <v/>
      </c>
      <c r="O6576" s="11">
        <f>M6576-N6576</f>
        <v/>
      </c>
    </row>
    <row r="6577">
      <c r="A6577" s="9" t="n">
        <v>45565.95833333334</v>
      </c>
      <c r="B6577" t="n">
        <v>9</v>
      </c>
      <c r="C6577" t="n">
        <v>30</v>
      </c>
      <c r="D6577" t="n">
        <v>23</v>
      </c>
      <c r="E6577" s="10" t="n">
        <v>0</v>
      </c>
      <c r="F6577" s="10" t="n">
        <v>0.379258075021938</v>
      </c>
      <c r="G6577" s="11">
        <f>E6577*Summary!$B$6</f>
        <v/>
      </c>
      <c r="H6577" s="11">
        <f>F6577*Summary!$B$7</f>
        <v/>
      </c>
      <c r="I6577" s="11">
        <f>MAX(0,N6577-M6577)</f>
        <v/>
      </c>
      <c r="J6577" s="11">
        <f>MAX(0,M6577-N6577)</f>
        <v/>
      </c>
      <c r="K6577" s="11">
        <f>O6577</f>
        <v/>
      </c>
      <c r="L6577" s="11">
        <f>L6576+IF(K6577&gt;0,K6577*Summary!$B$9,K6577/Summary!$B$9)</f>
        <v/>
      </c>
      <c r="M6577" s="11">
        <f>G6577+H6577</f>
        <v/>
      </c>
      <c r="N6577" s="11">
        <f>Summary!$C$16*Summary!$B$8</f>
        <v/>
      </c>
      <c r="O6577" s="11">
        <f>M6577-N6577</f>
        <v/>
      </c>
    </row>
    <row r="6578">
      <c r="A6578" s="9" t="n">
        <v>45566</v>
      </c>
      <c r="B6578" t="n">
        <v>10</v>
      </c>
      <c r="C6578" t="n">
        <v>1</v>
      </c>
      <c r="D6578" t="n">
        <v>0</v>
      </c>
      <c r="E6578" s="10" t="n">
        <v>0</v>
      </c>
      <c r="F6578" s="10" t="n">
        <v>0.2907153337716801</v>
      </c>
      <c r="G6578" s="11">
        <f>E6578*Summary!$B$6</f>
        <v/>
      </c>
      <c r="H6578" s="11">
        <f>F6578*Summary!$B$7</f>
        <v/>
      </c>
      <c r="I6578" s="11">
        <f>MAX(0,N6578-M6578)</f>
        <v/>
      </c>
      <c r="J6578" s="11">
        <f>MAX(0,M6578-N6578)</f>
        <v/>
      </c>
      <c r="K6578" s="11">
        <f>O6578</f>
        <v/>
      </c>
      <c r="L6578" s="11">
        <f>L6577+IF(K6578&gt;0,K6578*Summary!$B$9,K6578/Summary!$B$9)</f>
        <v/>
      </c>
      <c r="M6578" s="11">
        <f>G6578+H6578</f>
        <v/>
      </c>
      <c r="N6578" s="11">
        <f>Summary!$C$16*Summary!$B$8</f>
        <v/>
      </c>
      <c r="O6578" s="11">
        <f>M6578-N6578</f>
        <v/>
      </c>
    </row>
    <row r="6579">
      <c r="A6579" s="9" t="n">
        <v>45566.04166666666</v>
      </c>
      <c r="B6579" t="n">
        <v>10</v>
      </c>
      <c r="C6579" t="n">
        <v>1</v>
      </c>
      <c r="D6579" t="n">
        <v>1</v>
      </c>
      <c r="E6579" s="10" t="n">
        <v>0</v>
      </c>
      <c r="F6579" s="10" t="n">
        <v>0.3638948553347653</v>
      </c>
      <c r="G6579" s="11">
        <f>E6579*Summary!$B$6</f>
        <v/>
      </c>
      <c r="H6579" s="11">
        <f>F6579*Summary!$B$7</f>
        <v/>
      </c>
      <c r="I6579" s="11">
        <f>MAX(0,N6579-M6579)</f>
        <v/>
      </c>
      <c r="J6579" s="11">
        <f>MAX(0,M6579-N6579)</f>
        <v/>
      </c>
      <c r="K6579" s="11">
        <f>O6579</f>
        <v/>
      </c>
      <c r="L6579" s="11">
        <f>L6578+IF(K6579&gt;0,K6579*Summary!$B$9,K6579/Summary!$B$9)</f>
        <v/>
      </c>
      <c r="M6579" s="11">
        <f>G6579+H6579</f>
        <v/>
      </c>
      <c r="N6579" s="11">
        <f>Summary!$C$16*Summary!$B$8</f>
        <v/>
      </c>
      <c r="O6579" s="11">
        <f>M6579-N6579</f>
        <v/>
      </c>
    </row>
    <row r="6580">
      <c r="A6580" s="9" t="n">
        <v>45566.08333333334</v>
      </c>
      <c r="B6580" t="n">
        <v>10</v>
      </c>
      <c r="C6580" t="n">
        <v>1</v>
      </c>
      <c r="D6580" t="n">
        <v>2</v>
      </c>
      <c r="E6580" s="10" t="n">
        <v>0</v>
      </c>
      <c r="F6580" s="10" t="n">
        <v>0.3754633861112127</v>
      </c>
      <c r="G6580" s="11">
        <f>E6580*Summary!$B$6</f>
        <v/>
      </c>
      <c r="H6580" s="11">
        <f>F6580*Summary!$B$7</f>
        <v/>
      </c>
      <c r="I6580" s="11">
        <f>MAX(0,N6580-M6580)</f>
        <v/>
      </c>
      <c r="J6580" s="11">
        <f>MAX(0,M6580-N6580)</f>
        <v/>
      </c>
      <c r="K6580" s="11">
        <f>O6580</f>
        <v/>
      </c>
      <c r="L6580" s="11">
        <f>L6579+IF(K6580&gt;0,K6580*Summary!$B$9,K6580/Summary!$B$9)</f>
        <v/>
      </c>
      <c r="M6580" s="11">
        <f>G6580+H6580</f>
        <v/>
      </c>
      <c r="N6580" s="11">
        <f>Summary!$C$16*Summary!$B$8</f>
        <v/>
      </c>
      <c r="O6580" s="11">
        <f>M6580-N6580</f>
        <v/>
      </c>
    </row>
    <row r="6581">
      <c r="A6581" s="9" t="n">
        <v>45566.125</v>
      </c>
      <c r="B6581" t="n">
        <v>10</v>
      </c>
      <c r="C6581" t="n">
        <v>1</v>
      </c>
      <c r="D6581" t="n">
        <v>3</v>
      </c>
      <c r="E6581" s="10" t="n">
        <v>0</v>
      </c>
      <c r="F6581" s="10" t="n">
        <v>0.3496911239258698</v>
      </c>
      <c r="G6581" s="11">
        <f>E6581*Summary!$B$6</f>
        <v/>
      </c>
      <c r="H6581" s="11">
        <f>F6581*Summary!$B$7</f>
        <v/>
      </c>
      <c r="I6581" s="11">
        <f>MAX(0,N6581-M6581)</f>
        <v/>
      </c>
      <c r="J6581" s="11">
        <f>MAX(0,M6581-N6581)</f>
        <v/>
      </c>
      <c r="K6581" s="11">
        <f>O6581</f>
        <v/>
      </c>
      <c r="L6581" s="11">
        <f>L6580+IF(K6581&gt;0,K6581*Summary!$B$9,K6581/Summary!$B$9)</f>
        <v/>
      </c>
      <c r="M6581" s="11">
        <f>G6581+H6581</f>
        <v/>
      </c>
      <c r="N6581" s="11">
        <f>Summary!$C$16*Summary!$B$8</f>
        <v/>
      </c>
      <c r="O6581" s="11">
        <f>M6581-N6581</f>
        <v/>
      </c>
    </row>
    <row r="6582">
      <c r="A6582" s="9" t="n">
        <v>45566.16666666666</v>
      </c>
      <c r="B6582" t="n">
        <v>10</v>
      </c>
      <c r="C6582" t="n">
        <v>1</v>
      </c>
      <c r="D6582" t="n">
        <v>4</v>
      </c>
      <c r="E6582" s="10" t="n">
        <v>0</v>
      </c>
      <c r="F6582" s="10" t="n">
        <v>0.3475302594072622</v>
      </c>
      <c r="G6582" s="11">
        <f>E6582*Summary!$B$6</f>
        <v/>
      </c>
      <c r="H6582" s="11">
        <f>F6582*Summary!$B$7</f>
        <v/>
      </c>
      <c r="I6582" s="11">
        <f>MAX(0,N6582-M6582)</f>
        <v/>
      </c>
      <c r="J6582" s="11">
        <f>MAX(0,M6582-N6582)</f>
        <v/>
      </c>
      <c r="K6582" s="11">
        <f>O6582</f>
        <v/>
      </c>
      <c r="L6582" s="11">
        <f>L6581+IF(K6582&gt;0,K6582*Summary!$B$9,K6582/Summary!$B$9)</f>
        <v/>
      </c>
      <c r="M6582" s="11">
        <f>G6582+H6582</f>
        <v/>
      </c>
      <c r="N6582" s="11">
        <f>Summary!$C$16*Summary!$B$8</f>
        <v/>
      </c>
      <c r="O6582" s="11">
        <f>M6582-N6582</f>
        <v/>
      </c>
    </row>
    <row r="6583">
      <c r="A6583" s="9" t="n">
        <v>45566.20833333334</v>
      </c>
      <c r="B6583" t="n">
        <v>10</v>
      </c>
      <c r="C6583" t="n">
        <v>1</v>
      </c>
      <c r="D6583" t="n">
        <v>5</v>
      </c>
      <c r="E6583" s="10" t="n">
        <v>0</v>
      </c>
      <c r="F6583" s="10" t="n">
        <v>0.3501127560270614</v>
      </c>
      <c r="G6583" s="11">
        <f>E6583*Summary!$B$6</f>
        <v/>
      </c>
      <c r="H6583" s="11">
        <f>F6583*Summary!$B$7</f>
        <v/>
      </c>
      <c r="I6583" s="11">
        <f>MAX(0,N6583-M6583)</f>
        <v/>
      </c>
      <c r="J6583" s="11">
        <f>MAX(0,M6583-N6583)</f>
        <v/>
      </c>
      <c r="K6583" s="11">
        <f>O6583</f>
        <v/>
      </c>
      <c r="L6583" s="11">
        <f>L6582+IF(K6583&gt;0,K6583*Summary!$B$9,K6583/Summary!$B$9)</f>
        <v/>
      </c>
      <c r="M6583" s="11">
        <f>G6583+H6583</f>
        <v/>
      </c>
      <c r="N6583" s="11">
        <f>Summary!$C$16*Summary!$B$8</f>
        <v/>
      </c>
      <c r="O6583" s="11">
        <f>M6583-N6583</f>
        <v/>
      </c>
    </row>
    <row r="6584">
      <c r="A6584" s="9" t="n">
        <v>45566.25</v>
      </c>
      <c r="B6584" t="n">
        <v>10</v>
      </c>
      <c r="C6584" t="n">
        <v>1</v>
      </c>
      <c r="D6584" t="n">
        <v>6</v>
      </c>
      <c r="E6584" s="10" t="n">
        <v>0.003609</v>
      </c>
      <c r="F6584" s="10" t="n">
        <v>0.3472403873376929</v>
      </c>
      <c r="G6584" s="11">
        <f>E6584*Summary!$B$6</f>
        <v/>
      </c>
      <c r="H6584" s="11">
        <f>F6584*Summary!$B$7</f>
        <v/>
      </c>
      <c r="I6584" s="11">
        <f>MAX(0,N6584-M6584)</f>
        <v/>
      </c>
      <c r="J6584" s="11">
        <f>MAX(0,M6584-N6584)</f>
        <v/>
      </c>
      <c r="K6584" s="11">
        <f>O6584</f>
        <v/>
      </c>
      <c r="L6584" s="11">
        <f>L6583+IF(K6584&gt;0,K6584*Summary!$B$9,K6584/Summary!$B$9)</f>
        <v/>
      </c>
      <c r="M6584" s="11">
        <f>G6584+H6584</f>
        <v/>
      </c>
      <c r="N6584" s="11">
        <f>Summary!$C$16*Summary!$B$8</f>
        <v/>
      </c>
      <c r="O6584" s="11">
        <f>M6584-N6584</f>
        <v/>
      </c>
    </row>
    <row r="6585">
      <c r="A6585" s="9" t="n">
        <v>45566.29166666666</v>
      </c>
      <c r="B6585" t="n">
        <v>10</v>
      </c>
      <c r="C6585" t="n">
        <v>1</v>
      </c>
      <c r="D6585" t="n">
        <v>7</v>
      </c>
      <c r="E6585" s="10" t="n">
        <v>0.058801</v>
      </c>
      <c r="F6585" s="10" t="n">
        <v>0.3323515037643609</v>
      </c>
      <c r="G6585" s="11">
        <f>E6585*Summary!$B$6</f>
        <v/>
      </c>
      <c r="H6585" s="11">
        <f>F6585*Summary!$B$7</f>
        <v/>
      </c>
      <c r="I6585" s="11">
        <f>MAX(0,N6585-M6585)</f>
        <v/>
      </c>
      <c r="J6585" s="11">
        <f>MAX(0,M6585-N6585)</f>
        <v/>
      </c>
      <c r="K6585" s="11">
        <f>O6585</f>
        <v/>
      </c>
      <c r="L6585" s="11">
        <f>L6584+IF(K6585&gt;0,K6585*Summary!$B$9,K6585/Summary!$B$9)</f>
        <v/>
      </c>
      <c r="M6585" s="11">
        <f>G6585+H6585</f>
        <v/>
      </c>
      <c r="N6585" s="11">
        <f>Summary!$C$16*Summary!$B$8</f>
        <v/>
      </c>
      <c r="O6585" s="11">
        <f>M6585-N6585</f>
        <v/>
      </c>
    </row>
    <row r="6586">
      <c r="A6586" s="9" t="n">
        <v>45566.33333333334</v>
      </c>
      <c r="B6586" t="n">
        <v>10</v>
      </c>
      <c r="C6586" t="n">
        <v>1</v>
      </c>
      <c r="D6586" t="n">
        <v>8</v>
      </c>
      <c r="E6586" s="10" t="n">
        <v>0.101351</v>
      </c>
      <c r="F6586" s="10" t="n">
        <v>0.3117705868249408</v>
      </c>
      <c r="G6586" s="11">
        <f>E6586*Summary!$B$6</f>
        <v/>
      </c>
      <c r="H6586" s="11">
        <f>F6586*Summary!$B$7</f>
        <v/>
      </c>
      <c r="I6586" s="11">
        <f>MAX(0,N6586-M6586)</f>
        <v/>
      </c>
      <c r="J6586" s="11">
        <f>MAX(0,M6586-N6586)</f>
        <v/>
      </c>
      <c r="K6586" s="11">
        <f>O6586</f>
        <v/>
      </c>
      <c r="L6586" s="11">
        <f>L6585+IF(K6586&gt;0,K6586*Summary!$B$9,K6586/Summary!$B$9)</f>
        <v/>
      </c>
      <c r="M6586" s="11">
        <f>G6586+H6586</f>
        <v/>
      </c>
      <c r="N6586" s="11">
        <f>Summary!$C$16*Summary!$B$8</f>
        <v/>
      </c>
      <c r="O6586" s="11">
        <f>M6586-N6586</f>
        <v/>
      </c>
    </row>
    <row r="6587">
      <c r="A6587" s="9" t="n">
        <v>45566.375</v>
      </c>
      <c r="B6587" t="n">
        <v>10</v>
      </c>
      <c r="C6587" t="n">
        <v>1</v>
      </c>
      <c r="D6587" t="n">
        <v>9</v>
      </c>
      <c r="E6587" s="10" t="n">
        <v>0.29196</v>
      </c>
      <c r="F6587" s="10" t="n">
        <v>0.2979094314982635</v>
      </c>
      <c r="G6587" s="11">
        <f>E6587*Summary!$B$6</f>
        <v/>
      </c>
      <c r="H6587" s="11">
        <f>F6587*Summary!$B$7</f>
        <v/>
      </c>
      <c r="I6587" s="11">
        <f>MAX(0,N6587-M6587)</f>
        <v/>
      </c>
      <c r="J6587" s="11">
        <f>MAX(0,M6587-N6587)</f>
        <v/>
      </c>
      <c r="K6587" s="11">
        <f>O6587</f>
        <v/>
      </c>
      <c r="L6587" s="11">
        <f>L6586+IF(K6587&gt;0,K6587*Summary!$B$9,K6587/Summary!$B$9)</f>
        <v/>
      </c>
      <c r="M6587" s="11">
        <f>G6587+H6587</f>
        <v/>
      </c>
      <c r="N6587" s="11">
        <f>Summary!$C$16*Summary!$B$8</f>
        <v/>
      </c>
      <c r="O6587" s="11">
        <f>M6587-N6587</f>
        <v/>
      </c>
    </row>
    <row r="6588">
      <c r="A6588" s="9" t="n">
        <v>45566.41666666666</v>
      </c>
      <c r="B6588" t="n">
        <v>10</v>
      </c>
      <c r="C6588" t="n">
        <v>1</v>
      </c>
      <c r="D6588" t="n">
        <v>10</v>
      </c>
      <c r="E6588" s="10" t="n">
        <v>0.183642</v>
      </c>
      <c r="F6588" s="10" t="n">
        <v>0.2906626297590311</v>
      </c>
      <c r="G6588" s="11">
        <f>E6588*Summary!$B$6</f>
        <v/>
      </c>
      <c r="H6588" s="11">
        <f>F6588*Summary!$B$7</f>
        <v/>
      </c>
      <c r="I6588" s="11">
        <f>MAX(0,N6588-M6588)</f>
        <v/>
      </c>
      <c r="J6588" s="11">
        <f>MAX(0,M6588-N6588)</f>
        <v/>
      </c>
      <c r="K6588" s="11">
        <f>O6588</f>
        <v/>
      </c>
      <c r="L6588" s="11">
        <f>L6587+IF(K6588&gt;0,K6588*Summary!$B$9,K6588/Summary!$B$9)</f>
        <v/>
      </c>
      <c r="M6588" s="11">
        <f>G6588+H6588</f>
        <v/>
      </c>
      <c r="N6588" s="11">
        <f>Summary!$C$16*Summary!$B$8</f>
        <v/>
      </c>
      <c r="O6588" s="11">
        <f>M6588-N6588</f>
        <v/>
      </c>
    </row>
    <row r="6589">
      <c r="A6589" s="9" t="n">
        <v>45566.45833333334</v>
      </c>
      <c r="B6589" t="n">
        <v>10</v>
      </c>
      <c r="C6589" t="n">
        <v>1</v>
      </c>
      <c r="D6589" t="n">
        <v>11</v>
      </c>
      <c r="E6589" s="10" t="n">
        <v>0.128387</v>
      </c>
      <c r="F6589" s="10" t="n">
        <v>0.2889233973416154</v>
      </c>
      <c r="G6589" s="11">
        <f>E6589*Summary!$B$6</f>
        <v/>
      </c>
      <c r="H6589" s="11">
        <f>F6589*Summary!$B$7</f>
        <v/>
      </c>
      <c r="I6589" s="11">
        <f>MAX(0,N6589-M6589)</f>
        <v/>
      </c>
      <c r="J6589" s="11">
        <f>MAX(0,M6589-N6589)</f>
        <v/>
      </c>
      <c r="K6589" s="11">
        <f>O6589</f>
        <v/>
      </c>
      <c r="L6589" s="11">
        <f>L6588+IF(K6589&gt;0,K6589*Summary!$B$9,K6589/Summary!$B$9)</f>
        <v/>
      </c>
      <c r="M6589" s="11">
        <f>G6589+H6589</f>
        <v/>
      </c>
      <c r="N6589" s="11">
        <f>Summary!$C$16*Summary!$B$8</f>
        <v/>
      </c>
      <c r="O6589" s="11">
        <f>M6589-N6589</f>
        <v/>
      </c>
    </row>
    <row r="6590">
      <c r="A6590" s="9" t="n">
        <v>45566.5</v>
      </c>
      <c r="B6590" t="n">
        <v>10</v>
      </c>
      <c r="C6590" t="n">
        <v>1</v>
      </c>
      <c r="D6590" t="n">
        <v>12</v>
      </c>
      <c r="E6590" s="10" t="n">
        <v>0.03729</v>
      </c>
      <c r="F6590" s="10" t="n">
        <v>0.2897403095376743</v>
      </c>
      <c r="G6590" s="11">
        <f>E6590*Summary!$B$6</f>
        <v/>
      </c>
      <c r="H6590" s="11">
        <f>F6590*Summary!$B$7</f>
        <v/>
      </c>
      <c r="I6590" s="11">
        <f>MAX(0,N6590-M6590)</f>
        <v/>
      </c>
      <c r="J6590" s="11">
        <f>MAX(0,M6590-N6590)</f>
        <v/>
      </c>
      <c r="K6590" s="11">
        <f>O6590</f>
        <v/>
      </c>
      <c r="L6590" s="11">
        <f>L6589+IF(K6590&gt;0,K6590*Summary!$B$9,K6590/Summary!$B$9)</f>
        <v/>
      </c>
      <c r="M6590" s="11">
        <f>G6590+H6590</f>
        <v/>
      </c>
      <c r="N6590" s="11">
        <f>Summary!$C$16*Summary!$B$8</f>
        <v/>
      </c>
      <c r="O6590" s="11">
        <f>M6590-N6590</f>
        <v/>
      </c>
    </row>
    <row r="6591">
      <c r="A6591" s="9" t="n">
        <v>45566.54166666666</v>
      </c>
      <c r="B6591" t="n">
        <v>10</v>
      </c>
      <c r="C6591" t="n">
        <v>1</v>
      </c>
      <c r="D6591" t="n">
        <v>13</v>
      </c>
      <c r="E6591" s="10" t="n">
        <v>0.050516</v>
      </c>
      <c r="F6591" s="10" t="n">
        <v>0.2878429650823116</v>
      </c>
      <c r="G6591" s="11">
        <f>E6591*Summary!$B$6</f>
        <v/>
      </c>
      <c r="H6591" s="11">
        <f>F6591*Summary!$B$7</f>
        <v/>
      </c>
      <c r="I6591" s="11">
        <f>MAX(0,N6591-M6591)</f>
        <v/>
      </c>
      <c r="J6591" s="11">
        <f>MAX(0,M6591-N6591)</f>
        <v/>
      </c>
      <c r="K6591" s="11">
        <f>O6591</f>
        <v/>
      </c>
      <c r="L6591" s="11">
        <f>L6590+IF(K6591&gt;0,K6591*Summary!$B$9,K6591/Summary!$B$9)</f>
        <v/>
      </c>
      <c r="M6591" s="11">
        <f>G6591+H6591</f>
        <v/>
      </c>
      <c r="N6591" s="11">
        <f>Summary!$C$16*Summary!$B$8</f>
        <v/>
      </c>
      <c r="O6591" s="11">
        <f>M6591-N6591</f>
        <v/>
      </c>
    </row>
    <row r="6592">
      <c r="A6592" s="9" t="n">
        <v>45566.58333333334</v>
      </c>
      <c r="B6592" t="n">
        <v>10</v>
      </c>
      <c r="C6592" t="n">
        <v>1</v>
      </c>
      <c r="D6592" t="n">
        <v>14</v>
      </c>
      <c r="E6592" s="10" t="n">
        <v>0.057213</v>
      </c>
      <c r="F6592" s="10" t="n">
        <v>0.2814657795517871</v>
      </c>
      <c r="G6592" s="11">
        <f>E6592*Summary!$B$6</f>
        <v/>
      </c>
      <c r="H6592" s="11">
        <f>F6592*Summary!$B$7</f>
        <v/>
      </c>
      <c r="I6592" s="11">
        <f>MAX(0,N6592-M6592)</f>
        <v/>
      </c>
      <c r="J6592" s="11">
        <f>MAX(0,M6592-N6592)</f>
        <v/>
      </c>
      <c r="K6592" s="11">
        <f>O6592</f>
        <v/>
      </c>
      <c r="L6592" s="11">
        <f>L6591+IF(K6592&gt;0,K6592*Summary!$B$9,K6592/Summary!$B$9)</f>
        <v/>
      </c>
      <c r="M6592" s="11">
        <f>G6592+H6592</f>
        <v/>
      </c>
      <c r="N6592" s="11">
        <f>Summary!$C$16*Summary!$B$8</f>
        <v/>
      </c>
      <c r="O6592" s="11">
        <f>M6592-N6592</f>
        <v/>
      </c>
    </row>
    <row r="6593">
      <c r="A6593" s="9" t="n">
        <v>45566.625</v>
      </c>
      <c r="B6593" t="n">
        <v>10</v>
      </c>
      <c r="C6593" t="n">
        <v>1</v>
      </c>
      <c r="D6593" t="n">
        <v>15</v>
      </c>
      <c r="E6593" s="10" t="n">
        <v>0.02655</v>
      </c>
      <c r="F6593" s="10" t="n">
        <v>0.2794630270711265</v>
      </c>
      <c r="G6593" s="11">
        <f>E6593*Summary!$B$6</f>
        <v/>
      </c>
      <c r="H6593" s="11">
        <f>F6593*Summary!$B$7</f>
        <v/>
      </c>
      <c r="I6593" s="11">
        <f>MAX(0,N6593-M6593)</f>
        <v/>
      </c>
      <c r="J6593" s="11">
        <f>MAX(0,M6593-N6593)</f>
        <v/>
      </c>
      <c r="K6593" s="11">
        <f>O6593</f>
        <v/>
      </c>
      <c r="L6593" s="11">
        <f>L6592+IF(K6593&gt;0,K6593*Summary!$B$9,K6593/Summary!$B$9)</f>
        <v/>
      </c>
      <c r="M6593" s="11">
        <f>G6593+H6593</f>
        <v/>
      </c>
      <c r="N6593" s="11">
        <f>Summary!$C$16*Summary!$B$8</f>
        <v/>
      </c>
      <c r="O6593" s="11">
        <f>M6593-N6593</f>
        <v/>
      </c>
    </row>
    <row r="6594">
      <c r="A6594" s="9" t="n">
        <v>45566.66666666666</v>
      </c>
      <c r="B6594" t="n">
        <v>10</v>
      </c>
      <c r="C6594" t="n">
        <v>1</v>
      </c>
      <c r="D6594" t="n">
        <v>16</v>
      </c>
      <c r="E6594" s="10" t="n">
        <v>0.020793</v>
      </c>
      <c r="F6594" s="10" t="n">
        <v>0.2781454267549024</v>
      </c>
      <c r="G6594" s="11">
        <f>E6594*Summary!$B$6</f>
        <v/>
      </c>
      <c r="H6594" s="11">
        <f>F6594*Summary!$B$7</f>
        <v/>
      </c>
      <c r="I6594" s="11">
        <f>MAX(0,N6594-M6594)</f>
        <v/>
      </c>
      <c r="J6594" s="11">
        <f>MAX(0,M6594-N6594)</f>
        <v/>
      </c>
      <c r="K6594" s="11">
        <f>O6594</f>
        <v/>
      </c>
      <c r="L6594" s="11">
        <f>L6593+IF(K6594&gt;0,K6594*Summary!$B$9,K6594/Summary!$B$9)</f>
        <v/>
      </c>
      <c r="M6594" s="11">
        <f>G6594+H6594</f>
        <v/>
      </c>
      <c r="N6594" s="11">
        <f>Summary!$C$16*Summary!$B$8</f>
        <v/>
      </c>
      <c r="O6594" s="11">
        <f>M6594-N6594</f>
        <v/>
      </c>
    </row>
    <row r="6595">
      <c r="A6595" s="9" t="n">
        <v>45566.70833333334</v>
      </c>
      <c r="B6595" t="n">
        <v>10</v>
      </c>
      <c r="C6595" t="n">
        <v>1</v>
      </c>
      <c r="D6595" t="n">
        <v>17</v>
      </c>
      <c r="E6595" s="10" t="n">
        <v>0.00274</v>
      </c>
      <c r="F6595" s="10" t="n">
        <v>0.2926126782270427</v>
      </c>
      <c r="G6595" s="11">
        <f>E6595*Summary!$B$6</f>
        <v/>
      </c>
      <c r="H6595" s="11">
        <f>F6595*Summary!$B$7</f>
        <v/>
      </c>
      <c r="I6595" s="11">
        <f>MAX(0,N6595-M6595)</f>
        <v/>
      </c>
      <c r="J6595" s="11">
        <f>MAX(0,M6595-N6595)</f>
        <v/>
      </c>
      <c r="K6595" s="11">
        <f>O6595</f>
        <v/>
      </c>
      <c r="L6595" s="11">
        <f>L6594+IF(K6595&gt;0,K6595*Summary!$B$9,K6595/Summary!$B$9)</f>
        <v/>
      </c>
      <c r="M6595" s="11">
        <f>G6595+H6595</f>
        <v/>
      </c>
      <c r="N6595" s="11">
        <f>Summary!$C$16*Summary!$B$8</f>
        <v/>
      </c>
      <c r="O6595" s="11">
        <f>M6595-N6595</f>
        <v/>
      </c>
    </row>
    <row r="6596">
      <c r="A6596" s="9" t="n">
        <v>45566.75</v>
      </c>
      <c r="B6596" t="n">
        <v>10</v>
      </c>
      <c r="C6596" t="n">
        <v>1</v>
      </c>
      <c r="D6596" t="n">
        <v>18</v>
      </c>
      <c r="E6596" s="10" t="n">
        <v>0</v>
      </c>
      <c r="F6596" s="10" t="n">
        <v>0.3091617381988171</v>
      </c>
      <c r="G6596" s="11">
        <f>E6596*Summary!$B$6</f>
        <v/>
      </c>
      <c r="H6596" s="11">
        <f>F6596*Summary!$B$7</f>
        <v/>
      </c>
      <c r="I6596" s="11">
        <f>MAX(0,N6596-M6596)</f>
        <v/>
      </c>
      <c r="J6596" s="11">
        <f>MAX(0,M6596-N6596)</f>
        <v/>
      </c>
      <c r="K6596" s="11">
        <f>O6596</f>
        <v/>
      </c>
      <c r="L6596" s="11">
        <f>L6595+IF(K6596&gt;0,K6596*Summary!$B$9,K6596/Summary!$B$9)</f>
        <v/>
      </c>
      <c r="M6596" s="11">
        <f>G6596+H6596</f>
        <v/>
      </c>
      <c r="N6596" s="11">
        <f>Summary!$C$16*Summary!$B$8</f>
        <v/>
      </c>
      <c r="O6596" s="11">
        <f>M6596-N6596</f>
        <v/>
      </c>
    </row>
    <row r="6597">
      <c r="A6597" s="9" t="n">
        <v>45566.79166666666</v>
      </c>
      <c r="B6597" t="n">
        <v>10</v>
      </c>
      <c r="C6597" t="n">
        <v>1</v>
      </c>
      <c r="D6597" t="n">
        <v>19</v>
      </c>
      <c r="E6597" s="10" t="n">
        <v>0</v>
      </c>
      <c r="F6597" s="10" t="n">
        <v>0.3241560297974472</v>
      </c>
      <c r="G6597" s="11">
        <f>E6597*Summary!$B$6</f>
        <v/>
      </c>
      <c r="H6597" s="11">
        <f>F6597*Summary!$B$7</f>
        <v/>
      </c>
      <c r="I6597" s="11">
        <f>MAX(0,N6597-M6597)</f>
        <v/>
      </c>
      <c r="J6597" s="11">
        <f>MAX(0,M6597-N6597)</f>
        <v/>
      </c>
      <c r="K6597" s="11">
        <f>O6597</f>
        <v/>
      </c>
      <c r="L6597" s="11">
        <f>L6596+IF(K6597&gt;0,K6597*Summary!$B$9,K6597/Summary!$B$9)</f>
        <v/>
      </c>
      <c r="M6597" s="11">
        <f>G6597+H6597</f>
        <v/>
      </c>
      <c r="N6597" s="11">
        <f>Summary!$C$16*Summary!$B$8</f>
        <v/>
      </c>
      <c r="O6597" s="11">
        <f>M6597-N6597</f>
        <v/>
      </c>
    </row>
    <row r="6598">
      <c r="A6598" s="9" t="n">
        <v>45566.83333333334</v>
      </c>
      <c r="B6598" t="n">
        <v>10</v>
      </c>
      <c r="C6598" t="n">
        <v>1</v>
      </c>
      <c r="D6598" t="n">
        <v>20</v>
      </c>
      <c r="E6598" s="10" t="n">
        <v>0</v>
      </c>
      <c r="F6598" s="10" t="n">
        <v>0.3270811024994646</v>
      </c>
      <c r="G6598" s="11">
        <f>E6598*Summary!$B$6</f>
        <v/>
      </c>
      <c r="H6598" s="11">
        <f>F6598*Summary!$B$7</f>
        <v/>
      </c>
      <c r="I6598" s="11">
        <f>MAX(0,N6598-M6598)</f>
        <v/>
      </c>
      <c r="J6598" s="11">
        <f>MAX(0,M6598-N6598)</f>
        <v/>
      </c>
      <c r="K6598" s="11">
        <f>O6598</f>
        <v/>
      </c>
      <c r="L6598" s="11">
        <f>L6597+IF(K6598&gt;0,K6598*Summary!$B$9,K6598/Summary!$B$9)</f>
        <v/>
      </c>
      <c r="M6598" s="11">
        <f>G6598+H6598</f>
        <v/>
      </c>
      <c r="N6598" s="11">
        <f>Summary!$C$16*Summary!$B$8</f>
        <v/>
      </c>
      <c r="O6598" s="11">
        <f>M6598-N6598</f>
        <v/>
      </c>
    </row>
    <row r="6599">
      <c r="A6599" s="9" t="n">
        <v>45566.875</v>
      </c>
      <c r="B6599" t="n">
        <v>10</v>
      </c>
      <c r="C6599" t="n">
        <v>1</v>
      </c>
      <c r="D6599" t="n">
        <v>21</v>
      </c>
      <c r="E6599" s="10" t="n">
        <v>0</v>
      </c>
      <c r="F6599" s="10" t="n">
        <v>0.3209937890385094</v>
      </c>
      <c r="G6599" s="11">
        <f>E6599*Summary!$B$6</f>
        <v/>
      </c>
      <c r="H6599" s="11">
        <f>F6599*Summary!$B$7</f>
        <v/>
      </c>
      <c r="I6599" s="11">
        <f>MAX(0,N6599-M6599)</f>
        <v/>
      </c>
      <c r="J6599" s="11">
        <f>MAX(0,M6599-N6599)</f>
        <v/>
      </c>
      <c r="K6599" s="11">
        <f>O6599</f>
        <v/>
      </c>
      <c r="L6599" s="11">
        <f>L6598+IF(K6599&gt;0,K6599*Summary!$B$9,K6599/Summary!$B$9)</f>
        <v/>
      </c>
      <c r="M6599" s="11">
        <f>G6599+H6599</f>
        <v/>
      </c>
      <c r="N6599" s="11">
        <f>Summary!$C$16*Summary!$B$8</f>
        <v/>
      </c>
      <c r="O6599" s="11">
        <f>M6599-N6599</f>
        <v/>
      </c>
    </row>
    <row r="6600">
      <c r="A6600" s="9" t="n">
        <v>45566.91666666666</v>
      </c>
      <c r="B6600" t="n">
        <v>10</v>
      </c>
      <c r="C6600" t="n">
        <v>1</v>
      </c>
      <c r="D6600" t="n">
        <v>22</v>
      </c>
      <c r="E6600" s="10" t="n">
        <v>0</v>
      </c>
      <c r="F6600" s="10" t="n">
        <v>0.3094779622747109</v>
      </c>
      <c r="G6600" s="11">
        <f>E6600*Summary!$B$6</f>
        <v/>
      </c>
      <c r="H6600" s="11">
        <f>F6600*Summary!$B$7</f>
        <v/>
      </c>
      <c r="I6600" s="11">
        <f>MAX(0,N6600-M6600)</f>
        <v/>
      </c>
      <c r="J6600" s="11">
        <f>MAX(0,M6600-N6600)</f>
        <v/>
      </c>
      <c r="K6600" s="11">
        <f>O6600</f>
        <v/>
      </c>
      <c r="L6600" s="11">
        <f>L6599+IF(K6600&gt;0,K6600*Summary!$B$9,K6600/Summary!$B$9)</f>
        <v/>
      </c>
      <c r="M6600" s="11">
        <f>G6600+H6600</f>
        <v/>
      </c>
      <c r="N6600" s="11">
        <f>Summary!$C$16*Summary!$B$8</f>
        <v/>
      </c>
      <c r="O6600" s="11">
        <f>M6600-N6600</f>
        <v/>
      </c>
    </row>
    <row r="6601">
      <c r="A6601" s="9" t="n">
        <v>45566.95833333334</v>
      </c>
      <c r="B6601" t="n">
        <v>10</v>
      </c>
      <c r="C6601" t="n">
        <v>1</v>
      </c>
      <c r="D6601" t="n">
        <v>23</v>
      </c>
      <c r="E6601" s="10" t="n">
        <v>0</v>
      </c>
      <c r="F6601" s="10" t="n">
        <v>0.2973560393654494</v>
      </c>
      <c r="G6601" s="11">
        <f>E6601*Summary!$B$6</f>
        <v/>
      </c>
      <c r="H6601" s="11">
        <f>F6601*Summary!$B$7</f>
        <v/>
      </c>
      <c r="I6601" s="11">
        <f>MAX(0,N6601-M6601)</f>
        <v/>
      </c>
      <c r="J6601" s="11">
        <f>MAX(0,M6601-N6601)</f>
        <v/>
      </c>
      <c r="K6601" s="11">
        <f>O6601</f>
        <v/>
      </c>
      <c r="L6601" s="11">
        <f>L6600+IF(K6601&gt;0,K6601*Summary!$B$9,K6601/Summary!$B$9)</f>
        <v/>
      </c>
      <c r="M6601" s="11">
        <f>G6601+H6601</f>
        <v/>
      </c>
      <c r="N6601" s="11">
        <f>Summary!$C$16*Summary!$B$8</f>
        <v/>
      </c>
      <c r="O6601" s="11">
        <f>M6601-N6601</f>
        <v/>
      </c>
    </row>
    <row r="6602">
      <c r="A6602" s="9" t="n">
        <v>45567</v>
      </c>
      <c r="B6602" t="n">
        <v>10</v>
      </c>
      <c r="C6602" t="n">
        <v>2</v>
      </c>
      <c r="D6602" t="n">
        <v>0</v>
      </c>
      <c r="E6602" s="10" t="n">
        <v>0</v>
      </c>
      <c r="F6602" s="10" t="n">
        <v>0.3439200345408083</v>
      </c>
      <c r="G6602" s="11">
        <f>E6602*Summary!$B$6</f>
        <v/>
      </c>
      <c r="H6602" s="11">
        <f>F6602*Summary!$B$7</f>
        <v/>
      </c>
      <c r="I6602" s="11">
        <f>MAX(0,N6602-M6602)</f>
        <v/>
      </c>
      <c r="J6602" s="11">
        <f>MAX(0,M6602-N6602)</f>
        <v/>
      </c>
      <c r="K6602" s="11">
        <f>O6602</f>
        <v/>
      </c>
      <c r="L6602" s="11">
        <f>L6601+IF(K6602&gt;0,K6602*Summary!$B$9,K6602/Summary!$B$9)</f>
        <v/>
      </c>
      <c r="M6602" s="11">
        <f>G6602+H6602</f>
        <v/>
      </c>
      <c r="N6602" s="11">
        <f>Summary!$C$16*Summary!$B$8</f>
        <v/>
      </c>
      <c r="O6602" s="11">
        <f>M6602-N6602</f>
        <v/>
      </c>
    </row>
    <row r="6603">
      <c r="A6603" s="9" t="n">
        <v>45567.04166666666</v>
      </c>
      <c r="B6603" t="n">
        <v>10</v>
      </c>
      <c r="C6603" t="n">
        <v>2</v>
      </c>
      <c r="D6603" t="n">
        <v>1</v>
      </c>
      <c r="E6603" s="10" t="n">
        <v>0</v>
      </c>
      <c r="F6603" s="10" t="n">
        <v>0.3124557389893773</v>
      </c>
      <c r="G6603" s="11">
        <f>E6603*Summary!$B$6</f>
        <v/>
      </c>
      <c r="H6603" s="11">
        <f>F6603*Summary!$B$7</f>
        <v/>
      </c>
      <c r="I6603" s="11">
        <f>MAX(0,N6603-M6603)</f>
        <v/>
      </c>
      <c r="J6603" s="11">
        <f>MAX(0,M6603-N6603)</f>
        <v/>
      </c>
      <c r="K6603" s="11">
        <f>O6603</f>
        <v/>
      </c>
      <c r="L6603" s="11">
        <f>L6602+IF(K6603&gt;0,K6603*Summary!$B$9,K6603/Summary!$B$9)</f>
        <v/>
      </c>
      <c r="M6603" s="11">
        <f>G6603+H6603</f>
        <v/>
      </c>
      <c r="N6603" s="11">
        <f>Summary!$C$16*Summary!$B$8</f>
        <v/>
      </c>
      <c r="O6603" s="11">
        <f>M6603-N6603</f>
        <v/>
      </c>
    </row>
    <row r="6604">
      <c r="A6604" s="9" t="n">
        <v>45567.08333333334</v>
      </c>
      <c r="B6604" t="n">
        <v>10</v>
      </c>
      <c r="C6604" t="n">
        <v>2</v>
      </c>
      <c r="D6604" t="n">
        <v>2</v>
      </c>
      <c r="E6604" s="10" t="n">
        <v>0</v>
      </c>
      <c r="F6604" s="10" t="n">
        <v>0.2940093345622403</v>
      </c>
      <c r="G6604" s="11">
        <f>E6604*Summary!$B$6</f>
        <v/>
      </c>
      <c r="H6604" s="11">
        <f>F6604*Summary!$B$7</f>
        <v/>
      </c>
      <c r="I6604" s="11">
        <f>MAX(0,N6604-M6604)</f>
        <v/>
      </c>
      <c r="J6604" s="11">
        <f>MAX(0,M6604-N6604)</f>
        <v/>
      </c>
      <c r="K6604" s="11">
        <f>O6604</f>
        <v/>
      </c>
      <c r="L6604" s="11">
        <f>L6603+IF(K6604&gt;0,K6604*Summary!$B$9,K6604/Summary!$B$9)</f>
        <v/>
      </c>
      <c r="M6604" s="11">
        <f>G6604+H6604</f>
        <v/>
      </c>
      <c r="N6604" s="11">
        <f>Summary!$C$16*Summary!$B$8</f>
        <v/>
      </c>
      <c r="O6604" s="11">
        <f>M6604-N6604</f>
        <v/>
      </c>
    </row>
    <row r="6605">
      <c r="A6605" s="9" t="n">
        <v>45567.125</v>
      </c>
      <c r="B6605" t="n">
        <v>10</v>
      </c>
      <c r="C6605" t="n">
        <v>2</v>
      </c>
      <c r="D6605" t="n">
        <v>3</v>
      </c>
      <c r="E6605" s="10" t="n">
        <v>0</v>
      </c>
      <c r="F6605" s="10" t="n">
        <v>0.3042866170287881</v>
      </c>
      <c r="G6605" s="11">
        <f>E6605*Summary!$B$6</f>
        <v/>
      </c>
      <c r="H6605" s="11">
        <f>F6605*Summary!$B$7</f>
        <v/>
      </c>
      <c r="I6605" s="11">
        <f>MAX(0,N6605-M6605)</f>
        <v/>
      </c>
      <c r="J6605" s="11">
        <f>MAX(0,M6605-N6605)</f>
        <v/>
      </c>
      <c r="K6605" s="11">
        <f>O6605</f>
        <v/>
      </c>
      <c r="L6605" s="11">
        <f>L6604+IF(K6605&gt;0,K6605*Summary!$B$9,K6605/Summary!$B$9)</f>
        <v/>
      </c>
      <c r="M6605" s="11">
        <f>G6605+H6605</f>
        <v/>
      </c>
      <c r="N6605" s="11">
        <f>Summary!$C$16*Summary!$B$8</f>
        <v/>
      </c>
      <c r="O6605" s="11">
        <f>M6605-N6605</f>
        <v/>
      </c>
    </row>
    <row r="6606">
      <c r="A6606" s="9" t="n">
        <v>45567.16666666666</v>
      </c>
      <c r="B6606" t="n">
        <v>10</v>
      </c>
      <c r="C6606" t="n">
        <v>2</v>
      </c>
      <c r="D6606" t="n">
        <v>4</v>
      </c>
      <c r="E6606" s="10" t="n">
        <v>0</v>
      </c>
      <c r="F6606" s="10" t="n">
        <v>0.3139314513435483</v>
      </c>
      <c r="G6606" s="11">
        <f>E6606*Summary!$B$6</f>
        <v/>
      </c>
      <c r="H6606" s="11">
        <f>F6606*Summary!$B$7</f>
        <v/>
      </c>
      <c r="I6606" s="11">
        <f>MAX(0,N6606-M6606)</f>
        <v/>
      </c>
      <c r="J6606" s="11">
        <f>MAX(0,M6606-N6606)</f>
        <v/>
      </c>
      <c r="K6606" s="11">
        <f>O6606</f>
        <v/>
      </c>
      <c r="L6606" s="11">
        <f>L6605+IF(K6606&gt;0,K6606*Summary!$B$9,K6606/Summary!$B$9)</f>
        <v/>
      </c>
      <c r="M6606" s="11">
        <f>G6606+H6606</f>
        <v/>
      </c>
      <c r="N6606" s="11">
        <f>Summary!$C$16*Summary!$B$8</f>
        <v/>
      </c>
      <c r="O6606" s="11">
        <f>M6606-N6606</f>
        <v/>
      </c>
    </row>
    <row r="6607">
      <c r="A6607" s="9" t="n">
        <v>45567.20833333334</v>
      </c>
      <c r="B6607" t="n">
        <v>10</v>
      </c>
      <c r="C6607" t="n">
        <v>2</v>
      </c>
      <c r="D6607" t="n">
        <v>5</v>
      </c>
      <c r="E6607" s="10" t="n">
        <v>0</v>
      </c>
      <c r="F6607" s="10" t="n">
        <v>0.3242350858164206</v>
      </c>
      <c r="G6607" s="11">
        <f>E6607*Summary!$B$6</f>
        <v/>
      </c>
      <c r="H6607" s="11">
        <f>F6607*Summary!$B$7</f>
        <v/>
      </c>
      <c r="I6607" s="11">
        <f>MAX(0,N6607-M6607)</f>
        <v/>
      </c>
      <c r="J6607" s="11">
        <f>MAX(0,M6607-N6607)</f>
        <v/>
      </c>
      <c r="K6607" s="11">
        <f>O6607</f>
        <v/>
      </c>
      <c r="L6607" s="11">
        <f>L6606+IF(K6607&gt;0,K6607*Summary!$B$9,K6607/Summary!$B$9)</f>
        <v/>
      </c>
      <c r="M6607" s="11">
        <f>G6607+H6607</f>
        <v/>
      </c>
      <c r="N6607" s="11">
        <f>Summary!$C$16*Summary!$B$8</f>
        <v/>
      </c>
      <c r="O6607" s="11">
        <f>M6607-N6607</f>
        <v/>
      </c>
    </row>
    <row r="6608">
      <c r="A6608" s="9" t="n">
        <v>45567.25</v>
      </c>
      <c r="B6608" t="n">
        <v>10</v>
      </c>
      <c r="C6608" t="n">
        <v>2</v>
      </c>
      <c r="D6608" t="n">
        <v>6</v>
      </c>
      <c r="E6608" s="10" t="n">
        <v>0</v>
      </c>
      <c r="F6608" s="10" t="n">
        <v>0.3346177763082663</v>
      </c>
      <c r="G6608" s="11">
        <f>E6608*Summary!$B$6</f>
        <v/>
      </c>
      <c r="H6608" s="11">
        <f>F6608*Summary!$B$7</f>
        <v/>
      </c>
      <c r="I6608" s="11">
        <f>MAX(0,N6608-M6608)</f>
        <v/>
      </c>
      <c r="J6608" s="11">
        <f>MAX(0,M6608-N6608)</f>
        <v/>
      </c>
      <c r="K6608" s="11">
        <f>O6608</f>
        <v/>
      </c>
      <c r="L6608" s="11">
        <f>L6607+IF(K6608&gt;0,K6608*Summary!$B$9,K6608/Summary!$B$9)</f>
        <v/>
      </c>
      <c r="M6608" s="11">
        <f>G6608+H6608</f>
        <v/>
      </c>
      <c r="N6608" s="11">
        <f>Summary!$C$16*Summary!$B$8</f>
        <v/>
      </c>
      <c r="O6608" s="11">
        <f>M6608-N6608</f>
        <v/>
      </c>
    </row>
    <row r="6609">
      <c r="A6609" s="9" t="n">
        <v>45567.29166666666</v>
      </c>
      <c r="B6609" t="n">
        <v>10</v>
      </c>
      <c r="C6609" t="n">
        <v>2</v>
      </c>
      <c r="D6609" t="n">
        <v>7</v>
      </c>
      <c r="E6609" s="10" t="n">
        <v>0.003866</v>
      </c>
      <c r="F6609" s="10" t="n">
        <v>0.3306122713469452</v>
      </c>
      <c r="G6609" s="11">
        <f>E6609*Summary!$B$6</f>
        <v/>
      </c>
      <c r="H6609" s="11">
        <f>F6609*Summary!$B$7</f>
        <v/>
      </c>
      <c r="I6609" s="11">
        <f>MAX(0,N6609-M6609)</f>
        <v/>
      </c>
      <c r="J6609" s="11">
        <f>MAX(0,M6609-N6609)</f>
        <v/>
      </c>
      <c r="K6609" s="11">
        <f>O6609</f>
        <v/>
      </c>
      <c r="L6609" s="11">
        <f>L6608+IF(K6609&gt;0,K6609*Summary!$B$9,K6609/Summary!$B$9)</f>
        <v/>
      </c>
      <c r="M6609" s="11">
        <f>G6609+H6609</f>
        <v/>
      </c>
      <c r="N6609" s="11">
        <f>Summary!$C$16*Summary!$B$8</f>
        <v/>
      </c>
      <c r="O6609" s="11">
        <f>M6609-N6609</f>
        <v/>
      </c>
    </row>
    <row r="6610">
      <c r="A6610" s="9" t="n">
        <v>45567.33333333334</v>
      </c>
      <c r="B6610" t="n">
        <v>10</v>
      </c>
      <c r="C6610" t="n">
        <v>2</v>
      </c>
      <c r="D6610" t="n">
        <v>8</v>
      </c>
      <c r="E6610" s="10" t="n">
        <v>0.01589</v>
      </c>
      <c r="F6610" s="10" t="n">
        <v>0.3242877898290696</v>
      </c>
      <c r="G6610" s="11">
        <f>E6610*Summary!$B$6</f>
        <v/>
      </c>
      <c r="H6610" s="11">
        <f>F6610*Summary!$B$7</f>
        <v/>
      </c>
      <c r="I6610" s="11">
        <f>MAX(0,N6610-M6610)</f>
        <v/>
      </c>
      <c r="J6610" s="11">
        <f>MAX(0,M6610-N6610)</f>
        <v/>
      </c>
      <c r="K6610" s="11">
        <f>O6610</f>
        <v/>
      </c>
      <c r="L6610" s="11">
        <f>L6609+IF(K6610&gt;0,K6610*Summary!$B$9,K6610/Summary!$B$9)</f>
        <v/>
      </c>
      <c r="M6610" s="11">
        <f>G6610+H6610</f>
        <v/>
      </c>
      <c r="N6610" s="11">
        <f>Summary!$C$16*Summary!$B$8</f>
        <v/>
      </c>
      <c r="O6610" s="11">
        <f>M6610-N6610</f>
        <v/>
      </c>
    </row>
    <row r="6611">
      <c r="A6611" s="9" t="n">
        <v>45567.375</v>
      </c>
      <c r="B6611" t="n">
        <v>10</v>
      </c>
      <c r="C6611" t="n">
        <v>2</v>
      </c>
      <c r="D6611" t="n">
        <v>9</v>
      </c>
      <c r="E6611" s="10" t="n">
        <v>0.049576</v>
      </c>
      <c r="F6611" s="10" t="n">
        <v>0.3165666519759965</v>
      </c>
      <c r="G6611" s="11">
        <f>E6611*Summary!$B$6</f>
        <v/>
      </c>
      <c r="H6611" s="11">
        <f>F6611*Summary!$B$7</f>
        <v/>
      </c>
      <c r="I6611" s="11">
        <f>MAX(0,N6611-M6611)</f>
        <v/>
      </c>
      <c r="J6611" s="11">
        <f>MAX(0,M6611-N6611)</f>
        <v/>
      </c>
      <c r="K6611" s="11">
        <f>O6611</f>
        <v/>
      </c>
      <c r="L6611" s="11">
        <f>L6610+IF(K6611&gt;0,K6611*Summary!$B$9,K6611/Summary!$B$9)</f>
        <v/>
      </c>
      <c r="M6611" s="11">
        <f>G6611+H6611</f>
        <v/>
      </c>
      <c r="N6611" s="11">
        <f>Summary!$C$16*Summary!$B$8</f>
        <v/>
      </c>
      <c r="O6611" s="11">
        <f>M6611-N6611</f>
        <v/>
      </c>
    </row>
    <row r="6612">
      <c r="A6612" s="9" t="n">
        <v>45567.41666666666</v>
      </c>
      <c r="B6612" t="n">
        <v>10</v>
      </c>
      <c r="C6612" t="n">
        <v>2</v>
      </c>
      <c r="D6612" t="n">
        <v>10</v>
      </c>
      <c r="E6612" s="10" t="n">
        <v>0.016723</v>
      </c>
      <c r="F6612" s="10" t="n">
        <v>0.3170146360835127</v>
      </c>
      <c r="G6612" s="11">
        <f>E6612*Summary!$B$6</f>
        <v/>
      </c>
      <c r="H6612" s="11">
        <f>F6612*Summary!$B$7</f>
        <v/>
      </c>
      <c r="I6612" s="11">
        <f>MAX(0,N6612-M6612)</f>
        <v/>
      </c>
      <c r="J6612" s="11">
        <f>MAX(0,M6612-N6612)</f>
        <v/>
      </c>
      <c r="K6612" s="11">
        <f>O6612</f>
        <v/>
      </c>
      <c r="L6612" s="11">
        <f>L6611+IF(K6612&gt;0,K6612*Summary!$B$9,K6612/Summary!$B$9)</f>
        <v/>
      </c>
      <c r="M6612" s="11">
        <f>G6612+H6612</f>
        <v/>
      </c>
      <c r="N6612" s="11">
        <f>Summary!$C$16*Summary!$B$8</f>
        <v/>
      </c>
      <c r="O6612" s="11">
        <f>M6612-N6612</f>
        <v/>
      </c>
    </row>
    <row r="6613">
      <c r="A6613" s="9" t="n">
        <v>45567.45833333334</v>
      </c>
      <c r="B6613" t="n">
        <v>10</v>
      </c>
      <c r="C6613" t="n">
        <v>2</v>
      </c>
      <c r="D6613" t="n">
        <v>11</v>
      </c>
      <c r="E6613" s="10" t="n">
        <v>0.026582</v>
      </c>
      <c r="F6613" s="10" t="n">
        <v>0.325789854189565</v>
      </c>
      <c r="G6613" s="11">
        <f>E6613*Summary!$B$6</f>
        <v/>
      </c>
      <c r="H6613" s="11">
        <f>F6613*Summary!$B$7</f>
        <v/>
      </c>
      <c r="I6613" s="11">
        <f>MAX(0,N6613-M6613)</f>
        <v/>
      </c>
      <c r="J6613" s="11">
        <f>MAX(0,M6613-N6613)</f>
        <v/>
      </c>
      <c r="K6613" s="11">
        <f>O6613</f>
        <v/>
      </c>
      <c r="L6613" s="11">
        <f>L6612+IF(K6613&gt;0,K6613*Summary!$B$9,K6613/Summary!$B$9)</f>
        <v/>
      </c>
      <c r="M6613" s="11">
        <f>G6613+H6613</f>
        <v/>
      </c>
      <c r="N6613" s="11">
        <f>Summary!$C$16*Summary!$B$8</f>
        <v/>
      </c>
      <c r="O6613" s="11">
        <f>M6613-N6613</f>
        <v/>
      </c>
    </row>
    <row r="6614">
      <c r="A6614" s="9" t="n">
        <v>45567.5</v>
      </c>
      <c r="B6614" t="n">
        <v>10</v>
      </c>
      <c r="C6614" t="n">
        <v>2</v>
      </c>
      <c r="D6614" t="n">
        <v>12</v>
      </c>
      <c r="E6614" s="10" t="n">
        <v>0.07188700000000001</v>
      </c>
      <c r="F6614" s="10" t="n">
        <v>0.313641579273979</v>
      </c>
      <c r="G6614" s="11">
        <f>E6614*Summary!$B$6</f>
        <v/>
      </c>
      <c r="H6614" s="11">
        <f>F6614*Summary!$B$7</f>
        <v/>
      </c>
      <c r="I6614" s="11">
        <f>MAX(0,N6614-M6614)</f>
        <v/>
      </c>
      <c r="J6614" s="11">
        <f>MAX(0,M6614-N6614)</f>
        <v/>
      </c>
      <c r="K6614" s="11">
        <f>O6614</f>
        <v/>
      </c>
      <c r="L6614" s="11">
        <f>L6613+IF(K6614&gt;0,K6614*Summary!$B$9,K6614/Summary!$B$9)</f>
        <v/>
      </c>
      <c r="M6614" s="11">
        <f>G6614+H6614</f>
        <v/>
      </c>
      <c r="N6614" s="11">
        <f>Summary!$C$16*Summary!$B$8</f>
        <v/>
      </c>
      <c r="O6614" s="11">
        <f>M6614-N6614</f>
        <v/>
      </c>
    </row>
    <row r="6615">
      <c r="A6615" s="9" t="n">
        <v>45567.54166666666</v>
      </c>
      <c r="B6615" t="n">
        <v>10</v>
      </c>
      <c r="C6615" t="n">
        <v>2</v>
      </c>
      <c r="D6615" t="n">
        <v>13</v>
      </c>
      <c r="E6615" s="10" t="n">
        <v>0.052596</v>
      </c>
      <c r="F6615" s="10" t="n">
        <v>0.3392557294213751</v>
      </c>
      <c r="G6615" s="11">
        <f>E6615*Summary!$B$6</f>
        <v/>
      </c>
      <c r="H6615" s="11">
        <f>F6615*Summary!$B$7</f>
        <v/>
      </c>
      <c r="I6615" s="11">
        <f>MAX(0,N6615-M6615)</f>
        <v/>
      </c>
      <c r="J6615" s="11">
        <f>MAX(0,M6615-N6615)</f>
        <v/>
      </c>
      <c r="K6615" s="11">
        <f>O6615</f>
        <v/>
      </c>
      <c r="L6615" s="11">
        <f>L6614+IF(K6615&gt;0,K6615*Summary!$B$9,K6615/Summary!$B$9)</f>
        <v/>
      </c>
      <c r="M6615" s="11">
        <f>G6615+H6615</f>
        <v/>
      </c>
      <c r="N6615" s="11">
        <f>Summary!$C$16*Summary!$B$8</f>
        <v/>
      </c>
      <c r="O6615" s="11">
        <f>M6615-N6615</f>
        <v/>
      </c>
    </row>
    <row r="6616">
      <c r="A6616" s="9" t="n">
        <v>45567.58333333334</v>
      </c>
      <c r="B6616" t="n">
        <v>10</v>
      </c>
      <c r="C6616" t="n">
        <v>2</v>
      </c>
      <c r="D6616" t="n">
        <v>14</v>
      </c>
      <c r="E6616" s="10" t="n">
        <v>0.023631</v>
      </c>
      <c r="F6616" s="10" t="n">
        <v>0.3433139383953452</v>
      </c>
      <c r="G6616" s="11">
        <f>E6616*Summary!$B$6</f>
        <v/>
      </c>
      <c r="H6616" s="11">
        <f>F6616*Summary!$B$7</f>
        <v/>
      </c>
      <c r="I6616" s="11">
        <f>MAX(0,N6616-M6616)</f>
        <v/>
      </c>
      <c r="J6616" s="11">
        <f>MAX(0,M6616-N6616)</f>
        <v/>
      </c>
      <c r="K6616" s="11">
        <f>O6616</f>
        <v/>
      </c>
      <c r="L6616" s="11">
        <f>L6615+IF(K6616&gt;0,K6616*Summary!$B$9,K6616/Summary!$B$9)</f>
        <v/>
      </c>
      <c r="M6616" s="11">
        <f>G6616+H6616</f>
        <v/>
      </c>
      <c r="N6616" s="11">
        <f>Summary!$C$16*Summary!$B$8</f>
        <v/>
      </c>
      <c r="O6616" s="11">
        <f>M6616-N6616</f>
        <v/>
      </c>
    </row>
    <row r="6617">
      <c r="A6617" s="9" t="n">
        <v>45567.625</v>
      </c>
      <c r="B6617" t="n">
        <v>10</v>
      </c>
      <c r="C6617" t="n">
        <v>2</v>
      </c>
      <c r="D6617" t="n">
        <v>15</v>
      </c>
      <c r="E6617" s="10" t="n">
        <v>0.088823</v>
      </c>
      <c r="F6617" s="10" t="n">
        <v>0.3424179701803128</v>
      </c>
      <c r="G6617" s="11">
        <f>E6617*Summary!$B$6</f>
        <v/>
      </c>
      <c r="H6617" s="11">
        <f>F6617*Summary!$B$7</f>
        <v/>
      </c>
      <c r="I6617" s="11">
        <f>MAX(0,N6617-M6617)</f>
        <v/>
      </c>
      <c r="J6617" s="11">
        <f>MAX(0,M6617-N6617)</f>
        <v/>
      </c>
      <c r="K6617" s="11">
        <f>O6617</f>
        <v/>
      </c>
      <c r="L6617" s="11">
        <f>L6616+IF(K6617&gt;0,K6617*Summary!$B$9,K6617/Summary!$B$9)</f>
        <v/>
      </c>
      <c r="M6617" s="11">
        <f>G6617+H6617</f>
        <v/>
      </c>
      <c r="N6617" s="11">
        <f>Summary!$C$16*Summary!$B$8</f>
        <v/>
      </c>
      <c r="O6617" s="11">
        <f>M6617-N6617</f>
        <v/>
      </c>
    </row>
    <row r="6618">
      <c r="A6618" s="9" t="n">
        <v>45567.66666666666</v>
      </c>
      <c r="B6618" t="n">
        <v>10</v>
      </c>
      <c r="C6618" t="n">
        <v>2</v>
      </c>
      <c r="D6618" t="n">
        <v>16</v>
      </c>
      <c r="E6618" s="10" t="n">
        <v>0.031636</v>
      </c>
      <c r="F6618" s="10" t="n">
        <v>0.3434984024396165</v>
      </c>
      <c r="G6618" s="11">
        <f>E6618*Summary!$B$6</f>
        <v/>
      </c>
      <c r="H6618" s="11">
        <f>F6618*Summary!$B$7</f>
        <v/>
      </c>
      <c r="I6618" s="11">
        <f>MAX(0,N6618-M6618)</f>
        <v/>
      </c>
      <c r="J6618" s="11">
        <f>MAX(0,M6618-N6618)</f>
        <v/>
      </c>
      <c r="K6618" s="11">
        <f>O6618</f>
        <v/>
      </c>
      <c r="L6618" s="11">
        <f>L6617+IF(K6618&gt;0,K6618*Summary!$B$9,K6618/Summary!$B$9)</f>
        <v/>
      </c>
      <c r="M6618" s="11">
        <f>G6618+H6618</f>
        <v/>
      </c>
      <c r="N6618" s="11">
        <f>Summary!$C$16*Summary!$B$8</f>
        <v/>
      </c>
      <c r="O6618" s="11">
        <f>M6618-N6618</f>
        <v/>
      </c>
    </row>
    <row r="6619">
      <c r="A6619" s="9" t="n">
        <v>45567.70833333334</v>
      </c>
      <c r="B6619" t="n">
        <v>10</v>
      </c>
      <c r="C6619" t="n">
        <v>2</v>
      </c>
      <c r="D6619" t="n">
        <v>17</v>
      </c>
      <c r="E6619" s="10" t="n">
        <v>0.005262</v>
      </c>
      <c r="F6619" s="10" t="n">
        <v>0.3560946614627187</v>
      </c>
      <c r="G6619" s="11">
        <f>E6619*Summary!$B$6</f>
        <v/>
      </c>
      <c r="H6619" s="11">
        <f>F6619*Summary!$B$7</f>
        <v/>
      </c>
      <c r="I6619" s="11">
        <f>MAX(0,N6619-M6619)</f>
        <v/>
      </c>
      <c r="J6619" s="11">
        <f>MAX(0,M6619-N6619)</f>
        <v/>
      </c>
      <c r="K6619" s="11">
        <f>O6619</f>
        <v/>
      </c>
      <c r="L6619" s="11">
        <f>L6618+IF(K6619&gt;0,K6619*Summary!$B$9,K6619/Summary!$B$9)</f>
        <v/>
      </c>
      <c r="M6619" s="11">
        <f>G6619+H6619</f>
        <v/>
      </c>
      <c r="N6619" s="11">
        <f>Summary!$C$16*Summary!$B$8</f>
        <v/>
      </c>
      <c r="O6619" s="11">
        <f>M6619-N6619</f>
        <v/>
      </c>
    </row>
    <row r="6620">
      <c r="A6620" s="9" t="n">
        <v>45567.75</v>
      </c>
      <c r="B6620" t="n">
        <v>10</v>
      </c>
      <c r="C6620" t="n">
        <v>2</v>
      </c>
      <c r="D6620" t="n">
        <v>18</v>
      </c>
      <c r="E6620" s="10" t="n">
        <v>0</v>
      </c>
      <c r="F6620" s="10" t="n">
        <v>0.3675577842138683</v>
      </c>
      <c r="G6620" s="11">
        <f>E6620*Summary!$B$6</f>
        <v/>
      </c>
      <c r="H6620" s="11">
        <f>F6620*Summary!$B$7</f>
        <v/>
      </c>
      <c r="I6620" s="11">
        <f>MAX(0,N6620-M6620)</f>
        <v/>
      </c>
      <c r="J6620" s="11">
        <f>MAX(0,M6620-N6620)</f>
        <v/>
      </c>
      <c r="K6620" s="11">
        <f>O6620</f>
        <v/>
      </c>
      <c r="L6620" s="11">
        <f>L6619+IF(K6620&gt;0,K6620*Summary!$B$9,K6620/Summary!$B$9)</f>
        <v/>
      </c>
      <c r="M6620" s="11">
        <f>G6620+H6620</f>
        <v/>
      </c>
      <c r="N6620" s="11">
        <f>Summary!$C$16*Summary!$B$8</f>
        <v/>
      </c>
      <c r="O6620" s="11">
        <f>M6620-N6620</f>
        <v/>
      </c>
    </row>
    <row r="6621">
      <c r="A6621" s="9" t="n">
        <v>45567.79166666666</v>
      </c>
      <c r="B6621" t="n">
        <v>10</v>
      </c>
      <c r="C6621" t="n">
        <v>2</v>
      </c>
      <c r="D6621" t="n">
        <v>19</v>
      </c>
      <c r="E6621" s="10" t="n">
        <v>0</v>
      </c>
      <c r="F6621" s="10" t="n">
        <v>0.3738822657317438</v>
      </c>
      <c r="G6621" s="11">
        <f>E6621*Summary!$B$6</f>
        <v/>
      </c>
      <c r="H6621" s="11">
        <f>F6621*Summary!$B$7</f>
        <v/>
      </c>
      <c r="I6621" s="11">
        <f>MAX(0,N6621-M6621)</f>
        <v/>
      </c>
      <c r="J6621" s="11">
        <f>MAX(0,M6621-N6621)</f>
        <v/>
      </c>
      <c r="K6621" s="11">
        <f>O6621</f>
        <v/>
      </c>
      <c r="L6621" s="11">
        <f>L6620+IF(K6621&gt;0,K6621*Summary!$B$9,K6621/Summary!$B$9)</f>
        <v/>
      </c>
      <c r="M6621" s="11">
        <f>G6621+H6621</f>
        <v/>
      </c>
      <c r="N6621" s="11">
        <f>Summary!$C$16*Summary!$B$8</f>
        <v/>
      </c>
      <c r="O6621" s="11">
        <f>M6621-N6621</f>
        <v/>
      </c>
    </row>
    <row r="6622">
      <c r="A6622" s="9" t="n">
        <v>45567.83333333334</v>
      </c>
      <c r="B6622" t="n">
        <v>10</v>
      </c>
      <c r="C6622" t="n">
        <v>2</v>
      </c>
      <c r="D6622" t="n">
        <v>20</v>
      </c>
      <c r="E6622" s="10" t="n">
        <v>0</v>
      </c>
      <c r="F6622" s="10" t="n">
        <v>0.3686909204858209</v>
      </c>
      <c r="G6622" s="11">
        <f>E6622*Summary!$B$6</f>
        <v/>
      </c>
      <c r="H6622" s="11">
        <f>F6622*Summary!$B$7</f>
        <v/>
      </c>
      <c r="I6622" s="11">
        <f>MAX(0,N6622-M6622)</f>
        <v/>
      </c>
      <c r="J6622" s="11">
        <f>MAX(0,M6622-N6622)</f>
        <v/>
      </c>
      <c r="K6622" s="11">
        <f>O6622</f>
        <v/>
      </c>
      <c r="L6622" s="11">
        <f>L6621+IF(K6622&gt;0,K6622*Summary!$B$9,K6622/Summary!$B$9)</f>
        <v/>
      </c>
      <c r="M6622" s="11">
        <f>G6622+H6622</f>
        <v/>
      </c>
      <c r="N6622" s="11">
        <f>Summary!$C$16*Summary!$B$8</f>
        <v/>
      </c>
      <c r="O6622" s="11">
        <f>M6622-N6622</f>
        <v/>
      </c>
    </row>
    <row r="6623">
      <c r="A6623" s="9" t="n">
        <v>45567.875</v>
      </c>
      <c r="B6623" t="n">
        <v>10</v>
      </c>
      <c r="C6623" t="n">
        <v>2</v>
      </c>
      <c r="D6623" t="n">
        <v>21</v>
      </c>
      <c r="E6623" s="10" t="n">
        <v>0</v>
      </c>
      <c r="F6623" s="10" t="n">
        <v>0.3607853185884764</v>
      </c>
      <c r="G6623" s="11">
        <f>E6623*Summary!$B$6</f>
        <v/>
      </c>
      <c r="H6623" s="11">
        <f>F6623*Summary!$B$7</f>
        <v/>
      </c>
      <c r="I6623" s="11">
        <f>MAX(0,N6623-M6623)</f>
        <v/>
      </c>
      <c r="J6623" s="11">
        <f>MAX(0,M6623-N6623)</f>
        <v/>
      </c>
      <c r="K6623" s="11">
        <f>O6623</f>
        <v/>
      </c>
      <c r="L6623" s="11">
        <f>L6622+IF(K6623&gt;0,K6623*Summary!$B$9,K6623/Summary!$B$9)</f>
        <v/>
      </c>
      <c r="M6623" s="11">
        <f>G6623+H6623</f>
        <v/>
      </c>
      <c r="N6623" s="11">
        <f>Summary!$C$16*Summary!$B$8</f>
        <v/>
      </c>
      <c r="O6623" s="11">
        <f>M6623-N6623</f>
        <v/>
      </c>
    </row>
    <row r="6624">
      <c r="A6624" s="9" t="n">
        <v>45567.91666666666</v>
      </c>
      <c r="B6624" t="n">
        <v>10</v>
      </c>
      <c r="C6624" t="n">
        <v>2</v>
      </c>
      <c r="D6624" t="n">
        <v>22</v>
      </c>
      <c r="E6624" s="10" t="n">
        <v>0</v>
      </c>
      <c r="F6624" s="10" t="n">
        <v>0.3560683094563942</v>
      </c>
      <c r="G6624" s="11">
        <f>E6624*Summary!$B$6</f>
        <v/>
      </c>
      <c r="H6624" s="11">
        <f>F6624*Summary!$B$7</f>
        <v/>
      </c>
      <c r="I6624" s="11">
        <f>MAX(0,N6624-M6624)</f>
        <v/>
      </c>
      <c r="J6624" s="11">
        <f>MAX(0,M6624-N6624)</f>
        <v/>
      </c>
      <c r="K6624" s="11">
        <f>O6624</f>
        <v/>
      </c>
      <c r="L6624" s="11">
        <f>L6623+IF(K6624&gt;0,K6624*Summary!$B$9,K6624/Summary!$B$9)</f>
        <v/>
      </c>
      <c r="M6624" s="11">
        <f>G6624+H6624</f>
        <v/>
      </c>
      <c r="N6624" s="11">
        <f>Summary!$C$16*Summary!$B$8</f>
        <v/>
      </c>
      <c r="O6624" s="11">
        <f>M6624-N6624</f>
        <v/>
      </c>
    </row>
    <row r="6625">
      <c r="A6625" s="9" t="n">
        <v>45567.95833333334</v>
      </c>
      <c r="B6625" t="n">
        <v>10</v>
      </c>
      <c r="C6625" t="n">
        <v>2</v>
      </c>
      <c r="D6625" t="n">
        <v>23</v>
      </c>
      <c r="E6625" s="10" t="n">
        <v>0</v>
      </c>
      <c r="F6625" s="10" t="n">
        <v>0.3516148203875569</v>
      </c>
      <c r="G6625" s="11">
        <f>E6625*Summary!$B$6</f>
        <v/>
      </c>
      <c r="H6625" s="11">
        <f>F6625*Summary!$B$7</f>
        <v/>
      </c>
      <c r="I6625" s="11">
        <f>MAX(0,N6625-M6625)</f>
        <v/>
      </c>
      <c r="J6625" s="11">
        <f>MAX(0,M6625-N6625)</f>
        <v/>
      </c>
      <c r="K6625" s="11">
        <f>O6625</f>
        <v/>
      </c>
      <c r="L6625" s="11">
        <f>L6624+IF(K6625&gt;0,K6625*Summary!$B$9,K6625/Summary!$B$9)</f>
        <v/>
      </c>
      <c r="M6625" s="11">
        <f>G6625+H6625</f>
        <v/>
      </c>
      <c r="N6625" s="11">
        <f>Summary!$C$16*Summary!$B$8</f>
        <v/>
      </c>
      <c r="O6625" s="11">
        <f>M6625-N6625</f>
        <v/>
      </c>
    </row>
    <row r="6626">
      <c r="A6626" s="9" t="n">
        <v>45568</v>
      </c>
      <c r="B6626" t="n">
        <v>10</v>
      </c>
      <c r="C6626" t="n">
        <v>3</v>
      </c>
      <c r="D6626" t="n">
        <v>0</v>
      </c>
      <c r="E6626" s="10" t="n">
        <v>0</v>
      </c>
      <c r="F6626" s="10" t="n">
        <v>0.435519608524706</v>
      </c>
      <c r="G6626" s="11">
        <f>E6626*Summary!$B$6</f>
        <v/>
      </c>
      <c r="H6626" s="11">
        <f>F6626*Summary!$B$7</f>
        <v/>
      </c>
      <c r="I6626" s="11">
        <f>MAX(0,N6626-M6626)</f>
        <v/>
      </c>
      <c r="J6626" s="11">
        <f>MAX(0,M6626-N6626)</f>
        <v/>
      </c>
      <c r="K6626" s="11">
        <f>O6626</f>
        <v/>
      </c>
      <c r="L6626" s="11">
        <f>L6625+IF(K6626&gt;0,K6626*Summary!$B$9,K6626/Summary!$B$9)</f>
        <v/>
      </c>
      <c r="M6626" s="11">
        <f>G6626+H6626</f>
        <v/>
      </c>
      <c r="N6626" s="11">
        <f>Summary!$C$16*Summary!$B$8</f>
        <v/>
      </c>
      <c r="O6626" s="11">
        <f>M6626-N6626</f>
        <v/>
      </c>
    </row>
    <row r="6627">
      <c r="A6627" s="9" t="n">
        <v>45568.04166666666</v>
      </c>
      <c r="B6627" t="n">
        <v>10</v>
      </c>
      <c r="C6627" t="n">
        <v>3</v>
      </c>
      <c r="D6627" t="n">
        <v>1</v>
      </c>
      <c r="E6627" s="10" t="n">
        <v>0</v>
      </c>
      <c r="F6627" s="10" t="n">
        <v>0.3408895538134929</v>
      </c>
      <c r="G6627" s="11">
        <f>E6627*Summary!$B$6</f>
        <v/>
      </c>
      <c r="H6627" s="11">
        <f>F6627*Summary!$B$7</f>
        <v/>
      </c>
      <c r="I6627" s="11">
        <f>MAX(0,N6627-M6627)</f>
        <v/>
      </c>
      <c r="J6627" s="11">
        <f>MAX(0,M6627-N6627)</f>
        <v/>
      </c>
      <c r="K6627" s="11">
        <f>O6627</f>
        <v/>
      </c>
      <c r="L6627" s="11">
        <f>L6626+IF(K6627&gt;0,K6627*Summary!$B$9,K6627/Summary!$B$9)</f>
        <v/>
      </c>
      <c r="M6627" s="11">
        <f>G6627+H6627</f>
        <v/>
      </c>
      <c r="N6627" s="11">
        <f>Summary!$C$16*Summary!$B$8</f>
        <v/>
      </c>
      <c r="O6627" s="11">
        <f>M6627-N6627</f>
        <v/>
      </c>
    </row>
    <row r="6628">
      <c r="A6628" s="9" t="n">
        <v>45568.08333333334</v>
      </c>
      <c r="B6628" t="n">
        <v>10</v>
      </c>
      <c r="C6628" t="n">
        <v>3</v>
      </c>
      <c r="D6628" t="n">
        <v>2</v>
      </c>
      <c r="E6628" s="10" t="n">
        <v>0</v>
      </c>
      <c r="F6628" s="10" t="n">
        <v>0.3443153146356755</v>
      </c>
      <c r="G6628" s="11">
        <f>E6628*Summary!$B$6</f>
        <v/>
      </c>
      <c r="H6628" s="11">
        <f>F6628*Summary!$B$7</f>
        <v/>
      </c>
      <c r="I6628" s="11">
        <f>MAX(0,N6628-M6628)</f>
        <v/>
      </c>
      <c r="J6628" s="11">
        <f>MAX(0,M6628-N6628)</f>
        <v/>
      </c>
      <c r="K6628" s="11">
        <f>O6628</f>
        <v/>
      </c>
      <c r="L6628" s="11">
        <f>L6627+IF(K6628&gt;0,K6628*Summary!$B$9,K6628/Summary!$B$9)</f>
        <v/>
      </c>
      <c r="M6628" s="11">
        <f>G6628+H6628</f>
        <v/>
      </c>
      <c r="N6628" s="11">
        <f>Summary!$C$16*Summary!$B$8</f>
        <v/>
      </c>
      <c r="O6628" s="11">
        <f>M6628-N6628</f>
        <v/>
      </c>
    </row>
    <row r="6629">
      <c r="A6629" s="9" t="n">
        <v>45568.125</v>
      </c>
      <c r="B6629" t="n">
        <v>10</v>
      </c>
      <c r="C6629" t="n">
        <v>3</v>
      </c>
      <c r="D6629" t="n">
        <v>3</v>
      </c>
      <c r="E6629" s="10" t="n">
        <v>0</v>
      </c>
      <c r="F6629" s="10" t="n">
        <v>0.3460018430404423</v>
      </c>
      <c r="G6629" s="11">
        <f>E6629*Summary!$B$6</f>
        <v/>
      </c>
      <c r="H6629" s="11">
        <f>F6629*Summary!$B$7</f>
        <v/>
      </c>
      <c r="I6629" s="11">
        <f>MAX(0,N6629-M6629)</f>
        <v/>
      </c>
      <c r="J6629" s="11">
        <f>MAX(0,M6629-N6629)</f>
        <v/>
      </c>
      <c r="K6629" s="11">
        <f>O6629</f>
        <v/>
      </c>
      <c r="L6629" s="11">
        <f>L6628+IF(K6629&gt;0,K6629*Summary!$B$9,K6629/Summary!$B$9)</f>
        <v/>
      </c>
      <c r="M6629" s="11">
        <f>G6629+H6629</f>
        <v/>
      </c>
      <c r="N6629" s="11">
        <f>Summary!$C$16*Summary!$B$8</f>
        <v/>
      </c>
      <c r="O6629" s="11">
        <f>M6629-N6629</f>
        <v/>
      </c>
    </row>
    <row r="6630">
      <c r="A6630" s="9" t="n">
        <v>45568.16666666666</v>
      </c>
      <c r="B6630" t="n">
        <v>10</v>
      </c>
      <c r="C6630" t="n">
        <v>3</v>
      </c>
      <c r="D6630" t="n">
        <v>4</v>
      </c>
      <c r="E6630" s="10" t="n">
        <v>0</v>
      </c>
      <c r="F6630" s="10" t="n">
        <v>0.3480836515400763</v>
      </c>
      <c r="G6630" s="11">
        <f>E6630*Summary!$B$6</f>
        <v/>
      </c>
      <c r="H6630" s="11">
        <f>F6630*Summary!$B$7</f>
        <v/>
      </c>
      <c r="I6630" s="11">
        <f>MAX(0,N6630-M6630)</f>
        <v/>
      </c>
      <c r="J6630" s="11">
        <f>MAX(0,M6630-N6630)</f>
        <v/>
      </c>
      <c r="K6630" s="11">
        <f>O6630</f>
        <v/>
      </c>
      <c r="L6630" s="11">
        <f>L6629+IF(K6630&gt;0,K6630*Summary!$B$9,K6630/Summary!$B$9)</f>
        <v/>
      </c>
      <c r="M6630" s="11">
        <f>G6630+H6630</f>
        <v/>
      </c>
      <c r="N6630" s="11">
        <f>Summary!$C$16*Summary!$B$8</f>
        <v/>
      </c>
      <c r="O6630" s="11">
        <f>M6630-N6630</f>
        <v/>
      </c>
    </row>
    <row r="6631">
      <c r="A6631" s="9" t="n">
        <v>45568.20833333334</v>
      </c>
      <c r="B6631" t="n">
        <v>10</v>
      </c>
      <c r="C6631" t="n">
        <v>3</v>
      </c>
      <c r="D6631" t="n">
        <v>5</v>
      </c>
      <c r="E6631" s="10" t="n">
        <v>0</v>
      </c>
      <c r="F6631" s="10" t="n">
        <v>0.3453166908760058</v>
      </c>
      <c r="G6631" s="11">
        <f>E6631*Summary!$B$6</f>
        <v/>
      </c>
      <c r="H6631" s="11">
        <f>F6631*Summary!$B$7</f>
        <v/>
      </c>
      <c r="I6631" s="11">
        <f>MAX(0,N6631-M6631)</f>
        <v/>
      </c>
      <c r="J6631" s="11">
        <f>MAX(0,M6631-N6631)</f>
        <v/>
      </c>
      <c r="K6631" s="11">
        <f>O6631</f>
        <v/>
      </c>
      <c r="L6631" s="11">
        <f>L6630+IF(K6631&gt;0,K6631*Summary!$B$9,K6631/Summary!$B$9)</f>
        <v/>
      </c>
      <c r="M6631" s="11">
        <f>G6631+H6631</f>
        <v/>
      </c>
      <c r="N6631" s="11">
        <f>Summary!$C$16*Summary!$B$8</f>
        <v/>
      </c>
      <c r="O6631" s="11">
        <f>M6631-N6631</f>
        <v/>
      </c>
    </row>
    <row r="6632">
      <c r="A6632" s="9" t="n">
        <v>45568.25</v>
      </c>
      <c r="B6632" t="n">
        <v>10</v>
      </c>
      <c r="C6632" t="n">
        <v>3</v>
      </c>
      <c r="D6632" t="n">
        <v>6</v>
      </c>
      <c r="E6632" s="10" t="n">
        <v>0</v>
      </c>
      <c r="F6632" s="10" t="n">
        <v>0.3397037135288913</v>
      </c>
      <c r="G6632" s="11">
        <f>E6632*Summary!$B$6</f>
        <v/>
      </c>
      <c r="H6632" s="11">
        <f>F6632*Summary!$B$7</f>
        <v/>
      </c>
      <c r="I6632" s="11">
        <f>MAX(0,N6632-M6632)</f>
        <v/>
      </c>
      <c r="J6632" s="11">
        <f>MAX(0,M6632-N6632)</f>
        <v/>
      </c>
      <c r="K6632" s="11">
        <f>O6632</f>
        <v/>
      </c>
      <c r="L6632" s="11">
        <f>L6631+IF(K6632&gt;0,K6632*Summary!$B$9,K6632/Summary!$B$9)</f>
        <v/>
      </c>
      <c r="M6632" s="11">
        <f>G6632+H6632</f>
        <v/>
      </c>
      <c r="N6632" s="11">
        <f>Summary!$C$16*Summary!$B$8</f>
        <v/>
      </c>
      <c r="O6632" s="11">
        <f>M6632-N6632</f>
        <v/>
      </c>
    </row>
    <row r="6633">
      <c r="A6633" s="9" t="n">
        <v>45568.29166666666</v>
      </c>
      <c r="B6633" t="n">
        <v>10</v>
      </c>
      <c r="C6633" t="n">
        <v>3</v>
      </c>
      <c r="D6633" t="n">
        <v>7</v>
      </c>
      <c r="E6633" s="10" t="n">
        <v>0.048864</v>
      </c>
      <c r="F6633" s="10" t="n">
        <v>0.3288993909358538</v>
      </c>
      <c r="G6633" s="11">
        <f>E6633*Summary!$B$6</f>
        <v/>
      </c>
      <c r="H6633" s="11">
        <f>F6633*Summary!$B$7</f>
        <v/>
      </c>
      <c r="I6633" s="11">
        <f>MAX(0,N6633-M6633)</f>
        <v/>
      </c>
      <c r="J6633" s="11">
        <f>MAX(0,M6633-N6633)</f>
        <v/>
      </c>
      <c r="K6633" s="11">
        <f>O6633</f>
        <v/>
      </c>
      <c r="L6633" s="11">
        <f>L6632+IF(K6633&gt;0,K6633*Summary!$B$9,K6633/Summary!$B$9)</f>
        <v/>
      </c>
      <c r="M6633" s="11">
        <f>G6633+H6633</f>
        <v/>
      </c>
      <c r="N6633" s="11">
        <f>Summary!$C$16*Summary!$B$8</f>
        <v/>
      </c>
      <c r="O6633" s="11">
        <f>M6633-N6633</f>
        <v/>
      </c>
    </row>
    <row r="6634">
      <c r="A6634" s="9" t="n">
        <v>45568.33333333334</v>
      </c>
      <c r="B6634" t="n">
        <v>10</v>
      </c>
      <c r="C6634" t="n">
        <v>3</v>
      </c>
      <c r="D6634" t="n">
        <v>8</v>
      </c>
      <c r="E6634" s="10" t="n">
        <v>0.09596499999999999</v>
      </c>
      <c r="F6634" s="10" t="n">
        <v>0.3091617381988171</v>
      </c>
      <c r="G6634" s="11">
        <f>E6634*Summary!$B$6</f>
        <v/>
      </c>
      <c r="H6634" s="11">
        <f>F6634*Summary!$B$7</f>
        <v/>
      </c>
      <c r="I6634" s="11">
        <f>MAX(0,N6634-M6634)</f>
        <v/>
      </c>
      <c r="J6634" s="11">
        <f>MAX(0,M6634-N6634)</f>
        <v/>
      </c>
      <c r="K6634" s="11">
        <f>O6634</f>
        <v/>
      </c>
      <c r="L6634" s="11">
        <f>L6633+IF(K6634&gt;0,K6634*Summary!$B$9,K6634/Summary!$B$9)</f>
        <v/>
      </c>
      <c r="M6634" s="11">
        <f>G6634+H6634</f>
        <v/>
      </c>
      <c r="N6634" s="11">
        <f>Summary!$C$16*Summary!$B$8</f>
        <v/>
      </c>
      <c r="O6634" s="11">
        <f>M6634-N6634</f>
        <v/>
      </c>
    </row>
    <row r="6635">
      <c r="A6635" s="9" t="n">
        <v>45568.375</v>
      </c>
      <c r="B6635" t="n">
        <v>10</v>
      </c>
      <c r="C6635" t="n">
        <v>3</v>
      </c>
      <c r="D6635" t="n">
        <v>9</v>
      </c>
      <c r="E6635" s="10" t="n">
        <v>0.130881</v>
      </c>
      <c r="F6635" s="10" t="n">
        <v>0.2939829825559158</v>
      </c>
      <c r="G6635" s="11">
        <f>E6635*Summary!$B$6</f>
        <v/>
      </c>
      <c r="H6635" s="11">
        <f>F6635*Summary!$B$7</f>
        <v/>
      </c>
      <c r="I6635" s="11">
        <f>MAX(0,N6635-M6635)</f>
        <v/>
      </c>
      <c r="J6635" s="11">
        <f>MAX(0,M6635-N6635)</f>
        <v/>
      </c>
      <c r="K6635" s="11">
        <f>O6635</f>
        <v/>
      </c>
      <c r="L6635" s="11">
        <f>L6634+IF(K6635&gt;0,K6635*Summary!$B$9,K6635/Summary!$B$9)</f>
        <v/>
      </c>
      <c r="M6635" s="11">
        <f>G6635+H6635</f>
        <v/>
      </c>
      <c r="N6635" s="11">
        <f>Summary!$C$16*Summary!$B$8</f>
        <v/>
      </c>
      <c r="O6635" s="11">
        <f>M6635-N6635</f>
        <v/>
      </c>
    </row>
    <row r="6636">
      <c r="A6636" s="9" t="n">
        <v>45568.41666666666</v>
      </c>
      <c r="B6636" t="n">
        <v>10</v>
      </c>
      <c r="C6636" t="n">
        <v>3</v>
      </c>
      <c r="D6636" t="n">
        <v>10</v>
      </c>
      <c r="E6636" s="10" t="n">
        <v>0.123097</v>
      </c>
      <c r="F6636" s="10" t="n">
        <v>0.29300795832191</v>
      </c>
      <c r="G6636" s="11">
        <f>E6636*Summary!$B$6</f>
        <v/>
      </c>
      <c r="H6636" s="11">
        <f>F6636*Summary!$B$7</f>
        <v/>
      </c>
      <c r="I6636" s="11">
        <f>MAX(0,N6636-M6636)</f>
        <v/>
      </c>
      <c r="J6636" s="11">
        <f>MAX(0,M6636-N6636)</f>
        <v/>
      </c>
      <c r="K6636" s="11">
        <f>O6636</f>
        <v/>
      </c>
      <c r="L6636" s="11">
        <f>L6635+IF(K6636&gt;0,K6636*Summary!$B$9,K6636/Summary!$B$9)</f>
        <v/>
      </c>
      <c r="M6636" s="11">
        <f>G6636+H6636</f>
        <v/>
      </c>
      <c r="N6636" s="11">
        <f>Summary!$C$16*Summary!$B$8</f>
        <v/>
      </c>
      <c r="O6636" s="11">
        <f>M6636-N6636</f>
        <v/>
      </c>
    </row>
    <row r="6637">
      <c r="A6637" s="9" t="n">
        <v>45568.45833333334</v>
      </c>
      <c r="B6637" t="n">
        <v>10</v>
      </c>
      <c r="C6637" t="n">
        <v>3</v>
      </c>
      <c r="D6637" t="n">
        <v>11</v>
      </c>
      <c r="E6637" s="10" t="n">
        <v>0.19493</v>
      </c>
      <c r="F6637" s="10" t="n">
        <v>0.3023365685607765</v>
      </c>
      <c r="G6637" s="11">
        <f>E6637*Summary!$B$6</f>
        <v/>
      </c>
      <c r="H6637" s="11">
        <f>F6637*Summary!$B$7</f>
        <v/>
      </c>
      <c r="I6637" s="11">
        <f>MAX(0,N6637-M6637)</f>
        <v/>
      </c>
      <c r="J6637" s="11">
        <f>MAX(0,M6637-N6637)</f>
        <v/>
      </c>
      <c r="K6637" s="11">
        <f>O6637</f>
        <v/>
      </c>
      <c r="L6637" s="11">
        <f>L6636+IF(K6637&gt;0,K6637*Summary!$B$9,K6637/Summary!$B$9)</f>
        <v/>
      </c>
      <c r="M6637" s="11">
        <f>G6637+H6637</f>
        <v/>
      </c>
      <c r="N6637" s="11">
        <f>Summary!$C$16*Summary!$B$8</f>
        <v/>
      </c>
      <c r="O6637" s="11">
        <f>M6637-N6637</f>
        <v/>
      </c>
    </row>
    <row r="6638">
      <c r="A6638" s="9" t="n">
        <v>45568.5</v>
      </c>
      <c r="B6638" t="n">
        <v>10</v>
      </c>
      <c r="C6638" t="n">
        <v>3</v>
      </c>
      <c r="D6638" t="n">
        <v>12</v>
      </c>
      <c r="E6638" s="10" t="n">
        <v>0.123097</v>
      </c>
      <c r="F6638" s="10" t="n">
        <v>0.3134044112170587</v>
      </c>
      <c r="G6638" s="11">
        <f>E6638*Summary!$B$6</f>
        <v/>
      </c>
      <c r="H6638" s="11">
        <f>F6638*Summary!$B$7</f>
        <v/>
      </c>
      <c r="I6638" s="11">
        <f>MAX(0,N6638-M6638)</f>
        <v/>
      </c>
      <c r="J6638" s="11">
        <f>MAX(0,M6638-N6638)</f>
        <v/>
      </c>
      <c r="K6638" s="11">
        <f>O6638</f>
        <v/>
      </c>
      <c r="L6638" s="11">
        <f>L6637+IF(K6638&gt;0,K6638*Summary!$B$9,K6638/Summary!$B$9)</f>
        <v/>
      </c>
      <c r="M6638" s="11">
        <f>G6638+H6638</f>
        <v/>
      </c>
      <c r="N6638" s="11">
        <f>Summary!$C$16*Summary!$B$8</f>
        <v/>
      </c>
      <c r="O6638" s="11">
        <f>M6638-N6638</f>
        <v/>
      </c>
    </row>
    <row r="6639">
      <c r="A6639" s="9" t="n">
        <v>45568.54166666666</v>
      </c>
      <c r="B6639" t="n">
        <v>10</v>
      </c>
      <c r="C6639" t="n">
        <v>3</v>
      </c>
      <c r="D6639" t="n">
        <v>13</v>
      </c>
      <c r="E6639" s="10" t="n">
        <v>0.194582</v>
      </c>
      <c r="F6639" s="10" t="n">
        <v>0.3201241728298014</v>
      </c>
      <c r="G6639" s="11">
        <f>E6639*Summary!$B$6</f>
        <v/>
      </c>
      <c r="H6639" s="11">
        <f>F6639*Summary!$B$7</f>
        <v/>
      </c>
      <c r="I6639" s="11">
        <f>MAX(0,N6639-M6639)</f>
        <v/>
      </c>
      <c r="J6639" s="11">
        <f>MAX(0,M6639-N6639)</f>
        <v/>
      </c>
      <c r="K6639" s="11">
        <f>O6639</f>
        <v/>
      </c>
      <c r="L6639" s="11">
        <f>L6638+IF(K6639&gt;0,K6639*Summary!$B$9,K6639/Summary!$B$9)</f>
        <v/>
      </c>
      <c r="M6639" s="11">
        <f>G6639+H6639</f>
        <v/>
      </c>
      <c r="N6639" s="11">
        <f>Summary!$C$16*Summary!$B$8</f>
        <v/>
      </c>
      <c r="O6639" s="11">
        <f>M6639-N6639</f>
        <v/>
      </c>
    </row>
    <row r="6640">
      <c r="A6640" s="9" t="n">
        <v>45568.58333333334</v>
      </c>
      <c r="B6640" t="n">
        <v>10</v>
      </c>
      <c r="C6640" t="n">
        <v>3</v>
      </c>
      <c r="D6640" t="n">
        <v>14</v>
      </c>
      <c r="E6640" s="10" t="n">
        <v>0.121995</v>
      </c>
      <c r="F6640" s="10" t="n">
        <v>0.3257635021832406</v>
      </c>
      <c r="G6640" s="11">
        <f>E6640*Summary!$B$6</f>
        <v/>
      </c>
      <c r="H6640" s="11">
        <f>F6640*Summary!$B$7</f>
        <v/>
      </c>
      <c r="I6640" s="11">
        <f>MAX(0,N6640-M6640)</f>
        <v/>
      </c>
      <c r="J6640" s="11">
        <f>MAX(0,M6640-N6640)</f>
        <v/>
      </c>
      <c r="K6640" s="11">
        <f>O6640</f>
        <v/>
      </c>
      <c r="L6640" s="11">
        <f>L6639+IF(K6640&gt;0,K6640*Summary!$B$9,K6640/Summary!$B$9)</f>
        <v/>
      </c>
      <c r="M6640" s="11">
        <f>G6640+H6640</f>
        <v/>
      </c>
      <c r="N6640" s="11">
        <f>Summary!$C$16*Summary!$B$8</f>
        <v/>
      </c>
      <c r="O6640" s="11">
        <f>M6640-N6640</f>
        <v/>
      </c>
    </row>
    <row r="6641">
      <c r="A6641" s="9" t="n">
        <v>45568.625</v>
      </c>
      <c r="B6641" t="n">
        <v>10</v>
      </c>
      <c r="C6641" t="n">
        <v>3</v>
      </c>
      <c r="D6641" t="n">
        <v>15</v>
      </c>
      <c r="E6641" s="10" t="n">
        <v>0.07062300000000001</v>
      </c>
      <c r="F6641" s="10" t="n">
        <v>0.3247357739365858</v>
      </c>
      <c r="G6641" s="11">
        <f>E6641*Summary!$B$6</f>
        <v/>
      </c>
      <c r="H6641" s="11">
        <f>F6641*Summary!$B$7</f>
        <v/>
      </c>
      <c r="I6641" s="11">
        <f>MAX(0,N6641-M6641)</f>
        <v/>
      </c>
      <c r="J6641" s="11">
        <f>MAX(0,M6641-N6641)</f>
        <v/>
      </c>
      <c r="K6641" s="11">
        <f>O6641</f>
        <v/>
      </c>
      <c r="L6641" s="11">
        <f>L6640+IF(K6641&gt;0,K6641*Summary!$B$9,K6641/Summary!$B$9)</f>
        <v/>
      </c>
      <c r="M6641" s="11">
        <f>G6641+H6641</f>
        <v/>
      </c>
      <c r="N6641" s="11">
        <f>Summary!$C$16*Summary!$B$8</f>
        <v/>
      </c>
      <c r="O6641" s="11">
        <f>M6641-N6641</f>
        <v/>
      </c>
    </row>
    <row r="6642">
      <c r="A6642" s="9" t="n">
        <v>45568.66666666666</v>
      </c>
      <c r="B6642" t="n">
        <v>10</v>
      </c>
      <c r="C6642" t="n">
        <v>3</v>
      </c>
      <c r="D6642" t="n">
        <v>16</v>
      </c>
      <c r="E6642" s="10" t="n">
        <v>0.044986</v>
      </c>
      <c r="F6642" s="10" t="n">
        <v>0.3313501275240306</v>
      </c>
      <c r="G6642" s="11">
        <f>E6642*Summary!$B$6</f>
        <v/>
      </c>
      <c r="H6642" s="11">
        <f>F6642*Summary!$B$7</f>
        <v/>
      </c>
      <c r="I6642" s="11">
        <f>MAX(0,N6642-M6642)</f>
        <v/>
      </c>
      <c r="J6642" s="11">
        <f>MAX(0,M6642-N6642)</f>
        <v/>
      </c>
      <c r="K6642" s="11">
        <f>O6642</f>
        <v/>
      </c>
      <c r="L6642" s="11">
        <f>L6641+IF(K6642&gt;0,K6642*Summary!$B$9,K6642/Summary!$B$9)</f>
        <v/>
      </c>
      <c r="M6642" s="11">
        <f>G6642+H6642</f>
        <v/>
      </c>
      <c r="N6642" s="11">
        <f>Summary!$C$16*Summary!$B$8</f>
        <v/>
      </c>
      <c r="O6642" s="11">
        <f>M6642-N6642</f>
        <v/>
      </c>
    </row>
    <row r="6643">
      <c r="A6643" s="9" t="n">
        <v>45568.70833333334</v>
      </c>
      <c r="B6643" t="n">
        <v>10</v>
      </c>
      <c r="C6643" t="n">
        <v>3</v>
      </c>
      <c r="D6643" t="n">
        <v>17</v>
      </c>
      <c r="E6643" s="10" t="n">
        <v>0.001893</v>
      </c>
      <c r="F6643" s="10" t="n">
        <v>0.3562527735006656</v>
      </c>
      <c r="G6643" s="11">
        <f>E6643*Summary!$B$6</f>
        <v/>
      </c>
      <c r="H6643" s="11">
        <f>F6643*Summary!$B$7</f>
        <v/>
      </c>
      <c r="I6643" s="11">
        <f>MAX(0,N6643-M6643)</f>
        <v/>
      </c>
      <c r="J6643" s="11">
        <f>MAX(0,M6643-N6643)</f>
        <v/>
      </c>
      <c r="K6643" s="11">
        <f>O6643</f>
        <v/>
      </c>
      <c r="L6643" s="11">
        <f>L6642+IF(K6643&gt;0,K6643*Summary!$B$9,K6643/Summary!$B$9)</f>
        <v/>
      </c>
      <c r="M6643" s="11">
        <f>G6643+H6643</f>
        <v/>
      </c>
      <c r="N6643" s="11">
        <f>Summary!$C$16*Summary!$B$8</f>
        <v/>
      </c>
      <c r="O6643" s="11">
        <f>M6643-N6643</f>
        <v/>
      </c>
    </row>
    <row r="6644">
      <c r="A6644" s="9" t="n">
        <v>45568.75</v>
      </c>
      <c r="B6644" t="n">
        <v>10</v>
      </c>
      <c r="C6644" t="n">
        <v>3</v>
      </c>
      <c r="D6644" t="n">
        <v>18</v>
      </c>
      <c r="E6644" s="10" t="n">
        <v>0</v>
      </c>
      <c r="F6644" s="10" t="n">
        <v>0.3854771485145156</v>
      </c>
      <c r="G6644" s="11">
        <f>E6644*Summary!$B$6</f>
        <v/>
      </c>
      <c r="H6644" s="11">
        <f>F6644*Summary!$B$7</f>
        <v/>
      </c>
      <c r="I6644" s="11">
        <f>MAX(0,N6644-M6644)</f>
        <v/>
      </c>
      <c r="J6644" s="11">
        <f>MAX(0,M6644-N6644)</f>
        <v/>
      </c>
      <c r="K6644" s="11">
        <f>O6644</f>
        <v/>
      </c>
      <c r="L6644" s="11">
        <f>L6643+IF(K6644&gt;0,K6644*Summary!$B$9,K6644/Summary!$B$9)</f>
        <v/>
      </c>
      <c r="M6644" s="11">
        <f>G6644+H6644</f>
        <v/>
      </c>
      <c r="N6644" s="11">
        <f>Summary!$C$16*Summary!$B$8</f>
        <v/>
      </c>
      <c r="O6644" s="11">
        <f>M6644-N6644</f>
        <v/>
      </c>
    </row>
    <row r="6645">
      <c r="A6645" s="9" t="n">
        <v>45568.79166666666</v>
      </c>
      <c r="B6645" t="n">
        <v>10</v>
      </c>
      <c r="C6645" t="n">
        <v>3</v>
      </c>
      <c r="D6645" t="n">
        <v>19</v>
      </c>
      <c r="E6645" s="10" t="n">
        <v>0</v>
      </c>
      <c r="F6645" s="10" t="n">
        <v>0.4165725159774039</v>
      </c>
      <c r="G6645" s="11">
        <f>E6645*Summary!$B$6</f>
        <v/>
      </c>
      <c r="H6645" s="11">
        <f>F6645*Summary!$B$7</f>
        <v/>
      </c>
      <c r="I6645" s="11">
        <f>MAX(0,N6645-M6645)</f>
        <v/>
      </c>
      <c r="J6645" s="11">
        <f>MAX(0,M6645-N6645)</f>
        <v/>
      </c>
      <c r="K6645" s="11">
        <f>O6645</f>
        <v/>
      </c>
      <c r="L6645" s="11">
        <f>L6644+IF(K6645&gt;0,K6645*Summary!$B$9,K6645/Summary!$B$9)</f>
        <v/>
      </c>
      <c r="M6645" s="11">
        <f>G6645+H6645</f>
        <v/>
      </c>
      <c r="N6645" s="11">
        <f>Summary!$C$16*Summary!$B$8</f>
        <v/>
      </c>
      <c r="O6645" s="11">
        <f>M6645-N6645</f>
        <v/>
      </c>
    </row>
    <row r="6646">
      <c r="A6646" s="9" t="n">
        <v>45568.83333333334</v>
      </c>
      <c r="B6646" t="n">
        <v>10</v>
      </c>
      <c r="C6646" t="n">
        <v>3</v>
      </c>
      <c r="D6646" t="n">
        <v>20</v>
      </c>
      <c r="E6646" s="10" t="n">
        <v>0</v>
      </c>
      <c r="F6646" s="10" t="n">
        <v>0.4376541210369891</v>
      </c>
      <c r="G6646" s="11">
        <f>E6646*Summary!$B$6</f>
        <v/>
      </c>
      <c r="H6646" s="11">
        <f>F6646*Summary!$B$7</f>
        <v/>
      </c>
      <c r="I6646" s="11">
        <f>MAX(0,N6646-M6646)</f>
        <v/>
      </c>
      <c r="J6646" s="11">
        <f>MAX(0,M6646-N6646)</f>
        <v/>
      </c>
      <c r="K6646" s="11">
        <f>O6646</f>
        <v/>
      </c>
      <c r="L6646" s="11">
        <f>L6645+IF(K6646&gt;0,K6646*Summary!$B$9,K6646/Summary!$B$9)</f>
        <v/>
      </c>
      <c r="M6646" s="11">
        <f>G6646+H6646</f>
        <v/>
      </c>
      <c r="N6646" s="11">
        <f>Summary!$C$16*Summary!$B$8</f>
        <v/>
      </c>
      <c r="O6646" s="11">
        <f>M6646-N6646</f>
        <v/>
      </c>
    </row>
    <row r="6647">
      <c r="A6647" s="9" t="n">
        <v>45568.875</v>
      </c>
      <c r="B6647" t="n">
        <v>10</v>
      </c>
      <c r="C6647" t="n">
        <v>3</v>
      </c>
      <c r="D6647" t="n">
        <v>21</v>
      </c>
      <c r="E6647" s="10" t="n">
        <v>0</v>
      </c>
      <c r="F6647" s="10" t="n">
        <v>0.4466928592062862</v>
      </c>
      <c r="G6647" s="11">
        <f>E6647*Summary!$B$6</f>
        <v/>
      </c>
      <c r="H6647" s="11">
        <f>F6647*Summary!$B$7</f>
        <v/>
      </c>
      <c r="I6647" s="11">
        <f>MAX(0,N6647-M6647)</f>
        <v/>
      </c>
      <c r="J6647" s="11">
        <f>MAX(0,M6647-N6647)</f>
        <v/>
      </c>
      <c r="K6647" s="11">
        <f>O6647</f>
        <v/>
      </c>
      <c r="L6647" s="11">
        <f>L6646+IF(K6647&gt;0,K6647*Summary!$B$9,K6647/Summary!$B$9)</f>
        <v/>
      </c>
      <c r="M6647" s="11">
        <f>G6647+H6647</f>
        <v/>
      </c>
      <c r="N6647" s="11">
        <f>Summary!$C$16*Summary!$B$8</f>
        <v/>
      </c>
      <c r="O6647" s="11">
        <f>M6647-N6647</f>
        <v/>
      </c>
    </row>
    <row r="6648">
      <c r="A6648" s="9" t="n">
        <v>45568.91666666666</v>
      </c>
      <c r="B6648" t="n">
        <v>10</v>
      </c>
      <c r="C6648" t="n">
        <v>3</v>
      </c>
      <c r="D6648" t="n">
        <v>22</v>
      </c>
      <c r="E6648" s="10" t="n">
        <v>0</v>
      </c>
      <c r="F6648" s="10" t="n">
        <v>0.44548066691536</v>
      </c>
      <c r="G6648" s="11">
        <f>E6648*Summary!$B$6</f>
        <v/>
      </c>
      <c r="H6648" s="11">
        <f>F6648*Summary!$B$7</f>
        <v/>
      </c>
      <c r="I6648" s="11">
        <f>MAX(0,N6648-M6648)</f>
        <v/>
      </c>
      <c r="J6648" s="11">
        <f>MAX(0,M6648-N6648)</f>
        <v/>
      </c>
      <c r="K6648" s="11">
        <f>O6648</f>
        <v/>
      </c>
      <c r="L6648" s="11">
        <f>L6647+IF(K6648&gt;0,K6648*Summary!$B$9,K6648/Summary!$B$9)</f>
        <v/>
      </c>
      <c r="M6648" s="11">
        <f>G6648+H6648</f>
        <v/>
      </c>
      <c r="N6648" s="11">
        <f>Summary!$C$16*Summary!$B$8</f>
        <v/>
      </c>
      <c r="O6648" s="11">
        <f>M6648-N6648</f>
        <v/>
      </c>
    </row>
    <row r="6649">
      <c r="A6649" s="9" t="n">
        <v>45568.95833333334</v>
      </c>
      <c r="B6649" t="n">
        <v>10</v>
      </c>
      <c r="C6649" t="n">
        <v>3</v>
      </c>
      <c r="D6649" t="n">
        <v>23</v>
      </c>
      <c r="E6649" s="10" t="n">
        <v>0</v>
      </c>
      <c r="F6649" s="10" t="n">
        <v>0.4492490038197609</v>
      </c>
      <c r="G6649" s="11">
        <f>E6649*Summary!$B$6</f>
        <v/>
      </c>
      <c r="H6649" s="11">
        <f>F6649*Summary!$B$7</f>
        <v/>
      </c>
      <c r="I6649" s="11">
        <f>MAX(0,N6649-M6649)</f>
        <v/>
      </c>
      <c r="J6649" s="11">
        <f>MAX(0,M6649-N6649)</f>
        <v/>
      </c>
      <c r="K6649" s="11">
        <f>O6649</f>
        <v/>
      </c>
      <c r="L6649" s="11">
        <f>L6648+IF(K6649&gt;0,K6649*Summary!$B$9,K6649/Summary!$B$9)</f>
        <v/>
      </c>
      <c r="M6649" s="11">
        <f>G6649+H6649</f>
        <v/>
      </c>
      <c r="N6649" s="11">
        <f>Summary!$C$16*Summary!$B$8</f>
        <v/>
      </c>
      <c r="O6649" s="11">
        <f>M6649-N6649</f>
        <v/>
      </c>
    </row>
    <row r="6650">
      <c r="A6650" s="9" t="n">
        <v>45569</v>
      </c>
      <c r="B6650" t="n">
        <v>10</v>
      </c>
      <c r="C6650" t="n">
        <v>4</v>
      </c>
      <c r="D6650" t="n">
        <v>0</v>
      </c>
      <c r="E6650" s="10" t="n">
        <v>0</v>
      </c>
      <c r="F6650" s="10" t="n">
        <v>0.35933595824063</v>
      </c>
      <c r="G6650" s="11">
        <f>E6650*Summary!$B$6</f>
        <v/>
      </c>
      <c r="H6650" s="11">
        <f>F6650*Summary!$B$7</f>
        <v/>
      </c>
      <c r="I6650" s="11">
        <f>MAX(0,N6650-M6650)</f>
        <v/>
      </c>
      <c r="J6650" s="11">
        <f>MAX(0,M6650-N6650)</f>
        <v/>
      </c>
      <c r="K6650" s="11">
        <f>O6650</f>
        <v/>
      </c>
      <c r="L6650" s="11">
        <f>L6649+IF(K6650&gt;0,K6650*Summary!$B$9,K6650/Summary!$B$9)</f>
        <v/>
      </c>
      <c r="M6650" s="11">
        <f>G6650+H6650</f>
        <v/>
      </c>
      <c r="N6650" s="11">
        <f>Summary!$C$16*Summary!$B$8</f>
        <v/>
      </c>
      <c r="O6650" s="11">
        <f>M6650-N6650</f>
        <v/>
      </c>
    </row>
    <row r="6651">
      <c r="A6651" s="9" t="n">
        <v>45569.04166666666</v>
      </c>
      <c r="B6651" t="n">
        <v>10</v>
      </c>
      <c r="C6651" t="n">
        <v>4</v>
      </c>
      <c r="D6651" t="n">
        <v>1</v>
      </c>
      <c r="E6651" s="10" t="n">
        <v>0</v>
      </c>
      <c r="F6651" s="10" t="n">
        <v>0.4408690658085758</v>
      </c>
      <c r="G6651" s="11">
        <f>E6651*Summary!$B$6</f>
        <v/>
      </c>
      <c r="H6651" s="11">
        <f>F6651*Summary!$B$7</f>
        <v/>
      </c>
      <c r="I6651" s="11">
        <f>MAX(0,N6651-M6651)</f>
        <v/>
      </c>
      <c r="J6651" s="11">
        <f>MAX(0,M6651-N6651)</f>
        <v/>
      </c>
      <c r="K6651" s="11">
        <f>O6651</f>
        <v/>
      </c>
      <c r="L6651" s="11">
        <f>L6650+IF(K6651&gt;0,K6651*Summary!$B$9,K6651/Summary!$B$9)</f>
        <v/>
      </c>
      <c r="M6651" s="11">
        <f>G6651+H6651</f>
        <v/>
      </c>
      <c r="N6651" s="11">
        <f>Summary!$C$16*Summary!$B$8</f>
        <v/>
      </c>
      <c r="O6651" s="11">
        <f>M6651-N6651</f>
        <v/>
      </c>
    </row>
    <row r="6652">
      <c r="A6652" s="9" t="n">
        <v>45569.08333333334</v>
      </c>
      <c r="B6652" t="n">
        <v>10</v>
      </c>
      <c r="C6652" t="n">
        <v>4</v>
      </c>
      <c r="D6652" t="n">
        <v>2</v>
      </c>
      <c r="E6652" s="10" t="n">
        <v>0</v>
      </c>
      <c r="F6652" s="10" t="n">
        <v>0.4327526478606354</v>
      </c>
      <c r="G6652" s="11">
        <f>E6652*Summary!$B$6</f>
        <v/>
      </c>
      <c r="H6652" s="11">
        <f>F6652*Summary!$B$7</f>
        <v/>
      </c>
      <c r="I6652" s="11">
        <f>MAX(0,N6652-M6652)</f>
        <v/>
      </c>
      <c r="J6652" s="11">
        <f>MAX(0,M6652-N6652)</f>
        <v/>
      </c>
      <c r="K6652" s="11">
        <f>O6652</f>
        <v/>
      </c>
      <c r="L6652" s="11">
        <f>L6651+IF(K6652&gt;0,K6652*Summary!$B$9,K6652/Summary!$B$9)</f>
        <v/>
      </c>
      <c r="M6652" s="11">
        <f>G6652+H6652</f>
        <v/>
      </c>
      <c r="N6652" s="11">
        <f>Summary!$C$16*Summary!$B$8</f>
        <v/>
      </c>
      <c r="O6652" s="11">
        <f>M6652-N6652</f>
        <v/>
      </c>
    </row>
    <row r="6653">
      <c r="A6653" s="9" t="n">
        <v>45569.125</v>
      </c>
      <c r="B6653" t="n">
        <v>10</v>
      </c>
      <c r="C6653" t="n">
        <v>4</v>
      </c>
      <c r="D6653" t="n">
        <v>3</v>
      </c>
      <c r="E6653" s="10" t="n">
        <v>0</v>
      </c>
      <c r="F6653" s="10" t="n">
        <v>0.4280619907348778</v>
      </c>
      <c r="G6653" s="11">
        <f>E6653*Summary!$B$6</f>
        <v/>
      </c>
      <c r="H6653" s="11">
        <f>F6653*Summary!$B$7</f>
        <v/>
      </c>
      <c r="I6653" s="11">
        <f>MAX(0,N6653-M6653)</f>
        <v/>
      </c>
      <c r="J6653" s="11">
        <f>MAX(0,M6653-N6653)</f>
        <v/>
      </c>
      <c r="K6653" s="11">
        <f>O6653</f>
        <v/>
      </c>
      <c r="L6653" s="11">
        <f>L6652+IF(K6653&gt;0,K6653*Summary!$B$9,K6653/Summary!$B$9)</f>
        <v/>
      </c>
      <c r="M6653" s="11">
        <f>G6653+H6653</f>
        <v/>
      </c>
      <c r="N6653" s="11">
        <f>Summary!$C$16*Summary!$B$8</f>
        <v/>
      </c>
      <c r="O6653" s="11">
        <f>M6653-N6653</f>
        <v/>
      </c>
    </row>
    <row r="6654">
      <c r="A6654" s="9" t="n">
        <v>45569.16666666666</v>
      </c>
      <c r="B6654" t="n">
        <v>10</v>
      </c>
      <c r="C6654" t="n">
        <v>4</v>
      </c>
      <c r="D6654" t="n">
        <v>4</v>
      </c>
      <c r="E6654" s="10" t="n">
        <v>0</v>
      </c>
      <c r="F6654" s="10" t="n">
        <v>0.429221479013155</v>
      </c>
      <c r="G6654" s="11">
        <f>E6654*Summary!$B$6</f>
        <v/>
      </c>
      <c r="H6654" s="11">
        <f>F6654*Summary!$B$7</f>
        <v/>
      </c>
      <c r="I6654" s="11">
        <f>MAX(0,N6654-M6654)</f>
        <v/>
      </c>
      <c r="J6654" s="11">
        <f>MAX(0,M6654-N6654)</f>
        <v/>
      </c>
      <c r="K6654" s="11">
        <f>O6654</f>
        <v/>
      </c>
      <c r="L6654" s="11">
        <f>L6653+IF(K6654&gt;0,K6654*Summary!$B$9,K6654/Summary!$B$9)</f>
        <v/>
      </c>
      <c r="M6654" s="11">
        <f>G6654+H6654</f>
        <v/>
      </c>
      <c r="N6654" s="11">
        <f>Summary!$C$16*Summary!$B$8</f>
        <v/>
      </c>
      <c r="O6654" s="11">
        <f>M6654-N6654</f>
        <v/>
      </c>
    </row>
    <row r="6655">
      <c r="A6655" s="9" t="n">
        <v>45569.20833333334</v>
      </c>
      <c r="B6655" t="n">
        <v>10</v>
      </c>
      <c r="C6655" t="n">
        <v>4</v>
      </c>
      <c r="D6655" t="n">
        <v>5</v>
      </c>
      <c r="E6655" s="10" t="n">
        <v>0</v>
      </c>
      <c r="F6655" s="10" t="n">
        <v>0.4354405525057326</v>
      </c>
      <c r="G6655" s="11">
        <f>E6655*Summary!$B$6</f>
        <v/>
      </c>
      <c r="H6655" s="11">
        <f>F6655*Summary!$B$7</f>
        <v/>
      </c>
      <c r="I6655" s="11">
        <f>MAX(0,N6655-M6655)</f>
        <v/>
      </c>
      <c r="J6655" s="11">
        <f>MAX(0,M6655-N6655)</f>
        <v/>
      </c>
      <c r="K6655" s="11">
        <f>O6655</f>
        <v/>
      </c>
      <c r="L6655" s="11">
        <f>L6654+IF(K6655&gt;0,K6655*Summary!$B$9,K6655/Summary!$B$9)</f>
        <v/>
      </c>
      <c r="M6655" s="11">
        <f>G6655+H6655</f>
        <v/>
      </c>
      <c r="N6655" s="11">
        <f>Summary!$C$16*Summary!$B$8</f>
        <v/>
      </c>
      <c r="O6655" s="11">
        <f>M6655-N6655</f>
        <v/>
      </c>
    </row>
    <row r="6656">
      <c r="A6656" s="9" t="n">
        <v>45569.25</v>
      </c>
      <c r="B6656" t="n">
        <v>10</v>
      </c>
      <c r="C6656" t="n">
        <v>4</v>
      </c>
      <c r="D6656" t="n">
        <v>6</v>
      </c>
      <c r="E6656" s="10" t="n">
        <v>0</v>
      </c>
      <c r="F6656" s="10" t="n">
        <v>0.4368108568346057</v>
      </c>
      <c r="G6656" s="11">
        <f>E6656*Summary!$B$6</f>
        <v/>
      </c>
      <c r="H6656" s="11">
        <f>F6656*Summary!$B$7</f>
        <v/>
      </c>
      <c r="I6656" s="11">
        <f>MAX(0,N6656-M6656)</f>
        <v/>
      </c>
      <c r="J6656" s="11">
        <f>MAX(0,M6656-N6656)</f>
        <v/>
      </c>
      <c r="K6656" s="11">
        <f>O6656</f>
        <v/>
      </c>
      <c r="L6656" s="11">
        <f>L6655+IF(K6656&gt;0,K6656*Summary!$B$9,K6656/Summary!$B$9)</f>
        <v/>
      </c>
      <c r="M6656" s="11">
        <f>G6656+H6656</f>
        <v/>
      </c>
      <c r="N6656" s="11">
        <f>Summary!$C$16*Summary!$B$8</f>
        <v/>
      </c>
      <c r="O6656" s="11">
        <f>M6656-N6656</f>
        <v/>
      </c>
    </row>
    <row r="6657">
      <c r="A6657" s="9" t="n">
        <v>45569.29166666666</v>
      </c>
      <c r="B6657" t="n">
        <v>10</v>
      </c>
      <c r="C6657" t="n">
        <v>4</v>
      </c>
      <c r="D6657" t="n">
        <v>7</v>
      </c>
      <c r="E6657" s="10" t="n">
        <v>0.008217</v>
      </c>
      <c r="F6657" s="10" t="n">
        <v>0.4209733010335923</v>
      </c>
      <c r="G6657" s="11">
        <f>E6657*Summary!$B$6</f>
        <v/>
      </c>
      <c r="H6657" s="11">
        <f>F6657*Summary!$B$7</f>
        <v/>
      </c>
      <c r="I6657" s="11">
        <f>MAX(0,N6657-M6657)</f>
        <v/>
      </c>
      <c r="J6657" s="11">
        <f>MAX(0,M6657-N6657)</f>
        <v/>
      </c>
      <c r="K6657" s="11">
        <f>O6657</f>
        <v/>
      </c>
      <c r="L6657" s="11">
        <f>L6656+IF(K6657&gt;0,K6657*Summary!$B$9,K6657/Summary!$B$9)</f>
        <v/>
      </c>
      <c r="M6657" s="11">
        <f>G6657+H6657</f>
        <v/>
      </c>
      <c r="N6657" s="11">
        <f>Summary!$C$16*Summary!$B$8</f>
        <v/>
      </c>
      <c r="O6657" s="11">
        <f>M6657-N6657</f>
        <v/>
      </c>
    </row>
    <row r="6658">
      <c r="A6658" s="9" t="n">
        <v>45569.33333333334</v>
      </c>
      <c r="B6658" t="n">
        <v>10</v>
      </c>
      <c r="C6658" t="n">
        <v>4</v>
      </c>
      <c r="D6658" t="n">
        <v>8</v>
      </c>
      <c r="E6658" s="10" t="n">
        <v>0.028915</v>
      </c>
      <c r="F6658" s="10" t="n">
        <v>0.4035546248531099</v>
      </c>
      <c r="G6658" s="11">
        <f>E6658*Summary!$B$6</f>
        <v/>
      </c>
      <c r="H6658" s="11">
        <f>F6658*Summary!$B$7</f>
        <v/>
      </c>
      <c r="I6658" s="11">
        <f>MAX(0,N6658-M6658)</f>
        <v/>
      </c>
      <c r="J6658" s="11">
        <f>MAX(0,M6658-N6658)</f>
        <v/>
      </c>
      <c r="K6658" s="11">
        <f>O6658</f>
        <v/>
      </c>
      <c r="L6658" s="11">
        <f>L6657+IF(K6658&gt;0,K6658*Summary!$B$9,K6658/Summary!$B$9)</f>
        <v/>
      </c>
      <c r="M6658" s="11">
        <f>G6658+H6658</f>
        <v/>
      </c>
      <c r="N6658" s="11">
        <f>Summary!$C$16*Summary!$B$8</f>
        <v/>
      </c>
      <c r="O6658" s="11">
        <f>M6658-N6658</f>
        <v/>
      </c>
    </row>
    <row r="6659">
      <c r="A6659" s="9" t="n">
        <v>45569.375</v>
      </c>
      <c r="B6659" t="n">
        <v>10</v>
      </c>
      <c r="C6659" t="n">
        <v>4</v>
      </c>
      <c r="D6659" t="n">
        <v>9</v>
      </c>
      <c r="E6659" s="10" t="n">
        <v>0.045245</v>
      </c>
      <c r="F6659" s="10" t="n">
        <v>0.3920387980893115</v>
      </c>
      <c r="G6659" s="11">
        <f>E6659*Summary!$B$6</f>
        <v/>
      </c>
      <c r="H6659" s="11">
        <f>F6659*Summary!$B$7</f>
        <v/>
      </c>
      <c r="I6659" s="11">
        <f>MAX(0,N6659-M6659)</f>
        <v/>
      </c>
      <c r="J6659" s="11">
        <f>MAX(0,M6659-N6659)</f>
        <v/>
      </c>
      <c r="K6659" s="11">
        <f>O6659</f>
        <v/>
      </c>
      <c r="L6659" s="11">
        <f>L6658+IF(K6659&gt;0,K6659*Summary!$B$9,K6659/Summary!$B$9)</f>
        <v/>
      </c>
      <c r="M6659" s="11">
        <f>G6659+H6659</f>
        <v/>
      </c>
      <c r="N6659" s="11">
        <f>Summary!$C$16*Summary!$B$8</f>
        <v/>
      </c>
      <c r="O6659" s="11">
        <f>M6659-N6659</f>
        <v/>
      </c>
    </row>
    <row r="6660">
      <c r="A6660" s="9" t="n">
        <v>45569.41666666666</v>
      </c>
      <c r="B6660" t="n">
        <v>10</v>
      </c>
      <c r="C6660" t="n">
        <v>4</v>
      </c>
      <c r="D6660" t="n">
        <v>10</v>
      </c>
      <c r="E6660" s="10" t="n">
        <v>0.08230999999999999</v>
      </c>
      <c r="F6660" s="10" t="n">
        <v>0.387084620900309</v>
      </c>
      <c r="G6660" s="11">
        <f>E6660*Summary!$B$6</f>
        <v/>
      </c>
      <c r="H6660" s="11">
        <f>F6660*Summary!$B$7</f>
        <v/>
      </c>
      <c r="I6660" s="11">
        <f>MAX(0,N6660-M6660)</f>
        <v/>
      </c>
      <c r="J6660" s="11">
        <f>MAX(0,M6660-N6660)</f>
        <v/>
      </c>
      <c r="K6660" s="11">
        <f>O6660</f>
        <v/>
      </c>
      <c r="L6660" s="11">
        <f>L6659+IF(K6660&gt;0,K6660*Summary!$B$9,K6660/Summary!$B$9)</f>
        <v/>
      </c>
      <c r="M6660" s="11">
        <f>G6660+H6660</f>
        <v/>
      </c>
      <c r="N6660" s="11">
        <f>Summary!$C$16*Summary!$B$8</f>
        <v/>
      </c>
      <c r="O6660" s="11">
        <f>M6660-N6660</f>
        <v/>
      </c>
    </row>
    <row r="6661">
      <c r="A6661" s="9" t="n">
        <v>45569.45833333334</v>
      </c>
      <c r="B6661" t="n">
        <v>10</v>
      </c>
      <c r="C6661" t="n">
        <v>4</v>
      </c>
      <c r="D6661" t="n">
        <v>11</v>
      </c>
      <c r="E6661" s="10" t="n">
        <v>0.107291</v>
      </c>
      <c r="F6661" s="10" t="n">
        <v>0.3887447972987513</v>
      </c>
      <c r="G6661" s="11">
        <f>E6661*Summary!$B$6</f>
        <v/>
      </c>
      <c r="H6661" s="11">
        <f>F6661*Summary!$B$7</f>
        <v/>
      </c>
      <c r="I6661" s="11">
        <f>MAX(0,N6661-M6661)</f>
        <v/>
      </c>
      <c r="J6661" s="11">
        <f>MAX(0,M6661-N6661)</f>
        <v/>
      </c>
      <c r="K6661" s="11">
        <f>O6661</f>
        <v/>
      </c>
      <c r="L6661" s="11">
        <f>L6660+IF(K6661&gt;0,K6661*Summary!$B$9,K6661/Summary!$B$9)</f>
        <v/>
      </c>
      <c r="M6661" s="11">
        <f>G6661+H6661</f>
        <v/>
      </c>
      <c r="N6661" s="11">
        <f>Summary!$C$16*Summary!$B$8</f>
        <v/>
      </c>
      <c r="O6661" s="11">
        <f>M6661-N6661</f>
        <v/>
      </c>
    </row>
    <row r="6662">
      <c r="A6662" s="9" t="n">
        <v>45569.5</v>
      </c>
      <c r="B6662" t="n">
        <v>10</v>
      </c>
      <c r="C6662" t="n">
        <v>4</v>
      </c>
      <c r="D6662" t="n">
        <v>12</v>
      </c>
      <c r="E6662" s="10" t="n">
        <v>0.066813</v>
      </c>
      <c r="F6662" s="10" t="n">
        <v>0.3883758692102086</v>
      </c>
      <c r="G6662" s="11">
        <f>E6662*Summary!$B$6</f>
        <v/>
      </c>
      <c r="H6662" s="11">
        <f>F6662*Summary!$B$7</f>
        <v/>
      </c>
      <c r="I6662" s="11">
        <f>MAX(0,N6662-M6662)</f>
        <v/>
      </c>
      <c r="J6662" s="11">
        <f>MAX(0,M6662-N6662)</f>
        <v/>
      </c>
      <c r="K6662" s="11">
        <f>O6662</f>
        <v/>
      </c>
      <c r="L6662" s="11">
        <f>L6661+IF(K6662&gt;0,K6662*Summary!$B$9,K6662/Summary!$B$9)</f>
        <v/>
      </c>
      <c r="M6662" s="11">
        <f>G6662+H6662</f>
        <v/>
      </c>
      <c r="N6662" s="11">
        <f>Summary!$C$16*Summary!$B$8</f>
        <v/>
      </c>
      <c r="O6662" s="11">
        <f>M6662-N6662</f>
        <v/>
      </c>
    </row>
    <row r="6663">
      <c r="A6663" s="9" t="n">
        <v>45569.54166666666</v>
      </c>
      <c r="B6663" t="n">
        <v>10</v>
      </c>
      <c r="C6663" t="n">
        <v>4</v>
      </c>
      <c r="D6663" t="n">
        <v>13</v>
      </c>
      <c r="E6663" s="10" t="n">
        <v>0.053138</v>
      </c>
      <c r="F6663" s="10" t="n">
        <v>0.3900360456086509</v>
      </c>
      <c r="G6663" s="11">
        <f>E6663*Summary!$B$6</f>
        <v/>
      </c>
      <c r="H6663" s="11">
        <f>F6663*Summary!$B$7</f>
        <v/>
      </c>
      <c r="I6663" s="11">
        <f>MAX(0,N6663-M6663)</f>
        <v/>
      </c>
      <c r="J6663" s="11">
        <f>MAX(0,M6663-N6663)</f>
        <v/>
      </c>
      <c r="K6663" s="11">
        <f>O6663</f>
        <v/>
      </c>
      <c r="L6663" s="11">
        <f>L6662+IF(K6663&gt;0,K6663*Summary!$B$9,K6663/Summary!$B$9)</f>
        <v/>
      </c>
      <c r="M6663" s="11">
        <f>G6663+H6663</f>
        <v/>
      </c>
      <c r="N6663" s="11">
        <f>Summary!$C$16*Summary!$B$8</f>
        <v/>
      </c>
      <c r="O6663" s="11">
        <f>M6663-N6663</f>
        <v/>
      </c>
    </row>
    <row r="6664">
      <c r="A6664" s="9" t="n">
        <v>45569.58333333334</v>
      </c>
      <c r="B6664" t="n">
        <v>10</v>
      </c>
      <c r="C6664" t="n">
        <v>4</v>
      </c>
      <c r="D6664" t="n">
        <v>14</v>
      </c>
      <c r="E6664" s="10" t="n">
        <v>0.047133</v>
      </c>
      <c r="F6664" s="10" t="n">
        <v>0.3892191334125921</v>
      </c>
      <c r="G6664" s="11">
        <f>E6664*Summary!$B$6</f>
        <v/>
      </c>
      <c r="H6664" s="11">
        <f>F6664*Summary!$B$7</f>
        <v/>
      </c>
      <c r="I6664" s="11">
        <f>MAX(0,N6664-M6664)</f>
        <v/>
      </c>
      <c r="J6664" s="11">
        <f>MAX(0,M6664-N6664)</f>
        <v/>
      </c>
      <c r="K6664" s="11">
        <f>O6664</f>
        <v/>
      </c>
      <c r="L6664" s="11">
        <f>L6663+IF(K6664&gt;0,K6664*Summary!$B$9,K6664/Summary!$B$9)</f>
        <v/>
      </c>
      <c r="M6664" s="11">
        <f>G6664+H6664</f>
        <v/>
      </c>
      <c r="N6664" s="11">
        <f>Summary!$C$16*Summary!$B$8</f>
        <v/>
      </c>
      <c r="O6664" s="11">
        <f>M6664-N6664</f>
        <v/>
      </c>
    </row>
    <row r="6665">
      <c r="A6665" s="9" t="n">
        <v>45569.625</v>
      </c>
      <c r="B6665" t="n">
        <v>10</v>
      </c>
      <c r="C6665" t="n">
        <v>4</v>
      </c>
      <c r="D6665" t="n">
        <v>15</v>
      </c>
      <c r="E6665" s="10" t="n">
        <v>0.110609</v>
      </c>
      <c r="F6665" s="10" t="n">
        <v>0.3863467647232235</v>
      </c>
      <c r="G6665" s="11">
        <f>E6665*Summary!$B$6</f>
        <v/>
      </c>
      <c r="H6665" s="11">
        <f>F6665*Summary!$B$7</f>
        <v/>
      </c>
      <c r="I6665" s="11">
        <f>MAX(0,N6665-M6665)</f>
        <v/>
      </c>
      <c r="J6665" s="11">
        <f>MAX(0,M6665-N6665)</f>
        <v/>
      </c>
      <c r="K6665" s="11">
        <f>O6665</f>
        <v/>
      </c>
      <c r="L6665" s="11">
        <f>L6664+IF(K6665&gt;0,K6665*Summary!$B$9,K6665/Summary!$B$9)</f>
        <v/>
      </c>
      <c r="M6665" s="11">
        <f>G6665+H6665</f>
        <v/>
      </c>
      <c r="N6665" s="11">
        <f>Summary!$C$16*Summary!$B$8</f>
        <v/>
      </c>
      <c r="O6665" s="11">
        <f>M6665-N6665</f>
        <v/>
      </c>
    </row>
    <row r="6666">
      <c r="A6666" s="9" t="n">
        <v>45569.66666666666</v>
      </c>
      <c r="B6666" t="n">
        <v>10</v>
      </c>
      <c r="C6666" t="n">
        <v>4</v>
      </c>
      <c r="D6666" t="n">
        <v>16</v>
      </c>
      <c r="E6666" s="10" t="n">
        <v>0.06048</v>
      </c>
      <c r="F6666" s="10" t="n">
        <v>0.381392587534221</v>
      </c>
      <c r="G6666" s="11">
        <f>E6666*Summary!$B$6</f>
        <v/>
      </c>
      <c r="H6666" s="11">
        <f>F6666*Summary!$B$7</f>
        <v/>
      </c>
      <c r="I6666" s="11">
        <f>MAX(0,N6666-M6666)</f>
        <v/>
      </c>
      <c r="J6666" s="11">
        <f>MAX(0,M6666-N6666)</f>
        <v/>
      </c>
      <c r="K6666" s="11">
        <f>O6666</f>
        <v/>
      </c>
      <c r="L6666" s="11">
        <f>L6665+IF(K6666&gt;0,K6666*Summary!$B$9,K6666/Summary!$B$9)</f>
        <v/>
      </c>
      <c r="M6666" s="11">
        <f>G6666+H6666</f>
        <v/>
      </c>
      <c r="N6666" s="11">
        <f>Summary!$C$16*Summary!$B$8</f>
        <v/>
      </c>
      <c r="O6666" s="11">
        <f>M6666-N6666</f>
        <v/>
      </c>
    </row>
    <row r="6667">
      <c r="A6667" s="9" t="n">
        <v>45569.70833333334</v>
      </c>
      <c r="B6667" t="n">
        <v>10</v>
      </c>
      <c r="C6667" t="n">
        <v>4</v>
      </c>
      <c r="D6667" t="n">
        <v>17</v>
      </c>
      <c r="E6667" s="10" t="n">
        <v>0.003888</v>
      </c>
      <c r="F6667" s="10" t="n">
        <v>0.3820250356860085</v>
      </c>
      <c r="G6667" s="11">
        <f>E6667*Summary!$B$6</f>
        <v/>
      </c>
      <c r="H6667" s="11">
        <f>F6667*Summary!$B$7</f>
        <v/>
      </c>
      <c r="I6667" s="11">
        <f>MAX(0,N6667-M6667)</f>
        <v/>
      </c>
      <c r="J6667" s="11">
        <f>MAX(0,M6667-N6667)</f>
        <v/>
      </c>
      <c r="K6667" s="11">
        <f>O6667</f>
        <v/>
      </c>
      <c r="L6667" s="11">
        <f>L6666+IF(K6667&gt;0,K6667*Summary!$B$9,K6667/Summary!$B$9)</f>
        <v/>
      </c>
      <c r="M6667" s="11">
        <f>G6667+H6667</f>
        <v/>
      </c>
      <c r="N6667" s="11">
        <f>Summary!$C$16*Summary!$B$8</f>
        <v/>
      </c>
      <c r="O6667" s="11">
        <f>M6667-N6667</f>
        <v/>
      </c>
    </row>
    <row r="6668">
      <c r="A6668" s="9" t="n">
        <v>45569.75</v>
      </c>
      <c r="B6668" t="n">
        <v>10</v>
      </c>
      <c r="C6668" t="n">
        <v>4</v>
      </c>
      <c r="D6668" t="n">
        <v>18</v>
      </c>
      <c r="E6668" s="10" t="n">
        <v>0</v>
      </c>
      <c r="F6668" s="10" t="n">
        <v>0.3908793098110344</v>
      </c>
      <c r="G6668" s="11">
        <f>E6668*Summary!$B$6</f>
        <v/>
      </c>
      <c r="H6668" s="11">
        <f>F6668*Summary!$B$7</f>
        <v/>
      </c>
      <c r="I6668" s="11">
        <f>MAX(0,N6668-M6668)</f>
        <v/>
      </c>
      <c r="J6668" s="11">
        <f>MAX(0,M6668-N6668)</f>
        <v/>
      </c>
      <c r="K6668" s="11">
        <f>O6668</f>
        <v/>
      </c>
      <c r="L6668" s="11">
        <f>L6667+IF(K6668&gt;0,K6668*Summary!$B$9,K6668/Summary!$B$9)</f>
        <v/>
      </c>
      <c r="M6668" s="11">
        <f>G6668+H6668</f>
        <v/>
      </c>
      <c r="N6668" s="11">
        <f>Summary!$C$16*Summary!$B$8</f>
        <v/>
      </c>
      <c r="O6668" s="11">
        <f>M6668-N6668</f>
        <v/>
      </c>
    </row>
    <row r="6669">
      <c r="A6669" s="9" t="n">
        <v>45569.79166666666</v>
      </c>
      <c r="B6669" t="n">
        <v>10</v>
      </c>
      <c r="C6669" t="n">
        <v>4</v>
      </c>
      <c r="D6669" t="n">
        <v>19</v>
      </c>
      <c r="E6669" s="10" t="n">
        <v>0</v>
      </c>
      <c r="F6669" s="10" t="n">
        <v>0.3869001568560377</v>
      </c>
      <c r="G6669" s="11">
        <f>E6669*Summary!$B$6</f>
        <v/>
      </c>
      <c r="H6669" s="11">
        <f>F6669*Summary!$B$7</f>
        <v/>
      </c>
      <c r="I6669" s="11">
        <f>MAX(0,N6669-M6669)</f>
        <v/>
      </c>
      <c r="J6669" s="11">
        <f>MAX(0,M6669-N6669)</f>
        <v/>
      </c>
      <c r="K6669" s="11">
        <f>O6669</f>
        <v/>
      </c>
      <c r="L6669" s="11">
        <f>L6668+IF(K6669&gt;0,K6669*Summary!$B$9,K6669/Summary!$B$9)</f>
        <v/>
      </c>
      <c r="M6669" s="11">
        <f>G6669+H6669</f>
        <v/>
      </c>
      <c r="N6669" s="11">
        <f>Summary!$C$16*Summary!$B$8</f>
        <v/>
      </c>
      <c r="O6669" s="11">
        <f>M6669-N6669</f>
        <v/>
      </c>
    </row>
    <row r="6670">
      <c r="A6670" s="9" t="n">
        <v>45569.83333333334</v>
      </c>
      <c r="B6670" t="n">
        <v>10</v>
      </c>
      <c r="C6670" t="n">
        <v>4</v>
      </c>
      <c r="D6670" t="n">
        <v>20</v>
      </c>
      <c r="E6670" s="10" t="n">
        <v>0</v>
      </c>
      <c r="F6670" s="10" t="n">
        <v>0.3857933725904094</v>
      </c>
      <c r="G6670" s="11">
        <f>E6670*Summary!$B$6</f>
        <v/>
      </c>
      <c r="H6670" s="11">
        <f>F6670*Summary!$B$7</f>
        <v/>
      </c>
      <c r="I6670" s="11">
        <f>MAX(0,N6670-M6670)</f>
        <v/>
      </c>
      <c r="J6670" s="11">
        <f>MAX(0,M6670-N6670)</f>
        <v/>
      </c>
      <c r="K6670" s="11">
        <f>O6670</f>
        <v/>
      </c>
      <c r="L6670" s="11">
        <f>L6669+IF(K6670&gt;0,K6670*Summary!$B$9,K6670/Summary!$B$9)</f>
        <v/>
      </c>
      <c r="M6670" s="11">
        <f>G6670+H6670</f>
        <v/>
      </c>
      <c r="N6670" s="11">
        <f>Summary!$C$16*Summary!$B$8</f>
        <v/>
      </c>
      <c r="O6670" s="11">
        <f>M6670-N6670</f>
        <v/>
      </c>
    </row>
    <row r="6671">
      <c r="A6671" s="9" t="n">
        <v>45569.875</v>
      </c>
      <c r="B6671" t="n">
        <v>10</v>
      </c>
      <c r="C6671" t="n">
        <v>4</v>
      </c>
      <c r="D6671" t="n">
        <v>21</v>
      </c>
      <c r="E6671" s="10" t="n">
        <v>0</v>
      </c>
      <c r="F6671" s="10" t="n">
        <v>0.3793634830472359</v>
      </c>
      <c r="G6671" s="11">
        <f>E6671*Summary!$B$6</f>
        <v/>
      </c>
      <c r="H6671" s="11">
        <f>F6671*Summary!$B$7</f>
        <v/>
      </c>
      <c r="I6671" s="11">
        <f>MAX(0,N6671-M6671)</f>
        <v/>
      </c>
      <c r="J6671" s="11">
        <f>MAX(0,M6671-N6671)</f>
        <v/>
      </c>
      <c r="K6671" s="11">
        <f>O6671</f>
        <v/>
      </c>
      <c r="L6671" s="11">
        <f>L6670+IF(K6671&gt;0,K6671*Summary!$B$9,K6671/Summary!$B$9)</f>
        <v/>
      </c>
      <c r="M6671" s="11">
        <f>G6671+H6671</f>
        <v/>
      </c>
      <c r="N6671" s="11">
        <f>Summary!$C$16*Summary!$B$8</f>
        <v/>
      </c>
      <c r="O6671" s="11">
        <f>M6671-N6671</f>
        <v/>
      </c>
    </row>
    <row r="6672">
      <c r="A6672" s="9" t="n">
        <v>45569.91666666666</v>
      </c>
      <c r="B6672" t="n">
        <v>10</v>
      </c>
      <c r="C6672" t="n">
        <v>4</v>
      </c>
      <c r="D6672" t="n">
        <v>22</v>
      </c>
      <c r="E6672" s="10" t="n">
        <v>0</v>
      </c>
      <c r="F6672" s="10" t="n">
        <v>0.3662401838976441</v>
      </c>
      <c r="G6672" s="11">
        <f>E6672*Summary!$B$6</f>
        <v/>
      </c>
      <c r="H6672" s="11">
        <f>F6672*Summary!$B$7</f>
        <v/>
      </c>
      <c r="I6672" s="11">
        <f>MAX(0,N6672-M6672)</f>
        <v/>
      </c>
      <c r="J6672" s="11">
        <f>MAX(0,M6672-N6672)</f>
        <v/>
      </c>
      <c r="K6672" s="11">
        <f>O6672</f>
        <v/>
      </c>
      <c r="L6672" s="11">
        <f>L6671+IF(K6672&gt;0,K6672*Summary!$B$9,K6672/Summary!$B$9)</f>
        <v/>
      </c>
      <c r="M6672" s="11">
        <f>G6672+H6672</f>
        <v/>
      </c>
      <c r="N6672" s="11">
        <f>Summary!$C$16*Summary!$B$8</f>
        <v/>
      </c>
      <c r="O6672" s="11">
        <f>M6672-N6672</f>
        <v/>
      </c>
    </row>
    <row r="6673">
      <c r="A6673" s="9" t="n">
        <v>45569.95833333334</v>
      </c>
      <c r="B6673" t="n">
        <v>10</v>
      </c>
      <c r="C6673" t="n">
        <v>4</v>
      </c>
      <c r="D6673" t="n">
        <v>23</v>
      </c>
      <c r="E6673" s="10" t="n">
        <v>0</v>
      </c>
      <c r="F6673" s="10" t="n">
        <v>0.3626826630438391</v>
      </c>
      <c r="G6673" s="11">
        <f>E6673*Summary!$B$6</f>
        <v/>
      </c>
      <c r="H6673" s="11">
        <f>F6673*Summary!$B$7</f>
        <v/>
      </c>
      <c r="I6673" s="11">
        <f>MAX(0,N6673-M6673)</f>
        <v/>
      </c>
      <c r="J6673" s="11">
        <f>MAX(0,M6673-N6673)</f>
        <v/>
      </c>
      <c r="K6673" s="11">
        <f>O6673</f>
        <v/>
      </c>
      <c r="L6673" s="11">
        <f>L6672+IF(K6673&gt;0,K6673*Summary!$B$9,K6673/Summary!$B$9)</f>
        <v/>
      </c>
      <c r="M6673" s="11">
        <f>G6673+H6673</f>
        <v/>
      </c>
      <c r="N6673" s="11">
        <f>Summary!$C$16*Summary!$B$8</f>
        <v/>
      </c>
      <c r="O6673" s="11">
        <f>M6673-N6673</f>
        <v/>
      </c>
    </row>
    <row r="6674">
      <c r="A6674" s="9" t="n">
        <v>45570</v>
      </c>
      <c r="B6674" t="n">
        <v>10</v>
      </c>
      <c r="C6674" t="n">
        <v>5</v>
      </c>
      <c r="D6674" t="n">
        <v>0</v>
      </c>
      <c r="E6674" s="10" t="n">
        <v>0</v>
      </c>
      <c r="F6674" s="10" t="n">
        <v>0.3635259272462225</v>
      </c>
      <c r="G6674" s="11">
        <f>E6674*Summary!$B$6</f>
        <v/>
      </c>
      <c r="H6674" s="11">
        <f>F6674*Summary!$B$7</f>
        <v/>
      </c>
      <c r="I6674" s="11">
        <f>MAX(0,N6674-M6674)</f>
        <v/>
      </c>
      <c r="J6674" s="11">
        <f>MAX(0,M6674-N6674)</f>
        <v/>
      </c>
      <c r="K6674" s="11">
        <f>O6674</f>
        <v/>
      </c>
      <c r="L6674" s="11">
        <f>L6673+IF(K6674&gt;0,K6674*Summary!$B$9,K6674/Summary!$B$9)</f>
        <v/>
      </c>
      <c r="M6674" s="11">
        <f>G6674+H6674</f>
        <v/>
      </c>
      <c r="N6674" s="11">
        <f>Summary!$C$16*Summary!$B$8</f>
        <v/>
      </c>
      <c r="O6674" s="11">
        <f>M6674-N6674</f>
        <v/>
      </c>
    </row>
    <row r="6675">
      <c r="A6675" s="9" t="n">
        <v>45570.04166666666</v>
      </c>
      <c r="B6675" t="n">
        <v>10</v>
      </c>
      <c r="C6675" t="n">
        <v>5</v>
      </c>
      <c r="D6675" t="n">
        <v>1</v>
      </c>
      <c r="E6675" s="10" t="n">
        <v>0</v>
      </c>
      <c r="F6675" s="10" t="n">
        <v>0.3574913177979163</v>
      </c>
      <c r="G6675" s="11">
        <f>E6675*Summary!$B$6</f>
        <v/>
      </c>
      <c r="H6675" s="11">
        <f>F6675*Summary!$B$7</f>
        <v/>
      </c>
      <c r="I6675" s="11">
        <f>MAX(0,N6675-M6675)</f>
        <v/>
      </c>
      <c r="J6675" s="11">
        <f>MAX(0,M6675-N6675)</f>
        <v/>
      </c>
      <c r="K6675" s="11">
        <f>O6675</f>
        <v/>
      </c>
      <c r="L6675" s="11">
        <f>L6674+IF(K6675&gt;0,K6675*Summary!$B$9,K6675/Summary!$B$9)</f>
        <v/>
      </c>
      <c r="M6675" s="11">
        <f>G6675+H6675</f>
        <v/>
      </c>
      <c r="N6675" s="11">
        <f>Summary!$C$16*Summary!$B$8</f>
        <v/>
      </c>
      <c r="O6675" s="11">
        <f>M6675-N6675</f>
        <v/>
      </c>
    </row>
    <row r="6676">
      <c r="A6676" s="9" t="n">
        <v>45570.08333333334</v>
      </c>
      <c r="B6676" t="n">
        <v>10</v>
      </c>
      <c r="C6676" t="n">
        <v>5</v>
      </c>
      <c r="D6676" t="n">
        <v>2</v>
      </c>
      <c r="E6676" s="10" t="n">
        <v>0</v>
      </c>
      <c r="F6676" s="10" t="n">
        <v>0.3578338938801345</v>
      </c>
      <c r="G6676" s="11">
        <f>E6676*Summary!$B$6</f>
        <v/>
      </c>
      <c r="H6676" s="11">
        <f>F6676*Summary!$B$7</f>
        <v/>
      </c>
      <c r="I6676" s="11">
        <f>MAX(0,N6676-M6676)</f>
        <v/>
      </c>
      <c r="J6676" s="11">
        <f>MAX(0,M6676-N6676)</f>
        <v/>
      </c>
      <c r="K6676" s="11">
        <f>O6676</f>
        <v/>
      </c>
      <c r="L6676" s="11">
        <f>L6675+IF(K6676&gt;0,K6676*Summary!$B$9,K6676/Summary!$B$9)</f>
        <v/>
      </c>
      <c r="M6676" s="11">
        <f>G6676+H6676</f>
        <v/>
      </c>
      <c r="N6676" s="11">
        <f>Summary!$C$16*Summary!$B$8</f>
        <v/>
      </c>
      <c r="O6676" s="11">
        <f>M6676-N6676</f>
        <v/>
      </c>
    </row>
    <row r="6677">
      <c r="A6677" s="9" t="n">
        <v>45570.125</v>
      </c>
      <c r="B6677" t="n">
        <v>10</v>
      </c>
      <c r="C6677" t="n">
        <v>5</v>
      </c>
      <c r="D6677" t="n">
        <v>3</v>
      </c>
      <c r="E6677" s="10" t="n">
        <v>0</v>
      </c>
      <c r="F6677" s="10" t="n">
        <v>0.3588089181141403</v>
      </c>
      <c r="G6677" s="11">
        <f>E6677*Summary!$B$6</f>
        <v/>
      </c>
      <c r="H6677" s="11">
        <f>F6677*Summary!$B$7</f>
        <v/>
      </c>
      <c r="I6677" s="11">
        <f>MAX(0,N6677-M6677)</f>
        <v/>
      </c>
      <c r="J6677" s="11">
        <f>MAX(0,M6677-N6677)</f>
        <v/>
      </c>
      <c r="K6677" s="11">
        <f>O6677</f>
        <v/>
      </c>
      <c r="L6677" s="11">
        <f>L6676+IF(K6677&gt;0,K6677*Summary!$B$9,K6677/Summary!$B$9)</f>
        <v/>
      </c>
      <c r="M6677" s="11">
        <f>G6677+H6677</f>
        <v/>
      </c>
      <c r="N6677" s="11">
        <f>Summary!$C$16*Summary!$B$8</f>
        <v/>
      </c>
      <c r="O6677" s="11">
        <f>M6677-N6677</f>
        <v/>
      </c>
    </row>
    <row r="6678">
      <c r="A6678" s="9" t="n">
        <v>45570.16666666666</v>
      </c>
      <c r="B6678" t="n">
        <v>10</v>
      </c>
      <c r="C6678" t="n">
        <v>5</v>
      </c>
      <c r="D6678" t="n">
        <v>4</v>
      </c>
      <c r="E6678" s="10" t="n">
        <v>0</v>
      </c>
      <c r="F6678" s="10" t="n">
        <v>0.3614968227592375</v>
      </c>
      <c r="G6678" s="11">
        <f>E6678*Summary!$B$6</f>
        <v/>
      </c>
      <c r="H6678" s="11">
        <f>F6678*Summary!$B$7</f>
        <v/>
      </c>
      <c r="I6678" s="11">
        <f>MAX(0,N6678-M6678)</f>
        <v/>
      </c>
      <c r="J6678" s="11">
        <f>MAX(0,M6678-N6678)</f>
        <v/>
      </c>
      <c r="K6678" s="11">
        <f>O6678</f>
        <v/>
      </c>
      <c r="L6678" s="11">
        <f>L6677+IF(K6678&gt;0,K6678*Summary!$B$9,K6678/Summary!$B$9)</f>
        <v/>
      </c>
      <c r="M6678" s="11">
        <f>G6678+H6678</f>
        <v/>
      </c>
      <c r="N6678" s="11">
        <f>Summary!$C$16*Summary!$B$8</f>
        <v/>
      </c>
      <c r="O6678" s="11">
        <f>M6678-N6678</f>
        <v/>
      </c>
    </row>
    <row r="6679">
      <c r="A6679" s="9" t="n">
        <v>45570.20833333334</v>
      </c>
      <c r="B6679" t="n">
        <v>10</v>
      </c>
      <c r="C6679" t="n">
        <v>5</v>
      </c>
      <c r="D6679" t="n">
        <v>5</v>
      </c>
      <c r="E6679" s="10" t="n">
        <v>0</v>
      </c>
      <c r="F6679" s="10" t="n">
        <v>0.3647117675308242</v>
      </c>
      <c r="G6679" s="11">
        <f>E6679*Summary!$B$6</f>
        <v/>
      </c>
      <c r="H6679" s="11">
        <f>F6679*Summary!$B$7</f>
        <v/>
      </c>
      <c r="I6679" s="11">
        <f>MAX(0,N6679-M6679)</f>
        <v/>
      </c>
      <c r="J6679" s="11">
        <f>MAX(0,M6679-N6679)</f>
        <v/>
      </c>
      <c r="K6679" s="11">
        <f>O6679</f>
        <v/>
      </c>
      <c r="L6679" s="11">
        <f>L6678+IF(K6679&gt;0,K6679*Summary!$B$9,K6679/Summary!$B$9)</f>
        <v/>
      </c>
      <c r="M6679" s="11">
        <f>G6679+H6679</f>
        <v/>
      </c>
      <c r="N6679" s="11">
        <f>Summary!$C$16*Summary!$B$8</f>
        <v/>
      </c>
      <c r="O6679" s="11">
        <f>M6679-N6679</f>
        <v/>
      </c>
    </row>
    <row r="6680">
      <c r="A6680" s="9" t="n">
        <v>45570.25</v>
      </c>
      <c r="B6680" t="n">
        <v>10</v>
      </c>
      <c r="C6680" t="n">
        <v>5</v>
      </c>
      <c r="D6680" t="n">
        <v>6</v>
      </c>
      <c r="E6680" s="10" t="n">
        <v>0.006334</v>
      </c>
      <c r="F6680" s="10" t="n">
        <v>0.3586771580825179</v>
      </c>
      <c r="G6680" s="11">
        <f>E6680*Summary!$B$6</f>
        <v/>
      </c>
      <c r="H6680" s="11">
        <f>F6680*Summary!$B$7</f>
        <v/>
      </c>
      <c r="I6680" s="11">
        <f>MAX(0,N6680-M6680)</f>
        <v/>
      </c>
      <c r="J6680" s="11">
        <f>MAX(0,M6680-N6680)</f>
        <v/>
      </c>
      <c r="K6680" s="11">
        <f>O6680</f>
        <v/>
      </c>
      <c r="L6680" s="11">
        <f>L6679+IF(K6680&gt;0,K6680*Summary!$B$9,K6680/Summary!$B$9)</f>
        <v/>
      </c>
      <c r="M6680" s="11">
        <f>G6680+H6680</f>
        <v/>
      </c>
      <c r="N6680" s="11">
        <f>Summary!$C$16*Summary!$B$8</f>
        <v/>
      </c>
      <c r="O6680" s="11">
        <f>M6680-N6680</f>
        <v/>
      </c>
    </row>
    <row r="6681">
      <c r="A6681" s="9" t="n">
        <v>45570.29166666666</v>
      </c>
      <c r="B6681" t="n">
        <v>10</v>
      </c>
      <c r="C6681" t="n">
        <v>5</v>
      </c>
      <c r="D6681" t="n">
        <v>7</v>
      </c>
      <c r="E6681" s="10" t="n">
        <v>0.072782</v>
      </c>
      <c r="F6681" s="10" t="n">
        <v>0.3306913273659186</v>
      </c>
      <c r="G6681" s="11">
        <f>E6681*Summary!$B$6</f>
        <v/>
      </c>
      <c r="H6681" s="11">
        <f>F6681*Summary!$B$7</f>
        <v/>
      </c>
      <c r="I6681" s="11">
        <f>MAX(0,N6681-M6681)</f>
        <v/>
      </c>
      <c r="J6681" s="11">
        <f>MAX(0,M6681-N6681)</f>
        <v/>
      </c>
      <c r="K6681" s="11">
        <f>O6681</f>
        <v/>
      </c>
      <c r="L6681" s="11">
        <f>L6680+IF(K6681&gt;0,K6681*Summary!$B$9,K6681/Summary!$B$9)</f>
        <v/>
      </c>
      <c r="M6681" s="11">
        <f>G6681+H6681</f>
        <v/>
      </c>
      <c r="N6681" s="11">
        <f>Summary!$C$16*Summary!$B$8</f>
        <v/>
      </c>
      <c r="O6681" s="11">
        <f>M6681-N6681</f>
        <v/>
      </c>
    </row>
    <row r="6682">
      <c r="A6682" s="9" t="n">
        <v>45570.33333333334</v>
      </c>
      <c r="B6682" t="n">
        <v>10</v>
      </c>
      <c r="C6682" t="n">
        <v>5</v>
      </c>
      <c r="D6682" t="n">
        <v>8</v>
      </c>
      <c r="E6682" s="10" t="n">
        <v>0.259582</v>
      </c>
      <c r="F6682" s="10" t="n">
        <v>0.3026000886240213</v>
      </c>
      <c r="G6682" s="11">
        <f>E6682*Summary!$B$6</f>
        <v/>
      </c>
      <c r="H6682" s="11">
        <f>F6682*Summary!$B$7</f>
        <v/>
      </c>
      <c r="I6682" s="11">
        <f>MAX(0,N6682-M6682)</f>
        <v/>
      </c>
      <c r="J6682" s="11">
        <f>MAX(0,M6682-N6682)</f>
        <v/>
      </c>
      <c r="K6682" s="11">
        <f>O6682</f>
        <v/>
      </c>
      <c r="L6682" s="11">
        <f>L6681+IF(K6682&gt;0,K6682*Summary!$B$9,K6682/Summary!$B$9)</f>
        <v/>
      </c>
      <c r="M6682" s="11">
        <f>G6682+H6682</f>
        <v/>
      </c>
      <c r="N6682" s="11">
        <f>Summary!$C$16*Summary!$B$8</f>
        <v/>
      </c>
      <c r="O6682" s="11">
        <f>M6682-N6682</f>
        <v/>
      </c>
    </row>
    <row r="6683">
      <c r="A6683" s="9" t="n">
        <v>45570.375</v>
      </c>
      <c r="B6683" t="n">
        <v>10</v>
      </c>
      <c r="C6683" t="n">
        <v>5</v>
      </c>
      <c r="D6683" t="n">
        <v>9</v>
      </c>
      <c r="E6683" s="10" t="n">
        <v>0.421855</v>
      </c>
      <c r="F6683" s="10" t="n">
        <v>0.2825462118110908</v>
      </c>
      <c r="G6683" s="11">
        <f>E6683*Summary!$B$6</f>
        <v/>
      </c>
      <c r="H6683" s="11">
        <f>F6683*Summary!$B$7</f>
        <v/>
      </c>
      <c r="I6683" s="11">
        <f>MAX(0,N6683-M6683)</f>
        <v/>
      </c>
      <c r="J6683" s="11">
        <f>MAX(0,M6683-N6683)</f>
        <v/>
      </c>
      <c r="K6683" s="11">
        <f>O6683</f>
        <v/>
      </c>
      <c r="L6683" s="11">
        <f>L6682+IF(K6683&gt;0,K6683*Summary!$B$9,K6683/Summary!$B$9)</f>
        <v/>
      </c>
      <c r="M6683" s="11">
        <f>G6683+H6683</f>
        <v/>
      </c>
      <c r="N6683" s="11">
        <f>Summary!$C$16*Summary!$B$8</f>
        <v/>
      </c>
      <c r="O6683" s="11">
        <f>M6683-N6683</f>
        <v/>
      </c>
    </row>
    <row r="6684">
      <c r="A6684" s="9" t="n">
        <v>45570.41666666666</v>
      </c>
      <c r="B6684" t="n">
        <v>10</v>
      </c>
      <c r="C6684" t="n">
        <v>5</v>
      </c>
      <c r="D6684" t="n">
        <v>10</v>
      </c>
      <c r="E6684" s="10" t="n">
        <v>0.495405</v>
      </c>
      <c r="F6684" s="10" t="n">
        <v>0.2658390398013695</v>
      </c>
      <c r="G6684" s="11">
        <f>E6684*Summary!$B$6</f>
        <v/>
      </c>
      <c r="H6684" s="11">
        <f>F6684*Summary!$B$7</f>
        <v/>
      </c>
      <c r="I6684" s="11">
        <f>MAX(0,N6684-M6684)</f>
        <v/>
      </c>
      <c r="J6684" s="11">
        <f>MAX(0,M6684-N6684)</f>
        <v/>
      </c>
      <c r="K6684" s="11">
        <f>O6684</f>
        <v/>
      </c>
      <c r="L6684" s="11">
        <f>L6683+IF(K6684&gt;0,K6684*Summary!$B$9,K6684/Summary!$B$9)</f>
        <v/>
      </c>
      <c r="M6684" s="11">
        <f>G6684+H6684</f>
        <v/>
      </c>
      <c r="N6684" s="11">
        <f>Summary!$C$16*Summary!$B$8</f>
        <v/>
      </c>
      <c r="O6684" s="11">
        <f>M6684-N6684</f>
        <v/>
      </c>
    </row>
    <row r="6685">
      <c r="A6685" s="9" t="n">
        <v>45570.45833333334</v>
      </c>
      <c r="B6685" t="n">
        <v>10</v>
      </c>
      <c r="C6685" t="n">
        <v>5</v>
      </c>
      <c r="D6685" t="n">
        <v>11</v>
      </c>
      <c r="E6685" s="10" t="n">
        <v>0.580915</v>
      </c>
      <c r="F6685" s="10" t="n">
        <v>0.2536380608731346</v>
      </c>
      <c r="G6685" s="11">
        <f>E6685*Summary!$B$6</f>
        <v/>
      </c>
      <c r="H6685" s="11">
        <f>F6685*Summary!$B$7</f>
        <v/>
      </c>
      <c r="I6685" s="11">
        <f>MAX(0,N6685-M6685)</f>
        <v/>
      </c>
      <c r="J6685" s="11">
        <f>MAX(0,M6685-N6685)</f>
        <v/>
      </c>
      <c r="K6685" s="11">
        <f>O6685</f>
        <v/>
      </c>
      <c r="L6685" s="11">
        <f>L6684+IF(K6685&gt;0,K6685*Summary!$B$9,K6685/Summary!$B$9)</f>
        <v/>
      </c>
      <c r="M6685" s="11">
        <f>G6685+H6685</f>
        <v/>
      </c>
      <c r="N6685" s="11">
        <f>Summary!$C$16*Summary!$B$8</f>
        <v/>
      </c>
      <c r="O6685" s="11">
        <f>M6685-N6685</f>
        <v/>
      </c>
    </row>
    <row r="6686">
      <c r="A6686" s="9" t="n">
        <v>45570.5</v>
      </c>
      <c r="B6686" t="n">
        <v>10</v>
      </c>
      <c r="C6686" t="n">
        <v>5</v>
      </c>
      <c r="D6686" t="n">
        <v>12</v>
      </c>
      <c r="E6686" s="10" t="n">
        <v>0.570532</v>
      </c>
      <c r="F6686" s="10" t="n">
        <v>0.2436770024824806</v>
      </c>
      <c r="G6686" s="11">
        <f>E6686*Summary!$B$6</f>
        <v/>
      </c>
      <c r="H6686" s="11">
        <f>F6686*Summary!$B$7</f>
        <v/>
      </c>
      <c r="I6686" s="11">
        <f>MAX(0,N6686-M6686)</f>
        <v/>
      </c>
      <c r="J6686" s="11">
        <f>MAX(0,M6686-N6686)</f>
        <v/>
      </c>
      <c r="K6686" s="11">
        <f>O6686</f>
        <v/>
      </c>
      <c r="L6686" s="11">
        <f>L6685+IF(K6686&gt;0,K6686*Summary!$B$9,K6686/Summary!$B$9)</f>
        <v/>
      </c>
      <c r="M6686" s="11">
        <f>G6686+H6686</f>
        <v/>
      </c>
      <c r="N6686" s="11">
        <f>Summary!$C$16*Summary!$B$8</f>
        <v/>
      </c>
      <c r="O6686" s="11">
        <f>M6686-N6686</f>
        <v/>
      </c>
    </row>
    <row r="6687">
      <c r="A6687" s="9" t="n">
        <v>45570.54166666666</v>
      </c>
      <c r="B6687" t="n">
        <v>10</v>
      </c>
      <c r="C6687" t="n">
        <v>5</v>
      </c>
      <c r="D6687" t="n">
        <v>13</v>
      </c>
      <c r="E6687" s="10" t="n">
        <v>0.512818</v>
      </c>
      <c r="F6687" s="10" t="n">
        <v>0.2406728737614897</v>
      </c>
      <c r="G6687" s="11">
        <f>E6687*Summary!$B$6</f>
        <v/>
      </c>
      <c r="H6687" s="11">
        <f>F6687*Summary!$B$7</f>
        <v/>
      </c>
      <c r="I6687" s="11">
        <f>MAX(0,N6687-M6687)</f>
        <v/>
      </c>
      <c r="J6687" s="11">
        <f>MAX(0,M6687-N6687)</f>
        <v/>
      </c>
      <c r="K6687" s="11">
        <f>O6687</f>
        <v/>
      </c>
      <c r="L6687" s="11">
        <f>L6686+IF(K6687&gt;0,K6687*Summary!$B$9,K6687/Summary!$B$9)</f>
        <v/>
      </c>
      <c r="M6687" s="11">
        <f>G6687+H6687</f>
        <v/>
      </c>
      <c r="N6687" s="11">
        <f>Summary!$C$16*Summary!$B$8</f>
        <v/>
      </c>
      <c r="O6687" s="11">
        <f>M6687-N6687</f>
        <v/>
      </c>
    </row>
    <row r="6688">
      <c r="A6688" s="9" t="n">
        <v>45570.58333333334</v>
      </c>
      <c r="B6688" t="n">
        <v>10</v>
      </c>
      <c r="C6688" t="n">
        <v>5</v>
      </c>
      <c r="D6688" t="n">
        <v>14</v>
      </c>
      <c r="E6688" s="10" t="n">
        <v>0.410498</v>
      </c>
      <c r="F6688" s="10" t="n">
        <v>0.2455743469378432</v>
      </c>
      <c r="G6688" s="11">
        <f>E6688*Summary!$B$6</f>
        <v/>
      </c>
      <c r="H6688" s="11">
        <f>F6688*Summary!$B$7</f>
        <v/>
      </c>
      <c r="I6688" s="11">
        <f>MAX(0,N6688-M6688)</f>
        <v/>
      </c>
      <c r="J6688" s="11">
        <f>MAX(0,M6688-N6688)</f>
        <v/>
      </c>
      <c r="K6688" s="11">
        <f>O6688</f>
        <v/>
      </c>
      <c r="L6688" s="11">
        <f>L6687+IF(K6688&gt;0,K6688*Summary!$B$9,K6688/Summary!$B$9)</f>
        <v/>
      </c>
      <c r="M6688" s="11">
        <f>G6688+H6688</f>
        <v/>
      </c>
      <c r="N6688" s="11">
        <f>Summary!$C$16*Summary!$B$8</f>
        <v/>
      </c>
      <c r="O6688" s="11">
        <f>M6688-N6688</f>
        <v/>
      </c>
    </row>
    <row r="6689">
      <c r="A6689" s="9" t="n">
        <v>45570.625</v>
      </c>
      <c r="B6689" t="n">
        <v>10</v>
      </c>
      <c r="C6689" t="n">
        <v>5</v>
      </c>
      <c r="D6689" t="n">
        <v>15</v>
      </c>
      <c r="E6689" s="10" t="n">
        <v>0.217088</v>
      </c>
      <c r="F6689" s="10" t="n">
        <v>0.2503440600825744</v>
      </c>
      <c r="G6689" s="11">
        <f>E6689*Summary!$B$6</f>
        <v/>
      </c>
      <c r="H6689" s="11">
        <f>F6689*Summary!$B$7</f>
        <v/>
      </c>
      <c r="I6689" s="11">
        <f>MAX(0,N6689-M6689)</f>
        <v/>
      </c>
      <c r="J6689" s="11">
        <f>MAX(0,M6689-N6689)</f>
        <v/>
      </c>
      <c r="K6689" s="11">
        <f>O6689</f>
        <v/>
      </c>
      <c r="L6689" s="11">
        <f>L6688+IF(K6689&gt;0,K6689*Summary!$B$9,K6689/Summary!$B$9)</f>
        <v/>
      </c>
      <c r="M6689" s="11">
        <f>G6689+H6689</f>
        <v/>
      </c>
      <c r="N6689" s="11">
        <f>Summary!$C$16*Summary!$B$8</f>
        <v/>
      </c>
      <c r="O6689" s="11">
        <f>M6689-N6689</f>
        <v/>
      </c>
    </row>
    <row r="6690">
      <c r="A6690" s="9" t="n">
        <v>45570.66666666666</v>
      </c>
      <c r="B6690" t="n">
        <v>10</v>
      </c>
      <c r="C6690" t="n">
        <v>5</v>
      </c>
      <c r="D6690" t="n">
        <v>16</v>
      </c>
      <c r="E6690" s="10" t="n">
        <v>0.064554</v>
      </c>
      <c r="F6690" s="10" t="n">
        <v>0.2606740465617712</v>
      </c>
      <c r="G6690" s="11">
        <f>E6690*Summary!$B$6</f>
        <v/>
      </c>
      <c r="H6690" s="11">
        <f>F6690*Summary!$B$7</f>
        <v/>
      </c>
      <c r="I6690" s="11">
        <f>MAX(0,N6690-M6690)</f>
        <v/>
      </c>
      <c r="J6690" s="11">
        <f>MAX(0,M6690-N6690)</f>
        <v/>
      </c>
      <c r="K6690" s="11">
        <f>O6690</f>
        <v/>
      </c>
      <c r="L6690" s="11">
        <f>L6689+IF(K6690&gt;0,K6690*Summary!$B$9,K6690/Summary!$B$9)</f>
        <v/>
      </c>
      <c r="M6690" s="11">
        <f>G6690+H6690</f>
        <v/>
      </c>
      <c r="N6690" s="11">
        <f>Summary!$C$16*Summary!$B$8</f>
        <v/>
      </c>
      <c r="O6690" s="11">
        <f>M6690-N6690</f>
        <v/>
      </c>
    </row>
    <row r="6691">
      <c r="A6691" s="9" t="n">
        <v>45570.70833333334</v>
      </c>
      <c r="B6691" t="n">
        <v>10</v>
      </c>
      <c r="C6691" t="n">
        <v>5</v>
      </c>
      <c r="D6691" t="n">
        <v>17</v>
      </c>
      <c r="E6691" s="10" t="n">
        <v>0</v>
      </c>
      <c r="F6691" s="10" t="n">
        <v>0.2881591891582054</v>
      </c>
      <c r="G6691" s="11">
        <f>E6691*Summary!$B$6</f>
        <v/>
      </c>
      <c r="H6691" s="11">
        <f>F6691*Summary!$B$7</f>
        <v/>
      </c>
      <c r="I6691" s="11">
        <f>MAX(0,N6691-M6691)</f>
        <v/>
      </c>
      <c r="J6691" s="11">
        <f>MAX(0,M6691-N6691)</f>
        <v/>
      </c>
      <c r="K6691" s="11">
        <f>O6691</f>
        <v/>
      </c>
      <c r="L6691" s="11">
        <f>L6690+IF(K6691&gt;0,K6691*Summary!$B$9,K6691/Summary!$B$9)</f>
        <v/>
      </c>
      <c r="M6691" s="11">
        <f>G6691+H6691</f>
        <v/>
      </c>
      <c r="N6691" s="11">
        <f>Summary!$C$16*Summary!$B$8</f>
        <v/>
      </c>
      <c r="O6691" s="11">
        <f>M6691-N6691</f>
        <v/>
      </c>
    </row>
    <row r="6692">
      <c r="A6692" s="9" t="n">
        <v>45570.75</v>
      </c>
      <c r="B6692" t="n">
        <v>10</v>
      </c>
      <c r="C6692" t="n">
        <v>5</v>
      </c>
      <c r="D6692" t="n">
        <v>18</v>
      </c>
      <c r="E6692" s="10" t="n">
        <v>0</v>
      </c>
      <c r="F6692" s="10" t="n">
        <v>0.3176997882479491</v>
      </c>
      <c r="G6692" s="11">
        <f>E6692*Summary!$B$6</f>
        <v/>
      </c>
      <c r="H6692" s="11">
        <f>F6692*Summary!$B$7</f>
        <v/>
      </c>
      <c r="I6692" s="11">
        <f>MAX(0,N6692-M6692)</f>
        <v/>
      </c>
      <c r="J6692" s="11">
        <f>MAX(0,M6692-N6692)</f>
        <v/>
      </c>
      <c r="K6692" s="11">
        <f>O6692</f>
        <v/>
      </c>
      <c r="L6692" s="11">
        <f>L6691+IF(K6692&gt;0,K6692*Summary!$B$9,K6692/Summary!$B$9)</f>
        <v/>
      </c>
      <c r="M6692" s="11">
        <f>G6692+H6692</f>
        <v/>
      </c>
      <c r="N6692" s="11">
        <f>Summary!$C$16*Summary!$B$8</f>
        <v/>
      </c>
      <c r="O6692" s="11">
        <f>M6692-N6692</f>
        <v/>
      </c>
    </row>
    <row r="6693">
      <c r="A6693" s="9" t="n">
        <v>45570.79166666666</v>
      </c>
      <c r="B6693" t="n">
        <v>10</v>
      </c>
      <c r="C6693" t="n">
        <v>5</v>
      </c>
      <c r="D6693" t="n">
        <v>19</v>
      </c>
      <c r="E6693" s="10" t="n">
        <v>0</v>
      </c>
      <c r="F6693" s="10" t="n">
        <v>0.3388340973201833</v>
      </c>
      <c r="G6693" s="11">
        <f>E6693*Summary!$B$6</f>
        <v/>
      </c>
      <c r="H6693" s="11">
        <f>F6693*Summary!$B$7</f>
        <v/>
      </c>
      <c r="I6693" s="11">
        <f>MAX(0,N6693-M6693)</f>
        <v/>
      </c>
      <c r="J6693" s="11">
        <f>MAX(0,M6693-N6693)</f>
        <v/>
      </c>
      <c r="K6693" s="11">
        <f>O6693</f>
        <v/>
      </c>
      <c r="L6693" s="11">
        <f>L6692+IF(K6693&gt;0,K6693*Summary!$B$9,K6693/Summary!$B$9)</f>
        <v/>
      </c>
      <c r="M6693" s="11">
        <f>G6693+H6693</f>
        <v/>
      </c>
      <c r="N6693" s="11">
        <f>Summary!$C$16*Summary!$B$8</f>
        <v/>
      </c>
      <c r="O6693" s="11">
        <f>M6693-N6693</f>
        <v/>
      </c>
    </row>
    <row r="6694">
      <c r="A6694" s="9" t="n">
        <v>45570.83333333334</v>
      </c>
      <c r="B6694" t="n">
        <v>10</v>
      </c>
      <c r="C6694" t="n">
        <v>5</v>
      </c>
      <c r="D6694" t="n">
        <v>20</v>
      </c>
      <c r="E6694" s="10" t="n">
        <v>0</v>
      </c>
      <c r="F6694" s="10" t="n">
        <v>0.3463444191226606</v>
      </c>
      <c r="G6694" s="11">
        <f>E6694*Summary!$B$6</f>
        <v/>
      </c>
      <c r="H6694" s="11">
        <f>F6694*Summary!$B$7</f>
        <v/>
      </c>
      <c r="I6694" s="11">
        <f>MAX(0,N6694-M6694)</f>
        <v/>
      </c>
      <c r="J6694" s="11">
        <f>MAX(0,M6694-N6694)</f>
        <v/>
      </c>
      <c r="K6694" s="11">
        <f>O6694</f>
        <v/>
      </c>
      <c r="L6694" s="11">
        <f>L6693+IF(K6694&gt;0,K6694*Summary!$B$9,K6694/Summary!$B$9)</f>
        <v/>
      </c>
      <c r="M6694" s="11">
        <f>G6694+H6694</f>
        <v/>
      </c>
      <c r="N6694" s="11">
        <f>Summary!$C$16*Summary!$B$8</f>
        <v/>
      </c>
      <c r="O6694" s="11">
        <f>M6694-N6694</f>
        <v/>
      </c>
    </row>
    <row r="6695">
      <c r="A6695" s="9" t="n">
        <v>45570.875</v>
      </c>
      <c r="B6695" t="n">
        <v>10</v>
      </c>
      <c r="C6695" t="n">
        <v>5</v>
      </c>
      <c r="D6695" t="n">
        <v>21</v>
      </c>
      <c r="E6695" s="10" t="n">
        <v>0</v>
      </c>
      <c r="F6695" s="10" t="n">
        <v>0.3495330118879229</v>
      </c>
      <c r="G6695" s="11">
        <f>E6695*Summary!$B$6</f>
        <v/>
      </c>
      <c r="H6695" s="11">
        <f>F6695*Summary!$B$7</f>
        <v/>
      </c>
      <c r="I6695" s="11">
        <f>MAX(0,N6695-M6695)</f>
        <v/>
      </c>
      <c r="J6695" s="11">
        <f>MAX(0,M6695-N6695)</f>
        <v/>
      </c>
      <c r="K6695" s="11">
        <f>O6695</f>
        <v/>
      </c>
      <c r="L6695" s="11">
        <f>L6694+IF(K6695&gt;0,K6695*Summary!$B$9,K6695/Summary!$B$9)</f>
        <v/>
      </c>
      <c r="M6695" s="11">
        <f>G6695+H6695</f>
        <v/>
      </c>
      <c r="N6695" s="11">
        <f>Summary!$C$16*Summary!$B$8</f>
        <v/>
      </c>
      <c r="O6695" s="11">
        <f>M6695-N6695</f>
        <v/>
      </c>
    </row>
    <row r="6696">
      <c r="A6696" s="9" t="n">
        <v>45570.91666666666</v>
      </c>
      <c r="B6696" t="n">
        <v>10</v>
      </c>
      <c r="C6696" t="n">
        <v>5</v>
      </c>
      <c r="D6696" t="n">
        <v>22</v>
      </c>
      <c r="E6696" s="10" t="n">
        <v>0</v>
      </c>
      <c r="F6696" s="10" t="n">
        <v>0.3487160996918639</v>
      </c>
      <c r="G6696" s="11">
        <f>E6696*Summary!$B$6</f>
        <v/>
      </c>
      <c r="H6696" s="11">
        <f>F6696*Summary!$B$7</f>
        <v/>
      </c>
      <c r="I6696" s="11">
        <f>MAX(0,N6696-M6696)</f>
        <v/>
      </c>
      <c r="J6696" s="11">
        <f>MAX(0,M6696-N6696)</f>
        <v/>
      </c>
      <c r="K6696" s="11">
        <f>O6696</f>
        <v/>
      </c>
      <c r="L6696" s="11">
        <f>L6695+IF(K6696&gt;0,K6696*Summary!$B$9,K6696/Summary!$B$9)</f>
        <v/>
      </c>
      <c r="M6696" s="11">
        <f>G6696+H6696</f>
        <v/>
      </c>
      <c r="N6696" s="11">
        <f>Summary!$C$16*Summary!$B$8</f>
        <v/>
      </c>
      <c r="O6696" s="11">
        <f>M6696-N6696</f>
        <v/>
      </c>
    </row>
    <row r="6697">
      <c r="A6697" s="9" t="n">
        <v>45570.95833333334</v>
      </c>
      <c r="B6697" t="n">
        <v>10</v>
      </c>
      <c r="C6697" t="n">
        <v>5</v>
      </c>
      <c r="D6697" t="n">
        <v>23</v>
      </c>
      <c r="E6697" s="10" t="n">
        <v>0</v>
      </c>
      <c r="F6697" s="10" t="n">
        <v>0.3556466773552026</v>
      </c>
      <c r="G6697" s="11">
        <f>E6697*Summary!$B$6</f>
        <v/>
      </c>
      <c r="H6697" s="11">
        <f>F6697*Summary!$B$7</f>
        <v/>
      </c>
      <c r="I6697" s="11">
        <f>MAX(0,N6697-M6697)</f>
        <v/>
      </c>
      <c r="J6697" s="11">
        <f>MAX(0,M6697-N6697)</f>
        <v/>
      </c>
      <c r="K6697" s="11">
        <f>O6697</f>
        <v/>
      </c>
      <c r="L6697" s="11">
        <f>L6696+IF(K6697&gt;0,K6697*Summary!$B$9,K6697/Summary!$B$9)</f>
        <v/>
      </c>
      <c r="M6697" s="11">
        <f>G6697+H6697</f>
        <v/>
      </c>
      <c r="N6697" s="11">
        <f>Summary!$C$16*Summary!$B$8</f>
        <v/>
      </c>
      <c r="O6697" s="11">
        <f>M6697-N6697</f>
        <v/>
      </c>
    </row>
    <row r="6698">
      <c r="A6698" s="9" t="n">
        <v>45571</v>
      </c>
      <c r="B6698" t="n">
        <v>10</v>
      </c>
      <c r="C6698" t="n">
        <v>6</v>
      </c>
      <c r="D6698" t="n">
        <v>0</v>
      </c>
      <c r="E6698" s="10" t="n">
        <v>0</v>
      </c>
      <c r="F6698" s="10" t="n">
        <v>0.3781512907563098</v>
      </c>
      <c r="G6698" s="11">
        <f>E6698*Summary!$B$6</f>
        <v/>
      </c>
      <c r="H6698" s="11">
        <f>F6698*Summary!$B$7</f>
        <v/>
      </c>
      <c r="I6698" s="11">
        <f>MAX(0,N6698-M6698)</f>
        <v/>
      </c>
      <c r="J6698" s="11">
        <f>MAX(0,M6698-N6698)</f>
        <v/>
      </c>
      <c r="K6698" s="11">
        <f>O6698</f>
        <v/>
      </c>
      <c r="L6698" s="11">
        <f>L6697+IF(K6698&gt;0,K6698*Summary!$B$9,K6698/Summary!$B$9)</f>
        <v/>
      </c>
      <c r="M6698" s="11">
        <f>G6698+H6698</f>
        <v/>
      </c>
      <c r="N6698" s="11">
        <f>Summary!$C$16*Summary!$B$8</f>
        <v/>
      </c>
      <c r="O6698" s="11">
        <f>M6698-N6698</f>
        <v/>
      </c>
    </row>
    <row r="6699">
      <c r="A6699" s="9" t="n">
        <v>45571.04166666666</v>
      </c>
      <c r="B6699" t="n">
        <v>10</v>
      </c>
      <c r="C6699" t="n">
        <v>6</v>
      </c>
      <c r="D6699" t="n">
        <v>1</v>
      </c>
      <c r="E6699" s="10" t="n">
        <v>0</v>
      </c>
      <c r="F6699" s="10" t="n">
        <v>0.3705619129348591</v>
      </c>
      <c r="G6699" s="11">
        <f>E6699*Summary!$B$6</f>
        <v/>
      </c>
      <c r="H6699" s="11">
        <f>F6699*Summary!$B$7</f>
        <v/>
      </c>
      <c r="I6699" s="11">
        <f>MAX(0,N6699-M6699)</f>
        <v/>
      </c>
      <c r="J6699" s="11">
        <f>MAX(0,M6699-N6699)</f>
        <v/>
      </c>
      <c r="K6699" s="11">
        <f>O6699</f>
        <v/>
      </c>
      <c r="L6699" s="11">
        <f>L6698+IF(K6699&gt;0,K6699*Summary!$B$9,K6699/Summary!$B$9)</f>
        <v/>
      </c>
      <c r="M6699" s="11">
        <f>G6699+H6699</f>
        <v/>
      </c>
      <c r="N6699" s="11">
        <f>Summary!$C$16*Summary!$B$8</f>
        <v/>
      </c>
      <c r="O6699" s="11">
        <f>M6699-N6699</f>
        <v/>
      </c>
    </row>
    <row r="6700">
      <c r="A6700" s="9" t="n">
        <v>45571.08333333334</v>
      </c>
      <c r="B6700" t="n">
        <v>10</v>
      </c>
      <c r="C6700" t="n">
        <v>6</v>
      </c>
      <c r="D6700" t="n">
        <v>2</v>
      </c>
      <c r="E6700" s="10" t="n">
        <v>0</v>
      </c>
      <c r="F6700" s="10" t="n">
        <v>0.3737505057001213</v>
      </c>
      <c r="G6700" s="11">
        <f>E6700*Summary!$B$6</f>
        <v/>
      </c>
      <c r="H6700" s="11">
        <f>F6700*Summary!$B$7</f>
        <v/>
      </c>
      <c r="I6700" s="11">
        <f>MAX(0,N6700-M6700)</f>
        <v/>
      </c>
      <c r="J6700" s="11">
        <f>MAX(0,M6700-N6700)</f>
        <v/>
      </c>
      <c r="K6700" s="11">
        <f>O6700</f>
        <v/>
      </c>
      <c r="L6700" s="11">
        <f>L6699+IF(K6700&gt;0,K6700*Summary!$B$9,K6700/Summary!$B$9)</f>
        <v/>
      </c>
      <c r="M6700" s="11">
        <f>G6700+H6700</f>
        <v/>
      </c>
      <c r="N6700" s="11">
        <f>Summary!$C$16*Summary!$B$8</f>
        <v/>
      </c>
      <c r="O6700" s="11">
        <f>M6700-N6700</f>
        <v/>
      </c>
    </row>
    <row r="6701">
      <c r="A6701" s="9" t="n">
        <v>45571.125</v>
      </c>
      <c r="B6701" t="n">
        <v>10</v>
      </c>
      <c r="C6701" t="n">
        <v>6</v>
      </c>
      <c r="D6701" t="n">
        <v>3</v>
      </c>
      <c r="E6701" s="10" t="n">
        <v>0</v>
      </c>
      <c r="F6701" s="10" t="n">
        <v>0.3998653439676826</v>
      </c>
      <c r="G6701" s="11">
        <f>E6701*Summary!$B$6</f>
        <v/>
      </c>
      <c r="H6701" s="11">
        <f>F6701*Summary!$B$7</f>
        <v/>
      </c>
      <c r="I6701" s="11">
        <f>MAX(0,N6701-M6701)</f>
        <v/>
      </c>
      <c r="J6701" s="11">
        <f>MAX(0,M6701-N6701)</f>
        <v/>
      </c>
      <c r="K6701" s="11">
        <f>O6701</f>
        <v/>
      </c>
      <c r="L6701" s="11">
        <f>L6700+IF(K6701&gt;0,K6701*Summary!$B$9,K6701/Summary!$B$9)</f>
        <v/>
      </c>
      <c r="M6701" s="11">
        <f>G6701+H6701</f>
        <v/>
      </c>
      <c r="N6701" s="11">
        <f>Summary!$C$16*Summary!$B$8</f>
        <v/>
      </c>
      <c r="O6701" s="11">
        <f>M6701-N6701</f>
        <v/>
      </c>
    </row>
    <row r="6702">
      <c r="A6702" s="9" t="n">
        <v>45571.16666666666</v>
      </c>
      <c r="B6702" t="n">
        <v>10</v>
      </c>
      <c r="C6702" t="n">
        <v>6</v>
      </c>
      <c r="D6702" t="n">
        <v>4</v>
      </c>
      <c r="E6702" s="10" t="n">
        <v>0</v>
      </c>
      <c r="F6702" s="10" t="n">
        <v>0.3736187456684989</v>
      </c>
      <c r="G6702" s="11">
        <f>E6702*Summary!$B$6</f>
        <v/>
      </c>
      <c r="H6702" s="11">
        <f>F6702*Summary!$B$7</f>
        <v/>
      </c>
      <c r="I6702" s="11">
        <f>MAX(0,N6702-M6702)</f>
        <v/>
      </c>
      <c r="J6702" s="11">
        <f>MAX(0,M6702-N6702)</f>
        <v/>
      </c>
      <c r="K6702" s="11">
        <f>O6702</f>
        <v/>
      </c>
      <c r="L6702" s="11">
        <f>L6701+IF(K6702&gt;0,K6702*Summary!$B$9,K6702/Summary!$B$9)</f>
        <v/>
      </c>
      <c r="M6702" s="11">
        <f>G6702+H6702</f>
        <v/>
      </c>
      <c r="N6702" s="11">
        <f>Summary!$C$16*Summary!$B$8</f>
        <v/>
      </c>
      <c r="O6702" s="11">
        <f>M6702-N6702</f>
        <v/>
      </c>
    </row>
    <row r="6703">
      <c r="A6703" s="9" t="n">
        <v>45571.20833333334</v>
      </c>
      <c r="B6703" t="n">
        <v>10</v>
      </c>
      <c r="C6703" t="n">
        <v>6</v>
      </c>
      <c r="D6703" t="n">
        <v>5</v>
      </c>
      <c r="E6703" s="10" t="n">
        <v>0</v>
      </c>
      <c r="F6703" s="10" t="n">
        <v>0.3739086177380683</v>
      </c>
      <c r="G6703" s="11">
        <f>E6703*Summary!$B$6</f>
        <v/>
      </c>
      <c r="H6703" s="11">
        <f>F6703*Summary!$B$7</f>
        <v/>
      </c>
      <c r="I6703" s="11">
        <f>MAX(0,N6703-M6703)</f>
        <v/>
      </c>
      <c r="J6703" s="11">
        <f>MAX(0,M6703-N6703)</f>
        <v/>
      </c>
      <c r="K6703" s="11">
        <f>O6703</f>
        <v/>
      </c>
      <c r="L6703" s="11">
        <f>L6702+IF(K6703&gt;0,K6703*Summary!$B$9,K6703/Summary!$B$9)</f>
        <v/>
      </c>
      <c r="M6703" s="11">
        <f>G6703+H6703</f>
        <v/>
      </c>
      <c r="N6703" s="11">
        <f>Summary!$C$16*Summary!$B$8</f>
        <v/>
      </c>
      <c r="O6703" s="11">
        <f>M6703-N6703</f>
        <v/>
      </c>
    </row>
    <row r="6704">
      <c r="A6704" s="9" t="n">
        <v>45571.25</v>
      </c>
      <c r="B6704" t="n">
        <v>10</v>
      </c>
      <c r="C6704" t="n">
        <v>6</v>
      </c>
      <c r="D6704" t="n">
        <v>6</v>
      </c>
      <c r="E6704" s="10" t="n">
        <v>0.004764</v>
      </c>
      <c r="F6704" s="10" t="n">
        <v>0.3715896411815139</v>
      </c>
      <c r="G6704" s="11">
        <f>E6704*Summary!$B$6</f>
        <v/>
      </c>
      <c r="H6704" s="11">
        <f>F6704*Summary!$B$7</f>
        <v/>
      </c>
      <c r="I6704" s="11">
        <f>MAX(0,N6704-M6704)</f>
        <v/>
      </c>
      <c r="J6704" s="11">
        <f>MAX(0,M6704-N6704)</f>
        <v/>
      </c>
      <c r="K6704" s="11">
        <f>O6704</f>
        <v/>
      </c>
      <c r="L6704" s="11">
        <f>L6703+IF(K6704&gt;0,K6704*Summary!$B$9,K6704/Summary!$B$9)</f>
        <v/>
      </c>
      <c r="M6704" s="11">
        <f>G6704+H6704</f>
        <v/>
      </c>
      <c r="N6704" s="11">
        <f>Summary!$C$16*Summary!$B$8</f>
        <v/>
      </c>
      <c r="O6704" s="11">
        <f>M6704-N6704</f>
        <v/>
      </c>
    </row>
    <row r="6705">
      <c r="A6705" s="9" t="n">
        <v>45571.29166666666</v>
      </c>
      <c r="B6705" t="n">
        <v>10</v>
      </c>
      <c r="C6705" t="n">
        <v>6</v>
      </c>
      <c r="D6705" t="n">
        <v>7</v>
      </c>
      <c r="E6705" s="10" t="n">
        <v>0.127308</v>
      </c>
      <c r="F6705" s="10" t="n">
        <v>0.3590987901837096</v>
      </c>
      <c r="G6705" s="11">
        <f>E6705*Summary!$B$6</f>
        <v/>
      </c>
      <c r="H6705" s="11">
        <f>F6705*Summary!$B$7</f>
        <v/>
      </c>
      <c r="I6705" s="11">
        <f>MAX(0,N6705-M6705)</f>
        <v/>
      </c>
      <c r="J6705" s="11">
        <f>MAX(0,M6705-N6705)</f>
        <v/>
      </c>
      <c r="K6705" s="11">
        <f>O6705</f>
        <v/>
      </c>
      <c r="L6705" s="11">
        <f>L6704+IF(K6705&gt;0,K6705*Summary!$B$9,K6705/Summary!$B$9)</f>
        <v/>
      </c>
      <c r="M6705" s="11">
        <f>G6705+H6705</f>
        <v/>
      </c>
      <c r="N6705" s="11">
        <f>Summary!$C$16*Summary!$B$8</f>
        <v/>
      </c>
      <c r="O6705" s="11">
        <f>M6705-N6705</f>
        <v/>
      </c>
    </row>
    <row r="6706">
      <c r="A6706" s="9" t="n">
        <v>45571.33333333334</v>
      </c>
      <c r="B6706" t="n">
        <v>10</v>
      </c>
      <c r="C6706" t="n">
        <v>6</v>
      </c>
      <c r="D6706" t="n">
        <v>8</v>
      </c>
      <c r="E6706" s="10" t="n">
        <v>0.311623</v>
      </c>
      <c r="F6706" s="10" t="n">
        <v>0.3436565144775635</v>
      </c>
      <c r="G6706" s="11">
        <f>E6706*Summary!$B$6</f>
        <v/>
      </c>
      <c r="H6706" s="11">
        <f>F6706*Summary!$B$7</f>
        <v/>
      </c>
      <c r="I6706" s="11">
        <f>MAX(0,N6706-M6706)</f>
        <v/>
      </c>
      <c r="J6706" s="11">
        <f>MAX(0,M6706-N6706)</f>
        <v/>
      </c>
      <c r="K6706" s="11">
        <f>O6706</f>
        <v/>
      </c>
      <c r="L6706" s="11">
        <f>L6705+IF(K6706&gt;0,K6706*Summary!$B$9,K6706/Summary!$B$9)</f>
        <v/>
      </c>
      <c r="M6706" s="11">
        <f>G6706+H6706</f>
        <v/>
      </c>
      <c r="N6706" s="11">
        <f>Summary!$C$16*Summary!$B$8</f>
        <v/>
      </c>
      <c r="O6706" s="11">
        <f>M6706-N6706</f>
        <v/>
      </c>
    </row>
    <row r="6707">
      <c r="A6707" s="9" t="n">
        <v>45571.375</v>
      </c>
      <c r="B6707" t="n">
        <v>10</v>
      </c>
      <c r="C6707" t="n">
        <v>6</v>
      </c>
      <c r="D6707" t="n">
        <v>9</v>
      </c>
      <c r="E6707" s="10" t="n">
        <v>0.470741</v>
      </c>
      <c r="F6707" s="10" t="n">
        <v>0.3355664485359477</v>
      </c>
      <c r="G6707" s="11">
        <f>E6707*Summary!$B$6</f>
        <v/>
      </c>
      <c r="H6707" s="11">
        <f>F6707*Summary!$B$7</f>
        <v/>
      </c>
      <c r="I6707" s="11">
        <f>MAX(0,N6707-M6707)</f>
        <v/>
      </c>
      <c r="J6707" s="11">
        <f>MAX(0,M6707-N6707)</f>
        <v/>
      </c>
      <c r="K6707" s="11">
        <f>O6707</f>
        <v/>
      </c>
      <c r="L6707" s="11">
        <f>L6706+IF(K6707&gt;0,K6707*Summary!$B$9,K6707/Summary!$B$9)</f>
        <v/>
      </c>
      <c r="M6707" s="11">
        <f>G6707+H6707</f>
        <v/>
      </c>
      <c r="N6707" s="11">
        <f>Summary!$C$16*Summary!$B$8</f>
        <v/>
      </c>
      <c r="O6707" s="11">
        <f>M6707-N6707</f>
        <v/>
      </c>
    </row>
    <row r="6708">
      <c r="A6708" s="9" t="n">
        <v>45571.41666666666</v>
      </c>
      <c r="B6708" t="n">
        <v>10</v>
      </c>
      <c r="C6708" t="n">
        <v>6</v>
      </c>
      <c r="D6708" t="n">
        <v>10</v>
      </c>
      <c r="E6708" s="10" t="n">
        <v>0.583363</v>
      </c>
      <c r="F6708" s="10" t="n">
        <v>0.340019937604785</v>
      </c>
      <c r="G6708" s="11">
        <f>E6708*Summary!$B$6</f>
        <v/>
      </c>
      <c r="H6708" s="11">
        <f>F6708*Summary!$B$7</f>
        <v/>
      </c>
      <c r="I6708" s="11">
        <f>MAX(0,N6708-M6708)</f>
        <v/>
      </c>
      <c r="J6708" s="11">
        <f>MAX(0,M6708-N6708)</f>
        <v/>
      </c>
      <c r="K6708" s="11">
        <f>O6708</f>
        <v/>
      </c>
      <c r="L6708" s="11">
        <f>L6707+IF(K6708&gt;0,K6708*Summary!$B$9,K6708/Summary!$B$9)</f>
        <v/>
      </c>
      <c r="M6708" s="11">
        <f>G6708+H6708</f>
        <v/>
      </c>
      <c r="N6708" s="11">
        <f>Summary!$C$16*Summary!$B$8</f>
        <v/>
      </c>
      <c r="O6708" s="11">
        <f>M6708-N6708</f>
        <v/>
      </c>
    </row>
    <row r="6709">
      <c r="A6709" s="9" t="n">
        <v>45571.45833333334</v>
      </c>
      <c r="B6709" t="n">
        <v>10</v>
      </c>
      <c r="C6709" t="n">
        <v>6</v>
      </c>
      <c r="D6709" t="n">
        <v>11</v>
      </c>
      <c r="E6709" s="10" t="n">
        <v>0.642771</v>
      </c>
      <c r="F6709" s="10" t="n">
        <v>0.3412848339083601</v>
      </c>
      <c r="G6709" s="11">
        <f>E6709*Summary!$B$6</f>
        <v/>
      </c>
      <c r="H6709" s="11">
        <f>F6709*Summary!$B$7</f>
        <v/>
      </c>
      <c r="I6709" s="11">
        <f>MAX(0,N6709-M6709)</f>
        <v/>
      </c>
      <c r="J6709" s="11">
        <f>MAX(0,M6709-N6709)</f>
        <v/>
      </c>
      <c r="K6709" s="11">
        <f>O6709</f>
        <v/>
      </c>
      <c r="L6709" s="11">
        <f>L6708+IF(K6709&gt;0,K6709*Summary!$B$9,K6709/Summary!$B$9)</f>
        <v/>
      </c>
      <c r="M6709" s="11">
        <f>G6709+H6709</f>
        <v/>
      </c>
      <c r="N6709" s="11">
        <f>Summary!$C$16*Summary!$B$8</f>
        <v/>
      </c>
      <c r="O6709" s="11">
        <f>M6709-N6709</f>
        <v/>
      </c>
    </row>
    <row r="6710">
      <c r="A6710" s="9" t="n">
        <v>45571.5</v>
      </c>
      <c r="B6710" t="n">
        <v>10</v>
      </c>
      <c r="C6710" t="n">
        <v>6</v>
      </c>
      <c r="D6710" t="n">
        <v>12</v>
      </c>
      <c r="E6710" s="10" t="n">
        <v>0.639151</v>
      </c>
      <c r="F6710" s="10" t="n">
        <v>0.3438409785218349</v>
      </c>
      <c r="G6710" s="11">
        <f>E6710*Summary!$B$6</f>
        <v/>
      </c>
      <c r="H6710" s="11">
        <f>F6710*Summary!$B$7</f>
        <v/>
      </c>
      <c r="I6710" s="11">
        <f>MAX(0,N6710-M6710)</f>
        <v/>
      </c>
      <c r="J6710" s="11">
        <f>MAX(0,M6710-N6710)</f>
        <v/>
      </c>
      <c r="K6710" s="11">
        <f>O6710</f>
        <v/>
      </c>
      <c r="L6710" s="11">
        <f>L6709+IF(K6710&gt;0,K6710*Summary!$B$9,K6710/Summary!$B$9)</f>
        <v/>
      </c>
      <c r="M6710" s="11">
        <f>G6710+H6710</f>
        <v/>
      </c>
      <c r="N6710" s="11">
        <f>Summary!$C$16*Summary!$B$8</f>
        <v/>
      </c>
      <c r="O6710" s="11">
        <f>M6710-N6710</f>
        <v/>
      </c>
    </row>
    <row r="6711">
      <c r="A6711" s="9" t="n">
        <v>45571.54166666666</v>
      </c>
      <c r="B6711" t="n">
        <v>10</v>
      </c>
      <c r="C6711" t="n">
        <v>6</v>
      </c>
      <c r="D6711" t="n">
        <v>13</v>
      </c>
      <c r="E6711" s="10" t="n">
        <v>0.572991</v>
      </c>
      <c r="F6711" s="10" t="n">
        <v>0.3494539558689494</v>
      </c>
      <c r="G6711" s="11">
        <f>E6711*Summary!$B$6</f>
        <v/>
      </c>
      <c r="H6711" s="11">
        <f>F6711*Summary!$B$7</f>
        <v/>
      </c>
      <c r="I6711" s="11">
        <f>MAX(0,N6711-M6711)</f>
        <v/>
      </c>
      <c r="J6711" s="11">
        <f>MAX(0,M6711-N6711)</f>
        <v/>
      </c>
      <c r="K6711" s="11">
        <f>O6711</f>
        <v/>
      </c>
      <c r="L6711" s="11">
        <f>L6710+IF(K6711&gt;0,K6711*Summary!$B$9,K6711/Summary!$B$9)</f>
        <v/>
      </c>
      <c r="M6711" s="11">
        <f>G6711+H6711</f>
        <v/>
      </c>
      <c r="N6711" s="11">
        <f>Summary!$C$16*Summary!$B$8</f>
        <v/>
      </c>
      <c r="O6711" s="11">
        <f>M6711-N6711</f>
        <v/>
      </c>
    </row>
    <row r="6712">
      <c r="A6712" s="9" t="n">
        <v>45571.58333333334</v>
      </c>
      <c r="B6712" t="n">
        <v>10</v>
      </c>
      <c r="C6712" t="n">
        <v>6</v>
      </c>
      <c r="D6712" t="n">
        <v>14</v>
      </c>
      <c r="E6712" s="10" t="n">
        <v>0.458688</v>
      </c>
      <c r="F6712" s="10" t="n">
        <v>0.3806547313571355</v>
      </c>
      <c r="G6712" s="11">
        <f>E6712*Summary!$B$6</f>
        <v/>
      </c>
      <c r="H6712" s="11">
        <f>F6712*Summary!$B$7</f>
        <v/>
      </c>
      <c r="I6712" s="11">
        <f>MAX(0,N6712-M6712)</f>
        <v/>
      </c>
      <c r="J6712" s="11">
        <f>MAX(0,M6712-N6712)</f>
        <v/>
      </c>
      <c r="K6712" s="11">
        <f>O6712</f>
        <v/>
      </c>
      <c r="L6712" s="11">
        <f>L6711+IF(K6712&gt;0,K6712*Summary!$B$9,K6712/Summary!$B$9)</f>
        <v/>
      </c>
      <c r="M6712" s="11">
        <f>G6712+H6712</f>
        <v/>
      </c>
      <c r="N6712" s="11">
        <f>Summary!$C$16*Summary!$B$8</f>
        <v/>
      </c>
      <c r="O6712" s="11">
        <f>M6712-N6712</f>
        <v/>
      </c>
    </row>
    <row r="6713">
      <c r="A6713" s="9" t="n">
        <v>45571.625</v>
      </c>
      <c r="B6713" t="n">
        <v>10</v>
      </c>
      <c r="C6713" t="n">
        <v>6</v>
      </c>
      <c r="D6713" t="n">
        <v>15</v>
      </c>
      <c r="E6713" s="10" t="n">
        <v>0.292447</v>
      </c>
      <c r="F6713" s="10" t="n">
        <v>0.3453693948886548</v>
      </c>
      <c r="G6713" s="11">
        <f>E6713*Summary!$B$6</f>
        <v/>
      </c>
      <c r="H6713" s="11">
        <f>F6713*Summary!$B$7</f>
        <v/>
      </c>
      <c r="I6713" s="11">
        <f>MAX(0,N6713-M6713)</f>
        <v/>
      </c>
      <c r="J6713" s="11">
        <f>MAX(0,M6713-N6713)</f>
        <v/>
      </c>
      <c r="K6713" s="11">
        <f>O6713</f>
        <v/>
      </c>
      <c r="L6713" s="11">
        <f>L6712+IF(K6713&gt;0,K6713*Summary!$B$9,K6713/Summary!$B$9)</f>
        <v/>
      </c>
      <c r="M6713" s="11">
        <f>G6713+H6713</f>
        <v/>
      </c>
      <c r="N6713" s="11">
        <f>Summary!$C$16*Summary!$B$8</f>
        <v/>
      </c>
      <c r="O6713" s="11">
        <f>M6713-N6713</f>
        <v/>
      </c>
    </row>
    <row r="6714">
      <c r="A6714" s="9" t="n">
        <v>45571.66666666666</v>
      </c>
      <c r="B6714" t="n">
        <v>10</v>
      </c>
      <c r="C6714" t="n">
        <v>6</v>
      </c>
      <c r="D6714" t="n">
        <v>16</v>
      </c>
      <c r="E6714" s="10" t="n">
        <v>0.101731</v>
      </c>
      <c r="F6714" s="10" t="n">
        <v>0.3762012422882982</v>
      </c>
      <c r="G6714" s="11">
        <f>E6714*Summary!$B$6</f>
        <v/>
      </c>
      <c r="H6714" s="11">
        <f>F6714*Summary!$B$7</f>
        <v/>
      </c>
      <c r="I6714" s="11">
        <f>MAX(0,N6714-M6714)</f>
        <v/>
      </c>
      <c r="J6714" s="11">
        <f>MAX(0,M6714-N6714)</f>
        <v/>
      </c>
      <c r="K6714" s="11">
        <f>O6714</f>
        <v/>
      </c>
      <c r="L6714" s="11">
        <f>L6713+IF(K6714&gt;0,K6714*Summary!$B$9,K6714/Summary!$B$9)</f>
        <v/>
      </c>
      <c r="M6714" s="11">
        <f>G6714+H6714</f>
        <v/>
      </c>
      <c r="N6714" s="11">
        <f>Summary!$C$16*Summary!$B$8</f>
        <v/>
      </c>
      <c r="O6714" s="11">
        <f>M6714-N6714</f>
        <v/>
      </c>
    </row>
    <row r="6715">
      <c r="A6715" s="9" t="n">
        <v>45571.70833333334</v>
      </c>
      <c r="B6715" t="n">
        <v>10</v>
      </c>
      <c r="C6715" t="n">
        <v>6</v>
      </c>
      <c r="D6715" t="n">
        <v>17</v>
      </c>
      <c r="E6715" s="10" t="n">
        <v>0</v>
      </c>
      <c r="F6715" s="10" t="n">
        <v>0.3558574934057984</v>
      </c>
      <c r="G6715" s="11">
        <f>E6715*Summary!$B$6</f>
        <v/>
      </c>
      <c r="H6715" s="11">
        <f>F6715*Summary!$B$7</f>
        <v/>
      </c>
      <c r="I6715" s="11">
        <f>MAX(0,N6715-M6715)</f>
        <v/>
      </c>
      <c r="J6715" s="11">
        <f>MAX(0,M6715-N6715)</f>
        <v/>
      </c>
      <c r="K6715" s="11">
        <f>O6715</f>
        <v/>
      </c>
      <c r="L6715" s="11">
        <f>L6714+IF(K6715&gt;0,K6715*Summary!$B$9,K6715/Summary!$B$9)</f>
        <v/>
      </c>
      <c r="M6715" s="11">
        <f>G6715+H6715</f>
        <v/>
      </c>
      <c r="N6715" s="11">
        <f>Summary!$C$16*Summary!$B$8</f>
        <v/>
      </c>
      <c r="O6715" s="11">
        <f>M6715-N6715</f>
        <v/>
      </c>
    </row>
    <row r="6716">
      <c r="A6716" s="9" t="n">
        <v>45571.75</v>
      </c>
      <c r="B6716" t="n">
        <v>10</v>
      </c>
      <c r="C6716" t="n">
        <v>6</v>
      </c>
      <c r="D6716" t="n">
        <v>18</v>
      </c>
      <c r="E6716" s="10" t="n">
        <v>0</v>
      </c>
      <c r="F6716" s="10" t="n">
        <v>0.3642374314169835</v>
      </c>
      <c r="G6716" s="11">
        <f>E6716*Summary!$B$6</f>
        <v/>
      </c>
      <c r="H6716" s="11">
        <f>F6716*Summary!$B$7</f>
        <v/>
      </c>
      <c r="I6716" s="11">
        <f>MAX(0,N6716-M6716)</f>
        <v/>
      </c>
      <c r="J6716" s="11">
        <f>MAX(0,M6716-N6716)</f>
        <v/>
      </c>
      <c r="K6716" s="11">
        <f>O6716</f>
        <v/>
      </c>
      <c r="L6716" s="11">
        <f>L6715+IF(K6716&gt;0,K6716*Summary!$B$9,K6716/Summary!$B$9)</f>
        <v/>
      </c>
      <c r="M6716" s="11">
        <f>G6716+H6716</f>
        <v/>
      </c>
      <c r="N6716" s="11">
        <f>Summary!$C$16*Summary!$B$8</f>
        <v/>
      </c>
      <c r="O6716" s="11">
        <f>M6716-N6716</f>
        <v/>
      </c>
    </row>
    <row r="6717">
      <c r="A6717" s="9" t="n">
        <v>45571.79166666666</v>
      </c>
      <c r="B6717" t="n">
        <v>10</v>
      </c>
      <c r="C6717" t="n">
        <v>6</v>
      </c>
      <c r="D6717" t="n">
        <v>19</v>
      </c>
      <c r="E6717" s="10" t="n">
        <v>0</v>
      </c>
      <c r="F6717" s="10" t="n">
        <v>0.3756214981491596</v>
      </c>
      <c r="G6717" s="11">
        <f>E6717*Summary!$B$6</f>
        <v/>
      </c>
      <c r="H6717" s="11">
        <f>F6717*Summary!$B$7</f>
        <v/>
      </c>
      <c r="I6717" s="11">
        <f>MAX(0,N6717-M6717)</f>
        <v/>
      </c>
      <c r="J6717" s="11">
        <f>MAX(0,M6717-N6717)</f>
        <v/>
      </c>
      <c r="K6717" s="11">
        <f>O6717</f>
        <v/>
      </c>
      <c r="L6717" s="11">
        <f>L6716+IF(K6717&gt;0,K6717*Summary!$B$9,K6717/Summary!$B$9)</f>
        <v/>
      </c>
      <c r="M6717" s="11">
        <f>G6717+H6717</f>
        <v/>
      </c>
      <c r="N6717" s="11">
        <f>Summary!$C$16*Summary!$B$8</f>
        <v/>
      </c>
      <c r="O6717" s="11">
        <f>M6717-N6717</f>
        <v/>
      </c>
    </row>
    <row r="6718">
      <c r="A6718" s="9" t="n">
        <v>45571.83333333334</v>
      </c>
      <c r="B6718" t="n">
        <v>10</v>
      </c>
      <c r="C6718" t="n">
        <v>6</v>
      </c>
      <c r="D6718" t="n">
        <v>20</v>
      </c>
      <c r="E6718" s="10" t="n">
        <v>0</v>
      </c>
      <c r="F6718" s="10" t="n">
        <v>0.3823412597619024</v>
      </c>
      <c r="G6718" s="11">
        <f>E6718*Summary!$B$6</f>
        <v/>
      </c>
      <c r="H6718" s="11">
        <f>F6718*Summary!$B$7</f>
        <v/>
      </c>
      <c r="I6718" s="11">
        <f>MAX(0,N6718-M6718)</f>
        <v/>
      </c>
      <c r="J6718" s="11">
        <f>MAX(0,M6718-N6718)</f>
        <v/>
      </c>
      <c r="K6718" s="11">
        <f>O6718</f>
        <v/>
      </c>
      <c r="L6718" s="11">
        <f>L6717+IF(K6718&gt;0,K6718*Summary!$B$9,K6718/Summary!$B$9)</f>
        <v/>
      </c>
      <c r="M6718" s="11">
        <f>G6718+H6718</f>
        <v/>
      </c>
      <c r="N6718" s="11">
        <f>Summary!$C$16*Summary!$B$8</f>
        <v/>
      </c>
      <c r="O6718" s="11">
        <f>M6718-N6718</f>
        <v/>
      </c>
    </row>
    <row r="6719">
      <c r="A6719" s="9" t="n">
        <v>45571.875</v>
      </c>
      <c r="B6719" t="n">
        <v>10</v>
      </c>
      <c r="C6719" t="n">
        <v>6</v>
      </c>
      <c r="D6719" t="n">
        <v>21</v>
      </c>
      <c r="E6719" s="10" t="n">
        <v>0</v>
      </c>
      <c r="F6719" s="10" t="n">
        <v>0.3875589570141497</v>
      </c>
      <c r="G6719" s="11">
        <f>E6719*Summary!$B$6</f>
        <v/>
      </c>
      <c r="H6719" s="11">
        <f>F6719*Summary!$B$7</f>
        <v/>
      </c>
      <c r="I6719" s="11">
        <f>MAX(0,N6719-M6719)</f>
        <v/>
      </c>
      <c r="J6719" s="11">
        <f>MAX(0,M6719-N6719)</f>
        <v/>
      </c>
      <c r="K6719" s="11">
        <f>O6719</f>
        <v/>
      </c>
      <c r="L6719" s="11">
        <f>L6718+IF(K6719&gt;0,K6719*Summary!$B$9,K6719/Summary!$B$9)</f>
        <v/>
      </c>
      <c r="M6719" s="11">
        <f>G6719+H6719</f>
        <v/>
      </c>
      <c r="N6719" s="11">
        <f>Summary!$C$16*Summary!$B$8</f>
        <v/>
      </c>
      <c r="O6719" s="11">
        <f>M6719-N6719</f>
        <v/>
      </c>
    </row>
    <row r="6720">
      <c r="A6720" s="9" t="n">
        <v>45571.91666666666</v>
      </c>
      <c r="B6720" t="n">
        <v>10</v>
      </c>
      <c r="C6720" t="n">
        <v>6</v>
      </c>
      <c r="D6720" t="n">
        <v>22</v>
      </c>
      <c r="E6720" s="10" t="n">
        <v>0</v>
      </c>
      <c r="F6720" s="10" t="n">
        <v>0.3823149077555778</v>
      </c>
      <c r="G6720" s="11">
        <f>E6720*Summary!$B$6</f>
        <v/>
      </c>
      <c r="H6720" s="11">
        <f>F6720*Summary!$B$7</f>
        <v/>
      </c>
      <c r="I6720" s="11">
        <f>MAX(0,N6720-M6720)</f>
        <v/>
      </c>
      <c r="J6720" s="11">
        <f>MAX(0,M6720-N6720)</f>
        <v/>
      </c>
      <c r="K6720" s="11">
        <f>O6720</f>
        <v/>
      </c>
      <c r="L6720" s="11">
        <f>L6719+IF(K6720&gt;0,K6720*Summary!$B$9,K6720/Summary!$B$9)</f>
        <v/>
      </c>
      <c r="M6720" s="11">
        <f>G6720+H6720</f>
        <v/>
      </c>
      <c r="N6720" s="11">
        <f>Summary!$C$16*Summary!$B$8</f>
        <v/>
      </c>
      <c r="O6720" s="11">
        <f>M6720-N6720</f>
        <v/>
      </c>
    </row>
    <row r="6721">
      <c r="A6721" s="9" t="n">
        <v>45571.95833333334</v>
      </c>
      <c r="B6721" t="n">
        <v>10</v>
      </c>
      <c r="C6721" t="n">
        <v>6</v>
      </c>
      <c r="D6721" t="n">
        <v>23</v>
      </c>
      <c r="E6721" s="10" t="n">
        <v>0</v>
      </c>
      <c r="F6721" s="10" t="n">
        <v>0.3817615156227637</v>
      </c>
      <c r="G6721" s="11">
        <f>E6721*Summary!$B$6</f>
        <v/>
      </c>
      <c r="H6721" s="11">
        <f>F6721*Summary!$B$7</f>
        <v/>
      </c>
      <c r="I6721" s="11">
        <f>MAX(0,N6721-M6721)</f>
        <v/>
      </c>
      <c r="J6721" s="11">
        <f>MAX(0,M6721-N6721)</f>
        <v/>
      </c>
      <c r="K6721" s="11">
        <f>O6721</f>
        <v/>
      </c>
      <c r="L6721" s="11">
        <f>L6720+IF(K6721&gt;0,K6721*Summary!$B$9,K6721/Summary!$B$9)</f>
        <v/>
      </c>
      <c r="M6721" s="11">
        <f>G6721+H6721</f>
        <v/>
      </c>
      <c r="N6721" s="11">
        <f>Summary!$C$16*Summary!$B$8</f>
        <v/>
      </c>
      <c r="O6721" s="11">
        <f>M6721-N6721</f>
        <v/>
      </c>
    </row>
    <row r="6722">
      <c r="A6722" s="9" t="n">
        <v>45572</v>
      </c>
      <c r="B6722" t="n">
        <v>10</v>
      </c>
      <c r="C6722" t="n">
        <v>7</v>
      </c>
      <c r="D6722" t="n">
        <v>0</v>
      </c>
      <c r="E6722" s="10" t="n">
        <v>0</v>
      </c>
      <c r="F6722" s="10" t="n">
        <v>0.3896144135074592</v>
      </c>
      <c r="G6722" s="11">
        <f>E6722*Summary!$B$6</f>
        <v/>
      </c>
      <c r="H6722" s="11">
        <f>F6722*Summary!$B$7</f>
        <v/>
      </c>
      <c r="I6722" s="11">
        <f>MAX(0,N6722-M6722)</f>
        <v/>
      </c>
      <c r="J6722" s="11">
        <f>MAX(0,M6722-N6722)</f>
        <v/>
      </c>
      <c r="K6722" s="11">
        <f>O6722</f>
        <v/>
      </c>
      <c r="L6722" s="11">
        <f>L6721+IF(K6722&gt;0,K6722*Summary!$B$9,K6722/Summary!$B$9)</f>
        <v/>
      </c>
      <c r="M6722" s="11">
        <f>G6722+H6722</f>
        <v/>
      </c>
      <c r="N6722" s="11">
        <f>Summary!$C$16*Summary!$B$8</f>
        <v/>
      </c>
      <c r="O6722" s="11">
        <f>M6722-N6722</f>
        <v/>
      </c>
    </row>
    <row r="6723">
      <c r="A6723" s="9" t="n">
        <v>45572.04166666666</v>
      </c>
      <c r="B6723" t="n">
        <v>10</v>
      </c>
      <c r="C6723" t="n">
        <v>7</v>
      </c>
      <c r="D6723" t="n">
        <v>1</v>
      </c>
      <c r="E6723" s="10" t="n">
        <v>0</v>
      </c>
      <c r="F6723" s="10" t="n">
        <v>0.3762012422882982</v>
      </c>
      <c r="G6723" s="11">
        <f>E6723*Summary!$B$6</f>
        <v/>
      </c>
      <c r="H6723" s="11">
        <f>F6723*Summary!$B$7</f>
        <v/>
      </c>
      <c r="I6723" s="11">
        <f>MAX(0,N6723-M6723)</f>
        <v/>
      </c>
      <c r="J6723" s="11">
        <f>MAX(0,M6723-N6723)</f>
        <v/>
      </c>
      <c r="K6723" s="11">
        <f>O6723</f>
        <v/>
      </c>
      <c r="L6723" s="11">
        <f>L6722+IF(K6723&gt;0,K6723*Summary!$B$9,K6723/Summary!$B$9)</f>
        <v/>
      </c>
      <c r="M6723" s="11">
        <f>G6723+H6723</f>
        <v/>
      </c>
      <c r="N6723" s="11">
        <f>Summary!$C$16*Summary!$B$8</f>
        <v/>
      </c>
      <c r="O6723" s="11">
        <f>M6723-N6723</f>
        <v/>
      </c>
    </row>
    <row r="6724">
      <c r="A6724" s="9" t="n">
        <v>45572.08333333334</v>
      </c>
      <c r="B6724" t="n">
        <v>10</v>
      </c>
      <c r="C6724" t="n">
        <v>7</v>
      </c>
      <c r="D6724" t="n">
        <v>2</v>
      </c>
      <c r="E6724" s="10" t="n">
        <v>0</v>
      </c>
      <c r="F6724" s="10" t="n">
        <v>0.3745674178961803</v>
      </c>
      <c r="G6724" s="11">
        <f>E6724*Summary!$B$6</f>
        <v/>
      </c>
      <c r="H6724" s="11">
        <f>F6724*Summary!$B$7</f>
        <v/>
      </c>
      <c r="I6724" s="11">
        <f>MAX(0,N6724-M6724)</f>
        <v/>
      </c>
      <c r="J6724" s="11">
        <f>MAX(0,M6724-N6724)</f>
        <v/>
      </c>
      <c r="K6724" s="11">
        <f>O6724</f>
        <v/>
      </c>
      <c r="L6724" s="11">
        <f>L6723+IF(K6724&gt;0,K6724*Summary!$B$9,K6724/Summary!$B$9)</f>
        <v/>
      </c>
      <c r="M6724" s="11">
        <f>G6724+H6724</f>
        <v/>
      </c>
      <c r="N6724" s="11">
        <f>Summary!$C$16*Summary!$B$8</f>
        <v/>
      </c>
      <c r="O6724" s="11">
        <f>M6724-N6724</f>
        <v/>
      </c>
    </row>
    <row r="6725">
      <c r="A6725" s="9" t="n">
        <v>45572.125</v>
      </c>
      <c r="B6725" t="n">
        <v>10</v>
      </c>
      <c r="C6725" t="n">
        <v>7</v>
      </c>
      <c r="D6725" t="n">
        <v>3</v>
      </c>
      <c r="E6725" s="10" t="n">
        <v>0</v>
      </c>
      <c r="F6725" s="10" t="n">
        <v>0.3741194337886641</v>
      </c>
      <c r="G6725" s="11">
        <f>E6725*Summary!$B$6</f>
        <v/>
      </c>
      <c r="H6725" s="11">
        <f>F6725*Summary!$B$7</f>
        <v/>
      </c>
      <c r="I6725" s="11">
        <f>MAX(0,N6725-M6725)</f>
        <v/>
      </c>
      <c r="J6725" s="11">
        <f>MAX(0,M6725-N6725)</f>
        <v/>
      </c>
      <c r="K6725" s="11">
        <f>O6725</f>
        <v/>
      </c>
      <c r="L6725" s="11">
        <f>L6724+IF(K6725&gt;0,K6725*Summary!$B$9,K6725/Summary!$B$9)</f>
        <v/>
      </c>
      <c r="M6725" s="11">
        <f>G6725+H6725</f>
        <v/>
      </c>
      <c r="N6725" s="11">
        <f>Summary!$C$16*Summary!$B$8</f>
        <v/>
      </c>
      <c r="O6725" s="11">
        <f>M6725-N6725</f>
        <v/>
      </c>
    </row>
    <row r="6726">
      <c r="A6726" s="9" t="n">
        <v>45572.16666666666</v>
      </c>
      <c r="B6726" t="n">
        <v>10</v>
      </c>
      <c r="C6726" t="n">
        <v>7</v>
      </c>
      <c r="D6726" t="n">
        <v>4</v>
      </c>
      <c r="E6726" s="10" t="n">
        <v>0</v>
      </c>
      <c r="F6726" s="10" t="n">
        <v>0.3768600424464102</v>
      </c>
      <c r="G6726" s="11">
        <f>E6726*Summary!$B$6</f>
        <v/>
      </c>
      <c r="H6726" s="11">
        <f>F6726*Summary!$B$7</f>
        <v/>
      </c>
      <c r="I6726" s="11">
        <f>MAX(0,N6726-M6726)</f>
        <v/>
      </c>
      <c r="J6726" s="11">
        <f>MAX(0,M6726-N6726)</f>
        <v/>
      </c>
      <c r="K6726" s="11">
        <f>O6726</f>
        <v/>
      </c>
      <c r="L6726" s="11">
        <f>L6725+IF(K6726&gt;0,K6726*Summary!$B$9,K6726/Summary!$B$9)</f>
        <v/>
      </c>
      <c r="M6726" s="11">
        <f>G6726+H6726</f>
        <v/>
      </c>
      <c r="N6726" s="11">
        <f>Summary!$C$16*Summary!$B$8</f>
        <v/>
      </c>
      <c r="O6726" s="11">
        <f>M6726-N6726</f>
        <v/>
      </c>
    </row>
    <row r="6727">
      <c r="A6727" s="9" t="n">
        <v>45572.20833333334</v>
      </c>
      <c r="B6727" t="n">
        <v>10</v>
      </c>
      <c r="C6727" t="n">
        <v>7</v>
      </c>
      <c r="D6727" t="n">
        <v>5</v>
      </c>
      <c r="E6727" s="10" t="n">
        <v>0</v>
      </c>
      <c r="F6727" s="10" t="n">
        <v>0.3789945549586932</v>
      </c>
      <c r="G6727" s="11">
        <f>E6727*Summary!$B$6</f>
        <v/>
      </c>
      <c r="H6727" s="11">
        <f>F6727*Summary!$B$7</f>
        <v/>
      </c>
      <c r="I6727" s="11">
        <f>MAX(0,N6727-M6727)</f>
        <v/>
      </c>
      <c r="J6727" s="11">
        <f>MAX(0,M6727-N6727)</f>
        <v/>
      </c>
      <c r="K6727" s="11">
        <f>O6727</f>
        <v/>
      </c>
      <c r="L6727" s="11">
        <f>L6726+IF(K6727&gt;0,K6727*Summary!$B$9,K6727/Summary!$B$9)</f>
        <v/>
      </c>
      <c r="M6727" s="11">
        <f>G6727+H6727</f>
        <v/>
      </c>
      <c r="N6727" s="11">
        <f>Summary!$C$16*Summary!$B$8</f>
        <v/>
      </c>
      <c r="O6727" s="11">
        <f>M6727-N6727</f>
        <v/>
      </c>
    </row>
    <row r="6728">
      <c r="A6728" s="9" t="n">
        <v>45572.25</v>
      </c>
      <c r="B6728" t="n">
        <v>10</v>
      </c>
      <c r="C6728" t="n">
        <v>7</v>
      </c>
      <c r="D6728" t="n">
        <v>6</v>
      </c>
      <c r="E6728" s="10" t="n">
        <v>0</v>
      </c>
      <c r="F6728" s="10" t="n">
        <v>0.3869001568560377</v>
      </c>
      <c r="G6728" s="11">
        <f>E6728*Summary!$B$6</f>
        <v/>
      </c>
      <c r="H6728" s="11">
        <f>F6728*Summary!$B$7</f>
        <v/>
      </c>
      <c r="I6728" s="11">
        <f>MAX(0,N6728-M6728)</f>
        <v/>
      </c>
      <c r="J6728" s="11">
        <f>MAX(0,M6728-N6728)</f>
        <v/>
      </c>
      <c r="K6728" s="11">
        <f>O6728</f>
        <v/>
      </c>
      <c r="L6728" s="11">
        <f>L6727+IF(K6728&gt;0,K6728*Summary!$B$9,K6728/Summary!$B$9)</f>
        <v/>
      </c>
      <c r="M6728" s="11">
        <f>G6728+H6728</f>
        <v/>
      </c>
      <c r="N6728" s="11">
        <f>Summary!$C$16*Summary!$B$8</f>
        <v/>
      </c>
      <c r="O6728" s="11">
        <f>M6728-N6728</f>
        <v/>
      </c>
    </row>
    <row r="6729">
      <c r="A6729" s="9" t="n">
        <v>45572.29166666666</v>
      </c>
      <c r="B6729" t="n">
        <v>10</v>
      </c>
      <c r="C6729" t="n">
        <v>7</v>
      </c>
      <c r="D6729" t="n">
        <v>7</v>
      </c>
      <c r="E6729" s="10" t="n">
        <v>0.013676</v>
      </c>
      <c r="F6729" s="10" t="n">
        <v>0.375700554168133</v>
      </c>
      <c r="G6729" s="11">
        <f>E6729*Summary!$B$6</f>
        <v/>
      </c>
      <c r="H6729" s="11">
        <f>F6729*Summary!$B$7</f>
        <v/>
      </c>
      <c r="I6729" s="11">
        <f>MAX(0,N6729-M6729)</f>
        <v/>
      </c>
      <c r="J6729" s="11">
        <f>MAX(0,M6729-N6729)</f>
        <v/>
      </c>
      <c r="K6729" s="11">
        <f>O6729</f>
        <v/>
      </c>
      <c r="L6729" s="11">
        <f>L6728+IF(K6729&gt;0,K6729*Summary!$B$9,K6729/Summary!$B$9)</f>
        <v/>
      </c>
      <c r="M6729" s="11">
        <f>G6729+H6729</f>
        <v/>
      </c>
      <c r="N6729" s="11">
        <f>Summary!$C$16*Summary!$B$8</f>
        <v/>
      </c>
      <c r="O6729" s="11">
        <f>M6729-N6729</f>
        <v/>
      </c>
    </row>
    <row r="6730">
      <c r="A6730" s="9" t="n">
        <v>45572.33333333334</v>
      </c>
      <c r="B6730" t="n">
        <v>10</v>
      </c>
      <c r="C6730" t="n">
        <v>7</v>
      </c>
      <c r="D6730" t="n">
        <v>8</v>
      </c>
      <c r="E6730" s="10" t="n">
        <v>0.042479</v>
      </c>
      <c r="F6730" s="10" t="n">
        <v>0.3580974139433794</v>
      </c>
      <c r="G6730" s="11">
        <f>E6730*Summary!$B$6</f>
        <v/>
      </c>
      <c r="H6730" s="11">
        <f>F6730*Summary!$B$7</f>
        <v/>
      </c>
      <c r="I6730" s="11">
        <f>MAX(0,N6730-M6730)</f>
        <v/>
      </c>
      <c r="J6730" s="11">
        <f>MAX(0,M6730-N6730)</f>
        <v/>
      </c>
      <c r="K6730" s="11">
        <f>O6730</f>
        <v/>
      </c>
      <c r="L6730" s="11">
        <f>L6729+IF(K6730&gt;0,K6730*Summary!$B$9,K6730/Summary!$B$9)</f>
        <v/>
      </c>
      <c r="M6730" s="11">
        <f>G6730+H6730</f>
        <v/>
      </c>
      <c r="N6730" s="11">
        <f>Summary!$C$16*Summary!$B$8</f>
        <v/>
      </c>
      <c r="O6730" s="11">
        <f>M6730-N6730</f>
        <v/>
      </c>
    </row>
    <row r="6731">
      <c r="A6731" s="9" t="n">
        <v>45572.375</v>
      </c>
      <c r="B6731" t="n">
        <v>10</v>
      </c>
      <c r="C6731" t="n">
        <v>7</v>
      </c>
      <c r="D6731" t="n">
        <v>9</v>
      </c>
      <c r="E6731" s="10" t="n">
        <v>0.059335</v>
      </c>
      <c r="F6731" s="10" t="n">
        <v>0.3534331088239461</v>
      </c>
      <c r="G6731" s="11">
        <f>E6731*Summary!$B$6</f>
        <v/>
      </c>
      <c r="H6731" s="11">
        <f>F6731*Summary!$B$7</f>
        <v/>
      </c>
      <c r="I6731" s="11">
        <f>MAX(0,N6731-M6731)</f>
        <v/>
      </c>
      <c r="J6731" s="11">
        <f>MAX(0,M6731-N6731)</f>
        <v/>
      </c>
      <c r="K6731" s="11">
        <f>O6731</f>
        <v/>
      </c>
      <c r="L6731" s="11">
        <f>L6730+IF(K6731&gt;0,K6731*Summary!$B$9,K6731/Summary!$B$9)</f>
        <v/>
      </c>
      <c r="M6731" s="11">
        <f>G6731+H6731</f>
        <v/>
      </c>
      <c r="N6731" s="11">
        <f>Summary!$C$16*Summary!$B$8</f>
        <v/>
      </c>
      <c r="O6731" s="11">
        <f>M6731-N6731</f>
        <v/>
      </c>
    </row>
    <row r="6732">
      <c r="A6732" s="9" t="n">
        <v>45572.41666666666</v>
      </c>
      <c r="B6732" t="n">
        <v>10</v>
      </c>
      <c r="C6732" t="n">
        <v>7</v>
      </c>
      <c r="D6732" t="n">
        <v>10</v>
      </c>
      <c r="E6732" s="10" t="n">
        <v>0.07303999999999999</v>
      </c>
      <c r="F6732" s="10" t="n">
        <v>0.349980995995439</v>
      </c>
      <c r="G6732" s="11">
        <f>E6732*Summary!$B$6</f>
        <v/>
      </c>
      <c r="H6732" s="11">
        <f>F6732*Summary!$B$7</f>
        <v/>
      </c>
      <c r="I6732" s="11">
        <f>MAX(0,N6732-M6732)</f>
        <v/>
      </c>
      <c r="J6732" s="11">
        <f>MAX(0,M6732-N6732)</f>
        <v/>
      </c>
      <c r="K6732" s="11">
        <f>O6732</f>
        <v/>
      </c>
      <c r="L6732" s="11">
        <f>L6731+IF(K6732&gt;0,K6732*Summary!$B$9,K6732/Summary!$B$9)</f>
        <v/>
      </c>
      <c r="M6732" s="11">
        <f>G6732+H6732</f>
        <v/>
      </c>
      <c r="N6732" s="11">
        <f>Summary!$C$16*Summary!$B$8</f>
        <v/>
      </c>
      <c r="O6732" s="11">
        <f>M6732-N6732</f>
        <v/>
      </c>
    </row>
    <row r="6733">
      <c r="A6733" s="9" t="n">
        <v>45572.45833333334</v>
      </c>
      <c r="B6733" t="n">
        <v>10</v>
      </c>
      <c r="C6733" t="n">
        <v>7</v>
      </c>
      <c r="D6733" t="n">
        <v>11</v>
      </c>
      <c r="E6733" s="10" t="n">
        <v>0.096138</v>
      </c>
      <c r="F6733" s="10" t="n">
        <v>0.3480045955211029</v>
      </c>
      <c r="G6733" s="11">
        <f>E6733*Summary!$B$6</f>
        <v/>
      </c>
      <c r="H6733" s="11">
        <f>F6733*Summary!$B$7</f>
        <v/>
      </c>
      <c r="I6733" s="11">
        <f>MAX(0,N6733-M6733)</f>
        <v/>
      </c>
      <c r="J6733" s="11">
        <f>MAX(0,M6733-N6733)</f>
        <v/>
      </c>
      <c r="K6733" s="11">
        <f>O6733</f>
        <v/>
      </c>
      <c r="L6733" s="11">
        <f>L6732+IF(K6733&gt;0,K6733*Summary!$B$9,K6733/Summary!$B$9)</f>
        <v/>
      </c>
      <c r="M6733" s="11">
        <f>G6733+H6733</f>
        <v/>
      </c>
      <c r="N6733" s="11">
        <f>Summary!$C$16*Summary!$B$8</f>
        <v/>
      </c>
      <c r="O6733" s="11">
        <f>M6733-N6733</f>
        <v/>
      </c>
    </row>
    <row r="6734">
      <c r="A6734" s="9" t="n">
        <v>45572.5</v>
      </c>
      <c r="B6734" t="n">
        <v>10</v>
      </c>
      <c r="C6734" t="n">
        <v>7</v>
      </c>
      <c r="D6734" t="n">
        <v>12</v>
      </c>
      <c r="E6734" s="10" t="n">
        <v>0.114486</v>
      </c>
      <c r="F6734" s="10" t="n">
        <v>0.3466606431985544</v>
      </c>
      <c r="G6734" s="11">
        <f>E6734*Summary!$B$6</f>
        <v/>
      </c>
      <c r="H6734" s="11">
        <f>F6734*Summary!$B$7</f>
        <v/>
      </c>
      <c r="I6734" s="11">
        <f>MAX(0,N6734-M6734)</f>
        <v/>
      </c>
      <c r="J6734" s="11">
        <f>MAX(0,M6734-N6734)</f>
        <v/>
      </c>
      <c r="K6734" s="11">
        <f>O6734</f>
        <v/>
      </c>
      <c r="L6734" s="11">
        <f>L6733+IF(K6734&gt;0,K6734*Summary!$B$9,K6734/Summary!$B$9)</f>
        <v/>
      </c>
      <c r="M6734" s="11">
        <f>G6734+H6734</f>
        <v/>
      </c>
      <c r="N6734" s="11">
        <f>Summary!$C$16*Summary!$B$8</f>
        <v/>
      </c>
      <c r="O6734" s="11">
        <f>M6734-N6734</f>
        <v/>
      </c>
    </row>
    <row r="6735">
      <c r="A6735" s="9" t="n">
        <v>45572.54166666666</v>
      </c>
      <c r="B6735" t="n">
        <v>10</v>
      </c>
      <c r="C6735" t="n">
        <v>7</v>
      </c>
      <c r="D6735" t="n">
        <v>13</v>
      </c>
      <c r="E6735" s="10" t="n">
        <v>0.07141500000000001</v>
      </c>
      <c r="F6735" s="10" t="n">
        <v>0.3467396992175278</v>
      </c>
      <c r="G6735" s="11">
        <f>E6735*Summary!$B$6</f>
        <v/>
      </c>
      <c r="H6735" s="11">
        <f>F6735*Summary!$B$7</f>
        <v/>
      </c>
      <c r="I6735" s="11">
        <f>MAX(0,N6735-M6735)</f>
        <v/>
      </c>
      <c r="J6735" s="11">
        <f>MAX(0,M6735-N6735)</f>
        <v/>
      </c>
      <c r="K6735" s="11">
        <f>O6735</f>
        <v/>
      </c>
      <c r="L6735" s="11">
        <f>L6734+IF(K6735&gt;0,K6735*Summary!$B$9,K6735/Summary!$B$9)</f>
        <v/>
      </c>
      <c r="M6735" s="11">
        <f>G6735+H6735</f>
        <v/>
      </c>
      <c r="N6735" s="11">
        <f>Summary!$C$16*Summary!$B$8</f>
        <v/>
      </c>
      <c r="O6735" s="11">
        <f>M6735-N6735</f>
        <v/>
      </c>
    </row>
    <row r="6736">
      <c r="A6736" s="9" t="n">
        <v>45572.58333333334</v>
      </c>
      <c r="B6736" t="n">
        <v>10</v>
      </c>
      <c r="C6736" t="n">
        <v>7</v>
      </c>
      <c r="D6736" t="n">
        <v>14</v>
      </c>
      <c r="E6736" s="10" t="n">
        <v>0.062543</v>
      </c>
      <c r="F6736" s="10" t="n">
        <v>0.3429713623131269</v>
      </c>
      <c r="G6736" s="11">
        <f>E6736*Summary!$B$6</f>
        <v/>
      </c>
      <c r="H6736" s="11">
        <f>F6736*Summary!$B$7</f>
        <v/>
      </c>
      <c r="I6736" s="11">
        <f>MAX(0,N6736-M6736)</f>
        <v/>
      </c>
      <c r="J6736" s="11">
        <f>MAX(0,M6736-N6736)</f>
        <v/>
      </c>
      <c r="K6736" s="11">
        <f>O6736</f>
        <v/>
      </c>
      <c r="L6736" s="11">
        <f>L6735+IF(K6736&gt;0,K6736*Summary!$B$9,K6736/Summary!$B$9)</f>
        <v/>
      </c>
      <c r="M6736" s="11">
        <f>G6736+H6736</f>
        <v/>
      </c>
      <c r="N6736" s="11">
        <f>Summary!$C$16*Summary!$B$8</f>
        <v/>
      </c>
      <c r="O6736" s="11">
        <f>M6736-N6736</f>
        <v/>
      </c>
    </row>
    <row r="6737">
      <c r="A6737" s="9" t="n">
        <v>45572.625</v>
      </c>
      <c r="B6737" t="n">
        <v>10</v>
      </c>
      <c r="C6737" t="n">
        <v>7</v>
      </c>
      <c r="D6737" t="n">
        <v>15</v>
      </c>
      <c r="E6737" s="10" t="n">
        <v>0.038007</v>
      </c>
      <c r="F6737" s="10" t="n">
        <v>0.3438673305281593</v>
      </c>
      <c r="G6737" s="11">
        <f>E6737*Summary!$B$6</f>
        <v/>
      </c>
      <c r="H6737" s="11">
        <f>F6737*Summary!$B$7</f>
        <v/>
      </c>
      <c r="I6737" s="11">
        <f>MAX(0,N6737-M6737)</f>
        <v/>
      </c>
      <c r="J6737" s="11">
        <f>MAX(0,M6737-N6737)</f>
        <v/>
      </c>
      <c r="K6737" s="11">
        <f>O6737</f>
        <v/>
      </c>
      <c r="L6737" s="11">
        <f>L6736+IF(K6737&gt;0,K6737*Summary!$B$9,K6737/Summary!$B$9)</f>
        <v/>
      </c>
      <c r="M6737" s="11">
        <f>G6737+H6737</f>
        <v/>
      </c>
      <c r="N6737" s="11">
        <f>Summary!$C$16*Summary!$B$8</f>
        <v/>
      </c>
      <c r="O6737" s="11">
        <f>M6737-N6737</f>
        <v/>
      </c>
    </row>
    <row r="6738">
      <c r="A6738" s="9" t="n">
        <v>45572.66666666666</v>
      </c>
      <c r="B6738" t="n">
        <v>10</v>
      </c>
      <c r="C6738" t="n">
        <v>7</v>
      </c>
      <c r="D6738" t="n">
        <v>16</v>
      </c>
      <c r="E6738" s="10" t="n">
        <v>0.026871</v>
      </c>
      <c r="F6738" s="10" t="n">
        <v>0.3454484509076282</v>
      </c>
      <c r="G6738" s="11">
        <f>E6738*Summary!$B$6</f>
        <v/>
      </c>
      <c r="H6738" s="11">
        <f>F6738*Summary!$B$7</f>
        <v/>
      </c>
      <c r="I6738" s="11">
        <f>MAX(0,N6738-M6738)</f>
        <v/>
      </c>
      <c r="J6738" s="11">
        <f>MAX(0,M6738-N6738)</f>
        <v/>
      </c>
      <c r="K6738" s="11">
        <f>O6738</f>
        <v/>
      </c>
      <c r="L6738" s="11">
        <f>L6737+IF(K6738&gt;0,K6738*Summary!$B$9,K6738/Summary!$B$9)</f>
        <v/>
      </c>
      <c r="M6738" s="11">
        <f>G6738+H6738</f>
        <v/>
      </c>
      <c r="N6738" s="11">
        <f>Summary!$C$16*Summary!$B$8</f>
        <v/>
      </c>
      <c r="O6738" s="11">
        <f>M6738-N6738</f>
        <v/>
      </c>
    </row>
    <row r="6739">
      <c r="A6739" s="9" t="n">
        <v>45572.70833333334</v>
      </c>
      <c r="B6739" t="n">
        <v>10</v>
      </c>
      <c r="C6739" t="n">
        <v>7</v>
      </c>
      <c r="D6739" t="n">
        <v>17</v>
      </c>
      <c r="E6739" s="10" t="n">
        <v>0</v>
      </c>
      <c r="F6739" s="10" t="n">
        <v>0.4218165652359757</v>
      </c>
      <c r="G6739" s="11">
        <f>E6739*Summary!$B$6</f>
        <v/>
      </c>
      <c r="H6739" s="11">
        <f>F6739*Summary!$B$7</f>
        <v/>
      </c>
      <c r="I6739" s="11">
        <f>MAX(0,N6739-M6739)</f>
        <v/>
      </c>
      <c r="J6739" s="11">
        <f>MAX(0,M6739-N6739)</f>
        <v/>
      </c>
      <c r="K6739" s="11">
        <f>O6739</f>
        <v/>
      </c>
      <c r="L6739" s="11">
        <f>L6738+IF(K6739&gt;0,K6739*Summary!$B$9,K6739/Summary!$B$9)</f>
        <v/>
      </c>
      <c r="M6739" s="11">
        <f>G6739+H6739</f>
        <v/>
      </c>
      <c r="N6739" s="11">
        <f>Summary!$C$16*Summary!$B$8</f>
        <v/>
      </c>
      <c r="O6739" s="11">
        <f>M6739-N6739</f>
        <v/>
      </c>
    </row>
    <row r="6740">
      <c r="A6740" s="9" t="n">
        <v>45572.75</v>
      </c>
      <c r="B6740" t="n">
        <v>10</v>
      </c>
      <c r="C6740" t="n">
        <v>7</v>
      </c>
      <c r="D6740" t="n">
        <v>18</v>
      </c>
      <c r="E6740" s="10" t="n">
        <v>0</v>
      </c>
      <c r="F6740" s="10" t="n">
        <v>0.3681111763466823</v>
      </c>
      <c r="G6740" s="11">
        <f>E6740*Summary!$B$6</f>
        <v/>
      </c>
      <c r="H6740" s="11">
        <f>F6740*Summary!$B$7</f>
        <v/>
      </c>
      <c r="I6740" s="11">
        <f>MAX(0,N6740-M6740)</f>
        <v/>
      </c>
      <c r="J6740" s="11">
        <f>MAX(0,M6740-N6740)</f>
        <v/>
      </c>
      <c r="K6740" s="11">
        <f>O6740</f>
        <v/>
      </c>
      <c r="L6740" s="11">
        <f>L6739+IF(K6740&gt;0,K6740*Summary!$B$9,K6740/Summary!$B$9)</f>
        <v/>
      </c>
      <c r="M6740" s="11">
        <f>G6740+H6740</f>
        <v/>
      </c>
      <c r="N6740" s="11">
        <f>Summary!$C$16*Summary!$B$8</f>
        <v/>
      </c>
      <c r="O6740" s="11">
        <f>M6740-N6740</f>
        <v/>
      </c>
    </row>
    <row r="6741">
      <c r="A6741" s="9" t="n">
        <v>45572.79166666666</v>
      </c>
      <c r="B6741" t="n">
        <v>10</v>
      </c>
      <c r="C6741" t="n">
        <v>7</v>
      </c>
      <c r="D6741" t="n">
        <v>19</v>
      </c>
      <c r="E6741" s="10" t="n">
        <v>0</v>
      </c>
      <c r="F6741" s="10" t="n">
        <v>0.3745147138835313</v>
      </c>
      <c r="G6741" s="11">
        <f>E6741*Summary!$B$6</f>
        <v/>
      </c>
      <c r="H6741" s="11">
        <f>F6741*Summary!$B$7</f>
        <v/>
      </c>
      <c r="I6741" s="11">
        <f>MAX(0,N6741-M6741)</f>
        <v/>
      </c>
      <c r="J6741" s="11">
        <f>MAX(0,M6741-N6741)</f>
        <v/>
      </c>
      <c r="K6741" s="11">
        <f>O6741</f>
        <v/>
      </c>
      <c r="L6741" s="11">
        <f>L6740+IF(K6741&gt;0,K6741*Summary!$B$9,K6741/Summary!$B$9)</f>
        <v/>
      </c>
      <c r="M6741" s="11">
        <f>G6741+H6741</f>
        <v/>
      </c>
      <c r="N6741" s="11">
        <f>Summary!$C$16*Summary!$B$8</f>
        <v/>
      </c>
      <c r="O6741" s="11">
        <f>M6741-N6741</f>
        <v/>
      </c>
    </row>
    <row r="6742">
      <c r="A6742" s="9" t="n">
        <v>45572.83333333334</v>
      </c>
      <c r="B6742" t="n">
        <v>10</v>
      </c>
      <c r="C6742" t="n">
        <v>7</v>
      </c>
      <c r="D6742" t="n">
        <v>20</v>
      </c>
      <c r="E6742" s="10" t="n">
        <v>0</v>
      </c>
      <c r="F6742" s="10" t="n">
        <v>0.3860568926536543</v>
      </c>
      <c r="G6742" s="11">
        <f>E6742*Summary!$B$6</f>
        <v/>
      </c>
      <c r="H6742" s="11">
        <f>F6742*Summary!$B$7</f>
        <v/>
      </c>
      <c r="I6742" s="11">
        <f>MAX(0,N6742-M6742)</f>
        <v/>
      </c>
      <c r="J6742" s="11">
        <f>MAX(0,M6742-N6742)</f>
        <v/>
      </c>
      <c r="K6742" s="11">
        <f>O6742</f>
        <v/>
      </c>
      <c r="L6742" s="11">
        <f>L6741+IF(K6742&gt;0,K6742*Summary!$B$9,K6742/Summary!$B$9)</f>
        <v/>
      </c>
      <c r="M6742" s="11">
        <f>G6742+H6742</f>
        <v/>
      </c>
      <c r="N6742" s="11">
        <f>Summary!$C$16*Summary!$B$8</f>
        <v/>
      </c>
      <c r="O6742" s="11">
        <f>M6742-N6742</f>
        <v/>
      </c>
    </row>
    <row r="6743">
      <c r="A6743" s="9" t="n">
        <v>45572.875</v>
      </c>
      <c r="B6743" t="n">
        <v>10</v>
      </c>
      <c r="C6743" t="n">
        <v>7</v>
      </c>
      <c r="D6743" t="n">
        <v>21</v>
      </c>
      <c r="E6743" s="10" t="n">
        <v>0</v>
      </c>
      <c r="F6743" s="10" t="n">
        <v>0.4040553129732751</v>
      </c>
      <c r="G6743" s="11">
        <f>E6743*Summary!$B$6</f>
        <v/>
      </c>
      <c r="H6743" s="11">
        <f>F6743*Summary!$B$7</f>
        <v/>
      </c>
      <c r="I6743" s="11">
        <f>MAX(0,N6743-M6743)</f>
        <v/>
      </c>
      <c r="J6743" s="11">
        <f>MAX(0,M6743-N6743)</f>
        <v/>
      </c>
      <c r="K6743" s="11">
        <f>O6743</f>
        <v/>
      </c>
      <c r="L6743" s="11">
        <f>L6742+IF(K6743&gt;0,K6743*Summary!$B$9,K6743/Summary!$B$9)</f>
        <v/>
      </c>
      <c r="M6743" s="11">
        <f>G6743+H6743</f>
        <v/>
      </c>
      <c r="N6743" s="11">
        <f>Summary!$C$16*Summary!$B$8</f>
        <v/>
      </c>
      <c r="O6743" s="11">
        <f>M6743-N6743</f>
        <v/>
      </c>
    </row>
    <row r="6744">
      <c r="A6744" s="9" t="n">
        <v>45572.91666666666</v>
      </c>
      <c r="B6744" t="n">
        <v>10</v>
      </c>
      <c r="C6744" t="n">
        <v>7</v>
      </c>
      <c r="D6744" t="n">
        <v>22</v>
      </c>
      <c r="E6744" s="10" t="n">
        <v>0</v>
      </c>
      <c r="F6744" s="10" t="n">
        <v>0.3919597420703381</v>
      </c>
      <c r="G6744" s="11">
        <f>E6744*Summary!$B$6</f>
        <v/>
      </c>
      <c r="H6744" s="11">
        <f>F6744*Summary!$B$7</f>
        <v/>
      </c>
      <c r="I6744" s="11">
        <f>MAX(0,N6744-M6744)</f>
        <v/>
      </c>
      <c r="J6744" s="11">
        <f>MAX(0,M6744-N6744)</f>
        <v/>
      </c>
      <c r="K6744" s="11">
        <f>O6744</f>
        <v/>
      </c>
      <c r="L6744" s="11">
        <f>L6743+IF(K6744&gt;0,K6744*Summary!$B$9,K6744/Summary!$B$9)</f>
        <v/>
      </c>
      <c r="M6744" s="11">
        <f>G6744+H6744</f>
        <v/>
      </c>
      <c r="N6744" s="11">
        <f>Summary!$C$16*Summary!$B$8</f>
        <v/>
      </c>
      <c r="O6744" s="11">
        <f>M6744-N6744</f>
        <v/>
      </c>
    </row>
    <row r="6745">
      <c r="A6745" s="9" t="n">
        <v>45572.95833333334</v>
      </c>
      <c r="B6745" t="n">
        <v>10</v>
      </c>
      <c r="C6745" t="n">
        <v>7</v>
      </c>
      <c r="D6745" t="n">
        <v>23</v>
      </c>
      <c r="E6745" s="10" t="n">
        <v>0</v>
      </c>
      <c r="F6745" s="10" t="n">
        <v>0.3945949427027863</v>
      </c>
      <c r="G6745" s="11">
        <f>E6745*Summary!$B$6</f>
        <v/>
      </c>
      <c r="H6745" s="11">
        <f>F6745*Summary!$B$7</f>
        <v/>
      </c>
      <c r="I6745" s="11">
        <f>MAX(0,N6745-M6745)</f>
        <v/>
      </c>
      <c r="J6745" s="11">
        <f>MAX(0,M6745-N6745)</f>
        <v/>
      </c>
      <c r="K6745" s="11">
        <f>O6745</f>
        <v/>
      </c>
      <c r="L6745" s="11">
        <f>L6744+IF(K6745&gt;0,K6745*Summary!$B$9,K6745/Summary!$B$9)</f>
        <v/>
      </c>
      <c r="M6745" s="11">
        <f>G6745+H6745</f>
        <v/>
      </c>
      <c r="N6745" s="11">
        <f>Summary!$C$16*Summary!$B$8</f>
        <v/>
      </c>
      <c r="O6745" s="11">
        <f>M6745-N6745</f>
        <v/>
      </c>
    </row>
    <row r="6746">
      <c r="A6746" s="9" t="n">
        <v>45573</v>
      </c>
      <c r="B6746" t="n">
        <v>10</v>
      </c>
      <c r="C6746" t="n">
        <v>8</v>
      </c>
      <c r="D6746" t="n">
        <v>0</v>
      </c>
      <c r="E6746" s="10" t="n">
        <v>0</v>
      </c>
      <c r="F6746" s="10" t="n">
        <v>0.3260533742528098</v>
      </c>
      <c r="G6746" s="11">
        <f>E6746*Summary!$B$6</f>
        <v/>
      </c>
      <c r="H6746" s="11">
        <f>F6746*Summary!$B$7</f>
        <v/>
      </c>
      <c r="I6746" s="11">
        <f>MAX(0,N6746-M6746)</f>
        <v/>
      </c>
      <c r="J6746" s="11">
        <f>MAX(0,M6746-N6746)</f>
        <v/>
      </c>
      <c r="K6746" s="11">
        <f>O6746</f>
        <v/>
      </c>
      <c r="L6746" s="11">
        <f>L6745+IF(K6746&gt;0,K6746*Summary!$B$9,K6746/Summary!$B$9)</f>
        <v/>
      </c>
      <c r="M6746" s="11">
        <f>G6746+H6746</f>
        <v/>
      </c>
      <c r="N6746" s="11">
        <f>Summary!$C$16*Summary!$B$8</f>
        <v/>
      </c>
      <c r="O6746" s="11">
        <f>M6746-N6746</f>
        <v/>
      </c>
    </row>
    <row r="6747">
      <c r="A6747" s="9" t="n">
        <v>45573.04166666666</v>
      </c>
      <c r="B6747" t="n">
        <v>10</v>
      </c>
      <c r="C6747" t="n">
        <v>8</v>
      </c>
      <c r="D6747" t="n">
        <v>1</v>
      </c>
      <c r="E6747" s="10" t="n">
        <v>0</v>
      </c>
      <c r="F6747" s="10" t="n">
        <v>0.389271837425241</v>
      </c>
      <c r="G6747" s="11">
        <f>E6747*Summary!$B$6</f>
        <v/>
      </c>
      <c r="H6747" s="11">
        <f>F6747*Summary!$B$7</f>
        <v/>
      </c>
      <c r="I6747" s="11">
        <f>MAX(0,N6747-M6747)</f>
        <v/>
      </c>
      <c r="J6747" s="11">
        <f>MAX(0,M6747-N6747)</f>
        <v/>
      </c>
      <c r="K6747" s="11">
        <f>O6747</f>
        <v/>
      </c>
      <c r="L6747" s="11">
        <f>L6746+IF(K6747&gt;0,K6747*Summary!$B$9,K6747/Summary!$B$9)</f>
        <v/>
      </c>
      <c r="M6747" s="11">
        <f>G6747+H6747</f>
        <v/>
      </c>
      <c r="N6747" s="11">
        <f>Summary!$C$16*Summary!$B$8</f>
        <v/>
      </c>
      <c r="O6747" s="11">
        <f>M6747-N6747</f>
        <v/>
      </c>
    </row>
    <row r="6748">
      <c r="A6748" s="9" t="n">
        <v>45573.08333333334</v>
      </c>
      <c r="B6748" t="n">
        <v>10</v>
      </c>
      <c r="C6748" t="n">
        <v>8</v>
      </c>
      <c r="D6748" t="n">
        <v>2</v>
      </c>
      <c r="E6748" s="10" t="n">
        <v>0</v>
      </c>
      <c r="F6748" s="10" t="n">
        <v>0.3881650531596127</v>
      </c>
      <c r="G6748" s="11">
        <f>E6748*Summary!$B$6</f>
        <v/>
      </c>
      <c r="H6748" s="11">
        <f>F6748*Summary!$B$7</f>
        <v/>
      </c>
      <c r="I6748" s="11">
        <f>MAX(0,N6748-M6748)</f>
        <v/>
      </c>
      <c r="J6748" s="11">
        <f>MAX(0,M6748-N6748)</f>
        <v/>
      </c>
      <c r="K6748" s="11">
        <f>O6748</f>
        <v/>
      </c>
      <c r="L6748" s="11">
        <f>L6747+IF(K6748&gt;0,K6748*Summary!$B$9,K6748/Summary!$B$9)</f>
        <v/>
      </c>
      <c r="M6748" s="11">
        <f>G6748+H6748</f>
        <v/>
      </c>
      <c r="N6748" s="11">
        <f>Summary!$C$16*Summary!$B$8</f>
        <v/>
      </c>
      <c r="O6748" s="11">
        <f>M6748-N6748</f>
        <v/>
      </c>
    </row>
    <row r="6749">
      <c r="A6749" s="9" t="n">
        <v>45573.125</v>
      </c>
      <c r="B6749" t="n">
        <v>10</v>
      </c>
      <c r="C6749" t="n">
        <v>8</v>
      </c>
      <c r="D6749" t="n">
        <v>3</v>
      </c>
      <c r="E6749" s="10" t="n">
        <v>0</v>
      </c>
      <c r="F6749" s="10" t="n">
        <v>0.392829358279046</v>
      </c>
      <c r="G6749" s="11">
        <f>E6749*Summary!$B$6</f>
        <v/>
      </c>
      <c r="H6749" s="11">
        <f>F6749*Summary!$B$7</f>
        <v/>
      </c>
      <c r="I6749" s="11">
        <f>MAX(0,N6749-M6749)</f>
        <v/>
      </c>
      <c r="J6749" s="11">
        <f>MAX(0,M6749-N6749)</f>
        <v/>
      </c>
      <c r="K6749" s="11">
        <f>O6749</f>
        <v/>
      </c>
      <c r="L6749" s="11">
        <f>L6748+IF(K6749&gt;0,K6749*Summary!$B$9,K6749/Summary!$B$9)</f>
        <v/>
      </c>
      <c r="M6749" s="11">
        <f>G6749+H6749</f>
        <v/>
      </c>
      <c r="N6749" s="11">
        <f>Summary!$C$16*Summary!$B$8</f>
        <v/>
      </c>
      <c r="O6749" s="11">
        <f>M6749-N6749</f>
        <v/>
      </c>
    </row>
    <row r="6750">
      <c r="A6750" s="9" t="n">
        <v>45573.16666666666</v>
      </c>
      <c r="B6750" t="n">
        <v>10</v>
      </c>
      <c r="C6750" t="n">
        <v>8</v>
      </c>
      <c r="D6750" t="n">
        <v>4</v>
      </c>
      <c r="E6750" s="10" t="n">
        <v>0</v>
      </c>
      <c r="F6750" s="10" t="n">
        <v>0.3988903197336768</v>
      </c>
      <c r="G6750" s="11">
        <f>E6750*Summary!$B$6</f>
        <v/>
      </c>
      <c r="H6750" s="11">
        <f>F6750*Summary!$B$7</f>
        <v/>
      </c>
      <c r="I6750" s="11">
        <f>MAX(0,N6750-M6750)</f>
        <v/>
      </c>
      <c r="J6750" s="11">
        <f>MAX(0,M6750-N6750)</f>
        <v/>
      </c>
      <c r="K6750" s="11">
        <f>O6750</f>
        <v/>
      </c>
      <c r="L6750" s="11">
        <f>L6749+IF(K6750&gt;0,K6750*Summary!$B$9,K6750/Summary!$B$9)</f>
        <v/>
      </c>
      <c r="M6750" s="11">
        <f>G6750+H6750</f>
        <v/>
      </c>
      <c r="N6750" s="11">
        <f>Summary!$C$16*Summary!$B$8</f>
        <v/>
      </c>
      <c r="O6750" s="11">
        <f>M6750-N6750</f>
        <v/>
      </c>
    </row>
    <row r="6751">
      <c r="A6751" s="9" t="n">
        <v>45573.20833333334</v>
      </c>
      <c r="B6751" t="n">
        <v>10</v>
      </c>
      <c r="C6751" t="n">
        <v>8</v>
      </c>
      <c r="D6751" t="n">
        <v>5</v>
      </c>
      <c r="E6751" s="10" t="n">
        <v>0</v>
      </c>
      <c r="F6751" s="10" t="n">
        <v>0.400655904157417</v>
      </c>
      <c r="G6751" s="11">
        <f>E6751*Summary!$B$6</f>
        <v/>
      </c>
      <c r="H6751" s="11">
        <f>F6751*Summary!$B$7</f>
        <v/>
      </c>
      <c r="I6751" s="11">
        <f>MAX(0,N6751-M6751)</f>
        <v/>
      </c>
      <c r="J6751" s="11">
        <f>MAX(0,M6751-N6751)</f>
        <v/>
      </c>
      <c r="K6751" s="11">
        <f>O6751</f>
        <v/>
      </c>
      <c r="L6751" s="11">
        <f>L6750+IF(K6751&gt;0,K6751*Summary!$B$9,K6751/Summary!$B$9)</f>
        <v/>
      </c>
      <c r="M6751" s="11">
        <f>G6751+H6751</f>
        <v/>
      </c>
      <c r="N6751" s="11">
        <f>Summary!$C$16*Summary!$B$8</f>
        <v/>
      </c>
      <c r="O6751" s="11">
        <f>M6751-N6751</f>
        <v/>
      </c>
    </row>
    <row r="6752">
      <c r="A6752" s="9" t="n">
        <v>45573.25</v>
      </c>
      <c r="B6752" t="n">
        <v>10</v>
      </c>
      <c r="C6752" t="n">
        <v>8</v>
      </c>
      <c r="D6752" t="n">
        <v>6</v>
      </c>
      <c r="E6752" s="10" t="n">
        <v>0</v>
      </c>
      <c r="F6752" s="10" t="n">
        <v>0.4002606240625498</v>
      </c>
      <c r="G6752" s="11">
        <f>E6752*Summary!$B$6</f>
        <v/>
      </c>
      <c r="H6752" s="11">
        <f>F6752*Summary!$B$7</f>
        <v/>
      </c>
      <c r="I6752" s="11">
        <f>MAX(0,N6752-M6752)</f>
        <v/>
      </c>
      <c r="J6752" s="11">
        <f>MAX(0,M6752-N6752)</f>
        <v/>
      </c>
      <c r="K6752" s="11">
        <f>O6752</f>
        <v/>
      </c>
      <c r="L6752" s="11">
        <f>L6751+IF(K6752&gt;0,K6752*Summary!$B$9,K6752/Summary!$B$9)</f>
        <v/>
      </c>
      <c r="M6752" s="11">
        <f>G6752+H6752</f>
        <v/>
      </c>
      <c r="N6752" s="11">
        <f>Summary!$C$16*Summary!$B$8</f>
        <v/>
      </c>
      <c r="O6752" s="11">
        <f>M6752-N6752</f>
        <v/>
      </c>
    </row>
    <row r="6753">
      <c r="A6753" s="9" t="n">
        <v>45573.29166666666</v>
      </c>
      <c r="B6753" t="n">
        <v>10</v>
      </c>
      <c r="C6753" t="n">
        <v>8</v>
      </c>
      <c r="D6753" t="n">
        <v>7</v>
      </c>
      <c r="E6753" s="10" t="n">
        <v>0.122459</v>
      </c>
      <c r="F6753" s="10" t="n">
        <v>0.3954118548988451</v>
      </c>
      <c r="G6753" s="11">
        <f>E6753*Summary!$B$6</f>
        <v/>
      </c>
      <c r="H6753" s="11">
        <f>F6753*Summary!$B$7</f>
        <v/>
      </c>
      <c r="I6753" s="11">
        <f>MAX(0,N6753-M6753)</f>
        <v/>
      </c>
      <c r="J6753" s="11">
        <f>MAX(0,M6753-N6753)</f>
        <v/>
      </c>
      <c r="K6753" s="11">
        <f>O6753</f>
        <v/>
      </c>
      <c r="L6753" s="11">
        <f>L6752+IF(K6753&gt;0,K6753*Summary!$B$9,K6753/Summary!$B$9)</f>
        <v/>
      </c>
      <c r="M6753" s="11">
        <f>G6753+H6753</f>
        <v/>
      </c>
      <c r="N6753" s="11">
        <f>Summary!$C$16*Summary!$B$8</f>
        <v/>
      </c>
      <c r="O6753" s="11">
        <f>M6753-N6753</f>
        <v/>
      </c>
    </row>
    <row r="6754">
      <c r="A6754" s="9" t="n">
        <v>45573.33333333334</v>
      </c>
      <c r="B6754" t="n">
        <v>10</v>
      </c>
      <c r="C6754" t="n">
        <v>8</v>
      </c>
      <c r="D6754" t="n">
        <v>8</v>
      </c>
      <c r="E6754" s="10" t="n">
        <v>0.312598</v>
      </c>
      <c r="F6754" s="10" t="n">
        <v>0.3869001568560377</v>
      </c>
      <c r="G6754" s="11">
        <f>E6754*Summary!$B$6</f>
        <v/>
      </c>
      <c r="H6754" s="11">
        <f>F6754*Summary!$B$7</f>
        <v/>
      </c>
      <c r="I6754" s="11">
        <f>MAX(0,N6754-M6754)</f>
        <v/>
      </c>
      <c r="J6754" s="11">
        <f>MAX(0,M6754-N6754)</f>
        <v/>
      </c>
      <c r="K6754" s="11">
        <f>O6754</f>
        <v/>
      </c>
      <c r="L6754" s="11">
        <f>L6753+IF(K6754&gt;0,K6754*Summary!$B$9,K6754/Summary!$B$9)</f>
        <v/>
      </c>
      <c r="M6754" s="11">
        <f>G6754+H6754</f>
        <v/>
      </c>
      <c r="N6754" s="11">
        <f>Summary!$C$16*Summary!$B$8</f>
        <v/>
      </c>
      <c r="O6754" s="11">
        <f>M6754-N6754</f>
        <v/>
      </c>
    </row>
    <row r="6755">
      <c r="A6755" s="9" t="n">
        <v>45573.375</v>
      </c>
      <c r="B6755" t="n">
        <v>10</v>
      </c>
      <c r="C6755" t="n">
        <v>8</v>
      </c>
      <c r="D6755" t="n">
        <v>9</v>
      </c>
      <c r="E6755" s="10" t="n">
        <v>0.46892</v>
      </c>
      <c r="F6755" s="10" t="n">
        <v>0.3845021242805098</v>
      </c>
      <c r="G6755" s="11">
        <f>E6755*Summary!$B$6</f>
        <v/>
      </c>
      <c r="H6755" s="11">
        <f>F6755*Summary!$B$7</f>
        <v/>
      </c>
      <c r="I6755" s="11">
        <f>MAX(0,N6755-M6755)</f>
        <v/>
      </c>
      <c r="J6755" s="11">
        <f>MAX(0,M6755-N6755)</f>
        <v/>
      </c>
      <c r="K6755" s="11">
        <f>O6755</f>
        <v/>
      </c>
      <c r="L6755" s="11">
        <f>L6754+IF(K6755&gt;0,K6755*Summary!$B$9,K6755/Summary!$B$9)</f>
        <v/>
      </c>
      <c r="M6755" s="11">
        <f>G6755+H6755</f>
        <v/>
      </c>
      <c r="N6755" s="11">
        <f>Summary!$C$16*Summary!$B$8</f>
        <v/>
      </c>
      <c r="O6755" s="11">
        <f>M6755-N6755</f>
        <v/>
      </c>
    </row>
    <row r="6756">
      <c r="A6756" s="9" t="n">
        <v>45573.41666666666</v>
      </c>
      <c r="B6756" t="n">
        <v>10</v>
      </c>
      <c r="C6756" t="n">
        <v>8</v>
      </c>
      <c r="D6756" t="n">
        <v>10</v>
      </c>
      <c r="E6756" s="10" t="n">
        <v>0.574871</v>
      </c>
      <c r="F6756" s="10" t="n">
        <v>0.3819196276607106</v>
      </c>
      <c r="G6756" s="11">
        <f>E6756*Summary!$B$6</f>
        <v/>
      </c>
      <c r="H6756" s="11">
        <f>F6756*Summary!$B$7</f>
        <v/>
      </c>
      <c r="I6756" s="11">
        <f>MAX(0,N6756-M6756)</f>
        <v/>
      </c>
      <c r="J6756" s="11">
        <f>MAX(0,M6756-N6756)</f>
        <v/>
      </c>
      <c r="K6756" s="11">
        <f>O6756</f>
        <v/>
      </c>
      <c r="L6756" s="11">
        <f>L6755+IF(K6756&gt;0,K6756*Summary!$B$9,K6756/Summary!$B$9)</f>
        <v/>
      </c>
      <c r="M6756" s="11">
        <f>G6756+H6756</f>
        <v/>
      </c>
      <c r="N6756" s="11">
        <f>Summary!$C$16*Summary!$B$8</f>
        <v/>
      </c>
      <c r="O6756" s="11">
        <f>M6756-N6756</f>
        <v/>
      </c>
    </row>
    <row r="6757">
      <c r="A6757" s="9" t="n">
        <v>45573.45833333334</v>
      </c>
      <c r="B6757" t="n">
        <v>10</v>
      </c>
      <c r="C6757" t="n">
        <v>8</v>
      </c>
      <c r="D6757" t="n">
        <v>11</v>
      </c>
      <c r="E6757" s="10" t="n">
        <v>0.626878</v>
      </c>
      <c r="F6757" s="10" t="n">
        <v>0.3849764603943505</v>
      </c>
      <c r="G6757" s="11">
        <f>E6757*Summary!$B$6</f>
        <v/>
      </c>
      <c r="H6757" s="11">
        <f>F6757*Summary!$B$7</f>
        <v/>
      </c>
      <c r="I6757" s="11">
        <f>MAX(0,N6757-M6757)</f>
        <v/>
      </c>
      <c r="J6757" s="11">
        <f>MAX(0,M6757-N6757)</f>
        <v/>
      </c>
      <c r="K6757" s="11">
        <f>O6757</f>
        <v/>
      </c>
      <c r="L6757" s="11">
        <f>L6756+IF(K6757&gt;0,K6757*Summary!$B$9,K6757/Summary!$B$9)</f>
        <v/>
      </c>
      <c r="M6757" s="11">
        <f>G6757+H6757</f>
        <v/>
      </c>
      <c r="N6757" s="11">
        <f>Summary!$C$16*Summary!$B$8</f>
        <v/>
      </c>
      <c r="O6757" s="11">
        <f>M6757-N6757</f>
        <v/>
      </c>
    </row>
    <row r="6758">
      <c r="A6758" s="9" t="n">
        <v>45573.5</v>
      </c>
      <c r="B6758" t="n">
        <v>10</v>
      </c>
      <c r="C6758" t="n">
        <v>8</v>
      </c>
      <c r="D6758" t="n">
        <v>12</v>
      </c>
      <c r="E6758" s="10" t="n">
        <v>0.447389</v>
      </c>
      <c r="F6758" s="10" t="n">
        <v>0.3822622037429289</v>
      </c>
      <c r="G6758" s="11">
        <f>E6758*Summary!$B$6</f>
        <v/>
      </c>
      <c r="H6758" s="11">
        <f>F6758*Summary!$B$7</f>
        <v/>
      </c>
      <c r="I6758" s="11">
        <f>MAX(0,N6758-M6758)</f>
        <v/>
      </c>
      <c r="J6758" s="11">
        <f>MAX(0,M6758-N6758)</f>
        <v/>
      </c>
      <c r="K6758" s="11">
        <f>O6758</f>
        <v/>
      </c>
      <c r="L6758" s="11">
        <f>L6757+IF(K6758&gt;0,K6758*Summary!$B$9,K6758/Summary!$B$9)</f>
        <v/>
      </c>
      <c r="M6758" s="11">
        <f>G6758+H6758</f>
        <v/>
      </c>
      <c r="N6758" s="11">
        <f>Summary!$C$16*Summary!$B$8</f>
        <v/>
      </c>
      <c r="O6758" s="11">
        <f>M6758-N6758</f>
        <v/>
      </c>
    </row>
    <row r="6759">
      <c r="A6759" s="9" t="n">
        <v>45573.54166666666</v>
      </c>
      <c r="B6759" t="n">
        <v>10</v>
      </c>
      <c r="C6759" t="n">
        <v>8</v>
      </c>
      <c r="D6759" t="n">
        <v>13</v>
      </c>
      <c r="E6759" s="10" t="n">
        <v>0.34928</v>
      </c>
      <c r="F6759" s="10" t="n">
        <v>0.375647850155484</v>
      </c>
      <c r="G6759" s="11">
        <f>E6759*Summary!$B$6</f>
        <v/>
      </c>
      <c r="H6759" s="11">
        <f>F6759*Summary!$B$7</f>
        <v/>
      </c>
      <c r="I6759" s="11">
        <f>MAX(0,N6759-M6759)</f>
        <v/>
      </c>
      <c r="J6759" s="11">
        <f>MAX(0,M6759-N6759)</f>
        <v/>
      </c>
      <c r="K6759" s="11">
        <f>O6759</f>
        <v/>
      </c>
      <c r="L6759" s="11">
        <f>L6758+IF(K6759&gt;0,K6759*Summary!$B$9,K6759/Summary!$B$9)</f>
        <v/>
      </c>
      <c r="M6759" s="11">
        <f>G6759+H6759</f>
        <v/>
      </c>
      <c r="N6759" s="11">
        <f>Summary!$C$16*Summary!$B$8</f>
        <v/>
      </c>
      <c r="O6759" s="11">
        <f>M6759-N6759</f>
        <v/>
      </c>
    </row>
    <row r="6760">
      <c r="A6760" s="9" t="n">
        <v>45573.58333333334</v>
      </c>
      <c r="B6760" t="n">
        <v>10</v>
      </c>
      <c r="C6760" t="n">
        <v>8</v>
      </c>
      <c r="D6760" t="n">
        <v>14</v>
      </c>
      <c r="E6760" s="10" t="n">
        <v>0.301426</v>
      </c>
      <c r="F6760" s="10" t="n">
        <v>0.3663192399166176</v>
      </c>
      <c r="G6760" s="11">
        <f>E6760*Summary!$B$6</f>
        <v/>
      </c>
      <c r="H6760" s="11">
        <f>F6760*Summary!$B$7</f>
        <v/>
      </c>
      <c r="I6760" s="11">
        <f>MAX(0,N6760-M6760)</f>
        <v/>
      </c>
      <c r="J6760" s="11">
        <f>MAX(0,M6760-N6760)</f>
        <v/>
      </c>
      <c r="K6760" s="11">
        <f>O6760</f>
        <v/>
      </c>
      <c r="L6760" s="11">
        <f>L6759+IF(K6760&gt;0,K6760*Summary!$B$9,K6760/Summary!$B$9)</f>
        <v/>
      </c>
      <c r="M6760" s="11">
        <f>G6760+H6760</f>
        <v/>
      </c>
      <c r="N6760" s="11">
        <f>Summary!$C$16*Summary!$B$8</f>
        <v/>
      </c>
      <c r="O6760" s="11">
        <f>M6760-N6760</f>
        <v/>
      </c>
    </row>
    <row r="6761">
      <c r="A6761" s="9" t="n">
        <v>45573.625</v>
      </c>
      <c r="B6761" t="n">
        <v>10</v>
      </c>
      <c r="C6761" t="n">
        <v>8</v>
      </c>
      <c r="D6761" t="n">
        <v>15</v>
      </c>
      <c r="E6761" s="10" t="n">
        <v>0.127679</v>
      </c>
      <c r="F6761" s="10" t="n">
        <v>0.3540128529630847</v>
      </c>
      <c r="G6761" s="11">
        <f>E6761*Summary!$B$6</f>
        <v/>
      </c>
      <c r="H6761" s="11">
        <f>F6761*Summary!$B$7</f>
        <v/>
      </c>
      <c r="I6761" s="11">
        <f>MAX(0,N6761-M6761)</f>
        <v/>
      </c>
      <c r="J6761" s="11">
        <f>MAX(0,M6761-N6761)</f>
        <v/>
      </c>
      <c r="K6761" s="11">
        <f>O6761</f>
        <v/>
      </c>
      <c r="L6761" s="11">
        <f>L6760+IF(K6761&gt;0,K6761*Summary!$B$9,K6761/Summary!$B$9)</f>
        <v/>
      </c>
      <c r="M6761" s="11">
        <f>G6761+H6761</f>
        <v/>
      </c>
      <c r="N6761" s="11">
        <f>Summary!$C$16*Summary!$B$8</f>
        <v/>
      </c>
      <c r="O6761" s="11">
        <f>M6761-N6761</f>
        <v/>
      </c>
    </row>
    <row r="6762">
      <c r="A6762" s="9" t="n">
        <v>45573.66666666666</v>
      </c>
      <c r="B6762" t="n">
        <v>10</v>
      </c>
      <c r="C6762" t="n">
        <v>8</v>
      </c>
      <c r="D6762" t="n">
        <v>16</v>
      </c>
      <c r="E6762" s="10" t="n">
        <v>0.039141</v>
      </c>
      <c r="F6762" s="10" t="n">
        <v>0.3480309475274274</v>
      </c>
      <c r="G6762" s="11">
        <f>E6762*Summary!$B$6</f>
        <v/>
      </c>
      <c r="H6762" s="11">
        <f>F6762*Summary!$B$7</f>
        <v/>
      </c>
      <c r="I6762" s="11">
        <f>MAX(0,N6762-M6762)</f>
        <v/>
      </c>
      <c r="J6762" s="11">
        <f>MAX(0,M6762-N6762)</f>
        <v/>
      </c>
      <c r="K6762" s="11">
        <f>O6762</f>
        <v/>
      </c>
      <c r="L6762" s="11">
        <f>L6761+IF(K6762&gt;0,K6762*Summary!$B$9,K6762/Summary!$B$9)</f>
        <v/>
      </c>
      <c r="M6762" s="11">
        <f>G6762+H6762</f>
        <v/>
      </c>
      <c r="N6762" s="11">
        <f>Summary!$C$16*Summary!$B$8</f>
        <v/>
      </c>
      <c r="O6762" s="11">
        <f>M6762-N6762</f>
        <v/>
      </c>
    </row>
    <row r="6763">
      <c r="A6763" s="9" t="n">
        <v>45573.70833333334</v>
      </c>
      <c r="B6763" t="n">
        <v>10</v>
      </c>
      <c r="C6763" t="n">
        <v>8</v>
      </c>
      <c r="D6763" t="n">
        <v>17</v>
      </c>
      <c r="E6763" s="10" t="n">
        <v>0</v>
      </c>
      <c r="F6763" s="10" t="n">
        <v>0.3587035100888424</v>
      </c>
      <c r="G6763" s="11">
        <f>E6763*Summary!$B$6</f>
        <v/>
      </c>
      <c r="H6763" s="11">
        <f>F6763*Summary!$B$7</f>
        <v/>
      </c>
      <c r="I6763" s="11">
        <f>MAX(0,N6763-M6763)</f>
        <v/>
      </c>
      <c r="J6763" s="11">
        <f>MAX(0,M6763-N6763)</f>
        <v/>
      </c>
      <c r="K6763" s="11">
        <f>O6763</f>
        <v/>
      </c>
      <c r="L6763" s="11">
        <f>L6762+IF(K6763&gt;0,K6763*Summary!$B$9,K6763/Summary!$B$9)</f>
        <v/>
      </c>
      <c r="M6763" s="11">
        <f>G6763+H6763</f>
        <v/>
      </c>
      <c r="N6763" s="11">
        <f>Summary!$C$16*Summary!$B$8</f>
        <v/>
      </c>
      <c r="O6763" s="11">
        <f>M6763-N6763</f>
        <v/>
      </c>
    </row>
    <row r="6764">
      <c r="A6764" s="9" t="n">
        <v>45573.75</v>
      </c>
      <c r="B6764" t="n">
        <v>10</v>
      </c>
      <c r="C6764" t="n">
        <v>8</v>
      </c>
      <c r="D6764" t="n">
        <v>18</v>
      </c>
      <c r="E6764" s="10" t="n">
        <v>0</v>
      </c>
      <c r="F6764" s="10" t="n">
        <v>0.3714051771372425</v>
      </c>
      <c r="G6764" s="11">
        <f>E6764*Summary!$B$6</f>
        <v/>
      </c>
      <c r="H6764" s="11">
        <f>F6764*Summary!$B$7</f>
        <v/>
      </c>
      <c r="I6764" s="11">
        <f>MAX(0,N6764-M6764)</f>
        <v/>
      </c>
      <c r="J6764" s="11">
        <f>MAX(0,M6764-N6764)</f>
        <v/>
      </c>
      <c r="K6764" s="11">
        <f>O6764</f>
        <v/>
      </c>
      <c r="L6764" s="11">
        <f>L6763+IF(K6764&gt;0,K6764*Summary!$B$9,K6764/Summary!$B$9)</f>
        <v/>
      </c>
      <c r="M6764" s="11">
        <f>G6764+H6764</f>
        <v/>
      </c>
      <c r="N6764" s="11">
        <f>Summary!$C$16*Summary!$B$8</f>
        <v/>
      </c>
      <c r="O6764" s="11">
        <f>M6764-N6764</f>
        <v/>
      </c>
    </row>
    <row r="6765">
      <c r="A6765" s="9" t="n">
        <v>45573.79166666666</v>
      </c>
      <c r="B6765" t="n">
        <v>10</v>
      </c>
      <c r="C6765" t="n">
        <v>8</v>
      </c>
      <c r="D6765" t="n">
        <v>19</v>
      </c>
      <c r="E6765" s="10" t="n">
        <v>0</v>
      </c>
      <c r="F6765" s="10" t="n">
        <v>0.3756214981491596</v>
      </c>
      <c r="G6765" s="11">
        <f>E6765*Summary!$B$6</f>
        <v/>
      </c>
      <c r="H6765" s="11">
        <f>F6765*Summary!$B$7</f>
        <v/>
      </c>
      <c r="I6765" s="11">
        <f>MAX(0,N6765-M6765)</f>
        <v/>
      </c>
      <c r="J6765" s="11">
        <f>MAX(0,M6765-N6765)</f>
        <v/>
      </c>
      <c r="K6765" s="11">
        <f>O6765</f>
        <v/>
      </c>
      <c r="L6765" s="11">
        <f>L6764+IF(K6765&gt;0,K6765*Summary!$B$9,K6765/Summary!$B$9)</f>
        <v/>
      </c>
      <c r="M6765" s="11">
        <f>G6765+H6765</f>
        <v/>
      </c>
      <c r="N6765" s="11">
        <f>Summary!$C$16*Summary!$B$8</f>
        <v/>
      </c>
      <c r="O6765" s="11">
        <f>M6765-N6765</f>
        <v/>
      </c>
    </row>
    <row r="6766">
      <c r="A6766" s="9" t="n">
        <v>45573.83333333334</v>
      </c>
      <c r="B6766" t="n">
        <v>10</v>
      </c>
      <c r="C6766" t="n">
        <v>8</v>
      </c>
      <c r="D6766" t="n">
        <v>20</v>
      </c>
      <c r="E6766" s="10" t="n">
        <v>0</v>
      </c>
      <c r="F6766" s="10" t="n">
        <v>0.3675577842138683</v>
      </c>
      <c r="G6766" s="11">
        <f>E6766*Summary!$B$6</f>
        <v/>
      </c>
      <c r="H6766" s="11">
        <f>F6766*Summary!$B$7</f>
        <v/>
      </c>
      <c r="I6766" s="11">
        <f>MAX(0,N6766-M6766)</f>
        <v/>
      </c>
      <c r="J6766" s="11">
        <f>MAX(0,M6766-N6766)</f>
        <v/>
      </c>
      <c r="K6766" s="11">
        <f>O6766</f>
        <v/>
      </c>
      <c r="L6766" s="11">
        <f>L6765+IF(K6766&gt;0,K6766*Summary!$B$9,K6766/Summary!$B$9)</f>
        <v/>
      </c>
      <c r="M6766" s="11">
        <f>G6766+H6766</f>
        <v/>
      </c>
      <c r="N6766" s="11">
        <f>Summary!$C$16*Summary!$B$8</f>
        <v/>
      </c>
      <c r="O6766" s="11">
        <f>M6766-N6766</f>
        <v/>
      </c>
    </row>
    <row r="6767">
      <c r="A6767" s="9" t="n">
        <v>45573.875</v>
      </c>
      <c r="B6767" t="n">
        <v>10</v>
      </c>
      <c r="C6767" t="n">
        <v>8</v>
      </c>
      <c r="D6767" t="n">
        <v>21</v>
      </c>
      <c r="E6767" s="10" t="n">
        <v>0</v>
      </c>
      <c r="F6767" s="10" t="n">
        <v>0.3607326145758275</v>
      </c>
      <c r="G6767" s="11">
        <f>E6767*Summary!$B$6</f>
        <v/>
      </c>
      <c r="H6767" s="11">
        <f>F6767*Summary!$B$7</f>
        <v/>
      </c>
      <c r="I6767" s="11">
        <f>MAX(0,N6767-M6767)</f>
        <v/>
      </c>
      <c r="J6767" s="11">
        <f>MAX(0,M6767-N6767)</f>
        <v/>
      </c>
      <c r="K6767" s="11">
        <f>O6767</f>
        <v/>
      </c>
      <c r="L6767" s="11">
        <f>L6766+IF(K6767&gt;0,K6767*Summary!$B$9,K6767/Summary!$B$9)</f>
        <v/>
      </c>
      <c r="M6767" s="11">
        <f>G6767+H6767</f>
        <v/>
      </c>
      <c r="N6767" s="11">
        <f>Summary!$C$16*Summary!$B$8</f>
        <v/>
      </c>
      <c r="O6767" s="11">
        <f>M6767-N6767</f>
        <v/>
      </c>
    </row>
    <row r="6768">
      <c r="A6768" s="9" t="n">
        <v>45573.91666666666</v>
      </c>
      <c r="B6768" t="n">
        <v>10</v>
      </c>
      <c r="C6768" t="n">
        <v>8</v>
      </c>
      <c r="D6768" t="n">
        <v>22</v>
      </c>
      <c r="E6768" s="10" t="n">
        <v>0</v>
      </c>
      <c r="F6768" s="10" t="n">
        <v>0.3469241632617992</v>
      </c>
      <c r="G6768" s="11">
        <f>E6768*Summary!$B$6</f>
        <v/>
      </c>
      <c r="H6768" s="11">
        <f>F6768*Summary!$B$7</f>
        <v/>
      </c>
      <c r="I6768" s="11">
        <f>MAX(0,N6768-M6768)</f>
        <v/>
      </c>
      <c r="J6768" s="11">
        <f>MAX(0,M6768-N6768)</f>
        <v/>
      </c>
      <c r="K6768" s="11">
        <f>O6768</f>
        <v/>
      </c>
      <c r="L6768" s="11">
        <f>L6767+IF(K6768&gt;0,K6768*Summary!$B$9,K6768/Summary!$B$9)</f>
        <v/>
      </c>
      <c r="M6768" s="11">
        <f>G6768+H6768</f>
        <v/>
      </c>
      <c r="N6768" s="11">
        <f>Summary!$C$16*Summary!$B$8</f>
        <v/>
      </c>
      <c r="O6768" s="11">
        <f>M6768-N6768</f>
        <v/>
      </c>
    </row>
    <row r="6769">
      <c r="A6769" s="9" t="n">
        <v>45573.95833333334</v>
      </c>
      <c r="B6769" t="n">
        <v>10</v>
      </c>
      <c r="C6769" t="n">
        <v>8</v>
      </c>
      <c r="D6769" t="n">
        <v>23</v>
      </c>
      <c r="E6769" s="10" t="n">
        <v>0</v>
      </c>
      <c r="F6769" s="10" t="n">
        <v>0.3362516007003842</v>
      </c>
      <c r="G6769" s="11">
        <f>E6769*Summary!$B$6</f>
        <v/>
      </c>
      <c r="H6769" s="11">
        <f>F6769*Summary!$B$7</f>
        <v/>
      </c>
      <c r="I6769" s="11">
        <f>MAX(0,N6769-M6769)</f>
        <v/>
      </c>
      <c r="J6769" s="11">
        <f>MAX(0,M6769-N6769)</f>
        <v/>
      </c>
      <c r="K6769" s="11">
        <f>O6769</f>
        <v/>
      </c>
      <c r="L6769" s="11">
        <f>L6768+IF(K6769&gt;0,K6769*Summary!$B$9,K6769/Summary!$B$9)</f>
        <v/>
      </c>
      <c r="M6769" s="11">
        <f>G6769+H6769</f>
        <v/>
      </c>
      <c r="N6769" s="11">
        <f>Summary!$C$16*Summary!$B$8</f>
        <v/>
      </c>
      <c r="O6769" s="11">
        <f>M6769-N6769</f>
        <v/>
      </c>
    </row>
    <row r="6770">
      <c r="A6770" s="9" t="n">
        <v>45574</v>
      </c>
      <c r="B6770" t="n">
        <v>10</v>
      </c>
      <c r="C6770" t="n">
        <v>9</v>
      </c>
      <c r="D6770" t="n">
        <v>0</v>
      </c>
      <c r="E6770" s="10" t="n">
        <v>0</v>
      </c>
      <c r="F6770" s="10" t="n">
        <v>0.3685064564415495</v>
      </c>
      <c r="G6770" s="11">
        <f>E6770*Summary!$B$6</f>
        <v/>
      </c>
      <c r="H6770" s="11">
        <f>F6770*Summary!$B$7</f>
        <v/>
      </c>
      <c r="I6770" s="11">
        <f>MAX(0,N6770-M6770)</f>
        <v/>
      </c>
      <c r="J6770" s="11">
        <f>MAX(0,M6770-N6770)</f>
        <v/>
      </c>
      <c r="K6770" s="11">
        <f>O6770</f>
        <v/>
      </c>
      <c r="L6770" s="11">
        <f>L6769+IF(K6770&gt;0,K6770*Summary!$B$9,K6770/Summary!$B$9)</f>
        <v/>
      </c>
      <c r="M6770" s="11">
        <f>G6770+H6770</f>
        <v/>
      </c>
      <c r="N6770" s="11">
        <f>Summary!$C$16*Summary!$B$8</f>
        <v/>
      </c>
      <c r="O6770" s="11">
        <f>M6770-N6770</f>
        <v/>
      </c>
    </row>
    <row r="6771">
      <c r="A6771" s="9" t="n">
        <v>45574.04166666666</v>
      </c>
      <c r="B6771" t="n">
        <v>10</v>
      </c>
      <c r="C6771" t="n">
        <v>9</v>
      </c>
      <c r="D6771" t="n">
        <v>1</v>
      </c>
      <c r="E6771" s="10" t="n">
        <v>0</v>
      </c>
      <c r="F6771" s="10" t="n">
        <v>0.3194653726716895</v>
      </c>
      <c r="G6771" s="11">
        <f>E6771*Summary!$B$6</f>
        <v/>
      </c>
      <c r="H6771" s="11">
        <f>F6771*Summary!$B$7</f>
        <v/>
      </c>
      <c r="I6771" s="11">
        <f>MAX(0,N6771-M6771)</f>
        <v/>
      </c>
      <c r="J6771" s="11">
        <f>MAX(0,M6771-N6771)</f>
        <v/>
      </c>
      <c r="K6771" s="11">
        <f>O6771</f>
        <v/>
      </c>
      <c r="L6771" s="11">
        <f>L6770+IF(K6771&gt;0,K6771*Summary!$B$9,K6771/Summary!$B$9)</f>
        <v/>
      </c>
      <c r="M6771" s="11">
        <f>G6771+H6771</f>
        <v/>
      </c>
      <c r="N6771" s="11">
        <f>Summary!$C$16*Summary!$B$8</f>
        <v/>
      </c>
      <c r="O6771" s="11">
        <f>M6771-N6771</f>
        <v/>
      </c>
    </row>
    <row r="6772">
      <c r="A6772" s="9" t="n">
        <v>45574.08333333334</v>
      </c>
      <c r="B6772" t="n">
        <v>10</v>
      </c>
      <c r="C6772" t="n">
        <v>9</v>
      </c>
      <c r="D6772" t="n">
        <v>2</v>
      </c>
      <c r="E6772" s="10" t="n">
        <v>0</v>
      </c>
      <c r="F6772" s="10" t="n">
        <v>0.3157233877736131</v>
      </c>
      <c r="G6772" s="11">
        <f>E6772*Summary!$B$6</f>
        <v/>
      </c>
      <c r="H6772" s="11">
        <f>F6772*Summary!$B$7</f>
        <v/>
      </c>
      <c r="I6772" s="11">
        <f>MAX(0,N6772-M6772)</f>
        <v/>
      </c>
      <c r="J6772" s="11">
        <f>MAX(0,M6772-N6772)</f>
        <v/>
      </c>
      <c r="K6772" s="11">
        <f>O6772</f>
        <v/>
      </c>
      <c r="L6772" s="11">
        <f>L6771+IF(K6772&gt;0,K6772*Summary!$B$9,K6772/Summary!$B$9)</f>
        <v/>
      </c>
      <c r="M6772" s="11">
        <f>G6772+H6772</f>
        <v/>
      </c>
      <c r="N6772" s="11">
        <f>Summary!$C$16*Summary!$B$8</f>
        <v/>
      </c>
      <c r="O6772" s="11">
        <f>M6772-N6772</f>
        <v/>
      </c>
    </row>
    <row r="6773">
      <c r="A6773" s="9" t="n">
        <v>45574.125</v>
      </c>
      <c r="B6773" t="n">
        <v>10</v>
      </c>
      <c r="C6773" t="n">
        <v>9</v>
      </c>
      <c r="D6773" t="n">
        <v>3</v>
      </c>
      <c r="E6773" s="10" t="n">
        <v>0</v>
      </c>
      <c r="F6773" s="10" t="n">
        <v>0.3155389237293417</v>
      </c>
      <c r="G6773" s="11">
        <f>E6773*Summary!$B$6</f>
        <v/>
      </c>
      <c r="H6773" s="11">
        <f>F6773*Summary!$B$7</f>
        <v/>
      </c>
      <c r="I6773" s="11">
        <f>MAX(0,N6773-M6773)</f>
        <v/>
      </c>
      <c r="J6773" s="11">
        <f>MAX(0,M6773-N6773)</f>
        <v/>
      </c>
      <c r="K6773" s="11">
        <f>O6773</f>
        <v/>
      </c>
      <c r="L6773" s="11">
        <f>L6772+IF(K6773&gt;0,K6773*Summary!$B$9,K6773/Summary!$B$9)</f>
        <v/>
      </c>
      <c r="M6773" s="11">
        <f>G6773+H6773</f>
        <v/>
      </c>
      <c r="N6773" s="11">
        <f>Summary!$C$16*Summary!$B$8</f>
        <v/>
      </c>
      <c r="O6773" s="11">
        <f>M6773-N6773</f>
        <v/>
      </c>
    </row>
    <row r="6774">
      <c r="A6774" s="9" t="n">
        <v>45574.16666666666</v>
      </c>
      <c r="B6774" t="n">
        <v>10</v>
      </c>
      <c r="C6774" t="n">
        <v>9</v>
      </c>
      <c r="D6774" t="n">
        <v>4</v>
      </c>
      <c r="E6774" s="10" t="n">
        <v>0</v>
      </c>
      <c r="F6774" s="10" t="n">
        <v>0.3324569117896588</v>
      </c>
      <c r="G6774" s="11">
        <f>E6774*Summary!$B$6</f>
        <v/>
      </c>
      <c r="H6774" s="11">
        <f>F6774*Summary!$B$7</f>
        <v/>
      </c>
      <c r="I6774" s="11">
        <f>MAX(0,N6774-M6774)</f>
        <v/>
      </c>
      <c r="J6774" s="11">
        <f>MAX(0,M6774-N6774)</f>
        <v/>
      </c>
      <c r="K6774" s="11">
        <f>O6774</f>
        <v/>
      </c>
      <c r="L6774" s="11">
        <f>L6773+IF(K6774&gt;0,K6774*Summary!$B$9,K6774/Summary!$B$9)</f>
        <v/>
      </c>
      <c r="M6774" s="11">
        <f>G6774+H6774</f>
        <v/>
      </c>
      <c r="N6774" s="11">
        <f>Summary!$C$16*Summary!$B$8</f>
        <v/>
      </c>
      <c r="O6774" s="11">
        <f>M6774-N6774</f>
        <v/>
      </c>
    </row>
    <row r="6775">
      <c r="A6775" s="9" t="n">
        <v>45574.20833333334</v>
      </c>
      <c r="B6775" t="n">
        <v>10</v>
      </c>
      <c r="C6775" t="n">
        <v>9</v>
      </c>
      <c r="D6775" t="n">
        <v>5</v>
      </c>
      <c r="E6775" s="10" t="n">
        <v>0</v>
      </c>
      <c r="F6775" s="10" t="n">
        <v>0.3311129594671102</v>
      </c>
      <c r="G6775" s="11">
        <f>E6775*Summary!$B$6</f>
        <v/>
      </c>
      <c r="H6775" s="11">
        <f>F6775*Summary!$B$7</f>
        <v/>
      </c>
      <c r="I6775" s="11">
        <f>MAX(0,N6775-M6775)</f>
        <v/>
      </c>
      <c r="J6775" s="11">
        <f>MAX(0,M6775-N6775)</f>
        <v/>
      </c>
      <c r="K6775" s="11">
        <f>O6775</f>
        <v/>
      </c>
      <c r="L6775" s="11">
        <f>L6774+IF(K6775&gt;0,K6775*Summary!$B$9,K6775/Summary!$B$9)</f>
        <v/>
      </c>
      <c r="M6775" s="11">
        <f>G6775+H6775</f>
        <v/>
      </c>
      <c r="N6775" s="11">
        <f>Summary!$C$16*Summary!$B$8</f>
        <v/>
      </c>
      <c r="O6775" s="11">
        <f>M6775-N6775</f>
        <v/>
      </c>
    </row>
    <row r="6776">
      <c r="A6776" s="9" t="n">
        <v>45574.25</v>
      </c>
      <c r="B6776" t="n">
        <v>10</v>
      </c>
      <c r="C6776" t="n">
        <v>9</v>
      </c>
      <c r="D6776" t="n">
        <v>6</v>
      </c>
      <c r="E6776" s="10" t="n">
        <v>0</v>
      </c>
      <c r="F6776" s="10" t="n">
        <v>0.338649633275912</v>
      </c>
      <c r="G6776" s="11">
        <f>E6776*Summary!$B$6</f>
        <v/>
      </c>
      <c r="H6776" s="11">
        <f>F6776*Summary!$B$7</f>
        <v/>
      </c>
      <c r="I6776" s="11">
        <f>MAX(0,N6776-M6776)</f>
        <v/>
      </c>
      <c r="J6776" s="11">
        <f>MAX(0,M6776-N6776)</f>
        <v/>
      </c>
      <c r="K6776" s="11">
        <f>O6776</f>
        <v/>
      </c>
      <c r="L6776" s="11">
        <f>L6775+IF(K6776&gt;0,K6776*Summary!$B$9,K6776/Summary!$B$9)</f>
        <v/>
      </c>
      <c r="M6776" s="11">
        <f>G6776+H6776</f>
        <v/>
      </c>
      <c r="N6776" s="11">
        <f>Summary!$C$16*Summary!$B$8</f>
        <v/>
      </c>
      <c r="O6776" s="11">
        <f>M6776-N6776</f>
        <v/>
      </c>
    </row>
    <row r="6777">
      <c r="A6777" s="9" t="n">
        <v>45574.29166666666</v>
      </c>
      <c r="B6777" t="n">
        <v>10</v>
      </c>
      <c r="C6777" t="n">
        <v>9</v>
      </c>
      <c r="D6777" t="n">
        <v>7</v>
      </c>
      <c r="E6777" s="10" t="n">
        <v>0.116763</v>
      </c>
      <c r="F6777" s="10" t="n">
        <v>0.3417855220285253</v>
      </c>
      <c r="G6777" s="11">
        <f>E6777*Summary!$B$6</f>
        <v/>
      </c>
      <c r="H6777" s="11">
        <f>F6777*Summary!$B$7</f>
        <v/>
      </c>
      <c r="I6777" s="11">
        <f>MAX(0,N6777-M6777)</f>
        <v/>
      </c>
      <c r="J6777" s="11">
        <f>MAX(0,M6777-N6777)</f>
        <v/>
      </c>
      <c r="K6777" s="11">
        <f>O6777</f>
        <v/>
      </c>
      <c r="L6777" s="11">
        <f>L6776+IF(K6777&gt;0,K6777*Summary!$B$9,K6777/Summary!$B$9)</f>
        <v/>
      </c>
      <c r="M6777" s="11">
        <f>G6777+H6777</f>
        <v/>
      </c>
      <c r="N6777" s="11">
        <f>Summary!$C$16*Summary!$B$8</f>
        <v/>
      </c>
      <c r="O6777" s="11">
        <f>M6777-N6777</f>
        <v/>
      </c>
    </row>
    <row r="6778">
      <c r="A6778" s="9" t="n">
        <v>45574.33333333334</v>
      </c>
      <c r="B6778" t="n">
        <v>10</v>
      </c>
      <c r="C6778" t="n">
        <v>9</v>
      </c>
      <c r="D6778" t="n">
        <v>8</v>
      </c>
      <c r="E6778" s="10" t="n">
        <v>0.305208</v>
      </c>
      <c r="F6778" s="10" t="n">
        <v>0.3404152176996523</v>
      </c>
      <c r="G6778" s="11">
        <f>E6778*Summary!$B$6</f>
        <v/>
      </c>
      <c r="H6778" s="11">
        <f>F6778*Summary!$B$7</f>
        <v/>
      </c>
      <c r="I6778" s="11">
        <f>MAX(0,N6778-M6778)</f>
        <v/>
      </c>
      <c r="J6778" s="11">
        <f>MAX(0,M6778-N6778)</f>
        <v/>
      </c>
      <c r="K6778" s="11">
        <f>O6778</f>
        <v/>
      </c>
      <c r="L6778" s="11">
        <f>L6777+IF(K6778&gt;0,K6778*Summary!$B$9,K6778/Summary!$B$9)</f>
        <v/>
      </c>
      <c r="M6778" s="11">
        <f>G6778+H6778</f>
        <v/>
      </c>
      <c r="N6778" s="11">
        <f>Summary!$C$16*Summary!$B$8</f>
        <v/>
      </c>
      <c r="O6778" s="11">
        <f>M6778-N6778</f>
        <v/>
      </c>
    </row>
    <row r="6779">
      <c r="A6779" s="9" t="n">
        <v>45574.375</v>
      </c>
      <c r="B6779" t="n">
        <v>10</v>
      </c>
      <c r="C6779" t="n">
        <v>9</v>
      </c>
      <c r="D6779" t="n">
        <v>9</v>
      </c>
      <c r="E6779" s="10" t="n">
        <v>0.459198</v>
      </c>
      <c r="F6779" s="10" t="n">
        <v>0.3392557294213751</v>
      </c>
      <c r="G6779" s="11">
        <f>E6779*Summary!$B$6</f>
        <v/>
      </c>
      <c r="H6779" s="11">
        <f>F6779*Summary!$B$7</f>
        <v/>
      </c>
      <c r="I6779" s="11">
        <f>MAX(0,N6779-M6779)</f>
        <v/>
      </c>
      <c r="J6779" s="11">
        <f>MAX(0,M6779-N6779)</f>
        <v/>
      </c>
      <c r="K6779" s="11">
        <f>O6779</f>
        <v/>
      </c>
      <c r="L6779" s="11">
        <f>L6778+IF(K6779&gt;0,K6779*Summary!$B$9,K6779/Summary!$B$9)</f>
        <v/>
      </c>
      <c r="M6779" s="11">
        <f>G6779+H6779</f>
        <v/>
      </c>
      <c r="N6779" s="11">
        <f>Summary!$C$16*Summary!$B$8</f>
        <v/>
      </c>
      <c r="O6779" s="11">
        <f>M6779-N6779</f>
        <v/>
      </c>
    </row>
    <row r="6780">
      <c r="A6780" s="9" t="n">
        <v>45574.41666666666</v>
      </c>
      <c r="B6780" t="n">
        <v>10</v>
      </c>
      <c r="C6780" t="n">
        <v>9</v>
      </c>
      <c r="D6780" t="n">
        <v>10</v>
      </c>
      <c r="E6780" s="10" t="n">
        <v>0.564175</v>
      </c>
      <c r="F6780" s="10" t="n">
        <v>0.3436565144775635</v>
      </c>
      <c r="G6780" s="11">
        <f>E6780*Summary!$B$6</f>
        <v/>
      </c>
      <c r="H6780" s="11">
        <f>F6780*Summary!$B$7</f>
        <v/>
      </c>
      <c r="I6780" s="11">
        <f>MAX(0,N6780-M6780)</f>
        <v/>
      </c>
      <c r="J6780" s="11">
        <f>MAX(0,M6780-N6780)</f>
        <v/>
      </c>
      <c r="K6780" s="11">
        <f>O6780</f>
        <v/>
      </c>
      <c r="L6780" s="11">
        <f>L6779+IF(K6780&gt;0,K6780*Summary!$B$9,K6780/Summary!$B$9)</f>
        <v/>
      </c>
      <c r="M6780" s="11">
        <f>G6780+H6780</f>
        <v/>
      </c>
      <c r="N6780" s="11">
        <f>Summary!$C$16*Summary!$B$8</f>
        <v/>
      </c>
      <c r="O6780" s="11">
        <f>M6780-N6780</f>
        <v/>
      </c>
    </row>
    <row r="6781">
      <c r="A6781" s="9" t="n">
        <v>45574.45833333334</v>
      </c>
      <c r="B6781" t="n">
        <v>10</v>
      </c>
      <c r="C6781" t="n">
        <v>9</v>
      </c>
      <c r="D6781" t="n">
        <v>11</v>
      </c>
      <c r="E6781" s="10" t="n">
        <v>0.5562859999999999</v>
      </c>
      <c r="F6781" s="10" t="n">
        <v>0.3556466773552026</v>
      </c>
      <c r="G6781" s="11">
        <f>E6781*Summary!$B$6</f>
        <v/>
      </c>
      <c r="H6781" s="11">
        <f>F6781*Summary!$B$7</f>
        <v/>
      </c>
      <c r="I6781" s="11">
        <f>MAX(0,N6781-M6781)</f>
        <v/>
      </c>
      <c r="J6781" s="11">
        <f>MAX(0,M6781-N6781)</f>
        <v/>
      </c>
      <c r="K6781" s="11">
        <f>O6781</f>
        <v/>
      </c>
      <c r="L6781" s="11">
        <f>L6780+IF(K6781&gt;0,K6781*Summary!$B$9,K6781/Summary!$B$9)</f>
        <v/>
      </c>
      <c r="M6781" s="11">
        <f>G6781+H6781</f>
        <v/>
      </c>
      <c r="N6781" s="11">
        <f>Summary!$C$16*Summary!$B$8</f>
        <v/>
      </c>
      <c r="O6781" s="11">
        <f>M6781-N6781</f>
        <v/>
      </c>
    </row>
    <row r="6782">
      <c r="A6782" s="9" t="n">
        <v>45574.5</v>
      </c>
      <c r="B6782" t="n">
        <v>10</v>
      </c>
      <c r="C6782" t="n">
        <v>9</v>
      </c>
      <c r="D6782" t="n">
        <v>12</v>
      </c>
      <c r="E6782" s="10" t="n">
        <v>0.410393</v>
      </c>
      <c r="F6782" s="10" t="n">
        <v>0.3651070476256915</v>
      </c>
      <c r="G6782" s="11">
        <f>E6782*Summary!$B$6</f>
        <v/>
      </c>
      <c r="H6782" s="11">
        <f>F6782*Summary!$B$7</f>
        <v/>
      </c>
      <c r="I6782" s="11">
        <f>MAX(0,N6782-M6782)</f>
        <v/>
      </c>
      <c r="J6782" s="11">
        <f>MAX(0,M6782-N6782)</f>
        <v/>
      </c>
      <c r="K6782" s="11">
        <f>O6782</f>
        <v/>
      </c>
      <c r="L6782" s="11">
        <f>L6781+IF(K6782&gt;0,K6782*Summary!$B$9,K6782/Summary!$B$9)</f>
        <v/>
      </c>
      <c r="M6782" s="11">
        <f>G6782+H6782</f>
        <v/>
      </c>
      <c r="N6782" s="11">
        <f>Summary!$C$16*Summary!$B$8</f>
        <v/>
      </c>
      <c r="O6782" s="11">
        <f>M6782-N6782</f>
        <v/>
      </c>
    </row>
    <row r="6783">
      <c r="A6783" s="9" t="n">
        <v>45574.54166666666</v>
      </c>
      <c r="B6783" t="n">
        <v>10</v>
      </c>
      <c r="C6783" t="n">
        <v>9</v>
      </c>
      <c r="D6783" t="n">
        <v>13</v>
      </c>
      <c r="E6783" s="10" t="n">
        <v>0.446078</v>
      </c>
      <c r="F6783" s="10" t="n">
        <v>0.3683483444036026</v>
      </c>
      <c r="G6783" s="11">
        <f>E6783*Summary!$B$6</f>
        <v/>
      </c>
      <c r="H6783" s="11">
        <f>F6783*Summary!$B$7</f>
        <v/>
      </c>
      <c r="I6783" s="11">
        <f>MAX(0,N6783-M6783)</f>
        <v/>
      </c>
      <c r="J6783" s="11">
        <f>MAX(0,M6783-N6783)</f>
        <v/>
      </c>
      <c r="K6783" s="11">
        <f>O6783</f>
        <v/>
      </c>
      <c r="L6783" s="11">
        <f>L6782+IF(K6783&gt;0,K6783*Summary!$B$9,K6783/Summary!$B$9)</f>
        <v/>
      </c>
      <c r="M6783" s="11">
        <f>G6783+H6783</f>
        <v/>
      </c>
      <c r="N6783" s="11">
        <f>Summary!$C$16*Summary!$B$8</f>
        <v/>
      </c>
      <c r="O6783" s="11">
        <f>M6783-N6783</f>
        <v/>
      </c>
    </row>
    <row r="6784">
      <c r="A6784" s="9" t="n">
        <v>45574.58333333334</v>
      </c>
      <c r="B6784" t="n">
        <v>10</v>
      </c>
      <c r="C6784" t="n">
        <v>9</v>
      </c>
      <c r="D6784" t="n">
        <v>14</v>
      </c>
      <c r="E6784" s="10" t="n">
        <v>0.376263</v>
      </c>
      <c r="F6784" s="10" t="n">
        <v>0.3639212073410897</v>
      </c>
      <c r="G6784" s="11">
        <f>E6784*Summary!$B$6</f>
        <v/>
      </c>
      <c r="H6784" s="11">
        <f>F6784*Summary!$B$7</f>
        <v/>
      </c>
      <c r="I6784" s="11">
        <f>MAX(0,N6784-M6784)</f>
        <v/>
      </c>
      <c r="J6784" s="11">
        <f>MAX(0,M6784-N6784)</f>
        <v/>
      </c>
      <c r="K6784" s="11">
        <f>O6784</f>
        <v/>
      </c>
      <c r="L6784" s="11">
        <f>L6783+IF(K6784&gt;0,K6784*Summary!$B$9,K6784/Summary!$B$9)</f>
        <v/>
      </c>
      <c r="M6784" s="11">
        <f>G6784+H6784</f>
        <v/>
      </c>
      <c r="N6784" s="11">
        <f>Summary!$C$16*Summary!$B$8</f>
        <v/>
      </c>
      <c r="O6784" s="11">
        <f>M6784-N6784</f>
        <v/>
      </c>
    </row>
    <row r="6785">
      <c r="A6785" s="9" t="n">
        <v>45574.625</v>
      </c>
      <c r="B6785" t="n">
        <v>10</v>
      </c>
      <c r="C6785" t="n">
        <v>9</v>
      </c>
      <c r="D6785" t="n">
        <v>15</v>
      </c>
      <c r="E6785" s="10" t="n">
        <v>0.270173</v>
      </c>
      <c r="F6785" s="10" t="n">
        <v>0.3623927909742698</v>
      </c>
      <c r="G6785" s="11">
        <f>E6785*Summary!$B$6</f>
        <v/>
      </c>
      <c r="H6785" s="11">
        <f>F6785*Summary!$B$7</f>
        <v/>
      </c>
      <c r="I6785" s="11">
        <f>MAX(0,N6785-M6785)</f>
        <v/>
      </c>
      <c r="J6785" s="11">
        <f>MAX(0,M6785-N6785)</f>
        <v/>
      </c>
      <c r="K6785" s="11">
        <f>O6785</f>
        <v/>
      </c>
      <c r="L6785" s="11">
        <f>L6784+IF(K6785&gt;0,K6785*Summary!$B$9,K6785/Summary!$B$9)</f>
        <v/>
      </c>
      <c r="M6785" s="11">
        <f>G6785+H6785</f>
        <v/>
      </c>
      <c r="N6785" s="11">
        <f>Summary!$C$16*Summary!$B$8</f>
        <v/>
      </c>
      <c r="O6785" s="11">
        <f>M6785-N6785</f>
        <v/>
      </c>
    </row>
    <row r="6786">
      <c r="A6786" s="9" t="n">
        <v>45574.66666666666</v>
      </c>
      <c r="B6786" t="n">
        <v>10</v>
      </c>
      <c r="C6786" t="n">
        <v>9</v>
      </c>
      <c r="D6786" t="n">
        <v>16</v>
      </c>
      <c r="E6786" s="10" t="n">
        <v>0.08167099999999999</v>
      </c>
      <c r="F6786" s="10" t="n">
        <v>0.3647117675308242</v>
      </c>
      <c r="G6786" s="11">
        <f>E6786*Summary!$B$6</f>
        <v/>
      </c>
      <c r="H6786" s="11">
        <f>F6786*Summary!$B$7</f>
        <v/>
      </c>
      <c r="I6786" s="11">
        <f>MAX(0,N6786-M6786)</f>
        <v/>
      </c>
      <c r="J6786" s="11">
        <f>MAX(0,M6786-N6786)</f>
        <v/>
      </c>
      <c r="K6786" s="11">
        <f>O6786</f>
        <v/>
      </c>
      <c r="L6786" s="11">
        <f>L6785+IF(K6786&gt;0,K6786*Summary!$B$9,K6786/Summary!$B$9)</f>
        <v/>
      </c>
      <c r="M6786" s="11">
        <f>G6786+H6786</f>
        <v/>
      </c>
      <c r="N6786" s="11">
        <f>Summary!$C$16*Summary!$B$8</f>
        <v/>
      </c>
      <c r="O6786" s="11">
        <f>M6786-N6786</f>
        <v/>
      </c>
    </row>
    <row r="6787">
      <c r="A6787" s="9" t="n">
        <v>45574.70833333334</v>
      </c>
      <c r="B6787" t="n">
        <v>10</v>
      </c>
      <c r="C6787" t="n">
        <v>9</v>
      </c>
      <c r="D6787" t="n">
        <v>17</v>
      </c>
      <c r="E6787" s="10" t="n">
        <v>0</v>
      </c>
      <c r="F6787" s="10" t="n">
        <v>0.374277545826611</v>
      </c>
      <c r="G6787" s="11">
        <f>E6787*Summary!$B$6</f>
        <v/>
      </c>
      <c r="H6787" s="11">
        <f>F6787*Summary!$B$7</f>
        <v/>
      </c>
      <c r="I6787" s="11">
        <f>MAX(0,N6787-M6787)</f>
        <v/>
      </c>
      <c r="J6787" s="11">
        <f>MAX(0,M6787-N6787)</f>
        <v/>
      </c>
      <c r="K6787" s="11">
        <f>O6787</f>
        <v/>
      </c>
      <c r="L6787" s="11">
        <f>L6786+IF(K6787&gt;0,K6787*Summary!$B$9,K6787/Summary!$B$9)</f>
        <v/>
      </c>
      <c r="M6787" s="11">
        <f>G6787+H6787</f>
        <v/>
      </c>
      <c r="N6787" s="11">
        <f>Summary!$C$16*Summary!$B$8</f>
        <v/>
      </c>
      <c r="O6787" s="11">
        <f>M6787-N6787</f>
        <v/>
      </c>
    </row>
    <row r="6788">
      <c r="A6788" s="9" t="n">
        <v>45574.75</v>
      </c>
      <c r="B6788" t="n">
        <v>10</v>
      </c>
      <c r="C6788" t="n">
        <v>9</v>
      </c>
      <c r="D6788" t="n">
        <v>18</v>
      </c>
      <c r="E6788" s="10" t="n">
        <v>0</v>
      </c>
      <c r="F6788" s="10" t="n">
        <v>0.3896407655137837</v>
      </c>
      <c r="G6788" s="11">
        <f>E6788*Summary!$B$6</f>
        <v/>
      </c>
      <c r="H6788" s="11">
        <f>F6788*Summary!$B$7</f>
        <v/>
      </c>
      <c r="I6788" s="11">
        <f>MAX(0,N6788-M6788)</f>
        <v/>
      </c>
      <c r="J6788" s="11">
        <f>MAX(0,M6788-N6788)</f>
        <v/>
      </c>
      <c r="K6788" s="11">
        <f>O6788</f>
        <v/>
      </c>
      <c r="L6788" s="11">
        <f>L6787+IF(K6788&gt;0,K6788*Summary!$B$9,K6788/Summary!$B$9)</f>
        <v/>
      </c>
      <c r="M6788" s="11">
        <f>G6788+H6788</f>
        <v/>
      </c>
      <c r="N6788" s="11">
        <f>Summary!$C$16*Summary!$B$8</f>
        <v/>
      </c>
      <c r="O6788" s="11">
        <f>M6788-N6788</f>
        <v/>
      </c>
    </row>
    <row r="6789">
      <c r="A6789" s="9" t="n">
        <v>45574.79166666666</v>
      </c>
      <c r="B6789" t="n">
        <v>10</v>
      </c>
      <c r="C6789" t="n">
        <v>9</v>
      </c>
      <c r="D6789" t="n">
        <v>19</v>
      </c>
      <c r="E6789" s="10" t="n">
        <v>0</v>
      </c>
      <c r="F6789" s="10" t="n">
        <v>0.4011565922775822</v>
      </c>
      <c r="G6789" s="11">
        <f>E6789*Summary!$B$6</f>
        <v/>
      </c>
      <c r="H6789" s="11">
        <f>F6789*Summary!$B$7</f>
        <v/>
      </c>
      <c r="I6789" s="11">
        <f>MAX(0,N6789-M6789)</f>
        <v/>
      </c>
      <c r="J6789" s="11">
        <f>MAX(0,M6789-N6789)</f>
        <v/>
      </c>
      <c r="K6789" s="11">
        <f>O6789</f>
        <v/>
      </c>
      <c r="L6789" s="11">
        <f>L6788+IF(K6789&gt;0,K6789*Summary!$B$9,K6789/Summary!$B$9)</f>
        <v/>
      </c>
      <c r="M6789" s="11">
        <f>G6789+H6789</f>
        <v/>
      </c>
      <c r="N6789" s="11">
        <f>Summary!$C$16*Summary!$B$8</f>
        <v/>
      </c>
      <c r="O6789" s="11">
        <f>M6789-N6789</f>
        <v/>
      </c>
    </row>
    <row r="6790">
      <c r="A6790" s="9" t="n">
        <v>45574.83333333334</v>
      </c>
      <c r="B6790" t="n">
        <v>10</v>
      </c>
      <c r="C6790" t="n">
        <v>9</v>
      </c>
      <c r="D6790" t="n">
        <v>20</v>
      </c>
      <c r="E6790" s="10" t="n">
        <v>0</v>
      </c>
      <c r="F6790" s="10" t="n">
        <v>0.4027113606507265</v>
      </c>
      <c r="G6790" s="11">
        <f>E6790*Summary!$B$6</f>
        <v/>
      </c>
      <c r="H6790" s="11">
        <f>F6790*Summary!$B$7</f>
        <v/>
      </c>
      <c r="I6790" s="11">
        <f>MAX(0,N6790-M6790)</f>
        <v/>
      </c>
      <c r="J6790" s="11">
        <f>MAX(0,M6790-N6790)</f>
        <v/>
      </c>
      <c r="K6790" s="11">
        <f>O6790</f>
        <v/>
      </c>
      <c r="L6790" s="11">
        <f>L6789+IF(K6790&gt;0,K6790*Summary!$B$9,K6790/Summary!$B$9)</f>
        <v/>
      </c>
      <c r="M6790" s="11">
        <f>G6790+H6790</f>
        <v/>
      </c>
      <c r="N6790" s="11">
        <f>Summary!$C$16*Summary!$B$8</f>
        <v/>
      </c>
      <c r="O6790" s="11">
        <f>M6790-N6790</f>
        <v/>
      </c>
    </row>
    <row r="6791">
      <c r="A6791" s="9" t="n">
        <v>45574.875</v>
      </c>
      <c r="B6791" t="n">
        <v>10</v>
      </c>
      <c r="C6791" t="n">
        <v>9</v>
      </c>
      <c r="D6791" t="n">
        <v>21</v>
      </c>
      <c r="E6791" s="10" t="n">
        <v>0</v>
      </c>
      <c r="F6791" s="10" t="n">
        <v>0.3718268092384342</v>
      </c>
      <c r="G6791" s="11">
        <f>E6791*Summary!$B$6</f>
        <v/>
      </c>
      <c r="H6791" s="11">
        <f>F6791*Summary!$B$7</f>
        <v/>
      </c>
      <c r="I6791" s="11">
        <f>MAX(0,N6791-M6791)</f>
        <v/>
      </c>
      <c r="J6791" s="11">
        <f>MAX(0,M6791-N6791)</f>
        <v/>
      </c>
      <c r="K6791" s="11">
        <f>O6791</f>
        <v/>
      </c>
      <c r="L6791" s="11">
        <f>L6790+IF(K6791&gt;0,K6791*Summary!$B$9,K6791/Summary!$B$9)</f>
        <v/>
      </c>
      <c r="M6791" s="11">
        <f>G6791+H6791</f>
        <v/>
      </c>
      <c r="N6791" s="11">
        <f>Summary!$C$16*Summary!$B$8</f>
        <v/>
      </c>
      <c r="O6791" s="11">
        <f>M6791-N6791</f>
        <v/>
      </c>
    </row>
    <row r="6792">
      <c r="A6792" s="9" t="n">
        <v>45574.91666666666</v>
      </c>
      <c r="B6792" t="n">
        <v>10</v>
      </c>
      <c r="C6792" t="n">
        <v>9</v>
      </c>
      <c r="D6792" t="n">
        <v>22</v>
      </c>
      <c r="E6792" s="10" t="n">
        <v>0</v>
      </c>
      <c r="F6792" s="10" t="n">
        <v>0.3899569895896775</v>
      </c>
      <c r="G6792" s="11">
        <f>E6792*Summary!$B$6</f>
        <v/>
      </c>
      <c r="H6792" s="11">
        <f>F6792*Summary!$B$7</f>
        <v/>
      </c>
      <c r="I6792" s="11">
        <f>MAX(0,N6792-M6792)</f>
        <v/>
      </c>
      <c r="J6792" s="11">
        <f>MAX(0,M6792-N6792)</f>
        <v/>
      </c>
      <c r="K6792" s="11">
        <f>O6792</f>
        <v/>
      </c>
      <c r="L6792" s="11">
        <f>L6791+IF(K6792&gt;0,K6792*Summary!$B$9,K6792/Summary!$B$9)</f>
        <v/>
      </c>
      <c r="M6792" s="11">
        <f>G6792+H6792</f>
        <v/>
      </c>
      <c r="N6792" s="11">
        <f>Summary!$C$16*Summary!$B$8</f>
        <v/>
      </c>
      <c r="O6792" s="11">
        <f>M6792-N6792</f>
        <v/>
      </c>
    </row>
    <row r="6793">
      <c r="A6793" s="9" t="n">
        <v>45574.95833333334</v>
      </c>
      <c r="B6793" t="n">
        <v>10</v>
      </c>
      <c r="C6793" t="n">
        <v>9</v>
      </c>
      <c r="D6793" t="n">
        <v>23</v>
      </c>
      <c r="E6793" s="10" t="n">
        <v>0</v>
      </c>
      <c r="F6793" s="10" t="n">
        <v>0.381998683679684</v>
      </c>
      <c r="G6793" s="11">
        <f>E6793*Summary!$B$6</f>
        <v/>
      </c>
      <c r="H6793" s="11">
        <f>F6793*Summary!$B$7</f>
        <v/>
      </c>
      <c r="I6793" s="11">
        <f>MAX(0,N6793-M6793)</f>
        <v/>
      </c>
      <c r="J6793" s="11">
        <f>MAX(0,M6793-N6793)</f>
        <v/>
      </c>
      <c r="K6793" s="11">
        <f>O6793</f>
        <v/>
      </c>
      <c r="L6793" s="11">
        <f>L6792+IF(K6793&gt;0,K6793*Summary!$B$9,K6793/Summary!$B$9)</f>
        <v/>
      </c>
      <c r="M6793" s="11">
        <f>G6793+H6793</f>
        <v/>
      </c>
      <c r="N6793" s="11">
        <f>Summary!$C$16*Summary!$B$8</f>
        <v/>
      </c>
      <c r="O6793" s="11">
        <f>M6793-N6793</f>
        <v/>
      </c>
    </row>
    <row r="6794">
      <c r="A6794" s="9" t="n">
        <v>45575</v>
      </c>
      <c r="B6794" t="n">
        <v>10</v>
      </c>
      <c r="C6794" t="n">
        <v>10</v>
      </c>
      <c r="D6794" t="n">
        <v>0</v>
      </c>
      <c r="E6794" s="10" t="n">
        <v>0</v>
      </c>
      <c r="F6794" s="10" t="n">
        <v>0.4446374027129766</v>
      </c>
      <c r="G6794" s="11">
        <f>E6794*Summary!$B$6</f>
        <v/>
      </c>
      <c r="H6794" s="11">
        <f>F6794*Summary!$B$7</f>
        <v/>
      </c>
      <c r="I6794" s="11">
        <f>MAX(0,N6794-M6794)</f>
        <v/>
      </c>
      <c r="J6794" s="11">
        <f>MAX(0,M6794-N6794)</f>
        <v/>
      </c>
      <c r="K6794" s="11">
        <f>O6794</f>
        <v/>
      </c>
      <c r="L6794" s="11">
        <f>L6793+IF(K6794&gt;0,K6794*Summary!$B$9,K6794/Summary!$B$9)</f>
        <v/>
      </c>
      <c r="M6794" s="11">
        <f>G6794+H6794</f>
        <v/>
      </c>
      <c r="N6794" s="11">
        <f>Summary!$C$16*Summary!$B$8</f>
        <v/>
      </c>
      <c r="O6794" s="11">
        <f>M6794-N6794</f>
        <v/>
      </c>
    </row>
    <row r="6795">
      <c r="A6795" s="9" t="n">
        <v>45575.04166666666</v>
      </c>
      <c r="B6795" t="n">
        <v>10</v>
      </c>
      <c r="C6795" t="n">
        <v>10</v>
      </c>
      <c r="D6795" t="n">
        <v>1</v>
      </c>
      <c r="E6795" s="10" t="n">
        <v>0</v>
      </c>
      <c r="F6795" s="10" t="n">
        <v>0.3582291739750018</v>
      </c>
      <c r="G6795" s="11">
        <f>E6795*Summary!$B$6</f>
        <v/>
      </c>
      <c r="H6795" s="11">
        <f>F6795*Summary!$B$7</f>
        <v/>
      </c>
      <c r="I6795" s="11">
        <f>MAX(0,N6795-M6795)</f>
        <v/>
      </c>
      <c r="J6795" s="11">
        <f>MAX(0,M6795-N6795)</f>
        <v/>
      </c>
      <c r="K6795" s="11">
        <f>O6795</f>
        <v/>
      </c>
      <c r="L6795" s="11">
        <f>L6794+IF(K6795&gt;0,K6795*Summary!$B$9,K6795/Summary!$B$9)</f>
        <v/>
      </c>
      <c r="M6795" s="11">
        <f>G6795+H6795</f>
        <v/>
      </c>
      <c r="N6795" s="11">
        <f>Summary!$C$16*Summary!$B$8</f>
        <v/>
      </c>
      <c r="O6795" s="11">
        <f>M6795-N6795</f>
        <v/>
      </c>
    </row>
    <row r="6796">
      <c r="A6796" s="9" t="n">
        <v>45575.08333333334</v>
      </c>
      <c r="B6796" t="n">
        <v>10</v>
      </c>
      <c r="C6796" t="n">
        <v>10</v>
      </c>
      <c r="D6796" t="n">
        <v>2</v>
      </c>
      <c r="E6796" s="10" t="n">
        <v>0</v>
      </c>
      <c r="F6796" s="10" t="n">
        <v>0.3476093154262357</v>
      </c>
      <c r="G6796" s="11">
        <f>E6796*Summary!$B$6</f>
        <v/>
      </c>
      <c r="H6796" s="11">
        <f>F6796*Summary!$B$7</f>
        <v/>
      </c>
      <c r="I6796" s="11">
        <f>MAX(0,N6796-M6796)</f>
        <v/>
      </c>
      <c r="J6796" s="11">
        <f>MAX(0,M6796-N6796)</f>
        <v/>
      </c>
      <c r="K6796" s="11">
        <f>O6796</f>
        <v/>
      </c>
      <c r="L6796" s="11">
        <f>L6795+IF(K6796&gt;0,K6796*Summary!$B$9,K6796/Summary!$B$9)</f>
        <v/>
      </c>
      <c r="M6796" s="11">
        <f>G6796+H6796</f>
        <v/>
      </c>
      <c r="N6796" s="11">
        <f>Summary!$C$16*Summary!$B$8</f>
        <v/>
      </c>
      <c r="O6796" s="11">
        <f>M6796-N6796</f>
        <v/>
      </c>
    </row>
    <row r="6797">
      <c r="A6797" s="9" t="n">
        <v>45575.125</v>
      </c>
      <c r="B6797" t="n">
        <v>10</v>
      </c>
      <c r="C6797" t="n">
        <v>10</v>
      </c>
      <c r="D6797" t="n">
        <v>3</v>
      </c>
      <c r="E6797" s="10" t="n">
        <v>0</v>
      </c>
      <c r="F6797" s="10" t="n">
        <v>0.3415220019652805</v>
      </c>
      <c r="G6797" s="11">
        <f>E6797*Summary!$B$6</f>
        <v/>
      </c>
      <c r="H6797" s="11">
        <f>F6797*Summary!$B$7</f>
        <v/>
      </c>
      <c r="I6797" s="11">
        <f>MAX(0,N6797-M6797)</f>
        <v/>
      </c>
      <c r="J6797" s="11">
        <f>MAX(0,M6797-N6797)</f>
        <v/>
      </c>
      <c r="K6797" s="11">
        <f>O6797</f>
        <v/>
      </c>
      <c r="L6797" s="11">
        <f>L6796+IF(K6797&gt;0,K6797*Summary!$B$9,K6797/Summary!$B$9)</f>
        <v/>
      </c>
      <c r="M6797" s="11">
        <f>G6797+H6797</f>
        <v/>
      </c>
      <c r="N6797" s="11">
        <f>Summary!$C$16*Summary!$B$8</f>
        <v/>
      </c>
      <c r="O6797" s="11">
        <f>M6797-N6797</f>
        <v/>
      </c>
    </row>
    <row r="6798">
      <c r="A6798" s="9" t="n">
        <v>45575.16666666666</v>
      </c>
      <c r="B6798" t="n">
        <v>10</v>
      </c>
      <c r="C6798" t="n">
        <v>10</v>
      </c>
      <c r="D6798" t="n">
        <v>4</v>
      </c>
      <c r="E6798" s="10" t="n">
        <v>0</v>
      </c>
      <c r="F6798" s="10" t="n">
        <v>0.3351184644284314</v>
      </c>
      <c r="G6798" s="11">
        <f>E6798*Summary!$B$6</f>
        <v/>
      </c>
      <c r="H6798" s="11">
        <f>F6798*Summary!$B$7</f>
        <v/>
      </c>
      <c r="I6798" s="11">
        <f>MAX(0,N6798-M6798)</f>
        <v/>
      </c>
      <c r="J6798" s="11">
        <f>MAX(0,M6798-N6798)</f>
        <v/>
      </c>
      <c r="K6798" s="11">
        <f>O6798</f>
        <v/>
      </c>
      <c r="L6798" s="11">
        <f>L6797+IF(K6798&gt;0,K6798*Summary!$B$9,K6798/Summary!$B$9)</f>
        <v/>
      </c>
      <c r="M6798" s="11">
        <f>G6798+H6798</f>
        <v/>
      </c>
      <c r="N6798" s="11">
        <f>Summary!$C$16*Summary!$B$8</f>
        <v/>
      </c>
      <c r="O6798" s="11">
        <f>M6798-N6798</f>
        <v/>
      </c>
    </row>
    <row r="6799">
      <c r="A6799" s="9" t="n">
        <v>45575.20833333334</v>
      </c>
      <c r="B6799" t="n">
        <v>10</v>
      </c>
      <c r="C6799" t="n">
        <v>10</v>
      </c>
      <c r="D6799" t="n">
        <v>5</v>
      </c>
      <c r="E6799" s="10" t="n">
        <v>0</v>
      </c>
      <c r="F6799" s="10" t="n">
        <v>0.331376479530355</v>
      </c>
      <c r="G6799" s="11">
        <f>E6799*Summary!$B$6</f>
        <v/>
      </c>
      <c r="H6799" s="11">
        <f>F6799*Summary!$B$7</f>
        <v/>
      </c>
      <c r="I6799" s="11">
        <f>MAX(0,N6799-M6799)</f>
        <v/>
      </c>
      <c r="J6799" s="11">
        <f>MAX(0,M6799-N6799)</f>
        <v/>
      </c>
      <c r="K6799" s="11">
        <f>O6799</f>
        <v/>
      </c>
      <c r="L6799" s="11">
        <f>L6798+IF(K6799&gt;0,K6799*Summary!$B$9,K6799/Summary!$B$9)</f>
        <v/>
      </c>
      <c r="M6799" s="11">
        <f>G6799+H6799</f>
        <v/>
      </c>
      <c r="N6799" s="11">
        <f>Summary!$C$16*Summary!$B$8</f>
        <v/>
      </c>
      <c r="O6799" s="11">
        <f>M6799-N6799</f>
        <v/>
      </c>
    </row>
    <row r="6800">
      <c r="A6800" s="9" t="n">
        <v>45575.25</v>
      </c>
      <c r="B6800" t="n">
        <v>10</v>
      </c>
      <c r="C6800" t="n">
        <v>10</v>
      </c>
      <c r="D6800" t="n">
        <v>6</v>
      </c>
      <c r="E6800" s="10" t="n">
        <v>0</v>
      </c>
      <c r="F6800" s="10" t="n">
        <v>0.3237607497025799</v>
      </c>
      <c r="G6800" s="11">
        <f>E6800*Summary!$B$6</f>
        <v/>
      </c>
      <c r="H6800" s="11">
        <f>F6800*Summary!$B$7</f>
        <v/>
      </c>
      <c r="I6800" s="11">
        <f>MAX(0,N6800-M6800)</f>
        <v/>
      </c>
      <c r="J6800" s="11">
        <f>MAX(0,M6800-N6800)</f>
        <v/>
      </c>
      <c r="K6800" s="11">
        <f>O6800</f>
        <v/>
      </c>
      <c r="L6800" s="11">
        <f>L6799+IF(K6800&gt;0,K6800*Summary!$B$9,K6800/Summary!$B$9)</f>
        <v/>
      </c>
      <c r="M6800" s="11">
        <f>G6800+H6800</f>
        <v/>
      </c>
      <c r="N6800" s="11">
        <f>Summary!$C$16*Summary!$B$8</f>
        <v/>
      </c>
      <c r="O6800" s="11">
        <f>M6800-N6800</f>
        <v/>
      </c>
    </row>
    <row r="6801">
      <c r="A6801" s="9" t="n">
        <v>45575.29166666666</v>
      </c>
      <c r="B6801" t="n">
        <v>10</v>
      </c>
      <c r="C6801" t="n">
        <v>10</v>
      </c>
      <c r="D6801" t="n">
        <v>7</v>
      </c>
      <c r="E6801" s="10" t="n">
        <v>0.09289500000000001</v>
      </c>
      <c r="F6801" s="10" t="n">
        <v>0.3126665550399732</v>
      </c>
      <c r="G6801" s="11">
        <f>E6801*Summary!$B$6</f>
        <v/>
      </c>
      <c r="H6801" s="11">
        <f>F6801*Summary!$B$7</f>
        <v/>
      </c>
      <c r="I6801" s="11">
        <f>MAX(0,N6801-M6801)</f>
        <v/>
      </c>
      <c r="J6801" s="11">
        <f>MAX(0,M6801-N6801)</f>
        <v/>
      </c>
      <c r="K6801" s="11">
        <f>O6801</f>
        <v/>
      </c>
      <c r="L6801" s="11">
        <f>L6800+IF(K6801&gt;0,K6801*Summary!$B$9,K6801/Summary!$B$9)</f>
        <v/>
      </c>
      <c r="M6801" s="11">
        <f>G6801+H6801</f>
        <v/>
      </c>
      <c r="N6801" s="11">
        <f>Summary!$C$16*Summary!$B$8</f>
        <v/>
      </c>
      <c r="O6801" s="11">
        <f>M6801-N6801</f>
        <v/>
      </c>
    </row>
    <row r="6802">
      <c r="A6802" s="9" t="n">
        <v>45575.33333333334</v>
      </c>
      <c r="B6802" t="n">
        <v>10</v>
      </c>
      <c r="C6802" t="n">
        <v>10</v>
      </c>
      <c r="D6802" t="n">
        <v>8</v>
      </c>
      <c r="E6802" s="10" t="n">
        <v>0.292076</v>
      </c>
      <c r="F6802" s="10" t="n">
        <v>0.2981202475488594</v>
      </c>
      <c r="G6802" s="11">
        <f>E6802*Summary!$B$6</f>
        <v/>
      </c>
      <c r="H6802" s="11">
        <f>F6802*Summary!$B$7</f>
        <v/>
      </c>
      <c r="I6802" s="11">
        <f>MAX(0,N6802-M6802)</f>
        <v/>
      </c>
      <c r="J6802" s="11">
        <f>MAX(0,M6802-N6802)</f>
        <v/>
      </c>
      <c r="K6802" s="11">
        <f>O6802</f>
        <v/>
      </c>
      <c r="L6802" s="11">
        <f>L6801+IF(K6802&gt;0,K6802*Summary!$B$9,K6802/Summary!$B$9)</f>
        <v/>
      </c>
      <c r="M6802" s="11">
        <f>G6802+H6802</f>
        <v/>
      </c>
      <c r="N6802" s="11">
        <f>Summary!$C$16*Summary!$B$8</f>
        <v/>
      </c>
      <c r="O6802" s="11">
        <f>M6802-N6802</f>
        <v/>
      </c>
    </row>
    <row r="6803">
      <c r="A6803" s="9" t="n">
        <v>45575.375</v>
      </c>
      <c r="B6803" t="n">
        <v>10</v>
      </c>
      <c r="C6803" t="n">
        <v>10</v>
      </c>
      <c r="D6803" t="n">
        <v>9</v>
      </c>
      <c r="E6803" s="10" t="n">
        <v>0.448723</v>
      </c>
      <c r="F6803" s="10" t="n">
        <v>0.2846807243233738</v>
      </c>
      <c r="G6803" s="11">
        <f>E6803*Summary!$B$6</f>
        <v/>
      </c>
      <c r="H6803" s="11">
        <f>F6803*Summary!$B$7</f>
        <v/>
      </c>
      <c r="I6803" s="11">
        <f>MAX(0,N6803-M6803)</f>
        <v/>
      </c>
      <c r="J6803" s="11">
        <f>MAX(0,M6803-N6803)</f>
        <v/>
      </c>
      <c r="K6803" s="11">
        <f>O6803</f>
        <v/>
      </c>
      <c r="L6803" s="11">
        <f>L6802+IF(K6803&gt;0,K6803*Summary!$B$9,K6803/Summary!$B$9)</f>
        <v/>
      </c>
      <c r="M6803" s="11">
        <f>G6803+H6803</f>
        <v/>
      </c>
      <c r="N6803" s="11">
        <f>Summary!$C$16*Summary!$B$8</f>
        <v/>
      </c>
      <c r="O6803" s="11">
        <f>M6803-N6803</f>
        <v/>
      </c>
    </row>
    <row r="6804">
      <c r="A6804" s="9" t="n">
        <v>45575.41666666666</v>
      </c>
      <c r="B6804" t="n">
        <v>10</v>
      </c>
      <c r="C6804" t="n">
        <v>10</v>
      </c>
      <c r="D6804" t="n">
        <v>10</v>
      </c>
      <c r="E6804" s="10" t="n">
        <v>0.487412</v>
      </c>
      <c r="F6804" s="10" t="n">
        <v>0.278672466881392</v>
      </c>
      <c r="G6804" s="11">
        <f>E6804*Summary!$B$6</f>
        <v/>
      </c>
      <c r="H6804" s="11">
        <f>F6804*Summary!$B$7</f>
        <v/>
      </c>
      <c r="I6804" s="11">
        <f>MAX(0,N6804-M6804)</f>
        <v/>
      </c>
      <c r="J6804" s="11">
        <f>MAX(0,M6804-N6804)</f>
        <v/>
      </c>
      <c r="K6804" s="11">
        <f>O6804</f>
        <v/>
      </c>
      <c r="L6804" s="11">
        <f>L6803+IF(K6804&gt;0,K6804*Summary!$B$9,K6804/Summary!$B$9)</f>
        <v/>
      </c>
      <c r="M6804" s="11">
        <f>G6804+H6804</f>
        <v/>
      </c>
      <c r="N6804" s="11">
        <f>Summary!$C$16*Summary!$B$8</f>
        <v/>
      </c>
      <c r="O6804" s="11">
        <f>M6804-N6804</f>
        <v/>
      </c>
    </row>
    <row r="6805">
      <c r="A6805" s="9" t="n">
        <v>45575.45833333334</v>
      </c>
      <c r="B6805" t="n">
        <v>10</v>
      </c>
      <c r="C6805" t="n">
        <v>10</v>
      </c>
      <c r="D6805" t="n">
        <v>11</v>
      </c>
      <c r="E6805" s="10" t="n">
        <v>0.440045</v>
      </c>
      <c r="F6805" s="10" t="n">
        <v>0.2822563397415215</v>
      </c>
      <c r="G6805" s="11">
        <f>E6805*Summary!$B$6</f>
        <v/>
      </c>
      <c r="H6805" s="11">
        <f>F6805*Summary!$B$7</f>
        <v/>
      </c>
      <c r="I6805" s="11">
        <f>MAX(0,N6805-M6805)</f>
        <v/>
      </c>
      <c r="J6805" s="11">
        <f>MAX(0,M6805-N6805)</f>
        <v/>
      </c>
      <c r="K6805" s="11">
        <f>O6805</f>
        <v/>
      </c>
      <c r="L6805" s="11">
        <f>L6804+IF(K6805&gt;0,K6805*Summary!$B$9,K6805/Summary!$B$9)</f>
        <v/>
      </c>
      <c r="M6805" s="11">
        <f>G6805+H6805</f>
        <v/>
      </c>
      <c r="N6805" s="11">
        <f>Summary!$C$16*Summary!$B$8</f>
        <v/>
      </c>
      <c r="O6805" s="11">
        <f>M6805-N6805</f>
        <v/>
      </c>
    </row>
    <row r="6806">
      <c r="A6806" s="9" t="n">
        <v>45575.5</v>
      </c>
      <c r="B6806" t="n">
        <v>10</v>
      </c>
      <c r="C6806" t="n">
        <v>10</v>
      </c>
      <c r="D6806" t="n">
        <v>12</v>
      </c>
      <c r="E6806" s="10" t="n">
        <v>0.297331</v>
      </c>
      <c r="F6806" s="10" t="n">
        <v>0.2963019591124702</v>
      </c>
      <c r="G6806" s="11">
        <f>E6806*Summary!$B$6</f>
        <v/>
      </c>
      <c r="H6806" s="11">
        <f>F6806*Summary!$B$7</f>
        <v/>
      </c>
      <c r="I6806" s="11">
        <f>MAX(0,N6806-M6806)</f>
        <v/>
      </c>
      <c r="J6806" s="11">
        <f>MAX(0,M6806-N6806)</f>
        <v/>
      </c>
      <c r="K6806" s="11">
        <f>O6806</f>
        <v/>
      </c>
      <c r="L6806" s="11">
        <f>L6805+IF(K6806&gt;0,K6806*Summary!$B$9,K6806/Summary!$B$9)</f>
        <v/>
      </c>
      <c r="M6806" s="11">
        <f>G6806+H6806</f>
        <v/>
      </c>
      <c r="N6806" s="11">
        <f>Summary!$C$16*Summary!$B$8</f>
        <v/>
      </c>
      <c r="O6806" s="11">
        <f>M6806-N6806</f>
        <v/>
      </c>
    </row>
    <row r="6807">
      <c r="A6807" s="9" t="n">
        <v>45575.54166666666</v>
      </c>
      <c r="B6807" t="n">
        <v>10</v>
      </c>
      <c r="C6807" t="n">
        <v>10</v>
      </c>
      <c r="D6807" t="n">
        <v>13</v>
      </c>
      <c r="E6807" s="10" t="n">
        <v>0.162726</v>
      </c>
      <c r="F6807" s="10" t="n">
        <v>0.3120077548818612</v>
      </c>
      <c r="G6807" s="11">
        <f>E6807*Summary!$B$6</f>
        <v/>
      </c>
      <c r="H6807" s="11">
        <f>F6807*Summary!$B$7</f>
        <v/>
      </c>
      <c r="I6807" s="11">
        <f>MAX(0,N6807-M6807)</f>
        <v/>
      </c>
      <c r="J6807" s="11">
        <f>MAX(0,M6807-N6807)</f>
        <v/>
      </c>
      <c r="K6807" s="11">
        <f>O6807</f>
        <v/>
      </c>
      <c r="L6807" s="11">
        <f>L6806+IF(K6807&gt;0,K6807*Summary!$B$9,K6807/Summary!$B$9)</f>
        <v/>
      </c>
      <c r="M6807" s="11">
        <f>G6807+H6807</f>
        <v/>
      </c>
      <c r="N6807" s="11">
        <f>Summary!$C$16*Summary!$B$8</f>
        <v/>
      </c>
      <c r="O6807" s="11">
        <f>M6807-N6807</f>
        <v/>
      </c>
    </row>
    <row r="6808">
      <c r="A6808" s="9" t="n">
        <v>45575.58333333334</v>
      </c>
      <c r="B6808" t="n">
        <v>10</v>
      </c>
      <c r="C6808" t="n">
        <v>10</v>
      </c>
      <c r="D6808" t="n">
        <v>14</v>
      </c>
      <c r="E6808" s="10" t="n">
        <v>0.100323</v>
      </c>
      <c r="F6808" s="10" t="n">
        <v>0.3243931978543675</v>
      </c>
      <c r="G6808" s="11">
        <f>E6808*Summary!$B$6</f>
        <v/>
      </c>
      <c r="H6808" s="11">
        <f>F6808*Summary!$B$7</f>
        <v/>
      </c>
      <c r="I6808" s="11">
        <f>MAX(0,N6808-M6808)</f>
        <v/>
      </c>
      <c r="J6808" s="11">
        <f>MAX(0,M6808-N6808)</f>
        <v/>
      </c>
      <c r="K6808" s="11">
        <f>O6808</f>
        <v/>
      </c>
      <c r="L6808" s="11">
        <f>L6807+IF(K6808&gt;0,K6808*Summary!$B$9,K6808/Summary!$B$9)</f>
        <v/>
      </c>
      <c r="M6808" s="11">
        <f>G6808+H6808</f>
        <v/>
      </c>
      <c r="N6808" s="11">
        <f>Summary!$C$16*Summary!$B$8</f>
        <v/>
      </c>
      <c r="O6808" s="11">
        <f>M6808-N6808</f>
        <v/>
      </c>
    </row>
    <row r="6809">
      <c r="A6809" s="9" t="n">
        <v>45575.625</v>
      </c>
      <c r="B6809" t="n">
        <v>10</v>
      </c>
      <c r="C6809" t="n">
        <v>10</v>
      </c>
      <c r="D6809" t="n">
        <v>15</v>
      </c>
      <c r="E6809" s="10" t="n">
        <v>0.038029</v>
      </c>
      <c r="F6809" s="10" t="n">
        <v>0.3365151207636289</v>
      </c>
      <c r="G6809" s="11">
        <f>E6809*Summary!$B$6</f>
        <v/>
      </c>
      <c r="H6809" s="11">
        <f>F6809*Summary!$B$7</f>
        <v/>
      </c>
      <c r="I6809" s="11">
        <f>MAX(0,N6809-M6809)</f>
        <v/>
      </c>
      <c r="J6809" s="11">
        <f>MAX(0,M6809-N6809)</f>
        <v/>
      </c>
      <c r="K6809" s="11">
        <f>O6809</f>
        <v/>
      </c>
      <c r="L6809" s="11">
        <f>L6808+IF(K6809&gt;0,K6809*Summary!$B$9,K6809/Summary!$B$9)</f>
        <v/>
      </c>
      <c r="M6809" s="11">
        <f>G6809+H6809</f>
        <v/>
      </c>
      <c r="N6809" s="11">
        <f>Summary!$C$16*Summary!$B$8</f>
        <v/>
      </c>
      <c r="O6809" s="11">
        <f>M6809-N6809</f>
        <v/>
      </c>
    </row>
    <row r="6810">
      <c r="A6810" s="9" t="n">
        <v>45575.66666666666</v>
      </c>
      <c r="B6810" t="n">
        <v>10</v>
      </c>
      <c r="C6810" t="n">
        <v>10</v>
      </c>
      <c r="D6810" t="n">
        <v>16</v>
      </c>
      <c r="E6810" s="10" t="n">
        <v>0.01489</v>
      </c>
      <c r="F6810" s="10" t="n">
        <v>0.3548297651591436</v>
      </c>
      <c r="G6810" s="11">
        <f>E6810*Summary!$B$6</f>
        <v/>
      </c>
      <c r="H6810" s="11">
        <f>F6810*Summary!$B$7</f>
        <v/>
      </c>
      <c r="I6810" s="11">
        <f>MAX(0,N6810-M6810)</f>
        <v/>
      </c>
      <c r="J6810" s="11">
        <f>MAX(0,M6810-N6810)</f>
        <v/>
      </c>
      <c r="K6810" s="11">
        <f>O6810</f>
        <v/>
      </c>
      <c r="L6810" s="11">
        <f>L6809+IF(K6810&gt;0,K6810*Summary!$B$9,K6810/Summary!$B$9)</f>
        <v/>
      </c>
      <c r="M6810" s="11">
        <f>G6810+H6810</f>
        <v/>
      </c>
      <c r="N6810" s="11">
        <f>Summary!$C$16*Summary!$B$8</f>
        <v/>
      </c>
      <c r="O6810" s="11">
        <f>M6810-N6810</f>
        <v/>
      </c>
    </row>
    <row r="6811">
      <c r="A6811" s="9" t="n">
        <v>45575.70833333334</v>
      </c>
      <c r="B6811" t="n">
        <v>10</v>
      </c>
      <c r="C6811" t="n">
        <v>10</v>
      </c>
      <c r="D6811" t="n">
        <v>17</v>
      </c>
      <c r="E6811" s="10" t="n">
        <v>0</v>
      </c>
      <c r="F6811" s="10" t="n">
        <v>0.3838433241223978</v>
      </c>
      <c r="G6811" s="11">
        <f>E6811*Summary!$B$6</f>
        <v/>
      </c>
      <c r="H6811" s="11">
        <f>F6811*Summary!$B$7</f>
        <v/>
      </c>
      <c r="I6811" s="11">
        <f>MAX(0,N6811-M6811)</f>
        <v/>
      </c>
      <c r="J6811" s="11">
        <f>MAX(0,M6811-N6811)</f>
        <v/>
      </c>
      <c r="K6811" s="11">
        <f>O6811</f>
        <v/>
      </c>
      <c r="L6811" s="11">
        <f>L6810+IF(K6811&gt;0,K6811*Summary!$B$9,K6811/Summary!$B$9)</f>
        <v/>
      </c>
      <c r="M6811" s="11">
        <f>G6811+H6811</f>
        <v/>
      </c>
      <c r="N6811" s="11">
        <f>Summary!$C$16*Summary!$B$8</f>
        <v/>
      </c>
      <c r="O6811" s="11">
        <f>M6811-N6811</f>
        <v/>
      </c>
    </row>
    <row r="6812">
      <c r="A6812" s="9" t="n">
        <v>45575.75</v>
      </c>
      <c r="B6812" t="n">
        <v>10</v>
      </c>
      <c r="C6812" t="n">
        <v>10</v>
      </c>
      <c r="D6812" t="n">
        <v>18</v>
      </c>
      <c r="E6812" s="10" t="n">
        <v>0</v>
      </c>
      <c r="F6812" s="10" t="n">
        <v>0.4088250261180063</v>
      </c>
      <c r="G6812" s="11">
        <f>E6812*Summary!$B$6</f>
        <v/>
      </c>
      <c r="H6812" s="11">
        <f>F6812*Summary!$B$7</f>
        <v/>
      </c>
      <c r="I6812" s="11">
        <f>MAX(0,N6812-M6812)</f>
        <v/>
      </c>
      <c r="J6812" s="11">
        <f>MAX(0,M6812-N6812)</f>
        <v/>
      </c>
      <c r="K6812" s="11">
        <f>O6812</f>
        <v/>
      </c>
      <c r="L6812" s="11">
        <f>L6811+IF(K6812&gt;0,K6812*Summary!$B$9,K6812/Summary!$B$9)</f>
        <v/>
      </c>
      <c r="M6812" s="11">
        <f>G6812+H6812</f>
        <v/>
      </c>
      <c r="N6812" s="11">
        <f>Summary!$C$16*Summary!$B$8</f>
        <v/>
      </c>
      <c r="O6812" s="11">
        <f>M6812-N6812</f>
        <v/>
      </c>
    </row>
    <row r="6813">
      <c r="A6813" s="9" t="n">
        <v>45575.79166666666</v>
      </c>
      <c r="B6813" t="n">
        <v>10</v>
      </c>
      <c r="C6813" t="n">
        <v>10</v>
      </c>
      <c r="D6813" t="n">
        <v>19</v>
      </c>
      <c r="E6813" s="10" t="n">
        <v>0</v>
      </c>
      <c r="F6813" s="10" t="n">
        <v>0.4281410467538512</v>
      </c>
      <c r="G6813" s="11">
        <f>E6813*Summary!$B$6</f>
        <v/>
      </c>
      <c r="H6813" s="11">
        <f>F6813*Summary!$B$7</f>
        <v/>
      </c>
      <c r="I6813" s="11">
        <f>MAX(0,N6813-M6813)</f>
        <v/>
      </c>
      <c r="J6813" s="11">
        <f>MAX(0,M6813-N6813)</f>
        <v/>
      </c>
      <c r="K6813" s="11">
        <f>O6813</f>
        <v/>
      </c>
      <c r="L6813" s="11">
        <f>L6812+IF(K6813&gt;0,K6813*Summary!$B$9,K6813/Summary!$B$9)</f>
        <v/>
      </c>
      <c r="M6813" s="11">
        <f>G6813+H6813</f>
        <v/>
      </c>
      <c r="N6813" s="11">
        <f>Summary!$C$16*Summary!$B$8</f>
        <v/>
      </c>
      <c r="O6813" s="11">
        <f>M6813-N6813</f>
        <v/>
      </c>
    </row>
    <row r="6814">
      <c r="A6814" s="9" t="n">
        <v>45575.83333333334</v>
      </c>
      <c r="B6814" t="n">
        <v>10</v>
      </c>
      <c r="C6814" t="n">
        <v>10</v>
      </c>
      <c r="D6814" t="n">
        <v>20</v>
      </c>
      <c r="E6814" s="10" t="n">
        <v>0</v>
      </c>
      <c r="F6814" s="10" t="n">
        <v>0.474810449954508</v>
      </c>
      <c r="G6814" s="11">
        <f>E6814*Summary!$B$6</f>
        <v/>
      </c>
      <c r="H6814" s="11">
        <f>F6814*Summary!$B$7</f>
        <v/>
      </c>
      <c r="I6814" s="11">
        <f>MAX(0,N6814-M6814)</f>
        <v/>
      </c>
      <c r="J6814" s="11">
        <f>MAX(0,M6814-N6814)</f>
        <v/>
      </c>
      <c r="K6814" s="11">
        <f>O6814</f>
        <v/>
      </c>
      <c r="L6814" s="11">
        <f>L6813+IF(K6814&gt;0,K6814*Summary!$B$9,K6814/Summary!$B$9)</f>
        <v/>
      </c>
      <c r="M6814" s="11">
        <f>G6814+H6814</f>
        <v/>
      </c>
      <c r="N6814" s="11">
        <f>Summary!$C$16*Summary!$B$8</f>
        <v/>
      </c>
      <c r="O6814" s="11">
        <f>M6814-N6814</f>
        <v/>
      </c>
    </row>
    <row r="6815">
      <c r="A6815" s="9" t="n">
        <v>45575.875</v>
      </c>
      <c r="B6815" t="n">
        <v>10</v>
      </c>
      <c r="C6815" t="n">
        <v>10</v>
      </c>
      <c r="D6815" t="n">
        <v>21</v>
      </c>
      <c r="E6815" s="10" t="n">
        <v>0</v>
      </c>
      <c r="F6815" s="10" t="n">
        <v>0.4384973852393725</v>
      </c>
      <c r="G6815" s="11">
        <f>E6815*Summary!$B$6</f>
        <v/>
      </c>
      <c r="H6815" s="11">
        <f>F6815*Summary!$B$7</f>
        <v/>
      </c>
      <c r="I6815" s="11">
        <f>MAX(0,N6815-M6815)</f>
        <v/>
      </c>
      <c r="J6815" s="11">
        <f>MAX(0,M6815-N6815)</f>
        <v/>
      </c>
      <c r="K6815" s="11">
        <f>O6815</f>
        <v/>
      </c>
      <c r="L6815" s="11">
        <f>L6814+IF(K6815&gt;0,K6815*Summary!$B$9,K6815/Summary!$B$9)</f>
        <v/>
      </c>
      <c r="M6815" s="11">
        <f>G6815+H6815</f>
        <v/>
      </c>
      <c r="N6815" s="11">
        <f>Summary!$C$16*Summary!$B$8</f>
        <v/>
      </c>
      <c r="O6815" s="11">
        <f>M6815-N6815</f>
        <v/>
      </c>
    </row>
    <row r="6816">
      <c r="A6816" s="9" t="n">
        <v>45575.91666666666</v>
      </c>
      <c r="B6816" t="n">
        <v>10</v>
      </c>
      <c r="C6816" t="n">
        <v>10</v>
      </c>
      <c r="D6816" t="n">
        <v>22</v>
      </c>
      <c r="E6816" s="10" t="n">
        <v>0</v>
      </c>
      <c r="F6816" s="10" t="n">
        <v>0.4346236403096737</v>
      </c>
      <c r="G6816" s="11">
        <f>E6816*Summary!$B$6</f>
        <v/>
      </c>
      <c r="H6816" s="11">
        <f>F6816*Summary!$B$7</f>
        <v/>
      </c>
      <c r="I6816" s="11">
        <f>MAX(0,N6816-M6816)</f>
        <v/>
      </c>
      <c r="J6816" s="11">
        <f>MAX(0,M6816-N6816)</f>
        <v/>
      </c>
      <c r="K6816" s="11">
        <f>O6816</f>
        <v/>
      </c>
      <c r="L6816" s="11">
        <f>L6815+IF(K6816&gt;0,K6816*Summary!$B$9,K6816/Summary!$B$9)</f>
        <v/>
      </c>
      <c r="M6816" s="11">
        <f>G6816+H6816</f>
        <v/>
      </c>
      <c r="N6816" s="11">
        <f>Summary!$C$16*Summary!$B$8</f>
        <v/>
      </c>
      <c r="O6816" s="11">
        <f>M6816-N6816</f>
        <v/>
      </c>
    </row>
    <row r="6817">
      <c r="A6817" s="9" t="n">
        <v>45575.95833333334</v>
      </c>
      <c r="B6817" t="n">
        <v>10</v>
      </c>
      <c r="C6817" t="n">
        <v>10</v>
      </c>
      <c r="D6817" t="n">
        <v>23</v>
      </c>
      <c r="E6817" s="10" t="n">
        <v>0</v>
      </c>
      <c r="F6817" s="10" t="n">
        <v>0.429063366975208</v>
      </c>
      <c r="G6817" s="11">
        <f>E6817*Summary!$B$6</f>
        <v/>
      </c>
      <c r="H6817" s="11">
        <f>F6817*Summary!$B$7</f>
        <v/>
      </c>
      <c r="I6817" s="11">
        <f>MAX(0,N6817-M6817)</f>
        <v/>
      </c>
      <c r="J6817" s="11">
        <f>MAX(0,M6817-N6817)</f>
        <v/>
      </c>
      <c r="K6817" s="11">
        <f>O6817</f>
        <v/>
      </c>
      <c r="L6817" s="11">
        <f>L6816+IF(K6817&gt;0,K6817*Summary!$B$9,K6817/Summary!$B$9)</f>
        <v/>
      </c>
      <c r="M6817" s="11">
        <f>G6817+H6817</f>
        <v/>
      </c>
      <c r="N6817" s="11">
        <f>Summary!$C$16*Summary!$B$8</f>
        <v/>
      </c>
      <c r="O6817" s="11">
        <f>M6817-N6817</f>
        <v/>
      </c>
    </row>
    <row r="6818">
      <c r="A6818" s="9" t="n">
        <v>45576</v>
      </c>
      <c r="B6818" t="n">
        <v>10</v>
      </c>
      <c r="C6818" t="n">
        <v>11</v>
      </c>
      <c r="D6818" t="n">
        <v>0</v>
      </c>
      <c r="E6818" s="10" t="n">
        <v>0</v>
      </c>
      <c r="F6818" s="10" t="n">
        <v>0.4087723221053573</v>
      </c>
      <c r="G6818" s="11">
        <f>E6818*Summary!$B$6</f>
        <v/>
      </c>
      <c r="H6818" s="11">
        <f>F6818*Summary!$B$7</f>
        <v/>
      </c>
      <c r="I6818" s="11">
        <f>MAX(0,N6818-M6818)</f>
        <v/>
      </c>
      <c r="J6818" s="11">
        <f>MAX(0,M6818-N6818)</f>
        <v/>
      </c>
      <c r="K6818" s="11">
        <f>O6818</f>
        <v/>
      </c>
      <c r="L6818" s="11">
        <f>L6817+IF(K6818&gt;0,K6818*Summary!$B$9,K6818/Summary!$B$9)</f>
        <v/>
      </c>
      <c r="M6818" s="11">
        <f>G6818+H6818</f>
        <v/>
      </c>
      <c r="N6818" s="11">
        <f>Summary!$C$16*Summary!$B$8</f>
        <v/>
      </c>
      <c r="O6818" s="11">
        <f>M6818-N6818</f>
        <v/>
      </c>
    </row>
    <row r="6819">
      <c r="A6819" s="9" t="n">
        <v>45576.04166666666</v>
      </c>
      <c r="B6819" t="n">
        <v>10</v>
      </c>
      <c r="C6819" t="n">
        <v>11</v>
      </c>
      <c r="D6819" t="n">
        <v>1</v>
      </c>
      <c r="E6819" s="10" t="n">
        <v>0</v>
      </c>
      <c r="F6819" s="10" t="n">
        <v>0.4155974917433981</v>
      </c>
      <c r="G6819" s="11">
        <f>E6819*Summary!$B$6</f>
        <v/>
      </c>
      <c r="H6819" s="11">
        <f>F6819*Summary!$B$7</f>
        <v/>
      </c>
      <c r="I6819" s="11">
        <f>MAX(0,N6819-M6819)</f>
        <v/>
      </c>
      <c r="J6819" s="11">
        <f>MAX(0,M6819-N6819)</f>
        <v/>
      </c>
      <c r="K6819" s="11">
        <f>O6819</f>
        <v/>
      </c>
      <c r="L6819" s="11">
        <f>L6818+IF(K6819&gt;0,K6819*Summary!$B$9,K6819/Summary!$B$9)</f>
        <v/>
      </c>
      <c r="M6819" s="11">
        <f>G6819+H6819</f>
        <v/>
      </c>
      <c r="N6819" s="11">
        <f>Summary!$C$16*Summary!$B$8</f>
        <v/>
      </c>
      <c r="O6819" s="11">
        <f>M6819-N6819</f>
        <v/>
      </c>
    </row>
    <row r="6820">
      <c r="A6820" s="9" t="n">
        <v>45576.08333333334</v>
      </c>
      <c r="B6820" t="n">
        <v>10</v>
      </c>
      <c r="C6820" t="n">
        <v>11</v>
      </c>
      <c r="D6820" t="n">
        <v>2</v>
      </c>
      <c r="E6820" s="10" t="n">
        <v>0</v>
      </c>
      <c r="F6820" s="10" t="n">
        <v>0.4124616029907847</v>
      </c>
      <c r="G6820" s="11">
        <f>E6820*Summary!$B$6</f>
        <v/>
      </c>
      <c r="H6820" s="11">
        <f>F6820*Summary!$B$7</f>
        <v/>
      </c>
      <c r="I6820" s="11">
        <f>MAX(0,N6820-M6820)</f>
        <v/>
      </c>
      <c r="J6820" s="11">
        <f>MAX(0,M6820-N6820)</f>
        <v/>
      </c>
      <c r="K6820" s="11">
        <f>O6820</f>
        <v/>
      </c>
      <c r="L6820" s="11">
        <f>L6819+IF(K6820&gt;0,K6820*Summary!$B$9,K6820/Summary!$B$9)</f>
        <v/>
      </c>
      <c r="M6820" s="11">
        <f>G6820+H6820</f>
        <v/>
      </c>
      <c r="N6820" s="11">
        <f>Summary!$C$16*Summary!$B$8</f>
        <v/>
      </c>
      <c r="O6820" s="11">
        <f>M6820-N6820</f>
        <v/>
      </c>
    </row>
    <row r="6821">
      <c r="A6821" s="9" t="n">
        <v>45576.125</v>
      </c>
      <c r="B6821" t="n">
        <v>10</v>
      </c>
      <c r="C6821" t="n">
        <v>11</v>
      </c>
      <c r="D6821" t="n">
        <v>3</v>
      </c>
      <c r="E6821" s="10" t="n">
        <v>0</v>
      </c>
      <c r="F6821" s="10" t="n">
        <v>0.4065060495614519</v>
      </c>
      <c r="G6821" s="11">
        <f>E6821*Summary!$B$6</f>
        <v/>
      </c>
      <c r="H6821" s="11">
        <f>F6821*Summary!$B$7</f>
        <v/>
      </c>
      <c r="I6821" s="11">
        <f>MAX(0,N6821-M6821)</f>
        <v/>
      </c>
      <c r="J6821" s="11">
        <f>MAX(0,M6821-N6821)</f>
        <v/>
      </c>
      <c r="K6821" s="11">
        <f>O6821</f>
        <v/>
      </c>
      <c r="L6821" s="11">
        <f>L6820+IF(K6821&gt;0,K6821*Summary!$B$9,K6821/Summary!$B$9)</f>
        <v/>
      </c>
      <c r="M6821" s="11">
        <f>G6821+H6821</f>
        <v/>
      </c>
      <c r="N6821" s="11">
        <f>Summary!$C$16*Summary!$B$8</f>
        <v/>
      </c>
      <c r="O6821" s="11">
        <f>M6821-N6821</f>
        <v/>
      </c>
    </row>
    <row r="6822">
      <c r="A6822" s="9" t="n">
        <v>45576.16666666666</v>
      </c>
      <c r="B6822" t="n">
        <v>10</v>
      </c>
      <c r="C6822" t="n">
        <v>11</v>
      </c>
      <c r="D6822" t="n">
        <v>4</v>
      </c>
      <c r="E6822" s="10" t="n">
        <v>0</v>
      </c>
      <c r="F6822" s="10" t="n">
        <v>0.4021052645052635</v>
      </c>
      <c r="G6822" s="11">
        <f>E6822*Summary!$B$6</f>
        <v/>
      </c>
      <c r="H6822" s="11">
        <f>F6822*Summary!$B$7</f>
        <v/>
      </c>
      <c r="I6822" s="11">
        <f>MAX(0,N6822-M6822)</f>
        <v/>
      </c>
      <c r="J6822" s="11">
        <f>MAX(0,M6822-N6822)</f>
        <v/>
      </c>
      <c r="K6822" s="11">
        <f>O6822</f>
        <v/>
      </c>
      <c r="L6822" s="11">
        <f>L6821+IF(K6822&gt;0,K6822*Summary!$B$9,K6822/Summary!$B$9)</f>
        <v/>
      </c>
      <c r="M6822" s="11">
        <f>G6822+H6822</f>
        <v/>
      </c>
      <c r="N6822" s="11">
        <f>Summary!$C$16*Summary!$B$8</f>
        <v/>
      </c>
      <c r="O6822" s="11">
        <f>M6822-N6822</f>
        <v/>
      </c>
    </row>
    <row r="6823">
      <c r="A6823" s="9" t="n">
        <v>45576.20833333334</v>
      </c>
      <c r="B6823" t="n">
        <v>10</v>
      </c>
      <c r="C6823" t="n">
        <v>11</v>
      </c>
      <c r="D6823" t="n">
        <v>5</v>
      </c>
      <c r="E6823" s="10" t="n">
        <v>0</v>
      </c>
      <c r="F6823" s="10" t="n">
        <v>0.3950165748039779</v>
      </c>
      <c r="G6823" s="11">
        <f>E6823*Summary!$B$6</f>
        <v/>
      </c>
      <c r="H6823" s="11">
        <f>F6823*Summary!$B$7</f>
        <v/>
      </c>
      <c r="I6823" s="11">
        <f>MAX(0,N6823-M6823)</f>
        <v/>
      </c>
      <c r="J6823" s="11">
        <f>MAX(0,M6823-N6823)</f>
        <v/>
      </c>
      <c r="K6823" s="11">
        <f>O6823</f>
        <v/>
      </c>
      <c r="L6823" s="11">
        <f>L6822+IF(K6823&gt;0,K6823*Summary!$B$9,K6823/Summary!$B$9)</f>
        <v/>
      </c>
      <c r="M6823" s="11">
        <f>G6823+H6823</f>
        <v/>
      </c>
      <c r="N6823" s="11">
        <f>Summary!$C$16*Summary!$B$8</f>
        <v/>
      </c>
      <c r="O6823" s="11">
        <f>M6823-N6823</f>
        <v/>
      </c>
    </row>
    <row r="6824">
      <c r="A6824" s="9" t="n">
        <v>45576.25</v>
      </c>
      <c r="B6824" t="n">
        <v>10</v>
      </c>
      <c r="C6824" t="n">
        <v>11</v>
      </c>
      <c r="D6824" t="n">
        <v>6</v>
      </c>
      <c r="E6824" s="10" t="n">
        <v>0</v>
      </c>
      <c r="F6824" s="10" t="n">
        <v>0.3909320138236833</v>
      </c>
      <c r="G6824" s="11">
        <f>E6824*Summary!$B$6</f>
        <v/>
      </c>
      <c r="H6824" s="11">
        <f>F6824*Summary!$B$7</f>
        <v/>
      </c>
      <c r="I6824" s="11">
        <f>MAX(0,N6824-M6824)</f>
        <v/>
      </c>
      <c r="J6824" s="11">
        <f>MAX(0,M6824-N6824)</f>
        <v/>
      </c>
      <c r="K6824" s="11">
        <f>O6824</f>
        <v/>
      </c>
      <c r="L6824" s="11">
        <f>L6823+IF(K6824&gt;0,K6824*Summary!$B$9,K6824/Summary!$B$9)</f>
        <v/>
      </c>
      <c r="M6824" s="11">
        <f>G6824+H6824</f>
        <v/>
      </c>
      <c r="N6824" s="11">
        <f>Summary!$C$16*Summary!$B$8</f>
        <v/>
      </c>
      <c r="O6824" s="11">
        <f>M6824-N6824</f>
        <v/>
      </c>
    </row>
    <row r="6825">
      <c r="A6825" s="9" t="n">
        <v>45576.29166666666</v>
      </c>
      <c r="B6825" t="n">
        <v>10</v>
      </c>
      <c r="C6825" t="n">
        <v>11</v>
      </c>
      <c r="D6825" t="n">
        <v>7</v>
      </c>
      <c r="E6825" s="10" t="n">
        <v>0.028529</v>
      </c>
      <c r="F6825" s="10" t="n">
        <v>0.3721166813080035</v>
      </c>
      <c r="G6825" s="11">
        <f>E6825*Summary!$B$6</f>
        <v/>
      </c>
      <c r="H6825" s="11">
        <f>F6825*Summary!$B$7</f>
        <v/>
      </c>
      <c r="I6825" s="11">
        <f>MAX(0,N6825-M6825)</f>
        <v/>
      </c>
      <c r="J6825" s="11">
        <f>MAX(0,M6825-N6825)</f>
        <v/>
      </c>
      <c r="K6825" s="11">
        <f>O6825</f>
        <v/>
      </c>
      <c r="L6825" s="11">
        <f>L6824+IF(K6825&gt;0,K6825*Summary!$B$9,K6825/Summary!$B$9)</f>
        <v/>
      </c>
      <c r="M6825" s="11">
        <f>G6825+H6825</f>
        <v/>
      </c>
      <c r="N6825" s="11">
        <f>Summary!$C$16*Summary!$B$8</f>
        <v/>
      </c>
      <c r="O6825" s="11">
        <f>M6825-N6825</f>
        <v/>
      </c>
    </row>
    <row r="6826">
      <c r="A6826" s="9" t="n">
        <v>45576.33333333334</v>
      </c>
      <c r="B6826" t="n">
        <v>10</v>
      </c>
      <c r="C6826" t="n">
        <v>11</v>
      </c>
      <c r="D6826" t="n">
        <v>8</v>
      </c>
      <c r="E6826" s="10" t="n">
        <v>0.117795</v>
      </c>
      <c r="F6826" s="10" t="n">
        <v>0.3502445160586838</v>
      </c>
      <c r="G6826" s="11">
        <f>E6826*Summary!$B$6</f>
        <v/>
      </c>
      <c r="H6826" s="11">
        <f>F6826*Summary!$B$7</f>
        <v/>
      </c>
      <c r="I6826" s="11">
        <f>MAX(0,N6826-M6826)</f>
        <v/>
      </c>
      <c r="J6826" s="11">
        <f>MAX(0,M6826-N6826)</f>
        <v/>
      </c>
      <c r="K6826" s="11">
        <f>O6826</f>
        <v/>
      </c>
      <c r="L6826" s="11">
        <f>L6825+IF(K6826&gt;0,K6826*Summary!$B$9,K6826/Summary!$B$9)</f>
        <v/>
      </c>
      <c r="M6826" s="11">
        <f>G6826+H6826</f>
        <v/>
      </c>
      <c r="N6826" s="11">
        <f>Summary!$C$16*Summary!$B$8</f>
        <v/>
      </c>
      <c r="O6826" s="11">
        <f>M6826-N6826</f>
        <v/>
      </c>
    </row>
    <row r="6827">
      <c r="A6827" s="9" t="n">
        <v>45576.375</v>
      </c>
      <c r="B6827" t="n">
        <v>10</v>
      </c>
      <c r="C6827" t="n">
        <v>11</v>
      </c>
      <c r="D6827" t="n">
        <v>9</v>
      </c>
      <c r="E6827" s="10" t="n">
        <v>0.139269</v>
      </c>
      <c r="F6827" s="10" t="n">
        <v>0.3301642872394289</v>
      </c>
      <c r="G6827" s="11">
        <f>E6827*Summary!$B$6</f>
        <v/>
      </c>
      <c r="H6827" s="11">
        <f>F6827*Summary!$B$7</f>
        <v/>
      </c>
      <c r="I6827" s="11">
        <f>MAX(0,N6827-M6827)</f>
        <v/>
      </c>
      <c r="J6827" s="11">
        <f>MAX(0,M6827-N6827)</f>
        <v/>
      </c>
      <c r="K6827" s="11">
        <f>O6827</f>
        <v/>
      </c>
      <c r="L6827" s="11">
        <f>L6826+IF(K6827&gt;0,K6827*Summary!$B$9,K6827/Summary!$B$9)</f>
        <v/>
      </c>
      <c r="M6827" s="11">
        <f>G6827+H6827</f>
        <v/>
      </c>
      <c r="N6827" s="11">
        <f>Summary!$C$16*Summary!$B$8</f>
        <v/>
      </c>
      <c r="O6827" s="11">
        <f>M6827-N6827</f>
        <v/>
      </c>
    </row>
    <row r="6828">
      <c r="A6828" s="9" t="n">
        <v>45576.41666666666</v>
      </c>
      <c r="B6828" t="n">
        <v>10</v>
      </c>
      <c r="C6828" t="n">
        <v>11</v>
      </c>
      <c r="D6828" t="n">
        <v>10</v>
      </c>
      <c r="E6828" s="10" t="n">
        <v>0.259187</v>
      </c>
      <c r="F6828" s="10" t="n">
        <v>0.3182004763681143</v>
      </c>
      <c r="G6828" s="11">
        <f>E6828*Summary!$B$6</f>
        <v/>
      </c>
      <c r="H6828" s="11">
        <f>F6828*Summary!$B$7</f>
        <v/>
      </c>
      <c r="I6828" s="11">
        <f>MAX(0,N6828-M6828)</f>
        <v/>
      </c>
      <c r="J6828" s="11">
        <f>MAX(0,M6828-N6828)</f>
        <v/>
      </c>
      <c r="K6828" s="11">
        <f>O6828</f>
        <v/>
      </c>
      <c r="L6828" s="11">
        <f>L6827+IF(K6828&gt;0,K6828*Summary!$B$9,K6828/Summary!$B$9)</f>
        <v/>
      </c>
      <c r="M6828" s="11">
        <f>G6828+H6828</f>
        <v/>
      </c>
      <c r="N6828" s="11">
        <f>Summary!$C$16*Summary!$B$8</f>
        <v/>
      </c>
      <c r="O6828" s="11">
        <f>M6828-N6828</f>
        <v/>
      </c>
    </row>
    <row r="6829">
      <c r="A6829" s="9" t="n">
        <v>45576.45833333334</v>
      </c>
      <c r="B6829" t="n">
        <v>10</v>
      </c>
      <c r="C6829" t="n">
        <v>11</v>
      </c>
      <c r="D6829" t="n">
        <v>11</v>
      </c>
      <c r="E6829" s="10" t="n">
        <v>0.078204</v>
      </c>
      <c r="F6829" s="10" t="n">
        <v>0.315828795798911</v>
      </c>
      <c r="G6829" s="11">
        <f>E6829*Summary!$B$6</f>
        <v/>
      </c>
      <c r="H6829" s="11">
        <f>F6829*Summary!$B$7</f>
        <v/>
      </c>
      <c r="I6829" s="11">
        <f>MAX(0,N6829-M6829)</f>
        <v/>
      </c>
      <c r="J6829" s="11">
        <f>MAX(0,M6829-N6829)</f>
        <v/>
      </c>
      <c r="K6829" s="11">
        <f>O6829</f>
        <v/>
      </c>
      <c r="L6829" s="11">
        <f>L6828+IF(K6829&gt;0,K6829*Summary!$B$9,K6829/Summary!$B$9)</f>
        <v/>
      </c>
      <c r="M6829" s="11">
        <f>G6829+H6829</f>
        <v/>
      </c>
      <c r="N6829" s="11">
        <f>Summary!$C$16*Summary!$B$8</f>
        <v/>
      </c>
      <c r="O6829" s="11">
        <f>M6829-N6829</f>
        <v/>
      </c>
    </row>
    <row r="6830">
      <c r="A6830" s="9" t="n">
        <v>45576.5</v>
      </c>
      <c r="B6830" t="n">
        <v>10</v>
      </c>
      <c r="C6830" t="n">
        <v>11</v>
      </c>
      <c r="D6830" t="n">
        <v>12</v>
      </c>
      <c r="E6830" s="10" t="n">
        <v>0.09089</v>
      </c>
      <c r="F6830" s="10" t="n">
        <v>0.3209410850258604</v>
      </c>
      <c r="G6830" s="11">
        <f>E6830*Summary!$B$6</f>
        <v/>
      </c>
      <c r="H6830" s="11">
        <f>F6830*Summary!$B$7</f>
        <v/>
      </c>
      <c r="I6830" s="11">
        <f>MAX(0,N6830-M6830)</f>
        <v/>
      </c>
      <c r="J6830" s="11">
        <f>MAX(0,M6830-N6830)</f>
        <v/>
      </c>
      <c r="K6830" s="11">
        <f>O6830</f>
        <v/>
      </c>
      <c r="L6830" s="11">
        <f>L6829+IF(K6830&gt;0,K6830*Summary!$B$9,K6830/Summary!$B$9)</f>
        <v/>
      </c>
      <c r="M6830" s="11">
        <f>G6830+H6830</f>
        <v/>
      </c>
      <c r="N6830" s="11">
        <f>Summary!$C$16*Summary!$B$8</f>
        <v/>
      </c>
      <c r="O6830" s="11">
        <f>M6830-N6830</f>
        <v/>
      </c>
    </row>
    <row r="6831">
      <c r="A6831" s="9" t="n">
        <v>45576.54166666666</v>
      </c>
      <c r="B6831" t="n">
        <v>10</v>
      </c>
      <c r="C6831" t="n">
        <v>11</v>
      </c>
      <c r="D6831" t="n">
        <v>13</v>
      </c>
      <c r="E6831" s="10" t="n">
        <v>0.065078</v>
      </c>
      <c r="F6831" s="10" t="n">
        <v>0.3242350858164206</v>
      </c>
      <c r="G6831" s="11">
        <f>E6831*Summary!$B$6</f>
        <v/>
      </c>
      <c r="H6831" s="11">
        <f>F6831*Summary!$B$7</f>
        <v/>
      </c>
      <c r="I6831" s="11">
        <f>MAX(0,N6831-M6831)</f>
        <v/>
      </c>
      <c r="J6831" s="11">
        <f>MAX(0,M6831-N6831)</f>
        <v/>
      </c>
      <c r="K6831" s="11">
        <f>O6831</f>
        <v/>
      </c>
      <c r="L6831" s="11">
        <f>L6830+IF(K6831&gt;0,K6831*Summary!$B$9,K6831/Summary!$B$9)</f>
        <v/>
      </c>
      <c r="M6831" s="11">
        <f>G6831+H6831</f>
        <v/>
      </c>
      <c r="N6831" s="11">
        <f>Summary!$C$16*Summary!$B$8</f>
        <v/>
      </c>
      <c r="O6831" s="11">
        <f>M6831-N6831</f>
        <v/>
      </c>
    </row>
    <row r="6832">
      <c r="A6832" s="9" t="n">
        <v>45576.58333333334</v>
      </c>
      <c r="B6832" t="n">
        <v>10</v>
      </c>
      <c r="C6832" t="n">
        <v>11</v>
      </c>
      <c r="D6832" t="n">
        <v>14</v>
      </c>
      <c r="E6832" s="10" t="n">
        <v>0.052549</v>
      </c>
      <c r="F6832" s="10" t="n">
        <v>0.3617603428224823</v>
      </c>
      <c r="G6832" s="11">
        <f>E6832*Summary!$B$6</f>
        <v/>
      </c>
      <c r="H6832" s="11">
        <f>F6832*Summary!$B$7</f>
        <v/>
      </c>
      <c r="I6832" s="11">
        <f>MAX(0,N6832-M6832)</f>
        <v/>
      </c>
      <c r="J6832" s="11">
        <f>MAX(0,M6832-N6832)</f>
        <v/>
      </c>
      <c r="K6832" s="11">
        <f>O6832</f>
        <v/>
      </c>
      <c r="L6832" s="11">
        <f>L6831+IF(K6832&gt;0,K6832*Summary!$B$9,K6832/Summary!$B$9)</f>
        <v/>
      </c>
      <c r="M6832" s="11">
        <f>G6832+H6832</f>
        <v/>
      </c>
      <c r="N6832" s="11">
        <f>Summary!$C$16*Summary!$B$8</f>
        <v/>
      </c>
      <c r="O6832" s="11">
        <f>M6832-N6832</f>
        <v/>
      </c>
    </row>
    <row r="6833">
      <c r="A6833" s="9" t="n">
        <v>45576.625</v>
      </c>
      <c r="B6833" t="n">
        <v>10</v>
      </c>
      <c r="C6833" t="n">
        <v>11</v>
      </c>
      <c r="D6833" t="n">
        <v>15</v>
      </c>
      <c r="E6833" s="10" t="n">
        <v>0.022083</v>
      </c>
      <c r="F6833" s="10" t="n">
        <v>0.3670043920810541</v>
      </c>
      <c r="G6833" s="11">
        <f>E6833*Summary!$B$6</f>
        <v/>
      </c>
      <c r="H6833" s="11">
        <f>F6833*Summary!$B$7</f>
        <v/>
      </c>
      <c r="I6833" s="11">
        <f>MAX(0,N6833-M6833)</f>
        <v/>
      </c>
      <c r="J6833" s="11">
        <f>MAX(0,M6833-N6833)</f>
        <v/>
      </c>
      <c r="K6833" s="11">
        <f>O6833</f>
        <v/>
      </c>
      <c r="L6833" s="11">
        <f>L6832+IF(K6833&gt;0,K6833*Summary!$B$9,K6833/Summary!$B$9)</f>
        <v/>
      </c>
      <c r="M6833" s="11">
        <f>G6833+H6833</f>
        <v/>
      </c>
      <c r="N6833" s="11">
        <f>Summary!$C$16*Summary!$B$8</f>
        <v/>
      </c>
      <c r="O6833" s="11">
        <f>M6833-N6833</f>
        <v/>
      </c>
    </row>
    <row r="6834">
      <c r="A6834" s="9" t="n">
        <v>45576.66666666666</v>
      </c>
      <c r="B6834" t="n">
        <v>10</v>
      </c>
      <c r="C6834" t="n">
        <v>11</v>
      </c>
      <c r="D6834" t="n">
        <v>16</v>
      </c>
      <c r="E6834" s="10" t="n">
        <v>0.007218</v>
      </c>
      <c r="F6834" s="10" t="n">
        <v>0.3419963380791211</v>
      </c>
      <c r="G6834" s="11">
        <f>E6834*Summary!$B$6</f>
        <v/>
      </c>
      <c r="H6834" s="11">
        <f>F6834*Summary!$B$7</f>
        <v/>
      </c>
      <c r="I6834" s="11">
        <f>MAX(0,N6834-M6834)</f>
        <v/>
      </c>
      <c r="J6834" s="11">
        <f>MAX(0,M6834-N6834)</f>
        <v/>
      </c>
      <c r="K6834" s="11">
        <f>O6834</f>
        <v/>
      </c>
      <c r="L6834" s="11">
        <f>L6833+IF(K6834&gt;0,K6834*Summary!$B$9,K6834/Summary!$B$9)</f>
        <v/>
      </c>
      <c r="M6834" s="11">
        <f>G6834+H6834</f>
        <v/>
      </c>
      <c r="N6834" s="11">
        <f>Summary!$C$16*Summary!$B$8</f>
        <v/>
      </c>
      <c r="O6834" s="11">
        <f>M6834-N6834</f>
        <v/>
      </c>
    </row>
    <row r="6835">
      <c r="A6835" s="9" t="n">
        <v>45576.70833333334</v>
      </c>
      <c r="B6835" t="n">
        <v>10</v>
      </c>
      <c r="C6835" t="n">
        <v>11</v>
      </c>
      <c r="D6835" t="n">
        <v>17</v>
      </c>
      <c r="E6835" s="10" t="n">
        <v>0</v>
      </c>
      <c r="F6835" s="10" t="n">
        <v>0.357096037703049</v>
      </c>
      <c r="G6835" s="11">
        <f>E6835*Summary!$B$6</f>
        <v/>
      </c>
      <c r="H6835" s="11">
        <f>F6835*Summary!$B$7</f>
        <v/>
      </c>
      <c r="I6835" s="11">
        <f>MAX(0,N6835-M6835)</f>
        <v/>
      </c>
      <c r="J6835" s="11">
        <f>MAX(0,M6835-N6835)</f>
        <v/>
      </c>
      <c r="K6835" s="11">
        <f>O6835</f>
        <v/>
      </c>
      <c r="L6835" s="11">
        <f>L6834+IF(K6835&gt;0,K6835*Summary!$B$9,K6835/Summary!$B$9)</f>
        <v/>
      </c>
      <c r="M6835" s="11">
        <f>G6835+H6835</f>
        <v/>
      </c>
      <c r="N6835" s="11">
        <f>Summary!$C$16*Summary!$B$8</f>
        <v/>
      </c>
      <c r="O6835" s="11">
        <f>M6835-N6835</f>
        <v/>
      </c>
    </row>
    <row r="6836">
      <c r="A6836" s="9" t="n">
        <v>45576.75</v>
      </c>
      <c r="B6836" t="n">
        <v>10</v>
      </c>
      <c r="C6836" t="n">
        <v>11</v>
      </c>
      <c r="D6836" t="n">
        <v>18</v>
      </c>
      <c r="E6836" s="10" t="n">
        <v>0</v>
      </c>
      <c r="F6836" s="10" t="n">
        <v>0.3764384103452185</v>
      </c>
      <c r="G6836" s="11">
        <f>E6836*Summary!$B$6</f>
        <v/>
      </c>
      <c r="H6836" s="11">
        <f>F6836*Summary!$B$7</f>
        <v/>
      </c>
      <c r="I6836" s="11">
        <f>MAX(0,N6836-M6836)</f>
        <v/>
      </c>
      <c r="J6836" s="11">
        <f>MAX(0,M6836-N6836)</f>
        <v/>
      </c>
      <c r="K6836" s="11">
        <f>O6836</f>
        <v/>
      </c>
      <c r="L6836" s="11">
        <f>L6835+IF(K6836&gt;0,K6836*Summary!$B$9,K6836/Summary!$B$9)</f>
        <v/>
      </c>
      <c r="M6836" s="11">
        <f>G6836+H6836</f>
        <v/>
      </c>
      <c r="N6836" s="11">
        <f>Summary!$C$16*Summary!$B$8</f>
        <v/>
      </c>
      <c r="O6836" s="11">
        <f>M6836-N6836</f>
        <v/>
      </c>
    </row>
    <row r="6837">
      <c r="A6837" s="9" t="n">
        <v>45576.79166666666</v>
      </c>
      <c r="B6837" t="n">
        <v>10</v>
      </c>
      <c r="C6837" t="n">
        <v>11</v>
      </c>
      <c r="D6837" t="n">
        <v>19</v>
      </c>
      <c r="E6837" s="10" t="n">
        <v>0</v>
      </c>
      <c r="F6837" s="10" t="n">
        <v>0.3926712462410991</v>
      </c>
      <c r="G6837" s="11">
        <f>E6837*Summary!$B$6</f>
        <v/>
      </c>
      <c r="H6837" s="11">
        <f>F6837*Summary!$B$7</f>
        <v/>
      </c>
      <c r="I6837" s="11">
        <f>MAX(0,N6837-M6837)</f>
        <v/>
      </c>
      <c r="J6837" s="11">
        <f>MAX(0,M6837-N6837)</f>
        <v/>
      </c>
      <c r="K6837" s="11">
        <f>O6837</f>
        <v/>
      </c>
      <c r="L6837" s="11">
        <f>L6836+IF(K6837&gt;0,K6837*Summary!$B$9,K6837/Summary!$B$9)</f>
        <v/>
      </c>
      <c r="M6837" s="11">
        <f>G6837+H6837</f>
        <v/>
      </c>
      <c r="N6837" s="11">
        <f>Summary!$C$16*Summary!$B$8</f>
        <v/>
      </c>
      <c r="O6837" s="11">
        <f>M6837-N6837</f>
        <v/>
      </c>
    </row>
    <row r="6838">
      <c r="A6838" s="9" t="n">
        <v>45576.83333333334</v>
      </c>
      <c r="B6838" t="n">
        <v>10</v>
      </c>
      <c r="C6838" t="n">
        <v>11</v>
      </c>
      <c r="D6838" t="n">
        <v>20</v>
      </c>
      <c r="E6838" s="10" t="n">
        <v>0</v>
      </c>
      <c r="F6838" s="10" t="n">
        <v>0.4004187361004967</v>
      </c>
      <c r="G6838" s="11">
        <f>E6838*Summary!$B$6</f>
        <v/>
      </c>
      <c r="H6838" s="11">
        <f>F6838*Summary!$B$7</f>
        <v/>
      </c>
      <c r="I6838" s="11">
        <f>MAX(0,N6838-M6838)</f>
        <v/>
      </c>
      <c r="J6838" s="11">
        <f>MAX(0,M6838-N6838)</f>
        <v/>
      </c>
      <c r="K6838" s="11">
        <f>O6838</f>
        <v/>
      </c>
      <c r="L6838" s="11">
        <f>L6837+IF(K6838&gt;0,K6838*Summary!$B$9,K6838/Summary!$B$9)</f>
        <v/>
      </c>
      <c r="M6838" s="11">
        <f>G6838+H6838</f>
        <v/>
      </c>
      <c r="N6838" s="11">
        <f>Summary!$C$16*Summary!$B$8</f>
        <v/>
      </c>
      <c r="O6838" s="11">
        <f>M6838-N6838</f>
        <v/>
      </c>
    </row>
    <row r="6839">
      <c r="A6839" s="9" t="n">
        <v>45576.875</v>
      </c>
      <c r="B6839" t="n">
        <v>10</v>
      </c>
      <c r="C6839" t="n">
        <v>11</v>
      </c>
      <c r="D6839" t="n">
        <v>21</v>
      </c>
      <c r="E6839" s="10" t="n">
        <v>0</v>
      </c>
      <c r="F6839" s="10" t="n">
        <v>0.4027377126570511</v>
      </c>
      <c r="G6839" s="11">
        <f>E6839*Summary!$B$6</f>
        <v/>
      </c>
      <c r="H6839" s="11">
        <f>F6839*Summary!$B$7</f>
        <v/>
      </c>
      <c r="I6839" s="11">
        <f>MAX(0,N6839-M6839)</f>
        <v/>
      </c>
      <c r="J6839" s="11">
        <f>MAX(0,M6839-N6839)</f>
        <v/>
      </c>
      <c r="K6839" s="11">
        <f>O6839</f>
        <v/>
      </c>
      <c r="L6839" s="11">
        <f>L6838+IF(K6839&gt;0,K6839*Summary!$B$9,K6839/Summary!$B$9)</f>
        <v/>
      </c>
      <c r="M6839" s="11">
        <f>G6839+H6839</f>
        <v/>
      </c>
      <c r="N6839" s="11">
        <f>Summary!$C$16*Summary!$B$8</f>
        <v/>
      </c>
      <c r="O6839" s="11">
        <f>M6839-N6839</f>
        <v/>
      </c>
    </row>
    <row r="6840">
      <c r="A6840" s="9" t="n">
        <v>45576.91666666666</v>
      </c>
      <c r="B6840" t="n">
        <v>10</v>
      </c>
      <c r="C6840" t="n">
        <v>11</v>
      </c>
      <c r="D6840" t="n">
        <v>22</v>
      </c>
      <c r="E6840" s="10" t="n">
        <v>0</v>
      </c>
      <c r="F6840" s="10" t="n">
        <v>0.4054519693084726</v>
      </c>
      <c r="G6840" s="11">
        <f>E6840*Summary!$B$6</f>
        <v/>
      </c>
      <c r="H6840" s="11">
        <f>F6840*Summary!$B$7</f>
        <v/>
      </c>
      <c r="I6840" s="11">
        <f>MAX(0,N6840-M6840)</f>
        <v/>
      </c>
      <c r="J6840" s="11">
        <f>MAX(0,M6840-N6840)</f>
        <v/>
      </c>
      <c r="K6840" s="11">
        <f>O6840</f>
        <v/>
      </c>
      <c r="L6840" s="11">
        <f>L6839+IF(K6840&gt;0,K6840*Summary!$B$9,K6840/Summary!$B$9)</f>
        <v/>
      </c>
      <c r="M6840" s="11">
        <f>G6840+H6840</f>
        <v/>
      </c>
      <c r="N6840" s="11">
        <f>Summary!$C$16*Summary!$B$8</f>
        <v/>
      </c>
      <c r="O6840" s="11">
        <f>M6840-N6840</f>
        <v/>
      </c>
    </row>
    <row r="6841">
      <c r="A6841" s="9" t="n">
        <v>45576.95833333334</v>
      </c>
      <c r="B6841" t="n">
        <v>10</v>
      </c>
      <c r="C6841" t="n">
        <v>11</v>
      </c>
      <c r="D6841" t="n">
        <v>23</v>
      </c>
      <c r="E6841" s="10" t="n">
        <v>0</v>
      </c>
      <c r="F6841" s="10" t="n">
        <v>0.4082979859915166</v>
      </c>
      <c r="G6841" s="11">
        <f>E6841*Summary!$B$6</f>
        <v/>
      </c>
      <c r="H6841" s="11">
        <f>F6841*Summary!$B$7</f>
        <v/>
      </c>
      <c r="I6841" s="11">
        <f>MAX(0,N6841-M6841)</f>
        <v/>
      </c>
      <c r="J6841" s="11">
        <f>MAX(0,M6841-N6841)</f>
        <v/>
      </c>
      <c r="K6841" s="11">
        <f>O6841</f>
        <v/>
      </c>
      <c r="L6841" s="11">
        <f>L6840+IF(K6841&gt;0,K6841*Summary!$B$9,K6841/Summary!$B$9)</f>
        <v/>
      </c>
      <c r="M6841" s="11">
        <f>G6841+H6841</f>
        <v/>
      </c>
      <c r="N6841" s="11">
        <f>Summary!$C$16*Summary!$B$8</f>
        <v/>
      </c>
      <c r="O6841" s="11">
        <f>M6841-N6841</f>
        <v/>
      </c>
    </row>
    <row r="6842">
      <c r="A6842" s="9" t="n">
        <v>45577</v>
      </c>
      <c r="B6842" t="n">
        <v>10</v>
      </c>
      <c r="C6842" t="n">
        <v>12</v>
      </c>
      <c r="D6842" t="n">
        <v>0</v>
      </c>
      <c r="E6842" s="10" t="n">
        <v>0</v>
      </c>
      <c r="F6842" s="10" t="n">
        <v>0.3786783308827994</v>
      </c>
      <c r="G6842" s="11">
        <f>E6842*Summary!$B$6</f>
        <v/>
      </c>
      <c r="H6842" s="11">
        <f>F6842*Summary!$B$7</f>
        <v/>
      </c>
      <c r="I6842" s="11">
        <f>MAX(0,N6842-M6842)</f>
        <v/>
      </c>
      <c r="J6842" s="11">
        <f>MAX(0,M6842-N6842)</f>
        <v/>
      </c>
      <c r="K6842" s="11">
        <f>O6842</f>
        <v/>
      </c>
      <c r="L6842" s="11">
        <f>L6841+IF(K6842&gt;0,K6842*Summary!$B$9,K6842/Summary!$B$9)</f>
        <v/>
      </c>
      <c r="M6842" s="11">
        <f>G6842+H6842</f>
        <v/>
      </c>
      <c r="N6842" s="11">
        <f>Summary!$C$16*Summary!$B$8</f>
        <v/>
      </c>
      <c r="O6842" s="11">
        <f>M6842-N6842</f>
        <v/>
      </c>
    </row>
    <row r="6843">
      <c r="A6843" s="9" t="n">
        <v>45577.04166666666</v>
      </c>
      <c r="B6843" t="n">
        <v>10</v>
      </c>
      <c r="C6843" t="n">
        <v>12</v>
      </c>
      <c r="D6843" t="n">
        <v>1</v>
      </c>
      <c r="E6843" s="10" t="n">
        <v>0</v>
      </c>
      <c r="F6843" s="10" t="n">
        <v>0.3988903197336768</v>
      </c>
      <c r="G6843" s="11">
        <f>E6843*Summary!$B$6</f>
        <v/>
      </c>
      <c r="H6843" s="11">
        <f>F6843*Summary!$B$7</f>
        <v/>
      </c>
      <c r="I6843" s="11">
        <f>MAX(0,N6843-M6843)</f>
        <v/>
      </c>
      <c r="J6843" s="11">
        <f>MAX(0,M6843-N6843)</f>
        <v/>
      </c>
      <c r="K6843" s="11">
        <f>O6843</f>
        <v/>
      </c>
      <c r="L6843" s="11">
        <f>L6842+IF(K6843&gt;0,K6843*Summary!$B$9,K6843/Summary!$B$9)</f>
        <v/>
      </c>
      <c r="M6843" s="11">
        <f>G6843+H6843</f>
        <v/>
      </c>
      <c r="N6843" s="11">
        <f>Summary!$C$16*Summary!$B$8</f>
        <v/>
      </c>
      <c r="O6843" s="11">
        <f>M6843-N6843</f>
        <v/>
      </c>
    </row>
    <row r="6844">
      <c r="A6844" s="9" t="n">
        <v>45577.08333333334</v>
      </c>
      <c r="B6844" t="n">
        <v>10</v>
      </c>
      <c r="C6844" t="n">
        <v>12</v>
      </c>
      <c r="D6844" t="n">
        <v>2</v>
      </c>
      <c r="E6844" s="10" t="n">
        <v>0</v>
      </c>
      <c r="F6844" s="10" t="n">
        <v>0.3952800948672227</v>
      </c>
      <c r="G6844" s="11">
        <f>E6844*Summary!$B$6</f>
        <v/>
      </c>
      <c r="H6844" s="11">
        <f>F6844*Summary!$B$7</f>
        <v/>
      </c>
      <c r="I6844" s="11">
        <f>MAX(0,N6844-M6844)</f>
        <v/>
      </c>
      <c r="J6844" s="11">
        <f>MAX(0,M6844-N6844)</f>
        <v/>
      </c>
      <c r="K6844" s="11">
        <f>O6844</f>
        <v/>
      </c>
      <c r="L6844" s="11">
        <f>L6843+IF(K6844&gt;0,K6844*Summary!$B$9,K6844/Summary!$B$9)</f>
        <v/>
      </c>
      <c r="M6844" s="11">
        <f>G6844+H6844</f>
        <v/>
      </c>
      <c r="N6844" s="11">
        <f>Summary!$C$16*Summary!$B$8</f>
        <v/>
      </c>
      <c r="O6844" s="11">
        <f>M6844-N6844</f>
        <v/>
      </c>
    </row>
    <row r="6845">
      <c r="A6845" s="9" t="n">
        <v>45577.125</v>
      </c>
      <c r="B6845" t="n">
        <v>10</v>
      </c>
      <c r="C6845" t="n">
        <v>12</v>
      </c>
      <c r="D6845" t="n">
        <v>3</v>
      </c>
      <c r="E6845" s="10" t="n">
        <v>0</v>
      </c>
      <c r="F6845" s="10" t="n">
        <v>0.3896671175201082</v>
      </c>
      <c r="G6845" s="11">
        <f>E6845*Summary!$B$6</f>
        <v/>
      </c>
      <c r="H6845" s="11">
        <f>F6845*Summary!$B$7</f>
        <v/>
      </c>
      <c r="I6845" s="11">
        <f>MAX(0,N6845-M6845)</f>
        <v/>
      </c>
      <c r="J6845" s="11">
        <f>MAX(0,M6845-N6845)</f>
        <v/>
      </c>
      <c r="K6845" s="11">
        <f>O6845</f>
        <v/>
      </c>
      <c r="L6845" s="11">
        <f>L6844+IF(K6845&gt;0,K6845*Summary!$B$9,K6845/Summary!$B$9)</f>
        <v/>
      </c>
      <c r="M6845" s="11">
        <f>G6845+H6845</f>
        <v/>
      </c>
      <c r="N6845" s="11">
        <f>Summary!$C$16*Summary!$B$8</f>
        <v/>
      </c>
      <c r="O6845" s="11">
        <f>M6845-N6845</f>
        <v/>
      </c>
    </row>
    <row r="6846">
      <c r="A6846" s="9" t="n">
        <v>45577.16666666666</v>
      </c>
      <c r="B6846" t="n">
        <v>10</v>
      </c>
      <c r="C6846" t="n">
        <v>12</v>
      </c>
      <c r="D6846" t="n">
        <v>4</v>
      </c>
      <c r="E6846" s="10" t="n">
        <v>0</v>
      </c>
      <c r="F6846" s="10" t="n">
        <v>0.3817088116101148</v>
      </c>
      <c r="G6846" s="11">
        <f>E6846*Summary!$B$6</f>
        <v/>
      </c>
      <c r="H6846" s="11">
        <f>F6846*Summary!$B$7</f>
        <v/>
      </c>
      <c r="I6846" s="11">
        <f>MAX(0,N6846-M6846)</f>
        <v/>
      </c>
      <c r="J6846" s="11">
        <f>MAX(0,M6846-N6846)</f>
        <v/>
      </c>
      <c r="K6846" s="11">
        <f>O6846</f>
        <v/>
      </c>
      <c r="L6846" s="11">
        <f>L6845+IF(K6846&gt;0,K6846*Summary!$B$9,K6846/Summary!$B$9)</f>
        <v/>
      </c>
      <c r="M6846" s="11">
        <f>G6846+H6846</f>
        <v/>
      </c>
      <c r="N6846" s="11">
        <f>Summary!$C$16*Summary!$B$8</f>
        <v/>
      </c>
      <c r="O6846" s="11">
        <f>M6846-N6846</f>
        <v/>
      </c>
    </row>
    <row r="6847">
      <c r="A6847" s="9" t="n">
        <v>45577.20833333334</v>
      </c>
      <c r="B6847" t="n">
        <v>10</v>
      </c>
      <c r="C6847" t="n">
        <v>12</v>
      </c>
      <c r="D6847" t="n">
        <v>5</v>
      </c>
      <c r="E6847" s="10" t="n">
        <v>0</v>
      </c>
      <c r="F6847" s="10" t="n">
        <v>0.3728808894914135</v>
      </c>
      <c r="G6847" s="11">
        <f>E6847*Summary!$B$6</f>
        <v/>
      </c>
      <c r="H6847" s="11">
        <f>F6847*Summary!$B$7</f>
        <v/>
      </c>
      <c r="I6847" s="11">
        <f>MAX(0,N6847-M6847)</f>
        <v/>
      </c>
      <c r="J6847" s="11">
        <f>MAX(0,M6847-N6847)</f>
        <v/>
      </c>
      <c r="K6847" s="11">
        <f>O6847</f>
        <v/>
      </c>
      <c r="L6847" s="11">
        <f>L6846+IF(K6847&gt;0,K6847*Summary!$B$9,K6847/Summary!$B$9)</f>
        <v/>
      </c>
      <c r="M6847" s="11">
        <f>G6847+H6847</f>
        <v/>
      </c>
      <c r="N6847" s="11">
        <f>Summary!$C$16*Summary!$B$8</f>
        <v/>
      </c>
      <c r="O6847" s="11">
        <f>M6847-N6847</f>
        <v/>
      </c>
    </row>
    <row r="6848">
      <c r="A6848" s="9" t="n">
        <v>45577.25</v>
      </c>
      <c r="B6848" t="n">
        <v>10</v>
      </c>
      <c r="C6848" t="n">
        <v>12</v>
      </c>
      <c r="D6848" t="n">
        <v>6</v>
      </c>
      <c r="E6848" s="10" t="n">
        <v>0</v>
      </c>
      <c r="F6848" s="10" t="n">
        <v>0.3647908235497976</v>
      </c>
      <c r="G6848" s="11">
        <f>E6848*Summary!$B$6</f>
        <v/>
      </c>
      <c r="H6848" s="11">
        <f>F6848*Summary!$B$7</f>
        <v/>
      </c>
      <c r="I6848" s="11">
        <f>MAX(0,N6848-M6848)</f>
        <v/>
      </c>
      <c r="J6848" s="11">
        <f>MAX(0,M6848-N6848)</f>
        <v/>
      </c>
      <c r="K6848" s="11">
        <f>O6848</f>
        <v/>
      </c>
      <c r="L6848" s="11">
        <f>L6847+IF(K6848&gt;0,K6848*Summary!$B$9,K6848/Summary!$B$9)</f>
        <v/>
      </c>
      <c r="M6848" s="11">
        <f>G6848+H6848</f>
        <v/>
      </c>
      <c r="N6848" s="11">
        <f>Summary!$C$16*Summary!$B$8</f>
        <v/>
      </c>
      <c r="O6848" s="11">
        <f>M6848-N6848</f>
        <v/>
      </c>
    </row>
    <row r="6849">
      <c r="A6849" s="9" t="n">
        <v>45577.29166666666</v>
      </c>
      <c r="B6849" t="n">
        <v>10</v>
      </c>
      <c r="C6849" t="n">
        <v>12</v>
      </c>
      <c r="D6849" t="n">
        <v>7</v>
      </c>
      <c r="E6849" s="10" t="n">
        <v>0.018734</v>
      </c>
      <c r="F6849" s="10" t="n">
        <v>0.3517465804191793</v>
      </c>
      <c r="G6849" s="11">
        <f>E6849*Summary!$B$6</f>
        <v/>
      </c>
      <c r="H6849" s="11">
        <f>F6849*Summary!$B$7</f>
        <v/>
      </c>
      <c r="I6849" s="11">
        <f>MAX(0,N6849-M6849)</f>
        <v/>
      </c>
      <c r="J6849" s="11">
        <f>MAX(0,M6849-N6849)</f>
        <v/>
      </c>
      <c r="K6849" s="11">
        <f>O6849</f>
        <v/>
      </c>
      <c r="L6849" s="11">
        <f>L6848+IF(K6849&gt;0,K6849*Summary!$B$9,K6849/Summary!$B$9)</f>
        <v/>
      </c>
      <c r="M6849" s="11">
        <f>G6849+H6849</f>
        <v/>
      </c>
      <c r="N6849" s="11">
        <f>Summary!$C$16*Summary!$B$8</f>
        <v/>
      </c>
      <c r="O6849" s="11">
        <f>M6849-N6849</f>
        <v/>
      </c>
    </row>
    <row r="6850">
      <c r="A6850" s="9" t="n">
        <v>45577.33333333334</v>
      </c>
      <c r="B6850" t="n">
        <v>10</v>
      </c>
      <c r="C6850" t="n">
        <v>12</v>
      </c>
      <c r="D6850" t="n">
        <v>8</v>
      </c>
      <c r="E6850" s="10" t="n">
        <v>0.049508</v>
      </c>
      <c r="F6850" s="10" t="n">
        <v>0.3338272161185319</v>
      </c>
      <c r="G6850" s="11">
        <f>E6850*Summary!$B$6</f>
        <v/>
      </c>
      <c r="H6850" s="11">
        <f>F6850*Summary!$B$7</f>
        <v/>
      </c>
      <c r="I6850" s="11">
        <f>MAX(0,N6850-M6850)</f>
        <v/>
      </c>
      <c r="J6850" s="11">
        <f>MAX(0,M6850-N6850)</f>
        <v/>
      </c>
      <c r="K6850" s="11">
        <f>O6850</f>
        <v/>
      </c>
      <c r="L6850" s="11">
        <f>L6849+IF(K6850&gt;0,K6850*Summary!$B$9,K6850/Summary!$B$9)</f>
        <v/>
      </c>
      <c r="M6850" s="11">
        <f>G6850+H6850</f>
        <v/>
      </c>
      <c r="N6850" s="11">
        <f>Summary!$C$16*Summary!$B$8</f>
        <v/>
      </c>
      <c r="O6850" s="11">
        <f>M6850-N6850</f>
        <v/>
      </c>
    </row>
    <row r="6851">
      <c r="A6851" s="9" t="n">
        <v>45577.375</v>
      </c>
      <c r="B6851" t="n">
        <v>10</v>
      </c>
      <c r="C6851" t="n">
        <v>12</v>
      </c>
      <c r="D6851" t="n">
        <v>9</v>
      </c>
      <c r="E6851" s="10" t="n">
        <v>0.117134</v>
      </c>
      <c r="F6851" s="10" t="n">
        <v>0.318016012323843</v>
      </c>
      <c r="G6851" s="11">
        <f>E6851*Summary!$B$6</f>
        <v/>
      </c>
      <c r="H6851" s="11">
        <f>F6851*Summary!$B$7</f>
        <v/>
      </c>
      <c r="I6851" s="11">
        <f>MAX(0,N6851-M6851)</f>
        <v/>
      </c>
      <c r="J6851" s="11">
        <f>MAX(0,M6851-N6851)</f>
        <v/>
      </c>
      <c r="K6851" s="11">
        <f>O6851</f>
        <v/>
      </c>
      <c r="L6851" s="11">
        <f>L6850+IF(K6851&gt;0,K6851*Summary!$B$9,K6851/Summary!$B$9)</f>
        <v/>
      </c>
      <c r="M6851" s="11">
        <f>G6851+H6851</f>
        <v/>
      </c>
      <c r="N6851" s="11">
        <f>Summary!$C$16*Summary!$B$8</f>
        <v/>
      </c>
      <c r="O6851" s="11">
        <f>M6851-N6851</f>
        <v/>
      </c>
    </row>
    <row r="6852">
      <c r="A6852" s="9" t="n">
        <v>45577.41666666666</v>
      </c>
      <c r="B6852" t="n">
        <v>10</v>
      </c>
      <c r="C6852" t="n">
        <v>12</v>
      </c>
      <c r="D6852" t="n">
        <v>10</v>
      </c>
      <c r="E6852" s="10" t="n">
        <v>0.115428</v>
      </c>
      <c r="F6852" s="10" t="n">
        <v>0.3162240758937782</v>
      </c>
      <c r="G6852" s="11">
        <f>E6852*Summary!$B$6</f>
        <v/>
      </c>
      <c r="H6852" s="11">
        <f>F6852*Summary!$B$7</f>
        <v/>
      </c>
      <c r="I6852" s="11">
        <f>MAX(0,N6852-M6852)</f>
        <v/>
      </c>
      <c r="J6852" s="11">
        <f>MAX(0,M6852-N6852)</f>
        <v/>
      </c>
      <c r="K6852" s="11">
        <f>O6852</f>
        <v/>
      </c>
      <c r="L6852" s="11">
        <f>L6851+IF(K6852&gt;0,K6852*Summary!$B$9,K6852/Summary!$B$9)</f>
        <v/>
      </c>
      <c r="M6852" s="11">
        <f>G6852+H6852</f>
        <v/>
      </c>
      <c r="N6852" s="11">
        <f>Summary!$C$16*Summary!$B$8</f>
        <v/>
      </c>
      <c r="O6852" s="11">
        <f>M6852-N6852</f>
        <v/>
      </c>
    </row>
    <row r="6853">
      <c r="A6853" s="9" t="n">
        <v>45577.45833333334</v>
      </c>
      <c r="B6853" t="n">
        <v>10</v>
      </c>
      <c r="C6853" t="n">
        <v>12</v>
      </c>
      <c r="D6853" t="n">
        <v>11</v>
      </c>
      <c r="E6853" s="10" t="n">
        <v>0.152621</v>
      </c>
      <c r="F6853" s="10" t="n">
        <v>0.3192018526084446</v>
      </c>
      <c r="G6853" s="11">
        <f>E6853*Summary!$B$6</f>
        <v/>
      </c>
      <c r="H6853" s="11">
        <f>F6853*Summary!$B$7</f>
        <v/>
      </c>
      <c r="I6853" s="11">
        <f>MAX(0,N6853-M6853)</f>
        <v/>
      </c>
      <c r="J6853" s="11">
        <f>MAX(0,M6853-N6853)</f>
        <v/>
      </c>
      <c r="K6853" s="11">
        <f>O6853</f>
        <v/>
      </c>
      <c r="L6853" s="11">
        <f>L6852+IF(K6853&gt;0,K6853*Summary!$B$9,K6853/Summary!$B$9)</f>
        <v/>
      </c>
      <c r="M6853" s="11">
        <f>G6853+H6853</f>
        <v/>
      </c>
      <c r="N6853" s="11">
        <f>Summary!$C$16*Summary!$B$8</f>
        <v/>
      </c>
      <c r="O6853" s="11">
        <f>M6853-N6853</f>
        <v/>
      </c>
    </row>
    <row r="6854">
      <c r="A6854" s="9" t="n">
        <v>45577.5</v>
      </c>
      <c r="B6854" t="n">
        <v>10</v>
      </c>
      <c r="C6854" t="n">
        <v>12</v>
      </c>
      <c r="D6854" t="n">
        <v>12</v>
      </c>
      <c r="E6854" s="10" t="n">
        <v>0.114174</v>
      </c>
      <c r="F6854" s="10" t="n">
        <v>0.3313501275240306</v>
      </c>
      <c r="G6854" s="11">
        <f>E6854*Summary!$B$6</f>
        <v/>
      </c>
      <c r="H6854" s="11">
        <f>F6854*Summary!$B$7</f>
        <v/>
      </c>
      <c r="I6854" s="11">
        <f>MAX(0,N6854-M6854)</f>
        <v/>
      </c>
      <c r="J6854" s="11">
        <f>MAX(0,M6854-N6854)</f>
        <v/>
      </c>
      <c r="K6854" s="11">
        <f>O6854</f>
        <v/>
      </c>
      <c r="L6854" s="11">
        <f>L6853+IF(K6854&gt;0,K6854*Summary!$B$9,K6854/Summary!$B$9)</f>
        <v/>
      </c>
      <c r="M6854" s="11">
        <f>G6854+H6854</f>
        <v/>
      </c>
      <c r="N6854" s="11">
        <f>Summary!$C$16*Summary!$B$8</f>
        <v/>
      </c>
      <c r="O6854" s="11">
        <f>M6854-N6854</f>
        <v/>
      </c>
    </row>
    <row r="6855">
      <c r="A6855" s="9" t="n">
        <v>45577.54166666666</v>
      </c>
      <c r="B6855" t="n">
        <v>10</v>
      </c>
      <c r="C6855" t="n">
        <v>12</v>
      </c>
      <c r="D6855" t="n">
        <v>13</v>
      </c>
      <c r="E6855" s="10" t="n">
        <v>0.103888</v>
      </c>
      <c r="F6855" s="10" t="n">
        <v>0.3684537524289005</v>
      </c>
      <c r="G6855" s="11">
        <f>E6855*Summary!$B$6</f>
        <v/>
      </c>
      <c r="H6855" s="11">
        <f>F6855*Summary!$B$7</f>
        <v/>
      </c>
      <c r="I6855" s="11">
        <f>MAX(0,N6855-M6855)</f>
        <v/>
      </c>
      <c r="J6855" s="11">
        <f>MAX(0,M6855-N6855)</f>
        <v/>
      </c>
      <c r="K6855" s="11">
        <f>O6855</f>
        <v/>
      </c>
      <c r="L6855" s="11">
        <f>L6854+IF(K6855&gt;0,K6855*Summary!$B$9,K6855/Summary!$B$9)</f>
        <v/>
      </c>
      <c r="M6855" s="11">
        <f>G6855+H6855</f>
        <v/>
      </c>
      <c r="N6855" s="11">
        <f>Summary!$C$16*Summary!$B$8</f>
        <v/>
      </c>
      <c r="O6855" s="11">
        <f>M6855-N6855</f>
        <v/>
      </c>
    </row>
    <row r="6856">
      <c r="A6856" s="9" t="n">
        <v>45577.58333333334</v>
      </c>
      <c r="B6856" t="n">
        <v>10</v>
      </c>
      <c r="C6856" t="n">
        <v>12</v>
      </c>
      <c r="D6856" t="n">
        <v>14</v>
      </c>
      <c r="E6856" s="10" t="n">
        <v>0.037776</v>
      </c>
      <c r="F6856" s="10" t="n">
        <v>0.345764674983522</v>
      </c>
      <c r="G6856" s="11">
        <f>E6856*Summary!$B$6</f>
        <v/>
      </c>
      <c r="H6856" s="11">
        <f>F6856*Summary!$B$7</f>
        <v/>
      </c>
      <c r="I6856" s="11">
        <f>MAX(0,N6856-M6856)</f>
        <v/>
      </c>
      <c r="J6856" s="11">
        <f>MAX(0,M6856-N6856)</f>
        <v/>
      </c>
      <c r="K6856" s="11">
        <f>O6856</f>
        <v/>
      </c>
      <c r="L6856" s="11">
        <f>L6855+IF(K6856&gt;0,K6856*Summary!$B$9,K6856/Summary!$B$9)</f>
        <v/>
      </c>
      <c r="M6856" s="11">
        <f>G6856+H6856</f>
        <v/>
      </c>
      <c r="N6856" s="11">
        <f>Summary!$C$16*Summary!$B$8</f>
        <v/>
      </c>
      <c r="O6856" s="11">
        <f>M6856-N6856</f>
        <v/>
      </c>
    </row>
    <row r="6857">
      <c r="A6857" s="9" t="n">
        <v>45577.625</v>
      </c>
      <c r="B6857" t="n">
        <v>10</v>
      </c>
      <c r="C6857" t="n">
        <v>12</v>
      </c>
      <c r="D6857" t="n">
        <v>15</v>
      </c>
      <c r="E6857" s="10" t="n">
        <v>0.105221</v>
      </c>
      <c r="F6857" s="10" t="n">
        <v>0.3509823722357693</v>
      </c>
      <c r="G6857" s="11">
        <f>E6857*Summary!$B$6</f>
        <v/>
      </c>
      <c r="H6857" s="11">
        <f>F6857*Summary!$B$7</f>
        <v/>
      </c>
      <c r="I6857" s="11">
        <f>MAX(0,N6857-M6857)</f>
        <v/>
      </c>
      <c r="J6857" s="11">
        <f>MAX(0,M6857-N6857)</f>
        <v/>
      </c>
      <c r="K6857" s="11">
        <f>O6857</f>
        <v/>
      </c>
      <c r="L6857" s="11">
        <f>L6856+IF(K6857&gt;0,K6857*Summary!$B$9,K6857/Summary!$B$9)</f>
        <v/>
      </c>
      <c r="M6857" s="11">
        <f>G6857+H6857</f>
        <v/>
      </c>
      <c r="N6857" s="11">
        <f>Summary!$C$16*Summary!$B$8</f>
        <v/>
      </c>
      <c r="O6857" s="11">
        <f>M6857-N6857</f>
        <v/>
      </c>
    </row>
    <row r="6858">
      <c r="A6858" s="9" t="n">
        <v>45577.66666666666</v>
      </c>
      <c r="B6858" t="n">
        <v>10</v>
      </c>
      <c r="C6858" t="n">
        <v>12</v>
      </c>
      <c r="D6858" t="n">
        <v>16</v>
      </c>
      <c r="E6858" s="10" t="n">
        <v>0.032913</v>
      </c>
      <c r="F6858" s="10" t="n">
        <v>0.3609961346390723</v>
      </c>
      <c r="G6858" s="11">
        <f>E6858*Summary!$B$6</f>
        <v/>
      </c>
      <c r="H6858" s="11">
        <f>F6858*Summary!$B$7</f>
        <v/>
      </c>
      <c r="I6858" s="11">
        <f>MAX(0,N6858-M6858)</f>
        <v/>
      </c>
      <c r="J6858" s="11">
        <f>MAX(0,M6858-N6858)</f>
        <v/>
      </c>
      <c r="K6858" s="11">
        <f>O6858</f>
        <v/>
      </c>
      <c r="L6858" s="11">
        <f>L6857+IF(K6858&gt;0,K6858*Summary!$B$9,K6858/Summary!$B$9)</f>
        <v/>
      </c>
      <c r="M6858" s="11">
        <f>G6858+H6858</f>
        <v/>
      </c>
      <c r="N6858" s="11">
        <f>Summary!$C$16*Summary!$B$8</f>
        <v/>
      </c>
      <c r="O6858" s="11">
        <f>M6858-N6858</f>
        <v/>
      </c>
    </row>
    <row r="6859">
      <c r="A6859" s="9" t="n">
        <v>45577.70833333334</v>
      </c>
      <c r="B6859" t="n">
        <v>10</v>
      </c>
      <c r="C6859" t="n">
        <v>12</v>
      </c>
      <c r="D6859" t="n">
        <v>17</v>
      </c>
      <c r="E6859" s="10" t="n">
        <v>0</v>
      </c>
      <c r="F6859" s="10" t="n">
        <v>0.3790999629839911</v>
      </c>
      <c r="G6859" s="11">
        <f>E6859*Summary!$B$6</f>
        <v/>
      </c>
      <c r="H6859" s="11">
        <f>F6859*Summary!$B$7</f>
        <v/>
      </c>
      <c r="I6859" s="11">
        <f>MAX(0,N6859-M6859)</f>
        <v/>
      </c>
      <c r="J6859" s="11">
        <f>MAX(0,M6859-N6859)</f>
        <v/>
      </c>
      <c r="K6859" s="11">
        <f>O6859</f>
        <v/>
      </c>
      <c r="L6859" s="11">
        <f>L6858+IF(K6859&gt;0,K6859*Summary!$B$9,K6859/Summary!$B$9)</f>
        <v/>
      </c>
      <c r="M6859" s="11">
        <f>G6859+H6859</f>
        <v/>
      </c>
      <c r="N6859" s="11">
        <f>Summary!$C$16*Summary!$B$8</f>
        <v/>
      </c>
      <c r="O6859" s="11">
        <f>M6859-N6859</f>
        <v/>
      </c>
    </row>
    <row r="6860">
      <c r="A6860" s="9" t="n">
        <v>45577.75</v>
      </c>
      <c r="B6860" t="n">
        <v>10</v>
      </c>
      <c r="C6860" t="n">
        <v>12</v>
      </c>
      <c r="D6860" t="n">
        <v>18</v>
      </c>
      <c r="E6860" s="10" t="n">
        <v>0</v>
      </c>
      <c r="F6860" s="10" t="n">
        <v>0.3961760630822551</v>
      </c>
      <c r="G6860" s="11">
        <f>E6860*Summary!$B$6</f>
        <v/>
      </c>
      <c r="H6860" s="11">
        <f>F6860*Summary!$B$7</f>
        <v/>
      </c>
      <c r="I6860" s="11">
        <f>MAX(0,N6860-M6860)</f>
        <v/>
      </c>
      <c r="J6860" s="11">
        <f>MAX(0,M6860-N6860)</f>
        <v/>
      </c>
      <c r="K6860" s="11">
        <f>O6860</f>
        <v/>
      </c>
      <c r="L6860" s="11">
        <f>L6859+IF(K6860&gt;0,K6860*Summary!$B$9,K6860/Summary!$B$9)</f>
        <v/>
      </c>
      <c r="M6860" s="11">
        <f>G6860+H6860</f>
        <v/>
      </c>
      <c r="N6860" s="11">
        <f>Summary!$C$16*Summary!$B$8</f>
        <v/>
      </c>
      <c r="O6860" s="11">
        <f>M6860-N6860</f>
        <v/>
      </c>
    </row>
    <row r="6861">
      <c r="A6861" s="9" t="n">
        <v>45577.79166666666</v>
      </c>
      <c r="B6861" t="n">
        <v>10</v>
      </c>
      <c r="C6861" t="n">
        <v>12</v>
      </c>
      <c r="D6861" t="n">
        <v>19</v>
      </c>
      <c r="E6861" s="10" t="n">
        <v>0</v>
      </c>
      <c r="F6861" s="10" t="n">
        <v>0.408535154048437</v>
      </c>
      <c r="G6861" s="11">
        <f>E6861*Summary!$B$6</f>
        <v/>
      </c>
      <c r="H6861" s="11">
        <f>F6861*Summary!$B$7</f>
        <v/>
      </c>
      <c r="I6861" s="11">
        <f>MAX(0,N6861-M6861)</f>
        <v/>
      </c>
      <c r="J6861" s="11">
        <f>MAX(0,M6861-N6861)</f>
        <v/>
      </c>
      <c r="K6861" s="11">
        <f>O6861</f>
        <v/>
      </c>
      <c r="L6861" s="11">
        <f>L6860+IF(K6861&gt;0,K6861*Summary!$B$9,K6861/Summary!$B$9)</f>
        <v/>
      </c>
      <c r="M6861" s="11">
        <f>G6861+H6861</f>
        <v/>
      </c>
      <c r="N6861" s="11">
        <f>Summary!$C$16*Summary!$B$8</f>
        <v/>
      </c>
      <c r="O6861" s="11">
        <f>M6861-N6861</f>
        <v/>
      </c>
    </row>
    <row r="6862">
      <c r="A6862" s="9" t="n">
        <v>45577.83333333334</v>
      </c>
      <c r="B6862" t="n">
        <v>10</v>
      </c>
      <c r="C6862" t="n">
        <v>12</v>
      </c>
      <c r="D6862" t="n">
        <v>20</v>
      </c>
      <c r="E6862" s="10" t="n">
        <v>0</v>
      </c>
      <c r="F6862" s="10" t="n">
        <v>0.4088513781243308</v>
      </c>
      <c r="G6862" s="11">
        <f>E6862*Summary!$B$6</f>
        <v/>
      </c>
      <c r="H6862" s="11">
        <f>F6862*Summary!$B$7</f>
        <v/>
      </c>
      <c r="I6862" s="11">
        <f>MAX(0,N6862-M6862)</f>
        <v/>
      </c>
      <c r="J6862" s="11">
        <f>MAX(0,M6862-N6862)</f>
        <v/>
      </c>
      <c r="K6862" s="11">
        <f>O6862</f>
        <v/>
      </c>
      <c r="L6862" s="11">
        <f>L6861+IF(K6862&gt;0,K6862*Summary!$B$9,K6862/Summary!$B$9)</f>
        <v/>
      </c>
      <c r="M6862" s="11">
        <f>G6862+H6862</f>
        <v/>
      </c>
      <c r="N6862" s="11">
        <f>Summary!$C$16*Summary!$B$8</f>
        <v/>
      </c>
      <c r="O6862" s="11">
        <f>M6862-N6862</f>
        <v/>
      </c>
    </row>
    <row r="6863">
      <c r="A6863" s="9" t="n">
        <v>45577.875</v>
      </c>
      <c r="B6863" t="n">
        <v>10</v>
      </c>
      <c r="C6863" t="n">
        <v>12</v>
      </c>
      <c r="D6863" t="n">
        <v>21</v>
      </c>
      <c r="E6863" s="10" t="n">
        <v>0</v>
      </c>
      <c r="F6863" s="10" t="n">
        <v>0.3981788155629157</v>
      </c>
      <c r="G6863" s="11">
        <f>E6863*Summary!$B$6</f>
        <v/>
      </c>
      <c r="H6863" s="11">
        <f>F6863*Summary!$B$7</f>
        <v/>
      </c>
      <c r="I6863" s="11">
        <f>MAX(0,N6863-M6863)</f>
        <v/>
      </c>
      <c r="J6863" s="11">
        <f>MAX(0,M6863-N6863)</f>
        <v/>
      </c>
      <c r="K6863" s="11">
        <f>O6863</f>
        <v/>
      </c>
      <c r="L6863" s="11">
        <f>L6862+IF(K6863&gt;0,K6863*Summary!$B$9,K6863/Summary!$B$9)</f>
        <v/>
      </c>
      <c r="M6863" s="11">
        <f>G6863+H6863</f>
        <v/>
      </c>
      <c r="N6863" s="11">
        <f>Summary!$C$16*Summary!$B$8</f>
        <v/>
      </c>
      <c r="O6863" s="11">
        <f>M6863-N6863</f>
        <v/>
      </c>
    </row>
    <row r="6864">
      <c r="A6864" s="9" t="n">
        <v>45577.91666666666</v>
      </c>
      <c r="B6864" t="n">
        <v>10</v>
      </c>
      <c r="C6864" t="n">
        <v>12</v>
      </c>
      <c r="D6864" t="n">
        <v>22</v>
      </c>
      <c r="E6864" s="10" t="n">
        <v>0</v>
      </c>
      <c r="F6864" s="10" t="n">
        <v>0.3883231651975597</v>
      </c>
      <c r="G6864" s="11">
        <f>E6864*Summary!$B$6</f>
        <v/>
      </c>
      <c r="H6864" s="11">
        <f>F6864*Summary!$B$7</f>
        <v/>
      </c>
      <c r="I6864" s="11">
        <f>MAX(0,N6864-M6864)</f>
        <v/>
      </c>
      <c r="J6864" s="11">
        <f>MAX(0,M6864-N6864)</f>
        <v/>
      </c>
      <c r="K6864" s="11">
        <f>O6864</f>
        <v/>
      </c>
      <c r="L6864" s="11">
        <f>L6863+IF(K6864&gt;0,K6864*Summary!$B$9,K6864/Summary!$B$9)</f>
        <v/>
      </c>
      <c r="M6864" s="11">
        <f>G6864+H6864</f>
        <v/>
      </c>
      <c r="N6864" s="11">
        <f>Summary!$C$16*Summary!$B$8</f>
        <v/>
      </c>
      <c r="O6864" s="11">
        <f>M6864-N6864</f>
        <v/>
      </c>
    </row>
    <row r="6865">
      <c r="A6865" s="9" t="n">
        <v>45577.95833333334</v>
      </c>
      <c r="B6865" t="n">
        <v>10</v>
      </c>
      <c r="C6865" t="n">
        <v>12</v>
      </c>
      <c r="D6865" t="n">
        <v>23</v>
      </c>
      <c r="E6865" s="10" t="n">
        <v>0</v>
      </c>
      <c r="F6865" s="10" t="n">
        <v>0.4088250261180063</v>
      </c>
      <c r="G6865" s="11">
        <f>E6865*Summary!$B$6</f>
        <v/>
      </c>
      <c r="H6865" s="11">
        <f>F6865*Summary!$B$7</f>
        <v/>
      </c>
      <c r="I6865" s="11">
        <f>MAX(0,N6865-M6865)</f>
        <v/>
      </c>
      <c r="J6865" s="11">
        <f>MAX(0,M6865-N6865)</f>
        <v/>
      </c>
      <c r="K6865" s="11">
        <f>O6865</f>
        <v/>
      </c>
      <c r="L6865" s="11">
        <f>L6864+IF(K6865&gt;0,K6865*Summary!$B$9,K6865/Summary!$B$9)</f>
        <v/>
      </c>
      <c r="M6865" s="11">
        <f>G6865+H6865</f>
        <v/>
      </c>
      <c r="N6865" s="11">
        <f>Summary!$C$16*Summary!$B$8</f>
        <v/>
      </c>
      <c r="O6865" s="11">
        <f>M6865-N6865</f>
        <v/>
      </c>
    </row>
    <row r="6866">
      <c r="A6866" s="9" t="n">
        <v>45578</v>
      </c>
      <c r="B6866" t="n">
        <v>10</v>
      </c>
      <c r="C6866" t="n">
        <v>13</v>
      </c>
      <c r="D6866" t="n">
        <v>0</v>
      </c>
      <c r="E6866" s="10" t="n">
        <v>0</v>
      </c>
      <c r="F6866" s="10" t="n">
        <v>0.300834504200281</v>
      </c>
      <c r="G6866" s="11">
        <f>E6866*Summary!$B$6</f>
        <v/>
      </c>
      <c r="H6866" s="11">
        <f>F6866*Summary!$B$7</f>
        <v/>
      </c>
      <c r="I6866" s="11">
        <f>MAX(0,N6866-M6866)</f>
        <v/>
      </c>
      <c r="J6866" s="11">
        <f>MAX(0,M6866-N6866)</f>
        <v/>
      </c>
      <c r="K6866" s="11">
        <f>O6866</f>
        <v/>
      </c>
      <c r="L6866" s="11">
        <f>L6865+IF(K6866&gt;0,K6866*Summary!$B$9,K6866/Summary!$B$9)</f>
        <v/>
      </c>
      <c r="M6866" s="11">
        <f>G6866+H6866</f>
        <v/>
      </c>
      <c r="N6866" s="11">
        <f>Summary!$C$16*Summary!$B$8</f>
        <v/>
      </c>
      <c r="O6866" s="11">
        <f>M6866-N6866</f>
        <v/>
      </c>
    </row>
    <row r="6867">
      <c r="A6867" s="9" t="n">
        <v>45578.04166666666</v>
      </c>
      <c r="B6867" t="n">
        <v>10</v>
      </c>
      <c r="C6867" t="n">
        <v>13</v>
      </c>
      <c r="D6867" t="n">
        <v>1</v>
      </c>
      <c r="E6867" s="10" t="n">
        <v>0</v>
      </c>
      <c r="F6867" s="10" t="n">
        <v>0.3688753845300923</v>
      </c>
      <c r="G6867" s="11">
        <f>E6867*Summary!$B$6</f>
        <v/>
      </c>
      <c r="H6867" s="11">
        <f>F6867*Summary!$B$7</f>
        <v/>
      </c>
      <c r="I6867" s="11">
        <f>MAX(0,N6867-M6867)</f>
        <v/>
      </c>
      <c r="J6867" s="11">
        <f>MAX(0,M6867-N6867)</f>
        <v/>
      </c>
      <c r="K6867" s="11">
        <f>O6867</f>
        <v/>
      </c>
      <c r="L6867" s="11">
        <f>L6866+IF(K6867&gt;0,K6867*Summary!$B$9,K6867/Summary!$B$9)</f>
        <v/>
      </c>
      <c r="M6867" s="11">
        <f>G6867+H6867</f>
        <v/>
      </c>
      <c r="N6867" s="11">
        <f>Summary!$C$16*Summary!$B$8</f>
        <v/>
      </c>
      <c r="O6867" s="11">
        <f>M6867-N6867</f>
        <v/>
      </c>
    </row>
    <row r="6868">
      <c r="A6868" s="9" t="n">
        <v>45578.08333333334</v>
      </c>
      <c r="B6868" t="n">
        <v>10</v>
      </c>
      <c r="C6868" t="n">
        <v>13</v>
      </c>
      <c r="D6868" t="n">
        <v>2</v>
      </c>
      <c r="E6868" s="10" t="n">
        <v>0</v>
      </c>
      <c r="F6868" s="10" t="n">
        <v>0.3598366463607952</v>
      </c>
      <c r="G6868" s="11">
        <f>E6868*Summary!$B$6</f>
        <v/>
      </c>
      <c r="H6868" s="11">
        <f>F6868*Summary!$B$7</f>
        <v/>
      </c>
      <c r="I6868" s="11">
        <f>MAX(0,N6868-M6868)</f>
        <v/>
      </c>
      <c r="J6868" s="11">
        <f>MAX(0,M6868-N6868)</f>
        <v/>
      </c>
      <c r="K6868" s="11">
        <f>O6868</f>
        <v/>
      </c>
      <c r="L6868" s="11">
        <f>L6867+IF(K6868&gt;0,K6868*Summary!$B$9,K6868/Summary!$B$9)</f>
        <v/>
      </c>
      <c r="M6868" s="11">
        <f>G6868+H6868</f>
        <v/>
      </c>
      <c r="N6868" s="11">
        <f>Summary!$C$16*Summary!$B$8</f>
        <v/>
      </c>
      <c r="O6868" s="11">
        <f>M6868-N6868</f>
        <v/>
      </c>
    </row>
    <row r="6869">
      <c r="A6869" s="9" t="n">
        <v>45578.125</v>
      </c>
      <c r="B6869" t="n">
        <v>10</v>
      </c>
      <c r="C6869" t="n">
        <v>13</v>
      </c>
      <c r="D6869" t="n">
        <v>3</v>
      </c>
      <c r="E6869" s="10" t="n">
        <v>0</v>
      </c>
      <c r="F6869" s="10" t="n">
        <v>0.3478201314768315</v>
      </c>
      <c r="G6869" s="11">
        <f>E6869*Summary!$B$6</f>
        <v/>
      </c>
      <c r="H6869" s="11">
        <f>F6869*Summary!$B$7</f>
        <v/>
      </c>
      <c r="I6869" s="11">
        <f>MAX(0,N6869-M6869)</f>
        <v/>
      </c>
      <c r="J6869" s="11">
        <f>MAX(0,M6869-N6869)</f>
        <v/>
      </c>
      <c r="K6869" s="11">
        <f>O6869</f>
        <v/>
      </c>
      <c r="L6869" s="11">
        <f>L6868+IF(K6869&gt;0,K6869*Summary!$B$9,K6869/Summary!$B$9)</f>
        <v/>
      </c>
      <c r="M6869" s="11">
        <f>G6869+H6869</f>
        <v/>
      </c>
      <c r="N6869" s="11">
        <f>Summary!$C$16*Summary!$B$8</f>
        <v/>
      </c>
      <c r="O6869" s="11">
        <f>M6869-N6869</f>
        <v/>
      </c>
    </row>
    <row r="6870">
      <c r="A6870" s="9" t="n">
        <v>45578.16666666666</v>
      </c>
      <c r="B6870" t="n">
        <v>10</v>
      </c>
      <c r="C6870" t="n">
        <v>13</v>
      </c>
      <c r="D6870" t="n">
        <v>4</v>
      </c>
      <c r="E6870" s="10" t="n">
        <v>0</v>
      </c>
      <c r="F6870" s="10" t="n">
        <v>0.3397827695478647</v>
      </c>
      <c r="G6870" s="11">
        <f>E6870*Summary!$B$6</f>
        <v/>
      </c>
      <c r="H6870" s="11">
        <f>F6870*Summary!$B$7</f>
        <v/>
      </c>
      <c r="I6870" s="11">
        <f>MAX(0,N6870-M6870)</f>
        <v/>
      </c>
      <c r="J6870" s="11">
        <f>MAX(0,M6870-N6870)</f>
        <v/>
      </c>
      <c r="K6870" s="11">
        <f>O6870</f>
        <v/>
      </c>
      <c r="L6870" s="11">
        <f>L6869+IF(K6870&gt;0,K6870*Summary!$B$9,K6870/Summary!$B$9)</f>
        <v/>
      </c>
      <c r="M6870" s="11">
        <f>G6870+H6870</f>
        <v/>
      </c>
      <c r="N6870" s="11">
        <f>Summary!$C$16*Summary!$B$8</f>
        <v/>
      </c>
      <c r="O6870" s="11">
        <f>M6870-N6870</f>
        <v/>
      </c>
    </row>
    <row r="6871">
      <c r="A6871" s="9" t="n">
        <v>45578.20833333334</v>
      </c>
      <c r="B6871" t="n">
        <v>10</v>
      </c>
      <c r="C6871" t="n">
        <v>13</v>
      </c>
      <c r="D6871" t="n">
        <v>5</v>
      </c>
      <c r="E6871" s="10" t="n">
        <v>0</v>
      </c>
      <c r="F6871" s="10" t="n">
        <v>0.3341697922007501</v>
      </c>
      <c r="G6871" s="11">
        <f>E6871*Summary!$B$6</f>
        <v/>
      </c>
      <c r="H6871" s="11">
        <f>F6871*Summary!$B$7</f>
        <v/>
      </c>
      <c r="I6871" s="11">
        <f>MAX(0,N6871-M6871)</f>
        <v/>
      </c>
      <c r="J6871" s="11">
        <f>MAX(0,M6871-N6871)</f>
        <v/>
      </c>
      <c r="K6871" s="11">
        <f>O6871</f>
        <v/>
      </c>
      <c r="L6871" s="11">
        <f>L6870+IF(K6871&gt;0,K6871*Summary!$B$9,K6871/Summary!$B$9)</f>
        <v/>
      </c>
      <c r="M6871" s="11">
        <f>G6871+H6871</f>
        <v/>
      </c>
      <c r="N6871" s="11">
        <f>Summary!$C$16*Summary!$B$8</f>
        <v/>
      </c>
      <c r="O6871" s="11">
        <f>M6871-N6871</f>
        <v/>
      </c>
    </row>
    <row r="6872">
      <c r="A6872" s="9" t="n">
        <v>45578.25</v>
      </c>
      <c r="B6872" t="n">
        <v>10</v>
      </c>
      <c r="C6872" t="n">
        <v>13</v>
      </c>
      <c r="D6872" t="n">
        <v>6</v>
      </c>
      <c r="E6872" s="10" t="n">
        <v>0</v>
      </c>
      <c r="F6872" s="10" t="n">
        <v>0.3239188617405268</v>
      </c>
      <c r="G6872" s="11">
        <f>E6872*Summary!$B$6</f>
        <v/>
      </c>
      <c r="H6872" s="11">
        <f>F6872*Summary!$B$7</f>
        <v/>
      </c>
      <c r="I6872" s="11">
        <f>MAX(0,N6872-M6872)</f>
        <v/>
      </c>
      <c r="J6872" s="11">
        <f>MAX(0,M6872-N6872)</f>
        <v/>
      </c>
      <c r="K6872" s="11">
        <f>O6872</f>
        <v/>
      </c>
      <c r="L6872" s="11">
        <f>L6871+IF(K6872&gt;0,K6872*Summary!$B$9,K6872/Summary!$B$9)</f>
        <v/>
      </c>
      <c r="M6872" s="11">
        <f>G6872+H6872</f>
        <v/>
      </c>
      <c r="N6872" s="11">
        <f>Summary!$C$16*Summary!$B$8</f>
        <v/>
      </c>
      <c r="O6872" s="11">
        <f>M6872-N6872</f>
        <v/>
      </c>
    </row>
    <row r="6873">
      <c r="A6873" s="9" t="n">
        <v>45578.29166666666</v>
      </c>
      <c r="B6873" t="n">
        <v>10</v>
      </c>
      <c r="C6873" t="n">
        <v>13</v>
      </c>
      <c r="D6873" t="n">
        <v>7</v>
      </c>
      <c r="E6873" s="10" t="n">
        <v>0.050027</v>
      </c>
      <c r="F6873" s="10" t="n">
        <v>0.3006236881496852</v>
      </c>
      <c r="G6873" s="11">
        <f>E6873*Summary!$B$6</f>
        <v/>
      </c>
      <c r="H6873" s="11">
        <f>F6873*Summary!$B$7</f>
        <v/>
      </c>
      <c r="I6873" s="11">
        <f>MAX(0,N6873-M6873)</f>
        <v/>
      </c>
      <c r="J6873" s="11">
        <f>MAX(0,M6873-N6873)</f>
        <v/>
      </c>
      <c r="K6873" s="11">
        <f>O6873</f>
        <v/>
      </c>
      <c r="L6873" s="11">
        <f>L6872+IF(K6873&gt;0,K6873*Summary!$B$9,K6873/Summary!$B$9)</f>
        <v/>
      </c>
      <c r="M6873" s="11">
        <f>G6873+H6873</f>
        <v/>
      </c>
      <c r="N6873" s="11">
        <f>Summary!$C$16*Summary!$B$8</f>
        <v/>
      </c>
      <c r="O6873" s="11">
        <f>M6873-N6873</f>
        <v/>
      </c>
    </row>
    <row r="6874">
      <c r="A6874" s="9" t="n">
        <v>45578.33333333334</v>
      </c>
      <c r="B6874" t="n">
        <v>10</v>
      </c>
      <c r="C6874" t="n">
        <v>13</v>
      </c>
      <c r="D6874" t="n">
        <v>8</v>
      </c>
      <c r="E6874" s="10" t="n">
        <v>0.205463</v>
      </c>
      <c r="F6874" s="10" t="n">
        <v>0.2654964637191513</v>
      </c>
      <c r="G6874" s="11">
        <f>E6874*Summary!$B$6</f>
        <v/>
      </c>
      <c r="H6874" s="11">
        <f>F6874*Summary!$B$7</f>
        <v/>
      </c>
      <c r="I6874" s="11">
        <f>MAX(0,N6874-M6874)</f>
        <v/>
      </c>
      <c r="J6874" s="11">
        <f>MAX(0,M6874-N6874)</f>
        <v/>
      </c>
      <c r="K6874" s="11">
        <f>O6874</f>
        <v/>
      </c>
      <c r="L6874" s="11">
        <f>L6873+IF(K6874&gt;0,K6874*Summary!$B$9,K6874/Summary!$B$9)</f>
        <v/>
      </c>
      <c r="M6874" s="11">
        <f>G6874+H6874</f>
        <v/>
      </c>
      <c r="N6874" s="11">
        <f>Summary!$C$16*Summary!$B$8</f>
        <v/>
      </c>
      <c r="O6874" s="11">
        <f>M6874-N6874</f>
        <v/>
      </c>
    </row>
    <row r="6875">
      <c r="A6875" s="9" t="n">
        <v>45578.375</v>
      </c>
      <c r="B6875" t="n">
        <v>10</v>
      </c>
      <c r="C6875" t="n">
        <v>13</v>
      </c>
      <c r="D6875" t="n">
        <v>9</v>
      </c>
      <c r="E6875" s="10" t="n">
        <v>0.411484</v>
      </c>
      <c r="F6875" s="10" t="n">
        <v>0.2375896890215254</v>
      </c>
      <c r="G6875" s="11">
        <f>E6875*Summary!$B$6</f>
        <v/>
      </c>
      <c r="H6875" s="11">
        <f>F6875*Summary!$B$7</f>
        <v/>
      </c>
      <c r="I6875" s="11">
        <f>MAX(0,N6875-M6875)</f>
        <v/>
      </c>
      <c r="J6875" s="11">
        <f>MAX(0,M6875-N6875)</f>
        <v/>
      </c>
      <c r="K6875" s="11">
        <f>O6875</f>
        <v/>
      </c>
      <c r="L6875" s="11">
        <f>L6874+IF(K6875&gt;0,K6875*Summary!$B$9,K6875/Summary!$B$9)</f>
        <v/>
      </c>
      <c r="M6875" s="11">
        <f>G6875+H6875</f>
        <v/>
      </c>
      <c r="N6875" s="11">
        <f>Summary!$C$16*Summary!$B$8</f>
        <v/>
      </c>
      <c r="O6875" s="11">
        <f>M6875-N6875</f>
        <v/>
      </c>
    </row>
    <row r="6876">
      <c r="A6876" s="9" t="n">
        <v>45578.41666666666</v>
      </c>
      <c r="B6876" t="n">
        <v>10</v>
      </c>
      <c r="C6876" t="n">
        <v>13</v>
      </c>
      <c r="D6876" t="n">
        <v>10</v>
      </c>
      <c r="E6876" s="10" t="n">
        <v>0.360463</v>
      </c>
      <c r="F6876" s="10" t="n">
        <v>0.2184844844362763</v>
      </c>
      <c r="G6876" s="11">
        <f>E6876*Summary!$B$6</f>
        <v/>
      </c>
      <c r="H6876" s="11">
        <f>F6876*Summary!$B$7</f>
        <v/>
      </c>
      <c r="I6876" s="11">
        <f>MAX(0,N6876-M6876)</f>
        <v/>
      </c>
      <c r="J6876" s="11">
        <f>MAX(0,M6876-N6876)</f>
        <v/>
      </c>
      <c r="K6876" s="11">
        <f>O6876</f>
        <v/>
      </c>
      <c r="L6876" s="11">
        <f>L6875+IF(K6876&gt;0,K6876*Summary!$B$9,K6876/Summary!$B$9)</f>
        <v/>
      </c>
      <c r="M6876" s="11">
        <f>G6876+H6876</f>
        <v/>
      </c>
      <c r="N6876" s="11">
        <f>Summary!$C$16*Summary!$B$8</f>
        <v/>
      </c>
      <c r="O6876" s="11">
        <f>M6876-N6876</f>
        <v/>
      </c>
    </row>
    <row r="6877">
      <c r="A6877" s="9" t="n">
        <v>45578.45833333334</v>
      </c>
      <c r="B6877" t="n">
        <v>10</v>
      </c>
      <c r="C6877" t="n">
        <v>13</v>
      </c>
      <c r="D6877" t="n">
        <v>11</v>
      </c>
      <c r="E6877" s="10" t="n">
        <v>0.221879</v>
      </c>
      <c r="F6877" s="10" t="n">
        <v>0.2156648197595568</v>
      </c>
      <c r="G6877" s="11">
        <f>E6877*Summary!$B$6</f>
        <v/>
      </c>
      <c r="H6877" s="11">
        <f>F6877*Summary!$B$7</f>
        <v/>
      </c>
      <c r="I6877" s="11">
        <f>MAX(0,N6877-M6877)</f>
        <v/>
      </c>
      <c r="J6877" s="11">
        <f>MAX(0,M6877-N6877)</f>
        <v/>
      </c>
      <c r="K6877" s="11">
        <f>O6877</f>
        <v/>
      </c>
      <c r="L6877" s="11">
        <f>L6876+IF(K6877&gt;0,K6877*Summary!$B$9,K6877/Summary!$B$9)</f>
        <v/>
      </c>
      <c r="M6877" s="11">
        <f>G6877+H6877</f>
        <v/>
      </c>
      <c r="N6877" s="11">
        <f>Summary!$C$16*Summary!$B$8</f>
        <v/>
      </c>
      <c r="O6877" s="11">
        <f>M6877-N6877</f>
        <v/>
      </c>
    </row>
    <row r="6878">
      <c r="A6878" s="9" t="n">
        <v>45578.5</v>
      </c>
      <c r="B6878" t="n">
        <v>10</v>
      </c>
      <c r="C6878" t="n">
        <v>13</v>
      </c>
      <c r="D6878" t="n">
        <v>12</v>
      </c>
      <c r="E6878" s="10" t="n">
        <v>0.173132</v>
      </c>
      <c r="F6878" s="10" t="n">
        <v>0.2101045464250911</v>
      </c>
      <c r="G6878" s="11">
        <f>E6878*Summary!$B$6</f>
        <v/>
      </c>
      <c r="H6878" s="11">
        <f>F6878*Summary!$B$7</f>
        <v/>
      </c>
      <c r="I6878" s="11">
        <f>MAX(0,N6878-M6878)</f>
        <v/>
      </c>
      <c r="J6878" s="11">
        <f>MAX(0,M6878-N6878)</f>
        <v/>
      </c>
      <c r="K6878" s="11">
        <f>O6878</f>
        <v/>
      </c>
      <c r="L6878" s="11">
        <f>L6877+IF(K6878&gt;0,K6878*Summary!$B$9,K6878/Summary!$B$9)</f>
        <v/>
      </c>
      <c r="M6878" s="11">
        <f>G6878+H6878</f>
        <v/>
      </c>
      <c r="N6878" s="11">
        <f>Summary!$C$16*Summary!$B$8</f>
        <v/>
      </c>
      <c r="O6878" s="11">
        <f>M6878-N6878</f>
        <v/>
      </c>
    </row>
    <row r="6879">
      <c r="A6879" s="9" t="n">
        <v>45578.54166666666</v>
      </c>
      <c r="B6879" t="n">
        <v>10</v>
      </c>
      <c r="C6879" t="n">
        <v>13</v>
      </c>
      <c r="D6879" t="n">
        <v>13</v>
      </c>
      <c r="E6879" s="10" t="n">
        <v>0.237308</v>
      </c>
      <c r="F6879" s="10" t="n">
        <v>0.2066260815902596</v>
      </c>
      <c r="G6879" s="11">
        <f>E6879*Summary!$B$6</f>
        <v/>
      </c>
      <c r="H6879" s="11">
        <f>F6879*Summary!$B$7</f>
        <v/>
      </c>
      <c r="I6879" s="11">
        <f>MAX(0,N6879-M6879)</f>
        <v/>
      </c>
      <c r="J6879" s="11">
        <f>MAX(0,M6879-N6879)</f>
        <v/>
      </c>
      <c r="K6879" s="11">
        <f>O6879</f>
        <v/>
      </c>
      <c r="L6879" s="11">
        <f>L6878+IF(K6879&gt;0,K6879*Summary!$B$9,K6879/Summary!$B$9)</f>
        <v/>
      </c>
      <c r="M6879" s="11">
        <f>G6879+H6879</f>
        <v/>
      </c>
      <c r="N6879" s="11">
        <f>Summary!$C$16*Summary!$B$8</f>
        <v/>
      </c>
      <c r="O6879" s="11">
        <f>M6879-N6879</f>
        <v/>
      </c>
    </row>
    <row r="6880">
      <c r="A6880" s="9" t="n">
        <v>45578.58333333334</v>
      </c>
      <c r="B6880" t="n">
        <v>10</v>
      </c>
      <c r="C6880" t="n">
        <v>13</v>
      </c>
      <c r="D6880" t="n">
        <v>14</v>
      </c>
      <c r="E6880" s="10" t="n">
        <v>0.068379</v>
      </c>
      <c r="F6880" s="10" t="n">
        <v>0.2079173299001592</v>
      </c>
      <c r="G6880" s="11">
        <f>E6880*Summary!$B$6</f>
        <v/>
      </c>
      <c r="H6880" s="11">
        <f>F6880*Summary!$B$7</f>
        <v/>
      </c>
      <c r="I6880" s="11">
        <f>MAX(0,N6880-M6880)</f>
        <v/>
      </c>
      <c r="J6880" s="11">
        <f>MAX(0,M6880-N6880)</f>
        <v/>
      </c>
      <c r="K6880" s="11">
        <f>O6880</f>
        <v/>
      </c>
      <c r="L6880" s="11">
        <f>L6879+IF(K6880&gt;0,K6880*Summary!$B$9,K6880/Summary!$B$9)</f>
        <v/>
      </c>
      <c r="M6880" s="11">
        <f>G6880+H6880</f>
        <v/>
      </c>
      <c r="N6880" s="11">
        <f>Summary!$C$16*Summary!$B$8</f>
        <v/>
      </c>
      <c r="O6880" s="11">
        <f>M6880-N6880</f>
        <v/>
      </c>
    </row>
    <row r="6881">
      <c r="A6881" s="9" t="n">
        <v>45578.625</v>
      </c>
      <c r="B6881" t="n">
        <v>10</v>
      </c>
      <c r="C6881" t="n">
        <v>13</v>
      </c>
      <c r="D6881" t="n">
        <v>15</v>
      </c>
      <c r="E6881" s="10" t="n">
        <v>0.043948</v>
      </c>
      <c r="F6881" s="10" t="n">
        <v>0.2119755388741293</v>
      </c>
      <c r="G6881" s="11">
        <f>E6881*Summary!$B$6</f>
        <v/>
      </c>
      <c r="H6881" s="11">
        <f>F6881*Summary!$B$7</f>
        <v/>
      </c>
      <c r="I6881" s="11">
        <f>MAX(0,N6881-M6881)</f>
        <v/>
      </c>
      <c r="J6881" s="11">
        <f>MAX(0,M6881-N6881)</f>
        <v/>
      </c>
      <c r="K6881" s="11">
        <f>O6881</f>
        <v/>
      </c>
      <c r="L6881" s="11">
        <f>L6880+IF(K6881&gt;0,K6881*Summary!$B$9,K6881/Summary!$B$9)</f>
        <v/>
      </c>
      <c r="M6881" s="11">
        <f>G6881+H6881</f>
        <v/>
      </c>
      <c r="N6881" s="11">
        <f>Summary!$C$16*Summary!$B$8</f>
        <v/>
      </c>
      <c r="O6881" s="11">
        <f>M6881-N6881</f>
        <v/>
      </c>
    </row>
    <row r="6882">
      <c r="A6882" s="9" t="n">
        <v>45578.66666666666</v>
      </c>
      <c r="B6882" t="n">
        <v>10</v>
      </c>
      <c r="C6882" t="n">
        <v>13</v>
      </c>
      <c r="D6882" t="n">
        <v>16</v>
      </c>
      <c r="E6882" s="10" t="n">
        <v>0.013079</v>
      </c>
      <c r="F6882" s="10" t="n">
        <v>0.2185371884489252</v>
      </c>
      <c r="G6882" s="11">
        <f>E6882*Summary!$B$6</f>
        <v/>
      </c>
      <c r="H6882" s="11">
        <f>F6882*Summary!$B$7</f>
        <v/>
      </c>
      <c r="I6882" s="11">
        <f>MAX(0,N6882-M6882)</f>
        <v/>
      </c>
      <c r="J6882" s="11">
        <f>MAX(0,M6882-N6882)</f>
        <v/>
      </c>
      <c r="K6882" s="11">
        <f>O6882</f>
        <v/>
      </c>
      <c r="L6882" s="11">
        <f>L6881+IF(K6882&gt;0,K6882*Summary!$B$9,K6882/Summary!$B$9)</f>
        <v/>
      </c>
      <c r="M6882" s="11">
        <f>G6882+H6882</f>
        <v/>
      </c>
      <c r="N6882" s="11">
        <f>Summary!$C$16*Summary!$B$8</f>
        <v/>
      </c>
      <c r="O6882" s="11">
        <f>M6882-N6882</f>
        <v/>
      </c>
    </row>
    <row r="6883">
      <c r="A6883" s="9" t="n">
        <v>45578.70833333334</v>
      </c>
      <c r="B6883" t="n">
        <v>10</v>
      </c>
      <c r="C6883" t="n">
        <v>13</v>
      </c>
      <c r="D6883" t="n">
        <v>17</v>
      </c>
      <c r="E6883" s="10" t="n">
        <v>0</v>
      </c>
      <c r="F6883" s="10" t="n">
        <v>0.2284455428269303</v>
      </c>
      <c r="G6883" s="11">
        <f>E6883*Summary!$B$6</f>
        <v/>
      </c>
      <c r="H6883" s="11">
        <f>F6883*Summary!$B$7</f>
        <v/>
      </c>
      <c r="I6883" s="11">
        <f>MAX(0,N6883-M6883)</f>
        <v/>
      </c>
      <c r="J6883" s="11">
        <f>MAX(0,M6883-N6883)</f>
        <v/>
      </c>
      <c r="K6883" s="11">
        <f>O6883</f>
        <v/>
      </c>
      <c r="L6883" s="11">
        <f>L6882+IF(K6883&gt;0,K6883*Summary!$B$9,K6883/Summary!$B$9)</f>
        <v/>
      </c>
      <c r="M6883" s="11">
        <f>G6883+H6883</f>
        <v/>
      </c>
      <c r="N6883" s="11">
        <f>Summary!$C$16*Summary!$B$8</f>
        <v/>
      </c>
      <c r="O6883" s="11">
        <f>M6883-N6883</f>
        <v/>
      </c>
    </row>
    <row r="6884">
      <c r="A6884" s="9" t="n">
        <v>45578.75</v>
      </c>
      <c r="B6884" t="n">
        <v>10</v>
      </c>
      <c r="C6884" t="n">
        <v>13</v>
      </c>
      <c r="D6884" t="n">
        <v>18</v>
      </c>
      <c r="E6884" s="10" t="n">
        <v>0</v>
      </c>
      <c r="F6884" s="10" t="n">
        <v>0.2384593052302332</v>
      </c>
      <c r="G6884" s="11">
        <f>E6884*Summary!$B$6</f>
        <v/>
      </c>
      <c r="H6884" s="11">
        <f>F6884*Summary!$B$7</f>
        <v/>
      </c>
      <c r="I6884" s="11">
        <f>MAX(0,N6884-M6884)</f>
        <v/>
      </c>
      <c r="J6884" s="11">
        <f>MAX(0,M6884-N6884)</f>
        <v/>
      </c>
      <c r="K6884" s="11">
        <f>O6884</f>
        <v/>
      </c>
      <c r="L6884" s="11">
        <f>L6883+IF(K6884&gt;0,K6884*Summary!$B$9,K6884/Summary!$B$9)</f>
        <v/>
      </c>
      <c r="M6884" s="11">
        <f>G6884+H6884</f>
        <v/>
      </c>
      <c r="N6884" s="11">
        <f>Summary!$C$16*Summary!$B$8</f>
        <v/>
      </c>
      <c r="O6884" s="11">
        <f>M6884-N6884</f>
        <v/>
      </c>
    </row>
    <row r="6885">
      <c r="A6885" s="9" t="n">
        <v>45578.79166666666</v>
      </c>
      <c r="B6885" t="n">
        <v>10</v>
      </c>
      <c r="C6885" t="n">
        <v>13</v>
      </c>
      <c r="D6885" t="n">
        <v>19</v>
      </c>
      <c r="E6885" s="10" t="n">
        <v>0</v>
      </c>
      <c r="F6885" s="10" t="n">
        <v>0.2473399313615835</v>
      </c>
      <c r="G6885" s="11">
        <f>E6885*Summary!$B$6</f>
        <v/>
      </c>
      <c r="H6885" s="11">
        <f>F6885*Summary!$B$7</f>
        <v/>
      </c>
      <c r="I6885" s="11">
        <f>MAX(0,N6885-M6885)</f>
        <v/>
      </c>
      <c r="J6885" s="11">
        <f>MAX(0,M6885-N6885)</f>
        <v/>
      </c>
      <c r="K6885" s="11">
        <f>O6885</f>
        <v/>
      </c>
      <c r="L6885" s="11">
        <f>L6884+IF(K6885&gt;0,K6885*Summary!$B$9,K6885/Summary!$B$9)</f>
        <v/>
      </c>
      <c r="M6885" s="11">
        <f>G6885+H6885</f>
        <v/>
      </c>
      <c r="N6885" s="11">
        <f>Summary!$C$16*Summary!$B$8</f>
        <v/>
      </c>
      <c r="O6885" s="11">
        <f>M6885-N6885</f>
        <v/>
      </c>
    </row>
    <row r="6886">
      <c r="A6886" s="9" t="n">
        <v>45578.83333333334</v>
      </c>
      <c r="B6886" t="n">
        <v>10</v>
      </c>
      <c r="C6886" t="n">
        <v>13</v>
      </c>
      <c r="D6886" t="n">
        <v>20</v>
      </c>
      <c r="E6886" s="10" t="n">
        <v>0</v>
      </c>
      <c r="F6886" s="10" t="n">
        <v>0.2576172138281313</v>
      </c>
      <c r="G6886" s="11">
        <f>E6886*Summary!$B$6</f>
        <v/>
      </c>
      <c r="H6886" s="11">
        <f>F6886*Summary!$B$7</f>
        <v/>
      </c>
      <c r="I6886" s="11">
        <f>MAX(0,N6886-M6886)</f>
        <v/>
      </c>
      <c r="J6886" s="11">
        <f>MAX(0,M6886-N6886)</f>
        <v/>
      </c>
      <c r="K6886" s="11">
        <f>O6886</f>
        <v/>
      </c>
      <c r="L6886" s="11">
        <f>L6885+IF(K6886&gt;0,K6886*Summary!$B$9,K6886/Summary!$B$9)</f>
        <v/>
      </c>
      <c r="M6886" s="11">
        <f>G6886+H6886</f>
        <v/>
      </c>
      <c r="N6886" s="11">
        <f>Summary!$C$16*Summary!$B$8</f>
        <v/>
      </c>
      <c r="O6886" s="11">
        <f>M6886-N6886</f>
        <v/>
      </c>
    </row>
    <row r="6887">
      <c r="A6887" s="9" t="n">
        <v>45578.875</v>
      </c>
      <c r="B6887" t="n">
        <v>10</v>
      </c>
      <c r="C6887" t="n">
        <v>13</v>
      </c>
      <c r="D6887" t="n">
        <v>21</v>
      </c>
      <c r="E6887" s="10" t="n">
        <v>0</v>
      </c>
      <c r="F6887" s="10" t="n">
        <v>0.2662343198962367</v>
      </c>
      <c r="G6887" s="11">
        <f>E6887*Summary!$B$6</f>
        <v/>
      </c>
      <c r="H6887" s="11">
        <f>F6887*Summary!$B$7</f>
        <v/>
      </c>
      <c r="I6887" s="11">
        <f>MAX(0,N6887-M6887)</f>
        <v/>
      </c>
      <c r="J6887" s="11">
        <f>MAX(0,M6887-N6887)</f>
        <v/>
      </c>
      <c r="K6887" s="11">
        <f>O6887</f>
        <v/>
      </c>
      <c r="L6887" s="11">
        <f>L6886+IF(K6887&gt;0,K6887*Summary!$B$9,K6887/Summary!$B$9)</f>
        <v/>
      </c>
      <c r="M6887" s="11">
        <f>G6887+H6887</f>
        <v/>
      </c>
      <c r="N6887" s="11">
        <f>Summary!$C$16*Summary!$B$8</f>
        <v/>
      </c>
      <c r="O6887" s="11">
        <f>M6887-N6887</f>
        <v/>
      </c>
    </row>
    <row r="6888">
      <c r="A6888" s="9" t="n">
        <v>45578.91666666666</v>
      </c>
      <c r="B6888" t="n">
        <v>10</v>
      </c>
      <c r="C6888" t="n">
        <v>13</v>
      </c>
      <c r="D6888" t="n">
        <v>22</v>
      </c>
      <c r="E6888" s="10" t="n">
        <v>0</v>
      </c>
      <c r="F6888" s="10" t="n">
        <v>0.275931858223646</v>
      </c>
      <c r="G6888" s="11">
        <f>E6888*Summary!$B$6</f>
        <v/>
      </c>
      <c r="H6888" s="11">
        <f>F6888*Summary!$B$7</f>
        <v/>
      </c>
      <c r="I6888" s="11">
        <f>MAX(0,N6888-M6888)</f>
        <v/>
      </c>
      <c r="J6888" s="11">
        <f>MAX(0,M6888-N6888)</f>
        <v/>
      </c>
      <c r="K6888" s="11">
        <f>O6888</f>
        <v/>
      </c>
      <c r="L6888" s="11">
        <f>L6887+IF(K6888&gt;0,K6888*Summary!$B$9,K6888/Summary!$B$9)</f>
        <v/>
      </c>
      <c r="M6888" s="11">
        <f>G6888+H6888</f>
        <v/>
      </c>
      <c r="N6888" s="11">
        <f>Summary!$C$16*Summary!$B$8</f>
        <v/>
      </c>
      <c r="O6888" s="11">
        <f>M6888-N6888</f>
        <v/>
      </c>
    </row>
    <row r="6889">
      <c r="A6889" s="9" t="n">
        <v>45578.95833333334</v>
      </c>
      <c r="B6889" t="n">
        <v>10</v>
      </c>
      <c r="C6889" t="n">
        <v>13</v>
      </c>
      <c r="D6889" t="n">
        <v>23</v>
      </c>
      <c r="E6889" s="10" t="n">
        <v>0</v>
      </c>
      <c r="F6889" s="10" t="n">
        <v>0.2899247735819456</v>
      </c>
      <c r="G6889" s="11">
        <f>E6889*Summary!$B$6</f>
        <v/>
      </c>
      <c r="H6889" s="11">
        <f>F6889*Summary!$B$7</f>
        <v/>
      </c>
      <c r="I6889" s="11">
        <f>MAX(0,N6889-M6889)</f>
        <v/>
      </c>
      <c r="J6889" s="11">
        <f>MAX(0,M6889-N6889)</f>
        <v/>
      </c>
      <c r="K6889" s="11">
        <f>O6889</f>
        <v/>
      </c>
      <c r="L6889" s="11">
        <f>L6888+IF(K6889&gt;0,K6889*Summary!$B$9,K6889/Summary!$B$9)</f>
        <v/>
      </c>
      <c r="M6889" s="11">
        <f>G6889+H6889</f>
        <v/>
      </c>
      <c r="N6889" s="11">
        <f>Summary!$C$16*Summary!$B$8</f>
        <v/>
      </c>
      <c r="O6889" s="11">
        <f>M6889-N6889</f>
        <v/>
      </c>
    </row>
    <row r="6890">
      <c r="A6890" s="9" t="n">
        <v>45579</v>
      </c>
      <c r="B6890" t="n">
        <v>10</v>
      </c>
      <c r="C6890" t="n">
        <v>14</v>
      </c>
      <c r="D6890" t="n">
        <v>0</v>
      </c>
      <c r="E6890" s="10" t="n">
        <v>0</v>
      </c>
      <c r="F6890" s="10" t="n">
        <v>0.4204726129134271</v>
      </c>
      <c r="G6890" s="11">
        <f>E6890*Summary!$B$6</f>
        <v/>
      </c>
      <c r="H6890" s="11">
        <f>F6890*Summary!$B$7</f>
        <v/>
      </c>
      <c r="I6890" s="11">
        <f>MAX(0,N6890-M6890)</f>
        <v/>
      </c>
      <c r="J6890" s="11">
        <f>MAX(0,M6890-N6890)</f>
        <v/>
      </c>
      <c r="K6890" s="11">
        <f>O6890</f>
        <v/>
      </c>
      <c r="L6890" s="11">
        <f>L6889+IF(K6890&gt;0,K6890*Summary!$B$9,K6890/Summary!$B$9)</f>
        <v/>
      </c>
      <c r="M6890" s="11">
        <f>G6890+H6890</f>
        <v/>
      </c>
      <c r="N6890" s="11">
        <f>Summary!$C$16*Summary!$B$8</f>
        <v/>
      </c>
      <c r="O6890" s="11">
        <f>M6890-N6890</f>
        <v/>
      </c>
    </row>
    <row r="6891">
      <c r="A6891" s="9" t="n">
        <v>45579.04166666666</v>
      </c>
      <c r="B6891" t="n">
        <v>10</v>
      </c>
      <c r="C6891" t="n">
        <v>14</v>
      </c>
      <c r="D6891" t="n">
        <v>1</v>
      </c>
      <c r="E6891" s="10" t="n">
        <v>0</v>
      </c>
      <c r="F6891" s="10" t="n">
        <v>0.3111644906794778</v>
      </c>
      <c r="G6891" s="11">
        <f>E6891*Summary!$B$6</f>
        <v/>
      </c>
      <c r="H6891" s="11">
        <f>F6891*Summary!$B$7</f>
        <v/>
      </c>
      <c r="I6891" s="11">
        <f>MAX(0,N6891-M6891)</f>
        <v/>
      </c>
      <c r="J6891" s="11">
        <f>MAX(0,M6891-N6891)</f>
        <v/>
      </c>
      <c r="K6891" s="11">
        <f>O6891</f>
        <v/>
      </c>
      <c r="L6891" s="11">
        <f>L6890+IF(K6891&gt;0,K6891*Summary!$B$9,K6891/Summary!$B$9)</f>
        <v/>
      </c>
      <c r="M6891" s="11">
        <f>G6891+H6891</f>
        <v/>
      </c>
      <c r="N6891" s="11">
        <f>Summary!$C$16*Summary!$B$8</f>
        <v/>
      </c>
      <c r="O6891" s="11">
        <f>M6891-N6891</f>
        <v/>
      </c>
    </row>
    <row r="6892">
      <c r="A6892" s="9" t="n">
        <v>45579.08333333334</v>
      </c>
      <c r="B6892" t="n">
        <v>10</v>
      </c>
      <c r="C6892" t="n">
        <v>14</v>
      </c>
      <c r="D6892" t="n">
        <v>2</v>
      </c>
      <c r="E6892" s="10" t="n">
        <v>0</v>
      </c>
      <c r="F6892" s="10" t="n">
        <v>0.3197552447412587</v>
      </c>
      <c r="G6892" s="11">
        <f>E6892*Summary!$B$6</f>
        <v/>
      </c>
      <c r="H6892" s="11">
        <f>F6892*Summary!$B$7</f>
        <v/>
      </c>
      <c r="I6892" s="11">
        <f>MAX(0,N6892-M6892)</f>
        <v/>
      </c>
      <c r="J6892" s="11">
        <f>MAX(0,M6892-N6892)</f>
        <v/>
      </c>
      <c r="K6892" s="11">
        <f>O6892</f>
        <v/>
      </c>
      <c r="L6892" s="11">
        <f>L6891+IF(K6892&gt;0,K6892*Summary!$B$9,K6892/Summary!$B$9)</f>
        <v/>
      </c>
      <c r="M6892" s="11">
        <f>G6892+H6892</f>
        <v/>
      </c>
      <c r="N6892" s="11">
        <f>Summary!$C$16*Summary!$B$8</f>
        <v/>
      </c>
      <c r="O6892" s="11">
        <f>M6892-N6892</f>
        <v/>
      </c>
    </row>
    <row r="6893">
      <c r="A6893" s="9" t="n">
        <v>45579.125</v>
      </c>
      <c r="B6893" t="n">
        <v>10</v>
      </c>
      <c r="C6893" t="n">
        <v>14</v>
      </c>
      <c r="D6893" t="n">
        <v>3</v>
      </c>
      <c r="E6893" s="10" t="n">
        <v>0</v>
      </c>
      <c r="F6893" s="10" t="n">
        <v>0.3276344946322787</v>
      </c>
      <c r="G6893" s="11">
        <f>E6893*Summary!$B$6</f>
        <v/>
      </c>
      <c r="H6893" s="11">
        <f>F6893*Summary!$B$7</f>
        <v/>
      </c>
      <c r="I6893" s="11">
        <f>MAX(0,N6893-M6893)</f>
        <v/>
      </c>
      <c r="J6893" s="11">
        <f>MAX(0,M6893-N6893)</f>
        <v/>
      </c>
      <c r="K6893" s="11">
        <f>O6893</f>
        <v/>
      </c>
      <c r="L6893" s="11">
        <f>L6892+IF(K6893&gt;0,K6893*Summary!$B$9,K6893/Summary!$B$9)</f>
        <v/>
      </c>
      <c r="M6893" s="11">
        <f>G6893+H6893</f>
        <v/>
      </c>
      <c r="N6893" s="11">
        <f>Summary!$C$16*Summary!$B$8</f>
        <v/>
      </c>
      <c r="O6893" s="11">
        <f>M6893-N6893</f>
        <v/>
      </c>
    </row>
    <row r="6894">
      <c r="A6894" s="9" t="n">
        <v>45579.16666666666</v>
      </c>
      <c r="B6894" t="n">
        <v>10</v>
      </c>
      <c r="C6894" t="n">
        <v>14</v>
      </c>
      <c r="D6894" t="n">
        <v>4</v>
      </c>
      <c r="E6894" s="10" t="n">
        <v>0</v>
      </c>
      <c r="F6894" s="10" t="n">
        <v>0.3323251517580364</v>
      </c>
      <c r="G6894" s="11">
        <f>E6894*Summary!$B$6</f>
        <v/>
      </c>
      <c r="H6894" s="11">
        <f>F6894*Summary!$B$7</f>
        <v/>
      </c>
      <c r="I6894" s="11">
        <f>MAX(0,N6894-M6894)</f>
        <v/>
      </c>
      <c r="J6894" s="11">
        <f>MAX(0,M6894-N6894)</f>
        <v/>
      </c>
      <c r="K6894" s="11">
        <f>O6894</f>
        <v/>
      </c>
      <c r="L6894" s="11">
        <f>L6893+IF(K6894&gt;0,K6894*Summary!$B$9,K6894/Summary!$B$9)</f>
        <v/>
      </c>
      <c r="M6894" s="11">
        <f>G6894+H6894</f>
        <v/>
      </c>
      <c r="N6894" s="11">
        <f>Summary!$C$16*Summary!$B$8</f>
        <v/>
      </c>
      <c r="O6894" s="11">
        <f>M6894-N6894</f>
        <v/>
      </c>
    </row>
    <row r="6895">
      <c r="A6895" s="9" t="n">
        <v>45579.20833333334</v>
      </c>
      <c r="B6895" t="n">
        <v>10</v>
      </c>
      <c r="C6895" t="n">
        <v>14</v>
      </c>
      <c r="D6895" t="n">
        <v>5</v>
      </c>
      <c r="E6895" s="10" t="n">
        <v>0</v>
      </c>
      <c r="F6895" s="10" t="n">
        <v>0.3376482570355817</v>
      </c>
      <c r="G6895" s="11">
        <f>E6895*Summary!$B$6</f>
        <v/>
      </c>
      <c r="H6895" s="11">
        <f>F6895*Summary!$B$7</f>
        <v/>
      </c>
      <c r="I6895" s="11">
        <f>MAX(0,N6895-M6895)</f>
        <v/>
      </c>
      <c r="J6895" s="11">
        <f>MAX(0,M6895-N6895)</f>
        <v/>
      </c>
      <c r="K6895" s="11">
        <f>O6895</f>
        <v/>
      </c>
      <c r="L6895" s="11">
        <f>L6894+IF(K6895&gt;0,K6895*Summary!$B$9,K6895/Summary!$B$9)</f>
        <v/>
      </c>
      <c r="M6895" s="11">
        <f>G6895+H6895</f>
        <v/>
      </c>
      <c r="N6895" s="11">
        <f>Summary!$C$16*Summary!$B$8</f>
        <v/>
      </c>
      <c r="O6895" s="11">
        <f>M6895-N6895</f>
        <v/>
      </c>
    </row>
    <row r="6896">
      <c r="A6896" s="9" t="n">
        <v>45579.25</v>
      </c>
      <c r="B6896" t="n">
        <v>10</v>
      </c>
      <c r="C6896" t="n">
        <v>14</v>
      </c>
      <c r="D6896" t="n">
        <v>6</v>
      </c>
      <c r="E6896" s="10" t="n">
        <v>0</v>
      </c>
      <c r="F6896" s="10" t="n">
        <v>0.3290311509674762</v>
      </c>
      <c r="G6896" s="11">
        <f>E6896*Summary!$B$6</f>
        <v/>
      </c>
      <c r="H6896" s="11">
        <f>F6896*Summary!$B$7</f>
        <v/>
      </c>
      <c r="I6896" s="11">
        <f>MAX(0,N6896-M6896)</f>
        <v/>
      </c>
      <c r="J6896" s="11">
        <f>MAX(0,M6896-N6896)</f>
        <v/>
      </c>
      <c r="K6896" s="11">
        <f>O6896</f>
        <v/>
      </c>
      <c r="L6896" s="11">
        <f>L6895+IF(K6896&gt;0,K6896*Summary!$B$9,K6896/Summary!$B$9)</f>
        <v/>
      </c>
      <c r="M6896" s="11">
        <f>G6896+H6896</f>
        <v/>
      </c>
      <c r="N6896" s="11">
        <f>Summary!$C$16*Summary!$B$8</f>
        <v/>
      </c>
      <c r="O6896" s="11">
        <f>M6896-N6896</f>
        <v/>
      </c>
    </row>
    <row r="6897">
      <c r="A6897" s="9" t="n">
        <v>45579.29166666666</v>
      </c>
      <c r="B6897" t="n">
        <v>10</v>
      </c>
      <c r="C6897" t="n">
        <v>14</v>
      </c>
      <c r="D6897" t="n">
        <v>7</v>
      </c>
      <c r="E6897" s="10" t="n">
        <v>0</v>
      </c>
      <c r="F6897" s="10" t="n">
        <v>0.3433402904016697</v>
      </c>
      <c r="G6897" s="11">
        <f>E6897*Summary!$B$6</f>
        <v/>
      </c>
      <c r="H6897" s="11">
        <f>F6897*Summary!$B$7</f>
        <v/>
      </c>
      <c r="I6897" s="11">
        <f>MAX(0,N6897-M6897)</f>
        <v/>
      </c>
      <c r="J6897" s="11">
        <f>MAX(0,M6897-N6897)</f>
        <v/>
      </c>
      <c r="K6897" s="11">
        <f>O6897</f>
        <v/>
      </c>
      <c r="L6897" s="11">
        <f>L6896+IF(K6897&gt;0,K6897*Summary!$B$9,K6897/Summary!$B$9)</f>
        <v/>
      </c>
      <c r="M6897" s="11">
        <f>G6897+H6897</f>
        <v/>
      </c>
      <c r="N6897" s="11">
        <f>Summary!$C$16*Summary!$B$8</f>
        <v/>
      </c>
      <c r="O6897" s="11">
        <f>M6897-N6897</f>
        <v/>
      </c>
    </row>
    <row r="6898">
      <c r="A6898" s="9" t="n">
        <v>45579.33333333334</v>
      </c>
      <c r="B6898" t="n">
        <v>10</v>
      </c>
      <c r="C6898" t="n">
        <v>14</v>
      </c>
      <c r="D6898" t="n">
        <v>8</v>
      </c>
      <c r="E6898" s="10" t="n">
        <v>0.018166</v>
      </c>
      <c r="F6898" s="10" t="n">
        <v>0.3402571056617054</v>
      </c>
      <c r="G6898" s="11">
        <f>E6898*Summary!$B$6</f>
        <v/>
      </c>
      <c r="H6898" s="11">
        <f>F6898*Summary!$B$7</f>
        <v/>
      </c>
      <c r="I6898" s="11">
        <f>MAX(0,N6898-M6898)</f>
        <v/>
      </c>
      <c r="J6898" s="11">
        <f>MAX(0,M6898-N6898)</f>
        <v/>
      </c>
      <c r="K6898" s="11">
        <f>O6898</f>
        <v/>
      </c>
      <c r="L6898" s="11">
        <f>L6897+IF(K6898&gt;0,K6898*Summary!$B$9,K6898/Summary!$B$9)</f>
        <v/>
      </c>
      <c r="M6898" s="11">
        <f>G6898+H6898</f>
        <v/>
      </c>
      <c r="N6898" s="11">
        <f>Summary!$C$16*Summary!$B$8</f>
        <v/>
      </c>
      <c r="O6898" s="11">
        <f>M6898-N6898</f>
        <v/>
      </c>
    </row>
    <row r="6899">
      <c r="A6899" s="9" t="n">
        <v>45579.375</v>
      </c>
      <c r="B6899" t="n">
        <v>10</v>
      </c>
      <c r="C6899" t="n">
        <v>14</v>
      </c>
      <c r="D6899" t="n">
        <v>9</v>
      </c>
      <c r="E6899" s="10" t="n">
        <v>0.042066</v>
      </c>
      <c r="F6899" s="10" t="n">
        <v>0.3375692010166083</v>
      </c>
      <c r="G6899" s="11">
        <f>E6899*Summary!$B$6</f>
        <v/>
      </c>
      <c r="H6899" s="11">
        <f>F6899*Summary!$B$7</f>
        <v/>
      </c>
      <c r="I6899" s="11">
        <f>MAX(0,N6899-M6899)</f>
        <v/>
      </c>
      <c r="J6899" s="11">
        <f>MAX(0,M6899-N6899)</f>
        <v/>
      </c>
      <c r="K6899" s="11">
        <f>O6899</f>
        <v/>
      </c>
      <c r="L6899" s="11">
        <f>L6898+IF(K6899&gt;0,K6899*Summary!$B$9,K6899/Summary!$B$9)</f>
        <v/>
      </c>
      <c r="M6899" s="11">
        <f>G6899+H6899</f>
        <v/>
      </c>
      <c r="N6899" s="11">
        <f>Summary!$C$16*Summary!$B$8</f>
        <v/>
      </c>
      <c r="O6899" s="11">
        <f>M6899-N6899</f>
        <v/>
      </c>
    </row>
    <row r="6900">
      <c r="A6900" s="9" t="n">
        <v>45579.41666666666</v>
      </c>
      <c r="B6900" t="n">
        <v>10</v>
      </c>
      <c r="C6900" t="n">
        <v>14</v>
      </c>
      <c r="D6900" t="n">
        <v>10</v>
      </c>
      <c r="E6900" s="10" t="n">
        <v>0.087325</v>
      </c>
      <c r="F6900" s="10" t="n">
        <v>0.3391766734024017</v>
      </c>
      <c r="G6900" s="11">
        <f>E6900*Summary!$B$6</f>
        <v/>
      </c>
      <c r="H6900" s="11">
        <f>F6900*Summary!$B$7</f>
        <v/>
      </c>
      <c r="I6900" s="11">
        <f>MAX(0,N6900-M6900)</f>
        <v/>
      </c>
      <c r="J6900" s="11">
        <f>MAX(0,M6900-N6900)</f>
        <v/>
      </c>
      <c r="K6900" s="11">
        <f>O6900</f>
        <v/>
      </c>
      <c r="L6900" s="11">
        <f>L6899+IF(K6900&gt;0,K6900*Summary!$B$9,K6900/Summary!$B$9)</f>
        <v/>
      </c>
      <c r="M6900" s="11">
        <f>G6900+H6900</f>
        <v/>
      </c>
      <c r="N6900" s="11">
        <f>Summary!$C$16*Summary!$B$8</f>
        <v/>
      </c>
      <c r="O6900" s="11">
        <f>M6900-N6900</f>
        <v/>
      </c>
    </row>
    <row r="6901">
      <c r="A6901" s="9" t="n">
        <v>45579.45833333334</v>
      </c>
      <c r="B6901" t="n">
        <v>10</v>
      </c>
      <c r="C6901" t="n">
        <v>14</v>
      </c>
      <c r="D6901" t="n">
        <v>11</v>
      </c>
      <c r="E6901" s="10" t="n">
        <v>0.122378</v>
      </c>
      <c r="F6901" s="10" t="n">
        <v>0.3409949618387909</v>
      </c>
      <c r="G6901" s="11">
        <f>E6901*Summary!$B$6</f>
        <v/>
      </c>
      <c r="H6901" s="11">
        <f>F6901*Summary!$B$7</f>
        <v/>
      </c>
      <c r="I6901" s="11">
        <f>MAX(0,N6901-M6901)</f>
        <v/>
      </c>
      <c r="J6901" s="11">
        <f>MAX(0,M6901-N6901)</f>
        <v/>
      </c>
      <c r="K6901" s="11">
        <f>O6901</f>
        <v/>
      </c>
      <c r="L6901" s="11">
        <f>L6900+IF(K6901&gt;0,K6901*Summary!$B$9,K6901/Summary!$B$9)</f>
        <v/>
      </c>
      <c r="M6901" s="11">
        <f>G6901+H6901</f>
        <v/>
      </c>
      <c r="N6901" s="11">
        <f>Summary!$C$16*Summary!$B$8</f>
        <v/>
      </c>
      <c r="O6901" s="11">
        <f>M6901-N6901</f>
        <v/>
      </c>
    </row>
    <row r="6902">
      <c r="A6902" s="9" t="n">
        <v>45579.5</v>
      </c>
      <c r="B6902" t="n">
        <v>10</v>
      </c>
      <c r="C6902" t="n">
        <v>14</v>
      </c>
      <c r="D6902" t="n">
        <v>12</v>
      </c>
      <c r="E6902" s="10" t="n">
        <v>0.081747</v>
      </c>
      <c r="F6902" s="10" t="n">
        <v>0.3397300655352157</v>
      </c>
      <c r="G6902" s="11">
        <f>E6902*Summary!$B$6</f>
        <v/>
      </c>
      <c r="H6902" s="11">
        <f>F6902*Summary!$B$7</f>
        <v/>
      </c>
      <c r="I6902" s="11">
        <f>MAX(0,N6902-M6902)</f>
        <v/>
      </c>
      <c r="J6902" s="11">
        <f>MAX(0,M6902-N6902)</f>
        <v/>
      </c>
      <c r="K6902" s="11">
        <f>O6902</f>
        <v/>
      </c>
      <c r="L6902" s="11">
        <f>L6901+IF(K6902&gt;0,K6902*Summary!$B$9,K6902/Summary!$B$9)</f>
        <v/>
      </c>
      <c r="M6902" s="11">
        <f>G6902+H6902</f>
        <v/>
      </c>
      <c r="N6902" s="11">
        <f>Summary!$C$16*Summary!$B$8</f>
        <v/>
      </c>
      <c r="O6902" s="11">
        <f>M6902-N6902</f>
        <v/>
      </c>
    </row>
    <row r="6903">
      <c r="A6903" s="9" t="n">
        <v>45579.54166666666</v>
      </c>
      <c r="B6903" t="n">
        <v>10</v>
      </c>
      <c r="C6903" t="n">
        <v>14</v>
      </c>
      <c r="D6903" t="n">
        <v>13</v>
      </c>
      <c r="E6903" s="10" t="n">
        <v>0.088465</v>
      </c>
      <c r="F6903" s="10" t="n">
        <v>0.3411794258830622</v>
      </c>
      <c r="G6903" s="11">
        <f>E6903*Summary!$B$6</f>
        <v/>
      </c>
      <c r="H6903" s="11">
        <f>F6903*Summary!$B$7</f>
        <v/>
      </c>
      <c r="I6903" s="11">
        <f>MAX(0,N6903-M6903)</f>
        <v/>
      </c>
      <c r="J6903" s="11">
        <f>MAX(0,M6903-N6903)</f>
        <v/>
      </c>
      <c r="K6903" s="11">
        <f>O6903</f>
        <v/>
      </c>
      <c r="L6903" s="11">
        <f>L6902+IF(K6903&gt;0,K6903*Summary!$B$9,K6903/Summary!$B$9)</f>
        <v/>
      </c>
      <c r="M6903" s="11">
        <f>G6903+H6903</f>
        <v/>
      </c>
      <c r="N6903" s="11">
        <f>Summary!$C$16*Summary!$B$8</f>
        <v/>
      </c>
      <c r="O6903" s="11">
        <f>M6903-N6903</f>
        <v/>
      </c>
    </row>
    <row r="6904">
      <c r="A6904" s="9" t="n">
        <v>45579.58333333334</v>
      </c>
      <c r="B6904" t="n">
        <v>10</v>
      </c>
      <c r="C6904" t="n">
        <v>14</v>
      </c>
      <c r="D6904" t="n">
        <v>14</v>
      </c>
      <c r="E6904" s="10" t="n">
        <v>0.083581</v>
      </c>
      <c r="F6904" s="10" t="n">
        <v>0.3391503213960771</v>
      </c>
      <c r="G6904" s="11">
        <f>E6904*Summary!$B$6</f>
        <v/>
      </c>
      <c r="H6904" s="11">
        <f>F6904*Summary!$B$7</f>
        <v/>
      </c>
      <c r="I6904" s="11">
        <f>MAX(0,N6904-M6904)</f>
        <v/>
      </c>
      <c r="J6904" s="11">
        <f>MAX(0,M6904-N6904)</f>
        <v/>
      </c>
      <c r="K6904" s="11">
        <f>O6904</f>
        <v/>
      </c>
      <c r="L6904" s="11">
        <f>L6903+IF(K6904&gt;0,K6904*Summary!$B$9,K6904/Summary!$B$9)</f>
        <v/>
      </c>
      <c r="M6904" s="11">
        <f>G6904+H6904</f>
        <v/>
      </c>
      <c r="N6904" s="11">
        <f>Summary!$C$16*Summary!$B$8</f>
        <v/>
      </c>
      <c r="O6904" s="11">
        <f>M6904-N6904</f>
        <v/>
      </c>
    </row>
    <row r="6905">
      <c r="A6905" s="9" t="n">
        <v>45579.625</v>
      </c>
      <c r="B6905" t="n">
        <v>10</v>
      </c>
      <c r="C6905" t="n">
        <v>14</v>
      </c>
      <c r="D6905" t="n">
        <v>15</v>
      </c>
      <c r="E6905" s="10" t="n">
        <v>0.070386</v>
      </c>
      <c r="F6905" s="10" t="n">
        <v>0.3377273130545551</v>
      </c>
      <c r="G6905" s="11">
        <f>E6905*Summary!$B$6</f>
        <v/>
      </c>
      <c r="H6905" s="11">
        <f>F6905*Summary!$B$7</f>
        <v/>
      </c>
      <c r="I6905" s="11">
        <f>MAX(0,N6905-M6905)</f>
        <v/>
      </c>
      <c r="J6905" s="11">
        <f>MAX(0,M6905-N6905)</f>
        <v/>
      </c>
      <c r="K6905" s="11">
        <f>O6905</f>
        <v/>
      </c>
      <c r="L6905" s="11">
        <f>L6904+IF(K6905&gt;0,K6905*Summary!$B$9,K6905/Summary!$B$9)</f>
        <v/>
      </c>
      <c r="M6905" s="11">
        <f>G6905+H6905</f>
        <v/>
      </c>
      <c r="N6905" s="11">
        <f>Summary!$C$16*Summary!$B$8</f>
        <v/>
      </c>
      <c r="O6905" s="11">
        <f>M6905-N6905</f>
        <v/>
      </c>
    </row>
    <row r="6906">
      <c r="A6906" s="9" t="n">
        <v>45579.66666666666</v>
      </c>
      <c r="B6906" t="n">
        <v>10</v>
      </c>
      <c r="C6906" t="n">
        <v>14</v>
      </c>
      <c r="D6906" t="n">
        <v>16</v>
      </c>
      <c r="E6906" s="10" t="n">
        <v>0.014104</v>
      </c>
      <c r="F6906" s="10" t="n">
        <v>0.3480572995337519</v>
      </c>
      <c r="G6906" s="11">
        <f>E6906*Summary!$B$6</f>
        <v/>
      </c>
      <c r="H6906" s="11">
        <f>F6906*Summary!$B$7</f>
        <v/>
      </c>
      <c r="I6906" s="11">
        <f>MAX(0,N6906-M6906)</f>
        <v/>
      </c>
      <c r="J6906" s="11">
        <f>MAX(0,M6906-N6906)</f>
        <v/>
      </c>
      <c r="K6906" s="11">
        <f>O6906</f>
        <v/>
      </c>
      <c r="L6906" s="11">
        <f>L6905+IF(K6906&gt;0,K6906*Summary!$B$9,K6906/Summary!$B$9)</f>
        <v/>
      </c>
      <c r="M6906" s="11">
        <f>G6906+H6906</f>
        <v/>
      </c>
      <c r="N6906" s="11">
        <f>Summary!$C$16*Summary!$B$8</f>
        <v/>
      </c>
      <c r="O6906" s="11">
        <f>M6906-N6906</f>
        <v/>
      </c>
    </row>
    <row r="6907">
      <c r="A6907" s="9" t="n">
        <v>45579.70833333334</v>
      </c>
      <c r="B6907" t="n">
        <v>10</v>
      </c>
      <c r="C6907" t="n">
        <v>14</v>
      </c>
      <c r="D6907" t="n">
        <v>17</v>
      </c>
      <c r="E6907" s="10" t="n">
        <v>0</v>
      </c>
      <c r="F6907" s="10" t="n">
        <v>0.3741194337886641</v>
      </c>
      <c r="G6907" s="11">
        <f>E6907*Summary!$B$6</f>
        <v/>
      </c>
      <c r="H6907" s="11">
        <f>F6907*Summary!$B$7</f>
        <v/>
      </c>
      <c r="I6907" s="11">
        <f>MAX(0,N6907-M6907)</f>
        <v/>
      </c>
      <c r="J6907" s="11">
        <f>MAX(0,M6907-N6907)</f>
        <v/>
      </c>
      <c r="K6907" s="11">
        <f>O6907</f>
        <v/>
      </c>
      <c r="L6907" s="11">
        <f>L6906+IF(K6907&gt;0,K6907*Summary!$B$9,K6907/Summary!$B$9)</f>
        <v/>
      </c>
      <c r="M6907" s="11">
        <f>G6907+H6907</f>
        <v/>
      </c>
      <c r="N6907" s="11">
        <f>Summary!$C$16*Summary!$B$8</f>
        <v/>
      </c>
      <c r="O6907" s="11">
        <f>M6907-N6907</f>
        <v/>
      </c>
    </row>
    <row r="6908">
      <c r="A6908" s="9" t="n">
        <v>45579.75</v>
      </c>
      <c r="B6908" t="n">
        <v>10</v>
      </c>
      <c r="C6908" t="n">
        <v>14</v>
      </c>
      <c r="D6908" t="n">
        <v>18</v>
      </c>
      <c r="E6908" s="10" t="n">
        <v>0</v>
      </c>
      <c r="F6908" s="10" t="n">
        <v>0.3945158866838128</v>
      </c>
      <c r="G6908" s="11">
        <f>E6908*Summary!$B$6</f>
        <v/>
      </c>
      <c r="H6908" s="11">
        <f>F6908*Summary!$B$7</f>
        <v/>
      </c>
      <c r="I6908" s="11">
        <f>MAX(0,N6908-M6908)</f>
        <v/>
      </c>
      <c r="J6908" s="11">
        <f>MAX(0,M6908-N6908)</f>
        <v/>
      </c>
      <c r="K6908" s="11">
        <f>O6908</f>
        <v/>
      </c>
      <c r="L6908" s="11">
        <f>L6907+IF(K6908&gt;0,K6908*Summary!$B$9,K6908/Summary!$B$9)</f>
        <v/>
      </c>
      <c r="M6908" s="11">
        <f>G6908+H6908</f>
        <v/>
      </c>
      <c r="N6908" s="11">
        <f>Summary!$C$16*Summary!$B$8</f>
        <v/>
      </c>
      <c r="O6908" s="11">
        <f>M6908-N6908</f>
        <v/>
      </c>
    </row>
    <row r="6909">
      <c r="A6909" s="9" t="n">
        <v>45579.79166666666</v>
      </c>
      <c r="B6909" t="n">
        <v>10</v>
      </c>
      <c r="C6909" t="n">
        <v>14</v>
      </c>
      <c r="D6909" t="n">
        <v>19</v>
      </c>
      <c r="E6909" s="10" t="n">
        <v>0</v>
      </c>
      <c r="F6909" s="10" t="n">
        <v>0.4109331866239648</v>
      </c>
      <c r="G6909" s="11">
        <f>E6909*Summary!$B$6</f>
        <v/>
      </c>
      <c r="H6909" s="11">
        <f>F6909*Summary!$B$7</f>
        <v/>
      </c>
      <c r="I6909" s="11">
        <f>MAX(0,N6909-M6909)</f>
        <v/>
      </c>
      <c r="J6909" s="11">
        <f>MAX(0,M6909-N6909)</f>
        <v/>
      </c>
      <c r="K6909" s="11">
        <f>O6909</f>
        <v/>
      </c>
      <c r="L6909" s="11">
        <f>L6908+IF(K6909&gt;0,K6909*Summary!$B$9,K6909/Summary!$B$9)</f>
        <v/>
      </c>
      <c r="M6909" s="11">
        <f>G6909+H6909</f>
        <v/>
      </c>
      <c r="N6909" s="11">
        <f>Summary!$C$16*Summary!$B$8</f>
        <v/>
      </c>
      <c r="O6909" s="11">
        <f>M6909-N6909</f>
        <v/>
      </c>
    </row>
    <row r="6910">
      <c r="A6910" s="9" t="n">
        <v>45579.83333333334</v>
      </c>
      <c r="B6910" t="n">
        <v>10</v>
      </c>
      <c r="C6910" t="n">
        <v>14</v>
      </c>
      <c r="D6910" t="n">
        <v>20</v>
      </c>
      <c r="E6910" s="10" t="n">
        <v>0</v>
      </c>
      <c r="F6910" s="10" t="n">
        <v>0.4209469490272678</v>
      </c>
      <c r="G6910" s="11">
        <f>E6910*Summary!$B$6</f>
        <v/>
      </c>
      <c r="H6910" s="11">
        <f>F6910*Summary!$B$7</f>
        <v/>
      </c>
      <c r="I6910" s="11">
        <f>MAX(0,N6910-M6910)</f>
        <v/>
      </c>
      <c r="J6910" s="11">
        <f>MAX(0,M6910-N6910)</f>
        <v/>
      </c>
      <c r="K6910" s="11">
        <f>O6910</f>
        <v/>
      </c>
      <c r="L6910" s="11">
        <f>L6909+IF(K6910&gt;0,K6910*Summary!$B$9,K6910/Summary!$B$9)</f>
        <v/>
      </c>
      <c r="M6910" s="11">
        <f>G6910+H6910</f>
        <v/>
      </c>
      <c r="N6910" s="11">
        <f>Summary!$C$16*Summary!$B$8</f>
        <v/>
      </c>
      <c r="O6910" s="11">
        <f>M6910-N6910</f>
        <v/>
      </c>
    </row>
    <row r="6911">
      <c r="A6911" s="9" t="n">
        <v>45579.875</v>
      </c>
      <c r="B6911" t="n">
        <v>10</v>
      </c>
      <c r="C6911" t="n">
        <v>14</v>
      </c>
      <c r="D6911" t="n">
        <v>21</v>
      </c>
      <c r="E6911" s="10" t="n">
        <v>0</v>
      </c>
      <c r="F6911" s="10" t="n">
        <v>0.426981558475574</v>
      </c>
      <c r="G6911" s="11">
        <f>E6911*Summary!$B$6</f>
        <v/>
      </c>
      <c r="H6911" s="11">
        <f>F6911*Summary!$B$7</f>
        <v/>
      </c>
      <c r="I6911" s="11">
        <f>MAX(0,N6911-M6911)</f>
        <v/>
      </c>
      <c r="J6911" s="11">
        <f>MAX(0,M6911-N6911)</f>
        <v/>
      </c>
      <c r="K6911" s="11">
        <f>O6911</f>
        <v/>
      </c>
      <c r="L6911" s="11">
        <f>L6910+IF(K6911&gt;0,K6911*Summary!$B$9,K6911/Summary!$B$9)</f>
        <v/>
      </c>
      <c r="M6911" s="11">
        <f>G6911+H6911</f>
        <v/>
      </c>
      <c r="N6911" s="11">
        <f>Summary!$C$16*Summary!$B$8</f>
        <v/>
      </c>
      <c r="O6911" s="11">
        <f>M6911-N6911</f>
        <v/>
      </c>
    </row>
    <row r="6912">
      <c r="A6912" s="9" t="n">
        <v>45579.91666666666</v>
      </c>
      <c r="B6912" t="n">
        <v>10</v>
      </c>
      <c r="C6912" t="n">
        <v>14</v>
      </c>
      <c r="D6912" t="n">
        <v>22</v>
      </c>
      <c r="E6912" s="10" t="n">
        <v>0</v>
      </c>
      <c r="F6912" s="10" t="n">
        <v>0.4307235433736504</v>
      </c>
      <c r="G6912" s="11">
        <f>E6912*Summary!$B$6</f>
        <v/>
      </c>
      <c r="H6912" s="11">
        <f>F6912*Summary!$B$7</f>
        <v/>
      </c>
      <c r="I6912" s="11">
        <f>MAX(0,N6912-M6912)</f>
        <v/>
      </c>
      <c r="J6912" s="11">
        <f>MAX(0,M6912-N6912)</f>
        <v/>
      </c>
      <c r="K6912" s="11">
        <f>O6912</f>
        <v/>
      </c>
      <c r="L6912" s="11">
        <f>L6911+IF(K6912&gt;0,K6912*Summary!$B$9,K6912/Summary!$B$9)</f>
        <v/>
      </c>
      <c r="M6912" s="11">
        <f>G6912+H6912</f>
        <v/>
      </c>
      <c r="N6912" s="11">
        <f>Summary!$C$16*Summary!$B$8</f>
        <v/>
      </c>
      <c r="O6912" s="11">
        <f>M6912-N6912</f>
        <v/>
      </c>
    </row>
    <row r="6913">
      <c r="A6913" s="9" t="n">
        <v>45579.95833333334</v>
      </c>
      <c r="B6913" t="n">
        <v>10</v>
      </c>
      <c r="C6913" t="n">
        <v>14</v>
      </c>
      <c r="D6913" t="n">
        <v>23</v>
      </c>
      <c r="E6913" s="10" t="n">
        <v>0</v>
      </c>
      <c r="F6913" s="10" t="n">
        <v>0.4235557976533914</v>
      </c>
      <c r="G6913" s="11">
        <f>E6913*Summary!$B$6</f>
        <v/>
      </c>
      <c r="H6913" s="11">
        <f>F6913*Summary!$B$7</f>
        <v/>
      </c>
      <c r="I6913" s="11">
        <f>MAX(0,N6913-M6913)</f>
        <v/>
      </c>
      <c r="J6913" s="11">
        <f>MAX(0,M6913-N6913)</f>
        <v/>
      </c>
      <c r="K6913" s="11">
        <f>O6913</f>
        <v/>
      </c>
      <c r="L6913" s="11">
        <f>L6912+IF(K6913&gt;0,K6913*Summary!$B$9,K6913/Summary!$B$9)</f>
        <v/>
      </c>
      <c r="M6913" s="11">
        <f>G6913+H6913</f>
        <v/>
      </c>
      <c r="N6913" s="11">
        <f>Summary!$C$16*Summary!$B$8</f>
        <v/>
      </c>
      <c r="O6913" s="11">
        <f>M6913-N6913</f>
        <v/>
      </c>
    </row>
    <row r="6914">
      <c r="A6914" s="9" t="n">
        <v>45580</v>
      </c>
      <c r="B6914" t="n">
        <v>10</v>
      </c>
      <c r="C6914" t="n">
        <v>15</v>
      </c>
      <c r="D6914" t="n">
        <v>0</v>
      </c>
      <c r="E6914" s="10" t="n">
        <v>0</v>
      </c>
      <c r="F6914" s="10" t="n">
        <v>0.3572014457283469</v>
      </c>
      <c r="G6914" s="11">
        <f>E6914*Summary!$B$6</f>
        <v/>
      </c>
      <c r="H6914" s="11">
        <f>F6914*Summary!$B$7</f>
        <v/>
      </c>
      <c r="I6914" s="11">
        <f>MAX(0,N6914-M6914)</f>
        <v/>
      </c>
      <c r="J6914" s="11">
        <f>MAX(0,M6914-N6914)</f>
        <v/>
      </c>
      <c r="K6914" s="11">
        <f>O6914</f>
        <v/>
      </c>
      <c r="L6914" s="11">
        <f>L6913+IF(K6914&gt;0,K6914*Summary!$B$9,K6914/Summary!$B$9)</f>
        <v/>
      </c>
      <c r="M6914" s="11">
        <f>G6914+H6914</f>
        <v/>
      </c>
      <c r="N6914" s="11">
        <f>Summary!$C$16*Summary!$B$8</f>
        <v/>
      </c>
      <c r="O6914" s="11">
        <f>M6914-N6914</f>
        <v/>
      </c>
    </row>
    <row r="6915">
      <c r="A6915" s="9" t="n">
        <v>45580.04166666666</v>
      </c>
      <c r="B6915" t="n">
        <v>10</v>
      </c>
      <c r="C6915" t="n">
        <v>15</v>
      </c>
      <c r="D6915" t="n">
        <v>1</v>
      </c>
      <c r="E6915" s="10" t="n">
        <v>0</v>
      </c>
      <c r="F6915" s="10" t="n">
        <v>0.4095628822950917</v>
      </c>
      <c r="G6915" s="11">
        <f>E6915*Summary!$B$6</f>
        <v/>
      </c>
      <c r="H6915" s="11">
        <f>F6915*Summary!$B$7</f>
        <v/>
      </c>
      <c r="I6915" s="11">
        <f>MAX(0,N6915-M6915)</f>
        <v/>
      </c>
      <c r="J6915" s="11">
        <f>MAX(0,M6915-N6915)</f>
        <v/>
      </c>
      <c r="K6915" s="11">
        <f>O6915</f>
        <v/>
      </c>
      <c r="L6915" s="11">
        <f>L6914+IF(K6915&gt;0,K6915*Summary!$B$9,K6915/Summary!$B$9)</f>
        <v/>
      </c>
      <c r="M6915" s="11">
        <f>G6915+H6915</f>
        <v/>
      </c>
      <c r="N6915" s="11">
        <f>Summary!$C$16*Summary!$B$8</f>
        <v/>
      </c>
      <c r="O6915" s="11">
        <f>M6915-N6915</f>
        <v/>
      </c>
    </row>
    <row r="6916">
      <c r="A6916" s="9" t="n">
        <v>45580.08333333334</v>
      </c>
      <c r="B6916" t="n">
        <v>10</v>
      </c>
      <c r="C6916" t="n">
        <v>15</v>
      </c>
      <c r="D6916" t="n">
        <v>2</v>
      </c>
      <c r="E6916" s="10" t="n">
        <v>0</v>
      </c>
      <c r="F6916" s="10" t="n">
        <v>0.3997599359423846</v>
      </c>
      <c r="G6916" s="11">
        <f>E6916*Summary!$B$6</f>
        <v/>
      </c>
      <c r="H6916" s="11">
        <f>F6916*Summary!$B$7</f>
        <v/>
      </c>
      <c r="I6916" s="11">
        <f>MAX(0,N6916-M6916)</f>
        <v/>
      </c>
      <c r="J6916" s="11">
        <f>MAX(0,M6916-N6916)</f>
        <v/>
      </c>
      <c r="K6916" s="11">
        <f>O6916</f>
        <v/>
      </c>
      <c r="L6916" s="11">
        <f>L6915+IF(K6916&gt;0,K6916*Summary!$B$9,K6916/Summary!$B$9)</f>
        <v/>
      </c>
      <c r="M6916" s="11">
        <f>G6916+H6916</f>
        <v/>
      </c>
      <c r="N6916" s="11">
        <f>Summary!$C$16*Summary!$B$8</f>
        <v/>
      </c>
      <c r="O6916" s="11">
        <f>M6916-N6916</f>
        <v/>
      </c>
    </row>
    <row r="6917">
      <c r="A6917" s="9" t="n">
        <v>45580.125</v>
      </c>
      <c r="B6917" t="n">
        <v>10</v>
      </c>
      <c r="C6917" t="n">
        <v>15</v>
      </c>
      <c r="D6917" t="n">
        <v>3</v>
      </c>
      <c r="E6917" s="10" t="n">
        <v>0</v>
      </c>
      <c r="F6917" s="10" t="n">
        <v>0.3949375187850045</v>
      </c>
      <c r="G6917" s="11">
        <f>E6917*Summary!$B$6</f>
        <v/>
      </c>
      <c r="H6917" s="11">
        <f>F6917*Summary!$B$7</f>
        <v/>
      </c>
      <c r="I6917" s="11">
        <f>MAX(0,N6917-M6917)</f>
        <v/>
      </c>
      <c r="J6917" s="11">
        <f>MAX(0,M6917-N6917)</f>
        <v/>
      </c>
      <c r="K6917" s="11">
        <f>O6917</f>
        <v/>
      </c>
      <c r="L6917" s="11">
        <f>L6916+IF(K6917&gt;0,K6917*Summary!$B$9,K6917/Summary!$B$9)</f>
        <v/>
      </c>
      <c r="M6917" s="11">
        <f>G6917+H6917</f>
        <v/>
      </c>
      <c r="N6917" s="11">
        <f>Summary!$C$16*Summary!$B$8</f>
        <v/>
      </c>
      <c r="O6917" s="11">
        <f>M6917-N6917</f>
        <v/>
      </c>
    </row>
    <row r="6918">
      <c r="A6918" s="9" t="n">
        <v>45580.16666666666</v>
      </c>
      <c r="B6918" t="n">
        <v>10</v>
      </c>
      <c r="C6918" t="n">
        <v>15</v>
      </c>
      <c r="D6918" t="n">
        <v>4</v>
      </c>
      <c r="E6918" s="10" t="n">
        <v>0</v>
      </c>
      <c r="F6918" s="10" t="n">
        <v>0.387848829083719</v>
      </c>
      <c r="G6918" s="11">
        <f>E6918*Summary!$B$6</f>
        <v/>
      </c>
      <c r="H6918" s="11">
        <f>F6918*Summary!$B$7</f>
        <v/>
      </c>
      <c r="I6918" s="11">
        <f>MAX(0,N6918-M6918)</f>
        <v/>
      </c>
      <c r="J6918" s="11">
        <f>MAX(0,M6918-N6918)</f>
        <v/>
      </c>
      <c r="K6918" s="11">
        <f>O6918</f>
        <v/>
      </c>
      <c r="L6918" s="11">
        <f>L6917+IF(K6918&gt;0,K6918*Summary!$B$9,K6918/Summary!$B$9)</f>
        <v/>
      </c>
      <c r="M6918" s="11">
        <f>G6918+H6918</f>
        <v/>
      </c>
      <c r="N6918" s="11">
        <f>Summary!$C$16*Summary!$B$8</f>
        <v/>
      </c>
      <c r="O6918" s="11">
        <f>M6918-N6918</f>
        <v/>
      </c>
    </row>
    <row r="6919">
      <c r="A6919" s="9" t="n">
        <v>45580.20833333334</v>
      </c>
      <c r="B6919" t="n">
        <v>10</v>
      </c>
      <c r="C6919" t="n">
        <v>15</v>
      </c>
      <c r="D6919" t="n">
        <v>5</v>
      </c>
      <c r="E6919" s="10" t="n">
        <v>0</v>
      </c>
      <c r="F6919" s="10" t="n">
        <v>0.385767020584085</v>
      </c>
      <c r="G6919" s="11">
        <f>E6919*Summary!$B$6</f>
        <v/>
      </c>
      <c r="H6919" s="11">
        <f>F6919*Summary!$B$7</f>
        <v/>
      </c>
      <c r="I6919" s="11">
        <f>MAX(0,N6919-M6919)</f>
        <v/>
      </c>
      <c r="J6919" s="11">
        <f>MAX(0,M6919-N6919)</f>
        <v/>
      </c>
      <c r="K6919" s="11">
        <f>O6919</f>
        <v/>
      </c>
      <c r="L6919" s="11">
        <f>L6918+IF(K6919&gt;0,K6919*Summary!$B$9,K6919/Summary!$B$9)</f>
        <v/>
      </c>
      <c r="M6919" s="11">
        <f>G6919+H6919</f>
        <v/>
      </c>
      <c r="N6919" s="11">
        <f>Summary!$C$16*Summary!$B$8</f>
        <v/>
      </c>
      <c r="O6919" s="11">
        <f>M6919-N6919</f>
        <v/>
      </c>
    </row>
    <row r="6920">
      <c r="A6920" s="9" t="n">
        <v>45580.25</v>
      </c>
      <c r="B6920" t="n">
        <v>10</v>
      </c>
      <c r="C6920" t="n">
        <v>15</v>
      </c>
      <c r="D6920" t="n">
        <v>6</v>
      </c>
      <c r="E6920" s="10" t="n">
        <v>0</v>
      </c>
      <c r="F6920" s="10" t="n">
        <v>0.3774397865855488</v>
      </c>
      <c r="G6920" s="11">
        <f>E6920*Summary!$B$6</f>
        <v/>
      </c>
      <c r="H6920" s="11">
        <f>F6920*Summary!$B$7</f>
        <v/>
      </c>
      <c r="I6920" s="11">
        <f>MAX(0,N6920-M6920)</f>
        <v/>
      </c>
      <c r="J6920" s="11">
        <f>MAX(0,M6920-N6920)</f>
        <v/>
      </c>
      <c r="K6920" s="11">
        <f>O6920</f>
        <v/>
      </c>
      <c r="L6920" s="11">
        <f>L6919+IF(K6920&gt;0,K6920*Summary!$B$9,K6920/Summary!$B$9)</f>
        <v/>
      </c>
      <c r="M6920" s="11">
        <f>G6920+H6920</f>
        <v/>
      </c>
      <c r="N6920" s="11">
        <f>Summary!$C$16*Summary!$B$8</f>
        <v/>
      </c>
      <c r="O6920" s="11">
        <f>M6920-N6920</f>
        <v/>
      </c>
    </row>
    <row r="6921">
      <c r="A6921" s="9" t="n">
        <v>45580.29166666666</v>
      </c>
      <c r="B6921" t="n">
        <v>10</v>
      </c>
      <c r="C6921" t="n">
        <v>15</v>
      </c>
      <c r="D6921" t="n">
        <v>7</v>
      </c>
      <c r="E6921" s="10" t="n">
        <v>0.013031</v>
      </c>
      <c r="F6921" s="10" t="n">
        <v>0.3620502148920516</v>
      </c>
      <c r="G6921" s="11">
        <f>E6921*Summary!$B$6</f>
        <v/>
      </c>
      <c r="H6921" s="11">
        <f>F6921*Summary!$B$7</f>
        <v/>
      </c>
      <c r="I6921" s="11">
        <f>MAX(0,N6921-M6921)</f>
        <v/>
      </c>
      <c r="J6921" s="11">
        <f>MAX(0,M6921-N6921)</f>
        <v/>
      </c>
      <c r="K6921" s="11">
        <f>O6921</f>
        <v/>
      </c>
      <c r="L6921" s="11">
        <f>L6920+IF(K6921&gt;0,K6921*Summary!$B$9,K6921/Summary!$B$9)</f>
        <v/>
      </c>
      <c r="M6921" s="11">
        <f>G6921+H6921</f>
        <v/>
      </c>
      <c r="N6921" s="11">
        <f>Summary!$C$16*Summary!$B$8</f>
        <v/>
      </c>
      <c r="O6921" s="11">
        <f>M6921-N6921</f>
        <v/>
      </c>
    </row>
    <row r="6922">
      <c r="A6922" s="9" t="n">
        <v>45580.33333333334</v>
      </c>
      <c r="B6922" t="n">
        <v>10</v>
      </c>
      <c r="C6922" t="n">
        <v>15</v>
      </c>
      <c r="D6922" t="n">
        <v>8</v>
      </c>
      <c r="E6922" s="10" t="n">
        <v>0.056422</v>
      </c>
      <c r="F6922" s="10" t="n">
        <v>0.3451058748254099</v>
      </c>
      <c r="G6922" s="11">
        <f>E6922*Summary!$B$6</f>
        <v/>
      </c>
      <c r="H6922" s="11">
        <f>F6922*Summary!$B$7</f>
        <v/>
      </c>
      <c r="I6922" s="11">
        <f>MAX(0,N6922-M6922)</f>
        <v/>
      </c>
      <c r="J6922" s="11">
        <f>MAX(0,M6922-N6922)</f>
        <v/>
      </c>
      <c r="K6922" s="11">
        <f>O6922</f>
        <v/>
      </c>
      <c r="L6922" s="11">
        <f>L6921+IF(K6922&gt;0,K6922*Summary!$B$9,K6922/Summary!$B$9)</f>
        <v/>
      </c>
      <c r="M6922" s="11">
        <f>G6922+H6922</f>
        <v/>
      </c>
      <c r="N6922" s="11">
        <f>Summary!$C$16*Summary!$B$8</f>
        <v/>
      </c>
      <c r="O6922" s="11">
        <f>M6922-N6922</f>
        <v/>
      </c>
    </row>
    <row r="6923">
      <c r="A6923" s="9" t="n">
        <v>45580.375</v>
      </c>
      <c r="B6923" t="n">
        <v>10</v>
      </c>
      <c r="C6923" t="n">
        <v>15</v>
      </c>
      <c r="D6923" t="n">
        <v>9</v>
      </c>
      <c r="E6923" s="10" t="n">
        <v>0.102333</v>
      </c>
      <c r="F6923" s="10" t="n">
        <v>0.325737150176916</v>
      </c>
      <c r="G6923" s="11">
        <f>E6923*Summary!$B$6</f>
        <v/>
      </c>
      <c r="H6923" s="11">
        <f>F6923*Summary!$B$7</f>
        <v/>
      </c>
      <c r="I6923" s="11">
        <f>MAX(0,N6923-M6923)</f>
        <v/>
      </c>
      <c r="J6923" s="11">
        <f>MAX(0,M6923-N6923)</f>
        <v/>
      </c>
      <c r="K6923" s="11">
        <f>O6923</f>
        <v/>
      </c>
      <c r="L6923" s="11">
        <f>L6922+IF(K6923&gt;0,K6923*Summary!$B$9,K6923/Summary!$B$9)</f>
        <v/>
      </c>
      <c r="M6923" s="11">
        <f>G6923+H6923</f>
        <v/>
      </c>
      <c r="N6923" s="11">
        <f>Summary!$C$16*Summary!$B$8</f>
        <v/>
      </c>
      <c r="O6923" s="11">
        <f>M6923-N6923</f>
        <v/>
      </c>
    </row>
    <row r="6924">
      <c r="A6924" s="9" t="n">
        <v>45580.41666666666</v>
      </c>
      <c r="B6924" t="n">
        <v>10</v>
      </c>
      <c r="C6924" t="n">
        <v>15</v>
      </c>
      <c r="D6924" t="n">
        <v>10</v>
      </c>
      <c r="E6924" s="10" t="n">
        <v>0.140371</v>
      </c>
      <c r="F6924" s="10" t="n">
        <v>0.3078441378825931</v>
      </c>
      <c r="G6924" s="11">
        <f>E6924*Summary!$B$6</f>
        <v/>
      </c>
      <c r="H6924" s="11">
        <f>F6924*Summary!$B$7</f>
        <v/>
      </c>
      <c r="I6924" s="11">
        <f>MAX(0,N6924-M6924)</f>
        <v/>
      </c>
      <c r="J6924" s="11">
        <f>MAX(0,M6924-N6924)</f>
        <v/>
      </c>
      <c r="K6924" s="11">
        <f>O6924</f>
        <v/>
      </c>
      <c r="L6924" s="11">
        <f>L6923+IF(K6924&gt;0,K6924*Summary!$B$9,K6924/Summary!$B$9)</f>
        <v/>
      </c>
      <c r="M6924" s="11">
        <f>G6924+H6924</f>
        <v/>
      </c>
      <c r="N6924" s="11">
        <f>Summary!$C$16*Summary!$B$8</f>
        <v/>
      </c>
      <c r="O6924" s="11">
        <f>M6924-N6924</f>
        <v/>
      </c>
    </row>
    <row r="6925">
      <c r="A6925" s="9" t="n">
        <v>45580.45833333334</v>
      </c>
      <c r="B6925" t="n">
        <v>10</v>
      </c>
      <c r="C6925" t="n">
        <v>15</v>
      </c>
      <c r="D6925" t="n">
        <v>11</v>
      </c>
      <c r="E6925" s="10" t="n">
        <v>0.27725</v>
      </c>
      <c r="F6925" s="10" t="n">
        <v>0.2935877024610486</v>
      </c>
      <c r="G6925" s="11">
        <f>E6925*Summary!$B$6</f>
        <v/>
      </c>
      <c r="H6925" s="11">
        <f>F6925*Summary!$B$7</f>
        <v/>
      </c>
      <c r="I6925" s="11">
        <f>MAX(0,N6925-M6925)</f>
        <v/>
      </c>
      <c r="J6925" s="11">
        <f>MAX(0,M6925-N6925)</f>
        <v/>
      </c>
      <c r="K6925" s="11">
        <f>O6925</f>
        <v/>
      </c>
      <c r="L6925" s="11">
        <f>L6924+IF(K6925&gt;0,K6925*Summary!$B$9,K6925/Summary!$B$9)</f>
        <v/>
      </c>
      <c r="M6925" s="11">
        <f>G6925+H6925</f>
        <v/>
      </c>
      <c r="N6925" s="11">
        <f>Summary!$C$16*Summary!$B$8</f>
        <v/>
      </c>
      <c r="O6925" s="11">
        <f>M6925-N6925</f>
        <v/>
      </c>
    </row>
    <row r="6926">
      <c r="A6926" s="9" t="n">
        <v>45580.5</v>
      </c>
      <c r="B6926" t="n">
        <v>10</v>
      </c>
      <c r="C6926" t="n">
        <v>15</v>
      </c>
      <c r="D6926" t="n">
        <v>12</v>
      </c>
      <c r="E6926" s="10" t="n">
        <v>0.06465899999999999</v>
      </c>
      <c r="F6926" s="10" t="n">
        <v>0.2832577159818518</v>
      </c>
      <c r="G6926" s="11">
        <f>E6926*Summary!$B$6</f>
        <v/>
      </c>
      <c r="H6926" s="11">
        <f>F6926*Summary!$B$7</f>
        <v/>
      </c>
      <c r="I6926" s="11">
        <f>MAX(0,N6926-M6926)</f>
        <v/>
      </c>
      <c r="J6926" s="11">
        <f>MAX(0,M6926-N6926)</f>
        <v/>
      </c>
      <c r="K6926" s="11">
        <f>O6926</f>
        <v/>
      </c>
      <c r="L6926" s="11">
        <f>L6925+IF(K6926&gt;0,K6926*Summary!$B$9,K6926/Summary!$B$9)</f>
        <v/>
      </c>
      <c r="M6926" s="11">
        <f>G6926+H6926</f>
        <v/>
      </c>
      <c r="N6926" s="11">
        <f>Summary!$C$16*Summary!$B$8</f>
        <v/>
      </c>
      <c r="O6926" s="11">
        <f>M6926-N6926</f>
        <v/>
      </c>
    </row>
    <row r="6927">
      <c r="A6927" s="9" t="n">
        <v>45580.54166666666</v>
      </c>
      <c r="B6927" t="n">
        <v>10</v>
      </c>
      <c r="C6927" t="n">
        <v>15</v>
      </c>
      <c r="D6927" t="n">
        <v>13</v>
      </c>
      <c r="E6927" s="10" t="n">
        <v>0.049064</v>
      </c>
      <c r="F6927" s="10" t="n">
        <v>0.2776447386347373</v>
      </c>
      <c r="G6927" s="11">
        <f>E6927*Summary!$B$6</f>
        <v/>
      </c>
      <c r="H6927" s="11">
        <f>F6927*Summary!$B$7</f>
        <v/>
      </c>
      <c r="I6927" s="11">
        <f>MAX(0,N6927-M6927)</f>
        <v/>
      </c>
      <c r="J6927" s="11">
        <f>MAX(0,M6927-N6927)</f>
        <v/>
      </c>
      <c r="K6927" s="11">
        <f>O6927</f>
        <v/>
      </c>
      <c r="L6927" s="11">
        <f>L6926+IF(K6927&gt;0,K6927*Summary!$B$9,K6927/Summary!$B$9)</f>
        <v/>
      </c>
      <c r="M6927" s="11">
        <f>G6927+H6927</f>
        <v/>
      </c>
      <c r="N6927" s="11">
        <f>Summary!$C$16*Summary!$B$8</f>
        <v/>
      </c>
      <c r="O6927" s="11">
        <f>M6927-N6927</f>
        <v/>
      </c>
    </row>
    <row r="6928">
      <c r="A6928" s="9" t="n">
        <v>45580.58333333334</v>
      </c>
      <c r="B6928" t="n">
        <v>10</v>
      </c>
      <c r="C6928" t="n">
        <v>15</v>
      </c>
      <c r="D6928" t="n">
        <v>14</v>
      </c>
      <c r="E6928" s="10" t="n">
        <v>0.024333</v>
      </c>
      <c r="F6928" s="10" t="n">
        <v>0.2752467060592095</v>
      </c>
      <c r="G6928" s="11">
        <f>E6928*Summary!$B$6</f>
        <v/>
      </c>
      <c r="H6928" s="11">
        <f>F6928*Summary!$B$7</f>
        <v/>
      </c>
      <c r="I6928" s="11">
        <f>MAX(0,N6928-M6928)</f>
        <v/>
      </c>
      <c r="J6928" s="11">
        <f>MAX(0,M6928-N6928)</f>
        <v/>
      </c>
      <c r="K6928" s="11">
        <f>O6928</f>
        <v/>
      </c>
      <c r="L6928" s="11">
        <f>L6927+IF(K6928&gt;0,K6928*Summary!$B$9,K6928/Summary!$B$9)</f>
        <v/>
      </c>
      <c r="M6928" s="11">
        <f>G6928+H6928</f>
        <v/>
      </c>
      <c r="N6928" s="11">
        <f>Summary!$C$16*Summary!$B$8</f>
        <v/>
      </c>
      <c r="O6928" s="11">
        <f>M6928-N6928</f>
        <v/>
      </c>
    </row>
    <row r="6929">
      <c r="A6929" s="9" t="n">
        <v>45580.625</v>
      </c>
      <c r="B6929" t="n">
        <v>10</v>
      </c>
      <c r="C6929" t="n">
        <v>15</v>
      </c>
      <c r="D6929" t="n">
        <v>15</v>
      </c>
      <c r="E6929" s="10" t="n">
        <v>0.015499</v>
      </c>
      <c r="F6929" s="10" t="n">
        <v>0.2720317612876227</v>
      </c>
      <c r="G6929" s="11">
        <f>E6929*Summary!$B$6</f>
        <v/>
      </c>
      <c r="H6929" s="11">
        <f>F6929*Summary!$B$7</f>
        <v/>
      </c>
      <c r="I6929" s="11">
        <f>MAX(0,N6929-M6929)</f>
        <v/>
      </c>
      <c r="J6929" s="11">
        <f>MAX(0,M6929-N6929)</f>
        <v/>
      </c>
      <c r="K6929" s="11">
        <f>O6929</f>
        <v/>
      </c>
      <c r="L6929" s="11">
        <f>L6928+IF(K6929&gt;0,K6929*Summary!$B$9,K6929/Summary!$B$9)</f>
        <v/>
      </c>
      <c r="M6929" s="11">
        <f>G6929+H6929</f>
        <v/>
      </c>
      <c r="N6929" s="11">
        <f>Summary!$C$16*Summary!$B$8</f>
        <v/>
      </c>
      <c r="O6929" s="11">
        <f>M6929-N6929</f>
        <v/>
      </c>
    </row>
    <row r="6930">
      <c r="A6930" s="9" t="n">
        <v>45580.66666666666</v>
      </c>
      <c r="B6930" t="n">
        <v>10</v>
      </c>
      <c r="C6930" t="n">
        <v>15</v>
      </c>
      <c r="D6930" t="n">
        <v>16</v>
      </c>
      <c r="E6930" s="10" t="n">
        <v>0.013213</v>
      </c>
      <c r="F6930" s="10" t="n">
        <v>0.2932978303914793</v>
      </c>
      <c r="G6930" s="11">
        <f>E6930*Summary!$B$6</f>
        <v/>
      </c>
      <c r="H6930" s="11">
        <f>F6930*Summary!$B$7</f>
        <v/>
      </c>
      <c r="I6930" s="11">
        <f>MAX(0,N6930-M6930)</f>
        <v/>
      </c>
      <c r="J6930" s="11">
        <f>MAX(0,M6930-N6930)</f>
        <v/>
      </c>
      <c r="K6930" s="11">
        <f>O6930</f>
        <v/>
      </c>
      <c r="L6930" s="11">
        <f>L6929+IF(K6930&gt;0,K6930*Summary!$B$9,K6930/Summary!$B$9)</f>
        <v/>
      </c>
      <c r="M6930" s="11">
        <f>G6930+H6930</f>
        <v/>
      </c>
      <c r="N6930" s="11">
        <f>Summary!$C$16*Summary!$B$8</f>
        <v/>
      </c>
      <c r="O6930" s="11">
        <f>M6930-N6930</f>
        <v/>
      </c>
    </row>
    <row r="6931">
      <c r="A6931" s="9" t="n">
        <v>45580.70833333334</v>
      </c>
      <c r="B6931" t="n">
        <v>10</v>
      </c>
      <c r="C6931" t="n">
        <v>15</v>
      </c>
      <c r="D6931" t="n">
        <v>17</v>
      </c>
      <c r="E6931" s="10" t="n">
        <v>0</v>
      </c>
      <c r="F6931" s="10" t="n">
        <v>0.3032325367758088</v>
      </c>
      <c r="G6931" s="11">
        <f>E6931*Summary!$B$6</f>
        <v/>
      </c>
      <c r="H6931" s="11">
        <f>F6931*Summary!$B$7</f>
        <v/>
      </c>
      <c r="I6931" s="11">
        <f>MAX(0,N6931-M6931)</f>
        <v/>
      </c>
      <c r="J6931" s="11">
        <f>MAX(0,M6931-N6931)</f>
        <v/>
      </c>
      <c r="K6931" s="11">
        <f>O6931</f>
        <v/>
      </c>
      <c r="L6931" s="11">
        <f>L6930+IF(K6931&gt;0,K6931*Summary!$B$9,K6931/Summary!$B$9)</f>
        <v/>
      </c>
      <c r="M6931" s="11">
        <f>G6931+H6931</f>
        <v/>
      </c>
      <c r="N6931" s="11">
        <f>Summary!$C$16*Summary!$B$8</f>
        <v/>
      </c>
      <c r="O6931" s="11">
        <f>M6931-N6931</f>
        <v/>
      </c>
    </row>
    <row r="6932">
      <c r="A6932" s="9" t="n">
        <v>45580.75</v>
      </c>
      <c r="B6932" t="n">
        <v>10</v>
      </c>
      <c r="C6932" t="n">
        <v>15</v>
      </c>
      <c r="D6932" t="n">
        <v>18</v>
      </c>
      <c r="E6932" s="10" t="n">
        <v>0</v>
      </c>
      <c r="F6932" s="10" t="n">
        <v>0.3255526861326447</v>
      </c>
      <c r="G6932" s="11">
        <f>E6932*Summary!$B$6</f>
        <v/>
      </c>
      <c r="H6932" s="11">
        <f>F6932*Summary!$B$7</f>
        <v/>
      </c>
      <c r="I6932" s="11">
        <f>MAX(0,N6932-M6932)</f>
        <v/>
      </c>
      <c r="J6932" s="11">
        <f>MAX(0,M6932-N6932)</f>
        <v/>
      </c>
      <c r="K6932" s="11">
        <f>O6932</f>
        <v/>
      </c>
      <c r="L6932" s="11">
        <f>L6931+IF(K6932&gt;0,K6932*Summary!$B$9,K6932/Summary!$B$9)</f>
        <v/>
      </c>
      <c r="M6932" s="11">
        <f>G6932+H6932</f>
        <v/>
      </c>
      <c r="N6932" s="11">
        <f>Summary!$C$16*Summary!$B$8</f>
        <v/>
      </c>
      <c r="O6932" s="11">
        <f>M6932-N6932</f>
        <v/>
      </c>
    </row>
    <row r="6933">
      <c r="A6933" s="9" t="n">
        <v>45580.79166666666</v>
      </c>
      <c r="B6933" t="n">
        <v>10</v>
      </c>
      <c r="C6933" t="n">
        <v>15</v>
      </c>
      <c r="D6933" t="n">
        <v>19</v>
      </c>
      <c r="E6933" s="10" t="n">
        <v>0</v>
      </c>
      <c r="F6933" s="10" t="n">
        <v>0.3404942737186257</v>
      </c>
      <c r="G6933" s="11">
        <f>E6933*Summary!$B$6</f>
        <v/>
      </c>
      <c r="H6933" s="11">
        <f>F6933*Summary!$B$7</f>
        <v/>
      </c>
      <c r="I6933" s="11">
        <f>MAX(0,N6933-M6933)</f>
        <v/>
      </c>
      <c r="J6933" s="11">
        <f>MAX(0,M6933-N6933)</f>
        <v/>
      </c>
      <c r="K6933" s="11">
        <f>O6933</f>
        <v/>
      </c>
      <c r="L6933" s="11">
        <f>L6932+IF(K6933&gt;0,K6933*Summary!$B$9,K6933/Summary!$B$9)</f>
        <v/>
      </c>
      <c r="M6933" s="11">
        <f>G6933+H6933</f>
        <v/>
      </c>
      <c r="N6933" s="11">
        <f>Summary!$C$16*Summary!$B$8</f>
        <v/>
      </c>
      <c r="O6933" s="11">
        <f>M6933-N6933</f>
        <v/>
      </c>
    </row>
    <row r="6934">
      <c r="A6934" s="9" t="n">
        <v>45580.83333333334</v>
      </c>
      <c r="B6934" t="n">
        <v>10</v>
      </c>
      <c r="C6934" t="n">
        <v>15</v>
      </c>
      <c r="D6934" t="n">
        <v>20</v>
      </c>
      <c r="E6934" s="10" t="n">
        <v>0</v>
      </c>
      <c r="F6934" s="10" t="n">
        <v>0.350745204178849</v>
      </c>
      <c r="G6934" s="11">
        <f>E6934*Summary!$B$6</f>
        <v/>
      </c>
      <c r="H6934" s="11">
        <f>F6934*Summary!$B$7</f>
        <v/>
      </c>
      <c r="I6934" s="11">
        <f>MAX(0,N6934-M6934)</f>
        <v/>
      </c>
      <c r="J6934" s="11">
        <f>MAX(0,M6934-N6934)</f>
        <v/>
      </c>
      <c r="K6934" s="11">
        <f>O6934</f>
        <v/>
      </c>
      <c r="L6934" s="11">
        <f>L6933+IF(K6934&gt;0,K6934*Summary!$B$9,K6934/Summary!$B$9)</f>
        <v/>
      </c>
      <c r="M6934" s="11">
        <f>G6934+H6934</f>
        <v/>
      </c>
      <c r="N6934" s="11">
        <f>Summary!$C$16*Summary!$B$8</f>
        <v/>
      </c>
      <c r="O6934" s="11">
        <f>M6934-N6934</f>
        <v/>
      </c>
    </row>
    <row r="6935">
      <c r="A6935" s="9" t="n">
        <v>45580.875</v>
      </c>
      <c r="B6935" t="n">
        <v>10</v>
      </c>
      <c r="C6935" t="n">
        <v>15</v>
      </c>
      <c r="D6935" t="n">
        <v>21</v>
      </c>
      <c r="E6935" s="10" t="n">
        <v>0</v>
      </c>
      <c r="F6935" s="10" t="n">
        <v>0.3545662450958988</v>
      </c>
      <c r="G6935" s="11">
        <f>E6935*Summary!$B$6</f>
        <v/>
      </c>
      <c r="H6935" s="11">
        <f>F6935*Summary!$B$7</f>
        <v/>
      </c>
      <c r="I6935" s="11">
        <f>MAX(0,N6935-M6935)</f>
        <v/>
      </c>
      <c r="J6935" s="11">
        <f>MAX(0,M6935-N6935)</f>
        <v/>
      </c>
      <c r="K6935" s="11">
        <f>O6935</f>
        <v/>
      </c>
      <c r="L6935" s="11">
        <f>L6934+IF(K6935&gt;0,K6935*Summary!$B$9,K6935/Summary!$B$9)</f>
        <v/>
      </c>
      <c r="M6935" s="11">
        <f>G6935+H6935</f>
        <v/>
      </c>
      <c r="N6935" s="11">
        <f>Summary!$C$16*Summary!$B$8</f>
        <v/>
      </c>
      <c r="O6935" s="11">
        <f>M6935-N6935</f>
        <v/>
      </c>
    </row>
    <row r="6936">
      <c r="A6936" s="9" t="n">
        <v>45580.91666666666</v>
      </c>
      <c r="B6936" t="n">
        <v>10</v>
      </c>
      <c r="C6936" t="n">
        <v>15</v>
      </c>
      <c r="D6936" t="n">
        <v>22</v>
      </c>
      <c r="E6936" s="10" t="n">
        <v>0</v>
      </c>
      <c r="F6936" s="10" t="n">
        <v>0.3593623102469544</v>
      </c>
      <c r="G6936" s="11">
        <f>E6936*Summary!$B$6</f>
        <v/>
      </c>
      <c r="H6936" s="11">
        <f>F6936*Summary!$B$7</f>
        <v/>
      </c>
      <c r="I6936" s="11">
        <f>MAX(0,N6936-M6936)</f>
        <v/>
      </c>
      <c r="J6936" s="11">
        <f>MAX(0,M6936-N6936)</f>
        <v/>
      </c>
      <c r="K6936" s="11">
        <f>O6936</f>
        <v/>
      </c>
      <c r="L6936" s="11">
        <f>L6935+IF(K6936&gt;0,K6936*Summary!$B$9,K6936/Summary!$B$9)</f>
        <v/>
      </c>
      <c r="M6936" s="11">
        <f>G6936+H6936</f>
        <v/>
      </c>
      <c r="N6936" s="11">
        <f>Summary!$C$16*Summary!$B$8</f>
        <v/>
      </c>
      <c r="O6936" s="11">
        <f>M6936-N6936</f>
        <v/>
      </c>
    </row>
    <row r="6937">
      <c r="A6937" s="9" t="n">
        <v>45580.95833333334</v>
      </c>
      <c r="B6937" t="n">
        <v>10</v>
      </c>
      <c r="C6937" t="n">
        <v>15</v>
      </c>
      <c r="D6937" t="n">
        <v>23</v>
      </c>
      <c r="E6937" s="10" t="n">
        <v>0</v>
      </c>
      <c r="F6937" s="10" t="n">
        <v>0.3544871890769254</v>
      </c>
      <c r="G6937" s="11">
        <f>E6937*Summary!$B$6</f>
        <v/>
      </c>
      <c r="H6937" s="11">
        <f>F6937*Summary!$B$7</f>
        <v/>
      </c>
      <c r="I6937" s="11">
        <f>MAX(0,N6937-M6937)</f>
        <v/>
      </c>
      <c r="J6937" s="11">
        <f>MAX(0,M6937-N6937)</f>
        <v/>
      </c>
      <c r="K6937" s="11">
        <f>O6937</f>
        <v/>
      </c>
      <c r="L6937" s="11">
        <f>L6936+IF(K6937&gt;0,K6937*Summary!$B$9,K6937/Summary!$B$9)</f>
        <v/>
      </c>
      <c r="M6937" s="11">
        <f>G6937+H6937</f>
        <v/>
      </c>
      <c r="N6937" s="11">
        <f>Summary!$C$16*Summary!$B$8</f>
        <v/>
      </c>
      <c r="O6937" s="11">
        <f>M6937-N6937</f>
        <v/>
      </c>
    </row>
    <row r="6938">
      <c r="A6938" s="9" t="n">
        <v>45581</v>
      </c>
      <c r="B6938" t="n">
        <v>10</v>
      </c>
      <c r="C6938" t="n">
        <v>16</v>
      </c>
      <c r="D6938" t="n">
        <v>0</v>
      </c>
      <c r="E6938" s="10" t="n">
        <v>0</v>
      </c>
      <c r="F6938" s="10" t="n">
        <v>0.3245776618986388</v>
      </c>
      <c r="G6938" s="11">
        <f>E6938*Summary!$B$6</f>
        <v/>
      </c>
      <c r="H6938" s="11">
        <f>F6938*Summary!$B$7</f>
        <v/>
      </c>
      <c r="I6938" s="11">
        <f>MAX(0,N6938-M6938)</f>
        <v/>
      </c>
      <c r="J6938" s="11">
        <f>MAX(0,M6938-N6938)</f>
        <v/>
      </c>
      <c r="K6938" s="11">
        <f>O6938</f>
        <v/>
      </c>
      <c r="L6938" s="11">
        <f>L6937+IF(K6938&gt;0,K6938*Summary!$B$9,K6938/Summary!$B$9)</f>
        <v/>
      </c>
      <c r="M6938" s="11">
        <f>G6938+H6938</f>
        <v/>
      </c>
      <c r="N6938" s="11">
        <f>Summary!$C$16*Summary!$B$8</f>
        <v/>
      </c>
      <c r="O6938" s="11">
        <f>M6938-N6938</f>
        <v/>
      </c>
    </row>
    <row r="6939">
      <c r="A6939" s="9" t="n">
        <v>45581.04166666666</v>
      </c>
      <c r="B6939" t="n">
        <v>10</v>
      </c>
      <c r="C6939" t="n">
        <v>16</v>
      </c>
      <c r="D6939" t="n">
        <v>1</v>
      </c>
      <c r="E6939" s="10" t="n">
        <v>0</v>
      </c>
      <c r="F6939" s="10" t="n">
        <v>0.3585981020635445</v>
      </c>
      <c r="G6939" s="11">
        <f>E6939*Summary!$B$6</f>
        <v/>
      </c>
      <c r="H6939" s="11">
        <f>F6939*Summary!$B$7</f>
        <v/>
      </c>
      <c r="I6939" s="11">
        <f>MAX(0,N6939-M6939)</f>
        <v/>
      </c>
      <c r="J6939" s="11">
        <f>MAX(0,M6939-N6939)</f>
        <v/>
      </c>
      <c r="K6939" s="11">
        <f>O6939</f>
        <v/>
      </c>
      <c r="L6939" s="11">
        <f>L6938+IF(K6939&gt;0,K6939*Summary!$B$9,K6939/Summary!$B$9)</f>
        <v/>
      </c>
      <c r="M6939" s="11">
        <f>G6939+H6939</f>
        <v/>
      </c>
      <c r="N6939" s="11">
        <f>Summary!$C$16*Summary!$B$8</f>
        <v/>
      </c>
      <c r="O6939" s="11">
        <f>M6939-N6939</f>
        <v/>
      </c>
    </row>
    <row r="6940">
      <c r="A6940" s="9" t="n">
        <v>45581.08333333334</v>
      </c>
      <c r="B6940" t="n">
        <v>10</v>
      </c>
      <c r="C6940" t="n">
        <v>16</v>
      </c>
      <c r="D6940" t="n">
        <v>2</v>
      </c>
      <c r="E6940" s="10" t="n">
        <v>0</v>
      </c>
      <c r="F6940" s="10" t="n">
        <v>0.3605217985252317</v>
      </c>
      <c r="G6940" s="11">
        <f>E6940*Summary!$B$6</f>
        <v/>
      </c>
      <c r="H6940" s="11">
        <f>F6940*Summary!$B$7</f>
        <v/>
      </c>
      <c r="I6940" s="11">
        <f>MAX(0,N6940-M6940)</f>
        <v/>
      </c>
      <c r="J6940" s="11">
        <f>MAX(0,M6940-N6940)</f>
        <v/>
      </c>
      <c r="K6940" s="11">
        <f>O6940</f>
        <v/>
      </c>
      <c r="L6940" s="11">
        <f>L6939+IF(K6940&gt;0,K6940*Summary!$B$9,K6940/Summary!$B$9)</f>
        <v/>
      </c>
      <c r="M6940" s="11">
        <f>G6940+H6940</f>
        <v/>
      </c>
      <c r="N6940" s="11">
        <f>Summary!$C$16*Summary!$B$8</f>
        <v/>
      </c>
      <c r="O6940" s="11">
        <f>M6940-N6940</f>
        <v/>
      </c>
    </row>
    <row r="6941">
      <c r="A6941" s="9" t="n">
        <v>45581.125</v>
      </c>
      <c r="B6941" t="n">
        <v>10</v>
      </c>
      <c r="C6941" t="n">
        <v>16</v>
      </c>
      <c r="D6941" t="n">
        <v>3</v>
      </c>
      <c r="E6941" s="10" t="n">
        <v>0</v>
      </c>
      <c r="F6941" s="10" t="n">
        <v>0.3614968227592375</v>
      </c>
      <c r="G6941" s="11">
        <f>E6941*Summary!$B$6</f>
        <v/>
      </c>
      <c r="H6941" s="11">
        <f>F6941*Summary!$B$7</f>
        <v/>
      </c>
      <c r="I6941" s="11">
        <f>MAX(0,N6941-M6941)</f>
        <v/>
      </c>
      <c r="J6941" s="11">
        <f>MAX(0,M6941-N6941)</f>
        <v/>
      </c>
      <c r="K6941" s="11">
        <f>O6941</f>
        <v/>
      </c>
      <c r="L6941" s="11">
        <f>L6940+IF(K6941&gt;0,K6941*Summary!$B$9,K6941/Summary!$B$9)</f>
        <v/>
      </c>
      <c r="M6941" s="11">
        <f>G6941+H6941</f>
        <v/>
      </c>
      <c r="N6941" s="11">
        <f>Summary!$C$16*Summary!$B$8</f>
        <v/>
      </c>
      <c r="O6941" s="11">
        <f>M6941-N6941</f>
        <v/>
      </c>
    </row>
    <row r="6942">
      <c r="A6942" s="9" t="n">
        <v>45581.16666666666</v>
      </c>
      <c r="B6942" t="n">
        <v>10</v>
      </c>
      <c r="C6942" t="n">
        <v>16</v>
      </c>
      <c r="D6942" t="n">
        <v>4</v>
      </c>
      <c r="E6942" s="10" t="n">
        <v>0</v>
      </c>
      <c r="F6942" s="10" t="n">
        <v>0.3611015426643703</v>
      </c>
      <c r="G6942" s="11">
        <f>E6942*Summary!$B$6</f>
        <v/>
      </c>
      <c r="H6942" s="11">
        <f>F6942*Summary!$B$7</f>
        <v/>
      </c>
      <c r="I6942" s="11">
        <f>MAX(0,N6942-M6942)</f>
        <v/>
      </c>
      <c r="J6942" s="11">
        <f>MAX(0,M6942-N6942)</f>
        <v/>
      </c>
      <c r="K6942" s="11">
        <f>O6942</f>
        <v/>
      </c>
      <c r="L6942" s="11">
        <f>L6941+IF(K6942&gt;0,K6942*Summary!$B$9,K6942/Summary!$B$9)</f>
        <v/>
      </c>
      <c r="M6942" s="11">
        <f>G6942+H6942</f>
        <v/>
      </c>
      <c r="N6942" s="11">
        <f>Summary!$C$16*Summary!$B$8</f>
        <v/>
      </c>
      <c r="O6942" s="11">
        <f>M6942-N6942</f>
        <v/>
      </c>
    </row>
    <row r="6943">
      <c r="A6943" s="9" t="n">
        <v>45581.20833333334</v>
      </c>
      <c r="B6943" t="n">
        <v>10</v>
      </c>
      <c r="C6943" t="n">
        <v>16</v>
      </c>
      <c r="D6943" t="n">
        <v>5</v>
      </c>
      <c r="E6943" s="10" t="n">
        <v>0</v>
      </c>
      <c r="F6943" s="10" t="n">
        <v>0.3636313352715205</v>
      </c>
      <c r="G6943" s="11">
        <f>E6943*Summary!$B$6</f>
        <v/>
      </c>
      <c r="H6943" s="11">
        <f>F6943*Summary!$B$7</f>
        <v/>
      </c>
      <c r="I6943" s="11">
        <f>MAX(0,N6943-M6943)</f>
        <v/>
      </c>
      <c r="J6943" s="11">
        <f>MAX(0,M6943-N6943)</f>
        <v/>
      </c>
      <c r="K6943" s="11">
        <f>O6943</f>
        <v/>
      </c>
      <c r="L6943" s="11">
        <f>L6942+IF(K6943&gt;0,K6943*Summary!$B$9,K6943/Summary!$B$9)</f>
        <v/>
      </c>
      <c r="M6943" s="11">
        <f>G6943+H6943</f>
        <v/>
      </c>
      <c r="N6943" s="11">
        <f>Summary!$C$16*Summary!$B$8</f>
        <v/>
      </c>
      <c r="O6943" s="11">
        <f>M6943-N6943</f>
        <v/>
      </c>
    </row>
    <row r="6944">
      <c r="A6944" s="9" t="n">
        <v>45581.25</v>
      </c>
      <c r="B6944" t="n">
        <v>10</v>
      </c>
      <c r="C6944" t="n">
        <v>16</v>
      </c>
      <c r="D6944" t="n">
        <v>6</v>
      </c>
      <c r="E6944" s="10" t="n">
        <v>0</v>
      </c>
      <c r="F6944" s="10" t="n">
        <v>0.3616812868035088</v>
      </c>
      <c r="G6944" s="11">
        <f>E6944*Summary!$B$6</f>
        <v/>
      </c>
      <c r="H6944" s="11">
        <f>F6944*Summary!$B$7</f>
        <v/>
      </c>
      <c r="I6944" s="11">
        <f>MAX(0,N6944-M6944)</f>
        <v/>
      </c>
      <c r="J6944" s="11">
        <f>MAX(0,M6944-N6944)</f>
        <v/>
      </c>
      <c r="K6944" s="11">
        <f>O6944</f>
        <v/>
      </c>
      <c r="L6944" s="11">
        <f>L6943+IF(K6944&gt;0,K6944*Summary!$B$9,K6944/Summary!$B$9)</f>
        <v/>
      </c>
      <c r="M6944" s="11">
        <f>G6944+H6944</f>
        <v/>
      </c>
      <c r="N6944" s="11">
        <f>Summary!$C$16*Summary!$B$8</f>
        <v/>
      </c>
      <c r="O6944" s="11">
        <f>M6944-N6944</f>
        <v/>
      </c>
    </row>
    <row r="6945">
      <c r="A6945" s="9" t="n">
        <v>45581.29166666666</v>
      </c>
      <c r="B6945" t="n">
        <v>10</v>
      </c>
      <c r="C6945" t="n">
        <v>16</v>
      </c>
      <c r="D6945" t="n">
        <v>7</v>
      </c>
      <c r="E6945" s="10" t="n">
        <v>0.011994</v>
      </c>
      <c r="F6945" s="10" t="n">
        <v>0.3472140353313685</v>
      </c>
      <c r="G6945" s="11">
        <f>E6945*Summary!$B$6</f>
        <v/>
      </c>
      <c r="H6945" s="11">
        <f>F6945*Summary!$B$7</f>
        <v/>
      </c>
      <c r="I6945" s="11">
        <f>MAX(0,N6945-M6945)</f>
        <v/>
      </c>
      <c r="J6945" s="11">
        <f>MAX(0,M6945-N6945)</f>
        <v/>
      </c>
      <c r="K6945" s="11">
        <f>O6945</f>
        <v/>
      </c>
      <c r="L6945" s="11">
        <f>L6944+IF(K6945&gt;0,K6945*Summary!$B$9,K6945/Summary!$B$9)</f>
        <v/>
      </c>
      <c r="M6945" s="11">
        <f>G6945+H6945</f>
        <v/>
      </c>
      <c r="N6945" s="11">
        <f>Summary!$C$16*Summary!$B$8</f>
        <v/>
      </c>
      <c r="O6945" s="11">
        <f>M6945-N6945</f>
        <v/>
      </c>
    </row>
    <row r="6946">
      <c r="A6946" s="9" t="n">
        <v>45581.33333333334</v>
      </c>
      <c r="B6946" t="n">
        <v>10</v>
      </c>
      <c r="C6946" t="n">
        <v>16</v>
      </c>
      <c r="D6946" t="n">
        <v>8</v>
      </c>
      <c r="E6946" s="10" t="n">
        <v>0.046928</v>
      </c>
      <c r="F6946" s="10" t="n">
        <v>0.3299271191825086</v>
      </c>
      <c r="G6946" s="11">
        <f>E6946*Summary!$B$6</f>
        <v/>
      </c>
      <c r="H6946" s="11">
        <f>F6946*Summary!$B$7</f>
        <v/>
      </c>
      <c r="I6946" s="11">
        <f>MAX(0,N6946-M6946)</f>
        <v/>
      </c>
      <c r="J6946" s="11">
        <f>MAX(0,M6946-N6946)</f>
        <v/>
      </c>
      <c r="K6946" s="11">
        <f>O6946</f>
        <v/>
      </c>
      <c r="L6946" s="11">
        <f>L6945+IF(K6946&gt;0,K6946*Summary!$B$9,K6946/Summary!$B$9)</f>
        <v/>
      </c>
      <c r="M6946" s="11">
        <f>G6946+H6946</f>
        <v/>
      </c>
      <c r="N6946" s="11">
        <f>Summary!$C$16*Summary!$B$8</f>
        <v/>
      </c>
      <c r="O6946" s="11">
        <f>M6946-N6946</f>
        <v/>
      </c>
    </row>
    <row r="6947">
      <c r="A6947" s="9" t="n">
        <v>45581.375</v>
      </c>
      <c r="B6947" t="n">
        <v>10</v>
      </c>
      <c r="C6947" t="n">
        <v>16</v>
      </c>
      <c r="D6947" t="n">
        <v>9</v>
      </c>
      <c r="E6947" s="10" t="n">
        <v>0.07038</v>
      </c>
      <c r="F6947" s="10" t="n">
        <v>0.3131672431601383</v>
      </c>
      <c r="G6947" s="11">
        <f>E6947*Summary!$B$6</f>
        <v/>
      </c>
      <c r="H6947" s="11">
        <f>F6947*Summary!$B$7</f>
        <v/>
      </c>
      <c r="I6947" s="11">
        <f>MAX(0,N6947-M6947)</f>
        <v/>
      </c>
      <c r="J6947" s="11">
        <f>MAX(0,M6947-N6947)</f>
        <v/>
      </c>
      <c r="K6947" s="11">
        <f>O6947</f>
        <v/>
      </c>
      <c r="L6947" s="11">
        <f>L6946+IF(K6947&gt;0,K6947*Summary!$B$9,K6947/Summary!$B$9)</f>
        <v/>
      </c>
      <c r="M6947" s="11">
        <f>G6947+H6947</f>
        <v/>
      </c>
      <c r="N6947" s="11">
        <f>Summary!$C$16*Summary!$B$8</f>
        <v/>
      </c>
      <c r="O6947" s="11">
        <f>M6947-N6947</f>
        <v/>
      </c>
    </row>
    <row r="6948">
      <c r="A6948" s="9" t="n">
        <v>45581.41666666666</v>
      </c>
      <c r="B6948" t="n">
        <v>10</v>
      </c>
      <c r="C6948" t="n">
        <v>16</v>
      </c>
      <c r="D6948" t="n">
        <v>10</v>
      </c>
      <c r="E6948" s="10" t="n">
        <v>0.091768</v>
      </c>
      <c r="F6948" s="10" t="n">
        <v>0.2984628236310777</v>
      </c>
      <c r="G6948" s="11">
        <f>E6948*Summary!$B$6</f>
        <v/>
      </c>
      <c r="H6948" s="11">
        <f>F6948*Summary!$B$7</f>
        <v/>
      </c>
      <c r="I6948" s="11">
        <f>MAX(0,N6948-M6948)</f>
        <v/>
      </c>
      <c r="J6948" s="11">
        <f>MAX(0,M6948-N6948)</f>
        <v/>
      </c>
      <c r="K6948" s="11">
        <f>O6948</f>
        <v/>
      </c>
      <c r="L6948" s="11">
        <f>L6947+IF(K6948&gt;0,K6948*Summary!$B$9,K6948/Summary!$B$9)</f>
        <v/>
      </c>
      <c r="M6948" s="11">
        <f>G6948+H6948</f>
        <v/>
      </c>
      <c r="N6948" s="11">
        <f>Summary!$C$16*Summary!$B$8</f>
        <v/>
      </c>
      <c r="O6948" s="11">
        <f>M6948-N6948</f>
        <v/>
      </c>
    </row>
    <row r="6949">
      <c r="A6949" s="9" t="n">
        <v>45581.45833333334</v>
      </c>
      <c r="B6949" t="n">
        <v>10</v>
      </c>
      <c r="C6949" t="n">
        <v>16</v>
      </c>
      <c r="D6949" t="n">
        <v>11</v>
      </c>
      <c r="E6949" s="10" t="n">
        <v>0.06451800000000001</v>
      </c>
      <c r="F6949" s="10" t="n">
        <v>0.2929816063155855</v>
      </c>
      <c r="G6949" s="11">
        <f>E6949*Summary!$B$6</f>
        <v/>
      </c>
      <c r="H6949" s="11">
        <f>F6949*Summary!$B$7</f>
        <v/>
      </c>
      <c r="I6949" s="11">
        <f>MAX(0,N6949-M6949)</f>
        <v/>
      </c>
      <c r="J6949" s="11">
        <f>MAX(0,M6949-N6949)</f>
        <v/>
      </c>
      <c r="K6949" s="11">
        <f>O6949</f>
        <v/>
      </c>
      <c r="L6949" s="11">
        <f>L6948+IF(K6949&gt;0,K6949*Summary!$B$9,K6949/Summary!$B$9)</f>
        <v/>
      </c>
      <c r="M6949" s="11">
        <f>G6949+H6949</f>
        <v/>
      </c>
      <c r="N6949" s="11">
        <f>Summary!$C$16*Summary!$B$8</f>
        <v/>
      </c>
      <c r="O6949" s="11">
        <f>M6949-N6949</f>
        <v/>
      </c>
    </row>
    <row r="6950">
      <c r="A6950" s="9" t="n">
        <v>45581.5</v>
      </c>
      <c r="B6950" t="n">
        <v>10</v>
      </c>
      <c r="C6950" t="n">
        <v>16</v>
      </c>
      <c r="D6950" t="n">
        <v>12</v>
      </c>
      <c r="E6950" s="10" t="n">
        <v>0.03334</v>
      </c>
      <c r="F6950" s="10" t="n">
        <v>0.2910579098538983</v>
      </c>
      <c r="G6950" s="11">
        <f>E6950*Summary!$B$6</f>
        <v/>
      </c>
      <c r="H6950" s="11">
        <f>F6950*Summary!$B$7</f>
        <v/>
      </c>
      <c r="I6950" s="11">
        <f>MAX(0,N6950-M6950)</f>
        <v/>
      </c>
      <c r="J6950" s="11">
        <f>MAX(0,M6950-N6950)</f>
        <v/>
      </c>
      <c r="K6950" s="11">
        <f>O6950</f>
        <v/>
      </c>
      <c r="L6950" s="11">
        <f>L6949+IF(K6950&gt;0,K6950*Summary!$B$9,K6950/Summary!$B$9)</f>
        <v/>
      </c>
      <c r="M6950" s="11">
        <f>G6950+H6950</f>
        <v/>
      </c>
      <c r="N6950" s="11">
        <f>Summary!$C$16*Summary!$B$8</f>
        <v/>
      </c>
      <c r="O6950" s="11">
        <f>M6950-N6950</f>
        <v/>
      </c>
    </row>
    <row r="6951">
      <c r="A6951" s="9" t="n">
        <v>45581.54166666666</v>
      </c>
      <c r="B6951" t="n">
        <v>10</v>
      </c>
      <c r="C6951" t="n">
        <v>16</v>
      </c>
      <c r="D6951" t="n">
        <v>13</v>
      </c>
      <c r="E6951" s="10" t="n">
        <v>0.062095</v>
      </c>
      <c r="F6951" s="10" t="n">
        <v>0.2947208387330013</v>
      </c>
      <c r="G6951" s="11">
        <f>E6951*Summary!$B$6</f>
        <v/>
      </c>
      <c r="H6951" s="11">
        <f>F6951*Summary!$B$7</f>
        <v/>
      </c>
      <c r="I6951" s="11">
        <f>MAX(0,N6951-M6951)</f>
        <v/>
      </c>
      <c r="J6951" s="11">
        <f>MAX(0,M6951-N6951)</f>
        <v/>
      </c>
      <c r="K6951" s="11">
        <f>O6951</f>
        <v/>
      </c>
      <c r="L6951" s="11">
        <f>L6950+IF(K6951&gt;0,K6951*Summary!$B$9,K6951/Summary!$B$9)</f>
        <v/>
      </c>
      <c r="M6951" s="11">
        <f>G6951+H6951</f>
        <v/>
      </c>
      <c r="N6951" s="11">
        <f>Summary!$C$16*Summary!$B$8</f>
        <v/>
      </c>
      <c r="O6951" s="11">
        <f>M6951-N6951</f>
        <v/>
      </c>
    </row>
    <row r="6952">
      <c r="A6952" s="9" t="n">
        <v>45581.58333333334</v>
      </c>
      <c r="B6952" t="n">
        <v>10</v>
      </c>
      <c r="C6952" t="n">
        <v>16</v>
      </c>
      <c r="D6952" t="n">
        <v>14</v>
      </c>
      <c r="E6952" s="10" t="n">
        <v>0.050669</v>
      </c>
      <c r="F6952" s="10" t="n">
        <v>0.2993851438524345</v>
      </c>
      <c r="G6952" s="11">
        <f>E6952*Summary!$B$6</f>
        <v/>
      </c>
      <c r="H6952" s="11">
        <f>F6952*Summary!$B$7</f>
        <v/>
      </c>
      <c r="I6952" s="11">
        <f>MAX(0,N6952-M6952)</f>
        <v/>
      </c>
      <c r="J6952" s="11">
        <f>MAX(0,M6952-N6952)</f>
        <v/>
      </c>
      <c r="K6952" s="11">
        <f>O6952</f>
        <v/>
      </c>
      <c r="L6952" s="11">
        <f>L6951+IF(K6952&gt;0,K6952*Summary!$B$9,K6952/Summary!$B$9)</f>
        <v/>
      </c>
      <c r="M6952" s="11">
        <f>G6952+H6952</f>
        <v/>
      </c>
      <c r="N6952" s="11">
        <f>Summary!$C$16*Summary!$B$8</f>
        <v/>
      </c>
      <c r="O6952" s="11">
        <f>M6952-N6952</f>
        <v/>
      </c>
    </row>
    <row r="6953">
      <c r="A6953" s="9" t="n">
        <v>45581.625</v>
      </c>
      <c r="B6953" t="n">
        <v>10</v>
      </c>
      <c r="C6953" t="n">
        <v>16</v>
      </c>
      <c r="D6953" t="n">
        <v>15</v>
      </c>
      <c r="E6953" s="10" t="n">
        <v>0.029938</v>
      </c>
      <c r="F6953" s="10" t="n">
        <v>0.2987790477069714</v>
      </c>
      <c r="G6953" s="11">
        <f>E6953*Summary!$B$6</f>
        <v/>
      </c>
      <c r="H6953" s="11">
        <f>F6953*Summary!$B$7</f>
        <v/>
      </c>
      <c r="I6953" s="11">
        <f>MAX(0,N6953-M6953)</f>
        <v/>
      </c>
      <c r="J6953" s="11">
        <f>MAX(0,M6953-N6953)</f>
        <v/>
      </c>
      <c r="K6953" s="11">
        <f>O6953</f>
        <v/>
      </c>
      <c r="L6953" s="11">
        <f>L6952+IF(K6953&gt;0,K6953*Summary!$B$9,K6953/Summary!$B$9)</f>
        <v/>
      </c>
      <c r="M6953" s="11">
        <f>G6953+H6953</f>
        <v/>
      </c>
      <c r="N6953" s="11">
        <f>Summary!$C$16*Summary!$B$8</f>
        <v/>
      </c>
      <c r="O6953" s="11">
        <f>M6953-N6953</f>
        <v/>
      </c>
    </row>
    <row r="6954">
      <c r="A6954" s="9" t="n">
        <v>45581.66666666666</v>
      </c>
      <c r="B6954" t="n">
        <v>10</v>
      </c>
      <c r="C6954" t="n">
        <v>16</v>
      </c>
      <c r="D6954" t="n">
        <v>16</v>
      </c>
      <c r="E6954" s="10" t="n">
        <v>0.013332</v>
      </c>
      <c r="F6954" s="10" t="n">
        <v>0.3115334187680205</v>
      </c>
      <c r="G6954" s="11">
        <f>E6954*Summary!$B$6</f>
        <v/>
      </c>
      <c r="H6954" s="11">
        <f>F6954*Summary!$B$7</f>
        <v/>
      </c>
      <c r="I6954" s="11">
        <f>MAX(0,N6954-M6954)</f>
        <v/>
      </c>
      <c r="J6954" s="11">
        <f>MAX(0,M6954-N6954)</f>
        <v/>
      </c>
      <c r="K6954" s="11">
        <f>O6954</f>
        <v/>
      </c>
      <c r="L6954" s="11">
        <f>L6953+IF(K6954&gt;0,K6954*Summary!$B$9,K6954/Summary!$B$9)</f>
        <v/>
      </c>
      <c r="M6954" s="11">
        <f>G6954+H6954</f>
        <v/>
      </c>
      <c r="N6954" s="11">
        <f>Summary!$C$16*Summary!$B$8</f>
        <v/>
      </c>
      <c r="O6954" s="11">
        <f>M6954-N6954</f>
        <v/>
      </c>
    </row>
    <row r="6955">
      <c r="A6955" s="9" t="n">
        <v>45581.70833333334</v>
      </c>
      <c r="B6955" t="n">
        <v>10</v>
      </c>
      <c r="C6955" t="n">
        <v>16</v>
      </c>
      <c r="D6955" t="n">
        <v>17</v>
      </c>
      <c r="E6955" s="10" t="n">
        <v>0</v>
      </c>
      <c r="F6955" s="10" t="n">
        <v>0.3395456014909443</v>
      </c>
      <c r="G6955" s="11">
        <f>E6955*Summary!$B$6</f>
        <v/>
      </c>
      <c r="H6955" s="11">
        <f>F6955*Summary!$B$7</f>
        <v/>
      </c>
      <c r="I6955" s="11">
        <f>MAX(0,N6955-M6955)</f>
        <v/>
      </c>
      <c r="J6955" s="11">
        <f>MAX(0,M6955-N6955)</f>
        <v/>
      </c>
      <c r="K6955" s="11">
        <f>O6955</f>
        <v/>
      </c>
      <c r="L6955" s="11">
        <f>L6954+IF(K6955&gt;0,K6955*Summary!$B$9,K6955/Summary!$B$9)</f>
        <v/>
      </c>
      <c r="M6955" s="11">
        <f>G6955+H6955</f>
        <v/>
      </c>
      <c r="N6955" s="11">
        <f>Summary!$C$16*Summary!$B$8</f>
        <v/>
      </c>
      <c r="O6955" s="11">
        <f>M6955-N6955</f>
        <v/>
      </c>
    </row>
    <row r="6956">
      <c r="A6956" s="9" t="n">
        <v>45581.75</v>
      </c>
      <c r="B6956" t="n">
        <v>10</v>
      </c>
      <c r="C6956" t="n">
        <v>16</v>
      </c>
      <c r="D6956" t="n">
        <v>18</v>
      </c>
      <c r="E6956" s="10" t="n">
        <v>0</v>
      </c>
      <c r="F6956" s="10" t="n">
        <v>0.3552777492666598</v>
      </c>
      <c r="G6956" s="11">
        <f>E6956*Summary!$B$6</f>
        <v/>
      </c>
      <c r="H6956" s="11">
        <f>F6956*Summary!$B$7</f>
        <v/>
      </c>
      <c r="I6956" s="11">
        <f>MAX(0,N6956-M6956)</f>
        <v/>
      </c>
      <c r="J6956" s="11">
        <f>MAX(0,M6956-N6956)</f>
        <v/>
      </c>
      <c r="K6956" s="11">
        <f>O6956</f>
        <v/>
      </c>
      <c r="L6956" s="11">
        <f>L6955+IF(K6956&gt;0,K6956*Summary!$B$9,K6956/Summary!$B$9)</f>
        <v/>
      </c>
      <c r="M6956" s="11">
        <f>G6956+H6956</f>
        <v/>
      </c>
      <c r="N6956" s="11">
        <f>Summary!$C$16*Summary!$B$8</f>
        <v/>
      </c>
      <c r="O6956" s="11">
        <f>M6956-N6956</f>
        <v/>
      </c>
    </row>
    <row r="6957">
      <c r="A6957" s="9" t="n">
        <v>45581.79166666666</v>
      </c>
      <c r="B6957" t="n">
        <v>10</v>
      </c>
      <c r="C6957" t="n">
        <v>16</v>
      </c>
      <c r="D6957" t="n">
        <v>19</v>
      </c>
      <c r="E6957" s="10" t="n">
        <v>0</v>
      </c>
      <c r="F6957" s="10" t="n">
        <v>0.3641056713853611</v>
      </c>
      <c r="G6957" s="11">
        <f>E6957*Summary!$B$6</f>
        <v/>
      </c>
      <c r="H6957" s="11">
        <f>F6957*Summary!$B$7</f>
        <v/>
      </c>
      <c r="I6957" s="11">
        <f>MAX(0,N6957-M6957)</f>
        <v/>
      </c>
      <c r="J6957" s="11">
        <f>MAX(0,M6957-N6957)</f>
        <v/>
      </c>
      <c r="K6957" s="11">
        <f>O6957</f>
        <v/>
      </c>
      <c r="L6957" s="11">
        <f>L6956+IF(K6957&gt;0,K6957*Summary!$B$9,K6957/Summary!$B$9)</f>
        <v/>
      </c>
      <c r="M6957" s="11">
        <f>G6957+H6957</f>
        <v/>
      </c>
      <c r="N6957" s="11">
        <f>Summary!$C$16*Summary!$B$8</f>
        <v/>
      </c>
      <c r="O6957" s="11">
        <f>M6957-N6957</f>
        <v/>
      </c>
    </row>
    <row r="6958">
      <c r="A6958" s="9" t="n">
        <v>45581.83333333334</v>
      </c>
      <c r="B6958" t="n">
        <v>10</v>
      </c>
      <c r="C6958" t="n">
        <v>16</v>
      </c>
      <c r="D6958" t="n">
        <v>20</v>
      </c>
      <c r="E6958" s="10" t="n">
        <v>0</v>
      </c>
      <c r="F6958" s="10" t="n">
        <v>0.3653178636762873</v>
      </c>
      <c r="G6958" s="11">
        <f>E6958*Summary!$B$6</f>
        <v/>
      </c>
      <c r="H6958" s="11">
        <f>F6958*Summary!$B$7</f>
        <v/>
      </c>
      <c r="I6958" s="11">
        <f>MAX(0,N6958-M6958)</f>
        <v/>
      </c>
      <c r="J6958" s="11">
        <f>MAX(0,M6958-N6958)</f>
        <v/>
      </c>
      <c r="K6958" s="11">
        <f>O6958</f>
        <v/>
      </c>
      <c r="L6958" s="11">
        <f>L6957+IF(K6958&gt;0,K6958*Summary!$B$9,K6958/Summary!$B$9)</f>
        <v/>
      </c>
      <c r="M6958" s="11">
        <f>G6958+H6958</f>
        <v/>
      </c>
      <c r="N6958" s="11">
        <f>Summary!$C$16*Summary!$B$8</f>
        <v/>
      </c>
      <c r="O6958" s="11">
        <f>M6958-N6958</f>
        <v/>
      </c>
    </row>
    <row r="6959">
      <c r="A6959" s="9" t="n">
        <v>45581.875</v>
      </c>
      <c r="B6959" t="n">
        <v>10</v>
      </c>
      <c r="C6959" t="n">
        <v>16</v>
      </c>
      <c r="D6959" t="n">
        <v>21</v>
      </c>
      <c r="E6959" s="10" t="n">
        <v>0</v>
      </c>
      <c r="F6959" s="10" t="n">
        <v>0.3563845335322881</v>
      </c>
      <c r="G6959" s="11">
        <f>E6959*Summary!$B$6</f>
        <v/>
      </c>
      <c r="H6959" s="11">
        <f>F6959*Summary!$B$7</f>
        <v/>
      </c>
      <c r="I6959" s="11">
        <f>MAX(0,N6959-M6959)</f>
        <v/>
      </c>
      <c r="J6959" s="11">
        <f>MAX(0,M6959-N6959)</f>
        <v/>
      </c>
      <c r="K6959" s="11">
        <f>O6959</f>
        <v/>
      </c>
      <c r="L6959" s="11">
        <f>L6958+IF(K6959&gt;0,K6959*Summary!$B$9,K6959/Summary!$B$9)</f>
        <v/>
      </c>
      <c r="M6959" s="11">
        <f>G6959+H6959</f>
        <v/>
      </c>
      <c r="N6959" s="11">
        <f>Summary!$C$16*Summary!$B$8</f>
        <v/>
      </c>
      <c r="O6959" s="11">
        <f>M6959-N6959</f>
        <v/>
      </c>
    </row>
    <row r="6960">
      <c r="A6960" s="9" t="n">
        <v>45581.91666666666</v>
      </c>
      <c r="B6960" t="n">
        <v>10</v>
      </c>
      <c r="C6960" t="n">
        <v>16</v>
      </c>
      <c r="D6960" t="n">
        <v>22</v>
      </c>
      <c r="E6960" s="10" t="n">
        <v>0</v>
      </c>
      <c r="F6960" s="10" t="n">
        <v>0.3471613313187195</v>
      </c>
      <c r="G6960" s="11">
        <f>E6960*Summary!$B$6</f>
        <v/>
      </c>
      <c r="H6960" s="11">
        <f>F6960*Summary!$B$7</f>
        <v/>
      </c>
      <c r="I6960" s="11">
        <f>MAX(0,N6960-M6960)</f>
        <v/>
      </c>
      <c r="J6960" s="11">
        <f>MAX(0,M6960-N6960)</f>
        <v/>
      </c>
      <c r="K6960" s="11">
        <f>O6960</f>
        <v/>
      </c>
      <c r="L6960" s="11">
        <f>L6959+IF(K6960&gt;0,K6960*Summary!$B$9,K6960/Summary!$B$9)</f>
        <v/>
      </c>
      <c r="M6960" s="11">
        <f>G6960+H6960</f>
        <v/>
      </c>
      <c r="N6960" s="11">
        <f>Summary!$C$16*Summary!$B$8</f>
        <v/>
      </c>
      <c r="O6960" s="11">
        <f>M6960-N6960</f>
        <v/>
      </c>
    </row>
    <row r="6961">
      <c r="A6961" s="9" t="n">
        <v>45581.95833333334</v>
      </c>
      <c r="B6961" t="n">
        <v>10</v>
      </c>
      <c r="C6961" t="n">
        <v>16</v>
      </c>
      <c r="D6961" t="n">
        <v>23</v>
      </c>
      <c r="E6961" s="10" t="n">
        <v>0</v>
      </c>
      <c r="F6961" s="10" t="n">
        <v>0.3375164970039593</v>
      </c>
      <c r="G6961" s="11">
        <f>E6961*Summary!$B$6</f>
        <v/>
      </c>
      <c r="H6961" s="11">
        <f>F6961*Summary!$B$7</f>
        <v/>
      </c>
      <c r="I6961" s="11">
        <f>MAX(0,N6961-M6961)</f>
        <v/>
      </c>
      <c r="J6961" s="11">
        <f>MAX(0,M6961-N6961)</f>
        <v/>
      </c>
      <c r="K6961" s="11">
        <f>O6961</f>
        <v/>
      </c>
      <c r="L6961" s="11">
        <f>L6960+IF(K6961&gt;0,K6961*Summary!$B$9,K6961/Summary!$B$9)</f>
        <v/>
      </c>
      <c r="M6961" s="11">
        <f>G6961+H6961</f>
        <v/>
      </c>
      <c r="N6961" s="11">
        <f>Summary!$C$16*Summary!$B$8</f>
        <v/>
      </c>
      <c r="O6961" s="11">
        <f>M6961-N6961</f>
        <v/>
      </c>
    </row>
    <row r="6962">
      <c r="A6962" s="9" t="n">
        <v>45582</v>
      </c>
      <c r="B6962" t="n">
        <v>10</v>
      </c>
      <c r="C6962" t="n">
        <v>17</v>
      </c>
      <c r="D6962" t="n">
        <v>0</v>
      </c>
      <c r="E6962" s="10" t="n">
        <v>0</v>
      </c>
      <c r="F6962" s="10" t="n">
        <v>0.3332738239857178</v>
      </c>
      <c r="G6962" s="11">
        <f>E6962*Summary!$B$6</f>
        <v/>
      </c>
      <c r="H6962" s="11">
        <f>F6962*Summary!$B$7</f>
        <v/>
      </c>
      <c r="I6962" s="11">
        <f>MAX(0,N6962-M6962)</f>
        <v/>
      </c>
      <c r="J6962" s="11">
        <f>MAX(0,M6962-N6962)</f>
        <v/>
      </c>
      <c r="K6962" s="11">
        <f>O6962</f>
        <v/>
      </c>
      <c r="L6962" s="11">
        <f>L6961+IF(K6962&gt;0,K6962*Summary!$B$9,K6962/Summary!$B$9)</f>
        <v/>
      </c>
      <c r="M6962" s="11">
        <f>G6962+H6962</f>
        <v/>
      </c>
      <c r="N6962" s="11">
        <f>Summary!$C$16*Summary!$B$8</f>
        <v/>
      </c>
      <c r="O6962" s="11">
        <f>M6962-N6962</f>
        <v/>
      </c>
    </row>
    <row r="6963">
      <c r="A6963" s="9" t="n">
        <v>45582.04166666666</v>
      </c>
      <c r="B6963" t="n">
        <v>10</v>
      </c>
      <c r="C6963" t="n">
        <v>17</v>
      </c>
      <c r="D6963" t="n">
        <v>1</v>
      </c>
      <c r="E6963" s="10" t="n">
        <v>0</v>
      </c>
      <c r="F6963" s="10" t="n">
        <v>0.3166984120076189</v>
      </c>
      <c r="G6963" s="11">
        <f>E6963*Summary!$B$6</f>
        <v/>
      </c>
      <c r="H6963" s="11">
        <f>F6963*Summary!$B$7</f>
        <v/>
      </c>
      <c r="I6963" s="11">
        <f>MAX(0,N6963-M6963)</f>
        <v/>
      </c>
      <c r="J6963" s="11">
        <f>MAX(0,M6963-N6963)</f>
        <v/>
      </c>
      <c r="K6963" s="11">
        <f>O6963</f>
        <v/>
      </c>
      <c r="L6963" s="11">
        <f>L6962+IF(K6963&gt;0,K6963*Summary!$B$9,K6963/Summary!$B$9)</f>
        <v/>
      </c>
      <c r="M6963" s="11">
        <f>G6963+H6963</f>
        <v/>
      </c>
      <c r="N6963" s="11">
        <f>Summary!$C$16*Summary!$B$8</f>
        <v/>
      </c>
      <c r="O6963" s="11">
        <f>M6963-N6963</f>
        <v/>
      </c>
    </row>
    <row r="6964">
      <c r="A6964" s="9" t="n">
        <v>45582.08333333334</v>
      </c>
      <c r="B6964" t="n">
        <v>10</v>
      </c>
      <c r="C6964" t="n">
        <v>17</v>
      </c>
      <c r="D6964" t="n">
        <v>2</v>
      </c>
      <c r="E6964" s="10" t="n">
        <v>0</v>
      </c>
      <c r="F6964" s="10" t="n">
        <v>0.3074752097940504</v>
      </c>
      <c r="G6964" s="11">
        <f>E6964*Summary!$B$6</f>
        <v/>
      </c>
      <c r="H6964" s="11">
        <f>F6964*Summary!$B$7</f>
        <v/>
      </c>
      <c r="I6964" s="11">
        <f>MAX(0,N6964-M6964)</f>
        <v/>
      </c>
      <c r="J6964" s="11">
        <f>MAX(0,M6964-N6964)</f>
        <v/>
      </c>
      <c r="K6964" s="11">
        <f>O6964</f>
        <v/>
      </c>
      <c r="L6964" s="11">
        <f>L6963+IF(K6964&gt;0,K6964*Summary!$B$9,K6964/Summary!$B$9)</f>
        <v/>
      </c>
      <c r="M6964" s="11">
        <f>G6964+H6964</f>
        <v/>
      </c>
      <c r="N6964" s="11">
        <f>Summary!$C$16*Summary!$B$8</f>
        <v/>
      </c>
      <c r="O6964" s="11">
        <f>M6964-N6964</f>
        <v/>
      </c>
    </row>
    <row r="6965">
      <c r="A6965" s="9" t="n">
        <v>45582.125</v>
      </c>
      <c r="B6965" t="n">
        <v>10</v>
      </c>
      <c r="C6965" t="n">
        <v>17</v>
      </c>
      <c r="D6965" t="n">
        <v>3</v>
      </c>
      <c r="E6965" s="10" t="n">
        <v>0</v>
      </c>
      <c r="F6965" s="10" t="n">
        <v>0.3070799296991831</v>
      </c>
      <c r="G6965" s="11">
        <f>E6965*Summary!$B$6</f>
        <v/>
      </c>
      <c r="H6965" s="11">
        <f>F6965*Summary!$B$7</f>
        <v/>
      </c>
      <c r="I6965" s="11">
        <f>MAX(0,N6965-M6965)</f>
        <v/>
      </c>
      <c r="J6965" s="11">
        <f>MAX(0,M6965-N6965)</f>
        <v/>
      </c>
      <c r="K6965" s="11">
        <f>O6965</f>
        <v/>
      </c>
      <c r="L6965" s="11">
        <f>L6964+IF(K6965&gt;0,K6965*Summary!$B$9,K6965/Summary!$B$9)</f>
        <v/>
      </c>
      <c r="M6965" s="11">
        <f>G6965+H6965</f>
        <v/>
      </c>
      <c r="N6965" s="11">
        <f>Summary!$C$16*Summary!$B$8</f>
        <v/>
      </c>
      <c r="O6965" s="11">
        <f>M6965-N6965</f>
        <v/>
      </c>
    </row>
    <row r="6966">
      <c r="A6966" s="9" t="n">
        <v>45582.16666666666</v>
      </c>
      <c r="B6966" t="n">
        <v>10</v>
      </c>
      <c r="C6966" t="n">
        <v>17</v>
      </c>
      <c r="D6966" t="n">
        <v>4</v>
      </c>
      <c r="E6966" s="10" t="n">
        <v>0</v>
      </c>
      <c r="F6966" s="10" t="n">
        <v>0.3096360743126578</v>
      </c>
      <c r="G6966" s="11">
        <f>E6966*Summary!$B$6</f>
        <v/>
      </c>
      <c r="H6966" s="11">
        <f>F6966*Summary!$B$7</f>
        <v/>
      </c>
      <c r="I6966" s="11">
        <f>MAX(0,N6966-M6966)</f>
        <v/>
      </c>
      <c r="J6966" s="11">
        <f>MAX(0,M6966-N6966)</f>
        <v/>
      </c>
      <c r="K6966" s="11">
        <f>O6966</f>
        <v/>
      </c>
      <c r="L6966" s="11">
        <f>L6965+IF(K6966&gt;0,K6966*Summary!$B$9,K6966/Summary!$B$9)</f>
        <v/>
      </c>
      <c r="M6966" s="11">
        <f>G6966+H6966</f>
        <v/>
      </c>
      <c r="N6966" s="11">
        <f>Summary!$C$16*Summary!$B$8</f>
        <v/>
      </c>
      <c r="O6966" s="11">
        <f>M6966-N6966</f>
        <v/>
      </c>
    </row>
    <row r="6967">
      <c r="A6967" s="9" t="n">
        <v>45582.20833333334</v>
      </c>
      <c r="B6967" t="n">
        <v>10</v>
      </c>
      <c r="C6967" t="n">
        <v>17</v>
      </c>
      <c r="D6967" t="n">
        <v>5</v>
      </c>
      <c r="E6967" s="10" t="n">
        <v>0</v>
      </c>
      <c r="F6967" s="10" t="n">
        <v>0.3126402030336488</v>
      </c>
      <c r="G6967" s="11">
        <f>E6967*Summary!$B$6</f>
        <v/>
      </c>
      <c r="H6967" s="11">
        <f>F6967*Summary!$B$7</f>
        <v/>
      </c>
      <c r="I6967" s="11">
        <f>MAX(0,N6967-M6967)</f>
        <v/>
      </c>
      <c r="J6967" s="11">
        <f>MAX(0,M6967-N6967)</f>
        <v/>
      </c>
      <c r="K6967" s="11">
        <f>O6967</f>
        <v/>
      </c>
      <c r="L6967" s="11">
        <f>L6966+IF(K6967&gt;0,K6967*Summary!$B$9,K6967/Summary!$B$9)</f>
        <v/>
      </c>
      <c r="M6967" s="11">
        <f>G6967+H6967</f>
        <v/>
      </c>
      <c r="N6967" s="11">
        <f>Summary!$C$16*Summary!$B$8</f>
        <v/>
      </c>
      <c r="O6967" s="11">
        <f>M6967-N6967</f>
        <v/>
      </c>
    </row>
    <row r="6968">
      <c r="A6968" s="9" t="n">
        <v>45582.25</v>
      </c>
      <c r="B6968" t="n">
        <v>10</v>
      </c>
      <c r="C6968" t="n">
        <v>17</v>
      </c>
      <c r="D6968" t="n">
        <v>6</v>
      </c>
      <c r="E6968" s="10" t="n">
        <v>0</v>
      </c>
      <c r="F6968" s="10" t="n">
        <v>0.3120868109008346</v>
      </c>
      <c r="G6968" s="11">
        <f>E6968*Summary!$B$6</f>
        <v/>
      </c>
      <c r="H6968" s="11">
        <f>F6968*Summary!$B$7</f>
        <v/>
      </c>
      <c r="I6968" s="11">
        <f>MAX(0,N6968-M6968)</f>
        <v/>
      </c>
      <c r="J6968" s="11">
        <f>MAX(0,M6968-N6968)</f>
        <v/>
      </c>
      <c r="K6968" s="11">
        <f>O6968</f>
        <v/>
      </c>
      <c r="L6968" s="11">
        <f>L6967+IF(K6968&gt;0,K6968*Summary!$B$9,K6968/Summary!$B$9)</f>
        <v/>
      </c>
      <c r="M6968" s="11">
        <f>G6968+H6968</f>
        <v/>
      </c>
      <c r="N6968" s="11">
        <f>Summary!$C$16*Summary!$B$8</f>
        <v/>
      </c>
      <c r="O6968" s="11">
        <f>M6968-N6968</f>
        <v/>
      </c>
    </row>
    <row r="6969">
      <c r="A6969" s="9" t="n">
        <v>45582.29166666666</v>
      </c>
      <c r="B6969" t="n">
        <v>10</v>
      </c>
      <c r="C6969" t="n">
        <v>17</v>
      </c>
      <c r="D6969" t="n">
        <v>7</v>
      </c>
      <c r="E6969" s="10" t="n">
        <v>0.02172</v>
      </c>
      <c r="F6969" s="10" t="n">
        <v>0.3058413854019325</v>
      </c>
      <c r="G6969" s="11">
        <f>E6969*Summary!$B$6</f>
        <v/>
      </c>
      <c r="H6969" s="11">
        <f>F6969*Summary!$B$7</f>
        <v/>
      </c>
      <c r="I6969" s="11">
        <f>MAX(0,N6969-M6969)</f>
        <v/>
      </c>
      <c r="J6969" s="11">
        <f>MAX(0,M6969-N6969)</f>
        <v/>
      </c>
      <c r="K6969" s="11">
        <f>O6969</f>
        <v/>
      </c>
      <c r="L6969" s="11">
        <f>L6968+IF(K6969&gt;0,K6969*Summary!$B$9,K6969/Summary!$B$9)</f>
        <v/>
      </c>
      <c r="M6969" s="11">
        <f>G6969+H6969</f>
        <v/>
      </c>
      <c r="N6969" s="11">
        <f>Summary!$C$16*Summary!$B$8</f>
        <v/>
      </c>
      <c r="O6969" s="11">
        <f>M6969-N6969</f>
        <v/>
      </c>
    </row>
    <row r="6970">
      <c r="A6970" s="9" t="n">
        <v>45582.33333333334</v>
      </c>
      <c r="B6970" t="n">
        <v>10</v>
      </c>
      <c r="C6970" t="n">
        <v>17</v>
      </c>
      <c r="D6970" t="n">
        <v>8</v>
      </c>
      <c r="E6970" s="10" t="n">
        <v>0.071113</v>
      </c>
      <c r="F6970" s="10" t="n">
        <v>0.2915585979740635</v>
      </c>
      <c r="G6970" s="11">
        <f>E6970*Summary!$B$6</f>
        <v/>
      </c>
      <c r="H6970" s="11">
        <f>F6970*Summary!$B$7</f>
        <v/>
      </c>
      <c r="I6970" s="11">
        <f>MAX(0,N6970-M6970)</f>
        <v/>
      </c>
      <c r="J6970" s="11">
        <f>MAX(0,M6970-N6970)</f>
        <v/>
      </c>
      <c r="K6970" s="11">
        <f>O6970</f>
        <v/>
      </c>
      <c r="L6970" s="11">
        <f>L6969+IF(K6970&gt;0,K6970*Summary!$B$9,K6970/Summary!$B$9)</f>
        <v/>
      </c>
      <c r="M6970" s="11">
        <f>G6970+H6970</f>
        <v/>
      </c>
      <c r="N6970" s="11">
        <f>Summary!$C$16*Summary!$B$8</f>
        <v/>
      </c>
      <c r="O6970" s="11">
        <f>M6970-N6970</f>
        <v/>
      </c>
    </row>
    <row r="6971">
      <c r="A6971" s="9" t="n">
        <v>45582.375</v>
      </c>
      <c r="B6971" t="n">
        <v>10</v>
      </c>
      <c r="C6971" t="n">
        <v>17</v>
      </c>
      <c r="D6971" t="n">
        <v>9</v>
      </c>
      <c r="E6971" s="10" t="n">
        <v>0.107244</v>
      </c>
      <c r="F6971" s="10" t="n">
        <v>0.2703188808765314</v>
      </c>
      <c r="G6971" s="11">
        <f>E6971*Summary!$B$6</f>
        <v/>
      </c>
      <c r="H6971" s="11">
        <f>F6971*Summary!$B$7</f>
        <v/>
      </c>
      <c r="I6971" s="11">
        <f>MAX(0,N6971-M6971)</f>
        <v/>
      </c>
      <c r="J6971" s="11">
        <f>MAX(0,M6971-N6971)</f>
        <v/>
      </c>
      <c r="K6971" s="11">
        <f>O6971</f>
        <v/>
      </c>
      <c r="L6971" s="11">
        <f>L6970+IF(K6971&gt;0,K6971*Summary!$B$9,K6971/Summary!$B$9)</f>
        <v/>
      </c>
      <c r="M6971" s="11">
        <f>G6971+H6971</f>
        <v/>
      </c>
      <c r="N6971" s="11">
        <f>Summary!$C$16*Summary!$B$8</f>
        <v/>
      </c>
      <c r="O6971" s="11">
        <f>M6971-N6971</f>
        <v/>
      </c>
    </row>
    <row r="6972">
      <c r="A6972" s="9" t="n">
        <v>45582.41666666666</v>
      </c>
      <c r="B6972" t="n">
        <v>10</v>
      </c>
      <c r="C6972" t="n">
        <v>17</v>
      </c>
      <c r="D6972" t="n">
        <v>10</v>
      </c>
      <c r="E6972" s="10" t="n">
        <v>0.083999</v>
      </c>
      <c r="F6972" s="10" t="n">
        <v>0.2640734553776293</v>
      </c>
      <c r="G6972" s="11">
        <f>E6972*Summary!$B$6</f>
        <v/>
      </c>
      <c r="H6972" s="11">
        <f>F6972*Summary!$B$7</f>
        <v/>
      </c>
      <c r="I6972" s="11">
        <f>MAX(0,N6972-M6972)</f>
        <v/>
      </c>
      <c r="J6972" s="11">
        <f>MAX(0,M6972-N6972)</f>
        <v/>
      </c>
      <c r="K6972" s="11">
        <f>O6972</f>
        <v/>
      </c>
      <c r="L6972" s="11">
        <f>L6971+IF(K6972&gt;0,K6972*Summary!$B$9,K6972/Summary!$B$9)</f>
        <v/>
      </c>
      <c r="M6972" s="11">
        <f>G6972+H6972</f>
        <v/>
      </c>
      <c r="N6972" s="11">
        <f>Summary!$C$16*Summary!$B$8</f>
        <v/>
      </c>
      <c r="O6972" s="11">
        <f>M6972-N6972</f>
        <v/>
      </c>
    </row>
    <row r="6973">
      <c r="A6973" s="9" t="n">
        <v>45582.45833333334</v>
      </c>
      <c r="B6973" t="n">
        <v>10</v>
      </c>
      <c r="C6973" t="n">
        <v>17</v>
      </c>
      <c r="D6973" t="n">
        <v>11</v>
      </c>
      <c r="E6973" s="10" t="n">
        <v>0.077365</v>
      </c>
      <c r="F6973" s="10" t="n">
        <v>0.2647059035294169</v>
      </c>
      <c r="G6973" s="11">
        <f>E6973*Summary!$B$6</f>
        <v/>
      </c>
      <c r="H6973" s="11">
        <f>F6973*Summary!$B$7</f>
        <v/>
      </c>
      <c r="I6973" s="11">
        <f>MAX(0,N6973-M6973)</f>
        <v/>
      </c>
      <c r="J6973" s="11">
        <f>MAX(0,M6973-N6973)</f>
        <v/>
      </c>
      <c r="K6973" s="11">
        <f>O6973</f>
        <v/>
      </c>
      <c r="L6973" s="11">
        <f>L6972+IF(K6973&gt;0,K6973*Summary!$B$9,K6973/Summary!$B$9)</f>
        <v/>
      </c>
      <c r="M6973" s="11">
        <f>G6973+H6973</f>
        <v/>
      </c>
      <c r="N6973" s="11">
        <f>Summary!$C$16*Summary!$B$8</f>
        <v/>
      </c>
      <c r="O6973" s="11">
        <f>M6973-N6973</f>
        <v/>
      </c>
    </row>
    <row r="6974">
      <c r="A6974" s="9" t="n">
        <v>45582.5</v>
      </c>
      <c r="B6974" t="n">
        <v>10</v>
      </c>
      <c r="C6974" t="n">
        <v>17</v>
      </c>
      <c r="D6974" t="n">
        <v>12</v>
      </c>
      <c r="E6974" s="10" t="n">
        <v>0.049882</v>
      </c>
      <c r="F6974" s="10" t="n">
        <v>0.268764112503387</v>
      </c>
      <c r="G6974" s="11">
        <f>E6974*Summary!$B$6</f>
        <v/>
      </c>
      <c r="H6974" s="11">
        <f>F6974*Summary!$B$7</f>
        <v/>
      </c>
      <c r="I6974" s="11">
        <f>MAX(0,N6974-M6974)</f>
        <v/>
      </c>
      <c r="J6974" s="11">
        <f>MAX(0,M6974-N6974)</f>
        <v/>
      </c>
      <c r="K6974" s="11">
        <f>O6974</f>
        <v/>
      </c>
      <c r="L6974" s="11">
        <f>L6973+IF(K6974&gt;0,K6974*Summary!$B$9,K6974/Summary!$B$9)</f>
        <v/>
      </c>
      <c r="M6974" s="11">
        <f>G6974+H6974</f>
        <v/>
      </c>
      <c r="N6974" s="11">
        <f>Summary!$C$16*Summary!$B$8</f>
        <v/>
      </c>
      <c r="O6974" s="11">
        <f>M6974-N6974</f>
        <v/>
      </c>
    </row>
    <row r="6975">
      <c r="A6975" s="9" t="n">
        <v>45582.54166666666</v>
      </c>
      <c r="B6975" t="n">
        <v>10</v>
      </c>
      <c r="C6975" t="n">
        <v>17</v>
      </c>
      <c r="D6975" t="n">
        <v>13</v>
      </c>
      <c r="E6975" s="10" t="n">
        <v>0.037362</v>
      </c>
      <c r="F6975" s="10" t="n">
        <v>0.2702134728512335</v>
      </c>
      <c r="G6975" s="11">
        <f>E6975*Summary!$B$6</f>
        <v/>
      </c>
      <c r="H6975" s="11">
        <f>F6975*Summary!$B$7</f>
        <v/>
      </c>
      <c r="I6975" s="11">
        <f>MAX(0,N6975-M6975)</f>
        <v/>
      </c>
      <c r="J6975" s="11">
        <f>MAX(0,M6975-N6975)</f>
        <v/>
      </c>
      <c r="K6975" s="11">
        <f>O6975</f>
        <v/>
      </c>
      <c r="L6975" s="11">
        <f>L6974+IF(K6975&gt;0,K6975*Summary!$B$9,K6975/Summary!$B$9)</f>
        <v/>
      </c>
      <c r="M6975" s="11">
        <f>G6975+H6975</f>
        <v/>
      </c>
      <c r="N6975" s="11">
        <f>Summary!$C$16*Summary!$B$8</f>
        <v/>
      </c>
      <c r="O6975" s="11">
        <f>M6975-N6975</f>
        <v/>
      </c>
    </row>
    <row r="6976">
      <c r="A6976" s="9" t="n">
        <v>45582.58333333334</v>
      </c>
      <c r="B6976" t="n">
        <v>10</v>
      </c>
      <c r="C6976" t="n">
        <v>17</v>
      </c>
      <c r="D6976" t="n">
        <v>14</v>
      </c>
      <c r="E6976" s="10" t="n">
        <v>0.030042</v>
      </c>
      <c r="F6976" s="10" t="n">
        <v>0.2758264501983481</v>
      </c>
      <c r="G6976" s="11">
        <f>E6976*Summary!$B$6</f>
        <v/>
      </c>
      <c r="H6976" s="11">
        <f>F6976*Summary!$B$7</f>
        <v/>
      </c>
      <c r="I6976" s="11">
        <f>MAX(0,N6976-M6976)</f>
        <v/>
      </c>
      <c r="J6976" s="11">
        <f>MAX(0,M6976-N6976)</f>
        <v/>
      </c>
      <c r="K6976" s="11">
        <f>O6976</f>
        <v/>
      </c>
      <c r="L6976" s="11">
        <f>L6975+IF(K6976&gt;0,K6976*Summary!$B$9,K6976/Summary!$B$9)</f>
        <v/>
      </c>
      <c r="M6976" s="11">
        <f>G6976+H6976</f>
        <v/>
      </c>
      <c r="N6976" s="11">
        <f>Summary!$C$16*Summary!$B$8</f>
        <v/>
      </c>
      <c r="O6976" s="11">
        <f>M6976-N6976</f>
        <v/>
      </c>
    </row>
    <row r="6977">
      <c r="A6977" s="9" t="n">
        <v>45582.625</v>
      </c>
      <c r="B6977" t="n">
        <v>10</v>
      </c>
      <c r="C6977" t="n">
        <v>17</v>
      </c>
      <c r="D6977" t="n">
        <v>15</v>
      </c>
      <c r="E6977" s="10" t="n">
        <v>0.017407</v>
      </c>
      <c r="F6977" s="10" t="n">
        <v>0.2866834768040344</v>
      </c>
      <c r="G6977" s="11">
        <f>E6977*Summary!$B$6</f>
        <v/>
      </c>
      <c r="H6977" s="11">
        <f>F6977*Summary!$B$7</f>
        <v/>
      </c>
      <c r="I6977" s="11">
        <f>MAX(0,N6977-M6977)</f>
        <v/>
      </c>
      <c r="J6977" s="11">
        <f>MAX(0,M6977-N6977)</f>
        <v/>
      </c>
      <c r="K6977" s="11">
        <f>O6977</f>
        <v/>
      </c>
      <c r="L6977" s="11">
        <f>L6976+IF(K6977&gt;0,K6977*Summary!$B$9,K6977/Summary!$B$9)</f>
        <v/>
      </c>
      <c r="M6977" s="11">
        <f>G6977+H6977</f>
        <v/>
      </c>
      <c r="N6977" s="11">
        <f>Summary!$C$16*Summary!$B$8</f>
        <v/>
      </c>
      <c r="O6977" s="11">
        <f>M6977-N6977</f>
        <v/>
      </c>
    </row>
    <row r="6978">
      <c r="A6978" s="9" t="n">
        <v>45582.66666666666</v>
      </c>
      <c r="B6978" t="n">
        <v>10</v>
      </c>
      <c r="C6978" t="n">
        <v>17</v>
      </c>
      <c r="D6978" t="n">
        <v>16</v>
      </c>
      <c r="E6978" s="10" t="n">
        <v>0.008539</v>
      </c>
      <c r="F6978" s="10" t="n">
        <v>0.3053670492880918</v>
      </c>
      <c r="G6978" s="11">
        <f>E6978*Summary!$B$6</f>
        <v/>
      </c>
      <c r="H6978" s="11">
        <f>F6978*Summary!$B$7</f>
        <v/>
      </c>
      <c r="I6978" s="11">
        <f>MAX(0,N6978-M6978)</f>
        <v/>
      </c>
      <c r="J6978" s="11">
        <f>MAX(0,M6978-N6978)</f>
        <v/>
      </c>
      <c r="K6978" s="11">
        <f>O6978</f>
        <v/>
      </c>
      <c r="L6978" s="11">
        <f>L6977+IF(K6978&gt;0,K6978*Summary!$B$9,K6978/Summary!$B$9)</f>
        <v/>
      </c>
      <c r="M6978" s="11">
        <f>G6978+H6978</f>
        <v/>
      </c>
      <c r="N6978" s="11">
        <f>Summary!$C$16*Summary!$B$8</f>
        <v/>
      </c>
      <c r="O6978" s="11">
        <f>M6978-N6978</f>
        <v/>
      </c>
    </row>
    <row r="6979">
      <c r="A6979" s="9" t="n">
        <v>45582.70833333334</v>
      </c>
      <c r="B6979" t="n">
        <v>10</v>
      </c>
      <c r="C6979" t="n">
        <v>17</v>
      </c>
      <c r="D6979" t="n">
        <v>17</v>
      </c>
      <c r="E6979" s="10" t="n">
        <v>0</v>
      </c>
      <c r="F6979" s="10" t="n">
        <v>0.3275290866069808</v>
      </c>
      <c r="G6979" s="11">
        <f>E6979*Summary!$B$6</f>
        <v/>
      </c>
      <c r="H6979" s="11">
        <f>F6979*Summary!$B$7</f>
        <v/>
      </c>
      <c r="I6979" s="11">
        <f>MAX(0,N6979-M6979)</f>
        <v/>
      </c>
      <c r="J6979" s="11">
        <f>MAX(0,M6979-N6979)</f>
        <v/>
      </c>
      <c r="K6979" s="11">
        <f>O6979</f>
        <v/>
      </c>
      <c r="L6979" s="11">
        <f>L6978+IF(K6979&gt;0,K6979*Summary!$B$9,K6979/Summary!$B$9)</f>
        <v/>
      </c>
      <c r="M6979" s="11">
        <f>G6979+H6979</f>
        <v/>
      </c>
      <c r="N6979" s="11">
        <f>Summary!$C$16*Summary!$B$8</f>
        <v/>
      </c>
      <c r="O6979" s="11">
        <f>M6979-N6979</f>
        <v/>
      </c>
    </row>
    <row r="6980">
      <c r="A6980" s="9" t="n">
        <v>45582.75</v>
      </c>
      <c r="B6980" t="n">
        <v>10</v>
      </c>
      <c r="C6980" t="n">
        <v>17</v>
      </c>
      <c r="D6980" t="n">
        <v>18</v>
      </c>
      <c r="E6980" s="10" t="n">
        <v>0</v>
      </c>
      <c r="F6980" s="10" t="n">
        <v>0.346423475141634</v>
      </c>
      <c r="G6980" s="11">
        <f>E6980*Summary!$B$6</f>
        <v/>
      </c>
      <c r="H6980" s="11">
        <f>F6980*Summary!$B$7</f>
        <v/>
      </c>
      <c r="I6980" s="11">
        <f>MAX(0,N6980-M6980)</f>
        <v/>
      </c>
      <c r="J6980" s="11">
        <f>MAX(0,M6980-N6980)</f>
        <v/>
      </c>
      <c r="K6980" s="11">
        <f>O6980</f>
        <v/>
      </c>
      <c r="L6980" s="11">
        <f>L6979+IF(K6980&gt;0,K6980*Summary!$B$9,K6980/Summary!$B$9)</f>
        <v/>
      </c>
      <c r="M6980" s="11">
        <f>G6980+H6980</f>
        <v/>
      </c>
      <c r="N6980" s="11">
        <f>Summary!$C$16*Summary!$B$8</f>
        <v/>
      </c>
      <c r="O6980" s="11">
        <f>M6980-N6980</f>
        <v/>
      </c>
    </row>
    <row r="6981">
      <c r="A6981" s="9" t="n">
        <v>45582.79166666666</v>
      </c>
      <c r="B6981" t="n">
        <v>10</v>
      </c>
      <c r="C6981" t="n">
        <v>17</v>
      </c>
      <c r="D6981" t="n">
        <v>19</v>
      </c>
      <c r="E6981" s="10" t="n">
        <v>0</v>
      </c>
      <c r="F6981" s="10" t="n">
        <v>0.3604163904999337</v>
      </c>
      <c r="G6981" s="11">
        <f>E6981*Summary!$B$6</f>
        <v/>
      </c>
      <c r="H6981" s="11">
        <f>F6981*Summary!$B$7</f>
        <v/>
      </c>
      <c r="I6981" s="11">
        <f>MAX(0,N6981-M6981)</f>
        <v/>
      </c>
      <c r="J6981" s="11">
        <f>MAX(0,M6981-N6981)</f>
        <v/>
      </c>
      <c r="K6981" s="11">
        <f>O6981</f>
        <v/>
      </c>
      <c r="L6981" s="11">
        <f>L6980+IF(K6981&gt;0,K6981*Summary!$B$9,K6981/Summary!$B$9)</f>
        <v/>
      </c>
      <c r="M6981" s="11">
        <f>G6981+H6981</f>
        <v/>
      </c>
      <c r="N6981" s="11">
        <f>Summary!$C$16*Summary!$B$8</f>
        <v/>
      </c>
      <c r="O6981" s="11">
        <f>M6981-N6981</f>
        <v/>
      </c>
    </row>
    <row r="6982">
      <c r="A6982" s="9" t="n">
        <v>45582.83333333334</v>
      </c>
      <c r="B6982" t="n">
        <v>10</v>
      </c>
      <c r="C6982" t="n">
        <v>17</v>
      </c>
      <c r="D6982" t="n">
        <v>20</v>
      </c>
      <c r="E6982" s="10" t="n">
        <v>0</v>
      </c>
      <c r="F6982" s="10" t="n">
        <v>0.3565953495828839</v>
      </c>
      <c r="G6982" s="11">
        <f>E6982*Summary!$B$6</f>
        <v/>
      </c>
      <c r="H6982" s="11">
        <f>F6982*Summary!$B$7</f>
        <v/>
      </c>
      <c r="I6982" s="11">
        <f>MAX(0,N6982-M6982)</f>
        <v/>
      </c>
      <c r="J6982" s="11">
        <f>MAX(0,M6982-N6982)</f>
        <v/>
      </c>
      <c r="K6982" s="11">
        <f>O6982</f>
        <v/>
      </c>
      <c r="L6982" s="11">
        <f>L6981+IF(K6982&gt;0,K6982*Summary!$B$9,K6982/Summary!$B$9)</f>
        <v/>
      </c>
      <c r="M6982" s="11">
        <f>G6982+H6982</f>
        <v/>
      </c>
      <c r="N6982" s="11">
        <f>Summary!$C$16*Summary!$B$8</f>
        <v/>
      </c>
      <c r="O6982" s="11">
        <f>M6982-N6982</f>
        <v/>
      </c>
    </row>
    <row r="6983">
      <c r="A6983" s="9" t="n">
        <v>45582.875</v>
      </c>
      <c r="B6983" t="n">
        <v>10</v>
      </c>
      <c r="C6983" t="n">
        <v>17</v>
      </c>
      <c r="D6983" t="n">
        <v>21</v>
      </c>
      <c r="E6983" s="10" t="n">
        <v>0</v>
      </c>
      <c r="F6983" s="10" t="n">
        <v>0.3345123682829684</v>
      </c>
      <c r="G6983" s="11">
        <f>E6983*Summary!$B$6</f>
        <v/>
      </c>
      <c r="H6983" s="11">
        <f>F6983*Summary!$B$7</f>
        <v/>
      </c>
      <c r="I6983" s="11">
        <f>MAX(0,N6983-M6983)</f>
        <v/>
      </c>
      <c r="J6983" s="11">
        <f>MAX(0,M6983-N6983)</f>
        <v/>
      </c>
      <c r="K6983" s="11">
        <f>O6983</f>
        <v/>
      </c>
      <c r="L6983" s="11">
        <f>L6982+IF(K6983&gt;0,K6983*Summary!$B$9,K6983/Summary!$B$9)</f>
        <v/>
      </c>
      <c r="M6983" s="11">
        <f>G6983+H6983</f>
        <v/>
      </c>
      <c r="N6983" s="11">
        <f>Summary!$C$16*Summary!$B$8</f>
        <v/>
      </c>
      <c r="O6983" s="11">
        <f>M6983-N6983</f>
        <v/>
      </c>
    </row>
    <row r="6984">
      <c r="A6984" s="9" t="n">
        <v>45582.91666666666</v>
      </c>
      <c r="B6984" t="n">
        <v>10</v>
      </c>
      <c r="C6984" t="n">
        <v>17</v>
      </c>
      <c r="D6984" t="n">
        <v>22</v>
      </c>
      <c r="E6984" s="10" t="n">
        <v>0</v>
      </c>
      <c r="F6984" s="10" t="n">
        <v>0.3464498271479585</v>
      </c>
      <c r="G6984" s="11">
        <f>E6984*Summary!$B$6</f>
        <v/>
      </c>
      <c r="H6984" s="11">
        <f>F6984*Summary!$B$7</f>
        <v/>
      </c>
      <c r="I6984" s="11">
        <f>MAX(0,N6984-M6984)</f>
        <v/>
      </c>
      <c r="J6984" s="11">
        <f>MAX(0,M6984-N6984)</f>
        <v/>
      </c>
      <c r="K6984" s="11">
        <f>O6984</f>
        <v/>
      </c>
      <c r="L6984" s="11">
        <f>L6983+IF(K6984&gt;0,K6984*Summary!$B$9,K6984/Summary!$B$9)</f>
        <v/>
      </c>
      <c r="M6984" s="11">
        <f>G6984+H6984</f>
        <v/>
      </c>
      <c r="N6984" s="11">
        <f>Summary!$C$16*Summary!$B$8</f>
        <v/>
      </c>
      <c r="O6984" s="11">
        <f>M6984-N6984</f>
        <v/>
      </c>
    </row>
    <row r="6985">
      <c r="A6985" s="9" t="n">
        <v>45582.95833333334</v>
      </c>
      <c r="B6985" t="n">
        <v>10</v>
      </c>
      <c r="C6985" t="n">
        <v>17</v>
      </c>
      <c r="D6985" t="n">
        <v>23</v>
      </c>
      <c r="E6985" s="10" t="n">
        <v>0</v>
      </c>
      <c r="F6985" s="10" t="n">
        <v>0.3409422578261419</v>
      </c>
      <c r="G6985" s="11">
        <f>E6985*Summary!$B$6</f>
        <v/>
      </c>
      <c r="H6985" s="11">
        <f>F6985*Summary!$B$7</f>
        <v/>
      </c>
      <c r="I6985" s="11">
        <f>MAX(0,N6985-M6985)</f>
        <v/>
      </c>
      <c r="J6985" s="11">
        <f>MAX(0,M6985-N6985)</f>
        <v/>
      </c>
      <c r="K6985" s="11">
        <f>O6985</f>
        <v/>
      </c>
      <c r="L6985" s="11">
        <f>L6984+IF(K6985&gt;0,K6985*Summary!$B$9,K6985/Summary!$B$9)</f>
        <v/>
      </c>
      <c r="M6985" s="11">
        <f>G6985+H6985</f>
        <v/>
      </c>
      <c r="N6985" s="11">
        <f>Summary!$C$16*Summary!$B$8</f>
        <v/>
      </c>
      <c r="O6985" s="11">
        <f>M6985-N6985</f>
        <v/>
      </c>
    </row>
    <row r="6986">
      <c r="A6986" s="9" t="n">
        <v>45583</v>
      </c>
      <c r="B6986" t="n">
        <v>10</v>
      </c>
      <c r="C6986" t="n">
        <v>18</v>
      </c>
      <c r="D6986" t="n">
        <v>0</v>
      </c>
      <c r="E6986" s="10" t="n">
        <v>0</v>
      </c>
      <c r="F6986" s="10" t="n">
        <v>0.2684742404338177</v>
      </c>
      <c r="G6986" s="11">
        <f>E6986*Summary!$B$6</f>
        <v/>
      </c>
      <c r="H6986" s="11">
        <f>F6986*Summary!$B$7</f>
        <v/>
      </c>
      <c r="I6986" s="11">
        <f>MAX(0,N6986-M6986)</f>
        <v/>
      </c>
      <c r="J6986" s="11">
        <f>MAX(0,M6986-N6986)</f>
        <v/>
      </c>
      <c r="K6986" s="11">
        <f>O6986</f>
        <v/>
      </c>
      <c r="L6986" s="11">
        <f>L6985+IF(K6986&gt;0,K6986*Summary!$B$9,K6986/Summary!$B$9)</f>
        <v/>
      </c>
      <c r="M6986" s="11">
        <f>G6986+H6986</f>
        <v/>
      </c>
      <c r="N6986" s="11">
        <f>Summary!$C$16*Summary!$B$8</f>
        <v/>
      </c>
      <c r="O6986" s="11">
        <f>M6986-N6986</f>
        <v/>
      </c>
    </row>
    <row r="6987">
      <c r="A6987" s="9" t="n">
        <v>45583.04166666666</v>
      </c>
      <c r="B6987" t="n">
        <v>10</v>
      </c>
      <c r="C6987" t="n">
        <v>18</v>
      </c>
      <c r="D6987" t="n">
        <v>1</v>
      </c>
      <c r="E6987" s="10" t="n">
        <v>0</v>
      </c>
      <c r="F6987" s="10" t="n">
        <v>0.3261324302717832</v>
      </c>
      <c r="G6987" s="11">
        <f>E6987*Summary!$B$6</f>
        <v/>
      </c>
      <c r="H6987" s="11">
        <f>F6987*Summary!$B$7</f>
        <v/>
      </c>
      <c r="I6987" s="11">
        <f>MAX(0,N6987-M6987)</f>
        <v/>
      </c>
      <c r="J6987" s="11">
        <f>MAX(0,M6987-N6987)</f>
        <v/>
      </c>
      <c r="K6987" s="11">
        <f>O6987</f>
        <v/>
      </c>
      <c r="L6987" s="11">
        <f>L6986+IF(K6987&gt;0,K6987*Summary!$B$9,K6987/Summary!$B$9)</f>
        <v/>
      </c>
      <c r="M6987" s="11">
        <f>G6987+H6987</f>
        <v/>
      </c>
      <c r="N6987" s="11">
        <f>Summary!$C$16*Summary!$B$8</f>
        <v/>
      </c>
      <c r="O6987" s="11">
        <f>M6987-N6987</f>
        <v/>
      </c>
    </row>
    <row r="6988">
      <c r="A6988" s="9" t="n">
        <v>45583.08333333334</v>
      </c>
      <c r="B6988" t="n">
        <v>10</v>
      </c>
      <c r="C6988" t="n">
        <v>18</v>
      </c>
      <c r="D6988" t="n">
        <v>2</v>
      </c>
      <c r="E6988" s="10" t="n">
        <v>0</v>
      </c>
      <c r="F6988" s="10" t="n">
        <v>0.315011883602852</v>
      </c>
      <c r="G6988" s="11">
        <f>E6988*Summary!$B$6</f>
        <v/>
      </c>
      <c r="H6988" s="11">
        <f>F6988*Summary!$B$7</f>
        <v/>
      </c>
      <c r="I6988" s="11">
        <f>MAX(0,N6988-M6988)</f>
        <v/>
      </c>
      <c r="J6988" s="11">
        <f>MAX(0,M6988-N6988)</f>
        <v/>
      </c>
      <c r="K6988" s="11">
        <f>O6988</f>
        <v/>
      </c>
      <c r="L6988" s="11">
        <f>L6987+IF(K6988&gt;0,K6988*Summary!$B$9,K6988/Summary!$B$9)</f>
        <v/>
      </c>
      <c r="M6988" s="11">
        <f>G6988+H6988</f>
        <v/>
      </c>
      <c r="N6988" s="11">
        <f>Summary!$C$16*Summary!$B$8</f>
        <v/>
      </c>
      <c r="O6988" s="11">
        <f>M6988-N6988</f>
        <v/>
      </c>
    </row>
    <row r="6989">
      <c r="A6989" s="9" t="n">
        <v>45583.125</v>
      </c>
      <c r="B6989" t="n">
        <v>10</v>
      </c>
      <c r="C6989" t="n">
        <v>18</v>
      </c>
      <c r="D6989" t="n">
        <v>3</v>
      </c>
      <c r="E6989" s="10" t="n">
        <v>0</v>
      </c>
      <c r="F6989" s="10" t="n">
        <v>0.3052089372501449</v>
      </c>
      <c r="G6989" s="11">
        <f>E6989*Summary!$B$6</f>
        <v/>
      </c>
      <c r="H6989" s="11">
        <f>F6989*Summary!$B$7</f>
        <v/>
      </c>
      <c r="I6989" s="11">
        <f>MAX(0,N6989-M6989)</f>
        <v/>
      </c>
      <c r="J6989" s="11">
        <f>MAX(0,M6989-N6989)</f>
        <v/>
      </c>
      <c r="K6989" s="11">
        <f>O6989</f>
        <v/>
      </c>
      <c r="L6989" s="11">
        <f>L6988+IF(K6989&gt;0,K6989*Summary!$B$9,K6989/Summary!$B$9)</f>
        <v/>
      </c>
      <c r="M6989" s="11">
        <f>G6989+H6989</f>
        <v/>
      </c>
      <c r="N6989" s="11">
        <f>Summary!$C$16*Summary!$B$8</f>
        <v/>
      </c>
      <c r="O6989" s="11">
        <f>M6989-N6989</f>
        <v/>
      </c>
    </row>
    <row r="6990">
      <c r="A6990" s="9" t="n">
        <v>45583.16666666666</v>
      </c>
      <c r="B6990" t="n">
        <v>10</v>
      </c>
      <c r="C6990" t="n">
        <v>18</v>
      </c>
      <c r="D6990" t="n">
        <v>4</v>
      </c>
      <c r="E6990" s="10" t="n">
        <v>0</v>
      </c>
      <c r="F6990" s="10" t="n">
        <v>0.2946681347203523</v>
      </c>
      <c r="G6990" s="11">
        <f>E6990*Summary!$B$6</f>
        <v/>
      </c>
      <c r="H6990" s="11">
        <f>F6990*Summary!$B$7</f>
        <v/>
      </c>
      <c r="I6990" s="11">
        <f>MAX(0,N6990-M6990)</f>
        <v/>
      </c>
      <c r="J6990" s="11">
        <f>MAX(0,M6990-N6990)</f>
        <v/>
      </c>
      <c r="K6990" s="11">
        <f>O6990</f>
        <v/>
      </c>
      <c r="L6990" s="11">
        <f>L6989+IF(K6990&gt;0,K6990*Summary!$B$9,K6990/Summary!$B$9)</f>
        <v/>
      </c>
      <c r="M6990" s="11">
        <f>G6990+H6990</f>
        <v/>
      </c>
      <c r="N6990" s="11">
        <f>Summary!$C$16*Summary!$B$8</f>
        <v/>
      </c>
      <c r="O6990" s="11">
        <f>M6990-N6990</f>
        <v/>
      </c>
    </row>
    <row r="6991">
      <c r="A6991" s="9" t="n">
        <v>45583.20833333334</v>
      </c>
      <c r="B6991" t="n">
        <v>10</v>
      </c>
      <c r="C6991" t="n">
        <v>18</v>
      </c>
      <c r="D6991" t="n">
        <v>5</v>
      </c>
      <c r="E6991" s="10" t="n">
        <v>0</v>
      </c>
      <c r="F6991" s="10" t="n">
        <v>0.2871051089052262</v>
      </c>
      <c r="G6991" s="11">
        <f>E6991*Summary!$B$6</f>
        <v/>
      </c>
      <c r="H6991" s="11">
        <f>F6991*Summary!$B$7</f>
        <v/>
      </c>
      <c r="I6991" s="11">
        <f>MAX(0,N6991-M6991)</f>
        <v/>
      </c>
      <c r="J6991" s="11">
        <f>MAX(0,M6991-N6991)</f>
        <v/>
      </c>
      <c r="K6991" s="11">
        <f>O6991</f>
        <v/>
      </c>
      <c r="L6991" s="11">
        <f>L6990+IF(K6991&gt;0,K6991*Summary!$B$9,K6991/Summary!$B$9)</f>
        <v/>
      </c>
      <c r="M6991" s="11">
        <f>G6991+H6991</f>
        <v/>
      </c>
      <c r="N6991" s="11">
        <f>Summary!$C$16*Summary!$B$8</f>
        <v/>
      </c>
      <c r="O6991" s="11">
        <f>M6991-N6991</f>
        <v/>
      </c>
    </row>
    <row r="6992">
      <c r="A6992" s="9" t="n">
        <v>45583.25</v>
      </c>
      <c r="B6992" t="n">
        <v>10</v>
      </c>
      <c r="C6992" t="n">
        <v>18</v>
      </c>
      <c r="D6992" t="n">
        <v>6</v>
      </c>
      <c r="E6992" s="10" t="n">
        <v>0</v>
      </c>
      <c r="F6992" s="10" t="n">
        <v>0.2775393306094394</v>
      </c>
      <c r="G6992" s="11">
        <f>E6992*Summary!$B$6</f>
        <v/>
      </c>
      <c r="H6992" s="11">
        <f>F6992*Summary!$B$7</f>
        <v/>
      </c>
      <c r="I6992" s="11">
        <f>MAX(0,N6992-M6992)</f>
        <v/>
      </c>
      <c r="J6992" s="11">
        <f>MAX(0,M6992-N6992)</f>
        <v/>
      </c>
      <c r="K6992" s="11">
        <f>O6992</f>
        <v/>
      </c>
      <c r="L6992" s="11">
        <f>L6991+IF(K6992&gt;0,K6992*Summary!$B$9,K6992/Summary!$B$9)</f>
        <v/>
      </c>
      <c r="M6992" s="11">
        <f>G6992+H6992</f>
        <v/>
      </c>
      <c r="N6992" s="11">
        <f>Summary!$C$16*Summary!$B$8</f>
        <v/>
      </c>
      <c r="O6992" s="11">
        <f>M6992-N6992</f>
        <v/>
      </c>
    </row>
    <row r="6993">
      <c r="A6993" s="9" t="n">
        <v>45583.29166666666</v>
      </c>
      <c r="B6993" t="n">
        <v>10</v>
      </c>
      <c r="C6993" t="n">
        <v>18</v>
      </c>
      <c r="D6993" t="n">
        <v>7</v>
      </c>
      <c r="E6993" s="10" t="n">
        <v>0.008409</v>
      </c>
      <c r="F6993" s="10" t="n">
        <v>0.2541123969869752</v>
      </c>
      <c r="G6993" s="11">
        <f>E6993*Summary!$B$6</f>
        <v/>
      </c>
      <c r="H6993" s="11">
        <f>F6993*Summary!$B$7</f>
        <v/>
      </c>
      <c r="I6993" s="11">
        <f>MAX(0,N6993-M6993)</f>
        <v/>
      </c>
      <c r="J6993" s="11">
        <f>MAX(0,M6993-N6993)</f>
        <v/>
      </c>
      <c r="K6993" s="11">
        <f>O6993</f>
        <v/>
      </c>
      <c r="L6993" s="11">
        <f>L6992+IF(K6993&gt;0,K6993*Summary!$B$9,K6993/Summary!$B$9)</f>
        <v/>
      </c>
      <c r="M6993" s="11">
        <f>G6993+H6993</f>
        <v/>
      </c>
      <c r="N6993" s="11">
        <f>Summary!$C$16*Summary!$B$8</f>
        <v/>
      </c>
      <c r="O6993" s="11">
        <f>M6993-N6993</f>
        <v/>
      </c>
    </row>
    <row r="6994">
      <c r="A6994" s="9" t="n">
        <v>45583.33333333334</v>
      </c>
      <c r="B6994" t="n">
        <v>10</v>
      </c>
      <c r="C6994" t="n">
        <v>18</v>
      </c>
      <c r="D6994" t="n">
        <v>8</v>
      </c>
      <c r="E6994" s="10" t="n">
        <v>0.068673</v>
      </c>
      <c r="F6994" s="10" t="n">
        <v>0.230237479256995</v>
      </c>
      <c r="G6994" s="11">
        <f>E6994*Summary!$B$6</f>
        <v/>
      </c>
      <c r="H6994" s="11">
        <f>F6994*Summary!$B$7</f>
        <v/>
      </c>
      <c r="I6994" s="11">
        <f>MAX(0,N6994-M6994)</f>
        <v/>
      </c>
      <c r="J6994" s="11">
        <f>MAX(0,M6994-N6994)</f>
        <v/>
      </c>
      <c r="K6994" s="11">
        <f>O6994</f>
        <v/>
      </c>
      <c r="L6994" s="11">
        <f>L6993+IF(K6994&gt;0,K6994*Summary!$B$9,K6994/Summary!$B$9)</f>
        <v/>
      </c>
      <c r="M6994" s="11">
        <f>G6994+H6994</f>
        <v/>
      </c>
      <c r="N6994" s="11">
        <f>Summary!$C$16*Summary!$B$8</f>
        <v/>
      </c>
      <c r="O6994" s="11">
        <f>M6994-N6994</f>
        <v/>
      </c>
    </row>
    <row r="6995">
      <c r="A6995" s="9" t="n">
        <v>45583.375</v>
      </c>
      <c r="B6995" t="n">
        <v>10</v>
      </c>
      <c r="C6995" t="n">
        <v>18</v>
      </c>
      <c r="D6995" t="n">
        <v>9</v>
      </c>
      <c r="E6995" s="10" t="n">
        <v>0.087239</v>
      </c>
      <c r="F6995" s="10" t="n">
        <v>0.2035692488566197</v>
      </c>
      <c r="G6995" s="11">
        <f>E6995*Summary!$B$6</f>
        <v/>
      </c>
      <c r="H6995" s="11">
        <f>F6995*Summary!$B$7</f>
        <v/>
      </c>
      <c r="I6995" s="11">
        <f>MAX(0,N6995-M6995)</f>
        <v/>
      </c>
      <c r="J6995" s="11">
        <f>MAX(0,M6995-N6995)</f>
        <v/>
      </c>
      <c r="K6995" s="11">
        <f>O6995</f>
        <v/>
      </c>
      <c r="L6995" s="11">
        <f>L6994+IF(K6995&gt;0,K6995*Summary!$B$9,K6995/Summary!$B$9)</f>
        <v/>
      </c>
      <c r="M6995" s="11">
        <f>G6995+H6995</f>
        <v/>
      </c>
      <c r="N6995" s="11">
        <f>Summary!$C$16*Summary!$B$8</f>
        <v/>
      </c>
      <c r="O6995" s="11">
        <f>M6995-N6995</f>
        <v/>
      </c>
    </row>
    <row r="6996">
      <c r="A6996" s="9" t="n">
        <v>45583.41666666666</v>
      </c>
      <c r="B6996" t="n">
        <v>10</v>
      </c>
      <c r="C6996" t="n">
        <v>18</v>
      </c>
      <c r="D6996" t="n">
        <v>10</v>
      </c>
      <c r="E6996" s="10" t="n">
        <v>0.07352400000000001</v>
      </c>
      <c r="F6996" s="10" t="n">
        <v>0.1806957073669698</v>
      </c>
      <c r="G6996" s="11">
        <f>E6996*Summary!$B$6</f>
        <v/>
      </c>
      <c r="H6996" s="11">
        <f>F6996*Summary!$B$7</f>
        <v/>
      </c>
      <c r="I6996" s="11">
        <f>MAX(0,N6996-M6996)</f>
        <v/>
      </c>
      <c r="J6996" s="11">
        <f>MAX(0,M6996-N6996)</f>
        <v/>
      </c>
      <c r="K6996" s="11">
        <f>O6996</f>
        <v/>
      </c>
      <c r="L6996" s="11">
        <f>L6995+IF(K6996&gt;0,K6996*Summary!$B$9,K6996/Summary!$B$9)</f>
        <v/>
      </c>
      <c r="M6996" s="11">
        <f>G6996+H6996</f>
        <v/>
      </c>
      <c r="N6996" s="11">
        <f>Summary!$C$16*Summary!$B$8</f>
        <v/>
      </c>
      <c r="O6996" s="11">
        <f>M6996-N6996</f>
        <v/>
      </c>
    </row>
    <row r="6997">
      <c r="A6997" s="9" t="n">
        <v>45583.45833333334</v>
      </c>
      <c r="B6997" t="n">
        <v>10</v>
      </c>
      <c r="C6997" t="n">
        <v>18</v>
      </c>
      <c r="D6997" t="n">
        <v>11</v>
      </c>
      <c r="E6997" s="10" t="n">
        <v>0.101182</v>
      </c>
      <c r="F6997" s="10" t="n">
        <v>0.1659122318189356</v>
      </c>
      <c r="G6997" s="11">
        <f>E6997*Summary!$B$6</f>
        <v/>
      </c>
      <c r="H6997" s="11">
        <f>F6997*Summary!$B$7</f>
        <v/>
      </c>
      <c r="I6997" s="11">
        <f>MAX(0,N6997-M6997)</f>
        <v/>
      </c>
      <c r="J6997" s="11">
        <f>MAX(0,M6997-N6997)</f>
        <v/>
      </c>
      <c r="K6997" s="11">
        <f>O6997</f>
        <v/>
      </c>
      <c r="L6997" s="11">
        <f>L6996+IF(K6997&gt;0,K6997*Summary!$B$9,K6997/Summary!$B$9)</f>
        <v/>
      </c>
      <c r="M6997" s="11">
        <f>G6997+H6997</f>
        <v/>
      </c>
      <c r="N6997" s="11">
        <f>Summary!$C$16*Summary!$B$8</f>
        <v/>
      </c>
      <c r="O6997" s="11">
        <f>M6997-N6997</f>
        <v/>
      </c>
    </row>
    <row r="6998">
      <c r="A6998" s="9" t="n">
        <v>45583.5</v>
      </c>
      <c r="B6998" t="n">
        <v>10</v>
      </c>
      <c r="C6998" t="n">
        <v>18</v>
      </c>
      <c r="D6998" t="n">
        <v>12</v>
      </c>
      <c r="E6998" s="10" t="n">
        <v>0.152262</v>
      </c>
      <c r="F6998" s="10" t="n">
        <v>0.1591397661935439</v>
      </c>
      <c r="G6998" s="11">
        <f>E6998*Summary!$B$6</f>
        <v/>
      </c>
      <c r="H6998" s="11">
        <f>F6998*Summary!$B$7</f>
        <v/>
      </c>
      <c r="I6998" s="11">
        <f>MAX(0,N6998-M6998)</f>
        <v/>
      </c>
      <c r="J6998" s="11">
        <f>MAX(0,M6998-N6998)</f>
        <v/>
      </c>
      <c r="K6998" s="11">
        <f>O6998</f>
        <v/>
      </c>
      <c r="L6998" s="11">
        <f>L6997+IF(K6998&gt;0,K6998*Summary!$B$9,K6998/Summary!$B$9)</f>
        <v/>
      </c>
      <c r="M6998" s="11">
        <f>G6998+H6998</f>
        <v/>
      </c>
      <c r="N6998" s="11">
        <f>Summary!$C$16*Summary!$B$8</f>
        <v/>
      </c>
      <c r="O6998" s="11">
        <f>M6998-N6998</f>
        <v/>
      </c>
    </row>
    <row r="6999">
      <c r="A6999" s="9" t="n">
        <v>45583.54166666666</v>
      </c>
      <c r="B6999" t="n">
        <v>10</v>
      </c>
      <c r="C6999" t="n">
        <v>18</v>
      </c>
      <c r="D6999" t="n">
        <v>13</v>
      </c>
      <c r="E6999" s="10" t="n">
        <v>0.09311800000000001</v>
      </c>
      <c r="F6999" s="10" t="n">
        <v>0.1554504853081165</v>
      </c>
      <c r="G6999" s="11">
        <f>E6999*Summary!$B$6</f>
        <v/>
      </c>
      <c r="H6999" s="11">
        <f>F6999*Summary!$B$7</f>
        <v/>
      </c>
      <c r="I6999" s="11">
        <f>MAX(0,N6999-M6999)</f>
        <v/>
      </c>
      <c r="J6999" s="11">
        <f>MAX(0,M6999-N6999)</f>
        <v/>
      </c>
      <c r="K6999" s="11">
        <f>O6999</f>
        <v/>
      </c>
      <c r="L6999" s="11">
        <f>L6998+IF(K6999&gt;0,K6999*Summary!$B$9,K6999/Summary!$B$9)</f>
        <v/>
      </c>
      <c r="M6999" s="11">
        <f>G6999+H6999</f>
        <v/>
      </c>
      <c r="N6999" s="11">
        <f>Summary!$C$16*Summary!$B$8</f>
        <v/>
      </c>
      <c r="O6999" s="11">
        <f>M6999-N6999</f>
        <v/>
      </c>
    </row>
    <row r="7000">
      <c r="A7000" s="9" t="n">
        <v>45583.58333333334</v>
      </c>
      <c r="B7000" t="n">
        <v>10</v>
      </c>
      <c r="C7000" t="n">
        <v>18</v>
      </c>
      <c r="D7000" t="n">
        <v>14</v>
      </c>
      <c r="E7000" s="10" t="n">
        <v>0.07802199999999999</v>
      </c>
      <c r="F7000" s="10" t="n">
        <v>0.1545281650867596</v>
      </c>
      <c r="G7000" s="11">
        <f>E7000*Summary!$B$6</f>
        <v/>
      </c>
      <c r="H7000" s="11">
        <f>F7000*Summary!$B$7</f>
        <v/>
      </c>
      <c r="I7000" s="11">
        <f>MAX(0,N7000-M7000)</f>
        <v/>
      </c>
      <c r="J7000" s="11">
        <f>MAX(0,M7000-N7000)</f>
        <v/>
      </c>
      <c r="K7000" s="11">
        <f>O7000</f>
        <v/>
      </c>
      <c r="L7000" s="11">
        <f>L6999+IF(K7000&gt;0,K7000*Summary!$B$9,K7000/Summary!$B$9)</f>
        <v/>
      </c>
      <c r="M7000" s="11">
        <f>G7000+H7000</f>
        <v/>
      </c>
      <c r="N7000" s="11">
        <f>Summary!$C$16*Summary!$B$8</f>
        <v/>
      </c>
      <c r="O7000" s="11">
        <f>M7000-N7000</f>
        <v/>
      </c>
    </row>
    <row r="7001">
      <c r="A7001" s="9" t="n">
        <v>45583.625</v>
      </c>
      <c r="B7001" t="n">
        <v>10</v>
      </c>
      <c r="C7001" t="n">
        <v>18</v>
      </c>
      <c r="D7001" t="n">
        <v>15</v>
      </c>
      <c r="E7001" s="10" t="n">
        <v>0.060692</v>
      </c>
      <c r="F7001" s="10" t="n">
        <v>0.1620121348829124</v>
      </c>
      <c r="G7001" s="11">
        <f>E7001*Summary!$B$6</f>
        <v/>
      </c>
      <c r="H7001" s="11">
        <f>F7001*Summary!$B$7</f>
        <v/>
      </c>
      <c r="I7001" s="11">
        <f>MAX(0,N7001-M7001)</f>
        <v/>
      </c>
      <c r="J7001" s="11">
        <f>MAX(0,M7001-N7001)</f>
        <v/>
      </c>
      <c r="K7001" s="11">
        <f>O7001</f>
        <v/>
      </c>
      <c r="L7001" s="11">
        <f>L7000+IF(K7001&gt;0,K7001*Summary!$B$9,K7001/Summary!$B$9)</f>
        <v/>
      </c>
      <c r="M7001" s="11">
        <f>G7001+H7001</f>
        <v/>
      </c>
      <c r="N7001" s="11">
        <f>Summary!$C$16*Summary!$B$8</f>
        <v/>
      </c>
      <c r="O7001" s="11">
        <f>M7001-N7001</f>
        <v/>
      </c>
    </row>
    <row r="7002">
      <c r="A7002" s="9" t="n">
        <v>45583.66666666666</v>
      </c>
      <c r="B7002" t="n">
        <v>10</v>
      </c>
      <c r="C7002" t="n">
        <v>18</v>
      </c>
      <c r="D7002" t="n">
        <v>16</v>
      </c>
      <c r="E7002" s="10" t="n">
        <v>0.006815</v>
      </c>
      <c r="F7002" s="10" t="n">
        <v>0.1835944280626627</v>
      </c>
      <c r="G7002" s="11">
        <f>E7002*Summary!$B$6</f>
        <v/>
      </c>
      <c r="H7002" s="11">
        <f>F7002*Summary!$B$7</f>
        <v/>
      </c>
      <c r="I7002" s="11">
        <f>MAX(0,N7002-M7002)</f>
        <v/>
      </c>
      <c r="J7002" s="11">
        <f>MAX(0,M7002-N7002)</f>
        <v/>
      </c>
      <c r="K7002" s="11">
        <f>O7002</f>
        <v/>
      </c>
      <c r="L7002" s="11">
        <f>L7001+IF(K7002&gt;0,K7002*Summary!$B$9,K7002/Summary!$B$9)</f>
        <v/>
      </c>
      <c r="M7002" s="11">
        <f>G7002+H7002</f>
        <v/>
      </c>
      <c r="N7002" s="11">
        <f>Summary!$C$16*Summary!$B$8</f>
        <v/>
      </c>
      <c r="O7002" s="11">
        <f>M7002-N7002</f>
        <v/>
      </c>
    </row>
    <row r="7003">
      <c r="A7003" s="9" t="n">
        <v>45583.70833333334</v>
      </c>
      <c r="B7003" t="n">
        <v>10</v>
      </c>
      <c r="C7003" t="n">
        <v>18</v>
      </c>
      <c r="D7003" t="n">
        <v>17</v>
      </c>
      <c r="E7003" s="10" t="n">
        <v>0</v>
      </c>
      <c r="F7003" s="10" t="n">
        <v>0.2093139862353567</v>
      </c>
      <c r="G7003" s="11">
        <f>E7003*Summary!$B$6</f>
        <v/>
      </c>
      <c r="H7003" s="11">
        <f>F7003*Summary!$B$7</f>
        <v/>
      </c>
      <c r="I7003" s="11">
        <f>MAX(0,N7003-M7003)</f>
        <v/>
      </c>
      <c r="J7003" s="11">
        <f>MAX(0,M7003-N7003)</f>
        <v/>
      </c>
      <c r="K7003" s="11">
        <f>O7003</f>
        <v/>
      </c>
      <c r="L7003" s="11">
        <f>L7002+IF(K7003&gt;0,K7003*Summary!$B$9,K7003/Summary!$B$9)</f>
        <v/>
      </c>
      <c r="M7003" s="11">
        <f>G7003+H7003</f>
        <v/>
      </c>
      <c r="N7003" s="11">
        <f>Summary!$C$16*Summary!$B$8</f>
        <v/>
      </c>
      <c r="O7003" s="11">
        <f>M7003-N7003</f>
        <v/>
      </c>
    </row>
    <row r="7004">
      <c r="A7004" s="9" t="n">
        <v>45583.75</v>
      </c>
      <c r="B7004" t="n">
        <v>10</v>
      </c>
      <c r="C7004" t="n">
        <v>18</v>
      </c>
      <c r="D7004" t="n">
        <v>18</v>
      </c>
      <c r="E7004" s="10" t="n">
        <v>0</v>
      </c>
      <c r="F7004" s="10" t="n">
        <v>0.2362457366989768</v>
      </c>
      <c r="G7004" s="11">
        <f>E7004*Summary!$B$6</f>
        <v/>
      </c>
      <c r="H7004" s="11">
        <f>F7004*Summary!$B$7</f>
        <v/>
      </c>
      <c r="I7004" s="11">
        <f>MAX(0,N7004-M7004)</f>
        <v/>
      </c>
      <c r="J7004" s="11">
        <f>MAX(0,M7004-N7004)</f>
        <v/>
      </c>
      <c r="K7004" s="11">
        <f>O7004</f>
        <v/>
      </c>
      <c r="L7004" s="11">
        <f>L7003+IF(K7004&gt;0,K7004*Summary!$B$9,K7004/Summary!$B$9)</f>
        <v/>
      </c>
      <c r="M7004" s="11">
        <f>G7004+H7004</f>
        <v/>
      </c>
      <c r="N7004" s="11">
        <f>Summary!$C$16*Summary!$B$8</f>
        <v/>
      </c>
      <c r="O7004" s="11">
        <f>M7004-N7004</f>
        <v/>
      </c>
    </row>
    <row r="7005">
      <c r="A7005" s="9" t="n">
        <v>45583.79166666666</v>
      </c>
      <c r="B7005" t="n">
        <v>10</v>
      </c>
      <c r="C7005" t="n">
        <v>18</v>
      </c>
      <c r="D7005" t="n">
        <v>19</v>
      </c>
      <c r="E7005" s="10" t="n">
        <v>0</v>
      </c>
      <c r="F7005" s="10" t="n">
        <v>0.2507920441900906</v>
      </c>
      <c r="G7005" s="11">
        <f>E7005*Summary!$B$6</f>
        <v/>
      </c>
      <c r="H7005" s="11">
        <f>F7005*Summary!$B$7</f>
        <v/>
      </c>
      <c r="I7005" s="11">
        <f>MAX(0,N7005-M7005)</f>
        <v/>
      </c>
      <c r="J7005" s="11">
        <f>MAX(0,M7005-N7005)</f>
        <v/>
      </c>
      <c r="K7005" s="11">
        <f>O7005</f>
        <v/>
      </c>
      <c r="L7005" s="11">
        <f>L7004+IF(K7005&gt;0,K7005*Summary!$B$9,K7005/Summary!$B$9)</f>
        <v/>
      </c>
      <c r="M7005" s="11">
        <f>G7005+H7005</f>
        <v/>
      </c>
      <c r="N7005" s="11">
        <f>Summary!$C$16*Summary!$B$8</f>
        <v/>
      </c>
      <c r="O7005" s="11">
        <f>M7005-N7005</f>
        <v/>
      </c>
    </row>
    <row r="7006">
      <c r="A7006" s="9" t="n">
        <v>45583.83333333334</v>
      </c>
      <c r="B7006" t="n">
        <v>10</v>
      </c>
      <c r="C7006" t="n">
        <v>18</v>
      </c>
      <c r="D7006" t="n">
        <v>20</v>
      </c>
      <c r="E7006" s="10" t="n">
        <v>0</v>
      </c>
      <c r="F7006" s="10" t="n">
        <v>0.2748777779706667</v>
      </c>
      <c r="G7006" s="11">
        <f>E7006*Summary!$B$6</f>
        <v/>
      </c>
      <c r="H7006" s="11">
        <f>F7006*Summary!$B$7</f>
        <v/>
      </c>
      <c r="I7006" s="11">
        <f>MAX(0,N7006-M7006)</f>
        <v/>
      </c>
      <c r="J7006" s="11">
        <f>MAX(0,M7006-N7006)</f>
        <v/>
      </c>
      <c r="K7006" s="11">
        <f>O7006</f>
        <v/>
      </c>
      <c r="L7006" s="11">
        <f>L7005+IF(K7006&gt;0,K7006*Summary!$B$9,K7006/Summary!$B$9)</f>
        <v/>
      </c>
      <c r="M7006" s="11">
        <f>G7006+H7006</f>
        <v/>
      </c>
      <c r="N7006" s="11">
        <f>Summary!$C$16*Summary!$B$8</f>
        <v/>
      </c>
      <c r="O7006" s="11">
        <f>M7006-N7006</f>
        <v/>
      </c>
    </row>
    <row r="7007">
      <c r="A7007" s="9" t="n">
        <v>45583.875</v>
      </c>
      <c r="B7007" t="n">
        <v>10</v>
      </c>
      <c r="C7007" t="n">
        <v>18</v>
      </c>
      <c r="D7007" t="n">
        <v>21</v>
      </c>
      <c r="E7007" s="10" t="n">
        <v>0</v>
      </c>
      <c r="F7007" s="10" t="n">
        <v>0.2570638216953172</v>
      </c>
      <c r="G7007" s="11">
        <f>E7007*Summary!$B$6</f>
        <v/>
      </c>
      <c r="H7007" s="11">
        <f>F7007*Summary!$B$7</f>
        <v/>
      </c>
      <c r="I7007" s="11">
        <f>MAX(0,N7007-M7007)</f>
        <v/>
      </c>
      <c r="J7007" s="11">
        <f>MAX(0,M7007-N7007)</f>
        <v/>
      </c>
      <c r="K7007" s="11">
        <f>O7007</f>
        <v/>
      </c>
      <c r="L7007" s="11">
        <f>L7006+IF(K7007&gt;0,K7007*Summary!$B$9,K7007/Summary!$B$9)</f>
        <v/>
      </c>
      <c r="M7007" s="11">
        <f>G7007+H7007</f>
        <v/>
      </c>
      <c r="N7007" s="11">
        <f>Summary!$C$16*Summary!$B$8</f>
        <v/>
      </c>
      <c r="O7007" s="11">
        <f>M7007-N7007</f>
        <v/>
      </c>
    </row>
    <row r="7008">
      <c r="A7008" s="9" t="n">
        <v>45583.91666666666</v>
      </c>
      <c r="B7008" t="n">
        <v>10</v>
      </c>
      <c r="C7008" t="n">
        <v>18</v>
      </c>
      <c r="D7008" t="n">
        <v>22</v>
      </c>
      <c r="E7008" s="10" t="n">
        <v>0</v>
      </c>
      <c r="F7008" s="10" t="n">
        <v>0.2590665741759778</v>
      </c>
      <c r="G7008" s="11">
        <f>E7008*Summary!$B$6</f>
        <v/>
      </c>
      <c r="H7008" s="11">
        <f>F7008*Summary!$B$7</f>
        <v/>
      </c>
      <c r="I7008" s="11">
        <f>MAX(0,N7008-M7008)</f>
        <v/>
      </c>
      <c r="J7008" s="11">
        <f>MAX(0,M7008-N7008)</f>
        <v/>
      </c>
      <c r="K7008" s="11">
        <f>O7008</f>
        <v/>
      </c>
      <c r="L7008" s="11">
        <f>L7007+IF(K7008&gt;0,K7008*Summary!$B$9,K7008/Summary!$B$9)</f>
        <v/>
      </c>
      <c r="M7008" s="11">
        <f>G7008+H7008</f>
        <v/>
      </c>
      <c r="N7008" s="11">
        <f>Summary!$C$16*Summary!$B$8</f>
        <v/>
      </c>
      <c r="O7008" s="11">
        <f>M7008-N7008</f>
        <v/>
      </c>
    </row>
    <row r="7009">
      <c r="A7009" s="9" t="n">
        <v>45583.95833333334</v>
      </c>
      <c r="B7009" t="n">
        <v>10</v>
      </c>
      <c r="C7009" t="n">
        <v>18</v>
      </c>
      <c r="D7009" t="n">
        <v>23</v>
      </c>
      <c r="E7009" s="10" t="n">
        <v>0</v>
      </c>
      <c r="F7009" s="10" t="n">
        <v>0.2645741434977945</v>
      </c>
      <c r="G7009" s="11">
        <f>E7009*Summary!$B$6</f>
        <v/>
      </c>
      <c r="H7009" s="11">
        <f>F7009*Summary!$B$7</f>
        <v/>
      </c>
      <c r="I7009" s="11">
        <f>MAX(0,N7009-M7009)</f>
        <v/>
      </c>
      <c r="J7009" s="11">
        <f>MAX(0,M7009-N7009)</f>
        <v/>
      </c>
      <c r="K7009" s="11">
        <f>O7009</f>
        <v/>
      </c>
      <c r="L7009" s="11">
        <f>L7008+IF(K7009&gt;0,K7009*Summary!$B$9,K7009/Summary!$B$9)</f>
        <v/>
      </c>
      <c r="M7009" s="11">
        <f>G7009+H7009</f>
        <v/>
      </c>
      <c r="N7009" s="11">
        <f>Summary!$C$16*Summary!$B$8</f>
        <v/>
      </c>
      <c r="O7009" s="11">
        <f>M7009-N7009</f>
        <v/>
      </c>
    </row>
    <row r="7010">
      <c r="A7010" s="9" t="n">
        <v>45584</v>
      </c>
      <c r="B7010" t="n">
        <v>10</v>
      </c>
      <c r="C7010" t="n">
        <v>19</v>
      </c>
      <c r="D7010" t="n">
        <v>0</v>
      </c>
      <c r="E7010" s="10" t="n">
        <v>0</v>
      </c>
      <c r="F7010" s="10" t="n">
        <v>0.3154335157040438</v>
      </c>
      <c r="G7010" s="11">
        <f>E7010*Summary!$B$6</f>
        <v/>
      </c>
      <c r="H7010" s="11">
        <f>F7010*Summary!$B$7</f>
        <v/>
      </c>
      <c r="I7010" s="11">
        <f>MAX(0,N7010-M7010)</f>
        <v/>
      </c>
      <c r="J7010" s="11">
        <f>MAX(0,M7010-N7010)</f>
        <v/>
      </c>
      <c r="K7010" s="11">
        <f>O7010</f>
        <v/>
      </c>
      <c r="L7010" s="11">
        <f>L7009+IF(K7010&gt;0,K7010*Summary!$B$9,K7010/Summary!$B$9)</f>
        <v/>
      </c>
      <c r="M7010" s="11">
        <f>G7010+H7010</f>
        <v/>
      </c>
      <c r="N7010" s="11">
        <f>Summary!$C$16*Summary!$B$8</f>
        <v/>
      </c>
      <c r="O7010" s="11">
        <f>M7010-N7010</f>
        <v/>
      </c>
    </row>
    <row r="7011">
      <c r="A7011" s="9" t="n">
        <v>45584.04166666666</v>
      </c>
      <c r="B7011" t="n">
        <v>10</v>
      </c>
      <c r="C7011" t="n">
        <v>19</v>
      </c>
      <c r="D7011" t="n">
        <v>1</v>
      </c>
      <c r="E7011" s="10" t="n">
        <v>0</v>
      </c>
      <c r="F7011" s="10" t="n">
        <v>0.2727696174647082</v>
      </c>
      <c r="G7011" s="11">
        <f>E7011*Summary!$B$6</f>
        <v/>
      </c>
      <c r="H7011" s="11">
        <f>F7011*Summary!$B$7</f>
        <v/>
      </c>
      <c r="I7011" s="11">
        <f>MAX(0,N7011-M7011)</f>
        <v/>
      </c>
      <c r="J7011" s="11">
        <f>MAX(0,M7011-N7011)</f>
        <v/>
      </c>
      <c r="K7011" s="11">
        <f>O7011</f>
        <v/>
      </c>
      <c r="L7011" s="11">
        <f>L7010+IF(K7011&gt;0,K7011*Summary!$B$9,K7011/Summary!$B$9)</f>
        <v/>
      </c>
      <c r="M7011" s="11">
        <f>G7011+H7011</f>
        <v/>
      </c>
      <c r="N7011" s="11">
        <f>Summary!$C$16*Summary!$B$8</f>
        <v/>
      </c>
      <c r="O7011" s="11">
        <f>M7011-N7011</f>
        <v/>
      </c>
    </row>
    <row r="7012">
      <c r="A7012" s="9" t="n">
        <v>45584.08333333334</v>
      </c>
      <c r="B7012" t="n">
        <v>10</v>
      </c>
      <c r="C7012" t="n">
        <v>19</v>
      </c>
      <c r="D7012" t="n">
        <v>2</v>
      </c>
      <c r="E7012" s="10" t="n">
        <v>0</v>
      </c>
      <c r="F7012" s="10" t="n">
        <v>0.2796738431217223</v>
      </c>
      <c r="G7012" s="11">
        <f>E7012*Summary!$B$6</f>
        <v/>
      </c>
      <c r="H7012" s="11">
        <f>F7012*Summary!$B$7</f>
        <v/>
      </c>
      <c r="I7012" s="11">
        <f>MAX(0,N7012-M7012)</f>
        <v/>
      </c>
      <c r="J7012" s="11">
        <f>MAX(0,M7012-N7012)</f>
        <v/>
      </c>
      <c r="K7012" s="11">
        <f>O7012</f>
        <v/>
      </c>
      <c r="L7012" s="11">
        <f>L7011+IF(K7012&gt;0,K7012*Summary!$B$9,K7012/Summary!$B$9)</f>
        <v/>
      </c>
      <c r="M7012" s="11">
        <f>G7012+H7012</f>
        <v/>
      </c>
      <c r="N7012" s="11">
        <f>Summary!$C$16*Summary!$B$8</f>
        <v/>
      </c>
      <c r="O7012" s="11">
        <f>M7012-N7012</f>
        <v/>
      </c>
    </row>
    <row r="7013">
      <c r="A7013" s="9" t="n">
        <v>45584.125</v>
      </c>
      <c r="B7013" t="n">
        <v>10</v>
      </c>
      <c r="C7013" t="n">
        <v>19</v>
      </c>
      <c r="D7013" t="n">
        <v>3</v>
      </c>
      <c r="E7013" s="10" t="n">
        <v>0</v>
      </c>
      <c r="F7013" s="10" t="n">
        <v>0.2834421800261232</v>
      </c>
      <c r="G7013" s="11">
        <f>E7013*Summary!$B$6</f>
        <v/>
      </c>
      <c r="H7013" s="11">
        <f>F7013*Summary!$B$7</f>
        <v/>
      </c>
      <c r="I7013" s="11">
        <f>MAX(0,N7013-M7013)</f>
        <v/>
      </c>
      <c r="J7013" s="11">
        <f>MAX(0,M7013-N7013)</f>
        <v/>
      </c>
      <c r="K7013" s="11">
        <f>O7013</f>
        <v/>
      </c>
      <c r="L7013" s="11">
        <f>L7012+IF(K7013&gt;0,K7013*Summary!$B$9,K7013/Summary!$B$9)</f>
        <v/>
      </c>
      <c r="M7013" s="11">
        <f>G7013+H7013</f>
        <v/>
      </c>
      <c r="N7013" s="11">
        <f>Summary!$C$16*Summary!$B$8</f>
        <v/>
      </c>
      <c r="O7013" s="11">
        <f>M7013-N7013</f>
        <v/>
      </c>
    </row>
    <row r="7014">
      <c r="A7014" s="9" t="n">
        <v>45584.16666666666</v>
      </c>
      <c r="B7014" t="n">
        <v>10</v>
      </c>
      <c r="C7014" t="n">
        <v>19</v>
      </c>
      <c r="D7014" t="n">
        <v>4</v>
      </c>
      <c r="E7014" s="10" t="n">
        <v>0</v>
      </c>
      <c r="F7014" s="10" t="n">
        <v>0.2877902610696627</v>
      </c>
      <c r="G7014" s="11">
        <f>E7014*Summary!$B$6</f>
        <v/>
      </c>
      <c r="H7014" s="11">
        <f>F7014*Summary!$B$7</f>
        <v/>
      </c>
      <c r="I7014" s="11">
        <f>MAX(0,N7014-M7014)</f>
        <v/>
      </c>
      <c r="J7014" s="11">
        <f>MAX(0,M7014-N7014)</f>
        <v/>
      </c>
      <c r="K7014" s="11">
        <f>O7014</f>
        <v/>
      </c>
      <c r="L7014" s="11">
        <f>L7013+IF(K7014&gt;0,K7014*Summary!$B$9,K7014/Summary!$B$9)</f>
        <v/>
      </c>
      <c r="M7014" s="11">
        <f>G7014+H7014</f>
        <v/>
      </c>
      <c r="N7014" s="11">
        <f>Summary!$C$16*Summary!$B$8</f>
        <v/>
      </c>
      <c r="O7014" s="11">
        <f>M7014-N7014</f>
        <v/>
      </c>
    </row>
    <row r="7015">
      <c r="A7015" s="9" t="n">
        <v>45584.20833333334</v>
      </c>
      <c r="B7015" t="n">
        <v>10</v>
      </c>
      <c r="C7015" t="n">
        <v>19</v>
      </c>
      <c r="D7015" t="n">
        <v>5</v>
      </c>
      <c r="E7015" s="10" t="n">
        <v>0</v>
      </c>
      <c r="F7015" s="10" t="n">
        <v>0.2886862292846951</v>
      </c>
      <c r="G7015" s="11">
        <f>E7015*Summary!$B$6</f>
        <v/>
      </c>
      <c r="H7015" s="11">
        <f>F7015*Summary!$B$7</f>
        <v/>
      </c>
      <c r="I7015" s="11">
        <f>MAX(0,N7015-M7015)</f>
        <v/>
      </c>
      <c r="J7015" s="11">
        <f>MAX(0,M7015-N7015)</f>
        <v/>
      </c>
      <c r="K7015" s="11">
        <f>O7015</f>
        <v/>
      </c>
      <c r="L7015" s="11">
        <f>L7014+IF(K7015&gt;0,K7015*Summary!$B$9,K7015/Summary!$B$9)</f>
        <v/>
      </c>
      <c r="M7015" s="11">
        <f>G7015+H7015</f>
        <v/>
      </c>
      <c r="N7015" s="11">
        <f>Summary!$C$16*Summary!$B$8</f>
        <v/>
      </c>
      <c r="O7015" s="11">
        <f>M7015-N7015</f>
        <v/>
      </c>
    </row>
    <row r="7016">
      <c r="A7016" s="9" t="n">
        <v>45584.25</v>
      </c>
      <c r="B7016" t="n">
        <v>10</v>
      </c>
      <c r="C7016" t="n">
        <v>19</v>
      </c>
      <c r="D7016" t="n">
        <v>6</v>
      </c>
      <c r="E7016" s="10" t="n">
        <v>0</v>
      </c>
      <c r="F7016" s="10" t="n">
        <v>0.2891342133922112</v>
      </c>
      <c r="G7016" s="11">
        <f>E7016*Summary!$B$6</f>
        <v/>
      </c>
      <c r="H7016" s="11">
        <f>F7016*Summary!$B$7</f>
        <v/>
      </c>
      <c r="I7016" s="11">
        <f>MAX(0,N7016-M7016)</f>
        <v/>
      </c>
      <c r="J7016" s="11">
        <f>MAX(0,M7016-N7016)</f>
        <v/>
      </c>
      <c r="K7016" s="11">
        <f>O7016</f>
        <v/>
      </c>
      <c r="L7016" s="11">
        <f>L7015+IF(K7016&gt;0,K7016*Summary!$B$9,K7016/Summary!$B$9)</f>
        <v/>
      </c>
      <c r="M7016" s="11">
        <f>G7016+H7016</f>
        <v/>
      </c>
      <c r="N7016" s="11">
        <f>Summary!$C$16*Summary!$B$8</f>
        <v/>
      </c>
      <c r="O7016" s="11">
        <f>M7016-N7016</f>
        <v/>
      </c>
    </row>
    <row r="7017">
      <c r="A7017" s="9" t="n">
        <v>45584.29166666666</v>
      </c>
      <c r="B7017" t="n">
        <v>10</v>
      </c>
      <c r="C7017" t="n">
        <v>19</v>
      </c>
      <c r="D7017" t="n">
        <v>7</v>
      </c>
      <c r="E7017" s="10" t="n">
        <v>0.017083</v>
      </c>
      <c r="F7017" s="10" t="n">
        <v>0.2793839710521531</v>
      </c>
      <c r="G7017" s="11">
        <f>E7017*Summary!$B$6</f>
        <v/>
      </c>
      <c r="H7017" s="11">
        <f>F7017*Summary!$B$7</f>
        <v/>
      </c>
      <c r="I7017" s="11">
        <f>MAX(0,N7017-M7017)</f>
        <v/>
      </c>
      <c r="J7017" s="11">
        <f>MAX(0,M7017-N7017)</f>
        <v/>
      </c>
      <c r="K7017" s="11">
        <f>O7017</f>
        <v/>
      </c>
      <c r="L7017" s="11">
        <f>L7016+IF(K7017&gt;0,K7017*Summary!$B$9,K7017/Summary!$B$9)</f>
        <v/>
      </c>
      <c r="M7017" s="11">
        <f>G7017+H7017</f>
        <v/>
      </c>
      <c r="N7017" s="11">
        <f>Summary!$C$16*Summary!$B$8</f>
        <v/>
      </c>
      <c r="O7017" s="11">
        <f>M7017-N7017</f>
        <v/>
      </c>
    </row>
    <row r="7018">
      <c r="A7018" s="9" t="n">
        <v>45584.33333333334</v>
      </c>
      <c r="B7018" t="n">
        <v>10</v>
      </c>
      <c r="C7018" t="n">
        <v>19</v>
      </c>
      <c r="D7018" t="n">
        <v>8</v>
      </c>
      <c r="E7018" s="10" t="n">
        <v>0.048691</v>
      </c>
      <c r="F7018" s="10" t="n">
        <v>0.262307870953889</v>
      </c>
      <c r="G7018" s="11">
        <f>E7018*Summary!$B$6</f>
        <v/>
      </c>
      <c r="H7018" s="11">
        <f>F7018*Summary!$B$7</f>
        <v/>
      </c>
      <c r="I7018" s="11">
        <f>MAX(0,N7018-M7018)</f>
        <v/>
      </c>
      <c r="J7018" s="11">
        <f>MAX(0,M7018-N7018)</f>
        <v/>
      </c>
      <c r="K7018" s="11">
        <f>O7018</f>
        <v/>
      </c>
      <c r="L7018" s="11">
        <f>L7017+IF(K7018&gt;0,K7018*Summary!$B$9,K7018/Summary!$B$9)</f>
        <v/>
      </c>
      <c r="M7018" s="11">
        <f>G7018+H7018</f>
        <v/>
      </c>
      <c r="N7018" s="11">
        <f>Summary!$C$16*Summary!$B$8</f>
        <v/>
      </c>
      <c r="O7018" s="11">
        <f>M7018-N7018</f>
        <v/>
      </c>
    </row>
    <row r="7019">
      <c r="A7019" s="9" t="n">
        <v>45584.375</v>
      </c>
      <c r="B7019" t="n">
        <v>10</v>
      </c>
      <c r="C7019" t="n">
        <v>19</v>
      </c>
      <c r="D7019" t="n">
        <v>9</v>
      </c>
      <c r="E7019" s="10" t="n">
        <v>0.108836</v>
      </c>
      <c r="F7019" s="10" t="n">
        <v>0.2473399313615835</v>
      </c>
      <c r="G7019" s="11">
        <f>E7019*Summary!$B$6</f>
        <v/>
      </c>
      <c r="H7019" s="11">
        <f>F7019*Summary!$B$7</f>
        <v/>
      </c>
      <c r="I7019" s="11">
        <f>MAX(0,N7019-M7019)</f>
        <v/>
      </c>
      <c r="J7019" s="11">
        <f>MAX(0,M7019-N7019)</f>
        <v/>
      </c>
      <c r="K7019" s="11">
        <f>O7019</f>
        <v/>
      </c>
      <c r="L7019" s="11">
        <f>L7018+IF(K7019&gt;0,K7019*Summary!$B$9,K7019/Summary!$B$9)</f>
        <v/>
      </c>
      <c r="M7019" s="11">
        <f>G7019+H7019</f>
        <v/>
      </c>
      <c r="N7019" s="11">
        <f>Summary!$C$16*Summary!$B$8</f>
        <v/>
      </c>
      <c r="O7019" s="11">
        <f>M7019-N7019</f>
        <v/>
      </c>
    </row>
    <row r="7020">
      <c r="A7020" s="9" t="n">
        <v>45584.41666666666</v>
      </c>
      <c r="B7020" t="n">
        <v>10</v>
      </c>
      <c r="C7020" t="n">
        <v>19</v>
      </c>
      <c r="D7020" t="n">
        <v>10</v>
      </c>
      <c r="E7020" s="10" t="n">
        <v>0.130429</v>
      </c>
      <c r="F7020" s="10" t="n">
        <v>0.2355869365408648</v>
      </c>
      <c r="G7020" s="11">
        <f>E7020*Summary!$B$6</f>
        <v/>
      </c>
      <c r="H7020" s="11">
        <f>F7020*Summary!$B$7</f>
        <v/>
      </c>
      <c r="I7020" s="11">
        <f>MAX(0,N7020-M7020)</f>
        <v/>
      </c>
      <c r="J7020" s="11">
        <f>MAX(0,M7020-N7020)</f>
        <v/>
      </c>
      <c r="K7020" s="11">
        <f>O7020</f>
        <v/>
      </c>
      <c r="L7020" s="11">
        <f>L7019+IF(K7020&gt;0,K7020*Summary!$B$9,K7020/Summary!$B$9)</f>
        <v/>
      </c>
      <c r="M7020" s="11">
        <f>G7020+H7020</f>
        <v/>
      </c>
      <c r="N7020" s="11">
        <f>Summary!$C$16*Summary!$B$8</f>
        <v/>
      </c>
      <c r="O7020" s="11">
        <f>M7020-N7020</f>
        <v/>
      </c>
    </row>
    <row r="7021">
      <c r="A7021" s="9" t="n">
        <v>45584.45833333334</v>
      </c>
      <c r="B7021" t="n">
        <v>10</v>
      </c>
      <c r="C7021" t="n">
        <v>19</v>
      </c>
      <c r="D7021" t="n">
        <v>11</v>
      </c>
      <c r="E7021" s="10" t="n">
        <v>0.129048</v>
      </c>
      <c r="F7021" s="10" t="n">
        <v>0.2248880219731253</v>
      </c>
      <c r="G7021" s="11">
        <f>E7021*Summary!$B$6</f>
        <v/>
      </c>
      <c r="H7021" s="11">
        <f>F7021*Summary!$B$7</f>
        <v/>
      </c>
      <c r="I7021" s="11">
        <f>MAX(0,N7021-M7021)</f>
        <v/>
      </c>
      <c r="J7021" s="11">
        <f>MAX(0,M7021-N7021)</f>
        <v/>
      </c>
      <c r="K7021" s="11">
        <f>O7021</f>
        <v/>
      </c>
      <c r="L7021" s="11">
        <f>L7020+IF(K7021&gt;0,K7021*Summary!$B$9,K7021/Summary!$B$9)</f>
        <v/>
      </c>
      <c r="M7021" s="11">
        <f>G7021+H7021</f>
        <v/>
      </c>
      <c r="N7021" s="11">
        <f>Summary!$C$16*Summary!$B$8</f>
        <v/>
      </c>
      <c r="O7021" s="11">
        <f>M7021-N7021</f>
        <v/>
      </c>
    </row>
    <row r="7022">
      <c r="A7022" s="9" t="n">
        <v>45584.5</v>
      </c>
      <c r="B7022" t="n">
        <v>10</v>
      </c>
      <c r="C7022" t="n">
        <v>19</v>
      </c>
      <c r="D7022" t="n">
        <v>12</v>
      </c>
      <c r="E7022" s="10" t="n">
        <v>0.082333</v>
      </c>
      <c r="F7022" s="10" t="n">
        <v>0.2163763239303177</v>
      </c>
      <c r="G7022" s="11">
        <f>E7022*Summary!$B$6</f>
        <v/>
      </c>
      <c r="H7022" s="11">
        <f>F7022*Summary!$B$7</f>
        <v/>
      </c>
      <c r="I7022" s="11">
        <f>MAX(0,N7022-M7022)</f>
        <v/>
      </c>
      <c r="J7022" s="11">
        <f>MAX(0,M7022-N7022)</f>
        <v/>
      </c>
      <c r="K7022" s="11">
        <f>O7022</f>
        <v/>
      </c>
      <c r="L7022" s="11">
        <f>L7021+IF(K7022&gt;0,K7022*Summary!$B$9,K7022/Summary!$B$9)</f>
        <v/>
      </c>
      <c r="M7022" s="11">
        <f>G7022+H7022</f>
        <v/>
      </c>
      <c r="N7022" s="11">
        <f>Summary!$C$16*Summary!$B$8</f>
        <v/>
      </c>
      <c r="O7022" s="11">
        <f>M7022-N7022</f>
        <v/>
      </c>
    </row>
    <row r="7023">
      <c r="A7023" s="9" t="n">
        <v>45584.54166666666</v>
      </c>
      <c r="B7023" t="n">
        <v>10</v>
      </c>
      <c r="C7023" t="n">
        <v>19</v>
      </c>
      <c r="D7023" t="n">
        <v>13</v>
      </c>
      <c r="E7023" s="10" t="n">
        <v>0.057246</v>
      </c>
      <c r="F7023" s="10" t="n">
        <v>0.2157702277848547</v>
      </c>
      <c r="G7023" s="11">
        <f>E7023*Summary!$B$6</f>
        <v/>
      </c>
      <c r="H7023" s="11">
        <f>F7023*Summary!$B$7</f>
        <v/>
      </c>
      <c r="I7023" s="11">
        <f>MAX(0,N7023-M7023)</f>
        <v/>
      </c>
      <c r="J7023" s="11">
        <f>MAX(0,M7023-N7023)</f>
        <v/>
      </c>
      <c r="K7023" s="11">
        <f>O7023</f>
        <v/>
      </c>
      <c r="L7023" s="11">
        <f>L7022+IF(K7023&gt;0,K7023*Summary!$B$9,K7023/Summary!$B$9)</f>
        <v/>
      </c>
      <c r="M7023" s="11">
        <f>G7023+H7023</f>
        <v/>
      </c>
      <c r="N7023" s="11">
        <f>Summary!$C$16*Summary!$B$8</f>
        <v/>
      </c>
      <c r="O7023" s="11">
        <f>M7023-N7023</f>
        <v/>
      </c>
    </row>
    <row r="7024">
      <c r="A7024" s="9" t="n">
        <v>45584.58333333334</v>
      </c>
      <c r="B7024" t="n">
        <v>10</v>
      </c>
      <c r="C7024" t="n">
        <v>19</v>
      </c>
      <c r="D7024" t="n">
        <v>14</v>
      </c>
      <c r="E7024" s="10" t="n">
        <v>0.035201</v>
      </c>
      <c r="F7024" s="10" t="n">
        <v>0.215954691829126</v>
      </c>
      <c r="G7024" s="11">
        <f>E7024*Summary!$B$6</f>
        <v/>
      </c>
      <c r="H7024" s="11">
        <f>F7024*Summary!$B$7</f>
        <v/>
      </c>
      <c r="I7024" s="11">
        <f>MAX(0,N7024-M7024)</f>
        <v/>
      </c>
      <c r="J7024" s="11">
        <f>MAX(0,M7024-N7024)</f>
        <v/>
      </c>
      <c r="K7024" s="11">
        <f>O7024</f>
        <v/>
      </c>
      <c r="L7024" s="11">
        <f>L7023+IF(K7024&gt;0,K7024*Summary!$B$9,K7024/Summary!$B$9)</f>
        <v/>
      </c>
      <c r="M7024" s="11">
        <f>G7024+H7024</f>
        <v/>
      </c>
      <c r="N7024" s="11">
        <f>Summary!$C$16*Summary!$B$8</f>
        <v/>
      </c>
      <c r="O7024" s="11">
        <f>M7024-N7024</f>
        <v/>
      </c>
    </row>
    <row r="7025">
      <c r="A7025" s="9" t="n">
        <v>45584.625</v>
      </c>
      <c r="B7025" t="n">
        <v>10</v>
      </c>
      <c r="C7025" t="n">
        <v>19</v>
      </c>
      <c r="D7025" t="n">
        <v>15</v>
      </c>
      <c r="E7025" s="10" t="n">
        <v>0.026508</v>
      </c>
      <c r="F7025" s="10" t="n">
        <v>0.2187480044995211</v>
      </c>
      <c r="G7025" s="11">
        <f>E7025*Summary!$B$6</f>
        <v/>
      </c>
      <c r="H7025" s="11">
        <f>F7025*Summary!$B$7</f>
        <v/>
      </c>
      <c r="I7025" s="11">
        <f>MAX(0,N7025-M7025)</f>
        <v/>
      </c>
      <c r="J7025" s="11">
        <f>MAX(0,M7025-N7025)</f>
        <v/>
      </c>
      <c r="K7025" s="11">
        <f>O7025</f>
        <v/>
      </c>
      <c r="L7025" s="11">
        <f>L7024+IF(K7025&gt;0,K7025*Summary!$B$9,K7025/Summary!$B$9)</f>
        <v/>
      </c>
      <c r="M7025" s="11">
        <f>G7025+H7025</f>
        <v/>
      </c>
      <c r="N7025" s="11">
        <f>Summary!$C$16*Summary!$B$8</f>
        <v/>
      </c>
      <c r="O7025" s="11">
        <f>M7025-N7025</f>
        <v/>
      </c>
    </row>
    <row r="7026">
      <c r="A7026" s="9" t="n">
        <v>45584.66666666666</v>
      </c>
      <c r="B7026" t="n">
        <v>10</v>
      </c>
      <c r="C7026" t="n">
        <v>19</v>
      </c>
      <c r="D7026" t="n">
        <v>16</v>
      </c>
      <c r="E7026" s="10" t="n">
        <v>0.003213</v>
      </c>
      <c r="F7026" s="10" t="n">
        <v>0.2378795610910946</v>
      </c>
      <c r="G7026" s="11">
        <f>E7026*Summary!$B$6</f>
        <v/>
      </c>
      <c r="H7026" s="11">
        <f>F7026*Summary!$B$7</f>
        <v/>
      </c>
      <c r="I7026" s="11">
        <f>MAX(0,N7026-M7026)</f>
        <v/>
      </c>
      <c r="J7026" s="11">
        <f>MAX(0,M7026-N7026)</f>
        <v/>
      </c>
      <c r="K7026" s="11">
        <f>O7026</f>
        <v/>
      </c>
      <c r="L7026" s="11">
        <f>L7025+IF(K7026&gt;0,K7026*Summary!$B$9,K7026/Summary!$B$9)</f>
        <v/>
      </c>
      <c r="M7026" s="11">
        <f>G7026+H7026</f>
        <v/>
      </c>
      <c r="N7026" s="11">
        <f>Summary!$C$16*Summary!$B$8</f>
        <v/>
      </c>
      <c r="O7026" s="11">
        <f>M7026-N7026</f>
        <v/>
      </c>
    </row>
    <row r="7027">
      <c r="A7027" s="9" t="n">
        <v>45584.70833333334</v>
      </c>
      <c r="B7027" t="n">
        <v>10</v>
      </c>
      <c r="C7027" t="n">
        <v>19</v>
      </c>
      <c r="D7027" t="n">
        <v>17</v>
      </c>
      <c r="E7027" s="10" t="n">
        <v>0</v>
      </c>
      <c r="F7027" s="10" t="n">
        <v>0.2554036452968749</v>
      </c>
      <c r="G7027" s="11">
        <f>E7027*Summary!$B$6</f>
        <v/>
      </c>
      <c r="H7027" s="11">
        <f>F7027*Summary!$B$7</f>
        <v/>
      </c>
      <c r="I7027" s="11">
        <f>MAX(0,N7027-M7027)</f>
        <v/>
      </c>
      <c r="J7027" s="11">
        <f>MAX(0,M7027-N7027)</f>
        <v/>
      </c>
      <c r="K7027" s="11">
        <f>O7027</f>
        <v/>
      </c>
      <c r="L7027" s="11">
        <f>L7026+IF(K7027&gt;0,K7027*Summary!$B$9,K7027/Summary!$B$9)</f>
        <v/>
      </c>
      <c r="M7027" s="11">
        <f>G7027+H7027</f>
        <v/>
      </c>
      <c r="N7027" s="11">
        <f>Summary!$C$16*Summary!$B$8</f>
        <v/>
      </c>
      <c r="O7027" s="11">
        <f>M7027-N7027</f>
        <v/>
      </c>
    </row>
    <row r="7028">
      <c r="A7028" s="9" t="n">
        <v>45584.75</v>
      </c>
      <c r="B7028" t="n">
        <v>10</v>
      </c>
      <c r="C7028" t="n">
        <v>19</v>
      </c>
      <c r="D7028" t="n">
        <v>18</v>
      </c>
      <c r="E7028" s="10" t="n">
        <v>0</v>
      </c>
      <c r="F7028" s="10" t="n">
        <v>0.2718209452370269</v>
      </c>
      <c r="G7028" s="11">
        <f>E7028*Summary!$B$6</f>
        <v/>
      </c>
      <c r="H7028" s="11">
        <f>F7028*Summary!$B$7</f>
        <v/>
      </c>
      <c r="I7028" s="11">
        <f>MAX(0,N7028-M7028)</f>
        <v/>
      </c>
      <c r="J7028" s="11">
        <f>MAX(0,M7028-N7028)</f>
        <v/>
      </c>
      <c r="K7028" s="11">
        <f>O7028</f>
        <v/>
      </c>
      <c r="L7028" s="11">
        <f>L7027+IF(K7028&gt;0,K7028*Summary!$B$9,K7028/Summary!$B$9)</f>
        <v/>
      </c>
      <c r="M7028" s="11">
        <f>G7028+H7028</f>
        <v/>
      </c>
      <c r="N7028" s="11">
        <f>Summary!$C$16*Summary!$B$8</f>
        <v/>
      </c>
      <c r="O7028" s="11">
        <f>M7028-N7028</f>
        <v/>
      </c>
    </row>
    <row r="7029">
      <c r="A7029" s="9" t="n">
        <v>45584.79166666666</v>
      </c>
      <c r="B7029" t="n">
        <v>10</v>
      </c>
      <c r="C7029" t="n">
        <v>19</v>
      </c>
      <c r="D7029" t="n">
        <v>19</v>
      </c>
      <c r="E7029" s="10" t="n">
        <v>0</v>
      </c>
      <c r="F7029" s="10" t="n">
        <v>0.2872368689368486</v>
      </c>
      <c r="G7029" s="11">
        <f>E7029*Summary!$B$6</f>
        <v/>
      </c>
      <c r="H7029" s="11">
        <f>F7029*Summary!$B$7</f>
        <v/>
      </c>
      <c r="I7029" s="11">
        <f>MAX(0,N7029-M7029)</f>
        <v/>
      </c>
      <c r="J7029" s="11">
        <f>MAX(0,M7029-N7029)</f>
        <v/>
      </c>
      <c r="K7029" s="11">
        <f>O7029</f>
        <v/>
      </c>
      <c r="L7029" s="11">
        <f>L7028+IF(K7029&gt;0,K7029*Summary!$B$9,K7029/Summary!$B$9)</f>
        <v/>
      </c>
      <c r="M7029" s="11">
        <f>G7029+H7029</f>
        <v/>
      </c>
      <c r="N7029" s="11">
        <f>Summary!$C$16*Summary!$B$8</f>
        <v/>
      </c>
      <c r="O7029" s="11">
        <f>M7029-N7029</f>
        <v/>
      </c>
    </row>
    <row r="7030">
      <c r="A7030" s="9" t="n">
        <v>45584.83333333334</v>
      </c>
      <c r="B7030" t="n">
        <v>10</v>
      </c>
      <c r="C7030" t="n">
        <v>19</v>
      </c>
      <c r="D7030" t="n">
        <v>20</v>
      </c>
      <c r="E7030" s="10" t="n">
        <v>0</v>
      </c>
      <c r="F7030" s="10" t="n">
        <v>0.2973033353528005</v>
      </c>
      <c r="G7030" s="11">
        <f>E7030*Summary!$B$6</f>
        <v/>
      </c>
      <c r="H7030" s="11">
        <f>F7030*Summary!$B$7</f>
        <v/>
      </c>
      <c r="I7030" s="11">
        <f>MAX(0,N7030-M7030)</f>
        <v/>
      </c>
      <c r="J7030" s="11">
        <f>MAX(0,M7030-N7030)</f>
        <v/>
      </c>
      <c r="K7030" s="11">
        <f>O7030</f>
        <v/>
      </c>
      <c r="L7030" s="11">
        <f>L7029+IF(K7030&gt;0,K7030*Summary!$B$9,K7030/Summary!$B$9)</f>
        <v/>
      </c>
      <c r="M7030" s="11">
        <f>G7030+H7030</f>
        <v/>
      </c>
      <c r="N7030" s="11">
        <f>Summary!$C$16*Summary!$B$8</f>
        <v/>
      </c>
      <c r="O7030" s="11">
        <f>M7030-N7030</f>
        <v/>
      </c>
    </row>
    <row r="7031">
      <c r="A7031" s="9" t="n">
        <v>45584.875</v>
      </c>
      <c r="B7031" t="n">
        <v>10</v>
      </c>
      <c r="C7031" t="n">
        <v>19</v>
      </c>
      <c r="D7031" t="n">
        <v>21</v>
      </c>
      <c r="E7031" s="10" t="n">
        <v>0</v>
      </c>
      <c r="F7031" s="10" t="n">
        <v>0.3022838645481275</v>
      </c>
      <c r="G7031" s="11">
        <f>E7031*Summary!$B$6</f>
        <v/>
      </c>
      <c r="H7031" s="11">
        <f>F7031*Summary!$B$7</f>
        <v/>
      </c>
      <c r="I7031" s="11">
        <f>MAX(0,N7031-M7031)</f>
        <v/>
      </c>
      <c r="J7031" s="11">
        <f>MAX(0,M7031-N7031)</f>
        <v/>
      </c>
      <c r="K7031" s="11">
        <f>O7031</f>
        <v/>
      </c>
      <c r="L7031" s="11">
        <f>L7030+IF(K7031&gt;0,K7031*Summary!$B$9,K7031/Summary!$B$9)</f>
        <v/>
      </c>
      <c r="M7031" s="11">
        <f>G7031+H7031</f>
        <v/>
      </c>
      <c r="N7031" s="11">
        <f>Summary!$C$16*Summary!$B$8</f>
        <v/>
      </c>
      <c r="O7031" s="11">
        <f>M7031-N7031</f>
        <v/>
      </c>
    </row>
    <row r="7032">
      <c r="A7032" s="9" t="n">
        <v>45584.91666666666</v>
      </c>
      <c r="B7032" t="n">
        <v>10</v>
      </c>
      <c r="C7032" t="n">
        <v>19</v>
      </c>
      <c r="D7032" t="n">
        <v>22</v>
      </c>
      <c r="E7032" s="10" t="n">
        <v>0</v>
      </c>
      <c r="F7032" s="10" t="n">
        <v>0.3071589857181565</v>
      </c>
      <c r="G7032" s="11">
        <f>E7032*Summary!$B$6</f>
        <v/>
      </c>
      <c r="H7032" s="11">
        <f>F7032*Summary!$B$7</f>
        <v/>
      </c>
      <c r="I7032" s="11">
        <f>MAX(0,N7032-M7032)</f>
        <v/>
      </c>
      <c r="J7032" s="11">
        <f>MAX(0,M7032-N7032)</f>
        <v/>
      </c>
      <c r="K7032" s="11">
        <f>O7032</f>
        <v/>
      </c>
      <c r="L7032" s="11">
        <f>L7031+IF(K7032&gt;0,K7032*Summary!$B$9,K7032/Summary!$B$9)</f>
        <v/>
      </c>
      <c r="M7032" s="11">
        <f>G7032+H7032</f>
        <v/>
      </c>
      <c r="N7032" s="11">
        <f>Summary!$C$16*Summary!$B$8</f>
        <v/>
      </c>
      <c r="O7032" s="11">
        <f>M7032-N7032</f>
        <v/>
      </c>
    </row>
    <row r="7033">
      <c r="A7033" s="9" t="n">
        <v>45584.95833333334</v>
      </c>
      <c r="B7033" t="n">
        <v>10</v>
      </c>
      <c r="C7033" t="n">
        <v>19</v>
      </c>
      <c r="D7033" t="n">
        <v>23</v>
      </c>
      <c r="E7033" s="10" t="n">
        <v>0</v>
      </c>
      <c r="F7033" s="10" t="n">
        <v>0.3129037230968936</v>
      </c>
      <c r="G7033" s="11">
        <f>E7033*Summary!$B$6</f>
        <v/>
      </c>
      <c r="H7033" s="11">
        <f>F7033*Summary!$B$7</f>
        <v/>
      </c>
      <c r="I7033" s="11">
        <f>MAX(0,N7033-M7033)</f>
        <v/>
      </c>
      <c r="J7033" s="11">
        <f>MAX(0,M7033-N7033)</f>
        <v/>
      </c>
      <c r="K7033" s="11">
        <f>O7033</f>
        <v/>
      </c>
      <c r="L7033" s="11">
        <f>L7032+IF(K7033&gt;0,K7033*Summary!$B$9,K7033/Summary!$B$9)</f>
        <v/>
      </c>
      <c r="M7033" s="11">
        <f>G7033+H7033</f>
        <v/>
      </c>
      <c r="N7033" s="11">
        <f>Summary!$C$16*Summary!$B$8</f>
        <v/>
      </c>
      <c r="O7033" s="11">
        <f>M7033-N7033</f>
        <v/>
      </c>
    </row>
    <row r="7034">
      <c r="A7034" s="9" t="n">
        <v>45585</v>
      </c>
      <c r="B7034" t="n">
        <v>10</v>
      </c>
      <c r="C7034" t="n">
        <v>20</v>
      </c>
      <c r="D7034" t="n">
        <v>0</v>
      </c>
      <c r="E7034" s="10" t="n">
        <v>0</v>
      </c>
      <c r="F7034" s="10" t="n">
        <v>0.4531227487494597</v>
      </c>
      <c r="G7034" s="11">
        <f>E7034*Summary!$B$6</f>
        <v/>
      </c>
      <c r="H7034" s="11">
        <f>F7034*Summary!$B$7</f>
        <v/>
      </c>
      <c r="I7034" s="11">
        <f>MAX(0,N7034-M7034)</f>
        <v/>
      </c>
      <c r="J7034" s="11">
        <f>MAX(0,M7034-N7034)</f>
        <v/>
      </c>
      <c r="K7034" s="11">
        <f>O7034</f>
        <v/>
      </c>
      <c r="L7034" s="11">
        <f>L7033+IF(K7034&gt;0,K7034*Summary!$B$9,K7034/Summary!$B$9)</f>
        <v/>
      </c>
      <c r="M7034" s="11">
        <f>G7034+H7034</f>
        <v/>
      </c>
      <c r="N7034" s="11">
        <f>Summary!$C$16*Summary!$B$8</f>
        <v/>
      </c>
      <c r="O7034" s="11">
        <f>M7034-N7034</f>
        <v/>
      </c>
    </row>
    <row r="7035">
      <c r="A7035" s="9" t="n">
        <v>45585.04166666666</v>
      </c>
      <c r="B7035" t="n">
        <v>10</v>
      </c>
      <c r="C7035" t="n">
        <v>20</v>
      </c>
      <c r="D7035" t="n">
        <v>1</v>
      </c>
      <c r="E7035" s="10" t="n">
        <v>0</v>
      </c>
      <c r="F7035" s="10" t="n">
        <v>0.3517729324255038</v>
      </c>
      <c r="G7035" s="11">
        <f>E7035*Summary!$B$6</f>
        <v/>
      </c>
      <c r="H7035" s="11">
        <f>F7035*Summary!$B$7</f>
        <v/>
      </c>
      <c r="I7035" s="11">
        <f>MAX(0,N7035-M7035)</f>
        <v/>
      </c>
      <c r="J7035" s="11">
        <f>MAX(0,M7035-N7035)</f>
        <v/>
      </c>
      <c r="K7035" s="11">
        <f>O7035</f>
        <v/>
      </c>
      <c r="L7035" s="11">
        <f>L7034+IF(K7035&gt;0,K7035*Summary!$B$9,K7035/Summary!$B$9)</f>
        <v/>
      </c>
      <c r="M7035" s="11">
        <f>G7035+H7035</f>
        <v/>
      </c>
      <c r="N7035" s="11">
        <f>Summary!$C$16*Summary!$B$8</f>
        <v/>
      </c>
      <c r="O7035" s="11">
        <f>M7035-N7035</f>
        <v/>
      </c>
    </row>
    <row r="7036">
      <c r="A7036" s="9" t="n">
        <v>45585.08333333334</v>
      </c>
      <c r="B7036" t="n">
        <v>10</v>
      </c>
      <c r="C7036" t="n">
        <v>20</v>
      </c>
      <c r="D7036" t="n">
        <v>2</v>
      </c>
      <c r="E7036" s="10" t="n">
        <v>0</v>
      </c>
      <c r="F7036" s="10" t="n">
        <v>0.3363833607320066</v>
      </c>
      <c r="G7036" s="11">
        <f>E7036*Summary!$B$6</f>
        <v/>
      </c>
      <c r="H7036" s="11">
        <f>F7036*Summary!$B$7</f>
        <v/>
      </c>
      <c r="I7036" s="11">
        <f>MAX(0,N7036-M7036)</f>
        <v/>
      </c>
      <c r="J7036" s="11">
        <f>MAX(0,M7036-N7036)</f>
        <v/>
      </c>
      <c r="K7036" s="11">
        <f>O7036</f>
        <v/>
      </c>
      <c r="L7036" s="11">
        <f>L7035+IF(K7036&gt;0,K7036*Summary!$B$9,K7036/Summary!$B$9)</f>
        <v/>
      </c>
      <c r="M7036" s="11">
        <f>G7036+H7036</f>
        <v/>
      </c>
      <c r="N7036" s="11">
        <f>Summary!$C$16*Summary!$B$8</f>
        <v/>
      </c>
      <c r="O7036" s="11">
        <f>M7036-N7036</f>
        <v/>
      </c>
    </row>
    <row r="7037">
      <c r="A7037" s="9" t="n">
        <v>45585.125</v>
      </c>
      <c r="B7037" t="n">
        <v>10</v>
      </c>
      <c r="C7037" t="n">
        <v>20</v>
      </c>
      <c r="D7037" t="n">
        <v>3</v>
      </c>
      <c r="E7037" s="10" t="n">
        <v>0</v>
      </c>
      <c r="F7037" s="10" t="n">
        <v>0.3501654600397104</v>
      </c>
      <c r="G7037" s="11">
        <f>E7037*Summary!$B$6</f>
        <v/>
      </c>
      <c r="H7037" s="11">
        <f>F7037*Summary!$B$7</f>
        <v/>
      </c>
      <c r="I7037" s="11">
        <f>MAX(0,N7037-M7037)</f>
        <v/>
      </c>
      <c r="J7037" s="11">
        <f>MAX(0,M7037-N7037)</f>
        <v/>
      </c>
      <c r="K7037" s="11">
        <f>O7037</f>
        <v/>
      </c>
      <c r="L7037" s="11">
        <f>L7036+IF(K7037&gt;0,K7037*Summary!$B$9,K7037/Summary!$B$9)</f>
        <v/>
      </c>
      <c r="M7037" s="11">
        <f>G7037+H7037</f>
        <v/>
      </c>
      <c r="N7037" s="11">
        <f>Summary!$C$16*Summary!$B$8</f>
        <v/>
      </c>
      <c r="O7037" s="11">
        <f>M7037-N7037</f>
        <v/>
      </c>
    </row>
    <row r="7038">
      <c r="A7038" s="9" t="n">
        <v>45585.16666666666</v>
      </c>
      <c r="B7038" t="n">
        <v>10</v>
      </c>
      <c r="C7038" t="n">
        <v>20</v>
      </c>
      <c r="D7038" t="n">
        <v>4</v>
      </c>
      <c r="E7038" s="10" t="n">
        <v>0</v>
      </c>
      <c r="F7038" s="10" t="n">
        <v>0.3941206065889455</v>
      </c>
      <c r="G7038" s="11">
        <f>E7038*Summary!$B$6</f>
        <v/>
      </c>
      <c r="H7038" s="11">
        <f>F7038*Summary!$B$7</f>
        <v/>
      </c>
      <c r="I7038" s="11">
        <f>MAX(0,N7038-M7038)</f>
        <v/>
      </c>
      <c r="J7038" s="11">
        <f>MAX(0,M7038-N7038)</f>
        <v/>
      </c>
      <c r="K7038" s="11">
        <f>O7038</f>
        <v/>
      </c>
      <c r="L7038" s="11">
        <f>L7037+IF(K7038&gt;0,K7038*Summary!$B$9,K7038/Summary!$B$9)</f>
        <v/>
      </c>
      <c r="M7038" s="11">
        <f>G7038+H7038</f>
        <v/>
      </c>
      <c r="N7038" s="11">
        <f>Summary!$C$16*Summary!$B$8</f>
        <v/>
      </c>
      <c r="O7038" s="11">
        <f>M7038-N7038</f>
        <v/>
      </c>
    </row>
    <row r="7039">
      <c r="A7039" s="9" t="n">
        <v>45585.20833333334</v>
      </c>
      <c r="B7039" t="n">
        <v>10</v>
      </c>
      <c r="C7039" t="n">
        <v>20</v>
      </c>
      <c r="D7039" t="n">
        <v>5</v>
      </c>
      <c r="E7039" s="10" t="n">
        <v>0</v>
      </c>
      <c r="F7039" s="10" t="n">
        <v>0.3730653535356848</v>
      </c>
      <c r="G7039" s="11">
        <f>E7039*Summary!$B$6</f>
        <v/>
      </c>
      <c r="H7039" s="11">
        <f>F7039*Summary!$B$7</f>
        <v/>
      </c>
      <c r="I7039" s="11">
        <f>MAX(0,N7039-M7039)</f>
        <v/>
      </c>
      <c r="J7039" s="11">
        <f>MAX(0,M7039-N7039)</f>
        <v/>
      </c>
      <c r="K7039" s="11">
        <f>O7039</f>
        <v/>
      </c>
      <c r="L7039" s="11">
        <f>L7038+IF(K7039&gt;0,K7039*Summary!$B$9,K7039/Summary!$B$9)</f>
        <v/>
      </c>
      <c r="M7039" s="11">
        <f>G7039+H7039</f>
        <v/>
      </c>
      <c r="N7039" s="11">
        <f>Summary!$C$16*Summary!$B$8</f>
        <v/>
      </c>
      <c r="O7039" s="11">
        <f>M7039-N7039</f>
        <v/>
      </c>
    </row>
    <row r="7040">
      <c r="A7040" s="9" t="n">
        <v>45585.25</v>
      </c>
      <c r="B7040" t="n">
        <v>10</v>
      </c>
      <c r="C7040" t="n">
        <v>20</v>
      </c>
      <c r="D7040" t="n">
        <v>6</v>
      </c>
      <c r="E7040" s="10" t="n">
        <v>0</v>
      </c>
      <c r="F7040" s="10" t="n">
        <v>0.3808918994140558</v>
      </c>
      <c r="G7040" s="11">
        <f>E7040*Summary!$B$6</f>
        <v/>
      </c>
      <c r="H7040" s="11">
        <f>F7040*Summary!$B$7</f>
        <v/>
      </c>
      <c r="I7040" s="11">
        <f>MAX(0,N7040-M7040)</f>
        <v/>
      </c>
      <c r="J7040" s="11">
        <f>MAX(0,M7040-N7040)</f>
        <v/>
      </c>
      <c r="K7040" s="11">
        <f>O7040</f>
        <v/>
      </c>
      <c r="L7040" s="11">
        <f>L7039+IF(K7040&gt;0,K7040*Summary!$B$9,K7040/Summary!$B$9)</f>
        <v/>
      </c>
      <c r="M7040" s="11">
        <f>G7040+H7040</f>
        <v/>
      </c>
      <c r="N7040" s="11">
        <f>Summary!$C$16*Summary!$B$8</f>
        <v/>
      </c>
      <c r="O7040" s="11">
        <f>M7040-N7040</f>
        <v/>
      </c>
    </row>
    <row r="7041">
      <c r="A7041" s="9" t="n">
        <v>45585.29166666666</v>
      </c>
      <c r="B7041" t="n">
        <v>10</v>
      </c>
      <c r="C7041" t="n">
        <v>20</v>
      </c>
      <c r="D7041" t="n">
        <v>7</v>
      </c>
      <c r="E7041" s="10" t="n">
        <v>0</v>
      </c>
      <c r="F7041" s="10" t="n">
        <v>0.4128568830856519</v>
      </c>
      <c r="G7041" s="11">
        <f>E7041*Summary!$B$6</f>
        <v/>
      </c>
      <c r="H7041" s="11">
        <f>F7041*Summary!$B$7</f>
        <v/>
      </c>
      <c r="I7041" s="11">
        <f>MAX(0,N7041-M7041)</f>
        <v/>
      </c>
      <c r="J7041" s="11">
        <f>MAX(0,M7041-N7041)</f>
        <v/>
      </c>
      <c r="K7041" s="11">
        <f>O7041</f>
        <v/>
      </c>
      <c r="L7041" s="11">
        <f>L7040+IF(K7041&gt;0,K7041*Summary!$B$9,K7041/Summary!$B$9)</f>
        <v/>
      </c>
      <c r="M7041" s="11">
        <f>G7041+H7041</f>
        <v/>
      </c>
      <c r="N7041" s="11">
        <f>Summary!$C$16*Summary!$B$8</f>
        <v/>
      </c>
      <c r="O7041" s="11">
        <f>M7041-N7041</f>
        <v/>
      </c>
    </row>
    <row r="7042">
      <c r="A7042" s="9" t="n">
        <v>45585.33333333334</v>
      </c>
      <c r="B7042" t="n">
        <v>10</v>
      </c>
      <c r="C7042" t="n">
        <v>20</v>
      </c>
      <c r="D7042" t="n">
        <v>8</v>
      </c>
      <c r="E7042" s="10" t="n">
        <v>0.026435</v>
      </c>
      <c r="F7042" s="10" t="n">
        <v>0.3762275942946226</v>
      </c>
      <c r="G7042" s="11">
        <f>E7042*Summary!$B$6</f>
        <v/>
      </c>
      <c r="H7042" s="11">
        <f>F7042*Summary!$B$7</f>
        <v/>
      </c>
      <c r="I7042" s="11">
        <f>MAX(0,N7042-M7042)</f>
        <v/>
      </c>
      <c r="J7042" s="11">
        <f>MAX(0,M7042-N7042)</f>
        <v/>
      </c>
      <c r="K7042" s="11">
        <f>O7042</f>
        <v/>
      </c>
      <c r="L7042" s="11">
        <f>L7041+IF(K7042&gt;0,K7042*Summary!$B$9,K7042/Summary!$B$9)</f>
        <v/>
      </c>
      <c r="M7042" s="11">
        <f>G7042+H7042</f>
        <v/>
      </c>
      <c r="N7042" s="11">
        <f>Summary!$C$16*Summary!$B$8</f>
        <v/>
      </c>
      <c r="O7042" s="11">
        <f>M7042-N7042</f>
        <v/>
      </c>
    </row>
    <row r="7043">
      <c r="A7043" s="9" t="n">
        <v>45585.375</v>
      </c>
      <c r="B7043" t="n">
        <v>10</v>
      </c>
      <c r="C7043" t="n">
        <v>20</v>
      </c>
      <c r="D7043" t="n">
        <v>9</v>
      </c>
      <c r="E7043" s="10" t="n">
        <v>0.068912</v>
      </c>
      <c r="F7043" s="10" t="n">
        <v>0.3703774488905877</v>
      </c>
      <c r="G7043" s="11">
        <f>E7043*Summary!$B$6</f>
        <v/>
      </c>
      <c r="H7043" s="11">
        <f>F7043*Summary!$B$7</f>
        <v/>
      </c>
      <c r="I7043" s="11">
        <f>MAX(0,N7043-M7043)</f>
        <v/>
      </c>
      <c r="J7043" s="11">
        <f>MAX(0,M7043-N7043)</f>
        <v/>
      </c>
      <c r="K7043" s="11">
        <f>O7043</f>
        <v/>
      </c>
      <c r="L7043" s="11">
        <f>L7042+IF(K7043&gt;0,K7043*Summary!$B$9,K7043/Summary!$B$9)</f>
        <v/>
      </c>
      <c r="M7043" s="11">
        <f>G7043+H7043</f>
        <v/>
      </c>
      <c r="N7043" s="11">
        <f>Summary!$C$16*Summary!$B$8</f>
        <v/>
      </c>
      <c r="O7043" s="11">
        <f>M7043-N7043</f>
        <v/>
      </c>
    </row>
    <row r="7044">
      <c r="A7044" s="9" t="n">
        <v>45585.41666666666</v>
      </c>
      <c r="B7044" t="n">
        <v>10</v>
      </c>
      <c r="C7044" t="n">
        <v>20</v>
      </c>
      <c r="D7044" t="n">
        <v>10</v>
      </c>
      <c r="E7044" s="10" t="n">
        <v>0.077108</v>
      </c>
      <c r="F7044" s="10" t="n">
        <v>0.3639212073410897</v>
      </c>
      <c r="G7044" s="11">
        <f>E7044*Summary!$B$6</f>
        <v/>
      </c>
      <c r="H7044" s="11">
        <f>F7044*Summary!$B$7</f>
        <v/>
      </c>
      <c r="I7044" s="11">
        <f>MAX(0,N7044-M7044)</f>
        <v/>
      </c>
      <c r="J7044" s="11">
        <f>MAX(0,M7044-N7044)</f>
        <v/>
      </c>
      <c r="K7044" s="11">
        <f>O7044</f>
        <v/>
      </c>
      <c r="L7044" s="11">
        <f>L7043+IF(K7044&gt;0,K7044*Summary!$B$9,K7044/Summary!$B$9)</f>
        <v/>
      </c>
      <c r="M7044" s="11">
        <f>G7044+H7044</f>
        <v/>
      </c>
      <c r="N7044" s="11">
        <f>Summary!$C$16*Summary!$B$8</f>
        <v/>
      </c>
      <c r="O7044" s="11">
        <f>M7044-N7044</f>
        <v/>
      </c>
    </row>
    <row r="7045">
      <c r="A7045" s="9" t="n">
        <v>45585.45833333334</v>
      </c>
      <c r="B7045" t="n">
        <v>10</v>
      </c>
      <c r="C7045" t="n">
        <v>20</v>
      </c>
      <c r="D7045" t="n">
        <v>11</v>
      </c>
      <c r="E7045" s="10" t="n">
        <v>0.06546299999999999</v>
      </c>
      <c r="F7045" s="10" t="n">
        <v>0.3597048863291727</v>
      </c>
      <c r="G7045" s="11">
        <f>E7045*Summary!$B$6</f>
        <v/>
      </c>
      <c r="H7045" s="11">
        <f>F7045*Summary!$B$7</f>
        <v/>
      </c>
      <c r="I7045" s="11">
        <f>MAX(0,N7045-M7045)</f>
        <v/>
      </c>
      <c r="J7045" s="11">
        <f>MAX(0,M7045-N7045)</f>
        <v/>
      </c>
      <c r="K7045" s="11">
        <f>O7045</f>
        <v/>
      </c>
      <c r="L7045" s="11">
        <f>L7044+IF(K7045&gt;0,K7045*Summary!$B$9,K7045/Summary!$B$9)</f>
        <v/>
      </c>
      <c r="M7045" s="11">
        <f>G7045+H7045</f>
        <v/>
      </c>
      <c r="N7045" s="11">
        <f>Summary!$C$16*Summary!$B$8</f>
        <v/>
      </c>
      <c r="O7045" s="11">
        <f>M7045-N7045</f>
        <v/>
      </c>
    </row>
    <row r="7046">
      <c r="A7046" s="9" t="n">
        <v>45585.5</v>
      </c>
      <c r="B7046" t="n">
        <v>10</v>
      </c>
      <c r="C7046" t="n">
        <v>20</v>
      </c>
      <c r="D7046" t="n">
        <v>12</v>
      </c>
      <c r="E7046" s="10" t="n">
        <v>0.051173</v>
      </c>
      <c r="F7046" s="10" t="n">
        <v>0.3538810929314622</v>
      </c>
      <c r="G7046" s="11">
        <f>E7046*Summary!$B$6</f>
        <v/>
      </c>
      <c r="H7046" s="11">
        <f>F7046*Summary!$B$7</f>
        <v/>
      </c>
      <c r="I7046" s="11">
        <f>MAX(0,N7046-M7046)</f>
        <v/>
      </c>
      <c r="J7046" s="11">
        <f>MAX(0,M7046-N7046)</f>
        <v/>
      </c>
      <c r="K7046" s="11">
        <f>O7046</f>
        <v/>
      </c>
      <c r="L7046" s="11">
        <f>L7045+IF(K7046&gt;0,K7046*Summary!$B$9,K7046/Summary!$B$9)</f>
        <v/>
      </c>
      <c r="M7046" s="11">
        <f>G7046+H7046</f>
        <v/>
      </c>
      <c r="N7046" s="11">
        <f>Summary!$C$16*Summary!$B$8</f>
        <v/>
      </c>
      <c r="O7046" s="11">
        <f>M7046-N7046</f>
        <v/>
      </c>
    </row>
    <row r="7047">
      <c r="A7047" s="9" t="n">
        <v>45585.54166666666</v>
      </c>
      <c r="B7047" t="n">
        <v>10</v>
      </c>
      <c r="C7047" t="n">
        <v>20</v>
      </c>
      <c r="D7047" t="n">
        <v>13</v>
      </c>
      <c r="E7047" s="10" t="n">
        <v>0.026244</v>
      </c>
      <c r="F7047" s="10" t="n">
        <v>0.3542236690136806</v>
      </c>
      <c r="G7047" s="11">
        <f>E7047*Summary!$B$6</f>
        <v/>
      </c>
      <c r="H7047" s="11">
        <f>F7047*Summary!$B$7</f>
        <v/>
      </c>
      <c r="I7047" s="11">
        <f>MAX(0,N7047-M7047)</f>
        <v/>
      </c>
      <c r="J7047" s="11">
        <f>MAX(0,M7047-N7047)</f>
        <v/>
      </c>
      <c r="K7047" s="11">
        <f>O7047</f>
        <v/>
      </c>
      <c r="L7047" s="11">
        <f>L7046+IF(K7047&gt;0,K7047*Summary!$B$9,K7047/Summary!$B$9)</f>
        <v/>
      </c>
      <c r="M7047" s="11">
        <f>G7047+H7047</f>
        <v/>
      </c>
      <c r="N7047" s="11">
        <f>Summary!$C$16*Summary!$B$8</f>
        <v/>
      </c>
      <c r="O7047" s="11">
        <f>M7047-N7047</f>
        <v/>
      </c>
    </row>
    <row r="7048">
      <c r="A7048" s="9" t="n">
        <v>45585.58333333334</v>
      </c>
      <c r="B7048" t="n">
        <v>10</v>
      </c>
      <c r="C7048" t="n">
        <v>20</v>
      </c>
      <c r="D7048" t="n">
        <v>14</v>
      </c>
      <c r="E7048" s="10" t="n">
        <v>0.019019</v>
      </c>
      <c r="F7048" s="10" t="n">
        <v>0.3327731358655526</v>
      </c>
      <c r="G7048" s="11">
        <f>E7048*Summary!$B$6</f>
        <v/>
      </c>
      <c r="H7048" s="11">
        <f>F7048*Summary!$B$7</f>
        <v/>
      </c>
      <c r="I7048" s="11">
        <f>MAX(0,N7048-M7048)</f>
        <v/>
      </c>
      <c r="J7048" s="11">
        <f>MAX(0,M7048-N7048)</f>
        <v/>
      </c>
      <c r="K7048" s="11">
        <f>O7048</f>
        <v/>
      </c>
      <c r="L7048" s="11">
        <f>L7047+IF(K7048&gt;0,K7048*Summary!$B$9,K7048/Summary!$B$9)</f>
        <v/>
      </c>
      <c r="M7048" s="11">
        <f>G7048+H7048</f>
        <v/>
      </c>
      <c r="N7048" s="11">
        <f>Summary!$C$16*Summary!$B$8</f>
        <v/>
      </c>
      <c r="O7048" s="11">
        <f>M7048-N7048</f>
        <v/>
      </c>
    </row>
    <row r="7049">
      <c r="A7049" s="9" t="n">
        <v>45585.625</v>
      </c>
      <c r="B7049" t="n">
        <v>10</v>
      </c>
      <c r="C7049" t="n">
        <v>20</v>
      </c>
      <c r="D7049" t="n">
        <v>15</v>
      </c>
      <c r="E7049" s="10" t="n">
        <v>0.012907</v>
      </c>
      <c r="F7049" s="10" t="n">
        <v>0.3414692979526315</v>
      </c>
      <c r="G7049" s="11">
        <f>E7049*Summary!$B$6</f>
        <v/>
      </c>
      <c r="H7049" s="11">
        <f>F7049*Summary!$B$7</f>
        <v/>
      </c>
      <c r="I7049" s="11">
        <f>MAX(0,N7049-M7049)</f>
        <v/>
      </c>
      <c r="J7049" s="11">
        <f>MAX(0,M7049-N7049)</f>
        <v/>
      </c>
      <c r="K7049" s="11">
        <f>O7049</f>
        <v/>
      </c>
      <c r="L7049" s="11">
        <f>L7048+IF(K7049&gt;0,K7049*Summary!$B$9,K7049/Summary!$B$9)</f>
        <v/>
      </c>
      <c r="M7049" s="11">
        <f>G7049+H7049</f>
        <v/>
      </c>
      <c r="N7049" s="11">
        <f>Summary!$C$16*Summary!$B$8</f>
        <v/>
      </c>
      <c r="O7049" s="11">
        <f>M7049-N7049</f>
        <v/>
      </c>
    </row>
    <row r="7050">
      <c r="A7050" s="9" t="n">
        <v>45585.66666666666</v>
      </c>
      <c r="B7050" t="n">
        <v>10</v>
      </c>
      <c r="C7050" t="n">
        <v>20</v>
      </c>
      <c r="D7050" t="n">
        <v>16</v>
      </c>
      <c r="E7050" s="10" t="n">
        <v>0</v>
      </c>
      <c r="F7050" s="10" t="n">
        <v>0.3612860067086416</v>
      </c>
      <c r="G7050" s="11">
        <f>E7050*Summary!$B$6</f>
        <v/>
      </c>
      <c r="H7050" s="11">
        <f>F7050*Summary!$B$7</f>
        <v/>
      </c>
      <c r="I7050" s="11">
        <f>MAX(0,N7050-M7050)</f>
        <v/>
      </c>
      <c r="J7050" s="11">
        <f>MAX(0,M7050-N7050)</f>
        <v/>
      </c>
      <c r="K7050" s="11">
        <f>O7050</f>
        <v/>
      </c>
      <c r="L7050" s="11">
        <f>L7049+IF(K7050&gt;0,K7050*Summary!$B$9,K7050/Summary!$B$9)</f>
        <v/>
      </c>
      <c r="M7050" s="11">
        <f>G7050+H7050</f>
        <v/>
      </c>
      <c r="N7050" s="11">
        <f>Summary!$C$16*Summary!$B$8</f>
        <v/>
      </c>
      <c r="O7050" s="11">
        <f>M7050-N7050</f>
        <v/>
      </c>
    </row>
    <row r="7051">
      <c r="A7051" s="9" t="n">
        <v>45585.70833333334</v>
      </c>
      <c r="B7051" t="n">
        <v>10</v>
      </c>
      <c r="C7051" t="n">
        <v>20</v>
      </c>
      <c r="D7051" t="n">
        <v>17</v>
      </c>
      <c r="E7051" s="10" t="n">
        <v>0</v>
      </c>
      <c r="F7051" s="10" t="n">
        <v>0.3860305406473297</v>
      </c>
      <c r="G7051" s="11">
        <f>E7051*Summary!$B$6</f>
        <v/>
      </c>
      <c r="H7051" s="11">
        <f>F7051*Summary!$B$7</f>
        <v/>
      </c>
      <c r="I7051" s="11">
        <f>MAX(0,N7051-M7051)</f>
        <v/>
      </c>
      <c r="J7051" s="11">
        <f>MAX(0,M7051-N7051)</f>
        <v/>
      </c>
      <c r="K7051" s="11">
        <f>O7051</f>
        <v/>
      </c>
      <c r="L7051" s="11">
        <f>L7050+IF(K7051&gt;0,K7051*Summary!$B$9,K7051/Summary!$B$9)</f>
        <v/>
      </c>
      <c r="M7051" s="11">
        <f>G7051+H7051</f>
        <v/>
      </c>
      <c r="N7051" s="11">
        <f>Summary!$C$16*Summary!$B$8</f>
        <v/>
      </c>
      <c r="O7051" s="11">
        <f>M7051-N7051</f>
        <v/>
      </c>
    </row>
    <row r="7052">
      <c r="A7052" s="9" t="n">
        <v>45585.75</v>
      </c>
      <c r="B7052" t="n">
        <v>10</v>
      </c>
      <c r="C7052" t="n">
        <v>20</v>
      </c>
      <c r="D7052" t="n">
        <v>18</v>
      </c>
      <c r="E7052" s="10" t="n">
        <v>0</v>
      </c>
      <c r="F7052" s="10" t="n">
        <v>0.4101953304468793</v>
      </c>
      <c r="G7052" s="11">
        <f>E7052*Summary!$B$6</f>
        <v/>
      </c>
      <c r="H7052" s="11">
        <f>F7052*Summary!$B$7</f>
        <v/>
      </c>
      <c r="I7052" s="11">
        <f>MAX(0,N7052-M7052)</f>
        <v/>
      </c>
      <c r="J7052" s="11">
        <f>MAX(0,M7052-N7052)</f>
        <v/>
      </c>
      <c r="K7052" s="11">
        <f>O7052</f>
        <v/>
      </c>
      <c r="L7052" s="11">
        <f>L7051+IF(K7052&gt;0,K7052*Summary!$B$9,K7052/Summary!$B$9)</f>
        <v/>
      </c>
      <c r="M7052" s="11">
        <f>G7052+H7052</f>
        <v/>
      </c>
      <c r="N7052" s="11">
        <f>Summary!$C$16*Summary!$B$8</f>
        <v/>
      </c>
      <c r="O7052" s="11">
        <f>M7052-N7052</f>
        <v/>
      </c>
    </row>
    <row r="7053">
      <c r="A7053" s="9" t="n">
        <v>45585.79166666666</v>
      </c>
      <c r="B7053" t="n">
        <v>10</v>
      </c>
      <c r="C7053" t="n">
        <v>20</v>
      </c>
      <c r="D7053" t="n">
        <v>19</v>
      </c>
      <c r="E7053" s="10" t="n">
        <v>0</v>
      </c>
      <c r="F7053" s="10" t="n">
        <v>0.4270606144945475</v>
      </c>
      <c r="G7053" s="11">
        <f>E7053*Summary!$B$6</f>
        <v/>
      </c>
      <c r="H7053" s="11">
        <f>F7053*Summary!$B$7</f>
        <v/>
      </c>
      <c r="I7053" s="11">
        <f>MAX(0,N7053-M7053)</f>
        <v/>
      </c>
      <c r="J7053" s="11">
        <f>MAX(0,M7053-N7053)</f>
        <v/>
      </c>
      <c r="K7053" s="11">
        <f>O7053</f>
        <v/>
      </c>
      <c r="L7053" s="11">
        <f>L7052+IF(K7053&gt;0,K7053*Summary!$B$9,K7053/Summary!$B$9)</f>
        <v/>
      </c>
      <c r="M7053" s="11">
        <f>G7053+H7053</f>
        <v/>
      </c>
      <c r="N7053" s="11">
        <f>Summary!$C$16*Summary!$B$8</f>
        <v/>
      </c>
      <c r="O7053" s="11">
        <f>M7053-N7053</f>
        <v/>
      </c>
    </row>
    <row r="7054">
      <c r="A7054" s="9" t="n">
        <v>45585.83333333334</v>
      </c>
      <c r="B7054" t="n">
        <v>10</v>
      </c>
      <c r="C7054" t="n">
        <v>20</v>
      </c>
      <c r="D7054" t="n">
        <v>20</v>
      </c>
      <c r="E7054" s="10" t="n">
        <v>0</v>
      </c>
      <c r="F7054" s="10" t="n">
        <v>0.4601060304254473</v>
      </c>
      <c r="G7054" s="11">
        <f>E7054*Summary!$B$6</f>
        <v/>
      </c>
      <c r="H7054" s="11">
        <f>F7054*Summary!$B$7</f>
        <v/>
      </c>
      <c r="I7054" s="11">
        <f>MAX(0,N7054-M7054)</f>
        <v/>
      </c>
      <c r="J7054" s="11">
        <f>MAX(0,M7054-N7054)</f>
        <v/>
      </c>
      <c r="K7054" s="11">
        <f>O7054</f>
        <v/>
      </c>
      <c r="L7054" s="11">
        <f>L7053+IF(K7054&gt;0,K7054*Summary!$B$9,K7054/Summary!$B$9)</f>
        <v/>
      </c>
      <c r="M7054" s="11">
        <f>G7054+H7054</f>
        <v/>
      </c>
      <c r="N7054" s="11">
        <f>Summary!$C$16*Summary!$B$8</f>
        <v/>
      </c>
      <c r="O7054" s="11">
        <f>M7054-N7054</f>
        <v/>
      </c>
    </row>
    <row r="7055">
      <c r="A7055" s="9" t="n">
        <v>45585.875</v>
      </c>
      <c r="B7055" t="n">
        <v>10</v>
      </c>
      <c r="C7055" t="n">
        <v>20</v>
      </c>
      <c r="D7055" t="n">
        <v>21</v>
      </c>
      <c r="E7055" s="10" t="n">
        <v>0</v>
      </c>
      <c r="F7055" s="10" t="n">
        <v>0.4580505739321378</v>
      </c>
      <c r="G7055" s="11">
        <f>E7055*Summary!$B$6</f>
        <v/>
      </c>
      <c r="H7055" s="11">
        <f>F7055*Summary!$B$7</f>
        <v/>
      </c>
      <c r="I7055" s="11">
        <f>MAX(0,N7055-M7055)</f>
        <v/>
      </c>
      <c r="J7055" s="11">
        <f>MAX(0,M7055-N7055)</f>
        <v/>
      </c>
      <c r="K7055" s="11">
        <f>O7055</f>
        <v/>
      </c>
      <c r="L7055" s="11">
        <f>L7054+IF(K7055&gt;0,K7055*Summary!$B$9,K7055/Summary!$B$9)</f>
        <v/>
      </c>
      <c r="M7055" s="11">
        <f>G7055+H7055</f>
        <v/>
      </c>
      <c r="N7055" s="11">
        <f>Summary!$C$16*Summary!$B$8</f>
        <v/>
      </c>
      <c r="O7055" s="11">
        <f>M7055-N7055</f>
        <v/>
      </c>
    </row>
    <row r="7056">
      <c r="A7056" s="9" t="n">
        <v>45585.91666666666</v>
      </c>
      <c r="B7056" t="n">
        <v>10</v>
      </c>
      <c r="C7056" t="n">
        <v>20</v>
      </c>
      <c r="D7056" t="n">
        <v>22</v>
      </c>
      <c r="E7056" s="10" t="n">
        <v>0</v>
      </c>
      <c r="F7056" s="10" t="n">
        <v>0.4567066216095892</v>
      </c>
      <c r="G7056" s="11">
        <f>E7056*Summary!$B$6</f>
        <v/>
      </c>
      <c r="H7056" s="11">
        <f>F7056*Summary!$B$7</f>
        <v/>
      </c>
      <c r="I7056" s="11">
        <f>MAX(0,N7056-M7056)</f>
        <v/>
      </c>
      <c r="J7056" s="11">
        <f>MAX(0,M7056-N7056)</f>
        <v/>
      </c>
      <c r="K7056" s="11">
        <f>O7056</f>
        <v/>
      </c>
      <c r="L7056" s="11">
        <f>L7055+IF(K7056&gt;0,K7056*Summary!$B$9,K7056/Summary!$B$9)</f>
        <v/>
      </c>
      <c r="M7056" s="11">
        <f>G7056+H7056</f>
        <v/>
      </c>
      <c r="N7056" s="11">
        <f>Summary!$C$16*Summary!$B$8</f>
        <v/>
      </c>
      <c r="O7056" s="11">
        <f>M7056-N7056</f>
        <v/>
      </c>
    </row>
    <row r="7057">
      <c r="A7057" s="9" t="n">
        <v>45585.95833333334</v>
      </c>
      <c r="B7057" t="n">
        <v>10</v>
      </c>
      <c r="C7057" t="n">
        <v>20</v>
      </c>
      <c r="D7057" t="n">
        <v>23</v>
      </c>
      <c r="E7057" s="10" t="n">
        <v>0</v>
      </c>
      <c r="F7057" s="10" t="n">
        <v>0.4534916768380024</v>
      </c>
      <c r="G7057" s="11">
        <f>E7057*Summary!$B$6</f>
        <v/>
      </c>
      <c r="H7057" s="11">
        <f>F7057*Summary!$B$7</f>
        <v/>
      </c>
      <c r="I7057" s="11">
        <f>MAX(0,N7057-M7057)</f>
        <v/>
      </c>
      <c r="J7057" s="11">
        <f>MAX(0,M7057-N7057)</f>
        <v/>
      </c>
      <c r="K7057" s="11">
        <f>O7057</f>
        <v/>
      </c>
      <c r="L7057" s="11">
        <f>L7056+IF(K7057&gt;0,K7057*Summary!$B$9,K7057/Summary!$B$9)</f>
        <v/>
      </c>
      <c r="M7057" s="11">
        <f>G7057+H7057</f>
        <v/>
      </c>
      <c r="N7057" s="11">
        <f>Summary!$C$16*Summary!$B$8</f>
        <v/>
      </c>
      <c r="O7057" s="11">
        <f>M7057-N7057</f>
        <v/>
      </c>
    </row>
    <row r="7058">
      <c r="A7058" s="9" t="n">
        <v>45586</v>
      </c>
      <c r="B7058" t="n">
        <v>10</v>
      </c>
      <c r="C7058" t="n">
        <v>21</v>
      </c>
      <c r="D7058" t="n">
        <v>0</v>
      </c>
      <c r="E7058" s="10" t="n">
        <v>0</v>
      </c>
      <c r="F7058" s="10" t="n">
        <v>0.4892513494203239</v>
      </c>
      <c r="G7058" s="11">
        <f>E7058*Summary!$B$6</f>
        <v/>
      </c>
      <c r="H7058" s="11">
        <f>F7058*Summary!$B$7</f>
        <v/>
      </c>
      <c r="I7058" s="11">
        <f>MAX(0,N7058-M7058)</f>
        <v/>
      </c>
      <c r="J7058" s="11">
        <f>MAX(0,M7058-N7058)</f>
        <v/>
      </c>
      <c r="K7058" s="11">
        <f>O7058</f>
        <v/>
      </c>
      <c r="L7058" s="11">
        <f>L7057+IF(K7058&gt;0,K7058*Summary!$B$9,K7058/Summary!$B$9)</f>
        <v/>
      </c>
      <c r="M7058" s="11">
        <f>G7058+H7058</f>
        <v/>
      </c>
      <c r="N7058" s="11">
        <f>Summary!$C$16*Summary!$B$8</f>
        <v/>
      </c>
      <c r="O7058" s="11">
        <f>M7058-N7058</f>
        <v/>
      </c>
    </row>
    <row r="7059">
      <c r="A7059" s="9" t="n">
        <v>45586.04166666666</v>
      </c>
      <c r="B7059" t="n">
        <v>10</v>
      </c>
      <c r="C7059" t="n">
        <v>21</v>
      </c>
      <c r="D7059" t="n">
        <v>1</v>
      </c>
      <c r="E7059" s="10" t="n">
        <v>0</v>
      </c>
      <c r="F7059" s="10" t="n">
        <v>0.4556788933629344</v>
      </c>
      <c r="G7059" s="11">
        <f>E7059*Summary!$B$6</f>
        <v/>
      </c>
      <c r="H7059" s="11">
        <f>F7059*Summary!$B$7</f>
        <v/>
      </c>
      <c r="I7059" s="11">
        <f>MAX(0,N7059-M7059)</f>
        <v/>
      </c>
      <c r="J7059" s="11">
        <f>MAX(0,M7059-N7059)</f>
        <v/>
      </c>
      <c r="K7059" s="11">
        <f>O7059</f>
        <v/>
      </c>
      <c r="L7059" s="11">
        <f>L7058+IF(K7059&gt;0,K7059*Summary!$B$9,K7059/Summary!$B$9)</f>
        <v/>
      </c>
      <c r="M7059" s="11">
        <f>G7059+H7059</f>
        <v/>
      </c>
      <c r="N7059" s="11">
        <f>Summary!$C$16*Summary!$B$8</f>
        <v/>
      </c>
      <c r="O7059" s="11">
        <f>M7059-N7059</f>
        <v/>
      </c>
    </row>
    <row r="7060">
      <c r="A7060" s="9" t="n">
        <v>45586.08333333334</v>
      </c>
      <c r="B7060" t="n">
        <v>10</v>
      </c>
      <c r="C7060" t="n">
        <v>21</v>
      </c>
      <c r="D7060" t="n">
        <v>2</v>
      </c>
      <c r="E7060" s="10" t="n">
        <v>0</v>
      </c>
      <c r="F7060" s="10" t="n">
        <v>0.4557052453692589</v>
      </c>
      <c r="G7060" s="11">
        <f>E7060*Summary!$B$6</f>
        <v/>
      </c>
      <c r="H7060" s="11">
        <f>F7060*Summary!$B$7</f>
        <v/>
      </c>
      <c r="I7060" s="11">
        <f>MAX(0,N7060-M7060)</f>
        <v/>
      </c>
      <c r="J7060" s="11">
        <f>MAX(0,M7060-N7060)</f>
        <v/>
      </c>
      <c r="K7060" s="11">
        <f>O7060</f>
        <v/>
      </c>
      <c r="L7060" s="11">
        <f>L7059+IF(K7060&gt;0,K7060*Summary!$B$9,K7060/Summary!$B$9)</f>
        <v/>
      </c>
      <c r="M7060" s="11">
        <f>G7060+H7060</f>
        <v/>
      </c>
      <c r="N7060" s="11">
        <f>Summary!$C$16*Summary!$B$8</f>
        <v/>
      </c>
      <c r="O7060" s="11">
        <f>M7060-N7060</f>
        <v/>
      </c>
    </row>
    <row r="7061">
      <c r="A7061" s="9" t="n">
        <v>45586.125</v>
      </c>
      <c r="B7061" t="n">
        <v>10</v>
      </c>
      <c r="C7061" t="n">
        <v>21</v>
      </c>
      <c r="D7061" t="n">
        <v>3</v>
      </c>
      <c r="E7061" s="10" t="n">
        <v>0</v>
      </c>
      <c r="F7061" s="10" t="n">
        <v>0.4634790872349809</v>
      </c>
      <c r="G7061" s="11">
        <f>E7061*Summary!$B$6</f>
        <v/>
      </c>
      <c r="H7061" s="11">
        <f>F7061*Summary!$B$7</f>
        <v/>
      </c>
      <c r="I7061" s="11">
        <f>MAX(0,N7061-M7061)</f>
        <v/>
      </c>
      <c r="J7061" s="11">
        <f>MAX(0,M7061-N7061)</f>
        <v/>
      </c>
      <c r="K7061" s="11">
        <f>O7061</f>
        <v/>
      </c>
      <c r="L7061" s="11">
        <f>L7060+IF(K7061&gt;0,K7061*Summary!$B$9,K7061/Summary!$B$9)</f>
        <v/>
      </c>
      <c r="M7061" s="11">
        <f>G7061+H7061</f>
        <v/>
      </c>
      <c r="N7061" s="11">
        <f>Summary!$C$16*Summary!$B$8</f>
        <v/>
      </c>
      <c r="O7061" s="11">
        <f>M7061-N7061</f>
        <v/>
      </c>
    </row>
    <row r="7062">
      <c r="A7062" s="9" t="n">
        <v>45586.16666666666</v>
      </c>
      <c r="B7062" t="n">
        <v>10</v>
      </c>
      <c r="C7062" t="n">
        <v>21</v>
      </c>
      <c r="D7062" t="n">
        <v>4</v>
      </c>
      <c r="E7062" s="10" t="n">
        <v>0</v>
      </c>
      <c r="F7062" s="10" t="n">
        <v>0.4680906883417651</v>
      </c>
      <c r="G7062" s="11">
        <f>E7062*Summary!$B$6</f>
        <v/>
      </c>
      <c r="H7062" s="11">
        <f>F7062*Summary!$B$7</f>
        <v/>
      </c>
      <c r="I7062" s="11">
        <f>MAX(0,N7062-M7062)</f>
        <v/>
      </c>
      <c r="J7062" s="11">
        <f>MAX(0,M7062-N7062)</f>
        <v/>
      </c>
      <c r="K7062" s="11">
        <f>O7062</f>
        <v/>
      </c>
      <c r="L7062" s="11">
        <f>L7061+IF(K7062&gt;0,K7062*Summary!$B$9,K7062/Summary!$B$9)</f>
        <v/>
      </c>
      <c r="M7062" s="11">
        <f>G7062+H7062</f>
        <v/>
      </c>
      <c r="N7062" s="11">
        <f>Summary!$C$16*Summary!$B$8</f>
        <v/>
      </c>
      <c r="O7062" s="11">
        <f>M7062-N7062</f>
        <v/>
      </c>
    </row>
    <row r="7063">
      <c r="A7063" s="9" t="n">
        <v>45586.20833333334</v>
      </c>
      <c r="B7063" t="n">
        <v>10</v>
      </c>
      <c r="C7063" t="n">
        <v>21</v>
      </c>
      <c r="D7063" t="n">
        <v>5</v>
      </c>
      <c r="E7063" s="10" t="n">
        <v>0</v>
      </c>
      <c r="F7063" s="10" t="n">
        <v>0.4772611865426848</v>
      </c>
      <c r="G7063" s="11">
        <f>E7063*Summary!$B$6</f>
        <v/>
      </c>
      <c r="H7063" s="11">
        <f>F7063*Summary!$B$7</f>
        <v/>
      </c>
      <c r="I7063" s="11">
        <f>MAX(0,N7063-M7063)</f>
        <v/>
      </c>
      <c r="J7063" s="11">
        <f>MAX(0,M7063-N7063)</f>
        <v/>
      </c>
      <c r="K7063" s="11">
        <f>O7063</f>
        <v/>
      </c>
      <c r="L7063" s="11">
        <f>L7062+IF(K7063&gt;0,K7063*Summary!$B$9,K7063/Summary!$B$9)</f>
        <v/>
      </c>
      <c r="M7063" s="11">
        <f>G7063+H7063</f>
        <v/>
      </c>
      <c r="N7063" s="11">
        <f>Summary!$C$16*Summary!$B$8</f>
        <v/>
      </c>
      <c r="O7063" s="11">
        <f>M7063-N7063</f>
        <v/>
      </c>
    </row>
    <row r="7064">
      <c r="A7064" s="9" t="n">
        <v>45586.25</v>
      </c>
      <c r="B7064" t="n">
        <v>10</v>
      </c>
      <c r="C7064" t="n">
        <v>21</v>
      </c>
      <c r="D7064" t="n">
        <v>6</v>
      </c>
      <c r="E7064" s="10" t="n">
        <v>0</v>
      </c>
      <c r="F7064" s="10" t="n">
        <v>0.4740725937774225</v>
      </c>
      <c r="G7064" s="11">
        <f>E7064*Summary!$B$6</f>
        <v/>
      </c>
      <c r="H7064" s="11">
        <f>F7064*Summary!$B$7</f>
        <v/>
      </c>
      <c r="I7064" s="11">
        <f>MAX(0,N7064-M7064)</f>
        <v/>
      </c>
      <c r="J7064" s="11">
        <f>MAX(0,M7064-N7064)</f>
        <v/>
      </c>
      <c r="K7064" s="11">
        <f>O7064</f>
        <v/>
      </c>
      <c r="L7064" s="11">
        <f>L7063+IF(K7064&gt;0,K7064*Summary!$B$9,K7064/Summary!$B$9)</f>
        <v/>
      </c>
      <c r="M7064" s="11">
        <f>G7064+H7064</f>
        <v/>
      </c>
      <c r="N7064" s="11">
        <f>Summary!$C$16*Summary!$B$8</f>
        <v/>
      </c>
      <c r="O7064" s="11">
        <f>M7064-N7064</f>
        <v/>
      </c>
    </row>
    <row r="7065">
      <c r="A7065" s="9" t="n">
        <v>45586.29166666666</v>
      </c>
      <c r="B7065" t="n">
        <v>10</v>
      </c>
      <c r="C7065" t="n">
        <v>21</v>
      </c>
      <c r="D7065" t="n">
        <v>7</v>
      </c>
      <c r="E7065" s="10" t="n">
        <v>0</v>
      </c>
      <c r="F7065" s="10" t="n">
        <v>0.4664568639496473</v>
      </c>
      <c r="G7065" s="11">
        <f>E7065*Summary!$B$6</f>
        <v/>
      </c>
      <c r="H7065" s="11">
        <f>F7065*Summary!$B$7</f>
        <v/>
      </c>
      <c r="I7065" s="11">
        <f>MAX(0,N7065-M7065)</f>
        <v/>
      </c>
      <c r="J7065" s="11">
        <f>MAX(0,M7065-N7065)</f>
        <v/>
      </c>
      <c r="K7065" s="11">
        <f>O7065</f>
        <v/>
      </c>
      <c r="L7065" s="11">
        <f>L7064+IF(K7065&gt;0,K7065*Summary!$B$9,K7065/Summary!$B$9)</f>
        <v/>
      </c>
      <c r="M7065" s="11">
        <f>G7065+H7065</f>
        <v/>
      </c>
      <c r="N7065" s="11">
        <f>Summary!$C$16*Summary!$B$8</f>
        <v/>
      </c>
      <c r="O7065" s="11">
        <f>M7065-N7065</f>
        <v/>
      </c>
    </row>
    <row r="7066">
      <c r="A7066" s="9" t="n">
        <v>45586.33333333334</v>
      </c>
      <c r="B7066" t="n">
        <v>10</v>
      </c>
      <c r="C7066" t="n">
        <v>21</v>
      </c>
      <c r="D7066" t="n">
        <v>8</v>
      </c>
      <c r="E7066" s="10" t="n">
        <v>0.01574</v>
      </c>
      <c r="F7066" s="10" t="n">
        <v>0.4565748615779668</v>
      </c>
      <c r="G7066" s="11">
        <f>E7066*Summary!$B$6</f>
        <v/>
      </c>
      <c r="H7066" s="11">
        <f>F7066*Summary!$B$7</f>
        <v/>
      </c>
      <c r="I7066" s="11">
        <f>MAX(0,N7066-M7066)</f>
        <v/>
      </c>
      <c r="J7066" s="11">
        <f>MAX(0,M7066-N7066)</f>
        <v/>
      </c>
      <c r="K7066" s="11">
        <f>O7066</f>
        <v/>
      </c>
      <c r="L7066" s="11">
        <f>L7065+IF(K7066&gt;0,K7066*Summary!$B$9,K7066/Summary!$B$9)</f>
        <v/>
      </c>
      <c r="M7066" s="11">
        <f>G7066+H7066</f>
        <v/>
      </c>
      <c r="N7066" s="11">
        <f>Summary!$C$16*Summary!$B$8</f>
        <v/>
      </c>
      <c r="O7066" s="11">
        <f>M7066-N7066</f>
        <v/>
      </c>
    </row>
    <row r="7067">
      <c r="A7067" s="9" t="n">
        <v>45586.375</v>
      </c>
      <c r="B7067" t="n">
        <v>10</v>
      </c>
      <c r="C7067" t="n">
        <v>21</v>
      </c>
      <c r="D7067" t="n">
        <v>9</v>
      </c>
      <c r="E7067" s="10" t="n">
        <v>0.033377</v>
      </c>
      <c r="F7067" s="10" t="n">
        <v>0.4491699478007875</v>
      </c>
      <c r="G7067" s="11">
        <f>E7067*Summary!$B$6</f>
        <v/>
      </c>
      <c r="H7067" s="11">
        <f>F7067*Summary!$B$7</f>
        <v/>
      </c>
      <c r="I7067" s="11">
        <f>MAX(0,N7067-M7067)</f>
        <v/>
      </c>
      <c r="J7067" s="11">
        <f>MAX(0,M7067-N7067)</f>
        <v/>
      </c>
      <c r="K7067" s="11">
        <f>O7067</f>
        <v/>
      </c>
      <c r="L7067" s="11">
        <f>L7066+IF(K7067&gt;0,K7067*Summary!$B$9,K7067/Summary!$B$9)</f>
        <v/>
      </c>
      <c r="M7067" s="11">
        <f>G7067+H7067</f>
        <v/>
      </c>
      <c r="N7067" s="11">
        <f>Summary!$C$16*Summary!$B$8</f>
        <v/>
      </c>
      <c r="O7067" s="11">
        <f>M7067-N7067</f>
        <v/>
      </c>
    </row>
    <row r="7068">
      <c r="A7068" s="9" t="n">
        <v>45586.41666666666</v>
      </c>
      <c r="B7068" t="n">
        <v>10</v>
      </c>
      <c r="C7068" t="n">
        <v>21</v>
      </c>
      <c r="D7068" t="n">
        <v>10</v>
      </c>
      <c r="E7068" s="10" t="n">
        <v>0.055666</v>
      </c>
      <c r="F7068" s="10" t="n">
        <v>0.4463502831240679</v>
      </c>
      <c r="G7068" s="11">
        <f>E7068*Summary!$B$6</f>
        <v/>
      </c>
      <c r="H7068" s="11">
        <f>F7068*Summary!$B$7</f>
        <v/>
      </c>
      <c r="I7068" s="11">
        <f>MAX(0,N7068-M7068)</f>
        <v/>
      </c>
      <c r="J7068" s="11">
        <f>MAX(0,M7068-N7068)</f>
        <v/>
      </c>
      <c r="K7068" s="11">
        <f>O7068</f>
        <v/>
      </c>
      <c r="L7068" s="11">
        <f>L7067+IF(K7068&gt;0,K7068*Summary!$B$9,K7068/Summary!$B$9)</f>
        <v/>
      </c>
      <c r="M7068" s="11">
        <f>G7068+H7068</f>
        <v/>
      </c>
      <c r="N7068" s="11">
        <f>Summary!$C$16*Summary!$B$8</f>
        <v/>
      </c>
      <c r="O7068" s="11">
        <f>M7068-N7068</f>
        <v/>
      </c>
    </row>
    <row r="7069">
      <c r="A7069" s="9" t="n">
        <v>45586.45833333334</v>
      </c>
      <c r="B7069" t="n">
        <v>10</v>
      </c>
      <c r="C7069" t="n">
        <v>21</v>
      </c>
      <c r="D7069" t="n">
        <v>11</v>
      </c>
      <c r="E7069" s="10" t="n">
        <v>0.044129</v>
      </c>
      <c r="F7069" s="10" t="n">
        <v>0.4504348441043626</v>
      </c>
      <c r="G7069" s="11">
        <f>E7069*Summary!$B$6</f>
        <v/>
      </c>
      <c r="H7069" s="11">
        <f>F7069*Summary!$B$7</f>
        <v/>
      </c>
      <c r="I7069" s="11">
        <f>MAX(0,N7069-M7069)</f>
        <v/>
      </c>
      <c r="J7069" s="11">
        <f>MAX(0,M7069-N7069)</f>
        <v/>
      </c>
      <c r="K7069" s="11">
        <f>O7069</f>
        <v/>
      </c>
      <c r="L7069" s="11">
        <f>L7068+IF(K7069&gt;0,K7069*Summary!$B$9,K7069/Summary!$B$9)</f>
        <v/>
      </c>
      <c r="M7069" s="11">
        <f>G7069+H7069</f>
        <v/>
      </c>
      <c r="N7069" s="11">
        <f>Summary!$C$16*Summary!$B$8</f>
        <v/>
      </c>
      <c r="O7069" s="11">
        <f>M7069-N7069</f>
        <v/>
      </c>
    </row>
    <row r="7070">
      <c r="A7070" s="9" t="n">
        <v>45586.5</v>
      </c>
      <c r="B7070" t="n">
        <v>10</v>
      </c>
      <c r="C7070" t="n">
        <v>21</v>
      </c>
      <c r="D7070" t="n">
        <v>12</v>
      </c>
      <c r="E7070" s="10" t="n">
        <v>0.040478</v>
      </c>
      <c r="F7070" s="10" t="n">
        <v>0.4556525413566099</v>
      </c>
      <c r="G7070" s="11">
        <f>E7070*Summary!$B$6</f>
        <v/>
      </c>
      <c r="H7070" s="11">
        <f>F7070*Summary!$B$7</f>
        <v/>
      </c>
      <c r="I7070" s="11">
        <f>MAX(0,N7070-M7070)</f>
        <v/>
      </c>
      <c r="J7070" s="11">
        <f>MAX(0,M7070-N7070)</f>
        <v/>
      </c>
      <c r="K7070" s="11">
        <f>O7070</f>
        <v/>
      </c>
      <c r="L7070" s="11">
        <f>L7069+IF(K7070&gt;0,K7070*Summary!$B$9,K7070/Summary!$B$9)</f>
        <v/>
      </c>
      <c r="M7070" s="11">
        <f>G7070+H7070</f>
        <v/>
      </c>
      <c r="N7070" s="11">
        <f>Summary!$C$16*Summary!$B$8</f>
        <v/>
      </c>
      <c r="O7070" s="11">
        <f>M7070-N7070</f>
        <v/>
      </c>
    </row>
    <row r="7071">
      <c r="A7071" s="9" t="n">
        <v>45586.54166666666</v>
      </c>
      <c r="B7071" t="n">
        <v>10</v>
      </c>
      <c r="C7071" t="n">
        <v>21</v>
      </c>
      <c r="D7071" t="n">
        <v>13</v>
      </c>
      <c r="E7071" s="10" t="n">
        <v>0.037868</v>
      </c>
      <c r="F7071" s="10" t="n">
        <v>0.4622141909314058</v>
      </c>
      <c r="G7071" s="11">
        <f>E7071*Summary!$B$6</f>
        <v/>
      </c>
      <c r="H7071" s="11">
        <f>F7071*Summary!$B$7</f>
        <v/>
      </c>
      <c r="I7071" s="11">
        <f>MAX(0,N7071-M7071)</f>
        <v/>
      </c>
      <c r="J7071" s="11">
        <f>MAX(0,M7071-N7071)</f>
        <v/>
      </c>
      <c r="K7071" s="11">
        <f>O7071</f>
        <v/>
      </c>
      <c r="L7071" s="11">
        <f>L7070+IF(K7071&gt;0,K7071*Summary!$B$9,K7071/Summary!$B$9)</f>
        <v/>
      </c>
      <c r="M7071" s="11">
        <f>G7071+H7071</f>
        <v/>
      </c>
      <c r="N7071" s="11">
        <f>Summary!$C$16*Summary!$B$8</f>
        <v/>
      </c>
      <c r="O7071" s="11">
        <f>M7071-N7071</f>
        <v/>
      </c>
    </row>
    <row r="7072">
      <c r="A7072" s="9" t="n">
        <v>45586.58333333334</v>
      </c>
      <c r="B7072" t="n">
        <v>10</v>
      </c>
      <c r="C7072" t="n">
        <v>21</v>
      </c>
      <c r="D7072" t="n">
        <v>14</v>
      </c>
      <c r="E7072" s="10" t="n">
        <v>0.025675</v>
      </c>
      <c r="F7072" s="10" t="n">
        <v>0.4674055361773287</v>
      </c>
      <c r="G7072" s="11">
        <f>E7072*Summary!$B$6</f>
        <v/>
      </c>
      <c r="H7072" s="11">
        <f>F7072*Summary!$B$7</f>
        <v/>
      </c>
      <c r="I7072" s="11">
        <f>MAX(0,N7072-M7072)</f>
        <v/>
      </c>
      <c r="J7072" s="11">
        <f>MAX(0,M7072-N7072)</f>
        <v/>
      </c>
      <c r="K7072" s="11">
        <f>O7072</f>
        <v/>
      </c>
      <c r="L7072" s="11">
        <f>L7071+IF(K7072&gt;0,K7072*Summary!$B$9,K7072/Summary!$B$9)</f>
        <v/>
      </c>
      <c r="M7072" s="11">
        <f>G7072+H7072</f>
        <v/>
      </c>
      <c r="N7072" s="11">
        <f>Summary!$C$16*Summary!$B$8</f>
        <v/>
      </c>
      <c r="O7072" s="11">
        <f>M7072-N7072</f>
        <v/>
      </c>
    </row>
    <row r="7073">
      <c r="A7073" s="9" t="n">
        <v>45586.625</v>
      </c>
      <c r="B7073" t="n">
        <v>10</v>
      </c>
      <c r="C7073" t="n">
        <v>21</v>
      </c>
      <c r="D7073" t="n">
        <v>15</v>
      </c>
      <c r="E7073" s="10" t="n">
        <v>0.010282</v>
      </c>
      <c r="F7073" s="10" t="n">
        <v>0.481925491662118</v>
      </c>
      <c r="G7073" s="11">
        <f>E7073*Summary!$B$6</f>
        <v/>
      </c>
      <c r="H7073" s="11">
        <f>F7073*Summary!$B$7</f>
        <v/>
      </c>
      <c r="I7073" s="11">
        <f>MAX(0,N7073-M7073)</f>
        <v/>
      </c>
      <c r="J7073" s="11">
        <f>MAX(0,M7073-N7073)</f>
        <v/>
      </c>
      <c r="K7073" s="11">
        <f>O7073</f>
        <v/>
      </c>
      <c r="L7073" s="11">
        <f>L7072+IF(K7073&gt;0,K7073*Summary!$B$9,K7073/Summary!$B$9)</f>
        <v/>
      </c>
      <c r="M7073" s="11">
        <f>G7073+H7073</f>
        <v/>
      </c>
      <c r="N7073" s="11">
        <f>Summary!$C$16*Summary!$B$8</f>
        <v/>
      </c>
      <c r="O7073" s="11">
        <f>M7073-N7073</f>
        <v/>
      </c>
    </row>
    <row r="7074">
      <c r="A7074" s="9" t="n">
        <v>45586.66666666666</v>
      </c>
      <c r="B7074" t="n">
        <v>10</v>
      </c>
      <c r="C7074" t="n">
        <v>21</v>
      </c>
      <c r="D7074" t="n">
        <v>16</v>
      </c>
      <c r="E7074" s="10" t="n">
        <v>0</v>
      </c>
      <c r="F7074" s="10" t="n">
        <v>0.4983954956149189</v>
      </c>
      <c r="G7074" s="11">
        <f>E7074*Summary!$B$6</f>
        <v/>
      </c>
      <c r="H7074" s="11">
        <f>F7074*Summary!$B$7</f>
        <v/>
      </c>
      <c r="I7074" s="11">
        <f>MAX(0,N7074-M7074)</f>
        <v/>
      </c>
      <c r="J7074" s="11">
        <f>MAX(0,M7074-N7074)</f>
        <v/>
      </c>
      <c r="K7074" s="11">
        <f>O7074</f>
        <v/>
      </c>
      <c r="L7074" s="11">
        <f>L7073+IF(K7074&gt;0,K7074*Summary!$B$9,K7074/Summary!$B$9)</f>
        <v/>
      </c>
      <c r="M7074" s="11">
        <f>G7074+H7074</f>
        <v/>
      </c>
      <c r="N7074" s="11">
        <f>Summary!$C$16*Summary!$B$8</f>
        <v/>
      </c>
      <c r="O7074" s="11">
        <f>M7074-N7074</f>
        <v/>
      </c>
    </row>
    <row r="7075">
      <c r="A7075" s="9" t="n">
        <v>45586.70833333334</v>
      </c>
      <c r="B7075" t="n">
        <v>10</v>
      </c>
      <c r="C7075" t="n">
        <v>21</v>
      </c>
      <c r="D7075" t="n">
        <v>17</v>
      </c>
      <c r="E7075" s="10" t="n">
        <v>0</v>
      </c>
      <c r="F7075" s="10" t="n">
        <v>0.5152344276562626</v>
      </c>
      <c r="G7075" s="11">
        <f>E7075*Summary!$B$6</f>
        <v/>
      </c>
      <c r="H7075" s="11">
        <f>F7075*Summary!$B$7</f>
        <v/>
      </c>
      <c r="I7075" s="11">
        <f>MAX(0,N7075-M7075)</f>
        <v/>
      </c>
      <c r="J7075" s="11">
        <f>MAX(0,M7075-N7075)</f>
        <v/>
      </c>
      <c r="K7075" s="11">
        <f>O7075</f>
        <v/>
      </c>
      <c r="L7075" s="11">
        <f>L7074+IF(K7075&gt;0,K7075*Summary!$B$9,K7075/Summary!$B$9)</f>
        <v/>
      </c>
      <c r="M7075" s="11">
        <f>G7075+H7075</f>
        <v/>
      </c>
      <c r="N7075" s="11">
        <f>Summary!$C$16*Summary!$B$8</f>
        <v/>
      </c>
      <c r="O7075" s="11">
        <f>M7075-N7075</f>
        <v/>
      </c>
    </row>
    <row r="7076">
      <c r="A7076" s="9" t="n">
        <v>45586.75</v>
      </c>
      <c r="B7076" t="n">
        <v>10</v>
      </c>
      <c r="C7076" t="n">
        <v>21</v>
      </c>
      <c r="D7076" t="n">
        <v>18</v>
      </c>
      <c r="E7076" s="10" t="n">
        <v>0</v>
      </c>
      <c r="F7076" s="10" t="n">
        <v>0.5264340303441672</v>
      </c>
      <c r="G7076" s="11">
        <f>E7076*Summary!$B$6</f>
        <v/>
      </c>
      <c r="H7076" s="11">
        <f>F7076*Summary!$B$7</f>
        <v/>
      </c>
      <c r="I7076" s="11">
        <f>MAX(0,N7076-M7076)</f>
        <v/>
      </c>
      <c r="J7076" s="11">
        <f>MAX(0,M7076-N7076)</f>
        <v/>
      </c>
      <c r="K7076" s="11">
        <f>O7076</f>
        <v/>
      </c>
      <c r="L7076" s="11">
        <f>L7075+IF(K7076&gt;0,K7076*Summary!$B$9,K7076/Summary!$B$9)</f>
        <v/>
      </c>
      <c r="M7076" s="11">
        <f>G7076+H7076</f>
        <v/>
      </c>
      <c r="N7076" s="11">
        <f>Summary!$C$16*Summary!$B$8</f>
        <v/>
      </c>
      <c r="O7076" s="11">
        <f>M7076-N7076</f>
        <v/>
      </c>
    </row>
    <row r="7077">
      <c r="A7077" s="9" t="n">
        <v>45586.79166666666</v>
      </c>
      <c r="B7077" t="n">
        <v>10</v>
      </c>
      <c r="C7077" t="n">
        <v>21</v>
      </c>
      <c r="D7077" t="n">
        <v>19</v>
      </c>
      <c r="E7077" s="10" t="n">
        <v>0</v>
      </c>
      <c r="F7077" s="10" t="n">
        <v>0.5274090545781731</v>
      </c>
      <c r="G7077" s="11">
        <f>E7077*Summary!$B$6</f>
        <v/>
      </c>
      <c r="H7077" s="11">
        <f>F7077*Summary!$B$7</f>
        <v/>
      </c>
      <c r="I7077" s="11">
        <f>MAX(0,N7077-M7077)</f>
        <v/>
      </c>
      <c r="J7077" s="11">
        <f>MAX(0,M7077-N7077)</f>
        <v/>
      </c>
      <c r="K7077" s="11">
        <f>O7077</f>
        <v/>
      </c>
      <c r="L7077" s="11">
        <f>L7076+IF(K7077&gt;0,K7077*Summary!$B$9,K7077/Summary!$B$9)</f>
        <v/>
      </c>
      <c r="M7077" s="11">
        <f>G7077+H7077</f>
        <v/>
      </c>
      <c r="N7077" s="11">
        <f>Summary!$C$16*Summary!$B$8</f>
        <v/>
      </c>
      <c r="O7077" s="11">
        <f>M7077-N7077</f>
        <v/>
      </c>
    </row>
    <row r="7078">
      <c r="A7078" s="9" t="n">
        <v>45586.83333333334</v>
      </c>
      <c r="B7078" t="n">
        <v>10</v>
      </c>
      <c r="C7078" t="n">
        <v>21</v>
      </c>
      <c r="D7078" t="n">
        <v>20</v>
      </c>
      <c r="E7078" s="10" t="n">
        <v>0</v>
      </c>
      <c r="F7078" s="10" t="n">
        <v>0.5272772945465507</v>
      </c>
      <c r="G7078" s="11">
        <f>E7078*Summary!$B$6</f>
        <v/>
      </c>
      <c r="H7078" s="11">
        <f>F7078*Summary!$B$7</f>
        <v/>
      </c>
      <c r="I7078" s="11">
        <f>MAX(0,N7078-M7078)</f>
        <v/>
      </c>
      <c r="J7078" s="11">
        <f>MAX(0,M7078-N7078)</f>
        <v/>
      </c>
      <c r="K7078" s="11">
        <f>O7078</f>
        <v/>
      </c>
      <c r="L7078" s="11">
        <f>L7077+IF(K7078&gt;0,K7078*Summary!$B$9,K7078/Summary!$B$9)</f>
        <v/>
      </c>
      <c r="M7078" s="11">
        <f>G7078+H7078</f>
        <v/>
      </c>
      <c r="N7078" s="11">
        <f>Summary!$C$16*Summary!$B$8</f>
        <v/>
      </c>
      <c r="O7078" s="11">
        <f>M7078-N7078</f>
        <v/>
      </c>
    </row>
    <row r="7079">
      <c r="A7079" s="9" t="n">
        <v>45586.875</v>
      </c>
      <c r="B7079" t="n">
        <v>10</v>
      </c>
      <c r="C7079" t="n">
        <v>21</v>
      </c>
      <c r="D7079" t="n">
        <v>21</v>
      </c>
      <c r="E7079" s="10" t="n">
        <v>0</v>
      </c>
      <c r="F7079" s="10" t="n">
        <v>0.5191081725859614</v>
      </c>
      <c r="G7079" s="11">
        <f>E7079*Summary!$B$6</f>
        <v/>
      </c>
      <c r="H7079" s="11">
        <f>F7079*Summary!$B$7</f>
        <v/>
      </c>
      <c r="I7079" s="11">
        <f>MAX(0,N7079-M7079)</f>
        <v/>
      </c>
      <c r="J7079" s="11">
        <f>MAX(0,M7079-N7079)</f>
        <v/>
      </c>
      <c r="K7079" s="11">
        <f>O7079</f>
        <v/>
      </c>
      <c r="L7079" s="11">
        <f>L7078+IF(K7079&gt;0,K7079*Summary!$B$9,K7079/Summary!$B$9)</f>
        <v/>
      </c>
      <c r="M7079" s="11">
        <f>G7079+H7079</f>
        <v/>
      </c>
      <c r="N7079" s="11">
        <f>Summary!$C$16*Summary!$B$8</f>
        <v/>
      </c>
      <c r="O7079" s="11">
        <f>M7079-N7079</f>
        <v/>
      </c>
    </row>
    <row r="7080">
      <c r="A7080" s="9" t="n">
        <v>45586.91666666666</v>
      </c>
      <c r="B7080" t="n">
        <v>10</v>
      </c>
      <c r="C7080" t="n">
        <v>21</v>
      </c>
      <c r="D7080" t="n">
        <v>22</v>
      </c>
      <c r="E7080" s="10" t="n">
        <v>0</v>
      </c>
      <c r="F7080" s="10" t="n">
        <v>0.5102011944482867</v>
      </c>
      <c r="G7080" s="11">
        <f>E7080*Summary!$B$6</f>
        <v/>
      </c>
      <c r="H7080" s="11">
        <f>F7080*Summary!$B$7</f>
        <v/>
      </c>
      <c r="I7080" s="11">
        <f>MAX(0,N7080-M7080)</f>
        <v/>
      </c>
      <c r="J7080" s="11">
        <f>MAX(0,M7080-N7080)</f>
        <v/>
      </c>
      <c r="K7080" s="11">
        <f>O7080</f>
        <v/>
      </c>
      <c r="L7080" s="11">
        <f>L7079+IF(K7080&gt;0,K7080*Summary!$B$9,K7080/Summary!$B$9)</f>
        <v/>
      </c>
      <c r="M7080" s="11">
        <f>G7080+H7080</f>
        <v/>
      </c>
      <c r="N7080" s="11">
        <f>Summary!$C$16*Summary!$B$8</f>
        <v/>
      </c>
      <c r="O7080" s="11">
        <f>M7080-N7080</f>
        <v/>
      </c>
    </row>
    <row r="7081">
      <c r="A7081" s="9" t="n">
        <v>45586.95833333334</v>
      </c>
      <c r="B7081" t="n">
        <v>10</v>
      </c>
      <c r="C7081" t="n">
        <v>21</v>
      </c>
      <c r="D7081" t="n">
        <v>23</v>
      </c>
      <c r="E7081" s="10" t="n">
        <v>0</v>
      </c>
      <c r="F7081" s="10" t="n">
        <v>0.4988171277161106</v>
      </c>
      <c r="G7081" s="11">
        <f>E7081*Summary!$B$6</f>
        <v/>
      </c>
      <c r="H7081" s="11">
        <f>F7081*Summary!$B$7</f>
        <v/>
      </c>
      <c r="I7081" s="11">
        <f>MAX(0,N7081-M7081)</f>
        <v/>
      </c>
      <c r="J7081" s="11">
        <f>MAX(0,M7081-N7081)</f>
        <v/>
      </c>
      <c r="K7081" s="11">
        <f>O7081</f>
        <v/>
      </c>
      <c r="L7081" s="11">
        <f>L7080+IF(K7081&gt;0,K7081*Summary!$B$9,K7081/Summary!$B$9)</f>
        <v/>
      </c>
      <c r="M7081" s="11">
        <f>G7081+H7081</f>
        <v/>
      </c>
      <c r="N7081" s="11">
        <f>Summary!$C$16*Summary!$B$8</f>
        <v/>
      </c>
      <c r="O7081" s="11">
        <f>M7081-N7081</f>
        <v/>
      </c>
    </row>
    <row r="7082">
      <c r="A7082" s="9" t="n">
        <v>45587</v>
      </c>
      <c r="B7082" t="n">
        <v>10</v>
      </c>
      <c r="C7082" t="n">
        <v>22</v>
      </c>
      <c r="D7082" t="n">
        <v>0</v>
      </c>
      <c r="E7082" s="10" t="n">
        <v>0</v>
      </c>
      <c r="F7082" s="10" t="n">
        <v>0.4892777014266483</v>
      </c>
      <c r="G7082" s="11">
        <f>E7082*Summary!$B$6</f>
        <v/>
      </c>
      <c r="H7082" s="11">
        <f>F7082*Summary!$B$7</f>
        <v/>
      </c>
      <c r="I7082" s="11">
        <f>MAX(0,N7082-M7082)</f>
        <v/>
      </c>
      <c r="J7082" s="11">
        <f>MAX(0,M7082-N7082)</f>
        <v/>
      </c>
      <c r="K7082" s="11">
        <f>O7082</f>
        <v/>
      </c>
      <c r="L7082" s="11">
        <f>L7081+IF(K7082&gt;0,K7082*Summary!$B$9,K7082/Summary!$B$9)</f>
        <v/>
      </c>
      <c r="M7082" s="11">
        <f>G7082+H7082</f>
        <v/>
      </c>
      <c r="N7082" s="11">
        <f>Summary!$C$16*Summary!$B$8</f>
        <v/>
      </c>
      <c r="O7082" s="11">
        <f>M7082-N7082</f>
        <v/>
      </c>
    </row>
    <row r="7083">
      <c r="A7083" s="9" t="n">
        <v>45587.04166666666</v>
      </c>
      <c r="B7083" t="n">
        <v>10</v>
      </c>
      <c r="C7083" t="n">
        <v>22</v>
      </c>
      <c r="D7083" t="n">
        <v>1</v>
      </c>
      <c r="E7083" s="10" t="n">
        <v>0</v>
      </c>
      <c r="F7083" s="10" t="n">
        <v>0.4800544992130798</v>
      </c>
      <c r="G7083" s="11">
        <f>E7083*Summary!$B$6</f>
        <v/>
      </c>
      <c r="H7083" s="11">
        <f>F7083*Summary!$B$7</f>
        <v/>
      </c>
      <c r="I7083" s="11">
        <f>MAX(0,N7083-M7083)</f>
        <v/>
      </c>
      <c r="J7083" s="11">
        <f>MAX(0,M7083-N7083)</f>
        <v/>
      </c>
      <c r="K7083" s="11">
        <f>O7083</f>
        <v/>
      </c>
      <c r="L7083" s="11">
        <f>L7082+IF(K7083&gt;0,K7083*Summary!$B$9,K7083/Summary!$B$9)</f>
        <v/>
      </c>
      <c r="M7083" s="11">
        <f>G7083+H7083</f>
        <v/>
      </c>
      <c r="N7083" s="11">
        <f>Summary!$C$16*Summary!$B$8</f>
        <v/>
      </c>
      <c r="O7083" s="11">
        <f>M7083-N7083</f>
        <v/>
      </c>
    </row>
    <row r="7084">
      <c r="A7084" s="9" t="n">
        <v>45587.08333333334</v>
      </c>
      <c r="B7084" t="n">
        <v>10</v>
      </c>
      <c r="C7084" t="n">
        <v>22</v>
      </c>
      <c r="D7084" t="n">
        <v>2</v>
      </c>
      <c r="E7084" s="10" t="n">
        <v>0</v>
      </c>
      <c r="F7084" s="10" t="n">
        <v>0.4724914733979536</v>
      </c>
      <c r="G7084" s="11">
        <f>E7084*Summary!$B$6</f>
        <v/>
      </c>
      <c r="H7084" s="11">
        <f>F7084*Summary!$B$7</f>
        <v/>
      </c>
      <c r="I7084" s="11">
        <f>MAX(0,N7084-M7084)</f>
        <v/>
      </c>
      <c r="J7084" s="11">
        <f>MAX(0,M7084-N7084)</f>
        <v/>
      </c>
      <c r="K7084" s="11">
        <f>O7084</f>
        <v/>
      </c>
      <c r="L7084" s="11">
        <f>L7083+IF(K7084&gt;0,K7084*Summary!$B$9,K7084/Summary!$B$9)</f>
        <v/>
      </c>
      <c r="M7084" s="11">
        <f>G7084+H7084</f>
        <v/>
      </c>
      <c r="N7084" s="11">
        <f>Summary!$C$16*Summary!$B$8</f>
        <v/>
      </c>
      <c r="O7084" s="11">
        <f>M7084-N7084</f>
        <v/>
      </c>
    </row>
    <row r="7085">
      <c r="A7085" s="9" t="n">
        <v>45587.125</v>
      </c>
      <c r="B7085" t="n">
        <v>10</v>
      </c>
      <c r="C7085" t="n">
        <v>22</v>
      </c>
      <c r="D7085" t="n">
        <v>3</v>
      </c>
      <c r="E7085" s="10" t="n">
        <v>0</v>
      </c>
      <c r="F7085" s="10" t="n">
        <v>0.4654291357029925</v>
      </c>
      <c r="G7085" s="11">
        <f>E7085*Summary!$B$6</f>
        <v/>
      </c>
      <c r="H7085" s="11">
        <f>F7085*Summary!$B$7</f>
        <v/>
      </c>
      <c r="I7085" s="11">
        <f>MAX(0,N7085-M7085)</f>
        <v/>
      </c>
      <c r="J7085" s="11">
        <f>MAX(0,M7085-N7085)</f>
        <v/>
      </c>
      <c r="K7085" s="11">
        <f>O7085</f>
        <v/>
      </c>
      <c r="L7085" s="11">
        <f>L7084+IF(K7085&gt;0,K7085*Summary!$B$9,K7085/Summary!$B$9)</f>
        <v/>
      </c>
      <c r="M7085" s="11">
        <f>G7085+H7085</f>
        <v/>
      </c>
      <c r="N7085" s="11">
        <f>Summary!$C$16*Summary!$B$8</f>
        <v/>
      </c>
      <c r="O7085" s="11">
        <f>M7085-N7085</f>
        <v/>
      </c>
    </row>
    <row r="7086">
      <c r="A7086" s="9" t="n">
        <v>45587.16666666666</v>
      </c>
      <c r="B7086" t="n">
        <v>10</v>
      </c>
      <c r="C7086" t="n">
        <v>22</v>
      </c>
      <c r="D7086" t="n">
        <v>4</v>
      </c>
      <c r="E7086" s="10" t="n">
        <v>0</v>
      </c>
      <c r="F7086" s="10" t="n">
        <v>0.464137887393093</v>
      </c>
      <c r="G7086" s="11">
        <f>E7086*Summary!$B$6</f>
        <v/>
      </c>
      <c r="H7086" s="11">
        <f>F7086*Summary!$B$7</f>
        <v/>
      </c>
      <c r="I7086" s="11">
        <f>MAX(0,N7086-M7086)</f>
        <v/>
      </c>
      <c r="J7086" s="11">
        <f>MAX(0,M7086-N7086)</f>
        <v/>
      </c>
      <c r="K7086" s="11">
        <f>O7086</f>
        <v/>
      </c>
      <c r="L7086" s="11">
        <f>L7085+IF(K7086&gt;0,K7086*Summary!$B$9,K7086/Summary!$B$9)</f>
        <v/>
      </c>
      <c r="M7086" s="11">
        <f>G7086+H7086</f>
        <v/>
      </c>
      <c r="N7086" s="11">
        <f>Summary!$C$16*Summary!$B$8</f>
        <v/>
      </c>
      <c r="O7086" s="11">
        <f>M7086-N7086</f>
        <v/>
      </c>
    </row>
    <row r="7087">
      <c r="A7087" s="9" t="n">
        <v>45587.20833333334</v>
      </c>
      <c r="B7087" t="n">
        <v>10</v>
      </c>
      <c r="C7087" t="n">
        <v>22</v>
      </c>
      <c r="D7087" t="n">
        <v>5</v>
      </c>
      <c r="E7087" s="10" t="n">
        <v>0</v>
      </c>
      <c r="F7087" s="10" t="n">
        <v>0.4652710236650457</v>
      </c>
      <c r="G7087" s="11">
        <f>E7087*Summary!$B$6</f>
        <v/>
      </c>
      <c r="H7087" s="11">
        <f>F7087*Summary!$B$7</f>
        <v/>
      </c>
      <c r="I7087" s="11">
        <f>MAX(0,N7087-M7087)</f>
        <v/>
      </c>
      <c r="J7087" s="11">
        <f>MAX(0,M7087-N7087)</f>
        <v/>
      </c>
      <c r="K7087" s="11">
        <f>O7087</f>
        <v/>
      </c>
      <c r="L7087" s="11">
        <f>L7086+IF(K7087&gt;0,K7087*Summary!$B$9,K7087/Summary!$B$9)</f>
        <v/>
      </c>
      <c r="M7087" s="11">
        <f>G7087+H7087</f>
        <v/>
      </c>
      <c r="N7087" s="11">
        <f>Summary!$C$16*Summary!$B$8</f>
        <v/>
      </c>
      <c r="O7087" s="11">
        <f>M7087-N7087</f>
        <v/>
      </c>
    </row>
    <row r="7088">
      <c r="A7088" s="9" t="n">
        <v>45587.25</v>
      </c>
      <c r="B7088" t="n">
        <v>10</v>
      </c>
      <c r="C7088" t="n">
        <v>22</v>
      </c>
      <c r="D7088" t="n">
        <v>6</v>
      </c>
      <c r="E7088" s="10" t="n">
        <v>0</v>
      </c>
      <c r="F7088" s="10" t="n">
        <v>0.467642704234249</v>
      </c>
      <c r="G7088" s="11">
        <f>E7088*Summary!$B$6</f>
        <v/>
      </c>
      <c r="H7088" s="11">
        <f>F7088*Summary!$B$7</f>
        <v/>
      </c>
      <c r="I7088" s="11">
        <f>MAX(0,N7088-M7088)</f>
        <v/>
      </c>
      <c r="J7088" s="11">
        <f>MAX(0,M7088-N7088)</f>
        <v/>
      </c>
      <c r="K7088" s="11">
        <f>O7088</f>
        <v/>
      </c>
      <c r="L7088" s="11">
        <f>L7087+IF(K7088&gt;0,K7088*Summary!$B$9,K7088/Summary!$B$9)</f>
        <v/>
      </c>
      <c r="M7088" s="11">
        <f>G7088+H7088</f>
        <v/>
      </c>
      <c r="N7088" s="11">
        <f>Summary!$C$16*Summary!$B$8</f>
        <v/>
      </c>
      <c r="O7088" s="11">
        <f>M7088-N7088</f>
        <v/>
      </c>
    </row>
    <row r="7089">
      <c r="A7089" s="9" t="n">
        <v>45587.29166666666</v>
      </c>
      <c r="B7089" t="n">
        <v>10</v>
      </c>
      <c r="C7089" t="n">
        <v>22</v>
      </c>
      <c r="D7089" t="n">
        <v>7</v>
      </c>
      <c r="E7089" s="10" t="n">
        <v>0</v>
      </c>
      <c r="F7089" s="10" t="n">
        <v>0.4644014074563378</v>
      </c>
      <c r="G7089" s="11">
        <f>E7089*Summary!$B$6</f>
        <v/>
      </c>
      <c r="H7089" s="11">
        <f>F7089*Summary!$B$7</f>
        <v/>
      </c>
      <c r="I7089" s="11">
        <f>MAX(0,N7089-M7089)</f>
        <v/>
      </c>
      <c r="J7089" s="11">
        <f>MAX(0,M7089-N7089)</f>
        <v/>
      </c>
      <c r="K7089" s="11">
        <f>O7089</f>
        <v/>
      </c>
      <c r="L7089" s="11">
        <f>L7088+IF(K7089&gt;0,K7089*Summary!$B$9,K7089/Summary!$B$9)</f>
        <v/>
      </c>
      <c r="M7089" s="11">
        <f>G7089+H7089</f>
        <v/>
      </c>
      <c r="N7089" s="11">
        <f>Summary!$C$16*Summary!$B$8</f>
        <v/>
      </c>
      <c r="O7089" s="11">
        <f>M7089-N7089</f>
        <v/>
      </c>
    </row>
    <row r="7090">
      <c r="A7090" s="9" t="n">
        <v>45587.33333333334</v>
      </c>
      <c r="B7090" t="n">
        <v>10</v>
      </c>
      <c r="C7090" t="n">
        <v>22</v>
      </c>
      <c r="D7090" t="n">
        <v>8</v>
      </c>
      <c r="E7090" s="10" t="n">
        <v>0.03516</v>
      </c>
      <c r="F7090" s="10" t="n">
        <v>0.4546511651162796</v>
      </c>
      <c r="G7090" s="11">
        <f>E7090*Summary!$B$6</f>
        <v/>
      </c>
      <c r="H7090" s="11">
        <f>F7090*Summary!$B$7</f>
        <v/>
      </c>
      <c r="I7090" s="11">
        <f>MAX(0,N7090-M7090)</f>
        <v/>
      </c>
      <c r="J7090" s="11">
        <f>MAX(0,M7090-N7090)</f>
        <v/>
      </c>
      <c r="K7090" s="11">
        <f>O7090</f>
        <v/>
      </c>
      <c r="L7090" s="11">
        <f>L7089+IF(K7090&gt;0,K7090*Summary!$B$9,K7090/Summary!$B$9)</f>
        <v/>
      </c>
      <c r="M7090" s="11">
        <f>G7090+H7090</f>
        <v/>
      </c>
      <c r="N7090" s="11">
        <f>Summary!$C$16*Summary!$B$8</f>
        <v/>
      </c>
      <c r="O7090" s="11">
        <f>M7090-N7090</f>
        <v/>
      </c>
    </row>
    <row r="7091">
      <c r="A7091" s="9" t="n">
        <v>45587.375</v>
      </c>
      <c r="B7091" t="n">
        <v>10</v>
      </c>
      <c r="C7091" t="n">
        <v>22</v>
      </c>
      <c r="D7091" t="n">
        <v>9</v>
      </c>
      <c r="E7091" s="10" t="n">
        <v>0.032402</v>
      </c>
      <c r="F7091" s="10" t="n">
        <v>0.4498814519715484</v>
      </c>
      <c r="G7091" s="11">
        <f>E7091*Summary!$B$6</f>
        <v/>
      </c>
      <c r="H7091" s="11">
        <f>F7091*Summary!$B$7</f>
        <v/>
      </c>
      <c r="I7091" s="11">
        <f>MAX(0,N7091-M7091)</f>
        <v/>
      </c>
      <c r="J7091" s="11">
        <f>MAX(0,M7091-N7091)</f>
        <v/>
      </c>
      <c r="K7091" s="11">
        <f>O7091</f>
        <v/>
      </c>
      <c r="L7091" s="11">
        <f>L7090+IF(K7091&gt;0,K7091*Summary!$B$9,K7091/Summary!$B$9)</f>
        <v/>
      </c>
      <c r="M7091" s="11">
        <f>G7091+H7091</f>
        <v/>
      </c>
      <c r="N7091" s="11">
        <f>Summary!$C$16*Summary!$B$8</f>
        <v/>
      </c>
      <c r="O7091" s="11">
        <f>M7091-N7091</f>
        <v/>
      </c>
    </row>
    <row r="7092">
      <c r="A7092" s="9" t="n">
        <v>45587.41666666666</v>
      </c>
      <c r="B7092" t="n">
        <v>10</v>
      </c>
      <c r="C7092" t="n">
        <v>22</v>
      </c>
      <c r="D7092" t="n">
        <v>10</v>
      </c>
      <c r="E7092" s="10" t="n">
        <v>0.054737</v>
      </c>
      <c r="F7092" s="10" t="n">
        <v>0.4548619811668754</v>
      </c>
      <c r="G7092" s="11">
        <f>E7092*Summary!$B$6</f>
        <v/>
      </c>
      <c r="H7092" s="11">
        <f>F7092*Summary!$B$7</f>
        <v/>
      </c>
      <c r="I7092" s="11">
        <f>MAX(0,N7092-M7092)</f>
        <v/>
      </c>
      <c r="J7092" s="11">
        <f>MAX(0,M7092-N7092)</f>
        <v/>
      </c>
      <c r="K7092" s="11">
        <f>O7092</f>
        <v/>
      </c>
      <c r="L7092" s="11">
        <f>L7091+IF(K7092&gt;0,K7092*Summary!$B$9,K7092/Summary!$B$9)</f>
        <v/>
      </c>
      <c r="M7092" s="11">
        <f>G7092+H7092</f>
        <v/>
      </c>
      <c r="N7092" s="11">
        <f>Summary!$C$16*Summary!$B$8</f>
        <v/>
      </c>
      <c r="O7092" s="11">
        <f>M7092-N7092</f>
        <v/>
      </c>
    </row>
    <row r="7093">
      <c r="A7093" s="9" t="n">
        <v>45587.45833333334</v>
      </c>
      <c r="B7093" t="n">
        <v>10</v>
      </c>
      <c r="C7093" t="n">
        <v>22</v>
      </c>
      <c r="D7093" t="n">
        <v>11</v>
      </c>
      <c r="E7093" s="10" t="n">
        <v>0.049667</v>
      </c>
      <c r="F7093" s="10" t="n">
        <v>0.4545721090973062</v>
      </c>
      <c r="G7093" s="11">
        <f>E7093*Summary!$B$6</f>
        <v/>
      </c>
      <c r="H7093" s="11">
        <f>F7093*Summary!$B$7</f>
        <v/>
      </c>
      <c r="I7093" s="11">
        <f>MAX(0,N7093-M7093)</f>
        <v/>
      </c>
      <c r="J7093" s="11">
        <f>MAX(0,M7093-N7093)</f>
        <v/>
      </c>
      <c r="K7093" s="11">
        <f>O7093</f>
        <v/>
      </c>
      <c r="L7093" s="11">
        <f>L7092+IF(K7093&gt;0,K7093*Summary!$B$9,K7093/Summary!$B$9)</f>
        <v/>
      </c>
      <c r="M7093" s="11">
        <f>G7093+H7093</f>
        <v/>
      </c>
      <c r="N7093" s="11">
        <f>Summary!$C$16*Summary!$B$8</f>
        <v/>
      </c>
      <c r="O7093" s="11">
        <f>M7093-N7093</f>
        <v/>
      </c>
    </row>
    <row r="7094">
      <c r="A7094" s="9" t="n">
        <v>45587.5</v>
      </c>
      <c r="B7094" t="n">
        <v>10</v>
      </c>
      <c r="C7094" t="n">
        <v>22</v>
      </c>
      <c r="D7094" t="n">
        <v>12</v>
      </c>
      <c r="E7094" s="10" t="n">
        <v>0.054404</v>
      </c>
      <c r="F7094" s="10" t="n">
        <v>0.4557315973755834</v>
      </c>
      <c r="G7094" s="11">
        <f>E7094*Summary!$B$6</f>
        <v/>
      </c>
      <c r="H7094" s="11">
        <f>F7094*Summary!$B$7</f>
        <v/>
      </c>
      <c r="I7094" s="11">
        <f>MAX(0,N7094-M7094)</f>
        <v/>
      </c>
      <c r="J7094" s="11">
        <f>MAX(0,M7094-N7094)</f>
        <v/>
      </c>
      <c r="K7094" s="11">
        <f>O7094</f>
        <v/>
      </c>
      <c r="L7094" s="11">
        <f>L7093+IF(K7094&gt;0,K7094*Summary!$B$9,K7094/Summary!$B$9)</f>
        <v/>
      </c>
      <c r="M7094" s="11">
        <f>G7094+H7094</f>
        <v/>
      </c>
      <c r="N7094" s="11">
        <f>Summary!$C$16*Summary!$B$8</f>
        <v/>
      </c>
      <c r="O7094" s="11">
        <f>M7094-N7094</f>
        <v/>
      </c>
    </row>
    <row r="7095">
      <c r="A7095" s="9" t="n">
        <v>45587.54166666666</v>
      </c>
      <c r="B7095" t="n">
        <v>10</v>
      </c>
      <c r="C7095" t="n">
        <v>22</v>
      </c>
      <c r="D7095" t="n">
        <v>13</v>
      </c>
      <c r="E7095" s="10" t="n">
        <v>0.017261</v>
      </c>
      <c r="F7095" s="10" t="n">
        <v>0.4550727972174713</v>
      </c>
      <c r="G7095" s="11">
        <f>E7095*Summary!$B$6</f>
        <v/>
      </c>
      <c r="H7095" s="11">
        <f>F7095*Summary!$B$7</f>
        <v/>
      </c>
      <c r="I7095" s="11">
        <f>MAX(0,N7095-M7095)</f>
        <v/>
      </c>
      <c r="J7095" s="11">
        <f>MAX(0,M7095-N7095)</f>
        <v/>
      </c>
      <c r="K7095" s="11">
        <f>O7095</f>
        <v/>
      </c>
      <c r="L7095" s="11">
        <f>L7094+IF(K7095&gt;0,K7095*Summary!$B$9,K7095/Summary!$B$9)</f>
        <v/>
      </c>
      <c r="M7095" s="11">
        <f>G7095+H7095</f>
        <v/>
      </c>
      <c r="N7095" s="11">
        <f>Summary!$C$16*Summary!$B$8</f>
        <v/>
      </c>
      <c r="O7095" s="11">
        <f>M7095-N7095</f>
        <v/>
      </c>
    </row>
    <row r="7096">
      <c r="A7096" s="9" t="n">
        <v>45587.58333333334</v>
      </c>
      <c r="B7096" t="n">
        <v>10</v>
      </c>
      <c r="C7096" t="n">
        <v>22</v>
      </c>
      <c r="D7096" t="n">
        <v>14</v>
      </c>
      <c r="E7096" s="10" t="n">
        <v>0.020952</v>
      </c>
      <c r="F7096" s="10" t="n">
        <v>0.4579978699194888</v>
      </c>
      <c r="G7096" s="11">
        <f>E7096*Summary!$B$6</f>
        <v/>
      </c>
      <c r="H7096" s="11">
        <f>F7096*Summary!$B$7</f>
        <v/>
      </c>
      <c r="I7096" s="11">
        <f>MAX(0,N7096-M7096)</f>
        <v/>
      </c>
      <c r="J7096" s="11">
        <f>MAX(0,M7096-N7096)</f>
        <v/>
      </c>
      <c r="K7096" s="11">
        <f>O7096</f>
        <v/>
      </c>
      <c r="L7096" s="11">
        <f>L7095+IF(K7096&gt;0,K7096*Summary!$B$9,K7096/Summary!$B$9)</f>
        <v/>
      </c>
      <c r="M7096" s="11">
        <f>G7096+H7096</f>
        <v/>
      </c>
      <c r="N7096" s="11">
        <f>Summary!$C$16*Summary!$B$8</f>
        <v/>
      </c>
      <c r="O7096" s="11">
        <f>M7096-N7096</f>
        <v/>
      </c>
    </row>
    <row r="7097">
      <c r="A7097" s="9" t="n">
        <v>45587.625</v>
      </c>
      <c r="B7097" t="n">
        <v>10</v>
      </c>
      <c r="C7097" t="n">
        <v>22</v>
      </c>
      <c r="D7097" t="n">
        <v>15</v>
      </c>
      <c r="E7097" s="10" t="n">
        <v>0.013012</v>
      </c>
      <c r="F7097" s="10" t="n">
        <v>0.4643750554500133</v>
      </c>
      <c r="G7097" s="11">
        <f>E7097*Summary!$B$6</f>
        <v/>
      </c>
      <c r="H7097" s="11">
        <f>F7097*Summary!$B$7</f>
        <v/>
      </c>
      <c r="I7097" s="11">
        <f>MAX(0,N7097-M7097)</f>
        <v/>
      </c>
      <c r="J7097" s="11">
        <f>MAX(0,M7097-N7097)</f>
        <v/>
      </c>
      <c r="K7097" s="11">
        <f>O7097</f>
        <v/>
      </c>
      <c r="L7097" s="11">
        <f>L7096+IF(K7097&gt;0,K7097*Summary!$B$9,K7097/Summary!$B$9)</f>
        <v/>
      </c>
      <c r="M7097" s="11">
        <f>G7097+H7097</f>
        <v/>
      </c>
      <c r="N7097" s="11">
        <f>Summary!$C$16*Summary!$B$8</f>
        <v/>
      </c>
      <c r="O7097" s="11">
        <f>M7097-N7097</f>
        <v/>
      </c>
    </row>
    <row r="7098">
      <c r="A7098" s="9" t="n">
        <v>45587.66666666666</v>
      </c>
      <c r="B7098" t="n">
        <v>10</v>
      </c>
      <c r="C7098" t="n">
        <v>22</v>
      </c>
      <c r="D7098" t="n">
        <v>16</v>
      </c>
      <c r="E7098" s="10" t="n">
        <v>0</v>
      </c>
      <c r="F7098" s="10" t="n">
        <v>0.4748895059734815</v>
      </c>
      <c r="G7098" s="11">
        <f>E7098*Summary!$B$6</f>
        <v/>
      </c>
      <c r="H7098" s="11">
        <f>F7098*Summary!$B$7</f>
        <v/>
      </c>
      <c r="I7098" s="11">
        <f>MAX(0,N7098-M7098)</f>
        <v/>
      </c>
      <c r="J7098" s="11">
        <f>MAX(0,M7098-N7098)</f>
        <v/>
      </c>
      <c r="K7098" s="11">
        <f>O7098</f>
        <v/>
      </c>
      <c r="L7098" s="11">
        <f>L7097+IF(K7098&gt;0,K7098*Summary!$B$9,K7098/Summary!$B$9)</f>
        <v/>
      </c>
      <c r="M7098" s="11">
        <f>G7098+H7098</f>
        <v/>
      </c>
      <c r="N7098" s="11">
        <f>Summary!$C$16*Summary!$B$8</f>
        <v/>
      </c>
      <c r="O7098" s="11">
        <f>M7098-N7098</f>
        <v/>
      </c>
    </row>
    <row r="7099">
      <c r="A7099" s="9" t="n">
        <v>45587.70833333334</v>
      </c>
      <c r="B7099" t="n">
        <v>10</v>
      </c>
      <c r="C7099" t="n">
        <v>22</v>
      </c>
      <c r="D7099" t="n">
        <v>17</v>
      </c>
      <c r="E7099" s="10" t="n">
        <v>0</v>
      </c>
      <c r="F7099" s="10" t="n">
        <v>0.4865107407625778</v>
      </c>
      <c r="G7099" s="11">
        <f>E7099*Summary!$B$6</f>
        <v/>
      </c>
      <c r="H7099" s="11">
        <f>F7099*Summary!$B$7</f>
        <v/>
      </c>
      <c r="I7099" s="11">
        <f>MAX(0,N7099-M7099)</f>
        <v/>
      </c>
      <c r="J7099" s="11">
        <f>MAX(0,M7099-N7099)</f>
        <v/>
      </c>
      <c r="K7099" s="11">
        <f>O7099</f>
        <v/>
      </c>
      <c r="L7099" s="11">
        <f>L7098+IF(K7099&gt;0,K7099*Summary!$B$9,K7099/Summary!$B$9)</f>
        <v/>
      </c>
      <c r="M7099" s="11">
        <f>G7099+H7099</f>
        <v/>
      </c>
      <c r="N7099" s="11">
        <f>Summary!$C$16*Summary!$B$8</f>
        <v/>
      </c>
      <c r="O7099" s="11">
        <f>M7099-N7099</f>
        <v/>
      </c>
    </row>
    <row r="7100">
      <c r="A7100" s="9" t="n">
        <v>45587.75</v>
      </c>
      <c r="B7100" t="n">
        <v>10</v>
      </c>
      <c r="C7100" t="n">
        <v>22</v>
      </c>
      <c r="D7100" t="n">
        <v>18</v>
      </c>
      <c r="E7100" s="10" t="n">
        <v>0</v>
      </c>
      <c r="F7100" s="10" t="n">
        <v>0.4978684554884293</v>
      </c>
      <c r="G7100" s="11">
        <f>E7100*Summary!$B$6</f>
        <v/>
      </c>
      <c r="H7100" s="11">
        <f>F7100*Summary!$B$7</f>
        <v/>
      </c>
      <c r="I7100" s="11">
        <f>MAX(0,N7100-M7100)</f>
        <v/>
      </c>
      <c r="J7100" s="11">
        <f>MAX(0,M7100-N7100)</f>
        <v/>
      </c>
      <c r="K7100" s="11">
        <f>O7100</f>
        <v/>
      </c>
      <c r="L7100" s="11">
        <f>L7099+IF(K7100&gt;0,K7100*Summary!$B$9,K7100/Summary!$B$9)</f>
        <v/>
      </c>
      <c r="M7100" s="11">
        <f>G7100+H7100</f>
        <v/>
      </c>
      <c r="N7100" s="11">
        <f>Summary!$C$16*Summary!$B$8</f>
        <v/>
      </c>
      <c r="O7100" s="11">
        <f>M7100-N7100</f>
        <v/>
      </c>
    </row>
    <row r="7101">
      <c r="A7101" s="9" t="n">
        <v>45587.79166666666</v>
      </c>
      <c r="B7101" t="n">
        <v>10</v>
      </c>
      <c r="C7101" t="n">
        <v>22</v>
      </c>
      <c r="D7101" t="n">
        <v>19</v>
      </c>
      <c r="E7101" s="10" t="n">
        <v>0</v>
      </c>
      <c r="F7101" s="10" t="n">
        <v>0.5039030649367355</v>
      </c>
      <c r="G7101" s="11">
        <f>E7101*Summary!$B$6</f>
        <v/>
      </c>
      <c r="H7101" s="11">
        <f>F7101*Summary!$B$7</f>
        <v/>
      </c>
      <c r="I7101" s="11">
        <f>MAX(0,N7101-M7101)</f>
        <v/>
      </c>
      <c r="J7101" s="11">
        <f>MAX(0,M7101-N7101)</f>
        <v/>
      </c>
      <c r="K7101" s="11">
        <f>O7101</f>
        <v/>
      </c>
      <c r="L7101" s="11">
        <f>L7100+IF(K7101&gt;0,K7101*Summary!$B$9,K7101/Summary!$B$9)</f>
        <v/>
      </c>
      <c r="M7101" s="11">
        <f>G7101+H7101</f>
        <v/>
      </c>
      <c r="N7101" s="11">
        <f>Summary!$C$16*Summary!$B$8</f>
        <v/>
      </c>
      <c r="O7101" s="11">
        <f>M7101-N7101</f>
        <v/>
      </c>
    </row>
    <row r="7102">
      <c r="A7102" s="9" t="n">
        <v>45587.83333333334</v>
      </c>
      <c r="B7102" t="n">
        <v>10</v>
      </c>
      <c r="C7102" t="n">
        <v>22</v>
      </c>
      <c r="D7102" t="n">
        <v>20</v>
      </c>
      <c r="E7102" s="10" t="n">
        <v>0</v>
      </c>
      <c r="F7102" s="10" t="n">
        <v>0.5090944101826584</v>
      </c>
      <c r="G7102" s="11">
        <f>E7102*Summary!$B$6</f>
        <v/>
      </c>
      <c r="H7102" s="11">
        <f>F7102*Summary!$B$7</f>
        <v/>
      </c>
      <c r="I7102" s="11">
        <f>MAX(0,N7102-M7102)</f>
        <v/>
      </c>
      <c r="J7102" s="11">
        <f>MAX(0,M7102-N7102)</f>
        <v/>
      </c>
      <c r="K7102" s="11">
        <f>O7102</f>
        <v/>
      </c>
      <c r="L7102" s="11">
        <f>L7101+IF(K7102&gt;0,K7102*Summary!$B$9,K7102/Summary!$B$9)</f>
        <v/>
      </c>
      <c r="M7102" s="11">
        <f>G7102+H7102</f>
        <v/>
      </c>
      <c r="N7102" s="11">
        <f>Summary!$C$16*Summary!$B$8</f>
        <v/>
      </c>
      <c r="O7102" s="11">
        <f>M7102-N7102</f>
        <v/>
      </c>
    </row>
    <row r="7103">
      <c r="A7103" s="9" t="n">
        <v>45587.875</v>
      </c>
      <c r="B7103" t="n">
        <v>10</v>
      </c>
      <c r="C7103" t="n">
        <v>22</v>
      </c>
      <c r="D7103" t="n">
        <v>21</v>
      </c>
      <c r="E7103" s="10" t="n">
        <v>0</v>
      </c>
      <c r="F7103" s="10" t="n">
        <v>0.5067490816197796</v>
      </c>
      <c r="G7103" s="11">
        <f>E7103*Summary!$B$6</f>
        <v/>
      </c>
      <c r="H7103" s="11">
        <f>F7103*Summary!$B$7</f>
        <v/>
      </c>
      <c r="I7103" s="11">
        <f>MAX(0,N7103-M7103)</f>
        <v/>
      </c>
      <c r="J7103" s="11">
        <f>MAX(0,M7103-N7103)</f>
        <v/>
      </c>
      <c r="K7103" s="11">
        <f>O7103</f>
        <v/>
      </c>
      <c r="L7103" s="11">
        <f>L7102+IF(K7103&gt;0,K7103*Summary!$B$9,K7103/Summary!$B$9)</f>
        <v/>
      </c>
      <c r="M7103" s="11">
        <f>G7103+H7103</f>
        <v/>
      </c>
      <c r="N7103" s="11">
        <f>Summary!$C$16*Summary!$B$8</f>
        <v/>
      </c>
      <c r="O7103" s="11">
        <f>M7103-N7103</f>
        <v/>
      </c>
    </row>
    <row r="7104">
      <c r="A7104" s="9" t="n">
        <v>45587.91666666666</v>
      </c>
      <c r="B7104" t="n">
        <v>10</v>
      </c>
      <c r="C7104" t="n">
        <v>22</v>
      </c>
      <c r="D7104" t="n">
        <v>22</v>
      </c>
      <c r="E7104" s="10" t="n">
        <v>0</v>
      </c>
      <c r="F7104" s="10" t="n">
        <v>0.5004773041145529</v>
      </c>
      <c r="G7104" s="11">
        <f>E7104*Summary!$B$6</f>
        <v/>
      </c>
      <c r="H7104" s="11">
        <f>F7104*Summary!$B$7</f>
        <v/>
      </c>
      <c r="I7104" s="11">
        <f>MAX(0,N7104-M7104)</f>
        <v/>
      </c>
      <c r="J7104" s="11">
        <f>MAX(0,M7104-N7104)</f>
        <v/>
      </c>
      <c r="K7104" s="11">
        <f>O7104</f>
        <v/>
      </c>
      <c r="L7104" s="11">
        <f>L7103+IF(K7104&gt;0,K7104*Summary!$B$9,K7104/Summary!$B$9)</f>
        <v/>
      </c>
      <c r="M7104" s="11">
        <f>G7104+H7104</f>
        <v/>
      </c>
      <c r="N7104" s="11">
        <f>Summary!$C$16*Summary!$B$8</f>
        <v/>
      </c>
      <c r="O7104" s="11">
        <f>M7104-N7104</f>
        <v/>
      </c>
    </row>
    <row r="7105">
      <c r="A7105" s="9" t="n">
        <v>45587.95833333334</v>
      </c>
      <c r="B7105" t="n">
        <v>10</v>
      </c>
      <c r="C7105" t="n">
        <v>22</v>
      </c>
      <c r="D7105" t="n">
        <v>23</v>
      </c>
      <c r="E7105" s="10" t="n">
        <v>0</v>
      </c>
      <c r="F7105" s="10" t="n">
        <v>0.4988961837350841</v>
      </c>
      <c r="G7105" s="11">
        <f>E7105*Summary!$B$6</f>
        <v/>
      </c>
      <c r="H7105" s="11">
        <f>F7105*Summary!$B$7</f>
        <v/>
      </c>
      <c r="I7105" s="11">
        <f>MAX(0,N7105-M7105)</f>
        <v/>
      </c>
      <c r="J7105" s="11">
        <f>MAX(0,M7105-N7105)</f>
        <v/>
      </c>
      <c r="K7105" s="11">
        <f>O7105</f>
        <v/>
      </c>
      <c r="L7105" s="11">
        <f>L7104+IF(K7105&gt;0,K7105*Summary!$B$9,K7105/Summary!$B$9)</f>
        <v/>
      </c>
      <c r="M7105" s="11">
        <f>G7105+H7105</f>
        <v/>
      </c>
      <c r="N7105" s="11">
        <f>Summary!$C$16*Summary!$B$8</f>
        <v/>
      </c>
      <c r="O7105" s="11">
        <f>M7105-N7105</f>
        <v/>
      </c>
    </row>
    <row r="7106">
      <c r="A7106" s="9" t="n">
        <v>45588</v>
      </c>
      <c r="B7106" t="n">
        <v>10</v>
      </c>
      <c r="C7106" t="n">
        <v>23</v>
      </c>
      <c r="D7106" t="n">
        <v>0</v>
      </c>
      <c r="E7106" s="10" t="n">
        <v>0</v>
      </c>
      <c r="F7106" s="10" t="n">
        <v>0.3721693853206525</v>
      </c>
      <c r="G7106" s="11">
        <f>E7106*Summary!$B$6</f>
        <v/>
      </c>
      <c r="H7106" s="11">
        <f>F7106*Summary!$B$7</f>
        <v/>
      </c>
      <c r="I7106" s="11">
        <f>MAX(0,N7106-M7106)</f>
        <v/>
      </c>
      <c r="J7106" s="11">
        <f>MAX(0,M7106-N7106)</f>
        <v/>
      </c>
      <c r="K7106" s="11">
        <f>O7106</f>
        <v/>
      </c>
      <c r="L7106" s="11">
        <f>L7105+IF(K7106&gt;0,K7106*Summary!$B$9,K7106/Summary!$B$9)</f>
        <v/>
      </c>
      <c r="M7106" s="11">
        <f>G7106+H7106</f>
        <v/>
      </c>
      <c r="N7106" s="11">
        <f>Summary!$C$16*Summary!$B$8</f>
        <v/>
      </c>
      <c r="O7106" s="11">
        <f>M7106-N7106</f>
        <v/>
      </c>
    </row>
    <row r="7107">
      <c r="A7107" s="9" t="n">
        <v>45588.04166666666</v>
      </c>
      <c r="B7107" t="n">
        <v>10</v>
      </c>
      <c r="C7107" t="n">
        <v>23</v>
      </c>
      <c r="D7107" t="n">
        <v>1</v>
      </c>
      <c r="E7107" s="10" t="n">
        <v>0</v>
      </c>
      <c r="F7107" s="10" t="n">
        <v>0.4798173311561594</v>
      </c>
      <c r="G7107" s="11">
        <f>E7107*Summary!$B$6</f>
        <v/>
      </c>
      <c r="H7107" s="11">
        <f>F7107*Summary!$B$7</f>
        <v/>
      </c>
      <c r="I7107" s="11">
        <f>MAX(0,N7107-M7107)</f>
        <v/>
      </c>
      <c r="J7107" s="11">
        <f>MAX(0,M7107-N7107)</f>
        <v/>
      </c>
      <c r="K7107" s="11">
        <f>O7107</f>
        <v/>
      </c>
      <c r="L7107" s="11">
        <f>L7106+IF(K7107&gt;0,K7107*Summary!$B$9,K7107/Summary!$B$9)</f>
        <v/>
      </c>
      <c r="M7107" s="11">
        <f>G7107+H7107</f>
        <v/>
      </c>
      <c r="N7107" s="11">
        <f>Summary!$C$16*Summary!$B$8</f>
        <v/>
      </c>
      <c r="O7107" s="11">
        <f>M7107-N7107</f>
        <v/>
      </c>
    </row>
    <row r="7108">
      <c r="A7108" s="9" t="n">
        <v>45588.08333333334</v>
      </c>
      <c r="B7108" t="n">
        <v>10</v>
      </c>
      <c r="C7108" t="n">
        <v>23</v>
      </c>
      <c r="D7108" t="n">
        <v>2</v>
      </c>
      <c r="E7108" s="10" t="n">
        <v>0</v>
      </c>
      <c r="F7108" s="10" t="n">
        <v>0.4675109442026266</v>
      </c>
      <c r="G7108" s="11">
        <f>E7108*Summary!$B$6</f>
        <v/>
      </c>
      <c r="H7108" s="11">
        <f>F7108*Summary!$B$7</f>
        <v/>
      </c>
      <c r="I7108" s="11">
        <f>MAX(0,N7108-M7108)</f>
        <v/>
      </c>
      <c r="J7108" s="11">
        <f>MAX(0,M7108-N7108)</f>
        <v/>
      </c>
      <c r="K7108" s="11">
        <f>O7108</f>
        <v/>
      </c>
      <c r="L7108" s="11">
        <f>L7107+IF(K7108&gt;0,K7108*Summary!$B$9,K7108/Summary!$B$9)</f>
        <v/>
      </c>
      <c r="M7108" s="11">
        <f>G7108+H7108</f>
        <v/>
      </c>
      <c r="N7108" s="11">
        <f>Summary!$C$16*Summary!$B$8</f>
        <v/>
      </c>
      <c r="O7108" s="11">
        <f>M7108-N7108</f>
        <v/>
      </c>
    </row>
    <row r="7109">
      <c r="A7109" s="9" t="n">
        <v>45588.125</v>
      </c>
      <c r="B7109" t="n">
        <v>10</v>
      </c>
      <c r="C7109" t="n">
        <v>23</v>
      </c>
      <c r="D7109" t="n">
        <v>3</v>
      </c>
      <c r="E7109" s="10" t="n">
        <v>0</v>
      </c>
      <c r="F7109" s="10" t="n">
        <v>0.4548092771542265</v>
      </c>
      <c r="G7109" s="11">
        <f>E7109*Summary!$B$6</f>
        <v/>
      </c>
      <c r="H7109" s="11">
        <f>F7109*Summary!$B$7</f>
        <v/>
      </c>
      <c r="I7109" s="11">
        <f>MAX(0,N7109-M7109)</f>
        <v/>
      </c>
      <c r="J7109" s="11">
        <f>MAX(0,M7109-N7109)</f>
        <v/>
      </c>
      <c r="K7109" s="11">
        <f>O7109</f>
        <v/>
      </c>
      <c r="L7109" s="11">
        <f>L7108+IF(K7109&gt;0,K7109*Summary!$B$9,K7109/Summary!$B$9)</f>
        <v/>
      </c>
      <c r="M7109" s="11">
        <f>G7109+H7109</f>
        <v/>
      </c>
      <c r="N7109" s="11">
        <f>Summary!$C$16*Summary!$B$8</f>
        <v/>
      </c>
      <c r="O7109" s="11">
        <f>M7109-N7109</f>
        <v/>
      </c>
    </row>
    <row r="7110">
      <c r="A7110" s="9" t="n">
        <v>45588.16666666666</v>
      </c>
      <c r="B7110" t="n">
        <v>10</v>
      </c>
      <c r="C7110" t="n">
        <v>23</v>
      </c>
      <c r="D7110" t="n">
        <v>4</v>
      </c>
      <c r="E7110" s="10" t="n">
        <v>0</v>
      </c>
      <c r="F7110" s="10" t="n">
        <v>0.4447428107382745</v>
      </c>
      <c r="G7110" s="11">
        <f>E7110*Summary!$B$6</f>
        <v/>
      </c>
      <c r="H7110" s="11">
        <f>F7110*Summary!$B$7</f>
        <v/>
      </c>
      <c r="I7110" s="11">
        <f>MAX(0,N7110-M7110)</f>
        <v/>
      </c>
      <c r="J7110" s="11">
        <f>MAX(0,M7110-N7110)</f>
        <v/>
      </c>
      <c r="K7110" s="11">
        <f>O7110</f>
        <v/>
      </c>
      <c r="L7110" s="11">
        <f>L7109+IF(K7110&gt;0,K7110*Summary!$B$9,K7110/Summary!$B$9)</f>
        <v/>
      </c>
      <c r="M7110" s="11">
        <f>G7110+H7110</f>
        <v/>
      </c>
      <c r="N7110" s="11">
        <f>Summary!$C$16*Summary!$B$8</f>
        <v/>
      </c>
      <c r="O7110" s="11">
        <f>M7110-N7110</f>
        <v/>
      </c>
    </row>
    <row r="7111">
      <c r="A7111" s="9" t="n">
        <v>45588.20833333334</v>
      </c>
      <c r="B7111" t="n">
        <v>10</v>
      </c>
      <c r="C7111" t="n">
        <v>23</v>
      </c>
      <c r="D7111" t="n">
        <v>5</v>
      </c>
      <c r="E7111" s="10" t="n">
        <v>0</v>
      </c>
      <c r="F7111" s="10" t="n">
        <v>0.4311715274811666</v>
      </c>
      <c r="G7111" s="11">
        <f>E7111*Summary!$B$6</f>
        <v/>
      </c>
      <c r="H7111" s="11">
        <f>F7111*Summary!$B$7</f>
        <v/>
      </c>
      <c r="I7111" s="11">
        <f>MAX(0,N7111-M7111)</f>
        <v/>
      </c>
      <c r="J7111" s="11">
        <f>MAX(0,M7111-N7111)</f>
        <v/>
      </c>
      <c r="K7111" s="11">
        <f>O7111</f>
        <v/>
      </c>
      <c r="L7111" s="11">
        <f>L7110+IF(K7111&gt;0,K7111*Summary!$B$9,K7111/Summary!$B$9)</f>
        <v/>
      </c>
      <c r="M7111" s="11">
        <f>G7111+H7111</f>
        <v/>
      </c>
      <c r="N7111" s="11">
        <f>Summary!$C$16*Summary!$B$8</f>
        <v/>
      </c>
      <c r="O7111" s="11">
        <f>M7111-N7111</f>
        <v/>
      </c>
    </row>
    <row r="7112">
      <c r="A7112" s="9" t="n">
        <v>45588.25</v>
      </c>
      <c r="B7112" t="n">
        <v>10</v>
      </c>
      <c r="C7112" t="n">
        <v>23</v>
      </c>
      <c r="D7112" t="n">
        <v>6</v>
      </c>
      <c r="E7112" s="10" t="n">
        <v>0</v>
      </c>
      <c r="F7112" s="10" t="n">
        <v>0.4112494106998585</v>
      </c>
      <c r="G7112" s="11">
        <f>E7112*Summary!$B$6</f>
        <v/>
      </c>
      <c r="H7112" s="11">
        <f>F7112*Summary!$B$7</f>
        <v/>
      </c>
      <c r="I7112" s="11">
        <f>MAX(0,N7112-M7112)</f>
        <v/>
      </c>
      <c r="J7112" s="11">
        <f>MAX(0,M7112-N7112)</f>
        <v/>
      </c>
      <c r="K7112" s="11">
        <f>O7112</f>
        <v/>
      </c>
      <c r="L7112" s="11">
        <f>L7111+IF(K7112&gt;0,K7112*Summary!$B$9,K7112/Summary!$B$9)</f>
        <v/>
      </c>
      <c r="M7112" s="11">
        <f>G7112+H7112</f>
        <v/>
      </c>
      <c r="N7112" s="11">
        <f>Summary!$C$16*Summary!$B$8</f>
        <v/>
      </c>
      <c r="O7112" s="11">
        <f>M7112-N7112</f>
        <v/>
      </c>
    </row>
    <row r="7113">
      <c r="A7113" s="9" t="n">
        <v>45588.29166666666</v>
      </c>
      <c r="B7113" t="n">
        <v>10</v>
      </c>
      <c r="C7113" t="n">
        <v>23</v>
      </c>
      <c r="D7113" t="n">
        <v>7</v>
      </c>
      <c r="E7113" s="10" t="n">
        <v>0.005048</v>
      </c>
      <c r="F7113" s="10" t="n">
        <v>0.3862413566979256</v>
      </c>
      <c r="G7113" s="11">
        <f>E7113*Summary!$B$6</f>
        <v/>
      </c>
      <c r="H7113" s="11">
        <f>F7113*Summary!$B$7</f>
        <v/>
      </c>
      <c r="I7113" s="11">
        <f>MAX(0,N7113-M7113)</f>
        <v/>
      </c>
      <c r="J7113" s="11">
        <f>MAX(0,M7113-N7113)</f>
        <v/>
      </c>
      <c r="K7113" s="11">
        <f>O7113</f>
        <v/>
      </c>
      <c r="L7113" s="11">
        <f>L7112+IF(K7113&gt;0,K7113*Summary!$B$9,K7113/Summary!$B$9)</f>
        <v/>
      </c>
      <c r="M7113" s="11">
        <f>G7113+H7113</f>
        <v/>
      </c>
      <c r="N7113" s="11">
        <f>Summary!$C$16*Summary!$B$8</f>
        <v/>
      </c>
      <c r="O7113" s="11">
        <f>M7113-N7113</f>
        <v/>
      </c>
    </row>
    <row r="7114">
      <c r="A7114" s="9" t="n">
        <v>45588.33333333334</v>
      </c>
      <c r="B7114" t="n">
        <v>10</v>
      </c>
      <c r="C7114" t="n">
        <v>23</v>
      </c>
      <c r="D7114" t="n">
        <v>8</v>
      </c>
      <c r="E7114" s="10" t="n">
        <v>0.036864</v>
      </c>
      <c r="F7114" s="10" t="n">
        <v>0.3617339908161578</v>
      </c>
      <c r="G7114" s="11">
        <f>E7114*Summary!$B$6</f>
        <v/>
      </c>
      <c r="H7114" s="11">
        <f>F7114*Summary!$B$7</f>
        <v/>
      </c>
      <c r="I7114" s="11">
        <f>MAX(0,N7114-M7114)</f>
        <v/>
      </c>
      <c r="J7114" s="11">
        <f>MAX(0,M7114-N7114)</f>
        <v/>
      </c>
      <c r="K7114" s="11">
        <f>O7114</f>
        <v/>
      </c>
      <c r="L7114" s="11">
        <f>L7113+IF(K7114&gt;0,K7114*Summary!$B$9,K7114/Summary!$B$9)</f>
        <v/>
      </c>
      <c r="M7114" s="11">
        <f>G7114+H7114</f>
        <v/>
      </c>
      <c r="N7114" s="11">
        <f>Summary!$C$16*Summary!$B$8</f>
        <v/>
      </c>
      <c r="O7114" s="11">
        <f>M7114-N7114</f>
        <v/>
      </c>
    </row>
    <row r="7115">
      <c r="A7115" s="9" t="n">
        <v>45588.375</v>
      </c>
      <c r="B7115" t="n">
        <v>10</v>
      </c>
      <c r="C7115" t="n">
        <v>23</v>
      </c>
      <c r="D7115" t="n">
        <v>9</v>
      </c>
      <c r="E7115" s="10" t="n">
        <v>0.072675</v>
      </c>
      <c r="F7115" s="10" t="n">
        <v>0.3429450103068025</v>
      </c>
      <c r="G7115" s="11">
        <f>E7115*Summary!$B$6</f>
        <v/>
      </c>
      <c r="H7115" s="11">
        <f>F7115*Summary!$B$7</f>
        <v/>
      </c>
      <c r="I7115" s="11">
        <f>MAX(0,N7115-M7115)</f>
        <v/>
      </c>
      <c r="J7115" s="11">
        <f>MAX(0,M7115-N7115)</f>
        <v/>
      </c>
      <c r="K7115" s="11">
        <f>O7115</f>
        <v/>
      </c>
      <c r="L7115" s="11">
        <f>L7114+IF(K7115&gt;0,K7115*Summary!$B$9,K7115/Summary!$B$9)</f>
        <v/>
      </c>
      <c r="M7115" s="11">
        <f>G7115+H7115</f>
        <v/>
      </c>
      <c r="N7115" s="11">
        <f>Summary!$C$16*Summary!$B$8</f>
        <v/>
      </c>
      <c r="O7115" s="11">
        <f>M7115-N7115</f>
        <v/>
      </c>
    </row>
    <row r="7116">
      <c r="A7116" s="9" t="n">
        <v>45588.41666666666</v>
      </c>
      <c r="B7116" t="n">
        <v>10</v>
      </c>
      <c r="C7116" t="n">
        <v>23</v>
      </c>
      <c r="D7116" t="n">
        <v>10</v>
      </c>
      <c r="E7116" s="10" t="n">
        <v>0.058284</v>
      </c>
      <c r="F7116" s="10" t="n">
        <v>0.3347495363398887</v>
      </c>
      <c r="G7116" s="11">
        <f>E7116*Summary!$B$6</f>
        <v/>
      </c>
      <c r="H7116" s="11">
        <f>F7116*Summary!$B$7</f>
        <v/>
      </c>
      <c r="I7116" s="11">
        <f>MAX(0,N7116-M7116)</f>
        <v/>
      </c>
      <c r="J7116" s="11">
        <f>MAX(0,M7116-N7116)</f>
        <v/>
      </c>
      <c r="K7116" s="11">
        <f>O7116</f>
        <v/>
      </c>
      <c r="L7116" s="11">
        <f>L7115+IF(K7116&gt;0,K7116*Summary!$B$9,K7116/Summary!$B$9)</f>
        <v/>
      </c>
      <c r="M7116" s="11">
        <f>G7116+H7116</f>
        <v/>
      </c>
      <c r="N7116" s="11">
        <f>Summary!$C$16*Summary!$B$8</f>
        <v/>
      </c>
      <c r="O7116" s="11">
        <f>M7116-N7116</f>
        <v/>
      </c>
    </row>
    <row r="7117">
      <c r="A7117" s="9" t="n">
        <v>45588.45833333334</v>
      </c>
      <c r="B7117" t="n">
        <v>10</v>
      </c>
      <c r="C7117" t="n">
        <v>23</v>
      </c>
      <c r="D7117" t="n">
        <v>11</v>
      </c>
      <c r="E7117" s="10" t="n">
        <v>0.074743</v>
      </c>
      <c r="F7117" s="10" t="n">
        <v>0.3223113893547335</v>
      </c>
      <c r="G7117" s="11">
        <f>E7117*Summary!$B$6</f>
        <v/>
      </c>
      <c r="H7117" s="11">
        <f>F7117*Summary!$B$7</f>
        <v/>
      </c>
      <c r="I7117" s="11">
        <f>MAX(0,N7117-M7117)</f>
        <v/>
      </c>
      <c r="J7117" s="11">
        <f>MAX(0,M7117-N7117)</f>
        <v/>
      </c>
      <c r="K7117" s="11">
        <f>O7117</f>
        <v/>
      </c>
      <c r="L7117" s="11">
        <f>L7116+IF(K7117&gt;0,K7117*Summary!$B$9,K7117/Summary!$B$9)</f>
        <v/>
      </c>
      <c r="M7117" s="11">
        <f>G7117+H7117</f>
        <v/>
      </c>
      <c r="N7117" s="11">
        <f>Summary!$C$16*Summary!$B$8</f>
        <v/>
      </c>
      <c r="O7117" s="11">
        <f>M7117-N7117</f>
        <v/>
      </c>
    </row>
    <row r="7118">
      <c r="A7118" s="9" t="n">
        <v>45588.5</v>
      </c>
      <c r="B7118" t="n">
        <v>10</v>
      </c>
      <c r="C7118" t="n">
        <v>23</v>
      </c>
      <c r="D7118" t="n">
        <v>12</v>
      </c>
      <c r="E7118" s="10" t="n">
        <v>0.061746</v>
      </c>
      <c r="F7118" s="10" t="n">
        <v>0.3215735331776479</v>
      </c>
      <c r="G7118" s="11">
        <f>E7118*Summary!$B$6</f>
        <v/>
      </c>
      <c r="H7118" s="11">
        <f>F7118*Summary!$B$7</f>
        <v/>
      </c>
      <c r="I7118" s="11">
        <f>MAX(0,N7118-M7118)</f>
        <v/>
      </c>
      <c r="J7118" s="11">
        <f>MAX(0,M7118-N7118)</f>
        <v/>
      </c>
      <c r="K7118" s="11">
        <f>O7118</f>
        <v/>
      </c>
      <c r="L7118" s="11">
        <f>L7117+IF(K7118&gt;0,K7118*Summary!$B$9,K7118/Summary!$B$9)</f>
        <v/>
      </c>
      <c r="M7118" s="11">
        <f>G7118+H7118</f>
        <v/>
      </c>
      <c r="N7118" s="11">
        <f>Summary!$C$16*Summary!$B$8</f>
        <v/>
      </c>
      <c r="O7118" s="11">
        <f>M7118-N7118</f>
        <v/>
      </c>
    </row>
    <row r="7119">
      <c r="A7119" s="9" t="n">
        <v>45588.54166666666</v>
      </c>
      <c r="B7119" t="n">
        <v>10</v>
      </c>
      <c r="C7119" t="n">
        <v>23</v>
      </c>
      <c r="D7119" t="n">
        <v>13</v>
      </c>
      <c r="E7119" s="10" t="n">
        <v>0.064391</v>
      </c>
      <c r="F7119" s="10" t="n">
        <v>0.3170409880898372</v>
      </c>
      <c r="G7119" s="11">
        <f>E7119*Summary!$B$6</f>
        <v/>
      </c>
      <c r="H7119" s="11">
        <f>F7119*Summary!$B$7</f>
        <v/>
      </c>
      <c r="I7119" s="11">
        <f>MAX(0,N7119-M7119)</f>
        <v/>
      </c>
      <c r="J7119" s="11">
        <f>MAX(0,M7119-N7119)</f>
        <v/>
      </c>
      <c r="K7119" s="11">
        <f>O7119</f>
        <v/>
      </c>
      <c r="L7119" s="11">
        <f>L7118+IF(K7119&gt;0,K7119*Summary!$B$9,K7119/Summary!$B$9)</f>
        <v/>
      </c>
      <c r="M7119" s="11">
        <f>G7119+H7119</f>
        <v/>
      </c>
      <c r="N7119" s="11">
        <f>Summary!$C$16*Summary!$B$8</f>
        <v/>
      </c>
      <c r="O7119" s="11">
        <f>M7119-N7119</f>
        <v/>
      </c>
    </row>
    <row r="7120">
      <c r="A7120" s="9" t="n">
        <v>45588.58333333334</v>
      </c>
      <c r="B7120" t="n">
        <v>10</v>
      </c>
      <c r="C7120" t="n">
        <v>23</v>
      </c>
      <c r="D7120" t="n">
        <v>14</v>
      </c>
      <c r="E7120" s="10" t="n">
        <v>0.028885</v>
      </c>
      <c r="F7120" s="10" t="n">
        <v>0.3118496428439143</v>
      </c>
      <c r="G7120" s="11">
        <f>E7120*Summary!$B$6</f>
        <v/>
      </c>
      <c r="H7120" s="11">
        <f>F7120*Summary!$B$7</f>
        <v/>
      </c>
      <c r="I7120" s="11">
        <f>MAX(0,N7120-M7120)</f>
        <v/>
      </c>
      <c r="J7120" s="11">
        <f>MAX(0,M7120-N7120)</f>
        <v/>
      </c>
      <c r="K7120" s="11">
        <f>O7120</f>
        <v/>
      </c>
      <c r="L7120" s="11">
        <f>L7119+IF(K7120&gt;0,K7120*Summary!$B$9,K7120/Summary!$B$9)</f>
        <v/>
      </c>
      <c r="M7120" s="11">
        <f>G7120+H7120</f>
        <v/>
      </c>
      <c r="N7120" s="11">
        <f>Summary!$C$16*Summary!$B$8</f>
        <v/>
      </c>
      <c r="O7120" s="11">
        <f>M7120-N7120</f>
        <v/>
      </c>
    </row>
    <row r="7121">
      <c r="A7121" s="9" t="n">
        <v>45588.625</v>
      </c>
      <c r="B7121" t="n">
        <v>10</v>
      </c>
      <c r="C7121" t="n">
        <v>23</v>
      </c>
      <c r="D7121" t="n">
        <v>15</v>
      </c>
      <c r="E7121" s="10" t="n">
        <v>0.016085</v>
      </c>
      <c r="F7121" s="10" t="n">
        <v>0.312930075103218</v>
      </c>
      <c r="G7121" s="11">
        <f>E7121*Summary!$B$6</f>
        <v/>
      </c>
      <c r="H7121" s="11">
        <f>F7121*Summary!$B$7</f>
        <v/>
      </c>
      <c r="I7121" s="11">
        <f>MAX(0,N7121-M7121)</f>
        <v/>
      </c>
      <c r="J7121" s="11">
        <f>MAX(0,M7121-N7121)</f>
        <v/>
      </c>
      <c r="K7121" s="11">
        <f>O7121</f>
        <v/>
      </c>
      <c r="L7121" s="11">
        <f>L7120+IF(K7121&gt;0,K7121*Summary!$B$9,K7121/Summary!$B$9)</f>
        <v/>
      </c>
      <c r="M7121" s="11">
        <f>G7121+H7121</f>
        <v/>
      </c>
      <c r="N7121" s="11">
        <f>Summary!$C$16*Summary!$B$8</f>
        <v/>
      </c>
      <c r="O7121" s="11">
        <f>M7121-N7121</f>
        <v/>
      </c>
    </row>
    <row r="7122">
      <c r="A7122" s="9" t="n">
        <v>45588.66666666666</v>
      </c>
      <c r="B7122" t="n">
        <v>10</v>
      </c>
      <c r="C7122" t="n">
        <v>23</v>
      </c>
      <c r="D7122" t="n">
        <v>16</v>
      </c>
      <c r="E7122" s="10" t="n">
        <v>0.006217</v>
      </c>
      <c r="F7122" s="10" t="n">
        <v>0.3184112924187101</v>
      </c>
      <c r="G7122" s="11">
        <f>E7122*Summary!$B$6</f>
        <v/>
      </c>
      <c r="H7122" s="11">
        <f>F7122*Summary!$B$7</f>
        <v/>
      </c>
      <c r="I7122" s="11">
        <f>MAX(0,N7122-M7122)</f>
        <v/>
      </c>
      <c r="J7122" s="11">
        <f>MAX(0,M7122-N7122)</f>
        <v/>
      </c>
      <c r="K7122" s="11">
        <f>O7122</f>
        <v/>
      </c>
      <c r="L7122" s="11">
        <f>L7121+IF(K7122&gt;0,K7122*Summary!$B$9,K7122/Summary!$B$9)</f>
        <v/>
      </c>
      <c r="M7122" s="11">
        <f>G7122+H7122</f>
        <v/>
      </c>
      <c r="N7122" s="11">
        <f>Summary!$C$16*Summary!$B$8</f>
        <v/>
      </c>
      <c r="O7122" s="11">
        <f>M7122-N7122</f>
        <v/>
      </c>
    </row>
    <row r="7123">
      <c r="A7123" s="9" t="n">
        <v>45588.70833333334</v>
      </c>
      <c r="B7123" t="n">
        <v>10</v>
      </c>
      <c r="C7123" t="n">
        <v>23</v>
      </c>
      <c r="D7123" t="n">
        <v>17</v>
      </c>
      <c r="E7123" s="10" t="n">
        <v>0</v>
      </c>
      <c r="F7123" s="10" t="n">
        <v>0.3281878867650928</v>
      </c>
      <c r="G7123" s="11">
        <f>E7123*Summary!$B$6</f>
        <v/>
      </c>
      <c r="H7123" s="11">
        <f>F7123*Summary!$B$7</f>
        <v/>
      </c>
      <c r="I7123" s="11">
        <f>MAX(0,N7123-M7123)</f>
        <v/>
      </c>
      <c r="J7123" s="11">
        <f>MAX(0,M7123-N7123)</f>
        <v/>
      </c>
      <c r="K7123" s="11">
        <f>O7123</f>
        <v/>
      </c>
      <c r="L7123" s="11">
        <f>L7122+IF(K7123&gt;0,K7123*Summary!$B$9,K7123/Summary!$B$9)</f>
        <v/>
      </c>
      <c r="M7123" s="11">
        <f>G7123+H7123</f>
        <v/>
      </c>
      <c r="N7123" s="11">
        <f>Summary!$C$16*Summary!$B$8</f>
        <v/>
      </c>
      <c r="O7123" s="11">
        <f>M7123-N7123</f>
        <v/>
      </c>
    </row>
    <row r="7124">
      <c r="A7124" s="9" t="n">
        <v>45588.75</v>
      </c>
      <c r="B7124" t="n">
        <v>10</v>
      </c>
      <c r="C7124" t="n">
        <v>23</v>
      </c>
      <c r="D7124" t="n">
        <v>18</v>
      </c>
      <c r="E7124" s="10" t="n">
        <v>0</v>
      </c>
      <c r="F7124" s="10" t="n">
        <v>0.3378590730861775</v>
      </c>
      <c r="G7124" s="11">
        <f>E7124*Summary!$B$6</f>
        <v/>
      </c>
      <c r="H7124" s="11">
        <f>F7124*Summary!$B$7</f>
        <v/>
      </c>
      <c r="I7124" s="11">
        <f>MAX(0,N7124-M7124)</f>
        <v/>
      </c>
      <c r="J7124" s="11">
        <f>MAX(0,M7124-N7124)</f>
        <v/>
      </c>
      <c r="K7124" s="11">
        <f>O7124</f>
        <v/>
      </c>
      <c r="L7124" s="11">
        <f>L7123+IF(K7124&gt;0,K7124*Summary!$B$9,K7124/Summary!$B$9)</f>
        <v/>
      </c>
      <c r="M7124" s="11">
        <f>G7124+H7124</f>
        <v/>
      </c>
      <c r="N7124" s="11">
        <f>Summary!$C$16*Summary!$B$8</f>
        <v/>
      </c>
      <c r="O7124" s="11">
        <f>M7124-N7124</f>
        <v/>
      </c>
    </row>
    <row r="7125">
      <c r="A7125" s="9" t="n">
        <v>45588.79166666666</v>
      </c>
      <c r="B7125" t="n">
        <v>10</v>
      </c>
      <c r="C7125" t="n">
        <v>23</v>
      </c>
      <c r="D7125" t="n">
        <v>19</v>
      </c>
      <c r="E7125" s="10" t="n">
        <v>0</v>
      </c>
      <c r="F7125" s="10" t="n">
        <v>0.3434456984269676</v>
      </c>
      <c r="G7125" s="11">
        <f>E7125*Summary!$B$6</f>
        <v/>
      </c>
      <c r="H7125" s="11">
        <f>F7125*Summary!$B$7</f>
        <v/>
      </c>
      <c r="I7125" s="11">
        <f>MAX(0,N7125-M7125)</f>
        <v/>
      </c>
      <c r="J7125" s="11">
        <f>MAX(0,M7125-N7125)</f>
        <v/>
      </c>
      <c r="K7125" s="11">
        <f>O7125</f>
        <v/>
      </c>
      <c r="L7125" s="11">
        <f>L7124+IF(K7125&gt;0,K7125*Summary!$B$9,K7125/Summary!$B$9)</f>
        <v/>
      </c>
      <c r="M7125" s="11">
        <f>G7125+H7125</f>
        <v/>
      </c>
      <c r="N7125" s="11">
        <f>Summary!$C$16*Summary!$B$8</f>
        <v/>
      </c>
      <c r="O7125" s="11">
        <f>M7125-N7125</f>
        <v/>
      </c>
    </row>
    <row r="7126">
      <c r="A7126" s="9" t="n">
        <v>45588.83333333334</v>
      </c>
      <c r="B7126" t="n">
        <v>10</v>
      </c>
      <c r="C7126" t="n">
        <v>23</v>
      </c>
      <c r="D7126" t="n">
        <v>20</v>
      </c>
      <c r="E7126" s="10" t="n">
        <v>0</v>
      </c>
      <c r="F7126" s="10" t="n">
        <v>0.3481627075590498</v>
      </c>
      <c r="G7126" s="11">
        <f>E7126*Summary!$B$6</f>
        <v/>
      </c>
      <c r="H7126" s="11">
        <f>F7126*Summary!$B$7</f>
        <v/>
      </c>
      <c r="I7126" s="11">
        <f>MAX(0,N7126-M7126)</f>
        <v/>
      </c>
      <c r="J7126" s="11">
        <f>MAX(0,M7126-N7126)</f>
        <v/>
      </c>
      <c r="K7126" s="11">
        <f>O7126</f>
        <v/>
      </c>
      <c r="L7126" s="11">
        <f>L7125+IF(K7126&gt;0,K7126*Summary!$B$9,K7126/Summary!$B$9)</f>
        <v/>
      </c>
      <c r="M7126" s="11">
        <f>G7126+H7126</f>
        <v/>
      </c>
      <c r="N7126" s="11">
        <f>Summary!$C$16*Summary!$B$8</f>
        <v/>
      </c>
      <c r="O7126" s="11">
        <f>M7126-N7126</f>
        <v/>
      </c>
    </row>
    <row r="7127">
      <c r="A7127" s="9" t="n">
        <v>45588.875</v>
      </c>
      <c r="B7127" t="n">
        <v>10</v>
      </c>
      <c r="C7127" t="n">
        <v>23</v>
      </c>
      <c r="D7127" t="n">
        <v>21</v>
      </c>
      <c r="E7127" s="10" t="n">
        <v>0</v>
      </c>
      <c r="F7127" s="10" t="n">
        <v>0.3491904358057046</v>
      </c>
      <c r="G7127" s="11">
        <f>E7127*Summary!$B$6</f>
        <v/>
      </c>
      <c r="H7127" s="11">
        <f>F7127*Summary!$B$7</f>
        <v/>
      </c>
      <c r="I7127" s="11">
        <f>MAX(0,N7127-M7127)</f>
        <v/>
      </c>
      <c r="J7127" s="11">
        <f>MAX(0,M7127-N7127)</f>
        <v/>
      </c>
      <c r="K7127" s="11">
        <f>O7127</f>
        <v/>
      </c>
      <c r="L7127" s="11">
        <f>L7126+IF(K7127&gt;0,K7127*Summary!$B$9,K7127/Summary!$B$9)</f>
        <v/>
      </c>
      <c r="M7127" s="11">
        <f>G7127+H7127</f>
        <v/>
      </c>
      <c r="N7127" s="11">
        <f>Summary!$C$16*Summary!$B$8</f>
        <v/>
      </c>
      <c r="O7127" s="11">
        <f>M7127-N7127</f>
        <v/>
      </c>
    </row>
    <row r="7128">
      <c r="A7128" s="9" t="n">
        <v>45588.91666666666</v>
      </c>
      <c r="B7128" t="n">
        <v>10</v>
      </c>
      <c r="C7128" t="n">
        <v>23</v>
      </c>
      <c r="D7128" t="n">
        <v>22</v>
      </c>
      <c r="E7128" s="10" t="n">
        <v>0</v>
      </c>
      <c r="F7128" s="10" t="n">
        <v>0.3590724381773852</v>
      </c>
      <c r="G7128" s="11">
        <f>E7128*Summary!$B$6</f>
        <v/>
      </c>
      <c r="H7128" s="11">
        <f>F7128*Summary!$B$7</f>
        <v/>
      </c>
      <c r="I7128" s="11">
        <f>MAX(0,N7128-M7128)</f>
        <v/>
      </c>
      <c r="J7128" s="11">
        <f>MAX(0,M7128-N7128)</f>
        <v/>
      </c>
      <c r="K7128" s="11">
        <f>O7128</f>
        <v/>
      </c>
      <c r="L7128" s="11">
        <f>L7127+IF(K7128&gt;0,K7128*Summary!$B$9,K7128/Summary!$B$9)</f>
        <v/>
      </c>
      <c r="M7128" s="11">
        <f>G7128+H7128</f>
        <v/>
      </c>
      <c r="N7128" s="11">
        <f>Summary!$C$16*Summary!$B$8</f>
        <v/>
      </c>
      <c r="O7128" s="11">
        <f>M7128-N7128</f>
        <v/>
      </c>
    </row>
    <row r="7129">
      <c r="A7129" s="9" t="n">
        <v>45588.95833333334</v>
      </c>
      <c r="B7129" t="n">
        <v>10</v>
      </c>
      <c r="C7129" t="n">
        <v>23</v>
      </c>
      <c r="D7129" t="n">
        <v>23</v>
      </c>
      <c r="E7129" s="10" t="n">
        <v>0</v>
      </c>
      <c r="F7129" s="10" t="n">
        <v>0.3665037039608889</v>
      </c>
      <c r="G7129" s="11">
        <f>E7129*Summary!$B$6</f>
        <v/>
      </c>
      <c r="H7129" s="11">
        <f>F7129*Summary!$B$7</f>
        <v/>
      </c>
      <c r="I7129" s="11">
        <f>MAX(0,N7129-M7129)</f>
        <v/>
      </c>
      <c r="J7129" s="11">
        <f>MAX(0,M7129-N7129)</f>
        <v/>
      </c>
      <c r="K7129" s="11">
        <f>O7129</f>
        <v/>
      </c>
      <c r="L7129" s="11">
        <f>L7128+IF(K7129&gt;0,K7129*Summary!$B$9,K7129/Summary!$B$9)</f>
        <v/>
      </c>
      <c r="M7129" s="11">
        <f>G7129+H7129</f>
        <v/>
      </c>
      <c r="N7129" s="11">
        <f>Summary!$C$16*Summary!$B$8</f>
        <v/>
      </c>
      <c r="O7129" s="11">
        <f>M7129-N7129</f>
        <v/>
      </c>
    </row>
    <row r="7130">
      <c r="A7130" s="9" t="n">
        <v>45589</v>
      </c>
      <c r="B7130" t="n">
        <v>10</v>
      </c>
      <c r="C7130" t="n">
        <v>24</v>
      </c>
      <c r="D7130" t="n">
        <v>0</v>
      </c>
      <c r="E7130" s="10" t="n">
        <v>0</v>
      </c>
      <c r="F7130" s="10" t="n">
        <v>0.4352033844488123</v>
      </c>
      <c r="G7130" s="11">
        <f>E7130*Summary!$B$6</f>
        <v/>
      </c>
      <c r="H7130" s="11">
        <f>F7130*Summary!$B$7</f>
        <v/>
      </c>
      <c r="I7130" s="11">
        <f>MAX(0,N7130-M7130)</f>
        <v/>
      </c>
      <c r="J7130" s="11">
        <f>MAX(0,M7130-N7130)</f>
        <v/>
      </c>
      <c r="K7130" s="11">
        <f>O7130</f>
        <v/>
      </c>
      <c r="L7130" s="11">
        <f>L7129+IF(K7130&gt;0,K7130*Summary!$B$9,K7130/Summary!$B$9)</f>
        <v/>
      </c>
      <c r="M7130" s="11">
        <f>G7130+H7130</f>
        <v/>
      </c>
      <c r="N7130" s="11">
        <f>Summary!$C$16*Summary!$B$8</f>
        <v/>
      </c>
      <c r="O7130" s="11">
        <f>M7130-N7130</f>
        <v/>
      </c>
    </row>
    <row r="7131">
      <c r="A7131" s="9" t="n">
        <v>45589.04166666666</v>
      </c>
      <c r="B7131" t="n">
        <v>10</v>
      </c>
      <c r="C7131" t="n">
        <v>24</v>
      </c>
      <c r="D7131" t="n">
        <v>1</v>
      </c>
      <c r="E7131" s="10" t="n">
        <v>0</v>
      </c>
      <c r="F7131" s="10" t="n">
        <v>0.3776242506298201</v>
      </c>
      <c r="G7131" s="11">
        <f>E7131*Summary!$B$6</f>
        <v/>
      </c>
      <c r="H7131" s="11">
        <f>F7131*Summary!$B$7</f>
        <v/>
      </c>
      <c r="I7131" s="11">
        <f>MAX(0,N7131-M7131)</f>
        <v/>
      </c>
      <c r="J7131" s="11">
        <f>MAX(0,M7131-N7131)</f>
        <v/>
      </c>
      <c r="K7131" s="11">
        <f>O7131</f>
        <v/>
      </c>
      <c r="L7131" s="11">
        <f>L7130+IF(K7131&gt;0,K7131*Summary!$B$9,K7131/Summary!$B$9)</f>
        <v/>
      </c>
      <c r="M7131" s="11">
        <f>G7131+H7131</f>
        <v/>
      </c>
      <c r="N7131" s="11">
        <f>Summary!$C$16*Summary!$B$8</f>
        <v/>
      </c>
      <c r="O7131" s="11">
        <f>M7131-N7131</f>
        <v/>
      </c>
    </row>
    <row r="7132">
      <c r="A7132" s="9" t="n">
        <v>45589.08333333334</v>
      </c>
      <c r="B7132" t="n">
        <v>10</v>
      </c>
      <c r="C7132" t="n">
        <v>24</v>
      </c>
      <c r="D7132" t="n">
        <v>2</v>
      </c>
      <c r="E7132" s="10" t="n">
        <v>0</v>
      </c>
      <c r="F7132" s="10" t="n">
        <v>0.3845021242805098</v>
      </c>
      <c r="G7132" s="11">
        <f>E7132*Summary!$B$6</f>
        <v/>
      </c>
      <c r="H7132" s="11">
        <f>F7132*Summary!$B$7</f>
        <v/>
      </c>
      <c r="I7132" s="11">
        <f>MAX(0,N7132-M7132)</f>
        <v/>
      </c>
      <c r="J7132" s="11">
        <f>MAX(0,M7132-N7132)</f>
        <v/>
      </c>
      <c r="K7132" s="11">
        <f>O7132</f>
        <v/>
      </c>
      <c r="L7132" s="11">
        <f>L7131+IF(K7132&gt;0,K7132*Summary!$B$9,K7132/Summary!$B$9)</f>
        <v/>
      </c>
      <c r="M7132" s="11">
        <f>G7132+H7132</f>
        <v/>
      </c>
      <c r="N7132" s="11">
        <f>Summary!$C$16*Summary!$B$8</f>
        <v/>
      </c>
      <c r="O7132" s="11">
        <f>M7132-N7132</f>
        <v/>
      </c>
    </row>
    <row r="7133">
      <c r="A7133" s="9" t="n">
        <v>45589.125</v>
      </c>
      <c r="B7133" t="n">
        <v>10</v>
      </c>
      <c r="C7133" t="n">
        <v>24</v>
      </c>
      <c r="D7133" t="n">
        <v>3</v>
      </c>
      <c r="E7133" s="10" t="n">
        <v>0</v>
      </c>
      <c r="F7133" s="10" t="n">
        <v>0.3908002537920609</v>
      </c>
      <c r="G7133" s="11">
        <f>E7133*Summary!$B$6</f>
        <v/>
      </c>
      <c r="H7133" s="11">
        <f>F7133*Summary!$B$7</f>
        <v/>
      </c>
      <c r="I7133" s="11">
        <f>MAX(0,N7133-M7133)</f>
        <v/>
      </c>
      <c r="J7133" s="11">
        <f>MAX(0,M7133-N7133)</f>
        <v/>
      </c>
      <c r="K7133" s="11">
        <f>O7133</f>
        <v/>
      </c>
      <c r="L7133" s="11">
        <f>L7132+IF(K7133&gt;0,K7133*Summary!$B$9,K7133/Summary!$B$9)</f>
        <v/>
      </c>
      <c r="M7133" s="11">
        <f>G7133+H7133</f>
        <v/>
      </c>
      <c r="N7133" s="11">
        <f>Summary!$C$16*Summary!$B$8</f>
        <v/>
      </c>
      <c r="O7133" s="11">
        <f>M7133-N7133</f>
        <v/>
      </c>
    </row>
    <row r="7134">
      <c r="A7134" s="9" t="n">
        <v>45589.16666666666</v>
      </c>
      <c r="B7134" t="n">
        <v>10</v>
      </c>
      <c r="C7134" t="n">
        <v>24</v>
      </c>
      <c r="D7134" t="n">
        <v>4</v>
      </c>
      <c r="E7134" s="10" t="n">
        <v>0</v>
      </c>
      <c r="F7134" s="10" t="n">
        <v>0.3993383038411929</v>
      </c>
      <c r="G7134" s="11">
        <f>E7134*Summary!$B$6</f>
        <v/>
      </c>
      <c r="H7134" s="11">
        <f>F7134*Summary!$B$7</f>
        <v/>
      </c>
      <c r="I7134" s="11">
        <f>MAX(0,N7134-M7134)</f>
        <v/>
      </c>
      <c r="J7134" s="11">
        <f>MAX(0,M7134-N7134)</f>
        <v/>
      </c>
      <c r="K7134" s="11">
        <f>O7134</f>
        <v/>
      </c>
      <c r="L7134" s="11">
        <f>L7133+IF(K7134&gt;0,K7134*Summary!$B$9,K7134/Summary!$B$9)</f>
        <v/>
      </c>
      <c r="M7134" s="11">
        <f>G7134+H7134</f>
        <v/>
      </c>
      <c r="N7134" s="11">
        <f>Summary!$C$16*Summary!$B$8</f>
        <v/>
      </c>
      <c r="O7134" s="11">
        <f>M7134-N7134</f>
        <v/>
      </c>
    </row>
    <row r="7135">
      <c r="A7135" s="9" t="n">
        <v>45589.20833333334</v>
      </c>
      <c r="B7135" t="n">
        <v>10</v>
      </c>
      <c r="C7135" t="n">
        <v>24</v>
      </c>
      <c r="D7135" t="n">
        <v>5</v>
      </c>
      <c r="E7135" s="10" t="n">
        <v>0</v>
      </c>
      <c r="F7135" s="10" t="n">
        <v>0.4072175537322129</v>
      </c>
      <c r="G7135" s="11">
        <f>E7135*Summary!$B$6</f>
        <v/>
      </c>
      <c r="H7135" s="11">
        <f>F7135*Summary!$B$7</f>
        <v/>
      </c>
      <c r="I7135" s="11">
        <f>MAX(0,N7135-M7135)</f>
        <v/>
      </c>
      <c r="J7135" s="11">
        <f>MAX(0,M7135-N7135)</f>
        <v/>
      </c>
      <c r="K7135" s="11">
        <f>O7135</f>
        <v/>
      </c>
      <c r="L7135" s="11">
        <f>L7134+IF(K7135&gt;0,K7135*Summary!$B$9,K7135/Summary!$B$9)</f>
        <v/>
      </c>
      <c r="M7135" s="11">
        <f>G7135+H7135</f>
        <v/>
      </c>
      <c r="N7135" s="11">
        <f>Summary!$C$16*Summary!$B$8</f>
        <v/>
      </c>
      <c r="O7135" s="11">
        <f>M7135-N7135</f>
        <v/>
      </c>
    </row>
    <row r="7136">
      <c r="A7136" s="9" t="n">
        <v>45589.25</v>
      </c>
      <c r="B7136" t="n">
        <v>10</v>
      </c>
      <c r="C7136" t="n">
        <v>24</v>
      </c>
      <c r="D7136" t="n">
        <v>6</v>
      </c>
      <c r="E7136" s="10" t="n">
        <v>0</v>
      </c>
      <c r="F7136" s="10" t="n">
        <v>0.4103270904785017</v>
      </c>
      <c r="G7136" s="11">
        <f>E7136*Summary!$B$6</f>
        <v/>
      </c>
      <c r="H7136" s="11">
        <f>F7136*Summary!$B$7</f>
        <v/>
      </c>
      <c r="I7136" s="11">
        <f>MAX(0,N7136-M7136)</f>
        <v/>
      </c>
      <c r="J7136" s="11">
        <f>MAX(0,M7136-N7136)</f>
        <v/>
      </c>
      <c r="K7136" s="11">
        <f>O7136</f>
        <v/>
      </c>
      <c r="L7136" s="11">
        <f>L7135+IF(K7136&gt;0,K7136*Summary!$B$9,K7136/Summary!$B$9)</f>
        <v/>
      </c>
      <c r="M7136" s="11">
        <f>G7136+H7136</f>
        <v/>
      </c>
      <c r="N7136" s="11">
        <f>Summary!$C$16*Summary!$B$8</f>
        <v/>
      </c>
      <c r="O7136" s="11">
        <f>M7136-N7136</f>
        <v/>
      </c>
    </row>
    <row r="7137">
      <c r="A7137" s="9" t="n">
        <v>45589.29166666666</v>
      </c>
      <c r="B7137" t="n">
        <v>10</v>
      </c>
      <c r="C7137" t="n">
        <v>24</v>
      </c>
      <c r="D7137" t="n">
        <v>7</v>
      </c>
      <c r="E7137" s="10" t="n">
        <v>0</v>
      </c>
      <c r="F7137" s="10" t="n">
        <v>0.4074020177764842</v>
      </c>
      <c r="G7137" s="11">
        <f>E7137*Summary!$B$6</f>
        <v/>
      </c>
      <c r="H7137" s="11">
        <f>F7137*Summary!$B$7</f>
        <v/>
      </c>
      <c r="I7137" s="11">
        <f>MAX(0,N7137-M7137)</f>
        <v/>
      </c>
      <c r="J7137" s="11">
        <f>MAX(0,M7137-N7137)</f>
        <v/>
      </c>
      <c r="K7137" s="11">
        <f>O7137</f>
        <v/>
      </c>
      <c r="L7137" s="11">
        <f>L7136+IF(K7137&gt;0,K7137*Summary!$B$9,K7137/Summary!$B$9)</f>
        <v/>
      </c>
      <c r="M7137" s="11">
        <f>G7137+H7137</f>
        <v/>
      </c>
      <c r="N7137" s="11">
        <f>Summary!$C$16*Summary!$B$8</f>
        <v/>
      </c>
      <c r="O7137" s="11">
        <f>M7137-N7137</f>
        <v/>
      </c>
    </row>
    <row r="7138">
      <c r="A7138" s="9" t="n">
        <v>45589.33333333334</v>
      </c>
      <c r="B7138" t="n">
        <v>10</v>
      </c>
      <c r="C7138" t="n">
        <v>24</v>
      </c>
      <c r="D7138" t="n">
        <v>8</v>
      </c>
      <c r="E7138" s="10" t="n">
        <v>0.0241</v>
      </c>
      <c r="F7138" s="10" t="n">
        <v>0.4010248322459597</v>
      </c>
      <c r="G7138" s="11">
        <f>E7138*Summary!$B$6</f>
        <v/>
      </c>
      <c r="H7138" s="11">
        <f>F7138*Summary!$B$7</f>
        <v/>
      </c>
      <c r="I7138" s="11">
        <f>MAX(0,N7138-M7138)</f>
        <v/>
      </c>
      <c r="J7138" s="11">
        <f>MAX(0,M7138-N7138)</f>
        <v/>
      </c>
      <c r="K7138" s="11">
        <f>O7138</f>
        <v/>
      </c>
      <c r="L7138" s="11">
        <f>L7137+IF(K7138&gt;0,K7138*Summary!$B$9,K7138/Summary!$B$9)</f>
        <v/>
      </c>
      <c r="M7138" s="11">
        <f>G7138+H7138</f>
        <v/>
      </c>
      <c r="N7138" s="11">
        <f>Summary!$C$16*Summary!$B$8</f>
        <v/>
      </c>
      <c r="O7138" s="11">
        <f>M7138-N7138</f>
        <v/>
      </c>
    </row>
    <row r="7139">
      <c r="A7139" s="9" t="n">
        <v>45589.375</v>
      </c>
      <c r="B7139" t="n">
        <v>10</v>
      </c>
      <c r="C7139" t="n">
        <v>24</v>
      </c>
      <c r="D7139" t="n">
        <v>9</v>
      </c>
      <c r="E7139" s="10" t="n">
        <v>0.049869</v>
      </c>
      <c r="F7139" s="10" t="n">
        <v>0.3943841266521904</v>
      </c>
      <c r="G7139" s="11">
        <f>E7139*Summary!$B$6</f>
        <v/>
      </c>
      <c r="H7139" s="11">
        <f>F7139*Summary!$B$7</f>
        <v/>
      </c>
      <c r="I7139" s="11">
        <f>MAX(0,N7139-M7139)</f>
        <v/>
      </c>
      <c r="J7139" s="11">
        <f>MAX(0,M7139-N7139)</f>
        <v/>
      </c>
      <c r="K7139" s="11">
        <f>O7139</f>
        <v/>
      </c>
      <c r="L7139" s="11">
        <f>L7138+IF(K7139&gt;0,K7139*Summary!$B$9,K7139/Summary!$B$9)</f>
        <v/>
      </c>
      <c r="M7139" s="11">
        <f>G7139+H7139</f>
        <v/>
      </c>
      <c r="N7139" s="11">
        <f>Summary!$C$16*Summary!$B$8</f>
        <v/>
      </c>
      <c r="O7139" s="11">
        <f>M7139-N7139</f>
        <v/>
      </c>
    </row>
    <row r="7140">
      <c r="A7140" s="9" t="n">
        <v>45589.41666666666</v>
      </c>
      <c r="B7140" t="n">
        <v>10</v>
      </c>
      <c r="C7140" t="n">
        <v>24</v>
      </c>
      <c r="D7140" t="n">
        <v>10</v>
      </c>
      <c r="E7140" s="10" t="n">
        <v>0.050639</v>
      </c>
      <c r="F7140" s="10" t="n">
        <v>0.3897198215327571</v>
      </c>
      <c r="G7140" s="11">
        <f>E7140*Summary!$B$6</f>
        <v/>
      </c>
      <c r="H7140" s="11">
        <f>F7140*Summary!$B$7</f>
        <v/>
      </c>
      <c r="I7140" s="11">
        <f>MAX(0,N7140-M7140)</f>
        <v/>
      </c>
      <c r="J7140" s="11">
        <f>MAX(0,M7140-N7140)</f>
        <v/>
      </c>
      <c r="K7140" s="11">
        <f>O7140</f>
        <v/>
      </c>
      <c r="L7140" s="11">
        <f>L7139+IF(K7140&gt;0,K7140*Summary!$B$9,K7140/Summary!$B$9)</f>
        <v/>
      </c>
      <c r="M7140" s="11">
        <f>G7140+H7140</f>
        <v/>
      </c>
      <c r="N7140" s="11">
        <f>Summary!$C$16*Summary!$B$8</f>
        <v/>
      </c>
      <c r="O7140" s="11">
        <f>M7140-N7140</f>
        <v/>
      </c>
    </row>
    <row r="7141">
      <c r="A7141" s="9" t="n">
        <v>45589.45833333334</v>
      </c>
      <c r="B7141" t="n">
        <v>10</v>
      </c>
      <c r="C7141" t="n">
        <v>24</v>
      </c>
      <c r="D7141" t="n">
        <v>11</v>
      </c>
      <c r="E7141" s="10" t="n">
        <v>0.098021</v>
      </c>
      <c r="F7141" s="10" t="n">
        <v>0.3827892438694185</v>
      </c>
      <c r="G7141" s="11">
        <f>E7141*Summary!$B$6</f>
        <v/>
      </c>
      <c r="H7141" s="11">
        <f>F7141*Summary!$B$7</f>
        <v/>
      </c>
      <c r="I7141" s="11">
        <f>MAX(0,N7141-M7141)</f>
        <v/>
      </c>
      <c r="J7141" s="11">
        <f>MAX(0,M7141-N7141)</f>
        <v/>
      </c>
      <c r="K7141" s="11">
        <f>O7141</f>
        <v/>
      </c>
      <c r="L7141" s="11">
        <f>L7140+IF(K7141&gt;0,K7141*Summary!$B$9,K7141/Summary!$B$9)</f>
        <v/>
      </c>
      <c r="M7141" s="11">
        <f>G7141+H7141</f>
        <v/>
      </c>
      <c r="N7141" s="11">
        <f>Summary!$C$16*Summary!$B$8</f>
        <v/>
      </c>
      <c r="O7141" s="11">
        <f>M7141-N7141</f>
        <v/>
      </c>
    </row>
    <row r="7142">
      <c r="A7142" s="9" t="n">
        <v>45589.5</v>
      </c>
      <c r="B7142" t="n">
        <v>10</v>
      </c>
      <c r="C7142" t="n">
        <v>24</v>
      </c>
      <c r="D7142" t="n">
        <v>12</v>
      </c>
      <c r="E7142" s="10" t="n">
        <v>0.08111</v>
      </c>
      <c r="F7142" s="10" t="n">
        <v>0.3784675148322036</v>
      </c>
      <c r="G7142" s="11">
        <f>E7142*Summary!$B$6</f>
        <v/>
      </c>
      <c r="H7142" s="11">
        <f>F7142*Summary!$B$7</f>
        <v/>
      </c>
      <c r="I7142" s="11">
        <f>MAX(0,N7142-M7142)</f>
        <v/>
      </c>
      <c r="J7142" s="11">
        <f>MAX(0,M7142-N7142)</f>
        <v/>
      </c>
      <c r="K7142" s="11">
        <f>O7142</f>
        <v/>
      </c>
      <c r="L7142" s="11">
        <f>L7141+IF(K7142&gt;0,K7142*Summary!$B$9,K7142/Summary!$B$9)</f>
        <v/>
      </c>
      <c r="M7142" s="11">
        <f>G7142+H7142</f>
        <v/>
      </c>
      <c r="N7142" s="11">
        <f>Summary!$C$16*Summary!$B$8</f>
        <v/>
      </c>
      <c r="O7142" s="11">
        <f>M7142-N7142</f>
        <v/>
      </c>
    </row>
    <row r="7143">
      <c r="A7143" s="9" t="n">
        <v>45589.54166666666</v>
      </c>
      <c r="B7143" t="n">
        <v>10</v>
      </c>
      <c r="C7143" t="n">
        <v>24</v>
      </c>
      <c r="D7143" t="n">
        <v>13</v>
      </c>
      <c r="E7143" s="10" t="n">
        <v>0.049622</v>
      </c>
      <c r="F7143" s="10" t="n">
        <v>0.3789682029523687</v>
      </c>
      <c r="G7143" s="11">
        <f>E7143*Summary!$B$6</f>
        <v/>
      </c>
      <c r="H7143" s="11">
        <f>F7143*Summary!$B$7</f>
        <v/>
      </c>
      <c r="I7143" s="11">
        <f>MAX(0,N7143-M7143)</f>
        <v/>
      </c>
      <c r="J7143" s="11">
        <f>MAX(0,M7143-N7143)</f>
        <v/>
      </c>
      <c r="K7143" s="11">
        <f>O7143</f>
        <v/>
      </c>
      <c r="L7143" s="11">
        <f>L7142+IF(K7143&gt;0,K7143*Summary!$B$9,K7143/Summary!$B$9)</f>
        <v/>
      </c>
      <c r="M7143" s="11">
        <f>G7143+H7143</f>
        <v/>
      </c>
      <c r="N7143" s="11">
        <f>Summary!$C$16*Summary!$B$8</f>
        <v/>
      </c>
      <c r="O7143" s="11">
        <f>M7143-N7143</f>
        <v/>
      </c>
    </row>
    <row r="7144">
      <c r="A7144" s="9" t="n">
        <v>45589.58333333334</v>
      </c>
      <c r="B7144" t="n">
        <v>10</v>
      </c>
      <c r="C7144" t="n">
        <v>24</v>
      </c>
      <c r="D7144" t="n">
        <v>14</v>
      </c>
      <c r="E7144" s="10" t="n">
        <v>0.029889</v>
      </c>
      <c r="F7144" s="10" t="n">
        <v>0.3759113702187288</v>
      </c>
      <c r="G7144" s="11">
        <f>E7144*Summary!$B$6</f>
        <v/>
      </c>
      <c r="H7144" s="11">
        <f>F7144*Summary!$B$7</f>
        <v/>
      </c>
      <c r="I7144" s="11">
        <f>MAX(0,N7144-M7144)</f>
        <v/>
      </c>
      <c r="J7144" s="11">
        <f>MAX(0,M7144-N7144)</f>
        <v/>
      </c>
      <c r="K7144" s="11">
        <f>O7144</f>
        <v/>
      </c>
      <c r="L7144" s="11">
        <f>L7143+IF(K7144&gt;0,K7144*Summary!$B$9,K7144/Summary!$B$9)</f>
        <v/>
      </c>
      <c r="M7144" s="11">
        <f>G7144+H7144</f>
        <v/>
      </c>
      <c r="N7144" s="11">
        <f>Summary!$C$16*Summary!$B$8</f>
        <v/>
      </c>
      <c r="O7144" s="11">
        <f>M7144-N7144</f>
        <v/>
      </c>
    </row>
    <row r="7145">
      <c r="A7145" s="9" t="n">
        <v>45589.625</v>
      </c>
      <c r="B7145" t="n">
        <v>10</v>
      </c>
      <c r="C7145" t="n">
        <v>24</v>
      </c>
      <c r="D7145" t="n">
        <v>15</v>
      </c>
      <c r="E7145" s="10" t="n">
        <v>0.013161</v>
      </c>
      <c r="F7145" s="10" t="n">
        <v>0.3803121552749172</v>
      </c>
      <c r="G7145" s="11">
        <f>E7145*Summary!$B$6</f>
        <v/>
      </c>
      <c r="H7145" s="11">
        <f>F7145*Summary!$B$7</f>
        <v/>
      </c>
      <c r="I7145" s="11">
        <f>MAX(0,N7145-M7145)</f>
        <v/>
      </c>
      <c r="J7145" s="11">
        <f>MAX(0,M7145-N7145)</f>
        <v/>
      </c>
      <c r="K7145" s="11">
        <f>O7145</f>
        <v/>
      </c>
      <c r="L7145" s="11">
        <f>L7144+IF(K7145&gt;0,K7145*Summary!$B$9,K7145/Summary!$B$9)</f>
        <v/>
      </c>
      <c r="M7145" s="11">
        <f>G7145+H7145</f>
        <v/>
      </c>
      <c r="N7145" s="11">
        <f>Summary!$C$16*Summary!$B$8</f>
        <v/>
      </c>
      <c r="O7145" s="11">
        <f>M7145-N7145</f>
        <v/>
      </c>
    </row>
    <row r="7146">
      <c r="A7146" s="9" t="n">
        <v>45589.66666666666</v>
      </c>
      <c r="B7146" t="n">
        <v>10</v>
      </c>
      <c r="C7146" t="n">
        <v>24</v>
      </c>
      <c r="D7146" t="n">
        <v>16</v>
      </c>
      <c r="E7146" s="10" t="n">
        <v>0</v>
      </c>
      <c r="F7146" s="10" t="n">
        <v>0.3916698700007687</v>
      </c>
      <c r="G7146" s="11">
        <f>E7146*Summary!$B$6</f>
        <v/>
      </c>
      <c r="H7146" s="11">
        <f>F7146*Summary!$B$7</f>
        <v/>
      </c>
      <c r="I7146" s="11">
        <f>MAX(0,N7146-M7146)</f>
        <v/>
      </c>
      <c r="J7146" s="11">
        <f>MAX(0,M7146-N7146)</f>
        <v/>
      </c>
      <c r="K7146" s="11">
        <f>O7146</f>
        <v/>
      </c>
      <c r="L7146" s="11">
        <f>L7145+IF(K7146&gt;0,K7146*Summary!$B$9,K7146/Summary!$B$9)</f>
        <v/>
      </c>
      <c r="M7146" s="11">
        <f>G7146+H7146</f>
        <v/>
      </c>
      <c r="N7146" s="11">
        <f>Summary!$C$16*Summary!$B$8</f>
        <v/>
      </c>
      <c r="O7146" s="11">
        <f>M7146-N7146</f>
        <v/>
      </c>
    </row>
    <row r="7147">
      <c r="A7147" s="9" t="n">
        <v>45589.70833333334</v>
      </c>
      <c r="B7147" t="n">
        <v>10</v>
      </c>
      <c r="C7147" t="n">
        <v>24</v>
      </c>
      <c r="D7147" t="n">
        <v>17</v>
      </c>
      <c r="E7147" s="10" t="n">
        <v>0</v>
      </c>
      <c r="F7147" s="10" t="n">
        <v>0.4082979859915166</v>
      </c>
      <c r="G7147" s="11">
        <f>E7147*Summary!$B$6</f>
        <v/>
      </c>
      <c r="H7147" s="11">
        <f>F7147*Summary!$B$7</f>
        <v/>
      </c>
      <c r="I7147" s="11">
        <f>MAX(0,N7147-M7147)</f>
        <v/>
      </c>
      <c r="J7147" s="11">
        <f>MAX(0,M7147-N7147)</f>
        <v/>
      </c>
      <c r="K7147" s="11">
        <f>O7147</f>
        <v/>
      </c>
      <c r="L7147" s="11">
        <f>L7146+IF(K7147&gt;0,K7147*Summary!$B$9,K7147/Summary!$B$9)</f>
        <v/>
      </c>
      <c r="M7147" s="11">
        <f>G7147+H7147</f>
        <v/>
      </c>
      <c r="N7147" s="11">
        <f>Summary!$C$16*Summary!$B$8</f>
        <v/>
      </c>
      <c r="O7147" s="11">
        <f>M7147-N7147</f>
        <v/>
      </c>
    </row>
    <row r="7148">
      <c r="A7148" s="9" t="n">
        <v>45589.75</v>
      </c>
      <c r="B7148" t="n">
        <v>10</v>
      </c>
      <c r="C7148" t="n">
        <v>24</v>
      </c>
      <c r="D7148" t="n">
        <v>18</v>
      </c>
      <c r="E7148" s="10" t="n">
        <v>0</v>
      </c>
      <c r="F7148" s="10" t="n">
        <v>0.42566395815935</v>
      </c>
      <c r="G7148" s="11">
        <f>E7148*Summary!$B$6</f>
        <v/>
      </c>
      <c r="H7148" s="11">
        <f>F7148*Summary!$B$7</f>
        <v/>
      </c>
      <c r="I7148" s="11">
        <f>MAX(0,N7148-M7148)</f>
        <v/>
      </c>
      <c r="J7148" s="11">
        <f>MAX(0,M7148-N7148)</f>
        <v/>
      </c>
      <c r="K7148" s="11">
        <f>O7148</f>
        <v/>
      </c>
      <c r="L7148" s="11">
        <f>L7147+IF(K7148&gt;0,K7148*Summary!$B$9,K7148/Summary!$B$9)</f>
        <v/>
      </c>
      <c r="M7148" s="11">
        <f>G7148+H7148</f>
        <v/>
      </c>
      <c r="N7148" s="11">
        <f>Summary!$C$16*Summary!$B$8</f>
        <v/>
      </c>
      <c r="O7148" s="11">
        <f>M7148-N7148</f>
        <v/>
      </c>
    </row>
    <row r="7149">
      <c r="A7149" s="9" t="n">
        <v>45589.79166666666</v>
      </c>
      <c r="B7149" t="n">
        <v>10</v>
      </c>
      <c r="C7149" t="n">
        <v>24</v>
      </c>
      <c r="D7149" t="n">
        <v>19</v>
      </c>
      <c r="E7149" s="10" t="n">
        <v>0</v>
      </c>
      <c r="F7149" s="10" t="n">
        <v>0.4350452724108654</v>
      </c>
      <c r="G7149" s="11">
        <f>E7149*Summary!$B$6</f>
        <v/>
      </c>
      <c r="H7149" s="11">
        <f>F7149*Summary!$B$7</f>
        <v/>
      </c>
      <c r="I7149" s="11">
        <f>MAX(0,N7149-M7149)</f>
        <v/>
      </c>
      <c r="J7149" s="11">
        <f>MAX(0,M7149-N7149)</f>
        <v/>
      </c>
      <c r="K7149" s="11">
        <f>O7149</f>
        <v/>
      </c>
      <c r="L7149" s="11">
        <f>L7148+IF(K7149&gt;0,K7149*Summary!$B$9,K7149/Summary!$B$9)</f>
        <v/>
      </c>
      <c r="M7149" s="11">
        <f>G7149+H7149</f>
        <v/>
      </c>
      <c r="N7149" s="11">
        <f>Summary!$C$16*Summary!$B$8</f>
        <v/>
      </c>
      <c r="O7149" s="11">
        <f>M7149-N7149</f>
        <v/>
      </c>
    </row>
    <row r="7150">
      <c r="A7150" s="9" t="n">
        <v>45589.83333333334</v>
      </c>
      <c r="B7150" t="n">
        <v>10</v>
      </c>
      <c r="C7150" t="n">
        <v>24</v>
      </c>
      <c r="D7150" t="n">
        <v>20</v>
      </c>
      <c r="E7150" s="10" t="n">
        <v>0</v>
      </c>
      <c r="F7150" s="10" t="n">
        <v>0.4381548091571542</v>
      </c>
      <c r="G7150" s="11">
        <f>E7150*Summary!$B$6</f>
        <v/>
      </c>
      <c r="H7150" s="11">
        <f>F7150*Summary!$B$7</f>
        <v/>
      </c>
      <c r="I7150" s="11">
        <f>MAX(0,N7150-M7150)</f>
        <v/>
      </c>
      <c r="J7150" s="11">
        <f>MAX(0,M7150-N7150)</f>
        <v/>
      </c>
      <c r="K7150" s="11">
        <f>O7150</f>
        <v/>
      </c>
      <c r="L7150" s="11">
        <f>L7149+IF(K7150&gt;0,K7150*Summary!$B$9,K7150/Summary!$B$9)</f>
        <v/>
      </c>
      <c r="M7150" s="11">
        <f>G7150+H7150</f>
        <v/>
      </c>
      <c r="N7150" s="11">
        <f>Summary!$C$16*Summary!$B$8</f>
        <v/>
      </c>
      <c r="O7150" s="11">
        <f>M7150-N7150</f>
        <v/>
      </c>
    </row>
    <row r="7151">
      <c r="A7151" s="9" t="n">
        <v>45589.875</v>
      </c>
      <c r="B7151" t="n">
        <v>10</v>
      </c>
      <c r="C7151" t="n">
        <v>24</v>
      </c>
      <c r="D7151" t="n">
        <v>21</v>
      </c>
      <c r="E7151" s="10" t="n">
        <v>0</v>
      </c>
      <c r="F7151" s="10" t="n">
        <v>0.4375750650180156</v>
      </c>
      <c r="G7151" s="11">
        <f>E7151*Summary!$B$6</f>
        <v/>
      </c>
      <c r="H7151" s="11">
        <f>F7151*Summary!$B$7</f>
        <v/>
      </c>
      <c r="I7151" s="11">
        <f>MAX(0,N7151-M7151)</f>
        <v/>
      </c>
      <c r="J7151" s="11">
        <f>MAX(0,M7151-N7151)</f>
        <v/>
      </c>
      <c r="K7151" s="11">
        <f>O7151</f>
        <v/>
      </c>
      <c r="L7151" s="11">
        <f>L7150+IF(K7151&gt;0,K7151*Summary!$B$9,K7151/Summary!$B$9)</f>
        <v/>
      </c>
      <c r="M7151" s="11">
        <f>G7151+H7151</f>
        <v/>
      </c>
      <c r="N7151" s="11">
        <f>Summary!$C$16*Summary!$B$8</f>
        <v/>
      </c>
      <c r="O7151" s="11">
        <f>M7151-N7151</f>
        <v/>
      </c>
    </row>
    <row r="7152">
      <c r="A7152" s="9" t="n">
        <v>45589.91666666666</v>
      </c>
      <c r="B7152" t="n">
        <v>10</v>
      </c>
      <c r="C7152" t="n">
        <v>24</v>
      </c>
      <c r="D7152" t="n">
        <v>22</v>
      </c>
      <c r="E7152" s="10" t="n">
        <v>0</v>
      </c>
      <c r="F7152" s="10" t="n">
        <v>0.4349398643855674</v>
      </c>
      <c r="G7152" s="11">
        <f>E7152*Summary!$B$6</f>
        <v/>
      </c>
      <c r="H7152" s="11">
        <f>F7152*Summary!$B$7</f>
        <v/>
      </c>
      <c r="I7152" s="11">
        <f>MAX(0,N7152-M7152)</f>
        <v/>
      </c>
      <c r="J7152" s="11">
        <f>MAX(0,M7152-N7152)</f>
        <v/>
      </c>
      <c r="K7152" s="11">
        <f>O7152</f>
        <v/>
      </c>
      <c r="L7152" s="11">
        <f>L7151+IF(K7152&gt;0,K7152*Summary!$B$9,K7152/Summary!$B$9)</f>
        <v/>
      </c>
      <c r="M7152" s="11">
        <f>G7152+H7152</f>
        <v/>
      </c>
      <c r="N7152" s="11">
        <f>Summary!$C$16*Summary!$B$8</f>
        <v/>
      </c>
      <c r="O7152" s="11">
        <f>M7152-N7152</f>
        <v/>
      </c>
    </row>
    <row r="7153">
      <c r="A7153" s="9" t="n">
        <v>45589.95833333334</v>
      </c>
      <c r="B7153" t="n">
        <v>10</v>
      </c>
      <c r="C7153" t="n">
        <v>24</v>
      </c>
      <c r="D7153" t="n">
        <v>23</v>
      </c>
      <c r="E7153" s="10" t="n">
        <v>0</v>
      </c>
      <c r="F7153" s="10" t="n">
        <v>0.4375750650180156</v>
      </c>
      <c r="G7153" s="11">
        <f>E7153*Summary!$B$6</f>
        <v/>
      </c>
      <c r="H7153" s="11">
        <f>F7153*Summary!$B$7</f>
        <v/>
      </c>
      <c r="I7153" s="11">
        <f>MAX(0,N7153-M7153)</f>
        <v/>
      </c>
      <c r="J7153" s="11">
        <f>MAX(0,M7153-N7153)</f>
        <v/>
      </c>
      <c r="K7153" s="11">
        <f>O7153</f>
        <v/>
      </c>
      <c r="L7153" s="11">
        <f>L7152+IF(K7153&gt;0,K7153*Summary!$B$9,K7153/Summary!$B$9)</f>
        <v/>
      </c>
      <c r="M7153" s="11">
        <f>G7153+H7153</f>
        <v/>
      </c>
      <c r="N7153" s="11">
        <f>Summary!$C$16*Summary!$B$8</f>
        <v/>
      </c>
      <c r="O7153" s="11">
        <f>M7153-N7153</f>
        <v/>
      </c>
    </row>
    <row r="7154">
      <c r="A7154" s="9" t="n">
        <v>45590</v>
      </c>
      <c r="B7154" t="n">
        <v>10</v>
      </c>
      <c r="C7154" t="n">
        <v>25</v>
      </c>
      <c r="D7154" t="n">
        <v>0</v>
      </c>
      <c r="E7154" s="10" t="n">
        <v>0</v>
      </c>
      <c r="F7154" s="10" t="n">
        <v>0.2919275260626062</v>
      </c>
      <c r="G7154" s="11">
        <f>E7154*Summary!$B$6</f>
        <v/>
      </c>
      <c r="H7154" s="11">
        <f>F7154*Summary!$B$7</f>
        <v/>
      </c>
      <c r="I7154" s="11">
        <f>MAX(0,N7154-M7154)</f>
        <v/>
      </c>
      <c r="J7154" s="11">
        <f>MAX(0,M7154-N7154)</f>
        <v/>
      </c>
      <c r="K7154" s="11">
        <f>O7154</f>
        <v/>
      </c>
      <c r="L7154" s="11">
        <f>L7153+IF(K7154&gt;0,K7154*Summary!$B$9,K7154/Summary!$B$9)</f>
        <v/>
      </c>
      <c r="M7154" s="11">
        <f>G7154+H7154</f>
        <v/>
      </c>
      <c r="N7154" s="11">
        <f>Summary!$C$16*Summary!$B$8</f>
        <v/>
      </c>
      <c r="O7154" s="11">
        <f>M7154-N7154</f>
        <v/>
      </c>
    </row>
    <row r="7155">
      <c r="A7155" s="9" t="n">
        <v>45590.04166666666</v>
      </c>
      <c r="B7155" t="n">
        <v>10</v>
      </c>
      <c r="C7155" t="n">
        <v>25</v>
      </c>
      <c r="D7155" t="n">
        <v>1</v>
      </c>
      <c r="E7155" s="10" t="n">
        <v>0</v>
      </c>
      <c r="F7155" s="10" t="n">
        <v>0.433437800025072</v>
      </c>
      <c r="G7155" s="11">
        <f>E7155*Summary!$B$6</f>
        <v/>
      </c>
      <c r="H7155" s="11">
        <f>F7155*Summary!$B$7</f>
        <v/>
      </c>
      <c r="I7155" s="11">
        <f>MAX(0,N7155-M7155)</f>
        <v/>
      </c>
      <c r="J7155" s="11">
        <f>MAX(0,M7155-N7155)</f>
        <v/>
      </c>
      <c r="K7155" s="11">
        <f>O7155</f>
        <v/>
      </c>
      <c r="L7155" s="11">
        <f>L7154+IF(K7155&gt;0,K7155*Summary!$B$9,K7155/Summary!$B$9)</f>
        <v/>
      </c>
      <c r="M7155" s="11">
        <f>G7155+H7155</f>
        <v/>
      </c>
      <c r="N7155" s="11">
        <f>Summary!$C$16*Summary!$B$8</f>
        <v/>
      </c>
      <c r="O7155" s="11">
        <f>M7155-N7155</f>
        <v/>
      </c>
    </row>
    <row r="7156">
      <c r="A7156" s="9" t="n">
        <v>45590.08333333334</v>
      </c>
      <c r="B7156" t="n">
        <v>10</v>
      </c>
      <c r="C7156" t="n">
        <v>25</v>
      </c>
      <c r="D7156" t="n">
        <v>2</v>
      </c>
      <c r="E7156" s="10" t="n">
        <v>0</v>
      </c>
      <c r="F7156" s="10" t="n">
        <v>0.4316458635950072</v>
      </c>
      <c r="G7156" s="11">
        <f>E7156*Summary!$B$6</f>
        <v/>
      </c>
      <c r="H7156" s="11">
        <f>F7156*Summary!$B$7</f>
        <v/>
      </c>
      <c r="I7156" s="11">
        <f>MAX(0,N7156-M7156)</f>
        <v/>
      </c>
      <c r="J7156" s="11">
        <f>MAX(0,M7156-N7156)</f>
        <v/>
      </c>
      <c r="K7156" s="11">
        <f>O7156</f>
        <v/>
      </c>
      <c r="L7156" s="11">
        <f>L7155+IF(K7156&gt;0,K7156*Summary!$B$9,K7156/Summary!$B$9)</f>
        <v/>
      </c>
      <c r="M7156" s="11">
        <f>G7156+H7156</f>
        <v/>
      </c>
      <c r="N7156" s="11">
        <f>Summary!$C$16*Summary!$B$8</f>
        <v/>
      </c>
      <c r="O7156" s="11">
        <f>M7156-N7156</f>
        <v/>
      </c>
    </row>
    <row r="7157">
      <c r="A7157" s="9" t="n">
        <v>45590.125</v>
      </c>
      <c r="B7157" t="n">
        <v>10</v>
      </c>
      <c r="C7157" t="n">
        <v>25</v>
      </c>
      <c r="D7157" t="n">
        <v>3</v>
      </c>
      <c r="E7157" s="10" t="n">
        <v>0</v>
      </c>
      <c r="F7157" s="10" t="n">
        <v>0.430539079329379</v>
      </c>
      <c r="G7157" s="11">
        <f>E7157*Summary!$B$6</f>
        <v/>
      </c>
      <c r="H7157" s="11">
        <f>F7157*Summary!$B$7</f>
        <v/>
      </c>
      <c r="I7157" s="11">
        <f>MAX(0,N7157-M7157)</f>
        <v/>
      </c>
      <c r="J7157" s="11">
        <f>MAX(0,M7157-N7157)</f>
        <v/>
      </c>
      <c r="K7157" s="11">
        <f>O7157</f>
        <v/>
      </c>
      <c r="L7157" s="11">
        <f>L7156+IF(K7157&gt;0,K7157*Summary!$B$9,K7157/Summary!$B$9)</f>
        <v/>
      </c>
      <c r="M7157" s="11">
        <f>G7157+H7157</f>
        <v/>
      </c>
      <c r="N7157" s="11">
        <f>Summary!$C$16*Summary!$B$8</f>
        <v/>
      </c>
      <c r="O7157" s="11">
        <f>M7157-N7157</f>
        <v/>
      </c>
    </row>
    <row r="7158">
      <c r="A7158" s="9" t="n">
        <v>45590.16666666666</v>
      </c>
      <c r="B7158" t="n">
        <v>10</v>
      </c>
      <c r="C7158" t="n">
        <v>25</v>
      </c>
      <c r="D7158" t="n">
        <v>4</v>
      </c>
      <c r="E7158" s="10" t="n">
        <v>0</v>
      </c>
      <c r="F7158" s="10" t="n">
        <v>0.4331742799618272</v>
      </c>
      <c r="G7158" s="11">
        <f>E7158*Summary!$B$6</f>
        <v/>
      </c>
      <c r="H7158" s="11">
        <f>F7158*Summary!$B$7</f>
        <v/>
      </c>
      <c r="I7158" s="11">
        <f>MAX(0,N7158-M7158)</f>
        <v/>
      </c>
      <c r="J7158" s="11">
        <f>MAX(0,M7158-N7158)</f>
        <v/>
      </c>
      <c r="K7158" s="11">
        <f>O7158</f>
        <v/>
      </c>
      <c r="L7158" s="11">
        <f>L7157+IF(K7158&gt;0,K7158*Summary!$B$9,K7158/Summary!$B$9)</f>
        <v/>
      </c>
      <c r="M7158" s="11">
        <f>G7158+H7158</f>
        <v/>
      </c>
      <c r="N7158" s="11">
        <f>Summary!$C$16*Summary!$B$8</f>
        <v/>
      </c>
      <c r="O7158" s="11">
        <f>M7158-N7158</f>
        <v/>
      </c>
    </row>
    <row r="7159">
      <c r="A7159" s="9" t="n">
        <v>45590.20833333334</v>
      </c>
      <c r="B7159" t="n">
        <v>10</v>
      </c>
      <c r="C7159" t="n">
        <v>25</v>
      </c>
      <c r="D7159" t="n">
        <v>5</v>
      </c>
      <c r="E7159" s="10" t="n">
        <v>0</v>
      </c>
      <c r="F7159" s="10" t="n">
        <v>0.4332006319681516</v>
      </c>
      <c r="G7159" s="11">
        <f>E7159*Summary!$B$6</f>
        <v/>
      </c>
      <c r="H7159" s="11">
        <f>F7159*Summary!$B$7</f>
        <v/>
      </c>
      <c r="I7159" s="11">
        <f>MAX(0,N7159-M7159)</f>
        <v/>
      </c>
      <c r="J7159" s="11">
        <f>MAX(0,M7159-N7159)</f>
        <v/>
      </c>
      <c r="K7159" s="11">
        <f>O7159</f>
        <v/>
      </c>
      <c r="L7159" s="11">
        <f>L7158+IF(K7159&gt;0,K7159*Summary!$B$9,K7159/Summary!$B$9)</f>
        <v/>
      </c>
      <c r="M7159" s="11">
        <f>G7159+H7159</f>
        <v/>
      </c>
      <c r="N7159" s="11">
        <f>Summary!$C$16*Summary!$B$8</f>
        <v/>
      </c>
      <c r="O7159" s="11">
        <f>M7159-N7159</f>
        <v/>
      </c>
    </row>
    <row r="7160">
      <c r="A7160" s="9" t="n">
        <v>45590.25</v>
      </c>
      <c r="B7160" t="n">
        <v>10</v>
      </c>
      <c r="C7160" t="n">
        <v>25</v>
      </c>
      <c r="D7160" t="n">
        <v>6</v>
      </c>
      <c r="E7160" s="10" t="n">
        <v>0</v>
      </c>
      <c r="F7160" s="10" t="n">
        <v>0.4364682807523874</v>
      </c>
      <c r="G7160" s="11">
        <f>E7160*Summary!$B$6</f>
        <v/>
      </c>
      <c r="H7160" s="11">
        <f>F7160*Summary!$B$7</f>
        <v/>
      </c>
      <c r="I7160" s="11">
        <f>MAX(0,N7160-M7160)</f>
        <v/>
      </c>
      <c r="J7160" s="11">
        <f>MAX(0,M7160-N7160)</f>
        <v/>
      </c>
      <c r="K7160" s="11">
        <f>O7160</f>
        <v/>
      </c>
      <c r="L7160" s="11">
        <f>L7159+IF(K7160&gt;0,K7160*Summary!$B$9,K7160/Summary!$B$9)</f>
        <v/>
      </c>
      <c r="M7160" s="11">
        <f>G7160+H7160</f>
        <v/>
      </c>
      <c r="N7160" s="11">
        <f>Summary!$C$16*Summary!$B$8</f>
        <v/>
      </c>
      <c r="O7160" s="11">
        <f>M7160-N7160</f>
        <v/>
      </c>
    </row>
    <row r="7161">
      <c r="A7161" s="9" t="n">
        <v>45590.29166666666</v>
      </c>
      <c r="B7161" t="n">
        <v>10</v>
      </c>
      <c r="C7161" t="n">
        <v>25</v>
      </c>
      <c r="D7161" t="n">
        <v>7</v>
      </c>
      <c r="E7161" s="10" t="n">
        <v>0</v>
      </c>
      <c r="F7161" s="10" t="n">
        <v>0.4328844078922579</v>
      </c>
      <c r="G7161" s="11">
        <f>E7161*Summary!$B$6</f>
        <v/>
      </c>
      <c r="H7161" s="11">
        <f>F7161*Summary!$B$7</f>
        <v/>
      </c>
      <c r="I7161" s="11">
        <f>MAX(0,N7161-M7161)</f>
        <v/>
      </c>
      <c r="J7161" s="11">
        <f>MAX(0,M7161-N7161)</f>
        <v/>
      </c>
      <c r="K7161" s="11">
        <f>O7161</f>
        <v/>
      </c>
      <c r="L7161" s="11">
        <f>L7160+IF(K7161&gt;0,K7161*Summary!$B$9,K7161/Summary!$B$9)</f>
        <v/>
      </c>
      <c r="M7161" s="11">
        <f>G7161+H7161</f>
        <v/>
      </c>
      <c r="N7161" s="11">
        <f>Summary!$C$16*Summary!$B$8</f>
        <v/>
      </c>
      <c r="O7161" s="11">
        <f>M7161-N7161</f>
        <v/>
      </c>
    </row>
    <row r="7162">
      <c r="A7162" s="9" t="n">
        <v>45590.33333333334</v>
      </c>
      <c r="B7162" t="n">
        <v>10</v>
      </c>
      <c r="C7162" t="n">
        <v>25</v>
      </c>
      <c r="D7162" t="n">
        <v>8</v>
      </c>
      <c r="E7162" s="10" t="n">
        <v>0.024614</v>
      </c>
      <c r="F7162" s="10" t="n">
        <v>0.4273504865641168</v>
      </c>
      <c r="G7162" s="11">
        <f>E7162*Summary!$B$6</f>
        <v/>
      </c>
      <c r="H7162" s="11">
        <f>F7162*Summary!$B$7</f>
        <v/>
      </c>
      <c r="I7162" s="11">
        <f>MAX(0,N7162-M7162)</f>
        <v/>
      </c>
      <c r="J7162" s="11">
        <f>MAX(0,M7162-N7162)</f>
        <v/>
      </c>
      <c r="K7162" s="11">
        <f>O7162</f>
        <v/>
      </c>
      <c r="L7162" s="11">
        <f>L7161+IF(K7162&gt;0,K7162*Summary!$B$9,K7162/Summary!$B$9)</f>
        <v/>
      </c>
      <c r="M7162" s="11">
        <f>G7162+H7162</f>
        <v/>
      </c>
      <c r="N7162" s="11">
        <f>Summary!$C$16*Summary!$B$8</f>
        <v/>
      </c>
      <c r="O7162" s="11">
        <f>M7162-N7162</f>
        <v/>
      </c>
    </row>
    <row r="7163">
      <c r="A7163" s="9" t="n">
        <v>45590.375</v>
      </c>
      <c r="B7163" t="n">
        <v>10</v>
      </c>
      <c r="C7163" t="n">
        <v>25</v>
      </c>
      <c r="D7163" t="n">
        <v>9</v>
      </c>
      <c r="E7163" s="10" t="n">
        <v>0.009162999999999999</v>
      </c>
      <c r="F7163" s="10" t="n">
        <v>0.4166779240027018</v>
      </c>
      <c r="G7163" s="11">
        <f>E7163*Summary!$B$6</f>
        <v/>
      </c>
      <c r="H7163" s="11">
        <f>F7163*Summary!$B$7</f>
        <v/>
      </c>
      <c r="I7163" s="11">
        <f>MAX(0,N7163-M7163)</f>
        <v/>
      </c>
      <c r="J7163" s="11">
        <f>MAX(0,M7163-N7163)</f>
        <v/>
      </c>
      <c r="K7163" s="11">
        <f>O7163</f>
        <v/>
      </c>
      <c r="L7163" s="11">
        <f>L7162+IF(K7163&gt;0,K7163*Summary!$B$9,K7163/Summary!$B$9)</f>
        <v/>
      </c>
      <c r="M7163" s="11">
        <f>G7163+H7163</f>
        <v/>
      </c>
      <c r="N7163" s="11">
        <f>Summary!$C$16*Summary!$B$8</f>
        <v/>
      </c>
      <c r="O7163" s="11">
        <f>M7163-N7163</f>
        <v/>
      </c>
    </row>
    <row r="7164">
      <c r="A7164" s="9" t="n">
        <v>45590.41666666666</v>
      </c>
      <c r="B7164" t="n">
        <v>10</v>
      </c>
      <c r="C7164" t="n">
        <v>25</v>
      </c>
      <c r="D7164" t="n">
        <v>10</v>
      </c>
      <c r="E7164" s="10" t="n">
        <v>0.023385</v>
      </c>
      <c r="F7164" s="10" t="n">
        <v>0.4099318103836345</v>
      </c>
      <c r="G7164" s="11">
        <f>E7164*Summary!$B$6</f>
        <v/>
      </c>
      <c r="H7164" s="11">
        <f>F7164*Summary!$B$7</f>
        <v/>
      </c>
      <c r="I7164" s="11">
        <f>MAX(0,N7164-M7164)</f>
        <v/>
      </c>
      <c r="J7164" s="11">
        <f>MAX(0,M7164-N7164)</f>
        <v/>
      </c>
      <c r="K7164" s="11">
        <f>O7164</f>
        <v/>
      </c>
      <c r="L7164" s="11">
        <f>L7163+IF(K7164&gt;0,K7164*Summary!$B$9,K7164/Summary!$B$9)</f>
        <v/>
      </c>
      <c r="M7164" s="11">
        <f>G7164+H7164</f>
        <v/>
      </c>
      <c r="N7164" s="11">
        <f>Summary!$C$16*Summary!$B$8</f>
        <v/>
      </c>
      <c r="O7164" s="11">
        <f>M7164-N7164</f>
        <v/>
      </c>
    </row>
    <row r="7165">
      <c r="A7165" s="9" t="n">
        <v>45590.45833333334</v>
      </c>
      <c r="B7165" t="n">
        <v>10</v>
      </c>
      <c r="C7165" t="n">
        <v>25</v>
      </c>
      <c r="D7165" t="n">
        <v>11</v>
      </c>
      <c r="E7165" s="10" t="n">
        <v>0.040246</v>
      </c>
      <c r="F7165" s="10" t="n">
        <v>0.4052148012515523</v>
      </c>
      <c r="G7165" s="11">
        <f>E7165*Summary!$B$6</f>
        <v/>
      </c>
      <c r="H7165" s="11">
        <f>F7165*Summary!$B$7</f>
        <v/>
      </c>
      <c r="I7165" s="11">
        <f>MAX(0,N7165-M7165)</f>
        <v/>
      </c>
      <c r="J7165" s="11">
        <f>MAX(0,M7165-N7165)</f>
        <v/>
      </c>
      <c r="K7165" s="11">
        <f>O7165</f>
        <v/>
      </c>
      <c r="L7165" s="11">
        <f>L7164+IF(K7165&gt;0,K7165*Summary!$B$9,K7165/Summary!$B$9)</f>
        <v/>
      </c>
      <c r="M7165" s="11">
        <f>G7165+H7165</f>
        <v/>
      </c>
      <c r="N7165" s="11">
        <f>Summary!$C$16*Summary!$B$8</f>
        <v/>
      </c>
      <c r="O7165" s="11">
        <f>M7165-N7165</f>
        <v/>
      </c>
    </row>
    <row r="7166">
      <c r="A7166" s="9" t="n">
        <v>45590.5</v>
      </c>
      <c r="B7166" t="n">
        <v>10</v>
      </c>
      <c r="C7166" t="n">
        <v>25</v>
      </c>
      <c r="D7166" t="n">
        <v>12</v>
      </c>
      <c r="E7166" s="10" t="n">
        <v>0.023427</v>
      </c>
      <c r="F7166" s="10" t="n">
        <v>0.406400641536154</v>
      </c>
      <c r="G7166" s="11">
        <f>E7166*Summary!$B$6</f>
        <v/>
      </c>
      <c r="H7166" s="11">
        <f>F7166*Summary!$B$7</f>
        <v/>
      </c>
      <c r="I7166" s="11">
        <f>MAX(0,N7166-M7166)</f>
        <v/>
      </c>
      <c r="J7166" s="11">
        <f>MAX(0,M7166-N7166)</f>
        <v/>
      </c>
      <c r="K7166" s="11">
        <f>O7166</f>
        <v/>
      </c>
      <c r="L7166" s="11">
        <f>L7165+IF(K7166&gt;0,K7166*Summary!$B$9,K7166/Summary!$B$9)</f>
        <v/>
      </c>
      <c r="M7166" s="11">
        <f>G7166+H7166</f>
        <v/>
      </c>
      <c r="N7166" s="11">
        <f>Summary!$C$16*Summary!$B$8</f>
        <v/>
      </c>
      <c r="O7166" s="11">
        <f>M7166-N7166</f>
        <v/>
      </c>
    </row>
    <row r="7167">
      <c r="A7167" s="9" t="n">
        <v>45590.54166666666</v>
      </c>
      <c r="B7167" t="n">
        <v>10</v>
      </c>
      <c r="C7167" t="n">
        <v>25</v>
      </c>
      <c r="D7167" t="n">
        <v>13</v>
      </c>
      <c r="E7167" s="10" t="n">
        <v>0.13471</v>
      </c>
      <c r="F7167" s="10" t="n">
        <v>0.3833689880085571</v>
      </c>
      <c r="G7167" s="11">
        <f>E7167*Summary!$B$6</f>
        <v/>
      </c>
      <c r="H7167" s="11">
        <f>F7167*Summary!$B$7</f>
        <v/>
      </c>
      <c r="I7167" s="11">
        <f>MAX(0,N7167-M7167)</f>
        <v/>
      </c>
      <c r="J7167" s="11">
        <f>MAX(0,M7167-N7167)</f>
        <v/>
      </c>
      <c r="K7167" s="11">
        <f>O7167</f>
        <v/>
      </c>
      <c r="L7167" s="11">
        <f>L7166+IF(K7167&gt;0,K7167*Summary!$B$9,K7167/Summary!$B$9)</f>
        <v/>
      </c>
      <c r="M7167" s="11">
        <f>G7167+H7167</f>
        <v/>
      </c>
      <c r="N7167" s="11">
        <f>Summary!$C$16*Summary!$B$8</f>
        <v/>
      </c>
      <c r="O7167" s="11">
        <f>M7167-N7167</f>
        <v/>
      </c>
    </row>
    <row r="7168">
      <c r="A7168" s="9" t="n">
        <v>45590.58333333334</v>
      </c>
      <c r="B7168" t="n">
        <v>10</v>
      </c>
      <c r="C7168" t="n">
        <v>25</v>
      </c>
      <c r="D7168" t="n">
        <v>14</v>
      </c>
      <c r="E7168" s="10" t="n">
        <v>0.186264</v>
      </c>
      <c r="F7168" s="10" t="n">
        <v>0.3740667297760152</v>
      </c>
      <c r="G7168" s="11">
        <f>E7168*Summary!$B$6</f>
        <v/>
      </c>
      <c r="H7168" s="11">
        <f>F7168*Summary!$B$7</f>
        <v/>
      </c>
      <c r="I7168" s="11">
        <f>MAX(0,N7168-M7168)</f>
        <v/>
      </c>
      <c r="J7168" s="11">
        <f>MAX(0,M7168-N7168)</f>
        <v/>
      </c>
      <c r="K7168" s="11">
        <f>O7168</f>
        <v/>
      </c>
      <c r="L7168" s="11">
        <f>L7167+IF(K7168&gt;0,K7168*Summary!$B$9,K7168/Summary!$B$9)</f>
        <v/>
      </c>
      <c r="M7168" s="11">
        <f>G7168+H7168</f>
        <v/>
      </c>
      <c r="N7168" s="11">
        <f>Summary!$C$16*Summary!$B$8</f>
        <v/>
      </c>
      <c r="O7168" s="11">
        <f>M7168-N7168</f>
        <v/>
      </c>
    </row>
    <row r="7169">
      <c r="A7169" s="9" t="n">
        <v>45590.625</v>
      </c>
      <c r="B7169" t="n">
        <v>10</v>
      </c>
      <c r="C7169" t="n">
        <v>25</v>
      </c>
      <c r="D7169" t="n">
        <v>15</v>
      </c>
      <c r="E7169" s="10" t="n">
        <v>0.099872</v>
      </c>
      <c r="F7169" s="10" t="n">
        <v>0.3704038008969122</v>
      </c>
      <c r="G7169" s="11">
        <f>E7169*Summary!$B$6</f>
        <v/>
      </c>
      <c r="H7169" s="11">
        <f>F7169*Summary!$B$7</f>
        <v/>
      </c>
      <c r="I7169" s="11">
        <f>MAX(0,N7169-M7169)</f>
        <v/>
      </c>
      <c r="J7169" s="11">
        <f>MAX(0,M7169-N7169)</f>
        <v/>
      </c>
      <c r="K7169" s="11">
        <f>O7169</f>
        <v/>
      </c>
      <c r="L7169" s="11">
        <f>L7168+IF(K7169&gt;0,K7169*Summary!$B$9,K7169/Summary!$B$9)</f>
        <v/>
      </c>
      <c r="M7169" s="11">
        <f>G7169+H7169</f>
        <v/>
      </c>
      <c r="N7169" s="11">
        <f>Summary!$C$16*Summary!$B$8</f>
        <v/>
      </c>
      <c r="O7169" s="11">
        <f>M7169-N7169</f>
        <v/>
      </c>
    </row>
    <row r="7170">
      <c r="A7170" s="9" t="n">
        <v>45590.66666666666</v>
      </c>
      <c r="B7170" t="n">
        <v>10</v>
      </c>
      <c r="C7170" t="n">
        <v>25</v>
      </c>
      <c r="D7170" t="n">
        <v>16</v>
      </c>
      <c r="E7170" s="10" t="n">
        <v>0.008146</v>
      </c>
      <c r="F7170" s="10" t="n">
        <v>0.3742511938202865</v>
      </c>
      <c r="G7170" s="11">
        <f>E7170*Summary!$B$6</f>
        <v/>
      </c>
      <c r="H7170" s="11">
        <f>F7170*Summary!$B$7</f>
        <v/>
      </c>
      <c r="I7170" s="11">
        <f>MAX(0,N7170-M7170)</f>
        <v/>
      </c>
      <c r="J7170" s="11">
        <f>MAX(0,M7170-N7170)</f>
        <v/>
      </c>
      <c r="K7170" s="11">
        <f>O7170</f>
        <v/>
      </c>
      <c r="L7170" s="11">
        <f>L7169+IF(K7170&gt;0,K7170*Summary!$B$9,K7170/Summary!$B$9)</f>
        <v/>
      </c>
      <c r="M7170" s="11">
        <f>G7170+H7170</f>
        <v/>
      </c>
      <c r="N7170" s="11">
        <f>Summary!$C$16*Summary!$B$8</f>
        <v/>
      </c>
      <c r="O7170" s="11">
        <f>M7170-N7170</f>
        <v/>
      </c>
    </row>
    <row r="7171">
      <c r="A7171" s="9" t="n">
        <v>45590.70833333334</v>
      </c>
      <c r="B7171" t="n">
        <v>10</v>
      </c>
      <c r="C7171" t="n">
        <v>25</v>
      </c>
      <c r="D7171" t="n">
        <v>17</v>
      </c>
      <c r="E7171" s="10" t="n">
        <v>0</v>
      </c>
      <c r="F7171" s="10" t="n">
        <v>0.3766228743894898</v>
      </c>
      <c r="G7171" s="11">
        <f>E7171*Summary!$B$6</f>
        <v/>
      </c>
      <c r="H7171" s="11">
        <f>F7171*Summary!$B$7</f>
        <v/>
      </c>
      <c r="I7171" s="11">
        <f>MAX(0,N7171-M7171)</f>
        <v/>
      </c>
      <c r="J7171" s="11">
        <f>MAX(0,M7171-N7171)</f>
        <v/>
      </c>
      <c r="K7171" s="11">
        <f>O7171</f>
        <v/>
      </c>
      <c r="L7171" s="11">
        <f>L7170+IF(K7171&gt;0,K7171*Summary!$B$9,K7171/Summary!$B$9)</f>
        <v/>
      </c>
      <c r="M7171" s="11">
        <f>G7171+H7171</f>
        <v/>
      </c>
      <c r="N7171" s="11">
        <f>Summary!$C$16*Summary!$B$8</f>
        <v/>
      </c>
      <c r="O7171" s="11">
        <f>M7171-N7171</f>
        <v/>
      </c>
    </row>
    <row r="7172">
      <c r="A7172" s="9" t="n">
        <v>45590.75</v>
      </c>
      <c r="B7172" t="n">
        <v>10</v>
      </c>
      <c r="C7172" t="n">
        <v>25</v>
      </c>
      <c r="D7172" t="n">
        <v>18</v>
      </c>
      <c r="E7172" s="10" t="n">
        <v>0</v>
      </c>
      <c r="F7172" s="10" t="n">
        <v>0.3736978016874724</v>
      </c>
      <c r="G7172" s="11">
        <f>E7172*Summary!$B$6</f>
        <v/>
      </c>
      <c r="H7172" s="11">
        <f>F7172*Summary!$B$7</f>
        <v/>
      </c>
      <c r="I7172" s="11">
        <f>MAX(0,N7172-M7172)</f>
        <v/>
      </c>
      <c r="J7172" s="11">
        <f>MAX(0,M7172-N7172)</f>
        <v/>
      </c>
      <c r="K7172" s="11">
        <f>O7172</f>
        <v/>
      </c>
      <c r="L7172" s="11">
        <f>L7171+IF(K7172&gt;0,K7172*Summary!$B$9,K7172/Summary!$B$9)</f>
        <v/>
      </c>
      <c r="M7172" s="11">
        <f>G7172+H7172</f>
        <v/>
      </c>
      <c r="N7172" s="11">
        <f>Summary!$C$16*Summary!$B$8</f>
        <v/>
      </c>
      <c r="O7172" s="11">
        <f>M7172-N7172</f>
        <v/>
      </c>
    </row>
    <row r="7173">
      <c r="A7173" s="9" t="n">
        <v>45590.79166666666</v>
      </c>
      <c r="B7173" t="n">
        <v>10</v>
      </c>
      <c r="C7173" t="n">
        <v>25</v>
      </c>
      <c r="D7173" t="n">
        <v>19</v>
      </c>
      <c r="E7173" s="10" t="n">
        <v>0</v>
      </c>
      <c r="F7173" s="10" t="n">
        <v>0.3686909204858209</v>
      </c>
      <c r="G7173" s="11">
        <f>E7173*Summary!$B$6</f>
        <v/>
      </c>
      <c r="H7173" s="11">
        <f>F7173*Summary!$B$7</f>
        <v/>
      </c>
      <c r="I7173" s="11">
        <f>MAX(0,N7173-M7173)</f>
        <v/>
      </c>
      <c r="J7173" s="11">
        <f>MAX(0,M7173-N7173)</f>
        <v/>
      </c>
      <c r="K7173" s="11">
        <f>O7173</f>
        <v/>
      </c>
      <c r="L7173" s="11">
        <f>L7172+IF(K7173&gt;0,K7173*Summary!$B$9,K7173/Summary!$B$9)</f>
        <v/>
      </c>
      <c r="M7173" s="11">
        <f>G7173+H7173</f>
        <v/>
      </c>
      <c r="N7173" s="11">
        <f>Summary!$C$16*Summary!$B$8</f>
        <v/>
      </c>
      <c r="O7173" s="11">
        <f>M7173-N7173</f>
        <v/>
      </c>
    </row>
    <row r="7174">
      <c r="A7174" s="9" t="n">
        <v>45590.83333333334</v>
      </c>
      <c r="B7174" t="n">
        <v>10</v>
      </c>
      <c r="C7174" t="n">
        <v>25</v>
      </c>
      <c r="D7174" t="n">
        <v>20</v>
      </c>
      <c r="E7174" s="10" t="n">
        <v>0</v>
      </c>
      <c r="F7174" s="10" t="n">
        <v>0.3556466773552026</v>
      </c>
      <c r="G7174" s="11">
        <f>E7174*Summary!$B$6</f>
        <v/>
      </c>
      <c r="H7174" s="11">
        <f>F7174*Summary!$B$7</f>
        <v/>
      </c>
      <c r="I7174" s="11">
        <f>MAX(0,N7174-M7174)</f>
        <v/>
      </c>
      <c r="J7174" s="11">
        <f>MAX(0,M7174-N7174)</f>
        <v/>
      </c>
      <c r="K7174" s="11">
        <f>O7174</f>
        <v/>
      </c>
      <c r="L7174" s="11">
        <f>L7173+IF(K7174&gt;0,K7174*Summary!$B$9,K7174/Summary!$B$9)</f>
        <v/>
      </c>
      <c r="M7174" s="11">
        <f>G7174+H7174</f>
        <v/>
      </c>
      <c r="N7174" s="11">
        <f>Summary!$C$16*Summary!$B$8</f>
        <v/>
      </c>
      <c r="O7174" s="11">
        <f>M7174-N7174</f>
        <v/>
      </c>
    </row>
    <row r="7175">
      <c r="A7175" s="9" t="n">
        <v>45590.875</v>
      </c>
      <c r="B7175" t="n">
        <v>10</v>
      </c>
      <c r="C7175" t="n">
        <v>25</v>
      </c>
      <c r="D7175" t="n">
        <v>21</v>
      </c>
      <c r="E7175" s="10" t="n">
        <v>0</v>
      </c>
      <c r="F7175" s="10" t="n">
        <v>0.3417328180158763</v>
      </c>
      <c r="G7175" s="11">
        <f>E7175*Summary!$B$6</f>
        <v/>
      </c>
      <c r="H7175" s="11">
        <f>F7175*Summary!$B$7</f>
        <v/>
      </c>
      <c r="I7175" s="11">
        <f>MAX(0,N7175-M7175)</f>
        <v/>
      </c>
      <c r="J7175" s="11">
        <f>MAX(0,M7175-N7175)</f>
        <v/>
      </c>
      <c r="K7175" s="11">
        <f>O7175</f>
        <v/>
      </c>
      <c r="L7175" s="11">
        <f>L7174+IF(K7175&gt;0,K7175*Summary!$B$9,K7175/Summary!$B$9)</f>
        <v/>
      </c>
      <c r="M7175" s="11">
        <f>G7175+H7175</f>
        <v/>
      </c>
      <c r="N7175" s="11">
        <f>Summary!$C$16*Summary!$B$8</f>
        <v/>
      </c>
      <c r="O7175" s="11">
        <f>M7175-N7175</f>
        <v/>
      </c>
    </row>
    <row r="7176">
      <c r="A7176" s="9" t="n">
        <v>45590.91666666666</v>
      </c>
      <c r="B7176" t="n">
        <v>10</v>
      </c>
      <c r="C7176" t="n">
        <v>25</v>
      </c>
      <c r="D7176" t="n">
        <v>22</v>
      </c>
      <c r="E7176" s="10" t="n">
        <v>0</v>
      </c>
      <c r="F7176" s="10" t="n">
        <v>0.3216262371902969</v>
      </c>
      <c r="G7176" s="11">
        <f>E7176*Summary!$B$6</f>
        <v/>
      </c>
      <c r="H7176" s="11">
        <f>F7176*Summary!$B$7</f>
        <v/>
      </c>
      <c r="I7176" s="11">
        <f>MAX(0,N7176-M7176)</f>
        <v/>
      </c>
      <c r="J7176" s="11">
        <f>MAX(0,M7176-N7176)</f>
        <v/>
      </c>
      <c r="K7176" s="11">
        <f>O7176</f>
        <v/>
      </c>
      <c r="L7176" s="11">
        <f>L7175+IF(K7176&gt;0,K7176*Summary!$B$9,K7176/Summary!$B$9)</f>
        <v/>
      </c>
      <c r="M7176" s="11">
        <f>G7176+H7176</f>
        <v/>
      </c>
      <c r="N7176" s="11">
        <f>Summary!$C$16*Summary!$B$8</f>
        <v/>
      </c>
      <c r="O7176" s="11">
        <f>M7176-N7176</f>
        <v/>
      </c>
    </row>
    <row r="7177">
      <c r="A7177" s="9" t="n">
        <v>45590.95833333334</v>
      </c>
      <c r="B7177" t="n">
        <v>10</v>
      </c>
      <c r="C7177" t="n">
        <v>25</v>
      </c>
      <c r="D7177" t="n">
        <v>23</v>
      </c>
      <c r="E7177" s="10" t="n">
        <v>0</v>
      </c>
      <c r="F7177" s="10" t="n">
        <v>0.3092934982304396</v>
      </c>
      <c r="G7177" s="11">
        <f>E7177*Summary!$B$6</f>
        <v/>
      </c>
      <c r="H7177" s="11">
        <f>F7177*Summary!$B$7</f>
        <v/>
      </c>
      <c r="I7177" s="11">
        <f>MAX(0,N7177-M7177)</f>
        <v/>
      </c>
      <c r="J7177" s="11">
        <f>MAX(0,M7177-N7177)</f>
        <v/>
      </c>
      <c r="K7177" s="11">
        <f>O7177</f>
        <v/>
      </c>
      <c r="L7177" s="11">
        <f>L7176+IF(K7177&gt;0,K7177*Summary!$B$9,K7177/Summary!$B$9)</f>
        <v/>
      </c>
      <c r="M7177" s="11">
        <f>G7177+H7177</f>
        <v/>
      </c>
      <c r="N7177" s="11">
        <f>Summary!$C$16*Summary!$B$8</f>
        <v/>
      </c>
      <c r="O7177" s="11">
        <f>M7177-N7177</f>
        <v/>
      </c>
    </row>
    <row r="7178">
      <c r="A7178" s="9" t="n">
        <v>45591</v>
      </c>
      <c r="B7178" t="n">
        <v>10</v>
      </c>
      <c r="C7178" t="n">
        <v>26</v>
      </c>
      <c r="D7178" t="n">
        <v>0</v>
      </c>
      <c r="E7178" s="10" t="n">
        <v>0</v>
      </c>
      <c r="F7178" s="10" t="n">
        <v>0.2871314609115506</v>
      </c>
      <c r="G7178" s="11">
        <f>E7178*Summary!$B$6</f>
        <v/>
      </c>
      <c r="H7178" s="11">
        <f>F7178*Summary!$B$7</f>
        <v/>
      </c>
      <c r="I7178" s="11">
        <f>MAX(0,N7178-M7178)</f>
        <v/>
      </c>
      <c r="J7178" s="11">
        <f>MAX(0,M7178-N7178)</f>
        <v/>
      </c>
      <c r="K7178" s="11">
        <f>O7178</f>
        <v/>
      </c>
      <c r="L7178" s="11">
        <f>L7177+IF(K7178&gt;0,K7178*Summary!$B$9,K7178/Summary!$B$9)</f>
        <v/>
      </c>
      <c r="M7178" s="11">
        <f>G7178+H7178</f>
        <v/>
      </c>
      <c r="N7178" s="11">
        <f>Summary!$C$16*Summary!$B$8</f>
        <v/>
      </c>
      <c r="O7178" s="11">
        <f>M7178-N7178</f>
        <v/>
      </c>
    </row>
    <row r="7179">
      <c r="A7179" s="9" t="n">
        <v>45591.04166666666</v>
      </c>
      <c r="B7179" t="n">
        <v>10</v>
      </c>
      <c r="C7179" t="n">
        <v>26</v>
      </c>
      <c r="D7179" t="n">
        <v>1</v>
      </c>
      <c r="E7179" s="10" t="n">
        <v>0</v>
      </c>
      <c r="F7179" s="10" t="n">
        <v>0.2782244827738758</v>
      </c>
      <c r="G7179" s="11">
        <f>E7179*Summary!$B$6</f>
        <v/>
      </c>
      <c r="H7179" s="11">
        <f>F7179*Summary!$B$7</f>
        <v/>
      </c>
      <c r="I7179" s="11">
        <f>MAX(0,N7179-M7179)</f>
        <v/>
      </c>
      <c r="J7179" s="11">
        <f>MAX(0,M7179-N7179)</f>
        <v/>
      </c>
      <c r="K7179" s="11">
        <f>O7179</f>
        <v/>
      </c>
      <c r="L7179" s="11">
        <f>L7178+IF(K7179&gt;0,K7179*Summary!$B$9,K7179/Summary!$B$9)</f>
        <v/>
      </c>
      <c r="M7179" s="11">
        <f>G7179+H7179</f>
        <v/>
      </c>
      <c r="N7179" s="11">
        <f>Summary!$C$16*Summary!$B$8</f>
        <v/>
      </c>
      <c r="O7179" s="11">
        <f>M7179-N7179</f>
        <v/>
      </c>
    </row>
    <row r="7180">
      <c r="A7180" s="9" t="n">
        <v>45591.08333333334</v>
      </c>
      <c r="B7180" t="n">
        <v>10</v>
      </c>
      <c r="C7180" t="n">
        <v>26</v>
      </c>
      <c r="D7180" t="n">
        <v>2</v>
      </c>
      <c r="E7180" s="10" t="n">
        <v>0</v>
      </c>
      <c r="F7180" s="10" t="n">
        <v>0.2689485765476584</v>
      </c>
      <c r="G7180" s="11">
        <f>E7180*Summary!$B$6</f>
        <v/>
      </c>
      <c r="H7180" s="11">
        <f>F7180*Summary!$B$7</f>
        <v/>
      </c>
      <c r="I7180" s="11">
        <f>MAX(0,N7180-M7180)</f>
        <v/>
      </c>
      <c r="J7180" s="11">
        <f>MAX(0,M7180-N7180)</f>
        <v/>
      </c>
      <c r="K7180" s="11">
        <f>O7180</f>
        <v/>
      </c>
      <c r="L7180" s="11">
        <f>L7179+IF(K7180&gt;0,K7180*Summary!$B$9,K7180/Summary!$B$9)</f>
        <v/>
      </c>
      <c r="M7180" s="11">
        <f>G7180+H7180</f>
        <v/>
      </c>
      <c r="N7180" s="11">
        <f>Summary!$C$16*Summary!$B$8</f>
        <v/>
      </c>
      <c r="O7180" s="11">
        <f>M7180-N7180</f>
        <v/>
      </c>
    </row>
    <row r="7181">
      <c r="A7181" s="9" t="n">
        <v>45591.125</v>
      </c>
      <c r="B7181" t="n">
        <v>10</v>
      </c>
      <c r="C7181" t="n">
        <v>26</v>
      </c>
      <c r="D7181" t="n">
        <v>3</v>
      </c>
      <c r="E7181" s="10" t="n">
        <v>0</v>
      </c>
      <c r="F7181" s="10" t="n">
        <v>0.2670248800859712</v>
      </c>
      <c r="G7181" s="11">
        <f>E7181*Summary!$B$6</f>
        <v/>
      </c>
      <c r="H7181" s="11">
        <f>F7181*Summary!$B$7</f>
        <v/>
      </c>
      <c r="I7181" s="11">
        <f>MAX(0,N7181-M7181)</f>
        <v/>
      </c>
      <c r="J7181" s="11">
        <f>MAX(0,M7181-N7181)</f>
        <v/>
      </c>
      <c r="K7181" s="11">
        <f>O7181</f>
        <v/>
      </c>
      <c r="L7181" s="11">
        <f>L7180+IF(K7181&gt;0,K7181*Summary!$B$9,K7181/Summary!$B$9)</f>
        <v/>
      </c>
      <c r="M7181" s="11">
        <f>G7181+H7181</f>
        <v/>
      </c>
      <c r="N7181" s="11">
        <f>Summary!$C$16*Summary!$B$8</f>
        <v/>
      </c>
      <c r="O7181" s="11">
        <f>M7181-N7181</f>
        <v/>
      </c>
    </row>
    <row r="7182">
      <c r="A7182" s="9" t="n">
        <v>45591.16666666666</v>
      </c>
      <c r="B7182" t="n">
        <v>10</v>
      </c>
      <c r="C7182" t="n">
        <v>26</v>
      </c>
      <c r="D7182" t="n">
        <v>4</v>
      </c>
      <c r="E7182" s="10" t="n">
        <v>0</v>
      </c>
      <c r="F7182" s="10" t="n">
        <v>0.2623869269728625</v>
      </c>
      <c r="G7182" s="11">
        <f>E7182*Summary!$B$6</f>
        <v/>
      </c>
      <c r="H7182" s="11">
        <f>F7182*Summary!$B$7</f>
        <v/>
      </c>
      <c r="I7182" s="11">
        <f>MAX(0,N7182-M7182)</f>
        <v/>
      </c>
      <c r="J7182" s="11">
        <f>MAX(0,M7182-N7182)</f>
        <v/>
      </c>
      <c r="K7182" s="11">
        <f>O7182</f>
        <v/>
      </c>
      <c r="L7182" s="11">
        <f>L7181+IF(K7182&gt;0,K7182*Summary!$B$9,K7182/Summary!$B$9)</f>
        <v/>
      </c>
      <c r="M7182" s="11">
        <f>G7182+H7182</f>
        <v/>
      </c>
      <c r="N7182" s="11">
        <f>Summary!$C$16*Summary!$B$8</f>
        <v/>
      </c>
      <c r="O7182" s="11">
        <f>M7182-N7182</f>
        <v/>
      </c>
    </row>
    <row r="7183">
      <c r="A7183" s="9" t="n">
        <v>45591.20833333334</v>
      </c>
      <c r="B7183" t="n">
        <v>10</v>
      </c>
      <c r="C7183" t="n">
        <v>26</v>
      </c>
      <c r="D7183" t="n">
        <v>5</v>
      </c>
      <c r="E7183" s="10" t="n">
        <v>0</v>
      </c>
      <c r="F7183" s="10" t="n">
        <v>0.2610693266566384</v>
      </c>
      <c r="G7183" s="11">
        <f>E7183*Summary!$B$6</f>
        <v/>
      </c>
      <c r="H7183" s="11">
        <f>F7183*Summary!$B$7</f>
        <v/>
      </c>
      <c r="I7183" s="11">
        <f>MAX(0,N7183-M7183)</f>
        <v/>
      </c>
      <c r="J7183" s="11">
        <f>MAX(0,M7183-N7183)</f>
        <v/>
      </c>
      <c r="K7183" s="11">
        <f>O7183</f>
        <v/>
      </c>
      <c r="L7183" s="11">
        <f>L7182+IF(K7183&gt;0,K7183*Summary!$B$9,K7183/Summary!$B$9)</f>
        <v/>
      </c>
      <c r="M7183" s="11">
        <f>G7183+H7183</f>
        <v/>
      </c>
      <c r="N7183" s="11">
        <f>Summary!$C$16*Summary!$B$8</f>
        <v/>
      </c>
      <c r="O7183" s="11">
        <f>M7183-N7183</f>
        <v/>
      </c>
    </row>
    <row r="7184">
      <c r="A7184" s="9" t="n">
        <v>45591.25</v>
      </c>
      <c r="B7184" t="n">
        <v>10</v>
      </c>
      <c r="C7184" t="n">
        <v>26</v>
      </c>
      <c r="D7184" t="n">
        <v>6</v>
      </c>
      <c r="E7184" s="10" t="n">
        <v>0</v>
      </c>
      <c r="F7184" s="10" t="n">
        <v>0.2559833894360135</v>
      </c>
      <c r="G7184" s="11">
        <f>E7184*Summary!$B$6</f>
        <v/>
      </c>
      <c r="H7184" s="11">
        <f>F7184*Summary!$B$7</f>
        <v/>
      </c>
      <c r="I7184" s="11">
        <f>MAX(0,N7184-M7184)</f>
        <v/>
      </c>
      <c r="J7184" s="11">
        <f>MAX(0,M7184-N7184)</f>
        <v/>
      </c>
      <c r="K7184" s="11">
        <f>O7184</f>
        <v/>
      </c>
      <c r="L7184" s="11">
        <f>L7183+IF(K7184&gt;0,K7184*Summary!$B$9,K7184/Summary!$B$9)</f>
        <v/>
      </c>
      <c r="M7184" s="11">
        <f>G7184+H7184</f>
        <v/>
      </c>
      <c r="N7184" s="11">
        <f>Summary!$C$16*Summary!$B$8</f>
        <v/>
      </c>
      <c r="O7184" s="11">
        <f>M7184-N7184</f>
        <v/>
      </c>
    </row>
    <row r="7185">
      <c r="A7185" s="9" t="n">
        <v>45591.29166666666</v>
      </c>
      <c r="B7185" t="n">
        <v>10</v>
      </c>
      <c r="C7185" t="n">
        <v>26</v>
      </c>
      <c r="D7185" t="n">
        <v>7</v>
      </c>
      <c r="E7185" s="10" t="n">
        <v>0</v>
      </c>
      <c r="F7185" s="10" t="n">
        <v>0.2441513385963213</v>
      </c>
      <c r="G7185" s="11">
        <f>E7185*Summary!$B$6</f>
        <v/>
      </c>
      <c r="H7185" s="11">
        <f>F7185*Summary!$B$7</f>
        <v/>
      </c>
      <c r="I7185" s="11">
        <f>MAX(0,N7185-M7185)</f>
        <v/>
      </c>
      <c r="J7185" s="11">
        <f>MAX(0,M7185-N7185)</f>
        <v/>
      </c>
      <c r="K7185" s="11">
        <f>O7185</f>
        <v/>
      </c>
      <c r="L7185" s="11">
        <f>L7184+IF(K7185&gt;0,K7185*Summary!$B$9,K7185/Summary!$B$9)</f>
        <v/>
      </c>
      <c r="M7185" s="11">
        <f>G7185+H7185</f>
        <v/>
      </c>
      <c r="N7185" s="11">
        <f>Summary!$C$16*Summary!$B$8</f>
        <v/>
      </c>
      <c r="O7185" s="11">
        <f>M7185-N7185</f>
        <v/>
      </c>
    </row>
    <row r="7186">
      <c r="A7186" s="9" t="n">
        <v>45591.33333333334</v>
      </c>
      <c r="B7186" t="n">
        <v>10</v>
      </c>
      <c r="C7186" t="n">
        <v>26</v>
      </c>
      <c r="D7186" t="n">
        <v>8</v>
      </c>
      <c r="E7186" s="10" t="n">
        <v>0.043423</v>
      </c>
      <c r="F7186" s="10" t="n">
        <v>0.2337422960981511</v>
      </c>
      <c r="G7186" s="11">
        <f>E7186*Summary!$B$6</f>
        <v/>
      </c>
      <c r="H7186" s="11">
        <f>F7186*Summary!$B$7</f>
        <v/>
      </c>
      <c r="I7186" s="11">
        <f>MAX(0,N7186-M7186)</f>
        <v/>
      </c>
      <c r="J7186" s="11">
        <f>MAX(0,M7186-N7186)</f>
        <v/>
      </c>
      <c r="K7186" s="11">
        <f>O7186</f>
        <v/>
      </c>
      <c r="L7186" s="11">
        <f>L7185+IF(K7186&gt;0,K7186*Summary!$B$9,K7186/Summary!$B$9)</f>
        <v/>
      </c>
      <c r="M7186" s="11">
        <f>G7186+H7186</f>
        <v/>
      </c>
      <c r="N7186" s="11">
        <f>Summary!$C$16*Summary!$B$8</f>
        <v/>
      </c>
      <c r="O7186" s="11">
        <f>M7186-N7186</f>
        <v/>
      </c>
    </row>
    <row r="7187">
      <c r="A7187" s="9" t="n">
        <v>45591.375</v>
      </c>
      <c r="B7187" t="n">
        <v>10</v>
      </c>
      <c r="C7187" t="n">
        <v>26</v>
      </c>
      <c r="D7187" t="n">
        <v>9</v>
      </c>
      <c r="E7187" s="10" t="n">
        <v>0.220753</v>
      </c>
      <c r="F7187" s="10" t="n">
        <v>0.2200129008030962</v>
      </c>
      <c r="G7187" s="11">
        <f>E7187*Summary!$B$6</f>
        <v/>
      </c>
      <c r="H7187" s="11">
        <f>F7187*Summary!$B$7</f>
        <v/>
      </c>
      <c r="I7187" s="11">
        <f>MAX(0,N7187-M7187)</f>
        <v/>
      </c>
      <c r="J7187" s="11">
        <f>MAX(0,M7187-N7187)</f>
        <v/>
      </c>
      <c r="K7187" s="11">
        <f>O7187</f>
        <v/>
      </c>
      <c r="L7187" s="11">
        <f>L7186+IF(K7187&gt;0,K7187*Summary!$B$9,K7187/Summary!$B$9)</f>
        <v/>
      </c>
      <c r="M7187" s="11">
        <f>G7187+H7187</f>
        <v/>
      </c>
      <c r="N7187" s="11">
        <f>Summary!$C$16*Summary!$B$8</f>
        <v/>
      </c>
      <c r="O7187" s="11">
        <f>M7187-N7187</f>
        <v/>
      </c>
    </row>
    <row r="7188">
      <c r="A7188" s="9" t="n">
        <v>45591.41666666666</v>
      </c>
      <c r="B7188" t="n">
        <v>10</v>
      </c>
      <c r="C7188" t="n">
        <v>26</v>
      </c>
      <c r="D7188" t="n">
        <v>10</v>
      </c>
      <c r="E7188" s="10" t="n">
        <v>0.354523</v>
      </c>
      <c r="F7188" s="10" t="n">
        <v>0.2095775062986015</v>
      </c>
      <c r="G7188" s="11">
        <f>E7188*Summary!$B$6</f>
        <v/>
      </c>
      <c r="H7188" s="11">
        <f>F7188*Summary!$B$7</f>
        <v/>
      </c>
      <c r="I7188" s="11">
        <f>MAX(0,N7188-M7188)</f>
        <v/>
      </c>
      <c r="J7188" s="11">
        <f>MAX(0,M7188-N7188)</f>
        <v/>
      </c>
      <c r="K7188" s="11">
        <f>O7188</f>
        <v/>
      </c>
      <c r="L7188" s="11">
        <f>L7187+IF(K7188&gt;0,K7188*Summary!$B$9,K7188/Summary!$B$9)</f>
        <v/>
      </c>
      <c r="M7188" s="11">
        <f>G7188+H7188</f>
        <v/>
      </c>
      <c r="N7188" s="11">
        <f>Summary!$C$16*Summary!$B$8</f>
        <v/>
      </c>
      <c r="O7188" s="11">
        <f>M7188-N7188</f>
        <v/>
      </c>
    </row>
    <row r="7189">
      <c r="A7189" s="9" t="n">
        <v>45591.45833333334</v>
      </c>
      <c r="B7189" t="n">
        <v>10</v>
      </c>
      <c r="C7189" t="n">
        <v>26</v>
      </c>
      <c r="D7189" t="n">
        <v>11</v>
      </c>
      <c r="E7189" s="10" t="n">
        <v>0.311264</v>
      </c>
      <c r="F7189" s="10" t="n">
        <v>0.203147616755428</v>
      </c>
      <c r="G7189" s="11">
        <f>E7189*Summary!$B$6</f>
        <v/>
      </c>
      <c r="H7189" s="11">
        <f>F7189*Summary!$B$7</f>
        <v/>
      </c>
      <c r="I7189" s="11">
        <f>MAX(0,N7189-M7189)</f>
        <v/>
      </c>
      <c r="J7189" s="11">
        <f>MAX(0,M7189-N7189)</f>
        <v/>
      </c>
      <c r="K7189" s="11">
        <f>O7189</f>
        <v/>
      </c>
      <c r="L7189" s="11">
        <f>L7188+IF(K7189&gt;0,K7189*Summary!$B$9,K7189/Summary!$B$9)</f>
        <v/>
      </c>
      <c r="M7189" s="11">
        <f>G7189+H7189</f>
        <v/>
      </c>
      <c r="N7189" s="11">
        <f>Summary!$C$16*Summary!$B$8</f>
        <v/>
      </c>
      <c r="O7189" s="11">
        <f>M7189-N7189</f>
        <v/>
      </c>
    </row>
    <row r="7190">
      <c r="A7190" s="9" t="n">
        <v>45591.5</v>
      </c>
      <c r="B7190" t="n">
        <v>10</v>
      </c>
      <c r="C7190" t="n">
        <v>26</v>
      </c>
      <c r="D7190" t="n">
        <v>12</v>
      </c>
      <c r="E7190" s="10" t="n">
        <v>0.331716</v>
      </c>
      <c r="F7190" s="10" t="n">
        <v>0.1968231352375525</v>
      </c>
      <c r="G7190" s="11">
        <f>E7190*Summary!$B$6</f>
        <v/>
      </c>
      <c r="H7190" s="11">
        <f>F7190*Summary!$B$7</f>
        <v/>
      </c>
      <c r="I7190" s="11">
        <f>MAX(0,N7190-M7190)</f>
        <v/>
      </c>
      <c r="J7190" s="11">
        <f>MAX(0,M7190-N7190)</f>
        <v/>
      </c>
      <c r="K7190" s="11">
        <f>O7190</f>
        <v/>
      </c>
      <c r="L7190" s="11">
        <f>L7189+IF(K7190&gt;0,K7190*Summary!$B$9,K7190/Summary!$B$9)</f>
        <v/>
      </c>
      <c r="M7190" s="11">
        <f>G7190+H7190</f>
        <v/>
      </c>
      <c r="N7190" s="11">
        <f>Summary!$C$16*Summary!$B$8</f>
        <v/>
      </c>
      <c r="O7190" s="11">
        <f>M7190-N7190</f>
        <v/>
      </c>
    </row>
    <row r="7191">
      <c r="A7191" s="9" t="n">
        <v>45591.54166666666</v>
      </c>
      <c r="B7191" t="n">
        <v>10</v>
      </c>
      <c r="C7191" t="n">
        <v>26</v>
      </c>
      <c r="D7191" t="n">
        <v>13</v>
      </c>
      <c r="E7191" s="10" t="n">
        <v>0.143898</v>
      </c>
      <c r="F7191" s="10" t="n">
        <v>0.1959535190288446</v>
      </c>
      <c r="G7191" s="11">
        <f>E7191*Summary!$B$6</f>
        <v/>
      </c>
      <c r="H7191" s="11">
        <f>F7191*Summary!$B$7</f>
        <v/>
      </c>
      <c r="I7191" s="11">
        <f>MAX(0,N7191-M7191)</f>
        <v/>
      </c>
      <c r="J7191" s="11">
        <f>MAX(0,M7191-N7191)</f>
        <v/>
      </c>
      <c r="K7191" s="11">
        <f>O7191</f>
        <v/>
      </c>
      <c r="L7191" s="11">
        <f>L7190+IF(K7191&gt;0,K7191*Summary!$B$9,K7191/Summary!$B$9)</f>
        <v/>
      </c>
      <c r="M7191" s="11">
        <f>G7191+H7191</f>
        <v/>
      </c>
      <c r="N7191" s="11">
        <f>Summary!$C$16*Summary!$B$8</f>
        <v/>
      </c>
      <c r="O7191" s="11">
        <f>M7191-N7191</f>
        <v/>
      </c>
    </row>
    <row r="7192">
      <c r="A7192" s="9" t="n">
        <v>45591.58333333334</v>
      </c>
      <c r="B7192" t="n">
        <v>10</v>
      </c>
      <c r="C7192" t="n">
        <v>26</v>
      </c>
      <c r="D7192" t="n">
        <v>14</v>
      </c>
      <c r="E7192" s="10" t="n">
        <v>0.169768</v>
      </c>
      <c r="F7192" s="10" t="n">
        <v>0.1935291344469923</v>
      </c>
      <c r="G7192" s="11">
        <f>E7192*Summary!$B$6</f>
        <v/>
      </c>
      <c r="H7192" s="11">
        <f>F7192*Summary!$B$7</f>
        <v/>
      </c>
      <c r="I7192" s="11">
        <f>MAX(0,N7192-M7192)</f>
        <v/>
      </c>
      <c r="J7192" s="11">
        <f>MAX(0,M7192-N7192)</f>
        <v/>
      </c>
      <c r="K7192" s="11">
        <f>O7192</f>
        <v/>
      </c>
      <c r="L7192" s="11">
        <f>L7191+IF(K7192&gt;0,K7192*Summary!$B$9,K7192/Summary!$B$9)</f>
        <v/>
      </c>
      <c r="M7192" s="11">
        <f>G7192+H7192</f>
        <v/>
      </c>
      <c r="N7192" s="11">
        <f>Summary!$C$16*Summary!$B$8</f>
        <v/>
      </c>
      <c r="O7192" s="11">
        <f>M7192-N7192</f>
        <v/>
      </c>
    </row>
    <row r="7193">
      <c r="A7193" s="9" t="n">
        <v>45591.625</v>
      </c>
      <c r="B7193" t="n">
        <v>10</v>
      </c>
      <c r="C7193" t="n">
        <v>26</v>
      </c>
      <c r="D7193" t="n">
        <v>15</v>
      </c>
      <c r="E7193" s="10" t="n">
        <v>0.062042</v>
      </c>
      <c r="F7193" s="10" t="n">
        <v>0.1994583358700006</v>
      </c>
      <c r="G7193" s="11">
        <f>E7193*Summary!$B$6</f>
        <v/>
      </c>
      <c r="H7193" s="11">
        <f>F7193*Summary!$B$7</f>
        <v/>
      </c>
      <c r="I7193" s="11">
        <f>MAX(0,N7193-M7193)</f>
        <v/>
      </c>
      <c r="J7193" s="11">
        <f>MAX(0,M7193-N7193)</f>
        <v/>
      </c>
      <c r="K7193" s="11">
        <f>O7193</f>
        <v/>
      </c>
      <c r="L7193" s="11">
        <f>L7192+IF(K7193&gt;0,K7193*Summary!$B$9,K7193/Summary!$B$9)</f>
        <v/>
      </c>
      <c r="M7193" s="11">
        <f>G7193+H7193</f>
        <v/>
      </c>
      <c r="N7193" s="11">
        <f>Summary!$C$16*Summary!$B$8</f>
        <v/>
      </c>
      <c r="O7193" s="11">
        <f>M7193-N7193</f>
        <v/>
      </c>
    </row>
    <row r="7194">
      <c r="A7194" s="9" t="n">
        <v>45591.66666666666</v>
      </c>
      <c r="B7194" t="n">
        <v>10</v>
      </c>
      <c r="C7194" t="n">
        <v>26</v>
      </c>
      <c r="D7194" t="n">
        <v>16</v>
      </c>
      <c r="E7194" s="10" t="n">
        <v>0.005519</v>
      </c>
      <c r="F7194" s="10" t="n">
        <v>0.2182209643730315</v>
      </c>
      <c r="G7194" s="11">
        <f>E7194*Summary!$B$6</f>
        <v/>
      </c>
      <c r="H7194" s="11">
        <f>F7194*Summary!$B$7</f>
        <v/>
      </c>
      <c r="I7194" s="11">
        <f>MAX(0,N7194-M7194)</f>
        <v/>
      </c>
      <c r="J7194" s="11">
        <f>MAX(0,M7194-N7194)</f>
        <v/>
      </c>
      <c r="K7194" s="11">
        <f>O7194</f>
        <v/>
      </c>
      <c r="L7194" s="11">
        <f>L7193+IF(K7194&gt;0,K7194*Summary!$B$9,K7194/Summary!$B$9)</f>
        <v/>
      </c>
      <c r="M7194" s="11">
        <f>G7194+H7194</f>
        <v/>
      </c>
      <c r="N7194" s="11">
        <f>Summary!$C$16*Summary!$B$8</f>
        <v/>
      </c>
      <c r="O7194" s="11">
        <f>M7194-N7194</f>
        <v/>
      </c>
    </row>
    <row r="7195">
      <c r="A7195" s="9" t="n">
        <v>45591.70833333334</v>
      </c>
      <c r="B7195" t="n">
        <v>10</v>
      </c>
      <c r="C7195" t="n">
        <v>26</v>
      </c>
      <c r="D7195" t="n">
        <v>17</v>
      </c>
      <c r="E7195" s="10" t="n">
        <v>0</v>
      </c>
      <c r="F7195" s="10" t="n">
        <v>0.2347436723384813</v>
      </c>
      <c r="G7195" s="11">
        <f>E7195*Summary!$B$6</f>
        <v/>
      </c>
      <c r="H7195" s="11">
        <f>F7195*Summary!$B$7</f>
        <v/>
      </c>
      <c r="I7195" s="11">
        <f>MAX(0,N7195-M7195)</f>
        <v/>
      </c>
      <c r="J7195" s="11">
        <f>MAX(0,M7195-N7195)</f>
        <v/>
      </c>
      <c r="K7195" s="11">
        <f>O7195</f>
        <v/>
      </c>
      <c r="L7195" s="11">
        <f>L7194+IF(K7195&gt;0,K7195*Summary!$B$9,K7195/Summary!$B$9)</f>
        <v/>
      </c>
      <c r="M7195" s="11">
        <f>G7195+H7195</f>
        <v/>
      </c>
      <c r="N7195" s="11">
        <f>Summary!$C$16*Summary!$B$8</f>
        <v/>
      </c>
      <c r="O7195" s="11">
        <f>M7195-N7195</f>
        <v/>
      </c>
    </row>
    <row r="7196">
      <c r="A7196" s="9" t="n">
        <v>45591.75</v>
      </c>
      <c r="B7196" t="n">
        <v>10</v>
      </c>
      <c r="C7196" t="n">
        <v>26</v>
      </c>
      <c r="D7196" t="n">
        <v>18</v>
      </c>
      <c r="E7196" s="10" t="n">
        <v>0</v>
      </c>
      <c r="F7196" s="10" t="n">
        <v>0.2521887005252881</v>
      </c>
      <c r="G7196" s="11">
        <f>E7196*Summary!$B$6</f>
        <v/>
      </c>
      <c r="H7196" s="11">
        <f>F7196*Summary!$B$7</f>
        <v/>
      </c>
      <c r="I7196" s="11">
        <f>MAX(0,N7196-M7196)</f>
        <v/>
      </c>
      <c r="J7196" s="11">
        <f>MAX(0,M7196-N7196)</f>
        <v/>
      </c>
      <c r="K7196" s="11">
        <f>O7196</f>
        <v/>
      </c>
      <c r="L7196" s="11">
        <f>L7195+IF(K7196&gt;0,K7196*Summary!$B$9,K7196/Summary!$B$9)</f>
        <v/>
      </c>
      <c r="M7196" s="11">
        <f>G7196+H7196</f>
        <v/>
      </c>
      <c r="N7196" s="11">
        <f>Summary!$C$16*Summary!$B$8</f>
        <v/>
      </c>
      <c r="O7196" s="11">
        <f>M7196-N7196</f>
        <v/>
      </c>
    </row>
    <row r="7197">
      <c r="A7197" s="9" t="n">
        <v>45591.79166666666</v>
      </c>
      <c r="B7197" t="n">
        <v>10</v>
      </c>
      <c r="C7197" t="n">
        <v>26</v>
      </c>
      <c r="D7197" t="n">
        <v>19</v>
      </c>
      <c r="E7197" s="10" t="n">
        <v>0</v>
      </c>
      <c r="F7197" s="10" t="n">
        <v>0.2626504470361073</v>
      </c>
      <c r="G7197" s="11">
        <f>E7197*Summary!$B$6</f>
        <v/>
      </c>
      <c r="H7197" s="11">
        <f>F7197*Summary!$B$7</f>
        <v/>
      </c>
      <c r="I7197" s="11">
        <f>MAX(0,N7197-M7197)</f>
        <v/>
      </c>
      <c r="J7197" s="11">
        <f>MAX(0,M7197-N7197)</f>
        <v/>
      </c>
      <c r="K7197" s="11">
        <f>O7197</f>
        <v/>
      </c>
      <c r="L7197" s="11">
        <f>L7196+IF(K7197&gt;0,K7197*Summary!$B$9,K7197/Summary!$B$9)</f>
        <v/>
      </c>
      <c r="M7197" s="11">
        <f>G7197+H7197</f>
        <v/>
      </c>
      <c r="N7197" s="11">
        <f>Summary!$C$16*Summary!$B$8</f>
        <v/>
      </c>
      <c r="O7197" s="11">
        <f>M7197-N7197</f>
        <v/>
      </c>
    </row>
    <row r="7198">
      <c r="A7198" s="9" t="n">
        <v>45591.83333333334</v>
      </c>
      <c r="B7198" t="n">
        <v>10</v>
      </c>
      <c r="C7198" t="n">
        <v>26</v>
      </c>
      <c r="D7198" t="n">
        <v>20</v>
      </c>
      <c r="E7198" s="10" t="n">
        <v>0</v>
      </c>
      <c r="F7198" s="10" t="n">
        <v>0.2705824009397762</v>
      </c>
      <c r="G7198" s="11">
        <f>E7198*Summary!$B$6</f>
        <v/>
      </c>
      <c r="H7198" s="11">
        <f>F7198*Summary!$B$7</f>
        <v/>
      </c>
      <c r="I7198" s="11">
        <f>MAX(0,N7198-M7198)</f>
        <v/>
      </c>
      <c r="J7198" s="11">
        <f>MAX(0,M7198-N7198)</f>
        <v/>
      </c>
      <c r="K7198" s="11">
        <f>O7198</f>
        <v/>
      </c>
      <c r="L7198" s="11">
        <f>L7197+IF(K7198&gt;0,K7198*Summary!$B$9,K7198/Summary!$B$9)</f>
        <v/>
      </c>
      <c r="M7198" s="11">
        <f>G7198+H7198</f>
        <v/>
      </c>
      <c r="N7198" s="11">
        <f>Summary!$C$16*Summary!$B$8</f>
        <v/>
      </c>
      <c r="O7198" s="11">
        <f>M7198-N7198</f>
        <v/>
      </c>
    </row>
    <row r="7199">
      <c r="A7199" s="9" t="n">
        <v>45591.875</v>
      </c>
      <c r="B7199" t="n">
        <v>10</v>
      </c>
      <c r="C7199" t="n">
        <v>26</v>
      </c>
      <c r="D7199" t="n">
        <v>21</v>
      </c>
      <c r="E7199" s="10" t="n">
        <v>0</v>
      </c>
      <c r="F7199" s="10" t="n">
        <v>0.2768278264386784</v>
      </c>
      <c r="G7199" s="11">
        <f>E7199*Summary!$B$6</f>
        <v/>
      </c>
      <c r="H7199" s="11">
        <f>F7199*Summary!$B$7</f>
        <v/>
      </c>
      <c r="I7199" s="11">
        <f>MAX(0,N7199-M7199)</f>
        <v/>
      </c>
      <c r="J7199" s="11">
        <f>MAX(0,M7199-N7199)</f>
        <v/>
      </c>
      <c r="K7199" s="11">
        <f>O7199</f>
        <v/>
      </c>
      <c r="L7199" s="11">
        <f>L7198+IF(K7199&gt;0,K7199*Summary!$B$9,K7199/Summary!$B$9)</f>
        <v/>
      </c>
      <c r="M7199" s="11">
        <f>G7199+H7199</f>
        <v/>
      </c>
      <c r="N7199" s="11">
        <f>Summary!$C$16*Summary!$B$8</f>
        <v/>
      </c>
      <c r="O7199" s="11">
        <f>M7199-N7199</f>
        <v/>
      </c>
    </row>
    <row r="7200">
      <c r="A7200" s="9" t="n">
        <v>45591.91666666666</v>
      </c>
      <c r="B7200" t="n">
        <v>10</v>
      </c>
      <c r="C7200" t="n">
        <v>26</v>
      </c>
      <c r="D7200" t="n">
        <v>22</v>
      </c>
      <c r="E7200" s="10" t="n">
        <v>0</v>
      </c>
      <c r="F7200" s="10" t="n">
        <v>0.2767751224260294</v>
      </c>
      <c r="G7200" s="11">
        <f>E7200*Summary!$B$6</f>
        <v/>
      </c>
      <c r="H7200" s="11">
        <f>F7200*Summary!$B$7</f>
        <v/>
      </c>
      <c r="I7200" s="11">
        <f>MAX(0,N7200-M7200)</f>
        <v/>
      </c>
      <c r="J7200" s="11">
        <f>MAX(0,M7200-N7200)</f>
        <v/>
      </c>
      <c r="K7200" s="11">
        <f>O7200</f>
        <v/>
      </c>
      <c r="L7200" s="11">
        <f>L7199+IF(K7200&gt;0,K7200*Summary!$B$9,K7200/Summary!$B$9)</f>
        <v/>
      </c>
      <c r="M7200" s="11">
        <f>G7200+H7200</f>
        <v/>
      </c>
      <c r="N7200" s="11">
        <f>Summary!$C$16*Summary!$B$8</f>
        <v/>
      </c>
      <c r="O7200" s="11">
        <f>M7200-N7200</f>
        <v/>
      </c>
    </row>
    <row r="7201">
      <c r="A7201" s="9" t="n">
        <v>45591.95833333334</v>
      </c>
      <c r="B7201" t="n">
        <v>10</v>
      </c>
      <c r="C7201" t="n">
        <v>26</v>
      </c>
      <c r="D7201" t="n">
        <v>23</v>
      </c>
      <c r="E7201" s="10" t="n">
        <v>0</v>
      </c>
      <c r="F7201" s="10" t="n">
        <v>0.2790150429636103</v>
      </c>
      <c r="G7201" s="11">
        <f>E7201*Summary!$B$6</f>
        <v/>
      </c>
      <c r="H7201" s="11">
        <f>F7201*Summary!$B$7</f>
        <v/>
      </c>
      <c r="I7201" s="11">
        <f>MAX(0,N7201-M7201)</f>
        <v/>
      </c>
      <c r="J7201" s="11">
        <f>MAX(0,M7201-N7201)</f>
        <v/>
      </c>
      <c r="K7201" s="11">
        <f>O7201</f>
        <v/>
      </c>
      <c r="L7201" s="11">
        <f>L7200+IF(K7201&gt;0,K7201*Summary!$B$9,K7201/Summary!$B$9)</f>
        <v/>
      </c>
      <c r="M7201" s="11">
        <f>G7201+H7201</f>
        <v/>
      </c>
      <c r="N7201" s="11">
        <f>Summary!$C$16*Summary!$B$8</f>
        <v/>
      </c>
      <c r="O7201" s="11">
        <f>M7201-N7201</f>
        <v/>
      </c>
    </row>
    <row r="7202">
      <c r="A7202" s="9" t="n">
        <v>45592</v>
      </c>
      <c r="B7202" t="n">
        <v>10</v>
      </c>
      <c r="C7202" t="n">
        <v>27</v>
      </c>
      <c r="D7202" t="n">
        <v>0</v>
      </c>
      <c r="E7202" s="10" t="n">
        <v>0</v>
      </c>
      <c r="F7202" s="10" t="n">
        <v>0.4094311222634693</v>
      </c>
      <c r="G7202" s="11">
        <f>E7202*Summary!$B$6</f>
        <v/>
      </c>
      <c r="H7202" s="11">
        <f>F7202*Summary!$B$7</f>
        <v/>
      </c>
      <c r="I7202" s="11">
        <f>MAX(0,N7202-M7202)</f>
        <v/>
      </c>
      <c r="J7202" s="11">
        <f>MAX(0,M7202-N7202)</f>
        <v/>
      </c>
      <c r="K7202" s="11">
        <f>O7202</f>
        <v/>
      </c>
      <c r="L7202" s="11">
        <f>L7201+IF(K7202&gt;0,K7202*Summary!$B$9,K7202/Summary!$B$9)</f>
        <v/>
      </c>
      <c r="M7202" s="11">
        <f>G7202+H7202</f>
        <v/>
      </c>
      <c r="N7202" s="11">
        <f>Summary!$C$16*Summary!$B$8</f>
        <v/>
      </c>
      <c r="O7202" s="11">
        <f>M7202-N7202</f>
        <v/>
      </c>
    </row>
    <row r="7203">
      <c r="A7203" s="9" t="n">
        <v>45592.04166666666</v>
      </c>
      <c r="B7203" t="n">
        <v>10</v>
      </c>
      <c r="C7203" t="n">
        <v>27</v>
      </c>
      <c r="D7203" t="n">
        <v>1</v>
      </c>
      <c r="E7203" s="10" t="n">
        <v>0</v>
      </c>
      <c r="F7203" s="10" t="n">
        <v>0.2918748220499573</v>
      </c>
      <c r="G7203" s="11">
        <f>E7203*Summary!$B$6</f>
        <v/>
      </c>
      <c r="H7203" s="11">
        <f>F7203*Summary!$B$7</f>
        <v/>
      </c>
      <c r="I7203" s="11">
        <f>MAX(0,N7203-M7203)</f>
        <v/>
      </c>
      <c r="J7203" s="11">
        <f>MAX(0,M7203-N7203)</f>
        <v/>
      </c>
      <c r="K7203" s="11">
        <f>O7203</f>
        <v/>
      </c>
      <c r="L7203" s="11">
        <f>L7202+IF(K7203&gt;0,K7203*Summary!$B$9,K7203/Summary!$B$9)</f>
        <v/>
      </c>
      <c r="M7203" s="11">
        <f>G7203+H7203</f>
        <v/>
      </c>
      <c r="N7203" s="11">
        <f>Summary!$C$16*Summary!$B$8</f>
        <v/>
      </c>
      <c r="O7203" s="11">
        <f>M7203-N7203</f>
        <v/>
      </c>
    </row>
    <row r="7204">
      <c r="A7204" s="9" t="n">
        <v>45592.08333333334</v>
      </c>
      <c r="B7204" t="n">
        <v>10</v>
      </c>
      <c r="C7204" t="n">
        <v>27</v>
      </c>
      <c r="D7204" t="n">
        <v>2</v>
      </c>
      <c r="E7204" s="10" t="n">
        <v>0</v>
      </c>
      <c r="F7204" s="10" t="n">
        <v>0.3009926162382279</v>
      </c>
      <c r="G7204" s="11">
        <f>E7204*Summary!$B$6</f>
        <v/>
      </c>
      <c r="H7204" s="11">
        <f>F7204*Summary!$B$7</f>
        <v/>
      </c>
      <c r="I7204" s="11">
        <f>MAX(0,N7204-M7204)</f>
        <v/>
      </c>
      <c r="J7204" s="11">
        <f>MAX(0,M7204-N7204)</f>
        <v/>
      </c>
      <c r="K7204" s="11">
        <f>O7204</f>
        <v/>
      </c>
      <c r="L7204" s="11">
        <f>L7203+IF(K7204&gt;0,K7204*Summary!$B$9,K7204/Summary!$B$9)</f>
        <v/>
      </c>
      <c r="M7204" s="11">
        <f>G7204+H7204</f>
        <v/>
      </c>
      <c r="N7204" s="11">
        <f>Summary!$C$16*Summary!$B$8</f>
        <v/>
      </c>
      <c r="O7204" s="11">
        <f>M7204-N7204</f>
        <v/>
      </c>
    </row>
    <row r="7205">
      <c r="A7205" s="9" t="n">
        <v>45592.125</v>
      </c>
      <c r="B7205" t="n">
        <v>10</v>
      </c>
      <c r="C7205" t="n">
        <v>27</v>
      </c>
      <c r="D7205" t="n">
        <v>3</v>
      </c>
      <c r="E7205" s="10" t="n">
        <v>0</v>
      </c>
      <c r="F7205" s="10" t="n">
        <v>0.3097941863506047</v>
      </c>
      <c r="G7205" s="11">
        <f>E7205*Summary!$B$6</f>
        <v/>
      </c>
      <c r="H7205" s="11">
        <f>F7205*Summary!$B$7</f>
        <v/>
      </c>
      <c r="I7205" s="11">
        <f>MAX(0,N7205-M7205)</f>
        <v/>
      </c>
      <c r="J7205" s="11">
        <f>MAX(0,M7205-N7205)</f>
        <v/>
      </c>
      <c r="K7205" s="11">
        <f>O7205</f>
        <v/>
      </c>
      <c r="L7205" s="11">
        <f>L7204+IF(K7205&gt;0,K7205*Summary!$B$9,K7205/Summary!$B$9)</f>
        <v/>
      </c>
      <c r="M7205" s="11">
        <f>G7205+H7205</f>
        <v/>
      </c>
      <c r="N7205" s="11">
        <f>Summary!$C$16*Summary!$B$8</f>
        <v/>
      </c>
      <c r="O7205" s="11">
        <f>M7205-N7205</f>
        <v/>
      </c>
    </row>
    <row r="7206">
      <c r="A7206" s="9" t="n">
        <v>45592.16666666666</v>
      </c>
      <c r="B7206" t="n">
        <v>10</v>
      </c>
      <c r="C7206" t="n">
        <v>27</v>
      </c>
      <c r="D7206" t="n">
        <v>4</v>
      </c>
      <c r="E7206" s="10" t="n">
        <v>0</v>
      </c>
      <c r="F7206" s="10" t="n">
        <v>0.3241823818037716</v>
      </c>
      <c r="G7206" s="11">
        <f>E7206*Summary!$B$6</f>
        <v/>
      </c>
      <c r="H7206" s="11">
        <f>F7206*Summary!$B$7</f>
        <v/>
      </c>
      <c r="I7206" s="11">
        <f>MAX(0,N7206-M7206)</f>
        <v/>
      </c>
      <c r="J7206" s="11">
        <f>MAX(0,M7206-N7206)</f>
        <v/>
      </c>
      <c r="K7206" s="11">
        <f>O7206</f>
        <v/>
      </c>
      <c r="L7206" s="11">
        <f>L7205+IF(K7206&gt;0,K7206*Summary!$B$9,K7206/Summary!$B$9)</f>
        <v/>
      </c>
      <c r="M7206" s="11">
        <f>G7206+H7206</f>
        <v/>
      </c>
      <c r="N7206" s="11">
        <f>Summary!$C$16*Summary!$B$8</f>
        <v/>
      </c>
      <c r="O7206" s="11">
        <f>M7206-N7206</f>
        <v/>
      </c>
    </row>
    <row r="7207">
      <c r="A7207" s="9" t="n">
        <v>45592.20833333334</v>
      </c>
      <c r="B7207" t="n">
        <v>10</v>
      </c>
      <c r="C7207" t="n">
        <v>27</v>
      </c>
      <c r="D7207" t="n">
        <v>5</v>
      </c>
      <c r="E7207" s="10" t="n">
        <v>0</v>
      </c>
      <c r="F7207" s="10" t="n">
        <v>0.3411003698640888</v>
      </c>
      <c r="G7207" s="11">
        <f>E7207*Summary!$B$6</f>
        <v/>
      </c>
      <c r="H7207" s="11">
        <f>F7207*Summary!$B$7</f>
        <v/>
      </c>
      <c r="I7207" s="11">
        <f>MAX(0,N7207-M7207)</f>
        <v/>
      </c>
      <c r="J7207" s="11">
        <f>MAX(0,M7207-N7207)</f>
        <v/>
      </c>
      <c r="K7207" s="11">
        <f>O7207</f>
        <v/>
      </c>
      <c r="L7207" s="11">
        <f>L7206+IF(K7207&gt;0,K7207*Summary!$B$9,K7207/Summary!$B$9)</f>
        <v/>
      </c>
      <c r="M7207" s="11">
        <f>G7207+H7207</f>
        <v/>
      </c>
      <c r="N7207" s="11">
        <f>Summary!$C$16*Summary!$B$8</f>
        <v/>
      </c>
      <c r="O7207" s="11">
        <f>M7207-N7207</f>
        <v/>
      </c>
    </row>
    <row r="7208">
      <c r="A7208" s="9" t="n">
        <v>45592.25</v>
      </c>
      <c r="B7208" t="n">
        <v>10</v>
      </c>
      <c r="C7208" t="n">
        <v>27</v>
      </c>
      <c r="D7208" t="n">
        <v>6</v>
      </c>
      <c r="E7208" s="10" t="n">
        <v>0</v>
      </c>
      <c r="F7208" s="10" t="n">
        <v>0.3563845335322881</v>
      </c>
      <c r="G7208" s="11">
        <f>E7208*Summary!$B$6</f>
        <v/>
      </c>
      <c r="H7208" s="11">
        <f>F7208*Summary!$B$7</f>
        <v/>
      </c>
      <c r="I7208" s="11">
        <f>MAX(0,N7208-M7208)</f>
        <v/>
      </c>
      <c r="J7208" s="11">
        <f>MAX(0,M7208-N7208)</f>
        <v/>
      </c>
      <c r="K7208" s="11">
        <f>O7208</f>
        <v/>
      </c>
      <c r="L7208" s="11">
        <f>L7207+IF(K7208&gt;0,K7208*Summary!$B$9,K7208/Summary!$B$9)</f>
        <v/>
      </c>
      <c r="M7208" s="11">
        <f>G7208+H7208</f>
        <v/>
      </c>
      <c r="N7208" s="11">
        <f>Summary!$C$16*Summary!$B$8</f>
        <v/>
      </c>
      <c r="O7208" s="11">
        <f>M7208-N7208</f>
        <v/>
      </c>
    </row>
    <row r="7209">
      <c r="A7209" s="9" t="n">
        <v>45592.29166666666</v>
      </c>
      <c r="B7209" t="n">
        <v>10</v>
      </c>
      <c r="C7209" t="n">
        <v>27</v>
      </c>
      <c r="D7209" t="n">
        <v>7</v>
      </c>
      <c r="E7209" s="10" t="n">
        <v>0.01121</v>
      </c>
      <c r="F7209" s="10" t="n">
        <v>0.3645536554928773</v>
      </c>
      <c r="G7209" s="11">
        <f>E7209*Summary!$B$6</f>
        <v/>
      </c>
      <c r="H7209" s="11">
        <f>F7209*Summary!$B$7</f>
        <v/>
      </c>
      <c r="I7209" s="11">
        <f>MAX(0,N7209-M7209)</f>
        <v/>
      </c>
      <c r="J7209" s="11">
        <f>MAX(0,M7209-N7209)</f>
        <v/>
      </c>
      <c r="K7209" s="11">
        <f>O7209</f>
        <v/>
      </c>
      <c r="L7209" s="11">
        <f>L7208+IF(K7209&gt;0,K7209*Summary!$B$9,K7209/Summary!$B$9)</f>
        <v/>
      </c>
      <c r="M7209" s="11">
        <f>G7209+H7209</f>
        <v/>
      </c>
      <c r="N7209" s="11">
        <f>Summary!$C$16*Summary!$B$8</f>
        <v/>
      </c>
      <c r="O7209" s="11">
        <f>M7209-N7209</f>
        <v/>
      </c>
    </row>
    <row r="7210">
      <c r="A7210" s="9" t="n">
        <v>45592.33333333334</v>
      </c>
      <c r="B7210" t="n">
        <v>10</v>
      </c>
      <c r="C7210" t="n">
        <v>27</v>
      </c>
      <c r="D7210" t="n">
        <v>8</v>
      </c>
      <c r="E7210" s="10" t="n">
        <v>0.042784</v>
      </c>
      <c r="F7210" s="10" t="n">
        <v>0.3671361521126765</v>
      </c>
      <c r="G7210" s="11">
        <f>E7210*Summary!$B$6</f>
        <v/>
      </c>
      <c r="H7210" s="11">
        <f>F7210*Summary!$B$7</f>
        <v/>
      </c>
      <c r="I7210" s="11">
        <f>MAX(0,N7210-M7210)</f>
        <v/>
      </c>
      <c r="J7210" s="11">
        <f>MAX(0,M7210-N7210)</f>
        <v/>
      </c>
      <c r="K7210" s="11">
        <f>O7210</f>
        <v/>
      </c>
      <c r="L7210" s="11">
        <f>L7209+IF(K7210&gt;0,K7210*Summary!$B$9,K7210/Summary!$B$9)</f>
        <v/>
      </c>
      <c r="M7210" s="11">
        <f>G7210+H7210</f>
        <v/>
      </c>
      <c r="N7210" s="11">
        <f>Summary!$C$16*Summary!$B$8</f>
        <v/>
      </c>
      <c r="O7210" s="11">
        <f>M7210-N7210</f>
        <v/>
      </c>
    </row>
    <row r="7211">
      <c r="A7211" s="9" t="n">
        <v>45592.375</v>
      </c>
      <c r="B7211" t="n">
        <v>10</v>
      </c>
      <c r="C7211" t="n">
        <v>27</v>
      </c>
      <c r="D7211" t="n">
        <v>9</v>
      </c>
      <c r="E7211" s="10" t="n">
        <v>0.13638</v>
      </c>
      <c r="F7211" s="10" t="n">
        <v>0.3680057683213844</v>
      </c>
      <c r="G7211" s="11">
        <f>E7211*Summary!$B$6</f>
        <v/>
      </c>
      <c r="H7211" s="11">
        <f>F7211*Summary!$B$7</f>
        <v/>
      </c>
      <c r="I7211" s="11">
        <f>MAX(0,N7211-M7211)</f>
        <v/>
      </c>
      <c r="J7211" s="11">
        <f>MAX(0,M7211-N7211)</f>
        <v/>
      </c>
      <c r="K7211" s="11">
        <f>O7211</f>
        <v/>
      </c>
      <c r="L7211" s="11">
        <f>L7210+IF(K7211&gt;0,K7211*Summary!$B$9,K7211/Summary!$B$9)</f>
        <v/>
      </c>
      <c r="M7211" s="11">
        <f>G7211+H7211</f>
        <v/>
      </c>
      <c r="N7211" s="11">
        <f>Summary!$C$16*Summary!$B$8</f>
        <v/>
      </c>
      <c r="O7211" s="11">
        <f>M7211-N7211</f>
        <v/>
      </c>
    </row>
    <row r="7212">
      <c r="A7212" s="9" t="n">
        <v>45592.41666666666</v>
      </c>
      <c r="B7212" t="n">
        <v>10</v>
      </c>
      <c r="C7212" t="n">
        <v>27</v>
      </c>
      <c r="D7212" t="n">
        <v>10</v>
      </c>
      <c r="E7212" s="10" t="n">
        <v>0.370219</v>
      </c>
      <c r="F7212" s="10" t="n">
        <v>0.3680848243403578</v>
      </c>
      <c r="G7212" s="11">
        <f>E7212*Summary!$B$6</f>
        <v/>
      </c>
      <c r="H7212" s="11">
        <f>F7212*Summary!$B$7</f>
        <v/>
      </c>
      <c r="I7212" s="11">
        <f>MAX(0,N7212-M7212)</f>
        <v/>
      </c>
      <c r="J7212" s="11">
        <f>MAX(0,M7212-N7212)</f>
        <v/>
      </c>
      <c r="K7212" s="11">
        <f>O7212</f>
        <v/>
      </c>
      <c r="L7212" s="11">
        <f>L7211+IF(K7212&gt;0,K7212*Summary!$B$9,K7212/Summary!$B$9)</f>
        <v/>
      </c>
      <c r="M7212" s="11">
        <f>G7212+H7212</f>
        <v/>
      </c>
      <c r="N7212" s="11">
        <f>Summary!$C$16*Summary!$B$8</f>
        <v/>
      </c>
      <c r="O7212" s="11">
        <f>M7212-N7212</f>
        <v/>
      </c>
    </row>
    <row r="7213">
      <c r="A7213" s="9" t="n">
        <v>45592.45833333334</v>
      </c>
      <c r="B7213" t="n">
        <v>10</v>
      </c>
      <c r="C7213" t="n">
        <v>27</v>
      </c>
      <c r="D7213" t="n">
        <v>11</v>
      </c>
      <c r="E7213" s="10" t="n">
        <v>0.43124</v>
      </c>
      <c r="F7213" s="10" t="n">
        <v>0.3612069506896681</v>
      </c>
      <c r="G7213" s="11">
        <f>E7213*Summary!$B$6</f>
        <v/>
      </c>
      <c r="H7213" s="11">
        <f>F7213*Summary!$B$7</f>
        <v/>
      </c>
      <c r="I7213" s="11">
        <f>MAX(0,N7213-M7213)</f>
        <v/>
      </c>
      <c r="J7213" s="11">
        <f>MAX(0,M7213-N7213)</f>
        <v/>
      </c>
      <c r="K7213" s="11">
        <f>O7213</f>
        <v/>
      </c>
      <c r="L7213" s="11">
        <f>L7212+IF(K7213&gt;0,K7213*Summary!$B$9,K7213/Summary!$B$9)</f>
        <v/>
      </c>
      <c r="M7213" s="11">
        <f>G7213+H7213</f>
        <v/>
      </c>
      <c r="N7213" s="11">
        <f>Summary!$C$16*Summary!$B$8</f>
        <v/>
      </c>
      <c r="O7213" s="11">
        <f>M7213-N7213</f>
        <v/>
      </c>
    </row>
    <row r="7214">
      <c r="A7214" s="9" t="n">
        <v>45592.5</v>
      </c>
      <c r="B7214" t="n">
        <v>10</v>
      </c>
      <c r="C7214" t="n">
        <v>27</v>
      </c>
      <c r="D7214" t="n">
        <v>12</v>
      </c>
      <c r="E7214" s="10" t="n">
        <v>0.298247</v>
      </c>
      <c r="F7214" s="10" t="n">
        <v>0.359230550215332</v>
      </c>
      <c r="G7214" s="11">
        <f>E7214*Summary!$B$6</f>
        <v/>
      </c>
      <c r="H7214" s="11">
        <f>F7214*Summary!$B$7</f>
        <v/>
      </c>
      <c r="I7214" s="11">
        <f>MAX(0,N7214-M7214)</f>
        <v/>
      </c>
      <c r="J7214" s="11">
        <f>MAX(0,M7214-N7214)</f>
        <v/>
      </c>
      <c r="K7214" s="11">
        <f>O7214</f>
        <v/>
      </c>
      <c r="L7214" s="11">
        <f>L7213+IF(K7214&gt;0,K7214*Summary!$B$9,K7214/Summary!$B$9)</f>
        <v/>
      </c>
      <c r="M7214" s="11">
        <f>G7214+H7214</f>
        <v/>
      </c>
      <c r="N7214" s="11">
        <f>Summary!$C$16*Summary!$B$8</f>
        <v/>
      </c>
      <c r="O7214" s="11">
        <f>M7214-N7214</f>
        <v/>
      </c>
    </row>
    <row r="7215">
      <c r="A7215" s="9" t="n">
        <v>45592.54166666666</v>
      </c>
      <c r="B7215" t="n">
        <v>10</v>
      </c>
      <c r="C7215" t="n">
        <v>27</v>
      </c>
      <c r="D7215" t="n">
        <v>13</v>
      </c>
      <c r="E7215" s="10" t="n">
        <v>0.106789</v>
      </c>
      <c r="F7215" s="10" t="n">
        <v>0.3585981020635445</v>
      </c>
      <c r="G7215" s="11">
        <f>E7215*Summary!$B$6</f>
        <v/>
      </c>
      <c r="H7215" s="11">
        <f>F7215*Summary!$B$7</f>
        <v/>
      </c>
      <c r="I7215" s="11">
        <f>MAX(0,N7215-M7215)</f>
        <v/>
      </c>
      <c r="J7215" s="11">
        <f>MAX(0,M7215-N7215)</f>
        <v/>
      </c>
      <c r="K7215" s="11">
        <f>O7215</f>
        <v/>
      </c>
      <c r="L7215" s="11">
        <f>L7214+IF(K7215&gt;0,K7215*Summary!$B$9,K7215/Summary!$B$9)</f>
        <v/>
      </c>
      <c r="M7215" s="11">
        <f>G7215+H7215</f>
        <v/>
      </c>
      <c r="N7215" s="11">
        <f>Summary!$C$16*Summary!$B$8</f>
        <v/>
      </c>
      <c r="O7215" s="11">
        <f>M7215-N7215</f>
        <v/>
      </c>
    </row>
    <row r="7216">
      <c r="A7216" s="9" t="n">
        <v>45592.58333333334</v>
      </c>
      <c r="B7216" t="n">
        <v>10</v>
      </c>
      <c r="C7216" t="n">
        <v>27</v>
      </c>
      <c r="D7216" t="n">
        <v>14</v>
      </c>
      <c r="E7216" s="10" t="n">
        <v>0.112135</v>
      </c>
      <c r="F7216" s="10" t="n">
        <v>0.3567534616208308</v>
      </c>
      <c r="G7216" s="11">
        <f>E7216*Summary!$B$6</f>
        <v/>
      </c>
      <c r="H7216" s="11">
        <f>F7216*Summary!$B$7</f>
        <v/>
      </c>
      <c r="I7216" s="11">
        <f>MAX(0,N7216-M7216)</f>
        <v/>
      </c>
      <c r="J7216" s="11">
        <f>MAX(0,M7216-N7216)</f>
        <v/>
      </c>
      <c r="K7216" s="11">
        <f>O7216</f>
        <v/>
      </c>
      <c r="L7216" s="11">
        <f>L7215+IF(K7216&gt;0,K7216*Summary!$B$9,K7216/Summary!$B$9)</f>
        <v/>
      </c>
      <c r="M7216" s="11">
        <f>G7216+H7216</f>
        <v/>
      </c>
      <c r="N7216" s="11">
        <f>Summary!$C$16*Summary!$B$8</f>
        <v/>
      </c>
      <c r="O7216" s="11">
        <f>M7216-N7216</f>
        <v/>
      </c>
    </row>
    <row r="7217">
      <c r="A7217" s="9" t="n">
        <v>45592.625</v>
      </c>
      <c r="B7217" t="n">
        <v>10</v>
      </c>
      <c r="C7217" t="n">
        <v>27</v>
      </c>
      <c r="D7217" t="n">
        <v>15</v>
      </c>
      <c r="E7217" s="10" t="n">
        <v>0.054543</v>
      </c>
      <c r="F7217" s="10" t="n">
        <v>0.3653705676889363</v>
      </c>
      <c r="G7217" s="11">
        <f>E7217*Summary!$B$6</f>
        <v/>
      </c>
      <c r="H7217" s="11">
        <f>F7217*Summary!$B$7</f>
        <v/>
      </c>
      <c r="I7217" s="11">
        <f>MAX(0,N7217-M7217)</f>
        <v/>
      </c>
      <c r="J7217" s="11">
        <f>MAX(0,M7217-N7217)</f>
        <v/>
      </c>
      <c r="K7217" s="11">
        <f>O7217</f>
        <v/>
      </c>
      <c r="L7217" s="11">
        <f>L7216+IF(K7217&gt;0,K7217*Summary!$B$9,K7217/Summary!$B$9)</f>
        <v/>
      </c>
      <c r="M7217" s="11">
        <f>G7217+H7217</f>
        <v/>
      </c>
      <c r="N7217" s="11">
        <f>Summary!$C$16*Summary!$B$8</f>
        <v/>
      </c>
      <c r="O7217" s="11">
        <f>M7217-N7217</f>
        <v/>
      </c>
    </row>
    <row r="7218">
      <c r="A7218" s="9" t="n">
        <v>45592.66666666666</v>
      </c>
      <c r="B7218" t="n">
        <v>10</v>
      </c>
      <c r="C7218" t="n">
        <v>27</v>
      </c>
      <c r="D7218" t="n">
        <v>16</v>
      </c>
      <c r="E7218" s="10" t="n">
        <v>0</v>
      </c>
      <c r="F7218" s="10" t="n">
        <v>0.378546570851177</v>
      </c>
      <c r="G7218" s="11">
        <f>E7218*Summary!$B$6</f>
        <v/>
      </c>
      <c r="H7218" s="11">
        <f>F7218*Summary!$B$7</f>
        <v/>
      </c>
      <c r="I7218" s="11">
        <f>MAX(0,N7218-M7218)</f>
        <v/>
      </c>
      <c r="J7218" s="11">
        <f>MAX(0,M7218-N7218)</f>
        <v/>
      </c>
      <c r="K7218" s="11">
        <f>O7218</f>
        <v/>
      </c>
      <c r="L7218" s="11">
        <f>L7217+IF(K7218&gt;0,K7218*Summary!$B$9,K7218/Summary!$B$9)</f>
        <v/>
      </c>
      <c r="M7218" s="11">
        <f>G7218+H7218</f>
        <v/>
      </c>
      <c r="N7218" s="11">
        <f>Summary!$C$16*Summary!$B$8</f>
        <v/>
      </c>
      <c r="O7218" s="11">
        <f>M7218-N7218</f>
        <v/>
      </c>
    </row>
    <row r="7219">
      <c r="A7219" s="9" t="n">
        <v>45592.70833333334</v>
      </c>
      <c r="B7219" t="n">
        <v>10</v>
      </c>
      <c r="C7219" t="n">
        <v>27</v>
      </c>
      <c r="D7219" t="n">
        <v>17</v>
      </c>
      <c r="E7219" s="10" t="n">
        <v>0</v>
      </c>
      <c r="F7219" s="10" t="n">
        <v>0.3913799979311995</v>
      </c>
      <c r="G7219" s="11">
        <f>E7219*Summary!$B$6</f>
        <v/>
      </c>
      <c r="H7219" s="11">
        <f>F7219*Summary!$B$7</f>
        <v/>
      </c>
      <c r="I7219" s="11">
        <f>MAX(0,N7219-M7219)</f>
        <v/>
      </c>
      <c r="J7219" s="11">
        <f>MAX(0,M7219-N7219)</f>
        <v/>
      </c>
      <c r="K7219" s="11">
        <f>O7219</f>
        <v/>
      </c>
      <c r="L7219" s="11">
        <f>L7218+IF(K7219&gt;0,K7219*Summary!$B$9,K7219/Summary!$B$9)</f>
        <v/>
      </c>
      <c r="M7219" s="11">
        <f>G7219+H7219</f>
        <v/>
      </c>
      <c r="N7219" s="11">
        <f>Summary!$C$16*Summary!$B$8</f>
        <v/>
      </c>
      <c r="O7219" s="11">
        <f>M7219-N7219</f>
        <v/>
      </c>
    </row>
    <row r="7220">
      <c r="A7220" s="9" t="n">
        <v>45592.75</v>
      </c>
      <c r="B7220" t="n">
        <v>10</v>
      </c>
      <c r="C7220" t="n">
        <v>27</v>
      </c>
      <c r="D7220" t="n">
        <v>18</v>
      </c>
      <c r="E7220" s="10" t="n">
        <v>0</v>
      </c>
      <c r="F7220" s="10" t="n">
        <v>0.403449216827812</v>
      </c>
      <c r="G7220" s="11">
        <f>E7220*Summary!$B$6</f>
        <v/>
      </c>
      <c r="H7220" s="11">
        <f>F7220*Summary!$B$7</f>
        <v/>
      </c>
      <c r="I7220" s="11">
        <f>MAX(0,N7220-M7220)</f>
        <v/>
      </c>
      <c r="J7220" s="11">
        <f>MAX(0,M7220-N7220)</f>
        <v/>
      </c>
      <c r="K7220" s="11">
        <f>O7220</f>
        <v/>
      </c>
      <c r="L7220" s="11">
        <f>L7219+IF(K7220&gt;0,K7220*Summary!$B$9,K7220/Summary!$B$9)</f>
        <v/>
      </c>
      <c r="M7220" s="11">
        <f>G7220+H7220</f>
        <v/>
      </c>
      <c r="N7220" s="11">
        <f>Summary!$C$16*Summary!$B$8</f>
        <v/>
      </c>
      <c r="O7220" s="11">
        <f>M7220-N7220</f>
        <v/>
      </c>
    </row>
    <row r="7221">
      <c r="A7221" s="9" t="n">
        <v>45592.79166666666</v>
      </c>
      <c r="B7221" t="n">
        <v>10</v>
      </c>
      <c r="C7221" t="n">
        <v>27</v>
      </c>
      <c r="D7221" t="n">
        <v>19</v>
      </c>
      <c r="E7221" s="10" t="n">
        <v>0</v>
      </c>
      <c r="F7221" s="10" t="n">
        <v>0.410564258535422</v>
      </c>
      <c r="G7221" s="11">
        <f>E7221*Summary!$B$6</f>
        <v/>
      </c>
      <c r="H7221" s="11">
        <f>F7221*Summary!$B$7</f>
        <v/>
      </c>
      <c r="I7221" s="11">
        <f>MAX(0,N7221-M7221)</f>
        <v/>
      </c>
      <c r="J7221" s="11">
        <f>MAX(0,M7221-N7221)</f>
        <v/>
      </c>
      <c r="K7221" s="11">
        <f>O7221</f>
        <v/>
      </c>
      <c r="L7221" s="11">
        <f>L7220+IF(K7221&gt;0,K7221*Summary!$B$9,K7221/Summary!$B$9)</f>
        <v/>
      </c>
      <c r="M7221" s="11">
        <f>G7221+H7221</f>
        <v/>
      </c>
      <c r="N7221" s="11">
        <f>Summary!$C$16*Summary!$B$8</f>
        <v/>
      </c>
      <c r="O7221" s="11">
        <f>M7221-N7221</f>
        <v/>
      </c>
    </row>
    <row r="7222">
      <c r="A7222" s="9" t="n">
        <v>45592.83333333334</v>
      </c>
      <c r="B7222" t="n">
        <v>10</v>
      </c>
      <c r="C7222" t="n">
        <v>27</v>
      </c>
      <c r="D7222" t="n">
        <v>20</v>
      </c>
      <c r="E7222" s="10" t="n">
        <v>0</v>
      </c>
      <c r="F7222" s="10" t="n">
        <v>0.4118028028326727</v>
      </c>
      <c r="G7222" s="11">
        <f>E7222*Summary!$B$6</f>
        <v/>
      </c>
      <c r="H7222" s="11">
        <f>F7222*Summary!$B$7</f>
        <v/>
      </c>
      <c r="I7222" s="11">
        <f>MAX(0,N7222-M7222)</f>
        <v/>
      </c>
      <c r="J7222" s="11">
        <f>MAX(0,M7222-N7222)</f>
        <v/>
      </c>
      <c r="K7222" s="11">
        <f>O7222</f>
        <v/>
      </c>
      <c r="L7222" s="11">
        <f>L7221+IF(K7222&gt;0,K7222*Summary!$B$9,K7222/Summary!$B$9)</f>
        <v/>
      </c>
      <c r="M7222" s="11">
        <f>G7222+H7222</f>
        <v/>
      </c>
      <c r="N7222" s="11">
        <f>Summary!$C$16*Summary!$B$8</f>
        <v/>
      </c>
      <c r="O7222" s="11">
        <f>M7222-N7222</f>
        <v/>
      </c>
    </row>
    <row r="7223">
      <c r="A7223" s="9" t="n">
        <v>45592.875</v>
      </c>
      <c r="B7223" t="n">
        <v>10</v>
      </c>
      <c r="C7223" t="n">
        <v>27</v>
      </c>
      <c r="D7223" t="n">
        <v>21</v>
      </c>
      <c r="E7223" s="10" t="n">
        <v>0</v>
      </c>
      <c r="F7223" s="10" t="n">
        <v>0.4114602267504544</v>
      </c>
      <c r="G7223" s="11">
        <f>E7223*Summary!$B$6</f>
        <v/>
      </c>
      <c r="H7223" s="11">
        <f>F7223*Summary!$B$7</f>
        <v/>
      </c>
      <c r="I7223" s="11">
        <f>MAX(0,N7223-M7223)</f>
        <v/>
      </c>
      <c r="J7223" s="11">
        <f>MAX(0,M7223-N7223)</f>
        <v/>
      </c>
      <c r="K7223" s="11">
        <f>O7223</f>
        <v/>
      </c>
      <c r="L7223" s="11">
        <f>L7222+IF(K7223&gt;0,K7223*Summary!$B$9,K7223/Summary!$B$9)</f>
        <v/>
      </c>
      <c r="M7223" s="11">
        <f>G7223+H7223</f>
        <v/>
      </c>
      <c r="N7223" s="11">
        <f>Summary!$C$16*Summary!$B$8</f>
        <v/>
      </c>
      <c r="O7223" s="11">
        <f>M7223-N7223</f>
        <v/>
      </c>
    </row>
    <row r="7224">
      <c r="A7224" s="9" t="n">
        <v>45592.91666666666</v>
      </c>
      <c r="B7224" t="n">
        <v>10</v>
      </c>
      <c r="C7224" t="n">
        <v>27</v>
      </c>
      <c r="D7224" t="n">
        <v>22</v>
      </c>
      <c r="E7224" s="10" t="n">
        <v>0</v>
      </c>
      <c r="F7224" s="10" t="n">
        <v>0.4085615060547614</v>
      </c>
      <c r="G7224" s="11">
        <f>E7224*Summary!$B$6</f>
        <v/>
      </c>
      <c r="H7224" s="11">
        <f>F7224*Summary!$B$7</f>
        <v/>
      </c>
      <c r="I7224" s="11">
        <f>MAX(0,N7224-M7224)</f>
        <v/>
      </c>
      <c r="J7224" s="11">
        <f>MAX(0,M7224-N7224)</f>
        <v/>
      </c>
      <c r="K7224" s="11">
        <f>O7224</f>
        <v/>
      </c>
      <c r="L7224" s="11">
        <f>L7223+IF(K7224&gt;0,K7224*Summary!$B$9,K7224/Summary!$B$9)</f>
        <v/>
      </c>
      <c r="M7224" s="11">
        <f>G7224+H7224</f>
        <v/>
      </c>
      <c r="N7224" s="11">
        <f>Summary!$C$16*Summary!$B$8</f>
        <v/>
      </c>
      <c r="O7224" s="11">
        <f>M7224-N7224</f>
        <v/>
      </c>
    </row>
    <row r="7225">
      <c r="A7225" s="9" t="n">
        <v>45592.95833333334</v>
      </c>
      <c r="B7225" t="n">
        <v>10</v>
      </c>
      <c r="C7225" t="n">
        <v>27</v>
      </c>
      <c r="D7225" t="n">
        <v>23</v>
      </c>
      <c r="E7225" s="10" t="n">
        <v>0</v>
      </c>
      <c r="F7225" s="10" t="n">
        <v>0.4069276816626436</v>
      </c>
      <c r="G7225" s="11">
        <f>E7225*Summary!$B$6</f>
        <v/>
      </c>
      <c r="H7225" s="11">
        <f>F7225*Summary!$B$7</f>
        <v/>
      </c>
      <c r="I7225" s="11">
        <f>MAX(0,N7225-M7225)</f>
        <v/>
      </c>
      <c r="J7225" s="11">
        <f>MAX(0,M7225-N7225)</f>
        <v/>
      </c>
      <c r="K7225" s="11">
        <f>O7225</f>
        <v/>
      </c>
      <c r="L7225" s="11">
        <f>L7224+IF(K7225&gt;0,K7225*Summary!$B$9,K7225/Summary!$B$9)</f>
        <v/>
      </c>
      <c r="M7225" s="11">
        <f>G7225+H7225</f>
        <v/>
      </c>
      <c r="N7225" s="11">
        <f>Summary!$C$16*Summary!$B$8</f>
        <v/>
      </c>
      <c r="O7225" s="11">
        <f>M7225-N7225</f>
        <v/>
      </c>
    </row>
    <row r="7226">
      <c r="A7226" s="9" t="n">
        <v>45593</v>
      </c>
      <c r="B7226" t="n">
        <v>10</v>
      </c>
      <c r="C7226" t="n">
        <v>28</v>
      </c>
      <c r="D7226" t="n">
        <v>0</v>
      </c>
      <c r="E7226" s="10" t="n">
        <v>0</v>
      </c>
      <c r="F7226" s="10" t="n">
        <v>0.3406260337502481</v>
      </c>
      <c r="G7226" s="11">
        <f>E7226*Summary!$B$6</f>
        <v/>
      </c>
      <c r="H7226" s="11">
        <f>F7226*Summary!$B$7</f>
        <v/>
      </c>
      <c r="I7226" s="11">
        <f>MAX(0,N7226-M7226)</f>
        <v/>
      </c>
      <c r="J7226" s="11">
        <f>MAX(0,M7226-N7226)</f>
        <v/>
      </c>
      <c r="K7226" s="11">
        <f>O7226</f>
        <v/>
      </c>
      <c r="L7226" s="11">
        <f>L7225+IF(K7226&gt;0,K7226*Summary!$B$9,K7226/Summary!$B$9)</f>
        <v/>
      </c>
      <c r="M7226" s="11">
        <f>G7226+H7226</f>
        <v/>
      </c>
      <c r="N7226" s="11">
        <f>Summary!$C$16*Summary!$B$8</f>
        <v/>
      </c>
      <c r="O7226" s="11">
        <f>M7226-N7226</f>
        <v/>
      </c>
    </row>
    <row r="7227">
      <c r="A7227" s="9" t="n">
        <v>45593.04166666666</v>
      </c>
      <c r="B7227" t="n">
        <v>10</v>
      </c>
      <c r="C7227" t="n">
        <v>28</v>
      </c>
      <c r="D7227" t="n">
        <v>1</v>
      </c>
      <c r="E7227" s="10" t="n">
        <v>0</v>
      </c>
      <c r="F7227" s="10" t="n">
        <v>0.4107487225796934</v>
      </c>
      <c r="G7227" s="11">
        <f>E7227*Summary!$B$6</f>
        <v/>
      </c>
      <c r="H7227" s="11">
        <f>F7227*Summary!$B$7</f>
        <v/>
      </c>
      <c r="I7227" s="11">
        <f>MAX(0,N7227-M7227)</f>
        <v/>
      </c>
      <c r="J7227" s="11">
        <f>MAX(0,M7227-N7227)</f>
        <v/>
      </c>
      <c r="K7227" s="11">
        <f>O7227</f>
        <v/>
      </c>
      <c r="L7227" s="11">
        <f>L7226+IF(K7227&gt;0,K7227*Summary!$B$9,K7227/Summary!$B$9)</f>
        <v/>
      </c>
      <c r="M7227" s="11">
        <f>G7227+H7227</f>
        <v/>
      </c>
      <c r="N7227" s="11">
        <f>Summary!$C$16*Summary!$B$8</f>
        <v/>
      </c>
      <c r="O7227" s="11">
        <f>M7227-N7227</f>
        <v/>
      </c>
    </row>
    <row r="7228">
      <c r="A7228" s="9" t="n">
        <v>45593.08333333334</v>
      </c>
      <c r="B7228" t="n">
        <v>10</v>
      </c>
      <c r="C7228" t="n">
        <v>28</v>
      </c>
      <c r="D7228" t="n">
        <v>2</v>
      </c>
      <c r="E7228" s="10" t="n">
        <v>0</v>
      </c>
      <c r="F7228" s="10" t="n">
        <v>0.4037917929100303</v>
      </c>
      <c r="G7228" s="11">
        <f>E7228*Summary!$B$6</f>
        <v/>
      </c>
      <c r="H7228" s="11">
        <f>F7228*Summary!$B$7</f>
        <v/>
      </c>
      <c r="I7228" s="11">
        <f>MAX(0,N7228-M7228)</f>
        <v/>
      </c>
      <c r="J7228" s="11">
        <f>MAX(0,M7228-N7228)</f>
        <v/>
      </c>
      <c r="K7228" s="11">
        <f>O7228</f>
        <v/>
      </c>
      <c r="L7228" s="11">
        <f>L7227+IF(K7228&gt;0,K7228*Summary!$B$9,K7228/Summary!$B$9)</f>
        <v/>
      </c>
      <c r="M7228" s="11">
        <f>G7228+H7228</f>
        <v/>
      </c>
      <c r="N7228" s="11">
        <f>Summary!$C$16*Summary!$B$8</f>
        <v/>
      </c>
      <c r="O7228" s="11">
        <f>M7228-N7228</f>
        <v/>
      </c>
    </row>
    <row r="7229">
      <c r="A7229" s="9" t="n">
        <v>45593.125</v>
      </c>
      <c r="B7229" t="n">
        <v>10</v>
      </c>
      <c r="C7229" t="n">
        <v>28</v>
      </c>
      <c r="D7229" t="n">
        <v>3</v>
      </c>
      <c r="E7229" s="10" t="n">
        <v>0</v>
      </c>
      <c r="F7229" s="10" t="n">
        <v>0.404924929181983</v>
      </c>
      <c r="G7229" s="11">
        <f>E7229*Summary!$B$6</f>
        <v/>
      </c>
      <c r="H7229" s="11">
        <f>F7229*Summary!$B$7</f>
        <v/>
      </c>
      <c r="I7229" s="11">
        <f>MAX(0,N7229-M7229)</f>
        <v/>
      </c>
      <c r="J7229" s="11">
        <f>MAX(0,M7229-N7229)</f>
        <v/>
      </c>
      <c r="K7229" s="11">
        <f>O7229</f>
        <v/>
      </c>
      <c r="L7229" s="11">
        <f>L7228+IF(K7229&gt;0,K7229*Summary!$B$9,K7229/Summary!$B$9)</f>
        <v/>
      </c>
      <c r="M7229" s="11">
        <f>G7229+H7229</f>
        <v/>
      </c>
      <c r="N7229" s="11">
        <f>Summary!$C$16*Summary!$B$8</f>
        <v/>
      </c>
      <c r="O7229" s="11">
        <f>M7229-N7229</f>
        <v/>
      </c>
    </row>
    <row r="7230">
      <c r="A7230" s="9" t="n">
        <v>45593.16666666666</v>
      </c>
      <c r="B7230" t="n">
        <v>10</v>
      </c>
      <c r="C7230" t="n">
        <v>28</v>
      </c>
      <c r="D7230" t="n">
        <v>4</v>
      </c>
      <c r="E7230" s="10" t="n">
        <v>0</v>
      </c>
      <c r="F7230" s="10" t="n">
        <v>0.4045032970807912</v>
      </c>
      <c r="G7230" s="11">
        <f>E7230*Summary!$B$6</f>
        <v/>
      </c>
      <c r="H7230" s="11">
        <f>F7230*Summary!$B$7</f>
        <v/>
      </c>
      <c r="I7230" s="11">
        <f>MAX(0,N7230-M7230)</f>
        <v/>
      </c>
      <c r="J7230" s="11">
        <f>MAX(0,M7230-N7230)</f>
        <v/>
      </c>
      <c r="K7230" s="11">
        <f>O7230</f>
        <v/>
      </c>
      <c r="L7230" s="11">
        <f>L7229+IF(K7230&gt;0,K7230*Summary!$B$9,K7230/Summary!$B$9)</f>
        <v/>
      </c>
      <c r="M7230" s="11">
        <f>G7230+H7230</f>
        <v/>
      </c>
      <c r="N7230" s="11">
        <f>Summary!$C$16*Summary!$B$8</f>
        <v/>
      </c>
      <c r="O7230" s="11">
        <f>M7230-N7230</f>
        <v/>
      </c>
    </row>
    <row r="7231">
      <c r="A7231" s="9" t="n">
        <v>45593.20833333334</v>
      </c>
      <c r="B7231" t="n">
        <v>10</v>
      </c>
      <c r="C7231" t="n">
        <v>28</v>
      </c>
      <c r="D7231" t="n">
        <v>5</v>
      </c>
      <c r="E7231" s="10" t="n">
        <v>0</v>
      </c>
      <c r="F7231" s="10" t="n">
        <v>0.4033438088025141</v>
      </c>
      <c r="G7231" s="11">
        <f>E7231*Summary!$B$6</f>
        <v/>
      </c>
      <c r="H7231" s="11">
        <f>F7231*Summary!$B$7</f>
        <v/>
      </c>
      <c r="I7231" s="11">
        <f>MAX(0,N7231-M7231)</f>
        <v/>
      </c>
      <c r="J7231" s="11">
        <f>MAX(0,M7231-N7231)</f>
        <v/>
      </c>
      <c r="K7231" s="11">
        <f>O7231</f>
        <v/>
      </c>
      <c r="L7231" s="11">
        <f>L7230+IF(K7231&gt;0,K7231*Summary!$B$9,K7231/Summary!$B$9)</f>
        <v/>
      </c>
      <c r="M7231" s="11">
        <f>G7231+H7231</f>
        <v/>
      </c>
      <c r="N7231" s="11">
        <f>Summary!$C$16*Summary!$B$8</f>
        <v/>
      </c>
      <c r="O7231" s="11">
        <f>M7231-N7231</f>
        <v/>
      </c>
    </row>
    <row r="7232">
      <c r="A7232" s="9" t="n">
        <v>45593.25</v>
      </c>
      <c r="B7232" t="n">
        <v>10</v>
      </c>
      <c r="C7232" t="n">
        <v>28</v>
      </c>
      <c r="D7232" t="n">
        <v>6</v>
      </c>
      <c r="E7232" s="10" t="n">
        <v>0</v>
      </c>
      <c r="F7232" s="10" t="n">
        <v>0.4021579685179124</v>
      </c>
      <c r="G7232" s="11">
        <f>E7232*Summary!$B$6</f>
        <v/>
      </c>
      <c r="H7232" s="11">
        <f>F7232*Summary!$B$7</f>
        <v/>
      </c>
      <c r="I7232" s="11">
        <f>MAX(0,N7232-M7232)</f>
        <v/>
      </c>
      <c r="J7232" s="11">
        <f>MAX(0,M7232-N7232)</f>
        <v/>
      </c>
      <c r="K7232" s="11">
        <f>O7232</f>
        <v/>
      </c>
      <c r="L7232" s="11">
        <f>L7231+IF(K7232&gt;0,K7232*Summary!$B$9,K7232/Summary!$B$9)</f>
        <v/>
      </c>
      <c r="M7232" s="11">
        <f>G7232+H7232</f>
        <v/>
      </c>
      <c r="N7232" s="11">
        <f>Summary!$C$16*Summary!$B$8</f>
        <v/>
      </c>
      <c r="O7232" s="11">
        <f>M7232-N7232</f>
        <v/>
      </c>
    </row>
    <row r="7233">
      <c r="A7233" s="9" t="n">
        <v>45593.29166666666</v>
      </c>
      <c r="B7233" t="n">
        <v>10</v>
      </c>
      <c r="C7233" t="n">
        <v>28</v>
      </c>
      <c r="D7233" t="n">
        <v>7</v>
      </c>
      <c r="E7233" s="10" t="n">
        <v>0</v>
      </c>
      <c r="F7233" s="10" t="n">
        <v>0.3930401743296418</v>
      </c>
      <c r="G7233" s="11">
        <f>E7233*Summary!$B$6</f>
        <v/>
      </c>
      <c r="H7233" s="11">
        <f>F7233*Summary!$B$7</f>
        <v/>
      </c>
      <c r="I7233" s="11">
        <f>MAX(0,N7233-M7233)</f>
        <v/>
      </c>
      <c r="J7233" s="11">
        <f>MAX(0,M7233-N7233)</f>
        <v/>
      </c>
      <c r="K7233" s="11">
        <f>O7233</f>
        <v/>
      </c>
      <c r="L7233" s="11">
        <f>L7232+IF(K7233&gt;0,K7233*Summary!$B$9,K7233/Summary!$B$9)</f>
        <v/>
      </c>
      <c r="M7233" s="11">
        <f>G7233+H7233</f>
        <v/>
      </c>
      <c r="N7233" s="11">
        <f>Summary!$C$16*Summary!$B$8</f>
        <v/>
      </c>
      <c r="O7233" s="11">
        <f>M7233-N7233</f>
        <v/>
      </c>
    </row>
    <row r="7234">
      <c r="A7234" s="9" t="n">
        <v>45593.33333333334</v>
      </c>
      <c r="B7234" t="n">
        <v>10</v>
      </c>
      <c r="C7234" t="n">
        <v>28</v>
      </c>
      <c r="D7234" t="n">
        <v>8</v>
      </c>
      <c r="E7234" s="10" t="n">
        <v>0.029615</v>
      </c>
      <c r="F7234" s="10" t="n">
        <v>0.380022283205348</v>
      </c>
      <c r="G7234" s="11">
        <f>E7234*Summary!$B$6</f>
        <v/>
      </c>
      <c r="H7234" s="11">
        <f>F7234*Summary!$B$7</f>
        <v/>
      </c>
      <c r="I7234" s="11">
        <f>MAX(0,N7234-M7234)</f>
        <v/>
      </c>
      <c r="J7234" s="11">
        <f>MAX(0,M7234-N7234)</f>
        <v/>
      </c>
      <c r="K7234" s="11">
        <f>O7234</f>
        <v/>
      </c>
      <c r="L7234" s="11">
        <f>L7233+IF(K7234&gt;0,K7234*Summary!$B$9,K7234/Summary!$B$9)</f>
        <v/>
      </c>
      <c r="M7234" s="11">
        <f>G7234+H7234</f>
        <v/>
      </c>
      <c r="N7234" s="11">
        <f>Summary!$C$16*Summary!$B$8</f>
        <v/>
      </c>
      <c r="O7234" s="11">
        <f>M7234-N7234</f>
        <v/>
      </c>
    </row>
    <row r="7235">
      <c r="A7235" s="9" t="n">
        <v>45593.375</v>
      </c>
      <c r="B7235" t="n">
        <v>10</v>
      </c>
      <c r="C7235" t="n">
        <v>28</v>
      </c>
      <c r="D7235" t="n">
        <v>9</v>
      </c>
      <c r="E7235" s="10" t="n">
        <v>0.193306</v>
      </c>
      <c r="F7235" s="10" t="n">
        <v>0.3653705676889363</v>
      </c>
      <c r="G7235" s="11">
        <f>E7235*Summary!$B$6</f>
        <v/>
      </c>
      <c r="H7235" s="11">
        <f>F7235*Summary!$B$7</f>
        <v/>
      </c>
      <c r="I7235" s="11">
        <f>MAX(0,N7235-M7235)</f>
        <v/>
      </c>
      <c r="J7235" s="11">
        <f>MAX(0,M7235-N7235)</f>
        <v/>
      </c>
      <c r="K7235" s="11">
        <f>O7235</f>
        <v/>
      </c>
      <c r="L7235" s="11">
        <f>L7234+IF(K7235&gt;0,K7235*Summary!$B$9,K7235/Summary!$B$9)</f>
        <v/>
      </c>
      <c r="M7235" s="11">
        <f>G7235+H7235</f>
        <v/>
      </c>
      <c r="N7235" s="11">
        <f>Summary!$C$16*Summary!$B$8</f>
        <v/>
      </c>
      <c r="O7235" s="11">
        <f>M7235-N7235</f>
        <v/>
      </c>
    </row>
    <row r="7236">
      <c r="A7236" s="9" t="n">
        <v>45593.41666666666</v>
      </c>
      <c r="B7236" t="n">
        <v>10</v>
      </c>
      <c r="C7236" t="n">
        <v>28</v>
      </c>
      <c r="D7236" t="n">
        <v>10</v>
      </c>
      <c r="E7236" s="10" t="n">
        <v>0.392075</v>
      </c>
      <c r="F7236" s="10" t="n">
        <v>0.354355429045303</v>
      </c>
      <c r="G7236" s="11">
        <f>E7236*Summary!$B$6</f>
        <v/>
      </c>
      <c r="H7236" s="11">
        <f>F7236*Summary!$B$7</f>
        <v/>
      </c>
      <c r="I7236" s="11">
        <f>MAX(0,N7236-M7236)</f>
        <v/>
      </c>
      <c r="J7236" s="11">
        <f>MAX(0,M7236-N7236)</f>
        <v/>
      </c>
      <c r="K7236" s="11">
        <f>O7236</f>
        <v/>
      </c>
      <c r="L7236" s="11">
        <f>L7235+IF(K7236&gt;0,K7236*Summary!$B$9,K7236/Summary!$B$9)</f>
        <v/>
      </c>
      <c r="M7236" s="11">
        <f>G7236+H7236</f>
        <v/>
      </c>
      <c r="N7236" s="11">
        <f>Summary!$C$16*Summary!$B$8</f>
        <v/>
      </c>
      <c r="O7236" s="11">
        <f>M7236-N7236</f>
        <v/>
      </c>
    </row>
    <row r="7237">
      <c r="A7237" s="9" t="n">
        <v>45593.45833333334</v>
      </c>
      <c r="B7237" t="n">
        <v>10</v>
      </c>
      <c r="C7237" t="n">
        <v>28</v>
      </c>
      <c r="D7237" t="n">
        <v>11</v>
      </c>
      <c r="E7237" s="10" t="n">
        <v>0.465057</v>
      </c>
      <c r="F7237" s="10" t="n">
        <v>0.3475302594072622</v>
      </c>
      <c r="G7237" s="11">
        <f>E7237*Summary!$B$6</f>
        <v/>
      </c>
      <c r="H7237" s="11">
        <f>F7237*Summary!$B$7</f>
        <v/>
      </c>
      <c r="I7237" s="11">
        <f>MAX(0,N7237-M7237)</f>
        <v/>
      </c>
      <c r="J7237" s="11">
        <f>MAX(0,M7237-N7237)</f>
        <v/>
      </c>
      <c r="K7237" s="11">
        <f>O7237</f>
        <v/>
      </c>
      <c r="L7237" s="11">
        <f>L7236+IF(K7237&gt;0,K7237*Summary!$B$9,K7237/Summary!$B$9)</f>
        <v/>
      </c>
      <c r="M7237" s="11">
        <f>G7237+H7237</f>
        <v/>
      </c>
      <c r="N7237" s="11">
        <f>Summary!$C$16*Summary!$B$8</f>
        <v/>
      </c>
      <c r="O7237" s="11">
        <f>M7237-N7237</f>
        <v/>
      </c>
    </row>
    <row r="7238">
      <c r="A7238" s="9" t="n">
        <v>45593.5</v>
      </c>
      <c r="B7238" t="n">
        <v>10</v>
      </c>
      <c r="C7238" t="n">
        <v>28</v>
      </c>
      <c r="D7238" t="n">
        <v>12</v>
      </c>
      <c r="E7238" s="10" t="n">
        <v>0.462365</v>
      </c>
      <c r="F7238" s="10" t="n">
        <v>0.3423916181739883</v>
      </c>
      <c r="G7238" s="11">
        <f>E7238*Summary!$B$6</f>
        <v/>
      </c>
      <c r="H7238" s="11">
        <f>F7238*Summary!$B$7</f>
        <v/>
      </c>
      <c r="I7238" s="11">
        <f>MAX(0,N7238-M7238)</f>
        <v/>
      </c>
      <c r="J7238" s="11">
        <f>MAX(0,M7238-N7238)</f>
        <v/>
      </c>
      <c r="K7238" s="11">
        <f>O7238</f>
        <v/>
      </c>
      <c r="L7238" s="11">
        <f>L7237+IF(K7238&gt;0,K7238*Summary!$B$9,K7238/Summary!$B$9)</f>
        <v/>
      </c>
      <c r="M7238" s="11">
        <f>G7238+H7238</f>
        <v/>
      </c>
      <c r="N7238" s="11">
        <f>Summary!$C$16*Summary!$B$8</f>
        <v/>
      </c>
      <c r="O7238" s="11">
        <f>M7238-N7238</f>
        <v/>
      </c>
    </row>
    <row r="7239">
      <c r="A7239" s="9" t="n">
        <v>45593.54166666666</v>
      </c>
      <c r="B7239" t="n">
        <v>10</v>
      </c>
      <c r="C7239" t="n">
        <v>28</v>
      </c>
      <c r="D7239" t="n">
        <v>13</v>
      </c>
      <c r="E7239" s="10" t="n">
        <v>0.398665</v>
      </c>
      <c r="F7239" s="10" t="n">
        <v>0.3368576968458473</v>
      </c>
      <c r="G7239" s="11">
        <f>E7239*Summary!$B$6</f>
        <v/>
      </c>
      <c r="H7239" s="11">
        <f>F7239*Summary!$B$7</f>
        <v/>
      </c>
      <c r="I7239" s="11">
        <f>MAX(0,N7239-M7239)</f>
        <v/>
      </c>
      <c r="J7239" s="11">
        <f>MAX(0,M7239-N7239)</f>
        <v/>
      </c>
      <c r="K7239" s="11">
        <f>O7239</f>
        <v/>
      </c>
      <c r="L7239" s="11">
        <f>L7238+IF(K7239&gt;0,K7239*Summary!$B$9,K7239/Summary!$B$9)</f>
        <v/>
      </c>
      <c r="M7239" s="11">
        <f>G7239+H7239</f>
        <v/>
      </c>
      <c r="N7239" s="11">
        <f>Summary!$C$16*Summary!$B$8</f>
        <v/>
      </c>
      <c r="O7239" s="11">
        <f>M7239-N7239</f>
        <v/>
      </c>
    </row>
    <row r="7240">
      <c r="A7240" s="9" t="n">
        <v>45593.58333333334</v>
      </c>
      <c r="B7240" t="n">
        <v>10</v>
      </c>
      <c r="C7240" t="n">
        <v>28</v>
      </c>
      <c r="D7240" t="n">
        <v>14</v>
      </c>
      <c r="E7240" s="10" t="n">
        <v>0.273828</v>
      </c>
      <c r="F7240" s="10" t="n">
        <v>0.327318270556385</v>
      </c>
      <c r="G7240" s="11">
        <f>E7240*Summary!$B$6</f>
        <v/>
      </c>
      <c r="H7240" s="11">
        <f>F7240*Summary!$B$7</f>
        <v/>
      </c>
      <c r="I7240" s="11">
        <f>MAX(0,N7240-M7240)</f>
        <v/>
      </c>
      <c r="J7240" s="11">
        <f>MAX(0,M7240-N7240)</f>
        <v/>
      </c>
      <c r="K7240" s="11">
        <f>O7240</f>
        <v/>
      </c>
      <c r="L7240" s="11">
        <f>L7239+IF(K7240&gt;0,K7240*Summary!$B$9,K7240/Summary!$B$9)</f>
        <v/>
      </c>
      <c r="M7240" s="11">
        <f>G7240+H7240</f>
        <v/>
      </c>
      <c r="N7240" s="11">
        <f>Summary!$C$16*Summary!$B$8</f>
        <v/>
      </c>
      <c r="O7240" s="11">
        <f>M7240-N7240</f>
        <v/>
      </c>
    </row>
    <row r="7241">
      <c r="A7241" s="9" t="n">
        <v>45593.625</v>
      </c>
      <c r="B7241" t="n">
        <v>10</v>
      </c>
      <c r="C7241" t="n">
        <v>28</v>
      </c>
      <c r="D7241" t="n">
        <v>15</v>
      </c>
      <c r="E7241" s="10" t="n">
        <v>0.101842</v>
      </c>
      <c r="F7241" s="10" t="n">
        <v>0.3248411819618837</v>
      </c>
      <c r="G7241" s="11">
        <f>E7241*Summary!$B$6</f>
        <v/>
      </c>
      <c r="H7241" s="11">
        <f>F7241*Summary!$B$7</f>
        <v/>
      </c>
      <c r="I7241" s="11">
        <f>MAX(0,N7241-M7241)</f>
        <v/>
      </c>
      <c r="J7241" s="11">
        <f>MAX(0,M7241-N7241)</f>
        <v/>
      </c>
      <c r="K7241" s="11">
        <f>O7241</f>
        <v/>
      </c>
      <c r="L7241" s="11">
        <f>L7240+IF(K7241&gt;0,K7241*Summary!$B$9,K7241/Summary!$B$9)</f>
        <v/>
      </c>
      <c r="M7241" s="11">
        <f>G7241+H7241</f>
        <v/>
      </c>
      <c r="N7241" s="11">
        <f>Summary!$C$16*Summary!$B$8</f>
        <v/>
      </c>
      <c r="O7241" s="11">
        <f>M7241-N7241</f>
        <v/>
      </c>
    </row>
    <row r="7242">
      <c r="A7242" s="9" t="n">
        <v>45593.66666666666</v>
      </c>
      <c r="B7242" t="n">
        <v>10</v>
      </c>
      <c r="C7242" t="n">
        <v>28</v>
      </c>
      <c r="D7242" t="n">
        <v>16</v>
      </c>
      <c r="E7242" s="10" t="n">
        <v>0</v>
      </c>
      <c r="F7242" s="10" t="n">
        <v>0.3294791350749924</v>
      </c>
      <c r="G7242" s="11">
        <f>E7242*Summary!$B$6</f>
        <v/>
      </c>
      <c r="H7242" s="11">
        <f>F7242*Summary!$B$7</f>
        <v/>
      </c>
      <c r="I7242" s="11">
        <f>MAX(0,N7242-M7242)</f>
        <v/>
      </c>
      <c r="J7242" s="11">
        <f>MAX(0,M7242-N7242)</f>
        <v/>
      </c>
      <c r="K7242" s="11">
        <f>O7242</f>
        <v/>
      </c>
      <c r="L7242" s="11">
        <f>L7241+IF(K7242&gt;0,K7242*Summary!$B$9,K7242/Summary!$B$9)</f>
        <v/>
      </c>
      <c r="M7242" s="11">
        <f>G7242+H7242</f>
        <v/>
      </c>
      <c r="N7242" s="11">
        <f>Summary!$C$16*Summary!$B$8</f>
        <v/>
      </c>
      <c r="O7242" s="11">
        <f>M7242-N7242</f>
        <v/>
      </c>
    </row>
    <row r="7243">
      <c r="A7243" s="9" t="n">
        <v>45593.70833333334</v>
      </c>
      <c r="B7243" t="n">
        <v>10</v>
      </c>
      <c r="C7243" t="n">
        <v>28</v>
      </c>
      <c r="D7243" t="n">
        <v>17</v>
      </c>
      <c r="E7243" s="10" t="n">
        <v>0</v>
      </c>
      <c r="F7243" s="10" t="n">
        <v>0.3391239693897526</v>
      </c>
      <c r="G7243" s="11">
        <f>E7243*Summary!$B$6</f>
        <v/>
      </c>
      <c r="H7243" s="11">
        <f>F7243*Summary!$B$7</f>
        <v/>
      </c>
      <c r="I7243" s="11">
        <f>MAX(0,N7243-M7243)</f>
        <v/>
      </c>
      <c r="J7243" s="11">
        <f>MAX(0,M7243-N7243)</f>
        <v/>
      </c>
      <c r="K7243" s="11">
        <f>O7243</f>
        <v/>
      </c>
      <c r="L7243" s="11">
        <f>L7242+IF(K7243&gt;0,K7243*Summary!$B$9,K7243/Summary!$B$9)</f>
        <v/>
      </c>
      <c r="M7243" s="11">
        <f>G7243+H7243</f>
        <v/>
      </c>
      <c r="N7243" s="11">
        <f>Summary!$C$16*Summary!$B$8</f>
        <v/>
      </c>
      <c r="O7243" s="11">
        <f>M7243-N7243</f>
        <v/>
      </c>
    </row>
    <row r="7244">
      <c r="A7244" s="9" t="n">
        <v>45593.75</v>
      </c>
      <c r="B7244" t="n">
        <v>10</v>
      </c>
      <c r="C7244" t="n">
        <v>28</v>
      </c>
      <c r="D7244" t="n">
        <v>18</v>
      </c>
      <c r="E7244" s="10" t="n">
        <v>0</v>
      </c>
      <c r="F7244" s="10" t="n">
        <v>0.3475566114135868</v>
      </c>
      <c r="G7244" s="11">
        <f>E7244*Summary!$B$6</f>
        <v/>
      </c>
      <c r="H7244" s="11">
        <f>F7244*Summary!$B$7</f>
        <v/>
      </c>
      <c r="I7244" s="11">
        <f>MAX(0,N7244-M7244)</f>
        <v/>
      </c>
      <c r="J7244" s="11">
        <f>MAX(0,M7244-N7244)</f>
        <v/>
      </c>
      <c r="K7244" s="11">
        <f>O7244</f>
        <v/>
      </c>
      <c r="L7244" s="11">
        <f>L7243+IF(K7244&gt;0,K7244*Summary!$B$9,K7244/Summary!$B$9)</f>
        <v/>
      </c>
      <c r="M7244" s="11">
        <f>G7244+H7244</f>
        <v/>
      </c>
      <c r="N7244" s="11">
        <f>Summary!$C$16*Summary!$B$8</f>
        <v/>
      </c>
      <c r="O7244" s="11">
        <f>M7244-N7244</f>
        <v/>
      </c>
    </row>
    <row r="7245">
      <c r="A7245" s="9" t="n">
        <v>45593.79166666666</v>
      </c>
      <c r="B7245" t="n">
        <v>10</v>
      </c>
      <c r="C7245" t="n">
        <v>28</v>
      </c>
      <c r="D7245" t="n">
        <v>19</v>
      </c>
      <c r="E7245" s="10" t="n">
        <v>0</v>
      </c>
      <c r="F7245" s="10" t="n">
        <v>0.352774308665834</v>
      </c>
      <c r="G7245" s="11">
        <f>E7245*Summary!$B$6</f>
        <v/>
      </c>
      <c r="H7245" s="11">
        <f>F7245*Summary!$B$7</f>
        <v/>
      </c>
      <c r="I7245" s="11">
        <f>MAX(0,N7245-M7245)</f>
        <v/>
      </c>
      <c r="J7245" s="11">
        <f>MAX(0,M7245-N7245)</f>
        <v/>
      </c>
      <c r="K7245" s="11">
        <f>O7245</f>
        <v/>
      </c>
      <c r="L7245" s="11">
        <f>L7244+IF(K7245&gt;0,K7245*Summary!$B$9,K7245/Summary!$B$9)</f>
        <v/>
      </c>
      <c r="M7245" s="11">
        <f>G7245+H7245</f>
        <v/>
      </c>
      <c r="N7245" s="11">
        <f>Summary!$C$16*Summary!$B$8</f>
        <v/>
      </c>
      <c r="O7245" s="11">
        <f>M7245-N7245</f>
        <v/>
      </c>
    </row>
    <row r="7246">
      <c r="A7246" s="9" t="n">
        <v>45593.83333333334</v>
      </c>
      <c r="B7246" t="n">
        <v>10</v>
      </c>
      <c r="C7246" t="n">
        <v>28</v>
      </c>
      <c r="D7246" t="n">
        <v>20</v>
      </c>
      <c r="E7246" s="10" t="n">
        <v>0</v>
      </c>
      <c r="F7246" s="10" t="n">
        <v>0.3529324207037809</v>
      </c>
      <c r="G7246" s="11">
        <f>E7246*Summary!$B$6</f>
        <v/>
      </c>
      <c r="H7246" s="11">
        <f>F7246*Summary!$B$7</f>
        <v/>
      </c>
      <c r="I7246" s="11">
        <f>MAX(0,N7246-M7246)</f>
        <v/>
      </c>
      <c r="J7246" s="11">
        <f>MAX(0,M7246-N7246)</f>
        <v/>
      </c>
      <c r="K7246" s="11">
        <f>O7246</f>
        <v/>
      </c>
      <c r="L7246" s="11">
        <f>L7245+IF(K7246&gt;0,K7246*Summary!$B$9,K7246/Summary!$B$9)</f>
        <v/>
      </c>
      <c r="M7246" s="11">
        <f>G7246+H7246</f>
        <v/>
      </c>
      <c r="N7246" s="11">
        <f>Summary!$C$16*Summary!$B$8</f>
        <v/>
      </c>
      <c r="O7246" s="11">
        <f>M7246-N7246</f>
        <v/>
      </c>
    </row>
    <row r="7247">
      <c r="A7247" s="9" t="n">
        <v>45593.875</v>
      </c>
      <c r="B7247" t="n">
        <v>10</v>
      </c>
      <c r="C7247" t="n">
        <v>28</v>
      </c>
      <c r="D7247" t="n">
        <v>21</v>
      </c>
      <c r="E7247" s="10" t="n">
        <v>0</v>
      </c>
      <c r="F7247" s="10" t="n">
        <v>0.3485316356475926</v>
      </c>
      <c r="G7247" s="11">
        <f>E7247*Summary!$B$6</f>
        <v/>
      </c>
      <c r="H7247" s="11">
        <f>F7247*Summary!$B$7</f>
        <v/>
      </c>
      <c r="I7247" s="11">
        <f>MAX(0,N7247-M7247)</f>
        <v/>
      </c>
      <c r="J7247" s="11">
        <f>MAX(0,M7247-N7247)</f>
        <v/>
      </c>
      <c r="K7247" s="11">
        <f>O7247</f>
        <v/>
      </c>
      <c r="L7247" s="11">
        <f>L7246+IF(K7247&gt;0,K7247*Summary!$B$9,K7247/Summary!$B$9)</f>
        <v/>
      </c>
      <c r="M7247" s="11">
        <f>G7247+H7247</f>
        <v/>
      </c>
      <c r="N7247" s="11">
        <f>Summary!$C$16*Summary!$B$8</f>
        <v/>
      </c>
      <c r="O7247" s="11">
        <f>M7247-N7247</f>
        <v/>
      </c>
    </row>
    <row r="7248">
      <c r="A7248" s="9" t="n">
        <v>45593.91666666666</v>
      </c>
      <c r="B7248" t="n">
        <v>10</v>
      </c>
      <c r="C7248" t="n">
        <v>28</v>
      </c>
      <c r="D7248" t="n">
        <v>22</v>
      </c>
      <c r="E7248" s="10" t="n">
        <v>0</v>
      </c>
      <c r="F7248" s="10" t="n">
        <v>0.3458173789961709</v>
      </c>
      <c r="G7248" s="11">
        <f>E7248*Summary!$B$6</f>
        <v/>
      </c>
      <c r="H7248" s="11">
        <f>F7248*Summary!$B$7</f>
        <v/>
      </c>
      <c r="I7248" s="11">
        <f>MAX(0,N7248-M7248)</f>
        <v/>
      </c>
      <c r="J7248" s="11">
        <f>MAX(0,M7248-N7248)</f>
        <v/>
      </c>
      <c r="K7248" s="11">
        <f>O7248</f>
        <v/>
      </c>
      <c r="L7248" s="11">
        <f>L7247+IF(K7248&gt;0,K7248*Summary!$B$9,K7248/Summary!$B$9)</f>
        <v/>
      </c>
      <c r="M7248" s="11">
        <f>G7248+H7248</f>
        <v/>
      </c>
      <c r="N7248" s="11">
        <f>Summary!$C$16*Summary!$B$8</f>
        <v/>
      </c>
      <c r="O7248" s="11">
        <f>M7248-N7248</f>
        <v/>
      </c>
    </row>
    <row r="7249">
      <c r="A7249" s="9" t="n">
        <v>45593.95833333334</v>
      </c>
      <c r="B7249" t="n">
        <v>10</v>
      </c>
      <c r="C7249" t="n">
        <v>28</v>
      </c>
      <c r="D7249" t="n">
        <v>23</v>
      </c>
      <c r="E7249" s="10" t="n">
        <v>0</v>
      </c>
      <c r="F7249" s="10" t="n">
        <v>0.3368840488521717</v>
      </c>
      <c r="G7249" s="11">
        <f>E7249*Summary!$B$6</f>
        <v/>
      </c>
      <c r="H7249" s="11">
        <f>F7249*Summary!$B$7</f>
        <v/>
      </c>
      <c r="I7249" s="11">
        <f>MAX(0,N7249-M7249)</f>
        <v/>
      </c>
      <c r="J7249" s="11">
        <f>MAX(0,M7249-N7249)</f>
        <v/>
      </c>
      <c r="K7249" s="11">
        <f>O7249</f>
        <v/>
      </c>
      <c r="L7249" s="11">
        <f>L7248+IF(K7249&gt;0,K7249*Summary!$B$9,K7249/Summary!$B$9)</f>
        <v/>
      </c>
      <c r="M7249" s="11">
        <f>G7249+H7249</f>
        <v/>
      </c>
      <c r="N7249" s="11">
        <f>Summary!$C$16*Summary!$B$8</f>
        <v/>
      </c>
      <c r="O7249" s="11">
        <f>M7249-N7249</f>
        <v/>
      </c>
    </row>
    <row r="7250">
      <c r="A7250" s="9" t="n">
        <v>45594</v>
      </c>
      <c r="B7250" t="n">
        <v>10</v>
      </c>
      <c r="C7250" t="n">
        <v>29</v>
      </c>
      <c r="D7250" t="n">
        <v>0</v>
      </c>
      <c r="E7250" s="10" t="n">
        <v>0</v>
      </c>
      <c r="F7250" s="10" t="n">
        <v>0.4122244349338643</v>
      </c>
      <c r="G7250" s="11">
        <f>E7250*Summary!$B$6</f>
        <v/>
      </c>
      <c r="H7250" s="11">
        <f>F7250*Summary!$B$7</f>
        <v/>
      </c>
      <c r="I7250" s="11">
        <f>MAX(0,N7250-M7250)</f>
        <v/>
      </c>
      <c r="J7250" s="11">
        <f>MAX(0,M7250-N7250)</f>
        <v/>
      </c>
      <c r="K7250" s="11">
        <f>O7250</f>
        <v/>
      </c>
      <c r="L7250" s="11">
        <f>L7249+IF(K7250&gt;0,K7250*Summary!$B$9,K7250/Summary!$B$9)</f>
        <v/>
      </c>
      <c r="M7250" s="11">
        <f>G7250+H7250</f>
        <v/>
      </c>
      <c r="N7250" s="11">
        <f>Summary!$C$16*Summary!$B$8</f>
        <v/>
      </c>
      <c r="O7250" s="11">
        <f>M7250-N7250</f>
        <v/>
      </c>
    </row>
    <row r="7251">
      <c r="A7251" s="9" t="n">
        <v>45594.04166666666</v>
      </c>
      <c r="B7251" t="n">
        <v>10</v>
      </c>
      <c r="C7251" t="n">
        <v>29</v>
      </c>
      <c r="D7251" t="n">
        <v>1</v>
      </c>
      <c r="E7251" s="10" t="n">
        <v>0</v>
      </c>
      <c r="F7251" s="10" t="n">
        <v>0.3491377317930556</v>
      </c>
      <c r="G7251" s="11">
        <f>E7251*Summary!$B$6</f>
        <v/>
      </c>
      <c r="H7251" s="11">
        <f>F7251*Summary!$B$7</f>
        <v/>
      </c>
      <c r="I7251" s="11">
        <f>MAX(0,N7251-M7251)</f>
        <v/>
      </c>
      <c r="J7251" s="11">
        <f>MAX(0,M7251-N7251)</f>
        <v/>
      </c>
      <c r="K7251" s="11">
        <f>O7251</f>
        <v/>
      </c>
      <c r="L7251" s="11">
        <f>L7250+IF(K7251&gt;0,K7251*Summary!$B$9,K7251/Summary!$B$9)</f>
        <v/>
      </c>
      <c r="M7251" s="11">
        <f>G7251+H7251</f>
        <v/>
      </c>
      <c r="N7251" s="11">
        <f>Summary!$C$16*Summary!$B$8</f>
        <v/>
      </c>
      <c r="O7251" s="11">
        <f>M7251-N7251</f>
        <v/>
      </c>
    </row>
    <row r="7252">
      <c r="A7252" s="9" t="n">
        <v>45594.08333333334</v>
      </c>
      <c r="B7252" t="n">
        <v>10</v>
      </c>
      <c r="C7252" t="n">
        <v>29</v>
      </c>
      <c r="D7252" t="n">
        <v>2</v>
      </c>
      <c r="E7252" s="10" t="n">
        <v>0</v>
      </c>
      <c r="F7252" s="10" t="n">
        <v>0.3531959407670258</v>
      </c>
      <c r="G7252" s="11">
        <f>E7252*Summary!$B$6</f>
        <v/>
      </c>
      <c r="H7252" s="11">
        <f>F7252*Summary!$B$7</f>
        <v/>
      </c>
      <c r="I7252" s="11">
        <f>MAX(0,N7252-M7252)</f>
        <v/>
      </c>
      <c r="J7252" s="11">
        <f>MAX(0,M7252-N7252)</f>
        <v/>
      </c>
      <c r="K7252" s="11">
        <f>O7252</f>
        <v/>
      </c>
      <c r="L7252" s="11">
        <f>L7251+IF(K7252&gt;0,K7252*Summary!$B$9,K7252/Summary!$B$9)</f>
        <v/>
      </c>
      <c r="M7252" s="11">
        <f>G7252+H7252</f>
        <v/>
      </c>
      <c r="N7252" s="11">
        <f>Summary!$C$16*Summary!$B$8</f>
        <v/>
      </c>
      <c r="O7252" s="11">
        <f>M7252-N7252</f>
        <v/>
      </c>
    </row>
    <row r="7253">
      <c r="A7253" s="9" t="n">
        <v>45594.125</v>
      </c>
      <c r="B7253" t="n">
        <v>10</v>
      </c>
      <c r="C7253" t="n">
        <v>29</v>
      </c>
      <c r="D7253" t="n">
        <v>3</v>
      </c>
      <c r="E7253" s="10" t="n">
        <v>0</v>
      </c>
      <c r="F7253" s="10" t="n">
        <v>0.3643691914486059</v>
      </c>
      <c r="G7253" s="11">
        <f>E7253*Summary!$B$6</f>
        <v/>
      </c>
      <c r="H7253" s="11">
        <f>F7253*Summary!$B$7</f>
        <v/>
      </c>
      <c r="I7253" s="11">
        <f>MAX(0,N7253-M7253)</f>
        <v/>
      </c>
      <c r="J7253" s="11">
        <f>MAX(0,M7253-N7253)</f>
        <v/>
      </c>
      <c r="K7253" s="11">
        <f>O7253</f>
        <v/>
      </c>
      <c r="L7253" s="11">
        <f>L7252+IF(K7253&gt;0,K7253*Summary!$B$9,K7253/Summary!$B$9)</f>
        <v/>
      </c>
      <c r="M7253" s="11">
        <f>G7253+H7253</f>
        <v/>
      </c>
      <c r="N7253" s="11">
        <f>Summary!$C$16*Summary!$B$8</f>
        <v/>
      </c>
      <c r="O7253" s="11">
        <f>M7253-N7253</f>
        <v/>
      </c>
    </row>
    <row r="7254">
      <c r="A7254" s="9" t="n">
        <v>45594.16666666666</v>
      </c>
      <c r="B7254" t="n">
        <v>10</v>
      </c>
      <c r="C7254" t="n">
        <v>29</v>
      </c>
      <c r="D7254" t="n">
        <v>4</v>
      </c>
      <c r="E7254" s="10" t="n">
        <v>0</v>
      </c>
      <c r="F7254" s="10" t="n">
        <v>0.3724329053838973</v>
      </c>
      <c r="G7254" s="11">
        <f>E7254*Summary!$B$6</f>
        <v/>
      </c>
      <c r="H7254" s="11">
        <f>F7254*Summary!$B$7</f>
        <v/>
      </c>
      <c r="I7254" s="11">
        <f>MAX(0,N7254-M7254)</f>
        <v/>
      </c>
      <c r="J7254" s="11">
        <f>MAX(0,M7254-N7254)</f>
        <v/>
      </c>
      <c r="K7254" s="11">
        <f>O7254</f>
        <v/>
      </c>
      <c r="L7254" s="11">
        <f>L7253+IF(K7254&gt;0,K7254*Summary!$B$9,K7254/Summary!$B$9)</f>
        <v/>
      </c>
      <c r="M7254" s="11">
        <f>G7254+H7254</f>
        <v/>
      </c>
      <c r="N7254" s="11">
        <f>Summary!$C$16*Summary!$B$8</f>
        <v/>
      </c>
      <c r="O7254" s="11">
        <f>M7254-N7254</f>
        <v/>
      </c>
    </row>
    <row r="7255">
      <c r="A7255" s="9" t="n">
        <v>45594.20833333334</v>
      </c>
      <c r="B7255" t="n">
        <v>10</v>
      </c>
      <c r="C7255" t="n">
        <v>29</v>
      </c>
      <c r="D7255" t="n">
        <v>5</v>
      </c>
      <c r="E7255" s="10" t="n">
        <v>0</v>
      </c>
      <c r="F7255" s="10" t="n">
        <v>0.3755951461428351</v>
      </c>
      <c r="G7255" s="11">
        <f>E7255*Summary!$B$6</f>
        <v/>
      </c>
      <c r="H7255" s="11">
        <f>F7255*Summary!$B$7</f>
        <v/>
      </c>
      <c r="I7255" s="11">
        <f>MAX(0,N7255-M7255)</f>
        <v/>
      </c>
      <c r="J7255" s="11">
        <f>MAX(0,M7255-N7255)</f>
        <v/>
      </c>
      <c r="K7255" s="11">
        <f>O7255</f>
        <v/>
      </c>
      <c r="L7255" s="11">
        <f>L7254+IF(K7255&gt;0,K7255*Summary!$B$9,K7255/Summary!$B$9)</f>
        <v/>
      </c>
      <c r="M7255" s="11">
        <f>G7255+H7255</f>
        <v/>
      </c>
      <c r="N7255" s="11">
        <f>Summary!$C$16*Summary!$B$8</f>
        <v/>
      </c>
      <c r="O7255" s="11">
        <f>M7255-N7255</f>
        <v/>
      </c>
    </row>
    <row r="7256">
      <c r="A7256" s="9" t="n">
        <v>45594.25</v>
      </c>
      <c r="B7256" t="n">
        <v>10</v>
      </c>
      <c r="C7256" t="n">
        <v>29</v>
      </c>
      <c r="D7256" t="n">
        <v>6</v>
      </c>
      <c r="E7256" s="10" t="n">
        <v>0</v>
      </c>
      <c r="F7256" s="10" t="n">
        <v>0.3765174663641919</v>
      </c>
      <c r="G7256" s="11">
        <f>E7256*Summary!$B$6</f>
        <v/>
      </c>
      <c r="H7256" s="11">
        <f>F7256*Summary!$B$7</f>
        <v/>
      </c>
      <c r="I7256" s="11">
        <f>MAX(0,N7256-M7256)</f>
        <v/>
      </c>
      <c r="J7256" s="11">
        <f>MAX(0,M7256-N7256)</f>
        <v/>
      </c>
      <c r="K7256" s="11">
        <f>O7256</f>
        <v/>
      </c>
      <c r="L7256" s="11">
        <f>L7255+IF(K7256&gt;0,K7256*Summary!$B$9,K7256/Summary!$B$9)</f>
        <v/>
      </c>
      <c r="M7256" s="11">
        <f>G7256+H7256</f>
        <v/>
      </c>
      <c r="N7256" s="11">
        <f>Summary!$C$16*Summary!$B$8</f>
        <v/>
      </c>
      <c r="O7256" s="11">
        <f>M7256-N7256</f>
        <v/>
      </c>
    </row>
    <row r="7257">
      <c r="A7257" s="9" t="n">
        <v>45594.29166666666</v>
      </c>
      <c r="B7257" t="n">
        <v>10</v>
      </c>
      <c r="C7257" t="n">
        <v>29</v>
      </c>
      <c r="D7257" t="n">
        <v>7</v>
      </c>
      <c r="E7257" s="10" t="n">
        <v>0.011596</v>
      </c>
      <c r="F7257" s="10" t="n">
        <v>0.3740140257633662</v>
      </c>
      <c r="G7257" s="11">
        <f>E7257*Summary!$B$6</f>
        <v/>
      </c>
      <c r="H7257" s="11">
        <f>F7257*Summary!$B$7</f>
        <v/>
      </c>
      <c r="I7257" s="11">
        <f>MAX(0,N7257-M7257)</f>
        <v/>
      </c>
      <c r="J7257" s="11">
        <f>MAX(0,M7257-N7257)</f>
        <v/>
      </c>
      <c r="K7257" s="11">
        <f>O7257</f>
        <v/>
      </c>
      <c r="L7257" s="11">
        <f>L7256+IF(K7257&gt;0,K7257*Summary!$B$9,K7257/Summary!$B$9)</f>
        <v/>
      </c>
      <c r="M7257" s="11">
        <f>G7257+H7257</f>
        <v/>
      </c>
      <c r="N7257" s="11">
        <f>Summary!$C$16*Summary!$B$8</f>
        <v/>
      </c>
      <c r="O7257" s="11">
        <f>M7257-N7257</f>
        <v/>
      </c>
    </row>
    <row r="7258">
      <c r="A7258" s="9" t="n">
        <v>45594.33333333334</v>
      </c>
      <c r="B7258" t="n">
        <v>10</v>
      </c>
      <c r="C7258" t="n">
        <v>29</v>
      </c>
      <c r="D7258" t="n">
        <v>8</v>
      </c>
      <c r="E7258" s="10" t="n">
        <v>0.045495</v>
      </c>
      <c r="F7258" s="10" t="n">
        <v>0.367162504119001</v>
      </c>
      <c r="G7258" s="11">
        <f>E7258*Summary!$B$6</f>
        <v/>
      </c>
      <c r="H7258" s="11">
        <f>F7258*Summary!$B$7</f>
        <v/>
      </c>
      <c r="I7258" s="11">
        <f>MAX(0,N7258-M7258)</f>
        <v/>
      </c>
      <c r="J7258" s="11">
        <f>MAX(0,M7258-N7258)</f>
        <v/>
      </c>
      <c r="K7258" s="11">
        <f>O7258</f>
        <v/>
      </c>
      <c r="L7258" s="11">
        <f>L7257+IF(K7258&gt;0,K7258*Summary!$B$9,K7258/Summary!$B$9)</f>
        <v/>
      </c>
      <c r="M7258" s="11">
        <f>G7258+H7258</f>
        <v/>
      </c>
      <c r="N7258" s="11">
        <f>Summary!$C$16*Summary!$B$8</f>
        <v/>
      </c>
      <c r="O7258" s="11">
        <f>M7258-N7258</f>
        <v/>
      </c>
    </row>
    <row r="7259">
      <c r="A7259" s="9" t="n">
        <v>45594.375</v>
      </c>
      <c r="B7259" t="n">
        <v>10</v>
      </c>
      <c r="C7259" t="n">
        <v>29</v>
      </c>
      <c r="D7259" t="n">
        <v>9</v>
      </c>
      <c r="E7259" s="10" t="n">
        <v>0.262099</v>
      </c>
      <c r="F7259" s="10" t="n">
        <v>0.356331829519639</v>
      </c>
      <c r="G7259" s="11">
        <f>E7259*Summary!$B$6</f>
        <v/>
      </c>
      <c r="H7259" s="11">
        <f>F7259*Summary!$B$7</f>
        <v/>
      </c>
      <c r="I7259" s="11">
        <f>MAX(0,N7259-M7259)</f>
        <v/>
      </c>
      <c r="J7259" s="11">
        <f>MAX(0,M7259-N7259)</f>
        <v/>
      </c>
      <c r="K7259" s="11">
        <f>O7259</f>
        <v/>
      </c>
      <c r="L7259" s="11">
        <f>L7258+IF(K7259&gt;0,K7259*Summary!$B$9,K7259/Summary!$B$9)</f>
        <v/>
      </c>
      <c r="M7259" s="11">
        <f>G7259+H7259</f>
        <v/>
      </c>
      <c r="N7259" s="11">
        <f>Summary!$C$16*Summary!$B$8</f>
        <v/>
      </c>
      <c r="O7259" s="11">
        <f>M7259-N7259</f>
        <v/>
      </c>
    </row>
    <row r="7260">
      <c r="A7260" s="9" t="n">
        <v>45594.41666666666</v>
      </c>
      <c r="B7260" t="n">
        <v>10</v>
      </c>
      <c r="C7260" t="n">
        <v>29</v>
      </c>
      <c r="D7260" t="n">
        <v>10</v>
      </c>
      <c r="E7260" s="10" t="n">
        <v>0.431913</v>
      </c>
      <c r="F7260" s="10" t="n">
        <v>0.3541182609883826</v>
      </c>
      <c r="G7260" s="11">
        <f>E7260*Summary!$B$6</f>
        <v/>
      </c>
      <c r="H7260" s="11">
        <f>F7260*Summary!$B$7</f>
        <v/>
      </c>
      <c r="I7260" s="11">
        <f>MAX(0,N7260-M7260)</f>
        <v/>
      </c>
      <c r="J7260" s="11">
        <f>MAX(0,M7260-N7260)</f>
        <v/>
      </c>
      <c r="K7260" s="11">
        <f>O7260</f>
        <v/>
      </c>
      <c r="L7260" s="11">
        <f>L7259+IF(K7260&gt;0,K7260*Summary!$B$9,K7260/Summary!$B$9)</f>
        <v/>
      </c>
      <c r="M7260" s="11">
        <f>G7260+H7260</f>
        <v/>
      </c>
      <c r="N7260" s="11">
        <f>Summary!$C$16*Summary!$B$8</f>
        <v/>
      </c>
      <c r="O7260" s="11">
        <f>M7260-N7260</f>
        <v/>
      </c>
    </row>
    <row r="7261">
      <c r="A7261" s="9" t="n">
        <v>45594.45833333334</v>
      </c>
      <c r="B7261" t="n">
        <v>10</v>
      </c>
      <c r="C7261" t="n">
        <v>29</v>
      </c>
      <c r="D7261" t="n">
        <v>11</v>
      </c>
      <c r="E7261" s="10" t="n">
        <v>0.486994</v>
      </c>
      <c r="F7261" s="10" t="n">
        <v>0.356489941557586</v>
      </c>
      <c r="G7261" s="11">
        <f>E7261*Summary!$B$6</f>
        <v/>
      </c>
      <c r="H7261" s="11">
        <f>F7261*Summary!$B$7</f>
        <v/>
      </c>
      <c r="I7261" s="11">
        <f>MAX(0,N7261-M7261)</f>
        <v/>
      </c>
      <c r="J7261" s="11">
        <f>MAX(0,M7261-N7261)</f>
        <v/>
      </c>
      <c r="K7261" s="11">
        <f>O7261</f>
        <v/>
      </c>
      <c r="L7261" s="11">
        <f>L7260+IF(K7261&gt;0,K7261*Summary!$B$9,K7261/Summary!$B$9)</f>
        <v/>
      </c>
      <c r="M7261" s="11">
        <f>G7261+H7261</f>
        <v/>
      </c>
      <c r="N7261" s="11">
        <f>Summary!$C$16*Summary!$B$8</f>
        <v/>
      </c>
      <c r="O7261" s="11">
        <f>M7261-N7261</f>
        <v/>
      </c>
    </row>
    <row r="7262">
      <c r="A7262" s="9" t="n">
        <v>45594.5</v>
      </c>
      <c r="B7262" t="n">
        <v>10</v>
      </c>
      <c r="C7262" t="n">
        <v>29</v>
      </c>
      <c r="D7262" t="n">
        <v>12</v>
      </c>
      <c r="E7262" s="10" t="n">
        <v>0.476959</v>
      </c>
      <c r="F7262" s="10" t="n">
        <v>0.3606008545442051</v>
      </c>
      <c r="G7262" s="11">
        <f>E7262*Summary!$B$6</f>
        <v/>
      </c>
      <c r="H7262" s="11">
        <f>F7262*Summary!$B$7</f>
        <v/>
      </c>
      <c r="I7262" s="11">
        <f>MAX(0,N7262-M7262)</f>
        <v/>
      </c>
      <c r="J7262" s="11">
        <f>MAX(0,M7262-N7262)</f>
        <v/>
      </c>
      <c r="K7262" s="11">
        <f>O7262</f>
        <v/>
      </c>
      <c r="L7262" s="11">
        <f>L7261+IF(K7262&gt;0,K7262*Summary!$B$9,K7262/Summary!$B$9)</f>
        <v/>
      </c>
      <c r="M7262" s="11">
        <f>G7262+H7262</f>
        <v/>
      </c>
      <c r="N7262" s="11">
        <f>Summary!$C$16*Summary!$B$8</f>
        <v/>
      </c>
      <c r="O7262" s="11">
        <f>M7262-N7262</f>
        <v/>
      </c>
    </row>
    <row r="7263">
      <c r="A7263" s="9" t="n">
        <v>45594.54166666666</v>
      </c>
      <c r="B7263" t="n">
        <v>10</v>
      </c>
      <c r="C7263" t="n">
        <v>29</v>
      </c>
      <c r="D7263" t="n">
        <v>13</v>
      </c>
      <c r="E7263" s="10" t="n">
        <v>0.406356</v>
      </c>
      <c r="F7263" s="10" t="n">
        <v>0.3725910174218442</v>
      </c>
      <c r="G7263" s="11">
        <f>E7263*Summary!$B$6</f>
        <v/>
      </c>
      <c r="H7263" s="11">
        <f>F7263*Summary!$B$7</f>
        <v/>
      </c>
      <c r="I7263" s="11">
        <f>MAX(0,N7263-M7263)</f>
        <v/>
      </c>
      <c r="J7263" s="11">
        <f>MAX(0,M7263-N7263)</f>
        <v/>
      </c>
      <c r="K7263" s="11">
        <f>O7263</f>
        <v/>
      </c>
      <c r="L7263" s="11">
        <f>L7262+IF(K7263&gt;0,K7263*Summary!$B$9,K7263/Summary!$B$9)</f>
        <v/>
      </c>
      <c r="M7263" s="11">
        <f>G7263+H7263</f>
        <v/>
      </c>
      <c r="N7263" s="11">
        <f>Summary!$C$16*Summary!$B$8</f>
        <v/>
      </c>
      <c r="O7263" s="11">
        <f>M7263-N7263</f>
        <v/>
      </c>
    </row>
    <row r="7264">
      <c r="A7264" s="9" t="n">
        <v>45594.58333333334</v>
      </c>
      <c r="B7264" t="n">
        <v>10</v>
      </c>
      <c r="C7264" t="n">
        <v>29</v>
      </c>
      <c r="D7264" t="n">
        <v>14</v>
      </c>
      <c r="E7264" s="10" t="n">
        <v>0.271345</v>
      </c>
      <c r="F7264" s="10" t="n">
        <v>0.3780458827310119</v>
      </c>
      <c r="G7264" s="11">
        <f>E7264*Summary!$B$6</f>
        <v/>
      </c>
      <c r="H7264" s="11">
        <f>F7264*Summary!$B$7</f>
        <v/>
      </c>
      <c r="I7264" s="11">
        <f>MAX(0,N7264-M7264)</f>
        <v/>
      </c>
      <c r="J7264" s="11">
        <f>MAX(0,M7264-N7264)</f>
        <v/>
      </c>
      <c r="K7264" s="11">
        <f>O7264</f>
        <v/>
      </c>
      <c r="L7264" s="11">
        <f>L7263+IF(K7264&gt;0,K7264*Summary!$B$9,K7264/Summary!$B$9)</f>
        <v/>
      </c>
      <c r="M7264" s="11">
        <f>G7264+H7264</f>
        <v/>
      </c>
      <c r="N7264" s="11">
        <f>Summary!$C$16*Summary!$B$8</f>
        <v/>
      </c>
      <c r="O7264" s="11">
        <f>M7264-N7264</f>
        <v/>
      </c>
    </row>
    <row r="7265">
      <c r="A7265" s="9" t="n">
        <v>45594.625</v>
      </c>
      <c r="B7265" t="n">
        <v>10</v>
      </c>
      <c r="C7265" t="n">
        <v>29</v>
      </c>
      <c r="D7265" t="n">
        <v>15</v>
      </c>
      <c r="E7265" s="10" t="n">
        <v>0.116833</v>
      </c>
      <c r="F7265" s="10" t="n">
        <v>0.3932509903802377</v>
      </c>
      <c r="G7265" s="11">
        <f>E7265*Summary!$B$6</f>
        <v/>
      </c>
      <c r="H7265" s="11">
        <f>F7265*Summary!$B$7</f>
        <v/>
      </c>
      <c r="I7265" s="11">
        <f>MAX(0,N7265-M7265)</f>
        <v/>
      </c>
      <c r="J7265" s="11">
        <f>MAX(0,M7265-N7265)</f>
        <v/>
      </c>
      <c r="K7265" s="11">
        <f>O7265</f>
        <v/>
      </c>
      <c r="L7265" s="11">
        <f>L7264+IF(K7265&gt;0,K7265*Summary!$B$9,K7265/Summary!$B$9)</f>
        <v/>
      </c>
      <c r="M7265" s="11">
        <f>G7265+H7265</f>
        <v/>
      </c>
      <c r="N7265" s="11">
        <f>Summary!$C$16*Summary!$B$8</f>
        <v/>
      </c>
      <c r="O7265" s="11">
        <f>M7265-N7265</f>
        <v/>
      </c>
    </row>
    <row r="7266">
      <c r="A7266" s="9" t="n">
        <v>45594.66666666666</v>
      </c>
      <c r="B7266" t="n">
        <v>10</v>
      </c>
      <c r="C7266" t="n">
        <v>29</v>
      </c>
      <c r="D7266" t="n">
        <v>16</v>
      </c>
      <c r="E7266" s="10" t="n">
        <v>0</v>
      </c>
      <c r="F7266" s="10" t="n">
        <v>0.4145697634967432</v>
      </c>
      <c r="G7266" s="11">
        <f>E7266*Summary!$B$6</f>
        <v/>
      </c>
      <c r="H7266" s="11">
        <f>F7266*Summary!$B$7</f>
        <v/>
      </c>
      <c r="I7266" s="11">
        <f>MAX(0,N7266-M7266)</f>
        <v/>
      </c>
      <c r="J7266" s="11">
        <f>MAX(0,M7266-N7266)</f>
        <v/>
      </c>
      <c r="K7266" s="11">
        <f>O7266</f>
        <v/>
      </c>
      <c r="L7266" s="11">
        <f>L7265+IF(K7266&gt;0,K7266*Summary!$B$9,K7266/Summary!$B$9)</f>
        <v/>
      </c>
      <c r="M7266" s="11">
        <f>G7266+H7266</f>
        <v/>
      </c>
      <c r="N7266" s="11">
        <f>Summary!$C$16*Summary!$B$8</f>
        <v/>
      </c>
      <c r="O7266" s="11">
        <f>M7266-N7266</f>
        <v/>
      </c>
    </row>
    <row r="7267">
      <c r="A7267" s="9" t="n">
        <v>45594.70833333334</v>
      </c>
      <c r="B7267" t="n">
        <v>10</v>
      </c>
      <c r="C7267" t="n">
        <v>29</v>
      </c>
      <c r="D7267" t="n">
        <v>17</v>
      </c>
      <c r="E7267" s="10" t="n">
        <v>0</v>
      </c>
      <c r="F7267" s="10" t="n">
        <v>0.4380494011318563</v>
      </c>
      <c r="G7267" s="11">
        <f>E7267*Summary!$B$6</f>
        <v/>
      </c>
      <c r="H7267" s="11">
        <f>F7267*Summary!$B$7</f>
        <v/>
      </c>
      <c r="I7267" s="11">
        <f>MAX(0,N7267-M7267)</f>
        <v/>
      </c>
      <c r="J7267" s="11">
        <f>MAX(0,M7267-N7267)</f>
        <v/>
      </c>
      <c r="K7267" s="11">
        <f>O7267</f>
        <v/>
      </c>
      <c r="L7267" s="11">
        <f>L7266+IF(K7267&gt;0,K7267*Summary!$B$9,K7267/Summary!$B$9)</f>
        <v/>
      </c>
      <c r="M7267" s="11">
        <f>G7267+H7267</f>
        <v/>
      </c>
      <c r="N7267" s="11">
        <f>Summary!$C$16*Summary!$B$8</f>
        <v/>
      </c>
      <c r="O7267" s="11">
        <f>M7267-N7267</f>
        <v/>
      </c>
    </row>
    <row r="7268">
      <c r="A7268" s="9" t="n">
        <v>45594.75</v>
      </c>
      <c r="B7268" t="n">
        <v>10</v>
      </c>
      <c r="C7268" t="n">
        <v>29</v>
      </c>
      <c r="D7268" t="n">
        <v>18</v>
      </c>
      <c r="E7268" s="10" t="n">
        <v>0</v>
      </c>
      <c r="F7268" s="10" t="n">
        <v>0.4523585405660497</v>
      </c>
      <c r="G7268" s="11">
        <f>E7268*Summary!$B$6</f>
        <v/>
      </c>
      <c r="H7268" s="11">
        <f>F7268*Summary!$B$7</f>
        <v/>
      </c>
      <c r="I7268" s="11">
        <f>MAX(0,N7268-M7268)</f>
        <v/>
      </c>
      <c r="J7268" s="11">
        <f>MAX(0,M7268-N7268)</f>
        <v/>
      </c>
      <c r="K7268" s="11">
        <f>O7268</f>
        <v/>
      </c>
      <c r="L7268" s="11">
        <f>L7267+IF(K7268&gt;0,K7268*Summary!$B$9,K7268/Summary!$B$9)</f>
        <v/>
      </c>
      <c r="M7268" s="11">
        <f>G7268+H7268</f>
        <v/>
      </c>
      <c r="N7268" s="11">
        <f>Summary!$C$16*Summary!$B$8</f>
        <v/>
      </c>
      <c r="O7268" s="11">
        <f>M7268-N7268</f>
        <v/>
      </c>
    </row>
    <row r="7269">
      <c r="A7269" s="9" t="n">
        <v>45594.79166666666</v>
      </c>
      <c r="B7269" t="n">
        <v>10</v>
      </c>
      <c r="C7269" t="n">
        <v>29</v>
      </c>
      <c r="D7269" t="n">
        <v>19</v>
      </c>
      <c r="E7269" s="10" t="n">
        <v>0</v>
      </c>
      <c r="F7269" s="10" t="n">
        <v>0.4568120296348872</v>
      </c>
      <c r="G7269" s="11">
        <f>E7269*Summary!$B$6</f>
        <v/>
      </c>
      <c r="H7269" s="11">
        <f>F7269*Summary!$B$7</f>
        <v/>
      </c>
      <c r="I7269" s="11">
        <f>MAX(0,N7269-M7269)</f>
        <v/>
      </c>
      <c r="J7269" s="11">
        <f>MAX(0,M7269-N7269)</f>
        <v/>
      </c>
      <c r="K7269" s="11">
        <f>O7269</f>
        <v/>
      </c>
      <c r="L7269" s="11">
        <f>L7268+IF(K7269&gt;0,K7269*Summary!$B$9,K7269/Summary!$B$9)</f>
        <v/>
      </c>
      <c r="M7269" s="11">
        <f>G7269+H7269</f>
        <v/>
      </c>
      <c r="N7269" s="11">
        <f>Summary!$C$16*Summary!$B$8</f>
        <v/>
      </c>
      <c r="O7269" s="11">
        <f>M7269-N7269</f>
        <v/>
      </c>
    </row>
    <row r="7270">
      <c r="A7270" s="9" t="n">
        <v>45594.83333333334</v>
      </c>
      <c r="B7270" t="n">
        <v>10</v>
      </c>
      <c r="C7270" t="n">
        <v>29</v>
      </c>
      <c r="D7270" t="n">
        <v>20</v>
      </c>
      <c r="E7270" s="10" t="n">
        <v>0</v>
      </c>
      <c r="F7270" s="10" t="n">
        <v>0.4514625723510174</v>
      </c>
      <c r="G7270" s="11">
        <f>E7270*Summary!$B$6</f>
        <v/>
      </c>
      <c r="H7270" s="11">
        <f>F7270*Summary!$B$7</f>
        <v/>
      </c>
      <c r="I7270" s="11">
        <f>MAX(0,N7270-M7270)</f>
        <v/>
      </c>
      <c r="J7270" s="11">
        <f>MAX(0,M7270-N7270)</f>
        <v/>
      </c>
      <c r="K7270" s="11">
        <f>O7270</f>
        <v/>
      </c>
      <c r="L7270" s="11">
        <f>L7269+IF(K7270&gt;0,K7270*Summary!$B$9,K7270/Summary!$B$9)</f>
        <v/>
      </c>
      <c r="M7270" s="11">
        <f>G7270+H7270</f>
        <v/>
      </c>
      <c r="N7270" s="11">
        <f>Summary!$C$16*Summary!$B$8</f>
        <v/>
      </c>
      <c r="O7270" s="11">
        <f>M7270-N7270</f>
        <v/>
      </c>
    </row>
    <row r="7271">
      <c r="A7271" s="9" t="n">
        <v>45594.875</v>
      </c>
      <c r="B7271" t="n">
        <v>10</v>
      </c>
      <c r="C7271" t="n">
        <v>29</v>
      </c>
      <c r="D7271" t="n">
        <v>21</v>
      </c>
      <c r="E7271" s="10" t="n">
        <v>0</v>
      </c>
      <c r="F7271" s="10" t="n">
        <v>0.4428191142765874</v>
      </c>
      <c r="G7271" s="11">
        <f>E7271*Summary!$B$6</f>
        <v/>
      </c>
      <c r="H7271" s="11">
        <f>F7271*Summary!$B$7</f>
        <v/>
      </c>
      <c r="I7271" s="11">
        <f>MAX(0,N7271-M7271)</f>
        <v/>
      </c>
      <c r="J7271" s="11">
        <f>MAX(0,M7271-N7271)</f>
        <v/>
      </c>
      <c r="K7271" s="11">
        <f>O7271</f>
        <v/>
      </c>
      <c r="L7271" s="11">
        <f>L7270+IF(K7271&gt;0,K7271*Summary!$B$9,K7271/Summary!$B$9)</f>
        <v/>
      </c>
      <c r="M7271" s="11">
        <f>G7271+H7271</f>
        <v/>
      </c>
      <c r="N7271" s="11">
        <f>Summary!$C$16*Summary!$B$8</f>
        <v/>
      </c>
      <c r="O7271" s="11">
        <f>M7271-N7271</f>
        <v/>
      </c>
    </row>
    <row r="7272">
      <c r="A7272" s="9" t="n">
        <v>45594.91666666666</v>
      </c>
      <c r="B7272" t="n">
        <v>10</v>
      </c>
      <c r="C7272" t="n">
        <v>29</v>
      </c>
      <c r="D7272" t="n">
        <v>22</v>
      </c>
      <c r="E7272" s="10" t="n">
        <v>0</v>
      </c>
      <c r="F7272" s="10" t="n">
        <v>0.4354405525057326</v>
      </c>
      <c r="G7272" s="11">
        <f>E7272*Summary!$B$6</f>
        <v/>
      </c>
      <c r="H7272" s="11">
        <f>F7272*Summary!$B$7</f>
        <v/>
      </c>
      <c r="I7272" s="11">
        <f>MAX(0,N7272-M7272)</f>
        <v/>
      </c>
      <c r="J7272" s="11">
        <f>MAX(0,M7272-N7272)</f>
        <v/>
      </c>
      <c r="K7272" s="11">
        <f>O7272</f>
        <v/>
      </c>
      <c r="L7272" s="11">
        <f>L7271+IF(K7272&gt;0,K7272*Summary!$B$9,K7272/Summary!$B$9)</f>
        <v/>
      </c>
      <c r="M7272" s="11">
        <f>G7272+H7272</f>
        <v/>
      </c>
      <c r="N7272" s="11">
        <f>Summary!$C$16*Summary!$B$8</f>
        <v/>
      </c>
      <c r="O7272" s="11">
        <f>M7272-N7272</f>
        <v/>
      </c>
    </row>
    <row r="7273">
      <c r="A7273" s="9" t="n">
        <v>45594.95833333334</v>
      </c>
      <c r="B7273" t="n">
        <v>10</v>
      </c>
      <c r="C7273" t="n">
        <v>29</v>
      </c>
      <c r="D7273" t="n">
        <v>23</v>
      </c>
      <c r="E7273" s="10" t="n">
        <v>0</v>
      </c>
      <c r="F7273" s="10" t="n">
        <v>0.4304863753167301</v>
      </c>
      <c r="G7273" s="11">
        <f>E7273*Summary!$B$6</f>
        <v/>
      </c>
      <c r="H7273" s="11">
        <f>F7273*Summary!$B$7</f>
        <v/>
      </c>
      <c r="I7273" s="11">
        <f>MAX(0,N7273-M7273)</f>
        <v/>
      </c>
      <c r="J7273" s="11">
        <f>MAX(0,M7273-N7273)</f>
        <v/>
      </c>
      <c r="K7273" s="11">
        <f>O7273</f>
        <v/>
      </c>
      <c r="L7273" s="11">
        <f>L7272+IF(K7273&gt;0,K7273*Summary!$B$9,K7273/Summary!$B$9)</f>
        <v/>
      </c>
      <c r="M7273" s="11">
        <f>G7273+H7273</f>
        <v/>
      </c>
      <c r="N7273" s="11">
        <f>Summary!$C$16*Summary!$B$8</f>
        <v/>
      </c>
      <c r="O7273" s="11">
        <f>M7273-N7273</f>
        <v/>
      </c>
    </row>
    <row r="7274">
      <c r="A7274" s="9" t="n">
        <v>45595</v>
      </c>
      <c r="B7274" t="n">
        <v>10</v>
      </c>
      <c r="C7274" t="n">
        <v>30</v>
      </c>
      <c r="D7274" t="n">
        <v>0</v>
      </c>
      <c r="E7274" s="10" t="n">
        <v>0</v>
      </c>
      <c r="F7274" s="10" t="n">
        <v>0.3596258303101993</v>
      </c>
      <c r="G7274" s="11">
        <f>E7274*Summary!$B$6</f>
        <v/>
      </c>
      <c r="H7274" s="11">
        <f>F7274*Summary!$B$7</f>
        <v/>
      </c>
      <c r="I7274" s="11">
        <f>MAX(0,N7274-M7274)</f>
        <v/>
      </c>
      <c r="J7274" s="11">
        <f>MAX(0,M7274-N7274)</f>
        <v/>
      </c>
      <c r="K7274" s="11">
        <f>O7274</f>
        <v/>
      </c>
      <c r="L7274" s="11">
        <f>L7273+IF(K7274&gt;0,K7274*Summary!$B$9,K7274/Summary!$B$9)</f>
        <v/>
      </c>
      <c r="M7274" s="11">
        <f>G7274+H7274</f>
        <v/>
      </c>
      <c r="N7274" s="11">
        <f>Summary!$C$16*Summary!$B$8</f>
        <v/>
      </c>
      <c r="O7274" s="11">
        <f>M7274-N7274</f>
        <v/>
      </c>
    </row>
    <row r="7275">
      <c r="A7275" s="9" t="n">
        <v>45595.04166666666</v>
      </c>
      <c r="B7275" t="n">
        <v>10</v>
      </c>
      <c r="C7275" t="n">
        <v>30</v>
      </c>
      <c r="D7275" t="n">
        <v>1</v>
      </c>
      <c r="E7275" s="10" t="n">
        <v>0</v>
      </c>
      <c r="F7275" s="10" t="n">
        <v>0.4319357356645765</v>
      </c>
      <c r="G7275" s="11">
        <f>E7275*Summary!$B$6</f>
        <v/>
      </c>
      <c r="H7275" s="11">
        <f>F7275*Summary!$B$7</f>
        <v/>
      </c>
      <c r="I7275" s="11">
        <f>MAX(0,N7275-M7275)</f>
        <v/>
      </c>
      <c r="J7275" s="11">
        <f>MAX(0,M7275-N7275)</f>
        <v/>
      </c>
      <c r="K7275" s="11">
        <f>O7275</f>
        <v/>
      </c>
      <c r="L7275" s="11">
        <f>L7274+IF(K7275&gt;0,K7275*Summary!$B$9,K7275/Summary!$B$9)</f>
        <v/>
      </c>
      <c r="M7275" s="11">
        <f>G7275+H7275</f>
        <v/>
      </c>
      <c r="N7275" s="11">
        <f>Summary!$C$16*Summary!$B$8</f>
        <v/>
      </c>
      <c r="O7275" s="11">
        <f>M7275-N7275</f>
        <v/>
      </c>
    </row>
    <row r="7276">
      <c r="A7276" s="9" t="n">
        <v>45595.08333333334</v>
      </c>
      <c r="B7276" t="n">
        <v>10</v>
      </c>
      <c r="C7276" t="n">
        <v>30</v>
      </c>
      <c r="D7276" t="n">
        <v>2</v>
      </c>
      <c r="E7276" s="10" t="n">
        <v>0</v>
      </c>
      <c r="F7276" s="10" t="n">
        <v>0.4228706454889549</v>
      </c>
      <c r="G7276" s="11">
        <f>E7276*Summary!$B$6</f>
        <v/>
      </c>
      <c r="H7276" s="11">
        <f>F7276*Summary!$B$7</f>
        <v/>
      </c>
      <c r="I7276" s="11">
        <f>MAX(0,N7276-M7276)</f>
        <v/>
      </c>
      <c r="J7276" s="11">
        <f>MAX(0,M7276-N7276)</f>
        <v/>
      </c>
      <c r="K7276" s="11">
        <f>O7276</f>
        <v/>
      </c>
      <c r="L7276" s="11">
        <f>L7275+IF(K7276&gt;0,K7276*Summary!$B$9,K7276/Summary!$B$9)</f>
        <v/>
      </c>
      <c r="M7276" s="11">
        <f>G7276+H7276</f>
        <v/>
      </c>
      <c r="N7276" s="11">
        <f>Summary!$C$16*Summary!$B$8</f>
        <v/>
      </c>
      <c r="O7276" s="11">
        <f>M7276-N7276</f>
        <v/>
      </c>
    </row>
    <row r="7277">
      <c r="A7277" s="9" t="n">
        <v>45595.125</v>
      </c>
      <c r="B7277" t="n">
        <v>10</v>
      </c>
      <c r="C7277" t="n">
        <v>30</v>
      </c>
      <c r="D7277" t="n">
        <v>3</v>
      </c>
      <c r="E7277" s="10" t="n">
        <v>0</v>
      </c>
      <c r="F7277" s="10" t="n">
        <v>0.3885866852608045</v>
      </c>
      <c r="G7277" s="11">
        <f>E7277*Summary!$B$6</f>
        <v/>
      </c>
      <c r="H7277" s="11">
        <f>F7277*Summary!$B$7</f>
        <v/>
      </c>
      <c r="I7277" s="11">
        <f>MAX(0,N7277-M7277)</f>
        <v/>
      </c>
      <c r="J7277" s="11">
        <f>MAX(0,M7277-N7277)</f>
        <v/>
      </c>
      <c r="K7277" s="11">
        <f>O7277</f>
        <v/>
      </c>
      <c r="L7277" s="11">
        <f>L7276+IF(K7277&gt;0,K7277*Summary!$B$9,K7277/Summary!$B$9)</f>
        <v/>
      </c>
      <c r="M7277" s="11">
        <f>G7277+H7277</f>
        <v/>
      </c>
      <c r="N7277" s="11">
        <f>Summary!$C$16*Summary!$B$8</f>
        <v/>
      </c>
      <c r="O7277" s="11">
        <f>M7277-N7277</f>
        <v/>
      </c>
    </row>
    <row r="7278">
      <c r="A7278" s="9" t="n">
        <v>45595.16666666666</v>
      </c>
      <c r="B7278" t="n">
        <v>10</v>
      </c>
      <c r="C7278" t="n">
        <v>30</v>
      </c>
      <c r="D7278" t="n">
        <v>4</v>
      </c>
      <c r="E7278" s="10" t="n">
        <v>0</v>
      </c>
      <c r="F7278" s="10" t="n">
        <v>0.382868299888392</v>
      </c>
      <c r="G7278" s="11">
        <f>E7278*Summary!$B$6</f>
        <v/>
      </c>
      <c r="H7278" s="11">
        <f>F7278*Summary!$B$7</f>
        <v/>
      </c>
      <c r="I7278" s="11">
        <f>MAX(0,N7278-M7278)</f>
        <v/>
      </c>
      <c r="J7278" s="11">
        <f>MAX(0,M7278-N7278)</f>
        <v/>
      </c>
      <c r="K7278" s="11">
        <f>O7278</f>
        <v/>
      </c>
      <c r="L7278" s="11">
        <f>L7277+IF(K7278&gt;0,K7278*Summary!$B$9,K7278/Summary!$B$9)</f>
        <v/>
      </c>
      <c r="M7278" s="11">
        <f>G7278+H7278</f>
        <v/>
      </c>
      <c r="N7278" s="11">
        <f>Summary!$C$16*Summary!$B$8</f>
        <v/>
      </c>
      <c r="O7278" s="11">
        <f>M7278-N7278</f>
        <v/>
      </c>
    </row>
    <row r="7279">
      <c r="A7279" s="9" t="n">
        <v>45595.20833333334</v>
      </c>
      <c r="B7279" t="n">
        <v>10</v>
      </c>
      <c r="C7279" t="n">
        <v>30</v>
      </c>
      <c r="D7279" t="n">
        <v>5</v>
      </c>
      <c r="E7279" s="10" t="n">
        <v>0</v>
      </c>
      <c r="F7279" s="10" t="n">
        <v>0.3778614186867404</v>
      </c>
      <c r="G7279" s="11">
        <f>E7279*Summary!$B$6</f>
        <v/>
      </c>
      <c r="H7279" s="11">
        <f>F7279*Summary!$B$7</f>
        <v/>
      </c>
      <c r="I7279" s="11">
        <f>MAX(0,N7279-M7279)</f>
        <v/>
      </c>
      <c r="J7279" s="11">
        <f>MAX(0,M7279-N7279)</f>
        <v/>
      </c>
      <c r="K7279" s="11">
        <f>O7279</f>
        <v/>
      </c>
      <c r="L7279" s="11">
        <f>L7278+IF(K7279&gt;0,K7279*Summary!$B$9,K7279/Summary!$B$9)</f>
        <v/>
      </c>
      <c r="M7279" s="11">
        <f>G7279+H7279</f>
        <v/>
      </c>
      <c r="N7279" s="11">
        <f>Summary!$C$16*Summary!$B$8</f>
        <v/>
      </c>
      <c r="O7279" s="11">
        <f>M7279-N7279</f>
        <v/>
      </c>
    </row>
    <row r="7280">
      <c r="A7280" s="9" t="n">
        <v>45595.25</v>
      </c>
      <c r="B7280" t="n">
        <v>10</v>
      </c>
      <c r="C7280" t="n">
        <v>30</v>
      </c>
      <c r="D7280" t="n">
        <v>6</v>
      </c>
      <c r="E7280" s="10" t="n">
        <v>0</v>
      </c>
      <c r="F7280" s="10" t="n">
        <v>0.3700085208020449</v>
      </c>
      <c r="G7280" s="11">
        <f>E7280*Summary!$B$6</f>
        <v/>
      </c>
      <c r="H7280" s="11">
        <f>F7280*Summary!$B$7</f>
        <v/>
      </c>
      <c r="I7280" s="11">
        <f>MAX(0,N7280-M7280)</f>
        <v/>
      </c>
      <c r="J7280" s="11">
        <f>MAX(0,M7280-N7280)</f>
        <v/>
      </c>
      <c r="K7280" s="11">
        <f>O7280</f>
        <v/>
      </c>
      <c r="L7280" s="11">
        <f>L7279+IF(K7280&gt;0,K7280*Summary!$B$9,K7280/Summary!$B$9)</f>
        <v/>
      </c>
      <c r="M7280" s="11">
        <f>G7280+H7280</f>
        <v/>
      </c>
      <c r="N7280" s="11">
        <f>Summary!$C$16*Summary!$B$8</f>
        <v/>
      </c>
      <c r="O7280" s="11">
        <f>M7280-N7280</f>
        <v/>
      </c>
    </row>
    <row r="7281">
      <c r="A7281" s="9" t="n">
        <v>45595.29166666666</v>
      </c>
      <c r="B7281" t="n">
        <v>10</v>
      </c>
      <c r="C7281" t="n">
        <v>30</v>
      </c>
      <c r="D7281" t="n">
        <v>7</v>
      </c>
      <c r="E7281" s="10" t="n">
        <v>0.013153</v>
      </c>
      <c r="F7281" s="10" t="n">
        <v>0.3653969196952607</v>
      </c>
      <c r="G7281" s="11">
        <f>E7281*Summary!$B$6</f>
        <v/>
      </c>
      <c r="H7281" s="11">
        <f>F7281*Summary!$B$7</f>
        <v/>
      </c>
      <c r="I7281" s="11">
        <f>MAX(0,N7281-M7281)</f>
        <v/>
      </c>
      <c r="J7281" s="11">
        <f>MAX(0,M7281-N7281)</f>
        <v/>
      </c>
      <c r="K7281" s="11">
        <f>O7281</f>
        <v/>
      </c>
      <c r="L7281" s="11">
        <f>L7280+IF(K7281&gt;0,K7281*Summary!$B$9,K7281/Summary!$B$9)</f>
        <v/>
      </c>
      <c r="M7281" s="11">
        <f>G7281+H7281</f>
        <v/>
      </c>
      <c r="N7281" s="11">
        <f>Summary!$C$16*Summary!$B$8</f>
        <v/>
      </c>
      <c r="O7281" s="11">
        <f>M7281-N7281</f>
        <v/>
      </c>
    </row>
    <row r="7282">
      <c r="A7282" s="9" t="n">
        <v>45595.33333333334</v>
      </c>
      <c r="B7282" t="n">
        <v>10</v>
      </c>
      <c r="C7282" t="n">
        <v>30</v>
      </c>
      <c r="D7282" t="n">
        <v>8</v>
      </c>
      <c r="E7282" s="10" t="n">
        <v>0.150232</v>
      </c>
      <c r="F7282" s="10" t="n">
        <v>0.3484262276222946</v>
      </c>
      <c r="G7282" s="11">
        <f>E7282*Summary!$B$6</f>
        <v/>
      </c>
      <c r="H7282" s="11">
        <f>F7282*Summary!$B$7</f>
        <v/>
      </c>
      <c r="I7282" s="11">
        <f>MAX(0,N7282-M7282)</f>
        <v/>
      </c>
      <c r="J7282" s="11">
        <f>MAX(0,M7282-N7282)</f>
        <v/>
      </c>
      <c r="K7282" s="11">
        <f>O7282</f>
        <v/>
      </c>
      <c r="L7282" s="11">
        <f>L7281+IF(K7282&gt;0,K7282*Summary!$B$9,K7282/Summary!$B$9)</f>
        <v/>
      </c>
      <c r="M7282" s="11">
        <f>G7282+H7282</f>
        <v/>
      </c>
      <c r="N7282" s="11">
        <f>Summary!$C$16*Summary!$B$8</f>
        <v/>
      </c>
      <c r="O7282" s="11">
        <f>M7282-N7282</f>
        <v/>
      </c>
    </row>
    <row r="7283">
      <c r="A7283" s="9" t="n">
        <v>45595.375</v>
      </c>
      <c r="B7283" t="n">
        <v>10</v>
      </c>
      <c r="C7283" t="n">
        <v>30</v>
      </c>
      <c r="D7283" t="n">
        <v>9</v>
      </c>
      <c r="E7283" s="10" t="n">
        <v>0.301194</v>
      </c>
      <c r="F7283" s="10" t="n">
        <v>0.3201768768424504</v>
      </c>
      <c r="G7283" s="11">
        <f>E7283*Summary!$B$6</f>
        <v/>
      </c>
      <c r="H7283" s="11">
        <f>F7283*Summary!$B$7</f>
        <v/>
      </c>
      <c r="I7283" s="11">
        <f>MAX(0,N7283-M7283)</f>
        <v/>
      </c>
      <c r="J7283" s="11">
        <f>MAX(0,M7283-N7283)</f>
        <v/>
      </c>
      <c r="K7283" s="11">
        <f>O7283</f>
        <v/>
      </c>
      <c r="L7283" s="11">
        <f>L7282+IF(K7283&gt;0,K7283*Summary!$B$9,K7283/Summary!$B$9)</f>
        <v/>
      </c>
      <c r="M7283" s="11">
        <f>G7283+H7283</f>
        <v/>
      </c>
      <c r="N7283" s="11">
        <f>Summary!$C$16*Summary!$B$8</f>
        <v/>
      </c>
      <c r="O7283" s="11">
        <f>M7283-N7283</f>
        <v/>
      </c>
    </row>
    <row r="7284">
      <c r="A7284" s="9" t="n">
        <v>45595.41666666666</v>
      </c>
      <c r="B7284" t="n">
        <v>10</v>
      </c>
      <c r="C7284" t="n">
        <v>30</v>
      </c>
      <c r="D7284" t="n">
        <v>10</v>
      </c>
      <c r="E7284" s="10" t="n">
        <v>0.428259</v>
      </c>
      <c r="F7284" s="10" t="n">
        <v>0.2987790477069714</v>
      </c>
      <c r="G7284" s="11">
        <f>E7284*Summary!$B$6</f>
        <v/>
      </c>
      <c r="H7284" s="11">
        <f>F7284*Summary!$B$7</f>
        <v/>
      </c>
      <c r="I7284" s="11">
        <f>MAX(0,N7284-M7284)</f>
        <v/>
      </c>
      <c r="J7284" s="11">
        <f>MAX(0,M7284-N7284)</f>
        <v/>
      </c>
      <c r="K7284" s="11">
        <f>O7284</f>
        <v/>
      </c>
      <c r="L7284" s="11">
        <f>L7283+IF(K7284&gt;0,K7284*Summary!$B$9,K7284/Summary!$B$9)</f>
        <v/>
      </c>
      <c r="M7284" s="11">
        <f>G7284+H7284</f>
        <v/>
      </c>
      <c r="N7284" s="11">
        <f>Summary!$C$16*Summary!$B$8</f>
        <v/>
      </c>
      <c r="O7284" s="11">
        <f>M7284-N7284</f>
        <v/>
      </c>
    </row>
    <row r="7285">
      <c r="A7285" s="9" t="n">
        <v>45595.45833333334</v>
      </c>
      <c r="B7285" t="n">
        <v>10</v>
      </c>
      <c r="C7285" t="n">
        <v>30</v>
      </c>
      <c r="D7285" t="n">
        <v>11</v>
      </c>
      <c r="E7285" s="10" t="n">
        <v>0.484778</v>
      </c>
      <c r="F7285" s="10" t="n">
        <v>0.2906889817653556</v>
      </c>
      <c r="G7285" s="11">
        <f>E7285*Summary!$B$6</f>
        <v/>
      </c>
      <c r="H7285" s="11">
        <f>F7285*Summary!$B$7</f>
        <v/>
      </c>
      <c r="I7285" s="11">
        <f>MAX(0,N7285-M7285)</f>
        <v/>
      </c>
      <c r="J7285" s="11">
        <f>MAX(0,M7285-N7285)</f>
        <v/>
      </c>
      <c r="K7285" s="11">
        <f>O7285</f>
        <v/>
      </c>
      <c r="L7285" s="11">
        <f>L7284+IF(K7285&gt;0,K7285*Summary!$B$9,K7285/Summary!$B$9)</f>
        <v/>
      </c>
      <c r="M7285" s="11">
        <f>G7285+H7285</f>
        <v/>
      </c>
      <c r="N7285" s="11">
        <f>Summary!$C$16*Summary!$B$8</f>
        <v/>
      </c>
      <c r="O7285" s="11">
        <f>M7285-N7285</f>
        <v/>
      </c>
    </row>
    <row r="7286">
      <c r="A7286" s="9" t="n">
        <v>45595.5</v>
      </c>
      <c r="B7286" t="n">
        <v>10</v>
      </c>
      <c r="C7286" t="n">
        <v>30</v>
      </c>
      <c r="D7286" t="n">
        <v>12</v>
      </c>
      <c r="E7286" s="10" t="n">
        <v>0.342006</v>
      </c>
      <c r="F7286" s="10" t="n">
        <v>0.2898193655566477</v>
      </c>
      <c r="G7286" s="11">
        <f>E7286*Summary!$B$6</f>
        <v/>
      </c>
      <c r="H7286" s="11">
        <f>F7286*Summary!$B$7</f>
        <v/>
      </c>
      <c r="I7286" s="11">
        <f>MAX(0,N7286-M7286)</f>
        <v/>
      </c>
      <c r="J7286" s="11">
        <f>MAX(0,M7286-N7286)</f>
        <v/>
      </c>
      <c r="K7286" s="11">
        <f>O7286</f>
        <v/>
      </c>
      <c r="L7286" s="11">
        <f>L7285+IF(K7286&gt;0,K7286*Summary!$B$9,K7286/Summary!$B$9)</f>
        <v/>
      </c>
      <c r="M7286" s="11">
        <f>G7286+H7286</f>
        <v/>
      </c>
      <c r="N7286" s="11">
        <f>Summary!$C$16*Summary!$B$8</f>
        <v/>
      </c>
      <c r="O7286" s="11">
        <f>M7286-N7286</f>
        <v/>
      </c>
    </row>
    <row r="7287">
      <c r="A7287" s="9" t="n">
        <v>45595.54166666666</v>
      </c>
      <c r="B7287" t="n">
        <v>10</v>
      </c>
      <c r="C7287" t="n">
        <v>30</v>
      </c>
      <c r="D7287" t="n">
        <v>13</v>
      </c>
      <c r="E7287" s="10" t="n">
        <v>0.33102</v>
      </c>
      <c r="F7287" s="10" t="n">
        <v>0.2933505344041282</v>
      </c>
      <c r="G7287" s="11">
        <f>E7287*Summary!$B$6</f>
        <v/>
      </c>
      <c r="H7287" s="11">
        <f>F7287*Summary!$B$7</f>
        <v/>
      </c>
      <c r="I7287" s="11">
        <f>MAX(0,N7287-M7287)</f>
        <v/>
      </c>
      <c r="J7287" s="11">
        <f>MAX(0,M7287-N7287)</f>
        <v/>
      </c>
      <c r="K7287" s="11">
        <f>O7287</f>
        <v/>
      </c>
      <c r="L7287" s="11">
        <f>L7286+IF(K7287&gt;0,K7287*Summary!$B$9,K7287/Summary!$B$9)</f>
        <v/>
      </c>
      <c r="M7287" s="11">
        <f>G7287+H7287</f>
        <v/>
      </c>
      <c r="N7287" s="11">
        <f>Summary!$C$16*Summary!$B$8</f>
        <v/>
      </c>
      <c r="O7287" s="11">
        <f>M7287-N7287</f>
        <v/>
      </c>
    </row>
    <row r="7288">
      <c r="A7288" s="9" t="n">
        <v>45595.58333333334</v>
      </c>
      <c r="B7288" t="n">
        <v>10</v>
      </c>
      <c r="C7288" t="n">
        <v>30</v>
      </c>
      <c r="D7288" t="n">
        <v>14</v>
      </c>
      <c r="E7288" s="10" t="n">
        <v>0.265022</v>
      </c>
      <c r="F7288" s="10" t="n">
        <v>0.3098205383569292</v>
      </c>
      <c r="G7288" s="11">
        <f>E7288*Summary!$B$6</f>
        <v/>
      </c>
      <c r="H7288" s="11">
        <f>F7288*Summary!$B$7</f>
        <v/>
      </c>
      <c r="I7288" s="11">
        <f>MAX(0,N7288-M7288)</f>
        <v/>
      </c>
      <c r="J7288" s="11">
        <f>MAX(0,M7288-N7288)</f>
        <v/>
      </c>
      <c r="K7288" s="11">
        <f>O7288</f>
        <v/>
      </c>
      <c r="L7288" s="11">
        <f>L7287+IF(K7288&gt;0,K7288*Summary!$B$9,K7288/Summary!$B$9)</f>
        <v/>
      </c>
      <c r="M7288" s="11">
        <f>G7288+H7288</f>
        <v/>
      </c>
      <c r="N7288" s="11">
        <f>Summary!$C$16*Summary!$B$8</f>
        <v/>
      </c>
      <c r="O7288" s="11">
        <f>M7288-N7288</f>
        <v/>
      </c>
    </row>
    <row r="7289">
      <c r="A7289" s="9" t="n">
        <v>45595.625</v>
      </c>
      <c r="B7289" t="n">
        <v>10</v>
      </c>
      <c r="C7289" t="n">
        <v>30</v>
      </c>
      <c r="D7289" t="n">
        <v>15</v>
      </c>
      <c r="E7289" s="10" t="n">
        <v>0.085803</v>
      </c>
      <c r="F7289" s="10" t="n">
        <v>0.3252891660693998</v>
      </c>
      <c r="G7289" s="11">
        <f>E7289*Summary!$B$6</f>
        <v/>
      </c>
      <c r="H7289" s="11">
        <f>F7289*Summary!$B$7</f>
        <v/>
      </c>
      <c r="I7289" s="11">
        <f>MAX(0,N7289-M7289)</f>
        <v/>
      </c>
      <c r="J7289" s="11">
        <f>MAX(0,M7289-N7289)</f>
        <v/>
      </c>
      <c r="K7289" s="11">
        <f>O7289</f>
        <v/>
      </c>
      <c r="L7289" s="11">
        <f>L7288+IF(K7289&gt;0,K7289*Summary!$B$9,K7289/Summary!$B$9)</f>
        <v/>
      </c>
      <c r="M7289" s="11">
        <f>G7289+H7289</f>
        <v/>
      </c>
      <c r="N7289" s="11">
        <f>Summary!$C$16*Summary!$B$8</f>
        <v/>
      </c>
      <c r="O7289" s="11">
        <f>M7289-N7289</f>
        <v/>
      </c>
    </row>
    <row r="7290">
      <c r="A7290" s="9" t="n">
        <v>45595.66666666666</v>
      </c>
      <c r="B7290" t="n">
        <v>10</v>
      </c>
      <c r="C7290" t="n">
        <v>30</v>
      </c>
      <c r="D7290" t="n">
        <v>16</v>
      </c>
      <c r="E7290" s="10" t="n">
        <v>0</v>
      </c>
      <c r="F7290" s="10" t="n">
        <v>0.354355429045303</v>
      </c>
      <c r="G7290" s="11">
        <f>E7290*Summary!$B$6</f>
        <v/>
      </c>
      <c r="H7290" s="11">
        <f>F7290*Summary!$B$7</f>
        <v/>
      </c>
      <c r="I7290" s="11">
        <f>MAX(0,N7290-M7290)</f>
        <v/>
      </c>
      <c r="J7290" s="11">
        <f>MAX(0,M7290-N7290)</f>
        <v/>
      </c>
      <c r="K7290" s="11">
        <f>O7290</f>
        <v/>
      </c>
      <c r="L7290" s="11">
        <f>L7289+IF(K7290&gt;0,K7290*Summary!$B$9,K7290/Summary!$B$9)</f>
        <v/>
      </c>
      <c r="M7290" s="11">
        <f>G7290+H7290</f>
        <v/>
      </c>
      <c r="N7290" s="11">
        <f>Summary!$C$16*Summary!$B$8</f>
        <v/>
      </c>
      <c r="O7290" s="11">
        <f>M7290-N7290</f>
        <v/>
      </c>
    </row>
    <row r="7291">
      <c r="A7291" s="9" t="n">
        <v>45595.70833333334</v>
      </c>
      <c r="B7291" t="n">
        <v>10</v>
      </c>
      <c r="C7291" t="n">
        <v>30</v>
      </c>
      <c r="D7291" t="n">
        <v>17</v>
      </c>
      <c r="E7291" s="10" t="n">
        <v>0</v>
      </c>
      <c r="F7291" s="10" t="n">
        <v>0.3773080265539264</v>
      </c>
      <c r="G7291" s="11">
        <f>E7291*Summary!$B$6</f>
        <v/>
      </c>
      <c r="H7291" s="11">
        <f>F7291*Summary!$B$7</f>
        <v/>
      </c>
      <c r="I7291" s="11">
        <f>MAX(0,N7291-M7291)</f>
        <v/>
      </c>
      <c r="J7291" s="11">
        <f>MAX(0,M7291-N7291)</f>
        <v/>
      </c>
      <c r="K7291" s="11">
        <f>O7291</f>
        <v/>
      </c>
      <c r="L7291" s="11">
        <f>L7290+IF(K7291&gt;0,K7291*Summary!$B$9,K7291/Summary!$B$9)</f>
        <v/>
      </c>
      <c r="M7291" s="11">
        <f>G7291+H7291</f>
        <v/>
      </c>
      <c r="N7291" s="11">
        <f>Summary!$C$16*Summary!$B$8</f>
        <v/>
      </c>
      <c r="O7291" s="11">
        <f>M7291-N7291</f>
        <v/>
      </c>
    </row>
    <row r="7292">
      <c r="A7292" s="9" t="n">
        <v>45595.75</v>
      </c>
      <c r="B7292" t="n">
        <v>10</v>
      </c>
      <c r="C7292" t="n">
        <v>30</v>
      </c>
      <c r="D7292" t="n">
        <v>18</v>
      </c>
      <c r="E7292" s="10" t="n">
        <v>0</v>
      </c>
      <c r="F7292" s="10" t="n">
        <v>0.3954909109178186</v>
      </c>
      <c r="G7292" s="11">
        <f>E7292*Summary!$B$6</f>
        <v/>
      </c>
      <c r="H7292" s="11">
        <f>F7292*Summary!$B$7</f>
        <v/>
      </c>
      <c r="I7292" s="11">
        <f>MAX(0,N7292-M7292)</f>
        <v/>
      </c>
      <c r="J7292" s="11">
        <f>MAX(0,M7292-N7292)</f>
        <v/>
      </c>
      <c r="K7292" s="11">
        <f>O7292</f>
        <v/>
      </c>
      <c r="L7292" s="11">
        <f>L7291+IF(K7292&gt;0,K7292*Summary!$B$9,K7292/Summary!$B$9)</f>
        <v/>
      </c>
      <c r="M7292" s="11">
        <f>G7292+H7292</f>
        <v/>
      </c>
      <c r="N7292" s="11">
        <f>Summary!$C$16*Summary!$B$8</f>
        <v/>
      </c>
      <c r="O7292" s="11">
        <f>M7292-N7292</f>
        <v/>
      </c>
    </row>
    <row r="7293">
      <c r="A7293" s="9" t="n">
        <v>45595.79166666666</v>
      </c>
      <c r="B7293" t="n">
        <v>10</v>
      </c>
      <c r="C7293" t="n">
        <v>30</v>
      </c>
      <c r="D7293" t="n">
        <v>19</v>
      </c>
      <c r="E7293" s="10" t="n">
        <v>0</v>
      </c>
      <c r="F7293" s="10" t="n">
        <v>0.4060580654539357</v>
      </c>
      <c r="G7293" s="11">
        <f>E7293*Summary!$B$6</f>
        <v/>
      </c>
      <c r="H7293" s="11">
        <f>F7293*Summary!$B$7</f>
        <v/>
      </c>
      <c r="I7293" s="11">
        <f>MAX(0,N7293-M7293)</f>
        <v/>
      </c>
      <c r="J7293" s="11">
        <f>MAX(0,M7293-N7293)</f>
        <v/>
      </c>
      <c r="K7293" s="11">
        <f>O7293</f>
        <v/>
      </c>
      <c r="L7293" s="11">
        <f>L7292+IF(K7293&gt;0,K7293*Summary!$B$9,K7293/Summary!$B$9)</f>
        <v/>
      </c>
      <c r="M7293" s="11">
        <f>G7293+H7293</f>
        <v/>
      </c>
      <c r="N7293" s="11">
        <f>Summary!$C$16*Summary!$B$8</f>
        <v/>
      </c>
      <c r="O7293" s="11">
        <f>M7293-N7293</f>
        <v/>
      </c>
    </row>
    <row r="7294">
      <c r="A7294" s="9" t="n">
        <v>45595.83333333334</v>
      </c>
      <c r="B7294" t="n">
        <v>10</v>
      </c>
      <c r="C7294" t="n">
        <v>30</v>
      </c>
      <c r="D7294" t="n">
        <v>20</v>
      </c>
      <c r="E7294" s="10" t="n">
        <v>0</v>
      </c>
      <c r="F7294" s="10" t="n">
        <v>0.4076918898460535</v>
      </c>
      <c r="G7294" s="11">
        <f>E7294*Summary!$B$6</f>
        <v/>
      </c>
      <c r="H7294" s="11">
        <f>F7294*Summary!$B$7</f>
        <v/>
      </c>
      <c r="I7294" s="11">
        <f>MAX(0,N7294-M7294)</f>
        <v/>
      </c>
      <c r="J7294" s="11">
        <f>MAX(0,M7294-N7294)</f>
        <v/>
      </c>
      <c r="K7294" s="11">
        <f>O7294</f>
        <v/>
      </c>
      <c r="L7294" s="11">
        <f>L7293+IF(K7294&gt;0,K7294*Summary!$B$9,K7294/Summary!$B$9)</f>
        <v/>
      </c>
      <c r="M7294" s="11">
        <f>G7294+H7294</f>
        <v/>
      </c>
      <c r="N7294" s="11">
        <f>Summary!$C$16*Summary!$B$8</f>
        <v/>
      </c>
      <c r="O7294" s="11">
        <f>M7294-N7294</f>
        <v/>
      </c>
    </row>
    <row r="7295">
      <c r="A7295" s="9" t="n">
        <v>45595.875</v>
      </c>
      <c r="B7295" t="n">
        <v>10</v>
      </c>
      <c r="C7295" t="n">
        <v>30</v>
      </c>
      <c r="D7295" t="n">
        <v>21</v>
      </c>
      <c r="E7295" s="10" t="n">
        <v>0</v>
      </c>
      <c r="F7295" s="10" t="n">
        <v>0.3996808799234112</v>
      </c>
      <c r="G7295" s="11">
        <f>E7295*Summary!$B$6</f>
        <v/>
      </c>
      <c r="H7295" s="11">
        <f>F7295*Summary!$B$7</f>
        <v/>
      </c>
      <c r="I7295" s="11">
        <f>MAX(0,N7295-M7295)</f>
        <v/>
      </c>
      <c r="J7295" s="11">
        <f>MAX(0,M7295-N7295)</f>
        <v/>
      </c>
      <c r="K7295" s="11">
        <f>O7295</f>
        <v/>
      </c>
      <c r="L7295" s="11">
        <f>L7294+IF(K7295&gt;0,K7295*Summary!$B$9,K7295/Summary!$B$9)</f>
        <v/>
      </c>
      <c r="M7295" s="11">
        <f>G7295+H7295</f>
        <v/>
      </c>
      <c r="N7295" s="11">
        <f>Summary!$C$16*Summary!$B$8</f>
        <v/>
      </c>
      <c r="O7295" s="11">
        <f>M7295-N7295</f>
        <v/>
      </c>
    </row>
    <row r="7296">
      <c r="A7296" s="9" t="n">
        <v>45595.91666666666</v>
      </c>
      <c r="B7296" t="n">
        <v>10</v>
      </c>
      <c r="C7296" t="n">
        <v>30</v>
      </c>
      <c r="D7296" t="n">
        <v>22</v>
      </c>
      <c r="E7296" s="10" t="n">
        <v>0</v>
      </c>
      <c r="F7296" s="10" t="n">
        <v>0.3948057587533821</v>
      </c>
      <c r="G7296" s="11">
        <f>E7296*Summary!$B$6</f>
        <v/>
      </c>
      <c r="H7296" s="11">
        <f>F7296*Summary!$B$7</f>
        <v/>
      </c>
      <c r="I7296" s="11">
        <f>MAX(0,N7296-M7296)</f>
        <v/>
      </c>
      <c r="J7296" s="11">
        <f>MAX(0,M7296-N7296)</f>
        <v/>
      </c>
      <c r="K7296" s="11">
        <f>O7296</f>
        <v/>
      </c>
      <c r="L7296" s="11">
        <f>L7295+IF(K7296&gt;0,K7296*Summary!$B$9,K7296/Summary!$B$9)</f>
        <v/>
      </c>
      <c r="M7296" s="11">
        <f>G7296+H7296</f>
        <v/>
      </c>
      <c r="N7296" s="11">
        <f>Summary!$C$16*Summary!$B$8</f>
        <v/>
      </c>
      <c r="O7296" s="11">
        <f>M7296-N7296</f>
        <v/>
      </c>
    </row>
    <row r="7297">
      <c r="A7297" s="9" t="n">
        <v>45595.95833333334</v>
      </c>
      <c r="B7297" t="n">
        <v>10</v>
      </c>
      <c r="C7297" t="n">
        <v>30</v>
      </c>
      <c r="D7297" t="n">
        <v>23</v>
      </c>
      <c r="E7297" s="10" t="n">
        <v>0</v>
      </c>
      <c r="F7297" s="10" t="n">
        <v>0.3754897381175372</v>
      </c>
      <c r="G7297" s="11">
        <f>E7297*Summary!$B$6</f>
        <v/>
      </c>
      <c r="H7297" s="11">
        <f>F7297*Summary!$B$7</f>
        <v/>
      </c>
      <c r="I7297" s="11">
        <f>MAX(0,N7297-M7297)</f>
        <v/>
      </c>
      <c r="J7297" s="11">
        <f>MAX(0,M7297-N7297)</f>
        <v/>
      </c>
      <c r="K7297" s="11">
        <f>O7297</f>
        <v/>
      </c>
      <c r="L7297" s="11">
        <f>L7296+IF(K7297&gt;0,K7297*Summary!$B$9,K7297/Summary!$B$9)</f>
        <v/>
      </c>
      <c r="M7297" s="11">
        <f>G7297+H7297</f>
        <v/>
      </c>
      <c r="N7297" s="11">
        <f>Summary!$C$16*Summary!$B$8</f>
        <v/>
      </c>
      <c r="O7297" s="11">
        <f>M7297-N7297</f>
        <v/>
      </c>
    </row>
    <row r="7298">
      <c r="A7298" s="9" t="n">
        <v>45596</v>
      </c>
      <c r="B7298" t="n">
        <v>10</v>
      </c>
      <c r="C7298" t="n">
        <v>31</v>
      </c>
      <c r="D7298" t="n">
        <v>0</v>
      </c>
      <c r="E7298" s="10" t="n">
        <v>0</v>
      </c>
      <c r="F7298" s="10" t="n">
        <v>0.3837379160970999</v>
      </c>
      <c r="G7298" s="11">
        <f>E7298*Summary!$B$6</f>
        <v/>
      </c>
      <c r="H7298" s="11">
        <f>F7298*Summary!$B$7</f>
        <v/>
      </c>
      <c r="I7298" s="11">
        <f>MAX(0,N7298-M7298)</f>
        <v/>
      </c>
      <c r="J7298" s="11">
        <f>MAX(0,M7298-N7298)</f>
        <v/>
      </c>
      <c r="K7298" s="11">
        <f>O7298</f>
        <v/>
      </c>
      <c r="L7298" s="11">
        <f>L7297+IF(K7298&gt;0,K7298*Summary!$B$9,K7298/Summary!$B$9)</f>
        <v/>
      </c>
      <c r="M7298" s="11">
        <f>G7298+H7298</f>
        <v/>
      </c>
      <c r="N7298" s="11">
        <f>Summary!$C$16*Summary!$B$8</f>
        <v/>
      </c>
      <c r="O7298" s="11">
        <f>M7298-N7298</f>
        <v/>
      </c>
    </row>
    <row r="7299">
      <c r="A7299" s="9" t="n">
        <v>45596.04166666666</v>
      </c>
      <c r="B7299" t="n">
        <v>10</v>
      </c>
      <c r="C7299" t="n">
        <v>31</v>
      </c>
      <c r="D7299" t="n">
        <v>1</v>
      </c>
      <c r="E7299" s="10" t="n">
        <v>0</v>
      </c>
      <c r="F7299" s="10" t="n">
        <v>0.3545135410832498</v>
      </c>
      <c r="G7299" s="11">
        <f>E7299*Summary!$B$6</f>
        <v/>
      </c>
      <c r="H7299" s="11">
        <f>F7299*Summary!$B$7</f>
        <v/>
      </c>
      <c r="I7299" s="11">
        <f>MAX(0,N7299-M7299)</f>
        <v/>
      </c>
      <c r="J7299" s="11">
        <f>MAX(0,M7299-N7299)</f>
        <v/>
      </c>
      <c r="K7299" s="11">
        <f>O7299</f>
        <v/>
      </c>
      <c r="L7299" s="11">
        <f>L7298+IF(K7299&gt;0,K7299*Summary!$B$9,K7299/Summary!$B$9)</f>
        <v/>
      </c>
      <c r="M7299" s="11">
        <f>G7299+H7299</f>
        <v/>
      </c>
      <c r="N7299" s="11">
        <f>Summary!$C$16*Summary!$B$8</f>
        <v/>
      </c>
      <c r="O7299" s="11">
        <f>M7299-N7299</f>
        <v/>
      </c>
    </row>
    <row r="7300">
      <c r="A7300" s="9" t="n">
        <v>45596.08333333334</v>
      </c>
      <c r="B7300" t="n">
        <v>10</v>
      </c>
      <c r="C7300" t="n">
        <v>31</v>
      </c>
      <c r="D7300" t="n">
        <v>2</v>
      </c>
      <c r="E7300" s="10" t="n">
        <v>0</v>
      </c>
      <c r="F7300" s="10" t="n">
        <v>0.3512195402926896</v>
      </c>
      <c r="G7300" s="11">
        <f>E7300*Summary!$B$6</f>
        <v/>
      </c>
      <c r="H7300" s="11">
        <f>F7300*Summary!$B$7</f>
        <v/>
      </c>
      <c r="I7300" s="11">
        <f>MAX(0,N7300-M7300)</f>
        <v/>
      </c>
      <c r="J7300" s="11">
        <f>MAX(0,M7300-N7300)</f>
        <v/>
      </c>
      <c r="K7300" s="11">
        <f>O7300</f>
        <v/>
      </c>
      <c r="L7300" s="11">
        <f>L7299+IF(K7300&gt;0,K7300*Summary!$B$9,K7300/Summary!$B$9)</f>
        <v/>
      </c>
      <c r="M7300" s="11">
        <f>G7300+H7300</f>
        <v/>
      </c>
      <c r="N7300" s="11">
        <f>Summary!$C$16*Summary!$B$8</f>
        <v/>
      </c>
      <c r="O7300" s="11">
        <f>M7300-N7300</f>
        <v/>
      </c>
    </row>
    <row r="7301">
      <c r="A7301" s="9" t="n">
        <v>45596.125</v>
      </c>
      <c r="B7301" t="n">
        <v>10</v>
      </c>
      <c r="C7301" t="n">
        <v>31</v>
      </c>
      <c r="D7301" t="n">
        <v>3</v>
      </c>
      <c r="E7301" s="10" t="n">
        <v>0</v>
      </c>
      <c r="F7301" s="10" t="n">
        <v>0.3514303563432856</v>
      </c>
      <c r="G7301" s="11">
        <f>E7301*Summary!$B$6</f>
        <v/>
      </c>
      <c r="H7301" s="11">
        <f>F7301*Summary!$B$7</f>
        <v/>
      </c>
      <c r="I7301" s="11">
        <f>MAX(0,N7301-M7301)</f>
        <v/>
      </c>
      <c r="J7301" s="11">
        <f>MAX(0,M7301-N7301)</f>
        <v/>
      </c>
      <c r="K7301" s="11">
        <f>O7301</f>
        <v/>
      </c>
      <c r="L7301" s="11">
        <f>L7300+IF(K7301&gt;0,K7301*Summary!$B$9,K7301/Summary!$B$9)</f>
        <v/>
      </c>
      <c r="M7301" s="11">
        <f>G7301+H7301</f>
        <v/>
      </c>
      <c r="N7301" s="11">
        <f>Summary!$C$16*Summary!$B$8</f>
        <v/>
      </c>
      <c r="O7301" s="11">
        <f>M7301-N7301</f>
        <v/>
      </c>
    </row>
    <row r="7302">
      <c r="A7302" s="9" t="n">
        <v>45596.16666666666</v>
      </c>
      <c r="B7302" t="n">
        <v>10</v>
      </c>
      <c r="C7302" t="n">
        <v>31</v>
      </c>
      <c r="D7302" t="n">
        <v>4</v>
      </c>
      <c r="E7302" s="10" t="n">
        <v>0</v>
      </c>
      <c r="F7302" s="10" t="n">
        <v>0.356542645570235</v>
      </c>
      <c r="G7302" s="11">
        <f>E7302*Summary!$B$6</f>
        <v/>
      </c>
      <c r="H7302" s="11">
        <f>F7302*Summary!$B$7</f>
        <v/>
      </c>
      <c r="I7302" s="11">
        <f>MAX(0,N7302-M7302)</f>
        <v/>
      </c>
      <c r="J7302" s="11">
        <f>MAX(0,M7302-N7302)</f>
        <v/>
      </c>
      <c r="K7302" s="11">
        <f>O7302</f>
        <v/>
      </c>
      <c r="L7302" s="11">
        <f>L7301+IF(K7302&gt;0,K7302*Summary!$B$9,K7302/Summary!$B$9)</f>
        <v/>
      </c>
      <c r="M7302" s="11">
        <f>G7302+H7302</f>
        <v/>
      </c>
      <c r="N7302" s="11">
        <f>Summary!$C$16*Summary!$B$8</f>
        <v/>
      </c>
      <c r="O7302" s="11">
        <f>M7302-N7302</f>
        <v/>
      </c>
    </row>
    <row r="7303">
      <c r="A7303" s="9" t="n">
        <v>45596.20833333334</v>
      </c>
      <c r="B7303" t="n">
        <v>10</v>
      </c>
      <c r="C7303" t="n">
        <v>31</v>
      </c>
      <c r="D7303" t="n">
        <v>5</v>
      </c>
      <c r="E7303" s="10" t="n">
        <v>0</v>
      </c>
      <c r="F7303" s="10" t="n">
        <v>0.3498228839574922</v>
      </c>
      <c r="G7303" s="11">
        <f>E7303*Summary!$B$6</f>
        <v/>
      </c>
      <c r="H7303" s="11">
        <f>F7303*Summary!$B$7</f>
        <v/>
      </c>
      <c r="I7303" s="11">
        <f>MAX(0,N7303-M7303)</f>
        <v/>
      </c>
      <c r="J7303" s="11">
        <f>MAX(0,M7303-N7303)</f>
        <v/>
      </c>
      <c r="K7303" s="11">
        <f>O7303</f>
        <v/>
      </c>
      <c r="L7303" s="11">
        <f>L7302+IF(K7303&gt;0,K7303*Summary!$B$9,K7303/Summary!$B$9)</f>
        <v/>
      </c>
      <c r="M7303" s="11">
        <f>G7303+H7303</f>
        <v/>
      </c>
      <c r="N7303" s="11">
        <f>Summary!$C$16*Summary!$B$8</f>
        <v/>
      </c>
      <c r="O7303" s="11">
        <f>M7303-N7303</f>
        <v/>
      </c>
    </row>
    <row r="7304">
      <c r="A7304" s="9" t="n">
        <v>45596.25</v>
      </c>
      <c r="B7304" t="n">
        <v>10</v>
      </c>
      <c r="C7304" t="n">
        <v>31</v>
      </c>
      <c r="D7304" t="n">
        <v>6</v>
      </c>
      <c r="E7304" s="10" t="n">
        <v>0</v>
      </c>
      <c r="F7304" s="10" t="n">
        <v>0.3465025311606075</v>
      </c>
      <c r="G7304" s="11">
        <f>E7304*Summary!$B$6</f>
        <v/>
      </c>
      <c r="H7304" s="11">
        <f>F7304*Summary!$B$7</f>
        <v/>
      </c>
      <c r="I7304" s="11">
        <f>MAX(0,N7304-M7304)</f>
        <v/>
      </c>
      <c r="J7304" s="11">
        <f>MAX(0,M7304-N7304)</f>
        <v/>
      </c>
      <c r="K7304" s="11">
        <f>O7304</f>
        <v/>
      </c>
      <c r="L7304" s="11">
        <f>L7303+IF(K7304&gt;0,K7304*Summary!$B$9,K7304/Summary!$B$9)</f>
        <v/>
      </c>
      <c r="M7304" s="11">
        <f>G7304+H7304</f>
        <v/>
      </c>
      <c r="N7304" s="11">
        <f>Summary!$C$16*Summary!$B$8</f>
        <v/>
      </c>
      <c r="O7304" s="11">
        <f>M7304-N7304</f>
        <v/>
      </c>
    </row>
    <row r="7305">
      <c r="A7305" s="9" t="n">
        <v>45596.29166666666</v>
      </c>
      <c r="B7305" t="n">
        <v>10</v>
      </c>
      <c r="C7305" t="n">
        <v>31</v>
      </c>
      <c r="D7305" t="n">
        <v>7</v>
      </c>
      <c r="E7305" s="10" t="n">
        <v>0.006018</v>
      </c>
      <c r="F7305" s="10" t="n">
        <v>0.3440254425661062</v>
      </c>
      <c r="G7305" s="11">
        <f>E7305*Summary!$B$6</f>
        <v/>
      </c>
      <c r="H7305" s="11">
        <f>F7305*Summary!$B$7</f>
        <v/>
      </c>
      <c r="I7305" s="11">
        <f>MAX(0,N7305-M7305)</f>
        <v/>
      </c>
      <c r="J7305" s="11">
        <f>MAX(0,M7305-N7305)</f>
        <v/>
      </c>
      <c r="K7305" s="11">
        <f>O7305</f>
        <v/>
      </c>
      <c r="L7305" s="11">
        <f>L7304+IF(K7305&gt;0,K7305*Summary!$B$9,K7305/Summary!$B$9)</f>
        <v/>
      </c>
      <c r="M7305" s="11">
        <f>G7305+H7305</f>
        <v/>
      </c>
      <c r="N7305" s="11">
        <f>Summary!$C$16*Summary!$B$8</f>
        <v/>
      </c>
      <c r="O7305" s="11">
        <f>M7305-N7305</f>
        <v/>
      </c>
    </row>
    <row r="7306">
      <c r="A7306" s="9" t="n">
        <v>45596.33333333334</v>
      </c>
      <c r="B7306" t="n">
        <v>10</v>
      </c>
      <c r="C7306" t="n">
        <v>31</v>
      </c>
      <c r="D7306" t="n">
        <v>8</v>
      </c>
      <c r="E7306" s="10" t="n">
        <v>0.041566</v>
      </c>
      <c r="F7306" s="10" t="n">
        <v>0.335750912580219</v>
      </c>
      <c r="G7306" s="11">
        <f>E7306*Summary!$B$6</f>
        <v/>
      </c>
      <c r="H7306" s="11">
        <f>F7306*Summary!$B$7</f>
        <v/>
      </c>
      <c r="I7306" s="11">
        <f>MAX(0,N7306-M7306)</f>
        <v/>
      </c>
      <c r="J7306" s="11">
        <f>MAX(0,M7306-N7306)</f>
        <v/>
      </c>
      <c r="K7306" s="11">
        <f>O7306</f>
        <v/>
      </c>
      <c r="L7306" s="11">
        <f>L7305+IF(K7306&gt;0,K7306*Summary!$B$9,K7306/Summary!$B$9)</f>
        <v/>
      </c>
      <c r="M7306" s="11">
        <f>G7306+H7306</f>
        <v/>
      </c>
      <c r="N7306" s="11">
        <f>Summary!$C$16*Summary!$B$8</f>
        <v/>
      </c>
      <c r="O7306" s="11">
        <f>M7306-N7306</f>
        <v/>
      </c>
    </row>
    <row r="7307">
      <c r="A7307" s="9" t="n">
        <v>45596.375</v>
      </c>
      <c r="B7307" t="n">
        <v>10</v>
      </c>
      <c r="C7307" t="n">
        <v>31</v>
      </c>
      <c r="D7307" t="n">
        <v>9</v>
      </c>
      <c r="E7307" s="10" t="n">
        <v>0.08004699999999999</v>
      </c>
      <c r="F7307" s="10" t="n">
        <v>0.3297953591508862</v>
      </c>
      <c r="G7307" s="11">
        <f>E7307*Summary!$B$6</f>
        <v/>
      </c>
      <c r="H7307" s="11">
        <f>F7307*Summary!$B$7</f>
        <v/>
      </c>
      <c r="I7307" s="11">
        <f>MAX(0,N7307-M7307)</f>
        <v/>
      </c>
      <c r="J7307" s="11">
        <f>MAX(0,M7307-N7307)</f>
        <v/>
      </c>
      <c r="K7307" s="11">
        <f>O7307</f>
        <v/>
      </c>
      <c r="L7307" s="11">
        <f>L7306+IF(K7307&gt;0,K7307*Summary!$B$9,K7307/Summary!$B$9)</f>
        <v/>
      </c>
      <c r="M7307" s="11">
        <f>G7307+H7307</f>
        <v/>
      </c>
      <c r="N7307" s="11">
        <f>Summary!$C$16*Summary!$B$8</f>
        <v/>
      </c>
      <c r="O7307" s="11">
        <f>M7307-N7307</f>
        <v/>
      </c>
    </row>
    <row r="7308">
      <c r="A7308" s="9" t="n">
        <v>45596.41666666666</v>
      </c>
      <c r="B7308" t="n">
        <v>10</v>
      </c>
      <c r="C7308" t="n">
        <v>31</v>
      </c>
      <c r="D7308" t="n">
        <v>10</v>
      </c>
      <c r="E7308" s="10" t="n">
        <v>0.133271</v>
      </c>
      <c r="F7308" s="10" t="n">
        <v>0.327107454505789</v>
      </c>
      <c r="G7308" s="11">
        <f>E7308*Summary!$B$6</f>
        <v/>
      </c>
      <c r="H7308" s="11">
        <f>F7308*Summary!$B$7</f>
        <v/>
      </c>
      <c r="I7308" s="11">
        <f>MAX(0,N7308-M7308)</f>
        <v/>
      </c>
      <c r="J7308" s="11">
        <f>MAX(0,M7308-N7308)</f>
        <v/>
      </c>
      <c r="K7308" s="11">
        <f>O7308</f>
        <v/>
      </c>
      <c r="L7308" s="11">
        <f>L7307+IF(K7308&gt;0,K7308*Summary!$B$9,K7308/Summary!$B$9)</f>
        <v/>
      </c>
      <c r="M7308" s="11">
        <f>G7308+H7308</f>
        <v/>
      </c>
      <c r="N7308" s="11">
        <f>Summary!$C$16*Summary!$B$8</f>
        <v/>
      </c>
      <c r="O7308" s="11">
        <f>M7308-N7308</f>
        <v/>
      </c>
    </row>
    <row r="7309">
      <c r="A7309" s="9" t="n">
        <v>45596.45833333334</v>
      </c>
      <c r="B7309" t="n">
        <v>10</v>
      </c>
      <c r="C7309" t="n">
        <v>31</v>
      </c>
      <c r="D7309" t="n">
        <v>11</v>
      </c>
      <c r="E7309" s="10" t="n">
        <v>0.121995</v>
      </c>
      <c r="F7309" s="10" t="n">
        <v>0.3223904453737069</v>
      </c>
      <c r="G7309" s="11">
        <f>E7309*Summary!$B$6</f>
        <v/>
      </c>
      <c r="H7309" s="11">
        <f>F7309*Summary!$B$7</f>
        <v/>
      </c>
      <c r="I7309" s="11">
        <f>MAX(0,N7309-M7309)</f>
        <v/>
      </c>
      <c r="J7309" s="11">
        <f>MAX(0,M7309-N7309)</f>
        <v/>
      </c>
      <c r="K7309" s="11">
        <f>O7309</f>
        <v/>
      </c>
      <c r="L7309" s="11">
        <f>L7308+IF(K7309&gt;0,K7309*Summary!$B$9,K7309/Summary!$B$9)</f>
        <v/>
      </c>
      <c r="M7309" s="11">
        <f>G7309+H7309</f>
        <v/>
      </c>
      <c r="N7309" s="11">
        <f>Summary!$C$16*Summary!$B$8</f>
        <v/>
      </c>
      <c r="O7309" s="11">
        <f>M7309-N7309</f>
        <v/>
      </c>
    </row>
    <row r="7310">
      <c r="A7310" s="9" t="n">
        <v>45596.5</v>
      </c>
      <c r="B7310" t="n">
        <v>10</v>
      </c>
      <c r="C7310" t="n">
        <v>31</v>
      </c>
      <c r="D7310" t="n">
        <v>12</v>
      </c>
      <c r="E7310" s="10" t="n">
        <v>0.118016</v>
      </c>
      <c r="F7310" s="10" t="n">
        <v>0.3148801235712296</v>
      </c>
      <c r="G7310" s="11">
        <f>E7310*Summary!$B$6</f>
        <v/>
      </c>
      <c r="H7310" s="11">
        <f>F7310*Summary!$B$7</f>
        <v/>
      </c>
      <c r="I7310" s="11">
        <f>MAX(0,N7310-M7310)</f>
        <v/>
      </c>
      <c r="J7310" s="11">
        <f>MAX(0,M7310-N7310)</f>
        <v/>
      </c>
      <c r="K7310" s="11">
        <f>O7310</f>
        <v/>
      </c>
      <c r="L7310" s="11">
        <f>L7309+IF(K7310&gt;0,K7310*Summary!$B$9,K7310/Summary!$B$9)</f>
        <v/>
      </c>
      <c r="M7310" s="11">
        <f>G7310+H7310</f>
        <v/>
      </c>
      <c r="N7310" s="11">
        <f>Summary!$C$16*Summary!$B$8</f>
        <v/>
      </c>
      <c r="O7310" s="11">
        <f>M7310-N7310</f>
        <v/>
      </c>
    </row>
    <row r="7311">
      <c r="A7311" s="9" t="n">
        <v>45596.54166666666</v>
      </c>
      <c r="B7311" t="n">
        <v>10</v>
      </c>
      <c r="C7311" t="n">
        <v>31</v>
      </c>
      <c r="D7311" t="n">
        <v>13</v>
      </c>
      <c r="E7311" s="10" t="n">
        <v>0.105727</v>
      </c>
      <c r="F7311" s="10" t="n">
        <v>0.3148274195585807</v>
      </c>
      <c r="G7311" s="11">
        <f>E7311*Summary!$B$6</f>
        <v/>
      </c>
      <c r="H7311" s="11">
        <f>F7311*Summary!$B$7</f>
        <v/>
      </c>
      <c r="I7311" s="11">
        <f>MAX(0,N7311-M7311)</f>
        <v/>
      </c>
      <c r="J7311" s="11">
        <f>MAX(0,M7311-N7311)</f>
        <v/>
      </c>
      <c r="K7311" s="11">
        <f>O7311</f>
        <v/>
      </c>
      <c r="L7311" s="11">
        <f>L7310+IF(K7311&gt;0,K7311*Summary!$B$9,K7311/Summary!$B$9)</f>
        <v/>
      </c>
      <c r="M7311" s="11">
        <f>G7311+H7311</f>
        <v/>
      </c>
      <c r="N7311" s="11">
        <f>Summary!$C$16*Summary!$B$8</f>
        <v/>
      </c>
      <c r="O7311" s="11">
        <f>M7311-N7311</f>
        <v/>
      </c>
    </row>
    <row r="7312">
      <c r="A7312" s="9" t="n">
        <v>45596.58333333334</v>
      </c>
      <c r="B7312" t="n">
        <v>10</v>
      </c>
      <c r="C7312" t="n">
        <v>31</v>
      </c>
      <c r="D7312" t="n">
        <v>14</v>
      </c>
      <c r="E7312" s="10" t="n">
        <v>0.05474</v>
      </c>
      <c r="F7312" s="10" t="n">
        <v>0.3198870047728811</v>
      </c>
      <c r="G7312" s="11">
        <f>E7312*Summary!$B$6</f>
        <v/>
      </c>
      <c r="H7312" s="11">
        <f>F7312*Summary!$B$7</f>
        <v/>
      </c>
      <c r="I7312" s="11">
        <f>MAX(0,N7312-M7312)</f>
        <v/>
      </c>
      <c r="J7312" s="11">
        <f>MAX(0,M7312-N7312)</f>
        <v/>
      </c>
      <c r="K7312" s="11">
        <f>O7312</f>
        <v/>
      </c>
      <c r="L7312" s="11">
        <f>L7311+IF(K7312&gt;0,K7312*Summary!$B$9,K7312/Summary!$B$9)</f>
        <v/>
      </c>
      <c r="M7312" s="11">
        <f>G7312+H7312</f>
        <v/>
      </c>
      <c r="N7312" s="11">
        <f>Summary!$C$16*Summary!$B$8</f>
        <v/>
      </c>
      <c r="O7312" s="11">
        <f>M7312-N7312</f>
        <v/>
      </c>
    </row>
    <row r="7313">
      <c r="A7313" s="9" t="n">
        <v>45596.625</v>
      </c>
      <c r="B7313" t="n">
        <v>10</v>
      </c>
      <c r="C7313" t="n">
        <v>31</v>
      </c>
      <c r="D7313" t="n">
        <v>15</v>
      </c>
      <c r="E7313" s="10" t="n">
        <v>0.016771</v>
      </c>
      <c r="F7313" s="10" t="n">
        <v>0.3240242697658248</v>
      </c>
      <c r="G7313" s="11">
        <f>E7313*Summary!$B$6</f>
        <v/>
      </c>
      <c r="H7313" s="11">
        <f>F7313*Summary!$B$7</f>
        <v/>
      </c>
      <c r="I7313" s="11">
        <f>MAX(0,N7313-M7313)</f>
        <v/>
      </c>
      <c r="J7313" s="11">
        <f>MAX(0,M7313-N7313)</f>
        <v/>
      </c>
      <c r="K7313" s="11">
        <f>O7313</f>
        <v/>
      </c>
      <c r="L7313" s="11">
        <f>L7312+IF(K7313&gt;0,K7313*Summary!$B$9,K7313/Summary!$B$9)</f>
        <v/>
      </c>
      <c r="M7313" s="11">
        <f>G7313+H7313</f>
        <v/>
      </c>
      <c r="N7313" s="11">
        <f>Summary!$C$16*Summary!$B$8</f>
        <v/>
      </c>
      <c r="O7313" s="11">
        <f>M7313-N7313</f>
        <v/>
      </c>
    </row>
    <row r="7314">
      <c r="A7314" s="9" t="n">
        <v>45596.66666666666</v>
      </c>
      <c r="B7314" t="n">
        <v>10</v>
      </c>
      <c r="C7314" t="n">
        <v>31</v>
      </c>
      <c r="D7314" t="n">
        <v>16</v>
      </c>
      <c r="E7314" s="10" t="n">
        <v>0</v>
      </c>
      <c r="F7314" s="10" t="n">
        <v>0.3381752971620713</v>
      </c>
      <c r="G7314" s="11">
        <f>E7314*Summary!$B$6</f>
        <v/>
      </c>
      <c r="H7314" s="11">
        <f>F7314*Summary!$B$7</f>
        <v/>
      </c>
      <c r="I7314" s="11">
        <f>MAX(0,N7314-M7314)</f>
        <v/>
      </c>
      <c r="J7314" s="11">
        <f>MAX(0,M7314-N7314)</f>
        <v/>
      </c>
      <c r="K7314" s="11">
        <f>O7314</f>
        <v/>
      </c>
      <c r="L7314" s="11">
        <f>L7313+IF(K7314&gt;0,K7314*Summary!$B$9,K7314/Summary!$B$9)</f>
        <v/>
      </c>
      <c r="M7314" s="11">
        <f>G7314+H7314</f>
        <v/>
      </c>
      <c r="N7314" s="11">
        <f>Summary!$C$16*Summary!$B$8</f>
        <v/>
      </c>
      <c r="O7314" s="11">
        <f>M7314-N7314</f>
        <v/>
      </c>
    </row>
    <row r="7315">
      <c r="A7315" s="9" t="n">
        <v>45596.70833333334</v>
      </c>
      <c r="B7315" t="n">
        <v>10</v>
      </c>
      <c r="C7315" t="n">
        <v>31</v>
      </c>
      <c r="D7315" t="n">
        <v>17</v>
      </c>
      <c r="E7315" s="10" t="n">
        <v>0</v>
      </c>
      <c r="F7315" s="10" t="n">
        <v>0.3473194433566664</v>
      </c>
      <c r="G7315" s="11">
        <f>E7315*Summary!$B$6</f>
        <v/>
      </c>
      <c r="H7315" s="11">
        <f>F7315*Summary!$B$7</f>
        <v/>
      </c>
      <c r="I7315" s="11">
        <f>MAX(0,N7315-M7315)</f>
        <v/>
      </c>
      <c r="J7315" s="11">
        <f>MAX(0,M7315-N7315)</f>
        <v/>
      </c>
      <c r="K7315" s="11">
        <f>O7315</f>
        <v/>
      </c>
      <c r="L7315" s="11">
        <f>L7314+IF(K7315&gt;0,K7315*Summary!$B$9,K7315/Summary!$B$9)</f>
        <v/>
      </c>
      <c r="M7315" s="11">
        <f>G7315+H7315</f>
        <v/>
      </c>
      <c r="N7315" s="11">
        <f>Summary!$C$16*Summary!$B$8</f>
        <v/>
      </c>
      <c r="O7315" s="11">
        <f>M7315-N7315</f>
        <v/>
      </c>
    </row>
    <row r="7316">
      <c r="A7316" s="9" t="n">
        <v>45596.75</v>
      </c>
      <c r="B7316" t="n">
        <v>10</v>
      </c>
      <c r="C7316" t="n">
        <v>31</v>
      </c>
      <c r="D7316" t="n">
        <v>18</v>
      </c>
      <c r="E7316" s="10" t="n">
        <v>0</v>
      </c>
      <c r="F7316" s="10" t="n">
        <v>0.3574386137852673</v>
      </c>
      <c r="G7316" s="11">
        <f>E7316*Summary!$B$6</f>
        <v/>
      </c>
      <c r="H7316" s="11">
        <f>F7316*Summary!$B$7</f>
        <v/>
      </c>
      <c r="I7316" s="11">
        <f>MAX(0,N7316-M7316)</f>
        <v/>
      </c>
      <c r="J7316" s="11">
        <f>MAX(0,M7316-N7316)</f>
        <v/>
      </c>
      <c r="K7316" s="11">
        <f>O7316</f>
        <v/>
      </c>
      <c r="L7316" s="11">
        <f>L7315+IF(K7316&gt;0,K7316*Summary!$B$9,K7316/Summary!$B$9)</f>
        <v/>
      </c>
      <c r="M7316" s="11">
        <f>G7316+H7316</f>
        <v/>
      </c>
      <c r="N7316" s="11">
        <f>Summary!$C$16*Summary!$B$8</f>
        <v/>
      </c>
      <c r="O7316" s="11">
        <f>M7316-N7316</f>
        <v/>
      </c>
    </row>
    <row r="7317">
      <c r="A7317" s="9" t="n">
        <v>45596.79166666666</v>
      </c>
      <c r="B7317" t="n">
        <v>10</v>
      </c>
      <c r="C7317" t="n">
        <v>31</v>
      </c>
      <c r="D7317" t="n">
        <v>19</v>
      </c>
      <c r="E7317" s="10" t="n">
        <v>0</v>
      </c>
      <c r="F7317" s="10" t="n">
        <v>0.3621029189047005</v>
      </c>
      <c r="G7317" s="11">
        <f>E7317*Summary!$B$6</f>
        <v/>
      </c>
      <c r="H7317" s="11">
        <f>F7317*Summary!$B$7</f>
        <v/>
      </c>
      <c r="I7317" s="11">
        <f>MAX(0,N7317-M7317)</f>
        <v/>
      </c>
      <c r="J7317" s="11">
        <f>MAX(0,M7317-N7317)</f>
        <v/>
      </c>
      <c r="K7317" s="11">
        <f>O7317</f>
        <v/>
      </c>
      <c r="L7317" s="11">
        <f>L7316+IF(K7317&gt;0,K7317*Summary!$B$9,K7317/Summary!$B$9)</f>
        <v/>
      </c>
      <c r="M7317" s="11">
        <f>G7317+H7317</f>
        <v/>
      </c>
      <c r="N7317" s="11">
        <f>Summary!$C$16*Summary!$B$8</f>
        <v/>
      </c>
      <c r="O7317" s="11">
        <f>M7317-N7317</f>
        <v/>
      </c>
    </row>
    <row r="7318">
      <c r="A7318" s="9" t="n">
        <v>45596.83333333334</v>
      </c>
      <c r="B7318" t="n">
        <v>10</v>
      </c>
      <c r="C7318" t="n">
        <v>31</v>
      </c>
      <c r="D7318" t="n">
        <v>20</v>
      </c>
      <c r="E7318" s="10" t="n">
        <v>0</v>
      </c>
      <c r="F7318" s="10" t="n">
        <v>0.3649489355877445</v>
      </c>
      <c r="G7318" s="11">
        <f>E7318*Summary!$B$6</f>
        <v/>
      </c>
      <c r="H7318" s="11">
        <f>F7318*Summary!$B$7</f>
        <v/>
      </c>
      <c r="I7318" s="11">
        <f>MAX(0,N7318-M7318)</f>
        <v/>
      </c>
      <c r="J7318" s="11">
        <f>MAX(0,M7318-N7318)</f>
        <v/>
      </c>
      <c r="K7318" s="11">
        <f>O7318</f>
        <v/>
      </c>
      <c r="L7318" s="11">
        <f>L7317+IF(K7318&gt;0,K7318*Summary!$B$9,K7318/Summary!$B$9)</f>
        <v/>
      </c>
      <c r="M7318" s="11">
        <f>G7318+H7318</f>
        <v/>
      </c>
      <c r="N7318" s="11">
        <f>Summary!$C$16*Summary!$B$8</f>
        <v/>
      </c>
      <c r="O7318" s="11">
        <f>M7318-N7318</f>
        <v/>
      </c>
    </row>
    <row r="7319">
      <c r="A7319" s="9" t="n">
        <v>45596.875</v>
      </c>
      <c r="B7319" t="n">
        <v>10</v>
      </c>
      <c r="C7319" t="n">
        <v>31</v>
      </c>
      <c r="D7319" t="n">
        <v>21</v>
      </c>
      <c r="E7319" s="10" t="n">
        <v>0</v>
      </c>
      <c r="F7319" s="10" t="n">
        <v>0.3676368402328417</v>
      </c>
      <c r="G7319" s="11">
        <f>E7319*Summary!$B$6</f>
        <v/>
      </c>
      <c r="H7319" s="11">
        <f>F7319*Summary!$B$7</f>
        <v/>
      </c>
      <c r="I7319" s="11">
        <f>MAX(0,N7319-M7319)</f>
        <v/>
      </c>
      <c r="J7319" s="11">
        <f>MAX(0,M7319-N7319)</f>
        <v/>
      </c>
      <c r="K7319" s="11">
        <f>O7319</f>
        <v/>
      </c>
      <c r="L7319" s="11">
        <f>L7318+IF(K7319&gt;0,K7319*Summary!$B$9,K7319/Summary!$B$9)</f>
        <v/>
      </c>
      <c r="M7319" s="11">
        <f>G7319+H7319</f>
        <v/>
      </c>
      <c r="N7319" s="11">
        <f>Summary!$C$16*Summary!$B$8</f>
        <v/>
      </c>
      <c r="O7319" s="11">
        <f>M7319-N7319</f>
        <v/>
      </c>
    </row>
    <row r="7320">
      <c r="A7320" s="9" t="n">
        <v>45596.91666666666</v>
      </c>
      <c r="B7320" t="n">
        <v>10</v>
      </c>
      <c r="C7320" t="n">
        <v>31</v>
      </c>
      <c r="D7320" t="n">
        <v>22</v>
      </c>
      <c r="E7320" s="10" t="n">
        <v>0</v>
      </c>
      <c r="F7320" s="10" t="n">
        <v>0.3705882649411835</v>
      </c>
      <c r="G7320" s="11">
        <f>E7320*Summary!$B$6</f>
        <v/>
      </c>
      <c r="H7320" s="11">
        <f>F7320*Summary!$B$7</f>
        <v/>
      </c>
      <c r="I7320" s="11">
        <f>MAX(0,N7320-M7320)</f>
        <v/>
      </c>
      <c r="J7320" s="11">
        <f>MAX(0,M7320-N7320)</f>
        <v/>
      </c>
      <c r="K7320" s="11">
        <f>O7320</f>
        <v/>
      </c>
      <c r="L7320" s="11">
        <f>L7319+IF(K7320&gt;0,K7320*Summary!$B$9,K7320/Summary!$B$9)</f>
        <v/>
      </c>
      <c r="M7320" s="11">
        <f>G7320+H7320</f>
        <v/>
      </c>
      <c r="N7320" s="11">
        <f>Summary!$C$16*Summary!$B$8</f>
        <v/>
      </c>
      <c r="O7320" s="11">
        <f>M7320-N7320</f>
        <v/>
      </c>
    </row>
    <row r="7321">
      <c r="A7321" s="9" t="n">
        <v>45596.95833333334</v>
      </c>
      <c r="B7321" t="n">
        <v>10</v>
      </c>
      <c r="C7321" t="n">
        <v>31</v>
      </c>
      <c r="D7321" t="n">
        <v>23</v>
      </c>
      <c r="E7321" s="10" t="n">
        <v>0</v>
      </c>
      <c r="F7321" s="10" t="n">
        <v>0.4000498080119539</v>
      </c>
      <c r="G7321" s="11">
        <f>E7321*Summary!$B$6</f>
        <v/>
      </c>
      <c r="H7321" s="11">
        <f>F7321*Summary!$B$7</f>
        <v/>
      </c>
      <c r="I7321" s="11">
        <f>MAX(0,N7321-M7321)</f>
        <v/>
      </c>
      <c r="J7321" s="11">
        <f>MAX(0,M7321-N7321)</f>
        <v/>
      </c>
      <c r="K7321" s="11">
        <f>O7321</f>
        <v/>
      </c>
      <c r="L7321" s="11">
        <f>L7320+IF(K7321&gt;0,K7321*Summary!$B$9,K7321/Summary!$B$9)</f>
        <v/>
      </c>
      <c r="M7321" s="11">
        <f>G7321+H7321</f>
        <v/>
      </c>
      <c r="N7321" s="11">
        <f>Summary!$C$16*Summary!$B$8</f>
        <v/>
      </c>
      <c r="O7321" s="11">
        <f>M7321-N7321</f>
        <v/>
      </c>
    </row>
    <row r="7322">
      <c r="A7322" s="9" t="n">
        <v>45597</v>
      </c>
      <c r="B7322" t="n">
        <v>11</v>
      </c>
      <c r="C7322" t="n">
        <v>1</v>
      </c>
      <c r="D7322" t="n">
        <v>0</v>
      </c>
      <c r="E7322" s="10" t="n">
        <v>0</v>
      </c>
      <c r="F7322" s="10" t="n">
        <v>0.4715691531765968</v>
      </c>
      <c r="G7322" s="11">
        <f>E7322*Summary!$B$6</f>
        <v/>
      </c>
      <c r="H7322" s="11">
        <f>F7322*Summary!$B$7</f>
        <v/>
      </c>
      <c r="I7322" s="11">
        <f>MAX(0,N7322-M7322)</f>
        <v/>
      </c>
      <c r="J7322" s="11">
        <f>MAX(0,M7322-N7322)</f>
        <v/>
      </c>
      <c r="K7322" s="11">
        <f>O7322</f>
        <v/>
      </c>
      <c r="L7322" s="11">
        <f>L7321+IF(K7322&gt;0,K7322*Summary!$B$9,K7322/Summary!$B$9)</f>
        <v/>
      </c>
      <c r="M7322" s="11">
        <f>G7322+H7322</f>
        <v/>
      </c>
      <c r="N7322" s="11">
        <f>Summary!$C$16*Summary!$B$8</f>
        <v/>
      </c>
      <c r="O7322" s="11">
        <f>M7322-N7322</f>
        <v/>
      </c>
    </row>
    <row r="7323">
      <c r="A7323" s="9" t="n">
        <v>45597.04166666666</v>
      </c>
      <c r="B7323" t="n">
        <v>11</v>
      </c>
      <c r="C7323" t="n">
        <v>1</v>
      </c>
      <c r="D7323" t="n">
        <v>1</v>
      </c>
      <c r="E7323" s="10" t="n">
        <v>0</v>
      </c>
      <c r="F7323" s="10" t="n">
        <v>0.385661612558787</v>
      </c>
      <c r="G7323" s="11">
        <f>E7323*Summary!$B$6</f>
        <v/>
      </c>
      <c r="H7323" s="11">
        <f>F7323*Summary!$B$7</f>
        <v/>
      </c>
      <c r="I7323" s="11">
        <f>MAX(0,N7323-M7323)</f>
        <v/>
      </c>
      <c r="J7323" s="11">
        <f>MAX(0,M7323-N7323)</f>
        <v/>
      </c>
      <c r="K7323" s="11">
        <f>O7323</f>
        <v/>
      </c>
      <c r="L7323" s="11">
        <f>L7322+IF(K7323&gt;0,K7323*Summary!$B$9,K7323/Summary!$B$9)</f>
        <v/>
      </c>
      <c r="M7323" s="11">
        <f>G7323+H7323</f>
        <v/>
      </c>
      <c r="N7323" s="11">
        <f>Summary!$C$16*Summary!$B$8</f>
        <v/>
      </c>
      <c r="O7323" s="11">
        <f>M7323-N7323</f>
        <v/>
      </c>
    </row>
    <row r="7324">
      <c r="A7324" s="9" t="n">
        <v>45597.08333333334</v>
      </c>
      <c r="B7324" t="n">
        <v>11</v>
      </c>
      <c r="C7324" t="n">
        <v>1</v>
      </c>
      <c r="D7324" t="n">
        <v>2</v>
      </c>
      <c r="E7324" s="10" t="n">
        <v>0</v>
      </c>
      <c r="F7324" s="10" t="n">
        <v>0.3859514846283563</v>
      </c>
      <c r="G7324" s="11">
        <f>E7324*Summary!$B$6</f>
        <v/>
      </c>
      <c r="H7324" s="11">
        <f>F7324*Summary!$B$7</f>
        <v/>
      </c>
      <c r="I7324" s="11">
        <f>MAX(0,N7324-M7324)</f>
        <v/>
      </c>
      <c r="J7324" s="11">
        <f>MAX(0,M7324-N7324)</f>
        <v/>
      </c>
      <c r="K7324" s="11">
        <f>O7324</f>
        <v/>
      </c>
      <c r="L7324" s="11">
        <f>L7323+IF(K7324&gt;0,K7324*Summary!$B$9,K7324/Summary!$B$9)</f>
        <v/>
      </c>
      <c r="M7324" s="11">
        <f>G7324+H7324</f>
        <v/>
      </c>
      <c r="N7324" s="11">
        <f>Summary!$C$16*Summary!$B$8</f>
        <v/>
      </c>
      <c r="O7324" s="11">
        <f>M7324-N7324</f>
        <v/>
      </c>
    </row>
    <row r="7325">
      <c r="A7325" s="9" t="n">
        <v>45597.125</v>
      </c>
      <c r="B7325" t="n">
        <v>11</v>
      </c>
      <c r="C7325" t="n">
        <v>1</v>
      </c>
      <c r="D7325" t="n">
        <v>3</v>
      </c>
      <c r="E7325" s="10" t="n">
        <v>0</v>
      </c>
      <c r="F7325" s="10" t="n">
        <v>0.3859514846283563</v>
      </c>
      <c r="G7325" s="11">
        <f>E7325*Summary!$B$6</f>
        <v/>
      </c>
      <c r="H7325" s="11">
        <f>F7325*Summary!$B$7</f>
        <v/>
      </c>
      <c r="I7325" s="11">
        <f>MAX(0,N7325-M7325)</f>
        <v/>
      </c>
      <c r="J7325" s="11">
        <f>MAX(0,M7325-N7325)</f>
        <v/>
      </c>
      <c r="K7325" s="11">
        <f>O7325</f>
        <v/>
      </c>
      <c r="L7325" s="11">
        <f>L7324+IF(K7325&gt;0,K7325*Summary!$B$9,K7325/Summary!$B$9)</f>
        <v/>
      </c>
      <c r="M7325" s="11">
        <f>G7325+H7325</f>
        <v/>
      </c>
      <c r="N7325" s="11">
        <f>Summary!$C$16*Summary!$B$8</f>
        <v/>
      </c>
      <c r="O7325" s="11">
        <f>M7325-N7325</f>
        <v/>
      </c>
    </row>
    <row r="7326">
      <c r="A7326" s="9" t="n">
        <v>45597.16666666666</v>
      </c>
      <c r="B7326" t="n">
        <v>11</v>
      </c>
      <c r="C7326" t="n">
        <v>1</v>
      </c>
      <c r="D7326" t="n">
        <v>4</v>
      </c>
      <c r="E7326" s="10" t="n">
        <v>0</v>
      </c>
      <c r="F7326" s="10" t="n">
        <v>0.3854771485145156</v>
      </c>
      <c r="G7326" s="11">
        <f>E7326*Summary!$B$6</f>
        <v/>
      </c>
      <c r="H7326" s="11">
        <f>F7326*Summary!$B$7</f>
        <v/>
      </c>
      <c r="I7326" s="11">
        <f>MAX(0,N7326-M7326)</f>
        <v/>
      </c>
      <c r="J7326" s="11">
        <f>MAX(0,M7326-N7326)</f>
        <v/>
      </c>
      <c r="K7326" s="11">
        <f>O7326</f>
        <v/>
      </c>
      <c r="L7326" s="11">
        <f>L7325+IF(K7326&gt;0,K7326*Summary!$B$9,K7326/Summary!$B$9)</f>
        <v/>
      </c>
      <c r="M7326" s="11">
        <f>G7326+H7326</f>
        <v/>
      </c>
      <c r="N7326" s="11">
        <f>Summary!$C$16*Summary!$B$8</f>
        <v/>
      </c>
      <c r="O7326" s="11">
        <f>M7326-N7326</f>
        <v/>
      </c>
    </row>
    <row r="7327">
      <c r="A7327" s="9" t="n">
        <v>45597.20833333334</v>
      </c>
      <c r="B7327" t="n">
        <v>11</v>
      </c>
      <c r="C7327" t="n">
        <v>1</v>
      </c>
      <c r="D7327" t="n">
        <v>5</v>
      </c>
      <c r="E7327" s="10" t="n">
        <v>0</v>
      </c>
      <c r="F7327" s="10" t="n">
        <v>0.3855298525271646</v>
      </c>
      <c r="G7327" s="11">
        <f>E7327*Summary!$B$6</f>
        <v/>
      </c>
      <c r="H7327" s="11">
        <f>F7327*Summary!$B$7</f>
        <v/>
      </c>
      <c r="I7327" s="11">
        <f>MAX(0,N7327-M7327)</f>
        <v/>
      </c>
      <c r="J7327" s="11">
        <f>MAX(0,M7327-N7327)</f>
        <v/>
      </c>
      <c r="K7327" s="11">
        <f>O7327</f>
        <v/>
      </c>
      <c r="L7327" s="11">
        <f>L7326+IF(K7327&gt;0,K7327*Summary!$B$9,K7327/Summary!$B$9)</f>
        <v/>
      </c>
      <c r="M7327" s="11">
        <f>G7327+H7327</f>
        <v/>
      </c>
      <c r="N7327" s="11">
        <f>Summary!$C$16*Summary!$B$8</f>
        <v/>
      </c>
      <c r="O7327" s="11">
        <f>M7327-N7327</f>
        <v/>
      </c>
    </row>
    <row r="7328">
      <c r="A7328" s="9" t="n">
        <v>45597.25</v>
      </c>
      <c r="B7328" t="n">
        <v>11</v>
      </c>
      <c r="C7328" t="n">
        <v>1</v>
      </c>
      <c r="D7328" t="n">
        <v>6</v>
      </c>
      <c r="E7328" s="10" t="n">
        <v>0</v>
      </c>
      <c r="F7328" s="10" t="n">
        <v>0.3871900289256069</v>
      </c>
      <c r="G7328" s="11">
        <f>E7328*Summary!$B$6</f>
        <v/>
      </c>
      <c r="H7328" s="11">
        <f>F7328*Summary!$B$7</f>
        <v/>
      </c>
      <c r="I7328" s="11">
        <f>MAX(0,N7328-M7328)</f>
        <v/>
      </c>
      <c r="J7328" s="11">
        <f>MAX(0,M7328-N7328)</f>
        <v/>
      </c>
      <c r="K7328" s="11">
        <f>O7328</f>
        <v/>
      </c>
      <c r="L7328" s="11">
        <f>L7327+IF(K7328&gt;0,K7328*Summary!$B$9,K7328/Summary!$B$9)</f>
        <v/>
      </c>
      <c r="M7328" s="11">
        <f>G7328+H7328</f>
        <v/>
      </c>
      <c r="N7328" s="11">
        <f>Summary!$C$16*Summary!$B$8</f>
        <v/>
      </c>
      <c r="O7328" s="11">
        <f>M7328-N7328</f>
        <v/>
      </c>
    </row>
    <row r="7329">
      <c r="A7329" s="9" t="n">
        <v>45597.29166666666</v>
      </c>
      <c r="B7329" t="n">
        <v>11</v>
      </c>
      <c r="C7329" t="n">
        <v>1</v>
      </c>
      <c r="D7329" t="n">
        <v>7</v>
      </c>
      <c r="E7329" s="10" t="n">
        <v>0.001986</v>
      </c>
      <c r="F7329" s="10" t="n">
        <v>0.3842122522109405</v>
      </c>
      <c r="G7329" s="11">
        <f>E7329*Summary!$B$6</f>
        <v/>
      </c>
      <c r="H7329" s="11">
        <f>F7329*Summary!$B$7</f>
        <v/>
      </c>
      <c r="I7329" s="11">
        <f>MAX(0,N7329-M7329)</f>
        <v/>
      </c>
      <c r="J7329" s="11">
        <f>MAX(0,M7329-N7329)</f>
        <v/>
      </c>
      <c r="K7329" s="11">
        <f>O7329</f>
        <v/>
      </c>
      <c r="L7329" s="11">
        <f>L7328+IF(K7329&gt;0,K7329*Summary!$B$9,K7329/Summary!$B$9)</f>
        <v/>
      </c>
      <c r="M7329" s="11">
        <f>G7329+H7329</f>
        <v/>
      </c>
      <c r="N7329" s="11">
        <f>Summary!$C$16*Summary!$B$8</f>
        <v/>
      </c>
      <c r="O7329" s="11">
        <f>M7329-N7329</f>
        <v/>
      </c>
    </row>
    <row r="7330">
      <c r="A7330" s="9" t="n">
        <v>45597.33333333334</v>
      </c>
      <c r="B7330" t="n">
        <v>11</v>
      </c>
      <c r="C7330" t="n">
        <v>1</v>
      </c>
      <c r="D7330" t="n">
        <v>8</v>
      </c>
      <c r="E7330" s="10" t="n">
        <v>0.021233</v>
      </c>
      <c r="F7330" s="10" t="n">
        <v>0.3780458827310119</v>
      </c>
      <c r="G7330" s="11">
        <f>E7330*Summary!$B$6</f>
        <v/>
      </c>
      <c r="H7330" s="11">
        <f>F7330*Summary!$B$7</f>
        <v/>
      </c>
      <c r="I7330" s="11">
        <f>MAX(0,N7330-M7330)</f>
        <v/>
      </c>
      <c r="J7330" s="11">
        <f>MAX(0,M7330-N7330)</f>
        <v/>
      </c>
      <c r="K7330" s="11">
        <f>O7330</f>
        <v/>
      </c>
      <c r="L7330" s="11">
        <f>L7329+IF(K7330&gt;0,K7330*Summary!$B$9,K7330/Summary!$B$9)</f>
        <v/>
      </c>
      <c r="M7330" s="11">
        <f>G7330+H7330</f>
        <v/>
      </c>
      <c r="N7330" s="11">
        <f>Summary!$C$16*Summary!$B$8</f>
        <v/>
      </c>
      <c r="O7330" s="11">
        <f>M7330-N7330</f>
        <v/>
      </c>
    </row>
    <row r="7331">
      <c r="A7331" s="9" t="n">
        <v>45597.375</v>
      </c>
      <c r="B7331" t="n">
        <v>11</v>
      </c>
      <c r="C7331" t="n">
        <v>1</v>
      </c>
      <c r="D7331" t="n">
        <v>9</v>
      </c>
      <c r="E7331" s="10" t="n">
        <v>0.032332</v>
      </c>
      <c r="F7331" s="10" t="n">
        <v>0.3717214012131363</v>
      </c>
      <c r="G7331" s="11">
        <f>E7331*Summary!$B$6</f>
        <v/>
      </c>
      <c r="H7331" s="11">
        <f>F7331*Summary!$B$7</f>
        <v/>
      </c>
      <c r="I7331" s="11">
        <f>MAX(0,N7331-M7331)</f>
        <v/>
      </c>
      <c r="J7331" s="11">
        <f>MAX(0,M7331-N7331)</f>
        <v/>
      </c>
      <c r="K7331" s="11">
        <f>O7331</f>
        <v/>
      </c>
      <c r="L7331" s="11">
        <f>L7330+IF(K7331&gt;0,K7331*Summary!$B$9,K7331/Summary!$B$9)</f>
        <v/>
      </c>
      <c r="M7331" s="11">
        <f>G7331+H7331</f>
        <v/>
      </c>
      <c r="N7331" s="11">
        <f>Summary!$C$16*Summary!$B$8</f>
        <v/>
      </c>
      <c r="O7331" s="11">
        <f>M7331-N7331</f>
        <v/>
      </c>
    </row>
    <row r="7332">
      <c r="A7332" s="9" t="n">
        <v>45597.41666666666</v>
      </c>
      <c r="B7332" t="n">
        <v>11</v>
      </c>
      <c r="C7332" t="n">
        <v>1</v>
      </c>
      <c r="D7332" t="n">
        <v>10</v>
      </c>
      <c r="E7332" s="10" t="n">
        <v>0.058985</v>
      </c>
      <c r="F7332" s="10" t="n">
        <v>0.3649752875940691</v>
      </c>
      <c r="G7332" s="11">
        <f>E7332*Summary!$B$6</f>
        <v/>
      </c>
      <c r="H7332" s="11">
        <f>F7332*Summary!$B$7</f>
        <v/>
      </c>
      <c r="I7332" s="11">
        <f>MAX(0,N7332-M7332)</f>
        <v/>
      </c>
      <c r="J7332" s="11">
        <f>MAX(0,M7332-N7332)</f>
        <v/>
      </c>
      <c r="K7332" s="11">
        <f>O7332</f>
        <v/>
      </c>
      <c r="L7332" s="11">
        <f>L7331+IF(K7332&gt;0,K7332*Summary!$B$9,K7332/Summary!$B$9)</f>
        <v/>
      </c>
      <c r="M7332" s="11">
        <f>G7332+H7332</f>
        <v/>
      </c>
      <c r="N7332" s="11">
        <f>Summary!$C$16*Summary!$B$8</f>
        <v/>
      </c>
      <c r="O7332" s="11">
        <f>M7332-N7332</f>
        <v/>
      </c>
    </row>
    <row r="7333">
      <c r="A7333" s="9" t="n">
        <v>45597.45833333334</v>
      </c>
      <c r="B7333" t="n">
        <v>11</v>
      </c>
      <c r="C7333" t="n">
        <v>1</v>
      </c>
      <c r="D7333" t="n">
        <v>11</v>
      </c>
      <c r="E7333" s="10" t="n">
        <v>0.071357</v>
      </c>
      <c r="F7333" s="10" t="n">
        <v>0.3619184548604292</v>
      </c>
      <c r="G7333" s="11">
        <f>E7333*Summary!$B$6</f>
        <v/>
      </c>
      <c r="H7333" s="11">
        <f>F7333*Summary!$B$7</f>
        <v/>
      </c>
      <c r="I7333" s="11">
        <f>MAX(0,N7333-M7333)</f>
        <v/>
      </c>
      <c r="J7333" s="11">
        <f>MAX(0,M7333-N7333)</f>
        <v/>
      </c>
      <c r="K7333" s="11">
        <f>O7333</f>
        <v/>
      </c>
      <c r="L7333" s="11">
        <f>L7332+IF(K7333&gt;0,K7333*Summary!$B$9,K7333/Summary!$B$9)</f>
        <v/>
      </c>
      <c r="M7333" s="11">
        <f>G7333+H7333</f>
        <v/>
      </c>
      <c r="N7333" s="11">
        <f>Summary!$C$16*Summary!$B$8</f>
        <v/>
      </c>
      <c r="O7333" s="11">
        <f>M7333-N7333</f>
        <v/>
      </c>
    </row>
    <row r="7334">
      <c r="A7334" s="9" t="n">
        <v>45597.5</v>
      </c>
      <c r="B7334" t="n">
        <v>11</v>
      </c>
      <c r="C7334" t="n">
        <v>1</v>
      </c>
      <c r="D7334" t="n">
        <v>12</v>
      </c>
      <c r="E7334" s="10" t="n">
        <v>0.047491</v>
      </c>
      <c r="F7334" s="10" t="n">
        <v>0.3614968227592375</v>
      </c>
      <c r="G7334" s="11">
        <f>E7334*Summary!$B$6</f>
        <v/>
      </c>
      <c r="H7334" s="11">
        <f>F7334*Summary!$B$7</f>
        <v/>
      </c>
      <c r="I7334" s="11">
        <f>MAX(0,N7334-M7334)</f>
        <v/>
      </c>
      <c r="J7334" s="11">
        <f>MAX(0,M7334-N7334)</f>
        <v/>
      </c>
      <c r="K7334" s="11">
        <f>O7334</f>
        <v/>
      </c>
      <c r="L7334" s="11">
        <f>L7333+IF(K7334&gt;0,K7334*Summary!$B$9,K7334/Summary!$B$9)</f>
        <v/>
      </c>
      <c r="M7334" s="11">
        <f>G7334+H7334</f>
        <v/>
      </c>
      <c r="N7334" s="11">
        <f>Summary!$C$16*Summary!$B$8</f>
        <v/>
      </c>
      <c r="O7334" s="11">
        <f>M7334-N7334</f>
        <v/>
      </c>
    </row>
    <row r="7335">
      <c r="A7335" s="9" t="n">
        <v>45597.54166666666</v>
      </c>
      <c r="B7335" t="n">
        <v>11</v>
      </c>
      <c r="C7335" t="n">
        <v>1</v>
      </c>
      <c r="D7335" t="n">
        <v>13</v>
      </c>
      <c r="E7335" s="10" t="n">
        <v>0.074207</v>
      </c>
      <c r="F7335" s="10" t="n">
        <v>0.3686645684794965</v>
      </c>
      <c r="G7335" s="11">
        <f>E7335*Summary!$B$6</f>
        <v/>
      </c>
      <c r="H7335" s="11">
        <f>F7335*Summary!$B$7</f>
        <v/>
      </c>
      <c r="I7335" s="11">
        <f>MAX(0,N7335-M7335)</f>
        <v/>
      </c>
      <c r="J7335" s="11">
        <f>MAX(0,M7335-N7335)</f>
        <v/>
      </c>
      <c r="K7335" s="11">
        <f>O7335</f>
        <v/>
      </c>
      <c r="L7335" s="11">
        <f>L7334+IF(K7335&gt;0,K7335*Summary!$B$9,K7335/Summary!$B$9)</f>
        <v/>
      </c>
      <c r="M7335" s="11">
        <f>G7335+H7335</f>
        <v/>
      </c>
      <c r="N7335" s="11">
        <f>Summary!$C$16*Summary!$B$8</f>
        <v/>
      </c>
      <c r="O7335" s="11">
        <f>M7335-N7335</f>
        <v/>
      </c>
    </row>
    <row r="7336">
      <c r="A7336" s="9" t="n">
        <v>45597.58333333334</v>
      </c>
      <c r="B7336" t="n">
        <v>11</v>
      </c>
      <c r="C7336" t="n">
        <v>1</v>
      </c>
      <c r="D7336" t="n">
        <v>14</v>
      </c>
      <c r="E7336" s="10" t="n">
        <v>0.074</v>
      </c>
      <c r="F7336" s="10" t="n">
        <v>0.3823939637745513</v>
      </c>
      <c r="G7336" s="11">
        <f>E7336*Summary!$B$6</f>
        <v/>
      </c>
      <c r="H7336" s="11">
        <f>F7336*Summary!$B$7</f>
        <v/>
      </c>
      <c r="I7336" s="11">
        <f>MAX(0,N7336-M7336)</f>
        <v/>
      </c>
      <c r="J7336" s="11">
        <f>MAX(0,M7336-N7336)</f>
        <v/>
      </c>
      <c r="K7336" s="11">
        <f>O7336</f>
        <v/>
      </c>
      <c r="L7336" s="11">
        <f>L7335+IF(K7336&gt;0,K7336*Summary!$B$9,K7336/Summary!$B$9)</f>
        <v/>
      </c>
      <c r="M7336" s="11">
        <f>G7336+H7336</f>
        <v/>
      </c>
      <c r="N7336" s="11">
        <f>Summary!$C$16*Summary!$B$8</f>
        <v/>
      </c>
      <c r="O7336" s="11">
        <f>M7336-N7336</f>
        <v/>
      </c>
    </row>
    <row r="7337">
      <c r="A7337" s="9" t="n">
        <v>45597.625</v>
      </c>
      <c r="B7337" t="n">
        <v>11</v>
      </c>
      <c r="C7337" t="n">
        <v>1</v>
      </c>
      <c r="D7337" t="n">
        <v>15</v>
      </c>
      <c r="E7337" s="10" t="n">
        <v>0.034422</v>
      </c>
      <c r="F7337" s="10" t="n">
        <v>0.4063742895298295</v>
      </c>
      <c r="G7337" s="11">
        <f>E7337*Summary!$B$6</f>
        <v/>
      </c>
      <c r="H7337" s="11">
        <f>F7337*Summary!$B$7</f>
        <v/>
      </c>
      <c r="I7337" s="11">
        <f>MAX(0,N7337-M7337)</f>
        <v/>
      </c>
      <c r="J7337" s="11">
        <f>MAX(0,M7337-N7337)</f>
        <v/>
      </c>
      <c r="K7337" s="11">
        <f>O7337</f>
        <v/>
      </c>
      <c r="L7337" s="11">
        <f>L7336+IF(K7337&gt;0,K7337*Summary!$B$9,K7337/Summary!$B$9)</f>
        <v/>
      </c>
      <c r="M7337" s="11">
        <f>G7337+H7337</f>
        <v/>
      </c>
      <c r="N7337" s="11">
        <f>Summary!$C$16*Summary!$B$8</f>
        <v/>
      </c>
      <c r="O7337" s="11">
        <f>M7337-N7337</f>
        <v/>
      </c>
    </row>
    <row r="7338">
      <c r="A7338" s="9" t="n">
        <v>45597.66666666666</v>
      </c>
      <c r="B7338" t="n">
        <v>11</v>
      </c>
      <c r="C7338" t="n">
        <v>1</v>
      </c>
      <c r="D7338" t="n">
        <v>16</v>
      </c>
      <c r="E7338" s="10" t="n">
        <v>0</v>
      </c>
      <c r="F7338" s="10" t="n">
        <v>0.4315931595823583</v>
      </c>
      <c r="G7338" s="11">
        <f>E7338*Summary!$B$6</f>
        <v/>
      </c>
      <c r="H7338" s="11">
        <f>F7338*Summary!$B$7</f>
        <v/>
      </c>
      <c r="I7338" s="11">
        <f>MAX(0,N7338-M7338)</f>
        <v/>
      </c>
      <c r="J7338" s="11">
        <f>MAX(0,M7338-N7338)</f>
        <v/>
      </c>
      <c r="K7338" s="11">
        <f>O7338</f>
        <v/>
      </c>
      <c r="L7338" s="11">
        <f>L7337+IF(K7338&gt;0,K7338*Summary!$B$9,K7338/Summary!$B$9)</f>
        <v/>
      </c>
      <c r="M7338" s="11">
        <f>G7338+H7338</f>
        <v/>
      </c>
      <c r="N7338" s="11">
        <f>Summary!$C$16*Summary!$B$8</f>
        <v/>
      </c>
      <c r="O7338" s="11">
        <f>M7338-N7338</f>
        <v/>
      </c>
    </row>
    <row r="7339">
      <c r="A7339" s="9" t="n">
        <v>45597.70833333334</v>
      </c>
      <c r="B7339" t="n">
        <v>11</v>
      </c>
      <c r="C7339" t="n">
        <v>1</v>
      </c>
      <c r="D7339" t="n">
        <v>17</v>
      </c>
      <c r="E7339" s="10" t="n">
        <v>0</v>
      </c>
      <c r="F7339" s="10" t="n">
        <v>0.4531754527621086</v>
      </c>
      <c r="G7339" s="11">
        <f>E7339*Summary!$B$6</f>
        <v/>
      </c>
      <c r="H7339" s="11">
        <f>F7339*Summary!$B$7</f>
        <v/>
      </c>
      <c r="I7339" s="11">
        <f>MAX(0,N7339-M7339)</f>
        <v/>
      </c>
      <c r="J7339" s="11">
        <f>MAX(0,M7339-N7339)</f>
        <v/>
      </c>
      <c r="K7339" s="11">
        <f>O7339</f>
        <v/>
      </c>
      <c r="L7339" s="11">
        <f>L7338+IF(K7339&gt;0,K7339*Summary!$B$9,K7339/Summary!$B$9)</f>
        <v/>
      </c>
      <c r="M7339" s="11">
        <f>G7339+H7339</f>
        <v/>
      </c>
      <c r="N7339" s="11">
        <f>Summary!$C$16*Summary!$B$8</f>
        <v/>
      </c>
      <c r="O7339" s="11">
        <f>M7339-N7339</f>
        <v/>
      </c>
    </row>
    <row r="7340">
      <c r="A7340" s="9" t="n">
        <v>45597.75</v>
      </c>
      <c r="B7340" t="n">
        <v>11</v>
      </c>
      <c r="C7340" t="n">
        <v>1</v>
      </c>
      <c r="D7340" t="n">
        <v>18</v>
      </c>
      <c r="E7340" s="10" t="n">
        <v>0</v>
      </c>
      <c r="F7340" s="10" t="n">
        <v>0.4746523379165611</v>
      </c>
      <c r="G7340" s="11">
        <f>E7340*Summary!$B$6</f>
        <v/>
      </c>
      <c r="H7340" s="11">
        <f>F7340*Summary!$B$7</f>
        <v/>
      </c>
      <c r="I7340" s="11">
        <f>MAX(0,N7340-M7340)</f>
        <v/>
      </c>
      <c r="J7340" s="11">
        <f>MAX(0,M7340-N7340)</f>
        <v/>
      </c>
      <c r="K7340" s="11">
        <f>O7340</f>
        <v/>
      </c>
      <c r="L7340" s="11">
        <f>L7339+IF(K7340&gt;0,K7340*Summary!$B$9,K7340/Summary!$B$9)</f>
        <v/>
      </c>
      <c r="M7340" s="11">
        <f>G7340+H7340</f>
        <v/>
      </c>
      <c r="N7340" s="11">
        <f>Summary!$C$16*Summary!$B$8</f>
        <v/>
      </c>
      <c r="O7340" s="11">
        <f>M7340-N7340</f>
        <v/>
      </c>
    </row>
    <row r="7341">
      <c r="A7341" s="9" t="n">
        <v>45597.79166666666</v>
      </c>
      <c r="B7341" t="n">
        <v>11</v>
      </c>
      <c r="C7341" t="n">
        <v>1</v>
      </c>
      <c r="D7341" t="n">
        <v>19</v>
      </c>
      <c r="E7341" s="10" t="n">
        <v>0</v>
      </c>
      <c r="F7341" s="10" t="n">
        <v>0.4837437800985072</v>
      </c>
      <c r="G7341" s="11">
        <f>E7341*Summary!$B$6</f>
        <v/>
      </c>
      <c r="H7341" s="11">
        <f>F7341*Summary!$B$7</f>
        <v/>
      </c>
      <c r="I7341" s="11">
        <f>MAX(0,N7341-M7341)</f>
        <v/>
      </c>
      <c r="J7341" s="11">
        <f>MAX(0,M7341-N7341)</f>
        <v/>
      </c>
      <c r="K7341" s="11">
        <f>O7341</f>
        <v/>
      </c>
      <c r="L7341" s="11">
        <f>L7340+IF(K7341&gt;0,K7341*Summary!$B$9,K7341/Summary!$B$9)</f>
        <v/>
      </c>
      <c r="M7341" s="11">
        <f>G7341+H7341</f>
        <v/>
      </c>
      <c r="N7341" s="11">
        <f>Summary!$C$16*Summary!$B$8</f>
        <v/>
      </c>
      <c r="O7341" s="11">
        <f>M7341-N7341</f>
        <v/>
      </c>
    </row>
    <row r="7342">
      <c r="A7342" s="9" t="n">
        <v>45597.83333333334</v>
      </c>
      <c r="B7342" t="n">
        <v>11</v>
      </c>
      <c r="C7342" t="n">
        <v>1</v>
      </c>
      <c r="D7342" t="n">
        <v>20</v>
      </c>
      <c r="E7342" s="10" t="n">
        <v>0</v>
      </c>
      <c r="F7342" s="10" t="n">
        <v>0.4899101495784359</v>
      </c>
      <c r="G7342" s="11">
        <f>E7342*Summary!$B$6</f>
        <v/>
      </c>
      <c r="H7342" s="11">
        <f>F7342*Summary!$B$7</f>
        <v/>
      </c>
      <c r="I7342" s="11">
        <f>MAX(0,N7342-M7342)</f>
        <v/>
      </c>
      <c r="J7342" s="11">
        <f>MAX(0,M7342-N7342)</f>
        <v/>
      </c>
      <c r="K7342" s="11">
        <f>O7342</f>
        <v/>
      </c>
      <c r="L7342" s="11">
        <f>L7341+IF(K7342&gt;0,K7342*Summary!$B$9,K7342/Summary!$B$9)</f>
        <v/>
      </c>
      <c r="M7342" s="11">
        <f>G7342+H7342</f>
        <v/>
      </c>
      <c r="N7342" s="11">
        <f>Summary!$C$16*Summary!$B$8</f>
        <v/>
      </c>
      <c r="O7342" s="11">
        <f>M7342-N7342</f>
        <v/>
      </c>
    </row>
    <row r="7343">
      <c r="A7343" s="9" t="n">
        <v>45597.875</v>
      </c>
      <c r="B7343" t="n">
        <v>11</v>
      </c>
      <c r="C7343" t="n">
        <v>1</v>
      </c>
      <c r="D7343" t="n">
        <v>21</v>
      </c>
      <c r="E7343" s="10" t="n">
        <v>0</v>
      </c>
      <c r="F7343" s="10" t="n">
        <v>0.4876965810471794</v>
      </c>
      <c r="G7343" s="11">
        <f>E7343*Summary!$B$6</f>
        <v/>
      </c>
      <c r="H7343" s="11">
        <f>F7343*Summary!$B$7</f>
        <v/>
      </c>
      <c r="I7343" s="11">
        <f>MAX(0,N7343-M7343)</f>
        <v/>
      </c>
      <c r="J7343" s="11">
        <f>MAX(0,M7343-N7343)</f>
        <v/>
      </c>
      <c r="K7343" s="11">
        <f>O7343</f>
        <v/>
      </c>
      <c r="L7343" s="11">
        <f>L7342+IF(K7343&gt;0,K7343*Summary!$B$9,K7343/Summary!$B$9)</f>
        <v/>
      </c>
      <c r="M7343" s="11">
        <f>G7343+H7343</f>
        <v/>
      </c>
      <c r="N7343" s="11">
        <f>Summary!$C$16*Summary!$B$8</f>
        <v/>
      </c>
      <c r="O7343" s="11">
        <f>M7343-N7343</f>
        <v/>
      </c>
    </row>
    <row r="7344">
      <c r="A7344" s="9" t="n">
        <v>45597.91666666666</v>
      </c>
      <c r="B7344" t="n">
        <v>11</v>
      </c>
      <c r="C7344" t="n">
        <v>1</v>
      </c>
      <c r="D7344" t="n">
        <v>22</v>
      </c>
      <c r="E7344" s="10" t="n">
        <v>0</v>
      </c>
      <c r="F7344" s="10" t="n">
        <v>0.484666100319864</v>
      </c>
      <c r="G7344" s="11">
        <f>E7344*Summary!$B$6</f>
        <v/>
      </c>
      <c r="H7344" s="11">
        <f>F7344*Summary!$B$7</f>
        <v/>
      </c>
      <c r="I7344" s="11">
        <f>MAX(0,N7344-M7344)</f>
        <v/>
      </c>
      <c r="J7344" s="11">
        <f>MAX(0,M7344-N7344)</f>
        <v/>
      </c>
      <c r="K7344" s="11">
        <f>O7344</f>
        <v/>
      </c>
      <c r="L7344" s="11">
        <f>L7343+IF(K7344&gt;0,K7344*Summary!$B$9,K7344/Summary!$B$9)</f>
        <v/>
      </c>
      <c r="M7344" s="11">
        <f>G7344+H7344</f>
        <v/>
      </c>
      <c r="N7344" s="11">
        <f>Summary!$C$16*Summary!$B$8</f>
        <v/>
      </c>
      <c r="O7344" s="11">
        <f>M7344-N7344</f>
        <v/>
      </c>
    </row>
    <row r="7345">
      <c r="A7345" s="9" t="n">
        <v>45597.95833333334</v>
      </c>
      <c r="B7345" t="n">
        <v>11</v>
      </c>
      <c r="C7345" t="n">
        <v>1</v>
      </c>
      <c r="D7345" t="n">
        <v>23</v>
      </c>
      <c r="E7345" s="10" t="n">
        <v>0</v>
      </c>
      <c r="F7345" s="10" t="n">
        <v>0.4759962902391097</v>
      </c>
      <c r="G7345" s="11">
        <f>E7345*Summary!$B$6</f>
        <v/>
      </c>
      <c r="H7345" s="11">
        <f>F7345*Summary!$B$7</f>
        <v/>
      </c>
      <c r="I7345" s="11">
        <f>MAX(0,N7345-M7345)</f>
        <v/>
      </c>
      <c r="J7345" s="11">
        <f>MAX(0,M7345-N7345)</f>
        <v/>
      </c>
      <c r="K7345" s="11">
        <f>O7345</f>
        <v/>
      </c>
      <c r="L7345" s="11">
        <f>L7344+IF(K7345&gt;0,K7345*Summary!$B$9,K7345/Summary!$B$9)</f>
        <v/>
      </c>
      <c r="M7345" s="11">
        <f>G7345+H7345</f>
        <v/>
      </c>
      <c r="N7345" s="11">
        <f>Summary!$C$16*Summary!$B$8</f>
        <v/>
      </c>
      <c r="O7345" s="11">
        <f>M7345-N7345</f>
        <v/>
      </c>
    </row>
    <row r="7346">
      <c r="A7346" s="9" t="n">
        <v>45598</v>
      </c>
      <c r="B7346" t="n">
        <v>11</v>
      </c>
      <c r="C7346" t="n">
        <v>2</v>
      </c>
      <c r="D7346" t="n">
        <v>0</v>
      </c>
      <c r="E7346" s="10" t="n">
        <v>0</v>
      </c>
      <c r="F7346" s="10" t="n">
        <v>0.403501920840461</v>
      </c>
      <c r="G7346" s="11">
        <f>E7346*Summary!$B$6</f>
        <v/>
      </c>
      <c r="H7346" s="11">
        <f>F7346*Summary!$B$7</f>
        <v/>
      </c>
      <c r="I7346" s="11">
        <f>MAX(0,N7346-M7346)</f>
        <v/>
      </c>
      <c r="J7346" s="11">
        <f>MAX(0,M7346-N7346)</f>
        <v/>
      </c>
      <c r="K7346" s="11">
        <f>O7346</f>
        <v/>
      </c>
      <c r="L7346" s="11">
        <f>L7345+IF(K7346&gt;0,K7346*Summary!$B$9,K7346/Summary!$B$9)</f>
        <v/>
      </c>
      <c r="M7346" s="11">
        <f>G7346+H7346</f>
        <v/>
      </c>
      <c r="N7346" s="11">
        <f>Summary!$C$16*Summary!$B$8</f>
        <v/>
      </c>
      <c r="O7346" s="11">
        <f>M7346-N7346</f>
        <v/>
      </c>
    </row>
    <row r="7347">
      <c r="A7347" s="9" t="n">
        <v>45598.04166666666</v>
      </c>
      <c r="B7347" t="n">
        <v>11</v>
      </c>
      <c r="C7347" t="n">
        <v>2</v>
      </c>
      <c r="D7347" t="n">
        <v>1</v>
      </c>
      <c r="E7347" s="10" t="n">
        <v>0</v>
      </c>
      <c r="F7347" s="10" t="n">
        <v>0.4658771198105087</v>
      </c>
      <c r="G7347" s="11">
        <f>E7347*Summary!$B$6</f>
        <v/>
      </c>
      <c r="H7347" s="11">
        <f>F7347*Summary!$B$7</f>
        <v/>
      </c>
      <c r="I7347" s="11">
        <f>MAX(0,N7347-M7347)</f>
        <v/>
      </c>
      <c r="J7347" s="11">
        <f>MAX(0,M7347-N7347)</f>
        <v/>
      </c>
      <c r="K7347" s="11">
        <f>O7347</f>
        <v/>
      </c>
      <c r="L7347" s="11">
        <f>L7346+IF(K7347&gt;0,K7347*Summary!$B$9,K7347/Summary!$B$9)</f>
        <v/>
      </c>
      <c r="M7347" s="11">
        <f>G7347+H7347</f>
        <v/>
      </c>
      <c r="N7347" s="11">
        <f>Summary!$C$16*Summary!$B$8</f>
        <v/>
      </c>
      <c r="O7347" s="11">
        <f>M7347-N7347</f>
        <v/>
      </c>
    </row>
    <row r="7348">
      <c r="A7348" s="9" t="n">
        <v>45598.08333333334</v>
      </c>
      <c r="B7348" t="n">
        <v>11</v>
      </c>
      <c r="C7348" t="n">
        <v>2</v>
      </c>
      <c r="D7348" t="n">
        <v>2</v>
      </c>
      <c r="E7348" s="10" t="n">
        <v>0</v>
      </c>
      <c r="F7348" s="10" t="n">
        <v>0.4612128146910755</v>
      </c>
      <c r="G7348" s="11">
        <f>E7348*Summary!$B$6</f>
        <v/>
      </c>
      <c r="H7348" s="11">
        <f>F7348*Summary!$B$7</f>
        <v/>
      </c>
      <c r="I7348" s="11">
        <f>MAX(0,N7348-M7348)</f>
        <v/>
      </c>
      <c r="J7348" s="11">
        <f>MAX(0,M7348-N7348)</f>
        <v/>
      </c>
      <c r="K7348" s="11">
        <f>O7348</f>
        <v/>
      </c>
      <c r="L7348" s="11">
        <f>L7347+IF(K7348&gt;0,K7348*Summary!$B$9,K7348/Summary!$B$9)</f>
        <v/>
      </c>
      <c r="M7348" s="11">
        <f>G7348+H7348</f>
        <v/>
      </c>
      <c r="N7348" s="11">
        <f>Summary!$C$16*Summary!$B$8</f>
        <v/>
      </c>
      <c r="O7348" s="11">
        <f>M7348-N7348</f>
        <v/>
      </c>
    </row>
    <row r="7349">
      <c r="A7349" s="9" t="n">
        <v>45598.125</v>
      </c>
      <c r="B7349" t="n">
        <v>11</v>
      </c>
      <c r="C7349" t="n">
        <v>2</v>
      </c>
      <c r="D7349" t="n">
        <v>3</v>
      </c>
      <c r="E7349" s="10" t="n">
        <v>0</v>
      </c>
      <c r="F7349" s="10" t="n">
        <v>0.4507774201865808</v>
      </c>
      <c r="G7349" s="11">
        <f>E7349*Summary!$B$6</f>
        <v/>
      </c>
      <c r="H7349" s="11">
        <f>F7349*Summary!$B$7</f>
        <v/>
      </c>
      <c r="I7349" s="11">
        <f>MAX(0,N7349-M7349)</f>
        <v/>
      </c>
      <c r="J7349" s="11">
        <f>MAX(0,M7349-N7349)</f>
        <v/>
      </c>
      <c r="K7349" s="11">
        <f>O7349</f>
        <v/>
      </c>
      <c r="L7349" s="11">
        <f>L7348+IF(K7349&gt;0,K7349*Summary!$B$9,K7349/Summary!$B$9)</f>
        <v/>
      </c>
      <c r="M7349" s="11">
        <f>G7349+H7349</f>
        <v/>
      </c>
      <c r="N7349" s="11">
        <f>Summary!$C$16*Summary!$B$8</f>
        <v/>
      </c>
      <c r="O7349" s="11">
        <f>M7349-N7349</f>
        <v/>
      </c>
    </row>
    <row r="7350">
      <c r="A7350" s="9" t="n">
        <v>45598.16666666666</v>
      </c>
      <c r="B7350" t="n">
        <v>11</v>
      </c>
      <c r="C7350" t="n">
        <v>2</v>
      </c>
      <c r="D7350" t="n">
        <v>4</v>
      </c>
      <c r="E7350" s="10" t="n">
        <v>0</v>
      </c>
      <c r="F7350" s="10" t="n">
        <v>0.4394987614797027</v>
      </c>
      <c r="G7350" s="11">
        <f>E7350*Summary!$B$6</f>
        <v/>
      </c>
      <c r="H7350" s="11">
        <f>F7350*Summary!$B$7</f>
        <v/>
      </c>
      <c r="I7350" s="11">
        <f>MAX(0,N7350-M7350)</f>
        <v/>
      </c>
      <c r="J7350" s="11">
        <f>MAX(0,M7350-N7350)</f>
        <v/>
      </c>
      <c r="K7350" s="11">
        <f>O7350</f>
        <v/>
      </c>
      <c r="L7350" s="11">
        <f>L7349+IF(K7350&gt;0,K7350*Summary!$B$9,K7350/Summary!$B$9)</f>
        <v/>
      </c>
      <c r="M7350" s="11">
        <f>G7350+H7350</f>
        <v/>
      </c>
      <c r="N7350" s="11">
        <f>Summary!$C$16*Summary!$B$8</f>
        <v/>
      </c>
      <c r="O7350" s="11">
        <f>M7350-N7350</f>
        <v/>
      </c>
    </row>
    <row r="7351">
      <c r="A7351" s="9" t="n">
        <v>45598.20833333334</v>
      </c>
      <c r="B7351" t="n">
        <v>11</v>
      </c>
      <c r="C7351" t="n">
        <v>2</v>
      </c>
      <c r="D7351" t="n">
        <v>5</v>
      </c>
      <c r="E7351" s="10" t="n">
        <v>0</v>
      </c>
      <c r="F7351" s="10" t="n">
        <v>0.4307235433736504</v>
      </c>
      <c r="G7351" s="11">
        <f>E7351*Summary!$B$6</f>
        <v/>
      </c>
      <c r="H7351" s="11">
        <f>F7351*Summary!$B$7</f>
        <v/>
      </c>
      <c r="I7351" s="11">
        <f>MAX(0,N7351-M7351)</f>
        <v/>
      </c>
      <c r="J7351" s="11">
        <f>MAX(0,M7351-N7351)</f>
        <v/>
      </c>
      <c r="K7351" s="11">
        <f>O7351</f>
        <v/>
      </c>
      <c r="L7351" s="11">
        <f>L7350+IF(K7351&gt;0,K7351*Summary!$B$9,K7351/Summary!$B$9)</f>
        <v/>
      </c>
      <c r="M7351" s="11">
        <f>G7351+H7351</f>
        <v/>
      </c>
      <c r="N7351" s="11">
        <f>Summary!$C$16*Summary!$B$8</f>
        <v/>
      </c>
      <c r="O7351" s="11">
        <f>M7351-N7351</f>
        <v/>
      </c>
    </row>
    <row r="7352">
      <c r="A7352" s="9" t="n">
        <v>45598.25</v>
      </c>
      <c r="B7352" t="n">
        <v>11</v>
      </c>
      <c r="C7352" t="n">
        <v>2</v>
      </c>
      <c r="D7352" t="n">
        <v>6</v>
      </c>
      <c r="E7352" s="10" t="n">
        <v>0</v>
      </c>
      <c r="F7352" s="10" t="n">
        <v>0.4216321011917043</v>
      </c>
      <c r="G7352" s="11">
        <f>E7352*Summary!$B$6</f>
        <v/>
      </c>
      <c r="H7352" s="11">
        <f>F7352*Summary!$B$7</f>
        <v/>
      </c>
      <c r="I7352" s="11">
        <f>MAX(0,N7352-M7352)</f>
        <v/>
      </c>
      <c r="J7352" s="11">
        <f>MAX(0,M7352-N7352)</f>
        <v/>
      </c>
      <c r="K7352" s="11">
        <f>O7352</f>
        <v/>
      </c>
      <c r="L7352" s="11">
        <f>L7351+IF(K7352&gt;0,K7352*Summary!$B$9,K7352/Summary!$B$9)</f>
        <v/>
      </c>
      <c r="M7352" s="11">
        <f>G7352+H7352</f>
        <v/>
      </c>
      <c r="N7352" s="11">
        <f>Summary!$C$16*Summary!$B$8</f>
        <v/>
      </c>
      <c r="O7352" s="11">
        <f>M7352-N7352</f>
        <v/>
      </c>
    </row>
    <row r="7353">
      <c r="A7353" s="9" t="n">
        <v>45598.29166666666</v>
      </c>
      <c r="B7353" t="n">
        <v>11</v>
      </c>
      <c r="C7353" t="n">
        <v>2</v>
      </c>
      <c r="D7353" t="n">
        <v>7</v>
      </c>
      <c r="E7353" s="10" t="n">
        <v>0</v>
      </c>
      <c r="F7353" s="10" t="n">
        <v>0.4164671079521059</v>
      </c>
      <c r="G7353" s="11">
        <f>E7353*Summary!$B$6</f>
        <v/>
      </c>
      <c r="H7353" s="11">
        <f>F7353*Summary!$B$7</f>
        <v/>
      </c>
      <c r="I7353" s="11">
        <f>MAX(0,N7353-M7353)</f>
        <v/>
      </c>
      <c r="J7353" s="11">
        <f>MAX(0,M7353-N7353)</f>
        <v/>
      </c>
      <c r="K7353" s="11">
        <f>O7353</f>
        <v/>
      </c>
      <c r="L7353" s="11">
        <f>L7352+IF(K7353&gt;0,K7353*Summary!$B$9,K7353/Summary!$B$9)</f>
        <v/>
      </c>
      <c r="M7353" s="11">
        <f>G7353+H7353</f>
        <v/>
      </c>
      <c r="N7353" s="11">
        <f>Summary!$C$16*Summary!$B$8</f>
        <v/>
      </c>
      <c r="O7353" s="11">
        <f>M7353-N7353</f>
        <v/>
      </c>
    </row>
    <row r="7354">
      <c r="A7354" s="9" t="n">
        <v>45598.33333333334</v>
      </c>
      <c r="B7354" t="n">
        <v>11</v>
      </c>
      <c r="C7354" t="n">
        <v>2</v>
      </c>
      <c r="D7354" t="n">
        <v>8</v>
      </c>
      <c r="E7354" s="10" t="n">
        <v>0.012956</v>
      </c>
      <c r="F7354" s="10" t="n">
        <v>0.4005768481384436</v>
      </c>
      <c r="G7354" s="11">
        <f>E7354*Summary!$B$6</f>
        <v/>
      </c>
      <c r="H7354" s="11">
        <f>F7354*Summary!$B$7</f>
        <v/>
      </c>
      <c r="I7354" s="11">
        <f>MAX(0,N7354-M7354)</f>
        <v/>
      </c>
      <c r="J7354" s="11">
        <f>MAX(0,M7354-N7354)</f>
        <v/>
      </c>
      <c r="K7354" s="11">
        <f>O7354</f>
        <v/>
      </c>
      <c r="L7354" s="11">
        <f>L7353+IF(K7354&gt;0,K7354*Summary!$B$9,K7354/Summary!$B$9)</f>
        <v/>
      </c>
      <c r="M7354" s="11">
        <f>G7354+H7354</f>
        <v/>
      </c>
      <c r="N7354" s="11">
        <f>Summary!$C$16*Summary!$B$8</f>
        <v/>
      </c>
      <c r="O7354" s="11">
        <f>M7354-N7354</f>
        <v/>
      </c>
    </row>
    <row r="7355">
      <c r="A7355" s="9" t="n">
        <v>45598.375</v>
      </c>
      <c r="B7355" t="n">
        <v>11</v>
      </c>
      <c r="C7355" t="n">
        <v>2</v>
      </c>
      <c r="D7355" t="n">
        <v>9</v>
      </c>
      <c r="E7355" s="10" t="n">
        <v>0.024496</v>
      </c>
      <c r="F7355" s="10" t="n">
        <v>0.3877170690520966</v>
      </c>
      <c r="G7355" s="11">
        <f>E7355*Summary!$B$6</f>
        <v/>
      </c>
      <c r="H7355" s="11">
        <f>F7355*Summary!$B$7</f>
        <v/>
      </c>
      <c r="I7355" s="11">
        <f>MAX(0,N7355-M7355)</f>
        <v/>
      </c>
      <c r="J7355" s="11">
        <f>MAX(0,M7355-N7355)</f>
        <v/>
      </c>
      <c r="K7355" s="11">
        <f>O7355</f>
        <v/>
      </c>
      <c r="L7355" s="11">
        <f>L7354+IF(K7355&gt;0,K7355*Summary!$B$9,K7355/Summary!$B$9)</f>
        <v/>
      </c>
      <c r="M7355" s="11">
        <f>G7355+H7355</f>
        <v/>
      </c>
      <c r="N7355" s="11">
        <f>Summary!$C$16*Summary!$B$8</f>
        <v/>
      </c>
      <c r="O7355" s="11">
        <f>M7355-N7355</f>
        <v/>
      </c>
    </row>
    <row r="7356">
      <c r="A7356" s="9" t="n">
        <v>45598.41666666666</v>
      </c>
      <c r="B7356" t="n">
        <v>11</v>
      </c>
      <c r="C7356" t="n">
        <v>2</v>
      </c>
      <c r="D7356" t="n">
        <v>10</v>
      </c>
      <c r="E7356" s="10" t="n">
        <v>0.033697</v>
      </c>
      <c r="F7356" s="10" t="n">
        <v>0.3765174663641919</v>
      </c>
      <c r="G7356" s="11">
        <f>E7356*Summary!$B$6</f>
        <v/>
      </c>
      <c r="H7356" s="11">
        <f>F7356*Summary!$B$7</f>
        <v/>
      </c>
      <c r="I7356" s="11">
        <f>MAX(0,N7356-M7356)</f>
        <v/>
      </c>
      <c r="J7356" s="11">
        <f>MAX(0,M7356-N7356)</f>
        <v/>
      </c>
      <c r="K7356" s="11">
        <f>O7356</f>
        <v/>
      </c>
      <c r="L7356" s="11">
        <f>L7355+IF(K7356&gt;0,K7356*Summary!$B$9,K7356/Summary!$B$9)</f>
        <v/>
      </c>
      <c r="M7356" s="11">
        <f>G7356+H7356</f>
        <v/>
      </c>
      <c r="N7356" s="11">
        <f>Summary!$C$16*Summary!$B$8</f>
        <v/>
      </c>
      <c r="O7356" s="11">
        <f>M7356-N7356</f>
        <v/>
      </c>
    </row>
    <row r="7357">
      <c r="A7357" s="9" t="n">
        <v>45598.45833333334</v>
      </c>
      <c r="B7357" t="n">
        <v>11</v>
      </c>
      <c r="C7357" t="n">
        <v>2</v>
      </c>
      <c r="D7357" t="n">
        <v>11</v>
      </c>
      <c r="E7357" s="10" t="n">
        <v>0.038314</v>
      </c>
      <c r="F7357" s="10" t="n">
        <v>0.3715896411815139</v>
      </c>
      <c r="G7357" s="11">
        <f>E7357*Summary!$B$6</f>
        <v/>
      </c>
      <c r="H7357" s="11">
        <f>F7357*Summary!$B$7</f>
        <v/>
      </c>
      <c r="I7357" s="11">
        <f>MAX(0,N7357-M7357)</f>
        <v/>
      </c>
      <c r="J7357" s="11">
        <f>MAX(0,M7357-N7357)</f>
        <v/>
      </c>
      <c r="K7357" s="11">
        <f>O7357</f>
        <v/>
      </c>
      <c r="L7357" s="11">
        <f>L7356+IF(K7357&gt;0,K7357*Summary!$B$9,K7357/Summary!$B$9)</f>
        <v/>
      </c>
      <c r="M7357" s="11">
        <f>G7357+H7357</f>
        <v/>
      </c>
      <c r="N7357" s="11">
        <f>Summary!$C$16*Summary!$B$8</f>
        <v/>
      </c>
      <c r="O7357" s="11">
        <f>M7357-N7357</f>
        <v/>
      </c>
    </row>
    <row r="7358">
      <c r="A7358" s="9" t="n">
        <v>45598.5</v>
      </c>
      <c r="B7358" t="n">
        <v>11</v>
      </c>
      <c r="C7358" t="n">
        <v>2</v>
      </c>
      <c r="D7358" t="n">
        <v>12</v>
      </c>
      <c r="E7358" s="10" t="n">
        <v>0.035399</v>
      </c>
      <c r="F7358" s="10" t="n">
        <v>0.3626036070248657</v>
      </c>
      <c r="G7358" s="11">
        <f>E7358*Summary!$B$6</f>
        <v/>
      </c>
      <c r="H7358" s="11">
        <f>F7358*Summary!$B$7</f>
        <v/>
      </c>
      <c r="I7358" s="11">
        <f>MAX(0,N7358-M7358)</f>
        <v/>
      </c>
      <c r="J7358" s="11">
        <f>MAX(0,M7358-N7358)</f>
        <v/>
      </c>
      <c r="K7358" s="11">
        <f>O7358</f>
        <v/>
      </c>
      <c r="L7358" s="11">
        <f>L7357+IF(K7358&gt;0,K7358*Summary!$B$9,K7358/Summary!$B$9)</f>
        <v/>
      </c>
      <c r="M7358" s="11">
        <f>G7358+H7358</f>
        <v/>
      </c>
      <c r="N7358" s="11">
        <f>Summary!$C$16*Summary!$B$8</f>
        <v/>
      </c>
      <c r="O7358" s="11">
        <f>M7358-N7358</f>
        <v/>
      </c>
    </row>
    <row r="7359">
      <c r="A7359" s="9" t="n">
        <v>45598.54166666666</v>
      </c>
      <c r="B7359" t="n">
        <v>11</v>
      </c>
      <c r="C7359" t="n">
        <v>2</v>
      </c>
      <c r="D7359" t="n">
        <v>13</v>
      </c>
      <c r="E7359" s="10" t="n">
        <v>0.041594</v>
      </c>
      <c r="F7359" s="10" t="n">
        <v>0.3578865978927834</v>
      </c>
      <c r="G7359" s="11">
        <f>E7359*Summary!$B$6</f>
        <v/>
      </c>
      <c r="H7359" s="11">
        <f>F7359*Summary!$B$7</f>
        <v/>
      </c>
      <c r="I7359" s="11">
        <f>MAX(0,N7359-M7359)</f>
        <v/>
      </c>
      <c r="J7359" s="11">
        <f>MAX(0,M7359-N7359)</f>
        <v/>
      </c>
      <c r="K7359" s="11">
        <f>O7359</f>
        <v/>
      </c>
      <c r="L7359" s="11">
        <f>L7358+IF(K7359&gt;0,K7359*Summary!$B$9,K7359/Summary!$B$9)</f>
        <v/>
      </c>
      <c r="M7359" s="11">
        <f>G7359+H7359</f>
        <v/>
      </c>
      <c r="N7359" s="11">
        <f>Summary!$C$16*Summary!$B$8</f>
        <v/>
      </c>
      <c r="O7359" s="11">
        <f>M7359-N7359</f>
        <v/>
      </c>
    </row>
    <row r="7360">
      <c r="A7360" s="9" t="n">
        <v>45598.58333333334</v>
      </c>
      <c r="B7360" t="n">
        <v>11</v>
      </c>
      <c r="C7360" t="n">
        <v>2</v>
      </c>
      <c r="D7360" t="n">
        <v>14</v>
      </c>
      <c r="E7360" s="10" t="n">
        <v>0.027689</v>
      </c>
      <c r="F7360" s="10" t="n">
        <v>0.3612333026959927</v>
      </c>
      <c r="G7360" s="11">
        <f>E7360*Summary!$B$6</f>
        <v/>
      </c>
      <c r="H7360" s="11">
        <f>F7360*Summary!$B$7</f>
        <v/>
      </c>
      <c r="I7360" s="11">
        <f>MAX(0,N7360-M7360)</f>
        <v/>
      </c>
      <c r="J7360" s="11">
        <f>MAX(0,M7360-N7360)</f>
        <v/>
      </c>
      <c r="K7360" s="11">
        <f>O7360</f>
        <v/>
      </c>
      <c r="L7360" s="11">
        <f>L7359+IF(K7360&gt;0,K7360*Summary!$B$9,K7360/Summary!$B$9)</f>
        <v/>
      </c>
      <c r="M7360" s="11">
        <f>G7360+H7360</f>
        <v/>
      </c>
      <c r="N7360" s="11">
        <f>Summary!$C$16*Summary!$B$8</f>
        <v/>
      </c>
      <c r="O7360" s="11">
        <f>M7360-N7360</f>
        <v/>
      </c>
    </row>
    <row r="7361">
      <c r="A7361" s="9" t="n">
        <v>45598.625</v>
      </c>
      <c r="B7361" t="n">
        <v>11</v>
      </c>
      <c r="C7361" t="n">
        <v>2</v>
      </c>
      <c r="D7361" t="n">
        <v>15</v>
      </c>
      <c r="E7361" s="10" t="n">
        <v>0.011405</v>
      </c>
      <c r="F7361" s="10" t="n">
        <v>0.3683746964099271</v>
      </c>
      <c r="G7361" s="11">
        <f>E7361*Summary!$B$6</f>
        <v/>
      </c>
      <c r="H7361" s="11">
        <f>F7361*Summary!$B$7</f>
        <v/>
      </c>
      <c r="I7361" s="11">
        <f>MAX(0,N7361-M7361)</f>
        <v/>
      </c>
      <c r="J7361" s="11">
        <f>MAX(0,M7361-N7361)</f>
        <v/>
      </c>
      <c r="K7361" s="11">
        <f>O7361</f>
        <v/>
      </c>
      <c r="L7361" s="11">
        <f>L7360+IF(K7361&gt;0,K7361*Summary!$B$9,K7361/Summary!$B$9)</f>
        <v/>
      </c>
      <c r="M7361" s="11">
        <f>G7361+H7361</f>
        <v/>
      </c>
      <c r="N7361" s="11">
        <f>Summary!$C$16*Summary!$B$8</f>
        <v/>
      </c>
      <c r="O7361" s="11">
        <f>M7361-N7361</f>
        <v/>
      </c>
    </row>
    <row r="7362">
      <c r="A7362" s="9" t="n">
        <v>45598.66666666666</v>
      </c>
      <c r="B7362" t="n">
        <v>11</v>
      </c>
      <c r="C7362" t="n">
        <v>2</v>
      </c>
      <c r="D7362" t="n">
        <v>16</v>
      </c>
      <c r="E7362" s="10" t="n">
        <v>0</v>
      </c>
      <c r="F7362" s="10" t="n">
        <v>0.3817351636164392</v>
      </c>
      <c r="G7362" s="11">
        <f>E7362*Summary!$B$6</f>
        <v/>
      </c>
      <c r="H7362" s="11">
        <f>F7362*Summary!$B$7</f>
        <v/>
      </c>
      <c r="I7362" s="11">
        <f>MAX(0,N7362-M7362)</f>
        <v/>
      </c>
      <c r="J7362" s="11">
        <f>MAX(0,M7362-N7362)</f>
        <v/>
      </c>
      <c r="K7362" s="11">
        <f>O7362</f>
        <v/>
      </c>
      <c r="L7362" s="11">
        <f>L7361+IF(K7362&gt;0,K7362*Summary!$B$9,K7362/Summary!$B$9)</f>
        <v/>
      </c>
      <c r="M7362" s="11">
        <f>G7362+H7362</f>
        <v/>
      </c>
      <c r="N7362" s="11">
        <f>Summary!$C$16*Summary!$B$8</f>
        <v/>
      </c>
      <c r="O7362" s="11">
        <f>M7362-N7362</f>
        <v/>
      </c>
    </row>
    <row r="7363">
      <c r="A7363" s="9" t="n">
        <v>45598.70833333334</v>
      </c>
      <c r="B7363" t="n">
        <v>11</v>
      </c>
      <c r="C7363" t="n">
        <v>2</v>
      </c>
      <c r="D7363" t="n">
        <v>17</v>
      </c>
      <c r="E7363" s="10" t="n">
        <v>0</v>
      </c>
      <c r="F7363" s="10" t="n">
        <v>0.3976254234301016</v>
      </c>
      <c r="G7363" s="11">
        <f>E7363*Summary!$B$6</f>
        <v/>
      </c>
      <c r="H7363" s="11">
        <f>F7363*Summary!$B$7</f>
        <v/>
      </c>
      <c r="I7363" s="11">
        <f>MAX(0,N7363-M7363)</f>
        <v/>
      </c>
      <c r="J7363" s="11">
        <f>MAX(0,M7363-N7363)</f>
        <v/>
      </c>
      <c r="K7363" s="11">
        <f>O7363</f>
        <v/>
      </c>
      <c r="L7363" s="11">
        <f>L7362+IF(K7363&gt;0,K7363*Summary!$B$9,K7363/Summary!$B$9)</f>
        <v/>
      </c>
      <c r="M7363" s="11">
        <f>G7363+H7363</f>
        <v/>
      </c>
      <c r="N7363" s="11">
        <f>Summary!$C$16*Summary!$B$8</f>
        <v/>
      </c>
      <c r="O7363" s="11">
        <f>M7363-N7363</f>
        <v/>
      </c>
    </row>
    <row r="7364">
      <c r="A7364" s="9" t="n">
        <v>45598.75</v>
      </c>
      <c r="B7364" t="n">
        <v>11</v>
      </c>
      <c r="C7364" t="n">
        <v>2</v>
      </c>
      <c r="D7364" t="n">
        <v>18</v>
      </c>
      <c r="E7364" s="10" t="n">
        <v>0</v>
      </c>
      <c r="F7364" s="10" t="n">
        <v>0.4146224675093922</v>
      </c>
      <c r="G7364" s="11">
        <f>E7364*Summary!$B$6</f>
        <v/>
      </c>
      <c r="H7364" s="11">
        <f>F7364*Summary!$B$7</f>
        <v/>
      </c>
      <c r="I7364" s="11">
        <f>MAX(0,N7364-M7364)</f>
        <v/>
      </c>
      <c r="J7364" s="11">
        <f>MAX(0,M7364-N7364)</f>
        <v/>
      </c>
      <c r="K7364" s="11">
        <f>O7364</f>
        <v/>
      </c>
      <c r="L7364" s="11">
        <f>L7363+IF(K7364&gt;0,K7364*Summary!$B$9,K7364/Summary!$B$9)</f>
        <v/>
      </c>
      <c r="M7364" s="11">
        <f>G7364+H7364</f>
        <v/>
      </c>
      <c r="N7364" s="11">
        <f>Summary!$C$16*Summary!$B$8</f>
        <v/>
      </c>
      <c r="O7364" s="11">
        <f>M7364-N7364</f>
        <v/>
      </c>
    </row>
    <row r="7365">
      <c r="A7365" s="9" t="n">
        <v>45598.79166666666</v>
      </c>
      <c r="B7365" t="n">
        <v>11</v>
      </c>
      <c r="C7365" t="n">
        <v>2</v>
      </c>
      <c r="D7365" t="n">
        <v>19</v>
      </c>
      <c r="E7365" s="10" t="n">
        <v>0</v>
      </c>
      <c r="F7365" s="10" t="n">
        <v>0.4236875576850138</v>
      </c>
      <c r="G7365" s="11">
        <f>E7365*Summary!$B$6</f>
        <v/>
      </c>
      <c r="H7365" s="11">
        <f>F7365*Summary!$B$7</f>
        <v/>
      </c>
      <c r="I7365" s="11">
        <f>MAX(0,N7365-M7365)</f>
        <v/>
      </c>
      <c r="J7365" s="11">
        <f>MAX(0,M7365-N7365)</f>
        <v/>
      </c>
      <c r="K7365" s="11">
        <f>O7365</f>
        <v/>
      </c>
      <c r="L7365" s="11">
        <f>L7364+IF(K7365&gt;0,K7365*Summary!$B$9,K7365/Summary!$B$9)</f>
        <v/>
      </c>
      <c r="M7365" s="11">
        <f>G7365+H7365</f>
        <v/>
      </c>
      <c r="N7365" s="11">
        <f>Summary!$C$16*Summary!$B$8</f>
        <v/>
      </c>
      <c r="O7365" s="11">
        <f>M7365-N7365</f>
        <v/>
      </c>
    </row>
    <row r="7366">
      <c r="A7366" s="9" t="n">
        <v>45598.83333333334</v>
      </c>
      <c r="B7366" t="n">
        <v>11</v>
      </c>
      <c r="C7366" t="n">
        <v>2</v>
      </c>
      <c r="D7366" t="n">
        <v>20</v>
      </c>
      <c r="E7366" s="10" t="n">
        <v>0</v>
      </c>
      <c r="F7366" s="10" t="n">
        <v>0.4257166621719989</v>
      </c>
      <c r="G7366" s="11">
        <f>E7366*Summary!$B$6</f>
        <v/>
      </c>
      <c r="H7366" s="11">
        <f>F7366*Summary!$B$7</f>
        <v/>
      </c>
      <c r="I7366" s="11">
        <f>MAX(0,N7366-M7366)</f>
        <v/>
      </c>
      <c r="J7366" s="11">
        <f>MAX(0,M7366-N7366)</f>
        <v/>
      </c>
      <c r="K7366" s="11">
        <f>O7366</f>
        <v/>
      </c>
      <c r="L7366" s="11">
        <f>L7365+IF(K7366&gt;0,K7366*Summary!$B$9,K7366/Summary!$B$9)</f>
        <v/>
      </c>
      <c r="M7366" s="11">
        <f>G7366+H7366</f>
        <v/>
      </c>
      <c r="N7366" s="11">
        <f>Summary!$C$16*Summary!$B$8</f>
        <v/>
      </c>
      <c r="O7366" s="11">
        <f>M7366-N7366</f>
        <v/>
      </c>
    </row>
    <row r="7367">
      <c r="A7367" s="9" t="n">
        <v>45598.875</v>
      </c>
      <c r="B7367" t="n">
        <v>11</v>
      </c>
      <c r="C7367" t="n">
        <v>2</v>
      </c>
      <c r="D7367" t="n">
        <v>21</v>
      </c>
      <c r="E7367" s="10" t="n">
        <v>0</v>
      </c>
      <c r="F7367" s="10" t="n">
        <v>0.4217375092170022</v>
      </c>
      <c r="G7367" s="11">
        <f>E7367*Summary!$B$6</f>
        <v/>
      </c>
      <c r="H7367" s="11">
        <f>F7367*Summary!$B$7</f>
        <v/>
      </c>
      <c r="I7367" s="11">
        <f>MAX(0,N7367-M7367)</f>
        <v/>
      </c>
      <c r="J7367" s="11">
        <f>MAX(0,M7367-N7367)</f>
        <v/>
      </c>
      <c r="K7367" s="11">
        <f>O7367</f>
        <v/>
      </c>
      <c r="L7367" s="11">
        <f>L7366+IF(K7367&gt;0,K7367*Summary!$B$9,K7367/Summary!$B$9)</f>
        <v/>
      </c>
      <c r="M7367" s="11">
        <f>G7367+H7367</f>
        <v/>
      </c>
      <c r="N7367" s="11">
        <f>Summary!$C$16*Summary!$B$8</f>
        <v/>
      </c>
      <c r="O7367" s="11">
        <f>M7367-N7367</f>
        <v/>
      </c>
    </row>
    <row r="7368">
      <c r="A7368" s="9" t="n">
        <v>45598.91666666666</v>
      </c>
      <c r="B7368" t="n">
        <v>11</v>
      </c>
      <c r="C7368" t="n">
        <v>2</v>
      </c>
      <c r="D7368" t="n">
        <v>22</v>
      </c>
      <c r="E7368" s="10" t="n">
        <v>0</v>
      </c>
      <c r="F7368" s="10" t="n">
        <v>0.4179164682999524</v>
      </c>
      <c r="G7368" s="11">
        <f>E7368*Summary!$B$6</f>
        <v/>
      </c>
      <c r="H7368" s="11">
        <f>F7368*Summary!$B$7</f>
        <v/>
      </c>
      <c r="I7368" s="11">
        <f>MAX(0,N7368-M7368)</f>
        <v/>
      </c>
      <c r="J7368" s="11">
        <f>MAX(0,M7368-N7368)</f>
        <v/>
      </c>
      <c r="K7368" s="11">
        <f>O7368</f>
        <v/>
      </c>
      <c r="L7368" s="11">
        <f>L7367+IF(K7368&gt;0,K7368*Summary!$B$9,K7368/Summary!$B$9)</f>
        <v/>
      </c>
      <c r="M7368" s="11">
        <f>G7368+H7368</f>
        <v/>
      </c>
      <c r="N7368" s="11">
        <f>Summary!$C$16*Summary!$B$8</f>
        <v/>
      </c>
      <c r="O7368" s="11">
        <f>M7368-N7368</f>
        <v/>
      </c>
    </row>
    <row r="7369">
      <c r="A7369" s="9" t="n">
        <v>45598.95833333334</v>
      </c>
      <c r="B7369" t="n">
        <v>11</v>
      </c>
      <c r="C7369" t="n">
        <v>2</v>
      </c>
      <c r="D7369" t="n">
        <v>23</v>
      </c>
      <c r="E7369" s="10" t="n">
        <v>0</v>
      </c>
      <c r="F7369" s="10" t="n">
        <v>0.41143387474413</v>
      </c>
      <c r="G7369" s="11">
        <f>E7369*Summary!$B$6</f>
        <v/>
      </c>
      <c r="H7369" s="11">
        <f>F7369*Summary!$B$7</f>
        <v/>
      </c>
      <c r="I7369" s="11">
        <f>MAX(0,N7369-M7369)</f>
        <v/>
      </c>
      <c r="J7369" s="11">
        <f>MAX(0,M7369-N7369)</f>
        <v/>
      </c>
      <c r="K7369" s="11">
        <f>O7369</f>
        <v/>
      </c>
      <c r="L7369" s="11">
        <f>L7368+IF(K7369&gt;0,K7369*Summary!$B$9,K7369/Summary!$B$9)</f>
        <v/>
      </c>
      <c r="M7369" s="11">
        <f>G7369+H7369</f>
        <v/>
      </c>
      <c r="N7369" s="11">
        <f>Summary!$C$16*Summary!$B$8</f>
        <v/>
      </c>
      <c r="O7369" s="11">
        <f>M7369-N7369</f>
        <v/>
      </c>
    </row>
    <row r="7370">
      <c r="A7370" s="9" t="n">
        <v>45599</v>
      </c>
      <c r="B7370" t="n">
        <v>11</v>
      </c>
      <c r="C7370" t="n">
        <v>3</v>
      </c>
      <c r="D7370" t="n">
        <v>0</v>
      </c>
      <c r="E7370" s="10" t="n">
        <v>0</v>
      </c>
      <c r="F7370" s="10" t="n">
        <v>0.3636576872778449</v>
      </c>
      <c r="G7370" s="11">
        <f>E7370*Summary!$B$6</f>
        <v/>
      </c>
      <c r="H7370" s="11">
        <f>F7370*Summary!$B$7</f>
        <v/>
      </c>
      <c r="I7370" s="11">
        <f>MAX(0,N7370-M7370)</f>
        <v/>
      </c>
      <c r="J7370" s="11">
        <f>MAX(0,M7370-N7370)</f>
        <v/>
      </c>
      <c r="K7370" s="11">
        <f>O7370</f>
        <v/>
      </c>
      <c r="L7370" s="11">
        <f>L7369+IF(K7370&gt;0,K7370*Summary!$B$9,K7370/Summary!$B$9)</f>
        <v/>
      </c>
      <c r="M7370" s="11">
        <f>G7370+H7370</f>
        <v/>
      </c>
      <c r="N7370" s="11">
        <f>Summary!$C$16*Summary!$B$8</f>
        <v/>
      </c>
      <c r="O7370" s="11">
        <f>M7370-N7370</f>
        <v/>
      </c>
    </row>
    <row r="7371">
      <c r="A7371" s="9" t="n">
        <v>45599.04166666666</v>
      </c>
      <c r="B7371" t="n">
        <v>11</v>
      </c>
      <c r="C7371" t="n">
        <v>3</v>
      </c>
      <c r="D7371" t="n">
        <v>1</v>
      </c>
      <c r="E7371" s="10" t="n">
        <v>0</v>
      </c>
      <c r="F7371" s="10" t="n">
        <v>0.3990747837779481</v>
      </c>
      <c r="G7371" s="11">
        <f>E7371*Summary!$B$6</f>
        <v/>
      </c>
      <c r="H7371" s="11">
        <f>F7371*Summary!$B$7</f>
        <v/>
      </c>
      <c r="I7371" s="11">
        <f>MAX(0,N7371-M7371)</f>
        <v/>
      </c>
      <c r="J7371" s="11">
        <f>MAX(0,M7371-N7371)</f>
        <v/>
      </c>
      <c r="K7371" s="11">
        <f>O7371</f>
        <v/>
      </c>
      <c r="L7371" s="11">
        <f>L7370+IF(K7371&gt;0,K7371*Summary!$B$9,K7371/Summary!$B$9)</f>
        <v/>
      </c>
      <c r="M7371" s="11">
        <f>G7371+H7371</f>
        <v/>
      </c>
      <c r="N7371" s="11">
        <f>Summary!$C$16*Summary!$B$8</f>
        <v/>
      </c>
      <c r="O7371" s="11">
        <f>M7371-N7371</f>
        <v/>
      </c>
    </row>
    <row r="7372">
      <c r="A7372" s="9" t="n">
        <v>45599.08333333334</v>
      </c>
      <c r="B7372" t="n">
        <v>11</v>
      </c>
      <c r="C7372" t="n">
        <v>3</v>
      </c>
      <c r="D7372" t="n">
        <v>2</v>
      </c>
      <c r="E7372" s="10" t="n">
        <v>0</v>
      </c>
      <c r="F7372" s="10" t="n">
        <v>0.3989957277589746</v>
      </c>
      <c r="G7372" s="11">
        <f>E7372*Summary!$B$6</f>
        <v/>
      </c>
      <c r="H7372" s="11">
        <f>F7372*Summary!$B$7</f>
        <v/>
      </c>
      <c r="I7372" s="11">
        <f>MAX(0,N7372-M7372)</f>
        <v/>
      </c>
      <c r="J7372" s="11">
        <f>MAX(0,M7372-N7372)</f>
        <v/>
      </c>
      <c r="K7372" s="11">
        <f>O7372</f>
        <v/>
      </c>
      <c r="L7372" s="11">
        <f>L7371+IF(K7372&gt;0,K7372*Summary!$B$9,K7372/Summary!$B$9)</f>
        <v/>
      </c>
      <c r="M7372" s="11">
        <f>G7372+H7372</f>
        <v/>
      </c>
      <c r="N7372" s="11">
        <f>Summary!$C$16*Summary!$B$8</f>
        <v/>
      </c>
      <c r="O7372" s="11">
        <f>M7372-N7372</f>
        <v/>
      </c>
    </row>
    <row r="7373">
      <c r="A7373" s="9" t="n">
        <v>45599.125</v>
      </c>
      <c r="B7373" t="n">
        <v>11</v>
      </c>
      <c r="C7373" t="n">
        <v>3</v>
      </c>
      <c r="D7373" t="n">
        <v>3</v>
      </c>
      <c r="E7373" s="10" t="n">
        <v>0</v>
      </c>
      <c r="F7373" s="10" t="n">
        <v>0.4022897285495348</v>
      </c>
      <c r="G7373" s="11">
        <f>E7373*Summary!$B$6</f>
        <v/>
      </c>
      <c r="H7373" s="11">
        <f>F7373*Summary!$B$7</f>
        <v/>
      </c>
      <c r="I7373" s="11">
        <f>MAX(0,N7373-M7373)</f>
        <v/>
      </c>
      <c r="J7373" s="11">
        <f>MAX(0,M7373-N7373)</f>
        <v/>
      </c>
      <c r="K7373" s="11">
        <f>O7373</f>
        <v/>
      </c>
      <c r="L7373" s="11">
        <f>L7372+IF(K7373&gt;0,K7373*Summary!$B$9,K7373/Summary!$B$9)</f>
        <v/>
      </c>
      <c r="M7373" s="11">
        <f>G7373+H7373</f>
        <v/>
      </c>
      <c r="N7373" s="11">
        <f>Summary!$C$16*Summary!$B$8</f>
        <v/>
      </c>
      <c r="O7373" s="11">
        <f>M7373-N7373</f>
        <v/>
      </c>
    </row>
    <row r="7374">
      <c r="A7374" s="9" t="n">
        <v>45599.16666666666</v>
      </c>
      <c r="B7374" t="n">
        <v>11</v>
      </c>
      <c r="C7374" t="n">
        <v>3</v>
      </c>
      <c r="D7374" t="n">
        <v>4</v>
      </c>
      <c r="E7374" s="10" t="n">
        <v>0</v>
      </c>
      <c r="F7374" s="10" t="n">
        <v>0.412039970889593</v>
      </c>
      <c r="G7374" s="11">
        <f>E7374*Summary!$B$6</f>
        <v/>
      </c>
      <c r="H7374" s="11">
        <f>F7374*Summary!$B$7</f>
        <v/>
      </c>
      <c r="I7374" s="11">
        <f>MAX(0,N7374-M7374)</f>
        <v/>
      </c>
      <c r="J7374" s="11">
        <f>MAX(0,M7374-N7374)</f>
        <v/>
      </c>
      <c r="K7374" s="11">
        <f>O7374</f>
        <v/>
      </c>
      <c r="L7374" s="11">
        <f>L7373+IF(K7374&gt;0,K7374*Summary!$B$9,K7374/Summary!$B$9)</f>
        <v/>
      </c>
      <c r="M7374" s="11">
        <f>G7374+H7374</f>
        <v/>
      </c>
      <c r="N7374" s="11">
        <f>Summary!$C$16*Summary!$B$8</f>
        <v/>
      </c>
      <c r="O7374" s="11">
        <f>M7374-N7374</f>
        <v/>
      </c>
    </row>
    <row r="7375">
      <c r="A7375" s="9" t="n">
        <v>45599.20833333334</v>
      </c>
      <c r="B7375" t="n">
        <v>11</v>
      </c>
      <c r="C7375" t="n">
        <v>3</v>
      </c>
      <c r="D7375" t="n">
        <v>5</v>
      </c>
      <c r="E7375" s="10" t="n">
        <v>0</v>
      </c>
      <c r="F7375" s="10" t="n">
        <v>0.4155711397370735</v>
      </c>
      <c r="G7375" s="11">
        <f>E7375*Summary!$B$6</f>
        <v/>
      </c>
      <c r="H7375" s="11">
        <f>F7375*Summary!$B$7</f>
        <v/>
      </c>
      <c r="I7375" s="11">
        <f>MAX(0,N7375-M7375)</f>
        <v/>
      </c>
      <c r="J7375" s="11">
        <f>MAX(0,M7375-N7375)</f>
        <v/>
      </c>
      <c r="K7375" s="11">
        <f>O7375</f>
        <v/>
      </c>
      <c r="L7375" s="11">
        <f>L7374+IF(K7375&gt;0,K7375*Summary!$B$9,K7375/Summary!$B$9)</f>
        <v/>
      </c>
      <c r="M7375" s="11">
        <f>G7375+H7375</f>
        <v/>
      </c>
      <c r="N7375" s="11">
        <f>Summary!$C$16*Summary!$B$8</f>
        <v/>
      </c>
      <c r="O7375" s="11">
        <f>M7375-N7375</f>
        <v/>
      </c>
    </row>
    <row r="7376">
      <c r="A7376" s="9" t="n">
        <v>45599.25</v>
      </c>
      <c r="B7376" t="n">
        <v>11</v>
      </c>
      <c r="C7376" t="n">
        <v>3</v>
      </c>
      <c r="D7376" t="n">
        <v>6</v>
      </c>
      <c r="E7376" s="10" t="n">
        <v>0</v>
      </c>
      <c r="F7376" s="10" t="n">
        <v>0.4232132215711732</v>
      </c>
      <c r="G7376" s="11">
        <f>E7376*Summary!$B$6</f>
        <v/>
      </c>
      <c r="H7376" s="11">
        <f>F7376*Summary!$B$7</f>
        <v/>
      </c>
      <c r="I7376" s="11">
        <f>MAX(0,N7376-M7376)</f>
        <v/>
      </c>
      <c r="J7376" s="11">
        <f>MAX(0,M7376-N7376)</f>
        <v/>
      </c>
      <c r="K7376" s="11">
        <f>O7376</f>
        <v/>
      </c>
      <c r="L7376" s="11">
        <f>L7375+IF(K7376&gt;0,K7376*Summary!$B$9,K7376/Summary!$B$9)</f>
        <v/>
      </c>
      <c r="M7376" s="11">
        <f>G7376+H7376</f>
        <v/>
      </c>
      <c r="N7376" s="11">
        <f>Summary!$C$16*Summary!$B$8</f>
        <v/>
      </c>
      <c r="O7376" s="11">
        <f>M7376-N7376</f>
        <v/>
      </c>
    </row>
    <row r="7377">
      <c r="A7377" s="9" t="n">
        <v>45599.29166666666</v>
      </c>
      <c r="B7377" t="n">
        <v>11</v>
      </c>
      <c r="C7377" t="n">
        <v>3</v>
      </c>
      <c r="D7377" t="n">
        <v>7</v>
      </c>
      <c r="E7377" s="10" t="n">
        <v>0</v>
      </c>
      <c r="F7377" s="10" t="n">
        <v>0.4267970944313026</v>
      </c>
      <c r="G7377" s="11">
        <f>E7377*Summary!$B$6</f>
        <v/>
      </c>
      <c r="H7377" s="11">
        <f>F7377*Summary!$B$7</f>
        <v/>
      </c>
      <c r="I7377" s="11">
        <f>MAX(0,N7377-M7377)</f>
        <v/>
      </c>
      <c r="J7377" s="11">
        <f>MAX(0,M7377-N7377)</f>
        <v/>
      </c>
      <c r="K7377" s="11">
        <f>O7377</f>
        <v/>
      </c>
      <c r="L7377" s="11">
        <f>L7376+IF(K7377&gt;0,K7377*Summary!$B$9,K7377/Summary!$B$9)</f>
        <v/>
      </c>
      <c r="M7377" s="11">
        <f>G7377+H7377</f>
        <v/>
      </c>
      <c r="N7377" s="11">
        <f>Summary!$C$16*Summary!$B$8</f>
        <v/>
      </c>
      <c r="O7377" s="11">
        <f>M7377-N7377</f>
        <v/>
      </c>
    </row>
    <row r="7378">
      <c r="A7378" s="9" t="n">
        <v>45599.33333333334</v>
      </c>
      <c r="B7378" t="n">
        <v>11</v>
      </c>
      <c r="C7378" t="n">
        <v>3</v>
      </c>
      <c r="D7378" t="n">
        <v>8</v>
      </c>
      <c r="E7378" s="10" t="n">
        <v>0.015275</v>
      </c>
      <c r="F7378" s="10" t="n">
        <v>0.4252159740518338</v>
      </c>
      <c r="G7378" s="11">
        <f>E7378*Summary!$B$6</f>
        <v/>
      </c>
      <c r="H7378" s="11">
        <f>F7378*Summary!$B$7</f>
        <v/>
      </c>
      <c r="I7378" s="11">
        <f>MAX(0,N7378-M7378)</f>
        <v/>
      </c>
      <c r="J7378" s="11">
        <f>MAX(0,M7378-N7378)</f>
        <v/>
      </c>
      <c r="K7378" s="11">
        <f>O7378</f>
        <v/>
      </c>
      <c r="L7378" s="11">
        <f>L7377+IF(K7378&gt;0,K7378*Summary!$B$9,K7378/Summary!$B$9)</f>
        <v/>
      </c>
      <c r="M7378" s="11">
        <f>G7378+H7378</f>
        <v/>
      </c>
      <c r="N7378" s="11">
        <f>Summary!$C$16*Summary!$B$8</f>
        <v/>
      </c>
      <c r="O7378" s="11">
        <f>M7378-N7378</f>
        <v/>
      </c>
    </row>
    <row r="7379">
      <c r="A7379" s="9" t="n">
        <v>45599.375</v>
      </c>
      <c r="B7379" t="n">
        <v>11</v>
      </c>
      <c r="C7379" t="n">
        <v>3</v>
      </c>
      <c r="D7379" t="n">
        <v>9</v>
      </c>
      <c r="E7379" s="10" t="n">
        <v>0.023724</v>
      </c>
      <c r="F7379" s="10" t="n">
        <v>0.4196557007173681</v>
      </c>
      <c r="G7379" s="11">
        <f>E7379*Summary!$B$6</f>
        <v/>
      </c>
      <c r="H7379" s="11">
        <f>F7379*Summary!$B$7</f>
        <v/>
      </c>
      <c r="I7379" s="11">
        <f>MAX(0,N7379-M7379)</f>
        <v/>
      </c>
      <c r="J7379" s="11">
        <f>MAX(0,M7379-N7379)</f>
        <v/>
      </c>
      <c r="K7379" s="11">
        <f>O7379</f>
        <v/>
      </c>
      <c r="L7379" s="11">
        <f>L7378+IF(K7379&gt;0,K7379*Summary!$B$9,K7379/Summary!$B$9)</f>
        <v/>
      </c>
      <c r="M7379" s="11">
        <f>G7379+H7379</f>
        <v/>
      </c>
      <c r="N7379" s="11">
        <f>Summary!$C$16*Summary!$B$8</f>
        <v/>
      </c>
      <c r="O7379" s="11">
        <f>M7379-N7379</f>
        <v/>
      </c>
    </row>
    <row r="7380">
      <c r="A7380" s="9" t="n">
        <v>45599.41666666666</v>
      </c>
      <c r="B7380" t="n">
        <v>11</v>
      </c>
      <c r="C7380" t="n">
        <v>3</v>
      </c>
      <c r="D7380" t="n">
        <v>10</v>
      </c>
      <c r="E7380" s="10" t="n">
        <v>0.04084</v>
      </c>
      <c r="F7380" s="10" t="n">
        <v>0.4159400678256163</v>
      </c>
      <c r="G7380" s="11">
        <f>E7380*Summary!$B$6</f>
        <v/>
      </c>
      <c r="H7380" s="11">
        <f>F7380*Summary!$B$7</f>
        <v/>
      </c>
      <c r="I7380" s="11">
        <f>MAX(0,N7380-M7380)</f>
        <v/>
      </c>
      <c r="J7380" s="11">
        <f>MAX(0,M7380-N7380)</f>
        <v/>
      </c>
      <c r="K7380" s="11">
        <f>O7380</f>
        <v/>
      </c>
      <c r="L7380" s="11">
        <f>L7379+IF(K7380&gt;0,K7380*Summary!$B$9,K7380/Summary!$B$9)</f>
        <v/>
      </c>
      <c r="M7380" s="11">
        <f>G7380+H7380</f>
        <v/>
      </c>
      <c r="N7380" s="11">
        <f>Summary!$C$16*Summary!$B$8</f>
        <v/>
      </c>
      <c r="O7380" s="11">
        <f>M7380-N7380</f>
        <v/>
      </c>
    </row>
    <row r="7381">
      <c r="A7381" s="9" t="n">
        <v>45599.45833333334</v>
      </c>
      <c r="B7381" t="n">
        <v>11</v>
      </c>
      <c r="C7381" t="n">
        <v>3</v>
      </c>
      <c r="D7381" t="n">
        <v>11</v>
      </c>
      <c r="E7381" s="10" t="n">
        <v>0.041353</v>
      </c>
      <c r="F7381" s="10" t="n">
        <v>0.4072175537322129</v>
      </c>
      <c r="G7381" s="11">
        <f>E7381*Summary!$B$6</f>
        <v/>
      </c>
      <c r="H7381" s="11">
        <f>F7381*Summary!$B$7</f>
        <v/>
      </c>
      <c r="I7381" s="11">
        <f>MAX(0,N7381-M7381)</f>
        <v/>
      </c>
      <c r="J7381" s="11">
        <f>MAX(0,M7381-N7381)</f>
        <v/>
      </c>
      <c r="K7381" s="11">
        <f>O7381</f>
        <v/>
      </c>
      <c r="L7381" s="11">
        <f>L7380+IF(K7381&gt;0,K7381*Summary!$B$9,K7381/Summary!$B$9)</f>
        <v/>
      </c>
      <c r="M7381" s="11">
        <f>G7381+H7381</f>
        <v/>
      </c>
      <c r="N7381" s="11">
        <f>Summary!$C$16*Summary!$B$8</f>
        <v/>
      </c>
      <c r="O7381" s="11">
        <f>M7381-N7381</f>
        <v/>
      </c>
    </row>
    <row r="7382">
      <c r="A7382" s="9" t="n">
        <v>45599.5</v>
      </c>
      <c r="B7382" t="n">
        <v>11</v>
      </c>
      <c r="C7382" t="n">
        <v>3</v>
      </c>
      <c r="D7382" t="n">
        <v>12</v>
      </c>
      <c r="E7382" s="10" t="n">
        <v>0.038552</v>
      </c>
      <c r="F7382" s="10" t="n">
        <v>0.3999180479803315</v>
      </c>
      <c r="G7382" s="11">
        <f>E7382*Summary!$B$6</f>
        <v/>
      </c>
      <c r="H7382" s="11">
        <f>F7382*Summary!$B$7</f>
        <v/>
      </c>
      <c r="I7382" s="11">
        <f>MAX(0,N7382-M7382)</f>
        <v/>
      </c>
      <c r="J7382" s="11">
        <f>MAX(0,M7382-N7382)</f>
        <v/>
      </c>
      <c r="K7382" s="11">
        <f>O7382</f>
        <v/>
      </c>
      <c r="L7382" s="11">
        <f>L7381+IF(K7382&gt;0,K7382*Summary!$B$9,K7382/Summary!$B$9)</f>
        <v/>
      </c>
      <c r="M7382" s="11">
        <f>G7382+H7382</f>
        <v/>
      </c>
      <c r="N7382" s="11">
        <f>Summary!$C$16*Summary!$B$8</f>
        <v/>
      </c>
      <c r="O7382" s="11">
        <f>M7382-N7382</f>
        <v/>
      </c>
    </row>
    <row r="7383">
      <c r="A7383" s="9" t="n">
        <v>45599.54166666666</v>
      </c>
      <c r="B7383" t="n">
        <v>11</v>
      </c>
      <c r="C7383" t="n">
        <v>3</v>
      </c>
      <c r="D7383" t="n">
        <v>13</v>
      </c>
      <c r="E7383" s="10" t="n">
        <v>0.01417</v>
      </c>
      <c r="F7383" s="10" t="n">
        <v>0.3875062530015007</v>
      </c>
      <c r="G7383" s="11">
        <f>E7383*Summary!$B$6</f>
        <v/>
      </c>
      <c r="H7383" s="11">
        <f>F7383*Summary!$B$7</f>
        <v/>
      </c>
      <c r="I7383" s="11">
        <f>MAX(0,N7383-M7383)</f>
        <v/>
      </c>
      <c r="J7383" s="11">
        <f>MAX(0,M7383-N7383)</f>
        <v/>
      </c>
      <c r="K7383" s="11">
        <f>O7383</f>
        <v/>
      </c>
      <c r="L7383" s="11">
        <f>L7382+IF(K7383&gt;0,K7383*Summary!$B$9,K7383/Summary!$B$9)</f>
        <v/>
      </c>
      <c r="M7383" s="11">
        <f>G7383+H7383</f>
        <v/>
      </c>
      <c r="N7383" s="11">
        <f>Summary!$C$16*Summary!$B$8</f>
        <v/>
      </c>
      <c r="O7383" s="11">
        <f>M7383-N7383</f>
        <v/>
      </c>
    </row>
    <row r="7384">
      <c r="A7384" s="9" t="n">
        <v>45599.58333333334</v>
      </c>
      <c r="B7384" t="n">
        <v>11</v>
      </c>
      <c r="C7384" t="n">
        <v>3</v>
      </c>
      <c r="D7384" t="n">
        <v>14</v>
      </c>
      <c r="E7384" s="10" t="n">
        <v>0.024842</v>
      </c>
      <c r="F7384" s="10" t="n">
        <v>0.3789682029523687</v>
      </c>
      <c r="G7384" s="11">
        <f>E7384*Summary!$B$6</f>
        <v/>
      </c>
      <c r="H7384" s="11">
        <f>F7384*Summary!$B$7</f>
        <v/>
      </c>
      <c r="I7384" s="11">
        <f>MAX(0,N7384-M7384)</f>
        <v/>
      </c>
      <c r="J7384" s="11">
        <f>MAX(0,M7384-N7384)</f>
        <v/>
      </c>
      <c r="K7384" s="11">
        <f>O7384</f>
        <v/>
      </c>
      <c r="L7384" s="11">
        <f>L7383+IF(K7384&gt;0,K7384*Summary!$B$9,K7384/Summary!$B$9)</f>
        <v/>
      </c>
      <c r="M7384" s="11">
        <f>G7384+H7384</f>
        <v/>
      </c>
      <c r="N7384" s="11">
        <f>Summary!$C$16*Summary!$B$8</f>
        <v/>
      </c>
      <c r="O7384" s="11">
        <f>M7384-N7384</f>
        <v/>
      </c>
    </row>
    <row r="7385">
      <c r="A7385" s="9" t="n">
        <v>45599.625</v>
      </c>
      <c r="B7385" t="n">
        <v>11</v>
      </c>
      <c r="C7385" t="n">
        <v>3</v>
      </c>
      <c r="D7385" t="n">
        <v>15</v>
      </c>
      <c r="E7385" s="10" t="n">
        <v>0.012672</v>
      </c>
      <c r="F7385" s="10" t="n">
        <v>0.3808391954014069</v>
      </c>
      <c r="G7385" s="11">
        <f>E7385*Summary!$B$6</f>
        <v/>
      </c>
      <c r="H7385" s="11">
        <f>F7385*Summary!$B$7</f>
        <v/>
      </c>
      <c r="I7385" s="11">
        <f>MAX(0,N7385-M7385)</f>
        <v/>
      </c>
      <c r="J7385" s="11">
        <f>MAX(0,M7385-N7385)</f>
        <v/>
      </c>
      <c r="K7385" s="11">
        <f>O7385</f>
        <v/>
      </c>
      <c r="L7385" s="11">
        <f>L7384+IF(K7385&gt;0,K7385*Summary!$B$9,K7385/Summary!$B$9)</f>
        <v/>
      </c>
      <c r="M7385" s="11">
        <f>G7385+H7385</f>
        <v/>
      </c>
      <c r="N7385" s="11">
        <f>Summary!$C$16*Summary!$B$8</f>
        <v/>
      </c>
      <c r="O7385" s="11">
        <f>M7385-N7385</f>
        <v/>
      </c>
    </row>
    <row r="7386">
      <c r="A7386" s="9" t="n">
        <v>45599.66666666666</v>
      </c>
      <c r="B7386" t="n">
        <v>11</v>
      </c>
      <c r="C7386" t="n">
        <v>3</v>
      </c>
      <c r="D7386" t="n">
        <v>16</v>
      </c>
      <c r="E7386" s="10" t="n">
        <v>0</v>
      </c>
      <c r="F7386" s="10" t="n">
        <v>0.3870055648813356</v>
      </c>
      <c r="G7386" s="11">
        <f>E7386*Summary!$B$6</f>
        <v/>
      </c>
      <c r="H7386" s="11">
        <f>F7386*Summary!$B$7</f>
        <v/>
      </c>
      <c r="I7386" s="11">
        <f>MAX(0,N7386-M7386)</f>
        <v/>
      </c>
      <c r="J7386" s="11">
        <f>MAX(0,M7386-N7386)</f>
        <v/>
      </c>
      <c r="K7386" s="11">
        <f>O7386</f>
        <v/>
      </c>
      <c r="L7386" s="11">
        <f>L7385+IF(K7386&gt;0,K7386*Summary!$B$9,K7386/Summary!$B$9)</f>
        <v/>
      </c>
      <c r="M7386" s="11">
        <f>G7386+H7386</f>
        <v/>
      </c>
      <c r="N7386" s="11">
        <f>Summary!$C$16*Summary!$B$8</f>
        <v/>
      </c>
      <c r="O7386" s="11">
        <f>M7386-N7386</f>
        <v/>
      </c>
    </row>
    <row r="7387">
      <c r="A7387" s="9" t="n">
        <v>45599.70833333334</v>
      </c>
      <c r="B7387" t="n">
        <v>11</v>
      </c>
      <c r="C7387" t="n">
        <v>3</v>
      </c>
      <c r="D7387" t="n">
        <v>17</v>
      </c>
      <c r="E7387" s="10" t="n">
        <v>0</v>
      </c>
      <c r="F7387" s="10" t="n">
        <v>0.3865312287674949</v>
      </c>
      <c r="G7387" s="11">
        <f>E7387*Summary!$B$6</f>
        <v/>
      </c>
      <c r="H7387" s="11">
        <f>F7387*Summary!$B$7</f>
        <v/>
      </c>
      <c r="I7387" s="11">
        <f>MAX(0,N7387-M7387)</f>
        <v/>
      </c>
      <c r="J7387" s="11">
        <f>MAX(0,M7387-N7387)</f>
        <v/>
      </c>
      <c r="K7387" s="11">
        <f>O7387</f>
        <v/>
      </c>
      <c r="L7387" s="11">
        <f>L7386+IF(K7387&gt;0,K7387*Summary!$B$9,K7387/Summary!$B$9)</f>
        <v/>
      </c>
      <c r="M7387" s="11">
        <f>G7387+H7387</f>
        <v/>
      </c>
      <c r="N7387" s="11">
        <f>Summary!$C$16*Summary!$B$8</f>
        <v/>
      </c>
      <c r="O7387" s="11">
        <f>M7387-N7387</f>
        <v/>
      </c>
    </row>
    <row r="7388">
      <c r="A7388" s="9" t="n">
        <v>45599.75</v>
      </c>
      <c r="B7388" t="n">
        <v>11</v>
      </c>
      <c r="C7388" t="n">
        <v>3</v>
      </c>
      <c r="D7388" t="n">
        <v>18</v>
      </c>
      <c r="E7388" s="10" t="n">
        <v>0</v>
      </c>
      <c r="F7388" s="10" t="n">
        <v>0.3960179510443083</v>
      </c>
      <c r="G7388" s="11">
        <f>E7388*Summary!$B$6</f>
        <v/>
      </c>
      <c r="H7388" s="11">
        <f>F7388*Summary!$B$7</f>
        <v/>
      </c>
      <c r="I7388" s="11">
        <f>MAX(0,N7388-M7388)</f>
        <v/>
      </c>
      <c r="J7388" s="11">
        <f>MAX(0,M7388-N7388)</f>
        <v/>
      </c>
      <c r="K7388" s="11">
        <f>O7388</f>
        <v/>
      </c>
      <c r="L7388" s="11">
        <f>L7387+IF(K7388&gt;0,K7388*Summary!$B$9,K7388/Summary!$B$9)</f>
        <v/>
      </c>
      <c r="M7388" s="11">
        <f>G7388+H7388</f>
        <v/>
      </c>
      <c r="N7388" s="11">
        <f>Summary!$C$16*Summary!$B$8</f>
        <v/>
      </c>
      <c r="O7388" s="11">
        <f>M7388-N7388</f>
        <v/>
      </c>
    </row>
    <row r="7389">
      <c r="A7389" s="9" t="n">
        <v>45599.79166666666</v>
      </c>
      <c r="B7389" t="n">
        <v>11</v>
      </c>
      <c r="C7389" t="n">
        <v>3</v>
      </c>
      <c r="D7389" t="n">
        <v>19</v>
      </c>
      <c r="E7389" s="10" t="n">
        <v>0</v>
      </c>
      <c r="F7389" s="10" t="n">
        <v>0.3995754718981133</v>
      </c>
      <c r="G7389" s="11">
        <f>E7389*Summary!$B$6</f>
        <v/>
      </c>
      <c r="H7389" s="11">
        <f>F7389*Summary!$B$7</f>
        <v/>
      </c>
      <c r="I7389" s="11">
        <f>MAX(0,N7389-M7389)</f>
        <v/>
      </c>
      <c r="J7389" s="11">
        <f>MAX(0,M7389-N7389)</f>
        <v/>
      </c>
      <c r="K7389" s="11">
        <f>O7389</f>
        <v/>
      </c>
      <c r="L7389" s="11">
        <f>L7388+IF(K7389&gt;0,K7389*Summary!$B$9,K7389/Summary!$B$9)</f>
        <v/>
      </c>
      <c r="M7389" s="11">
        <f>G7389+H7389</f>
        <v/>
      </c>
      <c r="N7389" s="11">
        <f>Summary!$C$16*Summary!$B$8</f>
        <v/>
      </c>
      <c r="O7389" s="11">
        <f>M7389-N7389</f>
        <v/>
      </c>
    </row>
    <row r="7390">
      <c r="A7390" s="9" t="n">
        <v>45599.83333333334</v>
      </c>
      <c r="B7390" t="n">
        <v>11</v>
      </c>
      <c r="C7390" t="n">
        <v>3</v>
      </c>
      <c r="D7390" t="n">
        <v>20</v>
      </c>
      <c r="E7390" s="10" t="n">
        <v>0</v>
      </c>
      <c r="F7390" s="10" t="n">
        <v>0.4016309283914228</v>
      </c>
      <c r="G7390" s="11">
        <f>E7390*Summary!$B$6</f>
        <v/>
      </c>
      <c r="H7390" s="11">
        <f>F7390*Summary!$B$7</f>
        <v/>
      </c>
      <c r="I7390" s="11">
        <f>MAX(0,N7390-M7390)</f>
        <v/>
      </c>
      <c r="J7390" s="11">
        <f>MAX(0,M7390-N7390)</f>
        <v/>
      </c>
      <c r="K7390" s="11">
        <f>O7390</f>
        <v/>
      </c>
      <c r="L7390" s="11">
        <f>L7389+IF(K7390&gt;0,K7390*Summary!$B$9,K7390/Summary!$B$9)</f>
        <v/>
      </c>
      <c r="M7390" s="11">
        <f>G7390+H7390</f>
        <v/>
      </c>
      <c r="N7390" s="11">
        <f>Summary!$C$16*Summary!$B$8</f>
        <v/>
      </c>
      <c r="O7390" s="11">
        <f>M7390-N7390</f>
        <v/>
      </c>
    </row>
    <row r="7391">
      <c r="A7391" s="9" t="n">
        <v>45599.875</v>
      </c>
      <c r="B7391" t="n">
        <v>11</v>
      </c>
      <c r="C7391" t="n">
        <v>3</v>
      </c>
      <c r="D7391" t="n">
        <v>21</v>
      </c>
      <c r="E7391" s="10" t="n">
        <v>0</v>
      </c>
      <c r="F7391" s="10" t="n">
        <v>0.3980997595439423</v>
      </c>
      <c r="G7391" s="11">
        <f>E7391*Summary!$B$6</f>
        <v/>
      </c>
      <c r="H7391" s="11">
        <f>F7391*Summary!$B$7</f>
        <v/>
      </c>
      <c r="I7391" s="11">
        <f>MAX(0,N7391-M7391)</f>
        <v/>
      </c>
      <c r="J7391" s="11">
        <f>MAX(0,M7391-N7391)</f>
        <v/>
      </c>
      <c r="K7391" s="11">
        <f>O7391</f>
        <v/>
      </c>
      <c r="L7391" s="11">
        <f>L7390+IF(K7391&gt;0,K7391*Summary!$B$9,K7391/Summary!$B$9)</f>
        <v/>
      </c>
      <c r="M7391" s="11">
        <f>G7391+H7391</f>
        <v/>
      </c>
      <c r="N7391" s="11">
        <f>Summary!$C$16*Summary!$B$8</f>
        <v/>
      </c>
      <c r="O7391" s="11">
        <f>M7391-N7391</f>
        <v/>
      </c>
    </row>
    <row r="7392">
      <c r="A7392" s="9" t="n">
        <v>45599.91666666666</v>
      </c>
      <c r="B7392" t="n">
        <v>11</v>
      </c>
      <c r="C7392" t="n">
        <v>3</v>
      </c>
      <c r="D7392" t="n">
        <v>22</v>
      </c>
      <c r="E7392" s="10" t="n">
        <v>0</v>
      </c>
      <c r="F7392" s="10" t="n">
        <v>0.3925394862094767</v>
      </c>
      <c r="G7392" s="11">
        <f>E7392*Summary!$B$6</f>
        <v/>
      </c>
      <c r="H7392" s="11">
        <f>F7392*Summary!$B$7</f>
        <v/>
      </c>
      <c r="I7392" s="11">
        <f>MAX(0,N7392-M7392)</f>
        <v/>
      </c>
      <c r="J7392" s="11">
        <f>MAX(0,M7392-N7392)</f>
        <v/>
      </c>
      <c r="K7392" s="11">
        <f>O7392</f>
        <v/>
      </c>
      <c r="L7392" s="11">
        <f>L7391+IF(K7392&gt;0,K7392*Summary!$B$9,K7392/Summary!$B$9)</f>
        <v/>
      </c>
      <c r="M7392" s="11">
        <f>G7392+H7392</f>
        <v/>
      </c>
      <c r="N7392" s="11">
        <f>Summary!$C$16*Summary!$B$8</f>
        <v/>
      </c>
      <c r="O7392" s="11">
        <f>M7392-N7392</f>
        <v/>
      </c>
    </row>
    <row r="7393">
      <c r="A7393" s="9" t="n">
        <v>45599.95833333334</v>
      </c>
      <c r="B7393" t="n">
        <v>11</v>
      </c>
      <c r="C7393" t="n">
        <v>3</v>
      </c>
      <c r="D7393" t="n">
        <v>23</v>
      </c>
      <c r="E7393" s="10" t="n">
        <v>0</v>
      </c>
      <c r="F7393" s="10" t="n">
        <v>0.3805229713255132</v>
      </c>
      <c r="G7393" s="11">
        <f>E7393*Summary!$B$6</f>
        <v/>
      </c>
      <c r="H7393" s="11">
        <f>F7393*Summary!$B$7</f>
        <v/>
      </c>
      <c r="I7393" s="11">
        <f>MAX(0,N7393-M7393)</f>
        <v/>
      </c>
      <c r="J7393" s="11">
        <f>MAX(0,M7393-N7393)</f>
        <v/>
      </c>
      <c r="K7393" s="11">
        <f>O7393</f>
        <v/>
      </c>
      <c r="L7393" s="11">
        <f>L7392+IF(K7393&gt;0,K7393*Summary!$B$9,K7393/Summary!$B$9)</f>
        <v/>
      </c>
      <c r="M7393" s="11">
        <f>G7393+H7393</f>
        <v/>
      </c>
      <c r="N7393" s="11">
        <f>Summary!$C$16*Summary!$B$8</f>
        <v/>
      </c>
      <c r="O7393" s="11">
        <f>M7393-N7393</f>
        <v/>
      </c>
    </row>
    <row r="7394">
      <c r="A7394" s="9" t="n">
        <v>45600</v>
      </c>
      <c r="B7394" t="n">
        <v>11</v>
      </c>
      <c r="C7394" t="n">
        <v>4</v>
      </c>
      <c r="D7394" t="n">
        <v>0</v>
      </c>
      <c r="E7394" s="10" t="n">
        <v>0</v>
      </c>
      <c r="F7394" s="10" t="n">
        <v>0.3771499145159795</v>
      </c>
      <c r="G7394" s="11">
        <f>E7394*Summary!$B$6</f>
        <v/>
      </c>
      <c r="H7394" s="11">
        <f>F7394*Summary!$B$7</f>
        <v/>
      </c>
      <c r="I7394" s="11">
        <f>MAX(0,N7394-M7394)</f>
        <v/>
      </c>
      <c r="J7394" s="11">
        <f>MAX(0,M7394-N7394)</f>
        <v/>
      </c>
      <c r="K7394" s="11">
        <f>O7394</f>
        <v/>
      </c>
      <c r="L7394" s="11">
        <f>L7393+IF(K7394&gt;0,K7394*Summary!$B$9,K7394/Summary!$B$9)</f>
        <v/>
      </c>
      <c r="M7394" s="11">
        <f>G7394+H7394</f>
        <v/>
      </c>
      <c r="N7394" s="11">
        <f>Summary!$C$16*Summary!$B$8</f>
        <v/>
      </c>
      <c r="O7394" s="11">
        <f>M7394-N7394</f>
        <v/>
      </c>
    </row>
    <row r="7395">
      <c r="A7395" s="9" t="n">
        <v>45600.04166666666</v>
      </c>
      <c r="B7395" t="n">
        <v>11</v>
      </c>
      <c r="C7395" t="n">
        <v>4</v>
      </c>
      <c r="D7395" t="n">
        <v>1</v>
      </c>
      <c r="E7395" s="10" t="n">
        <v>0</v>
      </c>
      <c r="F7395" s="10" t="n">
        <v>0.3504553321092797</v>
      </c>
      <c r="G7395" s="11">
        <f>E7395*Summary!$B$6</f>
        <v/>
      </c>
      <c r="H7395" s="11">
        <f>F7395*Summary!$B$7</f>
        <v/>
      </c>
      <c r="I7395" s="11">
        <f>MAX(0,N7395-M7395)</f>
        <v/>
      </c>
      <c r="J7395" s="11">
        <f>MAX(0,M7395-N7395)</f>
        <v/>
      </c>
      <c r="K7395" s="11">
        <f>O7395</f>
        <v/>
      </c>
      <c r="L7395" s="11">
        <f>L7394+IF(K7395&gt;0,K7395*Summary!$B$9,K7395/Summary!$B$9)</f>
        <v/>
      </c>
      <c r="M7395" s="11">
        <f>G7395+H7395</f>
        <v/>
      </c>
      <c r="N7395" s="11">
        <f>Summary!$C$16*Summary!$B$8</f>
        <v/>
      </c>
      <c r="O7395" s="11">
        <f>M7395-N7395</f>
        <v/>
      </c>
    </row>
    <row r="7396">
      <c r="A7396" s="9" t="n">
        <v>45600.08333333334</v>
      </c>
      <c r="B7396" t="n">
        <v>11</v>
      </c>
      <c r="C7396" t="n">
        <v>4</v>
      </c>
      <c r="D7396" t="n">
        <v>2</v>
      </c>
      <c r="E7396" s="10" t="n">
        <v>0</v>
      </c>
      <c r="F7396" s="10" t="n">
        <v>0.3406260337502481</v>
      </c>
      <c r="G7396" s="11">
        <f>E7396*Summary!$B$6</f>
        <v/>
      </c>
      <c r="H7396" s="11">
        <f>F7396*Summary!$B$7</f>
        <v/>
      </c>
      <c r="I7396" s="11">
        <f>MAX(0,N7396-M7396)</f>
        <v/>
      </c>
      <c r="J7396" s="11">
        <f>MAX(0,M7396-N7396)</f>
        <v/>
      </c>
      <c r="K7396" s="11">
        <f>O7396</f>
        <v/>
      </c>
      <c r="L7396" s="11">
        <f>L7395+IF(K7396&gt;0,K7396*Summary!$B$9,K7396/Summary!$B$9)</f>
        <v/>
      </c>
      <c r="M7396" s="11">
        <f>G7396+H7396</f>
        <v/>
      </c>
      <c r="N7396" s="11">
        <f>Summary!$C$16*Summary!$B$8</f>
        <v/>
      </c>
      <c r="O7396" s="11">
        <f>M7396-N7396</f>
        <v/>
      </c>
    </row>
    <row r="7397">
      <c r="A7397" s="9" t="n">
        <v>45600.125</v>
      </c>
      <c r="B7397" t="n">
        <v>11</v>
      </c>
      <c r="C7397" t="n">
        <v>4</v>
      </c>
      <c r="D7397" t="n">
        <v>3</v>
      </c>
      <c r="E7397" s="10" t="n">
        <v>0</v>
      </c>
      <c r="F7397" s="10" t="n">
        <v>0.3346968323272397</v>
      </c>
      <c r="G7397" s="11">
        <f>E7397*Summary!$B$6</f>
        <v/>
      </c>
      <c r="H7397" s="11">
        <f>F7397*Summary!$B$7</f>
        <v/>
      </c>
      <c r="I7397" s="11">
        <f>MAX(0,N7397-M7397)</f>
        <v/>
      </c>
      <c r="J7397" s="11">
        <f>MAX(0,M7397-N7397)</f>
        <v/>
      </c>
      <c r="K7397" s="11">
        <f>O7397</f>
        <v/>
      </c>
      <c r="L7397" s="11">
        <f>L7396+IF(K7397&gt;0,K7397*Summary!$B$9,K7397/Summary!$B$9)</f>
        <v/>
      </c>
      <c r="M7397" s="11">
        <f>G7397+H7397</f>
        <v/>
      </c>
      <c r="N7397" s="11">
        <f>Summary!$C$16*Summary!$B$8</f>
        <v/>
      </c>
      <c r="O7397" s="11">
        <f>M7397-N7397</f>
        <v/>
      </c>
    </row>
    <row r="7398">
      <c r="A7398" s="9" t="n">
        <v>45600.16666666666</v>
      </c>
      <c r="B7398" t="n">
        <v>11</v>
      </c>
      <c r="C7398" t="n">
        <v>4</v>
      </c>
      <c r="D7398" t="n">
        <v>4</v>
      </c>
      <c r="E7398" s="10" t="n">
        <v>0</v>
      </c>
      <c r="F7398" s="10" t="n">
        <v>0.3523790285709668</v>
      </c>
      <c r="G7398" s="11">
        <f>E7398*Summary!$B$6</f>
        <v/>
      </c>
      <c r="H7398" s="11">
        <f>F7398*Summary!$B$7</f>
        <v/>
      </c>
      <c r="I7398" s="11">
        <f>MAX(0,N7398-M7398)</f>
        <v/>
      </c>
      <c r="J7398" s="11">
        <f>MAX(0,M7398-N7398)</f>
        <v/>
      </c>
      <c r="K7398" s="11">
        <f>O7398</f>
        <v/>
      </c>
      <c r="L7398" s="11">
        <f>L7397+IF(K7398&gt;0,K7398*Summary!$B$9,K7398/Summary!$B$9)</f>
        <v/>
      </c>
      <c r="M7398" s="11">
        <f>G7398+H7398</f>
        <v/>
      </c>
      <c r="N7398" s="11">
        <f>Summary!$C$16*Summary!$B$8</f>
        <v/>
      </c>
      <c r="O7398" s="11">
        <f>M7398-N7398</f>
        <v/>
      </c>
    </row>
    <row r="7399">
      <c r="A7399" s="9" t="n">
        <v>45600.20833333334</v>
      </c>
      <c r="B7399" t="n">
        <v>11</v>
      </c>
      <c r="C7399" t="n">
        <v>4</v>
      </c>
      <c r="D7399" t="n">
        <v>5</v>
      </c>
      <c r="E7399" s="10" t="n">
        <v>0</v>
      </c>
      <c r="F7399" s="10" t="n">
        <v>0.3345123682829684</v>
      </c>
      <c r="G7399" s="11">
        <f>E7399*Summary!$B$6</f>
        <v/>
      </c>
      <c r="H7399" s="11">
        <f>F7399*Summary!$B$7</f>
        <v/>
      </c>
      <c r="I7399" s="11">
        <f>MAX(0,N7399-M7399)</f>
        <v/>
      </c>
      <c r="J7399" s="11">
        <f>MAX(0,M7399-N7399)</f>
        <v/>
      </c>
      <c r="K7399" s="11">
        <f>O7399</f>
        <v/>
      </c>
      <c r="L7399" s="11">
        <f>L7398+IF(K7399&gt;0,K7399*Summary!$B$9,K7399/Summary!$B$9)</f>
        <v/>
      </c>
      <c r="M7399" s="11">
        <f>G7399+H7399</f>
        <v/>
      </c>
      <c r="N7399" s="11">
        <f>Summary!$C$16*Summary!$B$8</f>
        <v/>
      </c>
      <c r="O7399" s="11">
        <f>M7399-N7399</f>
        <v/>
      </c>
    </row>
    <row r="7400">
      <c r="A7400" s="9" t="n">
        <v>45600.25</v>
      </c>
      <c r="B7400" t="n">
        <v>11</v>
      </c>
      <c r="C7400" t="n">
        <v>4</v>
      </c>
      <c r="D7400" t="n">
        <v>6</v>
      </c>
      <c r="E7400" s="10" t="n">
        <v>0</v>
      </c>
      <c r="F7400" s="10" t="n">
        <v>0.3405733297375991</v>
      </c>
      <c r="G7400" s="11">
        <f>E7400*Summary!$B$6</f>
        <v/>
      </c>
      <c r="H7400" s="11">
        <f>F7400*Summary!$B$7</f>
        <v/>
      </c>
      <c r="I7400" s="11">
        <f>MAX(0,N7400-M7400)</f>
        <v/>
      </c>
      <c r="J7400" s="11">
        <f>MAX(0,M7400-N7400)</f>
        <v/>
      </c>
      <c r="K7400" s="11">
        <f>O7400</f>
        <v/>
      </c>
      <c r="L7400" s="11">
        <f>L7399+IF(K7400&gt;0,K7400*Summary!$B$9,K7400/Summary!$B$9)</f>
        <v/>
      </c>
      <c r="M7400" s="11">
        <f>G7400+H7400</f>
        <v/>
      </c>
      <c r="N7400" s="11">
        <f>Summary!$C$16*Summary!$B$8</f>
        <v/>
      </c>
      <c r="O7400" s="11">
        <f>M7400-N7400</f>
        <v/>
      </c>
    </row>
    <row r="7401">
      <c r="A7401" s="9" t="n">
        <v>45600.29166666666</v>
      </c>
      <c r="B7401" t="n">
        <v>11</v>
      </c>
      <c r="C7401" t="n">
        <v>4</v>
      </c>
      <c r="D7401" t="n">
        <v>7</v>
      </c>
      <c r="E7401" s="10" t="n">
        <v>0</v>
      </c>
      <c r="F7401" s="10" t="n">
        <v>0.349269491824678</v>
      </c>
      <c r="G7401" s="11">
        <f>E7401*Summary!$B$6</f>
        <v/>
      </c>
      <c r="H7401" s="11">
        <f>F7401*Summary!$B$7</f>
        <v/>
      </c>
      <c r="I7401" s="11">
        <f>MAX(0,N7401-M7401)</f>
        <v/>
      </c>
      <c r="J7401" s="11">
        <f>MAX(0,M7401-N7401)</f>
        <v/>
      </c>
      <c r="K7401" s="11">
        <f>O7401</f>
        <v/>
      </c>
      <c r="L7401" s="11">
        <f>L7400+IF(K7401&gt;0,K7401*Summary!$B$9,K7401/Summary!$B$9)</f>
        <v/>
      </c>
      <c r="M7401" s="11">
        <f>G7401+H7401</f>
        <v/>
      </c>
      <c r="N7401" s="11">
        <f>Summary!$C$16*Summary!$B$8</f>
        <v/>
      </c>
      <c r="O7401" s="11">
        <f>M7401-N7401</f>
        <v/>
      </c>
    </row>
    <row r="7402">
      <c r="A7402" s="9" t="n">
        <v>45600.33333333334</v>
      </c>
      <c r="B7402" t="n">
        <v>11</v>
      </c>
      <c r="C7402" t="n">
        <v>4</v>
      </c>
      <c r="D7402" t="n">
        <v>8</v>
      </c>
      <c r="E7402" s="10" t="n">
        <v>0.034013</v>
      </c>
      <c r="F7402" s="10" t="n">
        <v>0.3674260241822458</v>
      </c>
      <c r="G7402" s="11">
        <f>E7402*Summary!$B$6</f>
        <v/>
      </c>
      <c r="H7402" s="11">
        <f>F7402*Summary!$B$7</f>
        <v/>
      </c>
      <c r="I7402" s="11">
        <f>MAX(0,N7402-M7402)</f>
        <v/>
      </c>
      <c r="J7402" s="11">
        <f>MAX(0,M7402-N7402)</f>
        <v/>
      </c>
      <c r="K7402" s="11">
        <f>O7402</f>
        <v/>
      </c>
      <c r="L7402" s="11">
        <f>L7401+IF(K7402&gt;0,K7402*Summary!$B$9,K7402/Summary!$B$9)</f>
        <v/>
      </c>
      <c r="M7402" s="11">
        <f>G7402+H7402</f>
        <v/>
      </c>
      <c r="N7402" s="11">
        <f>Summary!$C$16*Summary!$B$8</f>
        <v/>
      </c>
      <c r="O7402" s="11">
        <f>M7402-N7402</f>
        <v/>
      </c>
    </row>
    <row r="7403">
      <c r="A7403" s="9" t="n">
        <v>45600.375</v>
      </c>
      <c r="B7403" t="n">
        <v>11</v>
      </c>
      <c r="C7403" t="n">
        <v>4</v>
      </c>
      <c r="D7403" t="n">
        <v>9</v>
      </c>
      <c r="E7403" s="10" t="n">
        <v>0.071281</v>
      </c>
      <c r="F7403" s="10" t="n">
        <v>0.3410740178577643</v>
      </c>
      <c r="G7403" s="11">
        <f>E7403*Summary!$B$6</f>
        <v/>
      </c>
      <c r="H7403" s="11">
        <f>F7403*Summary!$B$7</f>
        <v/>
      </c>
      <c r="I7403" s="11">
        <f>MAX(0,N7403-M7403)</f>
        <v/>
      </c>
      <c r="J7403" s="11">
        <f>MAX(0,M7403-N7403)</f>
        <v/>
      </c>
      <c r="K7403" s="11">
        <f>O7403</f>
        <v/>
      </c>
      <c r="L7403" s="11">
        <f>L7402+IF(K7403&gt;0,K7403*Summary!$B$9,K7403/Summary!$B$9)</f>
        <v/>
      </c>
      <c r="M7403" s="11">
        <f>G7403+H7403</f>
        <v/>
      </c>
      <c r="N7403" s="11">
        <f>Summary!$C$16*Summary!$B$8</f>
        <v/>
      </c>
      <c r="O7403" s="11">
        <f>M7403-N7403</f>
        <v/>
      </c>
    </row>
    <row r="7404">
      <c r="A7404" s="9" t="n">
        <v>45600.41666666666</v>
      </c>
      <c r="B7404" t="n">
        <v>11</v>
      </c>
      <c r="C7404" t="n">
        <v>4</v>
      </c>
      <c r="D7404" t="n">
        <v>10</v>
      </c>
      <c r="E7404" s="10" t="n">
        <v>0.108468</v>
      </c>
      <c r="F7404" s="10" t="n">
        <v>0.3394138414593219</v>
      </c>
      <c r="G7404" s="11">
        <f>E7404*Summary!$B$6</f>
        <v/>
      </c>
      <c r="H7404" s="11">
        <f>F7404*Summary!$B$7</f>
        <v/>
      </c>
      <c r="I7404" s="11">
        <f>MAX(0,N7404-M7404)</f>
        <v/>
      </c>
      <c r="J7404" s="11">
        <f>MAX(0,M7404-N7404)</f>
        <v/>
      </c>
      <c r="K7404" s="11">
        <f>O7404</f>
        <v/>
      </c>
      <c r="L7404" s="11">
        <f>L7403+IF(K7404&gt;0,K7404*Summary!$B$9,K7404/Summary!$B$9)</f>
        <v/>
      </c>
      <c r="M7404" s="11">
        <f>G7404+H7404</f>
        <v/>
      </c>
      <c r="N7404" s="11">
        <f>Summary!$C$16*Summary!$B$8</f>
        <v/>
      </c>
      <c r="O7404" s="11">
        <f>M7404-N7404</f>
        <v/>
      </c>
    </row>
    <row r="7405">
      <c r="A7405" s="9" t="n">
        <v>45600.45833333334</v>
      </c>
      <c r="B7405" t="n">
        <v>11</v>
      </c>
      <c r="C7405" t="n">
        <v>4</v>
      </c>
      <c r="D7405" t="n">
        <v>11</v>
      </c>
      <c r="E7405" s="10" t="n">
        <v>0.121844</v>
      </c>
      <c r="F7405" s="10" t="n">
        <v>0.3383597612063427</v>
      </c>
      <c r="G7405" s="11">
        <f>E7405*Summary!$B$6</f>
        <v/>
      </c>
      <c r="H7405" s="11">
        <f>F7405*Summary!$B$7</f>
        <v/>
      </c>
      <c r="I7405" s="11">
        <f>MAX(0,N7405-M7405)</f>
        <v/>
      </c>
      <c r="J7405" s="11">
        <f>MAX(0,M7405-N7405)</f>
        <v/>
      </c>
      <c r="K7405" s="11">
        <f>O7405</f>
        <v/>
      </c>
      <c r="L7405" s="11">
        <f>L7404+IF(K7405&gt;0,K7405*Summary!$B$9,K7405/Summary!$B$9)</f>
        <v/>
      </c>
      <c r="M7405" s="11">
        <f>G7405+H7405</f>
        <v/>
      </c>
      <c r="N7405" s="11">
        <f>Summary!$C$16*Summary!$B$8</f>
        <v/>
      </c>
      <c r="O7405" s="11">
        <f>M7405-N7405</f>
        <v/>
      </c>
    </row>
    <row r="7406">
      <c r="A7406" s="9" t="n">
        <v>45600.5</v>
      </c>
      <c r="B7406" t="n">
        <v>11</v>
      </c>
      <c r="C7406" t="n">
        <v>4</v>
      </c>
      <c r="D7406" t="n">
        <v>12</v>
      </c>
      <c r="E7406" s="10" t="n">
        <v>0.072407</v>
      </c>
      <c r="F7406" s="10" t="n">
        <v>0.3402044016490564</v>
      </c>
      <c r="G7406" s="11">
        <f>E7406*Summary!$B$6</f>
        <v/>
      </c>
      <c r="H7406" s="11">
        <f>F7406*Summary!$B$7</f>
        <v/>
      </c>
      <c r="I7406" s="11">
        <f>MAX(0,N7406-M7406)</f>
        <v/>
      </c>
      <c r="J7406" s="11">
        <f>MAX(0,M7406-N7406)</f>
        <v/>
      </c>
      <c r="K7406" s="11">
        <f>O7406</f>
        <v/>
      </c>
      <c r="L7406" s="11">
        <f>L7405+IF(K7406&gt;0,K7406*Summary!$B$9,K7406/Summary!$B$9)</f>
        <v/>
      </c>
      <c r="M7406" s="11">
        <f>G7406+H7406</f>
        <v/>
      </c>
      <c r="N7406" s="11">
        <f>Summary!$C$16*Summary!$B$8</f>
        <v/>
      </c>
      <c r="O7406" s="11">
        <f>M7406-N7406</f>
        <v/>
      </c>
    </row>
    <row r="7407">
      <c r="A7407" s="9" t="n">
        <v>45600.54166666666</v>
      </c>
      <c r="B7407" t="n">
        <v>11</v>
      </c>
      <c r="C7407" t="n">
        <v>4</v>
      </c>
      <c r="D7407" t="n">
        <v>13</v>
      </c>
      <c r="E7407" s="10" t="n">
        <v>0.08361200000000001</v>
      </c>
      <c r="F7407" s="10" t="n">
        <v>0.3429450103068025</v>
      </c>
      <c r="G7407" s="11">
        <f>E7407*Summary!$B$6</f>
        <v/>
      </c>
      <c r="H7407" s="11">
        <f>F7407*Summary!$B$7</f>
        <v/>
      </c>
      <c r="I7407" s="11">
        <f>MAX(0,N7407-M7407)</f>
        <v/>
      </c>
      <c r="J7407" s="11">
        <f>MAX(0,M7407-N7407)</f>
        <v/>
      </c>
      <c r="K7407" s="11">
        <f>O7407</f>
        <v/>
      </c>
      <c r="L7407" s="11">
        <f>L7406+IF(K7407&gt;0,K7407*Summary!$B$9,K7407/Summary!$B$9)</f>
        <v/>
      </c>
      <c r="M7407" s="11">
        <f>G7407+H7407</f>
        <v/>
      </c>
      <c r="N7407" s="11">
        <f>Summary!$C$16*Summary!$B$8</f>
        <v/>
      </c>
      <c r="O7407" s="11">
        <f>M7407-N7407</f>
        <v/>
      </c>
    </row>
    <row r="7408">
      <c r="A7408" s="9" t="n">
        <v>45600.58333333334</v>
      </c>
      <c r="B7408" t="n">
        <v>11</v>
      </c>
      <c r="C7408" t="n">
        <v>4</v>
      </c>
      <c r="D7408" t="n">
        <v>14</v>
      </c>
      <c r="E7408" s="10" t="n">
        <v>0.048536</v>
      </c>
      <c r="F7408" s="10" t="n">
        <v>0.3584399900255976</v>
      </c>
      <c r="G7408" s="11">
        <f>E7408*Summary!$B$6</f>
        <v/>
      </c>
      <c r="H7408" s="11">
        <f>F7408*Summary!$B$7</f>
        <v/>
      </c>
      <c r="I7408" s="11">
        <f>MAX(0,N7408-M7408)</f>
        <v/>
      </c>
      <c r="J7408" s="11">
        <f>MAX(0,M7408-N7408)</f>
        <v/>
      </c>
      <c r="K7408" s="11">
        <f>O7408</f>
        <v/>
      </c>
      <c r="L7408" s="11">
        <f>L7407+IF(K7408&gt;0,K7408*Summary!$B$9,K7408/Summary!$B$9)</f>
        <v/>
      </c>
      <c r="M7408" s="11">
        <f>G7408+H7408</f>
        <v/>
      </c>
      <c r="N7408" s="11">
        <f>Summary!$C$16*Summary!$B$8</f>
        <v/>
      </c>
      <c r="O7408" s="11">
        <f>M7408-N7408</f>
        <v/>
      </c>
    </row>
    <row r="7409">
      <c r="A7409" s="9" t="n">
        <v>45600.625</v>
      </c>
      <c r="B7409" t="n">
        <v>11</v>
      </c>
      <c r="C7409" t="n">
        <v>4</v>
      </c>
      <c r="D7409" t="n">
        <v>15</v>
      </c>
      <c r="E7409" s="10" t="n">
        <v>0.016213</v>
      </c>
      <c r="F7409" s="10" t="n">
        <v>0.3618921028541047</v>
      </c>
      <c r="G7409" s="11">
        <f>E7409*Summary!$B$6</f>
        <v/>
      </c>
      <c r="H7409" s="11">
        <f>F7409*Summary!$B$7</f>
        <v/>
      </c>
      <c r="I7409" s="11">
        <f>MAX(0,N7409-M7409)</f>
        <v/>
      </c>
      <c r="J7409" s="11">
        <f>MAX(0,M7409-N7409)</f>
        <v/>
      </c>
      <c r="K7409" s="11">
        <f>O7409</f>
        <v/>
      </c>
      <c r="L7409" s="11">
        <f>L7408+IF(K7409&gt;0,K7409*Summary!$B$9,K7409/Summary!$B$9)</f>
        <v/>
      </c>
      <c r="M7409" s="11">
        <f>G7409+H7409</f>
        <v/>
      </c>
      <c r="N7409" s="11">
        <f>Summary!$C$16*Summary!$B$8</f>
        <v/>
      </c>
      <c r="O7409" s="11">
        <f>M7409-N7409</f>
        <v/>
      </c>
    </row>
    <row r="7410">
      <c r="A7410" s="9" t="n">
        <v>45600.66666666666</v>
      </c>
      <c r="B7410" t="n">
        <v>11</v>
      </c>
      <c r="C7410" t="n">
        <v>4</v>
      </c>
      <c r="D7410" t="n">
        <v>16</v>
      </c>
      <c r="E7410" s="10" t="n">
        <v>0</v>
      </c>
      <c r="F7410" s="10" t="n">
        <v>0.382051387692333</v>
      </c>
      <c r="G7410" s="11">
        <f>E7410*Summary!$B$6</f>
        <v/>
      </c>
      <c r="H7410" s="11">
        <f>F7410*Summary!$B$7</f>
        <v/>
      </c>
      <c r="I7410" s="11">
        <f>MAX(0,N7410-M7410)</f>
        <v/>
      </c>
      <c r="J7410" s="11">
        <f>MAX(0,M7410-N7410)</f>
        <v/>
      </c>
      <c r="K7410" s="11">
        <f>O7410</f>
        <v/>
      </c>
      <c r="L7410" s="11">
        <f>L7409+IF(K7410&gt;0,K7410*Summary!$B$9,K7410/Summary!$B$9)</f>
        <v/>
      </c>
      <c r="M7410" s="11">
        <f>G7410+H7410</f>
        <v/>
      </c>
      <c r="N7410" s="11">
        <f>Summary!$C$16*Summary!$B$8</f>
        <v/>
      </c>
      <c r="O7410" s="11">
        <f>M7410-N7410</f>
        <v/>
      </c>
    </row>
    <row r="7411">
      <c r="A7411" s="9" t="n">
        <v>45600.70833333334</v>
      </c>
      <c r="B7411" t="n">
        <v>11</v>
      </c>
      <c r="C7411" t="n">
        <v>4</v>
      </c>
      <c r="D7411" t="n">
        <v>17</v>
      </c>
      <c r="E7411" s="10" t="n">
        <v>0</v>
      </c>
      <c r="F7411" s="10" t="n">
        <v>0.3972564953415589</v>
      </c>
      <c r="G7411" s="11">
        <f>E7411*Summary!$B$6</f>
        <v/>
      </c>
      <c r="H7411" s="11">
        <f>F7411*Summary!$B$7</f>
        <v/>
      </c>
      <c r="I7411" s="11">
        <f>MAX(0,N7411-M7411)</f>
        <v/>
      </c>
      <c r="J7411" s="11">
        <f>MAX(0,M7411-N7411)</f>
        <v/>
      </c>
      <c r="K7411" s="11">
        <f>O7411</f>
        <v/>
      </c>
      <c r="L7411" s="11">
        <f>L7410+IF(K7411&gt;0,K7411*Summary!$B$9,K7411/Summary!$B$9)</f>
        <v/>
      </c>
      <c r="M7411" s="11">
        <f>G7411+H7411</f>
        <v/>
      </c>
      <c r="N7411" s="11">
        <f>Summary!$C$16*Summary!$B$8</f>
        <v/>
      </c>
      <c r="O7411" s="11">
        <f>M7411-N7411</f>
        <v/>
      </c>
    </row>
    <row r="7412">
      <c r="A7412" s="9" t="n">
        <v>45600.75</v>
      </c>
      <c r="B7412" t="n">
        <v>11</v>
      </c>
      <c r="C7412" t="n">
        <v>4</v>
      </c>
      <c r="D7412" t="n">
        <v>18</v>
      </c>
      <c r="E7412" s="10" t="n">
        <v>0</v>
      </c>
      <c r="F7412" s="10" t="n">
        <v>0.4133312191994926</v>
      </c>
      <c r="G7412" s="11">
        <f>E7412*Summary!$B$6</f>
        <v/>
      </c>
      <c r="H7412" s="11">
        <f>F7412*Summary!$B$7</f>
        <v/>
      </c>
      <c r="I7412" s="11">
        <f>MAX(0,N7412-M7412)</f>
        <v/>
      </c>
      <c r="J7412" s="11">
        <f>MAX(0,M7412-N7412)</f>
        <v/>
      </c>
      <c r="K7412" s="11">
        <f>O7412</f>
        <v/>
      </c>
      <c r="L7412" s="11">
        <f>L7411+IF(K7412&gt;0,K7412*Summary!$B$9,K7412/Summary!$B$9)</f>
        <v/>
      </c>
      <c r="M7412" s="11">
        <f>G7412+H7412</f>
        <v/>
      </c>
      <c r="N7412" s="11">
        <f>Summary!$C$16*Summary!$B$8</f>
        <v/>
      </c>
      <c r="O7412" s="11">
        <f>M7412-N7412</f>
        <v/>
      </c>
    </row>
    <row r="7413">
      <c r="A7413" s="9" t="n">
        <v>45600.79166666666</v>
      </c>
      <c r="B7413" t="n">
        <v>11</v>
      </c>
      <c r="C7413" t="n">
        <v>4</v>
      </c>
      <c r="D7413" t="n">
        <v>19</v>
      </c>
      <c r="E7413" s="10" t="n">
        <v>0</v>
      </c>
      <c r="F7413" s="10" t="n">
        <v>0.4182326923758461</v>
      </c>
      <c r="G7413" s="11">
        <f>E7413*Summary!$B$6</f>
        <v/>
      </c>
      <c r="H7413" s="11">
        <f>F7413*Summary!$B$7</f>
        <v/>
      </c>
      <c r="I7413" s="11">
        <f>MAX(0,N7413-M7413)</f>
        <v/>
      </c>
      <c r="J7413" s="11">
        <f>MAX(0,M7413-N7413)</f>
        <v/>
      </c>
      <c r="K7413" s="11">
        <f>O7413</f>
        <v/>
      </c>
      <c r="L7413" s="11">
        <f>L7412+IF(K7413&gt;0,K7413*Summary!$B$9,K7413/Summary!$B$9)</f>
        <v/>
      </c>
      <c r="M7413" s="11">
        <f>G7413+H7413</f>
        <v/>
      </c>
      <c r="N7413" s="11">
        <f>Summary!$C$16*Summary!$B$8</f>
        <v/>
      </c>
      <c r="O7413" s="11">
        <f>M7413-N7413</f>
        <v/>
      </c>
    </row>
    <row r="7414">
      <c r="A7414" s="9" t="n">
        <v>45600.83333333334</v>
      </c>
      <c r="B7414" t="n">
        <v>11</v>
      </c>
      <c r="C7414" t="n">
        <v>4</v>
      </c>
      <c r="D7414" t="n">
        <v>20</v>
      </c>
      <c r="E7414" s="10" t="n">
        <v>0</v>
      </c>
      <c r="F7414" s="10" t="n">
        <v>0.4083243379978411</v>
      </c>
      <c r="G7414" s="11">
        <f>E7414*Summary!$B$6</f>
        <v/>
      </c>
      <c r="H7414" s="11">
        <f>F7414*Summary!$B$7</f>
        <v/>
      </c>
      <c r="I7414" s="11">
        <f>MAX(0,N7414-M7414)</f>
        <v/>
      </c>
      <c r="J7414" s="11">
        <f>MAX(0,M7414-N7414)</f>
        <v/>
      </c>
      <c r="K7414" s="11">
        <f>O7414</f>
        <v/>
      </c>
      <c r="L7414" s="11">
        <f>L7413+IF(K7414&gt;0,K7414*Summary!$B$9,K7414/Summary!$B$9)</f>
        <v/>
      </c>
      <c r="M7414" s="11">
        <f>G7414+H7414</f>
        <v/>
      </c>
      <c r="N7414" s="11">
        <f>Summary!$C$16*Summary!$B$8</f>
        <v/>
      </c>
      <c r="O7414" s="11">
        <f>M7414-N7414</f>
        <v/>
      </c>
    </row>
    <row r="7415">
      <c r="A7415" s="9" t="n">
        <v>45600.875</v>
      </c>
      <c r="B7415" t="n">
        <v>11</v>
      </c>
      <c r="C7415" t="n">
        <v>4</v>
      </c>
      <c r="D7415" t="n">
        <v>21</v>
      </c>
      <c r="E7415" s="10" t="n">
        <v>0</v>
      </c>
      <c r="F7415" s="10" t="n">
        <v>0.404213425011222</v>
      </c>
      <c r="G7415" s="11">
        <f>E7415*Summary!$B$6</f>
        <v/>
      </c>
      <c r="H7415" s="11">
        <f>F7415*Summary!$B$7</f>
        <v/>
      </c>
      <c r="I7415" s="11">
        <f>MAX(0,N7415-M7415)</f>
        <v/>
      </c>
      <c r="J7415" s="11">
        <f>MAX(0,M7415-N7415)</f>
        <v/>
      </c>
      <c r="K7415" s="11">
        <f>O7415</f>
        <v/>
      </c>
      <c r="L7415" s="11">
        <f>L7414+IF(K7415&gt;0,K7415*Summary!$B$9,K7415/Summary!$B$9)</f>
        <v/>
      </c>
      <c r="M7415" s="11">
        <f>G7415+H7415</f>
        <v/>
      </c>
      <c r="N7415" s="11">
        <f>Summary!$C$16*Summary!$B$8</f>
        <v/>
      </c>
      <c r="O7415" s="11">
        <f>M7415-N7415</f>
        <v/>
      </c>
    </row>
    <row r="7416">
      <c r="A7416" s="9" t="n">
        <v>45600.91666666666</v>
      </c>
      <c r="B7416" t="n">
        <v>11</v>
      </c>
      <c r="C7416" t="n">
        <v>4</v>
      </c>
      <c r="D7416" t="n">
        <v>22</v>
      </c>
      <c r="E7416" s="10" t="n">
        <v>0</v>
      </c>
      <c r="F7416" s="10" t="n">
        <v>0.3891400773936186</v>
      </c>
      <c r="G7416" s="11">
        <f>E7416*Summary!$B$6</f>
        <v/>
      </c>
      <c r="H7416" s="11">
        <f>F7416*Summary!$B$7</f>
        <v/>
      </c>
      <c r="I7416" s="11">
        <f>MAX(0,N7416-M7416)</f>
        <v/>
      </c>
      <c r="J7416" s="11">
        <f>MAX(0,M7416-N7416)</f>
        <v/>
      </c>
      <c r="K7416" s="11">
        <f>O7416</f>
        <v/>
      </c>
      <c r="L7416" s="11">
        <f>L7415+IF(K7416&gt;0,K7416*Summary!$B$9,K7416/Summary!$B$9)</f>
        <v/>
      </c>
      <c r="M7416" s="11">
        <f>G7416+H7416</f>
        <v/>
      </c>
      <c r="N7416" s="11">
        <f>Summary!$C$16*Summary!$B$8</f>
        <v/>
      </c>
      <c r="O7416" s="11">
        <f>M7416-N7416</f>
        <v/>
      </c>
    </row>
    <row r="7417">
      <c r="A7417" s="9" t="n">
        <v>45600.95833333334</v>
      </c>
      <c r="B7417" t="n">
        <v>11</v>
      </c>
      <c r="C7417" t="n">
        <v>4</v>
      </c>
      <c r="D7417" t="n">
        <v>23</v>
      </c>
      <c r="E7417" s="10" t="n">
        <v>0</v>
      </c>
      <c r="F7417" s="10" t="n">
        <v>0.3820777396986575</v>
      </c>
      <c r="G7417" s="11">
        <f>E7417*Summary!$B$6</f>
        <v/>
      </c>
      <c r="H7417" s="11">
        <f>F7417*Summary!$B$7</f>
        <v/>
      </c>
      <c r="I7417" s="11">
        <f>MAX(0,N7417-M7417)</f>
        <v/>
      </c>
      <c r="J7417" s="11">
        <f>MAX(0,M7417-N7417)</f>
        <v/>
      </c>
      <c r="K7417" s="11">
        <f>O7417</f>
        <v/>
      </c>
      <c r="L7417" s="11">
        <f>L7416+IF(K7417&gt;0,K7417*Summary!$B$9,K7417/Summary!$B$9)</f>
        <v/>
      </c>
      <c r="M7417" s="11">
        <f>G7417+H7417</f>
        <v/>
      </c>
      <c r="N7417" s="11">
        <f>Summary!$C$16*Summary!$B$8</f>
        <v/>
      </c>
      <c r="O7417" s="11">
        <f>M7417-N7417</f>
        <v/>
      </c>
    </row>
    <row r="7418">
      <c r="A7418" s="9" t="n">
        <v>45601</v>
      </c>
      <c r="B7418" t="n">
        <v>11</v>
      </c>
      <c r="C7418" t="n">
        <v>5</v>
      </c>
      <c r="D7418" t="n">
        <v>0</v>
      </c>
      <c r="E7418" s="10" t="n">
        <v>0</v>
      </c>
      <c r="F7418" s="10" t="n">
        <v>0.3456065629455751</v>
      </c>
      <c r="G7418" s="11">
        <f>E7418*Summary!$B$6</f>
        <v/>
      </c>
      <c r="H7418" s="11">
        <f>F7418*Summary!$B$7</f>
        <v/>
      </c>
      <c r="I7418" s="11">
        <f>MAX(0,N7418-M7418)</f>
        <v/>
      </c>
      <c r="J7418" s="11">
        <f>MAX(0,M7418-N7418)</f>
        <v/>
      </c>
      <c r="K7418" s="11">
        <f>O7418</f>
        <v/>
      </c>
      <c r="L7418" s="11">
        <f>L7417+IF(K7418&gt;0,K7418*Summary!$B$9,K7418/Summary!$B$9)</f>
        <v/>
      </c>
      <c r="M7418" s="11">
        <f>G7418+H7418</f>
        <v/>
      </c>
      <c r="N7418" s="11">
        <f>Summary!$C$16*Summary!$B$8</f>
        <v/>
      </c>
      <c r="O7418" s="11">
        <f>M7418-N7418</f>
        <v/>
      </c>
    </row>
    <row r="7419">
      <c r="A7419" s="9" t="n">
        <v>45601.04166666666</v>
      </c>
      <c r="B7419" t="n">
        <v>11</v>
      </c>
      <c r="C7419" t="n">
        <v>5</v>
      </c>
      <c r="D7419" t="n">
        <v>1</v>
      </c>
      <c r="E7419" s="10" t="n">
        <v>0</v>
      </c>
      <c r="F7419" s="10" t="n">
        <v>0.374172137801313</v>
      </c>
      <c r="G7419" s="11">
        <f>E7419*Summary!$B$6</f>
        <v/>
      </c>
      <c r="H7419" s="11">
        <f>F7419*Summary!$B$7</f>
        <v/>
      </c>
      <c r="I7419" s="11">
        <f>MAX(0,N7419-M7419)</f>
        <v/>
      </c>
      <c r="J7419" s="11">
        <f>MAX(0,M7419-N7419)</f>
        <v/>
      </c>
      <c r="K7419" s="11">
        <f>O7419</f>
        <v/>
      </c>
      <c r="L7419" s="11">
        <f>L7418+IF(K7419&gt;0,K7419*Summary!$B$9,K7419/Summary!$B$9)</f>
        <v/>
      </c>
      <c r="M7419" s="11">
        <f>G7419+H7419</f>
        <v/>
      </c>
      <c r="N7419" s="11">
        <f>Summary!$C$16*Summary!$B$8</f>
        <v/>
      </c>
      <c r="O7419" s="11">
        <f>M7419-N7419</f>
        <v/>
      </c>
    </row>
    <row r="7420">
      <c r="A7420" s="9" t="n">
        <v>45601.08333333334</v>
      </c>
      <c r="B7420" t="n">
        <v>11</v>
      </c>
      <c r="C7420" t="n">
        <v>5</v>
      </c>
      <c r="D7420" t="n">
        <v>2</v>
      </c>
      <c r="E7420" s="10" t="n">
        <v>0</v>
      </c>
      <c r="F7420" s="10" t="n">
        <v>0.3736978016874724</v>
      </c>
      <c r="G7420" s="11">
        <f>E7420*Summary!$B$6</f>
        <v/>
      </c>
      <c r="H7420" s="11">
        <f>F7420*Summary!$B$7</f>
        <v/>
      </c>
      <c r="I7420" s="11">
        <f>MAX(0,N7420-M7420)</f>
        <v/>
      </c>
      <c r="J7420" s="11">
        <f>MAX(0,M7420-N7420)</f>
        <v/>
      </c>
      <c r="K7420" s="11">
        <f>O7420</f>
        <v/>
      </c>
      <c r="L7420" s="11">
        <f>L7419+IF(K7420&gt;0,K7420*Summary!$B$9,K7420/Summary!$B$9)</f>
        <v/>
      </c>
      <c r="M7420" s="11">
        <f>G7420+H7420</f>
        <v/>
      </c>
      <c r="N7420" s="11">
        <f>Summary!$C$16*Summary!$B$8</f>
        <v/>
      </c>
      <c r="O7420" s="11">
        <f>M7420-N7420</f>
        <v/>
      </c>
    </row>
    <row r="7421">
      <c r="A7421" s="9" t="n">
        <v>45601.125</v>
      </c>
      <c r="B7421" t="n">
        <v>11</v>
      </c>
      <c r="C7421" t="n">
        <v>5</v>
      </c>
      <c r="D7421" t="n">
        <v>3</v>
      </c>
      <c r="E7421" s="10" t="n">
        <v>0</v>
      </c>
      <c r="F7421" s="10" t="n">
        <v>0.3688226805174433</v>
      </c>
      <c r="G7421" s="11">
        <f>E7421*Summary!$B$6</f>
        <v/>
      </c>
      <c r="H7421" s="11">
        <f>F7421*Summary!$B$7</f>
        <v/>
      </c>
      <c r="I7421" s="11">
        <f>MAX(0,N7421-M7421)</f>
        <v/>
      </c>
      <c r="J7421" s="11">
        <f>MAX(0,M7421-N7421)</f>
        <v/>
      </c>
      <c r="K7421" s="11">
        <f>O7421</f>
        <v/>
      </c>
      <c r="L7421" s="11">
        <f>L7420+IF(K7421&gt;0,K7421*Summary!$B$9,K7421/Summary!$B$9)</f>
        <v/>
      </c>
      <c r="M7421" s="11">
        <f>G7421+H7421</f>
        <v/>
      </c>
      <c r="N7421" s="11">
        <f>Summary!$C$16*Summary!$B$8</f>
        <v/>
      </c>
      <c r="O7421" s="11">
        <f>M7421-N7421</f>
        <v/>
      </c>
    </row>
    <row r="7422">
      <c r="A7422" s="9" t="n">
        <v>45601.16666666666</v>
      </c>
      <c r="B7422" t="n">
        <v>11</v>
      </c>
      <c r="C7422" t="n">
        <v>5</v>
      </c>
      <c r="D7422" t="n">
        <v>4</v>
      </c>
      <c r="E7422" s="10" t="n">
        <v>0</v>
      </c>
      <c r="F7422" s="10" t="n">
        <v>0.3679794163150599</v>
      </c>
      <c r="G7422" s="11">
        <f>E7422*Summary!$B$6</f>
        <v/>
      </c>
      <c r="H7422" s="11">
        <f>F7422*Summary!$B$7</f>
        <v/>
      </c>
      <c r="I7422" s="11">
        <f>MAX(0,N7422-M7422)</f>
        <v/>
      </c>
      <c r="J7422" s="11">
        <f>MAX(0,M7422-N7422)</f>
        <v/>
      </c>
      <c r="K7422" s="11">
        <f>O7422</f>
        <v/>
      </c>
      <c r="L7422" s="11">
        <f>L7421+IF(K7422&gt;0,K7422*Summary!$B$9,K7422/Summary!$B$9)</f>
        <v/>
      </c>
      <c r="M7422" s="11">
        <f>G7422+H7422</f>
        <v/>
      </c>
      <c r="N7422" s="11">
        <f>Summary!$C$16*Summary!$B$8</f>
        <v/>
      </c>
      <c r="O7422" s="11">
        <f>M7422-N7422</f>
        <v/>
      </c>
    </row>
    <row r="7423">
      <c r="A7423" s="9" t="n">
        <v>45601.20833333334</v>
      </c>
      <c r="B7423" t="n">
        <v>11</v>
      </c>
      <c r="C7423" t="n">
        <v>5</v>
      </c>
      <c r="D7423" t="n">
        <v>5</v>
      </c>
      <c r="E7423" s="10" t="n">
        <v>0</v>
      </c>
      <c r="F7423" s="10" t="n">
        <v>0.377176266522304</v>
      </c>
      <c r="G7423" s="11">
        <f>E7423*Summary!$B$6</f>
        <v/>
      </c>
      <c r="H7423" s="11">
        <f>F7423*Summary!$B$7</f>
        <v/>
      </c>
      <c r="I7423" s="11">
        <f>MAX(0,N7423-M7423)</f>
        <v/>
      </c>
      <c r="J7423" s="11">
        <f>MAX(0,M7423-N7423)</f>
        <v/>
      </c>
      <c r="K7423" s="11">
        <f>O7423</f>
        <v/>
      </c>
      <c r="L7423" s="11">
        <f>L7422+IF(K7423&gt;0,K7423*Summary!$B$9,K7423/Summary!$B$9)</f>
        <v/>
      </c>
      <c r="M7423" s="11">
        <f>G7423+H7423</f>
        <v/>
      </c>
      <c r="N7423" s="11">
        <f>Summary!$C$16*Summary!$B$8</f>
        <v/>
      </c>
      <c r="O7423" s="11">
        <f>M7423-N7423</f>
        <v/>
      </c>
    </row>
    <row r="7424">
      <c r="A7424" s="9" t="n">
        <v>45601.25</v>
      </c>
      <c r="B7424" t="n">
        <v>11</v>
      </c>
      <c r="C7424" t="n">
        <v>5</v>
      </c>
      <c r="D7424" t="n">
        <v>6</v>
      </c>
      <c r="E7424" s="10" t="n">
        <v>0</v>
      </c>
      <c r="F7424" s="10" t="n">
        <v>0.3868211008370642</v>
      </c>
      <c r="G7424" s="11">
        <f>E7424*Summary!$B$6</f>
        <v/>
      </c>
      <c r="H7424" s="11">
        <f>F7424*Summary!$B$7</f>
        <v/>
      </c>
      <c r="I7424" s="11">
        <f>MAX(0,N7424-M7424)</f>
        <v/>
      </c>
      <c r="J7424" s="11">
        <f>MAX(0,M7424-N7424)</f>
        <v/>
      </c>
      <c r="K7424" s="11">
        <f>O7424</f>
        <v/>
      </c>
      <c r="L7424" s="11">
        <f>L7423+IF(K7424&gt;0,K7424*Summary!$B$9,K7424/Summary!$B$9)</f>
        <v/>
      </c>
      <c r="M7424" s="11">
        <f>G7424+H7424</f>
        <v/>
      </c>
      <c r="N7424" s="11">
        <f>Summary!$C$16*Summary!$B$8</f>
        <v/>
      </c>
      <c r="O7424" s="11">
        <f>M7424-N7424</f>
        <v/>
      </c>
    </row>
    <row r="7425">
      <c r="A7425" s="9" t="n">
        <v>45601.29166666666</v>
      </c>
      <c r="B7425" t="n">
        <v>11</v>
      </c>
      <c r="C7425" t="n">
        <v>5</v>
      </c>
      <c r="D7425" t="n">
        <v>7</v>
      </c>
      <c r="E7425" s="10" t="n">
        <v>0</v>
      </c>
      <c r="F7425" s="10" t="n">
        <v>0.3883495172038841</v>
      </c>
      <c r="G7425" s="11">
        <f>E7425*Summary!$B$6</f>
        <v/>
      </c>
      <c r="H7425" s="11">
        <f>F7425*Summary!$B$7</f>
        <v/>
      </c>
      <c r="I7425" s="11">
        <f>MAX(0,N7425-M7425)</f>
        <v/>
      </c>
      <c r="J7425" s="11">
        <f>MAX(0,M7425-N7425)</f>
        <v/>
      </c>
      <c r="K7425" s="11">
        <f>O7425</f>
        <v/>
      </c>
      <c r="L7425" s="11">
        <f>L7424+IF(K7425&gt;0,K7425*Summary!$B$9,K7425/Summary!$B$9)</f>
        <v/>
      </c>
      <c r="M7425" s="11">
        <f>G7425+H7425</f>
        <v/>
      </c>
      <c r="N7425" s="11">
        <f>Summary!$C$16*Summary!$B$8</f>
        <v/>
      </c>
      <c r="O7425" s="11">
        <f>M7425-N7425</f>
        <v/>
      </c>
    </row>
    <row r="7426">
      <c r="A7426" s="9" t="n">
        <v>45601.33333333334</v>
      </c>
      <c r="B7426" t="n">
        <v>11</v>
      </c>
      <c r="C7426" t="n">
        <v>5</v>
      </c>
      <c r="D7426" t="n">
        <v>8</v>
      </c>
      <c r="E7426" s="10" t="n">
        <v>0.058821</v>
      </c>
      <c r="F7426" s="10" t="n">
        <v>0.3773870825728998</v>
      </c>
      <c r="G7426" s="11">
        <f>E7426*Summary!$B$6</f>
        <v/>
      </c>
      <c r="H7426" s="11">
        <f>F7426*Summary!$B$7</f>
        <v/>
      </c>
      <c r="I7426" s="11">
        <f>MAX(0,N7426-M7426)</f>
        <v/>
      </c>
      <c r="J7426" s="11">
        <f>MAX(0,M7426-N7426)</f>
        <v/>
      </c>
      <c r="K7426" s="11">
        <f>O7426</f>
        <v/>
      </c>
      <c r="L7426" s="11">
        <f>L7425+IF(K7426&gt;0,K7426*Summary!$B$9,K7426/Summary!$B$9)</f>
        <v/>
      </c>
      <c r="M7426" s="11">
        <f>G7426+H7426</f>
        <v/>
      </c>
      <c r="N7426" s="11">
        <f>Summary!$C$16*Summary!$B$8</f>
        <v/>
      </c>
      <c r="O7426" s="11">
        <f>M7426-N7426</f>
        <v/>
      </c>
    </row>
    <row r="7427">
      <c r="A7427" s="9" t="n">
        <v>45601.375</v>
      </c>
      <c r="B7427" t="n">
        <v>11</v>
      </c>
      <c r="C7427" t="n">
        <v>5</v>
      </c>
      <c r="D7427" t="n">
        <v>9</v>
      </c>
      <c r="E7427" s="10" t="n">
        <v>0.188747</v>
      </c>
      <c r="F7427" s="10" t="n">
        <v>0.3707463769791305</v>
      </c>
      <c r="G7427" s="11">
        <f>E7427*Summary!$B$6</f>
        <v/>
      </c>
      <c r="H7427" s="11">
        <f>F7427*Summary!$B$7</f>
        <v/>
      </c>
      <c r="I7427" s="11">
        <f>MAX(0,N7427-M7427)</f>
        <v/>
      </c>
      <c r="J7427" s="11">
        <f>MAX(0,M7427-N7427)</f>
        <v/>
      </c>
      <c r="K7427" s="11">
        <f>O7427</f>
        <v/>
      </c>
      <c r="L7427" s="11">
        <f>L7426+IF(K7427&gt;0,K7427*Summary!$B$9,K7427/Summary!$B$9)</f>
        <v/>
      </c>
      <c r="M7427" s="11">
        <f>G7427+H7427</f>
        <v/>
      </c>
      <c r="N7427" s="11">
        <f>Summary!$C$16*Summary!$B$8</f>
        <v/>
      </c>
      <c r="O7427" s="11">
        <f>M7427-N7427</f>
        <v/>
      </c>
    </row>
    <row r="7428">
      <c r="A7428" s="9" t="n">
        <v>45601.41666666666</v>
      </c>
      <c r="B7428" t="n">
        <v>11</v>
      </c>
      <c r="C7428" t="n">
        <v>5</v>
      </c>
      <c r="D7428" t="n">
        <v>10</v>
      </c>
      <c r="E7428" s="10" t="n">
        <v>0.275521</v>
      </c>
      <c r="F7428" s="10" t="n">
        <v>0.3639475593474142</v>
      </c>
      <c r="G7428" s="11">
        <f>E7428*Summary!$B$6</f>
        <v/>
      </c>
      <c r="H7428" s="11">
        <f>F7428*Summary!$B$7</f>
        <v/>
      </c>
      <c r="I7428" s="11">
        <f>MAX(0,N7428-M7428)</f>
        <v/>
      </c>
      <c r="J7428" s="11">
        <f>MAX(0,M7428-N7428)</f>
        <v/>
      </c>
      <c r="K7428" s="11">
        <f>O7428</f>
        <v/>
      </c>
      <c r="L7428" s="11">
        <f>L7427+IF(K7428&gt;0,K7428*Summary!$B$9,K7428/Summary!$B$9)</f>
        <v/>
      </c>
      <c r="M7428" s="11">
        <f>G7428+H7428</f>
        <v/>
      </c>
      <c r="N7428" s="11">
        <f>Summary!$C$16*Summary!$B$8</f>
        <v/>
      </c>
      <c r="O7428" s="11">
        <f>M7428-N7428</f>
        <v/>
      </c>
    </row>
    <row r="7429">
      <c r="A7429" s="9" t="n">
        <v>45601.45833333334</v>
      </c>
      <c r="B7429" t="n">
        <v>11</v>
      </c>
      <c r="C7429" t="n">
        <v>5</v>
      </c>
      <c r="D7429" t="n">
        <v>11</v>
      </c>
      <c r="E7429" s="10" t="n">
        <v>0.256113</v>
      </c>
      <c r="F7429" s="10" t="n">
        <v>0.3550405812097395</v>
      </c>
      <c r="G7429" s="11">
        <f>E7429*Summary!$B$6</f>
        <v/>
      </c>
      <c r="H7429" s="11">
        <f>F7429*Summary!$B$7</f>
        <v/>
      </c>
      <c r="I7429" s="11">
        <f>MAX(0,N7429-M7429)</f>
        <v/>
      </c>
      <c r="J7429" s="11">
        <f>MAX(0,M7429-N7429)</f>
        <v/>
      </c>
      <c r="K7429" s="11">
        <f>O7429</f>
        <v/>
      </c>
      <c r="L7429" s="11">
        <f>L7428+IF(K7429&gt;0,K7429*Summary!$B$9,K7429/Summary!$B$9)</f>
        <v/>
      </c>
      <c r="M7429" s="11">
        <f>G7429+H7429</f>
        <v/>
      </c>
      <c r="N7429" s="11">
        <f>Summary!$C$16*Summary!$B$8</f>
        <v/>
      </c>
      <c r="O7429" s="11">
        <f>M7429-N7429</f>
        <v/>
      </c>
    </row>
    <row r="7430">
      <c r="A7430" s="9" t="n">
        <v>45601.5</v>
      </c>
      <c r="B7430" t="n">
        <v>11</v>
      </c>
      <c r="C7430" t="n">
        <v>5</v>
      </c>
      <c r="D7430" t="n">
        <v>12</v>
      </c>
      <c r="E7430" s="10" t="n">
        <v>0.182842</v>
      </c>
      <c r="F7430" s="10" t="n">
        <v>0.3468451072428257</v>
      </c>
      <c r="G7430" s="11">
        <f>E7430*Summary!$B$6</f>
        <v/>
      </c>
      <c r="H7430" s="11">
        <f>F7430*Summary!$B$7</f>
        <v/>
      </c>
      <c r="I7430" s="11">
        <f>MAX(0,N7430-M7430)</f>
        <v/>
      </c>
      <c r="J7430" s="11">
        <f>MAX(0,M7430-N7430)</f>
        <v/>
      </c>
      <c r="K7430" s="11">
        <f>O7430</f>
        <v/>
      </c>
      <c r="L7430" s="11">
        <f>L7429+IF(K7430&gt;0,K7430*Summary!$B$9,K7430/Summary!$B$9)</f>
        <v/>
      </c>
      <c r="M7430" s="11">
        <f>G7430+H7430</f>
        <v/>
      </c>
      <c r="N7430" s="11">
        <f>Summary!$C$16*Summary!$B$8</f>
        <v/>
      </c>
      <c r="O7430" s="11">
        <f>M7430-N7430</f>
        <v/>
      </c>
    </row>
    <row r="7431">
      <c r="A7431" s="9" t="n">
        <v>45601.54166666666</v>
      </c>
      <c r="B7431" t="n">
        <v>11</v>
      </c>
      <c r="C7431" t="n">
        <v>5</v>
      </c>
      <c r="D7431" t="n">
        <v>13</v>
      </c>
      <c r="E7431" s="10" t="n">
        <v>0.163897</v>
      </c>
      <c r="F7431" s="10" t="n">
        <v>0.3445788346989203</v>
      </c>
      <c r="G7431" s="11">
        <f>E7431*Summary!$B$6</f>
        <v/>
      </c>
      <c r="H7431" s="11">
        <f>F7431*Summary!$B$7</f>
        <v/>
      </c>
      <c r="I7431" s="11">
        <f>MAX(0,N7431-M7431)</f>
        <v/>
      </c>
      <c r="J7431" s="11">
        <f>MAX(0,M7431-N7431)</f>
        <v/>
      </c>
      <c r="K7431" s="11">
        <f>O7431</f>
        <v/>
      </c>
      <c r="L7431" s="11">
        <f>L7430+IF(K7431&gt;0,K7431*Summary!$B$9,K7431/Summary!$B$9)</f>
        <v/>
      </c>
      <c r="M7431" s="11">
        <f>G7431+H7431</f>
        <v/>
      </c>
      <c r="N7431" s="11">
        <f>Summary!$C$16*Summary!$B$8</f>
        <v/>
      </c>
      <c r="O7431" s="11">
        <f>M7431-N7431</f>
        <v/>
      </c>
    </row>
    <row r="7432">
      <c r="A7432" s="9" t="n">
        <v>45601.58333333334</v>
      </c>
      <c r="B7432" t="n">
        <v>11</v>
      </c>
      <c r="C7432" t="n">
        <v>5</v>
      </c>
      <c r="D7432" t="n">
        <v>14</v>
      </c>
      <c r="E7432" s="10" t="n">
        <v>0.112957</v>
      </c>
      <c r="F7432" s="10" t="n">
        <v>0.3490586757740822</v>
      </c>
      <c r="G7432" s="11">
        <f>E7432*Summary!$B$6</f>
        <v/>
      </c>
      <c r="H7432" s="11">
        <f>F7432*Summary!$B$7</f>
        <v/>
      </c>
      <c r="I7432" s="11">
        <f>MAX(0,N7432-M7432)</f>
        <v/>
      </c>
      <c r="J7432" s="11">
        <f>MAX(0,M7432-N7432)</f>
        <v/>
      </c>
      <c r="K7432" s="11">
        <f>O7432</f>
        <v/>
      </c>
      <c r="L7432" s="11">
        <f>L7431+IF(K7432&gt;0,K7432*Summary!$B$9,K7432/Summary!$B$9)</f>
        <v/>
      </c>
      <c r="M7432" s="11">
        <f>G7432+H7432</f>
        <v/>
      </c>
      <c r="N7432" s="11">
        <f>Summary!$C$16*Summary!$B$8</f>
        <v/>
      </c>
      <c r="O7432" s="11">
        <f>M7432-N7432</f>
        <v/>
      </c>
    </row>
    <row r="7433">
      <c r="A7433" s="9" t="n">
        <v>45601.625</v>
      </c>
      <c r="B7433" t="n">
        <v>11</v>
      </c>
      <c r="C7433" t="n">
        <v>5</v>
      </c>
      <c r="D7433" t="n">
        <v>15</v>
      </c>
      <c r="E7433" s="10" t="n">
        <v>0.012961</v>
      </c>
      <c r="F7433" s="10" t="n">
        <v>0.3605745025378806</v>
      </c>
      <c r="G7433" s="11">
        <f>E7433*Summary!$B$6</f>
        <v/>
      </c>
      <c r="H7433" s="11">
        <f>F7433*Summary!$B$7</f>
        <v/>
      </c>
      <c r="I7433" s="11">
        <f>MAX(0,N7433-M7433)</f>
        <v/>
      </c>
      <c r="J7433" s="11">
        <f>MAX(0,M7433-N7433)</f>
        <v/>
      </c>
      <c r="K7433" s="11">
        <f>O7433</f>
        <v/>
      </c>
      <c r="L7433" s="11">
        <f>L7432+IF(K7433&gt;0,K7433*Summary!$B$9,K7433/Summary!$B$9)</f>
        <v/>
      </c>
      <c r="M7433" s="11">
        <f>G7433+H7433</f>
        <v/>
      </c>
      <c r="N7433" s="11">
        <f>Summary!$C$16*Summary!$B$8</f>
        <v/>
      </c>
      <c r="O7433" s="11">
        <f>M7433-N7433</f>
        <v/>
      </c>
    </row>
    <row r="7434">
      <c r="A7434" s="9" t="n">
        <v>45601.66666666666</v>
      </c>
      <c r="B7434" t="n">
        <v>11</v>
      </c>
      <c r="C7434" t="n">
        <v>5</v>
      </c>
      <c r="D7434" t="n">
        <v>16</v>
      </c>
      <c r="E7434" s="10" t="n">
        <v>0</v>
      </c>
      <c r="F7434" s="10" t="n">
        <v>0.3721166813080035</v>
      </c>
      <c r="G7434" s="11">
        <f>E7434*Summary!$B$6</f>
        <v/>
      </c>
      <c r="H7434" s="11">
        <f>F7434*Summary!$B$7</f>
        <v/>
      </c>
      <c r="I7434" s="11">
        <f>MAX(0,N7434-M7434)</f>
        <v/>
      </c>
      <c r="J7434" s="11">
        <f>MAX(0,M7434-N7434)</f>
        <v/>
      </c>
      <c r="K7434" s="11">
        <f>O7434</f>
        <v/>
      </c>
      <c r="L7434" s="11">
        <f>L7433+IF(K7434&gt;0,K7434*Summary!$B$9,K7434/Summary!$B$9)</f>
        <v/>
      </c>
      <c r="M7434" s="11">
        <f>G7434+H7434</f>
        <v/>
      </c>
      <c r="N7434" s="11">
        <f>Summary!$C$16*Summary!$B$8</f>
        <v/>
      </c>
      <c r="O7434" s="11">
        <f>M7434-N7434</f>
        <v/>
      </c>
    </row>
    <row r="7435">
      <c r="A7435" s="9" t="n">
        <v>45601.70833333334</v>
      </c>
      <c r="B7435" t="n">
        <v>11</v>
      </c>
      <c r="C7435" t="n">
        <v>5</v>
      </c>
      <c r="D7435" t="n">
        <v>17</v>
      </c>
      <c r="E7435" s="10" t="n">
        <v>0</v>
      </c>
      <c r="F7435" s="10" t="n">
        <v>0.378599274863826</v>
      </c>
      <c r="G7435" s="11">
        <f>E7435*Summary!$B$6</f>
        <v/>
      </c>
      <c r="H7435" s="11">
        <f>F7435*Summary!$B$7</f>
        <v/>
      </c>
      <c r="I7435" s="11">
        <f>MAX(0,N7435-M7435)</f>
        <v/>
      </c>
      <c r="J7435" s="11">
        <f>MAX(0,M7435-N7435)</f>
        <v/>
      </c>
      <c r="K7435" s="11">
        <f>O7435</f>
        <v/>
      </c>
      <c r="L7435" s="11">
        <f>L7434+IF(K7435&gt;0,K7435*Summary!$B$9,K7435/Summary!$B$9)</f>
        <v/>
      </c>
      <c r="M7435" s="11">
        <f>G7435+H7435</f>
        <v/>
      </c>
      <c r="N7435" s="11">
        <f>Summary!$C$16*Summary!$B$8</f>
        <v/>
      </c>
      <c r="O7435" s="11">
        <f>M7435-N7435</f>
        <v/>
      </c>
    </row>
    <row r="7436">
      <c r="A7436" s="9" t="n">
        <v>45601.75</v>
      </c>
      <c r="B7436" t="n">
        <v>11</v>
      </c>
      <c r="C7436" t="n">
        <v>5</v>
      </c>
      <c r="D7436" t="n">
        <v>18</v>
      </c>
      <c r="E7436" s="10" t="n">
        <v>0</v>
      </c>
      <c r="F7436" s="10" t="n">
        <v>0.3807074353697845</v>
      </c>
      <c r="G7436" s="11">
        <f>E7436*Summary!$B$6</f>
        <v/>
      </c>
      <c r="H7436" s="11">
        <f>F7436*Summary!$B$7</f>
        <v/>
      </c>
      <c r="I7436" s="11">
        <f>MAX(0,N7436-M7436)</f>
        <v/>
      </c>
      <c r="J7436" s="11">
        <f>MAX(0,M7436-N7436)</f>
        <v/>
      </c>
      <c r="K7436" s="11">
        <f>O7436</f>
        <v/>
      </c>
      <c r="L7436" s="11">
        <f>L7435+IF(K7436&gt;0,K7436*Summary!$B$9,K7436/Summary!$B$9)</f>
        <v/>
      </c>
      <c r="M7436" s="11">
        <f>G7436+H7436</f>
        <v/>
      </c>
      <c r="N7436" s="11">
        <f>Summary!$C$16*Summary!$B$8</f>
        <v/>
      </c>
      <c r="O7436" s="11">
        <f>M7436-N7436</f>
        <v/>
      </c>
    </row>
    <row r="7437">
      <c r="A7437" s="9" t="n">
        <v>45601.79166666666</v>
      </c>
      <c r="B7437" t="n">
        <v>11</v>
      </c>
      <c r="C7437" t="n">
        <v>5</v>
      </c>
      <c r="D7437" t="n">
        <v>19</v>
      </c>
      <c r="E7437" s="10" t="n">
        <v>0</v>
      </c>
      <c r="F7437" s="10" t="n">
        <v>0.3779931787183629</v>
      </c>
      <c r="G7437" s="11">
        <f>E7437*Summary!$B$6</f>
        <v/>
      </c>
      <c r="H7437" s="11">
        <f>F7437*Summary!$B$7</f>
        <v/>
      </c>
      <c r="I7437" s="11">
        <f>MAX(0,N7437-M7437)</f>
        <v/>
      </c>
      <c r="J7437" s="11">
        <f>MAX(0,M7437-N7437)</f>
        <v/>
      </c>
      <c r="K7437" s="11">
        <f>O7437</f>
        <v/>
      </c>
      <c r="L7437" s="11">
        <f>L7436+IF(K7437&gt;0,K7437*Summary!$B$9,K7437/Summary!$B$9)</f>
        <v/>
      </c>
      <c r="M7437" s="11">
        <f>G7437+H7437</f>
        <v/>
      </c>
      <c r="N7437" s="11">
        <f>Summary!$C$16*Summary!$B$8</f>
        <v/>
      </c>
      <c r="O7437" s="11">
        <f>M7437-N7437</f>
        <v/>
      </c>
    </row>
    <row r="7438">
      <c r="A7438" s="9" t="n">
        <v>45601.83333333334</v>
      </c>
      <c r="B7438" t="n">
        <v>11</v>
      </c>
      <c r="C7438" t="n">
        <v>5</v>
      </c>
      <c r="D7438" t="n">
        <v>20</v>
      </c>
      <c r="E7438" s="10" t="n">
        <v>0</v>
      </c>
      <c r="F7438" s="10" t="n">
        <v>0.373460633630552</v>
      </c>
      <c r="G7438" s="11">
        <f>E7438*Summary!$B$6</f>
        <v/>
      </c>
      <c r="H7438" s="11">
        <f>F7438*Summary!$B$7</f>
        <v/>
      </c>
      <c r="I7438" s="11">
        <f>MAX(0,N7438-M7438)</f>
        <v/>
      </c>
      <c r="J7438" s="11">
        <f>MAX(0,M7438-N7438)</f>
        <v/>
      </c>
      <c r="K7438" s="11">
        <f>O7438</f>
        <v/>
      </c>
      <c r="L7438" s="11">
        <f>L7437+IF(K7438&gt;0,K7438*Summary!$B$9,K7438/Summary!$B$9)</f>
        <v/>
      </c>
      <c r="M7438" s="11">
        <f>G7438+H7438</f>
        <v/>
      </c>
      <c r="N7438" s="11">
        <f>Summary!$C$16*Summary!$B$8</f>
        <v/>
      </c>
      <c r="O7438" s="11">
        <f>M7438-N7438</f>
        <v/>
      </c>
    </row>
    <row r="7439">
      <c r="A7439" s="9" t="n">
        <v>45601.875</v>
      </c>
      <c r="B7439" t="n">
        <v>11</v>
      </c>
      <c r="C7439" t="n">
        <v>5</v>
      </c>
      <c r="D7439" t="n">
        <v>21</v>
      </c>
      <c r="E7439" s="10" t="n">
        <v>0</v>
      </c>
      <c r="F7439" s="10" t="n">
        <v>0.3998389919613581</v>
      </c>
      <c r="G7439" s="11">
        <f>E7439*Summary!$B$6</f>
        <v/>
      </c>
      <c r="H7439" s="11">
        <f>F7439*Summary!$B$7</f>
        <v/>
      </c>
      <c r="I7439" s="11">
        <f>MAX(0,N7439-M7439)</f>
        <v/>
      </c>
      <c r="J7439" s="11">
        <f>MAX(0,M7439-N7439)</f>
        <v/>
      </c>
      <c r="K7439" s="11">
        <f>O7439</f>
        <v/>
      </c>
      <c r="L7439" s="11">
        <f>L7438+IF(K7439&gt;0,K7439*Summary!$B$9,K7439/Summary!$B$9)</f>
        <v/>
      </c>
      <c r="M7439" s="11">
        <f>G7439+H7439</f>
        <v/>
      </c>
      <c r="N7439" s="11">
        <f>Summary!$C$16*Summary!$B$8</f>
        <v/>
      </c>
      <c r="O7439" s="11">
        <f>M7439-N7439</f>
        <v/>
      </c>
    </row>
    <row r="7440">
      <c r="A7440" s="9" t="n">
        <v>45601.91666666666</v>
      </c>
      <c r="B7440" t="n">
        <v>11</v>
      </c>
      <c r="C7440" t="n">
        <v>5</v>
      </c>
      <c r="D7440" t="n">
        <v>22</v>
      </c>
      <c r="E7440" s="10" t="n">
        <v>0</v>
      </c>
      <c r="F7440" s="10" t="n">
        <v>0.3374901449976348</v>
      </c>
      <c r="G7440" s="11">
        <f>E7440*Summary!$B$6</f>
        <v/>
      </c>
      <c r="H7440" s="11">
        <f>F7440*Summary!$B$7</f>
        <v/>
      </c>
      <c r="I7440" s="11">
        <f>MAX(0,N7440-M7440)</f>
        <v/>
      </c>
      <c r="J7440" s="11">
        <f>MAX(0,M7440-N7440)</f>
        <v/>
      </c>
      <c r="K7440" s="11">
        <f>O7440</f>
        <v/>
      </c>
      <c r="L7440" s="11">
        <f>L7439+IF(K7440&gt;0,K7440*Summary!$B$9,K7440/Summary!$B$9)</f>
        <v/>
      </c>
      <c r="M7440" s="11">
        <f>G7440+H7440</f>
        <v/>
      </c>
      <c r="N7440" s="11">
        <f>Summary!$C$16*Summary!$B$8</f>
        <v/>
      </c>
      <c r="O7440" s="11">
        <f>M7440-N7440</f>
        <v/>
      </c>
    </row>
    <row r="7441">
      <c r="A7441" s="9" t="n">
        <v>45601.95833333334</v>
      </c>
      <c r="B7441" t="n">
        <v>11</v>
      </c>
      <c r="C7441" t="n">
        <v>5</v>
      </c>
      <c r="D7441" t="n">
        <v>23</v>
      </c>
      <c r="E7441" s="10" t="n">
        <v>0</v>
      </c>
      <c r="F7441" s="10" t="n">
        <v>0.3546189491085478</v>
      </c>
      <c r="G7441" s="11">
        <f>E7441*Summary!$B$6</f>
        <v/>
      </c>
      <c r="H7441" s="11">
        <f>F7441*Summary!$B$7</f>
        <v/>
      </c>
      <c r="I7441" s="11">
        <f>MAX(0,N7441-M7441)</f>
        <v/>
      </c>
      <c r="J7441" s="11">
        <f>MAX(0,M7441-N7441)</f>
        <v/>
      </c>
      <c r="K7441" s="11">
        <f>O7441</f>
        <v/>
      </c>
      <c r="L7441" s="11">
        <f>L7440+IF(K7441&gt;0,K7441*Summary!$B$9,K7441/Summary!$B$9)</f>
        <v/>
      </c>
      <c r="M7441" s="11">
        <f>G7441+H7441</f>
        <v/>
      </c>
      <c r="N7441" s="11">
        <f>Summary!$C$16*Summary!$B$8</f>
        <v/>
      </c>
      <c r="O7441" s="11">
        <f>M7441-N7441</f>
        <v/>
      </c>
    </row>
    <row r="7442">
      <c r="A7442" s="9" t="n">
        <v>45602</v>
      </c>
      <c r="B7442" t="n">
        <v>11</v>
      </c>
      <c r="C7442" t="n">
        <v>6</v>
      </c>
      <c r="D7442" t="n">
        <v>0</v>
      </c>
      <c r="E7442" s="10" t="n">
        <v>0</v>
      </c>
      <c r="F7442" s="10" t="n">
        <v>0.2549029571767097</v>
      </c>
      <c r="G7442" s="11">
        <f>E7442*Summary!$B$6</f>
        <v/>
      </c>
      <c r="H7442" s="11">
        <f>F7442*Summary!$B$7</f>
        <v/>
      </c>
      <c r="I7442" s="11">
        <f>MAX(0,N7442-M7442)</f>
        <v/>
      </c>
      <c r="J7442" s="11">
        <f>MAX(0,M7442-N7442)</f>
        <v/>
      </c>
      <c r="K7442" s="11">
        <f>O7442</f>
        <v/>
      </c>
      <c r="L7442" s="11">
        <f>L7441+IF(K7442&gt;0,K7442*Summary!$B$9,K7442/Summary!$B$9)</f>
        <v/>
      </c>
      <c r="M7442" s="11">
        <f>G7442+H7442</f>
        <v/>
      </c>
      <c r="N7442" s="11">
        <f>Summary!$C$16*Summary!$B$8</f>
        <v/>
      </c>
      <c r="O7442" s="11">
        <f>M7442-N7442</f>
        <v/>
      </c>
    </row>
    <row r="7443">
      <c r="A7443" s="9" t="n">
        <v>45602.04166666666</v>
      </c>
      <c r="B7443" t="n">
        <v>11</v>
      </c>
      <c r="C7443" t="n">
        <v>6</v>
      </c>
      <c r="D7443" t="n">
        <v>1</v>
      </c>
      <c r="E7443" s="10" t="n">
        <v>0</v>
      </c>
      <c r="F7443" s="10" t="n">
        <v>0.3411003698640888</v>
      </c>
      <c r="G7443" s="11">
        <f>E7443*Summary!$B$6</f>
        <v/>
      </c>
      <c r="H7443" s="11">
        <f>F7443*Summary!$B$7</f>
        <v/>
      </c>
      <c r="I7443" s="11">
        <f>MAX(0,N7443-M7443)</f>
        <v/>
      </c>
      <c r="J7443" s="11">
        <f>MAX(0,M7443-N7443)</f>
        <v/>
      </c>
      <c r="K7443" s="11">
        <f>O7443</f>
        <v/>
      </c>
      <c r="L7443" s="11">
        <f>L7442+IF(K7443&gt;0,K7443*Summary!$B$9,K7443/Summary!$B$9)</f>
        <v/>
      </c>
      <c r="M7443" s="11">
        <f>G7443+H7443</f>
        <v/>
      </c>
      <c r="N7443" s="11">
        <f>Summary!$C$16*Summary!$B$8</f>
        <v/>
      </c>
      <c r="O7443" s="11">
        <f>M7443-N7443</f>
        <v/>
      </c>
    </row>
    <row r="7444">
      <c r="A7444" s="9" t="n">
        <v>45602.08333333334</v>
      </c>
      <c r="B7444" t="n">
        <v>11</v>
      </c>
      <c r="C7444" t="n">
        <v>6</v>
      </c>
      <c r="D7444" t="n">
        <v>2</v>
      </c>
      <c r="E7444" s="10" t="n">
        <v>0</v>
      </c>
      <c r="F7444" s="10" t="n">
        <v>0.367821304277113</v>
      </c>
      <c r="G7444" s="11">
        <f>E7444*Summary!$B$6</f>
        <v/>
      </c>
      <c r="H7444" s="11">
        <f>F7444*Summary!$B$7</f>
        <v/>
      </c>
      <c r="I7444" s="11">
        <f>MAX(0,N7444-M7444)</f>
        <v/>
      </c>
      <c r="J7444" s="11">
        <f>MAX(0,M7444-N7444)</f>
        <v/>
      </c>
      <c r="K7444" s="11">
        <f>O7444</f>
        <v/>
      </c>
      <c r="L7444" s="11">
        <f>L7443+IF(K7444&gt;0,K7444*Summary!$B$9,K7444/Summary!$B$9)</f>
        <v/>
      </c>
      <c r="M7444" s="11">
        <f>G7444+H7444</f>
        <v/>
      </c>
      <c r="N7444" s="11">
        <f>Summary!$C$16*Summary!$B$8</f>
        <v/>
      </c>
      <c r="O7444" s="11">
        <f>M7444-N7444</f>
        <v/>
      </c>
    </row>
    <row r="7445">
      <c r="A7445" s="9" t="n">
        <v>45602.125</v>
      </c>
      <c r="B7445" t="n">
        <v>11</v>
      </c>
      <c r="C7445" t="n">
        <v>6</v>
      </c>
      <c r="D7445" t="n">
        <v>3</v>
      </c>
      <c r="E7445" s="10" t="n">
        <v>0</v>
      </c>
      <c r="F7445" s="10" t="n">
        <v>0.3347231843335642</v>
      </c>
      <c r="G7445" s="11">
        <f>E7445*Summary!$B$6</f>
        <v/>
      </c>
      <c r="H7445" s="11">
        <f>F7445*Summary!$B$7</f>
        <v/>
      </c>
      <c r="I7445" s="11">
        <f>MAX(0,N7445-M7445)</f>
        <v/>
      </c>
      <c r="J7445" s="11">
        <f>MAX(0,M7445-N7445)</f>
        <v/>
      </c>
      <c r="K7445" s="11">
        <f>O7445</f>
        <v/>
      </c>
      <c r="L7445" s="11">
        <f>L7444+IF(K7445&gt;0,K7445*Summary!$B$9,K7445/Summary!$B$9)</f>
        <v/>
      </c>
      <c r="M7445" s="11">
        <f>G7445+H7445</f>
        <v/>
      </c>
      <c r="N7445" s="11">
        <f>Summary!$C$16*Summary!$B$8</f>
        <v/>
      </c>
      <c r="O7445" s="11">
        <f>M7445-N7445</f>
        <v/>
      </c>
    </row>
    <row r="7446">
      <c r="A7446" s="9" t="n">
        <v>45602.16666666666</v>
      </c>
      <c r="B7446" t="n">
        <v>11</v>
      </c>
      <c r="C7446" t="n">
        <v>6</v>
      </c>
      <c r="D7446" t="n">
        <v>4</v>
      </c>
      <c r="E7446" s="10" t="n">
        <v>0</v>
      </c>
      <c r="F7446" s="10" t="n">
        <v>0.3303487512837003</v>
      </c>
      <c r="G7446" s="11">
        <f>E7446*Summary!$B$6</f>
        <v/>
      </c>
      <c r="H7446" s="11">
        <f>F7446*Summary!$B$7</f>
        <v/>
      </c>
      <c r="I7446" s="11">
        <f>MAX(0,N7446-M7446)</f>
        <v/>
      </c>
      <c r="J7446" s="11">
        <f>MAX(0,M7446-N7446)</f>
        <v/>
      </c>
      <c r="K7446" s="11">
        <f>O7446</f>
        <v/>
      </c>
      <c r="L7446" s="11">
        <f>L7445+IF(K7446&gt;0,K7446*Summary!$B$9,K7446/Summary!$B$9)</f>
        <v/>
      </c>
      <c r="M7446" s="11">
        <f>G7446+H7446</f>
        <v/>
      </c>
      <c r="N7446" s="11">
        <f>Summary!$C$16*Summary!$B$8</f>
        <v/>
      </c>
      <c r="O7446" s="11">
        <f>M7446-N7446</f>
        <v/>
      </c>
    </row>
    <row r="7447">
      <c r="A7447" s="9" t="n">
        <v>45602.20833333334</v>
      </c>
      <c r="B7447" t="n">
        <v>11</v>
      </c>
      <c r="C7447" t="n">
        <v>6</v>
      </c>
      <c r="D7447" t="n">
        <v>5</v>
      </c>
      <c r="E7447" s="10" t="n">
        <v>0</v>
      </c>
      <c r="F7447" s="10" t="n">
        <v>0.3290311509674762</v>
      </c>
      <c r="G7447" s="11">
        <f>E7447*Summary!$B$6</f>
        <v/>
      </c>
      <c r="H7447" s="11">
        <f>F7447*Summary!$B$7</f>
        <v/>
      </c>
      <c r="I7447" s="11">
        <f>MAX(0,N7447-M7447)</f>
        <v/>
      </c>
      <c r="J7447" s="11">
        <f>MAX(0,M7447-N7447)</f>
        <v/>
      </c>
      <c r="K7447" s="11">
        <f>O7447</f>
        <v/>
      </c>
      <c r="L7447" s="11">
        <f>L7446+IF(K7447&gt;0,K7447*Summary!$B$9,K7447/Summary!$B$9)</f>
        <v/>
      </c>
      <c r="M7447" s="11">
        <f>G7447+H7447</f>
        <v/>
      </c>
      <c r="N7447" s="11">
        <f>Summary!$C$16*Summary!$B$8</f>
        <v/>
      </c>
      <c r="O7447" s="11">
        <f>M7447-N7447</f>
        <v/>
      </c>
    </row>
    <row r="7448">
      <c r="A7448" s="9" t="n">
        <v>45602.25</v>
      </c>
      <c r="B7448" t="n">
        <v>11</v>
      </c>
      <c r="C7448" t="n">
        <v>6</v>
      </c>
      <c r="D7448" t="n">
        <v>6</v>
      </c>
      <c r="E7448" s="10" t="n">
        <v>0</v>
      </c>
      <c r="F7448" s="10" t="n">
        <v>0.3325886718212812</v>
      </c>
      <c r="G7448" s="11">
        <f>E7448*Summary!$B$6</f>
        <v/>
      </c>
      <c r="H7448" s="11">
        <f>F7448*Summary!$B$7</f>
        <v/>
      </c>
      <c r="I7448" s="11">
        <f>MAX(0,N7448-M7448)</f>
        <v/>
      </c>
      <c r="J7448" s="11">
        <f>MAX(0,M7448-N7448)</f>
        <v/>
      </c>
      <c r="K7448" s="11">
        <f>O7448</f>
        <v/>
      </c>
      <c r="L7448" s="11">
        <f>L7447+IF(K7448&gt;0,K7448*Summary!$B$9,K7448/Summary!$B$9)</f>
        <v/>
      </c>
      <c r="M7448" s="11">
        <f>G7448+H7448</f>
        <v/>
      </c>
      <c r="N7448" s="11">
        <f>Summary!$C$16*Summary!$B$8</f>
        <v/>
      </c>
      <c r="O7448" s="11">
        <f>M7448-N7448</f>
        <v/>
      </c>
    </row>
    <row r="7449">
      <c r="A7449" s="9" t="n">
        <v>45602.29166666666</v>
      </c>
      <c r="B7449" t="n">
        <v>11</v>
      </c>
      <c r="C7449" t="n">
        <v>6</v>
      </c>
      <c r="D7449" t="n">
        <v>7</v>
      </c>
      <c r="E7449" s="10" t="n">
        <v>0</v>
      </c>
      <c r="F7449" s="10" t="n">
        <v>0.3289257429421782</v>
      </c>
      <c r="G7449" s="11">
        <f>E7449*Summary!$B$6</f>
        <v/>
      </c>
      <c r="H7449" s="11">
        <f>F7449*Summary!$B$7</f>
        <v/>
      </c>
      <c r="I7449" s="11">
        <f>MAX(0,N7449-M7449)</f>
        <v/>
      </c>
      <c r="J7449" s="11">
        <f>MAX(0,M7449-N7449)</f>
        <v/>
      </c>
      <c r="K7449" s="11">
        <f>O7449</f>
        <v/>
      </c>
      <c r="L7449" s="11">
        <f>L7448+IF(K7449&gt;0,K7449*Summary!$B$9,K7449/Summary!$B$9)</f>
        <v/>
      </c>
      <c r="M7449" s="11">
        <f>G7449+H7449</f>
        <v/>
      </c>
      <c r="N7449" s="11">
        <f>Summary!$C$16*Summary!$B$8</f>
        <v/>
      </c>
      <c r="O7449" s="11">
        <f>M7449-N7449</f>
        <v/>
      </c>
    </row>
    <row r="7450">
      <c r="A7450" s="9" t="n">
        <v>45602.33333333334</v>
      </c>
      <c r="B7450" t="n">
        <v>11</v>
      </c>
      <c r="C7450" t="n">
        <v>6</v>
      </c>
      <c r="D7450" t="n">
        <v>8</v>
      </c>
      <c r="E7450" s="10" t="n">
        <v>0</v>
      </c>
      <c r="F7450" s="10" t="n">
        <v>0.3208356770005625</v>
      </c>
      <c r="G7450" s="11">
        <f>E7450*Summary!$B$6</f>
        <v/>
      </c>
      <c r="H7450" s="11">
        <f>F7450*Summary!$B$7</f>
        <v/>
      </c>
      <c r="I7450" s="11">
        <f>MAX(0,N7450-M7450)</f>
        <v/>
      </c>
      <c r="J7450" s="11">
        <f>MAX(0,M7450-N7450)</f>
        <v/>
      </c>
      <c r="K7450" s="11">
        <f>O7450</f>
        <v/>
      </c>
      <c r="L7450" s="11">
        <f>L7449+IF(K7450&gt;0,K7450*Summary!$B$9,K7450/Summary!$B$9)</f>
        <v/>
      </c>
      <c r="M7450" s="11">
        <f>G7450+H7450</f>
        <v/>
      </c>
      <c r="N7450" s="11">
        <f>Summary!$C$16*Summary!$B$8</f>
        <v/>
      </c>
      <c r="O7450" s="11">
        <f>M7450-N7450</f>
        <v/>
      </c>
    </row>
    <row r="7451">
      <c r="A7451" s="9" t="n">
        <v>45602.375</v>
      </c>
      <c r="B7451" t="n">
        <v>11</v>
      </c>
      <c r="C7451" t="n">
        <v>6</v>
      </c>
      <c r="D7451" t="n">
        <v>9</v>
      </c>
      <c r="E7451" s="10" t="n">
        <v>0.010654</v>
      </c>
      <c r="F7451" s="10" t="n">
        <v>0.309425258262062</v>
      </c>
      <c r="G7451" s="11">
        <f>E7451*Summary!$B$6</f>
        <v/>
      </c>
      <c r="H7451" s="11">
        <f>F7451*Summary!$B$7</f>
        <v/>
      </c>
      <c r="I7451" s="11">
        <f>MAX(0,N7451-M7451)</f>
        <v/>
      </c>
      <c r="J7451" s="11">
        <f>MAX(0,M7451-N7451)</f>
        <v/>
      </c>
      <c r="K7451" s="11">
        <f>O7451</f>
        <v/>
      </c>
      <c r="L7451" s="11">
        <f>L7450+IF(K7451&gt;0,K7451*Summary!$B$9,K7451/Summary!$B$9)</f>
        <v/>
      </c>
      <c r="M7451" s="11">
        <f>G7451+H7451</f>
        <v/>
      </c>
      <c r="N7451" s="11">
        <f>Summary!$C$16*Summary!$B$8</f>
        <v/>
      </c>
      <c r="O7451" s="11">
        <f>M7451-N7451</f>
        <v/>
      </c>
    </row>
    <row r="7452">
      <c r="A7452" s="9" t="n">
        <v>45602.41666666666</v>
      </c>
      <c r="B7452" t="n">
        <v>11</v>
      </c>
      <c r="C7452" t="n">
        <v>6</v>
      </c>
      <c r="D7452" t="n">
        <v>10</v>
      </c>
      <c r="E7452" s="10" t="n">
        <v>0.035099</v>
      </c>
      <c r="F7452" s="10" t="n">
        <v>0.2915585979740635</v>
      </c>
      <c r="G7452" s="11">
        <f>E7452*Summary!$B$6</f>
        <v/>
      </c>
      <c r="H7452" s="11">
        <f>F7452*Summary!$B$7</f>
        <v/>
      </c>
      <c r="I7452" s="11">
        <f>MAX(0,N7452-M7452)</f>
        <v/>
      </c>
      <c r="J7452" s="11">
        <f>MAX(0,M7452-N7452)</f>
        <v/>
      </c>
      <c r="K7452" s="11">
        <f>O7452</f>
        <v/>
      </c>
      <c r="L7452" s="11">
        <f>L7451+IF(K7452&gt;0,K7452*Summary!$B$9,K7452/Summary!$B$9)</f>
        <v/>
      </c>
      <c r="M7452" s="11">
        <f>G7452+H7452</f>
        <v/>
      </c>
      <c r="N7452" s="11">
        <f>Summary!$C$16*Summary!$B$8</f>
        <v/>
      </c>
      <c r="O7452" s="11">
        <f>M7452-N7452</f>
        <v/>
      </c>
    </row>
    <row r="7453">
      <c r="A7453" s="9" t="n">
        <v>45602.45833333334</v>
      </c>
      <c r="B7453" t="n">
        <v>11</v>
      </c>
      <c r="C7453" t="n">
        <v>6</v>
      </c>
      <c r="D7453" t="n">
        <v>11</v>
      </c>
      <c r="E7453" s="10" t="n">
        <v>0.06454699999999999</v>
      </c>
      <c r="F7453" s="10" t="n">
        <v>0.2733230095975223</v>
      </c>
      <c r="G7453" s="11">
        <f>E7453*Summary!$B$6</f>
        <v/>
      </c>
      <c r="H7453" s="11">
        <f>F7453*Summary!$B$7</f>
        <v/>
      </c>
      <c r="I7453" s="11">
        <f>MAX(0,N7453-M7453)</f>
        <v/>
      </c>
      <c r="J7453" s="11">
        <f>MAX(0,M7453-N7453)</f>
        <v/>
      </c>
      <c r="K7453" s="11">
        <f>O7453</f>
        <v/>
      </c>
      <c r="L7453" s="11">
        <f>L7452+IF(K7453&gt;0,K7453*Summary!$B$9,K7453/Summary!$B$9)</f>
        <v/>
      </c>
      <c r="M7453" s="11">
        <f>G7453+H7453</f>
        <v/>
      </c>
      <c r="N7453" s="11">
        <f>Summary!$C$16*Summary!$B$8</f>
        <v/>
      </c>
      <c r="O7453" s="11">
        <f>M7453-N7453</f>
        <v/>
      </c>
    </row>
    <row r="7454">
      <c r="A7454" s="9" t="n">
        <v>45602.5</v>
      </c>
      <c r="B7454" t="n">
        <v>11</v>
      </c>
      <c r="C7454" t="n">
        <v>6</v>
      </c>
      <c r="D7454" t="n">
        <v>12</v>
      </c>
      <c r="E7454" s="10" t="n">
        <v>0.047252</v>
      </c>
      <c r="F7454" s="10" t="n">
        <v>0.2569057096573703</v>
      </c>
      <c r="G7454" s="11">
        <f>E7454*Summary!$B$6</f>
        <v/>
      </c>
      <c r="H7454" s="11">
        <f>F7454*Summary!$B$7</f>
        <v/>
      </c>
      <c r="I7454" s="11">
        <f>MAX(0,N7454-M7454)</f>
        <v/>
      </c>
      <c r="J7454" s="11">
        <f>MAX(0,M7454-N7454)</f>
        <v/>
      </c>
      <c r="K7454" s="11">
        <f>O7454</f>
        <v/>
      </c>
      <c r="L7454" s="11">
        <f>L7453+IF(K7454&gt;0,K7454*Summary!$B$9,K7454/Summary!$B$9)</f>
        <v/>
      </c>
      <c r="M7454" s="11">
        <f>G7454+H7454</f>
        <v/>
      </c>
      <c r="N7454" s="11">
        <f>Summary!$C$16*Summary!$B$8</f>
        <v/>
      </c>
      <c r="O7454" s="11">
        <f>M7454-N7454</f>
        <v/>
      </c>
    </row>
    <row r="7455">
      <c r="A7455" s="9" t="n">
        <v>45602.54166666666</v>
      </c>
      <c r="B7455" t="n">
        <v>11</v>
      </c>
      <c r="C7455" t="n">
        <v>6</v>
      </c>
      <c r="D7455" t="n">
        <v>13</v>
      </c>
      <c r="E7455" s="10" t="n">
        <v>0.031005</v>
      </c>
      <c r="F7455" s="10" t="n">
        <v>0.2471027633046632</v>
      </c>
      <c r="G7455" s="11">
        <f>E7455*Summary!$B$6</f>
        <v/>
      </c>
      <c r="H7455" s="11">
        <f>F7455*Summary!$B$7</f>
        <v/>
      </c>
      <c r="I7455" s="11">
        <f>MAX(0,N7455-M7455)</f>
        <v/>
      </c>
      <c r="J7455" s="11">
        <f>MAX(0,M7455-N7455)</f>
        <v/>
      </c>
      <c r="K7455" s="11">
        <f>O7455</f>
        <v/>
      </c>
      <c r="L7455" s="11">
        <f>L7454+IF(K7455&gt;0,K7455*Summary!$B$9,K7455/Summary!$B$9)</f>
        <v/>
      </c>
      <c r="M7455" s="11">
        <f>G7455+H7455</f>
        <v/>
      </c>
      <c r="N7455" s="11">
        <f>Summary!$C$16*Summary!$B$8</f>
        <v/>
      </c>
      <c r="O7455" s="11">
        <f>M7455-N7455</f>
        <v/>
      </c>
    </row>
    <row r="7456">
      <c r="A7456" s="9" t="n">
        <v>45602.58333333334</v>
      </c>
      <c r="B7456" t="n">
        <v>11</v>
      </c>
      <c r="C7456" t="n">
        <v>6</v>
      </c>
      <c r="D7456" t="n">
        <v>14</v>
      </c>
      <c r="E7456" s="10" t="n">
        <v>0.012345</v>
      </c>
      <c r="F7456" s="10" t="n">
        <v>0.2398559615654308</v>
      </c>
      <c r="G7456" s="11">
        <f>E7456*Summary!$B$6</f>
        <v/>
      </c>
      <c r="H7456" s="11">
        <f>F7456*Summary!$B$7</f>
        <v/>
      </c>
      <c r="I7456" s="11">
        <f>MAX(0,N7456-M7456)</f>
        <v/>
      </c>
      <c r="J7456" s="11">
        <f>MAX(0,M7456-N7456)</f>
        <v/>
      </c>
      <c r="K7456" s="11">
        <f>O7456</f>
        <v/>
      </c>
      <c r="L7456" s="11">
        <f>L7455+IF(K7456&gt;0,K7456*Summary!$B$9,K7456/Summary!$B$9)</f>
        <v/>
      </c>
      <c r="M7456" s="11">
        <f>G7456+H7456</f>
        <v/>
      </c>
      <c r="N7456" s="11">
        <f>Summary!$C$16*Summary!$B$8</f>
        <v/>
      </c>
      <c r="O7456" s="11">
        <f>M7456-N7456</f>
        <v/>
      </c>
    </row>
    <row r="7457">
      <c r="A7457" s="9" t="n">
        <v>45602.625</v>
      </c>
      <c r="B7457" t="n">
        <v>11</v>
      </c>
      <c r="C7457" t="n">
        <v>6</v>
      </c>
      <c r="D7457" t="n">
        <v>15</v>
      </c>
      <c r="E7457" s="10" t="n">
        <v>0.002381</v>
      </c>
      <c r="F7457" s="10" t="n">
        <v>0.2406465217551652</v>
      </c>
      <c r="G7457" s="11">
        <f>E7457*Summary!$B$6</f>
        <v/>
      </c>
      <c r="H7457" s="11">
        <f>F7457*Summary!$B$7</f>
        <v/>
      </c>
      <c r="I7457" s="11">
        <f>MAX(0,N7457-M7457)</f>
        <v/>
      </c>
      <c r="J7457" s="11">
        <f>MAX(0,M7457-N7457)</f>
        <v/>
      </c>
      <c r="K7457" s="11">
        <f>O7457</f>
        <v/>
      </c>
      <c r="L7457" s="11">
        <f>L7456+IF(K7457&gt;0,K7457*Summary!$B$9,K7457/Summary!$B$9)</f>
        <v/>
      </c>
      <c r="M7457" s="11">
        <f>G7457+H7457</f>
        <v/>
      </c>
      <c r="N7457" s="11">
        <f>Summary!$C$16*Summary!$B$8</f>
        <v/>
      </c>
      <c r="O7457" s="11">
        <f>M7457-N7457</f>
        <v/>
      </c>
    </row>
    <row r="7458">
      <c r="A7458" s="9" t="n">
        <v>45602.66666666666</v>
      </c>
      <c r="B7458" t="n">
        <v>11</v>
      </c>
      <c r="C7458" t="n">
        <v>6</v>
      </c>
      <c r="D7458" t="n">
        <v>16</v>
      </c>
      <c r="E7458" s="10" t="n">
        <v>0</v>
      </c>
      <c r="F7458" s="10" t="n">
        <v>0.2467601872224449</v>
      </c>
      <c r="G7458" s="11">
        <f>E7458*Summary!$B$6</f>
        <v/>
      </c>
      <c r="H7458" s="11">
        <f>F7458*Summary!$B$7</f>
        <v/>
      </c>
      <c r="I7458" s="11">
        <f>MAX(0,N7458-M7458)</f>
        <v/>
      </c>
      <c r="J7458" s="11">
        <f>MAX(0,M7458-N7458)</f>
        <v/>
      </c>
      <c r="K7458" s="11">
        <f>O7458</f>
        <v/>
      </c>
      <c r="L7458" s="11">
        <f>L7457+IF(K7458&gt;0,K7458*Summary!$B$9,K7458/Summary!$B$9)</f>
        <v/>
      </c>
      <c r="M7458" s="11">
        <f>G7458+H7458</f>
        <v/>
      </c>
      <c r="N7458" s="11">
        <f>Summary!$C$16*Summary!$B$8</f>
        <v/>
      </c>
      <c r="O7458" s="11">
        <f>M7458-N7458</f>
        <v/>
      </c>
    </row>
    <row r="7459">
      <c r="A7459" s="9" t="n">
        <v>45602.70833333334</v>
      </c>
      <c r="B7459" t="n">
        <v>11</v>
      </c>
      <c r="C7459" t="n">
        <v>6</v>
      </c>
      <c r="D7459" t="n">
        <v>17</v>
      </c>
      <c r="E7459" s="10" t="n">
        <v>0</v>
      </c>
      <c r="F7459" s="10" t="n">
        <v>0.2522414045379371</v>
      </c>
      <c r="G7459" s="11">
        <f>E7459*Summary!$B$6</f>
        <v/>
      </c>
      <c r="H7459" s="11">
        <f>F7459*Summary!$B$7</f>
        <v/>
      </c>
      <c r="I7459" s="11">
        <f>MAX(0,N7459-M7459)</f>
        <v/>
      </c>
      <c r="J7459" s="11">
        <f>MAX(0,M7459-N7459)</f>
        <v/>
      </c>
      <c r="K7459" s="11">
        <f>O7459</f>
        <v/>
      </c>
      <c r="L7459" s="11">
        <f>L7458+IF(K7459&gt;0,K7459*Summary!$B$9,K7459/Summary!$B$9)</f>
        <v/>
      </c>
      <c r="M7459" s="11">
        <f>G7459+H7459</f>
        <v/>
      </c>
      <c r="N7459" s="11">
        <f>Summary!$C$16*Summary!$B$8</f>
        <v/>
      </c>
      <c r="O7459" s="11">
        <f>M7459-N7459</f>
        <v/>
      </c>
    </row>
    <row r="7460">
      <c r="A7460" s="9" t="n">
        <v>45602.75</v>
      </c>
      <c r="B7460" t="n">
        <v>11</v>
      </c>
      <c r="C7460" t="n">
        <v>6</v>
      </c>
      <c r="D7460" t="n">
        <v>18</v>
      </c>
      <c r="E7460" s="10" t="n">
        <v>0</v>
      </c>
      <c r="F7460" s="10" t="n">
        <v>0.2535326528478367</v>
      </c>
      <c r="G7460" s="11">
        <f>E7460*Summary!$B$6</f>
        <v/>
      </c>
      <c r="H7460" s="11">
        <f>F7460*Summary!$B$7</f>
        <v/>
      </c>
      <c r="I7460" s="11">
        <f>MAX(0,N7460-M7460)</f>
        <v/>
      </c>
      <c r="J7460" s="11">
        <f>MAX(0,M7460-N7460)</f>
        <v/>
      </c>
      <c r="K7460" s="11">
        <f>O7460</f>
        <v/>
      </c>
      <c r="L7460" s="11">
        <f>L7459+IF(K7460&gt;0,K7460*Summary!$B$9,K7460/Summary!$B$9)</f>
        <v/>
      </c>
      <c r="M7460" s="11">
        <f>G7460+H7460</f>
        <v/>
      </c>
      <c r="N7460" s="11">
        <f>Summary!$C$16*Summary!$B$8</f>
        <v/>
      </c>
      <c r="O7460" s="11">
        <f>M7460-N7460</f>
        <v/>
      </c>
    </row>
    <row r="7461">
      <c r="A7461" s="9" t="n">
        <v>45602.79166666666</v>
      </c>
      <c r="B7461" t="n">
        <v>11</v>
      </c>
      <c r="C7461" t="n">
        <v>6</v>
      </c>
      <c r="D7461" t="n">
        <v>19</v>
      </c>
      <c r="E7461" s="10" t="n">
        <v>0</v>
      </c>
      <c r="F7461" s="10" t="n">
        <v>0.2499224279813827</v>
      </c>
      <c r="G7461" s="11">
        <f>E7461*Summary!$B$6</f>
        <v/>
      </c>
      <c r="H7461" s="11">
        <f>F7461*Summary!$B$7</f>
        <v/>
      </c>
      <c r="I7461" s="11">
        <f>MAX(0,N7461-M7461)</f>
        <v/>
      </c>
      <c r="J7461" s="11">
        <f>MAX(0,M7461-N7461)</f>
        <v/>
      </c>
      <c r="K7461" s="11">
        <f>O7461</f>
        <v/>
      </c>
      <c r="L7461" s="11">
        <f>L7460+IF(K7461&gt;0,K7461*Summary!$B$9,K7461/Summary!$B$9)</f>
        <v/>
      </c>
      <c r="M7461" s="11">
        <f>G7461+H7461</f>
        <v/>
      </c>
      <c r="N7461" s="11">
        <f>Summary!$C$16*Summary!$B$8</f>
        <v/>
      </c>
      <c r="O7461" s="11">
        <f>M7461-N7461</f>
        <v/>
      </c>
    </row>
    <row r="7462">
      <c r="A7462" s="9" t="n">
        <v>45602.83333333334</v>
      </c>
      <c r="B7462" t="n">
        <v>11</v>
      </c>
      <c r="C7462" t="n">
        <v>6</v>
      </c>
      <c r="D7462" t="n">
        <v>20</v>
      </c>
      <c r="E7462" s="10" t="n">
        <v>0</v>
      </c>
      <c r="F7462" s="10" t="n">
        <v>0.2485257716461852</v>
      </c>
      <c r="G7462" s="11">
        <f>E7462*Summary!$B$6</f>
        <v/>
      </c>
      <c r="H7462" s="11">
        <f>F7462*Summary!$B$7</f>
        <v/>
      </c>
      <c r="I7462" s="11">
        <f>MAX(0,N7462-M7462)</f>
        <v/>
      </c>
      <c r="J7462" s="11">
        <f>MAX(0,M7462-N7462)</f>
        <v/>
      </c>
      <c r="K7462" s="11">
        <f>O7462</f>
        <v/>
      </c>
      <c r="L7462" s="11">
        <f>L7461+IF(K7462&gt;0,K7462*Summary!$B$9,K7462/Summary!$B$9)</f>
        <v/>
      </c>
      <c r="M7462" s="11">
        <f>G7462+H7462</f>
        <v/>
      </c>
      <c r="N7462" s="11">
        <f>Summary!$C$16*Summary!$B$8</f>
        <v/>
      </c>
      <c r="O7462" s="11">
        <f>M7462-N7462</f>
        <v/>
      </c>
    </row>
    <row r="7463">
      <c r="A7463" s="9" t="n">
        <v>45602.875</v>
      </c>
      <c r="B7463" t="n">
        <v>11</v>
      </c>
      <c r="C7463" t="n">
        <v>6</v>
      </c>
      <c r="D7463" t="n">
        <v>21</v>
      </c>
      <c r="E7463" s="10" t="n">
        <v>0</v>
      </c>
      <c r="F7463" s="10" t="n">
        <v>0.2484730676335362</v>
      </c>
      <c r="G7463" s="11">
        <f>E7463*Summary!$B$6</f>
        <v/>
      </c>
      <c r="H7463" s="11">
        <f>F7463*Summary!$B$7</f>
        <v/>
      </c>
      <c r="I7463" s="11">
        <f>MAX(0,N7463-M7463)</f>
        <v/>
      </c>
      <c r="J7463" s="11">
        <f>MAX(0,M7463-N7463)</f>
        <v/>
      </c>
      <c r="K7463" s="11">
        <f>O7463</f>
        <v/>
      </c>
      <c r="L7463" s="11">
        <f>L7462+IF(K7463&gt;0,K7463*Summary!$B$9,K7463/Summary!$B$9)</f>
        <v/>
      </c>
      <c r="M7463" s="11">
        <f>G7463+H7463</f>
        <v/>
      </c>
      <c r="N7463" s="11">
        <f>Summary!$C$16*Summary!$B$8</f>
        <v/>
      </c>
      <c r="O7463" s="11">
        <f>M7463-N7463</f>
        <v/>
      </c>
    </row>
    <row r="7464">
      <c r="A7464" s="9" t="n">
        <v>45602.91666666666</v>
      </c>
      <c r="B7464" t="n">
        <v>11</v>
      </c>
      <c r="C7464" t="n">
        <v>6</v>
      </c>
      <c r="D7464" t="n">
        <v>22</v>
      </c>
      <c r="E7464" s="10" t="n">
        <v>0</v>
      </c>
      <c r="F7464" s="10" t="n">
        <v>0.2490791637789993</v>
      </c>
      <c r="G7464" s="11">
        <f>E7464*Summary!$B$6</f>
        <v/>
      </c>
      <c r="H7464" s="11">
        <f>F7464*Summary!$B$7</f>
        <v/>
      </c>
      <c r="I7464" s="11">
        <f>MAX(0,N7464-M7464)</f>
        <v/>
      </c>
      <c r="J7464" s="11">
        <f>MAX(0,M7464-N7464)</f>
        <v/>
      </c>
      <c r="K7464" s="11">
        <f>O7464</f>
        <v/>
      </c>
      <c r="L7464" s="11">
        <f>L7463+IF(K7464&gt;0,K7464*Summary!$B$9,K7464/Summary!$B$9)</f>
        <v/>
      </c>
      <c r="M7464" s="11">
        <f>G7464+H7464</f>
        <v/>
      </c>
      <c r="N7464" s="11">
        <f>Summary!$C$16*Summary!$B$8</f>
        <v/>
      </c>
      <c r="O7464" s="11">
        <f>M7464-N7464</f>
        <v/>
      </c>
    </row>
    <row r="7465">
      <c r="A7465" s="9" t="n">
        <v>45602.95833333334</v>
      </c>
      <c r="B7465" t="n">
        <v>11</v>
      </c>
      <c r="C7465" t="n">
        <v>6</v>
      </c>
      <c r="D7465" t="n">
        <v>23</v>
      </c>
      <c r="E7465" s="10" t="n">
        <v>0</v>
      </c>
      <c r="F7465" s="10" t="n">
        <v>0.2526103326264798</v>
      </c>
      <c r="G7465" s="11">
        <f>E7465*Summary!$B$6</f>
        <v/>
      </c>
      <c r="H7465" s="11">
        <f>F7465*Summary!$B$7</f>
        <v/>
      </c>
      <c r="I7465" s="11">
        <f>MAX(0,N7465-M7465)</f>
        <v/>
      </c>
      <c r="J7465" s="11">
        <f>MAX(0,M7465-N7465)</f>
        <v/>
      </c>
      <c r="K7465" s="11">
        <f>O7465</f>
        <v/>
      </c>
      <c r="L7465" s="11">
        <f>L7464+IF(K7465&gt;0,K7465*Summary!$B$9,K7465/Summary!$B$9)</f>
        <v/>
      </c>
      <c r="M7465" s="11">
        <f>G7465+H7465</f>
        <v/>
      </c>
      <c r="N7465" s="11">
        <f>Summary!$C$16*Summary!$B$8</f>
        <v/>
      </c>
      <c r="O7465" s="11">
        <f>M7465-N7465</f>
        <v/>
      </c>
    </row>
    <row r="7466">
      <c r="A7466" s="9" t="n">
        <v>45603</v>
      </c>
      <c r="B7466" t="n">
        <v>11</v>
      </c>
      <c r="C7466" t="n">
        <v>7</v>
      </c>
      <c r="D7466" t="n">
        <v>0</v>
      </c>
      <c r="E7466" s="10" t="n">
        <v>0</v>
      </c>
      <c r="F7466" s="10" t="n">
        <v>0.2322929357503046</v>
      </c>
      <c r="G7466" s="11">
        <f>E7466*Summary!$B$6</f>
        <v/>
      </c>
      <c r="H7466" s="11">
        <f>F7466*Summary!$B$7</f>
        <v/>
      </c>
      <c r="I7466" s="11">
        <f>MAX(0,N7466-M7466)</f>
        <v/>
      </c>
      <c r="J7466" s="11">
        <f>MAX(0,M7466-N7466)</f>
        <v/>
      </c>
      <c r="K7466" s="11">
        <f>O7466</f>
        <v/>
      </c>
      <c r="L7466" s="11">
        <f>L7465+IF(K7466&gt;0,K7466*Summary!$B$9,K7466/Summary!$B$9)</f>
        <v/>
      </c>
      <c r="M7466" s="11">
        <f>G7466+H7466</f>
        <v/>
      </c>
      <c r="N7466" s="11">
        <f>Summary!$C$16*Summary!$B$8</f>
        <v/>
      </c>
      <c r="O7466" s="11">
        <f>M7466-N7466</f>
        <v/>
      </c>
    </row>
    <row r="7467">
      <c r="A7467" s="9" t="n">
        <v>45603.04166666666</v>
      </c>
      <c r="B7467" t="n">
        <v>11</v>
      </c>
      <c r="C7467" t="n">
        <v>7</v>
      </c>
      <c r="D7467" t="n">
        <v>1</v>
      </c>
      <c r="E7467" s="10" t="n">
        <v>0</v>
      </c>
      <c r="F7467" s="10" t="n">
        <v>0.2631774871625969</v>
      </c>
      <c r="G7467" s="11">
        <f>E7467*Summary!$B$6</f>
        <v/>
      </c>
      <c r="H7467" s="11">
        <f>F7467*Summary!$B$7</f>
        <v/>
      </c>
      <c r="I7467" s="11">
        <f>MAX(0,N7467-M7467)</f>
        <v/>
      </c>
      <c r="J7467" s="11">
        <f>MAX(0,M7467-N7467)</f>
        <v/>
      </c>
      <c r="K7467" s="11">
        <f>O7467</f>
        <v/>
      </c>
      <c r="L7467" s="11">
        <f>L7466+IF(K7467&gt;0,K7467*Summary!$B$9,K7467/Summary!$B$9)</f>
        <v/>
      </c>
      <c r="M7467" s="11">
        <f>G7467+H7467</f>
        <v/>
      </c>
      <c r="N7467" s="11">
        <f>Summary!$C$16*Summary!$B$8</f>
        <v/>
      </c>
      <c r="O7467" s="11">
        <f>M7467-N7467</f>
        <v/>
      </c>
    </row>
    <row r="7468">
      <c r="A7468" s="9" t="n">
        <v>45603.08333333334</v>
      </c>
      <c r="B7468" t="n">
        <v>11</v>
      </c>
      <c r="C7468" t="n">
        <v>7</v>
      </c>
      <c r="D7468" t="n">
        <v>2</v>
      </c>
      <c r="E7468" s="10" t="n">
        <v>0</v>
      </c>
      <c r="F7468" s="10" t="n">
        <v>0.2738236977176874</v>
      </c>
      <c r="G7468" s="11">
        <f>E7468*Summary!$B$6</f>
        <v/>
      </c>
      <c r="H7468" s="11">
        <f>F7468*Summary!$B$7</f>
        <v/>
      </c>
      <c r="I7468" s="11">
        <f>MAX(0,N7468-M7468)</f>
        <v/>
      </c>
      <c r="J7468" s="11">
        <f>MAX(0,M7468-N7468)</f>
        <v/>
      </c>
      <c r="K7468" s="11">
        <f>O7468</f>
        <v/>
      </c>
      <c r="L7468" s="11">
        <f>L7467+IF(K7468&gt;0,K7468*Summary!$B$9,K7468/Summary!$B$9)</f>
        <v/>
      </c>
      <c r="M7468" s="11">
        <f>G7468+H7468</f>
        <v/>
      </c>
      <c r="N7468" s="11">
        <f>Summary!$C$16*Summary!$B$8</f>
        <v/>
      </c>
      <c r="O7468" s="11">
        <f>M7468-N7468</f>
        <v/>
      </c>
    </row>
    <row r="7469">
      <c r="A7469" s="9" t="n">
        <v>45603.125</v>
      </c>
      <c r="B7469" t="n">
        <v>11</v>
      </c>
      <c r="C7469" t="n">
        <v>7</v>
      </c>
      <c r="D7469" t="n">
        <v>3</v>
      </c>
      <c r="E7469" s="10" t="n">
        <v>0</v>
      </c>
      <c r="F7469" s="10" t="n">
        <v>0.2825198598047663</v>
      </c>
      <c r="G7469" s="11">
        <f>E7469*Summary!$B$6</f>
        <v/>
      </c>
      <c r="H7469" s="11">
        <f>F7469*Summary!$B$7</f>
        <v/>
      </c>
      <c r="I7469" s="11">
        <f>MAX(0,N7469-M7469)</f>
        <v/>
      </c>
      <c r="J7469" s="11">
        <f>MAX(0,M7469-N7469)</f>
        <v/>
      </c>
      <c r="K7469" s="11">
        <f>O7469</f>
        <v/>
      </c>
      <c r="L7469" s="11">
        <f>L7468+IF(K7469&gt;0,K7469*Summary!$B$9,K7469/Summary!$B$9)</f>
        <v/>
      </c>
      <c r="M7469" s="11">
        <f>G7469+H7469</f>
        <v/>
      </c>
      <c r="N7469" s="11">
        <f>Summary!$C$16*Summary!$B$8</f>
        <v/>
      </c>
      <c r="O7469" s="11">
        <f>M7469-N7469</f>
        <v/>
      </c>
    </row>
    <row r="7470">
      <c r="A7470" s="9" t="n">
        <v>45603.16666666666</v>
      </c>
      <c r="B7470" t="n">
        <v>11</v>
      </c>
      <c r="C7470" t="n">
        <v>7</v>
      </c>
      <c r="D7470" t="n">
        <v>4</v>
      </c>
      <c r="E7470" s="10" t="n">
        <v>0</v>
      </c>
      <c r="F7470" s="10" t="n">
        <v>0.2902409976578395</v>
      </c>
      <c r="G7470" s="11">
        <f>E7470*Summary!$B$6</f>
        <v/>
      </c>
      <c r="H7470" s="11">
        <f>F7470*Summary!$B$7</f>
        <v/>
      </c>
      <c r="I7470" s="11">
        <f>MAX(0,N7470-M7470)</f>
        <v/>
      </c>
      <c r="J7470" s="11">
        <f>MAX(0,M7470-N7470)</f>
        <v/>
      </c>
      <c r="K7470" s="11">
        <f>O7470</f>
        <v/>
      </c>
      <c r="L7470" s="11">
        <f>L7469+IF(K7470&gt;0,K7470*Summary!$B$9,K7470/Summary!$B$9)</f>
        <v/>
      </c>
      <c r="M7470" s="11">
        <f>G7470+H7470</f>
        <v/>
      </c>
      <c r="N7470" s="11">
        <f>Summary!$C$16*Summary!$B$8</f>
        <v/>
      </c>
      <c r="O7470" s="11">
        <f>M7470-N7470</f>
        <v/>
      </c>
    </row>
    <row r="7471">
      <c r="A7471" s="9" t="n">
        <v>45603.20833333334</v>
      </c>
      <c r="B7471" t="n">
        <v>11</v>
      </c>
      <c r="C7471" t="n">
        <v>7</v>
      </c>
      <c r="D7471" t="n">
        <v>5</v>
      </c>
      <c r="E7471" s="10" t="n">
        <v>0</v>
      </c>
      <c r="F7471" s="10" t="n">
        <v>0.2953005828721399</v>
      </c>
      <c r="G7471" s="11">
        <f>E7471*Summary!$B$6</f>
        <v/>
      </c>
      <c r="H7471" s="11">
        <f>F7471*Summary!$B$7</f>
        <v/>
      </c>
      <c r="I7471" s="11">
        <f>MAX(0,N7471-M7471)</f>
        <v/>
      </c>
      <c r="J7471" s="11">
        <f>MAX(0,M7471-N7471)</f>
        <v/>
      </c>
      <c r="K7471" s="11">
        <f>O7471</f>
        <v/>
      </c>
      <c r="L7471" s="11">
        <f>L7470+IF(K7471&gt;0,K7471*Summary!$B$9,K7471/Summary!$B$9)</f>
        <v/>
      </c>
      <c r="M7471" s="11">
        <f>G7471+H7471</f>
        <v/>
      </c>
      <c r="N7471" s="11">
        <f>Summary!$C$16*Summary!$B$8</f>
        <v/>
      </c>
      <c r="O7471" s="11">
        <f>M7471-N7471</f>
        <v/>
      </c>
    </row>
    <row r="7472">
      <c r="A7472" s="9" t="n">
        <v>45603.25</v>
      </c>
      <c r="B7472" t="n">
        <v>11</v>
      </c>
      <c r="C7472" t="n">
        <v>7</v>
      </c>
      <c r="D7472" t="n">
        <v>6</v>
      </c>
      <c r="E7472" s="10" t="n">
        <v>0</v>
      </c>
      <c r="F7472" s="10" t="n">
        <v>0.3033906488137557</v>
      </c>
      <c r="G7472" s="11">
        <f>E7472*Summary!$B$6</f>
        <v/>
      </c>
      <c r="H7472" s="11">
        <f>F7472*Summary!$B$7</f>
        <v/>
      </c>
      <c r="I7472" s="11">
        <f>MAX(0,N7472-M7472)</f>
        <v/>
      </c>
      <c r="J7472" s="11">
        <f>MAX(0,M7472-N7472)</f>
        <v/>
      </c>
      <c r="K7472" s="11">
        <f>O7472</f>
        <v/>
      </c>
      <c r="L7472" s="11">
        <f>L7471+IF(K7472&gt;0,K7472*Summary!$B$9,K7472/Summary!$B$9)</f>
        <v/>
      </c>
      <c r="M7472" s="11">
        <f>G7472+H7472</f>
        <v/>
      </c>
      <c r="N7472" s="11">
        <f>Summary!$C$16*Summary!$B$8</f>
        <v/>
      </c>
      <c r="O7472" s="11">
        <f>M7472-N7472</f>
        <v/>
      </c>
    </row>
    <row r="7473">
      <c r="A7473" s="9" t="n">
        <v>45603.29166666666</v>
      </c>
      <c r="B7473" t="n">
        <v>11</v>
      </c>
      <c r="C7473" t="n">
        <v>7</v>
      </c>
      <c r="D7473" t="n">
        <v>7</v>
      </c>
      <c r="E7473" s="10" t="n">
        <v>0</v>
      </c>
      <c r="F7473" s="10" t="n">
        <v>0.3047873051489532</v>
      </c>
      <c r="G7473" s="11">
        <f>E7473*Summary!$B$6</f>
        <v/>
      </c>
      <c r="H7473" s="11">
        <f>F7473*Summary!$B$7</f>
        <v/>
      </c>
      <c r="I7473" s="11">
        <f>MAX(0,N7473-M7473)</f>
        <v/>
      </c>
      <c r="J7473" s="11">
        <f>MAX(0,M7473-N7473)</f>
        <v/>
      </c>
      <c r="K7473" s="11">
        <f>O7473</f>
        <v/>
      </c>
      <c r="L7473" s="11">
        <f>L7472+IF(K7473&gt;0,K7473*Summary!$B$9,K7473/Summary!$B$9)</f>
        <v/>
      </c>
      <c r="M7473" s="11">
        <f>G7473+H7473</f>
        <v/>
      </c>
      <c r="N7473" s="11">
        <f>Summary!$C$16*Summary!$B$8</f>
        <v/>
      </c>
      <c r="O7473" s="11">
        <f>M7473-N7473</f>
        <v/>
      </c>
    </row>
    <row r="7474">
      <c r="A7474" s="9" t="n">
        <v>45603.33333333334</v>
      </c>
      <c r="B7474" t="n">
        <v>11</v>
      </c>
      <c r="C7474" t="n">
        <v>7</v>
      </c>
      <c r="D7474" t="n">
        <v>8</v>
      </c>
      <c r="E7474" s="10" t="n">
        <v>0.015409</v>
      </c>
      <c r="F7474" s="10" t="n">
        <v>0.3013615443267706</v>
      </c>
      <c r="G7474" s="11">
        <f>E7474*Summary!$B$6</f>
        <v/>
      </c>
      <c r="H7474" s="11">
        <f>F7474*Summary!$B$7</f>
        <v/>
      </c>
      <c r="I7474" s="11">
        <f>MAX(0,N7474-M7474)</f>
        <v/>
      </c>
      <c r="J7474" s="11">
        <f>MAX(0,M7474-N7474)</f>
        <v/>
      </c>
      <c r="K7474" s="11">
        <f>O7474</f>
        <v/>
      </c>
      <c r="L7474" s="11">
        <f>L7473+IF(K7474&gt;0,K7474*Summary!$B$9,K7474/Summary!$B$9)</f>
        <v/>
      </c>
      <c r="M7474" s="11">
        <f>G7474+H7474</f>
        <v/>
      </c>
      <c r="N7474" s="11">
        <f>Summary!$C$16*Summary!$B$8</f>
        <v/>
      </c>
      <c r="O7474" s="11">
        <f>M7474-N7474</f>
        <v/>
      </c>
    </row>
    <row r="7475">
      <c r="A7475" s="9" t="n">
        <v>45603.375</v>
      </c>
      <c r="B7475" t="n">
        <v>11</v>
      </c>
      <c r="C7475" t="n">
        <v>7</v>
      </c>
      <c r="D7475" t="n">
        <v>9</v>
      </c>
      <c r="E7475" s="10" t="n">
        <v>0.019022</v>
      </c>
      <c r="F7475" s="10" t="n">
        <v>0.2914531899487656</v>
      </c>
      <c r="G7475" s="11">
        <f>E7475*Summary!$B$6</f>
        <v/>
      </c>
      <c r="H7475" s="11">
        <f>F7475*Summary!$B$7</f>
        <v/>
      </c>
      <c r="I7475" s="11">
        <f>MAX(0,N7475-M7475)</f>
        <v/>
      </c>
      <c r="J7475" s="11">
        <f>MAX(0,M7475-N7475)</f>
        <v/>
      </c>
      <c r="K7475" s="11">
        <f>O7475</f>
        <v/>
      </c>
      <c r="L7475" s="11">
        <f>L7474+IF(K7475&gt;0,K7475*Summary!$B$9,K7475/Summary!$B$9)</f>
        <v/>
      </c>
      <c r="M7475" s="11">
        <f>G7475+H7475</f>
        <v/>
      </c>
      <c r="N7475" s="11">
        <f>Summary!$C$16*Summary!$B$8</f>
        <v/>
      </c>
      <c r="O7475" s="11">
        <f>M7475-N7475</f>
        <v/>
      </c>
    </row>
    <row r="7476">
      <c r="A7476" s="9" t="n">
        <v>45603.41666666666</v>
      </c>
      <c r="B7476" t="n">
        <v>11</v>
      </c>
      <c r="C7476" t="n">
        <v>7</v>
      </c>
      <c r="D7476" t="n">
        <v>10</v>
      </c>
      <c r="E7476" s="10" t="n">
        <v>0.033234</v>
      </c>
      <c r="F7476" s="10" t="n">
        <v>0.2823880997731439</v>
      </c>
      <c r="G7476" s="11">
        <f>E7476*Summary!$B$6</f>
        <v/>
      </c>
      <c r="H7476" s="11">
        <f>F7476*Summary!$B$7</f>
        <v/>
      </c>
      <c r="I7476" s="11">
        <f>MAX(0,N7476-M7476)</f>
        <v/>
      </c>
      <c r="J7476" s="11">
        <f>MAX(0,M7476-N7476)</f>
        <v/>
      </c>
      <c r="K7476" s="11">
        <f>O7476</f>
        <v/>
      </c>
      <c r="L7476" s="11">
        <f>L7475+IF(K7476&gt;0,K7476*Summary!$B$9,K7476/Summary!$B$9)</f>
        <v/>
      </c>
      <c r="M7476" s="11">
        <f>G7476+H7476</f>
        <v/>
      </c>
      <c r="N7476" s="11">
        <f>Summary!$C$16*Summary!$B$8</f>
        <v/>
      </c>
      <c r="O7476" s="11">
        <f>M7476-N7476</f>
        <v/>
      </c>
    </row>
    <row r="7477">
      <c r="A7477" s="9" t="n">
        <v>45603.45833333334</v>
      </c>
      <c r="B7477" t="n">
        <v>11</v>
      </c>
      <c r="C7477" t="n">
        <v>7</v>
      </c>
      <c r="D7477" t="n">
        <v>11</v>
      </c>
      <c r="E7477" s="10" t="n">
        <v>0.043665</v>
      </c>
      <c r="F7477" s="10" t="n">
        <v>0.2688431685223605</v>
      </c>
      <c r="G7477" s="11">
        <f>E7477*Summary!$B$6</f>
        <v/>
      </c>
      <c r="H7477" s="11">
        <f>F7477*Summary!$B$7</f>
        <v/>
      </c>
      <c r="I7477" s="11">
        <f>MAX(0,N7477-M7477)</f>
        <v/>
      </c>
      <c r="J7477" s="11">
        <f>MAX(0,M7477-N7477)</f>
        <v/>
      </c>
      <c r="K7477" s="11">
        <f>O7477</f>
        <v/>
      </c>
      <c r="L7477" s="11">
        <f>L7476+IF(K7477&gt;0,K7477*Summary!$B$9,K7477/Summary!$B$9)</f>
        <v/>
      </c>
      <c r="M7477" s="11">
        <f>G7477+H7477</f>
        <v/>
      </c>
      <c r="N7477" s="11">
        <f>Summary!$C$16*Summary!$B$8</f>
        <v/>
      </c>
      <c r="O7477" s="11">
        <f>M7477-N7477</f>
        <v/>
      </c>
    </row>
    <row r="7478">
      <c r="A7478" s="9" t="n">
        <v>45603.5</v>
      </c>
      <c r="B7478" t="n">
        <v>11</v>
      </c>
      <c r="C7478" t="n">
        <v>7</v>
      </c>
      <c r="D7478" t="n">
        <v>12</v>
      </c>
      <c r="E7478" s="10" t="n">
        <v>0.04863</v>
      </c>
      <c r="F7478" s="10" t="n">
        <v>0.2574063977775354</v>
      </c>
      <c r="G7478" s="11">
        <f>E7478*Summary!$B$6</f>
        <v/>
      </c>
      <c r="H7478" s="11">
        <f>F7478*Summary!$B$7</f>
        <v/>
      </c>
      <c r="I7478" s="11">
        <f>MAX(0,N7478-M7478)</f>
        <v/>
      </c>
      <c r="J7478" s="11">
        <f>MAX(0,M7478-N7478)</f>
        <v/>
      </c>
      <c r="K7478" s="11">
        <f>O7478</f>
        <v/>
      </c>
      <c r="L7478" s="11">
        <f>L7477+IF(K7478&gt;0,K7478*Summary!$B$9,K7478/Summary!$B$9)</f>
        <v/>
      </c>
      <c r="M7478" s="11">
        <f>G7478+H7478</f>
        <v/>
      </c>
      <c r="N7478" s="11">
        <f>Summary!$C$16*Summary!$B$8</f>
        <v/>
      </c>
      <c r="O7478" s="11">
        <f>M7478-N7478</f>
        <v/>
      </c>
    </row>
    <row r="7479">
      <c r="A7479" s="9" t="n">
        <v>45603.54166666666</v>
      </c>
      <c r="B7479" t="n">
        <v>11</v>
      </c>
      <c r="C7479" t="n">
        <v>7</v>
      </c>
      <c r="D7479" t="n">
        <v>13</v>
      </c>
      <c r="E7479" s="10" t="n">
        <v>0.042469</v>
      </c>
      <c r="F7479" s="10" t="n">
        <v>0.2522414045379371</v>
      </c>
      <c r="G7479" s="11">
        <f>E7479*Summary!$B$6</f>
        <v/>
      </c>
      <c r="H7479" s="11">
        <f>F7479*Summary!$B$7</f>
        <v/>
      </c>
      <c r="I7479" s="11">
        <f>MAX(0,N7479-M7479)</f>
        <v/>
      </c>
      <c r="J7479" s="11">
        <f>MAX(0,M7479-N7479)</f>
        <v/>
      </c>
      <c r="K7479" s="11">
        <f>O7479</f>
        <v/>
      </c>
      <c r="L7479" s="11">
        <f>L7478+IF(K7479&gt;0,K7479*Summary!$B$9,K7479/Summary!$B$9)</f>
        <v/>
      </c>
      <c r="M7479" s="11">
        <f>G7479+H7479</f>
        <v/>
      </c>
      <c r="N7479" s="11">
        <f>Summary!$C$16*Summary!$B$8</f>
        <v/>
      </c>
      <c r="O7479" s="11">
        <f>M7479-N7479</f>
        <v/>
      </c>
    </row>
    <row r="7480">
      <c r="A7480" s="9" t="n">
        <v>45603.58333333334</v>
      </c>
      <c r="B7480" t="n">
        <v>11</v>
      </c>
      <c r="C7480" t="n">
        <v>7</v>
      </c>
      <c r="D7480" t="n">
        <v>14</v>
      </c>
      <c r="E7480" s="10" t="n">
        <v>0.028536</v>
      </c>
      <c r="F7480" s="10" t="n">
        <v>0.2475770994185038</v>
      </c>
      <c r="G7480" s="11">
        <f>E7480*Summary!$B$6</f>
        <v/>
      </c>
      <c r="H7480" s="11">
        <f>F7480*Summary!$B$7</f>
        <v/>
      </c>
      <c r="I7480" s="11">
        <f>MAX(0,N7480-M7480)</f>
        <v/>
      </c>
      <c r="J7480" s="11">
        <f>MAX(0,M7480-N7480)</f>
        <v/>
      </c>
      <c r="K7480" s="11">
        <f>O7480</f>
        <v/>
      </c>
      <c r="L7480" s="11">
        <f>L7479+IF(K7480&gt;0,K7480*Summary!$B$9,K7480/Summary!$B$9)</f>
        <v/>
      </c>
      <c r="M7480" s="11">
        <f>G7480+H7480</f>
        <v/>
      </c>
      <c r="N7480" s="11">
        <f>Summary!$C$16*Summary!$B$8</f>
        <v/>
      </c>
      <c r="O7480" s="11">
        <f>M7480-N7480</f>
        <v/>
      </c>
    </row>
    <row r="7481">
      <c r="A7481" s="9" t="n">
        <v>45603.625</v>
      </c>
      <c r="B7481" t="n">
        <v>11</v>
      </c>
      <c r="C7481" t="n">
        <v>7</v>
      </c>
      <c r="D7481" t="n">
        <v>15</v>
      </c>
      <c r="E7481" s="10" t="n">
        <v>0.014761</v>
      </c>
      <c r="F7481" s="10" t="n">
        <v>0.2501332440319786</v>
      </c>
      <c r="G7481" s="11">
        <f>E7481*Summary!$B$6</f>
        <v/>
      </c>
      <c r="H7481" s="11">
        <f>F7481*Summary!$B$7</f>
        <v/>
      </c>
      <c r="I7481" s="11">
        <f>MAX(0,N7481-M7481)</f>
        <v/>
      </c>
      <c r="J7481" s="11">
        <f>MAX(0,M7481-N7481)</f>
        <v/>
      </c>
      <c r="K7481" s="11">
        <f>O7481</f>
        <v/>
      </c>
      <c r="L7481" s="11">
        <f>L7480+IF(K7481&gt;0,K7481*Summary!$B$9,K7481/Summary!$B$9)</f>
        <v/>
      </c>
      <c r="M7481" s="11">
        <f>G7481+H7481</f>
        <v/>
      </c>
      <c r="N7481" s="11">
        <f>Summary!$C$16*Summary!$B$8</f>
        <v/>
      </c>
      <c r="O7481" s="11">
        <f>M7481-N7481</f>
        <v/>
      </c>
    </row>
    <row r="7482">
      <c r="A7482" s="9" t="n">
        <v>45603.66666666666</v>
      </c>
      <c r="B7482" t="n">
        <v>11</v>
      </c>
      <c r="C7482" t="n">
        <v>7</v>
      </c>
      <c r="D7482" t="n">
        <v>16</v>
      </c>
      <c r="E7482" s="10" t="n">
        <v>0</v>
      </c>
      <c r="F7482" s="10" t="n">
        <v>0.2499751319940317</v>
      </c>
      <c r="G7482" s="11">
        <f>E7482*Summary!$B$6</f>
        <v/>
      </c>
      <c r="H7482" s="11">
        <f>F7482*Summary!$B$7</f>
        <v/>
      </c>
      <c r="I7482" s="11">
        <f>MAX(0,N7482-M7482)</f>
        <v/>
      </c>
      <c r="J7482" s="11">
        <f>MAX(0,M7482-N7482)</f>
        <v/>
      </c>
      <c r="K7482" s="11">
        <f>O7482</f>
        <v/>
      </c>
      <c r="L7482" s="11">
        <f>L7481+IF(K7482&gt;0,K7482*Summary!$B$9,K7482/Summary!$B$9)</f>
        <v/>
      </c>
      <c r="M7482" s="11">
        <f>G7482+H7482</f>
        <v/>
      </c>
      <c r="N7482" s="11">
        <f>Summary!$C$16*Summary!$B$8</f>
        <v/>
      </c>
      <c r="O7482" s="11">
        <f>M7482-N7482</f>
        <v/>
      </c>
    </row>
    <row r="7483">
      <c r="A7483" s="9" t="n">
        <v>45603.70833333334</v>
      </c>
      <c r="B7483" t="n">
        <v>11</v>
      </c>
      <c r="C7483" t="n">
        <v>7</v>
      </c>
      <c r="D7483" t="n">
        <v>17</v>
      </c>
      <c r="E7483" s="10" t="n">
        <v>0</v>
      </c>
      <c r="F7483" s="10" t="n">
        <v>0.2527157406517778</v>
      </c>
      <c r="G7483" s="11">
        <f>E7483*Summary!$B$6</f>
        <v/>
      </c>
      <c r="H7483" s="11">
        <f>F7483*Summary!$B$7</f>
        <v/>
      </c>
      <c r="I7483" s="11">
        <f>MAX(0,N7483-M7483)</f>
        <v/>
      </c>
      <c r="J7483" s="11">
        <f>MAX(0,M7483-N7483)</f>
        <v/>
      </c>
      <c r="K7483" s="11">
        <f>O7483</f>
        <v/>
      </c>
      <c r="L7483" s="11">
        <f>L7482+IF(K7483&gt;0,K7483*Summary!$B$9,K7483/Summary!$B$9)</f>
        <v/>
      </c>
      <c r="M7483" s="11">
        <f>G7483+H7483</f>
        <v/>
      </c>
      <c r="N7483" s="11">
        <f>Summary!$C$16*Summary!$B$8</f>
        <v/>
      </c>
      <c r="O7483" s="11">
        <f>M7483-N7483</f>
        <v/>
      </c>
    </row>
    <row r="7484">
      <c r="A7484" s="9" t="n">
        <v>45603.75</v>
      </c>
      <c r="B7484" t="n">
        <v>11</v>
      </c>
      <c r="C7484" t="n">
        <v>7</v>
      </c>
      <c r="D7484" t="n">
        <v>18</v>
      </c>
      <c r="E7484" s="10" t="n">
        <v>0</v>
      </c>
      <c r="F7484" s="10" t="n">
        <v>0.2563523175245562</v>
      </c>
      <c r="G7484" s="11">
        <f>E7484*Summary!$B$6</f>
        <v/>
      </c>
      <c r="H7484" s="11">
        <f>F7484*Summary!$B$7</f>
        <v/>
      </c>
      <c r="I7484" s="11">
        <f>MAX(0,N7484-M7484)</f>
        <v/>
      </c>
      <c r="J7484" s="11">
        <f>MAX(0,M7484-N7484)</f>
        <v/>
      </c>
      <c r="K7484" s="11">
        <f>O7484</f>
        <v/>
      </c>
      <c r="L7484" s="11">
        <f>L7483+IF(K7484&gt;0,K7484*Summary!$B$9,K7484/Summary!$B$9)</f>
        <v/>
      </c>
      <c r="M7484" s="11">
        <f>G7484+H7484</f>
        <v/>
      </c>
      <c r="N7484" s="11">
        <f>Summary!$C$16*Summary!$B$8</f>
        <v/>
      </c>
      <c r="O7484" s="11">
        <f>M7484-N7484</f>
        <v/>
      </c>
    </row>
    <row r="7485">
      <c r="A7485" s="9" t="n">
        <v>45603.79166666666</v>
      </c>
      <c r="B7485" t="n">
        <v>11</v>
      </c>
      <c r="C7485" t="n">
        <v>7</v>
      </c>
      <c r="D7485" t="n">
        <v>19</v>
      </c>
      <c r="E7485" s="10" t="n">
        <v>0</v>
      </c>
      <c r="F7485" s="10" t="n">
        <v>0.2513717883292292</v>
      </c>
      <c r="G7485" s="11">
        <f>E7485*Summary!$B$6</f>
        <v/>
      </c>
      <c r="H7485" s="11">
        <f>F7485*Summary!$B$7</f>
        <v/>
      </c>
      <c r="I7485" s="11">
        <f>MAX(0,N7485-M7485)</f>
        <v/>
      </c>
      <c r="J7485" s="11">
        <f>MAX(0,M7485-N7485)</f>
        <v/>
      </c>
      <c r="K7485" s="11">
        <f>O7485</f>
        <v/>
      </c>
      <c r="L7485" s="11">
        <f>L7484+IF(K7485&gt;0,K7485*Summary!$B$9,K7485/Summary!$B$9)</f>
        <v/>
      </c>
      <c r="M7485" s="11">
        <f>G7485+H7485</f>
        <v/>
      </c>
      <c r="N7485" s="11">
        <f>Summary!$C$16*Summary!$B$8</f>
        <v/>
      </c>
      <c r="O7485" s="11">
        <f>M7485-N7485</f>
        <v/>
      </c>
    </row>
    <row r="7486">
      <c r="A7486" s="9" t="n">
        <v>45603.83333333334</v>
      </c>
      <c r="B7486" t="n">
        <v>11</v>
      </c>
      <c r="C7486" t="n">
        <v>7</v>
      </c>
      <c r="D7486" t="n">
        <v>20</v>
      </c>
      <c r="E7486" s="10" t="n">
        <v>0</v>
      </c>
      <c r="F7486" s="10" t="n">
        <v>0.2453108268745985</v>
      </c>
      <c r="G7486" s="11">
        <f>E7486*Summary!$B$6</f>
        <v/>
      </c>
      <c r="H7486" s="11">
        <f>F7486*Summary!$B$7</f>
        <v/>
      </c>
      <c r="I7486" s="11">
        <f>MAX(0,N7486-M7486)</f>
        <v/>
      </c>
      <c r="J7486" s="11">
        <f>MAX(0,M7486-N7486)</f>
        <v/>
      </c>
      <c r="K7486" s="11">
        <f>O7486</f>
        <v/>
      </c>
      <c r="L7486" s="11">
        <f>L7485+IF(K7486&gt;0,K7486*Summary!$B$9,K7486/Summary!$B$9)</f>
        <v/>
      </c>
      <c r="M7486" s="11">
        <f>G7486+H7486</f>
        <v/>
      </c>
      <c r="N7486" s="11">
        <f>Summary!$C$16*Summary!$B$8</f>
        <v/>
      </c>
      <c r="O7486" s="11">
        <f>M7486-N7486</f>
        <v/>
      </c>
    </row>
    <row r="7487">
      <c r="A7487" s="9" t="n">
        <v>45603.875</v>
      </c>
      <c r="B7487" t="n">
        <v>11</v>
      </c>
      <c r="C7487" t="n">
        <v>7</v>
      </c>
      <c r="D7487" t="n">
        <v>21</v>
      </c>
      <c r="E7487" s="10" t="n">
        <v>0</v>
      </c>
      <c r="F7487" s="10" t="n">
        <v>0.2428337382800972</v>
      </c>
      <c r="G7487" s="11">
        <f>E7487*Summary!$B$6</f>
        <v/>
      </c>
      <c r="H7487" s="11">
        <f>F7487*Summary!$B$7</f>
        <v/>
      </c>
      <c r="I7487" s="11">
        <f>MAX(0,N7487-M7487)</f>
        <v/>
      </c>
      <c r="J7487" s="11">
        <f>MAX(0,M7487-N7487)</f>
        <v/>
      </c>
      <c r="K7487" s="11">
        <f>O7487</f>
        <v/>
      </c>
      <c r="L7487" s="11">
        <f>L7486+IF(K7487&gt;0,K7487*Summary!$B$9,K7487/Summary!$B$9)</f>
        <v/>
      </c>
      <c r="M7487" s="11">
        <f>G7487+H7487</f>
        <v/>
      </c>
      <c r="N7487" s="11">
        <f>Summary!$C$16*Summary!$B$8</f>
        <v/>
      </c>
      <c r="O7487" s="11">
        <f>M7487-N7487</f>
        <v/>
      </c>
    </row>
    <row r="7488">
      <c r="A7488" s="9" t="n">
        <v>45603.91666666666</v>
      </c>
      <c r="B7488" t="n">
        <v>11</v>
      </c>
      <c r="C7488" t="n">
        <v>7</v>
      </c>
      <c r="D7488" t="n">
        <v>22</v>
      </c>
      <c r="E7488" s="10" t="n">
        <v>0</v>
      </c>
      <c r="F7488" s="10" t="n">
        <v>0.2406728737614897</v>
      </c>
      <c r="G7488" s="11">
        <f>E7488*Summary!$B$6</f>
        <v/>
      </c>
      <c r="H7488" s="11">
        <f>F7488*Summary!$B$7</f>
        <v/>
      </c>
      <c r="I7488" s="11">
        <f>MAX(0,N7488-M7488)</f>
        <v/>
      </c>
      <c r="J7488" s="11">
        <f>MAX(0,M7488-N7488)</f>
        <v/>
      </c>
      <c r="K7488" s="11">
        <f>O7488</f>
        <v/>
      </c>
      <c r="L7488" s="11">
        <f>L7487+IF(K7488&gt;0,K7488*Summary!$B$9,K7488/Summary!$B$9)</f>
        <v/>
      </c>
      <c r="M7488" s="11">
        <f>G7488+H7488</f>
        <v/>
      </c>
      <c r="N7488" s="11">
        <f>Summary!$C$16*Summary!$B$8</f>
        <v/>
      </c>
      <c r="O7488" s="11">
        <f>M7488-N7488</f>
        <v/>
      </c>
    </row>
    <row r="7489">
      <c r="A7489" s="9" t="n">
        <v>45603.95833333334</v>
      </c>
      <c r="B7489" t="n">
        <v>11</v>
      </c>
      <c r="C7489" t="n">
        <v>7</v>
      </c>
      <c r="D7489" t="n">
        <v>23</v>
      </c>
      <c r="E7489" s="10" t="n">
        <v>0</v>
      </c>
      <c r="F7489" s="10" t="n">
        <v>0.2374579289899029</v>
      </c>
      <c r="G7489" s="11">
        <f>E7489*Summary!$B$6</f>
        <v/>
      </c>
      <c r="H7489" s="11">
        <f>F7489*Summary!$B$7</f>
        <v/>
      </c>
      <c r="I7489" s="11">
        <f>MAX(0,N7489-M7489)</f>
        <v/>
      </c>
      <c r="J7489" s="11">
        <f>MAX(0,M7489-N7489)</f>
        <v/>
      </c>
      <c r="K7489" s="11">
        <f>O7489</f>
        <v/>
      </c>
      <c r="L7489" s="11">
        <f>L7488+IF(K7489&gt;0,K7489*Summary!$B$9,K7489/Summary!$B$9)</f>
        <v/>
      </c>
      <c r="M7489" s="11">
        <f>G7489+H7489</f>
        <v/>
      </c>
      <c r="N7489" s="11">
        <f>Summary!$C$16*Summary!$B$8</f>
        <v/>
      </c>
      <c r="O7489" s="11">
        <f>M7489-N7489</f>
        <v/>
      </c>
    </row>
    <row r="7490">
      <c r="A7490" s="9" t="n">
        <v>45604</v>
      </c>
      <c r="B7490" t="n">
        <v>11</v>
      </c>
      <c r="C7490" t="n">
        <v>8</v>
      </c>
      <c r="D7490" t="n">
        <v>0</v>
      </c>
      <c r="E7490" s="10" t="n">
        <v>0</v>
      </c>
      <c r="F7490" s="10" t="n">
        <v>0.2077592178622123</v>
      </c>
      <c r="G7490" s="11">
        <f>E7490*Summary!$B$6</f>
        <v/>
      </c>
      <c r="H7490" s="11">
        <f>F7490*Summary!$B$7</f>
        <v/>
      </c>
      <c r="I7490" s="11">
        <f>MAX(0,N7490-M7490)</f>
        <v/>
      </c>
      <c r="J7490" s="11">
        <f>MAX(0,M7490-N7490)</f>
        <v/>
      </c>
      <c r="K7490" s="11">
        <f>O7490</f>
        <v/>
      </c>
      <c r="L7490" s="11">
        <f>L7489+IF(K7490&gt;0,K7490*Summary!$B$9,K7490/Summary!$B$9)</f>
        <v/>
      </c>
      <c r="M7490" s="11">
        <f>G7490+H7490</f>
        <v/>
      </c>
      <c r="N7490" s="11">
        <f>Summary!$C$16*Summary!$B$8</f>
        <v/>
      </c>
      <c r="O7490" s="11">
        <f>M7490-N7490</f>
        <v/>
      </c>
    </row>
    <row r="7491">
      <c r="A7491" s="9" t="n">
        <v>45604.04166666666</v>
      </c>
      <c r="B7491" t="n">
        <v>11</v>
      </c>
      <c r="C7491" t="n">
        <v>8</v>
      </c>
      <c r="D7491" t="n">
        <v>1</v>
      </c>
      <c r="E7491" s="10" t="n">
        <v>0</v>
      </c>
      <c r="F7491" s="10" t="n">
        <v>0.2276813346435203</v>
      </c>
      <c r="G7491" s="11">
        <f>E7491*Summary!$B$6</f>
        <v/>
      </c>
      <c r="H7491" s="11">
        <f>F7491*Summary!$B$7</f>
        <v/>
      </c>
      <c r="I7491" s="11">
        <f>MAX(0,N7491-M7491)</f>
        <v/>
      </c>
      <c r="J7491" s="11">
        <f>MAX(0,M7491-N7491)</f>
        <v/>
      </c>
      <c r="K7491" s="11">
        <f>O7491</f>
        <v/>
      </c>
      <c r="L7491" s="11">
        <f>L7490+IF(K7491&gt;0,K7491*Summary!$B$9,K7491/Summary!$B$9)</f>
        <v/>
      </c>
      <c r="M7491" s="11">
        <f>G7491+H7491</f>
        <v/>
      </c>
      <c r="N7491" s="11">
        <f>Summary!$C$16*Summary!$B$8</f>
        <v/>
      </c>
      <c r="O7491" s="11">
        <f>M7491-N7491</f>
        <v/>
      </c>
    </row>
    <row r="7492">
      <c r="A7492" s="9" t="n">
        <v>45604.08333333334</v>
      </c>
      <c r="B7492" t="n">
        <v>11</v>
      </c>
      <c r="C7492" t="n">
        <v>8</v>
      </c>
      <c r="D7492" t="n">
        <v>2</v>
      </c>
      <c r="E7492" s="10" t="n">
        <v>0</v>
      </c>
      <c r="F7492" s="10" t="n">
        <v>0.2166925480062115</v>
      </c>
      <c r="G7492" s="11">
        <f>E7492*Summary!$B$6</f>
        <v/>
      </c>
      <c r="H7492" s="11">
        <f>F7492*Summary!$B$7</f>
        <v/>
      </c>
      <c r="I7492" s="11">
        <f>MAX(0,N7492-M7492)</f>
        <v/>
      </c>
      <c r="J7492" s="11">
        <f>MAX(0,M7492-N7492)</f>
        <v/>
      </c>
      <c r="K7492" s="11">
        <f>O7492</f>
        <v/>
      </c>
      <c r="L7492" s="11">
        <f>L7491+IF(K7492&gt;0,K7492*Summary!$B$9,K7492/Summary!$B$9)</f>
        <v/>
      </c>
      <c r="M7492" s="11">
        <f>G7492+H7492</f>
        <v/>
      </c>
      <c r="N7492" s="11">
        <f>Summary!$C$16*Summary!$B$8</f>
        <v/>
      </c>
      <c r="O7492" s="11">
        <f>M7492-N7492</f>
        <v/>
      </c>
    </row>
    <row r="7493">
      <c r="A7493" s="9" t="n">
        <v>45604.125</v>
      </c>
      <c r="B7493" t="n">
        <v>11</v>
      </c>
      <c r="C7493" t="n">
        <v>8</v>
      </c>
      <c r="D7493" t="n">
        <v>3</v>
      </c>
      <c r="E7493" s="10" t="n">
        <v>0</v>
      </c>
      <c r="F7493" s="10" t="n">
        <v>0.2054665933119824</v>
      </c>
      <c r="G7493" s="11">
        <f>E7493*Summary!$B$6</f>
        <v/>
      </c>
      <c r="H7493" s="11">
        <f>F7493*Summary!$B$7</f>
        <v/>
      </c>
      <c r="I7493" s="11">
        <f>MAX(0,N7493-M7493)</f>
        <v/>
      </c>
      <c r="J7493" s="11">
        <f>MAX(0,M7493-N7493)</f>
        <v/>
      </c>
      <c r="K7493" s="11">
        <f>O7493</f>
        <v/>
      </c>
      <c r="L7493" s="11">
        <f>L7492+IF(K7493&gt;0,K7493*Summary!$B$9,K7493/Summary!$B$9)</f>
        <v/>
      </c>
      <c r="M7493" s="11">
        <f>G7493+H7493</f>
        <v/>
      </c>
      <c r="N7493" s="11">
        <f>Summary!$C$16*Summary!$B$8</f>
        <v/>
      </c>
      <c r="O7493" s="11">
        <f>M7493-N7493</f>
        <v/>
      </c>
    </row>
    <row r="7494">
      <c r="A7494" s="9" t="n">
        <v>45604.16666666666</v>
      </c>
      <c r="B7494" t="n">
        <v>11</v>
      </c>
      <c r="C7494" t="n">
        <v>8</v>
      </c>
      <c r="D7494" t="n">
        <v>4</v>
      </c>
      <c r="E7494" s="10" t="n">
        <v>0</v>
      </c>
      <c r="F7494" s="10" t="n">
        <v>0.197402879376691</v>
      </c>
      <c r="G7494" s="11">
        <f>E7494*Summary!$B$6</f>
        <v/>
      </c>
      <c r="H7494" s="11">
        <f>F7494*Summary!$B$7</f>
        <v/>
      </c>
      <c r="I7494" s="11">
        <f>MAX(0,N7494-M7494)</f>
        <v/>
      </c>
      <c r="J7494" s="11">
        <f>MAX(0,M7494-N7494)</f>
        <v/>
      </c>
      <c r="K7494" s="11">
        <f>O7494</f>
        <v/>
      </c>
      <c r="L7494" s="11">
        <f>L7493+IF(K7494&gt;0,K7494*Summary!$B$9,K7494/Summary!$B$9)</f>
        <v/>
      </c>
      <c r="M7494" s="11">
        <f>G7494+H7494</f>
        <v/>
      </c>
      <c r="N7494" s="11">
        <f>Summary!$C$16*Summary!$B$8</f>
        <v/>
      </c>
      <c r="O7494" s="11">
        <f>M7494-N7494</f>
        <v/>
      </c>
    </row>
    <row r="7495">
      <c r="A7495" s="9" t="n">
        <v>45604.20833333334</v>
      </c>
      <c r="B7495" t="n">
        <v>11</v>
      </c>
      <c r="C7495" t="n">
        <v>8</v>
      </c>
      <c r="D7495" t="n">
        <v>5</v>
      </c>
      <c r="E7495" s="10" t="n">
        <v>0</v>
      </c>
      <c r="F7495" s="10" t="n">
        <v>0.1979035674968562</v>
      </c>
      <c r="G7495" s="11">
        <f>E7495*Summary!$B$6</f>
        <v/>
      </c>
      <c r="H7495" s="11">
        <f>F7495*Summary!$B$7</f>
        <v/>
      </c>
      <c r="I7495" s="11">
        <f>MAX(0,N7495-M7495)</f>
        <v/>
      </c>
      <c r="J7495" s="11">
        <f>MAX(0,M7495-N7495)</f>
        <v/>
      </c>
      <c r="K7495" s="11">
        <f>O7495</f>
        <v/>
      </c>
      <c r="L7495" s="11">
        <f>L7494+IF(K7495&gt;0,K7495*Summary!$B$9,K7495/Summary!$B$9)</f>
        <v/>
      </c>
      <c r="M7495" s="11">
        <f>G7495+H7495</f>
        <v/>
      </c>
      <c r="N7495" s="11">
        <f>Summary!$C$16*Summary!$B$8</f>
        <v/>
      </c>
      <c r="O7495" s="11">
        <f>M7495-N7495</f>
        <v/>
      </c>
    </row>
    <row r="7496">
      <c r="A7496" s="9" t="n">
        <v>45604.25</v>
      </c>
      <c r="B7496" t="n">
        <v>11</v>
      </c>
      <c r="C7496" t="n">
        <v>8</v>
      </c>
      <c r="D7496" t="n">
        <v>6</v>
      </c>
      <c r="E7496" s="10" t="n">
        <v>0</v>
      </c>
      <c r="F7496" s="10" t="n">
        <v>0.1977191034525848</v>
      </c>
      <c r="G7496" s="11">
        <f>E7496*Summary!$B$6</f>
        <v/>
      </c>
      <c r="H7496" s="11">
        <f>F7496*Summary!$B$7</f>
        <v/>
      </c>
      <c r="I7496" s="11">
        <f>MAX(0,N7496-M7496)</f>
        <v/>
      </c>
      <c r="J7496" s="11">
        <f>MAX(0,M7496-N7496)</f>
        <v/>
      </c>
      <c r="K7496" s="11">
        <f>O7496</f>
        <v/>
      </c>
      <c r="L7496" s="11">
        <f>L7495+IF(K7496&gt;0,K7496*Summary!$B$9,K7496/Summary!$B$9)</f>
        <v/>
      </c>
      <c r="M7496" s="11">
        <f>G7496+H7496</f>
        <v/>
      </c>
      <c r="N7496" s="11">
        <f>Summary!$C$16*Summary!$B$8</f>
        <v/>
      </c>
      <c r="O7496" s="11">
        <f>M7496-N7496</f>
        <v/>
      </c>
    </row>
    <row r="7497">
      <c r="A7497" s="9" t="n">
        <v>45604.29166666666</v>
      </c>
      <c r="B7497" t="n">
        <v>11</v>
      </c>
      <c r="C7497" t="n">
        <v>8</v>
      </c>
      <c r="D7497" t="n">
        <v>7</v>
      </c>
      <c r="E7497" s="10" t="n">
        <v>0</v>
      </c>
      <c r="F7497" s="10" t="n">
        <v>0.1964015031363608</v>
      </c>
      <c r="G7497" s="11">
        <f>E7497*Summary!$B$6</f>
        <v/>
      </c>
      <c r="H7497" s="11">
        <f>F7497*Summary!$B$7</f>
        <v/>
      </c>
      <c r="I7497" s="11">
        <f>MAX(0,N7497-M7497)</f>
        <v/>
      </c>
      <c r="J7497" s="11">
        <f>MAX(0,M7497-N7497)</f>
        <v/>
      </c>
      <c r="K7497" s="11">
        <f>O7497</f>
        <v/>
      </c>
      <c r="L7497" s="11">
        <f>L7496+IF(K7497&gt;0,K7497*Summary!$B$9,K7497/Summary!$B$9)</f>
        <v/>
      </c>
      <c r="M7497" s="11">
        <f>G7497+H7497</f>
        <v/>
      </c>
      <c r="N7497" s="11">
        <f>Summary!$C$16*Summary!$B$8</f>
        <v/>
      </c>
      <c r="O7497" s="11">
        <f>M7497-N7497</f>
        <v/>
      </c>
    </row>
    <row r="7498">
      <c r="A7498" s="9" t="n">
        <v>45604.33333333334</v>
      </c>
      <c r="B7498" t="n">
        <v>11</v>
      </c>
      <c r="C7498" t="n">
        <v>8</v>
      </c>
      <c r="D7498" t="n">
        <v>8</v>
      </c>
      <c r="E7498" s="10" t="n">
        <v>0.014157</v>
      </c>
      <c r="F7498" s="10" t="n">
        <v>0.1866512607963026</v>
      </c>
      <c r="G7498" s="11">
        <f>E7498*Summary!$B$6</f>
        <v/>
      </c>
      <c r="H7498" s="11">
        <f>F7498*Summary!$B$7</f>
        <v/>
      </c>
      <c r="I7498" s="11">
        <f>MAX(0,N7498-M7498)</f>
        <v/>
      </c>
      <c r="J7498" s="11">
        <f>MAX(0,M7498-N7498)</f>
        <v/>
      </c>
      <c r="K7498" s="11">
        <f>O7498</f>
        <v/>
      </c>
      <c r="L7498" s="11">
        <f>L7497+IF(K7498&gt;0,K7498*Summary!$B$9,K7498/Summary!$B$9)</f>
        <v/>
      </c>
      <c r="M7498" s="11">
        <f>G7498+H7498</f>
        <v/>
      </c>
      <c r="N7498" s="11">
        <f>Summary!$C$16*Summary!$B$8</f>
        <v/>
      </c>
      <c r="O7498" s="11">
        <f>M7498-N7498</f>
        <v/>
      </c>
    </row>
    <row r="7499">
      <c r="A7499" s="9" t="n">
        <v>45604.375</v>
      </c>
      <c r="B7499" t="n">
        <v>11</v>
      </c>
      <c r="C7499" t="n">
        <v>8</v>
      </c>
      <c r="D7499" t="n">
        <v>9</v>
      </c>
      <c r="E7499" s="10" t="n">
        <v>0.024307</v>
      </c>
      <c r="F7499" s="10" t="n">
        <v>0.1756361221526693</v>
      </c>
      <c r="G7499" s="11">
        <f>E7499*Summary!$B$6</f>
        <v/>
      </c>
      <c r="H7499" s="11">
        <f>F7499*Summary!$B$7</f>
        <v/>
      </c>
      <c r="I7499" s="11">
        <f>MAX(0,N7499-M7499)</f>
        <v/>
      </c>
      <c r="J7499" s="11">
        <f>MAX(0,M7499-N7499)</f>
        <v/>
      </c>
      <c r="K7499" s="11">
        <f>O7499</f>
        <v/>
      </c>
      <c r="L7499" s="11">
        <f>L7498+IF(K7499&gt;0,K7499*Summary!$B$9,K7499/Summary!$B$9)</f>
        <v/>
      </c>
      <c r="M7499" s="11">
        <f>G7499+H7499</f>
        <v/>
      </c>
      <c r="N7499" s="11">
        <f>Summary!$C$16*Summary!$B$8</f>
        <v/>
      </c>
      <c r="O7499" s="11">
        <f>M7499-N7499</f>
        <v/>
      </c>
    </row>
    <row r="7500">
      <c r="A7500" s="9" t="n">
        <v>45604.41666666666</v>
      </c>
      <c r="B7500" t="n">
        <v>11</v>
      </c>
      <c r="C7500" t="n">
        <v>8</v>
      </c>
      <c r="D7500" t="n">
        <v>10</v>
      </c>
      <c r="E7500" s="10" t="n">
        <v>0.027503</v>
      </c>
      <c r="F7500" s="10" t="n">
        <v>0.1645682794963871</v>
      </c>
      <c r="G7500" s="11">
        <f>E7500*Summary!$B$6</f>
        <v/>
      </c>
      <c r="H7500" s="11">
        <f>F7500*Summary!$B$7</f>
        <v/>
      </c>
      <c r="I7500" s="11">
        <f>MAX(0,N7500-M7500)</f>
        <v/>
      </c>
      <c r="J7500" s="11">
        <f>MAX(0,M7500-N7500)</f>
        <v/>
      </c>
      <c r="K7500" s="11">
        <f>O7500</f>
        <v/>
      </c>
      <c r="L7500" s="11">
        <f>L7499+IF(K7500&gt;0,K7500*Summary!$B$9,K7500/Summary!$B$9)</f>
        <v/>
      </c>
      <c r="M7500" s="11">
        <f>G7500+H7500</f>
        <v/>
      </c>
      <c r="N7500" s="11">
        <f>Summary!$C$16*Summary!$B$8</f>
        <v/>
      </c>
      <c r="O7500" s="11">
        <f>M7500-N7500</f>
        <v/>
      </c>
    </row>
    <row r="7501">
      <c r="A7501" s="9" t="n">
        <v>45604.45833333334</v>
      </c>
      <c r="B7501" t="n">
        <v>11</v>
      </c>
      <c r="C7501" t="n">
        <v>8</v>
      </c>
      <c r="D7501" t="n">
        <v>11</v>
      </c>
      <c r="E7501" s="10" t="n">
        <v>0.027255</v>
      </c>
      <c r="F7501" s="10" t="n">
        <v>0.1538166609159986</v>
      </c>
      <c r="G7501" s="11">
        <f>E7501*Summary!$B$6</f>
        <v/>
      </c>
      <c r="H7501" s="11">
        <f>F7501*Summary!$B$7</f>
        <v/>
      </c>
      <c r="I7501" s="11">
        <f>MAX(0,N7501-M7501)</f>
        <v/>
      </c>
      <c r="J7501" s="11">
        <f>MAX(0,M7501-N7501)</f>
        <v/>
      </c>
      <c r="K7501" s="11">
        <f>O7501</f>
        <v/>
      </c>
      <c r="L7501" s="11">
        <f>L7500+IF(K7501&gt;0,K7501*Summary!$B$9,K7501/Summary!$B$9)</f>
        <v/>
      </c>
      <c r="M7501" s="11">
        <f>G7501+H7501</f>
        <v/>
      </c>
      <c r="N7501" s="11">
        <f>Summary!$C$16*Summary!$B$8</f>
        <v/>
      </c>
      <c r="O7501" s="11">
        <f>M7501-N7501</f>
        <v/>
      </c>
    </row>
    <row r="7502">
      <c r="A7502" s="9" t="n">
        <v>45604.5</v>
      </c>
      <c r="B7502" t="n">
        <v>11</v>
      </c>
      <c r="C7502" t="n">
        <v>8</v>
      </c>
      <c r="D7502" t="n">
        <v>12</v>
      </c>
      <c r="E7502" s="10" t="n">
        <v>0.034158</v>
      </c>
      <c r="F7502" s="10" t="n">
        <v>0.1494422278661347</v>
      </c>
      <c r="G7502" s="11">
        <f>E7502*Summary!$B$6</f>
        <v/>
      </c>
      <c r="H7502" s="11">
        <f>F7502*Summary!$B$7</f>
        <v/>
      </c>
      <c r="I7502" s="11">
        <f>MAX(0,N7502-M7502)</f>
        <v/>
      </c>
      <c r="J7502" s="11">
        <f>MAX(0,M7502-N7502)</f>
        <v/>
      </c>
      <c r="K7502" s="11">
        <f>O7502</f>
        <v/>
      </c>
      <c r="L7502" s="11">
        <f>L7501+IF(K7502&gt;0,K7502*Summary!$B$9,K7502/Summary!$B$9)</f>
        <v/>
      </c>
      <c r="M7502" s="11">
        <f>G7502+H7502</f>
        <v/>
      </c>
      <c r="N7502" s="11">
        <f>Summary!$C$16*Summary!$B$8</f>
        <v/>
      </c>
      <c r="O7502" s="11">
        <f>M7502-N7502</f>
        <v/>
      </c>
    </row>
    <row r="7503">
      <c r="A7503" s="9" t="n">
        <v>45604.54166666666</v>
      </c>
      <c r="B7503" t="n">
        <v>11</v>
      </c>
      <c r="C7503" t="n">
        <v>8</v>
      </c>
      <c r="D7503" t="n">
        <v>13</v>
      </c>
      <c r="E7503" s="10" t="n">
        <v>0.030507</v>
      </c>
      <c r="F7503" s="10" t="n">
        <v>0.1466225631894152</v>
      </c>
      <c r="G7503" s="11">
        <f>E7503*Summary!$B$6</f>
        <v/>
      </c>
      <c r="H7503" s="11">
        <f>F7503*Summary!$B$7</f>
        <v/>
      </c>
      <c r="I7503" s="11">
        <f>MAX(0,N7503-M7503)</f>
        <v/>
      </c>
      <c r="J7503" s="11">
        <f>MAX(0,M7503-N7503)</f>
        <v/>
      </c>
      <c r="K7503" s="11">
        <f>O7503</f>
        <v/>
      </c>
      <c r="L7503" s="11">
        <f>L7502+IF(K7503&gt;0,K7503*Summary!$B$9,K7503/Summary!$B$9)</f>
        <v/>
      </c>
      <c r="M7503" s="11">
        <f>G7503+H7503</f>
        <v/>
      </c>
      <c r="N7503" s="11">
        <f>Summary!$C$16*Summary!$B$8</f>
        <v/>
      </c>
      <c r="O7503" s="11">
        <f>M7503-N7503</f>
        <v/>
      </c>
    </row>
    <row r="7504">
      <c r="A7504" s="9" t="n">
        <v>45604.58333333334</v>
      </c>
      <c r="B7504" t="n">
        <v>11</v>
      </c>
      <c r="C7504" t="n">
        <v>8</v>
      </c>
      <c r="D7504" t="n">
        <v>14</v>
      </c>
      <c r="E7504" s="10" t="n">
        <v>0.036922</v>
      </c>
      <c r="F7504" s="10" t="n">
        <v>0.1452522588605421</v>
      </c>
      <c r="G7504" s="11">
        <f>E7504*Summary!$B$6</f>
        <v/>
      </c>
      <c r="H7504" s="11">
        <f>F7504*Summary!$B$7</f>
        <v/>
      </c>
      <c r="I7504" s="11">
        <f>MAX(0,N7504-M7504)</f>
        <v/>
      </c>
      <c r="J7504" s="11">
        <f>MAX(0,M7504-N7504)</f>
        <v/>
      </c>
      <c r="K7504" s="11">
        <f>O7504</f>
        <v/>
      </c>
      <c r="L7504" s="11">
        <f>L7503+IF(K7504&gt;0,K7504*Summary!$B$9,K7504/Summary!$B$9)</f>
        <v/>
      </c>
      <c r="M7504" s="11">
        <f>G7504+H7504</f>
        <v/>
      </c>
      <c r="N7504" s="11">
        <f>Summary!$C$16*Summary!$B$8</f>
        <v/>
      </c>
      <c r="O7504" s="11">
        <f>M7504-N7504</f>
        <v/>
      </c>
    </row>
    <row r="7505">
      <c r="A7505" s="9" t="n">
        <v>45604.625</v>
      </c>
      <c r="B7505" t="n">
        <v>11</v>
      </c>
      <c r="C7505" t="n">
        <v>8</v>
      </c>
      <c r="D7505" t="n">
        <v>15</v>
      </c>
      <c r="E7505" s="10" t="n">
        <v>0.012758</v>
      </c>
      <c r="F7505" s="10" t="n">
        <v>0.1499692679926243</v>
      </c>
      <c r="G7505" s="11">
        <f>E7505*Summary!$B$6</f>
        <v/>
      </c>
      <c r="H7505" s="11">
        <f>F7505*Summary!$B$7</f>
        <v/>
      </c>
      <c r="I7505" s="11">
        <f>MAX(0,N7505-M7505)</f>
        <v/>
      </c>
      <c r="J7505" s="11">
        <f>MAX(0,M7505-N7505)</f>
        <v/>
      </c>
      <c r="K7505" s="11">
        <f>O7505</f>
        <v/>
      </c>
      <c r="L7505" s="11">
        <f>L7504+IF(K7505&gt;0,K7505*Summary!$B$9,K7505/Summary!$B$9)</f>
        <v/>
      </c>
      <c r="M7505" s="11">
        <f>G7505+H7505</f>
        <v/>
      </c>
      <c r="N7505" s="11">
        <f>Summary!$C$16*Summary!$B$8</f>
        <v/>
      </c>
      <c r="O7505" s="11">
        <f>M7505-N7505</f>
        <v/>
      </c>
    </row>
    <row r="7506">
      <c r="A7506" s="9" t="n">
        <v>45604.66666666666</v>
      </c>
      <c r="B7506" t="n">
        <v>11</v>
      </c>
      <c r="C7506" t="n">
        <v>8</v>
      </c>
      <c r="D7506" t="n">
        <v>16</v>
      </c>
      <c r="E7506" s="10" t="n">
        <v>0</v>
      </c>
      <c r="F7506" s="10" t="n">
        <v>0.1589025981366236</v>
      </c>
      <c r="G7506" s="11">
        <f>E7506*Summary!$B$6</f>
        <v/>
      </c>
      <c r="H7506" s="11">
        <f>F7506*Summary!$B$7</f>
        <v/>
      </c>
      <c r="I7506" s="11">
        <f>MAX(0,N7506-M7506)</f>
        <v/>
      </c>
      <c r="J7506" s="11">
        <f>MAX(0,M7506-N7506)</f>
        <v/>
      </c>
      <c r="K7506" s="11">
        <f>O7506</f>
        <v/>
      </c>
      <c r="L7506" s="11">
        <f>L7505+IF(K7506&gt;0,K7506*Summary!$B$9,K7506/Summary!$B$9)</f>
        <v/>
      </c>
      <c r="M7506" s="11">
        <f>G7506+H7506</f>
        <v/>
      </c>
      <c r="N7506" s="11">
        <f>Summary!$C$16*Summary!$B$8</f>
        <v/>
      </c>
      <c r="O7506" s="11">
        <f>M7506-N7506</f>
        <v/>
      </c>
    </row>
    <row r="7507">
      <c r="A7507" s="9" t="n">
        <v>45604.70833333334</v>
      </c>
      <c r="B7507" t="n">
        <v>11</v>
      </c>
      <c r="C7507" t="n">
        <v>8</v>
      </c>
      <c r="D7507" t="n">
        <v>17</v>
      </c>
      <c r="E7507" s="10" t="n">
        <v>0</v>
      </c>
      <c r="F7507" s="10" t="n">
        <v>0.1632243271738385</v>
      </c>
      <c r="G7507" s="11">
        <f>E7507*Summary!$B$6</f>
        <v/>
      </c>
      <c r="H7507" s="11">
        <f>F7507*Summary!$B$7</f>
        <v/>
      </c>
      <c r="I7507" s="11">
        <f>MAX(0,N7507-M7507)</f>
        <v/>
      </c>
      <c r="J7507" s="11">
        <f>MAX(0,M7507-N7507)</f>
        <v/>
      </c>
      <c r="K7507" s="11">
        <f>O7507</f>
        <v/>
      </c>
      <c r="L7507" s="11">
        <f>L7506+IF(K7507&gt;0,K7507*Summary!$B$9,K7507/Summary!$B$9)</f>
        <v/>
      </c>
      <c r="M7507" s="11">
        <f>G7507+H7507</f>
        <v/>
      </c>
      <c r="N7507" s="11">
        <f>Summary!$C$16*Summary!$B$8</f>
        <v/>
      </c>
      <c r="O7507" s="11">
        <f>M7507-N7507</f>
        <v/>
      </c>
    </row>
    <row r="7508">
      <c r="A7508" s="9" t="n">
        <v>45604.75</v>
      </c>
      <c r="B7508" t="n">
        <v>11</v>
      </c>
      <c r="C7508" t="n">
        <v>8</v>
      </c>
      <c r="D7508" t="n">
        <v>18</v>
      </c>
      <c r="E7508" s="10" t="n">
        <v>0</v>
      </c>
      <c r="F7508" s="10" t="n">
        <v>0.1686001364640327</v>
      </c>
      <c r="G7508" s="11">
        <f>E7508*Summary!$B$6</f>
        <v/>
      </c>
      <c r="H7508" s="11">
        <f>F7508*Summary!$B$7</f>
        <v/>
      </c>
      <c r="I7508" s="11">
        <f>MAX(0,N7508-M7508)</f>
        <v/>
      </c>
      <c r="J7508" s="11">
        <f>MAX(0,M7508-N7508)</f>
        <v/>
      </c>
      <c r="K7508" s="11">
        <f>O7508</f>
        <v/>
      </c>
      <c r="L7508" s="11">
        <f>L7507+IF(K7508&gt;0,K7508*Summary!$B$9,K7508/Summary!$B$9)</f>
        <v/>
      </c>
      <c r="M7508" s="11">
        <f>G7508+H7508</f>
        <v/>
      </c>
      <c r="N7508" s="11">
        <f>Summary!$C$16*Summary!$B$8</f>
        <v/>
      </c>
      <c r="O7508" s="11">
        <f>M7508-N7508</f>
        <v/>
      </c>
    </row>
    <row r="7509">
      <c r="A7509" s="9" t="n">
        <v>45604.79166666666</v>
      </c>
      <c r="B7509" t="n">
        <v>11</v>
      </c>
      <c r="C7509" t="n">
        <v>8</v>
      </c>
      <c r="D7509" t="n">
        <v>19</v>
      </c>
      <c r="E7509" s="10" t="n">
        <v>0</v>
      </c>
      <c r="F7509" s="10" t="n">
        <v>0.169601512704363</v>
      </c>
      <c r="G7509" s="11">
        <f>E7509*Summary!$B$6</f>
        <v/>
      </c>
      <c r="H7509" s="11">
        <f>F7509*Summary!$B$7</f>
        <v/>
      </c>
      <c r="I7509" s="11">
        <f>MAX(0,N7509-M7509)</f>
        <v/>
      </c>
      <c r="J7509" s="11">
        <f>MAX(0,M7509-N7509)</f>
        <v/>
      </c>
      <c r="K7509" s="11">
        <f>O7509</f>
        <v/>
      </c>
      <c r="L7509" s="11">
        <f>L7508+IF(K7509&gt;0,K7509*Summary!$B$9,K7509/Summary!$B$9)</f>
        <v/>
      </c>
      <c r="M7509" s="11">
        <f>G7509+H7509</f>
        <v/>
      </c>
      <c r="N7509" s="11">
        <f>Summary!$C$16*Summary!$B$8</f>
        <v/>
      </c>
      <c r="O7509" s="11">
        <f>M7509-N7509</f>
        <v/>
      </c>
    </row>
    <row r="7510">
      <c r="A7510" s="9" t="n">
        <v>45604.83333333334</v>
      </c>
      <c r="B7510" t="n">
        <v>11</v>
      </c>
      <c r="C7510" t="n">
        <v>8</v>
      </c>
      <c r="D7510" t="n">
        <v>20</v>
      </c>
      <c r="E7510" s="10" t="n">
        <v>0</v>
      </c>
      <c r="F7510" s="10" t="n">
        <v>0.1757415301779672</v>
      </c>
      <c r="G7510" s="11">
        <f>E7510*Summary!$B$6</f>
        <v/>
      </c>
      <c r="H7510" s="11">
        <f>F7510*Summary!$B$7</f>
        <v/>
      </c>
      <c r="I7510" s="11">
        <f>MAX(0,N7510-M7510)</f>
        <v/>
      </c>
      <c r="J7510" s="11">
        <f>MAX(0,M7510-N7510)</f>
        <v/>
      </c>
      <c r="K7510" s="11">
        <f>O7510</f>
        <v/>
      </c>
      <c r="L7510" s="11">
        <f>L7509+IF(K7510&gt;0,K7510*Summary!$B$9,K7510/Summary!$B$9)</f>
        <v/>
      </c>
      <c r="M7510" s="11">
        <f>G7510+H7510</f>
        <v/>
      </c>
      <c r="N7510" s="11">
        <f>Summary!$C$16*Summary!$B$8</f>
        <v/>
      </c>
      <c r="O7510" s="11">
        <f>M7510-N7510</f>
        <v/>
      </c>
    </row>
    <row r="7511">
      <c r="A7511" s="9" t="n">
        <v>45604.875</v>
      </c>
      <c r="B7511" t="n">
        <v>11</v>
      </c>
      <c r="C7511" t="n">
        <v>8</v>
      </c>
      <c r="D7511" t="n">
        <v>21</v>
      </c>
      <c r="E7511" s="10" t="n">
        <v>0</v>
      </c>
      <c r="F7511" s="10" t="n">
        <v>0.1808801714112411</v>
      </c>
      <c r="G7511" s="11">
        <f>E7511*Summary!$B$6</f>
        <v/>
      </c>
      <c r="H7511" s="11">
        <f>F7511*Summary!$B$7</f>
        <v/>
      </c>
      <c r="I7511" s="11">
        <f>MAX(0,N7511-M7511)</f>
        <v/>
      </c>
      <c r="J7511" s="11">
        <f>MAX(0,M7511-N7511)</f>
        <v/>
      </c>
      <c r="K7511" s="11">
        <f>O7511</f>
        <v/>
      </c>
      <c r="L7511" s="11">
        <f>L7510+IF(K7511&gt;0,K7511*Summary!$B$9,K7511/Summary!$B$9)</f>
        <v/>
      </c>
      <c r="M7511" s="11">
        <f>G7511+H7511</f>
        <v/>
      </c>
      <c r="N7511" s="11">
        <f>Summary!$C$16*Summary!$B$8</f>
        <v/>
      </c>
      <c r="O7511" s="11">
        <f>M7511-N7511</f>
        <v/>
      </c>
    </row>
    <row r="7512">
      <c r="A7512" s="9" t="n">
        <v>45604.91666666666</v>
      </c>
      <c r="B7512" t="n">
        <v>11</v>
      </c>
      <c r="C7512" t="n">
        <v>8</v>
      </c>
      <c r="D7512" t="n">
        <v>22</v>
      </c>
      <c r="E7512" s="10" t="n">
        <v>0</v>
      </c>
      <c r="F7512" s="10" t="n">
        <v>0.1841478201954768</v>
      </c>
      <c r="G7512" s="11">
        <f>E7512*Summary!$B$6</f>
        <v/>
      </c>
      <c r="H7512" s="11">
        <f>F7512*Summary!$B$7</f>
        <v/>
      </c>
      <c r="I7512" s="11">
        <f>MAX(0,N7512-M7512)</f>
        <v/>
      </c>
      <c r="J7512" s="11">
        <f>MAX(0,M7512-N7512)</f>
        <v/>
      </c>
      <c r="K7512" s="11">
        <f>O7512</f>
        <v/>
      </c>
      <c r="L7512" s="11">
        <f>L7511+IF(K7512&gt;0,K7512*Summary!$B$9,K7512/Summary!$B$9)</f>
        <v/>
      </c>
      <c r="M7512" s="11">
        <f>G7512+H7512</f>
        <v/>
      </c>
      <c r="N7512" s="11">
        <f>Summary!$C$16*Summary!$B$8</f>
        <v/>
      </c>
      <c r="O7512" s="11">
        <f>M7512-N7512</f>
        <v/>
      </c>
    </row>
    <row r="7513">
      <c r="A7513" s="9" t="n">
        <v>45604.95833333334</v>
      </c>
      <c r="B7513" t="n">
        <v>11</v>
      </c>
      <c r="C7513" t="n">
        <v>8</v>
      </c>
      <c r="D7513" t="n">
        <v>23</v>
      </c>
      <c r="E7513" s="10" t="n">
        <v>0</v>
      </c>
      <c r="F7513" s="10" t="n">
        <v>0.1960062230414935</v>
      </c>
      <c r="G7513" s="11">
        <f>E7513*Summary!$B$6</f>
        <v/>
      </c>
      <c r="H7513" s="11">
        <f>F7513*Summary!$B$7</f>
        <v/>
      </c>
      <c r="I7513" s="11">
        <f>MAX(0,N7513-M7513)</f>
        <v/>
      </c>
      <c r="J7513" s="11">
        <f>MAX(0,M7513-N7513)</f>
        <v/>
      </c>
      <c r="K7513" s="11">
        <f>O7513</f>
        <v/>
      </c>
      <c r="L7513" s="11">
        <f>L7512+IF(K7513&gt;0,K7513*Summary!$B$9,K7513/Summary!$B$9)</f>
        <v/>
      </c>
      <c r="M7513" s="11">
        <f>G7513+H7513</f>
        <v/>
      </c>
      <c r="N7513" s="11">
        <f>Summary!$C$16*Summary!$B$8</f>
        <v/>
      </c>
      <c r="O7513" s="11">
        <f>M7513-N7513</f>
        <v/>
      </c>
    </row>
    <row r="7514">
      <c r="A7514" s="9" t="n">
        <v>45605</v>
      </c>
      <c r="B7514" t="n">
        <v>11</v>
      </c>
      <c r="C7514" t="n">
        <v>9</v>
      </c>
      <c r="D7514" t="n">
        <v>0</v>
      </c>
      <c r="E7514" s="10" t="n">
        <v>0</v>
      </c>
      <c r="F7514" s="10" t="n">
        <v>0.3041548569971657</v>
      </c>
      <c r="G7514" s="11">
        <f>E7514*Summary!$B$6</f>
        <v/>
      </c>
      <c r="H7514" s="11">
        <f>F7514*Summary!$B$7</f>
        <v/>
      </c>
      <c r="I7514" s="11">
        <f>MAX(0,N7514-M7514)</f>
        <v/>
      </c>
      <c r="J7514" s="11">
        <f>MAX(0,M7514-N7514)</f>
        <v/>
      </c>
      <c r="K7514" s="11">
        <f>O7514</f>
        <v/>
      </c>
      <c r="L7514" s="11">
        <f>L7513+IF(K7514&gt;0,K7514*Summary!$B$9,K7514/Summary!$B$9)</f>
        <v/>
      </c>
      <c r="M7514" s="11">
        <f>G7514+H7514</f>
        <v/>
      </c>
      <c r="N7514" s="11">
        <f>Summary!$C$16*Summary!$B$8</f>
        <v/>
      </c>
      <c r="O7514" s="11">
        <f>M7514-N7514</f>
        <v/>
      </c>
    </row>
    <row r="7515">
      <c r="A7515" s="9" t="n">
        <v>45605.04166666666</v>
      </c>
      <c r="B7515" t="n">
        <v>11</v>
      </c>
      <c r="C7515" t="n">
        <v>9</v>
      </c>
      <c r="D7515" t="n">
        <v>1</v>
      </c>
      <c r="E7515" s="10" t="n">
        <v>0</v>
      </c>
      <c r="F7515" s="10" t="n">
        <v>0.237352520964605</v>
      </c>
      <c r="G7515" s="11">
        <f>E7515*Summary!$B$6</f>
        <v/>
      </c>
      <c r="H7515" s="11">
        <f>F7515*Summary!$B$7</f>
        <v/>
      </c>
      <c r="I7515" s="11">
        <f>MAX(0,N7515-M7515)</f>
        <v/>
      </c>
      <c r="J7515" s="11">
        <f>MAX(0,M7515-N7515)</f>
        <v/>
      </c>
      <c r="K7515" s="11">
        <f>O7515</f>
        <v/>
      </c>
      <c r="L7515" s="11">
        <f>L7514+IF(K7515&gt;0,K7515*Summary!$B$9,K7515/Summary!$B$9)</f>
        <v/>
      </c>
      <c r="M7515" s="11">
        <f>G7515+H7515</f>
        <v/>
      </c>
      <c r="N7515" s="11">
        <f>Summary!$C$16*Summary!$B$8</f>
        <v/>
      </c>
      <c r="O7515" s="11">
        <f>M7515-N7515</f>
        <v/>
      </c>
    </row>
    <row r="7516">
      <c r="A7516" s="9" t="n">
        <v>45605.08333333334</v>
      </c>
      <c r="B7516" t="n">
        <v>11</v>
      </c>
      <c r="C7516" t="n">
        <v>9</v>
      </c>
      <c r="D7516" t="n">
        <v>2</v>
      </c>
      <c r="E7516" s="10" t="n">
        <v>0</v>
      </c>
      <c r="F7516" s="10" t="n">
        <v>0.2263373823209718</v>
      </c>
      <c r="G7516" s="11">
        <f>E7516*Summary!$B$6</f>
        <v/>
      </c>
      <c r="H7516" s="11">
        <f>F7516*Summary!$B$7</f>
        <v/>
      </c>
      <c r="I7516" s="11">
        <f>MAX(0,N7516-M7516)</f>
        <v/>
      </c>
      <c r="J7516" s="11">
        <f>MAX(0,M7516-N7516)</f>
        <v/>
      </c>
      <c r="K7516" s="11">
        <f>O7516</f>
        <v/>
      </c>
      <c r="L7516" s="11">
        <f>L7515+IF(K7516&gt;0,K7516*Summary!$B$9,K7516/Summary!$B$9)</f>
        <v/>
      </c>
      <c r="M7516" s="11">
        <f>G7516+H7516</f>
        <v/>
      </c>
      <c r="N7516" s="11">
        <f>Summary!$C$16*Summary!$B$8</f>
        <v/>
      </c>
      <c r="O7516" s="11">
        <f>M7516-N7516</f>
        <v/>
      </c>
    </row>
    <row r="7517">
      <c r="A7517" s="9" t="n">
        <v>45605.125</v>
      </c>
      <c r="B7517" t="n">
        <v>11</v>
      </c>
      <c r="C7517" t="n">
        <v>9</v>
      </c>
      <c r="D7517" t="n">
        <v>3</v>
      </c>
      <c r="E7517" s="10" t="n">
        <v>0</v>
      </c>
      <c r="F7517" s="10" t="n">
        <v>0.2396187935085104</v>
      </c>
      <c r="G7517" s="11">
        <f>E7517*Summary!$B$6</f>
        <v/>
      </c>
      <c r="H7517" s="11">
        <f>F7517*Summary!$B$7</f>
        <v/>
      </c>
      <c r="I7517" s="11">
        <f>MAX(0,N7517-M7517)</f>
        <v/>
      </c>
      <c r="J7517" s="11">
        <f>MAX(0,M7517-N7517)</f>
        <v/>
      </c>
      <c r="K7517" s="11">
        <f>O7517</f>
        <v/>
      </c>
      <c r="L7517" s="11">
        <f>L7516+IF(K7517&gt;0,K7517*Summary!$B$9,K7517/Summary!$B$9)</f>
        <v/>
      </c>
      <c r="M7517" s="11">
        <f>G7517+H7517</f>
        <v/>
      </c>
      <c r="N7517" s="11">
        <f>Summary!$C$16*Summary!$B$8</f>
        <v/>
      </c>
      <c r="O7517" s="11">
        <f>M7517-N7517</f>
        <v/>
      </c>
    </row>
    <row r="7518">
      <c r="A7518" s="9" t="n">
        <v>45605.16666666666</v>
      </c>
      <c r="B7518" t="n">
        <v>11</v>
      </c>
      <c r="C7518" t="n">
        <v>9</v>
      </c>
      <c r="D7518" t="n">
        <v>4</v>
      </c>
      <c r="E7518" s="10" t="n">
        <v>0</v>
      </c>
      <c r="F7518" s="10" t="n">
        <v>0.2525576286138309</v>
      </c>
      <c r="G7518" s="11">
        <f>E7518*Summary!$B$6</f>
        <v/>
      </c>
      <c r="H7518" s="11">
        <f>F7518*Summary!$B$7</f>
        <v/>
      </c>
      <c r="I7518" s="11">
        <f>MAX(0,N7518-M7518)</f>
        <v/>
      </c>
      <c r="J7518" s="11">
        <f>MAX(0,M7518-N7518)</f>
        <v/>
      </c>
      <c r="K7518" s="11">
        <f>O7518</f>
        <v/>
      </c>
      <c r="L7518" s="11">
        <f>L7517+IF(K7518&gt;0,K7518*Summary!$B$9,K7518/Summary!$B$9)</f>
        <v/>
      </c>
      <c r="M7518" s="11">
        <f>G7518+H7518</f>
        <v/>
      </c>
      <c r="N7518" s="11">
        <f>Summary!$C$16*Summary!$B$8</f>
        <v/>
      </c>
      <c r="O7518" s="11">
        <f>M7518-N7518</f>
        <v/>
      </c>
    </row>
    <row r="7519">
      <c r="A7519" s="9" t="n">
        <v>45605.20833333334</v>
      </c>
      <c r="B7519" t="n">
        <v>11</v>
      </c>
      <c r="C7519" t="n">
        <v>9</v>
      </c>
      <c r="D7519" t="n">
        <v>5</v>
      </c>
      <c r="E7519" s="10" t="n">
        <v>0</v>
      </c>
      <c r="F7519" s="10" t="n">
        <v>0.2668404160416998</v>
      </c>
      <c r="G7519" s="11">
        <f>E7519*Summary!$B$6</f>
        <v/>
      </c>
      <c r="H7519" s="11">
        <f>F7519*Summary!$B$7</f>
        <v/>
      </c>
      <c r="I7519" s="11">
        <f>MAX(0,N7519-M7519)</f>
        <v/>
      </c>
      <c r="J7519" s="11">
        <f>MAX(0,M7519-N7519)</f>
        <v/>
      </c>
      <c r="K7519" s="11">
        <f>O7519</f>
        <v/>
      </c>
      <c r="L7519" s="11">
        <f>L7518+IF(K7519&gt;0,K7519*Summary!$B$9,K7519/Summary!$B$9)</f>
        <v/>
      </c>
      <c r="M7519" s="11">
        <f>G7519+H7519</f>
        <v/>
      </c>
      <c r="N7519" s="11">
        <f>Summary!$C$16*Summary!$B$8</f>
        <v/>
      </c>
      <c r="O7519" s="11">
        <f>M7519-N7519</f>
        <v/>
      </c>
    </row>
    <row r="7520">
      <c r="A7520" s="9" t="n">
        <v>45605.25</v>
      </c>
      <c r="B7520" t="n">
        <v>11</v>
      </c>
      <c r="C7520" t="n">
        <v>9</v>
      </c>
      <c r="D7520" t="n">
        <v>6</v>
      </c>
      <c r="E7520" s="10" t="n">
        <v>0</v>
      </c>
      <c r="F7520" s="10" t="n">
        <v>0.2787515229003655</v>
      </c>
      <c r="G7520" s="11">
        <f>E7520*Summary!$B$6</f>
        <v/>
      </c>
      <c r="H7520" s="11">
        <f>F7520*Summary!$B$7</f>
        <v/>
      </c>
      <c r="I7520" s="11">
        <f>MAX(0,N7520-M7520)</f>
        <v/>
      </c>
      <c r="J7520" s="11">
        <f>MAX(0,M7520-N7520)</f>
        <v/>
      </c>
      <c r="K7520" s="11">
        <f>O7520</f>
        <v/>
      </c>
      <c r="L7520" s="11">
        <f>L7519+IF(K7520&gt;0,K7520*Summary!$B$9,K7520/Summary!$B$9)</f>
        <v/>
      </c>
      <c r="M7520" s="11">
        <f>G7520+H7520</f>
        <v/>
      </c>
      <c r="N7520" s="11">
        <f>Summary!$C$16*Summary!$B$8</f>
        <v/>
      </c>
      <c r="O7520" s="11">
        <f>M7520-N7520</f>
        <v/>
      </c>
    </row>
    <row r="7521">
      <c r="A7521" s="9" t="n">
        <v>45605.29166666666</v>
      </c>
      <c r="B7521" t="n">
        <v>11</v>
      </c>
      <c r="C7521" t="n">
        <v>9</v>
      </c>
      <c r="D7521" t="n">
        <v>7</v>
      </c>
      <c r="E7521" s="10" t="n">
        <v>0</v>
      </c>
      <c r="F7521" s="10" t="n">
        <v>0.2861300846712203</v>
      </c>
      <c r="G7521" s="11">
        <f>E7521*Summary!$B$6</f>
        <v/>
      </c>
      <c r="H7521" s="11">
        <f>F7521*Summary!$B$7</f>
        <v/>
      </c>
      <c r="I7521" s="11">
        <f>MAX(0,N7521-M7521)</f>
        <v/>
      </c>
      <c r="J7521" s="11">
        <f>MAX(0,M7521-N7521)</f>
        <v/>
      </c>
      <c r="K7521" s="11">
        <f>O7521</f>
        <v/>
      </c>
      <c r="L7521" s="11">
        <f>L7520+IF(K7521&gt;0,K7521*Summary!$B$9,K7521/Summary!$B$9)</f>
        <v/>
      </c>
      <c r="M7521" s="11">
        <f>G7521+H7521</f>
        <v/>
      </c>
      <c r="N7521" s="11">
        <f>Summary!$C$16*Summary!$B$8</f>
        <v/>
      </c>
      <c r="O7521" s="11">
        <f>M7521-N7521</f>
        <v/>
      </c>
    </row>
    <row r="7522">
      <c r="A7522" s="9" t="n">
        <v>45605.33333333334</v>
      </c>
      <c r="B7522" t="n">
        <v>11</v>
      </c>
      <c r="C7522" t="n">
        <v>9</v>
      </c>
      <c r="D7522" t="n">
        <v>8</v>
      </c>
      <c r="E7522" s="10" t="n">
        <v>0.012108</v>
      </c>
      <c r="F7522" s="10" t="n">
        <v>0.2883700052088012</v>
      </c>
      <c r="G7522" s="11">
        <f>E7522*Summary!$B$6</f>
        <v/>
      </c>
      <c r="H7522" s="11">
        <f>F7522*Summary!$B$7</f>
        <v/>
      </c>
      <c r="I7522" s="11">
        <f>MAX(0,N7522-M7522)</f>
        <v/>
      </c>
      <c r="J7522" s="11">
        <f>MAX(0,M7522-N7522)</f>
        <v/>
      </c>
      <c r="K7522" s="11">
        <f>O7522</f>
        <v/>
      </c>
      <c r="L7522" s="11">
        <f>L7521+IF(K7522&gt;0,K7522*Summary!$B$9,K7522/Summary!$B$9)</f>
        <v/>
      </c>
      <c r="M7522" s="11">
        <f>G7522+H7522</f>
        <v/>
      </c>
      <c r="N7522" s="11">
        <f>Summary!$C$16*Summary!$B$8</f>
        <v/>
      </c>
      <c r="O7522" s="11">
        <f>M7522-N7522</f>
        <v/>
      </c>
    </row>
    <row r="7523">
      <c r="A7523" s="9" t="n">
        <v>45605.375</v>
      </c>
      <c r="B7523" t="n">
        <v>11</v>
      </c>
      <c r="C7523" t="n">
        <v>9</v>
      </c>
      <c r="D7523" t="n">
        <v>9</v>
      </c>
      <c r="E7523" s="10" t="n">
        <v>0.023334</v>
      </c>
      <c r="F7523" s="10" t="n">
        <v>0.3202295808550994</v>
      </c>
      <c r="G7523" s="11">
        <f>E7523*Summary!$B$6</f>
        <v/>
      </c>
      <c r="H7523" s="11">
        <f>F7523*Summary!$B$7</f>
        <v/>
      </c>
      <c r="I7523" s="11">
        <f>MAX(0,N7523-M7523)</f>
        <v/>
      </c>
      <c r="J7523" s="11">
        <f>MAX(0,M7523-N7523)</f>
        <v/>
      </c>
      <c r="K7523" s="11">
        <f>O7523</f>
        <v/>
      </c>
      <c r="L7523" s="11">
        <f>L7522+IF(K7523&gt;0,K7523*Summary!$B$9,K7523/Summary!$B$9)</f>
        <v/>
      </c>
      <c r="M7523" s="11">
        <f>G7523+H7523</f>
        <v/>
      </c>
      <c r="N7523" s="11">
        <f>Summary!$C$16*Summary!$B$8</f>
        <v/>
      </c>
      <c r="O7523" s="11">
        <f>M7523-N7523</f>
        <v/>
      </c>
    </row>
    <row r="7524">
      <c r="A7524" s="9" t="n">
        <v>45605.41666666666</v>
      </c>
      <c r="B7524" t="n">
        <v>11</v>
      </c>
      <c r="C7524" t="n">
        <v>9</v>
      </c>
      <c r="D7524" t="n">
        <v>10</v>
      </c>
      <c r="E7524" s="10" t="n">
        <v>0.027505</v>
      </c>
      <c r="F7524" s="10" t="n">
        <v>0.2985418796500511</v>
      </c>
      <c r="G7524" s="11">
        <f>E7524*Summary!$B$6</f>
        <v/>
      </c>
      <c r="H7524" s="11">
        <f>F7524*Summary!$B$7</f>
        <v/>
      </c>
      <c r="I7524" s="11">
        <f>MAX(0,N7524-M7524)</f>
        <v/>
      </c>
      <c r="J7524" s="11">
        <f>MAX(0,M7524-N7524)</f>
        <v/>
      </c>
      <c r="K7524" s="11">
        <f>O7524</f>
        <v/>
      </c>
      <c r="L7524" s="11">
        <f>L7523+IF(K7524&gt;0,K7524*Summary!$B$9,K7524/Summary!$B$9)</f>
        <v/>
      </c>
      <c r="M7524" s="11">
        <f>G7524+H7524</f>
        <v/>
      </c>
      <c r="N7524" s="11">
        <f>Summary!$C$16*Summary!$B$8</f>
        <v/>
      </c>
      <c r="O7524" s="11">
        <f>M7524-N7524</f>
        <v/>
      </c>
    </row>
    <row r="7525">
      <c r="A7525" s="9" t="n">
        <v>45605.45833333334</v>
      </c>
      <c r="B7525" t="n">
        <v>11</v>
      </c>
      <c r="C7525" t="n">
        <v>9</v>
      </c>
      <c r="D7525" t="n">
        <v>11</v>
      </c>
      <c r="E7525" s="10" t="n">
        <v>0.06915200000000001</v>
      </c>
      <c r="F7525" s="10" t="n">
        <v>0.2990952717828652</v>
      </c>
      <c r="G7525" s="11">
        <f>E7525*Summary!$B$6</f>
        <v/>
      </c>
      <c r="H7525" s="11">
        <f>F7525*Summary!$B$7</f>
        <v/>
      </c>
      <c r="I7525" s="11">
        <f>MAX(0,N7525-M7525)</f>
        <v/>
      </c>
      <c r="J7525" s="11">
        <f>MAX(0,M7525-N7525)</f>
        <v/>
      </c>
      <c r="K7525" s="11">
        <f>O7525</f>
        <v/>
      </c>
      <c r="L7525" s="11">
        <f>L7524+IF(K7525&gt;0,K7525*Summary!$B$9,K7525/Summary!$B$9)</f>
        <v/>
      </c>
      <c r="M7525" s="11">
        <f>G7525+H7525</f>
        <v/>
      </c>
      <c r="N7525" s="11">
        <f>Summary!$C$16*Summary!$B$8</f>
        <v/>
      </c>
      <c r="O7525" s="11">
        <f>M7525-N7525</f>
        <v/>
      </c>
    </row>
    <row r="7526">
      <c r="A7526" s="9" t="n">
        <v>45605.5</v>
      </c>
      <c r="B7526" t="n">
        <v>11</v>
      </c>
      <c r="C7526" t="n">
        <v>9</v>
      </c>
      <c r="D7526" t="n">
        <v>12</v>
      </c>
      <c r="E7526" s="10" t="n">
        <v>0.160974</v>
      </c>
      <c r="F7526" s="10" t="n">
        <v>0.2981993035678328</v>
      </c>
      <c r="G7526" s="11">
        <f>E7526*Summary!$B$6</f>
        <v/>
      </c>
      <c r="H7526" s="11">
        <f>F7526*Summary!$B$7</f>
        <v/>
      </c>
      <c r="I7526" s="11">
        <f>MAX(0,N7526-M7526)</f>
        <v/>
      </c>
      <c r="J7526" s="11">
        <f>MAX(0,M7526-N7526)</f>
        <v/>
      </c>
      <c r="K7526" s="11">
        <f>O7526</f>
        <v/>
      </c>
      <c r="L7526" s="11">
        <f>L7525+IF(K7526&gt;0,K7526*Summary!$B$9,K7526/Summary!$B$9)</f>
        <v/>
      </c>
      <c r="M7526" s="11">
        <f>G7526+H7526</f>
        <v/>
      </c>
      <c r="N7526" s="11">
        <f>Summary!$C$16*Summary!$B$8</f>
        <v/>
      </c>
      <c r="O7526" s="11">
        <f>M7526-N7526</f>
        <v/>
      </c>
    </row>
    <row r="7527">
      <c r="A7527" s="9" t="n">
        <v>45605.54166666666</v>
      </c>
      <c r="B7527" t="n">
        <v>11</v>
      </c>
      <c r="C7527" t="n">
        <v>9</v>
      </c>
      <c r="D7527" t="n">
        <v>13</v>
      </c>
      <c r="E7527" s="10" t="n">
        <v>0.040863</v>
      </c>
      <c r="F7527" s="10" t="n">
        <v>0.297935783504588</v>
      </c>
      <c r="G7527" s="11">
        <f>E7527*Summary!$B$6</f>
        <v/>
      </c>
      <c r="H7527" s="11">
        <f>F7527*Summary!$B$7</f>
        <v/>
      </c>
      <c r="I7527" s="11">
        <f>MAX(0,N7527-M7527)</f>
        <v/>
      </c>
      <c r="J7527" s="11">
        <f>MAX(0,M7527-N7527)</f>
        <v/>
      </c>
      <c r="K7527" s="11">
        <f>O7527</f>
        <v/>
      </c>
      <c r="L7527" s="11">
        <f>L7526+IF(K7527&gt;0,K7527*Summary!$B$9,K7527/Summary!$B$9)</f>
        <v/>
      </c>
      <c r="M7527" s="11">
        <f>G7527+H7527</f>
        <v/>
      </c>
      <c r="N7527" s="11">
        <f>Summary!$C$16*Summary!$B$8</f>
        <v/>
      </c>
      <c r="O7527" s="11">
        <f>M7527-N7527</f>
        <v/>
      </c>
    </row>
    <row r="7528">
      <c r="A7528" s="9" t="n">
        <v>45605.58333333334</v>
      </c>
      <c r="B7528" t="n">
        <v>11</v>
      </c>
      <c r="C7528" t="n">
        <v>9</v>
      </c>
      <c r="D7528" t="n">
        <v>14</v>
      </c>
      <c r="E7528" s="10" t="n">
        <v>0.018324</v>
      </c>
      <c r="F7528" s="10" t="n">
        <v>0.294430966663432</v>
      </c>
      <c r="G7528" s="11">
        <f>E7528*Summary!$B$6</f>
        <v/>
      </c>
      <c r="H7528" s="11">
        <f>F7528*Summary!$B$7</f>
        <v/>
      </c>
      <c r="I7528" s="11">
        <f>MAX(0,N7528-M7528)</f>
        <v/>
      </c>
      <c r="J7528" s="11">
        <f>MAX(0,M7528-N7528)</f>
        <v/>
      </c>
      <c r="K7528" s="11">
        <f>O7528</f>
        <v/>
      </c>
      <c r="L7528" s="11">
        <f>L7527+IF(K7528&gt;0,K7528*Summary!$B$9,K7528/Summary!$B$9)</f>
        <v/>
      </c>
      <c r="M7528" s="11">
        <f>G7528+H7528</f>
        <v/>
      </c>
      <c r="N7528" s="11">
        <f>Summary!$C$16*Summary!$B$8</f>
        <v/>
      </c>
      <c r="O7528" s="11">
        <f>M7528-N7528</f>
        <v/>
      </c>
    </row>
    <row r="7529">
      <c r="A7529" s="9" t="n">
        <v>45605.625</v>
      </c>
      <c r="B7529" t="n">
        <v>11</v>
      </c>
      <c r="C7529" t="n">
        <v>9</v>
      </c>
      <c r="D7529" t="n">
        <v>15</v>
      </c>
      <c r="E7529" s="10" t="n">
        <v>0.015565</v>
      </c>
      <c r="F7529" s="10" t="n">
        <v>0.2951951748468419</v>
      </c>
      <c r="G7529" s="11">
        <f>E7529*Summary!$B$6</f>
        <v/>
      </c>
      <c r="H7529" s="11">
        <f>F7529*Summary!$B$7</f>
        <v/>
      </c>
      <c r="I7529" s="11">
        <f>MAX(0,N7529-M7529)</f>
        <v/>
      </c>
      <c r="J7529" s="11">
        <f>MAX(0,M7529-N7529)</f>
        <v/>
      </c>
      <c r="K7529" s="11">
        <f>O7529</f>
        <v/>
      </c>
      <c r="L7529" s="11">
        <f>L7528+IF(K7529&gt;0,K7529*Summary!$B$9,K7529/Summary!$B$9)</f>
        <v/>
      </c>
      <c r="M7529" s="11">
        <f>G7529+H7529</f>
        <v/>
      </c>
      <c r="N7529" s="11">
        <f>Summary!$C$16*Summary!$B$8</f>
        <v/>
      </c>
      <c r="O7529" s="11">
        <f>M7529-N7529</f>
        <v/>
      </c>
    </row>
    <row r="7530">
      <c r="A7530" s="9" t="n">
        <v>45605.66666666666</v>
      </c>
      <c r="B7530" t="n">
        <v>11</v>
      </c>
      <c r="C7530" t="n">
        <v>9</v>
      </c>
      <c r="D7530" t="n">
        <v>16</v>
      </c>
      <c r="E7530" s="10" t="n">
        <v>0</v>
      </c>
      <c r="F7530" s="10" t="n">
        <v>0.2963810151314436</v>
      </c>
      <c r="G7530" s="11">
        <f>E7530*Summary!$B$6</f>
        <v/>
      </c>
      <c r="H7530" s="11">
        <f>F7530*Summary!$B$7</f>
        <v/>
      </c>
      <c r="I7530" s="11">
        <f>MAX(0,N7530-M7530)</f>
        <v/>
      </c>
      <c r="J7530" s="11">
        <f>MAX(0,M7530-N7530)</f>
        <v/>
      </c>
      <c r="K7530" s="11">
        <f>O7530</f>
        <v/>
      </c>
      <c r="L7530" s="11">
        <f>L7529+IF(K7530&gt;0,K7530*Summary!$B$9,K7530/Summary!$B$9)</f>
        <v/>
      </c>
      <c r="M7530" s="11">
        <f>G7530+H7530</f>
        <v/>
      </c>
      <c r="N7530" s="11">
        <f>Summary!$C$16*Summary!$B$8</f>
        <v/>
      </c>
      <c r="O7530" s="11">
        <f>M7530-N7530</f>
        <v/>
      </c>
    </row>
    <row r="7531">
      <c r="A7531" s="9" t="n">
        <v>45605.70833333334</v>
      </c>
      <c r="B7531" t="n">
        <v>11</v>
      </c>
      <c r="C7531" t="n">
        <v>9</v>
      </c>
      <c r="D7531" t="n">
        <v>17</v>
      </c>
      <c r="E7531" s="10" t="n">
        <v>0</v>
      </c>
      <c r="F7531" s="10" t="n">
        <v>0.2991216237891897</v>
      </c>
      <c r="G7531" s="11">
        <f>E7531*Summary!$B$6</f>
        <v/>
      </c>
      <c r="H7531" s="11">
        <f>F7531*Summary!$B$7</f>
        <v/>
      </c>
      <c r="I7531" s="11">
        <f>MAX(0,N7531-M7531)</f>
        <v/>
      </c>
      <c r="J7531" s="11">
        <f>MAX(0,M7531-N7531)</f>
        <v/>
      </c>
      <c r="K7531" s="11">
        <f>O7531</f>
        <v/>
      </c>
      <c r="L7531" s="11">
        <f>L7530+IF(K7531&gt;0,K7531*Summary!$B$9,K7531/Summary!$B$9)</f>
        <v/>
      </c>
      <c r="M7531" s="11">
        <f>G7531+H7531</f>
        <v/>
      </c>
      <c r="N7531" s="11">
        <f>Summary!$C$16*Summary!$B$8</f>
        <v/>
      </c>
      <c r="O7531" s="11">
        <f>M7531-N7531</f>
        <v/>
      </c>
    </row>
    <row r="7532">
      <c r="A7532" s="9" t="n">
        <v>45605.75</v>
      </c>
      <c r="B7532" t="n">
        <v>11</v>
      </c>
      <c r="C7532" t="n">
        <v>9</v>
      </c>
      <c r="D7532" t="n">
        <v>18</v>
      </c>
      <c r="E7532" s="10" t="n">
        <v>0</v>
      </c>
      <c r="F7532" s="10" t="n">
        <v>0.3032061847694844</v>
      </c>
      <c r="G7532" s="11">
        <f>E7532*Summary!$B$6</f>
        <v/>
      </c>
      <c r="H7532" s="11">
        <f>F7532*Summary!$B$7</f>
        <v/>
      </c>
      <c r="I7532" s="11">
        <f>MAX(0,N7532-M7532)</f>
        <v/>
      </c>
      <c r="J7532" s="11">
        <f>MAX(0,M7532-N7532)</f>
        <v/>
      </c>
      <c r="K7532" s="11">
        <f>O7532</f>
        <v/>
      </c>
      <c r="L7532" s="11">
        <f>L7531+IF(K7532&gt;0,K7532*Summary!$B$9,K7532/Summary!$B$9)</f>
        <v/>
      </c>
      <c r="M7532" s="11">
        <f>G7532+H7532</f>
        <v/>
      </c>
      <c r="N7532" s="11">
        <f>Summary!$C$16*Summary!$B$8</f>
        <v/>
      </c>
      <c r="O7532" s="11">
        <f>M7532-N7532</f>
        <v/>
      </c>
    </row>
    <row r="7533">
      <c r="A7533" s="9" t="n">
        <v>45605.79166666666</v>
      </c>
      <c r="B7533" t="n">
        <v>11</v>
      </c>
      <c r="C7533" t="n">
        <v>9</v>
      </c>
      <c r="D7533" t="n">
        <v>19</v>
      </c>
      <c r="E7533" s="10" t="n">
        <v>0</v>
      </c>
      <c r="F7533" s="10" t="n">
        <v>0.3051825852438205</v>
      </c>
      <c r="G7533" s="11">
        <f>E7533*Summary!$B$6</f>
        <v/>
      </c>
      <c r="H7533" s="11">
        <f>F7533*Summary!$B$7</f>
        <v/>
      </c>
      <c r="I7533" s="11">
        <f>MAX(0,N7533-M7533)</f>
        <v/>
      </c>
      <c r="J7533" s="11">
        <f>MAX(0,M7533-N7533)</f>
        <v/>
      </c>
      <c r="K7533" s="11">
        <f>O7533</f>
        <v/>
      </c>
      <c r="L7533" s="11">
        <f>L7532+IF(K7533&gt;0,K7533*Summary!$B$9,K7533/Summary!$B$9)</f>
        <v/>
      </c>
      <c r="M7533" s="11">
        <f>G7533+H7533</f>
        <v/>
      </c>
      <c r="N7533" s="11">
        <f>Summary!$C$16*Summary!$B$8</f>
        <v/>
      </c>
      <c r="O7533" s="11">
        <f>M7533-N7533</f>
        <v/>
      </c>
    </row>
    <row r="7534">
      <c r="A7534" s="9" t="n">
        <v>45605.83333333334</v>
      </c>
      <c r="B7534" t="n">
        <v>11</v>
      </c>
      <c r="C7534" t="n">
        <v>9</v>
      </c>
      <c r="D7534" t="n">
        <v>20</v>
      </c>
      <c r="E7534" s="10" t="n">
        <v>0</v>
      </c>
      <c r="F7534" s="10" t="n">
        <v>0.3020466964912071</v>
      </c>
      <c r="G7534" s="11">
        <f>E7534*Summary!$B$6</f>
        <v/>
      </c>
      <c r="H7534" s="11">
        <f>F7534*Summary!$B$7</f>
        <v/>
      </c>
      <c r="I7534" s="11">
        <f>MAX(0,N7534-M7534)</f>
        <v/>
      </c>
      <c r="J7534" s="11">
        <f>MAX(0,M7534-N7534)</f>
        <v/>
      </c>
      <c r="K7534" s="11">
        <f>O7534</f>
        <v/>
      </c>
      <c r="L7534" s="11">
        <f>L7533+IF(K7534&gt;0,K7534*Summary!$B$9,K7534/Summary!$B$9)</f>
        <v/>
      </c>
      <c r="M7534" s="11">
        <f>G7534+H7534</f>
        <v/>
      </c>
      <c r="N7534" s="11">
        <f>Summary!$C$16*Summary!$B$8</f>
        <v/>
      </c>
      <c r="O7534" s="11">
        <f>M7534-N7534</f>
        <v/>
      </c>
    </row>
    <row r="7535">
      <c r="A7535" s="9" t="n">
        <v>45605.875</v>
      </c>
      <c r="B7535" t="n">
        <v>11</v>
      </c>
      <c r="C7535" t="n">
        <v>9</v>
      </c>
      <c r="D7535" t="n">
        <v>21</v>
      </c>
      <c r="E7535" s="10" t="n">
        <v>0</v>
      </c>
      <c r="F7535" s="10" t="n">
        <v>0.2966445351946884</v>
      </c>
      <c r="G7535" s="11">
        <f>E7535*Summary!$B$6</f>
        <v/>
      </c>
      <c r="H7535" s="11">
        <f>F7535*Summary!$B$7</f>
        <v/>
      </c>
      <c r="I7535" s="11">
        <f>MAX(0,N7535-M7535)</f>
        <v/>
      </c>
      <c r="J7535" s="11">
        <f>MAX(0,M7535-N7535)</f>
        <v/>
      </c>
      <c r="K7535" s="11">
        <f>O7535</f>
        <v/>
      </c>
      <c r="L7535" s="11">
        <f>L7534+IF(K7535&gt;0,K7535*Summary!$B$9,K7535/Summary!$B$9)</f>
        <v/>
      </c>
      <c r="M7535" s="11">
        <f>G7535+H7535</f>
        <v/>
      </c>
      <c r="N7535" s="11">
        <f>Summary!$C$16*Summary!$B$8</f>
        <v/>
      </c>
      <c r="O7535" s="11">
        <f>M7535-N7535</f>
        <v/>
      </c>
    </row>
    <row r="7536">
      <c r="A7536" s="9" t="n">
        <v>45605.91666666666</v>
      </c>
      <c r="B7536" t="n">
        <v>11</v>
      </c>
      <c r="C7536" t="n">
        <v>9</v>
      </c>
      <c r="D7536" t="n">
        <v>22</v>
      </c>
      <c r="E7536" s="10" t="n">
        <v>0</v>
      </c>
      <c r="F7536" s="10" t="n">
        <v>0.2960120870429009</v>
      </c>
      <c r="G7536" s="11">
        <f>E7536*Summary!$B$6</f>
        <v/>
      </c>
      <c r="H7536" s="11">
        <f>F7536*Summary!$B$7</f>
        <v/>
      </c>
      <c r="I7536" s="11">
        <f>MAX(0,N7536-M7536)</f>
        <v/>
      </c>
      <c r="J7536" s="11">
        <f>MAX(0,M7536-N7536)</f>
        <v/>
      </c>
      <c r="K7536" s="11">
        <f>O7536</f>
        <v/>
      </c>
      <c r="L7536" s="11">
        <f>L7535+IF(K7536&gt;0,K7536*Summary!$B$9,K7536/Summary!$B$9)</f>
        <v/>
      </c>
      <c r="M7536" s="11">
        <f>G7536+H7536</f>
        <v/>
      </c>
      <c r="N7536" s="11">
        <f>Summary!$C$16*Summary!$B$8</f>
        <v/>
      </c>
      <c r="O7536" s="11">
        <f>M7536-N7536</f>
        <v/>
      </c>
    </row>
    <row r="7537">
      <c r="A7537" s="9" t="n">
        <v>45605.95833333334</v>
      </c>
      <c r="B7537" t="n">
        <v>11</v>
      </c>
      <c r="C7537" t="n">
        <v>9</v>
      </c>
      <c r="D7537" t="n">
        <v>23</v>
      </c>
      <c r="E7537" s="10" t="n">
        <v>0</v>
      </c>
      <c r="F7537" s="10" t="n">
        <v>0.2940093345622403</v>
      </c>
      <c r="G7537" s="11">
        <f>E7537*Summary!$B$6</f>
        <v/>
      </c>
      <c r="H7537" s="11">
        <f>F7537*Summary!$B$7</f>
        <v/>
      </c>
      <c r="I7537" s="11">
        <f>MAX(0,N7537-M7537)</f>
        <v/>
      </c>
      <c r="J7537" s="11">
        <f>MAX(0,M7537-N7537)</f>
        <v/>
      </c>
      <c r="K7537" s="11">
        <f>O7537</f>
        <v/>
      </c>
      <c r="L7537" s="11">
        <f>L7536+IF(K7537&gt;0,K7537*Summary!$B$9,K7537/Summary!$B$9)</f>
        <v/>
      </c>
      <c r="M7537" s="11">
        <f>G7537+H7537</f>
        <v/>
      </c>
      <c r="N7537" s="11">
        <f>Summary!$C$16*Summary!$B$8</f>
        <v/>
      </c>
      <c r="O7537" s="11">
        <f>M7537-N7537</f>
        <v/>
      </c>
    </row>
    <row r="7538">
      <c r="A7538" s="9" t="n">
        <v>45606</v>
      </c>
      <c r="B7538" t="n">
        <v>11</v>
      </c>
      <c r="C7538" t="n">
        <v>10</v>
      </c>
      <c r="D7538" t="n">
        <v>0</v>
      </c>
      <c r="E7538" s="10" t="n">
        <v>0</v>
      </c>
      <c r="F7538" s="10" t="n">
        <v>0.2727432654583837</v>
      </c>
      <c r="G7538" s="11">
        <f>E7538*Summary!$B$6</f>
        <v/>
      </c>
      <c r="H7538" s="11">
        <f>F7538*Summary!$B$7</f>
        <v/>
      </c>
      <c r="I7538" s="11">
        <f>MAX(0,N7538-M7538)</f>
        <v/>
      </c>
      <c r="J7538" s="11">
        <f>MAX(0,M7538-N7538)</f>
        <v/>
      </c>
      <c r="K7538" s="11">
        <f>O7538</f>
        <v/>
      </c>
      <c r="L7538" s="11">
        <f>L7537+IF(K7538&gt;0,K7538*Summary!$B$9,K7538/Summary!$B$9)</f>
        <v/>
      </c>
      <c r="M7538" s="11">
        <f>G7538+H7538</f>
        <v/>
      </c>
      <c r="N7538" s="11">
        <f>Summary!$C$16*Summary!$B$8</f>
        <v/>
      </c>
      <c r="O7538" s="11">
        <f>M7538-N7538</f>
        <v/>
      </c>
    </row>
    <row r="7539">
      <c r="A7539" s="9" t="n">
        <v>45606.04166666666</v>
      </c>
      <c r="B7539" t="n">
        <v>11</v>
      </c>
      <c r="C7539" t="n">
        <v>10</v>
      </c>
      <c r="D7539" t="n">
        <v>1</v>
      </c>
      <c r="E7539" s="10" t="n">
        <v>0</v>
      </c>
      <c r="F7539" s="10" t="n">
        <v>0.2857611565826776</v>
      </c>
      <c r="G7539" s="11">
        <f>E7539*Summary!$B$6</f>
        <v/>
      </c>
      <c r="H7539" s="11">
        <f>F7539*Summary!$B$7</f>
        <v/>
      </c>
      <c r="I7539" s="11">
        <f>MAX(0,N7539-M7539)</f>
        <v/>
      </c>
      <c r="J7539" s="11">
        <f>MAX(0,M7539-N7539)</f>
        <v/>
      </c>
      <c r="K7539" s="11">
        <f>O7539</f>
        <v/>
      </c>
      <c r="L7539" s="11">
        <f>L7538+IF(K7539&gt;0,K7539*Summary!$B$9,K7539/Summary!$B$9)</f>
        <v/>
      </c>
      <c r="M7539" s="11">
        <f>G7539+H7539</f>
        <v/>
      </c>
      <c r="N7539" s="11">
        <f>Summary!$C$16*Summary!$B$8</f>
        <v/>
      </c>
      <c r="O7539" s="11">
        <f>M7539-N7539</f>
        <v/>
      </c>
    </row>
    <row r="7540">
      <c r="A7540" s="9" t="n">
        <v>45606.08333333334</v>
      </c>
      <c r="B7540" t="n">
        <v>11</v>
      </c>
      <c r="C7540" t="n">
        <v>10</v>
      </c>
      <c r="D7540" t="n">
        <v>2</v>
      </c>
      <c r="E7540" s="10" t="n">
        <v>0</v>
      </c>
      <c r="F7540" s="10" t="n">
        <v>0.2835475880514211</v>
      </c>
      <c r="G7540" s="11">
        <f>E7540*Summary!$B$6</f>
        <v/>
      </c>
      <c r="H7540" s="11">
        <f>F7540*Summary!$B$7</f>
        <v/>
      </c>
      <c r="I7540" s="11">
        <f>MAX(0,N7540-M7540)</f>
        <v/>
      </c>
      <c r="J7540" s="11">
        <f>MAX(0,M7540-N7540)</f>
        <v/>
      </c>
      <c r="K7540" s="11">
        <f>O7540</f>
        <v/>
      </c>
      <c r="L7540" s="11">
        <f>L7539+IF(K7540&gt;0,K7540*Summary!$B$9,K7540/Summary!$B$9)</f>
        <v/>
      </c>
      <c r="M7540" s="11">
        <f>G7540+H7540</f>
        <v/>
      </c>
      <c r="N7540" s="11">
        <f>Summary!$C$16*Summary!$B$8</f>
        <v/>
      </c>
      <c r="O7540" s="11">
        <f>M7540-N7540</f>
        <v/>
      </c>
    </row>
    <row r="7541">
      <c r="A7541" s="9" t="n">
        <v>45606.125</v>
      </c>
      <c r="B7541" t="n">
        <v>11</v>
      </c>
      <c r="C7541" t="n">
        <v>10</v>
      </c>
      <c r="D7541" t="n">
        <v>3</v>
      </c>
      <c r="E7541" s="10" t="n">
        <v>0</v>
      </c>
      <c r="F7541" s="10" t="n">
        <v>0.2814657795517871</v>
      </c>
      <c r="G7541" s="11">
        <f>E7541*Summary!$B$6</f>
        <v/>
      </c>
      <c r="H7541" s="11">
        <f>F7541*Summary!$B$7</f>
        <v/>
      </c>
      <c r="I7541" s="11">
        <f>MAX(0,N7541-M7541)</f>
        <v/>
      </c>
      <c r="J7541" s="11">
        <f>MAX(0,M7541-N7541)</f>
        <v/>
      </c>
      <c r="K7541" s="11">
        <f>O7541</f>
        <v/>
      </c>
      <c r="L7541" s="11">
        <f>L7540+IF(K7541&gt;0,K7541*Summary!$B$9,K7541/Summary!$B$9)</f>
        <v/>
      </c>
      <c r="M7541" s="11">
        <f>G7541+H7541</f>
        <v/>
      </c>
      <c r="N7541" s="11">
        <f>Summary!$C$16*Summary!$B$8</f>
        <v/>
      </c>
      <c r="O7541" s="11">
        <f>M7541-N7541</f>
        <v/>
      </c>
    </row>
    <row r="7542">
      <c r="A7542" s="9" t="n">
        <v>45606.16666666666</v>
      </c>
      <c r="B7542" t="n">
        <v>11</v>
      </c>
      <c r="C7542" t="n">
        <v>10</v>
      </c>
      <c r="D7542" t="n">
        <v>4</v>
      </c>
      <c r="E7542" s="10" t="n">
        <v>0</v>
      </c>
      <c r="F7542" s="10" t="n">
        <v>0.2813603715264891</v>
      </c>
      <c r="G7542" s="11">
        <f>E7542*Summary!$B$6</f>
        <v/>
      </c>
      <c r="H7542" s="11">
        <f>F7542*Summary!$B$7</f>
        <v/>
      </c>
      <c r="I7542" s="11">
        <f>MAX(0,N7542-M7542)</f>
        <v/>
      </c>
      <c r="J7542" s="11">
        <f>MAX(0,M7542-N7542)</f>
        <v/>
      </c>
      <c r="K7542" s="11">
        <f>O7542</f>
        <v/>
      </c>
      <c r="L7542" s="11">
        <f>L7541+IF(K7542&gt;0,K7542*Summary!$B$9,K7542/Summary!$B$9)</f>
        <v/>
      </c>
      <c r="M7542" s="11">
        <f>G7542+H7542</f>
        <v/>
      </c>
      <c r="N7542" s="11">
        <f>Summary!$C$16*Summary!$B$8</f>
        <v/>
      </c>
      <c r="O7542" s="11">
        <f>M7542-N7542</f>
        <v/>
      </c>
    </row>
    <row r="7543">
      <c r="A7543" s="9" t="n">
        <v>45606.20833333334</v>
      </c>
      <c r="B7543" t="n">
        <v>11</v>
      </c>
      <c r="C7543" t="n">
        <v>10</v>
      </c>
      <c r="D7543" t="n">
        <v>5</v>
      </c>
      <c r="E7543" s="10" t="n">
        <v>0</v>
      </c>
      <c r="F7543" s="10" t="n">
        <v>0.2802799392671854</v>
      </c>
      <c r="G7543" s="11">
        <f>E7543*Summary!$B$6</f>
        <v/>
      </c>
      <c r="H7543" s="11">
        <f>F7543*Summary!$B$7</f>
        <v/>
      </c>
      <c r="I7543" s="11">
        <f>MAX(0,N7543-M7543)</f>
        <v/>
      </c>
      <c r="J7543" s="11">
        <f>MAX(0,M7543-N7543)</f>
        <v/>
      </c>
      <c r="K7543" s="11">
        <f>O7543</f>
        <v/>
      </c>
      <c r="L7543" s="11">
        <f>L7542+IF(K7543&gt;0,K7543*Summary!$B$9,K7543/Summary!$B$9)</f>
        <v/>
      </c>
      <c r="M7543" s="11">
        <f>G7543+H7543</f>
        <v/>
      </c>
      <c r="N7543" s="11">
        <f>Summary!$C$16*Summary!$B$8</f>
        <v/>
      </c>
      <c r="O7543" s="11">
        <f>M7543-N7543</f>
        <v/>
      </c>
    </row>
    <row r="7544">
      <c r="A7544" s="9" t="n">
        <v>45606.25</v>
      </c>
      <c r="B7544" t="n">
        <v>11</v>
      </c>
      <c r="C7544" t="n">
        <v>10</v>
      </c>
      <c r="D7544" t="n">
        <v>6</v>
      </c>
      <c r="E7544" s="10" t="n">
        <v>0</v>
      </c>
      <c r="F7544" s="10" t="n">
        <v>0.2791995070078817</v>
      </c>
      <c r="G7544" s="11">
        <f>E7544*Summary!$B$6</f>
        <v/>
      </c>
      <c r="H7544" s="11">
        <f>F7544*Summary!$B$7</f>
        <v/>
      </c>
      <c r="I7544" s="11">
        <f>MAX(0,N7544-M7544)</f>
        <v/>
      </c>
      <c r="J7544" s="11">
        <f>MAX(0,M7544-N7544)</f>
        <v/>
      </c>
      <c r="K7544" s="11">
        <f>O7544</f>
        <v/>
      </c>
      <c r="L7544" s="11">
        <f>L7543+IF(K7544&gt;0,K7544*Summary!$B$9,K7544/Summary!$B$9)</f>
        <v/>
      </c>
      <c r="M7544" s="11">
        <f>G7544+H7544</f>
        <v/>
      </c>
      <c r="N7544" s="11">
        <f>Summary!$C$16*Summary!$B$8</f>
        <v/>
      </c>
      <c r="O7544" s="11">
        <f>M7544-N7544</f>
        <v/>
      </c>
    </row>
    <row r="7545">
      <c r="A7545" s="9" t="n">
        <v>45606.29166666666</v>
      </c>
      <c r="B7545" t="n">
        <v>11</v>
      </c>
      <c r="C7545" t="n">
        <v>10</v>
      </c>
      <c r="D7545" t="n">
        <v>7</v>
      </c>
      <c r="E7545" s="10" t="n">
        <v>0</v>
      </c>
      <c r="F7545" s="10" t="n">
        <v>0.2727959694710327</v>
      </c>
      <c r="G7545" s="11">
        <f>E7545*Summary!$B$6</f>
        <v/>
      </c>
      <c r="H7545" s="11">
        <f>F7545*Summary!$B$7</f>
        <v/>
      </c>
      <c r="I7545" s="11">
        <f>MAX(0,N7545-M7545)</f>
        <v/>
      </c>
      <c r="J7545" s="11">
        <f>MAX(0,M7545-N7545)</f>
        <v/>
      </c>
      <c r="K7545" s="11">
        <f>O7545</f>
        <v/>
      </c>
      <c r="L7545" s="11">
        <f>L7544+IF(K7545&gt;0,K7545*Summary!$B$9,K7545/Summary!$B$9)</f>
        <v/>
      </c>
      <c r="M7545" s="11">
        <f>G7545+H7545</f>
        <v/>
      </c>
      <c r="N7545" s="11">
        <f>Summary!$C$16*Summary!$B$8</f>
        <v/>
      </c>
      <c r="O7545" s="11">
        <f>M7545-N7545</f>
        <v/>
      </c>
    </row>
    <row r="7546">
      <c r="A7546" s="9" t="n">
        <v>45606.33333333334</v>
      </c>
      <c r="B7546" t="n">
        <v>11</v>
      </c>
      <c r="C7546" t="n">
        <v>10</v>
      </c>
      <c r="D7546" t="n">
        <v>8</v>
      </c>
      <c r="E7546" s="10" t="n">
        <v>0.019877</v>
      </c>
      <c r="F7546" s="10" t="n">
        <v>0.2604632305111753</v>
      </c>
      <c r="G7546" s="11">
        <f>E7546*Summary!$B$6</f>
        <v/>
      </c>
      <c r="H7546" s="11">
        <f>F7546*Summary!$B$7</f>
        <v/>
      </c>
      <c r="I7546" s="11">
        <f>MAX(0,N7546-M7546)</f>
        <v/>
      </c>
      <c r="J7546" s="11">
        <f>MAX(0,M7546-N7546)</f>
        <v/>
      </c>
      <c r="K7546" s="11">
        <f>O7546</f>
        <v/>
      </c>
      <c r="L7546" s="11">
        <f>L7545+IF(K7546&gt;0,K7546*Summary!$B$9,K7546/Summary!$B$9)</f>
        <v/>
      </c>
      <c r="M7546" s="11">
        <f>G7546+H7546</f>
        <v/>
      </c>
      <c r="N7546" s="11">
        <f>Summary!$C$16*Summary!$B$8</f>
        <v/>
      </c>
      <c r="O7546" s="11">
        <f>M7546-N7546</f>
        <v/>
      </c>
    </row>
    <row r="7547">
      <c r="A7547" s="9" t="n">
        <v>45606.375</v>
      </c>
      <c r="B7547" t="n">
        <v>11</v>
      </c>
      <c r="C7547" t="n">
        <v>10</v>
      </c>
      <c r="D7547" t="n">
        <v>9</v>
      </c>
      <c r="E7547" s="10" t="n">
        <v>0.148898</v>
      </c>
      <c r="F7547" s="10" t="n">
        <v>0.2505285241268458</v>
      </c>
      <c r="G7547" s="11">
        <f>E7547*Summary!$B$6</f>
        <v/>
      </c>
      <c r="H7547" s="11">
        <f>F7547*Summary!$B$7</f>
        <v/>
      </c>
      <c r="I7547" s="11">
        <f>MAX(0,N7547-M7547)</f>
        <v/>
      </c>
      <c r="J7547" s="11">
        <f>MAX(0,M7547-N7547)</f>
        <v/>
      </c>
      <c r="K7547" s="11">
        <f>O7547</f>
        <v/>
      </c>
      <c r="L7547" s="11">
        <f>L7546+IF(K7547&gt;0,K7547*Summary!$B$9,K7547/Summary!$B$9)</f>
        <v/>
      </c>
      <c r="M7547" s="11">
        <f>G7547+H7547</f>
        <v/>
      </c>
      <c r="N7547" s="11">
        <f>Summary!$C$16*Summary!$B$8</f>
        <v/>
      </c>
      <c r="O7547" s="11">
        <f>M7547-N7547</f>
        <v/>
      </c>
    </row>
    <row r="7548">
      <c r="A7548" s="9" t="n">
        <v>45606.41666666666</v>
      </c>
      <c r="B7548" t="n">
        <v>11</v>
      </c>
      <c r="C7548" t="n">
        <v>10</v>
      </c>
      <c r="D7548" t="n">
        <v>10</v>
      </c>
      <c r="E7548" s="10" t="n">
        <v>0.294825</v>
      </c>
      <c r="F7548" s="10" t="n">
        <v>0.2406201697488408</v>
      </c>
      <c r="G7548" s="11">
        <f>E7548*Summary!$B$6</f>
        <v/>
      </c>
      <c r="H7548" s="11">
        <f>F7548*Summary!$B$7</f>
        <v/>
      </c>
      <c r="I7548" s="11">
        <f>MAX(0,N7548-M7548)</f>
        <v/>
      </c>
      <c r="J7548" s="11">
        <f>MAX(0,M7548-N7548)</f>
        <v/>
      </c>
      <c r="K7548" s="11">
        <f>O7548</f>
        <v/>
      </c>
      <c r="L7548" s="11">
        <f>L7547+IF(K7548&gt;0,K7548*Summary!$B$9,K7548/Summary!$B$9)</f>
        <v/>
      </c>
      <c r="M7548" s="11">
        <f>G7548+H7548</f>
        <v/>
      </c>
      <c r="N7548" s="11">
        <f>Summary!$C$16*Summary!$B$8</f>
        <v/>
      </c>
      <c r="O7548" s="11">
        <f>M7548-N7548</f>
        <v/>
      </c>
    </row>
    <row r="7549">
      <c r="A7549" s="9" t="n">
        <v>45606.45833333334</v>
      </c>
      <c r="B7549" t="n">
        <v>11</v>
      </c>
      <c r="C7549" t="n">
        <v>10</v>
      </c>
      <c r="D7549" t="n">
        <v>11</v>
      </c>
      <c r="E7549" s="10" t="n">
        <v>0.349616</v>
      </c>
      <c r="F7549" s="10" t="n">
        <v>0.2332679599843104</v>
      </c>
      <c r="G7549" s="11">
        <f>E7549*Summary!$B$6</f>
        <v/>
      </c>
      <c r="H7549" s="11">
        <f>F7549*Summary!$B$7</f>
        <v/>
      </c>
      <c r="I7549" s="11">
        <f>MAX(0,N7549-M7549)</f>
        <v/>
      </c>
      <c r="J7549" s="11">
        <f>MAX(0,M7549-N7549)</f>
        <v/>
      </c>
      <c r="K7549" s="11">
        <f>O7549</f>
        <v/>
      </c>
      <c r="L7549" s="11">
        <f>L7548+IF(K7549&gt;0,K7549*Summary!$B$9,K7549/Summary!$B$9)</f>
        <v/>
      </c>
      <c r="M7549" s="11">
        <f>G7549+H7549</f>
        <v/>
      </c>
      <c r="N7549" s="11">
        <f>Summary!$C$16*Summary!$B$8</f>
        <v/>
      </c>
      <c r="O7549" s="11">
        <f>M7549-N7549</f>
        <v/>
      </c>
    </row>
    <row r="7550">
      <c r="A7550" s="9" t="n">
        <v>45606.5</v>
      </c>
      <c r="B7550" t="n">
        <v>11</v>
      </c>
      <c r="C7550" t="n">
        <v>10</v>
      </c>
      <c r="D7550" t="n">
        <v>12</v>
      </c>
      <c r="E7550" s="10" t="n">
        <v>0.348015</v>
      </c>
      <c r="F7550" s="10" t="n">
        <v>0.2272597025423286</v>
      </c>
      <c r="G7550" s="11">
        <f>E7550*Summary!$B$6</f>
        <v/>
      </c>
      <c r="H7550" s="11">
        <f>F7550*Summary!$B$7</f>
        <v/>
      </c>
      <c r="I7550" s="11">
        <f>MAX(0,N7550-M7550)</f>
        <v/>
      </c>
      <c r="J7550" s="11">
        <f>MAX(0,M7550-N7550)</f>
        <v/>
      </c>
      <c r="K7550" s="11">
        <f>O7550</f>
        <v/>
      </c>
      <c r="L7550" s="11">
        <f>L7549+IF(K7550&gt;0,K7550*Summary!$B$9,K7550/Summary!$B$9)</f>
        <v/>
      </c>
      <c r="M7550" s="11">
        <f>G7550+H7550</f>
        <v/>
      </c>
      <c r="N7550" s="11">
        <f>Summary!$C$16*Summary!$B$8</f>
        <v/>
      </c>
      <c r="O7550" s="11">
        <f>M7550-N7550</f>
        <v/>
      </c>
    </row>
    <row r="7551">
      <c r="A7551" s="9" t="n">
        <v>45606.54166666666</v>
      </c>
      <c r="B7551" t="n">
        <v>11</v>
      </c>
      <c r="C7551" t="n">
        <v>10</v>
      </c>
      <c r="D7551" t="n">
        <v>13</v>
      </c>
      <c r="E7551" s="10" t="n">
        <v>0.286971</v>
      </c>
      <c r="F7551" s="10" t="n">
        <v>0.2247826139478273</v>
      </c>
      <c r="G7551" s="11">
        <f>E7551*Summary!$B$6</f>
        <v/>
      </c>
      <c r="H7551" s="11">
        <f>F7551*Summary!$B$7</f>
        <v/>
      </c>
      <c r="I7551" s="11">
        <f>MAX(0,N7551-M7551)</f>
        <v/>
      </c>
      <c r="J7551" s="11">
        <f>MAX(0,M7551-N7551)</f>
        <v/>
      </c>
      <c r="K7551" s="11">
        <f>O7551</f>
        <v/>
      </c>
      <c r="L7551" s="11">
        <f>L7550+IF(K7551&gt;0,K7551*Summary!$B$9,K7551/Summary!$B$9)</f>
        <v/>
      </c>
      <c r="M7551" s="11">
        <f>G7551+H7551</f>
        <v/>
      </c>
      <c r="N7551" s="11">
        <f>Summary!$C$16*Summary!$B$8</f>
        <v/>
      </c>
      <c r="O7551" s="11">
        <f>M7551-N7551</f>
        <v/>
      </c>
    </row>
    <row r="7552">
      <c r="A7552" s="9" t="n">
        <v>45606.58333333334</v>
      </c>
      <c r="B7552" t="n">
        <v>11</v>
      </c>
      <c r="C7552" t="n">
        <v>10</v>
      </c>
      <c r="D7552" t="n">
        <v>14</v>
      </c>
      <c r="E7552" s="10" t="n">
        <v>0.175313</v>
      </c>
      <c r="F7552" s="10" t="n">
        <v>0.2278657986877917</v>
      </c>
      <c r="G7552" s="11">
        <f>E7552*Summary!$B$6</f>
        <v/>
      </c>
      <c r="H7552" s="11">
        <f>F7552*Summary!$B$7</f>
        <v/>
      </c>
      <c r="I7552" s="11">
        <f>MAX(0,N7552-M7552)</f>
        <v/>
      </c>
      <c r="J7552" s="11">
        <f>MAX(0,M7552-N7552)</f>
        <v/>
      </c>
      <c r="K7552" s="11">
        <f>O7552</f>
        <v/>
      </c>
      <c r="L7552" s="11">
        <f>L7551+IF(K7552&gt;0,K7552*Summary!$B$9,K7552/Summary!$B$9)</f>
        <v/>
      </c>
      <c r="M7552" s="11">
        <f>G7552+H7552</f>
        <v/>
      </c>
      <c r="N7552" s="11">
        <f>Summary!$C$16*Summary!$B$8</f>
        <v/>
      </c>
      <c r="O7552" s="11">
        <f>M7552-N7552</f>
        <v/>
      </c>
    </row>
    <row r="7553">
      <c r="A7553" s="9" t="n">
        <v>45606.625</v>
      </c>
      <c r="B7553" t="n">
        <v>11</v>
      </c>
      <c r="C7553" t="n">
        <v>10</v>
      </c>
      <c r="D7553" t="n">
        <v>15</v>
      </c>
      <c r="E7553" s="10" t="n">
        <v>0.033645</v>
      </c>
      <c r="F7553" s="10" t="n">
        <v>0.2362984407116258</v>
      </c>
      <c r="G7553" s="11">
        <f>E7553*Summary!$B$6</f>
        <v/>
      </c>
      <c r="H7553" s="11">
        <f>F7553*Summary!$B$7</f>
        <v/>
      </c>
      <c r="I7553" s="11">
        <f>MAX(0,N7553-M7553)</f>
        <v/>
      </c>
      <c r="J7553" s="11">
        <f>MAX(0,M7553-N7553)</f>
        <v/>
      </c>
      <c r="K7553" s="11">
        <f>O7553</f>
        <v/>
      </c>
      <c r="L7553" s="11">
        <f>L7552+IF(K7553&gt;0,K7553*Summary!$B$9,K7553/Summary!$B$9)</f>
        <v/>
      </c>
      <c r="M7553" s="11">
        <f>G7553+H7553</f>
        <v/>
      </c>
      <c r="N7553" s="11">
        <f>Summary!$C$16*Summary!$B$8</f>
        <v/>
      </c>
      <c r="O7553" s="11">
        <f>M7553-N7553</f>
        <v/>
      </c>
    </row>
    <row r="7554">
      <c r="A7554" s="9" t="n">
        <v>45606.66666666666</v>
      </c>
      <c r="B7554" t="n">
        <v>11</v>
      </c>
      <c r="C7554" t="n">
        <v>10</v>
      </c>
      <c r="D7554" t="n">
        <v>16</v>
      </c>
      <c r="E7554" s="10" t="n">
        <v>0</v>
      </c>
      <c r="F7554" s="10" t="n">
        <v>0.246602075184498</v>
      </c>
      <c r="G7554" s="11">
        <f>E7554*Summary!$B$6</f>
        <v/>
      </c>
      <c r="H7554" s="11">
        <f>F7554*Summary!$B$7</f>
        <v/>
      </c>
      <c r="I7554" s="11">
        <f>MAX(0,N7554-M7554)</f>
        <v/>
      </c>
      <c r="J7554" s="11">
        <f>MAX(0,M7554-N7554)</f>
        <v/>
      </c>
      <c r="K7554" s="11">
        <f>O7554</f>
        <v/>
      </c>
      <c r="L7554" s="11">
        <f>L7553+IF(K7554&gt;0,K7554*Summary!$B$9,K7554/Summary!$B$9)</f>
        <v/>
      </c>
      <c r="M7554" s="11">
        <f>G7554+H7554</f>
        <v/>
      </c>
      <c r="N7554" s="11">
        <f>Summary!$C$16*Summary!$B$8</f>
        <v/>
      </c>
      <c r="O7554" s="11">
        <f>M7554-N7554</f>
        <v/>
      </c>
    </row>
    <row r="7555">
      <c r="A7555" s="9" t="n">
        <v>45606.70833333334</v>
      </c>
      <c r="B7555" t="n">
        <v>11</v>
      </c>
      <c r="C7555" t="n">
        <v>10</v>
      </c>
      <c r="D7555" t="n">
        <v>17</v>
      </c>
      <c r="E7555" s="10" t="n">
        <v>0</v>
      </c>
      <c r="F7555" s="10" t="n">
        <v>0.2560887974613114</v>
      </c>
      <c r="G7555" s="11">
        <f>E7555*Summary!$B$6</f>
        <v/>
      </c>
      <c r="H7555" s="11">
        <f>F7555*Summary!$B$7</f>
        <v/>
      </c>
      <c r="I7555" s="11">
        <f>MAX(0,N7555-M7555)</f>
        <v/>
      </c>
      <c r="J7555" s="11">
        <f>MAX(0,M7555-N7555)</f>
        <v/>
      </c>
      <c r="K7555" s="11">
        <f>O7555</f>
        <v/>
      </c>
      <c r="L7555" s="11">
        <f>L7554+IF(K7555&gt;0,K7555*Summary!$B$9,K7555/Summary!$B$9)</f>
        <v/>
      </c>
      <c r="M7555" s="11">
        <f>G7555+H7555</f>
        <v/>
      </c>
      <c r="N7555" s="11">
        <f>Summary!$C$16*Summary!$B$8</f>
        <v/>
      </c>
      <c r="O7555" s="11">
        <f>M7555-N7555</f>
        <v/>
      </c>
    </row>
    <row r="7556">
      <c r="A7556" s="9" t="n">
        <v>45606.75</v>
      </c>
      <c r="B7556" t="n">
        <v>11</v>
      </c>
      <c r="C7556" t="n">
        <v>10</v>
      </c>
      <c r="D7556" t="n">
        <v>18</v>
      </c>
      <c r="E7556" s="10" t="n">
        <v>0</v>
      </c>
      <c r="F7556" s="10" t="n">
        <v>0.2631774871625969</v>
      </c>
      <c r="G7556" s="11">
        <f>E7556*Summary!$B$6</f>
        <v/>
      </c>
      <c r="H7556" s="11">
        <f>F7556*Summary!$B$7</f>
        <v/>
      </c>
      <c r="I7556" s="11">
        <f>MAX(0,N7556-M7556)</f>
        <v/>
      </c>
      <c r="J7556" s="11">
        <f>MAX(0,M7556-N7556)</f>
        <v/>
      </c>
      <c r="K7556" s="11">
        <f>O7556</f>
        <v/>
      </c>
      <c r="L7556" s="11">
        <f>L7555+IF(K7556&gt;0,K7556*Summary!$B$9,K7556/Summary!$B$9)</f>
        <v/>
      </c>
      <c r="M7556" s="11">
        <f>G7556+H7556</f>
        <v/>
      </c>
      <c r="N7556" s="11">
        <f>Summary!$C$16*Summary!$B$8</f>
        <v/>
      </c>
      <c r="O7556" s="11">
        <f>M7556-N7556</f>
        <v/>
      </c>
    </row>
    <row r="7557">
      <c r="A7557" s="9" t="n">
        <v>45606.79166666666</v>
      </c>
      <c r="B7557" t="n">
        <v>11</v>
      </c>
      <c r="C7557" t="n">
        <v>10</v>
      </c>
      <c r="D7557" t="n">
        <v>19</v>
      </c>
      <c r="E7557" s="10" t="n">
        <v>0</v>
      </c>
      <c r="F7557" s="10" t="n">
        <v>0.265918095820343</v>
      </c>
      <c r="G7557" s="11">
        <f>E7557*Summary!$B$6</f>
        <v/>
      </c>
      <c r="H7557" s="11">
        <f>F7557*Summary!$B$7</f>
        <v/>
      </c>
      <c r="I7557" s="11">
        <f>MAX(0,N7557-M7557)</f>
        <v/>
      </c>
      <c r="J7557" s="11">
        <f>MAX(0,M7557-N7557)</f>
        <v/>
      </c>
      <c r="K7557" s="11">
        <f>O7557</f>
        <v/>
      </c>
      <c r="L7557" s="11">
        <f>L7556+IF(K7557&gt;0,K7557*Summary!$B$9,K7557/Summary!$B$9)</f>
        <v/>
      </c>
      <c r="M7557" s="11">
        <f>G7557+H7557</f>
        <v/>
      </c>
      <c r="N7557" s="11">
        <f>Summary!$C$16*Summary!$B$8</f>
        <v/>
      </c>
      <c r="O7557" s="11">
        <f>M7557-N7557</f>
        <v/>
      </c>
    </row>
    <row r="7558">
      <c r="A7558" s="9" t="n">
        <v>45606.83333333334</v>
      </c>
      <c r="B7558" t="n">
        <v>11</v>
      </c>
      <c r="C7558" t="n">
        <v>10</v>
      </c>
      <c r="D7558" t="n">
        <v>20</v>
      </c>
      <c r="E7558" s="10" t="n">
        <v>0</v>
      </c>
      <c r="F7558" s="10" t="n">
        <v>0.2685532964527911</v>
      </c>
      <c r="G7558" s="11">
        <f>E7558*Summary!$B$6</f>
        <v/>
      </c>
      <c r="H7558" s="11">
        <f>F7558*Summary!$B$7</f>
        <v/>
      </c>
      <c r="I7558" s="11">
        <f>MAX(0,N7558-M7558)</f>
        <v/>
      </c>
      <c r="J7558" s="11">
        <f>MAX(0,M7558-N7558)</f>
        <v/>
      </c>
      <c r="K7558" s="11">
        <f>O7558</f>
        <v/>
      </c>
      <c r="L7558" s="11">
        <f>L7557+IF(K7558&gt;0,K7558*Summary!$B$9,K7558/Summary!$B$9)</f>
        <v/>
      </c>
      <c r="M7558" s="11">
        <f>G7558+H7558</f>
        <v/>
      </c>
      <c r="N7558" s="11">
        <f>Summary!$C$16*Summary!$B$8</f>
        <v/>
      </c>
      <c r="O7558" s="11">
        <f>M7558-N7558</f>
        <v/>
      </c>
    </row>
    <row r="7559">
      <c r="A7559" s="9" t="n">
        <v>45606.875</v>
      </c>
      <c r="B7559" t="n">
        <v>11</v>
      </c>
      <c r="C7559" t="n">
        <v>10</v>
      </c>
      <c r="D7559" t="n">
        <v>21</v>
      </c>
      <c r="E7559" s="10" t="n">
        <v>0</v>
      </c>
      <c r="F7559" s="10" t="n">
        <v>0.2702134728512335</v>
      </c>
      <c r="G7559" s="11">
        <f>E7559*Summary!$B$6</f>
        <v/>
      </c>
      <c r="H7559" s="11">
        <f>F7559*Summary!$B$7</f>
        <v/>
      </c>
      <c r="I7559" s="11">
        <f>MAX(0,N7559-M7559)</f>
        <v/>
      </c>
      <c r="J7559" s="11">
        <f>MAX(0,M7559-N7559)</f>
        <v/>
      </c>
      <c r="K7559" s="11">
        <f>O7559</f>
        <v/>
      </c>
      <c r="L7559" s="11">
        <f>L7558+IF(K7559&gt;0,K7559*Summary!$B$9,K7559/Summary!$B$9)</f>
        <v/>
      </c>
      <c r="M7559" s="11">
        <f>G7559+H7559</f>
        <v/>
      </c>
      <c r="N7559" s="11">
        <f>Summary!$C$16*Summary!$B$8</f>
        <v/>
      </c>
      <c r="O7559" s="11">
        <f>M7559-N7559</f>
        <v/>
      </c>
    </row>
    <row r="7560">
      <c r="A7560" s="9" t="n">
        <v>45606.91666666666</v>
      </c>
      <c r="B7560" t="n">
        <v>11</v>
      </c>
      <c r="C7560" t="n">
        <v>10</v>
      </c>
      <c r="D7560" t="n">
        <v>22</v>
      </c>
      <c r="E7560" s="10" t="n">
        <v>0</v>
      </c>
      <c r="F7560" s="10" t="n">
        <v>0.2698972487753397</v>
      </c>
      <c r="G7560" s="11">
        <f>E7560*Summary!$B$6</f>
        <v/>
      </c>
      <c r="H7560" s="11">
        <f>F7560*Summary!$B$7</f>
        <v/>
      </c>
      <c r="I7560" s="11">
        <f>MAX(0,N7560-M7560)</f>
        <v/>
      </c>
      <c r="J7560" s="11">
        <f>MAX(0,M7560-N7560)</f>
        <v/>
      </c>
      <c r="K7560" s="11">
        <f>O7560</f>
        <v/>
      </c>
      <c r="L7560" s="11">
        <f>L7559+IF(K7560&gt;0,K7560*Summary!$B$9,K7560/Summary!$B$9)</f>
        <v/>
      </c>
      <c r="M7560" s="11">
        <f>G7560+H7560</f>
        <v/>
      </c>
      <c r="N7560" s="11">
        <f>Summary!$C$16*Summary!$B$8</f>
        <v/>
      </c>
      <c r="O7560" s="11">
        <f>M7560-N7560</f>
        <v/>
      </c>
    </row>
    <row r="7561">
      <c r="A7561" s="9" t="n">
        <v>45606.95833333334</v>
      </c>
      <c r="B7561" t="n">
        <v>11</v>
      </c>
      <c r="C7561" t="n">
        <v>10</v>
      </c>
      <c r="D7561" t="n">
        <v>23</v>
      </c>
      <c r="E7561" s="10" t="n">
        <v>0</v>
      </c>
      <c r="F7561" s="10" t="n">
        <v>0.27089862501567</v>
      </c>
      <c r="G7561" s="11">
        <f>E7561*Summary!$B$6</f>
        <v/>
      </c>
      <c r="H7561" s="11">
        <f>F7561*Summary!$B$7</f>
        <v/>
      </c>
      <c r="I7561" s="11">
        <f>MAX(0,N7561-M7561)</f>
        <v/>
      </c>
      <c r="J7561" s="11">
        <f>MAX(0,M7561-N7561)</f>
        <v/>
      </c>
      <c r="K7561" s="11">
        <f>O7561</f>
        <v/>
      </c>
      <c r="L7561" s="11">
        <f>L7560+IF(K7561&gt;0,K7561*Summary!$B$9,K7561/Summary!$B$9)</f>
        <v/>
      </c>
      <c r="M7561" s="11">
        <f>G7561+H7561</f>
        <v/>
      </c>
      <c r="N7561" s="11">
        <f>Summary!$C$16*Summary!$B$8</f>
        <v/>
      </c>
      <c r="O7561" s="11">
        <f>M7561-N7561</f>
        <v/>
      </c>
    </row>
    <row r="7562">
      <c r="A7562" s="9" t="n">
        <v>45607</v>
      </c>
      <c r="B7562" t="n">
        <v>11</v>
      </c>
      <c r="C7562" t="n">
        <v>11</v>
      </c>
      <c r="D7562" t="n">
        <v>0</v>
      </c>
      <c r="E7562" s="10" t="n">
        <v>0</v>
      </c>
      <c r="F7562" s="10" t="n">
        <v>0.3470295712870971</v>
      </c>
      <c r="G7562" s="11">
        <f>E7562*Summary!$B$6</f>
        <v/>
      </c>
      <c r="H7562" s="11">
        <f>F7562*Summary!$B$7</f>
        <v/>
      </c>
      <c r="I7562" s="11">
        <f>MAX(0,N7562-M7562)</f>
        <v/>
      </c>
      <c r="J7562" s="11">
        <f>MAX(0,M7562-N7562)</f>
        <v/>
      </c>
      <c r="K7562" s="11">
        <f>O7562</f>
        <v/>
      </c>
      <c r="L7562" s="11">
        <f>L7561+IF(K7562&gt;0,K7562*Summary!$B$9,K7562/Summary!$B$9)</f>
        <v/>
      </c>
      <c r="M7562" s="11">
        <f>G7562+H7562</f>
        <v/>
      </c>
      <c r="N7562" s="11">
        <f>Summary!$C$16*Summary!$B$8</f>
        <v/>
      </c>
      <c r="O7562" s="11">
        <f>M7562-N7562</f>
        <v/>
      </c>
    </row>
    <row r="7563">
      <c r="A7563" s="9" t="n">
        <v>45607.04166666666</v>
      </c>
      <c r="B7563" t="n">
        <v>11</v>
      </c>
      <c r="C7563" t="n">
        <v>11</v>
      </c>
      <c r="D7563" t="n">
        <v>1</v>
      </c>
      <c r="E7563" s="10" t="n">
        <v>0</v>
      </c>
      <c r="F7563" s="10" t="n">
        <v>0.2791731550015572</v>
      </c>
      <c r="G7563" s="11">
        <f>E7563*Summary!$B$6</f>
        <v/>
      </c>
      <c r="H7563" s="11">
        <f>F7563*Summary!$B$7</f>
        <v/>
      </c>
      <c r="I7563" s="11">
        <f>MAX(0,N7563-M7563)</f>
        <v/>
      </c>
      <c r="J7563" s="11">
        <f>MAX(0,M7563-N7563)</f>
        <v/>
      </c>
      <c r="K7563" s="11">
        <f>O7563</f>
        <v/>
      </c>
      <c r="L7563" s="11">
        <f>L7562+IF(K7563&gt;0,K7563*Summary!$B$9,K7563/Summary!$B$9)</f>
        <v/>
      </c>
      <c r="M7563" s="11">
        <f>G7563+H7563</f>
        <v/>
      </c>
      <c r="N7563" s="11">
        <f>Summary!$C$16*Summary!$B$8</f>
        <v/>
      </c>
      <c r="O7563" s="11">
        <f>M7563-N7563</f>
        <v/>
      </c>
    </row>
    <row r="7564">
      <c r="A7564" s="9" t="n">
        <v>45607.08333333334</v>
      </c>
      <c r="B7564" t="n">
        <v>11</v>
      </c>
      <c r="C7564" t="n">
        <v>11</v>
      </c>
      <c r="D7564" t="n">
        <v>2</v>
      </c>
      <c r="E7564" s="10" t="n">
        <v>0</v>
      </c>
      <c r="F7564" s="10" t="n">
        <v>0.2849442443866186</v>
      </c>
      <c r="G7564" s="11">
        <f>E7564*Summary!$B$6</f>
        <v/>
      </c>
      <c r="H7564" s="11">
        <f>F7564*Summary!$B$7</f>
        <v/>
      </c>
      <c r="I7564" s="11">
        <f>MAX(0,N7564-M7564)</f>
        <v/>
      </c>
      <c r="J7564" s="11">
        <f>MAX(0,M7564-N7564)</f>
        <v/>
      </c>
      <c r="K7564" s="11">
        <f>O7564</f>
        <v/>
      </c>
      <c r="L7564" s="11">
        <f>L7563+IF(K7564&gt;0,K7564*Summary!$B$9,K7564/Summary!$B$9)</f>
        <v/>
      </c>
      <c r="M7564" s="11">
        <f>G7564+H7564</f>
        <v/>
      </c>
      <c r="N7564" s="11">
        <f>Summary!$C$16*Summary!$B$8</f>
        <v/>
      </c>
      <c r="O7564" s="11">
        <f>M7564-N7564</f>
        <v/>
      </c>
    </row>
    <row r="7565">
      <c r="A7565" s="9" t="n">
        <v>45607.125</v>
      </c>
      <c r="B7565" t="n">
        <v>11</v>
      </c>
      <c r="C7565" t="n">
        <v>11</v>
      </c>
      <c r="D7565" t="n">
        <v>3</v>
      </c>
      <c r="E7565" s="10" t="n">
        <v>0</v>
      </c>
      <c r="F7565" s="10" t="n">
        <v>0.2881328371518809</v>
      </c>
      <c r="G7565" s="11">
        <f>E7565*Summary!$B$6</f>
        <v/>
      </c>
      <c r="H7565" s="11">
        <f>F7565*Summary!$B$7</f>
        <v/>
      </c>
      <c r="I7565" s="11">
        <f>MAX(0,N7565-M7565)</f>
        <v/>
      </c>
      <c r="J7565" s="11">
        <f>MAX(0,M7565-N7565)</f>
        <v/>
      </c>
      <c r="K7565" s="11">
        <f>O7565</f>
        <v/>
      </c>
      <c r="L7565" s="11">
        <f>L7564+IF(K7565&gt;0,K7565*Summary!$B$9,K7565/Summary!$B$9)</f>
        <v/>
      </c>
      <c r="M7565" s="11">
        <f>G7565+H7565</f>
        <v/>
      </c>
      <c r="N7565" s="11">
        <f>Summary!$C$16*Summary!$B$8</f>
        <v/>
      </c>
      <c r="O7565" s="11">
        <f>M7565-N7565</f>
        <v/>
      </c>
    </row>
    <row r="7566">
      <c r="A7566" s="9" t="n">
        <v>45607.16666666666</v>
      </c>
      <c r="B7566" t="n">
        <v>11</v>
      </c>
      <c r="C7566" t="n">
        <v>11</v>
      </c>
      <c r="D7566" t="n">
        <v>4</v>
      </c>
      <c r="E7566" s="10" t="n">
        <v>0</v>
      </c>
      <c r="F7566" s="10" t="n">
        <v>0.2920329340879042</v>
      </c>
      <c r="G7566" s="11">
        <f>E7566*Summary!$B$6</f>
        <v/>
      </c>
      <c r="H7566" s="11">
        <f>F7566*Summary!$B$7</f>
        <v/>
      </c>
      <c r="I7566" s="11">
        <f>MAX(0,N7566-M7566)</f>
        <v/>
      </c>
      <c r="J7566" s="11">
        <f>MAX(0,M7566-N7566)</f>
        <v/>
      </c>
      <c r="K7566" s="11">
        <f>O7566</f>
        <v/>
      </c>
      <c r="L7566" s="11">
        <f>L7565+IF(K7566&gt;0,K7566*Summary!$B$9,K7566/Summary!$B$9)</f>
        <v/>
      </c>
      <c r="M7566" s="11">
        <f>G7566+H7566</f>
        <v/>
      </c>
      <c r="N7566" s="11">
        <f>Summary!$C$16*Summary!$B$8</f>
        <v/>
      </c>
      <c r="O7566" s="11">
        <f>M7566-N7566</f>
        <v/>
      </c>
    </row>
    <row r="7567">
      <c r="A7567" s="9" t="n">
        <v>45607.20833333334</v>
      </c>
      <c r="B7567" t="n">
        <v>11</v>
      </c>
      <c r="C7567" t="n">
        <v>11</v>
      </c>
      <c r="D7567" t="n">
        <v>5</v>
      </c>
      <c r="E7567" s="10" t="n">
        <v>0</v>
      </c>
      <c r="F7567" s="10" t="n">
        <v>0.3041021529845167</v>
      </c>
      <c r="G7567" s="11">
        <f>E7567*Summary!$B$6</f>
        <v/>
      </c>
      <c r="H7567" s="11">
        <f>F7567*Summary!$B$7</f>
        <v/>
      </c>
      <c r="I7567" s="11">
        <f>MAX(0,N7567-M7567)</f>
        <v/>
      </c>
      <c r="J7567" s="11">
        <f>MAX(0,M7567-N7567)</f>
        <v/>
      </c>
      <c r="K7567" s="11">
        <f>O7567</f>
        <v/>
      </c>
      <c r="L7567" s="11">
        <f>L7566+IF(K7567&gt;0,K7567*Summary!$B$9,K7567/Summary!$B$9)</f>
        <v/>
      </c>
      <c r="M7567" s="11">
        <f>G7567+H7567</f>
        <v/>
      </c>
      <c r="N7567" s="11">
        <f>Summary!$C$16*Summary!$B$8</f>
        <v/>
      </c>
      <c r="O7567" s="11">
        <f>M7567-N7567</f>
        <v/>
      </c>
    </row>
    <row r="7568">
      <c r="A7568" s="9" t="n">
        <v>45607.25</v>
      </c>
      <c r="B7568" t="n">
        <v>11</v>
      </c>
      <c r="C7568" t="n">
        <v>11</v>
      </c>
      <c r="D7568" t="n">
        <v>6</v>
      </c>
      <c r="E7568" s="10" t="n">
        <v>0</v>
      </c>
      <c r="F7568" s="10" t="n">
        <v>0.3142476754194421</v>
      </c>
      <c r="G7568" s="11">
        <f>E7568*Summary!$B$6</f>
        <v/>
      </c>
      <c r="H7568" s="11">
        <f>F7568*Summary!$B$7</f>
        <v/>
      </c>
      <c r="I7568" s="11">
        <f>MAX(0,N7568-M7568)</f>
        <v/>
      </c>
      <c r="J7568" s="11">
        <f>MAX(0,M7568-N7568)</f>
        <v/>
      </c>
      <c r="K7568" s="11">
        <f>O7568</f>
        <v/>
      </c>
      <c r="L7568" s="11">
        <f>L7567+IF(K7568&gt;0,K7568*Summary!$B$9,K7568/Summary!$B$9)</f>
        <v/>
      </c>
      <c r="M7568" s="11">
        <f>G7568+H7568</f>
        <v/>
      </c>
      <c r="N7568" s="11">
        <f>Summary!$C$16*Summary!$B$8</f>
        <v/>
      </c>
      <c r="O7568" s="11">
        <f>M7568-N7568</f>
        <v/>
      </c>
    </row>
    <row r="7569">
      <c r="A7569" s="9" t="n">
        <v>45607.29166666666</v>
      </c>
      <c r="B7569" t="n">
        <v>11</v>
      </c>
      <c r="C7569" t="n">
        <v>11</v>
      </c>
      <c r="D7569" t="n">
        <v>7</v>
      </c>
      <c r="E7569" s="10" t="n">
        <v>0</v>
      </c>
      <c r="F7569" s="10" t="n">
        <v>0.3204403969056953</v>
      </c>
      <c r="G7569" s="11">
        <f>E7569*Summary!$B$6</f>
        <v/>
      </c>
      <c r="H7569" s="11">
        <f>F7569*Summary!$B$7</f>
        <v/>
      </c>
      <c r="I7569" s="11">
        <f>MAX(0,N7569-M7569)</f>
        <v/>
      </c>
      <c r="J7569" s="11">
        <f>MAX(0,M7569-N7569)</f>
        <v/>
      </c>
      <c r="K7569" s="11">
        <f>O7569</f>
        <v/>
      </c>
      <c r="L7569" s="11">
        <f>L7568+IF(K7569&gt;0,K7569*Summary!$B$9,K7569/Summary!$B$9)</f>
        <v/>
      </c>
      <c r="M7569" s="11">
        <f>G7569+H7569</f>
        <v/>
      </c>
      <c r="N7569" s="11">
        <f>Summary!$C$16*Summary!$B$8</f>
        <v/>
      </c>
      <c r="O7569" s="11">
        <f>M7569-N7569</f>
        <v/>
      </c>
    </row>
    <row r="7570">
      <c r="A7570" s="9" t="n">
        <v>45607.33333333334</v>
      </c>
      <c r="B7570" t="n">
        <v>11</v>
      </c>
      <c r="C7570" t="n">
        <v>11</v>
      </c>
      <c r="D7570" t="n">
        <v>8</v>
      </c>
      <c r="E7570" s="10" t="n">
        <v>0.065691</v>
      </c>
      <c r="F7570" s="10" t="n">
        <v>0.3213100131144032</v>
      </c>
      <c r="G7570" s="11">
        <f>E7570*Summary!$B$6</f>
        <v/>
      </c>
      <c r="H7570" s="11">
        <f>F7570*Summary!$B$7</f>
        <v/>
      </c>
      <c r="I7570" s="11">
        <f>MAX(0,N7570-M7570)</f>
        <v/>
      </c>
      <c r="J7570" s="11">
        <f>MAX(0,M7570-N7570)</f>
        <v/>
      </c>
      <c r="K7570" s="11">
        <f>O7570</f>
        <v/>
      </c>
      <c r="L7570" s="11">
        <f>L7569+IF(K7570&gt;0,K7570*Summary!$B$9,K7570/Summary!$B$9)</f>
        <v/>
      </c>
      <c r="M7570" s="11">
        <f>G7570+H7570</f>
        <v/>
      </c>
      <c r="N7570" s="11">
        <f>Summary!$C$16*Summary!$B$8</f>
        <v/>
      </c>
      <c r="O7570" s="11">
        <f>M7570-N7570</f>
        <v/>
      </c>
    </row>
    <row r="7571">
      <c r="A7571" s="9" t="n">
        <v>45607.375</v>
      </c>
      <c r="B7571" t="n">
        <v>11</v>
      </c>
      <c r="C7571" t="n">
        <v>11</v>
      </c>
      <c r="D7571" t="n">
        <v>9</v>
      </c>
      <c r="E7571" s="10" t="n">
        <v>0.208108</v>
      </c>
      <c r="F7571" s="10" t="n">
        <v>0.3234181736203617</v>
      </c>
      <c r="G7571" s="11">
        <f>E7571*Summary!$B$6</f>
        <v/>
      </c>
      <c r="H7571" s="11">
        <f>F7571*Summary!$B$7</f>
        <v/>
      </c>
      <c r="I7571" s="11">
        <f>MAX(0,N7571-M7571)</f>
        <v/>
      </c>
      <c r="J7571" s="11">
        <f>MAX(0,M7571-N7571)</f>
        <v/>
      </c>
      <c r="K7571" s="11">
        <f>O7571</f>
        <v/>
      </c>
      <c r="L7571" s="11">
        <f>L7570+IF(K7571&gt;0,K7571*Summary!$B$9,K7571/Summary!$B$9)</f>
        <v/>
      </c>
      <c r="M7571" s="11">
        <f>G7571+H7571</f>
        <v/>
      </c>
      <c r="N7571" s="11">
        <f>Summary!$C$16*Summary!$B$8</f>
        <v/>
      </c>
      <c r="O7571" s="11">
        <f>M7571-N7571</f>
        <v/>
      </c>
    </row>
    <row r="7572">
      <c r="A7572" s="9" t="n">
        <v>45607.41666666666</v>
      </c>
      <c r="B7572" t="n">
        <v>11</v>
      </c>
      <c r="C7572" t="n">
        <v>11</v>
      </c>
      <c r="D7572" t="n">
        <v>10</v>
      </c>
      <c r="E7572" s="10" t="n">
        <v>0.303039</v>
      </c>
      <c r="F7572" s="10" t="n">
        <v>0.3188856285325508</v>
      </c>
      <c r="G7572" s="11">
        <f>E7572*Summary!$B$6</f>
        <v/>
      </c>
      <c r="H7572" s="11">
        <f>F7572*Summary!$B$7</f>
        <v/>
      </c>
      <c r="I7572" s="11">
        <f>MAX(0,N7572-M7572)</f>
        <v/>
      </c>
      <c r="J7572" s="11">
        <f>MAX(0,M7572-N7572)</f>
        <v/>
      </c>
      <c r="K7572" s="11">
        <f>O7572</f>
        <v/>
      </c>
      <c r="L7572" s="11">
        <f>L7571+IF(K7572&gt;0,K7572*Summary!$B$9,K7572/Summary!$B$9)</f>
        <v/>
      </c>
      <c r="M7572" s="11">
        <f>G7572+H7572</f>
        <v/>
      </c>
      <c r="N7572" s="11">
        <f>Summary!$C$16*Summary!$B$8</f>
        <v/>
      </c>
      <c r="O7572" s="11">
        <f>M7572-N7572</f>
        <v/>
      </c>
    </row>
    <row r="7573">
      <c r="A7573" s="9" t="n">
        <v>45607.45833333334</v>
      </c>
      <c r="B7573" t="n">
        <v>11</v>
      </c>
      <c r="C7573" t="n">
        <v>11</v>
      </c>
      <c r="D7573" t="n">
        <v>11</v>
      </c>
      <c r="E7573" s="10" t="n">
        <v>0.352992</v>
      </c>
      <c r="F7573" s="10" t="n">
        <v>0.3155652757356662</v>
      </c>
      <c r="G7573" s="11">
        <f>E7573*Summary!$B$6</f>
        <v/>
      </c>
      <c r="H7573" s="11">
        <f>F7573*Summary!$B$7</f>
        <v/>
      </c>
      <c r="I7573" s="11">
        <f>MAX(0,N7573-M7573)</f>
        <v/>
      </c>
      <c r="J7573" s="11">
        <f>MAX(0,M7573-N7573)</f>
        <v/>
      </c>
      <c r="K7573" s="11">
        <f>O7573</f>
        <v/>
      </c>
      <c r="L7573" s="11">
        <f>L7572+IF(K7573&gt;0,K7573*Summary!$B$9,K7573/Summary!$B$9)</f>
        <v/>
      </c>
      <c r="M7573" s="11">
        <f>G7573+H7573</f>
        <v/>
      </c>
      <c r="N7573" s="11">
        <f>Summary!$C$16*Summary!$B$8</f>
        <v/>
      </c>
      <c r="O7573" s="11">
        <f>M7573-N7573</f>
        <v/>
      </c>
    </row>
    <row r="7574">
      <c r="A7574" s="9" t="n">
        <v>45607.5</v>
      </c>
      <c r="B7574" t="n">
        <v>11</v>
      </c>
      <c r="C7574" t="n">
        <v>11</v>
      </c>
      <c r="D7574" t="n">
        <v>12</v>
      </c>
      <c r="E7574" s="10" t="n">
        <v>0.349628</v>
      </c>
      <c r="F7574" s="10" t="n">
        <v>0.3137733393056014</v>
      </c>
      <c r="G7574" s="11">
        <f>E7574*Summary!$B$6</f>
        <v/>
      </c>
      <c r="H7574" s="11">
        <f>F7574*Summary!$B$7</f>
        <v/>
      </c>
      <c r="I7574" s="11">
        <f>MAX(0,N7574-M7574)</f>
        <v/>
      </c>
      <c r="J7574" s="11">
        <f>MAX(0,M7574-N7574)</f>
        <v/>
      </c>
      <c r="K7574" s="11">
        <f>O7574</f>
        <v/>
      </c>
      <c r="L7574" s="11">
        <f>L7573+IF(K7574&gt;0,K7574*Summary!$B$9,K7574/Summary!$B$9)</f>
        <v/>
      </c>
      <c r="M7574" s="11">
        <f>G7574+H7574</f>
        <v/>
      </c>
      <c r="N7574" s="11">
        <f>Summary!$C$16*Summary!$B$8</f>
        <v/>
      </c>
      <c r="O7574" s="11">
        <f>M7574-N7574</f>
        <v/>
      </c>
    </row>
    <row r="7575">
      <c r="A7575" s="9" t="n">
        <v>45607.54166666666</v>
      </c>
      <c r="B7575" t="n">
        <v>11</v>
      </c>
      <c r="C7575" t="n">
        <v>11</v>
      </c>
      <c r="D7575" t="n">
        <v>13</v>
      </c>
      <c r="E7575" s="10" t="n">
        <v>0.289408</v>
      </c>
      <c r="F7575" s="10" t="n">
        <v>0.3100313544075251</v>
      </c>
      <c r="G7575" s="11">
        <f>E7575*Summary!$B$6</f>
        <v/>
      </c>
      <c r="H7575" s="11">
        <f>F7575*Summary!$B$7</f>
        <v/>
      </c>
      <c r="I7575" s="11">
        <f>MAX(0,N7575-M7575)</f>
        <v/>
      </c>
      <c r="J7575" s="11">
        <f>MAX(0,M7575-N7575)</f>
        <v/>
      </c>
      <c r="K7575" s="11">
        <f>O7575</f>
        <v/>
      </c>
      <c r="L7575" s="11">
        <f>L7574+IF(K7575&gt;0,K7575*Summary!$B$9,K7575/Summary!$B$9)</f>
        <v/>
      </c>
      <c r="M7575" s="11">
        <f>G7575+H7575</f>
        <v/>
      </c>
      <c r="N7575" s="11">
        <f>Summary!$C$16*Summary!$B$8</f>
        <v/>
      </c>
      <c r="O7575" s="11">
        <f>M7575-N7575</f>
        <v/>
      </c>
    </row>
    <row r="7576">
      <c r="A7576" s="9" t="n">
        <v>45607.58333333334</v>
      </c>
      <c r="B7576" t="n">
        <v>11</v>
      </c>
      <c r="C7576" t="n">
        <v>11</v>
      </c>
      <c r="D7576" t="n">
        <v>14</v>
      </c>
      <c r="E7576" s="10" t="n">
        <v>0.182679</v>
      </c>
      <c r="F7576" s="10" t="n">
        <v>0.3110590826541798</v>
      </c>
      <c r="G7576" s="11">
        <f>E7576*Summary!$B$6</f>
        <v/>
      </c>
      <c r="H7576" s="11">
        <f>F7576*Summary!$B$7</f>
        <v/>
      </c>
      <c r="I7576" s="11">
        <f>MAX(0,N7576-M7576)</f>
        <v/>
      </c>
      <c r="J7576" s="11">
        <f>MAX(0,M7576-N7576)</f>
        <v/>
      </c>
      <c r="K7576" s="11">
        <f>O7576</f>
        <v/>
      </c>
      <c r="L7576" s="11">
        <f>L7575+IF(K7576&gt;0,K7576*Summary!$B$9,K7576/Summary!$B$9)</f>
        <v/>
      </c>
      <c r="M7576" s="11">
        <f>G7576+H7576</f>
        <v/>
      </c>
      <c r="N7576" s="11">
        <f>Summary!$C$16*Summary!$B$8</f>
        <v/>
      </c>
      <c r="O7576" s="11">
        <f>M7576-N7576</f>
        <v/>
      </c>
    </row>
    <row r="7577">
      <c r="A7577" s="9" t="n">
        <v>45607.625</v>
      </c>
      <c r="B7577" t="n">
        <v>11</v>
      </c>
      <c r="C7577" t="n">
        <v>11</v>
      </c>
      <c r="D7577" t="n">
        <v>15</v>
      </c>
      <c r="E7577" s="10" t="n">
        <v>0.03898</v>
      </c>
      <c r="F7577" s="10" t="n">
        <v>0.3092934982304396</v>
      </c>
      <c r="G7577" s="11">
        <f>E7577*Summary!$B$6</f>
        <v/>
      </c>
      <c r="H7577" s="11">
        <f>F7577*Summary!$B$7</f>
        <v/>
      </c>
      <c r="I7577" s="11">
        <f>MAX(0,N7577-M7577)</f>
        <v/>
      </c>
      <c r="J7577" s="11">
        <f>MAX(0,M7577-N7577)</f>
        <v/>
      </c>
      <c r="K7577" s="11">
        <f>O7577</f>
        <v/>
      </c>
      <c r="L7577" s="11">
        <f>L7576+IF(K7577&gt;0,K7577*Summary!$B$9,K7577/Summary!$B$9)</f>
        <v/>
      </c>
      <c r="M7577" s="11">
        <f>G7577+H7577</f>
        <v/>
      </c>
      <c r="N7577" s="11">
        <f>Summary!$C$16*Summary!$B$8</f>
        <v/>
      </c>
      <c r="O7577" s="11">
        <f>M7577-N7577</f>
        <v/>
      </c>
    </row>
    <row r="7578">
      <c r="A7578" s="9" t="n">
        <v>45607.66666666666</v>
      </c>
      <c r="B7578" t="n">
        <v>11</v>
      </c>
      <c r="C7578" t="n">
        <v>11</v>
      </c>
      <c r="D7578" t="n">
        <v>16</v>
      </c>
      <c r="E7578" s="10" t="n">
        <v>0</v>
      </c>
      <c r="F7578" s="10" t="n">
        <v>0.3282669427840663</v>
      </c>
      <c r="G7578" s="11">
        <f>E7578*Summary!$B$6</f>
        <v/>
      </c>
      <c r="H7578" s="11">
        <f>F7578*Summary!$B$7</f>
        <v/>
      </c>
      <c r="I7578" s="11">
        <f>MAX(0,N7578-M7578)</f>
        <v/>
      </c>
      <c r="J7578" s="11">
        <f>MAX(0,M7578-N7578)</f>
        <v/>
      </c>
      <c r="K7578" s="11">
        <f>O7578</f>
        <v/>
      </c>
      <c r="L7578" s="11">
        <f>L7577+IF(K7578&gt;0,K7578*Summary!$B$9,K7578/Summary!$B$9)</f>
        <v/>
      </c>
      <c r="M7578" s="11">
        <f>G7578+H7578</f>
        <v/>
      </c>
      <c r="N7578" s="11">
        <f>Summary!$C$16*Summary!$B$8</f>
        <v/>
      </c>
      <c r="O7578" s="11">
        <f>M7578-N7578</f>
        <v/>
      </c>
    </row>
    <row r="7579">
      <c r="A7579" s="9" t="n">
        <v>45607.70833333334</v>
      </c>
      <c r="B7579" t="n">
        <v>11</v>
      </c>
      <c r="C7579" t="n">
        <v>11</v>
      </c>
      <c r="D7579" t="n">
        <v>17</v>
      </c>
      <c r="E7579" s="10" t="n">
        <v>0</v>
      </c>
      <c r="F7579" s="10" t="n">
        <v>0.3340116801628032</v>
      </c>
      <c r="G7579" s="11">
        <f>E7579*Summary!$B$6</f>
        <v/>
      </c>
      <c r="H7579" s="11">
        <f>F7579*Summary!$B$7</f>
        <v/>
      </c>
      <c r="I7579" s="11">
        <f>MAX(0,N7579-M7579)</f>
        <v/>
      </c>
      <c r="J7579" s="11">
        <f>MAX(0,M7579-N7579)</f>
        <v/>
      </c>
      <c r="K7579" s="11">
        <f>O7579</f>
        <v/>
      </c>
      <c r="L7579" s="11">
        <f>L7578+IF(K7579&gt;0,K7579*Summary!$B$9,K7579/Summary!$B$9)</f>
        <v/>
      </c>
      <c r="M7579" s="11">
        <f>G7579+H7579</f>
        <v/>
      </c>
      <c r="N7579" s="11">
        <f>Summary!$C$16*Summary!$B$8</f>
        <v/>
      </c>
      <c r="O7579" s="11">
        <f>M7579-N7579</f>
        <v/>
      </c>
    </row>
    <row r="7580">
      <c r="A7580" s="9" t="n">
        <v>45607.75</v>
      </c>
      <c r="B7580" t="n">
        <v>11</v>
      </c>
      <c r="C7580" t="n">
        <v>11</v>
      </c>
      <c r="D7580" t="n">
        <v>18</v>
      </c>
      <c r="E7580" s="10" t="n">
        <v>0</v>
      </c>
      <c r="F7580" s="10" t="n">
        <v>0.3434193464206431</v>
      </c>
      <c r="G7580" s="11">
        <f>E7580*Summary!$B$6</f>
        <v/>
      </c>
      <c r="H7580" s="11">
        <f>F7580*Summary!$B$7</f>
        <v/>
      </c>
      <c r="I7580" s="11">
        <f>MAX(0,N7580-M7580)</f>
        <v/>
      </c>
      <c r="J7580" s="11">
        <f>MAX(0,M7580-N7580)</f>
        <v/>
      </c>
      <c r="K7580" s="11">
        <f>O7580</f>
        <v/>
      </c>
      <c r="L7580" s="11">
        <f>L7579+IF(K7580&gt;0,K7580*Summary!$B$9,K7580/Summary!$B$9)</f>
        <v/>
      </c>
      <c r="M7580" s="11">
        <f>G7580+H7580</f>
        <v/>
      </c>
      <c r="N7580" s="11">
        <f>Summary!$C$16*Summary!$B$8</f>
        <v/>
      </c>
      <c r="O7580" s="11">
        <f>M7580-N7580</f>
        <v/>
      </c>
    </row>
    <row r="7581">
      <c r="A7581" s="9" t="n">
        <v>45607.79166666666</v>
      </c>
      <c r="B7581" t="n">
        <v>11</v>
      </c>
      <c r="C7581" t="n">
        <v>11</v>
      </c>
      <c r="D7581" t="n">
        <v>19</v>
      </c>
      <c r="E7581" s="10" t="n">
        <v>0</v>
      </c>
      <c r="F7581" s="10" t="n">
        <v>0.3489005637361353</v>
      </c>
      <c r="G7581" s="11">
        <f>E7581*Summary!$B$6</f>
        <v/>
      </c>
      <c r="H7581" s="11">
        <f>F7581*Summary!$B$7</f>
        <v/>
      </c>
      <c r="I7581" s="11">
        <f>MAX(0,N7581-M7581)</f>
        <v/>
      </c>
      <c r="J7581" s="11">
        <f>MAX(0,M7581-N7581)</f>
        <v/>
      </c>
      <c r="K7581" s="11">
        <f>O7581</f>
        <v/>
      </c>
      <c r="L7581" s="11">
        <f>L7580+IF(K7581&gt;0,K7581*Summary!$B$9,K7581/Summary!$B$9)</f>
        <v/>
      </c>
      <c r="M7581" s="11">
        <f>G7581+H7581</f>
        <v/>
      </c>
      <c r="N7581" s="11">
        <f>Summary!$C$16*Summary!$B$8</f>
        <v/>
      </c>
      <c r="O7581" s="11">
        <f>M7581-N7581</f>
        <v/>
      </c>
    </row>
    <row r="7582">
      <c r="A7582" s="9" t="n">
        <v>45607.83333333334</v>
      </c>
      <c r="B7582" t="n">
        <v>11</v>
      </c>
      <c r="C7582" t="n">
        <v>11</v>
      </c>
      <c r="D7582" t="n">
        <v>20</v>
      </c>
      <c r="E7582" s="10" t="n">
        <v>0</v>
      </c>
      <c r="F7582" s="10" t="n">
        <v>0.3532749967859992</v>
      </c>
      <c r="G7582" s="11">
        <f>E7582*Summary!$B$6</f>
        <v/>
      </c>
      <c r="H7582" s="11">
        <f>F7582*Summary!$B$7</f>
        <v/>
      </c>
      <c r="I7582" s="11">
        <f>MAX(0,N7582-M7582)</f>
        <v/>
      </c>
      <c r="J7582" s="11">
        <f>MAX(0,M7582-N7582)</f>
        <v/>
      </c>
      <c r="K7582" s="11">
        <f>O7582</f>
        <v/>
      </c>
      <c r="L7582" s="11">
        <f>L7581+IF(K7582&gt;0,K7582*Summary!$B$9,K7582/Summary!$B$9)</f>
        <v/>
      </c>
      <c r="M7582" s="11">
        <f>G7582+H7582</f>
        <v/>
      </c>
      <c r="N7582" s="11">
        <f>Summary!$C$16*Summary!$B$8</f>
        <v/>
      </c>
      <c r="O7582" s="11">
        <f>M7582-N7582</f>
        <v/>
      </c>
    </row>
    <row r="7583">
      <c r="A7583" s="9" t="n">
        <v>45607.875</v>
      </c>
      <c r="B7583" t="n">
        <v>11</v>
      </c>
      <c r="C7583" t="n">
        <v>11</v>
      </c>
      <c r="D7583" t="n">
        <v>21</v>
      </c>
      <c r="E7583" s="10" t="n">
        <v>0</v>
      </c>
      <c r="F7583" s="10" t="n">
        <v>0.3565953495828839</v>
      </c>
      <c r="G7583" s="11">
        <f>E7583*Summary!$B$6</f>
        <v/>
      </c>
      <c r="H7583" s="11">
        <f>F7583*Summary!$B$7</f>
        <v/>
      </c>
      <c r="I7583" s="11">
        <f>MAX(0,N7583-M7583)</f>
        <v/>
      </c>
      <c r="J7583" s="11">
        <f>MAX(0,M7583-N7583)</f>
        <v/>
      </c>
      <c r="K7583" s="11">
        <f>O7583</f>
        <v/>
      </c>
      <c r="L7583" s="11">
        <f>L7582+IF(K7583&gt;0,K7583*Summary!$B$9,K7583/Summary!$B$9)</f>
        <v/>
      </c>
      <c r="M7583" s="11">
        <f>G7583+H7583</f>
        <v/>
      </c>
      <c r="N7583" s="11">
        <f>Summary!$C$16*Summary!$B$8</f>
        <v/>
      </c>
      <c r="O7583" s="11">
        <f>M7583-N7583</f>
        <v/>
      </c>
    </row>
    <row r="7584">
      <c r="A7584" s="9" t="n">
        <v>45607.91666666666</v>
      </c>
      <c r="B7584" t="n">
        <v>11</v>
      </c>
      <c r="C7584" t="n">
        <v>11</v>
      </c>
      <c r="D7584" t="n">
        <v>22</v>
      </c>
      <c r="E7584" s="10" t="n">
        <v>0</v>
      </c>
      <c r="F7584" s="10" t="n">
        <v>0.3525371406089138</v>
      </c>
      <c r="G7584" s="11">
        <f>E7584*Summary!$B$6</f>
        <v/>
      </c>
      <c r="H7584" s="11">
        <f>F7584*Summary!$B$7</f>
        <v/>
      </c>
      <c r="I7584" s="11">
        <f>MAX(0,N7584-M7584)</f>
        <v/>
      </c>
      <c r="J7584" s="11">
        <f>MAX(0,M7584-N7584)</f>
        <v/>
      </c>
      <c r="K7584" s="11">
        <f>O7584</f>
        <v/>
      </c>
      <c r="L7584" s="11">
        <f>L7583+IF(K7584&gt;0,K7584*Summary!$B$9,K7584/Summary!$B$9)</f>
        <v/>
      </c>
      <c r="M7584" s="11">
        <f>G7584+H7584</f>
        <v/>
      </c>
      <c r="N7584" s="11">
        <f>Summary!$C$16*Summary!$B$8</f>
        <v/>
      </c>
      <c r="O7584" s="11">
        <f>M7584-N7584</f>
        <v/>
      </c>
    </row>
    <row r="7585">
      <c r="A7585" s="9" t="n">
        <v>45607.95833333334</v>
      </c>
      <c r="B7585" t="n">
        <v>11</v>
      </c>
      <c r="C7585" t="n">
        <v>11</v>
      </c>
      <c r="D7585" t="n">
        <v>23</v>
      </c>
      <c r="E7585" s="10" t="n">
        <v>0</v>
      </c>
      <c r="F7585" s="10" t="n">
        <v>0.3466606431985544</v>
      </c>
      <c r="G7585" s="11">
        <f>E7585*Summary!$B$6</f>
        <v/>
      </c>
      <c r="H7585" s="11">
        <f>F7585*Summary!$B$7</f>
        <v/>
      </c>
      <c r="I7585" s="11">
        <f>MAX(0,N7585-M7585)</f>
        <v/>
      </c>
      <c r="J7585" s="11">
        <f>MAX(0,M7585-N7585)</f>
        <v/>
      </c>
      <c r="K7585" s="11">
        <f>O7585</f>
        <v/>
      </c>
      <c r="L7585" s="11">
        <f>L7584+IF(K7585&gt;0,K7585*Summary!$B$9,K7585/Summary!$B$9)</f>
        <v/>
      </c>
      <c r="M7585" s="11">
        <f>G7585+H7585</f>
        <v/>
      </c>
      <c r="N7585" s="11">
        <f>Summary!$C$16*Summary!$B$8</f>
        <v/>
      </c>
      <c r="O7585" s="11">
        <f>M7585-N7585</f>
        <v/>
      </c>
    </row>
    <row r="7586">
      <c r="A7586" s="9" t="n">
        <v>45608</v>
      </c>
      <c r="B7586" t="n">
        <v>11</v>
      </c>
      <c r="C7586" t="n">
        <v>12</v>
      </c>
      <c r="D7586" t="n">
        <v>0</v>
      </c>
      <c r="E7586" s="10" t="n">
        <v>0</v>
      </c>
      <c r="F7586" s="10" t="n">
        <v>0.2673674561681895</v>
      </c>
      <c r="G7586" s="11">
        <f>E7586*Summary!$B$6</f>
        <v/>
      </c>
      <c r="H7586" s="11">
        <f>F7586*Summary!$B$7</f>
        <v/>
      </c>
      <c r="I7586" s="11">
        <f>MAX(0,N7586-M7586)</f>
        <v/>
      </c>
      <c r="J7586" s="11">
        <f>MAX(0,M7586-N7586)</f>
        <v/>
      </c>
      <c r="K7586" s="11">
        <f>O7586</f>
        <v/>
      </c>
      <c r="L7586" s="11">
        <f>L7585+IF(K7586&gt;0,K7586*Summary!$B$9,K7586/Summary!$B$9)</f>
        <v/>
      </c>
      <c r="M7586" s="11">
        <f>G7586+H7586</f>
        <v/>
      </c>
      <c r="N7586" s="11">
        <f>Summary!$C$16*Summary!$B$8</f>
        <v/>
      </c>
      <c r="O7586" s="11">
        <f>M7586-N7586</f>
        <v/>
      </c>
    </row>
    <row r="7587">
      <c r="A7587" s="9" t="n">
        <v>45608.04166666666</v>
      </c>
      <c r="B7587" t="n">
        <v>11</v>
      </c>
      <c r="C7587" t="n">
        <v>12</v>
      </c>
      <c r="D7587" t="n">
        <v>1</v>
      </c>
      <c r="E7587" s="10" t="n">
        <v>0</v>
      </c>
      <c r="F7587" s="10" t="n">
        <v>0.3477410754578581</v>
      </c>
      <c r="G7587" s="11">
        <f>E7587*Summary!$B$6</f>
        <v/>
      </c>
      <c r="H7587" s="11">
        <f>F7587*Summary!$B$7</f>
        <v/>
      </c>
      <c r="I7587" s="11">
        <f>MAX(0,N7587-M7587)</f>
        <v/>
      </c>
      <c r="J7587" s="11">
        <f>MAX(0,M7587-N7587)</f>
        <v/>
      </c>
      <c r="K7587" s="11">
        <f>O7587</f>
        <v/>
      </c>
      <c r="L7587" s="11">
        <f>L7586+IF(K7587&gt;0,K7587*Summary!$B$9,K7587/Summary!$B$9)</f>
        <v/>
      </c>
      <c r="M7587" s="11">
        <f>G7587+H7587</f>
        <v/>
      </c>
      <c r="N7587" s="11">
        <f>Summary!$C$16*Summary!$B$8</f>
        <v/>
      </c>
      <c r="O7587" s="11">
        <f>M7587-N7587</f>
        <v/>
      </c>
    </row>
    <row r="7588">
      <c r="A7588" s="9" t="n">
        <v>45608.08333333334</v>
      </c>
      <c r="B7588" t="n">
        <v>11</v>
      </c>
      <c r="C7588" t="n">
        <v>12</v>
      </c>
      <c r="D7588" t="n">
        <v>2</v>
      </c>
      <c r="E7588" s="10" t="n">
        <v>0</v>
      </c>
      <c r="F7588" s="10" t="n">
        <v>0.3504816841156042</v>
      </c>
      <c r="G7588" s="11">
        <f>E7588*Summary!$B$6</f>
        <v/>
      </c>
      <c r="H7588" s="11">
        <f>F7588*Summary!$B$7</f>
        <v/>
      </c>
      <c r="I7588" s="11">
        <f>MAX(0,N7588-M7588)</f>
        <v/>
      </c>
      <c r="J7588" s="11">
        <f>MAX(0,M7588-N7588)</f>
        <v/>
      </c>
      <c r="K7588" s="11">
        <f>O7588</f>
        <v/>
      </c>
      <c r="L7588" s="11">
        <f>L7587+IF(K7588&gt;0,K7588*Summary!$B$9,K7588/Summary!$B$9)</f>
        <v/>
      </c>
      <c r="M7588" s="11">
        <f>G7588+H7588</f>
        <v/>
      </c>
      <c r="N7588" s="11">
        <f>Summary!$C$16*Summary!$B$8</f>
        <v/>
      </c>
      <c r="O7588" s="11">
        <f>M7588-N7588</f>
        <v/>
      </c>
    </row>
    <row r="7589">
      <c r="A7589" s="9" t="n">
        <v>45608.125</v>
      </c>
      <c r="B7589" t="n">
        <v>11</v>
      </c>
      <c r="C7589" t="n">
        <v>12</v>
      </c>
      <c r="D7589" t="n">
        <v>3</v>
      </c>
      <c r="E7589" s="10" t="n">
        <v>0</v>
      </c>
      <c r="F7589" s="10" t="n">
        <v>0.3571223897093735</v>
      </c>
      <c r="G7589" s="11">
        <f>E7589*Summary!$B$6</f>
        <v/>
      </c>
      <c r="H7589" s="11">
        <f>F7589*Summary!$B$7</f>
        <v/>
      </c>
      <c r="I7589" s="11">
        <f>MAX(0,N7589-M7589)</f>
        <v/>
      </c>
      <c r="J7589" s="11">
        <f>MAX(0,M7589-N7589)</f>
        <v/>
      </c>
      <c r="K7589" s="11">
        <f>O7589</f>
        <v/>
      </c>
      <c r="L7589" s="11">
        <f>L7588+IF(K7589&gt;0,K7589*Summary!$B$9,K7589/Summary!$B$9)</f>
        <v/>
      </c>
      <c r="M7589" s="11">
        <f>G7589+H7589</f>
        <v/>
      </c>
      <c r="N7589" s="11">
        <f>Summary!$C$16*Summary!$B$8</f>
        <v/>
      </c>
      <c r="O7589" s="11">
        <f>M7589-N7589</f>
        <v/>
      </c>
    </row>
    <row r="7590">
      <c r="A7590" s="9" t="n">
        <v>45608.16666666666</v>
      </c>
      <c r="B7590" t="n">
        <v>11</v>
      </c>
      <c r="C7590" t="n">
        <v>12</v>
      </c>
      <c r="D7590" t="n">
        <v>4</v>
      </c>
      <c r="E7590" s="10" t="n">
        <v>0</v>
      </c>
      <c r="F7590" s="10" t="n">
        <v>0.3632887591893022</v>
      </c>
      <c r="G7590" s="11">
        <f>E7590*Summary!$B$6</f>
        <v/>
      </c>
      <c r="H7590" s="11">
        <f>F7590*Summary!$B$7</f>
        <v/>
      </c>
      <c r="I7590" s="11">
        <f>MAX(0,N7590-M7590)</f>
        <v/>
      </c>
      <c r="J7590" s="11">
        <f>MAX(0,M7590-N7590)</f>
        <v/>
      </c>
      <c r="K7590" s="11">
        <f>O7590</f>
        <v/>
      </c>
      <c r="L7590" s="11">
        <f>L7589+IF(K7590&gt;0,K7590*Summary!$B$9,K7590/Summary!$B$9)</f>
        <v/>
      </c>
      <c r="M7590" s="11">
        <f>G7590+H7590</f>
        <v/>
      </c>
      <c r="N7590" s="11">
        <f>Summary!$C$16*Summary!$B$8</f>
        <v/>
      </c>
      <c r="O7590" s="11">
        <f>M7590-N7590</f>
        <v/>
      </c>
    </row>
    <row r="7591">
      <c r="A7591" s="9" t="n">
        <v>45608.20833333334</v>
      </c>
      <c r="B7591" t="n">
        <v>11</v>
      </c>
      <c r="C7591" t="n">
        <v>12</v>
      </c>
      <c r="D7591" t="n">
        <v>5</v>
      </c>
      <c r="E7591" s="10" t="n">
        <v>0</v>
      </c>
      <c r="F7591" s="10" t="n">
        <v>0.3668462800431072</v>
      </c>
      <c r="G7591" s="11">
        <f>E7591*Summary!$B$6</f>
        <v/>
      </c>
      <c r="H7591" s="11">
        <f>F7591*Summary!$B$7</f>
        <v/>
      </c>
      <c r="I7591" s="11">
        <f>MAX(0,N7591-M7591)</f>
        <v/>
      </c>
      <c r="J7591" s="11">
        <f>MAX(0,M7591-N7591)</f>
        <v/>
      </c>
      <c r="K7591" s="11">
        <f>O7591</f>
        <v/>
      </c>
      <c r="L7591" s="11">
        <f>L7590+IF(K7591&gt;0,K7591*Summary!$B$9,K7591/Summary!$B$9)</f>
        <v/>
      </c>
      <c r="M7591" s="11">
        <f>G7591+H7591</f>
        <v/>
      </c>
      <c r="N7591" s="11">
        <f>Summary!$C$16*Summary!$B$8</f>
        <v/>
      </c>
      <c r="O7591" s="11">
        <f>M7591-N7591</f>
        <v/>
      </c>
    </row>
    <row r="7592">
      <c r="A7592" s="9" t="n">
        <v>45608.25</v>
      </c>
      <c r="B7592" t="n">
        <v>11</v>
      </c>
      <c r="C7592" t="n">
        <v>12</v>
      </c>
      <c r="D7592" t="n">
        <v>6</v>
      </c>
      <c r="E7592" s="10" t="n">
        <v>0</v>
      </c>
      <c r="F7592" s="10" t="n">
        <v>0.3797851151484276</v>
      </c>
      <c r="G7592" s="11">
        <f>E7592*Summary!$B$6</f>
        <v/>
      </c>
      <c r="H7592" s="11">
        <f>F7592*Summary!$B$7</f>
        <v/>
      </c>
      <c r="I7592" s="11">
        <f>MAX(0,N7592-M7592)</f>
        <v/>
      </c>
      <c r="J7592" s="11">
        <f>MAX(0,M7592-N7592)</f>
        <v/>
      </c>
      <c r="K7592" s="11">
        <f>O7592</f>
        <v/>
      </c>
      <c r="L7592" s="11">
        <f>L7591+IF(K7592&gt;0,K7592*Summary!$B$9,K7592/Summary!$B$9)</f>
        <v/>
      </c>
      <c r="M7592" s="11">
        <f>G7592+H7592</f>
        <v/>
      </c>
      <c r="N7592" s="11">
        <f>Summary!$C$16*Summary!$B$8</f>
        <v/>
      </c>
      <c r="O7592" s="11">
        <f>M7592-N7592</f>
        <v/>
      </c>
    </row>
    <row r="7593">
      <c r="A7593" s="9" t="n">
        <v>45608.29166666666</v>
      </c>
      <c r="B7593" t="n">
        <v>11</v>
      </c>
      <c r="C7593" t="n">
        <v>12</v>
      </c>
      <c r="D7593" t="n">
        <v>7</v>
      </c>
      <c r="E7593" s="10" t="n">
        <v>0</v>
      </c>
      <c r="F7593" s="10" t="n">
        <v>0.3734869856368766</v>
      </c>
      <c r="G7593" s="11">
        <f>E7593*Summary!$B$6</f>
        <v/>
      </c>
      <c r="H7593" s="11">
        <f>F7593*Summary!$B$7</f>
        <v/>
      </c>
      <c r="I7593" s="11">
        <f>MAX(0,N7593-M7593)</f>
        <v/>
      </c>
      <c r="J7593" s="11">
        <f>MAX(0,M7593-N7593)</f>
        <v/>
      </c>
      <c r="K7593" s="11">
        <f>O7593</f>
        <v/>
      </c>
      <c r="L7593" s="11">
        <f>L7592+IF(K7593&gt;0,K7593*Summary!$B$9,K7593/Summary!$B$9)</f>
        <v/>
      </c>
      <c r="M7593" s="11">
        <f>G7593+H7593</f>
        <v/>
      </c>
      <c r="N7593" s="11">
        <f>Summary!$C$16*Summary!$B$8</f>
        <v/>
      </c>
      <c r="O7593" s="11">
        <f>M7593-N7593</f>
        <v/>
      </c>
    </row>
    <row r="7594">
      <c r="A7594" s="9" t="n">
        <v>45608.33333333334</v>
      </c>
      <c r="B7594" t="n">
        <v>11</v>
      </c>
      <c r="C7594" t="n">
        <v>12</v>
      </c>
      <c r="D7594" t="n">
        <v>8</v>
      </c>
      <c r="E7594" s="10" t="n">
        <v>0.055369</v>
      </c>
      <c r="F7594" s="10" t="n">
        <v>0.3737768577064459</v>
      </c>
      <c r="G7594" s="11">
        <f>E7594*Summary!$B$6</f>
        <v/>
      </c>
      <c r="H7594" s="11">
        <f>F7594*Summary!$B$7</f>
        <v/>
      </c>
      <c r="I7594" s="11">
        <f>MAX(0,N7594-M7594)</f>
        <v/>
      </c>
      <c r="J7594" s="11">
        <f>MAX(0,M7594-N7594)</f>
        <v/>
      </c>
      <c r="K7594" s="11">
        <f>O7594</f>
        <v/>
      </c>
      <c r="L7594" s="11">
        <f>L7593+IF(K7594&gt;0,K7594*Summary!$B$9,K7594/Summary!$B$9)</f>
        <v/>
      </c>
      <c r="M7594" s="11">
        <f>G7594+H7594</f>
        <v/>
      </c>
      <c r="N7594" s="11">
        <f>Summary!$C$16*Summary!$B$8</f>
        <v/>
      </c>
      <c r="O7594" s="11">
        <f>M7594-N7594</f>
        <v/>
      </c>
    </row>
    <row r="7595">
      <c r="A7595" s="9" t="n">
        <v>45608.375</v>
      </c>
      <c r="B7595" t="n">
        <v>11</v>
      </c>
      <c r="C7595" t="n">
        <v>12</v>
      </c>
      <c r="D7595" t="n">
        <v>9</v>
      </c>
      <c r="E7595" s="10" t="n">
        <v>0.191879</v>
      </c>
      <c r="F7595" s="10" t="n">
        <v>0.3670307440873786</v>
      </c>
      <c r="G7595" s="11">
        <f>E7595*Summary!$B$6</f>
        <v/>
      </c>
      <c r="H7595" s="11">
        <f>F7595*Summary!$B$7</f>
        <v/>
      </c>
      <c r="I7595" s="11">
        <f>MAX(0,N7595-M7595)</f>
        <v/>
      </c>
      <c r="J7595" s="11">
        <f>MAX(0,M7595-N7595)</f>
        <v/>
      </c>
      <c r="K7595" s="11">
        <f>O7595</f>
        <v/>
      </c>
      <c r="L7595" s="11">
        <f>L7594+IF(K7595&gt;0,K7595*Summary!$B$9,K7595/Summary!$B$9)</f>
        <v/>
      </c>
      <c r="M7595" s="11">
        <f>G7595+H7595</f>
        <v/>
      </c>
      <c r="N7595" s="11">
        <f>Summary!$C$16*Summary!$B$8</f>
        <v/>
      </c>
      <c r="O7595" s="11">
        <f>M7595-N7595</f>
        <v/>
      </c>
    </row>
    <row r="7596">
      <c r="A7596" s="9" t="n">
        <v>45608.41666666666</v>
      </c>
      <c r="B7596" t="n">
        <v>11</v>
      </c>
      <c r="C7596" t="n">
        <v>12</v>
      </c>
      <c r="D7596" t="n">
        <v>10</v>
      </c>
      <c r="E7596" s="10" t="n">
        <v>0.292435</v>
      </c>
      <c r="F7596" s="10" t="n">
        <v>0.3534594608302706</v>
      </c>
      <c r="G7596" s="11">
        <f>E7596*Summary!$B$6</f>
        <v/>
      </c>
      <c r="H7596" s="11">
        <f>F7596*Summary!$B$7</f>
        <v/>
      </c>
      <c r="I7596" s="11">
        <f>MAX(0,N7596-M7596)</f>
        <v/>
      </c>
      <c r="J7596" s="11">
        <f>MAX(0,M7596-N7596)</f>
        <v/>
      </c>
      <c r="K7596" s="11">
        <f>O7596</f>
        <v/>
      </c>
      <c r="L7596" s="11">
        <f>L7595+IF(K7596&gt;0,K7596*Summary!$B$9,K7596/Summary!$B$9)</f>
        <v/>
      </c>
      <c r="M7596" s="11">
        <f>G7596+H7596</f>
        <v/>
      </c>
      <c r="N7596" s="11">
        <f>Summary!$C$16*Summary!$B$8</f>
        <v/>
      </c>
      <c r="O7596" s="11">
        <f>M7596-N7596</f>
        <v/>
      </c>
    </row>
    <row r="7597">
      <c r="A7597" s="9" t="n">
        <v>45608.45833333334</v>
      </c>
      <c r="B7597" t="n">
        <v>11</v>
      </c>
      <c r="C7597" t="n">
        <v>12</v>
      </c>
      <c r="D7597" t="n">
        <v>11</v>
      </c>
      <c r="E7597" s="10" t="n">
        <v>0.345823</v>
      </c>
      <c r="F7597" s="10" t="n">
        <v>0.3402044016490564</v>
      </c>
      <c r="G7597" s="11">
        <f>E7597*Summary!$B$6</f>
        <v/>
      </c>
      <c r="H7597" s="11">
        <f>F7597*Summary!$B$7</f>
        <v/>
      </c>
      <c r="I7597" s="11">
        <f>MAX(0,N7597-M7597)</f>
        <v/>
      </c>
      <c r="J7597" s="11">
        <f>MAX(0,M7597-N7597)</f>
        <v/>
      </c>
      <c r="K7597" s="11">
        <f>O7597</f>
        <v/>
      </c>
      <c r="L7597" s="11">
        <f>L7596+IF(K7597&gt;0,K7597*Summary!$B$9,K7597/Summary!$B$9)</f>
        <v/>
      </c>
      <c r="M7597" s="11">
        <f>G7597+H7597</f>
        <v/>
      </c>
      <c r="N7597" s="11">
        <f>Summary!$C$16*Summary!$B$8</f>
        <v/>
      </c>
      <c r="O7597" s="11">
        <f>M7597-N7597</f>
        <v/>
      </c>
    </row>
    <row r="7598">
      <c r="A7598" s="9" t="n">
        <v>45608.5</v>
      </c>
      <c r="B7598" t="n">
        <v>11</v>
      </c>
      <c r="C7598" t="n">
        <v>12</v>
      </c>
      <c r="D7598" t="n">
        <v>12</v>
      </c>
      <c r="E7598" s="10" t="n">
        <v>0.343108</v>
      </c>
      <c r="F7598" s="10" t="n">
        <v>0.3248411819618837</v>
      </c>
      <c r="G7598" s="11">
        <f>E7598*Summary!$B$6</f>
        <v/>
      </c>
      <c r="H7598" s="11">
        <f>F7598*Summary!$B$7</f>
        <v/>
      </c>
      <c r="I7598" s="11">
        <f>MAX(0,N7598-M7598)</f>
        <v/>
      </c>
      <c r="J7598" s="11">
        <f>MAX(0,M7598-N7598)</f>
        <v/>
      </c>
      <c r="K7598" s="11">
        <f>O7598</f>
        <v/>
      </c>
      <c r="L7598" s="11">
        <f>L7597+IF(K7598&gt;0,K7598*Summary!$B$9,K7598/Summary!$B$9)</f>
        <v/>
      </c>
      <c r="M7598" s="11">
        <f>G7598+H7598</f>
        <v/>
      </c>
      <c r="N7598" s="11">
        <f>Summary!$C$16*Summary!$B$8</f>
        <v/>
      </c>
      <c r="O7598" s="11">
        <f>M7598-N7598</f>
        <v/>
      </c>
    </row>
    <row r="7599">
      <c r="A7599" s="9" t="n">
        <v>45608.54166666666</v>
      </c>
      <c r="B7599" t="n">
        <v>11</v>
      </c>
      <c r="C7599" t="n">
        <v>12</v>
      </c>
      <c r="D7599" t="n">
        <v>13</v>
      </c>
      <c r="E7599" s="10" t="n">
        <v>0.281206</v>
      </c>
      <c r="F7599" s="10" t="n">
        <v>0.3173572121657309</v>
      </c>
      <c r="G7599" s="11">
        <f>E7599*Summary!$B$6</f>
        <v/>
      </c>
      <c r="H7599" s="11">
        <f>F7599*Summary!$B$7</f>
        <v/>
      </c>
      <c r="I7599" s="11">
        <f>MAX(0,N7599-M7599)</f>
        <v/>
      </c>
      <c r="J7599" s="11">
        <f>MAX(0,M7599-N7599)</f>
        <v/>
      </c>
      <c r="K7599" s="11">
        <f>O7599</f>
        <v/>
      </c>
      <c r="L7599" s="11">
        <f>L7598+IF(K7599&gt;0,K7599*Summary!$B$9,K7599/Summary!$B$9)</f>
        <v/>
      </c>
      <c r="M7599" s="11">
        <f>G7599+H7599</f>
        <v/>
      </c>
      <c r="N7599" s="11">
        <f>Summary!$C$16*Summary!$B$8</f>
        <v/>
      </c>
      <c r="O7599" s="11">
        <f>M7599-N7599</f>
        <v/>
      </c>
    </row>
    <row r="7600">
      <c r="A7600" s="9" t="n">
        <v>45608.58333333334</v>
      </c>
      <c r="B7600" t="n">
        <v>11</v>
      </c>
      <c r="C7600" t="n">
        <v>12</v>
      </c>
      <c r="D7600" t="n">
        <v>14</v>
      </c>
      <c r="E7600" s="10" t="n">
        <v>0.173271</v>
      </c>
      <c r="F7600" s="10" t="n">
        <v>0.3376746090419062</v>
      </c>
      <c r="G7600" s="11">
        <f>E7600*Summary!$B$6</f>
        <v/>
      </c>
      <c r="H7600" s="11">
        <f>F7600*Summary!$B$7</f>
        <v/>
      </c>
      <c r="I7600" s="11">
        <f>MAX(0,N7600-M7600)</f>
        <v/>
      </c>
      <c r="J7600" s="11">
        <f>MAX(0,M7600-N7600)</f>
        <v/>
      </c>
      <c r="K7600" s="11">
        <f>O7600</f>
        <v/>
      </c>
      <c r="L7600" s="11">
        <f>L7599+IF(K7600&gt;0,K7600*Summary!$B$9,K7600/Summary!$B$9)</f>
        <v/>
      </c>
      <c r="M7600" s="11">
        <f>G7600+H7600</f>
        <v/>
      </c>
      <c r="N7600" s="11">
        <f>Summary!$C$16*Summary!$B$8</f>
        <v/>
      </c>
      <c r="O7600" s="11">
        <f>M7600-N7600</f>
        <v/>
      </c>
    </row>
    <row r="7601">
      <c r="A7601" s="9" t="n">
        <v>45608.625</v>
      </c>
      <c r="B7601" t="n">
        <v>11</v>
      </c>
      <c r="C7601" t="n">
        <v>12</v>
      </c>
      <c r="D7601" t="n">
        <v>15</v>
      </c>
      <c r="E7601" s="10" t="n">
        <v>0.034027</v>
      </c>
      <c r="F7601" s="10" t="n">
        <v>0.3190173885641732</v>
      </c>
      <c r="G7601" s="11">
        <f>E7601*Summary!$B$6</f>
        <v/>
      </c>
      <c r="H7601" s="11">
        <f>F7601*Summary!$B$7</f>
        <v/>
      </c>
      <c r="I7601" s="11">
        <f>MAX(0,N7601-M7601)</f>
        <v/>
      </c>
      <c r="J7601" s="11">
        <f>MAX(0,M7601-N7601)</f>
        <v/>
      </c>
      <c r="K7601" s="11">
        <f>O7601</f>
        <v/>
      </c>
      <c r="L7601" s="11">
        <f>L7600+IF(K7601&gt;0,K7601*Summary!$B$9,K7601/Summary!$B$9)</f>
        <v/>
      </c>
      <c r="M7601" s="11">
        <f>G7601+H7601</f>
        <v/>
      </c>
      <c r="N7601" s="11">
        <f>Summary!$C$16*Summary!$B$8</f>
        <v/>
      </c>
      <c r="O7601" s="11">
        <f>M7601-N7601</f>
        <v/>
      </c>
    </row>
    <row r="7602">
      <c r="A7602" s="9" t="n">
        <v>45608.66666666666</v>
      </c>
      <c r="B7602" t="n">
        <v>11</v>
      </c>
      <c r="C7602" t="n">
        <v>12</v>
      </c>
      <c r="D7602" t="n">
        <v>16</v>
      </c>
      <c r="E7602" s="10" t="n">
        <v>0</v>
      </c>
      <c r="F7602" s="10" t="n">
        <v>0.325131054031453</v>
      </c>
      <c r="G7602" s="11">
        <f>E7602*Summary!$B$6</f>
        <v/>
      </c>
      <c r="H7602" s="11">
        <f>F7602*Summary!$B$7</f>
        <v/>
      </c>
      <c r="I7602" s="11">
        <f>MAX(0,N7602-M7602)</f>
        <v/>
      </c>
      <c r="J7602" s="11">
        <f>MAX(0,M7602-N7602)</f>
        <v/>
      </c>
      <c r="K7602" s="11">
        <f>O7602</f>
        <v/>
      </c>
      <c r="L7602" s="11">
        <f>L7601+IF(K7602&gt;0,K7602*Summary!$B$9,K7602/Summary!$B$9)</f>
        <v/>
      </c>
      <c r="M7602" s="11">
        <f>G7602+H7602</f>
        <v/>
      </c>
      <c r="N7602" s="11">
        <f>Summary!$C$16*Summary!$B$8</f>
        <v/>
      </c>
      <c r="O7602" s="11">
        <f>M7602-N7602</f>
        <v/>
      </c>
    </row>
    <row r="7603">
      <c r="A7603" s="9" t="n">
        <v>45608.70833333334</v>
      </c>
      <c r="B7603" t="n">
        <v>11</v>
      </c>
      <c r="C7603" t="n">
        <v>12</v>
      </c>
      <c r="D7603" t="n">
        <v>17</v>
      </c>
      <c r="E7603" s="10" t="n">
        <v>0</v>
      </c>
      <c r="F7603" s="10" t="n">
        <v>0.329400079056019</v>
      </c>
      <c r="G7603" s="11">
        <f>E7603*Summary!$B$6</f>
        <v/>
      </c>
      <c r="H7603" s="11">
        <f>F7603*Summary!$B$7</f>
        <v/>
      </c>
      <c r="I7603" s="11">
        <f>MAX(0,N7603-M7603)</f>
        <v/>
      </c>
      <c r="J7603" s="11">
        <f>MAX(0,M7603-N7603)</f>
        <v/>
      </c>
      <c r="K7603" s="11">
        <f>O7603</f>
        <v/>
      </c>
      <c r="L7603" s="11">
        <f>L7602+IF(K7603&gt;0,K7603*Summary!$B$9,K7603/Summary!$B$9)</f>
        <v/>
      </c>
      <c r="M7603" s="11">
        <f>G7603+H7603</f>
        <v/>
      </c>
      <c r="N7603" s="11">
        <f>Summary!$C$16*Summary!$B$8</f>
        <v/>
      </c>
      <c r="O7603" s="11">
        <f>M7603-N7603</f>
        <v/>
      </c>
    </row>
    <row r="7604">
      <c r="A7604" s="9" t="n">
        <v>45608.75</v>
      </c>
      <c r="B7604" t="n">
        <v>11</v>
      </c>
      <c r="C7604" t="n">
        <v>12</v>
      </c>
      <c r="D7604" t="n">
        <v>18</v>
      </c>
      <c r="E7604" s="10" t="n">
        <v>0</v>
      </c>
      <c r="F7604" s="10" t="n">
        <v>0.3252891660693998</v>
      </c>
      <c r="G7604" s="11">
        <f>E7604*Summary!$B$6</f>
        <v/>
      </c>
      <c r="H7604" s="11">
        <f>F7604*Summary!$B$7</f>
        <v/>
      </c>
      <c r="I7604" s="11">
        <f>MAX(0,N7604-M7604)</f>
        <v/>
      </c>
      <c r="J7604" s="11">
        <f>MAX(0,M7604-N7604)</f>
        <v/>
      </c>
      <c r="K7604" s="11">
        <f>O7604</f>
        <v/>
      </c>
      <c r="L7604" s="11">
        <f>L7603+IF(K7604&gt;0,K7604*Summary!$B$9,K7604/Summary!$B$9)</f>
        <v/>
      </c>
      <c r="M7604" s="11">
        <f>G7604+H7604</f>
        <v/>
      </c>
      <c r="N7604" s="11">
        <f>Summary!$C$16*Summary!$B$8</f>
        <v/>
      </c>
      <c r="O7604" s="11">
        <f>M7604-N7604</f>
        <v/>
      </c>
    </row>
    <row r="7605">
      <c r="A7605" s="9" t="n">
        <v>45608.79166666666</v>
      </c>
      <c r="B7605" t="n">
        <v>11</v>
      </c>
      <c r="C7605" t="n">
        <v>12</v>
      </c>
      <c r="D7605" t="n">
        <v>19</v>
      </c>
      <c r="E7605" s="10" t="n">
        <v>0</v>
      </c>
      <c r="F7605" s="10" t="n">
        <v>0.3394401934656465</v>
      </c>
      <c r="G7605" s="11">
        <f>E7605*Summary!$B$6</f>
        <v/>
      </c>
      <c r="H7605" s="11">
        <f>F7605*Summary!$B$7</f>
        <v/>
      </c>
      <c r="I7605" s="11">
        <f>MAX(0,N7605-M7605)</f>
        <v/>
      </c>
      <c r="J7605" s="11">
        <f>MAX(0,M7605-N7605)</f>
        <v/>
      </c>
      <c r="K7605" s="11">
        <f>O7605</f>
        <v/>
      </c>
      <c r="L7605" s="11">
        <f>L7604+IF(K7605&gt;0,K7605*Summary!$B$9,K7605/Summary!$B$9)</f>
        <v/>
      </c>
      <c r="M7605" s="11">
        <f>G7605+H7605</f>
        <v/>
      </c>
      <c r="N7605" s="11">
        <f>Summary!$C$16*Summary!$B$8</f>
        <v/>
      </c>
      <c r="O7605" s="11">
        <f>M7605-N7605</f>
        <v/>
      </c>
    </row>
    <row r="7606">
      <c r="A7606" s="9" t="n">
        <v>45608.83333333334</v>
      </c>
      <c r="B7606" t="n">
        <v>11</v>
      </c>
      <c r="C7606" t="n">
        <v>12</v>
      </c>
      <c r="D7606" t="n">
        <v>20</v>
      </c>
      <c r="E7606" s="10" t="n">
        <v>0</v>
      </c>
      <c r="F7606" s="10" t="n">
        <v>0.304392025054086</v>
      </c>
      <c r="G7606" s="11">
        <f>E7606*Summary!$B$6</f>
        <v/>
      </c>
      <c r="H7606" s="11">
        <f>F7606*Summary!$B$7</f>
        <v/>
      </c>
      <c r="I7606" s="11">
        <f>MAX(0,N7606-M7606)</f>
        <v/>
      </c>
      <c r="J7606" s="11">
        <f>MAX(0,M7606-N7606)</f>
        <v/>
      </c>
      <c r="K7606" s="11">
        <f>O7606</f>
        <v/>
      </c>
      <c r="L7606" s="11">
        <f>L7605+IF(K7606&gt;0,K7606*Summary!$B$9,K7606/Summary!$B$9)</f>
        <v/>
      </c>
      <c r="M7606" s="11">
        <f>G7606+H7606</f>
        <v/>
      </c>
      <c r="N7606" s="11">
        <f>Summary!$C$16*Summary!$B$8</f>
        <v/>
      </c>
      <c r="O7606" s="11">
        <f>M7606-N7606</f>
        <v/>
      </c>
    </row>
    <row r="7607">
      <c r="A7607" s="9" t="n">
        <v>45608.875</v>
      </c>
      <c r="B7607" t="n">
        <v>11</v>
      </c>
      <c r="C7607" t="n">
        <v>12</v>
      </c>
      <c r="D7607" t="n">
        <v>21</v>
      </c>
      <c r="E7607" s="10" t="n">
        <v>0</v>
      </c>
      <c r="F7607" s="10" t="n">
        <v>0.2975141514033964</v>
      </c>
      <c r="G7607" s="11">
        <f>E7607*Summary!$B$6</f>
        <v/>
      </c>
      <c r="H7607" s="11">
        <f>F7607*Summary!$B$7</f>
        <v/>
      </c>
      <c r="I7607" s="11">
        <f>MAX(0,N7607-M7607)</f>
        <v/>
      </c>
      <c r="J7607" s="11">
        <f>MAX(0,M7607-N7607)</f>
        <v/>
      </c>
      <c r="K7607" s="11">
        <f>O7607</f>
        <v/>
      </c>
      <c r="L7607" s="11">
        <f>L7606+IF(K7607&gt;0,K7607*Summary!$B$9,K7607/Summary!$B$9)</f>
        <v/>
      </c>
      <c r="M7607" s="11">
        <f>G7607+H7607</f>
        <v/>
      </c>
      <c r="N7607" s="11">
        <f>Summary!$C$16*Summary!$B$8</f>
        <v/>
      </c>
      <c r="O7607" s="11">
        <f>M7607-N7607</f>
        <v/>
      </c>
    </row>
    <row r="7608">
      <c r="A7608" s="9" t="n">
        <v>45608.91666666666</v>
      </c>
      <c r="B7608" t="n">
        <v>11</v>
      </c>
      <c r="C7608" t="n">
        <v>12</v>
      </c>
      <c r="D7608" t="n">
        <v>22</v>
      </c>
      <c r="E7608" s="10" t="n">
        <v>0</v>
      </c>
      <c r="F7608" s="10" t="n">
        <v>0.2911106138665474</v>
      </c>
      <c r="G7608" s="11">
        <f>E7608*Summary!$B$6</f>
        <v/>
      </c>
      <c r="H7608" s="11">
        <f>F7608*Summary!$B$7</f>
        <v/>
      </c>
      <c r="I7608" s="11">
        <f>MAX(0,N7608-M7608)</f>
        <v/>
      </c>
      <c r="J7608" s="11">
        <f>MAX(0,M7608-N7608)</f>
        <v/>
      </c>
      <c r="K7608" s="11">
        <f>O7608</f>
        <v/>
      </c>
      <c r="L7608" s="11">
        <f>L7607+IF(K7608&gt;0,K7608*Summary!$B$9,K7608/Summary!$B$9)</f>
        <v/>
      </c>
      <c r="M7608" s="11">
        <f>G7608+H7608</f>
        <v/>
      </c>
      <c r="N7608" s="11">
        <f>Summary!$C$16*Summary!$B$8</f>
        <v/>
      </c>
      <c r="O7608" s="11">
        <f>M7608-N7608</f>
        <v/>
      </c>
    </row>
    <row r="7609">
      <c r="A7609" s="9" t="n">
        <v>45608.95833333334</v>
      </c>
      <c r="B7609" t="n">
        <v>11</v>
      </c>
      <c r="C7609" t="n">
        <v>12</v>
      </c>
      <c r="D7609" t="n">
        <v>23</v>
      </c>
      <c r="E7609" s="10" t="n">
        <v>0</v>
      </c>
      <c r="F7609" s="10" t="n">
        <v>0.2801218272292385</v>
      </c>
      <c r="G7609" s="11">
        <f>E7609*Summary!$B$6</f>
        <v/>
      </c>
      <c r="H7609" s="11">
        <f>F7609*Summary!$B$7</f>
        <v/>
      </c>
      <c r="I7609" s="11">
        <f>MAX(0,N7609-M7609)</f>
        <v/>
      </c>
      <c r="J7609" s="11">
        <f>MAX(0,M7609-N7609)</f>
        <v/>
      </c>
      <c r="K7609" s="11">
        <f>O7609</f>
        <v/>
      </c>
      <c r="L7609" s="11">
        <f>L7608+IF(K7609&gt;0,K7609*Summary!$B$9,K7609/Summary!$B$9)</f>
        <v/>
      </c>
      <c r="M7609" s="11">
        <f>G7609+H7609</f>
        <v/>
      </c>
      <c r="N7609" s="11">
        <f>Summary!$C$16*Summary!$B$8</f>
        <v/>
      </c>
      <c r="O7609" s="11">
        <f>M7609-N7609</f>
        <v/>
      </c>
    </row>
    <row r="7610">
      <c r="A7610" s="9" t="n">
        <v>45609</v>
      </c>
      <c r="B7610" t="n">
        <v>11</v>
      </c>
      <c r="C7610" t="n">
        <v>13</v>
      </c>
      <c r="D7610" t="n">
        <v>0</v>
      </c>
      <c r="E7610" s="10" t="n">
        <v>0</v>
      </c>
      <c r="F7610" s="10" t="n">
        <v>0.2130296191271086</v>
      </c>
      <c r="G7610" s="11">
        <f>E7610*Summary!$B$6</f>
        <v/>
      </c>
      <c r="H7610" s="11">
        <f>F7610*Summary!$B$7</f>
        <v/>
      </c>
      <c r="I7610" s="11">
        <f>MAX(0,N7610-M7610)</f>
        <v/>
      </c>
      <c r="J7610" s="11">
        <f>MAX(0,M7610-N7610)</f>
        <v/>
      </c>
      <c r="K7610" s="11">
        <f>O7610</f>
        <v/>
      </c>
      <c r="L7610" s="11">
        <f>L7609+IF(K7610&gt;0,K7610*Summary!$B$9,K7610/Summary!$B$9)</f>
        <v/>
      </c>
      <c r="M7610" s="11">
        <f>G7610+H7610</f>
        <v/>
      </c>
      <c r="N7610" s="11">
        <f>Summary!$C$16*Summary!$B$8</f>
        <v/>
      </c>
      <c r="O7610" s="11">
        <f>M7610-N7610</f>
        <v/>
      </c>
    </row>
    <row r="7611">
      <c r="A7611" s="9" t="n">
        <v>45609.04166666666</v>
      </c>
      <c r="B7611" t="n">
        <v>11</v>
      </c>
      <c r="C7611" t="n">
        <v>13</v>
      </c>
      <c r="D7611" t="n">
        <v>1</v>
      </c>
      <c r="E7611" s="10" t="n">
        <v>0</v>
      </c>
      <c r="F7611" s="10" t="n">
        <v>0.2656809277634227</v>
      </c>
      <c r="G7611" s="11">
        <f>E7611*Summary!$B$6</f>
        <v/>
      </c>
      <c r="H7611" s="11">
        <f>F7611*Summary!$B$7</f>
        <v/>
      </c>
      <c r="I7611" s="11">
        <f>MAX(0,N7611-M7611)</f>
        <v/>
      </c>
      <c r="J7611" s="11">
        <f>MAX(0,M7611-N7611)</f>
        <v/>
      </c>
      <c r="K7611" s="11">
        <f>O7611</f>
        <v/>
      </c>
      <c r="L7611" s="11">
        <f>L7610+IF(K7611&gt;0,K7611*Summary!$B$9,K7611/Summary!$B$9)</f>
        <v/>
      </c>
      <c r="M7611" s="11">
        <f>G7611+H7611</f>
        <v/>
      </c>
      <c r="N7611" s="11">
        <f>Summary!$C$16*Summary!$B$8</f>
        <v/>
      </c>
      <c r="O7611" s="11">
        <f>M7611-N7611</f>
        <v/>
      </c>
    </row>
    <row r="7612">
      <c r="A7612" s="9" t="n">
        <v>45609.08333333334</v>
      </c>
      <c r="B7612" t="n">
        <v>11</v>
      </c>
      <c r="C7612" t="n">
        <v>13</v>
      </c>
      <c r="D7612" t="n">
        <v>2</v>
      </c>
      <c r="E7612" s="10" t="n">
        <v>0</v>
      </c>
      <c r="F7612" s="10" t="n">
        <v>0.2692120966109032</v>
      </c>
      <c r="G7612" s="11">
        <f>E7612*Summary!$B$6</f>
        <v/>
      </c>
      <c r="H7612" s="11">
        <f>F7612*Summary!$B$7</f>
        <v/>
      </c>
      <c r="I7612" s="11">
        <f>MAX(0,N7612-M7612)</f>
        <v/>
      </c>
      <c r="J7612" s="11">
        <f>MAX(0,M7612-N7612)</f>
        <v/>
      </c>
      <c r="K7612" s="11">
        <f>O7612</f>
        <v/>
      </c>
      <c r="L7612" s="11">
        <f>L7611+IF(K7612&gt;0,K7612*Summary!$B$9,K7612/Summary!$B$9)</f>
        <v/>
      </c>
      <c r="M7612" s="11">
        <f>G7612+H7612</f>
        <v/>
      </c>
      <c r="N7612" s="11">
        <f>Summary!$C$16*Summary!$B$8</f>
        <v/>
      </c>
      <c r="O7612" s="11">
        <f>M7612-N7612</f>
        <v/>
      </c>
    </row>
    <row r="7613">
      <c r="A7613" s="9" t="n">
        <v>45609.125</v>
      </c>
      <c r="B7613" t="n">
        <v>11</v>
      </c>
      <c r="C7613" t="n">
        <v>13</v>
      </c>
      <c r="D7613" t="n">
        <v>3</v>
      </c>
      <c r="E7613" s="10" t="n">
        <v>0</v>
      </c>
      <c r="F7613" s="10" t="n">
        <v>0.2676836802440832</v>
      </c>
      <c r="G7613" s="11">
        <f>E7613*Summary!$B$6</f>
        <v/>
      </c>
      <c r="H7613" s="11">
        <f>F7613*Summary!$B$7</f>
        <v/>
      </c>
      <c r="I7613" s="11">
        <f>MAX(0,N7613-M7613)</f>
        <v/>
      </c>
      <c r="J7613" s="11">
        <f>MAX(0,M7613-N7613)</f>
        <v/>
      </c>
      <c r="K7613" s="11">
        <f>O7613</f>
        <v/>
      </c>
      <c r="L7613" s="11">
        <f>L7612+IF(K7613&gt;0,K7613*Summary!$B$9,K7613/Summary!$B$9)</f>
        <v/>
      </c>
      <c r="M7613" s="11">
        <f>G7613+H7613</f>
        <v/>
      </c>
      <c r="N7613" s="11">
        <f>Summary!$C$16*Summary!$B$8</f>
        <v/>
      </c>
      <c r="O7613" s="11">
        <f>M7613-N7613</f>
        <v/>
      </c>
    </row>
    <row r="7614">
      <c r="A7614" s="9" t="n">
        <v>45609.16666666666</v>
      </c>
      <c r="B7614" t="n">
        <v>11</v>
      </c>
      <c r="C7614" t="n">
        <v>13</v>
      </c>
      <c r="D7614" t="n">
        <v>4</v>
      </c>
      <c r="E7614" s="10" t="n">
        <v>0</v>
      </c>
      <c r="F7614" s="10" t="n">
        <v>0.2774339225841414</v>
      </c>
      <c r="G7614" s="11">
        <f>E7614*Summary!$B$6</f>
        <v/>
      </c>
      <c r="H7614" s="11">
        <f>F7614*Summary!$B$7</f>
        <v/>
      </c>
      <c r="I7614" s="11">
        <f>MAX(0,N7614-M7614)</f>
        <v/>
      </c>
      <c r="J7614" s="11">
        <f>MAX(0,M7614-N7614)</f>
        <v/>
      </c>
      <c r="K7614" s="11">
        <f>O7614</f>
        <v/>
      </c>
      <c r="L7614" s="11">
        <f>L7613+IF(K7614&gt;0,K7614*Summary!$B$9,K7614/Summary!$B$9)</f>
        <v/>
      </c>
      <c r="M7614" s="11">
        <f>G7614+H7614</f>
        <v/>
      </c>
      <c r="N7614" s="11">
        <f>Summary!$C$16*Summary!$B$8</f>
        <v/>
      </c>
      <c r="O7614" s="11">
        <f>M7614-N7614</f>
        <v/>
      </c>
    </row>
    <row r="7615">
      <c r="A7615" s="9" t="n">
        <v>45609.20833333334</v>
      </c>
      <c r="B7615" t="n">
        <v>11</v>
      </c>
      <c r="C7615" t="n">
        <v>13</v>
      </c>
      <c r="D7615" t="n">
        <v>5</v>
      </c>
      <c r="E7615" s="10" t="n">
        <v>0</v>
      </c>
      <c r="F7615" s="10" t="n">
        <v>0.2840482761715863</v>
      </c>
      <c r="G7615" s="11">
        <f>E7615*Summary!$B$6</f>
        <v/>
      </c>
      <c r="H7615" s="11">
        <f>F7615*Summary!$B$7</f>
        <v/>
      </c>
      <c r="I7615" s="11">
        <f>MAX(0,N7615-M7615)</f>
        <v/>
      </c>
      <c r="J7615" s="11">
        <f>MAX(0,M7615-N7615)</f>
        <v/>
      </c>
      <c r="K7615" s="11">
        <f>O7615</f>
        <v/>
      </c>
      <c r="L7615" s="11">
        <f>L7614+IF(K7615&gt;0,K7615*Summary!$B$9,K7615/Summary!$B$9)</f>
        <v/>
      </c>
      <c r="M7615" s="11">
        <f>G7615+H7615</f>
        <v/>
      </c>
      <c r="N7615" s="11">
        <f>Summary!$C$16*Summary!$B$8</f>
        <v/>
      </c>
      <c r="O7615" s="11">
        <f>M7615-N7615</f>
        <v/>
      </c>
    </row>
    <row r="7616">
      <c r="A7616" s="9" t="n">
        <v>45609.25</v>
      </c>
      <c r="B7616" t="n">
        <v>11</v>
      </c>
      <c r="C7616" t="n">
        <v>13</v>
      </c>
      <c r="D7616" t="n">
        <v>6</v>
      </c>
      <c r="E7616" s="10" t="n">
        <v>0</v>
      </c>
      <c r="F7616" s="10" t="n">
        <v>0.29377216650532</v>
      </c>
      <c r="G7616" s="11">
        <f>E7616*Summary!$B$6</f>
        <v/>
      </c>
      <c r="H7616" s="11">
        <f>F7616*Summary!$B$7</f>
        <v/>
      </c>
      <c r="I7616" s="11">
        <f>MAX(0,N7616-M7616)</f>
        <v/>
      </c>
      <c r="J7616" s="11">
        <f>MAX(0,M7616-N7616)</f>
        <v/>
      </c>
      <c r="K7616" s="11">
        <f>O7616</f>
        <v/>
      </c>
      <c r="L7616" s="11">
        <f>L7615+IF(K7616&gt;0,K7616*Summary!$B$9,K7616/Summary!$B$9)</f>
        <v/>
      </c>
      <c r="M7616" s="11">
        <f>G7616+H7616</f>
        <v/>
      </c>
      <c r="N7616" s="11">
        <f>Summary!$C$16*Summary!$B$8</f>
        <v/>
      </c>
      <c r="O7616" s="11">
        <f>M7616-N7616</f>
        <v/>
      </c>
    </row>
    <row r="7617">
      <c r="A7617" s="9" t="n">
        <v>45609.29166666666</v>
      </c>
      <c r="B7617" t="n">
        <v>11</v>
      </c>
      <c r="C7617" t="n">
        <v>13</v>
      </c>
      <c r="D7617" t="n">
        <v>7</v>
      </c>
      <c r="E7617" s="10" t="n">
        <v>0</v>
      </c>
      <c r="F7617" s="10" t="n">
        <v>0.2922437501385</v>
      </c>
      <c r="G7617" s="11">
        <f>E7617*Summary!$B$6</f>
        <v/>
      </c>
      <c r="H7617" s="11">
        <f>F7617*Summary!$B$7</f>
        <v/>
      </c>
      <c r="I7617" s="11">
        <f>MAX(0,N7617-M7617)</f>
        <v/>
      </c>
      <c r="J7617" s="11">
        <f>MAX(0,M7617-N7617)</f>
        <v/>
      </c>
      <c r="K7617" s="11">
        <f>O7617</f>
        <v/>
      </c>
      <c r="L7617" s="11">
        <f>L7616+IF(K7617&gt;0,K7617*Summary!$B$9,K7617/Summary!$B$9)</f>
        <v/>
      </c>
      <c r="M7617" s="11">
        <f>G7617+H7617</f>
        <v/>
      </c>
      <c r="N7617" s="11">
        <f>Summary!$C$16*Summary!$B$8</f>
        <v/>
      </c>
      <c r="O7617" s="11">
        <f>M7617-N7617</f>
        <v/>
      </c>
    </row>
    <row r="7618">
      <c r="A7618" s="9" t="n">
        <v>45609.33333333334</v>
      </c>
      <c r="B7618" t="n">
        <v>11</v>
      </c>
      <c r="C7618" t="n">
        <v>13</v>
      </c>
      <c r="D7618" t="n">
        <v>8</v>
      </c>
      <c r="E7618" s="10" t="n">
        <v>0.011918</v>
      </c>
      <c r="F7618" s="10" t="n">
        <v>0.2876585010380402</v>
      </c>
      <c r="G7618" s="11">
        <f>E7618*Summary!$B$6</f>
        <v/>
      </c>
      <c r="H7618" s="11">
        <f>F7618*Summary!$B$7</f>
        <v/>
      </c>
      <c r="I7618" s="11">
        <f>MAX(0,N7618-M7618)</f>
        <v/>
      </c>
      <c r="J7618" s="11">
        <f>MAX(0,M7618-N7618)</f>
        <v/>
      </c>
      <c r="K7618" s="11">
        <f>O7618</f>
        <v/>
      </c>
      <c r="L7618" s="11">
        <f>L7617+IF(K7618&gt;0,K7618*Summary!$B$9,K7618/Summary!$B$9)</f>
        <v/>
      </c>
      <c r="M7618" s="11">
        <f>G7618+H7618</f>
        <v/>
      </c>
      <c r="N7618" s="11">
        <f>Summary!$C$16*Summary!$B$8</f>
        <v/>
      </c>
      <c r="O7618" s="11">
        <f>M7618-N7618</f>
        <v/>
      </c>
    </row>
    <row r="7619">
      <c r="A7619" s="9" t="n">
        <v>45609.375</v>
      </c>
      <c r="B7619" t="n">
        <v>11</v>
      </c>
      <c r="C7619" t="n">
        <v>13</v>
      </c>
      <c r="D7619" t="n">
        <v>9</v>
      </c>
      <c r="E7619" s="10" t="n">
        <v>0.019549</v>
      </c>
      <c r="F7619" s="10" t="n">
        <v>0.2728486734836816</v>
      </c>
      <c r="G7619" s="11">
        <f>E7619*Summary!$B$6</f>
        <v/>
      </c>
      <c r="H7619" s="11">
        <f>F7619*Summary!$B$7</f>
        <v/>
      </c>
      <c r="I7619" s="11">
        <f>MAX(0,N7619-M7619)</f>
        <v/>
      </c>
      <c r="J7619" s="11">
        <f>MAX(0,M7619-N7619)</f>
        <v/>
      </c>
      <c r="K7619" s="11">
        <f>O7619</f>
        <v/>
      </c>
      <c r="L7619" s="11">
        <f>L7618+IF(K7619&gt;0,K7619*Summary!$B$9,K7619/Summary!$B$9)</f>
        <v/>
      </c>
      <c r="M7619" s="11">
        <f>G7619+H7619</f>
        <v/>
      </c>
      <c r="N7619" s="11">
        <f>Summary!$C$16*Summary!$B$8</f>
        <v/>
      </c>
      <c r="O7619" s="11">
        <f>M7619-N7619</f>
        <v/>
      </c>
    </row>
    <row r="7620">
      <c r="A7620" s="9" t="n">
        <v>45609.41666666666</v>
      </c>
      <c r="B7620" t="n">
        <v>11</v>
      </c>
      <c r="C7620" t="n">
        <v>13</v>
      </c>
      <c r="D7620" t="n">
        <v>10</v>
      </c>
      <c r="E7620" s="10" t="n">
        <v>0.040279</v>
      </c>
      <c r="F7620" s="10" t="n">
        <v>0.252346812563235</v>
      </c>
      <c r="G7620" s="11">
        <f>E7620*Summary!$B$6</f>
        <v/>
      </c>
      <c r="H7620" s="11">
        <f>F7620*Summary!$B$7</f>
        <v/>
      </c>
      <c r="I7620" s="11">
        <f>MAX(0,N7620-M7620)</f>
        <v/>
      </c>
      <c r="J7620" s="11">
        <f>MAX(0,M7620-N7620)</f>
        <v/>
      </c>
      <c r="K7620" s="11">
        <f>O7620</f>
        <v/>
      </c>
      <c r="L7620" s="11">
        <f>L7619+IF(K7620&gt;0,K7620*Summary!$B$9,K7620/Summary!$B$9)</f>
        <v/>
      </c>
      <c r="M7620" s="11">
        <f>G7620+H7620</f>
        <v/>
      </c>
      <c r="N7620" s="11">
        <f>Summary!$C$16*Summary!$B$8</f>
        <v/>
      </c>
      <c r="O7620" s="11">
        <f>M7620-N7620</f>
        <v/>
      </c>
    </row>
    <row r="7621">
      <c r="A7621" s="9" t="n">
        <v>45609.45833333334</v>
      </c>
      <c r="B7621" t="n">
        <v>11</v>
      </c>
      <c r="C7621" t="n">
        <v>13</v>
      </c>
      <c r="D7621" t="n">
        <v>11</v>
      </c>
      <c r="E7621" s="10" t="n">
        <v>0.06356100000000001</v>
      </c>
      <c r="F7621" s="10" t="n">
        <v>0.2326618638388473</v>
      </c>
      <c r="G7621" s="11">
        <f>E7621*Summary!$B$6</f>
        <v/>
      </c>
      <c r="H7621" s="11">
        <f>F7621*Summary!$B$7</f>
        <v/>
      </c>
      <c r="I7621" s="11">
        <f>MAX(0,N7621-M7621)</f>
        <v/>
      </c>
      <c r="J7621" s="11">
        <f>MAX(0,M7621-N7621)</f>
        <v/>
      </c>
      <c r="K7621" s="11">
        <f>O7621</f>
        <v/>
      </c>
      <c r="L7621" s="11">
        <f>L7620+IF(K7621&gt;0,K7621*Summary!$B$9,K7621/Summary!$B$9)</f>
        <v/>
      </c>
      <c r="M7621" s="11">
        <f>G7621+H7621</f>
        <v/>
      </c>
      <c r="N7621" s="11">
        <f>Summary!$C$16*Summary!$B$8</f>
        <v/>
      </c>
      <c r="O7621" s="11">
        <f>M7621-N7621</f>
        <v/>
      </c>
    </row>
    <row r="7622">
      <c r="A7622" s="9" t="n">
        <v>45609.5</v>
      </c>
      <c r="B7622" t="n">
        <v>11</v>
      </c>
      <c r="C7622" t="n">
        <v>13</v>
      </c>
      <c r="D7622" t="n">
        <v>12</v>
      </c>
      <c r="E7622" s="10" t="n">
        <v>0.057032</v>
      </c>
      <c r="F7622" s="10" t="n">
        <v>0.2170614760947543</v>
      </c>
      <c r="G7622" s="11">
        <f>E7622*Summary!$B$6</f>
        <v/>
      </c>
      <c r="H7622" s="11">
        <f>F7622*Summary!$B$7</f>
        <v/>
      </c>
      <c r="I7622" s="11">
        <f>MAX(0,N7622-M7622)</f>
        <v/>
      </c>
      <c r="J7622" s="11">
        <f>MAX(0,M7622-N7622)</f>
        <v/>
      </c>
      <c r="K7622" s="11">
        <f>O7622</f>
        <v/>
      </c>
      <c r="L7622" s="11">
        <f>L7621+IF(K7622&gt;0,K7622*Summary!$B$9,K7622/Summary!$B$9)</f>
        <v/>
      </c>
      <c r="M7622" s="11">
        <f>G7622+H7622</f>
        <v/>
      </c>
      <c r="N7622" s="11">
        <f>Summary!$C$16*Summary!$B$8</f>
        <v/>
      </c>
      <c r="O7622" s="11">
        <f>M7622-N7622</f>
        <v/>
      </c>
    </row>
    <row r="7623">
      <c r="A7623" s="9" t="n">
        <v>45609.54166666666</v>
      </c>
      <c r="B7623" t="n">
        <v>11</v>
      </c>
      <c r="C7623" t="n">
        <v>13</v>
      </c>
      <c r="D7623" t="n">
        <v>13</v>
      </c>
      <c r="E7623" s="10" t="n">
        <v>0.055624</v>
      </c>
      <c r="F7623" s="10" t="n">
        <v>0.2074956977989675</v>
      </c>
      <c r="G7623" s="11">
        <f>E7623*Summary!$B$6</f>
        <v/>
      </c>
      <c r="H7623" s="11">
        <f>F7623*Summary!$B$7</f>
        <v/>
      </c>
      <c r="I7623" s="11">
        <f>MAX(0,N7623-M7623)</f>
        <v/>
      </c>
      <c r="J7623" s="11">
        <f>MAX(0,M7623-N7623)</f>
        <v/>
      </c>
      <c r="K7623" s="11">
        <f>O7623</f>
        <v/>
      </c>
      <c r="L7623" s="11">
        <f>L7622+IF(K7623&gt;0,K7623*Summary!$B$9,K7623/Summary!$B$9)</f>
        <v/>
      </c>
      <c r="M7623" s="11">
        <f>G7623+H7623</f>
        <v/>
      </c>
      <c r="N7623" s="11">
        <f>Summary!$C$16*Summary!$B$8</f>
        <v/>
      </c>
      <c r="O7623" s="11">
        <f>M7623-N7623</f>
        <v/>
      </c>
    </row>
    <row r="7624">
      <c r="A7624" s="9" t="n">
        <v>45609.58333333334</v>
      </c>
      <c r="B7624" t="n">
        <v>11</v>
      </c>
      <c r="C7624" t="n">
        <v>13</v>
      </c>
      <c r="D7624" t="n">
        <v>14</v>
      </c>
      <c r="E7624" s="10" t="n">
        <v>0.01348</v>
      </c>
      <c r="F7624" s="10" t="n">
        <v>0.2034901928376463</v>
      </c>
      <c r="G7624" s="11">
        <f>E7624*Summary!$B$6</f>
        <v/>
      </c>
      <c r="H7624" s="11">
        <f>F7624*Summary!$B$7</f>
        <v/>
      </c>
      <c r="I7624" s="11">
        <f>MAX(0,N7624-M7624)</f>
        <v/>
      </c>
      <c r="J7624" s="11">
        <f>MAX(0,M7624-N7624)</f>
        <v/>
      </c>
      <c r="K7624" s="11">
        <f>O7624</f>
        <v/>
      </c>
      <c r="L7624" s="11">
        <f>L7623+IF(K7624&gt;0,K7624*Summary!$B$9,K7624/Summary!$B$9)</f>
        <v/>
      </c>
      <c r="M7624" s="11">
        <f>G7624+H7624</f>
        <v/>
      </c>
      <c r="N7624" s="11">
        <f>Summary!$C$16*Summary!$B$8</f>
        <v/>
      </c>
      <c r="O7624" s="11">
        <f>M7624-N7624</f>
        <v/>
      </c>
    </row>
    <row r="7625">
      <c r="A7625" s="9" t="n">
        <v>45609.625</v>
      </c>
      <c r="B7625" t="n">
        <v>11</v>
      </c>
      <c r="C7625" t="n">
        <v>13</v>
      </c>
      <c r="D7625" t="n">
        <v>15</v>
      </c>
      <c r="E7625" s="10" t="n">
        <v>0</v>
      </c>
      <c r="F7625" s="10" t="n">
        <v>0.2140309953674389</v>
      </c>
      <c r="G7625" s="11">
        <f>E7625*Summary!$B$6</f>
        <v/>
      </c>
      <c r="H7625" s="11">
        <f>F7625*Summary!$B$7</f>
        <v/>
      </c>
      <c r="I7625" s="11">
        <f>MAX(0,N7625-M7625)</f>
        <v/>
      </c>
      <c r="J7625" s="11">
        <f>MAX(0,M7625-N7625)</f>
        <v/>
      </c>
      <c r="K7625" s="11">
        <f>O7625</f>
        <v/>
      </c>
      <c r="L7625" s="11">
        <f>L7624+IF(K7625&gt;0,K7625*Summary!$B$9,K7625/Summary!$B$9)</f>
        <v/>
      </c>
      <c r="M7625" s="11">
        <f>G7625+H7625</f>
        <v/>
      </c>
      <c r="N7625" s="11">
        <f>Summary!$C$16*Summary!$B$8</f>
        <v/>
      </c>
      <c r="O7625" s="11">
        <f>M7625-N7625</f>
        <v/>
      </c>
    </row>
    <row r="7626">
      <c r="A7626" s="9" t="n">
        <v>45609.66666666666</v>
      </c>
      <c r="B7626" t="n">
        <v>11</v>
      </c>
      <c r="C7626" t="n">
        <v>13</v>
      </c>
      <c r="D7626" t="n">
        <v>16</v>
      </c>
      <c r="E7626" s="10" t="n">
        <v>0</v>
      </c>
      <c r="F7626" s="10" t="n">
        <v>0.2232805495873319</v>
      </c>
      <c r="G7626" s="11">
        <f>E7626*Summary!$B$6</f>
        <v/>
      </c>
      <c r="H7626" s="11">
        <f>F7626*Summary!$B$7</f>
        <v/>
      </c>
      <c r="I7626" s="11">
        <f>MAX(0,N7626-M7626)</f>
        <v/>
      </c>
      <c r="J7626" s="11">
        <f>MAX(0,M7626-N7626)</f>
        <v/>
      </c>
      <c r="K7626" s="11">
        <f>O7626</f>
        <v/>
      </c>
      <c r="L7626" s="11">
        <f>L7625+IF(K7626&gt;0,K7626*Summary!$B$9,K7626/Summary!$B$9)</f>
        <v/>
      </c>
      <c r="M7626" s="11">
        <f>G7626+H7626</f>
        <v/>
      </c>
      <c r="N7626" s="11">
        <f>Summary!$C$16*Summary!$B$8</f>
        <v/>
      </c>
      <c r="O7626" s="11">
        <f>M7626-N7626</f>
        <v/>
      </c>
    </row>
    <row r="7627">
      <c r="A7627" s="9" t="n">
        <v>45609.70833333334</v>
      </c>
      <c r="B7627" t="n">
        <v>11</v>
      </c>
      <c r="C7627" t="n">
        <v>13</v>
      </c>
      <c r="D7627" t="n">
        <v>17</v>
      </c>
      <c r="E7627" s="10" t="n">
        <v>0</v>
      </c>
      <c r="F7627" s="10" t="n">
        <v>0.2319240076617619</v>
      </c>
      <c r="G7627" s="11">
        <f>E7627*Summary!$B$6</f>
        <v/>
      </c>
      <c r="H7627" s="11">
        <f>F7627*Summary!$B$7</f>
        <v/>
      </c>
      <c r="I7627" s="11">
        <f>MAX(0,N7627-M7627)</f>
        <v/>
      </c>
      <c r="J7627" s="11">
        <f>MAX(0,M7627-N7627)</f>
        <v/>
      </c>
      <c r="K7627" s="11">
        <f>O7627</f>
        <v/>
      </c>
      <c r="L7627" s="11">
        <f>L7626+IF(K7627&gt;0,K7627*Summary!$B$9,K7627/Summary!$B$9)</f>
        <v/>
      </c>
      <c r="M7627" s="11">
        <f>G7627+H7627</f>
        <v/>
      </c>
      <c r="N7627" s="11">
        <f>Summary!$C$16*Summary!$B$8</f>
        <v/>
      </c>
      <c r="O7627" s="11">
        <f>M7627-N7627</f>
        <v/>
      </c>
    </row>
    <row r="7628">
      <c r="A7628" s="9" t="n">
        <v>45609.75</v>
      </c>
      <c r="B7628" t="n">
        <v>11</v>
      </c>
      <c r="C7628" t="n">
        <v>13</v>
      </c>
      <c r="D7628" t="n">
        <v>18</v>
      </c>
      <c r="E7628" s="10" t="n">
        <v>0</v>
      </c>
      <c r="F7628" s="10" t="n">
        <v>0.2341375761930183</v>
      </c>
      <c r="G7628" s="11">
        <f>E7628*Summary!$B$6</f>
        <v/>
      </c>
      <c r="H7628" s="11">
        <f>F7628*Summary!$B$7</f>
        <v/>
      </c>
      <c r="I7628" s="11">
        <f>MAX(0,N7628-M7628)</f>
        <v/>
      </c>
      <c r="J7628" s="11">
        <f>MAX(0,M7628-N7628)</f>
        <v/>
      </c>
      <c r="K7628" s="11">
        <f>O7628</f>
        <v/>
      </c>
      <c r="L7628" s="11">
        <f>L7627+IF(K7628&gt;0,K7628*Summary!$B$9,K7628/Summary!$B$9)</f>
        <v/>
      </c>
      <c r="M7628" s="11">
        <f>G7628+H7628</f>
        <v/>
      </c>
      <c r="N7628" s="11">
        <f>Summary!$C$16*Summary!$B$8</f>
        <v/>
      </c>
      <c r="O7628" s="11">
        <f>M7628-N7628</f>
        <v/>
      </c>
    </row>
    <row r="7629">
      <c r="A7629" s="9" t="n">
        <v>45609.79166666666</v>
      </c>
      <c r="B7629" t="n">
        <v>11</v>
      </c>
      <c r="C7629" t="n">
        <v>13</v>
      </c>
      <c r="D7629" t="n">
        <v>19</v>
      </c>
      <c r="E7629" s="10" t="n">
        <v>0</v>
      </c>
      <c r="F7629" s="10" t="n">
        <v>0.2322929357503046</v>
      </c>
      <c r="G7629" s="11">
        <f>E7629*Summary!$B$6</f>
        <v/>
      </c>
      <c r="H7629" s="11">
        <f>F7629*Summary!$B$7</f>
        <v/>
      </c>
      <c r="I7629" s="11">
        <f>MAX(0,N7629-M7629)</f>
        <v/>
      </c>
      <c r="J7629" s="11">
        <f>MAX(0,M7629-N7629)</f>
        <v/>
      </c>
      <c r="K7629" s="11">
        <f>O7629</f>
        <v/>
      </c>
      <c r="L7629" s="11">
        <f>L7628+IF(K7629&gt;0,K7629*Summary!$B$9,K7629/Summary!$B$9)</f>
        <v/>
      </c>
      <c r="M7629" s="11">
        <f>G7629+H7629</f>
        <v/>
      </c>
      <c r="N7629" s="11">
        <f>Summary!$C$16*Summary!$B$8</f>
        <v/>
      </c>
      <c r="O7629" s="11">
        <f>M7629-N7629</f>
        <v/>
      </c>
    </row>
    <row r="7630">
      <c r="A7630" s="9" t="n">
        <v>45609.83333333334</v>
      </c>
      <c r="B7630" t="n">
        <v>11</v>
      </c>
      <c r="C7630" t="n">
        <v>13</v>
      </c>
      <c r="D7630" t="n">
        <v>20</v>
      </c>
      <c r="E7630" s="10" t="n">
        <v>0</v>
      </c>
      <c r="F7630" s="10" t="n">
        <v>0.2232014935683584</v>
      </c>
      <c r="G7630" s="11">
        <f>E7630*Summary!$B$6</f>
        <v/>
      </c>
      <c r="H7630" s="11">
        <f>F7630*Summary!$B$7</f>
        <v/>
      </c>
      <c r="I7630" s="11">
        <f>MAX(0,N7630-M7630)</f>
        <v/>
      </c>
      <c r="J7630" s="11">
        <f>MAX(0,M7630-N7630)</f>
        <v/>
      </c>
      <c r="K7630" s="11">
        <f>O7630</f>
        <v/>
      </c>
      <c r="L7630" s="11">
        <f>L7629+IF(K7630&gt;0,K7630*Summary!$B$9,K7630/Summary!$B$9)</f>
        <v/>
      </c>
      <c r="M7630" s="11">
        <f>G7630+H7630</f>
        <v/>
      </c>
      <c r="N7630" s="11">
        <f>Summary!$C$16*Summary!$B$8</f>
        <v/>
      </c>
      <c r="O7630" s="11">
        <f>M7630-N7630</f>
        <v/>
      </c>
    </row>
    <row r="7631">
      <c r="A7631" s="9" t="n">
        <v>45609.875</v>
      </c>
      <c r="B7631" t="n">
        <v>11</v>
      </c>
      <c r="C7631" t="n">
        <v>13</v>
      </c>
      <c r="D7631" t="n">
        <v>21</v>
      </c>
      <c r="E7631" s="10" t="n">
        <v>0</v>
      </c>
      <c r="F7631" s="10" t="n">
        <v>0.2115802587792621</v>
      </c>
      <c r="G7631" s="11">
        <f>E7631*Summary!$B$6</f>
        <v/>
      </c>
      <c r="H7631" s="11">
        <f>F7631*Summary!$B$7</f>
        <v/>
      </c>
      <c r="I7631" s="11">
        <f>MAX(0,N7631-M7631)</f>
        <v/>
      </c>
      <c r="J7631" s="11">
        <f>MAX(0,M7631-N7631)</f>
        <v/>
      </c>
      <c r="K7631" s="11">
        <f>O7631</f>
        <v/>
      </c>
      <c r="L7631" s="11">
        <f>L7630+IF(K7631&gt;0,K7631*Summary!$B$9,K7631/Summary!$B$9)</f>
        <v/>
      </c>
      <c r="M7631" s="11">
        <f>G7631+H7631</f>
        <v/>
      </c>
      <c r="N7631" s="11">
        <f>Summary!$C$16*Summary!$B$8</f>
        <v/>
      </c>
      <c r="O7631" s="11">
        <f>M7631-N7631</f>
        <v/>
      </c>
    </row>
    <row r="7632">
      <c r="A7632" s="9" t="n">
        <v>45609.91666666666</v>
      </c>
      <c r="B7632" t="n">
        <v>11</v>
      </c>
      <c r="C7632" t="n">
        <v>13</v>
      </c>
      <c r="D7632" t="n">
        <v>22</v>
      </c>
      <c r="E7632" s="10" t="n">
        <v>0</v>
      </c>
      <c r="F7632" s="10" t="n">
        <v>0.2090768181784363</v>
      </c>
      <c r="G7632" s="11">
        <f>E7632*Summary!$B$6</f>
        <v/>
      </c>
      <c r="H7632" s="11">
        <f>F7632*Summary!$B$7</f>
        <v/>
      </c>
      <c r="I7632" s="11">
        <f>MAX(0,N7632-M7632)</f>
        <v/>
      </c>
      <c r="J7632" s="11">
        <f>MAX(0,M7632-N7632)</f>
        <v/>
      </c>
      <c r="K7632" s="11">
        <f>O7632</f>
        <v/>
      </c>
      <c r="L7632" s="11">
        <f>L7631+IF(K7632&gt;0,K7632*Summary!$B$9,K7632/Summary!$B$9)</f>
        <v/>
      </c>
      <c r="M7632" s="11">
        <f>G7632+H7632</f>
        <v/>
      </c>
      <c r="N7632" s="11">
        <f>Summary!$C$16*Summary!$B$8</f>
        <v/>
      </c>
      <c r="O7632" s="11">
        <f>M7632-N7632</f>
        <v/>
      </c>
    </row>
    <row r="7633">
      <c r="A7633" s="9" t="n">
        <v>45609.95833333334</v>
      </c>
      <c r="B7633" t="n">
        <v>11</v>
      </c>
      <c r="C7633" t="n">
        <v>13</v>
      </c>
      <c r="D7633" t="n">
        <v>23</v>
      </c>
      <c r="E7633" s="10" t="n">
        <v>0</v>
      </c>
      <c r="F7633" s="10" t="n">
        <v>0.2104734745136339</v>
      </c>
      <c r="G7633" s="11">
        <f>E7633*Summary!$B$6</f>
        <v/>
      </c>
      <c r="H7633" s="11">
        <f>F7633*Summary!$B$7</f>
        <v/>
      </c>
      <c r="I7633" s="11">
        <f>MAX(0,N7633-M7633)</f>
        <v/>
      </c>
      <c r="J7633" s="11">
        <f>MAX(0,M7633-N7633)</f>
        <v/>
      </c>
      <c r="K7633" s="11">
        <f>O7633</f>
        <v/>
      </c>
      <c r="L7633" s="11">
        <f>L7632+IF(K7633&gt;0,K7633*Summary!$B$9,K7633/Summary!$B$9)</f>
        <v/>
      </c>
      <c r="M7633" s="11">
        <f>G7633+H7633</f>
        <v/>
      </c>
      <c r="N7633" s="11">
        <f>Summary!$C$16*Summary!$B$8</f>
        <v/>
      </c>
      <c r="O7633" s="11">
        <f>M7633-N7633</f>
        <v/>
      </c>
    </row>
    <row r="7634">
      <c r="A7634" s="9" t="n">
        <v>45610</v>
      </c>
      <c r="B7634" t="n">
        <v>11</v>
      </c>
      <c r="C7634" t="n">
        <v>14</v>
      </c>
      <c r="D7634" t="n">
        <v>0</v>
      </c>
      <c r="E7634" s="10" t="n">
        <v>0</v>
      </c>
      <c r="F7634" s="10" t="n">
        <v>0.3219951652788396</v>
      </c>
      <c r="G7634" s="11">
        <f>E7634*Summary!$B$6</f>
        <v/>
      </c>
      <c r="H7634" s="11">
        <f>F7634*Summary!$B$7</f>
        <v/>
      </c>
      <c r="I7634" s="11">
        <f>MAX(0,N7634-M7634)</f>
        <v/>
      </c>
      <c r="J7634" s="11">
        <f>MAX(0,M7634-N7634)</f>
        <v/>
      </c>
      <c r="K7634" s="11">
        <f>O7634</f>
        <v/>
      </c>
      <c r="L7634" s="11">
        <f>L7633+IF(K7634&gt;0,K7634*Summary!$B$9,K7634/Summary!$B$9)</f>
        <v/>
      </c>
      <c r="M7634" s="11">
        <f>G7634+H7634</f>
        <v/>
      </c>
      <c r="N7634" s="11">
        <f>Summary!$C$16*Summary!$B$8</f>
        <v/>
      </c>
      <c r="O7634" s="11">
        <f>M7634-N7634</f>
        <v/>
      </c>
    </row>
    <row r="7635">
      <c r="A7635" s="9" t="n">
        <v>45610.04166666666</v>
      </c>
      <c r="B7635" t="n">
        <v>11</v>
      </c>
      <c r="C7635" t="n">
        <v>14</v>
      </c>
      <c r="D7635" t="n">
        <v>1</v>
      </c>
      <c r="E7635" s="10" t="n">
        <v>0</v>
      </c>
      <c r="F7635" s="10" t="n">
        <v>0.21880070851217</v>
      </c>
      <c r="G7635" s="11">
        <f>E7635*Summary!$B$6</f>
        <v/>
      </c>
      <c r="H7635" s="11">
        <f>F7635*Summary!$B$7</f>
        <v/>
      </c>
      <c r="I7635" s="11">
        <f>MAX(0,N7635-M7635)</f>
        <v/>
      </c>
      <c r="J7635" s="11">
        <f>MAX(0,M7635-N7635)</f>
        <v/>
      </c>
      <c r="K7635" s="11">
        <f>O7635</f>
        <v/>
      </c>
      <c r="L7635" s="11">
        <f>L7634+IF(K7635&gt;0,K7635*Summary!$B$9,K7635/Summary!$B$9)</f>
        <v/>
      </c>
      <c r="M7635" s="11">
        <f>G7635+H7635</f>
        <v/>
      </c>
      <c r="N7635" s="11">
        <f>Summary!$C$16*Summary!$B$8</f>
        <v/>
      </c>
      <c r="O7635" s="11">
        <f>M7635-N7635</f>
        <v/>
      </c>
    </row>
    <row r="7636">
      <c r="A7636" s="9" t="n">
        <v>45610.08333333334</v>
      </c>
      <c r="B7636" t="n">
        <v>11</v>
      </c>
      <c r="C7636" t="n">
        <v>14</v>
      </c>
      <c r="D7636" t="n">
        <v>2</v>
      </c>
      <c r="E7636" s="10" t="n">
        <v>0</v>
      </c>
      <c r="F7636" s="10" t="n">
        <v>0.2265745503778921</v>
      </c>
      <c r="G7636" s="11">
        <f>E7636*Summary!$B$6</f>
        <v/>
      </c>
      <c r="H7636" s="11">
        <f>F7636*Summary!$B$7</f>
        <v/>
      </c>
      <c r="I7636" s="11">
        <f>MAX(0,N7636-M7636)</f>
        <v/>
      </c>
      <c r="J7636" s="11">
        <f>MAX(0,M7636-N7636)</f>
        <v/>
      </c>
      <c r="K7636" s="11">
        <f>O7636</f>
        <v/>
      </c>
      <c r="L7636" s="11">
        <f>L7635+IF(K7636&gt;0,K7636*Summary!$B$9,K7636/Summary!$B$9)</f>
        <v/>
      </c>
      <c r="M7636" s="11">
        <f>G7636+H7636</f>
        <v/>
      </c>
      <c r="N7636" s="11">
        <f>Summary!$C$16*Summary!$B$8</f>
        <v/>
      </c>
      <c r="O7636" s="11">
        <f>M7636-N7636</f>
        <v/>
      </c>
    </row>
    <row r="7637">
      <c r="A7637" s="9" t="n">
        <v>45610.125</v>
      </c>
      <c r="B7637" t="n">
        <v>11</v>
      </c>
      <c r="C7637" t="n">
        <v>14</v>
      </c>
      <c r="D7637" t="n">
        <v>3</v>
      </c>
      <c r="E7637" s="10" t="n">
        <v>0</v>
      </c>
      <c r="F7637" s="10" t="n">
        <v>0.2294732710735851</v>
      </c>
      <c r="G7637" s="11">
        <f>E7637*Summary!$B$6</f>
        <v/>
      </c>
      <c r="H7637" s="11">
        <f>F7637*Summary!$B$7</f>
        <v/>
      </c>
      <c r="I7637" s="11">
        <f>MAX(0,N7637-M7637)</f>
        <v/>
      </c>
      <c r="J7637" s="11">
        <f>MAX(0,M7637-N7637)</f>
        <v/>
      </c>
      <c r="K7637" s="11">
        <f>O7637</f>
        <v/>
      </c>
      <c r="L7637" s="11">
        <f>L7636+IF(K7637&gt;0,K7637*Summary!$B$9,K7637/Summary!$B$9)</f>
        <v/>
      </c>
      <c r="M7637" s="11">
        <f>G7637+H7637</f>
        <v/>
      </c>
      <c r="N7637" s="11">
        <f>Summary!$C$16*Summary!$B$8</f>
        <v/>
      </c>
      <c r="O7637" s="11">
        <f>M7637-N7637</f>
        <v/>
      </c>
    </row>
    <row r="7638">
      <c r="A7638" s="9" t="n">
        <v>45610.16666666666</v>
      </c>
      <c r="B7638" t="n">
        <v>11</v>
      </c>
      <c r="C7638" t="n">
        <v>14</v>
      </c>
      <c r="D7638" t="n">
        <v>4</v>
      </c>
      <c r="E7638" s="10" t="n">
        <v>0</v>
      </c>
      <c r="F7638" s="10" t="n">
        <v>0.241015449843708</v>
      </c>
      <c r="G7638" s="11">
        <f>E7638*Summary!$B$6</f>
        <v/>
      </c>
      <c r="H7638" s="11">
        <f>F7638*Summary!$B$7</f>
        <v/>
      </c>
      <c r="I7638" s="11">
        <f>MAX(0,N7638-M7638)</f>
        <v/>
      </c>
      <c r="J7638" s="11">
        <f>MAX(0,M7638-N7638)</f>
        <v/>
      </c>
      <c r="K7638" s="11">
        <f>O7638</f>
        <v/>
      </c>
      <c r="L7638" s="11">
        <f>L7637+IF(K7638&gt;0,K7638*Summary!$B$9,K7638/Summary!$B$9)</f>
        <v/>
      </c>
      <c r="M7638" s="11">
        <f>G7638+H7638</f>
        <v/>
      </c>
      <c r="N7638" s="11">
        <f>Summary!$C$16*Summary!$B$8</f>
        <v/>
      </c>
      <c r="O7638" s="11">
        <f>M7638-N7638</f>
        <v/>
      </c>
    </row>
    <row r="7639">
      <c r="A7639" s="9" t="n">
        <v>45610.20833333334</v>
      </c>
      <c r="B7639" t="n">
        <v>11</v>
      </c>
      <c r="C7639" t="n">
        <v>14</v>
      </c>
      <c r="D7639" t="n">
        <v>5</v>
      </c>
      <c r="E7639" s="10" t="n">
        <v>0</v>
      </c>
      <c r="F7639" s="10" t="n">
        <v>0.2339267601424224</v>
      </c>
      <c r="G7639" s="11">
        <f>E7639*Summary!$B$6</f>
        <v/>
      </c>
      <c r="H7639" s="11">
        <f>F7639*Summary!$B$7</f>
        <v/>
      </c>
      <c r="I7639" s="11">
        <f>MAX(0,N7639-M7639)</f>
        <v/>
      </c>
      <c r="J7639" s="11">
        <f>MAX(0,M7639-N7639)</f>
        <v/>
      </c>
      <c r="K7639" s="11">
        <f>O7639</f>
        <v/>
      </c>
      <c r="L7639" s="11">
        <f>L7638+IF(K7639&gt;0,K7639*Summary!$B$9,K7639/Summary!$B$9)</f>
        <v/>
      </c>
      <c r="M7639" s="11">
        <f>G7639+H7639</f>
        <v/>
      </c>
      <c r="N7639" s="11">
        <f>Summary!$C$16*Summary!$B$8</f>
        <v/>
      </c>
      <c r="O7639" s="11">
        <f>M7639-N7639</f>
        <v/>
      </c>
    </row>
    <row r="7640">
      <c r="A7640" s="9" t="n">
        <v>45610.25</v>
      </c>
      <c r="B7640" t="n">
        <v>11</v>
      </c>
      <c r="C7640" t="n">
        <v>14</v>
      </c>
      <c r="D7640" t="n">
        <v>6</v>
      </c>
      <c r="E7640" s="10" t="n">
        <v>0</v>
      </c>
      <c r="F7640" s="10" t="n">
        <v>0.2363247927179502</v>
      </c>
      <c r="G7640" s="11">
        <f>E7640*Summary!$B$6</f>
        <v/>
      </c>
      <c r="H7640" s="11">
        <f>F7640*Summary!$B$7</f>
        <v/>
      </c>
      <c r="I7640" s="11">
        <f>MAX(0,N7640-M7640)</f>
        <v/>
      </c>
      <c r="J7640" s="11">
        <f>MAX(0,M7640-N7640)</f>
        <v/>
      </c>
      <c r="K7640" s="11">
        <f>O7640</f>
        <v/>
      </c>
      <c r="L7640" s="11">
        <f>L7639+IF(K7640&gt;0,K7640*Summary!$B$9,K7640/Summary!$B$9)</f>
        <v/>
      </c>
      <c r="M7640" s="11">
        <f>G7640+H7640</f>
        <v/>
      </c>
      <c r="N7640" s="11">
        <f>Summary!$C$16*Summary!$B$8</f>
        <v/>
      </c>
      <c r="O7640" s="11">
        <f>M7640-N7640</f>
        <v/>
      </c>
    </row>
    <row r="7641">
      <c r="A7641" s="9" t="n">
        <v>45610.29166666666</v>
      </c>
      <c r="B7641" t="n">
        <v>11</v>
      </c>
      <c r="C7641" t="n">
        <v>14</v>
      </c>
      <c r="D7641" t="n">
        <v>7</v>
      </c>
      <c r="E7641" s="10" t="n">
        <v>0</v>
      </c>
      <c r="F7641" s="10" t="n">
        <v>0.2320294156870598</v>
      </c>
      <c r="G7641" s="11">
        <f>E7641*Summary!$B$6</f>
        <v/>
      </c>
      <c r="H7641" s="11">
        <f>F7641*Summary!$B$7</f>
        <v/>
      </c>
      <c r="I7641" s="11">
        <f>MAX(0,N7641-M7641)</f>
        <v/>
      </c>
      <c r="J7641" s="11">
        <f>MAX(0,M7641-N7641)</f>
        <v/>
      </c>
      <c r="K7641" s="11">
        <f>O7641</f>
        <v/>
      </c>
      <c r="L7641" s="11">
        <f>L7640+IF(K7641&gt;0,K7641*Summary!$B$9,K7641/Summary!$B$9)</f>
        <v/>
      </c>
      <c r="M7641" s="11">
        <f>G7641+H7641</f>
        <v/>
      </c>
      <c r="N7641" s="11">
        <f>Summary!$C$16*Summary!$B$8</f>
        <v/>
      </c>
      <c r="O7641" s="11">
        <f>M7641-N7641</f>
        <v/>
      </c>
    </row>
    <row r="7642">
      <c r="A7642" s="9" t="n">
        <v>45610.33333333334</v>
      </c>
      <c r="B7642" t="n">
        <v>11</v>
      </c>
      <c r="C7642" t="n">
        <v>14</v>
      </c>
      <c r="D7642" t="n">
        <v>8</v>
      </c>
      <c r="E7642" s="10" t="n">
        <v>0.016659</v>
      </c>
      <c r="F7642" s="10" t="n">
        <v>0.2283137827953079</v>
      </c>
      <c r="G7642" s="11">
        <f>E7642*Summary!$B$6</f>
        <v/>
      </c>
      <c r="H7642" s="11">
        <f>F7642*Summary!$B$7</f>
        <v/>
      </c>
      <c r="I7642" s="11">
        <f>MAX(0,N7642-M7642)</f>
        <v/>
      </c>
      <c r="J7642" s="11">
        <f>MAX(0,M7642-N7642)</f>
        <v/>
      </c>
      <c r="K7642" s="11">
        <f>O7642</f>
        <v/>
      </c>
      <c r="L7642" s="11">
        <f>L7641+IF(K7642&gt;0,K7642*Summary!$B$9,K7642/Summary!$B$9)</f>
        <v/>
      </c>
      <c r="M7642" s="11">
        <f>G7642+H7642</f>
        <v/>
      </c>
      <c r="N7642" s="11">
        <f>Summary!$C$16*Summary!$B$8</f>
        <v/>
      </c>
      <c r="O7642" s="11">
        <f>M7642-N7642</f>
        <v/>
      </c>
    </row>
    <row r="7643">
      <c r="A7643" s="9" t="n">
        <v>45610.375</v>
      </c>
      <c r="B7643" t="n">
        <v>11</v>
      </c>
      <c r="C7643" t="n">
        <v>14</v>
      </c>
      <c r="D7643" t="n">
        <v>9</v>
      </c>
      <c r="E7643" s="10" t="n">
        <v>0.039022</v>
      </c>
      <c r="F7643" s="10" t="n">
        <v>0.2255995261438863</v>
      </c>
      <c r="G7643" s="11">
        <f>E7643*Summary!$B$6</f>
        <v/>
      </c>
      <c r="H7643" s="11">
        <f>F7643*Summary!$B$7</f>
        <v/>
      </c>
      <c r="I7643" s="11">
        <f>MAX(0,N7643-M7643)</f>
        <v/>
      </c>
      <c r="J7643" s="11">
        <f>MAX(0,M7643-N7643)</f>
        <v/>
      </c>
      <c r="K7643" s="11">
        <f>O7643</f>
        <v/>
      </c>
      <c r="L7643" s="11">
        <f>L7642+IF(K7643&gt;0,K7643*Summary!$B$9,K7643/Summary!$B$9)</f>
        <v/>
      </c>
      <c r="M7643" s="11">
        <f>G7643+H7643</f>
        <v/>
      </c>
      <c r="N7643" s="11">
        <f>Summary!$C$16*Summary!$B$8</f>
        <v/>
      </c>
      <c r="O7643" s="11">
        <f>M7643-N7643</f>
        <v/>
      </c>
    </row>
    <row r="7644">
      <c r="A7644" s="9" t="n">
        <v>45610.41666666666</v>
      </c>
      <c r="B7644" t="n">
        <v>11</v>
      </c>
      <c r="C7644" t="n">
        <v>14</v>
      </c>
      <c r="D7644" t="n">
        <v>10</v>
      </c>
      <c r="E7644" s="10" t="n">
        <v>0.040203</v>
      </c>
      <c r="F7644" s="10" t="n">
        <v>0.2160337478480995</v>
      </c>
      <c r="G7644" s="11">
        <f>E7644*Summary!$B$6</f>
        <v/>
      </c>
      <c r="H7644" s="11">
        <f>F7644*Summary!$B$7</f>
        <v/>
      </c>
      <c r="I7644" s="11">
        <f>MAX(0,N7644-M7644)</f>
        <v/>
      </c>
      <c r="J7644" s="11">
        <f>MAX(0,M7644-N7644)</f>
        <v/>
      </c>
      <c r="K7644" s="11">
        <f>O7644</f>
        <v/>
      </c>
      <c r="L7644" s="11">
        <f>L7643+IF(K7644&gt;0,K7644*Summary!$B$9,K7644/Summary!$B$9)</f>
        <v/>
      </c>
      <c r="M7644" s="11">
        <f>G7644+H7644</f>
        <v/>
      </c>
      <c r="N7644" s="11">
        <f>Summary!$C$16*Summary!$B$8</f>
        <v/>
      </c>
      <c r="O7644" s="11">
        <f>M7644-N7644</f>
        <v/>
      </c>
    </row>
    <row r="7645">
      <c r="A7645" s="9" t="n">
        <v>45610.45833333334</v>
      </c>
      <c r="B7645" t="n">
        <v>11</v>
      </c>
      <c r="C7645" t="n">
        <v>14</v>
      </c>
      <c r="D7645" t="n">
        <v>11</v>
      </c>
      <c r="E7645" s="10" t="n">
        <v>0.06589299999999999</v>
      </c>
      <c r="F7645" s="10" t="n">
        <v>0.2093930422543301</v>
      </c>
      <c r="G7645" s="11">
        <f>E7645*Summary!$B$6</f>
        <v/>
      </c>
      <c r="H7645" s="11">
        <f>F7645*Summary!$B$7</f>
        <v/>
      </c>
      <c r="I7645" s="11">
        <f>MAX(0,N7645-M7645)</f>
        <v/>
      </c>
      <c r="J7645" s="11">
        <f>MAX(0,M7645-N7645)</f>
        <v/>
      </c>
      <c r="K7645" s="11">
        <f>O7645</f>
        <v/>
      </c>
      <c r="L7645" s="11">
        <f>L7644+IF(K7645&gt;0,K7645*Summary!$B$9,K7645/Summary!$B$9)</f>
        <v/>
      </c>
      <c r="M7645" s="11">
        <f>G7645+H7645</f>
        <v/>
      </c>
      <c r="N7645" s="11">
        <f>Summary!$C$16*Summary!$B$8</f>
        <v/>
      </c>
      <c r="O7645" s="11">
        <f>M7645-N7645</f>
        <v/>
      </c>
    </row>
    <row r="7646">
      <c r="A7646" s="9" t="n">
        <v>45610.5</v>
      </c>
      <c r="B7646" t="n">
        <v>11</v>
      </c>
      <c r="C7646" t="n">
        <v>14</v>
      </c>
      <c r="D7646" t="n">
        <v>12</v>
      </c>
      <c r="E7646" s="10" t="n">
        <v>0.101416</v>
      </c>
      <c r="F7646" s="10" t="n">
        <v>0.2077855698685368</v>
      </c>
      <c r="G7646" s="11">
        <f>E7646*Summary!$B$6</f>
        <v/>
      </c>
      <c r="H7646" s="11">
        <f>F7646*Summary!$B$7</f>
        <v/>
      </c>
      <c r="I7646" s="11">
        <f>MAX(0,N7646-M7646)</f>
        <v/>
      </c>
      <c r="J7646" s="11">
        <f>MAX(0,M7646-N7646)</f>
        <v/>
      </c>
      <c r="K7646" s="11">
        <f>O7646</f>
        <v/>
      </c>
      <c r="L7646" s="11">
        <f>L7645+IF(K7646&gt;0,K7646*Summary!$B$9,K7646/Summary!$B$9)</f>
        <v/>
      </c>
      <c r="M7646" s="11">
        <f>G7646+H7646</f>
        <v/>
      </c>
      <c r="N7646" s="11">
        <f>Summary!$C$16*Summary!$B$8</f>
        <v/>
      </c>
      <c r="O7646" s="11">
        <f>M7646-N7646</f>
        <v/>
      </c>
    </row>
    <row r="7647">
      <c r="A7647" s="9" t="n">
        <v>45610.54166666666</v>
      </c>
      <c r="B7647" t="n">
        <v>11</v>
      </c>
      <c r="C7647" t="n">
        <v>14</v>
      </c>
      <c r="D7647" t="n">
        <v>13</v>
      </c>
      <c r="E7647" s="10" t="n">
        <v>0.061717</v>
      </c>
      <c r="F7647" s="10" t="n">
        <v>0.2115802587792621</v>
      </c>
      <c r="G7647" s="11">
        <f>E7647*Summary!$B$6</f>
        <v/>
      </c>
      <c r="H7647" s="11">
        <f>F7647*Summary!$B$7</f>
        <v/>
      </c>
      <c r="I7647" s="11">
        <f>MAX(0,N7647-M7647)</f>
        <v/>
      </c>
      <c r="J7647" s="11">
        <f>MAX(0,M7647-N7647)</f>
        <v/>
      </c>
      <c r="K7647" s="11">
        <f>O7647</f>
        <v/>
      </c>
      <c r="L7647" s="11">
        <f>L7646+IF(K7647&gt;0,K7647*Summary!$B$9,K7647/Summary!$B$9)</f>
        <v/>
      </c>
      <c r="M7647" s="11">
        <f>G7647+H7647</f>
        <v/>
      </c>
      <c r="N7647" s="11">
        <f>Summary!$C$16*Summary!$B$8</f>
        <v/>
      </c>
      <c r="O7647" s="11">
        <f>M7647-N7647</f>
        <v/>
      </c>
    </row>
    <row r="7648">
      <c r="A7648" s="9" t="n">
        <v>45610.58333333334</v>
      </c>
      <c r="B7648" t="n">
        <v>11</v>
      </c>
      <c r="C7648" t="n">
        <v>14</v>
      </c>
      <c r="D7648" t="n">
        <v>14</v>
      </c>
      <c r="E7648" s="10" t="n">
        <v>0.021907</v>
      </c>
      <c r="F7648" s="10" t="n">
        <v>0.2175094602022705</v>
      </c>
      <c r="G7648" s="11">
        <f>E7648*Summary!$B$6</f>
        <v/>
      </c>
      <c r="H7648" s="11">
        <f>F7648*Summary!$B$7</f>
        <v/>
      </c>
      <c r="I7648" s="11">
        <f>MAX(0,N7648-M7648)</f>
        <v/>
      </c>
      <c r="J7648" s="11">
        <f>MAX(0,M7648-N7648)</f>
        <v/>
      </c>
      <c r="K7648" s="11">
        <f>O7648</f>
        <v/>
      </c>
      <c r="L7648" s="11">
        <f>L7647+IF(K7648&gt;0,K7648*Summary!$B$9,K7648/Summary!$B$9)</f>
        <v/>
      </c>
      <c r="M7648" s="11">
        <f>G7648+H7648</f>
        <v/>
      </c>
      <c r="N7648" s="11">
        <f>Summary!$C$16*Summary!$B$8</f>
        <v/>
      </c>
      <c r="O7648" s="11">
        <f>M7648-N7648</f>
        <v/>
      </c>
    </row>
    <row r="7649">
      <c r="A7649" s="9" t="n">
        <v>45610.625</v>
      </c>
      <c r="B7649" t="n">
        <v>11</v>
      </c>
      <c r="C7649" t="n">
        <v>14</v>
      </c>
      <c r="D7649" t="n">
        <v>15</v>
      </c>
      <c r="E7649" s="10" t="n">
        <v>0.017832</v>
      </c>
      <c r="F7649" s="10" t="n">
        <v>0.2296840871241809</v>
      </c>
      <c r="G7649" s="11">
        <f>E7649*Summary!$B$6</f>
        <v/>
      </c>
      <c r="H7649" s="11">
        <f>F7649*Summary!$B$7</f>
        <v/>
      </c>
      <c r="I7649" s="11">
        <f>MAX(0,N7649-M7649)</f>
        <v/>
      </c>
      <c r="J7649" s="11">
        <f>MAX(0,M7649-N7649)</f>
        <v/>
      </c>
      <c r="K7649" s="11">
        <f>O7649</f>
        <v/>
      </c>
      <c r="L7649" s="11">
        <f>L7648+IF(K7649&gt;0,K7649*Summary!$B$9,K7649/Summary!$B$9)</f>
        <v/>
      </c>
      <c r="M7649" s="11">
        <f>G7649+H7649</f>
        <v/>
      </c>
      <c r="N7649" s="11">
        <f>Summary!$C$16*Summary!$B$8</f>
        <v/>
      </c>
      <c r="O7649" s="11">
        <f>M7649-N7649</f>
        <v/>
      </c>
    </row>
    <row r="7650">
      <c r="A7650" s="9" t="n">
        <v>45610.66666666666</v>
      </c>
      <c r="B7650" t="n">
        <v>11</v>
      </c>
      <c r="C7650" t="n">
        <v>14</v>
      </c>
      <c r="D7650" t="n">
        <v>16</v>
      </c>
      <c r="E7650" s="10" t="n">
        <v>0</v>
      </c>
      <c r="F7650" s="10" t="n">
        <v>0.2485521236525097</v>
      </c>
      <c r="G7650" s="11">
        <f>E7650*Summary!$B$6</f>
        <v/>
      </c>
      <c r="H7650" s="11">
        <f>F7650*Summary!$B$7</f>
        <v/>
      </c>
      <c r="I7650" s="11">
        <f>MAX(0,N7650-M7650)</f>
        <v/>
      </c>
      <c r="J7650" s="11">
        <f>MAX(0,M7650-N7650)</f>
        <v/>
      </c>
      <c r="K7650" s="11">
        <f>O7650</f>
        <v/>
      </c>
      <c r="L7650" s="11">
        <f>L7649+IF(K7650&gt;0,K7650*Summary!$B$9,K7650/Summary!$B$9)</f>
        <v/>
      </c>
      <c r="M7650" s="11">
        <f>G7650+H7650</f>
        <v/>
      </c>
      <c r="N7650" s="11">
        <f>Summary!$C$16*Summary!$B$8</f>
        <v/>
      </c>
      <c r="O7650" s="11">
        <f>M7650-N7650</f>
        <v/>
      </c>
    </row>
    <row r="7651">
      <c r="A7651" s="9" t="n">
        <v>45610.70833333334</v>
      </c>
      <c r="B7651" t="n">
        <v>11</v>
      </c>
      <c r="C7651" t="n">
        <v>14</v>
      </c>
      <c r="D7651" t="n">
        <v>17</v>
      </c>
      <c r="E7651" s="10" t="n">
        <v>0</v>
      </c>
      <c r="F7651" s="10" t="n">
        <v>0.2709249770219945</v>
      </c>
      <c r="G7651" s="11">
        <f>E7651*Summary!$B$6</f>
        <v/>
      </c>
      <c r="H7651" s="11">
        <f>F7651*Summary!$B$7</f>
        <v/>
      </c>
      <c r="I7651" s="11">
        <f>MAX(0,N7651-M7651)</f>
        <v/>
      </c>
      <c r="J7651" s="11">
        <f>MAX(0,M7651-N7651)</f>
        <v/>
      </c>
      <c r="K7651" s="11">
        <f>O7651</f>
        <v/>
      </c>
      <c r="L7651" s="11">
        <f>L7650+IF(K7651&gt;0,K7651*Summary!$B$9,K7651/Summary!$B$9)</f>
        <v/>
      </c>
      <c r="M7651" s="11">
        <f>G7651+H7651</f>
        <v/>
      </c>
      <c r="N7651" s="11">
        <f>Summary!$C$16*Summary!$B$8</f>
        <v/>
      </c>
      <c r="O7651" s="11">
        <f>M7651-N7651</f>
        <v/>
      </c>
    </row>
    <row r="7652">
      <c r="A7652" s="9" t="n">
        <v>45610.75</v>
      </c>
      <c r="B7652" t="n">
        <v>11</v>
      </c>
      <c r="C7652" t="n">
        <v>14</v>
      </c>
      <c r="D7652" t="n">
        <v>18</v>
      </c>
      <c r="E7652" s="10" t="n">
        <v>0</v>
      </c>
      <c r="F7652" s="10" t="n">
        <v>0.2947998947519747</v>
      </c>
      <c r="G7652" s="11">
        <f>E7652*Summary!$B$6</f>
        <v/>
      </c>
      <c r="H7652" s="11">
        <f>F7652*Summary!$B$7</f>
        <v/>
      </c>
      <c r="I7652" s="11">
        <f>MAX(0,N7652-M7652)</f>
        <v/>
      </c>
      <c r="J7652" s="11">
        <f>MAX(0,M7652-N7652)</f>
        <v/>
      </c>
      <c r="K7652" s="11">
        <f>O7652</f>
        <v/>
      </c>
      <c r="L7652" s="11">
        <f>L7651+IF(K7652&gt;0,K7652*Summary!$B$9,K7652/Summary!$B$9)</f>
        <v/>
      </c>
      <c r="M7652" s="11">
        <f>G7652+H7652</f>
        <v/>
      </c>
      <c r="N7652" s="11">
        <f>Summary!$C$16*Summary!$B$8</f>
        <v/>
      </c>
      <c r="O7652" s="11">
        <f>M7652-N7652</f>
        <v/>
      </c>
    </row>
    <row r="7653">
      <c r="A7653" s="9" t="n">
        <v>45610.79166666666</v>
      </c>
      <c r="B7653" t="n">
        <v>11</v>
      </c>
      <c r="C7653" t="n">
        <v>14</v>
      </c>
      <c r="D7653" t="n">
        <v>19</v>
      </c>
      <c r="E7653" s="10" t="n">
        <v>0</v>
      </c>
      <c r="F7653" s="10" t="n">
        <v>0.3112962507111002</v>
      </c>
      <c r="G7653" s="11">
        <f>E7653*Summary!$B$6</f>
        <v/>
      </c>
      <c r="H7653" s="11">
        <f>F7653*Summary!$B$7</f>
        <v/>
      </c>
      <c r="I7653" s="11">
        <f>MAX(0,N7653-M7653)</f>
        <v/>
      </c>
      <c r="J7653" s="11">
        <f>MAX(0,M7653-N7653)</f>
        <v/>
      </c>
      <c r="K7653" s="11">
        <f>O7653</f>
        <v/>
      </c>
      <c r="L7653" s="11">
        <f>L7652+IF(K7653&gt;0,K7653*Summary!$B$9,K7653/Summary!$B$9)</f>
        <v/>
      </c>
      <c r="M7653" s="11">
        <f>G7653+H7653</f>
        <v/>
      </c>
      <c r="N7653" s="11">
        <f>Summary!$C$16*Summary!$B$8</f>
        <v/>
      </c>
      <c r="O7653" s="11">
        <f>M7653-N7653</f>
        <v/>
      </c>
    </row>
    <row r="7654">
      <c r="A7654" s="9" t="n">
        <v>45610.83333333334</v>
      </c>
      <c r="B7654" t="n">
        <v>11</v>
      </c>
      <c r="C7654" t="n">
        <v>14</v>
      </c>
      <c r="D7654" t="n">
        <v>20</v>
      </c>
      <c r="E7654" s="10" t="n">
        <v>0</v>
      </c>
      <c r="F7654" s="10" t="n">
        <v>0.3208883810132114</v>
      </c>
      <c r="G7654" s="11">
        <f>E7654*Summary!$B$6</f>
        <v/>
      </c>
      <c r="H7654" s="11">
        <f>F7654*Summary!$B$7</f>
        <v/>
      </c>
      <c r="I7654" s="11">
        <f>MAX(0,N7654-M7654)</f>
        <v/>
      </c>
      <c r="J7654" s="11">
        <f>MAX(0,M7654-N7654)</f>
        <v/>
      </c>
      <c r="K7654" s="11">
        <f>O7654</f>
        <v/>
      </c>
      <c r="L7654" s="11">
        <f>L7653+IF(K7654&gt;0,K7654*Summary!$B$9,K7654/Summary!$B$9)</f>
        <v/>
      </c>
      <c r="M7654" s="11">
        <f>G7654+H7654</f>
        <v/>
      </c>
      <c r="N7654" s="11">
        <f>Summary!$C$16*Summary!$B$8</f>
        <v/>
      </c>
      <c r="O7654" s="11">
        <f>M7654-N7654</f>
        <v/>
      </c>
    </row>
    <row r="7655">
      <c r="A7655" s="9" t="n">
        <v>45610.875</v>
      </c>
      <c r="B7655" t="n">
        <v>11</v>
      </c>
      <c r="C7655" t="n">
        <v>14</v>
      </c>
      <c r="D7655" t="n">
        <v>21</v>
      </c>
      <c r="E7655" s="10" t="n">
        <v>0</v>
      </c>
      <c r="F7655" s="10" t="n">
        <v>0.3240506217721492</v>
      </c>
      <c r="G7655" s="11">
        <f>E7655*Summary!$B$6</f>
        <v/>
      </c>
      <c r="H7655" s="11">
        <f>F7655*Summary!$B$7</f>
        <v/>
      </c>
      <c r="I7655" s="11">
        <f>MAX(0,N7655-M7655)</f>
        <v/>
      </c>
      <c r="J7655" s="11">
        <f>MAX(0,M7655-N7655)</f>
        <v/>
      </c>
      <c r="K7655" s="11">
        <f>O7655</f>
        <v/>
      </c>
      <c r="L7655" s="11">
        <f>L7654+IF(K7655&gt;0,K7655*Summary!$B$9,K7655/Summary!$B$9)</f>
        <v/>
      </c>
      <c r="M7655" s="11">
        <f>G7655+H7655</f>
        <v/>
      </c>
      <c r="N7655" s="11">
        <f>Summary!$C$16*Summary!$B$8</f>
        <v/>
      </c>
      <c r="O7655" s="11">
        <f>M7655-N7655</f>
        <v/>
      </c>
    </row>
    <row r="7656">
      <c r="A7656" s="9" t="n">
        <v>45610.91666666666</v>
      </c>
      <c r="B7656" t="n">
        <v>11</v>
      </c>
      <c r="C7656" t="n">
        <v>14</v>
      </c>
      <c r="D7656" t="n">
        <v>22</v>
      </c>
      <c r="E7656" s="10" t="n">
        <v>0</v>
      </c>
      <c r="F7656" s="10" t="n">
        <v>0.325842558202214</v>
      </c>
      <c r="G7656" s="11">
        <f>E7656*Summary!$B$6</f>
        <v/>
      </c>
      <c r="H7656" s="11">
        <f>F7656*Summary!$B$7</f>
        <v/>
      </c>
      <c r="I7656" s="11">
        <f>MAX(0,N7656-M7656)</f>
        <v/>
      </c>
      <c r="J7656" s="11">
        <f>MAX(0,M7656-N7656)</f>
        <v/>
      </c>
      <c r="K7656" s="11">
        <f>O7656</f>
        <v/>
      </c>
      <c r="L7656" s="11">
        <f>L7655+IF(K7656&gt;0,K7656*Summary!$B$9,K7656/Summary!$B$9)</f>
        <v/>
      </c>
      <c r="M7656" s="11">
        <f>G7656+H7656</f>
        <v/>
      </c>
      <c r="N7656" s="11">
        <f>Summary!$C$16*Summary!$B$8</f>
        <v/>
      </c>
      <c r="O7656" s="11">
        <f>M7656-N7656</f>
        <v/>
      </c>
    </row>
    <row r="7657">
      <c r="A7657" s="9" t="n">
        <v>45610.95833333334</v>
      </c>
      <c r="B7657" t="n">
        <v>11</v>
      </c>
      <c r="C7657" t="n">
        <v>14</v>
      </c>
      <c r="D7657" t="n">
        <v>23</v>
      </c>
      <c r="E7657" s="10" t="n">
        <v>0</v>
      </c>
      <c r="F7657" s="10" t="n">
        <v>0.3234972296393351</v>
      </c>
      <c r="G7657" s="11">
        <f>E7657*Summary!$B$6</f>
        <v/>
      </c>
      <c r="H7657" s="11">
        <f>F7657*Summary!$B$7</f>
        <v/>
      </c>
      <c r="I7657" s="11">
        <f>MAX(0,N7657-M7657)</f>
        <v/>
      </c>
      <c r="J7657" s="11">
        <f>MAX(0,M7657-N7657)</f>
        <v/>
      </c>
      <c r="K7657" s="11">
        <f>O7657</f>
        <v/>
      </c>
      <c r="L7657" s="11">
        <f>L7656+IF(K7657&gt;0,K7657*Summary!$B$9,K7657/Summary!$B$9)</f>
        <v/>
      </c>
      <c r="M7657" s="11">
        <f>G7657+H7657</f>
        <v/>
      </c>
      <c r="N7657" s="11">
        <f>Summary!$C$16*Summary!$B$8</f>
        <v/>
      </c>
      <c r="O7657" s="11">
        <f>M7657-N7657</f>
        <v/>
      </c>
    </row>
    <row r="7658">
      <c r="A7658" s="9" t="n">
        <v>45611</v>
      </c>
      <c r="B7658" t="n">
        <v>11</v>
      </c>
      <c r="C7658" t="n">
        <v>15</v>
      </c>
      <c r="D7658" t="n">
        <v>0</v>
      </c>
      <c r="E7658" s="10" t="n">
        <v>0</v>
      </c>
      <c r="F7658" s="10" t="n">
        <v>0.4185752684580644</v>
      </c>
      <c r="G7658" s="11">
        <f>E7658*Summary!$B$6</f>
        <v/>
      </c>
      <c r="H7658" s="11">
        <f>F7658*Summary!$B$7</f>
        <v/>
      </c>
      <c r="I7658" s="11">
        <f>MAX(0,N7658-M7658)</f>
        <v/>
      </c>
      <c r="J7658" s="11">
        <f>MAX(0,M7658-N7658)</f>
        <v/>
      </c>
      <c r="K7658" s="11">
        <f>O7658</f>
        <v/>
      </c>
      <c r="L7658" s="11">
        <f>L7657+IF(K7658&gt;0,K7658*Summary!$B$9,K7658/Summary!$B$9)</f>
        <v/>
      </c>
      <c r="M7658" s="11">
        <f>G7658+H7658</f>
        <v/>
      </c>
      <c r="N7658" s="11">
        <f>Summary!$C$16*Summary!$B$8</f>
        <v/>
      </c>
      <c r="O7658" s="11">
        <f>M7658-N7658</f>
        <v/>
      </c>
    </row>
    <row r="7659">
      <c r="A7659" s="9" t="n">
        <v>45611.04166666666</v>
      </c>
      <c r="B7659" t="n">
        <v>11</v>
      </c>
      <c r="C7659" t="n">
        <v>15</v>
      </c>
      <c r="D7659" t="n">
        <v>1</v>
      </c>
      <c r="E7659" s="10" t="n">
        <v>0</v>
      </c>
      <c r="F7659" s="10" t="n">
        <v>0.3274763825943318</v>
      </c>
      <c r="G7659" s="11">
        <f>E7659*Summary!$B$6</f>
        <v/>
      </c>
      <c r="H7659" s="11">
        <f>F7659*Summary!$B$7</f>
        <v/>
      </c>
      <c r="I7659" s="11">
        <f>MAX(0,N7659-M7659)</f>
        <v/>
      </c>
      <c r="J7659" s="11">
        <f>MAX(0,M7659-N7659)</f>
        <v/>
      </c>
      <c r="K7659" s="11">
        <f>O7659</f>
        <v/>
      </c>
      <c r="L7659" s="11">
        <f>L7658+IF(K7659&gt;0,K7659*Summary!$B$9,K7659/Summary!$B$9)</f>
        <v/>
      </c>
      <c r="M7659" s="11">
        <f>G7659+H7659</f>
        <v/>
      </c>
      <c r="N7659" s="11">
        <f>Summary!$C$16*Summary!$B$8</f>
        <v/>
      </c>
      <c r="O7659" s="11">
        <f>M7659-N7659</f>
        <v/>
      </c>
    </row>
    <row r="7660">
      <c r="A7660" s="9" t="n">
        <v>45611.08333333334</v>
      </c>
      <c r="B7660" t="n">
        <v>11</v>
      </c>
      <c r="C7660" t="n">
        <v>15</v>
      </c>
      <c r="D7660" t="n">
        <v>2</v>
      </c>
      <c r="E7660" s="10" t="n">
        <v>0</v>
      </c>
      <c r="F7660" s="10" t="n">
        <v>0.3333528800046912</v>
      </c>
      <c r="G7660" s="11">
        <f>E7660*Summary!$B$6</f>
        <v/>
      </c>
      <c r="H7660" s="11">
        <f>F7660*Summary!$B$7</f>
        <v/>
      </c>
      <c r="I7660" s="11">
        <f>MAX(0,N7660-M7660)</f>
        <v/>
      </c>
      <c r="J7660" s="11">
        <f>MAX(0,M7660-N7660)</f>
        <v/>
      </c>
      <c r="K7660" s="11">
        <f>O7660</f>
        <v/>
      </c>
      <c r="L7660" s="11">
        <f>L7659+IF(K7660&gt;0,K7660*Summary!$B$9,K7660/Summary!$B$9)</f>
        <v/>
      </c>
      <c r="M7660" s="11">
        <f>G7660+H7660</f>
        <v/>
      </c>
      <c r="N7660" s="11">
        <f>Summary!$C$16*Summary!$B$8</f>
        <v/>
      </c>
      <c r="O7660" s="11">
        <f>M7660-N7660</f>
        <v/>
      </c>
    </row>
    <row r="7661">
      <c r="A7661" s="9" t="n">
        <v>45611.125</v>
      </c>
      <c r="B7661" t="n">
        <v>11</v>
      </c>
      <c r="C7661" t="n">
        <v>15</v>
      </c>
      <c r="D7661" t="n">
        <v>3</v>
      </c>
      <c r="E7661" s="10" t="n">
        <v>0</v>
      </c>
      <c r="F7661" s="10" t="n">
        <v>0.3408368498008439</v>
      </c>
      <c r="G7661" s="11">
        <f>E7661*Summary!$B$6</f>
        <v/>
      </c>
      <c r="H7661" s="11">
        <f>F7661*Summary!$B$7</f>
        <v/>
      </c>
      <c r="I7661" s="11">
        <f>MAX(0,N7661-M7661)</f>
        <v/>
      </c>
      <c r="J7661" s="11">
        <f>MAX(0,M7661-N7661)</f>
        <v/>
      </c>
      <c r="K7661" s="11">
        <f>O7661</f>
        <v/>
      </c>
      <c r="L7661" s="11">
        <f>L7660+IF(K7661&gt;0,K7661*Summary!$B$9,K7661/Summary!$B$9)</f>
        <v/>
      </c>
      <c r="M7661" s="11">
        <f>G7661+H7661</f>
        <v/>
      </c>
      <c r="N7661" s="11">
        <f>Summary!$C$16*Summary!$B$8</f>
        <v/>
      </c>
      <c r="O7661" s="11">
        <f>M7661-N7661</f>
        <v/>
      </c>
    </row>
    <row r="7662">
      <c r="A7662" s="9" t="n">
        <v>45611.16666666666</v>
      </c>
      <c r="B7662" t="n">
        <v>11</v>
      </c>
      <c r="C7662" t="n">
        <v>15</v>
      </c>
      <c r="D7662" t="n">
        <v>4</v>
      </c>
      <c r="E7662" s="10" t="n">
        <v>0</v>
      </c>
      <c r="F7662" s="10" t="n">
        <v>0.3406787377628971</v>
      </c>
      <c r="G7662" s="11">
        <f>E7662*Summary!$B$6</f>
        <v/>
      </c>
      <c r="H7662" s="11">
        <f>F7662*Summary!$B$7</f>
        <v/>
      </c>
      <c r="I7662" s="11">
        <f>MAX(0,N7662-M7662)</f>
        <v/>
      </c>
      <c r="J7662" s="11">
        <f>MAX(0,M7662-N7662)</f>
        <v/>
      </c>
      <c r="K7662" s="11">
        <f>O7662</f>
        <v/>
      </c>
      <c r="L7662" s="11">
        <f>L7661+IF(K7662&gt;0,K7662*Summary!$B$9,K7662/Summary!$B$9)</f>
        <v/>
      </c>
      <c r="M7662" s="11">
        <f>G7662+H7662</f>
        <v/>
      </c>
      <c r="N7662" s="11">
        <f>Summary!$C$16*Summary!$B$8</f>
        <v/>
      </c>
      <c r="O7662" s="11">
        <f>M7662-N7662</f>
        <v/>
      </c>
    </row>
    <row r="7663">
      <c r="A7663" s="9" t="n">
        <v>45611.20833333334</v>
      </c>
      <c r="B7663" t="n">
        <v>11</v>
      </c>
      <c r="C7663" t="n">
        <v>15</v>
      </c>
      <c r="D7663" t="n">
        <v>5</v>
      </c>
      <c r="E7663" s="10" t="n">
        <v>0</v>
      </c>
      <c r="F7663" s="10" t="n">
        <v>0.3445524826925959</v>
      </c>
      <c r="G7663" s="11">
        <f>E7663*Summary!$B$6</f>
        <v/>
      </c>
      <c r="H7663" s="11">
        <f>F7663*Summary!$B$7</f>
        <v/>
      </c>
      <c r="I7663" s="11">
        <f>MAX(0,N7663-M7663)</f>
        <v/>
      </c>
      <c r="J7663" s="11">
        <f>MAX(0,M7663-N7663)</f>
        <v/>
      </c>
      <c r="K7663" s="11">
        <f>O7663</f>
        <v/>
      </c>
      <c r="L7663" s="11">
        <f>L7662+IF(K7663&gt;0,K7663*Summary!$B$9,K7663/Summary!$B$9)</f>
        <v/>
      </c>
      <c r="M7663" s="11">
        <f>G7663+H7663</f>
        <v/>
      </c>
      <c r="N7663" s="11">
        <f>Summary!$C$16*Summary!$B$8</f>
        <v/>
      </c>
      <c r="O7663" s="11">
        <f>M7663-N7663</f>
        <v/>
      </c>
    </row>
    <row r="7664">
      <c r="A7664" s="9" t="n">
        <v>45611.25</v>
      </c>
      <c r="B7664" t="n">
        <v>11</v>
      </c>
      <c r="C7664" t="n">
        <v>15</v>
      </c>
      <c r="D7664" t="n">
        <v>6</v>
      </c>
      <c r="E7664" s="10" t="n">
        <v>0</v>
      </c>
      <c r="F7664" s="10" t="n">
        <v>0.3482417635780232</v>
      </c>
      <c r="G7664" s="11">
        <f>E7664*Summary!$B$6</f>
        <v/>
      </c>
      <c r="H7664" s="11">
        <f>F7664*Summary!$B$7</f>
        <v/>
      </c>
      <c r="I7664" s="11">
        <f>MAX(0,N7664-M7664)</f>
        <v/>
      </c>
      <c r="J7664" s="11">
        <f>MAX(0,M7664-N7664)</f>
        <v/>
      </c>
      <c r="K7664" s="11">
        <f>O7664</f>
        <v/>
      </c>
      <c r="L7664" s="11">
        <f>L7663+IF(K7664&gt;0,K7664*Summary!$B$9,K7664/Summary!$B$9)</f>
        <v/>
      </c>
      <c r="M7664" s="11">
        <f>G7664+H7664</f>
        <v/>
      </c>
      <c r="N7664" s="11">
        <f>Summary!$C$16*Summary!$B$8</f>
        <v/>
      </c>
      <c r="O7664" s="11">
        <f>M7664-N7664</f>
        <v/>
      </c>
    </row>
    <row r="7665">
      <c r="A7665" s="9" t="n">
        <v>45611.29166666666</v>
      </c>
      <c r="B7665" t="n">
        <v>11</v>
      </c>
      <c r="C7665" t="n">
        <v>15</v>
      </c>
      <c r="D7665" t="n">
        <v>7</v>
      </c>
      <c r="E7665" s="10" t="n">
        <v>0</v>
      </c>
      <c r="F7665" s="10" t="n">
        <v>0.3542236690136806</v>
      </c>
      <c r="G7665" s="11">
        <f>E7665*Summary!$B$6</f>
        <v/>
      </c>
      <c r="H7665" s="11">
        <f>F7665*Summary!$B$7</f>
        <v/>
      </c>
      <c r="I7665" s="11">
        <f>MAX(0,N7665-M7665)</f>
        <v/>
      </c>
      <c r="J7665" s="11">
        <f>MAX(0,M7665-N7665)</f>
        <v/>
      </c>
      <c r="K7665" s="11">
        <f>O7665</f>
        <v/>
      </c>
      <c r="L7665" s="11">
        <f>L7664+IF(K7665&gt;0,K7665*Summary!$B$9,K7665/Summary!$B$9)</f>
        <v/>
      </c>
      <c r="M7665" s="11">
        <f>G7665+H7665</f>
        <v/>
      </c>
      <c r="N7665" s="11">
        <f>Summary!$C$16*Summary!$B$8</f>
        <v/>
      </c>
      <c r="O7665" s="11">
        <f>M7665-N7665</f>
        <v/>
      </c>
    </row>
    <row r="7666">
      <c r="A7666" s="9" t="n">
        <v>45611.33333333334</v>
      </c>
      <c r="B7666" t="n">
        <v>11</v>
      </c>
      <c r="C7666" t="n">
        <v>15</v>
      </c>
      <c r="D7666" t="n">
        <v>8</v>
      </c>
      <c r="E7666" s="10" t="n">
        <v>0.049665</v>
      </c>
      <c r="F7666" s="10" t="n">
        <v>0.3582818779876507</v>
      </c>
      <c r="G7666" s="11">
        <f>E7666*Summary!$B$6</f>
        <v/>
      </c>
      <c r="H7666" s="11">
        <f>F7666*Summary!$B$7</f>
        <v/>
      </c>
      <c r="I7666" s="11">
        <f>MAX(0,N7666-M7666)</f>
        <v/>
      </c>
      <c r="J7666" s="11">
        <f>MAX(0,M7666-N7666)</f>
        <v/>
      </c>
      <c r="K7666" s="11">
        <f>O7666</f>
        <v/>
      </c>
      <c r="L7666" s="11">
        <f>L7665+IF(K7666&gt;0,K7666*Summary!$B$9,K7666/Summary!$B$9)</f>
        <v/>
      </c>
      <c r="M7666" s="11">
        <f>G7666+H7666</f>
        <v/>
      </c>
      <c r="N7666" s="11">
        <f>Summary!$C$16*Summary!$B$8</f>
        <v/>
      </c>
      <c r="O7666" s="11">
        <f>M7666-N7666</f>
        <v/>
      </c>
    </row>
    <row r="7667">
      <c r="A7667" s="9" t="n">
        <v>45611.375</v>
      </c>
      <c r="B7667" t="n">
        <v>11</v>
      </c>
      <c r="C7667" t="n">
        <v>15</v>
      </c>
      <c r="D7667" t="n">
        <v>9</v>
      </c>
      <c r="E7667" s="10" t="n">
        <v>0.18848</v>
      </c>
      <c r="F7667" s="10" t="n">
        <v>0.3622083269299985</v>
      </c>
      <c r="G7667" s="11">
        <f>E7667*Summary!$B$6</f>
        <v/>
      </c>
      <c r="H7667" s="11">
        <f>F7667*Summary!$B$7</f>
        <v/>
      </c>
      <c r="I7667" s="11">
        <f>MAX(0,N7667-M7667)</f>
        <v/>
      </c>
      <c r="J7667" s="11">
        <f>MAX(0,M7667-N7667)</f>
        <v/>
      </c>
      <c r="K7667" s="11">
        <f>O7667</f>
        <v/>
      </c>
      <c r="L7667" s="11">
        <f>L7666+IF(K7667&gt;0,K7667*Summary!$B$9,K7667/Summary!$B$9)</f>
        <v/>
      </c>
      <c r="M7667" s="11">
        <f>G7667+H7667</f>
        <v/>
      </c>
      <c r="N7667" s="11">
        <f>Summary!$C$16*Summary!$B$8</f>
        <v/>
      </c>
      <c r="O7667" s="11">
        <f>M7667-N7667</f>
        <v/>
      </c>
    </row>
    <row r="7668">
      <c r="A7668" s="9" t="n">
        <v>45611.41666666666</v>
      </c>
      <c r="B7668" t="n">
        <v>11</v>
      </c>
      <c r="C7668" t="n">
        <v>15</v>
      </c>
      <c r="D7668" t="n">
        <v>10</v>
      </c>
      <c r="E7668" s="10" t="n">
        <v>0.289384</v>
      </c>
      <c r="F7668" s="10" t="n">
        <v>0.3614704707529129</v>
      </c>
      <c r="G7668" s="11">
        <f>E7668*Summary!$B$6</f>
        <v/>
      </c>
      <c r="H7668" s="11">
        <f>F7668*Summary!$B$7</f>
        <v/>
      </c>
      <c r="I7668" s="11">
        <f>MAX(0,N7668-M7668)</f>
        <v/>
      </c>
      <c r="J7668" s="11">
        <f>MAX(0,M7668-N7668)</f>
        <v/>
      </c>
      <c r="K7668" s="11">
        <f>O7668</f>
        <v/>
      </c>
      <c r="L7668" s="11">
        <f>L7667+IF(K7668&gt;0,K7668*Summary!$B$9,K7668/Summary!$B$9)</f>
        <v/>
      </c>
      <c r="M7668" s="11">
        <f>G7668+H7668</f>
        <v/>
      </c>
      <c r="N7668" s="11">
        <f>Summary!$C$16*Summary!$B$8</f>
        <v/>
      </c>
      <c r="O7668" s="11">
        <f>M7668-N7668</f>
        <v/>
      </c>
    </row>
    <row r="7669">
      <c r="A7669" s="9" t="n">
        <v>45611.45833333334</v>
      </c>
      <c r="B7669" t="n">
        <v>11</v>
      </c>
      <c r="C7669" t="n">
        <v>15</v>
      </c>
      <c r="D7669" t="n">
        <v>11</v>
      </c>
      <c r="E7669" s="10" t="n">
        <v>0.334129</v>
      </c>
      <c r="F7669" s="10" t="n">
        <v>0.3527479566595096</v>
      </c>
      <c r="G7669" s="11">
        <f>E7669*Summary!$B$6</f>
        <v/>
      </c>
      <c r="H7669" s="11">
        <f>F7669*Summary!$B$7</f>
        <v/>
      </c>
      <c r="I7669" s="11">
        <f>MAX(0,N7669-M7669)</f>
        <v/>
      </c>
      <c r="J7669" s="11">
        <f>MAX(0,M7669-N7669)</f>
        <v/>
      </c>
      <c r="K7669" s="11">
        <f>O7669</f>
        <v/>
      </c>
      <c r="L7669" s="11">
        <f>L7668+IF(K7669&gt;0,K7669*Summary!$B$9,K7669/Summary!$B$9)</f>
        <v/>
      </c>
      <c r="M7669" s="11">
        <f>G7669+H7669</f>
        <v/>
      </c>
      <c r="N7669" s="11">
        <f>Summary!$C$16*Summary!$B$8</f>
        <v/>
      </c>
      <c r="O7669" s="11">
        <f>M7669-N7669</f>
        <v/>
      </c>
    </row>
    <row r="7670">
      <c r="A7670" s="9" t="n">
        <v>45611.5</v>
      </c>
      <c r="B7670" t="n">
        <v>11</v>
      </c>
      <c r="C7670" t="n">
        <v>15</v>
      </c>
      <c r="D7670" t="n">
        <v>12</v>
      </c>
      <c r="E7670" s="10" t="n">
        <v>0.280092</v>
      </c>
      <c r="F7670" s="10" t="n">
        <v>0.3451585788380589</v>
      </c>
      <c r="G7670" s="11">
        <f>E7670*Summary!$B$6</f>
        <v/>
      </c>
      <c r="H7670" s="11">
        <f>F7670*Summary!$B$7</f>
        <v/>
      </c>
      <c r="I7670" s="11">
        <f>MAX(0,N7670-M7670)</f>
        <v/>
      </c>
      <c r="J7670" s="11">
        <f>MAX(0,M7670-N7670)</f>
        <v/>
      </c>
      <c r="K7670" s="11">
        <f>O7670</f>
        <v/>
      </c>
      <c r="L7670" s="11">
        <f>L7669+IF(K7670&gt;0,K7670*Summary!$B$9,K7670/Summary!$B$9)</f>
        <v/>
      </c>
      <c r="M7670" s="11">
        <f>G7670+H7670</f>
        <v/>
      </c>
      <c r="N7670" s="11">
        <f>Summary!$C$16*Summary!$B$8</f>
        <v/>
      </c>
      <c r="O7670" s="11">
        <f>M7670-N7670</f>
        <v/>
      </c>
    </row>
    <row r="7671">
      <c r="A7671" s="9" t="n">
        <v>45611.54166666666</v>
      </c>
      <c r="B7671" t="n">
        <v>11</v>
      </c>
      <c r="C7671" t="n">
        <v>15</v>
      </c>
      <c r="D7671" t="n">
        <v>13</v>
      </c>
      <c r="E7671" s="10" t="n">
        <v>0.149454</v>
      </c>
      <c r="F7671" s="10" t="n">
        <v>0.3501127560270614</v>
      </c>
      <c r="G7671" s="11">
        <f>E7671*Summary!$B$6</f>
        <v/>
      </c>
      <c r="H7671" s="11">
        <f>F7671*Summary!$B$7</f>
        <v/>
      </c>
      <c r="I7671" s="11">
        <f>MAX(0,N7671-M7671)</f>
        <v/>
      </c>
      <c r="J7671" s="11">
        <f>MAX(0,M7671-N7671)</f>
        <v/>
      </c>
      <c r="K7671" s="11">
        <f>O7671</f>
        <v/>
      </c>
      <c r="L7671" s="11">
        <f>L7670+IF(K7671&gt;0,K7671*Summary!$B$9,K7671/Summary!$B$9)</f>
        <v/>
      </c>
      <c r="M7671" s="11">
        <f>G7671+H7671</f>
        <v/>
      </c>
      <c r="N7671" s="11">
        <f>Summary!$C$16*Summary!$B$8</f>
        <v/>
      </c>
      <c r="O7671" s="11">
        <f>M7671-N7671</f>
        <v/>
      </c>
    </row>
    <row r="7672">
      <c r="A7672" s="9" t="n">
        <v>45611.58333333334</v>
      </c>
      <c r="B7672" t="n">
        <v>11</v>
      </c>
      <c r="C7672" t="n">
        <v>15</v>
      </c>
      <c r="D7672" t="n">
        <v>14</v>
      </c>
      <c r="E7672" s="10" t="n">
        <v>0.089974</v>
      </c>
      <c r="F7672" s="10" t="n">
        <v>0.3553304532793088</v>
      </c>
      <c r="G7672" s="11">
        <f>E7672*Summary!$B$6</f>
        <v/>
      </c>
      <c r="H7672" s="11">
        <f>F7672*Summary!$B$7</f>
        <v/>
      </c>
      <c r="I7672" s="11">
        <f>MAX(0,N7672-M7672)</f>
        <v/>
      </c>
      <c r="J7672" s="11">
        <f>MAX(0,M7672-N7672)</f>
        <v/>
      </c>
      <c r="K7672" s="11">
        <f>O7672</f>
        <v/>
      </c>
      <c r="L7672" s="11">
        <f>L7671+IF(K7672&gt;0,K7672*Summary!$B$9,K7672/Summary!$B$9)</f>
        <v/>
      </c>
      <c r="M7672" s="11">
        <f>G7672+H7672</f>
        <v/>
      </c>
      <c r="N7672" s="11">
        <f>Summary!$C$16*Summary!$B$8</f>
        <v/>
      </c>
      <c r="O7672" s="11">
        <f>M7672-N7672</f>
        <v/>
      </c>
    </row>
    <row r="7673">
      <c r="A7673" s="9" t="n">
        <v>45611.625</v>
      </c>
      <c r="B7673" t="n">
        <v>11</v>
      </c>
      <c r="C7673" t="n">
        <v>15</v>
      </c>
      <c r="D7673" t="n">
        <v>15</v>
      </c>
      <c r="E7673" s="10" t="n">
        <v>0.019726</v>
      </c>
      <c r="F7673" s="10" t="n">
        <v>0.3702983928716143</v>
      </c>
      <c r="G7673" s="11">
        <f>E7673*Summary!$B$6</f>
        <v/>
      </c>
      <c r="H7673" s="11">
        <f>F7673*Summary!$B$7</f>
        <v/>
      </c>
      <c r="I7673" s="11">
        <f>MAX(0,N7673-M7673)</f>
        <v/>
      </c>
      <c r="J7673" s="11">
        <f>MAX(0,M7673-N7673)</f>
        <v/>
      </c>
      <c r="K7673" s="11">
        <f>O7673</f>
        <v/>
      </c>
      <c r="L7673" s="11">
        <f>L7672+IF(K7673&gt;0,K7673*Summary!$B$9,K7673/Summary!$B$9)</f>
        <v/>
      </c>
      <c r="M7673" s="11">
        <f>G7673+H7673</f>
        <v/>
      </c>
      <c r="N7673" s="11">
        <f>Summary!$C$16*Summary!$B$8</f>
        <v/>
      </c>
      <c r="O7673" s="11">
        <f>M7673-N7673</f>
        <v/>
      </c>
    </row>
    <row r="7674">
      <c r="A7674" s="9" t="n">
        <v>45611.66666666666</v>
      </c>
      <c r="B7674" t="n">
        <v>11</v>
      </c>
      <c r="C7674" t="n">
        <v>15</v>
      </c>
      <c r="D7674" t="n">
        <v>16</v>
      </c>
      <c r="E7674" s="10" t="n">
        <v>0</v>
      </c>
      <c r="F7674" s="10" t="n">
        <v>0.3979943515186443</v>
      </c>
      <c r="G7674" s="11">
        <f>E7674*Summary!$B$6</f>
        <v/>
      </c>
      <c r="H7674" s="11">
        <f>F7674*Summary!$B$7</f>
        <v/>
      </c>
      <c r="I7674" s="11">
        <f>MAX(0,N7674-M7674)</f>
        <v/>
      </c>
      <c r="J7674" s="11">
        <f>MAX(0,M7674-N7674)</f>
        <v/>
      </c>
      <c r="K7674" s="11">
        <f>O7674</f>
        <v/>
      </c>
      <c r="L7674" s="11">
        <f>L7673+IF(K7674&gt;0,K7674*Summary!$B$9,K7674/Summary!$B$9)</f>
        <v/>
      </c>
      <c r="M7674" s="11">
        <f>G7674+H7674</f>
        <v/>
      </c>
      <c r="N7674" s="11">
        <f>Summary!$C$16*Summary!$B$8</f>
        <v/>
      </c>
      <c r="O7674" s="11">
        <f>M7674-N7674</f>
        <v/>
      </c>
    </row>
    <row r="7675">
      <c r="A7675" s="9" t="n">
        <v>45611.70833333334</v>
      </c>
      <c r="B7675" t="n">
        <v>11</v>
      </c>
      <c r="C7675" t="n">
        <v>15</v>
      </c>
      <c r="D7675" t="n">
        <v>17</v>
      </c>
      <c r="E7675" s="10" t="n">
        <v>0</v>
      </c>
      <c r="F7675" s="10" t="n">
        <v>0.4175738922177341</v>
      </c>
      <c r="G7675" s="11">
        <f>E7675*Summary!$B$6</f>
        <v/>
      </c>
      <c r="H7675" s="11">
        <f>F7675*Summary!$B$7</f>
        <v/>
      </c>
      <c r="I7675" s="11">
        <f>MAX(0,N7675-M7675)</f>
        <v/>
      </c>
      <c r="J7675" s="11">
        <f>MAX(0,M7675-N7675)</f>
        <v/>
      </c>
      <c r="K7675" s="11">
        <f>O7675</f>
        <v/>
      </c>
      <c r="L7675" s="11">
        <f>L7674+IF(K7675&gt;0,K7675*Summary!$B$9,K7675/Summary!$B$9)</f>
        <v/>
      </c>
      <c r="M7675" s="11">
        <f>G7675+H7675</f>
        <v/>
      </c>
      <c r="N7675" s="11">
        <f>Summary!$C$16*Summary!$B$8</f>
        <v/>
      </c>
      <c r="O7675" s="11">
        <f>M7675-N7675</f>
        <v/>
      </c>
    </row>
    <row r="7676">
      <c r="A7676" s="9" t="n">
        <v>45611.75</v>
      </c>
      <c r="B7676" t="n">
        <v>11</v>
      </c>
      <c r="C7676" t="n">
        <v>15</v>
      </c>
      <c r="D7676" t="n">
        <v>18</v>
      </c>
      <c r="E7676" s="10" t="n">
        <v>0</v>
      </c>
      <c r="F7676" s="10" t="n">
        <v>0.4260592382542172</v>
      </c>
      <c r="G7676" s="11">
        <f>E7676*Summary!$B$6</f>
        <v/>
      </c>
      <c r="H7676" s="11">
        <f>F7676*Summary!$B$7</f>
        <v/>
      </c>
      <c r="I7676" s="11">
        <f>MAX(0,N7676-M7676)</f>
        <v/>
      </c>
      <c r="J7676" s="11">
        <f>MAX(0,M7676-N7676)</f>
        <v/>
      </c>
      <c r="K7676" s="11">
        <f>O7676</f>
        <v/>
      </c>
      <c r="L7676" s="11">
        <f>L7675+IF(K7676&gt;0,K7676*Summary!$B$9,K7676/Summary!$B$9)</f>
        <v/>
      </c>
      <c r="M7676" s="11">
        <f>G7676+H7676</f>
        <v/>
      </c>
      <c r="N7676" s="11">
        <f>Summary!$C$16*Summary!$B$8</f>
        <v/>
      </c>
      <c r="O7676" s="11">
        <f>M7676-N7676</f>
        <v/>
      </c>
    </row>
    <row r="7677">
      <c r="A7677" s="9" t="n">
        <v>45611.79166666666</v>
      </c>
      <c r="B7677" t="n">
        <v>11</v>
      </c>
      <c r="C7677" t="n">
        <v>15</v>
      </c>
      <c r="D7677" t="n">
        <v>19</v>
      </c>
      <c r="E7677" s="10" t="n">
        <v>0</v>
      </c>
      <c r="F7677" s="10" t="n">
        <v>0.4331479279555027</v>
      </c>
      <c r="G7677" s="11">
        <f>E7677*Summary!$B$6</f>
        <v/>
      </c>
      <c r="H7677" s="11">
        <f>F7677*Summary!$B$7</f>
        <v/>
      </c>
      <c r="I7677" s="11">
        <f>MAX(0,N7677-M7677)</f>
        <v/>
      </c>
      <c r="J7677" s="11">
        <f>MAX(0,M7677-N7677)</f>
        <v/>
      </c>
      <c r="K7677" s="11">
        <f>O7677</f>
        <v/>
      </c>
      <c r="L7677" s="11">
        <f>L7676+IF(K7677&gt;0,K7677*Summary!$B$9,K7677/Summary!$B$9)</f>
        <v/>
      </c>
      <c r="M7677" s="11">
        <f>G7677+H7677</f>
        <v/>
      </c>
      <c r="N7677" s="11">
        <f>Summary!$C$16*Summary!$B$8</f>
        <v/>
      </c>
      <c r="O7677" s="11">
        <f>M7677-N7677</f>
        <v/>
      </c>
    </row>
    <row r="7678">
      <c r="A7678" s="9" t="n">
        <v>45611.83333333334</v>
      </c>
      <c r="B7678" t="n">
        <v>11</v>
      </c>
      <c r="C7678" t="n">
        <v>15</v>
      </c>
      <c r="D7678" t="n">
        <v>20</v>
      </c>
      <c r="E7678" s="10" t="n">
        <v>0</v>
      </c>
      <c r="F7678" s="10" t="n">
        <v>0.4376804730433135</v>
      </c>
      <c r="G7678" s="11">
        <f>E7678*Summary!$B$6</f>
        <v/>
      </c>
      <c r="H7678" s="11">
        <f>F7678*Summary!$B$7</f>
        <v/>
      </c>
      <c r="I7678" s="11">
        <f>MAX(0,N7678-M7678)</f>
        <v/>
      </c>
      <c r="J7678" s="11">
        <f>MAX(0,M7678-N7678)</f>
        <v/>
      </c>
      <c r="K7678" s="11">
        <f>O7678</f>
        <v/>
      </c>
      <c r="L7678" s="11">
        <f>L7677+IF(K7678&gt;0,K7678*Summary!$B$9,K7678/Summary!$B$9)</f>
        <v/>
      </c>
      <c r="M7678" s="11">
        <f>G7678+H7678</f>
        <v/>
      </c>
      <c r="N7678" s="11">
        <f>Summary!$C$16*Summary!$B$8</f>
        <v/>
      </c>
      <c r="O7678" s="11">
        <f>M7678-N7678</f>
        <v/>
      </c>
    </row>
    <row r="7679">
      <c r="A7679" s="9" t="n">
        <v>45611.875</v>
      </c>
      <c r="B7679" t="n">
        <v>11</v>
      </c>
      <c r="C7679" t="n">
        <v>15</v>
      </c>
      <c r="D7679" t="n">
        <v>21</v>
      </c>
      <c r="E7679" s="10" t="n">
        <v>0</v>
      </c>
      <c r="F7679" s="10" t="n">
        <v>0.4335695600566944</v>
      </c>
      <c r="G7679" s="11">
        <f>E7679*Summary!$B$6</f>
        <v/>
      </c>
      <c r="H7679" s="11">
        <f>F7679*Summary!$B$7</f>
        <v/>
      </c>
      <c r="I7679" s="11">
        <f>MAX(0,N7679-M7679)</f>
        <v/>
      </c>
      <c r="J7679" s="11">
        <f>MAX(0,M7679-N7679)</f>
        <v/>
      </c>
      <c r="K7679" s="11">
        <f>O7679</f>
        <v/>
      </c>
      <c r="L7679" s="11">
        <f>L7678+IF(K7679&gt;0,K7679*Summary!$B$9,K7679/Summary!$B$9)</f>
        <v/>
      </c>
      <c r="M7679" s="11">
        <f>G7679+H7679</f>
        <v/>
      </c>
      <c r="N7679" s="11">
        <f>Summary!$C$16*Summary!$B$8</f>
        <v/>
      </c>
      <c r="O7679" s="11">
        <f>M7679-N7679</f>
        <v/>
      </c>
    </row>
    <row r="7680">
      <c r="A7680" s="9" t="n">
        <v>45611.91666666666</v>
      </c>
      <c r="B7680" t="n">
        <v>11</v>
      </c>
      <c r="C7680" t="n">
        <v>15</v>
      </c>
      <c r="D7680" t="n">
        <v>22</v>
      </c>
      <c r="E7680" s="10" t="n">
        <v>0</v>
      </c>
      <c r="F7680" s="10" t="n">
        <v>0.4323573677657682</v>
      </c>
      <c r="G7680" s="11">
        <f>E7680*Summary!$B$6</f>
        <v/>
      </c>
      <c r="H7680" s="11">
        <f>F7680*Summary!$B$7</f>
        <v/>
      </c>
      <c r="I7680" s="11">
        <f>MAX(0,N7680-M7680)</f>
        <v/>
      </c>
      <c r="J7680" s="11">
        <f>MAX(0,M7680-N7680)</f>
        <v/>
      </c>
      <c r="K7680" s="11">
        <f>O7680</f>
        <v/>
      </c>
      <c r="L7680" s="11">
        <f>L7679+IF(K7680&gt;0,K7680*Summary!$B$9,K7680/Summary!$B$9)</f>
        <v/>
      </c>
      <c r="M7680" s="11">
        <f>G7680+H7680</f>
        <v/>
      </c>
      <c r="N7680" s="11">
        <f>Summary!$C$16*Summary!$B$8</f>
        <v/>
      </c>
      <c r="O7680" s="11">
        <f>M7680-N7680</f>
        <v/>
      </c>
    </row>
    <row r="7681">
      <c r="A7681" s="9" t="n">
        <v>45611.95833333334</v>
      </c>
      <c r="B7681" t="n">
        <v>11</v>
      </c>
      <c r="C7681" t="n">
        <v>15</v>
      </c>
      <c r="D7681" t="n">
        <v>23</v>
      </c>
      <c r="E7681" s="10" t="n">
        <v>0</v>
      </c>
      <c r="F7681" s="10" t="n">
        <v>0.4259801822352437</v>
      </c>
      <c r="G7681" s="11">
        <f>E7681*Summary!$B$6</f>
        <v/>
      </c>
      <c r="H7681" s="11">
        <f>F7681*Summary!$B$7</f>
        <v/>
      </c>
      <c r="I7681" s="11">
        <f>MAX(0,N7681-M7681)</f>
        <v/>
      </c>
      <c r="J7681" s="11">
        <f>MAX(0,M7681-N7681)</f>
        <v/>
      </c>
      <c r="K7681" s="11">
        <f>O7681</f>
        <v/>
      </c>
      <c r="L7681" s="11">
        <f>L7680+IF(K7681&gt;0,K7681*Summary!$B$9,K7681/Summary!$B$9)</f>
        <v/>
      </c>
      <c r="M7681" s="11">
        <f>G7681+H7681</f>
        <v/>
      </c>
      <c r="N7681" s="11">
        <f>Summary!$C$16*Summary!$B$8</f>
        <v/>
      </c>
      <c r="O7681" s="11">
        <f>M7681-N7681</f>
        <v/>
      </c>
    </row>
    <row r="7682">
      <c r="A7682" s="9" t="n">
        <v>45612</v>
      </c>
      <c r="B7682" t="n">
        <v>11</v>
      </c>
      <c r="C7682" t="n">
        <v>16</v>
      </c>
      <c r="D7682" t="n">
        <v>0</v>
      </c>
      <c r="E7682" s="10" t="n">
        <v>0</v>
      </c>
      <c r="F7682" s="10" t="n">
        <v>0.4782362107766906</v>
      </c>
      <c r="G7682" s="11">
        <f>E7682*Summary!$B$6</f>
        <v/>
      </c>
      <c r="H7682" s="11">
        <f>F7682*Summary!$B$7</f>
        <v/>
      </c>
      <c r="I7682" s="11">
        <f>MAX(0,N7682-M7682)</f>
        <v/>
      </c>
      <c r="J7682" s="11">
        <f>MAX(0,M7682-N7682)</f>
        <v/>
      </c>
      <c r="K7682" s="11">
        <f>O7682</f>
        <v/>
      </c>
      <c r="L7682" s="11">
        <f>L7681+IF(K7682&gt;0,K7682*Summary!$B$9,K7682/Summary!$B$9)</f>
        <v/>
      </c>
      <c r="M7682" s="11">
        <f>G7682+H7682</f>
        <v/>
      </c>
      <c r="N7682" s="11">
        <f>Summary!$C$16*Summary!$B$8</f>
        <v/>
      </c>
      <c r="O7682" s="11">
        <f>M7682-N7682</f>
        <v/>
      </c>
    </row>
    <row r="7683">
      <c r="A7683" s="9" t="n">
        <v>45612.04166666666</v>
      </c>
      <c r="B7683" t="n">
        <v>11</v>
      </c>
      <c r="C7683" t="n">
        <v>16</v>
      </c>
      <c r="D7683" t="n">
        <v>1</v>
      </c>
      <c r="E7683" s="10" t="n">
        <v>0</v>
      </c>
      <c r="F7683" s="10" t="n">
        <v>0.4202090928501823</v>
      </c>
      <c r="G7683" s="11">
        <f>E7683*Summary!$B$6</f>
        <v/>
      </c>
      <c r="H7683" s="11">
        <f>F7683*Summary!$B$7</f>
        <v/>
      </c>
      <c r="I7683" s="11">
        <f>MAX(0,N7683-M7683)</f>
        <v/>
      </c>
      <c r="J7683" s="11">
        <f>MAX(0,M7683-N7683)</f>
        <v/>
      </c>
      <c r="K7683" s="11">
        <f>O7683</f>
        <v/>
      </c>
      <c r="L7683" s="11">
        <f>L7682+IF(K7683&gt;0,K7683*Summary!$B$9,K7683/Summary!$B$9)</f>
        <v/>
      </c>
      <c r="M7683" s="11">
        <f>G7683+H7683</f>
        <v/>
      </c>
      <c r="N7683" s="11">
        <f>Summary!$C$16*Summary!$B$8</f>
        <v/>
      </c>
      <c r="O7683" s="11">
        <f>M7683-N7683</f>
        <v/>
      </c>
    </row>
    <row r="7684">
      <c r="A7684" s="9" t="n">
        <v>45612.08333333334</v>
      </c>
      <c r="B7684" t="n">
        <v>11</v>
      </c>
      <c r="C7684" t="n">
        <v>16</v>
      </c>
      <c r="D7684" t="n">
        <v>2</v>
      </c>
      <c r="E7684" s="10" t="n">
        <v>0</v>
      </c>
      <c r="F7684" s="10" t="n">
        <v>0.427745766658984</v>
      </c>
      <c r="G7684" s="11">
        <f>E7684*Summary!$B$6</f>
        <v/>
      </c>
      <c r="H7684" s="11">
        <f>F7684*Summary!$B$7</f>
        <v/>
      </c>
      <c r="I7684" s="11">
        <f>MAX(0,N7684-M7684)</f>
        <v/>
      </c>
      <c r="J7684" s="11">
        <f>MAX(0,M7684-N7684)</f>
        <v/>
      </c>
      <c r="K7684" s="11">
        <f>O7684</f>
        <v/>
      </c>
      <c r="L7684" s="11">
        <f>L7683+IF(K7684&gt;0,K7684*Summary!$B$9,K7684/Summary!$B$9)</f>
        <v/>
      </c>
      <c r="M7684" s="11">
        <f>G7684+H7684</f>
        <v/>
      </c>
      <c r="N7684" s="11">
        <f>Summary!$C$16*Summary!$B$8</f>
        <v/>
      </c>
      <c r="O7684" s="11">
        <f>M7684-N7684</f>
        <v/>
      </c>
    </row>
    <row r="7685">
      <c r="A7685" s="9" t="n">
        <v>45612.125</v>
      </c>
      <c r="B7685" t="n">
        <v>11</v>
      </c>
      <c r="C7685" t="n">
        <v>16</v>
      </c>
      <c r="D7685" t="n">
        <v>3</v>
      </c>
      <c r="E7685" s="10" t="n">
        <v>0</v>
      </c>
      <c r="F7685" s="10" t="n">
        <v>0.4290106629625591</v>
      </c>
      <c r="G7685" s="11">
        <f>E7685*Summary!$B$6</f>
        <v/>
      </c>
      <c r="H7685" s="11">
        <f>F7685*Summary!$B$7</f>
        <v/>
      </c>
      <c r="I7685" s="11">
        <f>MAX(0,N7685-M7685)</f>
        <v/>
      </c>
      <c r="J7685" s="11">
        <f>MAX(0,M7685-N7685)</f>
        <v/>
      </c>
      <c r="K7685" s="11">
        <f>O7685</f>
        <v/>
      </c>
      <c r="L7685" s="11">
        <f>L7684+IF(K7685&gt;0,K7685*Summary!$B$9,K7685/Summary!$B$9)</f>
        <v/>
      </c>
      <c r="M7685" s="11">
        <f>G7685+H7685</f>
        <v/>
      </c>
      <c r="N7685" s="11">
        <f>Summary!$C$16*Summary!$B$8</f>
        <v/>
      </c>
      <c r="O7685" s="11">
        <f>M7685-N7685</f>
        <v/>
      </c>
    </row>
    <row r="7686">
      <c r="A7686" s="9" t="n">
        <v>45612.16666666666</v>
      </c>
      <c r="B7686" t="n">
        <v>11</v>
      </c>
      <c r="C7686" t="n">
        <v>16</v>
      </c>
      <c r="D7686" t="n">
        <v>4</v>
      </c>
      <c r="E7686" s="10" t="n">
        <v>0</v>
      </c>
      <c r="F7686" s="10" t="n">
        <v>0.4299856871965649</v>
      </c>
      <c r="G7686" s="11">
        <f>E7686*Summary!$B$6</f>
        <v/>
      </c>
      <c r="H7686" s="11">
        <f>F7686*Summary!$B$7</f>
        <v/>
      </c>
      <c r="I7686" s="11">
        <f>MAX(0,N7686-M7686)</f>
        <v/>
      </c>
      <c r="J7686" s="11">
        <f>MAX(0,M7686-N7686)</f>
        <v/>
      </c>
      <c r="K7686" s="11">
        <f>O7686</f>
        <v/>
      </c>
      <c r="L7686" s="11">
        <f>L7685+IF(K7686&gt;0,K7686*Summary!$B$9,K7686/Summary!$B$9)</f>
        <v/>
      </c>
      <c r="M7686" s="11">
        <f>G7686+H7686</f>
        <v/>
      </c>
      <c r="N7686" s="11">
        <f>Summary!$C$16*Summary!$B$8</f>
        <v/>
      </c>
      <c r="O7686" s="11">
        <f>M7686-N7686</f>
        <v/>
      </c>
    </row>
    <row r="7687">
      <c r="A7687" s="9" t="n">
        <v>45612.20833333334</v>
      </c>
      <c r="B7687" t="n">
        <v>11</v>
      </c>
      <c r="C7687" t="n">
        <v>16</v>
      </c>
      <c r="D7687" t="n">
        <v>5</v>
      </c>
      <c r="E7687" s="10" t="n">
        <v>0</v>
      </c>
      <c r="F7687" s="10" t="n">
        <v>0.4252686780644828</v>
      </c>
      <c r="G7687" s="11">
        <f>E7687*Summary!$B$6</f>
        <v/>
      </c>
      <c r="H7687" s="11">
        <f>F7687*Summary!$B$7</f>
        <v/>
      </c>
      <c r="I7687" s="11">
        <f>MAX(0,N7687-M7687)</f>
        <v/>
      </c>
      <c r="J7687" s="11">
        <f>MAX(0,M7687-N7687)</f>
        <v/>
      </c>
      <c r="K7687" s="11">
        <f>O7687</f>
        <v/>
      </c>
      <c r="L7687" s="11">
        <f>L7686+IF(K7687&gt;0,K7687*Summary!$B$9,K7687/Summary!$B$9)</f>
        <v/>
      </c>
      <c r="M7687" s="11">
        <f>G7687+H7687</f>
        <v/>
      </c>
      <c r="N7687" s="11">
        <f>Summary!$C$16*Summary!$B$8</f>
        <v/>
      </c>
      <c r="O7687" s="11">
        <f>M7687-N7687</f>
        <v/>
      </c>
    </row>
    <row r="7688">
      <c r="A7688" s="9" t="n">
        <v>45612.25</v>
      </c>
      <c r="B7688" t="n">
        <v>11</v>
      </c>
      <c r="C7688" t="n">
        <v>16</v>
      </c>
      <c r="D7688" t="n">
        <v>6</v>
      </c>
      <c r="E7688" s="10" t="n">
        <v>0</v>
      </c>
      <c r="F7688" s="10" t="n">
        <v>0.4269288544629251</v>
      </c>
      <c r="G7688" s="11">
        <f>E7688*Summary!$B$6</f>
        <v/>
      </c>
      <c r="H7688" s="11">
        <f>F7688*Summary!$B$7</f>
        <v/>
      </c>
      <c r="I7688" s="11">
        <f>MAX(0,N7688-M7688)</f>
        <v/>
      </c>
      <c r="J7688" s="11">
        <f>MAX(0,M7688-N7688)</f>
        <v/>
      </c>
      <c r="K7688" s="11">
        <f>O7688</f>
        <v/>
      </c>
      <c r="L7688" s="11">
        <f>L7687+IF(K7688&gt;0,K7688*Summary!$B$9,K7688/Summary!$B$9)</f>
        <v/>
      </c>
      <c r="M7688" s="11">
        <f>G7688+H7688</f>
        <v/>
      </c>
      <c r="N7688" s="11">
        <f>Summary!$C$16*Summary!$B$8</f>
        <v/>
      </c>
      <c r="O7688" s="11">
        <f>M7688-N7688</f>
        <v/>
      </c>
    </row>
    <row r="7689">
      <c r="A7689" s="9" t="n">
        <v>45612.29166666666</v>
      </c>
      <c r="B7689" t="n">
        <v>11</v>
      </c>
      <c r="C7689" t="n">
        <v>16</v>
      </c>
      <c r="D7689" t="n">
        <v>7</v>
      </c>
      <c r="E7689" s="10" t="n">
        <v>0</v>
      </c>
      <c r="F7689" s="10" t="n">
        <v>0.4300383912092138</v>
      </c>
      <c r="G7689" s="11">
        <f>E7689*Summary!$B$6</f>
        <v/>
      </c>
      <c r="H7689" s="11">
        <f>F7689*Summary!$B$7</f>
        <v/>
      </c>
      <c r="I7689" s="11">
        <f>MAX(0,N7689-M7689)</f>
        <v/>
      </c>
      <c r="J7689" s="11">
        <f>MAX(0,M7689-N7689)</f>
        <v/>
      </c>
      <c r="K7689" s="11">
        <f>O7689</f>
        <v/>
      </c>
      <c r="L7689" s="11">
        <f>L7688+IF(K7689&gt;0,K7689*Summary!$B$9,K7689/Summary!$B$9)</f>
        <v/>
      </c>
      <c r="M7689" s="11">
        <f>G7689+H7689</f>
        <v/>
      </c>
      <c r="N7689" s="11">
        <f>Summary!$C$16*Summary!$B$8</f>
        <v/>
      </c>
      <c r="O7689" s="11">
        <f>M7689-N7689</f>
        <v/>
      </c>
    </row>
    <row r="7690">
      <c r="A7690" s="9" t="n">
        <v>45612.33333333334</v>
      </c>
      <c r="B7690" t="n">
        <v>11</v>
      </c>
      <c r="C7690" t="n">
        <v>16</v>
      </c>
      <c r="D7690" t="n">
        <v>8</v>
      </c>
      <c r="E7690" s="10" t="n">
        <v>0.016693</v>
      </c>
      <c r="F7690" s="10" t="n">
        <v>0.434149304195833</v>
      </c>
      <c r="G7690" s="11">
        <f>E7690*Summary!$B$6</f>
        <v/>
      </c>
      <c r="H7690" s="11">
        <f>F7690*Summary!$B$7</f>
        <v/>
      </c>
      <c r="I7690" s="11">
        <f>MAX(0,N7690-M7690)</f>
        <v/>
      </c>
      <c r="J7690" s="11">
        <f>MAX(0,M7690-N7690)</f>
        <v/>
      </c>
      <c r="K7690" s="11">
        <f>O7690</f>
        <v/>
      </c>
      <c r="L7690" s="11">
        <f>L7689+IF(K7690&gt;0,K7690*Summary!$B$9,K7690/Summary!$B$9)</f>
        <v/>
      </c>
      <c r="M7690" s="11">
        <f>G7690+H7690</f>
        <v/>
      </c>
      <c r="N7690" s="11">
        <f>Summary!$C$16*Summary!$B$8</f>
        <v/>
      </c>
      <c r="O7690" s="11">
        <f>M7690-N7690</f>
        <v/>
      </c>
    </row>
    <row r="7691">
      <c r="A7691" s="9" t="n">
        <v>45612.375</v>
      </c>
      <c r="B7691" t="n">
        <v>11</v>
      </c>
      <c r="C7691" t="n">
        <v>16</v>
      </c>
      <c r="D7691" t="n">
        <v>9</v>
      </c>
      <c r="E7691" s="10" t="n">
        <v>0.162691</v>
      </c>
      <c r="F7691" s="10" t="n">
        <v>0.4179164682999524</v>
      </c>
      <c r="G7691" s="11">
        <f>E7691*Summary!$B$6</f>
        <v/>
      </c>
      <c r="H7691" s="11">
        <f>F7691*Summary!$B$7</f>
        <v/>
      </c>
      <c r="I7691" s="11">
        <f>MAX(0,N7691-M7691)</f>
        <v/>
      </c>
      <c r="J7691" s="11">
        <f>MAX(0,M7691-N7691)</f>
        <v/>
      </c>
      <c r="K7691" s="11">
        <f>O7691</f>
        <v/>
      </c>
      <c r="L7691" s="11">
        <f>L7690+IF(K7691&gt;0,K7691*Summary!$B$9,K7691/Summary!$B$9)</f>
        <v/>
      </c>
      <c r="M7691" s="11">
        <f>G7691+H7691</f>
        <v/>
      </c>
      <c r="N7691" s="11">
        <f>Summary!$C$16*Summary!$B$8</f>
        <v/>
      </c>
      <c r="O7691" s="11">
        <f>M7691-N7691</f>
        <v/>
      </c>
    </row>
    <row r="7692">
      <c r="A7692" s="9" t="n">
        <v>45612.41666666666</v>
      </c>
      <c r="B7692" t="n">
        <v>11</v>
      </c>
      <c r="C7692" t="n">
        <v>16</v>
      </c>
      <c r="D7692" t="n">
        <v>10</v>
      </c>
      <c r="E7692" s="10" t="n">
        <v>0.241299</v>
      </c>
      <c r="F7692" s="10" t="n">
        <v>0.4111703546808851</v>
      </c>
      <c r="G7692" s="11">
        <f>E7692*Summary!$B$6</f>
        <v/>
      </c>
      <c r="H7692" s="11">
        <f>F7692*Summary!$B$7</f>
        <v/>
      </c>
      <c r="I7692" s="11">
        <f>MAX(0,N7692-M7692)</f>
        <v/>
      </c>
      <c r="J7692" s="11">
        <f>MAX(0,M7692-N7692)</f>
        <v/>
      </c>
      <c r="K7692" s="11">
        <f>O7692</f>
        <v/>
      </c>
      <c r="L7692" s="11">
        <f>L7691+IF(K7692&gt;0,K7692*Summary!$B$9,K7692/Summary!$B$9)</f>
        <v/>
      </c>
      <c r="M7692" s="11">
        <f>G7692+H7692</f>
        <v/>
      </c>
      <c r="N7692" s="11">
        <f>Summary!$C$16*Summary!$B$8</f>
        <v/>
      </c>
      <c r="O7692" s="11">
        <f>M7692-N7692</f>
        <v/>
      </c>
    </row>
    <row r="7693">
      <c r="A7693" s="9" t="n">
        <v>45612.45833333334</v>
      </c>
      <c r="B7693" t="n">
        <v>11</v>
      </c>
      <c r="C7693" t="n">
        <v>16</v>
      </c>
      <c r="D7693" t="n">
        <v>11</v>
      </c>
      <c r="E7693" s="10" t="n">
        <v>0.253514</v>
      </c>
      <c r="F7693" s="10" t="n">
        <v>0.4081135219472453</v>
      </c>
      <c r="G7693" s="11">
        <f>E7693*Summary!$B$6</f>
        <v/>
      </c>
      <c r="H7693" s="11">
        <f>F7693*Summary!$B$7</f>
        <v/>
      </c>
      <c r="I7693" s="11">
        <f>MAX(0,N7693-M7693)</f>
        <v/>
      </c>
      <c r="J7693" s="11">
        <f>MAX(0,M7693-N7693)</f>
        <v/>
      </c>
      <c r="K7693" s="11">
        <f>O7693</f>
        <v/>
      </c>
      <c r="L7693" s="11">
        <f>L7692+IF(K7693&gt;0,K7693*Summary!$B$9,K7693/Summary!$B$9)</f>
        <v/>
      </c>
      <c r="M7693" s="11">
        <f>G7693+H7693</f>
        <v/>
      </c>
      <c r="N7693" s="11">
        <f>Summary!$C$16*Summary!$B$8</f>
        <v/>
      </c>
      <c r="O7693" s="11">
        <f>M7693-N7693</f>
        <v/>
      </c>
    </row>
    <row r="7694">
      <c r="A7694" s="9" t="n">
        <v>45612.5</v>
      </c>
      <c r="B7694" t="n">
        <v>11</v>
      </c>
      <c r="C7694" t="n">
        <v>16</v>
      </c>
      <c r="D7694" t="n">
        <v>12</v>
      </c>
      <c r="E7694" s="10" t="n">
        <v>0.225939</v>
      </c>
      <c r="F7694" s="10" t="n">
        <v>0.4045823530997648</v>
      </c>
      <c r="G7694" s="11">
        <f>E7694*Summary!$B$6</f>
        <v/>
      </c>
      <c r="H7694" s="11">
        <f>F7694*Summary!$B$7</f>
        <v/>
      </c>
      <c r="I7694" s="11">
        <f>MAX(0,N7694-M7694)</f>
        <v/>
      </c>
      <c r="J7694" s="11">
        <f>MAX(0,M7694-N7694)</f>
        <v/>
      </c>
      <c r="K7694" s="11">
        <f>O7694</f>
        <v/>
      </c>
      <c r="L7694" s="11">
        <f>L7693+IF(K7694&gt;0,K7694*Summary!$B$9,K7694/Summary!$B$9)</f>
        <v/>
      </c>
      <c r="M7694" s="11">
        <f>G7694+H7694</f>
        <v/>
      </c>
      <c r="N7694" s="11">
        <f>Summary!$C$16*Summary!$B$8</f>
        <v/>
      </c>
      <c r="O7694" s="11">
        <f>M7694-N7694</f>
        <v/>
      </c>
    </row>
    <row r="7695">
      <c r="A7695" s="9" t="n">
        <v>45612.54166666666</v>
      </c>
      <c r="B7695" t="n">
        <v>11</v>
      </c>
      <c r="C7695" t="n">
        <v>16</v>
      </c>
      <c r="D7695" t="n">
        <v>13</v>
      </c>
      <c r="E7695" s="10" t="n">
        <v>0.174872</v>
      </c>
      <c r="F7695" s="10" t="n">
        <v>0.4082979859915166</v>
      </c>
      <c r="G7695" s="11">
        <f>E7695*Summary!$B$6</f>
        <v/>
      </c>
      <c r="H7695" s="11">
        <f>F7695*Summary!$B$7</f>
        <v/>
      </c>
      <c r="I7695" s="11">
        <f>MAX(0,N7695-M7695)</f>
        <v/>
      </c>
      <c r="J7695" s="11">
        <f>MAX(0,M7695-N7695)</f>
        <v/>
      </c>
      <c r="K7695" s="11">
        <f>O7695</f>
        <v/>
      </c>
      <c r="L7695" s="11">
        <f>L7694+IF(K7695&gt;0,K7695*Summary!$B$9,K7695/Summary!$B$9)</f>
        <v/>
      </c>
      <c r="M7695" s="11">
        <f>G7695+H7695</f>
        <v/>
      </c>
      <c r="N7695" s="11">
        <f>Summary!$C$16*Summary!$B$8</f>
        <v/>
      </c>
      <c r="O7695" s="11">
        <f>M7695-N7695</f>
        <v/>
      </c>
    </row>
    <row r="7696">
      <c r="A7696" s="9" t="n">
        <v>45612.58333333334</v>
      </c>
      <c r="B7696" t="n">
        <v>11</v>
      </c>
      <c r="C7696" t="n">
        <v>16</v>
      </c>
      <c r="D7696" t="n">
        <v>14</v>
      </c>
      <c r="E7696" s="10" t="n">
        <v>0.079413</v>
      </c>
      <c r="F7696" s="10" t="n">
        <v>0.4257957181909724</v>
      </c>
      <c r="G7696" s="11">
        <f>E7696*Summary!$B$6</f>
        <v/>
      </c>
      <c r="H7696" s="11">
        <f>F7696*Summary!$B$7</f>
        <v/>
      </c>
      <c r="I7696" s="11">
        <f>MAX(0,N7696-M7696)</f>
        <v/>
      </c>
      <c r="J7696" s="11">
        <f>MAX(0,M7696-N7696)</f>
        <v/>
      </c>
      <c r="K7696" s="11">
        <f>O7696</f>
        <v/>
      </c>
      <c r="L7696" s="11">
        <f>L7695+IF(K7696&gt;0,K7696*Summary!$B$9,K7696/Summary!$B$9)</f>
        <v/>
      </c>
      <c r="M7696" s="11">
        <f>G7696+H7696</f>
        <v/>
      </c>
      <c r="N7696" s="11">
        <f>Summary!$C$16*Summary!$B$8</f>
        <v/>
      </c>
      <c r="O7696" s="11">
        <f>M7696-N7696</f>
        <v/>
      </c>
    </row>
    <row r="7697">
      <c r="A7697" s="9" t="n">
        <v>45612.625</v>
      </c>
      <c r="B7697" t="n">
        <v>11</v>
      </c>
      <c r="C7697" t="n">
        <v>16</v>
      </c>
      <c r="D7697" t="n">
        <v>15</v>
      </c>
      <c r="E7697" s="10" t="n">
        <v>0.025918</v>
      </c>
      <c r="F7697" s="10" t="n">
        <v>0.4438731945295667</v>
      </c>
      <c r="G7697" s="11">
        <f>E7697*Summary!$B$6</f>
        <v/>
      </c>
      <c r="H7697" s="11">
        <f>F7697*Summary!$B$7</f>
        <v/>
      </c>
      <c r="I7697" s="11">
        <f>MAX(0,N7697-M7697)</f>
        <v/>
      </c>
      <c r="J7697" s="11">
        <f>MAX(0,M7697-N7697)</f>
        <v/>
      </c>
      <c r="K7697" s="11">
        <f>O7697</f>
        <v/>
      </c>
      <c r="L7697" s="11">
        <f>L7696+IF(K7697&gt;0,K7697*Summary!$B$9,K7697/Summary!$B$9)</f>
        <v/>
      </c>
      <c r="M7697" s="11">
        <f>G7697+H7697</f>
        <v/>
      </c>
      <c r="N7697" s="11">
        <f>Summary!$C$16*Summary!$B$8</f>
        <v/>
      </c>
      <c r="O7697" s="11">
        <f>M7697-N7697</f>
        <v/>
      </c>
    </row>
    <row r="7698">
      <c r="A7698" s="9" t="n">
        <v>45612.66666666666</v>
      </c>
      <c r="B7698" t="n">
        <v>11</v>
      </c>
      <c r="C7698" t="n">
        <v>16</v>
      </c>
      <c r="D7698" t="n">
        <v>16</v>
      </c>
      <c r="E7698" s="10" t="n">
        <v>0</v>
      </c>
      <c r="F7698" s="10" t="n">
        <v>0.4669575520698125</v>
      </c>
      <c r="G7698" s="11">
        <f>E7698*Summary!$B$6</f>
        <v/>
      </c>
      <c r="H7698" s="11">
        <f>F7698*Summary!$B$7</f>
        <v/>
      </c>
      <c r="I7698" s="11">
        <f>MAX(0,N7698-M7698)</f>
        <v/>
      </c>
      <c r="J7698" s="11">
        <f>MAX(0,M7698-N7698)</f>
        <v/>
      </c>
      <c r="K7698" s="11">
        <f>O7698</f>
        <v/>
      </c>
      <c r="L7698" s="11">
        <f>L7697+IF(K7698&gt;0,K7698*Summary!$B$9,K7698/Summary!$B$9)</f>
        <v/>
      </c>
      <c r="M7698" s="11">
        <f>G7698+H7698</f>
        <v/>
      </c>
      <c r="N7698" s="11">
        <f>Summary!$C$16*Summary!$B$8</f>
        <v/>
      </c>
      <c r="O7698" s="11">
        <f>M7698-N7698</f>
        <v/>
      </c>
    </row>
    <row r="7699">
      <c r="A7699" s="9" t="n">
        <v>45612.70833333334</v>
      </c>
      <c r="B7699" t="n">
        <v>11</v>
      </c>
      <c r="C7699" t="n">
        <v>16</v>
      </c>
      <c r="D7699" t="n">
        <v>17</v>
      </c>
      <c r="E7699" s="10" t="n">
        <v>0</v>
      </c>
      <c r="F7699" s="10" t="n">
        <v>0.4796328671118881</v>
      </c>
      <c r="G7699" s="11">
        <f>E7699*Summary!$B$6</f>
        <v/>
      </c>
      <c r="H7699" s="11">
        <f>F7699*Summary!$B$7</f>
        <v/>
      </c>
      <c r="I7699" s="11">
        <f>MAX(0,N7699-M7699)</f>
        <v/>
      </c>
      <c r="J7699" s="11">
        <f>MAX(0,M7699-N7699)</f>
        <v/>
      </c>
      <c r="K7699" s="11">
        <f>O7699</f>
        <v/>
      </c>
      <c r="L7699" s="11">
        <f>L7698+IF(K7699&gt;0,K7699*Summary!$B$9,K7699/Summary!$B$9)</f>
        <v/>
      </c>
      <c r="M7699" s="11">
        <f>G7699+H7699</f>
        <v/>
      </c>
      <c r="N7699" s="11">
        <f>Summary!$C$16*Summary!$B$8</f>
        <v/>
      </c>
      <c r="O7699" s="11">
        <f>M7699-N7699</f>
        <v/>
      </c>
    </row>
    <row r="7700">
      <c r="A7700" s="9" t="n">
        <v>45612.75</v>
      </c>
      <c r="B7700" t="n">
        <v>11</v>
      </c>
      <c r="C7700" t="n">
        <v>16</v>
      </c>
      <c r="D7700" t="n">
        <v>18</v>
      </c>
      <c r="E7700" s="10" t="n">
        <v>0</v>
      </c>
      <c r="F7700" s="10" t="n">
        <v>0.4877229330535039</v>
      </c>
      <c r="G7700" s="11">
        <f>E7700*Summary!$B$6</f>
        <v/>
      </c>
      <c r="H7700" s="11">
        <f>F7700*Summary!$B$7</f>
        <v/>
      </c>
      <c r="I7700" s="11">
        <f>MAX(0,N7700-M7700)</f>
        <v/>
      </c>
      <c r="J7700" s="11">
        <f>MAX(0,M7700-N7700)</f>
        <v/>
      </c>
      <c r="K7700" s="11">
        <f>O7700</f>
        <v/>
      </c>
      <c r="L7700" s="11">
        <f>L7699+IF(K7700&gt;0,K7700*Summary!$B$9,K7700/Summary!$B$9)</f>
        <v/>
      </c>
      <c r="M7700" s="11">
        <f>G7700+H7700</f>
        <v/>
      </c>
      <c r="N7700" s="11">
        <f>Summary!$C$16*Summary!$B$8</f>
        <v/>
      </c>
      <c r="O7700" s="11">
        <f>M7700-N7700</f>
        <v/>
      </c>
    </row>
    <row r="7701">
      <c r="A7701" s="9" t="n">
        <v>45612.79166666666</v>
      </c>
      <c r="B7701" t="n">
        <v>11</v>
      </c>
      <c r="C7701" t="n">
        <v>16</v>
      </c>
      <c r="D7701" t="n">
        <v>19</v>
      </c>
      <c r="E7701" s="10" t="n">
        <v>0</v>
      </c>
      <c r="F7701" s="10" t="n">
        <v>0.4892777014266483</v>
      </c>
      <c r="G7701" s="11">
        <f>E7701*Summary!$B$6</f>
        <v/>
      </c>
      <c r="H7701" s="11">
        <f>F7701*Summary!$B$7</f>
        <v/>
      </c>
      <c r="I7701" s="11">
        <f>MAX(0,N7701-M7701)</f>
        <v/>
      </c>
      <c r="J7701" s="11">
        <f>MAX(0,M7701-N7701)</f>
        <v/>
      </c>
      <c r="K7701" s="11">
        <f>O7701</f>
        <v/>
      </c>
      <c r="L7701" s="11">
        <f>L7700+IF(K7701&gt;0,K7701*Summary!$B$9,K7701/Summary!$B$9)</f>
        <v/>
      </c>
      <c r="M7701" s="11">
        <f>G7701+H7701</f>
        <v/>
      </c>
      <c r="N7701" s="11">
        <f>Summary!$C$16*Summary!$B$8</f>
        <v/>
      </c>
      <c r="O7701" s="11">
        <f>M7701-N7701</f>
        <v/>
      </c>
    </row>
    <row r="7702">
      <c r="A7702" s="9" t="n">
        <v>45612.83333333334</v>
      </c>
      <c r="B7702" t="n">
        <v>11</v>
      </c>
      <c r="C7702" t="n">
        <v>16</v>
      </c>
      <c r="D7702" t="n">
        <v>20</v>
      </c>
      <c r="E7702" s="10" t="n">
        <v>0</v>
      </c>
      <c r="F7702" s="10" t="n">
        <v>0.487617525028206</v>
      </c>
      <c r="G7702" s="11">
        <f>E7702*Summary!$B$6</f>
        <v/>
      </c>
      <c r="H7702" s="11">
        <f>F7702*Summary!$B$7</f>
        <v/>
      </c>
      <c r="I7702" s="11">
        <f>MAX(0,N7702-M7702)</f>
        <v/>
      </c>
      <c r="J7702" s="11">
        <f>MAX(0,M7702-N7702)</f>
        <v/>
      </c>
      <c r="K7702" s="11">
        <f>O7702</f>
        <v/>
      </c>
      <c r="L7702" s="11">
        <f>L7701+IF(K7702&gt;0,K7702*Summary!$B$9,K7702/Summary!$B$9)</f>
        <v/>
      </c>
      <c r="M7702" s="11">
        <f>G7702+H7702</f>
        <v/>
      </c>
      <c r="N7702" s="11">
        <f>Summary!$C$16*Summary!$B$8</f>
        <v/>
      </c>
      <c r="O7702" s="11">
        <f>M7702-N7702</f>
        <v/>
      </c>
    </row>
    <row r="7703">
      <c r="A7703" s="9" t="n">
        <v>45612.875</v>
      </c>
      <c r="B7703" t="n">
        <v>11</v>
      </c>
      <c r="C7703" t="n">
        <v>16</v>
      </c>
      <c r="D7703" t="n">
        <v>21</v>
      </c>
      <c r="E7703" s="10" t="n">
        <v>0</v>
      </c>
      <c r="F7703" s="10" t="n">
        <v>0.4795801630992392</v>
      </c>
      <c r="G7703" s="11">
        <f>E7703*Summary!$B$6</f>
        <v/>
      </c>
      <c r="H7703" s="11">
        <f>F7703*Summary!$B$7</f>
        <v/>
      </c>
      <c r="I7703" s="11">
        <f>MAX(0,N7703-M7703)</f>
        <v/>
      </c>
      <c r="J7703" s="11">
        <f>MAX(0,M7703-N7703)</f>
        <v/>
      </c>
      <c r="K7703" s="11">
        <f>O7703</f>
        <v/>
      </c>
      <c r="L7703" s="11">
        <f>L7702+IF(K7703&gt;0,K7703*Summary!$B$9,K7703/Summary!$B$9)</f>
        <v/>
      </c>
      <c r="M7703" s="11">
        <f>G7703+H7703</f>
        <v/>
      </c>
      <c r="N7703" s="11">
        <f>Summary!$C$16*Summary!$B$8</f>
        <v/>
      </c>
      <c r="O7703" s="11">
        <f>M7703-N7703</f>
        <v/>
      </c>
    </row>
    <row r="7704">
      <c r="A7704" s="9" t="n">
        <v>45612.91666666666</v>
      </c>
      <c r="B7704" t="n">
        <v>11</v>
      </c>
      <c r="C7704" t="n">
        <v>16</v>
      </c>
      <c r="D7704" t="n">
        <v>22</v>
      </c>
      <c r="E7704" s="10" t="n">
        <v>0</v>
      </c>
      <c r="F7704" s="10" t="n">
        <v>0.4771557785173868</v>
      </c>
      <c r="G7704" s="11">
        <f>E7704*Summary!$B$6</f>
        <v/>
      </c>
      <c r="H7704" s="11">
        <f>F7704*Summary!$B$7</f>
        <v/>
      </c>
      <c r="I7704" s="11">
        <f>MAX(0,N7704-M7704)</f>
        <v/>
      </c>
      <c r="J7704" s="11">
        <f>MAX(0,M7704-N7704)</f>
        <v/>
      </c>
      <c r="K7704" s="11">
        <f>O7704</f>
        <v/>
      </c>
      <c r="L7704" s="11">
        <f>L7703+IF(K7704&gt;0,K7704*Summary!$B$9,K7704/Summary!$B$9)</f>
        <v/>
      </c>
      <c r="M7704" s="11">
        <f>G7704+H7704</f>
        <v/>
      </c>
      <c r="N7704" s="11">
        <f>Summary!$C$16*Summary!$B$8</f>
        <v/>
      </c>
      <c r="O7704" s="11">
        <f>M7704-N7704</f>
        <v/>
      </c>
    </row>
    <row r="7705">
      <c r="A7705" s="9" t="n">
        <v>45612.95833333334</v>
      </c>
      <c r="B7705" t="n">
        <v>11</v>
      </c>
      <c r="C7705" t="n">
        <v>16</v>
      </c>
      <c r="D7705" t="n">
        <v>23</v>
      </c>
      <c r="E7705" s="10" t="n">
        <v>0</v>
      </c>
      <c r="F7705" s="10" t="n">
        <v>0.4754956021189445</v>
      </c>
      <c r="G7705" s="11">
        <f>E7705*Summary!$B$6</f>
        <v/>
      </c>
      <c r="H7705" s="11">
        <f>F7705*Summary!$B$7</f>
        <v/>
      </c>
      <c r="I7705" s="11">
        <f>MAX(0,N7705-M7705)</f>
        <v/>
      </c>
      <c r="J7705" s="11">
        <f>MAX(0,M7705-N7705)</f>
        <v/>
      </c>
      <c r="K7705" s="11">
        <f>O7705</f>
        <v/>
      </c>
      <c r="L7705" s="11">
        <f>L7704+IF(K7705&gt;0,K7705*Summary!$B$9,K7705/Summary!$B$9)</f>
        <v/>
      </c>
      <c r="M7705" s="11">
        <f>G7705+H7705</f>
        <v/>
      </c>
      <c r="N7705" s="11">
        <f>Summary!$C$16*Summary!$B$8</f>
        <v/>
      </c>
      <c r="O7705" s="11">
        <f>M7705-N7705</f>
        <v/>
      </c>
    </row>
    <row r="7706">
      <c r="A7706" s="9" t="n">
        <v>45613</v>
      </c>
      <c r="B7706" t="n">
        <v>11</v>
      </c>
      <c r="C7706" t="n">
        <v>17</v>
      </c>
      <c r="D7706" t="n">
        <v>0</v>
      </c>
      <c r="E7706" s="10" t="n">
        <v>0</v>
      </c>
      <c r="F7706" s="10" t="n">
        <v>0.350745204178849</v>
      </c>
      <c r="G7706" s="11">
        <f>E7706*Summary!$B$6</f>
        <v/>
      </c>
      <c r="H7706" s="11">
        <f>F7706*Summary!$B$7</f>
        <v/>
      </c>
      <c r="I7706" s="11">
        <f>MAX(0,N7706-M7706)</f>
        <v/>
      </c>
      <c r="J7706" s="11">
        <f>MAX(0,M7706-N7706)</f>
        <v/>
      </c>
      <c r="K7706" s="11">
        <f>O7706</f>
        <v/>
      </c>
      <c r="L7706" s="11">
        <f>L7705+IF(K7706&gt;0,K7706*Summary!$B$9,K7706/Summary!$B$9)</f>
        <v/>
      </c>
      <c r="M7706" s="11">
        <f>G7706+H7706</f>
        <v/>
      </c>
      <c r="N7706" s="11">
        <f>Summary!$C$16*Summary!$B$8</f>
        <v/>
      </c>
      <c r="O7706" s="11">
        <f>M7706-N7706</f>
        <v/>
      </c>
    </row>
    <row r="7707">
      <c r="A7707" s="9" t="n">
        <v>45613.04166666666</v>
      </c>
      <c r="B7707" t="n">
        <v>11</v>
      </c>
      <c r="C7707" t="n">
        <v>17</v>
      </c>
      <c r="D7707" t="n">
        <v>1</v>
      </c>
      <c r="E7707" s="10" t="n">
        <v>0</v>
      </c>
      <c r="F7707" s="10" t="n">
        <v>0.4771030745047379</v>
      </c>
      <c r="G7707" s="11">
        <f>E7707*Summary!$B$6</f>
        <v/>
      </c>
      <c r="H7707" s="11">
        <f>F7707*Summary!$B$7</f>
        <v/>
      </c>
      <c r="I7707" s="11">
        <f>MAX(0,N7707-M7707)</f>
        <v/>
      </c>
      <c r="J7707" s="11">
        <f>MAX(0,M7707-N7707)</f>
        <v/>
      </c>
      <c r="K7707" s="11">
        <f>O7707</f>
        <v/>
      </c>
      <c r="L7707" s="11">
        <f>L7706+IF(K7707&gt;0,K7707*Summary!$B$9,K7707/Summary!$B$9)</f>
        <v/>
      </c>
      <c r="M7707" s="11">
        <f>G7707+H7707</f>
        <v/>
      </c>
      <c r="N7707" s="11">
        <f>Summary!$C$16*Summary!$B$8</f>
        <v/>
      </c>
      <c r="O7707" s="11">
        <f>M7707-N7707</f>
        <v/>
      </c>
    </row>
    <row r="7708">
      <c r="A7708" s="9" t="n">
        <v>45613.08333333334</v>
      </c>
      <c r="B7708" t="n">
        <v>11</v>
      </c>
      <c r="C7708" t="n">
        <v>17</v>
      </c>
      <c r="D7708" t="n">
        <v>2</v>
      </c>
      <c r="E7708" s="10" t="n">
        <v>0</v>
      </c>
      <c r="F7708" s="10" t="n">
        <v>0.4665622719749453</v>
      </c>
      <c r="G7708" s="11">
        <f>E7708*Summary!$B$6</f>
        <v/>
      </c>
      <c r="H7708" s="11">
        <f>F7708*Summary!$B$7</f>
        <v/>
      </c>
      <c r="I7708" s="11">
        <f>MAX(0,N7708-M7708)</f>
        <v/>
      </c>
      <c r="J7708" s="11">
        <f>MAX(0,M7708-N7708)</f>
        <v/>
      </c>
      <c r="K7708" s="11">
        <f>O7708</f>
        <v/>
      </c>
      <c r="L7708" s="11">
        <f>L7707+IF(K7708&gt;0,K7708*Summary!$B$9,K7708/Summary!$B$9)</f>
        <v/>
      </c>
      <c r="M7708" s="11">
        <f>G7708+H7708</f>
        <v/>
      </c>
      <c r="N7708" s="11">
        <f>Summary!$C$16*Summary!$B$8</f>
        <v/>
      </c>
      <c r="O7708" s="11">
        <f>M7708-N7708</f>
        <v/>
      </c>
    </row>
    <row r="7709">
      <c r="A7709" s="9" t="n">
        <v>45613.125</v>
      </c>
      <c r="B7709" t="n">
        <v>11</v>
      </c>
      <c r="C7709" t="n">
        <v>17</v>
      </c>
      <c r="D7709" t="n">
        <v>3</v>
      </c>
      <c r="E7709" s="10" t="n">
        <v>0</v>
      </c>
      <c r="F7709" s="10" t="n">
        <v>0.464137887393093</v>
      </c>
      <c r="G7709" s="11">
        <f>E7709*Summary!$B$6</f>
        <v/>
      </c>
      <c r="H7709" s="11">
        <f>F7709*Summary!$B$7</f>
        <v/>
      </c>
      <c r="I7709" s="11">
        <f>MAX(0,N7709-M7709)</f>
        <v/>
      </c>
      <c r="J7709" s="11">
        <f>MAX(0,M7709-N7709)</f>
        <v/>
      </c>
      <c r="K7709" s="11">
        <f>O7709</f>
        <v/>
      </c>
      <c r="L7709" s="11">
        <f>L7708+IF(K7709&gt;0,K7709*Summary!$B$9,K7709/Summary!$B$9)</f>
        <v/>
      </c>
      <c r="M7709" s="11">
        <f>G7709+H7709</f>
        <v/>
      </c>
      <c r="N7709" s="11">
        <f>Summary!$C$16*Summary!$B$8</f>
        <v/>
      </c>
      <c r="O7709" s="11">
        <f>M7709-N7709</f>
        <v/>
      </c>
    </row>
    <row r="7710">
      <c r="A7710" s="9" t="n">
        <v>45613.16666666666</v>
      </c>
      <c r="B7710" t="n">
        <v>11</v>
      </c>
      <c r="C7710" t="n">
        <v>17</v>
      </c>
      <c r="D7710" t="n">
        <v>4</v>
      </c>
      <c r="E7710" s="10" t="n">
        <v>0</v>
      </c>
      <c r="F7710" s="10" t="n">
        <v>0.4444529386687053</v>
      </c>
      <c r="G7710" s="11">
        <f>E7710*Summary!$B$6</f>
        <v/>
      </c>
      <c r="H7710" s="11">
        <f>F7710*Summary!$B$7</f>
        <v/>
      </c>
      <c r="I7710" s="11">
        <f>MAX(0,N7710-M7710)</f>
        <v/>
      </c>
      <c r="J7710" s="11">
        <f>MAX(0,M7710-N7710)</f>
        <v/>
      </c>
      <c r="K7710" s="11">
        <f>O7710</f>
        <v/>
      </c>
      <c r="L7710" s="11">
        <f>L7709+IF(K7710&gt;0,K7710*Summary!$B$9,K7710/Summary!$B$9)</f>
        <v/>
      </c>
      <c r="M7710" s="11">
        <f>G7710+H7710</f>
        <v/>
      </c>
      <c r="N7710" s="11">
        <f>Summary!$C$16*Summary!$B$8</f>
        <v/>
      </c>
      <c r="O7710" s="11">
        <f>M7710-N7710</f>
        <v/>
      </c>
    </row>
    <row r="7711">
      <c r="A7711" s="9" t="n">
        <v>45613.20833333334</v>
      </c>
      <c r="B7711" t="n">
        <v>11</v>
      </c>
      <c r="C7711" t="n">
        <v>17</v>
      </c>
      <c r="D7711" t="n">
        <v>5</v>
      </c>
      <c r="E7711" s="10" t="n">
        <v>0</v>
      </c>
      <c r="F7711" s="10" t="n">
        <v>0.4516997404079376</v>
      </c>
      <c r="G7711" s="11">
        <f>E7711*Summary!$B$6</f>
        <v/>
      </c>
      <c r="H7711" s="11">
        <f>F7711*Summary!$B$7</f>
        <v/>
      </c>
      <c r="I7711" s="11">
        <f>MAX(0,N7711-M7711)</f>
        <v/>
      </c>
      <c r="J7711" s="11">
        <f>MAX(0,M7711-N7711)</f>
        <v/>
      </c>
      <c r="K7711" s="11">
        <f>O7711</f>
        <v/>
      </c>
      <c r="L7711" s="11">
        <f>L7710+IF(K7711&gt;0,K7711*Summary!$B$9,K7711/Summary!$B$9)</f>
        <v/>
      </c>
      <c r="M7711" s="11">
        <f>G7711+H7711</f>
        <v/>
      </c>
      <c r="N7711" s="11">
        <f>Summary!$C$16*Summary!$B$8</f>
        <v/>
      </c>
      <c r="O7711" s="11">
        <f>M7711-N7711</f>
        <v/>
      </c>
    </row>
    <row r="7712">
      <c r="A7712" s="9" t="n">
        <v>45613.25</v>
      </c>
      <c r="B7712" t="n">
        <v>11</v>
      </c>
      <c r="C7712" t="n">
        <v>17</v>
      </c>
      <c r="D7712" t="n">
        <v>6</v>
      </c>
      <c r="E7712" s="10" t="n">
        <v>0</v>
      </c>
      <c r="F7712" s="10" t="n">
        <v>0.4449536267888705</v>
      </c>
      <c r="G7712" s="11">
        <f>E7712*Summary!$B$6</f>
        <v/>
      </c>
      <c r="H7712" s="11">
        <f>F7712*Summary!$B$7</f>
        <v/>
      </c>
      <c r="I7712" s="11">
        <f>MAX(0,N7712-M7712)</f>
        <v/>
      </c>
      <c r="J7712" s="11">
        <f>MAX(0,M7712-N7712)</f>
        <v/>
      </c>
      <c r="K7712" s="11">
        <f>O7712</f>
        <v/>
      </c>
      <c r="L7712" s="11">
        <f>L7711+IF(K7712&gt;0,K7712*Summary!$B$9,K7712/Summary!$B$9)</f>
        <v/>
      </c>
      <c r="M7712" s="11">
        <f>G7712+H7712</f>
        <v/>
      </c>
      <c r="N7712" s="11">
        <f>Summary!$C$16*Summary!$B$8</f>
        <v/>
      </c>
      <c r="O7712" s="11">
        <f>M7712-N7712</f>
        <v/>
      </c>
    </row>
    <row r="7713">
      <c r="A7713" s="9" t="n">
        <v>45613.29166666666</v>
      </c>
      <c r="B7713" t="n">
        <v>11</v>
      </c>
      <c r="C7713" t="n">
        <v>17</v>
      </c>
      <c r="D7713" t="n">
        <v>7</v>
      </c>
      <c r="E7713" s="10" t="n">
        <v>0</v>
      </c>
      <c r="F7713" s="10" t="n">
        <v>0.4394724094733783</v>
      </c>
      <c r="G7713" s="11">
        <f>E7713*Summary!$B$6</f>
        <v/>
      </c>
      <c r="H7713" s="11">
        <f>F7713*Summary!$B$7</f>
        <v/>
      </c>
      <c r="I7713" s="11">
        <f>MAX(0,N7713-M7713)</f>
        <v/>
      </c>
      <c r="J7713" s="11">
        <f>MAX(0,M7713-N7713)</f>
        <v/>
      </c>
      <c r="K7713" s="11">
        <f>O7713</f>
        <v/>
      </c>
      <c r="L7713" s="11">
        <f>L7712+IF(K7713&gt;0,K7713*Summary!$B$9,K7713/Summary!$B$9)</f>
        <v/>
      </c>
      <c r="M7713" s="11">
        <f>G7713+H7713</f>
        <v/>
      </c>
      <c r="N7713" s="11">
        <f>Summary!$C$16*Summary!$B$8</f>
        <v/>
      </c>
      <c r="O7713" s="11">
        <f>M7713-N7713</f>
        <v/>
      </c>
    </row>
    <row r="7714">
      <c r="A7714" s="9" t="n">
        <v>45613.33333333334</v>
      </c>
      <c r="B7714" t="n">
        <v>11</v>
      </c>
      <c r="C7714" t="n">
        <v>17</v>
      </c>
      <c r="D7714" t="n">
        <v>8</v>
      </c>
      <c r="E7714" s="10" t="n">
        <v>0.006899</v>
      </c>
      <c r="F7714" s="10" t="n">
        <v>0.4255849021403765</v>
      </c>
      <c r="G7714" s="11">
        <f>E7714*Summary!$B$6</f>
        <v/>
      </c>
      <c r="H7714" s="11">
        <f>F7714*Summary!$B$7</f>
        <v/>
      </c>
      <c r="I7714" s="11">
        <f>MAX(0,N7714-M7714)</f>
        <v/>
      </c>
      <c r="J7714" s="11">
        <f>MAX(0,M7714-N7714)</f>
        <v/>
      </c>
      <c r="K7714" s="11">
        <f>O7714</f>
        <v/>
      </c>
      <c r="L7714" s="11">
        <f>L7713+IF(K7714&gt;0,K7714*Summary!$B$9,K7714/Summary!$B$9)</f>
        <v/>
      </c>
      <c r="M7714" s="11">
        <f>G7714+H7714</f>
        <v/>
      </c>
      <c r="N7714" s="11">
        <f>Summary!$C$16*Summary!$B$8</f>
        <v/>
      </c>
      <c r="O7714" s="11">
        <f>M7714-N7714</f>
        <v/>
      </c>
    </row>
    <row r="7715">
      <c r="A7715" s="9" t="n">
        <v>45613.375</v>
      </c>
      <c r="B7715" t="n">
        <v>11</v>
      </c>
      <c r="C7715" t="n">
        <v>17</v>
      </c>
      <c r="D7715" t="n">
        <v>9</v>
      </c>
      <c r="E7715" s="10" t="n">
        <v>0.010746</v>
      </c>
      <c r="F7715" s="10" t="n">
        <v>0.4140427233702536</v>
      </c>
      <c r="G7715" s="11">
        <f>E7715*Summary!$B$6</f>
        <v/>
      </c>
      <c r="H7715" s="11">
        <f>F7715*Summary!$B$7</f>
        <v/>
      </c>
      <c r="I7715" s="11">
        <f>MAX(0,N7715-M7715)</f>
        <v/>
      </c>
      <c r="J7715" s="11">
        <f>MAX(0,M7715-N7715)</f>
        <v/>
      </c>
      <c r="K7715" s="11">
        <f>O7715</f>
        <v/>
      </c>
      <c r="L7715" s="11">
        <f>L7714+IF(K7715&gt;0,K7715*Summary!$B$9,K7715/Summary!$B$9)</f>
        <v/>
      </c>
      <c r="M7715" s="11">
        <f>G7715+H7715</f>
        <v/>
      </c>
      <c r="N7715" s="11">
        <f>Summary!$C$16*Summary!$B$8</f>
        <v/>
      </c>
      <c r="O7715" s="11">
        <f>M7715-N7715</f>
        <v/>
      </c>
    </row>
    <row r="7716">
      <c r="A7716" s="9" t="n">
        <v>45613.41666666666</v>
      </c>
      <c r="B7716" t="n">
        <v>11</v>
      </c>
      <c r="C7716" t="n">
        <v>17</v>
      </c>
      <c r="D7716" t="n">
        <v>10</v>
      </c>
      <c r="E7716" s="10" t="n">
        <v>0.012386</v>
      </c>
      <c r="F7716" s="10" t="n">
        <v>0.403449216827812</v>
      </c>
      <c r="G7716" s="11">
        <f>E7716*Summary!$B$6</f>
        <v/>
      </c>
      <c r="H7716" s="11">
        <f>F7716*Summary!$B$7</f>
        <v/>
      </c>
      <c r="I7716" s="11">
        <f>MAX(0,N7716-M7716)</f>
        <v/>
      </c>
      <c r="J7716" s="11">
        <f>MAX(0,M7716-N7716)</f>
        <v/>
      </c>
      <c r="K7716" s="11">
        <f>O7716</f>
        <v/>
      </c>
      <c r="L7716" s="11">
        <f>L7715+IF(K7716&gt;0,K7716*Summary!$B$9,K7716/Summary!$B$9)</f>
        <v/>
      </c>
      <c r="M7716" s="11">
        <f>G7716+H7716</f>
        <v/>
      </c>
      <c r="N7716" s="11">
        <f>Summary!$C$16*Summary!$B$8</f>
        <v/>
      </c>
      <c r="O7716" s="11">
        <f>M7716-N7716</f>
        <v/>
      </c>
    </row>
    <row r="7717">
      <c r="A7717" s="9" t="n">
        <v>45613.45833333334</v>
      </c>
      <c r="B7717" t="n">
        <v>11</v>
      </c>
      <c r="C7717" t="n">
        <v>17</v>
      </c>
      <c r="D7717" t="n">
        <v>11</v>
      </c>
      <c r="E7717" s="10" t="n">
        <v>0.018774</v>
      </c>
      <c r="F7717" s="10" t="n">
        <v>0.3911164778679547</v>
      </c>
      <c r="G7717" s="11">
        <f>E7717*Summary!$B$6</f>
        <v/>
      </c>
      <c r="H7717" s="11">
        <f>F7717*Summary!$B$7</f>
        <v/>
      </c>
      <c r="I7717" s="11">
        <f>MAX(0,N7717-M7717)</f>
        <v/>
      </c>
      <c r="J7717" s="11">
        <f>MAX(0,M7717-N7717)</f>
        <v/>
      </c>
      <c r="K7717" s="11">
        <f>O7717</f>
        <v/>
      </c>
      <c r="L7717" s="11">
        <f>L7716+IF(K7717&gt;0,K7717*Summary!$B$9,K7717/Summary!$B$9)</f>
        <v/>
      </c>
      <c r="M7717" s="11">
        <f>G7717+H7717</f>
        <v/>
      </c>
      <c r="N7717" s="11">
        <f>Summary!$C$16*Summary!$B$8</f>
        <v/>
      </c>
      <c r="O7717" s="11">
        <f>M7717-N7717</f>
        <v/>
      </c>
    </row>
    <row r="7718">
      <c r="A7718" s="9" t="n">
        <v>45613.5</v>
      </c>
      <c r="B7718" t="n">
        <v>11</v>
      </c>
      <c r="C7718" t="n">
        <v>17</v>
      </c>
      <c r="D7718" t="n">
        <v>12</v>
      </c>
      <c r="E7718" s="10" t="n">
        <v>0.016882</v>
      </c>
      <c r="F7718" s="10" t="n">
        <v>0.3823412597619024</v>
      </c>
      <c r="G7718" s="11">
        <f>E7718*Summary!$B$6</f>
        <v/>
      </c>
      <c r="H7718" s="11">
        <f>F7718*Summary!$B$7</f>
        <v/>
      </c>
      <c r="I7718" s="11">
        <f>MAX(0,N7718-M7718)</f>
        <v/>
      </c>
      <c r="J7718" s="11">
        <f>MAX(0,M7718-N7718)</f>
        <v/>
      </c>
      <c r="K7718" s="11">
        <f>O7718</f>
        <v/>
      </c>
      <c r="L7718" s="11">
        <f>L7717+IF(K7718&gt;0,K7718*Summary!$B$9,K7718/Summary!$B$9)</f>
        <v/>
      </c>
      <c r="M7718" s="11">
        <f>G7718+H7718</f>
        <v/>
      </c>
      <c r="N7718" s="11">
        <f>Summary!$C$16*Summary!$B$8</f>
        <v/>
      </c>
      <c r="O7718" s="11">
        <f>M7718-N7718</f>
        <v/>
      </c>
    </row>
    <row r="7719">
      <c r="A7719" s="9" t="n">
        <v>45613.54166666666</v>
      </c>
      <c r="B7719" t="n">
        <v>11</v>
      </c>
      <c r="C7719" t="n">
        <v>17</v>
      </c>
      <c r="D7719" t="n">
        <v>13</v>
      </c>
      <c r="E7719" s="10" t="n">
        <v>0.011443</v>
      </c>
      <c r="F7719" s="10" t="n">
        <v>0.3758586662060799</v>
      </c>
      <c r="G7719" s="11">
        <f>E7719*Summary!$B$6</f>
        <v/>
      </c>
      <c r="H7719" s="11">
        <f>F7719*Summary!$B$7</f>
        <v/>
      </c>
      <c r="I7719" s="11">
        <f>MAX(0,N7719-M7719)</f>
        <v/>
      </c>
      <c r="J7719" s="11">
        <f>MAX(0,M7719-N7719)</f>
        <v/>
      </c>
      <c r="K7719" s="11">
        <f>O7719</f>
        <v/>
      </c>
      <c r="L7719" s="11">
        <f>L7718+IF(K7719&gt;0,K7719*Summary!$B$9,K7719/Summary!$B$9)</f>
        <v/>
      </c>
      <c r="M7719" s="11">
        <f>G7719+H7719</f>
        <v/>
      </c>
      <c r="N7719" s="11">
        <f>Summary!$C$16*Summary!$B$8</f>
        <v/>
      </c>
      <c r="O7719" s="11">
        <f>M7719-N7719</f>
        <v/>
      </c>
    </row>
    <row r="7720">
      <c r="A7720" s="9" t="n">
        <v>45613.58333333334</v>
      </c>
      <c r="B7720" t="n">
        <v>11</v>
      </c>
      <c r="C7720" t="n">
        <v>17</v>
      </c>
      <c r="D7720" t="n">
        <v>14</v>
      </c>
      <c r="E7720" s="10" t="n">
        <v>0.00793</v>
      </c>
      <c r="F7720" s="10" t="n">
        <v>0.3740140257633662</v>
      </c>
      <c r="G7720" s="11">
        <f>E7720*Summary!$B$6</f>
        <v/>
      </c>
      <c r="H7720" s="11">
        <f>F7720*Summary!$B$7</f>
        <v/>
      </c>
      <c r="I7720" s="11">
        <f>MAX(0,N7720-M7720)</f>
        <v/>
      </c>
      <c r="J7720" s="11">
        <f>MAX(0,M7720-N7720)</f>
        <v/>
      </c>
      <c r="K7720" s="11">
        <f>O7720</f>
        <v/>
      </c>
      <c r="L7720" s="11">
        <f>L7719+IF(K7720&gt;0,K7720*Summary!$B$9,K7720/Summary!$B$9)</f>
        <v/>
      </c>
      <c r="M7720" s="11">
        <f>G7720+H7720</f>
        <v/>
      </c>
      <c r="N7720" s="11">
        <f>Summary!$C$16*Summary!$B$8</f>
        <v/>
      </c>
      <c r="O7720" s="11">
        <f>M7720-N7720</f>
        <v/>
      </c>
    </row>
    <row r="7721">
      <c r="A7721" s="9" t="n">
        <v>45613.625</v>
      </c>
      <c r="B7721" t="n">
        <v>11</v>
      </c>
      <c r="C7721" t="n">
        <v>17</v>
      </c>
      <c r="D7721" t="n">
        <v>15</v>
      </c>
      <c r="E7721" s="10" t="n">
        <v>0</v>
      </c>
      <c r="F7721" s="10" t="n">
        <v>0.3832635799832592</v>
      </c>
      <c r="G7721" s="11">
        <f>E7721*Summary!$B$6</f>
        <v/>
      </c>
      <c r="H7721" s="11">
        <f>F7721*Summary!$B$7</f>
        <v/>
      </c>
      <c r="I7721" s="11">
        <f>MAX(0,N7721-M7721)</f>
        <v/>
      </c>
      <c r="J7721" s="11">
        <f>MAX(0,M7721-N7721)</f>
        <v/>
      </c>
      <c r="K7721" s="11">
        <f>O7721</f>
        <v/>
      </c>
      <c r="L7721" s="11">
        <f>L7720+IF(K7721&gt;0,K7721*Summary!$B$9,K7721/Summary!$B$9)</f>
        <v/>
      </c>
      <c r="M7721" s="11">
        <f>G7721+H7721</f>
        <v/>
      </c>
      <c r="N7721" s="11">
        <f>Summary!$C$16*Summary!$B$8</f>
        <v/>
      </c>
      <c r="O7721" s="11">
        <f>M7721-N7721</f>
        <v/>
      </c>
    </row>
    <row r="7722">
      <c r="A7722" s="9" t="n">
        <v>45613.66666666666</v>
      </c>
      <c r="B7722" t="n">
        <v>11</v>
      </c>
      <c r="C7722" t="n">
        <v>17</v>
      </c>
      <c r="D7722" t="n">
        <v>16</v>
      </c>
      <c r="E7722" s="10" t="n">
        <v>0</v>
      </c>
      <c r="F7722" s="10" t="n">
        <v>0.3988639677273522</v>
      </c>
      <c r="G7722" s="11">
        <f>E7722*Summary!$B$6</f>
        <v/>
      </c>
      <c r="H7722" s="11">
        <f>F7722*Summary!$B$7</f>
        <v/>
      </c>
      <c r="I7722" s="11">
        <f>MAX(0,N7722-M7722)</f>
        <v/>
      </c>
      <c r="J7722" s="11">
        <f>MAX(0,M7722-N7722)</f>
        <v/>
      </c>
      <c r="K7722" s="11">
        <f>O7722</f>
        <v/>
      </c>
      <c r="L7722" s="11">
        <f>L7721+IF(K7722&gt;0,K7722*Summary!$B$9,K7722/Summary!$B$9)</f>
        <v/>
      </c>
      <c r="M7722" s="11">
        <f>G7722+H7722</f>
        <v/>
      </c>
      <c r="N7722" s="11">
        <f>Summary!$C$16*Summary!$B$8</f>
        <v/>
      </c>
      <c r="O7722" s="11">
        <f>M7722-N7722</f>
        <v/>
      </c>
    </row>
    <row r="7723">
      <c r="A7723" s="9" t="n">
        <v>45613.70833333334</v>
      </c>
      <c r="B7723" t="n">
        <v>11</v>
      </c>
      <c r="C7723" t="n">
        <v>17</v>
      </c>
      <c r="D7723" t="n">
        <v>17</v>
      </c>
      <c r="E7723" s="10" t="n">
        <v>0</v>
      </c>
      <c r="F7723" s="10" t="n">
        <v>0.403449216827812</v>
      </c>
      <c r="G7723" s="11">
        <f>E7723*Summary!$B$6</f>
        <v/>
      </c>
      <c r="H7723" s="11">
        <f>F7723*Summary!$B$7</f>
        <v/>
      </c>
      <c r="I7723" s="11">
        <f>MAX(0,N7723-M7723)</f>
        <v/>
      </c>
      <c r="J7723" s="11">
        <f>MAX(0,M7723-N7723)</f>
        <v/>
      </c>
      <c r="K7723" s="11">
        <f>O7723</f>
        <v/>
      </c>
      <c r="L7723" s="11">
        <f>L7722+IF(K7723&gt;0,K7723*Summary!$B$9,K7723/Summary!$B$9)</f>
        <v/>
      </c>
      <c r="M7723" s="11">
        <f>G7723+H7723</f>
        <v/>
      </c>
      <c r="N7723" s="11">
        <f>Summary!$C$16*Summary!$B$8</f>
        <v/>
      </c>
      <c r="O7723" s="11">
        <f>M7723-N7723</f>
        <v/>
      </c>
    </row>
    <row r="7724">
      <c r="A7724" s="9" t="n">
        <v>45613.75</v>
      </c>
      <c r="B7724" t="n">
        <v>11</v>
      </c>
      <c r="C7724" t="n">
        <v>17</v>
      </c>
      <c r="D7724" t="n">
        <v>18</v>
      </c>
      <c r="E7724" s="10" t="n">
        <v>0</v>
      </c>
      <c r="F7724" s="10" t="n">
        <v>0.4039762569543017</v>
      </c>
      <c r="G7724" s="11">
        <f>E7724*Summary!$B$6</f>
        <v/>
      </c>
      <c r="H7724" s="11">
        <f>F7724*Summary!$B$7</f>
        <v/>
      </c>
      <c r="I7724" s="11">
        <f>MAX(0,N7724-M7724)</f>
        <v/>
      </c>
      <c r="J7724" s="11">
        <f>MAX(0,M7724-N7724)</f>
        <v/>
      </c>
      <c r="K7724" s="11">
        <f>O7724</f>
        <v/>
      </c>
      <c r="L7724" s="11">
        <f>L7723+IF(K7724&gt;0,K7724*Summary!$B$9,K7724/Summary!$B$9)</f>
        <v/>
      </c>
      <c r="M7724" s="11">
        <f>G7724+H7724</f>
        <v/>
      </c>
      <c r="N7724" s="11">
        <f>Summary!$C$16*Summary!$B$8</f>
        <v/>
      </c>
      <c r="O7724" s="11">
        <f>M7724-N7724</f>
        <v/>
      </c>
    </row>
    <row r="7725">
      <c r="A7725" s="9" t="n">
        <v>45613.79166666666</v>
      </c>
      <c r="B7725" t="n">
        <v>11</v>
      </c>
      <c r="C7725" t="n">
        <v>17</v>
      </c>
      <c r="D7725" t="n">
        <v>19</v>
      </c>
      <c r="E7725" s="10" t="n">
        <v>0</v>
      </c>
      <c r="F7725" s="10" t="n">
        <v>0.3969402712656651</v>
      </c>
      <c r="G7725" s="11">
        <f>E7725*Summary!$B$6</f>
        <v/>
      </c>
      <c r="H7725" s="11">
        <f>F7725*Summary!$B$7</f>
        <v/>
      </c>
      <c r="I7725" s="11">
        <f>MAX(0,N7725-M7725)</f>
        <v/>
      </c>
      <c r="J7725" s="11">
        <f>MAX(0,M7725-N7725)</f>
        <v/>
      </c>
      <c r="K7725" s="11">
        <f>O7725</f>
        <v/>
      </c>
      <c r="L7725" s="11">
        <f>L7724+IF(K7725&gt;0,K7725*Summary!$B$9,K7725/Summary!$B$9)</f>
        <v/>
      </c>
      <c r="M7725" s="11">
        <f>G7725+H7725</f>
        <v/>
      </c>
      <c r="N7725" s="11">
        <f>Summary!$C$16*Summary!$B$8</f>
        <v/>
      </c>
      <c r="O7725" s="11">
        <f>M7725-N7725</f>
        <v/>
      </c>
    </row>
    <row r="7726">
      <c r="A7726" s="9" t="n">
        <v>45613.83333333334</v>
      </c>
      <c r="B7726" t="n">
        <v>11</v>
      </c>
      <c r="C7726" t="n">
        <v>17</v>
      </c>
      <c r="D7726" t="n">
        <v>20</v>
      </c>
      <c r="E7726" s="10" t="n">
        <v>0</v>
      </c>
      <c r="F7726" s="10" t="n">
        <v>0.3870319168876601</v>
      </c>
      <c r="G7726" s="11">
        <f>E7726*Summary!$B$6</f>
        <v/>
      </c>
      <c r="H7726" s="11">
        <f>F7726*Summary!$B$7</f>
        <v/>
      </c>
      <c r="I7726" s="11">
        <f>MAX(0,N7726-M7726)</f>
        <v/>
      </c>
      <c r="J7726" s="11">
        <f>MAX(0,M7726-N7726)</f>
        <v/>
      </c>
      <c r="K7726" s="11">
        <f>O7726</f>
        <v/>
      </c>
      <c r="L7726" s="11">
        <f>L7725+IF(K7726&gt;0,K7726*Summary!$B$9,K7726/Summary!$B$9)</f>
        <v/>
      </c>
      <c r="M7726" s="11">
        <f>G7726+H7726</f>
        <v/>
      </c>
      <c r="N7726" s="11">
        <f>Summary!$C$16*Summary!$B$8</f>
        <v/>
      </c>
      <c r="O7726" s="11">
        <f>M7726-N7726</f>
        <v/>
      </c>
    </row>
    <row r="7727">
      <c r="A7727" s="9" t="n">
        <v>45613.875</v>
      </c>
      <c r="B7727" t="n">
        <v>11</v>
      </c>
      <c r="C7727" t="n">
        <v>17</v>
      </c>
      <c r="D7727" t="n">
        <v>21</v>
      </c>
      <c r="E7727" s="10" t="n">
        <v>0</v>
      </c>
      <c r="F7727" s="10" t="n">
        <v>0.3738295617190948</v>
      </c>
      <c r="G7727" s="11">
        <f>E7727*Summary!$B$6</f>
        <v/>
      </c>
      <c r="H7727" s="11">
        <f>F7727*Summary!$B$7</f>
        <v/>
      </c>
      <c r="I7727" s="11">
        <f>MAX(0,N7727-M7727)</f>
        <v/>
      </c>
      <c r="J7727" s="11">
        <f>MAX(0,M7727-N7727)</f>
        <v/>
      </c>
      <c r="K7727" s="11">
        <f>O7727</f>
        <v/>
      </c>
      <c r="L7727" s="11">
        <f>L7726+IF(K7727&gt;0,K7727*Summary!$B$9,K7727/Summary!$B$9)</f>
        <v/>
      </c>
      <c r="M7727" s="11">
        <f>G7727+H7727</f>
        <v/>
      </c>
      <c r="N7727" s="11">
        <f>Summary!$C$16*Summary!$B$8</f>
        <v/>
      </c>
      <c r="O7727" s="11">
        <f>M7727-N7727</f>
        <v/>
      </c>
    </row>
    <row r="7728">
      <c r="A7728" s="9" t="n">
        <v>45613.91666666666</v>
      </c>
      <c r="B7728" t="n">
        <v>11</v>
      </c>
      <c r="C7728" t="n">
        <v>17</v>
      </c>
      <c r="D7728" t="n">
        <v>22</v>
      </c>
      <c r="E7728" s="10" t="n">
        <v>0</v>
      </c>
      <c r="F7728" s="10" t="n">
        <v>0.3200714688171525</v>
      </c>
      <c r="G7728" s="11">
        <f>E7728*Summary!$B$6</f>
        <v/>
      </c>
      <c r="H7728" s="11">
        <f>F7728*Summary!$B$7</f>
        <v/>
      </c>
      <c r="I7728" s="11">
        <f>MAX(0,N7728-M7728)</f>
        <v/>
      </c>
      <c r="J7728" s="11">
        <f>MAX(0,M7728-N7728)</f>
        <v/>
      </c>
      <c r="K7728" s="11">
        <f>O7728</f>
        <v/>
      </c>
      <c r="L7728" s="11">
        <f>L7727+IF(K7728&gt;0,K7728*Summary!$B$9,K7728/Summary!$B$9)</f>
        <v/>
      </c>
      <c r="M7728" s="11">
        <f>G7728+H7728</f>
        <v/>
      </c>
      <c r="N7728" s="11">
        <f>Summary!$C$16*Summary!$B$8</f>
        <v/>
      </c>
      <c r="O7728" s="11">
        <f>M7728-N7728</f>
        <v/>
      </c>
    </row>
    <row r="7729">
      <c r="A7729" s="9" t="n">
        <v>45613.95833333334</v>
      </c>
      <c r="B7729" t="n">
        <v>11</v>
      </c>
      <c r="C7729" t="n">
        <v>17</v>
      </c>
      <c r="D7729" t="n">
        <v>23</v>
      </c>
      <c r="E7729" s="10" t="n">
        <v>0</v>
      </c>
      <c r="F7729" s="10" t="n">
        <v>0.3627617190628126</v>
      </c>
      <c r="G7729" s="11">
        <f>E7729*Summary!$B$6</f>
        <v/>
      </c>
      <c r="H7729" s="11">
        <f>F7729*Summary!$B$7</f>
        <v/>
      </c>
      <c r="I7729" s="11">
        <f>MAX(0,N7729-M7729)</f>
        <v/>
      </c>
      <c r="J7729" s="11">
        <f>MAX(0,M7729-N7729)</f>
        <v/>
      </c>
      <c r="K7729" s="11">
        <f>O7729</f>
        <v/>
      </c>
      <c r="L7729" s="11">
        <f>L7728+IF(K7729&gt;0,K7729*Summary!$B$9,K7729/Summary!$B$9)</f>
        <v/>
      </c>
      <c r="M7729" s="11">
        <f>G7729+H7729</f>
        <v/>
      </c>
      <c r="N7729" s="11">
        <f>Summary!$C$16*Summary!$B$8</f>
        <v/>
      </c>
      <c r="O7729" s="11">
        <f>M7729-N7729</f>
        <v/>
      </c>
    </row>
    <row r="7730">
      <c r="A7730" s="9" t="n">
        <v>45614</v>
      </c>
      <c r="B7730" t="n">
        <v>11</v>
      </c>
      <c r="C7730" t="n">
        <v>18</v>
      </c>
      <c r="D7730" t="n">
        <v>0</v>
      </c>
      <c r="E7730" s="10" t="n">
        <v>0</v>
      </c>
      <c r="F7730" s="10" t="n">
        <v>0.3297690071445618</v>
      </c>
      <c r="G7730" s="11">
        <f>E7730*Summary!$B$6</f>
        <v/>
      </c>
      <c r="H7730" s="11">
        <f>F7730*Summary!$B$7</f>
        <v/>
      </c>
      <c r="I7730" s="11">
        <f>MAX(0,N7730-M7730)</f>
        <v/>
      </c>
      <c r="J7730" s="11">
        <f>MAX(0,M7730-N7730)</f>
        <v/>
      </c>
      <c r="K7730" s="11">
        <f>O7730</f>
        <v/>
      </c>
      <c r="L7730" s="11">
        <f>L7729+IF(K7730&gt;0,K7730*Summary!$B$9,K7730/Summary!$B$9)</f>
        <v/>
      </c>
      <c r="M7730" s="11">
        <f>G7730+H7730</f>
        <v/>
      </c>
      <c r="N7730" s="11">
        <f>Summary!$C$16*Summary!$B$8</f>
        <v/>
      </c>
      <c r="O7730" s="11">
        <f>M7730-N7730</f>
        <v/>
      </c>
    </row>
    <row r="7731">
      <c r="A7731" s="9" t="n">
        <v>45614.04166666666</v>
      </c>
      <c r="B7731" t="n">
        <v>11</v>
      </c>
      <c r="C7731" t="n">
        <v>18</v>
      </c>
      <c r="D7731" t="n">
        <v>1</v>
      </c>
      <c r="E7731" s="10" t="n">
        <v>0</v>
      </c>
      <c r="F7731" s="10" t="n">
        <v>0.3551723412413619</v>
      </c>
      <c r="G7731" s="11">
        <f>E7731*Summary!$B$6</f>
        <v/>
      </c>
      <c r="H7731" s="11">
        <f>F7731*Summary!$B$7</f>
        <v/>
      </c>
      <c r="I7731" s="11">
        <f>MAX(0,N7731-M7731)</f>
        <v/>
      </c>
      <c r="J7731" s="11">
        <f>MAX(0,M7731-N7731)</f>
        <v/>
      </c>
      <c r="K7731" s="11">
        <f>O7731</f>
        <v/>
      </c>
      <c r="L7731" s="11">
        <f>L7730+IF(K7731&gt;0,K7731*Summary!$B$9,K7731/Summary!$B$9)</f>
        <v/>
      </c>
      <c r="M7731" s="11">
        <f>G7731+H7731</f>
        <v/>
      </c>
      <c r="N7731" s="11">
        <f>Summary!$C$16*Summary!$B$8</f>
        <v/>
      </c>
      <c r="O7731" s="11">
        <f>M7731-N7731</f>
        <v/>
      </c>
    </row>
    <row r="7732">
      <c r="A7732" s="9" t="n">
        <v>45614.08333333334</v>
      </c>
      <c r="B7732" t="n">
        <v>11</v>
      </c>
      <c r="C7732" t="n">
        <v>18</v>
      </c>
      <c r="D7732" t="n">
        <v>2</v>
      </c>
      <c r="E7732" s="10" t="n">
        <v>0</v>
      </c>
      <c r="F7732" s="10" t="n">
        <v>0.357754837861161</v>
      </c>
      <c r="G7732" s="11">
        <f>E7732*Summary!$B$6</f>
        <v/>
      </c>
      <c r="H7732" s="11">
        <f>F7732*Summary!$B$7</f>
        <v/>
      </c>
      <c r="I7732" s="11">
        <f>MAX(0,N7732-M7732)</f>
        <v/>
      </c>
      <c r="J7732" s="11">
        <f>MAX(0,M7732-N7732)</f>
        <v/>
      </c>
      <c r="K7732" s="11">
        <f>O7732</f>
        <v/>
      </c>
      <c r="L7732" s="11">
        <f>L7731+IF(K7732&gt;0,K7732*Summary!$B$9,K7732/Summary!$B$9)</f>
        <v/>
      </c>
      <c r="M7732" s="11">
        <f>G7732+H7732</f>
        <v/>
      </c>
      <c r="N7732" s="11">
        <f>Summary!$C$16*Summary!$B$8</f>
        <v/>
      </c>
      <c r="O7732" s="11">
        <f>M7732-N7732</f>
        <v/>
      </c>
    </row>
    <row r="7733">
      <c r="A7733" s="9" t="n">
        <v>45614.125</v>
      </c>
      <c r="B7733" t="n">
        <v>11</v>
      </c>
      <c r="C7733" t="n">
        <v>18</v>
      </c>
      <c r="D7733" t="n">
        <v>3</v>
      </c>
      <c r="E7733" s="10" t="n">
        <v>0</v>
      </c>
      <c r="F7733" s="10" t="n">
        <v>0.3611015426643703</v>
      </c>
      <c r="G7733" s="11">
        <f>E7733*Summary!$B$6</f>
        <v/>
      </c>
      <c r="H7733" s="11">
        <f>F7733*Summary!$B$7</f>
        <v/>
      </c>
      <c r="I7733" s="11">
        <f>MAX(0,N7733-M7733)</f>
        <v/>
      </c>
      <c r="J7733" s="11">
        <f>MAX(0,M7733-N7733)</f>
        <v/>
      </c>
      <c r="K7733" s="11">
        <f>O7733</f>
        <v/>
      </c>
      <c r="L7733" s="11">
        <f>L7732+IF(K7733&gt;0,K7733*Summary!$B$9,K7733/Summary!$B$9)</f>
        <v/>
      </c>
      <c r="M7733" s="11">
        <f>G7733+H7733</f>
        <v/>
      </c>
      <c r="N7733" s="11">
        <f>Summary!$C$16*Summary!$B$8</f>
        <v/>
      </c>
      <c r="O7733" s="11">
        <f>M7733-N7733</f>
        <v/>
      </c>
    </row>
    <row r="7734">
      <c r="A7734" s="9" t="n">
        <v>45614.16666666666</v>
      </c>
      <c r="B7734" t="n">
        <v>11</v>
      </c>
      <c r="C7734" t="n">
        <v>18</v>
      </c>
      <c r="D7734" t="n">
        <v>4</v>
      </c>
      <c r="E7734" s="10" t="n">
        <v>0</v>
      </c>
      <c r="F7734" s="10" t="n">
        <v>0.3589670301520872</v>
      </c>
      <c r="G7734" s="11">
        <f>E7734*Summary!$B$6</f>
        <v/>
      </c>
      <c r="H7734" s="11">
        <f>F7734*Summary!$B$7</f>
        <v/>
      </c>
      <c r="I7734" s="11">
        <f>MAX(0,N7734-M7734)</f>
        <v/>
      </c>
      <c r="J7734" s="11">
        <f>MAX(0,M7734-N7734)</f>
        <v/>
      </c>
      <c r="K7734" s="11">
        <f>O7734</f>
        <v/>
      </c>
      <c r="L7734" s="11">
        <f>L7733+IF(K7734&gt;0,K7734*Summary!$B$9,K7734/Summary!$B$9)</f>
        <v/>
      </c>
      <c r="M7734" s="11">
        <f>G7734+H7734</f>
        <v/>
      </c>
      <c r="N7734" s="11">
        <f>Summary!$C$16*Summary!$B$8</f>
        <v/>
      </c>
      <c r="O7734" s="11">
        <f>M7734-N7734</f>
        <v/>
      </c>
    </row>
    <row r="7735">
      <c r="A7735" s="9" t="n">
        <v>45614.20833333334</v>
      </c>
      <c r="B7735" t="n">
        <v>11</v>
      </c>
      <c r="C7735" t="n">
        <v>18</v>
      </c>
      <c r="D7735" t="n">
        <v>5</v>
      </c>
      <c r="E7735" s="10" t="n">
        <v>0</v>
      </c>
      <c r="F7735" s="10" t="n">
        <v>0.3549878771970905</v>
      </c>
      <c r="G7735" s="11">
        <f>E7735*Summary!$B$6</f>
        <v/>
      </c>
      <c r="H7735" s="11">
        <f>F7735*Summary!$B$7</f>
        <v/>
      </c>
      <c r="I7735" s="11">
        <f>MAX(0,N7735-M7735)</f>
        <v/>
      </c>
      <c r="J7735" s="11">
        <f>MAX(0,M7735-N7735)</f>
        <v/>
      </c>
      <c r="K7735" s="11">
        <f>O7735</f>
        <v/>
      </c>
      <c r="L7735" s="11">
        <f>L7734+IF(K7735&gt;0,K7735*Summary!$B$9,K7735/Summary!$B$9)</f>
        <v/>
      </c>
      <c r="M7735" s="11">
        <f>G7735+H7735</f>
        <v/>
      </c>
      <c r="N7735" s="11">
        <f>Summary!$C$16*Summary!$B$8</f>
        <v/>
      </c>
      <c r="O7735" s="11">
        <f>M7735-N7735</f>
        <v/>
      </c>
    </row>
    <row r="7736">
      <c r="A7736" s="9" t="n">
        <v>45614.25</v>
      </c>
      <c r="B7736" t="n">
        <v>11</v>
      </c>
      <c r="C7736" t="n">
        <v>18</v>
      </c>
      <c r="D7736" t="n">
        <v>6</v>
      </c>
      <c r="E7736" s="10" t="n">
        <v>0</v>
      </c>
      <c r="F7736" s="10" t="n">
        <v>0.3534594608302706</v>
      </c>
      <c r="G7736" s="11">
        <f>E7736*Summary!$B$6</f>
        <v/>
      </c>
      <c r="H7736" s="11">
        <f>F7736*Summary!$B$7</f>
        <v/>
      </c>
      <c r="I7736" s="11">
        <f>MAX(0,N7736-M7736)</f>
        <v/>
      </c>
      <c r="J7736" s="11">
        <f>MAX(0,M7736-N7736)</f>
        <v/>
      </c>
      <c r="K7736" s="11">
        <f>O7736</f>
        <v/>
      </c>
      <c r="L7736" s="11">
        <f>L7735+IF(K7736&gt;0,K7736*Summary!$B$9,K7736/Summary!$B$9)</f>
        <v/>
      </c>
      <c r="M7736" s="11">
        <f>G7736+H7736</f>
        <v/>
      </c>
      <c r="N7736" s="11">
        <f>Summary!$C$16*Summary!$B$8</f>
        <v/>
      </c>
      <c r="O7736" s="11">
        <f>M7736-N7736</f>
        <v/>
      </c>
    </row>
    <row r="7737">
      <c r="A7737" s="9" t="n">
        <v>45614.29166666666</v>
      </c>
      <c r="B7737" t="n">
        <v>11</v>
      </c>
      <c r="C7737" t="n">
        <v>18</v>
      </c>
      <c r="D7737" t="n">
        <v>7</v>
      </c>
      <c r="E7737" s="10" t="n">
        <v>0</v>
      </c>
      <c r="F7737" s="10" t="n">
        <v>0.3463707711289851</v>
      </c>
      <c r="G7737" s="11">
        <f>E7737*Summary!$B$6</f>
        <v/>
      </c>
      <c r="H7737" s="11">
        <f>F7737*Summary!$B$7</f>
        <v/>
      </c>
      <c r="I7737" s="11">
        <f>MAX(0,N7737-M7737)</f>
        <v/>
      </c>
      <c r="J7737" s="11">
        <f>MAX(0,M7737-N7737)</f>
        <v/>
      </c>
      <c r="K7737" s="11">
        <f>O7737</f>
        <v/>
      </c>
      <c r="L7737" s="11">
        <f>L7736+IF(K7737&gt;0,K7737*Summary!$B$9,K7737/Summary!$B$9)</f>
        <v/>
      </c>
      <c r="M7737" s="11">
        <f>G7737+H7737</f>
        <v/>
      </c>
      <c r="N7737" s="11">
        <f>Summary!$C$16*Summary!$B$8</f>
        <v/>
      </c>
      <c r="O7737" s="11">
        <f>M7737-N7737</f>
        <v/>
      </c>
    </row>
    <row r="7738">
      <c r="A7738" s="9" t="n">
        <v>45614.33333333334</v>
      </c>
      <c r="B7738" t="n">
        <v>11</v>
      </c>
      <c r="C7738" t="n">
        <v>18</v>
      </c>
      <c r="D7738" t="n">
        <v>8</v>
      </c>
      <c r="E7738" s="10" t="n">
        <v>0.001956</v>
      </c>
      <c r="F7738" s="10" t="n">
        <v>0.3359617286308148</v>
      </c>
      <c r="G7738" s="11">
        <f>E7738*Summary!$B$6</f>
        <v/>
      </c>
      <c r="H7738" s="11">
        <f>F7738*Summary!$B$7</f>
        <v/>
      </c>
      <c r="I7738" s="11">
        <f>MAX(0,N7738-M7738)</f>
        <v/>
      </c>
      <c r="J7738" s="11">
        <f>MAX(0,M7738-N7738)</f>
        <v/>
      </c>
      <c r="K7738" s="11">
        <f>O7738</f>
        <v/>
      </c>
      <c r="L7738" s="11">
        <f>L7737+IF(K7738&gt;0,K7738*Summary!$B$9,K7738/Summary!$B$9)</f>
        <v/>
      </c>
      <c r="M7738" s="11">
        <f>G7738+H7738</f>
        <v/>
      </c>
      <c r="N7738" s="11">
        <f>Summary!$C$16*Summary!$B$8</f>
        <v/>
      </c>
      <c r="O7738" s="11">
        <f>M7738-N7738</f>
        <v/>
      </c>
    </row>
    <row r="7739">
      <c r="A7739" s="9" t="n">
        <v>45614.375</v>
      </c>
      <c r="B7739" t="n">
        <v>11</v>
      </c>
      <c r="C7739" t="n">
        <v>18</v>
      </c>
      <c r="D7739" t="n">
        <v>9</v>
      </c>
      <c r="E7739" s="10" t="n">
        <v>0.005219</v>
      </c>
      <c r="F7739" s="10" t="n">
        <v>0.325078350018804</v>
      </c>
      <c r="G7739" s="11">
        <f>E7739*Summary!$B$6</f>
        <v/>
      </c>
      <c r="H7739" s="11">
        <f>F7739*Summary!$B$7</f>
        <v/>
      </c>
      <c r="I7739" s="11">
        <f>MAX(0,N7739-M7739)</f>
        <v/>
      </c>
      <c r="J7739" s="11">
        <f>MAX(0,M7739-N7739)</f>
        <v/>
      </c>
      <c r="K7739" s="11">
        <f>O7739</f>
        <v/>
      </c>
      <c r="L7739" s="11">
        <f>L7738+IF(K7739&gt;0,K7739*Summary!$B$9,K7739/Summary!$B$9)</f>
        <v/>
      </c>
      <c r="M7739" s="11">
        <f>G7739+H7739</f>
        <v/>
      </c>
      <c r="N7739" s="11">
        <f>Summary!$C$16*Summary!$B$8</f>
        <v/>
      </c>
      <c r="O7739" s="11">
        <f>M7739-N7739</f>
        <v/>
      </c>
    </row>
    <row r="7740">
      <c r="A7740" s="9" t="n">
        <v>45614.41666666666</v>
      </c>
      <c r="B7740" t="n">
        <v>11</v>
      </c>
      <c r="C7740" t="n">
        <v>18</v>
      </c>
      <c r="D7740" t="n">
        <v>10</v>
      </c>
      <c r="E7740" s="10" t="n">
        <v>0.00704</v>
      </c>
      <c r="F7740" s="10" t="n">
        <v>0.3117705868249408</v>
      </c>
      <c r="G7740" s="11">
        <f>E7740*Summary!$B$6</f>
        <v/>
      </c>
      <c r="H7740" s="11">
        <f>F7740*Summary!$B$7</f>
        <v/>
      </c>
      <c r="I7740" s="11">
        <f>MAX(0,N7740-M7740)</f>
        <v/>
      </c>
      <c r="J7740" s="11">
        <f>MAX(0,M7740-N7740)</f>
        <v/>
      </c>
      <c r="K7740" s="11">
        <f>O7740</f>
        <v/>
      </c>
      <c r="L7740" s="11">
        <f>L7739+IF(K7740&gt;0,K7740*Summary!$B$9,K7740/Summary!$B$9)</f>
        <v/>
      </c>
      <c r="M7740" s="11">
        <f>G7740+H7740</f>
        <v/>
      </c>
      <c r="N7740" s="11">
        <f>Summary!$C$16*Summary!$B$8</f>
        <v/>
      </c>
      <c r="O7740" s="11">
        <f>M7740-N7740</f>
        <v/>
      </c>
    </row>
    <row r="7741">
      <c r="A7741" s="9" t="n">
        <v>45614.45833333334</v>
      </c>
      <c r="B7741" t="n">
        <v>11</v>
      </c>
      <c r="C7741" t="n">
        <v>18</v>
      </c>
      <c r="D7741" t="n">
        <v>11</v>
      </c>
      <c r="E7741" s="10" t="n">
        <v>0.016728</v>
      </c>
      <c r="F7741" s="10" t="n">
        <v>0.2997540719409773</v>
      </c>
      <c r="G7741" s="11">
        <f>E7741*Summary!$B$6</f>
        <v/>
      </c>
      <c r="H7741" s="11">
        <f>F7741*Summary!$B$7</f>
        <v/>
      </c>
      <c r="I7741" s="11">
        <f>MAX(0,N7741-M7741)</f>
        <v/>
      </c>
      <c r="J7741" s="11">
        <f>MAX(0,M7741-N7741)</f>
        <v/>
      </c>
      <c r="K7741" s="11">
        <f>O7741</f>
        <v/>
      </c>
      <c r="L7741" s="11">
        <f>L7740+IF(K7741&gt;0,K7741*Summary!$B$9,K7741/Summary!$B$9)</f>
        <v/>
      </c>
      <c r="M7741" s="11">
        <f>G7741+H7741</f>
        <v/>
      </c>
      <c r="N7741" s="11">
        <f>Summary!$C$16*Summary!$B$8</f>
        <v/>
      </c>
      <c r="O7741" s="11">
        <f>M7741-N7741</f>
        <v/>
      </c>
    </row>
    <row r="7742">
      <c r="A7742" s="9" t="n">
        <v>45614.5</v>
      </c>
      <c r="B7742" t="n">
        <v>11</v>
      </c>
      <c r="C7742" t="n">
        <v>18</v>
      </c>
      <c r="D7742" t="n">
        <v>12</v>
      </c>
      <c r="E7742" s="10" t="n">
        <v>0.01135</v>
      </c>
      <c r="F7742" s="10" t="n">
        <v>0.2974877993970719</v>
      </c>
      <c r="G7742" s="11">
        <f>E7742*Summary!$B$6</f>
        <v/>
      </c>
      <c r="H7742" s="11">
        <f>F7742*Summary!$B$7</f>
        <v/>
      </c>
      <c r="I7742" s="11">
        <f>MAX(0,N7742-M7742)</f>
        <v/>
      </c>
      <c r="J7742" s="11">
        <f>MAX(0,M7742-N7742)</f>
        <v/>
      </c>
      <c r="K7742" s="11">
        <f>O7742</f>
        <v/>
      </c>
      <c r="L7742" s="11">
        <f>L7741+IF(K7742&gt;0,K7742*Summary!$B$9,K7742/Summary!$B$9)</f>
        <v/>
      </c>
      <c r="M7742" s="11">
        <f>G7742+H7742</f>
        <v/>
      </c>
      <c r="N7742" s="11">
        <f>Summary!$C$16*Summary!$B$8</f>
        <v/>
      </c>
      <c r="O7742" s="11">
        <f>M7742-N7742</f>
        <v/>
      </c>
    </row>
    <row r="7743">
      <c r="A7743" s="9" t="n">
        <v>45614.54166666666</v>
      </c>
      <c r="B7743" t="n">
        <v>11</v>
      </c>
      <c r="C7743" t="n">
        <v>18</v>
      </c>
      <c r="D7743" t="n">
        <v>13</v>
      </c>
      <c r="E7743" s="10" t="n">
        <v>0.010418</v>
      </c>
      <c r="F7743" s="10" t="n">
        <v>0.2970398152895557</v>
      </c>
      <c r="G7743" s="11">
        <f>E7743*Summary!$B$6</f>
        <v/>
      </c>
      <c r="H7743" s="11">
        <f>F7743*Summary!$B$7</f>
        <v/>
      </c>
      <c r="I7743" s="11">
        <f>MAX(0,N7743-M7743)</f>
        <v/>
      </c>
      <c r="J7743" s="11">
        <f>MAX(0,M7743-N7743)</f>
        <v/>
      </c>
      <c r="K7743" s="11">
        <f>O7743</f>
        <v/>
      </c>
      <c r="L7743" s="11">
        <f>L7742+IF(K7743&gt;0,K7743*Summary!$B$9,K7743/Summary!$B$9)</f>
        <v/>
      </c>
      <c r="M7743" s="11">
        <f>G7743+H7743</f>
        <v/>
      </c>
      <c r="N7743" s="11">
        <f>Summary!$C$16*Summary!$B$8</f>
        <v/>
      </c>
      <c r="O7743" s="11">
        <f>M7743-N7743</f>
        <v/>
      </c>
    </row>
    <row r="7744">
      <c r="A7744" s="9" t="n">
        <v>45614.58333333334</v>
      </c>
      <c r="B7744" t="n">
        <v>11</v>
      </c>
      <c r="C7744" t="n">
        <v>18</v>
      </c>
      <c r="D7744" t="n">
        <v>14</v>
      </c>
      <c r="E7744" s="10" t="n">
        <v>0.009690000000000001</v>
      </c>
      <c r="F7744" s="10" t="n">
        <v>0.3036541688770005</v>
      </c>
      <c r="G7744" s="11">
        <f>E7744*Summary!$B$6</f>
        <v/>
      </c>
      <c r="H7744" s="11">
        <f>F7744*Summary!$B$7</f>
        <v/>
      </c>
      <c r="I7744" s="11">
        <f>MAX(0,N7744-M7744)</f>
        <v/>
      </c>
      <c r="J7744" s="11">
        <f>MAX(0,M7744-N7744)</f>
        <v/>
      </c>
      <c r="K7744" s="11">
        <f>O7744</f>
        <v/>
      </c>
      <c r="L7744" s="11">
        <f>L7743+IF(K7744&gt;0,K7744*Summary!$B$9,K7744/Summary!$B$9)</f>
        <v/>
      </c>
      <c r="M7744" s="11">
        <f>G7744+H7744</f>
        <v/>
      </c>
      <c r="N7744" s="11">
        <f>Summary!$C$16*Summary!$B$8</f>
        <v/>
      </c>
      <c r="O7744" s="11">
        <f>M7744-N7744</f>
        <v/>
      </c>
    </row>
    <row r="7745">
      <c r="A7745" s="9" t="n">
        <v>45614.625</v>
      </c>
      <c r="B7745" t="n">
        <v>11</v>
      </c>
      <c r="C7745" t="n">
        <v>18</v>
      </c>
      <c r="D7745" t="n">
        <v>15</v>
      </c>
      <c r="E7745" s="10" t="n">
        <v>0</v>
      </c>
      <c r="F7745" s="10" t="n">
        <v>0.3087928101102744</v>
      </c>
      <c r="G7745" s="11">
        <f>E7745*Summary!$B$6</f>
        <v/>
      </c>
      <c r="H7745" s="11">
        <f>F7745*Summary!$B$7</f>
        <v/>
      </c>
      <c r="I7745" s="11">
        <f>MAX(0,N7745-M7745)</f>
        <v/>
      </c>
      <c r="J7745" s="11">
        <f>MAX(0,M7745-N7745)</f>
        <v/>
      </c>
      <c r="K7745" s="11">
        <f>O7745</f>
        <v/>
      </c>
      <c r="L7745" s="11">
        <f>L7744+IF(K7745&gt;0,K7745*Summary!$B$9,K7745/Summary!$B$9)</f>
        <v/>
      </c>
      <c r="M7745" s="11">
        <f>G7745+H7745</f>
        <v/>
      </c>
      <c r="N7745" s="11">
        <f>Summary!$C$16*Summary!$B$8</f>
        <v/>
      </c>
      <c r="O7745" s="11">
        <f>M7745-N7745</f>
        <v/>
      </c>
    </row>
    <row r="7746">
      <c r="A7746" s="9" t="n">
        <v>45614.66666666666</v>
      </c>
      <c r="B7746" t="n">
        <v>11</v>
      </c>
      <c r="C7746" t="n">
        <v>18</v>
      </c>
      <c r="D7746" t="n">
        <v>16</v>
      </c>
      <c r="E7746" s="10" t="n">
        <v>0</v>
      </c>
      <c r="F7746" s="10" t="n">
        <v>0.3188329245199019</v>
      </c>
      <c r="G7746" s="11">
        <f>E7746*Summary!$B$6</f>
        <v/>
      </c>
      <c r="H7746" s="11">
        <f>F7746*Summary!$B$7</f>
        <v/>
      </c>
      <c r="I7746" s="11">
        <f>MAX(0,N7746-M7746)</f>
        <v/>
      </c>
      <c r="J7746" s="11">
        <f>MAX(0,M7746-N7746)</f>
        <v/>
      </c>
      <c r="K7746" s="11">
        <f>O7746</f>
        <v/>
      </c>
      <c r="L7746" s="11">
        <f>L7745+IF(K7746&gt;0,K7746*Summary!$B$9,K7746/Summary!$B$9)</f>
        <v/>
      </c>
      <c r="M7746" s="11">
        <f>G7746+H7746</f>
        <v/>
      </c>
      <c r="N7746" s="11">
        <f>Summary!$C$16*Summary!$B$8</f>
        <v/>
      </c>
      <c r="O7746" s="11">
        <f>M7746-N7746</f>
        <v/>
      </c>
    </row>
    <row r="7747">
      <c r="A7747" s="9" t="n">
        <v>45614.70833333334</v>
      </c>
      <c r="B7747" t="n">
        <v>11</v>
      </c>
      <c r="C7747" t="n">
        <v>18</v>
      </c>
      <c r="D7747" t="n">
        <v>17</v>
      </c>
      <c r="E7747" s="10" t="n">
        <v>0</v>
      </c>
      <c r="F7747" s="10" t="n">
        <v>0.3239452137468513</v>
      </c>
      <c r="G7747" s="11">
        <f>E7747*Summary!$B$6</f>
        <v/>
      </c>
      <c r="H7747" s="11">
        <f>F7747*Summary!$B$7</f>
        <v/>
      </c>
      <c r="I7747" s="11">
        <f>MAX(0,N7747-M7747)</f>
        <v/>
      </c>
      <c r="J7747" s="11">
        <f>MAX(0,M7747-N7747)</f>
        <v/>
      </c>
      <c r="K7747" s="11">
        <f>O7747</f>
        <v/>
      </c>
      <c r="L7747" s="11">
        <f>L7746+IF(K7747&gt;0,K7747*Summary!$B$9,K7747/Summary!$B$9)</f>
        <v/>
      </c>
      <c r="M7747" s="11">
        <f>G7747+H7747</f>
        <v/>
      </c>
      <c r="N7747" s="11">
        <f>Summary!$C$16*Summary!$B$8</f>
        <v/>
      </c>
      <c r="O7747" s="11">
        <f>M7747-N7747</f>
        <v/>
      </c>
    </row>
    <row r="7748">
      <c r="A7748" s="9" t="n">
        <v>45614.75</v>
      </c>
      <c r="B7748" t="n">
        <v>11</v>
      </c>
      <c r="C7748" t="n">
        <v>18</v>
      </c>
      <c r="D7748" t="n">
        <v>18</v>
      </c>
      <c r="E7748" s="10" t="n">
        <v>0</v>
      </c>
      <c r="F7748" s="10" t="n">
        <v>0.3304014552963492</v>
      </c>
      <c r="G7748" s="11">
        <f>E7748*Summary!$B$6</f>
        <v/>
      </c>
      <c r="H7748" s="11">
        <f>F7748*Summary!$B$7</f>
        <v/>
      </c>
      <c r="I7748" s="11">
        <f>MAX(0,N7748-M7748)</f>
        <v/>
      </c>
      <c r="J7748" s="11">
        <f>MAX(0,M7748-N7748)</f>
        <v/>
      </c>
      <c r="K7748" s="11">
        <f>O7748</f>
        <v/>
      </c>
      <c r="L7748" s="11">
        <f>L7747+IF(K7748&gt;0,K7748*Summary!$B$9,K7748/Summary!$B$9)</f>
        <v/>
      </c>
      <c r="M7748" s="11">
        <f>G7748+H7748</f>
        <v/>
      </c>
      <c r="N7748" s="11">
        <f>Summary!$C$16*Summary!$B$8</f>
        <v/>
      </c>
      <c r="O7748" s="11">
        <f>M7748-N7748</f>
        <v/>
      </c>
    </row>
    <row r="7749">
      <c r="A7749" s="9" t="n">
        <v>45614.79166666666</v>
      </c>
      <c r="B7749" t="n">
        <v>11</v>
      </c>
      <c r="C7749" t="n">
        <v>18</v>
      </c>
      <c r="D7749" t="n">
        <v>19</v>
      </c>
      <c r="E7749" s="10" t="n">
        <v>0</v>
      </c>
      <c r="F7749" s="10" t="n">
        <v>0.3267912304298953</v>
      </c>
      <c r="G7749" s="11">
        <f>E7749*Summary!$B$6</f>
        <v/>
      </c>
      <c r="H7749" s="11">
        <f>F7749*Summary!$B$7</f>
        <v/>
      </c>
      <c r="I7749" s="11">
        <f>MAX(0,N7749-M7749)</f>
        <v/>
      </c>
      <c r="J7749" s="11">
        <f>MAX(0,M7749-N7749)</f>
        <v/>
      </c>
      <c r="K7749" s="11">
        <f>O7749</f>
        <v/>
      </c>
      <c r="L7749" s="11">
        <f>L7748+IF(K7749&gt;0,K7749*Summary!$B$9,K7749/Summary!$B$9)</f>
        <v/>
      </c>
      <c r="M7749" s="11">
        <f>G7749+H7749</f>
        <v/>
      </c>
      <c r="N7749" s="11">
        <f>Summary!$C$16*Summary!$B$8</f>
        <v/>
      </c>
      <c r="O7749" s="11">
        <f>M7749-N7749</f>
        <v/>
      </c>
    </row>
    <row r="7750">
      <c r="A7750" s="9" t="n">
        <v>45614.83333333334</v>
      </c>
      <c r="B7750" t="n">
        <v>11</v>
      </c>
      <c r="C7750" t="n">
        <v>18</v>
      </c>
      <c r="D7750" t="n">
        <v>20</v>
      </c>
      <c r="E7750" s="10" t="n">
        <v>0</v>
      </c>
      <c r="F7750" s="10" t="n">
        <v>0.3255526861326447</v>
      </c>
      <c r="G7750" s="11">
        <f>E7750*Summary!$B$6</f>
        <v/>
      </c>
      <c r="H7750" s="11">
        <f>F7750*Summary!$B$7</f>
        <v/>
      </c>
      <c r="I7750" s="11">
        <f>MAX(0,N7750-M7750)</f>
        <v/>
      </c>
      <c r="J7750" s="11">
        <f>MAX(0,M7750-N7750)</f>
        <v/>
      </c>
      <c r="K7750" s="11">
        <f>O7750</f>
        <v/>
      </c>
      <c r="L7750" s="11">
        <f>L7749+IF(K7750&gt;0,K7750*Summary!$B$9,K7750/Summary!$B$9)</f>
        <v/>
      </c>
      <c r="M7750" s="11">
        <f>G7750+H7750</f>
        <v/>
      </c>
      <c r="N7750" s="11">
        <f>Summary!$C$16*Summary!$B$8</f>
        <v/>
      </c>
      <c r="O7750" s="11">
        <f>M7750-N7750</f>
        <v/>
      </c>
    </row>
    <row r="7751">
      <c r="A7751" s="9" t="n">
        <v>45614.875</v>
      </c>
      <c r="B7751" t="n">
        <v>11</v>
      </c>
      <c r="C7751" t="n">
        <v>18</v>
      </c>
      <c r="D7751" t="n">
        <v>21</v>
      </c>
      <c r="E7751" s="10" t="n">
        <v>0</v>
      </c>
      <c r="F7751" s="10" t="n">
        <v>0.3199397087855301</v>
      </c>
      <c r="G7751" s="11">
        <f>E7751*Summary!$B$6</f>
        <v/>
      </c>
      <c r="H7751" s="11">
        <f>F7751*Summary!$B$7</f>
        <v/>
      </c>
      <c r="I7751" s="11">
        <f>MAX(0,N7751-M7751)</f>
        <v/>
      </c>
      <c r="J7751" s="11">
        <f>MAX(0,M7751-N7751)</f>
        <v/>
      </c>
      <c r="K7751" s="11">
        <f>O7751</f>
        <v/>
      </c>
      <c r="L7751" s="11">
        <f>L7750+IF(K7751&gt;0,K7751*Summary!$B$9,K7751/Summary!$B$9)</f>
        <v/>
      </c>
      <c r="M7751" s="11">
        <f>G7751+H7751</f>
        <v/>
      </c>
      <c r="N7751" s="11">
        <f>Summary!$C$16*Summary!$B$8</f>
        <v/>
      </c>
      <c r="O7751" s="11">
        <f>M7751-N7751</f>
        <v/>
      </c>
    </row>
    <row r="7752">
      <c r="A7752" s="9" t="n">
        <v>45614.91666666666</v>
      </c>
      <c r="B7752" t="n">
        <v>11</v>
      </c>
      <c r="C7752" t="n">
        <v>18</v>
      </c>
      <c r="D7752" t="n">
        <v>22</v>
      </c>
      <c r="E7752" s="10" t="n">
        <v>0</v>
      </c>
      <c r="F7752" s="10" t="n">
        <v>0.3173308601594064</v>
      </c>
      <c r="G7752" s="11">
        <f>E7752*Summary!$B$6</f>
        <v/>
      </c>
      <c r="H7752" s="11">
        <f>F7752*Summary!$B$7</f>
        <v/>
      </c>
      <c r="I7752" s="11">
        <f>MAX(0,N7752-M7752)</f>
        <v/>
      </c>
      <c r="J7752" s="11">
        <f>MAX(0,M7752-N7752)</f>
        <v/>
      </c>
      <c r="K7752" s="11">
        <f>O7752</f>
        <v/>
      </c>
      <c r="L7752" s="11">
        <f>L7751+IF(K7752&gt;0,K7752*Summary!$B$9,K7752/Summary!$B$9)</f>
        <v/>
      </c>
      <c r="M7752" s="11">
        <f>G7752+H7752</f>
        <v/>
      </c>
      <c r="N7752" s="11">
        <f>Summary!$C$16*Summary!$B$8</f>
        <v/>
      </c>
      <c r="O7752" s="11">
        <f>M7752-N7752</f>
        <v/>
      </c>
    </row>
    <row r="7753">
      <c r="A7753" s="9" t="n">
        <v>45614.95833333334</v>
      </c>
      <c r="B7753" t="n">
        <v>11</v>
      </c>
      <c r="C7753" t="n">
        <v>18</v>
      </c>
      <c r="D7753" t="n">
        <v>23</v>
      </c>
      <c r="E7753" s="10" t="n">
        <v>0</v>
      </c>
      <c r="F7753" s="10" t="n">
        <v>0.3210201410448338</v>
      </c>
      <c r="G7753" s="11">
        <f>E7753*Summary!$B$6</f>
        <v/>
      </c>
      <c r="H7753" s="11">
        <f>F7753*Summary!$B$7</f>
        <v/>
      </c>
      <c r="I7753" s="11">
        <f>MAX(0,N7753-M7753)</f>
        <v/>
      </c>
      <c r="J7753" s="11">
        <f>MAX(0,M7753-N7753)</f>
        <v/>
      </c>
      <c r="K7753" s="11">
        <f>O7753</f>
        <v/>
      </c>
      <c r="L7753" s="11">
        <f>L7752+IF(K7753&gt;0,K7753*Summary!$B$9,K7753/Summary!$B$9)</f>
        <v/>
      </c>
      <c r="M7753" s="11">
        <f>G7753+H7753</f>
        <v/>
      </c>
      <c r="N7753" s="11">
        <f>Summary!$C$16*Summary!$B$8</f>
        <v/>
      </c>
      <c r="O7753" s="11">
        <f>M7753-N7753</f>
        <v/>
      </c>
    </row>
    <row r="7754">
      <c r="A7754" s="9" t="n">
        <v>45615</v>
      </c>
      <c r="B7754" t="n">
        <v>11</v>
      </c>
      <c r="C7754" t="n">
        <v>19</v>
      </c>
      <c r="D7754" t="n">
        <v>0</v>
      </c>
      <c r="E7754" s="10" t="n">
        <v>0</v>
      </c>
      <c r="F7754" s="10" t="n">
        <v>0.3468187552365012</v>
      </c>
      <c r="G7754" s="11">
        <f>E7754*Summary!$B$6</f>
        <v/>
      </c>
      <c r="H7754" s="11">
        <f>F7754*Summary!$B$7</f>
        <v/>
      </c>
      <c r="I7754" s="11">
        <f>MAX(0,N7754-M7754)</f>
        <v/>
      </c>
      <c r="J7754" s="11">
        <f>MAX(0,M7754-N7754)</f>
        <v/>
      </c>
      <c r="K7754" s="11">
        <f>O7754</f>
        <v/>
      </c>
      <c r="L7754" s="11">
        <f>L7753+IF(K7754&gt;0,K7754*Summary!$B$9,K7754/Summary!$B$9)</f>
        <v/>
      </c>
      <c r="M7754" s="11">
        <f>G7754+H7754</f>
        <v/>
      </c>
      <c r="N7754" s="11">
        <f>Summary!$C$16*Summary!$B$8</f>
        <v/>
      </c>
      <c r="O7754" s="11">
        <f>M7754-N7754</f>
        <v/>
      </c>
    </row>
    <row r="7755">
      <c r="A7755" s="9" t="n">
        <v>45615.04166666666</v>
      </c>
      <c r="B7755" t="n">
        <v>11</v>
      </c>
      <c r="C7755" t="n">
        <v>19</v>
      </c>
      <c r="D7755" t="n">
        <v>1</v>
      </c>
      <c r="E7755" s="10" t="n">
        <v>0</v>
      </c>
      <c r="F7755" s="10" t="n">
        <v>0.3321670397200895</v>
      </c>
      <c r="G7755" s="11">
        <f>E7755*Summary!$B$6</f>
        <v/>
      </c>
      <c r="H7755" s="11">
        <f>F7755*Summary!$B$7</f>
        <v/>
      </c>
      <c r="I7755" s="11">
        <f>MAX(0,N7755-M7755)</f>
        <v/>
      </c>
      <c r="J7755" s="11">
        <f>MAX(0,M7755-N7755)</f>
        <v/>
      </c>
      <c r="K7755" s="11">
        <f>O7755</f>
        <v/>
      </c>
      <c r="L7755" s="11">
        <f>L7754+IF(K7755&gt;0,K7755*Summary!$B$9,K7755/Summary!$B$9)</f>
        <v/>
      </c>
      <c r="M7755" s="11">
        <f>G7755+H7755</f>
        <v/>
      </c>
      <c r="N7755" s="11">
        <f>Summary!$C$16*Summary!$B$8</f>
        <v/>
      </c>
      <c r="O7755" s="11">
        <f>M7755-N7755</f>
        <v/>
      </c>
    </row>
    <row r="7756">
      <c r="A7756" s="9" t="n">
        <v>45615.08333333334</v>
      </c>
      <c r="B7756" t="n">
        <v>11</v>
      </c>
      <c r="C7756" t="n">
        <v>19</v>
      </c>
      <c r="D7756" t="n">
        <v>2</v>
      </c>
      <c r="E7756" s="10" t="n">
        <v>0</v>
      </c>
      <c r="F7756" s="10" t="n">
        <v>0.3346704803209153</v>
      </c>
      <c r="G7756" s="11">
        <f>E7756*Summary!$B$6</f>
        <v/>
      </c>
      <c r="H7756" s="11">
        <f>F7756*Summary!$B$7</f>
        <v/>
      </c>
      <c r="I7756" s="11">
        <f>MAX(0,N7756-M7756)</f>
        <v/>
      </c>
      <c r="J7756" s="11">
        <f>MAX(0,M7756-N7756)</f>
        <v/>
      </c>
      <c r="K7756" s="11">
        <f>O7756</f>
        <v/>
      </c>
      <c r="L7756" s="11">
        <f>L7755+IF(K7756&gt;0,K7756*Summary!$B$9,K7756/Summary!$B$9)</f>
        <v/>
      </c>
      <c r="M7756" s="11">
        <f>G7756+H7756</f>
        <v/>
      </c>
      <c r="N7756" s="11">
        <f>Summary!$C$16*Summary!$B$8</f>
        <v/>
      </c>
      <c r="O7756" s="11">
        <f>M7756-N7756</f>
        <v/>
      </c>
    </row>
    <row r="7757">
      <c r="A7757" s="9" t="n">
        <v>45615.125</v>
      </c>
      <c r="B7757" t="n">
        <v>11</v>
      </c>
      <c r="C7757" t="n">
        <v>19</v>
      </c>
      <c r="D7757" t="n">
        <v>3</v>
      </c>
      <c r="E7757" s="10" t="n">
        <v>0</v>
      </c>
      <c r="F7757" s="10" t="n">
        <v>0.3542236690136806</v>
      </c>
      <c r="G7757" s="11">
        <f>E7757*Summary!$B$6</f>
        <v/>
      </c>
      <c r="H7757" s="11">
        <f>F7757*Summary!$B$7</f>
        <v/>
      </c>
      <c r="I7757" s="11">
        <f>MAX(0,N7757-M7757)</f>
        <v/>
      </c>
      <c r="J7757" s="11">
        <f>MAX(0,M7757-N7757)</f>
        <v/>
      </c>
      <c r="K7757" s="11">
        <f>O7757</f>
        <v/>
      </c>
      <c r="L7757" s="11">
        <f>L7756+IF(K7757&gt;0,K7757*Summary!$B$9,K7757/Summary!$B$9)</f>
        <v/>
      </c>
      <c r="M7757" s="11">
        <f>G7757+H7757</f>
        <v/>
      </c>
      <c r="N7757" s="11">
        <f>Summary!$C$16*Summary!$B$8</f>
        <v/>
      </c>
      <c r="O7757" s="11">
        <f>M7757-N7757</f>
        <v/>
      </c>
    </row>
    <row r="7758">
      <c r="A7758" s="9" t="n">
        <v>45615.16666666666</v>
      </c>
      <c r="B7758" t="n">
        <v>11</v>
      </c>
      <c r="C7758" t="n">
        <v>19</v>
      </c>
      <c r="D7758" t="n">
        <v>4</v>
      </c>
      <c r="E7758" s="10" t="n">
        <v>0</v>
      </c>
      <c r="F7758" s="10" t="n">
        <v>0.3551196372287129</v>
      </c>
      <c r="G7758" s="11">
        <f>E7758*Summary!$B$6</f>
        <v/>
      </c>
      <c r="H7758" s="11">
        <f>F7758*Summary!$B$7</f>
        <v/>
      </c>
      <c r="I7758" s="11">
        <f>MAX(0,N7758-M7758)</f>
        <v/>
      </c>
      <c r="J7758" s="11">
        <f>MAX(0,M7758-N7758)</f>
        <v/>
      </c>
      <c r="K7758" s="11">
        <f>O7758</f>
        <v/>
      </c>
      <c r="L7758" s="11">
        <f>L7757+IF(K7758&gt;0,K7758*Summary!$B$9,K7758/Summary!$B$9)</f>
        <v/>
      </c>
      <c r="M7758" s="11">
        <f>G7758+H7758</f>
        <v/>
      </c>
      <c r="N7758" s="11">
        <f>Summary!$C$16*Summary!$B$8</f>
        <v/>
      </c>
      <c r="O7758" s="11">
        <f>M7758-N7758</f>
        <v/>
      </c>
    </row>
    <row r="7759">
      <c r="A7759" s="9" t="n">
        <v>45615.20833333334</v>
      </c>
      <c r="B7759" t="n">
        <v>11</v>
      </c>
      <c r="C7759" t="n">
        <v>19</v>
      </c>
      <c r="D7759" t="n">
        <v>5</v>
      </c>
      <c r="E7759" s="10" t="n">
        <v>0</v>
      </c>
      <c r="F7759" s="10" t="n">
        <v>0.3732761695862807</v>
      </c>
      <c r="G7759" s="11">
        <f>E7759*Summary!$B$6</f>
        <v/>
      </c>
      <c r="H7759" s="11">
        <f>F7759*Summary!$B$7</f>
        <v/>
      </c>
      <c r="I7759" s="11">
        <f>MAX(0,N7759-M7759)</f>
        <v/>
      </c>
      <c r="J7759" s="11">
        <f>MAX(0,M7759-N7759)</f>
        <v/>
      </c>
      <c r="K7759" s="11">
        <f>O7759</f>
        <v/>
      </c>
      <c r="L7759" s="11">
        <f>L7758+IF(K7759&gt;0,K7759*Summary!$B$9,K7759/Summary!$B$9)</f>
        <v/>
      </c>
      <c r="M7759" s="11">
        <f>G7759+H7759</f>
        <v/>
      </c>
      <c r="N7759" s="11">
        <f>Summary!$C$16*Summary!$B$8</f>
        <v/>
      </c>
      <c r="O7759" s="11">
        <f>M7759-N7759</f>
        <v/>
      </c>
    </row>
    <row r="7760">
      <c r="A7760" s="9" t="n">
        <v>45615.25</v>
      </c>
      <c r="B7760" t="n">
        <v>11</v>
      </c>
      <c r="C7760" t="n">
        <v>19</v>
      </c>
      <c r="D7760" t="n">
        <v>6</v>
      </c>
      <c r="E7760" s="10" t="n">
        <v>0</v>
      </c>
      <c r="F7760" s="10" t="n">
        <v>0.387084620900309</v>
      </c>
      <c r="G7760" s="11">
        <f>E7760*Summary!$B$6</f>
        <v/>
      </c>
      <c r="H7760" s="11">
        <f>F7760*Summary!$B$7</f>
        <v/>
      </c>
      <c r="I7760" s="11">
        <f>MAX(0,N7760-M7760)</f>
        <v/>
      </c>
      <c r="J7760" s="11">
        <f>MAX(0,M7760-N7760)</f>
        <v/>
      </c>
      <c r="K7760" s="11">
        <f>O7760</f>
        <v/>
      </c>
      <c r="L7760" s="11">
        <f>L7759+IF(K7760&gt;0,K7760*Summary!$B$9,K7760/Summary!$B$9)</f>
        <v/>
      </c>
      <c r="M7760" s="11">
        <f>G7760+H7760</f>
        <v/>
      </c>
      <c r="N7760" s="11">
        <f>Summary!$C$16*Summary!$B$8</f>
        <v/>
      </c>
      <c r="O7760" s="11">
        <f>M7760-N7760</f>
        <v/>
      </c>
    </row>
    <row r="7761">
      <c r="A7761" s="9" t="n">
        <v>45615.29166666666</v>
      </c>
      <c r="B7761" t="n">
        <v>11</v>
      </c>
      <c r="C7761" t="n">
        <v>19</v>
      </c>
      <c r="D7761" t="n">
        <v>7</v>
      </c>
      <c r="E7761" s="10" t="n">
        <v>0</v>
      </c>
      <c r="F7761" s="10" t="n">
        <v>0.3993646558475174</v>
      </c>
      <c r="G7761" s="11">
        <f>E7761*Summary!$B$6</f>
        <v/>
      </c>
      <c r="H7761" s="11">
        <f>F7761*Summary!$B$7</f>
        <v/>
      </c>
      <c r="I7761" s="11">
        <f>MAX(0,N7761-M7761)</f>
        <v/>
      </c>
      <c r="J7761" s="11">
        <f>MAX(0,M7761-N7761)</f>
        <v/>
      </c>
      <c r="K7761" s="11">
        <f>O7761</f>
        <v/>
      </c>
      <c r="L7761" s="11">
        <f>L7760+IF(K7761&gt;0,K7761*Summary!$B$9,K7761/Summary!$B$9)</f>
        <v/>
      </c>
      <c r="M7761" s="11">
        <f>G7761+H7761</f>
        <v/>
      </c>
      <c r="N7761" s="11">
        <f>Summary!$C$16*Summary!$B$8</f>
        <v/>
      </c>
      <c r="O7761" s="11">
        <f>M7761-N7761</f>
        <v/>
      </c>
    </row>
    <row r="7762">
      <c r="A7762" s="9" t="n">
        <v>45615.33333333334</v>
      </c>
      <c r="B7762" t="n">
        <v>11</v>
      </c>
      <c r="C7762" t="n">
        <v>19</v>
      </c>
      <c r="D7762" t="n">
        <v>8</v>
      </c>
      <c r="E7762" s="10" t="n">
        <v>0</v>
      </c>
      <c r="F7762" s="10" t="n">
        <v>0.4072439057385374</v>
      </c>
      <c r="G7762" s="11">
        <f>E7762*Summary!$B$6</f>
        <v/>
      </c>
      <c r="H7762" s="11">
        <f>F7762*Summary!$B$7</f>
        <v/>
      </c>
      <c r="I7762" s="11">
        <f>MAX(0,N7762-M7762)</f>
        <v/>
      </c>
      <c r="J7762" s="11">
        <f>MAX(0,M7762-N7762)</f>
        <v/>
      </c>
      <c r="K7762" s="11">
        <f>O7762</f>
        <v/>
      </c>
      <c r="L7762" s="11">
        <f>L7761+IF(K7762&gt;0,K7762*Summary!$B$9,K7762/Summary!$B$9)</f>
        <v/>
      </c>
      <c r="M7762" s="11">
        <f>G7762+H7762</f>
        <v/>
      </c>
      <c r="N7762" s="11">
        <f>Summary!$C$16*Summary!$B$8</f>
        <v/>
      </c>
      <c r="O7762" s="11">
        <f>M7762-N7762</f>
        <v/>
      </c>
    </row>
    <row r="7763">
      <c r="A7763" s="9" t="n">
        <v>45615.375</v>
      </c>
      <c r="B7763" t="n">
        <v>11</v>
      </c>
      <c r="C7763" t="n">
        <v>19</v>
      </c>
      <c r="D7763" t="n">
        <v>9</v>
      </c>
      <c r="E7763" s="10" t="n">
        <v>0.00507</v>
      </c>
      <c r="F7763" s="10" t="n">
        <v>0.4111703546808851</v>
      </c>
      <c r="G7763" s="11">
        <f>E7763*Summary!$B$6</f>
        <v/>
      </c>
      <c r="H7763" s="11">
        <f>F7763*Summary!$B$7</f>
        <v/>
      </c>
      <c r="I7763" s="11">
        <f>MAX(0,N7763-M7763)</f>
        <v/>
      </c>
      <c r="J7763" s="11">
        <f>MAX(0,M7763-N7763)</f>
        <v/>
      </c>
      <c r="K7763" s="11">
        <f>O7763</f>
        <v/>
      </c>
      <c r="L7763" s="11">
        <f>L7762+IF(K7763&gt;0,K7763*Summary!$B$9,K7763/Summary!$B$9)</f>
        <v/>
      </c>
      <c r="M7763" s="11">
        <f>G7763+H7763</f>
        <v/>
      </c>
      <c r="N7763" s="11">
        <f>Summary!$C$16*Summary!$B$8</f>
        <v/>
      </c>
      <c r="O7763" s="11">
        <f>M7763-N7763</f>
        <v/>
      </c>
    </row>
    <row r="7764">
      <c r="A7764" s="9" t="n">
        <v>45615.41666666666</v>
      </c>
      <c r="B7764" t="n">
        <v>11</v>
      </c>
      <c r="C7764" t="n">
        <v>19</v>
      </c>
      <c r="D7764" t="n">
        <v>10</v>
      </c>
      <c r="E7764" s="10" t="n">
        <v>0.007709</v>
      </c>
      <c r="F7764" s="10" t="n">
        <v>0.4071912017258884</v>
      </c>
      <c r="G7764" s="11">
        <f>E7764*Summary!$B$6</f>
        <v/>
      </c>
      <c r="H7764" s="11">
        <f>F7764*Summary!$B$7</f>
        <v/>
      </c>
      <c r="I7764" s="11">
        <f>MAX(0,N7764-M7764)</f>
        <v/>
      </c>
      <c r="J7764" s="11">
        <f>MAX(0,M7764-N7764)</f>
        <v/>
      </c>
      <c r="K7764" s="11">
        <f>O7764</f>
        <v/>
      </c>
      <c r="L7764" s="11">
        <f>L7763+IF(K7764&gt;0,K7764*Summary!$B$9,K7764/Summary!$B$9)</f>
        <v/>
      </c>
      <c r="M7764" s="11">
        <f>G7764+H7764</f>
        <v/>
      </c>
      <c r="N7764" s="11">
        <f>Summary!$C$16*Summary!$B$8</f>
        <v/>
      </c>
      <c r="O7764" s="11">
        <f>M7764-N7764</f>
        <v/>
      </c>
    </row>
    <row r="7765">
      <c r="A7765" s="9" t="n">
        <v>45615.45833333334</v>
      </c>
      <c r="B7765" t="n">
        <v>11</v>
      </c>
      <c r="C7765" t="n">
        <v>19</v>
      </c>
      <c r="D7765" t="n">
        <v>11</v>
      </c>
      <c r="E7765" s="10" t="n">
        <v>0.019288</v>
      </c>
      <c r="F7765" s="10" t="n">
        <v>0.4051357452325788</v>
      </c>
      <c r="G7765" s="11">
        <f>E7765*Summary!$B$6</f>
        <v/>
      </c>
      <c r="H7765" s="11">
        <f>F7765*Summary!$B$7</f>
        <v/>
      </c>
      <c r="I7765" s="11">
        <f>MAX(0,N7765-M7765)</f>
        <v/>
      </c>
      <c r="J7765" s="11">
        <f>MAX(0,M7765-N7765)</f>
        <v/>
      </c>
      <c r="K7765" s="11">
        <f>O7765</f>
        <v/>
      </c>
      <c r="L7765" s="11">
        <f>L7764+IF(K7765&gt;0,K7765*Summary!$B$9,K7765/Summary!$B$9)</f>
        <v/>
      </c>
      <c r="M7765" s="11">
        <f>G7765+H7765</f>
        <v/>
      </c>
      <c r="N7765" s="11">
        <f>Summary!$C$16*Summary!$B$8</f>
        <v/>
      </c>
      <c r="O7765" s="11">
        <f>M7765-N7765</f>
        <v/>
      </c>
    </row>
    <row r="7766">
      <c r="A7766" s="9" t="n">
        <v>45615.5</v>
      </c>
      <c r="B7766" t="n">
        <v>11</v>
      </c>
      <c r="C7766" t="n">
        <v>19</v>
      </c>
      <c r="D7766" t="n">
        <v>12</v>
      </c>
      <c r="E7766" s="10" t="n">
        <v>0.011176</v>
      </c>
      <c r="F7766" s="10" t="n">
        <v>0.3924340781841787</v>
      </c>
      <c r="G7766" s="11">
        <f>E7766*Summary!$B$6</f>
        <v/>
      </c>
      <c r="H7766" s="11">
        <f>F7766*Summary!$B$7</f>
        <v/>
      </c>
      <c r="I7766" s="11">
        <f>MAX(0,N7766-M7766)</f>
        <v/>
      </c>
      <c r="J7766" s="11">
        <f>MAX(0,M7766-N7766)</f>
        <v/>
      </c>
      <c r="K7766" s="11">
        <f>O7766</f>
        <v/>
      </c>
      <c r="L7766" s="11">
        <f>L7765+IF(K7766&gt;0,K7766*Summary!$B$9,K7766/Summary!$B$9)</f>
        <v/>
      </c>
      <c r="M7766" s="11">
        <f>G7766+H7766</f>
        <v/>
      </c>
      <c r="N7766" s="11">
        <f>Summary!$C$16*Summary!$B$8</f>
        <v/>
      </c>
      <c r="O7766" s="11">
        <f>M7766-N7766</f>
        <v/>
      </c>
    </row>
    <row r="7767">
      <c r="A7767" s="9" t="n">
        <v>45615.54166666666</v>
      </c>
      <c r="B7767" t="n">
        <v>11</v>
      </c>
      <c r="C7767" t="n">
        <v>19</v>
      </c>
      <c r="D7767" t="n">
        <v>13</v>
      </c>
      <c r="E7767" s="10" t="n">
        <v>0.024554</v>
      </c>
      <c r="F7767" s="10" t="n">
        <v>0.3792844270282625</v>
      </c>
      <c r="G7767" s="11">
        <f>E7767*Summary!$B$6</f>
        <v/>
      </c>
      <c r="H7767" s="11">
        <f>F7767*Summary!$B$7</f>
        <v/>
      </c>
      <c r="I7767" s="11">
        <f>MAX(0,N7767-M7767)</f>
        <v/>
      </c>
      <c r="J7767" s="11">
        <f>MAX(0,M7767-N7767)</f>
        <v/>
      </c>
      <c r="K7767" s="11">
        <f>O7767</f>
        <v/>
      </c>
      <c r="L7767" s="11">
        <f>L7766+IF(K7767&gt;0,K7767*Summary!$B$9,K7767/Summary!$B$9)</f>
        <v/>
      </c>
      <c r="M7767" s="11">
        <f>G7767+H7767</f>
        <v/>
      </c>
      <c r="N7767" s="11">
        <f>Summary!$C$16*Summary!$B$8</f>
        <v/>
      </c>
      <c r="O7767" s="11">
        <f>M7767-N7767</f>
        <v/>
      </c>
    </row>
    <row r="7768">
      <c r="A7768" s="9" t="n">
        <v>45615.58333333334</v>
      </c>
      <c r="B7768" t="n">
        <v>11</v>
      </c>
      <c r="C7768" t="n">
        <v>19</v>
      </c>
      <c r="D7768" t="n">
        <v>14</v>
      </c>
      <c r="E7768" s="10" t="n">
        <v>0.01463</v>
      </c>
      <c r="F7768" s="10" t="n">
        <v>0.3687436244984699</v>
      </c>
      <c r="G7768" s="11">
        <f>E7768*Summary!$B$6</f>
        <v/>
      </c>
      <c r="H7768" s="11">
        <f>F7768*Summary!$B$7</f>
        <v/>
      </c>
      <c r="I7768" s="11">
        <f>MAX(0,N7768-M7768)</f>
        <v/>
      </c>
      <c r="J7768" s="11">
        <f>MAX(0,M7768-N7768)</f>
        <v/>
      </c>
      <c r="K7768" s="11">
        <f>O7768</f>
        <v/>
      </c>
      <c r="L7768" s="11">
        <f>L7767+IF(K7768&gt;0,K7768*Summary!$B$9,K7768/Summary!$B$9)</f>
        <v/>
      </c>
      <c r="M7768" s="11">
        <f>G7768+H7768</f>
        <v/>
      </c>
      <c r="N7768" s="11">
        <f>Summary!$C$16*Summary!$B$8</f>
        <v/>
      </c>
      <c r="O7768" s="11">
        <f>M7768-N7768</f>
        <v/>
      </c>
    </row>
    <row r="7769">
      <c r="A7769" s="9" t="n">
        <v>45615.625</v>
      </c>
      <c r="B7769" t="n">
        <v>11</v>
      </c>
      <c r="C7769" t="n">
        <v>19</v>
      </c>
      <c r="D7769" t="n">
        <v>15</v>
      </c>
      <c r="E7769" s="10" t="n">
        <v>0</v>
      </c>
      <c r="F7769" s="10" t="n">
        <v>0.3696659447198267</v>
      </c>
      <c r="G7769" s="11">
        <f>E7769*Summary!$B$6</f>
        <v/>
      </c>
      <c r="H7769" s="11">
        <f>F7769*Summary!$B$7</f>
        <v/>
      </c>
      <c r="I7769" s="11">
        <f>MAX(0,N7769-M7769)</f>
        <v/>
      </c>
      <c r="J7769" s="11">
        <f>MAX(0,M7769-N7769)</f>
        <v/>
      </c>
      <c r="K7769" s="11">
        <f>O7769</f>
        <v/>
      </c>
      <c r="L7769" s="11">
        <f>L7768+IF(K7769&gt;0,K7769*Summary!$B$9,K7769/Summary!$B$9)</f>
        <v/>
      </c>
      <c r="M7769" s="11">
        <f>G7769+H7769</f>
        <v/>
      </c>
      <c r="N7769" s="11">
        <f>Summary!$C$16*Summary!$B$8</f>
        <v/>
      </c>
      <c r="O7769" s="11">
        <f>M7769-N7769</f>
        <v/>
      </c>
    </row>
    <row r="7770">
      <c r="A7770" s="9" t="n">
        <v>45615.66666666666</v>
      </c>
      <c r="B7770" t="n">
        <v>11</v>
      </c>
      <c r="C7770" t="n">
        <v>19</v>
      </c>
      <c r="D7770" t="n">
        <v>16</v>
      </c>
      <c r="E7770" s="10" t="n">
        <v>0</v>
      </c>
      <c r="F7770" s="10" t="n">
        <v>0.3743566018455844</v>
      </c>
      <c r="G7770" s="11">
        <f>E7770*Summary!$B$6</f>
        <v/>
      </c>
      <c r="H7770" s="11">
        <f>F7770*Summary!$B$7</f>
        <v/>
      </c>
      <c r="I7770" s="11">
        <f>MAX(0,N7770-M7770)</f>
        <v/>
      </c>
      <c r="J7770" s="11">
        <f>MAX(0,M7770-N7770)</f>
        <v/>
      </c>
      <c r="K7770" s="11">
        <f>O7770</f>
        <v/>
      </c>
      <c r="L7770" s="11">
        <f>L7769+IF(K7770&gt;0,K7770*Summary!$B$9,K7770/Summary!$B$9)</f>
        <v/>
      </c>
      <c r="M7770" s="11">
        <f>G7770+H7770</f>
        <v/>
      </c>
      <c r="N7770" s="11">
        <f>Summary!$C$16*Summary!$B$8</f>
        <v/>
      </c>
      <c r="O7770" s="11">
        <f>M7770-N7770</f>
        <v/>
      </c>
    </row>
    <row r="7771">
      <c r="A7771" s="9" t="n">
        <v>45615.70833333334</v>
      </c>
      <c r="B7771" t="n">
        <v>11</v>
      </c>
      <c r="C7771" t="n">
        <v>19</v>
      </c>
      <c r="D7771" t="n">
        <v>17</v>
      </c>
      <c r="E7771" s="10" t="n">
        <v>0</v>
      </c>
      <c r="F7771" s="10" t="n">
        <v>0.3804966193191886</v>
      </c>
      <c r="G7771" s="11">
        <f>E7771*Summary!$B$6</f>
        <v/>
      </c>
      <c r="H7771" s="11">
        <f>F7771*Summary!$B$7</f>
        <v/>
      </c>
      <c r="I7771" s="11">
        <f>MAX(0,N7771-M7771)</f>
        <v/>
      </c>
      <c r="J7771" s="11">
        <f>MAX(0,M7771-N7771)</f>
        <v/>
      </c>
      <c r="K7771" s="11">
        <f>O7771</f>
        <v/>
      </c>
      <c r="L7771" s="11">
        <f>L7770+IF(K7771&gt;0,K7771*Summary!$B$9,K7771/Summary!$B$9)</f>
        <v/>
      </c>
      <c r="M7771" s="11">
        <f>G7771+H7771</f>
        <v/>
      </c>
      <c r="N7771" s="11">
        <f>Summary!$C$16*Summary!$B$8</f>
        <v/>
      </c>
      <c r="O7771" s="11">
        <f>M7771-N7771</f>
        <v/>
      </c>
    </row>
    <row r="7772">
      <c r="A7772" s="9" t="n">
        <v>45615.75</v>
      </c>
      <c r="B7772" t="n">
        <v>11</v>
      </c>
      <c r="C7772" t="n">
        <v>19</v>
      </c>
      <c r="D7772" t="n">
        <v>18</v>
      </c>
      <c r="E7772" s="10" t="n">
        <v>0</v>
      </c>
      <c r="F7772" s="10" t="n">
        <v>0.378441162825879</v>
      </c>
      <c r="G7772" s="11">
        <f>E7772*Summary!$B$6</f>
        <v/>
      </c>
      <c r="H7772" s="11">
        <f>F7772*Summary!$B$7</f>
        <v/>
      </c>
      <c r="I7772" s="11">
        <f>MAX(0,N7772-M7772)</f>
        <v/>
      </c>
      <c r="J7772" s="11">
        <f>MAX(0,M7772-N7772)</f>
        <v/>
      </c>
      <c r="K7772" s="11">
        <f>O7772</f>
        <v/>
      </c>
      <c r="L7772" s="11">
        <f>L7771+IF(K7772&gt;0,K7772*Summary!$B$9,K7772/Summary!$B$9)</f>
        <v/>
      </c>
      <c r="M7772" s="11">
        <f>G7772+H7772</f>
        <v/>
      </c>
      <c r="N7772" s="11">
        <f>Summary!$C$16*Summary!$B$8</f>
        <v/>
      </c>
      <c r="O7772" s="11">
        <f>M7772-N7772</f>
        <v/>
      </c>
    </row>
    <row r="7773">
      <c r="A7773" s="9" t="n">
        <v>45615.79166666666</v>
      </c>
      <c r="B7773" t="n">
        <v>11</v>
      </c>
      <c r="C7773" t="n">
        <v>19</v>
      </c>
      <c r="D7773" t="n">
        <v>19</v>
      </c>
      <c r="E7773" s="10" t="n">
        <v>0</v>
      </c>
      <c r="F7773" s="10" t="n">
        <v>0.3718531612447587</v>
      </c>
      <c r="G7773" s="11">
        <f>E7773*Summary!$B$6</f>
        <v/>
      </c>
      <c r="H7773" s="11">
        <f>F7773*Summary!$B$7</f>
        <v/>
      </c>
      <c r="I7773" s="11">
        <f>MAX(0,N7773-M7773)</f>
        <v/>
      </c>
      <c r="J7773" s="11">
        <f>MAX(0,M7773-N7773)</f>
        <v/>
      </c>
      <c r="K7773" s="11">
        <f>O7773</f>
        <v/>
      </c>
      <c r="L7773" s="11">
        <f>L7772+IF(K7773&gt;0,K7773*Summary!$B$9,K7773/Summary!$B$9)</f>
        <v/>
      </c>
      <c r="M7773" s="11">
        <f>G7773+H7773</f>
        <v/>
      </c>
      <c r="N7773" s="11">
        <f>Summary!$C$16*Summary!$B$8</f>
        <v/>
      </c>
      <c r="O7773" s="11">
        <f>M7773-N7773</f>
        <v/>
      </c>
    </row>
    <row r="7774">
      <c r="A7774" s="9" t="n">
        <v>45615.83333333334</v>
      </c>
      <c r="B7774" t="n">
        <v>11</v>
      </c>
      <c r="C7774" t="n">
        <v>19</v>
      </c>
      <c r="D7774" t="n">
        <v>20</v>
      </c>
      <c r="E7774" s="10" t="n">
        <v>0</v>
      </c>
      <c r="F7774" s="10" t="n">
        <v>0.3636840392841694</v>
      </c>
      <c r="G7774" s="11">
        <f>E7774*Summary!$B$6</f>
        <v/>
      </c>
      <c r="H7774" s="11">
        <f>F7774*Summary!$B$7</f>
        <v/>
      </c>
      <c r="I7774" s="11">
        <f>MAX(0,N7774-M7774)</f>
        <v/>
      </c>
      <c r="J7774" s="11">
        <f>MAX(0,M7774-N7774)</f>
        <v/>
      </c>
      <c r="K7774" s="11">
        <f>O7774</f>
        <v/>
      </c>
      <c r="L7774" s="11">
        <f>L7773+IF(K7774&gt;0,K7774*Summary!$B$9,K7774/Summary!$B$9)</f>
        <v/>
      </c>
      <c r="M7774" s="11">
        <f>G7774+H7774</f>
        <v/>
      </c>
      <c r="N7774" s="11">
        <f>Summary!$C$16*Summary!$B$8</f>
        <v/>
      </c>
      <c r="O7774" s="11">
        <f>M7774-N7774</f>
        <v/>
      </c>
    </row>
    <row r="7775">
      <c r="A7775" s="9" t="n">
        <v>45615.875</v>
      </c>
      <c r="B7775" t="n">
        <v>11</v>
      </c>
      <c r="C7775" t="n">
        <v>19</v>
      </c>
      <c r="D7775" t="n">
        <v>21</v>
      </c>
      <c r="E7775" s="10" t="n">
        <v>0</v>
      </c>
      <c r="F7775" s="10" t="n">
        <v>0.356489941557586</v>
      </c>
      <c r="G7775" s="11">
        <f>E7775*Summary!$B$6</f>
        <v/>
      </c>
      <c r="H7775" s="11">
        <f>F7775*Summary!$B$7</f>
        <v/>
      </c>
      <c r="I7775" s="11">
        <f>MAX(0,N7775-M7775)</f>
        <v/>
      </c>
      <c r="J7775" s="11">
        <f>MAX(0,M7775-N7775)</f>
        <v/>
      </c>
      <c r="K7775" s="11">
        <f>O7775</f>
        <v/>
      </c>
      <c r="L7775" s="11">
        <f>L7774+IF(K7775&gt;0,K7775*Summary!$B$9,K7775/Summary!$B$9)</f>
        <v/>
      </c>
      <c r="M7775" s="11">
        <f>G7775+H7775</f>
        <v/>
      </c>
      <c r="N7775" s="11">
        <f>Summary!$C$16*Summary!$B$8</f>
        <v/>
      </c>
      <c r="O7775" s="11">
        <f>M7775-N7775</f>
        <v/>
      </c>
    </row>
    <row r="7776">
      <c r="A7776" s="9" t="n">
        <v>45615.91666666666</v>
      </c>
      <c r="B7776" t="n">
        <v>11</v>
      </c>
      <c r="C7776" t="n">
        <v>19</v>
      </c>
      <c r="D7776" t="n">
        <v>22</v>
      </c>
      <c r="E7776" s="10" t="n">
        <v>0</v>
      </c>
      <c r="F7776" s="10" t="n">
        <v>0.3497701799448432</v>
      </c>
      <c r="G7776" s="11">
        <f>E7776*Summary!$B$6</f>
        <v/>
      </c>
      <c r="H7776" s="11">
        <f>F7776*Summary!$B$7</f>
        <v/>
      </c>
      <c r="I7776" s="11">
        <f>MAX(0,N7776-M7776)</f>
        <v/>
      </c>
      <c r="J7776" s="11">
        <f>MAX(0,M7776-N7776)</f>
        <v/>
      </c>
      <c r="K7776" s="11">
        <f>O7776</f>
        <v/>
      </c>
      <c r="L7776" s="11">
        <f>L7775+IF(K7776&gt;0,K7776*Summary!$B$9,K7776/Summary!$B$9)</f>
        <v/>
      </c>
      <c r="M7776" s="11">
        <f>G7776+H7776</f>
        <v/>
      </c>
      <c r="N7776" s="11">
        <f>Summary!$C$16*Summary!$B$8</f>
        <v/>
      </c>
      <c r="O7776" s="11">
        <f>M7776-N7776</f>
        <v/>
      </c>
    </row>
    <row r="7777">
      <c r="A7777" s="9" t="n">
        <v>45615.95833333334</v>
      </c>
      <c r="B7777" t="n">
        <v>11</v>
      </c>
      <c r="C7777" t="n">
        <v>19</v>
      </c>
      <c r="D7777" t="n">
        <v>23</v>
      </c>
      <c r="E7777" s="10" t="n">
        <v>0</v>
      </c>
      <c r="F7777" s="10" t="n">
        <v>0.3474248513819643</v>
      </c>
      <c r="G7777" s="11">
        <f>E7777*Summary!$B$6</f>
        <v/>
      </c>
      <c r="H7777" s="11">
        <f>F7777*Summary!$B$7</f>
        <v/>
      </c>
      <c r="I7777" s="11">
        <f>MAX(0,N7777-M7777)</f>
        <v/>
      </c>
      <c r="J7777" s="11">
        <f>MAX(0,M7777-N7777)</f>
        <v/>
      </c>
      <c r="K7777" s="11">
        <f>O7777</f>
        <v/>
      </c>
      <c r="L7777" s="11">
        <f>L7776+IF(K7777&gt;0,K7777*Summary!$B$9,K7777/Summary!$B$9)</f>
        <v/>
      </c>
      <c r="M7777" s="11">
        <f>G7777+H7777</f>
        <v/>
      </c>
      <c r="N7777" s="11">
        <f>Summary!$C$16*Summary!$B$8</f>
        <v/>
      </c>
      <c r="O7777" s="11">
        <f>M7777-N7777</f>
        <v/>
      </c>
    </row>
    <row r="7778">
      <c r="A7778" s="9" t="n">
        <v>45616</v>
      </c>
      <c r="B7778" t="n">
        <v>11</v>
      </c>
      <c r="C7778" t="n">
        <v>20</v>
      </c>
      <c r="D7778" t="n">
        <v>0</v>
      </c>
      <c r="E7778" s="10" t="n">
        <v>0</v>
      </c>
      <c r="F7778" s="10" t="n">
        <v>0.3959652470316593</v>
      </c>
      <c r="G7778" s="11">
        <f>E7778*Summary!$B$6</f>
        <v/>
      </c>
      <c r="H7778" s="11">
        <f>F7778*Summary!$B$7</f>
        <v/>
      </c>
      <c r="I7778" s="11">
        <f>MAX(0,N7778-M7778)</f>
        <v/>
      </c>
      <c r="J7778" s="11">
        <f>MAX(0,M7778-N7778)</f>
        <v/>
      </c>
      <c r="K7778" s="11">
        <f>O7778</f>
        <v/>
      </c>
      <c r="L7778" s="11">
        <f>L7777+IF(K7778&gt;0,K7778*Summary!$B$9,K7778/Summary!$B$9)</f>
        <v/>
      </c>
      <c r="M7778" s="11">
        <f>G7778+H7778</f>
        <v/>
      </c>
      <c r="N7778" s="11">
        <f>Summary!$C$16*Summary!$B$8</f>
        <v/>
      </c>
      <c r="O7778" s="11">
        <f>M7778-N7778</f>
        <v/>
      </c>
    </row>
    <row r="7779">
      <c r="A7779" s="9" t="n">
        <v>45616.04166666666</v>
      </c>
      <c r="B7779" t="n">
        <v>11</v>
      </c>
      <c r="C7779" t="n">
        <v>20</v>
      </c>
      <c r="D7779" t="n">
        <v>1</v>
      </c>
      <c r="E7779" s="10" t="n">
        <v>0</v>
      </c>
      <c r="F7779" s="10" t="n">
        <v>0.3446842427242183</v>
      </c>
      <c r="G7779" s="11">
        <f>E7779*Summary!$B$6</f>
        <v/>
      </c>
      <c r="H7779" s="11">
        <f>F7779*Summary!$B$7</f>
        <v/>
      </c>
      <c r="I7779" s="11">
        <f>MAX(0,N7779-M7779)</f>
        <v/>
      </c>
      <c r="J7779" s="11">
        <f>MAX(0,M7779-N7779)</f>
        <v/>
      </c>
      <c r="K7779" s="11">
        <f>O7779</f>
        <v/>
      </c>
      <c r="L7779" s="11">
        <f>L7778+IF(K7779&gt;0,K7779*Summary!$B$9,K7779/Summary!$B$9)</f>
        <v/>
      </c>
      <c r="M7779" s="11">
        <f>G7779+H7779</f>
        <v/>
      </c>
      <c r="N7779" s="11">
        <f>Summary!$C$16*Summary!$B$8</f>
        <v/>
      </c>
      <c r="O7779" s="11">
        <f>M7779-N7779</f>
        <v/>
      </c>
    </row>
    <row r="7780">
      <c r="A7780" s="9" t="n">
        <v>45616.08333333334</v>
      </c>
      <c r="B7780" t="n">
        <v>11</v>
      </c>
      <c r="C7780" t="n">
        <v>20</v>
      </c>
      <c r="D7780" t="n">
        <v>2</v>
      </c>
      <c r="E7780" s="10" t="n">
        <v>0</v>
      </c>
      <c r="F7780" s="10" t="n">
        <v>0.3452376348570324</v>
      </c>
      <c r="G7780" s="11">
        <f>E7780*Summary!$B$6</f>
        <v/>
      </c>
      <c r="H7780" s="11">
        <f>F7780*Summary!$B$7</f>
        <v/>
      </c>
      <c r="I7780" s="11">
        <f>MAX(0,N7780-M7780)</f>
        <v/>
      </c>
      <c r="J7780" s="11">
        <f>MAX(0,M7780-N7780)</f>
        <v/>
      </c>
      <c r="K7780" s="11">
        <f>O7780</f>
        <v/>
      </c>
      <c r="L7780" s="11">
        <f>L7779+IF(K7780&gt;0,K7780*Summary!$B$9,K7780/Summary!$B$9)</f>
        <v/>
      </c>
      <c r="M7780" s="11">
        <f>G7780+H7780</f>
        <v/>
      </c>
      <c r="N7780" s="11">
        <f>Summary!$C$16*Summary!$B$8</f>
        <v/>
      </c>
      <c r="O7780" s="11">
        <f>M7780-N7780</f>
        <v/>
      </c>
    </row>
    <row r="7781">
      <c r="A7781" s="9" t="n">
        <v>45616.125</v>
      </c>
      <c r="B7781" t="n">
        <v>11</v>
      </c>
      <c r="C7781" t="n">
        <v>20</v>
      </c>
      <c r="D7781" t="n">
        <v>3</v>
      </c>
      <c r="E7781" s="10" t="n">
        <v>0</v>
      </c>
      <c r="F7781" s="10" t="n">
        <v>0.3408895538134929</v>
      </c>
      <c r="G7781" s="11">
        <f>E7781*Summary!$B$6</f>
        <v/>
      </c>
      <c r="H7781" s="11">
        <f>F7781*Summary!$B$7</f>
        <v/>
      </c>
      <c r="I7781" s="11">
        <f>MAX(0,N7781-M7781)</f>
        <v/>
      </c>
      <c r="J7781" s="11">
        <f>MAX(0,M7781-N7781)</f>
        <v/>
      </c>
      <c r="K7781" s="11">
        <f>O7781</f>
        <v/>
      </c>
      <c r="L7781" s="11">
        <f>L7780+IF(K7781&gt;0,K7781*Summary!$B$9,K7781/Summary!$B$9)</f>
        <v/>
      </c>
      <c r="M7781" s="11">
        <f>G7781+H7781</f>
        <v/>
      </c>
      <c r="N7781" s="11">
        <f>Summary!$C$16*Summary!$B$8</f>
        <v/>
      </c>
      <c r="O7781" s="11">
        <f>M7781-N7781</f>
        <v/>
      </c>
    </row>
    <row r="7782">
      <c r="A7782" s="9" t="n">
        <v>45616.16666666666</v>
      </c>
      <c r="B7782" t="n">
        <v>11</v>
      </c>
      <c r="C7782" t="n">
        <v>20</v>
      </c>
      <c r="D7782" t="n">
        <v>4</v>
      </c>
      <c r="E7782" s="10" t="n">
        <v>0</v>
      </c>
      <c r="F7782" s="10" t="n">
        <v>0.3411267218704133</v>
      </c>
      <c r="G7782" s="11">
        <f>E7782*Summary!$B$6</f>
        <v/>
      </c>
      <c r="H7782" s="11">
        <f>F7782*Summary!$B$7</f>
        <v/>
      </c>
      <c r="I7782" s="11">
        <f>MAX(0,N7782-M7782)</f>
        <v/>
      </c>
      <c r="J7782" s="11">
        <f>MAX(0,M7782-N7782)</f>
        <v/>
      </c>
      <c r="K7782" s="11">
        <f>O7782</f>
        <v/>
      </c>
      <c r="L7782" s="11">
        <f>L7781+IF(K7782&gt;0,K7782*Summary!$B$9,K7782/Summary!$B$9)</f>
        <v/>
      </c>
      <c r="M7782" s="11">
        <f>G7782+H7782</f>
        <v/>
      </c>
      <c r="N7782" s="11">
        <f>Summary!$C$16*Summary!$B$8</f>
        <v/>
      </c>
      <c r="O7782" s="11">
        <f>M7782-N7782</f>
        <v/>
      </c>
    </row>
    <row r="7783">
      <c r="A7783" s="9" t="n">
        <v>45616.20833333334</v>
      </c>
      <c r="B7783" t="n">
        <v>11</v>
      </c>
      <c r="C7783" t="n">
        <v>20</v>
      </c>
      <c r="D7783" t="n">
        <v>5</v>
      </c>
      <c r="E7783" s="10" t="n">
        <v>0</v>
      </c>
      <c r="F7783" s="10" t="n">
        <v>0.3390976173834281</v>
      </c>
      <c r="G7783" s="11">
        <f>E7783*Summary!$B$6</f>
        <v/>
      </c>
      <c r="H7783" s="11">
        <f>F7783*Summary!$B$7</f>
        <v/>
      </c>
      <c r="I7783" s="11">
        <f>MAX(0,N7783-M7783)</f>
        <v/>
      </c>
      <c r="J7783" s="11">
        <f>MAX(0,M7783-N7783)</f>
        <v/>
      </c>
      <c r="K7783" s="11">
        <f>O7783</f>
        <v/>
      </c>
      <c r="L7783" s="11">
        <f>L7782+IF(K7783&gt;0,K7783*Summary!$B$9,K7783/Summary!$B$9)</f>
        <v/>
      </c>
      <c r="M7783" s="11">
        <f>G7783+H7783</f>
        <v/>
      </c>
      <c r="N7783" s="11">
        <f>Summary!$C$16*Summary!$B$8</f>
        <v/>
      </c>
      <c r="O7783" s="11">
        <f>M7783-N7783</f>
        <v/>
      </c>
    </row>
    <row r="7784">
      <c r="A7784" s="9" t="n">
        <v>45616.25</v>
      </c>
      <c r="B7784" t="n">
        <v>11</v>
      </c>
      <c r="C7784" t="n">
        <v>20</v>
      </c>
      <c r="D7784" t="n">
        <v>6</v>
      </c>
      <c r="E7784" s="10" t="n">
        <v>0</v>
      </c>
      <c r="F7784" s="10" t="n">
        <v>0.3387286892948855</v>
      </c>
      <c r="G7784" s="11">
        <f>E7784*Summary!$B$6</f>
        <v/>
      </c>
      <c r="H7784" s="11">
        <f>F7784*Summary!$B$7</f>
        <v/>
      </c>
      <c r="I7784" s="11">
        <f>MAX(0,N7784-M7784)</f>
        <v/>
      </c>
      <c r="J7784" s="11">
        <f>MAX(0,M7784-N7784)</f>
        <v/>
      </c>
      <c r="K7784" s="11">
        <f>O7784</f>
        <v/>
      </c>
      <c r="L7784" s="11">
        <f>L7783+IF(K7784&gt;0,K7784*Summary!$B$9,K7784/Summary!$B$9)</f>
        <v/>
      </c>
      <c r="M7784" s="11">
        <f>G7784+H7784</f>
        <v/>
      </c>
      <c r="N7784" s="11">
        <f>Summary!$C$16*Summary!$B$8</f>
        <v/>
      </c>
      <c r="O7784" s="11">
        <f>M7784-N7784</f>
        <v/>
      </c>
    </row>
    <row r="7785">
      <c r="A7785" s="9" t="n">
        <v>45616.29166666666</v>
      </c>
      <c r="B7785" t="n">
        <v>11</v>
      </c>
      <c r="C7785" t="n">
        <v>20</v>
      </c>
      <c r="D7785" t="n">
        <v>7</v>
      </c>
      <c r="E7785" s="10" t="n">
        <v>0</v>
      </c>
      <c r="F7785" s="10" t="n">
        <v>0.3323778557706853</v>
      </c>
      <c r="G7785" s="11">
        <f>E7785*Summary!$B$6</f>
        <v/>
      </c>
      <c r="H7785" s="11">
        <f>F7785*Summary!$B$7</f>
        <v/>
      </c>
      <c r="I7785" s="11">
        <f>MAX(0,N7785-M7785)</f>
        <v/>
      </c>
      <c r="J7785" s="11">
        <f>MAX(0,M7785-N7785)</f>
        <v/>
      </c>
      <c r="K7785" s="11">
        <f>O7785</f>
        <v/>
      </c>
      <c r="L7785" s="11">
        <f>L7784+IF(K7785&gt;0,K7785*Summary!$B$9,K7785/Summary!$B$9)</f>
        <v/>
      </c>
      <c r="M7785" s="11">
        <f>G7785+H7785</f>
        <v/>
      </c>
      <c r="N7785" s="11">
        <f>Summary!$C$16*Summary!$B$8</f>
        <v/>
      </c>
      <c r="O7785" s="11">
        <f>M7785-N7785</f>
        <v/>
      </c>
    </row>
    <row r="7786">
      <c r="A7786" s="9" t="n">
        <v>45616.33333333334</v>
      </c>
      <c r="B7786" t="n">
        <v>11</v>
      </c>
      <c r="C7786" t="n">
        <v>20</v>
      </c>
      <c r="D7786" t="n">
        <v>8</v>
      </c>
      <c r="E7786" s="10" t="n">
        <v>0</v>
      </c>
      <c r="F7786" s="10" t="n">
        <v>0.3253945740946978</v>
      </c>
      <c r="G7786" s="11">
        <f>E7786*Summary!$B$6</f>
        <v/>
      </c>
      <c r="H7786" s="11">
        <f>F7786*Summary!$B$7</f>
        <v/>
      </c>
      <c r="I7786" s="11">
        <f>MAX(0,N7786-M7786)</f>
        <v/>
      </c>
      <c r="J7786" s="11">
        <f>MAX(0,M7786-N7786)</f>
        <v/>
      </c>
      <c r="K7786" s="11">
        <f>O7786</f>
        <v/>
      </c>
      <c r="L7786" s="11">
        <f>L7785+IF(K7786&gt;0,K7786*Summary!$B$9,K7786/Summary!$B$9)</f>
        <v/>
      </c>
      <c r="M7786" s="11">
        <f>G7786+H7786</f>
        <v/>
      </c>
      <c r="N7786" s="11">
        <f>Summary!$C$16*Summary!$B$8</f>
        <v/>
      </c>
      <c r="O7786" s="11">
        <f>M7786-N7786</f>
        <v/>
      </c>
    </row>
    <row r="7787">
      <c r="A7787" s="9" t="n">
        <v>45616.375</v>
      </c>
      <c r="B7787" t="n">
        <v>11</v>
      </c>
      <c r="C7787" t="n">
        <v>20</v>
      </c>
      <c r="D7787" t="n">
        <v>9</v>
      </c>
      <c r="E7787" s="10" t="n">
        <v>0.029654</v>
      </c>
      <c r="F7787" s="10" t="n">
        <v>0.3159078518178844</v>
      </c>
      <c r="G7787" s="11">
        <f>E7787*Summary!$B$6</f>
        <v/>
      </c>
      <c r="H7787" s="11">
        <f>F7787*Summary!$B$7</f>
        <v/>
      </c>
      <c r="I7787" s="11">
        <f>MAX(0,N7787-M7787)</f>
        <v/>
      </c>
      <c r="J7787" s="11">
        <f>MAX(0,M7787-N7787)</f>
        <v/>
      </c>
      <c r="K7787" s="11">
        <f>O7787</f>
        <v/>
      </c>
      <c r="L7787" s="11">
        <f>L7786+IF(K7787&gt;0,K7787*Summary!$B$9,K7787/Summary!$B$9)</f>
        <v/>
      </c>
      <c r="M7787" s="11">
        <f>G7787+H7787</f>
        <v/>
      </c>
      <c r="N7787" s="11">
        <f>Summary!$C$16*Summary!$B$8</f>
        <v/>
      </c>
      <c r="O7787" s="11">
        <f>M7787-N7787</f>
        <v/>
      </c>
    </row>
    <row r="7788">
      <c r="A7788" s="9" t="n">
        <v>45616.41666666666</v>
      </c>
      <c r="B7788" t="n">
        <v>11</v>
      </c>
      <c r="C7788" t="n">
        <v>20</v>
      </c>
      <c r="D7788" t="n">
        <v>10</v>
      </c>
      <c r="E7788" s="10" t="n">
        <v>0.119141</v>
      </c>
      <c r="F7788" s="10" t="n">
        <v>0.3028109046746171</v>
      </c>
      <c r="G7788" s="11">
        <f>E7788*Summary!$B$6</f>
        <v/>
      </c>
      <c r="H7788" s="11">
        <f>F7788*Summary!$B$7</f>
        <v/>
      </c>
      <c r="I7788" s="11">
        <f>MAX(0,N7788-M7788)</f>
        <v/>
      </c>
      <c r="J7788" s="11">
        <f>MAX(0,M7788-N7788)</f>
        <v/>
      </c>
      <c r="K7788" s="11">
        <f>O7788</f>
        <v/>
      </c>
      <c r="L7788" s="11">
        <f>L7787+IF(K7788&gt;0,K7788*Summary!$B$9,K7788/Summary!$B$9)</f>
        <v/>
      </c>
      <c r="M7788" s="11">
        <f>G7788+H7788</f>
        <v/>
      </c>
      <c r="N7788" s="11">
        <f>Summary!$C$16*Summary!$B$8</f>
        <v/>
      </c>
      <c r="O7788" s="11">
        <f>M7788-N7788</f>
        <v/>
      </c>
    </row>
    <row r="7789">
      <c r="A7789" s="9" t="n">
        <v>45616.45833333334</v>
      </c>
      <c r="B7789" t="n">
        <v>11</v>
      </c>
      <c r="C7789" t="n">
        <v>20</v>
      </c>
      <c r="D7789" t="n">
        <v>11</v>
      </c>
      <c r="E7789" s="10" t="n">
        <v>0.188665</v>
      </c>
      <c r="F7789" s="10" t="n">
        <v>0.3025473846113723</v>
      </c>
      <c r="G7789" s="11">
        <f>E7789*Summary!$B$6</f>
        <v/>
      </c>
      <c r="H7789" s="11">
        <f>F7789*Summary!$B$7</f>
        <v/>
      </c>
      <c r="I7789" s="11">
        <f>MAX(0,N7789-M7789)</f>
        <v/>
      </c>
      <c r="J7789" s="11">
        <f>MAX(0,M7789-N7789)</f>
        <v/>
      </c>
      <c r="K7789" s="11">
        <f>O7789</f>
        <v/>
      </c>
      <c r="L7789" s="11">
        <f>L7788+IF(K7789&gt;0,K7789*Summary!$B$9,K7789/Summary!$B$9)</f>
        <v/>
      </c>
      <c r="M7789" s="11">
        <f>G7789+H7789</f>
        <v/>
      </c>
      <c r="N7789" s="11">
        <f>Summary!$C$16*Summary!$B$8</f>
        <v/>
      </c>
      <c r="O7789" s="11">
        <f>M7789-N7789</f>
        <v/>
      </c>
    </row>
    <row r="7790">
      <c r="A7790" s="9" t="n">
        <v>45616.5</v>
      </c>
      <c r="B7790" t="n">
        <v>11</v>
      </c>
      <c r="C7790" t="n">
        <v>20</v>
      </c>
      <c r="D7790" t="n">
        <v>12</v>
      </c>
      <c r="E7790" s="10" t="n">
        <v>0.064096</v>
      </c>
      <c r="F7790" s="10" t="n">
        <v>0.2819928196782767</v>
      </c>
      <c r="G7790" s="11">
        <f>E7790*Summary!$B$6</f>
        <v/>
      </c>
      <c r="H7790" s="11">
        <f>F7790*Summary!$B$7</f>
        <v/>
      </c>
      <c r="I7790" s="11">
        <f>MAX(0,N7790-M7790)</f>
        <v/>
      </c>
      <c r="J7790" s="11">
        <f>MAX(0,M7790-N7790)</f>
        <v/>
      </c>
      <c r="K7790" s="11">
        <f>O7790</f>
        <v/>
      </c>
      <c r="L7790" s="11">
        <f>L7789+IF(K7790&gt;0,K7790*Summary!$B$9,K7790/Summary!$B$9)</f>
        <v/>
      </c>
      <c r="M7790" s="11">
        <f>G7790+H7790</f>
        <v/>
      </c>
      <c r="N7790" s="11">
        <f>Summary!$C$16*Summary!$B$8</f>
        <v/>
      </c>
      <c r="O7790" s="11">
        <f>M7790-N7790</f>
        <v/>
      </c>
    </row>
    <row r="7791">
      <c r="A7791" s="9" t="n">
        <v>45616.54166666666</v>
      </c>
      <c r="B7791" t="n">
        <v>11</v>
      </c>
      <c r="C7791" t="n">
        <v>20</v>
      </c>
      <c r="D7791" t="n">
        <v>13</v>
      </c>
      <c r="E7791" s="10" t="n">
        <v>0.043467</v>
      </c>
      <c r="F7791" s="10" t="n">
        <v>0.2781717787612269</v>
      </c>
      <c r="G7791" s="11">
        <f>E7791*Summary!$B$6</f>
        <v/>
      </c>
      <c r="H7791" s="11">
        <f>F7791*Summary!$B$7</f>
        <v/>
      </c>
      <c r="I7791" s="11">
        <f>MAX(0,N7791-M7791)</f>
        <v/>
      </c>
      <c r="J7791" s="11">
        <f>MAX(0,M7791-N7791)</f>
        <v/>
      </c>
      <c r="K7791" s="11">
        <f>O7791</f>
        <v/>
      </c>
      <c r="L7791" s="11">
        <f>L7790+IF(K7791&gt;0,K7791*Summary!$B$9,K7791/Summary!$B$9)</f>
        <v/>
      </c>
      <c r="M7791" s="11">
        <f>G7791+H7791</f>
        <v/>
      </c>
      <c r="N7791" s="11">
        <f>Summary!$C$16*Summary!$B$8</f>
        <v/>
      </c>
      <c r="O7791" s="11">
        <f>M7791-N7791</f>
        <v/>
      </c>
    </row>
    <row r="7792">
      <c r="A7792" s="9" t="n">
        <v>45616.58333333334</v>
      </c>
      <c r="B7792" t="n">
        <v>11</v>
      </c>
      <c r="C7792" t="n">
        <v>20</v>
      </c>
      <c r="D7792" t="n">
        <v>14</v>
      </c>
      <c r="E7792" s="10" t="n">
        <v>0.030571</v>
      </c>
      <c r="F7792" s="10" t="n">
        <v>0.3074488577877259</v>
      </c>
      <c r="G7792" s="11">
        <f>E7792*Summary!$B$6</f>
        <v/>
      </c>
      <c r="H7792" s="11">
        <f>F7792*Summary!$B$7</f>
        <v/>
      </c>
      <c r="I7792" s="11">
        <f>MAX(0,N7792-M7792)</f>
        <v/>
      </c>
      <c r="J7792" s="11">
        <f>MAX(0,M7792-N7792)</f>
        <v/>
      </c>
      <c r="K7792" s="11">
        <f>O7792</f>
        <v/>
      </c>
      <c r="L7792" s="11">
        <f>L7791+IF(K7792&gt;0,K7792*Summary!$B$9,K7792/Summary!$B$9)</f>
        <v/>
      </c>
      <c r="M7792" s="11">
        <f>G7792+H7792</f>
        <v/>
      </c>
      <c r="N7792" s="11">
        <f>Summary!$C$16*Summary!$B$8</f>
        <v/>
      </c>
      <c r="O7792" s="11">
        <f>M7792-N7792</f>
        <v/>
      </c>
    </row>
    <row r="7793">
      <c r="A7793" s="9" t="n">
        <v>45616.625</v>
      </c>
      <c r="B7793" t="n">
        <v>11</v>
      </c>
      <c r="C7793" t="n">
        <v>20</v>
      </c>
      <c r="D7793" t="n">
        <v>15</v>
      </c>
      <c r="E7793" s="10" t="n">
        <v>0.008468</v>
      </c>
      <c r="F7793" s="10" t="n">
        <v>0.3059731454335549</v>
      </c>
      <c r="G7793" s="11">
        <f>E7793*Summary!$B$6</f>
        <v/>
      </c>
      <c r="H7793" s="11">
        <f>F7793*Summary!$B$7</f>
        <v/>
      </c>
      <c r="I7793" s="11">
        <f>MAX(0,N7793-M7793)</f>
        <v/>
      </c>
      <c r="J7793" s="11">
        <f>MAX(0,M7793-N7793)</f>
        <v/>
      </c>
      <c r="K7793" s="11">
        <f>O7793</f>
        <v/>
      </c>
      <c r="L7793" s="11">
        <f>L7792+IF(K7793&gt;0,K7793*Summary!$B$9,K7793/Summary!$B$9)</f>
        <v/>
      </c>
      <c r="M7793" s="11">
        <f>G7793+H7793</f>
        <v/>
      </c>
      <c r="N7793" s="11">
        <f>Summary!$C$16*Summary!$B$8</f>
        <v/>
      </c>
      <c r="O7793" s="11">
        <f>M7793-N7793</f>
        <v/>
      </c>
    </row>
    <row r="7794">
      <c r="A7794" s="9" t="n">
        <v>45616.66666666666</v>
      </c>
      <c r="B7794" t="n">
        <v>11</v>
      </c>
      <c r="C7794" t="n">
        <v>20</v>
      </c>
      <c r="D7794" t="n">
        <v>16</v>
      </c>
      <c r="E7794" s="10" t="n">
        <v>0</v>
      </c>
      <c r="F7794" s="10" t="n">
        <v>0.3294527830686679</v>
      </c>
      <c r="G7794" s="11">
        <f>E7794*Summary!$B$6</f>
        <v/>
      </c>
      <c r="H7794" s="11">
        <f>F7794*Summary!$B$7</f>
        <v/>
      </c>
      <c r="I7794" s="11">
        <f>MAX(0,N7794-M7794)</f>
        <v/>
      </c>
      <c r="J7794" s="11">
        <f>MAX(0,M7794-N7794)</f>
        <v/>
      </c>
      <c r="K7794" s="11">
        <f>O7794</f>
        <v/>
      </c>
      <c r="L7794" s="11">
        <f>L7793+IF(K7794&gt;0,K7794*Summary!$B$9,K7794/Summary!$B$9)</f>
        <v/>
      </c>
      <c r="M7794" s="11">
        <f>G7794+H7794</f>
        <v/>
      </c>
      <c r="N7794" s="11">
        <f>Summary!$C$16*Summary!$B$8</f>
        <v/>
      </c>
      <c r="O7794" s="11">
        <f>M7794-N7794</f>
        <v/>
      </c>
    </row>
    <row r="7795">
      <c r="A7795" s="9" t="n">
        <v>45616.70833333334</v>
      </c>
      <c r="B7795" t="n">
        <v>11</v>
      </c>
      <c r="C7795" t="n">
        <v>20</v>
      </c>
      <c r="D7795" t="n">
        <v>17</v>
      </c>
      <c r="E7795" s="10" t="n">
        <v>0</v>
      </c>
      <c r="F7795" s="10" t="n">
        <v>0.3459491390277934</v>
      </c>
      <c r="G7795" s="11">
        <f>E7795*Summary!$B$6</f>
        <v/>
      </c>
      <c r="H7795" s="11">
        <f>F7795*Summary!$B$7</f>
        <v/>
      </c>
      <c r="I7795" s="11">
        <f>MAX(0,N7795-M7795)</f>
        <v/>
      </c>
      <c r="J7795" s="11">
        <f>MAX(0,M7795-N7795)</f>
        <v/>
      </c>
      <c r="K7795" s="11">
        <f>O7795</f>
        <v/>
      </c>
      <c r="L7795" s="11">
        <f>L7794+IF(K7795&gt;0,K7795*Summary!$B$9,K7795/Summary!$B$9)</f>
        <v/>
      </c>
      <c r="M7795" s="11">
        <f>G7795+H7795</f>
        <v/>
      </c>
      <c r="N7795" s="11">
        <f>Summary!$C$16*Summary!$B$8</f>
        <v/>
      </c>
      <c r="O7795" s="11">
        <f>M7795-N7795</f>
        <v/>
      </c>
    </row>
    <row r="7796">
      <c r="A7796" s="9" t="n">
        <v>45616.75</v>
      </c>
      <c r="B7796" t="n">
        <v>11</v>
      </c>
      <c r="C7796" t="n">
        <v>20</v>
      </c>
      <c r="D7796" t="n">
        <v>18</v>
      </c>
      <c r="E7796" s="10" t="n">
        <v>0</v>
      </c>
      <c r="F7796" s="10" t="n">
        <v>0.3562264214943411</v>
      </c>
      <c r="G7796" s="11">
        <f>E7796*Summary!$B$6</f>
        <v/>
      </c>
      <c r="H7796" s="11">
        <f>F7796*Summary!$B$7</f>
        <v/>
      </c>
      <c r="I7796" s="11">
        <f>MAX(0,N7796-M7796)</f>
        <v/>
      </c>
      <c r="J7796" s="11">
        <f>MAX(0,M7796-N7796)</f>
        <v/>
      </c>
      <c r="K7796" s="11">
        <f>O7796</f>
        <v/>
      </c>
      <c r="L7796" s="11">
        <f>L7795+IF(K7796&gt;0,K7796*Summary!$B$9,K7796/Summary!$B$9)</f>
        <v/>
      </c>
      <c r="M7796" s="11">
        <f>G7796+H7796</f>
        <v/>
      </c>
      <c r="N7796" s="11">
        <f>Summary!$C$16*Summary!$B$8</f>
        <v/>
      </c>
      <c r="O7796" s="11">
        <f>M7796-N7796</f>
        <v/>
      </c>
    </row>
    <row r="7797">
      <c r="A7797" s="9" t="n">
        <v>45616.79166666666</v>
      </c>
      <c r="B7797" t="n">
        <v>11</v>
      </c>
      <c r="C7797" t="n">
        <v>20</v>
      </c>
      <c r="D7797" t="n">
        <v>19</v>
      </c>
      <c r="E7797" s="10" t="n">
        <v>0</v>
      </c>
      <c r="F7797" s="10" t="n">
        <v>0.3630515911323819</v>
      </c>
      <c r="G7797" s="11">
        <f>E7797*Summary!$B$6</f>
        <v/>
      </c>
      <c r="H7797" s="11">
        <f>F7797*Summary!$B$7</f>
        <v/>
      </c>
      <c r="I7797" s="11">
        <f>MAX(0,N7797-M7797)</f>
        <v/>
      </c>
      <c r="J7797" s="11">
        <f>MAX(0,M7797-N7797)</f>
        <v/>
      </c>
      <c r="K7797" s="11">
        <f>O7797</f>
        <v/>
      </c>
      <c r="L7797" s="11">
        <f>L7796+IF(K7797&gt;0,K7797*Summary!$B$9,K7797/Summary!$B$9)</f>
        <v/>
      </c>
      <c r="M7797" s="11">
        <f>G7797+H7797</f>
        <v/>
      </c>
      <c r="N7797" s="11">
        <f>Summary!$C$16*Summary!$B$8</f>
        <v/>
      </c>
      <c r="O7797" s="11">
        <f>M7797-N7797</f>
        <v/>
      </c>
    </row>
    <row r="7798">
      <c r="A7798" s="9" t="n">
        <v>45616.83333333334</v>
      </c>
      <c r="B7798" t="n">
        <v>11</v>
      </c>
      <c r="C7798" t="n">
        <v>20</v>
      </c>
      <c r="D7798" t="n">
        <v>20</v>
      </c>
      <c r="E7798" s="10" t="n">
        <v>0</v>
      </c>
      <c r="F7798" s="10" t="n">
        <v>0.3676368402328417</v>
      </c>
      <c r="G7798" s="11">
        <f>E7798*Summary!$B$6</f>
        <v/>
      </c>
      <c r="H7798" s="11">
        <f>F7798*Summary!$B$7</f>
        <v/>
      </c>
      <c r="I7798" s="11">
        <f>MAX(0,N7798-M7798)</f>
        <v/>
      </c>
      <c r="J7798" s="11">
        <f>MAX(0,M7798-N7798)</f>
        <v/>
      </c>
      <c r="K7798" s="11">
        <f>O7798</f>
        <v/>
      </c>
      <c r="L7798" s="11">
        <f>L7797+IF(K7798&gt;0,K7798*Summary!$B$9,K7798/Summary!$B$9)</f>
        <v/>
      </c>
      <c r="M7798" s="11">
        <f>G7798+H7798</f>
        <v/>
      </c>
      <c r="N7798" s="11">
        <f>Summary!$C$16*Summary!$B$8</f>
        <v/>
      </c>
      <c r="O7798" s="11">
        <f>M7798-N7798</f>
        <v/>
      </c>
    </row>
    <row r="7799">
      <c r="A7799" s="9" t="n">
        <v>45616.875</v>
      </c>
      <c r="B7799" t="n">
        <v>11</v>
      </c>
      <c r="C7799" t="n">
        <v>20</v>
      </c>
      <c r="D7799" t="n">
        <v>21</v>
      </c>
      <c r="E7799" s="10" t="n">
        <v>0</v>
      </c>
      <c r="F7799" s="10" t="n">
        <v>0.3740667297760152</v>
      </c>
      <c r="G7799" s="11">
        <f>E7799*Summary!$B$6</f>
        <v/>
      </c>
      <c r="H7799" s="11">
        <f>F7799*Summary!$B$7</f>
        <v/>
      </c>
      <c r="I7799" s="11">
        <f>MAX(0,N7799-M7799)</f>
        <v/>
      </c>
      <c r="J7799" s="11">
        <f>MAX(0,M7799-N7799)</f>
        <v/>
      </c>
      <c r="K7799" s="11">
        <f>O7799</f>
        <v/>
      </c>
      <c r="L7799" s="11">
        <f>L7798+IF(K7799&gt;0,K7799*Summary!$B$9,K7799/Summary!$B$9)</f>
        <v/>
      </c>
      <c r="M7799" s="11">
        <f>G7799+H7799</f>
        <v/>
      </c>
      <c r="N7799" s="11">
        <f>Summary!$C$16*Summary!$B$8</f>
        <v/>
      </c>
      <c r="O7799" s="11">
        <f>M7799-N7799</f>
        <v/>
      </c>
    </row>
    <row r="7800">
      <c r="A7800" s="9" t="n">
        <v>45616.91666666666</v>
      </c>
      <c r="B7800" t="n">
        <v>11</v>
      </c>
      <c r="C7800" t="n">
        <v>20</v>
      </c>
      <c r="D7800" t="n">
        <v>22</v>
      </c>
      <c r="E7800" s="10" t="n">
        <v>0</v>
      </c>
      <c r="F7800" s="10" t="n">
        <v>0.3817878676290882</v>
      </c>
      <c r="G7800" s="11">
        <f>E7800*Summary!$B$6</f>
        <v/>
      </c>
      <c r="H7800" s="11">
        <f>F7800*Summary!$B$7</f>
        <v/>
      </c>
      <c r="I7800" s="11">
        <f>MAX(0,N7800-M7800)</f>
        <v/>
      </c>
      <c r="J7800" s="11">
        <f>MAX(0,M7800-N7800)</f>
        <v/>
      </c>
      <c r="K7800" s="11">
        <f>O7800</f>
        <v/>
      </c>
      <c r="L7800" s="11">
        <f>L7799+IF(K7800&gt;0,K7800*Summary!$B$9,K7800/Summary!$B$9)</f>
        <v/>
      </c>
      <c r="M7800" s="11">
        <f>G7800+H7800</f>
        <v/>
      </c>
      <c r="N7800" s="11">
        <f>Summary!$C$16*Summary!$B$8</f>
        <v/>
      </c>
      <c r="O7800" s="11">
        <f>M7800-N7800</f>
        <v/>
      </c>
    </row>
    <row r="7801">
      <c r="A7801" s="9" t="n">
        <v>45616.95833333334</v>
      </c>
      <c r="B7801" t="n">
        <v>11</v>
      </c>
      <c r="C7801" t="n">
        <v>20</v>
      </c>
      <c r="D7801" t="n">
        <v>23</v>
      </c>
      <c r="E7801" s="10" t="n">
        <v>0</v>
      </c>
      <c r="F7801" s="10" t="n">
        <v>0.3906157897477895</v>
      </c>
      <c r="G7801" s="11">
        <f>E7801*Summary!$B$6</f>
        <v/>
      </c>
      <c r="H7801" s="11">
        <f>F7801*Summary!$B$7</f>
        <v/>
      </c>
      <c r="I7801" s="11">
        <f>MAX(0,N7801-M7801)</f>
        <v/>
      </c>
      <c r="J7801" s="11">
        <f>MAX(0,M7801-N7801)</f>
        <v/>
      </c>
      <c r="K7801" s="11">
        <f>O7801</f>
        <v/>
      </c>
      <c r="L7801" s="11">
        <f>L7800+IF(K7801&gt;0,K7801*Summary!$B$9,K7801/Summary!$B$9)</f>
        <v/>
      </c>
      <c r="M7801" s="11">
        <f>G7801+H7801</f>
        <v/>
      </c>
      <c r="N7801" s="11">
        <f>Summary!$C$16*Summary!$B$8</f>
        <v/>
      </c>
      <c r="O7801" s="11">
        <f>M7801-N7801</f>
        <v/>
      </c>
    </row>
    <row r="7802">
      <c r="A7802" s="9" t="n">
        <v>45617</v>
      </c>
      <c r="B7802" t="n">
        <v>11</v>
      </c>
      <c r="C7802" t="n">
        <v>21</v>
      </c>
      <c r="D7802" t="n">
        <v>0</v>
      </c>
      <c r="E7802" s="10" t="n">
        <v>0</v>
      </c>
      <c r="F7802" s="10" t="n">
        <v>0.3544608370706009</v>
      </c>
      <c r="G7802" s="11">
        <f>E7802*Summary!$B$6</f>
        <v/>
      </c>
      <c r="H7802" s="11">
        <f>F7802*Summary!$B$7</f>
        <v/>
      </c>
      <c r="I7802" s="11">
        <f>MAX(0,N7802-M7802)</f>
        <v/>
      </c>
      <c r="J7802" s="11">
        <f>MAX(0,M7802-N7802)</f>
        <v/>
      </c>
      <c r="K7802" s="11">
        <f>O7802</f>
        <v/>
      </c>
      <c r="L7802" s="11">
        <f>L7801+IF(K7802&gt;0,K7802*Summary!$B$9,K7802/Summary!$B$9)</f>
        <v/>
      </c>
      <c r="M7802" s="11">
        <f>G7802+H7802</f>
        <v/>
      </c>
      <c r="N7802" s="11">
        <f>Summary!$C$16*Summary!$B$8</f>
        <v/>
      </c>
      <c r="O7802" s="11">
        <f>M7802-N7802</f>
        <v/>
      </c>
    </row>
    <row r="7803">
      <c r="A7803" s="9" t="n">
        <v>45617.04166666666</v>
      </c>
      <c r="B7803" t="n">
        <v>11</v>
      </c>
      <c r="C7803" t="n">
        <v>21</v>
      </c>
      <c r="D7803" t="n">
        <v>1</v>
      </c>
      <c r="E7803" s="10" t="n">
        <v>0</v>
      </c>
      <c r="F7803" s="10" t="n">
        <v>0.4085088020421124</v>
      </c>
      <c r="G7803" s="11">
        <f>E7803*Summary!$B$6</f>
        <v/>
      </c>
      <c r="H7803" s="11">
        <f>F7803*Summary!$B$7</f>
        <v/>
      </c>
      <c r="I7803" s="11">
        <f>MAX(0,N7803-M7803)</f>
        <v/>
      </c>
      <c r="J7803" s="11">
        <f>MAX(0,M7803-N7803)</f>
        <v/>
      </c>
      <c r="K7803" s="11">
        <f>O7803</f>
        <v/>
      </c>
      <c r="L7803" s="11">
        <f>L7802+IF(K7803&gt;0,K7803*Summary!$B$9,K7803/Summary!$B$9)</f>
        <v/>
      </c>
      <c r="M7803" s="11">
        <f>G7803+H7803</f>
        <v/>
      </c>
      <c r="N7803" s="11">
        <f>Summary!$C$16*Summary!$B$8</f>
        <v/>
      </c>
      <c r="O7803" s="11">
        <f>M7803-N7803</f>
        <v/>
      </c>
    </row>
    <row r="7804">
      <c r="A7804" s="9" t="n">
        <v>45617.08333333334</v>
      </c>
      <c r="B7804" t="n">
        <v>11</v>
      </c>
      <c r="C7804" t="n">
        <v>21</v>
      </c>
      <c r="D7804" t="n">
        <v>2</v>
      </c>
      <c r="E7804" s="10" t="n">
        <v>0</v>
      </c>
      <c r="F7804" s="10" t="n">
        <v>0.4153603236864777</v>
      </c>
      <c r="G7804" s="11">
        <f>E7804*Summary!$B$6</f>
        <v/>
      </c>
      <c r="H7804" s="11">
        <f>F7804*Summary!$B$7</f>
        <v/>
      </c>
      <c r="I7804" s="11">
        <f>MAX(0,N7804-M7804)</f>
        <v/>
      </c>
      <c r="J7804" s="11">
        <f>MAX(0,M7804-N7804)</f>
        <v/>
      </c>
      <c r="K7804" s="11">
        <f>O7804</f>
        <v/>
      </c>
      <c r="L7804" s="11">
        <f>L7803+IF(K7804&gt;0,K7804*Summary!$B$9,K7804/Summary!$B$9)</f>
        <v/>
      </c>
      <c r="M7804" s="11">
        <f>G7804+H7804</f>
        <v/>
      </c>
      <c r="N7804" s="11">
        <f>Summary!$C$16*Summary!$B$8</f>
        <v/>
      </c>
      <c r="O7804" s="11">
        <f>M7804-N7804</f>
        <v/>
      </c>
    </row>
    <row r="7805">
      <c r="A7805" s="9" t="n">
        <v>45617.125</v>
      </c>
      <c r="B7805" t="n">
        <v>11</v>
      </c>
      <c r="C7805" t="n">
        <v>21</v>
      </c>
      <c r="D7805" t="n">
        <v>3</v>
      </c>
      <c r="E7805" s="10" t="n">
        <v>0</v>
      </c>
      <c r="F7805" s="10" t="n">
        <v>0.4186543244770379</v>
      </c>
      <c r="G7805" s="11">
        <f>E7805*Summary!$B$6</f>
        <v/>
      </c>
      <c r="H7805" s="11">
        <f>F7805*Summary!$B$7</f>
        <v/>
      </c>
      <c r="I7805" s="11">
        <f>MAX(0,N7805-M7805)</f>
        <v/>
      </c>
      <c r="J7805" s="11">
        <f>MAX(0,M7805-N7805)</f>
        <v/>
      </c>
      <c r="K7805" s="11">
        <f>O7805</f>
        <v/>
      </c>
      <c r="L7805" s="11">
        <f>L7804+IF(K7805&gt;0,K7805*Summary!$B$9,K7805/Summary!$B$9)</f>
        <v/>
      </c>
      <c r="M7805" s="11">
        <f>G7805+H7805</f>
        <v/>
      </c>
      <c r="N7805" s="11">
        <f>Summary!$C$16*Summary!$B$8</f>
        <v/>
      </c>
      <c r="O7805" s="11">
        <f>M7805-N7805</f>
        <v/>
      </c>
    </row>
    <row r="7806">
      <c r="A7806" s="9" t="n">
        <v>45617.16666666666</v>
      </c>
      <c r="B7806" t="n">
        <v>11</v>
      </c>
      <c r="C7806" t="n">
        <v>21</v>
      </c>
      <c r="D7806" t="n">
        <v>4</v>
      </c>
      <c r="E7806" s="10" t="n">
        <v>0</v>
      </c>
      <c r="F7806" s="10" t="n">
        <v>0.4223963093751142</v>
      </c>
      <c r="G7806" s="11">
        <f>E7806*Summary!$B$6</f>
        <v/>
      </c>
      <c r="H7806" s="11">
        <f>F7806*Summary!$B$7</f>
        <v/>
      </c>
      <c r="I7806" s="11">
        <f>MAX(0,N7806-M7806)</f>
        <v/>
      </c>
      <c r="J7806" s="11">
        <f>MAX(0,M7806-N7806)</f>
        <v/>
      </c>
      <c r="K7806" s="11">
        <f>O7806</f>
        <v/>
      </c>
      <c r="L7806" s="11">
        <f>L7805+IF(K7806&gt;0,K7806*Summary!$B$9,K7806/Summary!$B$9)</f>
        <v/>
      </c>
      <c r="M7806" s="11">
        <f>G7806+H7806</f>
        <v/>
      </c>
      <c r="N7806" s="11">
        <f>Summary!$C$16*Summary!$B$8</f>
        <v/>
      </c>
      <c r="O7806" s="11">
        <f>M7806-N7806</f>
        <v/>
      </c>
    </row>
    <row r="7807">
      <c r="A7807" s="9" t="n">
        <v>45617.20833333334</v>
      </c>
      <c r="B7807" t="n">
        <v>11</v>
      </c>
      <c r="C7807" t="n">
        <v>21</v>
      </c>
      <c r="D7807" t="n">
        <v>5</v>
      </c>
      <c r="E7807" s="10" t="n">
        <v>0</v>
      </c>
      <c r="F7807" s="10" t="n">
        <v>0.4218429172423001</v>
      </c>
      <c r="G7807" s="11">
        <f>E7807*Summary!$B$6</f>
        <v/>
      </c>
      <c r="H7807" s="11">
        <f>F7807*Summary!$B$7</f>
        <v/>
      </c>
      <c r="I7807" s="11">
        <f>MAX(0,N7807-M7807)</f>
        <v/>
      </c>
      <c r="J7807" s="11">
        <f>MAX(0,M7807-N7807)</f>
        <v/>
      </c>
      <c r="K7807" s="11">
        <f>O7807</f>
        <v/>
      </c>
      <c r="L7807" s="11">
        <f>L7806+IF(K7807&gt;0,K7807*Summary!$B$9,K7807/Summary!$B$9)</f>
        <v/>
      </c>
      <c r="M7807" s="11">
        <f>G7807+H7807</f>
        <v/>
      </c>
      <c r="N7807" s="11">
        <f>Summary!$C$16*Summary!$B$8</f>
        <v/>
      </c>
      <c r="O7807" s="11">
        <f>M7807-N7807</f>
        <v/>
      </c>
    </row>
    <row r="7808">
      <c r="A7808" s="9" t="n">
        <v>45617.25</v>
      </c>
      <c r="B7808" t="n">
        <v>11</v>
      </c>
      <c r="C7808" t="n">
        <v>21</v>
      </c>
      <c r="D7808" t="n">
        <v>6</v>
      </c>
      <c r="E7808" s="10" t="n">
        <v>0</v>
      </c>
      <c r="F7808" s="10" t="n">
        <v>0.4247416379379931</v>
      </c>
      <c r="G7808" s="11">
        <f>E7808*Summary!$B$6</f>
        <v/>
      </c>
      <c r="H7808" s="11">
        <f>F7808*Summary!$B$7</f>
        <v/>
      </c>
      <c r="I7808" s="11">
        <f>MAX(0,N7808-M7808)</f>
        <v/>
      </c>
      <c r="J7808" s="11">
        <f>MAX(0,M7808-N7808)</f>
        <v/>
      </c>
      <c r="K7808" s="11">
        <f>O7808</f>
        <v/>
      </c>
      <c r="L7808" s="11">
        <f>L7807+IF(K7808&gt;0,K7808*Summary!$B$9,K7808/Summary!$B$9)</f>
        <v/>
      </c>
      <c r="M7808" s="11">
        <f>G7808+H7808</f>
        <v/>
      </c>
      <c r="N7808" s="11">
        <f>Summary!$C$16*Summary!$B$8</f>
        <v/>
      </c>
      <c r="O7808" s="11">
        <f>M7808-N7808</f>
        <v/>
      </c>
    </row>
    <row r="7809">
      <c r="A7809" s="9" t="n">
        <v>45617.29166666666</v>
      </c>
      <c r="B7809" t="n">
        <v>11</v>
      </c>
      <c r="C7809" t="n">
        <v>21</v>
      </c>
      <c r="D7809" t="n">
        <v>7</v>
      </c>
      <c r="E7809" s="10" t="n">
        <v>0</v>
      </c>
      <c r="F7809" s="10" t="n">
        <v>0.4169677960722711</v>
      </c>
      <c r="G7809" s="11">
        <f>E7809*Summary!$B$6</f>
        <v/>
      </c>
      <c r="H7809" s="11">
        <f>F7809*Summary!$B$7</f>
        <v/>
      </c>
      <c r="I7809" s="11">
        <f>MAX(0,N7809-M7809)</f>
        <v/>
      </c>
      <c r="J7809" s="11">
        <f>MAX(0,M7809-N7809)</f>
        <v/>
      </c>
      <c r="K7809" s="11">
        <f>O7809</f>
        <v/>
      </c>
      <c r="L7809" s="11">
        <f>L7808+IF(K7809&gt;0,K7809*Summary!$B$9,K7809/Summary!$B$9)</f>
        <v/>
      </c>
      <c r="M7809" s="11">
        <f>G7809+H7809</f>
        <v/>
      </c>
      <c r="N7809" s="11">
        <f>Summary!$C$16*Summary!$B$8</f>
        <v/>
      </c>
      <c r="O7809" s="11">
        <f>M7809-N7809</f>
        <v/>
      </c>
    </row>
    <row r="7810">
      <c r="A7810" s="9" t="n">
        <v>45617.33333333334</v>
      </c>
      <c r="B7810" t="n">
        <v>11</v>
      </c>
      <c r="C7810" t="n">
        <v>21</v>
      </c>
      <c r="D7810" t="n">
        <v>8</v>
      </c>
      <c r="E7810" s="10" t="n">
        <v>0</v>
      </c>
      <c r="F7810" s="10" t="n">
        <v>0.4059790094349622</v>
      </c>
      <c r="G7810" s="11">
        <f>E7810*Summary!$B$6</f>
        <v/>
      </c>
      <c r="H7810" s="11">
        <f>F7810*Summary!$B$7</f>
        <v/>
      </c>
      <c r="I7810" s="11">
        <f>MAX(0,N7810-M7810)</f>
        <v/>
      </c>
      <c r="J7810" s="11">
        <f>MAX(0,M7810-N7810)</f>
        <v/>
      </c>
      <c r="K7810" s="11">
        <f>O7810</f>
        <v/>
      </c>
      <c r="L7810" s="11">
        <f>L7809+IF(K7810&gt;0,K7810*Summary!$B$9,K7810/Summary!$B$9)</f>
        <v/>
      </c>
      <c r="M7810" s="11">
        <f>G7810+H7810</f>
        <v/>
      </c>
      <c r="N7810" s="11">
        <f>Summary!$C$16*Summary!$B$8</f>
        <v/>
      </c>
      <c r="O7810" s="11">
        <f>M7810-N7810</f>
        <v/>
      </c>
    </row>
    <row r="7811">
      <c r="A7811" s="9" t="n">
        <v>45617.375</v>
      </c>
      <c r="B7811" t="n">
        <v>11</v>
      </c>
      <c r="C7811" t="n">
        <v>21</v>
      </c>
      <c r="D7811" t="n">
        <v>9</v>
      </c>
      <c r="E7811" s="10" t="n">
        <v>0.014843</v>
      </c>
      <c r="F7811" s="10" t="n">
        <v>0.3879805891153414</v>
      </c>
      <c r="G7811" s="11">
        <f>E7811*Summary!$B$6</f>
        <v/>
      </c>
      <c r="H7811" s="11">
        <f>F7811*Summary!$B$7</f>
        <v/>
      </c>
      <c r="I7811" s="11">
        <f>MAX(0,N7811-M7811)</f>
        <v/>
      </c>
      <c r="J7811" s="11">
        <f>MAX(0,M7811-N7811)</f>
        <v/>
      </c>
      <c r="K7811" s="11">
        <f>O7811</f>
        <v/>
      </c>
      <c r="L7811" s="11">
        <f>L7810+IF(K7811&gt;0,K7811*Summary!$B$9,K7811/Summary!$B$9)</f>
        <v/>
      </c>
      <c r="M7811" s="11">
        <f>G7811+H7811</f>
        <v/>
      </c>
      <c r="N7811" s="11">
        <f>Summary!$C$16*Summary!$B$8</f>
        <v/>
      </c>
      <c r="O7811" s="11">
        <f>M7811-N7811</f>
        <v/>
      </c>
    </row>
    <row r="7812">
      <c r="A7812" s="9" t="n">
        <v>45617.41666666666</v>
      </c>
      <c r="B7812" t="n">
        <v>11</v>
      </c>
      <c r="C7812" t="n">
        <v>21</v>
      </c>
      <c r="D7812" t="n">
        <v>10</v>
      </c>
      <c r="E7812" s="10" t="n">
        <v>0.017904</v>
      </c>
      <c r="F7812" s="10" t="n">
        <v>0.3608380226011254</v>
      </c>
      <c r="G7812" s="11">
        <f>E7812*Summary!$B$6</f>
        <v/>
      </c>
      <c r="H7812" s="11">
        <f>F7812*Summary!$B$7</f>
        <v/>
      </c>
      <c r="I7812" s="11">
        <f>MAX(0,N7812-M7812)</f>
        <v/>
      </c>
      <c r="J7812" s="11">
        <f>MAX(0,M7812-N7812)</f>
        <v/>
      </c>
      <c r="K7812" s="11">
        <f>O7812</f>
        <v/>
      </c>
      <c r="L7812" s="11">
        <f>L7811+IF(K7812&gt;0,K7812*Summary!$B$9,K7812/Summary!$B$9)</f>
        <v/>
      </c>
      <c r="M7812" s="11">
        <f>G7812+H7812</f>
        <v/>
      </c>
      <c r="N7812" s="11">
        <f>Summary!$C$16*Summary!$B$8</f>
        <v/>
      </c>
      <c r="O7812" s="11">
        <f>M7812-N7812</f>
        <v/>
      </c>
    </row>
    <row r="7813">
      <c r="A7813" s="9" t="n">
        <v>45617.45833333334</v>
      </c>
      <c r="B7813" t="n">
        <v>11</v>
      </c>
      <c r="C7813" t="n">
        <v>21</v>
      </c>
      <c r="D7813" t="n">
        <v>11</v>
      </c>
      <c r="E7813" s="10" t="n">
        <v>0.018686</v>
      </c>
      <c r="F7813" s="10" t="n">
        <v>0.3357772645865435</v>
      </c>
      <c r="G7813" s="11">
        <f>E7813*Summary!$B$6</f>
        <v/>
      </c>
      <c r="H7813" s="11">
        <f>F7813*Summary!$B$7</f>
        <v/>
      </c>
      <c r="I7813" s="11">
        <f>MAX(0,N7813-M7813)</f>
        <v/>
      </c>
      <c r="J7813" s="11">
        <f>MAX(0,M7813-N7813)</f>
        <v/>
      </c>
      <c r="K7813" s="11">
        <f>O7813</f>
        <v/>
      </c>
      <c r="L7813" s="11">
        <f>L7812+IF(K7813&gt;0,K7813*Summary!$B$9,K7813/Summary!$B$9)</f>
        <v/>
      </c>
      <c r="M7813" s="11">
        <f>G7813+H7813</f>
        <v/>
      </c>
      <c r="N7813" s="11">
        <f>Summary!$C$16*Summary!$B$8</f>
        <v/>
      </c>
      <c r="O7813" s="11">
        <f>M7813-N7813</f>
        <v/>
      </c>
    </row>
    <row r="7814">
      <c r="A7814" s="9" t="n">
        <v>45617.5</v>
      </c>
      <c r="B7814" t="n">
        <v>11</v>
      </c>
      <c r="C7814" t="n">
        <v>21</v>
      </c>
      <c r="D7814" t="n">
        <v>12</v>
      </c>
      <c r="E7814" s="10" t="n">
        <v>0.012237</v>
      </c>
      <c r="F7814" s="10" t="n">
        <v>0.3176734362416247</v>
      </c>
      <c r="G7814" s="11">
        <f>E7814*Summary!$B$6</f>
        <v/>
      </c>
      <c r="H7814" s="11">
        <f>F7814*Summary!$B$7</f>
        <v/>
      </c>
      <c r="I7814" s="11">
        <f>MAX(0,N7814-M7814)</f>
        <v/>
      </c>
      <c r="J7814" s="11">
        <f>MAX(0,M7814-N7814)</f>
        <v/>
      </c>
      <c r="K7814" s="11">
        <f>O7814</f>
        <v/>
      </c>
      <c r="L7814" s="11">
        <f>L7813+IF(K7814&gt;0,K7814*Summary!$B$9,K7814/Summary!$B$9)</f>
        <v/>
      </c>
      <c r="M7814" s="11">
        <f>G7814+H7814</f>
        <v/>
      </c>
      <c r="N7814" s="11">
        <f>Summary!$C$16*Summary!$B$8</f>
        <v/>
      </c>
      <c r="O7814" s="11">
        <f>M7814-N7814</f>
        <v/>
      </c>
    </row>
    <row r="7815">
      <c r="A7815" s="9" t="n">
        <v>45617.54166666666</v>
      </c>
      <c r="B7815" t="n">
        <v>11</v>
      </c>
      <c r="C7815" t="n">
        <v>21</v>
      </c>
      <c r="D7815" t="n">
        <v>13</v>
      </c>
      <c r="E7815" s="10" t="n">
        <v>0.010453</v>
      </c>
      <c r="F7815" s="10" t="n">
        <v>0.3070535776928586</v>
      </c>
      <c r="G7815" s="11">
        <f>E7815*Summary!$B$6</f>
        <v/>
      </c>
      <c r="H7815" s="11">
        <f>F7815*Summary!$B$7</f>
        <v/>
      </c>
      <c r="I7815" s="11">
        <f>MAX(0,N7815-M7815)</f>
        <v/>
      </c>
      <c r="J7815" s="11">
        <f>MAX(0,M7815-N7815)</f>
        <v/>
      </c>
      <c r="K7815" s="11">
        <f>O7815</f>
        <v/>
      </c>
      <c r="L7815" s="11">
        <f>L7814+IF(K7815&gt;0,K7815*Summary!$B$9,K7815/Summary!$B$9)</f>
        <v/>
      </c>
      <c r="M7815" s="11">
        <f>G7815+H7815</f>
        <v/>
      </c>
      <c r="N7815" s="11">
        <f>Summary!$C$16*Summary!$B$8</f>
        <v/>
      </c>
      <c r="O7815" s="11">
        <f>M7815-N7815</f>
        <v/>
      </c>
    </row>
    <row r="7816">
      <c r="A7816" s="9" t="n">
        <v>45617.58333333334</v>
      </c>
      <c r="B7816" t="n">
        <v>11</v>
      </c>
      <c r="C7816" t="n">
        <v>21</v>
      </c>
      <c r="D7816" t="n">
        <v>14</v>
      </c>
      <c r="E7816" s="10" t="n">
        <v>0.007871</v>
      </c>
      <c r="F7816" s="10" t="n">
        <v>0.3101104104264985</v>
      </c>
      <c r="G7816" s="11">
        <f>E7816*Summary!$B$6</f>
        <v/>
      </c>
      <c r="H7816" s="11">
        <f>F7816*Summary!$B$7</f>
        <v/>
      </c>
      <c r="I7816" s="11">
        <f>MAX(0,N7816-M7816)</f>
        <v/>
      </c>
      <c r="J7816" s="11">
        <f>MAX(0,M7816-N7816)</f>
        <v/>
      </c>
      <c r="K7816" s="11">
        <f>O7816</f>
        <v/>
      </c>
      <c r="L7816" s="11">
        <f>L7815+IF(K7816&gt;0,K7816*Summary!$B$9,K7816/Summary!$B$9)</f>
        <v/>
      </c>
      <c r="M7816" s="11">
        <f>G7816+H7816</f>
        <v/>
      </c>
      <c r="N7816" s="11">
        <f>Summary!$C$16*Summary!$B$8</f>
        <v/>
      </c>
      <c r="O7816" s="11">
        <f>M7816-N7816</f>
        <v/>
      </c>
    </row>
    <row r="7817">
      <c r="A7817" s="9" t="n">
        <v>45617.625</v>
      </c>
      <c r="B7817" t="n">
        <v>11</v>
      </c>
      <c r="C7817" t="n">
        <v>21</v>
      </c>
      <c r="D7817" t="n">
        <v>15</v>
      </c>
      <c r="E7817" s="10" t="n">
        <v>0.003308</v>
      </c>
      <c r="F7817" s="10" t="n">
        <v>0.3179896603175185</v>
      </c>
      <c r="G7817" s="11">
        <f>E7817*Summary!$B$6</f>
        <v/>
      </c>
      <c r="H7817" s="11">
        <f>F7817*Summary!$B$7</f>
        <v/>
      </c>
      <c r="I7817" s="11">
        <f>MAX(0,N7817-M7817)</f>
        <v/>
      </c>
      <c r="J7817" s="11">
        <f>MAX(0,M7817-N7817)</f>
        <v/>
      </c>
      <c r="K7817" s="11">
        <f>O7817</f>
        <v/>
      </c>
      <c r="L7817" s="11">
        <f>L7816+IF(K7817&gt;0,K7817*Summary!$B$9,K7817/Summary!$B$9)</f>
        <v/>
      </c>
      <c r="M7817" s="11">
        <f>G7817+H7817</f>
        <v/>
      </c>
      <c r="N7817" s="11">
        <f>Summary!$C$16*Summary!$B$8</f>
        <v/>
      </c>
      <c r="O7817" s="11">
        <f>M7817-N7817</f>
        <v/>
      </c>
    </row>
    <row r="7818">
      <c r="A7818" s="9" t="n">
        <v>45617.66666666666</v>
      </c>
      <c r="B7818" t="n">
        <v>11</v>
      </c>
      <c r="C7818" t="n">
        <v>21</v>
      </c>
      <c r="D7818" t="n">
        <v>16</v>
      </c>
      <c r="E7818" s="10" t="n">
        <v>0</v>
      </c>
      <c r="F7818" s="10" t="n">
        <v>0.3246567179176123</v>
      </c>
      <c r="G7818" s="11">
        <f>E7818*Summary!$B$6</f>
        <v/>
      </c>
      <c r="H7818" s="11">
        <f>F7818*Summary!$B$7</f>
        <v/>
      </c>
      <c r="I7818" s="11">
        <f>MAX(0,N7818-M7818)</f>
        <v/>
      </c>
      <c r="J7818" s="11">
        <f>MAX(0,M7818-N7818)</f>
        <v/>
      </c>
      <c r="K7818" s="11">
        <f>O7818</f>
        <v/>
      </c>
      <c r="L7818" s="11">
        <f>L7817+IF(K7818&gt;0,K7818*Summary!$B$9,K7818/Summary!$B$9)</f>
        <v/>
      </c>
      <c r="M7818" s="11">
        <f>G7818+H7818</f>
        <v/>
      </c>
      <c r="N7818" s="11">
        <f>Summary!$C$16*Summary!$B$8</f>
        <v/>
      </c>
      <c r="O7818" s="11">
        <f>M7818-N7818</f>
        <v/>
      </c>
    </row>
    <row r="7819">
      <c r="A7819" s="9" t="n">
        <v>45617.70833333334</v>
      </c>
      <c r="B7819" t="n">
        <v>11</v>
      </c>
      <c r="C7819" t="n">
        <v>21</v>
      </c>
      <c r="D7819" t="n">
        <v>17</v>
      </c>
      <c r="E7819" s="10" t="n">
        <v>0</v>
      </c>
      <c r="F7819" s="10" t="n">
        <v>0.3282142387714173</v>
      </c>
      <c r="G7819" s="11">
        <f>E7819*Summary!$B$6</f>
        <v/>
      </c>
      <c r="H7819" s="11">
        <f>F7819*Summary!$B$7</f>
        <v/>
      </c>
      <c r="I7819" s="11">
        <f>MAX(0,N7819-M7819)</f>
        <v/>
      </c>
      <c r="J7819" s="11">
        <f>MAX(0,M7819-N7819)</f>
        <v/>
      </c>
      <c r="K7819" s="11">
        <f>O7819</f>
        <v/>
      </c>
      <c r="L7819" s="11">
        <f>L7818+IF(K7819&gt;0,K7819*Summary!$B$9,K7819/Summary!$B$9)</f>
        <v/>
      </c>
      <c r="M7819" s="11">
        <f>G7819+H7819</f>
        <v/>
      </c>
      <c r="N7819" s="11">
        <f>Summary!$C$16*Summary!$B$8</f>
        <v/>
      </c>
      <c r="O7819" s="11">
        <f>M7819-N7819</f>
        <v/>
      </c>
    </row>
    <row r="7820">
      <c r="A7820" s="9" t="n">
        <v>45617.75</v>
      </c>
      <c r="B7820" t="n">
        <v>11</v>
      </c>
      <c r="C7820" t="n">
        <v>21</v>
      </c>
      <c r="D7820" t="n">
        <v>18</v>
      </c>
      <c r="E7820" s="10" t="n">
        <v>0</v>
      </c>
      <c r="F7820" s="10" t="n">
        <v>0.3295054870813169</v>
      </c>
      <c r="G7820" s="11">
        <f>E7820*Summary!$B$6</f>
        <v/>
      </c>
      <c r="H7820" s="11">
        <f>F7820*Summary!$B$7</f>
        <v/>
      </c>
      <c r="I7820" s="11">
        <f>MAX(0,N7820-M7820)</f>
        <v/>
      </c>
      <c r="J7820" s="11">
        <f>MAX(0,M7820-N7820)</f>
        <v/>
      </c>
      <c r="K7820" s="11">
        <f>O7820</f>
        <v/>
      </c>
      <c r="L7820" s="11">
        <f>L7819+IF(K7820&gt;0,K7820*Summary!$B$9,K7820/Summary!$B$9)</f>
        <v/>
      </c>
      <c r="M7820" s="11">
        <f>G7820+H7820</f>
        <v/>
      </c>
      <c r="N7820" s="11">
        <f>Summary!$C$16*Summary!$B$8</f>
        <v/>
      </c>
      <c r="O7820" s="11">
        <f>M7820-N7820</f>
        <v/>
      </c>
    </row>
    <row r="7821">
      <c r="A7821" s="9" t="n">
        <v>45617.79166666666</v>
      </c>
      <c r="B7821" t="n">
        <v>11</v>
      </c>
      <c r="C7821" t="n">
        <v>21</v>
      </c>
      <c r="D7821" t="n">
        <v>19</v>
      </c>
      <c r="E7821" s="10" t="n">
        <v>0</v>
      </c>
      <c r="F7821" s="10" t="n">
        <v>0.33011158322678</v>
      </c>
      <c r="G7821" s="11">
        <f>E7821*Summary!$B$6</f>
        <v/>
      </c>
      <c r="H7821" s="11">
        <f>F7821*Summary!$B$7</f>
        <v/>
      </c>
      <c r="I7821" s="11">
        <f>MAX(0,N7821-M7821)</f>
        <v/>
      </c>
      <c r="J7821" s="11">
        <f>MAX(0,M7821-N7821)</f>
        <v/>
      </c>
      <c r="K7821" s="11">
        <f>O7821</f>
        <v/>
      </c>
      <c r="L7821" s="11">
        <f>L7820+IF(K7821&gt;0,K7821*Summary!$B$9,K7821/Summary!$B$9)</f>
        <v/>
      </c>
      <c r="M7821" s="11">
        <f>G7821+H7821</f>
        <v/>
      </c>
      <c r="N7821" s="11">
        <f>Summary!$C$16*Summary!$B$8</f>
        <v/>
      </c>
      <c r="O7821" s="11">
        <f>M7821-N7821</f>
        <v/>
      </c>
    </row>
    <row r="7822">
      <c r="A7822" s="9" t="n">
        <v>45617.83333333334</v>
      </c>
      <c r="B7822" t="n">
        <v>11</v>
      </c>
      <c r="C7822" t="n">
        <v>21</v>
      </c>
      <c r="D7822" t="n">
        <v>20</v>
      </c>
      <c r="E7822" s="10" t="n">
        <v>0</v>
      </c>
      <c r="F7822" s="10" t="n">
        <v>0.3277135506512522</v>
      </c>
      <c r="G7822" s="11">
        <f>E7822*Summary!$B$6</f>
        <v/>
      </c>
      <c r="H7822" s="11">
        <f>F7822*Summary!$B$7</f>
        <v/>
      </c>
      <c r="I7822" s="11">
        <f>MAX(0,N7822-M7822)</f>
        <v/>
      </c>
      <c r="J7822" s="11">
        <f>MAX(0,M7822-N7822)</f>
        <v/>
      </c>
      <c r="K7822" s="11">
        <f>O7822</f>
        <v/>
      </c>
      <c r="L7822" s="11">
        <f>L7821+IF(K7822&gt;0,K7822*Summary!$B$9,K7822/Summary!$B$9)</f>
        <v/>
      </c>
      <c r="M7822" s="11">
        <f>G7822+H7822</f>
        <v/>
      </c>
      <c r="N7822" s="11">
        <f>Summary!$C$16*Summary!$B$8</f>
        <v/>
      </c>
      <c r="O7822" s="11">
        <f>M7822-N7822</f>
        <v/>
      </c>
    </row>
    <row r="7823">
      <c r="A7823" s="9" t="n">
        <v>45617.875</v>
      </c>
      <c r="B7823" t="n">
        <v>11</v>
      </c>
      <c r="C7823" t="n">
        <v>21</v>
      </c>
      <c r="D7823" t="n">
        <v>21</v>
      </c>
      <c r="E7823" s="10" t="n">
        <v>0</v>
      </c>
      <c r="F7823" s="10" t="n">
        <v>0.3299271191825086</v>
      </c>
      <c r="G7823" s="11">
        <f>E7823*Summary!$B$6</f>
        <v/>
      </c>
      <c r="H7823" s="11">
        <f>F7823*Summary!$B$7</f>
        <v/>
      </c>
      <c r="I7823" s="11">
        <f>MAX(0,N7823-M7823)</f>
        <v/>
      </c>
      <c r="J7823" s="11">
        <f>MAX(0,M7823-N7823)</f>
        <v/>
      </c>
      <c r="K7823" s="11">
        <f>O7823</f>
        <v/>
      </c>
      <c r="L7823" s="11">
        <f>L7822+IF(K7823&gt;0,K7823*Summary!$B$9,K7823/Summary!$B$9)</f>
        <v/>
      </c>
      <c r="M7823" s="11">
        <f>G7823+H7823</f>
        <v/>
      </c>
      <c r="N7823" s="11">
        <f>Summary!$C$16*Summary!$B$8</f>
        <v/>
      </c>
      <c r="O7823" s="11">
        <f>M7823-N7823</f>
        <v/>
      </c>
    </row>
    <row r="7824">
      <c r="A7824" s="9" t="n">
        <v>45617.91666666666</v>
      </c>
      <c r="B7824" t="n">
        <v>11</v>
      </c>
      <c r="C7824" t="n">
        <v>21</v>
      </c>
      <c r="D7824" t="n">
        <v>22</v>
      </c>
      <c r="E7824" s="10" t="n">
        <v>0</v>
      </c>
      <c r="F7824" s="10" t="n">
        <v>0.3372002729280655</v>
      </c>
      <c r="G7824" s="11">
        <f>E7824*Summary!$B$6</f>
        <v/>
      </c>
      <c r="H7824" s="11">
        <f>F7824*Summary!$B$7</f>
        <v/>
      </c>
      <c r="I7824" s="11">
        <f>MAX(0,N7824-M7824)</f>
        <v/>
      </c>
      <c r="J7824" s="11">
        <f>MAX(0,M7824-N7824)</f>
        <v/>
      </c>
      <c r="K7824" s="11">
        <f>O7824</f>
        <v/>
      </c>
      <c r="L7824" s="11">
        <f>L7823+IF(K7824&gt;0,K7824*Summary!$B$9,K7824/Summary!$B$9)</f>
        <v/>
      </c>
      <c r="M7824" s="11">
        <f>G7824+H7824</f>
        <v/>
      </c>
      <c r="N7824" s="11">
        <f>Summary!$C$16*Summary!$B$8</f>
        <v/>
      </c>
      <c r="O7824" s="11">
        <f>M7824-N7824</f>
        <v/>
      </c>
    </row>
    <row r="7825">
      <c r="A7825" s="9" t="n">
        <v>45617.95833333334</v>
      </c>
      <c r="B7825" t="n">
        <v>11</v>
      </c>
      <c r="C7825" t="n">
        <v>21</v>
      </c>
      <c r="D7825" t="n">
        <v>23</v>
      </c>
      <c r="E7825" s="10" t="n">
        <v>0</v>
      </c>
      <c r="F7825" s="10" t="n">
        <v>0.3481363555527253</v>
      </c>
      <c r="G7825" s="11">
        <f>E7825*Summary!$B$6</f>
        <v/>
      </c>
      <c r="H7825" s="11">
        <f>F7825*Summary!$B$7</f>
        <v/>
      </c>
      <c r="I7825" s="11">
        <f>MAX(0,N7825-M7825)</f>
        <v/>
      </c>
      <c r="J7825" s="11">
        <f>MAX(0,M7825-N7825)</f>
        <v/>
      </c>
      <c r="K7825" s="11">
        <f>O7825</f>
        <v/>
      </c>
      <c r="L7825" s="11">
        <f>L7824+IF(K7825&gt;0,K7825*Summary!$B$9,K7825/Summary!$B$9)</f>
        <v/>
      </c>
      <c r="M7825" s="11">
        <f>G7825+H7825</f>
        <v/>
      </c>
      <c r="N7825" s="11">
        <f>Summary!$C$16*Summary!$B$8</f>
        <v/>
      </c>
      <c r="O7825" s="11">
        <f>M7825-N7825</f>
        <v/>
      </c>
    </row>
    <row r="7826">
      <c r="A7826" s="9" t="n">
        <v>45618</v>
      </c>
      <c r="B7826" t="n">
        <v>11</v>
      </c>
      <c r="C7826" t="n">
        <v>22</v>
      </c>
      <c r="D7826" t="n">
        <v>0</v>
      </c>
      <c r="E7826" s="10" t="n">
        <v>0</v>
      </c>
      <c r="F7826" s="10" t="n">
        <v>0.5109390506253721</v>
      </c>
      <c r="G7826" s="11">
        <f>E7826*Summary!$B$6</f>
        <v/>
      </c>
      <c r="H7826" s="11">
        <f>F7826*Summary!$B$7</f>
        <v/>
      </c>
      <c r="I7826" s="11">
        <f>MAX(0,N7826-M7826)</f>
        <v/>
      </c>
      <c r="J7826" s="11">
        <f>MAX(0,M7826-N7826)</f>
        <v/>
      </c>
      <c r="K7826" s="11">
        <f>O7826</f>
        <v/>
      </c>
      <c r="L7826" s="11">
        <f>L7825+IF(K7826&gt;0,K7826*Summary!$B$9,K7826/Summary!$B$9)</f>
        <v/>
      </c>
      <c r="M7826" s="11">
        <f>G7826+H7826</f>
        <v/>
      </c>
      <c r="N7826" s="11">
        <f>Summary!$C$16*Summary!$B$8</f>
        <v/>
      </c>
      <c r="O7826" s="11">
        <f>M7826-N7826</f>
        <v/>
      </c>
    </row>
    <row r="7827">
      <c r="A7827" s="9" t="n">
        <v>45618.04166666666</v>
      </c>
      <c r="B7827" t="n">
        <v>11</v>
      </c>
      <c r="C7827" t="n">
        <v>22</v>
      </c>
      <c r="D7827" t="n">
        <v>1</v>
      </c>
      <c r="E7827" s="10" t="n">
        <v>0</v>
      </c>
      <c r="F7827" s="10" t="n">
        <v>0.3615758787782109</v>
      </c>
      <c r="G7827" s="11">
        <f>E7827*Summary!$B$6</f>
        <v/>
      </c>
      <c r="H7827" s="11">
        <f>F7827*Summary!$B$7</f>
        <v/>
      </c>
      <c r="I7827" s="11">
        <f>MAX(0,N7827-M7827)</f>
        <v/>
      </c>
      <c r="J7827" s="11">
        <f>MAX(0,M7827-N7827)</f>
        <v/>
      </c>
      <c r="K7827" s="11">
        <f>O7827</f>
        <v/>
      </c>
      <c r="L7827" s="11">
        <f>L7826+IF(K7827&gt;0,K7827*Summary!$B$9,K7827/Summary!$B$9)</f>
        <v/>
      </c>
      <c r="M7827" s="11">
        <f>G7827+H7827</f>
        <v/>
      </c>
      <c r="N7827" s="11">
        <f>Summary!$C$16*Summary!$B$8</f>
        <v/>
      </c>
      <c r="O7827" s="11">
        <f>M7827-N7827</f>
        <v/>
      </c>
    </row>
    <row r="7828">
      <c r="A7828" s="9" t="n">
        <v>45618.08333333334</v>
      </c>
      <c r="B7828" t="n">
        <v>11</v>
      </c>
      <c r="C7828" t="n">
        <v>22</v>
      </c>
      <c r="D7828" t="n">
        <v>2</v>
      </c>
      <c r="E7828" s="10" t="n">
        <v>0</v>
      </c>
      <c r="F7828" s="10" t="n">
        <v>0.3712470650992956</v>
      </c>
      <c r="G7828" s="11">
        <f>E7828*Summary!$B$6</f>
        <v/>
      </c>
      <c r="H7828" s="11">
        <f>F7828*Summary!$B$7</f>
        <v/>
      </c>
      <c r="I7828" s="11">
        <f>MAX(0,N7828-M7828)</f>
        <v/>
      </c>
      <c r="J7828" s="11">
        <f>MAX(0,M7828-N7828)</f>
        <v/>
      </c>
      <c r="K7828" s="11">
        <f>O7828</f>
        <v/>
      </c>
      <c r="L7828" s="11">
        <f>L7827+IF(K7828&gt;0,K7828*Summary!$B$9,K7828/Summary!$B$9)</f>
        <v/>
      </c>
      <c r="M7828" s="11">
        <f>G7828+H7828</f>
        <v/>
      </c>
      <c r="N7828" s="11">
        <f>Summary!$C$16*Summary!$B$8</f>
        <v/>
      </c>
      <c r="O7828" s="11">
        <f>M7828-N7828</f>
        <v/>
      </c>
    </row>
    <row r="7829">
      <c r="A7829" s="9" t="n">
        <v>45618.125</v>
      </c>
      <c r="B7829" t="n">
        <v>11</v>
      </c>
      <c r="C7829" t="n">
        <v>22</v>
      </c>
      <c r="D7829" t="n">
        <v>3</v>
      </c>
      <c r="E7829" s="10" t="n">
        <v>0</v>
      </c>
      <c r="F7829" s="10" t="n">
        <v>0.3868211008370642</v>
      </c>
      <c r="G7829" s="11">
        <f>E7829*Summary!$B$6</f>
        <v/>
      </c>
      <c r="H7829" s="11">
        <f>F7829*Summary!$B$7</f>
        <v/>
      </c>
      <c r="I7829" s="11">
        <f>MAX(0,N7829-M7829)</f>
        <v/>
      </c>
      <c r="J7829" s="11">
        <f>MAX(0,M7829-N7829)</f>
        <v/>
      </c>
      <c r="K7829" s="11">
        <f>O7829</f>
        <v/>
      </c>
      <c r="L7829" s="11">
        <f>L7828+IF(K7829&gt;0,K7829*Summary!$B$9,K7829/Summary!$B$9)</f>
        <v/>
      </c>
      <c r="M7829" s="11">
        <f>G7829+H7829</f>
        <v/>
      </c>
      <c r="N7829" s="11">
        <f>Summary!$C$16*Summary!$B$8</f>
        <v/>
      </c>
      <c r="O7829" s="11">
        <f>M7829-N7829</f>
        <v/>
      </c>
    </row>
    <row r="7830">
      <c r="A7830" s="9" t="n">
        <v>45618.16666666666</v>
      </c>
      <c r="B7830" t="n">
        <v>11</v>
      </c>
      <c r="C7830" t="n">
        <v>22</v>
      </c>
      <c r="D7830" t="n">
        <v>4</v>
      </c>
      <c r="E7830" s="10" t="n">
        <v>0</v>
      </c>
      <c r="F7830" s="10" t="n">
        <v>0.4045296490871158</v>
      </c>
      <c r="G7830" s="11">
        <f>E7830*Summary!$B$6</f>
        <v/>
      </c>
      <c r="H7830" s="11">
        <f>F7830*Summary!$B$7</f>
        <v/>
      </c>
      <c r="I7830" s="11">
        <f>MAX(0,N7830-M7830)</f>
        <v/>
      </c>
      <c r="J7830" s="11">
        <f>MAX(0,M7830-N7830)</f>
        <v/>
      </c>
      <c r="K7830" s="11">
        <f>O7830</f>
        <v/>
      </c>
      <c r="L7830" s="11">
        <f>L7829+IF(K7830&gt;0,K7830*Summary!$B$9,K7830/Summary!$B$9)</f>
        <v/>
      </c>
      <c r="M7830" s="11">
        <f>G7830+H7830</f>
        <v/>
      </c>
      <c r="N7830" s="11">
        <f>Summary!$C$16*Summary!$B$8</f>
        <v/>
      </c>
      <c r="O7830" s="11">
        <f>M7830-N7830</f>
        <v/>
      </c>
    </row>
    <row r="7831">
      <c r="A7831" s="9" t="n">
        <v>45618.20833333334</v>
      </c>
      <c r="B7831" t="n">
        <v>11</v>
      </c>
      <c r="C7831" t="n">
        <v>22</v>
      </c>
      <c r="D7831" t="n">
        <v>5</v>
      </c>
      <c r="E7831" s="10" t="n">
        <v>0</v>
      </c>
      <c r="F7831" s="10" t="n">
        <v>0.4216584531980288</v>
      </c>
      <c r="G7831" s="11">
        <f>E7831*Summary!$B$6</f>
        <v/>
      </c>
      <c r="H7831" s="11">
        <f>F7831*Summary!$B$7</f>
        <v/>
      </c>
      <c r="I7831" s="11">
        <f>MAX(0,N7831-M7831)</f>
        <v/>
      </c>
      <c r="J7831" s="11">
        <f>MAX(0,M7831-N7831)</f>
        <v/>
      </c>
      <c r="K7831" s="11">
        <f>O7831</f>
        <v/>
      </c>
      <c r="L7831" s="11">
        <f>L7830+IF(K7831&gt;0,K7831*Summary!$B$9,K7831/Summary!$B$9)</f>
        <v/>
      </c>
      <c r="M7831" s="11">
        <f>G7831+H7831</f>
        <v/>
      </c>
      <c r="N7831" s="11">
        <f>Summary!$C$16*Summary!$B$8</f>
        <v/>
      </c>
      <c r="O7831" s="11">
        <f>M7831-N7831</f>
        <v/>
      </c>
    </row>
    <row r="7832">
      <c r="A7832" s="9" t="n">
        <v>45618.25</v>
      </c>
      <c r="B7832" t="n">
        <v>11</v>
      </c>
      <c r="C7832" t="n">
        <v>22</v>
      </c>
      <c r="D7832" t="n">
        <v>6</v>
      </c>
      <c r="E7832" s="10" t="n">
        <v>0</v>
      </c>
      <c r="F7832" s="10" t="n">
        <v>0.4396832255239741</v>
      </c>
      <c r="G7832" s="11">
        <f>E7832*Summary!$B$6</f>
        <v/>
      </c>
      <c r="H7832" s="11">
        <f>F7832*Summary!$B$7</f>
        <v/>
      </c>
      <c r="I7832" s="11">
        <f>MAX(0,N7832-M7832)</f>
        <v/>
      </c>
      <c r="J7832" s="11">
        <f>MAX(0,M7832-N7832)</f>
        <v/>
      </c>
      <c r="K7832" s="11">
        <f>O7832</f>
        <v/>
      </c>
      <c r="L7832" s="11">
        <f>L7831+IF(K7832&gt;0,K7832*Summary!$B$9,K7832/Summary!$B$9)</f>
        <v/>
      </c>
      <c r="M7832" s="11">
        <f>G7832+H7832</f>
        <v/>
      </c>
      <c r="N7832" s="11">
        <f>Summary!$C$16*Summary!$B$8</f>
        <v/>
      </c>
      <c r="O7832" s="11">
        <f>M7832-N7832</f>
        <v/>
      </c>
    </row>
    <row r="7833">
      <c r="A7833" s="9" t="n">
        <v>45618.29166666666</v>
      </c>
      <c r="B7833" t="n">
        <v>11</v>
      </c>
      <c r="C7833" t="n">
        <v>22</v>
      </c>
      <c r="D7833" t="n">
        <v>7</v>
      </c>
      <c r="E7833" s="10" t="n">
        <v>0</v>
      </c>
      <c r="F7833" s="10" t="n">
        <v>0.4567066216095892</v>
      </c>
      <c r="G7833" s="11">
        <f>E7833*Summary!$B$6</f>
        <v/>
      </c>
      <c r="H7833" s="11">
        <f>F7833*Summary!$B$7</f>
        <v/>
      </c>
      <c r="I7833" s="11">
        <f>MAX(0,N7833-M7833)</f>
        <v/>
      </c>
      <c r="J7833" s="11">
        <f>MAX(0,M7833-N7833)</f>
        <v/>
      </c>
      <c r="K7833" s="11">
        <f>O7833</f>
        <v/>
      </c>
      <c r="L7833" s="11">
        <f>L7832+IF(K7833&gt;0,K7833*Summary!$B$9,K7833/Summary!$B$9)</f>
        <v/>
      </c>
      <c r="M7833" s="11">
        <f>G7833+H7833</f>
        <v/>
      </c>
      <c r="N7833" s="11">
        <f>Summary!$C$16*Summary!$B$8</f>
        <v/>
      </c>
      <c r="O7833" s="11">
        <f>M7833-N7833</f>
        <v/>
      </c>
    </row>
    <row r="7834">
      <c r="A7834" s="9" t="n">
        <v>45618.33333333334</v>
      </c>
      <c r="B7834" t="n">
        <v>11</v>
      </c>
      <c r="C7834" t="n">
        <v>22</v>
      </c>
      <c r="D7834" t="n">
        <v>8</v>
      </c>
      <c r="E7834" s="10" t="n">
        <v>0.010708</v>
      </c>
      <c r="F7834" s="10" t="n">
        <v>0.4666676800002432</v>
      </c>
      <c r="G7834" s="11">
        <f>E7834*Summary!$B$6</f>
        <v/>
      </c>
      <c r="H7834" s="11">
        <f>F7834*Summary!$B$7</f>
        <v/>
      </c>
      <c r="I7834" s="11">
        <f>MAX(0,N7834-M7834)</f>
        <v/>
      </c>
      <c r="J7834" s="11">
        <f>MAX(0,M7834-N7834)</f>
        <v/>
      </c>
      <c r="K7834" s="11">
        <f>O7834</f>
        <v/>
      </c>
      <c r="L7834" s="11">
        <f>L7833+IF(K7834&gt;0,K7834*Summary!$B$9,K7834/Summary!$B$9)</f>
        <v/>
      </c>
      <c r="M7834" s="11">
        <f>G7834+H7834</f>
        <v/>
      </c>
      <c r="N7834" s="11">
        <f>Summary!$C$16*Summary!$B$8</f>
        <v/>
      </c>
      <c r="O7834" s="11">
        <f>M7834-N7834</f>
        <v/>
      </c>
    </row>
    <row r="7835">
      <c r="A7835" s="9" t="n">
        <v>45618.375</v>
      </c>
      <c r="B7835" t="n">
        <v>11</v>
      </c>
      <c r="C7835" t="n">
        <v>22</v>
      </c>
      <c r="D7835" t="n">
        <v>9</v>
      </c>
      <c r="E7835" s="10" t="n">
        <v>0.020697</v>
      </c>
      <c r="F7835" s="10" t="n">
        <v>0.4788950109348026</v>
      </c>
      <c r="G7835" s="11">
        <f>E7835*Summary!$B$6</f>
        <v/>
      </c>
      <c r="H7835" s="11">
        <f>F7835*Summary!$B$7</f>
        <v/>
      </c>
      <c r="I7835" s="11">
        <f>MAX(0,N7835-M7835)</f>
        <v/>
      </c>
      <c r="J7835" s="11">
        <f>MAX(0,M7835-N7835)</f>
        <v/>
      </c>
      <c r="K7835" s="11">
        <f>O7835</f>
        <v/>
      </c>
      <c r="L7835" s="11">
        <f>L7834+IF(K7835&gt;0,K7835*Summary!$B$9,K7835/Summary!$B$9)</f>
        <v/>
      </c>
      <c r="M7835" s="11">
        <f>G7835+H7835</f>
        <v/>
      </c>
      <c r="N7835" s="11">
        <f>Summary!$C$16*Summary!$B$8</f>
        <v/>
      </c>
      <c r="O7835" s="11">
        <f>M7835-N7835</f>
        <v/>
      </c>
    </row>
    <row r="7836">
      <c r="A7836" s="9" t="n">
        <v>45618.41666666666</v>
      </c>
      <c r="B7836" t="n">
        <v>11</v>
      </c>
      <c r="C7836" t="n">
        <v>22</v>
      </c>
      <c r="D7836" t="n">
        <v>10</v>
      </c>
      <c r="E7836" s="10" t="n">
        <v>0.019942</v>
      </c>
      <c r="F7836" s="10" t="n">
        <v>0.4857728845854923</v>
      </c>
      <c r="G7836" s="11">
        <f>E7836*Summary!$B$6</f>
        <v/>
      </c>
      <c r="H7836" s="11">
        <f>F7836*Summary!$B$7</f>
        <v/>
      </c>
      <c r="I7836" s="11">
        <f>MAX(0,N7836-M7836)</f>
        <v/>
      </c>
      <c r="J7836" s="11">
        <f>MAX(0,M7836-N7836)</f>
        <v/>
      </c>
      <c r="K7836" s="11">
        <f>O7836</f>
        <v/>
      </c>
      <c r="L7836" s="11">
        <f>L7835+IF(K7836&gt;0,K7836*Summary!$B$9,K7836/Summary!$B$9)</f>
        <v/>
      </c>
      <c r="M7836" s="11">
        <f>G7836+H7836</f>
        <v/>
      </c>
      <c r="N7836" s="11">
        <f>Summary!$C$16*Summary!$B$8</f>
        <v/>
      </c>
      <c r="O7836" s="11">
        <f>M7836-N7836</f>
        <v/>
      </c>
    </row>
    <row r="7837">
      <c r="A7837" s="9" t="n">
        <v>45618.45833333334</v>
      </c>
      <c r="B7837" t="n">
        <v>11</v>
      </c>
      <c r="C7837" t="n">
        <v>22</v>
      </c>
      <c r="D7837" t="n">
        <v>11</v>
      </c>
      <c r="E7837" s="10" t="n">
        <v>0.022537</v>
      </c>
      <c r="F7837" s="10" t="n">
        <v>0.4900419096100583</v>
      </c>
      <c r="G7837" s="11">
        <f>E7837*Summary!$B$6</f>
        <v/>
      </c>
      <c r="H7837" s="11">
        <f>F7837*Summary!$B$7</f>
        <v/>
      </c>
      <c r="I7837" s="11">
        <f>MAX(0,N7837-M7837)</f>
        <v/>
      </c>
      <c r="J7837" s="11">
        <f>MAX(0,M7837-N7837)</f>
        <v/>
      </c>
      <c r="K7837" s="11">
        <f>O7837</f>
        <v/>
      </c>
      <c r="L7837" s="11">
        <f>L7836+IF(K7837&gt;0,K7837*Summary!$B$9,K7837/Summary!$B$9)</f>
        <v/>
      </c>
      <c r="M7837" s="11">
        <f>G7837+H7837</f>
        <v/>
      </c>
      <c r="N7837" s="11">
        <f>Summary!$C$16*Summary!$B$8</f>
        <v/>
      </c>
      <c r="O7837" s="11">
        <f>M7837-N7837</f>
        <v/>
      </c>
    </row>
    <row r="7838">
      <c r="A7838" s="9" t="n">
        <v>45618.5</v>
      </c>
      <c r="B7838" t="n">
        <v>11</v>
      </c>
      <c r="C7838" t="n">
        <v>22</v>
      </c>
      <c r="D7838" t="n">
        <v>12</v>
      </c>
      <c r="E7838" s="10" t="n">
        <v>0.035001</v>
      </c>
      <c r="F7838" s="10" t="n">
        <v>0.5005827121398509</v>
      </c>
      <c r="G7838" s="11">
        <f>E7838*Summary!$B$6</f>
        <v/>
      </c>
      <c r="H7838" s="11">
        <f>F7838*Summary!$B$7</f>
        <v/>
      </c>
      <c r="I7838" s="11">
        <f>MAX(0,N7838-M7838)</f>
        <v/>
      </c>
      <c r="J7838" s="11">
        <f>MAX(0,M7838-N7838)</f>
        <v/>
      </c>
      <c r="K7838" s="11">
        <f>O7838</f>
        <v/>
      </c>
      <c r="L7838" s="11">
        <f>L7837+IF(K7838&gt;0,K7838*Summary!$B$9,K7838/Summary!$B$9)</f>
        <v/>
      </c>
      <c r="M7838" s="11">
        <f>G7838+H7838</f>
        <v/>
      </c>
      <c r="N7838" s="11">
        <f>Summary!$C$16*Summary!$B$8</f>
        <v/>
      </c>
      <c r="O7838" s="11">
        <f>M7838-N7838</f>
        <v/>
      </c>
    </row>
    <row r="7839">
      <c r="A7839" s="9" t="n">
        <v>45618.54166666666</v>
      </c>
      <c r="B7839" t="n">
        <v>11</v>
      </c>
      <c r="C7839" t="n">
        <v>22</v>
      </c>
      <c r="D7839" t="n">
        <v>13</v>
      </c>
      <c r="E7839" s="10" t="n">
        <v>0.030578</v>
      </c>
      <c r="F7839" s="10" t="n">
        <v>0.5137323632957672</v>
      </c>
      <c r="G7839" s="11">
        <f>E7839*Summary!$B$6</f>
        <v/>
      </c>
      <c r="H7839" s="11">
        <f>F7839*Summary!$B$7</f>
        <v/>
      </c>
      <c r="I7839" s="11">
        <f>MAX(0,N7839-M7839)</f>
        <v/>
      </c>
      <c r="J7839" s="11">
        <f>MAX(0,M7839-N7839)</f>
        <v/>
      </c>
      <c r="K7839" s="11">
        <f>O7839</f>
        <v/>
      </c>
      <c r="L7839" s="11">
        <f>L7838+IF(K7839&gt;0,K7839*Summary!$B$9,K7839/Summary!$B$9)</f>
        <v/>
      </c>
      <c r="M7839" s="11">
        <f>G7839+H7839</f>
        <v/>
      </c>
      <c r="N7839" s="11">
        <f>Summary!$C$16*Summary!$B$8</f>
        <v/>
      </c>
      <c r="O7839" s="11">
        <f>M7839-N7839</f>
        <v/>
      </c>
    </row>
    <row r="7840">
      <c r="A7840" s="9" t="n">
        <v>45618.58333333334</v>
      </c>
      <c r="B7840" t="n">
        <v>11</v>
      </c>
      <c r="C7840" t="n">
        <v>22</v>
      </c>
      <c r="D7840" t="n">
        <v>14</v>
      </c>
      <c r="E7840" s="10" t="n">
        <v>0.017399</v>
      </c>
      <c r="F7840" s="10" t="n">
        <v>0.516894604054705</v>
      </c>
      <c r="G7840" s="11">
        <f>E7840*Summary!$B$6</f>
        <v/>
      </c>
      <c r="H7840" s="11">
        <f>F7840*Summary!$B$7</f>
        <v/>
      </c>
      <c r="I7840" s="11">
        <f>MAX(0,N7840-M7840)</f>
        <v/>
      </c>
      <c r="J7840" s="11">
        <f>MAX(0,M7840-N7840)</f>
        <v/>
      </c>
      <c r="K7840" s="11">
        <f>O7840</f>
        <v/>
      </c>
      <c r="L7840" s="11">
        <f>L7839+IF(K7840&gt;0,K7840*Summary!$B$9,K7840/Summary!$B$9)</f>
        <v/>
      </c>
      <c r="M7840" s="11">
        <f>G7840+H7840</f>
        <v/>
      </c>
      <c r="N7840" s="11">
        <f>Summary!$C$16*Summary!$B$8</f>
        <v/>
      </c>
      <c r="O7840" s="11">
        <f>M7840-N7840</f>
        <v/>
      </c>
    </row>
    <row r="7841">
      <c r="A7841" s="9" t="n">
        <v>45618.625</v>
      </c>
      <c r="B7841" t="n">
        <v>11</v>
      </c>
      <c r="C7841" t="n">
        <v>22</v>
      </c>
      <c r="D7841" t="n">
        <v>15</v>
      </c>
      <c r="E7841" s="10" t="n">
        <v>0.002981</v>
      </c>
      <c r="F7841" s="10" t="n">
        <v>0.5303604792865151</v>
      </c>
      <c r="G7841" s="11">
        <f>E7841*Summary!$B$6</f>
        <v/>
      </c>
      <c r="H7841" s="11">
        <f>F7841*Summary!$B$7</f>
        <v/>
      </c>
      <c r="I7841" s="11">
        <f>MAX(0,N7841-M7841)</f>
        <v/>
      </c>
      <c r="J7841" s="11">
        <f>MAX(0,M7841-N7841)</f>
        <v/>
      </c>
      <c r="K7841" s="11">
        <f>O7841</f>
        <v/>
      </c>
      <c r="L7841" s="11">
        <f>L7840+IF(K7841&gt;0,K7841*Summary!$B$9,K7841/Summary!$B$9)</f>
        <v/>
      </c>
      <c r="M7841" s="11">
        <f>G7841+H7841</f>
        <v/>
      </c>
      <c r="N7841" s="11">
        <f>Summary!$C$16*Summary!$B$8</f>
        <v/>
      </c>
      <c r="O7841" s="11">
        <f>M7841-N7841</f>
        <v/>
      </c>
    </row>
    <row r="7842">
      <c r="A7842" s="9" t="n">
        <v>45618.66666666666</v>
      </c>
      <c r="B7842" t="n">
        <v>11</v>
      </c>
      <c r="C7842" t="n">
        <v>22</v>
      </c>
      <c r="D7842" t="n">
        <v>16</v>
      </c>
      <c r="E7842" s="10" t="n">
        <v>0</v>
      </c>
      <c r="F7842" s="10" t="n">
        <v>0.5442216346131923</v>
      </c>
      <c r="G7842" s="11">
        <f>E7842*Summary!$B$6</f>
        <v/>
      </c>
      <c r="H7842" s="11">
        <f>F7842*Summary!$B$7</f>
        <v/>
      </c>
      <c r="I7842" s="11">
        <f>MAX(0,N7842-M7842)</f>
        <v/>
      </c>
      <c r="J7842" s="11">
        <f>MAX(0,M7842-N7842)</f>
        <v/>
      </c>
      <c r="K7842" s="11">
        <f>O7842</f>
        <v/>
      </c>
      <c r="L7842" s="11">
        <f>L7841+IF(K7842&gt;0,K7842*Summary!$B$9,K7842/Summary!$B$9)</f>
        <v/>
      </c>
      <c r="M7842" s="11">
        <f>G7842+H7842</f>
        <v/>
      </c>
      <c r="N7842" s="11">
        <f>Summary!$C$16*Summary!$B$8</f>
        <v/>
      </c>
      <c r="O7842" s="11">
        <f>M7842-N7842</f>
        <v/>
      </c>
    </row>
    <row r="7843">
      <c r="A7843" s="9" t="n">
        <v>45618.70833333334</v>
      </c>
      <c r="B7843" t="n">
        <v>11</v>
      </c>
      <c r="C7843" t="n">
        <v>22</v>
      </c>
      <c r="D7843" t="n">
        <v>17</v>
      </c>
      <c r="E7843" s="10" t="n">
        <v>0</v>
      </c>
      <c r="F7843" s="10" t="n">
        <v>0.5448277307586554</v>
      </c>
      <c r="G7843" s="11">
        <f>E7843*Summary!$B$6</f>
        <v/>
      </c>
      <c r="H7843" s="11">
        <f>F7843*Summary!$B$7</f>
        <v/>
      </c>
      <c r="I7843" s="11">
        <f>MAX(0,N7843-M7843)</f>
        <v/>
      </c>
      <c r="J7843" s="11">
        <f>MAX(0,M7843-N7843)</f>
        <v/>
      </c>
      <c r="K7843" s="11">
        <f>O7843</f>
        <v/>
      </c>
      <c r="L7843" s="11">
        <f>L7842+IF(K7843&gt;0,K7843*Summary!$B$9,K7843/Summary!$B$9)</f>
        <v/>
      </c>
      <c r="M7843" s="11">
        <f>G7843+H7843</f>
        <v/>
      </c>
      <c r="N7843" s="11">
        <f>Summary!$C$16*Summary!$B$8</f>
        <v/>
      </c>
      <c r="O7843" s="11">
        <f>M7843-N7843</f>
        <v/>
      </c>
    </row>
    <row r="7844">
      <c r="A7844" s="9" t="n">
        <v>45618.75</v>
      </c>
      <c r="B7844" t="n">
        <v>11</v>
      </c>
      <c r="C7844" t="n">
        <v>22</v>
      </c>
      <c r="D7844" t="n">
        <v>18</v>
      </c>
      <c r="E7844" s="10" t="n">
        <v>0</v>
      </c>
      <c r="F7844" s="10" t="n">
        <v>0.5829854359165046</v>
      </c>
      <c r="G7844" s="11">
        <f>E7844*Summary!$B$6</f>
        <v/>
      </c>
      <c r="H7844" s="11">
        <f>F7844*Summary!$B$7</f>
        <v/>
      </c>
      <c r="I7844" s="11">
        <f>MAX(0,N7844-M7844)</f>
        <v/>
      </c>
      <c r="J7844" s="11">
        <f>MAX(0,M7844-N7844)</f>
        <v/>
      </c>
      <c r="K7844" s="11">
        <f>O7844</f>
        <v/>
      </c>
      <c r="L7844" s="11">
        <f>L7843+IF(K7844&gt;0,K7844*Summary!$B$9,K7844/Summary!$B$9)</f>
        <v/>
      </c>
      <c r="M7844" s="11">
        <f>G7844+H7844</f>
        <v/>
      </c>
      <c r="N7844" s="11">
        <f>Summary!$C$16*Summary!$B$8</f>
        <v/>
      </c>
      <c r="O7844" s="11">
        <f>M7844-N7844</f>
        <v/>
      </c>
    </row>
    <row r="7845">
      <c r="A7845" s="9" t="n">
        <v>45618.79166666666</v>
      </c>
      <c r="B7845" t="n">
        <v>11</v>
      </c>
      <c r="C7845" t="n">
        <v>22</v>
      </c>
      <c r="D7845" t="n">
        <v>19</v>
      </c>
      <c r="E7845" s="10" t="n">
        <v>0</v>
      </c>
      <c r="F7845" s="10" t="n">
        <v>0.5277252786540669</v>
      </c>
      <c r="G7845" s="11">
        <f>E7845*Summary!$B$6</f>
        <v/>
      </c>
      <c r="H7845" s="11">
        <f>F7845*Summary!$B$7</f>
        <v/>
      </c>
      <c r="I7845" s="11">
        <f>MAX(0,N7845-M7845)</f>
        <v/>
      </c>
      <c r="J7845" s="11">
        <f>MAX(0,M7845-N7845)</f>
        <v/>
      </c>
      <c r="K7845" s="11">
        <f>O7845</f>
        <v/>
      </c>
      <c r="L7845" s="11">
        <f>L7844+IF(K7845&gt;0,K7845*Summary!$B$9,K7845/Summary!$B$9)</f>
        <v/>
      </c>
      <c r="M7845" s="11">
        <f>G7845+H7845</f>
        <v/>
      </c>
      <c r="N7845" s="11">
        <f>Summary!$C$16*Summary!$B$8</f>
        <v/>
      </c>
      <c r="O7845" s="11">
        <f>M7845-N7845</f>
        <v/>
      </c>
    </row>
    <row r="7846">
      <c r="A7846" s="9" t="n">
        <v>45618.83333333334</v>
      </c>
      <c r="B7846" t="n">
        <v>11</v>
      </c>
      <c r="C7846" t="n">
        <v>22</v>
      </c>
      <c r="D7846" t="n">
        <v>20</v>
      </c>
      <c r="E7846" s="10" t="n">
        <v>0</v>
      </c>
      <c r="F7846" s="10" t="n">
        <v>0.5157614677827522</v>
      </c>
      <c r="G7846" s="11">
        <f>E7846*Summary!$B$6</f>
        <v/>
      </c>
      <c r="H7846" s="11">
        <f>F7846*Summary!$B$7</f>
        <v/>
      </c>
      <c r="I7846" s="11">
        <f>MAX(0,N7846-M7846)</f>
        <v/>
      </c>
      <c r="J7846" s="11">
        <f>MAX(0,M7846-N7846)</f>
        <v/>
      </c>
      <c r="K7846" s="11">
        <f>O7846</f>
        <v/>
      </c>
      <c r="L7846" s="11">
        <f>L7845+IF(K7846&gt;0,K7846*Summary!$B$9,K7846/Summary!$B$9)</f>
        <v/>
      </c>
      <c r="M7846" s="11">
        <f>G7846+H7846</f>
        <v/>
      </c>
      <c r="N7846" s="11">
        <f>Summary!$C$16*Summary!$B$8</f>
        <v/>
      </c>
      <c r="O7846" s="11">
        <f>M7846-N7846</f>
        <v/>
      </c>
    </row>
    <row r="7847">
      <c r="A7847" s="9" t="n">
        <v>45618.875</v>
      </c>
      <c r="B7847" t="n">
        <v>11</v>
      </c>
      <c r="C7847" t="n">
        <v>22</v>
      </c>
      <c r="D7847" t="n">
        <v>21</v>
      </c>
      <c r="E7847" s="10" t="n">
        <v>0</v>
      </c>
      <c r="F7847" s="10" t="n">
        <v>0.5081984419676261</v>
      </c>
      <c r="G7847" s="11">
        <f>E7847*Summary!$B$6</f>
        <v/>
      </c>
      <c r="H7847" s="11">
        <f>F7847*Summary!$B$7</f>
        <v/>
      </c>
      <c r="I7847" s="11">
        <f>MAX(0,N7847-M7847)</f>
        <v/>
      </c>
      <c r="J7847" s="11">
        <f>MAX(0,M7847-N7847)</f>
        <v/>
      </c>
      <c r="K7847" s="11">
        <f>O7847</f>
        <v/>
      </c>
      <c r="L7847" s="11">
        <f>L7846+IF(K7847&gt;0,K7847*Summary!$B$9,K7847/Summary!$B$9)</f>
        <v/>
      </c>
      <c r="M7847" s="11">
        <f>G7847+H7847</f>
        <v/>
      </c>
      <c r="N7847" s="11">
        <f>Summary!$C$16*Summary!$B$8</f>
        <v/>
      </c>
      <c r="O7847" s="11">
        <f>M7847-N7847</f>
        <v/>
      </c>
    </row>
    <row r="7848">
      <c r="A7848" s="9" t="n">
        <v>45618.91666666666</v>
      </c>
      <c r="B7848" t="n">
        <v>11</v>
      </c>
      <c r="C7848" t="n">
        <v>22</v>
      </c>
      <c r="D7848" t="n">
        <v>22</v>
      </c>
      <c r="E7848" s="10" t="n">
        <v>0</v>
      </c>
      <c r="F7848" s="10" t="n">
        <v>0.5063538015249124</v>
      </c>
      <c r="G7848" s="11">
        <f>E7848*Summary!$B$6</f>
        <v/>
      </c>
      <c r="H7848" s="11">
        <f>F7848*Summary!$B$7</f>
        <v/>
      </c>
      <c r="I7848" s="11">
        <f>MAX(0,N7848-M7848)</f>
        <v/>
      </c>
      <c r="J7848" s="11">
        <f>MAX(0,M7848-N7848)</f>
        <v/>
      </c>
      <c r="K7848" s="11">
        <f>O7848</f>
        <v/>
      </c>
      <c r="L7848" s="11">
        <f>L7847+IF(K7848&gt;0,K7848*Summary!$B$9,K7848/Summary!$B$9)</f>
        <v/>
      </c>
      <c r="M7848" s="11">
        <f>G7848+H7848</f>
        <v/>
      </c>
      <c r="N7848" s="11">
        <f>Summary!$C$16*Summary!$B$8</f>
        <v/>
      </c>
      <c r="O7848" s="11">
        <f>M7848-N7848</f>
        <v/>
      </c>
    </row>
    <row r="7849">
      <c r="A7849" s="9" t="n">
        <v>45618.95833333334</v>
      </c>
      <c r="B7849" t="n">
        <v>11</v>
      </c>
      <c r="C7849" t="n">
        <v>22</v>
      </c>
      <c r="D7849" t="n">
        <v>23</v>
      </c>
      <c r="E7849" s="10" t="n">
        <v>0</v>
      </c>
      <c r="F7849" s="10" t="n">
        <v>0.5476210434290504</v>
      </c>
      <c r="G7849" s="11">
        <f>E7849*Summary!$B$6</f>
        <v/>
      </c>
      <c r="H7849" s="11">
        <f>F7849*Summary!$B$7</f>
        <v/>
      </c>
      <c r="I7849" s="11">
        <f>MAX(0,N7849-M7849)</f>
        <v/>
      </c>
      <c r="J7849" s="11">
        <f>MAX(0,M7849-N7849)</f>
        <v/>
      </c>
      <c r="K7849" s="11">
        <f>O7849</f>
        <v/>
      </c>
      <c r="L7849" s="11">
        <f>L7848+IF(K7849&gt;0,K7849*Summary!$B$9,K7849/Summary!$B$9)</f>
        <v/>
      </c>
      <c r="M7849" s="11">
        <f>G7849+H7849</f>
        <v/>
      </c>
      <c r="N7849" s="11">
        <f>Summary!$C$16*Summary!$B$8</f>
        <v/>
      </c>
      <c r="O7849" s="11">
        <f>M7849-N7849</f>
        <v/>
      </c>
    </row>
    <row r="7850">
      <c r="A7850" s="9" t="n">
        <v>45619</v>
      </c>
      <c r="B7850" t="n">
        <v>11</v>
      </c>
      <c r="C7850" t="n">
        <v>23</v>
      </c>
      <c r="D7850" t="n">
        <v>0</v>
      </c>
      <c r="E7850" s="10" t="n">
        <v>0</v>
      </c>
      <c r="F7850" s="10" t="n">
        <v>0.4488010197122447</v>
      </c>
      <c r="G7850" s="11">
        <f>E7850*Summary!$B$6</f>
        <v/>
      </c>
      <c r="H7850" s="11">
        <f>F7850*Summary!$B$7</f>
        <v/>
      </c>
      <c r="I7850" s="11">
        <f>MAX(0,N7850-M7850)</f>
        <v/>
      </c>
      <c r="J7850" s="11">
        <f>MAX(0,M7850-N7850)</f>
        <v/>
      </c>
      <c r="K7850" s="11">
        <f>O7850</f>
        <v/>
      </c>
      <c r="L7850" s="11">
        <f>L7849+IF(K7850&gt;0,K7850*Summary!$B$9,K7850/Summary!$B$9)</f>
        <v/>
      </c>
      <c r="M7850" s="11">
        <f>G7850+H7850</f>
        <v/>
      </c>
      <c r="N7850" s="11">
        <f>Summary!$C$16*Summary!$B$8</f>
        <v/>
      </c>
      <c r="O7850" s="11">
        <f>M7850-N7850</f>
        <v/>
      </c>
    </row>
    <row r="7851">
      <c r="A7851" s="9" t="n">
        <v>45619.04166666666</v>
      </c>
      <c r="B7851" t="n">
        <v>11</v>
      </c>
      <c r="C7851" t="n">
        <v>23</v>
      </c>
      <c r="D7851" t="n">
        <v>1</v>
      </c>
      <c r="E7851" s="10" t="n">
        <v>0</v>
      </c>
      <c r="F7851" s="10" t="n">
        <v>0.5123884109732186</v>
      </c>
      <c r="G7851" s="11">
        <f>E7851*Summary!$B$6</f>
        <v/>
      </c>
      <c r="H7851" s="11">
        <f>F7851*Summary!$B$7</f>
        <v/>
      </c>
      <c r="I7851" s="11">
        <f>MAX(0,N7851-M7851)</f>
        <v/>
      </c>
      <c r="J7851" s="11">
        <f>MAX(0,M7851-N7851)</f>
        <v/>
      </c>
      <c r="K7851" s="11">
        <f>O7851</f>
        <v/>
      </c>
      <c r="L7851" s="11">
        <f>L7850+IF(K7851&gt;0,K7851*Summary!$B$9,K7851/Summary!$B$9)</f>
        <v/>
      </c>
      <c r="M7851" s="11">
        <f>G7851+H7851</f>
        <v/>
      </c>
      <c r="N7851" s="11">
        <f>Summary!$C$16*Summary!$B$8</f>
        <v/>
      </c>
      <c r="O7851" s="11">
        <f>M7851-N7851</f>
        <v/>
      </c>
    </row>
    <row r="7852">
      <c r="A7852" s="9" t="n">
        <v>45619.08333333334</v>
      </c>
      <c r="B7852" t="n">
        <v>11</v>
      </c>
      <c r="C7852" t="n">
        <v>23</v>
      </c>
      <c r="D7852" t="n">
        <v>2</v>
      </c>
      <c r="E7852" s="10" t="n">
        <v>0</v>
      </c>
      <c r="F7852" s="10" t="n">
        <v>0.516789196029407</v>
      </c>
      <c r="G7852" s="11">
        <f>E7852*Summary!$B$6</f>
        <v/>
      </c>
      <c r="H7852" s="11">
        <f>F7852*Summary!$B$7</f>
        <v/>
      </c>
      <c r="I7852" s="11">
        <f>MAX(0,N7852-M7852)</f>
        <v/>
      </c>
      <c r="J7852" s="11">
        <f>MAX(0,M7852-N7852)</f>
        <v/>
      </c>
      <c r="K7852" s="11">
        <f>O7852</f>
        <v/>
      </c>
      <c r="L7852" s="11">
        <f>L7851+IF(K7852&gt;0,K7852*Summary!$B$9,K7852/Summary!$B$9)</f>
        <v/>
      </c>
      <c r="M7852" s="11">
        <f>G7852+H7852</f>
        <v/>
      </c>
      <c r="N7852" s="11">
        <f>Summary!$C$16*Summary!$B$8</f>
        <v/>
      </c>
      <c r="O7852" s="11">
        <f>M7852-N7852</f>
        <v/>
      </c>
    </row>
    <row r="7853">
      <c r="A7853" s="9" t="n">
        <v>45619.125</v>
      </c>
      <c r="B7853" t="n">
        <v>11</v>
      </c>
      <c r="C7853" t="n">
        <v>23</v>
      </c>
      <c r="D7853" t="n">
        <v>3</v>
      </c>
      <c r="E7853" s="10" t="n">
        <v>0</v>
      </c>
      <c r="F7853" s="10" t="n">
        <v>0.5178959802950353</v>
      </c>
      <c r="G7853" s="11">
        <f>E7853*Summary!$B$6</f>
        <v/>
      </c>
      <c r="H7853" s="11">
        <f>F7853*Summary!$B$7</f>
        <v/>
      </c>
      <c r="I7853" s="11">
        <f>MAX(0,N7853-M7853)</f>
        <v/>
      </c>
      <c r="J7853" s="11">
        <f>MAX(0,M7853-N7853)</f>
        <v/>
      </c>
      <c r="K7853" s="11">
        <f>O7853</f>
        <v/>
      </c>
      <c r="L7853" s="11">
        <f>L7852+IF(K7853&gt;0,K7853*Summary!$B$9,K7853/Summary!$B$9)</f>
        <v/>
      </c>
      <c r="M7853" s="11">
        <f>G7853+H7853</f>
        <v/>
      </c>
      <c r="N7853" s="11">
        <f>Summary!$C$16*Summary!$B$8</f>
        <v/>
      </c>
      <c r="O7853" s="11">
        <f>M7853-N7853</f>
        <v/>
      </c>
    </row>
    <row r="7854">
      <c r="A7854" s="9" t="n">
        <v>45619.16666666666</v>
      </c>
      <c r="B7854" t="n">
        <v>11</v>
      </c>
      <c r="C7854" t="n">
        <v>23</v>
      </c>
      <c r="D7854" t="n">
        <v>4</v>
      </c>
      <c r="E7854" s="10" t="n">
        <v>0</v>
      </c>
      <c r="F7854" s="10" t="n">
        <v>0.5050625532150127</v>
      </c>
      <c r="G7854" s="11">
        <f>E7854*Summary!$B$6</f>
        <v/>
      </c>
      <c r="H7854" s="11">
        <f>F7854*Summary!$B$7</f>
        <v/>
      </c>
      <c r="I7854" s="11">
        <f>MAX(0,N7854-M7854)</f>
        <v/>
      </c>
      <c r="J7854" s="11">
        <f>MAX(0,M7854-N7854)</f>
        <v/>
      </c>
      <c r="K7854" s="11">
        <f>O7854</f>
        <v/>
      </c>
      <c r="L7854" s="11">
        <f>L7853+IF(K7854&gt;0,K7854*Summary!$B$9,K7854/Summary!$B$9)</f>
        <v/>
      </c>
      <c r="M7854" s="11">
        <f>G7854+H7854</f>
        <v/>
      </c>
      <c r="N7854" s="11">
        <f>Summary!$C$16*Summary!$B$8</f>
        <v/>
      </c>
      <c r="O7854" s="11">
        <f>M7854-N7854</f>
        <v/>
      </c>
    </row>
    <row r="7855">
      <c r="A7855" s="9" t="n">
        <v>45619.20833333334</v>
      </c>
      <c r="B7855" t="n">
        <v>11</v>
      </c>
      <c r="C7855" t="n">
        <v>23</v>
      </c>
      <c r="D7855" t="n">
        <v>5</v>
      </c>
      <c r="E7855" s="10" t="n">
        <v>0</v>
      </c>
      <c r="F7855" s="10" t="n">
        <v>0.5115714987771597</v>
      </c>
      <c r="G7855" s="11">
        <f>E7855*Summary!$B$6</f>
        <v/>
      </c>
      <c r="H7855" s="11">
        <f>F7855*Summary!$B$7</f>
        <v/>
      </c>
      <c r="I7855" s="11">
        <f>MAX(0,N7855-M7855)</f>
        <v/>
      </c>
      <c r="J7855" s="11">
        <f>MAX(0,M7855-N7855)</f>
        <v/>
      </c>
      <c r="K7855" s="11">
        <f>O7855</f>
        <v/>
      </c>
      <c r="L7855" s="11">
        <f>L7854+IF(K7855&gt;0,K7855*Summary!$B$9,K7855/Summary!$B$9)</f>
        <v/>
      </c>
      <c r="M7855" s="11">
        <f>G7855+H7855</f>
        <v/>
      </c>
      <c r="N7855" s="11">
        <f>Summary!$C$16*Summary!$B$8</f>
        <v/>
      </c>
      <c r="O7855" s="11">
        <f>M7855-N7855</f>
        <v/>
      </c>
    </row>
    <row r="7856">
      <c r="A7856" s="9" t="n">
        <v>45619.25</v>
      </c>
      <c r="B7856" t="n">
        <v>11</v>
      </c>
      <c r="C7856" t="n">
        <v>23</v>
      </c>
      <c r="D7856" t="n">
        <v>6</v>
      </c>
      <c r="E7856" s="10" t="n">
        <v>0</v>
      </c>
      <c r="F7856" s="10" t="n">
        <v>0.5252218380532411</v>
      </c>
      <c r="G7856" s="11">
        <f>E7856*Summary!$B$6</f>
        <v/>
      </c>
      <c r="H7856" s="11">
        <f>F7856*Summary!$B$7</f>
        <v/>
      </c>
      <c r="I7856" s="11">
        <f>MAX(0,N7856-M7856)</f>
        <v/>
      </c>
      <c r="J7856" s="11">
        <f>MAX(0,M7856-N7856)</f>
        <v/>
      </c>
      <c r="K7856" s="11">
        <f>O7856</f>
        <v/>
      </c>
      <c r="L7856" s="11">
        <f>L7855+IF(K7856&gt;0,K7856*Summary!$B$9,K7856/Summary!$B$9)</f>
        <v/>
      </c>
      <c r="M7856" s="11">
        <f>G7856+H7856</f>
        <v/>
      </c>
      <c r="N7856" s="11">
        <f>Summary!$C$16*Summary!$B$8</f>
        <v/>
      </c>
      <c r="O7856" s="11">
        <f>M7856-N7856</f>
        <v/>
      </c>
    </row>
    <row r="7857">
      <c r="A7857" s="9" t="n">
        <v>45619.29166666666</v>
      </c>
      <c r="B7857" t="n">
        <v>11</v>
      </c>
      <c r="C7857" t="n">
        <v>23</v>
      </c>
      <c r="D7857" t="n">
        <v>7</v>
      </c>
      <c r="E7857" s="10" t="n">
        <v>0</v>
      </c>
      <c r="F7857" s="10" t="n">
        <v>0.501241512297963</v>
      </c>
      <c r="G7857" s="11">
        <f>E7857*Summary!$B$6</f>
        <v/>
      </c>
      <c r="H7857" s="11">
        <f>F7857*Summary!$B$7</f>
        <v/>
      </c>
      <c r="I7857" s="11">
        <f>MAX(0,N7857-M7857)</f>
        <v/>
      </c>
      <c r="J7857" s="11">
        <f>MAX(0,M7857-N7857)</f>
        <v/>
      </c>
      <c r="K7857" s="11">
        <f>O7857</f>
        <v/>
      </c>
      <c r="L7857" s="11">
        <f>L7856+IF(K7857&gt;0,K7857*Summary!$B$9,K7857/Summary!$B$9)</f>
        <v/>
      </c>
      <c r="M7857" s="11">
        <f>G7857+H7857</f>
        <v/>
      </c>
      <c r="N7857" s="11">
        <f>Summary!$C$16*Summary!$B$8</f>
        <v/>
      </c>
      <c r="O7857" s="11">
        <f>M7857-N7857</f>
        <v/>
      </c>
    </row>
    <row r="7858">
      <c r="A7858" s="9" t="n">
        <v>45619.33333333334</v>
      </c>
      <c r="B7858" t="n">
        <v>11</v>
      </c>
      <c r="C7858" t="n">
        <v>23</v>
      </c>
      <c r="D7858" t="n">
        <v>8</v>
      </c>
      <c r="E7858" s="10" t="n">
        <v>0</v>
      </c>
      <c r="F7858" s="10" t="n">
        <v>0.4924135901792617</v>
      </c>
      <c r="G7858" s="11">
        <f>E7858*Summary!$B$6</f>
        <v/>
      </c>
      <c r="H7858" s="11">
        <f>F7858*Summary!$B$7</f>
        <v/>
      </c>
      <c r="I7858" s="11">
        <f>MAX(0,N7858-M7858)</f>
        <v/>
      </c>
      <c r="J7858" s="11">
        <f>MAX(0,M7858-N7858)</f>
        <v/>
      </c>
      <c r="K7858" s="11">
        <f>O7858</f>
        <v/>
      </c>
      <c r="L7858" s="11">
        <f>L7857+IF(K7858&gt;0,K7858*Summary!$B$9,K7858/Summary!$B$9)</f>
        <v/>
      </c>
      <c r="M7858" s="11">
        <f>G7858+H7858</f>
        <v/>
      </c>
      <c r="N7858" s="11">
        <f>Summary!$C$16*Summary!$B$8</f>
        <v/>
      </c>
      <c r="O7858" s="11">
        <f>M7858-N7858</f>
        <v/>
      </c>
    </row>
    <row r="7859">
      <c r="A7859" s="9" t="n">
        <v>45619.375</v>
      </c>
      <c r="B7859" t="n">
        <v>11</v>
      </c>
      <c r="C7859" t="n">
        <v>23</v>
      </c>
      <c r="D7859" t="n">
        <v>9</v>
      </c>
      <c r="E7859" s="10" t="n">
        <v>0.012856</v>
      </c>
      <c r="F7859" s="10" t="n">
        <v>0.4841654121996989</v>
      </c>
      <c r="G7859" s="11">
        <f>E7859*Summary!$B$6</f>
        <v/>
      </c>
      <c r="H7859" s="11">
        <f>F7859*Summary!$B$7</f>
        <v/>
      </c>
      <c r="I7859" s="11">
        <f>MAX(0,N7859-M7859)</f>
        <v/>
      </c>
      <c r="J7859" s="11">
        <f>MAX(0,M7859-N7859)</f>
        <v/>
      </c>
      <c r="K7859" s="11">
        <f>O7859</f>
        <v/>
      </c>
      <c r="L7859" s="11">
        <f>L7858+IF(K7859&gt;0,K7859*Summary!$B$9,K7859/Summary!$B$9)</f>
        <v/>
      </c>
      <c r="M7859" s="11">
        <f>G7859+H7859</f>
        <v/>
      </c>
      <c r="N7859" s="11">
        <f>Summary!$C$16*Summary!$B$8</f>
        <v/>
      </c>
      <c r="O7859" s="11">
        <f>M7859-N7859</f>
        <v/>
      </c>
    </row>
    <row r="7860">
      <c r="A7860" s="9" t="n">
        <v>45619.41666666666</v>
      </c>
      <c r="B7860" t="n">
        <v>11</v>
      </c>
      <c r="C7860" t="n">
        <v>23</v>
      </c>
      <c r="D7860" t="n">
        <v>10</v>
      </c>
      <c r="E7860" s="10" t="n">
        <v>0.007803</v>
      </c>
      <c r="F7860" s="10" t="n">
        <v>0.4758908822138117</v>
      </c>
      <c r="G7860" s="11">
        <f>E7860*Summary!$B$6</f>
        <v/>
      </c>
      <c r="H7860" s="11">
        <f>F7860*Summary!$B$7</f>
        <v/>
      </c>
      <c r="I7860" s="11">
        <f>MAX(0,N7860-M7860)</f>
        <v/>
      </c>
      <c r="J7860" s="11">
        <f>MAX(0,M7860-N7860)</f>
        <v/>
      </c>
      <c r="K7860" s="11">
        <f>O7860</f>
        <v/>
      </c>
      <c r="L7860" s="11">
        <f>L7859+IF(K7860&gt;0,K7860*Summary!$B$9,K7860/Summary!$B$9)</f>
        <v/>
      </c>
      <c r="M7860" s="11">
        <f>G7860+H7860</f>
        <v/>
      </c>
      <c r="N7860" s="11">
        <f>Summary!$C$16*Summary!$B$8</f>
        <v/>
      </c>
      <c r="O7860" s="11">
        <f>M7860-N7860</f>
        <v/>
      </c>
    </row>
    <row r="7861">
      <c r="A7861" s="9" t="n">
        <v>45619.45833333334</v>
      </c>
      <c r="B7861" t="n">
        <v>11</v>
      </c>
      <c r="C7861" t="n">
        <v>23</v>
      </c>
      <c r="D7861" t="n">
        <v>11</v>
      </c>
      <c r="E7861" s="10" t="n">
        <v>0.018718</v>
      </c>
      <c r="F7861" s="10" t="n">
        <v>0.4651656156397477</v>
      </c>
      <c r="G7861" s="11">
        <f>E7861*Summary!$B$6</f>
        <v/>
      </c>
      <c r="H7861" s="11">
        <f>F7861*Summary!$B$7</f>
        <v/>
      </c>
      <c r="I7861" s="11">
        <f>MAX(0,N7861-M7861)</f>
        <v/>
      </c>
      <c r="J7861" s="11">
        <f>MAX(0,M7861-N7861)</f>
        <v/>
      </c>
      <c r="K7861" s="11">
        <f>O7861</f>
        <v/>
      </c>
      <c r="L7861" s="11">
        <f>L7860+IF(K7861&gt;0,K7861*Summary!$B$9,K7861/Summary!$B$9)</f>
        <v/>
      </c>
      <c r="M7861" s="11">
        <f>G7861+H7861</f>
        <v/>
      </c>
      <c r="N7861" s="11">
        <f>Summary!$C$16*Summary!$B$8</f>
        <v/>
      </c>
      <c r="O7861" s="11">
        <f>M7861-N7861</f>
        <v/>
      </c>
    </row>
    <row r="7862">
      <c r="A7862" s="9" t="n">
        <v>45619.5</v>
      </c>
      <c r="B7862" t="n">
        <v>11</v>
      </c>
      <c r="C7862" t="n">
        <v>23</v>
      </c>
      <c r="D7862" t="n">
        <v>12</v>
      </c>
      <c r="E7862" s="10" t="n">
        <v>0.014952</v>
      </c>
      <c r="F7862" s="10" t="n">
        <v>0.4591310061914414</v>
      </c>
      <c r="G7862" s="11">
        <f>E7862*Summary!$B$6</f>
        <v/>
      </c>
      <c r="H7862" s="11">
        <f>F7862*Summary!$B$7</f>
        <v/>
      </c>
      <c r="I7862" s="11">
        <f>MAX(0,N7862-M7862)</f>
        <v/>
      </c>
      <c r="J7862" s="11">
        <f>MAX(0,M7862-N7862)</f>
        <v/>
      </c>
      <c r="K7862" s="11">
        <f>O7862</f>
        <v/>
      </c>
      <c r="L7862" s="11">
        <f>L7861+IF(K7862&gt;0,K7862*Summary!$B$9,K7862/Summary!$B$9)</f>
        <v/>
      </c>
      <c r="M7862" s="11">
        <f>G7862+H7862</f>
        <v/>
      </c>
      <c r="N7862" s="11">
        <f>Summary!$C$16*Summary!$B$8</f>
        <v/>
      </c>
      <c r="O7862" s="11">
        <f>M7862-N7862</f>
        <v/>
      </c>
    </row>
    <row r="7863">
      <c r="A7863" s="9" t="n">
        <v>45619.54166666666</v>
      </c>
      <c r="B7863" t="n">
        <v>11</v>
      </c>
      <c r="C7863" t="n">
        <v>23</v>
      </c>
      <c r="D7863" t="n">
        <v>13</v>
      </c>
      <c r="E7863" s="10" t="n">
        <v>0.006943</v>
      </c>
      <c r="F7863" s="10" t="n">
        <v>0.4525430046103212</v>
      </c>
      <c r="G7863" s="11">
        <f>E7863*Summary!$B$6</f>
        <v/>
      </c>
      <c r="H7863" s="11">
        <f>F7863*Summary!$B$7</f>
        <v/>
      </c>
      <c r="I7863" s="11">
        <f>MAX(0,N7863-M7863)</f>
        <v/>
      </c>
      <c r="J7863" s="11">
        <f>MAX(0,M7863-N7863)</f>
        <v/>
      </c>
      <c r="K7863" s="11">
        <f>O7863</f>
        <v/>
      </c>
      <c r="L7863" s="11">
        <f>L7862+IF(K7863&gt;0,K7863*Summary!$B$9,K7863/Summary!$B$9)</f>
        <v/>
      </c>
      <c r="M7863" s="11">
        <f>G7863+H7863</f>
        <v/>
      </c>
      <c r="N7863" s="11">
        <f>Summary!$C$16*Summary!$B$8</f>
        <v/>
      </c>
      <c r="O7863" s="11">
        <f>M7863-N7863</f>
        <v/>
      </c>
    </row>
    <row r="7864">
      <c r="A7864" s="9" t="n">
        <v>45619.58333333334</v>
      </c>
      <c r="B7864" t="n">
        <v>11</v>
      </c>
      <c r="C7864" t="n">
        <v>23</v>
      </c>
      <c r="D7864" t="n">
        <v>14</v>
      </c>
      <c r="E7864" s="10" t="n">
        <v>0.008879</v>
      </c>
      <c r="F7864" s="10" t="n">
        <v>0.4560478214514772</v>
      </c>
      <c r="G7864" s="11">
        <f>E7864*Summary!$B$6</f>
        <v/>
      </c>
      <c r="H7864" s="11">
        <f>F7864*Summary!$B$7</f>
        <v/>
      </c>
      <c r="I7864" s="11">
        <f>MAX(0,N7864-M7864)</f>
        <v/>
      </c>
      <c r="J7864" s="11">
        <f>MAX(0,M7864-N7864)</f>
        <v/>
      </c>
      <c r="K7864" s="11">
        <f>O7864</f>
        <v/>
      </c>
      <c r="L7864" s="11">
        <f>L7863+IF(K7864&gt;0,K7864*Summary!$B$9,K7864/Summary!$B$9)</f>
        <v/>
      </c>
      <c r="M7864" s="11">
        <f>G7864+H7864</f>
        <v/>
      </c>
      <c r="N7864" s="11">
        <f>Summary!$C$16*Summary!$B$8</f>
        <v/>
      </c>
      <c r="O7864" s="11">
        <f>M7864-N7864</f>
        <v/>
      </c>
    </row>
    <row r="7865">
      <c r="A7865" s="9" t="n">
        <v>45619.625</v>
      </c>
      <c r="B7865" t="n">
        <v>11</v>
      </c>
      <c r="C7865" t="n">
        <v>23</v>
      </c>
      <c r="D7865" t="n">
        <v>15</v>
      </c>
      <c r="E7865" s="10" t="n">
        <v>0</v>
      </c>
      <c r="F7865" s="10" t="n">
        <v>0.4666149759875943</v>
      </c>
      <c r="G7865" s="11">
        <f>E7865*Summary!$B$6</f>
        <v/>
      </c>
      <c r="H7865" s="11">
        <f>F7865*Summary!$B$7</f>
        <v/>
      </c>
      <c r="I7865" s="11">
        <f>MAX(0,N7865-M7865)</f>
        <v/>
      </c>
      <c r="J7865" s="11">
        <f>MAX(0,M7865-N7865)</f>
        <v/>
      </c>
      <c r="K7865" s="11">
        <f>O7865</f>
        <v/>
      </c>
      <c r="L7865" s="11">
        <f>L7864+IF(K7865&gt;0,K7865*Summary!$B$9,K7865/Summary!$B$9)</f>
        <v/>
      </c>
      <c r="M7865" s="11">
        <f>G7865+H7865</f>
        <v/>
      </c>
      <c r="N7865" s="11">
        <f>Summary!$C$16*Summary!$B$8</f>
        <v/>
      </c>
      <c r="O7865" s="11">
        <f>M7865-N7865</f>
        <v/>
      </c>
    </row>
    <row r="7866">
      <c r="A7866" s="9" t="n">
        <v>45619.66666666666</v>
      </c>
      <c r="B7866" t="n">
        <v>11</v>
      </c>
      <c r="C7866" t="n">
        <v>23</v>
      </c>
      <c r="D7866" t="n">
        <v>16</v>
      </c>
      <c r="E7866" s="10" t="n">
        <v>0</v>
      </c>
      <c r="F7866" s="10" t="n">
        <v>0.4736509616762308</v>
      </c>
      <c r="G7866" s="11">
        <f>E7866*Summary!$B$6</f>
        <v/>
      </c>
      <c r="H7866" s="11">
        <f>F7866*Summary!$B$7</f>
        <v/>
      </c>
      <c r="I7866" s="11">
        <f>MAX(0,N7866-M7866)</f>
        <v/>
      </c>
      <c r="J7866" s="11">
        <f>MAX(0,M7866-N7866)</f>
        <v/>
      </c>
      <c r="K7866" s="11">
        <f>O7866</f>
        <v/>
      </c>
      <c r="L7866" s="11">
        <f>L7865+IF(K7866&gt;0,K7866*Summary!$B$9,K7866/Summary!$B$9)</f>
        <v/>
      </c>
      <c r="M7866" s="11">
        <f>G7866+H7866</f>
        <v/>
      </c>
      <c r="N7866" s="11">
        <f>Summary!$C$16*Summary!$B$8</f>
        <v/>
      </c>
      <c r="O7866" s="11">
        <f>M7866-N7866</f>
        <v/>
      </c>
    </row>
    <row r="7867">
      <c r="A7867" s="9" t="n">
        <v>45619.70833333334</v>
      </c>
      <c r="B7867" t="n">
        <v>11</v>
      </c>
      <c r="C7867" t="n">
        <v>23</v>
      </c>
      <c r="D7867" t="n">
        <v>17</v>
      </c>
      <c r="E7867" s="10" t="n">
        <v>0</v>
      </c>
      <c r="F7867" s="10" t="n">
        <v>0.4801862592447022</v>
      </c>
      <c r="G7867" s="11">
        <f>E7867*Summary!$B$6</f>
        <v/>
      </c>
      <c r="H7867" s="11">
        <f>F7867*Summary!$B$7</f>
        <v/>
      </c>
      <c r="I7867" s="11">
        <f>MAX(0,N7867-M7867)</f>
        <v/>
      </c>
      <c r="J7867" s="11">
        <f>MAX(0,M7867-N7867)</f>
        <v/>
      </c>
      <c r="K7867" s="11">
        <f>O7867</f>
        <v/>
      </c>
      <c r="L7867" s="11">
        <f>L7866+IF(K7867&gt;0,K7867*Summary!$B$9,K7867/Summary!$B$9)</f>
        <v/>
      </c>
      <c r="M7867" s="11">
        <f>G7867+H7867</f>
        <v/>
      </c>
      <c r="N7867" s="11">
        <f>Summary!$C$16*Summary!$B$8</f>
        <v/>
      </c>
      <c r="O7867" s="11">
        <f>M7867-N7867</f>
        <v/>
      </c>
    </row>
    <row r="7868">
      <c r="A7868" s="9" t="n">
        <v>45619.75</v>
      </c>
      <c r="B7868" t="n">
        <v>11</v>
      </c>
      <c r="C7868" t="n">
        <v>23</v>
      </c>
      <c r="D7868" t="n">
        <v>18</v>
      </c>
      <c r="E7868" s="10" t="n">
        <v>0</v>
      </c>
      <c r="F7868" s="10" t="n">
        <v>0.4804761313142715</v>
      </c>
      <c r="G7868" s="11">
        <f>E7868*Summary!$B$6</f>
        <v/>
      </c>
      <c r="H7868" s="11">
        <f>F7868*Summary!$B$7</f>
        <v/>
      </c>
      <c r="I7868" s="11">
        <f>MAX(0,N7868-M7868)</f>
        <v/>
      </c>
      <c r="J7868" s="11">
        <f>MAX(0,M7868-N7868)</f>
        <v/>
      </c>
      <c r="K7868" s="11">
        <f>O7868</f>
        <v/>
      </c>
      <c r="L7868" s="11">
        <f>L7867+IF(K7868&gt;0,K7868*Summary!$B$9,K7868/Summary!$B$9)</f>
        <v/>
      </c>
      <c r="M7868" s="11">
        <f>G7868+H7868</f>
        <v/>
      </c>
      <c r="N7868" s="11">
        <f>Summary!$C$16*Summary!$B$8</f>
        <v/>
      </c>
      <c r="O7868" s="11">
        <f>M7868-N7868</f>
        <v/>
      </c>
    </row>
    <row r="7869">
      <c r="A7869" s="9" t="n">
        <v>45619.79166666666</v>
      </c>
      <c r="B7869" t="n">
        <v>11</v>
      </c>
      <c r="C7869" t="n">
        <v>23</v>
      </c>
      <c r="D7869" t="n">
        <v>19</v>
      </c>
      <c r="E7869" s="10" t="n">
        <v>0</v>
      </c>
      <c r="F7869" s="10" t="n">
        <v>0.504746329139119</v>
      </c>
      <c r="G7869" s="11">
        <f>E7869*Summary!$B$6</f>
        <v/>
      </c>
      <c r="H7869" s="11">
        <f>F7869*Summary!$B$7</f>
        <v/>
      </c>
      <c r="I7869" s="11">
        <f>MAX(0,N7869-M7869)</f>
        <v/>
      </c>
      <c r="J7869" s="11">
        <f>MAX(0,M7869-N7869)</f>
        <v/>
      </c>
      <c r="K7869" s="11">
        <f>O7869</f>
        <v/>
      </c>
      <c r="L7869" s="11">
        <f>L7868+IF(K7869&gt;0,K7869*Summary!$B$9,K7869/Summary!$B$9)</f>
        <v/>
      </c>
      <c r="M7869" s="11">
        <f>G7869+H7869</f>
        <v/>
      </c>
      <c r="N7869" s="11">
        <f>Summary!$C$16*Summary!$B$8</f>
        <v/>
      </c>
      <c r="O7869" s="11">
        <f>M7869-N7869</f>
        <v/>
      </c>
    </row>
    <row r="7870">
      <c r="A7870" s="9" t="n">
        <v>45619.83333333334</v>
      </c>
      <c r="B7870" t="n">
        <v>11</v>
      </c>
      <c r="C7870" t="n">
        <v>23</v>
      </c>
      <c r="D7870" t="n">
        <v>20</v>
      </c>
      <c r="E7870" s="10" t="n">
        <v>0</v>
      </c>
      <c r="F7870" s="10" t="n">
        <v>0.4737036656888798</v>
      </c>
      <c r="G7870" s="11">
        <f>E7870*Summary!$B$6</f>
        <v/>
      </c>
      <c r="H7870" s="11">
        <f>F7870*Summary!$B$7</f>
        <v/>
      </c>
      <c r="I7870" s="11">
        <f>MAX(0,N7870-M7870)</f>
        <v/>
      </c>
      <c r="J7870" s="11">
        <f>MAX(0,M7870-N7870)</f>
        <v/>
      </c>
      <c r="K7870" s="11">
        <f>O7870</f>
        <v/>
      </c>
      <c r="L7870" s="11">
        <f>L7869+IF(K7870&gt;0,K7870*Summary!$B$9,K7870/Summary!$B$9)</f>
        <v/>
      </c>
      <c r="M7870" s="11">
        <f>G7870+H7870</f>
        <v/>
      </c>
      <c r="N7870" s="11">
        <f>Summary!$C$16*Summary!$B$8</f>
        <v/>
      </c>
      <c r="O7870" s="11">
        <f>M7870-N7870</f>
        <v/>
      </c>
    </row>
    <row r="7871">
      <c r="A7871" s="9" t="n">
        <v>45619.875</v>
      </c>
      <c r="B7871" t="n">
        <v>11</v>
      </c>
      <c r="C7871" t="n">
        <v>23</v>
      </c>
      <c r="D7871" t="n">
        <v>21</v>
      </c>
      <c r="E7871" s="10" t="n">
        <v>0</v>
      </c>
      <c r="F7871" s="10" t="n">
        <v>0.4669048480571635</v>
      </c>
      <c r="G7871" s="11">
        <f>E7871*Summary!$B$6</f>
        <v/>
      </c>
      <c r="H7871" s="11">
        <f>F7871*Summary!$B$7</f>
        <v/>
      </c>
      <c r="I7871" s="11">
        <f>MAX(0,N7871-M7871)</f>
        <v/>
      </c>
      <c r="J7871" s="11">
        <f>MAX(0,M7871-N7871)</f>
        <v/>
      </c>
      <c r="K7871" s="11">
        <f>O7871</f>
        <v/>
      </c>
      <c r="L7871" s="11">
        <f>L7870+IF(K7871&gt;0,K7871*Summary!$B$9,K7871/Summary!$B$9)</f>
        <v/>
      </c>
      <c r="M7871" s="11">
        <f>G7871+H7871</f>
        <v/>
      </c>
      <c r="N7871" s="11">
        <f>Summary!$C$16*Summary!$B$8</f>
        <v/>
      </c>
      <c r="O7871" s="11">
        <f>M7871-N7871</f>
        <v/>
      </c>
    </row>
    <row r="7872">
      <c r="A7872" s="9" t="n">
        <v>45619.91666666666</v>
      </c>
      <c r="B7872" t="n">
        <v>11</v>
      </c>
      <c r="C7872" t="n">
        <v>23</v>
      </c>
      <c r="D7872" t="n">
        <v>22</v>
      </c>
      <c r="E7872" s="10" t="n">
        <v>0</v>
      </c>
      <c r="F7872" s="10" t="n">
        <v>0.4603168464760432</v>
      </c>
      <c r="G7872" s="11">
        <f>E7872*Summary!$B$6</f>
        <v/>
      </c>
      <c r="H7872" s="11">
        <f>F7872*Summary!$B$7</f>
        <v/>
      </c>
      <c r="I7872" s="11">
        <f>MAX(0,N7872-M7872)</f>
        <v/>
      </c>
      <c r="J7872" s="11">
        <f>MAX(0,M7872-N7872)</f>
        <v/>
      </c>
      <c r="K7872" s="11">
        <f>O7872</f>
        <v/>
      </c>
      <c r="L7872" s="11">
        <f>L7871+IF(K7872&gt;0,K7872*Summary!$B$9,K7872/Summary!$B$9)</f>
        <v/>
      </c>
      <c r="M7872" s="11">
        <f>G7872+H7872</f>
        <v/>
      </c>
      <c r="N7872" s="11">
        <f>Summary!$C$16*Summary!$B$8</f>
        <v/>
      </c>
      <c r="O7872" s="11">
        <f>M7872-N7872</f>
        <v/>
      </c>
    </row>
    <row r="7873">
      <c r="A7873" s="9" t="n">
        <v>45619.95833333334</v>
      </c>
      <c r="B7873" t="n">
        <v>11</v>
      </c>
      <c r="C7873" t="n">
        <v>23</v>
      </c>
      <c r="D7873" t="n">
        <v>23</v>
      </c>
      <c r="E7873" s="10" t="n">
        <v>0</v>
      </c>
      <c r="F7873" s="10" t="n">
        <v>0.4563640455273709</v>
      </c>
      <c r="G7873" s="11">
        <f>E7873*Summary!$B$6</f>
        <v/>
      </c>
      <c r="H7873" s="11">
        <f>F7873*Summary!$B$7</f>
        <v/>
      </c>
      <c r="I7873" s="11">
        <f>MAX(0,N7873-M7873)</f>
        <v/>
      </c>
      <c r="J7873" s="11">
        <f>MAX(0,M7873-N7873)</f>
        <v/>
      </c>
      <c r="K7873" s="11">
        <f>O7873</f>
        <v/>
      </c>
      <c r="L7873" s="11">
        <f>L7872+IF(K7873&gt;0,K7873*Summary!$B$9,K7873/Summary!$B$9)</f>
        <v/>
      </c>
      <c r="M7873" s="11">
        <f>G7873+H7873</f>
        <v/>
      </c>
      <c r="N7873" s="11">
        <f>Summary!$C$16*Summary!$B$8</f>
        <v/>
      </c>
      <c r="O7873" s="11">
        <f>M7873-N7873</f>
        <v/>
      </c>
    </row>
    <row r="7874">
      <c r="A7874" s="9" t="n">
        <v>45620</v>
      </c>
      <c r="B7874" t="n">
        <v>11</v>
      </c>
      <c r="C7874" t="n">
        <v>24</v>
      </c>
      <c r="D7874" t="n">
        <v>0</v>
      </c>
      <c r="E7874" s="10" t="n">
        <v>0</v>
      </c>
      <c r="F7874" s="10" t="n">
        <v>0.3990484317716236</v>
      </c>
      <c r="G7874" s="11">
        <f>E7874*Summary!$B$6</f>
        <v/>
      </c>
      <c r="H7874" s="11">
        <f>F7874*Summary!$B$7</f>
        <v/>
      </c>
      <c r="I7874" s="11">
        <f>MAX(0,N7874-M7874)</f>
        <v/>
      </c>
      <c r="J7874" s="11">
        <f>MAX(0,M7874-N7874)</f>
        <v/>
      </c>
      <c r="K7874" s="11">
        <f>O7874</f>
        <v/>
      </c>
      <c r="L7874" s="11">
        <f>L7873+IF(K7874&gt;0,K7874*Summary!$B$9,K7874/Summary!$B$9)</f>
        <v/>
      </c>
      <c r="M7874" s="11">
        <f>G7874+H7874</f>
        <v/>
      </c>
      <c r="N7874" s="11">
        <f>Summary!$C$16*Summary!$B$8</f>
        <v/>
      </c>
      <c r="O7874" s="11">
        <f>M7874-N7874</f>
        <v/>
      </c>
    </row>
    <row r="7875">
      <c r="A7875" s="9" t="n">
        <v>45620.04166666666</v>
      </c>
      <c r="B7875" t="n">
        <v>11</v>
      </c>
      <c r="C7875" t="n">
        <v>24</v>
      </c>
      <c r="D7875" t="n">
        <v>1</v>
      </c>
      <c r="E7875" s="10" t="n">
        <v>0</v>
      </c>
      <c r="F7875" s="10" t="n">
        <v>0.4410535298528471</v>
      </c>
      <c r="G7875" s="11">
        <f>E7875*Summary!$B$6</f>
        <v/>
      </c>
      <c r="H7875" s="11">
        <f>F7875*Summary!$B$7</f>
        <v/>
      </c>
      <c r="I7875" s="11">
        <f>MAX(0,N7875-M7875)</f>
        <v/>
      </c>
      <c r="J7875" s="11">
        <f>MAX(0,M7875-N7875)</f>
        <v/>
      </c>
      <c r="K7875" s="11">
        <f>O7875</f>
        <v/>
      </c>
      <c r="L7875" s="11">
        <f>L7874+IF(K7875&gt;0,K7875*Summary!$B$9,K7875/Summary!$B$9)</f>
        <v/>
      </c>
      <c r="M7875" s="11">
        <f>G7875+H7875</f>
        <v/>
      </c>
      <c r="N7875" s="11">
        <f>Summary!$C$16*Summary!$B$8</f>
        <v/>
      </c>
      <c r="O7875" s="11">
        <f>M7875-N7875</f>
        <v/>
      </c>
    </row>
    <row r="7876">
      <c r="A7876" s="9" t="n">
        <v>45620.08333333334</v>
      </c>
      <c r="B7876" t="n">
        <v>11</v>
      </c>
      <c r="C7876" t="n">
        <v>24</v>
      </c>
      <c r="D7876" t="n">
        <v>2</v>
      </c>
      <c r="E7876" s="10" t="n">
        <v>0</v>
      </c>
      <c r="F7876" s="10" t="n">
        <v>0.4310134154432197</v>
      </c>
      <c r="G7876" s="11">
        <f>E7876*Summary!$B$6</f>
        <v/>
      </c>
      <c r="H7876" s="11">
        <f>F7876*Summary!$B$7</f>
        <v/>
      </c>
      <c r="I7876" s="11">
        <f>MAX(0,N7876-M7876)</f>
        <v/>
      </c>
      <c r="J7876" s="11">
        <f>MAX(0,M7876-N7876)</f>
        <v/>
      </c>
      <c r="K7876" s="11">
        <f>O7876</f>
        <v/>
      </c>
      <c r="L7876" s="11">
        <f>L7875+IF(K7876&gt;0,K7876*Summary!$B$9,K7876/Summary!$B$9)</f>
        <v/>
      </c>
      <c r="M7876" s="11">
        <f>G7876+H7876</f>
        <v/>
      </c>
      <c r="N7876" s="11">
        <f>Summary!$C$16*Summary!$B$8</f>
        <v/>
      </c>
      <c r="O7876" s="11">
        <f>M7876-N7876</f>
        <v/>
      </c>
    </row>
    <row r="7877">
      <c r="A7877" s="9" t="n">
        <v>45620.125</v>
      </c>
      <c r="B7877" t="n">
        <v>11</v>
      </c>
      <c r="C7877" t="n">
        <v>24</v>
      </c>
      <c r="D7877" t="n">
        <v>3</v>
      </c>
      <c r="E7877" s="10" t="n">
        <v>0</v>
      </c>
      <c r="F7877" s="10" t="n">
        <v>0.4227915894699815</v>
      </c>
      <c r="G7877" s="11">
        <f>E7877*Summary!$B$6</f>
        <v/>
      </c>
      <c r="H7877" s="11">
        <f>F7877*Summary!$B$7</f>
        <v/>
      </c>
      <c r="I7877" s="11">
        <f>MAX(0,N7877-M7877)</f>
        <v/>
      </c>
      <c r="J7877" s="11">
        <f>MAX(0,M7877-N7877)</f>
        <v/>
      </c>
      <c r="K7877" s="11">
        <f>O7877</f>
        <v/>
      </c>
      <c r="L7877" s="11">
        <f>L7876+IF(K7877&gt;0,K7877*Summary!$B$9,K7877/Summary!$B$9)</f>
        <v/>
      </c>
      <c r="M7877" s="11">
        <f>G7877+H7877</f>
        <v/>
      </c>
      <c r="N7877" s="11">
        <f>Summary!$C$16*Summary!$B$8</f>
        <v/>
      </c>
      <c r="O7877" s="11">
        <f>M7877-N7877</f>
        <v/>
      </c>
    </row>
    <row r="7878">
      <c r="A7878" s="9" t="n">
        <v>45620.16666666666</v>
      </c>
      <c r="B7878" t="n">
        <v>11</v>
      </c>
      <c r="C7878" t="n">
        <v>24</v>
      </c>
      <c r="D7878" t="n">
        <v>4</v>
      </c>
      <c r="E7878" s="10" t="n">
        <v>0</v>
      </c>
      <c r="F7878" s="10" t="n">
        <v>0.416308995914159</v>
      </c>
      <c r="G7878" s="11">
        <f>E7878*Summary!$B$6</f>
        <v/>
      </c>
      <c r="H7878" s="11">
        <f>F7878*Summary!$B$7</f>
        <v/>
      </c>
      <c r="I7878" s="11">
        <f>MAX(0,N7878-M7878)</f>
        <v/>
      </c>
      <c r="J7878" s="11">
        <f>MAX(0,M7878-N7878)</f>
        <v/>
      </c>
      <c r="K7878" s="11">
        <f>O7878</f>
        <v/>
      </c>
      <c r="L7878" s="11">
        <f>L7877+IF(K7878&gt;0,K7878*Summary!$B$9,K7878/Summary!$B$9)</f>
        <v/>
      </c>
      <c r="M7878" s="11">
        <f>G7878+H7878</f>
        <v/>
      </c>
      <c r="N7878" s="11">
        <f>Summary!$C$16*Summary!$B$8</f>
        <v/>
      </c>
      <c r="O7878" s="11">
        <f>M7878-N7878</f>
        <v/>
      </c>
    </row>
    <row r="7879">
      <c r="A7879" s="9" t="n">
        <v>45620.20833333334</v>
      </c>
      <c r="B7879" t="n">
        <v>11</v>
      </c>
      <c r="C7879" t="n">
        <v>24</v>
      </c>
      <c r="D7879" t="n">
        <v>5</v>
      </c>
      <c r="E7879" s="10" t="n">
        <v>0</v>
      </c>
      <c r="F7879" s="10" t="n">
        <v>0.4105906105417465</v>
      </c>
      <c r="G7879" s="11">
        <f>E7879*Summary!$B$6</f>
        <v/>
      </c>
      <c r="H7879" s="11">
        <f>F7879*Summary!$B$7</f>
        <v/>
      </c>
      <c r="I7879" s="11">
        <f>MAX(0,N7879-M7879)</f>
        <v/>
      </c>
      <c r="J7879" s="11">
        <f>MAX(0,M7879-N7879)</f>
        <v/>
      </c>
      <c r="K7879" s="11">
        <f>O7879</f>
        <v/>
      </c>
      <c r="L7879" s="11">
        <f>L7878+IF(K7879&gt;0,K7879*Summary!$B$9,K7879/Summary!$B$9)</f>
        <v/>
      </c>
      <c r="M7879" s="11">
        <f>G7879+H7879</f>
        <v/>
      </c>
      <c r="N7879" s="11">
        <f>Summary!$C$16*Summary!$B$8</f>
        <v/>
      </c>
      <c r="O7879" s="11">
        <f>M7879-N7879</f>
        <v/>
      </c>
    </row>
    <row r="7880">
      <c r="A7880" s="9" t="n">
        <v>45620.25</v>
      </c>
      <c r="B7880" t="n">
        <v>11</v>
      </c>
      <c r="C7880" t="n">
        <v>24</v>
      </c>
      <c r="D7880" t="n">
        <v>6</v>
      </c>
      <c r="E7880" s="10" t="n">
        <v>0</v>
      </c>
      <c r="F7880" s="10" t="n">
        <v>0.4052411532578768</v>
      </c>
      <c r="G7880" s="11">
        <f>E7880*Summary!$B$6</f>
        <v/>
      </c>
      <c r="H7880" s="11">
        <f>F7880*Summary!$B$7</f>
        <v/>
      </c>
      <c r="I7880" s="11">
        <f>MAX(0,N7880-M7880)</f>
        <v/>
      </c>
      <c r="J7880" s="11">
        <f>MAX(0,M7880-N7880)</f>
        <v/>
      </c>
      <c r="K7880" s="11">
        <f>O7880</f>
        <v/>
      </c>
      <c r="L7880" s="11">
        <f>L7879+IF(K7880&gt;0,K7880*Summary!$B$9,K7880/Summary!$B$9)</f>
        <v/>
      </c>
      <c r="M7880" s="11">
        <f>G7880+H7880</f>
        <v/>
      </c>
      <c r="N7880" s="11">
        <f>Summary!$C$16*Summary!$B$8</f>
        <v/>
      </c>
      <c r="O7880" s="11">
        <f>M7880-N7880</f>
        <v/>
      </c>
    </row>
    <row r="7881">
      <c r="A7881" s="9" t="n">
        <v>45620.29166666666</v>
      </c>
      <c r="B7881" t="n">
        <v>11</v>
      </c>
      <c r="C7881" t="n">
        <v>24</v>
      </c>
      <c r="D7881" t="n">
        <v>7</v>
      </c>
      <c r="E7881" s="10" t="n">
        <v>0</v>
      </c>
      <c r="F7881" s="10" t="n">
        <v>0.4002869760688743</v>
      </c>
      <c r="G7881" s="11">
        <f>E7881*Summary!$B$6</f>
        <v/>
      </c>
      <c r="H7881" s="11">
        <f>F7881*Summary!$B$7</f>
        <v/>
      </c>
      <c r="I7881" s="11">
        <f>MAX(0,N7881-M7881)</f>
        <v/>
      </c>
      <c r="J7881" s="11">
        <f>MAX(0,M7881-N7881)</f>
        <v/>
      </c>
      <c r="K7881" s="11">
        <f>O7881</f>
        <v/>
      </c>
      <c r="L7881" s="11">
        <f>L7880+IF(K7881&gt;0,K7881*Summary!$B$9,K7881/Summary!$B$9)</f>
        <v/>
      </c>
      <c r="M7881" s="11">
        <f>G7881+H7881</f>
        <v/>
      </c>
      <c r="N7881" s="11">
        <f>Summary!$C$16*Summary!$B$8</f>
        <v/>
      </c>
      <c r="O7881" s="11">
        <f>M7881-N7881</f>
        <v/>
      </c>
    </row>
    <row r="7882">
      <c r="A7882" s="9" t="n">
        <v>45620.33333333334</v>
      </c>
      <c r="B7882" t="n">
        <v>11</v>
      </c>
      <c r="C7882" t="n">
        <v>24</v>
      </c>
      <c r="D7882" t="n">
        <v>8</v>
      </c>
      <c r="E7882" s="10" t="n">
        <v>0</v>
      </c>
      <c r="F7882" s="10" t="n">
        <v>0.3914327019438485</v>
      </c>
      <c r="G7882" s="11">
        <f>E7882*Summary!$B$6</f>
        <v/>
      </c>
      <c r="H7882" s="11">
        <f>F7882*Summary!$B$7</f>
        <v/>
      </c>
      <c r="I7882" s="11">
        <f>MAX(0,N7882-M7882)</f>
        <v/>
      </c>
      <c r="J7882" s="11">
        <f>MAX(0,M7882-N7882)</f>
        <v/>
      </c>
      <c r="K7882" s="11">
        <f>O7882</f>
        <v/>
      </c>
      <c r="L7882" s="11">
        <f>L7881+IF(K7882&gt;0,K7882*Summary!$B$9,K7882/Summary!$B$9)</f>
        <v/>
      </c>
      <c r="M7882" s="11">
        <f>G7882+H7882</f>
        <v/>
      </c>
      <c r="N7882" s="11">
        <f>Summary!$C$16*Summary!$B$8</f>
        <v/>
      </c>
      <c r="O7882" s="11">
        <f>M7882-N7882</f>
        <v/>
      </c>
    </row>
    <row r="7883">
      <c r="A7883" s="9" t="n">
        <v>45620.375</v>
      </c>
      <c r="B7883" t="n">
        <v>11</v>
      </c>
      <c r="C7883" t="n">
        <v>24</v>
      </c>
      <c r="D7883" t="n">
        <v>9</v>
      </c>
      <c r="E7883" s="10" t="n">
        <v>0.005861</v>
      </c>
      <c r="F7883" s="10" t="n">
        <v>0.3871109729066335</v>
      </c>
      <c r="G7883" s="11">
        <f>E7883*Summary!$B$6</f>
        <v/>
      </c>
      <c r="H7883" s="11">
        <f>F7883*Summary!$B$7</f>
        <v/>
      </c>
      <c r="I7883" s="11">
        <f>MAX(0,N7883-M7883)</f>
        <v/>
      </c>
      <c r="J7883" s="11">
        <f>MAX(0,M7883-N7883)</f>
        <v/>
      </c>
      <c r="K7883" s="11">
        <f>O7883</f>
        <v/>
      </c>
      <c r="L7883" s="11">
        <f>L7882+IF(K7883&gt;0,K7883*Summary!$B$9,K7883/Summary!$B$9)</f>
        <v/>
      </c>
      <c r="M7883" s="11">
        <f>G7883+H7883</f>
        <v/>
      </c>
      <c r="N7883" s="11">
        <f>Summary!$C$16*Summary!$B$8</f>
        <v/>
      </c>
      <c r="O7883" s="11">
        <f>M7883-N7883</f>
        <v/>
      </c>
    </row>
    <row r="7884">
      <c r="A7884" s="9" t="n">
        <v>45620.41666666666</v>
      </c>
      <c r="B7884" t="n">
        <v>11</v>
      </c>
      <c r="C7884" t="n">
        <v>24</v>
      </c>
      <c r="D7884" t="n">
        <v>10</v>
      </c>
      <c r="E7884" s="10" t="n">
        <v>0.007611</v>
      </c>
      <c r="F7884" s="10" t="n">
        <v>0.3792844270282625</v>
      </c>
      <c r="G7884" s="11">
        <f>E7884*Summary!$B$6</f>
        <v/>
      </c>
      <c r="H7884" s="11">
        <f>F7884*Summary!$B$7</f>
        <v/>
      </c>
      <c r="I7884" s="11">
        <f>MAX(0,N7884-M7884)</f>
        <v/>
      </c>
      <c r="J7884" s="11">
        <f>MAX(0,M7884-N7884)</f>
        <v/>
      </c>
      <c r="K7884" s="11">
        <f>O7884</f>
        <v/>
      </c>
      <c r="L7884" s="11">
        <f>L7883+IF(K7884&gt;0,K7884*Summary!$B$9,K7884/Summary!$B$9)</f>
        <v/>
      </c>
      <c r="M7884" s="11">
        <f>G7884+H7884</f>
        <v/>
      </c>
      <c r="N7884" s="11">
        <f>Summary!$C$16*Summary!$B$8</f>
        <v/>
      </c>
      <c r="O7884" s="11">
        <f>M7884-N7884</f>
        <v/>
      </c>
    </row>
    <row r="7885">
      <c r="A7885" s="9" t="n">
        <v>45620.45833333334</v>
      </c>
      <c r="B7885" t="n">
        <v>11</v>
      </c>
      <c r="C7885" t="n">
        <v>24</v>
      </c>
      <c r="D7885" t="n">
        <v>11</v>
      </c>
      <c r="E7885" s="10" t="n">
        <v>0.013793</v>
      </c>
      <c r="F7885" s="10" t="n">
        <v>0.3709044890170774</v>
      </c>
      <c r="G7885" s="11">
        <f>E7885*Summary!$B$6</f>
        <v/>
      </c>
      <c r="H7885" s="11">
        <f>F7885*Summary!$B$7</f>
        <v/>
      </c>
      <c r="I7885" s="11">
        <f>MAX(0,N7885-M7885)</f>
        <v/>
      </c>
      <c r="J7885" s="11">
        <f>MAX(0,M7885-N7885)</f>
        <v/>
      </c>
      <c r="K7885" s="11">
        <f>O7885</f>
        <v/>
      </c>
      <c r="L7885" s="11">
        <f>L7884+IF(K7885&gt;0,K7885*Summary!$B$9,K7885/Summary!$B$9)</f>
        <v/>
      </c>
      <c r="M7885" s="11">
        <f>G7885+H7885</f>
        <v/>
      </c>
      <c r="N7885" s="11">
        <f>Summary!$C$16*Summary!$B$8</f>
        <v/>
      </c>
      <c r="O7885" s="11">
        <f>M7885-N7885</f>
        <v/>
      </c>
    </row>
    <row r="7886">
      <c r="A7886" s="9" t="n">
        <v>45620.5</v>
      </c>
      <c r="B7886" t="n">
        <v>11</v>
      </c>
      <c r="C7886" t="n">
        <v>24</v>
      </c>
      <c r="D7886" t="n">
        <v>12</v>
      </c>
      <c r="E7886" s="10" t="n">
        <v>0.021297</v>
      </c>
      <c r="F7886" s="10" t="n">
        <v>0.3677158962518151</v>
      </c>
      <c r="G7886" s="11">
        <f>E7886*Summary!$B$6</f>
        <v/>
      </c>
      <c r="H7886" s="11">
        <f>F7886*Summary!$B$7</f>
        <v/>
      </c>
      <c r="I7886" s="11">
        <f>MAX(0,N7886-M7886)</f>
        <v/>
      </c>
      <c r="J7886" s="11">
        <f>MAX(0,M7886-N7886)</f>
        <v/>
      </c>
      <c r="K7886" s="11">
        <f>O7886</f>
        <v/>
      </c>
      <c r="L7886" s="11">
        <f>L7885+IF(K7886&gt;0,K7886*Summary!$B$9,K7886/Summary!$B$9)</f>
        <v/>
      </c>
      <c r="M7886" s="11">
        <f>G7886+H7886</f>
        <v/>
      </c>
      <c r="N7886" s="11">
        <f>Summary!$C$16*Summary!$B$8</f>
        <v/>
      </c>
      <c r="O7886" s="11">
        <f>M7886-N7886</f>
        <v/>
      </c>
    </row>
    <row r="7887">
      <c r="A7887" s="9" t="n">
        <v>45620.54166666666</v>
      </c>
      <c r="B7887" t="n">
        <v>11</v>
      </c>
      <c r="C7887" t="n">
        <v>24</v>
      </c>
      <c r="D7887" t="n">
        <v>13</v>
      </c>
      <c r="E7887" s="10" t="n">
        <v>0.017719</v>
      </c>
      <c r="F7887" s="10" t="n">
        <v>0.3763857063325696</v>
      </c>
      <c r="G7887" s="11">
        <f>E7887*Summary!$B$6</f>
        <v/>
      </c>
      <c r="H7887" s="11">
        <f>F7887*Summary!$B$7</f>
        <v/>
      </c>
      <c r="I7887" s="11">
        <f>MAX(0,N7887-M7887)</f>
        <v/>
      </c>
      <c r="J7887" s="11">
        <f>MAX(0,M7887-N7887)</f>
        <v/>
      </c>
      <c r="K7887" s="11">
        <f>O7887</f>
        <v/>
      </c>
      <c r="L7887" s="11">
        <f>L7886+IF(K7887&gt;0,K7887*Summary!$B$9,K7887/Summary!$B$9)</f>
        <v/>
      </c>
      <c r="M7887" s="11">
        <f>G7887+H7887</f>
        <v/>
      </c>
      <c r="N7887" s="11">
        <f>Summary!$C$16*Summary!$B$8</f>
        <v/>
      </c>
      <c r="O7887" s="11">
        <f>M7887-N7887</f>
        <v/>
      </c>
    </row>
    <row r="7888">
      <c r="A7888" s="9" t="n">
        <v>45620.58333333334</v>
      </c>
      <c r="B7888" t="n">
        <v>11</v>
      </c>
      <c r="C7888" t="n">
        <v>24</v>
      </c>
      <c r="D7888" t="n">
        <v>14</v>
      </c>
      <c r="E7888" s="10" t="n">
        <v>0.012905</v>
      </c>
      <c r="F7888" s="10" t="n">
        <v>0.393540862449807</v>
      </c>
      <c r="G7888" s="11">
        <f>E7888*Summary!$B$6</f>
        <v/>
      </c>
      <c r="H7888" s="11">
        <f>F7888*Summary!$B$7</f>
        <v/>
      </c>
      <c r="I7888" s="11">
        <f>MAX(0,N7888-M7888)</f>
        <v/>
      </c>
      <c r="J7888" s="11">
        <f>MAX(0,M7888-N7888)</f>
        <v/>
      </c>
      <c r="K7888" s="11">
        <f>O7888</f>
        <v/>
      </c>
      <c r="L7888" s="11">
        <f>L7887+IF(K7888&gt;0,K7888*Summary!$B$9,K7888/Summary!$B$9)</f>
        <v/>
      </c>
      <c r="M7888" s="11">
        <f>G7888+H7888</f>
        <v/>
      </c>
      <c r="N7888" s="11">
        <f>Summary!$C$16*Summary!$B$8</f>
        <v/>
      </c>
      <c r="O7888" s="11">
        <f>M7888-N7888</f>
        <v/>
      </c>
    </row>
    <row r="7889">
      <c r="A7889" s="9" t="n">
        <v>45620.625</v>
      </c>
      <c r="B7889" t="n">
        <v>11</v>
      </c>
      <c r="C7889" t="n">
        <v>24</v>
      </c>
      <c r="D7889" t="n">
        <v>15</v>
      </c>
      <c r="E7889" s="10" t="n">
        <v>0</v>
      </c>
      <c r="F7889" s="10" t="n">
        <v>0.4119082108579706</v>
      </c>
      <c r="G7889" s="11">
        <f>E7889*Summary!$B$6</f>
        <v/>
      </c>
      <c r="H7889" s="11">
        <f>F7889*Summary!$B$7</f>
        <v/>
      </c>
      <c r="I7889" s="11">
        <f>MAX(0,N7889-M7889)</f>
        <v/>
      </c>
      <c r="J7889" s="11">
        <f>MAX(0,M7889-N7889)</f>
        <v/>
      </c>
      <c r="K7889" s="11">
        <f>O7889</f>
        <v/>
      </c>
      <c r="L7889" s="11">
        <f>L7888+IF(K7889&gt;0,K7889*Summary!$B$9,K7889/Summary!$B$9)</f>
        <v/>
      </c>
      <c r="M7889" s="11">
        <f>G7889+H7889</f>
        <v/>
      </c>
      <c r="N7889" s="11">
        <f>Summary!$C$16*Summary!$B$8</f>
        <v/>
      </c>
      <c r="O7889" s="11">
        <f>M7889-N7889</f>
        <v/>
      </c>
    </row>
    <row r="7890">
      <c r="A7890" s="9" t="n">
        <v>45620.66666666666</v>
      </c>
      <c r="B7890" t="n">
        <v>11</v>
      </c>
      <c r="C7890" t="n">
        <v>24</v>
      </c>
      <c r="D7890" t="n">
        <v>16</v>
      </c>
      <c r="E7890" s="10" t="n">
        <v>0</v>
      </c>
      <c r="F7890" s="10" t="n">
        <v>0.4278775266906064</v>
      </c>
      <c r="G7890" s="11">
        <f>E7890*Summary!$B$6</f>
        <v/>
      </c>
      <c r="H7890" s="11">
        <f>F7890*Summary!$B$7</f>
        <v/>
      </c>
      <c r="I7890" s="11">
        <f>MAX(0,N7890-M7890)</f>
        <v/>
      </c>
      <c r="J7890" s="11">
        <f>MAX(0,M7890-N7890)</f>
        <v/>
      </c>
      <c r="K7890" s="11">
        <f>O7890</f>
        <v/>
      </c>
      <c r="L7890" s="11">
        <f>L7889+IF(K7890&gt;0,K7890*Summary!$B$9,K7890/Summary!$B$9)</f>
        <v/>
      </c>
      <c r="M7890" s="11">
        <f>G7890+H7890</f>
        <v/>
      </c>
      <c r="N7890" s="11">
        <f>Summary!$C$16*Summary!$B$8</f>
        <v/>
      </c>
      <c r="O7890" s="11">
        <f>M7890-N7890</f>
        <v/>
      </c>
    </row>
    <row r="7891">
      <c r="A7891" s="9" t="n">
        <v>45620.70833333334</v>
      </c>
      <c r="B7891" t="n">
        <v>11</v>
      </c>
      <c r="C7891" t="n">
        <v>24</v>
      </c>
      <c r="D7891" t="n">
        <v>17</v>
      </c>
      <c r="E7891" s="10" t="n">
        <v>0</v>
      </c>
      <c r="F7891" s="10" t="n">
        <v>0.4323837197720927</v>
      </c>
      <c r="G7891" s="11">
        <f>E7891*Summary!$B$6</f>
        <v/>
      </c>
      <c r="H7891" s="11">
        <f>F7891*Summary!$B$7</f>
        <v/>
      </c>
      <c r="I7891" s="11">
        <f>MAX(0,N7891-M7891)</f>
        <v/>
      </c>
      <c r="J7891" s="11">
        <f>MAX(0,M7891-N7891)</f>
        <v/>
      </c>
      <c r="K7891" s="11">
        <f>O7891</f>
        <v/>
      </c>
      <c r="L7891" s="11">
        <f>L7890+IF(K7891&gt;0,K7891*Summary!$B$9,K7891/Summary!$B$9)</f>
        <v/>
      </c>
      <c r="M7891" s="11">
        <f>G7891+H7891</f>
        <v/>
      </c>
      <c r="N7891" s="11">
        <f>Summary!$C$16*Summary!$B$8</f>
        <v/>
      </c>
      <c r="O7891" s="11">
        <f>M7891-N7891</f>
        <v/>
      </c>
    </row>
    <row r="7892">
      <c r="A7892" s="9" t="n">
        <v>45620.75</v>
      </c>
      <c r="B7892" t="n">
        <v>11</v>
      </c>
      <c r="C7892" t="n">
        <v>24</v>
      </c>
      <c r="D7892" t="n">
        <v>18</v>
      </c>
      <c r="E7892" s="10" t="n">
        <v>0</v>
      </c>
      <c r="F7892" s="10" t="n">
        <v>0.4315668075760338</v>
      </c>
      <c r="G7892" s="11">
        <f>E7892*Summary!$B$6</f>
        <v/>
      </c>
      <c r="H7892" s="11">
        <f>F7892*Summary!$B$7</f>
        <v/>
      </c>
      <c r="I7892" s="11">
        <f>MAX(0,N7892-M7892)</f>
        <v/>
      </c>
      <c r="J7892" s="11">
        <f>MAX(0,M7892-N7892)</f>
        <v/>
      </c>
      <c r="K7892" s="11">
        <f>O7892</f>
        <v/>
      </c>
      <c r="L7892" s="11">
        <f>L7891+IF(K7892&gt;0,K7892*Summary!$B$9,K7892/Summary!$B$9)</f>
        <v/>
      </c>
      <c r="M7892" s="11">
        <f>G7892+H7892</f>
        <v/>
      </c>
      <c r="N7892" s="11">
        <f>Summary!$C$16*Summary!$B$8</f>
        <v/>
      </c>
      <c r="O7892" s="11">
        <f>M7892-N7892</f>
        <v/>
      </c>
    </row>
    <row r="7893">
      <c r="A7893" s="9" t="n">
        <v>45620.79166666666</v>
      </c>
      <c r="B7893" t="n">
        <v>11</v>
      </c>
      <c r="C7893" t="n">
        <v>24</v>
      </c>
      <c r="D7893" t="n">
        <v>19</v>
      </c>
      <c r="E7893" s="10" t="n">
        <v>0</v>
      </c>
      <c r="F7893" s="10" t="n">
        <v>0.4211314130715391</v>
      </c>
      <c r="G7893" s="11">
        <f>E7893*Summary!$B$6</f>
        <v/>
      </c>
      <c r="H7893" s="11">
        <f>F7893*Summary!$B$7</f>
        <v/>
      </c>
      <c r="I7893" s="11">
        <f>MAX(0,N7893-M7893)</f>
        <v/>
      </c>
      <c r="J7893" s="11">
        <f>MAX(0,M7893-N7893)</f>
        <v/>
      </c>
      <c r="K7893" s="11">
        <f>O7893</f>
        <v/>
      </c>
      <c r="L7893" s="11">
        <f>L7892+IF(K7893&gt;0,K7893*Summary!$B$9,K7893/Summary!$B$9)</f>
        <v/>
      </c>
      <c r="M7893" s="11">
        <f>G7893+H7893</f>
        <v/>
      </c>
      <c r="N7893" s="11">
        <f>Summary!$C$16*Summary!$B$8</f>
        <v/>
      </c>
      <c r="O7893" s="11">
        <f>M7893-N7893</f>
        <v/>
      </c>
    </row>
    <row r="7894">
      <c r="A7894" s="9" t="n">
        <v>45620.83333333334</v>
      </c>
      <c r="B7894" t="n">
        <v>11</v>
      </c>
      <c r="C7894" t="n">
        <v>24</v>
      </c>
      <c r="D7894" t="n">
        <v>20</v>
      </c>
      <c r="E7894" s="10" t="n">
        <v>0</v>
      </c>
      <c r="F7894" s="10" t="n">
        <v>0.4125933630224071</v>
      </c>
      <c r="G7894" s="11">
        <f>E7894*Summary!$B$6</f>
        <v/>
      </c>
      <c r="H7894" s="11">
        <f>F7894*Summary!$B$7</f>
        <v/>
      </c>
      <c r="I7894" s="11">
        <f>MAX(0,N7894-M7894)</f>
        <v/>
      </c>
      <c r="J7894" s="11">
        <f>MAX(0,M7894-N7894)</f>
        <v/>
      </c>
      <c r="K7894" s="11">
        <f>O7894</f>
        <v/>
      </c>
      <c r="L7894" s="11">
        <f>L7893+IF(K7894&gt;0,K7894*Summary!$B$9,K7894/Summary!$B$9)</f>
        <v/>
      </c>
      <c r="M7894" s="11">
        <f>G7894+H7894</f>
        <v/>
      </c>
      <c r="N7894" s="11">
        <f>Summary!$C$16*Summary!$B$8</f>
        <v/>
      </c>
      <c r="O7894" s="11">
        <f>M7894-N7894</f>
        <v/>
      </c>
    </row>
    <row r="7895">
      <c r="A7895" s="9" t="n">
        <v>45620.875</v>
      </c>
      <c r="B7895" t="n">
        <v>11</v>
      </c>
      <c r="C7895" t="n">
        <v>24</v>
      </c>
      <c r="D7895" t="n">
        <v>21</v>
      </c>
      <c r="E7895" s="10" t="n">
        <v>0</v>
      </c>
      <c r="F7895" s="10" t="n">
        <v>0.4064533455488029</v>
      </c>
      <c r="G7895" s="11">
        <f>E7895*Summary!$B$6</f>
        <v/>
      </c>
      <c r="H7895" s="11">
        <f>F7895*Summary!$B$7</f>
        <v/>
      </c>
      <c r="I7895" s="11">
        <f>MAX(0,N7895-M7895)</f>
        <v/>
      </c>
      <c r="J7895" s="11">
        <f>MAX(0,M7895-N7895)</f>
        <v/>
      </c>
      <c r="K7895" s="11">
        <f>O7895</f>
        <v/>
      </c>
      <c r="L7895" s="11">
        <f>L7894+IF(K7895&gt;0,K7895*Summary!$B$9,K7895/Summary!$B$9)</f>
        <v/>
      </c>
      <c r="M7895" s="11">
        <f>G7895+H7895</f>
        <v/>
      </c>
      <c r="N7895" s="11">
        <f>Summary!$C$16*Summary!$B$8</f>
        <v/>
      </c>
      <c r="O7895" s="11">
        <f>M7895-N7895</f>
        <v/>
      </c>
    </row>
    <row r="7896">
      <c r="A7896" s="9" t="n">
        <v>45620.91666666666</v>
      </c>
      <c r="B7896" t="n">
        <v>11</v>
      </c>
      <c r="C7896" t="n">
        <v>24</v>
      </c>
      <c r="D7896" t="n">
        <v>22</v>
      </c>
      <c r="E7896" s="10" t="n">
        <v>0</v>
      </c>
      <c r="F7896" s="10" t="n">
        <v>0.4067959216310212</v>
      </c>
      <c r="G7896" s="11">
        <f>E7896*Summary!$B$6</f>
        <v/>
      </c>
      <c r="H7896" s="11">
        <f>F7896*Summary!$B$7</f>
        <v/>
      </c>
      <c r="I7896" s="11">
        <f>MAX(0,N7896-M7896)</f>
        <v/>
      </c>
      <c r="J7896" s="11">
        <f>MAX(0,M7896-N7896)</f>
        <v/>
      </c>
      <c r="K7896" s="11">
        <f>O7896</f>
        <v/>
      </c>
      <c r="L7896" s="11">
        <f>L7895+IF(K7896&gt;0,K7896*Summary!$B$9,K7896/Summary!$B$9)</f>
        <v/>
      </c>
      <c r="M7896" s="11">
        <f>G7896+H7896</f>
        <v/>
      </c>
      <c r="N7896" s="11">
        <f>Summary!$C$16*Summary!$B$8</f>
        <v/>
      </c>
      <c r="O7896" s="11">
        <f>M7896-N7896</f>
        <v/>
      </c>
    </row>
    <row r="7897">
      <c r="A7897" s="9" t="n">
        <v>45620.95833333334</v>
      </c>
      <c r="B7897" t="n">
        <v>11</v>
      </c>
      <c r="C7897" t="n">
        <v>24</v>
      </c>
      <c r="D7897" t="n">
        <v>23</v>
      </c>
      <c r="E7897" s="10" t="n">
        <v>0</v>
      </c>
      <c r="F7897" s="10" t="n">
        <v>0.4040553129732751</v>
      </c>
      <c r="G7897" s="11">
        <f>E7897*Summary!$B$6</f>
        <v/>
      </c>
      <c r="H7897" s="11">
        <f>F7897*Summary!$B$7</f>
        <v/>
      </c>
      <c r="I7897" s="11">
        <f>MAX(0,N7897-M7897)</f>
        <v/>
      </c>
      <c r="J7897" s="11">
        <f>MAX(0,M7897-N7897)</f>
        <v/>
      </c>
      <c r="K7897" s="11">
        <f>O7897</f>
        <v/>
      </c>
      <c r="L7897" s="11">
        <f>L7896+IF(K7897&gt;0,K7897*Summary!$B$9,K7897/Summary!$B$9)</f>
        <v/>
      </c>
      <c r="M7897" s="11">
        <f>G7897+H7897</f>
        <v/>
      </c>
      <c r="N7897" s="11">
        <f>Summary!$C$16*Summary!$B$8</f>
        <v/>
      </c>
      <c r="O7897" s="11">
        <f>M7897-N7897</f>
        <v/>
      </c>
    </row>
    <row r="7898">
      <c r="A7898" s="9" t="n">
        <v>45621</v>
      </c>
      <c r="B7898" t="n">
        <v>11</v>
      </c>
      <c r="C7898" t="n">
        <v>25</v>
      </c>
      <c r="D7898" t="n">
        <v>0</v>
      </c>
      <c r="E7898" s="10" t="n">
        <v>0</v>
      </c>
      <c r="F7898" s="10" t="n">
        <v>0.2884490612277747</v>
      </c>
      <c r="G7898" s="11">
        <f>E7898*Summary!$B$6</f>
        <v/>
      </c>
      <c r="H7898" s="11">
        <f>F7898*Summary!$B$7</f>
        <v/>
      </c>
      <c r="I7898" s="11">
        <f>MAX(0,N7898-M7898)</f>
        <v/>
      </c>
      <c r="J7898" s="11">
        <f>MAX(0,M7898-N7898)</f>
        <v/>
      </c>
      <c r="K7898" s="11">
        <f>O7898</f>
        <v/>
      </c>
      <c r="L7898" s="11">
        <f>L7897+IF(K7898&gt;0,K7898*Summary!$B$9,K7898/Summary!$B$9)</f>
        <v/>
      </c>
      <c r="M7898" s="11">
        <f>G7898+H7898</f>
        <v/>
      </c>
      <c r="N7898" s="11">
        <f>Summary!$C$16*Summary!$B$8</f>
        <v/>
      </c>
      <c r="O7898" s="11">
        <f>M7898-N7898</f>
        <v/>
      </c>
    </row>
    <row r="7899">
      <c r="A7899" s="9" t="n">
        <v>45621.04166666666</v>
      </c>
      <c r="B7899" t="n">
        <v>11</v>
      </c>
      <c r="C7899" t="n">
        <v>25</v>
      </c>
      <c r="D7899" t="n">
        <v>1</v>
      </c>
      <c r="E7899" s="10" t="n">
        <v>0</v>
      </c>
      <c r="F7899" s="10" t="n">
        <v>0.3997072319297357</v>
      </c>
      <c r="G7899" s="11">
        <f>E7899*Summary!$B$6</f>
        <v/>
      </c>
      <c r="H7899" s="11">
        <f>F7899*Summary!$B$7</f>
        <v/>
      </c>
      <c r="I7899" s="11">
        <f>MAX(0,N7899-M7899)</f>
        <v/>
      </c>
      <c r="J7899" s="11">
        <f>MAX(0,M7899-N7899)</f>
        <v/>
      </c>
      <c r="K7899" s="11">
        <f>O7899</f>
        <v/>
      </c>
      <c r="L7899" s="11">
        <f>L7898+IF(K7899&gt;0,K7899*Summary!$B$9,K7899/Summary!$B$9)</f>
        <v/>
      </c>
      <c r="M7899" s="11">
        <f>G7899+H7899</f>
        <v/>
      </c>
      <c r="N7899" s="11">
        <f>Summary!$C$16*Summary!$B$8</f>
        <v/>
      </c>
      <c r="O7899" s="11">
        <f>M7899-N7899</f>
        <v/>
      </c>
    </row>
    <row r="7900">
      <c r="A7900" s="9" t="n">
        <v>45621.08333333334</v>
      </c>
      <c r="B7900" t="n">
        <v>11</v>
      </c>
      <c r="C7900" t="n">
        <v>25</v>
      </c>
      <c r="D7900" t="n">
        <v>2</v>
      </c>
      <c r="E7900" s="10" t="n">
        <v>0</v>
      </c>
      <c r="F7900" s="10" t="n">
        <v>0.4001288640309274</v>
      </c>
      <c r="G7900" s="11">
        <f>E7900*Summary!$B$6</f>
        <v/>
      </c>
      <c r="H7900" s="11">
        <f>F7900*Summary!$B$7</f>
        <v/>
      </c>
      <c r="I7900" s="11">
        <f>MAX(0,N7900-M7900)</f>
        <v/>
      </c>
      <c r="J7900" s="11">
        <f>MAX(0,M7900-N7900)</f>
        <v/>
      </c>
      <c r="K7900" s="11">
        <f>O7900</f>
        <v/>
      </c>
      <c r="L7900" s="11">
        <f>L7899+IF(K7900&gt;0,K7900*Summary!$B$9,K7900/Summary!$B$9)</f>
        <v/>
      </c>
      <c r="M7900" s="11">
        <f>G7900+H7900</f>
        <v/>
      </c>
      <c r="N7900" s="11">
        <f>Summary!$C$16*Summary!$B$8</f>
        <v/>
      </c>
      <c r="O7900" s="11">
        <f>M7900-N7900</f>
        <v/>
      </c>
    </row>
    <row r="7901">
      <c r="A7901" s="9" t="n">
        <v>45621.125</v>
      </c>
      <c r="B7901" t="n">
        <v>11</v>
      </c>
      <c r="C7901" t="n">
        <v>25</v>
      </c>
      <c r="D7901" t="n">
        <v>3</v>
      </c>
      <c r="E7901" s="10" t="n">
        <v>0</v>
      </c>
      <c r="F7901" s="10" t="n">
        <v>0.4016572803977473</v>
      </c>
      <c r="G7901" s="11">
        <f>E7901*Summary!$B$6</f>
        <v/>
      </c>
      <c r="H7901" s="11">
        <f>F7901*Summary!$B$7</f>
        <v/>
      </c>
      <c r="I7901" s="11">
        <f>MAX(0,N7901-M7901)</f>
        <v/>
      </c>
      <c r="J7901" s="11">
        <f>MAX(0,M7901-N7901)</f>
        <v/>
      </c>
      <c r="K7901" s="11">
        <f>O7901</f>
        <v/>
      </c>
      <c r="L7901" s="11">
        <f>L7900+IF(K7901&gt;0,K7901*Summary!$B$9,K7901/Summary!$B$9)</f>
        <v/>
      </c>
      <c r="M7901" s="11">
        <f>G7901+H7901</f>
        <v/>
      </c>
      <c r="N7901" s="11">
        <f>Summary!$C$16*Summary!$B$8</f>
        <v/>
      </c>
      <c r="O7901" s="11">
        <f>M7901-N7901</f>
        <v/>
      </c>
    </row>
    <row r="7902">
      <c r="A7902" s="9" t="n">
        <v>45621.16666666666</v>
      </c>
      <c r="B7902" t="n">
        <v>11</v>
      </c>
      <c r="C7902" t="n">
        <v>25</v>
      </c>
      <c r="D7902" t="n">
        <v>4</v>
      </c>
      <c r="E7902" s="10" t="n">
        <v>0</v>
      </c>
      <c r="F7902" s="10" t="n">
        <v>0.4058999534159888</v>
      </c>
      <c r="G7902" s="11">
        <f>E7902*Summary!$B$6</f>
        <v/>
      </c>
      <c r="H7902" s="11">
        <f>F7902*Summary!$B$7</f>
        <v/>
      </c>
      <c r="I7902" s="11">
        <f>MAX(0,N7902-M7902)</f>
        <v/>
      </c>
      <c r="J7902" s="11">
        <f>MAX(0,M7902-N7902)</f>
        <v/>
      </c>
      <c r="K7902" s="11">
        <f>O7902</f>
        <v/>
      </c>
      <c r="L7902" s="11">
        <f>L7901+IF(K7902&gt;0,K7902*Summary!$B$9,K7902/Summary!$B$9)</f>
        <v/>
      </c>
      <c r="M7902" s="11">
        <f>G7902+H7902</f>
        <v/>
      </c>
      <c r="N7902" s="11">
        <f>Summary!$C$16*Summary!$B$8</f>
        <v/>
      </c>
      <c r="O7902" s="11">
        <f>M7902-N7902</f>
        <v/>
      </c>
    </row>
    <row r="7903">
      <c r="A7903" s="9" t="n">
        <v>45621.20833333334</v>
      </c>
      <c r="B7903" t="n">
        <v>11</v>
      </c>
      <c r="C7903" t="n">
        <v>25</v>
      </c>
      <c r="D7903" t="n">
        <v>5</v>
      </c>
      <c r="E7903" s="10" t="n">
        <v>0</v>
      </c>
      <c r="F7903" s="10" t="n">
        <v>0.4004977921194701</v>
      </c>
      <c r="G7903" s="11">
        <f>E7903*Summary!$B$6</f>
        <v/>
      </c>
      <c r="H7903" s="11">
        <f>F7903*Summary!$B$7</f>
        <v/>
      </c>
      <c r="I7903" s="11">
        <f>MAX(0,N7903-M7903)</f>
        <v/>
      </c>
      <c r="J7903" s="11">
        <f>MAX(0,M7903-N7903)</f>
        <v/>
      </c>
      <c r="K7903" s="11">
        <f>O7903</f>
        <v/>
      </c>
      <c r="L7903" s="11">
        <f>L7902+IF(K7903&gt;0,K7903*Summary!$B$9,K7903/Summary!$B$9)</f>
        <v/>
      </c>
      <c r="M7903" s="11">
        <f>G7903+H7903</f>
        <v/>
      </c>
      <c r="N7903" s="11">
        <f>Summary!$C$16*Summary!$B$8</f>
        <v/>
      </c>
      <c r="O7903" s="11">
        <f>M7903-N7903</f>
        <v/>
      </c>
    </row>
    <row r="7904">
      <c r="A7904" s="9" t="n">
        <v>45621.25</v>
      </c>
      <c r="B7904" t="n">
        <v>11</v>
      </c>
      <c r="C7904" t="n">
        <v>25</v>
      </c>
      <c r="D7904" t="n">
        <v>6</v>
      </c>
      <c r="E7904" s="10" t="n">
        <v>0</v>
      </c>
      <c r="F7904" s="10" t="n">
        <v>0.3986531516767564</v>
      </c>
      <c r="G7904" s="11">
        <f>E7904*Summary!$B$6</f>
        <v/>
      </c>
      <c r="H7904" s="11">
        <f>F7904*Summary!$B$7</f>
        <v/>
      </c>
      <c r="I7904" s="11">
        <f>MAX(0,N7904-M7904)</f>
        <v/>
      </c>
      <c r="J7904" s="11">
        <f>MAX(0,M7904-N7904)</f>
        <v/>
      </c>
      <c r="K7904" s="11">
        <f>O7904</f>
        <v/>
      </c>
      <c r="L7904" s="11">
        <f>L7903+IF(K7904&gt;0,K7904*Summary!$B$9,K7904/Summary!$B$9)</f>
        <v/>
      </c>
      <c r="M7904" s="11">
        <f>G7904+H7904</f>
        <v/>
      </c>
      <c r="N7904" s="11">
        <f>Summary!$C$16*Summary!$B$8</f>
        <v/>
      </c>
      <c r="O7904" s="11">
        <f>M7904-N7904</f>
        <v/>
      </c>
    </row>
    <row r="7905">
      <c r="A7905" s="9" t="n">
        <v>45621.29166666666</v>
      </c>
      <c r="B7905" t="n">
        <v>11</v>
      </c>
      <c r="C7905" t="n">
        <v>25</v>
      </c>
      <c r="D7905" t="n">
        <v>7</v>
      </c>
      <c r="E7905" s="10" t="n">
        <v>0</v>
      </c>
      <c r="F7905" s="10" t="n">
        <v>0.3940415505699721</v>
      </c>
      <c r="G7905" s="11">
        <f>E7905*Summary!$B$6</f>
        <v/>
      </c>
      <c r="H7905" s="11">
        <f>F7905*Summary!$B$7</f>
        <v/>
      </c>
      <c r="I7905" s="11">
        <f>MAX(0,N7905-M7905)</f>
        <v/>
      </c>
      <c r="J7905" s="11">
        <f>MAX(0,M7905-N7905)</f>
        <v/>
      </c>
      <c r="K7905" s="11">
        <f>O7905</f>
        <v/>
      </c>
      <c r="L7905" s="11">
        <f>L7904+IF(K7905&gt;0,K7905*Summary!$B$9,K7905/Summary!$B$9)</f>
        <v/>
      </c>
      <c r="M7905" s="11">
        <f>G7905+H7905</f>
        <v/>
      </c>
      <c r="N7905" s="11">
        <f>Summary!$C$16*Summary!$B$8</f>
        <v/>
      </c>
      <c r="O7905" s="11">
        <f>M7905-N7905</f>
        <v/>
      </c>
    </row>
    <row r="7906">
      <c r="A7906" s="9" t="n">
        <v>45621.33333333334</v>
      </c>
      <c r="B7906" t="n">
        <v>11</v>
      </c>
      <c r="C7906" t="n">
        <v>25</v>
      </c>
      <c r="D7906" t="n">
        <v>8</v>
      </c>
      <c r="E7906" s="10" t="n">
        <v>0</v>
      </c>
      <c r="F7906" s="10" t="n">
        <v>0.382815595875743</v>
      </c>
      <c r="G7906" s="11">
        <f>E7906*Summary!$B$6</f>
        <v/>
      </c>
      <c r="H7906" s="11">
        <f>F7906*Summary!$B$7</f>
        <v/>
      </c>
      <c r="I7906" s="11">
        <f>MAX(0,N7906-M7906)</f>
        <v/>
      </c>
      <c r="J7906" s="11">
        <f>MAX(0,M7906-N7906)</f>
        <v/>
      </c>
      <c r="K7906" s="11">
        <f>O7906</f>
        <v/>
      </c>
      <c r="L7906" s="11">
        <f>L7905+IF(K7906&gt;0,K7906*Summary!$B$9,K7906/Summary!$B$9)</f>
        <v/>
      </c>
      <c r="M7906" s="11">
        <f>G7906+H7906</f>
        <v/>
      </c>
      <c r="N7906" s="11">
        <f>Summary!$C$16*Summary!$B$8</f>
        <v/>
      </c>
      <c r="O7906" s="11">
        <f>M7906-N7906</f>
        <v/>
      </c>
    </row>
    <row r="7907">
      <c r="A7907" s="9" t="n">
        <v>45621.375</v>
      </c>
      <c r="B7907" t="n">
        <v>11</v>
      </c>
      <c r="C7907" t="n">
        <v>25</v>
      </c>
      <c r="D7907" t="n">
        <v>9</v>
      </c>
      <c r="E7907" s="10" t="n">
        <v>0.004998</v>
      </c>
      <c r="F7907" s="10" t="n">
        <v>0.3681902323656557</v>
      </c>
      <c r="G7907" s="11">
        <f>E7907*Summary!$B$6</f>
        <v/>
      </c>
      <c r="H7907" s="11">
        <f>F7907*Summary!$B$7</f>
        <v/>
      </c>
      <c r="I7907" s="11">
        <f>MAX(0,N7907-M7907)</f>
        <v/>
      </c>
      <c r="J7907" s="11">
        <f>MAX(0,M7907-N7907)</f>
        <v/>
      </c>
      <c r="K7907" s="11">
        <f>O7907</f>
        <v/>
      </c>
      <c r="L7907" s="11">
        <f>L7906+IF(K7907&gt;0,K7907*Summary!$B$9,K7907/Summary!$B$9)</f>
        <v/>
      </c>
      <c r="M7907" s="11">
        <f>G7907+H7907</f>
        <v/>
      </c>
      <c r="N7907" s="11">
        <f>Summary!$C$16*Summary!$B$8</f>
        <v/>
      </c>
      <c r="O7907" s="11">
        <f>M7907-N7907</f>
        <v/>
      </c>
    </row>
    <row r="7908">
      <c r="A7908" s="9" t="n">
        <v>45621.41666666666</v>
      </c>
      <c r="B7908" t="n">
        <v>11</v>
      </c>
      <c r="C7908" t="n">
        <v>25</v>
      </c>
      <c r="D7908" t="n">
        <v>10</v>
      </c>
      <c r="E7908" s="10" t="n">
        <v>0.009379</v>
      </c>
      <c r="F7908" s="10" t="n">
        <v>0.3525898446215627</v>
      </c>
      <c r="G7908" s="11">
        <f>E7908*Summary!$B$6</f>
        <v/>
      </c>
      <c r="H7908" s="11">
        <f>F7908*Summary!$B$7</f>
        <v/>
      </c>
      <c r="I7908" s="11">
        <f>MAX(0,N7908-M7908)</f>
        <v/>
      </c>
      <c r="J7908" s="11">
        <f>MAX(0,M7908-N7908)</f>
        <v/>
      </c>
      <c r="K7908" s="11">
        <f>O7908</f>
        <v/>
      </c>
      <c r="L7908" s="11">
        <f>L7907+IF(K7908&gt;0,K7908*Summary!$B$9,K7908/Summary!$B$9)</f>
        <v/>
      </c>
      <c r="M7908" s="11">
        <f>G7908+H7908</f>
        <v/>
      </c>
      <c r="N7908" s="11">
        <f>Summary!$C$16*Summary!$B$8</f>
        <v/>
      </c>
      <c r="O7908" s="11">
        <f>M7908-N7908</f>
        <v/>
      </c>
    </row>
    <row r="7909">
      <c r="A7909" s="9" t="n">
        <v>45621.45833333334</v>
      </c>
      <c r="B7909" t="n">
        <v>11</v>
      </c>
      <c r="C7909" t="n">
        <v>25</v>
      </c>
      <c r="D7909" t="n">
        <v>11</v>
      </c>
      <c r="E7909" s="10" t="n">
        <v>0.022302</v>
      </c>
      <c r="F7909" s="10" t="n">
        <v>0.3369367528648207</v>
      </c>
      <c r="G7909" s="11">
        <f>E7909*Summary!$B$6</f>
        <v/>
      </c>
      <c r="H7909" s="11">
        <f>F7909*Summary!$B$7</f>
        <v/>
      </c>
      <c r="I7909" s="11">
        <f>MAX(0,N7909-M7909)</f>
        <v/>
      </c>
      <c r="J7909" s="11">
        <f>MAX(0,M7909-N7909)</f>
        <v/>
      </c>
      <c r="K7909" s="11">
        <f>O7909</f>
        <v/>
      </c>
      <c r="L7909" s="11">
        <f>L7908+IF(K7909&gt;0,K7909*Summary!$B$9,K7909/Summary!$B$9)</f>
        <v/>
      </c>
      <c r="M7909" s="11">
        <f>G7909+H7909</f>
        <v/>
      </c>
      <c r="N7909" s="11">
        <f>Summary!$C$16*Summary!$B$8</f>
        <v/>
      </c>
      <c r="O7909" s="11">
        <f>M7909-N7909</f>
        <v/>
      </c>
    </row>
    <row r="7910">
      <c r="A7910" s="9" t="n">
        <v>45621.5</v>
      </c>
      <c r="B7910" t="n">
        <v>11</v>
      </c>
      <c r="C7910" t="n">
        <v>25</v>
      </c>
      <c r="D7910" t="n">
        <v>12</v>
      </c>
      <c r="E7910" s="10" t="n">
        <v>0.020344</v>
      </c>
      <c r="F7910" s="10" t="n">
        <v>0.3287939829105559</v>
      </c>
      <c r="G7910" s="11">
        <f>E7910*Summary!$B$6</f>
        <v/>
      </c>
      <c r="H7910" s="11">
        <f>F7910*Summary!$B$7</f>
        <v/>
      </c>
      <c r="I7910" s="11">
        <f>MAX(0,N7910-M7910)</f>
        <v/>
      </c>
      <c r="J7910" s="11">
        <f>MAX(0,M7910-N7910)</f>
        <v/>
      </c>
      <c r="K7910" s="11">
        <f>O7910</f>
        <v/>
      </c>
      <c r="L7910" s="11">
        <f>L7909+IF(K7910&gt;0,K7910*Summary!$B$9,K7910/Summary!$B$9)</f>
        <v/>
      </c>
      <c r="M7910" s="11">
        <f>G7910+H7910</f>
        <v/>
      </c>
      <c r="N7910" s="11">
        <f>Summary!$C$16*Summary!$B$8</f>
        <v/>
      </c>
      <c r="O7910" s="11">
        <f>M7910-N7910</f>
        <v/>
      </c>
    </row>
    <row r="7911">
      <c r="A7911" s="9" t="n">
        <v>45621.54166666666</v>
      </c>
      <c r="B7911" t="n">
        <v>11</v>
      </c>
      <c r="C7911" t="n">
        <v>25</v>
      </c>
      <c r="D7911" t="n">
        <v>13</v>
      </c>
      <c r="E7911" s="10" t="n">
        <v>0.013898</v>
      </c>
      <c r="F7911" s="10" t="n">
        <v>0.3226539654369517</v>
      </c>
      <c r="G7911" s="11">
        <f>E7911*Summary!$B$6</f>
        <v/>
      </c>
      <c r="H7911" s="11">
        <f>F7911*Summary!$B$7</f>
        <v/>
      </c>
      <c r="I7911" s="11">
        <f>MAX(0,N7911-M7911)</f>
        <v/>
      </c>
      <c r="J7911" s="11">
        <f>MAX(0,M7911-N7911)</f>
        <v/>
      </c>
      <c r="K7911" s="11">
        <f>O7911</f>
        <v/>
      </c>
      <c r="L7911" s="11">
        <f>L7910+IF(K7911&gt;0,K7911*Summary!$B$9,K7911/Summary!$B$9)</f>
        <v/>
      </c>
      <c r="M7911" s="11">
        <f>G7911+H7911</f>
        <v/>
      </c>
      <c r="N7911" s="11">
        <f>Summary!$C$16*Summary!$B$8</f>
        <v/>
      </c>
      <c r="O7911" s="11">
        <f>M7911-N7911</f>
        <v/>
      </c>
    </row>
    <row r="7912">
      <c r="A7912" s="9" t="n">
        <v>45621.58333333334</v>
      </c>
      <c r="B7912" t="n">
        <v>11</v>
      </c>
      <c r="C7912" t="n">
        <v>25</v>
      </c>
      <c r="D7912" t="n">
        <v>14</v>
      </c>
      <c r="E7912" s="10" t="n">
        <v>0.016512</v>
      </c>
      <c r="F7912" s="10" t="n">
        <v>0.3206775649626156</v>
      </c>
      <c r="G7912" s="11">
        <f>E7912*Summary!$B$6</f>
        <v/>
      </c>
      <c r="H7912" s="11">
        <f>F7912*Summary!$B$7</f>
        <v/>
      </c>
      <c r="I7912" s="11">
        <f>MAX(0,N7912-M7912)</f>
        <v/>
      </c>
      <c r="J7912" s="11">
        <f>MAX(0,M7912-N7912)</f>
        <v/>
      </c>
      <c r="K7912" s="11">
        <f>O7912</f>
        <v/>
      </c>
      <c r="L7912" s="11">
        <f>L7911+IF(K7912&gt;0,K7912*Summary!$B$9,K7912/Summary!$B$9)</f>
        <v/>
      </c>
      <c r="M7912" s="11">
        <f>G7912+H7912</f>
        <v/>
      </c>
      <c r="N7912" s="11">
        <f>Summary!$C$16*Summary!$B$8</f>
        <v/>
      </c>
      <c r="O7912" s="11">
        <f>M7912-N7912</f>
        <v/>
      </c>
    </row>
    <row r="7913">
      <c r="A7913" s="9" t="n">
        <v>45621.625</v>
      </c>
      <c r="B7913" t="n">
        <v>11</v>
      </c>
      <c r="C7913" t="n">
        <v>25</v>
      </c>
      <c r="D7913" t="n">
        <v>15</v>
      </c>
      <c r="E7913" s="10" t="n">
        <v>0.002049</v>
      </c>
      <c r="F7913" s="10" t="n">
        <v>0.3270811024994646</v>
      </c>
      <c r="G7913" s="11">
        <f>E7913*Summary!$B$6</f>
        <v/>
      </c>
      <c r="H7913" s="11">
        <f>F7913*Summary!$B$7</f>
        <v/>
      </c>
      <c r="I7913" s="11">
        <f>MAX(0,N7913-M7913)</f>
        <v/>
      </c>
      <c r="J7913" s="11">
        <f>MAX(0,M7913-N7913)</f>
        <v/>
      </c>
      <c r="K7913" s="11">
        <f>O7913</f>
        <v/>
      </c>
      <c r="L7913" s="11">
        <f>L7912+IF(K7913&gt;0,K7913*Summary!$B$9,K7913/Summary!$B$9)</f>
        <v/>
      </c>
      <c r="M7913" s="11">
        <f>G7913+H7913</f>
        <v/>
      </c>
      <c r="N7913" s="11">
        <f>Summary!$C$16*Summary!$B$8</f>
        <v/>
      </c>
      <c r="O7913" s="11">
        <f>M7913-N7913</f>
        <v/>
      </c>
    </row>
    <row r="7914">
      <c r="A7914" s="9" t="n">
        <v>45621.66666666666</v>
      </c>
      <c r="B7914" t="n">
        <v>11</v>
      </c>
      <c r="C7914" t="n">
        <v>25</v>
      </c>
      <c r="D7914" t="n">
        <v>16</v>
      </c>
      <c r="E7914" s="10" t="n">
        <v>0</v>
      </c>
      <c r="F7914" s="10" t="n">
        <v>0.3381752971620713</v>
      </c>
      <c r="G7914" s="11">
        <f>E7914*Summary!$B$6</f>
        <v/>
      </c>
      <c r="H7914" s="11">
        <f>F7914*Summary!$B$7</f>
        <v/>
      </c>
      <c r="I7914" s="11">
        <f>MAX(0,N7914-M7914)</f>
        <v/>
      </c>
      <c r="J7914" s="11">
        <f>MAX(0,M7914-N7914)</f>
        <v/>
      </c>
      <c r="K7914" s="11">
        <f>O7914</f>
        <v/>
      </c>
      <c r="L7914" s="11">
        <f>L7913+IF(K7914&gt;0,K7914*Summary!$B$9,K7914/Summary!$B$9)</f>
        <v/>
      </c>
      <c r="M7914" s="11">
        <f>G7914+H7914</f>
        <v/>
      </c>
      <c r="N7914" s="11">
        <f>Summary!$C$16*Summary!$B$8</f>
        <v/>
      </c>
      <c r="O7914" s="11">
        <f>M7914-N7914</f>
        <v/>
      </c>
    </row>
    <row r="7915">
      <c r="A7915" s="9" t="n">
        <v>45621.70833333334</v>
      </c>
      <c r="B7915" t="n">
        <v>11</v>
      </c>
      <c r="C7915" t="n">
        <v>25</v>
      </c>
      <c r="D7915" t="n">
        <v>17</v>
      </c>
      <c r="E7915" s="10" t="n">
        <v>0</v>
      </c>
      <c r="F7915" s="10" t="n">
        <v>0.3457910269898465</v>
      </c>
      <c r="G7915" s="11">
        <f>E7915*Summary!$B$6</f>
        <v/>
      </c>
      <c r="H7915" s="11">
        <f>F7915*Summary!$B$7</f>
        <v/>
      </c>
      <c r="I7915" s="11">
        <f>MAX(0,N7915-M7915)</f>
        <v/>
      </c>
      <c r="J7915" s="11">
        <f>MAX(0,M7915-N7915)</f>
        <v/>
      </c>
      <c r="K7915" s="11">
        <f>O7915</f>
        <v/>
      </c>
      <c r="L7915" s="11">
        <f>L7914+IF(K7915&gt;0,K7915*Summary!$B$9,K7915/Summary!$B$9)</f>
        <v/>
      </c>
      <c r="M7915" s="11">
        <f>G7915+H7915</f>
        <v/>
      </c>
      <c r="N7915" s="11">
        <f>Summary!$C$16*Summary!$B$8</f>
        <v/>
      </c>
      <c r="O7915" s="11">
        <f>M7915-N7915</f>
        <v/>
      </c>
    </row>
    <row r="7916">
      <c r="A7916" s="9" t="n">
        <v>45621.75</v>
      </c>
      <c r="B7916" t="n">
        <v>11</v>
      </c>
      <c r="C7916" t="n">
        <v>25</v>
      </c>
      <c r="D7916" t="n">
        <v>18</v>
      </c>
      <c r="E7916" s="10" t="n">
        <v>0</v>
      </c>
      <c r="F7916" s="10" t="n">
        <v>0.3421017461044191</v>
      </c>
      <c r="G7916" s="11">
        <f>E7916*Summary!$B$6</f>
        <v/>
      </c>
      <c r="H7916" s="11">
        <f>F7916*Summary!$B$7</f>
        <v/>
      </c>
      <c r="I7916" s="11">
        <f>MAX(0,N7916-M7916)</f>
        <v/>
      </c>
      <c r="J7916" s="11">
        <f>MAX(0,M7916-N7916)</f>
        <v/>
      </c>
      <c r="K7916" s="11">
        <f>O7916</f>
        <v/>
      </c>
      <c r="L7916" s="11">
        <f>L7915+IF(K7916&gt;0,K7916*Summary!$B$9,K7916/Summary!$B$9)</f>
        <v/>
      </c>
      <c r="M7916" s="11">
        <f>G7916+H7916</f>
        <v/>
      </c>
      <c r="N7916" s="11">
        <f>Summary!$C$16*Summary!$B$8</f>
        <v/>
      </c>
      <c r="O7916" s="11">
        <f>M7916-N7916</f>
        <v/>
      </c>
    </row>
    <row r="7917">
      <c r="A7917" s="9" t="n">
        <v>45621.79166666666</v>
      </c>
      <c r="B7917" t="n">
        <v>11</v>
      </c>
      <c r="C7917" t="n">
        <v>25</v>
      </c>
      <c r="D7917" t="n">
        <v>19</v>
      </c>
      <c r="E7917" s="10" t="n">
        <v>0</v>
      </c>
      <c r="F7917" s="10" t="n">
        <v>0.3359353766244904</v>
      </c>
      <c r="G7917" s="11">
        <f>E7917*Summary!$B$6</f>
        <v/>
      </c>
      <c r="H7917" s="11">
        <f>F7917*Summary!$B$7</f>
        <v/>
      </c>
      <c r="I7917" s="11">
        <f>MAX(0,N7917-M7917)</f>
        <v/>
      </c>
      <c r="J7917" s="11">
        <f>MAX(0,M7917-N7917)</f>
        <v/>
      </c>
      <c r="K7917" s="11">
        <f>O7917</f>
        <v/>
      </c>
      <c r="L7917" s="11">
        <f>L7916+IF(K7917&gt;0,K7917*Summary!$B$9,K7917/Summary!$B$9)</f>
        <v/>
      </c>
      <c r="M7917" s="11">
        <f>G7917+H7917</f>
        <v/>
      </c>
      <c r="N7917" s="11">
        <f>Summary!$C$16*Summary!$B$8</f>
        <v/>
      </c>
      <c r="O7917" s="11">
        <f>M7917-N7917</f>
        <v/>
      </c>
    </row>
    <row r="7918">
      <c r="A7918" s="9" t="n">
        <v>45621.83333333334</v>
      </c>
      <c r="B7918" t="n">
        <v>11</v>
      </c>
      <c r="C7918" t="n">
        <v>25</v>
      </c>
      <c r="D7918" t="n">
        <v>20</v>
      </c>
      <c r="E7918" s="10" t="n">
        <v>0</v>
      </c>
      <c r="F7918" s="10" t="n">
        <v>0.3540392049694092</v>
      </c>
      <c r="G7918" s="11">
        <f>E7918*Summary!$B$6</f>
        <v/>
      </c>
      <c r="H7918" s="11">
        <f>F7918*Summary!$B$7</f>
        <v/>
      </c>
      <c r="I7918" s="11">
        <f>MAX(0,N7918-M7918)</f>
        <v/>
      </c>
      <c r="J7918" s="11">
        <f>MAX(0,M7918-N7918)</f>
        <v/>
      </c>
      <c r="K7918" s="11">
        <f>O7918</f>
        <v/>
      </c>
      <c r="L7918" s="11">
        <f>L7917+IF(K7918&gt;0,K7918*Summary!$B$9,K7918/Summary!$B$9)</f>
        <v/>
      </c>
      <c r="M7918" s="11">
        <f>G7918+H7918</f>
        <v/>
      </c>
      <c r="N7918" s="11">
        <f>Summary!$C$16*Summary!$B$8</f>
        <v/>
      </c>
      <c r="O7918" s="11">
        <f>M7918-N7918</f>
        <v/>
      </c>
    </row>
    <row r="7919">
      <c r="A7919" s="9" t="n">
        <v>45621.875</v>
      </c>
      <c r="B7919" t="n">
        <v>11</v>
      </c>
      <c r="C7919" t="n">
        <v>25</v>
      </c>
      <c r="D7919" t="n">
        <v>21</v>
      </c>
      <c r="E7919" s="10" t="n">
        <v>0</v>
      </c>
      <c r="F7919" s="10" t="n">
        <v>0.3211782530827808</v>
      </c>
      <c r="G7919" s="11">
        <f>E7919*Summary!$B$6</f>
        <v/>
      </c>
      <c r="H7919" s="11">
        <f>F7919*Summary!$B$7</f>
        <v/>
      </c>
      <c r="I7919" s="11">
        <f>MAX(0,N7919-M7919)</f>
        <v/>
      </c>
      <c r="J7919" s="11">
        <f>MAX(0,M7919-N7919)</f>
        <v/>
      </c>
      <c r="K7919" s="11">
        <f>O7919</f>
        <v/>
      </c>
      <c r="L7919" s="11">
        <f>L7918+IF(K7919&gt;0,K7919*Summary!$B$9,K7919/Summary!$B$9)</f>
        <v/>
      </c>
      <c r="M7919" s="11">
        <f>G7919+H7919</f>
        <v/>
      </c>
      <c r="N7919" s="11">
        <f>Summary!$C$16*Summary!$B$8</f>
        <v/>
      </c>
      <c r="O7919" s="11">
        <f>M7919-N7919</f>
        <v/>
      </c>
    </row>
    <row r="7920">
      <c r="A7920" s="9" t="n">
        <v>45621.91666666666</v>
      </c>
      <c r="B7920" t="n">
        <v>11</v>
      </c>
      <c r="C7920" t="n">
        <v>25</v>
      </c>
      <c r="D7920" t="n">
        <v>22</v>
      </c>
      <c r="E7920" s="10" t="n">
        <v>0</v>
      </c>
      <c r="F7920" s="10" t="n">
        <v>0.3145375474890114</v>
      </c>
      <c r="G7920" s="11">
        <f>E7920*Summary!$B$6</f>
        <v/>
      </c>
      <c r="H7920" s="11">
        <f>F7920*Summary!$B$7</f>
        <v/>
      </c>
      <c r="I7920" s="11">
        <f>MAX(0,N7920-M7920)</f>
        <v/>
      </c>
      <c r="J7920" s="11">
        <f>MAX(0,M7920-N7920)</f>
        <v/>
      </c>
      <c r="K7920" s="11">
        <f>O7920</f>
        <v/>
      </c>
      <c r="L7920" s="11">
        <f>L7919+IF(K7920&gt;0,K7920*Summary!$B$9,K7920/Summary!$B$9)</f>
        <v/>
      </c>
      <c r="M7920" s="11">
        <f>G7920+H7920</f>
        <v/>
      </c>
      <c r="N7920" s="11">
        <f>Summary!$C$16*Summary!$B$8</f>
        <v/>
      </c>
      <c r="O7920" s="11">
        <f>M7920-N7920</f>
        <v/>
      </c>
    </row>
    <row r="7921">
      <c r="A7921" s="9" t="n">
        <v>45621.95833333334</v>
      </c>
      <c r="B7921" t="n">
        <v>11</v>
      </c>
      <c r="C7921" t="n">
        <v>25</v>
      </c>
      <c r="D7921" t="n">
        <v>23</v>
      </c>
      <c r="E7921" s="10" t="n">
        <v>0</v>
      </c>
      <c r="F7921" s="10" t="n">
        <v>0.3030217207252129</v>
      </c>
      <c r="G7921" s="11">
        <f>E7921*Summary!$B$6</f>
        <v/>
      </c>
      <c r="H7921" s="11">
        <f>F7921*Summary!$B$7</f>
        <v/>
      </c>
      <c r="I7921" s="11">
        <f>MAX(0,N7921-M7921)</f>
        <v/>
      </c>
      <c r="J7921" s="11">
        <f>MAX(0,M7921-N7921)</f>
        <v/>
      </c>
      <c r="K7921" s="11">
        <f>O7921</f>
        <v/>
      </c>
      <c r="L7921" s="11">
        <f>L7920+IF(K7921&gt;0,K7921*Summary!$B$9,K7921/Summary!$B$9)</f>
        <v/>
      </c>
      <c r="M7921" s="11">
        <f>G7921+H7921</f>
        <v/>
      </c>
      <c r="N7921" s="11">
        <f>Summary!$C$16*Summary!$B$8</f>
        <v/>
      </c>
      <c r="O7921" s="11">
        <f>M7921-N7921</f>
        <v/>
      </c>
    </row>
    <row r="7922">
      <c r="A7922" s="9" t="n">
        <v>45622</v>
      </c>
      <c r="B7922" t="n">
        <v>11</v>
      </c>
      <c r="C7922" t="n">
        <v>26</v>
      </c>
      <c r="D7922" t="n">
        <v>0</v>
      </c>
      <c r="E7922" s="10" t="n">
        <v>0</v>
      </c>
      <c r="F7922" s="10" t="n">
        <v>0.3255526861326447</v>
      </c>
      <c r="G7922" s="11">
        <f>E7922*Summary!$B$6</f>
        <v/>
      </c>
      <c r="H7922" s="11">
        <f>F7922*Summary!$B$7</f>
        <v/>
      </c>
      <c r="I7922" s="11">
        <f>MAX(0,N7922-M7922)</f>
        <v/>
      </c>
      <c r="J7922" s="11">
        <f>MAX(0,M7922-N7922)</f>
        <v/>
      </c>
      <c r="K7922" s="11">
        <f>O7922</f>
        <v/>
      </c>
      <c r="L7922" s="11">
        <f>L7921+IF(K7922&gt;0,K7922*Summary!$B$9,K7922/Summary!$B$9)</f>
        <v/>
      </c>
      <c r="M7922" s="11">
        <f>G7922+H7922</f>
        <v/>
      </c>
      <c r="N7922" s="11">
        <f>Summary!$C$16*Summary!$B$8</f>
        <v/>
      </c>
      <c r="O7922" s="11">
        <f>M7922-N7922</f>
        <v/>
      </c>
    </row>
    <row r="7923">
      <c r="A7923" s="9" t="n">
        <v>45622.04166666666</v>
      </c>
      <c r="B7923" t="n">
        <v>11</v>
      </c>
      <c r="C7923" t="n">
        <v>26</v>
      </c>
      <c r="D7923" t="n">
        <v>1</v>
      </c>
      <c r="E7923" s="10" t="n">
        <v>0</v>
      </c>
      <c r="F7923" s="10" t="n">
        <v>0.2846543723170494</v>
      </c>
      <c r="G7923" s="11">
        <f>E7923*Summary!$B$6</f>
        <v/>
      </c>
      <c r="H7923" s="11">
        <f>F7923*Summary!$B$7</f>
        <v/>
      </c>
      <c r="I7923" s="11">
        <f>MAX(0,N7923-M7923)</f>
        <v/>
      </c>
      <c r="J7923" s="11">
        <f>MAX(0,M7923-N7923)</f>
        <v/>
      </c>
      <c r="K7923" s="11">
        <f>O7923</f>
        <v/>
      </c>
      <c r="L7923" s="11">
        <f>L7922+IF(K7923&gt;0,K7923*Summary!$B$9,K7923/Summary!$B$9)</f>
        <v/>
      </c>
      <c r="M7923" s="11">
        <f>G7923+H7923</f>
        <v/>
      </c>
      <c r="N7923" s="11">
        <f>Summary!$C$16*Summary!$B$8</f>
        <v/>
      </c>
      <c r="O7923" s="11">
        <f>M7923-N7923</f>
        <v/>
      </c>
    </row>
    <row r="7924">
      <c r="A7924" s="9" t="n">
        <v>45622.08333333334</v>
      </c>
      <c r="B7924" t="n">
        <v>11</v>
      </c>
      <c r="C7924" t="n">
        <v>26</v>
      </c>
      <c r="D7924" t="n">
        <v>2</v>
      </c>
      <c r="E7924" s="10" t="n">
        <v>0</v>
      </c>
      <c r="F7924" s="10" t="n">
        <v>0.2783562428054983</v>
      </c>
      <c r="G7924" s="11">
        <f>E7924*Summary!$B$6</f>
        <v/>
      </c>
      <c r="H7924" s="11">
        <f>F7924*Summary!$B$7</f>
        <v/>
      </c>
      <c r="I7924" s="11">
        <f>MAX(0,N7924-M7924)</f>
        <v/>
      </c>
      <c r="J7924" s="11">
        <f>MAX(0,M7924-N7924)</f>
        <v/>
      </c>
      <c r="K7924" s="11">
        <f>O7924</f>
        <v/>
      </c>
      <c r="L7924" s="11">
        <f>L7923+IF(K7924&gt;0,K7924*Summary!$B$9,K7924/Summary!$B$9)</f>
        <v/>
      </c>
      <c r="M7924" s="11">
        <f>G7924+H7924</f>
        <v/>
      </c>
      <c r="N7924" s="11">
        <f>Summary!$C$16*Summary!$B$8</f>
        <v/>
      </c>
      <c r="O7924" s="11">
        <f>M7924-N7924</f>
        <v/>
      </c>
    </row>
    <row r="7925">
      <c r="A7925" s="9" t="n">
        <v>45622.125</v>
      </c>
      <c r="B7925" t="n">
        <v>11</v>
      </c>
      <c r="C7925" t="n">
        <v>26</v>
      </c>
      <c r="D7925" t="n">
        <v>3</v>
      </c>
      <c r="E7925" s="10" t="n">
        <v>0</v>
      </c>
      <c r="F7925" s="10" t="n">
        <v>0.270187120844909</v>
      </c>
      <c r="G7925" s="11">
        <f>E7925*Summary!$B$6</f>
        <v/>
      </c>
      <c r="H7925" s="11">
        <f>F7925*Summary!$B$7</f>
        <v/>
      </c>
      <c r="I7925" s="11">
        <f>MAX(0,N7925-M7925)</f>
        <v/>
      </c>
      <c r="J7925" s="11">
        <f>MAX(0,M7925-N7925)</f>
        <v/>
      </c>
      <c r="K7925" s="11">
        <f>O7925</f>
        <v/>
      </c>
      <c r="L7925" s="11">
        <f>L7924+IF(K7925&gt;0,K7925*Summary!$B$9,K7925/Summary!$B$9)</f>
        <v/>
      </c>
      <c r="M7925" s="11">
        <f>G7925+H7925</f>
        <v/>
      </c>
      <c r="N7925" s="11">
        <f>Summary!$C$16*Summary!$B$8</f>
        <v/>
      </c>
      <c r="O7925" s="11">
        <f>M7925-N7925</f>
        <v/>
      </c>
    </row>
    <row r="7926">
      <c r="A7926" s="9" t="n">
        <v>45622.16666666666</v>
      </c>
      <c r="B7926" t="n">
        <v>11</v>
      </c>
      <c r="C7926" t="n">
        <v>26</v>
      </c>
      <c r="D7926" t="n">
        <v>4</v>
      </c>
      <c r="E7926" s="10" t="n">
        <v>0</v>
      </c>
      <c r="F7926" s="10" t="n">
        <v>0.2664714879531571</v>
      </c>
      <c r="G7926" s="11">
        <f>E7926*Summary!$B$6</f>
        <v/>
      </c>
      <c r="H7926" s="11">
        <f>F7926*Summary!$B$7</f>
        <v/>
      </c>
      <c r="I7926" s="11">
        <f>MAX(0,N7926-M7926)</f>
        <v/>
      </c>
      <c r="J7926" s="11">
        <f>MAX(0,M7926-N7926)</f>
        <v/>
      </c>
      <c r="K7926" s="11">
        <f>O7926</f>
        <v/>
      </c>
      <c r="L7926" s="11">
        <f>L7925+IF(K7926&gt;0,K7926*Summary!$B$9,K7926/Summary!$B$9)</f>
        <v/>
      </c>
      <c r="M7926" s="11">
        <f>G7926+H7926</f>
        <v/>
      </c>
      <c r="N7926" s="11">
        <f>Summary!$C$16*Summary!$B$8</f>
        <v/>
      </c>
      <c r="O7926" s="11">
        <f>M7926-N7926</f>
        <v/>
      </c>
    </row>
    <row r="7927">
      <c r="A7927" s="9" t="n">
        <v>45622.20833333334</v>
      </c>
      <c r="B7927" t="n">
        <v>11</v>
      </c>
      <c r="C7927" t="n">
        <v>26</v>
      </c>
      <c r="D7927" t="n">
        <v>5</v>
      </c>
      <c r="E7927" s="10" t="n">
        <v>0</v>
      </c>
      <c r="F7927" s="10" t="n">
        <v>0.2702661768638824</v>
      </c>
      <c r="G7927" s="11">
        <f>E7927*Summary!$B$6</f>
        <v/>
      </c>
      <c r="H7927" s="11">
        <f>F7927*Summary!$B$7</f>
        <v/>
      </c>
      <c r="I7927" s="11">
        <f>MAX(0,N7927-M7927)</f>
        <v/>
      </c>
      <c r="J7927" s="11">
        <f>MAX(0,M7927-N7927)</f>
        <v/>
      </c>
      <c r="K7927" s="11">
        <f>O7927</f>
        <v/>
      </c>
      <c r="L7927" s="11">
        <f>L7926+IF(K7927&gt;0,K7927*Summary!$B$9,K7927/Summary!$B$9)</f>
        <v/>
      </c>
      <c r="M7927" s="11">
        <f>G7927+H7927</f>
        <v/>
      </c>
      <c r="N7927" s="11">
        <f>Summary!$C$16*Summary!$B$8</f>
        <v/>
      </c>
      <c r="O7927" s="11">
        <f>M7927-N7927</f>
        <v/>
      </c>
    </row>
    <row r="7928">
      <c r="A7928" s="9" t="n">
        <v>45622.25</v>
      </c>
      <c r="B7928" t="n">
        <v>11</v>
      </c>
      <c r="C7928" t="n">
        <v>26</v>
      </c>
      <c r="D7928" t="n">
        <v>6</v>
      </c>
      <c r="E7928" s="10" t="n">
        <v>0</v>
      </c>
      <c r="F7928" s="10" t="n">
        <v>0.2716891852054044</v>
      </c>
      <c r="G7928" s="11">
        <f>E7928*Summary!$B$6</f>
        <v/>
      </c>
      <c r="H7928" s="11">
        <f>F7928*Summary!$B$7</f>
        <v/>
      </c>
      <c r="I7928" s="11">
        <f>MAX(0,N7928-M7928)</f>
        <v/>
      </c>
      <c r="J7928" s="11">
        <f>MAX(0,M7928-N7928)</f>
        <v/>
      </c>
      <c r="K7928" s="11">
        <f>O7928</f>
        <v/>
      </c>
      <c r="L7928" s="11">
        <f>L7927+IF(K7928&gt;0,K7928*Summary!$B$9,K7928/Summary!$B$9)</f>
        <v/>
      </c>
      <c r="M7928" s="11">
        <f>G7928+H7928</f>
        <v/>
      </c>
      <c r="N7928" s="11">
        <f>Summary!$C$16*Summary!$B$8</f>
        <v/>
      </c>
      <c r="O7928" s="11">
        <f>M7928-N7928</f>
        <v/>
      </c>
    </row>
    <row r="7929">
      <c r="A7929" s="9" t="n">
        <v>45622.29166666666</v>
      </c>
      <c r="B7929" t="n">
        <v>11</v>
      </c>
      <c r="C7929" t="n">
        <v>26</v>
      </c>
      <c r="D7929" t="n">
        <v>7</v>
      </c>
      <c r="E7929" s="10" t="n">
        <v>0</v>
      </c>
      <c r="F7929" s="10" t="n">
        <v>0.2698708967690152</v>
      </c>
      <c r="G7929" s="11">
        <f>E7929*Summary!$B$6</f>
        <v/>
      </c>
      <c r="H7929" s="11">
        <f>F7929*Summary!$B$7</f>
        <v/>
      </c>
      <c r="I7929" s="11">
        <f>MAX(0,N7929-M7929)</f>
        <v/>
      </c>
      <c r="J7929" s="11">
        <f>MAX(0,M7929-N7929)</f>
        <v/>
      </c>
      <c r="K7929" s="11">
        <f>O7929</f>
        <v/>
      </c>
      <c r="L7929" s="11">
        <f>L7928+IF(K7929&gt;0,K7929*Summary!$B$9,K7929/Summary!$B$9)</f>
        <v/>
      </c>
      <c r="M7929" s="11">
        <f>G7929+H7929</f>
        <v/>
      </c>
      <c r="N7929" s="11">
        <f>Summary!$C$16*Summary!$B$8</f>
        <v/>
      </c>
      <c r="O7929" s="11">
        <f>M7929-N7929</f>
        <v/>
      </c>
    </row>
    <row r="7930">
      <c r="A7930" s="9" t="n">
        <v>45622.33333333334</v>
      </c>
      <c r="B7930" t="n">
        <v>11</v>
      </c>
      <c r="C7930" t="n">
        <v>26</v>
      </c>
      <c r="D7930" t="n">
        <v>8</v>
      </c>
      <c r="E7930" s="10" t="n">
        <v>0.002935</v>
      </c>
      <c r="F7930" s="10" t="n">
        <v>0.2632038391689214</v>
      </c>
      <c r="G7930" s="11">
        <f>E7930*Summary!$B$6</f>
        <v/>
      </c>
      <c r="H7930" s="11">
        <f>F7930*Summary!$B$7</f>
        <v/>
      </c>
      <c r="I7930" s="11">
        <f>MAX(0,N7930-M7930)</f>
        <v/>
      </c>
      <c r="J7930" s="11">
        <f>MAX(0,M7930-N7930)</f>
        <v/>
      </c>
      <c r="K7930" s="11">
        <f>O7930</f>
        <v/>
      </c>
      <c r="L7930" s="11">
        <f>L7929+IF(K7930&gt;0,K7930*Summary!$B$9,K7930/Summary!$B$9)</f>
        <v/>
      </c>
      <c r="M7930" s="11">
        <f>G7930+H7930</f>
        <v/>
      </c>
      <c r="N7930" s="11">
        <f>Summary!$C$16*Summary!$B$8</f>
        <v/>
      </c>
      <c r="O7930" s="11">
        <f>M7930-N7930</f>
        <v/>
      </c>
    </row>
    <row r="7931">
      <c r="A7931" s="9" t="n">
        <v>45622.375</v>
      </c>
      <c r="B7931" t="n">
        <v>11</v>
      </c>
      <c r="C7931" t="n">
        <v>26</v>
      </c>
      <c r="D7931" t="n">
        <v>9</v>
      </c>
      <c r="E7931" s="10" t="n">
        <v>0.021531</v>
      </c>
      <c r="F7931" s="10" t="n">
        <v>0.2785670588560941</v>
      </c>
      <c r="G7931" s="11">
        <f>E7931*Summary!$B$6</f>
        <v/>
      </c>
      <c r="H7931" s="11">
        <f>F7931*Summary!$B$7</f>
        <v/>
      </c>
      <c r="I7931" s="11">
        <f>MAX(0,N7931-M7931)</f>
        <v/>
      </c>
      <c r="J7931" s="11">
        <f>MAX(0,M7931-N7931)</f>
        <v/>
      </c>
      <c r="K7931" s="11">
        <f>O7931</f>
        <v/>
      </c>
      <c r="L7931" s="11">
        <f>L7930+IF(K7931&gt;0,K7931*Summary!$B$9,K7931/Summary!$B$9)</f>
        <v/>
      </c>
      <c r="M7931" s="11">
        <f>G7931+H7931</f>
        <v/>
      </c>
      <c r="N7931" s="11">
        <f>Summary!$C$16*Summary!$B$8</f>
        <v/>
      </c>
      <c r="O7931" s="11">
        <f>M7931-N7931</f>
        <v/>
      </c>
    </row>
    <row r="7932">
      <c r="A7932" s="9" t="n">
        <v>45622.41666666666</v>
      </c>
      <c r="B7932" t="n">
        <v>11</v>
      </c>
      <c r="C7932" t="n">
        <v>26</v>
      </c>
      <c r="D7932" t="n">
        <v>10</v>
      </c>
      <c r="E7932" s="10" t="n">
        <v>0.027427</v>
      </c>
      <c r="F7932" s="10" t="n">
        <v>0.2496852599244624</v>
      </c>
      <c r="G7932" s="11">
        <f>E7932*Summary!$B$6</f>
        <v/>
      </c>
      <c r="H7932" s="11">
        <f>F7932*Summary!$B$7</f>
        <v/>
      </c>
      <c r="I7932" s="11">
        <f>MAX(0,N7932-M7932)</f>
        <v/>
      </c>
      <c r="J7932" s="11">
        <f>MAX(0,M7932-N7932)</f>
        <v/>
      </c>
      <c r="K7932" s="11">
        <f>O7932</f>
        <v/>
      </c>
      <c r="L7932" s="11">
        <f>L7931+IF(K7932&gt;0,K7932*Summary!$B$9,K7932/Summary!$B$9)</f>
        <v/>
      </c>
      <c r="M7932" s="11">
        <f>G7932+H7932</f>
        <v/>
      </c>
      <c r="N7932" s="11">
        <f>Summary!$C$16*Summary!$B$8</f>
        <v/>
      </c>
      <c r="O7932" s="11">
        <f>M7932-N7932</f>
        <v/>
      </c>
    </row>
    <row r="7933">
      <c r="A7933" s="9" t="n">
        <v>45622.45833333334</v>
      </c>
      <c r="B7933" t="n">
        <v>11</v>
      </c>
      <c r="C7933" t="n">
        <v>26</v>
      </c>
      <c r="D7933" t="n">
        <v>11</v>
      </c>
      <c r="E7933" s="10" t="n">
        <v>0.06804399999999999</v>
      </c>
      <c r="F7933" s="10" t="n">
        <v>0.2449155467797312</v>
      </c>
      <c r="G7933" s="11">
        <f>E7933*Summary!$B$6</f>
        <v/>
      </c>
      <c r="H7933" s="11">
        <f>F7933*Summary!$B$7</f>
        <v/>
      </c>
      <c r="I7933" s="11">
        <f>MAX(0,N7933-M7933)</f>
        <v/>
      </c>
      <c r="J7933" s="11">
        <f>MAX(0,M7933-N7933)</f>
        <v/>
      </c>
      <c r="K7933" s="11">
        <f>O7933</f>
        <v/>
      </c>
      <c r="L7933" s="11">
        <f>L7932+IF(K7933&gt;0,K7933*Summary!$B$9,K7933/Summary!$B$9)</f>
        <v/>
      </c>
      <c r="M7933" s="11">
        <f>G7933+H7933</f>
        <v/>
      </c>
      <c r="N7933" s="11">
        <f>Summary!$C$16*Summary!$B$8</f>
        <v/>
      </c>
      <c r="O7933" s="11">
        <f>M7933-N7933</f>
        <v/>
      </c>
    </row>
    <row r="7934">
      <c r="A7934" s="9" t="n">
        <v>45622.5</v>
      </c>
      <c r="B7934" t="n">
        <v>11</v>
      </c>
      <c r="C7934" t="n">
        <v>26</v>
      </c>
      <c r="D7934" t="n">
        <v>12</v>
      </c>
      <c r="E7934" s="10" t="n">
        <v>0.065456</v>
      </c>
      <c r="F7934" s="10" t="n">
        <v>0.2330044399210656</v>
      </c>
      <c r="G7934" s="11">
        <f>E7934*Summary!$B$6</f>
        <v/>
      </c>
      <c r="H7934" s="11">
        <f>F7934*Summary!$B$7</f>
        <v/>
      </c>
      <c r="I7934" s="11">
        <f>MAX(0,N7934-M7934)</f>
        <v/>
      </c>
      <c r="J7934" s="11">
        <f>MAX(0,M7934-N7934)</f>
        <v/>
      </c>
      <c r="K7934" s="11">
        <f>O7934</f>
        <v/>
      </c>
      <c r="L7934" s="11">
        <f>L7933+IF(K7934&gt;0,K7934*Summary!$B$9,K7934/Summary!$B$9)</f>
        <v/>
      </c>
      <c r="M7934" s="11">
        <f>G7934+H7934</f>
        <v/>
      </c>
      <c r="N7934" s="11">
        <f>Summary!$C$16*Summary!$B$8</f>
        <v/>
      </c>
      <c r="O7934" s="11">
        <f>M7934-N7934</f>
        <v/>
      </c>
    </row>
    <row r="7935">
      <c r="A7935" s="9" t="n">
        <v>45622.54166666666</v>
      </c>
      <c r="B7935" t="n">
        <v>11</v>
      </c>
      <c r="C7935" t="n">
        <v>26</v>
      </c>
      <c r="D7935" t="n">
        <v>13</v>
      </c>
      <c r="E7935" s="10" t="n">
        <v>0.029788</v>
      </c>
      <c r="F7935" s="10" t="n">
        <v>0.2364829047558971</v>
      </c>
      <c r="G7935" s="11">
        <f>E7935*Summary!$B$6</f>
        <v/>
      </c>
      <c r="H7935" s="11">
        <f>F7935*Summary!$B$7</f>
        <v/>
      </c>
      <c r="I7935" s="11">
        <f>MAX(0,N7935-M7935)</f>
        <v/>
      </c>
      <c r="J7935" s="11">
        <f>MAX(0,M7935-N7935)</f>
        <v/>
      </c>
      <c r="K7935" s="11">
        <f>O7935</f>
        <v/>
      </c>
      <c r="L7935" s="11">
        <f>L7934+IF(K7935&gt;0,K7935*Summary!$B$9,K7935/Summary!$B$9)</f>
        <v/>
      </c>
      <c r="M7935" s="11">
        <f>G7935+H7935</f>
        <v/>
      </c>
      <c r="N7935" s="11">
        <f>Summary!$C$16*Summary!$B$8</f>
        <v/>
      </c>
      <c r="O7935" s="11">
        <f>M7935-N7935</f>
        <v/>
      </c>
    </row>
    <row r="7936">
      <c r="A7936" s="9" t="n">
        <v>45622.58333333334</v>
      </c>
      <c r="B7936" t="n">
        <v>11</v>
      </c>
      <c r="C7936" t="n">
        <v>26</v>
      </c>
      <c r="D7936" t="n">
        <v>14</v>
      </c>
      <c r="E7936" s="10" t="n">
        <v>0.005036</v>
      </c>
      <c r="F7936" s="10" t="n">
        <v>0.2513981403355537</v>
      </c>
      <c r="G7936" s="11">
        <f>E7936*Summary!$B$6</f>
        <v/>
      </c>
      <c r="H7936" s="11">
        <f>F7936*Summary!$B$7</f>
        <v/>
      </c>
      <c r="I7936" s="11">
        <f>MAX(0,N7936-M7936)</f>
        <v/>
      </c>
      <c r="J7936" s="11">
        <f>MAX(0,M7936-N7936)</f>
        <v/>
      </c>
      <c r="K7936" s="11">
        <f>O7936</f>
        <v/>
      </c>
      <c r="L7936" s="11">
        <f>L7935+IF(K7936&gt;0,K7936*Summary!$B$9,K7936/Summary!$B$9)</f>
        <v/>
      </c>
      <c r="M7936" s="11">
        <f>G7936+H7936</f>
        <v/>
      </c>
      <c r="N7936" s="11">
        <f>Summary!$C$16*Summary!$B$8</f>
        <v/>
      </c>
      <c r="O7936" s="11">
        <f>M7936-N7936</f>
        <v/>
      </c>
    </row>
    <row r="7937">
      <c r="A7937" s="9" t="n">
        <v>45622.625</v>
      </c>
      <c r="B7937" t="n">
        <v>11</v>
      </c>
      <c r="C7937" t="n">
        <v>26</v>
      </c>
      <c r="D7937" t="n">
        <v>15</v>
      </c>
      <c r="E7937" s="10" t="n">
        <v>0</v>
      </c>
      <c r="F7937" s="10" t="n">
        <v>0.2893186774364826</v>
      </c>
      <c r="G7937" s="11">
        <f>E7937*Summary!$B$6</f>
        <v/>
      </c>
      <c r="H7937" s="11">
        <f>F7937*Summary!$B$7</f>
        <v/>
      </c>
      <c r="I7937" s="11">
        <f>MAX(0,N7937-M7937)</f>
        <v/>
      </c>
      <c r="J7937" s="11">
        <f>MAX(0,M7937-N7937)</f>
        <v/>
      </c>
      <c r="K7937" s="11">
        <f>O7937</f>
        <v/>
      </c>
      <c r="L7937" s="11">
        <f>L7936+IF(K7937&gt;0,K7937*Summary!$B$9,K7937/Summary!$B$9)</f>
        <v/>
      </c>
      <c r="M7937" s="11">
        <f>G7937+H7937</f>
        <v/>
      </c>
      <c r="N7937" s="11">
        <f>Summary!$C$16*Summary!$B$8</f>
        <v/>
      </c>
      <c r="O7937" s="11">
        <f>M7937-N7937</f>
        <v/>
      </c>
    </row>
    <row r="7938">
      <c r="A7938" s="9" t="n">
        <v>45622.66666666666</v>
      </c>
      <c r="B7938" t="n">
        <v>11</v>
      </c>
      <c r="C7938" t="n">
        <v>26</v>
      </c>
      <c r="D7938" t="n">
        <v>16</v>
      </c>
      <c r="E7938" s="10" t="n">
        <v>0</v>
      </c>
      <c r="F7938" s="10" t="n">
        <v>0.2863672527281407</v>
      </c>
      <c r="G7938" s="11">
        <f>E7938*Summary!$B$6</f>
        <v/>
      </c>
      <c r="H7938" s="11">
        <f>F7938*Summary!$B$7</f>
        <v/>
      </c>
      <c r="I7938" s="11">
        <f>MAX(0,N7938-M7938)</f>
        <v/>
      </c>
      <c r="J7938" s="11">
        <f>MAX(0,M7938-N7938)</f>
        <v/>
      </c>
      <c r="K7938" s="11">
        <f>O7938</f>
        <v/>
      </c>
      <c r="L7938" s="11">
        <f>L7937+IF(K7938&gt;0,K7938*Summary!$B$9,K7938/Summary!$B$9)</f>
        <v/>
      </c>
      <c r="M7938" s="11">
        <f>G7938+H7938</f>
        <v/>
      </c>
      <c r="N7938" s="11">
        <f>Summary!$C$16*Summary!$B$8</f>
        <v/>
      </c>
      <c r="O7938" s="11">
        <f>M7938-N7938</f>
        <v/>
      </c>
    </row>
    <row r="7939">
      <c r="A7939" s="9" t="n">
        <v>45622.70833333334</v>
      </c>
      <c r="B7939" t="n">
        <v>11</v>
      </c>
      <c r="C7939" t="n">
        <v>26</v>
      </c>
      <c r="D7939" t="n">
        <v>17</v>
      </c>
      <c r="E7939" s="10" t="n">
        <v>0</v>
      </c>
      <c r="F7939" s="10" t="n">
        <v>0.2963546631251192</v>
      </c>
      <c r="G7939" s="11">
        <f>E7939*Summary!$B$6</f>
        <v/>
      </c>
      <c r="H7939" s="11">
        <f>F7939*Summary!$B$7</f>
        <v/>
      </c>
      <c r="I7939" s="11">
        <f>MAX(0,N7939-M7939)</f>
        <v/>
      </c>
      <c r="J7939" s="11">
        <f>MAX(0,M7939-N7939)</f>
        <v/>
      </c>
      <c r="K7939" s="11">
        <f>O7939</f>
        <v/>
      </c>
      <c r="L7939" s="11">
        <f>L7938+IF(K7939&gt;0,K7939*Summary!$B$9,K7939/Summary!$B$9)</f>
        <v/>
      </c>
      <c r="M7939" s="11">
        <f>G7939+H7939</f>
        <v/>
      </c>
      <c r="N7939" s="11">
        <f>Summary!$C$16*Summary!$B$8</f>
        <v/>
      </c>
      <c r="O7939" s="11">
        <f>M7939-N7939</f>
        <v/>
      </c>
    </row>
    <row r="7940">
      <c r="A7940" s="9" t="n">
        <v>45622.75</v>
      </c>
      <c r="B7940" t="n">
        <v>11</v>
      </c>
      <c r="C7940" t="n">
        <v>26</v>
      </c>
      <c r="D7940" t="n">
        <v>18</v>
      </c>
      <c r="E7940" s="10" t="n">
        <v>0</v>
      </c>
      <c r="F7940" s="10" t="n">
        <v>0.3036014648643516</v>
      </c>
      <c r="G7940" s="11">
        <f>E7940*Summary!$B$6</f>
        <v/>
      </c>
      <c r="H7940" s="11">
        <f>F7940*Summary!$B$7</f>
        <v/>
      </c>
      <c r="I7940" s="11">
        <f>MAX(0,N7940-M7940)</f>
        <v/>
      </c>
      <c r="J7940" s="11">
        <f>MAX(0,M7940-N7940)</f>
        <v/>
      </c>
      <c r="K7940" s="11">
        <f>O7940</f>
        <v/>
      </c>
      <c r="L7940" s="11">
        <f>L7939+IF(K7940&gt;0,K7940*Summary!$B$9,K7940/Summary!$B$9)</f>
        <v/>
      </c>
      <c r="M7940" s="11">
        <f>G7940+H7940</f>
        <v/>
      </c>
      <c r="N7940" s="11">
        <f>Summary!$C$16*Summary!$B$8</f>
        <v/>
      </c>
      <c r="O7940" s="11">
        <f>M7940-N7940</f>
        <v/>
      </c>
    </row>
    <row r="7941">
      <c r="A7941" s="9" t="n">
        <v>45622.79166666666</v>
      </c>
      <c r="B7941" t="n">
        <v>11</v>
      </c>
      <c r="C7941" t="n">
        <v>26</v>
      </c>
      <c r="D7941" t="n">
        <v>19</v>
      </c>
      <c r="E7941" s="10" t="n">
        <v>0</v>
      </c>
      <c r="F7941" s="10" t="n">
        <v>0.3143267314384156</v>
      </c>
      <c r="G7941" s="11">
        <f>E7941*Summary!$B$6</f>
        <v/>
      </c>
      <c r="H7941" s="11">
        <f>F7941*Summary!$B$7</f>
        <v/>
      </c>
      <c r="I7941" s="11">
        <f>MAX(0,N7941-M7941)</f>
        <v/>
      </c>
      <c r="J7941" s="11">
        <f>MAX(0,M7941-N7941)</f>
        <v/>
      </c>
      <c r="K7941" s="11">
        <f>O7941</f>
        <v/>
      </c>
      <c r="L7941" s="11">
        <f>L7940+IF(K7941&gt;0,K7941*Summary!$B$9,K7941/Summary!$B$9)</f>
        <v/>
      </c>
      <c r="M7941" s="11">
        <f>G7941+H7941</f>
        <v/>
      </c>
      <c r="N7941" s="11">
        <f>Summary!$C$16*Summary!$B$8</f>
        <v/>
      </c>
      <c r="O7941" s="11">
        <f>M7941-N7941</f>
        <v/>
      </c>
    </row>
    <row r="7942">
      <c r="A7942" s="9" t="n">
        <v>45622.83333333334</v>
      </c>
      <c r="B7942" t="n">
        <v>11</v>
      </c>
      <c r="C7942" t="n">
        <v>26</v>
      </c>
      <c r="D7942" t="n">
        <v>20</v>
      </c>
      <c r="E7942" s="10" t="n">
        <v>0</v>
      </c>
      <c r="F7942" s="10" t="n">
        <v>0.3195444286906629</v>
      </c>
      <c r="G7942" s="11">
        <f>E7942*Summary!$B$6</f>
        <v/>
      </c>
      <c r="H7942" s="11">
        <f>F7942*Summary!$B$7</f>
        <v/>
      </c>
      <c r="I7942" s="11">
        <f>MAX(0,N7942-M7942)</f>
        <v/>
      </c>
      <c r="J7942" s="11">
        <f>MAX(0,M7942-N7942)</f>
        <v/>
      </c>
      <c r="K7942" s="11">
        <f>O7942</f>
        <v/>
      </c>
      <c r="L7942" s="11">
        <f>L7941+IF(K7942&gt;0,K7942*Summary!$B$9,K7942/Summary!$B$9)</f>
        <v/>
      </c>
      <c r="M7942" s="11">
        <f>G7942+H7942</f>
        <v/>
      </c>
      <c r="N7942" s="11">
        <f>Summary!$C$16*Summary!$B$8</f>
        <v/>
      </c>
      <c r="O7942" s="11">
        <f>M7942-N7942</f>
        <v/>
      </c>
    </row>
    <row r="7943">
      <c r="A7943" s="9" t="n">
        <v>45622.875</v>
      </c>
      <c r="B7943" t="n">
        <v>11</v>
      </c>
      <c r="C7943" t="n">
        <v>26</v>
      </c>
      <c r="D7943" t="n">
        <v>21</v>
      </c>
      <c r="E7943" s="10" t="n">
        <v>0</v>
      </c>
      <c r="F7943" s="10" t="n">
        <v>0.319386316652716</v>
      </c>
      <c r="G7943" s="11">
        <f>E7943*Summary!$B$6</f>
        <v/>
      </c>
      <c r="H7943" s="11">
        <f>F7943*Summary!$B$7</f>
        <v/>
      </c>
      <c r="I7943" s="11">
        <f>MAX(0,N7943-M7943)</f>
        <v/>
      </c>
      <c r="J7943" s="11">
        <f>MAX(0,M7943-N7943)</f>
        <v/>
      </c>
      <c r="K7943" s="11">
        <f>O7943</f>
        <v/>
      </c>
      <c r="L7943" s="11">
        <f>L7942+IF(K7943&gt;0,K7943*Summary!$B$9,K7943/Summary!$B$9)</f>
        <v/>
      </c>
      <c r="M7943" s="11">
        <f>G7943+H7943</f>
        <v/>
      </c>
      <c r="N7943" s="11">
        <f>Summary!$C$16*Summary!$B$8</f>
        <v/>
      </c>
      <c r="O7943" s="11">
        <f>M7943-N7943</f>
        <v/>
      </c>
    </row>
    <row r="7944">
      <c r="A7944" s="9" t="n">
        <v>45622.91666666666</v>
      </c>
      <c r="B7944" t="n">
        <v>11</v>
      </c>
      <c r="C7944" t="n">
        <v>26</v>
      </c>
      <c r="D7944" t="n">
        <v>22</v>
      </c>
      <c r="E7944" s="10" t="n">
        <v>0</v>
      </c>
      <c r="F7944" s="10" t="n">
        <v>0.3224958533990048</v>
      </c>
      <c r="G7944" s="11">
        <f>E7944*Summary!$B$6</f>
        <v/>
      </c>
      <c r="H7944" s="11">
        <f>F7944*Summary!$B$7</f>
        <v/>
      </c>
      <c r="I7944" s="11">
        <f>MAX(0,N7944-M7944)</f>
        <v/>
      </c>
      <c r="J7944" s="11">
        <f>MAX(0,M7944-N7944)</f>
        <v/>
      </c>
      <c r="K7944" s="11">
        <f>O7944</f>
        <v/>
      </c>
      <c r="L7944" s="11">
        <f>L7943+IF(K7944&gt;0,K7944*Summary!$B$9,K7944/Summary!$B$9)</f>
        <v/>
      </c>
      <c r="M7944" s="11">
        <f>G7944+H7944</f>
        <v/>
      </c>
      <c r="N7944" s="11">
        <f>Summary!$C$16*Summary!$B$8</f>
        <v/>
      </c>
      <c r="O7944" s="11">
        <f>M7944-N7944</f>
        <v/>
      </c>
    </row>
    <row r="7945">
      <c r="A7945" s="9" t="n">
        <v>45622.95833333334</v>
      </c>
      <c r="B7945" t="n">
        <v>11</v>
      </c>
      <c r="C7945" t="n">
        <v>26</v>
      </c>
      <c r="D7945" t="n">
        <v>23</v>
      </c>
      <c r="E7945" s="10" t="n">
        <v>0</v>
      </c>
      <c r="F7945" s="10" t="n">
        <v>0.3207039169689401</v>
      </c>
      <c r="G7945" s="11">
        <f>E7945*Summary!$B$6</f>
        <v/>
      </c>
      <c r="H7945" s="11">
        <f>F7945*Summary!$B$7</f>
        <v/>
      </c>
      <c r="I7945" s="11">
        <f>MAX(0,N7945-M7945)</f>
        <v/>
      </c>
      <c r="J7945" s="11">
        <f>MAX(0,M7945-N7945)</f>
        <v/>
      </c>
      <c r="K7945" s="11">
        <f>O7945</f>
        <v/>
      </c>
      <c r="L7945" s="11">
        <f>L7944+IF(K7945&gt;0,K7945*Summary!$B$9,K7945/Summary!$B$9)</f>
        <v/>
      </c>
      <c r="M7945" s="11">
        <f>G7945+H7945</f>
        <v/>
      </c>
      <c r="N7945" s="11">
        <f>Summary!$C$16*Summary!$B$8</f>
        <v/>
      </c>
      <c r="O7945" s="11">
        <f>M7945-N7945</f>
        <v/>
      </c>
    </row>
    <row r="7946">
      <c r="A7946" s="9" t="n">
        <v>45623</v>
      </c>
      <c r="B7946" t="n">
        <v>11</v>
      </c>
      <c r="C7946" t="n">
        <v>27</v>
      </c>
      <c r="D7946" t="n">
        <v>0</v>
      </c>
      <c r="E7946" s="10" t="n">
        <v>0</v>
      </c>
      <c r="F7946" s="10" t="n">
        <v>0.3988639677273522</v>
      </c>
      <c r="G7946" s="11">
        <f>E7946*Summary!$B$6</f>
        <v/>
      </c>
      <c r="H7946" s="11">
        <f>F7946*Summary!$B$7</f>
        <v/>
      </c>
      <c r="I7946" s="11">
        <f>MAX(0,N7946-M7946)</f>
        <v/>
      </c>
      <c r="J7946" s="11">
        <f>MAX(0,M7946-N7946)</f>
        <v/>
      </c>
      <c r="K7946" s="11">
        <f>O7946</f>
        <v/>
      </c>
      <c r="L7946" s="11">
        <f>L7945+IF(K7946&gt;0,K7946*Summary!$B$9,K7946/Summary!$B$9)</f>
        <v/>
      </c>
      <c r="M7946" s="11">
        <f>G7946+H7946</f>
        <v/>
      </c>
      <c r="N7946" s="11">
        <f>Summary!$C$16*Summary!$B$8</f>
        <v/>
      </c>
      <c r="O7946" s="11">
        <f>M7946-N7946</f>
        <v/>
      </c>
    </row>
    <row r="7947">
      <c r="A7947" s="9" t="n">
        <v>45623.04166666666</v>
      </c>
      <c r="B7947" t="n">
        <v>11</v>
      </c>
      <c r="C7947" t="n">
        <v>27</v>
      </c>
      <c r="D7947" t="n">
        <v>1</v>
      </c>
      <c r="E7947" s="10" t="n">
        <v>0</v>
      </c>
      <c r="F7947" s="10" t="n">
        <v>0.3272919185500605</v>
      </c>
      <c r="G7947" s="11">
        <f>E7947*Summary!$B$6</f>
        <v/>
      </c>
      <c r="H7947" s="11">
        <f>F7947*Summary!$B$7</f>
        <v/>
      </c>
      <c r="I7947" s="11">
        <f>MAX(0,N7947-M7947)</f>
        <v/>
      </c>
      <c r="J7947" s="11">
        <f>MAX(0,M7947-N7947)</f>
        <v/>
      </c>
      <c r="K7947" s="11">
        <f>O7947</f>
        <v/>
      </c>
      <c r="L7947" s="11">
        <f>L7946+IF(K7947&gt;0,K7947*Summary!$B$9,K7947/Summary!$B$9)</f>
        <v/>
      </c>
      <c r="M7947" s="11">
        <f>G7947+H7947</f>
        <v/>
      </c>
      <c r="N7947" s="11">
        <f>Summary!$C$16*Summary!$B$8</f>
        <v/>
      </c>
      <c r="O7947" s="11">
        <f>M7947-N7947</f>
        <v/>
      </c>
    </row>
    <row r="7948">
      <c r="A7948" s="9" t="n">
        <v>45623.08333333334</v>
      </c>
      <c r="B7948" t="n">
        <v>11</v>
      </c>
      <c r="C7948" t="n">
        <v>27</v>
      </c>
      <c r="D7948" t="n">
        <v>2</v>
      </c>
      <c r="E7948" s="10" t="n">
        <v>0</v>
      </c>
      <c r="F7948" s="10" t="n">
        <v>0.3056305693513366</v>
      </c>
      <c r="G7948" s="11">
        <f>E7948*Summary!$B$6</f>
        <v/>
      </c>
      <c r="H7948" s="11">
        <f>F7948*Summary!$B$7</f>
        <v/>
      </c>
      <c r="I7948" s="11">
        <f>MAX(0,N7948-M7948)</f>
        <v/>
      </c>
      <c r="J7948" s="11">
        <f>MAX(0,M7948-N7948)</f>
        <v/>
      </c>
      <c r="K7948" s="11">
        <f>O7948</f>
        <v/>
      </c>
      <c r="L7948" s="11">
        <f>L7947+IF(K7948&gt;0,K7948*Summary!$B$9,K7948/Summary!$B$9)</f>
        <v/>
      </c>
      <c r="M7948" s="11">
        <f>G7948+H7948</f>
        <v/>
      </c>
      <c r="N7948" s="11">
        <f>Summary!$C$16*Summary!$B$8</f>
        <v/>
      </c>
      <c r="O7948" s="11">
        <f>M7948-N7948</f>
        <v/>
      </c>
    </row>
    <row r="7949">
      <c r="A7949" s="9" t="n">
        <v>45623.125</v>
      </c>
      <c r="B7949" t="n">
        <v>11</v>
      </c>
      <c r="C7949" t="n">
        <v>27</v>
      </c>
      <c r="D7949" t="n">
        <v>3</v>
      </c>
      <c r="E7949" s="10" t="n">
        <v>0</v>
      </c>
      <c r="F7949" s="10" t="n">
        <v>0.3372002729280655</v>
      </c>
      <c r="G7949" s="11">
        <f>E7949*Summary!$B$6</f>
        <v/>
      </c>
      <c r="H7949" s="11">
        <f>F7949*Summary!$B$7</f>
        <v/>
      </c>
      <c r="I7949" s="11">
        <f>MAX(0,N7949-M7949)</f>
        <v/>
      </c>
      <c r="J7949" s="11">
        <f>MAX(0,M7949-N7949)</f>
        <v/>
      </c>
      <c r="K7949" s="11">
        <f>O7949</f>
        <v/>
      </c>
      <c r="L7949" s="11">
        <f>L7948+IF(K7949&gt;0,K7949*Summary!$B$9,K7949/Summary!$B$9)</f>
        <v/>
      </c>
      <c r="M7949" s="11">
        <f>G7949+H7949</f>
        <v/>
      </c>
      <c r="N7949" s="11">
        <f>Summary!$C$16*Summary!$B$8</f>
        <v/>
      </c>
      <c r="O7949" s="11">
        <f>M7949-N7949</f>
        <v/>
      </c>
    </row>
    <row r="7950">
      <c r="A7950" s="9" t="n">
        <v>45623.16666666666</v>
      </c>
      <c r="B7950" t="n">
        <v>11</v>
      </c>
      <c r="C7950" t="n">
        <v>27</v>
      </c>
      <c r="D7950" t="n">
        <v>4</v>
      </c>
      <c r="E7950" s="10" t="n">
        <v>0</v>
      </c>
      <c r="F7950" s="10" t="n">
        <v>0.3426287862309087</v>
      </c>
      <c r="G7950" s="11">
        <f>E7950*Summary!$B$6</f>
        <v/>
      </c>
      <c r="H7950" s="11">
        <f>F7950*Summary!$B$7</f>
        <v/>
      </c>
      <c r="I7950" s="11">
        <f>MAX(0,N7950-M7950)</f>
        <v/>
      </c>
      <c r="J7950" s="11">
        <f>MAX(0,M7950-N7950)</f>
        <v/>
      </c>
      <c r="K7950" s="11">
        <f>O7950</f>
        <v/>
      </c>
      <c r="L7950" s="11">
        <f>L7949+IF(K7950&gt;0,K7950*Summary!$B$9,K7950/Summary!$B$9)</f>
        <v/>
      </c>
      <c r="M7950" s="11">
        <f>G7950+H7950</f>
        <v/>
      </c>
      <c r="N7950" s="11">
        <f>Summary!$C$16*Summary!$B$8</f>
        <v/>
      </c>
      <c r="O7950" s="11">
        <f>M7950-N7950</f>
        <v/>
      </c>
    </row>
    <row r="7951">
      <c r="A7951" s="9" t="n">
        <v>45623.20833333334</v>
      </c>
      <c r="B7951" t="n">
        <v>11</v>
      </c>
      <c r="C7951" t="n">
        <v>27</v>
      </c>
      <c r="D7951" t="n">
        <v>5</v>
      </c>
      <c r="E7951" s="10" t="n">
        <v>0</v>
      </c>
      <c r="F7951" s="10" t="n">
        <v>0.3490059717614332</v>
      </c>
      <c r="G7951" s="11">
        <f>E7951*Summary!$B$6</f>
        <v/>
      </c>
      <c r="H7951" s="11">
        <f>F7951*Summary!$B$7</f>
        <v/>
      </c>
      <c r="I7951" s="11">
        <f>MAX(0,N7951-M7951)</f>
        <v/>
      </c>
      <c r="J7951" s="11">
        <f>MAX(0,M7951-N7951)</f>
        <v/>
      </c>
      <c r="K7951" s="11">
        <f>O7951</f>
        <v/>
      </c>
      <c r="L7951" s="11">
        <f>L7950+IF(K7951&gt;0,K7951*Summary!$B$9,K7951/Summary!$B$9)</f>
        <v/>
      </c>
      <c r="M7951" s="11">
        <f>G7951+H7951</f>
        <v/>
      </c>
      <c r="N7951" s="11">
        <f>Summary!$C$16*Summary!$B$8</f>
        <v/>
      </c>
      <c r="O7951" s="11">
        <f>M7951-N7951</f>
        <v/>
      </c>
    </row>
    <row r="7952">
      <c r="A7952" s="9" t="n">
        <v>45623.25</v>
      </c>
      <c r="B7952" t="n">
        <v>11</v>
      </c>
      <c r="C7952" t="n">
        <v>27</v>
      </c>
      <c r="D7952" t="n">
        <v>6</v>
      </c>
      <c r="E7952" s="10" t="n">
        <v>0</v>
      </c>
      <c r="F7952" s="10" t="n">
        <v>0.3529587727101055</v>
      </c>
      <c r="G7952" s="11">
        <f>E7952*Summary!$B$6</f>
        <v/>
      </c>
      <c r="H7952" s="11">
        <f>F7952*Summary!$B$7</f>
        <v/>
      </c>
      <c r="I7952" s="11">
        <f>MAX(0,N7952-M7952)</f>
        <v/>
      </c>
      <c r="J7952" s="11">
        <f>MAX(0,M7952-N7952)</f>
        <v/>
      </c>
      <c r="K7952" s="11">
        <f>O7952</f>
        <v/>
      </c>
      <c r="L7952" s="11">
        <f>L7951+IF(K7952&gt;0,K7952*Summary!$B$9,K7952/Summary!$B$9)</f>
        <v/>
      </c>
      <c r="M7952" s="11">
        <f>G7952+H7952</f>
        <v/>
      </c>
      <c r="N7952" s="11">
        <f>Summary!$C$16*Summary!$B$8</f>
        <v/>
      </c>
      <c r="O7952" s="11">
        <f>M7952-N7952</f>
        <v/>
      </c>
    </row>
    <row r="7953">
      <c r="A7953" s="9" t="n">
        <v>45623.29166666666</v>
      </c>
      <c r="B7953" t="n">
        <v>11</v>
      </c>
      <c r="C7953" t="n">
        <v>27</v>
      </c>
      <c r="D7953" t="n">
        <v>7</v>
      </c>
      <c r="E7953" s="10" t="n">
        <v>0</v>
      </c>
      <c r="F7953" s="10" t="n">
        <v>0.3549088211781171</v>
      </c>
      <c r="G7953" s="11">
        <f>E7953*Summary!$B$6</f>
        <v/>
      </c>
      <c r="H7953" s="11">
        <f>F7953*Summary!$B$7</f>
        <v/>
      </c>
      <c r="I7953" s="11">
        <f>MAX(0,N7953-M7953)</f>
        <v/>
      </c>
      <c r="J7953" s="11">
        <f>MAX(0,M7953-N7953)</f>
        <v/>
      </c>
      <c r="K7953" s="11">
        <f>O7953</f>
        <v/>
      </c>
      <c r="L7953" s="11">
        <f>L7952+IF(K7953&gt;0,K7953*Summary!$B$9,K7953/Summary!$B$9)</f>
        <v/>
      </c>
      <c r="M7953" s="11">
        <f>G7953+H7953</f>
        <v/>
      </c>
      <c r="N7953" s="11">
        <f>Summary!$C$16*Summary!$B$8</f>
        <v/>
      </c>
      <c r="O7953" s="11">
        <f>M7953-N7953</f>
        <v/>
      </c>
    </row>
    <row r="7954">
      <c r="A7954" s="9" t="n">
        <v>45623.33333333334</v>
      </c>
      <c r="B7954" t="n">
        <v>11</v>
      </c>
      <c r="C7954" t="n">
        <v>27</v>
      </c>
      <c r="D7954" t="n">
        <v>8</v>
      </c>
      <c r="E7954" s="10" t="n">
        <v>0</v>
      </c>
      <c r="F7954" s="10" t="n">
        <v>0.3522999725519934</v>
      </c>
      <c r="G7954" s="11">
        <f>E7954*Summary!$B$6</f>
        <v/>
      </c>
      <c r="H7954" s="11">
        <f>F7954*Summary!$B$7</f>
        <v/>
      </c>
      <c r="I7954" s="11">
        <f>MAX(0,N7954-M7954)</f>
        <v/>
      </c>
      <c r="J7954" s="11">
        <f>MAX(0,M7954-N7954)</f>
        <v/>
      </c>
      <c r="K7954" s="11">
        <f>O7954</f>
        <v/>
      </c>
      <c r="L7954" s="11">
        <f>L7953+IF(K7954&gt;0,K7954*Summary!$B$9,K7954/Summary!$B$9)</f>
        <v/>
      </c>
      <c r="M7954" s="11">
        <f>G7954+H7954</f>
        <v/>
      </c>
      <c r="N7954" s="11">
        <f>Summary!$C$16*Summary!$B$8</f>
        <v/>
      </c>
      <c r="O7954" s="11">
        <f>M7954-N7954</f>
        <v/>
      </c>
    </row>
    <row r="7955">
      <c r="A7955" s="9" t="n">
        <v>45623.375</v>
      </c>
      <c r="B7955" t="n">
        <v>11</v>
      </c>
      <c r="C7955" t="n">
        <v>27</v>
      </c>
      <c r="D7955" t="n">
        <v>9</v>
      </c>
      <c r="E7955" s="10" t="n">
        <v>0.012942</v>
      </c>
      <c r="F7955" s="10" t="n">
        <v>0.321520829164999</v>
      </c>
      <c r="G7955" s="11">
        <f>E7955*Summary!$B$6</f>
        <v/>
      </c>
      <c r="H7955" s="11">
        <f>F7955*Summary!$B$7</f>
        <v/>
      </c>
      <c r="I7955" s="11">
        <f>MAX(0,N7955-M7955)</f>
        <v/>
      </c>
      <c r="J7955" s="11">
        <f>MAX(0,M7955-N7955)</f>
        <v/>
      </c>
      <c r="K7955" s="11">
        <f>O7955</f>
        <v/>
      </c>
      <c r="L7955" s="11">
        <f>L7954+IF(K7955&gt;0,K7955*Summary!$B$9,K7955/Summary!$B$9)</f>
        <v/>
      </c>
      <c r="M7955" s="11">
        <f>G7955+H7955</f>
        <v/>
      </c>
      <c r="N7955" s="11">
        <f>Summary!$C$16*Summary!$B$8</f>
        <v/>
      </c>
      <c r="O7955" s="11">
        <f>M7955-N7955</f>
        <v/>
      </c>
    </row>
    <row r="7956">
      <c r="A7956" s="9" t="n">
        <v>45623.41666666666</v>
      </c>
      <c r="B7956" t="n">
        <v>11</v>
      </c>
      <c r="C7956" t="n">
        <v>27</v>
      </c>
      <c r="D7956" t="n">
        <v>10</v>
      </c>
      <c r="E7956" s="10" t="n">
        <v>0</v>
      </c>
      <c r="F7956" s="10" t="n">
        <v>0.3431031223447493</v>
      </c>
      <c r="G7956" s="11">
        <f>E7956*Summary!$B$6</f>
        <v/>
      </c>
      <c r="H7956" s="11">
        <f>F7956*Summary!$B$7</f>
        <v/>
      </c>
      <c r="I7956" s="11">
        <f>MAX(0,N7956-M7956)</f>
        <v/>
      </c>
      <c r="J7956" s="11">
        <f>MAX(0,M7956-N7956)</f>
        <v/>
      </c>
      <c r="K7956" s="11">
        <f>O7956</f>
        <v/>
      </c>
      <c r="L7956" s="11">
        <f>L7955+IF(K7956&gt;0,K7956*Summary!$B$9,K7956/Summary!$B$9)</f>
        <v/>
      </c>
      <c r="M7956" s="11">
        <f>G7956+H7956</f>
        <v/>
      </c>
      <c r="N7956" s="11">
        <f>Summary!$C$16*Summary!$B$8</f>
        <v/>
      </c>
      <c r="O7956" s="11">
        <f>M7956-N7956</f>
        <v/>
      </c>
    </row>
    <row r="7957">
      <c r="A7957" s="9" t="n">
        <v>45623.45833333334</v>
      </c>
      <c r="B7957" t="n">
        <v>11</v>
      </c>
      <c r="C7957" t="n">
        <v>27</v>
      </c>
      <c r="D7957" t="n">
        <v>11</v>
      </c>
      <c r="E7957" s="10" t="n">
        <v>0.006746</v>
      </c>
      <c r="F7957" s="10" t="n">
        <v>0.3415747059779294</v>
      </c>
      <c r="G7957" s="11">
        <f>E7957*Summary!$B$6</f>
        <v/>
      </c>
      <c r="H7957" s="11">
        <f>F7957*Summary!$B$7</f>
        <v/>
      </c>
      <c r="I7957" s="11">
        <f>MAX(0,N7957-M7957)</f>
        <v/>
      </c>
      <c r="J7957" s="11">
        <f>MAX(0,M7957-N7957)</f>
        <v/>
      </c>
      <c r="K7957" s="11">
        <f>O7957</f>
        <v/>
      </c>
      <c r="L7957" s="11">
        <f>L7956+IF(K7957&gt;0,K7957*Summary!$B$9,K7957/Summary!$B$9)</f>
        <v/>
      </c>
      <c r="M7957" s="11">
        <f>G7957+H7957</f>
        <v/>
      </c>
      <c r="N7957" s="11">
        <f>Summary!$C$16*Summary!$B$8</f>
        <v/>
      </c>
      <c r="O7957" s="11">
        <f>M7957-N7957</f>
        <v/>
      </c>
    </row>
    <row r="7958">
      <c r="A7958" s="9" t="n">
        <v>45623.5</v>
      </c>
      <c r="B7958" t="n">
        <v>11</v>
      </c>
      <c r="C7958" t="n">
        <v>27</v>
      </c>
      <c r="D7958" t="n">
        <v>12</v>
      </c>
      <c r="E7958" s="10" t="n">
        <v>0.056941</v>
      </c>
      <c r="F7958" s="10" t="n">
        <v>0.3428396022815045</v>
      </c>
      <c r="G7958" s="11">
        <f>E7958*Summary!$B$6</f>
        <v/>
      </c>
      <c r="H7958" s="11">
        <f>F7958*Summary!$B$7</f>
        <v/>
      </c>
      <c r="I7958" s="11">
        <f>MAX(0,N7958-M7958)</f>
        <v/>
      </c>
      <c r="J7958" s="11">
        <f>MAX(0,M7958-N7958)</f>
        <v/>
      </c>
      <c r="K7958" s="11">
        <f>O7958</f>
        <v/>
      </c>
      <c r="L7958" s="11">
        <f>L7957+IF(K7958&gt;0,K7958*Summary!$B$9,K7958/Summary!$B$9)</f>
        <v/>
      </c>
      <c r="M7958" s="11">
        <f>G7958+H7958</f>
        <v/>
      </c>
      <c r="N7958" s="11">
        <f>Summary!$C$16*Summary!$B$8</f>
        <v/>
      </c>
      <c r="O7958" s="11">
        <f>M7958-N7958</f>
        <v/>
      </c>
    </row>
    <row r="7959">
      <c r="A7959" s="9" t="n">
        <v>45623.54166666666</v>
      </c>
      <c r="B7959" t="n">
        <v>11</v>
      </c>
      <c r="C7959" t="n">
        <v>27</v>
      </c>
      <c r="D7959" t="n">
        <v>13</v>
      </c>
      <c r="E7959" s="10" t="n">
        <v>0.065093</v>
      </c>
      <c r="F7959" s="10" t="n">
        <v>0.3479255395021295</v>
      </c>
      <c r="G7959" s="11">
        <f>E7959*Summary!$B$6</f>
        <v/>
      </c>
      <c r="H7959" s="11">
        <f>F7959*Summary!$B$7</f>
        <v/>
      </c>
      <c r="I7959" s="11">
        <f>MAX(0,N7959-M7959)</f>
        <v/>
      </c>
      <c r="J7959" s="11">
        <f>MAX(0,M7959-N7959)</f>
        <v/>
      </c>
      <c r="K7959" s="11">
        <f>O7959</f>
        <v/>
      </c>
      <c r="L7959" s="11">
        <f>L7958+IF(K7959&gt;0,K7959*Summary!$B$9,K7959/Summary!$B$9)</f>
        <v/>
      </c>
      <c r="M7959" s="11">
        <f>G7959+H7959</f>
        <v/>
      </c>
      <c r="N7959" s="11">
        <f>Summary!$C$16*Summary!$B$8</f>
        <v/>
      </c>
      <c r="O7959" s="11">
        <f>M7959-N7959</f>
        <v/>
      </c>
    </row>
    <row r="7960">
      <c r="A7960" s="9" t="n">
        <v>45623.58333333334</v>
      </c>
      <c r="B7960" t="n">
        <v>11</v>
      </c>
      <c r="C7960" t="n">
        <v>27</v>
      </c>
      <c r="D7960" t="n">
        <v>14</v>
      </c>
      <c r="E7960" s="10" t="n">
        <v>0.034059</v>
      </c>
      <c r="F7960" s="10" t="n">
        <v>0.3766228743894898</v>
      </c>
      <c r="G7960" s="11">
        <f>E7960*Summary!$B$6</f>
        <v/>
      </c>
      <c r="H7960" s="11">
        <f>F7960*Summary!$B$7</f>
        <v/>
      </c>
      <c r="I7960" s="11">
        <f>MAX(0,N7960-M7960)</f>
        <v/>
      </c>
      <c r="J7960" s="11">
        <f>MAX(0,M7960-N7960)</f>
        <v/>
      </c>
      <c r="K7960" s="11">
        <f>O7960</f>
        <v/>
      </c>
      <c r="L7960" s="11">
        <f>L7959+IF(K7960&gt;0,K7960*Summary!$B$9,K7960/Summary!$B$9)</f>
        <v/>
      </c>
      <c r="M7960" s="11">
        <f>G7960+H7960</f>
        <v/>
      </c>
      <c r="N7960" s="11">
        <f>Summary!$C$16*Summary!$B$8</f>
        <v/>
      </c>
      <c r="O7960" s="11">
        <f>M7960-N7960</f>
        <v/>
      </c>
    </row>
    <row r="7961">
      <c r="A7961" s="9" t="n">
        <v>45623.625</v>
      </c>
      <c r="B7961" t="n">
        <v>11</v>
      </c>
      <c r="C7961" t="n">
        <v>27</v>
      </c>
      <c r="D7961" t="n">
        <v>15</v>
      </c>
      <c r="E7961" s="10" t="n">
        <v>0</v>
      </c>
      <c r="F7961" s="10" t="n">
        <v>0.3611278946706947</v>
      </c>
      <c r="G7961" s="11">
        <f>E7961*Summary!$B$6</f>
        <v/>
      </c>
      <c r="H7961" s="11">
        <f>F7961*Summary!$B$7</f>
        <v/>
      </c>
      <c r="I7961" s="11">
        <f>MAX(0,N7961-M7961)</f>
        <v/>
      </c>
      <c r="J7961" s="11">
        <f>MAX(0,M7961-N7961)</f>
        <v/>
      </c>
      <c r="K7961" s="11">
        <f>O7961</f>
        <v/>
      </c>
      <c r="L7961" s="11">
        <f>L7960+IF(K7961&gt;0,K7961*Summary!$B$9,K7961/Summary!$B$9)</f>
        <v/>
      </c>
      <c r="M7961" s="11">
        <f>G7961+H7961</f>
        <v/>
      </c>
      <c r="N7961" s="11">
        <f>Summary!$C$16*Summary!$B$8</f>
        <v/>
      </c>
      <c r="O7961" s="11">
        <f>M7961-N7961</f>
        <v/>
      </c>
    </row>
    <row r="7962">
      <c r="A7962" s="9" t="n">
        <v>45623.66666666666</v>
      </c>
      <c r="B7962" t="n">
        <v>11</v>
      </c>
      <c r="C7962" t="n">
        <v>27</v>
      </c>
      <c r="D7962" t="n">
        <v>16</v>
      </c>
      <c r="E7962" s="10" t="n">
        <v>0</v>
      </c>
      <c r="F7962" s="10" t="n">
        <v>0.3679267123024109</v>
      </c>
      <c r="G7962" s="11">
        <f>E7962*Summary!$B$6</f>
        <v/>
      </c>
      <c r="H7962" s="11">
        <f>F7962*Summary!$B$7</f>
        <v/>
      </c>
      <c r="I7962" s="11">
        <f>MAX(0,N7962-M7962)</f>
        <v/>
      </c>
      <c r="J7962" s="11">
        <f>MAX(0,M7962-N7962)</f>
        <v/>
      </c>
      <c r="K7962" s="11">
        <f>O7962</f>
        <v/>
      </c>
      <c r="L7962" s="11">
        <f>L7961+IF(K7962&gt;0,K7962*Summary!$B$9,K7962/Summary!$B$9)</f>
        <v/>
      </c>
      <c r="M7962" s="11">
        <f>G7962+H7962</f>
        <v/>
      </c>
      <c r="N7962" s="11">
        <f>Summary!$C$16*Summary!$B$8</f>
        <v/>
      </c>
      <c r="O7962" s="11">
        <f>M7962-N7962</f>
        <v/>
      </c>
    </row>
    <row r="7963">
      <c r="A7963" s="9" t="n">
        <v>45623.70833333334</v>
      </c>
      <c r="B7963" t="n">
        <v>11</v>
      </c>
      <c r="C7963" t="n">
        <v>27</v>
      </c>
      <c r="D7963" t="n">
        <v>17</v>
      </c>
      <c r="E7963" s="10" t="n">
        <v>0</v>
      </c>
      <c r="F7963" s="10" t="n">
        <v>0.3729335935040624</v>
      </c>
      <c r="G7963" s="11">
        <f>E7963*Summary!$B$6</f>
        <v/>
      </c>
      <c r="H7963" s="11">
        <f>F7963*Summary!$B$7</f>
        <v/>
      </c>
      <c r="I7963" s="11">
        <f>MAX(0,N7963-M7963)</f>
        <v/>
      </c>
      <c r="J7963" s="11">
        <f>MAX(0,M7963-N7963)</f>
        <v/>
      </c>
      <c r="K7963" s="11">
        <f>O7963</f>
        <v/>
      </c>
      <c r="L7963" s="11">
        <f>L7962+IF(K7963&gt;0,K7963*Summary!$B$9,K7963/Summary!$B$9)</f>
        <v/>
      </c>
      <c r="M7963" s="11">
        <f>G7963+H7963</f>
        <v/>
      </c>
      <c r="N7963" s="11">
        <f>Summary!$C$16*Summary!$B$8</f>
        <v/>
      </c>
      <c r="O7963" s="11">
        <f>M7963-N7963</f>
        <v/>
      </c>
    </row>
    <row r="7964">
      <c r="A7964" s="9" t="n">
        <v>45623.75</v>
      </c>
      <c r="B7964" t="n">
        <v>11</v>
      </c>
      <c r="C7964" t="n">
        <v>27</v>
      </c>
      <c r="D7964" t="n">
        <v>18</v>
      </c>
      <c r="E7964" s="10" t="n">
        <v>0</v>
      </c>
      <c r="F7964" s="10" t="n">
        <v>0.3799432271863745</v>
      </c>
      <c r="G7964" s="11">
        <f>E7964*Summary!$B$6</f>
        <v/>
      </c>
      <c r="H7964" s="11">
        <f>F7964*Summary!$B$7</f>
        <v/>
      </c>
      <c r="I7964" s="11">
        <f>MAX(0,N7964-M7964)</f>
        <v/>
      </c>
      <c r="J7964" s="11">
        <f>MAX(0,M7964-N7964)</f>
        <v/>
      </c>
      <c r="K7964" s="11">
        <f>O7964</f>
        <v/>
      </c>
      <c r="L7964" s="11">
        <f>L7963+IF(K7964&gt;0,K7964*Summary!$B$9,K7964/Summary!$B$9)</f>
        <v/>
      </c>
      <c r="M7964" s="11">
        <f>G7964+H7964</f>
        <v/>
      </c>
      <c r="N7964" s="11">
        <f>Summary!$C$16*Summary!$B$8</f>
        <v/>
      </c>
      <c r="O7964" s="11">
        <f>M7964-N7964</f>
        <v/>
      </c>
    </row>
    <row r="7965">
      <c r="A7965" s="9" t="n">
        <v>45623.79166666666</v>
      </c>
      <c r="B7965" t="n">
        <v>11</v>
      </c>
      <c r="C7965" t="n">
        <v>27</v>
      </c>
      <c r="D7965" t="n">
        <v>19</v>
      </c>
      <c r="E7965" s="10" t="n">
        <v>0</v>
      </c>
      <c r="F7965" s="10" t="n">
        <v>0.384238604217265</v>
      </c>
      <c r="G7965" s="11">
        <f>E7965*Summary!$B$6</f>
        <v/>
      </c>
      <c r="H7965" s="11">
        <f>F7965*Summary!$B$7</f>
        <v/>
      </c>
      <c r="I7965" s="11">
        <f>MAX(0,N7965-M7965)</f>
        <v/>
      </c>
      <c r="J7965" s="11">
        <f>MAX(0,M7965-N7965)</f>
        <v/>
      </c>
      <c r="K7965" s="11">
        <f>O7965</f>
        <v/>
      </c>
      <c r="L7965" s="11">
        <f>L7964+IF(K7965&gt;0,K7965*Summary!$B$9,K7965/Summary!$B$9)</f>
        <v/>
      </c>
      <c r="M7965" s="11">
        <f>G7965+H7965</f>
        <v/>
      </c>
      <c r="N7965" s="11">
        <f>Summary!$C$16*Summary!$B$8</f>
        <v/>
      </c>
      <c r="O7965" s="11">
        <f>M7965-N7965</f>
        <v/>
      </c>
    </row>
    <row r="7966">
      <c r="A7966" s="9" t="n">
        <v>45623.83333333334</v>
      </c>
      <c r="B7966" t="n">
        <v>11</v>
      </c>
      <c r="C7966" t="n">
        <v>27</v>
      </c>
      <c r="D7966" t="n">
        <v>20</v>
      </c>
      <c r="E7966" s="10" t="n">
        <v>0</v>
      </c>
      <c r="F7966" s="10" t="n">
        <v>0.3871636769192825</v>
      </c>
      <c r="G7966" s="11">
        <f>E7966*Summary!$B$6</f>
        <v/>
      </c>
      <c r="H7966" s="11">
        <f>F7966*Summary!$B$7</f>
        <v/>
      </c>
      <c r="I7966" s="11">
        <f>MAX(0,N7966-M7966)</f>
        <v/>
      </c>
      <c r="J7966" s="11">
        <f>MAX(0,M7966-N7966)</f>
        <v/>
      </c>
      <c r="K7966" s="11">
        <f>O7966</f>
        <v/>
      </c>
      <c r="L7966" s="11">
        <f>L7965+IF(K7966&gt;0,K7966*Summary!$B$9,K7966/Summary!$B$9)</f>
        <v/>
      </c>
      <c r="M7966" s="11">
        <f>G7966+H7966</f>
        <v/>
      </c>
      <c r="N7966" s="11">
        <f>Summary!$C$16*Summary!$B$8</f>
        <v/>
      </c>
      <c r="O7966" s="11">
        <f>M7966-N7966</f>
        <v/>
      </c>
    </row>
    <row r="7967">
      <c r="A7967" s="9" t="n">
        <v>45623.875</v>
      </c>
      <c r="B7967" t="n">
        <v>11</v>
      </c>
      <c r="C7967" t="n">
        <v>27</v>
      </c>
      <c r="D7967" t="n">
        <v>21</v>
      </c>
      <c r="E7967" s="10" t="n">
        <v>0</v>
      </c>
      <c r="F7967" s="10" t="n">
        <v>0.3884022212165331</v>
      </c>
      <c r="G7967" s="11">
        <f>E7967*Summary!$B$6</f>
        <v/>
      </c>
      <c r="H7967" s="11">
        <f>F7967*Summary!$B$7</f>
        <v/>
      </c>
      <c r="I7967" s="11">
        <f>MAX(0,N7967-M7967)</f>
        <v/>
      </c>
      <c r="J7967" s="11">
        <f>MAX(0,M7967-N7967)</f>
        <v/>
      </c>
      <c r="K7967" s="11">
        <f>O7967</f>
        <v/>
      </c>
      <c r="L7967" s="11">
        <f>L7966+IF(K7967&gt;0,K7967*Summary!$B$9,K7967/Summary!$B$9)</f>
        <v/>
      </c>
      <c r="M7967" s="11">
        <f>G7967+H7967</f>
        <v/>
      </c>
      <c r="N7967" s="11">
        <f>Summary!$C$16*Summary!$B$8</f>
        <v/>
      </c>
      <c r="O7967" s="11">
        <f>M7967-N7967</f>
        <v/>
      </c>
    </row>
    <row r="7968">
      <c r="A7968" s="9" t="n">
        <v>45623.91666666666</v>
      </c>
      <c r="B7968" t="n">
        <v>11</v>
      </c>
      <c r="C7968" t="n">
        <v>27</v>
      </c>
      <c r="D7968" t="n">
        <v>22</v>
      </c>
      <c r="E7968" s="10" t="n">
        <v>0</v>
      </c>
      <c r="F7968" s="10" t="n">
        <v>0.3895090054821613</v>
      </c>
      <c r="G7968" s="11">
        <f>E7968*Summary!$B$6</f>
        <v/>
      </c>
      <c r="H7968" s="11">
        <f>F7968*Summary!$B$7</f>
        <v/>
      </c>
      <c r="I7968" s="11">
        <f>MAX(0,N7968-M7968)</f>
        <v/>
      </c>
      <c r="J7968" s="11">
        <f>MAX(0,M7968-N7968)</f>
        <v/>
      </c>
      <c r="K7968" s="11">
        <f>O7968</f>
        <v/>
      </c>
      <c r="L7968" s="11">
        <f>L7967+IF(K7968&gt;0,K7968*Summary!$B$9,K7968/Summary!$B$9)</f>
        <v/>
      </c>
      <c r="M7968" s="11">
        <f>G7968+H7968</f>
        <v/>
      </c>
      <c r="N7968" s="11">
        <f>Summary!$C$16*Summary!$B$8</f>
        <v/>
      </c>
      <c r="O7968" s="11">
        <f>M7968-N7968</f>
        <v/>
      </c>
    </row>
    <row r="7969">
      <c r="A7969" s="9" t="n">
        <v>45623.95833333334</v>
      </c>
      <c r="B7969" t="n">
        <v>11</v>
      </c>
      <c r="C7969" t="n">
        <v>27</v>
      </c>
      <c r="D7969" t="n">
        <v>23</v>
      </c>
      <c r="E7969" s="10" t="n">
        <v>0</v>
      </c>
      <c r="F7969" s="10" t="n">
        <v>0.3927239502537481</v>
      </c>
      <c r="G7969" s="11">
        <f>E7969*Summary!$B$6</f>
        <v/>
      </c>
      <c r="H7969" s="11">
        <f>F7969*Summary!$B$7</f>
        <v/>
      </c>
      <c r="I7969" s="11">
        <f>MAX(0,N7969-M7969)</f>
        <v/>
      </c>
      <c r="J7969" s="11">
        <f>MAX(0,M7969-N7969)</f>
        <v/>
      </c>
      <c r="K7969" s="11">
        <f>O7969</f>
        <v/>
      </c>
      <c r="L7969" s="11">
        <f>L7968+IF(K7969&gt;0,K7969*Summary!$B$9,K7969/Summary!$B$9)</f>
        <v/>
      </c>
      <c r="M7969" s="11">
        <f>G7969+H7969</f>
        <v/>
      </c>
      <c r="N7969" s="11">
        <f>Summary!$C$16*Summary!$B$8</f>
        <v/>
      </c>
      <c r="O7969" s="11">
        <f>M7969-N7969</f>
        <v/>
      </c>
    </row>
    <row r="7970">
      <c r="A7970" s="9" t="n">
        <v>45624</v>
      </c>
      <c r="B7970" t="n">
        <v>11</v>
      </c>
      <c r="C7970" t="n">
        <v>28</v>
      </c>
      <c r="D7970" t="n">
        <v>0</v>
      </c>
      <c r="E7970" s="10" t="n">
        <v>0</v>
      </c>
      <c r="F7970" s="10" t="n">
        <v>0.3951219828292759</v>
      </c>
      <c r="G7970" s="11">
        <f>E7970*Summary!$B$6</f>
        <v/>
      </c>
      <c r="H7970" s="11">
        <f>F7970*Summary!$B$7</f>
        <v/>
      </c>
      <c r="I7970" s="11">
        <f>MAX(0,N7970-M7970)</f>
        <v/>
      </c>
      <c r="J7970" s="11">
        <f>MAX(0,M7970-N7970)</f>
        <v/>
      </c>
      <c r="K7970" s="11">
        <f>O7970</f>
        <v/>
      </c>
      <c r="L7970" s="11">
        <f>L7969+IF(K7970&gt;0,K7970*Summary!$B$9,K7970/Summary!$B$9)</f>
        <v/>
      </c>
      <c r="M7970" s="11">
        <f>G7970+H7970</f>
        <v/>
      </c>
      <c r="N7970" s="11">
        <f>Summary!$C$16*Summary!$B$8</f>
        <v/>
      </c>
      <c r="O7970" s="11">
        <f>M7970-N7970</f>
        <v/>
      </c>
    </row>
    <row r="7971">
      <c r="A7971" s="9" t="n">
        <v>45624.04166666666</v>
      </c>
      <c r="B7971" t="n">
        <v>11</v>
      </c>
      <c r="C7971" t="n">
        <v>28</v>
      </c>
      <c r="D7971" t="n">
        <v>1</v>
      </c>
      <c r="E7971" s="10" t="n">
        <v>0</v>
      </c>
      <c r="F7971" s="10" t="n">
        <v>0.4053202092768502</v>
      </c>
      <c r="G7971" s="11">
        <f>E7971*Summary!$B$6</f>
        <v/>
      </c>
      <c r="H7971" s="11">
        <f>F7971*Summary!$B$7</f>
        <v/>
      </c>
      <c r="I7971" s="11">
        <f>MAX(0,N7971-M7971)</f>
        <v/>
      </c>
      <c r="J7971" s="11">
        <f>MAX(0,M7971-N7971)</f>
        <v/>
      </c>
      <c r="K7971" s="11">
        <f>O7971</f>
        <v/>
      </c>
      <c r="L7971" s="11">
        <f>L7970+IF(K7971&gt;0,K7971*Summary!$B$9,K7971/Summary!$B$9)</f>
        <v/>
      </c>
      <c r="M7971" s="11">
        <f>G7971+H7971</f>
        <v/>
      </c>
      <c r="N7971" s="11">
        <f>Summary!$C$16*Summary!$B$8</f>
        <v/>
      </c>
      <c r="O7971" s="11">
        <f>M7971-N7971</f>
        <v/>
      </c>
    </row>
    <row r="7972">
      <c r="A7972" s="9" t="n">
        <v>45624.08333333334</v>
      </c>
      <c r="B7972" t="n">
        <v>11</v>
      </c>
      <c r="C7972" t="n">
        <v>28</v>
      </c>
      <c r="D7972" t="n">
        <v>2</v>
      </c>
      <c r="E7972" s="10" t="n">
        <v>0</v>
      </c>
      <c r="F7972" s="10" t="n">
        <v>0.4067432176183722</v>
      </c>
      <c r="G7972" s="11">
        <f>E7972*Summary!$B$6</f>
        <v/>
      </c>
      <c r="H7972" s="11">
        <f>F7972*Summary!$B$7</f>
        <v/>
      </c>
      <c r="I7972" s="11">
        <f>MAX(0,N7972-M7972)</f>
        <v/>
      </c>
      <c r="J7972" s="11">
        <f>MAX(0,M7972-N7972)</f>
        <v/>
      </c>
      <c r="K7972" s="11">
        <f>O7972</f>
        <v/>
      </c>
      <c r="L7972" s="11">
        <f>L7971+IF(K7972&gt;0,K7972*Summary!$B$9,K7972/Summary!$B$9)</f>
        <v/>
      </c>
      <c r="M7972" s="11">
        <f>G7972+H7972</f>
        <v/>
      </c>
      <c r="N7972" s="11">
        <f>Summary!$C$16*Summary!$B$8</f>
        <v/>
      </c>
      <c r="O7972" s="11">
        <f>M7972-N7972</f>
        <v/>
      </c>
    </row>
    <row r="7973">
      <c r="A7973" s="9" t="n">
        <v>45624.125</v>
      </c>
      <c r="B7973" t="n">
        <v>11</v>
      </c>
      <c r="C7973" t="n">
        <v>28</v>
      </c>
      <c r="D7973" t="n">
        <v>3</v>
      </c>
      <c r="E7973" s="10" t="n">
        <v>0</v>
      </c>
      <c r="F7973" s="10" t="n">
        <v>0.4109331866239648</v>
      </c>
      <c r="G7973" s="11">
        <f>E7973*Summary!$B$6</f>
        <v/>
      </c>
      <c r="H7973" s="11">
        <f>F7973*Summary!$B$7</f>
        <v/>
      </c>
      <c r="I7973" s="11">
        <f>MAX(0,N7973-M7973)</f>
        <v/>
      </c>
      <c r="J7973" s="11">
        <f>MAX(0,M7973-N7973)</f>
        <v/>
      </c>
      <c r="K7973" s="11">
        <f>O7973</f>
        <v/>
      </c>
      <c r="L7973" s="11">
        <f>L7972+IF(K7973&gt;0,K7973*Summary!$B$9,K7973/Summary!$B$9)</f>
        <v/>
      </c>
      <c r="M7973" s="11">
        <f>G7973+H7973</f>
        <v/>
      </c>
      <c r="N7973" s="11">
        <f>Summary!$C$16*Summary!$B$8</f>
        <v/>
      </c>
      <c r="O7973" s="11">
        <f>M7973-N7973</f>
        <v/>
      </c>
    </row>
    <row r="7974">
      <c r="A7974" s="9" t="n">
        <v>45624.16666666666</v>
      </c>
      <c r="B7974" t="n">
        <v>11</v>
      </c>
      <c r="C7974" t="n">
        <v>28</v>
      </c>
      <c r="D7974" t="n">
        <v>4</v>
      </c>
      <c r="E7974" s="10" t="n">
        <v>0</v>
      </c>
      <c r="F7974" s="10" t="n">
        <v>0.4113021147125075</v>
      </c>
      <c r="G7974" s="11">
        <f>E7974*Summary!$B$6</f>
        <v/>
      </c>
      <c r="H7974" s="11">
        <f>F7974*Summary!$B$7</f>
        <v/>
      </c>
      <c r="I7974" s="11">
        <f>MAX(0,N7974-M7974)</f>
        <v/>
      </c>
      <c r="J7974" s="11">
        <f>MAX(0,M7974-N7974)</f>
        <v/>
      </c>
      <c r="K7974" s="11">
        <f>O7974</f>
        <v/>
      </c>
      <c r="L7974" s="11">
        <f>L7973+IF(K7974&gt;0,K7974*Summary!$B$9,K7974/Summary!$B$9)</f>
        <v/>
      </c>
      <c r="M7974" s="11">
        <f>G7974+H7974</f>
        <v/>
      </c>
      <c r="N7974" s="11">
        <f>Summary!$C$16*Summary!$B$8</f>
        <v/>
      </c>
      <c r="O7974" s="11">
        <f>M7974-N7974</f>
        <v/>
      </c>
    </row>
    <row r="7975">
      <c r="A7975" s="9" t="n">
        <v>45624.20833333334</v>
      </c>
      <c r="B7975" t="n">
        <v>11</v>
      </c>
      <c r="C7975" t="n">
        <v>28</v>
      </c>
      <c r="D7975" t="n">
        <v>5</v>
      </c>
      <c r="E7975" s="10" t="n">
        <v>0</v>
      </c>
      <c r="F7975" s="10" t="n">
        <v>0.4156501957560469</v>
      </c>
      <c r="G7975" s="11">
        <f>E7975*Summary!$B$6</f>
        <v/>
      </c>
      <c r="H7975" s="11">
        <f>F7975*Summary!$B$7</f>
        <v/>
      </c>
      <c r="I7975" s="11">
        <f>MAX(0,N7975-M7975)</f>
        <v/>
      </c>
      <c r="J7975" s="11">
        <f>MAX(0,M7975-N7975)</f>
        <v/>
      </c>
      <c r="K7975" s="11">
        <f>O7975</f>
        <v/>
      </c>
      <c r="L7975" s="11">
        <f>L7974+IF(K7975&gt;0,K7975*Summary!$B$9,K7975/Summary!$B$9)</f>
        <v/>
      </c>
      <c r="M7975" s="11">
        <f>G7975+H7975</f>
        <v/>
      </c>
      <c r="N7975" s="11">
        <f>Summary!$C$16*Summary!$B$8</f>
        <v/>
      </c>
      <c r="O7975" s="11">
        <f>M7975-N7975</f>
        <v/>
      </c>
    </row>
    <row r="7976">
      <c r="A7976" s="9" t="n">
        <v>45624.25</v>
      </c>
      <c r="B7976" t="n">
        <v>11</v>
      </c>
      <c r="C7976" t="n">
        <v>28</v>
      </c>
      <c r="D7976" t="n">
        <v>6</v>
      </c>
      <c r="E7976" s="10" t="n">
        <v>0</v>
      </c>
      <c r="F7976" s="10" t="n">
        <v>0.4193131246351499</v>
      </c>
      <c r="G7976" s="11">
        <f>E7976*Summary!$B$6</f>
        <v/>
      </c>
      <c r="H7976" s="11">
        <f>F7976*Summary!$B$7</f>
        <v/>
      </c>
      <c r="I7976" s="11">
        <f>MAX(0,N7976-M7976)</f>
        <v/>
      </c>
      <c r="J7976" s="11">
        <f>MAX(0,M7976-N7976)</f>
        <v/>
      </c>
      <c r="K7976" s="11">
        <f>O7976</f>
        <v/>
      </c>
      <c r="L7976" s="11">
        <f>L7975+IF(K7976&gt;0,K7976*Summary!$B$9,K7976/Summary!$B$9)</f>
        <v/>
      </c>
      <c r="M7976" s="11">
        <f>G7976+H7976</f>
        <v/>
      </c>
      <c r="N7976" s="11">
        <f>Summary!$C$16*Summary!$B$8</f>
        <v/>
      </c>
      <c r="O7976" s="11">
        <f>M7976-N7976</f>
        <v/>
      </c>
    </row>
    <row r="7977">
      <c r="A7977" s="9" t="n">
        <v>45624.29166666666</v>
      </c>
      <c r="B7977" t="n">
        <v>11</v>
      </c>
      <c r="C7977" t="n">
        <v>28</v>
      </c>
      <c r="D7977" t="n">
        <v>7</v>
      </c>
      <c r="E7977" s="10" t="n">
        <v>0</v>
      </c>
      <c r="F7977" s="10" t="n">
        <v>0.4187597325023358</v>
      </c>
      <c r="G7977" s="11">
        <f>E7977*Summary!$B$6</f>
        <v/>
      </c>
      <c r="H7977" s="11">
        <f>F7977*Summary!$B$7</f>
        <v/>
      </c>
      <c r="I7977" s="11">
        <f>MAX(0,N7977-M7977)</f>
        <v/>
      </c>
      <c r="J7977" s="11">
        <f>MAX(0,M7977-N7977)</f>
        <v/>
      </c>
      <c r="K7977" s="11">
        <f>O7977</f>
        <v/>
      </c>
      <c r="L7977" s="11">
        <f>L7976+IF(K7977&gt;0,K7977*Summary!$B$9,K7977/Summary!$B$9)</f>
        <v/>
      </c>
      <c r="M7977" s="11">
        <f>G7977+H7977</f>
        <v/>
      </c>
      <c r="N7977" s="11">
        <f>Summary!$C$16*Summary!$B$8</f>
        <v/>
      </c>
      <c r="O7977" s="11">
        <f>M7977-N7977</f>
        <v/>
      </c>
    </row>
    <row r="7978">
      <c r="A7978" s="9" t="n">
        <v>45624.33333333334</v>
      </c>
      <c r="B7978" t="n">
        <v>11</v>
      </c>
      <c r="C7978" t="n">
        <v>28</v>
      </c>
      <c r="D7978" t="n">
        <v>8</v>
      </c>
      <c r="E7978" s="10" t="n">
        <v>0</v>
      </c>
      <c r="F7978" s="10" t="n">
        <v>0.4106960185670444</v>
      </c>
      <c r="G7978" s="11">
        <f>E7978*Summary!$B$6</f>
        <v/>
      </c>
      <c r="H7978" s="11">
        <f>F7978*Summary!$B$7</f>
        <v/>
      </c>
      <c r="I7978" s="11">
        <f>MAX(0,N7978-M7978)</f>
        <v/>
      </c>
      <c r="J7978" s="11">
        <f>MAX(0,M7978-N7978)</f>
        <v/>
      </c>
      <c r="K7978" s="11">
        <f>O7978</f>
        <v/>
      </c>
      <c r="L7978" s="11">
        <f>L7977+IF(K7978&gt;0,K7978*Summary!$B$9,K7978/Summary!$B$9)</f>
        <v/>
      </c>
      <c r="M7978" s="11">
        <f>G7978+H7978</f>
        <v/>
      </c>
      <c r="N7978" s="11">
        <f>Summary!$C$16*Summary!$B$8</f>
        <v/>
      </c>
      <c r="O7978" s="11">
        <f>M7978-N7978</f>
        <v/>
      </c>
    </row>
    <row r="7979">
      <c r="A7979" s="9" t="n">
        <v>45624.375</v>
      </c>
      <c r="B7979" t="n">
        <v>11</v>
      </c>
      <c r="C7979" t="n">
        <v>28</v>
      </c>
      <c r="D7979" t="n">
        <v>9</v>
      </c>
      <c r="E7979" s="10" t="n">
        <v>0.038462</v>
      </c>
      <c r="F7979" s="10" t="n">
        <v>0.3976781274427506</v>
      </c>
      <c r="G7979" s="11">
        <f>E7979*Summary!$B$6</f>
        <v/>
      </c>
      <c r="H7979" s="11">
        <f>F7979*Summary!$B$7</f>
        <v/>
      </c>
      <c r="I7979" s="11">
        <f>MAX(0,N7979-M7979)</f>
        <v/>
      </c>
      <c r="J7979" s="11">
        <f>MAX(0,M7979-N7979)</f>
        <v/>
      </c>
      <c r="K7979" s="11">
        <f>O7979</f>
        <v/>
      </c>
      <c r="L7979" s="11">
        <f>L7978+IF(K7979&gt;0,K7979*Summary!$B$9,K7979/Summary!$B$9)</f>
        <v/>
      </c>
      <c r="M7979" s="11">
        <f>G7979+H7979</f>
        <v/>
      </c>
      <c r="N7979" s="11">
        <f>Summary!$C$16*Summary!$B$8</f>
        <v/>
      </c>
      <c r="O7979" s="11">
        <f>M7979-N7979</f>
        <v/>
      </c>
    </row>
    <row r="7980">
      <c r="A7980" s="9" t="n">
        <v>45624.41666666666</v>
      </c>
      <c r="B7980" t="n">
        <v>11</v>
      </c>
      <c r="C7980" t="n">
        <v>28</v>
      </c>
      <c r="D7980" t="n">
        <v>10</v>
      </c>
      <c r="E7980" s="10" t="n">
        <v>0.08713799999999999</v>
      </c>
      <c r="F7980" s="10" t="n">
        <v>0.3811027154646517</v>
      </c>
      <c r="G7980" s="11">
        <f>E7980*Summary!$B$6</f>
        <v/>
      </c>
      <c r="H7980" s="11">
        <f>F7980*Summary!$B$7</f>
        <v/>
      </c>
      <c r="I7980" s="11">
        <f>MAX(0,N7980-M7980)</f>
        <v/>
      </c>
      <c r="J7980" s="11">
        <f>MAX(0,M7980-N7980)</f>
        <v/>
      </c>
      <c r="K7980" s="11">
        <f>O7980</f>
        <v/>
      </c>
      <c r="L7980" s="11">
        <f>L7979+IF(K7980&gt;0,K7980*Summary!$B$9,K7980/Summary!$B$9)</f>
        <v/>
      </c>
      <c r="M7980" s="11">
        <f>G7980+H7980</f>
        <v/>
      </c>
      <c r="N7980" s="11">
        <f>Summary!$C$16*Summary!$B$8</f>
        <v/>
      </c>
      <c r="O7980" s="11">
        <f>M7980-N7980</f>
        <v/>
      </c>
    </row>
    <row r="7981">
      <c r="A7981" s="9" t="n">
        <v>45624.45833333334</v>
      </c>
      <c r="B7981" t="n">
        <v>11</v>
      </c>
      <c r="C7981" t="n">
        <v>28</v>
      </c>
      <c r="D7981" t="n">
        <v>11</v>
      </c>
      <c r="E7981" s="10" t="n">
        <v>0.112666</v>
      </c>
      <c r="F7981" s="10" t="n">
        <v>0.3722484413396259</v>
      </c>
      <c r="G7981" s="11">
        <f>E7981*Summary!$B$6</f>
        <v/>
      </c>
      <c r="H7981" s="11">
        <f>F7981*Summary!$B$7</f>
        <v/>
      </c>
      <c r="I7981" s="11">
        <f>MAX(0,N7981-M7981)</f>
        <v/>
      </c>
      <c r="J7981" s="11">
        <f>MAX(0,M7981-N7981)</f>
        <v/>
      </c>
      <c r="K7981" s="11">
        <f>O7981</f>
        <v/>
      </c>
      <c r="L7981" s="11">
        <f>L7980+IF(K7981&gt;0,K7981*Summary!$B$9,K7981/Summary!$B$9)</f>
        <v/>
      </c>
      <c r="M7981" s="11">
        <f>G7981+H7981</f>
        <v/>
      </c>
      <c r="N7981" s="11">
        <f>Summary!$C$16*Summary!$B$8</f>
        <v/>
      </c>
      <c r="O7981" s="11">
        <f>M7981-N7981</f>
        <v/>
      </c>
    </row>
    <row r="7982">
      <c r="A7982" s="9" t="n">
        <v>45624.5</v>
      </c>
      <c r="B7982" t="n">
        <v>11</v>
      </c>
      <c r="C7982" t="n">
        <v>28</v>
      </c>
      <c r="D7982" t="n">
        <v>12</v>
      </c>
      <c r="E7982" s="10" t="n">
        <v>0.089293</v>
      </c>
      <c r="F7982" s="10" t="n">
        <v>0.3621556229173495</v>
      </c>
      <c r="G7982" s="11">
        <f>E7982*Summary!$B$6</f>
        <v/>
      </c>
      <c r="H7982" s="11">
        <f>F7982*Summary!$B$7</f>
        <v/>
      </c>
      <c r="I7982" s="11">
        <f>MAX(0,N7982-M7982)</f>
        <v/>
      </c>
      <c r="J7982" s="11">
        <f>MAX(0,M7982-N7982)</f>
        <v/>
      </c>
      <c r="K7982" s="11">
        <f>O7982</f>
        <v/>
      </c>
      <c r="L7982" s="11">
        <f>L7981+IF(K7982&gt;0,K7982*Summary!$B$9,K7982/Summary!$B$9)</f>
        <v/>
      </c>
      <c r="M7982" s="11">
        <f>G7982+H7982</f>
        <v/>
      </c>
      <c r="N7982" s="11">
        <f>Summary!$C$16*Summary!$B$8</f>
        <v/>
      </c>
      <c r="O7982" s="11">
        <f>M7982-N7982</f>
        <v/>
      </c>
    </row>
    <row r="7983">
      <c r="A7983" s="9" t="n">
        <v>45624.54166666666</v>
      </c>
      <c r="B7983" t="n">
        <v>11</v>
      </c>
      <c r="C7983" t="n">
        <v>28</v>
      </c>
      <c r="D7983" t="n">
        <v>13</v>
      </c>
      <c r="E7983" s="10" t="n">
        <v>0.078578</v>
      </c>
      <c r="F7983" s="10" t="n">
        <v>0.3582028219686773</v>
      </c>
      <c r="G7983" s="11">
        <f>E7983*Summary!$B$6</f>
        <v/>
      </c>
      <c r="H7983" s="11">
        <f>F7983*Summary!$B$7</f>
        <v/>
      </c>
      <c r="I7983" s="11">
        <f>MAX(0,N7983-M7983)</f>
        <v/>
      </c>
      <c r="J7983" s="11">
        <f>MAX(0,M7983-N7983)</f>
        <v/>
      </c>
      <c r="K7983" s="11">
        <f>O7983</f>
        <v/>
      </c>
      <c r="L7983" s="11">
        <f>L7982+IF(K7983&gt;0,K7983*Summary!$B$9,K7983/Summary!$B$9)</f>
        <v/>
      </c>
      <c r="M7983" s="11">
        <f>G7983+H7983</f>
        <v/>
      </c>
      <c r="N7983" s="11">
        <f>Summary!$C$16*Summary!$B$8</f>
        <v/>
      </c>
      <c r="O7983" s="11">
        <f>M7983-N7983</f>
        <v/>
      </c>
    </row>
    <row r="7984">
      <c r="A7984" s="9" t="n">
        <v>45624.58333333334</v>
      </c>
      <c r="B7984" t="n">
        <v>11</v>
      </c>
      <c r="C7984" t="n">
        <v>28</v>
      </c>
      <c r="D7984" t="n">
        <v>14</v>
      </c>
      <c r="E7984" s="10" t="n">
        <v>0.039773</v>
      </c>
      <c r="F7984" s="10" t="n">
        <v>0.3629198311007595</v>
      </c>
      <c r="G7984" s="11">
        <f>E7984*Summary!$B$6</f>
        <v/>
      </c>
      <c r="H7984" s="11">
        <f>F7984*Summary!$B$7</f>
        <v/>
      </c>
      <c r="I7984" s="11">
        <f>MAX(0,N7984-M7984)</f>
        <v/>
      </c>
      <c r="J7984" s="11">
        <f>MAX(0,M7984-N7984)</f>
        <v/>
      </c>
      <c r="K7984" s="11">
        <f>O7984</f>
        <v/>
      </c>
      <c r="L7984" s="11">
        <f>L7983+IF(K7984&gt;0,K7984*Summary!$B$9,K7984/Summary!$B$9)</f>
        <v/>
      </c>
      <c r="M7984" s="11">
        <f>G7984+H7984</f>
        <v/>
      </c>
      <c r="N7984" s="11">
        <f>Summary!$C$16*Summary!$B$8</f>
        <v/>
      </c>
      <c r="O7984" s="11">
        <f>M7984-N7984</f>
        <v/>
      </c>
    </row>
    <row r="7985">
      <c r="A7985" s="9" t="n">
        <v>45624.625</v>
      </c>
      <c r="B7985" t="n">
        <v>11</v>
      </c>
      <c r="C7985" t="n">
        <v>28</v>
      </c>
      <c r="D7985" t="n">
        <v>15</v>
      </c>
      <c r="E7985" s="10" t="n">
        <v>0</v>
      </c>
      <c r="F7985" s="10" t="n">
        <v>0.3774661385918732</v>
      </c>
      <c r="G7985" s="11">
        <f>E7985*Summary!$B$6</f>
        <v/>
      </c>
      <c r="H7985" s="11">
        <f>F7985*Summary!$B$7</f>
        <v/>
      </c>
      <c r="I7985" s="11">
        <f>MAX(0,N7985-M7985)</f>
        <v/>
      </c>
      <c r="J7985" s="11">
        <f>MAX(0,M7985-N7985)</f>
        <v/>
      </c>
      <c r="K7985" s="11">
        <f>O7985</f>
        <v/>
      </c>
      <c r="L7985" s="11">
        <f>L7984+IF(K7985&gt;0,K7985*Summary!$B$9,K7985/Summary!$B$9)</f>
        <v/>
      </c>
      <c r="M7985" s="11">
        <f>G7985+H7985</f>
        <v/>
      </c>
      <c r="N7985" s="11">
        <f>Summary!$C$16*Summary!$B$8</f>
        <v/>
      </c>
      <c r="O7985" s="11">
        <f>M7985-N7985</f>
        <v/>
      </c>
    </row>
    <row r="7986">
      <c r="A7986" s="9" t="n">
        <v>45624.66666666666</v>
      </c>
      <c r="B7986" t="n">
        <v>11</v>
      </c>
      <c r="C7986" t="n">
        <v>28</v>
      </c>
      <c r="D7986" t="n">
        <v>16</v>
      </c>
      <c r="E7986" s="10" t="n">
        <v>0</v>
      </c>
      <c r="F7986" s="10" t="n">
        <v>0.3912482378995771</v>
      </c>
      <c r="G7986" s="11">
        <f>E7986*Summary!$B$6</f>
        <v/>
      </c>
      <c r="H7986" s="11">
        <f>F7986*Summary!$B$7</f>
        <v/>
      </c>
      <c r="I7986" s="11">
        <f>MAX(0,N7986-M7986)</f>
        <v/>
      </c>
      <c r="J7986" s="11">
        <f>MAX(0,M7986-N7986)</f>
        <v/>
      </c>
      <c r="K7986" s="11">
        <f>O7986</f>
        <v/>
      </c>
      <c r="L7986" s="11">
        <f>L7985+IF(K7986&gt;0,K7986*Summary!$B$9,K7986/Summary!$B$9)</f>
        <v/>
      </c>
      <c r="M7986" s="11">
        <f>G7986+H7986</f>
        <v/>
      </c>
      <c r="N7986" s="11">
        <f>Summary!$C$16*Summary!$B$8</f>
        <v/>
      </c>
      <c r="O7986" s="11">
        <f>M7986-N7986</f>
        <v/>
      </c>
    </row>
    <row r="7987">
      <c r="A7987" s="9" t="n">
        <v>45624.70833333334</v>
      </c>
      <c r="B7987" t="n">
        <v>11</v>
      </c>
      <c r="C7987" t="n">
        <v>28</v>
      </c>
      <c r="D7987" t="n">
        <v>17</v>
      </c>
      <c r="E7987" s="10" t="n">
        <v>0</v>
      </c>
      <c r="F7987" s="10" t="n">
        <v>0.3957807829873879</v>
      </c>
      <c r="G7987" s="11">
        <f>E7987*Summary!$B$6</f>
        <v/>
      </c>
      <c r="H7987" s="11">
        <f>F7987*Summary!$B$7</f>
        <v/>
      </c>
      <c r="I7987" s="11">
        <f>MAX(0,N7987-M7987)</f>
        <v/>
      </c>
      <c r="J7987" s="11">
        <f>MAX(0,M7987-N7987)</f>
        <v/>
      </c>
      <c r="K7987" s="11">
        <f>O7987</f>
        <v/>
      </c>
      <c r="L7987" s="11">
        <f>L7986+IF(K7987&gt;0,K7987*Summary!$B$9,K7987/Summary!$B$9)</f>
        <v/>
      </c>
      <c r="M7987" s="11">
        <f>G7987+H7987</f>
        <v/>
      </c>
      <c r="N7987" s="11">
        <f>Summary!$C$16*Summary!$B$8</f>
        <v/>
      </c>
      <c r="O7987" s="11">
        <f>M7987-N7987</f>
        <v/>
      </c>
    </row>
    <row r="7988">
      <c r="A7988" s="9" t="n">
        <v>45624.75</v>
      </c>
      <c r="B7988" t="n">
        <v>11</v>
      </c>
      <c r="C7988" t="n">
        <v>28</v>
      </c>
      <c r="D7988" t="n">
        <v>18</v>
      </c>
      <c r="E7988" s="10" t="n">
        <v>0</v>
      </c>
      <c r="F7988" s="10" t="n">
        <v>0.3987585597020543</v>
      </c>
      <c r="G7988" s="11">
        <f>E7988*Summary!$B$6</f>
        <v/>
      </c>
      <c r="H7988" s="11">
        <f>F7988*Summary!$B$7</f>
        <v/>
      </c>
      <c r="I7988" s="11">
        <f>MAX(0,N7988-M7988)</f>
        <v/>
      </c>
      <c r="J7988" s="11">
        <f>MAX(0,M7988-N7988)</f>
        <v/>
      </c>
      <c r="K7988" s="11">
        <f>O7988</f>
        <v/>
      </c>
      <c r="L7988" s="11">
        <f>L7987+IF(K7988&gt;0,K7988*Summary!$B$9,K7988/Summary!$B$9)</f>
        <v/>
      </c>
      <c r="M7988" s="11">
        <f>G7988+H7988</f>
        <v/>
      </c>
      <c r="N7988" s="11">
        <f>Summary!$C$16*Summary!$B$8</f>
        <v/>
      </c>
      <c r="O7988" s="11">
        <f>M7988-N7988</f>
        <v/>
      </c>
    </row>
    <row r="7989">
      <c r="A7989" s="9" t="n">
        <v>45624.79166666666</v>
      </c>
      <c r="B7989" t="n">
        <v>11</v>
      </c>
      <c r="C7989" t="n">
        <v>28</v>
      </c>
      <c r="D7989" t="n">
        <v>19</v>
      </c>
      <c r="E7989" s="10" t="n">
        <v>0</v>
      </c>
      <c r="F7989" s="10" t="n">
        <v>0.399891695974007</v>
      </c>
      <c r="G7989" s="11">
        <f>E7989*Summary!$B$6</f>
        <v/>
      </c>
      <c r="H7989" s="11">
        <f>F7989*Summary!$B$7</f>
        <v/>
      </c>
      <c r="I7989" s="11">
        <f>MAX(0,N7989-M7989)</f>
        <v/>
      </c>
      <c r="J7989" s="11">
        <f>MAX(0,M7989-N7989)</f>
        <v/>
      </c>
      <c r="K7989" s="11">
        <f>O7989</f>
        <v/>
      </c>
      <c r="L7989" s="11">
        <f>L7988+IF(K7989&gt;0,K7989*Summary!$B$9,K7989/Summary!$B$9)</f>
        <v/>
      </c>
      <c r="M7989" s="11">
        <f>G7989+H7989</f>
        <v/>
      </c>
      <c r="N7989" s="11">
        <f>Summary!$C$16*Summary!$B$8</f>
        <v/>
      </c>
      <c r="O7989" s="11">
        <f>M7989-N7989</f>
        <v/>
      </c>
    </row>
    <row r="7990">
      <c r="A7990" s="9" t="n">
        <v>45624.83333333334</v>
      </c>
      <c r="B7990" t="n">
        <v>11</v>
      </c>
      <c r="C7990" t="n">
        <v>28</v>
      </c>
      <c r="D7990" t="n">
        <v>20</v>
      </c>
      <c r="E7990" s="10" t="n">
        <v>0</v>
      </c>
      <c r="F7990" s="10" t="n">
        <v>0.3977308314553995</v>
      </c>
      <c r="G7990" s="11">
        <f>E7990*Summary!$B$6</f>
        <v/>
      </c>
      <c r="H7990" s="11">
        <f>F7990*Summary!$B$7</f>
        <v/>
      </c>
      <c r="I7990" s="11">
        <f>MAX(0,N7990-M7990)</f>
        <v/>
      </c>
      <c r="J7990" s="11">
        <f>MAX(0,M7990-N7990)</f>
        <v/>
      </c>
      <c r="K7990" s="11">
        <f>O7990</f>
        <v/>
      </c>
      <c r="L7990" s="11">
        <f>L7989+IF(K7990&gt;0,K7990*Summary!$B$9,K7990/Summary!$B$9)</f>
        <v/>
      </c>
      <c r="M7990" s="11">
        <f>G7990+H7990</f>
        <v/>
      </c>
      <c r="N7990" s="11">
        <f>Summary!$C$16*Summary!$B$8</f>
        <v/>
      </c>
      <c r="O7990" s="11">
        <f>M7990-N7990</f>
        <v/>
      </c>
    </row>
    <row r="7991">
      <c r="A7991" s="9" t="n">
        <v>45624.875</v>
      </c>
      <c r="B7991" t="n">
        <v>11</v>
      </c>
      <c r="C7991" t="n">
        <v>28</v>
      </c>
      <c r="D7991" t="n">
        <v>21</v>
      </c>
      <c r="E7991" s="10" t="n">
        <v>0</v>
      </c>
      <c r="F7991" s="10" t="n">
        <v>0.3969929752783141</v>
      </c>
      <c r="G7991" s="11">
        <f>E7991*Summary!$B$6</f>
        <v/>
      </c>
      <c r="H7991" s="11">
        <f>F7991*Summary!$B$7</f>
        <v/>
      </c>
      <c r="I7991" s="11">
        <f>MAX(0,N7991-M7991)</f>
        <v/>
      </c>
      <c r="J7991" s="11">
        <f>MAX(0,M7991-N7991)</f>
        <v/>
      </c>
      <c r="K7991" s="11">
        <f>O7991</f>
        <v/>
      </c>
      <c r="L7991" s="11">
        <f>L7990+IF(K7991&gt;0,K7991*Summary!$B$9,K7991/Summary!$B$9)</f>
        <v/>
      </c>
      <c r="M7991" s="11">
        <f>G7991+H7991</f>
        <v/>
      </c>
      <c r="N7991" s="11">
        <f>Summary!$C$16*Summary!$B$8</f>
        <v/>
      </c>
      <c r="O7991" s="11">
        <f>M7991-N7991</f>
        <v/>
      </c>
    </row>
    <row r="7992">
      <c r="A7992" s="9" t="n">
        <v>45624.91666666666</v>
      </c>
      <c r="B7992" t="n">
        <v>11</v>
      </c>
      <c r="C7992" t="n">
        <v>28</v>
      </c>
      <c r="D7992" t="n">
        <v>22</v>
      </c>
      <c r="E7992" s="10" t="n">
        <v>0</v>
      </c>
      <c r="F7992" s="10" t="n">
        <v>0.3982051675692402</v>
      </c>
      <c r="G7992" s="11">
        <f>E7992*Summary!$B$6</f>
        <v/>
      </c>
      <c r="H7992" s="11">
        <f>F7992*Summary!$B$7</f>
        <v/>
      </c>
      <c r="I7992" s="11">
        <f>MAX(0,N7992-M7992)</f>
        <v/>
      </c>
      <c r="J7992" s="11">
        <f>MAX(0,M7992-N7992)</f>
        <v/>
      </c>
      <c r="K7992" s="11">
        <f>O7992</f>
        <v/>
      </c>
      <c r="L7992" s="11">
        <f>L7991+IF(K7992&gt;0,K7992*Summary!$B$9,K7992/Summary!$B$9)</f>
        <v/>
      </c>
      <c r="M7992" s="11">
        <f>G7992+H7992</f>
        <v/>
      </c>
      <c r="N7992" s="11">
        <f>Summary!$C$16*Summary!$B$8</f>
        <v/>
      </c>
      <c r="O7992" s="11">
        <f>M7992-N7992</f>
        <v/>
      </c>
    </row>
    <row r="7993">
      <c r="A7993" s="9" t="n">
        <v>45624.95833333334</v>
      </c>
      <c r="B7993" t="n">
        <v>11</v>
      </c>
      <c r="C7993" t="n">
        <v>28</v>
      </c>
      <c r="D7993" t="n">
        <v>23</v>
      </c>
      <c r="E7993" s="10" t="n">
        <v>0</v>
      </c>
      <c r="F7993" s="10" t="n">
        <v>0.4016309283914228</v>
      </c>
      <c r="G7993" s="11">
        <f>E7993*Summary!$B$6</f>
        <v/>
      </c>
      <c r="H7993" s="11">
        <f>F7993*Summary!$B$7</f>
        <v/>
      </c>
      <c r="I7993" s="11">
        <f>MAX(0,N7993-M7993)</f>
        <v/>
      </c>
      <c r="J7993" s="11">
        <f>MAX(0,M7993-N7993)</f>
        <v/>
      </c>
      <c r="K7993" s="11">
        <f>O7993</f>
        <v/>
      </c>
      <c r="L7993" s="11">
        <f>L7992+IF(K7993&gt;0,K7993*Summary!$B$9,K7993/Summary!$B$9)</f>
        <v/>
      </c>
      <c r="M7993" s="11">
        <f>G7993+H7993</f>
        <v/>
      </c>
      <c r="N7993" s="11">
        <f>Summary!$C$16*Summary!$B$8</f>
        <v/>
      </c>
      <c r="O7993" s="11">
        <f>M7993-N7993</f>
        <v/>
      </c>
    </row>
    <row r="7994">
      <c r="A7994" s="9" t="n">
        <v>45625</v>
      </c>
      <c r="B7994" t="n">
        <v>11</v>
      </c>
      <c r="C7994" t="n">
        <v>29</v>
      </c>
      <c r="D7994" t="n">
        <v>0</v>
      </c>
      <c r="E7994" s="10" t="n">
        <v>0</v>
      </c>
      <c r="F7994" s="10" t="n">
        <v>0.3460545470530913</v>
      </c>
      <c r="G7994" s="11">
        <f>E7994*Summary!$B$6</f>
        <v/>
      </c>
      <c r="H7994" s="11">
        <f>F7994*Summary!$B$7</f>
        <v/>
      </c>
      <c r="I7994" s="11">
        <f>MAX(0,N7994-M7994)</f>
        <v/>
      </c>
      <c r="J7994" s="11">
        <f>MAX(0,M7994-N7994)</f>
        <v/>
      </c>
      <c r="K7994" s="11">
        <f>O7994</f>
        <v/>
      </c>
      <c r="L7994" s="11">
        <f>L7993+IF(K7994&gt;0,K7994*Summary!$B$9,K7994/Summary!$B$9)</f>
        <v/>
      </c>
      <c r="M7994" s="11">
        <f>G7994+H7994</f>
        <v/>
      </c>
      <c r="N7994" s="11">
        <f>Summary!$C$16*Summary!$B$8</f>
        <v/>
      </c>
      <c r="O7994" s="11">
        <f>M7994-N7994</f>
        <v/>
      </c>
    </row>
    <row r="7995">
      <c r="A7995" s="9" t="n">
        <v>45625.04166666666</v>
      </c>
      <c r="B7995" t="n">
        <v>11</v>
      </c>
      <c r="C7995" t="n">
        <v>29</v>
      </c>
      <c r="D7995" t="n">
        <v>1</v>
      </c>
      <c r="E7995" s="10" t="n">
        <v>0</v>
      </c>
      <c r="F7995" s="10" t="n">
        <v>0.3994964158791398</v>
      </c>
      <c r="G7995" s="11">
        <f>E7995*Summary!$B$6</f>
        <v/>
      </c>
      <c r="H7995" s="11">
        <f>F7995*Summary!$B$7</f>
        <v/>
      </c>
      <c r="I7995" s="11">
        <f>MAX(0,N7995-M7995)</f>
        <v/>
      </c>
      <c r="J7995" s="11">
        <f>MAX(0,M7995-N7995)</f>
        <v/>
      </c>
      <c r="K7995" s="11">
        <f>O7995</f>
        <v/>
      </c>
      <c r="L7995" s="11">
        <f>L7994+IF(K7995&gt;0,K7995*Summary!$B$9,K7995/Summary!$B$9)</f>
        <v/>
      </c>
      <c r="M7995" s="11">
        <f>G7995+H7995</f>
        <v/>
      </c>
      <c r="N7995" s="11">
        <f>Summary!$C$16*Summary!$B$8</f>
        <v/>
      </c>
      <c r="O7995" s="11">
        <f>M7995-N7995</f>
        <v/>
      </c>
    </row>
    <row r="7996">
      <c r="A7996" s="9" t="n">
        <v>45625.08333333334</v>
      </c>
      <c r="B7996" t="n">
        <v>11</v>
      </c>
      <c r="C7996" t="n">
        <v>29</v>
      </c>
      <c r="D7996" t="n">
        <v>2</v>
      </c>
      <c r="E7996" s="10" t="n">
        <v>0</v>
      </c>
      <c r="F7996" s="10" t="n">
        <v>0.4047931691503606</v>
      </c>
      <c r="G7996" s="11">
        <f>E7996*Summary!$B$6</f>
        <v/>
      </c>
      <c r="H7996" s="11">
        <f>F7996*Summary!$B$7</f>
        <v/>
      </c>
      <c r="I7996" s="11">
        <f>MAX(0,N7996-M7996)</f>
        <v/>
      </c>
      <c r="J7996" s="11">
        <f>MAX(0,M7996-N7996)</f>
        <v/>
      </c>
      <c r="K7996" s="11">
        <f>O7996</f>
        <v/>
      </c>
      <c r="L7996" s="11">
        <f>L7995+IF(K7996&gt;0,K7996*Summary!$B$9,K7996/Summary!$B$9)</f>
        <v/>
      </c>
      <c r="M7996" s="11">
        <f>G7996+H7996</f>
        <v/>
      </c>
      <c r="N7996" s="11">
        <f>Summary!$C$16*Summary!$B$8</f>
        <v/>
      </c>
      <c r="O7996" s="11">
        <f>M7996-N7996</f>
        <v/>
      </c>
    </row>
    <row r="7997">
      <c r="A7997" s="9" t="n">
        <v>45625.125</v>
      </c>
      <c r="B7997" t="n">
        <v>11</v>
      </c>
      <c r="C7997" t="n">
        <v>29</v>
      </c>
      <c r="D7997" t="n">
        <v>3</v>
      </c>
      <c r="E7997" s="10" t="n">
        <v>0</v>
      </c>
      <c r="F7997" s="10" t="n">
        <v>0.4102216824532038</v>
      </c>
      <c r="G7997" s="11">
        <f>E7997*Summary!$B$6</f>
        <v/>
      </c>
      <c r="H7997" s="11">
        <f>F7997*Summary!$B$7</f>
        <v/>
      </c>
      <c r="I7997" s="11">
        <f>MAX(0,N7997-M7997)</f>
        <v/>
      </c>
      <c r="J7997" s="11">
        <f>MAX(0,M7997-N7997)</f>
        <v/>
      </c>
      <c r="K7997" s="11">
        <f>O7997</f>
        <v/>
      </c>
      <c r="L7997" s="11">
        <f>L7996+IF(K7997&gt;0,K7997*Summary!$B$9,K7997/Summary!$B$9)</f>
        <v/>
      </c>
      <c r="M7997" s="11">
        <f>G7997+H7997</f>
        <v/>
      </c>
      <c r="N7997" s="11">
        <f>Summary!$C$16*Summary!$B$8</f>
        <v/>
      </c>
      <c r="O7997" s="11">
        <f>M7997-N7997</f>
        <v/>
      </c>
    </row>
    <row r="7998">
      <c r="A7998" s="9" t="n">
        <v>45625.16666666666</v>
      </c>
      <c r="B7998" t="n">
        <v>11</v>
      </c>
      <c r="C7998" t="n">
        <v>29</v>
      </c>
      <c r="D7998" t="n">
        <v>4</v>
      </c>
      <c r="E7998" s="10" t="n">
        <v>0</v>
      </c>
      <c r="F7998" s="10" t="n">
        <v>0.4201300368312089</v>
      </c>
      <c r="G7998" s="11">
        <f>E7998*Summary!$B$6</f>
        <v/>
      </c>
      <c r="H7998" s="11">
        <f>F7998*Summary!$B$7</f>
        <v/>
      </c>
      <c r="I7998" s="11">
        <f>MAX(0,N7998-M7998)</f>
        <v/>
      </c>
      <c r="J7998" s="11">
        <f>MAX(0,M7998-N7998)</f>
        <v/>
      </c>
      <c r="K7998" s="11">
        <f>O7998</f>
        <v/>
      </c>
      <c r="L7998" s="11">
        <f>L7997+IF(K7998&gt;0,K7998*Summary!$B$9,K7998/Summary!$B$9)</f>
        <v/>
      </c>
      <c r="M7998" s="11">
        <f>G7998+H7998</f>
        <v/>
      </c>
      <c r="N7998" s="11">
        <f>Summary!$C$16*Summary!$B$8</f>
        <v/>
      </c>
      <c r="O7998" s="11">
        <f>M7998-N7998</f>
        <v/>
      </c>
    </row>
    <row r="7999">
      <c r="A7999" s="9" t="n">
        <v>45625.20833333334</v>
      </c>
      <c r="B7999" t="n">
        <v>11</v>
      </c>
      <c r="C7999" t="n">
        <v>29</v>
      </c>
      <c r="D7999" t="n">
        <v>5</v>
      </c>
      <c r="E7999" s="10" t="n">
        <v>0</v>
      </c>
      <c r="F7999" s="10" t="n">
        <v>0.4275876546210371</v>
      </c>
      <c r="G7999" s="11">
        <f>E7999*Summary!$B$6</f>
        <v/>
      </c>
      <c r="H7999" s="11">
        <f>F7999*Summary!$B$7</f>
        <v/>
      </c>
      <c r="I7999" s="11">
        <f>MAX(0,N7999-M7999)</f>
        <v/>
      </c>
      <c r="J7999" s="11">
        <f>MAX(0,M7999-N7999)</f>
        <v/>
      </c>
      <c r="K7999" s="11">
        <f>O7999</f>
        <v/>
      </c>
      <c r="L7999" s="11">
        <f>L7998+IF(K7999&gt;0,K7999*Summary!$B$9,K7999/Summary!$B$9)</f>
        <v/>
      </c>
      <c r="M7999" s="11">
        <f>G7999+H7999</f>
        <v/>
      </c>
      <c r="N7999" s="11">
        <f>Summary!$C$16*Summary!$B$8</f>
        <v/>
      </c>
      <c r="O7999" s="11">
        <f>M7999-N7999</f>
        <v/>
      </c>
    </row>
    <row r="8000">
      <c r="A8000" s="9" t="n">
        <v>45625.25</v>
      </c>
      <c r="B8000" t="n">
        <v>11</v>
      </c>
      <c r="C8000" t="n">
        <v>29</v>
      </c>
      <c r="D8000" t="n">
        <v>6</v>
      </c>
      <c r="E8000" s="10" t="n">
        <v>0</v>
      </c>
      <c r="F8000" s="10" t="n">
        <v>0.4183117483948195</v>
      </c>
      <c r="G8000" s="11">
        <f>E8000*Summary!$B$6</f>
        <v/>
      </c>
      <c r="H8000" s="11">
        <f>F8000*Summary!$B$7</f>
        <v/>
      </c>
      <c r="I8000" s="11">
        <f>MAX(0,N8000-M8000)</f>
        <v/>
      </c>
      <c r="J8000" s="11">
        <f>MAX(0,M8000-N8000)</f>
        <v/>
      </c>
      <c r="K8000" s="11">
        <f>O8000</f>
        <v/>
      </c>
      <c r="L8000" s="11">
        <f>L7999+IF(K8000&gt;0,K8000*Summary!$B$9,K8000/Summary!$B$9)</f>
        <v/>
      </c>
      <c r="M8000" s="11">
        <f>G8000+H8000</f>
        <v/>
      </c>
      <c r="N8000" s="11">
        <f>Summary!$C$16*Summary!$B$8</f>
        <v/>
      </c>
      <c r="O8000" s="11">
        <f>M8000-N8000</f>
        <v/>
      </c>
    </row>
    <row r="8001">
      <c r="A8001" s="9" t="n">
        <v>45625.29166666666</v>
      </c>
      <c r="B8001" t="n">
        <v>11</v>
      </c>
      <c r="C8001" t="n">
        <v>29</v>
      </c>
      <c r="D8001" t="n">
        <v>7</v>
      </c>
      <c r="E8001" s="10" t="n">
        <v>0</v>
      </c>
      <c r="F8001" s="10" t="n">
        <v>0.4365473367713608</v>
      </c>
      <c r="G8001" s="11">
        <f>E8001*Summary!$B$6</f>
        <v/>
      </c>
      <c r="H8001" s="11">
        <f>F8001*Summary!$B$7</f>
        <v/>
      </c>
      <c r="I8001" s="11">
        <f>MAX(0,N8001-M8001)</f>
        <v/>
      </c>
      <c r="J8001" s="11">
        <f>MAX(0,M8001-N8001)</f>
        <v/>
      </c>
      <c r="K8001" s="11">
        <f>O8001</f>
        <v/>
      </c>
      <c r="L8001" s="11">
        <f>L8000+IF(K8001&gt;0,K8001*Summary!$B$9,K8001/Summary!$B$9)</f>
        <v/>
      </c>
      <c r="M8001" s="11">
        <f>G8001+H8001</f>
        <v/>
      </c>
      <c r="N8001" s="11">
        <f>Summary!$C$16*Summary!$B$8</f>
        <v/>
      </c>
      <c r="O8001" s="11">
        <f>M8001-N8001</f>
        <v/>
      </c>
    </row>
    <row r="8002">
      <c r="A8002" s="9" t="n">
        <v>45625.33333333334</v>
      </c>
      <c r="B8002" t="n">
        <v>11</v>
      </c>
      <c r="C8002" t="n">
        <v>29</v>
      </c>
      <c r="D8002" t="n">
        <v>8</v>
      </c>
      <c r="E8002" s="10" t="n">
        <v>0</v>
      </c>
      <c r="F8002" s="10" t="n">
        <v>0.43989404157457</v>
      </c>
      <c r="G8002" s="11">
        <f>E8002*Summary!$B$6</f>
        <v/>
      </c>
      <c r="H8002" s="11">
        <f>F8002*Summary!$B$7</f>
        <v/>
      </c>
      <c r="I8002" s="11">
        <f>MAX(0,N8002-M8002)</f>
        <v/>
      </c>
      <c r="J8002" s="11">
        <f>MAX(0,M8002-N8002)</f>
        <v/>
      </c>
      <c r="K8002" s="11">
        <f>O8002</f>
        <v/>
      </c>
      <c r="L8002" s="11">
        <f>L8001+IF(K8002&gt;0,K8002*Summary!$B$9,K8002/Summary!$B$9)</f>
        <v/>
      </c>
      <c r="M8002" s="11">
        <f>G8002+H8002</f>
        <v/>
      </c>
      <c r="N8002" s="11">
        <f>Summary!$C$16*Summary!$B$8</f>
        <v/>
      </c>
      <c r="O8002" s="11">
        <f>M8002-N8002</f>
        <v/>
      </c>
    </row>
    <row r="8003">
      <c r="A8003" s="9" t="n">
        <v>45625.375</v>
      </c>
      <c r="B8003" t="n">
        <v>11</v>
      </c>
      <c r="C8003" t="n">
        <v>29</v>
      </c>
      <c r="D8003" t="n">
        <v>9</v>
      </c>
      <c r="E8003" s="10" t="n">
        <v>0.005024</v>
      </c>
      <c r="F8003" s="10" t="n">
        <v>0.4375487130116911</v>
      </c>
      <c r="G8003" s="11">
        <f>E8003*Summary!$B$6</f>
        <v/>
      </c>
      <c r="H8003" s="11">
        <f>F8003*Summary!$B$7</f>
        <v/>
      </c>
      <c r="I8003" s="11">
        <f>MAX(0,N8003-M8003)</f>
        <v/>
      </c>
      <c r="J8003" s="11">
        <f>MAX(0,M8003-N8003)</f>
        <v/>
      </c>
      <c r="K8003" s="11">
        <f>O8003</f>
        <v/>
      </c>
      <c r="L8003" s="11">
        <f>L8002+IF(K8003&gt;0,K8003*Summary!$B$9,K8003/Summary!$B$9)</f>
        <v/>
      </c>
      <c r="M8003" s="11">
        <f>G8003+H8003</f>
        <v/>
      </c>
      <c r="N8003" s="11">
        <f>Summary!$C$16*Summary!$B$8</f>
        <v/>
      </c>
      <c r="O8003" s="11">
        <f>M8003-N8003</f>
        <v/>
      </c>
    </row>
    <row r="8004">
      <c r="A8004" s="9" t="n">
        <v>45625.41666666666</v>
      </c>
      <c r="B8004" t="n">
        <v>11</v>
      </c>
      <c r="C8004" t="n">
        <v>29</v>
      </c>
      <c r="D8004" t="n">
        <v>10</v>
      </c>
      <c r="E8004" s="10" t="n">
        <v>0.008496</v>
      </c>
      <c r="F8004" s="10" t="n">
        <v>0.4343601202464289</v>
      </c>
      <c r="G8004" s="11">
        <f>E8004*Summary!$B$6</f>
        <v/>
      </c>
      <c r="H8004" s="11">
        <f>F8004*Summary!$B$7</f>
        <v/>
      </c>
      <c r="I8004" s="11">
        <f>MAX(0,N8004-M8004)</f>
        <v/>
      </c>
      <c r="J8004" s="11">
        <f>MAX(0,M8004-N8004)</f>
        <v/>
      </c>
      <c r="K8004" s="11">
        <f>O8004</f>
        <v/>
      </c>
      <c r="L8004" s="11">
        <f>L8003+IF(K8004&gt;0,K8004*Summary!$B$9,K8004/Summary!$B$9)</f>
        <v/>
      </c>
      <c r="M8004" s="11">
        <f>G8004+H8004</f>
        <v/>
      </c>
      <c r="N8004" s="11">
        <f>Summary!$C$16*Summary!$B$8</f>
        <v/>
      </c>
      <c r="O8004" s="11">
        <f>M8004-N8004</f>
        <v/>
      </c>
    </row>
    <row r="8005">
      <c r="A8005" s="9" t="n">
        <v>45625.45833333334</v>
      </c>
      <c r="B8005" t="n">
        <v>11</v>
      </c>
      <c r="C8005" t="n">
        <v>29</v>
      </c>
      <c r="D8005" t="n">
        <v>11</v>
      </c>
      <c r="E8005" s="10" t="n">
        <v>0.011172</v>
      </c>
      <c r="F8005" s="10" t="n">
        <v>0.4309607114305707</v>
      </c>
      <c r="G8005" s="11">
        <f>E8005*Summary!$B$6</f>
        <v/>
      </c>
      <c r="H8005" s="11">
        <f>F8005*Summary!$B$7</f>
        <v/>
      </c>
      <c r="I8005" s="11">
        <f>MAX(0,N8005-M8005)</f>
        <v/>
      </c>
      <c r="J8005" s="11">
        <f>MAX(0,M8005-N8005)</f>
        <v/>
      </c>
      <c r="K8005" s="11">
        <f>O8005</f>
        <v/>
      </c>
      <c r="L8005" s="11">
        <f>L8004+IF(K8005&gt;0,K8005*Summary!$B$9,K8005/Summary!$B$9)</f>
        <v/>
      </c>
      <c r="M8005" s="11">
        <f>G8005+H8005</f>
        <v/>
      </c>
      <c r="N8005" s="11">
        <f>Summary!$C$16*Summary!$B$8</f>
        <v/>
      </c>
      <c r="O8005" s="11">
        <f>M8005-N8005</f>
        <v/>
      </c>
    </row>
    <row r="8006">
      <c r="A8006" s="9" t="n">
        <v>45625.5</v>
      </c>
      <c r="B8006" t="n">
        <v>11</v>
      </c>
      <c r="C8006" t="n">
        <v>29</v>
      </c>
      <c r="D8006" t="n">
        <v>12</v>
      </c>
      <c r="E8006" s="10" t="n">
        <v>0.004416</v>
      </c>
      <c r="F8006" s="10" t="n">
        <v>0.4657717117852108</v>
      </c>
      <c r="G8006" s="11">
        <f>E8006*Summary!$B$6</f>
        <v/>
      </c>
      <c r="H8006" s="11">
        <f>F8006*Summary!$B$7</f>
        <v/>
      </c>
      <c r="I8006" s="11">
        <f>MAX(0,N8006-M8006)</f>
        <v/>
      </c>
      <c r="J8006" s="11">
        <f>MAX(0,M8006-N8006)</f>
        <v/>
      </c>
      <c r="K8006" s="11">
        <f>O8006</f>
        <v/>
      </c>
      <c r="L8006" s="11">
        <f>L8005+IF(K8006&gt;0,K8006*Summary!$B$9,K8006/Summary!$B$9)</f>
        <v/>
      </c>
      <c r="M8006" s="11">
        <f>G8006+H8006</f>
        <v/>
      </c>
      <c r="N8006" s="11">
        <f>Summary!$C$16*Summary!$B$8</f>
        <v/>
      </c>
      <c r="O8006" s="11">
        <f>M8006-N8006</f>
        <v/>
      </c>
    </row>
    <row r="8007">
      <c r="A8007" s="9" t="n">
        <v>45625.54166666666</v>
      </c>
      <c r="B8007" t="n">
        <v>11</v>
      </c>
      <c r="C8007" t="n">
        <v>29</v>
      </c>
      <c r="D8007" t="n">
        <v>13</v>
      </c>
      <c r="E8007" s="10" t="n">
        <v>0.004267</v>
      </c>
      <c r="F8007" s="10" t="n">
        <v>0.4116710428010503</v>
      </c>
      <c r="G8007" s="11">
        <f>E8007*Summary!$B$6</f>
        <v/>
      </c>
      <c r="H8007" s="11">
        <f>F8007*Summary!$B$7</f>
        <v/>
      </c>
      <c r="I8007" s="11">
        <f>MAX(0,N8007-M8007)</f>
        <v/>
      </c>
      <c r="J8007" s="11">
        <f>MAX(0,M8007-N8007)</f>
        <v/>
      </c>
      <c r="K8007" s="11">
        <f>O8007</f>
        <v/>
      </c>
      <c r="L8007" s="11">
        <f>L8006+IF(K8007&gt;0,K8007*Summary!$B$9,K8007/Summary!$B$9)</f>
        <v/>
      </c>
      <c r="M8007" s="11">
        <f>G8007+H8007</f>
        <v/>
      </c>
      <c r="N8007" s="11">
        <f>Summary!$C$16*Summary!$B$8</f>
        <v/>
      </c>
      <c r="O8007" s="11">
        <f>M8007-N8007</f>
        <v/>
      </c>
    </row>
    <row r="8008">
      <c r="A8008" s="9" t="n">
        <v>45625.58333333334</v>
      </c>
      <c r="B8008" t="n">
        <v>11</v>
      </c>
      <c r="C8008" t="n">
        <v>29</v>
      </c>
      <c r="D8008" t="n">
        <v>14</v>
      </c>
      <c r="E8008" s="10" t="n">
        <v>0</v>
      </c>
      <c r="F8008" s="10" t="n">
        <v>0.4243727098494503</v>
      </c>
      <c r="G8008" s="11">
        <f>E8008*Summary!$B$6</f>
        <v/>
      </c>
      <c r="H8008" s="11">
        <f>F8008*Summary!$B$7</f>
        <v/>
      </c>
      <c r="I8008" s="11">
        <f>MAX(0,N8008-M8008)</f>
        <v/>
      </c>
      <c r="J8008" s="11">
        <f>MAX(0,M8008-N8008)</f>
        <v/>
      </c>
      <c r="K8008" s="11">
        <f>O8008</f>
        <v/>
      </c>
      <c r="L8008" s="11">
        <f>L8007+IF(K8008&gt;0,K8008*Summary!$B$9,K8008/Summary!$B$9)</f>
        <v/>
      </c>
      <c r="M8008" s="11">
        <f>G8008+H8008</f>
        <v/>
      </c>
      <c r="N8008" s="11">
        <f>Summary!$C$16*Summary!$B$8</f>
        <v/>
      </c>
      <c r="O8008" s="11">
        <f>M8008-N8008</f>
        <v/>
      </c>
    </row>
    <row r="8009">
      <c r="A8009" s="9" t="n">
        <v>45625.625</v>
      </c>
      <c r="B8009" t="n">
        <v>11</v>
      </c>
      <c r="C8009" t="n">
        <v>29</v>
      </c>
      <c r="D8009" t="n">
        <v>15</v>
      </c>
      <c r="E8009" s="10" t="n">
        <v>0</v>
      </c>
      <c r="F8009" s="10" t="n">
        <v>0.4297748711459691</v>
      </c>
      <c r="G8009" s="11">
        <f>E8009*Summary!$B$6</f>
        <v/>
      </c>
      <c r="H8009" s="11">
        <f>F8009*Summary!$B$7</f>
        <v/>
      </c>
      <c r="I8009" s="11">
        <f>MAX(0,N8009-M8009)</f>
        <v/>
      </c>
      <c r="J8009" s="11">
        <f>MAX(0,M8009-N8009)</f>
        <v/>
      </c>
      <c r="K8009" s="11">
        <f>O8009</f>
        <v/>
      </c>
      <c r="L8009" s="11">
        <f>L8008+IF(K8009&gt;0,K8009*Summary!$B$9,K8009/Summary!$B$9)</f>
        <v/>
      </c>
      <c r="M8009" s="11">
        <f>G8009+H8009</f>
        <v/>
      </c>
      <c r="N8009" s="11">
        <f>Summary!$C$16*Summary!$B$8</f>
        <v/>
      </c>
      <c r="O8009" s="11">
        <f>M8009-N8009</f>
        <v/>
      </c>
    </row>
    <row r="8010">
      <c r="A8010" s="9" t="n">
        <v>45625.66666666666</v>
      </c>
      <c r="B8010" t="n">
        <v>11</v>
      </c>
      <c r="C8010" t="n">
        <v>29</v>
      </c>
      <c r="D8010" t="n">
        <v>16</v>
      </c>
      <c r="E8010" s="10" t="n">
        <v>0</v>
      </c>
      <c r="F8010" s="10" t="n">
        <v>0.4294322950637508</v>
      </c>
      <c r="G8010" s="11">
        <f>E8010*Summary!$B$6</f>
        <v/>
      </c>
      <c r="H8010" s="11">
        <f>F8010*Summary!$B$7</f>
        <v/>
      </c>
      <c r="I8010" s="11">
        <f>MAX(0,N8010-M8010)</f>
        <v/>
      </c>
      <c r="J8010" s="11">
        <f>MAX(0,M8010-N8010)</f>
        <v/>
      </c>
      <c r="K8010" s="11">
        <f>O8010</f>
        <v/>
      </c>
      <c r="L8010" s="11">
        <f>L8009+IF(K8010&gt;0,K8010*Summary!$B$9,K8010/Summary!$B$9)</f>
        <v/>
      </c>
      <c r="M8010" s="11">
        <f>G8010+H8010</f>
        <v/>
      </c>
      <c r="N8010" s="11">
        <f>Summary!$C$16*Summary!$B$8</f>
        <v/>
      </c>
      <c r="O8010" s="11">
        <f>M8010-N8010</f>
        <v/>
      </c>
    </row>
    <row r="8011">
      <c r="A8011" s="9" t="n">
        <v>45625.70833333334</v>
      </c>
      <c r="B8011" t="n">
        <v>11</v>
      </c>
      <c r="C8011" t="n">
        <v>29</v>
      </c>
      <c r="D8011" t="n">
        <v>17</v>
      </c>
      <c r="E8011" s="10" t="n">
        <v>0</v>
      </c>
      <c r="F8011" s="10" t="n">
        <v>0.5052470172592841</v>
      </c>
      <c r="G8011" s="11">
        <f>E8011*Summary!$B$6</f>
        <v/>
      </c>
      <c r="H8011" s="11">
        <f>F8011*Summary!$B$7</f>
        <v/>
      </c>
      <c r="I8011" s="11">
        <f>MAX(0,N8011-M8011)</f>
        <v/>
      </c>
      <c r="J8011" s="11">
        <f>MAX(0,M8011-N8011)</f>
        <v/>
      </c>
      <c r="K8011" s="11">
        <f>O8011</f>
        <v/>
      </c>
      <c r="L8011" s="11">
        <f>L8010+IF(K8011&gt;0,K8011*Summary!$B$9,K8011/Summary!$B$9)</f>
        <v/>
      </c>
      <c r="M8011" s="11">
        <f>G8011+H8011</f>
        <v/>
      </c>
      <c r="N8011" s="11">
        <f>Summary!$C$16*Summary!$B$8</f>
        <v/>
      </c>
      <c r="O8011" s="11">
        <f>M8011-N8011</f>
        <v/>
      </c>
    </row>
    <row r="8012">
      <c r="A8012" s="9" t="n">
        <v>45625.75</v>
      </c>
      <c r="B8012" t="n">
        <v>11</v>
      </c>
      <c r="C8012" t="n">
        <v>29</v>
      </c>
      <c r="D8012" t="n">
        <v>18</v>
      </c>
      <c r="E8012" s="10" t="n">
        <v>0</v>
      </c>
      <c r="F8012" s="10" t="n">
        <v>0.4066641615993988</v>
      </c>
      <c r="G8012" s="11">
        <f>E8012*Summary!$B$6</f>
        <v/>
      </c>
      <c r="H8012" s="11">
        <f>F8012*Summary!$B$7</f>
        <v/>
      </c>
      <c r="I8012" s="11">
        <f>MAX(0,N8012-M8012)</f>
        <v/>
      </c>
      <c r="J8012" s="11">
        <f>MAX(0,M8012-N8012)</f>
        <v/>
      </c>
      <c r="K8012" s="11">
        <f>O8012</f>
        <v/>
      </c>
      <c r="L8012" s="11">
        <f>L8011+IF(K8012&gt;0,K8012*Summary!$B$9,K8012/Summary!$B$9)</f>
        <v/>
      </c>
      <c r="M8012" s="11">
        <f>G8012+H8012</f>
        <v/>
      </c>
      <c r="N8012" s="11">
        <f>Summary!$C$16*Summary!$B$8</f>
        <v/>
      </c>
      <c r="O8012" s="11">
        <f>M8012-N8012</f>
        <v/>
      </c>
    </row>
    <row r="8013">
      <c r="A8013" s="9" t="n">
        <v>45625.79166666666</v>
      </c>
      <c r="B8013" t="n">
        <v>11</v>
      </c>
      <c r="C8013" t="n">
        <v>29</v>
      </c>
      <c r="D8013" t="n">
        <v>19</v>
      </c>
      <c r="E8013" s="10" t="n">
        <v>0</v>
      </c>
      <c r="F8013" s="10" t="n">
        <v>0.3974409593858302</v>
      </c>
      <c r="G8013" s="11">
        <f>E8013*Summary!$B$6</f>
        <v/>
      </c>
      <c r="H8013" s="11">
        <f>F8013*Summary!$B$7</f>
        <v/>
      </c>
      <c r="I8013" s="11">
        <f>MAX(0,N8013-M8013)</f>
        <v/>
      </c>
      <c r="J8013" s="11">
        <f>MAX(0,M8013-N8013)</f>
        <v/>
      </c>
      <c r="K8013" s="11">
        <f>O8013</f>
        <v/>
      </c>
      <c r="L8013" s="11">
        <f>L8012+IF(K8013&gt;0,K8013*Summary!$B$9,K8013/Summary!$B$9)</f>
        <v/>
      </c>
      <c r="M8013" s="11">
        <f>G8013+H8013</f>
        <v/>
      </c>
      <c r="N8013" s="11">
        <f>Summary!$C$16*Summary!$B$8</f>
        <v/>
      </c>
      <c r="O8013" s="11">
        <f>M8013-N8013</f>
        <v/>
      </c>
    </row>
    <row r="8014">
      <c r="A8014" s="9" t="n">
        <v>45625.83333333334</v>
      </c>
      <c r="B8014" t="n">
        <v>11</v>
      </c>
      <c r="C8014" t="n">
        <v>29</v>
      </c>
      <c r="D8014" t="n">
        <v>20</v>
      </c>
      <c r="E8014" s="10" t="n">
        <v>0</v>
      </c>
      <c r="F8014" s="10" t="n">
        <v>0.3808918994140558</v>
      </c>
      <c r="G8014" s="11">
        <f>E8014*Summary!$B$6</f>
        <v/>
      </c>
      <c r="H8014" s="11">
        <f>F8014*Summary!$B$7</f>
        <v/>
      </c>
      <c r="I8014" s="11">
        <f>MAX(0,N8014-M8014)</f>
        <v/>
      </c>
      <c r="J8014" s="11">
        <f>MAX(0,M8014-N8014)</f>
        <v/>
      </c>
      <c r="K8014" s="11">
        <f>O8014</f>
        <v/>
      </c>
      <c r="L8014" s="11">
        <f>L8013+IF(K8014&gt;0,K8014*Summary!$B$9,K8014/Summary!$B$9)</f>
        <v/>
      </c>
      <c r="M8014" s="11">
        <f>G8014+H8014</f>
        <v/>
      </c>
      <c r="N8014" s="11">
        <f>Summary!$C$16*Summary!$B$8</f>
        <v/>
      </c>
      <c r="O8014" s="11">
        <f>M8014-N8014</f>
        <v/>
      </c>
    </row>
    <row r="8015">
      <c r="A8015" s="9" t="n">
        <v>45625.875</v>
      </c>
      <c r="B8015" t="n">
        <v>11</v>
      </c>
      <c r="C8015" t="n">
        <v>29</v>
      </c>
      <c r="D8015" t="n">
        <v>21</v>
      </c>
      <c r="E8015" s="10" t="n">
        <v>0</v>
      </c>
      <c r="F8015" s="10" t="n">
        <v>0.3716950492068118</v>
      </c>
      <c r="G8015" s="11">
        <f>E8015*Summary!$B$6</f>
        <v/>
      </c>
      <c r="H8015" s="11">
        <f>F8015*Summary!$B$7</f>
        <v/>
      </c>
      <c r="I8015" s="11">
        <f>MAX(0,N8015-M8015)</f>
        <v/>
      </c>
      <c r="J8015" s="11">
        <f>MAX(0,M8015-N8015)</f>
        <v/>
      </c>
      <c r="K8015" s="11">
        <f>O8015</f>
        <v/>
      </c>
      <c r="L8015" s="11">
        <f>L8014+IF(K8015&gt;0,K8015*Summary!$B$9,K8015/Summary!$B$9)</f>
        <v/>
      </c>
      <c r="M8015" s="11">
        <f>G8015+H8015</f>
        <v/>
      </c>
      <c r="N8015" s="11">
        <f>Summary!$C$16*Summary!$B$8</f>
        <v/>
      </c>
      <c r="O8015" s="11">
        <f>M8015-N8015</f>
        <v/>
      </c>
    </row>
    <row r="8016">
      <c r="A8016" s="9" t="n">
        <v>45625.91666666666</v>
      </c>
      <c r="B8016" t="n">
        <v>11</v>
      </c>
      <c r="C8016" t="n">
        <v>29</v>
      </c>
      <c r="D8016" t="n">
        <v>22</v>
      </c>
      <c r="E8016" s="10" t="n">
        <v>0</v>
      </c>
      <c r="F8016" s="10" t="n">
        <v>0.3658976078154259</v>
      </c>
      <c r="G8016" s="11">
        <f>E8016*Summary!$B$6</f>
        <v/>
      </c>
      <c r="H8016" s="11">
        <f>F8016*Summary!$B$7</f>
        <v/>
      </c>
      <c r="I8016" s="11">
        <f>MAX(0,N8016-M8016)</f>
        <v/>
      </c>
      <c r="J8016" s="11">
        <f>MAX(0,M8016-N8016)</f>
        <v/>
      </c>
      <c r="K8016" s="11">
        <f>O8016</f>
        <v/>
      </c>
      <c r="L8016" s="11">
        <f>L8015+IF(K8016&gt;0,K8016*Summary!$B$9,K8016/Summary!$B$9)</f>
        <v/>
      </c>
      <c r="M8016" s="11">
        <f>G8016+H8016</f>
        <v/>
      </c>
      <c r="N8016" s="11">
        <f>Summary!$C$16*Summary!$B$8</f>
        <v/>
      </c>
      <c r="O8016" s="11">
        <f>M8016-N8016</f>
        <v/>
      </c>
    </row>
    <row r="8017">
      <c r="A8017" s="9" t="n">
        <v>45625.95833333334</v>
      </c>
      <c r="B8017" t="n">
        <v>11</v>
      </c>
      <c r="C8017" t="n">
        <v>29</v>
      </c>
      <c r="D8017" t="n">
        <v>23</v>
      </c>
      <c r="E8017" s="10" t="n">
        <v>0</v>
      </c>
      <c r="F8017" s="10" t="n">
        <v>0.3534067568176216</v>
      </c>
      <c r="G8017" s="11">
        <f>E8017*Summary!$B$6</f>
        <v/>
      </c>
      <c r="H8017" s="11">
        <f>F8017*Summary!$B$7</f>
        <v/>
      </c>
      <c r="I8017" s="11">
        <f>MAX(0,N8017-M8017)</f>
        <v/>
      </c>
      <c r="J8017" s="11">
        <f>MAX(0,M8017-N8017)</f>
        <v/>
      </c>
      <c r="K8017" s="11">
        <f>O8017</f>
        <v/>
      </c>
      <c r="L8017" s="11">
        <f>L8016+IF(K8017&gt;0,K8017*Summary!$B$9,K8017/Summary!$B$9)</f>
        <v/>
      </c>
      <c r="M8017" s="11">
        <f>G8017+H8017</f>
        <v/>
      </c>
      <c r="N8017" s="11">
        <f>Summary!$C$16*Summary!$B$8</f>
        <v/>
      </c>
      <c r="O8017" s="11">
        <f>M8017-N8017</f>
        <v/>
      </c>
    </row>
    <row r="8018">
      <c r="A8018" s="9" t="n">
        <v>45626</v>
      </c>
      <c r="B8018" t="n">
        <v>11</v>
      </c>
      <c r="C8018" t="n">
        <v>30</v>
      </c>
      <c r="D8018" t="n">
        <v>0</v>
      </c>
      <c r="E8018" s="10" t="n">
        <v>0</v>
      </c>
      <c r="F8018" s="10" t="n">
        <v>0.4176793002430321</v>
      </c>
      <c r="G8018" s="11">
        <f>E8018*Summary!$B$6</f>
        <v/>
      </c>
      <c r="H8018" s="11">
        <f>F8018*Summary!$B$7</f>
        <v/>
      </c>
      <c r="I8018" s="11">
        <f>MAX(0,N8018-M8018)</f>
        <v/>
      </c>
      <c r="J8018" s="11">
        <f>MAX(0,M8018-N8018)</f>
        <v/>
      </c>
      <c r="K8018" s="11">
        <f>O8018</f>
        <v/>
      </c>
      <c r="L8018" s="11">
        <f>L8017+IF(K8018&gt;0,K8018*Summary!$B$9,K8018/Summary!$B$9)</f>
        <v/>
      </c>
      <c r="M8018" s="11">
        <f>G8018+H8018</f>
        <v/>
      </c>
      <c r="N8018" s="11">
        <f>Summary!$C$16*Summary!$B$8</f>
        <v/>
      </c>
      <c r="O8018" s="11">
        <f>M8018-N8018</f>
        <v/>
      </c>
    </row>
    <row r="8019">
      <c r="A8019" s="9" t="n">
        <v>45626.04166666666</v>
      </c>
      <c r="B8019" t="n">
        <v>11</v>
      </c>
      <c r="C8019" t="n">
        <v>30</v>
      </c>
      <c r="D8019" t="n">
        <v>1</v>
      </c>
      <c r="E8019" s="10" t="n">
        <v>0</v>
      </c>
      <c r="F8019" s="10" t="n">
        <v>0.3431558263573983</v>
      </c>
      <c r="G8019" s="11">
        <f>E8019*Summary!$B$6</f>
        <v/>
      </c>
      <c r="H8019" s="11">
        <f>F8019*Summary!$B$7</f>
        <v/>
      </c>
      <c r="I8019" s="11">
        <f>MAX(0,N8019-M8019)</f>
        <v/>
      </c>
      <c r="J8019" s="11">
        <f>MAX(0,M8019-N8019)</f>
        <v/>
      </c>
      <c r="K8019" s="11">
        <f>O8019</f>
        <v/>
      </c>
      <c r="L8019" s="11">
        <f>L8018+IF(K8019&gt;0,K8019*Summary!$B$9,K8019/Summary!$B$9)</f>
        <v/>
      </c>
      <c r="M8019" s="11">
        <f>G8019+H8019</f>
        <v/>
      </c>
      <c r="N8019" s="11">
        <f>Summary!$C$16*Summary!$B$8</f>
        <v/>
      </c>
      <c r="O8019" s="11">
        <f>M8019-N8019</f>
        <v/>
      </c>
    </row>
    <row r="8020">
      <c r="A8020" s="9" t="n">
        <v>45626.08333333334</v>
      </c>
      <c r="B8020" t="n">
        <v>11</v>
      </c>
      <c r="C8020" t="n">
        <v>30</v>
      </c>
      <c r="D8020" t="n">
        <v>2</v>
      </c>
      <c r="E8020" s="10" t="n">
        <v>0</v>
      </c>
      <c r="F8020" s="10" t="n">
        <v>0.3435511064522655</v>
      </c>
      <c r="G8020" s="11">
        <f>E8020*Summary!$B$6</f>
        <v/>
      </c>
      <c r="H8020" s="11">
        <f>F8020*Summary!$B$7</f>
        <v/>
      </c>
      <c r="I8020" s="11">
        <f>MAX(0,N8020-M8020)</f>
        <v/>
      </c>
      <c r="J8020" s="11">
        <f>MAX(0,M8020-N8020)</f>
        <v/>
      </c>
      <c r="K8020" s="11">
        <f>O8020</f>
        <v/>
      </c>
      <c r="L8020" s="11">
        <f>L8019+IF(K8020&gt;0,K8020*Summary!$B$9,K8020/Summary!$B$9)</f>
        <v/>
      </c>
      <c r="M8020" s="11">
        <f>G8020+H8020</f>
        <v/>
      </c>
      <c r="N8020" s="11">
        <f>Summary!$C$16*Summary!$B$8</f>
        <v/>
      </c>
      <c r="O8020" s="11">
        <f>M8020-N8020</f>
        <v/>
      </c>
    </row>
    <row r="8021">
      <c r="A8021" s="9" t="n">
        <v>45626.125</v>
      </c>
      <c r="B8021" t="n">
        <v>11</v>
      </c>
      <c r="C8021" t="n">
        <v>30</v>
      </c>
      <c r="D8021" t="n">
        <v>3</v>
      </c>
      <c r="E8021" s="10" t="n">
        <v>0</v>
      </c>
      <c r="F8021" s="10" t="n">
        <v>0.3465815871795809</v>
      </c>
      <c r="G8021" s="11">
        <f>E8021*Summary!$B$6</f>
        <v/>
      </c>
      <c r="H8021" s="11">
        <f>F8021*Summary!$B$7</f>
        <v/>
      </c>
      <c r="I8021" s="11">
        <f>MAX(0,N8021-M8021)</f>
        <v/>
      </c>
      <c r="J8021" s="11">
        <f>MAX(0,M8021-N8021)</f>
        <v/>
      </c>
      <c r="K8021" s="11">
        <f>O8021</f>
        <v/>
      </c>
      <c r="L8021" s="11">
        <f>L8020+IF(K8021&gt;0,K8021*Summary!$B$9,K8021/Summary!$B$9)</f>
        <v/>
      </c>
      <c r="M8021" s="11">
        <f>G8021+H8021</f>
        <v/>
      </c>
      <c r="N8021" s="11">
        <f>Summary!$C$16*Summary!$B$8</f>
        <v/>
      </c>
      <c r="O8021" s="11">
        <f>M8021-N8021</f>
        <v/>
      </c>
    </row>
    <row r="8022">
      <c r="A8022" s="9" t="n">
        <v>45626.16666666666</v>
      </c>
      <c r="B8022" t="n">
        <v>11</v>
      </c>
      <c r="C8022" t="n">
        <v>30</v>
      </c>
      <c r="D8022" t="n">
        <v>4</v>
      </c>
      <c r="E8022" s="10" t="n">
        <v>0</v>
      </c>
      <c r="F8022" s="10" t="n">
        <v>0.350745204178849</v>
      </c>
      <c r="G8022" s="11">
        <f>E8022*Summary!$B$6</f>
        <v/>
      </c>
      <c r="H8022" s="11">
        <f>F8022*Summary!$B$7</f>
        <v/>
      </c>
      <c r="I8022" s="11">
        <f>MAX(0,N8022-M8022)</f>
        <v/>
      </c>
      <c r="J8022" s="11">
        <f>MAX(0,M8022-N8022)</f>
        <v/>
      </c>
      <c r="K8022" s="11">
        <f>O8022</f>
        <v/>
      </c>
      <c r="L8022" s="11">
        <f>L8021+IF(K8022&gt;0,K8022*Summary!$B$9,K8022/Summary!$B$9)</f>
        <v/>
      </c>
      <c r="M8022" s="11">
        <f>G8022+H8022</f>
        <v/>
      </c>
      <c r="N8022" s="11">
        <f>Summary!$C$16*Summary!$B$8</f>
        <v/>
      </c>
      <c r="O8022" s="11">
        <f>M8022-N8022</f>
        <v/>
      </c>
    </row>
    <row r="8023">
      <c r="A8023" s="9" t="n">
        <v>45626.20833333334</v>
      </c>
      <c r="B8023" t="n">
        <v>11</v>
      </c>
      <c r="C8023" t="n">
        <v>30</v>
      </c>
      <c r="D8023" t="n">
        <v>5</v>
      </c>
      <c r="E8023" s="10" t="n">
        <v>0</v>
      </c>
      <c r="F8023" s="10" t="n">
        <v>0.3601265184303644</v>
      </c>
      <c r="G8023" s="11">
        <f>E8023*Summary!$B$6</f>
        <v/>
      </c>
      <c r="H8023" s="11">
        <f>F8023*Summary!$B$7</f>
        <v/>
      </c>
      <c r="I8023" s="11">
        <f>MAX(0,N8023-M8023)</f>
        <v/>
      </c>
      <c r="J8023" s="11">
        <f>MAX(0,M8023-N8023)</f>
        <v/>
      </c>
      <c r="K8023" s="11">
        <f>O8023</f>
        <v/>
      </c>
      <c r="L8023" s="11">
        <f>L8022+IF(K8023&gt;0,K8023*Summary!$B$9,K8023/Summary!$B$9)</f>
        <v/>
      </c>
      <c r="M8023" s="11">
        <f>G8023+H8023</f>
        <v/>
      </c>
      <c r="N8023" s="11">
        <f>Summary!$C$16*Summary!$B$8</f>
        <v/>
      </c>
      <c r="O8023" s="11">
        <f>M8023-N8023</f>
        <v/>
      </c>
    </row>
    <row r="8024">
      <c r="A8024" s="9" t="n">
        <v>45626.25</v>
      </c>
      <c r="B8024" t="n">
        <v>11</v>
      </c>
      <c r="C8024" t="n">
        <v>30</v>
      </c>
      <c r="D8024" t="n">
        <v>6</v>
      </c>
      <c r="E8024" s="10" t="n">
        <v>0</v>
      </c>
      <c r="F8024" s="10" t="n">
        <v>0.3697713527451247</v>
      </c>
      <c r="G8024" s="11">
        <f>E8024*Summary!$B$6</f>
        <v/>
      </c>
      <c r="H8024" s="11">
        <f>F8024*Summary!$B$7</f>
        <v/>
      </c>
      <c r="I8024" s="11">
        <f>MAX(0,N8024-M8024)</f>
        <v/>
      </c>
      <c r="J8024" s="11">
        <f>MAX(0,M8024-N8024)</f>
        <v/>
      </c>
      <c r="K8024" s="11">
        <f>O8024</f>
        <v/>
      </c>
      <c r="L8024" s="11">
        <f>L8023+IF(K8024&gt;0,K8024*Summary!$B$9,K8024/Summary!$B$9)</f>
        <v/>
      </c>
      <c r="M8024" s="11">
        <f>G8024+H8024</f>
        <v/>
      </c>
      <c r="N8024" s="11">
        <f>Summary!$C$16*Summary!$B$8</f>
        <v/>
      </c>
      <c r="O8024" s="11">
        <f>M8024-N8024</f>
        <v/>
      </c>
    </row>
    <row r="8025">
      <c r="A8025" s="9" t="n">
        <v>45626.29166666666</v>
      </c>
      <c r="B8025" t="n">
        <v>11</v>
      </c>
      <c r="C8025" t="n">
        <v>30</v>
      </c>
      <c r="D8025" t="n">
        <v>7</v>
      </c>
      <c r="E8025" s="10" t="n">
        <v>0</v>
      </c>
      <c r="F8025" s="10" t="n">
        <v>0.4146488195157167</v>
      </c>
      <c r="G8025" s="11">
        <f>E8025*Summary!$B$6</f>
        <v/>
      </c>
      <c r="H8025" s="11">
        <f>F8025*Summary!$B$7</f>
        <v/>
      </c>
      <c r="I8025" s="11">
        <f>MAX(0,N8025-M8025)</f>
        <v/>
      </c>
      <c r="J8025" s="11">
        <f>MAX(0,M8025-N8025)</f>
        <v/>
      </c>
      <c r="K8025" s="11">
        <f>O8025</f>
        <v/>
      </c>
      <c r="L8025" s="11">
        <f>L8024+IF(K8025&gt;0,K8025*Summary!$B$9,K8025/Summary!$B$9)</f>
        <v/>
      </c>
      <c r="M8025" s="11">
        <f>G8025+H8025</f>
        <v/>
      </c>
      <c r="N8025" s="11">
        <f>Summary!$C$16*Summary!$B$8</f>
        <v/>
      </c>
      <c r="O8025" s="11">
        <f>M8025-N8025</f>
        <v/>
      </c>
    </row>
    <row r="8026">
      <c r="A8026" s="9" t="n">
        <v>45626.33333333334</v>
      </c>
      <c r="B8026" t="n">
        <v>11</v>
      </c>
      <c r="C8026" t="n">
        <v>30</v>
      </c>
      <c r="D8026" t="n">
        <v>8</v>
      </c>
      <c r="E8026" s="10" t="n">
        <v>0</v>
      </c>
      <c r="F8026" s="10" t="n">
        <v>0.3888765573303737</v>
      </c>
      <c r="G8026" s="11">
        <f>E8026*Summary!$B$6</f>
        <v/>
      </c>
      <c r="H8026" s="11">
        <f>F8026*Summary!$B$7</f>
        <v/>
      </c>
      <c r="I8026" s="11">
        <f>MAX(0,N8026-M8026)</f>
        <v/>
      </c>
      <c r="J8026" s="11">
        <f>MAX(0,M8026-N8026)</f>
        <v/>
      </c>
      <c r="K8026" s="11">
        <f>O8026</f>
        <v/>
      </c>
      <c r="L8026" s="11">
        <f>L8025+IF(K8026&gt;0,K8026*Summary!$B$9,K8026/Summary!$B$9)</f>
        <v/>
      </c>
      <c r="M8026" s="11">
        <f>G8026+H8026</f>
        <v/>
      </c>
      <c r="N8026" s="11">
        <f>Summary!$C$16*Summary!$B$8</f>
        <v/>
      </c>
      <c r="O8026" s="11">
        <f>M8026-N8026</f>
        <v/>
      </c>
    </row>
    <row r="8027">
      <c r="A8027" s="9" t="n">
        <v>45626.375</v>
      </c>
      <c r="B8027" t="n">
        <v>11</v>
      </c>
      <c r="C8027" t="n">
        <v>30</v>
      </c>
      <c r="D8027" t="n">
        <v>9</v>
      </c>
      <c r="E8027" s="10" t="n">
        <v>0.02293</v>
      </c>
      <c r="F8027" s="10" t="n">
        <v>0.3977835354680485</v>
      </c>
      <c r="G8027" s="11">
        <f>E8027*Summary!$B$6</f>
        <v/>
      </c>
      <c r="H8027" s="11">
        <f>F8027*Summary!$B$7</f>
        <v/>
      </c>
      <c r="I8027" s="11">
        <f>MAX(0,N8027-M8027)</f>
        <v/>
      </c>
      <c r="J8027" s="11">
        <f>MAX(0,M8027-N8027)</f>
        <v/>
      </c>
      <c r="K8027" s="11">
        <f>O8027</f>
        <v/>
      </c>
      <c r="L8027" s="11">
        <f>L8026+IF(K8027&gt;0,K8027*Summary!$B$9,K8027/Summary!$B$9)</f>
        <v/>
      </c>
      <c r="M8027" s="11">
        <f>G8027+H8027</f>
        <v/>
      </c>
      <c r="N8027" s="11">
        <f>Summary!$C$16*Summary!$B$8</f>
        <v/>
      </c>
      <c r="O8027" s="11">
        <f>M8027-N8027</f>
        <v/>
      </c>
    </row>
    <row r="8028">
      <c r="A8028" s="9" t="n">
        <v>45626.41666666666</v>
      </c>
      <c r="B8028" t="n">
        <v>11</v>
      </c>
      <c r="C8028" t="n">
        <v>30</v>
      </c>
      <c r="D8028" t="n">
        <v>10</v>
      </c>
      <c r="E8028" s="10" t="n">
        <v>0.042524</v>
      </c>
      <c r="F8028" s="10" t="n">
        <v>0.4010511842522842</v>
      </c>
      <c r="G8028" s="11">
        <f>E8028*Summary!$B$6</f>
        <v/>
      </c>
      <c r="H8028" s="11">
        <f>F8028*Summary!$B$7</f>
        <v/>
      </c>
      <c r="I8028" s="11">
        <f>MAX(0,N8028-M8028)</f>
        <v/>
      </c>
      <c r="J8028" s="11">
        <f>MAX(0,M8028-N8028)</f>
        <v/>
      </c>
      <c r="K8028" s="11">
        <f>O8028</f>
        <v/>
      </c>
      <c r="L8028" s="11">
        <f>L8027+IF(K8028&gt;0,K8028*Summary!$B$9,K8028/Summary!$B$9)</f>
        <v/>
      </c>
      <c r="M8028" s="11">
        <f>G8028+H8028</f>
        <v/>
      </c>
      <c r="N8028" s="11">
        <f>Summary!$C$16*Summary!$B$8</f>
        <v/>
      </c>
      <c r="O8028" s="11">
        <f>M8028-N8028</f>
        <v/>
      </c>
    </row>
    <row r="8029">
      <c r="A8029" s="9" t="n">
        <v>45626.45833333334</v>
      </c>
      <c r="B8029" t="n">
        <v>11</v>
      </c>
      <c r="C8029" t="n">
        <v>30</v>
      </c>
      <c r="D8029" t="n">
        <v>11</v>
      </c>
      <c r="E8029" s="10" t="n">
        <v>0.087311</v>
      </c>
      <c r="F8029" s="10" t="n">
        <v>0.3979679995123199</v>
      </c>
      <c r="G8029" s="11">
        <f>E8029*Summary!$B$6</f>
        <v/>
      </c>
      <c r="H8029" s="11">
        <f>F8029*Summary!$B$7</f>
        <v/>
      </c>
      <c r="I8029" s="11">
        <f>MAX(0,N8029-M8029)</f>
        <v/>
      </c>
      <c r="J8029" s="11">
        <f>MAX(0,M8029-N8029)</f>
        <v/>
      </c>
      <c r="K8029" s="11">
        <f>O8029</f>
        <v/>
      </c>
      <c r="L8029" s="11">
        <f>L8028+IF(K8029&gt;0,K8029*Summary!$B$9,K8029/Summary!$B$9)</f>
        <v/>
      </c>
      <c r="M8029" s="11">
        <f>G8029+H8029</f>
        <v/>
      </c>
      <c r="N8029" s="11">
        <f>Summary!$C$16*Summary!$B$8</f>
        <v/>
      </c>
      <c r="O8029" s="11">
        <f>M8029-N8029</f>
        <v/>
      </c>
    </row>
    <row r="8030">
      <c r="A8030" s="9" t="n">
        <v>45626.5</v>
      </c>
      <c r="B8030" t="n">
        <v>11</v>
      </c>
      <c r="C8030" t="n">
        <v>30</v>
      </c>
      <c r="D8030" t="n">
        <v>12</v>
      </c>
      <c r="E8030" s="10" t="n">
        <v>0.11638</v>
      </c>
      <c r="F8030" s="10" t="n">
        <v>0.3953327988798717</v>
      </c>
      <c r="G8030" s="11">
        <f>E8030*Summary!$B$6</f>
        <v/>
      </c>
      <c r="H8030" s="11">
        <f>F8030*Summary!$B$7</f>
        <v/>
      </c>
      <c r="I8030" s="11">
        <f>MAX(0,N8030-M8030)</f>
        <v/>
      </c>
      <c r="J8030" s="11">
        <f>MAX(0,M8030-N8030)</f>
        <v/>
      </c>
      <c r="K8030" s="11">
        <f>O8030</f>
        <v/>
      </c>
      <c r="L8030" s="11">
        <f>L8029+IF(K8030&gt;0,K8030*Summary!$B$9,K8030/Summary!$B$9)</f>
        <v/>
      </c>
      <c r="M8030" s="11">
        <f>G8030+H8030</f>
        <v/>
      </c>
      <c r="N8030" s="11">
        <f>Summary!$C$16*Summary!$B$8</f>
        <v/>
      </c>
      <c r="O8030" s="11">
        <f>M8030-N8030</f>
        <v/>
      </c>
    </row>
    <row r="8031">
      <c r="A8031" s="9" t="n">
        <v>45626.54166666666</v>
      </c>
      <c r="B8031" t="n">
        <v>11</v>
      </c>
      <c r="C8031" t="n">
        <v>30</v>
      </c>
      <c r="D8031" t="n">
        <v>13</v>
      </c>
      <c r="E8031" s="10" t="n">
        <v>0.139466</v>
      </c>
      <c r="F8031" s="10" t="n">
        <v>0.3938570865257007</v>
      </c>
      <c r="G8031" s="11">
        <f>E8031*Summary!$B$6</f>
        <v/>
      </c>
      <c r="H8031" s="11">
        <f>F8031*Summary!$B$7</f>
        <v/>
      </c>
      <c r="I8031" s="11">
        <f>MAX(0,N8031-M8031)</f>
        <v/>
      </c>
      <c r="J8031" s="11">
        <f>MAX(0,M8031-N8031)</f>
        <v/>
      </c>
      <c r="K8031" s="11">
        <f>O8031</f>
        <v/>
      </c>
      <c r="L8031" s="11">
        <f>L8030+IF(K8031&gt;0,K8031*Summary!$B$9,K8031/Summary!$B$9)</f>
        <v/>
      </c>
      <c r="M8031" s="11">
        <f>G8031+H8031</f>
        <v/>
      </c>
      <c r="N8031" s="11">
        <f>Summary!$C$16*Summary!$B$8</f>
        <v/>
      </c>
      <c r="O8031" s="11">
        <f>M8031-N8031</f>
        <v/>
      </c>
    </row>
    <row r="8032">
      <c r="A8032" s="9" t="n">
        <v>45626.58333333334</v>
      </c>
      <c r="B8032" t="n">
        <v>11</v>
      </c>
      <c r="C8032" t="n">
        <v>30</v>
      </c>
      <c r="D8032" t="n">
        <v>14</v>
      </c>
      <c r="E8032" s="10" t="n">
        <v>0.052788</v>
      </c>
      <c r="F8032" s="10" t="n">
        <v>0.3996018239044378</v>
      </c>
      <c r="G8032" s="11">
        <f>E8032*Summary!$B$6</f>
        <v/>
      </c>
      <c r="H8032" s="11">
        <f>F8032*Summary!$B$7</f>
        <v/>
      </c>
      <c r="I8032" s="11">
        <f>MAX(0,N8032-M8032)</f>
        <v/>
      </c>
      <c r="J8032" s="11">
        <f>MAX(0,M8032-N8032)</f>
        <v/>
      </c>
      <c r="K8032" s="11">
        <f>O8032</f>
        <v/>
      </c>
      <c r="L8032" s="11">
        <f>L8031+IF(K8032&gt;0,K8032*Summary!$B$9,K8032/Summary!$B$9)</f>
        <v/>
      </c>
      <c r="M8032" s="11">
        <f>G8032+H8032</f>
        <v/>
      </c>
      <c r="N8032" s="11">
        <f>Summary!$C$16*Summary!$B$8</f>
        <v/>
      </c>
      <c r="O8032" s="11">
        <f>M8032-N8032</f>
        <v/>
      </c>
    </row>
    <row r="8033">
      <c r="A8033" s="9" t="n">
        <v>45626.625</v>
      </c>
      <c r="B8033" t="n">
        <v>11</v>
      </c>
      <c r="C8033" t="n">
        <v>30</v>
      </c>
      <c r="D8033" t="n">
        <v>15</v>
      </c>
      <c r="E8033" s="10" t="n">
        <v>0</v>
      </c>
      <c r="F8033" s="10" t="n">
        <v>0.4031593447582428</v>
      </c>
      <c r="G8033" s="11">
        <f>E8033*Summary!$B$6</f>
        <v/>
      </c>
      <c r="H8033" s="11">
        <f>F8033*Summary!$B$7</f>
        <v/>
      </c>
      <c r="I8033" s="11">
        <f>MAX(0,N8033-M8033)</f>
        <v/>
      </c>
      <c r="J8033" s="11">
        <f>MAX(0,M8033-N8033)</f>
        <v/>
      </c>
      <c r="K8033" s="11">
        <f>O8033</f>
        <v/>
      </c>
      <c r="L8033" s="11">
        <f>L8032+IF(K8033&gt;0,K8033*Summary!$B$9,K8033/Summary!$B$9)</f>
        <v/>
      </c>
      <c r="M8033" s="11">
        <f>G8033+H8033</f>
        <v/>
      </c>
      <c r="N8033" s="11">
        <f>Summary!$C$16*Summary!$B$8</f>
        <v/>
      </c>
      <c r="O8033" s="11">
        <f>M8033-N8033</f>
        <v/>
      </c>
    </row>
    <row r="8034">
      <c r="A8034" s="9" t="n">
        <v>45626.66666666666</v>
      </c>
      <c r="B8034" t="n">
        <v>11</v>
      </c>
      <c r="C8034" t="n">
        <v>30</v>
      </c>
      <c r="D8034" t="n">
        <v>16</v>
      </c>
      <c r="E8034" s="10" t="n">
        <v>0</v>
      </c>
      <c r="F8034" s="10" t="n">
        <v>0.4081135219472453</v>
      </c>
      <c r="G8034" s="11">
        <f>E8034*Summary!$B$6</f>
        <v/>
      </c>
      <c r="H8034" s="11">
        <f>F8034*Summary!$B$7</f>
        <v/>
      </c>
      <c r="I8034" s="11">
        <f>MAX(0,N8034-M8034)</f>
        <v/>
      </c>
      <c r="J8034" s="11">
        <f>MAX(0,M8034-N8034)</f>
        <v/>
      </c>
      <c r="K8034" s="11">
        <f>O8034</f>
        <v/>
      </c>
      <c r="L8034" s="11">
        <f>L8033+IF(K8034&gt;0,K8034*Summary!$B$9,K8034/Summary!$B$9)</f>
        <v/>
      </c>
      <c r="M8034" s="11">
        <f>G8034+H8034</f>
        <v/>
      </c>
      <c r="N8034" s="11">
        <f>Summary!$C$16*Summary!$B$8</f>
        <v/>
      </c>
      <c r="O8034" s="11">
        <f>M8034-N8034</f>
        <v/>
      </c>
    </row>
    <row r="8035">
      <c r="A8035" s="9" t="n">
        <v>45626.70833333334</v>
      </c>
      <c r="B8035" t="n">
        <v>11</v>
      </c>
      <c r="C8035" t="n">
        <v>30</v>
      </c>
      <c r="D8035" t="n">
        <v>17</v>
      </c>
      <c r="E8035" s="10" t="n">
        <v>0</v>
      </c>
      <c r="F8035" s="10" t="n">
        <v>0.4107750745860179</v>
      </c>
      <c r="G8035" s="11">
        <f>E8035*Summary!$B$6</f>
        <v/>
      </c>
      <c r="H8035" s="11">
        <f>F8035*Summary!$B$7</f>
        <v/>
      </c>
      <c r="I8035" s="11">
        <f>MAX(0,N8035-M8035)</f>
        <v/>
      </c>
      <c r="J8035" s="11">
        <f>MAX(0,M8035-N8035)</f>
        <v/>
      </c>
      <c r="K8035" s="11">
        <f>O8035</f>
        <v/>
      </c>
      <c r="L8035" s="11">
        <f>L8034+IF(K8035&gt;0,K8035*Summary!$B$9,K8035/Summary!$B$9)</f>
        <v/>
      </c>
      <c r="M8035" s="11">
        <f>G8035+H8035</f>
        <v/>
      </c>
      <c r="N8035" s="11">
        <f>Summary!$C$16*Summary!$B$8</f>
        <v/>
      </c>
      <c r="O8035" s="11">
        <f>M8035-N8035</f>
        <v/>
      </c>
    </row>
    <row r="8036">
      <c r="A8036" s="9" t="n">
        <v>45626.75</v>
      </c>
      <c r="B8036" t="n">
        <v>11</v>
      </c>
      <c r="C8036" t="n">
        <v>30</v>
      </c>
      <c r="D8036" t="n">
        <v>18</v>
      </c>
      <c r="E8036" s="10" t="n">
        <v>0</v>
      </c>
      <c r="F8036" s="10" t="n">
        <v>0.4178637642873034</v>
      </c>
      <c r="G8036" s="11">
        <f>E8036*Summary!$B$6</f>
        <v/>
      </c>
      <c r="H8036" s="11">
        <f>F8036*Summary!$B$7</f>
        <v/>
      </c>
      <c r="I8036" s="11">
        <f>MAX(0,N8036-M8036)</f>
        <v/>
      </c>
      <c r="J8036" s="11">
        <f>MAX(0,M8036-N8036)</f>
        <v/>
      </c>
      <c r="K8036" s="11">
        <f>O8036</f>
        <v/>
      </c>
      <c r="L8036" s="11">
        <f>L8035+IF(K8036&gt;0,K8036*Summary!$B$9,K8036/Summary!$B$9)</f>
        <v/>
      </c>
      <c r="M8036" s="11">
        <f>G8036+H8036</f>
        <v/>
      </c>
      <c r="N8036" s="11">
        <f>Summary!$C$16*Summary!$B$8</f>
        <v/>
      </c>
      <c r="O8036" s="11">
        <f>M8036-N8036</f>
        <v/>
      </c>
    </row>
    <row r="8037">
      <c r="A8037" s="9" t="n">
        <v>45626.79166666666</v>
      </c>
      <c r="B8037" t="n">
        <v>11</v>
      </c>
      <c r="C8037" t="n">
        <v>30</v>
      </c>
      <c r="D8037" t="n">
        <v>19</v>
      </c>
      <c r="E8037" s="10" t="n">
        <v>0</v>
      </c>
      <c r="F8037" s="10" t="n">
        <v>0.4353351444804347</v>
      </c>
      <c r="G8037" s="11">
        <f>E8037*Summary!$B$6</f>
        <v/>
      </c>
      <c r="H8037" s="11">
        <f>F8037*Summary!$B$7</f>
        <v/>
      </c>
      <c r="I8037" s="11">
        <f>MAX(0,N8037-M8037)</f>
        <v/>
      </c>
      <c r="J8037" s="11">
        <f>MAX(0,M8037-N8037)</f>
        <v/>
      </c>
      <c r="K8037" s="11">
        <f>O8037</f>
        <v/>
      </c>
      <c r="L8037" s="11">
        <f>L8036+IF(K8037&gt;0,K8037*Summary!$B$9,K8037/Summary!$B$9)</f>
        <v/>
      </c>
      <c r="M8037" s="11">
        <f>G8037+H8037</f>
        <v/>
      </c>
      <c r="N8037" s="11">
        <f>Summary!$C$16*Summary!$B$8</f>
        <v/>
      </c>
      <c r="O8037" s="11">
        <f>M8037-N8037</f>
        <v/>
      </c>
    </row>
    <row r="8038">
      <c r="A8038" s="9" t="n">
        <v>45626.83333333334</v>
      </c>
      <c r="B8038" t="n">
        <v>11</v>
      </c>
      <c r="C8038" t="n">
        <v>30</v>
      </c>
      <c r="D8038" t="n">
        <v>20</v>
      </c>
      <c r="E8038" s="10" t="n">
        <v>0</v>
      </c>
      <c r="F8038" s="10" t="n">
        <v>0.4201036848248843</v>
      </c>
      <c r="G8038" s="11">
        <f>E8038*Summary!$B$6</f>
        <v/>
      </c>
      <c r="H8038" s="11">
        <f>F8038*Summary!$B$7</f>
        <v/>
      </c>
      <c r="I8038" s="11">
        <f>MAX(0,N8038-M8038)</f>
        <v/>
      </c>
      <c r="J8038" s="11">
        <f>MAX(0,M8038-N8038)</f>
        <v/>
      </c>
      <c r="K8038" s="11">
        <f>O8038</f>
        <v/>
      </c>
      <c r="L8038" s="11">
        <f>L8037+IF(K8038&gt;0,K8038*Summary!$B$9,K8038/Summary!$B$9)</f>
        <v/>
      </c>
      <c r="M8038" s="11">
        <f>G8038+H8038</f>
        <v/>
      </c>
      <c r="N8038" s="11">
        <f>Summary!$C$16*Summary!$B$8</f>
        <v/>
      </c>
      <c r="O8038" s="11">
        <f>M8038-N8038</f>
        <v/>
      </c>
    </row>
    <row r="8039">
      <c r="A8039" s="9" t="n">
        <v>45626.875</v>
      </c>
      <c r="B8039" t="n">
        <v>11</v>
      </c>
      <c r="C8039" t="n">
        <v>30</v>
      </c>
      <c r="D8039" t="n">
        <v>21</v>
      </c>
      <c r="E8039" s="10" t="n">
        <v>0</v>
      </c>
      <c r="F8039" s="10" t="n">
        <v>0.4221327893118694</v>
      </c>
      <c r="G8039" s="11">
        <f>E8039*Summary!$B$6</f>
        <v/>
      </c>
      <c r="H8039" s="11">
        <f>F8039*Summary!$B$7</f>
        <v/>
      </c>
      <c r="I8039" s="11">
        <f>MAX(0,N8039-M8039)</f>
        <v/>
      </c>
      <c r="J8039" s="11">
        <f>MAX(0,M8039-N8039)</f>
        <v/>
      </c>
      <c r="K8039" s="11">
        <f>O8039</f>
        <v/>
      </c>
      <c r="L8039" s="11">
        <f>L8038+IF(K8039&gt;0,K8039*Summary!$B$9,K8039/Summary!$B$9)</f>
        <v/>
      </c>
      <c r="M8039" s="11">
        <f>G8039+H8039</f>
        <v/>
      </c>
      <c r="N8039" s="11">
        <f>Summary!$C$16*Summary!$B$8</f>
        <v/>
      </c>
      <c r="O8039" s="11">
        <f>M8039-N8039</f>
        <v/>
      </c>
    </row>
    <row r="8040">
      <c r="A8040" s="9" t="n">
        <v>45626.91666666666</v>
      </c>
      <c r="B8040" t="n">
        <v>11</v>
      </c>
      <c r="C8040" t="n">
        <v>30</v>
      </c>
      <c r="D8040" t="n">
        <v>22</v>
      </c>
      <c r="E8040" s="10" t="n">
        <v>0</v>
      </c>
      <c r="F8040" s="10" t="n">
        <v>0.4251632700391848</v>
      </c>
      <c r="G8040" s="11">
        <f>E8040*Summary!$B$6</f>
        <v/>
      </c>
      <c r="H8040" s="11">
        <f>F8040*Summary!$B$7</f>
        <v/>
      </c>
      <c r="I8040" s="11">
        <f>MAX(0,N8040-M8040)</f>
        <v/>
      </c>
      <c r="J8040" s="11">
        <f>MAX(0,M8040-N8040)</f>
        <v/>
      </c>
      <c r="K8040" s="11">
        <f>O8040</f>
        <v/>
      </c>
      <c r="L8040" s="11">
        <f>L8039+IF(K8040&gt;0,K8040*Summary!$B$9,K8040/Summary!$B$9)</f>
        <v/>
      </c>
      <c r="M8040" s="11">
        <f>G8040+H8040</f>
        <v/>
      </c>
      <c r="N8040" s="11">
        <f>Summary!$C$16*Summary!$B$8</f>
        <v/>
      </c>
      <c r="O8040" s="11">
        <f>M8040-N8040</f>
        <v/>
      </c>
    </row>
    <row r="8041">
      <c r="A8041" s="9" t="n">
        <v>45626.95833333334</v>
      </c>
      <c r="B8041" t="n">
        <v>11</v>
      </c>
      <c r="C8041" t="n">
        <v>30</v>
      </c>
      <c r="D8041" t="n">
        <v>23</v>
      </c>
      <c r="E8041" s="10" t="n">
        <v>0</v>
      </c>
      <c r="F8041" s="10" t="n">
        <v>0.4224753653940877</v>
      </c>
      <c r="G8041" s="11">
        <f>E8041*Summary!$B$6</f>
        <v/>
      </c>
      <c r="H8041" s="11">
        <f>F8041*Summary!$B$7</f>
        <v/>
      </c>
      <c r="I8041" s="11">
        <f>MAX(0,N8041-M8041)</f>
        <v/>
      </c>
      <c r="J8041" s="11">
        <f>MAX(0,M8041-N8041)</f>
        <v/>
      </c>
      <c r="K8041" s="11">
        <f>O8041</f>
        <v/>
      </c>
      <c r="L8041" s="11">
        <f>L8040+IF(K8041&gt;0,K8041*Summary!$B$9,K8041/Summary!$B$9)</f>
        <v/>
      </c>
      <c r="M8041" s="11">
        <f>G8041+H8041</f>
        <v/>
      </c>
      <c r="N8041" s="11">
        <f>Summary!$C$16*Summary!$B$8</f>
        <v/>
      </c>
      <c r="O8041" s="11">
        <f>M8041-N8041</f>
        <v/>
      </c>
    </row>
    <row r="8042">
      <c r="A8042" s="9" t="n">
        <v>45627</v>
      </c>
      <c r="B8042" t="n">
        <v>12</v>
      </c>
      <c r="C8042" t="n">
        <v>1</v>
      </c>
      <c r="D8042" t="n">
        <v>0</v>
      </c>
      <c r="E8042" s="10" t="n">
        <v>0</v>
      </c>
      <c r="F8042" s="10" t="n">
        <v>0.4875121170029081</v>
      </c>
      <c r="G8042" s="11">
        <f>E8042*Summary!$B$6</f>
        <v/>
      </c>
      <c r="H8042" s="11">
        <f>F8042*Summary!$B$7</f>
        <v/>
      </c>
      <c r="I8042" s="11">
        <f>MAX(0,N8042-M8042)</f>
        <v/>
      </c>
      <c r="J8042" s="11">
        <f>MAX(0,M8042-N8042)</f>
        <v/>
      </c>
      <c r="K8042" s="11">
        <f>O8042</f>
        <v/>
      </c>
      <c r="L8042" s="11">
        <f>L8041+IF(K8042&gt;0,K8042*Summary!$B$9,K8042/Summary!$B$9)</f>
        <v/>
      </c>
      <c r="M8042" s="11">
        <f>G8042+H8042</f>
        <v/>
      </c>
      <c r="N8042" s="11">
        <f>Summary!$C$16*Summary!$B$8</f>
        <v/>
      </c>
      <c r="O8042" s="11">
        <f>M8042-N8042</f>
        <v/>
      </c>
    </row>
    <row r="8043">
      <c r="A8043" s="9" t="n">
        <v>45627.04166666666</v>
      </c>
      <c r="B8043" t="n">
        <v>12</v>
      </c>
      <c r="C8043" t="n">
        <v>1</v>
      </c>
      <c r="D8043" t="n">
        <v>1</v>
      </c>
      <c r="E8043" s="10" t="n">
        <v>0</v>
      </c>
      <c r="F8043" s="10" t="n">
        <v>0.4112230586935341</v>
      </c>
      <c r="G8043" s="11">
        <f>E8043*Summary!$B$6</f>
        <v/>
      </c>
      <c r="H8043" s="11">
        <f>F8043*Summary!$B$7</f>
        <v/>
      </c>
      <c r="I8043" s="11">
        <f>MAX(0,N8043-M8043)</f>
        <v/>
      </c>
      <c r="J8043" s="11">
        <f>MAX(0,M8043-N8043)</f>
        <v/>
      </c>
      <c r="K8043" s="11">
        <f>O8043</f>
        <v/>
      </c>
      <c r="L8043" s="11">
        <f>L8042+IF(K8043&gt;0,K8043*Summary!$B$9,K8043/Summary!$B$9)</f>
        <v/>
      </c>
      <c r="M8043" s="11">
        <f>G8043+H8043</f>
        <v/>
      </c>
      <c r="N8043" s="11">
        <f>Summary!$C$16*Summary!$B$8</f>
        <v/>
      </c>
      <c r="O8043" s="11">
        <f>M8043-N8043</f>
        <v/>
      </c>
    </row>
    <row r="8044">
      <c r="A8044" s="9" t="n">
        <v>45627.08333333334</v>
      </c>
      <c r="B8044" t="n">
        <v>12</v>
      </c>
      <c r="C8044" t="n">
        <v>1</v>
      </c>
      <c r="D8044" t="n">
        <v>2</v>
      </c>
      <c r="E8044" s="10" t="n">
        <v>0</v>
      </c>
      <c r="F8044" s="10" t="n">
        <v>0.4037127368910569</v>
      </c>
      <c r="G8044" s="11">
        <f>E8044*Summary!$B$6</f>
        <v/>
      </c>
      <c r="H8044" s="11">
        <f>F8044*Summary!$B$7</f>
        <v/>
      </c>
      <c r="I8044" s="11">
        <f>MAX(0,N8044-M8044)</f>
        <v/>
      </c>
      <c r="J8044" s="11">
        <f>MAX(0,M8044-N8044)</f>
        <v/>
      </c>
      <c r="K8044" s="11">
        <f>O8044</f>
        <v/>
      </c>
      <c r="L8044" s="11">
        <f>L8043+IF(K8044&gt;0,K8044*Summary!$B$9,K8044/Summary!$B$9)</f>
        <v/>
      </c>
      <c r="M8044" s="11">
        <f>G8044+H8044</f>
        <v/>
      </c>
      <c r="N8044" s="11">
        <f>Summary!$C$16*Summary!$B$8</f>
        <v/>
      </c>
      <c r="O8044" s="11">
        <f>M8044-N8044</f>
        <v/>
      </c>
    </row>
    <row r="8045">
      <c r="A8045" s="9" t="n">
        <v>45627.125</v>
      </c>
      <c r="B8045" t="n">
        <v>12</v>
      </c>
      <c r="C8045" t="n">
        <v>1</v>
      </c>
      <c r="D8045" t="n">
        <v>3</v>
      </c>
      <c r="E8045" s="10" t="n">
        <v>0</v>
      </c>
      <c r="F8045" s="10" t="n">
        <v>0.3980470555312933</v>
      </c>
      <c r="G8045" s="11">
        <f>E8045*Summary!$B$6</f>
        <v/>
      </c>
      <c r="H8045" s="11">
        <f>F8045*Summary!$B$7</f>
        <v/>
      </c>
      <c r="I8045" s="11">
        <f>MAX(0,N8045-M8045)</f>
        <v/>
      </c>
      <c r="J8045" s="11">
        <f>MAX(0,M8045-N8045)</f>
        <v/>
      </c>
      <c r="K8045" s="11">
        <f>O8045</f>
        <v/>
      </c>
      <c r="L8045" s="11">
        <f>L8044+IF(K8045&gt;0,K8045*Summary!$B$9,K8045/Summary!$B$9)</f>
        <v/>
      </c>
      <c r="M8045" s="11">
        <f>G8045+H8045</f>
        <v/>
      </c>
      <c r="N8045" s="11">
        <f>Summary!$C$16*Summary!$B$8</f>
        <v/>
      </c>
      <c r="O8045" s="11">
        <f>M8045-N8045</f>
        <v/>
      </c>
    </row>
    <row r="8046">
      <c r="A8046" s="9" t="n">
        <v>45627.16666666666</v>
      </c>
      <c r="B8046" t="n">
        <v>12</v>
      </c>
      <c r="C8046" t="n">
        <v>1</v>
      </c>
      <c r="D8046" t="n">
        <v>4</v>
      </c>
      <c r="E8046" s="10" t="n">
        <v>0</v>
      </c>
      <c r="F8046" s="10" t="n">
        <v>0.3914063499375239</v>
      </c>
      <c r="G8046" s="11">
        <f>E8046*Summary!$B$6</f>
        <v/>
      </c>
      <c r="H8046" s="11">
        <f>F8046*Summary!$B$7</f>
        <v/>
      </c>
      <c r="I8046" s="11">
        <f>MAX(0,N8046-M8046)</f>
        <v/>
      </c>
      <c r="J8046" s="11">
        <f>MAX(0,M8046-N8046)</f>
        <v/>
      </c>
      <c r="K8046" s="11">
        <f>O8046</f>
        <v/>
      </c>
      <c r="L8046" s="11">
        <f>L8045+IF(K8046&gt;0,K8046*Summary!$B$9,K8046/Summary!$B$9)</f>
        <v/>
      </c>
      <c r="M8046" s="11">
        <f>G8046+H8046</f>
        <v/>
      </c>
      <c r="N8046" s="11">
        <f>Summary!$C$16*Summary!$B$8</f>
        <v/>
      </c>
      <c r="O8046" s="11">
        <f>M8046-N8046</f>
        <v/>
      </c>
    </row>
    <row r="8047">
      <c r="A8047" s="9" t="n">
        <v>45627.20833333334</v>
      </c>
      <c r="B8047" t="n">
        <v>12</v>
      </c>
      <c r="C8047" t="n">
        <v>1</v>
      </c>
      <c r="D8047" t="n">
        <v>5</v>
      </c>
      <c r="E8047" s="10" t="n">
        <v>0</v>
      </c>
      <c r="F8047" s="10" t="n">
        <v>0.3859251326220318</v>
      </c>
      <c r="G8047" s="11">
        <f>E8047*Summary!$B$6</f>
        <v/>
      </c>
      <c r="H8047" s="11">
        <f>F8047*Summary!$B$7</f>
        <v/>
      </c>
      <c r="I8047" s="11">
        <f>MAX(0,N8047-M8047)</f>
        <v/>
      </c>
      <c r="J8047" s="11">
        <f>MAX(0,M8047-N8047)</f>
        <v/>
      </c>
      <c r="K8047" s="11">
        <f>O8047</f>
        <v/>
      </c>
      <c r="L8047" s="11">
        <f>L8046+IF(K8047&gt;0,K8047*Summary!$B$9,K8047/Summary!$B$9)</f>
        <v/>
      </c>
      <c r="M8047" s="11">
        <f>G8047+H8047</f>
        <v/>
      </c>
      <c r="N8047" s="11">
        <f>Summary!$C$16*Summary!$B$8</f>
        <v/>
      </c>
      <c r="O8047" s="11">
        <f>M8047-N8047</f>
        <v/>
      </c>
    </row>
    <row r="8048">
      <c r="A8048" s="9" t="n">
        <v>45627.25</v>
      </c>
      <c r="B8048" t="n">
        <v>12</v>
      </c>
      <c r="C8048" t="n">
        <v>1</v>
      </c>
      <c r="D8048" t="n">
        <v>6</v>
      </c>
      <c r="E8048" s="10" t="n">
        <v>0</v>
      </c>
      <c r="F8048" s="10" t="n">
        <v>0.3769918024780326</v>
      </c>
      <c r="G8048" s="11">
        <f>E8048*Summary!$B$6</f>
        <v/>
      </c>
      <c r="H8048" s="11">
        <f>F8048*Summary!$B$7</f>
        <v/>
      </c>
      <c r="I8048" s="11">
        <f>MAX(0,N8048-M8048)</f>
        <v/>
      </c>
      <c r="J8048" s="11">
        <f>MAX(0,M8048-N8048)</f>
        <v/>
      </c>
      <c r="K8048" s="11">
        <f>O8048</f>
        <v/>
      </c>
      <c r="L8048" s="11">
        <f>L8047+IF(K8048&gt;0,K8048*Summary!$B$9,K8048/Summary!$B$9)</f>
        <v/>
      </c>
      <c r="M8048" s="11">
        <f>G8048+H8048</f>
        <v/>
      </c>
      <c r="N8048" s="11">
        <f>Summary!$C$16*Summary!$B$8</f>
        <v/>
      </c>
      <c r="O8048" s="11">
        <f>M8048-N8048</f>
        <v/>
      </c>
    </row>
    <row r="8049">
      <c r="A8049" s="9" t="n">
        <v>45627.29166666666</v>
      </c>
      <c r="B8049" t="n">
        <v>12</v>
      </c>
      <c r="C8049" t="n">
        <v>1</v>
      </c>
      <c r="D8049" t="n">
        <v>7</v>
      </c>
      <c r="E8049" s="10" t="n">
        <v>0</v>
      </c>
      <c r="F8049" s="10" t="n">
        <v>0.3675577842138683</v>
      </c>
      <c r="G8049" s="11">
        <f>E8049*Summary!$B$6</f>
        <v/>
      </c>
      <c r="H8049" s="11">
        <f>F8049*Summary!$B$7</f>
        <v/>
      </c>
      <c r="I8049" s="11">
        <f>MAX(0,N8049-M8049)</f>
        <v/>
      </c>
      <c r="J8049" s="11">
        <f>MAX(0,M8049-N8049)</f>
        <v/>
      </c>
      <c r="K8049" s="11">
        <f>O8049</f>
        <v/>
      </c>
      <c r="L8049" s="11">
        <f>L8048+IF(K8049&gt;0,K8049*Summary!$B$9,K8049/Summary!$B$9)</f>
        <v/>
      </c>
      <c r="M8049" s="11">
        <f>G8049+H8049</f>
        <v/>
      </c>
      <c r="N8049" s="11">
        <f>Summary!$C$16*Summary!$B$8</f>
        <v/>
      </c>
      <c r="O8049" s="11">
        <f>M8049-N8049</f>
        <v/>
      </c>
    </row>
    <row r="8050">
      <c r="A8050" s="9" t="n">
        <v>45627.33333333334</v>
      </c>
      <c r="B8050" t="n">
        <v>12</v>
      </c>
      <c r="C8050" t="n">
        <v>1</v>
      </c>
      <c r="D8050" t="n">
        <v>8</v>
      </c>
      <c r="E8050" s="10" t="n">
        <v>0</v>
      </c>
      <c r="F8050" s="10" t="n">
        <v>0.3843176602362384</v>
      </c>
      <c r="G8050" s="11">
        <f>E8050*Summary!$B$6</f>
        <v/>
      </c>
      <c r="H8050" s="11">
        <f>F8050*Summary!$B$7</f>
        <v/>
      </c>
      <c r="I8050" s="11">
        <f>MAX(0,N8050-M8050)</f>
        <v/>
      </c>
      <c r="J8050" s="11">
        <f>MAX(0,M8050-N8050)</f>
        <v/>
      </c>
      <c r="K8050" s="11">
        <f>O8050</f>
        <v/>
      </c>
      <c r="L8050" s="11">
        <f>L8049+IF(K8050&gt;0,K8050*Summary!$B$9,K8050/Summary!$B$9)</f>
        <v/>
      </c>
      <c r="M8050" s="11">
        <f>G8050+H8050</f>
        <v/>
      </c>
      <c r="N8050" s="11">
        <f>Summary!$C$16*Summary!$B$8</f>
        <v/>
      </c>
      <c r="O8050" s="11">
        <f>M8050-N8050</f>
        <v/>
      </c>
    </row>
    <row r="8051">
      <c r="A8051" s="9" t="n">
        <v>45627.375</v>
      </c>
      <c r="B8051" t="n">
        <v>12</v>
      </c>
      <c r="C8051" t="n">
        <v>1</v>
      </c>
      <c r="D8051" t="n">
        <v>9</v>
      </c>
      <c r="E8051" s="10" t="n">
        <v>0.039112</v>
      </c>
      <c r="F8051" s="10" t="n">
        <v>0.3801276912306459</v>
      </c>
      <c r="G8051" s="11">
        <f>E8051*Summary!$B$6</f>
        <v/>
      </c>
      <c r="H8051" s="11">
        <f>F8051*Summary!$B$7</f>
        <v/>
      </c>
      <c r="I8051" s="11">
        <f>MAX(0,N8051-M8051)</f>
        <v/>
      </c>
      <c r="J8051" s="11">
        <f>MAX(0,M8051-N8051)</f>
        <v/>
      </c>
      <c r="K8051" s="11">
        <f>O8051</f>
        <v/>
      </c>
      <c r="L8051" s="11">
        <f>L8050+IF(K8051&gt;0,K8051*Summary!$B$9,K8051/Summary!$B$9)</f>
        <v/>
      </c>
      <c r="M8051" s="11">
        <f>G8051+H8051</f>
        <v/>
      </c>
      <c r="N8051" s="11">
        <f>Summary!$C$16*Summary!$B$8</f>
        <v/>
      </c>
      <c r="O8051" s="11">
        <f>M8051-N8051</f>
        <v/>
      </c>
    </row>
    <row r="8052">
      <c r="A8052" s="9" t="n">
        <v>45627.41666666666</v>
      </c>
      <c r="B8052" t="n">
        <v>12</v>
      </c>
      <c r="C8052" t="n">
        <v>1</v>
      </c>
      <c r="D8052" t="n">
        <v>10</v>
      </c>
      <c r="E8052" s="10" t="n">
        <v>0.067999</v>
      </c>
      <c r="F8052" s="10" t="n">
        <v>0.3448423547621651</v>
      </c>
      <c r="G8052" s="11">
        <f>E8052*Summary!$B$6</f>
        <v/>
      </c>
      <c r="H8052" s="11">
        <f>F8052*Summary!$B$7</f>
        <v/>
      </c>
      <c r="I8052" s="11">
        <f>MAX(0,N8052-M8052)</f>
        <v/>
      </c>
      <c r="J8052" s="11">
        <f>MAX(0,M8052-N8052)</f>
        <v/>
      </c>
      <c r="K8052" s="11">
        <f>O8052</f>
        <v/>
      </c>
      <c r="L8052" s="11">
        <f>L8051+IF(K8052&gt;0,K8052*Summary!$B$9,K8052/Summary!$B$9)</f>
        <v/>
      </c>
      <c r="M8052" s="11">
        <f>G8052+H8052</f>
        <v/>
      </c>
      <c r="N8052" s="11">
        <f>Summary!$C$16*Summary!$B$8</f>
        <v/>
      </c>
      <c r="O8052" s="11">
        <f>M8052-N8052</f>
        <v/>
      </c>
    </row>
    <row r="8053">
      <c r="A8053" s="9" t="n">
        <v>45627.45833333334</v>
      </c>
      <c r="B8053" t="n">
        <v>12</v>
      </c>
      <c r="C8053" t="n">
        <v>1</v>
      </c>
      <c r="D8053" t="n">
        <v>11</v>
      </c>
      <c r="E8053" s="10" t="n">
        <v>0.101241</v>
      </c>
      <c r="F8053" s="10" t="n">
        <v>0.3304805113153227</v>
      </c>
      <c r="G8053" s="11">
        <f>E8053*Summary!$B$6</f>
        <v/>
      </c>
      <c r="H8053" s="11">
        <f>F8053*Summary!$B$7</f>
        <v/>
      </c>
      <c r="I8053" s="11">
        <f>MAX(0,N8053-M8053)</f>
        <v/>
      </c>
      <c r="J8053" s="11">
        <f>MAX(0,M8053-N8053)</f>
        <v/>
      </c>
      <c r="K8053" s="11">
        <f>O8053</f>
        <v/>
      </c>
      <c r="L8053" s="11">
        <f>L8052+IF(K8053&gt;0,K8053*Summary!$B$9,K8053/Summary!$B$9)</f>
        <v/>
      </c>
      <c r="M8053" s="11">
        <f>G8053+H8053</f>
        <v/>
      </c>
      <c r="N8053" s="11">
        <f>Summary!$C$16*Summary!$B$8</f>
        <v/>
      </c>
      <c r="O8053" s="11">
        <f>M8053-N8053</f>
        <v/>
      </c>
    </row>
    <row r="8054">
      <c r="A8054" s="9" t="n">
        <v>45627.5</v>
      </c>
      <c r="B8054" t="n">
        <v>12</v>
      </c>
      <c r="C8054" t="n">
        <v>1</v>
      </c>
      <c r="D8054" t="n">
        <v>12</v>
      </c>
      <c r="E8054" s="10" t="n">
        <v>0.101132</v>
      </c>
      <c r="F8054" s="10" t="n">
        <v>0.322838429481223</v>
      </c>
      <c r="G8054" s="11">
        <f>E8054*Summary!$B$6</f>
        <v/>
      </c>
      <c r="H8054" s="11">
        <f>F8054*Summary!$B$7</f>
        <v/>
      </c>
      <c r="I8054" s="11">
        <f>MAX(0,N8054-M8054)</f>
        <v/>
      </c>
      <c r="J8054" s="11">
        <f>MAX(0,M8054-N8054)</f>
        <v/>
      </c>
      <c r="K8054" s="11">
        <f>O8054</f>
        <v/>
      </c>
      <c r="L8054" s="11">
        <f>L8053+IF(K8054&gt;0,K8054*Summary!$B$9,K8054/Summary!$B$9)</f>
        <v/>
      </c>
      <c r="M8054" s="11">
        <f>G8054+H8054</f>
        <v/>
      </c>
      <c r="N8054" s="11">
        <f>Summary!$C$16*Summary!$B$8</f>
        <v/>
      </c>
      <c r="O8054" s="11">
        <f>M8054-N8054</f>
        <v/>
      </c>
    </row>
    <row r="8055">
      <c r="A8055" s="9" t="n">
        <v>45627.54166666666</v>
      </c>
      <c r="B8055" t="n">
        <v>12</v>
      </c>
      <c r="C8055" t="n">
        <v>1</v>
      </c>
      <c r="D8055" t="n">
        <v>13</v>
      </c>
      <c r="E8055" s="10" t="n">
        <v>0.065499</v>
      </c>
      <c r="F8055" s="10" t="n">
        <v>0.3190964445831467</v>
      </c>
      <c r="G8055" s="11">
        <f>E8055*Summary!$B$6</f>
        <v/>
      </c>
      <c r="H8055" s="11">
        <f>F8055*Summary!$B$7</f>
        <v/>
      </c>
      <c r="I8055" s="11">
        <f>MAX(0,N8055-M8055)</f>
        <v/>
      </c>
      <c r="J8055" s="11">
        <f>MAX(0,M8055-N8055)</f>
        <v/>
      </c>
      <c r="K8055" s="11">
        <f>O8055</f>
        <v/>
      </c>
      <c r="L8055" s="11">
        <f>L8054+IF(K8055&gt;0,K8055*Summary!$B$9,K8055/Summary!$B$9)</f>
        <v/>
      </c>
      <c r="M8055" s="11">
        <f>G8055+H8055</f>
        <v/>
      </c>
      <c r="N8055" s="11">
        <f>Summary!$C$16*Summary!$B$8</f>
        <v/>
      </c>
      <c r="O8055" s="11">
        <f>M8055-N8055</f>
        <v/>
      </c>
    </row>
    <row r="8056">
      <c r="A8056" s="9" t="n">
        <v>45627.58333333334</v>
      </c>
      <c r="B8056" t="n">
        <v>12</v>
      </c>
      <c r="C8056" t="n">
        <v>1</v>
      </c>
      <c r="D8056" t="n">
        <v>14</v>
      </c>
      <c r="E8056" s="10" t="n">
        <v>0.034957</v>
      </c>
      <c r="F8056" s="10" t="n">
        <v>0.3258952622148629</v>
      </c>
      <c r="G8056" s="11">
        <f>E8056*Summary!$B$6</f>
        <v/>
      </c>
      <c r="H8056" s="11">
        <f>F8056*Summary!$B$7</f>
        <v/>
      </c>
      <c r="I8056" s="11">
        <f>MAX(0,N8056-M8056)</f>
        <v/>
      </c>
      <c r="J8056" s="11">
        <f>MAX(0,M8056-N8056)</f>
        <v/>
      </c>
      <c r="K8056" s="11">
        <f>O8056</f>
        <v/>
      </c>
      <c r="L8056" s="11">
        <f>L8055+IF(K8056&gt;0,K8056*Summary!$B$9,K8056/Summary!$B$9)</f>
        <v/>
      </c>
      <c r="M8056" s="11">
        <f>G8056+H8056</f>
        <v/>
      </c>
      <c r="N8056" s="11">
        <f>Summary!$C$16*Summary!$B$8</f>
        <v/>
      </c>
      <c r="O8056" s="11">
        <f>M8056-N8056</f>
        <v/>
      </c>
    </row>
    <row r="8057">
      <c r="A8057" s="9" t="n">
        <v>45627.625</v>
      </c>
      <c r="B8057" t="n">
        <v>12</v>
      </c>
      <c r="C8057" t="n">
        <v>1</v>
      </c>
      <c r="D8057" t="n">
        <v>15</v>
      </c>
      <c r="E8057" s="10" t="n">
        <v>0</v>
      </c>
      <c r="F8057" s="10" t="n">
        <v>0.3366468807952513</v>
      </c>
      <c r="G8057" s="11">
        <f>E8057*Summary!$B$6</f>
        <v/>
      </c>
      <c r="H8057" s="11">
        <f>F8057*Summary!$B$7</f>
        <v/>
      </c>
      <c r="I8057" s="11">
        <f>MAX(0,N8057-M8057)</f>
        <v/>
      </c>
      <c r="J8057" s="11">
        <f>MAX(0,M8057-N8057)</f>
        <v/>
      </c>
      <c r="K8057" s="11">
        <f>O8057</f>
        <v/>
      </c>
      <c r="L8057" s="11">
        <f>L8056+IF(K8057&gt;0,K8057*Summary!$B$9,K8057/Summary!$B$9)</f>
        <v/>
      </c>
      <c r="M8057" s="11">
        <f>G8057+H8057</f>
        <v/>
      </c>
      <c r="N8057" s="11">
        <f>Summary!$C$16*Summary!$B$8</f>
        <v/>
      </c>
      <c r="O8057" s="11">
        <f>M8057-N8057</f>
        <v/>
      </c>
    </row>
    <row r="8058">
      <c r="A8058" s="9" t="n">
        <v>45627.66666666666</v>
      </c>
      <c r="B8058" t="n">
        <v>12</v>
      </c>
      <c r="C8058" t="n">
        <v>1</v>
      </c>
      <c r="D8058" t="n">
        <v>16</v>
      </c>
      <c r="E8058" s="10" t="n">
        <v>0</v>
      </c>
      <c r="F8058" s="10" t="n">
        <v>0.3470822752997461</v>
      </c>
      <c r="G8058" s="11">
        <f>E8058*Summary!$B$6</f>
        <v/>
      </c>
      <c r="H8058" s="11">
        <f>F8058*Summary!$B$7</f>
        <v/>
      </c>
      <c r="I8058" s="11">
        <f>MAX(0,N8058-M8058)</f>
        <v/>
      </c>
      <c r="J8058" s="11">
        <f>MAX(0,M8058-N8058)</f>
        <v/>
      </c>
      <c r="K8058" s="11">
        <f>O8058</f>
        <v/>
      </c>
      <c r="L8058" s="11">
        <f>L8057+IF(K8058&gt;0,K8058*Summary!$B$9,K8058/Summary!$B$9)</f>
        <v/>
      </c>
      <c r="M8058" s="11">
        <f>G8058+H8058</f>
        <v/>
      </c>
      <c r="N8058" s="11">
        <f>Summary!$C$16*Summary!$B$8</f>
        <v/>
      </c>
      <c r="O8058" s="11">
        <f>M8058-N8058</f>
        <v/>
      </c>
    </row>
    <row r="8059">
      <c r="A8059" s="9" t="n">
        <v>45627.70833333334</v>
      </c>
      <c r="B8059" t="n">
        <v>12</v>
      </c>
      <c r="C8059" t="n">
        <v>1</v>
      </c>
      <c r="D8059" t="n">
        <v>17</v>
      </c>
      <c r="E8059" s="10" t="n">
        <v>0</v>
      </c>
      <c r="F8059" s="10" t="n">
        <v>0.3529324207037809</v>
      </c>
      <c r="G8059" s="11">
        <f>E8059*Summary!$B$6</f>
        <v/>
      </c>
      <c r="H8059" s="11">
        <f>F8059*Summary!$B$7</f>
        <v/>
      </c>
      <c r="I8059" s="11">
        <f>MAX(0,N8059-M8059)</f>
        <v/>
      </c>
      <c r="J8059" s="11">
        <f>MAX(0,M8059-N8059)</f>
        <v/>
      </c>
      <c r="K8059" s="11">
        <f>O8059</f>
        <v/>
      </c>
      <c r="L8059" s="11">
        <f>L8058+IF(K8059&gt;0,K8059*Summary!$B$9,K8059/Summary!$B$9)</f>
        <v/>
      </c>
      <c r="M8059" s="11">
        <f>G8059+H8059</f>
        <v/>
      </c>
      <c r="N8059" s="11">
        <f>Summary!$C$16*Summary!$B$8</f>
        <v/>
      </c>
      <c r="O8059" s="11">
        <f>M8059-N8059</f>
        <v/>
      </c>
    </row>
    <row r="8060">
      <c r="A8060" s="9" t="n">
        <v>45627.75</v>
      </c>
      <c r="B8060" t="n">
        <v>12</v>
      </c>
      <c r="C8060" t="n">
        <v>1</v>
      </c>
      <c r="D8060" t="n">
        <v>18</v>
      </c>
      <c r="E8060" s="10" t="n">
        <v>0</v>
      </c>
      <c r="F8060" s="10" t="n">
        <v>0.3590460861710607</v>
      </c>
      <c r="G8060" s="11">
        <f>E8060*Summary!$B$6</f>
        <v/>
      </c>
      <c r="H8060" s="11">
        <f>F8060*Summary!$B$7</f>
        <v/>
      </c>
      <c r="I8060" s="11">
        <f>MAX(0,N8060-M8060)</f>
        <v/>
      </c>
      <c r="J8060" s="11">
        <f>MAX(0,M8060-N8060)</f>
        <v/>
      </c>
      <c r="K8060" s="11">
        <f>O8060</f>
        <v/>
      </c>
      <c r="L8060" s="11">
        <f>L8059+IF(K8060&gt;0,K8060*Summary!$B$9,K8060/Summary!$B$9)</f>
        <v/>
      </c>
      <c r="M8060" s="11">
        <f>G8060+H8060</f>
        <v/>
      </c>
      <c r="N8060" s="11">
        <f>Summary!$C$16*Summary!$B$8</f>
        <v/>
      </c>
      <c r="O8060" s="11">
        <f>M8060-N8060</f>
        <v/>
      </c>
    </row>
    <row r="8061">
      <c r="A8061" s="9" t="n">
        <v>45627.79166666666</v>
      </c>
      <c r="B8061" t="n">
        <v>12</v>
      </c>
      <c r="C8061" t="n">
        <v>1</v>
      </c>
      <c r="D8061" t="n">
        <v>19</v>
      </c>
      <c r="E8061" s="10" t="n">
        <v>0</v>
      </c>
      <c r="F8061" s="10" t="n">
        <v>0.3588616221267893</v>
      </c>
      <c r="G8061" s="11">
        <f>E8061*Summary!$B$6</f>
        <v/>
      </c>
      <c r="H8061" s="11">
        <f>F8061*Summary!$B$7</f>
        <v/>
      </c>
      <c r="I8061" s="11">
        <f>MAX(0,N8061-M8061)</f>
        <v/>
      </c>
      <c r="J8061" s="11">
        <f>MAX(0,M8061-N8061)</f>
        <v/>
      </c>
      <c r="K8061" s="11">
        <f>O8061</f>
        <v/>
      </c>
      <c r="L8061" s="11">
        <f>L8060+IF(K8061&gt;0,K8061*Summary!$B$9,K8061/Summary!$B$9)</f>
        <v/>
      </c>
      <c r="M8061" s="11">
        <f>G8061+H8061</f>
        <v/>
      </c>
      <c r="N8061" s="11">
        <f>Summary!$C$16*Summary!$B$8</f>
        <v/>
      </c>
      <c r="O8061" s="11">
        <f>M8061-N8061</f>
        <v/>
      </c>
    </row>
    <row r="8062">
      <c r="A8062" s="9" t="n">
        <v>45627.83333333334</v>
      </c>
      <c r="B8062" t="n">
        <v>12</v>
      </c>
      <c r="C8062" t="n">
        <v>1</v>
      </c>
      <c r="D8062" t="n">
        <v>20</v>
      </c>
      <c r="E8062" s="10" t="n">
        <v>0</v>
      </c>
      <c r="F8062" s="10" t="n">
        <v>0.3581237659497038</v>
      </c>
      <c r="G8062" s="11">
        <f>E8062*Summary!$B$6</f>
        <v/>
      </c>
      <c r="H8062" s="11">
        <f>F8062*Summary!$B$7</f>
        <v/>
      </c>
      <c r="I8062" s="11">
        <f>MAX(0,N8062-M8062)</f>
        <v/>
      </c>
      <c r="J8062" s="11">
        <f>MAX(0,M8062-N8062)</f>
        <v/>
      </c>
      <c r="K8062" s="11">
        <f>O8062</f>
        <v/>
      </c>
      <c r="L8062" s="11">
        <f>L8061+IF(K8062&gt;0,K8062*Summary!$B$9,K8062/Summary!$B$9)</f>
        <v/>
      </c>
      <c r="M8062" s="11">
        <f>G8062+H8062</f>
        <v/>
      </c>
      <c r="N8062" s="11">
        <f>Summary!$C$16*Summary!$B$8</f>
        <v/>
      </c>
      <c r="O8062" s="11">
        <f>M8062-N8062</f>
        <v/>
      </c>
    </row>
    <row r="8063">
      <c r="A8063" s="9" t="n">
        <v>45627.875</v>
      </c>
      <c r="B8063" t="n">
        <v>12</v>
      </c>
      <c r="C8063" t="n">
        <v>1</v>
      </c>
      <c r="D8063" t="n">
        <v>21</v>
      </c>
      <c r="E8063" s="10" t="n">
        <v>0</v>
      </c>
      <c r="F8063" s="10" t="n">
        <v>0.3563845335322881</v>
      </c>
      <c r="G8063" s="11">
        <f>E8063*Summary!$B$6</f>
        <v/>
      </c>
      <c r="H8063" s="11">
        <f>F8063*Summary!$B$7</f>
        <v/>
      </c>
      <c r="I8063" s="11">
        <f>MAX(0,N8063-M8063)</f>
        <v/>
      </c>
      <c r="J8063" s="11">
        <f>MAX(0,M8063-N8063)</f>
        <v/>
      </c>
      <c r="K8063" s="11">
        <f>O8063</f>
        <v/>
      </c>
      <c r="L8063" s="11">
        <f>L8062+IF(K8063&gt;0,K8063*Summary!$B$9,K8063/Summary!$B$9)</f>
        <v/>
      </c>
      <c r="M8063" s="11">
        <f>G8063+H8063</f>
        <v/>
      </c>
      <c r="N8063" s="11">
        <f>Summary!$C$16*Summary!$B$8</f>
        <v/>
      </c>
      <c r="O8063" s="11">
        <f>M8063-N8063</f>
        <v/>
      </c>
    </row>
    <row r="8064">
      <c r="A8064" s="9" t="n">
        <v>45627.91666666666</v>
      </c>
      <c r="B8064" t="n">
        <v>12</v>
      </c>
      <c r="C8064" t="n">
        <v>1</v>
      </c>
      <c r="D8064" t="n">
        <v>22</v>
      </c>
      <c r="E8064" s="10" t="n">
        <v>0</v>
      </c>
      <c r="F8064" s="10" t="n">
        <v>0.3584663420319221</v>
      </c>
      <c r="G8064" s="11">
        <f>E8064*Summary!$B$6</f>
        <v/>
      </c>
      <c r="H8064" s="11">
        <f>F8064*Summary!$B$7</f>
        <v/>
      </c>
      <c r="I8064" s="11">
        <f>MAX(0,N8064-M8064)</f>
        <v/>
      </c>
      <c r="J8064" s="11">
        <f>MAX(0,M8064-N8064)</f>
        <v/>
      </c>
      <c r="K8064" s="11">
        <f>O8064</f>
        <v/>
      </c>
      <c r="L8064" s="11">
        <f>L8063+IF(K8064&gt;0,K8064*Summary!$B$9,K8064/Summary!$B$9)</f>
        <v/>
      </c>
      <c r="M8064" s="11">
        <f>G8064+H8064</f>
        <v/>
      </c>
      <c r="N8064" s="11">
        <f>Summary!$C$16*Summary!$B$8</f>
        <v/>
      </c>
      <c r="O8064" s="11">
        <f>M8064-N8064</f>
        <v/>
      </c>
    </row>
    <row r="8065">
      <c r="A8065" s="9" t="n">
        <v>45627.95833333334</v>
      </c>
      <c r="B8065" t="n">
        <v>12</v>
      </c>
      <c r="C8065" t="n">
        <v>1</v>
      </c>
      <c r="D8065" t="n">
        <v>23</v>
      </c>
      <c r="E8065" s="10" t="n">
        <v>0</v>
      </c>
      <c r="F8065" s="10" t="n">
        <v>0.3596785343228482</v>
      </c>
      <c r="G8065" s="11">
        <f>E8065*Summary!$B$6</f>
        <v/>
      </c>
      <c r="H8065" s="11">
        <f>F8065*Summary!$B$7</f>
        <v/>
      </c>
      <c r="I8065" s="11">
        <f>MAX(0,N8065-M8065)</f>
        <v/>
      </c>
      <c r="J8065" s="11">
        <f>MAX(0,M8065-N8065)</f>
        <v/>
      </c>
      <c r="K8065" s="11">
        <f>O8065</f>
        <v/>
      </c>
      <c r="L8065" s="11">
        <f>L8064+IF(K8065&gt;0,K8065*Summary!$B$9,K8065/Summary!$B$9)</f>
        <v/>
      </c>
      <c r="M8065" s="11">
        <f>G8065+H8065</f>
        <v/>
      </c>
      <c r="N8065" s="11">
        <f>Summary!$C$16*Summary!$B$8</f>
        <v/>
      </c>
      <c r="O8065" s="11">
        <f>M8065-N8065</f>
        <v/>
      </c>
    </row>
    <row r="8066">
      <c r="A8066" s="9" t="n">
        <v>45628</v>
      </c>
      <c r="B8066" t="n">
        <v>12</v>
      </c>
      <c r="C8066" t="n">
        <v>2</v>
      </c>
      <c r="D8066" t="n">
        <v>0</v>
      </c>
      <c r="E8066" s="10" t="n">
        <v>0</v>
      </c>
      <c r="F8066" s="10" t="n">
        <v>0.4046350571124137</v>
      </c>
      <c r="G8066" s="11">
        <f>E8066*Summary!$B$6</f>
        <v/>
      </c>
      <c r="H8066" s="11">
        <f>F8066*Summary!$B$7</f>
        <v/>
      </c>
      <c r="I8066" s="11">
        <f>MAX(0,N8066-M8066)</f>
        <v/>
      </c>
      <c r="J8066" s="11">
        <f>MAX(0,M8066-N8066)</f>
        <v/>
      </c>
      <c r="K8066" s="11">
        <f>O8066</f>
        <v/>
      </c>
      <c r="L8066" s="11">
        <f>L8065+IF(K8066&gt;0,K8066*Summary!$B$9,K8066/Summary!$B$9)</f>
        <v/>
      </c>
      <c r="M8066" s="11">
        <f>G8066+H8066</f>
        <v/>
      </c>
      <c r="N8066" s="11">
        <f>Summary!$C$16*Summary!$B$8</f>
        <v/>
      </c>
      <c r="O8066" s="11">
        <f>M8066-N8066</f>
        <v/>
      </c>
    </row>
    <row r="8067">
      <c r="A8067" s="9" t="n">
        <v>45628.04166666666</v>
      </c>
      <c r="B8067" t="n">
        <v>12</v>
      </c>
      <c r="C8067" t="n">
        <v>2</v>
      </c>
      <c r="D8067" t="n">
        <v>1</v>
      </c>
      <c r="E8067" s="10" t="n">
        <v>0</v>
      </c>
      <c r="F8067" s="10" t="n">
        <v>0.4981319755516741</v>
      </c>
      <c r="G8067" s="11">
        <f>E8067*Summary!$B$6</f>
        <v/>
      </c>
      <c r="H8067" s="11">
        <f>F8067*Summary!$B$7</f>
        <v/>
      </c>
      <c r="I8067" s="11">
        <f>MAX(0,N8067-M8067)</f>
        <v/>
      </c>
      <c r="J8067" s="11">
        <f>MAX(0,M8067-N8067)</f>
        <v/>
      </c>
      <c r="K8067" s="11">
        <f>O8067</f>
        <v/>
      </c>
      <c r="L8067" s="11">
        <f>L8066+IF(K8067&gt;0,K8067*Summary!$B$9,K8067/Summary!$B$9)</f>
        <v/>
      </c>
      <c r="M8067" s="11">
        <f>G8067+H8067</f>
        <v/>
      </c>
      <c r="N8067" s="11">
        <f>Summary!$C$16*Summary!$B$8</f>
        <v/>
      </c>
      <c r="O8067" s="11">
        <f>M8067-N8067</f>
        <v/>
      </c>
    </row>
    <row r="8068">
      <c r="A8068" s="9" t="n">
        <v>45628.08333333334</v>
      </c>
      <c r="B8068" t="n">
        <v>12</v>
      </c>
      <c r="C8068" t="n">
        <v>2</v>
      </c>
      <c r="D8068" t="n">
        <v>2</v>
      </c>
      <c r="E8068" s="10" t="n">
        <v>0</v>
      </c>
      <c r="F8068" s="10" t="n">
        <v>0.5039030649367355</v>
      </c>
      <c r="G8068" s="11">
        <f>E8068*Summary!$B$6</f>
        <v/>
      </c>
      <c r="H8068" s="11">
        <f>F8068*Summary!$B$7</f>
        <v/>
      </c>
      <c r="I8068" s="11">
        <f>MAX(0,N8068-M8068)</f>
        <v/>
      </c>
      <c r="J8068" s="11">
        <f>MAX(0,M8068-N8068)</f>
        <v/>
      </c>
      <c r="K8068" s="11">
        <f>O8068</f>
        <v/>
      </c>
      <c r="L8068" s="11">
        <f>L8067+IF(K8068&gt;0,K8068*Summary!$B$9,K8068/Summary!$B$9)</f>
        <v/>
      </c>
      <c r="M8068" s="11">
        <f>G8068+H8068</f>
        <v/>
      </c>
      <c r="N8068" s="11">
        <f>Summary!$C$16*Summary!$B$8</f>
        <v/>
      </c>
      <c r="O8068" s="11">
        <f>M8068-N8068</f>
        <v/>
      </c>
    </row>
    <row r="8069">
      <c r="A8069" s="9" t="n">
        <v>45628.125</v>
      </c>
      <c r="B8069" t="n">
        <v>12</v>
      </c>
      <c r="C8069" t="n">
        <v>2</v>
      </c>
      <c r="D8069" t="n">
        <v>3</v>
      </c>
      <c r="E8069" s="10" t="n">
        <v>0</v>
      </c>
      <c r="F8069" s="10" t="n">
        <v>0.5299388471853234</v>
      </c>
      <c r="G8069" s="11">
        <f>E8069*Summary!$B$6</f>
        <v/>
      </c>
      <c r="H8069" s="11">
        <f>F8069*Summary!$B$7</f>
        <v/>
      </c>
      <c r="I8069" s="11">
        <f>MAX(0,N8069-M8069)</f>
        <v/>
      </c>
      <c r="J8069" s="11">
        <f>MAX(0,M8069-N8069)</f>
        <v/>
      </c>
      <c r="K8069" s="11">
        <f>O8069</f>
        <v/>
      </c>
      <c r="L8069" s="11">
        <f>L8068+IF(K8069&gt;0,K8069*Summary!$B$9,K8069/Summary!$B$9)</f>
        <v/>
      </c>
      <c r="M8069" s="11">
        <f>G8069+H8069</f>
        <v/>
      </c>
      <c r="N8069" s="11">
        <f>Summary!$C$16*Summary!$B$8</f>
        <v/>
      </c>
      <c r="O8069" s="11">
        <f>M8069-N8069</f>
        <v/>
      </c>
    </row>
    <row r="8070">
      <c r="A8070" s="9" t="n">
        <v>45628.16666666666</v>
      </c>
      <c r="B8070" t="n">
        <v>12</v>
      </c>
      <c r="C8070" t="n">
        <v>2</v>
      </c>
      <c r="D8070" t="n">
        <v>4</v>
      </c>
      <c r="E8070" s="10" t="n">
        <v>0</v>
      </c>
      <c r="F8070" s="10" t="n">
        <v>0.5191081725859614</v>
      </c>
      <c r="G8070" s="11">
        <f>E8070*Summary!$B$6</f>
        <v/>
      </c>
      <c r="H8070" s="11">
        <f>F8070*Summary!$B$7</f>
        <v/>
      </c>
      <c r="I8070" s="11">
        <f>MAX(0,N8070-M8070)</f>
        <v/>
      </c>
      <c r="J8070" s="11">
        <f>MAX(0,M8070-N8070)</f>
        <v/>
      </c>
      <c r="K8070" s="11">
        <f>O8070</f>
        <v/>
      </c>
      <c r="L8070" s="11">
        <f>L8069+IF(K8070&gt;0,K8070*Summary!$B$9,K8070/Summary!$B$9)</f>
        <v/>
      </c>
      <c r="M8070" s="11">
        <f>G8070+H8070</f>
        <v/>
      </c>
      <c r="N8070" s="11">
        <f>Summary!$C$16*Summary!$B$8</f>
        <v/>
      </c>
      <c r="O8070" s="11">
        <f>M8070-N8070</f>
        <v/>
      </c>
    </row>
    <row r="8071">
      <c r="A8071" s="9" t="n">
        <v>45628.20833333334</v>
      </c>
      <c r="B8071" t="n">
        <v>12</v>
      </c>
      <c r="C8071" t="n">
        <v>2</v>
      </c>
      <c r="D8071" t="n">
        <v>5</v>
      </c>
      <c r="E8071" s="10" t="n">
        <v>0</v>
      </c>
      <c r="F8071" s="10" t="n">
        <v>0.5288847669323441</v>
      </c>
      <c r="G8071" s="11">
        <f>E8071*Summary!$B$6</f>
        <v/>
      </c>
      <c r="H8071" s="11">
        <f>F8071*Summary!$B$7</f>
        <v/>
      </c>
      <c r="I8071" s="11">
        <f>MAX(0,N8071-M8071)</f>
        <v/>
      </c>
      <c r="J8071" s="11">
        <f>MAX(0,M8071-N8071)</f>
        <v/>
      </c>
      <c r="K8071" s="11">
        <f>O8071</f>
        <v/>
      </c>
      <c r="L8071" s="11">
        <f>L8070+IF(K8071&gt;0,K8071*Summary!$B$9,K8071/Summary!$B$9)</f>
        <v/>
      </c>
      <c r="M8071" s="11">
        <f>G8071+H8071</f>
        <v/>
      </c>
      <c r="N8071" s="11">
        <f>Summary!$C$16*Summary!$B$8</f>
        <v/>
      </c>
      <c r="O8071" s="11">
        <f>M8071-N8071</f>
        <v/>
      </c>
    </row>
    <row r="8072">
      <c r="A8072" s="9" t="n">
        <v>45628.25</v>
      </c>
      <c r="B8072" t="n">
        <v>12</v>
      </c>
      <c r="C8072" t="n">
        <v>2</v>
      </c>
      <c r="D8072" t="n">
        <v>6</v>
      </c>
      <c r="E8072" s="10" t="n">
        <v>0</v>
      </c>
      <c r="F8072" s="10" t="n">
        <v>0.536052512652603</v>
      </c>
      <c r="G8072" s="11">
        <f>E8072*Summary!$B$6</f>
        <v/>
      </c>
      <c r="H8072" s="11">
        <f>F8072*Summary!$B$7</f>
        <v/>
      </c>
      <c r="I8072" s="11">
        <f>MAX(0,N8072-M8072)</f>
        <v/>
      </c>
      <c r="J8072" s="11">
        <f>MAX(0,M8072-N8072)</f>
        <v/>
      </c>
      <c r="K8072" s="11">
        <f>O8072</f>
        <v/>
      </c>
      <c r="L8072" s="11">
        <f>L8071+IF(K8072&gt;0,K8072*Summary!$B$9,K8072/Summary!$B$9)</f>
        <v/>
      </c>
      <c r="M8072" s="11">
        <f>G8072+H8072</f>
        <v/>
      </c>
      <c r="N8072" s="11">
        <f>Summary!$C$16*Summary!$B$8</f>
        <v/>
      </c>
      <c r="O8072" s="11">
        <f>M8072-N8072</f>
        <v/>
      </c>
    </row>
    <row r="8073">
      <c r="A8073" s="9" t="n">
        <v>45628.29166666666</v>
      </c>
      <c r="B8073" t="n">
        <v>12</v>
      </c>
      <c r="C8073" t="n">
        <v>2</v>
      </c>
      <c r="D8073" t="n">
        <v>7</v>
      </c>
      <c r="E8073" s="10" t="n">
        <v>0</v>
      </c>
      <c r="F8073" s="10" t="n">
        <v>0.5322051197292287</v>
      </c>
      <c r="G8073" s="11">
        <f>E8073*Summary!$B$6</f>
        <v/>
      </c>
      <c r="H8073" s="11">
        <f>F8073*Summary!$B$7</f>
        <v/>
      </c>
      <c r="I8073" s="11">
        <f>MAX(0,N8073-M8073)</f>
        <v/>
      </c>
      <c r="J8073" s="11">
        <f>MAX(0,M8073-N8073)</f>
        <v/>
      </c>
      <c r="K8073" s="11">
        <f>O8073</f>
        <v/>
      </c>
      <c r="L8073" s="11">
        <f>L8072+IF(K8073&gt;0,K8073*Summary!$B$9,K8073/Summary!$B$9)</f>
        <v/>
      </c>
      <c r="M8073" s="11">
        <f>G8073+H8073</f>
        <v/>
      </c>
      <c r="N8073" s="11">
        <f>Summary!$C$16*Summary!$B$8</f>
        <v/>
      </c>
      <c r="O8073" s="11">
        <f>M8073-N8073</f>
        <v/>
      </c>
    </row>
    <row r="8074">
      <c r="A8074" s="9" t="n">
        <v>45628.33333333334</v>
      </c>
      <c r="B8074" t="n">
        <v>12</v>
      </c>
      <c r="C8074" t="n">
        <v>2</v>
      </c>
      <c r="D8074" t="n">
        <v>8</v>
      </c>
      <c r="E8074" s="10" t="n">
        <v>0</v>
      </c>
      <c r="F8074" s="10" t="n">
        <v>0.5248792619710229</v>
      </c>
      <c r="G8074" s="11">
        <f>E8074*Summary!$B$6</f>
        <v/>
      </c>
      <c r="H8074" s="11">
        <f>F8074*Summary!$B$7</f>
        <v/>
      </c>
      <c r="I8074" s="11">
        <f>MAX(0,N8074-M8074)</f>
        <v/>
      </c>
      <c r="J8074" s="11">
        <f>MAX(0,M8074-N8074)</f>
        <v/>
      </c>
      <c r="K8074" s="11">
        <f>O8074</f>
        <v/>
      </c>
      <c r="L8074" s="11">
        <f>L8073+IF(K8074&gt;0,K8074*Summary!$B$9,K8074/Summary!$B$9)</f>
        <v/>
      </c>
      <c r="M8074" s="11">
        <f>G8074+H8074</f>
        <v/>
      </c>
      <c r="N8074" s="11">
        <f>Summary!$C$16*Summary!$B$8</f>
        <v/>
      </c>
      <c r="O8074" s="11">
        <f>M8074-N8074</f>
        <v/>
      </c>
    </row>
    <row r="8075">
      <c r="A8075" s="9" t="n">
        <v>45628.375</v>
      </c>
      <c r="B8075" t="n">
        <v>12</v>
      </c>
      <c r="C8075" t="n">
        <v>2</v>
      </c>
      <c r="D8075" t="n">
        <v>9</v>
      </c>
      <c r="E8075" s="10" t="n">
        <v>0.043743</v>
      </c>
      <c r="F8075" s="10" t="n">
        <v>0.5199777887946693</v>
      </c>
      <c r="G8075" s="11">
        <f>E8075*Summary!$B$6</f>
        <v/>
      </c>
      <c r="H8075" s="11">
        <f>F8075*Summary!$B$7</f>
        <v/>
      </c>
      <c r="I8075" s="11">
        <f>MAX(0,N8075-M8075)</f>
        <v/>
      </c>
      <c r="J8075" s="11">
        <f>MAX(0,M8075-N8075)</f>
        <v/>
      </c>
      <c r="K8075" s="11">
        <f>O8075</f>
        <v/>
      </c>
      <c r="L8075" s="11">
        <f>L8074+IF(K8075&gt;0,K8075*Summary!$B$9,K8075/Summary!$B$9)</f>
        <v/>
      </c>
      <c r="M8075" s="11">
        <f>G8075+H8075</f>
        <v/>
      </c>
      <c r="N8075" s="11">
        <f>Summary!$C$16*Summary!$B$8</f>
        <v/>
      </c>
      <c r="O8075" s="11">
        <f>M8075-N8075</f>
        <v/>
      </c>
    </row>
    <row r="8076">
      <c r="A8076" s="9" t="n">
        <v>45628.41666666666</v>
      </c>
      <c r="B8076" t="n">
        <v>12</v>
      </c>
      <c r="C8076" t="n">
        <v>2</v>
      </c>
      <c r="D8076" t="n">
        <v>10</v>
      </c>
      <c r="E8076" s="10" t="n">
        <v>0.098949</v>
      </c>
      <c r="F8076" s="10" t="n">
        <v>0.5113870347328883</v>
      </c>
      <c r="G8076" s="11">
        <f>E8076*Summary!$B$6</f>
        <v/>
      </c>
      <c r="H8076" s="11">
        <f>F8076*Summary!$B$7</f>
        <v/>
      </c>
      <c r="I8076" s="11">
        <f>MAX(0,N8076-M8076)</f>
        <v/>
      </c>
      <c r="J8076" s="11">
        <f>MAX(0,M8076-N8076)</f>
        <v/>
      </c>
      <c r="K8076" s="11">
        <f>O8076</f>
        <v/>
      </c>
      <c r="L8076" s="11">
        <f>L8075+IF(K8076&gt;0,K8076*Summary!$B$9,K8076/Summary!$B$9)</f>
        <v/>
      </c>
      <c r="M8076" s="11">
        <f>G8076+H8076</f>
        <v/>
      </c>
      <c r="N8076" s="11">
        <f>Summary!$C$16*Summary!$B$8</f>
        <v/>
      </c>
      <c r="O8076" s="11">
        <f>M8076-N8076</f>
        <v/>
      </c>
    </row>
    <row r="8077">
      <c r="A8077" s="9" t="n">
        <v>45628.45833333334</v>
      </c>
      <c r="B8077" t="n">
        <v>12</v>
      </c>
      <c r="C8077" t="n">
        <v>2</v>
      </c>
      <c r="D8077" t="n">
        <v>11</v>
      </c>
      <c r="E8077" s="10" t="n">
        <v>0.124802</v>
      </c>
      <c r="F8077" s="10" t="n">
        <v>0.5142066994096078</v>
      </c>
      <c r="G8077" s="11">
        <f>E8077*Summary!$B$6</f>
        <v/>
      </c>
      <c r="H8077" s="11">
        <f>F8077*Summary!$B$7</f>
        <v/>
      </c>
      <c r="I8077" s="11">
        <f>MAX(0,N8077-M8077)</f>
        <v/>
      </c>
      <c r="J8077" s="11">
        <f>MAX(0,M8077-N8077)</f>
        <v/>
      </c>
      <c r="K8077" s="11">
        <f>O8077</f>
        <v/>
      </c>
      <c r="L8077" s="11">
        <f>L8076+IF(K8077&gt;0,K8077*Summary!$B$9,K8077/Summary!$B$9)</f>
        <v/>
      </c>
      <c r="M8077" s="11">
        <f>G8077+H8077</f>
        <v/>
      </c>
      <c r="N8077" s="11">
        <f>Summary!$C$16*Summary!$B$8</f>
        <v/>
      </c>
      <c r="O8077" s="11">
        <f>M8077-N8077</f>
        <v/>
      </c>
    </row>
    <row r="8078">
      <c r="A8078" s="9" t="n">
        <v>45628.5</v>
      </c>
      <c r="B8078" t="n">
        <v>12</v>
      </c>
      <c r="C8078" t="n">
        <v>2</v>
      </c>
      <c r="D8078" t="n">
        <v>12</v>
      </c>
      <c r="E8078" s="10" t="n">
        <v>0.193955</v>
      </c>
      <c r="F8078" s="10" t="n">
        <v>0.4849296203831088</v>
      </c>
      <c r="G8078" s="11">
        <f>E8078*Summary!$B$6</f>
        <v/>
      </c>
      <c r="H8078" s="11">
        <f>F8078*Summary!$B$7</f>
        <v/>
      </c>
      <c r="I8078" s="11">
        <f>MAX(0,N8078-M8078)</f>
        <v/>
      </c>
      <c r="J8078" s="11">
        <f>MAX(0,M8078-N8078)</f>
        <v/>
      </c>
      <c r="K8078" s="11">
        <f>O8078</f>
        <v/>
      </c>
      <c r="L8078" s="11">
        <f>L8077+IF(K8078&gt;0,K8078*Summary!$B$9,K8078/Summary!$B$9)</f>
        <v/>
      </c>
      <c r="M8078" s="11">
        <f>G8078+H8078</f>
        <v/>
      </c>
      <c r="N8078" s="11">
        <f>Summary!$C$16*Summary!$B$8</f>
        <v/>
      </c>
      <c r="O8078" s="11">
        <f>M8078-N8078</f>
        <v/>
      </c>
    </row>
    <row r="8079">
      <c r="A8079" s="9" t="n">
        <v>45628.54166666666</v>
      </c>
      <c r="B8079" t="n">
        <v>12</v>
      </c>
      <c r="C8079" t="n">
        <v>2</v>
      </c>
      <c r="D8079" t="n">
        <v>13</v>
      </c>
      <c r="E8079" s="10" t="n">
        <v>0.076833</v>
      </c>
      <c r="F8079" s="10" t="n">
        <v>0.4792375870170208</v>
      </c>
      <c r="G8079" s="11">
        <f>E8079*Summary!$B$6</f>
        <v/>
      </c>
      <c r="H8079" s="11">
        <f>F8079*Summary!$B$7</f>
        <v/>
      </c>
      <c r="I8079" s="11">
        <f>MAX(0,N8079-M8079)</f>
        <v/>
      </c>
      <c r="J8079" s="11">
        <f>MAX(0,M8079-N8079)</f>
        <v/>
      </c>
      <c r="K8079" s="11">
        <f>O8079</f>
        <v/>
      </c>
      <c r="L8079" s="11">
        <f>L8078+IF(K8079&gt;0,K8079*Summary!$B$9,K8079/Summary!$B$9)</f>
        <v/>
      </c>
      <c r="M8079" s="11">
        <f>G8079+H8079</f>
        <v/>
      </c>
      <c r="N8079" s="11">
        <f>Summary!$C$16*Summary!$B$8</f>
        <v/>
      </c>
      <c r="O8079" s="11">
        <f>M8079-N8079</f>
        <v/>
      </c>
    </row>
    <row r="8080">
      <c r="A8080" s="9" t="n">
        <v>45628.58333333334</v>
      </c>
      <c r="B8080" t="n">
        <v>12</v>
      </c>
      <c r="C8080" t="n">
        <v>2</v>
      </c>
      <c r="D8080" t="n">
        <v>14</v>
      </c>
      <c r="E8080" s="10" t="n">
        <v>0.029329</v>
      </c>
      <c r="F8080" s="10" t="n">
        <v>0.4796328671118881</v>
      </c>
      <c r="G8080" s="11">
        <f>E8080*Summary!$B$6</f>
        <v/>
      </c>
      <c r="H8080" s="11">
        <f>F8080*Summary!$B$7</f>
        <v/>
      </c>
      <c r="I8080" s="11">
        <f>MAX(0,N8080-M8080)</f>
        <v/>
      </c>
      <c r="J8080" s="11">
        <f>MAX(0,M8080-N8080)</f>
        <v/>
      </c>
      <c r="K8080" s="11">
        <f>O8080</f>
        <v/>
      </c>
      <c r="L8080" s="11">
        <f>L8079+IF(K8080&gt;0,K8080*Summary!$B$9,K8080/Summary!$B$9)</f>
        <v/>
      </c>
      <c r="M8080" s="11">
        <f>G8080+H8080</f>
        <v/>
      </c>
      <c r="N8080" s="11">
        <f>Summary!$C$16*Summary!$B$8</f>
        <v/>
      </c>
      <c r="O8080" s="11">
        <f>M8080-N8080</f>
        <v/>
      </c>
    </row>
    <row r="8081">
      <c r="A8081" s="9" t="n">
        <v>45628.625</v>
      </c>
      <c r="B8081" t="n">
        <v>12</v>
      </c>
      <c r="C8081" t="n">
        <v>2</v>
      </c>
      <c r="D8081" t="n">
        <v>15</v>
      </c>
      <c r="E8081" s="10" t="n">
        <v>0</v>
      </c>
      <c r="F8081" s="10" t="n">
        <v>0.4800281472067554</v>
      </c>
      <c r="G8081" s="11">
        <f>E8081*Summary!$B$6</f>
        <v/>
      </c>
      <c r="H8081" s="11">
        <f>F8081*Summary!$B$7</f>
        <v/>
      </c>
      <c r="I8081" s="11">
        <f>MAX(0,N8081-M8081)</f>
        <v/>
      </c>
      <c r="J8081" s="11">
        <f>MAX(0,M8081-N8081)</f>
        <v/>
      </c>
      <c r="K8081" s="11">
        <f>O8081</f>
        <v/>
      </c>
      <c r="L8081" s="11">
        <f>L8080+IF(K8081&gt;0,K8081*Summary!$B$9,K8081/Summary!$B$9)</f>
        <v/>
      </c>
      <c r="M8081" s="11">
        <f>G8081+H8081</f>
        <v/>
      </c>
      <c r="N8081" s="11">
        <f>Summary!$C$16*Summary!$B$8</f>
        <v/>
      </c>
      <c r="O8081" s="11">
        <f>M8081-N8081</f>
        <v/>
      </c>
    </row>
    <row r="8082">
      <c r="A8082" s="9" t="n">
        <v>45628.66666666666</v>
      </c>
      <c r="B8082" t="n">
        <v>12</v>
      </c>
      <c r="C8082" t="n">
        <v>2</v>
      </c>
      <c r="D8082" t="n">
        <v>16</v>
      </c>
      <c r="E8082" s="10" t="n">
        <v>0</v>
      </c>
      <c r="F8082" s="10" t="n">
        <v>0.4850877324210558</v>
      </c>
      <c r="G8082" s="11">
        <f>E8082*Summary!$B$6</f>
        <v/>
      </c>
      <c r="H8082" s="11">
        <f>F8082*Summary!$B$7</f>
        <v/>
      </c>
      <c r="I8082" s="11">
        <f>MAX(0,N8082-M8082)</f>
        <v/>
      </c>
      <c r="J8082" s="11">
        <f>MAX(0,M8082-N8082)</f>
        <v/>
      </c>
      <c r="K8082" s="11">
        <f>O8082</f>
        <v/>
      </c>
      <c r="L8082" s="11">
        <f>L8081+IF(K8082&gt;0,K8082*Summary!$B$9,K8082/Summary!$B$9)</f>
        <v/>
      </c>
      <c r="M8082" s="11">
        <f>G8082+H8082</f>
        <v/>
      </c>
      <c r="N8082" s="11">
        <f>Summary!$C$16*Summary!$B$8</f>
        <v/>
      </c>
      <c r="O8082" s="11">
        <f>M8082-N8082</f>
        <v/>
      </c>
    </row>
    <row r="8083">
      <c r="A8083" s="9" t="n">
        <v>45628.70833333334</v>
      </c>
      <c r="B8083" t="n">
        <v>12</v>
      </c>
      <c r="C8083" t="n">
        <v>2</v>
      </c>
      <c r="D8083" t="n">
        <v>17</v>
      </c>
      <c r="E8083" s="10" t="n">
        <v>0</v>
      </c>
      <c r="F8083" s="10" t="n">
        <v>0.4830586279340707</v>
      </c>
      <c r="G8083" s="11">
        <f>E8083*Summary!$B$6</f>
        <v/>
      </c>
      <c r="H8083" s="11">
        <f>F8083*Summary!$B$7</f>
        <v/>
      </c>
      <c r="I8083" s="11">
        <f>MAX(0,N8083-M8083)</f>
        <v/>
      </c>
      <c r="J8083" s="11">
        <f>MAX(0,M8083-N8083)</f>
        <v/>
      </c>
      <c r="K8083" s="11">
        <f>O8083</f>
        <v/>
      </c>
      <c r="L8083" s="11">
        <f>L8082+IF(K8083&gt;0,K8083*Summary!$B$9,K8083/Summary!$B$9)</f>
        <v/>
      </c>
      <c r="M8083" s="11">
        <f>G8083+H8083</f>
        <v/>
      </c>
      <c r="N8083" s="11">
        <f>Summary!$C$16*Summary!$B$8</f>
        <v/>
      </c>
      <c r="O8083" s="11">
        <f>M8083-N8083</f>
        <v/>
      </c>
    </row>
    <row r="8084">
      <c r="A8084" s="9" t="n">
        <v>45628.75</v>
      </c>
      <c r="B8084" t="n">
        <v>12</v>
      </c>
      <c r="C8084" t="n">
        <v>2</v>
      </c>
      <c r="D8084" t="n">
        <v>18</v>
      </c>
      <c r="E8084" s="10" t="n">
        <v>0</v>
      </c>
      <c r="F8084" s="10" t="n">
        <v>0.4773402425616582</v>
      </c>
      <c r="G8084" s="11">
        <f>E8084*Summary!$B$6</f>
        <v/>
      </c>
      <c r="H8084" s="11">
        <f>F8084*Summary!$B$7</f>
        <v/>
      </c>
      <c r="I8084" s="11">
        <f>MAX(0,N8084-M8084)</f>
        <v/>
      </c>
      <c r="J8084" s="11">
        <f>MAX(0,M8084-N8084)</f>
        <v/>
      </c>
      <c r="K8084" s="11">
        <f>O8084</f>
        <v/>
      </c>
      <c r="L8084" s="11">
        <f>L8083+IF(K8084&gt;0,K8084*Summary!$B$9,K8084/Summary!$B$9)</f>
        <v/>
      </c>
      <c r="M8084" s="11">
        <f>G8084+H8084</f>
        <v/>
      </c>
      <c r="N8084" s="11">
        <f>Summary!$C$16*Summary!$B$8</f>
        <v/>
      </c>
      <c r="O8084" s="11">
        <f>M8084-N8084</f>
        <v/>
      </c>
    </row>
    <row r="8085">
      <c r="A8085" s="9" t="n">
        <v>45628.79166666666</v>
      </c>
      <c r="B8085" t="n">
        <v>12</v>
      </c>
      <c r="C8085" t="n">
        <v>2</v>
      </c>
      <c r="D8085" t="n">
        <v>19</v>
      </c>
      <c r="E8085" s="10" t="n">
        <v>0</v>
      </c>
      <c r="F8085" s="10" t="n">
        <v>0.4695927527022606</v>
      </c>
      <c r="G8085" s="11">
        <f>E8085*Summary!$B$6</f>
        <v/>
      </c>
      <c r="H8085" s="11">
        <f>F8085*Summary!$B$7</f>
        <v/>
      </c>
      <c r="I8085" s="11">
        <f>MAX(0,N8085-M8085)</f>
        <v/>
      </c>
      <c r="J8085" s="11">
        <f>MAX(0,M8085-N8085)</f>
        <v/>
      </c>
      <c r="K8085" s="11">
        <f>O8085</f>
        <v/>
      </c>
      <c r="L8085" s="11">
        <f>L8084+IF(K8085&gt;0,K8085*Summary!$B$9,K8085/Summary!$B$9)</f>
        <v/>
      </c>
      <c r="M8085" s="11">
        <f>G8085+H8085</f>
        <v/>
      </c>
      <c r="N8085" s="11">
        <f>Summary!$C$16*Summary!$B$8</f>
        <v/>
      </c>
      <c r="O8085" s="11">
        <f>M8085-N8085</f>
        <v/>
      </c>
    </row>
    <row r="8086">
      <c r="A8086" s="9" t="n">
        <v>45628.83333333334</v>
      </c>
      <c r="B8086" t="n">
        <v>12</v>
      </c>
      <c r="C8086" t="n">
        <v>2</v>
      </c>
      <c r="D8086" t="n">
        <v>20</v>
      </c>
      <c r="E8086" s="10" t="n">
        <v>0</v>
      </c>
      <c r="F8086" s="10" t="n">
        <v>0.4622668949440548</v>
      </c>
      <c r="G8086" s="11">
        <f>E8086*Summary!$B$6</f>
        <v/>
      </c>
      <c r="H8086" s="11">
        <f>F8086*Summary!$B$7</f>
        <v/>
      </c>
      <c r="I8086" s="11">
        <f>MAX(0,N8086-M8086)</f>
        <v/>
      </c>
      <c r="J8086" s="11">
        <f>MAX(0,M8086-N8086)</f>
        <v/>
      </c>
      <c r="K8086" s="11">
        <f>O8086</f>
        <v/>
      </c>
      <c r="L8086" s="11">
        <f>L8085+IF(K8086&gt;0,K8086*Summary!$B$9,K8086/Summary!$B$9)</f>
        <v/>
      </c>
      <c r="M8086" s="11">
        <f>G8086+H8086</f>
        <v/>
      </c>
      <c r="N8086" s="11">
        <f>Summary!$C$16*Summary!$B$8</f>
        <v/>
      </c>
      <c r="O8086" s="11">
        <f>M8086-N8086</f>
        <v/>
      </c>
    </row>
    <row r="8087">
      <c r="A8087" s="9" t="n">
        <v>45628.875</v>
      </c>
      <c r="B8087" t="n">
        <v>12</v>
      </c>
      <c r="C8087" t="n">
        <v>2</v>
      </c>
      <c r="D8087" t="n">
        <v>21</v>
      </c>
      <c r="E8087" s="10" t="n">
        <v>0</v>
      </c>
      <c r="F8087" s="10" t="n">
        <v>0.4440313065675136</v>
      </c>
      <c r="G8087" s="11">
        <f>E8087*Summary!$B$6</f>
        <v/>
      </c>
      <c r="H8087" s="11">
        <f>F8087*Summary!$B$7</f>
        <v/>
      </c>
      <c r="I8087" s="11">
        <f>MAX(0,N8087-M8087)</f>
        <v/>
      </c>
      <c r="J8087" s="11">
        <f>MAX(0,M8087-N8087)</f>
        <v/>
      </c>
      <c r="K8087" s="11">
        <f>O8087</f>
        <v/>
      </c>
      <c r="L8087" s="11">
        <f>L8086+IF(K8087&gt;0,K8087*Summary!$B$9,K8087/Summary!$B$9)</f>
        <v/>
      </c>
      <c r="M8087" s="11">
        <f>G8087+H8087</f>
        <v/>
      </c>
      <c r="N8087" s="11">
        <f>Summary!$C$16*Summary!$B$8</f>
        <v/>
      </c>
      <c r="O8087" s="11">
        <f>M8087-N8087</f>
        <v/>
      </c>
    </row>
    <row r="8088">
      <c r="A8088" s="9" t="n">
        <v>45628.91666666666</v>
      </c>
      <c r="B8088" t="n">
        <v>12</v>
      </c>
      <c r="C8088" t="n">
        <v>2</v>
      </c>
      <c r="D8088" t="n">
        <v>22</v>
      </c>
      <c r="E8088" s="10" t="n">
        <v>0</v>
      </c>
      <c r="F8088" s="10" t="n">
        <v>0.4261646462795151</v>
      </c>
      <c r="G8088" s="11">
        <f>E8088*Summary!$B$6</f>
        <v/>
      </c>
      <c r="H8088" s="11">
        <f>F8088*Summary!$B$7</f>
        <v/>
      </c>
      <c r="I8088" s="11">
        <f>MAX(0,N8088-M8088)</f>
        <v/>
      </c>
      <c r="J8088" s="11">
        <f>MAX(0,M8088-N8088)</f>
        <v/>
      </c>
      <c r="K8088" s="11">
        <f>O8088</f>
        <v/>
      </c>
      <c r="L8088" s="11">
        <f>L8087+IF(K8088&gt;0,K8088*Summary!$B$9,K8088/Summary!$B$9)</f>
        <v/>
      </c>
      <c r="M8088" s="11">
        <f>G8088+H8088</f>
        <v/>
      </c>
      <c r="N8088" s="11">
        <f>Summary!$C$16*Summary!$B$8</f>
        <v/>
      </c>
      <c r="O8088" s="11">
        <f>M8088-N8088</f>
        <v/>
      </c>
    </row>
    <row r="8089">
      <c r="A8089" s="9" t="n">
        <v>45628.95833333334</v>
      </c>
      <c r="B8089" t="n">
        <v>12</v>
      </c>
      <c r="C8089" t="n">
        <v>2</v>
      </c>
      <c r="D8089" t="n">
        <v>23</v>
      </c>
      <c r="E8089" s="10" t="n">
        <v>0</v>
      </c>
      <c r="F8089" s="10" t="n">
        <v>0.4074810737954577</v>
      </c>
      <c r="G8089" s="11">
        <f>E8089*Summary!$B$6</f>
        <v/>
      </c>
      <c r="H8089" s="11">
        <f>F8089*Summary!$B$7</f>
        <v/>
      </c>
      <c r="I8089" s="11">
        <f>MAX(0,N8089-M8089)</f>
        <v/>
      </c>
      <c r="J8089" s="11">
        <f>MAX(0,M8089-N8089)</f>
        <v/>
      </c>
      <c r="K8089" s="11">
        <f>O8089</f>
        <v/>
      </c>
      <c r="L8089" s="11">
        <f>L8088+IF(K8089&gt;0,K8089*Summary!$B$9,K8089/Summary!$B$9)</f>
        <v/>
      </c>
      <c r="M8089" s="11">
        <f>G8089+H8089</f>
        <v/>
      </c>
      <c r="N8089" s="11">
        <f>Summary!$C$16*Summary!$B$8</f>
        <v/>
      </c>
      <c r="O8089" s="11">
        <f>M8089-N8089</f>
        <v/>
      </c>
    </row>
    <row r="8090">
      <c r="A8090" s="9" t="n">
        <v>45629</v>
      </c>
      <c r="B8090" t="n">
        <v>12</v>
      </c>
      <c r="C8090" t="n">
        <v>3</v>
      </c>
      <c r="D8090" t="n">
        <v>0</v>
      </c>
      <c r="E8090" s="10" t="n">
        <v>0</v>
      </c>
      <c r="F8090" s="10" t="n">
        <v>0.2615436627704791</v>
      </c>
      <c r="G8090" s="11">
        <f>E8090*Summary!$B$6</f>
        <v/>
      </c>
      <c r="H8090" s="11">
        <f>F8090*Summary!$B$7</f>
        <v/>
      </c>
      <c r="I8090" s="11">
        <f>MAX(0,N8090-M8090)</f>
        <v/>
      </c>
      <c r="J8090" s="11">
        <f>MAX(0,M8090-N8090)</f>
        <v/>
      </c>
      <c r="K8090" s="11">
        <f>O8090</f>
        <v/>
      </c>
      <c r="L8090" s="11">
        <f>L8089+IF(K8090&gt;0,K8090*Summary!$B$9,K8090/Summary!$B$9)</f>
        <v/>
      </c>
      <c r="M8090" s="11">
        <f>G8090+H8090</f>
        <v/>
      </c>
      <c r="N8090" s="11">
        <f>Summary!$C$16*Summary!$B$8</f>
        <v/>
      </c>
      <c r="O8090" s="11">
        <f>M8090-N8090</f>
        <v/>
      </c>
    </row>
    <row r="8091">
      <c r="A8091" s="9" t="n">
        <v>45629.04166666666</v>
      </c>
      <c r="B8091" t="n">
        <v>12</v>
      </c>
      <c r="C8091" t="n">
        <v>3</v>
      </c>
      <c r="D8091" t="n">
        <v>1</v>
      </c>
      <c r="E8091" s="10" t="n">
        <v>0</v>
      </c>
      <c r="F8091" s="10" t="n">
        <v>0.3887184452924269</v>
      </c>
      <c r="G8091" s="11">
        <f>E8091*Summary!$B$6</f>
        <v/>
      </c>
      <c r="H8091" s="11">
        <f>F8091*Summary!$B$7</f>
        <v/>
      </c>
      <c r="I8091" s="11">
        <f>MAX(0,N8091-M8091)</f>
        <v/>
      </c>
      <c r="J8091" s="11">
        <f>MAX(0,M8091-N8091)</f>
        <v/>
      </c>
      <c r="K8091" s="11">
        <f>O8091</f>
        <v/>
      </c>
      <c r="L8091" s="11">
        <f>L8090+IF(K8091&gt;0,K8091*Summary!$B$9,K8091/Summary!$B$9)</f>
        <v/>
      </c>
      <c r="M8091" s="11">
        <f>G8091+H8091</f>
        <v/>
      </c>
      <c r="N8091" s="11">
        <f>Summary!$C$16*Summary!$B$8</f>
        <v/>
      </c>
      <c r="O8091" s="11">
        <f>M8091-N8091</f>
        <v/>
      </c>
    </row>
    <row r="8092">
      <c r="A8092" s="9" t="n">
        <v>45629.08333333334</v>
      </c>
      <c r="B8092" t="n">
        <v>12</v>
      </c>
      <c r="C8092" t="n">
        <v>3</v>
      </c>
      <c r="D8092" t="n">
        <v>2</v>
      </c>
      <c r="E8092" s="10" t="n">
        <v>0</v>
      </c>
      <c r="F8092" s="10" t="n">
        <v>0.3704301529032367</v>
      </c>
      <c r="G8092" s="11">
        <f>E8092*Summary!$B$6</f>
        <v/>
      </c>
      <c r="H8092" s="11">
        <f>F8092*Summary!$B$7</f>
        <v/>
      </c>
      <c r="I8092" s="11">
        <f>MAX(0,N8092-M8092)</f>
        <v/>
      </c>
      <c r="J8092" s="11">
        <f>MAX(0,M8092-N8092)</f>
        <v/>
      </c>
      <c r="K8092" s="11">
        <f>O8092</f>
        <v/>
      </c>
      <c r="L8092" s="11">
        <f>L8091+IF(K8092&gt;0,K8092*Summary!$B$9,K8092/Summary!$B$9)</f>
        <v/>
      </c>
      <c r="M8092" s="11">
        <f>G8092+H8092</f>
        <v/>
      </c>
      <c r="N8092" s="11">
        <f>Summary!$C$16*Summary!$B$8</f>
        <v/>
      </c>
      <c r="O8092" s="11">
        <f>M8092-N8092</f>
        <v/>
      </c>
    </row>
    <row r="8093">
      <c r="A8093" s="9" t="n">
        <v>45629.125</v>
      </c>
      <c r="B8093" t="n">
        <v>12</v>
      </c>
      <c r="C8093" t="n">
        <v>3</v>
      </c>
      <c r="D8093" t="n">
        <v>3</v>
      </c>
      <c r="E8093" s="10" t="n">
        <v>0</v>
      </c>
      <c r="F8093" s="10" t="n">
        <v>0.3538810929314622</v>
      </c>
      <c r="G8093" s="11">
        <f>E8093*Summary!$B$6</f>
        <v/>
      </c>
      <c r="H8093" s="11">
        <f>F8093*Summary!$B$7</f>
        <v/>
      </c>
      <c r="I8093" s="11">
        <f>MAX(0,N8093-M8093)</f>
        <v/>
      </c>
      <c r="J8093" s="11">
        <f>MAX(0,M8093-N8093)</f>
        <v/>
      </c>
      <c r="K8093" s="11">
        <f>O8093</f>
        <v/>
      </c>
      <c r="L8093" s="11">
        <f>L8092+IF(K8093&gt;0,K8093*Summary!$B$9,K8093/Summary!$B$9)</f>
        <v/>
      </c>
      <c r="M8093" s="11">
        <f>G8093+H8093</f>
        <v/>
      </c>
      <c r="N8093" s="11">
        <f>Summary!$C$16*Summary!$B$8</f>
        <v/>
      </c>
      <c r="O8093" s="11">
        <f>M8093-N8093</f>
        <v/>
      </c>
    </row>
    <row r="8094">
      <c r="A8094" s="9" t="n">
        <v>45629.16666666666</v>
      </c>
      <c r="B8094" t="n">
        <v>12</v>
      </c>
      <c r="C8094" t="n">
        <v>3</v>
      </c>
      <c r="D8094" t="n">
        <v>4</v>
      </c>
      <c r="E8094" s="10" t="n">
        <v>0</v>
      </c>
      <c r="F8094" s="10" t="n">
        <v>0.3385969292632631</v>
      </c>
      <c r="G8094" s="11">
        <f>E8094*Summary!$B$6</f>
        <v/>
      </c>
      <c r="H8094" s="11">
        <f>F8094*Summary!$B$7</f>
        <v/>
      </c>
      <c r="I8094" s="11">
        <f>MAX(0,N8094-M8094)</f>
        <v/>
      </c>
      <c r="J8094" s="11">
        <f>MAX(0,M8094-N8094)</f>
        <v/>
      </c>
      <c r="K8094" s="11">
        <f>O8094</f>
        <v/>
      </c>
      <c r="L8094" s="11">
        <f>L8093+IF(K8094&gt;0,K8094*Summary!$B$9,K8094/Summary!$B$9)</f>
        <v/>
      </c>
      <c r="M8094" s="11">
        <f>G8094+H8094</f>
        <v/>
      </c>
      <c r="N8094" s="11">
        <f>Summary!$C$16*Summary!$B$8</f>
        <v/>
      </c>
      <c r="O8094" s="11">
        <f>M8094-N8094</f>
        <v/>
      </c>
    </row>
    <row r="8095">
      <c r="A8095" s="9" t="n">
        <v>45629.20833333334</v>
      </c>
      <c r="B8095" t="n">
        <v>12</v>
      </c>
      <c r="C8095" t="n">
        <v>3</v>
      </c>
      <c r="D8095" t="n">
        <v>5</v>
      </c>
      <c r="E8095" s="10" t="n">
        <v>0</v>
      </c>
      <c r="F8095" s="10" t="n">
        <v>0.3291102069864497</v>
      </c>
      <c r="G8095" s="11">
        <f>E8095*Summary!$B$6</f>
        <v/>
      </c>
      <c r="H8095" s="11">
        <f>F8095*Summary!$B$7</f>
        <v/>
      </c>
      <c r="I8095" s="11">
        <f>MAX(0,N8095-M8095)</f>
        <v/>
      </c>
      <c r="J8095" s="11">
        <f>MAX(0,M8095-N8095)</f>
        <v/>
      </c>
      <c r="K8095" s="11">
        <f>O8095</f>
        <v/>
      </c>
      <c r="L8095" s="11">
        <f>L8094+IF(K8095&gt;0,K8095*Summary!$B$9,K8095/Summary!$B$9)</f>
        <v/>
      </c>
      <c r="M8095" s="11">
        <f>G8095+H8095</f>
        <v/>
      </c>
      <c r="N8095" s="11">
        <f>Summary!$C$16*Summary!$B$8</f>
        <v/>
      </c>
      <c r="O8095" s="11">
        <f>M8095-N8095</f>
        <v/>
      </c>
    </row>
    <row r="8096">
      <c r="A8096" s="9" t="n">
        <v>45629.25</v>
      </c>
      <c r="B8096" t="n">
        <v>12</v>
      </c>
      <c r="C8096" t="n">
        <v>3</v>
      </c>
      <c r="D8096" t="n">
        <v>6</v>
      </c>
      <c r="E8096" s="10" t="n">
        <v>0</v>
      </c>
      <c r="F8096" s="10" t="n">
        <v>0.3166193559886454</v>
      </c>
      <c r="G8096" s="11">
        <f>E8096*Summary!$B$6</f>
        <v/>
      </c>
      <c r="H8096" s="11">
        <f>F8096*Summary!$B$7</f>
        <v/>
      </c>
      <c r="I8096" s="11">
        <f>MAX(0,N8096-M8096)</f>
        <v/>
      </c>
      <c r="J8096" s="11">
        <f>MAX(0,M8096-N8096)</f>
        <v/>
      </c>
      <c r="K8096" s="11">
        <f>O8096</f>
        <v/>
      </c>
      <c r="L8096" s="11">
        <f>L8095+IF(K8096&gt;0,K8096*Summary!$B$9,K8096/Summary!$B$9)</f>
        <v/>
      </c>
      <c r="M8096" s="11">
        <f>G8096+H8096</f>
        <v/>
      </c>
      <c r="N8096" s="11">
        <f>Summary!$C$16*Summary!$B$8</f>
        <v/>
      </c>
      <c r="O8096" s="11">
        <f>M8096-N8096</f>
        <v/>
      </c>
    </row>
    <row r="8097">
      <c r="A8097" s="9" t="n">
        <v>45629.29166666666</v>
      </c>
      <c r="B8097" t="n">
        <v>12</v>
      </c>
      <c r="C8097" t="n">
        <v>3</v>
      </c>
      <c r="D8097" t="n">
        <v>7</v>
      </c>
      <c r="E8097" s="10" t="n">
        <v>0</v>
      </c>
      <c r="F8097" s="10" t="n">
        <v>0.3073434497624279</v>
      </c>
      <c r="G8097" s="11">
        <f>E8097*Summary!$B$6</f>
        <v/>
      </c>
      <c r="H8097" s="11">
        <f>F8097*Summary!$B$7</f>
        <v/>
      </c>
      <c r="I8097" s="11">
        <f>MAX(0,N8097-M8097)</f>
        <v/>
      </c>
      <c r="J8097" s="11">
        <f>MAX(0,M8097-N8097)</f>
        <v/>
      </c>
      <c r="K8097" s="11">
        <f>O8097</f>
        <v/>
      </c>
      <c r="L8097" s="11">
        <f>L8096+IF(K8097&gt;0,K8097*Summary!$B$9,K8097/Summary!$B$9)</f>
        <v/>
      </c>
      <c r="M8097" s="11">
        <f>G8097+H8097</f>
        <v/>
      </c>
      <c r="N8097" s="11">
        <f>Summary!$C$16*Summary!$B$8</f>
        <v/>
      </c>
      <c r="O8097" s="11">
        <f>M8097-N8097</f>
        <v/>
      </c>
    </row>
    <row r="8098">
      <c r="A8098" s="9" t="n">
        <v>45629.33333333334</v>
      </c>
      <c r="B8098" t="n">
        <v>12</v>
      </c>
      <c r="C8098" t="n">
        <v>3</v>
      </c>
      <c r="D8098" t="n">
        <v>8</v>
      </c>
      <c r="E8098" s="10" t="n">
        <v>0</v>
      </c>
      <c r="F8098" s="10" t="n">
        <v>0.2847334283360228</v>
      </c>
      <c r="G8098" s="11">
        <f>E8098*Summary!$B$6</f>
        <v/>
      </c>
      <c r="H8098" s="11">
        <f>F8098*Summary!$B$7</f>
        <v/>
      </c>
      <c r="I8098" s="11">
        <f>MAX(0,N8098-M8098)</f>
        <v/>
      </c>
      <c r="J8098" s="11">
        <f>MAX(0,M8098-N8098)</f>
        <v/>
      </c>
      <c r="K8098" s="11">
        <f>O8098</f>
        <v/>
      </c>
      <c r="L8098" s="11">
        <f>L8097+IF(K8098&gt;0,K8098*Summary!$B$9,K8098/Summary!$B$9)</f>
        <v/>
      </c>
      <c r="M8098" s="11">
        <f>G8098+H8098</f>
        <v/>
      </c>
      <c r="N8098" s="11">
        <f>Summary!$C$16*Summary!$B$8</f>
        <v/>
      </c>
      <c r="O8098" s="11">
        <f>M8098-N8098</f>
        <v/>
      </c>
    </row>
    <row r="8099">
      <c r="A8099" s="9" t="n">
        <v>45629.375</v>
      </c>
      <c r="B8099" t="n">
        <v>12</v>
      </c>
      <c r="C8099" t="n">
        <v>3</v>
      </c>
      <c r="D8099" t="n">
        <v>9</v>
      </c>
      <c r="E8099" s="10" t="n">
        <v>0.005316</v>
      </c>
      <c r="F8099" s="10" t="n">
        <v>0.2890288053669133</v>
      </c>
      <c r="G8099" s="11">
        <f>E8099*Summary!$B$6</f>
        <v/>
      </c>
      <c r="H8099" s="11">
        <f>F8099*Summary!$B$7</f>
        <v/>
      </c>
      <c r="I8099" s="11">
        <f>MAX(0,N8099-M8099)</f>
        <v/>
      </c>
      <c r="J8099" s="11">
        <f>MAX(0,M8099-N8099)</f>
        <v/>
      </c>
      <c r="K8099" s="11">
        <f>O8099</f>
        <v/>
      </c>
      <c r="L8099" s="11">
        <f>L8098+IF(K8099&gt;0,K8099*Summary!$B$9,K8099/Summary!$B$9)</f>
        <v/>
      </c>
      <c r="M8099" s="11">
        <f>G8099+H8099</f>
        <v/>
      </c>
      <c r="N8099" s="11">
        <f>Summary!$C$16*Summary!$B$8</f>
        <v/>
      </c>
      <c r="O8099" s="11">
        <f>M8099-N8099</f>
        <v/>
      </c>
    </row>
    <row r="8100">
      <c r="A8100" s="9" t="n">
        <v>45629.41666666666</v>
      </c>
      <c r="B8100" t="n">
        <v>12</v>
      </c>
      <c r="C8100" t="n">
        <v>3</v>
      </c>
      <c r="D8100" t="n">
        <v>10</v>
      </c>
      <c r="E8100" s="10" t="n">
        <v>0.018089</v>
      </c>
      <c r="F8100" s="10" t="n">
        <v>0.2755629301351032</v>
      </c>
      <c r="G8100" s="11">
        <f>E8100*Summary!$B$6</f>
        <v/>
      </c>
      <c r="H8100" s="11">
        <f>F8100*Summary!$B$7</f>
        <v/>
      </c>
      <c r="I8100" s="11">
        <f>MAX(0,N8100-M8100)</f>
        <v/>
      </c>
      <c r="J8100" s="11">
        <f>MAX(0,M8100-N8100)</f>
        <v/>
      </c>
      <c r="K8100" s="11">
        <f>O8100</f>
        <v/>
      </c>
      <c r="L8100" s="11">
        <f>L8099+IF(K8100&gt;0,K8100*Summary!$B$9,K8100/Summary!$B$9)</f>
        <v/>
      </c>
      <c r="M8100" s="11">
        <f>G8100+H8100</f>
        <v/>
      </c>
      <c r="N8100" s="11">
        <f>Summary!$C$16*Summary!$B$8</f>
        <v/>
      </c>
      <c r="O8100" s="11">
        <f>M8100-N8100</f>
        <v/>
      </c>
    </row>
    <row r="8101">
      <c r="A8101" s="9" t="n">
        <v>45629.45833333334</v>
      </c>
      <c r="B8101" t="n">
        <v>12</v>
      </c>
      <c r="C8101" t="n">
        <v>3</v>
      </c>
      <c r="D8101" t="n">
        <v>11</v>
      </c>
      <c r="E8101" s="10" t="n">
        <v>0.019298</v>
      </c>
      <c r="F8101" s="10" t="n">
        <v>0.2765116023627845</v>
      </c>
      <c r="G8101" s="11">
        <f>E8101*Summary!$B$6</f>
        <v/>
      </c>
      <c r="H8101" s="11">
        <f>F8101*Summary!$B$7</f>
        <v/>
      </c>
      <c r="I8101" s="11">
        <f>MAX(0,N8101-M8101)</f>
        <v/>
      </c>
      <c r="J8101" s="11">
        <f>MAX(0,M8101-N8101)</f>
        <v/>
      </c>
      <c r="K8101" s="11">
        <f>O8101</f>
        <v/>
      </c>
      <c r="L8101" s="11">
        <f>L8100+IF(K8101&gt;0,K8101*Summary!$B$9,K8101/Summary!$B$9)</f>
        <v/>
      </c>
      <c r="M8101" s="11">
        <f>G8101+H8101</f>
        <v/>
      </c>
      <c r="N8101" s="11">
        <f>Summary!$C$16*Summary!$B$8</f>
        <v/>
      </c>
      <c r="O8101" s="11">
        <f>M8101-N8101</f>
        <v/>
      </c>
    </row>
    <row r="8102">
      <c r="A8102" s="9" t="n">
        <v>45629.5</v>
      </c>
      <c r="B8102" t="n">
        <v>12</v>
      </c>
      <c r="C8102" t="n">
        <v>3</v>
      </c>
      <c r="D8102" t="n">
        <v>12</v>
      </c>
      <c r="E8102" s="10" t="n">
        <v>0.011358</v>
      </c>
      <c r="F8102" s="10" t="n">
        <v>0.2471291153109877</v>
      </c>
      <c r="G8102" s="11">
        <f>E8102*Summary!$B$6</f>
        <v/>
      </c>
      <c r="H8102" s="11">
        <f>F8102*Summary!$B$7</f>
        <v/>
      </c>
      <c r="I8102" s="11">
        <f>MAX(0,N8102-M8102)</f>
        <v/>
      </c>
      <c r="J8102" s="11">
        <f>MAX(0,M8102-N8102)</f>
        <v/>
      </c>
      <c r="K8102" s="11">
        <f>O8102</f>
        <v/>
      </c>
      <c r="L8102" s="11">
        <f>L8101+IF(K8102&gt;0,K8102*Summary!$B$9,K8102/Summary!$B$9)</f>
        <v/>
      </c>
      <c r="M8102" s="11">
        <f>G8102+H8102</f>
        <v/>
      </c>
      <c r="N8102" s="11">
        <f>Summary!$C$16*Summary!$B$8</f>
        <v/>
      </c>
      <c r="O8102" s="11">
        <f>M8102-N8102</f>
        <v/>
      </c>
    </row>
    <row r="8103">
      <c r="A8103" s="9" t="n">
        <v>45629.54166666666</v>
      </c>
      <c r="B8103" t="n">
        <v>12</v>
      </c>
      <c r="C8103" t="n">
        <v>3</v>
      </c>
      <c r="D8103" t="n">
        <v>13</v>
      </c>
      <c r="E8103" s="10" t="n">
        <v>0.007287</v>
      </c>
      <c r="F8103" s="10" t="n">
        <v>0.240303945672947</v>
      </c>
      <c r="G8103" s="11">
        <f>E8103*Summary!$B$6</f>
        <v/>
      </c>
      <c r="H8103" s="11">
        <f>F8103*Summary!$B$7</f>
        <v/>
      </c>
      <c r="I8103" s="11">
        <f>MAX(0,N8103-M8103)</f>
        <v/>
      </c>
      <c r="J8103" s="11">
        <f>MAX(0,M8103-N8103)</f>
        <v/>
      </c>
      <c r="K8103" s="11">
        <f>O8103</f>
        <v/>
      </c>
      <c r="L8103" s="11">
        <f>L8102+IF(K8103&gt;0,K8103*Summary!$B$9,K8103/Summary!$B$9)</f>
        <v/>
      </c>
      <c r="M8103" s="11">
        <f>G8103+H8103</f>
        <v/>
      </c>
      <c r="N8103" s="11">
        <f>Summary!$C$16*Summary!$B$8</f>
        <v/>
      </c>
      <c r="O8103" s="11">
        <f>M8103-N8103</f>
        <v/>
      </c>
    </row>
    <row r="8104">
      <c r="A8104" s="9" t="n">
        <v>45629.58333333334</v>
      </c>
      <c r="B8104" t="n">
        <v>12</v>
      </c>
      <c r="C8104" t="n">
        <v>3</v>
      </c>
      <c r="D8104" t="n">
        <v>14</v>
      </c>
      <c r="E8104" s="10" t="n">
        <v>0.004356</v>
      </c>
      <c r="F8104" s="10" t="n">
        <v>0.2372734649456316</v>
      </c>
      <c r="G8104" s="11">
        <f>E8104*Summary!$B$6</f>
        <v/>
      </c>
      <c r="H8104" s="11">
        <f>F8104*Summary!$B$7</f>
        <v/>
      </c>
      <c r="I8104" s="11">
        <f>MAX(0,N8104-M8104)</f>
        <v/>
      </c>
      <c r="J8104" s="11">
        <f>MAX(0,M8104-N8104)</f>
        <v/>
      </c>
      <c r="K8104" s="11">
        <f>O8104</f>
        <v/>
      </c>
      <c r="L8104" s="11">
        <f>L8103+IF(K8104&gt;0,K8104*Summary!$B$9,K8104/Summary!$B$9)</f>
        <v/>
      </c>
      <c r="M8104" s="11">
        <f>G8104+H8104</f>
        <v/>
      </c>
      <c r="N8104" s="11">
        <f>Summary!$C$16*Summary!$B$8</f>
        <v/>
      </c>
      <c r="O8104" s="11">
        <f>M8104-N8104</f>
        <v/>
      </c>
    </row>
    <row r="8105">
      <c r="A8105" s="9" t="n">
        <v>45629.625</v>
      </c>
      <c r="B8105" t="n">
        <v>12</v>
      </c>
      <c r="C8105" t="n">
        <v>3</v>
      </c>
      <c r="D8105" t="n">
        <v>15</v>
      </c>
      <c r="E8105" s="10" t="n">
        <v>0</v>
      </c>
      <c r="F8105" s="10" t="n">
        <v>0.2395133854832125</v>
      </c>
      <c r="G8105" s="11">
        <f>E8105*Summary!$B$6</f>
        <v/>
      </c>
      <c r="H8105" s="11">
        <f>F8105*Summary!$B$7</f>
        <v/>
      </c>
      <c r="I8105" s="11">
        <f>MAX(0,N8105-M8105)</f>
        <v/>
      </c>
      <c r="J8105" s="11">
        <f>MAX(0,M8105-N8105)</f>
        <v/>
      </c>
      <c r="K8105" s="11">
        <f>O8105</f>
        <v/>
      </c>
      <c r="L8105" s="11">
        <f>L8104+IF(K8105&gt;0,K8105*Summary!$B$9,K8105/Summary!$B$9)</f>
        <v/>
      </c>
      <c r="M8105" s="11">
        <f>G8105+H8105</f>
        <v/>
      </c>
      <c r="N8105" s="11">
        <f>Summary!$C$16*Summary!$B$8</f>
        <v/>
      </c>
      <c r="O8105" s="11">
        <f>M8105-N8105</f>
        <v/>
      </c>
    </row>
    <row r="8106">
      <c r="A8106" s="9" t="n">
        <v>45629.66666666666</v>
      </c>
      <c r="B8106" t="n">
        <v>12</v>
      </c>
      <c r="C8106" t="n">
        <v>3</v>
      </c>
      <c r="D8106" t="n">
        <v>16</v>
      </c>
      <c r="E8106" s="10" t="n">
        <v>0</v>
      </c>
      <c r="F8106" s="10" t="n">
        <v>0.2433871304129113</v>
      </c>
      <c r="G8106" s="11">
        <f>E8106*Summary!$B$6</f>
        <v/>
      </c>
      <c r="H8106" s="11">
        <f>F8106*Summary!$B$7</f>
        <v/>
      </c>
      <c r="I8106" s="11">
        <f>MAX(0,N8106-M8106)</f>
        <v/>
      </c>
      <c r="J8106" s="11">
        <f>MAX(0,M8106-N8106)</f>
        <v/>
      </c>
      <c r="K8106" s="11">
        <f>O8106</f>
        <v/>
      </c>
      <c r="L8106" s="11">
        <f>L8105+IF(K8106&gt;0,K8106*Summary!$B$9,K8106/Summary!$B$9)</f>
        <v/>
      </c>
      <c r="M8106" s="11">
        <f>G8106+H8106</f>
        <v/>
      </c>
      <c r="N8106" s="11">
        <f>Summary!$C$16*Summary!$B$8</f>
        <v/>
      </c>
      <c r="O8106" s="11">
        <f>M8106-N8106</f>
        <v/>
      </c>
    </row>
    <row r="8107">
      <c r="A8107" s="9" t="n">
        <v>45629.70833333334</v>
      </c>
      <c r="B8107" t="n">
        <v>12</v>
      </c>
      <c r="C8107" t="n">
        <v>3</v>
      </c>
      <c r="D8107" t="n">
        <v>17</v>
      </c>
      <c r="E8107" s="10" t="n">
        <v>0</v>
      </c>
      <c r="F8107" s="10" t="n">
        <v>0.244572970697513</v>
      </c>
      <c r="G8107" s="11">
        <f>E8107*Summary!$B$6</f>
        <v/>
      </c>
      <c r="H8107" s="11">
        <f>F8107*Summary!$B$7</f>
        <v/>
      </c>
      <c r="I8107" s="11">
        <f>MAX(0,N8107-M8107)</f>
        <v/>
      </c>
      <c r="J8107" s="11">
        <f>MAX(0,M8107-N8107)</f>
        <v/>
      </c>
      <c r="K8107" s="11">
        <f>O8107</f>
        <v/>
      </c>
      <c r="L8107" s="11">
        <f>L8106+IF(K8107&gt;0,K8107*Summary!$B$9,K8107/Summary!$B$9)</f>
        <v/>
      </c>
      <c r="M8107" s="11">
        <f>G8107+H8107</f>
        <v/>
      </c>
      <c r="N8107" s="11">
        <f>Summary!$C$16*Summary!$B$8</f>
        <v/>
      </c>
      <c r="O8107" s="11">
        <f>M8107-N8107</f>
        <v/>
      </c>
    </row>
    <row r="8108">
      <c r="A8108" s="9" t="n">
        <v>45629.75</v>
      </c>
      <c r="B8108" t="n">
        <v>12</v>
      </c>
      <c r="C8108" t="n">
        <v>3</v>
      </c>
      <c r="D8108" t="n">
        <v>18</v>
      </c>
      <c r="E8108" s="10" t="n">
        <v>0</v>
      </c>
      <c r="F8108" s="10" t="n">
        <v>0.2436242984698316</v>
      </c>
      <c r="G8108" s="11">
        <f>E8108*Summary!$B$6</f>
        <v/>
      </c>
      <c r="H8108" s="11">
        <f>F8108*Summary!$B$7</f>
        <v/>
      </c>
      <c r="I8108" s="11">
        <f>MAX(0,N8108-M8108)</f>
        <v/>
      </c>
      <c r="J8108" s="11">
        <f>MAX(0,M8108-N8108)</f>
        <v/>
      </c>
      <c r="K8108" s="11">
        <f>O8108</f>
        <v/>
      </c>
      <c r="L8108" s="11">
        <f>L8107+IF(K8108&gt;0,K8108*Summary!$B$9,K8108/Summary!$B$9)</f>
        <v/>
      </c>
      <c r="M8108" s="11">
        <f>G8108+H8108</f>
        <v/>
      </c>
      <c r="N8108" s="11">
        <f>Summary!$C$16*Summary!$B$8</f>
        <v/>
      </c>
      <c r="O8108" s="11">
        <f>M8108-N8108</f>
        <v/>
      </c>
    </row>
    <row r="8109">
      <c r="A8109" s="9" t="n">
        <v>45629.79166666666</v>
      </c>
      <c r="B8109" t="n">
        <v>12</v>
      </c>
      <c r="C8109" t="n">
        <v>3</v>
      </c>
      <c r="D8109" t="n">
        <v>19</v>
      </c>
      <c r="E8109" s="10" t="n">
        <v>0</v>
      </c>
      <c r="F8109" s="10" t="n">
        <v>0.2418323620397669</v>
      </c>
      <c r="G8109" s="11">
        <f>E8109*Summary!$B$6</f>
        <v/>
      </c>
      <c r="H8109" s="11">
        <f>F8109*Summary!$B$7</f>
        <v/>
      </c>
      <c r="I8109" s="11">
        <f>MAX(0,N8109-M8109)</f>
        <v/>
      </c>
      <c r="J8109" s="11">
        <f>MAX(0,M8109-N8109)</f>
        <v/>
      </c>
      <c r="K8109" s="11">
        <f>O8109</f>
        <v/>
      </c>
      <c r="L8109" s="11">
        <f>L8108+IF(K8109&gt;0,K8109*Summary!$B$9,K8109/Summary!$B$9)</f>
        <v/>
      </c>
      <c r="M8109" s="11">
        <f>G8109+H8109</f>
        <v/>
      </c>
      <c r="N8109" s="11">
        <f>Summary!$C$16*Summary!$B$8</f>
        <v/>
      </c>
      <c r="O8109" s="11">
        <f>M8109-N8109</f>
        <v/>
      </c>
    </row>
    <row r="8110">
      <c r="A8110" s="9" t="n">
        <v>45629.83333333334</v>
      </c>
      <c r="B8110" t="n">
        <v>12</v>
      </c>
      <c r="C8110" t="n">
        <v>3</v>
      </c>
      <c r="D8110" t="n">
        <v>20</v>
      </c>
      <c r="E8110" s="10" t="n">
        <v>0</v>
      </c>
      <c r="F8110" s="10" t="n">
        <v>0.2391708094009943</v>
      </c>
      <c r="G8110" s="11">
        <f>E8110*Summary!$B$6</f>
        <v/>
      </c>
      <c r="H8110" s="11">
        <f>F8110*Summary!$B$7</f>
        <v/>
      </c>
      <c r="I8110" s="11">
        <f>MAX(0,N8110-M8110)</f>
        <v/>
      </c>
      <c r="J8110" s="11">
        <f>MAX(0,M8110-N8110)</f>
        <v/>
      </c>
      <c r="K8110" s="11">
        <f>O8110</f>
        <v/>
      </c>
      <c r="L8110" s="11">
        <f>L8109+IF(K8110&gt;0,K8110*Summary!$B$9,K8110/Summary!$B$9)</f>
        <v/>
      </c>
      <c r="M8110" s="11">
        <f>G8110+H8110</f>
        <v/>
      </c>
      <c r="N8110" s="11">
        <f>Summary!$C$16*Summary!$B$8</f>
        <v/>
      </c>
      <c r="O8110" s="11">
        <f>M8110-N8110</f>
        <v/>
      </c>
    </row>
    <row r="8111">
      <c r="A8111" s="9" t="n">
        <v>45629.875</v>
      </c>
      <c r="B8111" t="n">
        <v>12</v>
      </c>
      <c r="C8111" t="n">
        <v>3</v>
      </c>
      <c r="D8111" t="n">
        <v>21</v>
      </c>
      <c r="E8111" s="10" t="n">
        <v>0</v>
      </c>
      <c r="F8111" s="10" t="n">
        <v>0.2408309857994366</v>
      </c>
      <c r="G8111" s="11">
        <f>E8111*Summary!$B$6</f>
        <v/>
      </c>
      <c r="H8111" s="11">
        <f>F8111*Summary!$B$7</f>
        <v/>
      </c>
      <c r="I8111" s="11">
        <f>MAX(0,N8111-M8111)</f>
        <v/>
      </c>
      <c r="J8111" s="11">
        <f>MAX(0,M8111-N8111)</f>
        <v/>
      </c>
      <c r="K8111" s="11">
        <f>O8111</f>
        <v/>
      </c>
      <c r="L8111" s="11">
        <f>L8110+IF(K8111&gt;0,K8111*Summary!$B$9,K8111/Summary!$B$9)</f>
        <v/>
      </c>
      <c r="M8111" s="11">
        <f>G8111+H8111</f>
        <v/>
      </c>
      <c r="N8111" s="11">
        <f>Summary!$C$16*Summary!$B$8</f>
        <v/>
      </c>
      <c r="O8111" s="11">
        <f>M8111-N8111</f>
        <v/>
      </c>
    </row>
    <row r="8112">
      <c r="A8112" s="9" t="n">
        <v>45629.91666666666</v>
      </c>
      <c r="B8112" t="n">
        <v>12</v>
      </c>
      <c r="C8112" t="n">
        <v>3</v>
      </c>
      <c r="D8112" t="n">
        <v>22</v>
      </c>
      <c r="E8112" s="10" t="n">
        <v>0</v>
      </c>
      <c r="F8112" s="10" t="n">
        <v>0.246707483209796</v>
      </c>
      <c r="G8112" s="11">
        <f>E8112*Summary!$B$6</f>
        <v/>
      </c>
      <c r="H8112" s="11">
        <f>F8112*Summary!$B$7</f>
        <v/>
      </c>
      <c r="I8112" s="11">
        <f>MAX(0,N8112-M8112)</f>
        <v/>
      </c>
      <c r="J8112" s="11">
        <f>MAX(0,M8112-N8112)</f>
        <v/>
      </c>
      <c r="K8112" s="11">
        <f>O8112</f>
        <v/>
      </c>
      <c r="L8112" s="11">
        <f>L8111+IF(K8112&gt;0,K8112*Summary!$B$9,K8112/Summary!$B$9)</f>
        <v/>
      </c>
      <c r="M8112" s="11">
        <f>G8112+H8112</f>
        <v/>
      </c>
      <c r="N8112" s="11">
        <f>Summary!$C$16*Summary!$B$8</f>
        <v/>
      </c>
      <c r="O8112" s="11">
        <f>M8112-N8112</f>
        <v/>
      </c>
    </row>
    <row r="8113">
      <c r="A8113" s="9" t="n">
        <v>45629.95833333334</v>
      </c>
      <c r="B8113" t="n">
        <v>12</v>
      </c>
      <c r="C8113" t="n">
        <v>3</v>
      </c>
      <c r="D8113" t="n">
        <v>23</v>
      </c>
      <c r="E8113" s="10" t="n">
        <v>0</v>
      </c>
      <c r="F8113" s="10" t="n">
        <v>0.2527157406517778</v>
      </c>
      <c r="G8113" s="11">
        <f>E8113*Summary!$B$6</f>
        <v/>
      </c>
      <c r="H8113" s="11">
        <f>F8113*Summary!$B$7</f>
        <v/>
      </c>
      <c r="I8113" s="11">
        <f>MAX(0,N8113-M8113)</f>
        <v/>
      </c>
      <c r="J8113" s="11">
        <f>MAX(0,M8113-N8113)</f>
        <v/>
      </c>
      <c r="K8113" s="11">
        <f>O8113</f>
        <v/>
      </c>
      <c r="L8113" s="11">
        <f>L8112+IF(K8113&gt;0,K8113*Summary!$B$9,K8113/Summary!$B$9)</f>
        <v/>
      </c>
      <c r="M8113" s="11">
        <f>G8113+H8113</f>
        <v/>
      </c>
      <c r="N8113" s="11">
        <f>Summary!$C$16*Summary!$B$8</f>
        <v/>
      </c>
      <c r="O8113" s="11">
        <f>M8113-N8113</f>
        <v/>
      </c>
    </row>
    <row r="8114">
      <c r="A8114" s="9" t="n">
        <v>45630</v>
      </c>
      <c r="B8114" t="n">
        <v>12</v>
      </c>
      <c r="C8114" t="n">
        <v>4</v>
      </c>
      <c r="D8114" t="n">
        <v>0</v>
      </c>
      <c r="E8114" s="10" t="n">
        <v>0</v>
      </c>
      <c r="F8114" s="10" t="n">
        <v>0.3825520758124982</v>
      </c>
      <c r="G8114" s="11">
        <f>E8114*Summary!$B$6</f>
        <v/>
      </c>
      <c r="H8114" s="11">
        <f>F8114*Summary!$B$7</f>
        <v/>
      </c>
      <c r="I8114" s="11">
        <f>MAX(0,N8114-M8114)</f>
        <v/>
      </c>
      <c r="J8114" s="11">
        <f>MAX(0,M8114-N8114)</f>
        <v/>
      </c>
      <c r="K8114" s="11">
        <f>O8114</f>
        <v/>
      </c>
      <c r="L8114" s="11">
        <f>L8113+IF(K8114&gt;0,K8114*Summary!$B$9,K8114/Summary!$B$9)</f>
        <v/>
      </c>
      <c r="M8114" s="11">
        <f>G8114+H8114</f>
        <v/>
      </c>
      <c r="N8114" s="11">
        <f>Summary!$C$16*Summary!$B$8</f>
        <v/>
      </c>
      <c r="O8114" s="11">
        <f>M8114-N8114</f>
        <v/>
      </c>
    </row>
    <row r="8115">
      <c r="A8115" s="9" t="n">
        <v>45630.04166666666</v>
      </c>
      <c r="B8115" t="n">
        <v>12</v>
      </c>
      <c r="C8115" t="n">
        <v>4</v>
      </c>
      <c r="D8115" t="n">
        <v>1</v>
      </c>
      <c r="E8115" s="10" t="n">
        <v>0</v>
      </c>
      <c r="F8115" s="10" t="n">
        <v>0.3213627171270521</v>
      </c>
      <c r="G8115" s="11">
        <f>E8115*Summary!$B$6</f>
        <v/>
      </c>
      <c r="H8115" s="11">
        <f>F8115*Summary!$B$7</f>
        <v/>
      </c>
      <c r="I8115" s="11">
        <f>MAX(0,N8115-M8115)</f>
        <v/>
      </c>
      <c r="J8115" s="11">
        <f>MAX(0,M8115-N8115)</f>
        <v/>
      </c>
      <c r="K8115" s="11">
        <f>O8115</f>
        <v/>
      </c>
      <c r="L8115" s="11">
        <f>L8114+IF(K8115&gt;0,K8115*Summary!$B$9,K8115/Summary!$B$9)</f>
        <v/>
      </c>
      <c r="M8115" s="11">
        <f>G8115+H8115</f>
        <v/>
      </c>
      <c r="N8115" s="11">
        <f>Summary!$C$16*Summary!$B$8</f>
        <v/>
      </c>
      <c r="O8115" s="11">
        <f>M8115-N8115</f>
        <v/>
      </c>
    </row>
    <row r="8116">
      <c r="A8116" s="9" t="n">
        <v>45630.08333333334</v>
      </c>
      <c r="B8116" t="n">
        <v>12</v>
      </c>
      <c r="C8116" t="n">
        <v>4</v>
      </c>
      <c r="D8116" t="n">
        <v>2</v>
      </c>
      <c r="E8116" s="10" t="n">
        <v>0</v>
      </c>
      <c r="F8116" s="10" t="n">
        <v>0.3259743182338364</v>
      </c>
      <c r="G8116" s="11">
        <f>E8116*Summary!$B$6</f>
        <v/>
      </c>
      <c r="H8116" s="11">
        <f>F8116*Summary!$B$7</f>
        <v/>
      </c>
      <c r="I8116" s="11">
        <f>MAX(0,N8116-M8116)</f>
        <v/>
      </c>
      <c r="J8116" s="11">
        <f>MAX(0,M8116-N8116)</f>
        <v/>
      </c>
      <c r="K8116" s="11">
        <f>O8116</f>
        <v/>
      </c>
      <c r="L8116" s="11">
        <f>L8115+IF(K8116&gt;0,K8116*Summary!$B$9,K8116/Summary!$B$9)</f>
        <v/>
      </c>
      <c r="M8116" s="11">
        <f>G8116+H8116</f>
        <v/>
      </c>
      <c r="N8116" s="11">
        <f>Summary!$C$16*Summary!$B$8</f>
        <v/>
      </c>
      <c r="O8116" s="11">
        <f>M8116-N8116</f>
        <v/>
      </c>
    </row>
    <row r="8117">
      <c r="A8117" s="9" t="n">
        <v>45630.125</v>
      </c>
      <c r="B8117" t="n">
        <v>12</v>
      </c>
      <c r="C8117" t="n">
        <v>4</v>
      </c>
      <c r="D8117" t="n">
        <v>3</v>
      </c>
      <c r="E8117" s="10" t="n">
        <v>0</v>
      </c>
      <c r="F8117" s="10" t="n">
        <v>0.3154598677103683</v>
      </c>
      <c r="G8117" s="11">
        <f>E8117*Summary!$B$6</f>
        <v/>
      </c>
      <c r="H8117" s="11">
        <f>F8117*Summary!$B$7</f>
        <v/>
      </c>
      <c r="I8117" s="11">
        <f>MAX(0,N8117-M8117)</f>
        <v/>
      </c>
      <c r="J8117" s="11">
        <f>MAX(0,M8117-N8117)</f>
        <v/>
      </c>
      <c r="K8117" s="11">
        <f>O8117</f>
        <v/>
      </c>
      <c r="L8117" s="11">
        <f>L8116+IF(K8117&gt;0,K8117*Summary!$B$9,K8117/Summary!$B$9)</f>
        <v/>
      </c>
      <c r="M8117" s="11">
        <f>G8117+H8117</f>
        <v/>
      </c>
      <c r="N8117" s="11">
        <f>Summary!$C$16*Summary!$B$8</f>
        <v/>
      </c>
      <c r="O8117" s="11">
        <f>M8117-N8117</f>
        <v/>
      </c>
    </row>
    <row r="8118">
      <c r="A8118" s="9" t="n">
        <v>45630.16666666666</v>
      </c>
      <c r="B8118" t="n">
        <v>12</v>
      </c>
      <c r="C8118" t="n">
        <v>4</v>
      </c>
      <c r="D8118" t="n">
        <v>4</v>
      </c>
      <c r="E8118" s="10" t="n">
        <v>0</v>
      </c>
      <c r="F8118" s="10" t="n">
        <v>0.3255263341263202</v>
      </c>
      <c r="G8118" s="11">
        <f>E8118*Summary!$B$6</f>
        <v/>
      </c>
      <c r="H8118" s="11">
        <f>F8118*Summary!$B$7</f>
        <v/>
      </c>
      <c r="I8118" s="11">
        <f>MAX(0,N8118-M8118)</f>
        <v/>
      </c>
      <c r="J8118" s="11">
        <f>MAX(0,M8118-N8118)</f>
        <v/>
      </c>
      <c r="K8118" s="11">
        <f>O8118</f>
        <v/>
      </c>
      <c r="L8118" s="11">
        <f>L8117+IF(K8118&gt;0,K8118*Summary!$B$9,K8118/Summary!$B$9)</f>
        <v/>
      </c>
      <c r="M8118" s="11">
        <f>G8118+H8118</f>
        <v/>
      </c>
      <c r="N8118" s="11">
        <f>Summary!$C$16*Summary!$B$8</f>
        <v/>
      </c>
      <c r="O8118" s="11">
        <f>M8118-N8118</f>
        <v/>
      </c>
    </row>
    <row r="8119">
      <c r="A8119" s="9" t="n">
        <v>45630.20833333334</v>
      </c>
      <c r="B8119" t="n">
        <v>12</v>
      </c>
      <c r="C8119" t="n">
        <v>4</v>
      </c>
      <c r="D8119" t="n">
        <v>5</v>
      </c>
      <c r="E8119" s="10" t="n">
        <v>0</v>
      </c>
      <c r="F8119" s="10" t="n">
        <v>0.3307440313785676</v>
      </c>
      <c r="G8119" s="11">
        <f>E8119*Summary!$B$6</f>
        <v/>
      </c>
      <c r="H8119" s="11">
        <f>F8119*Summary!$B$7</f>
        <v/>
      </c>
      <c r="I8119" s="11">
        <f>MAX(0,N8119-M8119)</f>
        <v/>
      </c>
      <c r="J8119" s="11">
        <f>MAX(0,M8119-N8119)</f>
        <v/>
      </c>
      <c r="K8119" s="11">
        <f>O8119</f>
        <v/>
      </c>
      <c r="L8119" s="11">
        <f>L8118+IF(K8119&gt;0,K8119*Summary!$B$9,K8119/Summary!$B$9)</f>
        <v/>
      </c>
      <c r="M8119" s="11">
        <f>G8119+H8119</f>
        <v/>
      </c>
      <c r="N8119" s="11">
        <f>Summary!$C$16*Summary!$B$8</f>
        <v/>
      </c>
      <c r="O8119" s="11">
        <f>M8119-N8119</f>
        <v/>
      </c>
    </row>
    <row r="8120">
      <c r="A8120" s="9" t="n">
        <v>45630.25</v>
      </c>
      <c r="B8120" t="n">
        <v>12</v>
      </c>
      <c r="C8120" t="n">
        <v>4</v>
      </c>
      <c r="D8120" t="n">
        <v>6</v>
      </c>
      <c r="E8120" s="10" t="n">
        <v>0</v>
      </c>
      <c r="F8120" s="10" t="n">
        <v>0.3330893599414464</v>
      </c>
      <c r="G8120" s="11">
        <f>E8120*Summary!$B$6</f>
        <v/>
      </c>
      <c r="H8120" s="11">
        <f>F8120*Summary!$B$7</f>
        <v/>
      </c>
      <c r="I8120" s="11">
        <f>MAX(0,N8120-M8120)</f>
        <v/>
      </c>
      <c r="J8120" s="11">
        <f>MAX(0,M8120-N8120)</f>
        <v/>
      </c>
      <c r="K8120" s="11">
        <f>O8120</f>
        <v/>
      </c>
      <c r="L8120" s="11">
        <f>L8119+IF(K8120&gt;0,K8120*Summary!$B$9,K8120/Summary!$B$9)</f>
        <v/>
      </c>
      <c r="M8120" s="11">
        <f>G8120+H8120</f>
        <v/>
      </c>
      <c r="N8120" s="11">
        <f>Summary!$C$16*Summary!$B$8</f>
        <v/>
      </c>
      <c r="O8120" s="11">
        <f>M8120-N8120</f>
        <v/>
      </c>
    </row>
    <row r="8121">
      <c r="A8121" s="9" t="n">
        <v>45630.29166666666</v>
      </c>
      <c r="B8121" t="n">
        <v>12</v>
      </c>
      <c r="C8121" t="n">
        <v>4</v>
      </c>
      <c r="D8121" t="n">
        <v>7</v>
      </c>
      <c r="E8121" s="10" t="n">
        <v>0</v>
      </c>
      <c r="F8121" s="10" t="n">
        <v>0.330664975359594</v>
      </c>
      <c r="G8121" s="11">
        <f>E8121*Summary!$B$6</f>
        <v/>
      </c>
      <c r="H8121" s="11">
        <f>F8121*Summary!$B$7</f>
        <v/>
      </c>
      <c r="I8121" s="11">
        <f>MAX(0,N8121-M8121)</f>
        <v/>
      </c>
      <c r="J8121" s="11">
        <f>MAX(0,M8121-N8121)</f>
        <v/>
      </c>
      <c r="K8121" s="11">
        <f>O8121</f>
        <v/>
      </c>
      <c r="L8121" s="11">
        <f>L8120+IF(K8121&gt;0,K8121*Summary!$B$9,K8121/Summary!$B$9)</f>
        <v/>
      </c>
      <c r="M8121" s="11">
        <f>G8121+H8121</f>
        <v/>
      </c>
      <c r="N8121" s="11">
        <f>Summary!$C$16*Summary!$B$8</f>
        <v/>
      </c>
      <c r="O8121" s="11">
        <f>M8121-N8121</f>
        <v/>
      </c>
    </row>
    <row r="8122">
      <c r="A8122" s="9" t="n">
        <v>45630.33333333334</v>
      </c>
      <c r="B8122" t="n">
        <v>12</v>
      </c>
      <c r="C8122" t="n">
        <v>4</v>
      </c>
      <c r="D8122" t="n">
        <v>8</v>
      </c>
      <c r="E8122" s="10" t="n">
        <v>0</v>
      </c>
      <c r="F8122" s="10" t="n">
        <v>0.3330893599414464</v>
      </c>
      <c r="G8122" s="11">
        <f>E8122*Summary!$B$6</f>
        <v/>
      </c>
      <c r="H8122" s="11">
        <f>F8122*Summary!$B$7</f>
        <v/>
      </c>
      <c r="I8122" s="11">
        <f>MAX(0,N8122-M8122)</f>
        <v/>
      </c>
      <c r="J8122" s="11">
        <f>MAX(0,M8122-N8122)</f>
        <v/>
      </c>
      <c r="K8122" s="11">
        <f>O8122</f>
        <v/>
      </c>
      <c r="L8122" s="11">
        <f>L8121+IF(K8122&gt;0,K8122*Summary!$B$9,K8122/Summary!$B$9)</f>
        <v/>
      </c>
      <c r="M8122" s="11">
        <f>G8122+H8122</f>
        <v/>
      </c>
      <c r="N8122" s="11">
        <f>Summary!$C$16*Summary!$B$8</f>
        <v/>
      </c>
      <c r="O8122" s="11">
        <f>M8122-N8122</f>
        <v/>
      </c>
    </row>
    <row r="8123">
      <c r="A8123" s="9" t="n">
        <v>45630.375</v>
      </c>
      <c r="B8123" t="n">
        <v>12</v>
      </c>
      <c r="C8123" t="n">
        <v>4</v>
      </c>
      <c r="D8123" t="n">
        <v>9</v>
      </c>
      <c r="E8123" s="10" t="n">
        <v>0.012546</v>
      </c>
      <c r="F8123" s="10" t="n">
        <v>0.3281615347587684</v>
      </c>
      <c r="G8123" s="11">
        <f>E8123*Summary!$B$6</f>
        <v/>
      </c>
      <c r="H8123" s="11">
        <f>F8123*Summary!$B$7</f>
        <v/>
      </c>
      <c r="I8123" s="11">
        <f>MAX(0,N8123-M8123)</f>
        <v/>
      </c>
      <c r="J8123" s="11">
        <f>MAX(0,M8123-N8123)</f>
        <v/>
      </c>
      <c r="K8123" s="11">
        <f>O8123</f>
        <v/>
      </c>
      <c r="L8123" s="11">
        <f>L8122+IF(K8123&gt;0,K8123*Summary!$B$9,K8123/Summary!$B$9)</f>
        <v/>
      </c>
      <c r="M8123" s="11">
        <f>G8123+H8123</f>
        <v/>
      </c>
      <c r="N8123" s="11">
        <f>Summary!$C$16*Summary!$B$8</f>
        <v/>
      </c>
      <c r="O8123" s="11">
        <f>M8123-N8123</f>
        <v/>
      </c>
    </row>
    <row r="8124">
      <c r="A8124" s="9" t="n">
        <v>45630.41666666666</v>
      </c>
      <c r="B8124" t="n">
        <v>12</v>
      </c>
      <c r="C8124" t="n">
        <v>4</v>
      </c>
      <c r="D8124" t="n">
        <v>10</v>
      </c>
      <c r="E8124" s="10" t="n">
        <v>0.036827</v>
      </c>
      <c r="F8124" s="10" t="n">
        <v>0.3210991970638073</v>
      </c>
      <c r="G8124" s="11">
        <f>E8124*Summary!$B$6</f>
        <v/>
      </c>
      <c r="H8124" s="11">
        <f>F8124*Summary!$B$7</f>
        <v/>
      </c>
      <c r="I8124" s="11">
        <f>MAX(0,N8124-M8124)</f>
        <v/>
      </c>
      <c r="J8124" s="11">
        <f>MAX(0,M8124-N8124)</f>
        <v/>
      </c>
      <c r="K8124" s="11">
        <f>O8124</f>
        <v/>
      </c>
      <c r="L8124" s="11">
        <f>L8123+IF(K8124&gt;0,K8124*Summary!$B$9,K8124/Summary!$B$9)</f>
        <v/>
      </c>
      <c r="M8124" s="11">
        <f>G8124+H8124</f>
        <v/>
      </c>
      <c r="N8124" s="11">
        <f>Summary!$C$16*Summary!$B$8</f>
        <v/>
      </c>
      <c r="O8124" s="11">
        <f>M8124-N8124</f>
        <v/>
      </c>
    </row>
    <row r="8125">
      <c r="A8125" s="9" t="n">
        <v>45630.45833333334</v>
      </c>
      <c r="B8125" t="n">
        <v>12</v>
      </c>
      <c r="C8125" t="n">
        <v>4</v>
      </c>
      <c r="D8125" t="n">
        <v>11</v>
      </c>
      <c r="E8125" s="10" t="n">
        <v>0.052979</v>
      </c>
      <c r="F8125" s="10" t="n">
        <v>0.3107692105846105</v>
      </c>
      <c r="G8125" s="11">
        <f>E8125*Summary!$B$6</f>
        <v/>
      </c>
      <c r="H8125" s="11">
        <f>F8125*Summary!$B$7</f>
        <v/>
      </c>
      <c r="I8125" s="11">
        <f>MAX(0,N8125-M8125)</f>
        <v/>
      </c>
      <c r="J8125" s="11">
        <f>MAX(0,M8125-N8125)</f>
        <v/>
      </c>
      <c r="K8125" s="11">
        <f>O8125</f>
        <v/>
      </c>
      <c r="L8125" s="11">
        <f>L8124+IF(K8125&gt;0,K8125*Summary!$B$9,K8125/Summary!$B$9)</f>
        <v/>
      </c>
      <c r="M8125" s="11">
        <f>G8125+H8125</f>
        <v/>
      </c>
      <c r="N8125" s="11">
        <f>Summary!$C$16*Summary!$B$8</f>
        <v/>
      </c>
      <c r="O8125" s="11">
        <f>M8125-N8125</f>
        <v/>
      </c>
    </row>
    <row r="8126">
      <c r="A8126" s="9" t="n">
        <v>45630.5</v>
      </c>
      <c r="B8126" t="n">
        <v>12</v>
      </c>
      <c r="C8126" t="n">
        <v>4</v>
      </c>
      <c r="D8126" t="n">
        <v>12</v>
      </c>
      <c r="E8126" s="10" t="n">
        <v>0.076581</v>
      </c>
      <c r="F8126" s="10" t="n">
        <v>0.3027318486556437</v>
      </c>
      <c r="G8126" s="11">
        <f>E8126*Summary!$B$6</f>
        <v/>
      </c>
      <c r="H8126" s="11">
        <f>F8126*Summary!$B$7</f>
        <v/>
      </c>
      <c r="I8126" s="11">
        <f>MAX(0,N8126-M8126)</f>
        <v/>
      </c>
      <c r="J8126" s="11">
        <f>MAX(0,M8126-N8126)</f>
        <v/>
      </c>
      <c r="K8126" s="11">
        <f>O8126</f>
        <v/>
      </c>
      <c r="L8126" s="11">
        <f>L8125+IF(K8126&gt;0,K8126*Summary!$B$9,K8126/Summary!$B$9)</f>
        <v/>
      </c>
      <c r="M8126" s="11">
        <f>G8126+H8126</f>
        <v/>
      </c>
      <c r="N8126" s="11">
        <f>Summary!$C$16*Summary!$B$8</f>
        <v/>
      </c>
      <c r="O8126" s="11">
        <f>M8126-N8126</f>
        <v/>
      </c>
    </row>
    <row r="8127">
      <c r="A8127" s="9" t="n">
        <v>45630.54166666666</v>
      </c>
      <c r="B8127" t="n">
        <v>12</v>
      </c>
      <c r="C8127" t="n">
        <v>4</v>
      </c>
      <c r="D8127" t="n">
        <v>13</v>
      </c>
      <c r="E8127" s="10" t="n">
        <v>0.063966</v>
      </c>
      <c r="F8127" s="10" t="n">
        <v>0.3031798327631599</v>
      </c>
      <c r="G8127" s="11">
        <f>E8127*Summary!$B$6</f>
        <v/>
      </c>
      <c r="H8127" s="11">
        <f>F8127*Summary!$B$7</f>
        <v/>
      </c>
      <c r="I8127" s="11">
        <f>MAX(0,N8127-M8127)</f>
        <v/>
      </c>
      <c r="J8127" s="11">
        <f>MAX(0,M8127-N8127)</f>
        <v/>
      </c>
      <c r="K8127" s="11">
        <f>O8127</f>
        <v/>
      </c>
      <c r="L8127" s="11">
        <f>L8126+IF(K8127&gt;0,K8127*Summary!$B$9,K8127/Summary!$B$9)</f>
        <v/>
      </c>
      <c r="M8127" s="11">
        <f>G8127+H8127</f>
        <v/>
      </c>
      <c r="N8127" s="11">
        <f>Summary!$C$16*Summary!$B$8</f>
        <v/>
      </c>
      <c r="O8127" s="11">
        <f>M8127-N8127</f>
        <v/>
      </c>
    </row>
    <row r="8128">
      <c r="A8128" s="9" t="n">
        <v>45630.58333333334</v>
      </c>
      <c r="B8128" t="n">
        <v>12</v>
      </c>
      <c r="C8128" t="n">
        <v>4</v>
      </c>
      <c r="D8128" t="n">
        <v>14</v>
      </c>
      <c r="E8128" s="10" t="n">
        <v>0.021139</v>
      </c>
      <c r="F8128" s="10" t="n">
        <v>0.3151963476471235</v>
      </c>
      <c r="G8128" s="11">
        <f>E8128*Summary!$B$6</f>
        <v/>
      </c>
      <c r="H8128" s="11">
        <f>F8128*Summary!$B$7</f>
        <v/>
      </c>
      <c r="I8128" s="11">
        <f>MAX(0,N8128-M8128)</f>
        <v/>
      </c>
      <c r="J8128" s="11">
        <f>MAX(0,M8128-N8128)</f>
        <v/>
      </c>
      <c r="K8128" s="11">
        <f>O8128</f>
        <v/>
      </c>
      <c r="L8128" s="11">
        <f>L8127+IF(K8128&gt;0,K8128*Summary!$B$9,K8128/Summary!$B$9)</f>
        <v/>
      </c>
      <c r="M8128" s="11">
        <f>G8128+H8128</f>
        <v/>
      </c>
      <c r="N8128" s="11">
        <f>Summary!$C$16*Summary!$B$8</f>
        <v/>
      </c>
      <c r="O8128" s="11">
        <f>M8128-N8128</f>
        <v/>
      </c>
    </row>
    <row r="8129">
      <c r="A8129" s="9" t="n">
        <v>45630.625</v>
      </c>
      <c r="B8129" t="n">
        <v>12</v>
      </c>
      <c r="C8129" t="n">
        <v>4</v>
      </c>
      <c r="D8129" t="n">
        <v>15</v>
      </c>
      <c r="E8129" s="10" t="n">
        <v>0</v>
      </c>
      <c r="F8129" s="10" t="n">
        <v>0.3416274099905784</v>
      </c>
      <c r="G8129" s="11">
        <f>E8129*Summary!$B$6</f>
        <v/>
      </c>
      <c r="H8129" s="11">
        <f>F8129*Summary!$B$7</f>
        <v/>
      </c>
      <c r="I8129" s="11">
        <f>MAX(0,N8129-M8129)</f>
        <v/>
      </c>
      <c r="J8129" s="11">
        <f>MAX(0,M8129-N8129)</f>
        <v/>
      </c>
      <c r="K8129" s="11">
        <f>O8129</f>
        <v/>
      </c>
      <c r="L8129" s="11">
        <f>L8128+IF(K8129&gt;0,K8129*Summary!$B$9,K8129/Summary!$B$9)</f>
        <v/>
      </c>
      <c r="M8129" s="11">
        <f>G8129+H8129</f>
        <v/>
      </c>
      <c r="N8129" s="11">
        <f>Summary!$C$16*Summary!$B$8</f>
        <v/>
      </c>
      <c r="O8129" s="11">
        <f>M8129-N8129</f>
        <v/>
      </c>
    </row>
    <row r="8130">
      <c r="A8130" s="9" t="n">
        <v>45630.66666666666</v>
      </c>
      <c r="B8130" t="n">
        <v>12</v>
      </c>
      <c r="C8130" t="n">
        <v>4</v>
      </c>
      <c r="D8130" t="n">
        <v>16</v>
      </c>
      <c r="E8130" s="10" t="n">
        <v>0</v>
      </c>
      <c r="F8130" s="10" t="n">
        <v>0.3687699765047943</v>
      </c>
      <c r="G8130" s="11">
        <f>E8130*Summary!$B$6</f>
        <v/>
      </c>
      <c r="H8130" s="11">
        <f>F8130*Summary!$B$7</f>
        <v/>
      </c>
      <c r="I8130" s="11">
        <f>MAX(0,N8130-M8130)</f>
        <v/>
      </c>
      <c r="J8130" s="11">
        <f>MAX(0,M8130-N8130)</f>
        <v/>
      </c>
      <c r="K8130" s="11">
        <f>O8130</f>
        <v/>
      </c>
      <c r="L8130" s="11">
        <f>L8129+IF(K8130&gt;0,K8130*Summary!$B$9,K8130/Summary!$B$9)</f>
        <v/>
      </c>
      <c r="M8130" s="11">
        <f>G8130+H8130</f>
        <v/>
      </c>
      <c r="N8130" s="11">
        <f>Summary!$C$16*Summary!$B$8</f>
        <v/>
      </c>
      <c r="O8130" s="11">
        <f>M8130-N8130</f>
        <v/>
      </c>
    </row>
    <row r="8131">
      <c r="A8131" s="9" t="n">
        <v>45630.70833333334</v>
      </c>
      <c r="B8131" t="n">
        <v>12</v>
      </c>
      <c r="C8131" t="n">
        <v>4</v>
      </c>
      <c r="D8131" t="n">
        <v>17</v>
      </c>
      <c r="E8131" s="10" t="n">
        <v>0</v>
      </c>
      <c r="F8131" s="10" t="n">
        <v>0.3823676117682268</v>
      </c>
      <c r="G8131" s="11">
        <f>E8131*Summary!$B$6</f>
        <v/>
      </c>
      <c r="H8131" s="11">
        <f>F8131*Summary!$B$7</f>
        <v/>
      </c>
      <c r="I8131" s="11">
        <f>MAX(0,N8131-M8131)</f>
        <v/>
      </c>
      <c r="J8131" s="11">
        <f>MAX(0,M8131-N8131)</f>
        <v/>
      </c>
      <c r="K8131" s="11">
        <f>O8131</f>
        <v/>
      </c>
      <c r="L8131" s="11">
        <f>L8130+IF(K8131&gt;0,K8131*Summary!$B$9,K8131/Summary!$B$9)</f>
        <v/>
      </c>
      <c r="M8131" s="11">
        <f>G8131+H8131</f>
        <v/>
      </c>
      <c r="N8131" s="11">
        <f>Summary!$C$16*Summary!$B$8</f>
        <v/>
      </c>
      <c r="O8131" s="11">
        <f>M8131-N8131</f>
        <v/>
      </c>
    </row>
    <row r="8132">
      <c r="A8132" s="9" t="n">
        <v>45630.75</v>
      </c>
      <c r="B8132" t="n">
        <v>12</v>
      </c>
      <c r="C8132" t="n">
        <v>4</v>
      </c>
      <c r="D8132" t="n">
        <v>18</v>
      </c>
      <c r="E8132" s="10" t="n">
        <v>0</v>
      </c>
      <c r="F8132" s="10" t="n">
        <v>0.3893772454505389</v>
      </c>
      <c r="G8132" s="11">
        <f>E8132*Summary!$B$6</f>
        <v/>
      </c>
      <c r="H8132" s="11">
        <f>F8132*Summary!$B$7</f>
        <v/>
      </c>
      <c r="I8132" s="11">
        <f>MAX(0,N8132-M8132)</f>
        <v/>
      </c>
      <c r="J8132" s="11">
        <f>MAX(0,M8132-N8132)</f>
        <v/>
      </c>
      <c r="K8132" s="11">
        <f>O8132</f>
        <v/>
      </c>
      <c r="L8132" s="11">
        <f>L8131+IF(K8132&gt;0,K8132*Summary!$B$9,K8132/Summary!$B$9)</f>
        <v/>
      </c>
      <c r="M8132" s="11">
        <f>G8132+H8132</f>
        <v/>
      </c>
      <c r="N8132" s="11">
        <f>Summary!$C$16*Summary!$B$8</f>
        <v/>
      </c>
      <c r="O8132" s="11">
        <f>M8132-N8132</f>
        <v/>
      </c>
    </row>
    <row r="8133">
      <c r="A8133" s="9" t="n">
        <v>45630.79166666666</v>
      </c>
      <c r="B8133" t="n">
        <v>12</v>
      </c>
      <c r="C8133" t="n">
        <v>4</v>
      </c>
      <c r="D8133" t="n">
        <v>19</v>
      </c>
      <c r="E8133" s="10" t="n">
        <v>0</v>
      </c>
      <c r="F8133" s="10" t="n">
        <v>0.3938834385320252</v>
      </c>
      <c r="G8133" s="11">
        <f>E8133*Summary!$B$6</f>
        <v/>
      </c>
      <c r="H8133" s="11">
        <f>F8133*Summary!$B$7</f>
        <v/>
      </c>
      <c r="I8133" s="11">
        <f>MAX(0,N8133-M8133)</f>
        <v/>
      </c>
      <c r="J8133" s="11">
        <f>MAX(0,M8133-N8133)</f>
        <v/>
      </c>
      <c r="K8133" s="11">
        <f>O8133</f>
        <v/>
      </c>
      <c r="L8133" s="11">
        <f>L8132+IF(K8133&gt;0,K8133*Summary!$B$9,K8133/Summary!$B$9)</f>
        <v/>
      </c>
      <c r="M8133" s="11">
        <f>G8133+H8133</f>
        <v/>
      </c>
      <c r="N8133" s="11">
        <f>Summary!$C$16*Summary!$B$8</f>
        <v/>
      </c>
      <c r="O8133" s="11">
        <f>M8133-N8133</f>
        <v/>
      </c>
    </row>
    <row r="8134">
      <c r="A8134" s="9" t="n">
        <v>45630.83333333334</v>
      </c>
      <c r="B8134" t="n">
        <v>12</v>
      </c>
      <c r="C8134" t="n">
        <v>4</v>
      </c>
      <c r="D8134" t="n">
        <v>20</v>
      </c>
      <c r="E8134" s="10" t="n">
        <v>0</v>
      </c>
      <c r="F8134" s="10" t="n">
        <v>0.3930138223233173</v>
      </c>
      <c r="G8134" s="11">
        <f>E8134*Summary!$B$6</f>
        <v/>
      </c>
      <c r="H8134" s="11">
        <f>F8134*Summary!$B$7</f>
        <v/>
      </c>
      <c r="I8134" s="11">
        <f>MAX(0,N8134-M8134)</f>
        <v/>
      </c>
      <c r="J8134" s="11">
        <f>MAX(0,M8134-N8134)</f>
        <v/>
      </c>
      <c r="K8134" s="11">
        <f>O8134</f>
        <v/>
      </c>
      <c r="L8134" s="11">
        <f>L8133+IF(K8134&gt;0,K8134*Summary!$B$9,K8134/Summary!$B$9)</f>
        <v/>
      </c>
      <c r="M8134" s="11">
        <f>G8134+H8134</f>
        <v/>
      </c>
      <c r="N8134" s="11">
        <f>Summary!$C$16*Summary!$B$8</f>
        <v/>
      </c>
      <c r="O8134" s="11">
        <f>M8134-N8134</f>
        <v/>
      </c>
    </row>
    <row r="8135">
      <c r="A8135" s="9" t="n">
        <v>45630.875</v>
      </c>
      <c r="B8135" t="n">
        <v>12</v>
      </c>
      <c r="C8135" t="n">
        <v>4</v>
      </c>
      <c r="D8135" t="n">
        <v>21</v>
      </c>
      <c r="E8135" s="10" t="n">
        <v>0</v>
      </c>
      <c r="F8135" s="10" t="n">
        <v>0.3905103817224916</v>
      </c>
      <c r="G8135" s="11">
        <f>E8135*Summary!$B$6</f>
        <v/>
      </c>
      <c r="H8135" s="11">
        <f>F8135*Summary!$B$7</f>
        <v/>
      </c>
      <c r="I8135" s="11">
        <f>MAX(0,N8135-M8135)</f>
        <v/>
      </c>
      <c r="J8135" s="11">
        <f>MAX(0,M8135-N8135)</f>
        <v/>
      </c>
      <c r="K8135" s="11">
        <f>O8135</f>
        <v/>
      </c>
      <c r="L8135" s="11">
        <f>L8134+IF(K8135&gt;0,K8135*Summary!$B$9,K8135/Summary!$B$9)</f>
        <v/>
      </c>
      <c r="M8135" s="11">
        <f>G8135+H8135</f>
        <v/>
      </c>
      <c r="N8135" s="11">
        <f>Summary!$C$16*Summary!$B$8</f>
        <v/>
      </c>
      <c r="O8135" s="11">
        <f>M8135-N8135</f>
        <v/>
      </c>
    </row>
    <row r="8136">
      <c r="A8136" s="9" t="n">
        <v>45630.91666666666</v>
      </c>
      <c r="B8136" t="n">
        <v>12</v>
      </c>
      <c r="C8136" t="n">
        <v>4</v>
      </c>
      <c r="D8136" t="n">
        <v>22</v>
      </c>
      <c r="E8136" s="10" t="n">
        <v>0</v>
      </c>
      <c r="F8136" s="10" t="n">
        <v>0.3899306375833531</v>
      </c>
      <c r="G8136" s="11">
        <f>E8136*Summary!$B$6</f>
        <v/>
      </c>
      <c r="H8136" s="11">
        <f>F8136*Summary!$B$7</f>
        <v/>
      </c>
      <c r="I8136" s="11">
        <f>MAX(0,N8136-M8136)</f>
        <v/>
      </c>
      <c r="J8136" s="11">
        <f>MAX(0,M8136-N8136)</f>
        <v/>
      </c>
      <c r="K8136" s="11">
        <f>O8136</f>
        <v/>
      </c>
      <c r="L8136" s="11">
        <f>L8135+IF(K8136&gt;0,K8136*Summary!$B$9,K8136/Summary!$B$9)</f>
        <v/>
      </c>
      <c r="M8136" s="11">
        <f>G8136+H8136</f>
        <v/>
      </c>
      <c r="N8136" s="11">
        <f>Summary!$C$16*Summary!$B$8</f>
        <v/>
      </c>
      <c r="O8136" s="11">
        <f>M8136-N8136</f>
        <v/>
      </c>
    </row>
    <row r="8137">
      <c r="A8137" s="9" t="n">
        <v>45630.95833333334</v>
      </c>
      <c r="B8137" t="n">
        <v>12</v>
      </c>
      <c r="C8137" t="n">
        <v>4</v>
      </c>
      <c r="D8137" t="n">
        <v>23</v>
      </c>
      <c r="E8137" s="10" t="n">
        <v>0</v>
      </c>
      <c r="F8137" s="10" t="n">
        <v>0.3887447972987513</v>
      </c>
      <c r="G8137" s="11">
        <f>E8137*Summary!$B$6</f>
        <v/>
      </c>
      <c r="H8137" s="11">
        <f>F8137*Summary!$B$7</f>
        <v/>
      </c>
      <c r="I8137" s="11">
        <f>MAX(0,N8137-M8137)</f>
        <v/>
      </c>
      <c r="J8137" s="11">
        <f>MAX(0,M8137-N8137)</f>
        <v/>
      </c>
      <c r="K8137" s="11">
        <f>O8137</f>
        <v/>
      </c>
      <c r="L8137" s="11">
        <f>L8136+IF(K8137&gt;0,K8137*Summary!$B$9,K8137/Summary!$B$9)</f>
        <v/>
      </c>
      <c r="M8137" s="11">
        <f>G8137+H8137</f>
        <v/>
      </c>
      <c r="N8137" s="11">
        <f>Summary!$C$16*Summary!$B$8</f>
        <v/>
      </c>
      <c r="O8137" s="11">
        <f>M8137-N8137</f>
        <v/>
      </c>
    </row>
    <row r="8138">
      <c r="A8138" s="9" t="n">
        <v>45631</v>
      </c>
      <c r="B8138" t="n">
        <v>12</v>
      </c>
      <c r="C8138" t="n">
        <v>5</v>
      </c>
      <c r="D8138" t="n">
        <v>0</v>
      </c>
      <c r="E8138" s="10" t="n">
        <v>0</v>
      </c>
      <c r="F8138" s="10" t="n">
        <v>0.3582291739750018</v>
      </c>
      <c r="G8138" s="11">
        <f>E8138*Summary!$B$6</f>
        <v/>
      </c>
      <c r="H8138" s="11">
        <f>F8138*Summary!$B$7</f>
        <v/>
      </c>
      <c r="I8138" s="11">
        <f>MAX(0,N8138-M8138)</f>
        <v/>
      </c>
      <c r="J8138" s="11">
        <f>MAX(0,M8138-N8138)</f>
        <v/>
      </c>
      <c r="K8138" s="11">
        <f>O8138</f>
        <v/>
      </c>
      <c r="L8138" s="11">
        <f>L8137+IF(K8138&gt;0,K8138*Summary!$B$9,K8138/Summary!$B$9)</f>
        <v/>
      </c>
      <c r="M8138" s="11">
        <f>G8138+H8138</f>
        <v/>
      </c>
      <c r="N8138" s="11">
        <f>Summary!$C$16*Summary!$B$8</f>
        <v/>
      </c>
      <c r="O8138" s="11">
        <f>M8138-N8138</f>
        <v/>
      </c>
    </row>
    <row r="8139">
      <c r="A8139" s="9" t="n">
        <v>45631.04166666666</v>
      </c>
      <c r="B8139" t="n">
        <v>12</v>
      </c>
      <c r="C8139" t="n">
        <v>5</v>
      </c>
      <c r="D8139" t="n">
        <v>1</v>
      </c>
      <c r="E8139" s="10" t="n">
        <v>0</v>
      </c>
      <c r="F8139" s="10" t="n">
        <v>0.3804439153065396</v>
      </c>
      <c r="G8139" s="11">
        <f>E8139*Summary!$B$6</f>
        <v/>
      </c>
      <c r="H8139" s="11">
        <f>F8139*Summary!$B$7</f>
        <v/>
      </c>
      <c r="I8139" s="11">
        <f>MAX(0,N8139-M8139)</f>
        <v/>
      </c>
      <c r="J8139" s="11">
        <f>MAX(0,M8139-N8139)</f>
        <v/>
      </c>
      <c r="K8139" s="11">
        <f>O8139</f>
        <v/>
      </c>
      <c r="L8139" s="11">
        <f>L8138+IF(K8139&gt;0,K8139*Summary!$B$9,K8139/Summary!$B$9)</f>
        <v/>
      </c>
      <c r="M8139" s="11">
        <f>G8139+H8139</f>
        <v/>
      </c>
      <c r="N8139" s="11">
        <f>Summary!$C$16*Summary!$B$8</f>
        <v/>
      </c>
      <c r="O8139" s="11">
        <f>M8139-N8139</f>
        <v/>
      </c>
    </row>
    <row r="8140">
      <c r="A8140" s="9" t="n">
        <v>45631.08333333334</v>
      </c>
      <c r="B8140" t="n">
        <v>12</v>
      </c>
      <c r="C8140" t="n">
        <v>5</v>
      </c>
      <c r="D8140" t="n">
        <v>2</v>
      </c>
      <c r="E8140" s="10" t="n">
        <v>0</v>
      </c>
      <c r="F8140" s="10" t="n">
        <v>0.3783094027942566</v>
      </c>
      <c r="G8140" s="11">
        <f>E8140*Summary!$B$6</f>
        <v/>
      </c>
      <c r="H8140" s="11">
        <f>F8140*Summary!$B$7</f>
        <v/>
      </c>
      <c r="I8140" s="11">
        <f>MAX(0,N8140-M8140)</f>
        <v/>
      </c>
      <c r="J8140" s="11">
        <f>MAX(0,M8140-N8140)</f>
        <v/>
      </c>
      <c r="K8140" s="11">
        <f>O8140</f>
        <v/>
      </c>
      <c r="L8140" s="11">
        <f>L8139+IF(K8140&gt;0,K8140*Summary!$B$9,K8140/Summary!$B$9)</f>
        <v/>
      </c>
      <c r="M8140" s="11">
        <f>G8140+H8140</f>
        <v/>
      </c>
      <c r="N8140" s="11">
        <f>Summary!$C$16*Summary!$B$8</f>
        <v/>
      </c>
      <c r="O8140" s="11">
        <f>M8140-N8140</f>
        <v/>
      </c>
    </row>
    <row r="8141">
      <c r="A8141" s="9" t="n">
        <v>45631.125</v>
      </c>
      <c r="B8141" t="n">
        <v>12</v>
      </c>
      <c r="C8141" t="n">
        <v>5</v>
      </c>
      <c r="D8141" t="n">
        <v>3</v>
      </c>
      <c r="E8141" s="10" t="n">
        <v>0</v>
      </c>
      <c r="F8141" s="10" t="n">
        <v>0.380628379350811</v>
      </c>
      <c r="G8141" s="11">
        <f>E8141*Summary!$B$6</f>
        <v/>
      </c>
      <c r="H8141" s="11">
        <f>F8141*Summary!$B$7</f>
        <v/>
      </c>
      <c r="I8141" s="11">
        <f>MAX(0,N8141-M8141)</f>
        <v/>
      </c>
      <c r="J8141" s="11">
        <f>MAX(0,M8141-N8141)</f>
        <v/>
      </c>
      <c r="K8141" s="11">
        <f>O8141</f>
        <v/>
      </c>
      <c r="L8141" s="11">
        <f>L8140+IF(K8141&gt;0,K8141*Summary!$B$9,K8141/Summary!$B$9)</f>
        <v/>
      </c>
      <c r="M8141" s="11">
        <f>G8141+H8141</f>
        <v/>
      </c>
      <c r="N8141" s="11">
        <f>Summary!$C$16*Summary!$B$8</f>
        <v/>
      </c>
      <c r="O8141" s="11">
        <f>M8141-N8141</f>
        <v/>
      </c>
    </row>
    <row r="8142">
      <c r="A8142" s="9" t="n">
        <v>45631.16666666666</v>
      </c>
      <c r="B8142" t="n">
        <v>12</v>
      </c>
      <c r="C8142" t="n">
        <v>5</v>
      </c>
      <c r="D8142" t="n">
        <v>4</v>
      </c>
      <c r="E8142" s="10" t="n">
        <v>0</v>
      </c>
      <c r="F8142" s="10" t="n">
        <v>0.3774924905981978</v>
      </c>
      <c r="G8142" s="11">
        <f>E8142*Summary!$B$6</f>
        <v/>
      </c>
      <c r="H8142" s="11">
        <f>F8142*Summary!$B$7</f>
        <v/>
      </c>
      <c r="I8142" s="11">
        <f>MAX(0,N8142-M8142)</f>
        <v/>
      </c>
      <c r="J8142" s="11">
        <f>MAX(0,M8142-N8142)</f>
        <v/>
      </c>
      <c r="K8142" s="11">
        <f>O8142</f>
        <v/>
      </c>
      <c r="L8142" s="11">
        <f>L8141+IF(K8142&gt;0,K8142*Summary!$B$9,K8142/Summary!$B$9)</f>
        <v/>
      </c>
      <c r="M8142" s="11">
        <f>G8142+H8142</f>
        <v/>
      </c>
      <c r="N8142" s="11">
        <f>Summary!$C$16*Summary!$B$8</f>
        <v/>
      </c>
      <c r="O8142" s="11">
        <f>M8142-N8142</f>
        <v/>
      </c>
    </row>
    <row r="8143">
      <c r="A8143" s="9" t="n">
        <v>45631.20833333334</v>
      </c>
      <c r="B8143" t="n">
        <v>12</v>
      </c>
      <c r="C8143" t="n">
        <v>5</v>
      </c>
      <c r="D8143" t="n">
        <v>5</v>
      </c>
      <c r="E8143" s="10" t="n">
        <v>0</v>
      </c>
      <c r="F8143" s="10" t="n">
        <v>0.3773870825728998</v>
      </c>
      <c r="G8143" s="11">
        <f>E8143*Summary!$B$6</f>
        <v/>
      </c>
      <c r="H8143" s="11">
        <f>F8143*Summary!$B$7</f>
        <v/>
      </c>
      <c r="I8143" s="11">
        <f>MAX(0,N8143-M8143)</f>
        <v/>
      </c>
      <c r="J8143" s="11">
        <f>MAX(0,M8143-N8143)</f>
        <v/>
      </c>
      <c r="K8143" s="11">
        <f>O8143</f>
        <v/>
      </c>
      <c r="L8143" s="11">
        <f>L8142+IF(K8143&gt;0,K8143*Summary!$B$9,K8143/Summary!$B$9)</f>
        <v/>
      </c>
      <c r="M8143" s="11">
        <f>G8143+H8143</f>
        <v/>
      </c>
      <c r="N8143" s="11">
        <f>Summary!$C$16*Summary!$B$8</f>
        <v/>
      </c>
      <c r="O8143" s="11">
        <f>M8143-N8143</f>
        <v/>
      </c>
    </row>
    <row r="8144">
      <c r="A8144" s="9" t="n">
        <v>45631.25</v>
      </c>
      <c r="B8144" t="n">
        <v>12</v>
      </c>
      <c r="C8144" t="n">
        <v>5</v>
      </c>
      <c r="D8144" t="n">
        <v>6</v>
      </c>
      <c r="E8144" s="10" t="n">
        <v>0</v>
      </c>
      <c r="F8144" s="10" t="n">
        <v>0.3769918024780326</v>
      </c>
      <c r="G8144" s="11">
        <f>E8144*Summary!$B$6</f>
        <v/>
      </c>
      <c r="H8144" s="11">
        <f>F8144*Summary!$B$7</f>
        <v/>
      </c>
      <c r="I8144" s="11">
        <f>MAX(0,N8144-M8144)</f>
        <v/>
      </c>
      <c r="J8144" s="11">
        <f>MAX(0,M8144-N8144)</f>
        <v/>
      </c>
      <c r="K8144" s="11">
        <f>O8144</f>
        <v/>
      </c>
      <c r="L8144" s="11">
        <f>L8143+IF(K8144&gt;0,K8144*Summary!$B$9,K8144/Summary!$B$9)</f>
        <v/>
      </c>
      <c r="M8144" s="11">
        <f>G8144+H8144</f>
        <v/>
      </c>
      <c r="N8144" s="11">
        <f>Summary!$C$16*Summary!$B$8</f>
        <v/>
      </c>
      <c r="O8144" s="11">
        <f>M8144-N8144</f>
        <v/>
      </c>
    </row>
    <row r="8145">
      <c r="A8145" s="9" t="n">
        <v>45631.29166666666</v>
      </c>
      <c r="B8145" t="n">
        <v>12</v>
      </c>
      <c r="C8145" t="n">
        <v>5</v>
      </c>
      <c r="D8145" t="n">
        <v>7</v>
      </c>
      <c r="E8145" s="10" t="n">
        <v>0</v>
      </c>
      <c r="F8145" s="10" t="n">
        <v>0.377228970534953</v>
      </c>
      <c r="G8145" s="11">
        <f>E8145*Summary!$B$6</f>
        <v/>
      </c>
      <c r="H8145" s="11">
        <f>F8145*Summary!$B$7</f>
        <v/>
      </c>
      <c r="I8145" s="11">
        <f>MAX(0,N8145-M8145)</f>
        <v/>
      </c>
      <c r="J8145" s="11">
        <f>MAX(0,M8145-N8145)</f>
        <v/>
      </c>
      <c r="K8145" s="11">
        <f>O8145</f>
        <v/>
      </c>
      <c r="L8145" s="11">
        <f>L8144+IF(K8145&gt;0,K8145*Summary!$B$9,K8145/Summary!$B$9)</f>
        <v/>
      </c>
      <c r="M8145" s="11">
        <f>G8145+H8145</f>
        <v/>
      </c>
      <c r="N8145" s="11">
        <f>Summary!$C$16*Summary!$B$8</f>
        <v/>
      </c>
      <c r="O8145" s="11">
        <f>M8145-N8145</f>
        <v/>
      </c>
    </row>
    <row r="8146">
      <c r="A8146" s="9" t="n">
        <v>45631.33333333334</v>
      </c>
      <c r="B8146" t="n">
        <v>12</v>
      </c>
      <c r="C8146" t="n">
        <v>5</v>
      </c>
      <c r="D8146" t="n">
        <v>8</v>
      </c>
      <c r="E8146" s="10" t="n">
        <v>0</v>
      </c>
      <c r="F8146" s="10" t="n">
        <v>0.3720112732827056</v>
      </c>
      <c r="G8146" s="11">
        <f>E8146*Summary!$B$6</f>
        <v/>
      </c>
      <c r="H8146" s="11">
        <f>F8146*Summary!$B$7</f>
        <v/>
      </c>
      <c r="I8146" s="11">
        <f>MAX(0,N8146-M8146)</f>
        <v/>
      </c>
      <c r="J8146" s="11">
        <f>MAX(0,M8146-N8146)</f>
        <v/>
      </c>
      <c r="K8146" s="11">
        <f>O8146</f>
        <v/>
      </c>
      <c r="L8146" s="11">
        <f>L8145+IF(K8146&gt;0,K8146*Summary!$B$9,K8146/Summary!$B$9)</f>
        <v/>
      </c>
      <c r="M8146" s="11">
        <f>G8146+H8146</f>
        <v/>
      </c>
      <c r="N8146" s="11">
        <f>Summary!$C$16*Summary!$B$8</f>
        <v/>
      </c>
      <c r="O8146" s="11">
        <f>M8146-N8146</f>
        <v/>
      </c>
    </row>
    <row r="8147">
      <c r="A8147" s="9" t="n">
        <v>45631.375</v>
      </c>
      <c r="B8147" t="n">
        <v>12</v>
      </c>
      <c r="C8147" t="n">
        <v>5</v>
      </c>
      <c r="D8147" t="n">
        <v>9</v>
      </c>
      <c r="E8147" s="10" t="n">
        <v>0.017639</v>
      </c>
      <c r="F8147" s="10" t="n">
        <v>0.3710626010550243</v>
      </c>
      <c r="G8147" s="11">
        <f>E8147*Summary!$B$6</f>
        <v/>
      </c>
      <c r="H8147" s="11">
        <f>F8147*Summary!$B$7</f>
        <v/>
      </c>
      <c r="I8147" s="11">
        <f>MAX(0,N8147-M8147)</f>
        <v/>
      </c>
      <c r="J8147" s="11">
        <f>MAX(0,M8147-N8147)</f>
        <v/>
      </c>
      <c r="K8147" s="11">
        <f>O8147</f>
        <v/>
      </c>
      <c r="L8147" s="11">
        <f>L8146+IF(K8147&gt;0,K8147*Summary!$B$9,K8147/Summary!$B$9)</f>
        <v/>
      </c>
      <c r="M8147" s="11">
        <f>G8147+H8147</f>
        <v/>
      </c>
      <c r="N8147" s="11">
        <f>Summary!$C$16*Summary!$B$8</f>
        <v/>
      </c>
      <c r="O8147" s="11">
        <f>M8147-N8147</f>
        <v/>
      </c>
    </row>
    <row r="8148">
      <c r="A8148" s="9" t="n">
        <v>45631.41666666666</v>
      </c>
      <c r="B8148" t="n">
        <v>12</v>
      </c>
      <c r="C8148" t="n">
        <v>5</v>
      </c>
      <c r="D8148" t="n">
        <v>10</v>
      </c>
      <c r="E8148" s="10" t="n">
        <v>0.040701</v>
      </c>
      <c r="F8148" s="10" t="n">
        <v>0.3700085208020449</v>
      </c>
      <c r="G8148" s="11">
        <f>E8148*Summary!$B$6</f>
        <v/>
      </c>
      <c r="H8148" s="11">
        <f>F8148*Summary!$B$7</f>
        <v/>
      </c>
      <c r="I8148" s="11">
        <f>MAX(0,N8148-M8148)</f>
        <v/>
      </c>
      <c r="J8148" s="11">
        <f>MAX(0,M8148-N8148)</f>
        <v/>
      </c>
      <c r="K8148" s="11">
        <f>O8148</f>
        <v/>
      </c>
      <c r="L8148" s="11">
        <f>L8147+IF(K8148&gt;0,K8148*Summary!$B$9,K8148/Summary!$B$9)</f>
        <v/>
      </c>
      <c r="M8148" s="11">
        <f>G8148+H8148</f>
        <v/>
      </c>
      <c r="N8148" s="11">
        <f>Summary!$C$16*Summary!$B$8</f>
        <v/>
      </c>
      <c r="O8148" s="11">
        <f>M8148-N8148</f>
        <v/>
      </c>
    </row>
    <row r="8149">
      <c r="A8149" s="9" t="n">
        <v>45631.45833333334</v>
      </c>
      <c r="B8149" t="n">
        <v>12</v>
      </c>
      <c r="C8149" t="n">
        <v>5</v>
      </c>
      <c r="D8149" t="n">
        <v>11</v>
      </c>
      <c r="E8149" s="10" t="n">
        <v>0.050885</v>
      </c>
      <c r="F8149" s="10" t="n">
        <v>0.3604427425062582</v>
      </c>
      <c r="G8149" s="11">
        <f>E8149*Summary!$B$6</f>
        <v/>
      </c>
      <c r="H8149" s="11">
        <f>F8149*Summary!$B$7</f>
        <v/>
      </c>
      <c r="I8149" s="11">
        <f>MAX(0,N8149-M8149)</f>
        <v/>
      </c>
      <c r="J8149" s="11">
        <f>MAX(0,M8149-N8149)</f>
        <v/>
      </c>
      <c r="K8149" s="11">
        <f>O8149</f>
        <v/>
      </c>
      <c r="L8149" s="11">
        <f>L8148+IF(K8149&gt;0,K8149*Summary!$B$9,K8149/Summary!$B$9)</f>
        <v/>
      </c>
      <c r="M8149" s="11">
        <f>G8149+H8149</f>
        <v/>
      </c>
      <c r="N8149" s="11">
        <f>Summary!$C$16*Summary!$B$8</f>
        <v/>
      </c>
      <c r="O8149" s="11">
        <f>M8149-N8149</f>
        <v/>
      </c>
    </row>
    <row r="8150">
      <c r="A8150" s="9" t="n">
        <v>45631.5</v>
      </c>
      <c r="B8150" t="n">
        <v>12</v>
      </c>
      <c r="C8150" t="n">
        <v>5</v>
      </c>
      <c r="D8150" t="n">
        <v>12</v>
      </c>
      <c r="E8150" s="10" t="n">
        <v>0.053105</v>
      </c>
      <c r="F8150" s="10" t="n">
        <v>0.3558574934057984</v>
      </c>
      <c r="G8150" s="11">
        <f>E8150*Summary!$B$6</f>
        <v/>
      </c>
      <c r="H8150" s="11">
        <f>F8150*Summary!$B$7</f>
        <v/>
      </c>
      <c r="I8150" s="11">
        <f>MAX(0,N8150-M8150)</f>
        <v/>
      </c>
      <c r="J8150" s="11">
        <f>MAX(0,M8150-N8150)</f>
        <v/>
      </c>
      <c r="K8150" s="11">
        <f>O8150</f>
        <v/>
      </c>
      <c r="L8150" s="11">
        <f>L8149+IF(K8150&gt;0,K8150*Summary!$B$9,K8150/Summary!$B$9)</f>
        <v/>
      </c>
      <c r="M8150" s="11">
        <f>G8150+H8150</f>
        <v/>
      </c>
      <c r="N8150" s="11">
        <f>Summary!$C$16*Summary!$B$8</f>
        <v/>
      </c>
      <c r="O8150" s="11">
        <f>M8150-N8150</f>
        <v/>
      </c>
    </row>
    <row r="8151">
      <c r="A8151" s="9" t="n">
        <v>45631.54166666666</v>
      </c>
      <c r="B8151" t="n">
        <v>12</v>
      </c>
      <c r="C8151" t="n">
        <v>5</v>
      </c>
      <c r="D8151" t="n">
        <v>13</v>
      </c>
      <c r="E8151" s="10" t="n">
        <v>0.04402</v>
      </c>
      <c r="F8151" s="10" t="n">
        <v>0.3595204222849013</v>
      </c>
      <c r="G8151" s="11">
        <f>E8151*Summary!$B$6</f>
        <v/>
      </c>
      <c r="H8151" s="11">
        <f>F8151*Summary!$B$7</f>
        <v/>
      </c>
      <c r="I8151" s="11">
        <f>MAX(0,N8151-M8151)</f>
        <v/>
      </c>
      <c r="J8151" s="11">
        <f>MAX(0,M8151-N8151)</f>
        <v/>
      </c>
      <c r="K8151" s="11">
        <f>O8151</f>
        <v/>
      </c>
      <c r="L8151" s="11">
        <f>L8150+IF(K8151&gt;0,K8151*Summary!$B$9,K8151/Summary!$B$9)</f>
        <v/>
      </c>
      <c r="M8151" s="11">
        <f>G8151+H8151</f>
        <v/>
      </c>
      <c r="N8151" s="11">
        <f>Summary!$C$16*Summary!$B$8</f>
        <v/>
      </c>
      <c r="O8151" s="11">
        <f>M8151-N8151</f>
        <v/>
      </c>
    </row>
    <row r="8152">
      <c r="A8152" s="9" t="n">
        <v>45631.58333333334</v>
      </c>
      <c r="B8152" t="n">
        <v>12</v>
      </c>
      <c r="C8152" t="n">
        <v>5</v>
      </c>
      <c r="D8152" t="n">
        <v>14</v>
      </c>
      <c r="E8152" s="10" t="n">
        <v>0.022611</v>
      </c>
      <c r="F8152" s="10" t="n">
        <v>0.3717741052257852</v>
      </c>
      <c r="G8152" s="11">
        <f>E8152*Summary!$B$6</f>
        <v/>
      </c>
      <c r="H8152" s="11">
        <f>F8152*Summary!$B$7</f>
        <v/>
      </c>
      <c r="I8152" s="11">
        <f>MAX(0,N8152-M8152)</f>
        <v/>
      </c>
      <c r="J8152" s="11">
        <f>MAX(0,M8152-N8152)</f>
        <v/>
      </c>
      <c r="K8152" s="11">
        <f>O8152</f>
        <v/>
      </c>
      <c r="L8152" s="11">
        <f>L8151+IF(K8152&gt;0,K8152*Summary!$B$9,K8152/Summary!$B$9)</f>
        <v/>
      </c>
      <c r="M8152" s="11">
        <f>G8152+H8152</f>
        <v/>
      </c>
      <c r="N8152" s="11">
        <f>Summary!$C$16*Summary!$B$8</f>
        <v/>
      </c>
      <c r="O8152" s="11">
        <f>M8152-N8152</f>
        <v/>
      </c>
    </row>
    <row r="8153">
      <c r="A8153" s="9" t="n">
        <v>45631.625</v>
      </c>
      <c r="B8153" t="n">
        <v>12</v>
      </c>
      <c r="C8153" t="n">
        <v>5</v>
      </c>
      <c r="D8153" t="n">
        <v>15</v>
      </c>
      <c r="E8153" s="10" t="n">
        <v>0</v>
      </c>
      <c r="F8153" s="10" t="n">
        <v>0.3877170690520966</v>
      </c>
      <c r="G8153" s="11">
        <f>E8153*Summary!$B$6</f>
        <v/>
      </c>
      <c r="H8153" s="11">
        <f>F8153*Summary!$B$7</f>
        <v/>
      </c>
      <c r="I8153" s="11">
        <f>MAX(0,N8153-M8153)</f>
        <v/>
      </c>
      <c r="J8153" s="11">
        <f>MAX(0,M8153-N8153)</f>
        <v/>
      </c>
      <c r="K8153" s="11">
        <f>O8153</f>
        <v/>
      </c>
      <c r="L8153" s="11">
        <f>L8152+IF(K8153&gt;0,K8153*Summary!$B$9,K8153/Summary!$B$9)</f>
        <v/>
      </c>
      <c r="M8153" s="11">
        <f>G8153+H8153</f>
        <v/>
      </c>
      <c r="N8153" s="11">
        <f>Summary!$C$16*Summary!$B$8</f>
        <v/>
      </c>
      <c r="O8153" s="11">
        <f>M8153-N8153</f>
        <v/>
      </c>
    </row>
    <row r="8154">
      <c r="A8154" s="9" t="n">
        <v>45631.66666666666</v>
      </c>
      <c r="B8154" t="n">
        <v>12</v>
      </c>
      <c r="C8154" t="n">
        <v>5</v>
      </c>
      <c r="D8154" t="n">
        <v>16</v>
      </c>
      <c r="E8154" s="10" t="n">
        <v>0</v>
      </c>
      <c r="F8154" s="10" t="n">
        <v>0.4025796006191041</v>
      </c>
      <c r="G8154" s="11">
        <f>E8154*Summary!$B$6</f>
        <v/>
      </c>
      <c r="H8154" s="11">
        <f>F8154*Summary!$B$7</f>
        <v/>
      </c>
      <c r="I8154" s="11">
        <f>MAX(0,N8154-M8154)</f>
        <v/>
      </c>
      <c r="J8154" s="11">
        <f>MAX(0,M8154-N8154)</f>
        <v/>
      </c>
      <c r="K8154" s="11">
        <f>O8154</f>
        <v/>
      </c>
      <c r="L8154" s="11">
        <f>L8153+IF(K8154&gt;0,K8154*Summary!$B$9,K8154/Summary!$B$9)</f>
        <v/>
      </c>
      <c r="M8154" s="11">
        <f>G8154+H8154</f>
        <v/>
      </c>
      <c r="N8154" s="11">
        <f>Summary!$C$16*Summary!$B$8</f>
        <v/>
      </c>
      <c r="O8154" s="11">
        <f>M8154-N8154</f>
        <v/>
      </c>
    </row>
    <row r="8155">
      <c r="A8155" s="9" t="n">
        <v>45631.70833333334</v>
      </c>
      <c r="B8155" t="n">
        <v>12</v>
      </c>
      <c r="C8155" t="n">
        <v>5</v>
      </c>
      <c r="D8155" t="n">
        <v>17</v>
      </c>
      <c r="E8155" s="10" t="n">
        <v>0</v>
      </c>
      <c r="F8155" s="10" t="n">
        <v>0.3831581719579613</v>
      </c>
      <c r="G8155" s="11">
        <f>E8155*Summary!$B$6</f>
        <v/>
      </c>
      <c r="H8155" s="11">
        <f>F8155*Summary!$B$7</f>
        <v/>
      </c>
      <c r="I8155" s="11">
        <f>MAX(0,N8155-M8155)</f>
        <v/>
      </c>
      <c r="J8155" s="11">
        <f>MAX(0,M8155-N8155)</f>
        <v/>
      </c>
      <c r="K8155" s="11">
        <f>O8155</f>
        <v/>
      </c>
      <c r="L8155" s="11">
        <f>L8154+IF(K8155&gt;0,K8155*Summary!$B$9,K8155/Summary!$B$9)</f>
        <v/>
      </c>
      <c r="M8155" s="11">
        <f>G8155+H8155</f>
        <v/>
      </c>
      <c r="N8155" s="11">
        <f>Summary!$C$16*Summary!$B$8</f>
        <v/>
      </c>
      <c r="O8155" s="11">
        <f>M8155-N8155</f>
        <v/>
      </c>
    </row>
    <row r="8156">
      <c r="A8156" s="9" t="n">
        <v>45631.75</v>
      </c>
      <c r="B8156" t="n">
        <v>12</v>
      </c>
      <c r="C8156" t="n">
        <v>5</v>
      </c>
      <c r="D8156" t="n">
        <v>18</v>
      </c>
      <c r="E8156" s="10" t="n">
        <v>0</v>
      </c>
      <c r="F8156" s="10" t="n">
        <v>0.3991538397969216</v>
      </c>
      <c r="G8156" s="11">
        <f>E8156*Summary!$B$6</f>
        <v/>
      </c>
      <c r="H8156" s="11">
        <f>F8156*Summary!$B$7</f>
        <v/>
      </c>
      <c r="I8156" s="11">
        <f>MAX(0,N8156-M8156)</f>
        <v/>
      </c>
      <c r="J8156" s="11">
        <f>MAX(0,M8156-N8156)</f>
        <v/>
      </c>
      <c r="K8156" s="11">
        <f>O8156</f>
        <v/>
      </c>
      <c r="L8156" s="11">
        <f>L8155+IF(K8156&gt;0,K8156*Summary!$B$9,K8156/Summary!$B$9)</f>
        <v/>
      </c>
      <c r="M8156" s="11">
        <f>G8156+H8156</f>
        <v/>
      </c>
      <c r="N8156" s="11">
        <f>Summary!$C$16*Summary!$B$8</f>
        <v/>
      </c>
      <c r="O8156" s="11">
        <f>M8156-N8156</f>
        <v/>
      </c>
    </row>
    <row r="8157">
      <c r="A8157" s="9" t="n">
        <v>45631.79166666666</v>
      </c>
      <c r="B8157" t="n">
        <v>12</v>
      </c>
      <c r="C8157" t="n">
        <v>5</v>
      </c>
      <c r="D8157" t="n">
        <v>19</v>
      </c>
      <c r="E8157" s="10" t="n">
        <v>0</v>
      </c>
      <c r="F8157" s="10" t="n">
        <v>0.3971774393225854</v>
      </c>
      <c r="G8157" s="11">
        <f>E8157*Summary!$B$6</f>
        <v/>
      </c>
      <c r="H8157" s="11">
        <f>F8157*Summary!$B$7</f>
        <v/>
      </c>
      <c r="I8157" s="11">
        <f>MAX(0,N8157-M8157)</f>
        <v/>
      </c>
      <c r="J8157" s="11">
        <f>MAX(0,M8157-N8157)</f>
        <v/>
      </c>
      <c r="K8157" s="11">
        <f>O8157</f>
        <v/>
      </c>
      <c r="L8157" s="11">
        <f>L8156+IF(K8157&gt;0,K8157*Summary!$B$9,K8157/Summary!$B$9)</f>
        <v/>
      </c>
      <c r="M8157" s="11">
        <f>G8157+H8157</f>
        <v/>
      </c>
      <c r="N8157" s="11">
        <f>Summary!$C$16*Summary!$B$8</f>
        <v/>
      </c>
      <c r="O8157" s="11">
        <f>M8157-N8157</f>
        <v/>
      </c>
    </row>
    <row r="8158">
      <c r="A8158" s="9" t="n">
        <v>45631.83333333334</v>
      </c>
      <c r="B8158" t="n">
        <v>12</v>
      </c>
      <c r="C8158" t="n">
        <v>5</v>
      </c>
      <c r="D8158" t="n">
        <v>20</v>
      </c>
      <c r="E8158" s="10" t="n">
        <v>0</v>
      </c>
      <c r="F8158" s="10" t="n">
        <v>0.3987849117083788</v>
      </c>
      <c r="G8158" s="11">
        <f>E8158*Summary!$B$6</f>
        <v/>
      </c>
      <c r="H8158" s="11">
        <f>F8158*Summary!$B$7</f>
        <v/>
      </c>
      <c r="I8158" s="11">
        <f>MAX(0,N8158-M8158)</f>
        <v/>
      </c>
      <c r="J8158" s="11">
        <f>MAX(0,M8158-N8158)</f>
        <v/>
      </c>
      <c r="K8158" s="11">
        <f>O8158</f>
        <v/>
      </c>
      <c r="L8158" s="11">
        <f>L8157+IF(K8158&gt;0,K8158*Summary!$B$9,K8158/Summary!$B$9)</f>
        <v/>
      </c>
      <c r="M8158" s="11">
        <f>G8158+H8158</f>
        <v/>
      </c>
      <c r="N8158" s="11">
        <f>Summary!$C$16*Summary!$B$8</f>
        <v/>
      </c>
      <c r="O8158" s="11">
        <f>M8158-N8158</f>
        <v/>
      </c>
    </row>
    <row r="8159">
      <c r="A8159" s="9" t="n">
        <v>45631.875</v>
      </c>
      <c r="B8159" t="n">
        <v>12</v>
      </c>
      <c r="C8159" t="n">
        <v>5</v>
      </c>
      <c r="D8159" t="n">
        <v>21</v>
      </c>
      <c r="E8159" s="10" t="n">
        <v>0</v>
      </c>
      <c r="F8159" s="10" t="n">
        <v>0.386373116729548</v>
      </c>
      <c r="G8159" s="11">
        <f>E8159*Summary!$B$6</f>
        <v/>
      </c>
      <c r="H8159" s="11">
        <f>F8159*Summary!$B$7</f>
        <v/>
      </c>
      <c r="I8159" s="11">
        <f>MAX(0,N8159-M8159)</f>
        <v/>
      </c>
      <c r="J8159" s="11">
        <f>MAX(0,M8159-N8159)</f>
        <v/>
      </c>
      <c r="K8159" s="11">
        <f>O8159</f>
        <v/>
      </c>
      <c r="L8159" s="11">
        <f>L8158+IF(K8159&gt;0,K8159*Summary!$B$9,K8159/Summary!$B$9)</f>
        <v/>
      </c>
      <c r="M8159" s="11">
        <f>G8159+H8159</f>
        <v/>
      </c>
      <c r="N8159" s="11">
        <f>Summary!$C$16*Summary!$B$8</f>
        <v/>
      </c>
      <c r="O8159" s="11">
        <f>M8159-N8159</f>
        <v/>
      </c>
    </row>
    <row r="8160">
      <c r="A8160" s="9" t="n">
        <v>45631.91666666666</v>
      </c>
      <c r="B8160" t="n">
        <v>12</v>
      </c>
      <c r="C8160" t="n">
        <v>5</v>
      </c>
      <c r="D8160" t="n">
        <v>22</v>
      </c>
      <c r="E8160" s="10" t="n">
        <v>0</v>
      </c>
      <c r="F8160" s="10" t="n">
        <v>0.3774661385918732</v>
      </c>
      <c r="G8160" s="11">
        <f>E8160*Summary!$B$6</f>
        <v/>
      </c>
      <c r="H8160" s="11">
        <f>F8160*Summary!$B$7</f>
        <v/>
      </c>
      <c r="I8160" s="11">
        <f>MAX(0,N8160-M8160)</f>
        <v/>
      </c>
      <c r="J8160" s="11">
        <f>MAX(0,M8160-N8160)</f>
        <v/>
      </c>
      <c r="K8160" s="11">
        <f>O8160</f>
        <v/>
      </c>
      <c r="L8160" s="11">
        <f>L8159+IF(K8160&gt;0,K8160*Summary!$B$9,K8160/Summary!$B$9)</f>
        <v/>
      </c>
      <c r="M8160" s="11">
        <f>G8160+H8160</f>
        <v/>
      </c>
      <c r="N8160" s="11">
        <f>Summary!$C$16*Summary!$B$8</f>
        <v/>
      </c>
      <c r="O8160" s="11">
        <f>M8160-N8160</f>
        <v/>
      </c>
    </row>
    <row r="8161">
      <c r="A8161" s="9" t="n">
        <v>45631.95833333334</v>
      </c>
      <c r="B8161" t="n">
        <v>12</v>
      </c>
      <c r="C8161" t="n">
        <v>5</v>
      </c>
      <c r="D8161" t="n">
        <v>23</v>
      </c>
      <c r="E8161" s="10" t="n">
        <v>0</v>
      </c>
      <c r="F8161" s="10" t="n">
        <v>0.3661084238660217</v>
      </c>
      <c r="G8161" s="11">
        <f>E8161*Summary!$B$6</f>
        <v/>
      </c>
      <c r="H8161" s="11">
        <f>F8161*Summary!$B$7</f>
        <v/>
      </c>
      <c r="I8161" s="11">
        <f>MAX(0,N8161-M8161)</f>
        <v/>
      </c>
      <c r="J8161" s="11">
        <f>MAX(0,M8161-N8161)</f>
        <v/>
      </c>
      <c r="K8161" s="11">
        <f>O8161</f>
        <v/>
      </c>
      <c r="L8161" s="11">
        <f>L8160+IF(K8161&gt;0,K8161*Summary!$B$9,K8161/Summary!$B$9)</f>
        <v/>
      </c>
      <c r="M8161" s="11">
        <f>G8161+H8161</f>
        <v/>
      </c>
      <c r="N8161" s="11">
        <f>Summary!$C$16*Summary!$B$8</f>
        <v/>
      </c>
      <c r="O8161" s="11">
        <f>M8161-N8161</f>
        <v/>
      </c>
    </row>
    <row r="8162">
      <c r="A8162" s="9" t="n">
        <v>45632</v>
      </c>
      <c r="B8162" t="n">
        <v>12</v>
      </c>
      <c r="C8162" t="n">
        <v>6</v>
      </c>
      <c r="D8162" t="n">
        <v>0</v>
      </c>
      <c r="E8162" s="10" t="n">
        <v>0</v>
      </c>
      <c r="F8162" s="10" t="n">
        <v>0.335039408409458</v>
      </c>
      <c r="G8162" s="11">
        <f>E8162*Summary!$B$6</f>
        <v/>
      </c>
      <c r="H8162" s="11">
        <f>F8162*Summary!$B$7</f>
        <v/>
      </c>
      <c r="I8162" s="11">
        <f>MAX(0,N8162-M8162)</f>
        <v/>
      </c>
      <c r="J8162" s="11">
        <f>MAX(0,M8162-N8162)</f>
        <v/>
      </c>
      <c r="K8162" s="11">
        <f>O8162</f>
        <v/>
      </c>
      <c r="L8162" s="11">
        <f>L8161+IF(K8162&gt;0,K8162*Summary!$B$9,K8162/Summary!$B$9)</f>
        <v/>
      </c>
      <c r="M8162" s="11">
        <f>G8162+H8162</f>
        <v/>
      </c>
      <c r="N8162" s="11">
        <f>Summary!$C$16*Summary!$B$8</f>
        <v/>
      </c>
      <c r="O8162" s="11">
        <f>M8162-N8162</f>
        <v/>
      </c>
    </row>
    <row r="8163">
      <c r="A8163" s="9" t="n">
        <v>45632.04166666666</v>
      </c>
      <c r="B8163" t="n">
        <v>12</v>
      </c>
      <c r="C8163" t="n">
        <v>6</v>
      </c>
      <c r="D8163" t="n">
        <v>1</v>
      </c>
      <c r="E8163" s="10" t="n">
        <v>0</v>
      </c>
      <c r="F8163" s="10" t="n">
        <v>0.3480572995337519</v>
      </c>
      <c r="G8163" s="11">
        <f>E8163*Summary!$B$6</f>
        <v/>
      </c>
      <c r="H8163" s="11">
        <f>F8163*Summary!$B$7</f>
        <v/>
      </c>
      <c r="I8163" s="11">
        <f>MAX(0,N8163-M8163)</f>
        <v/>
      </c>
      <c r="J8163" s="11">
        <f>MAX(0,M8163-N8163)</f>
        <v/>
      </c>
      <c r="K8163" s="11">
        <f>O8163</f>
        <v/>
      </c>
      <c r="L8163" s="11">
        <f>L8162+IF(K8163&gt;0,K8163*Summary!$B$9,K8163/Summary!$B$9)</f>
        <v/>
      </c>
      <c r="M8163" s="11">
        <f>G8163+H8163</f>
        <v/>
      </c>
      <c r="N8163" s="11">
        <f>Summary!$C$16*Summary!$B$8</f>
        <v/>
      </c>
      <c r="O8163" s="11">
        <f>M8163-N8163</f>
        <v/>
      </c>
    </row>
    <row r="8164">
      <c r="A8164" s="9" t="n">
        <v>45632.08333333334</v>
      </c>
      <c r="B8164" t="n">
        <v>12</v>
      </c>
      <c r="C8164" t="n">
        <v>6</v>
      </c>
      <c r="D8164" t="n">
        <v>2</v>
      </c>
      <c r="E8164" s="10" t="n">
        <v>0</v>
      </c>
      <c r="F8164" s="10" t="n">
        <v>0.3412321298957112</v>
      </c>
      <c r="G8164" s="11">
        <f>E8164*Summary!$B$6</f>
        <v/>
      </c>
      <c r="H8164" s="11">
        <f>F8164*Summary!$B$7</f>
        <v/>
      </c>
      <c r="I8164" s="11">
        <f>MAX(0,N8164-M8164)</f>
        <v/>
      </c>
      <c r="J8164" s="11">
        <f>MAX(0,M8164-N8164)</f>
        <v/>
      </c>
      <c r="K8164" s="11">
        <f>O8164</f>
        <v/>
      </c>
      <c r="L8164" s="11">
        <f>L8163+IF(K8164&gt;0,K8164*Summary!$B$9,K8164/Summary!$B$9)</f>
        <v/>
      </c>
      <c r="M8164" s="11">
        <f>G8164+H8164</f>
        <v/>
      </c>
      <c r="N8164" s="11">
        <f>Summary!$C$16*Summary!$B$8</f>
        <v/>
      </c>
      <c r="O8164" s="11">
        <f>M8164-N8164</f>
        <v/>
      </c>
    </row>
    <row r="8165">
      <c r="A8165" s="9" t="n">
        <v>45632.125</v>
      </c>
      <c r="B8165" t="n">
        <v>12</v>
      </c>
      <c r="C8165" t="n">
        <v>6</v>
      </c>
      <c r="D8165" t="n">
        <v>3</v>
      </c>
      <c r="E8165" s="10" t="n">
        <v>0</v>
      </c>
      <c r="F8165" s="10" t="n">
        <v>0.335144816434756</v>
      </c>
      <c r="G8165" s="11">
        <f>E8165*Summary!$B$6</f>
        <v/>
      </c>
      <c r="H8165" s="11">
        <f>F8165*Summary!$B$7</f>
        <v/>
      </c>
      <c r="I8165" s="11">
        <f>MAX(0,N8165-M8165)</f>
        <v/>
      </c>
      <c r="J8165" s="11">
        <f>MAX(0,M8165-N8165)</f>
        <v/>
      </c>
      <c r="K8165" s="11">
        <f>O8165</f>
        <v/>
      </c>
      <c r="L8165" s="11">
        <f>L8164+IF(K8165&gt;0,K8165*Summary!$B$9,K8165/Summary!$B$9)</f>
        <v/>
      </c>
      <c r="M8165" s="11">
        <f>G8165+H8165</f>
        <v/>
      </c>
      <c r="N8165" s="11">
        <f>Summary!$C$16*Summary!$B$8</f>
        <v/>
      </c>
      <c r="O8165" s="11">
        <f>M8165-N8165</f>
        <v/>
      </c>
    </row>
    <row r="8166">
      <c r="A8166" s="9" t="n">
        <v>45632.16666666666</v>
      </c>
      <c r="B8166" t="n">
        <v>12</v>
      </c>
      <c r="C8166" t="n">
        <v>6</v>
      </c>
      <c r="D8166" t="n">
        <v>4</v>
      </c>
      <c r="E8166" s="10" t="n">
        <v>0</v>
      </c>
      <c r="F8166" s="10" t="n">
        <v>0.3247357739365858</v>
      </c>
      <c r="G8166" s="11">
        <f>E8166*Summary!$B$6</f>
        <v/>
      </c>
      <c r="H8166" s="11">
        <f>F8166*Summary!$B$7</f>
        <v/>
      </c>
      <c r="I8166" s="11">
        <f>MAX(0,N8166-M8166)</f>
        <v/>
      </c>
      <c r="J8166" s="11">
        <f>MAX(0,M8166-N8166)</f>
        <v/>
      </c>
      <c r="K8166" s="11">
        <f>O8166</f>
        <v/>
      </c>
      <c r="L8166" s="11">
        <f>L8165+IF(K8166&gt;0,K8166*Summary!$B$9,K8166/Summary!$B$9)</f>
        <v/>
      </c>
      <c r="M8166" s="11">
        <f>G8166+H8166</f>
        <v/>
      </c>
      <c r="N8166" s="11">
        <f>Summary!$C$16*Summary!$B$8</f>
        <v/>
      </c>
      <c r="O8166" s="11">
        <f>M8166-N8166</f>
        <v/>
      </c>
    </row>
    <row r="8167">
      <c r="A8167" s="9" t="n">
        <v>45632.20833333334</v>
      </c>
      <c r="B8167" t="n">
        <v>12</v>
      </c>
      <c r="C8167" t="n">
        <v>6</v>
      </c>
      <c r="D8167" t="n">
        <v>5</v>
      </c>
      <c r="E8167" s="10" t="n">
        <v>0</v>
      </c>
      <c r="F8167" s="10" t="n">
        <v>0.3135098192423566</v>
      </c>
      <c r="G8167" s="11">
        <f>E8167*Summary!$B$6</f>
        <v/>
      </c>
      <c r="H8167" s="11">
        <f>F8167*Summary!$B$7</f>
        <v/>
      </c>
      <c r="I8167" s="11">
        <f>MAX(0,N8167-M8167)</f>
        <v/>
      </c>
      <c r="J8167" s="11">
        <f>MAX(0,M8167-N8167)</f>
        <v/>
      </c>
      <c r="K8167" s="11">
        <f>O8167</f>
        <v/>
      </c>
      <c r="L8167" s="11">
        <f>L8166+IF(K8167&gt;0,K8167*Summary!$B$9,K8167/Summary!$B$9)</f>
        <v/>
      </c>
      <c r="M8167" s="11">
        <f>G8167+H8167</f>
        <v/>
      </c>
      <c r="N8167" s="11">
        <f>Summary!$C$16*Summary!$B$8</f>
        <v/>
      </c>
      <c r="O8167" s="11">
        <f>M8167-N8167</f>
        <v/>
      </c>
    </row>
    <row r="8168">
      <c r="A8168" s="9" t="n">
        <v>45632.25</v>
      </c>
      <c r="B8168" t="n">
        <v>12</v>
      </c>
      <c r="C8168" t="n">
        <v>6</v>
      </c>
      <c r="D8168" t="n">
        <v>6</v>
      </c>
      <c r="E8168" s="10" t="n">
        <v>0</v>
      </c>
      <c r="F8168" s="10" t="n">
        <v>0.304339321041437</v>
      </c>
      <c r="G8168" s="11">
        <f>E8168*Summary!$B$6</f>
        <v/>
      </c>
      <c r="H8168" s="11">
        <f>F8168*Summary!$B$7</f>
        <v/>
      </c>
      <c r="I8168" s="11">
        <f>MAX(0,N8168-M8168)</f>
        <v/>
      </c>
      <c r="J8168" s="11">
        <f>MAX(0,M8168-N8168)</f>
        <v/>
      </c>
      <c r="K8168" s="11">
        <f>O8168</f>
        <v/>
      </c>
      <c r="L8168" s="11">
        <f>L8167+IF(K8168&gt;0,K8168*Summary!$B$9,K8168/Summary!$B$9)</f>
        <v/>
      </c>
      <c r="M8168" s="11">
        <f>G8168+H8168</f>
        <v/>
      </c>
      <c r="N8168" s="11">
        <f>Summary!$C$16*Summary!$B$8</f>
        <v/>
      </c>
      <c r="O8168" s="11">
        <f>M8168-N8168</f>
        <v/>
      </c>
    </row>
    <row r="8169">
      <c r="A8169" s="9" t="n">
        <v>45632.29166666666</v>
      </c>
      <c r="B8169" t="n">
        <v>12</v>
      </c>
      <c r="C8169" t="n">
        <v>6</v>
      </c>
      <c r="D8169" t="n">
        <v>7</v>
      </c>
      <c r="E8169" s="10" t="n">
        <v>0</v>
      </c>
      <c r="F8169" s="10" t="n">
        <v>0.2928234942776387</v>
      </c>
      <c r="G8169" s="11">
        <f>E8169*Summary!$B$6</f>
        <v/>
      </c>
      <c r="H8169" s="11">
        <f>F8169*Summary!$B$7</f>
        <v/>
      </c>
      <c r="I8169" s="11">
        <f>MAX(0,N8169-M8169)</f>
        <v/>
      </c>
      <c r="J8169" s="11">
        <f>MAX(0,M8169-N8169)</f>
        <v/>
      </c>
      <c r="K8169" s="11">
        <f>O8169</f>
        <v/>
      </c>
      <c r="L8169" s="11">
        <f>L8168+IF(K8169&gt;0,K8169*Summary!$B$9,K8169/Summary!$B$9)</f>
        <v/>
      </c>
      <c r="M8169" s="11">
        <f>G8169+H8169</f>
        <v/>
      </c>
      <c r="N8169" s="11">
        <f>Summary!$C$16*Summary!$B$8</f>
        <v/>
      </c>
      <c r="O8169" s="11">
        <f>M8169-N8169</f>
        <v/>
      </c>
    </row>
    <row r="8170">
      <c r="A8170" s="9" t="n">
        <v>45632.33333333334</v>
      </c>
      <c r="B8170" t="n">
        <v>12</v>
      </c>
      <c r="C8170" t="n">
        <v>6</v>
      </c>
      <c r="D8170" t="n">
        <v>8</v>
      </c>
      <c r="E8170" s="10" t="n">
        <v>0</v>
      </c>
      <c r="F8170" s="10" t="n">
        <v>0.2798319551596692</v>
      </c>
      <c r="G8170" s="11">
        <f>E8170*Summary!$B$6</f>
        <v/>
      </c>
      <c r="H8170" s="11">
        <f>F8170*Summary!$B$7</f>
        <v/>
      </c>
      <c r="I8170" s="11">
        <f>MAX(0,N8170-M8170)</f>
        <v/>
      </c>
      <c r="J8170" s="11">
        <f>MAX(0,M8170-N8170)</f>
        <v/>
      </c>
      <c r="K8170" s="11">
        <f>O8170</f>
        <v/>
      </c>
      <c r="L8170" s="11">
        <f>L8169+IF(K8170&gt;0,K8170*Summary!$B$9,K8170/Summary!$B$9)</f>
        <v/>
      </c>
      <c r="M8170" s="11">
        <f>G8170+H8170</f>
        <v/>
      </c>
      <c r="N8170" s="11">
        <f>Summary!$C$16*Summary!$B$8</f>
        <v/>
      </c>
      <c r="O8170" s="11">
        <f>M8170-N8170</f>
        <v/>
      </c>
    </row>
    <row r="8171">
      <c r="A8171" s="9" t="n">
        <v>45632.375</v>
      </c>
      <c r="B8171" t="n">
        <v>12</v>
      </c>
      <c r="C8171" t="n">
        <v>6</v>
      </c>
      <c r="D8171" t="n">
        <v>9</v>
      </c>
      <c r="E8171" s="10" t="n">
        <v>0.02071</v>
      </c>
      <c r="F8171" s="10" t="n">
        <v>0.267393808174514</v>
      </c>
      <c r="G8171" s="11">
        <f>E8171*Summary!$B$6</f>
        <v/>
      </c>
      <c r="H8171" s="11">
        <f>F8171*Summary!$B$7</f>
        <v/>
      </c>
      <c r="I8171" s="11">
        <f>MAX(0,N8171-M8171)</f>
        <v/>
      </c>
      <c r="J8171" s="11">
        <f>MAX(0,M8171-N8171)</f>
        <v/>
      </c>
      <c r="K8171" s="11">
        <f>O8171</f>
        <v/>
      </c>
      <c r="L8171" s="11">
        <f>L8170+IF(K8171&gt;0,K8171*Summary!$B$9,K8171/Summary!$B$9)</f>
        <v/>
      </c>
      <c r="M8171" s="11">
        <f>G8171+H8171</f>
        <v/>
      </c>
      <c r="N8171" s="11">
        <f>Summary!$C$16*Summary!$B$8</f>
        <v/>
      </c>
      <c r="O8171" s="11">
        <f>M8171-N8171</f>
        <v/>
      </c>
    </row>
    <row r="8172">
      <c r="A8172" s="9" t="n">
        <v>45632.41666666666</v>
      </c>
      <c r="B8172" t="n">
        <v>12</v>
      </c>
      <c r="C8172" t="n">
        <v>6</v>
      </c>
      <c r="D8172" t="n">
        <v>10</v>
      </c>
      <c r="E8172" s="10" t="n">
        <v>0.062557</v>
      </c>
      <c r="F8172" s="10" t="n">
        <v>0.2122390589373741</v>
      </c>
      <c r="G8172" s="11">
        <f>E8172*Summary!$B$6</f>
        <v/>
      </c>
      <c r="H8172" s="11">
        <f>F8172*Summary!$B$7</f>
        <v/>
      </c>
      <c r="I8172" s="11">
        <f>MAX(0,N8172-M8172)</f>
        <v/>
      </c>
      <c r="J8172" s="11">
        <f>MAX(0,M8172-N8172)</f>
        <v/>
      </c>
      <c r="K8172" s="11">
        <f>O8172</f>
        <v/>
      </c>
      <c r="L8172" s="11">
        <f>L8171+IF(K8172&gt;0,K8172*Summary!$B$9,K8172/Summary!$B$9)</f>
        <v/>
      </c>
      <c r="M8172" s="11">
        <f>G8172+H8172</f>
        <v/>
      </c>
      <c r="N8172" s="11">
        <f>Summary!$C$16*Summary!$B$8</f>
        <v/>
      </c>
      <c r="O8172" s="11">
        <f>M8172-N8172</f>
        <v/>
      </c>
    </row>
    <row r="8173">
      <c r="A8173" s="9" t="n">
        <v>45632.45833333334</v>
      </c>
      <c r="B8173" t="n">
        <v>12</v>
      </c>
      <c r="C8173" t="n">
        <v>6</v>
      </c>
      <c r="D8173" t="n">
        <v>11</v>
      </c>
      <c r="E8173" s="10" t="n">
        <v>0.07006900000000001</v>
      </c>
      <c r="F8173" s="10" t="n">
        <v>0.2402775936666225</v>
      </c>
      <c r="G8173" s="11">
        <f>E8173*Summary!$B$6</f>
        <v/>
      </c>
      <c r="H8173" s="11">
        <f>F8173*Summary!$B$7</f>
        <v/>
      </c>
      <c r="I8173" s="11">
        <f>MAX(0,N8173-M8173)</f>
        <v/>
      </c>
      <c r="J8173" s="11">
        <f>MAX(0,M8173-N8173)</f>
        <v/>
      </c>
      <c r="K8173" s="11">
        <f>O8173</f>
        <v/>
      </c>
      <c r="L8173" s="11">
        <f>L8172+IF(K8173&gt;0,K8173*Summary!$B$9,K8173/Summary!$B$9)</f>
        <v/>
      </c>
      <c r="M8173" s="11">
        <f>G8173+H8173</f>
        <v/>
      </c>
      <c r="N8173" s="11">
        <f>Summary!$C$16*Summary!$B$8</f>
        <v/>
      </c>
      <c r="O8173" s="11">
        <f>M8173-N8173</f>
        <v/>
      </c>
    </row>
    <row r="8174">
      <c r="A8174" s="9" t="n">
        <v>45632.5</v>
      </c>
      <c r="B8174" t="n">
        <v>12</v>
      </c>
      <c r="C8174" t="n">
        <v>6</v>
      </c>
      <c r="D8174" t="n">
        <v>12</v>
      </c>
      <c r="E8174" s="10" t="n">
        <v>0.07786899999999999</v>
      </c>
      <c r="F8174" s="10" t="n">
        <v>0.232424695781927</v>
      </c>
      <c r="G8174" s="11">
        <f>E8174*Summary!$B$6</f>
        <v/>
      </c>
      <c r="H8174" s="11">
        <f>F8174*Summary!$B$7</f>
        <v/>
      </c>
      <c r="I8174" s="11">
        <f>MAX(0,N8174-M8174)</f>
        <v/>
      </c>
      <c r="J8174" s="11">
        <f>MAX(0,M8174-N8174)</f>
        <v/>
      </c>
      <c r="K8174" s="11">
        <f>O8174</f>
        <v/>
      </c>
      <c r="L8174" s="11">
        <f>L8173+IF(K8174&gt;0,K8174*Summary!$B$9,K8174/Summary!$B$9)</f>
        <v/>
      </c>
      <c r="M8174" s="11">
        <f>G8174+H8174</f>
        <v/>
      </c>
      <c r="N8174" s="11">
        <f>Summary!$C$16*Summary!$B$8</f>
        <v/>
      </c>
      <c r="O8174" s="11">
        <f>M8174-N8174</f>
        <v/>
      </c>
    </row>
    <row r="8175">
      <c r="A8175" s="9" t="n">
        <v>45632.54166666666</v>
      </c>
      <c r="B8175" t="n">
        <v>12</v>
      </c>
      <c r="C8175" t="n">
        <v>6</v>
      </c>
      <c r="D8175" t="n">
        <v>13</v>
      </c>
      <c r="E8175" s="10" t="n">
        <v>0.070511</v>
      </c>
      <c r="F8175" s="10" t="n">
        <v>0.2287354148964996</v>
      </c>
      <c r="G8175" s="11">
        <f>E8175*Summary!$B$6</f>
        <v/>
      </c>
      <c r="H8175" s="11">
        <f>F8175*Summary!$B$7</f>
        <v/>
      </c>
      <c r="I8175" s="11">
        <f>MAX(0,N8175-M8175)</f>
        <v/>
      </c>
      <c r="J8175" s="11">
        <f>MAX(0,M8175-N8175)</f>
        <v/>
      </c>
      <c r="K8175" s="11">
        <f>O8175</f>
        <v/>
      </c>
      <c r="L8175" s="11">
        <f>L8174+IF(K8175&gt;0,K8175*Summary!$B$9,K8175/Summary!$B$9)</f>
        <v/>
      </c>
      <c r="M8175" s="11">
        <f>G8175+H8175</f>
        <v/>
      </c>
      <c r="N8175" s="11">
        <f>Summary!$C$16*Summary!$B$8</f>
        <v/>
      </c>
      <c r="O8175" s="11">
        <f>M8175-N8175</f>
        <v/>
      </c>
    </row>
    <row r="8176">
      <c r="A8176" s="9" t="n">
        <v>45632.58333333334</v>
      </c>
      <c r="B8176" t="n">
        <v>12</v>
      </c>
      <c r="C8176" t="n">
        <v>6</v>
      </c>
      <c r="D8176" t="n">
        <v>14</v>
      </c>
      <c r="E8176" s="10" t="n">
        <v>0.048827</v>
      </c>
      <c r="F8176" s="10" t="n">
        <v>0.2281293187510365</v>
      </c>
      <c r="G8176" s="11">
        <f>E8176*Summary!$B$6</f>
        <v/>
      </c>
      <c r="H8176" s="11">
        <f>F8176*Summary!$B$7</f>
        <v/>
      </c>
      <c r="I8176" s="11">
        <f>MAX(0,N8176-M8176)</f>
        <v/>
      </c>
      <c r="J8176" s="11">
        <f>MAX(0,M8176-N8176)</f>
        <v/>
      </c>
      <c r="K8176" s="11">
        <f>O8176</f>
        <v/>
      </c>
      <c r="L8176" s="11">
        <f>L8175+IF(K8176&gt;0,K8176*Summary!$B$9,K8176/Summary!$B$9)</f>
        <v/>
      </c>
      <c r="M8176" s="11">
        <f>G8176+H8176</f>
        <v/>
      </c>
      <c r="N8176" s="11">
        <f>Summary!$C$16*Summary!$B$8</f>
        <v/>
      </c>
      <c r="O8176" s="11">
        <f>M8176-N8176</f>
        <v/>
      </c>
    </row>
    <row r="8177">
      <c r="A8177" s="9" t="n">
        <v>45632.625</v>
      </c>
      <c r="B8177" t="n">
        <v>12</v>
      </c>
      <c r="C8177" t="n">
        <v>6</v>
      </c>
      <c r="D8177" t="n">
        <v>15</v>
      </c>
      <c r="E8177" s="10" t="n">
        <v>0</v>
      </c>
      <c r="F8177" s="10" t="n">
        <v>0.2313179115162988</v>
      </c>
      <c r="G8177" s="11">
        <f>E8177*Summary!$B$6</f>
        <v/>
      </c>
      <c r="H8177" s="11">
        <f>F8177*Summary!$B$7</f>
        <v/>
      </c>
      <c r="I8177" s="11">
        <f>MAX(0,N8177-M8177)</f>
        <v/>
      </c>
      <c r="J8177" s="11">
        <f>MAX(0,M8177-N8177)</f>
        <v/>
      </c>
      <c r="K8177" s="11">
        <f>O8177</f>
        <v/>
      </c>
      <c r="L8177" s="11">
        <f>L8176+IF(K8177&gt;0,K8177*Summary!$B$9,K8177/Summary!$B$9)</f>
        <v/>
      </c>
      <c r="M8177" s="11">
        <f>G8177+H8177</f>
        <v/>
      </c>
      <c r="N8177" s="11">
        <f>Summary!$C$16*Summary!$B$8</f>
        <v/>
      </c>
      <c r="O8177" s="11">
        <f>M8177-N8177</f>
        <v/>
      </c>
    </row>
    <row r="8178">
      <c r="A8178" s="9" t="n">
        <v>45632.66666666666</v>
      </c>
      <c r="B8178" t="n">
        <v>12</v>
      </c>
      <c r="C8178" t="n">
        <v>6</v>
      </c>
      <c r="D8178" t="n">
        <v>16</v>
      </c>
      <c r="E8178" s="10" t="n">
        <v>0</v>
      </c>
      <c r="F8178" s="10" t="n">
        <v>0.2380903771416905</v>
      </c>
      <c r="G8178" s="11">
        <f>E8178*Summary!$B$6</f>
        <v/>
      </c>
      <c r="H8178" s="11">
        <f>F8178*Summary!$B$7</f>
        <v/>
      </c>
      <c r="I8178" s="11">
        <f>MAX(0,N8178-M8178)</f>
        <v/>
      </c>
      <c r="J8178" s="11">
        <f>MAX(0,M8178-N8178)</f>
        <v/>
      </c>
      <c r="K8178" s="11">
        <f>O8178</f>
        <v/>
      </c>
      <c r="L8178" s="11">
        <f>L8177+IF(K8178&gt;0,K8178*Summary!$B$9,K8178/Summary!$B$9)</f>
        <v/>
      </c>
      <c r="M8178" s="11">
        <f>G8178+H8178</f>
        <v/>
      </c>
      <c r="N8178" s="11">
        <f>Summary!$C$16*Summary!$B$8</f>
        <v/>
      </c>
      <c r="O8178" s="11">
        <f>M8178-N8178</f>
        <v/>
      </c>
    </row>
    <row r="8179">
      <c r="A8179" s="9" t="n">
        <v>45632.70833333334</v>
      </c>
      <c r="B8179" t="n">
        <v>12</v>
      </c>
      <c r="C8179" t="n">
        <v>6</v>
      </c>
      <c r="D8179" t="n">
        <v>17</v>
      </c>
      <c r="E8179" s="10" t="n">
        <v>0</v>
      </c>
      <c r="F8179" s="10" t="n">
        <v>0.2470764112983387</v>
      </c>
      <c r="G8179" s="11">
        <f>E8179*Summary!$B$6</f>
        <v/>
      </c>
      <c r="H8179" s="11">
        <f>F8179*Summary!$B$7</f>
        <v/>
      </c>
      <c r="I8179" s="11">
        <f>MAX(0,N8179-M8179)</f>
        <v/>
      </c>
      <c r="J8179" s="11">
        <f>MAX(0,M8179-N8179)</f>
        <v/>
      </c>
      <c r="K8179" s="11">
        <f>O8179</f>
        <v/>
      </c>
      <c r="L8179" s="11">
        <f>L8178+IF(K8179&gt;0,K8179*Summary!$B$9,K8179/Summary!$B$9)</f>
        <v/>
      </c>
      <c r="M8179" s="11">
        <f>G8179+H8179</f>
        <v/>
      </c>
      <c r="N8179" s="11">
        <f>Summary!$C$16*Summary!$B$8</f>
        <v/>
      </c>
      <c r="O8179" s="11">
        <f>M8179-N8179</f>
        <v/>
      </c>
    </row>
    <row r="8180">
      <c r="A8180" s="9" t="n">
        <v>45632.75</v>
      </c>
      <c r="B8180" t="n">
        <v>12</v>
      </c>
      <c r="C8180" t="n">
        <v>6</v>
      </c>
      <c r="D8180" t="n">
        <v>18</v>
      </c>
      <c r="E8180" s="10" t="n">
        <v>0</v>
      </c>
      <c r="F8180" s="10" t="n">
        <v>0.2545076770818425</v>
      </c>
      <c r="G8180" s="11">
        <f>E8180*Summary!$B$6</f>
        <v/>
      </c>
      <c r="H8180" s="11">
        <f>F8180*Summary!$B$7</f>
        <v/>
      </c>
      <c r="I8180" s="11">
        <f>MAX(0,N8180-M8180)</f>
        <v/>
      </c>
      <c r="J8180" s="11">
        <f>MAX(0,M8180-N8180)</f>
        <v/>
      </c>
      <c r="K8180" s="11">
        <f>O8180</f>
        <v/>
      </c>
      <c r="L8180" s="11">
        <f>L8179+IF(K8180&gt;0,K8180*Summary!$B$9,K8180/Summary!$B$9)</f>
        <v/>
      </c>
      <c r="M8180" s="11">
        <f>G8180+H8180</f>
        <v/>
      </c>
      <c r="N8180" s="11">
        <f>Summary!$C$16*Summary!$B$8</f>
        <v/>
      </c>
      <c r="O8180" s="11">
        <f>M8180-N8180</f>
        <v/>
      </c>
    </row>
    <row r="8181">
      <c r="A8181" s="9" t="n">
        <v>45632.79166666666</v>
      </c>
      <c r="B8181" t="n">
        <v>12</v>
      </c>
      <c r="C8181" t="n">
        <v>6</v>
      </c>
      <c r="D8181" t="n">
        <v>19</v>
      </c>
      <c r="E8181" s="10" t="n">
        <v>0</v>
      </c>
      <c r="F8181" s="10" t="n">
        <v>0.2625713910171338</v>
      </c>
      <c r="G8181" s="11">
        <f>E8181*Summary!$B$6</f>
        <v/>
      </c>
      <c r="H8181" s="11">
        <f>F8181*Summary!$B$7</f>
        <v/>
      </c>
      <c r="I8181" s="11">
        <f>MAX(0,N8181-M8181)</f>
        <v/>
      </c>
      <c r="J8181" s="11">
        <f>MAX(0,M8181-N8181)</f>
        <v/>
      </c>
      <c r="K8181" s="11">
        <f>O8181</f>
        <v/>
      </c>
      <c r="L8181" s="11">
        <f>L8180+IF(K8181&gt;0,K8181*Summary!$B$9,K8181/Summary!$B$9)</f>
        <v/>
      </c>
      <c r="M8181" s="11">
        <f>G8181+H8181</f>
        <v/>
      </c>
      <c r="N8181" s="11">
        <f>Summary!$C$16*Summary!$B$8</f>
        <v/>
      </c>
      <c r="O8181" s="11">
        <f>M8181-N8181</f>
        <v/>
      </c>
    </row>
    <row r="8182">
      <c r="A8182" s="9" t="n">
        <v>45632.83333333334</v>
      </c>
      <c r="B8182" t="n">
        <v>12</v>
      </c>
      <c r="C8182" t="n">
        <v>6</v>
      </c>
      <c r="D8182" t="n">
        <v>20</v>
      </c>
      <c r="E8182" s="10" t="n">
        <v>0</v>
      </c>
      <c r="F8182" s="10" t="n">
        <v>0.2747987219516932</v>
      </c>
      <c r="G8182" s="11">
        <f>E8182*Summary!$B$6</f>
        <v/>
      </c>
      <c r="H8182" s="11">
        <f>F8182*Summary!$B$7</f>
        <v/>
      </c>
      <c r="I8182" s="11">
        <f>MAX(0,N8182-M8182)</f>
        <v/>
      </c>
      <c r="J8182" s="11">
        <f>MAX(0,M8182-N8182)</f>
        <v/>
      </c>
      <c r="K8182" s="11">
        <f>O8182</f>
        <v/>
      </c>
      <c r="L8182" s="11">
        <f>L8181+IF(K8182&gt;0,K8182*Summary!$B$9,K8182/Summary!$B$9)</f>
        <v/>
      </c>
      <c r="M8182" s="11">
        <f>G8182+H8182</f>
        <v/>
      </c>
      <c r="N8182" s="11">
        <f>Summary!$C$16*Summary!$B$8</f>
        <v/>
      </c>
      <c r="O8182" s="11">
        <f>M8182-N8182</f>
        <v/>
      </c>
    </row>
    <row r="8183">
      <c r="A8183" s="9" t="n">
        <v>45632.875</v>
      </c>
      <c r="B8183" t="n">
        <v>12</v>
      </c>
      <c r="C8183" t="n">
        <v>6</v>
      </c>
      <c r="D8183" t="n">
        <v>21</v>
      </c>
      <c r="E8183" s="10" t="n">
        <v>0</v>
      </c>
      <c r="F8183" s="10" t="n">
        <v>0.2917167100120104</v>
      </c>
      <c r="G8183" s="11">
        <f>E8183*Summary!$B$6</f>
        <v/>
      </c>
      <c r="H8183" s="11">
        <f>F8183*Summary!$B$7</f>
        <v/>
      </c>
      <c r="I8183" s="11">
        <f>MAX(0,N8183-M8183)</f>
        <v/>
      </c>
      <c r="J8183" s="11">
        <f>MAX(0,M8183-N8183)</f>
        <v/>
      </c>
      <c r="K8183" s="11">
        <f>O8183</f>
        <v/>
      </c>
      <c r="L8183" s="11">
        <f>L8182+IF(K8183&gt;0,K8183*Summary!$B$9,K8183/Summary!$B$9)</f>
        <v/>
      </c>
      <c r="M8183" s="11">
        <f>G8183+H8183</f>
        <v/>
      </c>
      <c r="N8183" s="11">
        <f>Summary!$C$16*Summary!$B$8</f>
        <v/>
      </c>
      <c r="O8183" s="11">
        <f>M8183-N8183</f>
        <v/>
      </c>
    </row>
    <row r="8184">
      <c r="A8184" s="9" t="n">
        <v>45632.91666666666</v>
      </c>
      <c r="B8184" t="n">
        <v>12</v>
      </c>
      <c r="C8184" t="n">
        <v>6</v>
      </c>
      <c r="D8184" t="n">
        <v>22</v>
      </c>
      <c r="E8184" s="10" t="n">
        <v>0</v>
      </c>
      <c r="F8184" s="10" t="n">
        <v>0.3053143452754429</v>
      </c>
      <c r="G8184" s="11">
        <f>E8184*Summary!$B$6</f>
        <v/>
      </c>
      <c r="H8184" s="11">
        <f>F8184*Summary!$B$7</f>
        <v/>
      </c>
      <c r="I8184" s="11">
        <f>MAX(0,N8184-M8184)</f>
        <v/>
      </c>
      <c r="J8184" s="11">
        <f>MAX(0,M8184-N8184)</f>
        <v/>
      </c>
      <c r="K8184" s="11">
        <f>O8184</f>
        <v/>
      </c>
      <c r="L8184" s="11">
        <f>L8183+IF(K8184&gt;0,K8184*Summary!$B$9,K8184/Summary!$B$9)</f>
        <v/>
      </c>
      <c r="M8184" s="11">
        <f>G8184+H8184</f>
        <v/>
      </c>
      <c r="N8184" s="11">
        <f>Summary!$C$16*Summary!$B$8</f>
        <v/>
      </c>
      <c r="O8184" s="11">
        <f>M8184-N8184</f>
        <v/>
      </c>
    </row>
    <row r="8185">
      <c r="A8185" s="9" t="n">
        <v>45632.95833333334</v>
      </c>
      <c r="B8185" t="n">
        <v>12</v>
      </c>
      <c r="C8185" t="n">
        <v>6</v>
      </c>
      <c r="D8185" t="n">
        <v>23</v>
      </c>
      <c r="E8185" s="10" t="n">
        <v>0</v>
      </c>
      <c r="F8185" s="10" t="n">
        <v>0.3167511160202678</v>
      </c>
      <c r="G8185" s="11">
        <f>E8185*Summary!$B$6</f>
        <v/>
      </c>
      <c r="H8185" s="11">
        <f>F8185*Summary!$B$7</f>
        <v/>
      </c>
      <c r="I8185" s="11">
        <f>MAX(0,N8185-M8185)</f>
        <v/>
      </c>
      <c r="J8185" s="11">
        <f>MAX(0,M8185-N8185)</f>
        <v/>
      </c>
      <c r="K8185" s="11">
        <f>O8185</f>
        <v/>
      </c>
      <c r="L8185" s="11">
        <f>L8184+IF(K8185&gt;0,K8185*Summary!$B$9,K8185/Summary!$B$9)</f>
        <v/>
      </c>
      <c r="M8185" s="11">
        <f>G8185+H8185</f>
        <v/>
      </c>
      <c r="N8185" s="11">
        <f>Summary!$C$16*Summary!$B$8</f>
        <v/>
      </c>
      <c r="O8185" s="11">
        <f>M8185-N8185</f>
        <v/>
      </c>
    </row>
    <row r="8186">
      <c r="A8186" s="9" t="n">
        <v>45633</v>
      </c>
      <c r="B8186" t="n">
        <v>12</v>
      </c>
      <c r="C8186" t="n">
        <v>7</v>
      </c>
      <c r="D8186" t="n">
        <v>0</v>
      </c>
      <c r="E8186" s="10" t="n">
        <v>0</v>
      </c>
      <c r="F8186" s="10" t="n">
        <v>0.3632887591893022</v>
      </c>
      <c r="G8186" s="11">
        <f>E8186*Summary!$B$6</f>
        <v/>
      </c>
      <c r="H8186" s="11">
        <f>F8186*Summary!$B$7</f>
        <v/>
      </c>
      <c r="I8186" s="11">
        <f>MAX(0,N8186-M8186)</f>
        <v/>
      </c>
      <c r="J8186" s="11">
        <f>MAX(0,M8186-N8186)</f>
        <v/>
      </c>
      <c r="K8186" s="11">
        <f>O8186</f>
        <v/>
      </c>
      <c r="L8186" s="11">
        <f>L8185+IF(K8186&gt;0,K8186*Summary!$B$9,K8186/Summary!$B$9)</f>
        <v/>
      </c>
      <c r="M8186" s="11">
        <f>G8186+H8186</f>
        <v/>
      </c>
      <c r="N8186" s="11">
        <f>Summary!$C$16*Summary!$B$8</f>
        <v/>
      </c>
      <c r="O8186" s="11">
        <f>M8186-N8186</f>
        <v/>
      </c>
    </row>
    <row r="8187">
      <c r="A8187" s="9" t="n">
        <v>45633.04166666666</v>
      </c>
      <c r="B8187" t="n">
        <v>12</v>
      </c>
      <c r="C8187" t="n">
        <v>7</v>
      </c>
      <c r="D8187" t="n">
        <v>1</v>
      </c>
      <c r="E8187" s="10" t="n">
        <v>0</v>
      </c>
      <c r="F8187" s="10" t="n">
        <v>0.3400989936237584</v>
      </c>
      <c r="G8187" s="11">
        <f>E8187*Summary!$B$6</f>
        <v/>
      </c>
      <c r="H8187" s="11">
        <f>F8187*Summary!$B$7</f>
        <v/>
      </c>
      <c r="I8187" s="11">
        <f>MAX(0,N8187-M8187)</f>
        <v/>
      </c>
      <c r="J8187" s="11">
        <f>MAX(0,M8187-N8187)</f>
        <v/>
      </c>
      <c r="K8187" s="11">
        <f>O8187</f>
        <v/>
      </c>
      <c r="L8187" s="11">
        <f>L8186+IF(K8187&gt;0,K8187*Summary!$B$9,K8187/Summary!$B$9)</f>
        <v/>
      </c>
      <c r="M8187" s="11">
        <f>G8187+H8187</f>
        <v/>
      </c>
      <c r="N8187" s="11">
        <f>Summary!$C$16*Summary!$B$8</f>
        <v/>
      </c>
      <c r="O8187" s="11">
        <f>M8187-N8187</f>
        <v/>
      </c>
    </row>
    <row r="8188">
      <c r="A8188" s="9" t="n">
        <v>45633.08333333334</v>
      </c>
      <c r="B8188" t="n">
        <v>12</v>
      </c>
      <c r="C8188" t="n">
        <v>7</v>
      </c>
      <c r="D8188" t="n">
        <v>2</v>
      </c>
      <c r="E8188" s="10" t="n">
        <v>0</v>
      </c>
      <c r="F8188" s="10" t="n">
        <v>0.3423916181739883</v>
      </c>
      <c r="G8188" s="11">
        <f>E8188*Summary!$B$6</f>
        <v/>
      </c>
      <c r="H8188" s="11">
        <f>F8188*Summary!$B$7</f>
        <v/>
      </c>
      <c r="I8188" s="11">
        <f>MAX(0,N8188-M8188)</f>
        <v/>
      </c>
      <c r="J8188" s="11">
        <f>MAX(0,M8188-N8188)</f>
        <v/>
      </c>
      <c r="K8188" s="11">
        <f>O8188</f>
        <v/>
      </c>
      <c r="L8188" s="11">
        <f>L8187+IF(K8188&gt;0,K8188*Summary!$B$9,K8188/Summary!$B$9)</f>
        <v/>
      </c>
      <c r="M8188" s="11">
        <f>G8188+H8188</f>
        <v/>
      </c>
      <c r="N8188" s="11">
        <f>Summary!$C$16*Summary!$B$8</f>
        <v/>
      </c>
      <c r="O8188" s="11">
        <f>M8188-N8188</f>
        <v/>
      </c>
    </row>
    <row r="8189">
      <c r="A8189" s="9" t="n">
        <v>45633.125</v>
      </c>
      <c r="B8189" t="n">
        <v>12</v>
      </c>
      <c r="C8189" t="n">
        <v>7</v>
      </c>
      <c r="D8189" t="n">
        <v>3</v>
      </c>
      <c r="E8189" s="10" t="n">
        <v>0</v>
      </c>
      <c r="F8189" s="10" t="n">
        <v>0.3432612343826962</v>
      </c>
      <c r="G8189" s="11">
        <f>E8189*Summary!$B$6</f>
        <v/>
      </c>
      <c r="H8189" s="11">
        <f>F8189*Summary!$B$7</f>
        <v/>
      </c>
      <c r="I8189" s="11">
        <f>MAX(0,N8189-M8189)</f>
        <v/>
      </c>
      <c r="J8189" s="11">
        <f>MAX(0,M8189-N8189)</f>
        <v/>
      </c>
      <c r="K8189" s="11">
        <f>O8189</f>
        <v/>
      </c>
      <c r="L8189" s="11">
        <f>L8188+IF(K8189&gt;0,K8189*Summary!$B$9,K8189/Summary!$B$9)</f>
        <v/>
      </c>
      <c r="M8189" s="11">
        <f>G8189+H8189</f>
        <v/>
      </c>
      <c r="N8189" s="11">
        <f>Summary!$C$16*Summary!$B$8</f>
        <v/>
      </c>
      <c r="O8189" s="11">
        <f>M8189-N8189</f>
        <v/>
      </c>
    </row>
    <row r="8190">
      <c r="A8190" s="9" t="n">
        <v>45633.16666666666</v>
      </c>
      <c r="B8190" t="n">
        <v>12</v>
      </c>
      <c r="C8190" t="n">
        <v>7</v>
      </c>
      <c r="D8190" t="n">
        <v>4</v>
      </c>
      <c r="E8190" s="10" t="n">
        <v>0</v>
      </c>
      <c r="F8190" s="10" t="n">
        <v>0.3480836515400763</v>
      </c>
      <c r="G8190" s="11">
        <f>E8190*Summary!$B$6</f>
        <v/>
      </c>
      <c r="H8190" s="11">
        <f>F8190*Summary!$B$7</f>
        <v/>
      </c>
      <c r="I8190" s="11">
        <f>MAX(0,N8190-M8190)</f>
        <v/>
      </c>
      <c r="J8190" s="11">
        <f>MAX(0,M8190-N8190)</f>
        <v/>
      </c>
      <c r="K8190" s="11">
        <f>O8190</f>
        <v/>
      </c>
      <c r="L8190" s="11">
        <f>L8189+IF(K8190&gt;0,K8190*Summary!$B$9,K8190/Summary!$B$9)</f>
        <v/>
      </c>
      <c r="M8190" s="11">
        <f>G8190+H8190</f>
        <v/>
      </c>
      <c r="N8190" s="11">
        <f>Summary!$C$16*Summary!$B$8</f>
        <v/>
      </c>
      <c r="O8190" s="11">
        <f>M8190-N8190</f>
        <v/>
      </c>
    </row>
    <row r="8191">
      <c r="A8191" s="9" t="n">
        <v>45633.20833333334</v>
      </c>
      <c r="B8191" t="n">
        <v>12</v>
      </c>
      <c r="C8191" t="n">
        <v>7</v>
      </c>
      <c r="D8191" t="n">
        <v>5</v>
      </c>
      <c r="E8191" s="10" t="n">
        <v>0</v>
      </c>
      <c r="F8191" s="10" t="n">
        <v>0.3490850277804067</v>
      </c>
      <c r="G8191" s="11">
        <f>E8191*Summary!$B$6</f>
        <v/>
      </c>
      <c r="H8191" s="11">
        <f>F8191*Summary!$B$7</f>
        <v/>
      </c>
      <c r="I8191" s="11">
        <f>MAX(0,N8191-M8191)</f>
        <v/>
      </c>
      <c r="J8191" s="11">
        <f>MAX(0,M8191-N8191)</f>
        <v/>
      </c>
      <c r="K8191" s="11">
        <f>O8191</f>
        <v/>
      </c>
      <c r="L8191" s="11">
        <f>L8190+IF(K8191&gt;0,K8191*Summary!$B$9,K8191/Summary!$B$9)</f>
        <v/>
      </c>
      <c r="M8191" s="11">
        <f>G8191+H8191</f>
        <v/>
      </c>
      <c r="N8191" s="11">
        <f>Summary!$C$16*Summary!$B$8</f>
        <v/>
      </c>
      <c r="O8191" s="11">
        <f>M8191-N8191</f>
        <v/>
      </c>
    </row>
    <row r="8192">
      <c r="A8192" s="9" t="n">
        <v>45633.25</v>
      </c>
      <c r="B8192" t="n">
        <v>12</v>
      </c>
      <c r="C8192" t="n">
        <v>7</v>
      </c>
      <c r="D8192" t="n">
        <v>6</v>
      </c>
      <c r="E8192" s="10" t="n">
        <v>0</v>
      </c>
      <c r="F8192" s="10" t="n">
        <v>0.3490059717614332</v>
      </c>
      <c r="G8192" s="11">
        <f>E8192*Summary!$B$6</f>
        <v/>
      </c>
      <c r="H8192" s="11">
        <f>F8192*Summary!$B$7</f>
        <v/>
      </c>
      <c r="I8192" s="11">
        <f>MAX(0,N8192-M8192)</f>
        <v/>
      </c>
      <c r="J8192" s="11">
        <f>MAX(0,M8192-N8192)</f>
        <v/>
      </c>
      <c r="K8192" s="11">
        <f>O8192</f>
        <v/>
      </c>
      <c r="L8192" s="11">
        <f>L8191+IF(K8192&gt;0,K8192*Summary!$B$9,K8192/Summary!$B$9)</f>
        <v/>
      </c>
      <c r="M8192" s="11">
        <f>G8192+H8192</f>
        <v/>
      </c>
      <c r="N8192" s="11">
        <f>Summary!$C$16*Summary!$B$8</f>
        <v/>
      </c>
      <c r="O8192" s="11">
        <f>M8192-N8192</f>
        <v/>
      </c>
    </row>
    <row r="8193">
      <c r="A8193" s="9" t="n">
        <v>45633.29166666666</v>
      </c>
      <c r="B8193" t="n">
        <v>12</v>
      </c>
      <c r="C8193" t="n">
        <v>7</v>
      </c>
      <c r="D8193" t="n">
        <v>7</v>
      </c>
      <c r="E8193" s="10" t="n">
        <v>0</v>
      </c>
      <c r="F8193" s="10" t="n">
        <v>0.3499282919827901</v>
      </c>
      <c r="G8193" s="11">
        <f>E8193*Summary!$B$6</f>
        <v/>
      </c>
      <c r="H8193" s="11">
        <f>F8193*Summary!$B$7</f>
        <v/>
      </c>
      <c r="I8193" s="11">
        <f>MAX(0,N8193-M8193)</f>
        <v/>
      </c>
      <c r="J8193" s="11">
        <f>MAX(0,M8193-N8193)</f>
        <v/>
      </c>
      <c r="K8193" s="11">
        <f>O8193</f>
        <v/>
      </c>
      <c r="L8193" s="11">
        <f>L8192+IF(K8193&gt;0,K8193*Summary!$B$9,K8193/Summary!$B$9)</f>
        <v/>
      </c>
      <c r="M8193" s="11">
        <f>G8193+H8193</f>
        <v/>
      </c>
      <c r="N8193" s="11">
        <f>Summary!$C$16*Summary!$B$8</f>
        <v/>
      </c>
      <c r="O8193" s="11">
        <f>M8193-N8193</f>
        <v/>
      </c>
    </row>
    <row r="8194">
      <c r="A8194" s="9" t="n">
        <v>45633.33333333334</v>
      </c>
      <c r="B8194" t="n">
        <v>12</v>
      </c>
      <c r="C8194" t="n">
        <v>7</v>
      </c>
      <c r="D8194" t="n">
        <v>8</v>
      </c>
      <c r="E8194" s="10" t="n">
        <v>0</v>
      </c>
      <c r="F8194" s="10" t="n">
        <v>0.3510087242420938</v>
      </c>
      <c r="G8194" s="11">
        <f>E8194*Summary!$B$6</f>
        <v/>
      </c>
      <c r="H8194" s="11">
        <f>F8194*Summary!$B$7</f>
        <v/>
      </c>
      <c r="I8194" s="11">
        <f>MAX(0,N8194-M8194)</f>
        <v/>
      </c>
      <c r="J8194" s="11">
        <f>MAX(0,M8194-N8194)</f>
        <v/>
      </c>
      <c r="K8194" s="11">
        <f>O8194</f>
        <v/>
      </c>
      <c r="L8194" s="11">
        <f>L8193+IF(K8194&gt;0,K8194*Summary!$B$9,K8194/Summary!$B$9)</f>
        <v/>
      </c>
      <c r="M8194" s="11">
        <f>G8194+H8194</f>
        <v/>
      </c>
      <c r="N8194" s="11">
        <f>Summary!$C$16*Summary!$B$8</f>
        <v/>
      </c>
      <c r="O8194" s="11">
        <f>M8194-N8194</f>
        <v/>
      </c>
    </row>
    <row r="8195">
      <c r="A8195" s="9" t="n">
        <v>45633.375</v>
      </c>
      <c r="B8195" t="n">
        <v>12</v>
      </c>
      <c r="C8195" t="n">
        <v>7</v>
      </c>
      <c r="D8195" t="n">
        <v>9</v>
      </c>
      <c r="E8195" s="10" t="n">
        <v>0.053488</v>
      </c>
      <c r="F8195" s="10" t="n">
        <v>0.3511404842737162</v>
      </c>
      <c r="G8195" s="11">
        <f>E8195*Summary!$B$6</f>
        <v/>
      </c>
      <c r="H8195" s="11">
        <f>F8195*Summary!$B$7</f>
        <v/>
      </c>
      <c r="I8195" s="11">
        <f>MAX(0,N8195-M8195)</f>
        <v/>
      </c>
      <c r="J8195" s="11">
        <f>MAX(0,M8195-N8195)</f>
        <v/>
      </c>
      <c r="K8195" s="11">
        <f>O8195</f>
        <v/>
      </c>
      <c r="L8195" s="11">
        <f>L8194+IF(K8195&gt;0,K8195*Summary!$B$9,K8195/Summary!$B$9)</f>
        <v/>
      </c>
      <c r="M8195" s="11">
        <f>G8195+H8195</f>
        <v/>
      </c>
      <c r="N8195" s="11">
        <f>Summary!$C$16*Summary!$B$8</f>
        <v/>
      </c>
      <c r="O8195" s="11">
        <f>M8195-N8195</f>
        <v/>
      </c>
    </row>
    <row r="8196">
      <c r="A8196" s="9" t="n">
        <v>45633.41666666666</v>
      </c>
      <c r="B8196" t="n">
        <v>12</v>
      </c>
      <c r="C8196" t="n">
        <v>7</v>
      </c>
      <c r="D8196" t="n">
        <v>10</v>
      </c>
      <c r="E8196" s="10" t="n">
        <v>0.098306</v>
      </c>
      <c r="F8196" s="10" t="n">
        <v>0.3489005637361353</v>
      </c>
      <c r="G8196" s="11">
        <f>E8196*Summary!$B$6</f>
        <v/>
      </c>
      <c r="H8196" s="11">
        <f>F8196*Summary!$B$7</f>
        <v/>
      </c>
      <c r="I8196" s="11">
        <f>MAX(0,N8196-M8196)</f>
        <v/>
      </c>
      <c r="J8196" s="11">
        <f>MAX(0,M8196-N8196)</f>
        <v/>
      </c>
      <c r="K8196" s="11">
        <f>O8196</f>
        <v/>
      </c>
      <c r="L8196" s="11">
        <f>L8195+IF(K8196&gt;0,K8196*Summary!$B$9,K8196/Summary!$B$9)</f>
        <v/>
      </c>
      <c r="M8196" s="11">
        <f>G8196+H8196</f>
        <v/>
      </c>
      <c r="N8196" s="11">
        <f>Summary!$C$16*Summary!$B$8</f>
        <v/>
      </c>
      <c r="O8196" s="11">
        <f>M8196-N8196</f>
        <v/>
      </c>
    </row>
    <row r="8197">
      <c r="A8197" s="9" t="n">
        <v>45633.45833333334</v>
      </c>
      <c r="B8197" t="n">
        <v>12</v>
      </c>
      <c r="C8197" t="n">
        <v>7</v>
      </c>
      <c r="D8197" t="n">
        <v>11</v>
      </c>
      <c r="E8197" s="10" t="n">
        <v>0.13196</v>
      </c>
      <c r="F8197" s="10" t="n">
        <v>0.3537493328998398</v>
      </c>
      <c r="G8197" s="11">
        <f>E8197*Summary!$B$6</f>
        <v/>
      </c>
      <c r="H8197" s="11">
        <f>F8197*Summary!$B$7</f>
        <v/>
      </c>
      <c r="I8197" s="11">
        <f>MAX(0,N8197-M8197)</f>
        <v/>
      </c>
      <c r="J8197" s="11">
        <f>MAX(0,M8197-N8197)</f>
        <v/>
      </c>
      <c r="K8197" s="11">
        <f>O8197</f>
        <v/>
      </c>
      <c r="L8197" s="11">
        <f>L8196+IF(K8197&gt;0,K8197*Summary!$B$9,K8197/Summary!$B$9)</f>
        <v/>
      </c>
      <c r="M8197" s="11">
        <f>G8197+H8197</f>
        <v/>
      </c>
      <c r="N8197" s="11">
        <f>Summary!$C$16*Summary!$B$8</f>
        <v/>
      </c>
      <c r="O8197" s="11">
        <f>M8197-N8197</f>
        <v/>
      </c>
    </row>
    <row r="8198">
      <c r="A8198" s="9" t="n">
        <v>45633.5</v>
      </c>
      <c r="B8198" t="n">
        <v>12</v>
      </c>
      <c r="C8198" t="n">
        <v>7</v>
      </c>
      <c r="D8198" t="n">
        <v>12</v>
      </c>
      <c r="E8198" s="10" t="n">
        <v>0.061807</v>
      </c>
      <c r="F8198" s="10" t="n">
        <v>0.3476356674325602</v>
      </c>
      <c r="G8198" s="11">
        <f>E8198*Summary!$B$6</f>
        <v/>
      </c>
      <c r="H8198" s="11">
        <f>F8198*Summary!$B$7</f>
        <v/>
      </c>
      <c r="I8198" s="11">
        <f>MAX(0,N8198-M8198)</f>
        <v/>
      </c>
      <c r="J8198" s="11">
        <f>MAX(0,M8198-N8198)</f>
        <v/>
      </c>
      <c r="K8198" s="11">
        <f>O8198</f>
        <v/>
      </c>
      <c r="L8198" s="11">
        <f>L8197+IF(K8198&gt;0,K8198*Summary!$B$9,K8198/Summary!$B$9)</f>
        <v/>
      </c>
      <c r="M8198" s="11">
        <f>G8198+H8198</f>
        <v/>
      </c>
      <c r="N8198" s="11">
        <f>Summary!$C$16*Summary!$B$8</f>
        <v/>
      </c>
      <c r="O8198" s="11">
        <f>M8198-N8198</f>
        <v/>
      </c>
    </row>
    <row r="8199">
      <c r="A8199" s="9" t="n">
        <v>45633.54166666666</v>
      </c>
      <c r="B8199" t="n">
        <v>12</v>
      </c>
      <c r="C8199" t="n">
        <v>7</v>
      </c>
      <c r="D8199" t="n">
        <v>13</v>
      </c>
      <c r="E8199" s="10" t="n">
        <v>0.068395</v>
      </c>
      <c r="F8199" s="10" t="n">
        <v>0.3451058748254099</v>
      </c>
      <c r="G8199" s="11">
        <f>E8199*Summary!$B$6</f>
        <v/>
      </c>
      <c r="H8199" s="11">
        <f>F8199*Summary!$B$7</f>
        <v/>
      </c>
      <c r="I8199" s="11">
        <f>MAX(0,N8199-M8199)</f>
        <v/>
      </c>
      <c r="J8199" s="11">
        <f>MAX(0,M8199-N8199)</f>
        <v/>
      </c>
      <c r="K8199" s="11">
        <f>O8199</f>
        <v/>
      </c>
      <c r="L8199" s="11">
        <f>L8198+IF(K8199&gt;0,K8199*Summary!$B$9,K8199/Summary!$B$9)</f>
        <v/>
      </c>
      <c r="M8199" s="11">
        <f>G8199+H8199</f>
        <v/>
      </c>
      <c r="N8199" s="11">
        <f>Summary!$C$16*Summary!$B$8</f>
        <v/>
      </c>
      <c r="O8199" s="11">
        <f>M8199-N8199</f>
        <v/>
      </c>
    </row>
    <row r="8200">
      <c r="A8200" s="9" t="n">
        <v>45633.58333333334</v>
      </c>
      <c r="B8200" t="n">
        <v>12</v>
      </c>
      <c r="C8200" t="n">
        <v>7</v>
      </c>
      <c r="D8200" t="n">
        <v>14</v>
      </c>
      <c r="E8200" s="10" t="n">
        <v>0.02178</v>
      </c>
      <c r="F8200" s="10" t="n">
        <v>0.3489796197551088</v>
      </c>
      <c r="G8200" s="11">
        <f>E8200*Summary!$B$6</f>
        <v/>
      </c>
      <c r="H8200" s="11">
        <f>F8200*Summary!$B$7</f>
        <v/>
      </c>
      <c r="I8200" s="11">
        <f>MAX(0,N8200-M8200)</f>
        <v/>
      </c>
      <c r="J8200" s="11">
        <f>MAX(0,M8200-N8200)</f>
        <v/>
      </c>
      <c r="K8200" s="11">
        <f>O8200</f>
        <v/>
      </c>
      <c r="L8200" s="11">
        <f>L8199+IF(K8200&gt;0,K8200*Summary!$B$9,K8200/Summary!$B$9)</f>
        <v/>
      </c>
      <c r="M8200" s="11">
        <f>G8200+H8200</f>
        <v/>
      </c>
      <c r="N8200" s="11">
        <f>Summary!$C$16*Summary!$B$8</f>
        <v/>
      </c>
      <c r="O8200" s="11">
        <f>M8200-N8200</f>
        <v/>
      </c>
    </row>
    <row r="8201">
      <c r="A8201" s="9" t="n">
        <v>45633.625</v>
      </c>
      <c r="B8201" t="n">
        <v>12</v>
      </c>
      <c r="C8201" t="n">
        <v>7</v>
      </c>
      <c r="D8201" t="n">
        <v>15</v>
      </c>
      <c r="E8201" s="10" t="n">
        <v>0</v>
      </c>
      <c r="F8201" s="10" t="n">
        <v>0.3567534616208308</v>
      </c>
      <c r="G8201" s="11">
        <f>E8201*Summary!$B$6</f>
        <v/>
      </c>
      <c r="H8201" s="11">
        <f>F8201*Summary!$B$7</f>
        <v/>
      </c>
      <c r="I8201" s="11">
        <f>MAX(0,N8201-M8201)</f>
        <v/>
      </c>
      <c r="J8201" s="11">
        <f>MAX(0,M8201-N8201)</f>
        <v/>
      </c>
      <c r="K8201" s="11">
        <f>O8201</f>
        <v/>
      </c>
      <c r="L8201" s="11">
        <f>L8200+IF(K8201&gt;0,K8201*Summary!$B$9,K8201/Summary!$B$9)</f>
        <v/>
      </c>
      <c r="M8201" s="11">
        <f>G8201+H8201</f>
        <v/>
      </c>
      <c r="N8201" s="11">
        <f>Summary!$C$16*Summary!$B$8</f>
        <v/>
      </c>
      <c r="O8201" s="11">
        <f>M8201-N8201</f>
        <v/>
      </c>
    </row>
    <row r="8202">
      <c r="A8202" s="9" t="n">
        <v>45633.66666666666</v>
      </c>
      <c r="B8202" t="n">
        <v>12</v>
      </c>
      <c r="C8202" t="n">
        <v>7</v>
      </c>
      <c r="D8202" t="n">
        <v>16</v>
      </c>
      <c r="E8202" s="10" t="n">
        <v>0</v>
      </c>
      <c r="F8202" s="10" t="n">
        <v>0.3684537524289005</v>
      </c>
      <c r="G8202" s="11">
        <f>E8202*Summary!$B$6</f>
        <v/>
      </c>
      <c r="H8202" s="11">
        <f>F8202*Summary!$B$7</f>
        <v/>
      </c>
      <c r="I8202" s="11">
        <f>MAX(0,N8202-M8202)</f>
        <v/>
      </c>
      <c r="J8202" s="11">
        <f>MAX(0,M8202-N8202)</f>
        <v/>
      </c>
      <c r="K8202" s="11">
        <f>O8202</f>
        <v/>
      </c>
      <c r="L8202" s="11">
        <f>L8201+IF(K8202&gt;0,K8202*Summary!$B$9,K8202/Summary!$B$9)</f>
        <v/>
      </c>
      <c r="M8202" s="11">
        <f>G8202+H8202</f>
        <v/>
      </c>
      <c r="N8202" s="11">
        <f>Summary!$C$16*Summary!$B$8</f>
        <v/>
      </c>
      <c r="O8202" s="11">
        <f>M8202-N8202</f>
        <v/>
      </c>
    </row>
    <row r="8203">
      <c r="A8203" s="9" t="n">
        <v>45633.70833333334</v>
      </c>
      <c r="B8203" t="n">
        <v>12</v>
      </c>
      <c r="C8203" t="n">
        <v>7</v>
      </c>
      <c r="D8203" t="n">
        <v>17</v>
      </c>
      <c r="E8203" s="10" t="n">
        <v>0</v>
      </c>
      <c r="F8203" s="10" t="n">
        <v>0.375753258180782</v>
      </c>
      <c r="G8203" s="11">
        <f>E8203*Summary!$B$6</f>
        <v/>
      </c>
      <c r="H8203" s="11">
        <f>F8203*Summary!$B$7</f>
        <v/>
      </c>
      <c r="I8203" s="11">
        <f>MAX(0,N8203-M8203)</f>
        <v/>
      </c>
      <c r="J8203" s="11">
        <f>MAX(0,M8203-N8203)</f>
        <v/>
      </c>
      <c r="K8203" s="11">
        <f>O8203</f>
        <v/>
      </c>
      <c r="L8203" s="11">
        <f>L8202+IF(K8203&gt;0,K8203*Summary!$B$9,K8203/Summary!$B$9)</f>
        <v/>
      </c>
      <c r="M8203" s="11">
        <f>G8203+H8203</f>
        <v/>
      </c>
      <c r="N8203" s="11">
        <f>Summary!$C$16*Summary!$B$8</f>
        <v/>
      </c>
      <c r="O8203" s="11">
        <f>M8203-N8203</f>
        <v/>
      </c>
    </row>
    <row r="8204">
      <c r="A8204" s="9" t="n">
        <v>45633.75</v>
      </c>
      <c r="B8204" t="n">
        <v>12</v>
      </c>
      <c r="C8204" t="n">
        <v>7</v>
      </c>
      <c r="D8204" t="n">
        <v>18</v>
      </c>
      <c r="E8204" s="10" t="n">
        <v>0</v>
      </c>
      <c r="F8204" s="10" t="n">
        <v>0.37991687518005</v>
      </c>
      <c r="G8204" s="11">
        <f>E8204*Summary!$B$6</f>
        <v/>
      </c>
      <c r="H8204" s="11">
        <f>F8204*Summary!$B$7</f>
        <v/>
      </c>
      <c r="I8204" s="11">
        <f>MAX(0,N8204-M8204)</f>
        <v/>
      </c>
      <c r="J8204" s="11">
        <f>MAX(0,M8204-N8204)</f>
        <v/>
      </c>
      <c r="K8204" s="11">
        <f>O8204</f>
        <v/>
      </c>
      <c r="L8204" s="11">
        <f>L8203+IF(K8204&gt;0,K8204*Summary!$B$9,K8204/Summary!$B$9)</f>
        <v/>
      </c>
      <c r="M8204" s="11">
        <f>G8204+H8204</f>
        <v/>
      </c>
      <c r="N8204" s="11">
        <f>Summary!$C$16*Summary!$B$8</f>
        <v/>
      </c>
      <c r="O8204" s="11">
        <f>M8204-N8204</f>
        <v/>
      </c>
    </row>
    <row r="8205">
      <c r="A8205" s="9" t="n">
        <v>45633.79166666666</v>
      </c>
      <c r="B8205" t="n">
        <v>12</v>
      </c>
      <c r="C8205" t="n">
        <v>7</v>
      </c>
      <c r="D8205" t="n">
        <v>19</v>
      </c>
      <c r="E8205" s="10" t="n">
        <v>0</v>
      </c>
      <c r="F8205" s="10" t="n">
        <v>0.3728808894914135</v>
      </c>
      <c r="G8205" s="11">
        <f>E8205*Summary!$B$6</f>
        <v/>
      </c>
      <c r="H8205" s="11">
        <f>F8205*Summary!$B$7</f>
        <v/>
      </c>
      <c r="I8205" s="11">
        <f>MAX(0,N8205-M8205)</f>
        <v/>
      </c>
      <c r="J8205" s="11">
        <f>MAX(0,M8205-N8205)</f>
        <v/>
      </c>
      <c r="K8205" s="11">
        <f>O8205</f>
        <v/>
      </c>
      <c r="L8205" s="11">
        <f>L8204+IF(K8205&gt;0,K8205*Summary!$B$9,K8205/Summary!$B$9)</f>
        <v/>
      </c>
      <c r="M8205" s="11">
        <f>G8205+H8205</f>
        <v/>
      </c>
      <c r="N8205" s="11">
        <f>Summary!$C$16*Summary!$B$8</f>
        <v/>
      </c>
      <c r="O8205" s="11">
        <f>M8205-N8205</f>
        <v/>
      </c>
    </row>
    <row r="8206">
      <c r="A8206" s="9" t="n">
        <v>45633.83333333334</v>
      </c>
      <c r="B8206" t="n">
        <v>12</v>
      </c>
      <c r="C8206" t="n">
        <v>7</v>
      </c>
      <c r="D8206" t="n">
        <v>20</v>
      </c>
      <c r="E8206" s="10" t="n">
        <v>0</v>
      </c>
      <c r="F8206" s="10" t="n">
        <v>0.3657658477838035</v>
      </c>
      <c r="G8206" s="11">
        <f>E8206*Summary!$B$6</f>
        <v/>
      </c>
      <c r="H8206" s="11">
        <f>F8206*Summary!$B$7</f>
        <v/>
      </c>
      <c r="I8206" s="11">
        <f>MAX(0,N8206-M8206)</f>
        <v/>
      </c>
      <c r="J8206" s="11">
        <f>MAX(0,M8206-N8206)</f>
        <v/>
      </c>
      <c r="K8206" s="11">
        <f>O8206</f>
        <v/>
      </c>
      <c r="L8206" s="11">
        <f>L8205+IF(K8206&gt;0,K8206*Summary!$B$9,K8206/Summary!$B$9)</f>
        <v/>
      </c>
      <c r="M8206" s="11">
        <f>G8206+H8206</f>
        <v/>
      </c>
      <c r="N8206" s="11">
        <f>Summary!$C$16*Summary!$B$8</f>
        <v/>
      </c>
      <c r="O8206" s="11">
        <f>M8206-N8206</f>
        <v/>
      </c>
    </row>
    <row r="8207">
      <c r="A8207" s="9" t="n">
        <v>45633.875</v>
      </c>
      <c r="B8207" t="n">
        <v>12</v>
      </c>
      <c r="C8207" t="n">
        <v>7</v>
      </c>
      <c r="D8207" t="n">
        <v>21</v>
      </c>
      <c r="E8207" s="10" t="n">
        <v>0</v>
      </c>
      <c r="F8207" s="10" t="n">
        <v>0.3623664389679453</v>
      </c>
      <c r="G8207" s="11">
        <f>E8207*Summary!$B$6</f>
        <v/>
      </c>
      <c r="H8207" s="11">
        <f>F8207*Summary!$B$7</f>
        <v/>
      </c>
      <c r="I8207" s="11">
        <f>MAX(0,N8207-M8207)</f>
        <v/>
      </c>
      <c r="J8207" s="11">
        <f>MAX(0,M8207-N8207)</f>
        <v/>
      </c>
      <c r="K8207" s="11">
        <f>O8207</f>
        <v/>
      </c>
      <c r="L8207" s="11">
        <f>L8206+IF(K8207&gt;0,K8207*Summary!$B$9,K8207/Summary!$B$9)</f>
        <v/>
      </c>
      <c r="M8207" s="11">
        <f>G8207+H8207</f>
        <v/>
      </c>
      <c r="N8207" s="11">
        <f>Summary!$C$16*Summary!$B$8</f>
        <v/>
      </c>
      <c r="O8207" s="11">
        <f>M8207-N8207</f>
        <v/>
      </c>
    </row>
    <row r="8208">
      <c r="A8208" s="9" t="n">
        <v>45633.91666666666</v>
      </c>
      <c r="B8208" t="n">
        <v>12</v>
      </c>
      <c r="C8208" t="n">
        <v>7</v>
      </c>
      <c r="D8208" t="n">
        <v>22</v>
      </c>
      <c r="E8208" s="10" t="n">
        <v>0</v>
      </c>
      <c r="F8208" s="10" t="n">
        <v>0.359942054386093</v>
      </c>
      <c r="G8208" s="11">
        <f>E8208*Summary!$B$6</f>
        <v/>
      </c>
      <c r="H8208" s="11">
        <f>F8208*Summary!$B$7</f>
        <v/>
      </c>
      <c r="I8208" s="11">
        <f>MAX(0,N8208-M8208)</f>
        <v/>
      </c>
      <c r="J8208" s="11">
        <f>MAX(0,M8208-N8208)</f>
        <v/>
      </c>
      <c r="K8208" s="11">
        <f>O8208</f>
        <v/>
      </c>
      <c r="L8208" s="11">
        <f>L8207+IF(K8208&gt;0,K8208*Summary!$B$9,K8208/Summary!$B$9)</f>
        <v/>
      </c>
      <c r="M8208" s="11">
        <f>G8208+H8208</f>
        <v/>
      </c>
      <c r="N8208" s="11">
        <f>Summary!$C$16*Summary!$B$8</f>
        <v/>
      </c>
      <c r="O8208" s="11">
        <f>M8208-N8208</f>
        <v/>
      </c>
    </row>
    <row r="8209">
      <c r="A8209" s="9" t="n">
        <v>45633.95833333334</v>
      </c>
      <c r="B8209" t="n">
        <v>12</v>
      </c>
      <c r="C8209" t="n">
        <v>7</v>
      </c>
      <c r="D8209" t="n">
        <v>23</v>
      </c>
      <c r="E8209" s="10" t="n">
        <v>0</v>
      </c>
      <c r="F8209" s="10" t="n">
        <v>0.3590197341647362</v>
      </c>
      <c r="G8209" s="11">
        <f>E8209*Summary!$B$6</f>
        <v/>
      </c>
      <c r="H8209" s="11">
        <f>F8209*Summary!$B$7</f>
        <v/>
      </c>
      <c r="I8209" s="11">
        <f>MAX(0,N8209-M8209)</f>
        <v/>
      </c>
      <c r="J8209" s="11">
        <f>MAX(0,M8209-N8209)</f>
        <v/>
      </c>
      <c r="K8209" s="11">
        <f>O8209</f>
        <v/>
      </c>
      <c r="L8209" s="11">
        <f>L8208+IF(K8209&gt;0,K8209*Summary!$B$9,K8209/Summary!$B$9)</f>
        <v/>
      </c>
      <c r="M8209" s="11">
        <f>G8209+H8209</f>
        <v/>
      </c>
      <c r="N8209" s="11">
        <f>Summary!$C$16*Summary!$B$8</f>
        <v/>
      </c>
      <c r="O8209" s="11">
        <f>M8209-N8209</f>
        <v/>
      </c>
    </row>
    <row r="8210">
      <c r="A8210" s="9" t="n">
        <v>45634</v>
      </c>
      <c r="B8210" t="n">
        <v>12</v>
      </c>
      <c r="C8210" t="n">
        <v>8</v>
      </c>
      <c r="D8210" t="n">
        <v>0</v>
      </c>
      <c r="E8210" s="10" t="n">
        <v>0</v>
      </c>
      <c r="F8210" s="10" t="n">
        <v>0.4404210817010596</v>
      </c>
      <c r="G8210" s="11">
        <f>E8210*Summary!$B$6</f>
        <v/>
      </c>
      <c r="H8210" s="11">
        <f>F8210*Summary!$B$7</f>
        <v/>
      </c>
      <c r="I8210" s="11">
        <f>MAX(0,N8210-M8210)</f>
        <v/>
      </c>
      <c r="J8210" s="11">
        <f>MAX(0,M8210-N8210)</f>
        <v/>
      </c>
      <c r="K8210" s="11">
        <f>O8210</f>
        <v/>
      </c>
      <c r="L8210" s="11">
        <f>L8209+IF(K8210&gt;0,K8210*Summary!$B$9,K8210/Summary!$B$9)</f>
        <v/>
      </c>
      <c r="M8210" s="11">
        <f>G8210+H8210</f>
        <v/>
      </c>
      <c r="N8210" s="11">
        <f>Summary!$C$16*Summary!$B$8</f>
        <v/>
      </c>
      <c r="O8210" s="11">
        <f>M8210-N8210</f>
        <v/>
      </c>
    </row>
    <row r="8211">
      <c r="A8211" s="9" t="n">
        <v>45634.04166666666</v>
      </c>
      <c r="B8211" t="n">
        <v>12</v>
      </c>
      <c r="C8211" t="n">
        <v>8</v>
      </c>
      <c r="D8211" t="n">
        <v>1</v>
      </c>
      <c r="E8211" s="10" t="n">
        <v>0</v>
      </c>
      <c r="F8211" s="10" t="n">
        <v>0.3642374314169835</v>
      </c>
      <c r="G8211" s="11">
        <f>E8211*Summary!$B$6</f>
        <v/>
      </c>
      <c r="H8211" s="11">
        <f>F8211*Summary!$B$7</f>
        <v/>
      </c>
      <c r="I8211" s="11">
        <f>MAX(0,N8211-M8211)</f>
        <v/>
      </c>
      <c r="J8211" s="11">
        <f>MAX(0,M8211-N8211)</f>
        <v/>
      </c>
      <c r="K8211" s="11">
        <f>O8211</f>
        <v/>
      </c>
      <c r="L8211" s="11">
        <f>L8210+IF(K8211&gt;0,K8211*Summary!$B$9,K8211/Summary!$B$9)</f>
        <v/>
      </c>
      <c r="M8211" s="11">
        <f>G8211+H8211</f>
        <v/>
      </c>
      <c r="N8211" s="11">
        <f>Summary!$C$16*Summary!$B$8</f>
        <v/>
      </c>
      <c r="O8211" s="11">
        <f>M8211-N8211</f>
        <v/>
      </c>
    </row>
    <row r="8212">
      <c r="A8212" s="9" t="n">
        <v>45634.08333333334</v>
      </c>
      <c r="B8212" t="n">
        <v>12</v>
      </c>
      <c r="C8212" t="n">
        <v>8</v>
      </c>
      <c r="D8212" t="n">
        <v>2</v>
      </c>
      <c r="E8212" s="10" t="n">
        <v>0</v>
      </c>
      <c r="F8212" s="10" t="n">
        <v>0.3633678152082757</v>
      </c>
      <c r="G8212" s="11">
        <f>E8212*Summary!$B$6</f>
        <v/>
      </c>
      <c r="H8212" s="11">
        <f>F8212*Summary!$B$7</f>
        <v/>
      </c>
      <c r="I8212" s="11">
        <f>MAX(0,N8212-M8212)</f>
        <v/>
      </c>
      <c r="J8212" s="11">
        <f>MAX(0,M8212-N8212)</f>
        <v/>
      </c>
      <c r="K8212" s="11">
        <f>O8212</f>
        <v/>
      </c>
      <c r="L8212" s="11">
        <f>L8211+IF(K8212&gt;0,K8212*Summary!$B$9,K8212/Summary!$B$9)</f>
        <v/>
      </c>
      <c r="M8212" s="11">
        <f>G8212+H8212</f>
        <v/>
      </c>
      <c r="N8212" s="11">
        <f>Summary!$C$16*Summary!$B$8</f>
        <v/>
      </c>
      <c r="O8212" s="11">
        <f>M8212-N8212</f>
        <v/>
      </c>
    </row>
    <row r="8213">
      <c r="A8213" s="9" t="n">
        <v>45634.125</v>
      </c>
      <c r="B8213" t="n">
        <v>12</v>
      </c>
      <c r="C8213" t="n">
        <v>8</v>
      </c>
      <c r="D8213" t="n">
        <v>3</v>
      </c>
      <c r="E8213" s="10" t="n">
        <v>0</v>
      </c>
      <c r="F8213" s="10" t="n">
        <v>0.3605217985252317</v>
      </c>
      <c r="G8213" s="11">
        <f>E8213*Summary!$B$6</f>
        <v/>
      </c>
      <c r="H8213" s="11">
        <f>F8213*Summary!$B$7</f>
        <v/>
      </c>
      <c r="I8213" s="11">
        <f>MAX(0,N8213-M8213)</f>
        <v/>
      </c>
      <c r="J8213" s="11">
        <f>MAX(0,M8213-N8213)</f>
        <v/>
      </c>
      <c r="K8213" s="11">
        <f>O8213</f>
        <v/>
      </c>
      <c r="L8213" s="11">
        <f>L8212+IF(K8213&gt;0,K8213*Summary!$B$9,K8213/Summary!$B$9)</f>
        <v/>
      </c>
      <c r="M8213" s="11">
        <f>G8213+H8213</f>
        <v/>
      </c>
      <c r="N8213" s="11">
        <f>Summary!$C$16*Summary!$B$8</f>
        <v/>
      </c>
      <c r="O8213" s="11">
        <f>M8213-N8213</f>
        <v/>
      </c>
    </row>
    <row r="8214">
      <c r="A8214" s="9" t="n">
        <v>45634.16666666666</v>
      </c>
      <c r="B8214" t="n">
        <v>12</v>
      </c>
      <c r="C8214" t="n">
        <v>8</v>
      </c>
      <c r="D8214" t="n">
        <v>4</v>
      </c>
      <c r="E8214" s="10" t="n">
        <v>0</v>
      </c>
      <c r="F8214" s="10" t="n">
        <v>0.326501358360326</v>
      </c>
      <c r="G8214" s="11">
        <f>E8214*Summary!$B$6</f>
        <v/>
      </c>
      <c r="H8214" s="11">
        <f>F8214*Summary!$B$7</f>
        <v/>
      </c>
      <c r="I8214" s="11">
        <f>MAX(0,N8214-M8214)</f>
        <v/>
      </c>
      <c r="J8214" s="11">
        <f>MAX(0,M8214-N8214)</f>
        <v/>
      </c>
      <c r="K8214" s="11">
        <f>O8214</f>
        <v/>
      </c>
      <c r="L8214" s="11">
        <f>L8213+IF(K8214&gt;0,K8214*Summary!$B$9,K8214/Summary!$B$9)</f>
        <v/>
      </c>
      <c r="M8214" s="11">
        <f>G8214+H8214</f>
        <v/>
      </c>
      <c r="N8214" s="11">
        <f>Summary!$C$16*Summary!$B$8</f>
        <v/>
      </c>
      <c r="O8214" s="11">
        <f>M8214-N8214</f>
        <v/>
      </c>
    </row>
    <row r="8215">
      <c r="A8215" s="9" t="n">
        <v>45634.20833333334</v>
      </c>
      <c r="B8215" t="n">
        <v>12</v>
      </c>
      <c r="C8215" t="n">
        <v>8</v>
      </c>
      <c r="D8215" t="n">
        <v>5</v>
      </c>
      <c r="E8215" s="10" t="n">
        <v>0</v>
      </c>
      <c r="F8215" s="10" t="n">
        <v>0.3643428394422815</v>
      </c>
      <c r="G8215" s="11">
        <f>E8215*Summary!$B$6</f>
        <v/>
      </c>
      <c r="H8215" s="11">
        <f>F8215*Summary!$B$7</f>
        <v/>
      </c>
      <c r="I8215" s="11">
        <f>MAX(0,N8215-M8215)</f>
        <v/>
      </c>
      <c r="J8215" s="11">
        <f>MAX(0,M8215-N8215)</f>
        <v/>
      </c>
      <c r="K8215" s="11">
        <f>O8215</f>
        <v/>
      </c>
      <c r="L8215" s="11">
        <f>L8214+IF(K8215&gt;0,K8215*Summary!$B$9,K8215/Summary!$B$9)</f>
        <v/>
      </c>
      <c r="M8215" s="11">
        <f>G8215+H8215</f>
        <v/>
      </c>
      <c r="N8215" s="11">
        <f>Summary!$C$16*Summary!$B$8</f>
        <v/>
      </c>
      <c r="O8215" s="11">
        <f>M8215-N8215</f>
        <v/>
      </c>
    </row>
    <row r="8216">
      <c r="A8216" s="9" t="n">
        <v>45634.25</v>
      </c>
      <c r="B8216" t="n">
        <v>12</v>
      </c>
      <c r="C8216" t="n">
        <v>8</v>
      </c>
      <c r="D8216" t="n">
        <v>6</v>
      </c>
      <c r="E8216" s="10" t="n">
        <v>0</v>
      </c>
      <c r="F8216" s="10" t="n">
        <v>0.3687699765047943</v>
      </c>
      <c r="G8216" s="11">
        <f>E8216*Summary!$B$6</f>
        <v/>
      </c>
      <c r="H8216" s="11">
        <f>F8216*Summary!$B$7</f>
        <v/>
      </c>
      <c r="I8216" s="11">
        <f>MAX(0,N8216-M8216)</f>
        <v/>
      </c>
      <c r="J8216" s="11">
        <f>MAX(0,M8216-N8216)</f>
        <v/>
      </c>
      <c r="K8216" s="11">
        <f>O8216</f>
        <v/>
      </c>
      <c r="L8216" s="11">
        <f>L8215+IF(K8216&gt;0,K8216*Summary!$B$9,K8216/Summary!$B$9)</f>
        <v/>
      </c>
      <c r="M8216" s="11">
        <f>G8216+H8216</f>
        <v/>
      </c>
      <c r="N8216" s="11">
        <f>Summary!$C$16*Summary!$B$8</f>
        <v/>
      </c>
      <c r="O8216" s="11">
        <f>M8216-N8216</f>
        <v/>
      </c>
    </row>
    <row r="8217">
      <c r="A8217" s="9" t="n">
        <v>45634.29166666666</v>
      </c>
      <c r="B8217" t="n">
        <v>12</v>
      </c>
      <c r="C8217" t="n">
        <v>8</v>
      </c>
      <c r="D8217" t="n">
        <v>7</v>
      </c>
      <c r="E8217" s="10" t="n">
        <v>0</v>
      </c>
      <c r="F8217" s="10" t="n">
        <v>0.3745674178961803</v>
      </c>
      <c r="G8217" s="11">
        <f>E8217*Summary!$B$6</f>
        <v/>
      </c>
      <c r="H8217" s="11">
        <f>F8217*Summary!$B$7</f>
        <v/>
      </c>
      <c r="I8217" s="11">
        <f>MAX(0,N8217-M8217)</f>
        <v/>
      </c>
      <c r="J8217" s="11">
        <f>MAX(0,M8217-N8217)</f>
        <v/>
      </c>
      <c r="K8217" s="11">
        <f>O8217</f>
        <v/>
      </c>
      <c r="L8217" s="11">
        <f>L8216+IF(K8217&gt;0,K8217*Summary!$B$9,K8217/Summary!$B$9)</f>
        <v/>
      </c>
      <c r="M8217" s="11">
        <f>G8217+H8217</f>
        <v/>
      </c>
      <c r="N8217" s="11">
        <f>Summary!$C$16*Summary!$B$8</f>
        <v/>
      </c>
      <c r="O8217" s="11">
        <f>M8217-N8217</f>
        <v/>
      </c>
    </row>
    <row r="8218">
      <c r="A8218" s="9" t="n">
        <v>45634.33333333334</v>
      </c>
      <c r="B8218" t="n">
        <v>12</v>
      </c>
      <c r="C8218" t="n">
        <v>8</v>
      </c>
      <c r="D8218" t="n">
        <v>8</v>
      </c>
      <c r="E8218" s="10" t="n">
        <v>0</v>
      </c>
      <c r="F8218" s="10" t="n">
        <v>0.3759113702187288</v>
      </c>
      <c r="G8218" s="11">
        <f>E8218*Summary!$B$6</f>
        <v/>
      </c>
      <c r="H8218" s="11">
        <f>F8218*Summary!$B$7</f>
        <v/>
      </c>
      <c r="I8218" s="11">
        <f>MAX(0,N8218-M8218)</f>
        <v/>
      </c>
      <c r="J8218" s="11">
        <f>MAX(0,M8218-N8218)</f>
        <v/>
      </c>
      <c r="K8218" s="11">
        <f>O8218</f>
        <v/>
      </c>
      <c r="L8218" s="11">
        <f>L8217+IF(K8218&gt;0,K8218*Summary!$B$9,K8218/Summary!$B$9)</f>
        <v/>
      </c>
      <c r="M8218" s="11">
        <f>G8218+H8218</f>
        <v/>
      </c>
      <c r="N8218" s="11">
        <f>Summary!$C$16*Summary!$B$8</f>
        <v/>
      </c>
      <c r="O8218" s="11">
        <f>M8218-N8218</f>
        <v/>
      </c>
    </row>
    <row r="8219">
      <c r="A8219" s="9" t="n">
        <v>45634.375</v>
      </c>
      <c r="B8219" t="n">
        <v>12</v>
      </c>
      <c r="C8219" t="n">
        <v>8</v>
      </c>
      <c r="D8219" t="n">
        <v>9</v>
      </c>
      <c r="E8219" s="10" t="n">
        <v>0.051837</v>
      </c>
      <c r="F8219" s="10" t="n">
        <v>0.3840014361603447</v>
      </c>
      <c r="G8219" s="11">
        <f>E8219*Summary!$B$6</f>
        <v/>
      </c>
      <c r="H8219" s="11">
        <f>F8219*Summary!$B$7</f>
        <v/>
      </c>
      <c r="I8219" s="11">
        <f>MAX(0,N8219-M8219)</f>
        <v/>
      </c>
      <c r="J8219" s="11">
        <f>MAX(0,M8219-N8219)</f>
        <v/>
      </c>
      <c r="K8219" s="11">
        <f>O8219</f>
        <v/>
      </c>
      <c r="L8219" s="11">
        <f>L8218+IF(K8219&gt;0,K8219*Summary!$B$9,K8219/Summary!$B$9)</f>
        <v/>
      </c>
      <c r="M8219" s="11">
        <f>G8219+H8219</f>
        <v/>
      </c>
      <c r="N8219" s="11">
        <f>Summary!$C$16*Summary!$B$8</f>
        <v/>
      </c>
      <c r="O8219" s="11">
        <f>M8219-N8219</f>
        <v/>
      </c>
    </row>
    <row r="8220">
      <c r="A8220" s="9" t="n">
        <v>45634.41666666666</v>
      </c>
      <c r="B8220" t="n">
        <v>12</v>
      </c>
      <c r="C8220" t="n">
        <v>8</v>
      </c>
      <c r="D8220" t="n">
        <v>10</v>
      </c>
      <c r="E8220" s="10" t="n">
        <v>0.094236</v>
      </c>
      <c r="F8220" s="10" t="n">
        <v>0.3896407655137837</v>
      </c>
      <c r="G8220" s="11">
        <f>E8220*Summary!$B$6</f>
        <v/>
      </c>
      <c r="H8220" s="11">
        <f>F8220*Summary!$B$7</f>
        <v/>
      </c>
      <c r="I8220" s="11">
        <f>MAX(0,N8220-M8220)</f>
        <v/>
      </c>
      <c r="J8220" s="11">
        <f>MAX(0,M8220-N8220)</f>
        <v/>
      </c>
      <c r="K8220" s="11">
        <f>O8220</f>
        <v/>
      </c>
      <c r="L8220" s="11">
        <f>L8219+IF(K8220&gt;0,K8220*Summary!$B$9,K8220/Summary!$B$9)</f>
        <v/>
      </c>
      <c r="M8220" s="11">
        <f>G8220+H8220</f>
        <v/>
      </c>
      <c r="N8220" s="11">
        <f>Summary!$C$16*Summary!$B$8</f>
        <v/>
      </c>
      <c r="O8220" s="11">
        <f>M8220-N8220</f>
        <v/>
      </c>
    </row>
    <row r="8221">
      <c r="A8221" s="9" t="n">
        <v>45634.45833333334</v>
      </c>
      <c r="B8221" t="n">
        <v>12</v>
      </c>
      <c r="C8221" t="n">
        <v>8</v>
      </c>
      <c r="D8221" t="n">
        <v>11</v>
      </c>
      <c r="E8221" s="10" t="n">
        <v>0.087662</v>
      </c>
      <c r="F8221" s="10" t="n">
        <v>0.3884022212165331</v>
      </c>
      <c r="G8221" s="11">
        <f>E8221*Summary!$B$6</f>
        <v/>
      </c>
      <c r="H8221" s="11">
        <f>F8221*Summary!$B$7</f>
        <v/>
      </c>
      <c r="I8221" s="11">
        <f>MAX(0,N8221-M8221)</f>
        <v/>
      </c>
      <c r="J8221" s="11">
        <f>MAX(0,M8221-N8221)</f>
        <v/>
      </c>
      <c r="K8221" s="11">
        <f>O8221</f>
        <v/>
      </c>
      <c r="L8221" s="11">
        <f>L8220+IF(K8221&gt;0,K8221*Summary!$B$9,K8221/Summary!$B$9)</f>
        <v/>
      </c>
      <c r="M8221" s="11">
        <f>G8221+H8221</f>
        <v/>
      </c>
      <c r="N8221" s="11">
        <f>Summary!$C$16*Summary!$B$8</f>
        <v/>
      </c>
      <c r="O8221" s="11">
        <f>M8221-N8221</f>
        <v/>
      </c>
    </row>
    <row r="8222">
      <c r="A8222" s="9" t="n">
        <v>45634.5</v>
      </c>
      <c r="B8222" t="n">
        <v>12</v>
      </c>
      <c r="C8222" t="n">
        <v>8</v>
      </c>
      <c r="D8222" t="n">
        <v>12</v>
      </c>
      <c r="E8222" s="10" t="n">
        <v>0.08333500000000001</v>
      </c>
      <c r="F8222" s="10" t="n">
        <v>0.3900096936023265</v>
      </c>
      <c r="G8222" s="11">
        <f>E8222*Summary!$B$6</f>
        <v/>
      </c>
      <c r="H8222" s="11">
        <f>F8222*Summary!$B$7</f>
        <v/>
      </c>
      <c r="I8222" s="11">
        <f>MAX(0,N8222-M8222)</f>
        <v/>
      </c>
      <c r="J8222" s="11">
        <f>MAX(0,M8222-N8222)</f>
        <v/>
      </c>
      <c r="K8222" s="11">
        <f>O8222</f>
        <v/>
      </c>
      <c r="L8222" s="11">
        <f>L8221+IF(K8222&gt;0,K8222*Summary!$B$9,K8222/Summary!$B$9)</f>
        <v/>
      </c>
      <c r="M8222" s="11">
        <f>G8222+H8222</f>
        <v/>
      </c>
      <c r="N8222" s="11">
        <f>Summary!$C$16*Summary!$B$8</f>
        <v/>
      </c>
      <c r="O8222" s="11">
        <f>M8222-N8222</f>
        <v/>
      </c>
    </row>
    <row r="8223">
      <c r="A8223" s="9" t="n">
        <v>45634.54166666666</v>
      </c>
      <c r="B8223" t="n">
        <v>12</v>
      </c>
      <c r="C8223" t="n">
        <v>8</v>
      </c>
      <c r="D8223" t="n">
        <v>13</v>
      </c>
      <c r="E8223" s="10" t="n">
        <v>0.082134</v>
      </c>
      <c r="F8223" s="10" t="n">
        <v>0.3959388950253348</v>
      </c>
      <c r="G8223" s="11">
        <f>E8223*Summary!$B$6</f>
        <v/>
      </c>
      <c r="H8223" s="11">
        <f>F8223*Summary!$B$7</f>
        <v/>
      </c>
      <c r="I8223" s="11">
        <f>MAX(0,N8223-M8223)</f>
        <v/>
      </c>
      <c r="J8223" s="11">
        <f>MAX(0,M8223-N8223)</f>
        <v/>
      </c>
      <c r="K8223" s="11">
        <f>O8223</f>
        <v/>
      </c>
      <c r="L8223" s="11">
        <f>L8222+IF(K8223&gt;0,K8223*Summary!$B$9,K8223/Summary!$B$9)</f>
        <v/>
      </c>
      <c r="M8223" s="11">
        <f>G8223+H8223</f>
        <v/>
      </c>
      <c r="N8223" s="11">
        <f>Summary!$C$16*Summary!$B$8</f>
        <v/>
      </c>
      <c r="O8223" s="11">
        <f>M8223-N8223</f>
        <v/>
      </c>
    </row>
    <row r="8224">
      <c r="A8224" s="9" t="n">
        <v>45634.58333333334</v>
      </c>
      <c r="B8224" t="n">
        <v>12</v>
      </c>
      <c r="C8224" t="n">
        <v>8</v>
      </c>
      <c r="D8224" t="n">
        <v>14</v>
      </c>
      <c r="E8224" s="10" t="n">
        <v>0.047967</v>
      </c>
      <c r="F8224" s="10" t="n">
        <v>0.404977633194632</v>
      </c>
      <c r="G8224" s="11">
        <f>E8224*Summary!$B$6</f>
        <v/>
      </c>
      <c r="H8224" s="11">
        <f>F8224*Summary!$B$7</f>
        <v/>
      </c>
      <c r="I8224" s="11">
        <f>MAX(0,N8224-M8224)</f>
        <v/>
      </c>
      <c r="J8224" s="11">
        <f>MAX(0,M8224-N8224)</f>
        <v/>
      </c>
      <c r="K8224" s="11">
        <f>O8224</f>
        <v/>
      </c>
      <c r="L8224" s="11">
        <f>L8223+IF(K8224&gt;0,K8224*Summary!$B$9,K8224/Summary!$B$9)</f>
        <v/>
      </c>
      <c r="M8224" s="11">
        <f>G8224+H8224</f>
        <v/>
      </c>
      <c r="N8224" s="11">
        <f>Summary!$C$16*Summary!$B$8</f>
        <v/>
      </c>
      <c r="O8224" s="11">
        <f>M8224-N8224</f>
        <v/>
      </c>
    </row>
    <row r="8225">
      <c r="A8225" s="9" t="n">
        <v>45634.625</v>
      </c>
      <c r="B8225" t="n">
        <v>12</v>
      </c>
      <c r="C8225" t="n">
        <v>8</v>
      </c>
      <c r="D8225" t="n">
        <v>15</v>
      </c>
      <c r="E8225" s="10" t="n">
        <v>0</v>
      </c>
      <c r="F8225" s="10" t="n">
        <v>0.4203935568944537</v>
      </c>
      <c r="G8225" s="11">
        <f>E8225*Summary!$B$6</f>
        <v/>
      </c>
      <c r="H8225" s="11">
        <f>F8225*Summary!$B$7</f>
        <v/>
      </c>
      <c r="I8225" s="11">
        <f>MAX(0,N8225-M8225)</f>
        <v/>
      </c>
      <c r="J8225" s="11">
        <f>MAX(0,M8225-N8225)</f>
        <v/>
      </c>
      <c r="K8225" s="11">
        <f>O8225</f>
        <v/>
      </c>
      <c r="L8225" s="11">
        <f>L8224+IF(K8225&gt;0,K8225*Summary!$B$9,K8225/Summary!$B$9)</f>
        <v/>
      </c>
      <c r="M8225" s="11">
        <f>G8225+H8225</f>
        <v/>
      </c>
      <c r="N8225" s="11">
        <f>Summary!$C$16*Summary!$B$8</f>
        <v/>
      </c>
      <c r="O8225" s="11">
        <f>M8225-N8225</f>
        <v/>
      </c>
    </row>
    <row r="8226">
      <c r="A8226" s="9" t="n">
        <v>45634.66666666666</v>
      </c>
      <c r="B8226" t="n">
        <v>12</v>
      </c>
      <c r="C8226" t="n">
        <v>8</v>
      </c>
      <c r="D8226" t="n">
        <v>16</v>
      </c>
      <c r="E8226" s="10" t="n">
        <v>0</v>
      </c>
      <c r="F8226" s="10" t="n">
        <v>0.4362574647017916</v>
      </c>
      <c r="G8226" s="11">
        <f>E8226*Summary!$B$6</f>
        <v/>
      </c>
      <c r="H8226" s="11">
        <f>F8226*Summary!$B$7</f>
        <v/>
      </c>
      <c r="I8226" s="11">
        <f>MAX(0,N8226-M8226)</f>
        <v/>
      </c>
      <c r="J8226" s="11">
        <f>MAX(0,M8226-N8226)</f>
        <v/>
      </c>
      <c r="K8226" s="11">
        <f>O8226</f>
        <v/>
      </c>
      <c r="L8226" s="11">
        <f>L8225+IF(K8226&gt;0,K8226*Summary!$B$9,K8226/Summary!$B$9)</f>
        <v/>
      </c>
      <c r="M8226" s="11">
        <f>G8226+H8226</f>
        <v/>
      </c>
      <c r="N8226" s="11">
        <f>Summary!$C$16*Summary!$B$8</f>
        <v/>
      </c>
      <c r="O8226" s="11">
        <f>M8226-N8226</f>
        <v/>
      </c>
    </row>
    <row r="8227">
      <c r="A8227" s="9" t="n">
        <v>45634.70833333334</v>
      </c>
      <c r="B8227" t="n">
        <v>12</v>
      </c>
      <c r="C8227" t="n">
        <v>8</v>
      </c>
      <c r="D8227" t="n">
        <v>17</v>
      </c>
      <c r="E8227" s="10" t="n">
        <v>0</v>
      </c>
      <c r="F8227" s="10" t="n">
        <v>0.4473780113707227</v>
      </c>
      <c r="G8227" s="11">
        <f>E8227*Summary!$B$6</f>
        <v/>
      </c>
      <c r="H8227" s="11">
        <f>F8227*Summary!$B$7</f>
        <v/>
      </c>
      <c r="I8227" s="11">
        <f>MAX(0,N8227-M8227)</f>
        <v/>
      </c>
      <c r="J8227" s="11">
        <f>MAX(0,M8227-N8227)</f>
        <v/>
      </c>
      <c r="K8227" s="11">
        <f>O8227</f>
        <v/>
      </c>
      <c r="L8227" s="11">
        <f>L8226+IF(K8227&gt;0,K8227*Summary!$B$9,K8227/Summary!$B$9)</f>
        <v/>
      </c>
      <c r="M8227" s="11">
        <f>G8227+H8227</f>
        <v/>
      </c>
      <c r="N8227" s="11">
        <f>Summary!$C$16*Summary!$B$8</f>
        <v/>
      </c>
      <c r="O8227" s="11">
        <f>M8227-N8227</f>
        <v/>
      </c>
    </row>
    <row r="8228">
      <c r="A8228" s="9" t="n">
        <v>45634.75</v>
      </c>
      <c r="B8228" t="n">
        <v>12</v>
      </c>
      <c r="C8228" t="n">
        <v>8</v>
      </c>
      <c r="D8228" t="n">
        <v>18</v>
      </c>
      <c r="E8228" s="10" t="n">
        <v>0</v>
      </c>
      <c r="F8228" s="10" t="n">
        <v>0.451225404294097</v>
      </c>
      <c r="G8228" s="11">
        <f>E8228*Summary!$B$6</f>
        <v/>
      </c>
      <c r="H8228" s="11">
        <f>F8228*Summary!$B$7</f>
        <v/>
      </c>
      <c r="I8228" s="11">
        <f>MAX(0,N8228-M8228)</f>
        <v/>
      </c>
      <c r="J8228" s="11">
        <f>MAX(0,M8228-N8228)</f>
        <v/>
      </c>
      <c r="K8228" s="11">
        <f>O8228</f>
        <v/>
      </c>
      <c r="L8228" s="11">
        <f>L8227+IF(K8228&gt;0,K8228*Summary!$B$9,K8228/Summary!$B$9)</f>
        <v/>
      </c>
      <c r="M8228" s="11">
        <f>G8228+H8228</f>
        <v/>
      </c>
      <c r="N8228" s="11">
        <f>Summary!$C$16*Summary!$B$8</f>
        <v/>
      </c>
      <c r="O8228" s="11">
        <f>M8228-N8228</f>
        <v/>
      </c>
    </row>
    <row r="8229">
      <c r="A8229" s="9" t="n">
        <v>45634.79166666666</v>
      </c>
      <c r="B8229" t="n">
        <v>12</v>
      </c>
      <c r="C8229" t="n">
        <v>8</v>
      </c>
      <c r="D8229" t="n">
        <v>19</v>
      </c>
      <c r="E8229" s="10" t="n">
        <v>0</v>
      </c>
      <c r="F8229" s="10" t="n">
        <v>0.4504611961106871</v>
      </c>
      <c r="G8229" s="11">
        <f>E8229*Summary!$B$6</f>
        <v/>
      </c>
      <c r="H8229" s="11">
        <f>F8229*Summary!$B$7</f>
        <v/>
      </c>
      <c r="I8229" s="11">
        <f>MAX(0,N8229-M8229)</f>
        <v/>
      </c>
      <c r="J8229" s="11">
        <f>MAX(0,M8229-N8229)</f>
        <v/>
      </c>
      <c r="K8229" s="11">
        <f>O8229</f>
        <v/>
      </c>
      <c r="L8229" s="11">
        <f>L8228+IF(K8229&gt;0,K8229*Summary!$B$9,K8229/Summary!$B$9)</f>
        <v/>
      </c>
      <c r="M8229" s="11">
        <f>G8229+H8229</f>
        <v/>
      </c>
      <c r="N8229" s="11">
        <f>Summary!$C$16*Summary!$B$8</f>
        <v/>
      </c>
      <c r="O8229" s="11">
        <f>M8229-N8229</f>
        <v/>
      </c>
    </row>
    <row r="8230">
      <c r="A8230" s="9" t="n">
        <v>45634.83333333334</v>
      </c>
      <c r="B8230" t="n">
        <v>12</v>
      </c>
      <c r="C8230" t="n">
        <v>8</v>
      </c>
      <c r="D8230" t="n">
        <v>20</v>
      </c>
      <c r="E8230" s="10" t="n">
        <v>0</v>
      </c>
      <c r="F8230" s="10" t="n">
        <v>0.4463239311177435</v>
      </c>
      <c r="G8230" s="11">
        <f>E8230*Summary!$B$6</f>
        <v/>
      </c>
      <c r="H8230" s="11">
        <f>F8230*Summary!$B$7</f>
        <v/>
      </c>
      <c r="I8230" s="11">
        <f>MAX(0,N8230-M8230)</f>
        <v/>
      </c>
      <c r="J8230" s="11">
        <f>MAX(0,M8230-N8230)</f>
        <v/>
      </c>
      <c r="K8230" s="11">
        <f>O8230</f>
        <v/>
      </c>
      <c r="L8230" s="11">
        <f>L8229+IF(K8230&gt;0,K8230*Summary!$B$9,K8230/Summary!$B$9)</f>
        <v/>
      </c>
      <c r="M8230" s="11">
        <f>G8230+H8230</f>
        <v/>
      </c>
      <c r="N8230" s="11">
        <f>Summary!$C$16*Summary!$B$8</f>
        <v/>
      </c>
      <c r="O8230" s="11">
        <f>M8230-N8230</f>
        <v/>
      </c>
    </row>
    <row r="8231">
      <c r="A8231" s="9" t="n">
        <v>45634.875</v>
      </c>
      <c r="B8231" t="n">
        <v>12</v>
      </c>
      <c r="C8231" t="n">
        <v>8</v>
      </c>
      <c r="D8231" t="n">
        <v>21</v>
      </c>
      <c r="E8231" s="10" t="n">
        <v>0</v>
      </c>
      <c r="F8231" s="10" t="n">
        <v>0.4430826343398322</v>
      </c>
      <c r="G8231" s="11">
        <f>E8231*Summary!$B$6</f>
        <v/>
      </c>
      <c r="H8231" s="11">
        <f>F8231*Summary!$B$7</f>
        <v/>
      </c>
      <c r="I8231" s="11">
        <f>MAX(0,N8231-M8231)</f>
        <v/>
      </c>
      <c r="J8231" s="11">
        <f>MAX(0,M8231-N8231)</f>
        <v/>
      </c>
      <c r="K8231" s="11">
        <f>O8231</f>
        <v/>
      </c>
      <c r="L8231" s="11">
        <f>L8230+IF(K8231&gt;0,K8231*Summary!$B$9,K8231/Summary!$B$9)</f>
        <v/>
      </c>
      <c r="M8231" s="11">
        <f>G8231+H8231</f>
        <v/>
      </c>
      <c r="N8231" s="11">
        <f>Summary!$C$16*Summary!$B$8</f>
        <v/>
      </c>
      <c r="O8231" s="11">
        <f>M8231-N8231</f>
        <v/>
      </c>
    </row>
    <row r="8232">
      <c r="A8232" s="9" t="n">
        <v>45634.91666666666</v>
      </c>
      <c r="B8232" t="n">
        <v>12</v>
      </c>
      <c r="C8232" t="n">
        <v>8</v>
      </c>
      <c r="D8232" t="n">
        <v>22</v>
      </c>
      <c r="E8232" s="10" t="n">
        <v>0</v>
      </c>
      <c r="F8232" s="10" t="n">
        <v>0.4421603141184753</v>
      </c>
      <c r="G8232" s="11">
        <f>E8232*Summary!$B$6</f>
        <v/>
      </c>
      <c r="H8232" s="11">
        <f>F8232*Summary!$B$7</f>
        <v/>
      </c>
      <c r="I8232" s="11">
        <f>MAX(0,N8232-M8232)</f>
        <v/>
      </c>
      <c r="J8232" s="11">
        <f>MAX(0,M8232-N8232)</f>
        <v/>
      </c>
      <c r="K8232" s="11">
        <f>O8232</f>
        <v/>
      </c>
      <c r="L8232" s="11">
        <f>L8231+IF(K8232&gt;0,K8232*Summary!$B$9,K8232/Summary!$B$9)</f>
        <v/>
      </c>
      <c r="M8232" s="11">
        <f>G8232+H8232</f>
        <v/>
      </c>
      <c r="N8232" s="11">
        <f>Summary!$C$16*Summary!$B$8</f>
        <v/>
      </c>
      <c r="O8232" s="11">
        <f>M8232-N8232</f>
        <v/>
      </c>
    </row>
    <row r="8233">
      <c r="A8233" s="9" t="n">
        <v>45634.95833333334</v>
      </c>
      <c r="B8233" t="n">
        <v>12</v>
      </c>
      <c r="C8233" t="n">
        <v>8</v>
      </c>
      <c r="D8233" t="n">
        <v>23</v>
      </c>
      <c r="E8233" s="10" t="n">
        <v>0</v>
      </c>
      <c r="F8233" s="10" t="n">
        <v>0.4413434019224164</v>
      </c>
      <c r="G8233" s="11">
        <f>E8233*Summary!$B$6</f>
        <v/>
      </c>
      <c r="H8233" s="11">
        <f>F8233*Summary!$B$7</f>
        <v/>
      </c>
      <c r="I8233" s="11">
        <f>MAX(0,N8233-M8233)</f>
        <v/>
      </c>
      <c r="J8233" s="11">
        <f>MAX(0,M8233-N8233)</f>
        <v/>
      </c>
      <c r="K8233" s="11">
        <f>O8233</f>
        <v/>
      </c>
      <c r="L8233" s="11">
        <f>L8232+IF(K8233&gt;0,K8233*Summary!$B$9,K8233/Summary!$B$9)</f>
        <v/>
      </c>
      <c r="M8233" s="11">
        <f>G8233+H8233</f>
        <v/>
      </c>
      <c r="N8233" s="11">
        <f>Summary!$C$16*Summary!$B$8</f>
        <v/>
      </c>
      <c r="O8233" s="11">
        <f>M8233-N8233</f>
        <v/>
      </c>
    </row>
    <row r="8234">
      <c r="A8234" s="9" t="n">
        <v>45635</v>
      </c>
      <c r="B8234" t="n">
        <v>12</v>
      </c>
      <c r="C8234" t="n">
        <v>9</v>
      </c>
      <c r="D8234" t="n">
        <v>0</v>
      </c>
      <c r="E8234" s="10" t="n">
        <v>0</v>
      </c>
      <c r="F8234" s="10" t="n">
        <v>0.3240769737784737</v>
      </c>
      <c r="G8234" s="11">
        <f>E8234*Summary!$B$6</f>
        <v/>
      </c>
      <c r="H8234" s="11">
        <f>F8234*Summary!$B$7</f>
        <v/>
      </c>
      <c r="I8234" s="11">
        <f>MAX(0,N8234-M8234)</f>
        <v/>
      </c>
      <c r="J8234" s="11">
        <f>MAX(0,M8234-N8234)</f>
        <v/>
      </c>
      <c r="K8234" s="11">
        <f>O8234</f>
        <v/>
      </c>
      <c r="L8234" s="11">
        <f>L8233+IF(K8234&gt;0,K8234*Summary!$B$9,K8234/Summary!$B$9)</f>
        <v/>
      </c>
      <c r="M8234" s="11">
        <f>G8234+H8234</f>
        <v/>
      </c>
      <c r="N8234" s="11">
        <f>Summary!$C$16*Summary!$B$8</f>
        <v/>
      </c>
      <c r="O8234" s="11">
        <f>M8234-N8234</f>
        <v/>
      </c>
    </row>
    <row r="8235">
      <c r="A8235" s="9" t="n">
        <v>45635.04166666666</v>
      </c>
      <c r="B8235" t="n">
        <v>12</v>
      </c>
      <c r="C8235" t="n">
        <v>9</v>
      </c>
      <c r="D8235" t="n">
        <v>1</v>
      </c>
      <c r="E8235" s="10" t="n">
        <v>0</v>
      </c>
      <c r="F8235" s="10" t="n">
        <v>0.4308816554115973</v>
      </c>
      <c r="G8235" s="11">
        <f>E8235*Summary!$B$6</f>
        <v/>
      </c>
      <c r="H8235" s="11">
        <f>F8235*Summary!$B$7</f>
        <v/>
      </c>
      <c r="I8235" s="11">
        <f>MAX(0,N8235-M8235)</f>
        <v/>
      </c>
      <c r="J8235" s="11">
        <f>MAX(0,M8235-N8235)</f>
        <v/>
      </c>
      <c r="K8235" s="11">
        <f>O8235</f>
        <v/>
      </c>
      <c r="L8235" s="11">
        <f>L8234+IF(K8235&gt;0,K8235*Summary!$B$9,K8235/Summary!$B$9)</f>
        <v/>
      </c>
      <c r="M8235" s="11">
        <f>G8235+H8235</f>
        <v/>
      </c>
      <c r="N8235" s="11">
        <f>Summary!$C$16*Summary!$B$8</f>
        <v/>
      </c>
      <c r="O8235" s="11">
        <f>M8235-N8235</f>
        <v/>
      </c>
    </row>
    <row r="8236">
      <c r="A8236" s="9" t="n">
        <v>45635.08333333334</v>
      </c>
      <c r="B8236" t="n">
        <v>12</v>
      </c>
      <c r="C8236" t="n">
        <v>9</v>
      </c>
      <c r="D8236" t="n">
        <v>2</v>
      </c>
      <c r="E8236" s="10" t="n">
        <v>0</v>
      </c>
      <c r="F8236" s="10" t="n">
        <v>0.4226861814446835</v>
      </c>
      <c r="G8236" s="11">
        <f>E8236*Summary!$B$6</f>
        <v/>
      </c>
      <c r="H8236" s="11">
        <f>F8236*Summary!$B$7</f>
        <v/>
      </c>
      <c r="I8236" s="11">
        <f>MAX(0,N8236-M8236)</f>
        <v/>
      </c>
      <c r="J8236" s="11">
        <f>MAX(0,M8236-N8236)</f>
        <v/>
      </c>
      <c r="K8236" s="11">
        <f>O8236</f>
        <v/>
      </c>
      <c r="L8236" s="11">
        <f>L8235+IF(K8236&gt;0,K8236*Summary!$B$9,K8236/Summary!$B$9)</f>
        <v/>
      </c>
      <c r="M8236" s="11">
        <f>G8236+H8236</f>
        <v/>
      </c>
      <c r="N8236" s="11">
        <f>Summary!$C$16*Summary!$B$8</f>
        <v/>
      </c>
      <c r="O8236" s="11">
        <f>M8236-N8236</f>
        <v/>
      </c>
    </row>
    <row r="8237">
      <c r="A8237" s="9" t="n">
        <v>45635.125</v>
      </c>
      <c r="B8237" t="n">
        <v>12</v>
      </c>
      <c r="C8237" t="n">
        <v>9</v>
      </c>
      <c r="D8237" t="n">
        <v>3</v>
      </c>
      <c r="E8237" s="10" t="n">
        <v>0</v>
      </c>
      <c r="F8237" s="10" t="n">
        <v>0.4208942450146188</v>
      </c>
      <c r="G8237" s="11">
        <f>E8237*Summary!$B$6</f>
        <v/>
      </c>
      <c r="H8237" s="11">
        <f>F8237*Summary!$B$7</f>
        <v/>
      </c>
      <c r="I8237" s="11">
        <f>MAX(0,N8237-M8237)</f>
        <v/>
      </c>
      <c r="J8237" s="11">
        <f>MAX(0,M8237-N8237)</f>
        <v/>
      </c>
      <c r="K8237" s="11">
        <f>O8237</f>
        <v/>
      </c>
      <c r="L8237" s="11">
        <f>L8236+IF(K8237&gt;0,K8237*Summary!$B$9,K8237/Summary!$B$9)</f>
        <v/>
      </c>
      <c r="M8237" s="11">
        <f>G8237+H8237</f>
        <v/>
      </c>
      <c r="N8237" s="11">
        <f>Summary!$C$16*Summary!$B$8</f>
        <v/>
      </c>
      <c r="O8237" s="11">
        <f>M8237-N8237</f>
        <v/>
      </c>
    </row>
    <row r="8238">
      <c r="A8238" s="9" t="n">
        <v>45635.16666666666</v>
      </c>
      <c r="B8238" t="n">
        <v>12</v>
      </c>
      <c r="C8238" t="n">
        <v>9</v>
      </c>
      <c r="D8238" t="n">
        <v>4</v>
      </c>
      <c r="E8238" s="10" t="n">
        <v>0</v>
      </c>
      <c r="F8238" s="10" t="n">
        <v>0.4162826439078345</v>
      </c>
      <c r="G8238" s="11">
        <f>E8238*Summary!$B$6</f>
        <v/>
      </c>
      <c r="H8238" s="11">
        <f>F8238*Summary!$B$7</f>
        <v/>
      </c>
      <c r="I8238" s="11">
        <f>MAX(0,N8238-M8238)</f>
        <v/>
      </c>
      <c r="J8238" s="11">
        <f>MAX(0,M8238-N8238)</f>
        <v/>
      </c>
      <c r="K8238" s="11">
        <f>O8238</f>
        <v/>
      </c>
      <c r="L8238" s="11">
        <f>L8237+IF(K8238&gt;0,K8238*Summary!$B$9,K8238/Summary!$B$9)</f>
        <v/>
      </c>
      <c r="M8238" s="11">
        <f>G8238+H8238</f>
        <v/>
      </c>
      <c r="N8238" s="11">
        <f>Summary!$C$16*Summary!$B$8</f>
        <v/>
      </c>
      <c r="O8238" s="11">
        <f>M8238-N8238</f>
        <v/>
      </c>
    </row>
    <row r="8239">
      <c r="A8239" s="9" t="n">
        <v>45635.20833333334</v>
      </c>
      <c r="B8239" t="n">
        <v>12</v>
      </c>
      <c r="C8239" t="n">
        <v>9</v>
      </c>
      <c r="D8239" t="n">
        <v>5</v>
      </c>
      <c r="E8239" s="10" t="n">
        <v>0</v>
      </c>
      <c r="F8239" s="10" t="n">
        <v>0.4138319073196577</v>
      </c>
      <c r="G8239" s="11">
        <f>E8239*Summary!$B$6</f>
        <v/>
      </c>
      <c r="H8239" s="11">
        <f>F8239*Summary!$B$7</f>
        <v/>
      </c>
      <c r="I8239" s="11">
        <f>MAX(0,N8239-M8239)</f>
        <v/>
      </c>
      <c r="J8239" s="11">
        <f>MAX(0,M8239-N8239)</f>
        <v/>
      </c>
      <c r="K8239" s="11">
        <f>O8239</f>
        <v/>
      </c>
      <c r="L8239" s="11">
        <f>L8238+IF(K8239&gt;0,K8239*Summary!$B$9,K8239/Summary!$B$9)</f>
        <v/>
      </c>
      <c r="M8239" s="11">
        <f>G8239+H8239</f>
        <v/>
      </c>
      <c r="N8239" s="11">
        <f>Summary!$C$16*Summary!$B$8</f>
        <v/>
      </c>
      <c r="O8239" s="11">
        <f>M8239-N8239</f>
        <v/>
      </c>
    </row>
    <row r="8240">
      <c r="A8240" s="9" t="n">
        <v>45635.25</v>
      </c>
      <c r="B8240" t="n">
        <v>12</v>
      </c>
      <c r="C8240" t="n">
        <v>9</v>
      </c>
      <c r="D8240" t="n">
        <v>6</v>
      </c>
      <c r="E8240" s="10" t="n">
        <v>0</v>
      </c>
      <c r="F8240" s="10" t="n">
        <v>0.4373378969610953</v>
      </c>
      <c r="G8240" s="11">
        <f>E8240*Summary!$B$6</f>
        <v/>
      </c>
      <c r="H8240" s="11">
        <f>F8240*Summary!$B$7</f>
        <v/>
      </c>
      <c r="I8240" s="11">
        <f>MAX(0,N8240-M8240)</f>
        <v/>
      </c>
      <c r="J8240" s="11">
        <f>MAX(0,M8240-N8240)</f>
        <v/>
      </c>
      <c r="K8240" s="11">
        <f>O8240</f>
        <v/>
      </c>
      <c r="L8240" s="11">
        <f>L8239+IF(K8240&gt;0,K8240*Summary!$B$9,K8240/Summary!$B$9)</f>
        <v/>
      </c>
      <c r="M8240" s="11">
        <f>G8240+H8240</f>
        <v/>
      </c>
      <c r="N8240" s="11">
        <f>Summary!$C$16*Summary!$B$8</f>
        <v/>
      </c>
      <c r="O8240" s="11">
        <f>M8240-N8240</f>
        <v/>
      </c>
    </row>
    <row r="8241">
      <c r="A8241" s="9" t="n">
        <v>45635.29166666666</v>
      </c>
      <c r="B8241" t="n">
        <v>12</v>
      </c>
      <c r="C8241" t="n">
        <v>9</v>
      </c>
      <c r="D8241" t="n">
        <v>7</v>
      </c>
      <c r="E8241" s="10" t="n">
        <v>0</v>
      </c>
      <c r="F8241" s="10" t="n">
        <v>0.3998126399550336</v>
      </c>
      <c r="G8241" s="11">
        <f>E8241*Summary!$B$6</f>
        <v/>
      </c>
      <c r="H8241" s="11">
        <f>F8241*Summary!$B$7</f>
        <v/>
      </c>
      <c r="I8241" s="11">
        <f>MAX(0,N8241-M8241)</f>
        <v/>
      </c>
      <c r="J8241" s="11">
        <f>MAX(0,M8241-N8241)</f>
        <v/>
      </c>
      <c r="K8241" s="11">
        <f>O8241</f>
        <v/>
      </c>
      <c r="L8241" s="11">
        <f>L8240+IF(K8241&gt;0,K8241*Summary!$B$9,K8241/Summary!$B$9)</f>
        <v/>
      </c>
      <c r="M8241" s="11">
        <f>G8241+H8241</f>
        <v/>
      </c>
      <c r="N8241" s="11">
        <f>Summary!$C$16*Summary!$B$8</f>
        <v/>
      </c>
      <c r="O8241" s="11">
        <f>M8241-N8241</f>
        <v/>
      </c>
    </row>
    <row r="8242">
      <c r="A8242" s="9" t="n">
        <v>45635.33333333334</v>
      </c>
      <c r="B8242" t="n">
        <v>12</v>
      </c>
      <c r="C8242" t="n">
        <v>9</v>
      </c>
      <c r="D8242" t="n">
        <v>8</v>
      </c>
      <c r="E8242" s="10" t="n">
        <v>0</v>
      </c>
      <c r="F8242" s="10" t="n">
        <v>0.3865839327801438</v>
      </c>
      <c r="G8242" s="11">
        <f>E8242*Summary!$B$6</f>
        <v/>
      </c>
      <c r="H8242" s="11">
        <f>F8242*Summary!$B$7</f>
        <v/>
      </c>
      <c r="I8242" s="11">
        <f>MAX(0,N8242-M8242)</f>
        <v/>
      </c>
      <c r="J8242" s="11">
        <f>MAX(0,M8242-N8242)</f>
        <v/>
      </c>
      <c r="K8242" s="11">
        <f>O8242</f>
        <v/>
      </c>
      <c r="L8242" s="11">
        <f>L8241+IF(K8242&gt;0,K8242*Summary!$B$9,K8242/Summary!$B$9)</f>
        <v/>
      </c>
      <c r="M8242" s="11">
        <f>G8242+H8242</f>
        <v/>
      </c>
      <c r="N8242" s="11">
        <f>Summary!$C$16*Summary!$B$8</f>
        <v/>
      </c>
      <c r="O8242" s="11">
        <f>M8242-N8242</f>
        <v/>
      </c>
    </row>
    <row r="8243">
      <c r="A8243" s="9" t="n">
        <v>45635.375</v>
      </c>
      <c r="B8243" t="n">
        <v>12</v>
      </c>
      <c r="C8243" t="n">
        <v>9</v>
      </c>
      <c r="D8243" t="n">
        <v>9</v>
      </c>
      <c r="E8243" s="10" t="n">
        <v>0.003149</v>
      </c>
      <c r="F8243" s="10" t="n">
        <v>0.3753843300922392</v>
      </c>
      <c r="G8243" s="11">
        <f>E8243*Summary!$B$6</f>
        <v/>
      </c>
      <c r="H8243" s="11">
        <f>F8243*Summary!$B$7</f>
        <v/>
      </c>
      <c r="I8243" s="11">
        <f>MAX(0,N8243-M8243)</f>
        <v/>
      </c>
      <c r="J8243" s="11">
        <f>MAX(0,M8243-N8243)</f>
        <v/>
      </c>
      <c r="K8243" s="11">
        <f>O8243</f>
        <v/>
      </c>
      <c r="L8243" s="11">
        <f>L8242+IF(K8243&gt;0,K8243*Summary!$B$9,K8243/Summary!$B$9)</f>
        <v/>
      </c>
      <c r="M8243" s="11">
        <f>G8243+H8243</f>
        <v/>
      </c>
      <c r="N8243" s="11">
        <f>Summary!$C$16*Summary!$B$8</f>
        <v/>
      </c>
      <c r="O8243" s="11">
        <f>M8243-N8243</f>
        <v/>
      </c>
    </row>
    <row r="8244">
      <c r="A8244" s="9" t="n">
        <v>45635.41666666666</v>
      </c>
      <c r="B8244" t="n">
        <v>12</v>
      </c>
      <c r="C8244" t="n">
        <v>9</v>
      </c>
      <c r="D8244" t="n">
        <v>10</v>
      </c>
      <c r="E8244" s="10" t="n">
        <v>0.007231</v>
      </c>
      <c r="F8244" s="10" t="n">
        <v>0.3614968227592375</v>
      </c>
      <c r="G8244" s="11">
        <f>E8244*Summary!$B$6</f>
        <v/>
      </c>
      <c r="H8244" s="11">
        <f>F8244*Summary!$B$7</f>
        <v/>
      </c>
      <c r="I8244" s="11">
        <f>MAX(0,N8244-M8244)</f>
        <v/>
      </c>
      <c r="J8244" s="11">
        <f>MAX(0,M8244-N8244)</f>
        <v/>
      </c>
      <c r="K8244" s="11">
        <f>O8244</f>
        <v/>
      </c>
      <c r="L8244" s="11">
        <f>L8243+IF(K8244&gt;0,K8244*Summary!$B$9,K8244/Summary!$B$9)</f>
        <v/>
      </c>
      <c r="M8244" s="11">
        <f>G8244+H8244</f>
        <v/>
      </c>
      <c r="N8244" s="11">
        <f>Summary!$C$16*Summary!$B$8</f>
        <v/>
      </c>
      <c r="O8244" s="11">
        <f>M8244-N8244</f>
        <v/>
      </c>
    </row>
    <row r="8245">
      <c r="A8245" s="9" t="n">
        <v>45635.45833333334</v>
      </c>
      <c r="B8245" t="n">
        <v>12</v>
      </c>
      <c r="C8245" t="n">
        <v>9</v>
      </c>
      <c r="D8245" t="n">
        <v>11</v>
      </c>
      <c r="E8245" s="10" t="n">
        <v>0.012955</v>
      </c>
      <c r="F8245" s="10" t="n">
        <v>0.3407050897692215</v>
      </c>
      <c r="G8245" s="11">
        <f>E8245*Summary!$B$6</f>
        <v/>
      </c>
      <c r="H8245" s="11">
        <f>F8245*Summary!$B$7</f>
        <v/>
      </c>
      <c r="I8245" s="11">
        <f>MAX(0,N8245-M8245)</f>
        <v/>
      </c>
      <c r="J8245" s="11">
        <f>MAX(0,M8245-N8245)</f>
        <v/>
      </c>
      <c r="K8245" s="11">
        <f>O8245</f>
        <v/>
      </c>
      <c r="L8245" s="11">
        <f>L8244+IF(K8245&gt;0,K8245*Summary!$B$9,K8245/Summary!$B$9)</f>
        <v/>
      </c>
      <c r="M8245" s="11">
        <f>G8245+H8245</f>
        <v/>
      </c>
      <c r="N8245" s="11">
        <f>Summary!$C$16*Summary!$B$8</f>
        <v/>
      </c>
      <c r="O8245" s="11">
        <f>M8245-N8245</f>
        <v/>
      </c>
    </row>
    <row r="8246">
      <c r="A8246" s="9" t="n">
        <v>45635.5</v>
      </c>
      <c r="B8246" t="n">
        <v>12</v>
      </c>
      <c r="C8246" t="n">
        <v>9</v>
      </c>
      <c r="D8246" t="n">
        <v>12</v>
      </c>
      <c r="E8246" s="10" t="n">
        <v>0.007145</v>
      </c>
      <c r="F8246" s="10" t="n">
        <v>0.3189646845515243</v>
      </c>
      <c r="G8246" s="11">
        <f>E8246*Summary!$B$6</f>
        <v/>
      </c>
      <c r="H8246" s="11">
        <f>F8246*Summary!$B$7</f>
        <v/>
      </c>
      <c r="I8246" s="11">
        <f>MAX(0,N8246-M8246)</f>
        <v/>
      </c>
      <c r="J8246" s="11">
        <f>MAX(0,M8246-N8246)</f>
        <v/>
      </c>
      <c r="K8246" s="11">
        <f>O8246</f>
        <v/>
      </c>
      <c r="L8246" s="11">
        <f>L8245+IF(K8246&gt;0,K8246*Summary!$B$9,K8246/Summary!$B$9)</f>
        <v/>
      </c>
      <c r="M8246" s="11">
        <f>G8246+H8246</f>
        <v/>
      </c>
      <c r="N8246" s="11">
        <f>Summary!$C$16*Summary!$B$8</f>
        <v/>
      </c>
      <c r="O8246" s="11">
        <f>M8246-N8246</f>
        <v/>
      </c>
    </row>
    <row r="8247">
      <c r="A8247" s="9" t="n">
        <v>45635.54166666666</v>
      </c>
      <c r="B8247" t="n">
        <v>12</v>
      </c>
      <c r="C8247" t="n">
        <v>9</v>
      </c>
      <c r="D8247" t="n">
        <v>13</v>
      </c>
      <c r="E8247" s="10" t="n">
        <v>0.00553</v>
      </c>
      <c r="F8247" s="10" t="n">
        <v>0.3106638025593126</v>
      </c>
      <c r="G8247" s="11">
        <f>E8247*Summary!$B$6</f>
        <v/>
      </c>
      <c r="H8247" s="11">
        <f>F8247*Summary!$B$7</f>
        <v/>
      </c>
      <c r="I8247" s="11">
        <f>MAX(0,N8247-M8247)</f>
        <v/>
      </c>
      <c r="J8247" s="11">
        <f>MAX(0,M8247-N8247)</f>
        <v/>
      </c>
      <c r="K8247" s="11">
        <f>O8247</f>
        <v/>
      </c>
      <c r="L8247" s="11">
        <f>L8246+IF(K8247&gt;0,K8247*Summary!$B$9,K8247/Summary!$B$9)</f>
        <v/>
      </c>
      <c r="M8247" s="11">
        <f>G8247+H8247</f>
        <v/>
      </c>
      <c r="N8247" s="11">
        <f>Summary!$C$16*Summary!$B$8</f>
        <v/>
      </c>
      <c r="O8247" s="11">
        <f>M8247-N8247</f>
        <v/>
      </c>
    </row>
    <row r="8248">
      <c r="A8248" s="9" t="n">
        <v>45635.58333333334</v>
      </c>
      <c r="B8248" t="n">
        <v>12</v>
      </c>
      <c r="C8248" t="n">
        <v>9</v>
      </c>
      <c r="D8248" t="n">
        <v>14</v>
      </c>
      <c r="E8248" s="10" t="n">
        <v>0.002816</v>
      </c>
      <c r="F8248" s="10" t="n">
        <v>0.3049981211995491</v>
      </c>
      <c r="G8248" s="11">
        <f>E8248*Summary!$B$6</f>
        <v/>
      </c>
      <c r="H8248" s="11">
        <f>F8248*Summary!$B$7</f>
        <v/>
      </c>
      <c r="I8248" s="11">
        <f>MAX(0,N8248-M8248)</f>
        <v/>
      </c>
      <c r="J8248" s="11">
        <f>MAX(0,M8248-N8248)</f>
        <v/>
      </c>
      <c r="K8248" s="11">
        <f>O8248</f>
        <v/>
      </c>
      <c r="L8248" s="11">
        <f>L8247+IF(K8248&gt;0,K8248*Summary!$B$9,K8248/Summary!$B$9)</f>
        <v/>
      </c>
      <c r="M8248" s="11">
        <f>G8248+H8248</f>
        <v/>
      </c>
      <c r="N8248" s="11">
        <f>Summary!$C$16*Summary!$B$8</f>
        <v/>
      </c>
      <c r="O8248" s="11">
        <f>M8248-N8248</f>
        <v/>
      </c>
    </row>
    <row r="8249">
      <c r="A8249" s="9" t="n">
        <v>45635.625</v>
      </c>
      <c r="B8249" t="n">
        <v>12</v>
      </c>
      <c r="C8249" t="n">
        <v>9</v>
      </c>
      <c r="D8249" t="n">
        <v>15</v>
      </c>
      <c r="E8249" s="10" t="n">
        <v>0</v>
      </c>
      <c r="F8249" s="10" t="n">
        <v>0.3137733393056014</v>
      </c>
      <c r="G8249" s="11">
        <f>E8249*Summary!$B$6</f>
        <v/>
      </c>
      <c r="H8249" s="11">
        <f>F8249*Summary!$B$7</f>
        <v/>
      </c>
      <c r="I8249" s="11">
        <f>MAX(0,N8249-M8249)</f>
        <v/>
      </c>
      <c r="J8249" s="11">
        <f>MAX(0,M8249-N8249)</f>
        <v/>
      </c>
      <c r="K8249" s="11">
        <f>O8249</f>
        <v/>
      </c>
      <c r="L8249" s="11">
        <f>L8248+IF(K8249&gt;0,K8249*Summary!$B$9,K8249/Summary!$B$9)</f>
        <v/>
      </c>
      <c r="M8249" s="11">
        <f>G8249+H8249</f>
        <v/>
      </c>
      <c r="N8249" s="11">
        <f>Summary!$C$16*Summary!$B$8</f>
        <v/>
      </c>
      <c r="O8249" s="11">
        <f>M8249-N8249</f>
        <v/>
      </c>
    </row>
    <row r="8250">
      <c r="A8250" s="9" t="n">
        <v>45635.66666666666</v>
      </c>
      <c r="B8250" t="n">
        <v>12</v>
      </c>
      <c r="C8250" t="n">
        <v>9</v>
      </c>
      <c r="D8250" t="n">
        <v>16</v>
      </c>
      <c r="E8250" s="10" t="n">
        <v>0</v>
      </c>
      <c r="F8250" s="10" t="n">
        <v>0.3209937890385094</v>
      </c>
      <c r="G8250" s="11">
        <f>E8250*Summary!$B$6</f>
        <v/>
      </c>
      <c r="H8250" s="11">
        <f>F8250*Summary!$B$7</f>
        <v/>
      </c>
      <c r="I8250" s="11">
        <f>MAX(0,N8250-M8250)</f>
        <v/>
      </c>
      <c r="J8250" s="11">
        <f>MAX(0,M8250-N8250)</f>
        <v/>
      </c>
      <c r="K8250" s="11">
        <f>O8250</f>
        <v/>
      </c>
      <c r="L8250" s="11">
        <f>L8249+IF(K8250&gt;0,K8250*Summary!$B$9,K8250/Summary!$B$9)</f>
        <v/>
      </c>
      <c r="M8250" s="11">
        <f>G8250+H8250</f>
        <v/>
      </c>
      <c r="N8250" s="11">
        <f>Summary!$C$16*Summary!$B$8</f>
        <v/>
      </c>
      <c r="O8250" s="11">
        <f>M8250-N8250</f>
        <v/>
      </c>
    </row>
    <row r="8251">
      <c r="A8251" s="9" t="n">
        <v>45635.70833333334</v>
      </c>
      <c r="B8251" t="n">
        <v>12</v>
      </c>
      <c r="C8251" t="n">
        <v>9</v>
      </c>
      <c r="D8251" t="n">
        <v>17</v>
      </c>
      <c r="E8251" s="10" t="n">
        <v>0</v>
      </c>
      <c r="F8251" s="10" t="n">
        <v>0.3252364620567509</v>
      </c>
      <c r="G8251" s="11">
        <f>E8251*Summary!$B$6</f>
        <v/>
      </c>
      <c r="H8251" s="11">
        <f>F8251*Summary!$B$7</f>
        <v/>
      </c>
      <c r="I8251" s="11">
        <f>MAX(0,N8251-M8251)</f>
        <v/>
      </c>
      <c r="J8251" s="11">
        <f>MAX(0,M8251-N8251)</f>
        <v/>
      </c>
      <c r="K8251" s="11">
        <f>O8251</f>
        <v/>
      </c>
      <c r="L8251" s="11">
        <f>L8250+IF(K8251&gt;0,K8251*Summary!$B$9,K8251/Summary!$B$9)</f>
        <v/>
      </c>
      <c r="M8251" s="11">
        <f>G8251+H8251</f>
        <v/>
      </c>
      <c r="N8251" s="11">
        <f>Summary!$C$16*Summary!$B$8</f>
        <v/>
      </c>
      <c r="O8251" s="11">
        <f>M8251-N8251</f>
        <v/>
      </c>
    </row>
    <row r="8252">
      <c r="A8252" s="9" t="n">
        <v>45635.75</v>
      </c>
      <c r="B8252" t="n">
        <v>12</v>
      </c>
      <c r="C8252" t="n">
        <v>9</v>
      </c>
      <c r="D8252" t="n">
        <v>18</v>
      </c>
      <c r="E8252" s="10" t="n">
        <v>0</v>
      </c>
      <c r="F8252" s="10" t="n">
        <v>0.327107454505789</v>
      </c>
      <c r="G8252" s="11">
        <f>E8252*Summary!$B$6</f>
        <v/>
      </c>
      <c r="H8252" s="11">
        <f>F8252*Summary!$B$7</f>
        <v/>
      </c>
      <c r="I8252" s="11">
        <f>MAX(0,N8252-M8252)</f>
        <v/>
      </c>
      <c r="J8252" s="11">
        <f>MAX(0,M8252-N8252)</f>
        <v/>
      </c>
      <c r="K8252" s="11">
        <f>O8252</f>
        <v/>
      </c>
      <c r="L8252" s="11">
        <f>L8251+IF(K8252&gt;0,K8252*Summary!$B$9,K8252/Summary!$B$9)</f>
        <v/>
      </c>
      <c r="M8252" s="11">
        <f>G8252+H8252</f>
        <v/>
      </c>
      <c r="N8252" s="11">
        <f>Summary!$C$16*Summary!$B$8</f>
        <v/>
      </c>
      <c r="O8252" s="11">
        <f>M8252-N8252</f>
        <v/>
      </c>
    </row>
    <row r="8253">
      <c r="A8253" s="9" t="n">
        <v>45635.79166666666</v>
      </c>
      <c r="B8253" t="n">
        <v>12</v>
      </c>
      <c r="C8253" t="n">
        <v>9</v>
      </c>
      <c r="D8253" t="n">
        <v>19</v>
      </c>
      <c r="E8253" s="10" t="n">
        <v>0</v>
      </c>
      <c r="F8253" s="10" t="n">
        <v>0.3306122713469452</v>
      </c>
      <c r="G8253" s="11">
        <f>E8253*Summary!$B$6</f>
        <v/>
      </c>
      <c r="H8253" s="11">
        <f>F8253*Summary!$B$7</f>
        <v/>
      </c>
      <c r="I8253" s="11">
        <f>MAX(0,N8253-M8253)</f>
        <v/>
      </c>
      <c r="J8253" s="11">
        <f>MAX(0,M8253-N8253)</f>
        <v/>
      </c>
      <c r="K8253" s="11">
        <f>O8253</f>
        <v/>
      </c>
      <c r="L8253" s="11">
        <f>L8252+IF(K8253&gt;0,K8253*Summary!$B$9,K8253/Summary!$B$9)</f>
        <v/>
      </c>
      <c r="M8253" s="11">
        <f>G8253+H8253</f>
        <v/>
      </c>
      <c r="N8253" s="11">
        <f>Summary!$C$16*Summary!$B$8</f>
        <v/>
      </c>
      <c r="O8253" s="11">
        <f>M8253-N8253</f>
        <v/>
      </c>
    </row>
    <row r="8254">
      <c r="A8254" s="9" t="n">
        <v>45635.83333333334</v>
      </c>
      <c r="B8254" t="n">
        <v>12</v>
      </c>
      <c r="C8254" t="n">
        <v>9</v>
      </c>
      <c r="D8254" t="n">
        <v>20</v>
      </c>
      <c r="E8254" s="10" t="n">
        <v>0</v>
      </c>
      <c r="F8254" s="10" t="n">
        <v>0.3358299685991925</v>
      </c>
      <c r="G8254" s="11">
        <f>E8254*Summary!$B$6</f>
        <v/>
      </c>
      <c r="H8254" s="11">
        <f>F8254*Summary!$B$7</f>
        <v/>
      </c>
      <c r="I8254" s="11">
        <f>MAX(0,N8254-M8254)</f>
        <v/>
      </c>
      <c r="J8254" s="11">
        <f>MAX(0,M8254-N8254)</f>
        <v/>
      </c>
      <c r="K8254" s="11">
        <f>O8254</f>
        <v/>
      </c>
      <c r="L8254" s="11">
        <f>L8253+IF(K8254&gt;0,K8254*Summary!$B$9,K8254/Summary!$B$9)</f>
        <v/>
      </c>
      <c r="M8254" s="11">
        <f>G8254+H8254</f>
        <v/>
      </c>
      <c r="N8254" s="11">
        <f>Summary!$C$16*Summary!$B$8</f>
        <v/>
      </c>
      <c r="O8254" s="11">
        <f>M8254-N8254</f>
        <v/>
      </c>
    </row>
    <row r="8255">
      <c r="A8255" s="9" t="n">
        <v>45635.875</v>
      </c>
      <c r="B8255" t="n">
        <v>12</v>
      </c>
      <c r="C8255" t="n">
        <v>9</v>
      </c>
      <c r="D8255" t="n">
        <v>21</v>
      </c>
      <c r="E8255" s="10" t="n">
        <v>0</v>
      </c>
      <c r="F8255" s="10" t="n">
        <v>0.3405469777312747</v>
      </c>
      <c r="G8255" s="11">
        <f>E8255*Summary!$B$6</f>
        <v/>
      </c>
      <c r="H8255" s="11">
        <f>F8255*Summary!$B$7</f>
        <v/>
      </c>
      <c r="I8255" s="11">
        <f>MAX(0,N8255-M8255)</f>
        <v/>
      </c>
      <c r="J8255" s="11">
        <f>MAX(0,M8255-N8255)</f>
        <v/>
      </c>
      <c r="K8255" s="11">
        <f>O8255</f>
        <v/>
      </c>
      <c r="L8255" s="11">
        <f>L8254+IF(K8255&gt;0,K8255*Summary!$B$9,K8255/Summary!$B$9)</f>
        <v/>
      </c>
      <c r="M8255" s="11">
        <f>G8255+H8255</f>
        <v/>
      </c>
      <c r="N8255" s="11">
        <f>Summary!$C$16*Summary!$B$8</f>
        <v/>
      </c>
      <c r="O8255" s="11">
        <f>M8255-N8255</f>
        <v/>
      </c>
    </row>
    <row r="8256">
      <c r="A8256" s="9" t="n">
        <v>45635.91666666666</v>
      </c>
      <c r="B8256" t="n">
        <v>12</v>
      </c>
      <c r="C8256" t="n">
        <v>9</v>
      </c>
      <c r="D8256" t="n">
        <v>22</v>
      </c>
      <c r="E8256" s="10" t="n">
        <v>0</v>
      </c>
      <c r="F8256" s="10" t="n">
        <v>0.3396246575099178</v>
      </c>
      <c r="G8256" s="11">
        <f>E8256*Summary!$B$6</f>
        <v/>
      </c>
      <c r="H8256" s="11">
        <f>F8256*Summary!$B$7</f>
        <v/>
      </c>
      <c r="I8256" s="11">
        <f>MAX(0,N8256-M8256)</f>
        <v/>
      </c>
      <c r="J8256" s="11">
        <f>MAX(0,M8256-N8256)</f>
        <v/>
      </c>
      <c r="K8256" s="11">
        <f>O8256</f>
        <v/>
      </c>
      <c r="L8256" s="11">
        <f>L8255+IF(K8256&gt;0,K8256*Summary!$B$9,K8256/Summary!$B$9)</f>
        <v/>
      </c>
      <c r="M8256" s="11">
        <f>G8256+H8256</f>
        <v/>
      </c>
      <c r="N8256" s="11">
        <f>Summary!$C$16*Summary!$B$8</f>
        <v/>
      </c>
      <c r="O8256" s="11">
        <f>M8256-N8256</f>
        <v/>
      </c>
    </row>
    <row r="8257">
      <c r="A8257" s="9" t="n">
        <v>45635.95833333334</v>
      </c>
      <c r="B8257" t="n">
        <v>12</v>
      </c>
      <c r="C8257" t="n">
        <v>9</v>
      </c>
      <c r="D8257" t="n">
        <v>23</v>
      </c>
      <c r="E8257" s="10" t="n">
        <v>0</v>
      </c>
      <c r="F8257" s="10" t="n">
        <v>0.3324305597833344</v>
      </c>
      <c r="G8257" s="11">
        <f>E8257*Summary!$B$6</f>
        <v/>
      </c>
      <c r="H8257" s="11">
        <f>F8257*Summary!$B$7</f>
        <v/>
      </c>
      <c r="I8257" s="11">
        <f>MAX(0,N8257-M8257)</f>
        <v/>
      </c>
      <c r="J8257" s="11">
        <f>MAX(0,M8257-N8257)</f>
        <v/>
      </c>
      <c r="K8257" s="11">
        <f>O8257</f>
        <v/>
      </c>
      <c r="L8257" s="11">
        <f>L8256+IF(K8257&gt;0,K8257*Summary!$B$9,K8257/Summary!$B$9)</f>
        <v/>
      </c>
      <c r="M8257" s="11">
        <f>G8257+H8257</f>
        <v/>
      </c>
      <c r="N8257" s="11">
        <f>Summary!$C$16*Summary!$B$8</f>
        <v/>
      </c>
      <c r="O8257" s="11">
        <f>M8257-N8257</f>
        <v/>
      </c>
    </row>
    <row r="8258">
      <c r="A8258" s="9" t="n">
        <v>45636</v>
      </c>
      <c r="B8258" t="n">
        <v>12</v>
      </c>
      <c r="C8258" t="n">
        <v>10</v>
      </c>
      <c r="D8258" t="n">
        <v>0</v>
      </c>
      <c r="E8258" s="10" t="n">
        <v>0</v>
      </c>
      <c r="F8258" s="10" t="n">
        <v>0.3510087242420938</v>
      </c>
      <c r="G8258" s="11">
        <f>E8258*Summary!$B$6</f>
        <v/>
      </c>
      <c r="H8258" s="11">
        <f>F8258*Summary!$B$7</f>
        <v/>
      </c>
      <c r="I8258" s="11">
        <f>MAX(0,N8258-M8258)</f>
        <v/>
      </c>
      <c r="J8258" s="11">
        <f>MAX(0,M8258-N8258)</f>
        <v/>
      </c>
      <c r="K8258" s="11">
        <f>O8258</f>
        <v/>
      </c>
      <c r="L8258" s="11">
        <f>L8257+IF(K8258&gt;0,K8258*Summary!$B$9,K8258/Summary!$B$9)</f>
        <v/>
      </c>
      <c r="M8258" s="11">
        <f>G8258+H8258</f>
        <v/>
      </c>
      <c r="N8258" s="11">
        <f>Summary!$C$16*Summary!$B$8</f>
        <v/>
      </c>
      <c r="O8258" s="11">
        <f>M8258-N8258</f>
        <v/>
      </c>
    </row>
    <row r="8259">
      <c r="A8259" s="9" t="n">
        <v>45636.04166666666</v>
      </c>
      <c r="B8259" t="n">
        <v>12</v>
      </c>
      <c r="C8259" t="n">
        <v>10</v>
      </c>
      <c r="D8259" t="n">
        <v>1</v>
      </c>
      <c r="E8259" s="10" t="n">
        <v>0</v>
      </c>
      <c r="F8259" s="10" t="n">
        <v>0.3177788442669226</v>
      </c>
      <c r="G8259" s="11">
        <f>E8259*Summary!$B$6</f>
        <v/>
      </c>
      <c r="H8259" s="11">
        <f>F8259*Summary!$B$7</f>
        <v/>
      </c>
      <c r="I8259" s="11">
        <f>MAX(0,N8259-M8259)</f>
        <v/>
      </c>
      <c r="J8259" s="11">
        <f>MAX(0,M8259-N8259)</f>
        <v/>
      </c>
      <c r="K8259" s="11">
        <f>O8259</f>
        <v/>
      </c>
      <c r="L8259" s="11">
        <f>L8258+IF(K8259&gt;0,K8259*Summary!$B$9,K8259/Summary!$B$9)</f>
        <v/>
      </c>
      <c r="M8259" s="11">
        <f>G8259+H8259</f>
        <v/>
      </c>
      <c r="N8259" s="11">
        <f>Summary!$C$16*Summary!$B$8</f>
        <v/>
      </c>
      <c r="O8259" s="11">
        <f>M8259-N8259</f>
        <v/>
      </c>
    </row>
    <row r="8260">
      <c r="A8260" s="9" t="n">
        <v>45636.08333333334</v>
      </c>
      <c r="B8260" t="n">
        <v>12</v>
      </c>
      <c r="C8260" t="n">
        <v>10</v>
      </c>
      <c r="D8260" t="n">
        <v>2</v>
      </c>
      <c r="E8260" s="10" t="n">
        <v>0</v>
      </c>
      <c r="F8260" s="10" t="n">
        <v>0.313641579273979</v>
      </c>
      <c r="G8260" s="11">
        <f>E8260*Summary!$B$6</f>
        <v/>
      </c>
      <c r="H8260" s="11">
        <f>F8260*Summary!$B$7</f>
        <v/>
      </c>
      <c r="I8260" s="11">
        <f>MAX(0,N8260-M8260)</f>
        <v/>
      </c>
      <c r="J8260" s="11">
        <f>MAX(0,M8260-N8260)</f>
        <v/>
      </c>
      <c r="K8260" s="11">
        <f>O8260</f>
        <v/>
      </c>
      <c r="L8260" s="11">
        <f>L8259+IF(K8260&gt;0,K8260*Summary!$B$9,K8260/Summary!$B$9)</f>
        <v/>
      </c>
      <c r="M8260" s="11">
        <f>G8260+H8260</f>
        <v/>
      </c>
      <c r="N8260" s="11">
        <f>Summary!$C$16*Summary!$B$8</f>
        <v/>
      </c>
      <c r="O8260" s="11">
        <f>M8260-N8260</f>
        <v/>
      </c>
    </row>
    <row r="8261">
      <c r="A8261" s="9" t="n">
        <v>45636.125</v>
      </c>
      <c r="B8261" t="n">
        <v>12</v>
      </c>
      <c r="C8261" t="n">
        <v>10</v>
      </c>
      <c r="D8261" t="n">
        <v>3</v>
      </c>
      <c r="E8261" s="10" t="n">
        <v>0</v>
      </c>
      <c r="F8261" s="10" t="n">
        <v>0.3098205383569292</v>
      </c>
      <c r="G8261" s="11">
        <f>E8261*Summary!$B$6</f>
        <v/>
      </c>
      <c r="H8261" s="11">
        <f>F8261*Summary!$B$7</f>
        <v/>
      </c>
      <c r="I8261" s="11">
        <f>MAX(0,N8261-M8261)</f>
        <v/>
      </c>
      <c r="J8261" s="11">
        <f>MAX(0,M8261-N8261)</f>
        <v/>
      </c>
      <c r="K8261" s="11">
        <f>O8261</f>
        <v/>
      </c>
      <c r="L8261" s="11">
        <f>L8260+IF(K8261&gt;0,K8261*Summary!$B$9,K8261/Summary!$B$9)</f>
        <v/>
      </c>
      <c r="M8261" s="11">
        <f>G8261+H8261</f>
        <v/>
      </c>
      <c r="N8261" s="11">
        <f>Summary!$C$16*Summary!$B$8</f>
        <v/>
      </c>
      <c r="O8261" s="11">
        <f>M8261-N8261</f>
        <v/>
      </c>
    </row>
    <row r="8262">
      <c r="A8262" s="9" t="n">
        <v>45636.16666666666</v>
      </c>
      <c r="B8262" t="n">
        <v>12</v>
      </c>
      <c r="C8262" t="n">
        <v>10</v>
      </c>
      <c r="D8262" t="n">
        <v>4</v>
      </c>
      <c r="E8262" s="10" t="n">
        <v>0</v>
      </c>
      <c r="F8262" s="10" t="n">
        <v>0.302916312699915</v>
      </c>
      <c r="G8262" s="11">
        <f>E8262*Summary!$B$6</f>
        <v/>
      </c>
      <c r="H8262" s="11">
        <f>F8262*Summary!$B$7</f>
        <v/>
      </c>
      <c r="I8262" s="11">
        <f>MAX(0,N8262-M8262)</f>
        <v/>
      </c>
      <c r="J8262" s="11">
        <f>MAX(0,M8262-N8262)</f>
        <v/>
      </c>
      <c r="K8262" s="11">
        <f>O8262</f>
        <v/>
      </c>
      <c r="L8262" s="11">
        <f>L8261+IF(K8262&gt;0,K8262*Summary!$B$9,K8262/Summary!$B$9)</f>
        <v/>
      </c>
      <c r="M8262" s="11">
        <f>G8262+H8262</f>
        <v/>
      </c>
      <c r="N8262" s="11">
        <f>Summary!$C$16*Summary!$B$8</f>
        <v/>
      </c>
      <c r="O8262" s="11">
        <f>M8262-N8262</f>
        <v/>
      </c>
    </row>
    <row r="8263">
      <c r="A8263" s="9" t="n">
        <v>45636.20833333334</v>
      </c>
      <c r="B8263" t="n">
        <v>12</v>
      </c>
      <c r="C8263" t="n">
        <v>10</v>
      </c>
      <c r="D8263" t="n">
        <v>5</v>
      </c>
      <c r="E8263" s="10" t="n">
        <v>0</v>
      </c>
      <c r="F8263" s="10" t="n">
        <v>0.297224279333827</v>
      </c>
      <c r="G8263" s="11">
        <f>E8263*Summary!$B$6</f>
        <v/>
      </c>
      <c r="H8263" s="11">
        <f>F8263*Summary!$B$7</f>
        <v/>
      </c>
      <c r="I8263" s="11">
        <f>MAX(0,N8263-M8263)</f>
        <v/>
      </c>
      <c r="J8263" s="11">
        <f>MAX(0,M8263-N8263)</f>
        <v/>
      </c>
      <c r="K8263" s="11">
        <f>O8263</f>
        <v/>
      </c>
      <c r="L8263" s="11">
        <f>L8262+IF(K8263&gt;0,K8263*Summary!$B$9,K8263/Summary!$B$9)</f>
        <v/>
      </c>
      <c r="M8263" s="11">
        <f>G8263+H8263</f>
        <v/>
      </c>
      <c r="N8263" s="11">
        <f>Summary!$C$16*Summary!$B$8</f>
        <v/>
      </c>
      <c r="O8263" s="11">
        <f>M8263-N8263</f>
        <v/>
      </c>
    </row>
    <row r="8264">
      <c r="A8264" s="9" t="n">
        <v>45636.25</v>
      </c>
      <c r="B8264" t="n">
        <v>12</v>
      </c>
      <c r="C8264" t="n">
        <v>10</v>
      </c>
      <c r="D8264" t="n">
        <v>6</v>
      </c>
      <c r="E8264" s="10" t="n">
        <v>0</v>
      </c>
      <c r="F8264" s="10" t="n">
        <v>0.2938512225242934</v>
      </c>
      <c r="G8264" s="11">
        <f>E8264*Summary!$B$6</f>
        <v/>
      </c>
      <c r="H8264" s="11">
        <f>F8264*Summary!$B$7</f>
        <v/>
      </c>
      <c r="I8264" s="11">
        <f>MAX(0,N8264-M8264)</f>
        <v/>
      </c>
      <c r="J8264" s="11">
        <f>MAX(0,M8264-N8264)</f>
        <v/>
      </c>
      <c r="K8264" s="11">
        <f>O8264</f>
        <v/>
      </c>
      <c r="L8264" s="11">
        <f>L8263+IF(K8264&gt;0,K8264*Summary!$B$9,K8264/Summary!$B$9)</f>
        <v/>
      </c>
      <c r="M8264" s="11">
        <f>G8264+H8264</f>
        <v/>
      </c>
      <c r="N8264" s="11">
        <f>Summary!$C$16*Summary!$B$8</f>
        <v/>
      </c>
      <c r="O8264" s="11">
        <f>M8264-N8264</f>
        <v/>
      </c>
    </row>
    <row r="8265">
      <c r="A8265" s="9" t="n">
        <v>45636.29166666666</v>
      </c>
      <c r="B8265" t="n">
        <v>12</v>
      </c>
      <c r="C8265" t="n">
        <v>10</v>
      </c>
      <c r="D8265" t="n">
        <v>7</v>
      </c>
      <c r="E8265" s="10" t="n">
        <v>0</v>
      </c>
      <c r="F8265" s="10" t="n">
        <v>0.2896612535187009</v>
      </c>
      <c r="G8265" s="11">
        <f>E8265*Summary!$B$6</f>
        <v/>
      </c>
      <c r="H8265" s="11">
        <f>F8265*Summary!$B$7</f>
        <v/>
      </c>
      <c r="I8265" s="11">
        <f>MAX(0,N8265-M8265)</f>
        <v/>
      </c>
      <c r="J8265" s="11">
        <f>MAX(0,M8265-N8265)</f>
        <v/>
      </c>
      <c r="K8265" s="11">
        <f>O8265</f>
        <v/>
      </c>
      <c r="L8265" s="11">
        <f>L8264+IF(K8265&gt;0,K8265*Summary!$B$9,K8265/Summary!$B$9)</f>
        <v/>
      </c>
      <c r="M8265" s="11">
        <f>G8265+H8265</f>
        <v/>
      </c>
      <c r="N8265" s="11">
        <f>Summary!$C$16*Summary!$B$8</f>
        <v/>
      </c>
      <c r="O8265" s="11">
        <f>M8265-N8265</f>
        <v/>
      </c>
    </row>
    <row r="8266">
      <c r="A8266" s="9" t="n">
        <v>45636.33333333334</v>
      </c>
      <c r="B8266" t="n">
        <v>12</v>
      </c>
      <c r="C8266" t="n">
        <v>10</v>
      </c>
      <c r="D8266" t="n">
        <v>8</v>
      </c>
      <c r="E8266" s="10" t="n">
        <v>0</v>
      </c>
      <c r="F8266" s="10" t="n">
        <v>0.288027429126583</v>
      </c>
      <c r="G8266" s="11">
        <f>E8266*Summary!$B$6</f>
        <v/>
      </c>
      <c r="H8266" s="11">
        <f>F8266*Summary!$B$7</f>
        <v/>
      </c>
      <c r="I8266" s="11">
        <f>MAX(0,N8266-M8266)</f>
        <v/>
      </c>
      <c r="J8266" s="11">
        <f>MAX(0,M8266-N8266)</f>
        <v/>
      </c>
      <c r="K8266" s="11">
        <f>O8266</f>
        <v/>
      </c>
      <c r="L8266" s="11">
        <f>L8265+IF(K8266&gt;0,K8266*Summary!$B$9,K8266/Summary!$B$9)</f>
        <v/>
      </c>
      <c r="M8266" s="11">
        <f>G8266+H8266</f>
        <v/>
      </c>
      <c r="N8266" s="11">
        <f>Summary!$C$16*Summary!$B$8</f>
        <v/>
      </c>
      <c r="O8266" s="11">
        <f>M8266-N8266</f>
        <v/>
      </c>
    </row>
    <row r="8267">
      <c r="A8267" s="9" t="n">
        <v>45636.375</v>
      </c>
      <c r="B8267" t="n">
        <v>12</v>
      </c>
      <c r="C8267" t="n">
        <v>10</v>
      </c>
      <c r="D8267" t="n">
        <v>9</v>
      </c>
      <c r="E8267" s="10" t="n">
        <v>0.019879</v>
      </c>
      <c r="F8267" s="10" t="n">
        <v>0.2818083556340054</v>
      </c>
      <c r="G8267" s="11">
        <f>E8267*Summary!$B$6</f>
        <v/>
      </c>
      <c r="H8267" s="11">
        <f>F8267*Summary!$B$7</f>
        <v/>
      </c>
      <c r="I8267" s="11">
        <f>MAX(0,N8267-M8267)</f>
        <v/>
      </c>
      <c r="J8267" s="11">
        <f>MAX(0,M8267-N8267)</f>
        <v/>
      </c>
      <c r="K8267" s="11">
        <f>O8267</f>
        <v/>
      </c>
      <c r="L8267" s="11">
        <f>L8266+IF(K8267&gt;0,K8267*Summary!$B$9,K8267/Summary!$B$9)</f>
        <v/>
      </c>
      <c r="M8267" s="11">
        <f>G8267+H8267</f>
        <v/>
      </c>
      <c r="N8267" s="11">
        <f>Summary!$C$16*Summary!$B$8</f>
        <v/>
      </c>
      <c r="O8267" s="11">
        <f>M8267-N8267</f>
        <v/>
      </c>
    </row>
    <row r="8268">
      <c r="A8268" s="9" t="n">
        <v>45636.41666666666</v>
      </c>
      <c r="B8268" t="n">
        <v>12</v>
      </c>
      <c r="C8268" t="n">
        <v>10</v>
      </c>
      <c r="D8268" t="n">
        <v>10</v>
      </c>
      <c r="E8268" s="10" t="n">
        <v>0.060326</v>
      </c>
      <c r="F8268" s="10" t="n">
        <v>0.2707668649840476</v>
      </c>
      <c r="G8268" s="11">
        <f>E8268*Summary!$B$6</f>
        <v/>
      </c>
      <c r="H8268" s="11">
        <f>F8268*Summary!$B$7</f>
        <v/>
      </c>
      <c r="I8268" s="11">
        <f>MAX(0,N8268-M8268)</f>
        <v/>
      </c>
      <c r="J8268" s="11">
        <f>MAX(0,M8268-N8268)</f>
        <v/>
      </c>
      <c r="K8268" s="11">
        <f>O8268</f>
        <v/>
      </c>
      <c r="L8268" s="11">
        <f>L8267+IF(K8268&gt;0,K8268*Summary!$B$9,K8268/Summary!$B$9)</f>
        <v/>
      </c>
      <c r="M8268" s="11">
        <f>G8268+H8268</f>
        <v/>
      </c>
      <c r="N8268" s="11">
        <f>Summary!$C$16*Summary!$B$8</f>
        <v/>
      </c>
      <c r="O8268" s="11">
        <f>M8268-N8268</f>
        <v/>
      </c>
    </row>
    <row r="8269">
      <c r="A8269" s="9" t="n">
        <v>45636.45833333334</v>
      </c>
      <c r="B8269" t="n">
        <v>12</v>
      </c>
      <c r="C8269" t="n">
        <v>10</v>
      </c>
      <c r="D8269" t="n">
        <v>11</v>
      </c>
      <c r="E8269" s="10" t="n">
        <v>0.091104</v>
      </c>
      <c r="F8269" s="10" t="n">
        <v>0.2641261593902782</v>
      </c>
      <c r="G8269" s="11">
        <f>E8269*Summary!$B$6</f>
        <v/>
      </c>
      <c r="H8269" s="11">
        <f>F8269*Summary!$B$7</f>
        <v/>
      </c>
      <c r="I8269" s="11">
        <f>MAX(0,N8269-M8269)</f>
        <v/>
      </c>
      <c r="J8269" s="11">
        <f>MAX(0,M8269-N8269)</f>
        <v/>
      </c>
      <c r="K8269" s="11">
        <f>O8269</f>
        <v/>
      </c>
      <c r="L8269" s="11">
        <f>L8268+IF(K8269&gt;0,K8269*Summary!$B$9,K8269/Summary!$B$9)</f>
        <v/>
      </c>
      <c r="M8269" s="11">
        <f>G8269+H8269</f>
        <v/>
      </c>
      <c r="N8269" s="11">
        <f>Summary!$C$16*Summary!$B$8</f>
        <v/>
      </c>
      <c r="O8269" s="11">
        <f>M8269-N8269</f>
        <v/>
      </c>
    </row>
    <row r="8270">
      <c r="A8270" s="9" t="n">
        <v>45636.5</v>
      </c>
      <c r="B8270" t="n">
        <v>12</v>
      </c>
      <c r="C8270" t="n">
        <v>10</v>
      </c>
      <c r="D8270" t="n">
        <v>12</v>
      </c>
      <c r="E8270" s="10" t="n">
        <v>0.074586</v>
      </c>
      <c r="F8270" s="10" t="n">
        <v>0.2255468221312373</v>
      </c>
      <c r="G8270" s="11">
        <f>E8270*Summary!$B$6</f>
        <v/>
      </c>
      <c r="H8270" s="11">
        <f>F8270*Summary!$B$7</f>
        <v/>
      </c>
      <c r="I8270" s="11">
        <f>MAX(0,N8270-M8270)</f>
        <v/>
      </c>
      <c r="J8270" s="11">
        <f>MAX(0,M8270-N8270)</f>
        <v/>
      </c>
      <c r="K8270" s="11">
        <f>O8270</f>
        <v/>
      </c>
      <c r="L8270" s="11">
        <f>L8269+IF(K8270&gt;0,K8270*Summary!$B$9,K8270/Summary!$B$9)</f>
        <v/>
      </c>
      <c r="M8270" s="11">
        <f>G8270+H8270</f>
        <v/>
      </c>
      <c r="N8270" s="11">
        <f>Summary!$C$16*Summary!$B$8</f>
        <v/>
      </c>
      <c r="O8270" s="11">
        <f>M8270-N8270</f>
        <v/>
      </c>
    </row>
    <row r="8271">
      <c r="A8271" s="9" t="n">
        <v>45636.54166666666</v>
      </c>
      <c r="B8271" t="n">
        <v>12</v>
      </c>
      <c r="C8271" t="n">
        <v>10</v>
      </c>
      <c r="D8271" t="n">
        <v>13</v>
      </c>
      <c r="E8271" s="10" t="n">
        <v>0.056904</v>
      </c>
      <c r="F8271" s="10" t="n">
        <v>0.2671302881112692</v>
      </c>
      <c r="G8271" s="11">
        <f>E8271*Summary!$B$6</f>
        <v/>
      </c>
      <c r="H8271" s="11">
        <f>F8271*Summary!$B$7</f>
        <v/>
      </c>
      <c r="I8271" s="11">
        <f>MAX(0,N8271-M8271)</f>
        <v/>
      </c>
      <c r="J8271" s="11">
        <f>MAX(0,M8271-N8271)</f>
        <v/>
      </c>
      <c r="K8271" s="11">
        <f>O8271</f>
        <v/>
      </c>
      <c r="L8271" s="11">
        <f>L8270+IF(K8271&gt;0,K8271*Summary!$B$9,K8271/Summary!$B$9)</f>
        <v/>
      </c>
      <c r="M8271" s="11">
        <f>G8271+H8271</f>
        <v/>
      </c>
      <c r="N8271" s="11">
        <f>Summary!$C$16*Summary!$B$8</f>
        <v/>
      </c>
      <c r="O8271" s="11">
        <f>M8271-N8271</f>
        <v/>
      </c>
    </row>
    <row r="8272">
      <c r="A8272" s="9" t="n">
        <v>45636.58333333334</v>
      </c>
      <c r="B8272" t="n">
        <v>12</v>
      </c>
      <c r="C8272" t="n">
        <v>10</v>
      </c>
      <c r="D8272" t="n">
        <v>14</v>
      </c>
      <c r="E8272" s="10" t="n">
        <v>0.033195</v>
      </c>
      <c r="F8272" s="10" t="n">
        <v>0.2842063882095332</v>
      </c>
      <c r="G8272" s="11">
        <f>E8272*Summary!$B$6</f>
        <v/>
      </c>
      <c r="H8272" s="11">
        <f>F8272*Summary!$B$7</f>
        <v/>
      </c>
      <c r="I8272" s="11">
        <f>MAX(0,N8272-M8272)</f>
        <v/>
      </c>
      <c r="J8272" s="11">
        <f>MAX(0,M8272-N8272)</f>
        <v/>
      </c>
      <c r="K8272" s="11">
        <f>O8272</f>
        <v/>
      </c>
      <c r="L8272" s="11">
        <f>L8271+IF(K8272&gt;0,K8272*Summary!$B$9,K8272/Summary!$B$9)</f>
        <v/>
      </c>
      <c r="M8272" s="11">
        <f>G8272+H8272</f>
        <v/>
      </c>
      <c r="N8272" s="11">
        <f>Summary!$C$16*Summary!$B$8</f>
        <v/>
      </c>
      <c r="O8272" s="11">
        <f>M8272-N8272</f>
        <v/>
      </c>
    </row>
    <row r="8273">
      <c r="A8273" s="9" t="n">
        <v>45636.625</v>
      </c>
      <c r="B8273" t="n">
        <v>12</v>
      </c>
      <c r="C8273" t="n">
        <v>10</v>
      </c>
      <c r="D8273" t="n">
        <v>15</v>
      </c>
      <c r="E8273" s="10" t="n">
        <v>0</v>
      </c>
      <c r="F8273" s="10" t="n">
        <v>0.3049717691932246</v>
      </c>
      <c r="G8273" s="11">
        <f>E8273*Summary!$B$6</f>
        <v/>
      </c>
      <c r="H8273" s="11">
        <f>F8273*Summary!$B$7</f>
        <v/>
      </c>
      <c r="I8273" s="11">
        <f>MAX(0,N8273-M8273)</f>
        <v/>
      </c>
      <c r="J8273" s="11">
        <f>MAX(0,M8273-N8273)</f>
        <v/>
      </c>
      <c r="K8273" s="11">
        <f>O8273</f>
        <v/>
      </c>
      <c r="L8273" s="11">
        <f>L8272+IF(K8273&gt;0,K8273*Summary!$B$9,K8273/Summary!$B$9)</f>
        <v/>
      </c>
      <c r="M8273" s="11">
        <f>G8273+H8273</f>
        <v/>
      </c>
      <c r="N8273" s="11">
        <f>Summary!$C$16*Summary!$B$8</f>
        <v/>
      </c>
      <c r="O8273" s="11">
        <f>M8273-N8273</f>
        <v/>
      </c>
    </row>
    <row r="8274">
      <c r="A8274" s="9" t="n">
        <v>45636.66666666666</v>
      </c>
      <c r="B8274" t="n">
        <v>12</v>
      </c>
      <c r="C8274" t="n">
        <v>10</v>
      </c>
      <c r="D8274" t="n">
        <v>16</v>
      </c>
      <c r="E8274" s="10" t="n">
        <v>0</v>
      </c>
      <c r="F8274" s="10" t="n">
        <v>0.3201505248361259</v>
      </c>
      <c r="G8274" s="11">
        <f>E8274*Summary!$B$6</f>
        <v/>
      </c>
      <c r="H8274" s="11">
        <f>F8274*Summary!$B$7</f>
        <v/>
      </c>
      <c r="I8274" s="11">
        <f>MAX(0,N8274-M8274)</f>
        <v/>
      </c>
      <c r="J8274" s="11">
        <f>MAX(0,M8274-N8274)</f>
        <v/>
      </c>
      <c r="K8274" s="11">
        <f>O8274</f>
        <v/>
      </c>
      <c r="L8274" s="11">
        <f>L8273+IF(K8274&gt;0,K8274*Summary!$B$9,K8274/Summary!$B$9)</f>
        <v/>
      </c>
      <c r="M8274" s="11">
        <f>G8274+H8274</f>
        <v/>
      </c>
      <c r="N8274" s="11">
        <f>Summary!$C$16*Summary!$B$8</f>
        <v/>
      </c>
      <c r="O8274" s="11">
        <f>M8274-N8274</f>
        <v/>
      </c>
    </row>
    <row r="8275">
      <c r="A8275" s="9" t="n">
        <v>45636.70833333334</v>
      </c>
      <c r="B8275" t="n">
        <v>12</v>
      </c>
      <c r="C8275" t="n">
        <v>10</v>
      </c>
      <c r="D8275" t="n">
        <v>17</v>
      </c>
      <c r="E8275" s="10" t="n">
        <v>0</v>
      </c>
      <c r="F8275" s="10" t="n">
        <v>0.332852191884526</v>
      </c>
      <c r="G8275" s="11">
        <f>E8275*Summary!$B$6</f>
        <v/>
      </c>
      <c r="H8275" s="11">
        <f>F8275*Summary!$B$7</f>
        <v/>
      </c>
      <c r="I8275" s="11">
        <f>MAX(0,N8275-M8275)</f>
        <v/>
      </c>
      <c r="J8275" s="11">
        <f>MAX(0,M8275-N8275)</f>
        <v/>
      </c>
      <c r="K8275" s="11">
        <f>O8275</f>
        <v/>
      </c>
      <c r="L8275" s="11">
        <f>L8274+IF(K8275&gt;0,K8275*Summary!$B$9,K8275/Summary!$B$9)</f>
        <v/>
      </c>
      <c r="M8275" s="11">
        <f>G8275+H8275</f>
        <v/>
      </c>
      <c r="N8275" s="11">
        <f>Summary!$C$16*Summary!$B$8</f>
        <v/>
      </c>
      <c r="O8275" s="11">
        <f>M8275-N8275</f>
        <v/>
      </c>
    </row>
    <row r="8276">
      <c r="A8276" s="9" t="n">
        <v>45636.75</v>
      </c>
      <c r="B8276" t="n">
        <v>12</v>
      </c>
      <c r="C8276" t="n">
        <v>10</v>
      </c>
      <c r="D8276" t="n">
        <v>18</v>
      </c>
      <c r="E8276" s="10" t="n">
        <v>0</v>
      </c>
      <c r="F8276" s="10" t="n">
        <v>0.3451058748254099</v>
      </c>
      <c r="G8276" s="11">
        <f>E8276*Summary!$B$6</f>
        <v/>
      </c>
      <c r="H8276" s="11">
        <f>F8276*Summary!$B$7</f>
        <v/>
      </c>
      <c r="I8276" s="11">
        <f>MAX(0,N8276-M8276)</f>
        <v/>
      </c>
      <c r="J8276" s="11">
        <f>MAX(0,M8276-N8276)</f>
        <v/>
      </c>
      <c r="K8276" s="11">
        <f>O8276</f>
        <v/>
      </c>
      <c r="L8276" s="11">
        <f>L8275+IF(K8276&gt;0,K8276*Summary!$B$9,K8276/Summary!$B$9)</f>
        <v/>
      </c>
      <c r="M8276" s="11">
        <f>G8276+H8276</f>
        <v/>
      </c>
      <c r="N8276" s="11">
        <f>Summary!$C$16*Summary!$B$8</f>
        <v/>
      </c>
      <c r="O8276" s="11">
        <f>M8276-N8276</f>
        <v/>
      </c>
    </row>
    <row r="8277">
      <c r="A8277" s="9" t="n">
        <v>45636.79166666666</v>
      </c>
      <c r="B8277" t="n">
        <v>12</v>
      </c>
      <c r="C8277" t="n">
        <v>10</v>
      </c>
      <c r="D8277" t="n">
        <v>19</v>
      </c>
      <c r="E8277" s="10" t="n">
        <v>0</v>
      </c>
      <c r="F8277" s="10" t="n">
        <v>0.3519046924571262</v>
      </c>
      <c r="G8277" s="11">
        <f>E8277*Summary!$B$6</f>
        <v/>
      </c>
      <c r="H8277" s="11">
        <f>F8277*Summary!$B$7</f>
        <v/>
      </c>
      <c r="I8277" s="11">
        <f>MAX(0,N8277-M8277)</f>
        <v/>
      </c>
      <c r="J8277" s="11">
        <f>MAX(0,M8277-N8277)</f>
        <v/>
      </c>
      <c r="K8277" s="11">
        <f>O8277</f>
        <v/>
      </c>
      <c r="L8277" s="11">
        <f>L8276+IF(K8277&gt;0,K8277*Summary!$B$9,K8277/Summary!$B$9)</f>
        <v/>
      </c>
      <c r="M8277" s="11">
        <f>G8277+H8277</f>
        <v/>
      </c>
      <c r="N8277" s="11">
        <f>Summary!$C$16*Summary!$B$8</f>
        <v/>
      </c>
      <c r="O8277" s="11">
        <f>M8277-N8277</f>
        <v/>
      </c>
    </row>
    <row r="8278">
      <c r="A8278" s="9" t="n">
        <v>45636.83333333334</v>
      </c>
      <c r="B8278" t="n">
        <v>12</v>
      </c>
      <c r="C8278" t="n">
        <v>10</v>
      </c>
      <c r="D8278" t="n">
        <v>20</v>
      </c>
      <c r="E8278" s="10" t="n">
        <v>0</v>
      </c>
      <c r="F8278" s="10" t="n">
        <v>0.3546189491085478</v>
      </c>
      <c r="G8278" s="11">
        <f>E8278*Summary!$B$6</f>
        <v/>
      </c>
      <c r="H8278" s="11">
        <f>F8278*Summary!$B$7</f>
        <v/>
      </c>
      <c r="I8278" s="11">
        <f>MAX(0,N8278-M8278)</f>
        <v/>
      </c>
      <c r="J8278" s="11">
        <f>MAX(0,M8278-N8278)</f>
        <v/>
      </c>
      <c r="K8278" s="11">
        <f>O8278</f>
        <v/>
      </c>
      <c r="L8278" s="11">
        <f>L8277+IF(K8278&gt;0,K8278*Summary!$B$9,K8278/Summary!$B$9)</f>
        <v/>
      </c>
      <c r="M8278" s="11">
        <f>G8278+H8278</f>
        <v/>
      </c>
      <c r="N8278" s="11">
        <f>Summary!$C$16*Summary!$B$8</f>
        <v/>
      </c>
      <c r="O8278" s="11">
        <f>M8278-N8278</f>
        <v/>
      </c>
    </row>
    <row r="8279">
      <c r="A8279" s="9" t="n">
        <v>45636.875</v>
      </c>
      <c r="B8279" t="n">
        <v>12</v>
      </c>
      <c r="C8279" t="n">
        <v>10</v>
      </c>
      <c r="D8279" t="n">
        <v>21</v>
      </c>
      <c r="E8279" s="10" t="n">
        <v>0</v>
      </c>
      <c r="F8279" s="10" t="n">
        <v>0.357254149740996</v>
      </c>
      <c r="G8279" s="11">
        <f>E8279*Summary!$B$6</f>
        <v/>
      </c>
      <c r="H8279" s="11">
        <f>F8279*Summary!$B$7</f>
        <v/>
      </c>
      <c r="I8279" s="11">
        <f>MAX(0,N8279-M8279)</f>
        <v/>
      </c>
      <c r="J8279" s="11">
        <f>MAX(0,M8279-N8279)</f>
        <v/>
      </c>
      <c r="K8279" s="11">
        <f>O8279</f>
        <v/>
      </c>
      <c r="L8279" s="11">
        <f>L8278+IF(K8279&gt;0,K8279*Summary!$B$9,K8279/Summary!$B$9)</f>
        <v/>
      </c>
      <c r="M8279" s="11">
        <f>G8279+H8279</f>
        <v/>
      </c>
      <c r="N8279" s="11">
        <f>Summary!$C$16*Summary!$B$8</f>
        <v/>
      </c>
      <c r="O8279" s="11">
        <f>M8279-N8279</f>
        <v/>
      </c>
    </row>
    <row r="8280">
      <c r="A8280" s="9" t="n">
        <v>45636.91666666666</v>
      </c>
      <c r="B8280" t="n">
        <v>12</v>
      </c>
      <c r="C8280" t="n">
        <v>10</v>
      </c>
      <c r="D8280" t="n">
        <v>22</v>
      </c>
      <c r="E8280" s="10" t="n">
        <v>0</v>
      </c>
      <c r="F8280" s="10" t="n">
        <v>0.354355429045303</v>
      </c>
      <c r="G8280" s="11">
        <f>E8280*Summary!$B$6</f>
        <v/>
      </c>
      <c r="H8280" s="11">
        <f>F8280*Summary!$B$7</f>
        <v/>
      </c>
      <c r="I8280" s="11">
        <f>MAX(0,N8280-M8280)</f>
        <v/>
      </c>
      <c r="J8280" s="11">
        <f>MAX(0,M8280-N8280)</f>
        <v/>
      </c>
      <c r="K8280" s="11">
        <f>O8280</f>
        <v/>
      </c>
      <c r="L8280" s="11">
        <f>L8279+IF(K8280&gt;0,K8280*Summary!$B$9,K8280/Summary!$B$9)</f>
        <v/>
      </c>
      <c r="M8280" s="11">
        <f>G8280+H8280</f>
        <v/>
      </c>
      <c r="N8280" s="11">
        <f>Summary!$C$16*Summary!$B$8</f>
        <v/>
      </c>
      <c r="O8280" s="11">
        <f>M8280-N8280</f>
        <v/>
      </c>
    </row>
    <row r="8281">
      <c r="A8281" s="9" t="n">
        <v>45636.95833333334</v>
      </c>
      <c r="B8281" t="n">
        <v>12</v>
      </c>
      <c r="C8281" t="n">
        <v>10</v>
      </c>
      <c r="D8281" t="n">
        <v>23</v>
      </c>
      <c r="E8281" s="10" t="n">
        <v>0</v>
      </c>
      <c r="F8281" s="10" t="n">
        <v>0.3516938764065304</v>
      </c>
      <c r="G8281" s="11">
        <f>E8281*Summary!$B$6</f>
        <v/>
      </c>
      <c r="H8281" s="11">
        <f>F8281*Summary!$B$7</f>
        <v/>
      </c>
      <c r="I8281" s="11">
        <f>MAX(0,N8281-M8281)</f>
        <v/>
      </c>
      <c r="J8281" s="11">
        <f>MAX(0,M8281-N8281)</f>
        <v/>
      </c>
      <c r="K8281" s="11">
        <f>O8281</f>
        <v/>
      </c>
      <c r="L8281" s="11">
        <f>L8280+IF(K8281&gt;0,K8281*Summary!$B$9,K8281/Summary!$B$9)</f>
        <v/>
      </c>
      <c r="M8281" s="11">
        <f>G8281+H8281</f>
        <v/>
      </c>
      <c r="N8281" s="11">
        <f>Summary!$C$16*Summary!$B$8</f>
        <v/>
      </c>
      <c r="O8281" s="11">
        <f>M8281-N8281</f>
        <v/>
      </c>
    </row>
    <row r="8282">
      <c r="A8282" s="9" t="n">
        <v>45637</v>
      </c>
      <c r="B8282" t="n">
        <v>12</v>
      </c>
      <c r="C8282" t="n">
        <v>11</v>
      </c>
      <c r="D8282" t="n">
        <v>0</v>
      </c>
      <c r="E8282" s="10" t="n">
        <v>0</v>
      </c>
      <c r="F8282" s="10" t="n">
        <v>0.2254414141059394</v>
      </c>
      <c r="G8282" s="11">
        <f>E8282*Summary!$B$6</f>
        <v/>
      </c>
      <c r="H8282" s="11">
        <f>F8282*Summary!$B$7</f>
        <v/>
      </c>
      <c r="I8282" s="11">
        <f>MAX(0,N8282-M8282)</f>
        <v/>
      </c>
      <c r="J8282" s="11">
        <f>MAX(0,M8282-N8282)</f>
        <v/>
      </c>
      <c r="K8282" s="11">
        <f>O8282</f>
        <v/>
      </c>
      <c r="L8282" s="11">
        <f>L8281+IF(K8282&gt;0,K8282*Summary!$B$9,K8282/Summary!$B$9)</f>
        <v/>
      </c>
      <c r="M8282" s="11">
        <f>G8282+H8282</f>
        <v/>
      </c>
      <c r="N8282" s="11">
        <f>Summary!$C$16*Summary!$B$8</f>
        <v/>
      </c>
      <c r="O8282" s="11">
        <f>M8282-N8282</f>
        <v/>
      </c>
    </row>
    <row r="8283">
      <c r="A8283" s="9" t="n">
        <v>45637.04166666666</v>
      </c>
      <c r="B8283" t="n">
        <v>12</v>
      </c>
      <c r="C8283" t="n">
        <v>11</v>
      </c>
      <c r="D8283" t="n">
        <v>1</v>
      </c>
      <c r="E8283" s="10" t="n">
        <v>0</v>
      </c>
      <c r="F8283" s="10" t="n">
        <v>0.3494276038626249</v>
      </c>
      <c r="G8283" s="11">
        <f>E8283*Summary!$B$6</f>
        <v/>
      </c>
      <c r="H8283" s="11">
        <f>F8283*Summary!$B$7</f>
        <v/>
      </c>
      <c r="I8283" s="11">
        <f>MAX(0,N8283-M8283)</f>
        <v/>
      </c>
      <c r="J8283" s="11">
        <f>MAX(0,M8283-N8283)</f>
        <v/>
      </c>
      <c r="K8283" s="11">
        <f>O8283</f>
        <v/>
      </c>
      <c r="L8283" s="11">
        <f>L8282+IF(K8283&gt;0,K8283*Summary!$B$9,K8283/Summary!$B$9)</f>
        <v/>
      </c>
      <c r="M8283" s="11">
        <f>G8283+H8283</f>
        <v/>
      </c>
      <c r="N8283" s="11">
        <f>Summary!$C$16*Summary!$B$8</f>
        <v/>
      </c>
      <c r="O8283" s="11">
        <f>M8283-N8283</f>
        <v/>
      </c>
    </row>
    <row r="8284">
      <c r="A8284" s="9" t="n">
        <v>45637.08333333334</v>
      </c>
      <c r="B8284" t="n">
        <v>12</v>
      </c>
      <c r="C8284" t="n">
        <v>11</v>
      </c>
      <c r="D8284" t="n">
        <v>2</v>
      </c>
      <c r="E8284" s="10" t="n">
        <v>0</v>
      </c>
      <c r="F8284" s="10" t="n">
        <v>0.3431031223447493</v>
      </c>
      <c r="G8284" s="11">
        <f>E8284*Summary!$B$6</f>
        <v/>
      </c>
      <c r="H8284" s="11">
        <f>F8284*Summary!$B$7</f>
        <v/>
      </c>
      <c r="I8284" s="11">
        <f>MAX(0,N8284-M8284)</f>
        <v/>
      </c>
      <c r="J8284" s="11">
        <f>MAX(0,M8284-N8284)</f>
        <v/>
      </c>
      <c r="K8284" s="11">
        <f>O8284</f>
        <v/>
      </c>
      <c r="L8284" s="11">
        <f>L8283+IF(K8284&gt;0,K8284*Summary!$B$9,K8284/Summary!$B$9)</f>
        <v/>
      </c>
      <c r="M8284" s="11">
        <f>G8284+H8284</f>
        <v/>
      </c>
      <c r="N8284" s="11">
        <f>Summary!$C$16*Summary!$B$8</f>
        <v/>
      </c>
      <c r="O8284" s="11">
        <f>M8284-N8284</f>
        <v/>
      </c>
    </row>
    <row r="8285">
      <c r="A8285" s="9" t="n">
        <v>45637.125</v>
      </c>
      <c r="B8285" t="n">
        <v>12</v>
      </c>
      <c r="C8285" t="n">
        <v>11</v>
      </c>
      <c r="D8285" t="n">
        <v>3</v>
      </c>
      <c r="E8285" s="10" t="n">
        <v>0</v>
      </c>
      <c r="F8285" s="10" t="n">
        <v>0.3376746090419062</v>
      </c>
      <c r="G8285" s="11">
        <f>E8285*Summary!$B$6</f>
        <v/>
      </c>
      <c r="H8285" s="11">
        <f>F8285*Summary!$B$7</f>
        <v/>
      </c>
      <c r="I8285" s="11">
        <f>MAX(0,N8285-M8285)</f>
        <v/>
      </c>
      <c r="J8285" s="11">
        <f>MAX(0,M8285-N8285)</f>
        <v/>
      </c>
      <c r="K8285" s="11">
        <f>O8285</f>
        <v/>
      </c>
      <c r="L8285" s="11">
        <f>L8284+IF(K8285&gt;0,K8285*Summary!$B$9,K8285/Summary!$B$9)</f>
        <v/>
      </c>
      <c r="M8285" s="11">
        <f>G8285+H8285</f>
        <v/>
      </c>
      <c r="N8285" s="11">
        <f>Summary!$C$16*Summary!$B$8</f>
        <v/>
      </c>
      <c r="O8285" s="11">
        <f>M8285-N8285</f>
        <v/>
      </c>
    </row>
    <row r="8286">
      <c r="A8286" s="9" t="n">
        <v>45637.16666666666</v>
      </c>
      <c r="B8286" t="n">
        <v>12</v>
      </c>
      <c r="C8286" t="n">
        <v>11</v>
      </c>
      <c r="D8286" t="n">
        <v>4</v>
      </c>
      <c r="E8286" s="10" t="n">
        <v>0</v>
      </c>
      <c r="F8286" s="10" t="n">
        <v>0.3327731358655526</v>
      </c>
      <c r="G8286" s="11">
        <f>E8286*Summary!$B$6</f>
        <v/>
      </c>
      <c r="H8286" s="11">
        <f>F8286*Summary!$B$7</f>
        <v/>
      </c>
      <c r="I8286" s="11">
        <f>MAX(0,N8286-M8286)</f>
        <v/>
      </c>
      <c r="J8286" s="11">
        <f>MAX(0,M8286-N8286)</f>
        <v/>
      </c>
      <c r="K8286" s="11">
        <f>O8286</f>
        <v/>
      </c>
      <c r="L8286" s="11">
        <f>L8285+IF(K8286&gt;0,K8286*Summary!$B$9,K8286/Summary!$B$9)</f>
        <v/>
      </c>
      <c r="M8286" s="11">
        <f>G8286+H8286</f>
        <v/>
      </c>
      <c r="N8286" s="11">
        <f>Summary!$C$16*Summary!$B$8</f>
        <v/>
      </c>
      <c r="O8286" s="11">
        <f>M8286-N8286</f>
        <v/>
      </c>
    </row>
    <row r="8287">
      <c r="A8287" s="9" t="n">
        <v>45637.20833333334</v>
      </c>
      <c r="B8287" t="n">
        <v>12</v>
      </c>
      <c r="C8287" t="n">
        <v>11</v>
      </c>
      <c r="D8287" t="n">
        <v>5</v>
      </c>
      <c r="E8287" s="10" t="n">
        <v>0</v>
      </c>
      <c r="F8287" s="10" t="n">
        <v>0.3297426551382372</v>
      </c>
      <c r="G8287" s="11">
        <f>E8287*Summary!$B$6</f>
        <v/>
      </c>
      <c r="H8287" s="11">
        <f>F8287*Summary!$B$7</f>
        <v/>
      </c>
      <c r="I8287" s="11">
        <f>MAX(0,N8287-M8287)</f>
        <v/>
      </c>
      <c r="J8287" s="11">
        <f>MAX(0,M8287-N8287)</f>
        <v/>
      </c>
      <c r="K8287" s="11">
        <f>O8287</f>
        <v/>
      </c>
      <c r="L8287" s="11">
        <f>L8286+IF(K8287&gt;0,K8287*Summary!$B$9,K8287/Summary!$B$9)</f>
        <v/>
      </c>
      <c r="M8287" s="11">
        <f>G8287+H8287</f>
        <v/>
      </c>
      <c r="N8287" s="11">
        <f>Summary!$C$16*Summary!$B$8</f>
        <v/>
      </c>
      <c r="O8287" s="11">
        <f>M8287-N8287</f>
        <v/>
      </c>
    </row>
    <row r="8288">
      <c r="A8288" s="9" t="n">
        <v>45637.25</v>
      </c>
      <c r="B8288" t="n">
        <v>12</v>
      </c>
      <c r="C8288" t="n">
        <v>11</v>
      </c>
      <c r="D8288" t="n">
        <v>6</v>
      </c>
      <c r="E8288" s="10" t="n">
        <v>0</v>
      </c>
      <c r="F8288" s="10" t="n">
        <v>0.277407570577817</v>
      </c>
      <c r="G8288" s="11">
        <f>E8288*Summary!$B$6</f>
        <v/>
      </c>
      <c r="H8288" s="11">
        <f>F8288*Summary!$B$7</f>
        <v/>
      </c>
      <c r="I8288" s="11">
        <f>MAX(0,N8288-M8288)</f>
        <v/>
      </c>
      <c r="J8288" s="11">
        <f>MAX(0,M8288-N8288)</f>
        <v/>
      </c>
      <c r="K8288" s="11">
        <f>O8288</f>
        <v/>
      </c>
      <c r="L8288" s="11">
        <f>L8287+IF(K8288&gt;0,K8288*Summary!$B$9,K8288/Summary!$B$9)</f>
        <v/>
      </c>
      <c r="M8288" s="11">
        <f>G8288+H8288</f>
        <v/>
      </c>
      <c r="N8288" s="11">
        <f>Summary!$C$16*Summary!$B$8</f>
        <v/>
      </c>
      <c r="O8288" s="11">
        <f>M8288-N8288</f>
        <v/>
      </c>
    </row>
    <row r="8289">
      <c r="A8289" s="9" t="n">
        <v>45637.29166666666</v>
      </c>
      <c r="B8289" t="n">
        <v>12</v>
      </c>
      <c r="C8289" t="n">
        <v>11</v>
      </c>
      <c r="D8289" t="n">
        <v>7</v>
      </c>
      <c r="E8289" s="10" t="n">
        <v>0</v>
      </c>
      <c r="F8289" s="10" t="n">
        <v>0.3623400869616209</v>
      </c>
      <c r="G8289" s="11">
        <f>E8289*Summary!$B$6</f>
        <v/>
      </c>
      <c r="H8289" s="11">
        <f>F8289*Summary!$B$7</f>
        <v/>
      </c>
      <c r="I8289" s="11">
        <f>MAX(0,N8289-M8289)</f>
        <v/>
      </c>
      <c r="J8289" s="11">
        <f>MAX(0,M8289-N8289)</f>
        <v/>
      </c>
      <c r="K8289" s="11">
        <f>O8289</f>
        <v/>
      </c>
      <c r="L8289" s="11">
        <f>L8288+IF(K8289&gt;0,K8289*Summary!$B$9,K8289/Summary!$B$9)</f>
        <v/>
      </c>
      <c r="M8289" s="11">
        <f>G8289+H8289</f>
        <v/>
      </c>
      <c r="N8289" s="11">
        <f>Summary!$C$16*Summary!$B$8</f>
        <v/>
      </c>
      <c r="O8289" s="11">
        <f>M8289-N8289</f>
        <v/>
      </c>
    </row>
    <row r="8290">
      <c r="A8290" s="9" t="n">
        <v>45637.33333333334</v>
      </c>
      <c r="B8290" t="n">
        <v>12</v>
      </c>
      <c r="C8290" t="n">
        <v>11</v>
      </c>
      <c r="D8290" t="n">
        <v>8</v>
      </c>
      <c r="E8290" s="10" t="n">
        <v>0</v>
      </c>
      <c r="F8290" s="10" t="n">
        <v>0.3274500305880074</v>
      </c>
      <c r="G8290" s="11">
        <f>E8290*Summary!$B$6</f>
        <v/>
      </c>
      <c r="H8290" s="11">
        <f>F8290*Summary!$B$7</f>
        <v/>
      </c>
      <c r="I8290" s="11">
        <f>MAX(0,N8290-M8290)</f>
        <v/>
      </c>
      <c r="J8290" s="11">
        <f>MAX(0,M8290-N8290)</f>
        <v/>
      </c>
      <c r="K8290" s="11">
        <f>O8290</f>
        <v/>
      </c>
      <c r="L8290" s="11">
        <f>L8289+IF(K8290&gt;0,K8290*Summary!$B$9,K8290/Summary!$B$9)</f>
        <v/>
      </c>
      <c r="M8290" s="11">
        <f>G8290+H8290</f>
        <v/>
      </c>
      <c r="N8290" s="11">
        <f>Summary!$C$16*Summary!$B$8</f>
        <v/>
      </c>
      <c r="O8290" s="11">
        <f>M8290-N8290</f>
        <v/>
      </c>
    </row>
    <row r="8291">
      <c r="A8291" s="9" t="n">
        <v>45637.375</v>
      </c>
      <c r="B8291" t="n">
        <v>12</v>
      </c>
      <c r="C8291" t="n">
        <v>11</v>
      </c>
      <c r="D8291" t="n">
        <v>9</v>
      </c>
      <c r="E8291" s="10" t="n">
        <v>0.020175</v>
      </c>
      <c r="F8291" s="10" t="n">
        <v>0.3168565240455657</v>
      </c>
      <c r="G8291" s="11">
        <f>E8291*Summary!$B$6</f>
        <v/>
      </c>
      <c r="H8291" s="11">
        <f>F8291*Summary!$B$7</f>
        <v/>
      </c>
      <c r="I8291" s="11">
        <f>MAX(0,N8291-M8291)</f>
        <v/>
      </c>
      <c r="J8291" s="11">
        <f>MAX(0,M8291-N8291)</f>
        <v/>
      </c>
      <c r="K8291" s="11">
        <f>O8291</f>
        <v/>
      </c>
      <c r="L8291" s="11">
        <f>L8290+IF(K8291&gt;0,K8291*Summary!$B$9,K8291/Summary!$B$9)</f>
        <v/>
      </c>
      <c r="M8291" s="11">
        <f>G8291+H8291</f>
        <v/>
      </c>
      <c r="N8291" s="11">
        <f>Summary!$C$16*Summary!$B$8</f>
        <v/>
      </c>
      <c r="O8291" s="11">
        <f>M8291-N8291</f>
        <v/>
      </c>
    </row>
    <row r="8292">
      <c r="A8292" s="9" t="n">
        <v>45637.41666666666</v>
      </c>
      <c r="B8292" t="n">
        <v>12</v>
      </c>
      <c r="C8292" t="n">
        <v>11</v>
      </c>
      <c r="D8292" t="n">
        <v>10</v>
      </c>
      <c r="E8292" s="10" t="n">
        <v>0.06525400000000001</v>
      </c>
      <c r="F8292" s="10" t="n">
        <v>0.3063157215157731</v>
      </c>
      <c r="G8292" s="11">
        <f>E8292*Summary!$B$6</f>
        <v/>
      </c>
      <c r="H8292" s="11">
        <f>F8292*Summary!$B$7</f>
        <v/>
      </c>
      <c r="I8292" s="11">
        <f>MAX(0,N8292-M8292)</f>
        <v/>
      </c>
      <c r="J8292" s="11">
        <f>MAX(0,M8292-N8292)</f>
        <v/>
      </c>
      <c r="K8292" s="11">
        <f>O8292</f>
        <v/>
      </c>
      <c r="L8292" s="11">
        <f>L8291+IF(K8292&gt;0,K8292*Summary!$B$9,K8292/Summary!$B$9)</f>
        <v/>
      </c>
      <c r="M8292" s="11">
        <f>G8292+H8292</f>
        <v/>
      </c>
      <c r="N8292" s="11">
        <f>Summary!$C$16*Summary!$B$8</f>
        <v/>
      </c>
      <c r="O8292" s="11">
        <f>M8292-N8292</f>
        <v/>
      </c>
    </row>
    <row r="8293">
      <c r="A8293" s="9" t="n">
        <v>45637.45833333334</v>
      </c>
      <c r="B8293" t="n">
        <v>12</v>
      </c>
      <c r="C8293" t="n">
        <v>11</v>
      </c>
      <c r="D8293" t="n">
        <v>11</v>
      </c>
      <c r="E8293" s="10" t="n">
        <v>0.091741</v>
      </c>
      <c r="F8293" s="10" t="n">
        <v>0.2898984215756212</v>
      </c>
      <c r="G8293" s="11">
        <f>E8293*Summary!$B$6</f>
        <v/>
      </c>
      <c r="H8293" s="11">
        <f>F8293*Summary!$B$7</f>
        <v/>
      </c>
      <c r="I8293" s="11">
        <f>MAX(0,N8293-M8293)</f>
        <v/>
      </c>
      <c r="J8293" s="11">
        <f>MAX(0,M8293-N8293)</f>
        <v/>
      </c>
      <c r="K8293" s="11">
        <f>O8293</f>
        <v/>
      </c>
      <c r="L8293" s="11">
        <f>L8292+IF(K8293&gt;0,K8293*Summary!$B$9,K8293/Summary!$B$9)</f>
        <v/>
      </c>
      <c r="M8293" s="11">
        <f>G8293+H8293</f>
        <v/>
      </c>
      <c r="N8293" s="11">
        <f>Summary!$C$16*Summary!$B$8</f>
        <v/>
      </c>
      <c r="O8293" s="11">
        <f>M8293-N8293</f>
        <v/>
      </c>
    </row>
    <row r="8294">
      <c r="A8294" s="9" t="n">
        <v>45637.5</v>
      </c>
      <c r="B8294" t="n">
        <v>12</v>
      </c>
      <c r="C8294" t="n">
        <v>11</v>
      </c>
      <c r="D8294" t="n">
        <v>12</v>
      </c>
      <c r="E8294" s="10" t="n">
        <v>0.093164</v>
      </c>
      <c r="F8294" s="10" t="n">
        <v>0.2731912495658999</v>
      </c>
      <c r="G8294" s="11">
        <f>E8294*Summary!$B$6</f>
        <v/>
      </c>
      <c r="H8294" s="11">
        <f>F8294*Summary!$B$7</f>
        <v/>
      </c>
      <c r="I8294" s="11">
        <f>MAX(0,N8294-M8294)</f>
        <v/>
      </c>
      <c r="J8294" s="11">
        <f>MAX(0,M8294-N8294)</f>
        <v/>
      </c>
      <c r="K8294" s="11">
        <f>O8294</f>
        <v/>
      </c>
      <c r="L8294" s="11">
        <f>L8293+IF(K8294&gt;0,K8294*Summary!$B$9,K8294/Summary!$B$9)</f>
        <v/>
      </c>
      <c r="M8294" s="11">
        <f>G8294+H8294</f>
        <v/>
      </c>
      <c r="N8294" s="11">
        <f>Summary!$C$16*Summary!$B$8</f>
        <v/>
      </c>
      <c r="O8294" s="11">
        <f>M8294-N8294</f>
        <v/>
      </c>
    </row>
    <row r="8295">
      <c r="A8295" s="9" t="n">
        <v>45637.54166666666</v>
      </c>
      <c r="B8295" t="n">
        <v>12</v>
      </c>
      <c r="C8295" t="n">
        <v>11</v>
      </c>
      <c r="D8295" t="n">
        <v>13</v>
      </c>
      <c r="E8295" s="10" t="n">
        <v>0.069645</v>
      </c>
      <c r="F8295" s="10" t="n">
        <v>0.2646268475104434</v>
      </c>
      <c r="G8295" s="11">
        <f>E8295*Summary!$B$6</f>
        <v/>
      </c>
      <c r="H8295" s="11">
        <f>F8295*Summary!$B$7</f>
        <v/>
      </c>
      <c r="I8295" s="11">
        <f>MAX(0,N8295-M8295)</f>
        <v/>
      </c>
      <c r="J8295" s="11">
        <f>MAX(0,M8295-N8295)</f>
        <v/>
      </c>
      <c r="K8295" s="11">
        <f>O8295</f>
        <v/>
      </c>
      <c r="L8295" s="11">
        <f>L8294+IF(K8295&gt;0,K8295*Summary!$B$9,K8295/Summary!$B$9)</f>
        <v/>
      </c>
      <c r="M8295" s="11">
        <f>G8295+H8295</f>
        <v/>
      </c>
      <c r="N8295" s="11">
        <f>Summary!$C$16*Summary!$B$8</f>
        <v/>
      </c>
      <c r="O8295" s="11">
        <f>M8295-N8295</f>
        <v/>
      </c>
    </row>
    <row r="8296">
      <c r="A8296" s="9" t="n">
        <v>45637.58333333334</v>
      </c>
      <c r="B8296" t="n">
        <v>12</v>
      </c>
      <c r="C8296" t="n">
        <v>11</v>
      </c>
      <c r="D8296" t="n">
        <v>14</v>
      </c>
      <c r="E8296" s="10" t="n">
        <v>0.039361</v>
      </c>
      <c r="F8296" s="10" t="n">
        <v>0.2622288149349156</v>
      </c>
      <c r="G8296" s="11">
        <f>E8296*Summary!$B$6</f>
        <v/>
      </c>
      <c r="H8296" s="11">
        <f>F8296*Summary!$B$7</f>
        <v/>
      </c>
      <c r="I8296" s="11">
        <f>MAX(0,N8296-M8296)</f>
        <v/>
      </c>
      <c r="J8296" s="11">
        <f>MAX(0,M8296-N8296)</f>
        <v/>
      </c>
      <c r="K8296" s="11">
        <f>O8296</f>
        <v/>
      </c>
      <c r="L8296" s="11">
        <f>L8295+IF(K8296&gt;0,K8296*Summary!$B$9,K8296/Summary!$B$9)</f>
        <v/>
      </c>
      <c r="M8296" s="11">
        <f>G8296+H8296</f>
        <v/>
      </c>
      <c r="N8296" s="11">
        <f>Summary!$C$16*Summary!$B$8</f>
        <v/>
      </c>
      <c r="O8296" s="11">
        <f>M8296-N8296</f>
        <v/>
      </c>
    </row>
    <row r="8297">
      <c r="A8297" s="9" t="n">
        <v>45637.625</v>
      </c>
      <c r="B8297" t="n">
        <v>12</v>
      </c>
      <c r="C8297" t="n">
        <v>11</v>
      </c>
      <c r="D8297" t="n">
        <v>15</v>
      </c>
      <c r="E8297" s="10" t="n">
        <v>0</v>
      </c>
      <c r="F8297" s="10" t="n">
        <v>0.2696864327247439</v>
      </c>
      <c r="G8297" s="11">
        <f>E8297*Summary!$B$6</f>
        <v/>
      </c>
      <c r="H8297" s="11">
        <f>F8297*Summary!$B$7</f>
        <v/>
      </c>
      <c r="I8297" s="11">
        <f>MAX(0,N8297-M8297)</f>
        <v/>
      </c>
      <c r="J8297" s="11">
        <f>MAX(0,M8297-N8297)</f>
        <v/>
      </c>
      <c r="K8297" s="11">
        <f>O8297</f>
        <v/>
      </c>
      <c r="L8297" s="11">
        <f>L8296+IF(K8297&gt;0,K8297*Summary!$B$9,K8297/Summary!$B$9)</f>
        <v/>
      </c>
      <c r="M8297" s="11">
        <f>G8297+H8297</f>
        <v/>
      </c>
      <c r="N8297" s="11">
        <f>Summary!$C$16*Summary!$B$8</f>
        <v/>
      </c>
      <c r="O8297" s="11">
        <f>M8297-N8297</f>
        <v/>
      </c>
    </row>
    <row r="8298">
      <c r="A8298" s="9" t="n">
        <v>45637.66666666666</v>
      </c>
      <c r="B8298" t="n">
        <v>12</v>
      </c>
      <c r="C8298" t="n">
        <v>11</v>
      </c>
      <c r="D8298" t="n">
        <v>16</v>
      </c>
      <c r="E8298" s="10" t="n">
        <v>0</v>
      </c>
      <c r="F8298" s="10" t="n">
        <v>0.2727169134520592</v>
      </c>
      <c r="G8298" s="11">
        <f>E8298*Summary!$B$6</f>
        <v/>
      </c>
      <c r="H8298" s="11">
        <f>F8298*Summary!$B$7</f>
        <v/>
      </c>
      <c r="I8298" s="11">
        <f>MAX(0,N8298-M8298)</f>
        <v/>
      </c>
      <c r="J8298" s="11">
        <f>MAX(0,M8298-N8298)</f>
        <v/>
      </c>
      <c r="K8298" s="11">
        <f>O8298</f>
        <v/>
      </c>
      <c r="L8298" s="11">
        <f>L8297+IF(K8298&gt;0,K8298*Summary!$B$9,K8298/Summary!$B$9)</f>
        <v/>
      </c>
      <c r="M8298" s="11">
        <f>G8298+H8298</f>
        <v/>
      </c>
      <c r="N8298" s="11">
        <f>Summary!$C$16*Summary!$B$8</f>
        <v/>
      </c>
      <c r="O8298" s="11">
        <f>M8298-N8298</f>
        <v/>
      </c>
    </row>
    <row r="8299">
      <c r="A8299" s="9" t="n">
        <v>45637.70833333334</v>
      </c>
      <c r="B8299" t="n">
        <v>12</v>
      </c>
      <c r="C8299" t="n">
        <v>11</v>
      </c>
      <c r="D8299" t="n">
        <v>17</v>
      </c>
      <c r="E8299" s="10" t="n">
        <v>0</v>
      </c>
      <c r="F8299" s="10" t="n">
        <v>0.275220354052885</v>
      </c>
      <c r="G8299" s="11">
        <f>E8299*Summary!$B$6</f>
        <v/>
      </c>
      <c r="H8299" s="11">
        <f>F8299*Summary!$B$7</f>
        <v/>
      </c>
      <c r="I8299" s="11">
        <f>MAX(0,N8299-M8299)</f>
        <v/>
      </c>
      <c r="J8299" s="11">
        <f>MAX(0,M8299-N8299)</f>
        <v/>
      </c>
      <c r="K8299" s="11">
        <f>O8299</f>
        <v/>
      </c>
      <c r="L8299" s="11">
        <f>L8298+IF(K8299&gt;0,K8299*Summary!$B$9,K8299/Summary!$B$9)</f>
        <v/>
      </c>
      <c r="M8299" s="11">
        <f>G8299+H8299</f>
        <v/>
      </c>
      <c r="N8299" s="11">
        <f>Summary!$C$16*Summary!$B$8</f>
        <v/>
      </c>
      <c r="O8299" s="11">
        <f>M8299-N8299</f>
        <v/>
      </c>
    </row>
    <row r="8300">
      <c r="A8300" s="9" t="n">
        <v>45637.75</v>
      </c>
      <c r="B8300" t="n">
        <v>12</v>
      </c>
      <c r="C8300" t="n">
        <v>11</v>
      </c>
      <c r="D8300" t="n">
        <v>18</v>
      </c>
      <c r="E8300" s="10" t="n">
        <v>0</v>
      </c>
      <c r="F8300" s="10" t="n">
        <v>0.274456145869475</v>
      </c>
      <c r="G8300" s="11">
        <f>E8300*Summary!$B$6</f>
        <v/>
      </c>
      <c r="H8300" s="11">
        <f>F8300*Summary!$B$7</f>
        <v/>
      </c>
      <c r="I8300" s="11">
        <f>MAX(0,N8300-M8300)</f>
        <v/>
      </c>
      <c r="J8300" s="11">
        <f>MAX(0,M8300-N8300)</f>
        <v/>
      </c>
      <c r="K8300" s="11">
        <f>O8300</f>
        <v/>
      </c>
      <c r="L8300" s="11">
        <f>L8299+IF(K8300&gt;0,K8300*Summary!$B$9,K8300/Summary!$B$9)</f>
        <v/>
      </c>
      <c r="M8300" s="11">
        <f>G8300+H8300</f>
        <v/>
      </c>
      <c r="N8300" s="11">
        <f>Summary!$C$16*Summary!$B$8</f>
        <v/>
      </c>
      <c r="O8300" s="11">
        <f>M8300-N8300</f>
        <v/>
      </c>
    </row>
    <row r="8301">
      <c r="A8301" s="9" t="n">
        <v>45637.79166666666</v>
      </c>
      <c r="B8301" t="n">
        <v>12</v>
      </c>
      <c r="C8301" t="n">
        <v>11</v>
      </c>
      <c r="D8301" t="n">
        <v>19</v>
      </c>
      <c r="E8301" s="10" t="n">
        <v>0</v>
      </c>
      <c r="F8301" s="10" t="n">
        <v>0.3000175920042221</v>
      </c>
      <c r="G8301" s="11">
        <f>E8301*Summary!$B$6</f>
        <v/>
      </c>
      <c r="H8301" s="11">
        <f>F8301*Summary!$B$7</f>
        <v/>
      </c>
      <c r="I8301" s="11">
        <f>MAX(0,N8301-M8301)</f>
        <v/>
      </c>
      <c r="J8301" s="11">
        <f>MAX(0,M8301-N8301)</f>
        <v/>
      </c>
      <c r="K8301" s="11">
        <f>O8301</f>
        <v/>
      </c>
      <c r="L8301" s="11">
        <f>L8300+IF(K8301&gt;0,K8301*Summary!$B$9,K8301/Summary!$B$9)</f>
        <v/>
      </c>
      <c r="M8301" s="11">
        <f>G8301+H8301</f>
        <v/>
      </c>
      <c r="N8301" s="11">
        <f>Summary!$C$16*Summary!$B$8</f>
        <v/>
      </c>
      <c r="O8301" s="11">
        <f>M8301-N8301</f>
        <v/>
      </c>
    </row>
    <row r="8302">
      <c r="A8302" s="9" t="n">
        <v>45637.83333333334</v>
      </c>
      <c r="B8302" t="n">
        <v>12</v>
      </c>
      <c r="C8302" t="n">
        <v>11</v>
      </c>
      <c r="D8302" t="n">
        <v>20</v>
      </c>
      <c r="E8302" s="10" t="n">
        <v>0</v>
      </c>
      <c r="F8302" s="10" t="n">
        <v>0.2684215364211687</v>
      </c>
      <c r="G8302" s="11">
        <f>E8302*Summary!$B$6</f>
        <v/>
      </c>
      <c r="H8302" s="11">
        <f>F8302*Summary!$B$7</f>
        <v/>
      </c>
      <c r="I8302" s="11">
        <f>MAX(0,N8302-M8302)</f>
        <v/>
      </c>
      <c r="J8302" s="11">
        <f>MAX(0,M8302-N8302)</f>
        <v/>
      </c>
      <c r="K8302" s="11">
        <f>O8302</f>
        <v/>
      </c>
      <c r="L8302" s="11">
        <f>L8301+IF(K8302&gt;0,K8302*Summary!$B$9,K8302/Summary!$B$9)</f>
        <v/>
      </c>
      <c r="M8302" s="11">
        <f>G8302+H8302</f>
        <v/>
      </c>
      <c r="N8302" s="11">
        <f>Summary!$C$16*Summary!$B$8</f>
        <v/>
      </c>
      <c r="O8302" s="11">
        <f>M8302-N8302</f>
        <v/>
      </c>
    </row>
    <row r="8303">
      <c r="A8303" s="9" t="n">
        <v>45637.875</v>
      </c>
      <c r="B8303" t="n">
        <v>12</v>
      </c>
      <c r="C8303" t="n">
        <v>11</v>
      </c>
      <c r="D8303" t="n">
        <v>21</v>
      </c>
      <c r="E8303" s="10" t="n">
        <v>0</v>
      </c>
      <c r="F8303" s="10" t="n">
        <v>0.2560887974613114</v>
      </c>
      <c r="G8303" s="11">
        <f>E8303*Summary!$B$6</f>
        <v/>
      </c>
      <c r="H8303" s="11">
        <f>F8303*Summary!$B$7</f>
        <v/>
      </c>
      <c r="I8303" s="11">
        <f>MAX(0,N8303-M8303)</f>
        <v/>
      </c>
      <c r="J8303" s="11">
        <f>MAX(0,M8303-N8303)</f>
        <v/>
      </c>
      <c r="K8303" s="11">
        <f>O8303</f>
        <v/>
      </c>
      <c r="L8303" s="11">
        <f>L8302+IF(K8303&gt;0,K8303*Summary!$B$9,K8303/Summary!$B$9)</f>
        <v/>
      </c>
      <c r="M8303" s="11">
        <f>G8303+H8303</f>
        <v/>
      </c>
      <c r="N8303" s="11">
        <f>Summary!$C$16*Summary!$B$8</f>
        <v/>
      </c>
      <c r="O8303" s="11">
        <f>M8303-N8303</f>
        <v/>
      </c>
    </row>
    <row r="8304">
      <c r="A8304" s="9" t="n">
        <v>45637.91666666666</v>
      </c>
      <c r="B8304" t="n">
        <v>12</v>
      </c>
      <c r="C8304" t="n">
        <v>11</v>
      </c>
      <c r="D8304" t="n">
        <v>22</v>
      </c>
      <c r="E8304" s="10" t="n">
        <v>0</v>
      </c>
      <c r="F8304" s="10" t="n">
        <v>0.2440722825773478</v>
      </c>
      <c r="G8304" s="11">
        <f>E8304*Summary!$B$6</f>
        <v/>
      </c>
      <c r="H8304" s="11">
        <f>F8304*Summary!$B$7</f>
        <v/>
      </c>
      <c r="I8304" s="11">
        <f>MAX(0,N8304-M8304)</f>
        <v/>
      </c>
      <c r="J8304" s="11">
        <f>MAX(0,M8304-N8304)</f>
        <v/>
      </c>
      <c r="K8304" s="11">
        <f>O8304</f>
        <v/>
      </c>
      <c r="L8304" s="11">
        <f>L8303+IF(K8304&gt;0,K8304*Summary!$B$9,K8304/Summary!$B$9)</f>
        <v/>
      </c>
      <c r="M8304" s="11">
        <f>G8304+H8304</f>
        <v/>
      </c>
      <c r="N8304" s="11">
        <f>Summary!$C$16*Summary!$B$8</f>
        <v/>
      </c>
      <c r="O8304" s="11">
        <f>M8304-N8304</f>
        <v/>
      </c>
    </row>
    <row r="8305">
      <c r="A8305" s="9" t="n">
        <v>45637.95833333334</v>
      </c>
      <c r="B8305" t="n">
        <v>12</v>
      </c>
      <c r="C8305" t="n">
        <v>11</v>
      </c>
      <c r="D8305" t="n">
        <v>23</v>
      </c>
      <c r="E8305" s="10" t="n">
        <v>0</v>
      </c>
      <c r="F8305" s="10" t="n">
        <v>0.23455920829421</v>
      </c>
      <c r="G8305" s="11">
        <f>E8305*Summary!$B$6</f>
        <v/>
      </c>
      <c r="H8305" s="11">
        <f>F8305*Summary!$B$7</f>
        <v/>
      </c>
      <c r="I8305" s="11">
        <f>MAX(0,N8305-M8305)</f>
        <v/>
      </c>
      <c r="J8305" s="11">
        <f>MAX(0,M8305-N8305)</f>
        <v/>
      </c>
      <c r="K8305" s="11">
        <f>O8305</f>
        <v/>
      </c>
      <c r="L8305" s="11">
        <f>L8304+IF(K8305&gt;0,K8305*Summary!$B$9,K8305/Summary!$B$9)</f>
        <v/>
      </c>
      <c r="M8305" s="11">
        <f>G8305+H8305</f>
        <v/>
      </c>
      <c r="N8305" s="11">
        <f>Summary!$C$16*Summary!$B$8</f>
        <v/>
      </c>
      <c r="O8305" s="11">
        <f>M8305-N8305</f>
        <v/>
      </c>
    </row>
    <row r="8306">
      <c r="A8306" s="9" t="n">
        <v>45638</v>
      </c>
      <c r="B8306" t="n">
        <v>12</v>
      </c>
      <c r="C8306" t="n">
        <v>12</v>
      </c>
      <c r="D8306" t="n">
        <v>0</v>
      </c>
      <c r="E8306" s="10" t="n">
        <v>0</v>
      </c>
      <c r="F8306" s="10" t="n">
        <v>0.2406992257678142</v>
      </c>
      <c r="G8306" s="11">
        <f>E8306*Summary!$B$6</f>
        <v/>
      </c>
      <c r="H8306" s="11">
        <f>F8306*Summary!$B$7</f>
        <v/>
      </c>
      <c r="I8306" s="11">
        <f>MAX(0,N8306-M8306)</f>
        <v/>
      </c>
      <c r="J8306" s="11">
        <f>MAX(0,M8306-N8306)</f>
        <v/>
      </c>
      <c r="K8306" s="11">
        <f>O8306</f>
        <v/>
      </c>
      <c r="L8306" s="11">
        <f>L8305+IF(K8306&gt;0,K8306*Summary!$B$9,K8306/Summary!$B$9)</f>
        <v/>
      </c>
      <c r="M8306" s="11">
        <f>G8306+H8306</f>
        <v/>
      </c>
      <c r="N8306" s="11">
        <f>Summary!$C$16*Summary!$B$8</f>
        <v/>
      </c>
      <c r="O8306" s="11">
        <f>M8306-N8306</f>
        <v/>
      </c>
    </row>
    <row r="8307">
      <c r="A8307" s="9" t="n">
        <v>45638.04166666666</v>
      </c>
      <c r="B8307" t="n">
        <v>12</v>
      </c>
      <c r="C8307" t="n">
        <v>12</v>
      </c>
      <c r="D8307" t="n">
        <v>1</v>
      </c>
      <c r="E8307" s="10" t="n">
        <v>0</v>
      </c>
      <c r="F8307" s="10" t="n">
        <v>0.2277867426688183</v>
      </c>
      <c r="G8307" s="11">
        <f>E8307*Summary!$B$6</f>
        <v/>
      </c>
      <c r="H8307" s="11">
        <f>F8307*Summary!$B$7</f>
        <v/>
      </c>
      <c r="I8307" s="11">
        <f>MAX(0,N8307-M8307)</f>
        <v/>
      </c>
      <c r="J8307" s="11">
        <f>MAX(0,M8307-N8307)</f>
        <v/>
      </c>
      <c r="K8307" s="11">
        <f>O8307</f>
        <v/>
      </c>
      <c r="L8307" s="11">
        <f>L8306+IF(K8307&gt;0,K8307*Summary!$B$9,K8307/Summary!$B$9)</f>
        <v/>
      </c>
      <c r="M8307" s="11">
        <f>G8307+H8307</f>
        <v/>
      </c>
      <c r="N8307" s="11">
        <f>Summary!$C$16*Summary!$B$8</f>
        <v/>
      </c>
      <c r="O8307" s="11">
        <f>M8307-N8307</f>
        <v/>
      </c>
    </row>
    <row r="8308">
      <c r="A8308" s="9" t="n">
        <v>45638.08333333334</v>
      </c>
      <c r="B8308" t="n">
        <v>12</v>
      </c>
      <c r="C8308" t="n">
        <v>12</v>
      </c>
      <c r="D8308" t="n">
        <v>2</v>
      </c>
      <c r="E8308" s="10" t="n">
        <v>0</v>
      </c>
      <c r="F8308" s="10" t="n">
        <v>0.2250724860173966</v>
      </c>
      <c r="G8308" s="11">
        <f>E8308*Summary!$B$6</f>
        <v/>
      </c>
      <c r="H8308" s="11">
        <f>F8308*Summary!$B$7</f>
        <v/>
      </c>
      <c r="I8308" s="11">
        <f>MAX(0,N8308-M8308)</f>
        <v/>
      </c>
      <c r="J8308" s="11">
        <f>MAX(0,M8308-N8308)</f>
        <v/>
      </c>
      <c r="K8308" s="11">
        <f>O8308</f>
        <v/>
      </c>
      <c r="L8308" s="11">
        <f>L8307+IF(K8308&gt;0,K8308*Summary!$B$9,K8308/Summary!$B$9)</f>
        <v/>
      </c>
      <c r="M8308" s="11">
        <f>G8308+H8308</f>
        <v/>
      </c>
      <c r="N8308" s="11">
        <f>Summary!$C$16*Summary!$B$8</f>
        <v/>
      </c>
      <c r="O8308" s="11">
        <f>M8308-N8308</f>
        <v/>
      </c>
    </row>
    <row r="8309">
      <c r="A8309" s="9" t="n">
        <v>45638.125</v>
      </c>
      <c r="B8309" t="n">
        <v>12</v>
      </c>
      <c r="C8309" t="n">
        <v>12</v>
      </c>
      <c r="D8309" t="n">
        <v>3</v>
      </c>
      <c r="E8309" s="10" t="n">
        <v>0</v>
      </c>
      <c r="F8309" s="10" t="n">
        <v>0.2213041491129958</v>
      </c>
      <c r="G8309" s="11">
        <f>E8309*Summary!$B$6</f>
        <v/>
      </c>
      <c r="H8309" s="11">
        <f>F8309*Summary!$B$7</f>
        <v/>
      </c>
      <c r="I8309" s="11">
        <f>MAX(0,N8309-M8309)</f>
        <v/>
      </c>
      <c r="J8309" s="11">
        <f>MAX(0,M8309-N8309)</f>
        <v/>
      </c>
      <c r="K8309" s="11">
        <f>O8309</f>
        <v/>
      </c>
      <c r="L8309" s="11">
        <f>L8308+IF(K8309&gt;0,K8309*Summary!$B$9,K8309/Summary!$B$9)</f>
        <v/>
      </c>
      <c r="M8309" s="11">
        <f>G8309+H8309</f>
        <v/>
      </c>
      <c r="N8309" s="11">
        <f>Summary!$C$16*Summary!$B$8</f>
        <v/>
      </c>
      <c r="O8309" s="11">
        <f>M8309-N8309</f>
        <v/>
      </c>
    </row>
    <row r="8310">
      <c r="A8310" s="9" t="n">
        <v>45638.16666666666</v>
      </c>
      <c r="B8310" t="n">
        <v>12</v>
      </c>
      <c r="C8310" t="n">
        <v>12</v>
      </c>
      <c r="D8310" t="n">
        <v>4</v>
      </c>
      <c r="E8310" s="10" t="n">
        <v>0</v>
      </c>
      <c r="F8310" s="10" t="n">
        <v>0.2219365972647833</v>
      </c>
      <c r="G8310" s="11">
        <f>E8310*Summary!$B$6</f>
        <v/>
      </c>
      <c r="H8310" s="11">
        <f>F8310*Summary!$B$7</f>
        <v/>
      </c>
      <c r="I8310" s="11">
        <f>MAX(0,N8310-M8310)</f>
        <v/>
      </c>
      <c r="J8310" s="11">
        <f>MAX(0,M8310-N8310)</f>
        <v/>
      </c>
      <c r="K8310" s="11">
        <f>O8310</f>
        <v/>
      </c>
      <c r="L8310" s="11">
        <f>L8309+IF(K8310&gt;0,K8310*Summary!$B$9,K8310/Summary!$B$9)</f>
        <v/>
      </c>
      <c r="M8310" s="11">
        <f>G8310+H8310</f>
        <v/>
      </c>
      <c r="N8310" s="11">
        <f>Summary!$C$16*Summary!$B$8</f>
        <v/>
      </c>
      <c r="O8310" s="11">
        <f>M8310-N8310</f>
        <v/>
      </c>
    </row>
    <row r="8311">
      <c r="A8311" s="9" t="n">
        <v>45638.20833333334</v>
      </c>
      <c r="B8311" t="n">
        <v>12</v>
      </c>
      <c r="C8311" t="n">
        <v>12</v>
      </c>
      <c r="D8311" t="n">
        <v>5</v>
      </c>
      <c r="E8311" s="10" t="n">
        <v>0</v>
      </c>
      <c r="F8311" s="10" t="n">
        <v>0.222358229365975</v>
      </c>
      <c r="G8311" s="11">
        <f>E8311*Summary!$B$6</f>
        <v/>
      </c>
      <c r="H8311" s="11">
        <f>F8311*Summary!$B$7</f>
        <v/>
      </c>
      <c r="I8311" s="11">
        <f>MAX(0,N8311-M8311)</f>
        <v/>
      </c>
      <c r="J8311" s="11">
        <f>MAX(0,M8311-N8311)</f>
        <v/>
      </c>
      <c r="K8311" s="11">
        <f>O8311</f>
        <v/>
      </c>
      <c r="L8311" s="11">
        <f>L8310+IF(K8311&gt;0,K8311*Summary!$B$9,K8311/Summary!$B$9)</f>
        <v/>
      </c>
      <c r="M8311" s="11">
        <f>G8311+H8311</f>
        <v/>
      </c>
      <c r="N8311" s="11">
        <f>Summary!$C$16*Summary!$B$8</f>
        <v/>
      </c>
      <c r="O8311" s="11">
        <f>M8311-N8311</f>
        <v/>
      </c>
    </row>
    <row r="8312">
      <c r="A8312" s="9" t="n">
        <v>45638.25</v>
      </c>
      <c r="B8312" t="n">
        <v>12</v>
      </c>
      <c r="C8312" t="n">
        <v>12</v>
      </c>
      <c r="D8312" t="n">
        <v>6</v>
      </c>
      <c r="E8312" s="10" t="n">
        <v>0</v>
      </c>
      <c r="F8312" s="10" t="n">
        <v>0.2258103421944821</v>
      </c>
      <c r="G8312" s="11">
        <f>E8312*Summary!$B$6</f>
        <v/>
      </c>
      <c r="H8312" s="11">
        <f>F8312*Summary!$B$7</f>
        <v/>
      </c>
      <c r="I8312" s="11">
        <f>MAX(0,N8312-M8312)</f>
        <v/>
      </c>
      <c r="J8312" s="11">
        <f>MAX(0,M8312-N8312)</f>
        <v/>
      </c>
      <c r="K8312" s="11">
        <f>O8312</f>
        <v/>
      </c>
      <c r="L8312" s="11">
        <f>L8311+IF(K8312&gt;0,K8312*Summary!$B$9,K8312/Summary!$B$9)</f>
        <v/>
      </c>
      <c r="M8312" s="11">
        <f>G8312+H8312</f>
        <v/>
      </c>
      <c r="N8312" s="11">
        <f>Summary!$C$16*Summary!$B$8</f>
        <v/>
      </c>
      <c r="O8312" s="11">
        <f>M8312-N8312</f>
        <v/>
      </c>
    </row>
    <row r="8313">
      <c r="A8313" s="9" t="n">
        <v>45638.29166666666</v>
      </c>
      <c r="B8313" t="n">
        <v>12</v>
      </c>
      <c r="C8313" t="n">
        <v>12</v>
      </c>
      <c r="D8313" t="n">
        <v>7</v>
      </c>
      <c r="E8313" s="10" t="n">
        <v>0</v>
      </c>
      <c r="F8313" s="10" t="n">
        <v>0.2255995261438863</v>
      </c>
      <c r="G8313" s="11">
        <f>E8313*Summary!$B$6</f>
        <v/>
      </c>
      <c r="H8313" s="11">
        <f>F8313*Summary!$B$7</f>
        <v/>
      </c>
      <c r="I8313" s="11">
        <f>MAX(0,N8313-M8313)</f>
        <v/>
      </c>
      <c r="J8313" s="11">
        <f>MAX(0,M8313-N8313)</f>
        <v/>
      </c>
      <c r="K8313" s="11">
        <f>O8313</f>
        <v/>
      </c>
      <c r="L8313" s="11">
        <f>L8312+IF(K8313&gt;0,K8313*Summary!$B$9,K8313/Summary!$B$9)</f>
        <v/>
      </c>
      <c r="M8313" s="11">
        <f>G8313+H8313</f>
        <v/>
      </c>
      <c r="N8313" s="11">
        <f>Summary!$C$16*Summary!$B$8</f>
        <v/>
      </c>
      <c r="O8313" s="11">
        <f>M8313-N8313</f>
        <v/>
      </c>
    </row>
    <row r="8314">
      <c r="A8314" s="9" t="n">
        <v>45638.33333333334</v>
      </c>
      <c r="B8314" t="n">
        <v>12</v>
      </c>
      <c r="C8314" t="n">
        <v>12</v>
      </c>
      <c r="D8314" t="n">
        <v>8</v>
      </c>
      <c r="E8314" s="10" t="n">
        <v>0</v>
      </c>
      <c r="F8314" s="10" t="n">
        <v>0.2287617669028241</v>
      </c>
      <c r="G8314" s="11">
        <f>E8314*Summary!$B$6</f>
        <v/>
      </c>
      <c r="H8314" s="11">
        <f>F8314*Summary!$B$7</f>
        <v/>
      </c>
      <c r="I8314" s="11">
        <f>MAX(0,N8314-M8314)</f>
        <v/>
      </c>
      <c r="J8314" s="11">
        <f>MAX(0,M8314-N8314)</f>
        <v/>
      </c>
      <c r="K8314" s="11">
        <f>O8314</f>
        <v/>
      </c>
      <c r="L8314" s="11">
        <f>L8313+IF(K8314&gt;0,K8314*Summary!$B$9,K8314/Summary!$B$9)</f>
        <v/>
      </c>
      <c r="M8314" s="11">
        <f>G8314+H8314</f>
        <v/>
      </c>
      <c r="N8314" s="11">
        <f>Summary!$C$16*Summary!$B$8</f>
        <v/>
      </c>
      <c r="O8314" s="11">
        <f>M8314-N8314</f>
        <v/>
      </c>
    </row>
    <row r="8315">
      <c r="A8315" s="9" t="n">
        <v>45638.375</v>
      </c>
      <c r="B8315" t="n">
        <v>12</v>
      </c>
      <c r="C8315" t="n">
        <v>12</v>
      </c>
      <c r="D8315" t="n">
        <v>9</v>
      </c>
      <c r="E8315" s="10" t="n">
        <v>0.048617</v>
      </c>
      <c r="F8315" s="10" t="n">
        <v>0.2306327593518623</v>
      </c>
      <c r="G8315" s="11">
        <f>E8315*Summary!$B$6</f>
        <v/>
      </c>
      <c r="H8315" s="11">
        <f>F8315*Summary!$B$7</f>
        <v/>
      </c>
      <c r="I8315" s="11">
        <f>MAX(0,N8315-M8315)</f>
        <v/>
      </c>
      <c r="J8315" s="11">
        <f>MAX(0,M8315-N8315)</f>
        <v/>
      </c>
      <c r="K8315" s="11">
        <f>O8315</f>
        <v/>
      </c>
      <c r="L8315" s="11">
        <f>L8314+IF(K8315&gt;0,K8315*Summary!$B$9,K8315/Summary!$B$9)</f>
        <v/>
      </c>
      <c r="M8315" s="11">
        <f>G8315+H8315</f>
        <v/>
      </c>
      <c r="N8315" s="11">
        <f>Summary!$C$16*Summary!$B$8</f>
        <v/>
      </c>
      <c r="O8315" s="11">
        <f>M8315-N8315</f>
        <v/>
      </c>
    </row>
    <row r="8316">
      <c r="A8316" s="9" t="n">
        <v>45638.41666666666</v>
      </c>
      <c r="B8316" t="n">
        <v>12</v>
      </c>
      <c r="C8316" t="n">
        <v>12</v>
      </c>
      <c r="D8316" t="n">
        <v>10</v>
      </c>
      <c r="E8316" s="10" t="n">
        <v>0.136044</v>
      </c>
      <c r="F8316" s="10" t="n">
        <v>0.2250197820047476</v>
      </c>
      <c r="G8316" s="11">
        <f>E8316*Summary!$B$6</f>
        <v/>
      </c>
      <c r="H8316" s="11">
        <f>F8316*Summary!$B$7</f>
        <v/>
      </c>
      <c r="I8316" s="11">
        <f>MAX(0,N8316-M8316)</f>
        <v/>
      </c>
      <c r="J8316" s="11">
        <f>MAX(0,M8316-N8316)</f>
        <v/>
      </c>
      <c r="K8316" s="11">
        <f>O8316</f>
        <v/>
      </c>
      <c r="L8316" s="11">
        <f>L8315+IF(K8316&gt;0,K8316*Summary!$B$9,K8316/Summary!$B$9)</f>
        <v/>
      </c>
      <c r="M8316" s="11">
        <f>G8316+H8316</f>
        <v/>
      </c>
      <c r="N8316" s="11">
        <f>Summary!$C$16*Summary!$B$8</f>
        <v/>
      </c>
      <c r="O8316" s="11">
        <f>M8316-N8316</f>
        <v/>
      </c>
    </row>
    <row r="8317">
      <c r="A8317" s="9" t="n">
        <v>45638.45833333334</v>
      </c>
      <c r="B8317" t="n">
        <v>12</v>
      </c>
      <c r="C8317" t="n">
        <v>12</v>
      </c>
      <c r="D8317" t="n">
        <v>11</v>
      </c>
      <c r="E8317" s="10" t="n">
        <v>0.168839</v>
      </c>
      <c r="F8317" s="10" t="n">
        <v>0.2187743565058456</v>
      </c>
      <c r="G8317" s="11">
        <f>E8317*Summary!$B$6</f>
        <v/>
      </c>
      <c r="H8317" s="11">
        <f>F8317*Summary!$B$7</f>
        <v/>
      </c>
      <c r="I8317" s="11">
        <f>MAX(0,N8317-M8317)</f>
        <v/>
      </c>
      <c r="J8317" s="11">
        <f>MAX(0,M8317-N8317)</f>
        <v/>
      </c>
      <c r="K8317" s="11">
        <f>O8317</f>
        <v/>
      </c>
      <c r="L8317" s="11">
        <f>L8316+IF(K8317&gt;0,K8317*Summary!$B$9,K8317/Summary!$B$9)</f>
        <v/>
      </c>
      <c r="M8317" s="11">
        <f>G8317+H8317</f>
        <v/>
      </c>
      <c r="N8317" s="11">
        <f>Summary!$C$16*Summary!$B$8</f>
        <v/>
      </c>
      <c r="O8317" s="11">
        <f>M8317-N8317</f>
        <v/>
      </c>
    </row>
    <row r="8318">
      <c r="A8318" s="9" t="n">
        <v>45638.5</v>
      </c>
      <c r="B8318" t="n">
        <v>12</v>
      </c>
      <c r="C8318" t="n">
        <v>12</v>
      </c>
      <c r="D8318" t="n">
        <v>12</v>
      </c>
      <c r="E8318" s="10" t="n">
        <v>0.157749</v>
      </c>
      <c r="F8318" s="10" t="n">
        <v>0.2115539067729376</v>
      </c>
      <c r="G8318" s="11">
        <f>E8318*Summary!$B$6</f>
        <v/>
      </c>
      <c r="H8318" s="11">
        <f>F8318*Summary!$B$7</f>
        <v/>
      </c>
      <c r="I8318" s="11">
        <f>MAX(0,N8318-M8318)</f>
        <v/>
      </c>
      <c r="J8318" s="11">
        <f>MAX(0,M8318-N8318)</f>
        <v/>
      </c>
      <c r="K8318" s="11">
        <f>O8318</f>
        <v/>
      </c>
      <c r="L8318" s="11">
        <f>L8317+IF(K8318&gt;0,K8318*Summary!$B$9,K8318/Summary!$B$9)</f>
        <v/>
      </c>
      <c r="M8318" s="11">
        <f>G8318+H8318</f>
        <v/>
      </c>
      <c r="N8318" s="11">
        <f>Summary!$C$16*Summary!$B$8</f>
        <v/>
      </c>
      <c r="O8318" s="11">
        <f>M8318-N8318</f>
        <v/>
      </c>
    </row>
    <row r="8319">
      <c r="A8319" s="9" t="n">
        <v>45638.54166666666</v>
      </c>
      <c r="B8319" t="n">
        <v>12</v>
      </c>
      <c r="C8319" t="n">
        <v>12</v>
      </c>
      <c r="D8319" t="n">
        <v>13</v>
      </c>
      <c r="E8319" s="10" t="n">
        <v>0.105028</v>
      </c>
      <c r="F8319" s="10" t="n">
        <v>0.2131877311650555</v>
      </c>
      <c r="G8319" s="11">
        <f>E8319*Summary!$B$6</f>
        <v/>
      </c>
      <c r="H8319" s="11">
        <f>F8319*Summary!$B$7</f>
        <v/>
      </c>
      <c r="I8319" s="11">
        <f>MAX(0,N8319-M8319)</f>
        <v/>
      </c>
      <c r="J8319" s="11">
        <f>MAX(0,M8319-N8319)</f>
        <v/>
      </c>
      <c r="K8319" s="11">
        <f>O8319</f>
        <v/>
      </c>
      <c r="L8319" s="11">
        <f>L8318+IF(K8319&gt;0,K8319*Summary!$B$9,K8319/Summary!$B$9)</f>
        <v/>
      </c>
      <c r="M8319" s="11">
        <f>G8319+H8319</f>
        <v/>
      </c>
      <c r="N8319" s="11">
        <f>Summary!$C$16*Summary!$B$8</f>
        <v/>
      </c>
      <c r="O8319" s="11">
        <f>M8319-N8319</f>
        <v/>
      </c>
    </row>
    <row r="8320">
      <c r="A8320" s="9" t="n">
        <v>45638.58333333334</v>
      </c>
      <c r="B8320" t="n">
        <v>12</v>
      </c>
      <c r="C8320" t="n">
        <v>12</v>
      </c>
      <c r="D8320" t="n">
        <v>14</v>
      </c>
      <c r="E8320" s="10" t="n">
        <v>0.025561</v>
      </c>
      <c r="F8320" s="10" t="n">
        <v>0.2193277486386597</v>
      </c>
      <c r="G8320" s="11">
        <f>E8320*Summary!$B$6</f>
        <v/>
      </c>
      <c r="H8320" s="11">
        <f>F8320*Summary!$B$7</f>
        <v/>
      </c>
      <c r="I8320" s="11">
        <f>MAX(0,N8320-M8320)</f>
        <v/>
      </c>
      <c r="J8320" s="11">
        <f>MAX(0,M8320-N8320)</f>
        <v/>
      </c>
      <c r="K8320" s="11">
        <f>O8320</f>
        <v/>
      </c>
      <c r="L8320" s="11">
        <f>L8319+IF(K8320&gt;0,K8320*Summary!$B$9,K8320/Summary!$B$9)</f>
        <v/>
      </c>
      <c r="M8320" s="11">
        <f>G8320+H8320</f>
        <v/>
      </c>
      <c r="N8320" s="11">
        <f>Summary!$C$16*Summary!$B$8</f>
        <v/>
      </c>
      <c r="O8320" s="11">
        <f>M8320-N8320</f>
        <v/>
      </c>
    </row>
    <row r="8321">
      <c r="A8321" s="9" t="n">
        <v>45638.625</v>
      </c>
      <c r="B8321" t="n">
        <v>12</v>
      </c>
      <c r="C8321" t="n">
        <v>12</v>
      </c>
      <c r="D8321" t="n">
        <v>15</v>
      </c>
      <c r="E8321" s="10" t="n">
        <v>0</v>
      </c>
      <c r="F8321" s="10" t="n">
        <v>0.2312915595099743</v>
      </c>
      <c r="G8321" s="11">
        <f>E8321*Summary!$B$6</f>
        <v/>
      </c>
      <c r="H8321" s="11">
        <f>F8321*Summary!$B$7</f>
        <v/>
      </c>
      <c r="I8321" s="11">
        <f>MAX(0,N8321-M8321)</f>
        <v/>
      </c>
      <c r="J8321" s="11">
        <f>MAX(0,M8321-N8321)</f>
        <v/>
      </c>
      <c r="K8321" s="11">
        <f>O8321</f>
        <v/>
      </c>
      <c r="L8321" s="11">
        <f>L8320+IF(K8321&gt;0,K8321*Summary!$B$9,K8321/Summary!$B$9)</f>
        <v/>
      </c>
      <c r="M8321" s="11">
        <f>G8321+H8321</f>
        <v/>
      </c>
      <c r="N8321" s="11">
        <f>Summary!$C$16*Summary!$B$8</f>
        <v/>
      </c>
      <c r="O8321" s="11">
        <f>M8321-N8321</f>
        <v/>
      </c>
    </row>
    <row r="8322">
      <c r="A8322" s="9" t="n">
        <v>45638.66666666666</v>
      </c>
      <c r="B8322" t="n">
        <v>12</v>
      </c>
      <c r="C8322" t="n">
        <v>12</v>
      </c>
      <c r="D8322" t="n">
        <v>16</v>
      </c>
      <c r="E8322" s="10" t="n">
        <v>0</v>
      </c>
      <c r="F8322" s="10" t="n">
        <v>0.2351653044396731</v>
      </c>
      <c r="G8322" s="11">
        <f>E8322*Summary!$B$6</f>
        <v/>
      </c>
      <c r="H8322" s="11">
        <f>F8322*Summary!$B$7</f>
        <v/>
      </c>
      <c r="I8322" s="11">
        <f>MAX(0,N8322-M8322)</f>
        <v/>
      </c>
      <c r="J8322" s="11">
        <f>MAX(0,M8322-N8322)</f>
        <v/>
      </c>
      <c r="K8322" s="11">
        <f>O8322</f>
        <v/>
      </c>
      <c r="L8322" s="11">
        <f>L8321+IF(K8322&gt;0,K8322*Summary!$B$9,K8322/Summary!$B$9)</f>
        <v/>
      </c>
      <c r="M8322" s="11">
        <f>G8322+H8322</f>
        <v/>
      </c>
      <c r="N8322" s="11">
        <f>Summary!$C$16*Summary!$B$8</f>
        <v/>
      </c>
      <c r="O8322" s="11">
        <f>M8322-N8322</f>
        <v/>
      </c>
    </row>
    <row r="8323">
      <c r="A8323" s="9" t="n">
        <v>45638.70833333334</v>
      </c>
      <c r="B8323" t="n">
        <v>12</v>
      </c>
      <c r="C8323" t="n">
        <v>12</v>
      </c>
      <c r="D8323" t="n">
        <v>17</v>
      </c>
      <c r="E8323" s="10" t="n">
        <v>0</v>
      </c>
      <c r="F8323" s="10" t="n">
        <v>0.2327409198578207</v>
      </c>
      <c r="G8323" s="11">
        <f>E8323*Summary!$B$6</f>
        <v/>
      </c>
      <c r="H8323" s="11">
        <f>F8323*Summary!$B$7</f>
        <v/>
      </c>
      <c r="I8323" s="11">
        <f>MAX(0,N8323-M8323)</f>
        <v/>
      </c>
      <c r="J8323" s="11">
        <f>MAX(0,M8323-N8323)</f>
        <v/>
      </c>
      <c r="K8323" s="11">
        <f>O8323</f>
        <v/>
      </c>
      <c r="L8323" s="11">
        <f>L8322+IF(K8323&gt;0,K8323*Summary!$B$9,K8323/Summary!$B$9)</f>
        <v/>
      </c>
      <c r="M8323" s="11">
        <f>G8323+H8323</f>
        <v/>
      </c>
      <c r="N8323" s="11">
        <f>Summary!$C$16*Summary!$B$8</f>
        <v/>
      </c>
      <c r="O8323" s="11">
        <f>M8323-N8323</f>
        <v/>
      </c>
    </row>
    <row r="8324">
      <c r="A8324" s="9" t="n">
        <v>45638.75</v>
      </c>
      <c r="B8324" t="n">
        <v>12</v>
      </c>
      <c r="C8324" t="n">
        <v>12</v>
      </c>
      <c r="D8324" t="n">
        <v>18</v>
      </c>
      <c r="E8324" s="10" t="n">
        <v>0</v>
      </c>
      <c r="F8324" s="10" t="n">
        <v>0.2309753354340805</v>
      </c>
      <c r="G8324" s="11">
        <f>E8324*Summary!$B$6</f>
        <v/>
      </c>
      <c r="H8324" s="11">
        <f>F8324*Summary!$B$7</f>
        <v/>
      </c>
      <c r="I8324" s="11">
        <f>MAX(0,N8324-M8324)</f>
        <v/>
      </c>
      <c r="J8324" s="11">
        <f>MAX(0,M8324-N8324)</f>
        <v/>
      </c>
      <c r="K8324" s="11">
        <f>O8324</f>
        <v/>
      </c>
      <c r="L8324" s="11">
        <f>L8323+IF(K8324&gt;0,K8324*Summary!$B$9,K8324/Summary!$B$9)</f>
        <v/>
      </c>
      <c r="M8324" s="11">
        <f>G8324+H8324</f>
        <v/>
      </c>
      <c r="N8324" s="11">
        <f>Summary!$C$16*Summary!$B$8</f>
        <v/>
      </c>
      <c r="O8324" s="11">
        <f>M8324-N8324</f>
        <v/>
      </c>
    </row>
    <row r="8325">
      <c r="A8325" s="9" t="n">
        <v>45638.79166666666</v>
      </c>
      <c r="B8325" t="n">
        <v>12</v>
      </c>
      <c r="C8325" t="n">
        <v>12</v>
      </c>
      <c r="D8325" t="n">
        <v>19</v>
      </c>
      <c r="E8325" s="10" t="n">
        <v>0</v>
      </c>
      <c r="F8325" s="10" t="n">
        <v>0.233083495940039</v>
      </c>
      <c r="G8325" s="11">
        <f>E8325*Summary!$B$6</f>
        <v/>
      </c>
      <c r="H8325" s="11">
        <f>F8325*Summary!$B$7</f>
        <v/>
      </c>
      <c r="I8325" s="11">
        <f>MAX(0,N8325-M8325)</f>
        <v/>
      </c>
      <c r="J8325" s="11">
        <f>MAX(0,M8325-N8325)</f>
        <v/>
      </c>
      <c r="K8325" s="11">
        <f>O8325</f>
        <v/>
      </c>
      <c r="L8325" s="11">
        <f>L8324+IF(K8325&gt;0,K8325*Summary!$B$9,K8325/Summary!$B$9)</f>
        <v/>
      </c>
      <c r="M8325" s="11">
        <f>G8325+H8325</f>
        <v/>
      </c>
      <c r="N8325" s="11">
        <f>Summary!$C$16*Summary!$B$8</f>
        <v/>
      </c>
      <c r="O8325" s="11">
        <f>M8325-N8325</f>
        <v/>
      </c>
    </row>
    <row r="8326">
      <c r="A8326" s="9" t="n">
        <v>45638.83333333334</v>
      </c>
      <c r="B8326" t="n">
        <v>12</v>
      </c>
      <c r="C8326" t="n">
        <v>12</v>
      </c>
      <c r="D8326" t="n">
        <v>20</v>
      </c>
      <c r="E8326" s="10" t="n">
        <v>0</v>
      </c>
      <c r="F8326" s="10" t="n">
        <v>0.2287881189091485</v>
      </c>
      <c r="G8326" s="11">
        <f>E8326*Summary!$B$6</f>
        <v/>
      </c>
      <c r="H8326" s="11">
        <f>F8326*Summary!$B$7</f>
        <v/>
      </c>
      <c r="I8326" s="11">
        <f>MAX(0,N8326-M8326)</f>
        <v/>
      </c>
      <c r="J8326" s="11">
        <f>MAX(0,M8326-N8326)</f>
        <v/>
      </c>
      <c r="K8326" s="11">
        <f>O8326</f>
        <v/>
      </c>
      <c r="L8326" s="11">
        <f>L8325+IF(K8326&gt;0,K8326*Summary!$B$9,K8326/Summary!$B$9)</f>
        <v/>
      </c>
      <c r="M8326" s="11">
        <f>G8326+H8326</f>
        <v/>
      </c>
      <c r="N8326" s="11">
        <f>Summary!$C$16*Summary!$B$8</f>
        <v/>
      </c>
      <c r="O8326" s="11">
        <f>M8326-N8326</f>
        <v/>
      </c>
    </row>
    <row r="8327">
      <c r="A8327" s="9" t="n">
        <v>45638.875</v>
      </c>
      <c r="B8327" t="n">
        <v>12</v>
      </c>
      <c r="C8327" t="n">
        <v>12</v>
      </c>
      <c r="D8327" t="n">
        <v>21</v>
      </c>
      <c r="E8327" s="10" t="n">
        <v>0</v>
      </c>
      <c r="F8327" s="10" t="n">
        <v>0.2258103421944821</v>
      </c>
      <c r="G8327" s="11">
        <f>E8327*Summary!$B$6</f>
        <v/>
      </c>
      <c r="H8327" s="11">
        <f>F8327*Summary!$B$7</f>
        <v/>
      </c>
      <c r="I8327" s="11">
        <f>MAX(0,N8327-M8327)</f>
        <v/>
      </c>
      <c r="J8327" s="11">
        <f>MAX(0,M8327-N8327)</f>
        <v/>
      </c>
      <c r="K8327" s="11">
        <f>O8327</f>
        <v/>
      </c>
      <c r="L8327" s="11">
        <f>L8326+IF(K8327&gt;0,K8327*Summary!$B$9,K8327/Summary!$B$9)</f>
        <v/>
      </c>
      <c r="M8327" s="11">
        <f>G8327+H8327</f>
        <v/>
      </c>
      <c r="N8327" s="11">
        <f>Summary!$C$16*Summary!$B$8</f>
        <v/>
      </c>
      <c r="O8327" s="11">
        <f>M8327-N8327</f>
        <v/>
      </c>
    </row>
    <row r="8328">
      <c r="A8328" s="9" t="n">
        <v>45638.91666666666</v>
      </c>
      <c r="B8328" t="n">
        <v>12</v>
      </c>
      <c r="C8328" t="n">
        <v>12</v>
      </c>
      <c r="D8328" t="n">
        <v>22</v>
      </c>
      <c r="E8328" s="10" t="n">
        <v>0</v>
      </c>
      <c r="F8328" s="10" t="n">
        <v>0.2274968705992489</v>
      </c>
      <c r="G8328" s="11">
        <f>E8328*Summary!$B$6</f>
        <v/>
      </c>
      <c r="H8328" s="11">
        <f>F8328*Summary!$B$7</f>
        <v/>
      </c>
      <c r="I8328" s="11">
        <f>MAX(0,N8328-M8328)</f>
        <v/>
      </c>
      <c r="J8328" s="11">
        <f>MAX(0,M8328-N8328)</f>
        <v/>
      </c>
      <c r="K8328" s="11">
        <f>O8328</f>
        <v/>
      </c>
      <c r="L8328" s="11">
        <f>L8327+IF(K8328&gt;0,K8328*Summary!$B$9,K8328/Summary!$B$9)</f>
        <v/>
      </c>
      <c r="M8328" s="11">
        <f>G8328+H8328</f>
        <v/>
      </c>
      <c r="N8328" s="11">
        <f>Summary!$C$16*Summary!$B$8</f>
        <v/>
      </c>
      <c r="O8328" s="11">
        <f>M8328-N8328</f>
        <v/>
      </c>
    </row>
    <row r="8329">
      <c r="A8329" s="9" t="n">
        <v>45638.95833333334</v>
      </c>
      <c r="B8329" t="n">
        <v>12</v>
      </c>
      <c r="C8329" t="n">
        <v>12</v>
      </c>
      <c r="D8329" t="n">
        <v>23</v>
      </c>
      <c r="E8329" s="10" t="n">
        <v>0</v>
      </c>
      <c r="F8329" s="10" t="n">
        <v>0.2318185996364639</v>
      </c>
      <c r="G8329" s="11">
        <f>E8329*Summary!$B$6</f>
        <v/>
      </c>
      <c r="H8329" s="11">
        <f>F8329*Summary!$B$7</f>
        <v/>
      </c>
      <c r="I8329" s="11">
        <f>MAX(0,N8329-M8329)</f>
        <v/>
      </c>
      <c r="J8329" s="11">
        <f>MAX(0,M8329-N8329)</f>
        <v/>
      </c>
      <c r="K8329" s="11">
        <f>O8329</f>
        <v/>
      </c>
      <c r="L8329" s="11">
        <f>L8328+IF(K8329&gt;0,K8329*Summary!$B$9,K8329/Summary!$B$9)</f>
        <v/>
      </c>
      <c r="M8329" s="11">
        <f>G8329+H8329</f>
        <v/>
      </c>
      <c r="N8329" s="11">
        <f>Summary!$C$16*Summary!$B$8</f>
        <v/>
      </c>
      <c r="O8329" s="11">
        <f>M8329-N8329</f>
        <v/>
      </c>
    </row>
    <row r="8330">
      <c r="A8330" s="9" t="n">
        <v>45639</v>
      </c>
      <c r="B8330" t="n">
        <v>12</v>
      </c>
      <c r="C8330" t="n">
        <v>13</v>
      </c>
      <c r="D8330" t="n">
        <v>0</v>
      </c>
      <c r="E8330" s="10" t="n">
        <v>0</v>
      </c>
      <c r="F8330" s="10" t="n">
        <v>0.3353819844916763</v>
      </c>
      <c r="G8330" s="11">
        <f>E8330*Summary!$B$6</f>
        <v/>
      </c>
      <c r="H8330" s="11">
        <f>F8330*Summary!$B$7</f>
        <v/>
      </c>
      <c r="I8330" s="11">
        <f>MAX(0,N8330-M8330)</f>
        <v/>
      </c>
      <c r="J8330" s="11">
        <f>MAX(0,M8330-N8330)</f>
        <v/>
      </c>
      <c r="K8330" s="11">
        <f>O8330</f>
        <v/>
      </c>
      <c r="L8330" s="11">
        <f>L8329+IF(K8330&gt;0,K8330*Summary!$B$9,K8330/Summary!$B$9)</f>
        <v/>
      </c>
      <c r="M8330" s="11">
        <f>G8330+H8330</f>
        <v/>
      </c>
      <c r="N8330" s="11">
        <f>Summary!$C$16*Summary!$B$8</f>
        <v/>
      </c>
      <c r="O8330" s="11">
        <f>M8330-N8330</f>
        <v/>
      </c>
    </row>
    <row r="8331">
      <c r="A8331" s="9" t="n">
        <v>45639.04166666666</v>
      </c>
      <c r="B8331" t="n">
        <v>12</v>
      </c>
      <c r="C8331" t="n">
        <v>13</v>
      </c>
      <c r="D8331" t="n">
        <v>1</v>
      </c>
      <c r="E8331" s="10" t="n">
        <v>0</v>
      </c>
      <c r="F8331" s="10" t="n">
        <v>0.2476561554374773</v>
      </c>
      <c r="G8331" s="11">
        <f>E8331*Summary!$B$6</f>
        <v/>
      </c>
      <c r="H8331" s="11">
        <f>F8331*Summary!$B$7</f>
        <v/>
      </c>
      <c r="I8331" s="11">
        <f>MAX(0,N8331-M8331)</f>
        <v/>
      </c>
      <c r="J8331" s="11">
        <f>MAX(0,M8331-N8331)</f>
        <v/>
      </c>
      <c r="K8331" s="11">
        <f>O8331</f>
        <v/>
      </c>
      <c r="L8331" s="11">
        <f>L8330+IF(K8331&gt;0,K8331*Summary!$B$9,K8331/Summary!$B$9)</f>
        <v/>
      </c>
      <c r="M8331" s="11">
        <f>G8331+H8331</f>
        <v/>
      </c>
      <c r="N8331" s="11">
        <f>Summary!$C$16*Summary!$B$8</f>
        <v/>
      </c>
      <c r="O8331" s="11">
        <f>M8331-N8331</f>
        <v/>
      </c>
    </row>
    <row r="8332">
      <c r="A8332" s="9" t="n">
        <v>45639.08333333334</v>
      </c>
      <c r="B8332" t="n">
        <v>12</v>
      </c>
      <c r="C8332" t="n">
        <v>13</v>
      </c>
      <c r="D8332" t="n">
        <v>2</v>
      </c>
      <c r="E8332" s="10" t="n">
        <v>0</v>
      </c>
      <c r="F8332" s="10" t="n">
        <v>0.2544549730691935</v>
      </c>
      <c r="G8332" s="11">
        <f>E8332*Summary!$B$6</f>
        <v/>
      </c>
      <c r="H8332" s="11">
        <f>F8332*Summary!$B$7</f>
        <v/>
      </c>
      <c r="I8332" s="11">
        <f>MAX(0,N8332-M8332)</f>
        <v/>
      </c>
      <c r="J8332" s="11">
        <f>MAX(0,M8332-N8332)</f>
        <v/>
      </c>
      <c r="K8332" s="11">
        <f>O8332</f>
        <v/>
      </c>
      <c r="L8332" s="11">
        <f>L8331+IF(K8332&gt;0,K8332*Summary!$B$9,K8332/Summary!$B$9)</f>
        <v/>
      </c>
      <c r="M8332" s="11">
        <f>G8332+H8332</f>
        <v/>
      </c>
      <c r="N8332" s="11">
        <f>Summary!$C$16*Summary!$B$8</f>
        <v/>
      </c>
      <c r="O8332" s="11">
        <f>M8332-N8332</f>
        <v/>
      </c>
    </row>
    <row r="8333">
      <c r="A8333" s="9" t="n">
        <v>45639.125</v>
      </c>
      <c r="B8333" t="n">
        <v>12</v>
      </c>
      <c r="C8333" t="n">
        <v>13</v>
      </c>
      <c r="D8333" t="n">
        <v>3</v>
      </c>
      <c r="E8333" s="10" t="n">
        <v>0</v>
      </c>
      <c r="F8333" s="10" t="n">
        <v>0.2630984311436235</v>
      </c>
      <c r="G8333" s="11">
        <f>E8333*Summary!$B$6</f>
        <v/>
      </c>
      <c r="H8333" s="11">
        <f>F8333*Summary!$B$7</f>
        <v/>
      </c>
      <c r="I8333" s="11">
        <f>MAX(0,N8333-M8333)</f>
        <v/>
      </c>
      <c r="J8333" s="11">
        <f>MAX(0,M8333-N8333)</f>
        <v/>
      </c>
      <c r="K8333" s="11">
        <f>O8333</f>
        <v/>
      </c>
      <c r="L8333" s="11">
        <f>L8332+IF(K8333&gt;0,K8333*Summary!$B$9,K8333/Summary!$B$9)</f>
        <v/>
      </c>
      <c r="M8333" s="11">
        <f>G8333+H8333</f>
        <v/>
      </c>
      <c r="N8333" s="11">
        <f>Summary!$C$16*Summary!$B$8</f>
        <v/>
      </c>
      <c r="O8333" s="11">
        <f>M8333-N8333</f>
        <v/>
      </c>
    </row>
    <row r="8334">
      <c r="A8334" s="9" t="n">
        <v>45639.16666666666</v>
      </c>
      <c r="B8334" t="n">
        <v>12</v>
      </c>
      <c r="C8334" t="n">
        <v>13</v>
      </c>
      <c r="D8334" t="n">
        <v>4</v>
      </c>
      <c r="E8334" s="10" t="n">
        <v>0</v>
      </c>
      <c r="F8334" s="10" t="n">
        <v>0.2714256651421596</v>
      </c>
      <c r="G8334" s="11">
        <f>E8334*Summary!$B$6</f>
        <v/>
      </c>
      <c r="H8334" s="11">
        <f>F8334*Summary!$B$7</f>
        <v/>
      </c>
      <c r="I8334" s="11">
        <f>MAX(0,N8334-M8334)</f>
        <v/>
      </c>
      <c r="J8334" s="11">
        <f>MAX(0,M8334-N8334)</f>
        <v/>
      </c>
      <c r="K8334" s="11">
        <f>O8334</f>
        <v/>
      </c>
      <c r="L8334" s="11">
        <f>L8333+IF(K8334&gt;0,K8334*Summary!$B$9,K8334/Summary!$B$9)</f>
        <v/>
      </c>
      <c r="M8334" s="11">
        <f>G8334+H8334</f>
        <v/>
      </c>
      <c r="N8334" s="11">
        <f>Summary!$C$16*Summary!$B$8</f>
        <v/>
      </c>
      <c r="O8334" s="11">
        <f>M8334-N8334</f>
        <v/>
      </c>
    </row>
    <row r="8335">
      <c r="A8335" s="9" t="n">
        <v>45639.20833333334</v>
      </c>
      <c r="B8335" t="n">
        <v>12</v>
      </c>
      <c r="C8335" t="n">
        <v>13</v>
      </c>
      <c r="D8335" t="n">
        <v>5</v>
      </c>
      <c r="E8335" s="10" t="n">
        <v>0</v>
      </c>
      <c r="F8335" s="10" t="n">
        <v>0.2788305789193389</v>
      </c>
      <c r="G8335" s="11">
        <f>E8335*Summary!$B$6</f>
        <v/>
      </c>
      <c r="H8335" s="11">
        <f>F8335*Summary!$B$7</f>
        <v/>
      </c>
      <c r="I8335" s="11">
        <f>MAX(0,N8335-M8335)</f>
        <v/>
      </c>
      <c r="J8335" s="11">
        <f>MAX(0,M8335-N8335)</f>
        <v/>
      </c>
      <c r="K8335" s="11">
        <f>O8335</f>
        <v/>
      </c>
      <c r="L8335" s="11">
        <f>L8334+IF(K8335&gt;0,K8335*Summary!$B$9,K8335/Summary!$B$9)</f>
        <v/>
      </c>
      <c r="M8335" s="11">
        <f>G8335+H8335</f>
        <v/>
      </c>
      <c r="N8335" s="11">
        <f>Summary!$C$16*Summary!$B$8</f>
        <v/>
      </c>
      <c r="O8335" s="11">
        <f>M8335-N8335</f>
        <v/>
      </c>
    </row>
    <row r="8336">
      <c r="A8336" s="9" t="n">
        <v>45639.25</v>
      </c>
      <c r="B8336" t="n">
        <v>12</v>
      </c>
      <c r="C8336" t="n">
        <v>13</v>
      </c>
      <c r="D8336" t="n">
        <v>6</v>
      </c>
      <c r="E8336" s="10" t="n">
        <v>0</v>
      </c>
      <c r="F8336" s="10" t="n">
        <v>0.2861037326648958</v>
      </c>
      <c r="G8336" s="11">
        <f>E8336*Summary!$B$6</f>
        <v/>
      </c>
      <c r="H8336" s="11">
        <f>F8336*Summary!$B$7</f>
        <v/>
      </c>
      <c r="I8336" s="11">
        <f>MAX(0,N8336-M8336)</f>
        <v/>
      </c>
      <c r="J8336" s="11">
        <f>MAX(0,M8336-N8336)</f>
        <v/>
      </c>
      <c r="K8336" s="11">
        <f>O8336</f>
        <v/>
      </c>
      <c r="L8336" s="11">
        <f>L8335+IF(K8336&gt;0,K8336*Summary!$B$9,K8336/Summary!$B$9)</f>
        <v/>
      </c>
      <c r="M8336" s="11">
        <f>G8336+H8336</f>
        <v/>
      </c>
      <c r="N8336" s="11">
        <f>Summary!$C$16*Summary!$B$8</f>
        <v/>
      </c>
      <c r="O8336" s="11">
        <f>M8336-N8336</f>
        <v/>
      </c>
    </row>
    <row r="8337">
      <c r="A8337" s="9" t="n">
        <v>45639.29166666666</v>
      </c>
      <c r="B8337" t="n">
        <v>12</v>
      </c>
      <c r="C8337" t="n">
        <v>13</v>
      </c>
      <c r="D8337" t="n">
        <v>7</v>
      </c>
      <c r="E8337" s="10" t="n">
        <v>0</v>
      </c>
      <c r="F8337" s="10" t="n">
        <v>0.2913214299171432</v>
      </c>
      <c r="G8337" s="11">
        <f>E8337*Summary!$B$6</f>
        <v/>
      </c>
      <c r="H8337" s="11">
        <f>F8337*Summary!$B$7</f>
        <v/>
      </c>
      <c r="I8337" s="11">
        <f>MAX(0,N8337-M8337)</f>
        <v/>
      </c>
      <c r="J8337" s="11">
        <f>MAX(0,M8337-N8337)</f>
        <v/>
      </c>
      <c r="K8337" s="11">
        <f>O8337</f>
        <v/>
      </c>
      <c r="L8337" s="11">
        <f>L8336+IF(K8337&gt;0,K8337*Summary!$B$9,K8337/Summary!$B$9)</f>
        <v/>
      </c>
      <c r="M8337" s="11">
        <f>G8337+H8337</f>
        <v/>
      </c>
      <c r="N8337" s="11">
        <f>Summary!$C$16*Summary!$B$8</f>
        <v/>
      </c>
      <c r="O8337" s="11">
        <f>M8337-N8337</f>
        <v/>
      </c>
    </row>
    <row r="8338">
      <c r="A8338" s="9" t="n">
        <v>45639.33333333334</v>
      </c>
      <c r="B8338" t="n">
        <v>12</v>
      </c>
      <c r="C8338" t="n">
        <v>13</v>
      </c>
      <c r="D8338" t="n">
        <v>8</v>
      </c>
      <c r="E8338" s="10" t="n">
        <v>0</v>
      </c>
      <c r="F8338" s="10" t="n">
        <v>0.2954323429037623</v>
      </c>
      <c r="G8338" s="11">
        <f>E8338*Summary!$B$6</f>
        <v/>
      </c>
      <c r="H8338" s="11">
        <f>F8338*Summary!$B$7</f>
        <v/>
      </c>
      <c r="I8338" s="11">
        <f>MAX(0,N8338-M8338)</f>
        <v/>
      </c>
      <c r="J8338" s="11">
        <f>MAX(0,M8338-N8338)</f>
        <v/>
      </c>
      <c r="K8338" s="11">
        <f>O8338</f>
        <v/>
      </c>
      <c r="L8338" s="11">
        <f>L8337+IF(K8338&gt;0,K8338*Summary!$B$9,K8338/Summary!$B$9)</f>
        <v/>
      </c>
      <c r="M8338" s="11">
        <f>G8338+H8338</f>
        <v/>
      </c>
      <c r="N8338" s="11">
        <f>Summary!$C$16*Summary!$B$8</f>
        <v/>
      </c>
      <c r="O8338" s="11">
        <f>M8338-N8338</f>
        <v/>
      </c>
    </row>
    <row r="8339">
      <c r="A8339" s="9" t="n">
        <v>45639.375</v>
      </c>
      <c r="B8339" t="n">
        <v>12</v>
      </c>
      <c r="C8339" t="n">
        <v>13</v>
      </c>
      <c r="D8339" t="n">
        <v>9</v>
      </c>
      <c r="E8339" s="10" t="n">
        <v>0.047175</v>
      </c>
      <c r="F8339" s="10" t="n">
        <v>0.3037595769022984</v>
      </c>
      <c r="G8339" s="11">
        <f>E8339*Summary!$B$6</f>
        <v/>
      </c>
      <c r="H8339" s="11">
        <f>F8339*Summary!$B$7</f>
        <v/>
      </c>
      <c r="I8339" s="11">
        <f>MAX(0,N8339-M8339)</f>
        <v/>
      </c>
      <c r="J8339" s="11">
        <f>MAX(0,M8339-N8339)</f>
        <v/>
      </c>
      <c r="K8339" s="11">
        <f>O8339</f>
        <v/>
      </c>
      <c r="L8339" s="11">
        <f>L8338+IF(K8339&gt;0,K8339*Summary!$B$9,K8339/Summary!$B$9)</f>
        <v/>
      </c>
      <c r="M8339" s="11">
        <f>G8339+H8339</f>
        <v/>
      </c>
      <c r="N8339" s="11">
        <f>Summary!$C$16*Summary!$B$8</f>
        <v/>
      </c>
      <c r="O8339" s="11">
        <f>M8339-N8339</f>
        <v/>
      </c>
    </row>
    <row r="8340">
      <c r="A8340" s="9" t="n">
        <v>45639.41666666666</v>
      </c>
      <c r="B8340" t="n">
        <v>12</v>
      </c>
      <c r="C8340" t="n">
        <v>13</v>
      </c>
      <c r="D8340" t="n">
        <v>10</v>
      </c>
      <c r="E8340" s="10" t="n">
        <v>0.087352</v>
      </c>
      <c r="F8340" s="10" t="n">
        <v>0.3041548569971657</v>
      </c>
      <c r="G8340" s="11">
        <f>E8340*Summary!$B$6</f>
        <v/>
      </c>
      <c r="H8340" s="11">
        <f>F8340*Summary!$B$7</f>
        <v/>
      </c>
      <c r="I8340" s="11">
        <f>MAX(0,N8340-M8340)</f>
        <v/>
      </c>
      <c r="J8340" s="11">
        <f>MAX(0,M8340-N8340)</f>
        <v/>
      </c>
      <c r="K8340" s="11">
        <f>O8340</f>
        <v/>
      </c>
      <c r="L8340" s="11">
        <f>L8339+IF(K8340&gt;0,K8340*Summary!$B$9,K8340/Summary!$B$9)</f>
        <v/>
      </c>
      <c r="M8340" s="11">
        <f>G8340+H8340</f>
        <v/>
      </c>
      <c r="N8340" s="11">
        <f>Summary!$C$16*Summary!$B$8</f>
        <v/>
      </c>
      <c r="O8340" s="11">
        <f>M8340-N8340</f>
        <v/>
      </c>
    </row>
    <row r="8341">
      <c r="A8341" s="9" t="n">
        <v>45639.45833333334</v>
      </c>
      <c r="B8341" t="n">
        <v>12</v>
      </c>
      <c r="C8341" t="n">
        <v>13</v>
      </c>
      <c r="D8341" t="n">
        <v>11</v>
      </c>
      <c r="E8341" s="10" t="n">
        <v>0.173538</v>
      </c>
      <c r="F8341" s="10" t="n">
        <v>0.3007027441686586</v>
      </c>
      <c r="G8341" s="11">
        <f>E8341*Summary!$B$6</f>
        <v/>
      </c>
      <c r="H8341" s="11">
        <f>F8341*Summary!$B$7</f>
        <v/>
      </c>
      <c r="I8341" s="11">
        <f>MAX(0,N8341-M8341)</f>
        <v/>
      </c>
      <c r="J8341" s="11">
        <f>MAX(0,M8341-N8341)</f>
        <v/>
      </c>
      <c r="K8341" s="11">
        <f>O8341</f>
        <v/>
      </c>
      <c r="L8341" s="11">
        <f>L8340+IF(K8341&gt;0,K8341*Summary!$B$9,K8341/Summary!$B$9)</f>
        <v/>
      </c>
      <c r="M8341" s="11">
        <f>G8341+H8341</f>
        <v/>
      </c>
      <c r="N8341" s="11">
        <f>Summary!$C$16*Summary!$B$8</f>
        <v/>
      </c>
      <c r="O8341" s="11">
        <f>M8341-N8341</f>
        <v/>
      </c>
    </row>
    <row r="8342">
      <c r="A8342" s="9" t="n">
        <v>45639.5</v>
      </c>
      <c r="B8342" t="n">
        <v>12</v>
      </c>
      <c r="C8342" t="n">
        <v>13</v>
      </c>
      <c r="D8342" t="n">
        <v>12</v>
      </c>
      <c r="E8342" s="10" t="n">
        <v>0.146136</v>
      </c>
      <c r="F8342" s="10" t="n">
        <v>0.3005182801243872</v>
      </c>
      <c r="G8342" s="11">
        <f>E8342*Summary!$B$6</f>
        <v/>
      </c>
      <c r="H8342" s="11">
        <f>F8342*Summary!$B$7</f>
        <v/>
      </c>
      <c r="I8342" s="11">
        <f>MAX(0,N8342-M8342)</f>
        <v/>
      </c>
      <c r="J8342" s="11">
        <f>MAX(0,M8342-N8342)</f>
        <v/>
      </c>
      <c r="K8342" s="11">
        <f>O8342</f>
        <v/>
      </c>
      <c r="L8342" s="11">
        <f>L8341+IF(K8342&gt;0,K8342*Summary!$B$9,K8342/Summary!$B$9)</f>
        <v/>
      </c>
      <c r="M8342" s="11">
        <f>G8342+H8342</f>
        <v/>
      </c>
      <c r="N8342" s="11">
        <f>Summary!$C$16*Summary!$B$8</f>
        <v/>
      </c>
      <c r="O8342" s="11">
        <f>M8342-N8342</f>
        <v/>
      </c>
    </row>
    <row r="8343">
      <c r="A8343" s="9" t="n">
        <v>45639.54166666666</v>
      </c>
      <c r="B8343" t="n">
        <v>12</v>
      </c>
      <c r="C8343" t="n">
        <v>13</v>
      </c>
      <c r="D8343" t="n">
        <v>13</v>
      </c>
      <c r="E8343" s="10" t="n">
        <v>0.129559</v>
      </c>
      <c r="F8343" s="10" t="n">
        <v>0.3309021434165144</v>
      </c>
      <c r="G8343" s="11">
        <f>E8343*Summary!$B$6</f>
        <v/>
      </c>
      <c r="H8343" s="11">
        <f>F8343*Summary!$B$7</f>
        <v/>
      </c>
      <c r="I8343" s="11">
        <f>MAX(0,N8343-M8343)</f>
        <v/>
      </c>
      <c r="J8343" s="11">
        <f>MAX(0,M8343-N8343)</f>
        <v/>
      </c>
      <c r="K8343" s="11">
        <f>O8343</f>
        <v/>
      </c>
      <c r="L8343" s="11">
        <f>L8342+IF(K8343&gt;0,K8343*Summary!$B$9,K8343/Summary!$B$9)</f>
        <v/>
      </c>
      <c r="M8343" s="11">
        <f>G8343+H8343</f>
        <v/>
      </c>
      <c r="N8343" s="11">
        <f>Summary!$C$16*Summary!$B$8</f>
        <v/>
      </c>
      <c r="O8343" s="11">
        <f>M8343-N8343</f>
        <v/>
      </c>
    </row>
    <row r="8344">
      <c r="A8344" s="9" t="n">
        <v>45639.58333333334</v>
      </c>
      <c r="B8344" t="n">
        <v>12</v>
      </c>
      <c r="C8344" t="n">
        <v>13</v>
      </c>
      <c r="D8344" t="n">
        <v>14</v>
      </c>
      <c r="E8344" s="10" t="n">
        <v>0.049376</v>
      </c>
      <c r="F8344" s="10" t="n">
        <v>0.3162767799064272</v>
      </c>
      <c r="G8344" s="11">
        <f>E8344*Summary!$B$6</f>
        <v/>
      </c>
      <c r="H8344" s="11">
        <f>F8344*Summary!$B$7</f>
        <v/>
      </c>
      <c r="I8344" s="11">
        <f>MAX(0,N8344-M8344)</f>
        <v/>
      </c>
      <c r="J8344" s="11">
        <f>MAX(0,M8344-N8344)</f>
        <v/>
      </c>
      <c r="K8344" s="11">
        <f>O8344</f>
        <v/>
      </c>
      <c r="L8344" s="11">
        <f>L8343+IF(K8344&gt;0,K8344*Summary!$B$9,K8344/Summary!$B$9)</f>
        <v/>
      </c>
      <c r="M8344" s="11">
        <f>G8344+H8344</f>
        <v/>
      </c>
      <c r="N8344" s="11">
        <f>Summary!$C$16*Summary!$B$8</f>
        <v/>
      </c>
      <c r="O8344" s="11">
        <f>M8344-N8344</f>
        <v/>
      </c>
    </row>
    <row r="8345">
      <c r="A8345" s="9" t="n">
        <v>45639.625</v>
      </c>
      <c r="B8345" t="n">
        <v>12</v>
      </c>
      <c r="C8345" t="n">
        <v>13</v>
      </c>
      <c r="D8345" t="n">
        <v>15</v>
      </c>
      <c r="E8345" s="10" t="n">
        <v>0</v>
      </c>
      <c r="F8345" s="10" t="n">
        <v>0.3274500305880074</v>
      </c>
      <c r="G8345" s="11">
        <f>E8345*Summary!$B$6</f>
        <v/>
      </c>
      <c r="H8345" s="11">
        <f>F8345*Summary!$B$7</f>
        <v/>
      </c>
      <c r="I8345" s="11">
        <f>MAX(0,N8345-M8345)</f>
        <v/>
      </c>
      <c r="J8345" s="11">
        <f>MAX(0,M8345-N8345)</f>
        <v/>
      </c>
      <c r="K8345" s="11">
        <f>O8345</f>
        <v/>
      </c>
      <c r="L8345" s="11">
        <f>L8344+IF(K8345&gt;0,K8345*Summary!$B$9,K8345/Summary!$B$9)</f>
        <v/>
      </c>
      <c r="M8345" s="11">
        <f>G8345+H8345</f>
        <v/>
      </c>
      <c r="N8345" s="11">
        <f>Summary!$C$16*Summary!$B$8</f>
        <v/>
      </c>
      <c r="O8345" s="11">
        <f>M8345-N8345</f>
        <v/>
      </c>
    </row>
    <row r="8346">
      <c r="A8346" s="9" t="n">
        <v>45639.66666666666</v>
      </c>
      <c r="B8346" t="n">
        <v>12</v>
      </c>
      <c r="C8346" t="n">
        <v>13</v>
      </c>
      <c r="D8346" t="n">
        <v>16</v>
      </c>
      <c r="E8346" s="10" t="n">
        <v>0</v>
      </c>
      <c r="F8346" s="10" t="n">
        <v>0.3107165065719616</v>
      </c>
      <c r="G8346" s="11">
        <f>E8346*Summary!$B$6</f>
        <v/>
      </c>
      <c r="H8346" s="11">
        <f>F8346*Summary!$B$7</f>
        <v/>
      </c>
      <c r="I8346" s="11">
        <f>MAX(0,N8346-M8346)</f>
        <v/>
      </c>
      <c r="J8346" s="11">
        <f>MAX(0,M8346-N8346)</f>
        <v/>
      </c>
      <c r="K8346" s="11">
        <f>O8346</f>
        <v/>
      </c>
      <c r="L8346" s="11">
        <f>L8345+IF(K8346&gt;0,K8346*Summary!$B$9,K8346/Summary!$B$9)</f>
        <v/>
      </c>
      <c r="M8346" s="11">
        <f>G8346+H8346</f>
        <v/>
      </c>
      <c r="N8346" s="11">
        <f>Summary!$C$16*Summary!$B$8</f>
        <v/>
      </c>
      <c r="O8346" s="11">
        <f>M8346-N8346</f>
        <v/>
      </c>
    </row>
    <row r="8347">
      <c r="A8347" s="9" t="n">
        <v>45639.70833333334</v>
      </c>
      <c r="B8347" t="n">
        <v>12</v>
      </c>
      <c r="C8347" t="n">
        <v>13</v>
      </c>
      <c r="D8347" t="n">
        <v>17</v>
      </c>
      <c r="E8347" s="10" t="n">
        <v>0</v>
      </c>
      <c r="F8347" s="10" t="n">
        <v>0.3379117770988265</v>
      </c>
      <c r="G8347" s="11">
        <f>E8347*Summary!$B$6</f>
        <v/>
      </c>
      <c r="H8347" s="11">
        <f>F8347*Summary!$B$7</f>
        <v/>
      </c>
      <c r="I8347" s="11">
        <f>MAX(0,N8347-M8347)</f>
        <v/>
      </c>
      <c r="J8347" s="11">
        <f>MAX(0,M8347-N8347)</f>
        <v/>
      </c>
      <c r="K8347" s="11">
        <f>O8347</f>
        <v/>
      </c>
      <c r="L8347" s="11">
        <f>L8346+IF(K8347&gt;0,K8347*Summary!$B$9,K8347/Summary!$B$9)</f>
        <v/>
      </c>
      <c r="M8347" s="11">
        <f>G8347+H8347</f>
        <v/>
      </c>
      <c r="N8347" s="11">
        <f>Summary!$C$16*Summary!$B$8</f>
        <v/>
      </c>
      <c r="O8347" s="11">
        <f>M8347-N8347</f>
        <v/>
      </c>
    </row>
    <row r="8348">
      <c r="A8348" s="9" t="n">
        <v>45639.75</v>
      </c>
      <c r="B8348" t="n">
        <v>12</v>
      </c>
      <c r="C8348" t="n">
        <v>13</v>
      </c>
      <c r="D8348" t="n">
        <v>18</v>
      </c>
      <c r="E8348" s="10" t="n">
        <v>0</v>
      </c>
      <c r="F8348" s="10" t="n">
        <v>0.3400989936237584</v>
      </c>
      <c r="G8348" s="11">
        <f>E8348*Summary!$B$6</f>
        <v/>
      </c>
      <c r="H8348" s="11">
        <f>F8348*Summary!$B$7</f>
        <v/>
      </c>
      <c r="I8348" s="11">
        <f>MAX(0,N8348-M8348)</f>
        <v/>
      </c>
      <c r="J8348" s="11">
        <f>MAX(0,M8348-N8348)</f>
        <v/>
      </c>
      <c r="K8348" s="11">
        <f>O8348</f>
        <v/>
      </c>
      <c r="L8348" s="11">
        <f>L8347+IF(K8348&gt;0,K8348*Summary!$B$9,K8348/Summary!$B$9)</f>
        <v/>
      </c>
      <c r="M8348" s="11">
        <f>G8348+H8348</f>
        <v/>
      </c>
      <c r="N8348" s="11">
        <f>Summary!$C$16*Summary!$B$8</f>
        <v/>
      </c>
      <c r="O8348" s="11">
        <f>M8348-N8348</f>
        <v/>
      </c>
    </row>
    <row r="8349">
      <c r="A8349" s="9" t="n">
        <v>45639.79166666666</v>
      </c>
      <c r="B8349" t="n">
        <v>12</v>
      </c>
      <c r="C8349" t="n">
        <v>13</v>
      </c>
      <c r="D8349" t="n">
        <v>19</v>
      </c>
      <c r="E8349" s="10" t="n">
        <v>0</v>
      </c>
      <c r="F8349" s="10" t="n">
        <v>0.3487160996918639</v>
      </c>
      <c r="G8349" s="11">
        <f>E8349*Summary!$B$6</f>
        <v/>
      </c>
      <c r="H8349" s="11">
        <f>F8349*Summary!$B$7</f>
        <v/>
      </c>
      <c r="I8349" s="11">
        <f>MAX(0,N8349-M8349)</f>
        <v/>
      </c>
      <c r="J8349" s="11">
        <f>MAX(0,M8349-N8349)</f>
        <v/>
      </c>
      <c r="K8349" s="11">
        <f>O8349</f>
        <v/>
      </c>
      <c r="L8349" s="11">
        <f>L8348+IF(K8349&gt;0,K8349*Summary!$B$9,K8349/Summary!$B$9)</f>
        <v/>
      </c>
      <c r="M8349" s="11">
        <f>G8349+H8349</f>
        <v/>
      </c>
      <c r="N8349" s="11">
        <f>Summary!$C$16*Summary!$B$8</f>
        <v/>
      </c>
      <c r="O8349" s="11">
        <f>M8349-N8349</f>
        <v/>
      </c>
    </row>
    <row r="8350">
      <c r="A8350" s="9" t="n">
        <v>45639.83333333334</v>
      </c>
      <c r="B8350" t="n">
        <v>12</v>
      </c>
      <c r="C8350" t="n">
        <v>13</v>
      </c>
      <c r="D8350" t="n">
        <v>20</v>
      </c>
      <c r="E8350" s="10" t="n">
        <v>0</v>
      </c>
      <c r="F8350" s="10" t="n">
        <v>0.3448687067684896</v>
      </c>
      <c r="G8350" s="11">
        <f>E8350*Summary!$B$6</f>
        <v/>
      </c>
      <c r="H8350" s="11">
        <f>F8350*Summary!$B$7</f>
        <v/>
      </c>
      <c r="I8350" s="11">
        <f>MAX(0,N8350-M8350)</f>
        <v/>
      </c>
      <c r="J8350" s="11">
        <f>MAX(0,M8350-N8350)</f>
        <v/>
      </c>
      <c r="K8350" s="11">
        <f>O8350</f>
        <v/>
      </c>
      <c r="L8350" s="11">
        <f>L8349+IF(K8350&gt;0,K8350*Summary!$B$9,K8350/Summary!$B$9)</f>
        <v/>
      </c>
      <c r="M8350" s="11">
        <f>G8350+H8350</f>
        <v/>
      </c>
      <c r="N8350" s="11">
        <f>Summary!$C$16*Summary!$B$8</f>
        <v/>
      </c>
      <c r="O8350" s="11">
        <f>M8350-N8350</f>
        <v/>
      </c>
    </row>
    <row r="8351">
      <c r="A8351" s="9" t="n">
        <v>45639.875</v>
      </c>
      <c r="B8351" t="n">
        <v>12</v>
      </c>
      <c r="C8351" t="n">
        <v>13</v>
      </c>
      <c r="D8351" t="n">
        <v>21</v>
      </c>
      <c r="E8351" s="10" t="n">
        <v>0</v>
      </c>
      <c r="F8351" s="10" t="n">
        <v>0.3421808021233925</v>
      </c>
      <c r="G8351" s="11">
        <f>E8351*Summary!$B$6</f>
        <v/>
      </c>
      <c r="H8351" s="11">
        <f>F8351*Summary!$B$7</f>
        <v/>
      </c>
      <c r="I8351" s="11">
        <f>MAX(0,N8351-M8351)</f>
        <v/>
      </c>
      <c r="J8351" s="11">
        <f>MAX(0,M8351-N8351)</f>
        <v/>
      </c>
      <c r="K8351" s="11">
        <f>O8351</f>
        <v/>
      </c>
      <c r="L8351" s="11">
        <f>L8350+IF(K8351&gt;0,K8351*Summary!$B$9,K8351/Summary!$B$9)</f>
        <v/>
      </c>
      <c r="M8351" s="11">
        <f>G8351+H8351</f>
        <v/>
      </c>
      <c r="N8351" s="11">
        <f>Summary!$C$16*Summary!$B$8</f>
        <v/>
      </c>
      <c r="O8351" s="11">
        <f>M8351-N8351</f>
        <v/>
      </c>
    </row>
    <row r="8352">
      <c r="A8352" s="9" t="n">
        <v>45639.91666666666</v>
      </c>
      <c r="B8352" t="n">
        <v>12</v>
      </c>
      <c r="C8352" t="n">
        <v>13</v>
      </c>
      <c r="D8352" t="n">
        <v>22</v>
      </c>
      <c r="E8352" s="10" t="n">
        <v>0</v>
      </c>
      <c r="F8352" s="10" t="n">
        <v>0.3375428490102838</v>
      </c>
      <c r="G8352" s="11">
        <f>E8352*Summary!$B$6</f>
        <v/>
      </c>
      <c r="H8352" s="11">
        <f>F8352*Summary!$B$7</f>
        <v/>
      </c>
      <c r="I8352" s="11">
        <f>MAX(0,N8352-M8352)</f>
        <v/>
      </c>
      <c r="J8352" s="11">
        <f>MAX(0,M8352-N8352)</f>
        <v/>
      </c>
      <c r="K8352" s="11">
        <f>O8352</f>
        <v/>
      </c>
      <c r="L8352" s="11">
        <f>L8351+IF(K8352&gt;0,K8352*Summary!$B$9,K8352/Summary!$B$9)</f>
        <v/>
      </c>
      <c r="M8352" s="11">
        <f>G8352+H8352</f>
        <v/>
      </c>
      <c r="N8352" s="11">
        <f>Summary!$C$16*Summary!$B$8</f>
        <v/>
      </c>
      <c r="O8352" s="11">
        <f>M8352-N8352</f>
        <v/>
      </c>
    </row>
    <row r="8353">
      <c r="A8353" s="9" t="n">
        <v>45639.95833333334</v>
      </c>
      <c r="B8353" t="n">
        <v>12</v>
      </c>
      <c r="C8353" t="n">
        <v>13</v>
      </c>
      <c r="D8353" t="n">
        <v>23</v>
      </c>
      <c r="E8353" s="10" t="n">
        <v>0</v>
      </c>
      <c r="F8353" s="10" t="n">
        <v>0.3339589761501543</v>
      </c>
      <c r="G8353" s="11">
        <f>E8353*Summary!$B$6</f>
        <v/>
      </c>
      <c r="H8353" s="11">
        <f>F8353*Summary!$B$7</f>
        <v/>
      </c>
      <c r="I8353" s="11">
        <f>MAX(0,N8353-M8353)</f>
        <v/>
      </c>
      <c r="J8353" s="11">
        <f>MAX(0,M8353-N8353)</f>
        <v/>
      </c>
      <c r="K8353" s="11">
        <f>O8353</f>
        <v/>
      </c>
      <c r="L8353" s="11">
        <f>L8352+IF(K8353&gt;0,K8353*Summary!$B$9,K8353/Summary!$B$9)</f>
        <v/>
      </c>
      <c r="M8353" s="11">
        <f>G8353+H8353</f>
        <v/>
      </c>
      <c r="N8353" s="11">
        <f>Summary!$C$16*Summary!$B$8</f>
        <v/>
      </c>
      <c r="O8353" s="11">
        <f>M8353-N8353</f>
        <v/>
      </c>
    </row>
    <row r="8354">
      <c r="A8354" s="9" t="n">
        <v>45640</v>
      </c>
      <c r="B8354" t="n">
        <v>12</v>
      </c>
      <c r="C8354" t="n">
        <v>14</v>
      </c>
      <c r="D8354" t="n">
        <v>0</v>
      </c>
      <c r="E8354" s="10" t="n">
        <v>0</v>
      </c>
      <c r="F8354" s="10" t="n">
        <v>0.3174099161783799</v>
      </c>
      <c r="G8354" s="11">
        <f>E8354*Summary!$B$6</f>
        <v/>
      </c>
      <c r="H8354" s="11">
        <f>F8354*Summary!$B$7</f>
        <v/>
      </c>
      <c r="I8354" s="11">
        <f>MAX(0,N8354-M8354)</f>
        <v/>
      </c>
      <c r="J8354" s="11">
        <f>MAX(0,M8354-N8354)</f>
        <v/>
      </c>
      <c r="K8354" s="11">
        <f>O8354</f>
        <v/>
      </c>
      <c r="L8354" s="11">
        <f>L8353+IF(K8354&gt;0,K8354*Summary!$B$9,K8354/Summary!$B$9)</f>
        <v/>
      </c>
      <c r="M8354" s="11">
        <f>G8354+H8354</f>
        <v/>
      </c>
      <c r="N8354" s="11">
        <f>Summary!$C$16*Summary!$B$8</f>
        <v/>
      </c>
      <c r="O8354" s="11">
        <f>M8354-N8354</f>
        <v/>
      </c>
    </row>
    <row r="8355">
      <c r="A8355" s="9" t="n">
        <v>45640.04166666666</v>
      </c>
      <c r="B8355" t="n">
        <v>12</v>
      </c>
      <c r="C8355" t="n">
        <v>14</v>
      </c>
      <c r="D8355" t="n">
        <v>1</v>
      </c>
      <c r="E8355" s="10" t="n">
        <v>0</v>
      </c>
      <c r="F8355" s="10" t="n">
        <v>0.3323778557706853</v>
      </c>
      <c r="G8355" s="11">
        <f>E8355*Summary!$B$6</f>
        <v/>
      </c>
      <c r="H8355" s="11">
        <f>F8355*Summary!$B$7</f>
        <v/>
      </c>
      <c r="I8355" s="11">
        <f>MAX(0,N8355-M8355)</f>
        <v/>
      </c>
      <c r="J8355" s="11">
        <f>MAX(0,M8355-N8355)</f>
        <v/>
      </c>
      <c r="K8355" s="11">
        <f>O8355</f>
        <v/>
      </c>
      <c r="L8355" s="11">
        <f>L8354+IF(K8355&gt;0,K8355*Summary!$B$9,K8355/Summary!$B$9)</f>
        <v/>
      </c>
      <c r="M8355" s="11">
        <f>G8355+H8355</f>
        <v/>
      </c>
      <c r="N8355" s="11">
        <f>Summary!$C$16*Summary!$B$8</f>
        <v/>
      </c>
      <c r="O8355" s="11">
        <f>M8355-N8355</f>
        <v/>
      </c>
    </row>
    <row r="8356">
      <c r="A8356" s="9" t="n">
        <v>45640.08333333334</v>
      </c>
      <c r="B8356" t="n">
        <v>12</v>
      </c>
      <c r="C8356" t="n">
        <v>14</v>
      </c>
      <c r="D8356" t="n">
        <v>2</v>
      </c>
      <c r="E8356" s="10" t="n">
        <v>0</v>
      </c>
      <c r="F8356" s="10" t="n">
        <v>0.3285041108409866</v>
      </c>
      <c r="G8356" s="11">
        <f>E8356*Summary!$B$6</f>
        <v/>
      </c>
      <c r="H8356" s="11">
        <f>F8356*Summary!$B$7</f>
        <v/>
      </c>
      <c r="I8356" s="11">
        <f>MAX(0,N8356-M8356)</f>
        <v/>
      </c>
      <c r="J8356" s="11">
        <f>MAX(0,M8356-N8356)</f>
        <v/>
      </c>
      <c r="K8356" s="11">
        <f>O8356</f>
        <v/>
      </c>
      <c r="L8356" s="11">
        <f>L8355+IF(K8356&gt;0,K8356*Summary!$B$9,K8356/Summary!$B$9)</f>
        <v/>
      </c>
      <c r="M8356" s="11">
        <f>G8356+H8356</f>
        <v/>
      </c>
      <c r="N8356" s="11">
        <f>Summary!$C$16*Summary!$B$8</f>
        <v/>
      </c>
      <c r="O8356" s="11">
        <f>M8356-N8356</f>
        <v/>
      </c>
    </row>
    <row r="8357">
      <c r="A8357" s="9" t="n">
        <v>45640.125</v>
      </c>
      <c r="B8357" t="n">
        <v>12</v>
      </c>
      <c r="C8357" t="n">
        <v>14</v>
      </c>
      <c r="D8357" t="n">
        <v>3</v>
      </c>
      <c r="E8357" s="10" t="n">
        <v>0</v>
      </c>
      <c r="F8357" s="10" t="n">
        <v>0.3198606527665567</v>
      </c>
      <c r="G8357" s="11">
        <f>E8357*Summary!$B$6</f>
        <v/>
      </c>
      <c r="H8357" s="11">
        <f>F8357*Summary!$B$7</f>
        <v/>
      </c>
      <c r="I8357" s="11">
        <f>MAX(0,N8357-M8357)</f>
        <v/>
      </c>
      <c r="J8357" s="11">
        <f>MAX(0,M8357-N8357)</f>
        <v/>
      </c>
      <c r="K8357" s="11">
        <f>O8357</f>
        <v/>
      </c>
      <c r="L8357" s="11">
        <f>L8356+IF(K8357&gt;0,K8357*Summary!$B$9,K8357/Summary!$B$9)</f>
        <v/>
      </c>
      <c r="M8357" s="11">
        <f>G8357+H8357</f>
        <v/>
      </c>
      <c r="N8357" s="11">
        <f>Summary!$C$16*Summary!$B$8</f>
        <v/>
      </c>
      <c r="O8357" s="11">
        <f>M8357-N8357</f>
        <v/>
      </c>
    </row>
    <row r="8358">
      <c r="A8358" s="9" t="n">
        <v>45640.16666666666</v>
      </c>
      <c r="B8358" t="n">
        <v>12</v>
      </c>
      <c r="C8358" t="n">
        <v>14</v>
      </c>
      <c r="D8358" t="n">
        <v>4</v>
      </c>
      <c r="E8358" s="10" t="n">
        <v>0</v>
      </c>
      <c r="F8358" s="10" t="n">
        <v>0.3126929070462977</v>
      </c>
      <c r="G8358" s="11">
        <f>E8358*Summary!$B$6</f>
        <v/>
      </c>
      <c r="H8358" s="11">
        <f>F8358*Summary!$B$7</f>
        <v/>
      </c>
      <c r="I8358" s="11">
        <f>MAX(0,N8358-M8358)</f>
        <v/>
      </c>
      <c r="J8358" s="11">
        <f>MAX(0,M8358-N8358)</f>
        <v/>
      </c>
      <c r="K8358" s="11">
        <f>O8358</f>
        <v/>
      </c>
      <c r="L8358" s="11">
        <f>L8357+IF(K8358&gt;0,K8358*Summary!$B$9,K8358/Summary!$B$9)</f>
        <v/>
      </c>
      <c r="M8358" s="11">
        <f>G8358+H8358</f>
        <v/>
      </c>
      <c r="N8358" s="11">
        <f>Summary!$C$16*Summary!$B$8</f>
        <v/>
      </c>
      <c r="O8358" s="11">
        <f>M8358-N8358</f>
        <v/>
      </c>
    </row>
    <row r="8359">
      <c r="A8359" s="9" t="n">
        <v>45640.20833333334</v>
      </c>
      <c r="B8359" t="n">
        <v>12</v>
      </c>
      <c r="C8359" t="n">
        <v>14</v>
      </c>
      <c r="D8359" t="n">
        <v>5</v>
      </c>
      <c r="E8359" s="10" t="n">
        <v>0</v>
      </c>
      <c r="F8359" s="10" t="n">
        <v>0.3046818971236553</v>
      </c>
      <c r="G8359" s="11">
        <f>E8359*Summary!$B$6</f>
        <v/>
      </c>
      <c r="H8359" s="11">
        <f>F8359*Summary!$B$7</f>
        <v/>
      </c>
      <c r="I8359" s="11">
        <f>MAX(0,N8359-M8359)</f>
        <v/>
      </c>
      <c r="J8359" s="11">
        <f>MAX(0,M8359-N8359)</f>
        <v/>
      </c>
      <c r="K8359" s="11">
        <f>O8359</f>
        <v/>
      </c>
      <c r="L8359" s="11">
        <f>L8358+IF(K8359&gt;0,K8359*Summary!$B$9,K8359/Summary!$B$9)</f>
        <v/>
      </c>
      <c r="M8359" s="11">
        <f>G8359+H8359</f>
        <v/>
      </c>
      <c r="N8359" s="11">
        <f>Summary!$C$16*Summary!$B$8</f>
        <v/>
      </c>
      <c r="O8359" s="11">
        <f>M8359-N8359</f>
        <v/>
      </c>
    </row>
    <row r="8360">
      <c r="A8360" s="9" t="n">
        <v>45640.25</v>
      </c>
      <c r="B8360" t="n">
        <v>12</v>
      </c>
      <c r="C8360" t="n">
        <v>14</v>
      </c>
      <c r="D8360" t="n">
        <v>6</v>
      </c>
      <c r="E8360" s="10" t="n">
        <v>0</v>
      </c>
      <c r="F8360" s="10" t="n">
        <v>0.2987790477069714</v>
      </c>
      <c r="G8360" s="11">
        <f>E8360*Summary!$B$6</f>
        <v/>
      </c>
      <c r="H8360" s="11">
        <f>F8360*Summary!$B$7</f>
        <v/>
      </c>
      <c r="I8360" s="11">
        <f>MAX(0,N8360-M8360)</f>
        <v/>
      </c>
      <c r="J8360" s="11">
        <f>MAX(0,M8360-N8360)</f>
        <v/>
      </c>
      <c r="K8360" s="11">
        <f>O8360</f>
        <v/>
      </c>
      <c r="L8360" s="11">
        <f>L8359+IF(K8360&gt;0,K8360*Summary!$B$9,K8360/Summary!$B$9)</f>
        <v/>
      </c>
      <c r="M8360" s="11">
        <f>G8360+H8360</f>
        <v/>
      </c>
      <c r="N8360" s="11">
        <f>Summary!$C$16*Summary!$B$8</f>
        <v/>
      </c>
      <c r="O8360" s="11">
        <f>M8360-N8360</f>
        <v/>
      </c>
    </row>
    <row r="8361">
      <c r="A8361" s="9" t="n">
        <v>45640.29166666666</v>
      </c>
      <c r="B8361" t="n">
        <v>12</v>
      </c>
      <c r="C8361" t="n">
        <v>14</v>
      </c>
      <c r="D8361" t="n">
        <v>7</v>
      </c>
      <c r="E8361" s="10" t="n">
        <v>0</v>
      </c>
      <c r="F8361" s="10" t="n">
        <v>0.2945890787013789</v>
      </c>
      <c r="G8361" s="11">
        <f>E8361*Summary!$B$6</f>
        <v/>
      </c>
      <c r="H8361" s="11">
        <f>F8361*Summary!$B$7</f>
        <v/>
      </c>
      <c r="I8361" s="11">
        <f>MAX(0,N8361-M8361)</f>
        <v/>
      </c>
      <c r="J8361" s="11">
        <f>MAX(0,M8361-N8361)</f>
        <v/>
      </c>
      <c r="K8361" s="11">
        <f>O8361</f>
        <v/>
      </c>
      <c r="L8361" s="11">
        <f>L8360+IF(K8361&gt;0,K8361*Summary!$B$9,K8361/Summary!$B$9)</f>
        <v/>
      </c>
      <c r="M8361" s="11">
        <f>G8361+H8361</f>
        <v/>
      </c>
      <c r="N8361" s="11">
        <f>Summary!$C$16*Summary!$B$8</f>
        <v/>
      </c>
      <c r="O8361" s="11">
        <f>M8361-N8361</f>
        <v/>
      </c>
    </row>
    <row r="8362">
      <c r="A8362" s="9" t="n">
        <v>45640.33333333334</v>
      </c>
      <c r="B8362" t="n">
        <v>12</v>
      </c>
      <c r="C8362" t="n">
        <v>14</v>
      </c>
      <c r="D8362" t="n">
        <v>8</v>
      </c>
      <c r="E8362" s="10" t="n">
        <v>0</v>
      </c>
      <c r="F8362" s="10" t="n">
        <v>0.2884227092214502</v>
      </c>
      <c r="G8362" s="11">
        <f>E8362*Summary!$B$6</f>
        <v/>
      </c>
      <c r="H8362" s="11">
        <f>F8362*Summary!$B$7</f>
        <v/>
      </c>
      <c r="I8362" s="11">
        <f>MAX(0,N8362-M8362)</f>
        <v/>
      </c>
      <c r="J8362" s="11">
        <f>MAX(0,M8362-N8362)</f>
        <v/>
      </c>
      <c r="K8362" s="11">
        <f>O8362</f>
        <v/>
      </c>
      <c r="L8362" s="11">
        <f>L8361+IF(K8362&gt;0,K8362*Summary!$B$9,K8362/Summary!$B$9)</f>
        <v/>
      </c>
      <c r="M8362" s="11">
        <f>G8362+H8362</f>
        <v/>
      </c>
      <c r="N8362" s="11">
        <f>Summary!$C$16*Summary!$B$8</f>
        <v/>
      </c>
      <c r="O8362" s="11">
        <f>M8362-N8362</f>
        <v/>
      </c>
    </row>
    <row r="8363">
      <c r="A8363" s="9" t="n">
        <v>45640.375</v>
      </c>
      <c r="B8363" t="n">
        <v>12</v>
      </c>
      <c r="C8363" t="n">
        <v>14</v>
      </c>
      <c r="D8363" t="n">
        <v>9</v>
      </c>
      <c r="E8363" s="10" t="n">
        <v>0.03985</v>
      </c>
      <c r="F8363" s="10" t="n">
        <v>0.2822563397415215</v>
      </c>
      <c r="G8363" s="11">
        <f>E8363*Summary!$B$6</f>
        <v/>
      </c>
      <c r="H8363" s="11">
        <f>F8363*Summary!$B$7</f>
        <v/>
      </c>
      <c r="I8363" s="11">
        <f>MAX(0,N8363-M8363)</f>
        <v/>
      </c>
      <c r="J8363" s="11">
        <f>MAX(0,M8363-N8363)</f>
        <v/>
      </c>
      <c r="K8363" s="11">
        <f>O8363</f>
        <v/>
      </c>
      <c r="L8363" s="11">
        <f>L8362+IF(K8363&gt;0,K8363*Summary!$B$9,K8363/Summary!$B$9)</f>
        <v/>
      </c>
      <c r="M8363" s="11">
        <f>G8363+H8363</f>
        <v/>
      </c>
      <c r="N8363" s="11">
        <f>Summary!$C$16*Summary!$B$8</f>
        <v/>
      </c>
      <c r="O8363" s="11">
        <f>M8363-N8363</f>
        <v/>
      </c>
    </row>
    <row r="8364">
      <c r="A8364" s="9" t="n">
        <v>45640.41666666666</v>
      </c>
      <c r="B8364" t="n">
        <v>12</v>
      </c>
      <c r="C8364" t="n">
        <v>14</v>
      </c>
      <c r="D8364" t="n">
        <v>10</v>
      </c>
      <c r="E8364" s="10" t="n">
        <v>0.084948</v>
      </c>
      <c r="F8364" s="10" t="n">
        <v>0.271557425173782</v>
      </c>
      <c r="G8364" s="11">
        <f>E8364*Summary!$B$6</f>
        <v/>
      </c>
      <c r="H8364" s="11">
        <f>F8364*Summary!$B$7</f>
        <v/>
      </c>
      <c r="I8364" s="11">
        <f>MAX(0,N8364-M8364)</f>
        <v/>
      </c>
      <c r="J8364" s="11">
        <f>MAX(0,M8364-N8364)</f>
        <v/>
      </c>
      <c r="K8364" s="11">
        <f>O8364</f>
        <v/>
      </c>
      <c r="L8364" s="11">
        <f>L8363+IF(K8364&gt;0,K8364*Summary!$B$9,K8364/Summary!$B$9)</f>
        <v/>
      </c>
      <c r="M8364" s="11">
        <f>G8364+H8364</f>
        <v/>
      </c>
      <c r="N8364" s="11">
        <f>Summary!$C$16*Summary!$B$8</f>
        <v/>
      </c>
      <c r="O8364" s="11">
        <f>M8364-N8364</f>
        <v/>
      </c>
    </row>
    <row r="8365">
      <c r="A8365" s="9" t="n">
        <v>45640.45833333334</v>
      </c>
      <c r="B8365" t="n">
        <v>12</v>
      </c>
      <c r="C8365" t="n">
        <v>14</v>
      </c>
      <c r="D8365" t="n">
        <v>11</v>
      </c>
      <c r="E8365" s="10" t="n">
        <v>0.111574</v>
      </c>
      <c r="F8365" s="10" t="n">
        <v>0.2549820131956831</v>
      </c>
      <c r="G8365" s="11">
        <f>E8365*Summary!$B$6</f>
        <v/>
      </c>
      <c r="H8365" s="11">
        <f>F8365*Summary!$B$7</f>
        <v/>
      </c>
      <c r="I8365" s="11">
        <f>MAX(0,N8365-M8365)</f>
        <v/>
      </c>
      <c r="J8365" s="11">
        <f>MAX(0,M8365-N8365)</f>
        <v/>
      </c>
      <c r="K8365" s="11">
        <f>O8365</f>
        <v/>
      </c>
      <c r="L8365" s="11">
        <f>L8364+IF(K8365&gt;0,K8365*Summary!$B$9,K8365/Summary!$B$9)</f>
        <v/>
      </c>
      <c r="M8365" s="11">
        <f>G8365+H8365</f>
        <v/>
      </c>
      <c r="N8365" s="11">
        <f>Summary!$C$16*Summary!$B$8</f>
        <v/>
      </c>
      <c r="O8365" s="11">
        <f>M8365-N8365</f>
        <v/>
      </c>
    </row>
    <row r="8366">
      <c r="A8366" s="9" t="n">
        <v>45640.5</v>
      </c>
      <c r="B8366" t="n">
        <v>12</v>
      </c>
      <c r="C8366" t="n">
        <v>14</v>
      </c>
      <c r="D8366" t="n">
        <v>12</v>
      </c>
      <c r="E8366" s="10" t="n">
        <v>0.08776</v>
      </c>
      <c r="F8366" s="10" t="n">
        <v>0.2420695300966872</v>
      </c>
      <c r="G8366" s="11">
        <f>E8366*Summary!$B$6</f>
        <v/>
      </c>
      <c r="H8366" s="11">
        <f>F8366*Summary!$B$7</f>
        <v/>
      </c>
      <c r="I8366" s="11">
        <f>MAX(0,N8366-M8366)</f>
        <v/>
      </c>
      <c r="J8366" s="11">
        <f>MAX(0,M8366-N8366)</f>
        <v/>
      </c>
      <c r="K8366" s="11">
        <f>O8366</f>
        <v/>
      </c>
      <c r="L8366" s="11">
        <f>L8365+IF(K8366&gt;0,K8366*Summary!$B$9,K8366/Summary!$B$9)</f>
        <v/>
      </c>
      <c r="M8366" s="11">
        <f>G8366+H8366</f>
        <v/>
      </c>
      <c r="N8366" s="11">
        <f>Summary!$C$16*Summary!$B$8</f>
        <v/>
      </c>
      <c r="O8366" s="11">
        <f>M8366-N8366</f>
        <v/>
      </c>
    </row>
    <row r="8367">
      <c r="A8367" s="9" t="n">
        <v>45640.54166666666</v>
      </c>
      <c r="B8367" t="n">
        <v>12</v>
      </c>
      <c r="C8367" t="n">
        <v>14</v>
      </c>
      <c r="D8367" t="n">
        <v>13</v>
      </c>
      <c r="E8367" s="10" t="n">
        <v>0.052027</v>
      </c>
      <c r="F8367" s="10" t="n">
        <v>0.237299816951956</v>
      </c>
      <c r="G8367" s="11">
        <f>E8367*Summary!$B$6</f>
        <v/>
      </c>
      <c r="H8367" s="11">
        <f>F8367*Summary!$B$7</f>
        <v/>
      </c>
      <c r="I8367" s="11">
        <f>MAX(0,N8367-M8367)</f>
        <v/>
      </c>
      <c r="J8367" s="11">
        <f>MAX(0,M8367-N8367)</f>
        <v/>
      </c>
      <c r="K8367" s="11">
        <f>O8367</f>
        <v/>
      </c>
      <c r="L8367" s="11">
        <f>L8366+IF(K8367&gt;0,K8367*Summary!$B$9,K8367/Summary!$B$9)</f>
        <v/>
      </c>
      <c r="M8367" s="11">
        <f>G8367+H8367</f>
        <v/>
      </c>
      <c r="N8367" s="11">
        <f>Summary!$C$16*Summary!$B$8</f>
        <v/>
      </c>
      <c r="O8367" s="11">
        <f>M8367-N8367</f>
        <v/>
      </c>
    </row>
    <row r="8368">
      <c r="A8368" s="9" t="n">
        <v>45640.58333333334</v>
      </c>
      <c r="B8368" t="n">
        <v>12</v>
      </c>
      <c r="C8368" t="n">
        <v>14</v>
      </c>
      <c r="D8368" t="n">
        <v>14</v>
      </c>
      <c r="E8368" s="10" t="n">
        <v>0.026773</v>
      </c>
      <c r="F8368" s="10" t="n">
        <v>0.2405674657361918</v>
      </c>
      <c r="G8368" s="11">
        <f>E8368*Summary!$B$6</f>
        <v/>
      </c>
      <c r="H8368" s="11">
        <f>F8368*Summary!$B$7</f>
        <v/>
      </c>
      <c r="I8368" s="11">
        <f>MAX(0,N8368-M8368)</f>
        <v/>
      </c>
      <c r="J8368" s="11">
        <f>MAX(0,M8368-N8368)</f>
        <v/>
      </c>
      <c r="K8368" s="11">
        <f>O8368</f>
        <v/>
      </c>
      <c r="L8368" s="11">
        <f>L8367+IF(K8368&gt;0,K8368*Summary!$B$9,K8368/Summary!$B$9)</f>
        <v/>
      </c>
      <c r="M8368" s="11">
        <f>G8368+H8368</f>
        <v/>
      </c>
      <c r="N8368" s="11">
        <f>Summary!$C$16*Summary!$B$8</f>
        <v/>
      </c>
      <c r="O8368" s="11">
        <f>M8368-N8368</f>
        <v/>
      </c>
    </row>
    <row r="8369">
      <c r="A8369" s="9" t="n">
        <v>45640.625</v>
      </c>
      <c r="B8369" t="n">
        <v>12</v>
      </c>
      <c r="C8369" t="n">
        <v>14</v>
      </c>
      <c r="D8369" t="n">
        <v>15</v>
      </c>
      <c r="E8369" s="10" t="n">
        <v>0</v>
      </c>
      <c r="F8369" s="10" t="n">
        <v>0.259514558283494</v>
      </c>
      <c r="G8369" s="11">
        <f>E8369*Summary!$B$6</f>
        <v/>
      </c>
      <c r="H8369" s="11">
        <f>F8369*Summary!$B$7</f>
        <v/>
      </c>
      <c r="I8369" s="11">
        <f>MAX(0,N8369-M8369)</f>
        <v/>
      </c>
      <c r="J8369" s="11">
        <f>MAX(0,M8369-N8369)</f>
        <v/>
      </c>
      <c r="K8369" s="11">
        <f>O8369</f>
        <v/>
      </c>
      <c r="L8369" s="11">
        <f>L8368+IF(K8369&gt;0,K8369*Summary!$B$9,K8369/Summary!$B$9)</f>
        <v/>
      </c>
      <c r="M8369" s="11">
        <f>G8369+H8369</f>
        <v/>
      </c>
      <c r="N8369" s="11">
        <f>Summary!$C$16*Summary!$B$8</f>
        <v/>
      </c>
      <c r="O8369" s="11">
        <f>M8369-N8369</f>
        <v/>
      </c>
    </row>
    <row r="8370">
      <c r="A8370" s="9" t="n">
        <v>45640.66666666666</v>
      </c>
      <c r="B8370" t="n">
        <v>12</v>
      </c>
      <c r="C8370" t="n">
        <v>14</v>
      </c>
      <c r="D8370" t="n">
        <v>16</v>
      </c>
      <c r="E8370" s="10" t="n">
        <v>0</v>
      </c>
      <c r="F8370" s="10" t="n">
        <v>0.258750350100084</v>
      </c>
      <c r="G8370" s="11">
        <f>E8370*Summary!$B$6</f>
        <v/>
      </c>
      <c r="H8370" s="11">
        <f>F8370*Summary!$B$7</f>
        <v/>
      </c>
      <c r="I8370" s="11">
        <f>MAX(0,N8370-M8370)</f>
        <v/>
      </c>
      <c r="J8370" s="11">
        <f>MAX(0,M8370-N8370)</f>
        <v/>
      </c>
      <c r="K8370" s="11">
        <f>O8370</f>
        <v/>
      </c>
      <c r="L8370" s="11">
        <f>L8369+IF(K8370&gt;0,K8370*Summary!$B$9,K8370/Summary!$B$9)</f>
        <v/>
      </c>
      <c r="M8370" s="11">
        <f>G8370+H8370</f>
        <v/>
      </c>
      <c r="N8370" s="11">
        <f>Summary!$C$16*Summary!$B$8</f>
        <v/>
      </c>
      <c r="O8370" s="11">
        <f>M8370-N8370</f>
        <v/>
      </c>
    </row>
    <row r="8371">
      <c r="A8371" s="9" t="n">
        <v>45640.70833333334</v>
      </c>
      <c r="B8371" t="n">
        <v>12</v>
      </c>
      <c r="C8371" t="n">
        <v>14</v>
      </c>
      <c r="D8371" t="n">
        <v>17</v>
      </c>
      <c r="E8371" s="10" t="n">
        <v>0</v>
      </c>
      <c r="F8371" s="10" t="n">
        <v>0.2655755197381247</v>
      </c>
      <c r="G8371" s="11">
        <f>E8371*Summary!$B$6</f>
        <v/>
      </c>
      <c r="H8371" s="11">
        <f>F8371*Summary!$B$7</f>
        <v/>
      </c>
      <c r="I8371" s="11">
        <f>MAX(0,N8371-M8371)</f>
        <v/>
      </c>
      <c r="J8371" s="11">
        <f>MAX(0,M8371-N8371)</f>
        <v/>
      </c>
      <c r="K8371" s="11">
        <f>O8371</f>
        <v/>
      </c>
      <c r="L8371" s="11">
        <f>L8370+IF(K8371&gt;0,K8371*Summary!$B$9,K8371/Summary!$B$9)</f>
        <v/>
      </c>
      <c r="M8371" s="11">
        <f>G8371+H8371</f>
        <v/>
      </c>
      <c r="N8371" s="11">
        <f>Summary!$C$16*Summary!$B$8</f>
        <v/>
      </c>
      <c r="O8371" s="11">
        <f>M8371-N8371</f>
        <v/>
      </c>
    </row>
    <row r="8372">
      <c r="A8372" s="9" t="n">
        <v>45640.75</v>
      </c>
      <c r="B8372" t="n">
        <v>12</v>
      </c>
      <c r="C8372" t="n">
        <v>14</v>
      </c>
      <c r="D8372" t="n">
        <v>18</v>
      </c>
      <c r="E8372" s="10" t="n">
        <v>0</v>
      </c>
      <c r="F8372" s="10" t="n">
        <v>0.2696864327247439</v>
      </c>
      <c r="G8372" s="11">
        <f>E8372*Summary!$B$6</f>
        <v/>
      </c>
      <c r="H8372" s="11">
        <f>F8372*Summary!$B$7</f>
        <v/>
      </c>
      <c r="I8372" s="11">
        <f>MAX(0,N8372-M8372)</f>
        <v/>
      </c>
      <c r="J8372" s="11">
        <f>MAX(0,M8372-N8372)</f>
        <v/>
      </c>
      <c r="K8372" s="11">
        <f>O8372</f>
        <v/>
      </c>
      <c r="L8372" s="11">
        <f>L8371+IF(K8372&gt;0,K8372*Summary!$B$9,K8372/Summary!$B$9)</f>
        <v/>
      </c>
      <c r="M8372" s="11">
        <f>G8372+H8372</f>
        <v/>
      </c>
      <c r="N8372" s="11">
        <f>Summary!$C$16*Summary!$B$8</f>
        <v/>
      </c>
      <c r="O8372" s="11">
        <f>M8372-N8372</f>
        <v/>
      </c>
    </row>
    <row r="8373">
      <c r="A8373" s="9" t="n">
        <v>45640.79166666666</v>
      </c>
      <c r="B8373" t="n">
        <v>12</v>
      </c>
      <c r="C8373" t="n">
        <v>14</v>
      </c>
      <c r="D8373" t="n">
        <v>19</v>
      </c>
      <c r="E8373" s="10" t="n">
        <v>0</v>
      </c>
      <c r="F8373" s="10" t="n">
        <v>0.2724533933888144</v>
      </c>
      <c r="G8373" s="11">
        <f>E8373*Summary!$B$6</f>
        <v/>
      </c>
      <c r="H8373" s="11">
        <f>F8373*Summary!$B$7</f>
        <v/>
      </c>
      <c r="I8373" s="11">
        <f>MAX(0,N8373-M8373)</f>
        <v/>
      </c>
      <c r="J8373" s="11">
        <f>MAX(0,M8373-N8373)</f>
        <v/>
      </c>
      <c r="K8373" s="11">
        <f>O8373</f>
        <v/>
      </c>
      <c r="L8373" s="11">
        <f>L8372+IF(K8373&gt;0,K8373*Summary!$B$9,K8373/Summary!$B$9)</f>
        <v/>
      </c>
      <c r="M8373" s="11">
        <f>G8373+H8373</f>
        <v/>
      </c>
      <c r="N8373" s="11">
        <f>Summary!$C$16*Summary!$B$8</f>
        <v/>
      </c>
      <c r="O8373" s="11">
        <f>M8373-N8373</f>
        <v/>
      </c>
    </row>
    <row r="8374">
      <c r="A8374" s="9" t="n">
        <v>45640.83333333334</v>
      </c>
      <c r="B8374" t="n">
        <v>12</v>
      </c>
      <c r="C8374" t="n">
        <v>14</v>
      </c>
      <c r="D8374" t="n">
        <v>20</v>
      </c>
      <c r="E8374" s="10" t="n">
        <v>0</v>
      </c>
      <c r="F8374" s="10" t="n">
        <v>0.3091880902051417</v>
      </c>
      <c r="G8374" s="11">
        <f>E8374*Summary!$B$6</f>
        <v/>
      </c>
      <c r="H8374" s="11">
        <f>F8374*Summary!$B$7</f>
        <v/>
      </c>
      <c r="I8374" s="11">
        <f>MAX(0,N8374-M8374)</f>
        <v/>
      </c>
      <c r="J8374" s="11">
        <f>MAX(0,M8374-N8374)</f>
        <v/>
      </c>
      <c r="K8374" s="11">
        <f>O8374</f>
        <v/>
      </c>
      <c r="L8374" s="11">
        <f>L8373+IF(K8374&gt;0,K8374*Summary!$B$9,K8374/Summary!$B$9)</f>
        <v/>
      </c>
      <c r="M8374" s="11">
        <f>G8374+H8374</f>
        <v/>
      </c>
      <c r="N8374" s="11">
        <f>Summary!$C$16*Summary!$B$8</f>
        <v/>
      </c>
      <c r="O8374" s="11">
        <f>M8374-N8374</f>
        <v/>
      </c>
    </row>
    <row r="8375">
      <c r="A8375" s="9" t="n">
        <v>45640.875</v>
      </c>
      <c r="B8375" t="n">
        <v>12</v>
      </c>
      <c r="C8375" t="n">
        <v>14</v>
      </c>
      <c r="D8375" t="n">
        <v>21</v>
      </c>
      <c r="E8375" s="10" t="n">
        <v>0</v>
      </c>
      <c r="F8375" s="10" t="n">
        <v>0.2947735427456503</v>
      </c>
      <c r="G8375" s="11">
        <f>E8375*Summary!$B$6</f>
        <v/>
      </c>
      <c r="H8375" s="11">
        <f>F8375*Summary!$B$7</f>
        <v/>
      </c>
      <c r="I8375" s="11">
        <f>MAX(0,N8375-M8375)</f>
        <v/>
      </c>
      <c r="J8375" s="11">
        <f>MAX(0,M8375-N8375)</f>
        <v/>
      </c>
      <c r="K8375" s="11">
        <f>O8375</f>
        <v/>
      </c>
      <c r="L8375" s="11">
        <f>L8374+IF(K8375&gt;0,K8375*Summary!$B$9,K8375/Summary!$B$9)</f>
        <v/>
      </c>
      <c r="M8375" s="11">
        <f>G8375+H8375</f>
        <v/>
      </c>
      <c r="N8375" s="11">
        <f>Summary!$C$16*Summary!$B$8</f>
        <v/>
      </c>
      <c r="O8375" s="11">
        <f>M8375-N8375</f>
        <v/>
      </c>
    </row>
    <row r="8376">
      <c r="A8376" s="9" t="n">
        <v>45640.91666666666</v>
      </c>
      <c r="B8376" t="n">
        <v>12</v>
      </c>
      <c r="C8376" t="n">
        <v>14</v>
      </c>
      <c r="D8376" t="n">
        <v>22</v>
      </c>
      <c r="E8376" s="10" t="n">
        <v>0</v>
      </c>
      <c r="F8376" s="10" t="n">
        <v>0.3034960568390536</v>
      </c>
      <c r="G8376" s="11">
        <f>E8376*Summary!$B$6</f>
        <v/>
      </c>
      <c r="H8376" s="11">
        <f>F8376*Summary!$B$7</f>
        <v/>
      </c>
      <c r="I8376" s="11">
        <f>MAX(0,N8376-M8376)</f>
        <v/>
      </c>
      <c r="J8376" s="11">
        <f>MAX(0,M8376-N8376)</f>
        <v/>
      </c>
      <c r="K8376" s="11">
        <f>O8376</f>
        <v/>
      </c>
      <c r="L8376" s="11">
        <f>L8375+IF(K8376&gt;0,K8376*Summary!$B$9,K8376/Summary!$B$9)</f>
        <v/>
      </c>
      <c r="M8376" s="11">
        <f>G8376+H8376</f>
        <v/>
      </c>
      <c r="N8376" s="11">
        <f>Summary!$C$16*Summary!$B$8</f>
        <v/>
      </c>
      <c r="O8376" s="11">
        <f>M8376-N8376</f>
        <v/>
      </c>
    </row>
    <row r="8377">
      <c r="A8377" s="9" t="n">
        <v>45640.95833333334</v>
      </c>
      <c r="B8377" t="n">
        <v>12</v>
      </c>
      <c r="C8377" t="n">
        <v>14</v>
      </c>
      <c r="D8377" t="n">
        <v>23</v>
      </c>
      <c r="E8377" s="10" t="n">
        <v>0</v>
      </c>
      <c r="F8377" s="10" t="n">
        <v>0.3103739304897433</v>
      </c>
      <c r="G8377" s="11">
        <f>E8377*Summary!$B$6</f>
        <v/>
      </c>
      <c r="H8377" s="11">
        <f>F8377*Summary!$B$7</f>
        <v/>
      </c>
      <c r="I8377" s="11">
        <f>MAX(0,N8377-M8377)</f>
        <v/>
      </c>
      <c r="J8377" s="11">
        <f>MAX(0,M8377-N8377)</f>
        <v/>
      </c>
      <c r="K8377" s="11">
        <f>O8377</f>
        <v/>
      </c>
      <c r="L8377" s="11">
        <f>L8376+IF(K8377&gt;0,K8377*Summary!$B$9,K8377/Summary!$B$9)</f>
        <v/>
      </c>
      <c r="M8377" s="11">
        <f>G8377+H8377</f>
        <v/>
      </c>
      <c r="N8377" s="11">
        <f>Summary!$C$16*Summary!$B$8</f>
        <v/>
      </c>
      <c r="O8377" s="11">
        <f>M8377-N8377</f>
        <v/>
      </c>
    </row>
    <row r="8378">
      <c r="A8378" s="9" t="n">
        <v>45641</v>
      </c>
      <c r="B8378" t="n">
        <v>12</v>
      </c>
      <c r="C8378" t="n">
        <v>15</v>
      </c>
      <c r="D8378" t="n">
        <v>0</v>
      </c>
      <c r="E8378" s="10" t="n">
        <v>0</v>
      </c>
      <c r="F8378" s="10" t="n">
        <v>0.3988376157210278</v>
      </c>
      <c r="G8378" s="11">
        <f>E8378*Summary!$B$6</f>
        <v/>
      </c>
      <c r="H8378" s="11">
        <f>F8378*Summary!$B$7</f>
        <v/>
      </c>
      <c r="I8378" s="11">
        <f>MAX(0,N8378-M8378)</f>
        <v/>
      </c>
      <c r="J8378" s="11">
        <f>MAX(0,M8378-N8378)</f>
        <v/>
      </c>
      <c r="K8378" s="11">
        <f>O8378</f>
        <v/>
      </c>
      <c r="L8378" s="11">
        <f>L8377+IF(K8378&gt;0,K8378*Summary!$B$9,K8378/Summary!$B$9)</f>
        <v/>
      </c>
      <c r="M8378" s="11">
        <f>G8378+H8378</f>
        <v/>
      </c>
      <c r="N8378" s="11">
        <f>Summary!$C$16*Summary!$B$8</f>
        <v/>
      </c>
      <c r="O8378" s="11">
        <f>M8378-N8378</f>
        <v/>
      </c>
    </row>
    <row r="8379">
      <c r="A8379" s="9" t="n">
        <v>45641.04166666666</v>
      </c>
      <c r="B8379" t="n">
        <v>12</v>
      </c>
      <c r="C8379" t="n">
        <v>15</v>
      </c>
      <c r="D8379" t="n">
        <v>1</v>
      </c>
      <c r="E8379" s="10" t="n">
        <v>0</v>
      </c>
      <c r="F8379" s="10" t="n">
        <v>0.3184376444250346</v>
      </c>
      <c r="G8379" s="11">
        <f>E8379*Summary!$B$6</f>
        <v/>
      </c>
      <c r="H8379" s="11">
        <f>F8379*Summary!$B$7</f>
        <v/>
      </c>
      <c r="I8379" s="11">
        <f>MAX(0,N8379-M8379)</f>
        <v/>
      </c>
      <c r="J8379" s="11">
        <f>MAX(0,M8379-N8379)</f>
        <v/>
      </c>
      <c r="K8379" s="11">
        <f>O8379</f>
        <v/>
      </c>
      <c r="L8379" s="11">
        <f>L8378+IF(K8379&gt;0,K8379*Summary!$B$9,K8379/Summary!$B$9)</f>
        <v/>
      </c>
      <c r="M8379" s="11">
        <f>G8379+H8379</f>
        <v/>
      </c>
      <c r="N8379" s="11">
        <f>Summary!$C$16*Summary!$B$8</f>
        <v/>
      </c>
      <c r="O8379" s="11">
        <f>M8379-N8379</f>
        <v/>
      </c>
    </row>
    <row r="8380">
      <c r="A8380" s="9" t="n">
        <v>45641.08333333334</v>
      </c>
      <c r="B8380" t="n">
        <v>12</v>
      </c>
      <c r="C8380" t="n">
        <v>15</v>
      </c>
      <c r="D8380" t="n">
        <v>2</v>
      </c>
      <c r="E8380" s="10" t="n">
        <v>0</v>
      </c>
      <c r="F8380" s="10" t="n">
        <v>0.3174362681847043</v>
      </c>
      <c r="G8380" s="11">
        <f>E8380*Summary!$B$6</f>
        <v/>
      </c>
      <c r="H8380" s="11">
        <f>F8380*Summary!$B$7</f>
        <v/>
      </c>
      <c r="I8380" s="11">
        <f>MAX(0,N8380-M8380)</f>
        <v/>
      </c>
      <c r="J8380" s="11">
        <f>MAX(0,M8380-N8380)</f>
        <v/>
      </c>
      <c r="K8380" s="11">
        <f>O8380</f>
        <v/>
      </c>
      <c r="L8380" s="11">
        <f>L8379+IF(K8380&gt;0,K8380*Summary!$B$9,K8380/Summary!$B$9)</f>
        <v/>
      </c>
      <c r="M8380" s="11">
        <f>G8380+H8380</f>
        <v/>
      </c>
      <c r="N8380" s="11">
        <f>Summary!$C$16*Summary!$B$8</f>
        <v/>
      </c>
      <c r="O8380" s="11">
        <f>M8380-N8380</f>
        <v/>
      </c>
    </row>
    <row r="8381">
      <c r="A8381" s="9" t="n">
        <v>45641.125</v>
      </c>
      <c r="B8381" t="n">
        <v>12</v>
      </c>
      <c r="C8381" t="n">
        <v>15</v>
      </c>
      <c r="D8381" t="n">
        <v>3</v>
      </c>
      <c r="E8381" s="10" t="n">
        <v>0</v>
      </c>
      <c r="F8381" s="10" t="n">
        <v>0.3125347950083508</v>
      </c>
      <c r="G8381" s="11">
        <f>E8381*Summary!$B$6</f>
        <v/>
      </c>
      <c r="H8381" s="11">
        <f>F8381*Summary!$B$7</f>
        <v/>
      </c>
      <c r="I8381" s="11">
        <f>MAX(0,N8381-M8381)</f>
        <v/>
      </c>
      <c r="J8381" s="11">
        <f>MAX(0,M8381-N8381)</f>
        <v/>
      </c>
      <c r="K8381" s="11">
        <f>O8381</f>
        <v/>
      </c>
      <c r="L8381" s="11">
        <f>L8380+IF(K8381&gt;0,K8381*Summary!$B$9,K8381/Summary!$B$9)</f>
        <v/>
      </c>
      <c r="M8381" s="11">
        <f>G8381+H8381</f>
        <v/>
      </c>
      <c r="N8381" s="11">
        <f>Summary!$C$16*Summary!$B$8</f>
        <v/>
      </c>
      <c r="O8381" s="11">
        <f>M8381-N8381</f>
        <v/>
      </c>
    </row>
    <row r="8382">
      <c r="A8382" s="9" t="n">
        <v>45641.16666666666</v>
      </c>
      <c r="B8382" t="n">
        <v>12</v>
      </c>
      <c r="C8382" t="n">
        <v>15</v>
      </c>
      <c r="D8382" t="n">
        <v>4</v>
      </c>
      <c r="E8382" s="10" t="n">
        <v>0</v>
      </c>
      <c r="F8382" s="10" t="n">
        <v>0.3097414823379558</v>
      </c>
      <c r="G8382" s="11">
        <f>E8382*Summary!$B$6</f>
        <v/>
      </c>
      <c r="H8382" s="11">
        <f>F8382*Summary!$B$7</f>
        <v/>
      </c>
      <c r="I8382" s="11">
        <f>MAX(0,N8382-M8382)</f>
        <v/>
      </c>
      <c r="J8382" s="11">
        <f>MAX(0,M8382-N8382)</f>
        <v/>
      </c>
      <c r="K8382" s="11">
        <f>O8382</f>
        <v/>
      </c>
      <c r="L8382" s="11">
        <f>L8381+IF(K8382&gt;0,K8382*Summary!$B$9,K8382/Summary!$B$9)</f>
        <v/>
      </c>
      <c r="M8382" s="11">
        <f>G8382+H8382</f>
        <v/>
      </c>
      <c r="N8382" s="11">
        <f>Summary!$C$16*Summary!$B$8</f>
        <v/>
      </c>
      <c r="O8382" s="11">
        <f>M8382-N8382</f>
        <v/>
      </c>
    </row>
    <row r="8383">
      <c r="A8383" s="9" t="n">
        <v>45641.20833333334</v>
      </c>
      <c r="B8383" t="n">
        <v>12</v>
      </c>
      <c r="C8383" t="n">
        <v>15</v>
      </c>
      <c r="D8383" t="n">
        <v>5</v>
      </c>
      <c r="E8383" s="10" t="n">
        <v>0</v>
      </c>
      <c r="F8383" s="10" t="n">
        <v>0.3060522014525283</v>
      </c>
      <c r="G8383" s="11">
        <f>E8383*Summary!$B$6</f>
        <v/>
      </c>
      <c r="H8383" s="11">
        <f>F8383*Summary!$B$7</f>
        <v/>
      </c>
      <c r="I8383" s="11">
        <f>MAX(0,N8383-M8383)</f>
        <v/>
      </c>
      <c r="J8383" s="11">
        <f>MAX(0,M8383-N8383)</f>
        <v/>
      </c>
      <c r="K8383" s="11">
        <f>O8383</f>
        <v/>
      </c>
      <c r="L8383" s="11">
        <f>L8382+IF(K8383&gt;0,K8383*Summary!$B$9,K8383/Summary!$B$9)</f>
        <v/>
      </c>
      <c r="M8383" s="11">
        <f>G8383+H8383</f>
        <v/>
      </c>
      <c r="N8383" s="11">
        <f>Summary!$C$16*Summary!$B$8</f>
        <v/>
      </c>
      <c r="O8383" s="11">
        <f>M8383-N8383</f>
        <v/>
      </c>
    </row>
    <row r="8384">
      <c r="A8384" s="9" t="n">
        <v>45641.25</v>
      </c>
      <c r="B8384" t="n">
        <v>12</v>
      </c>
      <c r="C8384" t="n">
        <v>15</v>
      </c>
      <c r="D8384" t="n">
        <v>6</v>
      </c>
      <c r="E8384" s="10" t="n">
        <v>0</v>
      </c>
      <c r="F8384" s="10" t="n">
        <v>0.2953532868847888</v>
      </c>
      <c r="G8384" s="11">
        <f>E8384*Summary!$B$6</f>
        <v/>
      </c>
      <c r="H8384" s="11">
        <f>F8384*Summary!$B$7</f>
        <v/>
      </c>
      <c r="I8384" s="11">
        <f>MAX(0,N8384-M8384)</f>
        <v/>
      </c>
      <c r="J8384" s="11">
        <f>MAX(0,M8384-N8384)</f>
        <v/>
      </c>
      <c r="K8384" s="11">
        <f>O8384</f>
        <v/>
      </c>
      <c r="L8384" s="11">
        <f>L8383+IF(K8384&gt;0,K8384*Summary!$B$9,K8384/Summary!$B$9)</f>
        <v/>
      </c>
      <c r="M8384" s="11">
        <f>G8384+H8384</f>
        <v/>
      </c>
      <c r="N8384" s="11">
        <f>Summary!$C$16*Summary!$B$8</f>
        <v/>
      </c>
      <c r="O8384" s="11">
        <f>M8384-N8384</f>
        <v/>
      </c>
    </row>
    <row r="8385">
      <c r="A8385" s="9" t="n">
        <v>45641.29166666666</v>
      </c>
      <c r="B8385" t="n">
        <v>12</v>
      </c>
      <c r="C8385" t="n">
        <v>15</v>
      </c>
      <c r="D8385" t="n">
        <v>7</v>
      </c>
      <c r="E8385" s="10" t="n">
        <v>0</v>
      </c>
      <c r="F8385" s="10" t="n">
        <v>0.2851023564245656</v>
      </c>
      <c r="G8385" s="11">
        <f>E8385*Summary!$B$6</f>
        <v/>
      </c>
      <c r="H8385" s="11">
        <f>F8385*Summary!$B$7</f>
        <v/>
      </c>
      <c r="I8385" s="11">
        <f>MAX(0,N8385-M8385)</f>
        <v/>
      </c>
      <c r="J8385" s="11">
        <f>MAX(0,M8385-N8385)</f>
        <v/>
      </c>
      <c r="K8385" s="11">
        <f>O8385</f>
        <v/>
      </c>
      <c r="L8385" s="11">
        <f>L8384+IF(K8385&gt;0,K8385*Summary!$B$9,K8385/Summary!$B$9)</f>
        <v/>
      </c>
      <c r="M8385" s="11">
        <f>G8385+H8385</f>
        <v/>
      </c>
      <c r="N8385" s="11">
        <f>Summary!$C$16*Summary!$B$8</f>
        <v/>
      </c>
      <c r="O8385" s="11">
        <f>M8385-N8385</f>
        <v/>
      </c>
    </row>
    <row r="8386">
      <c r="A8386" s="9" t="n">
        <v>45641.33333333334</v>
      </c>
      <c r="B8386" t="n">
        <v>12</v>
      </c>
      <c r="C8386" t="n">
        <v>15</v>
      </c>
      <c r="D8386" t="n">
        <v>8</v>
      </c>
      <c r="E8386" s="10" t="n">
        <v>0</v>
      </c>
      <c r="F8386" s="10" t="n">
        <v>0.2765643063754336</v>
      </c>
      <c r="G8386" s="11">
        <f>E8386*Summary!$B$6</f>
        <v/>
      </c>
      <c r="H8386" s="11">
        <f>F8386*Summary!$B$7</f>
        <v/>
      </c>
      <c r="I8386" s="11">
        <f>MAX(0,N8386-M8386)</f>
        <v/>
      </c>
      <c r="J8386" s="11">
        <f>MAX(0,M8386-N8386)</f>
        <v/>
      </c>
      <c r="K8386" s="11">
        <f>O8386</f>
        <v/>
      </c>
      <c r="L8386" s="11">
        <f>L8385+IF(K8386&gt;0,K8386*Summary!$B$9,K8386/Summary!$B$9)</f>
        <v/>
      </c>
      <c r="M8386" s="11">
        <f>G8386+H8386</f>
        <v/>
      </c>
      <c r="N8386" s="11">
        <f>Summary!$C$16*Summary!$B$8</f>
        <v/>
      </c>
      <c r="O8386" s="11">
        <f>M8386-N8386</f>
        <v/>
      </c>
    </row>
    <row r="8387">
      <c r="A8387" s="9" t="n">
        <v>45641.375</v>
      </c>
      <c r="B8387" t="n">
        <v>12</v>
      </c>
      <c r="C8387" t="n">
        <v>15</v>
      </c>
      <c r="D8387" t="n">
        <v>9</v>
      </c>
      <c r="E8387" s="10" t="n">
        <v>0</v>
      </c>
      <c r="F8387" s="10" t="n">
        <v>0.2717945932307024</v>
      </c>
      <c r="G8387" s="11">
        <f>E8387*Summary!$B$6</f>
        <v/>
      </c>
      <c r="H8387" s="11">
        <f>F8387*Summary!$B$7</f>
        <v/>
      </c>
      <c r="I8387" s="11">
        <f>MAX(0,N8387-M8387)</f>
        <v/>
      </c>
      <c r="J8387" s="11">
        <f>MAX(0,M8387-N8387)</f>
        <v/>
      </c>
      <c r="K8387" s="11">
        <f>O8387</f>
        <v/>
      </c>
      <c r="L8387" s="11">
        <f>L8386+IF(K8387&gt;0,K8387*Summary!$B$9,K8387/Summary!$B$9)</f>
        <v/>
      </c>
      <c r="M8387" s="11">
        <f>G8387+H8387</f>
        <v/>
      </c>
      <c r="N8387" s="11">
        <f>Summary!$C$16*Summary!$B$8</f>
        <v/>
      </c>
      <c r="O8387" s="11">
        <f>M8387-N8387</f>
        <v/>
      </c>
    </row>
    <row r="8388">
      <c r="A8388" s="9" t="n">
        <v>45641.41666666666</v>
      </c>
      <c r="B8388" t="n">
        <v>12</v>
      </c>
      <c r="C8388" t="n">
        <v>15</v>
      </c>
      <c r="D8388" t="n">
        <v>10</v>
      </c>
      <c r="E8388" s="10" t="n">
        <v>0.00618</v>
      </c>
      <c r="F8388" s="10" t="n">
        <v>0.2749304819833157</v>
      </c>
      <c r="G8388" s="11">
        <f>E8388*Summary!$B$6</f>
        <v/>
      </c>
      <c r="H8388" s="11">
        <f>F8388*Summary!$B$7</f>
        <v/>
      </c>
      <c r="I8388" s="11">
        <f>MAX(0,N8388-M8388)</f>
        <v/>
      </c>
      <c r="J8388" s="11">
        <f>MAX(0,M8388-N8388)</f>
        <v/>
      </c>
      <c r="K8388" s="11">
        <f>O8388</f>
        <v/>
      </c>
      <c r="L8388" s="11">
        <f>L8387+IF(K8388&gt;0,K8388*Summary!$B$9,K8388/Summary!$B$9)</f>
        <v/>
      </c>
      <c r="M8388" s="11">
        <f>G8388+H8388</f>
        <v/>
      </c>
      <c r="N8388" s="11">
        <f>Summary!$C$16*Summary!$B$8</f>
        <v/>
      </c>
      <c r="O8388" s="11">
        <f>M8388-N8388</f>
        <v/>
      </c>
    </row>
    <row r="8389">
      <c r="A8389" s="9" t="n">
        <v>45641.45833333334</v>
      </c>
      <c r="B8389" t="n">
        <v>12</v>
      </c>
      <c r="C8389" t="n">
        <v>15</v>
      </c>
      <c r="D8389" t="n">
        <v>11</v>
      </c>
      <c r="E8389" s="10" t="n">
        <v>0.007752</v>
      </c>
      <c r="F8389" s="10" t="n">
        <v>0.2749568339896402</v>
      </c>
      <c r="G8389" s="11">
        <f>E8389*Summary!$B$6</f>
        <v/>
      </c>
      <c r="H8389" s="11">
        <f>F8389*Summary!$B$7</f>
        <v/>
      </c>
      <c r="I8389" s="11">
        <f>MAX(0,N8389-M8389)</f>
        <v/>
      </c>
      <c r="J8389" s="11">
        <f>MAX(0,M8389-N8389)</f>
        <v/>
      </c>
      <c r="K8389" s="11">
        <f>O8389</f>
        <v/>
      </c>
      <c r="L8389" s="11">
        <f>L8388+IF(K8389&gt;0,K8389*Summary!$B$9,K8389/Summary!$B$9)</f>
        <v/>
      </c>
      <c r="M8389" s="11">
        <f>G8389+H8389</f>
        <v/>
      </c>
      <c r="N8389" s="11">
        <f>Summary!$C$16*Summary!$B$8</f>
        <v/>
      </c>
      <c r="O8389" s="11">
        <f>M8389-N8389</f>
        <v/>
      </c>
    </row>
    <row r="8390">
      <c r="A8390" s="9" t="n">
        <v>45641.5</v>
      </c>
      <c r="B8390" t="n">
        <v>12</v>
      </c>
      <c r="C8390" t="n">
        <v>15</v>
      </c>
      <c r="D8390" t="n">
        <v>12</v>
      </c>
      <c r="E8390" s="10" t="n">
        <v>0.012675</v>
      </c>
      <c r="F8390" s="10" t="n">
        <v>0.2830205479249315</v>
      </c>
      <c r="G8390" s="11">
        <f>E8390*Summary!$B$6</f>
        <v/>
      </c>
      <c r="H8390" s="11">
        <f>F8390*Summary!$B$7</f>
        <v/>
      </c>
      <c r="I8390" s="11">
        <f>MAX(0,N8390-M8390)</f>
        <v/>
      </c>
      <c r="J8390" s="11">
        <f>MAX(0,M8390-N8390)</f>
        <v/>
      </c>
      <c r="K8390" s="11">
        <f>O8390</f>
        <v/>
      </c>
      <c r="L8390" s="11">
        <f>L8389+IF(K8390&gt;0,K8390*Summary!$B$9,K8390/Summary!$B$9)</f>
        <v/>
      </c>
      <c r="M8390" s="11">
        <f>G8390+H8390</f>
        <v/>
      </c>
      <c r="N8390" s="11">
        <f>Summary!$C$16*Summary!$B$8</f>
        <v/>
      </c>
      <c r="O8390" s="11">
        <f>M8390-N8390</f>
        <v/>
      </c>
    </row>
    <row r="8391">
      <c r="A8391" s="9" t="n">
        <v>45641.54166666666</v>
      </c>
      <c r="B8391" t="n">
        <v>12</v>
      </c>
      <c r="C8391" t="n">
        <v>15</v>
      </c>
      <c r="D8391" t="n">
        <v>13</v>
      </c>
      <c r="E8391" s="10" t="n">
        <v>0</v>
      </c>
      <c r="F8391" s="10" t="n">
        <v>0.2957485669796561</v>
      </c>
      <c r="G8391" s="11">
        <f>E8391*Summary!$B$6</f>
        <v/>
      </c>
      <c r="H8391" s="11">
        <f>F8391*Summary!$B$7</f>
        <v/>
      </c>
      <c r="I8391" s="11">
        <f>MAX(0,N8391-M8391)</f>
        <v/>
      </c>
      <c r="J8391" s="11">
        <f>MAX(0,M8391-N8391)</f>
        <v/>
      </c>
      <c r="K8391" s="11">
        <f>O8391</f>
        <v/>
      </c>
      <c r="L8391" s="11">
        <f>L8390+IF(K8391&gt;0,K8391*Summary!$B$9,K8391/Summary!$B$9)</f>
        <v/>
      </c>
      <c r="M8391" s="11">
        <f>G8391+H8391</f>
        <v/>
      </c>
      <c r="N8391" s="11">
        <f>Summary!$C$16*Summary!$B$8</f>
        <v/>
      </c>
      <c r="O8391" s="11">
        <f>M8391-N8391</f>
        <v/>
      </c>
    </row>
    <row r="8392">
      <c r="A8392" s="9" t="n">
        <v>45641.58333333334</v>
      </c>
      <c r="B8392" t="n">
        <v>12</v>
      </c>
      <c r="C8392" t="n">
        <v>15</v>
      </c>
      <c r="D8392" t="n">
        <v>14</v>
      </c>
      <c r="E8392" s="10" t="n">
        <v>0.002017</v>
      </c>
      <c r="F8392" s="10" t="n">
        <v>0.3067110016106404</v>
      </c>
      <c r="G8392" s="11">
        <f>E8392*Summary!$B$6</f>
        <v/>
      </c>
      <c r="H8392" s="11">
        <f>F8392*Summary!$B$7</f>
        <v/>
      </c>
      <c r="I8392" s="11">
        <f>MAX(0,N8392-M8392)</f>
        <v/>
      </c>
      <c r="J8392" s="11">
        <f>MAX(0,M8392-N8392)</f>
        <v/>
      </c>
      <c r="K8392" s="11">
        <f>O8392</f>
        <v/>
      </c>
      <c r="L8392" s="11">
        <f>L8391+IF(K8392&gt;0,K8392*Summary!$B$9,K8392/Summary!$B$9)</f>
        <v/>
      </c>
      <c r="M8392" s="11">
        <f>G8392+H8392</f>
        <v/>
      </c>
      <c r="N8392" s="11">
        <f>Summary!$C$16*Summary!$B$8</f>
        <v/>
      </c>
      <c r="O8392" s="11">
        <f>M8392-N8392</f>
        <v/>
      </c>
    </row>
    <row r="8393">
      <c r="A8393" s="9" t="n">
        <v>45641.625</v>
      </c>
      <c r="B8393" t="n">
        <v>12</v>
      </c>
      <c r="C8393" t="n">
        <v>15</v>
      </c>
      <c r="D8393" t="n">
        <v>15</v>
      </c>
      <c r="E8393" s="10" t="n">
        <v>0</v>
      </c>
      <c r="F8393" s="10" t="n">
        <v>0.3189383325451998</v>
      </c>
      <c r="G8393" s="11">
        <f>E8393*Summary!$B$6</f>
        <v/>
      </c>
      <c r="H8393" s="11">
        <f>F8393*Summary!$B$7</f>
        <v/>
      </c>
      <c r="I8393" s="11">
        <f>MAX(0,N8393-M8393)</f>
        <v/>
      </c>
      <c r="J8393" s="11">
        <f>MAX(0,M8393-N8393)</f>
        <v/>
      </c>
      <c r="K8393" s="11">
        <f>O8393</f>
        <v/>
      </c>
      <c r="L8393" s="11">
        <f>L8392+IF(K8393&gt;0,K8393*Summary!$B$9,K8393/Summary!$B$9)</f>
        <v/>
      </c>
      <c r="M8393" s="11">
        <f>G8393+H8393</f>
        <v/>
      </c>
      <c r="N8393" s="11">
        <f>Summary!$C$16*Summary!$B$8</f>
        <v/>
      </c>
      <c r="O8393" s="11">
        <f>M8393-N8393</f>
        <v/>
      </c>
    </row>
    <row r="8394">
      <c r="A8394" s="9" t="n">
        <v>45641.66666666666</v>
      </c>
      <c r="B8394" t="n">
        <v>12</v>
      </c>
      <c r="C8394" t="n">
        <v>15</v>
      </c>
      <c r="D8394" t="n">
        <v>16</v>
      </c>
      <c r="E8394" s="10" t="n">
        <v>0</v>
      </c>
      <c r="F8394" s="10" t="n">
        <v>0.3333265279983667</v>
      </c>
      <c r="G8394" s="11">
        <f>E8394*Summary!$B$6</f>
        <v/>
      </c>
      <c r="H8394" s="11">
        <f>F8394*Summary!$B$7</f>
        <v/>
      </c>
      <c r="I8394" s="11">
        <f>MAX(0,N8394-M8394)</f>
        <v/>
      </c>
      <c r="J8394" s="11">
        <f>MAX(0,M8394-N8394)</f>
        <v/>
      </c>
      <c r="K8394" s="11">
        <f>O8394</f>
        <v/>
      </c>
      <c r="L8394" s="11">
        <f>L8393+IF(K8394&gt;0,K8394*Summary!$B$9,K8394/Summary!$B$9)</f>
        <v/>
      </c>
      <c r="M8394" s="11">
        <f>G8394+H8394</f>
        <v/>
      </c>
      <c r="N8394" s="11">
        <f>Summary!$C$16*Summary!$B$8</f>
        <v/>
      </c>
      <c r="O8394" s="11">
        <f>M8394-N8394</f>
        <v/>
      </c>
    </row>
    <row r="8395">
      <c r="A8395" s="9" t="n">
        <v>45641.70833333334</v>
      </c>
      <c r="B8395" t="n">
        <v>12</v>
      </c>
      <c r="C8395" t="n">
        <v>15</v>
      </c>
      <c r="D8395" t="n">
        <v>17</v>
      </c>
      <c r="E8395" s="10" t="n">
        <v>0</v>
      </c>
      <c r="F8395" s="10" t="n">
        <v>0.3463444191226606</v>
      </c>
      <c r="G8395" s="11">
        <f>E8395*Summary!$B$6</f>
        <v/>
      </c>
      <c r="H8395" s="11">
        <f>F8395*Summary!$B$7</f>
        <v/>
      </c>
      <c r="I8395" s="11">
        <f>MAX(0,N8395-M8395)</f>
        <v/>
      </c>
      <c r="J8395" s="11">
        <f>MAX(0,M8395-N8395)</f>
        <v/>
      </c>
      <c r="K8395" s="11">
        <f>O8395</f>
        <v/>
      </c>
      <c r="L8395" s="11">
        <f>L8394+IF(K8395&gt;0,K8395*Summary!$B$9,K8395/Summary!$B$9)</f>
        <v/>
      </c>
      <c r="M8395" s="11">
        <f>G8395+H8395</f>
        <v/>
      </c>
      <c r="N8395" s="11">
        <f>Summary!$C$16*Summary!$B$8</f>
        <v/>
      </c>
      <c r="O8395" s="11">
        <f>M8395-N8395</f>
        <v/>
      </c>
    </row>
    <row r="8396">
      <c r="A8396" s="9" t="n">
        <v>45641.75</v>
      </c>
      <c r="B8396" t="n">
        <v>12</v>
      </c>
      <c r="C8396" t="n">
        <v>15</v>
      </c>
      <c r="D8396" t="n">
        <v>18</v>
      </c>
      <c r="E8396" s="10" t="n">
        <v>0</v>
      </c>
      <c r="F8396" s="10" t="n">
        <v>0.3587035100888424</v>
      </c>
      <c r="G8396" s="11">
        <f>E8396*Summary!$B$6</f>
        <v/>
      </c>
      <c r="H8396" s="11">
        <f>F8396*Summary!$B$7</f>
        <v/>
      </c>
      <c r="I8396" s="11">
        <f>MAX(0,N8396-M8396)</f>
        <v/>
      </c>
      <c r="J8396" s="11">
        <f>MAX(0,M8396-N8396)</f>
        <v/>
      </c>
      <c r="K8396" s="11">
        <f>O8396</f>
        <v/>
      </c>
      <c r="L8396" s="11">
        <f>L8395+IF(K8396&gt;0,K8396*Summary!$B$9,K8396/Summary!$B$9)</f>
        <v/>
      </c>
      <c r="M8396" s="11">
        <f>G8396+H8396</f>
        <v/>
      </c>
      <c r="N8396" s="11">
        <f>Summary!$C$16*Summary!$B$8</f>
        <v/>
      </c>
      <c r="O8396" s="11">
        <f>M8396-N8396</f>
        <v/>
      </c>
    </row>
    <row r="8397">
      <c r="A8397" s="9" t="n">
        <v>45641.79166666666</v>
      </c>
      <c r="B8397" t="n">
        <v>12</v>
      </c>
      <c r="C8397" t="n">
        <v>15</v>
      </c>
      <c r="D8397" t="n">
        <v>19</v>
      </c>
      <c r="E8397" s="10" t="n">
        <v>0</v>
      </c>
      <c r="F8397" s="10" t="n">
        <v>0.3706409689538325</v>
      </c>
      <c r="G8397" s="11">
        <f>E8397*Summary!$B$6</f>
        <v/>
      </c>
      <c r="H8397" s="11">
        <f>F8397*Summary!$B$7</f>
        <v/>
      </c>
      <c r="I8397" s="11">
        <f>MAX(0,N8397-M8397)</f>
        <v/>
      </c>
      <c r="J8397" s="11">
        <f>MAX(0,M8397-N8397)</f>
        <v/>
      </c>
      <c r="K8397" s="11">
        <f>O8397</f>
        <v/>
      </c>
      <c r="L8397" s="11">
        <f>L8396+IF(K8397&gt;0,K8397*Summary!$B$9,K8397/Summary!$B$9)</f>
        <v/>
      </c>
      <c r="M8397" s="11">
        <f>G8397+H8397</f>
        <v/>
      </c>
      <c r="N8397" s="11">
        <f>Summary!$C$16*Summary!$B$8</f>
        <v/>
      </c>
      <c r="O8397" s="11">
        <f>M8397-N8397</f>
        <v/>
      </c>
    </row>
    <row r="8398">
      <c r="A8398" s="9" t="n">
        <v>45641.83333333334</v>
      </c>
      <c r="B8398" t="n">
        <v>12</v>
      </c>
      <c r="C8398" t="n">
        <v>15</v>
      </c>
      <c r="D8398" t="n">
        <v>20</v>
      </c>
      <c r="E8398" s="10" t="n">
        <v>0</v>
      </c>
      <c r="F8398" s="10" t="n">
        <v>0.380022283205348</v>
      </c>
      <c r="G8398" s="11">
        <f>E8398*Summary!$B$6</f>
        <v/>
      </c>
      <c r="H8398" s="11">
        <f>F8398*Summary!$B$7</f>
        <v/>
      </c>
      <c r="I8398" s="11">
        <f>MAX(0,N8398-M8398)</f>
        <v/>
      </c>
      <c r="J8398" s="11">
        <f>MAX(0,M8398-N8398)</f>
        <v/>
      </c>
      <c r="K8398" s="11">
        <f>O8398</f>
        <v/>
      </c>
      <c r="L8398" s="11">
        <f>L8397+IF(K8398&gt;0,K8398*Summary!$B$9,K8398/Summary!$B$9)</f>
        <v/>
      </c>
      <c r="M8398" s="11">
        <f>G8398+H8398</f>
        <v/>
      </c>
      <c r="N8398" s="11">
        <f>Summary!$C$16*Summary!$B$8</f>
        <v/>
      </c>
      <c r="O8398" s="11">
        <f>M8398-N8398</f>
        <v/>
      </c>
    </row>
    <row r="8399">
      <c r="A8399" s="9" t="n">
        <v>45641.875</v>
      </c>
      <c r="B8399" t="n">
        <v>12</v>
      </c>
      <c r="C8399" t="n">
        <v>15</v>
      </c>
      <c r="D8399" t="n">
        <v>21</v>
      </c>
      <c r="E8399" s="10" t="n">
        <v>0</v>
      </c>
      <c r="F8399" s="10" t="n">
        <v>0.385767020584085</v>
      </c>
      <c r="G8399" s="11">
        <f>E8399*Summary!$B$6</f>
        <v/>
      </c>
      <c r="H8399" s="11">
        <f>F8399*Summary!$B$7</f>
        <v/>
      </c>
      <c r="I8399" s="11">
        <f>MAX(0,N8399-M8399)</f>
        <v/>
      </c>
      <c r="J8399" s="11">
        <f>MAX(0,M8399-N8399)</f>
        <v/>
      </c>
      <c r="K8399" s="11">
        <f>O8399</f>
        <v/>
      </c>
      <c r="L8399" s="11">
        <f>L8398+IF(K8399&gt;0,K8399*Summary!$B$9,K8399/Summary!$B$9)</f>
        <v/>
      </c>
      <c r="M8399" s="11">
        <f>G8399+H8399</f>
        <v/>
      </c>
      <c r="N8399" s="11">
        <f>Summary!$C$16*Summary!$B$8</f>
        <v/>
      </c>
      <c r="O8399" s="11">
        <f>M8399-N8399</f>
        <v/>
      </c>
    </row>
    <row r="8400">
      <c r="A8400" s="9" t="n">
        <v>45641.91666666666</v>
      </c>
      <c r="B8400" t="n">
        <v>12</v>
      </c>
      <c r="C8400" t="n">
        <v>15</v>
      </c>
      <c r="D8400" t="n">
        <v>22</v>
      </c>
      <c r="E8400" s="10" t="n">
        <v>0</v>
      </c>
      <c r="F8400" s="10" t="n">
        <v>0.3926712462410991</v>
      </c>
      <c r="G8400" s="11">
        <f>E8400*Summary!$B$6</f>
        <v/>
      </c>
      <c r="H8400" s="11">
        <f>F8400*Summary!$B$7</f>
        <v/>
      </c>
      <c r="I8400" s="11">
        <f>MAX(0,N8400-M8400)</f>
        <v/>
      </c>
      <c r="J8400" s="11">
        <f>MAX(0,M8400-N8400)</f>
        <v/>
      </c>
      <c r="K8400" s="11">
        <f>O8400</f>
        <v/>
      </c>
      <c r="L8400" s="11">
        <f>L8399+IF(K8400&gt;0,K8400*Summary!$B$9,K8400/Summary!$B$9)</f>
        <v/>
      </c>
      <c r="M8400" s="11">
        <f>G8400+H8400</f>
        <v/>
      </c>
      <c r="N8400" s="11">
        <f>Summary!$C$16*Summary!$B$8</f>
        <v/>
      </c>
      <c r="O8400" s="11">
        <f>M8400-N8400</f>
        <v/>
      </c>
    </row>
    <row r="8401">
      <c r="A8401" s="9" t="n">
        <v>45641.95833333334</v>
      </c>
      <c r="B8401" t="n">
        <v>12</v>
      </c>
      <c r="C8401" t="n">
        <v>15</v>
      </c>
      <c r="D8401" t="n">
        <v>23</v>
      </c>
      <c r="E8401" s="10" t="n">
        <v>0</v>
      </c>
      <c r="F8401" s="10" t="n">
        <v>0.4183117483948195</v>
      </c>
      <c r="G8401" s="11">
        <f>E8401*Summary!$B$6</f>
        <v/>
      </c>
      <c r="H8401" s="11">
        <f>F8401*Summary!$B$7</f>
        <v/>
      </c>
      <c r="I8401" s="11">
        <f>MAX(0,N8401-M8401)</f>
        <v/>
      </c>
      <c r="J8401" s="11">
        <f>MAX(0,M8401-N8401)</f>
        <v/>
      </c>
      <c r="K8401" s="11">
        <f>O8401</f>
        <v/>
      </c>
      <c r="L8401" s="11">
        <f>L8400+IF(K8401&gt;0,K8401*Summary!$B$9,K8401/Summary!$B$9)</f>
        <v/>
      </c>
      <c r="M8401" s="11">
        <f>G8401+H8401</f>
        <v/>
      </c>
      <c r="N8401" s="11">
        <f>Summary!$C$16*Summary!$B$8</f>
        <v/>
      </c>
      <c r="O8401" s="11">
        <f>M8401-N8401</f>
        <v/>
      </c>
    </row>
    <row r="8402">
      <c r="A8402" s="9" t="n">
        <v>45642</v>
      </c>
      <c r="B8402" t="n">
        <v>12</v>
      </c>
      <c r="C8402" t="n">
        <v>16</v>
      </c>
      <c r="D8402" t="n">
        <v>0</v>
      </c>
      <c r="E8402" s="10" t="n">
        <v>0</v>
      </c>
      <c r="F8402" s="10" t="n">
        <v>0.4267707424249782</v>
      </c>
      <c r="G8402" s="11">
        <f>E8402*Summary!$B$6</f>
        <v/>
      </c>
      <c r="H8402" s="11">
        <f>F8402*Summary!$B$7</f>
        <v/>
      </c>
      <c r="I8402" s="11">
        <f>MAX(0,N8402-M8402)</f>
        <v/>
      </c>
      <c r="J8402" s="11">
        <f>MAX(0,M8402-N8402)</f>
        <v/>
      </c>
      <c r="K8402" s="11">
        <f>O8402</f>
        <v/>
      </c>
      <c r="L8402" s="11">
        <f>L8401+IF(K8402&gt;0,K8402*Summary!$B$9,K8402/Summary!$B$9)</f>
        <v/>
      </c>
      <c r="M8402" s="11">
        <f>G8402+H8402</f>
        <v/>
      </c>
      <c r="N8402" s="11">
        <f>Summary!$C$16*Summary!$B$8</f>
        <v/>
      </c>
      <c r="O8402" s="11">
        <f>M8402-N8402</f>
        <v/>
      </c>
    </row>
    <row r="8403">
      <c r="A8403" s="9" t="n">
        <v>45642.04166666666</v>
      </c>
      <c r="B8403" t="n">
        <v>12</v>
      </c>
      <c r="C8403" t="n">
        <v>16</v>
      </c>
      <c r="D8403" t="n">
        <v>1</v>
      </c>
      <c r="E8403" s="10" t="n">
        <v>0</v>
      </c>
      <c r="F8403" s="10" t="n">
        <v>0.4046087051060892</v>
      </c>
      <c r="G8403" s="11">
        <f>E8403*Summary!$B$6</f>
        <v/>
      </c>
      <c r="H8403" s="11">
        <f>F8403*Summary!$B$7</f>
        <v/>
      </c>
      <c r="I8403" s="11">
        <f>MAX(0,N8403-M8403)</f>
        <v/>
      </c>
      <c r="J8403" s="11">
        <f>MAX(0,M8403-N8403)</f>
        <v/>
      </c>
      <c r="K8403" s="11">
        <f>O8403</f>
        <v/>
      </c>
      <c r="L8403" s="11">
        <f>L8402+IF(K8403&gt;0,K8403*Summary!$B$9,K8403/Summary!$B$9)</f>
        <v/>
      </c>
      <c r="M8403" s="11">
        <f>G8403+H8403</f>
        <v/>
      </c>
      <c r="N8403" s="11">
        <f>Summary!$C$16*Summary!$B$8</f>
        <v/>
      </c>
      <c r="O8403" s="11">
        <f>M8403-N8403</f>
        <v/>
      </c>
    </row>
    <row r="8404">
      <c r="A8404" s="9" t="n">
        <v>45642.08333333334</v>
      </c>
      <c r="B8404" t="n">
        <v>12</v>
      </c>
      <c r="C8404" t="n">
        <v>16</v>
      </c>
      <c r="D8404" t="n">
        <v>2</v>
      </c>
      <c r="E8404" s="10" t="n">
        <v>0</v>
      </c>
      <c r="F8404" s="10" t="n">
        <v>0.4063215855171806</v>
      </c>
      <c r="G8404" s="11">
        <f>E8404*Summary!$B$6</f>
        <v/>
      </c>
      <c r="H8404" s="11">
        <f>F8404*Summary!$B$7</f>
        <v/>
      </c>
      <c r="I8404" s="11">
        <f>MAX(0,N8404-M8404)</f>
        <v/>
      </c>
      <c r="J8404" s="11">
        <f>MAX(0,M8404-N8404)</f>
        <v/>
      </c>
      <c r="K8404" s="11">
        <f>O8404</f>
        <v/>
      </c>
      <c r="L8404" s="11">
        <f>L8403+IF(K8404&gt;0,K8404*Summary!$B$9,K8404/Summary!$B$9)</f>
        <v/>
      </c>
      <c r="M8404" s="11">
        <f>G8404+H8404</f>
        <v/>
      </c>
      <c r="N8404" s="11">
        <f>Summary!$C$16*Summary!$B$8</f>
        <v/>
      </c>
      <c r="O8404" s="11">
        <f>M8404-N8404</f>
        <v/>
      </c>
    </row>
    <row r="8405">
      <c r="A8405" s="9" t="n">
        <v>45642.125</v>
      </c>
      <c r="B8405" t="n">
        <v>12</v>
      </c>
      <c r="C8405" t="n">
        <v>16</v>
      </c>
      <c r="D8405" t="n">
        <v>3</v>
      </c>
      <c r="E8405" s="10" t="n">
        <v>0</v>
      </c>
      <c r="F8405" s="10" t="n">
        <v>0.4191286605908785</v>
      </c>
      <c r="G8405" s="11">
        <f>E8405*Summary!$B$6</f>
        <v/>
      </c>
      <c r="H8405" s="11">
        <f>F8405*Summary!$B$7</f>
        <v/>
      </c>
      <c r="I8405" s="11">
        <f>MAX(0,N8405-M8405)</f>
        <v/>
      </c>
      <c r="J8405" s="11">
        <f>MAX(0,M8405-N8405)</f>
        <v/>
      </c>
      <c r="K8405" s="11">
        <f>O8405</f>
        <v/>
      </c>
      <c r="L8405" s="11">
        <f>L8404+IF(K8405&gt;0,K8405*Summary!$B$9,K8405/Summary!$B$9)</f>
        <v/>
      </c>
      <c r="M8405" s="11">
        <f>G8405+H8405</f>
        <v/>
      </c>
      <c r="N8405" s="11">
        <f>Summary!$C$16*Summary!$B$8</f>
        <v/>
      </c>
      <c r="O8405" s="11">
        <f>M8405-N8405</f>
        <v/>
      </c>
    </row>
    <row r="8406">
      <c r="A8406" s="9" t="n">
        <v>45642.16666666666</v>
      </c>
      <c r="B8406" t="n">
        <v>12</v>
      </c>
      <c r="C8406" t="n">
        <v>16</v>
      </c>
      <c r="D8406" t="n">
        <v>4</v>
      </c>
      <c r="E8406" s="10" t="n">
        <v>0</v>
      </c>
      <c r="F8406" s="10" t="n">
        <v>0.4252159740518338</v>
      </c>
      <c r="G8406" s="11">
        <f>E8406*Summary!$B$6</f>
        <v/>
      </c>
      <c r="H8406" s="11">
        <f>F8406*Summary!$B$7</f>
        <v/>
      </c>
      <c r="I8406" s="11">
        <f>MAX(0,N8406-M8406)</f>
        <v/>
      </c>
      <c r="J8406" s="11">
        <f>MAX(0,M8406-N8406)</f>
        <v/>
      </c>
      <c r="K8406" s="11">
        <f>O8406</f>
        <v/>
      </c>
      <c r="L8406" s="11">
        <f>L8405+IF(K8406&gt;0,K8406*Summary!$B$9,K8406/Summary!$B$9)</f>
        <v/>
      </c>
      <c r="M8406" s="11">
        <f>G8406+H8406</f>
        <v/>
      </c>
      <c r="N8406" s="11">
        <f>Summary!$C$16*Summary!$B$8</f>
        <v/>
      </c>
      <c r="O8406" s="11">
        <f>M8406-N8406</f>
        <v/>
      </c>
    </row>
    <row r="8407">
      <c r="A8407" s="9" t="n">
        <v>45642.20833333334</v>
      </c>
      <c r="B8407" t="n">
        <v>12</v>
      </c>
      <c r="C8407" t="n">
        <v>16</v>
      </c>
      <c r="D8407" t="n">
        <v>5</v>
      </c>
      <c r="E8407" s="10" t="n">
        <v>0</v>
      </c>
      <c r="F8407" s="10" t="n">
        <v>0.4337540241009658</v>
      </c>
      <c r="G8407" s="11">
        <f>E8407*Summary!$B$6</f>
        <v/>
      </c>
      <c r="H8407" s="11">
        <f>F8407*Summary!$B$7</f>
        <v/>
      </c>
      <c r="I8407" s="11">
        <f>MAX(0,N8407-M8407)</f>
        <v/>
      </c>
      <c r="J8407" s="11">
        <f>MAX(0,M8407-N8407)</f>
        <v/>
      </c>
      <c r="K8407" s="11">
        <f>O8407</f>
        <v/>
      </c>
      <c r="L8407" s="11">
        <f>L8406+IF(K8407&gt;0,K8407*Summary!$B$9,K8407/Summary!$B$9)</f>
        <v/>
      </c>
      <c r="M8407" s="11">
        <f>G8407+H8407</f>
        <v/>
      </c>
      <c r="N8407" s="11">
        <f>Summary!$C$16*Summary!$B$8</f>
        <v/>
      </c>
      <c r="O8407" s="11">
        <f>M8407-N8407</f>
        <v/>
      </c>
    </row>
    <row r="8408">
      <c r="A8408" s="9" t="n">
        <v>45642.25</v>
      </c>
      <c r="B8408" t="n">
        <v>12</v>
      </c>
      <c r="C8408" t="n">
        <v>16</v>
      </c>
      <c r="D8408" t="n">
        <v>6</v>
      </c>
      <c r="E8408" s="10" t="n">
        <v>0</v>
      </c>
      <c r="F8408" s="10" t="n">
        <v>0.438471033233048</v>
      </c>
      <c r="G8408" s="11">
        <f>E8408*Summary!$B$6</f>
        <v/>
      </c>
      <c r="H8408" s="11">
        <f>F8408*Summary!$B$7</f>
        <v/>
      </c>
      <c r="I8408" s="11">
        <f>MAX(0,N8408-M8408)</f>
        <v/>
      </c>
      <c r="J8408" s="11">
        <f>MAX(0,M8408-N8408)</f>
        <v/>
      </c>
      <c r="K8408" s="11">
        <f>O8408</f>
        <v/>
      </c>
      <c r="L8408" s="11">
        <f>L8407+IF(K8408&gt;0,K8408*Summary!$B$9,K8408/Summary!$B$9)</f>
        <v/>
      </c>
      <c r="M8408" s="11">
        <f>G8408+H8408</f>
        <v/>
      </c>
      <c r="N8408" s="11">
        <f>Summary!$C$16*Summary!$B$8</f>
        <v/>
      </c>
      <c r="O8408" s="11">
        <f>M8408-N8408</f>
        <v/>
      </c>
    </row>
    <row r="8409">
      <c r="A8409" s="9" t="n">
        <v>45642.29166666666</v>
      </c>
      <c r="B8409" t="n">
        <v>12</v>
      </c>
      <c r="C8409" t="n">
        <v>16</v>
      </c>
      <c r="D8409" t="n">
        <v>7</v>
      </c>
      <c r="E8409" s="10" t="n">
        <v>0</v>
      </c>
      <c r="F8409" s="10" t="n">
        <v>0.4423974821753957</v>
      </c>
      <c r="G8409" s="11">
        <f>E8409*Summary!$B$6</f>
        <v/>
      </c>
      <c r="H8409" s="11">
        <f>F8409*Summary!$B$7</f>
        <v/>
      </c>
      <c r="I8409" s="11">
        <f>MAX(0,N8409-M8409)</f>
        <v/>
      </c>
      <c r="J8409" s="11">
        <f>MAX(0,M8409-N8409)</f>
        <v/>
      </c>
      <c r="K8409" s="11">
        <f>O8409</f>
        <v/>
      </c>
      <c r="L8409" s="11">
        <f>L8408+IF(K8409&gt;0,K8409*Summary!$B$9,K8409/Summary!$B$9)</f>
        <v/>
      </c>
      <c r="M8409" s="11">
        <f>G8409+H8409</f>
        <v/>
      </c>
      <c r="N8409" s="11">
        <f>Summary!$C$16*Summary!$B$8</f>
        <v/>
      </c>
      <c r="O8409" s="11">
        <f>M8409-N8409</f>
        <v/>
      </c>
    </row>
    <row r="8410">
      <c r="A8410" s="9" t="n">
        <v>45642.33333333334</v>
      </c>
      <c r="B8410" t="n">
        <v>12</v>
      </c>
      <c r="C8410" t="n">
        <v>16</v>
      </c>
      <c r="D8410" t="n">
        <v>8</v>
      </c>
      <c r="E8410" s="10" t="n">
        <v>0</v>
      </c>
      <c r="F8410" s="10" t="n">
        <v>0.4417386820172837</v>
      </c>
      <c r="G8410" s="11">
        <f>E8410*Summary!$B$6</f>
        <v/>
      </c>
      <c r="H8410" s="11">
        <f>F8410*Summary!$B$7</f>
        <v/>
      </c>
      <c r="I8410" s="11">
        <f>MAX(0,N8410-M8410)</f>
        <v/>
      </c>
      <c r="J8410" s="11">
        <f>MAX(0,M8410-N8410)</f>
        <v/>
      </c>
      <c r="K8410" s="11">
        <f>O8410</f>
        <v/>
      </c>
      <c r="L8410" s="11">
        <f>L8409+IF(K8410&gt;0,K8410*Summary!$B$9,K8410/Summary!$B$9)</f>
        <v/>
      </c>
      <c r="M8410" s="11">
        <f>G8410+H8410</f>
        <v/>
      </c>
      <c r="N8410" s="11">
        <f>Summary!$C$16*Summary!$B$8</f>
        <v/>
      </c>
      <c r="O8410" s="11">
        <f>M8410-N8410</f>
        <v/>
      </c>
    </row>
    <row r="8411">
      <c r="A8411" s="9" t="n">
        <v>45642.375</v>
      </c>
      <c r="B8411" t="n">
        <v>12</v>
      </c>
      <c r="C8411" t="n">
        <v>16</v>
      </c>
      <c r="D8411" t="n">
        <v>9</v>
      </c>
      <c r="E8411" s="10" t="n">
        <v>0.002511</v>
      </c>
      <c r="F8411" s="10" t="n">
        <v>0.4453225548774131</v>
      </c>
      <c r="G8411" s="11">
        <f>E8411*Summary!$B$6</f>
        <v/>
      </c>
      <c r="H8411" s="11">
        <f>F8411*Summary!$B$7</f>
        <v/>
      </c>
      <c r="I8411" s="11">
        <f>MAX(0,N8411-M8411)</f>
        <v/>
      </c>
      <c r="J8411" s="11">
        <f>MAX(0,M8411-N8411)</f>
        <v/>
      </c>
      <c r="K8411" s="11">
        <f>O8411</f>
        <v/>
      </c>
      <c r="L8411" s="11">
        <f>L8410+IF(K8411&gt;0,K8411*Summary!$B$9,K8411/Summary!$B$9)</f>
        <v/>
      </c>
      <c r="M8411" s="11">
        <f>G8411+H8411</f>
        <v/>
      </c>
      <c r="N8411" s="11">
        <f>Summary!$C$16*Summary!$B$8</f>
        <v/>
      </c>
      <c r="O8411" s="11">
        <f>M8411-N8411</f>
        <v/>
      </c>
    </row>
    <row r="8412">
      <c r="A8412" s="9" t="n">
        <v>45642.41666666666</v>
      </c>
      <c r="B8412" t="n">
        <v>12</v>
      </c>
      <c r="C8412" t="n">
        <v>16</v>
      </c>
      <c r="D8412" t="n">
        <v>10</v>
      </c>
      <c r="E8412" s="10" t="n">
        <v>0.011331</v>
      </c>
      <c r="F8412" s="10" t="n">
        <v>0.4420549060931775</v>
      </c>
      <c r="G8412" s="11">
        <f>E8412*Summary!$B$6</f>
        <v/>
      </c>
      <c r="H8412" s="11">
        <f>F8412*Summary!$B$7</f>
        <v/>
      </c>
      <c r="I8412" s="11">
        <f>MAX(0,N8412-M8412)</f>
        <v/>
      </c>
      <c r="J8412" s="11">
        <f>MAX(0,M8412-N8412)</f>
        <v/>
      </c>
      <c r="K8412" s="11">
        <f>O8412</f>
        <v/>
      </c>
      <c r="L8412" s="11">
        <f>L8411+IF(K8412&gt;0,K8412*Summary!$B$9,K8412/Summary!$B$9)</f>
        <v/>
      </c>
      <c r="M8412" s="11">
        <f>G8412+H8412</f>
        <v/>
      </c>
      <c r="N8412" s="11">
        <f>Summary!$C$16*Summary!$B$8</f>
        <v/>
      </c>
      <c r="O8412" s="11">
        <f>M8412-N8412</f>
        <v/>
      </c>
    </row>
    <row r="8413">
      <c r="A8413" s="9" t="n">
        <v>45642.45833333334</v>
      </c>
      <c r="B8413" t="n">
        <v>12</v>
      </c>
      <c r="C8413" t="n">
        <v>16</v>
      </c>
      <c r="D8413" t="n">
        <v>11</v>
      </c>
      <c r="E8413" s="10" t="n">
        <v>0.018025</v>
      </c>
      <c r="F8413" s="10" t="n">
        <v>0.4395514654923517</v>
      </c>
      <c r="G8413" s="11">
        <f>E8413*Summary!$B$6</f>
        <v/>
      </c>
      <c r="H8413" s="11">
        <f>F8413*Summary!$B$7</f>
        <v/>
      </c>
      <c r="I8413" s="11">
        <f>MAX(0,N8413-M8413)</f>
        <v/>
      </c>
      <c r="J8413" s="11">
        <f>MAX(0,M8413-N8413)</f>
        <v/>
      </c>
      <c r="K8413" s="11">
        <f>O8413</f>
        <v/>
      </c>
      <c r="L8413" s="11">
        <f>L8412+IF(K8413&gt;0,K8413*Summary!$B$9,K8413/Summary!$B$9)</f>
        <v/>
      </c>
      <c r="M8413" s="11">
        <f>G8413+H8413</f>
        <v/>
      </c>
      <c r="N8413" s="11">
        <f>Summary!$C$16*Summary!$B$8</f>
        <v/>
      </c>
      <c r="O8413" s="11">
        <f>M8413-N8413</f>
        <v/>
      </c>
    </row>
    <row r="8414">
      <c r="A8414" s="9" t="n">
        <v>45642.5</v>
      </c>
      <c r="B8414" t="n">
        <v>12</v>
      </c>
      <c r="C8414" t="n">
        <v>16</v>
      </c>
      <c r="D8414" t="n">
        <v>12</v>
      </c>
      <c r="E8414" s="10" t="n">
        <v>0.006112</v>
      </c>
      <c r="F8414" s="10" t="n">
        <v>0.4375487130116911</v>
      </c>
      <c r="G8414" s="11">
        <f>E8414*Summary!$B$6</f>
        <v/>
      </c>
      <c r="H8414" s="11">
        <f>F8414*Summary!$B$7</f>
        <v/>
      </c>
      <c r="I8414" s="11">
        <f>MAX(0,N8414-M8414)</f>
        <v/>
      </c>
      <c r="J8414" s="11">
        <f>MAX(0,M8414-N8414)</f>
        <v/>
      </c>
      <c r="K8414" s="11">
        <f>O8414</f>
        <v/>
      </c>
      <c r="L8414" s="11">
        <f>L8413+IF(K8414&gt;0,K8414*Summary!$B$9,K8414/Summary!$B$9)</f>
        <v/>
      </c>
      <c r="M8414" s="11">
        <f>G8414+H8414</f>
        <v/>
      </c>
      <c r="N8414" s="11">
        <f>Summary!$C$16*Summary!$B$8</f>
        <v/>
      </c>
      <c r="O8414" s="11">
        <f>M8414-N8414</f>
        <v/>
      </c>
    </row>
    <row r="8415">
      <c r="A8415" s="9" t="n">
        <v>45642.54166666666</v>
      </c>
      <c r="B8415" t="n">
        <v>12</v>
      </c>
      <c r="C8415" t="n">
        <v>16</v>
      </c>
      <c r="D8415" t="n">
        <v>13</v>
      </c>
      <c r="E8415" s="10" t="n">
        <v>0.004555</v>
      </c>
      <c r="F8415" s="10" t="n">
        <v>0.4407636577832779</v>
      </c>
      <c r="G8415" s="11">
        <f>E8415*Summary!$B$6</f>
        <v/>
      </c>
      <c r="H8415" s="11">
        <f>F8415*Summary!$B$7</f>
        <v/>
      </c>
      <c r="I8415" s="11">
        <f>MAX(0,N8415-M8415)</f>
        <v/>
      </c>
      <c r="J8415" s="11">
        <f>MAX(0,M8415-N8415)</f>
        <v/>
      </c>
      <c r="K8415" s="11">
        <f>O8415</f>
        <v/>
      </c>
      <c r="L8415" s="11">
        <f>L8414+IF(K8415&gt;0,K8415*Summary!$B$9,K8415/Summary!$B$9)</f>
        <v/>
      </c>
      <c r="M8415" s="11">
        <f>G8415+H8415</f>
        <v/>
      </c>
      <c r="N8415" s="11">
        <f>Summary!$C$16*Summary!$B$8</f>
        <v/>
      </c>
      <c r="O8415" s="11">
        <f>M8415-N8415</f>
        <v/>
      </c>
    </row>
    <row r="8416">
      <c r="A8416" s="9" t="n">
        <v>45642.58333333334</v>
      </c>
      <c r="B8416" t="n">
        <v>12</v>
      </c>
      <c r="C8416" t="n">
        <v>16</v>
      </c>
      <c r="D8416" t="n">
        <v>14</v>
      </c>
      <c r="E8416" s="10" t="n">
        <v>0</v>
      </c>
      <c r="F8416" s="10" t="n">
        <v>0.445533370928009</v>
      </c>
      <c r="G8416" s="11">
        <f>E8416*Summary!$B$6</f>
        <v/>
      </c>
      <c r="H8416" s="11">
        <f>F8416*Summary!$B$7</f>
        <v/>
      </c>
      <c r="I8416" s="11">
        <f>MAX(0,N8416-M8416)</f>
        <v/>
      </c>
      <c r="J8416" s="11">
        <f>MAX(0,M8416-N8416)</f>
        <v/>
      </c>
      <c r="K8416" s="11">
        <f>O8416</f>
        <v/>
      </c>
      <c r="L8416" s="11">
        <f>L8415+IF(K8416&gt;0,K8416*Summary!$B$9,K8416/Summary!$B$9)</f>
        <v/>
      </c>
      <c r="M8416" s="11">
        <f>G8416+H8416</f>
        <v/>
      </c>
      <c r="N8416" s="11">
        <f>Summary!$C$16*Summary!$B$8</f>
        <v/>
      </c>
      <c r="O8416" s="11">
        <f>M8416-N8416</f>
        <v/>
      </c>
    </row>
    <row r="8417">
      <c r="A8417" s="9" t="n">
        <v>45642.625</v>
      </c>
      <c r="B8417" t="n">
        <v>12</v>
      </c>
      <c r="C8417" t="n">
        <v>16</v>
      </c>
      <c r="D8417" t="n">
        <v>15</v>
      </c>
      <c r="E8417" s="10" t="n">
        <v>0</v>
      </c>
      <c r="F8417" s="10" t="n">
        <v>0.4516206843889642</v>
      </c>
      <c r="G8417" s="11">
        <f>E8417*Summary!$B$6</f>
        <v/>
      </c>
      <c r="H8417" s="11">
        <f>F8417*Summary!$B$7</f>
        <v/>
      </c>
      <c r="I8417" s="11">
        <f>MAX(0,N8417-M8417)</f>
        <v/>
      </c>
      <c r="J8417" s="11">
        <f>MAX(0,M8417-N8417)</f>
        <v/>
      </c>
      <c r="K8417" s="11">
        <f>O8417</f>
        <v/>
      </c>
      <c r="L8417" s="11">
        <f>L8416+IF(K8417&gt;0,K8417*Summary!$B$9,K8417/Summary!$B$9)</f>
        <v/>
      </c>
      <c r="M8417" s="11">
        <f>G8417+H8417</f>
        <v/>
      </c>
      <c r="N8417" s="11">
        <f>Summary!$C$16*Summary!$B$8</f>
        <v/>
      </c>
      <c r="O8417" s="11">
        <f>M8417-N8417</f>
        <v/>
      </c>
    </row>
    <row r="8418">
      <c r="A8418" s="9" t="n">
        <v>45642.66666666666</v>
      </c>
      <c r="B8418" t="n">
        <v>12</v>
      </c>
      <c r="C8418" t="n">
        <v>16</v>
      </c>
      <c r="D8418" t="n">
        <v>16</v>
      </c>
      <c r="E8418" s="10" t="n">
        <v>0</v>
      </c>
      <c r="F8418" s="10" t="n">
        <v>0.4581032779447867</v>
      </c>
      <c r="G8418" s="11">
        <f>E8418*Summary!$B$6</f>
        <v/>
      </c>
      <c r="H8418" s="11">
        <f>F8418*Summary!$B$7</f>
        <v/>
      </c>
      <c r="I8418" s="11">
        <f>MAX(0,N8418-M8418)</f>
        <v/>
      </c>
      <c r="J8418" s="11">
        <f>MAX(0,M8418-N8418)</f>
        <v/>
      </c>
      <c r="K8418" s="11">
        <f>O8418</f>
        <v/>
      </c>
      <c r="L8418" s="11">
        <f>L8417+IF(K8418&gt;0,K8418*Summary!$B$9,K8418/Summary!$B$9)</f>
        <v/>
      </c>
      <c r="M8418" s="11">
        <f>G8418+H8418</f>
        <v/>
      </c>
      <c r="N8418" s="11">
        <f>Summary!$C$16*Summary!$B$8</f>
        <v/>
      </c>
      <c r="O8418" s="11">
        <f>M8418-N8418</f>
        <v/>
      </c>
    </row>
    <row r="8419">
      <c r="A8419" s="9" t="n">
        <v>45642.70833333334</v>
      </c>
      <c r="B8419" t="n">
        <v>12</v>
      </c>
      <c r="C8419" t="n">
        <v>16</v>
      </c>
      <c r="D8419" t="n">
        <v>17</v>
      </c>
      <c r="E8419" s="10" t="n">
        <v>0</v>
      </c>
      <c r="F8419" s="10" t="n">
        <v>0.4637162552919013</v>
      </c>
      <c r="G8419" s="11">
        <f>E8419*Summary!$B$6</f>
        <v/>
      </c>
      <c r="H8419" s="11">
        <f>F8419*Summary!$B$7</f>
        <v/>
      </c>
      <c r="I8419" s="11">
        <f>MAX(0,N8419-M8419)</f>
        <v/>
      </c>
      <c r="J8419" s="11">
        <f>MAX(0,M8419-N8419)</f>
        <v/>
      </c>
      <c r="K8419" s="11">
        <f>O8419</f>
        <v/>
      </c>
      <c r="L8419" s="11">
        <f>L8418+IF(K8419&gt;0,K8419*Summary!$B$9,K8419/Summary!$B$9)</f>
        <v/>
      </c>
      <c r="M8419" s="11">
        <f>G8419+H8419</f>
        <v/>
      </c>
      <c r="N8419" s="11">
        <f>Summary!$C$16*Summary!$B$8</f>
        <v/>
      </c>
      <c r="O8419" s="11">
        <f>M8419-N8419</f>
        <v/>
      </c>
    </row>
    <row r="8420">
      <c r="A8420" s="9" t="n">
        <v>45642.75</v>
      </c>
      <c r="B8420" t="n">
        <v>12</v>
      </c>
      <c r="C8420" t="n">
        <v>16</v>
      </c>
      <c r="D8420" t="n">
        <v>18</v>
      </c>
      <c r="E8420" s="10" t="n">
        <v>0</v>
      </c>
      <c r="F8420" s="10" t="n">
        <v>0.4640588313741195</v>
      </c>
      <c r="G8420" s="11">
        <f>E8420*Summary!$B$6</f>
        <v/>
      </c>
      <c r="H8420" s="11">
        <f>F8420*Summary!$B$7</f>
        <v/>
      </c>
      <c r="I8420" s="11">
        <f>MAX(0,N8420-M8420)</f>
        <v/>
      </c>
      <c r="J8420" s="11">
        <f>MAX(0,M8420-N8420)</f>
        <v/>
      </c>
      <c r="K8420" s="11">
        <f>O8420</f>
        <v/>
      </c>
      <c r="L8420" s="11">
        <f>L8419+IF(K8420&gt;0,K8420*Summary!$B$9,K8420/Summary!$B$9)</f>
        <v/>
      </c>
      <c r="M8420" s="11">
        <f>G8420+H8420</f>
        <v/>
      </c>
      <c r="N8420" s="11">
        <f>Summary!$C$16*Summary!$B$8</f>
        <v/>
      </c>
      <c r="O8420" s="11">
        <f>M8420-N8420</f>
        <v/>
      </c>
    </row>
    <row r="8421">
      <c r="A8421" s="9" t="n">
        <v>45642.79166666666</v>
      </c>
      <c r="B8421" t="n">
        <v>12</v>
      </c>
      <c r="C8421" t="n">
        <v>16</v>
      </c>
      <c r="D8421" t="n">
        <v>19</v>
      </c>
      <c r="E8421" s="10" t="n">
        <v>0</v>
      </c>
      <c r="F8421" s="10" t="n">
        <v>0.4621351349124324</v>
      </c>
      <c r="G8421" s="11">
        <f>E8421*Summary!$B$6</f>
        <v/>
      </c>
      <c r="H8421" s="11">
        <f>F8421*Summary!$B$7</f>
        <v/>
      </c>
      <c r="I8421" s="11">
        <f>MAX(0,N8421-M8421)</f>
        <v/>
      </c>
      <c r="J8421" s="11">
        <f>MAX(0,M8421-N8421)</f>
        <v/>
      </c>
      <c r="K8421" s="11">
        <f>O8421</f>
        <v/>
      </c>
      <c r="L8421" s="11">
        <f>L8420+IF(K8421&gt;0,K8421*Summary!$B$9,K8421/Summary!$B$9)</f>
        <v/>
      </c>
      <c r="M8421" s="11">
        <f>G8421+H8421</f>
        <v/>
      </c>
      <c r="N8421" s="11">
        <f>Summary!$C$16*Summary!$B$8</f>
        <v/>
      </c>
      <c r="O8421" s="11">
        <f>M8421-N8421</f>
        <v/>
      </c>
    </row>
    <row r="8422">
      <c r="A8422" s="9" t="n">
        <v>45642.83333333334</v>
      </c>
      <c r="B8422" t="n">
        <v>12</v>
      </c>
      <c r="C8422" t="n">
        <v>16</v>
      </c>
      <c r="D8422" t="n">
        <v>20</v>
      </c>
      <c r="E8422" s="10" t="n">
        <v>0</v>
      </c>
      <c r="F8422" s="10" t="n">
        <v>0.4942318786156509</v>
      </c>
      <c r="G8422" s="11">
        <f>E8422*Summary!$B$6</f>
        <v/>
      </c>
      <c r="H8422" s="11">
        <f>F8422*Summary!$B$7</f>
        <v/>
      </c>
      <c r="I8422" s="11">
        <f>MAX(0,N8422-M8422)</f>
        <v/>
      </c>
      <c r="J8422" s="11">
        <f>MAX(0,M8422-N8422)</f>
        <v/>
      </c>
      <c r="K8422" s="11">
        <f>O8422</f>
        <v/>
      </c>
      <c r="L8422" s="11">
        <f>L8421+IF(K8422&gt;0,K8422*Summary!$B$9,K8422/Summary!$B$9)</f>
        <v/>
      </c>
      <c r="M8422" s="11">
        <f>G8422+H8422</f>
        <v/>
      </c>
      <c r="N8422" s="11">
        <f>Summary!$C$16*Summary!$B$8</f>
        <v/>
      </c>
      <c r="O8422" s="11">
        <f>M8422-N8422</f>
        <v/>
      </c>
    </row>
    <row r="8423">
      <c r="A8423" s="9" t="n">
        <v>45642.875</v>
      </c>
      <c r="B8423" t="n">
        <v>12</v>
      </c>
      <c r="C8423" t="n">
        <v>16</v>
      </c>
      <c r="D8423" t="n">
        <v>21</v>
      </c>
      <c r="E8423" s="10" t="n">
        <v>0</v>
      </c>
      <c r="F8423" s="10" t="n">
        <v>0.4563640455273709</v>
      </c>
      <c r="G8423" s="11">
        <f>E8423*Summary!$B$6</f>
        <v/>
      </c>
      <c r="H8423" s="11">
        <f>F8423*Summary!$B$7</f>
        <v/>
      </c>
      <c r="I8423" s="11">
        <f>MAX(0,N8423-M8423)</f>
        <v/>
      </c>
      <c r="J8423" s="11">
        <f>MAX(0,M8423-N8423)</f>
        <v/>
      </c>
      <c r="K8423" s="11">
        <f>O8423</f>
        <v/>
      </c>
      <c r="L8423" s="11">
        <f>L8422+IF(K8423&gt;0,K8423*Summary!$B$9,K8423/Summary!$B$9)</f>
        <v/>
      </c>
      <c r="M8423" s="11">
        <f>G8423+H8423</f>
        <v/>
      </c>
      <c r="N8423" s="11">
        <f>Summary!$C$16*Summary!$B$8</f>
        <v/>
      </c>
      <c r="O8423" s="11">
        <f>M8423-N8423</f>
        <v/>
      </c>
    </row>
    <row r="8424">
      <c r="A8424" s="9" t="n">
        <v>45642.91666666666</v>
      </c>
      <c r="B8424" t="n">
        <v>12</v>
      </c>
      <c r="C8424" t="n">
        <v>16</v>
      </c>
      <c r="D8424" t="n">
        <v>22</v>
      </c>
      <c r="E8424" s="10" t="n">
        <v>0</v>
      </c>
      <c r="F8424" s="10" t="n">
        <v>0.4778145786754989</v>
      </c>
      <c r="G8424" s="11">
        <f>E8424*Summary!$B$6</f>
        <v/>
      </c>
      <c r="H8424" s="11">
        <f>F8424*Summary!$B$7</f>
        <v/>
      </c>
      <c r="I8424" s="11">
        <f>MAX(0,N8424-M8424)</f>
        <v/>
      </c>
      <c r="J8424" s="11">
        <f>MAX(0,M8424-N8424)</f>
        <v/>
      </c>
      <c r="K8424" s="11">
        <f>O8424</f>
        <v/>
      </c>
      <c r="L8424" s="11">
        <f>L8423+IF(K8424&gt;0,K8424*Summary!$B$9,K8424/Summary!$B$9)</f>
        <v/>
      </c>
      <c r="M8424" s="11">
        <f>G8424+H8424</f>
        <v/>
      </c>
      <c r="N8424" s="11">
        <f>Summary!$C$16*Summary!$B$8</f>
        <v/>
      </c>
      <c r="O8424" s="11">
        <f>M8424-N8424</f>
        <v/>
      </c>
    </row>
    <row r="8425">
      <c r="A8425" s="9" t="n">
        <v>45642.95833333334</v>
      </c>
      <c r="B8425" t="n">
        <v>12</v>
      </c>
      <c r="C8425" t="n">
        <v>16</v>
      </c>
      <c r="D8425" t="n">
        <v>23</v>
      </c>
      <c r="E8425" s="10" t="n">
        <v>0</v>
      </c>
      <c r="F8425" s="10" t="n">
        <v>0.4378649370875849</v>
      </c>
      <c r="G8425" s="11">
        <f>E8425*Summary!$B$6</f>
        <v/>
      </c>
      <c r="H8425" s="11">
        <f>F8425*Summary!$B$7</f>
        <v/>
      </c>
      <c r="I8425" s="11">
        <f>MAX(0,N8425-M8425)</f>
        <v/>
      </c>
      <c r="J8425" s="11">
        <f>MAX(0,M8425-N8425)</f>
        <v/>
      </c>
      <c r="K8425" s="11">
        <f>O8425</f>
        <v/>
      </c>
      <c r="L8425" s="11">
        <f>L8424+IF(K8425&gt;0,K8425*Summary!$B$9,K8425/Summary!$B$9)</f>
        <v/>
      </c>
      <c r="M8425" s="11">
        <f>G8425+H8425</f>
        <v/>
      </c>
      <c r="N8425" s="11">
        <f>Summary!$C$16*Summary!$B$8</f>
        <v/>
      </c>
      <c r="O8425" s="11">
        <f>M8425-N8425</f>
        <v/>
      </c>
    </row>
    <row r="8426">
      <c r="A8426" s="9" t="n">
        <v>45643</v>
      </c>
      <c r="B8426" t="n">
        <v>12</v>
      </c>
      <c r="C8426" t="n">
        <v>17</v>
      </c>
      <c r="D8426" t="n">
        <v>0</v>
      </c>
      <c r="E8426" s="10" t="n">
        <v>0</v>
      </c>
      <c r="F8426" s="10" t="n">
        <v>0.4171522601165424</v>
      </c>
      <c r="G8426" s="11">
        <f>E8426*Summary!$B$6</f>
        <v/>
      </c>
      <c r="H8426" s="11">
        <f>F8426*Summary!$B$7</f>
        <v/>
      </c>
      <c r="I8426" s="11">
        <f>MAX(0,N8426-M8426)</f>
        <v/>
      </c>
      <c r="J8426" s="11">
        <f>MAX(0,M8426-N8426)</f>
        <v/>
      </c>
      <c r="K8426" s="11">
        <f>O8426</f>
        <v/>
      </c>
      <c r="L8426" s="11">
        <f>L8425+IF(K8426&gt;0,K8426*Summary!$B$9,K8426/Summary!$B$9)</f>
        <v/>
      </c>
      <c r="M8426" s="11">
        <f>G8426+H8426</f>
        <v/>
      </c>
      <c r="N8426" s="11">
        <f>Summary!$C$16*Summary!$B$8</f>
        <v/>
      </c>
      <c r="O8426" s="11">
        <f>M8426-N8426</f>
        <v/>
      </c>
    </row>
    <row r="8427">
      <c r="A8427" s="9" t="n">
        <v>45643.04166666666</v>
      </c>
      <c r="B8427" t="n">
        <v>12</v>
      </c>
      <c r="C8427" t="n">
        <v>17</v>
      </c>
      <c r="D8427" t="n">
        <v>1</v>
      </c>
      <c r="E8427" s="10" t="n">
        <v>0</v>
      </c>
      <c r="F8427" s="10" t="n">
        <v>0.4186543244770379</v>
      </c>
      <c r="G8427" s="11">
        <f>E8427*Summary!$B$6</f>
        <v/>
      </c>
      <c r="H8427" s="11">
        <f>F8427*Summary!$B$7</f>
        <v/>
      </c>
      <c r="I8427" s="11">
        <f>MAX(0,N8427-M8427)</f>
        <v/>
      </c>
      <c r="J8427" s="11">
        <f>MAX(0,M8427-N8427)</f>
        <v/>
      </c>
      <c r="K8427" s="11">
        <f>O8427</f>
        <v/>
      </c>
      <c r="L8427" s="11">
        <f>L8426+IF(K8427&gt;0,K8427*Summary!$B$9,K8427/Summary!$B$9)</f>
        <v/>
      </c>
      <c r="M8427" s="11">
        <f>G8427+H8427</f>
        <v/>
      </c>
      <c r="N8427" s="11">
        <f>Summary!$C$16*Summary!$B$8</f>
        <v/>
      </c>
      <c r="O8427" s="11">
        <f>M8427-N8427</f>
        <v/>
      </c>
    </row>
    <row r="8428">
      <c r="A8428" s="9" t="n">
        <v>45643.08333333334</v>
      </c>
      <c r="B8428" t="n">
        <v>12</v>
      </c>
      <c r="C8428" t="n">
        <v>17</v>
      </c>
      <c r="D8428" t="n">
        <v>2</v>
      </c>
      <c r="E8428" s="10" t="n">
        <v>0</v>
      </c>
      <c r="F8428" s="10" t="n">
        <v>0.4088250261180063</v>
      </c>
      <c r="G8428" s="11">
        <f>E8428*Summary!$B$6</f>
        <v/>
      </c>
      <c r="H8428" s="11">
        <f>F8428*Summary!$B$7</f>
        <v/>
      </c>
      <c r="I8428" s="11">
        <f>MAX(0,N8428-M8428)</f>
        <v/>
      </c>
      <c r="J8428" s="11">
        <f>MAX(0,M8428-N8428)</f>
        <v/>
      </c>
      <c r="K8428" s="11">
        <f>O8428</f>
        <v/>
      </c>
      <c r="L8428" s="11">
        <f>L8427+IF(K8428&gt;0,K8428*Summary!$B$9,K8428/Summary!$B$9)</f>
        <v/>
      </c>
      <c r="M8428" s="11">
        <f>G8428+H8428</f>
        <v/>
      </c>
      <c r="N8428" s="11">
        <f>Summary!$C$16*Summary!$B$8</f>
        <v/>
      </c>
      <c r="O8428" s="11">
        <f>M8428-N8428</f>
        <v/>
      </c>
    </row>
    <row r="8429">
      <c r="A8429" s="9" t="n">
        <v>45643.125</v>
      </c>
      <c r="B8429" t="n">
        <v>12</v>
      </c>
      <c r="C8429" t="n">
        <v>17</v>
      </c>
      <c r="D8429" t="n">
        <v>3</v>
      </c>
      <c r="E8429" s="10" t="n">
        <v>0</v>
      </c>
      <c r="F8429" s="10" t="n">
        <v>0.3990747837779481</v>
      </c>
      <c r="G8429" s="11">
        <f>E8429*Summary!$B$6</f>
        <v/>
      </c>
      <c r="H8429" s="11">
        <f>F8429*Summary!$B$7</f>
        <v/>
      </c>
      <c r="I8429" s="11">
        <f>MAX(0,N8429-M8429)</f>
        <v/>
      </c>
      <c r="J8429" s="11">
        <f>MAX(0,M8429-N8429)</f>
        <v/>
      </c>
      <c r="K8429" s="11">
        <f>O8429</f>
        <v/>
      </c>
      <c r="L8429" s="11">
        <f>L8428+IF(K8429&gt;0,K8429*Summary!$B$9,K8429/Summary!$B$9)</f>
        <v/>
      </c>
      <c r="M8429" s="11">
        <f>G8429+H8429</f>
        <v/>
      </c>
      <c r="N8429" s="11">
        <f>Summary!$C$16*Summary!$B$8</f>
        <v/>
      </c>
      <c r="O8429" s="11">
        <f>M8429-N8429</f>
        <v/>
      </c>
    </row>
    <row r="8430">
      <c r="A8430" s="9" t="n">
        <v>45643.16666666666</v>
      </c>
      <c r="B8430" t="n">
        <v>12</v>
      </c>
      <c r="C8430" t="n">
        <v>17</v>
      </c>
      <c r="D8430" t="n">
        <v>4</v>
      </c>
      <c r="E8430" s="10" t="n">
        <v>0</v>
      </c>
      <c r="F8430" s="10" t="n">
        <v>0.390642141754114</v>
      </c>
      <c r="G8430" s="11">
        <f>E8430*Summary!$B$6</f>
        <v/>
      </c>
      <c r="H8430" s="11">
        <f>F8430*Summary!$B$7</f>
        <v/>
      </c>
      <c r="I8430" s="11">
        <f>MAX(0,N8430-M8430)</f>
        <v/>
      </c>
      <c r="J8430" s="11">
        <f>MAX(0,M8430-N8430)</f>
        <v/>
      </c>
      <c r="K8430" s="11">
        <f>O8430</f>
        <v/>
      </c>
      <c r="L8430" s="11">
        <f>L8429+IF(K8430&gt;0,K8430*Summary!$B$9,K8430/Summary!$B$9)</f>
        <v/>
      </c>
      <c r="M8430" s="11">
        <f>G8430+H8430</f>
        <v/>
      </c>
      <c r="N8430" s="11">
        <f>Summary!$C$16*Summary!$B$8</f>
        <v/>
      </c>
      <c r="O8430" s="11">
        <f>M8430-N8430</f>
        <v/>
      </c>
    </row>
    <row r="8431">
      <c r="A8431" s="9" t="n">
        <v>45643.20833333334</v>
      </c>
      <c r="B8431" t="n">
        <v>12</v>
      </c>
      <c r="C8431" t="n">
        <v>17</v>
      </c>
      <c r="D8431" t="n">
        <v>5</v>
      </c>
      <c r="E8431" s="10" t="n">
        <v>0</v>
      </c>
      <c r="F8431" s="10" t="n">
        <v>0.3849764603943505</v>
      </c>
      <c r="G8431" s="11">
        <f>E8431*Summary!$B$6</f>
        <v/>
      </c>
      <c r="H8431" s="11">
        <f>F8431*Summary!$B$7</f>
        <v/>
      </c>
      <c r="I8431" s="11">
        <f>MAX(0,N8431-M8431)</f>
        <v/>
      </c>
      <c r="J8431" s="11">
        <f>MAX(0,M8431-N8431)</f>
        <v/>
      </c>
      <c r="K8431" s="11">
        <f>O8431</f>
        <v/>
      </c>
      <c r="L8431" s="11">
        <f>L8430+IF(K8431&gt;0,K8431*Summary!$B$9,K8431/Summary!$B$9)</f>
        <v/>
      </c>
      <c r="M8431" s="11">
        <f>G8431+H8431</f>
        <v/>
      </c>
      <c r="N8431" s="11">
        <f>Summary!$C$16*Summary!$B$8</f>
        <v/>
      </c>
      <c r="O8431" s="11">
        <f>M8431-N8431</f>
        <v/>
      </c>
    </row>
    <row r="8432">
      <c r="A8432" s="9" t="n">
        <v>45643.25</v>
      </c>
      <c r="B8432" t="n">
        <v>12</v>
      </c>
      <c r="C8432" t="n">
        <v>17</v>
      </c>
      <c r="D8432" t="n">
        <v>6</v>
      </c>
      <c r="E8432" s="10" t="n">
        <v>0</v>
      </c>
      <c r="F8432" s="10" t="n">
        <v>0.3838696761287223</v>
      </c>
      <c r="G8432" s="11">
        <f>E8432*Summary!$B$6</f>
        <v/>
      </c>
      <c r="H8432" s="11">
        <f>F8432*Summary!$B$7</f>
        <v/>
      </c>
      <c r="I8432" s="11">
        <f>MAX(0,N8432-M8432)</f>
        <v/>
      </c>
      <c r="J8432" s="11">
        <f>MAX(0,M8432-N8432)</f>
        <v/>
      </c>
      <c r="K8432" s="11">
        <f>O8432</f>
        <v/>
      </c>
      <c r="L8432" s="11">
        <f>L8431+IF(K8432&gt;0,K8432*Summary!$B$9,K8432/Summary!$B$9)</f>
        <v/>
      </c>
      <c r="M8432" s="11">
        <f>G8432+H8432</f>
        <v/>
      </c>
      <c r="N8432" s="11">
        <f>Summary!$C$16*Summary!$B$8</f>
        <v/>
      </c>
      <c r="O8432" s="11">
        <f>M8432-N8432</f>
        <v/>
      </c>
    </row>
    <row r="8433">
      <c r="A8433" s="9" t="n">
        <v>45643.29166666666</v>
      </c>
      <c r="B8433" t="n">
        <v>12</v>
      </c>
      <c r="C8433" t="n">
        <v>17</v>
      </c>
      <c r="D8433" t="n">
        <v>7</v>
      </c>
      <c r="E8433" s="10" t="n">
        <v>0</v>
      </c>
      <c r="F8433" s="10" t="n">
        <v>0.3780195307246874</v>
      </c>
      <c r="G8433" s="11">
        <f>E8433*Summary!$B$6</f>
        <v/>
      </c>
      <c r="H8433" s="11">
        <f>F8433*Summary!$B$7</f>
        <v/>
      </c>
      <c r="I8433" s="11">
        <f>MAX(0,N8433-M8433)</f>
        <v/>
      </c>
      <c r="J8433" s="11">
        <f>MAX(0,M8433-N8433)</f>
        <v/>
      </c>
      <c r="K8433" s="11">
        <f>O8433</f>
        <v/>
      </c>
      <c r="L8433" s="11">
        <f>L8432+IF(K8433&gt;0,K8433*Summary!$B$9,K8433/Summary!$B$9)</f>
        <v/>
      </c>
      <c r="M8433" s="11">
        <f>G8433+H8433</f>
        <v/>
      </c>
      <c r="N8433" s="11">
        <f>Summary!$C$16*Summary!$B$8</f>
        <v/>
      </c>
      <c r="O8433" s="11">
        <f>M8433-N8433</f>
        <v/>
      </c>
    </row>
    <row r="8434">
      <c r="A8434" s="9" t="n">
        <v>45643.33333333334</v>
      </c>
      <c r="B8434" t="n">
        <v>12</v>
      </c>
      <c r="C8434" t="n">
        <v>17</v>
      </c>
      <c r="D8434" t="n">
        <v>8</v>
      </c>
      <c r="E8434" s="10" t="n">
        <v>0</v>
      </c>
      <c r="F8434" s="10" t="n">
        <v>0.3795742990978318</v>
      </c>
      <c r="G8434" s="11">
        <f>E8434*Summary!$B$6</f>
        <v/>
      </c>
      <c r="H8434" s="11">
        <f>F8434*Summary!$B$7</f>
        <v/>
      </c>
      <c r="I8434" s="11">
        <f>MAX(0,N8434-M8434)</f>
        <v/>
      </c>
      <c r="J8434" s="11">
        <f>MAX(0,M8434-N8434)</f>
        <v/>
      </c>
      <c r="K8434" s="11">
        <f>O8434</f>
        <v/>
      </c>
      <c r="L8434" s="11">
        <f>L8433+IF(K8434&gt;0,K8434*Summary!$B$9,K8434/Summary!$B$9)</f>
        <v/>
      </c>
      <c r="M8434" s="11">
        <f>G8434+H8434</f>
        <v/>
      </c>
      <c r="N8434" s="11">
        <f>Summary!$C$16*Summary!$B$8</f>
        <v/>
      </c>
      <c r="O8434" s="11">
        <f>M8434-N8434</f>
        <v/>
      </c>
    </row>
    <row r="8435">
      <c r="A8435" s="9" t="n">
        <v>45643.375</v>
      </c>
      <c r="B8435" t="n">
        <v>12</v>
      </c>
      <c r="C8435" t="n">
        <v>17</v>
      </c>
      <c r="D8435" t="n">
        <v>9</v>
      </c>
      <c r="E8435" s="10" t="n">
        <v>0</v>
      </c>
      <c r="F8435" s="10" t="n">
        <v>0.3817878676290882</v>
      </c>
      <c r="G8435" s="11">
        <f>E8435*Summary!$B$6</f>
        <v/>
      </c>
      <c r="H8435" s="11">
        <f>F8435*Summary!$B$7</f>
        <v/>
      </c>
      <c r="I8435" s="11">
        <f>MAX(0,N8435-M8435)</f>
        <v/>
      </c>
      <c r="J8435" s="11">
        <f>MAX(0,M8435-N8435)</f>
        <v/>
      </c>
      <c r="K8435" s="11">
        <f>O8435</f>
        <v/>
      </c>
      <c r="L8435" s="11">
        <f>L8434+IF(K8435&gt;0,K8435*Summary!$B$9,K8435/Summary!$B$9)</f>
        <v/>
      </c>
      <c r="M8435" s="11">
        <f>G8435+H8435</f>
        <v/>
      </c>
      <c r="N8435" s="11">
        <f>Summary!$C$16*Summary!$B$8</f>
        <v/>
      </c>
      <c r="O8435" s="11">
        <f>M8435-N8435</f>
        <v/>
      </c>
    </row>
    <row r="8436">
      <c r="A8436" s="9" t="n">
        <v>45643.41666666666</v>
      </c>
      <c r="B8436" t="n">
        <v>12</v>
      </c>
      <c r="C8436" t="n">
        <v>17</v>
      </c>
      <c r="D8436" t="n">
        <v>10</v>
      </c>
      <c r="E8436" s="10" t="n">
        <v>0</v>
      </c>
      <c r="F8436" s="10" t="n">
        <v>0.3803121552749172</v>
      </c>
      <c r="G8436" s="11">
        <f>E8436*Summary!$B$6</f>
        <v/>
      </c>
      <c r="H8436" s="11">
        <f>F8436*Summary!$B$7</f>
        <v/>
      </c>
      <c r="I8436" s="11">
        <f>MAX(0,N8436-M8436)</f>
        <v/>
      </c>
      <c r="J8436" s="11">
        <f>MAX(0,M8436-N8436)</f>
        <v/>
      </c>
      <c r="K8436" s="11">
        <f>O8436</f>
        <v/>
      </c>
      <c r="L8436" s="11">
        <f>L8435+IF(K8436&gt;0,K8436*Summary!$B$9,K8436/Summary!$B$9)</f>
        <v/>
      </c>
      <c r="M8436" s="11">
        <f>G8436+H8436</f>
        <v/>
      </c>
      <c r="N8436" s="11">
        <f>Summary!$C$16*Summary!$B$8</f>
        <v/>
      </c>
      <c r="O8436" s="11">
        <f>M8436-N8436</f>
        <v/>
      </c>
    </row>
    <row r="8437">
      <c r="A8437" s="9" t="n">
        <v>45643.45833333334</v>
      </c>
      <c r="B8437" t="n">
        <v>12</v>
      </c>
      <c r="C8437" t="n">
        <v>17</v>
      </c>
      <c r="D8437" t="n">
        <v>11</v>
      </c>
      <c r="E8437" s="10" t="n">
        <v>0.002467</v>
      </c>
      <c r="F8437" s="10" t="n">
        <v>0.3753316260795903</v>
      </c>
      <c r="G8437" s="11">
        <f>E8437*Summary!$B$6</f>
        <v/>
      </c>
      <c r="H8437" s="11">
        <f>F8437*Summary!$B$7</f>
        <v/>
      </c>
      <c r="I8437" s="11">
        <f>MAX(0,N8437-M8437)</f>
        <v/>
      </c>
      <c r="J8437" s="11">
        <f>MAX(0,M8437-N8437)</f>
        <v/>
      </c>
      <c r="K8437" s="11">
        <f>O8437</f>
        <v/>
      </c>
      <c r="L8437" s="11">
        <f>L8436+IF(K8437&gt;0,K8437*Summary!$B$9,K8437/Summary!$B$9)</f>
        <v/>
      </c>
      <c r="M8437" s="11">
        <f>G8437+H8437</f>
        <v/>
      </c>
      <c r="N8437" s="11">
        <f>Summary!$C$16*Summary!$B$8</f>
        <v/>
      </c>
      <c r="O8437" s="11">
        <f>M8437-N8437</f>
        <v/>
      </c>
    </row>
    <row r="8438">
      <c r="A8438" s="9" t="n">
        <v>45643.5</v>
      </c>
      <c r="B8438" t="n">
        <v>12</v>
      </c>
      <c r="C8438" t="n">
        <v>17</v>
      </c>
      <c r="D8438" t="n">
        <v>12</v>
      </c>
      <c r="E8438" s="10" t="n">
        <v>0.018916</v>
      </c>
      <c r="F8438" s="10" t="n">
        <v>0.3712997691119446</v>
      </c>
      <c r="G8438" s="11">
        <f>E8438*Summary!$B$6</f>
        <v/>
      </c>
      <c r="H8438" s="11">
        <f>F8438*Summary!$B$7</f>
        <v/>
      </c>
      <c r="I8438" s="11">
        <f>MAX(0,N8438-M8438)</f>
        <v/>
      </c>
      <c r="J8438" s="11">
        <f>MAX(0,M8438-N8438)</f>
        <v/>
      </c>
      <c r="K8438" s="11">
        <f>O8438</f>
        <v/>
      </c>
      <c r="L8438" s="11">
        <f>L8437+IF(K8438&gt;0,K8438*Summary!$B$9,K8438/Summary!$B$9)</f>
        <v/>
      </c>
      <c r="M8438" s="11">
        <f>G8438+H8438</f>
        <v/>
      </c>
      <c r="N8438" s="11">
        <f>Summary!$C$16*Summary!$B$8</f>
        <v/>
      </c>
      <c r="O8438" s="11">
        <f>M8438-N8438</f>
        <v/>
      </c>
    </row>
    <row r="8439">
      <c r="A8439" s="9" t="n">
        <v>45643.54166666666</v>
      </c>
      <c r="B8439" t="n">
        <v>12</v>
      </c>
      <c r="C8439" t="n">
        <v>17</v>
      </c>
      <c r="D8439" t="n">
        <v>13</v>
      </c>
      <c r="E8439" s="10" t="n">
        <v>0.007743</v>
      </c>
      <c r="F8439" s="10" t="n">
        <v>0.3673733201695968</v>
      </c>
      <c r="G8439" s="11">
        <f>E8439*Summary!$B$6</f>
        <v/>
      </c>
      <c r="H8439" s="11">
        <f>F8439*Summary!$B$7</f>
        <v/>
      </c>
      <c r="I8439" s="11">
        <f>MAX(0,N8439-M8439)</f>
        <v/>
      </c>
      <c r="J8439" s="11">
        <f>MAX(0,M8439-N8439)</f>
        <v/>
      </c>
      <c r="K8439" s="11">
        <f>O8439</f>
        <v/>
      </c>
      <c r="L8439" s="11">
        <f>L8438+IF(K8439&gt;0,K8439*Summary!$B$9,K8439/Summary!$B$9)</f>
        <v/>
      </c>
      <c r="M8439" s="11">
        <f>G8439+H8439</f>
        <v/>
      </c>
      <c r="N8439" s="11">
        <f>Summary!$C$16*Summary!$B$8</f>
        <v/>
      </c>
      <c r="O8439" s="11">
        <f>M8439-N8439</f>
        <v/>
      </c>
    </row>
    <row r="8440">
      <c r="A8440" s="9" t="n">
        <v>45643.58333333334</v>
      </c>
      <c r="B8440" t="n">
        <v>12</v>
      </c>
      <c r="C8440" t="n">
        <v>17</v>
      </c>
      <c r="D8440" t="n">
        <v>14</v>
      </c>
      <c r="E8440" s="10" t="n">
        <v>0</v>
      </c>
      <c r="F8440" s="10" t="n">
        <v>0.3663455919229421</v>
      </c>
      <c r="G8440" s="11">
        <f>E8440*Summary!$B$6</f>
        <v/>
      </c>
      <c r="H8440" s="11">
        <f>F8440*Summary!$B$7</f>
        <v/>
      </c>
      <c r="I8440" s="11">
        <f>MAX(0,N8440-M8440)</f>
        <v/>
      </c>
      <c r="J8440" s="11">
        <f>MAX(0,M8440-N8440)</f>
        <v/>
      </c>
      <c r="K8440" s="11">
        <f>O8440</f>
        <v/>
      </c>
      <c r="L8440" s="11">
        <f>L8439+IF(K8440&gt;0,K8440*Summary!$B$9,K8440/Summary!$B$9)</f>
        <v/>
      </c>
      <c r="M8440" s="11">
        <f>G8440+H8440</f>
        <v/>
      </c>
      <c r="N8440" s="11">
        <f>Summary!$C$16*Summary!$B$8</f>
        <v/>
      </c>
      <c r="O8440" s="11">
        <f>M8440-N8440</f>
        <v/>
      </c>
    </row>
    <row r="8441">
      <c r="A8441" s="9" t="n">
        <v>45643.625</v>
      </c>
      <c r="B8441" t="n">
        <v>12</v>
      </c>
      <c r="C8441" t="n">
        <v>17</v>
      </c>
      <c r="D8441" t="n">
        <v>15</v>
      </c>
      <c r="E8441" s="10" t="n">
        <v>0</v>
      </c>
      <c r="F8441" s="10" t="n">
        <v>0.3705355609285346</v>
      </c>
      <c r="G8441" s="11">
        <f>E8441*Summary!$B$6</f>
        <v/>
      </c>
      <c r="H8441" s="11">
        <f>F8441*Summary!$B$7</f>
        <v/>
      </c>
      <c r="I8441" s="11">
        <f>MAX(0,N8441-M8441)</f>
        <v/>
      </c>
      <c r="J8441" s="11">
        <f>MAX(0,M8441-N8441)</f>
        <v/>
      </c>
      <c r="K8441" s="11">
        <f>O8441</f>
        <v/>
      </c>
      <c r="L8441" s="11">
        <f>L8440+IF(K8441&gt;0,K8441*Summary!$B$9,K8441/Summary!$B$9)</f>
        <v/>
      </c>
      <c r="M8441" s="11">
        <f>G8441+H8441</f>
        <v/>
      </c>
      <c r="N8441" s="11">
        <f>Summary!$C$16*Summary!$B$8</f>
        <v/>
      </c>
      <c r="O8441" s="11">
        <f>M8441-N8441</f>
        <v/>
      </c>
    </row>
    <row r="8442">
      <c r="A8442" s="9" t="n">
        <v>45643.66666666666</v>
      </c>
      <c r="B8442" t="n">
        <v>12</v>
      </c>
      <c r="C8442" t="n">
        <v>17</v>
      </c>
      <c r="D8442" t="n">
        <v>16</v>
      </c>
      <c r="E8442" s="10" t="n">
        <v>0</v>
      </c>
      <c r="F8442" s="10" t="n">
        <v>0.3716423451941628</v>
      </c>
      <c r="G8442" s="11">
        <f>E8442*Summary!$B$6</f>
        <v/>
      </c>
      <c r="H8442" s="11">
        <f>F8442*Summary!$B$7</f>
        <v/>
      </c>
      <c r="I8442" s="11">
        <f>MAX(0,N8442-M8442)</f>
        <v/>
      </c>
      <c r="J8442" s="11">
        <f>MAX(0,M8442-N8442)</f>
        <v/>
      </c>
      <c r="K8442" s="11">
        <f>O8442</f>
        <v/>
      </c>
      <c r="L8442" s="11">
        <f>L8441+IF(K8442&gt;0,K8442*Summary!$B$9,K8442/Summary!$B$9)</f>
        <v/>
      </c>
      <c r="M8442" s="11">
        <f>G8442+H8442</f>
        <v/>
      </c>
      <c r="N8442" s="11">
        <f>Summary!$C$16*Summary!$B$8</f>
        <v/>
      </c>
      <c r="O8442" s="11">
        <f>M8442-N8442</f>
        <v/>
      </c>
    </row>
    <row r="8443">
      <c r="A8443" s="9" t="n">
        <v>45643.70833333334</v>
      </c>
      <c r="B8443" t="n">
        <v>12</v>
      </c>
      <c r="C8443" t="n">
        <v>17</v>
      </c>
      <c r="D8443" t="n">
        <v>17</v>
      </c>
      <c r="E8443" s="10" t="n">
        <v>0</v>
      </c>
      <c r="F8443" s="10" t="n">
        <v>0.376412058338894</v>
      </c>
      <c r="G8443" s="11">
        <f>E8443*Summary!$B$6</f>
        <v/>
      </c>
      <c r="H8443" s="11">
        <f>F8443*Summary!$B$7</f>
        <v/>
      </c>
      <c r="I8443" s="11">
        <f>MAX(0,N8443-M8443)</f>
        <v/>
      </c>
      <c r="J8443" s="11">
        <f>MAX(0,M8443-N8443)</f>
        <v/>
      </c>
      <c r="K8443" s="11">
        <f>O8443</f>
        <v/>
      </c>
      <c r="L8443" s="11">
        <f>L8442+IF(K8443&gt;0,K8443*Summary!$B$9,K8443/Summary!$B$9)</f>
        <v/>
      </c>
      <c r="M8443" s="11">
        <f>G8443+H8443</f>
        <v/>
      </c>
      <c r="N8443" s="11">
        <f>Summary!$C$16*Summary!$B$8</f>
        <v/>
      </c>
      <c r="O8443" s="11">
        <f>M8443-N8443</f>
        <v/>
      </c>
    </row>
    <row r="8444">
      <c r="A8444" s="9" t="n">
        <v>45643.75</v>
      </c>
      <c r="B8444" t="n">
        <v>12</v>
      </c>
      <c r="C8444" t="n">
        <v>17</v>
      </c>
      <c r="D8444" t="n">
        <v>18</v>
      </c>
      <c r="E8444" s="10" t="n">
        <v>0</v>
      </c>
      <c r="F8444" s="10" t="n">
        <v>0.3853980924955422</v>
      </c>
      <c r="G8444" s="11">
        <f>E8444*Summary!$B$6</f>
        <v/>
      </c>
      <c r="H8444" s="11">
        <f>F8444*Summary!$B$7</f>
        <v/>
      </c>
      <c r="I8444" s="11">
        <f>MAX(0,N8444-M8444)</f>
        <v/>
      </c>
      <c r="J8444" s="11">
        <f>MAX(0,M8444-N8444)</f>
        <v/>
      </c>
      <c r="K8444" s="11">
        <f>O8444</f>
        <v/>
      </c>
      <c r="L8444" s="11">
        <f>L8443+IF(K8444&gt;0,K8444*Summary!$B$9,K8444/Summary!$B$9)</f>
        <v/>
      </c>
      <c r="M8444" s="11">
        <f>G8444+H8444</f>
        <v/>
      </c>
      <c r="N8444" s="11">
        <f>Summary!$C$16*Summary!$B$8</f>
        <v/>
      </c>
      <c r="O8444" s="11">
        <f>M8444-N8444</f>
        <v/>
      </c>
    </row>
    <row r="8445">
      <c r="A8445" s="9" t="n">
        <v>45643.79166666666</v>
      </c>
      <c r="B8445" t="n">
        <v>12</v>
      </c>
      <c r="C8445" t="n">
        <v>17</v>
      </c>
      <c r="D8445" t="n">
        <v>19</v>
      </c>
      <c r="E8445" s="10" t="n">
        <v>0</v>
      </c>
      <c r="F8445" s="10" t="n">
        <v>0.3895880615011347</v>
      </c>
      <c r="G8445" s="11">
        <f>E8445*Summary!$B$6</f>
        <v/>
      </c>
      <c r="H8445" s="11">
        <f>F8445*Summary!$B$7</f>
        <v/>
      </c>
      <c r="I8445" s="11">
        <f>MAX(0,N8445-M8445)</f>
        <v/>
      </c>
      <c r="J8445" s="11">
        <f>MAX(0,M8445-N8445)</f>
        <v/>
      </c>
      <c r="K8445" s="11">
        <f>O8445</f>
        <v/>
      </c>
      <c r="L8445" s="11">
        <f>L8444+IF(K8445&gt;0,K8445*Summary!$B$9,K8445/Summary!$B$9)</f>
        <v/>
      </c>
      <c r="M8445" s="11">
        <f>G8445+H8445</f>
        <v/>
      </c>
      <c r="N8445" s="11">
        <f>Summary!$C$16*Summary!$B$8</f>
        <v/>
      </c>
      <c r="O8445" s="11">
        <f>M8445-N8445</f>
        <v/>
      </c>
    </row>
    <row r="8446">
      <c r="A8446" s="9" t="n">
        <v>45643.83333333334</v>
      </c>
      <c r="B8446" t="n">
        <v>12</v>
      </c>
      <c r="C8446" t="n">
        <v>17</v>
      </c>
      <c r="D8446" t="n">
        <v>20</v>
      </c>
      <c r="E8446" s="10" t="n">
        <v>0</v>
      </c>
      <c r="F8446" s="10" t="n">
        <v>0.392829358279046</v>
      </c>
      <c r="G8446" s="11">
        <f>E8446*Summary!$B$6</f>
        <v/>
      </c>
      <c r="H8446" s="11">
        <f>F8446*Summary!$B$7</f>
        <v/>
      </c>
      <c r="I8446" s="11">
        <f>MAX(0,N8446-M8446)</f>
        <v/>
      </c>
      <c r="J8446" s="11">
        <f>MAX(0,M8446-N8446)</f>
        <v/>
      </c>
      <c r="K8446" s="11">
        <f>O8446</f>
        <v/>
      </c>
      <c r="L8446" s="11">
        <f>L8445+IF(K8446&gt;0,K8446*Summary!$B$9,K8446/Summary!$B$9)</f>
        <v/>
      </c>
      <c r="M8446" s="11">
        <f>G8446+H8446</f>
        <v/>
      </c>
      <c r="N8446" s="11">
        <f>Summary!$C$16*Summary!$B$8</f>
        <v/>
      </c>
      <c r="O8446" s="11">
        <f>M8446-N8446</f>
        <v/>
      </c>
    </row>
    <row r="8447">
      <c r="A8447" s="9" t="n">
        <v>45643.875</v>
      </c>
      <c r="B8447" t="n">
        <v>12</v>
      </c>
      <c r="C8447" t="n">
        <v>17</v>
      </c>
      <c r="D8447" t="n">
        <v>21</v>
      </c>
      <c r="E8447" s="10" t="n">
        <v>0</v>
      </c>
      <c r="F8447" s="10" t="n">
        <v>0.3963078231138775</v>
      </c>
      <c r="G8447" s="11">
        <f>E8447*Summary!$B$6</f>
        <v/>
      </c>
      <c r="H8447" s="11">
        <f>F8447*Summary!$B$7</f>
        <v/>
      </c>
      <c r="I8447" s="11">
        <f>MAX(0,N8447-M8447)</f>
        <v/>
      </c>
      <c r="J8447" s="11">
        <f>MAX(0,M8447-N8447)</f>
        <v/>
      </c>
      <c r="K8447" s="11">
        <f>O8447</f>
        <v/>
      </c>
      <c r="L8447" s="11">
        <f>L8446+IF(K8447&gt;0,K8447*Summary!$B$9,K8447/Summary!$B$9)</f>
        <v/>
      </c>
      <c r="M8447" s="11">
        <f>G8447+H8447</f>
        <v/>
      </c>
      <c r="N8447" s="11">
        <f>Summary!$C$16*Summary!$B$8</f>
        <v/>
      </c>
      <c r="O8447" s="11">
        <f>M8447-N8447</f>
        <v/>
      </c>
    </row>
    <row r="8448">
      <c r="A8448" s="9" t="n">
        <v>45643.91666666666</v>
      </c>
      <c r="B8448" t="n">
        <v>12</v>
      </c>
      <c r="C8448" t="n">
        <v>17</v>
      </c>
      <c r="D8448" t="n">
        <v>22</v>
      </c>
      <c r="E8448" s="10" t="n">
        <v>0</v>
      </c>
      <c r="F8448" s="10" t="n">
        <v>0.4008140161953639</v>
      </c>
      <c r="G8448" s="11">
        <f>E8448*Summary!$B$6</f>
        <v/>
      </c>
      <c r="H8448" s="11">
        <f>F8448*Summary!$B$7</f>
        <v/>
      </c>
      <c r="I8448" s="11">
        <f>MAX(0,N8448-M8448)</f>
        <v/>
      </c>
      <c r="J8448" s="11">
        <f>MAX(0,M8448-N8448)</f>
        <v/>
      </c>
      <c r="K8448" s="11">
        <f>O8448</f>
        <v/>
      </c>
      <c r="L8448" s="11">
        <f>L8447+IF(K8448&gt;0,K8448*Summary!$B$9,K8448/Summary!$B$9)</f>
        <v/>
      </c>
      <c r="M8448" s="11">
        <f>G8448+H8448</f>
        <v/>
      </c>
      <c r="N8448" s="11">
        <f>Summary!$C$16*Summary!$B$8</f>
        <v/>
      </c>
      <c r="O8448" s="11">
        <f>M8448-N8448</f>
        <v/>
      </c>
    </row>
    <row r="8449">
      <c r="A8449" s="9" t="n">
        <v>45643.95833333334</v>
      </c>
      <c r="B8449" t="n">
        <v>12</v>
      </c>
      <c r="C8449" t="n">
        <v>17</v>
      </c>
      <c r="D8449" t="n">
        <v>23</v>
      </c>
      <c r="E8449" s="10" t="n">
        <v>0</v>
      </c>
      <c r="F8449" s="10" t="n">
        <v>0.4060580654539357</v>
      </c>
      <c r="G8449" s="11">
        <f>E8449*Summary!$B$6</f>
        <v/>
      </c>
      <c r="H8449" s="11">
        <f>F8449*Summary!$B$7</f>
        <v/>
      </c>
      <c r="I8449" s="11">
        <f>MAX(0,N8449-M8449)</f>
        <v/>
      </c>
      <c r="J8449" s="11">
        <f>MAX(0,M8449-N8449)</f>
        <v/>
      </c>
      <c r="K8449" s="11">
        <f>O8449</f>
        <v/>
      </c>
      <c r="L8449" s="11">
        <f>L8448+IF(K8449&gt;0,K8449*Summary!$B$9,K8449/Summary!$B$9)</f>
        <v/>
      </c>
      <c r="M8449" s="11">
        <f>G8449+H8449</f>
        <v/>
      </c>
      <c r="N8449" s="11">
        <f>Summary!$C$16*Summary!$B$8</f>
        <v/>
      </c>
      <c r="O8449" s="11">
        <f>M8449-N8449</f>
        <v/>
      </c>
    </row>
    <row r="8450">
      <c r="A8450" s="9" t="n">
        <v>45644</v>
      </c>
      <c r="B8450" t="n">
        <v>12</v>
      </c>
      <c r="C8450" t="n">
        <v>18</v>
      </c>
      <c r="D8450" t="n">
        <v>0</v>
      </c>
      <c r="E8450" s="10" t="n">
        <v>0</v>
      </c>
      <c r="F8450" s="10" t="n">
        <v>0.5334436640264794</v>
      </c>
      <c r="G8450" s="11">
        <f>E8450*Summary!$B$6</f>
        <v/>
      </c>
      <c r="H8450" s="11">
        <f>F8450*Summary!$B$7</f>
        <v/>
      </c>
      <c r="I8450" s="11">
        <f>MAX(0,N8450-M8450)</f>
        <v/>
      </c>
      <c r="J8450" s="11">
        <f>MAX(0,M8450-N8450)</f>
        <v/>
      </c>
      <c r="K8450" s="11">
        <f>O8450</f>
        <v/>
      </c>
      <c r="L8450" s="11">
        <f>L8449+IF(K8450&gt;0,K8450*Summary!$B$9,K8450/Summary!$B$9)</f>
        <v/>
      </c>
      <c r="M8450" s="11">
        <f>G8450+H8450</f>
        <v/>
      </c>
      <c r="N8450" s="11">
        <f>Summary!$C$16*Summary!$B$8</f>
        <v/>
      </c>
      <c r="O8450" s="11">
        <f>M8450-N8450</f>
        <v/>
      </c>
    </row>
    <row r="8451">
      <c r="A8451" s="9" t="n">
        <v>45644.04166666666</v>
      </c>
      <c r="B8451" t="n">
        <v>12</v>
      </c>
      <c r="C8451" t="n">
        <v>18</v>
      </c>
      <c r="D8451" t="n">
        <v>1</v>
      </c>
      <c r="E8451" s="10" t="n">
        <v>0</v>
      </c>
      <c r="F8451" s="10" t="n">
        <v>0.4218956212549491</v>
      </c>
      <c r="G8451" s="11">
        <f>E8451*Summary!$B$6</f>
        <v/>
      </c>
      <c r="H8451" s="11">
        <f>F8451*Summary!$B$7</f>
        <v/>
      </c>
      <c r="I8451" s="11">
        <f>MAX(0,N8451-M8451)</f>
        <v/>
      </c>
      <c r="J8451" s="11">
        <f>MAX(0,M8451-N8451)</f>
        <v/>
      </c>
      <c r="K8451" s="11">
        <f>O8451</f>
        <v/>
      </c>
      <c r="L8451" s="11">
        <f>L8450+IF(K8451&gt;0,K8451*Summary!$B$9,K8451/Summary!$B$9)</f>
        <v/>
      </c>
      <c r="M8451" s="11">
        <f>G8451+H8451</f>
        <v/>
      </c>
      <c r="N8451" s="11">
        <f>Summary!$C$16*Summary!$B$8</f>
        <v/>
      </c>
      <c r="O8451" s="11">
        <f>M8451-N8451</f>
        <v/>
      </c>
    </row>
    <row r="8452">
      <c r="A8452" s="9" t="n">
        <v>45644.08333333334</v>
      </c>
      <c r="B8452" t="n">
        <v>12</v>
      </c>
      <c r="C8452" t="n">
        <v>18</v>
      </c>
      <c r="D8452" t="n">
        <v>2</v>
      </c>
      <c r="E8452" s="10" t="n">
        <v>0</v>
      </c>
      <c r="F8452" s="10" t="n">
        <v>0.4259011262162702</v>
      </c>
      <c r="G8452" s="11">
        <f>E8452*Summary!$B$6</f>
        <v/>
      </c>
      <c r="H8452" s="11">
        <f>F8452*Summary!$B$7</f>
        <v/>
      </c>
      <c r="I8452" s="11">
        <f>MAX(0,N8452-M8452)</f>
        <v/>
      </c>
      <c r="J8452" s="11">
        <f>MAX(0,M8452-N8452)</f>
        <v/>
      </c>
      <c r="K8452" s="11">
        <f>O8452</f>
        <v/>
      </c>
      <c r="L8452" s="11">
        <f>L8451+IF(K8452&gt;0,K8452*Summary!$B$9,K8452/Summary!$B$9)</f>
        <v/>
      </c>
      <c r="M8452" s="11">
        <f>G8452+H8452</f>
        <v/>
      </c>
      <c r="N8452" s="11">
        <f>Summary!$C$16*Summary!$B$8</f>
        <v/>
      </c>
      <c r="O8452" s="11">
        <f>M8452-N8452</f>
        <v/>
      </c>
    </row>
    <row r="8453">
      <c r="A8453" s="9" t="n">
        <v>45644.125</v>
      </c>
      <c r="B8453" t="n">
        <v>12</v>
      </c>
      <c r="C8453" t="n">
        <v>18</v>
      </c>
      <c r="D8453" t="n">
        <v>3</v>
      </c>
      <c r="E8453" s="10" t="n">
        <v>0</v>
      </c>
      <c r="F8453" s="10" t="n">
        <v>0.4325681838163641</v>
      </c>
      <c r="G8453" s="11">
        <f>E8453*Summary!$B$6</f>
        <v/>
      </c>
      <c r="H8453" s="11">
        <f>F8453*Summary!$B$7</f>
        <v/>
      </c>
      <c r="I8453" s="11">
        <f>MAX(0,N8453-M8453)</f>
        <v/>
      </c>
      <c r="J8453" s="11">
        <f>MAX(0,M8453-N8453)</f>
        <v/>
      </c>
      <c r="K8453" s="11">
        <f>O8453</f>
        <v/>
      </c>
      <c r="L8453" s="11">
        <f>L8452+IF(K8453&gt;0,K8453*Summary!$B$9,K8453/Summary!$B$9)</f>
        <v/>
      </c>
      <c r="M8453" s="11">
        <f>G8453+H8453</f>
        <v/>
      </c>
      <c r="N8453" s="11">
        <f>Summary!$C$16*Summary!$B$8</f>
        <v/>
      </c>
      <c r="O8453" s="11">
        <f>M8453-N8453</f>
        <v/>
      </c>
    </row>
    <row r="8454">
      <c r="A8454" s="9" t="n">
        <v>45644.16666666666</v>
      </c>
      <c r="B8454" t="n">
        <v>12</v>
      </c>
      <c r="C8454" t="n">
        <v>18</v>
      </c>
      <c r="D8454" t="n">
        <v>4</v>
      </c>
      <c r="E8454" s="10" t="n">
        <v>0</v>
      </c>
      <c r="F8454" s="10" t="n">
        <v>0.4352033844488123</v>
      </c>
      <c r="G8454" s="11">
        <f>E8454*Summary!$B$6</f>
        <v/>
      </c>
      <c r="H8454" s="11">
        <f>F8454*Summary!$B$7</f>
        <v/>
      </c>
      <c r="I8454" s="11">
        <f>MAX(0,N8454-M8454)</f>
        <v/>
      </c>
      <c r="J8454" s="11">
        <f>MAX(0,M8454-N8454)</f>
        <v/>
      </c>
      <c r="K8454" s="11">
        <f>O8454</f>
        <v/>
      </c>
      <c r="L8454" s="11">
        <f>L8453+IF(K8454&gt;0,K8454*Summary!$B$9,K8454/Summary!$B$9)</f>
        <v/>
      </c>
      <c r="M8454" s="11">
        <f>G8454+H8454</f>
        <v/>
      </c>
      <c r="N8454" s="11">
        <f>Summary!$C$16*Summary!$B$8</f>
        <v/>
      </c>
      <c r="O8454" s="11">
        <f>M8454-N8454</f>
        <v/>
      </c>
    </row>
    <row r="8455">
      <c r="A8455" s="9" t="n">
        <v>45644.20833333334</v>
      </c>
      <c r="B8455" t="n">
        <v>12</v>
      </c>
      <c r="C8455" t="n">
        <v>18</v>
      </c>
      <c r="D8455" t="n">
        <v>5</v>
      </c>
      <c r="E8455" s="10" t="n">
        <v>0</v>
      </c>
      <c r="F8455" s="10" t="n">
        <v>0.4445056426813542</v>
      </c>
      <c r="G8455" s="11">
        <f>E8455*Summary!$B$6</f>
        <v/>
      </c>
      <c r="H8455" s="11">
        <f>F8455*Summary!$B$7</f>
        <v/>
      </c>
      <c r="I8455" s="11">
        <f>MAX(0,N8455-M8455)</f>
        <v/>
      </c>
      <c r="J8455" s="11">
        <f>MAX(0,M8455-N8455)</f>
        <v/>
      </c>
      <c r="K8455" s="11">
        <f>O8455</f>
        <v/>
      </c>
      <c r="L8455" s="11">
        <f>L8454+IF(K8455&gt;0,K8455*Summary!$B$9,K8455/Summary!$B$9)</f>
        <v/>
      </c>
      <c r="M8455" s="11">
        <f>G8455+H8455</f>
        <v/>
      </c>
      <c r="N8455" s="11">
        <f>Summary!$C$16*Summary!$B$8</f>
        <v/>
      </c>
      <c r="O8455" s="11">
        <f>M8455-N8455</f>
        <v/>
      </c>
    </row>
    <row r="8456">
      <c r="A8456" s="9" t="n">
        <v>45644.25</v>
      </c>
      <c r="B8456" t="n">
        <v>12</v>
      </c>
      <c r="C8456" t="n">
        <v>18</v>
      </c>
      <c r="D8456" t="n">
        <v>6</v>
      </c>
      <c r="E8456" s="10" t="n">
        <v>0</v>
      </c>
      <c r="F8456" s="10" t="n">
        <v>0.4551782052427693</v>
      </c>
      <c r="G8456" s="11">
        <f>E8456*Summary!$B$6</f>
        <v/>
      </c>
      <c r="H8456" s="11">
        <f>F8456*Summary!$B$7</f>
        <v/>
      </c>
      <c r="I8456" s="11">
        <f>MAX(0,N8456-M8456)</f>
        <v/>
      </c>
      <c r="J8456" s="11">
        <f>MAX(0,M8456-N8456)</f>
        <v/>
      </c>
      <c r="K8456" s="11">
        <f>O8456</f>
        <v/>
      </c>
      <c r="L8456" s="11">
        <f>L8455+IF(K8456&gt;0,K8456*Summary!$B$9,K8456/Summary!$B$9)</f>
        <v/>
      </c>
      <c r="M8456" s="11">
        <f>G8456+H8456</f>
        <v/>
      </c>
      <c r="N8456" s="11">
        <f>Summary!$C$16*Summary!$B$8</f>
        <v/>
      </c>
      <c r="O8456" s="11">
        <f>M8456-N8456</f>
        <v/>
      </c>
    </row>
    <row r="8457">
      <c r="A8457" s="9" t="n">
        <v>45644.29166666666</v>
      </c>
      <c r="B8457" t="n">
        <v>12</v>
      </c>
      <c r="C8457" t="n">
        <v>18</v>
      </c>
      <c r="D8457" t="n">
        <v>7</v>
      </c>
      <c r="E8457" s="10" t="n">
        <v>0</v>
      </c>
      <c r="F8457" s="10" t="n">
        <v>0.4633209751970341</v>
      </c>
      <c r="G8457" s="11">
        <f>E8457*Summary!$B$6</f>
        <v/>
      </c>
      <c r="H8457" s="11">
        <f>F8457*Summary!$B$7</f>
        <v/>
      </c>
      <c r="I8457" s="11">
        <f>MAX(0,N8457-M8457)</f>
        <v/>
      </c>
      <c r="J8457" s="11">
        <f>MAX(0,M8457-N8457)</f>
        <v/>
      </c>
      <c r="K8457" s="11">
        <f>O8457</f>
        <v/>
      </c>
      <c r="L8457" s="11">
        <f>L8456+IF(K8457&gt;0,K8457*Summary!$B$9,K8457/Summary!$B$9)</f>
        <v/>
      </c>
      <c r="M8457" s="11">
        <f>G8457+H8457</f>
        <v/>
      </c>
      <c r="N8457" s="11">
        <f>Summary!$C$16*Summary!$B$8</f>
        <v/>
      </c>
      <c r="O8457" s="11">
        <f>M8457-N8457</f>
        <v/>
      </c>
    </row>
    <row r="8458">
      <c r="A8458" s="9" t="n">
        <v>45644.33333333334</v>
      </c>
      <c r="B8458" t="n">
        <v>12</v>
      </c>
      <c r="C8458" t="n">
        <v>18</v>
      </c>
      <c r="D8458" t="n">
        <v>8</v>
      </c>
      <c r="E8458" s="10" t="n">
        <v>0</v>
      </c>
      <c r="F8458" s="10" t="n">
        <v>0.4671156641077593</v>
      </c>
      <c r="G8458" s="11">
        <f>E8458*Summary!$B$6</f>
        <v/>
      </c>
      <c r="H8458" s="11">
        <f>F8458*Summary!$B$7</f>
        <v/>
      </c>
      <c r="I8458" s="11">
        <f>MAX(0,N8458-M8458)</f>
        <v/>
      </c>
      <c r="J8458" s="11">
        <f>MAX(0,M8458-N8458)</f>
        <v/>
      </c>
      <c r="K8458" s="11">
        <f>O8458</f>
        <v/>
      </c>
      <c r="L8458" s="11">
        <f>L8457+IF(K8458&gt;0,K8458*Summary!$B$9,K8458/Summary!$B$9)</f>
        <v/>
      </c>
      <c r="M8458" s="11">
        <f>G8458+H8458</f>
        <v/>
      </c>
      <c r="N8458" s="11">
        <f>Summary!$C$16*Summary!$B$8</f>
        <v/>
      </c>
      <c r="O8458" s="11">
        <f>M8458-N8458</f>
        <v/>
      </c>
    </row>
    <row r="8459">
      <c r="A8459" s="9" t="n">
        <v>45644.375</v>
      </c>
      <c r="B8459" t="n">
        <v>12</v>
      </c>
      <c r="C8459" t="n">
        <v>18</v>
      </c>
      <c r="D8459" t="n">
        <v>9</v>
      </c>
      <c r="E8459" s="10" t="n">
        <v>0.002633</v>
      </c>
      <c r="F8459" s="10" t="n">
        <v>0.4689603045504731</v>
      </c>
      <c r="G8459" s="11">
        <f>E8459*Summary!$B$6</f>
        <v/>
      </c>
      <c r="H8459" s="11">
        <f>F8459*Summary!$B$7</f>
        <v/>
      </c>
      <c r="I8459" s="11">
        <f>MAX(0,N8459-M8459)</f>
        <v/>
      </c>
      <c r="J8459" s="11">
        <f>MAX(0,M8459-N8459)</f>
        <v/>
      </c>
      <c r="K8459" s="11">
        <f>O8459</f>
        <v/>
      </c>
      <c r="L8459" s="11">
        <f>L8458+IF(K8459&gt;0,K8459*Summary!$B$9,K8459/Summary!$B$9)</f>
        <v/>
      </c>
      <c r="M8459" s="11">
        <f>G8459+H8459</f>
        <v/>
      </c>
      <c r="N8459" s="11">
        <f>Summary!$C$16*Summary!$B$8</f>
        <v/>
      </c>
      <c r="O8459" s="11">
        <f>M8459-N8459</f>
        <v/>
      </c>
    </row>
    <row r="8460">
      <c r="A8460" s="9" t="n">
        <v>45644.41666666666</v>
      </c>
      <c r="B8460" t="n">
        <v>12</v>
      </c>
      <c r="C8460" t="n">
        <v>18</v>
      </c>
      <c r="D8460" t="n">
        <v>10</v>
      </c>
      <c r="E8460" s="10" t="n">
        <v>0.024186</v>
      </c>
      <c r="F8460" s="10" t="n">
        <v>0.4695927527022606</v>
      </c>
      <c r="G8460" s="11">
        <f>E8460*Summary!$B$6</f>
        <v/>
      </c>
      <c r="H8460" s="11">
        <f>F8460*Summary!$B$7</f>
        <v/>
      </c>
      <c r="I8460" s="11">
        <f>MAX(0,N8460-M8460)</f>
        <v/>
      </c>
      <c r="J8460" s="11">
        <f>MAX(0,M8460-N8460)</f>
        <v/>
      </c>
      <c r="K8460" s="11">
        <f>O8460</f>
        <v/>
      </c>
      <c r="L8460" s="11">
        <f>L8459+IF(K8460&gt;0,K8460*Summary!$B$9,K8460/Summary!$B$9)</f>
        <v/>
      </c>
      <c r="M8460" s="11">
        <f>G8460+H8460</f>
        <v/>
      </c>
      <c r="N8460" s="11">
        <f>Summary!$C$16*Summary!$B$8</f>
        <v/>
      </c>
      <c r="O8460" s="11">
        <f>M8460-N8460</f>
        <v/>
      </c>
    </row>
    <row r="8461">
      <c r="A8461" s="9" t="n">
        <v>45644.45833333334</v>
      </c>
      <c r="B8461" t="n">
        <v>12</v>
      </c>
      <c r="C8461" t="n">
        <v>18</v>
      </c>
      <c r="D8461" t="n">
        <v>11</v>
      </c>
      <c r="E8461" s="10" t="n">
        <v>0.031622</v>
      </c>
      <c r="F8461" s="10" t="n">
        <v>0.4695400486896117</v>
      </c>
      <c r="G8461" s="11">
        <f>E8461*Summary!$B$6</f>
        <v/>
      </c>
      <c r="H8461" s="11">
        <f>F8461*Summary!$B$7</f>
        <v/>
      </c>
      <c r="I8461" s="11">
        <f>MAX(0,N8461-M8461)</f>
        <v/>
      </c>
      <c r="J8461" s="11">
        <f>MAX(0,M8461-N8461)</f>
        <v/>
      </c>
      <c r="K8461" s="11">
        <f>O8461</f>
        <v/>
      </c>
      <c r="L8461" s="11">
        <f>L8460+IF(K8461&gt;0,K8461*Summary!$B$9,K8461/Summary!$B$9)</f>
        <v/>
      </c>
      <c r="M8461" s="11">
        <f>G8461+H8461</f>
        <v/>
      </c>
      <c r="N8461" s="11">
        <f>Summary!$C$16*Summary!$B$8</f>
        <v/>
      </c>
      <c r="O8461" s="11">
        <f>M8461-N8461</f>
        <v/>
      </c>
    </row>
    <row r="8462">
      <c r="A8462" s="9" t="n">
        <v>45644.5</v>
      </c>
      <c r="B8462" t="n">
        <v>12</v>
      </c>
      <c r="C8462" t="n">
        <v>18</v>
      </c>
      <c r="D8462" t="n">
        <v>12</v>
      </c>
      <c r="E8462" s="10" t="n">
        <v>0.032479</v>
      </c>
      <c r="F8462" s="10" t="n">
        <v>0.47623345829603</v>
      </c>
      <c r="G8462" s="11">
        <f>E8462*Summary!$B$6</f>
        <v/>
      </c>
      <c r="H8462" s="11">
        <f>F8462*Summary!$B$7</f>
        <v/>
      </c>
      <c r="I8462" s="11">
        <f>MAX(0,N8462-M8462)</f>
        <v/>
      </c>
      <c r="J8462" s="11">
        <f>MAX(0,M8462-N8462)</f>
        <v/>
      </c>
      <c r="K8462" s="11">
        <f>O8462</f>
        <v/>
      </c>
      <c r="L8462" s="11">
        <f>L8461+IF(K8462&gt;0,K8462*Summary!$B$9,K8462/Summary!$B$9)</f>
        <v/>
      </c>
      <c r="M8462" s="11">
        <f>G8462+H8462</f>
        <v/>
      </c>
      <c r="N8462" s="11">
        <f>Summary!$C$16*Summary!$B$8</f>
        <v/>
      </c>
      <c r="O8462" s="11">
        <f>M8462-N8462</f>
        <v/>
      </c>
    </row>
    <row r="8463">
      <c r="A8463" s="9" t="n">
        <v>45644.54166666666</v>
      </c>
      <c r="B8463" t="n">
        <v>12</v>
      </c>
      <c r="C8463" t="n">
        <v>18</v>
      </c>
      <c r="D8463" t="n">
        <v>13</v>
      </c>
      <c r="E8463" s="10" t="n">
        <v>0.02667</v>
      </c>
      <c r="F8463" s="10" t="n">
        <v>0.4825579398139055</v>
      </c>
      <c r="G8463" s="11">
        <f>E8463*Summary!$B$6</f>
        <v/>
      </c>
      <c r="H8463" s="11">
        <f>F8463*Summary!$B$7</f>
        <v/>
      </c>
      <c r="I8463" s="11">
        <f>MAX(0,N8463-M8463)</f>
        <v/>
      </c>
      <c r="J8463" s="11">
        <f>MAX(0,M8463-N8463)</f>
        <v/>
      </c>
      <c r="K8463" s="11">
        <f>O8463</f>
        <v/>
      </c>
      <c r="L8463" s="11">
        <f>L8462+IF(K8463&gt;0,K8463*Summary!$B$9,K8463/Summary!$B$9)</f>
        <v/>
      </c>
      <c r="M8463" s="11">
        <f>G8463+H8463</f>
        <v/>
      </c>
      <c r="N8463" s="11">
        <f>Summary!$C$16*Summary!$B$8</f>
        <v/>
      </c>
      <c r="O8463" s="11">
        <f>M8463-N8463</f>
        <v/>
      </c>
    </row>
    <row r="8464">
      <c r="A8464" s="9" t="n">
        <v>45644.58333333334</v>
      </c>
      <c r="B8464" t="n">
        <v>12</v>
      </c>
      <c r="C8464" t="n">
        <v>18</v>
      </c>
      <c r="D8464" t="n">
        <v>14</v>
      </c>
      <c r="E8464" s="10" t="n">
        <v>0.008418</v>
      </c>
      <c r="F8464" s="10" t="n">
        <v>0.4912277498946599</v>
      </c>
      <c r="G8464" s="11">
        <f>E8464*Summary!$B$6</f>
        <v/>
      </c>
      <c r="H8464" s="11">
        <f>F8464*Summary!$B$7</f>
        <v/>
      </c>
      <c r="I8464" s="11">
        <f>MAX(0,N8464-M8464)</f>
        <v/>
      </c>
      <c r="J8464" s="11">
        <f>MAX(0,M8464-N8464)</f>
        <v/>
      </c>
      <c r="K8464" s="11">
        <f>O8464</f>
        <v/>
      </c>
      <c r="L8464" s="11">
        <f>L8463+IF(K8464&gt;0,K8464*Summary!$B$9,K8464/Summary!$B$9)</f>
        <v/>
      </c>
      <c r="M8464" s="11">
        <f>G8464+H8464</f>
        <v/>
      </c>
      <c r="N8464" s="11">
        <f>Summary!$C$16*Summary!$B$8</f>
        <v/>
      </c>
      <c r="O8464" s="11">
        <f>M8464-N8464</f>
        <v/>
      </c>
    </row>
    <row r="8465">
      <c r="A8465" s="9" t="n">
        <v>45644.625</v>
      </c>
      <c r="B8465" t="n">
        <v>12</v>
      </c>
      <c r="C8465" t="n">
        <v>18</v>
      </c>
      <c r="D8465" t="n">
        <v>15</v>
      </c>
      <c r="E8465" s="10" t="n">
        <v>0</v>
      </c>
      <c r="F8465" s="10" t="n">
        <v>0.5024273525825645</v>
      </c>
      <c r="G8465" s="11">
        <f>E8465*Summary!$B$6</f>
        <v/>
      </c>
      <c r="H8465" s="11">
        <f>F8465*Summary!$B$7</f>
        <v/>
      </c>
      <c r="I8465" s="11">
        <f>MAX(0,N8465-M8465)</f>
        <v/>
      </c>
      <c r="J8465" s="11">
        <f>MAX(0,M8465-N8465)</f>
        <v/>
      </c>
      <c r="K8465" s="11">
        <f>O8465</f>
        <v/>
      </c>
      <c r="L8465" s="11">
        <f>L8464+IF(K8465&gt;0,K8465*Summary!$B$9,K8465/Summary!$B$9)</f>
        <v/>
      </c>
      <c r="M8465" s="11">
        <f>G8465+H8465</f>
        <v/>
      </c>
      <c r="N8465" s="11">
        <f>Summary!$C$16*Summary!$B$8</f>
        <v/>
      </c>
      <c r="O8465" s="11">
        <f>M8465-N8465</f>
        <v/>
      </c>
    </row>
    <row r="8466">
      <c r="A8466" s="9" t="n">
        <v>45644.66666666666</v>
      </c>
      <c r="B8466" t="n">
        <v>12</v>
      </c>
      <c r="C8466" t="n">
        <v>18</v>
      </c>
      <c r="D8466" t="n">
        <v>16</v>
      </c>
      <c r="E8466" s="10" t="n">
        <v>0</v>
      </c>
      <c r="F8466" s="10" t="n">
        <v>0.5087781861067646</v>
      </c>
      <c r="G8466" s="11">
        <f>E8466*Summary!$B$6</f>
        <v/>
      </c>
      <c r="H8466" s="11">
        <f>F8466*Summary!$B$7</f>
        <v/>
      </c>
      <c r="I8466" s="11">
        <f>MAX(0,N8466-M8466)</f>
        <v/>
      </c>
      <c r="J8466" s="11">
        <f>MAX(0,M8466-N8466)</f>
        <v/>
      </c>
      <c r="K8466" s="11">
        <f>O8466</f>
        <v/>
      </c>
      <c r="L8466" s="11">
        <f>L8465+IF(K8466&gt;0,K8466*Summary!$B$9,K8466/Summary!$B$9)</f>
        <v/>
      </c>
      <c r="M8466" s="11">
        <f>G8466+H8466</f>
        <v/>
      </c>
      <c r="N8466" s="11">
        <f>Summary!$C$16*Summary!$B$8</f>
        <v/>
      </c>
      <c r="O8466" s="11">
        <f>M8466-N8466</f>
        <v/>
      </c>
    </row>
    <row r="8467">
      <c r="A8467" s="9" t="n">
        <v>45644.70833333334</v>
      </c>
      <c r="B8467" t="n">
        <v>12</v>
      </c>
      <c r="C8467" t="n">
        <v>18</v>
      </c>
      <c r="D8467" t="n">
        <v>17</v>
      </c>
      <c r="E8467" s="10" t="n">
        <v>0</v>
      </c>
      <c r="F8467" s="10" t="n">
        <v>0.5075132898031895</v>
      </c>
      <c r="G8467" s="11">
        <f>E8467*Summary!$B$6</f>
        <v/>
      </c>
      <c r="H8467" s="11">
        <f>F8467*Summary!$B$7</f>
        <v/>
      </c>
      <c r="I8467" s="11">
        <f>MAX(0,N8467-M8467)</f>
        <v/>
      </c>
      <c r="J8467" s="11">
        <f>MAX(0,M8467-N8467)</f>
        <v/>
      </c>
      <c r="K8467" s="11">
        <f>O8467</f>
        <v/>
      </c>
      <c r="L8467" s="11">
        <f>L8466+IF(K8467&gt;0,K8467*Summary!$B$9,K8467/Summary!$B$9)</f>
        <v/>
      </c>
      <c r="M8467" s="11">
        <f>G8467+H8467</f>
        <v/>
      </c>
      <c r="N8467" s="11">
        <f>Summary!$C$16*Summary!$B$8</f>
        <v/>
      </c>
      <c r="O8467" s="11">
        <f>M8467-N8467</f>
        <v/>
      </c>
    </row>
    <row r="8468">
      <c r="A8468" s="9" t="n">
        <v>45644.75</v>
      </c>
      <c r="B8468" t="n">
        <v>12</v>
      </c>
      <c r="C8468" t="n">
        <v>18</v>
      </c>
      <c r="D8468" t="n">
        <v>18</v>
      </c>
      <c r="E8468" s="10" t="n">
        <v>0</v>
      </c>
      <c r="F8468" s="10" t="n">
        <v>0.5114397387455373</v>
      </c>
      <c r="G8468" s="11">
        <f>E8468*Summary!$B$6</f>
        <v/>
      </c>
      <c r="H8468" s="11">
        <f>F8468*Summary!$B$7</f>
        <v/>
      </c>
      <c r="I8468" s="11">
        <f>MAX(0,N8468-M8468)</f>
        <v/>
      </c>
      <c r="J8468" s="11">
        <f>MAX(0,M8468-N8468)</f>
        <v/>
      </c>
      <c r="K8468" s="11">
        <f>O8468</f>
        <v/>
      </c>
      <c r="L8468" s="11">
        <f>L8467+IF(K8468&gt;0,K8468*Summary!$B$9,K8468/Summary!$B$9)</f>
        <v/>
      </c>
      <c r="M8468" s="11">
        <f>G8468+H8468</f>
        <v/>
      </c>
      <c r="N8468" s="11">
        <f>Summary!$C$16*Summary!$B$8</f>
        <v/>
      </c>
      <c r="O8468" s="11">
        <f>M8468-N8468</f>
        <v/>
      </c>
    </row>
    <row r="8469">
      <c r="A8469" s="9" t="n">
        <v>45644.79166666666</v>
      </c>
      <c r="B8469" t="n">
        <v>12</v>
      </c>
      <c r="C8469" t="n">
        <v>18</v>
      </c>
      <c r="D8469" t="n">
        <v>19</v>
      </c>
      <c r="E8469" s="10" t="n">
        <v>0</v>
      </c>
      <c r="F8469" s="10" t="n">
        <v>0.5184757244341739</v>
      </c>
      <c r="G8469" s="11">
        <f>E8469*Summary!$B$6</f>
        <v/>
      </c>
      <c r="H8469" s="11">
        <f>F8469*Summary!$B$7</f>
        <v/>
      </c>
      <c r="I8469" s="11">
        <f>MAX(0,N8469-M8469)</f>
        <v/>
      </c>
      <c r="J8469" s="11">
        <f>MAX(0,M8469-N8469)</f>
        <v/>
      </c>
      <c r="K8469" s="11">
        <f>O8469</f>
        <v/>
      </c>
      <c r="L8469" s="11">
        <f>L8468+IF(K8469&gt;0,K8469*Summary!$B$9,K8469/Summary!$B$9)</f>
        <v/>
      </c>
      <c r="M8469" s="11">
        <f>G8469+H8469</f>
        <v/>
      </c>
      <c r="N8469" s="11">
        <f>Summary!$C$16*Summary!$B$8</f>
        <v/>
      </c>
      <c r="O8469" s="11">
        <f>M8469-N8469</f>
        <v/>
      </c>
    </row>
    <row r="8470">
      <c r="A8470" s="9" t="n">
        <v>45644.83333333334</v>
      </c>
      <c r="B8470" t="n">
        <v>12</v>
      </c>
      <c r="C8470" t="n">
        <v>18</v>
      </c>
      <c r="D8470" t="n">
        <v>20</v>
      </c>
      <c r="E8470" s="10" t="n">
        <v>0</v>
      </c>
      <c r="F8470" s="10" t="n">
        <v>0.5168682520483805</v>
      </c>
      <c r="G8470" s="11">
        <f>E8470*Summary!$B$6</f>
        <v/>
      </c>
      <c r="H8470" s="11">
        <f>F8470*Summary!$B$7</f>
        <v/>
      </c>
      <c r="I8470" s="11">
        <f>MAX(0,N8470-M8470)</f>
        <v/>
      </c>
      <c r="J8470" s="11">
        <f>MAX(0,M8470-N8470)</f>
        <v/>
      </c>
      <c r="K8470" s="11">
        <f>O8470</f>
        <v/>
      </c>
      <c r="L8470" s="11">
        <f>L8469+IF(K8470&gt;0,K8470*Summary!$B$9,K8470/Summary!$B$9)</f>
        <v/>
      </c>
      <c r="M8470" s="11">
        <f>G8470+H8470</f>
        <v/>
      </c>
      <c r="N8470" s="11">
        <f>Summary!$C$16*Summary!$B$8</f>
        <v/>
      </c>
      <c r="O8470" s="11">
        <f>M8470-N8470</f>
        <v/>
      </c>
    </row>
    <row r="8471">
      <c r="A8471" s="9" t="n">
        <v>45644.875</v>
      </c>
      <c r="B8471" t="n">
        <v>12</v>
      </c>
      <c r="C8471" t="n">
        <v>18</v>
      </c>
      <c r="D8471" t="n">
        <v>21</v>
      </c>
      <c r="E8471" s="10" t="n">
        <v>0</v>
      </c>
      <c r="F8471" s="10" t="n">
        <v>0.5229555655093358</v>
      </c>
      <c r="G8471" s="11">
        <f>E8471*Summary!$B$6</f>
        <v/>
      </c>
      <c r="H8471" s="11">
        <f>F8471*Summary!$B$7</f>
        <v/>
      </c>
      <c r="I8471" s="11">
        <f>MAX(0,N8471-M8471)</f>
        <v/>
      </c>
      <c r="J8471" s="11">
        <f>MAX(0,M8471-N8471)</f>
        <v/>
      </c>
      <c r="K8471" s="11">
        <f>O8471</f>
        <v/>
      </c>
      <c r="L8471" s="11">
        <f>L8470+IF(K8471&gt;0,K8471*Summary!$B$9,K8471/Summary!$B$9)</f>
        <v/>
      </c>
      <c r="M8471" s="11">
        <f>G8471+H8471</f>
        <v/>
      </c>
      <c r="N8471" s="11">
        <f>Summary!$C$16*Summary!$B$8</f>
        <v/>
      </c>
      <c r="O8471" s="11">
        <f>M8471-N8471</f>
        <v/>
      </c>
    </row>
    <row r="8472">
      <c r="A8472" s="9" t="n">
        <v>45644.91666666666</v>
      </c>
      <c r="B8472" t="n">
        <v>12</v>
      </c>
      <c r="C8472" t="n">
        <v>18</v>
      </c>
      <c r="D8472" t="n">
        <v>22</v>
      </c>
      <c r="E8472" s="10" t="n">
        <v>0</v>
      </c>
      <c r="F8472" s="10" t="n">
        <v>0.5270137744833059</v>
      </c>
      <c r="G8472" s="11">
        <f>E8472*Summary!$B$6</f>
        <v/>
      </c>
      <c r="H8472" s="11">
        <f>F8472*Summary!$B$7</f>
        <v/>
      </c>
      <c r="I8472" s="11">
        <f>MAX(0,N8472-M8472)</f>
        <v/>
      </c>
      <c r="J8472" s="11">
        <f>MAX(0,M8472-N8472)</f>
        <v/>
      </c>
      <c r="K8472" s="11">
        <f>O8472</f>
        <v/>
      </c>
      <c r="L8472" s="11">
        <f>L8471+IF(K8472&gt;0,K8472*Summary!$B$9,K8472/Summary!$B$9)</f>
        <v/>
      </c>
      <c r="M8472" s="11">
        <f>G8472+H8472</f>
        <v/>
      </c>
      <c r="N8472" s="11">
        <f>Summary!$C$16*Summary!$B$8</f>
        <v/>
      </c>
      <c r="O8472" s="11">
        <f>M8472-N8472</f>
        <v/>
      </c>
    </row>
    <row r="8473">
      <c r="A8473" s="9" t="n">
        <v>45644.95833333334</v>
      </c>
      <c r="B8473" t="n">
        <v>12</v>
      </c>
      <c r="C8473" t="n">
        <v>18</v>
      </c>
      <c r="D8473" t="n">
        <v>23</v>
      </c>
      <c r="E8473" s="10" t="n">
        <v>0</v>
      </c>
      <c r="F8473" s="10" t="n">
        <v>0.5338125921150221</v>
      </c>
      <c r="G8473" s="11">
        <f>E8473*Summary!$B$6</f>
        <v/>
      </c>
      <c r="H8473" s="11">
        <f>F8473*Summary!$B$7</f>
        <v/>
      </c>
      <c r="I8473" s="11">
        <f>MAX(0,N8473-M8473)</f>
        <v/>
      </c>
      <c r="J8473" s="11">
        <f>MAX(0,M8473-N8473)</f>
        <v/>
      </c>
      <c r="K8473" s="11">
        <f>O8473</f>
        <v/>
      </c>
      <c r="L8473" s="11">
        <f>L8472+IF(K8473&gt;0,K8473*Summary!$B$9,K8473/Summary!$B$9)</f>
        <v/>
      </c>
      <c r="M8473" s="11">
        <f>G8473+H8473</f>
        <v/>
      </c>
      <c r="N8473" s="11">
        <f>Summary!$C$16*Summary!$B$8</f>
        <v/>
      </c>
      <c r="O8473" s="11">
        <f>M8473-N8473</f>
        <v/>
      </c>
    </row>
    <row r="8474">
      <c r="A8474" s="9" t="n">
        <v>45645</v>
      </c>
      <c r="B8474" t="n">
        <v>12</v>
      </c>
      <c r="C8474" t="n">
        <v>19</v>
      </c>
      <c r="D8474" t="n">
        <v>0</v>
      </c>
      <c r="E8474" s="10" t="n">
        <v>0</v>
      </c>
      <c r="F8474" s="10" t="n">
        <v>0.4527801726672414</v>
      </c>
      <c r="G8474" s="11">
        <f>E8474*Summary!$B$6</f>
        <v/>
      </c>
      <c r="H8474" s="11">
        <f>F8474*Summary!$B$7</f>
        <v/>
      </c>
      <c r="I8474" s="11">
        <f>MAX(0,N8474-M8474)</f>
        <v/>
      </c>
      <c r="J8474" s="11">
        <f>MAX(0,M8474-N8474)</f>
        <v/>
      </c>
      <c r="K8474" s="11">
        <f>O8474</f>
        <v/>
      </c>
      <c r="L8474" s="11">
        <f>L8473+IF(K8474&gt;0,K8474*Summary!$B$9,K8474/Summary!$B$9)</f>
        <v/>
      </c>
      <c r="M8474" s="11">
        <f>G8474+H8474</f>
        <v/>
      </c>
      <c r="N8474" s="11">
        <f>Summary!$C$16*Summary!$B$8</f>
        <v/>
      </c>
      <c r="O8474" s="11">
        <f>M8474-N8474</f>
        <v/>
      </c>
    </row>
    <row r="8475">
      <c r="A8475" s="9" t="n">
        <v>45645.04166666666</v>
      </c>
      <c r="B8475" t="n">
        <v>12</v>
      </c>
      <c r="C8475" t="n">
        <v>19</v>
      </c>
      <c r="D8475" t="n">
        <v>1</v>
      </c>
      <c r="E8475" s="10" t="n">
        <v>0</v>
      </c>
      <c r="F8475" s="10" t="n">
        <v>0.5343659842478362</v>
      </c>
      <c r="G8475" s="11">
        <f>E8475*Summary!$B$6</f>
        <v/>
      </c>
      <c r="H8475" s="11">
        <f>F8475*Summary!$B$7</f>
        <v/>
      </c>
      <c r="I8475" s="11">
        <f>MAX(0,N8475-M8475)</f>
        <v/>
      </c>
      <c r="J8475" s="11">
        <f>MAX(0,M8475-N8475)</f>
        <v/>
      </c>
      <c r="K8475" s="11">
        <f>O8475</f>
        <v/>
      </c>
      <c r="L8475" s="11">
        <f>L8474+IF(K8475&gt;0,K8475*Summary!$B$9,K8475/Summary!$B$9)</f>
        <v/>
      </c>
      <c r="M8475" s="11">
        <f>G8475+H8475</f>
        <v/>
      </c>
      <c r="N8475" s="11">
        <f>Summary!$C$16*Summary!$B$8</f>
        <v/>
      </c>
      <c r="O8475" s="11">
        <f>M8475-N8475</f>
        <v/>
      </c>
    </row>
    <row r="8476">
      <c r="A8476" s="9" t="n">
        <v>45645.08333333334</v>
      </c>
      <c r="B8476" t="n">
        <v>12</v>
      </c>
      <c r="C8476" t="n">
        <v>19</v>
      </c>
      <c r="D8476" t="n">
        <v>2</v>
      </c>
      <c r="E8476" s="10" t="n">
        <v>0</v>
      </c>
      <c r="F8476" s="10" t="n">
        <v>0.5323105277545267</v>
      </c>
      <c r="G8476" s="11">
        <f>E8476*Summary!$B$6</f>
        <v/>
      </c>
      <c r="H8476" s="11">
        <f>F8476*Summary!$B$7</f>
        <v/>
      </c>
      <c r="I8476" s="11">
        <f>MAX(0,N8476-M8476)</f>
        <v/>
      </c>
      <c r="J8476" s="11">
        <f>MAX(0,M8476-N8476)</f>
        <v/>
      </c>
      <c r="K8476" s="11">
        <f>O8476</f>
        <v/>
      </c>
      <c r="L8476" s="11">
        <f>L8475+IF(K8476&gt;0,K8476*Summary!$B$9,K8476/Summary!$B$9)</f>
        <v/>
      </c>
      <c r="M8476" s="11">
        <f>G8476+H8476</f>
        <v/>
      </c>
      <c r="N8476" s="11">
        <f>Summary!$C$16*Summary!$B$8</f>
        <v/>
      </c>
      <c r="O8476" s="11">
        <f>M8476-N8476</f>
        <v/>
      </c>
    </row>
    <row r="8477">
      <c r="A8477" s="9" t="n">
        <v>45645.125</v>
      </c>
      <c r="B8477" t="n">
        <v>12</v>
      </c>
      <c r="C8477" t="n">
        <v>19</v>
      </c>
      <c r="D8477" t="n">
        <v>3</v>
      </c>
      <c r="E8477" s="10" t="n">
        <v>0</v>
      </c>
      <c r="F8477" s="10" t="n">
        <v>0.5281469107552585</v>
      </c>
      <c r="G8477" s="11">
        <f>E8477*Summary!$B$6</f>
        <v/>
      </c>
      <c r="H8477" s="11">
        <f>F8477*Summary!$B$7</f>
        <v/>
      </c>
      <c r="I8477" s="11">
        <f>MAX(0,N8477-M8477)</f>
        <v/>
      </c>
      <c r="J8477" s="11">
        <f>MAX(0,M8477-N8477)</f>
        <v/>
      </c>
      <c r="K8477" s="11">
        <f>O8477</f>
        <v/>
      </c>
      <c r="L8477" s="11">
        <f>L8476+IF(K8477&gt;0,K8477*Summary!$B$9,K8477/Summary!$B$9)</f>
        <v/>
      </c>
      <c r="M8477" s="11">
        <f>G8477+H8477</f>
        <v/>
      </c>
      <c r="N8477" s="11">
        <f>Summary!$C$16*Summary!$B$8</f>
        <v/>
      </c>
      <c r="O8477" s="11">
        <f>M8477-N8477</f>
        <v/>
      </c>
    </row>
    <row r="8478">
      <c r="A8478" s="9" t="n">
        <v>45645.16666666666</v>
      </c>
      <c r="B8478" t="n">
        <v>12</v>
      </c>
      <c r="C8478" t="n">
        <v>19</v>
      </c>
      <c r="D8478" t="n">
        <v>4</v>
      </c>
      <c r="E8478" s="10" t="n">
        <v>0</v>
      </c>
      <c r="F8478" s="10" t="n">
        <v>0.5213744451298669</v>
      </c>
      <c r="G8478" s="11">
        <f>E8478*Summary!$B$6</f>
        <v/>
      </c>
      <c r="H8478" s="11">
        <f>F8478*Summary!$B$7</f>
        <v/>
      </c>
      <c r="I8478" s="11">
        <f>MAX(0,N8478-M8478)</f>
        <v/>
      </c>
      <c r="J8478" s="11">
        <f>MAX(0,M8478-N8478)</f>
        <v/>
      </c>
      <c r="K8478" s="11">
        <f>O8478</f>
        <v/>
      </c>
      <c r="L8478" s="11">
        <f>L8477+IF(K8478&gt;0,K8478*Summary!$B$9,K8478/Summary!$B$9)</f>
        <v/>
      </c>
      <c r="M8478" s="11">
        <f>G8478+H8478</f>
        <v/>
      </c>
      <c r="N8478" s="11">
        <f>Summary!$C$16*Summary!$B$8</f>
        <v/>
      </c>
      <c r="O8478" s="11">
        <f>M8478-N8478</f>
        <v/>
      </c>
    </row>
    <row r="8479">
      <c r="A8479" s="9" t="n">
        <v>45645.20833333334</v>
      </c>
      <c r="B8479" t="n">
        <v>12</v>
      </c>
      <c r="C8479" t="n">
        <v>19</v>
      </c>
      <c r="D8479" t="n">
        <v>5</v>
      </c>
      <c r="E8479" s="10" t="n">
        <v>0</v>
      </c>
      <c r="F8479" s="10" t="n">
        <v>0.5125992270238144</v>
      </c>
      <c r="G8479" s="11">
        <f>E8479*Summary!$B$6</f>
        <v/>
      </c>
      <c r="H8479" s="11">
        <f>F8479*Summary!$B$7</f>
        <v/>
      </c>
      <c r="I8479" s="11">
        <f>MAX(0,N8479-M8479)</f>
        <v/>
      </c>
      <c r="J8479" s="11">
        <f>MAX(0,M8479-N8479)</f>
        <v/>
      </c>
      <c r="K8479" s="11">
        <f>O8479</f>
        <v/>
      </c>
      <c r="L8479" s="11">
        <f>L8478+IF(K8479&gt;0,K8479*Summary!$B$9,K8479/Summary!$B$9)</f>
        <v/>
      </c>
      <c r="M8479" s="11">
        <f>G8479+H8479</f>
        <v/>
      </c>
      <c r="N8479" s="11">
        <f>Summary!$C$16*Summary!$B$8</f>
        <v/>
      </c>
      <c r="O8479" s="11">
        <f>M8479-N8479</f>
        <v/>
      </c>
    </row>
    <row r="8480">
      <c r="A8480" s="9" t="n">
        <v>45645.25</v>
      </c>
      <c r="B8480" t="n">
        <v>12</v>
      </c>
      <c r="C8480" t="n">
        <v>19</v>
      </c>
      <c r="D8480" t="n">
        <v>6</v>
      </c>
      <c r="E8480" s="10" t="n">
        <v>0</v>
      </c>
      <c r="F8480" s="10" t="n">
        <v>0.5020057204813729</v>
      </c>
      <c r="G8480" s="11">
        <f>E8480*Summary!$B$6</f>
        <v/>
      </c>
      <c r="H8480" s="11">
        <f>F8480*Summary!$B$7</f>
        <v/>
      </c>
      <c r="I8480" s="11">
        <f>MAX(0,N8480-M8480)</f>
        <v/>
      </c>
      <c r="J8480" s="11">
        <f>MAX(0,M8480-N8480)</f>
        <v/>
      </c>
      <c r="K8480" s="11">
        <f>O8480</f>
        <v/>
      </c>
      <c r="L8480" s="11">
        <f>L8479+IF(K8480&gt;0,K8480*Summary!$B$9,K8480/Summary!$B$9)</f>
        <v/>
      </c>
      <c r="M8480" s="11">
        <f>G8480+H8480</f>
        <v/>
      </c>
      <c r="N8480" s="11">
        <f>Summary!$C$16*Summary!$B$8</f>
        <v/>
      </c>
      <c r="O8480" s="11">
        <f>M8480-N8480</f>
        <v/>
      </c>
    </row>
    <row r="8481">
      <c r="A8481" s="9" t="n">
        <v>45645.29166666666</v>
      </c>
      <c r="B8481" t="n">
        <v>12</v>
      </c>
      <c r="C8481" t="n">
        <v>19</v>
      </c>
      <c r="D8481" t="n">
        <v>7</v>
      </c>
      <c r="E8481" s="10" t="n">
        <v>0</v>
      </c>
      <c r="F8481" s="10" t="n">
        <v>0.4926244062298575</v>
      </c>
      <c r="G8481" s="11">
        <f>E8481*Summary!$B$6</f>
        <v/>
      </c>
      <c r="H8481" s="11">
        <f>F8481*Summary!$B$7</f>
        <v/>
      </c>
      <c r="I8481" s="11">
        <f>MAX(0,N8481-M8481)</f>
        <v/>
      </c>
      <c r="J8481" s="11">
        <f>MAX(0,M8481-N8481)</f>
        <v/>
      </c>
      <c r="K8481" s="11">
        <f>O8481</f>
        <v/>
      </c>
      <c r="L8481" s="11">
        <f>L8480+IF(K8481&gt;0,K8481*Summary!$B$9,K8481/Summary!$B$9)</f>
        <v/>
      </c>
      <c r="M8481" s="11">
        <f>G8481+H8481</f>
        <v/>
      </c>
      <c r="N8481" s="11">
        <f>Summary!$C$16*Summary!$B$8</f>
        <v/>
      </c>
      <c r="O8481" s="11">
        <f>M8481-N8481</f>
        <v/>
      </c>
    </row>
    <row r="8482">
      <c r="A8482" s="9" t="n">
        <v>45645.33333333334</v>
      </c>
      <c r="B8482" t="n">
        <v>12</v>
      </c>
      <c r="C8482" t="n">
        <v>19</v>
      </c>
      <c r="D8482" t="n">
        <v>8</v>
      </c>
      <c r="E8482" s="10" t="n">
        <v>0</v>
      </c>
      <c r="F8482" s="10" t="n">
        <v>0.478315266795664</v>
      </c>
      <c r="G8482" s="11">
        <f>E8482*Summary!$B$6</f>
        <v/>
      </c>
      <c r="H8482" s="11">
        <f>F8482*Summary!$B$7</f>
        <v/>
      </c>
      <c r="I8482" s="11">
        <f>MAX(0,N8482-M8482)</f>
        <v/>
      </c>
      <c r="J8482" s="11">
        <f>MAX(0,M8482-N8482)</f>
        <v/>
      </c>
      <c r="K8482" s="11">
        <f>O8482</f>
        <v/>
      </c>
      <c r="L8482" s="11">
        <f>L8481+IF(K8482&gt;0,K8482*Summary!$B$9,K8482/Summary!$B$9)</f>
        <v/>
      </c>
      <c r="M8482" s="11">
        <f>G8482+H8482</f>
        <v/>
      </c>
      <c r="N8482" s="11">
        <f>Summary!$C$16*Summary!$B$8</f>
        <v/>
      </c>
      <c r="O8482" s="11">
        <f>M8482-N8482</f>
        <v/>
      </c>
    </row>
    <row r="8483">
      <c r="A8483" s="9" t="n">
        <v>45645.375</v>
      </c>
      <c r="B8483" t="n">
        <v>12</v>
      </c>
      <c r="C8483" t="n">
        <v>19</v>
      </c>
      <c r="D8483" t="n">
        <v>9</v>
      </c>
      <c r="E8483" s="10" t="n">
        <v>0.024245</v>
      </c>
      <c r="F8483" s="10" t="n">
        <v>0.4660879358611046</v>
      </c>
      <c r="G8483" s="11">
        <f>E8483*Summary!$B$6</f>
        <v/>
      </c>
      <c r="H8483" s="11">
        <f>F8483*Summary!$B$7</f>
        <v/>
      </c>
      <c r="I8483" s="11">
        <f>MAX(0,N8483-M8483)</f>
        <v/>
      </c>
      <c r="J8483" s="11">
        <f>MAX(0,M8483-N8483)</f>
        <v/>
      </c>
      <c r="K8483" s="11">
        <f>O8483</f>
        <v/>
      </c>
      <c r="L8483" s="11">
        <f>L8482+IF(K8483&gt;0,K8483*Summary!$B$9,K8483/Summary!$B$9)</f>
        <v/>
      </c>
      <c r="M8483" s="11">
        <f>G8483+H8483</f>
        <v/>
      </c>
      <c r="N8483" s="11">
        <f>Summary!$C$16*Summary!$B$8</f>
        <v/>
      </c>
      <c r="O8483" s="11">
        <f>M8483-N8483</f>
        <v/>
      </c>
    </row>
    <row r="8484">
      <c r="A8484" s="9" t="n">
        <v>45645.41666666666</v>
      </c>
      <c r="B8484" t="n">
        <v>12</v>
      </c>
      <c r="C8484" t="n">
        <v>19</v>
      </c>
      <c r="D8484" t="n">
        <v>10</v>
      </c>
      <c r="E8484" s="10" t="n">
        <v>0.07534299999999999</v>
      </c>
      <c r="F8484" s="10" t="n">
        <v>0.4476942354466165</v>
      </c>
      <c r="G8484" s="11">
        <f>E8484*Summary!$B$6</f>
        <v/>
      </c>
      <c r="H8484" s="11">
        <f>F8484*Summary!$B$7</f>
        <v/>
      </c>
      <c r="I8484" s="11">
        <f>MAX(0,N8484-M8484)</f>
        <v/>
      </c>
      <c r="J8484" s="11">
        <f>MAX(0,M8484-N8484)</f>
        <v/>
      </c>
      <c r="K8484" s="11">
        <f>O8484</f>
        <v/>
      </c>
      <c r="L8484" s="11">
        <f>L8483+IF(K8484&gt;0,K8484*Summary!$B$9,K8484/Summary!$B$9)</f>
        <v/>
      </c>
      <c r="M8484" s="11">
        <f>G8484+H8484</f>
        <v/>
      </c>
      <c r="N8484" s="11">
        <f>Summary!$C$16*Summary!$B$8</f>
        <v/>
      </c>
      <c r="O8484" s="11">
        <f>M8484-N8484</f>
        <v/>
      </c>
    </row>
    <row r="8485">
      <c r="A8485" s="9" t="n">
        <v>45645.45833333334</v>
      </c>
      <c r="B8485" t="n">
        <v>12</v>
      </c>
      <c r="C8485" t="n">
        <v>19</v>
      </c>
      <c r="D8485" t="n">
        <v>11</v>
      </c>
      <c r="E8485" s="10" t="n">
        <v>0.064748</v>
      </c>
      <c r="F8485" s="10" t="n">
        <v>0.4317249196139807</v>
      </c>
      <c r="G8485" s="11">
        <f>E8485*Summary!$B$6</f>
        <v/>
      </c>
      <c r="H8485" s="11">
        <f>F8485*Summary!$B$7</f>
        <v/>
      </c>
      <c r="I8485" s="11">
        <f>MAX(0,N8485-M8485)</f>
        <v/>
      </c>
      <c r="J8485" s="11">
        <f>MAX(0,M8485-N8485)</f>
        <v/>
      </c>
      <c r="K8485" s="11">
        <f>O8485</f>
        <v/>
      </c>
      <c r="L8485" s="11">
        <f>L8484+IF(K8485&gt;0,K8485*Summary!$B$9,K8485/Summary!$B$9)</f>
        <v/>
      </c>
      <c r="M8485" s="11">
        <f>G8485+H8485</f>
        <v/>
      </c>
      <c r="N8485" s="11">
        <f>Summary!$C$16*Summary!$B$8</f>
        <v/>
      </c>
      <c r="O8485" s="11">
        <f>M8485-N8485</f>
        <v/>
      </c>
    </row>
    <row r="8486">
      <c r="A8486" s="9" t="n">
        <v>45645.5</v>
      </c>
      <c r="B8486" t="n">
        <v>12</v>
      </c>
      <c r="C8486" t="n">
        <v>19</v>
      </c>
      <c r="D8486" t="n">
        <v>12</v>
      </c>
      <c r="E8486" s="10" t="n">
        <v>0.037218</v>
      </c>
      <c r="F8486" s="10" t="n">
        <v>0.4203935568944537</v>
      </c>
      <c r="G8486" s="11">
        <f>E8486*Summary!$B$6</f>
        <v/>
      </c>
      <c r="H8486" s="11">
        <f>F8486*Summary!$B$7</f>
        <v/>
      </c>
      <c r="I8486" s="11">
        <f>MAX(0,N8486-M8486)</f>
        <v/>
      </c>
      <c r="J8486" s="11">
        <f>MAX(0,M8486-N8486)</f>
        <v/>
      </c>
      <c r="K8486" s="11">
        <f>O8486</f>
        <v/>
      </c>
      <c r="L8486" s="11">
        <f>L8485+IF(K8486&gt;0,K8486*Summary!$B$9,K8486/Summary!$B$9)</f>
        <v/>
      </c>
      <c r="M8486" s="11">
        <f>G8486+H8486</f>
        <v/>
      </c>
      <c r="N8486" s="11">
        <f>Summary!$C$16*Summary!$B$8</f>
        <v/>
      </c>
      <c r="O8486" s="11">
        <f>M8486-N8486</f>
        <v/>
      </c>
    </row>
    <row r="8487">
      <c r="A8487" s="9" t="n">
        <v>45645.54166666666</v>
      </c>
      <c r="B8487" t="n">
        <v>12</v>
      </c>
      <c r="C8487" t="n">
        <v>19</v>
      </c>
      <c r="D8487" t="n">
        <v>13</v>
      </c>
      <c r="E8487" s="10" t="n">
        <v>0.03284</v>
      </c>
      <c r="F8487" s="10" t="n">
        <v>0.4174948361987607</v>
      </c>
      <c r="G8487" s="11">
        <f>E8487*Summary!$B$6</f>
        <v/>
      </c>
      <c r="H8487" s="11">
        <f>F8487*Summary!$B$7</f>
        <v/>
      </c>
      <c r="I8487" s="11">
        <f>MAX(0,N8487-M8487)</f>
        <v/>
      </c>
      <c r="J8487" s="11">
        <f>MAX(0,M8487-N8487)</f>
        <v/>
      </c>
      <c r="K8487" s="11">
        <f>O8487</f>
        <v/>
      </c>
      <c r="L8487" s="11">
        <f>L8486+IF(K8487&gt;0,K8487*Summary!$B$9,K8487/Summary!$B$9)</f>
        <v/>
      </c>
      <c r="M8487" s="11">
        <f>G8487+H8487</f>
        <v/>
      </c>
      <c r="N8487" s="11">
        <f>Summary!$C$16*Summary!$B$8</f>
        <v/>
      </c>
      <c r="O8487" s="11">
        <f>M8487-N8487</f>
        <v/>
      </c>
    </row>
    <row r="8488">
      <c r="A8488" s="9" t="n">
        <v>45645.58333333334</v>
      </c>
      <c r="B8488" t="n">
        <v>12</v>
      </c>
      <c r="C8488" t="n">
        <v>19</v>
      </c>
      <c r="D8488" t="n">
        <v>14</v>
      </c>
      <c r="E8488" s="10" t="n">
        <v>0.010607</v>
      </c>
      <c r="F8488" s="10" t="n">
        <v>0.4257430141783234</v>
      </c>
      <c r="G8488" s="11">
        <f>E8488*Summary!$B$6</f>
        <v/>
      </c>
      <c r="H8488" s="11">
        <f>F8488*Summary!$B$7</f>
        <v/>
      </c>
      <c r="I8488" s="11">
        <f>MAX(0,N8488-M8488)</f>
        <v/>
      </c>
      <c r="J8488" s="11">
        <f>MAX(0,M8488-N8488)</f>
        <v/>
      </c>
      <c r="K8488" s="11">
        <f>O8488</f>
        <v/>
      </c>
      <c r="L8488" s="11">
        <f>L8487+IF(K8488&gt;0,K8488*Summary!$B$9,K8488/Summary!$B$9)</f>
        <v/>
      </c>
      <c r="M8488" s="11">
        <f>G8488+H8488</f>
        <v/>
      </c>
      <c r="N8488" s="11">
        <f>Summary!$C$16*Summary!$B$8</f>
        <v/>
      </c>
      <c r="O8488" s="11">
        <f>M8488-N8488</f>
        <v/>
      </c>
    </row>
    <row r="8489">
      <c r="A8489" s="9" t="n">
        <v>45645.625</v>
      </c>
      <c r="B8489" t="n">
        <v>12</v>
      </c>
      <c r="C8489" t="n">
        <v>19</v>
      </c>
      <c r="D8489" t="n">
        <v>15</v>
      </c>
      <c r="E8489" s="10" t="n">
        <v>0</v>
      </c>
      <c r="F8489" s="10" t="n">
        <v>0.4470354352885045</v>
      </c>
      <c r="G8489" s="11">
        <f>E8489*Summary!$B$6</f>
        <v/>
      </c>
      <c r="H8489" s="11">
        <f>F8489*Summary!$B$7</f>
        <v/>
      </c>
      <c r="I8489" s="11">
        <f>MAX(0,N8489-M8489)</f>
        <v/>
      </c>
      <c r="J8489" s="11">
        <f>MAX(0,M8489-N8489)</f>
        <v/>
      </c>
      <c r="K8489" s="11">
        <f>O8489</f>
        <v/>
      </c>
      <c r="L8489" s="11">
        <f>L8488+IF(K8489&gt;0,K8489*Summary!$B$9,K8489/Summary!$B$9)</f>
        <v/>
      </c>
      <c r="M8489" s="11">
        <f>G8489+H8489</f>
        <v/>
      </c>
      <c r="N8489" s="11">
        <f>Summary!$C$16*Summary!$B$8</f>
        <v/>
      </c>
      <c r="O8489" s="11">
        <f>M8489-N8489</f>
        <v/>
      </c>
    </row>
    <row r="8490">
      <c r="A8490" s="9" t="n">
        <v>45645.66666666666</v>
      </c>
      <c r="B8490" t="n">
        <v>12</v>
      </c>
      <c r="C8490" t="n">
        <v>19</v>
      </c>
      <c r="D8490" t="n">
        <v>16</v>
      </c>
      <c r="E8490" s="10" t="n">
        <v>0</v>
      </c>
      <c r="F8490" s="10" t="n">
        <v>0.4698562727655055</v>
      </c>
      <c r="G8490" s="11">
        <f>E8490*Summary!$B$6</f>
        <v/>
      </c>
      <c r="H8490" s="11">
        <f>F8490*Summary!$B$7</f>
        <v/>
      </c>
      <c r="I8490" s="11">
        <f>MAX(0,N8490-M8490)</f>
        <v/>
      </c>
      <c r="J8490" s="11">
        <f>MAX(0,M8490-N8490)</f>
        <v/>
      </c>
      <c r="K8490" s="11">
        <f>O8490</f>
        <v/>
      </c>
      <c r="L8490" s="11">
        <f>L8489+IF(K8490&gt;0,K8490*Summary!$B$9,K8490/Summary!$B$9)</f>
        <v/>
      </c>
      <c r="M8490" s="11">
        <f>G8490+H8490</f>
        <v/>
      </c>
      <c r="N8490" s="11">
        <f>Summary!$C$16*Summary!$B$8</f>
        <v/>
      </c>
      <c r="O8490" s="11">
        <f>M8490-N8490</f>
        <v/>
      </c>
    </row>
    <row r="8491">
      <c r="A8491" s="9" t="n">
        <v>45645.70833333334</v>
      </c>
      <c r="B8491" t="n">
        <v>12</v>
      </c>
      <c r="C8491" t="n">
        <v>19</v>
      </c>
      <c r="D8491" t="n">
        <v>17</v>
      </c>
      <c r="E8491" s="10" t="n">
        <v>0</v>
      </c>
      <c r="F8491" s="10" t="n">
        <v>0.4901736696416807</v>
      </c>
      <c r="G8491" s="11">
        <f>E8491*Summary!$B$6</f>
        <v/>
      </c>
      <c r="H8491" s="11">
        <f>F8491*Summary!$B$7</f>
        <v/>
      </c>
      <c r="I8491" s="11">
        <f>MAX(0,N8491-M8491)</f>
        <v/>
      </c>
      <c r="J8491" s="11">
        <f>MAX(0,M8491-N8491)</f>
        <v/>
      </c>
      <c r="K8491" s="11">
        <f>O8491</f>
        <v/>
      </c>
      <c r="L8491" s="11">
        <f>L8490+IF(K8491&gt;0,K8491*Summary!$B$9,K8491/Summary!$B$9)</f>
        <v/>
      </c>
      <c r="M8491" s="11">
        <f>G8491+H8491</f>
        <v/>
      </c>
      <c r="N8491" s="11">
        <f>Summary!$C$16*Summary!$B$8</f>
        <v/>
      </c>
      <c r="O8491" s="11">
        <f>M8491-N8491</f>
        <v/>
      </c>
    </row>
    <row r="8492">
      <c r="A8492" s="9" t="n">
        <v>45645.75</v>
      </c>
      <c r="B8492" t="n">
        <v>12</v>
      </c>
      <c r="C8492" t="n">
        <v>19</v>
      </c>
      <c r="D8492" t="n">
        <v>18</v>
      </c>
      <c r="E8492" s="10" t="n">
        <v>0</v>
      </c>
      <c r="F8492" s="10" t="n">
        <v>0.4991860558046534</v>
      </c>
      <c r="G8492" s="11">
        <f>E8492*Summary!$B$6</f>
        <v/>
      </c>
      <c r="H8492" s="11">
        <f>F8492*Summary!$B$7</f>
        <v/>
      </c>
      <c r="I8492" s="11">
        <f>MAX(0,N8492-M8492)</f>
        <v/>
      </c>
      <c r="J8492" s="11">
        <f>MAX(0,M8492-N8492)</f>
        <v/>
      </c>
      <c r="K8492" s="11">
        <f>O8492</f>
        <v/>
      </c>
      <c r="L8492" s="11">
        <f>L8491+IF(K8492&gt;0,K8492*Summary!$B$9,K8492/Summary!$B$9)</f>
        <v/>
      </c>
      <c r="M8492" s="11">
        <f>G8492+H8492</f>
        <v/>
      </c>
      <c r="N8492" s="11">
        <f>Summary!$C$16*Summary!$B$8</f>
        <v/>
      </c>
      <c r="O8492" s="11">
        <f>M8492-N8492</f>
        <v/>
      </c>
    </row>
    <row r="8493">
      <c r="A8493" s="9" t="n">
        <v>45645.79166666666</v>
      </c>
      <c r="B8493" t="n">
        <v>12</v>
      </c>
      <c r="C8493" t="n">
        <v>19</v>
      </c>
      <c r="D8493" t="n">
        <v>19</v>
      </c>
      <c r="E8493" s="10" t="n">
        <v>0</v>
      </c>
      <c r="F8493" s="10" t="n">
        <v>0.4985272556465413</v>
      </c>
      <c r="G8493" s="11">
        <f>E8493*Summary!$B$6</f>
        <v/>
      </c>
      <c r="H8493" s="11">
        <f>F8493*Summary!$B$7</f>
        <v/>
      </c>
      <c r="I8493" s="11">
        <f>MAX(0,N8493-M8493)</f>
        <v/>
      </c>
      <c r="J8493" s="11">
        <f>MAX(0,M8493-N8493)</f>
        <v/>
      </c>
      <c r="K8493" s="11">
        <f>O8493</f>
        <v/>
      </c>
      <c r="L8493" s="11">
        <f>L8492+IF(K8493&gt;0,K8493*Summary!$B$9,K8493/Summary!$B$9)</f>
        <v/>
      </c>
      <c r="M8493" s="11">
        <f>G8493+H8493</f>
        <v/>
      </c>
      <c r="N8493" s="11">
        <f>Summary!$C$16*Summary!$B$8</f>
        <v/>
      </c>
      <c r="O8493" s="11">
        <f>M8493-N8493</f>
        <v/>
      </c>
    </row>
    <row r="8494">
      <c r="A8494" s="9" t="n">
        <v>45645.83333333334</v>
      </c>
      <c r="B8494" t="n">
        <v>12</v>
      </c>
      <c r="C8494" t="n">
        <v>19</v>
      </c>
      <c r="D8494" t="n">
        <v>20</v>
      </c>
      <c r="E8494" s="10" t="n">
        <v>0</v>
      </c>
      <c r="F8494" s="10" t="n">
        <v>0.4960501670520401</v>
      </c>
      <c r="G8494" s="11">
        <f>E8494*Summary!$B$6</f>
        <v/>
      </c>
      <c r="H8494" s="11">
        <f>F8494*Summary!$B$7</f>
        <v/>
      </c>
      <c r="I8494" s="11">
        <f>MAX(0,N8494-M8494)</f>
        <v/>
      </c>
      <c r="J8494" s="11">
        <f>MAX(0,M8494-N8494)</f>
        <v/>
      </c>
      <c r="K8494" s="11">
        <f>O8494</f>
        <v/>
      </c>
      <c r="L8494" s="11">
        <f>L8493+IF(K8494&gt;0,K8494*Summary!$B$9,K8494/Summary!$B$9)</f>
        <v/>
      </c>
      <c r="M8494" s="11">
        <f>G8494+H8494</f>
        <v/>
      </c>
      <c r="N8494" s="11">
        <f>Summary!$C$16*Summary!$B$8</f>
        <v/>
      </c>
      <c r="O8494" s="11">
        <f>M8494-N8494</f>
        <v/>
      </c>
    </row>
    <row r="8495">
      <c r="A8495" s="9" t="n">
        <v>45645.875</v>
      </c>
      <c r="B8495" t="n">
        <v>12</v>
      </c>
      <c r="C8495" t="n">
        <v>19</v>
      </c>
      <c r="D8495" t="n">
        <v>21</v>
      </c>
      <c r="E8495" s="10" t="n">
        <v>0</v>
      </c>
      <c r="F8495" s="10" t="n">
        <v>0.4828741638897993</v>
      </c>
      <c r="G8495" s="11">
        <f>E8495*Summary!$B$6</f>
        <v/>
      </c>
      <c r="H8495" s="11">
        <f>F8495*Summary!$B$7</f>
        <v/>
      </c>
      <c r="I8495" s="11">
        <f>MAX(0,N8495-M8495)</f>
        <v/>
      </c>
      <c r="J8495" s="11">
        <f>MAX(0,M8495-N8495)</f>
        <v/>
      </c>
      <c r="K8495" s="11">
        <f>O8495</f>
        <v/>
      </c>
      <c r="L8495" s="11">
        <f>L8494+IF(K8495&gt;0,K8495*Summary!$B$9,K8495/Summary!$B$9)</f>
        <v/>
      </c>
      <c r="M8495" s="11">
        <f>G8495+H8495</f>
        <v/>
      </c>
      <c r="N8495" s="11">
        <f>Summary!$C$16*Summary!$B$8</f>
        <v/>
      </c>
      <c r="O8495" s="11">
        <f>M8495-N8495</f>
        <v/>
      </c>
    </row>
    <row r="8496">
      <c r="A8496" s="9" t="n">
        <v>45645.91666666666</v>
      </c>
      <c r="B8496" t="n">
        <v>12</v>
      </c>
      <c r="C8496" t="n">
        <v>19</v>
      </c>
      <c r="D8496" t="n">
        <v>22</v>
      </c>
      <c r="E8496" s="10" t="n">
        <v>0</v>
      </c>
      <c r="F8496" s="10" t="n">
        <v>0.4725705294169271</v>
      </c>
      <c r="G8496" s="11">
        <f>E8496*Summary!$B$6</f>
        <v/>
      </c>
      <c r="H8496" s="11">
        <f>F8496*Summary!$B$7</f>
        <v/>
      </c>
      <c r="I8496" s="11">
        <f>MAX(0,N8496-M8496)</f>
        <v/>
      </c>
      <c r="J8496" s="11">
        <f>MAX(0,M8496-N8496)</f>
        <v/>
      </c>
      <c r="K8496" s="11">
        <f>O8496</f>
        <v/>
      </c>
      <c r="L8496" s="11">
        <f>L8495+IF(K8496&gt;0,K8496*Summary!$B$9,K8496/Summary!$B$9)</f>
        <v/>
      </c>
      <c r="M8496" s="11">
        <f>G8496+H8496</f>
        <v/>
      </c>
      <c r="N8496" s="11">
        <f>Summary!$C$16*Summary!$B$8</f>
        <v/>
      </c>
      <c r="O8496" s="11">
        <f>M8496-N8496</f>
        <v/>
      </c>
    </row>
    <row r="8497">
      <c r="A8497" s="9" t="n">
        <v>45645.95833333334</v>
      </c>
      <c r="B8497" t="n">
        <v>12</v>
      </c>
      <c r="C8497" t="n">
        <v>19</v>
      </c>
      <c r="D8497" t="n">
        <v>23</v>
      </c>
      <c r="E8497" s="10" t="n">
        <v>0</v>
      </c>
      <c r="F8497" s="10" t="n">
        <v>0.4649547995891519</v>
      </c>
      <c r="G8497" s="11">
        <f>E8497*Summary!$B$6</f>
        <v/>
      </c>
      <c r="H8497" s="11">
        <f>F8497*Summary!$B$7</f>
        <v/>
      </c>
      <c r="I8497" s="11">
        <f>MAX(0,N8497-M8497)</f>
        <v/>
      </c>
      <c r="J8497" s="11">
        <f>MAX(0,M8497-N8497)</f>
        <v/>
      </c>
      <c r="K8497" s="11">
        <f>O8497</f>
        <v/>
      </c>
      <c r="L8497" s="11">
        <f>L8496+IF(K8497&gt;0,K8497*Summary!$B$9,K8497/Summary!$B$9)</f>
        <v/>
      </c>
      <c r="M8497" s="11">
        <f>G8497+H8497</f>
        <v/>
      </c>
      <c r="N8497" s="11">
        <f>Summary!$C$16*Summary!$B$8</f>
        <v/>
      </c>
      <c r="O8497" s="11">
        <f>M8497-N8497</f>
        <v/>
      </c>
    </row>
    <row r="8498">
      <c r="A8498" s="9" t="n">
        <v>45646</v>
      </c>
      <c r="B8498" t="n">
        <v>12</v>
      </c>
      <c r="C8498" t="n">
        <v>20</v>
      </c>
      <c r="D8498" t="n">
        <v>0</v>
      </c>
      <c r="E8498" s="10" t="n">
        <v>0</v>
      </c>
      <c r="F8498" s="10" t="n">
        <v>0.3587562141014914</v>
      </c>
      <c r="G8498" s="11">
        <f>E8498*Summary!$B$6</f>
        <v/>
      </c>
      <c r="H8498" s="11">
        <f>F8498*Summary!$B$7</f>
        <v/>
      </c>
      <c r="I8498" s="11">
        <f>MAX(0,N8498-M8498)</f>
        <v/>
      </c>
      <c r="J8498" s="11">
        <f>MAX(0,M8498-N8498)</f>
        <v/>
      </c>
      <c r="K8498" s="11">
        <f>O8498</f>
        <v/>
      </c>
      <c r="L8498" s="11">
        <f>L8497+IF(K8498&gt;0,K8498*Summary!$B$9,K8498/Summary!$B$9)</f>
        <v/>
      </c>
      <c r="M8498" s="11">
        <f>G8498+H8498</f>
        <v/>
      </c>
      <c r="N8498" s="11">
        <f>Summary!$C$16*Summary!$B$8</f>
        <v/>
      </c>
      <c r="O8498" s="11">
        <f>M8498-N8498</f>
        <v/>
      </c>
    </row>
    <row r="8499">
      <c r="A8499" s="9" t="n">
        <v>45646.04166666666</v>
      </c>
      <c r="B8499" t="n">
        <v>12</v>
      </c>
      <c r="C8499" t="n">
        <v>20</v>
      </c>
      <c r="D8499" t="n">
        <v>1</v>
      </c>
      <c r="E8499" s="10" t="n">
        <v>0</v>
      </c>
      <c r="F8499" s="10" t="n">
        <v>0.4522267805344273</v>
      </c>
      <c r="G8499" s="11">
        <f>E8499*Summary!$B$6</f>
        <v/>
      </c>
      <c r="H8499" s="11">
        <f>F8499*Summary!$B$7</f>
        <v/>
      </c>
      <c r="I8499" s="11">
        <f>MAX(0,N8499-M8499)</f>
        <v/>
      </c>
      <c r="J8499" s="11">
        <f>MAX(0,M8499-N8499)</f>
        <v/>
      </c>
      <c r="K8499" s="11">
        <f>O8499</f>
        <v/>
      </c>
      <c r="L8499" s="11">
        <f>L8498+IF(K8499&gt;0,K8499*Summary!$B$9,K8499/Summary!$B$9)</f>
        <v/>
      </c>
      <c r="M8499" s="11">
        <f>G8499+H8499</f>
        <v/>
      </c>
      <c r="N8499" s="11">
        <f>Summary!$C$16*Summary!$B$8</f>
        <v/>
      </c>
      <c r="O8499" s="11">
        <f>M8499-N8499</f>
        <v/>
      </c>
    </row>
    <row r="8500">
      <c r="A8500" s="9" t="n">
        <v>45646.08333333334</v>
      </c>
      <c r="B8500" t="n">
        <v>12</v>
      </c>
      <c r="C8500" t="n">
        <v>20</v>
      </c>
      <c r="D8500" t="n">
        <v>2</v>
      </c>
      <c r="E8500" s="10" t="n">
        <v>0</v>
      </c>
      <c r="F8500" s="10" t="n">
        <v>0.457787053868893</v>
      </c>
      <c r="G8500" s="11">
        <f>E8500*Summary!$B$6</f>
        <v/>
      </c>
      <c r="H8500" s="11">
        <f>F8500*Summary!$B$7</f>
        <v/>
      </c>
      <c r="I8500" s="11">
        <f>MAX(0,N8500-M8500)</f>
        <v/>
      </c>
      <c r="J8500" s="11">
        <f>MAX(0,M8500-N8500)</f>
        <v/>
      </c>
      <c r="K8500" s="11">
        <f>O8500</f>
        <v/>
      </c>
      <c r="L8500" s="11">
        <f>L8499+IF(K8500&gt;0,K8500*Summary!$B$9,K8500/Summary!$B$9)</f>
        <v/>
      </c>
      <c r="M8500" s="11">
        <f>G8500+H8500</f>
        <v/>
      </c>
      <c r="N8500" s="11">
        <f>Summary!$C$16*Summary!$B$8</f>
        <v/>
      </c>
      <c r="O8500" s="11">
        <f>M8500-N8500</f>
        <v/>
      </c>
    </row>
    <row r="8501">
      <c r="A8501" s="9" t="n">
        <v>45646.125</v>
      </c>
      <c r="B8501" t="n">
        <v>12</v>
      </c>
      <c r="C8501" t="n">
        <v>20</v>
      </c>
      <c r="D8501" t="n">
        <v>3</v>
      </c>
      <c r="E8501" s="10" t="n">
        <v>0</v>
      </c>
      <c r="F8501" s="10" t="n">
        <v>0.4601850864444207</v>
      </c>
      <c r="G8501" s="11">
        <f>E8501*Summary!$B$6</f>
        <v/>
      </c>
      <c r="H8501" s="11">
        <f>F8501*Summary!$B$7</f>
        <v/>
      </c>
      <c r="I8501" s="11">
        <f>MAX(0,N8501-M8501)</f>
        <v/>
      </c>
      <c r="J8501" s="11">
        <f>MAX(0,M8501-N8501)</f>
        <v/>
      </c>
      <c r="K8501" s="11">
        <f>O8501</f>
        <v/>
      </c>
      <c r="L8501" s="11">
        <f>L8500+IF(K8501&gt;0,K8501*Summary!$B$9,K8501/Summary!$B$9)</f>
        <v/>
      </c>
      <c r="M8501" s="11">
        <f>G8501+H8501</f>
        <v/>
      </c>
      <c r="N8501" s="11">
        <f>Summary!$C$16*Summary!$B$8</f>
        <v/>
      </c>
      <c r="O8501" s="11">
        <f>M8501-N8501</f>
        <v/>
      </c>
    </row>
    <row r="8502">
      <c r="A8502" s="9" t="n">
        <v>45646.16666666666</v>
      </c>
      <c r="B8502" t="n">
        <v>12</v>
      </c>
      <c r="C8502" t="n">
        <v>20</v>
      </c>
      <c r="D8502" t="n">
        <v>4</v>
      </c>
      <c r="E8502" s="10" t="n">
        <v>0</v>
      </c>
      <c r="F8502" s="10" t="n">
        <v>0.4540977729834655</v>
      </c>
      <c r="G8502" s="11">
        <f>E8502*Summary!$B$6</f>
        <v/>
      </c>
      <c r="H8502" s="11">
        <f>F8502*Summary!$B$7</f>
        <v/>
      </c>
      <c r="I8502" s="11">
        <f>MAX(0,N8502-M8502)</f>
        <v/>
      </c>
      <c r="J8502" s="11">
        <f>MAX(0,M8502-N8502)</f>
        <v/>
      </c>
      <c r="K8502" s="11">
        <f>O8502</f>
        <v/>
      </c>
      <c r="L8502" s="11">
        <f>L8501+IF(K8502&gt;0,K8502*Summary!$B$9,K8502/Summary!$B$9)</f>
        <v/>
      </c>
      <c r="M8502" s="11">
        <f>G8502+H8502</f>
        <v/>
      </c>
      <c r="N8502" s="11">
        <f>Summary!$C$16*Summary!$B$8</f>
        <v/>
      </c>
      <c r="O8502" s="11">
        <f>M8502-N8502</f>
        <v/>
      </c>
    </row>
    <row r="8503">
      <c r="A8503" s="9" t="n">
        <v>45646.20833333334</v>
      </c>
      <c r="B8503" t="n">
        <v>12</v>
      </c>
      <c r="C8503" t="n">
        <v>20</v>
      </c>
      <c r="D8503" t="n">
        <v>5</v>
      </c>
      <c r="E8503" s="10" t="n">
        <v>0</v>
      </c>
      <c r="F8503" s="10" t="n">
        <v>0.4528592286862149</v>
      </c>
      <c r="G8503" s="11">
        <f>E8503*Summary!$B$6</f>
        <v/>
      </c>
      <c r="H8503" s="11">
        <f>F8503*Summary!$B$7</f>
        <v/>
      </c>
      <c r="I8503" s="11">
        <f>MAX(0,N8503-M8503)</f>
        <v/>
      </c>
      <c r="J8503" s="11">
        <f>MAX(0,M8503-N8503)</f>
        <v/>
      </c>
      <c r="K8503" s="11">
        <f>O8503</f>
        <v/>
      </c>
      <c r="L8503" s="11">
        <f>L8502+IF(K8503&gt;0,K8503*Summary!$B$9,K8503/Summary!$B$9)</f>
        <v/>
      </c>
      <c r="M8503" s="11">
        <f>G8503+H8503</f>
        <v/>
      </c>
      <c r="N8503" s="11">
        <f>Summary!$C$16*Summary!$B$8</f>
        <v/>
      </c>
      <c r="O8503" s="11">
        <f>M8503-N8503</f>
        <v/>
      </c>
    </row>
    <row r="8504">
      <c r="A8504" s="9" t="n">
        <v>45646.25</v>
      </c>
      <c r="B8504" t="n">
        <v>12</v>
      </c>
      <c r="C8504" t="n">
        <v>20</v>
      </c>
      <c r="D8504" t="n">
        <v>6</v>
      </c>
      <c r="E8504" s="10" t="n">
        <v>0</v>
      </c>
      <c r="F8504" s="10" t="n">
        <v>0.4504875481170116</v>
      </c>
      <c r="G8504" s="11">
        <f>E8504*Summary!$B$6</f>
        <v/>
      </c>
      <c r="H8504" s="11">
        <f>F8504*Summary!$B$7</f>
        <v/>
      </c>
      <c r="I8504" s="11">
        <f>MAX(0,N8504-M8504)</f>
        <v/>
      </c>
      <c r="J8504" s="11">
        <f>MAX(0,M8504-N8504)</f>
        <v/>
      </c>
      <c r="K8504" s="11">
        <f>O8504</f>
        <v/>
      </c>
      <c r="L8504" s="11">
        <f>L8503+IF(K8504&gt;0,K8504*Summary!$B$9,K8504/Summary!$B$9)</f>
        <v/>
      </c>
      <c r="M8504" s="11">
        <f>G8504+H8504</f>
        <v/>
      </c>
      <c r="N8504" s="11">
        <f>Summary!$C$16*Summary!$B$8</f>
        <v/>
      </c>
      <c r="O8504" s="11">
        <f>M8504-N8504</f>
        <v/>
      </c>
    </row>
    <row r="8505">
      <c r="A8505" s="9" t="n">
        <v>45646.29166666666</v>
      </c>
      <c r="B8505" t="n">
        <v>12</v>
      </c>
      <c r="C8505" t="n">
        <v>20</v>
      </c>
      <c r="D8505" t="n">
        <v>7</v>
      </c>
      <c r="E8505" s="10" t="n">
        <v>0</v>
      </c>
      <c r="F8505" s="10" t="n">
        <v>0.4444529386687053</v>
      </c>
      <c r="G8505" s="11">
        <f>E8505*Summary!$B$6</f>
        <v/>
      </c>
      <c r="H8505" s="11">
        <f>F8505*Summary!$B$7</f>
        <v/>
      </c>
      <c r="I8505" s="11">
        <f>MAX(0,N8505-M8505)</f>
        <v/>
      </c>
      <c r="J8505" s="11">
        <f>MAX(0,M8505-N8505)</f>
        <v/>
      </c>
      <c r="K8505" s="11">
        <f>O8505</f>
        <v/>
      </c>
      <c r="L8505" s="11">
        <f>L8504+IF(K8505&gt;0,K8505*Summary!$B$9,K8505/Summary!$B$9)</f>
        <v/>
      </c>
      <c r="M8505" s="11">
        <f>G8505+H8505</f>
        <v/>
      </c>
      <c r="N8505" s="11">
        <f>Summary!$C$16*Summary!$B$8</f>
        <v/>
      </c>
      <c r="O8505" s="11">
        <f>M8505-N8505</f>
        <v/>
      </c>
    </row>
    <row r="8506">
      <c r="A8506" s="9" t="n">
        <v>45646.33333333334</v>
      </c>
      <c r="B8506" t="n">
        <v>12</v>
      </c>
      <c r="C8506" t="n">
        <v>20</v>
      </c>
      <c r="D8506" t="n">
        <v>8</v>
      </c>
      <c r="E8506" s="10" t="n">
        <v>0</v>
      </c>
      <c r="F8506" s="10" t="n">
        <v>0.4358358326005998</v>
      </c>
      <c r="G8506" s="11">
        <f>E8506*Summary!$B$6</f>
        <v/>
      </c>
      <c r="H8506" s="11">
        <f>F8506*Summary!$B$7</f>
        <v/>
      </c>
      <c r="I8506" s="11">
        <f>MAX(0,N8506-M8506)</f>
        <v/>
      </c>
      <c r="J8506" s="11">
        <f>MAX(0,M8506-N8506)</f>
        <v/>
      </c>
      <c r="K8506" s="11">
        <f>O8506</f>
        <v/>
      </c>
      <c r="L8506" s="11">
        <f>L8505+IF(K8506&gt;0,K8506*Summary!$B$9,K8506/Summary!$B$9)</f>
        <v/>
      </c>
      <c r="M8506" s="11">
        <f>G8506+H8506</f>
        <v/>
      </c>
      <c r="N8506" s="11">
        <f>Summary!$C$16*Summary!$B$8</f>
        <v/>
      </c>
      <c r="O8506" s="11">
        <f>M8506-N8506</f>
        <v/>
      </c>
    </row>
    <row r="8507">
      <c r="A8507" s="9" t="n">
        <v>45646.375</v>
      </c>
      <c r="B8507" t="n">
        <v>12</v>
      </c>
      <c r="C8507" t="n">
        <v>20</v>
      </c>
      <c r="D8507" t="n">
        <v>9</v>
      </c>
      <c r="E8507" s="10" t="n">
        <v>0.0055</v>
      </c>
      <c r="F8507" s="10" t="n">
        <v>0.4293795910511018</v>
      </c>
      <c r="G8507" s="11">
        <f>E8507*Summary!$B$6</f>
        <v/>
      </c>
      <c r="H8507" s="11">
        <f>F8507*Summary!$B$7</f>
        <v/>
      </c>
      <c r="I8507" s="11">
        <f>MAX(0,N8507-M8507)</f>
        <v/>
      </c>
      <c r="J8507" s="11">
        <f>MAX(0,M8507-N8507)</f>
        <v/>
      </c>
      <c r="K8507" s="11">
        <f>O8507</f>
        <v/>
      </c>
      <c r="L8507" s="11">
        <f>L8506+IF(K8507&gt;0,K8507*Summary!$B$9,K8507/Summary!$B$9)</f>
        <v/>
      </c>
      <c r="M8507" s="11">
        <f>G8507+H8507</f>
        <v/>
      </c>
      <c r="N8507" s="11">
        <f>Summary!$C$16*Summary!$B$8</f>
        <v/>
      </c>
      <c r="O8507" s="11">
        <f>M8507-N8507</f>
        <v/>
      </c>
    </row>
    <row r="8508">
      <c r="A8508" s="9" t="n">
        <v>45646.41666666666</v>
      </c>
      <c r="B8508" t="n">
        <v>12</v>
      </c>
      <c r="C8508" t="n">
        <v>20</v>
      </c>
      <c r="D8508" t="n">
        <v>10</v>
      </c>
      <c r="E8508" s="10" t="n">
        <v>0.030663</v>
      </c>
      <c r="F8508" s="10" t="n">
        <v>0.4213685811284595</v>
      </c>
      <c r="G8508" s="11">
        <f>E8508*Summary!$B$6</f>
        <v/>
      </c>
      <c r="H8508" s="11">
        <f>F8508*Summary!$B$7</f>
        <v/>
      </c>
      <c r="I8508" s="11">
        <f>MAX(0,N8508-M8508)</f>
        <v/>
      </c>
      <c r="J8508" s="11">
        <f>MAX(0,M8508-N8508)</f>
        <v/>
      </c>
      <c r="K8508" s="11">
        <f>O8508</f>
        <v/>
      </c>
      <c r="L8508" s="11">
        <f>L8507+IF(K8508&gt;0,K8508*Summary!$B$9,K8508/Summary!$B$9)</f>
        <v/>
      </c>
      <c r="M8508" s="11">
        <f>G8508+H8508</f>
        <v/>
      </c>
      <c r="N8508" s="11">
        <f>Summary!$C$16*Summary!$B$8</f>
        <v/>
      </c>
      <c r="O8508" s="11">
        <f>M8508-N8508</f>
        <v/>
      </c>
    </row>
    <row r="8509">
      <c r="A8509" s="9" t="n">
        <v>45646.45833333334</v>
      </c>
      <c r="B8509" t="n">
        <v>12</v>
      </c>
      <c r="C8509" t="n">
        <v>20</v>
      </c>
      <c r="D8509" t="n">
        <v>11</v>
      </c>
      <c r="E8509" s="10" t="n">
        <v>0.048046</v>
      </c>
      <c r="F8509" s="10" t="n">
        <v>0.415544787730749</v>
      </c>
      <c r="G8509" s="11">
        <f>E8509*Summary!$B$6</f>
        <v/>
      </c>
      <c r="H8509" s="11">
        <f>F8509*Summary!$B$7</f>
        <v/>
      </c>
      <c r="I8509" s="11">
        <f>MAX(0,N8509-M8509)</f>
        <v/>
      </c>
      <c r="J8509" s="11">
        <f>MAX(0,M8509-N8509)</f>
        <v/>
      </c>
      <c r="K8509" s="11">
        <f>O8509</f>
        <v/>
      </c>
      <c r="L8509" s="11">
        <f>L8508+IF(K8509&gt;0,K8509*Summary!$B$9,K8509/Summary!$B$9)</f>
        <v/>
      </c>
      <c r="M8509" s="11">
        <f>G8509+H8509</f>
        <v/>
      </c>
      <c r="N8509" s="11">
        <f>Summary!$C$16*Summary!$B$8</f>
        <v/>
      </c>
      <c r="O8509" s="11">
        <f>M8509-N8509</f>
        <v/>
      </c>
    </row>
    <row r="8510">
      <c r="A8510" s="9" t="n">
        <v>45646.5</v>
      </c>
      <c r="B8510" t="n">
        <v>12</v>
      </c>
      <c r="C8510" t="n">
        <v>20</v>
      </c>
      <c r="D8510" t="n">
        <v>12</v>
      </c>
      <c r="E8510" s="10" t="n">
        <v>0.054764</v>
      </c>
      <c r="F8510" s="10" t="n">
        <v>0.4107223705733689</v>
      </c>
      <c r="G8510" s="11">
        <f>E8510*Summary!$B$6</f>
        <v/>
      </c>
      <c r="H8510" s="11">
        <f>F8510*Summary!$B$7</f>
        <v/>
      </c>
      <c r="I8510" s="11">
        <f>MAX(0,N8510-M8510)</f>
        <v/>
      </c>
      <c r="J8510" s="11">
        <f>MAX(0,M8510-N8510)</f>
        <v/>
      </c>
      <c r="K8510" s="11">
        <f>O8510</f>
        <v/>
      </c>
      <c r="L8510" s="11">
        <f>L8509+IF(K8510&gt;0,K8510*Summary!$B$9,K8510/Summary!$B$9)</f>
        <v/>
      </c>
      <c r="M8510" s="11">
        <f>G8510+H8510</f>
        <v/>
      </c>
      <c r="N8510" s="11">
        <f>Summary!$C$16*Summary!$B$8</f>
        <v/>
      </c>
      <c r="O8510" s="11">
        <f>M8510-N8510</f>
        <v/>
      </c>
    </row>
    <row r="8511">
      <c r="A8511" s="9" t="n">
        <v>45646.54166666666</v>
      </c>
      <c r="B8511" t="n">
        <v>12</v>
      </c>
      <c r="C8511" t="n">
        <v>20</v>
      </c>
      <c r="D8511" t="n">
        <v>13</v>
      </c>
      <c r="E8511" s="10" t="n">
        <v>0.03403</v>
      </c>
      <c r="F8511" s="10" t="n">
        <v>0.4055046733211216</v>
      </c>
      <c r="G8511" s="11">
        <f>E8511*Summary!$B$6</f>
        <v/>
      </c>
      <c r="H8511" s="11">
        <f>F8511*Summary!$B$7</f>
        <v/>
      </c>
      <c r="I8511" s="11">
        <f>MAX(0,N8511-M8511)</f>
        <v/>
      </c>
      <c r="J8511" s="11">
        <f>MAX(0,M8511-N8511)</f>
        <v/>
      </c>
      <c r="K8511" s="11">
        <f>O8511</f>
        <v/>
      </c>
      <c r="L8511" s="11">
        <f>L8510+IF(K8511&gt;0,K8511*Summary!$B$9,K8511/Summary!$B$9)</f>
        <v/>
      </c>
      <c r="M8511" s="11">
        <f>G8511+H8511</f>
        <v/>
      </c>
      <c r="N8511" s="11">
        <f>Summary!$C$16*Summary!$B$8</f>
        <v/>
      </c>
      <c r="O8511" s="11">
        <f>M8511-N8511</f>
        <v/>
      </c>
    </row>
    <row r="8512">
      <c r="A8512" s="9" t="n">
        <v>45646.58333333334</v>
      </c>
      <c r="B8512" t="n">
        <v>12</v>
      </c>
      <c r="C8512" t="n">
        <v>20</v>
      </c>
      <c r="D8512" t="n">
        <v>14</v>
      </c>
      <c r="E8512" s="10" t="n">
        <v>0.010571</v>
      </c>
      <c r="F8512" s="10" t="n">
        <v>0.4036600328784078</v>
      </c>
      <c r="G8512" s="11">
        <f>E8512*Summary!$B$6</f>
        <v/>
      </c>
      <c r="H8512" s="11">
        <f>F8512*Summary!$B$7</f>
        <v/>
      </c>
      <c r="I8512" s="11">
        <f>MAX(0,N8512-M8512)</f>
        <v/>
      </c>
      <c r="J8512" s="11">
        <f>MAX(0,M8512-N8512)</f>
        <v/>
      </c>
      <c r="K8512" s="11">
        <f>O8512</f>
        <v/>
      </c>
      <c r="L8512" s="11">
        <f>L8511+IF(K8512&gt;0,K8512*Summary!$B$9,K8512/Summary!$B$9)</f>
        <v/>
      </c>
      <c r="M8512" s="11">
        <f>G8512+H8512</f>
        <v/>
      </c>
      <c r="N8512" s="11">
        <f>Summary!$C$16*Summary!$B$8</f>
        <v/>
      </c>
      <c r="O8512" s="11">
        <f>M8512-N8512</f>
        <v/>
      </c>
    </row>
    <row r="8513">
      <c r="A8513" s="9" t="n">
        <v>45646.625</v>
      </c>
      <c r="B8513" t="n">
        <v>12</v>
      </c>
      <c r="C8513" t="n">
        <v>20</v>
      </c>
      <c r="D8513" t="n">
        <v>15</v>
      </c>
      <c r="E8513" s="10" t="n">
        <v>0</v>
      </c>
      <c r="F8513" s="10" t="n">
        <v>0.4052411532578768</v>
      </c>
      <c r="G8513" s="11">
        <f>E8513*Summary!$B$6</f>
        <v/>
      </c>
      <c r="H8513" s="11">
        <f>F8513*Summary!$B$7</f>
        <v/>
      </c>
      <c r="I8513" s="11">
        <f>MAX(0,N8513-M8513)</f>
        <v/>
      </c>
      <c r="J8513" s="11">
        <f>MAX(0,M8513-N8513)</f>
        <v/>
      </c>
      <c r="K8513" s="11">
        <f>O8513</f>
        <v/>
      </c>
      <c r="L8513" s="11">
        <f>L8512+IF(K8513&gt;0,K8513*Summary!$B$9,K8513/Summary!$B$9)</f>
        <v/>
      </c>
      <c r="M8513" s="11">
        <f>G8513+H8513</f>
        <v/>
      </c>
      <c r="N8513" s="11">
        <f>Summary!$C$16*Summary!$B$8</f>
        <v/>
      </c>
      <c r="O8513" s="11">
        <f>M8513-N8513</f>
        <v/>
      </c>
    </row>
    <row r="8514">
      <c r="A8514" s="9" t="n">
        <v>45646.66666666666</v>
      </c>
      <c r="B8514" t="n">
        <v>12</v>
      </c>
      <c r="C8514" t="n">
        <v>20</v>
      </c>
      <c r="D8514" t="n">
        <v>16</v>
      </c>
      <c r="E8514" s="10" t="n">
        <v>0</v>
      </c>
      <c r="F8514" s="10" t="n">
        <v>0.4088250261180063</v>
      </c>
      <c r="G8514" s="11">
        <f>E8514*Summary!$B$6</f>
        <v/>
      </c>
      <c r="H8514" s="11">
        <f>F8514*Summary!$B$7</f>
        <v/>
      </c>
      <c r="I8514" s="11">
        <f>MAX(0,N8514-M8514)</f>
        <v/>
      </c>
      <c r="J8514" s="11">
        <f>MAX(0,M8514-N8514)</f>
        <v/>
      </c>
      <c r="K8514" s="11">
        <f>O8514</f>
        <v/>
      </c>
      <c r="L8514" s="11">
        <f>L8513+IF(K8514&gt;0,K8514*Summary!$B$9,K8514/Summary!$B$9)</f>
        <v/>
      </c>
      <c r="M8514" s="11">
        <f>G8514+H8514</f>
        <v/>
      </c>
      <c r="N8514" s="11">
        <f>Summary!$C$16*Summary!$B$8</f>
        <v/>
      </c>
      <c r="O8514" s="11">
        <f>M8514-N8514</f>
        <v/>
      </c>
    </row>
    <row r="8515">
      <c r="A8515" s="9" t="n">
        <v>45646.70833333334</v>
      </c>
      <c r="B8515" t="n">
        <v>12</v>
      </c>
      <c r="C8515" t="n">
        <v>20</v>
      </c>
      <c r="D8515" t="n">
        <v>17</v>
      </c>
      <c r="E8515" s="10" t="n">
        <v>0</v>
      </c>
      <c r="F8515" s="10" t="n">
        <v>0.4057681933843664</v>
      </c>
      <c r="G8515" s="11">
        <f>E8515*Summary!$B$6</f>
        <v/>
      </c>
      <c r="H8515" s="11">
        <f>F8515*Summary!$B$7</f>
        <v/>
      </c>
      <c r="I8515" s="11">
        <f>MAX(0,N8515-M8515)</f>
        <v/>
      </c>
      <c r="J8515" s="11">
        <f>MAX(0,M8515-N8515)</f>
        <v/>
      </c>
      <c r="K8515" s="11">
        <f>O8515</f>
        <v/>
      </c>
      <c r="L8515" s="11">
        <f>L8514+IF(K8515&gt;0,K8515*Summary!$B$9,K8515/Summary!$B$9)</f>
        <v/>
      </c>
      <c r="M8515" s="11">
        <f>G8515+H8515</f>
        <v/>
      </c>
      <c r="N8515" s="11">
        <f>Summary!$C$16*Summary!$B$8</f>
        <v/>
      </c>
      <c r="O8515" s="11">
        <f>M8515-N8515</f>
        <v/>
      </c>
    </row>
    <row r="8516">
      <c r="A8516" s="9" t="n">
        <v>45646.75</v>
      </c>
      <c r="B8516" t="n">
        <v>12</v>
      </c>
      <c r="C8516" t="n">
        <v>20</v>
      </c>
      <c r="D8516" t="n">
        <v>18</v>
      </c>
      <c r="E8516" s="10" t="n">
        <v>0</v>
      </c>
      <c r="F8516" s="10" t="n">
        <v>0.3908002537920609</v>
      </c>
      <c r="G8516" s="11">
        <f>E8516*Summary!$B$6</f>
        <v/>
      </c>
      <c r="H8516" s="11">
        <f>F8516*Summary!$B$7</f>
        <v/>
      </c>
      <c r="I8516" s="11">
        <f>MAX(0,N8516-M8516)</f>
        <v/>
      </c>
      <c r="J8516" s="11">
        <f>MAX(0,M8516-N8516)</f>
        <v/>
      </c>
      <c r="K8516" s="11">
        <f>O8516</f>
        <v/>
      </c>
      <c r="L8516" s="11">
        <f>L8515+IF(K8516&gt;0,K8516*Summary!$B$9,K8516/Summary!$B$9)</f>
        <v/>
      </c>
      <c r="M8516" s="11">
        <f>G8516+H8516</f>
        <v/>
      </c>
      <c r="N8516" s="11">
        <f>Summary!$C$16*Summary!$B$8</f>
        <v/>
      </c>
      <c r="O8516" s="11">
        <f>M8516-N8516</f>
        <v/>
      </c>
    </row>
    <row r="8517">
      <c r="A8517" s="9" t="n">
        <v>45646.79166666666</v>
      </c>
      <c r="B8517" t="n">
        <v>12</v>
      </c>
      <c r="C8517" t="n">
        <v>20</v>
      </c>
      <c r="D8517" t="n">
        <v>19</v>
      </c>
      <c r="E8517" s="10" t="n">
        <v>0</v>
      </c>
      <c r="F8517" s="10" t="n">
        <v>0.3755951461428351</v>
      </c>
      <c r="G8517" s="11">
        <f>E8517*Summary!$B$6</f>
        <v/>
      </c>
      <c r="H8517" s="11">
        <f>F8517*Summary!$B$7</f>
        <v/>
      </c>
      <c r="I8517" s="11">
        <f>MAX(0,N8517-M8517)</f>
        <v/>
      </c>
      <c r="J8517" s="11">
        <f>MAX(0,M8517-N8517)</f>
        <v/>
      </c>
      <c r="K8517" s="11">
        <f>O8517</f>
        <v/>
      </c>
      <c r="L8517" s="11">
        <f>L8516+IF(K8517&gt;0,K8517*Summary!$B$9,K8517/Summary!$B$9)</f>
        <v/>
      </c>
      <c r="M8517" s="11">
        <f>G8517+H8517</f>
        <v/>
      </c>
      <c r="N8517" s="11">
        <f>Summary!$C$16*Summary!$B$8</f>
        <v/>
      </c>
      <c r="O8517" s="11">
        <f>M8517-N8517</f>
        <v/>
      </c>
    </row>
    <row r="8518">
      <c r="A8518" s="9" t="n">
        <v>45646.83333333334</v>
      </c>
      <c r="B8518" t="n">
        <v>12</v>
      </c>
      <c r="C8518" t="n">
        <v>20</v>
      </c>
      <c r="D8518" t="n">
        <v>20</v>
      </c>
      <c r="E8518" s="10" t="n">
        <v>0</v>
      </c>
      <c r="F8518" s="10" t="n">
        <v>0.3687436244984699</v>
      </c>
      <c r="G8518" s="11">
        <f>E8518*Summary!$B$6</f>
        <v/>
      </c>
      <c r="H8518" s="11">
        <f>F8518*Summary!$B$7</f>
        <v/>
      </c>
      <c r="I8518" s="11">
        <f>MAX(0,N8518-M8518)</f>
        <v/>
      </c>
      <c r="J8518" s="11">
        <f>MAX(0,M8518-N8518)</f>
        <v/>
      </c>
      <c r="K8518" s="11">
        <f>O8518</f>
        <v/>
      </c>
      <c r="L8518" s="11">
        <f>L8517+IF(K8518&gt;0,K8518*Summary!$B$9,K8518/Summary!$B$9)</f>
        <v/>
      </c>
      <c r="M8518" s="11">
        <f>G8518+H8518</f>
        <v/>
      </c>
      <c r="N8518" s="11">
        <f>Summary!$C$16*Summary!$B$8</f>
        <v/>
      </c>
      <c r="O8518" s="11">
        <f>M8518-N8518</f>
        <v/>
      </c>
    </row>
    <row r="8519">
      <c r="A8519" s="9" t="n">
        <v>45646.875</v>
      </c>
      <c r="B8519" t="n">
        <v>12</v>
      </c>
      <c r="C8519" t="n">
        <v>20</v>
      </c>
      <c r="D8519" t="n">
        <v>21</v>
      </c>
      <c r="E8519" s="10" t="n">
        <v>0</v>
      </c>
      <c r="F8519" s="10" t="n">
        <v>0.3674260241822458</v>
      </c>
      <c r="G8519" s="11">
        <f>E8519*Summary!$B$6</f>
        <v/>
      </c>
      <c r="H8519" s="11">
        <f>F8519*Summary!$B$7</f>
        <v/>
      </c>
      <c r="I8519" s="11">
        <f>MAX(0,N8519-M8519)</f>
        <v/>
      </c>
      <c r="J8519" s="11">
        <f>MAX(0,M8519-N8519)</f>
        <v/>
      </c>
      <c r="K8519" s="11">
        <f>O8519</f>
        <v/>
      </c>
      <c r="L8519" s="11">
        <f>L8518+IF(K8519&gt;0,K8519*Summary!$B$9,K8519/Summary!$B$9)</f>
        <v/>
      </c>
      <c r="M8519" s="11">
        <f>G8519+H8519</f>
        <v/>
      </c>
      <c r="N8519" s="11">
        <f>Summary!$C$16*Summary!$B$8</f>
        <v/>
      </c>
      <c r="O8519" s="11">
        <f>M8519-N8519</f>
        <v/>
      </c>
    </row>
    <row r="8520">
      <c r="A8520" s="9" t="n">
        <v>45646.91666666666</v>
      </c>
      <c r="B8520" t="n">
        <v>12</v>
      </c>
      <c r="C8520" t="n">
        <v>20</v>
      </c>
      <c r="D8520" t="n">
        <v>22</v>
      </c>
      <c r="E8520" s="10" t="n">
        <v>0</v>
      </c>
      <c r="F8520" s="10" t="n">
        <v>0.357860245886459</v>
      </c>
      <c r="G8520" s="11">
        <f>E8520*Summary!$B$6</f>
        <v/>
      </c>
      <c r="H8520" s="11">
        <f>F8520*Summary!$B$7</f>
        <v/>
      </c>
      <c r="I8520" s="11">
        <f>MAX(0,N8520-M8520)</f>
        <v/>
      </c>
      <c r="J8520" s="11">
        <f>MAX(0,M8520-N8520)</f>
        <v/>
      </c>
      <c r="K8520" s="11">
        <f>O8520</f>
        <v/>
      </c>
      <c r="L8520" s="11">
        <f>L8519+IF(K8520&gt;0,K8520*Summary!$B$9,K8520/Summary!$B$9)</f>
        <v/>
      </c>
      <c r="M8520" s="11">
        <f>G8520+H8520</f>
        <v/>
      </c>
      <c r="N8520" s="11">
        <f>Summary!$C$16*Summary!$B$8</f>
        <v/>
      </c>
      <c r="O8520" s="11">
        <f>M8520-N8520</f>
        <v/>
      </c>
    </row>
    <row r="8521">
      <c r="A8521" s="9" t="n">
        <v>45646.95833333334</v>
      </c>
      <c r="B8521" t="n">
        <v>12</v>
      </c>
      <c r="C8521" t="n">
        <v>20</v>
      </c>
      <c r="D8521" t="n">
        <v>23</v>
      </c>
      <c r="E8521" s="10" t="n">
        <v>0</v>
      </c>
      <c r="F8521" s="10" t="n">
        <v>0.3529060686974564</v>
      </c>
      <c r="G8521" s="11">
        <f>E8521*Summary!$B$6</f>
        <v/>
      </c>
      <c r="H8521" s="11">
        <f>F8521*Summary!$B$7</f>
        <v/>
      </c>
      <c r="I8521" s="11">
        <f>MAX(0,N8521-M8521)</f>
        <v/>
      </c>
      <c r="J8521" s="11">
        <f>MAX(0,M8521-N8521)</f>
        <v/>
      </c>
      <c r="K8521" s="11">
        <f>O8521</f>
        <v/>
      </c>
      <c r="L8521" s="11">
        <f>L8520+IF(K8521&gt;0,K8521*Summary!$B$9,K8521/Summary!$B$9)</f>
        <v/>
      </c>
      <c r="M8521" s="11">
        <f>G8521+H8521</f>
        <v/>
      </c>
      <c r="N8521" s="11">
        <f>Summary!$C$16*Summary!$B$8</f>
        <v/>
      </c>
      <c r="O8521" s="11">
        <f>M8521-N8521</f>
        <v/>
      </c>
    </row>
    <row r="8522">
      <c r="A8522" s="9" t="n">
        <v>45647</v>
      </c>
      <c r="B8522" t="n">
        <v>12</v>
      </c>
      <c r="C8522" t="n">
        <v>21</v>
      </c>
      <c r="D8522" t="n">
        <v>0</v>
      </c>
      <c r="E8522" s="10" t="n">
        <v>0</v>
      </c>
      <c r="F8522" s="10" t="n">
        <v>0.4435306184473484</v>
      </c>
      <c r="G8522" s="11">
        <f>E8522*Summary!$B$6</f>
        <v/>
      </c>
      <c r="H8522" s="11">
        <f>F8522*Summary!$B$7</f>
        <v/>
      </c>
      <c r="I8522" s="11">
        <f>MAX(0,N8522-M8522)</f>
        <v/>
      </c>
      <c r="J8522" s="11">
        <f>MAX(0,M8522-N8522)</f>
        <v/>
      </c>
      <c r="K8522" s="11">
        <f>O8522</f>
        <v/>
      </c>
      <c r="L8522" s="11">
        <f>L8521+IF(K8522&gt;0,K8522*Summary!$B$9,K8522/Summary!$B$9)</f>
        <v/>
      </c>
      <c r="M8522" s="11">
        <f>G8522+H8522</f>
        <v/>
      </c>
      <c r="N8522" s="11">
        <f>Summary!$C$16*Summary!$B$8</f>
        <v/>
      </c>
      <c r="O8522" s="11">
        <f>M8522-N8522</f>
        <v/>
      </c>
    </row>
    <row r="8523">
      <c r="A8523" s="9" t="n">
        <v>45647.04166666666</v>
      </c>
      <c r="B8523" t="n">
        <v>12</v>
      </c>
      <c r="C8523" t="n">
        <v>21</v>
      </c>
      <c r="D8523" t="n">
        <v>1</v>
      </c>
      <c r="E8523" s="10" t="n">
        <v>0</v>
      </c>
      <c r="F8523" s="10" t="n">
        <v>0.3546716531211968</v>
      </c>
      <c r="G8523" s="11">
        <f>E8523*Summary!$B$6</f>
        <v/>
      </c>
      <c r="H8523" s="11">
        <f>F8523*Summary!$B$7</f>
        <v/>
      </c>
      <c r="I8523" s="11">
        <f>MAX(0,N8523-M8523)</f>
        <v/>
      </c>
      <c r="J8523" s="11">
        <f>MAX(0,M8523-N8523)</f>
        <v/>
      </c>
      <c r="K8523" s="11">
        <f>O8523</f>
        <v/>
      </c>
      <c r="L8523" s="11">
        <f>L8522+IF(K8523&gt;0,K8523*Summary!$B$9,K8523/Summary!$B$9)</f>
        <v/>
      </c>
      <c r="M8523" s="11">
        <f>G8523+H8523</f>
        <v/>
      </c>
      <c r="N8523" s="11">
        <f>Summary!$C$16*Summary!$B$8</f>
        <v/>
      </c>
      <c r="O8523" s="11">
        <f>M8523-N8523</f>
        <v/>
      </c>
    </row>
    <row r="8524">
      <c r="A8524" s="9" t="n">
        <v>45647.08333333334</v>
      </c>
      <c r="B8524" t="n">
        <v>12</v>
      </c>
      <c r="C8524" t="n">
        <v>21</v>
      </c>
      <c r="D8524" t="n">
        <v>2</v>
      </c>
      <c r="E8524" s="10" t="n">
        <v>0</v>
      </c>
      <c r="F8524" s="10" t="n">
        <v>0.350033700008088</v>
      </c>
      <c r="G8524" s="11">
        <f>E8524*Summary!$B$6</f>
        <v/>
      </c>
      <c r="H8524" s="11">
        <f>F8524*Summary!$B$7</f>
        <v/>
      </c>
      <c r="I8524" s="11">
        <f>MAX(0,N8524-M8524)</f>
        <v/>
      </c>
      <c r="J8524" s="11">
        <f>MAX(0,M8524-N8524)</f>
        <v/>
      </c>
      <c r="K8524" s="11">
        <f>O8524</f>
        <v/>
      </c>
      <c r="L8524" s="11">
        <f>L8523+IF(K8524&gt;0,K8524*Summary!$B$9,K8524/Summary!$B$9)</f>
        <v/>
      </c>
      <c r="M8524" s="11">
        <f>G8524+H8524</f>
        <v/>
      </c>
      <c r="N8524" s="11">
        <f>Summary!$C$16*Summary!$B$8</f>
        <v/>
      </c>
      <c r="O8524" s="11">
        <f>M8524-N8524</f>
        <v/>
      </c>
    </row>
    <row r="8525">
      <c r="A8525" s="9" t="n">
        <v>45647.125</v>
      </c>
      <c r="B8525" t="n">
        <v>12</v>
      </c>
      <c r="C8525" t="n">
        <v>21</v>
      </c>
      <c r="D8525" t="n">
        <v>3</v>
      </c>
      <c r="E8525" s="10" t="n">
        <v>0</v>
      </c>
      <c r="F8525" s="10" t="n">
        <v>0.3478464834831561</v>
      </c>
      <c r="G8525" s="11">
        <f>E8525*Summary!$B$6</f>
        <v/>
      </c>
      <c r="H8525" s="11">
        <f>F8525*Summary!$B$7</f>
        <v/>
      </c>
      <c r="I8525" s="11">
        <f>MAX(0,N8525-M8525)</f>
        <v/>
      </c>
      <c r="J8525" s="11">
        <f>MAX(0,M8525-N8525)</f>
        <v/>
      </c>
      <c r="K8525" s="11">
        <f>O8525</f>
        <v/>
      </c>
      <c r="L8525" s="11">
        <f>L8524+IF(K8525&gt;0,K8525*Summary!$B$9,K8525/Summary!$B$9)</f>
        <v/>
      </c>
      <c r="M8525" s="11">
        <f>G8525+H8525</f>
        <v/>
      </c>
      <c r="N8525" s="11">
        <f>Summary!$C$16*Summary!$B$8</f>
        <v/>
      </c>
      <c r="O8525" s="11">
        <f>M8525-N8525</f>
        <v/>
      </c>
    </row>
    <row r="8526">
      <c r="A8526" s="9" t="n">
        <v>45647.16666666666</v>
      </c>
      <c r="B8526" t="n">
        <v>12</v>
      </c>
      <c r="C8526" t="n">
        <v>21</v>
      </c>
      <c r="D8526" t="n">
        <v>4</v>
      </c>
      <c r="E8526" s="10" t="n">
        <v>0</v>
      </c>
      <c r="F8526" s="10" t="n">
        <v>0.3485843396602415</v>
      </c>
      <c r="G8526" s="11">
        <f>E8526*Summary!$B$6</f>
        <v/>
      </c>
      <c r="H8526" s="11">
        <f>F8526*Summary!$B$7</f>
        <v/>
      </c>
      <c r="I8526" s="11">
        <f>MAX(0,N8526-M8526)</f>
        <v/>
      </c>
      <c r="J8526" s="11">
        <f>MAX(0,M8526-N8526)</f>
        <v/>
      </c>
      <c r="K8526" s="11">
        <f>O8526</f>
        <v/>
      </c>
      <c r="L8526" s="11">
        <f>L8525+IF(K8526&gt;0,K8526*Summary!$B$9,K8526/Summary!$B$9)</f>
        <v/>
      </c>
      <c r="M8526" s="11">
        <f>G8526+H8526</f>
        <v/>
      </c>
      <c r="N8526" s="11">
        <f>Summary!$C$16*Summary!$B$8</f>
        <v/>
      </c>
      <c r="O8526" s="11">
        <f>M8526-N8526</f>
        <v/>
      </c>
    </row>
    <row r="8527">
      <c r="A8527" s="9" t="n">
        <v>45647.20833333334</v>
      </c>
      <c r="B8527" t="n">
        <v>12</v>
      </c>
      <c r="C8527" t="n">
        <v>21</v>
      </c>
      <c r="D8527" t="n">
        <v>5</v>
      </c>
      <c r="E8527" s="10" t="n">
        <v>0</v>
      </c>
      <c r="F8527" s="10" t="n">
        <v>0.3521418605140466</v>
      </c>
      <c r="G8527" s="11">
        <f>E8527*Summary!$B$6</f>
        <v/>
      </c>
      <c r="H8527" s="11">
        <f>F8527*Summary!$B$7</f>
        <v/>
      </c>
      <c r="I8527" s="11">
        <f>MAX(0,N8527-M8527)</f>
        <v/>
      </c>
      <c r="J8527" s="11">
        <f>MAX(0,M8527-N8527)</f>
        <v/>
      </c>
      <c r="K8527" s="11">
        <f>O8527</f>
        <v/>
      </c>
      <c r="L8527" s="11">
        <f>L8526+IF(K8527&gt;0,K8527*Summary!$B$9,K8527/Summary!$B$9)</f>
        <v/>
      </c>
      <c r="M8527" s="11">
        <f>G8527+H8527</f>
        <v/>
      </c>
      <c r="N8527" s="11">
        <f>Summary!$C$16*Summary!$B$8</f>
        <v/>
      </c>
      <c r="O8527" s="11">
        <f>M8527-N8527</f>
        <v/>
      </c>
    </row>
    <row r="8528">
      <c r="A8528" s="9" t="n">
        <v>45647.25</v>
      </c>
      <c r="B8528" t="n">
        <v>12</v>
      </c>
      <c r="C8528" t="n">
        <v>21</v>
      </c>
      <c r="D8528" t="n">
        <v>6</v>
      </c>
      <c r="E8528" s="10" t="n">
        <v>0</v>
      </c>
      <c r="F8528" s="10" t="n">
        <v>0.3594677182722524</v>
      </c>
      <c r="G8528" s="11">
        <f>E8528*Summary!$B$6</f>
        <v/>
      </c>
      <c r="H8528" s="11">
        <f>F8528*Summary!$B$7</f>
        <v/>
      </c>
      <c r="I8528" s="11">
        <f>MAX(0,N8528-M8528)</f>
        <v/>
      </c>
      <c r="J8528" s="11">
        <f>MAX(0,M8528-N8528)</f>
        <v/>
      </c>
      <c r="K8528" s="11">
        <f>O8528</f>
        <v/>
      </c>
      <c r="L8528" s="11">
        <f>L8527+IF(K8528&gt;0,K8528*Summary!$B$9,K8528/Summary!$B$9)</f>
        <v/>
      </c>
      <c r="M8528" s="11">
        <f>G8528+H8528</f>
        <v/>
      </c>
      <c r="N8528" s="11">
        <f>Summary!$C$16*Summary!$B$8</f>
        <v/>
      </c>
      <c r="O8528" s="11">
        <f>M8528-N8528</f>
        <v/>
      </c>
    </row>
    <row r="8529">
      <c r="A8529" s="9" t="n">
        <v>45647.29166666666</v>
      </c>
      <c r="B8529" t="n">
        <v>12</v>
      </c>
      <c r="C8529" t="n">
        <v>21</v>
      </c>
      <c r="D8529" t="n">
        <v>7</v>
      </c>
      <c r="E8529" s="10" t="n">
        <v>0</v>
      </c>
      <c r="F8529" s="10" t="n">
        <v>0.3687436244984699</v>
      </c>
      <c r="G8529" s="11">
        <f>E8529*Summary!$B$6</f>
        <v/>
      </c>
      <c r="H8529" s="11">
        <f>F8529*Summary!$B$7</f>
        <v/>
      </c>
      <c r="I8529" s="11">
        <f>MAX(0,N8529-M8529)</f>
        <v/>
      </c>
      <c r="J8529" s="11">
        <f>MAX(0,M8529-N8529)</f>
        <v/>
      </c>
      <c r="K8529" s="11">
        <f>O8529</f>
        <v/>
      </c>
      <c r="L8529" s="11">
        <f>L8528+IF(K8529&gt;0,K8529*Summary!$B$9,K8529/Summary!$B$9)</f>
        <v/>
      </c>
      <c r="M8529" s="11">
        <f>G8529+H8529</f>
        <v/>
      </c>
      <c r="N8529" s="11">
        <f>Summary!$C$16*Summary!$B$8</f>
        <v/>
      </c>
      <c r="O8529" s="11">
        <f>M8529-N8529</f>
        <v/>
      </c>
    </row>
    <row r="8530">
      <c r="A8530" s="9" t="n">
        <v>45647.33333333334</v>
      </c>
      <c r="B8530" t="n">
        <v>12</v>
      </c>
      <c r="C8530" t="n">
        <v>21</v>
      </c>
      <c r="D8530" t="n">
        <v>8</v>
      </c>
      <c r="E8530" s="10" t="n">
        <v>0</v>
      </c>
      <c r="F8530" s="10" t="n">
        <v>0.3797851151484276</v>
      </c>
      <c r="G8530" s="11">
        <f>E8530*Summary!$B$6</f>
        <v/>
      </c>
      <c r="H8530" s="11">
        <f>F8530*Summary!$B$7</f>
        <v/>
      </c>
      <c r="I8530" s="11">
        <f>MAX(0,N8530-M8530)</f>
        <v/>
      </c>
      <c r="J8530" s="11">
        <f>MAX(0,M8530-N8530)</f>
        <v/>
      </c>
      <c r="K8530" s="11">
        <f>O8530</f>
        <v/>
      </c>
      <c r="L8530" s="11">
        <f>L8529+IF(K8530&gt;0,K8530*Summary!$B$9,K8530/Summary!$B$9)</f>
        <v/>
      </c>
      <c r="M8530" s="11">
        <f>G8530+H8530</f>
        <v/>
      </c>
      <c r="N8530" s="11">
        <f>Summary!$C$16*Summary!$B$8</f>
        <v/>
      </c>
      <c r="O8530" s="11">
        <f>M8530-N8530</f>
        <v/>
      </c>
    </row>
    <row r="8531">
      <c r="A8531" s="9" t="n">
        <v>45647.375</v>
      </c>
      <c r="B8531" t="n">
        <v>12</v>
      </c>
      <c r="C8531" t="n">
        <v>21</v>
      </c>
      <c r="D8531" t="n">
        <v>9</v>
      </c>
      <c r="E8531" s="10" t="n">
        <v>0.032399</v>
      </c>
      <c r="F8531" s="10" t="n">
        <v>0.3987322076957299</v>
      </c>
      <c r="G8531" s="11">
        <f>E8531*Summary!$B$6</f>
        <v/>
      </c>
      <c r="H8531" s="11">
        <f>F8531*Summary!$B$7</f>
        <v/>
      </c>
      <c r="I8531" s="11">
        <f>MAX(0,N8531-M8531)</f>
        <v/>
      </c>
      <c r="J8531" s="11">
        <f>MAX(0,M8531-N8531)</f>
        <v/>
      </c>
      <c r="K8531" s="11">
        <f>O8531</f>
        <v/>
      </c>
      <c r="L8531" s="11">
        <f>L8530+IF(K8531&gt;0,K8531*Summary!$B$9,K8531/Summary!$B$9)</f>
        <v/>
      </c>
      <c r="M8531" s="11">
        <f>G8531+H8531</f>
        <v/>
      </c>
      <c r="N8531" s="11">
        <f>Summary!$C$16*Summary!$B$8</f>
        <v/>
      </c>
      <c r="O8531" s="11">
        <f>M8531-N8531</f>
        <v/>
      </c>
    </row>
    <row r="8532">
      <c r="A8532" s="9" t="n">
        <v>45647.41666666666</v>
      </c>
      <c r="B8532" t="n">
        <v>12</v>
      </c>
      <c r="C8532" t="n">
        <v>21</v>
      </c>
      <c r="D8532" t="n">
        <v>10</v>
      </c>
      <c r="E8532" s="10" t="n">
        <v>0.098979</v>
      </c>
      <c r="F8532" s="10" t="n">
        <v>0.4077972978713514</v>
      </c>
      <c r="G8532" s="11">
        <f>E8532*Summary!$B$6</f>
        <v/>
      </c>
      <c r="H8532" s="11">
        <f>F8532*Summary!$B$7</f>
        <v/>
      </c>
      <c r="I8532" s="11">
        <f>MAX(0,N8532-M8532)</f>
        <v/>
      </c>
      <c r="J8532" s="11">
        <f>MAX(0,M8532-N8532)</f>
        <v/>
      </c>
      <c r="K8532" s="11">
        <f>O8532</f>
        <v/>
      </c>
      <c r="L8532" s="11">
        <f>L8531+IF(K8532&gt;0,K8532*Summary!$B$9,K8532/Summary!$B$9)</f>
        <v/>
      </c>
      <c r="M8532" s="11">
        <f>G8532+H8532</f>
        <v/>
      </c>
      <c r="N8532" s="11">
        <f>Summary!$C$16*Summary!$B$8</f>
        <v/>
      </c>
      <c r="O8532" s="11">
        <f>M8532-N8532</f>
        <v/>
      </c>
    </row>
    <row r="8533">
      <c r="A8533" s="9" t="n">
        <v>45647.45833333334</v>
      </c>
      <c r="B8533" t="n">
        <v>12</v>
      </c>
      <c r="C8533" t="n">
        <v>21</v>
      </c>
      <c r="D8533" t="n">
        <v>11</v>
      </c>
      <c r="E8533" s="10" t="n">
        <v>0.149988</v>
      </c>
      <c r="F8533" s="10" t="n">
        <v>0.4140954273829026</v>
      </c>
      <c r="G8533" s="11">
        <f>E8533*Summary!$B$6</f>
        <v/>
      </c>
      <c r="H8533" s="11">
        <f>F8533*Summary!$B$7</f>
        <v/>
      </c>
      <c r="I8533" s="11">
        <f>MAX(0,N8533-M8533)</f>
        <v/>
      </c>
      <c r="J8533" s="11">
        <f>MAX(0,M8533-N8533)</f>
        <v/>
      </c>
      <c r="K8533" s="11">
        <f>O8533</f>
        <v/>
      </c>
      <c r="L8533" s="11">
        <f>L8532+IF(K8533&gt;0,K8533*Summary!$B$9,K8533/Summary!$B$9)</f>
        <v/>
      </c>
      <c r="M8533" s="11">
        <f>G8533+H8533</f>
        <v/>
      </c>
      <c r="N8533" s="11">
        <f>Summary!$C$16*Summary!$B$8</f>
        <v/>
      </c>
      <c r="O8533" s="11">
        <f>M8533-N8533</f>
        <v/>
      </c>
    </row>
    <row r="8534">
      <c r="A8534" s="9" t="n">
        <v>45647.5</v>
      </c>
      <c r="B8534" t="n">
        <v>12</v>
      </c>
      <c r="C8534" t="n">
        <v>21</v>
      </c>
      <c r="D8534" t="n">
        <v>12</v>
      </c>
      <c r="E8534" s="10" t="n">
        <v>0.159211</v>
      </c>
      <c r="F8534" s="10" t="n">
        <v>0.4196029967047192</v>
      </c>
      <c r="G8534" s="11">
        <f>E8534*Summary!$B$6</f>
        <v/>
      </c>
      <c r="H8534" s="11">
        <f>F8534*Summary!$B$7</f>
        <v/>
      </c>
      <c r="I8534" s="11">
        <f>MAX(0,N8534-M8534)</f>
        <v/>
      </c>
      <c r="J8534" s="11">
        <f>MAX(0,M8534-N8534)</f>
        <v/>
      </c>
      <c r="K8534" s="11">
        <f>O8534</f>
        <v/>
      </c>
      <c r="L8534" s="11">
        <f>L8533+IF(K8534&gt;0,K8534*Summary!$B$9,K8534/Summary!$B$9)</f>
        <v/>
      </c>
      <c r="M8534" s="11">
        <f>G8534+H8534</f>
        <v/>
      </c>
      <c r="N8534" s="11">
        <f>Summary!$C$16*Summary!$B$8</f>
        <v/>
      </c>
      <c r="O8534" s="11">
        <f>M8534-N8534</f>
        <v/>
      </c>
    </row>
    <row r="8535">
      <c r="A8535" s="9" t="n">
        <v>45647.54166666666</v>
      </c>
      <c r="B8535" t="n">
        <v>12</v>
      </c>
      <c r="C8535" t="n">
        <v>21</v>
      </c>
      <c r="D8535" t="n">
        <v>13</v>
      </c>
      <c r="E8535" s="10" t="n">
        <v>0.101198</v>
      </c>
      <c r="F8535" s="10" t="n">
        <v>0.4156501957560469</v>
      </c>
      <c r="G8535" s="11">
        <f>E8535*Summary!$B$6</f>
        <v/>
      </c>
      <c r="H8535" s="11">
        <f>F8535*Summary!$B$7</f>
        <v/>
      </c>
      <c r="I8535" s="11">
        <f>MAX(0,N8535-M8535)</f>
        <v/>
      </c>
      <c r="J8535" s="11">
        <f>MAX(0,M8535-N8535)</f>
        <v/>
      </c>
      <c r="K8535" s="11">
        <f>O8535</f>
        <v/>
      </c>
      <c r="L8535" s="11">
        <f>L8534+IF(K8535&gt;0,K8535*Summary!$B$9,K8535/Summary!$B$9)</f>
        <v/>
      </c>
      <c r="M8535" s="11">
        <f>G8535+H8535</f>
        <v/>
      </c>
      <c r="N8535" s="11">
        <f>Summary!$C$16*Summary!$B$8</f>
        <v/>
      </c>
      <c r="O8535" s="11">
        <f>M8535-N8535</f>
        <v/>
      </c>
    </row>
    <row r="8536">
      <c r="A8536" s="9" t="n">
        <v>45647.58333333334</v>
      </c>
      <c r="B8536" t="n">
        <v>12</v>
      </c>
      <c r="C8536" t="n">
        <v>21</v>
      </c>
      <c r="D8536" t="n">
        <v>14</v>
      </c>
      <c r="E8536" s="10" t="n">
        <v>0.021373</v>
      </c>
      <c r="F8536" s="10" t="n">
        <v>0.4139109633386312</v>
      </c>
      <c r="G8536" s="11">
        <f>E8536*Summary!$B$6</f>
        <v/>
      </c>
      <c r="H8536" s="11">
        <f>F8536*Summary!$B$7</f>
        <v/>
      </c>
      <c r="I8536" s="11">
        <f>MAX(0,N8536-M8536)</f>
        <v/>
      </c>
      <c r="J8536" s="11">
        <f>MAX(0,M8536-N8536)</f>
        <v/>
      </c>
      <c r="K8536" s="11">
        <f>O8536</f>
        <v/>
      </c>
      <c r="L8536" s="11">
        <f>L8535+IF(K8536&gt;0,K8536*Summary!$B$9,K8536/Summary!$B$9)</f>
        <v/>
      </c>
      <c r="M8536" s="11">
        <f>G8536+H8536</f>
        <v/>
      </c>
      <c r="N8536" s="11">
        <f>Summary!$C$16*Summary!$B$8</f>
        <v/>
      </c>
      <c r="O8536" s="11">
        <f>M8536-N8536</f>
        <v/>
      </c>
    </row>
    <row r="8537">
      <c r="A8537" s="9" t="n">
        <v>45647.625</v>
      </c>
      <c r="B8537" t="n">
        <v>12</v>
      </c>
      <c r="C8537" t="n">
        <v>21</v>
      </c>
      <c r="D8537" t="n">
        <v>15</v>
      </c>
      <c r="E8537" s="10" t="n">
        <v>0</v>
      </c>
      <c r="F8537" s="10" t="n">
        <v>0.4155711397370735</v>
      </c>
      <c r="G8537" s="11">
        <f>E8537*Summary!$B$6</f>
        <v/>
      </c>
      <c r="H8537" s="11">
        <f>F8537*Summary!$B$7</f>
        <v/>
      </c>
      <c r="I8537" s="11">
        <f>MAX(0,N8537-M8537)</f>
        <v/>
      </c>
      <c r="J8537" s="11">
        <f>MAX(0,M8537-N8537)</f>
        <v/>
      </c>
      <c r="K8537" s="11">
        <f>O8537</f>
        <v/>
      </c>
      <c r="L8537" s="11">
        <f>L8536+IF(K8537&gt;0,K8537*Summary!$B$9,K8537/Summary!$B$9)</f>
        <v/>
      </c>
      <c r="M8537" s="11">
        <f>G8537+H8537</f>
        <v/>
      </c>
      <c r="N8537" s="11">
        <f>Summary!$C$16*Summary!$B$8</f>
        <v/>
      </c>
      <c r="O8537" s="11">
        <f>M8537-N8537</f>
        <v/>
      </c>
    </row>
    <row r="8538">
      <c r="A8538" s="9" t="n">
        <v>45647.66666666666</v>
      </c>
      <c r="B8538" t="n">
        <v>12</v>
      </c>
      <c r="C8538" t="n">
        <v>21</v>
      </c>
      <c r="D8538" t="n">
        <v>16</v>
      </c>
      <c r="E8538" s="10" t="n">
        <v>0</v>
      </c>
      <c r="F8538" s="10" t="n">
        <v>0.4212631731031615</v>
      </c>
      <c r="G8538" s="11">
        <f>E8538*Summary!$B$6</f>
        <v/>
      </c>
      <c r="H8538" s="11">
        <f>F8538*Summary!$B$7</f>
        <v/>
      </c>
      <c r="I8538" s="11">
        <f>MAX(0,N8538-M8538)</f>
        <v/>
      </c>
      <c r="J8538" s="11">
        <f>MAX(0,M8538-N8538)</f>
        <v/>
      </c>
      <c r="K8538" s="11">
        <f>O8538</f>
        <v/>
      </c>
      <c r="L8538" s="11">
        <f>L8537+IF(K8538&gt;0,K8538*Summary!$B$9,K8538/Summary!$B$9)</f>
        <v/>
      </c>
      <c r="M8538" s="11">
        <f>G8538+H8538</f>
        <v/>
      </c>
      <c r="N8538" s="11">
        <f>Summary!$C$16*Summary!$B$8</f>
        <v/>
      </c>
      <c r="O8538" s="11">
        <f>M8538-N8538</f>
        <v/>
      </c>
    </row>
    <row r="8539">
      <c r="A8539" s="9" t="n">
        <v>45647.70833333334</v>
      </c>
      <c r="B8539" t="n">
        <v>12</v>
      </c>
      <c r="C8539" t="n">
        <v>21</v>
      </c>
      <c r="D8539" t="n">
        <v>17</v>
      </c>
      <c r="E8539" s="10" t="n">
        <v>0</v>
      </c>
      <c r="F8539" s="10" t="n">
        <v>0.4286153828676919</v>
      </c>
      <c r="G8539" s="11">
        <f>E8539*Summary!$B$6</f>
        <v/>
      </c>
      <c r="H8539" s="11">
        <f>F8539*Summary!$B$7</f>
        <v/>
      </c>
      <c r="I8539" s="11">
        <f>MAX(0,N8539-M8539)</f>
        <v/>
      </c>
      <c r="J8539" s="11">
        <f>MAX(0,M8539-N8539)</f>
        <v/>
      </c>
      <c r="K8539" s="11">
        <f>O8539</f>
        <v/>
      </c>
      <c r="L8539" s="11">
        <f>L8538+IF(K8539&gt;0,K8539*Summary!$B$9,K8539/Summary!$B$9)</f>
        <v/>
      </c>
      <c r="M8539" s="11">
        <f>G8539+H8539</f>
        <v/>
      </c>
      <c r="N8539" s="11">
        <f>Summary!$C$16*Summary!$B$8</f>
        <v/>
      </c>
      <c r="O8539" s="11">
        <f>M8539-N8539</f>
        <v/>
      </c>
    </row>
    <row r="8540">
      <c r="A8540" s="9" t="n">
        <v>45647.75</v>
      </c>
      <c r="B8540" t="n">
        <v>12</v>
      </c>
      <c r="C8540" t="n">
        <v>21</v>
      </c>
      <c r="D8540" t="n">
        <v>18</v>
      </c>
      <c r="E8540" s="10" t="n">
        <v>0</v>
      </c>
      <c r="F8540" s="10" t="n">
        <v>0.4382602171824521</v>
      </c>
      <c r="G8540" s="11">
        <f>E8540*Summary!$B$6</f>
        <v/>
      </c>
      <c r="H8540" s="11">
        <f>F8540*Summary!$B$7</f>
        <v/>
      </c>
      <c r="I8540" s="11">
        <f>MAX(0,N8540-M8540)</f>
        <v/>
      </c>
      <c r="J8540" s="11">
        <f>MAX(0,M8540-N8540)</f>
        <v/>
      </c>
      <c r="K8540" s="11">
        <f>O8540</f>
        <v/>
      </c>
      <c r="L8540" s="11">
        <f>L8539+IF(K8540&gt;0,K8540*Summary!$B$9,K8540/Summary!$B$9)</f>
        <v/>
      </c>
      <c r="M8540" s="11">
        <f>G8540+H8540</f>
        <v/>
      </c>
      <c r="N8540" s="11">
        <f>Summary!$C$16*Summary!$B$8</f>
        <v/>
      </c>
      <c r="O8540" s="11">
        <f>M8540-N8540</f>
        <v/>
      </c>
    </row>
    <row r="8541">
      <c r="A8541" s="9" t="n">
        <v>45647.79166666666</v>
      </c>
      <c r="B8541" t="n">
        <v>12</v>
      </c>
      <c r="C8541" t="n">
        <v>21</v>
      </c>
      <c r="D8541" t="n">
        <v>19</v>
      </c>
      <c r="E8541" s="10" t="n">
        <v>0</v>
      </c>
      <c r="F8541" s="10" t="n">
        <v>0.4458232429975783</v>
      </c>
      <c r="G8541" s="11">
        <f>E8541*Summary!$B$6</f>
        <v/>
      </c>
      <c r="H8541" s="11">
        <f>F8541*Summary!$B$7</f>
        <v/>
      </c>
      <c r="I8541" s="11">
        <f>MAX(0,N8541-M8541)</f>
        <v/>
      </c>
      <c r="J8541" s="11">
        <f>MAX(0,M8541-N8541)</f>
        <v/>
      </c>
      <c r="K8541" s="11">
        <f>O8541</f>
        <v/>
      </c>
      <c r="L8541" s="11">
        <f>L8540+IF(K8541&gt;0,K8541*Summary!$B$9,K8541/Summary!$B$9)</f>
        <v/>
      </c>
      <c r="M8541" s="11">
        <f>G8541+H8541</f>
        <v/>
      </c>
      <c r="N8541" s="11">
        <f>Summary!$C$16*Summary!$B$8</f>
        <v/>
      </c>
      <c r="O8541" s="11">
        <f>M8541-N8541</f>
        <v/>
      </c>
    </row>
    <row r="8542">
      <c r="A8542" s="9" t="n">
        <v>45647.83333333334</v>
      </c>
      <c r="B8542" t="n">
        <v>12</v>
      </c>
      <c r="C8542" t="n">
        <v>21</v>
      </c>
      <c r="D8542" t="n">
        <v>20</v>
      </c>
      <c r="E8542" s="10" t="n">
        <v>0</v>
      </c>
      <c r="F8542" s="10" t="n">
        <v>0.4558897094135302</v>
      </c>
      <c r="G8542" s="11">
        <f>E8542*Summary!$B$6</f>
        <v/>
      </c>
      <c r="H8542" s="11">
        <f>F8542*Summary!$B$7</f>
        <v/>
      </c>
      <c r="I8542" s="11">
        <f>MAX(0,N8542-M8542)</f>
        <v/>
      </c>
      <c r="J8542" s="11">
        <f>MAX(0,M8542-N8542)</f>
        <v/>
      </c>
      <c r="K8542" s="11">
        <f>O8542</f>
        <v/>
      </c>
      <c r="L8542" s="11">
        <f>L8541+IF(K8542&gt;0,K8542*Summary!$B$9,K8542/Summary!$B$9)</f>
        <v/>
      </c>
      <c r="M8542" s="11">
        <f>G8542+H8542</f>
        <v/>
      </c>
      <c r="N8542" s="11">
        <f>Summary!$C$16*Summary!$B$8</f>
        <v/>
      </c>
      <c r="O8542" s="11">
        <f>M8542-N8542</f>
        <v/>
      </c>
    </row>
    <row r="8543">
      <c r="A8543" s="9" t="n">
        <v>45647.875</v>
      </c>
      <c r="B8543" t="n">
        <v>12</v>
      </c>
      <c r="C8543" t="n">
        <v>21</v>
      </c>
      <c r="D8543" t="n">
        <v>21</v>
      </c>
      <c r="E8543" s="10" t="n">
        <v>0</v>
      </c>
      <c r="F8543" s="10" t="n">
        <v>0.4560478214514772</v>
      </c>
      <c r="G8543" s="11">
        <f>E8543*Summary!$B$6</f>
        <v/>
      </c>
      <c r="H8543" s="11">
        <f>F8543*Summary!$B$7</f>
        <v/>
      </c>
      <c r="I8543" s="11">
        <f>MAX(0,N8543-M8543)</f>
        <v/>
      </c>
      <c r="J8543" s="11">
        <f>MAX(0,M8543-N8543)</f>
        <v/>
      </c>
      <c r="K8543" s="11">
        <f>O8543</f>
        <v/>
      </c>
      <c r="L8543" s="11">
        <f>L8542+IF(K8543&gt;0,K8543*Summary!$B$9,K8543/Summary!$B$9)</f>
        <v/>
      </c>
      <c r="M8543" s="11">
        <f>G8543+H8543</f>
        <v/>
      </c>
      <c r="N8543" s="11">
        <f>Summary!$C$16*Summary!$B$8</f>
        <v/>
      </c>
      <c r="O8543" s="11">
        <f>M8543-N8543</f>
        <v/>
      </c>
    </row>
    <row r="8544">
      <c r="A8544" s="9" t="n">
        <v>45647.91666666666</v>
      </c>
      <c r="B8544" t="n">
        <v>12</v>
      </c>
      <c r="C8544" t="n">
        <v>21</v>
      </c>
      <c r="D8544" t="n">
        <v>22</v>
      </c>
      <c r="E8544" s="10" t="n">
        <v>0</v>
      </c>
      <c r="F8544" s="10" t="n">
        <v>0.4493807638513833</v>
      </c>
      <c r="G8544" s="11">
        <f>E8544*Summary!$B$6</f>
        <v/>
      </c>
      <c r="H8544" s="11">
        <f>F8544*Summary!$B$7</f>
        <v/>
      </c>
      <c r="I8544" s="11">
        <f>MAX(0,N8544-M8544)</f>
        <v/>
      </c>
      <c r="J8544" s="11">
        <f>MAX(0,M8544-N8544)</f>
        <v/>
      </c>
      <c r="K8544" s="11">
        <f>O8544</f>
        <v/>
      </c>
      <c r="L8544" s="11">
        <f>L8543+IF(K8544&gt;0,K8544*Summary!$B$9,K8544/Summary!$B$9)</f>
        <v/>
      </c>
      <c r="M8544" s="11">
        <f>G8544+H8544</f>
        <v/>
      </c>
      <c r="N8544" s="11">
        <f>Summary!$C$16*Summary!$B$8</f>
        <v/>
      </c>
      <c r="O8544" s="11">
        <f>M8544-N8544</f>
        <v/>
      </c>
    </row>
    <row r="8545">
      <c r="A8545" s="9" t="n">
        <v>45647.95833333334</v>
      </c>
      <c r="B8545" t="n">
        <v>12</v>
      </c>
      <c r="C8545" t="n">
        <v>21</v>
      </c>
      <c r="D8545" t="n">
        <v>23</v>
      </c>
      <c r="E8545" s="10" t="n">
        <v>0</v>
      </c>
      <c r="F8545" s="10" t="n">
        <v>0.4454543149090355</v>
      </c>
      <c r="G8545" s="11">
        <f>E8545*Summary!$B$6</f>
        <v/>
      </c>
      <c r="H8545" s="11">
        <f>F8545*Summary!$B$7</f>
        <v/>
      </c>
      <c r="I8545" s="11">
        <f>MAX(0,N8545-M8545)</f>
        <v/>
      </c>
      <c r="J8545" s="11">
        <f>MAX(0,M8545-N8545)</f>
        <v/>
      </c>
      <c r="K8545" s="11">
        <f>O8545</f>
        <v/>
      </c>
      <c r="L8545" s="11">
        <f>L8544+IF(K8545&gt;0,K8545*Summary!$B$9,K8545/Summary!$B$9)</f>
        <v/>
      </c>
      <c r="M8545" s="11">
        <f>G8545+H8545</f>
        <v/>
      </c>
      <c r="N8545" s="11">
        <f>Summary!$C$16*Summary!$B$8</f>
        <v/>
      </c>
      <c r="O8545" s="11">
        <f>M8545-N8545</f>
        <v/>
      </c>
    </row>
    <row r="8546">
      <c r="A8546" s="9" t="n">
        <v>45648</v>
      </c>
      <c r="B8546" t="n">
        <v>12</v>
      </c>
      <c r="C8546" t="n">
        <v>22</v>
      </c>
      <c r="D8546" t="n">
        <v>0</v>
      </c>
      <c r="E8546" s="10" t="n">
        <v>0</v>
      </c>
      <c r="F8546" s="10" t="n">
        <v>0.4183381004011441</v>
      </c>
      <c r="G8546" s="11">
        <f>E8546*Summary!$B$6</f>
        <v/>
      </c>
      <c r="H8546" s="11">
        <f>F8546*Summary!$B$7</f>
        <v/>
      </c>
      <c r="I8546" s="11">
        <f>MAX(0,N8546-M8546)</f>
        <v/>
      </c>
      <c r="J8546" s="11">
        <f>MAX(0,M8546-N8546)</f>
        <v/>
      </c>
      <c r="K8546" s="11">
        <f>O8546</f>
        <v/>
      </c>
      <c r="L8546" s="11">
        <f>L8545+IF(K8546&gt;0,K8546*Summary!$B$9,K8546/Summary!$B$9)</f>
        <v/>
      </c>
      <c r="M8546" s="11">
        <f>G8546+H8546</f>
        <v/>
      </c>
      <c r="N8546" s="11">
        <f>Summary!$C$16*Summary!$B$8</f>
        <v/>
      </c>
      <c r="O8546" s="11">
        <f>M8546-N8546</f>
        <v/>
      </c>
    </row>
    <row r="8547">
      <c r="A8547" s="9" t="n">
        <v>45648.04166666666</v>
      </c>
      <c r="B8547" t="n">
        <v>12</v>
      </c>
      <c r="C8547" t="n">
        <v>22</v>
      </c>
      <c r="D8547" t="n">
        <v>1</v>
      </c>
      <c r="E8547" s="10" t="n">
        <v>0</v>
      </c>
      <c r="F8547" s="10" t="n">
        <v>0.4390507773721866</v>
      </c>
      <c r="G8547" s="11">
        <f>E8547*Summary!$B$6</f>
        <v/>
      </c>
      <c r="H8547" s="11">
        <f>F8547*Summary!$B$7</f>
        <v/>
      </c>
      <c r="I8547" s="11">
        <f>MAX(0,N8547-M8547)</f>
        <v/>
      </c>
      <c r="J8547" s="11">
        <f>MAX(0,M8547-N8547)</f>
        <v/>
      </c>
      <c r="K8547" s="11">
        <f>O8547</f>
        <v/>
      </c>
      <c r="L8547" s="11">
        <f>L8546+IF(K8547&gt;0,K8547*Summary!$B$9,K8547/Summary!$B$9)</f>
        <v/>
      </c>
      <c r="M8547" s="11">
        <f>G8547+H8547</f>
        <v/>
      </c>
      <c r="N8547" s="11">
        <f>Summary!$C$16*Summary!$B$8</f>
        <v/>
      </c>
      <c r="O8547" s="11">
        <f>M8547-N8547</f>
        <v/>
      </c>
    </row>
    <row r="8548">
      <c r="A8548" s="9" t="n">
        <v>45648.08333333334</v>
      </c>
      <c r="B8548" t="n">
        <v>12</v>
      </c>
      <c r="C8548" t="n">
        <v>22</v>
      </c>
      <c r="D8548" t="n">
        <v>2</v>
      </c>
      <c r="E8548" s="10" t="n">
        <v>0</v>
      </c>
      <c r="F8548" s="10" t="n">
        <v>0.4366263927903343</v>
      </c>
      <c r="G8548" s="11">
        <f>E8548*Summary!$B$6</f>
        <v/>
      </c>
      <c r="H8548" s="11">
        <f>F8548*Summary!$B$7</f>
        <v/>
      </c>
      <c r="I8548" s="11">
        <f>MAX(0,N8548-M8548)</f>
        <v/>
      </c>
      <c r="J8548" s="11">
        <f>MAX(0,M8548-N8548)</f>
        <v/>
      </c>
      <c r="K8548" s="11">
        <f>O8548</f>
        <v/>
      </c>
      <c r="L8548" s="11">
        <f>L8547+IF(K8548&gt;0,K8548*Summary!$B$9,K8548/Summary!$B$9)</f>
        <v/>
      </c>
      <c r="M8548" s="11">
        <f>G8548+H8548</f>
        <v/>
      </c>
      <c r="N8548" s="11">
        <f>Summary!$C$16*Summary!$B$8</f>
        <v/>
      </c>
      <c r="O8548" s="11">
        <f>M8548-N8548</f>
        <v/>
      </c>
    </row>
    <row r="8549">
      <c r="A8549" s="9" t="n">
        <v>45648.125</v>
      </c>
      <c r="B8549" t="n">
        <v>12</v>
      </c>
      <c r="C8549" t="n">
        <v>22</v>
      </c>
      <c r="D8549" t="n">
        <v>3</v>
      </c>
      <c r="E8549" s="10" t="n">
        <v>0</v>
      </c>
      <c r="F8549" s="10" t="n">
        <v>0.4414224579413899</v>
      </c>
      <c r="G8549" s="11">
        <f>E8549*Summary!$B$6</f>
        <v/>
      </c>
      <c r="H8549" s="11">
        <f>F8549*Summary!$B$7</f>
        <v/>
      </c>
      <c r="I8549" s="11">
        <f>MAX(0,N8549-M8549)</f>
        <v/>
      </c>
      <c r="J8549" s="11">
        <f>MAX(0,M8549-N8549)</f>
        <v/>
      </c>
      <c r="K8549" s="11">
        <f>O8549</f>
        <v/>
      </c>
      <c r="L8549" s="11">
        <f>L8548+IF(K8549&gt;0,K8549*Summary!$B$9,K8549/Summary!$B$9)</f>
        <v/>
      </c>
      <c r="M8549" s="11">
        <f>G8549+H8549</f>
        <v/>
      </c>
      <c r="N8549" s="11">
        <f>Summary!$C$16*Summary!$B$8</f>
        <v/>
      </c>
      <c r="O8549" s="11">
        <f>M8549-N8549</f>
        <v/>
      </c>
    </row>
    <row r="8550">
      <c r="A8550" s="9" t="n">
        <v>45648.16666666666</v>
      </c>
      <c r="B8550" t="n">
        <v>12</v>
      </c>
      <c r="C8550" t="n">
        <v>22</v>
      </c>
      <c r="D8550" t="n">
        <v>4</v>
      </c>
      <c r="E8550" s="10" t="n">
        <v>0</v>
      </c>
      <c r="F8550" s="10" t="n">
        <v>0.4559951174388282</v>
      </c>
      <c r="G8550" s="11">
        <f>E8550*Summary!$B$6</f>
        <v/>
      </c>
      <c r="H8550" s="11">
        <f>F8550*Summary!$B$7</f>
        <v/>
      </c>
      <c r="I8550" s="11">
        <f>MAX(0,N8550-M8550)</f>
        <v/>
      </c>
      <c r="J8550" s="11">
        <f>MAX(0,M8550-N8550)</f>
        <v/>
      </c>
      <c r="K8550" s="11">
        <f>O8550</f>
        <v/>
      </c>
      <c r="L8550" s="11">
        <f>L8549+IF(K8550&gt;0,K8550*Summary!$B$9,K8550/Summary!$B$9)</f>
        <v/>
      </c>
      <c r="M8550" s="11">
        <f>G8550+H8550</f>
        <v/>
      </c>
      <c r="N8550" s="11">
        <f>Summary!$C$16*Summary!$B$8</f>
        <v/>
      </c>
      <c r="O8550" s="11">
        <f>M8550-N8550</f>
        <v/>
      </c>
    </row>
    <row r="8551">
      <c r="A8551" s="9" t="n">
        <v>45648.20833333334</v>
      </c>
      <c r="B8551" t="n">
        <v>12</v>
      </c>
      <c r="C8551" t="n">
        <v>22</v>
      </c>
      <c r="D8551" t="n">
        <v>5</v>
      </c>
      <c r="E8551" s="10" t="n">
        <v>0</v>
      </c>
      <c r="F8551" s="10" t="n">
        <v>0.4579188139005154</v>
      </c>
      <c r="G8551" s="11">
        <f>E8551*Summary!$B$6</f>
        <v/>
      </c>
      <c r="H8551" s="11">
        <f>F8551*Summary!$B$7</f>
        <v/>
      </c>
      <c r="I8551" s="11">
        <f>MAX(0,N8551-M8551)</f>
        <v/>
      </c>
      <c r="J8551" s="11">
        <f>MAX(0,M8551-N8551)</f>
        <v/>
      </c>
      <c r="K8551" s="11">
        <f>O8551</f>
        <v/>
      </c>
      <c r="L8551" s="11">
        <f>L8550+IF(K8551&gt;0,K8551*Summary!$B$9,K8551/Summary!$B$9)</f>
        <v/>
      </c>
      <c r="M8551" s="11">
        <f>G8551+H8551</f>
        <v/>
      </c>
      <c r="N8551" s="11">
        <f>Summary!$C$16*Summary!$B$8</f>
        <v/>
      </c>
      <c r="O8551" s="11">
        <f>M8551-N8551</f>
        <v/>
      </c>
    </row>
    <row r="8552">
      <c r="A8552" s="9" t="n">
        <v>45648.25</v>
      </c>
      <c r="B8552" t="n">
        <v>12</v>
      </c>
      <c r="C8552" t="n">
        <v>22</v>
      </c>
      <c r="D8552" t="n">
        <v>6</v>
      </c>
      <c r="E8552" s="10" t="n">
        <v>0</v>
      </c>
      <c r="F8552" s="10" t="n">
        <v>0.4590255981661436</v>
      </c>
      <c r="G8552" s="11">
        <f>E8552*Summary!$B$6</f>
        <v/>
      </c>
      <c r="H8552" s="11">
        <f>F8552*Summary!$B$7</f>
        <v/>
      </c>
      <c r="I8552" s="11">
        <f>MAX(0,N8552-M8552)</f>
        <v/>
      </c>
      <c r="J8552" s="11">
        <f>MAX(0,M8552-N8552)</f>
        <v/>
      </c>
      <c r="K8552" s="11">
        <f>O8552</f>
        <v/>
      </c>
      <c r="L8552" s="11">
        <f>L8551+IF(K8552&gt;0,K8552*Summary!$B$9,K8552/Summary!$B$9)</f>
        <v/>
      </c>
      <c r="M8552" s="11">
        <f>G8552+H8552</f>
        <v/>
      </c>
      <c r="N8552" s="11">
        <f>Summary!$C$16*Summary!$B$8</f>
        <v/>
      </c>
      <c r="O8552" s="11">
        <f>M8552-N8552</f>
        <v/>
      </c>
    </row>
    <row r="8553">
      <c r="A8553" s="9" t="n">
        <v>45648.29166666666</v>
      </c>
      <c r="B8553" t="n">
        <v>12</v>
      </c>
      <c r="C8553" t="n">
        <v>22</v>
      </c>
      <c r="D8553" t="n">
        <v>7</v>
      </c>
      <c r="E8553" s="10" t="n">
        <v>0</v>
      </c>
      <c r="F8553" s="10" t="n">
        <v>0.4579715179131643</v>
      </c>
      <c r="G8553" s="11">
        <f>E8553*Summary!$B$6</f>
        <v/>
      </c>
      <c r="H8553" s="11">
        <f>F8553*Summary!$B$7</f>
        <v/>
      </c>
      <c r="I8553" s="11">
        <f>MAX(0,N8553-M8553)</f>
        <v/>
      </c>
      <c r="J8553" s="11">
        <f>MAX(0,M8553-N8553)</f>
        <v/>
      </c>
      <c r="K8553" s="11">
        <f>O8553</f>
        <v/>
      </c>
      <c r="L8553" s="11">
        <f>L8552+IF(K8553&gt;0,K8553*Summary!$B$9,K8553/Summary!$B$9)</f>
        <v/>
      </c>
      <c r="M8553" s="11">
        <f>G8553+H8553</f>
        <v/>
      </c>
      <c r="N8553" s="11">
        <f>Summary!$C$16*Summary!$B$8</f>
        <v/>
      </c>
      <c r="O8553" s="11">
        <f>M8553-N8553</f>
        <v/>
      </c>
    </row>
    <row r="8554">
      <c r="A8554" s="9" t="n">
        <v>45648.33333333334</v>
      </c>
      <c r="B8554" t="n">
        <v>12</v>
      </c>
      <c r="C8554" t="n">
        <v>22</v>
      </c>
      <c r="D8554" t="n">
        <v>8</v>
      </c>
      <c r="E8554" s="10" t="n">
        <v>0</v>
      </c>
      <c r="F8554" s="10" t="n">
        <v>0.4501186200284688</v>
      </c>
      <c r="G8554" s="11">
        <f>E8554*Summary!$B$6</f>
        <v/>
      </c>
      <c r="H8554" s="11">
        <f>F8554*Summary!$B$7</f>
        <v/>
      </c>
      <c r="I8554" s="11">
        <f>MAX(0,N8554-M8554)</f>
        <v/>
      </c>
      <c r="J8554" s="11">
        <f>MAX(0,M8554-N8554)</f>
        <v/>
      </c>
      <c r="K8554" s="11">
        <f>O8554</f>
        <v/>
      </c>
      <c r="L8554" s="11">
        <f>L8553+IF(K8554&gt;0,K8554*Summary!$B$9,K8554/Summary!$B$9)</f>
        <v/>
      </c>
      <c r="M8554" s="11">
        <f>G8554+H8554</f>
        <v/>
      </c>
      <c r="N8554" s="11">
        <f>Summary!$C$16*Summary!$B$8</f>
        <v/>
      </c>
      <c r="O8554" s="11">
        <f>M8554-N8554</f>
        <v/>
      </c>
    </row>
    <row r="8555">
      <c r="A8555" s="9" t="n">
        <v>45648.375</v>
      </c>
      <c r="B8555" t="n">
        <v>12</v>
      </c>
      <c r="C8555" t="n">
        <v>22</v>
      </c>
      <c r="D8555" t="n">
        <v>9</v>
      </c>
      <c r="E8555" s="10" t="n">
        <v>0.02553</v>
      </c>
      <c r="F8555" s="10" t="n">
        <v>0.4412906979097675</v>
      </c>
      <c r="G8555" s="11">
        <f>E8555*Summary!$B$6</f>
        <v/>
      </c>
      <c r="H8555" s="11">
        <f>F8555*Summary!$B$7</f>
        <v/>
      </c>
      <c r="I8555" s="11">
        <f>MAX(0,N8555-M8555)</f>
        <v/>
      </c>
      <c r="J8555" s="11">
        <f>MAX(0,M8555-N8555)</f>
        <v/>
      </c>
      <c r="K8555" s="11">
        <f>O8555</f>
        <v/>
      </c>
      <c r="L8555" s="11">
        <f>L8554+IF(K8555&gt;0,K8555*Summary!$B$9,K8555/Summary!$B$9)</f>
        <v/>
      </c>
      <c r="M8555" s="11">
        <f>G8555+H8555</f>
        <v/>
      </c>
      <c r="N8555" s="11">
        <f>Summary!$C$16*Summary!$B$8</f>
        <v/>
      </c>
      <c r="O8555" s="11">
        <f>M8555-N8555</f>
        <v/>
      </c>
    </row>
    <row r="8556">
      <c r="A8556" s="9" t="n">
        <v>45648.41666666666</v>
      </c>
      <c r="B8556" t="n">
        <v>12</v>
      </c>
      <c r="C8556" t="n">
        <v>22</v>
      </c>
      <c r="D8556" t="n">
        <v>10</v>
      </c>
      <c r="E8556" s="10" t="n">
        <v>0.075437</v>
      </c>
      <c r="F8556" s="10" t="n">
        <v>0.4243200058368014</v>
      </c>
      <c r="G8556" s="11">
        <f>E8556*Summary!$B$6</f>
        <v/>
      </c>
      <c r="H8556" s="11">
        <f>F8556*Summary!$B$7</f>
        <v/>
      </c>
      <c r="I8556" s="11">
        <f>MAX(0,N8556-M8556)</f>
        <v/>
      </c>
      <c r="J8556" s="11">
        <f>MAX(0,M8556-N8556)</f>
        <v/>
      </c>
      <c r="K8556" s="11">
        <f>O8556</f>
        <v/>
      </c>
      <c r="L8556" s="11">
        <f>L8555+IF(K8556&gt;0,K8556*Summary!$B$9,K8556/Summary!$B$9)</f>
        <v/>
      </c>
      <c r="M8556" s="11">
        <f>G8556+H8556</f>
        <v/>
      </c>
      <c r="N8556" s="11">
        <f>Summary!$C$16*Summary!$B$8</f>
        <v/>
      </c>
      <c r="O8556" s="11">
        <f>M8556-N8556</f>
        <v/>
      </c>
    </row>
    <row r="8557">
      <c r="A8557" s="9" t="n">
        <v>45648.45833333334</v>
      </c>
      <c r="B8557" t="n">
        <v>12</v>
      </c>
      <c r="C8557" t="n">
        <v>22</v>
      </c>
      <c r="D8557" t="n">
        <v>11</v>
      </c>
      <c r="E8557" s="10" t="n">
        <v>0.079457</v>
      </c>
      <c r="F8557" s="10" t="n">
        <v>0.4094574742697938</v>
      </c>
      <c r="G8557" s="11">
        <f>E8557*Summary!$B$6</f>
        <v/>
      </c>
      <c r="H8557" s="11">
        <f>F8557*Summary!$B$7</f>
        <v/>
      </c>
      <c r="I8557" s="11">
        <f>MAX(0,N8557-M8557)</f>
        <v/>
      </c>
      <c r="J8557" s="11">
        <f>MAX(0,M8557-N8557)</f>
        <v/>
      </c>
      <c r="K8557" s="11">
        <f>O8557</f>
        <v/>
      </c>
      <c r="L8557" s="11">
        <f>L8556+IF(K8557&gt;0,K8557*Summary!$B$9,K8557/Summary!$B$9)</f>
        <v/>
      </c>
      <c r="M8557" s="11">
        <f>G8557+H8557</f>
        <v/>
      </c>
      <c r="N8557" s="11">
        <f>Summary!$C$16*Summary!$B$8</f>
        <v/>
      </c>
      <c r="O8557" s="11">
        <f>M8557-N8557</f>
        <v/>
      </c>
    </row>
    <row r="8558">
      <c r="A8558" s="9" t="n">
        <v>45648.5</v>
      </c>
      <c r="B8558" t="n">
        <v>12</v>
      </c>
      <c r="C8558" t="n">
        <v>22</v>
      </c>
      <c r="D8558" t="n">
        <v>12</v>
      </c>
      <c r="E8558" s="10" t="n">
        <v>0.029478</v>
      </c>
      <c r="F8558" s="10" t="n">
        <v>0.3966503991960958</v>
      </c>
      <c r="G8558" s="11">
        <f>E8558*Summary!$B$6</f>
        <v/>
      </c>
      <c r="H8558" s="11">
        <f>F8558*Summary!$B$7</f>
        <v/>
      </c>
      <c r="I8558" s="11">
        <f>MAX(0,N8558-M8558)</f>
        <v/>
      </c>
      <c r="J8558" s="11">
        <f>MAX(0,M8558-N8558)</f>
        <v/>
      </c>
      <c r="K8558" s="11">
        <f>O8558</f>
        <v/>
      </c>
      <c r="L8558" s="11">
        <f>L8557+IF(K8558&gt;0,K8558*Summary!$B$9,K8558/Summary!$B$9)</f>
        <v/>
      </c>
      <c r="M8558" s="11">
        <f>G8558+H8558</f>
        <v/>
      </c>
      <c r="N8558" s="11">
        <f>Summary!$C$16*Summary!$B$8</f>
        <v/>
      </c>
      <c r="O8558" s="11">
        <f>M8558-N8558</f>
        <v/>
      </c>
    </row>
    <row r="8559">
      <c r="A8559" s="9" t="n">
        <v>45648.54166666666</v>
      </c>
      <c r="B8559" t="n">
        <v>12</v>
      </c>
      <c r="C8559" t="n">
        <v>22</v>
      </c>
      <c r="D8559" t="n">
        <v>13</v>
      </c>
      <c r="E8559" s="10" t="n">
        <v>0.043254</v>
      </c>
      <c r="F8559" s="10" t="n">
        <v>0.3824203157808758</v>
      </c>
      <c r="G8559" s="11">
        <f>E8559*Summary!$B$6</f>
        <v/>
      </c>
      <c r="H8559" s="11">
        <f>F8559*Summary!$B$7</f>
        <v/>
      </c>
      <c r="I8559" s="11">
        <f>MAX(0,N8559-M8559)</f>
        <v/>
      </c>
      <c r="J8559" s="11">
        <f>MAX(0,M8559-N8559)</f>
        <v/>
      </c>
      <c r="K8559" s="11">
        <f>O8559</f>
        <v/>
      </c>
      <c r="L8559" s="11">
        <f>L8558+IF(K8559&gt;0,K8559*Summary!$B$9,K8559/Summary!$B$9)</f>
        <v/>
      </c>
      <c r="M8559" s="11">
        <f>G8559+H8559</f>
        <v/>
      </c>
      <c r="N8559" s="11">
        <f>Summary!$C$16*Summary!$B$8</f>
        <v/>
      </c>
      <c r="O8559" s="11">
        <f>M8559-N8559</f>
        <v/>
      </c>
    </row>
    <row r="8560">
      <c r="A8560" s="9" t="n">
        <v>45648.58333333334</v>
      </c>
      <c r="B8560" t="n">
        <v>12</v>
      </c>
      <c r="C8560" t="n">
        <v>22</v>
      </c>
      <c r="D8560" t="n">
        <v>14</v>
      </c>
      <c r="E8560" s="10" t="n">
        <v>0.029745</v>
      </c>
      <c r="F8560" s="10" t="n">
        <v>0.3721166813080035</v>
      </c>
      <c r="G8560" s="11">
        <f>E8560*Summary!$B$6</f>
        <v/>
      </c>
      <c r="H8560" s="11">
        <f>F8560*Summary!$B$7</f>
        <v/>
      </c>
      <c r="I8560" s="11">
        <f>MAX(0,N8560-M8560)</f>
        <v/>
      </c>
      <c r="J8560" s="11">
        <f>MAX(0,M8560-N8560)</f>
        <v/>
      </c>
      <c r="K8560" s="11">
        <f>O8560</f>
        <v/>
      </c>
      <c r="L8560" s="11">
        <f>L8559+IF(K8560&gt;0,K8560*Summary!$B$9,K8560/Summary!$B$9)</f>
        <v/>
      </c>
      <c r="M8560" s="11">
        <f>G8560+H8560</f>
        <v/>
      </c>
      <c r="N8560" s="11">
        <f>Summary!$C$16*Summary!$B$8</f>
        <v/>
      </c>
      <c r="O8560" s="11">
        <f>M8560-N8560</f>
        <v/>
      </c>
    </row>
    <row r="8561">
      <c r="A8561" s="9" t="n">
        <v>45648.625</v>
      </c>
      <c r="B8561" t="n">
        <v>12</v>
      </c>
      <c r="C8561" t="n">
        <v>22</v>
      </c>
      <c r="D8561" t="n">
        <v>15</v>
      </c>
      <c r="E8561" s="10" t="n">
        <v>0</v>
      </c>
      <c r="F8561" s="10" t="n">
        <v>0.37356604165585</v>
      </c>
      <c r="G8561" s="11">
        <f>E8561*Summary!$B$6</f>
        <v/>
      </c>
      <c r="H8561" s="11">
        <f>F8561*Summary!$B$7</f>
        <v/>
      </c>
      <c r="I8561" s="11">
        <f>MAX(0,N8561-M8561)</f>
        <v/>
      </c>
      <c r="J8561" s="11">
        <f>MAX(0,M8561-N8561)</f>
        <v/>
      </c>
      <c r="K8561" s="11">
        <f>O8561</f>
        <v/>
      </c>
      <c r="L8561" s="11">
        <f>L8560+IF(K8561&gt;0,K8561*Summary!$B$9,K8561/Summary!$B$9)</f>
        <v/>
      </c>
      <c r="M8561" s="11">
        <f>G8561+H8561</f>
        <v/>
      </c>
      <c r="N8561" s="11">
        <f>Summary!$C$16*Summary!$B$8</f>
        <v/>
      </c>
      <c r="O8561" s="11">
        <f>M8561-N8561</f>
        <v/>
      </c>
    </row>
    <row r="8562">
      <c r="A8562" s="9" t="n">
        <v>45648.66666666666</v>
      </c>
      <c r="B8562" t="n">
        <v>12</v>
      </c>
      <c r="C8562" t="n">
        <v>22</v>
      </c>
      <c r="D8562" t="n">
        <v>16</v>
      </c>
      <c r="E8562" s="10" t="n">
        <v>0</v>
      </c>
      <c r="F8562" s="10" t="n">
        <v>0.3733815776115786</v>
      </c>
      <c r="G8562" s="11">
        <f>E8562*Summary!$B$6</f>
        <v/>
      </c>
      <c r="H8562" s="11">
        <f>F8562*Summary!$B$7</f>
        <v/>
      </c>
      <c r="I8562" s="11">
        <f>MAX(0,N8562-M8562)</f>
        <v/>
      </c>
      <c r="J8562" s="11">
        <f>MAX(0,M8562-N8562)</f>
        <v/>
      </c>
      <c r="K8562" s="11">
        <f>O8562</f>
        <v/>
      </c>
      <c r="L8562" s="11">
        <f>L8561+IF(K8562&gt;0,K8562*Summary!$B$9,K8562/Summary!$B$9)</f>
        <v/>
      </c>
      <c r="M8562" s="11">
        <f>G8562+H8562</f>
        <v/>
      </c>
      <c r="N8562" s="11">
        <f>Summary!$C$16*Summary!$B$8</f>
        <v/>
      </c>
      <c r="O8562" s="11">
        <f>M8562-N8562</f>
        <v/>
      </c>
    </row>
    <row r="8563">
      <c r="A8563" s="9" t="n">
        <v>45648.70833333334</v>
      </c>
      <c r="B8563" t="n">
        <v>12</v>
      </c>
      <c r="C8563" t="n">
        <v>22</v>
      </c>
      <c r="D8563" t="n">
        <v>17</v>
      </c>
      <c r="E8563" s="10" t="n">
        <v>0</v>
      </c>
      <c r="F8563" s="10" t="n">
        <v>0.3776242506298201</v>
      </c>
      <c r="G8563" s="11">
        <f>E8563*Summary!$B$6</f>
        <v/>
      </c>
      <c r="H8563" s="11">
        <f>F8563*Summary!$B$7</f>
        <v/>
      </c>
      <c r="I8563" s="11">
        <f>MAX(0,N8563-M8563)</f>
        <v/>
      </c>
      <c r="J8563" s="11">
        <f>MAX(0,M8563-N8563)</f>
        <v/>
      </c>
      <c r="K8563" s="11">
        <f>O8563</f>
        <v/>
      </c>
      <c r="L8563" s="11">
        <f>L8562+IF(K8563&gt;0,K8563*Summary!$B$9,K8563/Summary!$B$9)</f>
        <v/>
      </c>
      <c r="M8563" s="11">
        <f>G8563+H8563</f>
        <v/>
      </c>
      <c r="N8563" s="11">
        <f>Summary!$C$16*Summary!$B$8</f>
        <v/>
      </c>
      <c r="O8563" s="11">
        <f>M8563-N8563</f>
        <v/>
      </c>
    </row>
    <row r="8564">
      <c r="A8564" s="9" t="n">
        <v>45648.75</v>
      </c>
      <c r="B8564" t="n">
        <v>12</v>
      </c>
      <c r="C8564" t="n">
        <v>22</v>
      </c>
      <c r="D8564" t="n">
        <v>18</v>
      </c>
      <c r="E8564" s="10" t="n">
        <v>0</v>
      </c>
      <c r="F8564" s="10" t="n">
        <v>0.4128568830856519</v>
      </c>
      <c r="G8564" s="11">
        <f>E8564*Summary!$B$6</f>
        <v/>
      </c>
      <c r="H8564" s="11">
        <f>F8564*Summary!$B$7</f>
        <v/>
      </c>
      <c r="I8564" s="11">
        <f>MAX(0,N8564-M8564)</f>
        <v/>
      </c>
      <c r="J8564" s="11">
        <f>MAX(0,M8564-N8564)</f>
        <v/>
      </c>
      <c r="K8564" s="11">
        <f>O8564</f>
        <v/>
      </c>
      <c r="L8564" s="11">
        <f>L8563+IF(K8564&gt;0,K8564*Summary!$B$9,K8564/Summary!$B$9)</f>
        <v/>
      </c>
      <c r="M8564" s="11">
        <f>G8564+H8564</f>
        <v/>
      </c>
      <c r="N8564" s="11">
        <f>Summary!$C$16*Summary!$B$8</f>
        <v/>
      </c>
      <c r="O8564" s="11">
        <f>M8564-N8564</f>
        <v/>
      </c>
    </row>
    <row r="8565">
      <c r="A8565" s="9" t="n">
        <v>45648.79166666666</v>
      </c>
      <c r="B8565" t="n">
        <v>12</v>
      </c>
      <c r="C8565" t="n">
        <v>22</v>
      </c>
      <c r="D8565" t="n">
        <v>19</v>
      </c>
      <c r="E8565" s="10" t="n">
        <v>0</v>
      </c>
      <c r="F8565" s="10" t="n">
        <v>0.3850555164133239</v>
      </c>
      <c r="G8565" s="11">
        <f>E8565*Summary!$B$6</f>
        <v/>
      </c>
      <c r="H8565" s="11">
        <f>F8565*Summary!$B$7</f>
        <v/>
      </c>
      <c r="I8565" s="11">
        <f>MAX(0,N8565-M8565)</f>
        <v/>
      </c>
      <c r="J8565" s="11">
        <f>MAX(0,M8565-N8565)</f>
        <v/>
      </c>
      <c r="K8565" s="11">
        <f>O8565</f>
        <v/>
      </c>
      <c r="L8565" s="11">
        <f>L8564+IF(K8565&gt;0,K8565*Summary!$B$9,K8565/Summary!$B$9)</f>
        <v/>
      </c>
      <c r="M8565" s="11">
        <f>G8565+H8565</f>
        <v/>
      </c>
      <c r="N8565" s="11">
        <f>Summary!$C$16*Summary!$B$8</f>
        <v/>
      </c>
      <c r="O8565" s="11">
        <f>M8565-N8565</f>
        <v/>
      </c>
    </row>
    <row r="8566">
      <c r="A8566" s="9" t="n">
        <v>45648.83333333334</v>
      </c>
      <c r="B8566" t="n">
        <v>12</v>
      </c>
      <c r="C8566" t="n">
        <v>22</v>
      </c>
      <c r="D8566" t="n">
        <v>20</v>
      </c>
      <c r="E8566" s="10" t="n">
        <v>0</v>
      </c>
      <c r="F8566" s="10" t="n">
        <v>0.3891664293999431</v>
      </c>
      <c r="G8566" s="11">
        <f>E8566*Summary!$B$6</f>
        <v/>
      </c>
      <c r="H8566" s="11">
        <f>F8566*Summary!$B$7</f>
        <v/>
      </c>
      <c r="I8566" s="11">
        <f>MAX(0,N8566-M8566)</f>
        <v/>
      </c>
      <c r="J8566" s="11">
        <f>MAX(0,M8566-N8566)</f>
        <v/>
      </c>
      <c r="K8566" s="11">
        <f>O8566</f>
        <v/>
      </c>
      <c r="L8566" s="11">
        <f>L8565+IF(K8566&gt;0,K8566*Summary!$B$9,K8566/Summary!$B$9)</f>
        <v/>
      </c>
      <c r="M8566" s="11">
        <f>G8566+H8566</f>
        <v/>
      </c>
      <c r="N8566" s="11">
        <f>Summary!$C$16*Summary!$B$8</f>
        <v/>
      </c>
      <c r="O8566" s="11">
        <f>M8566-N8566</f>
        <v/>
      </c>
    </row>
    <row r="8567">
      <c r="A8567" s="9" t="n">
        <v>45648.875</v>
      </c>
      <c r="B8567" t="n">
        <v>12</v>
      </c>
      <c r="C8567" t="n">
        <v>22</v>
      </c>
      <c r="D8567" t="n">
        <v>21</v>
      </c>
      <c r="E8567" s="10" t="n">
        <v>0</v>
      </c>
      <c r="F8567" s="10" t="n">
        <v>0.3981261115502668</v>
      </c>
      <c r="G8567" s="11">
        <f>E8567*Summary!$B$6</f>
        <v/>
      </c>
      <c r="H8567" s="11">
        <f>F8567*Summary!$B$7</f>
        <v/>
      </c>
      <c r="I8567" s="11">
        <f>MAX(0,N8567-M8567)</f>
        <v/>
      </c>
      <c r="J8567" s="11">
        <f>MAX(0,M8567-N8567)</f>
        <v/>
      </c>
      <c r="K8567" s="11">
        <f>O8567</f>
        <v/>
      </c>
      <c r="L8567" s="11">
        <f>L8566+IF(K8567&gt;0,K8567*Summary!$B$9,K8567/Summary!$B$9)</f>
        <v/>
      </c>
      <c r="M8567" s="11">
        <f>G8567+H8567</f>
        <v/>
      </c>
      <c r="N8567" s="11">
        <f>Summary!$C$16*Summary!$B$8</f>
        <v/>
      </c>
      <c r="O8567" s="11">
        <f>M8567-N8567</f>
        <v/>
      </c>
    </row>
    <row r="8568">
      <c r="A8568" s="9" t="n">
        <v>45648.91666666666</v>
      </c>
      <c r="B8568" t="n">
        <v>12</v>
      </c>
      <c r="C8568" t="n">
        <v>22</v>
      </c>
      <c r="D8568" t="n">
        <v>22</v>
      </c>
      <c r="E8568" s="10" t="n">
        <v>0</v>
      </c>
      <c r="F8568" s="10" t="n">
        <v>0.3998389919613581</v>
      </c>
      <c r="G8568" s="11">
        <f>E8568*Summary!$B$6</f>
        <v/>
      </c>
      <c r="H8568" s="11">
        <f>F8568*Summary!$B$7</f>
        <v/>
      </c>
      <c r="I8568" s="11">
        <f>MAX(0,N8568-M8568)</f>
        <v/>
      </c>
      <c r="J8568" s="11">
        <f>MAX(0,M8568-N8568)</f>
        <v/>
      </c>
      <c r="K8568" s="11">
        <f>O8568</f>
        <v/>
      </c>
      <c r="L8568" s="11">
        <f>L8567+IF(K8568&gt;0,K8568*Summary!$B$9,K8568/Summary!$B$9)</f>
        <v/>
      </c>
      <c r="M8568" s="11">
        <f>G8568+H8568</f>
        <v/>
      </c>
      <c r="N8568" s="11">
        <f>Summary!$C$16*Summary!$B$8</f>
        <v/>
      </c>
      <c r="O8568" s="11">
        <f>M8568-N8568</f>
        <v/>
      </c>
    </row>
    <row r="8569">
      <c r="A8569" s="9" t="n">
        <v>45648.95833333334</v>
      </c>
      <c r="B8569" t="n">
        <v>12</v>
      </c>
      <c r="C8569" t="n">
        <v>22</v>
      </c>
      <c r="D8569" t="n">
        <v>23</v>
      </c>
      <c r="E8569" s="10" t="n">
        <v>0</v>
      </c>
      <c r="F8569" s="10" t="n">
        <v>0.4423711301690713</v>
      </c>
      <c r="G8569" s="11">
        <f>E8569*Summary!$B$6</f>
        <v/>
      </c>
      <c r="H8569" s="11">
        <f>F8569*Summary!$B$7</f>
        <v/>
      </c>
      <c r="I8569" s="11">
        <f>MAX(0,N8569-M8569)</f>
        <v/>
      </c>
      <c r="J8569" s="11">
        <f>MAX(0,M8569-N8569)</f>
        <v/>
      </c>
      <c r="K8569" s="11">
        <f>O8569</f>
        <v/>
      </c>
      <c r="L8569" s="11">
        <f>L8568+IF(K8569&gt;0,K8569*Summary!$B$9,K8569/Summary!$B$9)</f>
        <v/>
      </c>
      <c r="M8569" s="11">
        <f>G8569+H8569</f>
        <v/>
      </c>
      <c r="N8569" s="11">
        <f>Summary!$C$16*Summary!$B$8</f>
        <v/>
      </c>
      <c r="O8569" s="11">
        <f>M8569-N8569</f>
        <v/>
      </c>
    </row>
    <row r="8570">
      <c r="A8570" s="9" t="n">
        <v>45649</v>
      </c>
      <c r="B8570" t="n">
        <v>12</v>
      </c>
      <c r="C8570" t="n">
        <v>23</v>
      </c>
      <c r="D8570" t="n">
        <v>0</v>
      </c>
      <c r="E8570" s="10" t="n">
        <v>0</v>
      </c>
      <c r="F8570" s="10" t="n">
        <v>0.3446842427242183</v>
      </c>
      <c r="G8570" s="11">
        <f>E8570*Summary!$B$6</f>
        <v/>
      </c>
      <c r="H8570" s="11">
        <f>F8570*Summary!$B$7</f>
        <v/>
      </c>
      <c r="I8570" s="11">
        <f>MAX(0,N8570-M8570)</f>
        <v/>
      </c>
      <c r="J8570" s="11">
        <f>MAX(0,M8570-N8570)</f>
        <v/>
      </c>
      <c r="K8570" s="11">
        <f>O8570</f>
        <v/>
      </c>
      <c r="L8570" s="11">
        <f>L8569+IF(K8570&gt;0,K8570*Summary!$B$9,K8570/Summary!$B$9)</f>
        <v/>
      </c>
      <c r="M8570" s="11">
        <f>G8570+H8570</f>
        <v/>
      </c>
      <c r="N8570" s="11">
        <f>Summary!$C$16*Summary!$B$8</f>
        <v/>
      </c>
      <c r="O8570" s="11">
        <f>M8570-N8570</f>
        <v/>
      </c>
    </row>
    <row r="8571">
      <c r="A8571" s="9" t="n">
        <v>45649.04166666666</v>
      </c>
      <c r="B8571" t="n">
        <v>12</v>
      </c>
      <c r="C8571" t="n">
        <v>23</v>
      </c>
      <c r="D8571" t="n">
        <v>1</v>
      </c>
      <c r="E8571" s="10" t="n">
        <v>0</v>
      </c>
      <c r="F8571" s="10" t="n">
        <v>0.4130149951235988</v>
      </c>
      <c r="G8571" s="11">
        <f>E8571*Summary!$B$6</f>
        <v/>
      </c>
      <c r="H8571" s="11">
        <f>F8571*Summary!$B$7</f>
        <v/>
      </c>
      <c r="I8571" s="11">
        <f>MAX(0,N8571-M8571)</f>
        <v/>
      </c>
      <c r="J8571" s="11">
        <f>MAX(0,M8571-N8571)</f>
        <v/>
      </c>
      <c r="K8571" s="11">
        <f>O8571</f>
        <v/>
      </c>
      <c r="L8571" s="11">
        <f>L8570+IF(K8571&gt;0,K8571*Summary!$B$9,K8571/Summary!$B$9)</f>
        <v/>
      </c>
      <c r="M8571" s="11">
        <f>G8571+H8571</f>
        <v/>
      </c>
      <c r="N8571" s="11">
        <f>Summary!$C$16*Summary!$B$8</f>
        <v/>
      </c>
      <c r="O8571" s="11">
        <f>M8571-N8571</f>
        <v/>
      </c>
    </row>
    <row r="8572">
      <c r="A8572" s="9" t="n">
        <v>45649.08333333334</v>
      </c>
      <c r="B8572" t="n">
        <v>12</v>
      </c>
      <c r="C8572" t="n">
        <v>23</v>
      </c>
      <c r="D8572" t="n">
        <v>2</v>
      </c>
      <c r="E8572" s="10" t="n">
        <v>0</v>
      </c>
      <c r="F8572" s="10" t="n">
        <v>0.4051357452325788</v>
      </c>
      <c r="G8572" s="11">
        <f>E8572*Summary!$B$6</f>
        <v/>
      </c>
      <c r="H8572" s="11">
        <f>F8572*Summary!$B$7</f>
        <v/>
      </c>
      <c r="I8572" s="11">
        <f>MAX(0,N8572-M8572)</f>
        <v/>
      </c>
      <c r="J8572" s="11">
        <f>MAX(0,M8572-N8572)</f>
        <v/>
      </c>
      <c r="K8572" s="11">
        <f>O8572</f>
        <v/>
      </c>
      <c r="L8572" s="11">
        <f>L8571+IF(K8572&gt;0,K8572*Summary!$B$9,K8572/Summary!$B$9)</f>
        <v/>
      </c>
      <c r="M8572" s="11">
        <f>G8572+H8572</f>
        <v/>
      </c>
      <c r="N8572" s="11">
        <f>Summary!$C$16*Summary!$B$8</f>
        <v/>
      </c>
      <c r="O8572" s="11">
        <f>M8572-N8572</f>
        <v/>
      </c>
    </row>
    <row r="8573">
      <c r="A8573" s="9" t="n">
        <v>45649.125</v>
      </c>
      <c r="B8573" t="n">
        <v>12</v>
      </c>
      <c r="C8573" t="n">
        <v>23</v>
      </c>
      <c r="D8573" t="n">
        <v>3</v>
      </c>
      <c r="E8573" s="10" t="n">
        <v>0</v>
      </c>
      <c r="F8573" s="10" t="n">
        <v>0.3961760630822551</v>
      </c>
      <c r="G8573" s="11">
        <f>E8573*Summary!$B$6</f>
        <v/>
      </c>
      <c r="H8573" s="11">
        <f>F8573*Summary!$B$7</f>
        <v/>
      </c>
      <c r="I8573" s="11">
        <f>MAX(0,N8573-M8573)</f>
        <v/>
      </c>
      <c r="J8573" s="11">
        <f>MAX(0,M8573-N8573)</f>
        <v/>
      </c>
      <c r="K8573" s="11">
        <f>O8573</f>
        <v/>
      </c>
      <c r="L8573" s="11">
        <f>L8572+IF(K8573&gt;0,K8573*Summary!$B$9,K8573/Summary!$B$9)</f>
        <v/>
      </c>
      <c r="M8573" s="11">
        <f>G8573+H8573</f>
        <v/>
      </c>
      <c r="N8573" s="11">
        <f>Summary!$C$16*Summary!$B$8</f>
        <v/>
      </c>
      <c r="O8573" s="11">
        <f>M8573-N8573</f>
        <v/>
      </c>
    </row>
    <row r="8574">
      <c r="A8574" s="9" t="n">
        <v>45649.16666666666</v>
      </c>
      <c r="B8574" t="n">
        <v>12</v>
      </c>
      <c r="C8574" t="n">
        <v>23</v>
      </c>
      <c r="D8574" t="n">
        <v>4</v>
      </c>
      <c r="E8574" s="10" t="n">
        <v>0</v>
      </c>
      <c r="F8574" s="10" t="n">
        <v>0.3897988775517306</v>
      </c>
      <c r="G8574" s="11">
        <f>E8574*Summary!$B$6</f>
        <v/>
      </c>
      <c r="H8574" s="11">
        <f>F8574*Summary!$B$7</f>
        <v/>
      </c>
      <c r="I8574" s="11">
        <f>MAX(0,N8574-M8574)</f>
        <v/>
      </c>
      <c r="J8574" s="11">
        <f>MAX(0,M8574-N8574)</f>
        <v/>
      </c>
      <c r="K8574" s="11">
        <f>O8574</f>
        <v/>
      </c>
      <c r="L8574" s="11">
        <f>L8573+IF(K8574&gt;0,K8574*Summary!$B$9,K8574/Summary!$B$9)</f>
        <v/>
      </c>
      <c r="M8574" s="11">
        <f>G8574+H8574</f>
        <v/>
      </c>
      <c r="N8574" s="11">
        <f>Summary!$C$16*Summary!$B$8</f>
        <v/>
      </c>
      <c r="O8574" s="11">
        <f>M8574-N8574</f>
        <v/>
      </c>
    </row>
    <row r="8575">
      <c r="A8575" s="9" t="n">
        <v>45649.20833333334</v>
      </c>
      <c r="B8575" t="n">
        <v>12</v>
      </c>
      <c r="C8575" t="n">
        <v>23</v>
      </c>
      <c r="D8575" t="n">
        <v>5</v>
      </c>
      <c r="E8575" s="10" t="n">
        <v>0</v>
      </c>
      <c r="F8575" s="10" t="n">
        <v>0.3848447003627281</v>
      </c>
      <c r="G8575" s="11">
        <f>E8575*Summary!$B$6</f>
        <v/>
      </c>
      <c r="H8575" s="11">
        <f>F8575*Summary!$B$7</f>
        <v/>
      </c>
      <c r="I8575" s="11">
        <f>MAX(0,N8575-M8575)</f>
        <v/>
      </c>
      <c r="J8575" s="11">
        <f>MAX(0,M8575-N8575)</f>
        <v/>
      </c>
      <c r="K8575" s="11">
        <f>O8575</f>
        <v/>
      </c>
      <c r="L8575" s="11">
        <f>L8574+IF(K8575&gt;0,K8575*Summary!$B$9,K8575/Summary!$B$9)</f>
        <v/>
      </c>
      <c r="M8575" s="11">
        <f>G8575+H8575</f>
        <v/>
      </c>
      <c r="N8575" s="11">
        <f>Summary!$C$16*Summary!$B$8</f>
        <v/>
      </c>
      <c r="O8575" s="11">
        <f>M8575-N8575</f>
        <v/>
      </c>
    </row>
    <row r="8576">
      <c r="A8576" s="9" t="n">
        <v>45649.25</v>
      </c>
      <c r="B8576" t="n">
        <v>12</v>
      </c>
      <c r="C8576" t="n">
        <v>23</v>
      </c>
      <c r="D8576" t="n">
        <v>6</v>
      </c>
      <c r="E8576" s="10" t="n">
        <v>0</v>
      </c>
      <c r="F8576" s="10" t="n">
        <v>0.3796533551168052</v>
      </c>
      <c r="G8576" s="11">
        <f>E8576*Summary!$B$6</f>
        <v/>
      </c>
      <c r="H8576" s="11">
        <f>F8576*Summary!$B$7</f>
        <v/>
      </c>
      <c r="I8576" s="11">
        <f>MAX(0,N8576-M8576)</f>
        <v/>
      </c>
      <c r="J8576" s="11">
        <f>MAX(0,M8576-N8576)</f>
        <v/>
      </c>
      <c r="K8576" s="11">
        <f>O8576</f>
        <v/>
      </c>
      <c r="L8576" s="11">
        <f>L8575+IF(K8576&gt;0,K8576*Summary!$B$9,K8576/Summary!$B$9)</f>
        <v/>
      </c>
      <c r="M8576" s="11">
        <f>G8576+H8576</f>
        <v/>
      </c>
      <c r="N8576" s="11">
        <f>Summary!$C$16*Summary!$B$8</f>
        <v/>
      </c>
      <c r="O8576" s="11">
        <f>M8576-N8576</f>
        <v/>
      </c>
    </row>
    <row r="8577">
      <c r="A8577" s="9" t="n">
        <v>45649.29166666666</v>
      </c>
      <c r="B8577" t="n">
        <v>12</v>
      </c>
      <c r="C8577" t="n">
        <v>23</v>
      </c>
      <c r="D8577" t="n">
        <v>7</v>
      </c>
      <c r="E8577" s="10" t="n">
        <v>0</v>
      </c>
      <c r="F8577" s="10" t="n">
        <v>0.4102216824532038</v>
      </c>
      <c r="G8577" s="11">
        <f>E8577*Summary!$B$6</f>
        <v/>
      </c>
      <c r="H8577" s="11">
        <f>F8577*Summary!$B$7</f>
        <v/>
      </c>
      <c r="I8577" s="11">
        <f>MAX(0,N8577-M8577)</f>
        <v/>
      </c>
      <c r="J8577" s="11">
        <f>MAX(0,M8577-N8577)</f>
        <v/>
      </c>
      <c r="K8577" s="11">
        <f>O8577</f>
        <v/>
      </c>
      <c r="L8577" s="11">
        <f>L8576+IF(K8577&gt;0,K8577*Summary!$B$9,K8577/Summary!$B$9)</f>
        <v/>
      </c>
      <c r="M8577" s="11">
        <f>G8577+H8577</f>
        <v/>
      </c>
      <c r="N8577" s="11">
        <f>Summary!$C$16*Summary!$B$8</f>
        <v/>
      </c>
      <c r="O8577" s="11">
        <f>M8577-N8577</f>
        <v/>
      </c>
    </row>
    <row r="8578">
      <c r="A8578" s="9" t="n">
        <v>45649.33333333334</v>
      </c>
      <c r="B8578" t="n">
        <v>12</v>
      </c>
      <c r="C8578" t="n">
        <v>23</v>
      </c>
      <c r="D8578" t="n">
        <v>8</v>
      </c>
      <c r="E8578" s="10" t="n">
        <v>0</v>
      </c>
      <c r="F8578" s="10" t="n">
        <v>0.3698504087640981</v>
      </c>
      <c r="G8578" s="11">
        <f>E8578*Summary!$B$6</f>
        <v/>
      </c>
      <c r="H8578" s="11">
        <f>F8578*Summary!$B$7</f>
        <v/>
      </c>
      <c r="I8578" s="11">
        <f>MAX(0,N8578-M8578)</f>
        <v/>
      </c>
      <c r="J8578" s="11">
        <f>MAX(0,M8578-N8578)</f>
        <v/>
      </c>
      <c r="K8578" s="11">
        <f>O8578</f>
        <v/>
      </c>
      <c r="L8578" s="11">
        <f>L8577+IF(K8578&gt;0,K8578*Summary!$B$9,K8578/Summary!$B$9)</f>
        <v/>
      </c>
      <c r="M8578" s="11">
        <f>G8578+H8578</f>
        <v/>
      </c>
      <c r="N8578" s="11">
        <f>Summary!$C$16*Summary!$B$8</f>
        <v/>
      </c>
      <c r="O8578" s="11">
        <f>M8578-N8578</f>
        <v/>
      </c>
    </row>
    <row r="8579">
      <c r="A8579" s="9" t="n">
        <v>45649.375</v>
      </c>
      <c r="B8579" t="n">
        <v>12</v>
      </c>
      <c r="C8579" t="n">
        <v>23</v>
      </c>
      <c r="D8579" t="n">
        <v>9</v>
      </c>
      <c r="E8579" s="10" t="n">
        <v>0</v>
      </c>
      <c r="F8579" s="10" t="n">
        <v>0.3696922967261512</v>
      </c>
      <c r="G8579" s="11">
        <f>E8579*Summary!$B$6</f>
        <v/>
      </c>
      <c r="H8579" s="11">
        <f>F8579*Summary!$B$7</f>
        <v/>
      </c>
      <c r="I8579" s="11">
        <f>MAX(0,N8579-M8579)</f>
        <v/>
      </c>
      <c r="J8579" s="11">
        <f>MAX(0,M8579-N8579)</f>
        <v/>
      </c>
      <c r="K8579" s="11">
        <f>O8579</f>
        <v/>
      </c>
      <c r="L8579" s="11">
        <f>L8578+IF(K8579&gt;0,K8579*Summary!$B$9,K8579/Summary!$B$9)</f>
        <v/>
      </c>
      <c r="M8579" s="11">
        <f>G8579+H8579</f>
        <v/>
      </c>
      <c r="N8579" s="11">
        <f>Summary!$C$16*Summary!$B$8</f>
        <v/>
      </c>
      <c r="O8579" s="11">
        <f>M8579-N8579</f>
        <v/>
      </c>
    </row>
    <row r="8580">
      <c r="A8580" s="9" t="n">
        <v>45649.41666666666</v>
      </c>
      <c r="B8580" t="n">
        <v>12</v>
      </c>
      <c r="C8580" t="n">
        <v>23</v>
      </c>
      <c r="D8580" t="n">
        <v>10</v>
      </c>
      <c r="E8580" s="10" t="n">
        <v>0.003888</v>
      </c>
      <c r="F8580" s="10" t="n">
        <v>0.3639739113537387</v>
      </c>
      <c r="G8580" s="11">
        <f>E8580*Summary!$B$6</f>
        <v/>
      </c>
      <c r="H8580" s="11">
        <f>F8580*Summary!$B$7</f>
        <v/>
      </c>
      <c r="I8580" s="11">
        <f>MAX(0,N8580-M8580)</f>
        <v/>
      </c>
      <c r="J8580" s="11">
        <f>MAX(0,M8580-N8580)</f>
        <v/>
      </c>
      <c r="K8580" s="11">
        <f>O8580</f>
        <v/>
      </c>
      <c r="L8580" s="11">
        <f>L8579+IF(K8580&gt;0,K8580*Summary!$B$9,K8580/Summary!$B$9)</f>
        <v/>
      </c>
      <c r="M8580" s="11">
        <f>G8580+H8580</f>
        <v/>
      </c>
      <c r="N8580" s="11">
        <f>Summary!$C$16*Summary!$B$8</f>
        <v/>
      </c>
      <c r="O8580" s="11">
        <f>M8580-N8580</f>
        <v/>
      </c>
    </row>
    <row r="8581">
      <c r="A8581" s="9" t="n">
        <v>45649.45833333334</v>
      </c>
      <c r="B8581" t="n">
        <v>12</v>
      </c>
      <c r="C8581" t="n">
        <v>23</v>
      </c>
      <c r="D8581" t="n">
        <v>11</v>
      </c>
      <c r="E8581" s="10" t="n">
        <v>0.006263</v>
      </c>
      <c r="F8581" s="10" t="n">
        <v>0.3563054775133146</v>
      </c>
      <c r="G8581" s="11">
        <f>E8581*Summary!$B$6</f>
        <v/>
      </c>
      <c r="H8581" s="11">
        <f>F8581*Summary!$B$7</f>
        <v/>
      </c>
      <c r="I8581" s="11">
        <f>MAX(0,N8581-M8581)</f>
        <v/>
      </c>
      <c r="J8581" s="11">
        <f>MAX(0,M8581-N8581)</f>
        <v/>
      </c>
      <c r="K8581" s="11">
        <f>O8581</f>
        <v/>
      </c>
      <c r="L8581" s="11">
        <f>L8580+IF(K8581&gt;0,K8581*Summary!$B$9,K8581/Summary!$B$9)</f>
        <v/>
      </c>
      <c r="M8581" s="11">
        <f>G8581+H8581</f>
        <v/>
      </c>
      <c r="N8581" s="11">
        <f>Summary!$C$16*Summary!$B$8</f>
        <v/>
      </c>
      <c r="O8581" s="11">
        <f>M8581-N8581</f>
        <v/>
      </c>
    </row>
    <row r="8582">
      <c r="A8582" s="9" t="n">
        <v>45649.5</v>
      </c>
      <c r="B8582" t="n">
        <v>12</v>
      </c>
      <c r="C8582" t="n">
        <v>23</v>
      </c>
      <c r="D8582" t="n">
        <v>12</v>
      </c>
      <c r="E8582" s="10" t="n">
        <v>0.003296</v>
      </c>
      <c r="F8582" s="10" t="n">
        <v>0.3486370436728904</v>
      </c>
      <c r="G8582" s="11">
        <f>E8582*Summary!$B$6</f>
        <v/>
      </c>
      <c r="H8582" s="11">
        <f>F8582*Summary!$B$7</f>
        <v/>
      </c>
      <c r="I8582" s="11">
        <f>MAX(0,N8582-M8582)</f>
        <v/>
      </c>
      <c r="J8582" s="11">
        <f>MAX(0,M8582-N8582)</f>
        <v/>
      </c>
      <c r="K8582" s="11">
        <f>O8582</f>
        <v/>
      </c>
      <c r="L8582" s="11">
        <f>L8581+IF(K8582&gt;0,K8582*Summary!$B$9,K8582/Summary!$B$9)</f>
        <v/>
      </c>
      <c r="M8582" s="11">
        <f>G8582+H8582</f>
        <v/>
      </c>
      <c r="N8582" s="11">
        <f>Summary!$C$16*Summary!$B$8</f>
        <v/>
      </c>
      <c r="O8582" s="11">
        <f>M8582-N8582</f>
        <v/>
      </c>
    </row>
    <row r="8583">
      <c r="A8583" s="9" t="n">
        <v>45649.54166666666</v>
      </c>
      <c r="B8583" t="n">
        <v>12</v>
      </c>
      <c r="C8583" t="n">
        <v>23</v>
      </c>
      <c r="D8583" t="n">
        <v>13</v>
      </c>
      <c r="E8583" s="10" t="n">
        <v>0.007924</v>
      </c>
      <c r="F8583" s="10" t="n">
        <v>0.3476620194388846</v>
      </c>
      <c r="G8583" s="11">
        <f>E8583*Summary!$B$6</f>
        <v/>
      </c>
      <c r="H8583" s="11">
        <f>F8583*Summary!$B$7</f>
        <v/>
      </c>
      <c r="I8583" s="11">
        <f>MAX(0,N8583-M8583)</f>
        <v/>
      </c>
      <c r="J8583" s="11">
        <f>MAX(0,M8583-N8583)</f>
        <v/>
      </c>
      <c r="K8583" s="11">
        <f>O8583</f>
        <v/>
      </c>
      <c r="L8583" s="11">
        <f>L8582+IF(K8583&gt;0,K8583*Summary!$B$9,K8583/Summary!$B$9)</f>
        <v/>
      </c>
      <c r="M8583" s="11">
        <f>G8583+H8583</f>
        <v/>
      </c>
      <c r="N8583" s="11">
        <f>Summary!$C$16*Summary!$B$8</f>
        <v/>
      </c>
      <c r="O8583" s="11">
        <f>M8583-N8583</f>
        <v/>
      </c>
    </row>
    <row r="8584">
      <c r="A8584" s="9" t="n">
        <v>45649.58333333334</v>
      </c>
      <c r="B8584" t="n">
        <v>12</v>
      </c>
      <c r="C8584" t="n">
        <v>23</v>
      </c>
      <c r="D8584" t="n">
        <v>14</v>
      </c>
      <c r="E8584" s="10" t="n">
        <v>0.005505</v>
      </c>
      <c r="F8584" s="10" t="n">
        <v>0.3513776523306366</v>
      </c>
      <c r="G8584" s="11">
        <f>E8584*Summary!$B$6</f>
        <v/>
      </c>
      <c r="H8584" s="11">
        <f>F8584*Summary!$B$7</f>
        <v/>
      </c>
      <c r="I8584" s="11">
        <f>MAX(0,N8584-M8584)</f>
        <v/>
      </c>
      <c r="J8584" s="11">
        <f>MAX(0,M8584-N8584)</f>
        <v/>
      </c>
      <c r="K8584" s="11">
        <f>O8584</f>
        <v/>
      </c>
      <c r="L8584" s="11">
        <f>L8583+IF(K8584&gt;0,K8584*Summary!$B$9,K8584/Summary!$B$9)</f>
        <v/>
      </c>
      <c r="M8584" s="11">
        <f>G8584+H8584</f>
        <v/>
      </c>
      <c r="N8584" s="11">
        <f>Summary!$C$16*Summary!$B$8</f>
        <v/>
      </c>
      <c r="O8584" s="11">
        <f>M8584-N8584</f>
        <v/>
      </c>
    </row>
    <row r="8585">
      <c r="A8585" s="9" t="n">
        <v>45649.625</v>
      </c>
      <c r="B8585" t="n">
        <v>12</v>
      </c>
      <c r="C8585" t="n">
        <v>23</v>
      </c>
      <c r="D8585" t="n">
        <v>15</v>
      </c>
      <c r="E8585" s="10" t="n">
        <v>0</v>
      </c>
      <c r="F8585" s="10" t="n">
        <v>0.3514303563432856</v>
      </c>
      <c r="G8585" s="11">
        <f>E8585*Summary!$B$6</f>
        <v/>
      </c>
      <c r="H8585" s="11">
        <f>F8585*Summary!$B$7</f>
        <v/>
      </c>
      <c r="I8585" s="11">
        <f>MAX(0,N8585-M8585)</f>
        <v/>
      </c>
      <c r="J8585" s="11">
        <f>MAX(0,M8585-N8585)</f>
        <v/>
      </c>
      <c r="K8585" s="11">
        <f>O8585</f>
        <v/>
      </c>
      <c r="L8585" s="11">
        <f>L8584+IF(K8585&gt;0,K8585*Summary!$B$9,K8585/Summary!$B$9)</f>
        <v/>
      </c>
      <c r="M8585" s="11">
        <f>G8585+H8585</f>
        <v/>
      </c>
      <c r="N8585" s="11">
        <f>Summary!$C$16*Summary!$B$8</f>
        <v/>
      </c>
      <c r="O8585" s="11">
        <f>M8585-N8585</f>
        <v/>
      </c>
    </row>
    <row r="8586">
      <c r="A8586" s="9" t="n">
        <v>45649.66666666666</v>
      </c>
      <c r="B8586" t="n">
        <v>12</v>
      </c>
      <c r="C8586" t="n">
        <v>23</v>
      </c>
      <c r="D8586" t="n">
        <v>16</v>
      </c>
      <c r="E8586" s="10" t="n">
        <v>0</v>
      </c>
      <c r="F8586" s="10" t="n">
        <v>0.3497438279385187</v>
      </c>
      <c r="G8586" s="11">
        <f>E8586*Summary!$B$6</f>
        <v/>
      </c>
      <c r="H8586" s="11">
        <f>F8586*Summary!$B$7</f>
        <v/>
      </c>
      <c r="I8586" s="11">
        <f>MAX(0,N8586-M8586)</f>
        <v/>
      </c>
      <c r="J8586" s="11">
        <f>MAX(0,M8586-N8586)</f>
        <v/>
      </c>
      <c r="K8586" s="11">
        <f>O8586</f>
        <v/>
      </c>
      <c r="L8586" s="11">
        <f>L8585+IF(K8586&gt;0,K8586*Summary!$B$9,K8586/Summary!$B$9)</f>
        <v/>
      </c>
      <c r="M8586" s="11">
        <f>G8586+H8586</f>
        <v/>
      </c>
      <c r="N8586" s="11">
        <f>Summary!$C$16*Summary!$B$8</f>
        <v/>
      </c>
      <c r="O8586" s="11">
        <f>M8586-N8586</f>
        <v/>
      </c>
    </row>
    <row r="8587">
      <c r="A8587" s="9" t="n">
        <v>45649.70833333334</v>
      </c>
      <c r="B8587" t="n">
        <v>12</v>
      </c>
      <c r="C8587" t="n">
        <v>23</v>
      </c>
      <c r="D8587" t="n">
        <v>17</v>
      </c>
      <c r="E8587" s="10" t="n">
        <v>0</v>
      </c>
      <c r="F8587" s="10" t="n">
        <v>0.3467133472112033</v>
      </c>
      <c r="G8587" s="11">
        <f>E8587*Summary!$B$6</f>
        <v/>
      </c>
      <c r="H8587" s="11">
        <f>F8587*Summary!$B$7</f>
        <v/>
      </c>
      <c r="I8587" s="11">
        <f>MAX(0,N8587-M8587)</f>
        <v/>
      </c>
      <c r="J8587" s="11">
        <f>MAX(0,M8587-N8587)</f>
        <v/>
      </c>
      <c r="K8587" s="11">
        <f>O8587</f>
        <v/>
      </c>
      <c r="L8587" s="11">
        <f>L8586+IF(K8587&gt;0,K8587*Summary!$B$9,K8587/Summary!$B$9)</f>
        <v/>
      </c>
      <c r="M8587" s="11">
        <f>G8587+H8587</f>
        <v/>
      </c>
      <c r="N8587" s="11">
        <f>Summary!$C$16*Summary!$B$8</f>
        <v/>
      </c>
      <c r="O8587" s="11">
        <f>M8587-N8587</f>
        <v/>
      </c>
    </row>
    <row r="8588">
      <c r="A8588" s="9" t="n">
        <v>45649.75</v>
      </c>
      <c r="B8588" t="n">
        <v>12</v>
      </c>
      <c r="C8588" t="n">
        <v>23</v>
      </c>
      <c r="D8588" t="n">
        <v>18</v>
      </c>
      <c r="E8588" s="10" t="n">
        <v>0</v>
      </c>
      <c r="F8588" s="10" t="n">
        <v>0.3431031223447493</v>
      </c>
      <c r="G8588" s="11">
        <f>E8588*Summary!$B$6</f>
        <v/>
      </c>
      <c r="H8588" s="11">
        <f>F8588*Summary!$B$7</f>
        <v/>
      </c>
      <c r="I8588" s="11">
        <f>MAX(0,N8588-M8588)</f>
        <v/>
      </c>
      <c r="J8588" s="11">
        <f>MAX(0,M8588-N8588)</f>
        <v/>
      </c>
      <c r="K8588" s="11">
        <f>O8588</f>
        <v/>
      </c>
      <c r="L8588" s="11">
        <f>L8587+IF(K8588&gt;0,K8588*Summary!$B$9,K8588/Summary!$B$9)</f>
        <v/>
      </c>
      <c r="M8588" s="11">
        <f>G8588+H8588</f>
        <v/>
      </c>
      <c r="N8588" s="11">
        <f>Summary!$C$16*Summary!$B$8</f>
        <v/>
      </c>
      <c r="O8588" s="11">
        <f>M8588-N8588</f>
        <v/>
      </c>
    </row>
    <row r="8589">
      <c r="A8589" s="9" t="n">
        <v>45649.79166666666</v>
      </c>
      <c r="B8589" t="n">
        <v>12</v>
      </c>
      <c r="C8589" t="n">
        <v>23</v>
      </c>
      <c r="D8589" t="n">
        <v>19</v>
      </c>
      <c r="E8589" s="10" t="n">
        <v>0</v>
      </c>
      <c r="F8589" s="10" t="n">
        <v>0.340731441775546</v>
      </c>
      <c r="G8589" s="11">
        <f>E8589*Summary!$B$6</f>
        <v/>
      </c>
      <c r="H8589" s="11">
        <f>F8589*Summary!$B$7</f>
        <v/>
      </c>
      <c r="I8589" s="11">
        <f>MAX(0,N8589-M8589)</f>
        <v/>
      </c>
      <c r="J8589" s="11">
        <f>MAX(0,M8589-N8589)</f>
        <v/>
      </c>
      <c r="K8589" s="11">
        <f>O8589</f>
        <v/>
      </c>
      <c r="L8589" s="11">
        <f>L8588+IF(K8589&gt;0,K8589*Summary!$B$9,K8589/Summary!$B$9)</f>
        <v/>
      </c>
      <c r="M8589" s="11">
        <f>G8589+H8589</f>
        <v/>
      </c>
      <c r="N8589" s="11">
        <f>Summary!$C$16*Summary!$B$8</f>
        <v/>
      </c>
      <c r="O8589" s="11">
        <f>M8589-N8589</f>
        <v/>
      </c>
    </row>
    <row r="8590">
      <c r="A8590" s="9" t="n">
        <v>45649.83333333334</v>
      </c>
      <c r="B8590" t="n">
        <v>12</v>
      </c>
      <c r="C8590" t="n">
        <v>23</v>
      </c>
      <c r="D8590" t="n">
        <v>20</v>
      </c>
      <c r="E8590" s="10" t="n">
        <v>0</v>
      </c>
      <c r="F8590" s="10" t="n">
        <v>0.3673733201695968</v>
      </c>
      <c r="G8590" s="11">
        <f>E8590*Summary!$B$6</f>
        <v/>
      </c>
      <c r="H8590" s="11">
        <f>F8590*Summary!$B$7</f>
        <v/>
      </c>
      <c r="I8590" s="11">
        <f>MAX(0,N8590-M8590)</f>
        <v/>
      </c>
      <c r="J8590" s="11">
        <f>MAX(0,M8590-N8590)</f>
        <v/>
      </c>
      <c r="K8590" s="11">
        <f>O8590</f>
        <v/>
      </c>
      <c r="L8590" s="11">
        <f>L8589+IF(K8590&gt;0,K8590*Summary!$B$9,K8590/Summary!$B$9)</f>
        <v/>
      </c>
      <c r="M8590" s="11">
        <f>G8590+H8590</f>
        <v/>
      </c>
      <c r="N8590" s="11">
        <f>Summary!$C$16*Summary!$B$8</f>
        <v/>
      </c>
      <c r="O8590" s="11">
        <f>M8590-N8590</f>
        <v/>
      </c>
    </row>
    <row r="8591">
      <c r="A8591" s="9" t="n">
        <v>45649.875</v>
      </c>
      <c r="B8591" t="n">
        <v>12</v>
      </c>
      <c r="C8591" t="n">
        <v>23</v>
      </c>
      <c r="D8591" t="n">
        <v>21</v>
      </c>
      <c r="E8591" s="10" t="n">
        <v>0</v>
      </c>
      <c r="F8591" s="10" t="n">
        <v>0.3326150238276057</v>
      </c>
      <c r="G8591" s="11">
        <f>E8591*Summary!$B$6</f>
        <v/>
      </c>
      <c r="H8591" s="11">
        <f>F8591*Summary!$B$7</f>
        <v/>
      </c>
      <c r="I8591" s="11">
        <f>MAX(0,N8591-M8591)</f>
        <v/>
      </c>
      <c r="J8591" s="11">
        <f>MAX(0,M8591-N8591)</f>
        <v/>
      </c>
      <c r="K8591" s="11">
        <f>O8591</f>
        <v/>
      </c>
      <c r="L8591" s="11">
        <f>L8590+IF(K8591&gt;0,K8591*Summary!$B$9,K8591/Summary!$B$9)</f>
        <v/>
      </c>
      <c r="M8591" s="11">
        <f>G8591+H8591</f>
        <v/>
      </c>
      <c r="N8591" s="11">
        <f>Summary!$C$16*Summary!$B$8</f>
        <v/>
      </c>
      <c r="O8591" s="11">
        <f>M8591-N8591</f>
        <v/>
      </c>
    </row>
    <row r="8592">
      <c r="A8592" s="9" t="n">
        <v>45649.91666666666</v>
      </c>
      <c r="B8592" t="n">
        <v>12</v>
      </c>
      <c r="C8592" t="n">
        <v>23</v>
      </c>
      <c r="D8592" t="n">
        <v>22</v>
      </c>
      <c r="E8592" s="10" t="n">
        <v>0</v>
      </c>
      <c r="F8592" s="10" t="n">
        <v>0.3261324302717832</v>
      </c>
      <c r="G8592" s="11">
        <f>E8592*Summary!$B$6</f>
        <v/>
      </c>
      <c r="H8592" s="11">
        <f>F8592*Summary!$B$7</f>
        <v/>
      </c>
      <c r="I8592" s="11">
        <f>MAX(0,N8592-M8592)</f>
        <v/>
      </c>
      <c r="J8592" s="11">
        <f>MAX(0,M8592-N8592)</f>
        <v/>
      </c>
      <c r="K8592" s="11">
        <f>O8592</f>
        <v/>
      </c>
      <c r="L8592" s="11">
        <f>L8591+IF(K8592&gt;0,K8592*Summary!$B$9,K8592/Summary!$B$9)</f>
        <v/>
      </c>
      <c r="M8592" s="11">
        <f>G8592+H8592</f>
        <v/>
      </c>
      <c r="N8592" s="11">
        <f>Summary!$C$16*Summary!$B$8</f>
        <v/>
      </c>
      <c r="O8592" s="11">
        <f>M8592-N8592</f>
        <v/>
      </c>
    </row>
    <row r="8593">
      <c r="A8593" s="9" t="n">
        <v>45649.95833333334</v>
      </c>
      <c r="B8593" t="n">
        <v>12</v>
      </c>
      <c r="C8593" t="n">
        <v>23</v>
      </c>
      <c r="D8593" t="n">
        <v>23</v>
      </c>
      <c r="E8593" s="10" t="n">
        <v>0</v>
      </c>
      <c r="F8593" s="10" t="n">
        <v>0.3253682220883733</v>
      </c>
      <c r="G8593" s="11">
        <f>E8593*Summary!$B$6</f>
        <v/>
      </c>
      <c r="H8593" s="11">
        <f>F8593*Summary!$B$7</f>
        <v/>
      </c>
      <c r="I8593" s="11">
        <f>MAX(0,N8593-M8593)</f>
        <v/>
      </c>
      <c r="J8593" s="11">
        <f>MAX(0,M8593-N8593)</f>
        <v/>
      </c>
      <c r="K8593" s="11">
        <f>O8593</f>
        <v/>
      </c>
      <c r="L8593" s="11">
        <f>L8592+IF(K8593&gt;0,K8593*Summary!$B$9,K8593/Summary!$B$9)</f>
        <v/>
      </c>
      <c r="M8593" s="11">
        <f>G8593+H8593</f>
        <v/>
      </c>
      <c r="N8593" s="11">
        <f>Summary!$C$16*Summary!$B$8</f>
        <v/>
      </c>
      <c r="O8593" s="11">
        <f>M8593-N8593</f>
        <v/>
      </c>
    </row>
    <row r="8594">
      <c r="A8594" s="9" t="n">
        <v>45650</v>
      </c>
      <c r="B8594" t="n">
        <v>12</v>
      </c>
      <c r="C8594" t="n">
        <v>24</v>
      </c>
      <c r="D8594" t="n">
        <v>0</v>
      </c>
      <c r="E8594" s="10" t="n">
        <v>0</v>
      </c>
      <c r="F8594" s="10" t="n">
        <v>0.4191023085845541</v>
      </c>
      <c r="G8594" s="11">
        <f>E8594*Summary!$B$6</f>
        <v/>
      </c>
      <c r="H8594" s="11">
        <f>F8594*Summary!$B$7</f>
        <v/>
      </c>
      <c r="I8594" s="11">
        <f>MAX(0,N8594-M8594)</f>
        <v/>
      </c>
      <c r="J8594" s="11">
        <f>MAX(0,M8594-N8594)</f>
        <v/>
      </c>
      <c r="K8594" s="11">
        <f>O8594</f>
        <v/>
      </c>
      <c r="L8594" s="11">
        <f>L8593+IF(K8594&gt;0,K8594*Summary!$B$9,K8594/Summary!$B$9)</f>
        <v/>
      </c>
      <c r="M8594" s="11">
        <f>G8594+H8594</f>
        <v/>
      </c>
      <c r="N8594" s="11">
        <f>Summary!$C$16*Summary!$B$8</f>
        <v/>
      </c>
      <c r="O8594" s="11">
        <f>M8594-N8594</f>
        <v/>
      </c>
    </row>
    <row r="8595">
      <c r="A8595" s="9" t="n">
        <v>45650.04166666666</v>
      </c>
      <c r="B8595" t="n">
        <v>12</v>
      </c>
      <c r="C8595" t="n">
        <v>24</v>
      </c>
      <c r="D8595" t="n">
        <v>1</v>
      </c>
      <c r="E8595" s="10" t="n">
        <v>0</v>
      </c>
      <c r="F8595" s="10" t="n">
        <v>0.3171727481214596</v>
      </c>
      <c r="G8595" s="11">
        <f>E8595*Summary!$B$6</f>
        <v/>
      </c>
      <c r="H8595" s="11">
        <f>F8595*Summary!$B$7</f>
        <v/>
      </c>
      <c r="I8595" s="11">
        <f>MAX(0,N8595-M8595)</f>
        <v/>
      </c>
      <c r="J8595" s="11">
        <f>MAX(0,M8595-N8595)</f>
        <v/>
      </c>
      <c r="K8595" s="11">
        <f>O8595</f>
        <v/>
      </c>
      <c r="L8595" s="11">
        <f>L8594+IF(K8595&gt;0,K8595*Summary!$B$9,K8595/Summary!$B$9)</f>
        <v/>
      </c>
      <c r="M8595" s="11">
        <f>G8595+H8595</f>
        <v/>
      </c>
      <c r="N8595" s="11">
        <f>Summary!$C$16*Summary!$B$8</f>
        <v/>
      </c>
      <c r="O8595" s="11">
        <f>M8595-N8595</f>
        <v/>
      </c>
    </row>
    <row r="8596">
      <c r="A8596" s="9" t="n">
        <v>45650.08333333334</v>
      </c>
      <c r="B8596" t="n">
        <v>12</v>
      </c>
      <c r="C8596" t="n">
        <v>24</v>
      </c>
      <c r="D8596" t="n">
        <v>2</v>
      </c>
      <c r="E8596" s="10" t="n">
        <v>0</v>
      </c>
      <c r="F8596" s="10" t="n">
        <v>0.3120077548818612</v>
      </c>
      <c r="G8596" s="11">
        <f>E8596*Summary!$B$6</f>
        <v/>
      </c>
      <c r="H8596" s="11">
        <f>F8596*Summary!$B$7</f>
        <v/>
      </c>
      <c r="I8596" s="11">
        <f>MAX(0,N8596-M8596)</f>
        <v/>
      </c>
      <c r="J8596" s="11">
        <f>MAX(0,M8596-N8596)</f>
        <v/>
      </c>
      <c r="K8596" s="11">
        <f>O8596</f>
        <v/>
      </c>
      <c r="L8596" s="11">
        <f>L8595+IF(K8596&gt;0,K8596*Summary!$B$9,K8596/Summary!$B$9)</f>
        <v/>
      </c>
      <c r="M8596" s="11">
        <f>G8596+H8596</f>
        <v/>
      </c>
      <c r="N8596" s="11">
        <f>Summary!$C$16*Summary!$B$8</f>
        <v/>
      </c>
      <c r="O8596" s="11">
        <f>M8596-N8596</f>
        <v/>
      </c>
    </row>
    <row r="8597">
      <c r="A8597" s="9" t="n">
        <v>45650.125</v>
      </c>
      <c r="B8597" t="n">
        <v>12</v>
      </c>
      <c r="C8597" t="n">
        <v>24</v>
      </c>
      <c r="D8597" t="n">
        <v>3</v>
      </c>
      <c r="E8597" s="10" t="n">
        <v>0</v>
      </c>
      <c r="F8597" s="10" t="n">
        <v>0.3121922189261325</v>
      </c>
      <c r="G8597" s="11">
        <f>E8597*Summary!$B$6</f>
        <v/>
      </c>
      <c r="H8597" s="11">
        <f>F8597*Summary!$B$7</f>
        <v/>
      </c>
      <c r="I8597" s="11">
        <f>MAX(0,N8597-M8597)</f>
        <v/>
      </c>
      <c r="J8597" s="11">
        <f>MAX(0,M8597-N8597)</f>
        <v/>
      </c>
      <c r="K8597" s="11">
        <f>O8597</f>
        <v/>
      </c>
      <c r="L8597" s="11">
        <f>L8596+IF(K8597&gt;0,K8597*Summary!$B$9,K8597/Summary!$B$9)</f>
        <v/>
      </c>
      <c r="M8597" s="11">
        <f>G8597+H8597</f>
        <v/>
      </c>
      <c r="N8597" s="11">
        <f>Summary!$C$16*Summary!$B$8</f>
        <v/>
      </c>
      <c r="O8597" s="11">
        <f>M8597-N8597</f>
        <v/>
      </c>
    </row>
    <row r="8598">
      <c r="A8598" s="9" t="n">
        <v>45650.16666666666</v>
      </c>
      <c r="B8598" t="n">
        <v>12</v>
      </c>
      <c r="C8598" t="n">
        <v>24</v>
      </c>
      <c r="D8598" t="n">
        <v>4</v>
      </c>
      <c r="E8598" s="10" t="n">
        <v>0</v>
      </c>
      <c r="F8598" s="10" t="n">
        <v>0.3164348919443741</v>
      </c>
      <c r="G8598" s="11">
        <f>E8598*Summary!$B$6</f>
        <v/>
      </c>
      <c r="H8598" s="11">
        <f>F8598*Summary!$B$7</f>
        <v/>
      </c>
      <c r="I8598" s="11">
        <f>MAX(0,N8598-M8598)</f>
        <v/>
      </c>
      <c r="J8598" s="11">
        <f>MAX(0,M8598-N8598)</f>
        <v/>
      </c>
      <c r="K8598" s="11">
        <f>O8598</f>
        <v/>
      </c>
      <c r="L8598" s="11">
        <f>L8597+IF(K8598&gt;0,K8598*Summary!$B$9,K8598/Summary!$B$9)</f>
        <v/>
      </c>
      <c r="M8598" s="11">
        <f>G8598+H8598</f>
        <v/>
      </c>
      <c r="N8598" s="11">
        <f>Summary!$C$16*Summary!$B$8</f>
        <v/>
      </c>
      <c r="O8598" s="11">
        <f>M8598-N8598</f>
        <v/>
      </c>
    </row>
    <row r="8599">
      <c r="A8599" s="9" t="n">
        <v>45650.20833333334</v>
      </c>
      <c r="B8599" t="n">
        <v>12</v>
      </c>
      <c r="C8599" t="n">
        <v>24</v>
      </c>
      <c r="D8599" t="n">
        <v>5</v>
      </c>
      <c r="E8599" s="10" t="n">
        <v>0</v>
      </c>
      <c r="F8599" s="10" t="n">
        <v>0.3176207322289757</v>
      </c>
      <c r="G8599" s="11">
        <f>E8599*Summary!$B$6</f>
        <v/>
      </c>
      <c r="H8599" s="11">
        <f>F8599*Summary!$B$7</f>
        <v/>
      </c>
      <c r="I8599" s="11">
        <f>MAX(0,N8599-M8599)</f>
        <v/>
      </c>
      <c r="J8599" s="11">
        <f>MAX(0,M8599-N8599)</f>
        <v/>
      </c>
      <c r="K8599" s="11">
        <f>O8599</f>
        <v/>
      </c>
      <c r="L8599" s="11">
        <f>L8598+IF(K8599&gt;0,K8599*Summary!$B$9,K8599/Summary!$B$9)</f>
        <v/>
      </c>
      <c r="M8599" s="11">
        <f>G8599+H8599</f>
        <v/>
      </c>
      <c r="N8599" s="11">
        <f>Summary!$C$16*Summary!$B$8</f>
        <v/>
      </c>
      <c r="O8599" s="11">
        <f>M8599-N8599</f>
        <v/>
      </c>
    </row>
    <row r="8600">
      <c r="A8600" s="9" t="n">
        <v>45650.25</v>
      </c>
      <c r="B8600" t="n">
        <v>12</v>
      </c>
      <c r="C8600" t="n">
        <v>24</v>
      </c>
      <c r="D8600" t="n">
        <v>6</v>
      </c>
      <c r="E8600" s="10" t="n">
        <v>0</v>
      </c>
      <c r="F8600" s="10" t="n">
        <v>0.3223377413610579</v>
      </c>
      <c r="G8600" s="11">
        <f>E8600*Summary!$B$6</f>
        <v/>
      </c>
      <c r="H8600" s="11">
        <f>F8600*Summary!$B$7</f>
        <v/>
      </c>
      <c r="I8600" s="11">
        <f>MAX(0,N8600-M8600)</f>
        <v/>
      </c>
      <c r="J8600" s="11">
        <f>MAX(0,M8600-N8600)</f>
        <v/>
      </c>
      <c r="K8600" s="11">
        <f>O8600</f>
        <v/>
      </c>
      <c r="L8600" s="11">
        <f>L8599+IF(K8600&gt;0,K8600*Summary!$B$9,K8600/Summary!$B$9)</f>
        <v/>
      </c>
      <c r="M8600" s="11">
        <f>G8600+H8600</f>
        <v/>
      </c>
      <c r="N8600" s="11">
        <f>Summary!$C$16*Summary!$B$8</f>
        <v/>
      </c>
      <c r="O8600" s="11">
        <f>M8600-N8600</f>
        <v/>
      </c>
    </row>
    <row r="8601">
      <c r="A8601" s="9" t="n">
        <v>45650.29166666666</v>
      </c>
      <c r="B8601" t="n">
        <v>12</v>
      </c>
      <c r="C8601" t="n">
        <v>24</v>
      </c>
      <c r="D8601" t="n">
        <v>7</v>
      </c>
      <c r="E8601" s="10" t="n">
        <v>0</v>
      </c>
      <c r="F8601" s="10" t="n">
        <v>0.325842558202214</v>
      </c>
      <c r="G8601" s="11">
        <f>E8601*Summary!$B$6</f>
        <v/>
      </c>
      <c r="H8601" s="11">
        <f>F8601*Summary!$B$7</f>
        <v/>
      </c>
      <c r="I8601" s="11">
        <f>MAX(0,N8601-M8601)</f>
        <v/>
      </c>
      <c r="J8601" s="11">
        <f>MAX(0,M8601-N8601)</f>
        <v/>
      </c>
      <c r="K8601" s="11">
        <f>O8601</f>
        <v/>
      </c>
      <c r="L8601" s="11">
        <f>L8600+IF(K8601&gt;0,K8601*Summary!$B$9,K8601/Summary!$B$9)</f>
        <v/>
      </c>
      <c r="M8601" s="11">
        <f>G8601+H8601</f>
        <v/>
      </c>
      <c r="N8601" s="11">
        <f>Summary!$C$16*Summary!$B$8</f>
        <v/>
      </c>
      <c r="O8601" s="11">
        <f>M8601-N8601</f>
        <v/>
      </c>
    </row>
    <row r="8602">
      <c r="A8602" s="9" t="n">
        <v>45650.33333333334</v>
      </c>
      <c r="B8602" t="n">
        <v>12</v>
      </c>
      <c r="C8602" t="n">
        <v>24</v>
      </c>
      <c r="D8602" t="n">
        <v>8</v>
      </c>
      <c r="E8602" s="10" t="n">
        <v>0</v>
      </c>
      <c r="F8602" s="10" t="n">
        <v>0.3312974235113816</v>
      </c>
      <c r="G8602" s="11">
        <f>E8602*Summary!$B$6</f>
        <v/>
      </c>
      <c r="H8602" s="11">
        <f>F8602*Summary!$B$7</f>
        <v/>
      </c>
      <c r="I8602" s="11">
        <f>MAX(0,N8602-M8602)</f>
        <v/>
      </c>
      <c r="J8602" s="11">
        <f>MAX(0,M8602-N8602)</f>
        <v/>
      </c>
      <c r="K8602" s="11">
        <f>O8602</f>
        <v/>
      </c>
      <c r="L8602" s="11">
        <f>L8601+IF(K8602&gt;0,K8602*Summary!$B$9,K8602/Summary!$B$9)</f>
        <v/>
      </c>
      <c r="M8602" s="11">
        <f>G8602+H8602</f>
        <v/>
      </c>
      <c r="N8602" s="11">
        <f>Summary!$C$16*Summary!$B$8</f>
        <v/>
      </c>
      <c r="O8602" s="11">
        <f>M8602-N8602</f>
        <v/>
      </c>
    </row>
    <row r="8603">
      <c r="A8603" s="9" t="n">
        <v>45650.375</v>
      </c>
      <c r="B8603" t="n">
        <v>12</v>
      </c>
      <c r="C8603" t="n">
        <v>24</v>
      </c>
      <c r="D8603" t="n">
        <v>9</v>
      </c>
      <c r="E8603" s="10" t="n">
        <v>0.014854</v>
      </c>
      <c r="F8603" s="10" t="n">
        <v>0.3356191525485966</v>
      </c>
      <c r="G8603" s="11">
        <f>E8603*Summary!$B$6</f>
        <v/>
      </c>
      <c r="H8603" s="11">
        <f>F8603*Summary!$B$7</f>
        <v/>
      </c>
      <c r="I8603" s="11">
        <f>MAX(0,N8603-M8603)</f>
        <v/>
      </c>
      <c r="J8603" s="11">
        <f>MAX(0,M8603-N8603)</f>
        <v/>
      </c>
      <c r="K8603" s="11">
        <f>O8603</f>
        <v/>
      </c>
      <c r="L8603" s="11">
        <f>L8602+IF(K8603&gt;0,K8603*Summary!$B$9,K8603/Summary!$B$9)</f>
        <v/>
      </c>
      <c r="M8603" s="11">
        <f>G8603+H8603</f>
        <v/>
      </c>
      <c r="N8603" s="11">
        <f>Summary!$C$16*Summary!$B$8</f>
        <v/>
      </c>
      <c r="O8603" s="11">
        <f>M8603-N8603</f>
        <v/>
      </c>
    </row>
    <row r="8604">
      <c r="A8604" s="9" t="n">
        <v>45650.41666666666</v>
      </c>
      <c r="B8604" t="n">
        <v>12</v>
      </c>
      <c r="C8604" t="n">
        <v>24</v>
      </c>
      <c r="D8604" t="n">
        <v>10</v>
      </c>
      <c r="E8604" s="10" t="n">
        <v>0.019987</v>
      </c>
      <c r="F8604" s="10" t="n">
        <v>0.340125345630083</v>
      </c>
      <c r="G8604" s="11">
        <f>E8604*Summary!$B$6</f>
        <v/>
      </c>
      <c r="H8604" s="11">
        <f>F8604*Summary!$B$7</f>
        <v/>
      </c>
      <c r="I8604" s="11">
        <f>MAX(0,N8604-M8604)</f>
        <v/>
      </c>
      <c r="J8604" s="11">
        <f>MAX(0,M8604-N8604)</f>
        <v/>
      </c>
      <c r="K8604" s="11">
        <f>O8604</f>
        <v/>
      </c>
      <c r="L8604" s="11">
        <f>L8603+IF(K8604&gt;0,K8604*Summary!$B$9,K8604/Summary!$B$9)</f>
        <v/>
      </c>
      <c r="M8604" s="11">
        <f>G8604+H8604</f>
        <v/>
      </c>
      <c r="N8604" s="11">
        <f>Summary!$C$16*Summary!$B$8</f>
        <v/>
      </c>
      <c r="O8604" s="11">
        <f>M8604-N8604</f>
        <v/>
      </c>
    </row>
    <row r="8605">
      <c r="A8605" s="9" t="n">
        <v>45650.45833333334</v>
      </c>
      <c r="B8605" t="n">
        <v>12</v>
      </c>
      <c r="C8605" t="n">
        <v>24</v>
      </c>
      <c r="D8605" t="n">
        <v>11</v>
      </c>
      <c r="E8605" s="10" t="n">
        <v>0.022102</v>
      </c>
      <c r="F8605" s="10" t="n">
        <v>0.3427341942562067</v>
      </c>
      <c r="G8605" s="11">
        <f>E8605*Summary!$B$6</f>
        <v/>
      </c>
      <c r="H8605" s="11">
        <f>F8605*Summary!$B$7</f>
        <v/>
      </c>
      <c r="I8605" s="11">
        <f>MAX(0,N8605-M8605)</f>
        <v/>
      </c>
      <c r="J8605" s="11">
        <f>MAX(0,M8605-N8605)</f>
        <v/>
      </c>
      <c r="K8605" s="11">
        <f>O8605</f>
        <v/>
      </c>
      <c r="L8605" s="11">
        <f>L8604+IF(K8605&gt;0,K8605*Summary!$B$9,K8605/Summary!$B$9)</f>
        <v/>
      </c>
      <c r="M8605" s="11">
        <f>G8605+H8605</f>
        <v/>
      </c>
      <c r="N8605" s="11">
        <f>Summary!$C$16*Summary!$B$8</f>
        <v/>
      </c>
      <c r="O8605" s="11">
        <f>M8605-N8605</f>
        <v/>
      </c>
    </row>
    <row r="8606">
      <c r="A8606" s="9" t="n">
        <v>45650.5</v>
      </c>
      <c r="B8606" t="n">
        <v>12</v>
      </c>
      <c r="C8606" t="n">
        <v>24</v>
      </c>
      <c r="D8606" t="n">
        <v>12</v>
      </c>
      <c r="E8606" s="10" t="n">
        <v>0.11482</v>
      </c>
      <c r="F8606" s="10" t="n">
        <v>0.3536702768808664</v>
      </c>
      <c r="G8606" s="11">
        <f>E8606*Summary!$B$6</f>
        <v/>
      </c>
      <c r="H8606" s="11">
        <f>F8606*Summary!$B$7</f>
        <v/>
      </c>
      <c r="I8606" s="11">
        <f>MAX(0,N8606-M8606)</f>
        <v/>
      </c>
      <c r="J8606" s="11">
        <f>MAX(0,M8606-N8606)</f>
        <v/>
      </c>
      <c r="K8606" s="11">
        <f>O8606</f>
        <v/>
      </c>
      <c r="L8606" s="11">
        <f>L8605+IF(K8606&gt;0,K8606*Summary!$B$9,K8606/Summary!$B$9)</f>
        <v/>
      </c>
      <c r="M8606" s="11">
        <f>G8606+H8606</f>
        <v/>
      </c>
      <c r="N8606" s="11">
        <f>Summary!$C$16*Summary!$B$8</f>
        <v/>
      </c>
      <c r="O8606" s="11">
        <f>M8606-N8606</f>
        <v/>
      </c>
    </row>
    <row r="8607">
      <c r="A8607" s="9" t="n">
        <v>45650.54166666666</v>
      </c>
      <c r="B8607" t="n">
        <v>12</v>
      </c>
      <c r="C8607" t="n">
        <v>24</v>
      </c>
      <c r="D8607" t="n">
        <v>13</v>
      </c>
      <c r="E8607" s="10" t="n">
        <v>0.019145</v>
      </c>
      <c r="F8607" s="10" t="n">
        <v>0.3687436244984699</v>
      </c>
      <c r="G8607" s="11">
        <f>E8607*Summary!$B$6</f>
        <v/>
      </c>
      <c r="H8607" s="11">
        <f>F8607*Summary!$B$7</f>
        <v/>
      </c>
      <c r="I8607" s="11">
        <f>MAX(0,N8607-M8607)</f>
        <v/>
      </c>
      <c r="J8607" s="11">
        <f>MAX(0,M8607-N8607)</f>
        <v/>
      </c>
      <c r="K8607" s="11">
        <f>O8607</f>
        <v/>
      </c>
      <c r="L8607" s="11">
        <f>L8606+IF(K8607&gt;0,K8607*Summary!$B$9,K8607/Summary!$B$9)</f>
        <v/>
      </c>
      <c r="M8607" s="11">
        <f>G8607+H8607</f>
        <v/>
      </c>
      <c r="N8607" s="11">
        <f>Summary!$C$16*Summary!$B$8</f>
        <v/>
      </c>
      <c r="O8607" s="11">
        <f>M8607-N8607</f>
        <v/>
      </c>
    </row>
    <row r="8608">
      <c r="A8608" s="9" t="n">
        <v>45650.58333333334</v>
      </c>
      <c r="B8608" t="n">
        <v>12</v>
      </c>
      <c r="C8608" t="n">
        <v>24</v>
      </c>
      <c r="D8608" t="n">
        <v>14</v>
      </c>
      <c r="E8608" s="10" t="n">
        <v>0.017441</v>
      </c>
      <c r="F8608" s="10" t="n">
        <v>0.3833426360022326</v>
      </c>
      <c r="G8608" s="11">
        <f>E8608*Summary!$B$6</f>
        <v/>
      </c>
      <c r="H8608" s="11">
        <f>F8608*Summary!$B$7</f>
        <v/>
      </c>
      <c r="I8608" s="11">
        <f>MAX(0,N8608-M8608)</f>
        <v/>
      </c>
      <c r="J8608" s="11">
        <f>MAX(0,M8608-N8608)</f>
        <v/>
      </c>
      <c r="K8608" s="11">
        <f>O8608</f>
        <v/>
      </c>
      <c r="L8608" s="11">
        <f>L8607+IF(K8608&gt;0,K8608*Summary!$B$9,K8608/Summary!$B$9)</f>
        <v/>
      </c>
      <c r="M8608" s="11">
        <f>G8608+H8608</f>
        <v/>
      </c>
      <c r="N8608" s="11">
        <f>Summary!$C$16*Summary!$B$8</f>
        <v/>
      </c>
      <c r="O8608" s="11">
        <f>M8608-N8608</f>
        <v/>
      </c>
    </row>
    <row r="8609">
      <c r="A8609" s="9" t="n">
        <v>45650.625</v>
      </c>
      <c r="B8609" t="n">
        <v>12</v>
      </c>
      <c r="C8609" t="n">
        <v>24</v>
      </c>
      <c r="D8609" t="n">
        <v>15</v>
      </c>
      <c r="E8609" s="10" t="n">
        <v>0</v>
      </c>
      <c r="F8609" s="10" t="n">
        <v>0.3989430237463257</v>
      </c>
      <c r="G8609" s="11">
        <f>E8609*Summary!$B$6</f>
        <v/>
      </c>
      <c r="H8609" s="11">
        <f>F8609*Summary!$B$7</f>
        <v/>
      </c>
      <c r="I8609" s="11">
        <f>MAX(0,N8609-M8609)</f>
        <v/>
      </c>
      <c r="J8609" s="11">
        <f>MAX(0,M8609-N8609)</f>
        <v/>
      </c>
      <c r="K8609" s="11">
        <f>O8609</f>
        <v/>
      </c>
      <c r="L8609" s="11">
        <f>L8608+IF(K8609&gt;0,K8609*Summary!$B$9,K8609/Summary!$B$9)</f>
        <v/>
      </c>
      <c r="M8609" s="11">
        <f>G8609+H8609</f>
        <v/>
      </c>
      <c r="N8609" s="11">
        <f>Summary!$C$16*Summary!$B$8</f>
        <v/>
      </c>
      <c r="O8609" s="11">
        <f>M8609-N8609</f>
        <v/>
      </c>
    </row>
    <row r="8610">
      <c r="A8610" s="9" t="n">
        <v>45650.66666666666</v>
      </c>
      <c r="B8610" t="n">
        <v>12</v>
      </c>
      <c r="C8610" t="n">
        <v>24</v>
      </c>
      <c r="D8610" t="n">
        <v>16</v>
      </c>
      <c r="E8610" s="10" t="n">
        <v>0</v>
      </c>
      <c r="F8610" s="10" t="n">
        <v>0.4045823530997648</v>
      </c>
      <c r="G8610" s="11">
        <f>E8610*Summary!$B$6</f>
        <v/>
      </c>
      <c r="H8610" s="11">
        <f>F8610*Summary!$B$7</f>
        <v/>
      </c>
      <c r="I8610" s="11">
        <f>MAX(0,N8610-M8610)</f>
        <v/>
      </c>
      <c r="J8610" s="11">
        <f>MAX(0,M8610-N8610)</f>
        <v/>
      </c>
      <c r="K8610" s="11">
        <f>O8610</f>
        <v/>
      </c>
      <c r="L8610" s="11">
        <f>L8609+IF(K8610&gt;0,K8610*Summary!$B$9,K8610/Summary!$B$9)</f>
        <v/>
      </c>
      <c r="M8610" s="11">
        <f>G8610+H8610</f>
        <v/>
      </c>
      <c r="N8610" s="11">
        <f>Summary!$C$16*Summary!$B$8</f>
        <v/>
      </c>
      <c r="O8610" s="11">
        <f>M8610-N8610</f>
        <v/>
      </c>
    </row>
    <row r="8611">
      <c r="A8611" s="9" t="n">
        <v>45650.70833333334</v>
      </c>
      <c r="B8611" t="n">
        <v>12</v>
      </c>
      <c r="C8611" t="n">
        <v>24</v>
      </c>
      <c r="D8611" t="n">
        <v>17</v>
      </c>
      <c r="E8611" s="10" t="n">
        <v>0</v>
      </c>
      <c r="F8611" s="10" t="n">
        <v>0.4098000503520121</v>
      </c>
      <c r="G8611" s="11">
        <f>E8611*Summary!$B$6</f>
        <v/>
      </c>
      <c r="H8611" s="11">
        <f>F8611*Summary!$B$7</f>
        <v/>
      </c>
      <c r="I8611" s="11">
        <f>MAX(0,N8611-M8611)</f>
        <v/>
      </c>
      <c r="J8611" s="11">
        <f>MAX(0,M8611-N8611)</f>
        <v/>
      </c>
      <c r="K8611" s="11">
        <f>O8611</f>
        <v/>
      </c>
      <c r="L8611" s="11">
        <f>L8610+IF(K8611&gt;0,K8611*Summary!$B$9,K8611/Summary!$B$9)</f>
        <v/>
      </c>
      <c r="M8611" s="11">
        <f>G8611+H8611</f>
        <v/>
      </c>
      <c r="N8611" s="11">
        <f>Summary!$C$16*Summary!$B$8</f>
        <v/>
      </c>
      <c r="O8611" s="11">
        <f>M8611-N8611</f>
        <v/>
      </c>
    </row>
    <row r="8612">
      <c r="A8612" s="9" t="n">
        <v>45650.75</v>
      </c>
      <c r="B8612" t="n">
        <v>12</v>
      </c>
      <c r="C8612" t="n">
        <v>24</v>
      </c>
      <c r="D8612" t="n">
        <v>18</v>
      </c>
      <c r="E8612" s="10" t="n">
        <v>0</v>
      </c>
      <c r="F8612" s="10" t="n">
        <v>0.4543349410403859</v>
      </c>
      <c r="G8612" s="11">
        <f>E8612*Summary!$B$6</f>
        <v/>
      </c>
      <c r="H8612" s="11">
        <f>F8612*Summary!$B$7</f>
        <v/>
      </c>
      <c r="I8612" s="11">
        <f>MAX(0,N8612-M8612)</f>
        <v/>
      </c>
      <c r="J8612" s="11">
        <f>MAX(0,M8612-N8612)</f>
        <v/>
      </c>
      <c r="K8612" s="11">
        <f>O8612</f>
        <v/>
      </c>
      <c r="L8612" s="11">
        <f>L8611+IF(K8612&gt;0,K8612*Summary!$B$9,K8612/Summary!$B$9)</f>
        <v/>
      </c>
      <c r="M8612" s="11">
        <f>G8612+H8612</f>
        <v/>
      </c>
      <c r="N8612" s="11">
        <f>Summary!$C$16*Summary!$B$8</f>
        <v/>
      </c>
      <c r="O8612" s="11">
        <f>M8612-N8612</f>
        <v/>
      </c>
    </row>
    <row r="8613">
      <c r="A8613" s="9" t="n">
        <v>45650.79166666666</v>
      </c>
      <c r="B8613" t="n">
        <v>12</v>
      </c>
      <c r="C8613" t="n">
        <v>24</v>
      </c>
      <c r="D8613" t="n">
        <v>19</v>
      </c>
      <c r="E8613" s="10" t="n">
        <v>0</v>
      </c>
      <c r="F8613" s="10" t="n">
        <v>0.4126197150287316</v>
      </c>
      <c r="G8613" s="11">
        <f>E8613*Summary!$B$6</f>
        <v/>
      </c>
      <c r="H8613" s="11">
        <f>F8613*Summary!$B$7</f>
        <v/>
      </c>
      <c r="I8613" s="11">
        <f>MAX(0,N8613-M8613)</f>
        <v/>
      </c>
      <c r="J8613" s="11">
        <f>MAX(0,M8613-N8613)</f>
        <v/>
      </c>
      <c r="K8613" s="11">
        <f>O8613</f>
        <v/>
      </c>
      <c r="L8613" s="11">
        <f>L8612+IF(K8613&gt;0,K8613*Summary!$B$9,K8613/Summary!$B$9)</f>
        <v/>
      </c>
      <c r="M8613" s="11">
        <f>G8613+H8613</f>
        <v/>
      </c>
      <c r="N8613" s="11">
        <f>Summary!$C$16*Summary!$B$8</f>
        <v/>
      </c>
      <c r="O8613" s="11">
        <f>M8613-N8613</f>
        <v/>
      </c>
    </row>
    <row r="8614">
      <c r="A8614" s="9" t="n">
        <v>45650.83333333334</v>
      </c>
      <c r="B8614" t="n">
        <v>12</v>
      </c>
      <c r="C8614" t="n">
        <v>24</v>
      </c>
      <c r="D8614" t="n">
        <v>20</v>
      </c>
      <c r="E8614" s="10" t="n">
        <v>0</v>
      </c>
      <c r="F8614" s="10" t="n">
        <v>0.4074810737954577</v>
      </c>
      <c r="G8614" s="11">
        <f>E8614*Summary!$B$6</f>
        <v/>
      </c>
      <c r="H8614" s="11">
        <f>F8614*Summary!$B$7</f>
        <v/>
      </c>
      <c r="I8614" s="11">
        <f>MAX(0,N8614-M8614)</f>
        <v/>
      </c>
      <c r="J8614" s="11">
        <f>MAX(0,M8614-N8614)</f>
        <v/>
      </c>
      <c r="K8614" s="11">
        <f>O8614</f>
        <v/>
      </c>
      <c r="L8614" s="11">
        <f>L8613+IF(K8614&gt;0,K8614*Summary!$B$9,K8614/Summary!$B$9)</f>
        <v/>
      </c>
      <c r="M8614" s="11">
        <f>G8614+H8614</f>
        <v/>
      </c>
      <c r="N8614" s="11">
        <f>Summary!$C$16*Summary!$B$8</f>
        <v/>
      </c>
      <c r="O8614" s="11">
        <f>M8614-N8614</f>
        <v/>
      </c>
    </row>
    <row r="8615">
      <c r="A8615" s="9" t="n">
        <v>45650.875</v>
      </c>
      <c r="B8615" t="n">
        <v>12</v>
      </c>
      <c r="C8615" t="n">
        <v>24</v>
      </c>
      <c r="D8615" t="n">
        <v>21</v>
      </c>
      <c r="E8615" s="10" t="n">
        <v>0</v>
      </c>
      <c r="F8615" s="10" t="n">
        <v>0.4091676022002245</v>
      </c>
      <c r="G8615" s="11">
        <f>E8615*Summary!$B$6</f>
        <v/>
      </c>
      <c r="H8615" s="11">
        <f>F8615*Summary!$B$7</f>
        <v/>
      </c>
      <c r="I8615" s="11">
        <f>MAX(0,N8615-M8615)</f>
        <v/>
      </c>
      <c r="J8615" s="11">
        <f>MAX(0,M8615-N8615)</f>
        <v/>
      </c>
      <c r="K8615" s="11">
        <f>O8615</f>
        <v/>
      </c>
      <c r="L8615" s="11">
        <f>L8614+IF(K8615&gt;0,K8615*Summary!$B$9,K8615/Summary!$B$9)</f>
        <v/>
      </c>
      <c r="M8615" s="11">
        <f>G8615+H8615</f>
        <v/>
      </c>
      <c r="N8615" s="11">
        <f>Summary!$C$16*Summary!$B$8</f>
        <v/>
      </c>
      <c r="O8615" s="11">
        <f>M8615-N8615</f>
        <v/>
      </c>
    </row>
    <row r="8616">
      <c r="A8616" s="9" t="n">
        <v>45650.91666666666</v>
      </c>
      <c r="B8616" t="n">
        <v>12</v>
      </c>
      <c r="C8616" t="n">
        <v>24</v>
      </c>
      <c r="D8616" t="n">
        <v>22</v>
      </c>
      <c r="E8616" s="10" t="n">
        <v>0</v>
      </c>
      <c r="F8616" s="10" t="n">
        <v>0.4096155863077407</v>
      </c>
      <c r="G8616" s="11">
        <f>E8616*Summary!$B$6</f>
        <v/>
      </c>
      <c r="H8616" s="11">
        <f>F8616*Summary!$B$7</f>
        <v/>
      </c>
      <c r="I8616" s="11">
        <f>MAX(0,N8616-M8616)</f>
        <v/>
      </c>
      <c r="J8616" s="11">
        <f>MAX(0,M8616-N8616)</f>
        <v/>
      </c>
      <c r="K8616" s="11">
        <f>O8616</f>
        <v/>
      </c>
      <c r="L8616" s="11">
        <f>L8615+IF(K8616&gt;0,K8616*Summary!$B$9,K8616/Summary!$B$9)</f>
        <v/>
      </c>
      <c r="M8616" s="11">
        <f>G8616+H8616</f>
        <v/>
      </c>
      <c r="N8616" s="11">
        <f>Summary!$C$16*Summary!$B$8</f>
        <v/>
      </c>
      <c r="O8616" s="11">
        <f>M8616-N8616</f>
        <v/>
      </c>
    </row>
    <row r="8617">
      <c r="A8617" s="9" t="n">
        <v>45650.95833333334</v>
      </c>
      <c r="B8617" t="n">
        <v>12</v>
      </c>
      <c r="C8617" t="n">
        <v>24</v>
      </c>
      <c r="D8617" t="n">
        <v>23</v>
      </c>
      <c r="E8617" s="10" t="n">
        <v>0</v>
      </c>
      <c r="F8617" s="10" t="n">
        <v>0.4110122426429383</v>
      </c>
      <c r="G8617" s="11">
        <f>E8617*Summary!$B$6</f>
        <v/>
      </c>
      <c r="H8617" s="11">
        <f>F8617*Summary!$B$7</f>
        <v/>
      </c>
      <c r="I8617" s="11">
        <f>MAX(0,N8617-M8617)</f>
        <v/>
      </c>
      <c r="J8617" s="11">
        <f>MAX(0,M8617-N8617)</f>
        <v/>
      </c>
      <c r="K8617" s="11">
        <f>O8617</f>
        <v/>
      </c>
      <c r="L8617" s="11">
        <f>L8616+IF(K8617&gt;0,K8617*Summary!$B$9,K8617/Summary!$B$9)</f>
        <v/>
      </c>
      <c r="M8617" s="11">
        <f>G8617+H8617</f>
        <v/>
      </c>
      <c r="N8617" s="11">
        <f>Summary!$C$16*Summary!$B$8</f>
        <v/>
      </c>
      <c r="O8617" s="11">
        <f>M8617-N8617</f>
        <v/>
      </c>
    </row>
    <row r="8618">
      <c r="A8618" s="9" t="n">
        <v>45651</v>
      </c>
      <c r="B8618" t="n">
        <v>12</v>
      </c>
      <c r="C8618" t="n">
        <v>25</v>
      </c>
      <c r="D8618" t="n">
        <v>0</v>
      </c>
      <c r="E8618" s="10" t="n">
        <v>0</v>
      </c>
      <c r="F8618" s="10" t="n">
        <v>0.4657980637915353</v>
      </c>
      <c r="G8618" s="11">
        <f>E8618*Summary!$B$6</f>
        <v/>
      </c>
      <c r="H8618" s="11">
        <f>F8618*Summary!$B$7</f>
        <v/>
      </c>
      <c r="I8618" s="11">
        <f>MAX(0,N8618-M8618)</f>
        <v/>
      </c>
      <c r="J8618" s="11">
        <f>MAX(0,M8618-N8618)</f>
        <v/>
      </c>
      <c r="K8618" s="11">
        <f>O8618</f>
        <v/>
      </c>
      <c r="L8618" s="11">
        <f>L8617+IF(K8618&gt;0,K8618*Summary!$B$9,K8618/Summary!$B$9)</f>
        <v/>
      </c>
      <c r="M8618" s="11">
        <f>G8618+H8618</f>
        <v/>
      </c>
      <c r="N8618" s="11">
        <f>Summary!$C$16*Summary!$B$8</f>
        <v/>
      </c>
      <c r="O8618" s="11">
        <f>M8618-N8618</f>
        <v/>
      </c>
    </row>
    <row r="8619">
      <c r="A8619" s="9" t="n">
        <v>45651.04166666666</v>
      </c>
      <c r="B8619" t="n">
        <v>12</v>
      </c>
      <c r="C8619" t="n">
        <v>25</v>
      </c>
      <c r="D8619" t="n">
        <v>1</v>
      </c>
      <c r="E8619" s="10" t="n">
        <v>0</v>
      </c>
      <c r="F8619" s="10" t="n">
        <v>0.4696981607275585</v>
      </c>
      <c r="G8619" s="11">
        <f>E8619*Summary!$B$6</f>
        <v/>
      </c>
      <c r="H8619" s="11">
        <f>F8619*Summary!$B$7</f>
        <v/>
      </c>
      <c r="I8619" s="11">
        <f>MAX(0,N8619-M8619)</f>
        <v/>
      </c>
      <c r="J8619" s="11">
        <f>MAX(0,M8619-N8619)</f>
        <v/>
      </c>
      <c r="K8619" s="11">
        <f>O8619</f>
        <v/>
      </c>
      <c r="L8619" s="11">
        <f>L8618+IF(K8619&gt;0,K8619*Summary!$B$9,K8619/Summary!$B$9)</f>
        <v/>
      </c>
      <c r="M8619" s="11">
        <f>G8619+H8619</f>
        <v/>
      </c>
      <c r="N8619" s="11">
        <f>Summary!$C$16*Summary!$B$8</f>
        <v/>
      </c>
      <c r="O8619" s="11">
        <f>M8619-N8619</f>
        <v/>
      </c>
    </row>
    <row r="8620">
      <c r="A8620" s="9" t="n">
        <v>45651.08333333334</v>
      </c>
      <c r="B8620" t="n">
        <v>12</v>
      </c>
      <c r="C8620" t="n">
        <v>25</v>
      </c>
      <c r="D8620" t="n">
        <v>2</v>
      </c>
      <c r="E8620" s="10" t="n">
        <v>0</v>
      </c>
      <c r="F8620" s="10" t="n">
        <v>0.4332269839744762</v>
      </c>
      <c r="G8620" s="11">
        <f>E8620*Summary!$B$6</f>
        <v/>
      </c>
      <c r="H8620" s="11">
        <f>F8620*Summary!$B$7</f>
        <v/>
      </c>
      <c r="I8620" s="11">
        <f>MAX(0,N8620-M8620)</f>
        <v/>
      </c>
      <c r="J8620" s="11">
        <f>MAX(0,M8620-N8620)</f>
        <v/>
      </c>
      <c r="K8620" s="11">
        <f>O8620</f>
        <v/>
      </c>
      <c r="L8620" s="11">
        <f>L8619+IF(K8620&gt;0,K8620*Summary!$B$9,K8620/Summary!$B$9)</f>
        <v/>
      </c>
      <c r="M8620" s="11">
        <f>G8620+H8620</f>
        <v/>
      </c>
      <c r="N8620" s="11">
        <f>Summary!$C$16*Summary!$B$8</f>
        <v/>
      </c>
      <c r="O8620" s="11">
        <f>M8620-N8620</f>
        <v/>
      </c>
    </row>
    <row r="8621">
      <c r="A8621" s="9" t="n">
        <v>45651.125</v>
      </c>
      <c r="B8621" t="n">
        <v>12</v>
      </c>
      <c r="C8621" t="n">
        <v>25</v>
      </c>
      <c r="D8621" t="n">
        <v>3</v>
      </c>
      <c r="E8621" s="10" t="n">
        <v>0</v>
      </c>
      <c r="F8621" s="10" t="n">
        <v>0.4436096744663219</v>
      </c>
      <c r="G8621" s="11">
        <f>E8621*Summary!$B$6</f>
        <v/>
      </c>
      <c r="H8621" s="11">
        <f>F8621*Summary!$B$7</f>
        <v/>
      </c>
      <c r="I8621" s="11">
        <f>MAX(0,N8621-M8621)</f>
        <v/>
      </c>
      <c r="J8621" s="11">
        <f>MAX(0,M8621-N8621)</f>
        <v/>
      </c>
      <c r="K8621" s="11">
        <f>O8621</f>
        <v/>
      </c>
      <c r="L8621" s="11">
        <f>L8620+IF(K8621&gt;0,K8621*Summary!$B$9,K8621/Summary!$B$9)</f>
        <v/>
      </c>
      <c r="M8621" s="11">
        <f>G8621+H8621</f>
        <v/>
      </c>
      <c r="N8621" s="11">
        <f>Summary!$C$16*Summary!$B$8</f>
        <v/>
      </c>
      <c r="O8621" s="11">
        <f>M8621-N8621</f>
        <v/>
      </c>
    </row>
    <row r="8622">
      <c r="A8622" s="9" t="n">
        <v>45651.16666666666</v>
      </c>
      <c r="B8622" t="n">
        <v>12</v>
      </c>
      <c r="C8622" t="n">
        <v>25</v>
      </c>
      <c r="D8622" t="n">
        <v>4</v>
      </c>
      <c r="E8622" s="10" t="n">
        <v>0</v>
      </c>
      <c r="F8622" s="10" t="n">
        <v>0.4529646367115128</v>
      </c>
      <c r="G8622" s="11">
        <f>E8622*Summary!$B$6</f>
        <v/>
      </c>
      <c r="H8622" s="11">
        <f>F8622*Summary!$B$7</f>
        <v/>
      </c>
      <c r="I8622" s="11">
        <f>MAX(0,N8622-M8622)</f>
        <v/>
      </c>
      <c r="J8622" s="11">
        <f>MAX(0,M8622-N8622)</f>
        <v/>
      </c>
      <c r="K8622" s="11">
        <f>O8622</f>
        <v/>
      </c>
      <c r="L8622" s="11">
        <f>L8621+IF(K8622&gt;0,K8622*Summary!$B$9,K8622/Summary!$B$9)</f>
        <v/>
      </c>
      <c r="M8622" s="11">
        <f>G8622+H8622</f>
        <v/>
      </c>
      <c r="N8622" s="11">
        <f>Summary!$C$16*Summary!$B$8</f>
        <v/>
      </c>
      <c r="O8622" s="11">
        <f>M8622-N8622</f>
        <v/>
      </c>
    </row>
    <row r="8623">
      <c r="A8623" s="9" t="n">
        <v>45651.20833333334</v>
      </c>
      <c r="B8623" t="n">
        <v>12</v>
      </c>
      <c r="C8623" t="n">
        <v>25</v>
      </c>
      <c r="D8623" t="n">
        <v>5</v>
      </c>
      <c r="E8623" s="10" t="n">
        <v>0</v>
      </c>
      <c r="F8623" s="10" t="n">
        <v>0.4643487034436888</v>
      </c>
      <c r="G8623" s="11">
        <f>E8623*Summary!$B$6</f>
        <v/>
      </c>
      <c r="H8623" s="11">
        <f>F8623*Summary!$B$7</f>
        <v/>
      </c>
      <c r="I8623" s="11">
        <f>MAX(0,N8623-M8623)</f>
        <v/>
      </c>
      <c r="J8623" s="11">
        <f>MAX(0,M8623-N8623)</f>
        <v/>
      </c>
      <c r="K8623" s="11">
        <f>O8623</f>
        <v/>
      </c>
      <c r="L8623" s="11">
        <f>L8622+IF(K8623&gt;0,K8623*Summary!$B$9,K8623/Summary!$B$9)</f>
        <v/>
      </c>
      <c r="M8623" s="11">
        <f>G8623+H8623</f>
        <v/>
      </c>
      <c r="N8623" s="11">
        <f>Summary!$C$16*Summary!$B$8</f>
        <v/>
      </c>
      <c r="O8623" s="11">
        <f>M8623-N8623</f>
        <v/>
      </c>
    </row>
    <row r="8624">
      <c r="A8624" s="9" t="n">
        <v>45651.25</v>
      </c>
      <c r="B8624" t="n">
        <v>12</v>
      </c>
      <c r="C8624" t="n">
        <v>25</v>
      </c>
      <c r="D8624" t="n">
        <v>6</v>
      </c>
      <c r="E8624" s="10" t="n">
        <v>0</v>
      </c>
      <c r="F8624" s="10" t="n">
        <v>0.4725441774106026</v>
      </c>
      <c r="G8624" s="11">
        <f>E8624*Summary!$B$6</f>
        <v/>
      </c>
      <c r="H8624" s="11">
        <f>F8624*Summary!$B$7</f>
        <v/>
      </c>
      <c r="I8624" s="11">
        <f>MAX(0,N8624-M8624)</f>
        <v/>
      </c>
      <c r="J8624" s="11">
        <f>MAX(0,M8624-N8624)</f>
        <v/>
      </c>
      <c r="K8624" s="11">
        <f>O8624</f>
        <v/>
      </c>
      <c r="L8624" s="11">
        <f>L8623+IF(K8624&gt;0,K8624*Summary!$B$9,K8624/Summary!$B$9)</f>
        <v/>
      </c>
      <c r="M8624" s="11">
        <f>G8624+H8624</f>
        <v/>
      </c>
      <c r="N8624" s="11">
        <f>Summary!$C$16*Summary!$B$8</f>
        <v/>
      </c>
      <c r="O8624" s="11">
        <f>M8624-N8624</f>
        <v/>
      </c>
    </row>
    <row r="8625">
      <c r="A8625" s="9" t="n">
        <v>45651.29166666666</v>
      </c>
      <c r="B8625" t="n">
        <v>12</v>
      </c>
      <c r="C8625" t="n">
        <v>25</v>
      </c>
      <c r="D8625" t="n">
        <v>7</v>
      </c>
      <c r="E8625" s="10" t="n">
        <v>0</v>
      </c>
      <c r="F8625" s="10" t="n">
        <v>0.481925491662118</v>
      </c>
      <c r="G8625" s="11">
        <f>E8625*Summary!$B$6</f>
        <v/>
      </c>
      <c r="H8625" s="11">
        <f>F8625*Summary!$B$7</f>
        <v/>
      </c>
      <c r="I8625" s="11">
        <f>MAX(0,N8625-M8625)</f>
        <v/>
      </c>
      <c r="J8625" s="11">
        <f>MAX(0,M8625-N8625)</f>
        <v/>
      </c>
      <c r="K8625" s="11">
        <f>O8625</f>
        <v/>
      </c>
      <c r="L8625" s="11">
        <f>L8624+IF(K8625&gt;0,K8625*Summary!$B$9,K8625/Summary!$B$9)</f>
        <v/>
      </c>
      <c r="M8625" s="11">
        <f>G8625+H8625</f>
        <v/>
      </c>
      <c r="N8625" s="11">
        <f>Summary!$C$16*Summary!$B$8</f>
        <v/>
      </c>
      <c r="O8625" s="11">
        <f>M8625-N8625</f>
        <v/>
      </c>
    </row>
    <row r="8626">
      <c r="A8626" s="9" t="n">
        <v>45651.33333333334</v>
      </c>
      <c r="B8626" t="n">
        <v>12</v>
      </c>
      <c r="C8626" t="n">
        <v>25</v>
      </c>
      <c r="D8626" t="n">
        <v>8</v>
      </c>
      <c r="E8626" s="10" t="n">
        <v>0</v>
      </c>
      <c r="F8626" s="10" t="n">
        <v>0.4794220510612922</v>
      </c>
      <c r="G8626" s="11">
        <f>E8626*Summary!$B$6</f>
        <v/>
      </c>
      <c r="H8626" s="11">
        <f>F8626*Summary!$B$7</f>
        <v/>
      </c>
      <c r="I8626" s="11">
        <f>MAX(0,N8626-M8626)</f>
        <v/>
      </c>
      <c r="J8626" s="11">
        <f>MAX(0,M8626-N8626)</f>
        <v/>
      </c>
      <c r="K8626" s="11">
        <f>O8626</f>
        <v/>
      </c>
      <c r="L8626" s="11">
        <f>L8625+IF(K8626&gt;0,K8626*Summary!$B$9,K8626/Summary!$B$9)</f>
        <v/>
      </c>
      <c r="M8626" s="11">
        <f>G8626+H8626</f>
        <v/>
      </c>
      <c r="N8626" s="11">
        <f>Summary!$C$16*Summary!$B$8</f>
        <v/>
      </c>
      <c r="O8626" s="11">
        <f>M8626-N8626</f>
        <v/>
      </c>
    </row>
    <row r="8627">
      <c r="A8627" s="9" t="n">
        <v>45651.375</v>
      </c>
      <c r="B8627" t="n">
        <v>12</v>
      </c>
      <c r="C8627" t="n">
        <v>25</v>
      </c>
      <c r="D8627" t="n">
        <v>9</v>
      </c>
      <c r="E8627" s="10" t="n">
        <v>0</v>
      </c>
      <c r="F8627" s="10" t="n">
        <v>0.4831376839530441</v>
      </c>
      <c r="G8627" s="11">
        <f>E8627*Summary!$B$6</f>
        <v/>
      </c>
      <c r="H8627" s="11">
        <f>F8627*Summary!$B$7</f>
        <v/>
      </c>
      <c r="I8627" s="11">
        <f>MAX(0,N8627-M8627)</f>
        <v/>
      </c>
      <c r="J8627" s="11">
        <f>MAX(0,M8627-N8627)</f>
        <v/>
      </c>
      <c r="K8627" s="11">
        <f>O8627</f>
        <v/>
      </c>
      <c r="L8627" s="11">
        <f>L8626+IF(K8627&gt;0,K8627*Summary!$B$9,K8627/Summary!$B$9)</f>
        <v/>
      </c>
      <c r="M8627" s="11">
        <f>G8627+H8627</f>
        <v/>
      </c>
      <c r="N8627" s="11">
        <f>Summary!$C$16*Summary!$B$8</f>
        <v/>
      </c>
      <c r="O8627" s="11">
        <f>M8627-N8627</f>
        <v/>
      </c>
    </row>
    <row r="8628">
      <c r="A8628" s="9" t="n">
        <v>45651.41666666666</v>
      </c>
      <c r="B8628" t="n">
        <v>12</v>
      </c>
      <c r="C8628" t="n">
        <v>25</v>
      </c>
      <c r="D8628" t="n">
        <v>10</v>
      </c>
      <c r="E8628" s="10" t="n">
        <v>0.015459</v>
      </c>
      <c r="F8628" s="10" t="n">
        <v>0.4774983545996052</v>
      </c>
      <c r="G8628" s="11">
        <f>E8628*Summary!$B$6</f>
        <v/>
      </c>
      <c r="H8628" s="11">
        <f>F8628*Summary!$B$7</f>
        <v/>
      </c>
      <c r="I8628" s="11">
        <f>MAX(0,N8628-M8628)</f>
        <v/>
      </c>
      <c r="J8628" s="11">
        <f>MAX(0,M8628-N8628)</f>
        <v/>
      </c>
      <c r="K8628" s="11">
        <f>O8628</f>
        <v/>
      </c>
      <c r="L8628" s="11">
        <f>L8627+IF(K8628&gt;0,K8628*Summary!$B$9,K8628/Summary!$B$9)</f>
        <v/>
      </c>
      <c r="M8628" s="11">
        <f>G8628+H8628</f>
        <v/>
      </c>
      <c r="N8628" s="11">
        <f>Summary!$C$16*Summary!$B$8</f>
        <v/>
      </c>
      <c r="O8628" s="11">
        <f>M8628-N8628</f>
        <v/>
      </c>
    </row>
    <row r="8629">
      <c r="A8629" s="9" t="n">
        <v>45651.45833333334</v>
      </c>
      <c r="B8629" t="n">
        <v>12</v>
      </c>
      <c r="C8629" t="n">
        <v>25</v>
      </c>
      <c r="D8629" t="n">
        <v>11</v>
      </c>
      <c r="E8629" s="10" t="n">
        <v>0.06912</v>
      </c>
      <c r="F8629" s="10" t="n">
        <v>0.5232717895852295</v>
      </c>
      <c r="G8629" s="11">
        <f>E8629*Summary!$B$6</f>
        <v/>
      </c>
      <c r="H8629" s="11">
        <f>F8629*Summary!$B$7</f>
        <v/>
      </c>
      <c r="I8629" s="11">
        <f>MAX(0,N8629-M8629)</f>
        <v/>
      </c>
      <c r="J8629" s="11">
        <f>MAX(0,M8629-N8629)</f>
        <v/>
      </c>
      <c r="K8629" s="11">
        <f>O8629</f>
        <v/>
      </c>
      <c r="L8629" s="11">
        <f>L8628+IF(K8629&gt;0,K8629*Summary!$B$9,K8629/Summary!$B$9)</f>
        <v/>
      </c>
      <c r="M8629" s="11">
        <f>G8629+H8629</f>
        <v/>
      </c>
      <c r="N8629" s="11">
        <f>Summary!$C$16*Summary!$B$8</f>
        <v/>
      </c>
      <c r="O8629" s="11">
        <f>M8629-N8629</f>
        <v/>
      </c>
    </row>
    <row r="8630">
      <c r="A8630" s="9" t="n">
        <v>45651.5</v>
      </c>
      <c r="B8630" t="n">
        <v>12</v>
      </c>
      <c r="C8630" t="n">
        <v>25</v>
      </c>
      <c r="D8630" t="n">
        <v>12</v>
      </c>
      <c r="E8630" s="10" t="n">
        <v>0.03461</v>
      </c>
      <c r="F8630" s="10" t="n">
        <v>0.4716745612018947</v>
      </c>
      <c r="G8630" s="11">
        <f>E8630*Summary!$B$6</f>
        <v/>
      </c>
      <c r="H8630" s="11">
        <f>F8630*Summary!$B$7</f>
        <v/>
      </c>
      <c r="I8630" s="11">
        <f>MAX(0,N8630-M8630)</f>
        <v/>
      </c>
      <c r="J8630" s="11">
        <f>MAX(0,M8630-N8630)</f>
        <v/>
      </c>
      <c r="K8630" s="11">
        <f>O8630</f>
        <v/>
      </c>
      <c r="L8630" s="11">
        <f>L8629+IF(K8630&gt;0,K8630*Summary!$B$9,K8630/Summary!$B$9)</f>
        <v/>
      </c>
      <c r="M8630" s="11">
        <f>G8630+H8630</f>
        <v/>
      </c>
      <c r="N8630" s="11">
        <f>Summary!$C$16*Summary!$B$8</f>
        <v/>
      </c>
      <c r="O8630" s="11">
        <f>M8630-N8630</f>
        <v/>
      </c>
    </row>
    <row r="8631">
      <c r="A8631" s="9" t="n">
        <v>45651.54166666666</v>
      </c>
      <c r="B8631" t="n">
        <v>12</v>
      </c>
      <c r="C8631" t="n">
        <v>25</v>
      </c>
      <c r="D8631" t="n">
        <v>13</v>
      </c>
      <c r="E8631" s="10" t="n">
        <v>0.033568</v>
      </c>
      <c r="F8631" s="10" t="n">
        <v>0.4792375870170208</v>
      </c>
      <c r="G8631" s="11">
        <f>E8631*Summary!$B$6</f>
        <v/>
      </c>
      <c r="H8631" s="11">
        <f>F8631*Summary!$B$7</f>
        <v/>
      </c>
      <c r="I8631" s="11">
        <f>MAX(0,N8631-M8631)</f>
        <v/>
      </c>
      <c r="J8631" s="11">
        <f>MAX(0,M8631-N8631)</f>
        <v/>
      </c>
      <c r="K8631" s="11">
        <f>O8631</f>
        <v/>
      </c>
      <c r="L8631" s="11">
        <f>L8630+IF(K8631&gt;0,K8631*Summary!$B$9,K8631/Summary!$B$9)</f>
        <v/>
      </c>
      <c r="M8631" s="11">
        <f>G8631+H8631</f>
        <v/>
      </c>
      <c r="N8631" s="11">
        <f>Summary!$C$16*Summary!$B$8</f>
        <v/>
      </c>
      <c r="O8631" s="11">
        <f>M8631-N8631</f>
        <v/>
      </c>
    </row>
    <row r="8632">
      <c r="A8632" s="9" t="n">
        <v>45651.58333333334</v>
      </c>
      <c r="B8632" t="n">
        <v>12</v>
      </c>
      <c r="C8632" t="n">
        <v>25</v>
      </c>
      <c r="D8632" t="n">
        <v>14</v>
      </c>
      <c r="E8632" s="10" t="n">
        <v>0.013632</v>
      </c>
      <c r="F8632" s="10" t="n">
        <v>0.5377390410573698</v>
      </c>
      <c r="G8632" s="11">
        <f>E8632*Summary!$B$6</f>
        <v/>
      </c>
      <c r="H8632" s="11">
        <f>F8632*Summary!$B$7</f>
        <v/>
      </c>
      <c r="I8632" s="11">
        <f>MAX(0,N8632-M8632)</f>
        <v/>
      </c>
      <c r="J8632" s="11">
        <f>MAX(0,M8632-N8632)</f>
        <v/>
      </c>
      <c r="K8632" s="11">
        <f>O8632</f>
        <v/>
      </c>
      <c r="L8632" s="11">
        <f>L8631+IF(K8632&gt;0,K8632*Summary!$B$9,K8632/Summary!$B$9)</f>
        <v/>
      </c>
      <c r="M8632" s="11">
        <f>G8632+H8632</f>
        <v/>
      </c>
      <c r="N8632" s="11">
        <f>Summary!$C$16*Summary!$B$8</f>
        <v/>
      </c>
      <c r="O8632" s="11">
        <f>M8632-N8632</f>
        <v/>
      </c>
    </row>
    <row r="8633">
      <c r="A8633" s="9" t="n">
        <v>45651.625</v>
      </c>
      <c r="B8633" t="n">
        <v>12</v>
      </c>
      <c r="C8633" t="n">
        <v>25</v>
      </c>
      <c r="D8633" t="n">
        <v>15</v>
      </c>
      <c r="E8633" s="10" t="n">
        <v>0</v>
      </c>
      <c r="F8633" s="10" t="n">
        <v>0.4938893025334326</v>
      </c>
      <c r="G8633" s="11">
        <f>E8633*Summary!$B$6</f>
        <v/>
      </c>
      <c r="H8633" s="11">
        <f>F8633*Summary!$B$7</f>
        <v/>
      </c>
      <c r="I8633" s="11">
        <f>MAX(0,N8633-M8633)</f>
        <v/>
      </c>
      <c r="J8633" s="11">
        <f>MAX(0,M8633-N8633)</f>
        <v/>
      </c>
      <c r="K8633" s="11">
        <f>O8633</f>
        <v/>
      </c>
      <c r="L8633" s="11">
        <f>L8632+IF(K8633&gt;0,K8633*Summary!$B$9,K8633/Summary!$B$9)</f>
        <v/>
      </c>
      <c r="M8633" s="11">
        <f>G8633+H8633</f>
        <v/>
      </c>
      <c r="N8633" s="11">
        <f>Summary!$C$16*Summary!$B$8</f>
        <v/>
      </c>
      <c r="O8633" s="11">
        <f>M8633-N8633</f>
        <v/>
      </c>
    </row>
    <row r="8634">
      <c r="A8634" s="9" t="n">
        <v>45651.66666666666</v>
      </c>
      <c r="B8634" t="n">
        <v>12</v>
      </c>
      <c r="C8634" t="n">
        <v>25</v>
      </c>
      <c r="D8634" t="n">
        <v>16</v>
      </c>
      <c r="E8634" s="10" t="n">
        <v>0</v>
      </c>
      <c r="F8634" s="10" t="n">
        <v>0.4990806477793555</v>
      </c>
      <c r="G8634" s="11">
        <f>E8634*Summary!$B$6</f>
        <v/>
      </c>
      <c r="H8634" s="11">
        <f>F8634*Summary!$B$7</f>
        <v/>
      </c>
      <c r="I8634" s="11">
        <f>MAX(0,N8634-M8634)</f>
        <v/>
      </c>
      <c r="J8634" s="11">
        <f>MAX(0,M8634-N8634)</f>
        <v/>
      </c>
      <c r="K8634" s="11">
        <f>O8634</f>
        <v/>
      </c>
      <c r="L8634" s="11">
        <f>L8633+IF(K8634&gt;0,K8634*Summary!$B$9,K8634/Summary!$B$9)</f>
        <v/>
      </c>
      <c r="M8634" s="11">
        <f>G8634+H8634</f>
        <v/>
      </c>
      <c r="N8634" s="11">
        <f>Summary!$C$16*Summary!$B$8</f>
        <v/>
      </c>
      <c r="O8634" s="11">
        <f>M8634-N8634</f>
        <v/>
      </c>
    </row>
    <row r="8635">
      <c r="A8635" s="9" t="n">
        <v>45651.70833333334</v>
      </c>
      <c r="B8635" t="n">
        <v>12</v>
      </c>
      <c r="C8635" t="n">
        <v>25</v>
      </c>
      <c r="D8635" t="n">
        <v>17</v>
      </c>
      <c r="E8635" s="10" t="n">
        <v>0</v>
      </c>
      <c r="F8635" s="10" t="n">
        <v>0.5027962806711074</v>
      </c>
      <c r="G8635" s="11">
        <f>E8635*Summary!$B$6</f>
        <v/>
      </c>
      <c r="H8635" s="11">
        <f>F8635*Summary!$B$7</f>
        <v/>
      </c>
      <c r="I8635" s="11">
        <f>MAX(0,N8635-M8635)</f>
        <v/>
      </c>
      <c r="J8635" s="11">
        <f>MAX(0,M8635-N8635)</f>
        <v/>
      </c>
      <c r="K8635" s="11">
        <f>O8635</f>
        <v/>
      </c>
      <c r="L8635" s="11">
        <f>L8634+IF(K8635&gt;0,K8635*Summary!$B$9,K8635/Summary!$B$9)</f>
        <v/>
      </c>
      <c r="M8635" s="11">
        <f>G8635+H8635</f>
        <v/>
      </c>
      <c r="N8635" s="11">
        <f>Summary!$C$16*Summary!$B$8</f>
        <v/>
      </c>
      <c r="O8635" s="11">
        <f>M8635-N8635</f>
        <v/>
      </c>
    </row>
    <row r="8636">
      <c r="A8636" s="9" t="n">
        <v>45651.75</v>
      </c>
      <c r="B8636" t="n">
        <v>12</v>
      </c>
      <c r="C8636" t="n">
        <v>25</v>
      </c>
      <c r="D8636" t="n">
        <v>18</v>
      </c>
      <c r="E8636" s="10" t="n">
        <v>0</v>
      </c>
      <c r="F8636" s="10" t="n">
        <v>0.5085410180498443</v>
      </c>
      <c r="G8636" s="11">
        <f>E8636*Summary!$B$6</f>
        <v/>
      </c>
      <c r="H8636" s="11">
        <f>F8636*Summary!$B$7</f>
        <v/>
      </c>
      <c r="I8636" s="11">
        <f>MAX(0,N8636-M8636)</f>
        <v/>
      </c>
      <c r="J8636" s="11">
        <f>MAX(0,M8636-N8636)</f>
        <v/>
      </c>
      <c r="K8636" s="11">
        <f>O8636</f>
        <v/>
      </c>
      <c r="L8636" s="11">
        <f>L8635+IF(K8636&gt;0,K8636*Summary!$B$9,K8636/Summary!$B$9)</f>
        <v/>
      </c>
      <c r="M8636" s="11">
        <f>G8636+H8636</f>
        <v/>
      </c>
      <c r="N8636" s="11">
        <f>Summary!$C$16*Summary!$B$8</f>
        <v/>
      </c>
      <c r="O8636" s="11">
        <f>M8636-N8636</f>
        <v/>
      </c>
    </row>
    <row r="8637">
      <c r="A8637" s="9" t="n">
        <v>45651.79166666666</v>
      </c>
      <c r="B8637" t="n">
        <v>12</v>
      </c>
      <c r="C8637" t="n">
        <v>25</v>
      </c>
      <c r="D8637" t="n">
        <v>19</v>
      </c>
      <c r="E8637" s="10" t="n">
        <v>0</v>
      </c>
      <c r="F8637" s="10" t="n">
        <v>0.5057213533731247</v>
      </c>
      <c r="G8637" s="11">
        <f>E8637*Summary!$B$6</f>
        <v/>
      </c>
      <c r="H8637" s="11">
        <f>F8637*Summary!$B$7</f>
        <v/>
      </c>
      <c r="I8637" s="11">
        <f>MAX(0,N8637-M8637)</f>
        <v/>
      </c>
      <c r="J8637" s="11">
        <f>MAX(0,M8637-N8637)</f>
        <v/>
      </c>
      <c r="K8637" s="11">
        <f>O8637</f>
        <v/>
      </c>
      <c r="L8637" s="11">
        <f>L8636+IF(K8637&gt;0,K8637*Summary!$B$9,K8637/Summary!$B$9)</f>
        <v/>
      </c>
      <c r="M8637" s="11">
        <f>G8637+H8637</f>
        <v/>
      </c>
      <c r="N8637" s="11">
        <f>Summary!$C$16*Summary!$B$8</f>
        <v/>
      </c>
      <c r="O8637" s="11">
        <f>M8637-N8637</f>
        <v/>
      </c>
    </row>
    <row r="8638">
      <c r="A8638" s="9" t="n">
        <v>45651.83333333334</v>
      </c>
      <c r="B8638" t="n">
        <v>12</v>
      </c>
      <c r="C8638" t="n">
        <v>25</v>
      </c>
      <c r="D8638" t="n">
        <v>20</v>
      </c>
      <c r="E8638" s="10" t="n">
        <v>0</v>
      </c>
      <c r="F8638" s="10" t="n">
        <v>0.499765799943792</v>
      </c>
      <c r="G8638" s="11">
        <f>E8638*Summary!$B$6</f>
        <v/>
      </c>
      <c r="H8638" s="11">
        <f>F8638*Summary!$B$7</f>
        <v/>
      </c>
      <c r="I8638" s="11">
        <f>MAX(0,N8638-M8638)</f>
        <v/>
      </c>
      <c r="J8638" s="11">
        <f>MAX(0,M8638-N8638)</f>
        <v/>
      </c>
      <c r="K8638" s="11">
        <f>O8638</f>
        <v/>
      </c>
      <c r="L8638" s="11">
        <f>L8637+IF(K8638&gt;0,K8638*Summary!$B$9,K8638/Summary!$B$9)</f>
        <v/>
      </c>
      <c r="M8638" s="11">
        <f>G8638+H8638</f>
        <v/>
      </c>
      <c r="N8638" s="11">
        <f>Summary!$C$16*Summary!$B$8</f>
        <v/>
      </c>
      <c r="O8638" s="11">
        <f>M8638-N8638</f>
        <v/>
      </c>
    </row>
    <row r="8639">
      <c r="A8639" s="9" t="n">
        <v>45651.875</v>
      </c>
      <c r="B8639" t="n">
        <v>12</v>
      </c>
      <c r="C8639" t="n">
        <v>25</v>
      </c>
      <c r="D8639" t="n">
        <v>21</v>
      </c>
      <c r="E8639" s="10" t="n">
        <v>0</v>
      </c>
      <c r="F8639" s="10" t="n">
        <v>0.4899628535910849</v>
      </c>
      <c r="G8639" s="11">
        <f>E8639*Summary!$B$6</f>
        <v/>
      </c>
      <c r="H8639" s="11">
        <f>F8639*Summary!$B$7</f>
        <v/>
      </c>
      <c r="I8639" s="11">
        <f>MAX(0,N8639-M8639)</f>
        <v/>
      </c>
      <c r="J8639" s="11">
        <f>MAX(0,M8639-N8639)</f>
        <v/>
      </c>
      <c r="K8639" s="11">
        <f>O8639</f>
        <v/>
      </c>
      <c r="L8639" s="11">
        <f>L8638+IF(K8639&gt;0,K8639*Summary!$B$9,K8639/Summary!$B$9)</f>
        <v/>
      </c>
      <c r="M8639" s="11">
        <f>G8639+H8639</f>
        <v/>
      </c>
      <c r="N8639" s="11">
        <f>Summary!$C$16*Summary!$B$8</f>
        <v/>
      </c>
      <c r="O8639" s="11">
        <f>M8639-N8639</f>
        <v/>
      </c>
    </row>
    <row r="8640">
      <c r="A8640" s="9" t="n">
        <v>45651.91666666666</v>
      </c>
      <c r="B8640" t="n">
        <v>12</v>
      </c>
      <c r="C8640" t="n">
        <v>25</v>
      </c>
      <c r="D8640" t="n">
        <v>22</v>
      </c>
      <c r="E8640" s="10" t="n">
        <v>0</v>
      </c>
      <c r="F8640" s="10" t="n">
        <v>0.4775510586122541</v>
      </c>
      <c r="G8640" s="11">
        <f>E8640*Summary!$B$6</f>
        <v/>
      </c>
      <c r="H8640" s="11">
        <f>F8640*Summary!$B$7</f>
        <v/>
      </c>
      <c r="I8640" s="11">
        <f>MAX(0,N8640-M8640)</f>
        <v/>
      </c>
      <c r="J8640" s="11">
        <f>MAX(0,M8640-N8640)</f>
        <v/>
      </c>
      <c r="K8640" s="11">
        <f>O8640</f>
        <v/>
      </c>
      <c r="L8640" s="11">
        <f>L8639+IF(K8640&gt;0,K8640*Summary!$B$9,K8640/Summary!$B$9)</f>
        <v/>
      </c>
      <c r="M8640" s="11">
        <f>G8640+H8640</f>
        <v/>
      </c>
      <c r="N8640" s="11">
        <f>Summary!$C$16*Summary!$B$8</f>
        <v/>
      </c>
      <c r="O8640" s="11">
        <f>M8640-N8640</f>
        <v/>
      </c>
    </row>
    <row r="8641">
      <c r="A8641" s="9" t="n">
        <v>45651.95833333334</v>
      </c>
      <c r="B8641" t="n">
        <v>12</v>
      </c>
      <c r="C8641" t="n">
        <v>25</v>
      </c>
      <c r="D8641" t="n">
        <v>23</v>
      </c>
      <c r="E8641" s="10" t="n">
        <v>0</v>
      </c>
      <c r="F8641" s="10" t="n">
        <v>0.468406912417659</v>
      </c>
      <c r="G8641" s="11">
        <f>E8641*Summary!$B$6</f>
        <v/>
      </c>
      <c r="H8641" s="11">
        <f>F8641*Summary!$B$7</f>
        <v/>
      </c>
      <c r="I8641" s="11">
        <f>MAX(0,N8641-M8641)</f>
        <v/>
      </c>
      <c r="J8641" s="11">
        <f>MAX(0,M8641-N8641)</f>
        <v/>
      </c>
      <c r="K8641" s="11">
        <f>O8641</f>
        <v/>
      </c>
      <c r="L8641" s="11">
        <f>L8640+IF(K8641&gt;0,K8641*Summary!$B$9,K8641/Summary!$B$9)</f>
        <v/>
      </c>
      <c r="M8641" s="11">
        <f>G8641+H8641</f>
        <v/>
      </c>
      <c r="N8641" s="11">
        <f>Summary!$C$16*Summary!$B$8</f>
        <v/>
      </c>
      <c r="O8641" s="11">
        <f>M8641-N8641</f>
        <v/>
      </c>
    </row>
    <row r="8642">
      <c r="A8642" s="9" t="n">
        <v>45652</v>
      </c>
      <c r="B8642" t="n">
        <v>12</v>
      </c>
      <c r="C8642" t="n">
        <v>26</v>
      </c>
      <c r="D8642" t="n">
        <v>0</v>
      </c>
      <c r="E8642" s="10" t="n">
        <v>0</v>
      </c>
      <c r="F8642" s="10" t="n">
        <v>0.4759699382327852</v>
      </c>
      <c r="G8642" s="11">
        <f>E8642*Summary!$B$6</f>
        <v/>
      </c>
      <c r="H8642" s="11">
        <f>F8642*Summary!$B$7</f>
        <v/>
      </c>
      <c r="I8642" s="11">
        <f>MAX(0,N8642-M8642)</f>
        <v/>
      </c>
      <c r="J8642" s="11">
        <f>MAX(0,M8642-N8642)</f>
        <v/>
      </c>
      <c r="K8642" s="11">
        <f>O8642</f>
        <v/>
      </c>
      <c r="L8642" s="11">
        <f>L8641+IF(K8642&gt;0,K8642*Summary!$B$9,K8642/Summary!$B$9)</f>
        <v/>
      </c>
      <c r="M8642" s="11">
        <f>G8642+H8642</f>
        <v/>
      </c>
      <c r="N8642" s="11">
        <f>Summary!$C$16*Summary!$B$8</f>
        <v/>
      </c>
      <c r="O8642" s="11">
        <f>M8642-N8642</f>
        <v/>
      </c>
    </row>
    <row r="8643">
      <c r="A8643" s="9" t="n">
        <v>45652.04166666666</v>
      </c>
      <c r="B8643" t="n">
        <v>12</v>
      </c>
      <c r="C8643" t="n">
        <v>26</v>
      </c>
      <c r="D8643" t="n">
        <v>1</v>
      </c>
      <c r="E8643" s="10" t="n">
        <v>0</v>
      </c>
      <c r="F8643" s="10" t="n">
        <v>0.456311341514722</v>
      </c>
      <c r="G8643" s="11">
        <f>E8643*Summary!$B$6</f>
        <v/>
      </c>
      <c r="H8643" s="11">
        <f>F8643*Summary!$B$7</f>
        <v/>
      </c>
      <c r="I8643" s="11">
        <f>MAX(0,N8643-M8643)</f>
        <v/>
      </c>
      <c r="J8643" s="11">
        <f>MAX(0,M8643-N8643)</f>
        <v/>
      </c>
      <c r="K8643" s="11">
        <f>O8643</f>
        <v/>
      </c>
      <c r="L8643" s="11">
        <f>L8642+IF(K8643&gt;0,K8643*Summary!$B$9,K8643/Summary!$B$9)</f>
        <v/>
      </c>
      <c r="M8643" s="11">
        <f>G8643+H8643</f>
        <v/>
      </c>
      <c r="N8643" s="11">
        <f>Summary!$C$16*Summary!$B$8</f>
        <v/>
      </c>
      <c r="O8643" s="11">
        <f>M8643-N8643</f>
        <v/>
      </c>
    </row>
    <row r="8644">
      <c r="A8644" s="9" t="n">
        <v>45652.08333333334</v>
      </c>
      <c r="B8644" t="n">
        <v>12</v>
      </c>
      <c r="C8644" t="n">
        <v>26</v>
      </c>
      <c r="D8644" t="n">
        <v>2</v>
      </c>
      <c r="E8644" s="10" t="n">
        <v>0</v>
      </c>
      <c r="F8644" s="10" t="n">
        <v>0.4432143943714547</v>
      </c>
      <c r="G8644" s="11">
        <f>E8644*Summary!$B$6</f>
        <v/>
      </c>
      <c r="H8644" s="11">
        <f>F8644*Summary!$B$7</f>
        <v/>
      </c>
      <c r="I8644" s="11">
        <f>MAX(0,N8644-M8644)</f>
        <v/>
      </c>
      <c r="J8644" s="11">
        <f>MAX(0,M8644-N8644)</f>
        <v/>
      </c>
      <c r="K8644" s="11">
        <f>O8644</f>
        <v/>
      </c>
      <c r="L8644" s="11">
        <f>L8643+IF(K8644&gt;0,K8644*Summary!$B$9,K8644/Summary!$B$9)</f>
        <v/>
      </c>
      <c r="M8644" s="11">
        <f>G8644+H8644</f>
        <v/>
      </c>
      <c r="N8644" s="11">
        <f>Summary!$C$16*Summary!$B$8</f>
        <v/>
      </c>
      <c r="O8644" s="11">
        <f>M8644-N8644</f>
        <v/>
      </c>
    </row>
    <row r="8645">
      <c r="A8645" s="9" t="n">
        <v>45652.125</v>
      </c>
      <c r="B8645" t="n">
        <v>12</v>
      </c>
      <c r="C8645" t="n">
        <v>26</v>
      </c>
      <c r="D8645" t="n">
        <v>3</v>
      </c>
      <c r="E8645" s="10" t="n">
        <v>0</v>
      </c>
      <c r="F8645" s="10" t="n">
        <v>0.43201479168355</v>
      </c>
      <c r="G8645" s="11">
        <f>E8645*Summary!$B$6</f>
        <v/>
      </c>
      <c r="H8645" s="11">
        <f>F8645*Summary!$B$7</f>
        <v/>
      </c>
      <c r="I8645" s="11">
        <f>MAX(0,N8645-M8645)</f>
        <v/>
      </c>
      <c r="J8645" s="11">
        <f>MAX(0,M8645-N8645)</f>
        <v/>
      </c>
      <c r="K8645" s="11">
        <f>O8645</f>
        <v/>
      </c>
      <c r="L8645" s="11">
        <f>L8644+IF(K8645&gt;0,K8645*Summary!$B$9,K8645/Summary!$B$9)</f>
        <v/>
      </c>
      <c r="M8645" s="11">
        <f>G8645+H8645</f>
        <v/>
      </c>
      <c r="N8645" s="11">
        <f>Summary!$C$16*Summary!$B$8</f>
        <v/>
      </c>
      <c r="O8645" s="11">
        <f>M8645-N8645</f>
        <v/>
      </c>
    </row>
    <row r="8646">
      <c r="A8646" s="9" t="n">
        <v>45652.16666666666</v>
      </c>
      <c r="B8646" t="n">
        <v>12</v>
      </c>
      <c r="C8646" t="n">
        <v>26</v>
      </c>
      <c r="D8646" t="n">
        <v>4</v>
      </c>
      <c r="E8646" s="10" t="n">
        <v>0</v>
      </c>
      <c r="F8646" s="10" t="n">
        <v>0.410564258535422</v>
      </c>
      <c r="G8646" s="11">
        <f>E8646*Summary!$B$6</f>
        <v/>
      </c>
      <c r="H8646" s="11">
        <f>F8646*Summary!$B$7</f>
        <v/>
      </c>
      <c r="I8646" s="11">
        <f>MAX(0,N8646-M8646)</f>
        <v/>
      </c>
      <c r="J8646" s="11">
        <f>MAX(0,M8646-N8646)</f>
        <v/>
      </c>
      <c r="K8646" s="11">
        <f>O8646</f>
        <v/>
      </c>
      <c r="L8646" s="11">
        <f>L8645+IF(K8646&gt;0,K8646*Summary!$B$9,K8646/Summary!$B$9)</f>
        <v/>
      </c>
      <c r="M8646" s="11">
        <f>G8646+H8646</f>
        <v/>
      </c>
      <c r="N8646" s="11">
        <f>Summary!$C$16*Summary!$B$8</f>
        <v/>
      </c>
      <c r="O8646" s="11">
        <f>M8646-N8646</f>
        <v/>
      </c>
    </row>
    <row r="8647">
      <c r="A8647" s="9" t="n">
        <v>45652.20833333334</v>
      </c>
      <c r="B8647" t="n">
        <v>12</v>
      </c>
      <c r="C8647" t="n">
        <v>26</v>
      </c>
      <c r="D8647" t="n">
        <v>5</v>
      </c>
      <c r="E8647" s="10" t="n">
        <v>0</v>
      </c>
      <c r="F8647" s="10" t="n">
        <v>0.3982051675692402</v>
      </c>
      <c r="G8647" s="11">
        <f>E8647*Summary!$B$6</f>
        <v/>
      </c>
      <c r="H8647" s="11">
        <f>F8647*Summary!$B$7</f>
        <v/>
      </c>
      <c r="I8647" s="11">
        <f>MAX(0,N8647-M8647)</f>
        <v/>
      </c>
      <c r="J8647" s="11">
        <f>MAX(0,M8647-N8647)</f>
        <v/>
      </c>
      <c r="K8647" s="11">
        <f>O8647</f>
        <v/>
      </c>
      <c r="L8647" s="11">
        <f>L8646+IF(K8647&gt;0,K8647*Summary!$B$9,K8647/Summary!$B$9)</f>
        <v/>
      </c>
      <c r="M8647" s="11">
        <f>G8647+H8647</f>
        <v/>
      </c>
      <c r="N8647" s="11">
        <f>Summary!$C$16*Summary!$B$8</f>
        <v/>
      </c>
      <c r="O8647" s="11">
        <f>M8647-N8647</f>
        <v/>
      </c>
    </row>
    <row r="8648">
      <c r="A8648" s="9" t="n">
        <v>45652.25</v>
      </c>
      <c r="B8648" t="n">
        <v>12</v>
      </c>
      <c r="C8648" t="n">
        <v>26</v>
      </c>
      <c r="D8648" t="n">
        <v>6</v>
      </c>
      <c r="E8648" s="10" t="n">
        <v>0</v>
      </c>
      <c r="F8648" s="10" t="n">
        <v>0.3868738048497132</v>
      </c>
      <c r="G8648" s="11">
        <f>E8648*Summary!$B$6</f>
        <v/>
      </c>
      <c r="H8648" s="11">
        <f>F8648*Summary!$B$7</f>
        <v/>
      </c>
      <c r="I8648" s="11">
        <f>MAX(0,N8648-M8648)</f>
        <v/>
      </c>
      <c r="J8648" s="11">
        <f>MAX(0,M8648-N8648)</f>
        <v/>
      </c>
      <c r="K8648" s="11">
        <f>O8648</f>
        <v/>
      </c>
      <c r="L8648" s="11">
        <f>L8647+IF(K8648&gt;0,K8648*Summary!$B$9,K8648/Summary!$B$9)</f>
        <v/>
      </c>
      <c r="M8648" s="11">
        <f>G8648+H8648</f>
        <v/>
      </c>
      <c r="N8648" s="11">
        <f>Summary!$C$16*Summary!$B$8</f>
        <v/>
      </c>
      <c r="O8648" s="11">
        <f>M8648-N8648</f>
        <v/>
      </c>
    </row>
    <row r="8649">
      <c r="A8649" s="9" t="n">
        <v>45652.29166666666</v>
      </c>
      <c r="B8649" t="n">
        <v>12</v>
      </c>
      <c r="C8649" t="n">
        <v>26</v>
      </c>
      <c r="D8649" t="n">
        <v>7</v>
      </c>
      <c r="E8649" s="10" t="n">
        <v>0</v>
      </c>
      <c r="F8649" s="10" t="n">
        <v>0.3808918994140558</v>
      </c>
      <c r="G8649" s="11">
        <f>E8649*Summary!$B$6</f>
        <v/>
      </c>
      <c r="H8649" s="11">
        <f>F8649*Summary!$B$7</f>
        <v/>
      </c>
      <c r="I8649" s="11">
        <f>MAX(0,N8649-M8649)</f>
        <v/>
      </c>
      <c r="J8649" s="11">
        <f>MAX(0,M8649-N8649)</f>
        <v/>
      </c>
      <c r="K8649" s="11">
        <f>O8649</f>
        <v/>
      </c>
      <c r="L8649" s="11">
        <f>L8648+IF(K8649&gt;0,K8649*Summary!$B$9,K8649/Summary!$B$9)</f>
        <v/>
      </c>
      <c r="M8649" s="11">
        <f>G8649+H8649</f>
        <v/>
      </c>
      <c r="N8649" s="11">
        <f>Summary!$C$16*Summary!$B$8</f>
        <v/>
      </c>
      <c r="O8649" s="11">
        <f>M8649-N8649</f>
        <v/>
      </c>
    </row>
    <row r="8650">
      <c r="A8650" s="9" t="n">
        <v>45652.33333333334</v>
      </c>
      <c r="B8650" t="n">
        <v>12</v>
      </c>
      <c r="C8650" t="n">
        <v>26</v>
      </c>
      <c r="D8650" t="n">
        <v>8</v>
      </c>
      <c r="E8650" s="10" t="n">
        <v>0</v>
      </c>
      <c r="F8650" s="10" t="n">
        <v>0.3745410658898558</v>
      </c>
      <c r="G8650" s="11">
        <f>E8650*Summary!$B$6</f>
        <v/>
      </c>
      <c r="H8650" s="11">
        <f>F8650*Summary!$B$7</f>
        <v/>
      </c>
      <c r="I8650" s="11">
        <f>MAX(0,N8650-M8650)</f>
        <v/>
      </c>
      <c r="J8650" s="11">
        <f>MAX(0,M8650-N8650)</f>
        <v/>
      </c>
      <c r="K8650" s="11">
        <f>O8650</f>
        <v/>
      </c>
      <c r="L8650" s="11">
        <f>L8649+IF(K8650&gt;0,K8650*Summary!$B$9,K8650/Summary!$B$9)</f>
        <v/>
      </c>
      <c r="M8650" s="11">
        <f>G8650+H8650</f>
        <v/>
      </c>
      <c r="N8650" s="11">
        <f>Summary!$C$16*Summary!$B$8</f>
        <v/>
      </c>
      <c r="O8650" s="11">
        <f>M8650-N8650</f>
        <v/>
      </c>
    </row>
    <row r="8651">
      <c r="A8651" s="9" t="n">
        <v>45652.375</v>
      </c>
      <c r="B8651" t="n">
        <v>12</v>
      </c>
      <c r="C8651" t="n">
        <v>26</v>
      </c>
      <c r="D8651" t="n">
        <v>9</v>
      </c>
      <c r="E8651" s="10" t="n">
        <v>0</v>
      </c>
      <c r="F8651" s="10" t="n">
        <v>0.3759113702187288</v>
      </c>
      <c r="G8651" s="11">
        <f>E8651*Summary!$B$6</f>
        <v/>
      </c>
      <c r="H8651" s="11">
        <f>F8651*Summary!$B$7</f>
        <v/>
      </c>
      <c r="I8651" s="11">
        <f>MAX(0,N8651-M8651)</f>
        <v/>
      </c>
      <c r="J8651" s="11">
        <f>MAX(0,M8651-N8651)</f>
        <v/>
      </c>
      <c r="K8651" s="11">
        <f>O8651</f>
        <v/>
      </c>
      <c r="L8651" s="11">
        <f>L8650+IF(K8651&gt;0,K8651*Summary!$B$9,K8651/Summary!$B$9)</f>
        <v/>
      </c>
      <c r="M8651" s="11">
        <f>G8651+H8651</f>
        <v/>
      </c>
      <c r="N8651" s="11">
        <f>Summary!$C$16*Summary!$B$8</f>
        <v/>
      </c>
      <c r="O8651" s="11">
        <f>M8651-N8651</f>
        <v/>
      </c>
    </row>
    <row r="8652">
      <c r="A8652" s="9" t="n">
        <v>45652.41666666666</v>
      </c>
      <c r="B8652" t="n">
        <v>12</v>
      </c>
      <c r="C8652" t="n">
        <v>26</v>
      </c>
      <c r="D8652" t="n">
        <v>10</v>
      </c>
      <c r="E8652" s="10" t="n">
        <v>0.006932</v>
      </c>
      <c r="F8652" s="10" t="n">
        <v>0.3729862975167114</v>
      </c>
      <c r="G8652" s="11">
        <f>E8652*Summary!$B$6</f>
        <v/>
      </c>
      <c r="H8652" s="11">
        <f>F8652*Summary!$B$7</f>
        <v/>
      </c>
      <c r="I8652" s="11">
        <f>MAX(0,N8652-M8652)</f>
        <v/>
      </c>
      <c r="J8652" s="11">
        <f>MAX(0,M8652-N8652)</f>
        <v/>
      </c>
      <c r="K8652" s="11">
        <f>O8652</f>
        <v/>
      </c>
      <c r="L8652" s="11">
        <f>L8651+IF(K8652&gt;0,K8652*Summary!$B$9,K8652/Summary!$B$9)</f>
        <v/>
      </c>
      <c r="M8652" s="11">
        <f>G8652+H8652</f>
        <v/>
      </c>
      <c r="N8652" s="11">
        <f>Summary!$C$16*Summary!$B$8</f>
        <v/>
      </c>
      <c r="O8652" s="11">
        <f>M8652-N8652</f>
        <v/>
      </c>
    </row>
    <row r="8653">
      <c r="A8653" s="9" t="n">
        <v>45652.45833333334</v>
      </c>
      <c r="B8653" t="n">
        <v>12</v>
      </c>
      <c r="C8653" t="n">
        <v>26</v>
      </c>
      <c r="D8653" t="n">
        <v>11</v>
      </c>
      <c r="E8653" s="10" t="n">
        <v>0.034746</v>
      </c>
      <c r="F8653" s="10" t="n">
        <v>0.3670834481000275</v>
      </c>
      <c r="G8653" s="11">
        <f>E8653*Summary!$B$6</f>
        <v/>
      </c>
      <c r="H8653" s="11">
        <f>F8653*Summary!$B$7</f>
        <v/>
      </c>
      <c r="I8653" s="11">
        <f>MAX(0,N8653-M8653)</f>
        <v/>
      </c>
      <c r="J8653" s="11">
        <f>MAX(0,M8653-N8653)</f>
        <v/>
      </c>
      <c r="K8653" s="11">
        <f>O8653</f>
        <v/>
      </c>
      <c r="L8653" s="11">
        <f>L8652+IF(K8653&gt;0,K8653*Summary!$B$9,K8653/Summary!$B$9)</f>
        <v/>
      </c>
      <c r="M8653" s="11">
        <f>G8653+H8653</f>
        <v/>
      </c>
      <c r="N8653" s="11">
        <f>Summary!$C$16*Summary!$B$8</f>
        <v/>
      </c>
      <c r="O8653" s="11">
        <f>M8653-N8653</f>
        <v/>
      </c>
    </row>
    <row r="8654">
      <c r="A8654" s="9" t="n">
        <v>45652.5</v>
      </c>
      <c r="B8654" t="n">
        <v>12</v>
      </c>
      <c r="C8654" t="n">
        <v>26</v>
      </c>
      <c r="D8654" t="n">
        <v>12</v>
      </c>
      <c r="E8654" s="10" t="n">
        <v>0.043151</v>
      </c>
      <c r="F8654" s="10" t="n">
        <v>0.3947794067470576</v>
      </c>
      <c r="G8654" s="11">
        <f>E8654*Summary!$B$6</f>
        <v/>
      </c>
      <c r="H8654" s="11">
        <f>F8654*Summary!$B$7</f>
        <v/>
      </c>
      <c r="I8654" s="11">
        <f>MAX(0,N8654-M8654)</f>
        <v/>
      </c>
      <c r="J8654" s="11">
        <f>MAX(0,M8654-N8654)</f>
        <v/>
      </c>
      <c r="K8654" s="11">
        <f>O8654</f>
        <v/>
      </c>
      <c r="L8654" s="11">
        <f>L8653+IF(K8654&gt;0,K8654*Summary!$B$9,K8654/Summary!$B$9)</f>
        <v/>
      </c>
      <c r="M8654" s="11">
        <f>G8654+H8654</f>
        <v/>
      </c>
      <c r="N8654" s="11">
        <f>Summary!$C$16*Summary!$B$8</f>
        <v/>
      </c>
      <c r="O8654" s="11">
        <f>M8654-N8654</f>
        <v/>
      </c>
    </row>
    <row r="8655">
      <c r="A8655" s="9" t="n">
        <v>45652.54166666666</v>
      </c>
      <c r="B8655" t="n">
        <v>12</v>
      </c>
      <c r="C8655" t="n">
        <v>26</v>
      </c>
      <c r="D8655" t="n">
        <v>13</v>
      </c>
      <c r="E8655" s="10" t="n">
        <v>0.056646</v>
      </c>
      <c r="F8655" s="10" t="n">
        <v>0.3626036070248657</v>
      </c>
      <c r="G8655" s="11">
        <f>E8655*Summary!$B$6</f>
        <v/>
      </c>
      <c r="H8655" s="11">
        <f>F8655*Summary!$B$7</f>
        <v/>
      </c>
      <c r="I8655" s="11">
        <f>MAX(0,N8655-M8655)</f>
        <v/>
      </c>
      <c r="J8655" s="11">
        <f>MAX(0,M8655-N8655)</f>
        <v/>
      </c>
      <c r="K8655" s="11">
        <f>O8655</f>
        <v/>
      </c>
      <c r="L8655" s="11">
        <f>L8654+IF(K8655&gt;0,K8655*Summary!$B$9,K8655/Summary!$B$9)</f>
        <v/>
      </c>
      <c r="M8655" s="11">
        <f>G8655+H8655</f>
        <v/>
      </c>
      <c r="N8655" s="11">
        <f>Summary!$C$16*Summary!$B$8</f>
        <v/>
      </c>
      <c r="O8655" s="11">
        <f>M8655-N8655</f>
        <v/>
      </c>
    </row>
    <row r="8656">
      <c r="A8656" s="9" t="n">
        <v>45652.58333333334</v>
      </c>
      <c r="B8656" t="n">
        <v>12</v>
      </c>
      <c r="C8656" t="n">
        <v>26</v>
      </c>
      <c r="D8656" t="n">
        <v>14</v>
      </c>
      <c r="E8656" s="10" t="n">
        <v>0.019585</v>
      </c>
      <c r="F8656" s="10" t="n">
        <v>0.3690862005806881</v>
      </c>
      <c r="G8656" s="11">
        <f>E8656*Summary!$B$6</f>
        <v/>
      </c>
      <c r="H8656" s="11">
        <f>F8656*Summary!$B$7</f>
        <v/>
      </c>
      <c r="I8656" s="11">
        <f>MAX(0,N8656-M8656)</f>
        <v/>
      </c>
      <c r="J8656" s="11">
        <f>MAX(0,M8656-N8656)</f>
        <v/>
      </c>
      <c r="K8656" s="11">
        <f>O8656</f>
        <v/>
      </c>
      <c r="L8656" s="11">
        <f>L8655+IF(K8656&gt;0,K8656*Summary!$B$9,K8656/Summary!$B$9)</f>
        <v/>
      </c>
      <c r="M8656" s="11">
        <f>G8656+H8656</f>
        <v/>
      </c>
      <c r="N8656" s="11">
        <f>Summary!$C$16*Summary!$B$8</f>
        <v/>
      </c>
      <c r="O8656" s="11">
        <f>M8656-N8656</f>
        <v/>
      </c>
    </row>
    <row r="8657">
      <c r="A8657" s="9" t="n">
        <v>45652.625</v>
      </c>
      <c r="B8657" t="n">
        <v>12</v>
      </c>
      <c r="C8657" t="n">
        <v>26</v>
      </c>
      <c r="D8657" t="n">
        <v>15</v>
      </c>
      <c r="E8657" s="10" t="n">
        <v>0</v>
      </c>
      <c r="F8657" s="10" t="n">
        <v>0.3766755784021388</v>
      </c>
      <c r="G8657" s="11">
        <f>E8657*Summary!$B$6</f>
        <v/>
      </c>
      <c r="H8657" s="11">
        <f>F8657*Summary!$B$7</f>
        <v/>
      </c>
      <c r="I8657" s="11">
        <f>MAX(0,N8657-M8657)</f>
        <v/>
      </c>
      <c r="J8657" s="11">
        <f>MAX(0,M8657-N8657)</f>
        <v/>
      </c>
      <c r="K8657" s="11">
        <f>O8657</f>
        <v/>
      </c>
      <c r="L8657" s="11">
        <f>L8656+IF(K8657&gt;0,K8657*Summary!$B$9,K8657/Summary!$B$9)</f>
        <v/>
      </c>
      <c r="M8657" s="11">
        <f>G8657+H8657</f>
        <v/>
      </c>
      <c r="N8657" s="11">
        <f>Summary!$C$16*Summary!$B$8</f>
        <v/>
      </c>
      <c r="O8657" s="11">
        <f>M8657-N8657</f>
        <v/>
      </c>
    </row>
    <row r="8658">
      <c r="A8658" s="9" t="n">
        <v>45652.66666666666</v>
      </c>
      <c r="B8658" t="n">
        <v>12</v>
      </c>
      <c r="C8658" t="n">
        <v>26</v>
      </c>
      <c r="D8658" t="n">
        <v>16</v>
      </c>
      <c r="E8658" s="10" t="n">
        <v>0</v>
      </c>
      <c r="F8658" s="10" t="n">
        <v>0.3845548282931588</v>
      </c>
      <c r="G8658" s="11">
        <f>E8658*Summary!$B$6</f>
        <v/>
      </c>
      <c r="H8658" s="11">
        <f>F8658*Summary!$B$7</f>
        <v/>
      </c>
      <c r="I8658" s="11">
        <f>MAX(0,N8658-M8658)</f>
        <v/>
      </c>
      <c r="J8658" s="11">
        <f>MAX(0,M8658-N8658)</f>
        <v/>
      </c>
      <c r="K8658" s="11">
        <f>O8658</f>
        <v/>
      </c>
      <c r="L8658" s="11">
        <f>L8657+IF(K8658&gt;0,K8658*Summary!$B$9,K8658/Summary!$B$9)</f>
        <v/>
      </c>
      <c r="M8658" s="11">
        <f>G8658+H8658</f>
        <v/>
      </c>
      <c r="N8658" s="11">
        <f>Summary!$C$16*Summary!$B$8</f>
        <v/>
      </c>
      <c r="O8658" s="11">
        <f>M8658-N8658</f>
        <v/>
      </c>
    </row>
    <row r="8659">
      <c r="A8659" s="9" t="n">
        <v>45652.70833333334</v>
      </c>
      <c r="B8659" t="n">
        <v>12</v>
      </c>
      <c r="C8659" t="n">
        <v>26</v>
      </c>
      <c r="D8659" t="n">
        <v>17</v>
      </c>
      <c r="E8659" s="10" t="n">
        <v>0</v>
      </c>
      <c r="F8659" s="10" t="n">
        <v>0.3953327988798717</v>
      </c>
      <c r="G8659" s="11">
        <f>E8659*Summary!$B$6</f>
        <v/>
      </c>
      <c r="H8659" s="11">
        <f>F8659*Summary!$B$7</f>
        <v/>
      </c>
      <c r="I8659" s="11">
        <f>MAX(0,N8659-M8659)</f>
        <v/>
      </c>
      <c r="J8659" s="11">
        <f>MAX(0,M8659-N8659)</f>
        <v/>
      </c>
      <c r="K8659" s="11">
        <f>O8659</f>
        <v/>
      </c>
      <c r="L8659" s="11">
        <f>L8658+IF(K8659&gt;0,K8659*Summary!$B$9,K8659/Summary!$B$9)</f>
        <v/>
      </c>
      <c r="M8659" s="11">
        <f>G8659+H8659</f>
        <v/>
      </c>
      <c r="N8659" s="11">
        <f>Summary!$C$16*Summary!$B$8</f>
        <v/>
      </c>
      <c r="O8659" s="11">
        <f>M8659-N8659</f>
        <v/>
      </c>
    </row>
    <row r="8660">
      <c r="A8660" s="9" t="n">
        <v>45652.75</v>
      </c>
      <c r="B8660" t="n">
        <v>12</v>
      </c>
      <c r="C8660" t="n">
        <v>26</v>
      </c>
      <c r="D8660" t="n">
        <v>18</v>
      </c>
      <c r="E8660" s="10" t="n">
        <v>0</v>
      </c>
      <c r="F8660" s="10" t="n">
        <v>0.4088513781243308</v>
      </c>
      <c r="G8660" s="11">
        <f>E8660*Summary!$B$6</f>
        <v/>
      </c>
      <c r="H8660" s="11">
        <f>F8660*Summary!$B$7</f>
        <v/>
      </c>
      <c r="I8660" s="11">
        <f>MAX(0,N8660-M8660)</f>
        <v/>
      </c>
      <c r="J8660" s="11">
        <f>MAX(0,M8660-N8660)</f>
        <v/>
      </c>
      <c r="K8660" s="11">
        <f>O8660</f>
        <v/>
      </c>
      <c r="L8660" s="11">
        <f>L8659+IF(K8660&gt;0,K8660*Summary!$B$9,K8660/Summary!$B$9)</f>
        <v/>
      </c>
      <c r="M8660" s="11">
        <f>G8660+H8660</f>
        <v/>
      </c>
      <c r="N8660" s="11">
        <f>Summary!$C$16*Summary!$B$8</f>
        <v/>
      </c>
      <c r="O8660" s="11">
        <f>M8660-N8660</f>
        <v/>
      </c>
    </row>
    <row r="8661">
      <c r="A8661" s="9" t="n">
        <v>45652.79166666666</v>
      </c>
      <c r="B8661" t="n">
        <v>12</v>
      </c>
      <c r="C8661" t="n">
        <v>26</v>
      </c>
      <c r="D8661" t="n">
        <v>19</v>
      </c>
      <c r="E8661" s="10" t="n">
        <v>0</v>
      </c>
      <c r="F8661" s="10" t="n">
        <v>0.4251105660265359</v>
      </c>
      <c r="G8661" s="11">
        <f>E8661*Summary!$B$6</f>
        <v/>
      </c>
      <c r="H8661" s="11">
        <f>F8661*Summary!$B$7</f>
        <v/>
      </c>
      <c r="I8661" s="11">
        <f>MAX(0,N8661-M8661)</f>
        <v/>
      </c>
      <c r="J8661" s="11">
        <f>MAX(0,M8661-N8661)</f>
        <v/>
      </c>
      <c r="K8661" s="11">
        <f>O8661</f>
        <v/>
      </c>
      <c r="L8661" s="11">
        <f>L8660+IF(K8661&gt;0,K8661*Summary!$B$9,K8661/Summary!$B$9)</f>
        <v/>
      </c>
      <c r="M8661" s="11">
        <f>G8661+H8661</f>
        <v/>
      </c>
      <c r="N8661" s="11">
        <f>Summary!$C$16*Summary!$B$8</f>
        <v/>
      </c>
      <c r="O8661" s="11">
        <f>M8661-N8661</f>
        <v/>
      </c>
    </row>
    <row r="8662">
      <c r="A8662" s="9" t="n">
        <v>45652.83333333334</v>
      </c>
      <c r="B8662" t="n">
        <v>12</v>
      </c>
      <c r="C8662" t="n">
        <v>26</v>
      </c>
      <c r="D8662" t="n">
        <v>20</v>
      </c>
      <c r="E8662" s="10" t="n">
        <v>0</v>
      </c>
      <c r="F8662" s="10" t="n">
        <v>0.4403683776884106</v>
      </c>
      <c r="G8662" s="11">
        <f>E8662*Summary!$B$6</f>
        <v/>
      </c>
      <c r="H8662" s="11">
        <f>F8662*Summary!$B$7</f>
        <v/>
      </c>
      <c r="I8662" s="11">
        <f>MAX(0,N8662-M8662)</f>
        <v/>
      </c>
      <c r="J8662" s="11">
        <f>MAX(0,M8662-N8662)</f>
        <v/>
      </c>
      <c r="K8662" s="11">
        <f>O8662</f>
        <v/>
      </c>
      <c r="L8662" s="11">
        <f>L8661+IF(K8662&gt;0,K8662*Summary!$B$9,K8662/Summary!$B$9)</f>
        <v/>
      </c>
      <c r="M8662" s="11">
        <f>G8662+H8662</f>
        <v/>
      </c>
      <c r="N8662" s="11">
        <f>Summary!$C$16*Summary!$B$8</f>
        <v/>
      </c>
      <c r="O8662" s="11">
        <f>M8662-N8662</f>
        <v/>
      </c>
    </row>
    <row r="8663">
      <c r="A8663" s="9" t="n">
        <v>45652.875</v>
      </c>
      <c r="B8663" t="n">
        <v>12</v>
      </c>
      <c r="C8663" t="n">
        <v>26</v>
      </c>
      <c r="D8663" t="n">
        <v>21</v>
      </c>
      <c r="E8663" s="10" t="n">
        <v>0</v>
      </c>
      <c r="F8663" s="10" t="n">
        <v>0.4468509712442331</v>
      </c>
      <c r="G8663" s="11">
        <f>E8663*Summary!$B$6</f>
        <v/>
      </c>
      <c r="H8663" s="11">
        <f>F8663*Summary!$B$7</f>
        <v/>
      </c>
      <c r="I8663" s="11">
        <f>MAX(0,N8663-M8663)</f>
        <v/>
      </c>
      <c r="J8663" s="11">
        <f>MAX(0,M8663-N8663)</f>
        <v/>
      </c>
      <c r="K8663" s="11">
        <f>O8663</f>
        <v/>
      </c>
      <c r="L8663" s="11">
        <f>L8662+IF(K8663&gt;0,K8663*Summary!$B$9,K8663/Summary!$B$9)</f>
        <v/>
      </c>
      <c r="M8663" s="11">
        <f>G8663+H8663</f>
        <v/>
      </c>
      <c r="N8663" s="11">
        <f>Summary!$C$16*Summary!$B$8</f>
        <v/>
      </c>
      <c r="O8663" s="11">
        <f>M8663-N8663</f>
        <v/>
      </c>
    </row>
    <row r="8664">
      <c r="A8664" s="9" t="n">
        <v>45652.91666666666</v>
      </c>
      <c r="B8664" t="n">
        <v>12</v>
      </c>
      <c r="C8664" t="n">
        <v>26</v>
      </c>
      <c r="D8664" t="n">
        <v>22</v>
      </c>
      <c r="E8664" s="10" t="n">
        <v>0</v>
      </c>
      <c r="F8664" s="10" t="n">
        <v>0.4536761408822738</v>
      </c>
      <c r="G8664" s="11">
        <f>E8664*Summary!$B$6</f>
        <v/>
      </c>
      <c r="H8664" s="11">
        <f>F8664*Summary!$B$7</f>
        <v/>
      </c>
      <c r="I8664" s="11">
        <f>MAX(0,N8664-M8664)</f>
        <v/>
      </c>
      <c r="J8664" s="11">
        <f>MAX(0,M8664-N8664)</f>
        <v/>
      </c>
      <c r="K8664" s="11">
        <f>O8664</f>
        <v/>
      </c>
      <c r="L8664" s="11">
        <f>L8663+IF(K8664&gt;0,K8664*Summary!$B$9,K8664/Summary!$B$9)</f>
        <v/>
      </c>
      <c r="M8664" s="11">
        <f>G8664+H8664</f>
        <v/>
      </c>
      <c r="N8664" s="11">
        <f>Summary!$C$16*Summary!$B$8</f>
        <v/>
      </c>
      <c r="O8664" s="11">
        <f>M8664-N8664</f>
        <v/>
      </c>
    </row>
    <row r="8665">
      <c r="A8665" s="9" t="n">
        <v>45652.95833333334</v>
      </c>
      <c r="B8665" t="n">
        <v>12</v>
      </c>
      <c r="C8665" t="n">
        <v>26</v>
      </c>
      <c r="D8665" t="n">
        <v>23</v>
      </c>
      <c r="E8665" s="10" t="n">
        <v>0</v>
      </c>
      <c r="F8665" s="10" t="n">
        <v>0.4598952143748514</v>
      </c>
      <c r="G8665" s="11">
        <f>E8665*Summary!$B$6</f>
        <v/>
      </c>
      <c r="H8665" s="11">
        <f>F8665*Summary!$B$7</f>
        <v/>
      </c>
      <c r="I8665" s="11">
        <f>MAX(0,N8665-M8665)</f>
        <v/>
      </c>
      <c r="J8665" s="11">
        <f>MAX(0,M8665-N8665)</f>
        <v/>
      </c>
      <c r="K8665" s="11">
        <f>O8665</f>
        <v/>
      </c>
      <c r="L8665" s="11">
        <f>L8664+IF(K8665&gt;0,K8665*Summary!$B$9,K8665/Summary!$B$9)</f>
        <v/>
      </c>
      <c r="M8665" s="11">
        <f>G8665+H8665</f>
        <v/>
      </c>
      <c r="N8665" s="11">
        <f>Summary!$C$16*Summary!$B$8</f>
        <v/>
      </c>
      <c r="O8665" s="11">
        <f>M8665-N8665</f>
        <v/>
      </c>
    </row>
    <row r="8666">
      <c r="A8666" s="9" t="n">
        <v>45653</v>
      </c>
      <c r="B8666" t="n">
        <v>12</v>
      </c>
      <c r="C8666" t="n">
        <v>27</v>
      </c>
      <c r="D8666" t="n">
        <v>0</v>
      </c>
      <c r="E8666" s="10" t="n">
        <v>0</v>
      </c>
      <c r="F8666" s="10" t="n">
        <v>0.3627090150501636</v>
      </c>
      <c r="G8666" s="11">
        <f>E8666*Summary!$B$6</f>
        <v/>
      </c>
      <c r="H8666" s="11">
        <f>F8666*Summary!$B$7</f>
        <v/>
      </c>
      <c r="I8666" s="11">
        <f>MAX(0,N8666-M8666)</f>
        <v/>
      </c>
      <c r="J8666" s="11">
        <f>MAX(0,M8666-N8666)</f>
        <v/>
      </c>
      <c r="K8666" s="11">
        <f>O8666</f>
        <v/>
      </c>
      <c r="L8666" s="11">
        <f>L8665+IF(K8666&gt;0,K8666*Summary!$B$9,K8666/Summary!$B$9)</f>
        <v/>
      </c>
      <c r="M8666" s="11">
        <f>G8666+H8666</f>
        <v/>
      </c>
      <c r="N8666" s="11">
        <f>Summary!$C$16*Summary!$B$8</f>
        <v/>
      </c>
      <c r="O8666" s="11">
        <f>M8666-N8666</f>
        <v/>
      </c>
    </row>
    <row r="8667">
      <c r="A8667" s="9" t="n">
        <v>45653.04166666666</v>
      </c>
      <c r="B8667" t="n">
        <v>12</v>
      </c>
      <c r="C8667" t="n">
        <v>27</v>
      </c>
      <c r="D8667" t="n">
        <v>1</v>
      </c>
      <c r="E8667" s="10" t="n">
        <v>0</v>
      </c>
      <c r="F8667" s="10" t="n">
        <v>0.4817146756115221</v>
      </c>
      <c r="G8667" s="11">
        <f>E8667*Summary!$B$6</f>
        <v/>
      </c>
      <c r="H8667" s="11">
        <f>F8667*Summary!$B$7</f>
        <v/>
      </c>
      <c r="I8667" s="11">
        <f>MAX(0,N8667-M8667)</f>
        <v/>
      </c>
      <c r="J8667" s="11">
        <f>MAX(0,M8667-N8667)</f>
        <v/>
      </c>
      <c r="K8667" s="11">
        <f>O8667</f>
        <v/>
      </c>
      <c r="L8667" s="11">
        <f>L8666+IF(K8667&gt;0,K8667*Summary!$B$9,K8667/Summary!$B$9)</f>
        <v/>
      </c>
      <c r="M8667" s="11">
        <f>G8667+H8667</f>
        <v/>
      </c>
      <c r="N8667" s="11">
        <f>Summary!$C$16*Summary!$B$8</f>
        <v/>
      </c>
      <c r="O8667" s="11">
        <f>M8667-N8667</f>
        <v/>
      </c>
    </row>
    <row r="8668">
      <c r="A8668" s="9" t="n">
        <v>45653.08333333334</v>
      </c>
      <c r="B8668" t="n">
        <v>12</v>
      </c>
      <c r="C8668" t="n">
        <v>27</v>
      </c>
      <c r="D8668" t="n">
        <v>2</v>
      </c>
      <c r="E8668" s="10" t="n">
        <v>0</v>
      </c>
      <c r="F8668" s="10" t="n">
        <v>0.4764442743466258</v>
      </c>
      <c r="G8668" s="11">
        <f>E8668*Summary!$B$6</f>
        <v/>
      </c>
      <c r="H8668" s="11">
        <f>F8668*Summary!$B$7</f>
        <v/>
      </c>
      <c r="I8668" s="11">
        <f>MAX(0,N8668-M8668)</f>
        <v/>
      </c>
      <c r="J8668" s="11">
        <f>MAX(0,M8668-N8668)</f>
        <v/>
      </c>
      <c r="K8668" s="11">
        <f>O8668</f>
        <v/>
      </c>
      <c r="L8668" s="11">
        <f>L8667+IF(K8668&gt;0,K8668*Summary!$B$9,K8668/Summary!$B$9)</f>
        <v/>
      </c>
      <c r="M8668" s="11">
        <f>G8668+H8668</f>
        <v/>
      </c>
      <c r="N8668" s="11">
        <f>Summary!$C$16*Summary!$B$8</f>
        <v/>
      </c>
      <c r="O8668" s="11">
        <f>M8668-N8668</f>
        <v/>
      </c>
    </row>
    <row r="8669">
      <c r="A8669" s="9" t="n">
        <v>45653.125</v>
      </c>
      <c r="B8669" t="n">
        <v>12</v>
      </c>
      <c r="C8669" t="n">
        <v>27</v>
      </c>
      <c r="D8669" t="n">
        <v>3</v>
      </c>
      <c r="E8669" s="10" t="n">
        <v>0</v>
      </c>
      <c r="F8669" s="10" t="n">
        <v>0.4724914733979536</v>
      </c>
      <c r="G8669" s="11">
        <f>E8669*Summary!$B$6</f>
        <v/>
      </c>
      <c r="H8669" s="11">
        <f>F8669*Summary!$B$7</f>
        <v/>
      </c>
      <c r="I8669" s="11">
        <f>MAX(0,N8669-M8669)</f>
        <v/>
      </c>
      <c r="J8669" s="11">
        <f>MAX(0,M8669-N8669)</f>
        <v/>
      </c>
      <c r="K8669" s="11">
        <f>O8669</f>
        <v/>
      </c>
      <c r="L8669" s="11">
        <f>L8668+IF(K8669&gt;0,K8669*Summary!$B$9,K8669/Summary!$B$9)</f>
        <v/>
      </c>
      <c r="M8669" s="11">
        <f>G8669+H8669</f>
        <v/>
      </c>
      <c r="N8669" s="11">
        <f>Summary!$C$16*Summary!$B$8</f>
        <v/>
      </c>
      <c r="O8669" s="11">
        <f>M8669-N8669</f>
        <v/>
      </c>
    </row>
    <row r="8670">
      <c r="A8670" s="9" t="n">
        <v>45653.16666666666</v>
      </c>
      <c r="B8670" t="n">
        <v>12</v>
      </c>
      <c r="C8670" t="n">
        <v>27</v>
      </c>
      <c r="D8670" t="n">
        <v>4</v>
      </c>
      <c r="E8670" s="10" t="n">
        <v>0</v>
      </c>
      <c r="F8670" s="10" t="n">
        <v>0.4648230395575295</v>
      </c>
      <c r="G8670" s="11">
        <f>E8670*Summary!$B$6</f>
        <v/>
      </c>
      <c r="H8670" s="11">
        <f>F8670*Summary!$B$7</f>
        <v/>
      </c>
      <c r="I8670" s="11">
        <f>MAX(0,N8670-M8670)</f>
        <v/>
      </c>
      <c r="J8670" s="11">
        <f>MAX(0,M8670-N8670)</f>
        <v/>
      </c>
      <c r="K8670" s="11">
        <f>O8670</f>
        <v/>
      </c>
      <c r="L8670" s="11">
        <f>L8669+IF(K8670&gt;0,K8670*Summary!$B$9,K8670/Summary!$B$9)</f>
        <v/>
      </c>
      <c r="M8670" s="11">
        <f>G8670+H8670</f>
        <v/>
      </c>
      <c r="N8670" s="11">
        <f>Summary!$C$16*Summary!$B$8</f>
        <v/>
      </c>
      <c r="O8670" s="11">
        <f>M8670-N8670</f>
        <v/>
      </c>
    </row>
    <row r="8671">
      <c r="A8671" s="9" t="n">
        <v>45653.20833333334</v>
      </c>
      <c r="B8671" t="n">
        <v>12</v>
      </c>
      <c r="C8671" t="n">
        <v>27</v>
      </c>
      <c r="D8671" t="n">
        <v>5</v>
      </c>
      <c r="E8671" s="10" t="n">
        <v>0</v>
      </c>
      <c r="F8671" s="10" t="n">
        <v>0.4587620781028988</v>
      </c>
      <c r="G8671" s="11">
        <f>E8671*Summary!$B$6</f>
        <v/>
      </c>
      <c r="H8671" s="11">
        <f>F8671*Summary!$B$7</f>
        <v/>
      </c>
      <c r="I8671" s="11">
        <f>MAX(0,N8671-M8671)</f>
        <v/>
      </c>
      <c r="J8671" s="11">
        <f>MAX(0,M8671-N8671)</f>
        <v/>
      </c>
      <c r="K8671" s="11">
        <f>O8671</f>
        <v/>
      </c>
      <c r="L8671" s="11">
        <f>L8670+IF(K8671&gt;0,K8671*Summary!$B$9,K8671/Summary!$B$9)</f>
        <v/>
      </c>
      <c r="M8671" s="11">
        <f>G8671+H8671</f>
        <v/>
      </c>
      <c r="N8671" s="11">
        <f>Summary!$C$16*Summary!$B$8</f>
        <v/>
      </c>
      <c r="O8671" s="11">
        <f>M8671-N8671</f>
        <v/>
      </c>
    </row>
    <row r="8672">
      <c r="A8672" s="9" t="n">
        <v>45653.25</v>
      </c>
      <c r="B8672" t="n">
        <v>12</v>
      </c>
      <c r="C8672" t="n">
        <v>27</v>
      </c>
      <c r="D8672" t="n">
        <v>6</v>
      </c>
      <c r="E8672" s="10" t="n">
        <v>0</v>
      </c>
      <c r="F8672" s="10" t="n">
        <v>0.4835066120415869</v>
      </c>
      <c r="G8672" s="11">
        <f>E8672*Summary!$B$6</f>
        <v/>
      </c>
      <c r="H8672" s="11">
        <f>F8672*Summary!$B$7</f>
        <v/>
      </c>
      <c r="I8672" s="11">
        <f>MAX(0,N8672-M8672)</f>
        <v/>
      </c>
      <c r="J8672" s="11">
        <f>MAX(0,M8672-N8672)</f>
        <v/>
      </c>
      <c r="K8672" s="11">
        <f>O8672</f>
        <v/>
      </c>
      <c r="L8672" s="11">
        <f>L8671+IF(K8672&gt;0,K8672*Summary!$B$9,K8672/Summary!$B$9)</f>
        <v/>
      </c>
      <c r="M8672" s="11">
        <f>G8672+H8672</f>
        <v/>
      </c>
      <c r="N8672" s="11">
        <f>Summary!$C$16*Summary!$B$8</f>
        <v/>
      </c>
      <c r="O8672" s="11">
        <f>M8672-N8672</f>
        <v/>
      </c>
    </row>
    <row r="8673">
      <c r="A8673" s="9" t="n">
        <v>45653.29166666666</v>
      </c>
      <c r="B8673" t="n">
        <v>12</v>
      </c>
      <c r="C8673" t="n">
        <v>27</v>
      </c>
      <c r="D8673" t="n">
        <v>7</v>
      </c>
      <c r="E8673" s="10" t="n">
        <v>0</v>
      </c>
      <c r="F8673" s="10" t="n">
        <v>0.4578661098878664</v>
      </c>
      <c r="G8673" s="11">
        <f>E8673*Summary!$B$6</f>
        <v/>
      </c>
      <c r="H8673" s="11">
        <f>F8673*Summary!$B$7</f>
        <v/>
      </c>
      <c r="I8673" s="11">
        <f>MAX(0,N8673-M8673)</f>
        <v/>
      </c>
      <c r="J8673" s="11">
        <f>MAX(0,M8673-N8673)</f>
        <v/>
      </c>
      <c r="K8673" s="11">
        <f>O8673</f>
        <v/>
      </c>
      <c r="L8673" s="11">
        <f>L8672+IF(K8673&gt;0,K8673*Summary!$B$9,K8673/Summary!$B$9)</f>
        <v/>
      </c>
      <c r="M8673" s="11">
        <f>G8673+H8673</f>
        <v/>
      </c>
      <c r="N8673" s="11">
        <f>Summary!$C$16*Summary!$B$8</f>
        <v/>
      </c>
      <c r="O8673" s="11">
        <f>M8673-N8673</f>
        <v/>
      </c>
    </row>
    <row r="8674">
      <c r="A8674" s="9" t="n">
        <v>45653.33333333334</v>
      </c>
      <c r="B8674" t="n">
        <v>12</v>
      </c>
      <c r="C8674" t="n">
        <v>27</v>
      </c>
      <c r="D8674" t="n">
        <v>8</v>
      </c>
      <c r="E8674" s="10" t="n">
        <v>0</v>
      </c>
      <c r="F8674" s="10" t="n">
        <v>0.4574708297929991</v>
      </c>
      <c r="G8674" s="11">
        <f>E8674*Summary!$B$6</f>
        <v/>
      </c>
      <c r="H8674" s="11">
        <f>F8674*Summary!$B$7</f>
        <v/>
      </c>
      <c r="I8674" s="11">
        <f>MAX(0,N8674-M8674)</f>
        <v/>
      </c>
      <c r="J8674" s="11">
        <f>MAX(0,M8674-N8674)</f>
        <v/>
      </c>
      <c r="K8674" s="11">
        <f>O8674</f>
        <v/>
      </c>
      <c r="L8674" s="11">
        <f>L8673+IF(K8674&gt;0,K8674*Summary!$B$9,K8674/Summary!$B$9)</f>
        <v/>
      </c>
      <c r="M8674" s="11">
        <f>G8674+H8674</f>
        <v/>
      </c>
      <c r="N8674" s="11">
        <f>Summary!$C$16*Summary!$B$8</f>
        <v/>
      </c>
      <c r="O8674" s="11">
        <f>M8674-N8674</f>
        <v/>
      </c>
    </row>
    <row r="8675">
      <c r="A8675" s="9" t="n">
        <v>45653.375</v>
      </c>
      <c r="B8675" t="n">
        <v>12</v>
      </c>
      <c r="C8675" t="n">
        <v>27</v>
      </c>
      <c r="D8675" t="n">
        <v>9</v>
      </c>
      <c r="E8675" s="10" t="n">
        <v>0</v>
      </c>
      <c r="F8675" s="10" t="n">
        <v>0.4542031810087634</v>
      </c>
      <c r="G8675" s="11">
        <f>E8675*Summary!$B$6</f>
        <v/>
      </c>
      <c r="H8675" s="11">
        <f>F8675*Summary!$B$7</f>
        <v/>
      </c>
      <c r="I8675" s="11">
        <f>MAX(0,N8675-M8675)</f>
        <v/>
      </c>
      <c r="J8675" s="11">
        <f>MAX(0,M8675-N8675)</f>
        <v/>
      </c>
      <c r="K8675" s="11">
        <f>O8675</f>
        <v/>
      </c>
      <c r="L8675" s="11">
        <f>L8674+IF(K8675&gt;0,K8675*Summary!$B$9,K8675/Summary!$B$9)</f>
        <v/>
      </c>
      <c r="M8675" s="11">
        <f>G8675+H8675</f>
        <v/>
      </c>
      <c r="N8675" s="11">
        <f>Summary!$C$16*Summary!$B$8</f>
        <v/>
      </c>
      <c r="O8675" s="11">
        <f>M8675-N8675</f>
        <v/>
      </c>
    </row>
    <row r="8676">
      <c r="A8676" s="9" t="n">
        <v>45653.41666666666</v>
      </c>
      <c r="B8676" t="n">
        <v>12</v>
      </c>
      <c r="C8676" t="n">
        <v>27</v>
      </c>
      <c r="D8676" t="n">
        <v>10</v>
      </c>
      <c r="E8676" s="10" t="n">
        <v>0.01347</v>
      </c>
      <c r="F8676" s="10" t="n">
        <v>0.4467719152252597</v>
      </c>
      <c r="G8676" s="11">
        <f>E8676*Summary!$B$6</f>
        <v/>
      </c>
      <c r="H8676" s="11">
        <f>F8676*Summary!$B$7</f>
        <v/>
      </c>
      <c r="I8676" s="11">
        <f>MAX(0,N8676-M8676)</f>
        <v/>
      </c>
      <c r="J8676" s="11">
        <f>MAX(0,M8676-N8676)</f>
        <v/>
      </c>
      <c r="K8676" s="11">
        <f>O8676</f>
        <v/>
      </c>
      <c r="L8676" s="11">
        <f>L8675+IF(K8676&gt;0,K8676*Summary!$B$9,K8676/Summary!$B$9)</f>
        <v/>
      </c>
      <c r="M8676" s="11">
        <f>G8676+H8676</f>
        <v/>
      </c>
      <c r="N8676" s="11">
        <f>Summary!$C$16*Summary!$B$8</f>
        <v/>
      </c>
      <c r="O8676" s="11">
        <f>M8676-N8676</f>
        <v/>
      </c>
    </row>
    <row r="8677">
      <c r="A8677" s="9" t="n">
        <v>45653.45833333334</v>
      </c>
      <c r="B8677" t="n">
        <v>12</v>
      </c>
      <c r="C8677" t="n">
        <v>27</v>
      </c>
      <c r="D8677" t="n">
        <v>11</v>
      </c>
      <c r="E8677" s="10" t="n">
        <v>0.031561</v>
      </c>
      <c r="F8677" s="10" t="n">
        <v>0.4335959120630189</v>
      </c>
      <c r="G8677" s="11">
        <f>E8677*Summary!$B$6</f>
        <v/>
      </c>
      <c r="H8677" s="11">
        <f>F8677*Summary!$B$7</f>
        <v/>
      </c>
      <c r="I8677" s="11">
        <f>MAX(0,N8677-M8677)</f>
        <v/>
      </c>
      <c r="J8677" s="11">
        <f>MAX(0,M8677-N8677)</f>
        <v/>
      </c>
      <c r="K8677" s="11">
        <f>O8677</f>
        <v/>
      </c>
      <c r="L8677" s="11">
        <f>L8676+IF(K8677&gt;0,K8677*Summary!$B$9,K8677/Summary!$B$9)</f>
        <v/>
      </c>
      <c r="M8677" s="11">
        <f>G8677+H8677</f>
        <v/>
      </c>
      <c r="N8677" s="11">
        <f>Summary!$C$16*Summary!$B$8</f>
        <v/>
      </c>
      <c r="O8677" s="11">
        <f>M8677-N8677</f>
        <v/>
      </c>
    </row>
    <row r="8678">
      <c r="A8678" s="9" t="n">
        <v>45653.5</v>
      </c>
      <c r="B8678" t="n">
        <v>12</v>
      </c>
      <c r="C8678" t="n">
        <v>27</v>
      </c>
      <c r="D8678" t="n">
        <v>12</v>
      </c>
      <c r="E8678" s="10" t="n">
        <v>0.049181</v>
      </c>
      <c r="F8678" s="10" t="n">
        <v>0.4189705485529316</v>
      </c>
      <c r="G8678" s="11">
        <f>E8678*Summary!$B$6</f>
        <v/>
      </c>
      <c r="H8678" s="11">
        <f>F8678*Summary!$B$7</f>
        <v/>
      </c>
      <c r="I8678" s="11">
        <f>MAX(0,N8678-M8678)</f>
        <v/>
      </c>
      <c r="J8678" s="11">
        <f>MAX(0,M8678-N8678)</f>
        <v/>
      </c>
      <c r="K8678" s="11">
        <f>O8678</f>
        <v/>
      </c>
      <c r="L8678" s="11">
        <f>L8677+IF(K8678&gt;0,K8678*Summary!$B$9,K8678/Summary!$B$9)</f>
        <v/>
      </c>
      <c r="M8678" s="11">
        <f>G8678+H8678</f>
        <v/>
      </c>
      <c r="N8678" s="11">
        <f>Summary!$C$16*Summary!$B$8</f>
        <v/>
      </c>
      <c r="O8678" s="11">
        <f>M8678-N8678</f>
        <v/>
      </c>
    </row>
    <row r="8679">
      <c r="A8679" s="9" t="n">
        <v>45653.54166666666</v>
      </c>
      <c r="B8679" t="n">
        <v>12</v>
      </c>
      <c r="C8679" t="n">
        <v>27</v>
      </c>
      <c r="D8679" t="n">
        <v>13</v>
      </c>
      <c r="E8679" s="10" t="n">
        <v>0.038304</v>
      </c>
      <c r="F8679" s="10" t="n">
        <v>0.4043451850428444</v>
      </c>
      <c r="G8679" s="11">
        <f>E8679*Summary!$B$6</f>
        <v/>
      </c>
      <c r="H8679" s="11">
        <f>F8679*Summary!$B$7</f>
        <v/>
      </c>
      <c r="I8679" s="11">
        <f>MAX(0,N8679-M8679)</f>
        <v/>
      </c>
      <c r="J8679" s="11">
        <f>MAX(0,M8679-N8679)</f>
        <v/>
      </c>
      <c r="K8679" s="11">
        <f>O8679</f>
        <v/>
      </c>
      <c r="L8679" s="11">
        <f>L8678+IF(K8679&gt;0,K8679*Summary!$B$9,K8679/Summary!$B$9)</f>
        <v/>
      </c>
      <c r="M8679" s="11">
        <f>G8679+H8679</f>
        <v/>
      </c>
      <c r="N8679" s="11">
        <f>Summary!$C$16*Summary!$B$8</f>
        <v/>
      </c>
      <c r="O8679" s="11">
        <f>M8679-N8679</f>
        <v/>
      </c>
    </row>
    <row r="8680">
      <c r="A8680" s="9" t="n">
        <v>45653.58333333334</v>
      </c>
      <c r="B8680" t="n">
        <v>12</v>
      </c>
      <c r="C8680" t="n">
        <v>27</v>
      </c>
      <c r="D8680" t="n">
        <v>14</v>
      </c>
      <c r="E8680" s="10" t="n">
        <v>0.05219</v>
      </c>
      <c r="F8680" s="10" t="n">
        <v>0.3933563984055357</v>
      </c>
      <c r="G8680" s="11">
        <f>E8680*Summary!$B$6</f>
        <v/>
      </c>
      <c r="H8680" s="11">
        <f>F8680*Summary!$B$7</f>
        <v/>
      </c>
      <c r="I8680" s="11">
        <f>MAX(0,N8680-M8680)</f>
        <v/>
      </c>
      <c r="J8680" s="11">
        <f>MAX(0,M8680-N8680)</f>
        <v/>
      </c>
      <c r="K8680" s="11">
        <f>O8680</f>
        <v/>
      </c>
      <c r="L8680" s="11">
        <f>L8679+IF(K8680&gt;0,K8680*Summary!$B$9,K8680/Summary!$B$9)</f>
        <v/>
      </c>
      <c r="M8680" s="11">
        <f>G8680+H8680</f>
        <v/>
      </c>
      <c r="N8680" s="11">
        <f>Summary!$C$16*Summary!$B$8</f>
        <v/>
      </c>
      <c r="O8680" s="11">
        <f>M8680-N8680</f>
        <v/>
      </c>
    </row>
    <row r="8681">
      <c r="A8681" s="9" t="n">
        <v>45653.625</v>
      </c>
      <c r="B8681" t="n">
        <v>12</v>
      </c>
      <c r="C8681" t="n">
        <v>27</v>
      </c>
      <c r="D8681" t="n">
        <v>15</v>
      </c>
      <c r="E8681" s="10" t="n">
        <v>0</v>
      </c>
      <c r="F8681" s="10" t="n">
        <v>0.3897988775517306</v>
      </c>
      <c r="G8681" s="11">
        <f>E8681*Summary!$B$6</f>
        <v/>
      </c>
      <c r="H8681" s="11">
        <f>F8681*Summary!$B$7</f>
        <v/>
      </c>
      <c r="I8681" s="11">
        <f>MAX(0,N8681-M8681)</f>
        <v/>
      </c>
      <c r="J8681" s="11">
        <f>MAX(0,M8681-N8681)</f>
        <v/>
      </c>
      <c r="K8681" s="11">
        <f>O8681</f>
        <v/>
      </c>
      <c r="L8681" s="11">
        <f>L8680+IF(K8681&gt;0,K8681*Summary!$B$9,K8681/Summary!$B$9)</f>
        <v/>
      </c>
      <c r="M8681" s="11">
        <f>G8681+H8681</f>
        <v/>
      </c>
      <c r="N8681" s="11">
        <f>Summary!$C$16*Summary!$B$8</f>
        <v/>
      </c>
      <c r="O8681" s="11">
        <f>M8681-N8681</f>
        <v/>
      </c>
    </row>
    <row r="8682">
      <c r="A8682" s="9" t="n">
        <v>45653.66666666666</v>
      </c>
      <c r="B8682" t="n">
        <v>12</v>
      </c>
      <c r="C8682" t="n">
        <v>27</v>
      </c>
      <c r="D8682" t="n">
        <v>16</v>
      </c>
      <c r="E8682" s="10" t="n">
        <v>0</v>
      </c>
      <c r="F8682" s="10" t="n">
        <v>0.3861095966663032</v>
      </c>
      <c r="G8682" s="11">
        <f>E8682*Summary!$B$6</f>
        <v/>
      </c>
      <c r="H8682" s="11">
        <f>F8682*Summary!$B$7</f>
        <v/>
      </c>
      <c r="I8682" s="11">
        <f>MAX(0,N8682-M8682)</f>
        <v/>
      </c>
      <c r="J8682" s="11">
        <f>MAX(0,M8682-N8682)</f>
        <v/>
      </c>
      <c r="K8682" s="11">
        <f>O8682</f>
        <v/>
      </c>
      <c r="L8682" s="11">
        <f>L8681+IF(K8682&gt;0,K8682*Summary!$B$9,K8682/Summary!$B$9)</f>
        <v/>
      </c>
      <c r="M8682" s="11">
        <f>G8682+H8682</f>
        <v/>
      </c>
      <c r="N8682" s="11">
        <f>Summary!$C$16*Summary!$B$8</f>
        <v/>
      </c>
      <c r="O8682" s="11">
        <f>M8682-N8682</f>
        <v/>
      </c>
    </row>
    <row r="8683">
      <c r="A8683" s="9" t="n">
        <v>45653.70833333334</v>
      </c>
      <c r="B8683" t="n">
        <v>12</v>
      </c>
      <c r="C8683" t="n">
        <v>27</v>
      </c>
      <c r="D8683" t="n">
        <v>17</v>
      </c>
      <c r="E8683" s="10" t="n">
        <v>0</v>
      </c>
      <c r="F8683" s="10" t="n">
        <v>0.3805229713255132</v>
      </c>
      <c r="G8683" s="11">
        <f>E8683*Summary!$B$6</f>
        <v/>
      </c>
      <c r="H8683" s="11">
        <f>F8683*Summary!$B$7</f>
        <v/>
      </c>
      <c r="I8683" s="11">
        <f>MAX(0,N8683-M8683)</f>
        <v/>
      </c>
      <c r="J8683" s="11">
        <f>MAX(0,M8683-N8683)</f>
        <v/>
      </c>
      <c r="K8683" s="11">
        <f>O8683</f>
        <v/>
      </c>
      <c r="L8683" s="11">
        <f>L8682+IF(K8683&gt;0,K8683*Summary!$B$9,K8683/Summary!$B$9)</f>
        <v/>
      </c>
      <c r="M8683" s="11">
        <f>G8683+H8683</f>
        <v/>
      </c>
      <c r="N8683" s="11">
        <f>Summary!$C$16*Summary!$B$8</f>
        <v/>
      </c>
      <c r="O8683" s="11">
        <f>M8683-N8683</f>
        <v/>
      </c>
    </row>
    <row r="8684">
      <c r="A8684" s="9" t="n">
        <v>45653.75</v>
      </c>
      <c r="B8684" t="n">
        <v>12</v>
      </c>
      <c r="C8684" t="n">
        <v>27</v>
      </c>
      <c r="D8684" t="n">
        <v>18</v>
      </c>
      <c r="E8684" s="10" t="n">
        <v>0</v>
      </c>
      <c r="F8684" s="10" t="n">
        <v>0.3758059621934309</v>
      </c>
      <c r="G8684" s="11">
        <f>E8684*Summary!$B$6</f>
        <v/>
      </c>
      <c r="H8684" s="11">
        <f>F8684*Summary!$B$7</f>
        <v/>
      </c>
      <c r="I8684" s="11">
        <f>MAX(0,N8684-M8684)</f>
        <v/>
      </c>
      <c r="J8684" s="11">
        <f>MAX(0,M8684-N8684)</f>
        <v/>
      </c>
      <c r="K8684" s="11">
        <f>O8684</f>
        <v/>
      </c>
      <c r="L8684" s="11">
        <f>L8683+IF(K8684&gt;0,K8684*Summary!$B$9,K8684/Summary!$B$9)</f>
        <v/>
      </c>
      <c r="M8684" s="11">
        <f>G8684+H8684</f>
        <v/>
      </c>
      <c r="N8684" s="11">
        <f>Summary!$C$16*Summary!$B$8</f>
        <v/>
      </c>
      <c r="O8684" s="11">
        <f>M8684-N8684</f>
        <v/>
      </c>
    </row>
    <row r="8685">
      <c r="A8685" s="9" t="n">
        <v>45653.79166666666</v>
      </c>
      <c r="B8685" t="n">
        <v>12</v>
      </c>
      <c r="C8685" t="n">
        <v>27</v>
      </c>
      <c r="D8685" t="n">
        <v>19</v>
      </c>
      <c r="E8685" s="10" t="n">
        <v>0</v>
      </c>
      <c r="F8685" s="10" t="n">
        <v>0.3690598485743636</v>
      </c>
      <c r="G8685" s="11">
        <f>E8685*Summary!$B$6</f>
        <v/>
      </c>
      <c r="H8685" s="11">
        <f>F8685*Summary!$B$7</f>
        <v/>
      </c>
      <c r="I8685" s="11">
        <f>MAX(0,N8685-M8685)</f>
        <v/>
      </c>
      <c r="J8685" s="11">
        <f>MAX(0,M8685-N8685)</f>
        <v/>
      </c>
      <c r="K8685" s="11">
        <f>O8685</f>
        <v/>
      </c>
      <c r="L8685" s="11">
        <f>L8684+IF(K8685&gt;0,K8685*Summary!$B$9,K8685/Summary!$B$9)</f>
        <v/>
      </c>
      <c r="M8685" s="11">
        <f>G8685+H8685</f>
        <v/>
      </c>
      <c r="N8685" s="11">
        <f>Summary!$C$16*Summary!$B$8</f>
        <v/>
      </c>
      <c r="O8685" s="11">
        <f>M8685-N8685</f>
        <v/>
      </c>
    </row>
    <row r="8686">
      <c r="A8686" s="9" t="n">
        <v>45653.83333333334</v>
      </c>
      <c r="B8686" t="n">
        <v>12</v>
      </c>
      <c r="C8686" t="n">
        <v>27</v>
      </c>
      <c r="D8686" t="n">
        <v>20</v>
      </c>
      <c r="E8686" s="10" t="n">
        <v>0</v>
      </c>
      <c r="F8686" s="10" t="n">
        <v>0.3663719439292665</v>
      </c>
      <c r="G8686" s="11">
        <f>E8686*Summary!$B$6</f>
        <v/>
      </c>
      <c r="H8686" s="11">
        <f>F8686*Summary!$B$7</f>
        <v/>
      </c>
      <c r="I8686" s="11">
        <f>MAX(0,N8686-M8686)</f>
        <v/>
      </c>
      <c r="J8686" s="11">
        <f>MAX(0,M8686-N8686)</f>
        <v/>
      </c>
      <c r="K8686" s="11">
        <f>O8686</f>
        <v/>
      </c>
      <c r="L8686" s="11">
        <f>L8685+IF(K8686&gt;0,K8686*Summary!$B$9,K8686/Summary!$B$9)</f>
        <v/>
      </c>
      <c r="M8686" s="11">
        <f>G8686+H8686</f>
        <v/>
      </c>
      <c r="N8686" s="11">
        <f>Summary!$C$16*Summary!$B$8</f>
        <v/>
      </c>
      <c r="O8686" s="11">
        <f>M8686-N8686</f>
        <v/>
      </c>
    </row>
    <row r="8687">
      <c r="A8687" s="9" t="n">
        <v>45653.875</v>
      </c>
      <c r="B8687" t="n">
        <v>12</v>
      </c>
      <c r="C8687" t="n">
        <v>27</v>
      </c>
      <c r="D8687" t="n">
        <v>21</v>
      </c>
      <c r="E8687" s="10" t="n">
        <v>0</v>
      </c>
      <c r="F8687" s="10" t="n">
        <v>0.3675577842138683</v>
      </c>
      <c r="G8687" s="11">
        <f>E8687*Summary!$B$6</f>
        <v/>
      </c>
      <c r="H8687" s="11">
        <f>F8687*Summary!$B$7</f>
        <v/>
      </c>
      <c r="I8687" s="11">
        <f>MAX(0,N8687-M8687)</f>
        <v/>
      </c>
      <c r="J8687" s="11">
        <f>MAX(0,M8687-N8687)</f>
        <v/>
      </c>
      <c r="K8687" s="11">
        <f>O8687</f>
        <v/>
      </c>
      <c r="L8687" s="11">
        <f>L8686+IF(K8687&gt;0,K8687*Summary!$B$9,K8687/Summary!$B$9)</f>
        <v/>
      </c>
      <c r="M8687" s="11">
        <f>G8687+H8687</f>
        <v/>
      </c>
      <c r="N8687" s="11">
        <f>Summary!$C$16*Summary!$B$8</f>
        <v/>
      </c>
      <c r="O8687" s="11">
        <f>M8687-N8687</f>
        <v/>
      </c>
    </row>
    <row r="8688">
      <c r="A8688" s="9" t="n">
        <v>45653.91666666666</v>
      </c>
      <c r="B8688" t="n">
        <v>12</v>
      </c>
      <c r="C8688" t="n">
        <v>27</v>
      </c>
      <c r="D8688" t="n">
        <v>22</v>
      </c>
      <c r="E8688" s="10" t="n">
        <v>0</v>
      </c>
      <c r="F8688" s="10" t="n">
        <v>0.3660557198533728</v>
      </c>
      <c r="G8688" s="11">
        <f>E8688*Summary!$B$6</f>
        <v/>
      </c>
      <c r="H8688" s="11">
        <f>F8688*Summary!$B$7</f>
        <v/>
      </c>
      <c r="I8688" s="11">
        <f>MAX(0,N8688-M8688)</f>
        <v/>
      </c>
      <c r="J8688" s="11">
        <f>MAX(0,M8688-N8688)</f>
        <v/>
      </c>
      <c r="K8688" s="11">
        <f>O8688</f>
        <v/>
      </c>
      <c r="L8688" s="11">
        <f>L8687+IF(K8688&gt;0,K8688*Summary!$B$9,K8688/Summary!$B$9)</f>
        <v/>
      </c>
      <c r="M8688" s="11">
        <f>G8688+H8688</f>
        <v/>
      </c>
      <c r="N8688" s="11">
        <f>Summary!$C$16*Summary!$B$8</f>
        <v/>
      </c>
      <c r="O8688" s="11">
        <f>M8688-N8688</f>
        <v/>
      </c>
    </row>
    <row r="8689">
      <c r="A8689" s="9" t="n">
        <v>45653.95833333334</v>
      </c>
      <c r="B8689" t="n">
        <v>12</v>
      </c>
      <c r="C8689" t="n">
        <v>27</v>
      </c>
      <c r="D8689" t="n">
        <v>23</v>
      </c>
      <c r="E8689" s="10" t="n">
        <v>0</v>
      </c>
      <c r="F8689" s="10" t="n">
        <v>0.3639475593474142</v>
      </c>
      <c r="G8689" s="11">
        <f>E8689*Summary!$B$6</f>
        <v/>
      </c>
      <c r="H8689" s="11">
        <f>F8689*Summary!$B$7</f>
        <v/>
      </c>
      <c r="I8689" s="11">
        <f>MAX(0,N8689-M8689)</f>
        <v/>
      </c>
      <c r="J8689" s="11">
        <f>MAX(0,M8689-N8689)</f>
        <v/>
      </c>
      <c r="K8689" s="11">
        <f>O8689</f>
        <v/>
      </c>
      <c r="L8689" s="11">
        <f>L8688+IF(K8689&gt;0,K8689*Summary!$B$9,K8689/Summary!$B$9)</f>
        <v/>
      </c>
      <c r="M8689" s="11">
        <f>G8689+H8689</f>
        <v/>
      </c>
      <c r="N8689" s="11">
        <f>Summary!$C$16*Summary!$B$8</f>
        <v/>
      </c>
      <c r="O8689" s="11">
        <f>M8689-N8689</f>
        <v/>
      </c>
    </row>
    <row r="8690">
      <c r="A8690" s="9" t="n">
        <v>45654</v>
      </c>
      <c r="B8690" t="n">
        <v>12</v>
      </c>
      <c r="C8690" t="n">
        <v>28</v>
      </c>
      <c r="D8690" t="n">
        <v>0</v>
      </c>
      <c r="E8690" s="10" t="n">
        <v>0</v>
      </c>
      <c r="F8690" s="10" t="n">
        <v>0.381392587534221</v>
      </c>
      <c r="G8690" s="11">
        <f>E8690*Summary!$B$6</f>
        <v/>
      </c>
      <c r="H8690" s="11">
        <f>F8690*Summary!$B$7</f>
        <v/>
      </c>
      <c r="I8690" s="11">
        <f>MAX(0,N8690-M8690)</f>
        <v/>
      </c>
      <c r="J8690" s="11">
        <f>MAX(0,M8690-N8690)</f>
        <v/>
      </c>
      <c r="K8690" s="11">
        <f>O8690</f>
        <v/>
      </c>
      <c r="L8690" s="11">
        <f>L8689+IF(K8690&gt;0,K8690*Summary!$B$9,K8690/Summary!$B$9)</f>
        <v/>
      </c>
      <c r="M8690" s="11">
        <f>G8690+H8690</f>
        <v/>
      </c>
      <c r="N8690" s="11">
        <f>Summary!$C$16*Summary!$B$8</f>
        <v/>
      </c>
      <c r="O8690" s="11">
        <f>M8690-N8690</f>
        <v/>
      </c>
    </row>
    <row r="8691">
      <c r="A8691" s="9" t="n">
        <v>45654.04166666666</v>
      </c>
      <c r="B8691" t="n">
        <v>12</v>
      </c>
      <c r="C8691" t="n">
        <v>28</v>
      </c>
      <c r="D8691" t="n">
        <v>1</v>
      </c>
      <c r="E8691" s="10" t="n">
        <v>0</v>
      </c>
      <c r="F8691" s="10" t="n">
        <v>0.3964132311391755</v>
      </c>
      <c r="G8691" s="11">
        <f>E8691*Summary!$B$6</f>
        <v/>
      </c>
      <c r="H8691" s="11">
        <f>F8691*Summary!$B$7</f>
        <v/>
      </c>
      <c r="I8691" s="11">
        <f>MAX(0,N8691-M8691)</f>
        <v/>
      </c>
      <c r="J8691" s="11">
        <f>MAX(0,M8691-N8691)</f>
        <v/>
      </c>
      <c r="K8691" s="11">
        <f>O8691</f>
        <v/>
      </c>
      <c r="L8691" s="11">
        <f>L8690+IF(K8691&gt;0,K8691*Summary!$B$9,K8691/Summary!$B$9)</f>
        <v/>
      </c>
      <c r="M8691" s="11">
        <f>G8691+H8691</f>
        <v/>
      </c>
      <c r="N8691" s="11">
        <f>Summary!$C$16*Summary!$B$8</f>
        <v/>
      </c>
      <c r="O8691" s="11">
        <f>M8691-N8691</f>
        <v/>
      </c>
    </row>
    <row r="8692">
      <c r="A8692" s="9" t="n">
        <v>45654.08333333334</v>
      </c>
      <c r="B8692" t="n">
        <v>12</v>
      </c>
      <c r="C8692" t="n">
        <v>28</v>
      </c>
      <c r="D8692" t="n">
        <v>2</v>
      </c>
      <c r="E8692" s="10" t="n">
        <v>0</v>
      </c>
      <c r="F8692" s="10" t="n">
        <v>0.3612596547023171</v>
      </c>
      <c r="G8692" s="11">
        <f>E8692*Summary!$B$6</f>
        <v/>
      </c>
      <c r="H8692" s="11">
        <f>F8692*Summary!$B$7</f>
        <v/>
      </c>
      <c r="I8692" s="11">
        <f>MAX(0,N8692-M8692)</f>
        <v/>
      </c>
      <c r="J8692" s="11">
        <f>MAX(0,M8692-N8692)</f>
        <v/>
      </c>
      <c r="K8692" s="11">
        <f>O8692</f>
        <v/>
      </c>
      <c r="L8692" s="11">
        <f>L8691+IF(K8692&gt;0,K8692*Summary!$B$9,K8692/Summary!$B$9)</f>
        <v/>
      </c>
      <c r="M8692" s="11">
        <f>G8692+H8692</f>
        <v/>
      </c>
      <c r="N8692" s="11">
        <f>Summary!$C$16*Summary!$B$8</f>
        <v/>
      </c>
      <c r="O8692" s="11">
        <f>M8692-N8692</f>
        <v/>
      </c>
    </row>
    <row r="8693">
      <c r="A8693" s="9" t="n">
        <v>45654.125</v>
      </c>
      <c r="B8693" t="n">
        <v>12</v>
      </c>
      <c r="C8693" t="n">
        <v>28</v>
      </c>
      <c r="D8693" t="n">
        <v>3</v>
      </c>
      <c r="E8693" s="10" t="n">
        <v>0</v>
      </c>
      <c r="F8693" s="10" t="n">
        <v>0.3633414632019512</v>
      </c>
      <c r="G8693" s="11">
        <f>E8693*Summary!$B$6</f>
        <v/>
      </c>
      <c r="H8693" s="11">
        <f>F8693*Summary!$B$7</f>
        <v/>
      </c>
      <c r="I8693" s="11">
        <f>MAX(0,N8693-M8693)</f>
        <v/>
      </c>
      <c r="J8693" s="11">
        <f>MAX(0,M8693-N8693)</f>
        <v/>
      </c>
      <c r="K8693" s="11">
        <f>O8693</f>
        <v/>
      </c>
      <c r="L8693" s="11">
        <f>L8692+IF(K8693&gt;0,K8693*Summary!$B$9,K8693/Summary!$B$9)</f>
        <v/>
      </c>
      <c r="M8693" s="11">
        <f>G8693+H8693</f>
        <v/>
      </c>
      <c r="N8693" s="11">
        <f>Summary!$C$16*Summary!$B$8</f>
        <v/>
      </c>
      <c r="O8693" s="11">
        <f>M8693-N8693</f>
        <v/>
      </c>
    </row>
    <row r="8694">
      <c r="A8694" s="9" t="n">
        <v>45654.16666666666</v>
      </c>
      <c r="B8694" t="n">
        <v>12</v>
      </c>
      <c r="C8694" t="n">
        <v>28</v>
      </c>
      <c r="D8694" t="n">
        <v>4</v>
      </c>
      <c r="E8694" s="10" t="n">
        <v>0</v>
      </c>
      <c r="F8694" s="10" t="n">
        <v>0.3633151111956267</v>
      </c>
      <c r="G8694" s="11">
        <f>E8694*Summary!$B$6</f>
        <v/>
      </c>
      <c r="H8694" s="11">
        <f>F8694*Summary!$B$7</f>
        <v/>
      </c>
      <c r="I8694" s="11">
        <f>MAX(0,N8694-M8694)</f>
        <v/>
      </c>
      <c r="J8694" s="11">
        <f>MAX(0,M8694-N8694)</f>
        <v/>
      </c>
      <c r="K8694" s="11">
        <f>O8694</f>
        <v/>
      </c>
      <c r="L8694" s="11">
        <f>L8693+IF(K8694&gt;0,K8694*Summary!$B$9,K8694/Summary!$B$9)</f>
        <v/>
      </c>
      <c r="M8694" s="11">
        <f>G8694+H8694</f>
        <v/>
      </c>
      <c r="N8694" s="11">
        <f>Summary!$C$16*Summary!$B$8</f>
        <v/>
      </c>
      <c r="O8694" s="11">
        <f>M8694-N8694</f>
        <v/>
      </c>
    </row>
    <row r="8695">
      <c r="A8695" s="9" t="n">
        <v>45654.20833333334</v>
      </c>
      <c r="B8695" t="n">
        <v>12</v>
      </c>
      <c r="C8695" t="n">
        <v>28</v>
      </c>
      <c r="D8695" t="n">
        <v>5</v>
      </c>
      <c r="E8695" s="10" t="n">
        <v>0</v>
      </c>
      <c r="F8695" s="10" t="n">
        <v>0.3607853185884764</v>
      </c>
      <c r="G8695" s="11">
        <f>E8695*Summary!$B$6</f>
        <v/>
      </c>
      <c r="H8695" s="11">
        <f>F8695*Summary!$B$7</f>
        <v/>
      </c>
      <c r="I8695" s="11">
        <f>MAX(0,N8695-M8695)</f>
        <v/>
      </c>
      <c r="J8695" s="11">
        <f>MAX(0,M8695-N8695)</f>
        <v/>
      </c>
      <c r="K8695" s="11">
        <f>O8695</f>
        <v/>
      </c>
      <c r="L8695" s="11">
        <f>L8694+IF(K8695&gt;0,K8695*Summary!$B$9,K8695/Summary!$B$9)</f>
        <v/>
      </c>
      <c r="M8695" s="11">
        <f>G8695+H8695</f>
        <v/>
      </c>
      <c r="N8695" s="11">
        <f>Summary!$C$16*Summary!$B$8</f>
        <v/>
      </c>
      <c r="O8695" s="11">
        <f>M8695-N8695</f>
        <v/>
      </c>
    </row>
    <row r="8696">
      <c r="A8696" s="9" t="n">
        <v>45654.25</v>
      </c>
      <c r="B8696" t="n">
        <v>12</v>
      </c>
      <c r="C8696" t="n">
        <v>28</v>
      </c>
      <c r="D8696" t="n">
        <v>6</v>
      </c>
      <c r="E8696" s="10" t="n">
        <v>0</v>
      </c>
      <c r="F8696" s="10" t="n">
        <v>0.3544871890769254</v>
      </c>
      <c r="G8696" s="11">
        <f>E8696*Summary!$B$6</f>
        <v/>
      </c>
      <c r="H8696" s="11">
        <f>F8696*Summary!$B$7</f>
        <v/>
      </c>
      <c r="I8696" s="11">
        <f>MAX(0,N8696-M8696)</f>
        <v/>
      </c>
      <c r="J8696" s="11">
        <f>MAX(0,M8696-N8696)</f>
        <v/>
      </c>
      <c r="K8696" s="11">
        <f>O8696</f>
        <v/>
      </c>
      <c r="L8696" s="11">
        <f>L8695+IF(K8696&gt;0,K8696*Summary!$B$9,K8696/Summary!$B$9)</f>
        <v/>
      </c>
      <c r="M8696" s="11">
        <f>G8696+H8696</f>
        <v/>
      </c>
      <c r="N8696" s="11">
        <f>Summary!$C$16*Summary!$B$8</f>
        <v/>
      </c>
      <c r="O8696" s="11">
        <f>M8696-N8696</f>
        <v/>
      </c>
    </row>
    <row r="8697">
      <c r="A8697" s="9" t="n">
        <v>45654.29166666666</v>
      </c>
      <c r="B8697" t="n">
        <v>12</v>
      </c>
      <c r="C8697" t="n">
        <v>28</v>
      </c>
      <c r="D8697" t="n">
        <v>7</v>
      </c>
      <c r="E8697" s="10" t="n">
        <v>0</v>
      </c>
      <c r="F8697" s="10" t="n">
        <v>0.3513776523306366</v>
      </c>
      <c r="G8697" s="11">
        <f>E8697*Summary!$B$6</f>
        <v/>
      </c>
      <c r="H8697" s="11">
        <f>F8697*Summary!$B$7</f>
        <v/>
      </c>
      <c r="I8697" s="11">
        <f>MAX(0,N8697-M8697)</f>
        <v/>
      </c>
      <c r="J8697" s="11">
        <f>MAX(0,M8697-N8697)</f>
        <v/>
      </c>
      <c r="K8697" s="11">
        <f>O8697</f>
        <v/>
      </c>
      <c r="L8697" s="11">
        <f>L8696+IF(K8697&gt;0,K8697*Summary!$B$9,K8697/Summary!$B$9)</f>
        <v/>
      </c>
      <c r="M8697" s="11">
        <f>G8697+H8697</f>
        <v/>
      </c>
      <c r="N8697" s="11">
        <f>Summary!$C$16*Summary!$B$8</f>
        <v/>
      </c>
      <c r="O8697" s="11">
        <f>M8697-N8697</f>
        <v/>
      </c>
    </row>
    <row r="8698">
      <c r="A8698" s="9" t="n">
        <v>45654.33333333334</v>
      </c>
      <c r="B8698" t="n">
        <v>12</v>
      </c>
      <c r="C8698" t="n">
        <v>28</v>
      </c>
      <c r="D8698" t="n">
        <v>8</v>
      </c>
      <c r="E8698" s="10" t="n">
        <v>0</v>
      </c>
      <c r="F8698" s="10" t="n">
        <v>0.3426287862309087</v>
      </c>
      <c r="G8698" s="11">
        <f>E8698*Summary!$B$6</f>
        <v/>
      </c>
      <c r="H8698" s="11">
        <f>F8698*Summary!$B$7</f>
        <v/>
      </c>
      <c r="I8698" s="11">
        <f>MAX(0,N8698-M8698)</f>
        <v/>
      </c>
      <c r="J8698" s="11">
        <f>MAX(0,M8698-N8698)</f>
        <v/>
      </c>
      <c r="K8698" s="11">
        <f>O8698</f>
        <v/>
      </c>
      <c r="L8698" s="11">
        <f>L8697+IF(K8698&gt;0,K8698*Summary!$B$9,K8698/Summary!$B$9)</f>
        <v/>
      </c>
      <c r="M8698" s="11">
        <f>G8698+H8698</f>
        <v/>
      </c>
      <c r="N8698" s="11">
        <f>Summary!$C$16*Summary!$B$8</f>
        <v/>
      </c>
      <c r="O8698" s="11">
        <f>M8698-N8698</f>
        <v/>
      </c>
    </row>
    <row r="8699">
      <c r="A8699" s="9" t="n">
        <v>45654.375</v>
      </c>
      <c r="B8699" t="n">
        <v>12</v>
      </c>
      <c r="C8699" t="n">
        <v>28</v>
      </c>
      <c r="D8699" t="n">
        <v>9</v>
      </c>
      <c r="E8699" s="10" t="n">
        <v>0.032263</v>
      </c>
      <c r="F8699" s="10" t="n">
        <v>0.3330630079351219</v>
      </c>
      <c r="G8699" s="11">
        <f>E8699*Summary!$B$6</f>
        <v/>
      </c>
      <c r="H8699" s="11">
        <f>F8699*Summary!$B$7</f>
        <v/>
      </c>
      <c r="I8699" s="11">
        <f>MAX(0,N8699-M8699)</f>
        <v/>
      </c>
      <c r="J8699" s="11">
        <f>MAX(0,M8699-N8699)</f>
        <v/>
      </c>
      <c r="K8699" s="11">
        <f>O8699</f>
        <v/>
      </c>
      <c r="L8699" s="11">
        <f>L8698+IF(K8699&gt;0,K8699*Summary!$B$9,K8699/Summary!$B$9)</f>
        <v/>
      </c>
      <c r="M8699" s="11">
        <f>G8699+H8699</f>
        <v/>
      </c>
      <c r="N8699" s="11">
        <f>Summary!$C$16*Summary!$B$8</f>
        <v/>
      </c>
      <c r="O8699" s="11">
        <f>M8699-N8699</f>
        <v/>
      </c>
    </row>
    <row r="8700">
      <c r="A8700" s="9" t="n">
        <v>45654.41666666666</v>
      </c>
      <c r="B8700" t="n">
        <v>12</v>
      </c>
      <c r="C8700" t="n">
        <v>28</v>
      </c>
      <c r="D8700" t="n">
        <v>10</v>
      </c>
      <c r="E8700" s="10" t="n">
        <v>0.12377</v>
      </c>
      <c r="F8700" s="10" t="n">
        <v>0.3195971327033119</v>
      </c>
      <c r="G8700" s="11">
        <f>E8700*Summary!$B$6</f>
        <v/>
      </c>
      <c r="H8700" s="11">
        <f>F8700*Summary!$B$7</f>
        <v/>
      </c>
      <c r="I8700" s="11">
        <f>MAX(0,N8700-M8700)</f>
        <v/>
      </c>
      <c r="J8700" s="11">
        <f>MAX(0,M8700-N8700)</f>
        <v/>
      </c>
      <c r="K8700" s="11">
        <f>O8700</f>
        <v/>
      </c>
      <c r="L8700" s="11">
        <f>L8699+IF(K8700&gt;0,K8700*Summary!$B$9,K8700/Summary!$B$9)</f>
        <v/>
      </c>
      <c r="M8700" s="11">
        <f>G8700+H8700</f>
        <v/>
      </c>
      <c r="N8700" s="11">
        <f>Summary!$C$16*Summary!$B$8</f>
        <v/>
      </c>
      <c r="O8700" s="11">
        <f>M8700-N8700</f>
        <v/>
      </c>
    </row>
    <row r="8701">
      <c r="A8701" s="9" t="n">
        <v>45654.45833333334</v>
      </c>
      <c r="B8701" t="n">
        <v>12</v>
      </c>
      <c r="C8701" t="n">
        <v>28</v>
      </c>
      <c r="D8701" t="n">
        <v>11</v>
      </c>
      <c r="E8701" s="10" t="n">
        <v>0.183723</v>
      </c>
      <c r="F8701" s="10" t="n">
        <v>0.3096887783253068</v>
      </c>
      <c r="G8701" s="11">
        <f>E8701*Summary!$B$6</f>
        <v/>
      </c>
      <c r="H8701" s="11">
        <f>F8701*Summary!$B$7</f>
        <v/>
      </c>
      <c r="I8701" s="11">
        <f>MAX(0,N8701-M8701)</f>
        <v/>
      </c>
      <c r="J8701" s="11">
        <f>MAX(0,M8701-N8701)</f>
        <v/>
      </c>
      <c r="K8701" s="11">
        <f>O8701</f>
        <v/>
      </c>
      <c r="L8701" s="11">
        <f>L8700+IF(K8701&gt;0,K8701*Summary!$B$9,K8701/Summary!$B$9)</f>
        <v/>
      </c>
      <c r="M8701" s="11">
        <f>G8701+H8701</f>
        <v/>
      </c>
      <c r="N8701" s="11">
        <f>Summary!$C$16*Summary!$B$8</f>
        <v/>
      </c>
      <c r="O8701" s="11">
        <f>M8701-N8701</f>
        <v/>
      </c>
    </row>
    <row r="8702">
      <c r="A8702" s="9" t="n">
        <v>45654.5</v>
      </c>
      <c r="B8702" t="n">
        <v>12</v>
      </c>
      <c r="C8702" t="n">
        <v>28</v>
      </c>
      <c r="D8702" t="n">
        <v>12</v>
      </c>
      <c r="E8702" s="10" t="n">
        <v>0.188654</v>
      </c>
      <c r="F8702" s="10" t="n">
        <v>0.3298480631635352</v>
      </c>
      <c r="G8702" s="11">
        <f>E8702*Summary!$B$6</f>
        <v/>
      </c>
      <c r="H8702" s="11">
        <f>F8702*Summary!$B$7</f>
        <v/>
      </c>
      <c r="I8702" s="11">
        <f>MAX(0,N8702-M8702)</f>
        <v/>
      </c>
      <c r="J8702" s="11">
        <f>MAX(0,M8702-N8702)</f>
        <v/>
      </c>
      <c r="K8702" s="11">
        <f>O8702</f>
        <v/>
      </c>
      <c r="L8702" s="11">
        <f>L8701+IF(K8702&gt;0,K8702*Summary!$B$9,K8702/Summary!$B$9)</f>
        <v/>
      </c>
      <c r="M8702" s="11">
        <f>G8702+H8702</f>
        <v/>
      </c>
      <c r="N8702" s="11">
        <f>Summary!$C$16*Summary!$B$8</f>
        <v/>
      </c>
      <c r="O8702" s="11">
        <f>M8702-N8702</f>
        <v/>
      </c>
    </row>
    <row r="8703">
      <c r="A8703" s="9" t="n">
        <v>45654.54166666666</v>
      </c>
      <c r="B8703" t="n">
        <v>12</v>
      </c>
      <c r="C8703" t="n">
        <v>28</v>
      </c>
      <c r="D8703" t="n">
        <v>13</v>
      </c>
      <c r="E8703" s="10" t="n">
        <v>0.101587</v>
      </c>
      <c r="F8703" s="10" t="n">
        <v>0.2998067759536263</v>
      </c>
      <c r="G8703" s="11">
        <f>E8703*Summary!$B$6</f>
        <v/>
      </c>
      <c r="H8703" s="11">
        <f>F8703*Summary!$B$7</f>
        <v/>
      </c>
      <c r="I8703" s="11">
        <f>MAX(0,N8703-M8703)</f>
        <v/>
      </c>
      <c r="J8703" s="11">
        <f>MAX(0,M8703-N8703)</f>
        <v/>
      </c>
      <c r="K8703" s="11">
        <f>O8703</f>
        <v/>
      </c>
      <c r="L8703" s="11">
        <f>L8702+IF(K8703&gt;0,K8703*Summary!$B$9,K8703/Summary!$B$9)</f>
        <v/>
      </c>
      <c r="M8703" s="11">
        <f>G8703+H8703</f>
        <v/>
      </c>
      <c r="N8703" s="11">
        <f>Summary!$C$16*Summary!$B$8</f>
        <v/>
      </c>
      <c r="O8703" s="11">
        <f>M8703-N8703</f>
        <v/>
      </c>
    </row>
    <row r="8704">
      <c r="A8704" s="9" t="n">
        <v>45654.58333333334</v>
      </c>
      <c r="B8704" t="n">
        <v>12</v>
      </c>
      <c r="C8704" t="n">
        <v>28</v>
      </c>
      <c r="D8704" t="n">
        <v>14</v>
      </c>
      <c r="E8704" s="10" t="n">
        <v>0.043603</v>
      </c>
      <c r="F8704" s="10" t="n">
        <v>0.2977249674539922</v>
      </c>
      <c r="G8704" s="11">
        <f>E8704*Summary!$B$6</f>
        <v/>
      </c>
      <c r="H8704" s="11">
        <f>F8704*Summary!$B$7</f>
        <v/>
      </c>
      <c r="I8704" s="11">
        <f>MAX(0,N8704-M8704)</f>
        <v/>
      </c>
      <c r="J8704" s="11">
        <f>MAX(0,M8704-N8704)</f>
        <v/>
      </c>
      <c r="K8704" s="11">
        <f>O8704</f>
        <v/>
      </c>
      <c r="L8704" s="11">
        <f>L8703+IF(K8704&gt;0,K8704*Summary!$B$9,K8704/Summary!$B$9)</f>
        <v/>
      </c>
      <c r="M8704" s="11">
        <f>G8704+H8704</f>
        <v/>
      </c>
      <c r="N8704" s="11">
        <f>Summary!$C$16*Summary!$B$8</f>
        <v/>
      </c>
      <c r="O8704" s="11">
        <f>M8704-N8704</f>
        <v/>
      </c>
    </row>
    <row r="8705">
      <c r="A8705" s="9" t="n">
        <v>45654.625</v>
      </c>
      <c r="B8705" t="n">
        <v>12</v>
      </c>
      <c r="C8705" t="n">
        <v>28</v>
      </c>
      <c r="D8705" t="n">
        <v>15</v>
      </c>
      <c r="E8705" s="10" t="n">
        <v>0</v>
      </c>
      <c r="F8705" s="10" t="n">
        <v>0.3085556420533541</v>
      </c>
      <c r="G8705" s="11">
        <f>E8705*Summary!$B$6</f>
        <v/>
      </c>
      <c r="H8705" s="11">
        <f>F8705*Summary!$B$7</f>
        <v/>
      </c>
      <c r="I8705" s="11">
        <f>MAX(0,N8705-M8705)</f>
        <v/>
      </c>
      <c r="J8705" s="11">
        <f>MAX(0,M8705-N8705)</f>
        <v/>
      </c>
      <c r="K8705" s="11">
        <f>O8705</f>
        <v/>
      </c>
      <c r="L8705" s="11">
        <f>L8704+IF(K8705&gt;0,K8705*Summary!$B$9,K8705/Summary!$B$9)</f>
        <v/>
      </c>
      <c r="M8705" s="11">
        <f>G8705+H8705</f>
        <v/>
      </c>
      <c r="N8705" s="11">
        <f>Summary!$C$16*Summary!$B$8</f>
        <v/>
      </c>
      <c r="O8705" s="11">
        <f>M8705-N8705</f>
        <v/>
      </c>
    </row>
    <row r="8706">
      <c r="A8706" s="9" t="n">
        <v>45654.66666666666</v>
      </c>
      <c r="B8706" t="n">
        <v>12</v>
      </c>
      <c r="C8706" t="n">
        <v>28</v>
      </c>
      <c r="D8706" t="n">
        <v>16</v>
      </c>
      <c r="E8706" s="10" t="n">
        <v>0</v>
      </c>
      <c r="F8706" s="10" t="n">
        <v>0.3125611470146753</v>
      </c>
      <c r="G8706" s="11">
        <f>E8706*Summary!$B$6</f>
        <v/>
      </c>
      <c r="H8706" s="11">
        <f>F8706*Summary!$B$7</f>
        <v/>
      </c>
      <c r="I8706" s="11">
        <f>MAX(0,N8706-M8706)</f>
        <v/>
      </c>
      <c r="J8706" s="11">
        <f>MAX(0,M8706-N8706)</f>
        <v/>
      </c>
      <c r="K8706" s="11">
        <f>O8706</f>
        <v/>
      </c>
      <c r="L8706" s="11">
        <f>L8705+IF(K8706&gt;0,K8706*Summary!$B$9,K8706/Summary!$B$9)</f>
        <v/>
      </c>
      <c r="M8706" s="11">
        <f>G8706+H8706</f>
        <v/>
      </c>
      <c r="N8706" s="11">
        <f>Summary!$C$16*Summary!$B$8</f>
        <v/>
      </c>
      <c r="O8706" s="11">
        <f>M8706-N8706</f>
        <v/>
      </c>
    </row>
    <row r="8707">
      <c r="A8707" s="9" t="n">
        <v>45654.70833333334</v>
      </c>
      <c r="B8707" t="n">
        <v>12</v>
      </c>
      <c r="C8707" t="n">
        <v>28</v>
      </c>
      <c r="D8707" t="n">
        <v>17</v>
      </c>
      <c r="E8707" s="10" t="n">
        <v>0</v>
      </c>
      <c r="F8707" s="10" t="n">
        <v>0.3185167004440081</v>
      </c>
      <c r="G8707" s="11">
        <f>E8707*Summary!$B$6</f>
        <v/>
      </c>
      <c r="H8707" s="11">
        <f>F8707*Summary!$B$7</f>
        <v/>
      </c>
      <c r="I8707" s="11">
        <f>MAX(0,N8707-M8707)</f>
        <v/>
      </c>
      <c r="J8707" s="11">
        <f>MAX(0,M8707-N8707)</f>
        <v/>
      </c>
      <c r="K8707" s="11">
        <f>O8707</f>
        <v/>
      </c>
      <c r="L8707" s="11">
        <f>L8706+IF(K8707&gt;0,K8707*Summary!$B$9,K8707/Summary!$B$9)</f>
        <v/>
      </c>
      <c r="M8707" s="11">
        <f>G8707+H8707</f>
        <v/>
      </c>
      <c r="N8707" s="11">
        <f>Summary!$C$16*Summary!$B$8</f>
        <v/>
      </c>
      <c r="O8707" s="11">
        <f>M8707-N8707</f>
        <v/>
      </c>
    </row>
    <row r="8708">
      <c r="A8708" s="9" t="n">
        <v>45654.75</v>
      </c>
      <c r="B8708" t="n">
        <v>12</v>
      </c>
      <c r="C8708" t="n">
        <v>28</v>
      </c>
      <c r="D8708" t="n">
        <v>18</v>
      </c>
      <c r="E8708" s="10" t="n">
        <v>0</v>
      </c>
      <c r="F8708" s="10" t="n">
        <v>0.3251837580441019</v>
      </c>
      <c r="G8708" s="11">
        <f>E8708*Summary!$B$6</f>
        <v/>
      </c>
      <c r="H8708" s="11">
        <f>F8708*Summary!$B$7</f>
        <v/>
      </c>
      <c r="I8708" s="11">
        <f>MAX(0,N8708-M8708)</f>
        <v/>
      </c>
      <c r="J8708" s="11">
        <f>MAX(0,M8708-N8708)</f>
        <v/>
      </c>
      <c r="K8708" s="11">
        <f>O8708</f>
        <v/>
      </c>
      <c r="L8708" s="11">
        <f>L8707+IF(K8708&gt;0,K8708*Summary!$B$9,K8708/Summary!$B$9)</f>
        <v/>
      </c>
      <c r="M8708" s="11">
        <f>G8708+H8708</f>
        <v/>
      </c>
      <c r="N8708" s="11">
        <f>Summary!$C$16*Summary!$B$8</f>
        <v/>
      </c>
      <c r="O8708" s="11">
        <f>M8708-N8708</f>
        <v/>
      </c>
    </row>
    <row r="8709">
      <c r="A8709" s="9" t="n">
        <v>45654.79166666666</v>
      </c>
      <c r="B8709" t="n">
        <v>12</v>
      </c>
      <c r="C8709" t="n">
        <v>28</v>
      </c>
      <c r="D8709" t="n">
        <v>19</v>
      </c>
      <c r="E8709" s="10" t="n">
        <v>0</v>
      </c>
      <c r="F8709" s="10" t="n">
        <v>0.3306913273659186</v>
      </c>
      <c r="G8709" s="11">
        <f>E8709*Summary!$B$6</f>
        <v/>
      </c>
      <c r="H8709" s="11">
        <f>F8709*Summary!$B$7</f>
        <v/>
      </c>
      <c r="I8709" s="11">
        <f>MAX(0,N8709-M8709)</f>
        <v/>
      </c>
      <c r="J8709" s="11">
        <f>MAX(0,M8709-N8709)</f>
        <v/>
      </c>
      <c r="K8709" s="11">
        <f>O8709</f>
        <v/>
      </c>
      <c r="L8709" s="11">
        <f>L8708+IF(K8709&gt;0,K8709*Summary!$B$9,K8709/Summary!$B$9)</f>
        <v/>
      </c>
      <c r="M8709" s="11">
        <f>G8709+H8709</f>
        <v/>
      </c>
      <c r="N8709" s="11">
        <f>Summary!$C$16*Summary!$B$8</f>
        <v/>
      </c>
      <c r="O8709" s="11">
        <f>M8709-N8709</f>
        <v/>
      </c>
    </row>
    <row r="8710">
      <c r="A8710" s="9" t="n">
        <v>45654.83333333334</v>
      </c>
      <c r="B8710" t="n">
        <v>12</v>
      </c>
      <c r="C8710" t="n">
        <v>28</v>
      </c>
      <c r="D8710" t="n">
        <v>20</v>
      </c>
      <c r="E8710" s="10" t="n">
        <v>0</v>
      </c>
      <c r="F8710" s="10" t="n">
        <v>0.3375692010166083</v>
      </c>
      <c r="G8710" s="11">
        <f>E8710*Summary!$B$6</f>
        <v/>
      </c>
      <c r="H8710" s="11">
        <f>F8710*Summary!$B$7</f>
        <v/>
      </c>
      <c r="I8710" s="11">
        <f>MAX(0,N8710-M8710)</f>
        <v/>
      </c>
      <c r="J8710" s="11">
        <f>MAX(0,M8710-N8710)</f>
        <v/>
      </c>
      <c r="K8710" s="11">
        <f>O8710</f>
        <v/>
      </c>
      <c r="L8710" s="11">
        <f>L8709+IF(K8710&gt;0,K8710*Summary!$B$9,K8710/Summary!$B$9)</f>
        <v/>
      </c>
      <c r="M8710" s="11">
        <f>G8710+H8710</f>
        <v/>
      </c>
      <c r="N8710" s="11">
        <f>Summary!$C$16*Summary!$B$8</f>
        <v/>
      </c>
      <c r="O8710" s="11">
        <f>M8710-N8710</f>
        <v/>
      </c>
    </row>
    <row r="8711">
      <c r="A8711" s="9" t="n">
        <v>45654.875</v>
      </c>
      <c r="B8711" t="n">
        <v>12</v>
      </c>
      <c r="C8711" t="n">
        <v>28</v>
      </c>
      <c r="D8711" t="n">
        <v>21</v>
      </c>
      <c r="E8711" s="10" t="n">
        <v>0</v>
      </c>
      <c r="F8711" s="10" t="n">
        <v>0.3469768672744481</v>
      </c>
      <c r="G8711" s="11">
        <f>E8711*Summary!$B$6</f>
        <v/>
      </c>
      <c r="H8711" s="11">
        <f>F8711*Summary!$B$7</f>
        <v/>
      </c>
      <c r="I8711" s="11">
        <f>MAX(0,N8711-M8711)</f>
        <v/>
      </c>
      <c r="J8711" s="11">
        <f>MAX(0,M8711-N8711)</f>
        <v/>
      </c>
      <c r="K8711" s="11">
        <f>O8711</f>
        <v/>
      </c>
      <c r="L8711" s="11">
        <f>L8710+IF(K8711&gt;0,K8711*Summary!$B$9,K8711/Summary!$B$9)</f>
        <v/>
      </c>
      <c r="M8711" s="11">
        <f>G8711+H8711</f>
        <v/>
      </c>
      <c r="N8711" s="11">
        <f>Summary!$C$16*Summary!$B$8</f>
        <v/>
      </c>
      <c r="O8711" s="11">
        <f>M8711-N8711</f>
        <v/>
      </c>
    </row>
    <row r="8712">
      <c r="A8712" s="9" t="n">
        <v>45654.91666666666</v>
      </c>
      <c r="B8712" t="n">
        <v>12</v>
      </c>
      <c r="C8712" t="n">
        <v>28</v>
      </c>
      <c r="D8712" t="n">
        <v>22</v>
      </c>
      <c r="E8712" s="10" t="n">
        <v>0</v>
      </c>
      <c r="F8712" s="10" t="n">
        <v>0.3611542466770192</v>
      </c>
      <c r="G8712" s="11">
        <f>E8712*Summary!$B$6</f>
        <v/>
      </c>
      <c r="H8712" s="11">
        <f>F8712*Summary!$B$7</f>
        <v/>
      </c>
      <c r="I8712" s="11">
        <f>MAX(0,N8712-M8712)</f>
        <v/>
      </c>
      <c r="J8712" s="11">
        <f>MAX(0,M8712-N8712)</f>
        <v/>
      </c>
      <c r="K8712" s="11">
        <f>O8712</f>
        <v/>
      </c>
      <c r="L8712" s="11">
        <f>L8711+IF(K8712&gt;0,K8712*Summary!$B$9,K8712/Summary!$B$9)</f>
        <v/>
      </c>
      <c r="M8712" s="11">
        <f>G8712+H8712</f>
        <v/>
      </c>
      <c r="N8712" s="11">
        <f>Summary!$C$16*Summary!$B$8</f>
        <v/>
      </c>
      <c r="O8712" s="11">
        <f>M8712-N8712</f>
        <v/>
      </c>
    </row>
    <row r="8713">
      <c r="A8713" s="9" t="n">
        <v>45654.95833333334</v>
      </c>
      <c r="B8713" t="n">
        <v>12</v>
      </c>
      <c r="C8713" t="n">
        <v>28</v>
      </c>
      <c r="D8713" t="n">
        <v>23</v>
      </c>
      <c r="E8713" s="10" t="n">
        <v>0</v>
      </c>
      <c r="F8713" s="10" t="n">
        <v>0.3730390015293603</v>
      </c>
      <c r="G8713" s="11">
        <f>E8713*Summary!$B$6</f>
        <v/>
      </c>
      <c r="H8713" s="11">
        <f>F8713*Summary!$B$7</f>
        <v/>
      </c>
      <c r="I8713" s="11">
        <f>MAX(0,N8713-M8713)</f>
        <v/>
      </c>
      <c r="J8713" s="11">
        <f>MAX(0,M8713-N8713)</f>
        <v/>
      </c>
      <c r="K8713" s="11">
        <f>O8713</f>
        <v/>
      </c>
      <c r="L8713" s="11">
        <f>L8712+IF(K8713&gt;0,K8713*Summary!$B$9,K8713/Summary!$B$9)</f>
        <v/>
      </c>
      <c r="M8713" s="11">
        <f>G8713+H8713</f>
        <v/>
      </c>
      <c r="N8713" s="11">
        <f>Summary!$C$16*Summary!$B$8</f>
        <v/>
      </c>
      <c r="O8713" s="11">
        <f>M8713-N8713</f>
        <v/>
      </c>
    </row>
    <row r="8714">
      <c r="A8714" s="9" t="n">
        <v>45655</v>
      </c>
      <c r="B8714" t="n">
        <v>12</v>
      </c>
      <c r="C8714" t="n">
        <v>29</v>
      </c>
      <c r="D8714" t="n">
        <v>0</v>
      </c>
      <c r="E8714" s="10" t="n">
        <v>0</v>
      </c>
      <c r="F8714" s="10" t="n">
        <v>0.4775247066059296</v>
      </c>
      <c r="G8714" s="11">
        <f>E8714*Summary!$B$6</f>
        <v/>
      </c>
      <c r="H8714" s="11">
        <f>F8714*Summary!$B$7</f>
        <v/>
      </c>
      <c r="I8714" s="11">
        <f>MAX(0,N8714-M8714)</f>
        <v/>
      </c>
      <c r="J8714" s="11">
        <f>MAX(0,M8714-N8714)</f>
        <v/>
      </c>
      <c r="K8714" s="11">
        <f>O8714</f>
        <v/>
      </c>
      <c r="L8714" s="11">
        <f>L8713+IF(K8714&gt;0,K8714*Summary!$B$9,K8714/Summary!$B$9)</f>
        <v/>
      </c>
      <c r="M8714" s="11">
        <f>G8714+H8714</f>
        <v/>
      </c>
      <c r="N8714" s="11">
        <f>Summary!$C$16*Summary!$B$8</f>
        <v/>
      </c>
      <c r="O8714" s="11">
        <f>M8714-N8714</f>
        <v/>
      </c>
    </row>
    <row r="8715">
      <c r="A8715" s="9" t="n">
        <v>45655.04166666666</v>
      </c>
      <c r="B8715" t="n">
        <v>12</v>
      </c>
      <c r="C8715" t="n">
        <v>29</v>
      </c>
      <c r="D8715" t="n">
        <v>1</v>
      </c>
      <c r="E8715" s="10" t="n">
        <v>0</v>
      </c>
      <c r="F8715" s="10" t="n">
        <v>0.3980207035249688</v>
      </c>
      <c r="G8715" s="11">
        <f>E8715*Summary!$B$6</f>
        <v/>
      </c>
      <c r="H8715" s="11">
        <f>F8715*Summary!$B$7</f>
        <v/>
      </c>
      <c r="I8715" s="11">
        <f>MAX(0,N8715-M8715)</f>
        <v/>
      </c>
      <c r="J8715" s="11">
        <f>MAX(0,M8715-N8715)</f>
        <v/>
      </c>
      <c r="K8715" s="11">
        <f>O8715</f>
        <v/>
      </c>
      <c r="L8715" s="11">
        <f>L8714+IF(K8715&gt;0,K8715*Summary!$B$9,K8715/Summary!$B$9)</f>
        <v/>
      </c>
      <c r="M8715" s="11">
        <f>G8715+H8715</f>
        <v/>
      </c>
      <c r="N8715" s="11">
        <f>Summary!$C$16*Summary!$B$8</f>
        <v/>
      </c>
      <c r="O8715" s="11">
        <f>M8715-N8715</f>
        <v/>
      </c>
    </row>
    <row r="8716">
      <c r="A8716" s="9" t="n">
        <v>45655.08333333334</v>
      </c>
      <c r="B8716" t="n">
        <v>12</v>
      </c>
      <c r="C8716" t="n">
        <v>29</v>
      </c>
      <c r="D8716" t="n">
        <v>2</v>
      </c>
      <c r="E8716" s="10" t="n">
        <v>0</v>
      </c>
      <c r="F8716" s="10" t="n">
        <v>0.4120136188832685</v>
      </c>
      <c r="G8716" s="11">
        <f>E8716*Summary!$B$6</f>
        <v/>
      </c>
      <c r="H8716" s="11">
        <f>F8716*Summary!$B$7</f>
        <v/>
      </c>
      <c r="I8716" s="11">
        <f>MAX(0,N8716-M8716)</f>
        <v/>
      </c>
      <c r="J8716" s="11">
        <f>MAX(0,M8716-N8716)</f>
        <v/>
      </c>
      <c r="K8716" s="11">
        <f>O8716</f>
        <v/>
      </c>
      <c r="L8716" s="11">
        <f>L8715+IF(K8716&gt;0,K8716*Summary!$B$9,K8716/Summary!$B$9)</f>
        <v/>
      </c>
      <c r="M8716" s="11">
        <f>G8716+H8716</f>
        <v/>
      </c>
      <c r="N8716" s="11">
        <f>Summary!$C$16*Summary!$B$8</f>
        <v/>
      </c>
      <c r="O8716" s="11">
        <f>M8716-N8716</f>
        <v/>
      </c>
    </row>
    <row r="8717">
      <c r="A8717" s="9" t="n">
        <v>45655.125</v>
      </c>
      <c r="B8717" t="n">
        <v>12</v>
      </c>
      <c r="C8717" t="n">
        <v>29</v>
      </c>
      <c r="D8717" t="n">
        <v>3</v>
      </c>
      <c r="E8717" s="10" t="n">
        <v>0</v>
      </c>
      <c r="F8717" s="10" t="n">
        <v>0.4250842140202114</v>
      </c>
      <c r="G8717" s="11">
        <f>E8717*Summary!$B$6</f>
        <v/>
      </c>
      <c r="H8717" s="11">
        <f>F8717*Summary!$B$7</f>
        <v/>
      </c>
      <c r="I8717" s="11">
        <f>MAX(0,N8717-M8717)</f>
        <v/>
      </c>
      <c r="J8717" s="11">
        <f>MAX(0,M8717-N8717)</f>
        <v/>
      </c>
      <c r="K8717" s="11">
        <f>O8717</f>
        <v/>
      </c>
      <c r="L8717" s="11">
        <f>L8716+IF(K8717&gt;0,K8717*Summary!$B$9,K8717/Summary!$B$9)</f>
        <v/>
      </c>
      <c r="M8717" s="11">
        <f>G8717+H8717</f>
        <v/>
      </c>
      <c r="N8717" s="11">
        <f>Summary!$C$16*Summary!$B$8</f>
        <v/>
      </c>
      <c r="O8717" s="11">
        <f>M8717-N8717</f>
        <v/>
      </c>
    </row>
    <row r="8718">
      <c r="A8718" s="9" t="n">
        <v>45655.16666666666</v>
      </c>
      <c r="B8718" t="n">
        <v>12</v>
      </c>
      <c r="C8718" t="n">
        <v>29</v>
      </c>
      <c r="D8718" t="n">
        <v>4</v>
      </c>
      <c r="E8718" s="10" t="n">
        <v>0</v>
      </c>
      <c r="F8718" s="10" t="n">
        <v>0.4359412406258977</v>
      </c>
      <c r="G8718" s="11">
        <f>E8718*Summary!$B$6</f>
        <v/>
      </c>
      <c r="H8718" s="11">
        <f>F8718*Summary!$B$7</f>
        <v/>
      </c>
      <c r="I8718" s="11">
        <f>MAX(0,N8718-M8718)</f>
        <v/>
      </c>
      <c r="J8718" s="11">
        <f>MAX(0,M8718-N8718)</f>
        <v/>
      </c>
      <c r="K8718" s="11">
        <f>O8718</f>
        <v/>
      </c>
      <c r="L8718" s="11">
        <f>L8717+IF(K8718&gt;0,K8718*Summary!$B$9,K8718/Summary!$B$9)</f>
        <v/>
      </c>
      <c r="M8718" s="11">
        <f>G8718+H8718</f>
        <v/>
      </c>
      <c r="N8718" s="11">
        <f>Summary!$C$16*Summary!$B$8</f>
        <v/>
      </c>
      <c r="O8718" s="11">
        <f>M8718-N8718</f>
        <v/>
      </c>
    </row>
    <row r="8719">
      <c r="A8719" s="9" t="n">
        <v>45655.20833333334</v>
      </c>
      <c r="B8719" t="n">
        <v>12</v>
      </c>
      <c r="C8719" t="n">
        <v>29</v>
      </c>
      <c r="D8719" t="n">
        <v>5</v>
      </c>
      <c r="E8719" s="10" t="n">
        <v>0</v>
      </c>
      <c r="F8719" s="10" t="n">
        <v>0.4461921710861211</v>
      </c>
      <c r="G8719" s="11">
        <f>E8719*Summary!$B$6</f>
        <v/>
      </c>
      <c r="H8719" s="11">
        <f>F8719*Summary!$B$7</f>
        <v/>
      </c>
      <c r="I8719" s="11">
        <f>MAX(0,N8719-M8719)</f>
        <v/>
      </c>
      <c r="J8719" s="11">
        <f>MAX(0,M8719-N8719)</f>
        <v/>
      </c>
      <c r="K8719" s="11">
        <f>O8719</f>
        <v/>
      </c>
      <c r="L8719" s="11">
        <f>L8718+IF(K8719&gt;0,K8719*Summary!$B$9,K8719/Summary!$B$9)</f>
        <v/>
      </c>
      <c r="M8719" s="11">
        <f>G8719+H8719</f>
        <v/>
      </c>
      <c r="N8719" s="11">
        <f>Summary!$C$16*Summary!$B$8</f>
        <v/>
      </c>
      <c r="O8719" s="11">
        <f>M8719-N8719</f>
        <v/>
      </c>
    </row>
    <row r="8720">
      <c r="A8720" s="9" t="n">
        <v>45655.25</v>
      </c>
      <c r="B8720" t="n">
        <v>12</v>
      </c>
      <c r="C8720" t="n">
        <v>29</v>
      </c>
      <c r="D8720" t="n">
        <v>6</v>
      </c>
      <c r="E8720" s="10" t="n">
        <v>0</v>
      </c>
      <c r="F8720" s="10" t="n">
        <v>0.4536761408822738</v>
      </c>
      <c r="G8720" s="11">
        <f>E8720*Summary!$B$6</f>
        <v/>
      </c>
      <c r="H8720" s="11">
        <f>F8720*Summary!$B$7</f>
        <v/>
      </c>
      <c r="I8720" s="11">
        <f>MAX(0,N8720-M8720)</f>
        <v/>
      </c>
      <c r="J8720" s="11">
        <f>MAX(0,M8720-N8720)</f>
        <v/>
      </c>
      <c r="K8720" s="11">
        <f>O8720</f>
        <v/>
      </c>
      <c r="L8720" s="11">
        <f>L8719+IF(K8720&gt;0,K8720*Summary!$B$9,K8720/Summary!$B$9)</f>
        <v/>
      </c>
      <c r="M8720" s="11">
        <f>G8720+H8720</f>
        <v/>
      </c>
      <c r="N8720" s="11">
        <f>Summary!$C$16*Summary!$B$8</f>
        <v/>
      </c>
      <c r="O8720" s="11">
        <f>M8720-N8720</f>
        <v/>
      </c>
    </row>
    <row r="8721">
      <c r="A8721" s="9" t="n">
        <v>45655.29166666666</v>
      </c>
      <c r="B8721" t="n">
        <v>12</v>
      </c>
      <c r="C8721" t="n">
        <v>29</v>
      </c>
      <c r="D8721" t="n">
        <v>7</v>
      </c>
      <c r="E8721" s="10" t="n">
        <v>0</v>
      </c>
      <c r="F8721" s="10" t="n">
        <v>0.4675109442026266</v>
      </c>
      <c r="G8721" s="11">
        <f>E8721*Summary!$B$6</f>
        <v/>
      </c>
      <c r="H8721" s="11">
        <f>F8721*Summary!$B$7</f>
        <v/>
      </c>
      <c r="I8721" s="11">
        <f>MAX(0,N8721-M8721)</f>
        <v/>
      </c>
      <c r="J8721" s="11">
        <f>MAX(0,M8721-N8721)</f>
        <v/>
      </c>
      <c r="K8721" s="11">
        <f>O8721</f>
        <v/>
      </c>
      <c r="L8721" s="11">
        <f>L8720+IF(K8721&gt;0,K8721*Summary!$B$9,K8721/Summary!$B$9)</f>
        <v/>
      </c>
      <c r="M8721" s="11">
        <f>G8721+H8721</f>
        <v/>
      </c>
      <c r="N8721" s="11">
        <f>Summary!$C$16*Summary!$B$8</f>
        <v/>
      </c>
      <c r="O8721" s="11">
        <f>M8721-N8721</f>
        <v/>
      </c>
    </row>
    <row r="8722">
      <c r="A8722" s="9" t="n">
        <v>45655.33333333334</v>
      </c>
      <c r="B8722" t="n">
        <v>12</v>
      </c>
      <c r="C8722" t="n">
        <v>29</v>
      </c>
      <c r="D8722" t="n">
        <v>8</v>
      </c>
      <c r="E8722" s="10" t="n">
        <v>0</v>
      </c>
      <c r="F8722" s="10" t="n">
        <v>0.468406912417659</v>
      </c>
      <c r="G8722" s="11">
        <f>E8722*Summary!$B$6</f>
        <v/>
      </c>
      <c r="H8722" s="11">
        <f>F8722*Summary!$B$7</f>
        <v/>
      </c>
      <c r="I8722" s="11">
        <f>MAX(0,N8722-M8722)</f>
        <v/>
      </c>
      <c r="J8722" s="11">
        <f>MAX(0,M8722-N8722)</f>
        <v/>
      </c>
      <c r="K8722" s="11">
        <f>O8722</f>
        <v/>
      </c>
      <c r="L8722" s="11">
        <f>L8721+IF(K8722&gt;0,K8722*Summary!$B$9,K8722/Summary!$B$9)</f>
        <v/>
      </c>
      <c r="M8722" s="11">
        <f>G8722+H8722</f>
        <v/>
      </c>
      <c r="N8722" s="11">
        <f>Summary!$C$16*Summary!$B$8</f>
        <v/>
      </c>
      <c r="O8722" s="11">
        <f>M8722-N8722</f>
        <v/>
      </c>
    </row>
    <row r="8723">
      <c r="A8723" s="9" t="n">
        <v>45655.375</v>
      </c>
      <c r="B8723" t="n">
        <v>12</v>
      </c>
      <c r="C8723" t="n">
        <v>29</v>
      </c>
      <c r="D8723" t="n">
        <v>9</v>
      </c>
      <c r="E8723" s="10" t="n">
        <v>0</v>
      </c>
      <c r="F8723" s="10" t="n">
        <v>0.4767341464161952</v>
      </c>
      <c r="G8723" s="11">
        <f>E8723*Summary!$B$6</f>
        <v/>
      </c>
      <c r="H8723" s="11">
        <f>F8723*Summary!$B$7</f>
        <v/>
      </c>
      <c r="I8723" s="11">
        <f>MAX(0,N8723-M8723)</f>
        <v/>
      </c>
      <c r="J8723" s="11">
        <f>MAX(0,M8723-N8723)</f>
        <v/>
      </c>
      <c r="K8723" s="11">
        <f>O8723</f>
        <v/>
      </c>
      <c r="L8723" s="11">
        <f>L8722+IF(K8723&gt;0,K8723*Summary!$B$9,K8723/Summary!$B$9)</f>
        <v/>
      </c>
      <c r="M8723" s="11">
        <f>G8723+H8723</f>
        <v/>
      </c>
      <c r="N8723" s="11">
        <f>Summary!$C$16*Summary!$B$8</f>
        <v/>
      </c>
      <c r="O8723" s="11">
        <f>M8723-N8723</f>
        <v/>
      </c>
    </row>
    <row r="8724">
      <c r="A8724" s="9" t="n">
        <v>45655.41666666666</v>
      </c>
      <c r="B8724" t="n">
        <v>12</v>
      </c>
      <c r="C8724" t="n">
        <v>29</v>
      </c>
      <c r="D8724" t="n">
        <v>10</v>
      </c>
      <c r="E8724" s="10" t="n">
        <v>0</v>
      </c>
      <c r="F8724" s="10" t="n">
        <v>0.4779199867007968</v>
      </c>
      <c r="G8724" s="11">
        <f>E8724*Summary!$B$6</f>
        <v/>
      </c>
      <c r="H8724" s="11">
        <f>F8724*Summary!$B$7</f>
        <v/>
      </c>
      <c r="I8724" s="11">
        <f>MAX(0,N8724-M8724)</f>
        <v/>
      </c>
      <c r="J8724" s="11">
        <f>MAX(0,M8724-N8724)</f>
        <v/>
      </c>
      <c r="K8724" s="11">
        <f>O8724</f>
        <v/>
      </c>
      <c r="L8724" s="11">
        <f>L8723+IF(K8724&gt;0,K8724*Summary!$B$9,K8724/Summary!$B$9)</f>
        <v/>
      </c>
      <c r="M8724" s="11">
        <f>G8724+H8724</f>
        <v/>
      </c>
      <c r="N8724" s="11">
        <f>Summary!$C$16*Summary!$B$8</f>
        <v/>
      </c>
      <c r="O8724" s="11">
        <f>M8724-N8724</f>
        <v/>
      </c>
    </row>
    <row r="8725">
      <c r="A8725" s="9" t="n">
        <v>45655.45833333334</v>
      </c>
      <c r="B8725" t="n">
        <v>12</v>
      </c>
      <c r="C8725" t="n">
        <v>29</v>
      </c>
      <c r="D8725" t="n">
        <v>11</v>
      </c>
      <c r="E8725" s="10" t="n">
        <v>0</v>
      </c>
      <c r="F8725" s="10" t="n">
        <v>0.4818464356431446</v>
      </c>
      <c r="G8725" s="11">
        <f>E8725*Summary!$B$6</f>
        <v/>
      </c>
      <c r="H8725" s="11">
        <f>F8725*Summary!$B$7</f>
        <v/>
      </c>
      <c r="I8725" s="11">
        <f>MAX(0,N8725-M8725)</f>
        <v/>
      </c>
      <c r="J8725" s="11">
        <f>MAX(0,M8725-N8725)</f>
        <v/>
      </c>
      <c r="K8725" s="11">
        <f>O8725</f>
        <v/>
      </c>
      <c r="L8725" s="11">
        <f>L8724+IF(K8725&gt;0,K8725*Summary!$B$9,K8725/Summary!$B$9)</f>
        <v/>
      </c>
      <c r="M8725" s="11">
        <f>G8725+H8725</f>
        <v/>
      </c>
      <c r="N8725" s="11">
        <f>Summary!$C$16*Summary!$B$8</f>
        <v/>
      </c>
      <c r="O8725" s="11">
        <f>M8725-N8725</f>
        <v/>
      </c>
    </row>
    <row r="8726">
      <c r="A8726" s="9" t="n">
        <v>45655.5</v>
      </c>
      <c r="B8726" t="n">
        <v>12</v>
      </c>
      <c r="C8726" t="n">
        <v>29</v>
      </c>
      <c r="D8726" t="n">
        <v>12</v>
      </c>
      <c r="E8726" s="10" t="n">
        <v>0.002442</v>
      </c>
      <c r="F8726" s="10" t="n">
        <v>0.4820045476810914</v>
      </c>
      <c r="G8726" s="11">
        <f>E8726*Summary!$B$6</f>
        <v/>
      </c>
      <c r="H8726" s="11">
        <f>F8726*Summary!$B$7</f>
        <v/>
      </c>
      <c r="I8726" s="11">
        <f>MAX(0,N8726-M8726)</f>
        <v/>
      </c>
      <c r="J8726" s="11">
        <f>MAX(0,M8726-N8726)</f>
        <v/>
      </c>
      <c r="K8726" s="11">
        <f>O8726</f>
        <v/>
      </c>
      <c r="L8726" s="11">
        <f>L8725+IF(K8726&gt;0,K8726*Summary!$B$9,K8726/Summary!$B$9)</f>
        <v/>
      </c>
      <c r="M8726" s="11">
        <f>G8726+H8726</f>
        <v/>
      </c>
      <c r="N8726" s="11">
        <f>Summary!$C$16*Summary!$B$8</f>
        <v/>
      </c>
      <c r="O8726" s="11">
        <f>M8726-N8726</f>
        <v/>
      </c>
    </row>
    <row r="8727">
      <c r="A8727" s="9" t="n">
        <v>45655.54166666666</v>
      </c>
      <c r="B8727" t="n">
        <v>12</v>
      </c>
      <c r="C8727" t="n">
        <v>29</v>
      </c>
      <c r="D8727" t="n">
        <v>13</v>
      </c>
      <c r="E8727" s="10" t="n">
        <v>0.005235</v>
      </c>
      <c r="F8727" s="10" t="n">
        <v>0.4817937316304956</v>
      </c>
      <c r="G8727" s="11">
        <f>E8727*Summary!$B$6</f>
        <v/>
      </c>
      <c r="H8727" s="11">
        <f>F8727*Summary!$B$7</f>
        <v/>
      </c>
      <c r="I8727" s="11">
        <f>MAX(0,N8727-M8727)</f>
        <v/>
      </c>
      <c r="J8727" s="11">
        <f>MAX(0,M8727-N8727)</f>
        <v/>
      </c>
      <c r="K8727" s="11">
        <f>O8727</f>
        <v/>
      </c>
      <c r="L8727" s="11">
        <f>L8726+IF(K8727&gt;0,K8727*Summary!$B$9,K8727/Summary!$B$9)</f>
        <v/>
      </c>
      <c r="M8727" s="11">
        <f>G8727+H8727</f>
        <v/>
      </c>
      <c r="N8727" s="11">
        <f>Summary!$C$16*Summary!$B$8</f>
        <v/>
      </c>
      <c r="O8727" s="11">
        <f>M8727-N8727</f>
        <v/>
      </c>
    </row>
    <row r="8728">
      <c r="A8728" s="9" t="n">
        <v>45655.58333333334</v>
      </c>
      <c r="B8728" t="n">
        <v>12</v>
      </c>
      <c r="C8728" t="n">
        <v>29</v>
      </c>
      <c r="D8728" t="n">
        <v>14</v>
      </c>
      <c r="E8728" s="10" t="n">
        <v>0.004942</v>
      </c>
      <c r="F8728" s="10" t="n">
        <v>0.4840336521680765</v>
      </c>
      <c r="G8728" s="11">
        <f>E8728*Summary!$B$6</f>
        <v/>
      </c>
      <c r="H8728" s="11">
        <f>F8728*Summary!$B$7</f>
        <v/>
      </c>
      <c r="I8728" s="11">
        <f>MAX(0,N8728-M8728)</f>
        <v/>
      </c>
      <c r="J8728" s="11">
        <f>MAX(0,M8728-N8728)</f>
        <v/>
      </c>
      <c r="K8728" s="11">
        <f>O8728</f>
        <v/>
      </c>
      <c r="L8728" s="11">
        <f>L8727+IF(K8728&gt;0,K8728*Summary!$B$9,K8728/Summary!$B$9)</f>
        <v/>
      </c>
      <c r="M8728" s="11">
        <f>G8728+H8728</f>
        <v/>
      </c>
      <c r="N8728" s="11">
        <f>Summary!$C$16*Summary!$B$8</f>
        <v/>
      </c>
      <c r="O8728" s="11">
        <f>M8728-N8728</f>
        <v/>
      </c>
    </row>
    <row r="8729">
      <c r="A8729" s="9" t="n">
        <v>45655.625</v>
      </c>
      <c r="B8729" t="n">
        <v>12</v>
      </c>
      <c r="C8729" t="n">
        <v>29</v>
      </c>
      <c r="D8729" t="n">
        <v>15</v>
      </c>
      <c r="E8729" s="10" t="n">
        <v>0</v>
      </c>
      <c r="F8729" s="10" t="n">
        <v>0.4905953017428724</v>
      </c>
      <c r="G8729" s="11">
        <f>E8729*Summary!$B$6</f>
        <v/>
      </c>
      <c r="H8729" s="11">
        <f>F8729*Summary!$B$7</f>
        <v/>
      </c>
      <c r="I8729" s="11">
        <f>MAX(0,N8729-M8729)</f>
        <v/>
      </c>
      <c r="J8729" s="11">
        <f>MAX(0,M8729-N8729)</f>
        <v/>
      </c>
      <c r="K8729" s="11">
        <f>O8729</f>
        <v/>
      </c>
      <c r="L8729" s="11">
        <f>L8728+IF(K8729&gt;0,K8729*Summary!$B$9,K8729/Summary!$B$9)</f>
        <v/>
      </c>
      <c r="M8729" s="11">
        <f>G8729+H8729</f>
        <v/>
      </c>
      <c r="N8729" s="11">
        <f>Summary!$C$16*Summary!$B$8</f>
        <v/>
      </c>
      <c r="O8729" s="11">
        <f>M8729-N8729</f>
        <v/>
      </c>
    </row>
    <row r="8730">
      <c r="A8730" s="9" t="n">
        <v>45655.66666666666</v>
      </c>
      <c r="B8730" t="n">
        <v>12</v>
      </c>
      <c r="C8730" t="n">
        <v>29</v>
      </c>
      <c r="D8730" t="n">
        <v>16</v>
      </c>
      <c r="E8730" s="10" t="n">
        <v>0</v>
      </c>
      <c r="F8730" s="10" t="n">
        <v>0.4937838945081347</v>
      </c>
      <c r="G8730" s="11">
        <f>E8730*Summary!$B$6</f>
        <v/>
      </c>
      <c r="H8730" s="11">
        <f>F8730*Summary!$B$7</f>
        <v/>
      </c>
      <c r="I8730" s="11">
        <f>MAX(0,N8730-M8730)</f>
        <v/>
      </c>
      <c r="J8730" s="11">
        <f>MAX(0,M8730-N8730)</f>
        <v/>
      </c>
      <c r="K8730" s="11">
        <f>O8730</f>
        <v/>
      </c>
      <c r="L8730" s="11">
        <f>L8729+IF(K8730&gt;0,K8730*Summary!$B$9,K8730/Summary!$B$9)</f>
        <v/>
      </c>
      <c r="M8730" s="11">
        <f>G8730+H8730</f>
        <v/>
      </c>
      <c r="N8730" s="11">
        <f>Summary!$C$16*Summary!$B$8</f>
        <v/>
      </c>
      <c r="O8730" s="11">
        <f>M8730-N8730</f>
        <v/>
      </c>
    </row>
    <row r="8731">
      <c r="A8731" s="9" t="n">
        <v>45655.70833333334</v>
      </c>
      <c r="B8731" t="n">
        <v>12</v>
      </c>
      <c r="C8731" t="n">
        <v>29</v>
      </c>
      <c r="D8731" t="n">
        <v>17</v>
      </c>
      <c r="E8731" s="10" t="n">
        <v>0</v>
      </c>
      <c r="F8731" s="10" t="n">
        <v>0.4970778952986948</v>
      </c>
      <c r="G8731" s="11">
        <f>E8731*Summary!$B$6</f>
        <v/>
      </c>
      <c r="H8731" s="11">
        <f>F8731*Summary!$B$7</f>
        <v/>
      </c>
      <c r="I8731" s="11">
        <f>MAX(0,N8731-M8731)</f>
        <v/>
      </c>
      <c r="J8731" s="11">
        <f>MAX(0,M8731-N8731)</f>
        <v/>
      </c>
      <c r="K8731" s="11">
        <f>O8731</f>
        <v/>
      </c>
      <c r="L8731" s="11">
        <f>L8730+IF(K8731&gt;0,K8731*Summary!$B$9,K8731/Summary!$B$9)</f>
        <v/>
      </c>
      <c r="M8731" s="11">
        <f>G8731+H8731</f>
        <v/>
      </c>
      <c r="N8731" s="11">
        <f>Summary!$C$16*Summary!$B$8</f>
        <v/>
      </c>
      <c r="O8731" s="11">
        <f>M8731-N8731</f>
        <v/>
      </c>
    </row>
    <row r="8732">
      <c r="A8732" s="9" t="n">
        <v>45655.75</v>
      </c>
      <c r="B8732" t="n">
        <v>12</v>
      </c>
      <c r="C8732" t="n">
        <v>29</v>
      </c>
      <c r="D8732" t="n">
        <v>18</v>
      </c>
      <c r="E8732" s="10" t="n">
        <v>0</v>
      </c>
      <c r="F8732" s="10" t="n">
        <v>0.5003455440829305</v>
      </c>
      <c r="G8732" s="11">
        <f>E8732*Summary!$B$6</f>
        <v/>
      </c>
      <c r="H8732" s="11">
        <f>F8732*Summary!$B$7</f>
        <v/>
      </c>
      <c r="I8732" s="11">
        <f>MAX(0,N8732-M8732)</f>
        <v/>
      </c>
      <c r="J8732" s="11">
        <f>MAX(0,M8732-N8732)</f>
        <v/>
      </c>
      <c r="K8732" s="11">
        <f>O8732</f>
        <v/>
      </c>
      <c r="L8732" s="11">
        <f>L8731+IF(K8732&gt;0,K8732*Summary!$B$9,K8732/Summary!$B$9)</f>
        <v/>
      </c>
      <c r="M8732" s="11">
        <f>G8732+H8732</f>
        <v/>
      </c>
      <c r="N8732" s="11">
        <f>Summary!$C$16*Summary!$B$8</f>
        <v/>
      </c>
      <c r="O8732" s="11">
        <f>M8732-N8732</f>
        <v/>
      </c>
    </row>
    <row r="8733">
      <c r="A8733" s="9" t="n">
        <v>45655.79166666666</v>
      </c>
      <c r="B8733" t="n">
        <v>12</v>
      </c>
      <c r="C8733" t="n">
        <v>29</v>
      </c>
      <c r="D8733" t="n">
        <v>19</v>
      </c>
      <c r="E8733" s="10" t="n">
        <v>0</v>
      </c>
      <c r="F8733" s="10" t="n">
        <v>0.543220258372862</v>
      </c>
      <c r="G8733" s="11">
        <f>E8733*Summary!$B$6</f>
        <v/>
      </c>
      <c r="H8733" s="11">
        <f>F8733*Summary!$B$7</f>
        <v/>
      </c>
      <c r="I8733" s="11">
        <f>MAX(0,N8733-M8733)</f>
        <v/>
      </c>
      <c r="J8733" s="11">
        <f>MAX(0,M8733-N8733)</f>
        <v/>
      </c>
      <c r="K8733" s="11">
        <f>O8733</f>
        <v/>
      </c>
      <c r="L8733" s="11">
        <f>L8732+IF(K8733&gt;0,K8733*Summary!$B$9,K8733/Summary!$B$9)</f>
        <v/>
      </c>
      <c r="M8733" s="11">
        <f>G8733+H8733</f>
        <v/>
      </c>
      <c r="N8733" s="11">
        <f>Summary!$C$16*Summary!$B$8</f>
        <v/>
      </c>
      <c r="O8733" s="11">
        <f>M8733-N8733</f>
        <v/>
      </c>
    </row>
    <row r="8734">
      <c r="A8734" s="9" t="n">
        <v>45655.83333333334</v>
      </c>
      <c r="B8734" t="n">
        <v>12</v>
      </c>
      <c r="C8734" t="n">
        <v>29</v>
      </c>
      <c r="D8734" t="n">
        <v>20</v>
      </c>
      <c r="E8734" s="10" t="n">
        <v>0</v>
      </c>
      <c r="F8734" s="10" t="n">
        <v>0.4988961837350841</v>
      </c>
      <c r="G8734" s="11">
        <f>E8734*Summary!$B$6</f>
        <v/>
      </c>
      <c r="H8734" s="11">
        <f>F8734*Summary!$B$7</f>
        <v/>
      </c>
      <c r="I8734" s="11">
        <f>MAX(0,N8734-M8734)</f>
        <v/>
      </c>
      <c r="J8734" s="11">
        <f>MAX(0,M8734-N8734)</f>
        <v/>
      </c>
      <c r="K8734" s="11">
        <f>O8734</f>
        <v/>
      </c>
      <c r="L8734" s="11">
        <f>L8733+IF(K8734&gt;0,K8734*Summary!$B$9,K8734/Summary!$B$9)</f>
        <v/>
      </c>
      <c r="M8734" s="11">
        <f>G8734+H8734</f>
        <v/>
      </c>
      <c r="N8734" s="11">
        <f>Summary!$C$16*Summary!$B$8</f>
        <v/>
      </c>
      <c r="O8734" s="11">
        <f>M8734-N8734</f>
        <v/>
      </c>
    </row>
    <row r="8735">
      <c r="A8735" s="9" t="n">
        <v>45655.875</v>
      </c>
      <c r="B8735" t="n">
        <v>12</v>
      </c>
      <c r="C8735" t="n">
        <v>29</v>
      </c>
      <c r="D8735" t="n">
        <v>21</v>
      </c>
      <c r="E8735" s="10" t="n">
        <v>0</v>
      </c>
      <c r="F8735" s="10" t="n">
        <v>0.4957339429761463</v>
      </c>
      <c r="G8735" s="11">
        <f>E8735*Summary!$B$6</f>
        <v/>
      </c>
      <c r="H8735" s="11">
        <f>F8735*Summary!$B$7</f>
        <v/>
      </c>
      <c r="I8735" s="11">
        <f>MAX(0,N8735-M8735)</f>
        <v/>
      </c>
      <c r="J8735" s="11">
        <f>MAX(0,M8735-N8735)</f>
        <v/>
      </c>
      <c r="K8735" s="11">
        <f>O8735</f>
        <v/>
      </c>
      <c r="L8735" s="11">
        <f>L8734+IF(K8735&gt;0,K8735*Summary!$B$9,K8735/Summary!$B$9)</f>
        <v/>
      </c>
      <c r="M8735" s="11">
        <f>G8735+H8735</f>
        <v/>
      </c>
      <c r="N8735" s="11">
        <f>Summary!$C$16*Summary!$B$8</f>
        <v/>
      </c>
      <c r="O8735" s="11">
        <f>M8735-N8735</f>
        <v/>
      </c>
    </row>
    <row r="8736">
      <c r="A8736" s="9" t="n">
        <v>45655.91666666666</v>
      </c>
      <c r="B8736" t="n">
        <v>12</v>
      </c>
      <c r="C8736" t="n">
        <v>29</v>
      </c>
      <c r="D8736" t="n">
        <v>22</v>
      </c>
      <c r="E8736" s="10" t="n">
        <v>0</v>
      </c>
      <c r="F8736" s="10" t="n">
        <v>0.4922554781413147</v>
      </c>
      <c r="G8736" s="11">
        <f>E8736*Summary!$B$6</f>
        <v/>
      </c>
      <c r="H8736" s="11">
        <f>F8736*Summary!$B$7</f>
        <v/>
      </c>
      <c r="I8736" s="11">
        <f>MAX(0,N8736-M8736)</f>
        <v/>
      </c>
      <c r="J8736" s="11">
        <f>MAX(0,M8736-N8736)</f>
        <v/>
      </c>
      <c r="K8736" s="11">
        <f>O8736</f>
        <v/>
      </c>
      <c r="L8736" s="11">
        <f>L8735+IF(K8736&gt;0,K8736*Summary!$B$9,K8736/Summary!$B$9)</f>
        <v/>
      </c>
      <c r="M8736" s="11">
        <f>G8736+H8736</f>
        <v/>
      </c>
      <c r="N8736" s="11">
        <f>Summary!$C$16*Summary!$B$8</f>
        <v/>
      </c>
      <c r="O8736" s="11">
        <f>M8736-N8736</f>
        <v/>
      </c>
    </row>
    <row r="8737">
      <c r="A8737" s="9" t="n">
        <v>45655.95833333334</v>
      </c>
      <c r="B8737" t="n">
        <v>12</v>
      </c>
      <c r="C8737" t="n">
        <v>29</v>
      </c>
      <c r="D8737" t="n">
        <v>23</v>
      </c>
      <c r="E8737" s="10" t="n">
        <v>0</v>
      </c>
      <c r="F8737" s="10" t="n">
        <v>0.4926771102425065</v>
      </c>
      <c r="G8737" s="11">
        <f>E8737*Summary!$B$6</f>
        <v/>
      </c>
      <c r="H8737" s="11">
        <f>F8737*Summary!$B$7</f>
        <v/>
      </c>
      <c r="I8737" s="11">
        <f>MAX(0,N8737-M8737)</f>
        <v/>
      </c>
      <c r="J8737" s="11">
        <f>MAX(0,M8737-N8737)</f>
        <v/>
      </c>
      <c r="K8737" s="11">
        <f>O8737</f>
        <v/>
      </c>
      <c r="L8737" s="11">
        <f>L8736+IF(K8737&gt;0,K8737*Summary!$B$9,K8737/Summary!$B$9)</f>
        <v/>
      </c>
      <c r="M8737" s="11">
        <f>G8737+H8737</f>
        <v/>
      </c>
      <c r="N8737" s="11">
        <f>Summary!$C$16*Summary!$B$8</f>
        <v/>
      </c>
      <c r="O8737" s="11">
        <f>M8737-N8737</f>
        <v/>
      </c>
    </row>
    <row r="8738">
      <c r="A8738" s="9" t="n">
        <v>45656</v>
      </c>
      <c r="B8738" t="n">
        <v>12</v>
      </c>
      <c r="C8738" t="n">
        <v>30</v>
      </c>
      <c r="D8738" t="n">
        <v>0</v>
      </c>
      <c r="E8738" s="10" t="n">
        <v>0</v>
      </c>
      <c r="F8738" s="10" t="n">
        <v>0.4101953304468793</v>
      </c>
      <c r="G8738" s="11">
        <f>E8738*Summary!$B$6</f>
        <v/>
      </c>
      <c r="H8738" s="11">
        <f>F8738*Summary!$B$7</f>
        <v/>
      </c>
      <c r="I8738" s="11">
        <f>MAX(0,N8738-M8738)</f>
        <v/>
      </c>
      <c r="J8738" s="11">
        <f>MAX(0,M8738-N8738)</f>
        <v/>
      </c>
      <c r="K8738" s="11">
        <f>O8738</f>
        <v/>
      </c>
      <c r="L8738" s="11">
        <f>L8737+IF(K8738&gt;0,K8738*Summary!$B$9,K8738/Summary!$B$9)</f>
        <v/>
      </c>
      <c r="M8738" s="11">
        <f>G8738+H8738</f>
        <v/>
      </c>
      <c r="N8738" s="11">
        <f>Summary!$C$16*Summary!$B$8</f>
        <v/>
      </c>
      <c r="O8738" s="11">
        <f>M8738-N8738</f>
        <v/>
      </c>
    </row>
    <row r="8739">
      <c r="A8739" s="9" t="n">
        <v>45656.04166666666</v>
      </c>
      <c r="B8739" t="n">
        <v>12</v>
      </c>
      <c r="C8739" t="n">
        <v>30</v>
      </c>
      <c r="D8739" t="n">
        <v>1</v>
      </c>
      <c r="E8739" s="10" t="n">
        <v>0</v>
      </c>
      <c r="F8739" s="10" t="n">
        <v>0.4788159549158292</v>
      </c>
      <c r="G8739" s="11">
        <f>E8739*Summary!$B$6</f>
        <v/>
      </c>
      <c r="H8739" s="11">
        <f>F8739*Summary!$B$7</f>
        <v/>
      </c>
      <c r="I8739" s="11">
        <f>MAX(0,N8739-M8739)</f>
        <v/>
      </c>
      <c r="J8739" s="11">
        <f>MAX(0,M8739-N8739)</f>
        <v/>
      </c>
      <c r="K8739" s="11">
        <f>O8739</f>
        <v/>
      </c>
      <c r="L8739" s="11">
        <f>L8738+IF(K8739&gt;0,K8739*Summary!$B$9,K8739/Summary!$B$9)</f>
        <v/>
      </c>
      <c r="M8739" s="11">
        <f>G8739+H8739</f>
        <v/>
      </c>
      <c r="N8739" s="11">
        <f>Summary!$C$16*Summary!$B$8</f>
        <v/>
      </c>
      <c r="O8739" s="11">
        <f>M8739-N8739</f>
        <v/>
      </c>
    </row>
    <row r="8740">
      <c r="A8740" s="9" t="n">
        <v>45656.08333333334</v>
      </c>
      <c r="B8740" t="n">
        <v>12</v>
      </c>
      <c r="C8740" t="n">
        <v>30</v>
      </c>
      <c r="D8740" t="n">
        <v>2</v>
      </c>
      <c r="E8740" s="10" t="n">
        <v>0</v>
      </c>
      <c r="F8740" s="10" t="n">
        <v>0.4787105468905312</v>
      </c>
      <c r="G8740" s="11">
        <f>E8740*Summary!$B$6</f>
        <v/>
      </c>
      <c r="H8740" s="11">
        <f>F8740*Summary!$B$7</f>
        <v/>
      </c>
      <c r="I8740" s="11">
        <f>MAX(0,N8740-M8740)</f>
        <v/>
      </c>
      <c r="J8740" s="11">
        <f>MAX(0,M8740-N8740)</f>
        <v/>
      </c>
      <c r="K8740" s="11">
        <f>O8740</f>
        <v/>
      </c>
      <c r="L8740" s="11">
        <f>L8739+IF(K8740&gt;0,K8740*Summary!$B$9,K8740/Summary!$B$9)</f>
        <v/>
      </c>
      <c r="M8740" s="11">
        <f>G8740+H8740</f>
        <v/>
      </c>
      <c r="N8740" s="11">
        <f>Summary!$C$16*Summary!$B$8</f>
        <v/>
      </c>
      <c r="O8740" s="11">
        <f>M8740-N8740</f>
        <v/>
      </c>
    </row>
    <row r="8741">
      <c r="A8741" s="9" t="n">
        <v>45656.125</v>
      </c>
      <c r="B8741" t="n">
        <v>12</v>
      </c>
      <c r="C8741" t="n">
        <v>30</v>
      </c>
      <c r="D8741" t="n">
        <v>3</v>
      </c>
      <c r="E8741" s="10" t="n">
        <v>0</v>
      </c>
      <c r="F8741" s="10" t="n">
        <v>0.4749422099861304</v>
      </c>
      <c r="G8741" s="11">
        <f>E8741*Summary!$B$6</f>
        <v/>
      </c>
      <c r="H8741" s="11">
        <f>F8741*Summary!$B$7</f>
        <v/>
      </c>
      <c r="I8741" s="11">
        <f>MAX(0,N8741-M8741)</f>
        <v/>
      </c>
      <c r="J8741" s="11">
        <f>MAX(0,M8741-N8741)</f>
        <v/>
      </c>
      <c r="K8741" s="11">
        <f>O8741</f>
        <v/>
      </c>
      <c r="L8741" s="11">
        <f>L8740+IF(K8741&gt;0,K8741*Summary!$B$9,K8741/Summary!$B$9)</f>
        <v/>
      </c>
      <c r="M8741" s="11">
        <f>G8741+H8741</f>
        <v/>
      </c>
      <c r="N8741" s="11">
        <f>Summary!$C$16*Summary!$B$8</f>
        <v/>
      </c>
      <c r="O8741" s="11">
        <f>M8741-N8741</f>
        <v/>
      </c>
    </row>
    <row r="8742">
      <c r="A8742" s="9" t="n">
        <v>45656.16666666666</v>
      </c>
      <c r="B8742" t="n">
        <v>12</v>
      </c>
      <c r="C8742" t="n">
        <v>30</v>
      </c>
      <c r="D8742" t="n">
        <v>4</v>
      </c>
      <c r="E8742" s="10" t="n">
        <v>0</v>
      </c>
      <c r="F8742" s="10" t="n">
        <v>0.4669048480571635</v>
      </c>
      <c r="G8742" s="11">
        <f>E8742*Summary!$B$6</f>
        <v/>
      </c>
      <c r="H8742" s="11">
        <f>F8742*Summary!$B$7</f>
        <v/>
      </c>
      <c r="I8742" s="11">
        <f>MAX(0,N8742-M8742)</f>
        <v/>
      </c>
      <c r="J8742" s="11">
        <f>MAX(0,M8742-N8742)</f>
        <v/>
      </c>
      <c r="K8742" s="11">
        <f>O8742</f>
        <v/>
      </c>
      <c r="L8742" s="11">
        <f>L8741+IF(K8742&gt;0,K8742*Summary!$B$9,K8742/Summary!$B$9)</f>
        <v/>
      </c>
      <c r="M8742" s="11">
        <f>G8742+H8742</f>
        <v/>
      </c>
      <c r="N8742" s="11">
        <f>Summary!$C$16*Summary!$B$8</f>
        <v/>
      </c>
      <c r="O8742" s="11">
        <f>M8742-N8742</f>
        <v/>
      </c>
    </row>
    <row r="8743">
      <c r="A8743" s="9" t="n">
        <v>45656.20833333334</v>
      </c>
      <c r="B8743" t="n">
        <v>12</v>
      </c>
      <c r="C8743" t="n">
        <v>30</v>
      </c>
      <c r="D8743" t="n">
        <v>5</v>
      </c>
      <c r="E8743" s="10" t="n">
        <v>0</v>
      </c>
      <c r="F8743" s="10" t="n">
        <v>0.4634790872349809</v>
      </c>
      <c r="G8743" s="11">
        <f>E8743*Summary!$B$6</f>
        <v/>
      </c>
      <c r="H8743" s="11">
        <f>F8743*Summary!$B$7</f>
        <v/>
      </c>
      <c r="I8743" s="11">
        <f>MAX(0,N8743-M8743)</f>
        <v/>
      </c>
      <c r="J8743" s="11">
        <f>MAX(0,M8743-N8743)</f>
        <v/>
      </c>
      <c r="K8743" s="11">
        <f>O8743</f>
        <v/>
      </c>
      <c r="L8743" s="11">
        <f>L8742+IF(K8743&gt;0,K8743*Summary!$B$9,K8743/Summary!$B$9)</f>
        <v/>
      </c>
      <c r="M8743" s="11">
        <f>G8743+H8743</f>
        <v/>
      </c>
      <c r="N8743" s="11">
        <f>Summary!$C$16*Summary!$B$8</f>
        <v/>
      </c>
      <c r="O8743" s="11">
        <f>M8743-N8743</f>
        <v/>
      </c>
    </row>
    <row r="8744">
      <c r="A8744" s="9" t="n">
        <v>45656.25</v>
      </c>
      <c r="B8744" t="n">
        <v>12</v>
      </c>
      <c r="C8744" t="n">
        <v>30</v>
      </c>
      <c r="D8744" t="n">
        <v>6</v>
      </c>
      <c r="E8744" s="10" t="n">
        <v>0</v>
      </c>
      <c r="F8744" s="10" t="n">
        <v>0.4675372962089511</v>
      </c>
      <c r="G8744" s="11">
        <f>E8744*Summary!$B$6</f>
        <v/>
      </c>
      <c r="H8744" s="11">
        <f>F8744*Summary!$B$7</f>
        <v/>
      </c>
      <c r="I8744" s="11">
        <f>MAX(0,N8744-M8744)</f>
        <v/>
      </c>
      <c r="J8744" s="11">
        <f>MAX(0,M8744-N8744)</f>
        <v/>
      </c>
      <c r="K8744" s="11">
        <f>O8744</f>
        <v/>
      </c>
      <c r="L8744" s="11">
        <f>L8743+IF(K8744&gt;0,K8744*Summary!$B$9,K8744/Summary!$B$9)</f>
        <v/>
      </c>
      <c r="M8744" s="11">
        <f>G8744+H8744</f>
        <v/>
      </c>
      <c r="N8744" s="11">
        <f>Summary!$C$16*Summary!$B$8</f>
        <v/>
      </c>
      <c r="O8744" s="11">
        <f>M8744-N8744</f>
        <v/>
      </c>
    </row>
    <row r="8745">
      <c r="A8745" s="9" t="n">
        <v>45656.29166666666</v>
      </c>
      <c r="B8745" t="n">
        <v>12</v>
      </c>
      <c r="C8745" t="n">
        <v>30</v>
      </c>
      <c r="D8745" t="n">
        <v>7</v>
      </c>
      <c r="E8745" s="10" t="n">
        <v>0</v>
      </c>
      <c r="F8745" s="10" t="n">
        <v>0.4651392636334233</v>
      </c>
      <c r="G8745" s="11">
        <f>E8745*Summary!$B$6</f>
        <v/>
      </c>
      <c r="H8745" s="11">
        <f>F8745*Summary!$B$7</f>
        <v/>
      </c>
      <c r="I8745" s="11">
        <f>MAX(0,N8745-M8745)</f>
        <v/>
      </c>
      <c r="J8745" s="11">
        <f>MAX(0,M8745-N8745)</f>
        <v/>
      </c>
      <c r="K8745" s="11">
        <f>O8745</f>
        <v/>
      </c>
      <c r="L8745" s="11">
        <f>L8744+IF(K8745&gt;0,K8745*Summary!$B$9,K8745/Summary!$B$9)</f>
        <v/>
      </c>
      <c r="M8745" s="11">
        <f>G8745+H8745</f>
        <v/>
      </c>
      <c r="N8745" s="11">
        <f>Summary!$C$16*Summary!$B$8</f>
        <v/>
      </c>
      <c r="O8745" s="11">
        <f>M8745-N8745</f>
        <v/>
      </c>
    </row>
    <row r="8746">
      <c r="A8746" s="9" t="n">
        <v>45656.33333333334</v>
      </c>
      <c r="B8746" t="n">
        <v>12</v>
      </c>
      <c r="C8746" t="n">
        <v>30</v>
      </c>
      <c r="D8746" t="n">
        <v>8</v>
      </c>
      <c r="E8746" s="10" t="n">
        <v>0</v>
      </c>
      <c r="F8746" s="10" t="n">
        <v>0.4640061273614706</v>
      </c>
      <c r="G8746" s="11">
        <f>E8746*Summary!$B$6</f>
        <v/>
      </c>
      <c r="H8746" s="11">
        <f>F8746*Summary!$B$7</f>
        <v/>
      </c>
      <c r="I8746" s="11">
        <f>MAX(0,N8746-M8746)</f>
        <v/>
      </c>
      <c r="J8746" s="11">
        <f>MAX(0,M8746-N8746)</f>
        <v/>
      </c>
      <c r="K8746" s="11">
        <f>O8746</f>
        <v/>
      </c>
      <c r="L8746" s="11">
        <f>L8745+IF(K8746&gt;0,K8746*Summary!$B$9,K8746/Summary!$B$9)</f>
        <v/>
      </c>
      <c r="M8746" s="11">
        <f>G8746+H8746</f>
        <v/>
      </c>
      <c r="N8746" s="11">
        <f>Summary!$C$16*Summary!$B$8</f>
        <v/>
      </c>
      <c r="O8746" s="11">
        <f>M8746-N8746</f>
        <v/>
      </c>
    </row>
    <row r="8747">
      <c r="A8747" s="9" t="n">
        <v>45656.375</v>
      </c>
      <c r="B8747" t="n">
        <v>12</v>
      </c>
      <c r="C8747" t="n">
        <v>30</v>
      </c>
      <c r="D8747" t="n">
        <v>9</v>
      </c>
      <c r="E8747" s="10" t="n">
        <v>0</v>
      </c>
      <c r="F8747" s="10" t="n">
        <v>0.4595262862863087</v>
      </c>
      <c r="G8747" s="11">
        <f>E8747*Summary!$B$6</f>
        <v/>
      </c>
      <c r="H8747" s="11">
        <f>F8747*Summary!$B$7</f>
        <v/>
      </c>
      <c r="I8747" s="11">
        <f>MAX(0,N8747-M8747)</f>
        <v/>
      </c>
      <c r="J8747" s="11">
        <f>MAX(0,M8747-N8747)</f>
        <v/>
      </c>
      <c r="K8747" s="11">
        <f>O8747</f>
        <v/>
      </c>
      <c r="L8747" s="11">
        <f>L8746+IF(K8747&gt;0,K8747*Summary!$B$9,K8747/Summary!$B$9)</f>
        <v/>
      </c>
      <c r="M8747" s="11">
        <f>G8747+H8747</f>
        <v/>
      </c>
      <c r="N8747" s="11">
        <f>Summary!$C$16*Summary!$B$8</f>
        <v/>
      </c>
      <c r="O8747" s="11">
        <f>M8747-N8747</f>
        <v/>
      </c>
    </row>
    <row r="8748">
      <c r="A8748" s="9" t="n">
        <v>45656.41666666666</v>
      </c>
      <c r="B8748" t="n">
        <v>12</v>
      </c>
      <c r="C8748" t="n">
        <v>30</v>
      </c>
      <c r="D8748" t="n">
        <v>10</v>
      </c>
      <c r="E8748" s="10" t="n">
        <v>0.007727</v>
      </c>
      <c r="F8748" s="10" t="n">
        <v>0.4554680773123386</v>
      </c>
      <c r="G8748" s="11">
        <f>E8748*Summary!$B$6</f>
        <v/>
      </c>
      <c r="H8748" s="11">
        <f>F8748*Summary!$B$7</f>
        <v/>
      </c>
      <c r="I8748" s="11">
        <f>MAX(0,N8748-M8748)</f>
        <v/>
      </c>
      <c r="J8748" s="11">
        <f>MAX(0,M8748-N8748)</f>
        <v/>
      </c>
      <c r="K8748" s="11">
        <f>O8748</f>
        <v/>
      </c>
      <c r="L8748" s="11">
        <f>L8747+IF(K8748&gt;0,K8748*Summary!$B$9,K8748/Summary!$B$9)</f>
        <v/>
      </c>
      <c r="M8748" s="11">
        <f>G8748+H8748</f>
        <v/>
      </c>
      <c r="N8748" s="11">
        <f>Summary!$C$16*Summary!$B$8</f>
        <v/>
      </c>
      <c r="O8748" s="11">
        <f>M8748-N8748</f>
        <v/>
      </c>
    </row>
    <row r="8749">
      <c r="A8749" s="9" t="n">
        <v>45656.45833333334</v>
      </c>
      <c r="B8749" t="n">
        <v>12</v>
      </c>
      <c r="C8749" t="n">
        <v>30</v>
      </c>
      <c r="D8749" t="n">
        <v>11</v>
      </c>
      <c r="E8749" s="10" t="n">
        <v>0.021657</v>
      </c>
      <c r="F8749" s="10" t="n">
        <v>0.451936908464858</v>
      </c>
      <c r="G8749" s="11">
        <f>E8749*Summary!$B$6</f>
        <v/>
      </c>
      <c r="H8749" s="11">
        <f>F8749*Summary!$B$7</f>
        <v/>
      </c>
      <c r="I8749" s="11">
        <f>MAX(0,N8749-M8749)</f>
        <v/>
      </c>
      <c r="J8749" s="11">
        <f>MAX(0,M8749-N8749)</f>
        <v/>
      </c>
      <c r="K8749" s="11">
        <f>O8749</f>
        <v/>
      </c>
      <c r="L8749" s="11">
        <f>L8748+IF(K8749&gt;0,K8749*Summary!$B$9,K8749/Summary!$B$9)</f>
        <v/>
      </c>
      <c r="M8749" s="11">
        <f>G8749+H8749</f>
        <v/>
      </c>
      <c r="N8749" s="11">
        <f>Summary!$C$16*Summary!$B$8</f>
        <v/>
      </c>
      <c r="O8749" s="11">
        <f>M8749-N8749</f>
        <v/>
      </c>
    </row>
    <row r="8750">
      <c r="A8750" s="9" t="n">
        <v>45656.5</v>
      </c>
      <c r="B8750" t="n">
        <v>12</v>
      </c>
      <c r="C8750" t="n">
        <v>30</v>
      </c>
      <c r="D8750" t="n">
        <v>12</v>
      </c>
      <c r="E8750" s="10" t="n">
        <v>0.009936</v>
      </c>
      <c r="F8750" s="10" t="n">
        <v>0.4469827312758555</v>
      </c>
      <c r="G8750" s="11">
        <f>E8750*Summary!$B$6</f>
        <v/>
      </c>
      <c r="H8750" s="11">
        <f>F8750*Summary!$B$7</f>
        <v/>
      </c>
      <c r="I8750" s="11">
        <f>MAX(0,N8750-M8750)</f>
        <v/>
      </c>
      <c r="J8750" s="11">
        <f>MAX(0,M8750-N8750)</f>
        <v/>
      </c>
      <c r="K8750" s="11">
        <f>O8750</f>
        <v/>
      </c>
      <c r="L8750" s="11">
        <f>L8749+IF(K8750&gt;0,K8750*Summary!$B$9,K8750/Summary!$B$9)</f>
        <v/>
      </c>
      <c r="M8750" s="11">
        <f>G8750+H8750</f>
        <v/>
      </c>
      <c r="N8750" s="11">
        <f>Summary!$C$16*Summary!$B$8</f>
        <v/>
      </c>
      <c r="O8750" s="11">
        <f>M8750-N8750</f>
        <v/>
      </c>
    </row>
    <row r="8751">
      <c r="A8751" s="9" t="n">
        <v>45656.54166666666</v>
      </c>
      <c r="B8751" t="n">
        <v>12</v>
      </c>
      <c r="C8751" t="n">
        <v>30</v>
      </c>
      <c r="D8751" t="n">
        <v>13</v>
      </c>
      <c r="E8751" s="10" t="n">
        <v>0.02677</v>
      </c>
      <c r="F8751" s="10" t="n">
        <v>0.4347817523476206</v>
      </c>
      <c r="G8751" s="11">
        <f>E8751*Summary!$B$6</f>
        <v/>
      </c>
      <c r="H8751" s="11">
        <f>F8751*Summary!$B$7</f>
        <v/>
      </c>
      <c r="I8751" s="11">
        <f>MAX(0,N8751-M8751)</f>
        <v/>
      </c>
      <c r="J8751" s="11">
        <f>MAX(0,M8751-N8751)</f>
        <v/>
      </c>
      <c r="K8751" s="11">
        <f>O8751</f>
        <v/>
      </c>
      <c r="L8751" s="11">
        <f>L8750+IF(K8751&gt;0,K8751*Summary!$B$9,K8751/Summary!$B$9)</f>
        <v/>
      </c>
      <c r="M8751" s="11">
        <f>G8751+H8751</f>
        <v/>
      </c>
      <c r="N8751" s="11">
        <f>Summary!$C$16*Summary!$B$8</f>
        <v/>
      </c>
      <c r="O8751" s="11">
        <f>M8751-N8751</f>
        <v/>
      </c>
    </row>
    <row r="8752">
      <c r="A8752" s="9" t="n">
        <v>45656.58333333334</v>
      </c>
      <c r="B8752" t="n">
        <v>12</v>
      </c>
      <c r="C8752" t="n">
        <v>30</v>
      </c>
      <c r="D8752" t="n">
        <v>14</v>
      </c>
      <c r="E8752" s="10" t="n">
        <v>0.023071</v>
      </c>
      <c r="F8752" s="10" t="n">
        <v>0.4272977825514678</v>
      </c>
      <c r="G8752" s="11">
        <f>E8752*Summary!$B$6</f>
        <v/>
      </c>
      <c r="H8752" s="11">
        <f>F8752*Summary!$B$7</f>
        <v/>
      </c>
      <c r="I8752" s="11">
        <f>MAX(0,N8752-M8752)</f>
        <v/>
      </c>
      <c r="J8752" s="11">
        <f>MAX(0,M8752-N8752)</f>
        <v/>
      </c>
      <c r="K8752" s="11">
        <f>O8752</f>
        <v/>
      </c>
      <c r="L8752" s="11">
        <f>L8751+IF(K8752&gt;0,K8752*Summary!$B$9,K8752/Summary!$B$9)</f>
        <v/>
      </c>
      <c r="M8752" s="11">
        <f>G8752+H8752</f>
        <v/>
      </c>
      <c r="N8752" s="11">
        <f>Summary!$C$16*Summary!$B$8</f>
        <v/>
      </c>
      <c r="O8752" s="11">
        <f>M8752-N8752</f>
        <v/>
      </c>
    </row>
    <row r="8753">
      <c r="A8753" s="9" t="n">
        <v>45656.625</v>
      </c>
      <c r="B8753" t="n">
        <v>12</v>
      </c>
      <c r="C8753" t="n">
        <v>30</v>
      </c>
      <c r="D8753" t="n">
        <v>15</v>
      </c>
      <c r="E8753" s="10" t="n">
        <v>0</v>
      </c>
      <c r="F8753" s="10" t="n">
        <v>0.4287998469119632</v>
      </c>
      <c r="G8753" s="11">
        <f>E8753*Summary!$B$6</f>
        <v/>
      </c>
      <c r="H8753" s="11">
        <f>F8753*Summary!$B$7</f>
        <v/>
      </c>
      <c r="I8753" s="11">
        <f>MAX(0,N8753-M8753)</f>
        <v/>
      </c>
      <c r="J8753" s="11">
        <f>MAX(0,M8753-N8753)</f>
        <v/>
      </c>
      <c r="K8753" s="11">
        <f>O8753</f>
        <v/>
      </c>
      <c r="L8753" s="11">
        <f>L8752+IF(K8753&gt;0,K8753*Summary!$B$9,K8753/Summary!$B$9)</f>
        <v/>
      </c>
      <c r="M8753" s="11">
        <f>G8753+H8753</f>
        <v/>
      </c>
      <c r="N8753" s="11">
        <f>Summary!$C$16*Summary!$B$8</f>
        <v/>
      </c>
      <c r="O8753" s="11">
        <f>M8753-N8753</f>
        <v/>
      </c>
    </row>
    <row r="8754">
      <c r="A8754" s="9" t="n">
        <v>45656.66666666666</v>
      </c>
      <c r="B8754" t="n">
        <v>12</v>
      </c>
      <c r="C8754" t="n">
        <v>30</v>
      </c>
      <c r="D8754" t="n">
        <v>16</v>
      </c>
      <c r="E8754" s="10" t="n">
        <v>0</v>
      </c>
      <c r="F8754" s="10" t="n">
        <v>0.433332391999774</v>
      </c>
      <c r="G8754" s="11">
        <f>E8754*Summary!$B$6</f>
        <v/>
      </c>
      <c r="H8754" s="11">
        <f>F8754*Summary!$B$7</f>
        <v/>
      </c>
      <c r="I8754" s="11">
        <f>MAX(0,N8754-M8754)</f>
        <v/>
      </c>
      <c r="J8754" s="11">
        <f>MAX(0,M8754-N8754)</f>
        <v/>
      </c>
      <c r="K8754" s="11">
        <f>O8754</f>
        <v/>
      </c>
      <c r="L8754" s="11">
        <f>L8753+IF(K8754&gt;0,K8754*Summary!$B$9,K8754/Summary!$B$9)</f>
        <v/>
      </c>
      <c r="M8754" s="11">
        <f>G8754+H8754</f>
        <v/>
      </c>
      <c r="N8754" s="11">
        <f>Summary!$C$16*Summary!$B$8</f>
        <v/>
      </c>
      <c r="O8754" s="11">
        <f>M8754-N8754</f>
        <v/>
      </c>
    </row>
    <row r="8755">
      <c r="A8755" s="9" t="n">
        <v>45656.70833333334</v>
      </c>
      <c r="B8755" t="n">
        <v>12</v>
      </c>
      <c r="C8755" t="n">
        <v>30</v>
      </c>
      <c r="D8755" t="n">
        <v>17</v>
      </c>
      <c r="E8755" s="10" t="n">
        <v>0</v>
      </c>
      <c r="F8755" s="10" t="n">
        <v>0.4331215759491782</v>
      </c>
      <c r="G8755" s="11">
        <f>E8755*Summary!$B$6</f>
        <v/>
      </c>
      <c r="H8755" s="11">
        <f>F8755*Summary!$B$7</f>
        <v/>
      </c>
      <c r="I8755" s="11">
        <f>MAX(0,N8755-M8755)</f>
        <v/>
      </c>
      <c r="J8755" s="11">
        <f>MAX(0,M8755-N8755)</f>
        <v/>
      </c>
      <c r="K8755" s="11">
        <f>O8755</f>
        <v/>
      </c>
      <c r="L8755" s="11">
        <f>L8754+IF(K8755&gt;0,K8755*Summary!$B$9,K8755/Summary!$B$9)</f>
        <v/>
      </c>
      <c r="M8755" s="11">
        <f>G8755+H8755</f>
        <v/>
      </c>
      <c r="N8755" s="11">
        <f>Summary!$C$16*Summary!$B$8</f>
        <v/>
      </c>
      <c r="O8755" s="11">
        <f>M8755-N8755</f>
        <v/>
      </c>
    </row>
    <row r="8756">
      <c r="A8756" s="9" t="n">
        <v>45656.75</v>
      </c>
      <c r="B8756" t="n">
        <v>12</v>
      </c>
      <c r="C8756" t="n">
        <v>30</v>
      </c>
      <c r="D8756" t="n">
        <v>18</v>
      </c>
      <c r="E8756" s="10" t="n">
        <v>0</v>
      </c>
      <c r="F8756" s="10" t="n">
        <v>0.4378122330749359</v>
      </c>
      <c r="G8756" s="11">
        <f>E8756*Summary!$B$6</f>
        <v/>
      </c>
      <c r="H8756" s="11">
        <f>F8756*Summary!$B$7</f>
        <v/>
      </c>
      <c r="I8756" s="11">
        <f>MAX(0,N8756-M8756)</f>
        <v/>
      </c>
      <c r="J8756" s="11">
        <f>MAX(0,M8756-N8756)</f>
        <v/>
      </c>
      <c r="K8756" s="11">
        <f>O8756</f>
        <v/>
      </c>
      <c r="L8756" s="11">
        <f>L8755+IF(K8756&gt;0,K8756*Summary!$B$9,K8756/Summary!$B$9)</f>
        <v/>
      </c>
      <c r="M8756" s="11">
        <f>G8756+H8756</f>
        <v/>
      </c>
      <c r="N8756" s="11">
        <f>Summary!$C$16*Summary!$B$8</f>
        <v/>
      </c>
      <c r="O8756" s="11">
        <f>M8756-N8756</f>
        <v/>
      </c>
    </row>
    <row r="8757">
      <c r="A8757" s="9" t="n">
        <v>45656.79166666666</v>
      </c>
      <c r="B8757" t="n">
        <v>12</v>
      </c>
      <c r="C8757" t="n">
        <v>30</v>
      </c>
      <c r="D8757" t="n">
        <v>19</v>
      </c>
      <c r="E8757" s="10" t="n">
        <v>0</v>
      </c>
      <c r="F8757" s="10" t="n">
        <v>0.4316985676076562</v>
      </c>
      <c r="G8757" s="11">
        <f>E8757*Summary!$B$6</f>
        <v/>
      </c>
      <c r="H8757" s="11">
        <f>F8757*Summary!$B$7</f>
        <v/>
      </c>
      <c r="I8757" s="11">
        <f>MAX(0,N8757-M8757)</f>
        <v/>
      </c>
      <c r="J8757" s="11">
        <f>MAX(0,M8757-N8757)</f>
        <v/>
      </c>
      <c r="K8757" s="11">
        <f>O8757</f>
        <v/>
      </c>
      <c r="L8757" s="11">
        <f>L8756+IF(K8757&gt;0,K8757*Summary!$B$9,K8757/Summary!$B$9)</f>
        <v/>
      </c>
      <c r="M8757" s="11">
        <f>G8757+H8757</f>
        <v/>
      </c>
      <c r="N8757" s="11">
        <f>Summary!$C$16*Summary!$B$8</f>
        <v/>
      </c>
      <c r="O8757" s="11">
        <f>M8757-N8757</f>
        <v/>
      </c>
    </row>
    <row r="8758">
      <c r="A8758" s="9" t="n">
        <v>45656.83333333334</v>
      </c>
      <c r="B8758" t="n">
        <v>12</v>
      </c>
      <c r="C8758" t="n">
        <v>30</v>
      </c>
      <c r="D8758" t="n">
        <v>20</v>
      </c>
      <c r="E8758" s="10" t="n">
        <v>0</v>
      </c>
      <c r="F8758" s="10" t="n">
        <v>0.4280356387285533</v>
      </c>
      <c r="G8758" s="11">
        <f>E8758*Summary!$B$6</f>
        <v/>
      </c>
      <c r="H8758" s="11">
        <f>F8758*Summary!$B$7</f>
        <v/>
      </c>
      <c r="I8758" s="11">
        <f>MAX(0,N8758-M8758)</f>
        <v/>
      </c>
      <c r="J8758" s="11">
        <f>MAX(0,M8758-N8758)</f>
        <v/>
      </c>
      <c r="K8758" s="11">
        <f>O8758</f>
        <v/>
      </c>
      <c r="L8758" s="11">
        <f>L8757+IF(K8758&gt;0,K8758*Summary!$B$9,K8758/Summary!$B$9)</f>
        <v/>
      </c>
      <c r="M8758" s="11">
        <f>G8758+H8758</f>
        <v/>
      </c>
      <c r="N8758" s="11">
        <f>Summary!$C$16*Summary!$B$8</f>
        <v/>
      </c>
      <c r="O8758" s="11">
        <f>M8758-N8758</f>
        <v/>
      </c>
    </row>
    <row r="8759">
      <c r="A8759" s="9" t="n">
        <v>45656.875</v>
      </c>
      <c r="B8759" t="n">
        <v>12</v>
      </c>
      <c r="C8759" t="n">
        <v>30</v>
      </c>
      <c r="D8759" t="n">
        <v>21</v>
      </c>
      <c r="E8759" s="10" t="n">
        <v>0</v>
      </c>
      <c r="F8759" s="10" t="n">
        <v>0.4583667980080315</v>
      </c>
      <c r="G8759" s="11">
        <f>E8759*Summary!$B$6</f>
        <v/>
      </c>
      <c r="H8759" s="11">
        <f>F8759*Summary!$B$7</f>
        <v/>
      </c>
      <c r="I8759" s="11">
        <f>MAX(0,N8759-M8759)</f>
        <v/>
      </c>
      <c r="J8759" s="11">
        <f>MAX(0,M8759-N8759)</f>
        <v/>
      </c>
      <c r="K8759" s="11">
        <f>O8759</f>
        <v/>
      </c>
      <c r="L8759" s="11">
        <f>L8758+IF(K8759&gt;0,K8759*Summary!$B$9,K8759/Summary!$B$9)</f>
        <v/>
      </c>
      <c r="M8759" s="11">
        <f>G8759+H8759</f>
        <v/>
      </c>
      <c r="N8759" s="11">
        <f>Summary!$C$16*Summary!$B$8</f>
        <v/>
      </c>
      <c r="O8759" s="11">
        <f>M8759-N8759</f>
        <v/>
      </c>
    </row>
    <row r="8760">
      <c r="A8760" s="9" t="n">
        <v>45656.91666666666</v>
      </c>
      <c r="B8760" t="n">
        <v>12</v>
      </c>
      <c r="C8760" t="n">
        <v>30</v>
      </c>
      <c r="D8760" t="n">
        <v>22</v>
      </c>
      <c r="E8760" s="10" t="n">
        <v>0</v>
      </c>
      <c r="F8760" s="10" t="n">
        <v>0.419813812755315</v>
      </c>
      <c r="G8760" s="11">
        <f>E8760*Summary!$B$6</f>
        <v/>
      </c>
      <c r="H8760" s="11">
        <f>F8760*Summary!$B$7</f>
        <v/>
      </c>
      <c r="I8760" s="11">
        <f>MAX(0,N8760-M8760)</f>
        <v/>
      </c>
      <c r="J8760" s="11">
        <f>MAX(0,M8760-N8760)</f>
        <v/>
      </c>
      <c r="K8760" s="11">
        <f>O8760</f>
        <v/>
      </c>
      <c r="L8760" s="11">
        <f>L8759+IF(K8760&gt;0,K8760*Summary!$B$9,K8760/Summary!$B$9)</f>
        <v/>
      </c>
      <c r="M8760" s="11">
        <f>G8760+H8760</f>
        <v/>
      </c>
      <c r="N8760" s="11">
        <f>Summary!$C$16*Summary!$B$8</f>
        <v/>
      </c>
      <c r="O8760" s="11">
        <f>M8760-N8760</f>
        <v/>
      </c>
    </row>
    <row r="8761">
      <c r="A8761" s="9" t="n">
        <v>45656.95833333334</v>
      </c>
      <c r="B8761" t="n">
        <v>12</v>
      </c>
      <c r="C8761" t="n">
        <v>30</v>
      </c>
      <c r="D8761" t="n">
        <v>23</v>
      </c>
      <c r="E8761" s="10" t="n">
        <v>0</v>
      </c>
      <c r="F8761" s="10" t="n">
        <v>0.4164407559457814</v>
      </c>
      <c r="G8761" s="11">
        <f>E8761*Summary!$B$6</f>
        <v/>
      </c>
      <c r="H8761" s="11">
        <f>F8761*Summary!$B$7</f>
        <v/>
      </c>
      <c r="I8761" s="11">
        <f>MAX(0,N8761-M8761)</f>
        <v/>
      </c>
      <c r="J8761" s="11">
        <f>MAX(0,M8761-N8761)</f>
        <v/>
      </c>
      <c r="K8761" s="11">
        <f>O8761</f>
        <v/>
      </c>
      <c r="L8761" s="11">
        <f>L8760+IF(K8761&gt;0,K8761*Summary!$B$9,K8761/Summary!$B$9)</f>
        <v/>
      </c>
      <c r="M8761" s="11">
        <f>G8761+H8761</f>
        <v/>
      </c>
      <c r="N8761" s="11">
        <f>Summary!$C$16*Summary!$B$8</f>
        <v/>
      </c>
      <c r="O8761" s="11">
        <f>M8761-N8761</f>
        <v/>
      </c>
    </row>
    <row r="8762">
      <c r="A8762" s="9" t="n">
        <v>45657</v>
      </c>
      <c r="B8762" t="n">
        <v>12</v>
      </c>
      <c r="C8762" t="n">
        <v>31</v>
      </c>
      <c r="D8762" t="n">
        <v>0</v>
      </c>
      <c r="E8762" s="10" t="n">
        <v>0</v>
      </c>
      <c r="F8762" s="10" t="n">
        <v>0.4520686684964804</v>
      </c>
      <c r="G8762" s="11">
        <f>E8762*Summary!$B$6</f>
        <v/>
      </c>
      <c r="H8762" s="11">
        <f>F8762*Summary!$B$7</f>
        <v/>
      </c>
      <c r="I8762" s="11">
        <f>MAX(0,N8762-M8762)</f>
        <v/>
      </c>
      <c r="J8762" s="11">
        <f>MAX(0,M8762-N8762)</f>
        <v/>
      </c>
      <c r="K8762" s="11">
        <f>O8762</f>
        <v/>
      </c>
      <c r="L8762" s="11">
        <f>L8761+IF(K8762&gt;0,K8762*Summary!$B$9,K8762/Summary!$B$9)</f>
        <v/>
      </c>
      <c r="M8762" s="11">
        <f>G8762+H8762</f>
        <v/>
      </c>
      <c r="N8762" s="11">
        <f>Summary!$C$16*Summary!$B$8</f>
        <v/>
      </c>
      <c r="O8762" s="11">
        <f>M8762-N8762</f>
        <v/>
      </c>
    </row>
    <row r="8763">
      <c r="A8763" s="9" t="n">
        <v>45657.04166666666</v>
      </c>
      <c r="B8763" t="n">
        <v>12</v>
      </c>
      <c r="C8763" t="n">
        <v>31</v>
      </c>
      <c r="D8763" t="n">
        <v>1</v>
      </c>
      <c r="E8763" s="10" t="n">
        <v>0</v>
      </c>
      <c r="F8763" s="10" t="n">
        <v>0.4116183387884013</v>
      </c>
      <c r="G8763" s="11">
        <f>E8763*Summary!$B$6</f>
        <v/>
      </c>
      <c r="H8763" s="11">
        <f>F8763*Summary!$B$7</f>
        <v/>
      </c>
      <c r="I8763" s="11">
        <f>MAX(0,N8763-M8763)</f>
        <v/>
      </c>
      <c r="J8763" s="11">
        <f>MAX(0,M8763-N8763)</f>
        <v/>
      </c>
      <c r="K8763" s="11">
        <f>O8763</f>
        <v/>
      </c>
      <c r="L8763" s="11">
        <f>L8762+IF(K8763&gt;0,K8763*Summary!$B$9,K8763/Summary!$B$9)</f>
        <v/>
      </c>
      <c r="M8763" s="11">
        <f>G8763+H8763</f>
        <v/>
      </c>
      <c r="N8763" s="11">
        <f>Summary!$C$16*Summary!$B$8</f>
        <v/>
      </c>
      <c r="O8763" s="11">
        <f>M8763-N8763</f>
        <v/>
      </c>
    </row>
    <row r="8764">
      <c r="A8764" s="9" t="n">
        <v>45657.08333333334</v>
      </c>
      <c r="B8764" t="n">
        <v>12</v>
      </c>
      <c r="C8764" t="n">
        <v>31</v>
      </c>
      <c r="D8764" t="n">
        <v>2</v>
      </c>
      <c r="E8764" s="10" t="n">
        <v>0</v>
      </c>
      <c r="F8764" s="10" t="n">
        <v>0.4131467551552212</v>
      </c>
      <c r="G8764" s="11">
        <f>E8764*Summary!$B$6</f>
        <v/>
      </c>
      <c r="H8764" s="11">
        <f>F8764*Summary!$B$7</f>
        <v/>
      </c>
      <c r="I8764" s="11">
        <f>MAX(0,N8764-M8764)</f>
        <v/>
      </c>
      <c r="J8764" s="11">
        <f>MAX(0,M8764-N8764)</f>
        <v/>
      </c>
      <c r="K8764" s="11">
        <f>O8764</f>
        <v/>
      </c>
      <c r="L8764" s="11">
        <f>L8763+IF(K8764&gt;0,K8764*Summary!$B$9,K8764/Summary!$B$9)</f>
        <v/>
      </c>
      <c r="M8764" s="11">
        <f>G8764+H8764</f>
        <v/>
      </c>
      <c r="N8764" s="11">
        <f>Summary!$C$16*Summary!$B$8</f>
        <v/>
      </c>
      <c r="O8764" s="11">
        <f>M8764-N8764</f>
        <v/>
      </c>
    </row>
    <row r="8765">
      <c r="A8765" s="9" t="n">
        <v>45657.125</v>
      </c>
      <c r="B8765" t="n">
        <v>12</v>
      </c>
      <c r="C8765" t="n">
        <v>31</v>
      </c>
      <c r="D8765" t="n">
        <v>3</v>
      </c>
      <c r="E8765" s="10" t="n">
        <v>0</v>
      </c>
      <c r="F8765" s="10" t="n">
        <v>0.4439522505485401</v>
      </c>
      <c r="G8765" s="11">
        <f>E8765*Summary!$B$6</f>
        <v/>
      </c>
      <c r="H8765" s="11">
        <f>F8765*Summary!$B$7</f>
        <v/>
      </c>
      <c r="I8765" s="11">
        <f>MAX(0,N8765-M8765)</f>
        <v/>
      </c>
      <c r="J8765" s="11">
        <f>MAX(0,M8765-N8765)</f>
        <v/>
      </c>
      <c r="K8765" s="11">
        <f>O8765</f>
        <v/>
      </c>
      <c r="L8765" s="11">
        <f>L8764+IF(K8765&gt;0,K8765*Summary!$B$9,K8765/Summary!$B$9)</f>
        <v/>
      </c>
      <c r="M8765" s="11">
        <f>G8765+H8765</f>
        <v/>
      </c>
      <c r="N8765" s="11">
        <f>Summary!$C$16*Summary!$B$8</f>
        <v/>
      </c>
      <c r="O8765" s="11">
        <f>M8765-N8765</f>
        <v/>
      </c>
    </row>
    <row r="8766">
      <c r="A8766" s="9" t="n">
        <v>45657.16666666666</v>
      </c>
      <c r="B8766" t="n">
        <v>12</v>
      </c>
      <c r="C8766" t="n">
        <v>31</v>
      </c>
      <c r="D8766" t="n">
        <v>4</v>
      </c>
      <c r="E8766" s="10" t="n">
        <v>0</v>
      </c>
      <c r="F8766" s="10" t="n">
        <v>0.4178374122809789</v>
      </c>
      <c r="G8766" s="11">
        <f>E8766*Summary!$B$6</f>
        <v/>
      </c>
      <c r="H8766" s="11">
        <f>F8766*Summary!$B$7</f>
        <v/>
      </c>
      <c r="I8766" s="11">
        <f>MAX(0,N8766-M8766)</f>
        <v/>
      </c>
      <c r="J8766" s="11">
        <f>MAX(0,M8766-N8766)</f>
        <v/>
      </c>
      <c r="K8766" s="11">
        <f>O8766</f>
        <v/>
      </c>
      <c r="L8766" s="11">
        <f>L8765+IF(K8766&gt;0,K8766*Summary!$B$9,K8766/Summary!$B$9)</f>
        <v/>
      </c>
      <c r="M8766" s="11">
        <f>G8766+H8766</f>
        <v/>
      </c>
      <c r="N8766" s="11">
        <f>Summary!$C$16*Summary!$B$8</f>
        <v/>
      </c>
      <c r="O8766" s="11">
        <f>M8766-N8766</f>
        <v/>
      </c>
    </row>
    <row r="8767">
      <c r="A8767" s="9" t="n">
        <v>45657.20833333334</v>
      </c>
      <c r="B8767" t="n">
        <v>12</v>
      </c>
      <c r="C8767" t="n">
        <v>31</v>
      </c>
      <c r="D8767" t="n">
        <v>5</v>
      </c>
      <c r="E8767" s="10" t="n">
        <v>0</v>
      </c>
      <c r="F8767" s="10" t="n">
        <v>0.4255058461214031</v>
      </c>
      <c r="G8767" s="11">
        <f>E8767*Summary!$B$6</f>
        <v/>
      </c>
      <c r="H8767" s="11">
        <f>F8767*Summary!$B$7</f>
        <v/>
      </c>
      <c r="I8767" s="11">
        <f>MAX(0,N8767-M8767)</f>
        <v/>
      </c>
      <c r="J8767" s="11">
        <f>MAX(0,M8767-N8767)</f>
        <v/>
      </c>
      <c r="K8767" s="11">
        <f>O8767</f>
        <v/>
      </c>
      <c r="L8767" s="11">
        <f>L8766+IF(K8767&gt;0,K8767*Summary!$B$9,K8767/Summary!$B$9)</f>
        <v/>
      </c>
      <c r="M8767" s="11">
        <f>G8767+H8767</f>
        <v/>
      </c>
      <c r="N8767" s="11">
        <f>Summary!$C$16*Summary!$B$8</f>
        <v/>
      </c>
      <c r="O8767" s="11">
        <f>M8767-N8767</f>
        <v/>
      </c>
    </row>
    <row r="8768">
      <c r="A8768" s="9" t="n">
        <v>45657.25</v>
      </c>
      <c r="B8768" t="n">
        <v>12</v>
      </c>
      <c r="C8768" t="n">
        <v>31</v>
      </c>
      <c r="D8768" t="n">
        <v>6</v>
      </c>
      <c r="E8768" s="10" t="n">
        <v>0</v>
      </c>
      <c r="F8768" s="10" t="n">
        <v>0.4361520566764936</v>
      </c>
      <c r="G8768" s="11">
        <f>E8768*Summary!$B$6</f>
        <v/>
      </c>
      <c r="H8768" s="11">
        <f>F8768*Summary!$B$7</f>
        <v/>
      </c>
      <c r="I8768" s="11">
        <f>MAX(0,N8768-M8768)</f>
        <v/>
      </c>
      <c r="J8768" s="11">
        <f>MAX(0,M8768-N8768)</f>
        <v/>
      </c>
      <c r="K8768" s="11">
        <f>O8768</f>
        <v/>
      </c>
      <c r="L8768" s="11">
        <f>L8767+IF(K8768&gt;0,K8768*Summary!$B$9,K8768/Summary!$B$9)</f>
        <v/>
      </c>
      <c r="M8768" s="11">
        <f>G8768+H8768</f>
        <v/>
      </c>
      <c r="N8768" s="11">
        <f>Summary!$C$16*Summary!$B$8</f>
        <v/>
      </c>
      <c r="O8768" s="11">
        <f>M8768-N8768</f>
        <v/>
      </c>
    </row>
    <row r="8769">
      <c r="A8769" s="9" t="n">
        <v>45657.29166666666</v>
      </c>
      <c r="B8769" t="n">
        <v>12</v>
      </c>
      <c r="C8769" t="n">
        <v>31</v>
      </c>
      <c r="D8769" t="n">
        <v>7</v>
      </c>
      <c r="E8769" s="10" t="n">
        <v>0</v>
      </c>
      <c r="F8769" s="10" t="n">
        <v>0.4428191142765874</v>
      </c>
      <c r="G8769" s="11">
        <f>E8769*Summary!$B$6</f>
        <v/>
      </c>
      <c r="H8769" s="11">
        <f>F8769*Summary!$B$7</f>
        <v/>
      </c>
      <c r="I8769" s="11">
        <f>MAX(0,N8769-M8769)</f>
        <v/>
      </c>
      <c r="J8769" s="11">
        <f>MAX(0,M8769-N8769)</f>
        <v/>
      </c>
      <c r="K8769" s="11">
        <f>O8769</f>
        <v/>
      </c>
      <c r="L8769" s="11">
        <f>L8768+IF(K8769&gt;0,K8769*Summary!$B$9,K8769/Summary!$B$9)</f>
        <v/>
      </c>
      <c r="M8769" s="11">
        <f>G8769+H8769</f>
        <v/>
      </c>
      <c r="N8769" s="11">
        <f>Summary!$C$16*Summary!$B$8</f>
        <v/>
      </c>
      <c r="O8769" s="11">
        <f>M8769-N8769</f>
        <v/>
      </c>
    </row>
    <row r="8770">
      <c r="A8770" s="9" t="n">
        <v>45657.33333333334</v>
      </c>
      <c r="B8770" t="n">
        <v>12</v>
      </c>
      <c r="C8770" t="n">
        <v>31</v>
      </c>
      <c r="D8770" t="n">
        <v>8</v>
      </c>
      <c r="E8770" s="10" t="n">
        <v>0</v>
      </c>
      <c r="F8770" s="10" t="n">
        <v>0.4422130181311243</v>
      </c>
      <c r="G8770" s="11">
        <f>E8770*Summary!$B$6</f>
        <v/>
      </c>
      <c r="H8770" s="11">
        <f>F8770*Summary!$B$7</f>
        <v/>
      </c>
      <c r="I8770" s="11">
        <f>MAX(0,N8770-M8770)</f>
        <v/>
      </c>
      <c r="J8770" s="11">
        <f>MAX(0,M8770-N8770)</f>
        <v/>
      </c>
      <c r="K8770" s="11">
        <f>O8770</f>
        <v/>
      </c>
      <c r="L8770" s="11">
        <f>L8769+IF(K8770&gt;0,K8770*Summary!$B$9,K8770/Summary!$B$9)</f>
        <v/>
      </c>
      <c r="M8770" s="11">
        <f>G8770+H8770</f>
        <v/>
      </c>
      <c r="N8770" s="11">
        <f>Summary!$C$16*Summary!$B$8</f>
        <v/>
      </c>
      <c r="O8770" s="11">
        <f>M8770-N8770</f>
        <v/>
      </c>
    </row>
    <row r="8771">
      <c r="A8771" s="9" t="n">
        <v>45657.375</v>
      </c>
      <c r="B8771" t="n">
        <v>12</v>
      </c>
      <c r="C8771" t="n">
        <v>31</v>
      </c>
      <c r="D8771" t="n">
        <v>9</v>
      </c>
      <c r="E8771" s="10" t="n">
        <v>0</v>
      </c>
      <c r="F8771" s="10" t="n">
        <v>0.4475888274213186</v>
      </c>
      <c r="G8771" s="11">
        <f>E8771*Summary!$B$6</f>
        <v/>
      </c>
      <c r="H8771" s="11">
        <f>F8771*Summary!$B$7</f>
        <v/>
      </c>
      <c r="I8771" s="11">
        <f>MAX(0,N8771-M8771)</f>
        <v/>
      </c>
      <c r="J8771" s="11">
        <f>MAX(0,M8771-N8771)</f>
        <v/>
      </c>
      <c r="K8771" s="11">
        <f>O8771</f>
        <v/>
      </c>
      <c r="L8771" s="11">
        <f>L8770+IF(K8771&gt;0,K8771*Summary!$B$9,K8771/Summary!$B$9)</f>
        <v/>
      </c>
      <c r="M8771" s="11">
        <f>G8771+H8771</f>
        <v/>
      </c>
      <c r="N8771" s="11">
        <f>Summary!$C$16*Summary!$B$8</f>
        <v/>
      </c>
      <c r="O8771" s="11">
        <f>M8771-N8771</f>
        <v/>
      </c>
    </row>
    <row r="8772">
      <c r="A8772" s="9" t="n">
        <v>45657.41666666666</v>
      </c>
      <c r="B8772" t="n">
        <v>12</v>
      </c>
      <c r="C8772" t="n">
        <v>31</v>
      </c>
      <c r="D8772" t="n">
        <v>10</v>
      </c>
      <c r="E8772" s="10" t="n">
        <v>0.003698</v>
      </c>
      <c r="F8772" s="10" t="n">
        <v>0.4445846987003277</v>
      </c>
      <c r="G8772" s="11">
        <f>E8772*Summary!$B$6</f>
        <v/>
      </c>
      <c r="H8772" s="11">
        <f>F8772*Summary!$B$7</f>
        <v/>
      </c>
      <c r="I8772" s="11">
        <f>MAX(0,N8772-M8772)</f>
        <v/>
      </c>
      <c r="J8772" s="11">
        <f>MAX(0,M8772-N8772)</f>
        <v/>
      </c>
      <c r="K8772" s="11">
        <f>O8772</f>
        <v/>
      </c>
      <c r="L8772" s="11">
        <f>L8771+IF(K8772&gt;0,K8772*Summary!$B$9,K8772/Summary!$B$9)</f>
        <v/>
      </c>
      <c r="M8772" s="11">
        <f>G8772+H8772</f>
        <v/>
      </c>
      <c r="N8772" s="11">
        <f>Summary!$C$16*Summary!$B$8</f>
        <v/>
      </c>
      <c r="O8772" s="11">
        <f>M8772-N8772</f>
        <v/>
      </c>
    </row>
    <row r="8773">
      <c r="A8773" s="9" t="n">
        <v>45657.45833333334</v>
      </c>
      <c r="B8773" t="n">
        <v>12</v>
      </c>
      <c r="C8773" t="n">
        <v>31</v>
      </c>
      <c r="D8773" t="n">
        <v>11</v>
      </c>
      <c r="E8773" s="10" t="n">
        <v>0.009913</v>
      </c>
      <c r="F8773" s="10" t="n">
        <v>0.4383656252077501</v>
      </c>
      <c r="G8773" s="11">
        <f>E8773*Summary!$B$6</f>
        <v/>
      </c>
      <c r="H8773" s="11">
        <f>F8773*Summary!$B$7</f>
        <v/>
      </c>
      <c r="I8773" s="11">
        <f>MAX(0,N8773-M8773)</f>
        <v/>
      </c>
      <c r="J8773" s="11">
        <f>MAX(0,M8773-N8773)</f>
        <v/>
      </c>
      <c r="K8773" s="11">
        <f>O8773</f>
        <v/>
      </c>
      <c r="L8773" s="11">
        <f>L8772+IF(K8773&gt;0,K8773*Summary!$B$9,K8773/Summary!$B$9)</f>
        <v/>
      </c>
      <c r="M8773" s="11">
        <f>G8773+H8773</f>
        <v/>
      </c>
      <c r="N8773" s="11">
        <f>Summary!$C$16*Summary!$B$8</f>
        <v/>
      </c>
      <c r="O8773" s="11">
        <f>M8773-N8773</f>
        <v/>
      </c>
    </row>
    <row r="8774">
      <c r="A8774" s="9" t="n">
        <v>45657.5</v>
      </c>
      <c r="B8774" t="n">
        <v>12</v>
      </c>
      <c r="C8774" t="n">
        <v>31</v>
      </c>
      <c r="D8774" t="n">
        <v>12</v>
      </c>
      <c r="E8774" s="10" t="n">
        <v>0.009868</v>
      </c>
      <c r="F8774" s="10" t="n">
        <v>0.4327526478606354</v>
      </c>
      <c r="G8774" s="11">
        <f>E8774*Summary!$B$6</f>
        <v/>
      </c>
      <c r="H8774" s="11">
        <f>F8774*Summary!$B$7</f>
        <v/>
      </c>
      <c r="I8774" s="11">
        <f>MAX(0,N8774-M8774)</f>
        <v/>
      </c>
      <c r="J8774" s="11">
        <f>MAX(0,M8774-N8774)</f>
        <v/>
      </c>
      <c r="K8774" s="11">
        <f>O8774</f>
        <v/>
      </c>
      <c r="L8774" s="11">
        <f>L8773+IF(K8774&gt;0,K8774*Summary!$B$9,K8774/Summary!$B$9)</f>
        <v/>
      </c>
      <c r="M8774" s="11">
        <f>G8774+H8774</f>
        <v/>
      </c>
      <c r="N8774" s="11">
        <f>Summary!$C$16*Summary!$B$8</f>
        <v/>
      </c>
      <c r="O8774" s="11">
        <f>M8774-N8774</f>
        <v/>
      </c>
    </row>
    <row r="8775">
      <c r="A8775" s="9" t="n">
        <v>45657.54166666666</v>
      </c>
      <c r="B8775" t="n">
        <v>12</v>
      </c>
      <c r="C8775" t="n">
        <v>31</v>
      </c>
      <c r="D8775" t="n">
        <v>13</v>
      </c>
      <c r="E8775" s="10" t="n">
        <v>0.007549</v>
      </c>
      <c r="F8775" s="10" t="n">
        <v>0.4294322950637508</v>
      </c>
      <c r="G8775" s="11">
        <f>E8775*Summary!$B$6</f>
        <v/>
      </c>
      <c r="H8775" s="11">
        <f>F8775*Summary!$B$7</f>
        <v/>
      </c>
      <c r="I8775" s="11">
        <f>MAX(0,N8775-M8775)</f>
        <v/>
      </c>
      <c r="J8775" s="11">
        <f>MAX(0,M8775-N8775)</f>
        <v/>
      </c>
      <c r="K8775" s="11">
        <f>O8775</f>
        <v/>
      </c>
      <c r="L8775" s="11">
        <f>L8774+IF(K8775&gt;0,K8775*Summary!$B$9,K8775/Summary!$B$9)</f>
        <v/>
      </c>
      <c r="M8775" s="11">
        <f>G8775+H8775</f>
        <v/>
      </c>
      <c r="N8775" s="11">
        <f>Summary!$C$16*Summary!$B$8</f>
        <v/>
      </c>
      <c r="O8775" s="11">
        <f>M8775-N8775</f>
        <v/>
      </c>
    </row>
    <row r="8776">
      <c r="A8776" s="9" t="n">
        <v>45657.58333333334</v>
      </c>
      <c r="B8776" t="n">
        <v>12</v>
      </c>
      <c r="C8776" t="n">
        <v>31</v>
      </c>
      <c r="D8776" t="n">
        <v>14</v>
      </c>
      <c r="E8776" s="10" t="n">
        <v>0</v>
      </c>
      <c r="F8776" s="10" t="n">
        <v>0.4315141035633848</v>
      </c>
      <c r="G8776" s="11">
        <f>E8776*Summary!$B$6</f>
        <v/>
      </c>
      <c r="H8776" s="11">
        <f>F8776*Summary!$B$7</f>
        <v/>
      </c>
      <c r="I8776" s="11">
        <f>MAX(0,N8776-M8776)</f>
        <v/>
      </c>
      <c r="J8776" s="11">
        <f>MAX(0,M8776-N8776)</f>
        <v/>
      </c>
      <c r="K8776" s="11">
        <f>O8776</f>
        <v/>
      </c>
      <c r="L8776" s="11">
        <f>L8775+IF(K8776&gt;0,K8776*Summary!$B$9,K8776/Summary!$B$9)</f>
        <v/>
      </c>
      <c r="M8776" s="11">
        <f>G8776+H8776</f>
        <v/>
      </c>
      <c r="N8776" s="11">
        <f>Summary!$C$16*Summary!$B$8</f>
        <v/>
      </c>
      <c r="O8776" s="11">
        <f>M8776-N8776</f>
        <v/>
      </c>
    </row>
    <row r="8777">
      <c r="A8777" s="9" t="n">
        <v>45657.625</v>
      </c>
      <c r="B8777" t="n">
        <v>12</v>
      </c>
      <c r="C8777" t="n">
        <v>31</v>
      </c>
      <c r="D8777" t="n">
        <v>15</v>
      </c>
      <c r="E8777" s="10" t="n">
        <v>0</v>
      </c>
      <c r="F8777" s="10" t="n">
        <v>0.4824788837949321</v>
      </c>
      <c r="G8777" s="11">
        <f>E8777*Summary!$B$6</f>
        <v/>
      </c>
      <c r="H8777" s="11">
        <f>F8777*Summary!$B$7</f>
        <v/>
      </c>
      <c r="I8777" s="11">
        <f>MAX(0,N8777-M8777)</f>
        <v/>
      </c>
      <c r="J8777" s="11">
        <f>MAX(0,M8777-N8777)</f>
        <v/>
      </c>
      <c r="K8777" s="11">
        <f>O8777</f>
        <v/>
      </c>
      <c r="L8777" s="11">
        <f>L8776+IF(K8777&gt;0,K8777*Summary!$B$9,K8777/Summary!$B$9)</f>
        <v/>
      </c>
      <c r="M8777" s="11">
        <f>G8777+H8777</f>
        <v/>
      </c>
      <c r="N8777" s="11">
        <f>Summary!$C$16*Summary!$B$8</f>
        <v/>
      </c>
      <c r="O8777" s="11">
        <f>M8777-N8777</f>
        <v/>
      </c>
    </row>
    <row r="8778">
      <c r="A8778" s="9" t="n">
        <v>45657.66666666666</v>
      </c>
      <c r="B8778" t="n">
        <v>12</v>
      </c>
      <c r="C8778" t="n">
        <v>31</v>
      </c>
      <c r="D8778" t="n">
        <v>16</v>
      </c>
      <c r="E8778" s="10" t="n">
        <v>0</v>
      </c>
      <c r="F8778" s="10" t="n">
        <v>0.454730221135253</v>
      </c>
      <c r="G8778" s="11">
        <f>E8778*Summary!$B$6</f>
        <v/>
      </c>
      <c r="H8778" s="11">
        <f>F8778*Summary!$B$7</f>
        <v/>
      </c>
      <c r="I8778" s="11">
        <f>MAX(0,N8778-M8778)</f>
        <v/>
      </c>
      <c r="J8778" s="11">
        <f>MAX(0,M8778-N8778)</f>
        <v/>
      </c>
      <c r="K8778" s="11">
        <f>O8778</f>
        <v/>
      </c>
      <c r="L8778" s="11">
        <f>L8777+IF(K8778&gt;0,K8778*Summary!$B$9,K8778/Summary!$B$9)</f>
        <v/>
      </c>
      <c r="M8778" s="11">
        <f>G8778+H8778</f>
        <v/>
      </c>
      <c r="N8778" s="11">
        <f>Summary!$C$16*Summary!$B$8</f>
        <v/>
      </c>
      <c r="O8778" s="11">
        <f>M8778-N8778</f>
        <v/>
      </c>
    </row>
    <row r="8779">
      <c r="A8779" s="9" t="n">
        <v>45657.70833333334</v>
      </c>
      <c r="B8779" t="n">
        <v>12</v>
      </c>
      <c r="C8779" t="n">
        <v>31</v>
      </c>
      <c r="D8779" t="n">
        <v>17</v>
      </c>
      <c r="E8779" s="10" t="n">
        <v>0</v>
      </c>
      <c r="F8779" s="10" t="n">
        <v>0.4661933438864025</v>
      </c>
      <c r="G8779" s="11">
        <f>E8779*Summary!$B$6</f>
        <v/>
      </c>
      <c r="H8779" s="11">
        <f>F8779*Summary!$B$7</f>
        <v/>
      </c>
      <c r="I8779" s="11">
        <f>MAX(0,N8779-M8779)</f>
        <v/>
      </c>
      <c r="J8779" s="11">
        <f>MAX(0,M8779-N8779)</f>
        <v/>
      </c>
      <c r="K8779" s="11">
        <f>O8779</f>
        <v/>
      </c>
      <c r="L8779" s="11">
        <f>L8778+IF(K8779&gt;0,K8779*Summary!$B$9,K8779/Summary!$B$9)</f>
        <v/>
      </c>
      <c r="M8779" s="11">
        <f>G8779+H8779</f>
        <v/>
      </c>
      <c r="N8779" s="11">
        <f>Summary!$C$16*Summary!$B$8</f>
        <v/>
      </c>
      <c r="O8779" s="11">
        <f>M8779-N8779</f>
        <v/>
      </c>
    </row>
    <row r="8780">
      <c r="A8780" s="9" t="n">
        <v>45657.75</v>
      </c>
      <c r="B8780" t="n">
        <v>12</v>
      </c>
      <c r="C8780" t="n">
        <v>31</v>
      </c>
      <c r="D8780" t="n">
        <v>18</v>
      </c>
      <c r="E8780" s="10" t="n">
        <v>0</v>
      </c>
      <c r="F8780" s="10" t="n">
        <v>0.4748631539671569</v>
      </c>
      <c r="G8780" s="11">
        <f>E8780*Summary!$B$6</f>
        <v/>
      </c>
      <c r="H8780" s="11">
        <f>F8780*Summary!$B$7</f>
        <v/>
      </c>
      <c r="I8780" s="11">
        <f>MAX(0,N8780-M8780)</f>
        <v/>
      </c>
      <c r="J8780" s="11">
        <f>MAX(0,M8780-N8780)</f>
        <v/>
      </c>
      <c r="K8780" s="11">
        <f>O8780</f>
        <v/>
      </c>
      <c r="L8780" s="11">
        <f>L8779+IF(K8780&gt;0,K8780*Summary!$B$9,K8780/Summary!$B$9)</f>
        <v/>
      </c>
      <c r="M8780" s="11">
        <f>G8780+H8780</f>
        <v/>
      </c>
      <c r="N8780" s="11">
        <f>Summary!$C$16*Summary!$B$8</f>
        <v/>
      </c>
      <c r="O8780" s="11">
        <f>M8780-N8780</f>
        <v/>
      </c>
    </row>
    <row r="8781">
      <c r="A8781" s="9" t="n">
        <v>45657.79166666666</v>
      </c>
      <c r="B8781" t="n">
        <v>12</v>
      </c>
      <c r="C8781" t="n">
        <v>31</v>
      </c>
      <c r="D8781" t="n">
        <v>19</v>
      </c>
      <c r="E8781" s="10" t="n">
        <v>0</v>
      </c>
      <c r="F8781" s="10" t="n">
        <v>0.481925491662118</v>
      </c>
      <c r="G8781" s="11">
        <f>E8781*Summary!$B$6</f>
        <v/>
      </c>
      <c r="H8781" s="11">
        <f>F8781*Summary!$B$7</f>
        <v/>
      </c>
      <c r="I8781" s="11">
        <f>MAX(0,N8781-M8781)</f>
        <v/>
      </c>
      <c r="J8781" s="11">
        <f>MAX(0,M8781-N8781)</f>
        <v/>
      </c>
      <c r="K8781" s="11">
        <f>O8781</f>
        <v/>
      </c>
      <c r="L8781" s="11">
        <f>L8780+IF(K8781&gt;0,K8781*Summary!$B$9,K8781/Summary!$B$9)</f>
        <v/>
      </c>
      <c r="M8781" s="11">
        <f>G8781+H8781</f>
        <v/>
      </c>
      <c r="N8781" s="11">
        <f>Summary!$C$16*Summary!$B$8</f>
        <v/>
      </c>
      <c r="O8781" s="11">
        <f>M8781-N8781</f>
        <v/>
      </c>
    </row>
    <row r="8782">
      <c r="A8782" s="9" t="n">
        <v>45657.83333333334</v>
      </c>
      <c r="B8782" t="n">
        <v>12</v>
      </c>
      <c r="C8782" t="n">
        <v>31</v>
      </c>
      <c r="D8782" t="n">
        <v>20</v>
      </c>
      <c r="E8782" s="10" t="n">
        <v>0</v>
      </c>
      <c r="F8782" s="10" t="n">
        <v>0.484771508345162</v>
      </c>
      <c r="G8782" s="11">
        <f>E8782*Summary!$B$6</f>
        <v/>
      </c>
      <c r="H8782" s="11">
        <f>F8782*Summary!$B$7</f>
        <v/>
      </c>
      <c r="I8782" s="11">
        <f>MAX(0,N8782-M8782)</f>
        <v/>
      </c>
      <c r="J8782" s="11">
        <f>MAX(0,M8782-N8782)</f>
        <v/>
      </c>
      <c r="K8782" s="11">
        <f>O8782</f>
        <v/>
      </c>
      <c r="L8782" s="11">
        <f>L8781+IF(K8782&gt;0,K8782*Summary!$B$9,K8782/Summary!$B$9)</f>
        <v/>
      </c>
      <c r="M8782" s="11">
        <f>G8782+H8782</f>
        <v/>
      </c>
      <c r="N8782" s="11">
        <f>Summary!$C$16*Summary!$B$8</f>
        <v/>
      </c>
      <c r="O8782" s="11">
        <f>M8782-N8782</f>
        <v/>
      </c>
    </row>
    <row r="8783">
      <c r="A8783" s="9" t="n">
        <v>45657.875</v>
      </c>
      <c r="B8783" t="n">
        <v>12</v>
      </c>
      <c r="C8783" t="n">
        <v>31</v>
      </c>
      <c r="D8783" t="n">
        <v>21</v>
      </c>
      <c r="E8783" s="10" t="n">
        <v>0</v>
      </c>
      <c r="F8783" s="10" t="n">
        <v>0.4840336521680765</v>
      </c>
      <c r="G8783" s="11">
        <f>E8783*Summary!$B$6</f>
        <v/>
      </c>
      <c r="H8783" s="11">
        <f>F8783*Summary!$B$7</f>
        <v/>
      </c>
      <c r="I8783" s="11">
        <f>MAX(0,N8783-M8783)</f>
        <v/>
      </c>
      <c r="J8783" s="11">
        <f>MAX(0,M8783-N8783)</f>
        <v/>
      </c>
      <c r="K8783" s="11">
        <f>O8783</f>
        <v/>
      </c>
      <c r="L8783" s="11">
        <f>L8782+IF(K8783&gt;0,K8783*Summary!$B$9,K8783/Summary!$B$9)</f>
        <v/>
      </c>
      <c r="M8783" s="11">
        <f>G8783+H8783</f>
        <v/>
      </c>
      <c r="N8783" s="11">
        <f>Summary!$C$16*Summary!$B$8</f>
        <v/>
      </c>
      <c r="O8783" s="11">
        <f>M8783-N8783</f>
        <v/>
      </c>
    </row>
    <row r="8784">
      <c r="A8784" s="9" t="n">
        <v>45657.91666666666</v>
      </c>
      <c r="B8784" t="n">
        <v>12</v>
      </c>
      <c r="C8784" t="n">
        <v>31</v>
      </c>
      <c r="D8784" t="n">
        <v>22</v>
      </c>
      <c r="E8784" s="10" t="n">
        <v>0</v>
      </c>
      <c r="F8784" s="10" t="n">
        <v>0.4738354257205022</v>
      </c>
      <c r="G8784" s="11">
        <f>E8784*Summary!$B$6</f>
        <v/>
      </c>
      <c r="H8784" s="11">
        <f>F8784*Summary!$B$7</f>
        <v/>
      </c>
      <c r="I8784" s="11">
        <f>MAX(0,N8784-M8784)</f>
        <v/>
      </c>
      <c r="J8784" s="11">
        <f>MAX(0,M8784-N8784)</f>
        <v/>
      </c>
      <c r="K8784" s="11">
        <f>O8784</f>
        <v/>
      </c>
      <c r="L8784" s="11">
        <f>L8783+IF(K8784&gt;0,K8784*Summary!$B$9,K8784/Summary!$B$9)</f>
        <v/>
      </c>
      <c r="M8784" s="11">
        <f>G8784+H8784</f>
        <v/>
      </c>
      <c r="N8784" s="11">
        <f>Summary!$C$16*Summary!$B$8</f>
        <v/>
      </c>
      <c r="O8784" s="11">
        <f>M8784-N8784</f>
        <v/>
      </c>
    </row>
    <row r="8785">
      <c r="A8785" s="9" t="n">
        <v>45657.95833333334</v>
      </c>
      <c r="B8785" t="n">
        <v>12</v>
      </c>
      <c r="C8785" t="n">
        <v>31</v>
      </c>
      <c r="D8785" t="n">
        <v>23</v>
      </c>
      <c r="E8785" s="10" t="n">
        <v>0</v>
      </c>
      <c r="F8785" s="10" t="n">
        <v>0.464085183380444</v>
      </c>
      <c r="G8785" s="11">
        <f>E8785*Summary!$B$6</f>
        <v/>
      </c>
      <c r="H8785" s="11">
        <f>F8785*Summary!$B$7</f>
        <v/>
      </c>
      <c r="I8785" s="11">
        <f>MAX(0,N8785-M8785)</f>
        <v/>
      </c>
      <c r="J8785" s="11">
        <f>MAX(0,M8785-N8785)</f>
        <v/>
      </c>
      <c r="K8785" s="11">
        <f>O8785</f>
        <v/>
      </c>
      <c r="L8785" s="11">
        <f>L8784+IF(K8785&gt;0,K8785*Summary!$B$9,K8785/Summary!$B$9)</f>
        <v/>
      </c>
      <c r="M8785" s="11">
        <f>G8785+H8785</f>
        <v/>
      </c>
      <c r="N8785" s="11">
        <f>Summary!$C$16*Summary!$B$8</f>
        <v/>
      </c>
      <c r="O8785" s="11">
        <f>M8785-N8785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8" t="inlineStr">
        <is>
          <t>Month</t>
        </is>
      </c>
      <c r="B1" s="8" t="inlineStr">
        <is>
          <t>Month Name</t>
        </is>
      </c>
      <c r="C1" s="8" t="inlineStr">
        <is>
          <t>Hours</t>
        </is>
      </c>
      <c r="D1" s="8" t="inlineStr">
        <is>
          <t>Solar CF</t>
        </is>
      </c>
      <c r="E1" s="8" t="inlineStr">
        <is>
          <t>Wind CF</t>
        </is>
      </c>
      <c r="F1" s="8" t="inlineStr">
        <is>
          <t>Solar (MWh)</t>
        </is>
      </c>
      <c r="G1" s="8" t="inlineStr">
        <is>
          <t>Wind (MWh)</t>
        </is>
      </c>
      <c r="H1" s="8" t="inlineStr">
        <is>
          <t>Total (MWh)</t>
        </is>
      </c>
      <c r="I1" s="8" t="inlineStr">
        <is>
          <t>Deficit Hours</t>
        </is>
      </c>
      <c r="J1" s="8" t="inlineStr">
        <is>
          <t>Deficit (MWh)</t>
        </is>
      </c>
      <c r="K1" s="8" t="inlineStr">
        <is>
          <t>Surplus (MWh)</t>
        </is>
      </c>
      <c r="L1" s="8" t="inlineStr">
        <is>
          <t>Max Deficit (MW)</t>
        </is>
      </c>
      <c r="M1" s="8" t="inlineStr">
        <is>
          <t>Max SoC (MWh)</t>
        </is>
      </c>
      <c r="N1" s="8" t="inlineStr">
        <is>
          <t>Min SoC (MWh)</t>
        </is>
      </c>
    </row>
    <row r="2">
      <c r="A2" t="n">
        <v>1</v>
      </c>
      <c r="B2" t="inlineStr">
        <is>
          <t>Jan</t>
        </is>
      </c>
      <c r="C2">
        <f>COUNTIF(Hourly!B:B,1)</f>
        <v/>
      </c>
      <c r="D2" s="12">
        <f>AVERAGEIF(Hourly!B:B,1,Hourly!E:E)</f>
        <v/>
      </c>
      <c r="E2" s="12">
        <f>AVERAGEIF(Hourly!B:B,1,Hourly!F:F)</f>
        <v/>
      </c>
      <c r="F2" s="13">
        <f>SUMIF(Hourly!B:B,1,Hourly!G:G)</f>
        <v/>
      </c>
      <c r="G2" s="13">
        <f>SUMIF(Hourly!B:B,1,Hourly!H:H)</f>
        <v/>
      </c>
      <c r="H2" s="13">
        <f>F2+G2</f>
        <v/>
      </c>
      <c r="I2">
        <f>COUNTIFS(Hourly!B:B,1,Hourly!I:I,"&gt;0")</f>
        <v/>
      </c>
      <c r="J2" s="13">
        <f>SUMIF(Hourly!B:B,1,Hourly!I:I)</f>
        <v/>
      </c>
      <c r="K2" s="13">
        <f>SUMIF(Hourly!B:B,1,Hourly!J:J)</f>
        <v/>
      </c>
      <c r="L2" s="11">
        <f>MAXIFS(Hourly!I:I,Hourly!B:B,1)</f>
        <v/>
      </c>
      <c r="M2" s="13">
        <f>MAXIFS(Hourly!L:L,Hourly!B:B,1)</f>
        <v/>
      </c>
      <c r="N2" s="13">
        <f>MINIFS(Hourly!L:L,Hourly!B:B,1)</f>
        <v/>
      </c>
    </row>
    <row r="3">
      <c r="A3" t="n">
        <v>2</v>
      </c>
      <c r="B3" t="inlineStr">
        <is>
          <t>Feb</t>
        </is>
      </c>
      <c r="C3">
        <f>COUNTIF(Hourly!B:B,2)</f>
        <v/>
      </c>
      <c r="D3" s="12">
        <f>AVERAGEIF(Hourly!B:B,2,Hourly!E:E)</f>
        <v/>
      </c>
      <c r="E3" s="12">
        <f>AVERAGEIF(Hourly!B:B,2,Hourly!F:F)</f>
        <v/>
      </c>
      <c r="F3" s="13">
        <f>SUMIF(Hourly!B:B,2,Hourly!G:G)</f>
        <v/>
      </c>
      <c r="G3" s="13">
        <f>SUMIF(Hourly!B:B,2,Hourly!H:H)</f>
        <v/>
      </c>
      <c r="H3" s="13">
        <f>F3+G3</f>
        <v/>
      </c>
      <c r="I3">
        <f>COUNTIFS(Hourly!B:B,2,Hourly!I:I,"&gt;0")</f>
        <v/>
      </c>
      <c r="J3" s="13">
        <f>SUMIF(Hourly!B:B,2,Hourly!I:I)</f>
        <v/>
      </c>
      <c r="K3" s="13">
        <f>SUMIF(Hourly!B:B,2,Hourly!J:J)</f>
        <v/>
      </c>
      <c r="L3" s="11">
        <f>MAXIFS(Hourly!I:I,Hourly!B:B,2)</f>
        <v/>
      </c>
      <c r="M3" s="13">
        <f>MAXIFS(Hourly!L:L,Hourly!B:B,2)</f>
        <v/>
      </c>
      <c r="N3" s="13">
        <f>MINIFS(Hourly!L:L,Hourly!B:B,2)</f>
        <v/>
      </c>
    </row>
    <row r="4">
      <c r="A4" t="n">
        <v>3</v>
      </c>
      <c r="B4" t="inlineStr">
        <is>
          <t>Mar</t>
        </is>
      </c>
      <c r="C4">
        <f>COUNTIF(Hourly!B:B,3)</f>
        <v/>
      </c>
      <c r="D4" s="12">
        <f>AVERAGEIF(Hourly!B:B,3,Hourly!E:E)</f>
        <v/>
      </c>
      <c r="E4" s="12">
        <f>AVERAGEIF(Hourly!B:B,3,Hourly!F:F)</f>
        <v/>
      </c>
      <c r="F4" s="13">
        <f>SUMIF(Hourly!B:B,3,Hourly!G:G)</f>
        <v/>
      </c>
      <c r="G4" s="13">
        <f>SUMIF(Hourly!B:B,3,Hourly!H:H)</f>
        <v/>
      </c>
      <c r="H4" s="13">
        <f>F4+G4</f>
        <v/>
      </c>
      <c r="I4">
        <f>COUNTIFS(Hourly!B:B,3,Hourly!I:I,"&gt;0")</f>
        <v/>
      </c>
      <c r="J4" s="13">
        <f>SUMIF(Hourly!B:B,3,Hourly!I:I)</f>
        <v/>
      </c>
      <c r="K4" s="13">
        <f>SUMIF(Hourly!B:B,3,Hourly!J:J)</f>
        <v/>
      </c>
      <c r="L4" s="11">
        <f>MAXIFS(Hourly!I:I,Hourly!B:B,3)</f>
        <v/>
      </c>
      <c r="M4" s="13">
        <f>MAXIFS(Hourly!L:L,Hourly!B:B,3)</f>
        <v/>
      </c>
      <c r="N4" s="13">
        <f>MINIFS(Hourly!L:L,Hourly!B:B,3)</f>
        <v/>
      </c>
    </row>
    <row r="5">
      <c r="A5" t="n">
        <v>4</v>
      </c>
      <c r="B5" t="inlineStr">
        <is>
          <t>Apr</t>
        </is>
      </c>
      <c r="C5">
        <f>COUNTIF(Hourly!B:B,4)</f>
        <v/>
      </c>
      <c r="D5" s="12">
        <f>AVERAGEIF(Hourly!B:B,4,Hourly!E:E)</f>
        <v/>
      </c>
      <c r="E5" s="12">
        <f>AVERAGEIF(Hourly!B:B,4,Hourly!F:F)</f>
        <v/>
      </c>
      <c r="F5" s="13">
        <f>SUMIF(Hourly!B:B,4,Hourly!G:G)</f>
        <v/>
      </c>
      <c r="G5" s="13">
        <f>SUMIF(Hourly!B:B,4,Hourly!H:H)</f>
        <v/>
      </c>
      <c r="H5" s="13">
        <f>F5+G5</f>
        <v/>
      </c>
      <c r="I5">
        <f>COUNTIFS(Hourly!B:B,4,Hourly!I:I,"&gt;0")</f>
        <v/>
      </c>
      <c r="J5" s="13">
        <f>SUMIF(Hourly!B:B,4,Hourly!I:I)</f>
        <v/>
      </c>
      <c r="K5" s="13">
        <f>SUMIF(Hourly!B:B,4,Hourly!J:J)</f>
        <v/>
      </c>
      <c r="L5" s="11">
        <f>MAXIFS(Hourly!I:I,Hourly!B:B,4)</f>
        <v/>
      </c>
      <c r="M5" s="13">
        <f>MAXIFS(Hourly!L:L,Hourly!B:B,4)</f>
        <v/>
      </c>
      <c r="N5" s="13">
        <f>MINIFS(Hourly!L:L,Hourly!B:B,4)</f>
        <v/>
      </c>
    </row>
    <row r="6">
      <c r="A6" t="n">
        <v>5</v>
      </c>
      <c r="B6" t="inlineStr">
        <is>
          <t>May</t>
        </is>
      </c>
      <c r="C6">
        <f>COUNTIF(Hourly!B:B,5)</f>
        <v/>
      </c>
      <c r="D6" s="12">
        <f>AVERAGEIF(Hourly!B:B,5,Hourly!E:E)</f>
        <v/>
      </c>
      <c r="E6" s="12">
        <f>AVERAGEIF(Hourly!B:B,5,Hourly!F:F)</f>
        <v/>
      </c>
      <c r="F6" s="13">
        <f>SUMIF(Hourly!B:B,5,Hourly!G:G)</f>
        <v/>
      </c>
      <c r="G6" s="13">
        <f>SUMIF(Hourly!B:B,5,Hourly!H:H)</f>
        <v/>
      </c>
      <c r="H6" s="13">
        <f>F6+G6</f>
        <v/>
      </c>
      <c r="I6">
        <f>COUNTIFS(Hourly!B:B,5,Hourly!I:I,"&gt;0")</f>
        <v/>
      </c>
      <c r="J6" s="13">
        <f>SUMIF(Hourly!B:B,5,Hourly!I:I)</f>
        <v/>
      </c>
      <c r="K6" s="13">
        <f>SUMIF(Hourly!B:B,5,Hourly!J:J)</f>
        <v/>
      </c>
      <c r="L6" s="11">
        <f>MAXIFS(Hourly!I:I,Hourly!B:B,5)</f>
        <v/>
      </c>
      <c r="M6" s="13">
        <f>MAXIFS(Hourly!L:L,Hourly!B:B,5)</f>
        <v/>
      </c>
      <c r="N6" s="13">
        <f>MINIFS(Hourly!L:L,Hourly!B:B,5)</f>
        <v/>
      </c>
    </row>
    <row r="7">
      <c r="A7" t="n">
        <v>6</v>
      </c>
      <c r="B7" t="inlineStr">
        <is>
          <t>Jun</t>
        </is>
      </c>
      <c r="C7">
        <f>COUNTIF(Hourly!B:B,6)</f>
        <v/>
      </c>
      <c r="D7" s="12">
        <f>AVERAGEIF(Hourly!B:B,6,Hourly!E:E)</f>
        <v/>
      </c>
      <c r="E7" s="12">
        <f>AVERAGEIF(Hourly!B:B,6,Hourly!F:F)</f>
        <v/>
      </c>
      <c r="F7" s="13">
        <f>SUMIF(Hourly!B:B,6,Hourly!G:G)</f>
        <v/>
      </c>
      <c r="G7" s="13">
        <f>SUMIF(Hourly!B:B,6,Hourly!H:H)</f>
        <v/>
      </c>
      <c r="H7" s="13">
        <f>F7+G7</f>
        <v/>
      </c>
      <c r="I7">
        <f>COUNTIFS(Hourly!B:B,6,Hourly!I:I,"&gt;0")</f>
        <v/>
      </c>
      <c r="J7" s="13">
        <f>SUMIF(Hourly!B:B,6,Hourly!I:I)</f>
        <v/>
      </c>
      <c r="K7" s="13">
        <f>SUMIF(Hourly!B:B,6,Hourly!J:J)</f>
        <v/>
      </c>
      <c r="L7" s="11">
        <f>MAXIFS(Hourly!I:I,Hourly!B:B,6)</f>
        <v/>
      </c>
      <c r="M7" s="13">
        <f>MAXIFS(Hourly!L:L,Hourly!B:B,6)</f>
        <v/>
      </c>
      <c r="N7" s="13">
        <f>MINIFS(Hourly!L:L,Hourly!B:B,6)</f>
        <v/>
      </c>
    </row>
    <row r="8">
      <c r="A8" t="n">
        <v>7</v>
      </c>
      <c r="B8" t="inlineStr">
        <is>
          <t>Jul</t>
        </is>
      </c>
      <c r="C8">
        <f>COUNTIF(Hourly!B:B,7)</f>
        <v/>
      </c>
      <c r="D8" s="12">
        <f>AVERAGEIF(Hourly!B:B,7,Hourly!E:E)</f>
        <v/>
      </c>
      <c r="E8" s="12">
        <f>AVERAGEIF(Hourly!B:B,7,Hourly!F:F)</f>
        <v/>
      </c>
      <c r="F8" s="13">
        <f>SUMIF(Hourly!B:B,7,Hourly!G:G)</f>
        <v/>
      </c>
      <c r="G8" s="13">
        <f>SUMIF(Hourly!B:B,7,Hourly!H:H)</f>
        <v/>
      </c>
      <c r="H8" s="13">
        <f>F8+G8</f>
        <v/>
      </c>
      <c r="I8">
        <f>COUNTIFS(Hourly!B:B,7,Hourly!I:I,"&gt;0")</f>
        <v/>
      </c>
      <c r="J8" s="13">
        <f>SUMIF(Hourly!B:B,7,Hourly!I:I)</f>
        <v/>
      </c>
      <c r="K8" s="13">
        <f>SUMIF(Hourly!B:B,7,Hourly!J:J)</f>
        <v/>
      </c>
      <c r="L8" s="11">
        <f>MAXIFS(Hourly!I:I,Hourly!B:B,7)</f>
        <v/>
      </c>
      <c r="M8" s="13">
        <f>MAXIFS(Hourly!L:L,Hourly!B:B,7)</f>
        <v/>
      </c>
      <c r="N8" s="13">
        <f>MINIFS(Hourly!L:L,Hourly!B:B,7)</f>
        <v/>
      </c>
    </row>
    <row r="9">
      <c r="A9" t="n">
        <v>8</v>
      </c>
      <c r="B9" t="inlineStr">
        <is>
          <t>Aug</t>
        </is>
      </c>
      <c r="C9">
        <f>COUNTIF(Hourly!B:B,8)</f>
        <v/>
      </c>
      <c r="D9" s="12">
        <f>AVERAGEIF(Hourly!B:B,8,Hourly!E:E)</f>
        <v/>
      </c>
      <c r="E9" s="12">
        <f>AVERAGEIF(Hourly!B:B,8,Hourly!F:F)</f>
        <v/>
      </c>
      <c r="F9" s="13">
        <f>SUMIF(Hourly!B:B,8,Hourly!G:G)</f>
        <v/>
      </c>
      <c r="G9" s="13">
        <f>SUMIF(Hourly!B:B,8,Hourly!H:H)</f>
        <v/>
      </c>
      <c r="H9" s="13">
        <f>F9+G9</f>
        <v/>
      </c>
      <c r="I9">
        <f>COUNTIFS(Hourly!B:B,8,Hourly!I:I,"&gt;0")</f>
        <v/>
      </c>
      <c r="J9" s="13">
        <f>SUMIF(Hourly!B:B,8,Hourly!I:I)</f>
        <v/>
      </c>
      <c r="K9" s="13">
        <f>SUMIF(Hourly!B:B,8,Hourly!J:J)</f>
        <v/>
      </c>
      <c r="L9" s="11">
        <f>MAXIFS(Hourly!I:I,Hourly!B:B,8)</f>
        <v/>
      </c>
      <c r="M9" s="13">
        <f>MAXIFS(Hourly!L:L,Hourly!B:B,8)</f>
        <v/>
      </c>
      <c r="N9" s="13">
        <f>MINIFS(Hourly!L:L,Hourly!B:B,8)</f>
        <v/>
      </c>
    </row>
    <row r="10">
      <c r="A10" t="n">
        <v>9</v>
      </c>
      <c r="B10" t="inlineStr">
        <is>
          <t>Sep</t>
        </is>
      </c>
      <c r="C10">
        <f>COUNTIF(Hourly!B:B,9)</f>
        <v/>
      </c>
      <c r="D10" s="12">
        <f>AVERAGEIF(Hourly!B:B,9,Hourly!E:E)</f>
        <v/>
      </c>
      <c r="E10" s="12">
        <f>AVERAGEIF(Hourly!B:B,9,Hourly!F:F)</f>
        <v/>
      </c>
      <c r="F10" s="13">
        <f>SUMIF(Hourly!B:B,9,Hourly!G:G)</f>
        <v/>
      </c>
      <c r="G10" s="13">
        <f>SUMIF(Hourly!B:B,9,Hourly!H:H)</f>
        <v/>
      </c>
      <c r="H10" s="13">
        <f>F10+G10</f>
        <v/>
      </c>
      <c r="I10">
        <f>COUNTIFS(Hourly!B:B,9,Hourly!I:I,"&gt;0")</f>
        <v/>
      </c>
      <c r="J10" s="13">
        <f>SUMIF(Hourly!B:B,9,Hourly!I:I)</f>
        <v/>
      </c>
      <c r="K10" s="13">
        <f>SUMIF(Hourly!B:B,9,Hourly!J:J)</f>
        <v/>
      </c>
      <c r="L10" s="11">
        <f>MAXIFS(Hourly!I:I,Hourly!B:B,9)</f>
        <v/>
      </c>
      <c r="M10" s="13">
        <f>MAXIFS(Hourly!L:L,Hourly!B:B,9)</f>
        <v/>
      </c>
      <c r="N10" s="13">
        <f>MINIFS(Hourly!L:L,Hourly!B:B,9)</f>
        <v/>
      </c>
    </row>
    <row r="11">
      <c r="A11" t="n">
        <v>10</v>
      </c>
      <c r="B11" t="inlineStr">
        <is>
          <t>Oct</t>
        </is>
      </c>
      <c r="C11">
        <f>COUNTIF(Hourly!B:B,10)</f>
        <v/>
      </c>
      <c r="D11" s="12">
        <f>AVERAGEIF(Hourly!B:B,10,Hourly!E:E)</f>
        <v/>
      </c>
      <c r="E11" s="12">
        <f>AVERAGEIF(Hourly!B:B,10,Hourly!F:F)</f>
        <v/>
      </c>
      <c r="F11" s="13">
        <f>SUMIF(Hourly!B:B,10,Hourly!G:G)</f>
        <v/>
      </c>
      <c r="G11" s="13">
        <f>SUMIF(Hourly!B:B,10,Hourly!H:H)</f>
        <v/>
      </c>
      <c r="H11" s="13">
        <f>F11+G11</f>
        <v/>
      </c>
      <c r="I11">
        <f>COUNTIFS(Hourly!B:B,10,Hourly!I:I,"&gt;0")</f>
        <v/>
      </c>
      <c r="J11" s="13">
        <f>SUMIF(Hourly!B:B,10,Hourly!I:I)</f>
        <v/>
      </c>
      <c r="K11" s="13">
        <f>SUMIF(Hourly!B:B,10,Hourly!J:J)</f>
        <v/>
      </c>
      <c r="L11" s="11">
        <f>MAXIFS(Hourly!I:I,Hourly!B:B,10)</f>
        <v/>
      </c>
      <c r="M11" s="13">
        <f>MAXIFS(Hourly!L:L,Hourly!B:B,10)</f>
        <v/>
      </c>
      <c r="N11" s="13">
        <f>MINIFS(Hourly!L:L,Hourly!B:B,10)</f>
        <v/>
      </c>
    </row>
    <row r="12">
      <c r="A12" t="n">
        <v>11</v>
      </c>
      <c r="B12" t="inlineStr">
        <is>
          <t>Nov</t>
        </is>
      </c>
      <c r="C12">
        <f>COUNTIF(Hourly!B:B,11)</f>
        <v/>
      </c>
      <c r="D12" s="12">
        <f>AVERAGEIF(Hourly!B:B,11,Hourly!E:E)</f>
        <v/>
      </c>
      <c r="E12" s="12">
        <f>AVERAGEIF(Hourly!B:B,11,Hourly!F:F)</f>
        <v/>
      </c>
      <c r="F12" s="13">
        <f>SUMIF(Hourly!B:B,11,Hourly!G:G)</f>
        <v/>
      </c>
      <c r="G12" s="13">
        <f>SUMIF(Hourly!B:B,11,Hourly!H:H)</f>
        <v/>
      </c>
      <c r="H12" s="13">
        <f>F12+G12</f>
        <v/>
      </c>
      <c r="I12">
        <f>COUNTIFS(Hourly!B:B,11,Hourly!I:I,"&gt;0")</f>
        <v/>
      </c>
      <c r="J12" s="13">
        <f>SUMIF(Hourly!B:B,11,Hourly!I:I)</f>
        <v/>
      </c>
      <c r="K12" s="13">
        <f>SUMIF(Hourly!B:B,11,Hourly!J:J)</f>
        <v/>
      </c>
      <c r="L12" s="11">
        <f>MAXIFS(Hourly!I:I,Hourly!B:B,11)</f>
        <v/>
      </c>
      <c r="M12" s="13">
        <f>MAXIFS(Hourly!L:L,Hourly!B:B,11)</f>
        <v/>
      </c>
      <c r="N12" s="13">
        <f>MINIFS(Hourly!L:L,Hourly!B:B,11)</f>
        <v/>
      </c>
    </row>
    <row r="13">
      <c r="A13" t="n">
        <v>12</v>
      </c>
      <c r="B13" t="inlineStr">
        <is>
          <t>Dec</t>
        </is>
      </c>
      <c r="C13">
        <f>COUNTIF(Hourly!B:B,12)</f>
        <v/>
      </c>
      <c r="D13" s="12">
        <f>AVERAGEIF(Hourly!B:B,12,Hourly!E:E)</f>
        <v/>
      </c>
      <c r="E13" s="12">
        <f>AVERAGEIF(Hourly!B:B,12,Hourly!F:F)</f>
        <v/>
      </c>
      <c r="F13" s="13">
        <f>SUMIF(Hourly!B:B,12,Hourly!G:G)</f>
        <v/>
      </c>
      <c r="G13" s="13">
        <f>SUMIF(Hourly!B:B,12,Hourly!H:H)</f>
        <v/>
      </c>
      <c r="H13" s="13">
        <f>F13+G13</f>
        <v/>
      </c>
      <c r="I13">
        <f>COUNTIFS(Hourly!B:B,12,Hourly!I:I,"&gt;0")</f>
        <v/>
      </c>
      <c r="J13" s="13">
        <f>SUMIF(Hourly!B:B,12,Hourly!I:I)</f>
        <v/>
      </c>
      <c r="K13" s="13">
        <f>SUMIF(Hourly!B:B,12,Hourly!J:J)</f>
        <v/>
      </c>
      <c r="L13" s="11">
        <f>MAXIFS(Hourly!I:I,Hourly!B:B,12)</f>
        <v/>
      </c>
      <c r="M13" s="13">
        <f>MAXIFS(Hourly!L:L,Hourly!B:B,12)</f>
        <v/>
      </c>
      <c r="N13" s="13">
        <f>MINIFS(Hourly!L:L,Hourly!B:B,12)</f>
        <v/>
      </c>
    </row>
    <row r="14">
      <c r="A14" s="14" t="inlineStr">
        <is>
          <t>TOTAL</t>
        </is>
      </c>
      <c r="C14">
        <f>SUM(C2:C13)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5" t="inlineStr">
        <is>
          <t>BASELOAD PPA KEY INSIGHTS</t>
        </is>
      </c>
    </row>
    <row r="2">
      <c r="A2" t="inlineStr"/>
    </row>
    <row r="3">
      <c r="A3" s="16" t="inlineStr">
        <is>
          <t>1. NON-LINEAR BATTERY SCALING</t>
        </is>
      </c>
    </row>
    <row r="4">
      <c r="A4" t="inlineStr">
        <is>
          <t>Battery requirements scale exponentially with baseload percentage:</t>
        </is>
      </c>
    </row>
    <row r="5">
      <c r="A5" t="inlineStr">
        <is>
          <t xml:space="preserve">  - 50% baseload: ~1 MWh battery</t>
        </is>
      </c>
    </row>
    <row r="6">
      <c r="A6" t="inlineStr">
        <is>
          <t xml:space="preserve">  - 80% baseload: ~8 MWh battery</t>
        </is>
      </c>
    </row>
    <row r="7">
      <c r="A7" t="inlineStr">
        <is>
          <t xml:space="preserve">  - 100% baseload: ~109 MWh battery</t>
        </is>
      </c>
    </row>
    <row r="8">
      <c r="A8" t="inlineStr">
        <is>
          <t>Implication: Target 80% for best cost/delivery balance</t>
        </is>
      </c>
    </row>
    <row r="9">
      <c r="A9" t="inlineStr"/>
    </row>
    <row r="10">
      <c r="A10" s="16" t="inlineStr">
        <is>
          <t>2. SUMMER NIGHTS ARE THE BOTTLENECK</t>
        </is>
      </c>
    </row>
    <row r="11">
      <c r="A11" t="inlineStr">
        <is>
          <t>Critical periods are July-August nights, not winter:</t>
        </is>
      </c>
    </row>
    <row r="12">
      <c r="A12" t="inlineStr">
        <is>
          <t xml:space="preserve">  - Weaker summer winds (reduced pressure gradients)</t>
        </is>
      </c>
    </row>
    <row r="13">
      <c r="A13" t="inlineStr">
        <is>
          <t xml:space="preserve">  - Anticyclones can persist for days</t>
        </is>
      </c>
    </row>
    <row r="14">
      <c r="A14" t="inlineStr">
        <is>
          <t xml:space="preserve">  - Solar contributes nothing at night</t>
        </is>
      </c>
    </row>
    <row r="15">
      <c r="A15" t="inlineStr"/>
    </row>
    <row r="16">
      <c r="A16" s="16" t="inlineStr">
        <is>
          <t>3. 10% PASS REDUCES BATTERY 50-100%</t>
        </is>
      </c>
    </row>
    <row r="17">
      <c r="A17" t="inlineStr">
        <is>
          <t>Allowing 10% non-delivery (878 hrs/yr) saves dramatically:</t>
        </is>
      </c>
    </row>
    <row r="18">
      <c r="A18" t="inlineStr">
        <is>
          <t xml:space="preserve">  - 50% baseload: 1 MWh -&gt; 0 MWh (-100%)</t>
        </is>
      </c>
    </row>
    <row r="19">
      <c r="A19" t="inlineStr">
        <is>
          <t xml:space="preserve">  - 80% baseload: 8 MWh -&gt; 3 MWh (-60%)</t>
        </is>
      </c>
    </row>
    <row r="20">
      <c r="A20" t="inlineStr">
        <is>
          <t xml:space="preserve">  - 100% baseload: 109 MWh -&gt; 57 MWh (-48%)</t>
        </is>
      </c>
    </row>
    <row r="21">
      <c r="A21" t="inlineStr"/>
    </row>
    <row r="22">
      <c r="A22" s="16" t="inlineStr">
        <is>
          <t>4. OPTIMAL SOLAR/WIND RATIO = 1:1</t>
        </is>
      </c>
    </row>
    <row r="23">
      <c r="A23" t="inlineStr">
        <is>
          <t>For SE3, equal MW of solar and wind provides best complementarity</t>
        </is>
      </c>
    </row>
    <row r="24">
      <c r="A24" t="inlineStr">
        <is>
          <t xml:space="preserve">  - Solar: Summer daytime (CF ~11.5%)</t>
        </is>
      </c>
    </row>
    <row r="25">
      <c r="A25" t="inlineStr">
        <is>
          <t xml:space="preserve">  - Wind: Year-round, better at night (CF ~30%)</t>
        </is>
      </c>
    </row>
    <row r="26">
      <c r="A26" t="inlineStr"/>
    </row>
    <row r="27">
      <c r="A27" s="16" t="inlineStr">
        <is>
          <t>5. BATTERY DURATION REQUIREMENT</t>
        </is>
      </c>
    </row>
    <row r="28">
      <c r="A28" t="inlineStr">
        <is>
          <t>80% baseload requires ~24h battery duration:</t>
        </is>
      </c>
    </row>
    <row r="29">
      <c r="A29" t="inlineStr">
        <is>
          <t xml:space="preserve">  - 8 MWh / 0.33 MW = 24 hours</t>
        </is>
      </c>
    </row>
    <row r="30">
      <c r="A30" t="inlineStr">
        <is>
          <t xml:space="preserve">  - Typical Li-ion: 2-4h (would need oversizing or flow battery)</t>
        </is>
      </c>
    </row>
    <row r="31">
      <c r="A31" t="inlineStr"/>
    </row>
    <row r="32">
      <c r="A32" s="16" t="inlineStr">
        <is>
          <t>6. RECOMMENDED PPA STRUCTURE</t>
        </is>
      </c>
    </row>
    <row r="33">
      <c r="A33" t="inlineStr">
        <is>
          <t>80% baseload + 10% pass allowance + spot settlement for surplus</t>
        </is>
      </c>
    </row>
    <row r="34">
      <c r="A34" t="inlineStr">
        <is>
          <t xml:space="preserve">  - Reasonable battery requirement (~3 MWh)</t>
        </is>
      </c>
    </row>
    <row r="35">
      <c r="A35" t="inlineStr">
        <is>
          <t xml:space="preserve">  - Balanced risk between buyer/seller</t>
        </is>
      </c>
    </row>
    <row r="36">
      <c r="A36" t="inlineStr">
        <is>
          <t xml:space="preserve">  - Monetize surplus production on spot market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BATTERY REQUIREMENT SENSITIVITY</t>
        </is>
      </c>
    </row>
    <row r="3">
      <c r="A3" s="3" t="inlineStr">
        <is>
          <t>Baseload %</t>
        </is>
      </c>
      <c r="B3" s="3" t="inlineStr">
        <is>
          <t>Baseload (MW)</t>
        </is>
      </c>
      <c r="C3" s="3" t="inlineStr">
        <is>
          <t>Deficit Hours</t>
        </is>
      </c>
      <c r="D3" s="3" t="inlineStr">
        <is>
          <t>Deficit %</t>
        </is>
      </c>
      <c r="E3" s="3" t="inlineStr">
        <is>
          <t>Battery (MWh)</t>
        </is>
      </c>
      <c r="F3" s="3" t="inlineStr">
        <is>
          <t>Duration (days)</t>
        </is>
      </c>
    </row>
    <row r="4">
      <c r="A4" s="17" t="n">
        <v>0.5</v>
      </c>
      <c r="B4" s="11" t="n">
        <v>0.208</v>
      </c>
      <c r="C4" t="n">
        <v>447</v>
      </c>
      <c r="D4" s="17" t="n">
        <v>0.05</v>
      </c>
      <c r="E4" t="n">
        <v>1</v>
      </c>
      <c r="F4" s="13" t="n">
        <v>0.6</v>
      </c>
    </row>
    <row r="5">
      <c r="A5" s="17" t="n">
        <v>0.6</v>
      </c>
      <c r="B5" s="11" t="n">
        <v>0.249</v>
      </c>
      <c r="C5" t="n">
        <v>1153</v>
      </c>
      <c r="D5" s="17" t="n">
        <v>0.13</v>
      </c>
      <c r="E5" t="n">
        <v>3</v>
      </c>
      <c r="F5" s="13" t="n">
        <v>0.9</v>
      </c>
    </row>
    <row r="6">
      <c r="A6" s="17" t="n">
        <v>0.7</v>
      </c>
      <c r="B6" s="11" t="n">
        <v>0.291</v>
      </c>
      <c r="C6" t="n">
        <v>2186</v>
      </c>
      <c r="D6" s="17" t="n">
        <v>0.25</v>
      </c>
      <c r="E6" t="n">
        <v>5</v>
      </c>
      <c r="F6" s="13" t="n">
        <v>1.1</v>
      </c>
    </row>
    <row r="7">
      <c r="A7" s="17" t="n">
        <v>0.8</v>
      </c>
      <c r="B7" s="11" t="n">
        <v>0.332</v>
      </c>
      <c r="C7" t="n">
        <v>3319</v>
      </c>
      <c r="D7" s="17" t="n">
        <v>0.38</v>
      </c>
      <c r="E7" t="n">
        <v>8</v>
      </c>
      <c r="F7" s="13" t="n">
        <v>1.6</v>
      </c>
    </row>
    <row r="8">
      <c r="A8" s="17" t="n">
        <v>0.9</v>
      </c>
      <c r="B8" s="11" t="n">
        <v>0.374</v>
      </c>
      <c r="C8" t="n">
        <v>4560</v>
      </c>
      <c r="D8" s="17" t="n">
        <v>0.52</v>
      </c>
      <c r="E8" t="n">
        <v>17</v>
      </c>
      <c r="F8" s="13" t="n">
        <v>2.8</v>
      </c>
    </row>
    <row r="9">
      <c r="A9" s="17" t="n">
        <v>1</v>
      </c>
      <c r="B9" s="11" t="n">
        <v>0.415</v>
      </c>
      <c r="C9" t="n">
        <v>5671</v>
      </c>
      <c r="D9" s="17" t="n">
        <v>0.65</v>
      </c>
      <c r="E9" t="n">
        <v>109</v>
      </c>
      <c r="F9" s="13" t="n">
        <v>15.5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2025-12-08T20:19:48Z</dcterms:created>
  <dcterms:modified xmlns:dcterms="http://purl.org/dc/terms/" xmlns:xsi="http://www.w3.org/2001/XMLSchema-instance" xsi:type="dcterms:W3CDTF">2025-12-08T20:19:49Z</dcterms:modified>
</cp:coreProperties>
</file>